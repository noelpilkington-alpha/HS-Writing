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mastered-10-26mar-dirty" sheetId="1" r:id="rId4"/>
    <sheet state="hidden" name="student-list-vs-mastered-lesson" sheetId="2" r:id="rId5"/>
    <sheet state="hidden" name="raw-20240814-20250309" sheetId="3" r:id="rId6"/>
    <sheet state="hidden" name="add-20250310-26" sheetId="4" r:id="rId7"/>
    <sheet state="hidden" name="raw-aaa20250325" sheetId="5" r:id="rId8"/>
    <sheet state="hidden" name="mastered-all" sheetId="6" r:id="rId9"/>
    <sheet state="visible" name="new-aw-skill-plan 2025" sheetId="7" r:id="rId10"/>
    <sheet state="hidden" name="old-aw-skill-plan" sheetId="8" r:id="rId11"/>
  </sheets>
  <definedNames>
    <definedName hidden="1" localSheetId="0" name="_xlnm._FilterDatabase">'mastered-10-26mar-dirty'!$A$1:$H$546</definedName>
    <definedName hidden="1" localSheetId="1" name="_xlnm._FilterDatabase">'student-list-vs-mastered-lesson'!$A$1:$D$1456</definedName>
    <definedName hidden="1" localSheetId="5" name="_xlnm._FilterDatabase">'mastered-all'!$A$1:$H$6229</definedName>
  </definedNames>
  <calcPr/>
  <pivotCaches>
    <pivotCache cacheId="0" r:id="rId12"/>
    <pivotCache cacheId="1" r:id="rId13"/>
  </pivotCaches>
</workbook>
</file>

<file path=xl/sharedStrings.xml><?xml version="1.0" encoding="utf-8"?>
<sst xmlns="http://schemas.openxmlformats.org/spreadsheetml/2006/main" count="44671" uniqueCount="1226">
  <si>
    <t>student</t>
  </si>
  <si>
    <t>third_party_level_id</t>
  </si>
  <si>
    <t>app</t>
  </si>
  <si>
    <t>date</t>
  </si>
  <si>
    <t>activity_units_attempted</t>
  </si>
  <si>
    <t>activity_units_correct</t>
  </si>
  <si>
    <t>level</t>
  </si>
  <si>
    <t>order</t>
  </si>
  <si>
    <t>COUNTA of third_party_level_id</t>
  </si>
  <si>
    <t>Alessandra Green</t>
  </si>
  <si>
    <t>3.2.FRAGMENT_OR_SENTENCE</t>
  </si>
  <si>
    <t>Alphawrite</t>
  </si>
  <si>
    <t>3</t>
  </si>
  <si>
    <t>4</t>
  </si>
  <si>
    <t>5</t>
  </si>
  <si>
    <t>6</t>
  </si>
  <si>
    <t>8</t>
  </si>
  <si>
    <t>Grand Total</t>
  </si>
  <si>
    <t>Arjun Caberwal</t>
  </si>
  <si>
    <t>4.2.IDENTIFY_APPOSITIVES</t>
  </si>
  <si>
    <t>Arman Caberwal</t>
  </si>
  <si>
    <t>4.2.WRITE_SENTENCE_ABOUT_PICTURE</t>
  </si>
  <si>
    <t>Aksel Jensen</t>
  </si>
  <si>
    <t>4.2.WRITE_SENTENCE_TYPE</t>
  </si>
  <si>
    <t>Blake Flores</t>
  </si>
  <si>
    <t>5.2.CHANGE_SENTENCE_TYPE</t>
  </si>
  <si>
    <t>Alex Lekic Brajovic</t>
  </si>
  <si>
    <t>Brady York</t>
  </si>
  <si>
    <t>3.2.CHANGE_SENTENCE_TYPE</t>
  </si>
  <si>
    <t>Alexander Wiebeck</t>
  </si>
  <si>
    <t>3.2.IDENTIFY_SENTENCE_TYPE</t>
  </si>
  <si>
    <t>Anaya Lenington</t>
  </si>
  <si>
    <t>David Paul</t>
  </si>
  <si>
    <t>3.2.WRITE_SENTENCE_TYPE</t>
  </si>
  <si>
    <t>4.2.FRAGMENT_OR_SENTENCE</t>
  </si>
  <si>
    <t>Asha Nagar</t>
  </si>
  <si>
    <t>Elaina Robertson</t>
  </si>
  <si>
    <t>4.2.UNSCRAMBLE_SENTENCES</t>
  </si>
  <si>
    <t>Asher Hazard</t>
  </si>
  <si>
    <t>Evelyn Gabler</t>
  </si>
  <si>
    <t>4.2.BASIC_CONJUNCTIONS</t>
  </si>
  <si>
    <t>Aubrey Curtis</t>
  </si>
  <si>
    <t>4.2.KERNEL_EXPANSION</t>
  </si>
  <si>
    <t>Bella Barba</t>
  </si>
  <si>
    <t>5.2.FRAGMENT_OR_SENTENCE</t>
  </si>
  <si>
    <t>Bennett Morris</t>
  </si>
  <si>
    <t>Hazel Salton</t>
  </si>
  <si>
    <t>3.2.UNSCRAMBLE_SENTENCES</t>
  </si>
  <si>
    <t>3.2.WRITE_SENTENCE_ABOUT_PICTURE</t>
  </si>
  <si>
    <t>Brooklyn Allred</t>
  </si>
  <si>
    <t>Claudia Hobart</t>
  </si>
  <si>
    <t>Helio Ortiz</t>
  </si>
  <si>
    <t>Connor Cason</t>
  </si>
  <si>
    <t>Ian Mentgen</t>
  </si>
  <si>
    <t>D'sean Harden II</t>
  </si>
  <si>
    <t>Dario Poyatos Ramos</t>
  </si>
  <si>
    <t>Jaxon Siers</t>
  </si>
  <si>
    <t>3.2.IDENTIFY_APPOSITIVES</t>
  </si>
  <si>
    <t>3.2.WRITE_APPOSITIVES</t>
  </si>
  <si>
    <t>Donnie Moore</t>
  </si>
  <si>
    <t>Lavender Marrero</t>
  </si>
  <si>
    <t>4.2.CHANGE_SENTENCE_TYPE</t>
  </si>
  <si>
    <t>Elena Mentgen</t>
  </si>
  <si>
    <t>Lily Gray</t>
  </si>
  <si>
    <t>Ellen Meegan</t>
  </si>
  <si>
    <t>Logan Campbell</t>
  </si>
  <si>
    <t>4.2.COMBINE_SENTENCES</t>
  </si>
  <si>
    <t>Eva Mentgen</t>
  </si>
  <si>
    <t>Marcus Fuentes</t>
  </si>
  <si>
    <t>Max Vaughan</t>
  </si>
  <si>
    <t>Felix Cole</t>
  </si>
  <si>
    <t>Mila Atamas</t>
  </si>
  <si>
    <t>Giuli Scandella</t>
  </si>
  <si>
    <t>Omar Ibarra</t>
  </si>
  <si>
    <t>Orion Campbell</t>
  </si>
  <si>
    <t>Raegan Middleton</t>
  </si>
  <si>
    <t>Jason Montagna</t>
  </si>
  <si>
    <t>Ramsey Levin</t>
  </si>
  <si>
    <t>Johnny Darcy</t>
  </si>
  <si>
    <t>4.2.WRITE_APPOSITIVES</t>
  </si>
  <si>
    <t>Juan Diego Ortega</t>
  </si>
  <si>
    <t>Kai Sticker</t>
  </si>
  <si>
    <t>Rocco Benetti</t>
  </si>
  <si>
    <t>5.2.COMBINE_SENTENCES</t>
  </si>
  <si>
    <t>5.2.IDENTIFY_APPOSITIVES</t>
  </si>
  <si>
    <t>5.2.WRITE_APPOSITIVES</t>
  </si>
  <si>
    <t>Livia Christopherson</t>
  </si>
  <si>
    <t>5.2.WRITE_SENTENCE_ABOUT_PICTURE</t>
  </si>
  <si>
    <t>5.2.WRITE_SENTENCE_TYPE</t>
  </si>
  <si>
    <t>Lukas Siers</t>
  </si>
  <si>
    <t>Sarah Hunter</t>
  </si>
  <si>
    <t>3.2.IDENTIFY_TOPIC_SENTENCE</t>
  </si>
  <si>
    <t>Luna Montagna</t>
  </si>
  <si>
    <t>Sophia Reicher</t>
  </si>
  <si>
    <t>Tate Price</t>
  </si>
  <si>
    <t>Marshall Jensen</t>
  </si>
  <si>
    <t>Xavier Siddall</t>
  </si>
  <si>
    <t>4.2.IDENTIFY_SENTENCE_TYPE</t>
  </si>
  <si>
    <t>Penny Marty</t>
  </si>
  <si>
    <t>4.2.USE_SENTENCE_TYPES</t>
  </si>
  <si>
    <t>Rania Caberwal</t>
  </si>
  <si>
    <t>Scotty Noel</t>
  </si>
  <si>
    <t>Shepperd Pfiester</t>
  </si>
  <si>
    <t>5.2.IDENTIFY_SENTENCE_TYPE</t>
  </si>
  <si>
    <t>5.2.UNSCRAMBLE_SENTENCES</t>
  </si>
  <si>
    <t>Sua Chang</t>
  </si>
  <si>
    <t>5.2.USE_SENTENCE_TYPES</t>
  </si>
  <si>
    <t>Sydney Barba</t>
  </si>
  <si>
    <t>4.2.WRITE_FREEFORM_PARAGRAPH</t>
  </si>
  <si>
    <t>Zane Rogers</t>
  </si>
  <si>
    <t>Zion Clark</t>
  </si>
  <si>
    <t>3.2.USE_SENTENCE_TYPES</t>
  </si>
  <si>
    <t>3.2.TURN_OUTLINE_INTO_DRAFT</t>
  </si>
  <si>
    <t>4.2.TURN_PARAGRAPH_INTO_SPO</t>
  </si>
  <si>
    <t>8.2.IDENTIFY_TS_AND_SEQUENCE_DETAILS</t>
  </si>
  <si>
    <t>3.2.BASIC_CONJUNCTIONS</t>
  </si>
  <si>
    <t>3.2.COMBINE_SENTENCES</t>
  </si>
  <si>
    <t>3.2.KERNEL_EXPANSION</t>
  </si>
  <si>
    <t>3.2.SUBORDINATING_CONJUNCTIONS</t>
  </si>
  <si>
    <t>6.2.IDENTIFY_TOPIC_SENTENCE</t>
  </si>
  <si>
    <t>5.2.KERNEL_EXPANSION</t>
  </si>
  <si>
    <t>5.2.SUBORDINATING_CONJUNCTIONS</t>
  </si>
  <si>
    <t>3.2.ELABORATE_PARAGRAPHS</t>
  </si>
  <si>
    <t>4.2.SUBORDINATING_CONJUNCTIONS</t>
  </si>
  <si>
    <t>4.2.MAKE_TOPIC_SENTENCES</t>
  </si>
  <si>
    <t>4.2.WRITING_SPOS</t>
  </si>
  <si>
    <t>3.2.FINISHING_TRANSITION_WORDS</t>
  </si>
  <si>
    <t>3.2.IDENTIFY_TS_AND_SEQUENCE_DETAILS</t>
  </si>
  <si>
    <t>5.2.ELABORATE_PARAGRAPHS</t>
  </si>
  <si>
    <t>5.2.ELIMINATE_IRRELEVANT_SENTENCES</t>
  </si>
  <si>
    <t>5.2.IDENTIFY_TOPIC_SENTENCE</t>
  </si>
  <si>
    <t>4.2.FINISHING_TRANSITION_WORDS</t>
  </si>
  <si>
    <t>7.2.TOPIC_BRAINSTORM</t>
  </si>
  <si>
    <t>4.2.USING_TRANSITION_WORDS</t>
  </si>
  <si>
    <t>12.2.PRE_TRANSITION_OUTLINE</t>
  </si>
  <si>
    <t>5.2.WRITE_FREEFORM_PARAGRAPH</t>
  </si>
  <si>
    <t>3.2.ELIMINATE_IRRELEVANT_SENTENCES</t>
  </si>
  <si>
    <t>3.2.USING_TRANSITION_WORDS</t>
  </si>
  <si>
    <t>9.2.PRE_TRANSITION_OUTLINE</t>
  </si>
  <si>
    <t>3.2.WRITING_SPOS</t>
  </si>
  <si>
    <t>5.2.FINISHING_TRANSITION_WORDS</t>
  </si>
  <si>
    <t>4.2.ELIMINATE_IRRELEVANT_SENTENCES</t>
  </si>
  <si>
    <t>5.2.USING_TRANSITION_WORDS</t>
  </si>
  <si>
    <t>5.2.TURN_OUTLINE_INTO_DRAFT</t>
  </si>
  <si>
    <t>Mastered a Lesson?</t>
  </si>
  <si>
    <t>Lessons Mastered</t>
  </si>
  <si>
    <t>Level</t>
  </si>
  <si>
    <t>Student</t>
  </si>
  <si>
    <t>Date</t>
  </si>
  <si>
    <t>Subject</t>
  </si>
  <si>
    <t>App</t>
  </si>
  <si>
    <t>Course</t>
  </si>
  <si>
    <t>Anti-patterns</t>
  </si>
  <si>
    <t>Anti-pattern count</t>
  </si>
  <si>
    <t>Lessons mastered</t>
  </si>
  <si>
    <t>Essential Lessons Mastered</t>
  </si>
  <si>
    <t>Correct Questions</t>
  </si>
  <si>
    <t>Total Questions</t>
  </si>
  <si>
    <t>Accuracy</t>
  </si>
  <si>
    <t>Minutes</t>
  </si>
  <si>
    <t>L1</t>
  </si>
  <si>
    <t>Writing</t>
  </si>
  <si>
    <t>Grade 4, Easy</t>
  </si>
  <si>
    <t>ANTI | Working on non-recommended skills</t>
  </si>
  <si>
    <t>L2</t>
  </si>
  <si>
    <t>Grade 3, Easy</t>
  </si>
  <si>
    <t>Grade 5, Easy</t>
  </si>
  <si>
    <t>Grade 3, Medium</t>
  </si>
  <si>
    <t>Grade 4, Medium</t>
  </si>
  <si>
    <t>Grade 5, Medium</t>
  </si>
  <si>
    <t>Grade 12, Medium</t>
  </si>
  <si>
    <t>Grade 5, Hard</t>
  </si>
  <si>
    <t>POSI | Reading the question carefully before answering correctly</t>
  </si>
  <si>
    <t>Grade 12, Hard</t>
  </si>
  <si>
    <t>Marco Iorgulescu</t>
  </si>
  <si>
    <t>Archer Traff</t>
  </si>
  <si>
    <t>Grade 12, Easy</t>
  </si>
  <si>
    <t>Grade 4, Hard</t>
  </si>
  <si>
    <t>Elliott Howe</t>
  </si>
  <si>
    <t>Krish Bhakta</t>
  </si>
  <si>
    <t>L3</t>
  </si>
  <si>
    <t>Parker Pesek</t>
  </si>
  <si>
    <t>ANTI | Working on non-recommended skills,POSI | Reading the question carefully before answering correctly</t>
  </si>
  <si>
    <t>Love Lalla-Pagan</t>
  </si>
  <si>
    <t>Ezel Perez Nellar</t>
  </si>
  <si>
    <t>Jaiden Bhakta</t>
  </si>
  <si>
    <t>Meela Campbell</t>
  </si>
  <si>
    <t>Kaiden Szpitalak</t>
  </si>
  <si>
    <t>Nelly Inkinen</t>
  </si>
  <si>
    <t>Ariel Martel</t>
  </si>
  <si>
    <t>NoRedInk</t>
  </si>
  <si>
    <t>Major Whitaker</t>
  </si>
  <si>
    <t>Oliver Overton</t>
  </si>
  <si>
    <t>Zenon Zaidi</t>
  </si>
  <si>
    <t>ANTI | Not finishing skill before starting a new one</t>
  </si>
  <si>
    <t>Harper Hawkins</t>
  </si>
  <si>
    <t>Jovani Hernandez</t>
  </si>
  <si>
    <t>Nadine Romman</t>
  </si>
  <si>
    <t>Nate Evans</t>
  </si>
  <si>
    <t>Eddie Margain-Junco</t>
  </si>
  <si>
    <t>ANTI | Rushing questions,POSI | Reading the question carefully before answering correctly</t>
  </si>
  <si>
    <t>ANTI | Rushing questions</t>
  </si>
  <si>
    <t>Shantal Gomez</t>
  </si>
  <si>
    <t>Maddie Moncure</t>
  </si>
  <si>
    <t>Everest Nevraumont</t>
  </si>
  <si>
    <t>Parker Carlson</t>
  </si>
  <si>
    <t>ProWritingAid</t>
  </si>
  <si>
    <t>Byron Attridge</t>
  </si>
  <si>
    <t>Bailey Carlson</t>
  </si>
  <si>
    <t>Naomi Kocek</t>
  </si>
  <si>
    <t>Izzy Moncure</t>
  </si>
  <si>
    <t>Miles Kozun</t>
  </si>
  <si>
    <t>Aleina Boyce</t>
  </si>
  <si>
    <t>Duke Ajouz</t>
  </si>
  <si>
    <t>Michael John Sewell</t>
  </si>
  <si>
    <t>ANTI | Not finishing skill before starting a new one,ANTI | Working on non-recommended skills</t>
  </si>
  <si>
    <t>Armin Rouwet</t>
  </si>
  <si>
    <t>Jack Wesley Henry</t>
  </si>
  <si>
    <t>Joanna Victorian</t>
  </si>
  <si>
    <t>Vayda Hendle</t>
  </si>
  <si>
    <t>Greyson Walker</t>
  </si>
  <si>
    <t>Grade 3, Hard</t>
  </si>
  <si>
    <t>Knox Martin Wheeler</t>
  </si>
  <si>
    <t>Cristhofer Martinez-Perez</t>
  </si>
  <si>
    <t>Gray Duffy</t>
  </si>
  <si>
    <t>Zaid Qunibi</t>
  </si>
  <si>
    <t>Ross Margraves</t>
  </si>
  <si>
    <t>ANTI | Rushing questions,ANTI | Working on non-recommended skills,POSI | Reading the question carefully before answering correctly</t>
  </si>
  <si>
    <t>ANTI | Not finishing skill before starting a new one,ANTI | Not following the recommended order of skills,ANTI | Working on non-recommended skills</t>
  </si>
  <si>
    <t>ANTI | Not following the recommended order of skills</t>
  </si>
  <si>
    <t>Kira Fuerst</t>
  </si>
  <si>
    <t>Kealaula Licup</t>
  </si>
  <si>
    <t>ANTI | Not finishing skill before starting a new one,ANTI | Not following the recommended order of skills,POSI | Reading the question carefully before answering correctly</t>
  </si>
  <si>
    <t>ANTI | Not finishing skill before starting a new one,ANTI | Not following the recommended order of skills,ANTI | Rushing questions,POSI | Reading the question carefully before answering correctly</t>
  </si>
  <si>
    <t>ANTI | Not finishing skill before starting a new one,ANTI | Not following the recommended order of skills</t>
  </si>
  <si>
    <t>Rhys Björendahl</t>
  </si>
  <si>
    <t>ANTI | Rushing questions,ANTI | Working on non-recommended skills</t>
  </si>
  <si>
    <t>Gus Castillo</t>
  </si>
  <si>
    <t>Jack Cotner</t>
  </si>
  <si>
    <t>Grady Swanson</t>
  </si>
  <si>
    <t>Amariah Johnson</t>
  </si>
  <si>
    <t>Ysabella Ramos</t>
  </si>
  <si>
    <t>Isabella Payan</t>
  </si>
  <si>
    <t>Jalayah Washington</t>
  </si>
  <si>
    <t>Johana D'Santiago-Verastegui</t>
  </si>
  <si>
    <t>Gavin Johnson</t>
  </si>
  <si>
    <t>Terra'Nae Turner</t>
  </si>
  <si>
    <t>Gabriel Leal Barrios</t>
  </si>
  <si>
    <t>Santiago Mosquera-Rodriguez</t>
  </si>
  <si>
    <t>Amari Clark</t>
  </si>
  <si>
    <t>Dylan Castillo-Ascanio</t>
  </si>
  <si>
    <t>Tanill Bills</t>
  </si>
  <si>
    <t>Alaynah Marquez</t>
  </si>
  <si>
    <t>Alfat Shirzoi Hamidi</t>
  </si>
  <si>
    <t>Alyieah Sneed</t>
  </si>
  <si>
    <t>Angel Gonzalez-Romero</t>
  </si>
  <si>
    <t>Dillinmar Lugo Marquez</t>
  </si>
  <si>
    <t>Jahde Hernandez-Ramos</t>
  </si>
  <si>
    <t>Jarius Collins</t>
  </si>
  <si>
    <t>Jasmine Merced</t>
  </si>
  <si>
    <t>Legend Henderson</t>
  </si>
  <si>
    <t>Rafat Shirzoi Hamidi</t>
  </si>
  <si>
    <t>Raymond Allen</t>
  </si>
  <si>
    <t>Leoxinelys Campos-Ferrebus</t>
  </si>
  <si>
    <t>Mi'Kyi Alexander</t>
  </si>
  <si>
    <t>Sander Gabler</t>
  </si>
  <si>
    <t>Aileya Klinefelter</t>
  </si>
  <si>
    <t>Hannah Brown</t>
  </si>
  <si>
    <t>Madeline Kozun</t>
  </si>
  <si>
    <t>Phin Parrott</t>
  </si>
  <si>
    <t>ANTI | Not finishing skill before starting a new one,ANTI | Rushing questions,POSI | Reading the question carefully before answering correctly</t>
  </si>
  <si>
    <t>Branson Pfiester</t>
  </si>
  <si>
    <t>Chloe Curtis</t>
  </si>
  <si>
    <t>Ella McMurry</t>
  </si>
  <si>
    <t>Jackson Wiley</t>
  </si>
  <si>
    <t>Lucian Klinefelter</t>
  </si>
  <si>
    <t>Lulu Bressan</t>
  </si>
  <si>
    <t>Savannah Marrero</t>
  </si>
  <si>
    <t>Sawyer Jayasuriya</t>
  </si>
  <si>
    <t>ANTI | Not following the recommended order of skills,POSI | Reading the question carefully before answering correctly</t>
  </si>
  <si>
    <t>Ali Romman</t>
  </si>
  <si>
    <t>Mastered at least 1 lesson?</t>
  </si>
  <si>
    <t>Spent time in the lesson?</t>
  </si>
  <si>
    <t>Spent &lt;30 min?</t>
  </si>
  <si>
    <t>Minutes per lesson mastered</t>
  </si>
  <si>
    <t>Average time taken to master 1 lesson</t>
  </si>
  <si>
    <t>AVERAGE of Minutes per lesson mastered</t>
  </si>
  <si>
    <t>No</t>
  </si>
  <si>
    <t>Yes</t>
  </si>
  <si>
    <t>No Total</t>
  </si>
  <si>
    <t>Yes Total</t>
  </si>
  <si>
    <t>Exclude instances of students spending &gt;30 min (they may have left their laptops on without any action)</t>
  </si>
  <si>
    <t>Average accuracy for mastered lessons:</t>
  </si>
  <si>
    <t>AVERAGE of Accuracy</t>
  </si>
  <si>
    <t>Jack Bromberg</t>
  </si>
  <si>
    <t>Jacob Atamas</t>
  </si>
  <si>
    <t>Edulastic</t>
  </si>
  <si>
    <t>Grade 8, Easy</t>
  </si>
  <si>
    <t>Grade 6, Easy</t>
  </si>
  <si>
    <t>Grade 7, Easy</t>
  </si>
  <si>
    <t>Ryan Porto</t>
  </si>
  <si>
    <t>Grade 9, Easy</t>
  </si>
  <si>
    <t>new grade</t>
  </si>
  <si>
    <t>new code</t>
  </si>
  <si>
    <t>5.2.IDENTIFY_TS_AND_SEQUENCE_DETAILS</t>
  </si>
  <si>
    <t>7.2.IDENTIFY_TS_AND_SEQUENCE_DETAILS</t>
  </si>
  <si>
    <t>8.2.TOPIC_BRAINSTORM</t>
  </si>
  <si>
    <t>3.5.FRAGMENT_OR_SENTENCE</t>
  </si>
  <si>
    <t>4.5.COMBINE_SENTENCES</t>
  </si>
  <si>
    <t>4.5.FRAGMENT_OR_SENTENCE</t>
  </si>
  <si>
    <t>5.5.FRAGMENT_OR_SENTENCE</t>
  </si>
  <si>
    <t>12.5.DISTINGUISH_G_S_T</t>
  </si>
  <si>
    <t>5.5.WRITE_SENTENCE_ABOUT_PICTURE</t>
  </si>
  <si>
    <t>5.8.WRITE_FREEFORM_PARAGRAPH</t>
  </si>
  <si>
    <t>5.2.BASIC_CONJUNCTIONS</t>
  </si>
  <si>
    <t>12.8.DISTINGUISH_G_S_T</t>
  </si>
  <si>
    <t>12.2.DISTINGUISH_G_S_T</t>
  </si>
  <si>
    <t>4.8.WRITE_APPOSITIVES</t>
  </si>
  <si>
    <t>12.8.PRE_TRANSITION_OUTLINE</t>
  </si>
  <si>
    <t>4.5.TOPIC_BRAINSTORM</t>
  </si>
  <si>
    <t>4.5.UNSCRAMBLE_SENTENCES</t>
  </si>
  <si>
    <t>3.2.MAKE_TOPIC_SENTENCES</t>
  </si>
  <si>
    <t>5.2.MAKE_TOPIC_SENTENCES</t>
  </si>
  <si>
    <t>3.2.TURN_PARAGRAPH_INTO_SPO</t>
  </si>
  <si>
    <t>5.8.TURN_PARAGRAPH_INTO_SPO</t>
  </si>
  <si>
    <t>5.8.FRAGMENT_OR_SENTENCE</t>
  </si>
  <si>
    <t>Sara Saxon</t>
  </si>
  <si>
    <t>5.2.TOPIC_BRAINSTORM</t>
  </si>
  <si>
    <t>5.8.TOPIC_BRAINSTORM</t>
  </si>
  <si>
    <t>Isla Greenberg</t>
  </si>
  <si>
    <t>5.5.UNSCRAMBLE_SENTENCES</t>
  </si>
  <si>
    <t>4.8.IDENTIFY_TOPIC_SENTENCE</t>
  </si>
  <si>
    <t>4.8.WRITE_FREEFORM_PARAGRAPH</t>
  </si>
  <si>
    <t>3.2.TOPIC_SENTENCE_MATCHING</t>
  </si>
  <si>
    <t>4.5.MAKE_TOPIC_SENTENCES</t>
  </si>
  <si>
    <t>3.2.TOPIC_BRAINSTORM</t>
  </si>
  <si>
    <t>5.8.WRITE_SENTENCE_TYPE</t>
  </si>
  <si>
    <t>4.8.BASIC_CONJUNCTIONS</t>
  </si>
  <si>
    <t>5.8.TOPIC_SENTENCE_MATCHING</t>
  </si>
  <si>
    <t>5.8.USING_TRANSITION_WORDS</t>
  </si>
  <si>
    <t>5.8.MAKE_TOPIC_SENTENCES</t>
  </si>
  <si>
    <t>Test Account4</t>
  </si>
  <si>
    <t>Test Account5</t>
  </si>
  <si>
    <t>Ronin Lingham</t>
  </si>
  <si>
    <t>5.8.PRE_TRANSITION_OUTLINE</t>
  </si>
  <si>
    <t>5.2.TOPIC_SENTENCE_MATCHING</t>
  </si>
  <si>
    <t>5.8.ELIMINATE_IRRELEVANT_SENTENCES</t>
  </si>
  <si>
    <t>Test Account7</t>
  </si>
  <si>
    <t>5.5.SUBORDINATING_CONJUNCTIONS</t>
  </si>
  <si>
    <t>5.8.IDENTIFY_TOPIC_SENTENCE</t>
  </si>
  <si>
    <t>3.8.WRITE_SENTENCE_ABOUT_PICTURE</t>
  </si>
  <si>
    <t>4.8.USING_TRANSITION_WORDS</t>
  </si>
  <si>
    <t>3.8.UNSCRAMBLE_SENTENCES</t>
  </si>
  <si>
    <t>4.5.USING_TRANSITION_WORDS</t>
  </si>
  <si>
    <t>3.5.IDENTIFY_APPOSITIVES</t>
  </si>
  <si>
    <t>3.5.TOPIC_SENTENCE_MATCHING</t>
  </si>
  <si>
    <t>3.5.UNSCRAMBLE_SENTENCES</t>
  </si>
  <si>
    <t>3.8.IDENTIFY_TOPIC_SENTENCE</t>
  </si>
  <si>
    <t>5.5.TOPIC_SENTENCE_MATCHING</t>
  </si>
  <si>
    <t>5.5.USING_TRANSITION_WORDS</t>
  </si>
  <si>
    <t>4.5.TOPIC_SENTENCE_MATCHING</t>
  </si>
  <si>
    <t>3.8.IDENTIFY_APPOSITIVES</t>
  </si>
  <si>
    <t>4.8.TOPIC_BRAINSTORM</t>
  </si>
  <si>
    <t>4.2.IDENTIFY_TOPIC_SENTENCE</t>
  </si>
  <si>
    <t>4.8.MAKE_TOPIC_SENTENCES</t>
  </si>
  <si>
    <t>Sophie Barrios</t>
  </si>
  <si>
    <t>3.5.IDENTIFY_TOPIC_SENTENCE</t>
  </si>
  <si>
    <t>4.8.COMBINE_SENTENCES</t>
  </si>
  <si>
    <t>4.5.BASIC_CONJUNCTIONS</t>
  </si>
  <si>
    <t>4.5.IDENTIFY_TOPIC_SENTENCE</t>
  </si>
  <si>
    <t>4.5.WRITE_SENTENCE_ABOUT_PICTURE</t>
  </si>
  <si>
    <t>5.5.IDENTIFY_TOPIC_SENTENCE</t>
  </si>
  <si>
    <t>Miray Acar</t>
  </si>
  <si>
    <t>Oliver Wagner</t>
  </si>
  <si>
    <t>4.5.KERNEL_EXPANSION</t>
  </si>
  <si>
    <t>3.5.TOPIC_BRAINSTORM</t>
  </si>
  <si>
    <t>3.5.USING_TRANSITION_WORDS</t>
  </si>
  <si>
    <t>3.8.IDENTIFY_SENTENCE_TYPE</t>
  </si>
  <si>
    <t>3.8.USING_TRANSITION_WORDS</t>
  </si>
  <si>
    <t>5.2.TURN_PARAGRAPH_INTO_SPO</t>
  </si>
  <si>
    <t>5.5.IDENTIFY_APPOSITIVES</t>
  </si>
  <si>
    <t>5.8.IDENTIFY_APPOSITIVES</t>
  </si>
  <si>
    <t>4.5.IDENTIFY_SENTENCE_TYPE</t>
  </si>
  <si>
    <t>3.5.IDENTIFY_SENTENCE_TYPE</t>
  </si>
  <si>
    <t>4.2.TOPIC_BRAINSTORM</t>
  </si>
  <si>
    <t>4.8.CHANGE_SENTENCE_TYPE</t>
  </si>
  <si>
    <t>4.8.WRITE_SENTENCE_ABOUT_PICTURE</t>
  </si>
  <si>
    <t>4.8.WRITE_SENTENCE_TYPE</t>
  </si>
  <si>
    <t>5.8.UNSCRAMBLE_SENTENCES</t>
  </si>
  <si>
    <t>5.8.KERNEL_EXPANSION</t>
  </si>
  <si>
    <t>5.8.SUBORDINATING_CONJUNCTIONS</t>
  </si>
  <si>
    <t>4.2.TOPIC_SENTENCE_MATCHING</t>
  </si>
  <si>
    <t>4.5.ELIMINATE_IRRELEVANT_SENTENCES</t>
  </si>
  <si>
    <t>5.8.BASIC_CONJUNCTIONS</t>
  </si>
  <si>
    <t>5.8.COMBINE_SENTENCES</t>
  </si>
  <si>
    <t>5.8.WRITE_APPOSITIVES</t>
  </si>
  <si>
    <t>5.8.WRITE_SENTENCE_ABOUT_PICTURE</t>
  </si>
  <si>
    <t>5.8.CHANGE_SENTENCE_TYPE</t>
  </si>
  <si>
    <t>5.8.IDENTIFY_SENTENCE_TYPE</t>
  </si>
  <si>
    <t>4.5.IDENTIFY_APPOSITIVES</t>
  </si>
  <si>
    <t>4.8.IDENTIFY_APPOSITIVES</t>
  </si>
  <si>
    <t>4.5.TURN_PARAGRAPH_INTO_SPO</t>
  </si>
  <si>
    <t>4.8.UNSCRAMBLE_SENTENCES</t>
  </si>
  <si>
    <t>Lucas Vega</t>
  </si>
  <si>
    <t>3.5.WRITE_APPOSITIVES</t>
  </si>
  <si>
    <t>3.8.COMBINE_SENTENCES</t>
  </si>
  <si>
    <t>Ankur Agarwal</t>
  </si>
  <si>
    <t>Jh'Manii Jackson</t>
  </si>
  <si>
    <t>Mariem Oukrid</t>
  </si>
  <si>
    <t>Test Account2</t>
  </si>
  <si>
    <t>Test Account9</t>
  </si>
  <si>
    <t>Zain Lakhani</t>
  </si>
  <si>
    <t>L1 First User</t>
  </si>
  <si>
    <t>L2 First User</t>
  </si>
  <si>
    <t>5.5.CHANGE_SENTENCE_TYPE</t>
  </si>
  <si>
    <t>5.5.WRITE_SENTENCE_TYPE</t>
  </si>
  <si>
    <t>5.5.IDENTIFY_SENTENCE_TYPE</t>
  </si>
  <si>
    <t>3.8.BASIC_CONJUNCTIONS</t>
  </si>
  <si>
    <t>Test Testing01</t>
  </si>
  <si>
    <t>Harry Osborne</t>
  </si>
  <si>
    <t>Lincoln Kloiber</t>
  </si>
  <si>
    <t>Keyhan Morgan</t>
  </si>
  <si>
    <t>Morgan Lopez</t>
  </si>
  <si>
    <t>4.2.TURN_OUTLINE_INTO_DRAFT</t>
  </si>
  <si>
    <t>4.5.WRITE_APPOSITIVES</t>
  </si>
  <si>
    <t>3.8.FRAGMENT_OR_SENTENCE</t>
  </si>
  <si>
    <t>Test Testing02</t>
  </si>
  <si>
    <t>Zander Holloway</t>
  </si>
  <si>
    <t>Levi Eugene</t>
  </si>
  <si>
    <t>Kasen West</t>
  </si>
  <si>
    <t>Olivia Vega</t>
  </si>
  <si>
    <t>Lucia Scaletta</t>
  </si>
  <si>
    <t>Mia Gupta</t>
  </si>
  <si>
    <t>4.5.CHANGE_SENTENCE_TYPE</t>
  </si>
  <si>
    <t>Charlie Wiedman</t>
  </si>
  <si>
    <t>5.5.BASIC_CONJUNCTIONS</t>
  </si>
  <si>
    <t>Zephyr Sharpe</t>
  </si>
  <si>
    <t>3.5.BASIC_CONJUNCTIONS</t>
  </si>
  <si>
    <t>3.5.SUBORDINATING_CONJUNCTIONS</t>
  </si>
  <si>
    <t>5.5.COMBINE_SENTENCES</t>
  </si>
  <si>
    <t>5.5.KERNEL_EXPANSION</t>
  </si>
  <si>
    <t>Jaiden Suthar</t>
  </si>
  <si>
    <t>3.8.WRITE_APPOSITIVES</t>
  </si>
  <si>
    <t>3.5.WRITE_SENTENCE_TYPE</t>
  </si>
  <si>
    <t>4.8.FRAGMENT_OR_SENTENCE</t>
  </si>
  <si>
    <t>3.5.COMBINE_SENTENCES</t>
  </si>
  <si>
    <t>3.5.WRITE_SENTENCE_ABOUT_PICTURE</t>
  </si>
  <si>
    <t>4.8.IDENTIFY_SENTENCE_TYPE</t>
  </si>
  <si>
    <t>sourabh soni soni</t>
  </si>
  <si>
    <t>Edgar Shinar</t>
  </si>
  <si>
    <t>3.8.CHANGE_SENTENCE_TYPE</t>
  </si>
  <si>
    <t>3.8.WRITE_SENTENCE_TYPE</t>
  </si>
  <si>
    <t>Emery Quale</t>
  </si>
  <si>
    <t>3.5.CHANGE_SENTENCE_TYPE</t>
  </si>
  <si>
    <t>Ivy Haselwood</t>
  </si>
  <si>
    <t>5.5.WRITE_APPOSITIVES</t>
  </si>
  <si>
    <t>Adrienne Laswell</t>
  </si>
  <si>
    <t>Sofia Flores</t>
  </si>
  <si>
    <t>Charlie Thornburgh</t>
  </si>
  <si>
    <t>Izzy Friedman</t>
  </si>
  <si>
    <t>Eva Sargent</t>
  </si>
  <si>
    <t>Maria Vela</t>
  </si>
  <si>
    <t>Olivia Lopez</t>
  </si>
  <si>
    <t>Silas Walker Roughton</t>
  </si>
  <si>
    <t>Abby Salinas</t>
  </si>
  <si>
    <t>Harley Hatchett</t>
  </si>
  <si>
    <t>3.8.USE_SENTENCE_TYPES</t>
  </si>
  <si>
    <t>3.5.USE_SENTENCE_TYPES</t>
  </si>
  <si>
    <t>Vivi Fry</t>
  </si>
  <si>
    <t>Felix Hendrix</t>
  </si>
  <si>
    <t>4.5.USE_SENTENCE_TYPES</t>
  </si>
  <si>
    <t>Logan Alviar</t>
  </si>
  <si>
    <t>Shadow Level 1</t>
  </si>
  <si>
    <t>Jacob Kam</t>
  </si>
  <si>
    <t>Amelia Gabler</t>
  </si>
  <si>
    <t>Duke Rancic</t>
  </si>
  <si>
    <t>4.8.USE_SENTENCE_TYPES</t>
  </si>
  <si>
    <t>James Gregory</t>
  </si>
  <si>
    <t>Austin Way</t>
  </si>
  <si>
    <t>Roark Smerklo</t>
  </si>
  <si>
    <t>Eli Kidd</t>
  </si>
  <si>
    <t>Jude Pellerano</t>
  </si>
  <si>
    <t>Dexter Trahan</t>
  </si>
  <si>
    <t>skill_id</t>
  </si>
  <si>
    <t>name</t>
  </si>
  <si>
    <t>QS_ID</t>
  </si>
  <si>
    <t>grade</t>
  </si>
  <si>
    <t>URL</t>
  </si>
  <si>
    <t>Activity Description</t>
  </si>
  <si>
    <t>alphawrite-sentences-i-fragment-or-sentence</t>
  </si>
  <si>
    <t>Fragment or Sentence?</t>
  </si>
  <si>
    <t>Sentences G3</t>
  </si>
  <si>
    <r>
      <rPr>
        <rFont val="Arial"/>
        <color rgb="FF0000FF"/>
        <u/>
      </rPr>
      <t>https://alphawrite.alpha.school/practice/3/2/fragment-or-sentence</t>
    </r>
  </si>
  <si>
    <t>Student task: Decide whether a word group is a complete sentence or a fragment; if it is a fragment, revise it into a complete sentence.
Student produces: (1) a label—Sentence or Fragment—and (2) a corrected sentence when needed.
Skills taught: identify subject + predicate (complete thought); fix fragments by adding missing subject/verb/idea; apply capitalization and end punctuation.
Checks for correctness: corrected version expresses a complete thought, uses standard word order, and ends with correct punctuation.</t>
  </si>
  <si>
    <t>alphawrite-sentences-i-unscramble-sentences</t>
  </si>
  <si>
    <t>Unscramble Sentences</t>
  </si>
  <si>
    <r>
      <rPr>
        <rFont val="Arial"/>
        <color rgb="FF0000FF"/>
        <u/>
      </rPr>
      <t>https://alphawrite.alpha.school/practice/3/2/unscramble-sentences</t>
    </r>
  </si>
  <si>
    <t>Student task: Rearrange a set of jumbled words into a grammatical sentence.
Student produces: one correctly ordered sentence with appropriate capitalization and end punctuation.
Skills taught: English word order (subject–verb–object/modifiers); recognizing parts of speech; forming complete sentences; basic conventions.
Checks for correctness: sentence reads naturally, includes a subject and verb, and uses correct capitalization/punctuation.</t>
  </si>
  <si>
    <t>alphawrite-sentences-i-identify-sentence-type</t>
  </si>
  <si>
    <t>Identify the Sentence Type</t>
  </si>
  <si>
    <r>
      <rPr>
        <rFont val="Arial"/>
        <color rgb="FF0000FF"/>
        <u/>
      </rPr>
      <t>https://alphawrite.alpha.school/practice/3/2/identify-sentence-type</t>
    </r>
  </si>
  <si>
    <t>Student task: Read a sentence and identify its type (declarative/statement, interrogative/question, imperative/command, or exclamatory/exclamation).
Student produces: a label for the sentence type (and may justify using punctuation/purpose).
Skills taught: connect sentence purpose to punctuation and structure; recognize question forms and commands; distinguish statement vs exclamation.
Checks for correctness: chosen type matches the sentence’s purpose and punctuation (e.g., ? for questions, ! for exclamations).</t>
  </si>
  <si>
    <t>alphawrite-sentences-i-change-sentence-to-question</t>
  </si>
  <si>
    <t>Change Sentences into Questions</t>
  </si>
  <si>
    <t>3.2.CHANGE_SENTENCE_INTO_QUESTION</t>
  </si>
  <si>
    <t>https://alphawrite.alpha.school/practice/3/2/change-sentence-into-question</t>
  </si>
  <si>
    <t>Student task: Rewrite a statement (or another sentence type) as an interrogative sentence (a question).
Student produces: one question that matches the original idea/topic and ends with a question mark.
Skills taught: form questions (use question words or auxiliary verbs such as do/does/did when needed); adjust word order; punctuation.
Checks for correctness: the revision is clearly a question, preserves the intended meaning, and uses correct capitalization and a question mark.</t>
  </si>
  <si>
    <t>alphawrite-sentences-i-change-sentence-type</t>
  </si>
  <si>
    <t>Change the Sentence Type</t>
  </si>
  <si>
    <r>
      <rPr>
        <rFont val="Arial"/>
        <color rgb="FF0000FF"/>
        <u/>
      </rPr>
      <t>https://alphawrite.alpha.school/practice/3/2/change-sentence-type</t>
    </r>
  </si>
  <si>
    <t>Student task: Rewrite a sentence as a different sentence type (e.g., turn a statement into a question or command) while keeping the core meaning/topic.
Student produces: a revised sentence in the requested type with correct punctuation.
Skills taught: manipulate sentence structure for purpose; use correct punctuation for each type; maintain meaning while revising.
Checks for correctness: revised sentence matches the requested type (structure + punctuation) and still communicates the intended idea.</t>
  </si>
  <si>
    <t>alphawrite-sentences-i-use-sentence-types</t>
  </si>
  <si>
    <t>Write the Sentence Type</t>
  </si>
  <si>
    <r>
      <rPr>
        <rFont val="Arial"/>
        <color rgb="FF0000FF"/>
        <u/>
      </rPr>
      <t>https://alphawrite.alpha.school/practice/3/2/write-sentence-type</t>
    </r>
  </si>
  <si>
    <t>Student task: Given a topic word/idea, write one example of each sentence type: statement, question, command, and exclamation.
Student produces: four sentences, each correctly labeled or clearly showing its type.
Skills taught: generate varied sentence types on purpose; control punctuation and structure; expand ideas within constraints.
Checks for correctness: each sentence matches its type (purpose + punctuation) and is a complete, grammatically correct sentence.</t>
  </si>
  <si>
    <t>alphawrite-sentences-i-write-sentence-about-picture</t>
  </si>
  <si>
    <t>Write Questions About a Picture</t>
  </si>
  <si>
    <r>
      <rPr>
        <rFont val="Arial"/>
        <color rgb="FF0000FF"/>
        <u/>
      </rPr>
      <t>https://alphawrite.alpha.school/practice/3/2/write-sentence-about-picture</t>
    </r>
  </si>
  <si>
    <t>Student task: Examine a picture and generate thoughtful questions using question words (who/what/when/where/why/how).
Student produces: one or more well-formed questions that relate to what is visible or implied in the image.
Skills taught: question formation; observation and inference; using WH-words; capitalization and question marks.
Checks for correctness: each question is grammatical, clearly refers to the image, and is punctuated correctly.</t>
  </si>
  <si>
    <t>alphawrite-sentences-i-basic-conjunctions</t>
  </si>
  <si>
    <t>Because, But, So</t>
  </si>
  <si>
    <t>https://alphawrite.alpha.school/practice/3/2/basic-conjunctions</t>
  </si>
  <si>
    <t>Student task: Complete a sentence stem three different ways using the conjunctions because, but, and so.
Student produces: three complete sentences: (1) cause/reason (because), (2) contrast/complication (but), (3) result/consequence (so).
Skills taught: express logical relationships (cause, contrast, result); write complex/compound sentences; use commas appropriately with conjunctions.
Checks for correctness: each conjunction creates the intended logical relationship and the sentence is complete and correctly punctuated.</t>
  </si>
  <si>
    <t>alphawrite-sentences-i-identify-appositives</t>
  </si>
  <si>
    <t>Identify Appositives</t>
  </si>
  <si>
    <r>
      <rPr>
        <rFont val="Arial"/>
        <color rgb="FF0000FF"/>
        <u/>
      </rPr>
      <t>https://alphawrite.alpha.school/practice/3/2/identify-appositives</t>
    </r>
  </si>
  <si>
    <t>Student task: Find the appositive (a noun or noun phrase that renames another noun) in a sentence/short text and mark where commas should go.
Student produces: the identified appositive and a corrected sentence with proper comma punctuation (if missing).
Skills taught: recognize renaming phrases; punctuate nonessential appositives with commas; read for grammatical structure.
Checks for correctness: appositive correctly renames a noun and commas accurately set it off when nonessential.</t>
  </si>
  <si>
    <t>alphawrite-sentences-i-write-appositives</t>
  </si>
  <si>
    <t>Write Appositives</t>
  </si>
  <si>
    <r>
      <rPr>
        <rFont val="Arial"/>
        <color rgb="FF0000FF"/>
        <u/>
      </rPr>
      <t>https://alphawrite.alpha.school/practice/3/2/write-appositives</t>
    </r>
  </si>
  <si>
    <t>Student task: Add an appositive phrase to a sentence to provide extra information about a noun.
Student produces: an expanded sentence that includes a correctly punctuated appositive.
Skills taught: sentence expansion for precision/detail; appositive structure; comma rules for nonessential information.
Checks for correctness: appositive clearly renames the noun and commas (or no commas, if essential) are used correctly.</t>
  </si>
  <si>
    <t>alphawrite-sentences-i-subordinating-conjunctions</t>
  </si>
  <si>
    <t>Complete Subordinative Conjunctions</t>
  </si>
  <si>
    <t>https://alphawrite.alpha.school/practice/3/2/subordinating-conjunctions</t>
  </si>
  <si>
    <t>Student task: Use a subordinating conjunction (e.g., although, since, when, because, if) to complete a sentence so it becomes a logical complex sentence.
Student produces: a complete complex sentence with a dependent clause + independent clause.
Skills taught: connect ideas with subordinate clauses; choose conjunctions that match meaning (time/cause/condition/contrast); comma rules for dependent clauses.
Checks for correctness: sentence includes both clauses, meaning is logical, and punctuation is correct for the clause order.</t>
  </si>
  <si>
    <t>alphawrite-sentences-i-combine-sentences</t>
  </si>
  <si>
    <t>Combine Sentences</t>
  </si>
  <si>
    <t>https://alphawrite.alpha.school/practice/3/2/combine-sentences</t>
  </si>
  <si>
    <t>Student task: Combine two or more related sentences into one stronger sentence without losing meaning.
Student produces: one combined sentence (often using conjunctions, embedding, or other combining techniques) with correct punctuation.
Skills taught: sentence combining to show relationships; avoid run-ons and fragments; punctuation with conjunctions/clauses; vary sentence structure.
Checks for correctness: combined sentence is grammatical, preserves all key information, and uses punctuation appropriately.</t>
  </si>
  <si>
    <t>alphawrite-sentences-i-kernel-expansion</t>
  </si>
  <si>
    <t>Kernel Expansion</t>
  </si>
  <si>
    <r>
      <rPr>
        <rFont val="Arial"/>
        <color rgb="FF0000FF"/>
        <u/>
      </rPr>
      <t>https://alphawrite.alpha.school/practice/3/2/kernel-expansion</t>
    </r>
  </si>
  <si>
    <t>Student task: Start with a short “kernel” sentence and expand it by adding modifiers (adjectives/adverbs), prepositional phrases, appositives, or clauses.
Student produces: a longer sentence that keeps the original core meaning but adds specific details.
Skills taught: sentence expansion; adding who/what/when/where/why/how details; maintaining grammatical agreement while elaborating.
Checks for correctness: expanded sentence remains a single coherent sentence, the added details are relevant, and conventions are correct.</t>
  </si>
  <si>
    <t>alphawrite-sentences-i-write-sentence-from-prompt</t>
  </si>
  <si>
    <t>Write Sentence from a Prompt</t>
  </si>
  <si>
    <t>3.2.WRITE_SENTENCE_FROM_PROMPT</t>
  </si>
  <si>
    <t>https://alphawrite.alpha.school/practice/3/2/write-sentence-from-prompt</t>
  </si>
  <si>
    <t>Student task: Answer a prompt with one complete sentence.
Student produces: a single sentence that directly answers and includes a reason/example when required.
Skills taught: writing complete sentences; clarity and concision; basic reasoning in one sentence; conventions.
Checks for correctness: sentence is complete (subject + verb), answers the prompt, and is punctuated/capitalized correctly.</t>
  </si>
  <si>
    <t>alphawrite-sentences-i-combine-sentences-with-appositives</t>
  </si>
  <si>
    <t>Combine Sentences with Appositives</t>
  </si>
  <si>
    <t>3.2.COMBINE_SENTENCES_WITH_APPOSITIVES</t>
  </si>
  <si>
    <t>https://alphawrite.alpha.school/practice/3/2/combine-sentences-with-appositives</t>
  </si>
  <si>
    <t>Student task: Combine two related sentences by turning one sentence’s information into an appositive phrase embedded in the other.
Student produces: one sentence containing a correctly punctuated appositive that incorporates the second sentence’s information.
Skills taught: appositive-based sentence combining; concision; comma rules for appositives; integrating facts smoothly.
Checks for correctness: appositive accurately renames a noun from the main clause and commas are correct.</t>
  </si>
  <si>
    <t>alphawrite-paragraphs-g3-identify-topic-sentence</t>
  </si>
  <si>
    <t>Identify Topic Sentences</t>
  </si>
  <si>
    <t>Paragraphs G3</t>
  </si>
  <si>
    <t>https://alphawrite.alpha.school/practice/3/2/identify-topic-sentence</t>
  </si>
  <si>
    <t>Student task: Read a paragraph and identify the topic sentence (the sentence that states the main idea).
Student produces: the selected topic sentence (and may explain why other sentences are supporting details).
Skills taught: distinguish main idea vs supporting detail; evaluate paragraph focus; recognize topic-sentence features.
Checks for correctness: chosen sentence captures the paragraph’s overall point and the remaining sentences support it.</t>
  </si>
  <si>
    <t>alphawrite-paragraphs-g3-topic-brainstorm</t>
  </si>
  <si>
    <t>Topic Brainstorm</t>
  </si>
  <si>
    <t>https://alphawrite.alpha.school/practice/3/2/topic-brainstorm</t>
  </si>
  <si>
    <t>Student task: Generate multiple ideas/details for a topic and sort them into usable categories for a paragraph.
Student produces: a brainstorm list (ideas/facts/examples) and/or grouped categories that could become paragraph details.
Skills taught: idea generation; selecting relevant details; grouping related information to prepare for outlining.
Checks for correctness: ideas are on-topic, specific (not vague), and can be grouped into logical categories.</t>
  </si>
  <si>
    <t>alphawrite-paragraphs-g3-identify-topic-sentence-and-sequence-details</t>
  </si>
  <si>
    <t>Identify Topic Sentence and Sequence Details</t>
  </si>
  <si>
    <t>https://alphawrite.alpha.school/practice/3/2/identify-ts-and-sequence-details</t>
  </si>
  <si>
    <t>Student task: Choose the best topic sentence for a set of details, then place the supporting details in a logical order and remove any irrelevant detail.
Student produces: (1) selected topic sentence, (2) numbered/ordered details, (3) any crossed-out irrelevant detail.
Skills taught: main-idea identification; sequencing for coherence (time, steps, cause/effect); paragraph unity.
Checks for correctness: ordered details build the idea step-by-step and every kept detail supports the chosen topic sentence.</t>
  </si>
  <si>
    <t>alphawrite-paragraphs-g3-eliminate-irrelevant-sentences</t>
  </si>
  <si>
    <t>Eliminate Irrelevant Sentences</t>
  </si>
  <si>
    <t>https://alphawrite.alpha.school/practice/3/2/eliminate-irrelevant-sentences</t>
  </si>
  <si>
    <t>Student task: Read a paragraph and identify which sentence(s) do not support the topic sentence; remove or revise them to improve unity.
Student produces: the paragraph with irrelevant sentence(s) crossed out or rewritten.
Skills taught: paragraph unity; relevance; editing for focus; distinguishing main idea vs off-topic information.
Checks for correctness: remaining sentences all support the topic sentence and the paragraph stays coherent.</t>
  </si>
  <si>
    <t>alphawrite-paragraphs-g3-write-ts-from-details</t>
  </si>
  <si>
    <t>Write Topic Sentences from Details</t>
  </si>
  <si>
    <t>3.2.WRITE_TS_FROM_DETAILS</t>
  </si>
  <si>
    <t>https://alphawrite.alpha.school/practice/3/2/write-ts-from-details</t>
  </si>
  <si>
    <t>Student task: Read a list of related details and write one topic sentence that encompasses all of them.
Student produces: a single, concise topic sentence that unifies the provided details.
Skills taught: synthesis; writing main ideas; concision and generalization (not too narrow, not too vague).
Checks for correctness: topic sentence covers every detail without naming just one detail and sets up a focused paragraph.</t>
  </si>
  <si>
    <t>alphawrite-paragraphs-g3-write-cs-from-details</t>
  </si>
  <si>
    <t>Write Concluding Sentences from Details</t>
  </si>
  <si>
    <t>3.2.WRITE_CS_FROM_DETAILS</t>
  </si>
  <si>
    <t>https://alphawrite.alpha.school/practice/3/2/write-cs-from-details</t>
  </si>
  <si>
    <t>Student task: Read a list of related details and write one concluding sentence that encompasses all of them.
Student produces: a single, concise concluding sentence that unifies the provided details.
Skills taught: synthesis; writing main ideas; concision and generalization (not too narrow, not too vague).
Checks for correctness: concluding sentence covers every detail without naming just one detail and concludes a focused paragraph.</t>
  </si>
  <si>
    <t>alphawrite-paragraphs-g3-make-topic-sentences</t>
  </si>
  <si>
    <t>Make Topic Sentences</t>
  </si>
  <si>
    <t>https://alphawrite.alpha.school/practice/3/2/make-topic-sentences</t>
  </si>
  <si>
    <t>alphawrite-paragraphs-g3-use-three-strategies-resource</t>
  </si>
  <si>
    <t>Use Three Strategies</t>
  </si>
  <si>
    <t>3.2.USE_THREE_STRATEGIES</t>
  </si>
  <si>
    <t>https://alphawrite.alpha.school/practice/3/2/use-three-strategies</t>
  </si>
  <si>
    <t>Student task: Read a short paragraph and change the topic sentence using one of three strategies: change the sentence type, add an appositive, use a subordinating conjunction.
Student produces: One revised topic sentence that matches the context of the paragraph and executes on the instructed sentence strategy accurately.
Skills taught: synthesis: writing main ideas, using one of the thee identified sentence transformation strategies.
Checks for correctness: Topic sentence matches the paragraph and original topic sentence, the identified strategy is correctly employed.</t>
  </si>
  <si>
    <t>alphawrite-paragraphs-g3-turn-paragraph-into-spo</t>
  </si>
  <si>
    <t>Turn Paragraph into Single Paragraph Outline</t>
  </si>
  <si>
    <t>https://alphawrite.alpha.school/practice/3/2/turn-paragraph-into-spo</t>
  </si>
  <si>
    <t>Student task: Convert a paragraph into a Single-Paragraph Outline (SPO) by extracting the topic sentence, listing key supporting details, and identifying a concluding sentence.
Student produces: an SPO with labeled parts (Topic Sentence; Detail 1/2/3…; Conclusion).
Skills taught: summarize and chunk information; identify main idea and supporting details; prepare for planning/revision.
Checks for correctness: outline captures the paragraph’s key points without copying unnecessary wording and keeps the original logical order.</t>
  </si>
  <si>
    <t>alphawrite-paragraphs-g3-using-transition-words</t>
  </si>
  <si>
    <t>Using Transition Words</t>
  </si>
  <si>
    <t>https://alphawrite.alpha.school/practice/3/2/using-transition-words</t>
  </si>
  <si>
    <t>Student task: Choose and insert transition words/phrases that best show the relationship between sentences/ideas (e.g., addition, contrast, cause/effect, time).
Student produces: a revised sentence or paragraph with appropriate transitions inserted.
Skills taught: cohesion; signaling relationships between ideas; selecting transitions based on meaning (not just variety).
Checks for correctness: each transition accurately reflects the relationship and improves clarity and flow.</t>
  </si>
  <si>
    <t>alphawrite-paragraphs-g3-write-paragraph-from-prompt</t>
  </si>
  <si>
    <t>Write a Paragraph from Prompt</t>
  </si>
  <si>
    <t>3.2.WRITE_PARAGRAPH_FROM_PROMPT</t>
  </si>
  <si>
    <t>https://alphawrite.alpha.school/practice/3/2/write-paragraph-from-prompt</t>
  </si>
  <si>
    <t>Student task: Respond to a writing prompt by composing a single, focused paragraph in your own words.
Student produces: one paragraph that answers the prompt and includes supporting reasons/examples.
Skills taught: prompt comprehension; writing a topic sentence that answers; adding relevant supporting details in your own words; basic organization.
Checks for correctness: paragraph directly addresses the prompt, includes multiple supporting details, and maintains a clear focus in your own words.</t>
  </si>
  <si>
    <t>alphawrite-sentences-ii-fragment-or-sentence</t>
  </si>
  <si>
    <t>Sentences G4</t>
  </si>
  <si>
    <r>
      <rPr>
        <rFont val="Arial"/>
        <color rgb="FF0000FF"/>
        <u/>
      </rPr>
      <t>https://alphawrite.alpha.school/practice/4/2/fragment-or-sentence</t>
    </r>
  </si>
  <si>
    <t>alphawrite-sentences-ii-unscramble-sentences</t>
  </si>
  <si>
    <r>
      <rPr>
        <rFont val="Arial"/>
        <color rgb="FF0000FF"/>
        <u/>
      </rPr>
      <t>https://alphawrite.alpha.school/practice/4/2/unscramble-sentences</t>
    </r>
  </si>
  <si>
    <t>alphawrite-sentences-ii-identify-sentence-type</t>
  </si>
  <si>
    <r>
      <rPr>
        <rFont val="Arial"/>
        <color rgb="FF0000FF"/>
        <u/>
      </rPr>
      <t>https://alphawrite.alpha.school/practice/4/2/identify-sentence-type</t>
    </r>
  </si>
  <si>
    <t>alphawrite-sentences-ii-change-sentence-to-question</t>
  </si>
  <si>
    <t>4.2.CHANGE_SENTENCE_INTO_QUESTION</t>
  </si>
  <si>
    <t>https://alphawrite.alpha.school/practice/4/2/change-sentence-into-question</t>
  </si>
  <si>
    <t>alphawrite-sentences-ii-change-sentence-type</t>
  </si>
  <si>
    <r>
      <rPr>
        <rFont val="Arial"/>
        <color rgb="FF0000FF"/>
        <u/>
      </rPr>
      <t>https://alphawrite.alpha.school/practice/4/2/change-sentence-type</t>
    </r>
  </si>
  <si>
    <t>alphawrite-sentences-ii-use-sentence-types</t>
  </si>
  <si>
    <r>
      <rPr>
        <rFont val="Arial"/>
        <color rgb="FF0000FF"/>
        <u/>
      </rPr>
      <t>https://alphawrite.alpha.school/practice/4/2/write-sentence-type</t>
    </r>
  </si>
  <si>
    <t>alphawrite-sentences-ii-write-sentence-about-picture</t>
  </si>
  <si>
    <r>
      <rPr>
        <rFont val="Arial"/>
        <color rgb="FF0000FF"/>
        <u/>
      </rPr>
      <t>https://alphawrite.alpha.school/practice/4/2/write-sentence-about-picture</t>
    </r>
  </si>
  <si>
    <t>alphawrite-sentences-ii-basic-conjunctions</t>
  </si>
  <si>
    <r>
      <rPr>
        <rFont val="Arial"/>
        <color rgb="FF0000FF"/>
        <u/>
      </rPr>
      <t>https://alphawrite.alpha.school/practice/4/2/basic-conjunctions</t>
    </r>
  </si>
  <si>
    <t>alphawrite-sentences-ii-identify-appositives</t>
  </si>
  <si>
    <r>
      <rPr>
        <rFont val="Arial"/>
        <color rgb="FF0000FF"/>
        <u/>
      </rPr>
      <t>https://alphawrite.alpha.school/practice/4/2/identify-appositives</t>
    </r>
  </si>
  <si>
    <t>alphawrite-sentences-ii-write-appositives</t>
  </si>
  <si>
    <r>
      <rPr>
        <rFont val="Arial"/>
        <color rgb="FF0000FF"/>
        <u/>
      </rPr>
      <t>https://alphawrite.alpha.school/practice/4/2/write-appositives</t>
    </r>
  </si>
  <si>
    <t>alphawrite-sentences-ii-subordinating-conjunctions</t>
  </si>
  <si>
    <t>Complete Subordinating Conjunctions</t>
  </si>
  <si>
    <r>
      <rPr>
        <rFont val="Arial"/>
        <color rgb="FF0000FF"/>
        <u/>
      </rPr>
      <t>https://alphawrite.alpha.school/practice/4/2/subordinating-conjunctions</t>
    </r>
  </si>
  <si>
    <t>alphawrite-sentences-ii-combine-sentences</t>
  </si>
  <si>
    <r>
      <rPr>
        <rFont val="Arial"/>
        <color rgb="FF0000FF"/>
        <u/>
      </rPr>
      <t>https://alphawrite.alpha.school/practice/4/2/combine-sentences</t>
    </r>
  </si>
  <si>
    <t>alphawrite-sentences-ii-kernel-expansion</t>
  </si>
  <si>
    <r>
      <rPr>
        <rFont val="Arial"/>
        <color rgb="FF0000FF"/>
        <u/>
      </rPr>
      <t>https://alphawrite.alpha.school/practice/4/2/kernel-expansion</t>
    </r>
  </si>
  <si>
    <t>alphawrite-sentences-ii-write-sentence-from-prompt</t>
  </si>
  <si>
    <t>4.2.WRITE_SENTENCE_FROM_PROMPT</t>
  </si>
  <si>
    <t>https://alphawrite.alpha.school/practice/4/2/write-sentence-from-prompt</t>
  </si>
  <si>
    <t>alphawrite-sentences-ii-combine-sentences-with-appositives</t>
  </si>
  <si>
    <t>4.2.COMBINE_SENTENCES_WITH_APPOSITIVES</t>
  </si>
  <si>
    <t>https://alphawrite.alpha.school/practice/4/2/combine-sentences-with-appositives</t>
  </si>
  <si>
    <t>alphawrite-paragraphs-i-identify-topic-sentence</t>
  </si>
  <si>
    <t>Paragraphs G4</t>
  </si>
  <si>
    <t>https://alphawrite.alpha.school/practice/4/2/identify-topic-sentence</t>
  </si>
  <si>
    <t>alphawrite-paragraphs-i-topic-brainstorm</t>
  </si>
  <si>
    <t>https://alphawrite.alpha.school/practice/4/2/topic-brainstorm</t>
  </si>
  <si>
    <t>alphawrite-paragraphs-i-identify-topic-sentence-and-sequence-details</t>
  </si>
  <si>
    <t>4.2.IDENTIFY_TS_AND_SEQUENCE_DETAILS</t>
  </si>
  <si>
    <t>http://alphawrite.alpha.school/practice/4/2/identify-ts-and-sequence-details</t>
  </si>
  <si>
    <t>alphawrite-paragraphs-i-eliminate-irrelevant-sentences</t>
  </si>
  <si>
    <t>https://alphawrite.alpha.school/practice/4/2/eliminate-irrelevant-sentences</t>
  </si>
  <si>
    <t>alphawrite-paragraphs-i-write-ts-from-details</t>
  </si>
  <si>
    <t>4.2.WRITE_TS_FROM_DETAILS</t>
  </si>
  <si>
    <t>https://alphawrite.alpha.school/practice/4/2/write-ts-from-details</t>
  </si>
  <si>
    <t>alphawrite-paragraphs-i-write-cs-from-details</t>
  </si>
  <si>
    <t>4.2.WRITE_CS_FROM_DETAILS</t>
  </si>
  <si>
    <t>https://alphawrite.alpha.school/practice/4/2/write-cs-from-details</t>
  </si>
  <si>
    <t>alphawrite-paragraphs-i-make-topic-sentences</t>
  </si>
  <si>
    <t>https://alphawrite.alpha.school/practice/4/2/make-topic-sentences</t>
  </si>
  <si>
    <t>alphawrite-paragraphs-i-use-three-strategies-resource</t>
  </si>
  <si>
    <t>4.2.USE_THREE_STRATEGIES</t>
  </si>
  <si>
    <t>https://alphawrite.alpha.school/practice/4/2/use-three-strategies</t>
  </si>
  <si>
    <t>alphawrite-paragraphs-i-turn-paragraph-into-spo</t>
  </si>
  <si>
    <t>https://alphawrite.alpha.school/practice/4/2/turn-paragraph-into-spo</t>
  </si>
  <si>
    <t>alphawrite-paragraphs-i-writing-spos</t>
  </si>
  <si>
    <t>Writing Single Paragraph Outlines</t>
  </si>
  <si>
    <t>https://alphawrite.alpha.school/practice/4/2/writing-spos</t>
  </si>
  <si>
    <t>Student task: Create a Single-Paragraph Outline (SPO) from notes or a prompt before drafting.
Student produces: an SPO containing (1) a topic sentence, (2) grouped supporting details (often 2–4 categories with bullets), and (3) a concluding sentence.
Skills taught: planning; organizing details into categories; writing clear main ideas; setting up a coherent paragraph structure.
Checks for correctness: all details support the topic sentence, categories make sense, and the conclusion wraps up without simply repeating the topic sentence.</t>
  </si>
  <si>
    <t>alphawrite-paragraphs-i-turn-outline-into-draft</t>
  </si>
  <si>
    <t>Turn Outline into Draft</t>
  </si>
  <si>
    <t>https://alphawrite.alpha.school/practice/4/2/turn-outline-into-draft</t>
  </si>
  <si>
    <t>Student task: Turn a completed SPO into a coherent paragraph by expanding each outline bullet into full sentences and adding transitions.
Student produces: a draft paragraph with a clear topic sentence, logically ordered supporting sentences, and a concluding sentence.
Skills taught: drafting from a plan; expanding notes into sentences; cohesion with transitions; maintaining unity.
Checks for correctness: every outline point is expanded, transitions clarify relationships, and the paragraph stays focused on the topic sentence.</t>
  </si>
  <si>
    <t>alphawrite-paragraphs-i-elaborate-paragraphs</t>
  </si>
  <si>
    <t>Elaborate on Paragraphs</t>
  </si>
  <si>
    <t>4.2.ELABORATE_PARAGRAPHS</t>
  </si>
  <si>
    <t>https://alphawrite.alpha.school/practice/4/2/elaborate-paragraphs</t>
  </si>
  <si>
    <t>Student task: Improve a draft paragraph by adding specific elaboration (facts, examples, definitions, or explanations) to strengthen weak or thin details.
Student produces: a revised paragraph with added/expanded supporting sentences.
Skills taught: elaboration and evidence; precision and specificity; maintaining focus while adding detail.
Checks for correctness: added material is relevant, specific, and strengthens the main idea without introducing off-topic information.</t>
  </si>
  <si>
    <t>alphawrite-paragraphs-i-using-transition-words</t>
  </si>
  <si>
    <t>https://alphawrite.alpha.school/practice/4/2/using-transition-words</t>
  </si>
  <si>
    <t>alphawrite-paragraphs-i-finishing-transition-words</t>
  </si>
  <si>
    <t>Finishing Transition Words</t>
  </si>
  <si>
    <t>https://alphawrite.alpha.school/practice/4/2/finishing-transition-words</t>
  </si>
  <si>
    <t>Student task: Complete partially given transition phrases in context (e.g., “In contrast, …”, “As a result, …”) so the paragraph reads logically.
Student produces: completed transition words/phrases that fit each blank.
Skills taught: transition-word families; context-sensitive word choice; maintaining logical connections.
Checks for correctness: completed phrase is a real transition, fits the meaning, and keeps the paragraph coherent.</t>
  </si>
  <si>
    <t>alphawrite-paragraphs-i-write-paragraph-from-prompt</t>
  </si>
  <si>
    <t>4.2.WRITE_PARAGRAPH_FROM_PROMPT</t>
  </si>
  <si>
    <t>https://alphawrite.alpha.school/practice/4/2/write-paragraph-from-prompt</t>
  </si>
  <si>
    <t>Student task: Respond to a writing prompt by composing a single, focused paragraph.
Student produces: one paragraph that answers the prompt and includes supporting reasons/examples.
Skills taught: prompt comprehension; writing a topic sentence that answers; adding relevant supporting details; basic organization.
Checks for correctness: paragraph directly addresses the prompt, includes multiple supporting details, and maintains a clear focus.</t>
  </si>
  <si>
    <t>alphawrite-paragraphs-i-write-freeform-paragraph</t>
  </si>
  <si>
    <t>Write a Free-Form Paragraph</t>
  </si>
  <si>
    <t>https://alphawrite.alpha.school/practice/4/2/write-freeform-paragraph</t>
  </si>
  <si>
    <t>Student task: Write a paragraph on a given topic without a provided outline, using a clear topic sentence, multiple supporting details, and a conclusion.
Student produces: one complete paragraph.
Skills taught: paragraph structure (TS → details → CS); staying on-topic; using complete sentences and basic cohesion.
Checks for correctness: topic sentence states the main idea, each detail supports it, and the paragraph ends with a concluding sentence.</t>
  </si>
  <si>
    <t>alphawrite-sentences-iii-fragment-or-sentence</t>
  </si>
  <si>
    <t>Sentences G5</t>
  </si>
  <si>
    <r>
      <rPr>
        <rFont val="Arial"/>
        <color rgb="FF0000FF"/>
        <u/>
      </rPr>
      <t>https://alphawrite.alpha.school/practice/5/2/fragment-or-sentence</t>
    </r>
  </si>
  <si>
    <t>alphawrite-sentences-iii-unscramble-sentences</t>
  </si>
  <si>
    <r>
      <rPr>
        <rFont val="Arial"/>
        <color rgb="FF0000FF"/>
        <u/>
      </rPr>
      <t>https://alphawrite.alpha.school/practice/5/2/unscramble-sentences</t>
    </r>
  </si>
  <si>
    <t>alphawrite-sentences-iii-identify-sentence-type</t>
  </si>
  <si>
    <r>
      <rPr>
        <rFont val="Arial"/>
        <color rgb="FF0000FF"/>
        <u/>
      </rPr>
      <t>https://alphawrite.alpha.school/practice/5/2/identify-sentence-type</t>
    </r>
  </si>
  <si>
    <t>alphawrite-sentences-iii-change-sentence-to-question</t>
  </si>
  <si>
    <t>5.2.CHANGE_SENTENCE_INTO_QUESTION</t>
  </si>
  <si>
    <t>https://alphawrite.alpha.school/practice/5/2/change-sentence-into-question</t>
  </si>
  <si>
    <t>alphawrite-sentences-iii-change-sentence-type</t>
  </si>
  <si>
    <r>
      <rPr>
        <rFont val="Arial"/>
        <color rgb="FF0000FF"/>
        <u/>
      </rPr>
      <t>https://alphawrite.alpha.school/practice/5/2/change-sentence-type</t>
    </r>
  </si>
  <si>
    <t>alphawrite-sentences-iii-use-sentence-types</t>
  </si>
  <si>
    <r>
      <rPr>
        <rFont val="Arial"/>
        <color rgb="FF0000FF"/>
        <u/>
      </rPr>
      <t>https://alphawrite.alpha.school/practice/5/2/write-sentence-type</t>
    </r>
  </si>
  <si>
    <t>alphawrite-sentences-iii-write-sentence-about-picture</t>
  </si>
  <si>
    <r>
      <rPr>
        <rFont val="Arial"/>
        <color rgb="FF0000FF"/>
        <u/>
      </rPr>
      <t>https://alphawrite.alpha.school/practice/5/2/write-sentence-about-picture</t>
    </r>
  </si>
  <si>
    <t>alphawrite-sentences-iii-basic-conjunctions</t>
  </si>
  <si>
    <r>
      <rPr>
        <rFont val="Arial"/>
        <color rgb="FF0000FF"/>
        <u/>
      </rPr>
      <t>https://alphawrite.alpha.school/practice/5/2/basic-conjunctions</t>
    </r>
  </si>
  <si>
    <t>alphawrite-sentences-iii-identify-appositives</t>
  </si>
  <si>
    <r>
      <rPr>
        <rFont val="Arial"/>
        <color rgb="FF0000FF"/>
        <u/>
      </rPr>
      <t>https://alphawrite.alpha.school/practice/5/2/identify-appositives</t>
    </r>
  </si>
  <si>
    <t>alphawrite-sentences-iii-write-appositives</t>
  </si>
  <si>
    <r>
      <rPr>
        <rFont val="Arial"/>
        <color rgb="FF0000FF"/>
        <u/>
      </rPr>
      <t>https://alphawrite.alpha.school/practice/5/2/write-appositives</t>
    </r>
  </si>
  <si>
    <t>alphawrite-sentences-iii-subordinating-conjunctions</t>
  </si>
  <si>
    <r>
      <rPr>
        <rFont val="Arial"/>
        <color rgb="FF0000FF"/>
        <u/>
      </rPr>
      <t>https://alphawrite.alpha.school/practice/5/2/subordinating-conjunctions</t>
    </r>
  </si>
  <si>
    <t>alphawrite-sentences-iii-combine-sentences</t>
  </si>
  <si>
    <r>
      <rPr>
        <rFont val="Arial"/>
        <color rgb="FF0000FF"/>
        <u/>
      </rPr>
      <t>https://alphawrite.alpha.school/practice/5/2/combine-sentences</t>
    </r>
  </si>
  <si>
    <t>alphawrite-sentences-iii-kernel-expansion</t>
  </si>
  <si>
    <r>
      <rPr>
        <rFont val="Arial"/>
        <color rgb="FF0000FF"/>
        <u/>
      </rPr>
      <t>https://alphawrite.alpha.school/practice/5/2/kernel-expansion</t>
    </r>
  </si>
  <si>
    <t>alphawrite-sentences-iii-write-sentence-from-prompt</t>
  </si>
  <si>
    <t>5.2.WRITE_SENTENCE_FROM_PROMPT</t>
  </si>
  <si>
    <t>https://alphawrite.alpha.school/practice/5/2/write-sentence-from-prompt</t>
  </si>
  <si>
    <t>alphawrite-sentences-iii-combine-sentences-with-appositives</t>
  </si>
  <si>
    <t>5.2.COMBINE_SENTENCES_WITH_APPOSITIVES</t>
  </si>
  <si>
    <t>https://alphawrite.alpha.school/practice/5/2/combine-sentences-with-appositives</t>
  </si>
  <si>
    <t>alphawrite-paragraphs-ii-identify-topic-sentence</t>
  </si>
  <si>
    <t>Paragraphs G5</t>
  </si>
  <si>
    <t>https://alphawrite.alpha.school/practice/5/2/identify-topic-sentence</t>
  </si>
  <si>
    <t>alphawrite-paragraphs-ii-topic-brainstorm</t>
  </si>
  <si>
    <t>https://alphawrite.alpha.school/practice/5/2/topic-brainstorm</t>
  </si>
  <si>
    <t>alphawrite-paragraphs-ii-identify-topic-sentence-and-sequence-details</t>
  </si>
  <si>
    <t>https://alphawrite.alpha.school/practice/5/2/identify-ts-and-sequence-details</t>
  </si>
  <si>
    <t>alphawrite-paragraphs-ii-eliminate-irrelevant-sentences</t>
  </si>
  <si>
    <t>https://alphawrite.alpha.school/practice/5/2/eliminate-irrelevant-sentences</t>
  </si>
  <si>
    <t>alphawrite-paragraphs-ii-write-ts-from-details-resource</t>
  </si>
  <si>
    <t>5.2.WRITE_TS_FROM_DETAILS</t>
  </si>
  <si>
    <t>https://alphawrite.alpha.school/practice/5/2/write-ts-from-details</t>
  </si>
  <si>
    <t>alphawrite-paragraphs-ii-write-cs-from-details-resource</t>
  </si>
  <si>
    <t>5.2.WRITE_CS_FROM_DETAILS</t>
  </si>
  <si>
    <t>https://alphawrite.alpha.school/practice/5/2/write-cs-from-details</t>
  </si>
  <si>
    <t>alphawrite-paragraphs-ii-make-topic-sentences</t>
  </si>
  <si>
    <t>https://alphawrite.alpha.school/practice/5/2/make-topic-sentences</t>
  </si>
  <si>
    <t>alphawrite-paragraphs-ii-use-three-strategies</t>
  </si>
  <si>
    <t>5.2.USE_THREE_STRATEGIES</t>
  </si>
  <si>
    <t>https://alphawrite.alpha.school/practice/5/2/use-three-strategies</t>
  </si>
  <si>
    <t>alphawrite-paragraphs-ii-turn-paragraph-into-spo</t>
  </si>
  <si>
    <t>https://alphawrite.alpha.school/practice/5/2/turn-paragraph-into-spo</t>
  </si>
  <si>
    <t>alphawrite-paragraphs-ii-writing-spos</t>
  </si>
  <si>
    <t>5.2.WRITING_SPOS</t>
  </si>
  <si>
    <t>https://alphawrite.alpha.school/practice/5/2/writing-spos</t>
  </si>
  <si>
    <t>alphawrite-paragraphs-ii-turn-outline-into-draft</t>
  </si>
  <si>
    <t>https://alphawrite.alpha.school/practice/5/2/turn-outline-into-draft</t>
  </si>
  <si>
    <t>alphawrite-paragraphs-ii-elaborate-paragraphs</t>
  </si>
  <si>
    <t>https://alphawrite.alpha.school/practice/5/2/elaborate-paragraphs</t>
  </si>
  <si>
    <t>alphawrite-paragraphs-ii-using-transition-words</t>
  </si>
  <si>
    <t>https://alphawrite.alpha.school/practice/5/2/using-transition-words</t>
  </si>
  <si>
    <t>alphawrite-paragraphs-ii-finishing-transition-words</t>
  </si>
  <si>
    <t>https://alphawrite.alpha.school/practice/5/2/finishing-transition-words</t>
  </si>
  <si>
    <t>alphawrite-paragraphs-ii-write-paragraph-from-prompt</t>
  </si>
  <si>
    <t>5.2.WRITE_PARAGRAPH_FROM_PROMPT</t>
  </si>
  <si>
    <t>https://alphawrite.alpha.school/practice/5/2/write-paragraph-from-prompt</t>
  </si>
  <si>
    <t>alphawrite-paragraphs-ii-write-freeform-paragraph</t>
  </si>
  <si>
    <t>https://alphawrite.alpha.school/practice/5/2/write-freeform-paragraph</t>
  </si>
  <si>
    <t>alphawrite-sentences-g6-fragment-or-sentence</t>
  </si>
  <si>
    <t>6.2.FRAGMENT_OR_SENTENCE</t>
  </si>
  <si>
    <t>Sentences G6</t>
  </si>
  <si>
    <t>https://alphawrite.alpha.school/practice/6/2/fragment-or-sentence</t>
  </si>
  <si>
    <t>alphawrite-sentences-g6-unscramble-sentences</t>
  </si>
  <si>
    <t>6.2.UNSCRAMBLE_SENTENCES</t>
  </si>
  <si>
    <t>https://alphawrite.alpha.school/practice/6/2/unscramble-sentences</t>
  </si>
  <si>
    <t>alphawrite-sentences-g6-identify-sentence-type</t>
  </si>
  <si>
    <t>6.2.IDENTIFY_SENTENCE_TYPE</t>
  </si>
  <si>
    <t>https://alphawrite.alpha.school/practice/6/2/identify-sentence-type</t>
  </si>
  <si>
    <t>alphawrite-sentences-g6-change-sentence-type</t>
  </si>
  <si>
    <t>6.2.CHANGE_SENTENCE_TYPE</t>
  </si>
  <si>
    <t>http://alphawrite.alpha.school/practice/6/2/change-sentence-type</t>
  </si>
  <si>
    <t>alphawrite-sentences-g6-use-sentence-types</t>
  </si>
  <si>
    <t>6.2.USE_SENTENCE_TYPES</t>
  </si>
  <si>
    <t>https://alphawrite.alpha.school/practice/6/2/write-sentence-type</t>
  </si>
  <si>
    <t>alphawrite-sentences-g6-write-sentence-about-picture</t>
  </si>
  <si>
    <t>6.2.WRITE_SENTENCE_ABOUT_PICTURE</t>
  </si>
  <si>
    <t>https://alphawrite.alpha.school/practice/6/2/write-sentence-about-picture</t>
  </si>
  <si>
    <t>alphawrite-sentences-g6-basic-conjunctions</t>
  </si>
  <si>
    <t>6.2.BASIC_CONJUNCTIONS</t>
  </si>
  <si>
    <t>https://alphawrite.alpha.school/practice/6/2/basic-conjunctions</t>
  </si>
  <si>
    <t>alphawrite-sentences-g6-identify-appositives</t>
  </si>
  <si>
    <t>6.2.IDENTIFY_APPOSITIVES</t>
  </si>
  <si>
    <t>https://alphawrite.alpha.school/practice/6/2/identify-appositives</t>
  </si>
  <si>
    <t>alphawrite-sentences-g6-write-appositives</t>
  </si>
  <si>
    <t>6.2.WRITE_APPOSITIVES</t>
  </si>
  <si>
    <t>https://alphawrite.alpha.school/practice/6/2/write-appositives</t>
  </si>
  <si>
    <t>alphawrite-sentences-g6-subordinating-conjunctions</t>
  </si>
  <si>
    <t>6.2.SUBORDINATING_CONJUNCTIONS</t>
  </si>
  <si>
    <t>https://alphawrite.alpha.school/practice/6/2/subordinating-conjunctions</t>
  </si>
  <si>
    <t>alphawrite-sentences-g6-combine-sentences</t>
  </si>
  <si>
    <t>6.2.COMBINE_SENTENCES</t>
  </si>
  <si>
    <t>https://alphawrite.alpha.school/practice/6/2/combine-sentences</t>
  </si>
  <si>
    <t>alphawrite-sentences-g6-kernel-expansion</t>
  </si>
  <si>
    <t>6.2.KERNEL_EXPANSION</t>
  </si>
  <si>
    <t>https://alphawrite.alpha.school/practice/6/2/kernel-expansion</t>
  </si>
  <si>
    <t>alphawrite-paragraphs-iii-identify-topic-sentence</t>
  </si>
  <si>
    <t>Paragraphs G6</t>
  </si>
  <si>
    <t>https://alphawrite.alpha.school/practice/6/2/identify-topic-sentence</t>
  </si>
  <si>
    <t>alphawrite-paragraphs-iii-topic-brainstorm</t>
  </si>
  <si>
    <t>6.2.TOPIC_BRAINSTORM</t>
  </si>
  <si>
    <t>https://alphawrite.alpha.school/practice/6/2/topic-brainstorm</t>
  </si>
  <si>
    <t>alphawrite-paragraphs-iii-identify-topic-sentence-and-sequence-details</t>
  </si>
  <si>
    <t>6.2.IDENTIFY_TS_AND_SEQUENCE_DETAILS</t>
  </si>
  <si>
    <t>https://alphawrite.alpha.school/practice/6/2/identify-ts-and-sequence-details/new</t>
  </si>
  <si>
    <t>alphawrite-paragraphs-iii-eliminate-irrelevant-sentences</t>
  </si>
  <si>
    <t>6.2.ELIMINATE_IRRELEVANT_SENTENCES</t>
  </si>
  <si>
    <t>https://alphawrite.alpha.school/practice/6/2/eliminate-irrelevant-sentences</t>
  </si>
  <si>
    <t>alphawrite-paragraphs-iii-make-topic-sentences</t>
  </si>
  <si>
    <t>6.2.MAKE_TOPIC_SENTENCES</t>
  </si>
  <si>
    <t>https://alphawrite.alpha.school/practice/6/2/make-topic-sentences</t>
  </si>
  <si>
    <t>alphawrite-paragraphs-iii-turn-paragraph-into-spo</t>
  </si>
  <si>
    <t>6.2.TURN_PARAGRAPH_INTO_SPO</t>
  </si>
  <si>
    <t>https://alphawrite.alpha.school/practice/6/2/turn-paragraph-into-spo</t>
  </si>
  <si>
    <t>alphawrite-paragraphs-iii-writing-spos</t>
  </si>
  <si>
    <t>6.2.WRITING_SPOS</t>
  </si>
  <si>
    <t>https://alphawrite.alpha.school/practice/6/2/writing-spos</t>
  </si>
  <si>
    <t>alphawrite-paragraphs-iii-turn-outline-into-draft</t>
  </si>
  <si>
    <t>6.2.TURN_OUTLINE_INTO_DRAFT</t>
  </si>
  <si>
    <t>https://alphawrite.alpha.school/practice/6/2/turn-outline-into-draft</t>
  </si>
  <si>
    <t>alphawrite-paragraphs-iii-elaborate-paragraphs</t>
  </si>
  <si>
    <t>6.2.ELABORATE_PARAGRAPHS</t>
  </si>
  <si>
    <t>https://alphawrite.alpha.school/practice/6/2/elaborate-paragraphs</t>
  </si>
  <si>
    <t>alphawrite-paragraphs-iii-using-transition-words</t>
  </si>
  <si>
    <t>6.2.USING_TRANSITION_WORDS</t>
  </si>
  <si>
    <t>https://alphawrite.alpha.school/practice/6/2/using-transition-words</t>
  </si>
  <si>
    <t>alphawrite-paragraphs-iii-finishing-transition-words</t>
  </si>
  <si>
    <t>6.2.FINISHING_TRANSITION_WORDS</t>
  </si>
  <si>
    <t>https://alphawrite.alpha.school/practice/6/2/finishing-transition-words</t>
  </si>
  <si>
    <t>alphawrite-paragraphs-iii-write-freeform-paragraph</t>
  </si>
  <si>
    <t>6.2.WRITE_FREEFORM_PARAGRAPH</t>
  </si>
  <si>
    <t>https://alphawrite.alpha.school/practice/6/2/write-freeform-paragraph</t>
  </si>
  <si>
    <t>alphawrite-sentences-g7-fragment-or-sentence</t>
  </si>
  <si>
    <t>7.2.FRAGMENT_OR_SENTENCE</t>
  </si>
  <si>
    <t>Sentences G7</t>
  </si>
  <si>
    <t>https://alphawrite.alpha.school/practice/7/2/fragment-or-sentence</t>
  </si>
  <si>
    <t>alphawrite-sentences-g7-unscramble-sentences</t>
  </si>
  <si>
    <t>7.2.UNSCRAMBLE_SENTENCES</t>
  </si>
  <si>
    <t>https://alphawrite.alpha.school/practice/7/2/unscramble-sentences</t>
  </si>
  <si>
    <t>alphawrite-sentences-g7-identify-sentence-type</t>
  </si>
  <si>
    <t>7.2.IDENTIFY_SENTENCE_TYPE</t>
  </si>
  <si>
    <t>https://alphawrite.alpha.school/practice/7/2/identify-sentence-type</t>
  </si>
  <si>
    <t>alphawrite-sentences-g7-change-sentence-type</t>
  </si>
  <si>
    <t>7.2.CHANGE_SENTENCE_TYPE</t>
  </si>
  <si>
    <t>https://alphawrite.alpha.school/practice/7/2/change-sentence-type</t>
  </si>
  <si>
    <t>alphawrite-sentences-g7-use-sentence-types</t>
  </si>
  <si>
    <t>7.2.USE_SENTENCE_TYPES</t>
  </si>
  <si>
    <t>https://alphawrite.alpha.school/practice/7/2/write-sentence-type</t>
  </si>
  <si>
    <t>alphawrite-sentences-g7-write-sentence-about-picture</t>
  </si>
  <si>
    <t>7.2.WRITE_SENTENCE_ABOUT_PICTURE</t>
  </si>
  <si>
    <t>https://alphawrite.alpha.school/practice/7/2/write-sentence-about-picture</t>
  </si>
  <si>
    <t>alphawrite-sentences-g7-basic-conjunctions</t>
  </si>
  <si>
    <t>7.2.BASIC_CONJUNCTIONS</t>
  </si>
  <si>
    <t>https://alphawrite.alpha.school/practice/7/2/basic-conjunctions</t>
  </si>
  <si>
    <t>alphawrite-sentences-g7-identify-appositives</t>
  </si>
  <si>
    <t>7.2.IDENTIFY_APPOSITIVES</t>
  </si>
  <si>
    <t>https://alphawrite.alpha.school/practice/7/2/identify-appositives</t>
  </si>
  <si>
    <t>alphawrite-sentences-g7-write-appositives</t>
  </si>
  <si>
    <t>7.2.WRITE_APPOSITIVES</t>
  </si>
  <si>
    <t>https://alphawrite.alpha.school/practice/7/2/write-appositives</t>
  </si>
  <si>
    <t>alphawrite-sentences-g7-subordinating-conjunctions</t>
  </si>
  <si>
    <t>7.2.SUBORDINATING_CONJUNCTIONS</t>
  </si>
  <si>
    <t>https://alphawrite.alpha.school/practice/7/2/subordinating-conjunctions</t>
  </si>
  <si>
    <t>alphawrite-sentences-g7-combine-sentences</t>
  </si>
  <si>
    <t>7.2.COMBINE_SENTENCES</t>
  </si>
  <si>
    <t>https://alphawrite.alpha.school/practice/7/2/combine-sentences</t>
  </si>
  <si>
    <t>alphawrite-sentences-g7-kernel-expansion</t>
  </si>
  <si>
    <t>7.2.KERNEL_EXPANSION</t>
  </si>
  <si>
    <t>https://alphawrite.alpha.school/practice/7/2/kernel-expansion</t>
  </si>
  <si>
    <t>alphawrite-paragraphs-g7-identify-topic-sentence</t>
  </si>
  <si>
    <t>7.2.IDENTIFY_TOPIC_SENTENCE</t>
  </si>
  <si>
    <t>Paragraphs G7</t>
  </si>
  <si>
    <t>https://alphawrite.alpha.school/practice/7/2/identify-topic-sentence</t>
  </si>
  <si>
    <t>alphawrite-paragraphs-g7-topic-brainstorm</t>
  </si>
  <si>
    <t>https://alphawrite.alpha.school/practice/7/2/topic-brainstorm</t>
  </si>
  <si>
    <t>alphawrite-paragraphs-g7-identify-topic-sentence-and-sequence-details</t>
  </si>
  <si>
    <t>https://alphawrite.alpha.school/practice/7/2/identify-ts-and-sequence-details</t>
  </si>
  <si>
    <t>alphawrite-paragraphs-g7-eliminate-irrelevant-sentences</t>
  </si>
  <si>
    <t>7.2.ELIMINATE_IRRELEVANT_SENTENCES</t>
  </si>
  <si>
    <t>https://alphawrite.alpha.school/practice/7/2/eliminate-irrelevant-sentences</t>
  </si>
  <si>
    <t>alphawrite-paragraphs-g7-make-topic-sentences</t>
  </si>
  <si>
    <t>7.2.MAKE_TOPIC_SENTENCES</t>
  </si>
  <si>
    <t>https://alphawrite.alpha.school/practice/7/2/make-topic-sentences</t>
  </si>
  <si>
    <t>alphawrite-paragraphs-g7-turn-paragraph-into-spo</t>
  </si>
  <si>
    <t>7.2.TURN_PARAGRAPH_INTO_SPO</t>
  </si>
  <si>
    <t>https://alphawrite.alpha.school/practice/7/2/turn-paragraph-into-spo</t>
  </si>
  <si>
    <t>alphawrite-paragraphs-g7-writing-spos</t>
  </si>
  <si>
    <t>7.2.WRITING_SPOS</t>
  </si>
  <si>
    <t>https://alphawrite.alpha.school/practice/7/2/writing-spos</t>
  </si>
  <si>
    <t>alphawrite-paragraphs-g7-turn-outline-into-draft</t>
  </si>
  <si>
    <t>7.2.TURN_OUTLINE_INTO_DRAFT</t>
  </si>
  <si>
    <t>https://alphawrite.alpha.school/practice/7/2/turn-outline-into-draft</t>
  </si>
  <si>
    <t>alphawrite-paragraphs-g7-elaborate-paragraphs</t>
  </si>
  <si>
    <t>7.2.ELABORATE_PARAGRAPHS</t>
  </si>
  <si>
    <t>https://alphawrite.alpha.school/practice/7/2/elaborate-paragraphs</t>
  </si>
  <si>
    <t>alphawrite-paragraphs-g7-using-transition-words</t>
  </si>
  <si>
    <t>7.2.USING_TRANSITION_WORDS</t>
  </si>
  <si>
    <t>https://alphawrite.alpha.school/practice/7/2/using-transition-words</t>
  </si>
  <si>
    <t>alphawrite-paragraphs-g7-finishing-transition-words</t>
  </si>
  <si>
    <t>7.2.FINISHING_TRANSITION_WORDS</t>
  </si>
  <si>
    <t>https://alphawrite.alpha.school/practice/7/2/finishing-transition-words</t>
  </si>
  <si>
    <t>alphawrite-paragraphs-g7-write-freeform-paragraph</t>
  </si>
  <si>
    <t>7.2.WRITE_FREEFORM_PARAGRAPH</t>
  </si>
  <si>
    <t>https://alphawrite.alpha.school/practice/7/2/write-freeform-paragraph</t>
  </si>
  <si>
    <t>alphawrite-sentences-g8-fragment-or-sentence</t>
  </si>
  <si>
    <t>8.2.FRAGMENT_OR_SENTENCE</t>
  </si>
  <si>
    <t>Sentences G8</t>
  </si>
  <si>
    <t>https://alphawrite.alpha.school/practice/8/2/fragment-or-sentence</t>
  </si>
  <si>
    <t>alphawrite-sentences-g8-unscramble-sentences</t>
  </si>
  <si>
    <t>8.2.UNSCRAMBLE_SENTENCES</t>
  </si>
  <si>
    <t>https://alphawrite.alpha.school/practice/8/2/unscramble-sentences</t>
  </si>
  <si>
    <t>alphawrite-sentences-g8-identify-sentence-type</t>
  </si>
  <si>
    <t>8.2.IDENTIFY_SENTENCE_TYPE</t>
  </si>
  <si>
    <t>https://alphawrite.alpha.school/practice/8/2/identify-sentence-type</t>
  </si>
  <si>
    <t>alphawrite-sentences-g8-change-sentence-type</t>
  </si>
  <si>
    <t>8.2.CHANGE_SENTENCE_TYPE</t>
  </si>
  <si>
    <t>https://alphawrite.alpha.school/practice/8/2/change-sentence-type</t>
  </si>
  <si>
    <t>alphawrite-sentences-g8-use-sentence-types</t>
  </si>
  <si>
    <t>8.2.USE_SENTENCE_TYPES</t>
  </si>
  <si>
    <t>https://alphawrite.alpha.school/practice/8/2/write-sentence-type</t>
  </si>
  <si>
    <t>alphawrite-sentences-g8-write-sentence-about-picture</t>
  </si>
  <si>
    <t>8.2.WRITE_SENTENCE_ABOUT_PICTURE</t>
  </si>
  <si>
    <t>https://alphawrite.alpha.school/practice/8/2/write-sentence-about-picture</t>
  </si>
  <si>
    <t>alphawrite-sentences-g8-basic-conjunctions</t>
  </si>
  <si>
    <t>8.2.BASIC_CONJUNCTIONS</t>
  </si>
  <si>
    <t>https://alphawrite.alpha.school/practice/8/2/basic-conjunctions</t>
  </si>
  <si>
    <t>alphawrite-sentences-g8-identify-appositives</t>
  </si>
  <si>
    <t>8.2.IDENTIFY_APPOSITIVES</t>
  </si>
  <si>
    <t>https://alphawrite.alpha.school/practice/8/2/identify-appositives</t>
  </si>
  <si>
    <t>alphawrite-sentences-g8-write-appositives</t>
  </si>
  <si>
    <t>8.2.WRITE_APPOSITIVES</t>
  </si>
  <si>
    <t>https://alphawrite.alpha.school/practice/8/2/write-appositives</t>
  </si>
  <si>
    <t>alphawrite-sentences-g8-subordinating-conjunctions</t>
  </si>
  <si>
    <t>8.2.SUBORDINATING_CONJUNCTIONS</t>
  </si>
  <si>
    <t>https://alphawrite.alpha.school/practice/8/2/subordinating-conjunctions</t>
  </si>
  <si>
    <t>alphawrite-sentences-g8-combine-sentences</t>
  </si>
  <si>
    <t>8.2.COMBINE_SENTENCES</t>
  </si>
  <si>
    <t>https://alphawrite.alpha.school/practice/8/2/combine-sentences</t>
  </si>
  <si>
    <t>alphawrite-sentences-g8-kernel-expansion</t>
  </si>
  <si>
    <t>8.2.KERNEL_EXPANSION</t>
  </si>
  <si>
    <t>https://alphawrite.alpha.school/practice/8/2/kernel-expansion</t>
  </si>
  <si>
    <t>alphawrite-paragraphs-g8-identify-topic-sentence</t>
  </si>
  <si>
    <t>8.2.IDENTIFY_TOPIC_SENTENCE</t>
  </si>
  <si>
    <t>Paragraphs G8</t>
  </si>
  <si>
    <t>https://alphawrite.alpha.school/practice/8/2/identify-topic-sentence</t>
  </si>
  <si>
    <t>alphawrite-paragraphs-g8-topic-brainstorm</t>
  </si>
  <si>
    <t>https://alphawrite.alpha.school/practice/8/2/topic-brainstorm</t>
  </si>
  <si>
    <t>alphawrite-paragraphs-g8-identify-topic-sentence-and-sequence-details</t>
  </si>
  <si>
    <t>https://alphawrite.alpha.school/practice/8/2/identify-ts-and-sequence-details</t>
  </si>
  <si>
    <t>alphawrite-paragraphs-g8-eliminate-irrelevant-sentences</t>
  </si>
  <si>
    <t>8.2.ELIMINATE_IRRELEVANT_SENTENCES</t>
  </si>
  <si>
    <t>https://alphawrite.alpha.school/practice/8/2/eliminate-irrelevant-sentences</t>
  </si>
  <si>
    <t>alphawrite-paragraphs-g8-make-topic-sentences</t>
  </si>
  <si>
    <t>8.2.MAKE_TOPIC_SENTENCES</t>
  </si>
  <si>
    <t>https://alphawrite.alpha.school/practice/8/2/make-topic-sentences</t>
  </si>
  <si>
    <t>alphawrite-paragraphs-g8-turn-paragraph-into-spo</t>
  </si>
  <si>
    <t>8.2.TURN_PARAGRAPH_INTO_SPO</t>
  </si>
  <si>
    <t>https://alphawrite.alpha.school/practice/8/2/turn-paragraph-into-spo</t>
  </si>
  <si>
    <t>alphawrite-paragraphs-g8-writing-spos</t>
  </si>
  <si>
    <t>8.2.WRITING_SPOS</t>
  </si>
  <si>
    <t>https://alphawrite.alpha.school/practice/8/2/writing-spos</t>
  </si>
  <si>
    <t>alphawrite-paragraphs-g8-turn-outline-into-draft</t>
  </si>
  <si>
    <t>8.2.TURN_OUTLINE_INTO_DRAFT</t>
  </si>
  <si>
    <t>https://alphawrite.alpha.school/practice/8/2/turn-outline-into-draft</t>
  </si>
  <si>
    <t>alphawrite-paragraphs-g8-elaborate-paragraphs</t>
  </si>
  <si>
    <t>8.2.ELABORATE_PARAGRAPHS</t>
  </si>
  <si>
    <t>https://alphawrite.alpha.school/practice/8/2/elaborate-paragraphs</t>
  </si>
  <si>
    <t>alphawrite-paragraphs-g8-using-transition-words</t>
  </si>
  <si>
    <t>8.2.USING_TRANSITION_WORDS</t>
  </si>
  <si>
    <t>https://alphawrite.alpha.school/practice/8/2/using-transition-words</t>
  </si>
  <si>
    <t>alphawrite-paragraphs-g8-finishing-transition-words</t>
  </si>
  <si>
    <t>8.2.FINISHING_TRANSITION_WORDS</t>
  </si>
  <si>
    <t>https://alphawrite.alpha.school/practice/8/2/finishing-transition-words</t>
  </si>
  <si>
    <t>alphawrite-paragraphs-g8-write-freeform-paragraph</t>
  </si>
  <si>
    <t>8.2.WRITE_FREEFORM_PARAGRAPH</t>
  </si>
  <si>
    <t>https://alphawrite.alpha.school/practice/8/2/write-freeform-paragraph</t>
  </si>
  <si>
    <t>AW-COMPOSITIONS-G6</t>
  </si>
  <si>
    <t>Essays G6</t>
  </si>
  <si>
    <t>6.2.SETUP</t>
  </si>
  <si>
    <t>alphawrite:compositions:essays-g6:essay-1-ktuc:stage-identify:resource</t>
  </si>
  <si>
    <t>Student task: Prepare for an essay by clarifying the writing situation and gathering content.
Student produces: a clear focus (topic, audience, purpose), key notes/evidence, and/or a plan for what the essay will argue or explain.
Skills taught: analyze prompt; define claim/thesis direction; select relevant evidence; plan before writing to reduce cognitive load.
Checks for correctness: topic and purpose are explicit, notes are relevant, and the planned direction is specific (not broad/vague).</t>
  </si>
  <si>
    <t>6.2.OUTLINE</t>
  </si>
  <si>
    <t>alphawrite:compositions:essays-g6:essay-1-ktuc:stage-outline:resource</t>
  </si>
  <si>
    <t>Student task: Organize ideas into an essay outline before drafting.
Student produces: an outline (e.g., Transition Outline or Multiple-Paragraph Outline) with a thesis/controlling idea, ordered reasons/sections, and planned evidence.
Skills taught: organizational structure; grouping and sequencing ideas; planning topic sentences for paragraphs; aligning evidence to reasons.
Checks for correctness: outline has a clear controlling idea and each planned paragraph supports it with logically ordered points and evidence.</t>
  </si>
  <si>
    <t>6.2.DRAFT</t>
  </si>
  <si>
    <t>alphawrite:compositions:essays-g6:essay-1-ktuc:stage-draft</t>
  </si>
  <si>
    <t>Student task: Write a full essay draft from the outline.
Student produces: a multi-paragraph essay with an introduction, body paragraphs that follow the outline, and a conclusion.
Skills taught: drafting from a plan; paragraph coherence and transitions; integrating evidence/examples; maintaining formal tone.
Checks for correctness: each paragraph matches the outline, includes a clear topic sentence + evidence, and transitions make relationships clear.</t>
  </si>
  <si>
    <t>6.2.REVISE</t>
  </si>
  <si>
    <t>alphawrite:compositions:essays-g6:essay-1-ktuc:stage-revise</t>
  </si>
  <si>
    <t>Student task: Revise an essay for ideas, organization, and clarity (not just spelling).
Student produces: an improved draft with reorganized/expanded/trimmed content as needed.
Skills taught: revision decisions (add/delete/move); strengthen thesis and reasons; improve coherence; ensure evidence supports claims.
Checks for correctness: revisions make the argument/explanation clearer and more logical, with no irrelevant or repetitive parts.</t>
  </si>
  <si>
    <t>6.2.POLISH</t>
  </si>
  <si>
    <t>alphawrite:compositions:essays-g6:essay-1-ktuc:stage-polish:resource</t>
  </si>
  <si>
    <t>Student task: Edit the final draft for conventions and presentation.
Student produces: a polished essay with corrected grammar, spelling, punctuation, and sentence-level errors.
Skills taught: editing and proofreading; fix fragments/run-ons; vary sentence structure; apply standard conventions.
Checks for correctness: writing is error-minimized, formatting is consistent, and sentences are clear and correct.</t>
  </si>
  <si>
    <t>AW-COMPOSITIONS-G7</t>
  </si>
  <si>
    <t>Essays G7</t>
  </si>
  <si>
    <t>7.2.SETUP</t>
  </si>
  <si>
    <t>alphawrite:compositions:essays-g7:essay-1-mzqd:stage-identify:resource</t>
  </si>
  <si>
    <t>7.2.OUTLINE</t>
  </si>
  <si>
    <t>alphawrite:compositions:essays-g7:essay-1-mzqd:stage-outline:resource</t>
  </si>
  <si>
    <t>7.2.DRAFT</t>
  </si>
  <si>
    <t>alphawrite:compositions:essays-g7:essay-1-mzqd:stage-draft:resource</t>
  </si>
  <si>
    <t>7.2.REVISE</t>
  </si>
  <si>
    <t>alphawrite:compositions:essays-g7:essay-1-mzqd:stage-revise:resource</t>
  </si>
  <si>
    <t>7.2.POLISH</t>
  </si>
  <si>
    <t>alphawrite:compositions:essays-g7:essay-1-mzqd:stage-polish:resource</t>
  </si>
  <si>
    <t>AW-COMPOSITIONS-G8</t>
  </si>
  <si>
    <t>Essays G8</t>
  </si>
  <si>
    <t>8.2.SETUP</t>
  </si>
  <si>
    <t>alphawrite:compositions:essays-g8:essay-1-wynq:stage-identify:resource</t>
  </si>
  <si>
    <t>8.2.OUTLINE</t>
  </si>
  <si>
    <t>alphawrite:compositions:essays-g8:essay-1-wynq:stage-outline:resource</t>
  </si>
  <si>
    <t>8.2.DRAFT</t>
  </si>
  <si>
    <t>alphawrite:compositions:essays-g8:essay-1-wynq:stage-revise</t>
  </si>
  <si>
    <t>8.2.REVISE</t>
  </si>
  <si>
    <t>alphawrite:compositions:essays-g8:essay-1-wynq:stage-revise:resource</t>
  </si>
  <si>
    <t>8.2.POLISH</t>
  </si>
  <si>
    <t>alphawrite:compositions:essays-g8:essay-1-wynq:stage-polish:resource</t>
  </si>
  <si>
    <t>code</t>
  </si>
  <si>
    <t>3.2 Fragment or Sentence?</t>
  </si>
  <si>
    <t>easy</t>
  </si>
  <si>
    <t>3.2 Unscramble Sentences</t>
  </si>
  <si>
    <t>3.2 Identify the Sentence Type</t>
  </si>
  <si>
    <t>3.2 Change the Sentence Type</t>
  </si>
  <si>
    <t>3.2 Write the Sentence Type</t>
  </si>
  <si>
    <t>3.2 Write Questions About a Picture</t>
  </si>
  <si>
    <t>3.2 Identify Appositives</t>
  </si>
  <si>
    <t>3.2 Write Appositives</t>
  </si>
  <si>
    <t>3.2 Combine Sentences</t>
  </si>
  <si>
    <t>3.2 Because, But, So</t>
  </si>
  <si>
    <t>3.2 Kernel Expansion</t>
  </si>
  <si>
    <t>3.2 Complete Subordinating Conjunctions</t>
  </si>
  <si>
    <t>3.2 Identify Topic Sentences</t>
  </si>
  <si>
    <t>3.2 Topic Brainstorm</t>
  </si>
  <si>
    <t>3.2 Topic Sentence Matching</t>
  </si>
  <si>
    <t>3.2 Eliminate Irrelevant Sentences</t>
  </si>
  <si>
    <t>3.2 Make Topic Sentences</t>
  </si>
  <si>
    <t>3.2 Using Transition Words</t>
  </si>
  <si>
    <t>3.2 Turn Paragraph into Single Paragraph Outline</t>
  </si>
  <si>
    <t>3.2 Writing Single Paragraph Outlines</t>
  </si>
  <si>
    <t>3.2 Turn Outline into Draft</t>
  </si>
  <si>
    <t>3.2 Elaborate on Paragraphs</t>
  </si>
  <si>
    <t>3.2 Finishing Transition Words</t>
  </si>
  <si>
    <t>3.2.WRITE_FREEFORM_PARAGRAPH</t>
  </si>
  <si>
    <t>3.2 Write a Free-Form Paragraph</t>
  </si>
  <si>
    <t>3.5 Fragment or Sentence?</t>
  </si>
  <si>
    <t>medium</t>
  </si>
  <si>
    <t>3.5 Unscramble Sentences</t>
  </si>
  <si>
    <t>3.5 Identify the Sentence Type</t>
  </si>
  <si>
    <t>3.5 Change the Sentence Type</t>
  </si>
  <si>
    <t>3.5 Write the Sentence Type</t>
  </si>
  <si>
    <t>3.5 Write Questions About a Picture</t>
  </si>
  <si>
    <t>3.5 Identify Appositives</t>
  </si>
  <si>
    <t>3.5 Write Appositives</t>
  </si>
  <si>
    <t>3.5 Combine Sentences</t>
  </si>
  <si>
    <t>3.5 Because, But, So</t>
  </si>
  <si>
    <t>3.5.KERNEL_EXPANSION</t>
  </si>
  <si>
    <t>3.5 Kernel Expansion</t>
  </si>
  <si>
    <t>3.5 Complete Subordinating Conjunctions</t>
  </si>
  <si>
    <t>3.5 Identify Topic Sentences</t>
  </si>
  <si>
    <t>3.5 Topic Brainstorm</t>
  </si>
  <si>
    <t>3.5 Topic Sentence Matching</t>
  </si>
  <si>
    <t>3.5.ELIMINATE_IRRELEVANT_SENTENCES</t>
  </si>
  <si>
    <t>3.5 Eliminate Irrelevant Sentences</t>
  </si>
  <si>
    <t>3.5.MAKE_TOPIC_SENTENCES</t>
  </si>
  <si>
    <t>3.5 Make Topic Sentences</t>
  </si>
  <si>
    <t>3.5 Using Transition Words</t>
  </si>
  <si>
    <t>3.5.TURN_PARAGRAPH_INTO_SPO</t>
  </si>
  <si>
    <t>3.5 Turn Paragraph into Single Paragraph Outline</t>
  </si>
  <si>
    <t>3.5.WRITING_SPOS</t>
  </si>
  <si>
    <t>3.5 Writing Single Paragraph Outlines</t>
  </si>
  <si>
    <t>3.5.TURN_OUTLINE_INTO_DRAFT</t>
  </si>
  <si>
    <t>3.5 Turn Outline into Draft</t>
  </si>
  <si>
    <t>3.5.ELABORATE_PARAGRAPHS</t>
  </si>
  <si>
    <t>3.5 Elaborate on Paragraphs</t>
  </si>
  <si>
    <t>3.5.FINISHING_TRANSITION_WORDS</t>
  </si>
  <si>
    <t>3.5 Finishing Transition Words</t>
  </si>
  <si>
    <t>3.5.WRITE_FREEFORM_PARAGRAPH</t>
  </si>
  <si>
    <t>3.5 Write a Free-Form Paragraph</t>
  </si>
  <si>
    <t>3.8 Fragment or Sentence?</t>
  </si>
  <si>
    <t>hard</t>
  </si>
  <si>
    <t>3.8 Unscramble Sentences</t>
  </si>
  <si>
    <t>3.8 Identify the Sentence Type</t>
  </si>
  <si>
    <t>3.8 Change the Sentence Type</t>
  </si>
  <si>
    <t>3.8 Write the Sentence Type</t>
  </si>
  <si>
    <t>3.8 Write Questions About a Picture</t>
  </si>
  <si>
    <t>3.8 Identify Appositives</t>
  </si>
  <si>
    <t>3.8 Write Appositives</t>
  </si>
  <si>
    <t>3.8 Combine Sentences</t>
  </si>
  <si>
    <t>3.8 Because, But, So</t>
  </si>
  <si>
    <t>3.8.KERNEL_EXPANSION</t>
  </si>
  <si>
    <t>3.8 Kernel Expansion</t>
  </si>
  <si>
    <t>3.8.SUBORDINATING_CONJUNCTIONS</t>
  </si>
  <si>
    <t>3.8 Complete Subordinating Conjunctions</t>
  </si>
  <si>
    <t>3.8 Identify Topic Sentences</t>
  </si>
  <si>
    <t>3.8.TOPIC_BRAINSTORM</t>
  </si>
  <si>
    <t>3.8 Topic Brainstorm</t>
  </si>
  <si>
    <t>3.8.TOPIC_SENTENCE_MATCHING</t>
  </si>
  <si>
    <t>3.8 Topic Sentence Matching</t>
  </si>
  <si>
    <t>3.8.ELIMINATE_IRRELEVANT_SENTENCES</t>
  </si>
  <si>
    <t>3.8 Eliminate Irrelevant Sentences</t>
  </si>
  <si>
    <t>3.8.MAKE_TOPIC_SENTENCES</t>
  </si>
  <si>
    <t>3.8 Make Topic Sentences</t>
  </si>
  <si>
    <t>3.8 Using Transition Words</t>
  </si>
  <si>
    <t>3.8.TURN_PARAGRAPH_INTO_SPO</t>
  </si>
  <si>
    <t>3.8 Turn Paragraph into Single Paragraph Outline</t>
  </si>
  <si>
    <t>3.8.WRITING_SPOS</t>
  </si>
  <si>
    <t>3.8 Writing Single Paragraph Outlines</t>
  </si>
  <si>
    <t>3.8.TURN_OUTLINE_INTO_DRAFT</t>
  </si>
  <si>
    <t>3.8 Turn Outline into Draft</t>
  </si>
  <si>
    <t>3.8.ELABORATE_PARAGRAPHS</t>
  </si>
  <si>
    <t>3.8 Elaborate on Paragraphs</t>
  </si>
  <si>
    <t>3.8.FINISHING_TRANSITION_WORDS</t>
  </si>
  <si>
    <t>3.8 Finishing Transition Words</t>
  </si>
  <si>
    <t>3.8.WRITE_FREEFORM_PARAGRAPH</t>
  </si>
  <si>
    <t>3.8 Write a Free-Form Paragraph</t>
  </si>
  <si>
    <t>4.2 Fragment or Sentence?</t>
  </si>
  <si>
    <t>4.2 Unscramble Sentences</t>
  </si>
  <si>
    <t>4.2 Identify the Sentence Type</t>
  </si>
  <si>
    <t>4.2 Change the Sentence Type</t>
  </si>
  <si>
    <t>4.2 Write the Sentence Type</t>
  </si>
  <si>
    <t>4.2 Write Questions About a Picture</t>
  </si>
  <si>
    <t>4.2 Identify Appositives</t>
  </si>
  <si>
    <t>4.2 Write Appositives</t>
  </si>
  <si>
    <t>4.2 Combine Sentences</t>
  </si>
  <si>
    <t>4.2 Because, But, So</t>
  </si>
  <si>
    <t>4.2 Kernel Expansion</t>
  </si>
  <si>
    <t>4.2 Complete Subordinating Conjunctions</t>
  </si>
  <si>
    <t>4.2 Identify Topic Sentences</t>
  </si>
  <si>
    <t>4.2 Topic Brainstorm</t>
  </si>
  <si>
    <t>4.2 Topic Sentence Matching</t>
  </si>
  <si>
    <t>4.2 Eliminate Irrelevant Sentences</t>
  </si>
  <si>
    <t>4.2 Make Topic Sentences</t>
  </si>
  <si>
    <t>4.2 Using Transition Words</t>
  </si>
  <si>
    <t>4.2 Turn Paragraph into Single Paragraph Outline</t>
  </si>
  <si>
    <t>4.2 Writing Single Paragraph Outlines</t>
  </si>
  <si>
    <t>4.2 Turn Outline into Draft</t>
  </si>
  <si>
    <t>4.2 Elaborate on Paragraphs</t>
  </si>
  <si>
    <t>4.2 Finishing Transition Words</t>
  </si>
  <si>
    <t>4.2 Write a Free-Form Paragraph</t>
  </si>
  <si>
    <t>4.5 Fragment or Sentence?</t>
  </si>
  <si>
    <t>4.5 Unscramble Sentences</t>
  </si>
  <si>
    <t>4.5 Identify the Sentence Type</t>
  </si>
  <si>
    <t>4.5 Change the Sentence Type</t>
  </si>
  <si>
    <t>4.5.WRITE_SENTENCE_TYPE</t>
  </si>
  <si>
    <t>4.5 Write the Sentence Type</t>
  </si>
  <si>
    <t>4.5 Write Questions About a Picture</t>
  </si>
  <si>
    <t>4.5 Identify Appositives</t>
  </si>
  <si>
    <t>4.5 Write Appositives</t>
  </si>
  <si>
    <t>4.5 Combine Sentences</t>
  </si>
  <si>
    <t>4.5 Because, But, So</t>
  </si>
  <si>
    <t>4.5 Kernel Expansion</t>
  </si>
  <si>
    <t>4.5.SUBORDINATING_CONJUNCTIONS</t>
  </si>
  <si>
    <t>4.5 Complete Subordinating Conjunctions</t>
  </si>
  <si>
    <t>4.5 Identify Topic Sentences</t>
  </si>
  <si>
    <t>4.5 Topic Brainstorm</t>
  </si>
  <si>
    <t>4.5 Topic Sentence Matching</t>
  </si>
  <si>
    <t>4.5 Eliminate Irrelevant Sentences</t>
  </si>
  <si>
    <t>4.5 Make Topic Sentences</t>
  </si>
  <si>
    <t>4.5 Using Transition Words</t>
  </si>
  <si>
    <t>4.5 Turn Paragraph into Single Paragraph Outline</t>
  </si>
  <si>
    <t>4.5.WRITING_SPOS</t>
  </si>
  <si>
    <t>4.5 Writing Single Paragraph Outlines</t>
  </si>
  <si>
    <t>4.5.TURN_OUTLINE_INTO_DRAFT</t>
  </si>
  <si>
    <t>4.5 Turn Outline into Draft</t>
  </si>
  <si>
    <t>4.5.ELABORATE_PARAGRAPHS</t>
  </si>
  <si>
    <t>4.5 Elaborate on Paragraphs</t>
  </si>
  <si>
    <t>4.5.FINISHING_TRANSITION_WORDS</t>
  </si>
  <si>
    <t>4.5 Finishing Transition Words</t>
  </si>
  <si>
    <t>4.5.WRITE_FREEFORM_PARAGRAPH</t>
  </si>
  <si>
    <t>4.5 Write a Free-Form Paragraph</t>
  </si>
  <si>
    <t>4.8 Fragment or Sentence?</t>
  </si>
  <si>
    <t>4.8 Unscramble Sentences</t>
  </si>
  <si>
    <t>4.8 Identify the Sentence Type</t>
  </si>
  <si>
    <t>4.8 Change the Sentence Type</t>
  </si>
  <si>
    <t>4.8 Write the Sentence Type</t>
  </si>
  <si>
    <t>4.8 Write Questions About a Picture</t>
  </si>
  <si>
    <t>4.8 Identify Appositives</t>
  </si>
  <si>
    <t>4.8 Write Appositives</t>
  </si>
  <si>
    <t>4.8 Combine Sentences</t>
  </si>
  <si>
    <t>4.8 Because, But, So</t>
  </si>
  <si>
    <t>4.8.KERNEL_EXPANSION</t>
  </si>
  <si>
    <t>4.8 Kernel Expansion</t>
  </si>
  <si>
    <t>4.8.SUBORDINATING_CONJUNCTIONS</t>
  </si>
  <si>
    <t>4.8 Complete Subordinating Conjunctions</t>
  </si>
  <si>
    <t>4.8 Identify Topic Sentences</t>
  </si>
  <si>
    <t>4.8 Topic Brainstorm</t>
  </si>
  <si>
    <t>4.8.TOPIC_SENTENCE_MATCHING</t>
  </si>
  <si>
    <t>4.8 Topic Sentence Matching</t>
  </si>
  <si>
    <t>4.8.ELIMINATE_IRRELEVANT_SENTENCES</t>
  </si>
  <si>
    <t>4.8 Eliminate Irrelevant Sentences</t>
  </si>
  <si>
    <t>4.8 Make Topic Sentences</t>
  </si>
  <si>
    <t>4.8 Using Transition Words</t>
  </si>
  <si>
    <t>4.8.TURN_PARAGRAPH_INTO_SPO</t>
  </si>
  <si>
    <t>4.8 Turn Paragraph into Single Paragraph Outline</t>
  </si>
  <si>
    <t>4.8.WRITING_SPOS</t>
  </si>
  <si>
    <t>4.8 Writing Single Paragraph Outlines</t>
  </si>
  <si>
    <t>4.8.TURN_OUTLINE_INTO_DRAFT</t>
  </si>
  <si>
    <t>4.8 Turn Outline into Draft</t>
  </si>
  <si>
    <t>4.8.ELABORATE_PARAGRAPHS</t>
  </si>
  <si>
    <t>4.8 Elaborate on Paragraphs</t>
  </si>
  <si>
    <t>4.8.FINISHING_TRANSITION_WORDS</t>
  </si>
  <si>
    <t>4.8 Finishing Transition Words</t>
  </si>
  <si>
    <t>4.8 Write a Free-Form Paragraph</t>
  </si>
  <si>
    <t>5.2 Fragment or Sentence?</t>
  </si>
  <si>
    <t>5.2 Unscramble Sentences</t>
  </si>
  <si>
    <t>5.2 Identify the Sentence Type</t>
  </si>
  <si>
    <t>5.2 Change the Sentence Type</t>
  </si>
  <si>
    <t>5.2 Write the Sentence Type</t>
  </si>
  <si>
    <t>5.2 Write Questions About a Picture</t>
  </si>
  <si>
    <t>5.2 Identify Appositives</t>
  </si>
  <si>
    <t>5.2 Write Appositives</t>
  </si>
  <si>
    <t>5.2 Combine Sentences</t>
  </si>
  <si>
    <t>5.2 Because, But, So</t>
  </si>
  <si>
    <t>5.2 Kernel Expansion</t>
  </si>
  <si>
    <t>5.2 Complete Subordinating Conjunctions</t>
  </si>
  <si>
    <t>5.2 Identify Topic Sentences</t>
  </si>
  <si>
    <t>5.2 Topic Brainstorm</t>
  </si>
  <si>
    <t>5.2 Topic Sentence Matching</t>
  </si>
  <si>
    <t>5.2 Eliminate Irrelevant Sentences</t>
  </si>
  <si>
    <t>5.2 Make Topic Sentences</t>
  </si>
  <si>
    <t>5.2 Using Transition Words</t>
  </si>
  <si>
    <t>5.2 Turn Paragraph into Single Paragraph Outline</t>
  </si>
  <si>
    <t>5.2 Writing Single Paragraph Outlines</t>
  </si>
  <si>
    <t>5.2 Turn Outline into Draft</t>
  </si>
  <si>
    <t>5.2 Elaborate on Paragraphs</t>
  </si>
  <si>
    <t>5.2 Finishing Transition Words</t>
  </si>
  <si>
    <t>5.2 Write a Free-Form Paragraph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</si>
</sst>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"/>
  </numFmts>
  <fonts count="17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b/>
      <sz val="10.0"/>
      <color theme="1"/>
      <name val="Arial"/>
    </font>
    <font>
      <b/>
      <u/>
      <sz val="10.0"/>
      <color theme="1"/>
      <name val="Arial"/>
    </font>
    <font>
      <i/>
      <sz val="10.0"/>
      <color rgb="FF0000FF"/>
      <name val="Arial"/>
    </font>
    <font>
      <color theme="1"/>
      <name val="Arial"/>
    </font>
    <font>
      <color theme="1"/>
      <name val="Arial"/>
      <scheme val="minor"/>
    </font>
    <font>
      <u/>
      <color rgb="FF0000FF"/>
      <name val="Arial"/>
    </font>
    <font>
      <color rgb="FF000000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Roboto"/>
    </font>
    <font>
      <u/>
      <color rgb="FF0000FF"/>
      <name val="Arial"/>
    </font>
    <font>
      <sz val="11.0"/>
      <color rgb="FF130A39"/>
      <name val="Archivo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5">
    <border/>
    <border>
      <left style="thin">
        <color rgb="FF999999"/>
      </left>
      <top style="thin">
        <color rgb="FF999999"/>
      </top>
    </border>
    <border>
      <left style="thin">
        <color rgb="FFFFFFFF"/>
      </left>
      <top style="thin">
        <color rgb="FF999999"/>
      </top>
    </border>
    <border>
      <left style="thin">
        <color rgb="FFFFFFFF"/>
      </left>
      <right style="thin">
        <color rgb="FF999999"/>
      </right>
      <top style="thin">
        <color rgb="FF999999"/>
      </top>
    </border>
    <border>
      <top style="thin">
        <color rgb="FF999999"/>
      </top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/>
      <right/>
      <top/>
      <bottom/>
    </border>
    <border>
      <left style="thin">
        <color rgb="FF999999"/>
      </left>
      <top style="thin">
        <color rgb="FFFFFFFF"/>
      </top>
    </border>
    <border>
      <left style="thin">
        <color rgb="FFFFFFFF"/>
      </left>
      <top style="thin">
        <color rgb="FF999999"/>
      </top>
      <bottom style="thin">
        <color rgb="FF999999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0" fontId="2" numFmtId="0" xfId="0" applyBorder="1" applyFont="1"/>
    <xf borderId="3" fillId="0" fontId="2" numFmtId="0" xfId="0" applyBorder="1" applyFont="1"/>
    <xf borderId="0" fillId="0" fontId="1" numFmtId="164" xfId="0" applyFont="1" applyNumberForma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2" numFmtId="0" xfId="0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0" fillId="0" fontId="3" numFmtId="1" xfId="0" applyFont="1" applyNumberFormat="1"/>
    <xf borderId="0" fillId="0" fontId="3" numFmtId="0" xfId="0" applyFont="1"/>
    <xf borderId="11" fillId="2" fontId="3" numFmtId="0" xfId="0" applyBorder="1" applyFill="1" applyFont="1"/>
    <xf borderId="0" fillId="0" fontId="4" numFmtId="0" xfId="0" applyFont="1"/>
    <xf borderId="12" fillId="0" fontId="2" numFmtId="0" xfId="0" applyBorder="1" applyFont="1"/>
    <xf borderId="0" fillId="0" fontId="5" numFmtId="0" xfId="0" applyFont="1"/>
    <xf borderId="13" fillId="0" fontId="2" numFmtId="0" xfId="0" applyBorder="1" applyFont="1"/>
    <xf borderId="14" fillId="0" fontId="1" numFmtId="0" xfId="0" applyAlignment="1" applyBorder="1" applyFont="1">
      <alignment horizontal="left" readingOrder="0" shrinkToFit="0" vertical="center" wrapText="0"/>
    </xf>
    <xf borderId="14" fillId="0" fontId="6" numFmtId="0" xfId="0" applyAlignment="1" applyBorder="1" applyFont="1">
      <alignment horizontal="left" readingOrder="0" shrinkToFit="0" vertical="bottom" wrapText="1"/>
    </xf>
    <xf borderId="14" fillId="0" fontId="7" numFmtId="0" xfId="0" applyAlignment="1" applyBorder="1" applyFont="1">
      <alignment horizontal="left"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readingOrder="0" shrinkToFit="0" vertical="center" wrapText="0"/>
    </xf>
    <xf borderId="14" fillId="0" fontId="8" numFmtId="0" xfId="0" applyAlignment="1" applyBorder="1" applyFont="1">
      <alignment readingOrder="0" shrinkToFit="0" vertical="bottom" wrapText="1"/>
    </xf>
    <xf borderId="14" fillId="0" fontId="6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shrinkToFit="0" vertical="top" wrapText="1"/>
    </xf>
    <xf borderId="14" fillId="3" fontId="10" numFmtId="0" xfId="0" applyAlignment="1" applyBorder="1" applyFill="1" applyFont="1">
      <alignment readingOrder="0" shrinkToFit="0" vertical="bottom" wrapText="1"/>
    </xf>
    <xf borderId="14" fillId="4" fontId="11" numFmtId="0" xfId="0" applyAlignment="1" applyBorder="1" applyFill="1" applyFont="1">
      <alignment shrinkToFit="0" vertical="bottom" wrapText="1"/>
    </xf>
    <xf borderId="14" fillId="3" fontId="12" numFmtId="0" xfId="0" applyAlignment="1" applyBorder="1" applyFont="1">
      <alignment shrinkToFit="0" vertical="bottom" wrapText="1"/>
    </xf>
    <xf borderId="14" fillId="3" fontId="13" numFmtId="0" xfId="0" applyAlignment="1" applyBorder="1" applyFont="1">
      <alignment shrinkToFit="0" vertical="center" wrapText="1"/>
    </xf>
    <xf borderId="14" fillId="4" fontId="14" numFmtId="0" xfId="0" applyAlignment="1" applyBorder="1" applyFont="1">
      <alignment readingOrder="0" shrinkToFit="0" vertical="bottom" wrapText="1"/>
    </xf>
    <xf borderId="14" fillId="0" fontId="7" numFmtId="0" xfId="0" applyAlignment="1" applyBorder="1" applyFont="1">
      <alignment readingOrder="0" shrinkToFit="0" vertical="center" wrapText="0"/>
    </xf>
    <xf borderId="14" fillId="3" fontId="15" numFmtId="0" xfId="0" applyAlignment="1" applyBorder="1" applyFont="1">
      <alignment readingOrder="0" shrinkToFit="0" vertical="center" wrapText="0"/>
    </xf>
    <xf borderId="14" fillId="0" fontId="6" numFmtId="0" xfId="0" applyAlignment="1" applyBorder="1" applyFont="1">
      <alignment readingOrder="0" shrinkToFit="0" vertical="top" wrapText="1"/>
    </xf>
    <xf borderId="14" fillId="0" fontId="16" numFmtId="0" xfId="0" applyAlignment="1" applyBorder="1" applyFont="1">
      <alignment readingOrder="0" shrinkToFit="0" vertical="bottom" wrapText="1"/>
    </xf>
    <xf borderId="14" fillId="0" fontId="1" numFmtId="0" xfId="0" applyAlignment="1" applyBorder="1" applyFont="1">
      <alignment readingOrder="0"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4" fontId="6" numFmtId="0" xfId="0" applyAlignment="1" applyBorder="1" applyFont="1">
      <alignment shrinkToFit="0" vertical="center" wrapText="0"/>
    </xf>
    <xf borderId="14" fillId="0" fontId="9" numFmtId="0" xfId="0" applyAlignment="1" applyBorder="1" applyFont="1">
      <alignment readingOrder="0" shrinkToFit="0" vertical="bottom" wrapText="1"/>
    </xf>
    <xf borderId="14" fillId="3" fontId="6" numFmtId="0" xfId="0" applyAlignment="1" applyBorder="1" applyFont="1">
      <alignment shrinkToFit="0" vertical="center" wrapText="0"/>
    </xf>
    <xf borderId="0" fillId="0" fontId="7" numFmtId="0" xfId="0" applyAlignment="1" applyFont="1">
      <alignment shrinkToFit="0" wrapText="1"/>
    </xf>
    <xf borderId="14" fillId="0" fontId="7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new-aw-skill-plan 2025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pivotCacheDefinition" Target="pivotCache/pivotCacheDefinition2.xml"/><Relationship Id="rId12" Type="http://schemas.openxmlformats.org/officeDocument/2006/relationships/pivotCacheDefinition" Target="pivotCache/pivotCacheDefinition1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H746" sheet="mastered-10-26mar-dirty"/>
  </cacheSource>
  <cacheFields>
    <cacheField name="student" numFmtId="0">
      <sharedItems containsBlank="1">
        <s v="Alessandra Green"/>
        <s v="Arjun Caberwal"/>
        <s v="Arman Caberwal"/>
        <s v="Blake Flores"/>
        <s v="Brady York"/>
        <s v="David Paul"/>
        <s v="Elaina Robertson"/>
        <s v="Evelyn Gabler"/>
        <s v="Hazel Salton"/>
        <s v="Helio Ortiz"/>
        <s v="Ian Mentgen"/>
        <s v="Jaxon Siers"/>
        <s v="Lavender Marrero"/>
        <s v="Lily Gray"/>
        <s v="Logan Campbell"/>
        <s v="Marcus Fuentes"/>
        <s v="Max Vaughan"/>
        <s v="Mila Atamas"/>
        <s v="Omar Ibarra"/>
        <s v="Orion Campbell"/>
        <s v="Raegan Middleton"/>
        <s v="Ramsey Levin"/>
        <s v="Rocco Benetti"/>
        <s v="Sarah Hunter"/>
        <s v="Sophia Reicher"/>
        <s v="Tate Price"/>
        <s v="Xavier Siddall"/>
        <s v="Anaya Lenington"/>
        <s v="Asha Nagar"/>
        <s v="Aubrey Curtis"/>
        <s v="Bella Barba"/>
        <s v="Bennett Morris"/>
        <s v="Brooklyn Allred"/>
        <s v="Connor Cason"/>
        <s v="Donnie Moore"/>
        <s v="Elena Mentgen"/>
        <s v="Jason Montagna"/>
        <s v="Kai Sticker"/>
        <s v="Luna Montagna"/>
        <s v="Penny Marty"/>
        <s v="Rania Caberwal"/>
        <s v="Sydney Barba"/>
        <s v="Alexander Wiebeck"/>
        <s v="Claudia Hobart"/>
        <s v="Felix Cole"/>
        <s v="Johnny Darcy"/>
        <s v="Lukas Siers"/>
        <s v="Zane Rogers"/>
        <s v="Alex Lekic Brajovic"/>
        <s v="Shepperd Pfiester"/>
        <s v="Ellen Meegan"/>
        <s v="Zion Clark"/>
        <s v="Asher Hazard"/>
        <s v="Eva Mentgen"/>
        <s v="Sua Chang"/>
        <s v="Aksel Jensen"/>
        <s v="Dario Poyatos Ramos"/>
        <s v="Scotty Noel"/>
        <s v="Juan Diego Ortega"/>
        <s v="D'sean Harden II"/>
        <s v="Giuli Scandella"/>
        <s v="Livia Christopherson"/>
        <s v="Marshall Jensen"/>
        <m/>
      </sharedItems>
    </cacheField>
    <cacheField name="third_party_level_id" numFmtId="0">
      <sharedItems containsBlank="1">
        <s v="3.2.FRAGMENT_OR_SENTENCE"/>
        <s v="4.2.IDENTIFY_APPOSITIVES"/>
        <s v="4.2.WRITE_SENTENCE_ABOUT_PICTURE"/>
        <s v="4.2.WRITE_SENTENCE_TYPE"/>
        <s v="5.2.CHANGE_SENTENCE_TYPE"/>
        <s v="3.2.CHANGE_SENTENCE_TYPE"/>
        <s v="3.2.IDENTIFY_SENTENCE_TYPE"/>
        <s v="3.2.WRITE_SENTENCE_TYPE"/>
        <s v="4.2.FRAGMENT_OR_SENTENCE"/>
        <s v="4.2.UNSCRAMBLE_SENTENCES"/>
        <s v="4.2.BASIC_CONJUNCTIONS"/>
        <s v="4.2.KERNEL_EXPANSION"/>
        <s v="5.2.FRAGMENT_OR_SENTENCE"/>
        <s v="3.2.UNSCRAMBLE_SENTENCES"/>
        <s v="3.2.WRITE_SENTENCE_ABOUT_PICTURE"/>
        <s v="3.2.IDENTIFY_APPOSITIVES"/>
        <s v="3.2.WRITE_APPOSITIVES"/>
        <s v="4.2.CHANGE_SENTENCE_TYPE"/>
        <s v="4.2.COMBINE_SENTENCES"/>
        <s v="4.2.WRITE_APPOSITIVES"/>
        <s v="5.2.COMBINE_SENTENCES"/>
        <s v="5.2.IDENTIFY_APPOSITIVES"/>
        <s v="5.2.WRITE_APPOSITIVES"/>
        <s v="5.2.WRITE_SENTENCE_ABOUT_PICTURE"/>
        <s v="5.2.WRITE_SENTENCE_TYPE"/>
        <s v="3.2.IDENTIFY_TOPIC_SENTENCE"/>
        <s v="4.2.IDENTIFY_SENTENCE_TYPE"/>
        <s v="4.2.USE_SENTENCE_TYPES"/>
        <s v="5.2.IDENTIFY_SENTENCE_TYPE"/>
        <s v="5.2.UNSCRAMBLE_SENTENCES"/>
        <s v="5.2.USE_SENTENCE_TYPES"/>
        <s v="4.2.WRITE_FREEFORM_PARAGRAPH"/>
        <s v="3.2.USE_SENTENCE_TYPES"/>
        <s v="3.2.TURN_OUTLINE_INTO_DRAFT"/>
        <s v="4.2.TURN_PARAGRAPH_INTO_SPO"/>
        <s v="8.2.IDENTIFY_TS_AND_SEQUENCE_DETAILS"/>
        <s v="3.2.BASIC_CONJUNCTIONS"/>
        <s v="3.2.COMBINE_SENTENCES"/>
        <s v="3.2.KERNEL_EXPANSION"/>
        <s v="3.2.SUBORDINATING_CONJUNCTIONS"/>
        <s v="6.2.IDENTIFY_TOPIC_SENTENCE"/>
        <s v="5.2.KERNEL_EXPANSION"/>
        <s v="5.2.SUBORDINATING_CONJUNCTIONS"/>
        <s v="3.2.ELABORATE_PARAGRAPHS"/>
        <s v="4.2.SUBORDINATING_CONJUNCTIONS"/>
        <s v="4.2.MAKE_TOPIC_SENTENCES"/>
        <s v="4.2.WRITING_SPOS"/>
        <s v="3.2.FINISHING_TRANSITION_WORDS"/>
        <s v="3.2.IDENTIFY_TS_AND_SEQUENCE_DETAILS"/>
        <s v="5.2.ELABORATE_PARAGRAPHS"/>
        <s v="5.2.ELIMINATE_IRRELEVANT_SENTENCES"/>
        <s v="5.2.IDENTIFY_TOPIC_SENTENCE"/>
        <s v="4.2.FINISHING_TRANSITION_WORDS"/>
        <s v="7.2.TOPIC_BRAINSTORM"/>
        <s v="4.2.USING_TRANSITION_WORDS"/>
        <s v="12.2.PRE_TRANSITION_OUTLINE"/>
        <s v="5.2.WRITE_FREEFORM_PARAGRAPH"/>
        <s v="3.2.ELIMINATE_IRRELEVANT_SENTENCES"/>
        <s v="3.2.USING_TRANSITION_WORDS"/>
        <s v="9.2.PRE_TRANSITION_OUTLINE"/>
        <s v="3.2.WRITING_SPOS"/>
        <s v="5.2.FINISHING_TRANSITION_WORDS"/>
        <s v="4.2.ELIMINATE_IRRELEVANT_SENTENCES"/>
        <s v="5.2.USING_TRANSITION_WORDS"/>
        <s v="5.2.TURN_OUTLINE_INTO_DRAFT"/>
        <m/>
      </sharedItems>
    </cacheField>
    <cacheField name="app" numFmtId="0">
      <sharedItems containsBlank="1">
        <s v="Alphawrite"/>
        <m/>
      </sharedItems>
    </cacheField>
    <cacheField name="date" numFmtId="164">
      <sharedItems containsDate="1" containsString="0" containsBlank="1">
        <d v="2025-03-26T00:00:00Z"/>
        <d v="2025-03-25T00:00:00Z"/>
        <d v="2025-03-24T00:00:00Z"/>
        <d v="2025-03-23T00:00:00Z"/>
        <d v="2025-03-21T00:00:00Z"/>
        <d v="2025-03-20T00:00:00Z"/>
        <d v="2025-03-19T00:00:00Z"/>
        <d v="2025-03-18T00:00:00Z"/>
        <d v="2025-03-17T00:00:00Z"/>
        <d v="2025-03-14T00:00:00Z"/>
        <d v="2025-03-13T00:00:00Z"/>
        <d v="2025-03-12T00:00:00Z"/>
        <d v="2025-03-11T00:00:00Z"/>
        <d v="2025-03-10T00:00:00Z"/>
        <m/>
      </sharedItems>
    </cacheField>
    <cacheField name="activity_units_attempted" numFmtId="0">
      <sharedItems containsString="0" containsBlank="1" containsNumber="1" containsInteger="1">
        <n v="38.0"/>
        <n v="19.0"/>
        <n v="12.0"/>
        <n v="7.0"/>
        <n v="6.0"/>
        <n v="11.0"/>
        <n v="16.0"/>
        <n v="73.0"/>
        <n v="4.0"/>
        <n v="2.0"/>
        <n v="13.0"/>
        <n v="8.0"/>
        <m/>
        <n v="15.0"/>
        <n v="49.0"/>
        <n v="26.0"/>
        <n v="17.0"/>
        <n v="20.0"/>
        <n v="10.0"/>
        <n v="28.0"/>
        <n v="18.0"/>
        <n v="22.0"/>
        <n v="29.0"/>
        <n v="33.0"/>
        <n v="25.0"/>
        <n v="14.0"/>
        <n v="44.0"/>
        <n v="3.0"/>
        <n v="57.0"/>
        <n v="84.0"/>
        <n v="24.0"/>
        <n v="43.0"/>
        <n v="9.0"/>
        <n v="5.0"/>
        <n v="21.0"/>
        <n v="42.0"/>
        <n v="48.0"/>
        <n v="65.0"/>
        <n v="41.0"/>
        <n v="32.0"/>
        <n v="36.0"/>
        <n v="34.0"/>
        <n v="69.0"/>
        <n v="1.0"/>
        <n v="27.0"/>
        <n v="31.0"/>
        <n v="54.0"/>
        <n v="30.0"/>
        <n v="23.0"/>
        <n v="55.0"/>
        <n v="40.0"/>
        <n v="60.0"/>
        <n v="143.0"/>
      </sharedItems>
    </cacheField>
    <cacheField name="activity_units_correct" numFmtId="0">
      <sharedItems containsString="0" containsBlank="1" containsNumber="1" containsInteger="1">
        <n v="30.0"/>
        <n v="13.0"/>
        <n v="12.0"/>
        <n v="7.0"/>
        <n v="2.0"/>
        <n v="5.0"/>
        <n v="14.0"/>
        <n v="44.0"/>
        <n v="4.0"/>
        <n v="0.0"/>
        <n v="8.0"/>
        <m/>
        <n v="11.0"/>
        <n v="20.0"/>
        <n v="16.0"/>
        <n v="26.0"/>
        <n v="17.0"/>
        <n v="19.0"/>
        <n v="23.0"/>
        <n v="10.0"/>
        <n v="15.0"/>
        <n v="18.0"/>
        <n v="32.0"/>
        <n v="6.0"/>
        <n v="3.0"/>
        <n v="34.0"/>
        <n v="58.0"/>
        <n v="22.0"/>
        <n v="9.0"/>
        <n v="24.0"/>
        <n v="27.0"/>
        <n v="47.0"/>
        <n v="28.0"/>
        <n v="1.0"/>
        <n v="36.0"/>
        <n v="35.0"/>
        <n v="38.0"/>
        <n v="40.0"/>
        <n v="94.0"/>
      </sharedItems>
    </cacheField>
    <cacheField name="level" numFmtId="0">
      <sharedItems containsBlank="1">
        <s v="3"/>
        <s v="4"/>
        <s v="5"/>
        <s v="8"/>
        <s v="6"/>
        <m/>
      </sharedItems>
    </cacheField>
    <cacheField name="order" numFmtId="0">
      <sharedItems containsBlank="1">
        <e v="#REF!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R331" sheet="add-20250310-26"/>
  </cacheSource>
  <cacheFields>
    <cacheField name="Level" numFmtId="0">
      <sharedItems>
        <s v="L1"/>
        <s v="L2"/>
        <s v="L3"/>
      </sharedItems>
    </cacheField>
    <cacheField name="Student" numFmtId="0">
      <sharedItems>
        <s v="Alessandra Green"/>
        <s v="Anaya Lenington"/>
        <s v="Arjun Caberwal"/>
        <s v="Arman Caberwal"/>
        <s v="Brady York"/>
        <s v="David Paul"/>
        <s v="Elaina Robertson"/>
        <s v="Evelyn Gabler"/>
        <s v="Hazel Salton"/>
        <s v="Ian Mentgen"/>
        <s v="Jaxon Siers"/>
        <s v="Logan Campbell"/>
        <s v="Max Vaughan"/>
        <s v="Omar Ibarra"/>
        <s v="Ramsey Levin"/>
        <s v="Sarah Hunter"/>
        <s v="Sophia Reicher"/>
        <s v="Tate Price"/>
        <s v="Blake Flores"/>
        <s v="Connor Cason"/>
        <s v="Helio Ortiz"/>
        <s v="Jack Bromberg"/>
        <s v="Jacob Atamas"/>
        <s v="Lavender Marrero"/>
        <s v="Lily Gray"/>
        <s v="Marcus Fuentes"/>
        <s v="Mila Atamas"/>
        <s v="Orion Campbell"/>
        <s v="Raegan Middleton"/>
        <s v="Rocco Benetti"/>
        <s v="Xavier Siddall"/>
        <s v="Aubrey Curtis"/>
        <s v="Donnie Moore"/>
        <s v="Juan Diego Ortega"/>
        <s v="Luna Montagna"/>
        <s v="Nate Evans"/>
        <s v="Aksel Jensen"/>
        <s v="Asha Nagar"/>
        <s v="Bella Barba"/>
        <s v="Brooklyn Allred"/>
        <s v="Elena Mentgen"/>
        <s v="Jason Montagna"/>
        <s v="Kai Sticker"/>
        <s v="Krish Bhakta"/>
        <s v="Rania Caberwal"/>
        <s v="Bennett Morris"/>
        <s v="Penny Marty"/>
        <s v="Sydney Barba"/>
        <s v="Aleina Boyce"/>
        <s v="Alex Lekic Brajovic"/>
        <s v="Alexander Wiebeck"/>
        <s v="Claudia Hobart"/>
        <s v="Lukas Siers"/>
        <s v="Zane Rogers"/>
        <s v="Ellen Meegan"/>
        <s v="Felix Cole"/>
        <s v="Johnny Darcy"/>
        <s v="Kaiden Szpitalak"/>
        <s v="Asher Hazard"/>
        <s v="Shepperd Pfiester"/>
        <s v="Zion Clark"/>
        <s v="Sua Chang"/>
        <s v="Eva Mentgen"/>
        <s v="Ryan Porto"/>
        <s v="Scotty Noel"/>
        <s v="Dario Poyatos Ramos"/>
        <s v="D'sean Harden II"/>
        <s v="Giuli Scandella"/>
        <s v="Bailey Carlson"/>
        <s v="Marshall Jensen"/>
        <s v="Livia Christopherson"/>
      </sharedItems>
    </cacheField>
    <cacheField name="Date" numFmtId="164">
      <sharedItems containsSemiMixedTypes="0" containsDate="1" containsString="0">
        <d v="2025-03-26T00:00:00Z"/>
        <d v="2025-03-25T00:00:00Z"/>
        <d v="2025-03-24T00:00:00Z"/>
        <d v="2025-03-23T00:00:00Z"/>
        <d v="2025-03-21T00:00:00Z"/>
        <d v="2025-03-20T00:00:00Z"/>
        <d v="2025-03-19T00:00:00Z"/>
        <d v="2025-03-18T00:00:00Z"/>
        <d v="2025-03-17T00:00:00Z"/>
        <d v="2025-03-14T00:00:00Z"/>
        <d v="2025-03-13T00:00:00Z"/>
        <d v="2025-03-12T00:00:00Z"/>
        <d v="2025-03-11T00:00:00Z"/>
        <d v="2025-03-10T00:00:00Z"/>
      </sharedItems>
    </cacheField>
    <cacheField name="Subject" numFmtId="0">
      <sharedItems>
        <s v="Writing"/>
      </sharedItems>
    </cacheField>
    <cacheField name="App" numFmtId="0">
      <sharedItems>
        <s v="Alphawrite"/>
        <s v="Edulastic"/>
        <s v="ProWritingAid"/>
      </sharedItems>
    </cacheField>
    <cacheField name="Course" numFmtId="0">
      <sharedItems containsBlank="1">
        <s v="Grade 3, Easy"/>
        <m/>
        <s v="Grade 4, Easy"/>
        <s v="Grade 5, Easy"/>
        <s v="Grade 8, Easy"/>
        <s v="Grade 6, Easy"/>
        <s v="Grade 7, Easy"/>
        <s v="Grade 12, Easy"/>
        <s v="Grade 9, Easy"/>
      </sharedItems>
    </cacheField>
    <cacheField name="Anti-patterns" numFmtId="0">
      <sharedItems containsBlank="1">
        <m/>
        <s v="ANTI | Working on non-recommended skills"/>
      </sharedItems>
    </cacheField>
    <cacheField name="Anti-pattern count" numFmtId="0">
      <sharedItems containsSemiMixedTypes="0" containsString="0" containsNumber="1" containsInteger="1">
        <n v="0.0"/>
        <n v="1.0"/>
      </sharedItems>
    </cacheField>
    <cacheField name="Lessons mastered" numFmtId="0">
      <sharedItems containsString="0" containsBlank="1" containsNumber="1" containsInteger="1">
        <n v="1.0"/>
        <m/>
        <n v="0.0"/>
        <n v="2.0"/>
        <n v="3.0"/>
        <n v="6.0"/>
        <n v="4.0"/>
      </sharedItems>
    </cacheField>
    <cacheField name="Essential Lessons Mastered" numFmtId="0">
      <sharedItems containsSemiMixedTypes="0" containsString="0" containsNumber="1" containsInteger="1">
        <n v="0.0"/>
      </sharedItems>
    </cacheField>
    <cacheField name="Correct Questions" numFmtId="0">
      <sharedItems containsString="0" containsBlank="1" containsNumber="1" containsInteger="1">
        <n v="30.0"/>
        <m/>
        <n v="14.0"/>
        <n v="19.0"/>
        <n v="48.0"/>
        <n v="0.0"/>
        <n v="12.0"/>
        <n v="8.0"/>
        <n v="18.0"/>
        <n v="36.0"/>
        <n v="4.0"/>
        <n v="2.0"/>
        <n v="20.0"/>
        <n v="13.0"/>
        <n v="16.0"/>
        <n v="26.0"/>
        <n v="47.0"/>
        <n v="23.0"/>
        <n v="24.0"/>
        <n v="15.0"/>
        <n v="34.0"/>
        <n v="58.0"/>
        <n v="50.0"/>
        <n v="43.0"/>
        <n v="46.0"/>
        <n v="11.0"/>
        <n v="6.0"/>
        <n v="22.0"/>
        <n v="32.0"/>
        <n v="27.0"/>
        <n v="44.0"/>
        <n v="29.0"/>
        <n v="10.0"/>
        <n v="53.0"/>
        <n v="1.0"/>
        <n v="5.0"/>
        <n v="17.0"/>
        <n v="97.0"/>
        <n v="28.0"/>
        <n v="35.0"/>
        <n v="25.0"/>
        <n v="7.0"/>
        <n v="40.0"/>
        <n v="21.0"/>
        <n v="9.0"/>
        <n v="60.0"/>
        <n v="120.0"/>
        <n v="39.0"/>
        <n v="68.0"/>
        <n v="38.0"/>
        <n v="94.0"/>
        <n v="75.0"/>
      </sharedItems>
    </cacheField>
    <cacheField name="Total Questions" numFmtId="0">
      <sharedItems containsString="0" containsBlank="1" containsNumber="1" containsInteger="1">
        <n v="38.0"/>
        <m/>
        <n v="20.0"/>
        <n v="19.0"/>
        <n v="27.0"/>
        <n v="77.0"/>
        <n v="2.0"/>
        <n v="13.0"/>
        <n v="8.0"/>
        <n v="0.0"/>
        <n v="26.0"/>
        <n v="16.0"/>
        <n v="52.0"/>
        <n v="12.0"/>
        <n v="10.0"/>
        <n v="4.0"/>
        <n v="29.0"/>
        <n v="6.0"/>
        <n v="49.0"/>
        <n v="17.0"/>
        <n v="28.0"/>
        <n v="61.0"/>
        <n v="33.0"/>
        <n v="22.0"/>
        <n v="25.0"/>
        <n v="15.0"/>
        <n v="59.0"/>
        <n v="84.0"/>
        <n v="65.0"/>
        <n v="36.0"/>
        <n v="40.0"/>
        <n v="18.0"/>
        <n v="9.0"/>
        <n v="51.0"/>
        <n v="14.0"/>
        <n v="64.0"/>
        <n v="21.0"/>
        <n v="44.0"/>
        <n v="42.0"/>
        <n v="66.0"/>
        <n v="41.0"/>
        <n v="32.0"/>
        <n v="73.0"/>
        <n v="7.0"/>
        <n v="34.0"/>
        <n v="69.0"/>
        <n v="127.0"/>
        <n v="24.0"/>
        <n v="71.0"/>
        <n v="57.0"/>
        <n v="31.0"/>
        <n v="11.0"/>
        <n v="78.0"/>
        <n v="174.0"/>
        <n v="39.0"/>
        <n v="35.0"/>
        <n v="45.0"/>
        <n v="3.0"/>
        <n v="23.0"/>
        <n v="5.0"/>
        <n v="92.0"/>
        <n v="55.0"/>
        <n v="143.0"/>
        <n v="54.0"/>
        <n v="103.0"/>
      </sharedItems>
    </cacheField>
    <cacheField name="Accuracy" numFmtId="0">
      <sharedItems containsString="0" containsBlank="1" containsNumber="1">
        <n v="0.789473684"/>
        <m/>
        <n v="0.7"/>
        <n v="1.0"/>
        <n v="0.703703704"/>
        <n v="0.623376623"/>
        <n v="0.0"/>
        <n v="0.923076923"/>
        <n v="0.692307692"/>
        <n v="0.875"/>
        <n v="0.4"/>
        <n v="0.5"/>
        <n v="0.655172414"/>
        <n v="0.333333333"/>
        <n v="0.408163265"/>
        <n v="0.764705882"/>
        <n v="0.8"/>
        <n v="0.928571429"/>
        <n v="0.770491803"/>
        <n v="0.696969697"/>
        <n v="0.727272727"/>
        <n v="0.684210526"/>
        <n v="0.631578947"/>
        <n v="0.6"/>
        <n v="0.576271186"/>
        <n v="0.69047619"/>
        <n v="0.769230769"/>
        <n v="0.75"/>
        <n v="0.777777778"/>
        <n v="0.666666667"/>
        <n v="0.444444444"/>
        <n v="0.896551724"/>
        <n v="0.843137255"/>
        <n v="0.71875"/>
        <n v="0.846153846"/>
        <n v="0.9"/>
        <n v="0.857142857"/>
        <n v="0.285714286"/>
        <n v="0.761904762"/>
        <n v="0.818181818"/>
        <n v="0.642857143"/>
        <n v="0.731707317"/>
        <n v="0.823529412"/>
        <n v="0.878787879"/>
        <n v="0.454545455"/>
        <n v="0.726027397"/>
        <n v="0.533333333"/>
        <n v="0.071428571"/>
        <n v="0.619047619"/>
        <n v="0.615384615"/>
        <n v="0.80952381"/>
        <n v="0.636363636"/>
        <n v="0.833333333"/>
        <n v="0.526315789"/>
        <n v="0.571428571"/>
        <n v="0.75862069"/>
        <n v="0.52173913"/>
        <n v="0.763779528"/>
        <n v="0.785714286"/>
        <n v="0.714285714"/>
        <n v="0.64"/>
        <n v="0.851851852"/>
        <n v="0.490196078"/>
        <n v="0.545454545"/>
        <n v="0.181818182"/>
        <n v="0.555555556"/>
        <n v="0.746478873"/>
        <n v="0.701754386"/>
        <n v="0.166666667"/>
        <n v="0.677419355"/>
        <n v="0.411764706"/>
        <n v="0.275362319"/>
        <n v="0.2"/>
        <n v="0.772727273"/>
        <n v="0.904761905"/>
        <n v="0.689655172"/>
        <n v="0.153846154"/>
        <n v="0.866666667"/>
        <n v="0.578947368"/>
        <n v="0.625"/>
        <n v="0.739130435"/>
        <n v="0.142857143"/>
        <n v="0.888888889"/>
        <n v="0.064516129"/>
        <n v="0.309090909"/>
        <n v="0.428571429"/>
        <n v="0.125"/>
        <n v="0.25"/>
        <n v="0.222222222"/>
        <n v="0.95"/>
        <n v="0.657342657"/>
        <n v="0.92"/>
        <n v="0.592592593"/>
        <n v="0.72815534"/>
      </sharedItems>
    </cacheField>
    <cacheField name="Minutes" numFmtId="0">
      <sharedItems containsSemiMixedTypes="0" containsString="0" containsNumber="1">
        <n v="17.25"/>
        <n v="0.02"/>
        <n v="7.769999981"/>
        <n v="12.51000023"/>
        <n v="12.46000004"/>
        <n v="49.11999893"/>
        <n v="0.0"/>
        <n v="8.010000229"/>
        <n v="11.88000011"/>
        <n v="6.800000191"/>
        <n v="15.5"/>
        <n v="7.929999828"/>
        <n v="10.01000023"/>
        <n v="9.56000042"/>
        <n v="7.360000134"/>
        <n v="3.779999971"/>
        <n v="7.230000019"/>
        <n v="8.449999809"/>
        <n v="0.920000017"/>
        <n v="42.18000031"/>
        <n v="2.279999971"/>
        <n v="7.03000021"/>
        <n v="6.599999905"/>
        <n v="6.690000057"/>
        <n v="12.35999966"/>
        <n v="8.789999962"/>
        <n v="7.210000038"/>
        <n v="25.35000038"/>
        <n v="44.52999878"/>
        <n v="5.71999979"/>
        <n v="12.40999985"/>
        <n v="4.0"/>
        <n v="8.279999733"/>
        <n v="17.40999985"/>
        <n v="25.79000092"/>
        <n v="3.450000048"/>
        <n v="34.5"/>
        <n v="2.869999886"/>
        <n v="0.050000001"/>
        <n v="1.379999995"/>
        <n v="30.85000038"/>
        <n v="2.50999999"/>
        <n v="6.610000134"/>
        <n v="11.92000008"/>
        <n v="0.560000002"/>
        <n v="30.5"/>
        <n v="0.270000011"/>
        <n v="1.090000033"/>
        <n v="0.059999999"/>
        <n v="3.230000019"/>
        <n v="23.55999947"/>
        <n v="11.96000004"/>
        <n v="14.30000019"/>
        <n v="13.51000023"/>
        <n v="3.5"/>
        <n v="97.02999878"/>
        <n v="7.730000019"/>
        <n v="33.88000107"/>
        <n v="6.3699998860000004"/>
        <n v="41.47999954"/>
        <n v="9.829999924"/>
        <n v="15.26000023"/>
        <n v="11.55000019"/>
        <n v="13.77999973"/>
        <n v="26.52000046"/>
        <n v="28.87000084"/>
        <n v="0.079999998"/>
        <n v="15.65999985"/>
        <n v="16.28000069"/>
        <n v="9.470000267"/>
        <n v="16.14999962"/>
        <n v="23.77000046"/>
        <n v="40.13999939"/>
        <n v="6.940000057"/>
        <n v="3.849999905"/>
        <n v="12.19999981"/>
        <n v="19.87000084"/>
        <n v="11.85999966"/>
        <n v="9.960000038"/>
        <n v="30.89999962"/>
        <n v="9.600000381"/>
        <n v="3.619999886"/>
        <n v="1.539999962"/>
        <n v="14.80000019"/>
        <n v="16.37999916"/>
        <n v="18.04000092"/>
        <n v="16.92000008"/>
        <n v="8.619999886"/>
        <n v="86.94999695"/>
        <n v="43.75"/>
        <n v="9.850000381"/>
        <n v="2.390000105"/>
        <n v="0.519999981"/>
        <n v="1.110000014"/>
        <n v="19.03000069"/>
        <n v="1.610000014"/>
        <n v="11.21000004"/>
        <n v="12.14999962"/>
        <n v="6.260000229"/>
        <n v="19.85000038"/>
        <n v="2.880000114"/>
        <n v="14.85999966"/>
        <n v="18.47999954"/>
        <n v="10.56000042"/>
        <n v="12.01000023"/>
        <n v="11.13000011"/>
        <n v="9.489999771"/>
        <n v="1.129999995"/>
        <n v="12.31999969"/>
        <n v="7.53000021"/>
        <n v="22.05999947"/>
        <n v="2.099999905"/>
        <n v="2.289999962"/>
        <n v="21.68000031"/>
        <n v="17.12000084"/>
        <n v="0.569999993"/>
        <n v="3.339999914"/>
        <n v="3.99000001"/>
        <n v="17.97999954"/>
        <n v="18.37999916"/>
        <n v="2.170000076"/>
        <n v="22.72999954"/>
        <n v="6.760000229"/>
        <n v="20.28000069"/>
        <n v="10.43000031"/>
        <n v="4.8800001139999996"/>
        <n v="6.659999847"/>
        <n v="14.14000034"/>
        <n v="26.25"/>
        <n v="16.21999931"/>
        <n v="25.34000015"/>
        <n v="13.35999966"/>
        <n v="14.93000031"/>
        <n v="18.20000076"/>
        <n v="33.68000031"/>
        <n v="13.34000015"/>
        <n v="13.85999966"/>
        <n v="45.97999954"/>
        <n v="5.809999943"/>
        <n v="21.43000031"/>
        <n v="10.14999962"/>
        <n v="17.86000061"/>
        <n v="4.710000038"/>
        <n v="11.06000042"/>
        <n v="4.28000021"/>
        <n v="17.06999969"/>
        <n v="2.339999914"/>
        <n v="2.720000029"/>
        <n v="4.070000172"/>
        <n v="0.25"/>
        <n v="12.03999996"/>
        <n v="11.51000023"/>
        <n v="6.420000076"/>
        <n v="1.929999948"/>
        <n v="25.57999992"/>
        <n v="0.829999983"/>
        <n v="55.95999908"/>
        <n v="15.46000004"/>
        <n v="22.18000031"/>
        <n v="14.05000019"/>
        <n v="7.639999866"/>
        <n v="8.869999886"/>
        <n v="4.650000095"/>
        <n v="0.589999974"/>
        <n v="0.910000026"/>
        <n v="2.930000067"/>
        <n v="1.220000029"/>
        <n v="9.340000153"/>
        <n v="2.200000048"/>
        <n v="11.22000027"/>
        <n v="19.0"/>
        <n v="3.109999895"/>
        <n v="2.569999933"/>
        <n v="6.059999943"/>
        <n v="14.75"/>
        <n v="0.310000002"/>
        <n v="5.949999809"/>
        <n v="21.65999985"/>
        <n v="6.78000021"/>
        <n v="0.07"/>
        <n v="2.74000001"/>
        <n v="7.199999809"/>
        <n v="7.980000019"/>
        <n v="19.25"/>
        <n v="8.350000381"/>
        <n v="0.600000024"/>
        <n v="5.860000134"/>
        <n v="10.22000027"/>
        <n v="10.53999996"/>
        <n v="21.90999985"/>
        <n v="5.170000076"/>
        <n v="10.42000008"/>
        <n v="22.56999969"/>
        <n v="7.860000134"/>
        <n v="10.17000008"/>
        <n v="1.100000024"/>
        <n v="11.85000038"/>
        <n v="5.760000229"/>
        <n v="0.870000005"/>
        <n v="11.31000042"/>
        <n v="0.100000001"/>
        <n v="23.43000031"/>
        <n v="5.590000153"/>
        <n v="23.94000053"/>
        <n v="10.28999996"/>
        <n v="0.340000004"/>
        <n v="0.720000029"/>
        <n v="18.61000061"/>
        <n v="14.10000038"/>
        <n v="2.6900000569999998"/>
        <n v="1.659999967"/>
        <n v="25.32999992"/>
        <n v="7.8699998860000004"/>
        <n v="6.519999981"/>
        <n v="10.65999985"/>
        <n v="1.919999957"/>
        <n v="0.620000005"/>
        <n v="1.830000043"/>
        <n v="1.039999962"/>
        <n v="5.03000021"/>
        <n v="0.239999995"/>
        <n v="6.699999809"/>
        <n v="10.71000004"/>
        <n v="12.07999992"/>
        <n v="27.80999947"/>
        <n v="10.93999958"/>
        <n v="21.79999924"/>
        <n v="4.059999943"/>
        <n v="13.82999992"/>
        <n v="5.96999979"/>
        <n v="40.52000046"/>
        <n v="11.89999962"/>
        <n v="25.43000031"/>
        <n v="0.949999988"/>
        <n v="24.63999939"/>
        <n v="9.899999619"/>
        <n v="6.179999828"/>
        <n v="10.93000031"/>
        <n v="33.29999924"/>
      </sharedItems>
    </cacheField>
    <cacheField name="Mastered at least 1 lesson?" numFmtId="0">
      <sharedItems>
        <s v="Yes"/>
        <s v="No"/>
      </sharedItems>
    </cacheField>
    <cacheField name="Spent time in the lesson?" numFmtId="0">
      <sharedItems>
        <s v="Yes"/>
        <s v="No"/>
      </sharedItems>
    </cacheField>
    <cacheField name="Spent &lt;30 min?" numFmtId="0">
      <sharedItems>
        <s v="Yes"/>
        <s v="No"/>
      </sharedItems>
    </cacheField>
    <cacheField name="Minutes per lesson mastered">
      <sharedItems containsMixedTypes="1" containsNumber="1">
        <n v="17.25"/>
        <e v="#DIV/0!"/>
        <n v="7.769999981"/>
        <n v="12.51000023"/>
        <n v="12.46000004"/>
        <n v="49.11999893"/>
        <n v="0.0"/>
        <n v="8.010000229"/>
        <n v="6.800000191"/>
        <n v="7.75"/>
        <n v="10.01000023"/>
        <n v="6.690000057"/>
        <n v="12.67500019"/>
        <n v="5.71999979"/>
        <n v="12.40999985"/>
        <n v="4.0"/>
        <n v="8.279999733"/>
        <n v="17.40999985"/>
        <n v="25.79000092"/>
        <n v="2.869999886"/>
        <n v="10.28333346"/>
        <n v="5.96000004"/>
        <n v="11.96000004"/>
        <n v="14.30000019"/>
        <n v="97.02999878"/>
        <n v="33.88000107"/>
        <n v="41.47999954"/>
        <n v="9.829999924"/>
        <n v="15.26000023"/>
        <n v="11.55000019"/>
        <n v="8.840000153333333"/>
        <n v="9.623333613333333"/>
        <n v="16.14999962"/>
        <n v="40.13999939"/>
        <n v="14.583333333333334"/>
        <n v="9.850000381"/>
        <n v="19.03000069"/>
        <n v="6.07499981"/>
        <n v="10.56000042"/>
        <n v="12.01000023"/>
        <n v="21.68000031"/>
        <n v="6.659999847"/>
        <n v="8.75"/>
        <n v="25.34000015"/>
        <n v="7.465000155"/>
        <n v="13.34000015"/>
        <n v="10.715000155"/>
        <n v="17.86000061"/>
        <n v="4.710000038"/>
        <n v="8.534999845"/>
        <n v="17.06999969"/>
        <n v="12.03999996"/>
        <n v="25.57999992"/>
        <n v="9.326666513333334"/>
        <n v="5.153333346666667"/>
        <n v="22.18000031"/>
        <n v="7.639999866"/>
        <n v="9.02000046"/>
        <n v="4.650000095"/>
        <n v="2.200000048"/>
        <n v="4.8125"/>
        <n v="10.42000008"/>
        <n v="22.56999969"/>
        <n v="7.860000134"/>
        <n v="23.43000031"/>
        <n v="6.519999981"/>
        <n v="10.93999958"/>
        <n v="4.059999943"/>
        <n v="6.91499996"/>
        <n v="11.89999962"/>
        <n v="16.64999962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mastered-10-26mar-dirty" cacheId="0" dataCaption="" compact="0" compactData="0">
  <location ref="J1:Q67" firstHeaderRow="0" firstDataRow="1" firstDataCol="1"/>
  <pivotFields>
    <pivotField name="student" axis="axisRow" compact="0" outline="0" multipleItemSelectionAllowed="1" showAll="0" sortType="ascending">
      <items>
        <item x="63"/>
        <item x="55"/>
        <item x="0"/>
        <item x="48"/>
        <item x="42"/>
        <item x="27"/>
        <item x="1"/>
        <item x="2"/>
        <item x="28"/>
        <item x="52"/>
        <item x="29"/>
        <item x="30"/>
        <item x="31"/>
        <item x="3"/>
        <item x="4"/>
        <item x="32"/>
        <item x="43"/>
        <item x="33"/>
        <item x="59"/>
        <item x="56"/>
        <item x="5"/>
        <item x="34"/>
        <item x="6"/>
        <item x="35"/>
        <item x="50"/>
        <item x="53"/>
        <item x="7"/>
        <item x="44"/>
        <item x="60"/>
        <item x="8"/>
        <item x="9"/>
        <item x="10"/>
        <item x="36"/>
        <item x="11"/>
        <item x="45"/>
        <item x="58"/>
        <item x="37"/>
        <item x="12"/>
        <item x="13"/>
        <item x="61"/>
        <item x="14"/>
        <item x="46"/>
        <item x="38"/>
        <item x="15"/>
        <item x="62"/>
        <item x="16"/>
        <item x="17"/>
        <item x="18"/>
        <item x="19"/>
        <item x="39"/>
        <item x="20"/>
        <item x="21"/>
        <item x="40"/>
        <item x="22"/>
        <item x="23"/>
        <item x="57"/>
        <item x="49"/>
        <item x="24"/>
        <item x="54"/>
        <item x="41"/>
        <item x="25"/>
        <item x="26"/>
        <item x="47"/>
        <item x="51"/>
        <item t="default"/>
      </items>
    </pivotField>
    <pivotField name="third_party_level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name="app" compact="0" outline="0" multipleItemSelectionAllowed="1" showAll="0">
      <items>
        <item x="0"/>
        <item x="1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ctivity_units_attempt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activity_units_corre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level" axis="axisCol" compact="0" outline="0" multipleItemSelectionAllowed="1" showAll="0" sortType="ascending">
      <items>
        <item x="5"/>
        <item x="0"/>
        <item x="1"/>
        <item x="2"/>
        <item x="4"/>
        <item x="3"/>
        <item t="default"/>
      </items>
    </pivotField>
    <pivotField name="order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6"/>
  </colFields>
  <dataFields>
    <dataField name="COUNTA of third_party_level_id" fld="1" subtotal="count" baseField="0"/>
  </dataFields>
</pivotTableDefinition>
</file>

<file path=xl/pivotTables/pivotTable2.xml><?xml version="1.0" encoding="utf-8"?>
<pivotTableDefinition xmlns="http://schemas.openxmlformats.org/spreadsheetml/2006/main" name="add-20250310-26" cacheId="1" dataCaption="" compact="0" compactData="0">
  <location ref="U2:X15" firstHeaderRow="0" firstDataRow="3" firstDataCol="0"/>
  <pivotFields>
    <pivotField name="Level" compact="0" outline="0" multipleItemSelectionAllowed="1" showAll="0">
      <items>
        <item x="0"/>
        <item x="1"/>
        <item x="2"/>
        <item t="default"/>
      </items>
    </pivotField>
    <pivotField name="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ject" compact="0" outline="0" multipleItemSelectionAllowed="1" showAll="0">
      <items>
        <item x="0"/>
        <item t="default"/>
      </items>
    </pivotField>
    <pivotField name="App" compact="0" outline="0" multipleItemSelectionAllowed="1" showAll="0">
      <items>
        <item x="0"/>
        <item x="1"/>
        <item x="2"/>
        <item t="default"/>
      </items>
    </pivotField>
    <pivotField name="Cour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nti-patterns" compact="0" outline="0" multipleItemSelectionAllowed="1" showAll="0">
      <items>
        <item x="0"/>
        <item x="1"/>
        <item t="default"/>
      </items>
    </pivotField>
    <pivotField name="Anti-pattern count" compact="0" outline="0" multipleItemSelectionAllowed="1" showAll="0">
      <items>
        <item x="0"/>
        <item x="1"/>
        <item t="default"/>
      </items>
    </pivotField>
    <pivotField name="Lessons master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sential Lessons Mastered" compact="0" outline="0" multipleItemSelectionAllowed="1" showAll="0">
      <items>
        <item x="0"/>
        <item t="default"/>
      </items>
    </pivotField>
    <pivotField name="Correct 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ccurac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name="Mastered at least 1 lesson?" axis="axisRow" compact="0" outline="0" multipleItemSelectionAllowed="1" showAll="0" sortType="ascending">
      <items>
        <item x="1"/>
        <item x="0"/>
        <item t="default"/>
      </items>
    </pivotField>
    <pivotField name="Spent time in the lesson?" axis="axisRow" compact="0" outline="0" multipleItemSelectionAllowed="1" showAll="0" sortType="ascending">
      <items>
        <item x="1"/>
        <item x="0"/>
        <item t="default"/>
      </items>
    </pivotField>
    <pivotField name="Spent &lt;30 min?" axis="axisRow" compact="0" outline="0" multipleItemSelectionAllowed="1" showAll="0" sortType="ascending">
      <items>
        <item x="1"/>
        <item x="0"/>
        <item t="default"/>
      </items>
    </pivotField>
    <pivotField name="Minutes per lesson master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14"/>
    <field x="15"/>
    <field x="16"/>
  </rowFields>
  <dataFields>
    <dataField name="AVERAGE of Minutes per lesson mastered" fld="17" subtotal="average" baseField="0"/>
  </dataFields>
</pivotTableDefinition>
</file>

<file path=xl/pivotTables/pivotTable3.xml><?xml version="1.0" encoding="utf-8"?>
<pivotTableDefinition xmlns="http://schemas.openxmlformats.org/spreadsheetml/2006/main" name="add-20250310-26 2" cacheId="1" dataCaption="" compact="0" compactData="0">
  <location ref="U19:X32" firstHeaderRow="0" firstDataRow="3" firstDataCol="0"/>
  <pivotFields>
    <pivotField name="Level" compact="0" outline="0" multipleItemSelectionAllowed="1" showAll="0">
      <items>
        <item x="0"/>
        <item x="1"/>
        <item x="2"/>
        <item t="default"/>
      </items>
    </pivotField>
    <pivotField name="Studen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Subject" compact="0" outline="0" multipleItemSelectionAllowed="1" showAll="0">
      <items>
        <item x="0"/>
        <item t="default"/>
      </items>
    </pivotField>
    <pivotField name="App" compact="0" outline="0" multipleItemSelectionAllowed="1" showAll="0">
      <items>
        <item x="0"/>
        <item x="1"/>
        <item x="2"/>
        <item t="default"/>
      </items>
    </pivotField>
    <pivotField name="Cours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Anti-patterns" compact="0" outline="0" multipleItemSelectionAllowed="1" showAll="0">
      <items>
        <item x="0"/>
        <item x="1"/>
        <item t="default"/>
      </items>
    </pivotField>
    <pivotField name="Anti-pattern count" compact="0" outline="0" multipleItemSelectionAllowed="1" showAll="0">
      <items>
        <item x="0"/>
        <item x="1"/>
        <item t="default"/>
      </items>
    </pivotField>
    <pivotField name="Lessons mastere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Essential Lessons Mastered" compact="0" outline="0" multipleItemSelectionAllowed="1" showAll="0">
      <items>
        <item x="0"/>
        <item t="default"/>
      </items>
    </pivotField>
    <pivotField name="Correct 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t="default"/>
      </items>
    </pivotField>
    <pivotField name="Total Question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  <pivotField name="Accurac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Minut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t="default"/>
      </items>
    </pivotField>
    <pivotField name="Mastered at least 1 lesson?" axis="axisRow" compact="0" outline="0" multipleItemSelectionAllowed="1" showAll="0" sortType="ascending">
      <items>
        <item x="1"/>
        <item x="0"/>
        <item t="default"/>
      </items>
    </pivotField>
    <pivotField name="Spent time in the lesson?" axis="axisRow" compact="0" outline="0" multipleItemSelectionAllowed="1" showAll="0" sortType="ascending">
      <items>
        <item x="1"/>
        <item x="0"/>
        <item t="default"/>
      </items>
    </pivotField>
    <pivotField name="Spent &lt;30 min?" axis="axisRow" compact="0" outline="0" multipleItemSelectionAllowed="1" showAll="0" sortType="ascending">
      <items>
        <item x="1"/>
        <item x="0"/>
        <item t="default"/>
      </items>
    </pivotField>
    <pivotField name="Minutes per lesson mastere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14"/>
    <field x="15"/>
    <field x="16"/>
  </rowFields>
  <dataFields>
    <dataField name="AVERAGE of Accuracy" fld="12" subtotal="average" baseField="0"/>
  </dataFields>
</pivotTableDefinition>
</file>

<file path=xl/tables/table1.xml><?xml version="1.0" encoding="utf-8"?>
<table xmlns="http://schemas.openxmlformats.org/spreadsheetml/2006/main" ref="A1:I176" displayName="Table1" name="Table1" id="1">
  <tableColumns count="9">
    <tableColumn name="skill_id" id="1"/>
    <tableColumn name="name" id="2"/>
    <tableColumn name="QS_ID" id="3"/>
    <tableColumn name="app" id="4"/>
    <tableColumn name="order" id="5"/>
    <tableColumn name="grade" id="6"/>
    <tableColumn name="Course" id="7"/>
    <tableColumn name="URL" id="8"/>
    <tableColumn name="Activity Description" id="9"/>
  </tableColumns>
  <tableStyleInfo name="new-aw-skill-plan 2025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pivotTable" Target="../pivotTables/pivotTable3.xm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hawrite.alpha.school/practice/4/2/write-sentence-from-prompt" TargetMode="External"/><Relationship Id="rId42" Type="http://schemas.openxmlformats.org/officeDocument/2006/relationships/hyperlink" Target="https://alphawrite.alpha.school/practice/4/2/identify-topic-sentence" TargetMode="External"/><Relationship Id="rId41" Type="http://schemas.openxmlformats.org/officeDocument/2006/relationships/hyperlink" Target="https://alphawrite.alpha.school/practice/4/2/combine-sentences-with-appositives" TargetMode="External"/><Relationship Id="rId44" Type="http://schemas.openxmlformats.org/officeDocument/2006/relationships/hyperlink" Target="http://alphawrite.alpha.school/practice/4/2/identify-ts-and-sequence-details" TargetMode="External"/><Relationship Id="rId43" Type="http://schemas.openxmlformats.org/officeDocument/2006/relationships/hyperlink" Target="https://alphawrite.alpha.school/practice/4/2/topic-brainstorm" TargetMode="External"/><Relationship Id="rId46" Type="http://schemas.openxmlformats.org/officeDocument/2006/relationships/hyperlink" Target="https://alphawrite.alpha.school/practice/4/2/write-ts-from-details" TargetMode="External"/><Relationship Id="rId45" Type="http://schemas.openxmlformats.org/officeDocument/2006/relationships/hyperlink" Target="https://alphawrite.alpha.school/practice/4/2/eliminate-irrelevant-sentences" TargetMode="External"/><Relationship Id="rId107" Type="http://schemas.openxmlformats.org/officeDocument/2006/relationships/hyperlink" Target="https://alphawrite.alpha.school/practice/6/2/writing-spos" TargetMode="External"/><Relationship Id="rId106" Type="http://schemas.openxmlformats.org/officeDocument/2006/relationships/hyperlink" Target="https://alphawrite.alpha.school/practice/6/2/turn-paragraph-into-spo" TargetMode="External"/><Relationship Id="rId105" Type="http://schemas.openxmlformats.org/officeDocument/2006/relationships/hyperlink" Target="https://alphawrite.alpha.school/practice/6/2/make-topic-sentences" TargetMode="External"/><Relationship Id="rId104" Type="http://schemas.openxmlformats.org/officeDocument/2006/relationships/hyperlink" Target="https://alphawrite.alpha.school/practice/6/2/eliminate-irrelevant-sentences" TargetMode="External"/><Relationship Id="rId109" Type="http://schemas.openxmlformats.org/officeDocument/2006/relationships/hyperlink" Target="https://alphawrite.alpha.school/practice/6/2/elaborate-paragraphs" TargetMode="External"/><Relationship Id="rId108" Type="http://schemas.openxmlformats.org/officeDocument/2006/relationships/hyperlink" Target="https://alphawrite.alpha.school/practice/6/2/turn-outline-into-draft" TargetMode="External"/><Relationship Id="rId48" Type="http://schemas.openxmlformats.org/officeDocument/2006/relationships/hyperlink" Target="https://alphawrite.alpha.school/practice/4/2/make-topic-sentences" TargetMode="External"/><Relationship Id="rId47" Type="http://schemas.openxmlformats.org/officeDocument/2006/relationships/hyperlink" Target="https://alphawrite.alpha.school/practice/4/2/write-cs-from-details" TargetMode="External"/><Relationship Id="rId49" Type="http://schemas.openxmlformats.org/officeDocument/2006/relationships/hyperlink" Target="https://alphawrite.alpha.school/practice/4/2/use-three-strategies" TargetMode="External"/><Relationship Id="rId103" Type="http://schemas.openxmlformats.org/officeDocument/2006/relationships/hyperlink" Target="https://alphawrite.alpha.school/practice/6/2/identify-ts-and-sequence-details/new" TargetMode="External"/><Relationship Id="rId102" Type="http://schemas.openxmlformats.org/officeDocument/2006/relationships/hyperlink" Target="https://alphawrite.alpha.school/practice/6/2/topic-brainstorm" TargetMode="External"/><Relationship Id="rId101" Type="http://schemas.openxmlformats.org/officeDocument/2006/relationships/hyperlink" Target="https://alphawrite.alpha.school/practice/6/2/identify-topic-sentence" TargetMode="External"/><Relationship Id="rId100" Type="http://schemas.openxmlformats.org/officeDocument/2006/relationships/hyperlink" Target="https://alphawrite.alpha.school/practice/6/2/kernel-expansion" TargetMode="External"/><Relationship Id="rId31" Type="http://schemas.openxmlformats.org/officeDocument/2006/relationships/hyperlink" Target="https://alphawrite.alpha.school/practice/4/2/change-sentence-type" TargetMode="External"/><Relationship Id="rId30" Type="http://schemas.openxmlformats.org/officeDocument/2006/relationships/hyperlink" Target="https://alphawrite.alpha.school/practice/4/2/change-sentence-into-question" TargetMode="External"/><Relationship Id="rId33" Type="http://schemas.openxmlformats.org/officeDocument/2006/relationships/hyperlink" Target="https://alphawrite.alpha.school/practice/4/2/write-sentence-about-picture" TargetMode="External"/><Relationship Id="rId32" Type="http://schemas.openxmlformats.org/officeDocument/2006/relationships/hyperlink" Target="https://alphawrite.alpha.school/practice/4/2/write-sentence-type" TargetMode="External"/><Relationship Id="rId35" Type="http://schemas.openxmlformats.org/officeDocument/2006/relationships/hyperlink" Target="https://alphawrite.alpha.school/practice/4/2/identify-appositives" TargetMode="External"/><Relationship Id="rId34" Type="http://schemas.openxmlformats.org/officeDocument/2006/relationships/hyperlink" Target="https://alphawrite.alpha.school/practice/4/2/basic-conjunctions" TargetMode="External"/><Relationship Id="rId37" Type="http://schemas.openxmlformats.org/officeDocument/2006/relationships/hyperlink" Target="https://alphawrite.alpha.school/practice/4/2/subordinating-conjunctions" TargetMode="External"/><Relationship Id="rId36" Type="http://schemas.openxmlformats.org/officeDocument/2006/relationships/hyperlink" Target="https://alphawrite.alpha.school/practice/4/2/write-appositives" TargetMode="External"/><Relationship Id="rId39" Type="http://schemas.openxmlformats.org/officeDocument/2006/relationships/hyperlink" Target="https://alphawrite.alpha.school/practice/4/2/kernel-expansion" TargetMode="External"/><Relationship Id="rId38" Type="http://schemas.openxmlformats.org/officeDocument/2006/relationships/hyperlink" Target="https://alphawrite.alpha.school/practice/4/2/combine-sentences" TargetMode="External"/><Relationship Id="rId20" Type="http://schemas.openxmlformats.org/officeDocument/2006/relationships/hyperlink" Target="https://alphawrite.alpha.school/practice/3/2/write-ts-from-details" TargetMode="External"/><Relationship Id="rId22" Type="http://schemas.openxmlformats.org/officeDocument/2006/relationships/hyperlink" Target="https://alphawrite.alpha.school/practice/3/2/make-topic-sentences" TargetMode="External"/><Relationship Id="rId21" Type="http://schemas.openxmlformats.org/officeDocument/2006/relationships/hyperlink" Target="https://alphawrite.alpha.school/practice/3/2/write-cs-from-details" TargetMode="External"/><Relationship Id="rId24" Type="http://schemas.openxmlformats.org/officeDocument/2006/relationships/hyperlink" Target="https://alphawrite.alpha.school/practice/3/2/turn-paragraph-into-spo" TargetMode="External"/><Relationship Id="rId23" Type="http://schemas.openxmlformats.org/officeDocument/2006/relationships/hyperlink" Target="https://alphawrite.alpha.school/practice/3/2/use-three-strategies" TargetMode="External"/><Relationship Id="rId129" Type="http://schemas.openxmlformats.org/officeDocument/2006/relationships/hyperlink" Target="https://alphawrite.alpha.school/practice/7/2/make-topic-sentences" TargetMode="External"/><Relationship Id="rId128" Type="http://schemas.openxmlformats.org/officeDocument/2006/relationships/hyperlink" Target="https://alphawrite.alpha.school/practice/7/2/eliminate-irrelevant-sentences" TargetMode="External"/><Relationship Id="rId127" Type="http://schemas.openxmlformats.org/officeDocument/2006/relationships/hyperlink" Target="https://alphawrite.alpha.school/practice/7/2/identify-ts-and-sequence-details" TargetMode="External"/><Relationship Id="rId126" Type="http://schemas.openxmlformats.org/officeDocument/2006/relationships/hyperlink" Target="https://alphawrite.alpha.school/practice/7/2/topic-brainstorm" TargetMode="External"/><Relationship Id="rId26" Type="http://schemas.openxmlformats.org/officeDocument/2006/relationships/hyperlink" Target="https://alphawrite.alpha.school/practice/3/2/write-paragraph-from-prompt" TargetMode="External"/><Relationship Id="rId121" Type="http://schemas.openxmlformats.org/officeDocument/2006/relationships/hyperlink" Target="https://alphawrite.alpha.school/practice/7/2/write-appositives" TargetMode="External"/><Relationship Id="rId25" Type="http://schemas.openxmlformats.org/officeDocument/2006/relationships/hyperlink" Target="https://alphawrite.alpha.school/practice/3/2/using-transition-words" TargetMode="External"/><Relationship Id="rId120" Type="http://schemas.openxmlformats.org/officeDocument/2006/relationships/hyperlink" Target="https://alphawrite.alpha.school/practice/7/2/identify-appositives" TargetMode="External"/><Relationship Id="rId28" Type="http://schemas.openxmlformats.org/officeDocument/2006/relationships/hyperlink" Target="https://alphawrite.alpha.school/practice/4/2/unscramble-sentences" TargetMode="External"/><Relationship Id="rId27" Type="http://schemas.openxmlformats.org/officeDocument/2006/relationships/hyperlink" Target="https://alphawrite.alpha.school/practice/4/2/fragment-or-sentence" TargetMode="External"/><Relationship Id="rId125" Type="http://schemas.openxmlformats.org/officeDocument/2006/relationships/hyperlink" Target="https://alphawrite.alpha.school/practice/7/2/identify-topic-sentence" TargetMode="External"/><Relationship Id="rId29" Type="http://schemas.openxmlformats.org/officeDocument/2006/relationships/hyperlink" Target="https://alphawrite.alpha.school/practice/4/2/identify-sentence-type" TargetMode="External"/><Relationship Id="rId124" Type="http://schemas.openxmlformats.org/officeDocument/2006/relationships/hyperlink" Target="https://alphawrite.alpha.school/practice/7/2/kernel-expansion" TargetMode="External"/><Relationship Id="rId123" Type="http://schemas.openxmlformats.org/officeDocument/2006/relationships/hyperlink" Target="https://alphawrite.alpha.school/practice/7/2/combine-sentences" TargetMode="External"/><Relationship Id="rId122" Type="http://schemas.openxmlformats.org/officeDocument/2006/relationships/hyperlink" Target="https://alphawrite.alpha.school/practice/7/2/subordinating-conjunctions" TargetMode="External"/><Relationship Id="rId95" Type="http://schemas.openxmlformats.org/officeDocument/2006/relationships/hyperlink" Target="https://alphawrite.alpha.school/practice/6/2/basic-conjunctions" TargetMode="External"/><Relationship Id="rId94" Type="http://schemas.openxmlformats.org/officeDocument/2006/relationships/hyperlink" Target="https://alphawrite.alpha.school/practice/6/2/write-sentence-about-picture" TargetMode="External"/><Relationship Id="rId97" Type="http://schemas.openxmlformats.org/officeDocument/2006/relationships/hyperlink" Target="https://alphawrite.alpha.school/practice/6/2/write-appositives" TargetMode="External"/><Relationship Id="rId96" Type="http://schemas.openxmlformats.org/officeDocument/2006/relationships/hyperlink" Target="https://alphawrite.alpha.school/practice/6/2/identify-appositives" TargetMode="External"/><Relationship Id="rId11" Type="http://schemas.openxmlformats.org/officeDocument/2006/relationships/hyperlink" Target="https://alphawrite.alpha.school/practice/3/2/subordinating-conjunctions" TargetMode="External"/><Relationship Id="rId99" Type="http://schemas.openxmlformats.org/officeDocument/2006/relationships/hyperlink" Target="https://alphawrite.alpha.school/practice/6/2/combine-sentences" TargetMode="External"/><Relationship Id="rId10" Type="http://schemas.openxmlformats.org/officeDocument/2006/relationships/hyperlink" Target="https://alphawrite.alpha.school/practice/3/2/write-appositives" TargetMode="External"/><Relationship Id="rId98" Type="http://schemas.openxmlformats.org/officeDocument/2006/relationships/hyperlink" Target="https://alphawrite.alpha.school/practice/6/2/subordinating-conjunctions" TargetMode="External"/><Relationship Id="rId13" Type="http://schemas.openxmlformats.org/officeDocument/2006/relationships/hyperlink" Target="https://alphawrite.alpha.school/practice/3/2/kernel-expansion" TargetMode="External"/><Relationship Id="rId12" Type="http://schemas.openxmlformats.org/officeDocument/2006/relationships/hyperlink" Target="https://alphawrite.alpha.school/practice/3/2/combine-sentences" TargetMode="External"/><Relationship Id="rId91" Type="http://schemas.openxmlformats.org/officeDocument/2006/relationships/hyperlink" Target="https://alphawrite.alpha.school/practice/6/2/identify-sentence-type" TargetMode="External"/><Relationship Id="rId90" Type="http://schemas.openxmlformats.org/officeDocument/2006/relationships/hyperlink" Target="https://alphawrite.alpha.school/practice/6/2/unscramble-sentences" TargetMode="External"/><Relationship Id="rId93" Type="http://schemas.openxmlformats.org/officeDocument/2006/relationships/hyperlink" Target="https://alphawrite.alpha.school/practice/6/2/write-sentence-type" TargetMode="External"/><Relationship Id="rId92" Type="http://schemas.openxmlformats.org/officeDocument/2006/relationships/hyperlink" Target="http://alphawrite.alpha.school/practice/6/2/change-sentence-type" TargetMode="External"/><Relationship Id="rId118" Type="http://schemas.openxmlformats.org/officeDocument/2006/relationships/hyperlink" Target="https://alphawrite.alpha.school/practice/7/2/write-sentence-about-picture" TargetMode="External"/><Relationship Id="rId117" Type="http://schemas.openxmlformats.org/officeDocument/2006/relationships/hyperlink" Target="https://alphawrite.alpha.school/practice/7/2/write-sentence-type" TargetMode="External"/><Relationship Id="rId116" Type="http://schemas.openxmlformats.org/officeDocument/2006/relationships/hyperlink" Target="https://alphawrite.alpha.school/practice/7/2/change-sentence-type" TargetMode="External"/><Relationship Id="rId115" Type="http://schemas.openxmlformats.org/officeDocument/2006/relationships/hyperlink" Target="https://alphawrite.alpha.school/practice/7/2/identify-sentence-type" TargetMode="External"/><Relationship Id="rId119" Type="http://schemas.openxmlformats.org/officeDocument/2006/relationships/hyperlink" Target="https://alphawrite.alpha.school/practice/7/2/basic-conjunctions" TargetMode="External"/><Relationship Id="rId15" Type="http://schemas.openxmlformats.org/officeDocument/2006/relationships/hyperlink" Target="https://alphawrite.alpha.school/practice/3/2/combine-sentences-with-appositives" TargetMode="External"/><Relationship Id="rId110" Type="http://schemas.openxmlformats.org/officeDocument/2006/relationships/hyperlink" Target="https://alphawrite.alpha.school/practice/6/2/using-transition-words" TargetMode="External"/><Relationship Id="rId14" Type="http://schemas.openxmlformats.org/officeDocument/2006/relationships/hyperlink" Target="https://alphawrite.alpha.school/practice/3/2/write-sentence-from-prompt" TargetMode="External"/><Relationship Id="rId17" Type="http://schemas.openxmlformats.org/officeDocument/2006/relationships/hyperlink" Target="https://alphawrite.alpha.school/practice/3/2/topic-brainstorm" TargetMode="External"/><Relationship Id="rId16" Type="http://schemas.openxmlformats.org/officeDocument/2006/relationships/hyperlink" Target="https://alphawrite.alpha.school/practice/3/2/identify-topic-sentence" TargetMode="External"/><Relationship Id="rId19" Type="http://schemas.openxmlformats.org/officeDocument/2006/relationships/hyperlink" Target="https://alphawrite.alpha.school/practice/3/2/eliminate-irrelevant-sentences" TargetMode="External"/><Relationship Id="rId114" Type="http://schemas.openxmlformats.org/officeDocument/2006/relationships/hyperlink" Target="https://alphawrite.alpha.school/practice/7/2/unscramble-sentences" TargetMode="External"/><Relationship Id="rId18" Type="http://schemas.openxmlformats.org/officeDocument/2006/relationships/hyperlink" Target="https://alphawrite.alpha.school/practice/3/2/identify-ts-and-sequence-details" TargetMode="External"/><Relationship Id="rId113" Type="http://schemas.openxmlformats.org/officeDocument/2006/relationships/hyperlink" Target="https://alphawrite.alpha.school/practice/7/2/fragment-or-sentence" TargetMode="External"/><Relationship Id="rId112" Type="http://schemas.openxmlformats.org/officeDocument/2006/relationships/hyperlink" Target="https://alphawrite.alpha.school/practice/6/2/write-freeform-paragraph" TargetMode="External"/><Relationship Id="rId111" Type="http://schemas.openxmlformats.org/officeDocument/2006/relationships/hyperlink" Target="https://alphawrite.alpha.school/practice/6/2/finishing-transition-words" TargetMode="External"/><Relationship Id="rId84" Type="http://schemas.openxmlformats.org/officeDocument/2006/relationships/hyperlink" Target="https://alphawrite.alpha.school/practice/5/2/elaborate-paragraphs" TargetMode="External"/><Relationship Id="rId83" Type="http://schemas.openxmlformats.org/officeDocument/2006/relationships/hyperlink" Target="https://alphawrite.alpha.school/practice/5/2/turn-outline-into-draft" TargetMode="External"/><Relationship Id="rId86" Type="http://schemas.openxmlformats.org/officeDocument/2006/relationships/hyperlink" Target="https://alphawrite.alpha.school/practice/5/2/finishing-transition-words" TargetMode="External"/><Relationship Id="rId85" Type="http://schemas.openxmlformats.org/officeDocument/2006/relationships/hyperlink" Target="https://alphawrite.alpha.school/practice/5/2/using-transition-words" TargetMode="External"/><Relationship Id="rId88" Type="http://schemas.openxmlformats.org/officeDocument/2006/relationships/hyperlink" Target="https://alphawrite.alpha.school/practice/5/2/write-freeform-paragraph" TargetMode="External"/><Relationship Id="rId150" Type="http://schemas.openxmlformats.org/officeDocument/2006/relationships/hyperlink" Target="https://alphawrite.alpha.school/practice/8/2/topic-brainstorm" TargetMode="External"/><Relationship Id="rId87" Type="http://schemas.openxmlformats.org/officeDocument/2006/relationships/hyperlink" Target="https://alphawrite.alpha.school/practice/5/2/write-paragraph-from-prompt" TargetMode="External"/><Relationship Id="rId89" Type="http://schemas.openxmlformats.org/officeDocument/2006/relationships/hyperlink" Target="https://alphawrite.alpha.school/practice/6/2/fragment-or-sentence" TargetMode="External"/><Relationship Id="rId80" Type="http://schemas.openxmlformats.org/officeDocument/2006/relationships/hyperlink" Target="https://alphawrite.alpha.school/practice/5/2/use-three-strategies" TargetMode="External"/><Relationship Id="rId82" Type="http://schemas.openxmlformats.org/officeDocument/2006/relationships/hyperlink" Target="https://alphawrite.alpha.school/practice/5/2/writing-spos" TargetMode="External"/><Relationship Id="rId81" Type="http://schemas.openxmlformats.org/officeDocument/2006/relationships/hyperlink" Target="https://alphawrite.alpha.school/practice/5/2/turn-paragraph-into-spo" TargetMode="External"/><Relationship Id="rId1" Type="http://schemas.openxmlformats.org/officeDocument/2006/relationships/hyperlink" Target="https://alphawrite.alpha.school/practice/3/2/fragment-or-sentence" TargetMode="External"/><Relationship Id="rId2" Type="http://schemas.openxmlformats.org/officeDocument/2006/relationships/hyperlink" Target="https://alphawrite.alpha.school/practice/3/2/unscramble-sentences" TargetMode="External"/><Relationship Id="rId3" Type="http://schemas.openxmlformats.org/officeDocument/2006/relationships/hyperlink" Target="https://alphawrite.alpha.school/practice/3/2/identify-sentence-type" TargetMode="External"/><Relationship Id="rId149" Type="http://schemas.openxmlformats.org/officeDocument/2006/relationships/hyperlink" Target="https://alphawrite.alpha.school/practice/8/2/identify-topic-sentence" TargetMode="External"/><Relationship Id="rId4" Type="http://schemas.openxmlformats.org/officeDocument/2006/relationships/hyperlink" Target="https://alphawrite.alpha.school/practice/3/2/change-sentence-into-question" TargetMode="External"/><Relationship Id="rId148" Type="http://schemas.openxmlformats.org/officeDocument/2006/relationships/hyperlink" Target="https://alphawrite.alpha.school/practice/8/2/kernel-expansion" TargetMode="External"/><Relationship Id="rId9" Type="http://schemas.openxmlformats.org/officeDocument/2006/relationships/hyperlink" Target="https://alphawrite.alpha.school/practice/3/2/identify-appositives" TargetMode="External"/><Relationship Id="rId143" Type="http://schemas.openxmlformats.org/officeDocument/2006/relationships/hyperlink" Target="https://alphawrite.alpha.school/practice/8/2/basic-conjunctions" TargetMode="External"/><Relationship Id="rId142" Type="http://schemas.openxmlformats.org/officeDocument/2006/relationships/hyperlink" Target="https://alphawrite.alpha.school/practice/8/2/write-sentence-about-picture" TargetMode="External"/><Relationship Id="rId141" Type="http://schemas.openxmlformats.org/officeDocument/2006/relationships/hyperlink" Target="https://alphawrite.alpha.school/practice/8/2/write-sentence-type" TargetMode="External"/><Relationship Id="rId140" Type="http://schemas.openxmlformats.org/officeDocument/2006/relationships/hyperlink" Target="https://alphawrite.alpha.school/practice/8/2/change-sentence-type" TargetMode="External"/><Relationship Id="rId5" Type="http://schemas.openxmlformats.org/officeDocument/2006/relationships/hyperlink" Target="https://alphawrite.alpha.school/practice/3/2/change-sentence-type" TargetMode="External"/><Relationship Id="rId147" Type="http://schemas.openxmlformats.org/officeDocument/2006/relationships/hyperlink" Target="https://alphawrite.alpha.school/practice/8/2/combine-sentences" TargetMode="External"/><Relationship Id="rId6" Type="http://schemas.openxmlformats.org/officeDocument/2006/relationships/hyperlink" Target="https://alphawrite.alpha.school/practice/3/2/write-sentence-type" TargetMode="External"/><Relationship Id="rId146" Type="http://schemas.openxmlformats.org/officeDocument/2006/relationships/hyperlink" Target="https://alphawrite.alpha.school/practice/8/2/subordinating-conjunctions" TargetMode="External"/><Relationship Id="rId7" Type="http://schemas.openxmlformats.org/officeDocument/2006/relationships/hyperlink" Target="https://alphawrite.alpha.school/practice/3/2/write-sentence-about-picture" TargetMode="External"/><Relationship Id="rId145" Type="http://schemas.openxmlformats.org/officeDocument/2006/relationships/hyperlink" Target="https://alphawrite.alpha.school/practice/8/2/write-appositives" TargetMode="External"/><Relationship Id="rId8" Type="http://schemas.openxmlformats.org/officeDocument/2006/relationships/hyperlink" Target="https://alphawrite.alpha.school/practice/3/2/basic-conjunctions" TargetMode="External"/><Relationship Id="rId144" Type="http://schemas.openxmlformats.org/officeDocument/2006/relationships/hyperlink" Target="https://alphawrite.alpha.school/practice/8/2/identify-appositives" TargetMode="External"/><Relationship Id="rId73" Type="http://schemas.openxmlformats.org/officeDocument/2006/relationships/hyperlink" Target="https://alphawrite.alpha.school/practice/5/2/identify-topic-sentence" TargetMode="External"/><Relationship Id="rId72" Type="http://schemas.openxmlformats.org/officeDocument/2006/relationships/hyperlink" Target="https://alphawrite.alpha.school/practice/5/2/combine-sentences-with-appositives" TargetMode="External"/><Relationship Id="rId75" Type="http://schemas.openxmlformats.org/officeDocument/2006/relationships/hyperlink" Target="https://alphawrite.alpha.school/practice/5/2/identify-ts-and-sequence-details" TargetMode="External"/><Relationship Id="rId74" Type="http://schemas.openxmlformats.org/officeDocument/2006/relationships/hyperlink" Target="https://alphawrite.alpha.school/practice/5/2/topic-brainstorm" TargetMode="External"/><Relationship Id="rId77" Type="http://schemas.openxmlformats.org/officeDocument/2006/relationships/hyperlink" Target="https://alphawrite.alpha.school/practice/5/2/write-ts-from-details" TargetMode="External"/><Relationship Id="rId76" Type="http://schemas.openxmlformats.org/officeDocument/2006/relationships/hyperlink" Target="https://alphawrite.alpha.school/practice/5/2/eliminate-irrelevant-sentences" TargetMode="External"/><Relationship Id="rId79" Type="http://schemas.openxmlformats.org/officeDocument/2006/relationships/hyperlink" Target="https://alphawrite.alpha.school/practice/5/2/make-topic-sentences" TargetMode="External"/><Relationship Id="rId78" Type="http://schemas.openxmlformats.org/officeDocument/2006/relationships/hyperlink" Target="https://alphawrite.alpha.school/practice/5/2/write-cs-from-details" TargetMode="External"/><Relationship Id="rId71" Type="http://schemas.openxmlformats.org/officeDocument/2006/relationships/hyperlink" Target="https://alphawrite.alpha.school/practice/5/2/write-sentence-from-prompt" TargetMode="External"/><Relationship Id="rId70" Type="http://schemas.openxmlformats.org/officeDocument/2006/relationships/hyperlink" Target="https://alphawrite.alpha.school/practice/5/2/kernel-expansion" TargetMode="External"/><Relationship Id="rId139" Type="http://schemas.openxmlformats.org/officeDocument/2006/relationships/hyperlink" Target="https://alphawrite.alpha.school/practice/8/2/identify-sentence-type" TargetMode="External"/><Relationship Id="rId138" Type="http://schemas.openxmlformats.org/officeDocument/2006/relationships/hyperlink" Target="https://alphawrite.alpha.school/practice/8/2/unscramble-sentences" TargetMode="External"/><Relationship Id="rId137" Type="http://schemas.openxmlformats.org/officeDocument/2006/relationships/hyperlink" Target="https://alphawrite.alpha.school/practice/8/2/fragment-or-sentence" TargetMode="External"/><Relationship Id="rId132" Type="http://schemas.openxmlformats.org/officeDocument/2006/relationships/hyperlink" Target="https://alphawrite.alpha.school/practice/7/2/turn-outline-into-draft" TargetMode="External"/><Relationship Id="rId131" Type="http://schemas.openxmlformats.org/officeDocument/2006/relationships/hyperlink" Target="https://alphawrite.alpha.school/practice/7/2/writing-spos" TargetMode="External"/><Relationship Id="rId130" Type="http://schemas.openxmlformats.org/officeDocument/2006/relationships/hyperlink" Target="https://alphawrite.alpha.school/practice/7/2/turn-paragraph-into-spo" TargetMode="External"/><Relationship Id="rId136" Type="http://schemas.openxmlformats.org/officeDocument/2006/relationships/hyperlink" Target="https://alphawrite.alpha.school/practice/7/2/write-freeform-paragraph" TargetMode="External"/><Relationship Id="rId135" Type="http://schemas.openxmlformats.org/officeDocument/2006/relationships/hyperlink" Target="https://alphawrite.alpha.school/practice/7/2/finishing-transition-words" TargetMode="External"/><Relationship Id="rId134" Type="http://schemas.openxmlformats.org/officeDocument/2006/relationships/hyperlink" Target="https://alphawrite.alpha.school/practice/7/2/using-transition-words" TargetMode="External"/><Relationship Id="rId133" Type="http://schemas.openxmlformats.org/officeDocument/2006/relationships/hyperlink" Target="https://alphawrite.alpha.school/practice/7/2/elaborate-paragraphs" TargetMode="External"/><Relationship Id="rId62" Type="http://schemas.openxmlformats.org/officeDocument/2006/relationships/hyperlink" Target="https://alphawrite.alpha.school/practice/5/2/change-sentence-type" TargetMode="External"/><Relationship Id="rId61" Type="http://schemas.openxmlformats.org/officeDocument/2006/relationships/hyperlink" Target="https://alphawrite.alpha.school/practice/5/2/change-sentence-into-question" TargetMode="External"/><Relationship Id="rId64" Type="http://schemas.openxmlformats.org/officeDocument/2006/relationships/hyperlink" Target="https://alphawrite.alpha.school/practice/5/2/write-sentence-about-picture" TargetMode="External"/><Relationship Id="rId63" Type="http://schemas.openxmlformats.org/officeDocument/2006/relationships/hyperlink" Target="https://alphawrite.alpha.school/practice/5/2/write-sentence-type" TargetMode="External"/><Relationship Id="rId66" Type="http://schemas.openxmlformats.org/officeDocument/2006/relationships/hyperlink" Target="https://alphawrite.alpha.school/practice/5/2/identify-appositives" TargetMode="External"/><Relationship Id="rId65" Type="http://schemas.openxmlformats.org/officeDocument/2006/relationships/hyperlink" Target="https://alphawrite.alpha.school/practice/5/2/basic-conjunctions" TargetMode="External"/><Relationship Id="rId68" Type="http://schemas.openxmlformats.org/officeDocument/2006/relationships/hyperlink" Target="https://alphawrite.alpha.school/practice/5/2/subordinating-conjunctions" TargetMode="External"/><Relationship Id="rId67" Type="http://schemas.openxmlformats.org/officeDocument/2006/relationships/hyperlink" Target="https://alphawrite.alpha.school/practice/5/2/write-appositives" TargetMode="External"/><Relationship Id="rId60" Type="http://schemas.openxmlformats.org/officeDocument/2006/relationships/hyperlink" Target="https://alphawrite.alpha.school/practice/5/2/identify-sentence-type" TargetMode="External"/><Relationship Id="rId69" Type="http://schemas.openxmlformats.org/officeDocument/2006/relationships/hyperlink" Target="https://alphawrite.alpha.school/practice/5/2/combine-sentences" TargetMode="External"/><Relationship Id="rId163" Type="http://schemas.openxmlformats.org/officeDocument/2006/relationships/table" Target="../tables/table1.xml"/><Relationship Id="rId51" Type="http://schemas.openxmlformats.org/officeDocument/2006/relationships/hyperlink" Target="https://alphawrite.alpha.school/practice/4/2/writing-spos" TargetMode="External"/><Relationship Id="rId50" Type="http://schemas.openxmlformats.org/officeDocument/2006/relationships/hyperlink" Target="https://alphawrite.alpha.school/practice/4/2/turn-paragraph-into-spo" TargetMode="External"/><Relationship Id="rId53" Type="http://schemas.openxmlformats.org/officeDocument/2006/relationships/hyperlink" Target="https://alphawrite.alpha.school/practice/4/2/elaborate-paragraphs" TargetMode="External"/><Relationship Id="rId52" Type="http://schemas.openxmlformats.org/officeDocument/2006/relationships/hyperlink" Target="https://alphawrite.alpha.school/practice/4/2/turn-outline-into-draft" TargetMode="External"/><Relationship Id="rId55" Type="http://schemas.openxmlformats.org/officeDocument/2006/relationships/hyperlink" Target="https://alphawrite.alpha.school/practice/4/2/finishing-transition-words" TargetMode="External"/><Relationship Id="rId161" Type="http://schemas.openxmlformats.org/officeDocument/2006/relationships/drawing" Target="../drawings/drawing7.xml"/><Relationship Id="rId54" Type="http://schemas.openxmlformats.org/officeDocument/2006/relationships/hyperlink" Target="https://alphawrite.alpha.school/practice/4/2/using-transition-words" TargetMode="External"/><Relationship Id="rId160" Type="http://schemas.openxmlformats.org/officeDocument/2006/relationships/hyperlink" Target="https://alphawrite.alpha.school/practice/8/2/write-freeform-paragraph" TargetMode="External"/><Relationship Id="rId57" Type="http://schemas.openxmlformats.org/officeDocument/2006/relationships/hyperlink" Target="https://alphawrite.alpha.school/practice/4/2/write-freeform-paragraph" TargetMode="External"/><Relationship Id="rId56" Type="http://schemas.openxmlformats.org/officeDocument/2006/relationships/hyperlink" Target="https://alphawrite.alpha.school/practice/4/2/write-paragraph-from-prompt" TargetMode="External"/><Relationship Id="rId159" Type="http://schemas.openxmlformats.org/officeDocument/2006/relationships/hyperlink" Target="https://alphawrite.alpha.school/practice/8/2/finishing-transition-words" TargetMode="External"/><Relationship Id="rId59" Type="http://schemas.openxmlformats.org/officeDocument/2006/relationships/hyperlink" Target="https://alphawrite.alpha.school/practice/5/2/unscramble-sentences" TargetMode="External"/><Relationship Id="rId154" Type="http://schemas.openxmlformats.org/officeDocument/2006/relationships/hyperlink" Target="https://alphawrite.alpha.school/practice/8/2/turn-paragraph-into-spo" TargetMode="External"/><Relationship Id="rId58" Type="http://schemas.openxmlformats.org/officeDocument/2006/relationships/hyperlink" Target="https://alphawrite.alpha.school/practice/5/2/fragment-or-sentence" TargetMode="External"/><Relationship Id="rId153" Type="http://schemas.openxmlformats.org/officeDocument/2006/relationships/hyperlink" Target="https://alphawrite.alpha.school/practice/8/2/make-topic-sentences" TargetMode="External"/><Relationship Id="rId152" Type="http://schemas.openxmlformats.org/officeDocument/2006/relationships/hyperlink" Target="https://alphawrite.alpha.school/practice/8/2/eliminate-irrelevant-sentences" TargetMode="External"/><Relationship Id="rId151" Type="http://schemas.openxmlformats.org/officeDocument/2006/relationships/hyperlink" Target="https://alphawrite.alpha.school/practice/8/2/identify-ts-and-sequence-details" TargetMode="External"/><Relationship Id="rId158" Type="http://schemas.openxmlformats.org/officeDocument/2006/relationships/hyperlink" Target="https://alphawrite.alpha.school/practice/8/2/using-transition-words" TargetMode="External"/><Relationship Id="rId157" Type="http://schemas.openxmlformats.org/officeDocument/2006/relationships/hyperlink" Target="https://alphawrite.alpha.school/practice/8/2/elaborate-paragraphs" TargetMode="External"/><Relationship Id="rId156" Type="http://schemas.openxmlformats.org/officeDocument/2006/relationships/hyperlink" Target="https://alphawrite.alpha.school/practice/8/2/turn-outline-into-draft" TargetMode="External"/><Relationship Id="rId155" Type="http://schemas.openxmlformats.org/officeDocument/2006/relationships/hyperlink" Target="https://alphawrite.alpha.school/practice/8/2/writing-spos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5.75" customHeight="1">
      <c r="A2" s="1" t="s">
        <v>9</v>
      </c>
      <c r="B2" s="1" t="s">
        <v>10</v>
      </c>
      <c r="C2" s="1" t="s">
        <v>11</v>
      </c>
      <c r="D2" s="5">
        <v>45742.0</v>
      </c>
      <c r="E2" s="1">
        <v>38.0</v>
      </c>
      <c r="F2" s="1">
        <v>30.0</v>
      </c>
      <c r="G2" s="1" t="str">
        <f t="shared" ref="G2:G274" si="1">LEFT(B2)</f>
        <v>3</v>
      </c>
      <c r="H2" s="1" t="str">
        <f t="shared" ref="H2:H274" si="2">VLOOKUP(B2,#REF!,5,FALSE)</f>
        <v>#REF!</v>
      </c>
    </row>
    <row r="3" ht="15.75" customHeight="1">
      <c r="A3" s="1" t="s">
        <v>18</v>
      </c>
      <c r="B3" s="1" t="s">
        <v>19</v>
      </c>
      <c r="C3" s="1" t="s">
        <v>11</v>
      </c>
      <c r="D3" s="5">
        <v>45742.0</v>
      </c>
      <c r="E3" s="1">
        <v>19.0</v>
      </c>
      <c r="F3" s="1">
        <v>13.0</v>
      </c>
      <c r="G3" s="1" t="str">
        <f t="shared" si="1"/>
        <v>4</v>
      </c>
      <c r="H3" s="1" t="str">
        <f t="shared" si="2"/>
        <v>#REF!</v>
      </c>
    </row>
    <row r="4" ht="15.75" customHeight="1">
      <c r="A4" s="1" t="s">
        <v>20</v>
      </c>
      <c r="B4" s="1" t="s">
        <v>21</v>
      </c>
      <c r="C4" s="1" t="s">
        <v>11</v>
      </c>
      <c r="D4" s="5">
        <v>45742.0</v>
      </c>
      <c r="E4" s="1">
        <v>12.0</v>
      </c>
      <c r="F4" s="1">
        <v>12.0</v>
      </c>
      <c r="G4" s="1" t="str">
        <f t="shared" si="1"/>
        <v>4</v>
      </c>
      <c r="H4" s="1" t="str">
        <f t="shared" si="2"/>
        <v>#REF!</v>
      </c>
    </row>
    <row r="5" ht="15.75" customHeight="1">
      <c r="A5" s="1" t="s">
        <v>20</v>
      </c>
      <c r="B5" s="1" t="s">
        <v>23</v>
      </c>
      <c r="C5" s="1" t="s">
        <v>11</v>
      </c>
      <c r="D5" s="5">
        <v>45742.0</v>
      </c>
      <c r="E5" s="1">
        <v>7.0</v>
      </c>
      <c r="F5" s="1">
        <v>7.0</v>
      </c>
      <c r="G5" s="1" t="str">
        <f t="shared" si="1"/>
        <v>4</v>
      </c>
      <c r="H5" s="1" t="str">
        <f t="shared" si="2"/>
        <v>#REF!</v>
      </c>
    </row>
    <row r="6" ht="15.75" customHeight="1">
      <c r="A6" s="1" t="s">
        <v>24</v>
      </c>
      <c r="B6" s="1" t="s">
        <v>25</v>
      </c>
      <c r="C6" s="1" t="s">
        <v>11</v>
      </c>
      <c r="D6" s="5">
        <v>45742.0</v>
      </c>
      <c r="E6" s="1">
        <v>6.0</v>
      </c>
      <c r="F6" s="1">
        <v>2.0</v>
      </c>
      <c r="G6" s="1" t="str">
        <f t="shared" si="1"/>
        <v>5</v>
      </c>
      <c r="H6" s="1" t="str">
        <f t="shared" si="2"/>
        <v>#REF!</v>
      </c>
    </row>
    <row r="7" ht="15.75" customHeight="1">
      <c r="A7" s="1" t="s">
        <v>27</v>
      </c>
      <c r="B7" s="1" t="s">
        <v>28</v>
      </c>
      <c r="C7" s="1" t="s">
        <v>11</v>
      </c>
      <c r="D7" s="5">
        <v>45742.0</v>
      </c>
      <c r="E7" s="1">
        <v>11.0</v>
      </c>
      <c r="F7" s="1">
        <v>5.0</v>
      </c>
      <c r="G7" s="1" t="str">
        <f t="shared" si="1"/>
        <v>3</v>
      </c>
      <c r="H7" s="1" t="str">
        <f t="shared" si="2"/>
        <v>#REF!</v>
      </c>
    </row>
    <row r="8" ht="15.75" customHeight="1">
      <c r="A8" s="1" t="s">
        <v>27</v>
      </c>
      <c r="B8" s="1" t="s">
        <v>30</v>
      </c>
      <c r="C8" s="1" t="s">
        <v>11</v>
      </c>
      <c r="D8" s="5">
        <v>45742.0</v>
      </c>
      <c r="E8" s="1">
        <v>16.0</v>
      </c>
      <c r="F8" s="1">
        <v>14.0</v>
      </c>
      <c r="G8" s="1" t="str">
        <f t="shared" si="1"/>
        <v>3</v>
      </c>
      <c r="H8" s="1" t="str">
        <f t="shared" si="2"/>
        <v>#REF!</v>
      </c>
    </row>
    <row r="9" ht="15.75" customHeight="1">
      <c r="A9" s="1" t="s">
        <v>32</v>
      </c>
      <c r="B9" s="1" t="s">
        <v>28</v>
      </c>
      <c r="C9" s="1" t="s">
        <v>11</v>
      </c>
      <c r="D9" s="5">
        <v>45742.0</v>
      </c>
      <c r="E9" s="1">
        <v>73.0</v>
      </c>
      <c r="F9" s="1">
        <v>44.0</v>
      </c>
      <c r="G9" s="1" t="str">
        <f t="shared" si="1"/>
        <v>3</v>
      </c>
      <c r="H9" s="1" t="str">
        <f t="shared" si="2"/>
        <v>#REF!</v>
      </c>
    </row>
    <row r="10" ht="15.75" customHeight="1">
      <c r="A10" s="1" t="s">
        <v>32</v>
      </c>
      <c r="B10" s="1" t="s">
        <v>33</v>
      </c>
      <c r="C10" s="1" t="s">
        <v>11</v>
      </c>
      <c r="D10" s="5">
        <v>45742.0</v>
      </c>
      <c r="E10" s="1">
        <v>4.0</v>
      </c>
      <c r="F10" s="1">
        <v>4.0</v>
      </c>
      <c r="G10" s="1" t="str">
        <f t="shared" si="1"/>
        <v>3</v>
      </c>
      <c r="H10" s="1" t="str">
        <f t="shared" si="2"/>
        <v>#REF!</v>
      </c>
    </row>
    <row r="11" ht="15.75" customHeight="1">
      <c r="A11" s="1" t="s">
        <v>32</v>
      </c>
      <c r="B11" s="1" t="s">
        <v>34</v>
      </c>
      <c r="C11" s="1" t="s">
        <v>11</v>
      </c>
      <c r="D11" s="5">
        <v>45742.0</v>
      </c>
      <c r="E11" s="1">
        <v>2.0</v>
      </c>
      <c r="F11" s="1">
        <v>0.0</v>
      </c>
      <c r="G11" s="1" t="str">
        <f t="shared" si="1"/>
        <v>4</v>
      </c>
      <c r="H11" s="1" t="str">
        <f t="shared" si="2"/>
        <v>#REF!</v>
      </c>
    </row>
    <row r="12" ht="15.75" customHeight="1">
      <c r="A12" s="1" t="s">
        <v>36</v>
      </c>
      <c r="B12" s="1" t="s">
        <v>37</v>
      </c>
      <c r="C12" s="1" t="s">
        <v>11</v>
      </c>
      <c r="D12" s="5">
        <v>45742.0</v>
      </c>
      <c r="E12" s="1">
        <v>13.0</v>
      </c>
      <c r="F12" s="1">
        <v>12.0</v>
      </c>
      <c r="G12" s="1" t="str">
        <f t="shared" si="1"/>
        <v>4</v>
      </c>
      <c r="H12" s="1" t="str">
        <f t="shared" si="2"/>
        <v>#REF!</v>
      </c>
    </row>
    <row r="13" ht="15.75" customHeight="1">
      <c r="A13" s="1" t="s">
        <v>39</v>
      </c>
      <c r="B13" s="1" t="s">
        <v>40</v>
      </c>
      <c r="C13" s="1" t="s">
        <v>11</v>
      </c>
      <c r="D13" s="5">
        <v>45742.0</v>
      </c>
      <c r="E13" s="1">
        <v>8.0</v>
      </c>
      <c r="F13" s="1">
        <v>8.0</v>
      </c>
      <c r="G13" s="1" t="str">
        <f t="shared" si="1"/>
        <v>4</v>
      </c>
      <c r="H13" s="1" t="str">
        <f t="shared" si="2"/>
        <v>#REF!</v>
      </c>
    </row>
    <row r="14" ht="15.75" hidden="1" customHeight="1">
      <c r="A14" s="1" t="s">
        <v>39</v>
      </c>
      <c r="B14" s="1" t="s">
        <v>42</v>
      </c>
      <c r="C14" s="1" t="s">
        <v>11</v>
      </c>
      <c r="D14" s="5">
        <v>45742.0</v>
      </c>
      <c r="E14" s="1"/>
      <c r="F14" s="1"/>
      <c r="G14" s="1" t="str">
        <f t="shared" si="1"/>
        <v>4</v>
      </c>
      <c r="H14" s="1" t="str">
        <f t="shared" si="2"/>
        <v>#REF!</v>
      </c>
    </row>
    <row r="15" ht="15.75" hidden="1" customHeight="1">
      <c r="A15" s="1" t="s">
        <v>39</v>
      </c>
      <c r="B15" s="1" t="s">
        <v>44</v>
      </c>
      <c r="C15" s="1" t="s">
        <v>11</v>
      </c>
      <c r="D15" s="5">
        <v>45742.0</v>
      </c>
      <c r="E15" s="1"/>
      <c r="F15" s="1"/>
      <c r="G15" s="1" t="str">
        <f t="shared" si="1"/>
        <v>5</v>
      </c>
      <c r="H15" s="1" t="str">
        <f t="shared" si="2"/>
        <v>#REF!</v>
      </c>
    </row>
    <row r="16" ht="15.75" hidden="1" customHeight="1">
      <c r="A16" s="1" t="s">
        <v>46</v>
      </c>
      <c r="B16" s="1" t="s">
        <v>28</v>
      </c>
      <c r="C16" s="1" t="s">
        <v>11</v>
      </c>
      <c r="D16" s="5">
        <v>45742.0</v>
      </c>
      <c r="E16" s="1"/>
      <c r="F16" s="1"/>
      <c r="G16" s="1" t="str">
        <f t="shared" si="1"/>
        <v>3</v>
      </c>
      <c r="H16" s="1" t="str">
        <f t="shared" si="2"/>
        <v>#REF!</v>
      </c>
    </row>
    <row r="17" ht="15.75" customHeight="1">
      <c r="A17" s="1" t="s">
        <v>46</v>
      </c>
      <c r="B17" s="1" t="s">
        <v>47</v>
      </c>
      <c r="C17" s="1" t="s">
        <v>11</v>
      </c>
      <c r="D17" s="5">
        <v>45742.0</v>
      </c>
      <c r="E17" s="1">
        <v>11.0</v>
      </c>
      <c r="F17" s="1">
        <v>7.0</v>
      </c>
      <c r="G17" s="1" t="str">
        <f t="shared" si="1"/>
        <v>3</v>
      </c>
      <c r="H17" s="1" t="str">
        <f t="shared" si="2"/>
        <v>#REF!</v>
      </c>
    </row>
    <row r="18" ht="15.75" customHeight="1">
      <c r="A18" s="1" t="s">
        <v>46</v>
      </c>
      <c r="B18" s="1" t="s">
        <v>48</v>
      </c>
      <c r="C18" s="1" t="s">
        <v>11</v>
      </c>
      <c r="D18" s="5">
        <v>45742.0</v>
      </c>
      <c r="E18" s="1">
        <v>15.0</v>
      </c>
      <c r="F18" s="1">
        <v>11.0</v>
      </c>
      <c r="G18" s="1" t="str">
        <f t="shared" si="1"/>
        <v>3</v>
      </c>
      <c r="H18" s="1" t="str">
        <f t="shared" si="2"/>
        <v>#REF!</v>
      </c>
    </row>
    <row r="19" ht="15.75" hidden="1" customHeight="1">
      <c r="A19" s="1" t="s">
        <v>46</v>
      </c>
      <c r="B19" s="1" t="s">
        <v>34</v>
      </c>
      <c r="C19" s="1" t="s">
        <v>11</v>
      </c>
      <c r="D19" s="5">
        <v>45742.0</v>
      </c>
      <c r="E19" s="1"/>
      <c r="F19" s="1"/>
      <c r="G19" s="1" t="str">
        <f t="shared" si="1"/>
        <v>4</v>
      </c>
      <c r="H19" s="1" t="str">
        <f t="shared" si="2"/>
        <v>#REF!</v>
      </c>
    </row>
    <row r="20" ht="15.75" customHeight="1">
      <c r="A20" s="1" t="s">
        <v>51</v>
      </c>
      <c r="B20" s="1" t="s">
        <v>10</v>
      </c>
      <c r="C20" s="1" t="s">
        <v>11</v>
      </c>
      <c r="D20" s="5">
        <v>45742.0</v>
      </c>
      <c r="E20" s="1">
        <v>49.0</v>
      </c>
      <c r="F20" s="1">
        <v>20.0</v>
      </c>
      <c r="G20" s="1" t="str">
        <f t="shared" si="1"/>
        <v>3</v>
      </c>
      <c r="H20" s="1" t="str">
        <f t="shared" si="2"/>
        <v>#REF!</v>
      </c>
    </row>
    <row r="21" ht="15.75" hidden="1" customHeight="1">
      <c r="A21" s="1" t="s">
        <v>53</v>
      </c>
      <c r="B21" s="1" t="s">
        <v>47</v>
      </c>
      <c r="C21" s="1" t="s">
        <v>11</v>
      </c>
      <c r="D21" s="5">
        <v>45742.0</v>
      </c>
      <c r="E21" s="1"/>
      <c r="F21" s="1"/>
      <c r="G21" s="1" t="str">
        <f t="shared" si="1"/>
        <v>3</v>
      </c>
      <c r="H21" s="1" t="str">
        <f t="shared" si="2"/>
        <v>#REF!</v>
      </c>
    </row>
    <row r="22" ht="15.75" customHeight="1">
      <c r="A22" s="1" t="s">
        <v>53</v>
      </c>
      <c r="B22" s="1" t="s">
        <v>33</v>
      </c>
      <c r="C22" s="1" t="s">
        <v>11</v>
      </c>
      <c r="D22" s="5">
        <v>45742.0</v>
      </c>
      <c r="E22" s="1">
        <v>16.0</v>
      </c>
      <c r="F22" s="1">
        <v>14.0</v>
      </c>
      <c r="G22" s="1" t="str">
        <f t="shared" si="1"/>
        <v>3</v>
      </c>
      <c r="H22" s="1" t="str">
        <f t="shared" si="2"/>
        <v>#REF!</v>
      </c>
    </row>
    <row r="23" ht="15.75" customHeight="1">
      <c r="A23" s="1" t="s">
        <v>56</v>
      </c>
      <c r="B23" s="1" t="s">
        <v>57</v>
      </c>
      <c r="C23" s="1" t="s">
        <v>11</v>
      </c>
      <c r="D23" s="5">
        <v>45742.0</v>
      </c>
      <c r="E23" s="1">
        <v>26.0</v>
      </c>
      <c r="F23" s="1">
        <v>16.0</v>
      </c>
      <c r="G23" s="1" t="str">
        <f t="shared" si="1"/>
        <v>3</v>
      </c>
      <c r="H23" s="1" t="str">
        <f t="shared" si="2"/>
        <v>#REF!</v>
      </c>
    </row>
    <row r="24" ht="15.75" customHeight="1">
      <c r="A24" s="1" t="s">
        <v>56</v>
      </c>
      <c r="B24" s="1" t="s">
        <v>58</v>
      </c>
      <c r="C24" s="1" t="s">
        <v>11</v>
      </c>
      <c r="D24" s="5">
        <v>45742.0</v>
      </c>
      <c r="E24" s="1">
        <v>26.0</v>
      </c>
      <c r="F24" s="1">
        <v>20.0</v>
      </c>
      <c r="G24" s="1" t="str">
        <f t="shared" si="1"/>
        <v>3</v>
      </c>
      <c r="H24" s="1" t="str">
        <f t="shared" si="2"/>
        <v>#REF!</v>
      </c>
    </row>
    <row r="25" ht="15.75" hidden="1" customHeight="1">
      <c r="A25" s="1" t="s">
        <v>56</v>
      </c>
      <c r="B25" s="1" t="s">
        <v>34</v>
      </c>
      <c r="C25" s="1" t="s">
        <v>11</v>
      </c>
      <c r="D25" s="5">
        <v>45742.0</v>
      </c>
      <c r="E25" s="1"/>
      <c r="F25" s="1"/>
      <c r="G25" s="1" t="str">
        <f t="shared" si="1"/>
        <v>4</v>
      </c>
      <c r="H25" s="1" t="str">
        <f t="shared" si="2"/>
        <v>#REF!</v>
      </c>
    </row>
    <row r="26" ht="15.75" customHeight="1">
      <c r="A26" s="1" t="s">
        <v>60</v>
      </c>
      <c r="B26" s="1" t="s">
        <v>61</v>
      </c>
      <c r="C26" s="1" t="s">
        <v>11</v>
      </c>
      <c r="D26" s="5">
        <v>45742.0</v>
      </c>
      <c r="E26" s="1">
        <v>6.0</v>
      </c>
      <c r="F26" s="1">
        <v>2.0</v>
      </c>
      <c r="G26" s="1" t="str">
        <f t="shared" si="1"/>
        <v>4</v>
      </c>
      <c r="H26" s="1" t="str">
        <f t="shared" si="2"/>
        <v>#REF!</v>
      </c>
    </row>
    <row r="27" ht="15.75" hidden="1" customHeight="1">
      <c r="A27" s="1" t="s">
        <v>63</v>
      </c>
      <c r="B27" s="1" t="s">
        <v>44</v>
      </c>
      <c r="C27" s="1" t="s">
        <v>11</v>
      </c>
      <c r="D27" s="5">
        <v>45742.0</v>
      </c>
      <c r="E27" s="1"/>
      <c r="F27" s="1"/>
      <c r="G27" s="1" t="str">
        <f t="shared" si="1"/>
        <v>5</v>
      </c>
      <c r="H27" s="1" t="str">
        <f t="shared" si="2"/>
        <v>#REF!</v>
      </c>
    </row>
    <row r="28" ht="15.75" hidden="1" customHeight="1">
      <c r="A28" s="1" t="s">
        <v>65</v>
      </c>
      <c r="B28" s="1" t="s">
        <v>66</v>
      </c>
      <c r="C28" s="1" t="s">
        <v>11</v>
      </c>
      <c r="D28" s="5">
        <v>45742.0</v>
      </c>
      <c r="E28" s="1"/>
      <c r="F28" s="1"/>
      <c r="G28" s="1" t="str">
        <f t="shared" si="1"/>
        <v>4</v>
      </c>
      <c r="H28" s="1" t="str">
        <f t="shared" si="2"/>
        <v>#REF!</v>
      </c>
    </row>
    <row r="29" ht="15.75" customHeight="1">
      <c r="A29" s="1" t="s">
        <v>68</v>
      </c>
      <c r="B29" s="1" t="s">
        <v>58</v>
      </c>
      <c r="C29" s="1" t="s">
        <v>11</v>
      </c>
      <c r="D29" s="5">
        <v>45742.0</v>
      </c>
      <c r="E29" s="1">
        <v>17.0</v>
      </c>
      <c r="F29" s="1">
        <v>13.0</v>
      </c>
      <c r="G29" s="1" t="str">
        <f t="shared" si="1"/>
        <v>3</v>
      </c>
      <c r="H29" s="1" t="str">
        <f t="shared" si="2"/>
        <v>#REF!</v>
      </c>
    </row>
    <row r="30" ht="15.75" customHeight="1">
      <c r="A30" s="1" t="s">
        <v>69</v>
      </c>
      <c r="B30" s="1" t="s">
        <v>47</v>
      </c>
      <c r="C30" s="1" t="s">
        <v>11</v>
      </c>
      <c r="D30" s="5">
        <v>45742.0</v>
      </c>
      <c r="E30" s="1">
        <v>12.0</v>
      </c>
      <c r="F30" s="1">
        <v>12.0</v>
      </c>
      <c r="G30" s="1" t="str">
        <f t="shared" si="1"/>
        <v>3</v>
      </c>
      <c r="H30" s="1" t="str">
        <f t="shared" si="2"/>
        <v>#REF!</v>
      </c>
    </row>
    <row r="31" ht="15.75" customHeight="1">
      <c r="A31" s="1" t="s">
        <v>71</v>
      </c>
      <c r="B31" s="1" t="s">
        <v>44</v>
      </c>
      <c r="C31" s="1" t="s">
        <v>11</v>
      </c>
      <c r="D31" s="5">
        <v>45742.0</v>
      </c>
      <c r="E31" s="1">
        <v>20.0</v>
      </c>
      <c r="F31" s="1">
        <v>16.0</v>
      </c>
      <c r="G31" s="1" t="str">
        <f t="shared" si="1"/>
        <v>5</v>
      </c>
      <c r="H31" s="1" t="str">
        <f t="shared" si="2"/>
        <v>#REF!</v>
      </c>
    </row>
    <row r="32" ht="15.75" customHeight="1">
      <c r="A32" s="1" t="s">
        <v>73</v>
      </c>
      <c r="B32" s="1" t="s">
        <v>34</v>
      </c>
      <c r="C32" s="1" t="s">
        <v>11</v>
      </c>
      <c r="D32" s="5">
        <v>45742.0</v>
      </c>
      <c r="E32" s="1">
        <v>10.0</v>
      </c>
      <c r="F32" s="1">
        <v>4.0</v>
      </c>
      <c r="G32" s="1" t="str">
        <f t="shared" si="1"/>
        <v>4</v>
      </c>
      <c r="H32" s="1" t="str">
        <f t="shared" si="2"/>
        <v>#REF!</v>
      </c>
    </row>
    <row r="33" ht="15.75" customHeight="1">
      <c r="A33" s="1" t="s">
        <v>74</v>
      </c>
      <c r="B33" s="1" t="s">
        <v>25</v>
      </c>
      <c r="C33" s="1" t="s">
        <v>11</v>
      </c>
      <c r="D33" s="5">
        <v>45742.0</v>
      </c>
      <c r="E33" s="1">
        <v>2.0</v>
      </c>
      <c r="F33" s="1">
        <v>0.0</v>
      </c>
      <c r="G33" s="1" t="str">
        <f t="shared" si="1"/>
        <v>5</v>
      </c>
      <c r="H33" s="1" t="str">
        <f t="shared" si="2"/>
        <v>#REF!</v>
      </c>
    </row>
    <row r="34" ht="15.75" hidden="1" customHeight="1">
      <c r="A34" s="1" t="s">
        <v>74</v>
      </c>
      <c r="B34" s="1" t="s">
        <v>44</v>
      </c>
      <c r="C34" s="1" t="s">
        <v>11</v>
      </c>
      <c r="D34" s="5">
        <v>45742.0</v>
      </c>
      <c r="E34" s="1"/>
      <c r="F34" s="1"/>
      <c r="G34" s="1" t="str">
        <f t="shared" si="1"/>
        <v>5</v>
      </c>
      <c r="H34" s="1" t="str">
        <f t="shared" si="2"/>
        <v>#REF!</v>
      </c>
    </row>
    <row r="35" ht="15.75" customHeight="1">
      <c r="A35" s="1" t="s">
        <v>75</v>
      </c>
      <c r="B35" s="1" t="s">
        <v>47</v>
      </c>
      <c r="C35" s="1" t="s">
        <v>11</v>
      </c>
      <c r="D35" s="5">
        <v>45742.0</v>
      </c>
      <c r="E35" s="1">
        <v>28.0</v>
      </c>
      <c r="F35" s="1">
        <v>26.0</v>
      </c>
      <c r="G35" s="1" t="str">
        <f t="shared" si="1"/>
        <v>3</v>
      </c>
      <c r="H35" s="1" t="str">
        <f t="shared" si="2"/>
        <v>#REF!</v>
      </c>
    </row>
    <row r="36" ht="15.75" hidden="1" customHeight="1">
      <c r="A36" s="1" t="s">
        <v>77</v>
      </c>
      <c r="B36" s="1" t="s">
        <v>40</v>
      </c>
      <c r="C36" s="1" t="s">
        <v>11</v>
      </c>
      <c r="D36" s="5">
        <v>45742.0</v>
      </c>
      <c r="E36" s="1"/>
      <c r="F36" s="1"/>
      <c r="G36" s="1" t="str">
        <f t="shared" si="1"/>
        <v>4</v>
      </c>
      <c r="H36" s="1" t="str">
        <f t="shared" si="2"/>
        <v>#REF!</v>
      </c>
    </row>
    <row r="37" ht="15.75" hidden="1" customHeight="1">
      <c r="A37" s="1" t="s">
        <v>77</v>
      </c>
      <c r="B37" s="1" t="s">
        <v>66</v>
      </c>
      <c r="C37" s="1" t="s">
        <v>11</v>
      </c>
      <c r="D37" s="5">
        <v>45742.0</v>
      </c>
      <c r="E37" s="1"/>
      <c r="F37" s="1"/>
      <c r="G37" s="1" t="str">
        <f t="shared" si="1"/>
        <v>4</v>
      </c>
      <c r="H37" s="1" t="str">
        <f t="shared" si="2"/>
        <v>#REF!</v>
      </c>
    </row>
    <row r="38" ht="15.75" customHeight="1">
      <c r="A38" s="1" t="s">
        <v>77</v>
      </c>
      <c r="B38" s="1" t="s">
        <v>79</v>
      </c>
      <c r="C38" s="1" t="s">
        <v>11</v>
      </c>
      <c r="D38" s="5">
        <v>45742.0</v>
      </c>
      <c r="E38" s="1">
        <v>4.0</v>
      </c>
      <c r="F38" s="1">
        <v>2.0</v>
      </c>
      <c r="G38" s="1" t="str">
        <f t="shared" si="1"/>
        <v>4</v>
      </c>
      <c r="H38" s="1" t="str">
        <f t="shared" si="2"/>
        <v>#REF!</v>
      </c>
    </row>
    <row r="39" ht="15.75" hidden="1" customHeight="1">
      <c r="A39" s="1" t="s">
        <v>77</v>
      </c>
      <c r="B39" s="1" t="s">
        <v>23</v>
      </c>
      <c r="C39" s="1" t="s">
        <v>11</v>
      </c>
      <c r="D39" s="5">
        <v>45742.0</v>
      </c>
      <c r="E39" s="1"/>
      <c r="F39" s="1"/>
      <c r="G39" s="1" t="str">
        <f t="shared" si="1"/>
        <v>4</v>
      </c>
      <c r="H39" s="1" t="str">
        <f t="shared" si="2"/>
        <v>#REF!</v>
      </c>
    </row>
    <row r="40" ht="15.75" customHeight="1">
      <c r="A40" s="1" t="s">
        <v>82</v>
      </c>
      <c r="B40" s="1" t="s">
        <v>83</v>
      </c>
      <c r="C40" s="1" t="s">
        <v>11</v>
      </c>
      <c r="D40" s="5">
        <v>45742.0</v>
      </c>
      <c r="E40" s="1">
        <v>2.0</v>
      </c>
      <c r="F40" s="1">
        <v>0.0</v>
      </c>
      <c r="G40" s="1" t="str">
        <f t="shared" si="1"/>
        <v>5</v>
      </c>
      <c r="H40" s="1" t="str">
        <f t="shared" si="2"/>
        <v>#REF!</v>
      </c>
    </row>
    <row r="41" ht="15.75" customHeight="1">
      <c r="A41" s="1" t="s">
        <v>82</v>
      </c>
      <c r="B41" s="1" t="s">
        <v>84</v>
      </c>
      <c r="C41" s="1" t="s">
        <v>11</v>
      </c>
      <c r="D41" s="5">
        <v>45742.0</v>
      </c>
      <c r="E41" s="1">
        <v>18.0</v>
      </c>
      <c r="F41" s="1">
        <v>14.0</v>
      </c>
      <c r="G41" s="1" t="str">
        <f t="shared" si="1"/>
        <v>5</v>
      </c>
      <c r="H41" s="1" t="str">
        <f t="shared" si="2"/>
        <v>#REF!</v>
      </c>
    </row>
    <row r="42" ht="15.75" hidden="1" customHeight="1">
      <c r="A42" s="1" t="s">
        <v>82</v>
      </c>
      <c r="B42" s="1" t="s">
        <v>85</v>
      </c>
      <c r="C42" s="1" t="s">
        <v>11</v>
      </c>
      <c r="D42" s="5">
        <v>45742.0</v>
      </c>
      <c r="E42" s="1"/>
      <c r="F42" s="1"/>
      <c r="G42" s="1" t="str">
        <f t="shared" si="1"/>
        <v>5</v>
      </c>
      <c r="H42" s="1" t="str">
        <f t="shared" si="2"/>
        <v>#REF!</v>
      </c>
    </row>
    <row r="43" ht="15.75" customHeight="1">
      <c r="A43" s="1" t="s">
        <v>82</v>
      </c>
      <c r="B43" s="1" t="s">
        <v>87</v>
      </c>
      <c r="C43" s="1" t="s">
        <v>11</v>
      </c>
      <c r="D43" s="5">
        <v>45742.0</v>
      </c>
      <c r="E43" s="1">
        <v>19.0</v>
      </c>
      <c r="F43" s="1">
        <v>17.0</v>
      </c>
      <c r="G43" s="1" t="str">
        <f t="shared" si="1"/>
        <v>5</v>
      </c>
      <c r="H43" s="1" t="str">
        <f t="shared" si="2"/>
        <v>#REF!</v>
      </c>
    </row>
    <row r="44" ht="15.75" customHeight="1">
      <c r="A44" s="1" t="s">
        <v>82</v>
      </c>
      <c r="B44" s="1" t="s">
        <v>88</v>
      </c>
      <c r="C44" s="1" t="s">
        <v>11</v>
      </c>
      <c r="D44" s="5">
        <v>45742.0</v>
      </c>
      <c r="E44" s="1">
        <v>22.0</v>
      </c>
      <c r="F44" s="1">
        <v>16.0</v>
      </c>
      <c r="G44" s="1" t="str">
        <f t="shared" si="1"/>
        <v>5</v>
      </c>
      <c r="H44" s="1" t="str">
        <f t="shared" si="2"/>
        <v>#REF!</v>
      </c>
    </row>
    <row r="45" ht="15.75" customHeight="1">
      <c r="A45" s="1" t="s">
        <v>90</v>
      </c>
      <c r="B45" s="1" t="s">
        <v>91</v>
      </c>
      <c r="C45" s="1" t="s">
        <v>11</v>
      </c>
      <c r="D45" s="5">
        <v>45742.0</v>
      </c>
      <c r="E45" s="1">
        <v>4.0</v>
      </c>
      <c r="F45" s="1">
        <v>2.0</v>
      </c>
      <c r="G45" s="1" t="str">
        <f t="shared" si="1"/>
        <v>3</v>
      </c>
      <c r="H45" s="1" t="str">
        <f t="shared" si="2"/>
        <v>#REF!</v>
      </c>
    </row>
    <row r="46" ht="15.75" customHeight="1">
      <c r="A46" s="1" t="s">
        <v>93</v>
      </c>
      <c r="B46" s="1" t="s">
        <v>44</v>
      </c>
      <c r="C46" s="1" t="s">
        <v>11</v>
      </c>
      <c r="D46" s="5">
        <v>45742.0</v>
      </c>
      <c r="E46" s="1">
        <v>4.0</v>
      </c>
      <c r="F46" s="1">
        <v>4.0</v>
      </c>
      <c r="G46" s="1" t="str">
        <f t="shared" si="1"/>
        <v>5</v>
      </c>
      <c r="H46" s="1" t="str">
        <f t="shared" si="2"/>
        <v>#REF!</v>
      </c>
    </row>
    <row r="47" ht="15.75" hidden="1" customHeight="1">
      <c r="A47" s="1" t="s">
        <v>94</v>
      </c>
      <c r="B47" s="1" t="s">
        <v>10</v>
      </c>
      <c r="C47" s="1" t="s">
        <v>11</v>
      </c>
      <c r="D47" s="5">
        <v>45742.0</v>
      </c>
      <c r="E47" s="1"/>
      <c r="F47" s="1"/>
      <c r="G47" s="1" t="str">
        <f t="shared" si="1"/>
        <v>3</v>
      </c>
      <c r="H47" s="1" t="str">
        <f t="shared" si="2"/>
        <v>#REF!</v>
      </c>
    </row>
    <row r="48" ht="15.75" customHeight="1">
      <c r="A48" s="1" t="s">
        <v>94</v>
      </c>
      <c r="B48" s="1" t="s">
        <v>44</v>
      </c>
      <c r="C48" s="1" t="s">
        <v>11</v>
      </c>
      <c r="D48" s="5">
        <v>45742.0</v>
      </c>
      <c r="E48" s="1">
        <v>29.0</v>
      </c>
      <c r="F48" s="1">
        <v>19.0</v>
      </c>
      <c r="G48" s="1" t="str">
        <f t="shared" si="1"/>
        <v>5</v>
      </c>
      <c r="H48" s="1" t="str">
        <f t="shared" si="2"/>
        <v>#REF!</v>
      </c>
    </row>
    <row r="49" ht="15.75" customHeight="1">
      <c r="A49" s="1" t="s">
        <v>96</v>
      </c>
      <c r="B49" s="1" t="s">
        <v>10</v>
      </c>
      <c r="C49" s="1" t="s">
        <v>11</v>
      </c>
      <c r="D49" s="5">
        <v>45742.0</v>
      </c>
      <c r="E49" s="1">
        <v>33.0</v>
      </c>
      <c r="F49" s="1">
        <v>23.0</v>
      </c>
      <c r="G49" s="1" t="str">
        <f t="shared" si="1"/>
        <v>3</v>
      </c>
      <c r="H49" s="1" t="str">
        <f t="shared" si="2"/>
        <v>#REF!</v>
      </c>
    </row>
    <row r="50" ht="15.75" customHeight="1">
      <c r="A50" s="1" t="s">
        <v>31</v>
      </c>
      <c r="B50" s="1" t="s">
        <v>37</v>
      </c>
      <c r="C50" s="1" t="s">
        <v>11</v>
      </c>
      <c r="D50" s="5">
        <v>45741.0</v>
      </c>
      <c r="E50" s="1">
        <v>22.0</v>
      </c>
      <c r="F50" s="1">
        <v>16.0</v>
      </c>
      <c r="G50" s="1" t="str">
        <f t="shared" si="1"/>
        <v>4</v>
      </c>
      <c r="H50" s="1" t="str">
        <f t="shared" si="2"/>
        <v>#REF!</v>
      </c>
    </row>
    <row r="51" ht="15.75" customHeight="1">
      <c r="A51" s="1" t="s">
        <v>18</v>
      </c>
      <c r="B51" s="1" t="s">
        <v>61</v>
      </c>
      <c r="C51" s="1" t="s">
        <v>11</v>
      </c>
      <c r="D51" s="5">
        <v>45741.0</v>
      </c>
      <c r="E51" s="1">
        <v>4.0</v>
      </c>
      <c r="F51" s="1">
        <v>0.0</v>
      </c>
      <c r="G51" s="1" t="str">
        <f t="shared" si="1"/>
        <v>4</v>
      </c>
      <c r="H51" s="1" t="str">
        <f t="shared" si="2"/>
        <v>#REF!</v>
      </c>
    </row>
    <row r="52" ht="15.75" customHeight="1">
      <c r="A52" s="1" t="s">
        <v>18</v>
      </c>
      <c r="B52" s="1" t="s">
        <v>97</v>
      </c>
      <c r="C52" s="1" t="s">
        <v>11</v>
      </c>
      <c r="D52" s="5">
        <v>45741.0</v>
      </c>
      <c r="E52" s="1">
        <v>2.0</v>
      </c>
      <c r="F52" s="1">
        <v>2.0</v>
      </c>
      <c r="G52" s="1" t="str">
        <f t="shared" si="1"/>
        <v>4</v>
      </c>
      <c r="H52" s="1" t="str">
        <f t="shared" si="2"/>
        <v>#REF!</v>
      </c>
    </row>
    <row r="53" ht="15.75" customHeight="1">
      <c r="A53" s="1" t="s">
        <v>18</v>
      </c>
      <c r="B53" s="1" t="s">
        <v>21</v>
      </c>
      <c r="C53" s="1" t="s">
        <v>11</v>
      </c>
      <c r="D53" s="5">
        <v>45741.0</v>
      </c>
      <c r="E53" s="1">
        <v>13.0</v>
      </c>
      <c r="F53" s="1">
        <v>11.0</v>
      </c>
      <c r="G53" s="1" t="str">
        <f t="shared" si="1"/>
        <v>4</v>
      </c>
      <c r="H53" s="1" t="str">
        <f t="shared" si="2"/>
        <v>#REF!</v>
      </c>
    </row>
    <row r="54" ht="15.75" customHeight="1">
      <c r="A54" s="1" t="s">
        <v>20</v>
      </c>
      <c r="B54" s="1" t="s">
        <v>61</v>
      </c>
      <c r="C54" s="1" t="s">
        <v>11</v>
      </c>
      <c r="D54" s="5">
        <v>45741.0</v>
      </c>
      <c r="E54" s="1">
        <v>20.0</v>
      </c>
      <c r="F54" s="1">
        <v>14.0</v>
      </c>
      <c r="G54" s="1" t="str">
        <f t="shared" si="1"/>
        <v>4</v>
      </c>
      <c r="H54" s="1" t="str">
        <f t="shared" si="2"/>
        <v>#REF!</v>
      </c>
    </row>
    <row r="55" ht="15.75" customHeight="1">
      <c r="A55" s="1" t="s">
        <v>20</v>
      </c>
      <c r="B55" s="1" t="s">
        <v>99</v>
      </c>
      <c r="C55" s="1" t="s">
        <v>11</v>
      </c>
      <c r="D55" s="5">
        <v>45741.0</v>
      </c>
      <c r="E55" s="1">
        <v>18.0</v>
      </c>
      <c r="F55" s="1">
        <v>10.0</v>
      </c>
      <c r="G55" s="1" t="str">
        <f t="shared" si="1"/>
        <v>4</v>
      </c>
      <c r="H55" s="1" t="str">
        <f t="shared" si="2"/>
        <v>#REF!</v>
      </c>
    </row>
    <row r="56" ht="15.75" hidden="1" customHeight="1">
      <c r="A56" s="1" t="s">
        <v>35</v>
      </c>
      <c r="B56" s="1" t="s">
        <v>44</v>
      </c>
      <c r="C56" s="1" t="s">
        <v>11</v>
      </c>
      <c r="D56" s="5">
        <v>45741.0</v>
      </c>
      <c r="G56" s="1" t="str">
        <f t="shared" si="1"/>
        <v>5</v>
      </c>
      <c r="H56" s="1" t="str">
        <f t="shared" si="2"/>
        <v>#REF!</v>
      </c>
    </row>
    <row r="57" ht="15.75" customHeight="1">
      <c r="A57" s="1" t="s">
        <v>41</v>
      </c>
      <c r="B57" s="1" t="s">
        <v>34</v>
      </c>
      <c r="C57" s="1" t="s">
        <v>11</v>
      </c>
      <c r="D57" s="5">
        <v>45741.0</v>
      </c>
      <c r="E57" s="1">
        <v>25.0</v>
      </c>
      <c r="F57" s="1">
        <v>15.0</v>
      </c>
      <c r="G57" s="1" t="str">
        <f t="shared" si="1"/>
        <v>4</v>
      </c>
      <c r="H57" s="1" t="str">
        <f t="shared" si="2"/>
        <v>#REF!</v>
      </c>
    </row>
    <row r="58" ht="15.75" customHeight="1">
      <c r="A58" s="1" t="s">
        <v>43</v>
      </c>
      <c r="B58" s="1" t="s">
        <v>25</v>
      </c>
      <c r="C58" s="1" t="s">
        <v>11</v>
      </c>
      <c r="D58" s="5">
        <v>45741.0</v>
      </c>
      <c r="E58" s="1">
        <v>8.0</v>
      </c>
      <c r="F58" s="1">
        <v>2.0</v>
      </c>
      <c r="G58" s="1" t="str">
        <f t="shared" si="1"/>
        <v>5</v>
      </c>
      <c r="H58" s="1" t="str">
        <f t="shared" si="2"/>
        <v>#REF!</v>
      </c>
    </row>
    <row r="59" ht="15.75" customHeight="1">
      <c r="A59" s="1" t="s">
        <v>43</v>
      </c>
      <c r="B59" s="1" t="s">
        <v>44</v>
      </c>
      <c r="C59" s="1" t="s">
        <v>11</v>
      </c>
      <c r="D59" s="5">
        <v>45741.0</v>
      </c>
      <c r="E59" s="1">
        <v>20.0</v>
      </c>
      <c r="F59" s="1">
        <v>12.0</v>
      </c>
      <c r="G59" s="1" t="str">
        <f t="shared" si="1"/>
        <v>5</v>
      </c>
      <c r="H59" s="1" t="str">
        <f t="shared" si="2"/>
        <v>#REF!</v>
      </c>
    </row>
    <row r="60" ht="15.75" customHeight="1">
      <c r="A60" s="1" t="s">
        <v>43</v>
      </c>
      <c r="B60" s="1" t="s">
        <v>103</v>
      </c>
      <c r="C60" s="1" t="s">
        <v>11</v>
      </c>
      <c r="D60" s="5">
        <v>45741.0</v>
      </c>
      <c r="E60" s="1">
        <v>22.0</v>
      </c>
      <c r="F60" s="1">
        <v>18.0</v>
      </c>
      <c r="G60" s="1" t="str">
        <f t="shared" si="1"/>
        <v>5</v>
      </c>
      <c r="H60" s="1" t="str">
        <f t="shared" si="2"/>
        <v>#REF!</v>
      </c>
    </row>
    <row r="61" ht="15.75" customHeight="1">
      <c r="A61" s="1" t="s">
        <v>43</v>
      </c>
      <c r="B61" s="1" t="s">
        <v>104</v>
      </c>
      <c r="C61" s="1" t="s">
        <v>11</v>
      </c>
      <c r="D61" s="5">
        <v>45741.0</v>
      </c>
      <c r="E61" s="1">
        <v>14.0</v>
      </c>
      <c r="F61" s="1">
        <v>14.0</v>
      </c>
      <c r="G61" s="1" t="str">
        <f t="shared" si="1"/>
        <v>5</v>
      </c>
      <c r="H61" s="1" t="str">
        <f t="shared" si="2"/>
        <v>#REF!</v>
      </c>
    </row>
    <row r="62" ht="15.75" customHeight="1">
      <c r="A62" s="1" t="s">
        <v>45</v>
      </c>
      <c r="B62" s="1" t="s">
        <v>106</v>
      </c>
      <c r="C62" s="1" t="s">
        <v>11</v>
      </c>
      <c r="D62" s="5">
        <v>45741.0</v>
      </c>
      <c r="E62" s="1">
        <v>44.0</v>
      </c>
      <c r="F62" s="1">
        <v>32.0</v>
      </c>
      <c r="G62" s="1" t="str">
        <f t="shared" si="1"/>
        <v>5</v>
      </c>
      <c r="H62" s="1" t="str">
        <f t="shared" si="2"/>
        <v>#REF!</v>
      </c>
    </row>
    <row r="63" ht="15.75" hidden="1" customHeight="1">
      <c r="A63" s="1" t="s">
        <v>24</v>
      </c>
      <c r="B63" s="1" t="s">
        <v>108</v>
      </c>
      <c r="C63" s="1" t="s">
        <v>11</v>
      </c>
      <c r="D63" s="5">
        <v>45741.0</v>
      </c>
      <c r="G63" s="1" t="str">
        <f t="shared" si="1"/>
        <v>4</v>
      </c>
      <c r="H63" s="1" t="str">
        <f t="shared" si="2"/>
        <v>#REF!</v>
      </c>
    </row>
    <row r="64" ht="15.75" hidden="1" customHeight="1">
      <c r="A64" s="1" t="s">
        <v>24</v>
      </c>
      <c r="B64" s="1" t="s">
        <v>25</v>
      </c>
      <c r="C64" s="1" t="s">
        <v>11</v>
      </c>
      <c r="D64" s="5">
        <v>45741.0</v>
      </c>
      <c r="G64" s="1" t="str">
        <f t="shared" si="1"/>
        <v>5</v>
      </c>
      <c r="H64" s="1" t="str">
        <f t="shared" si="2"/>
        <v>#REF!</v>
      </c>
    </row>
    <row r="65" ht="15.75" customHeight="1">
      <c r="A65" s="1" t="s">
        <v>24</v>
      </c>
      <c r="B65" s="1" t="s">
        <v>103</v>
      </c>
      <c r="C65" s="1" t="s">
        <v>11</v>
      </c>
      <c r="D65" s="5">
        <v>45741.0</v>
      </c>
      <c r="E65" s="1">
        <v>2.0</v>
      </c>
      <c r="F65" s="1">
        <v>2.0</v>
      </c>
      <c r="G65" s="1" t="str">
        <f t="shared" si="1"/>
        <v>5</v>
      </c>
      <c r="H65" s="1" t="str">
        <f t="shared" si="2"/>
        <v>#REF!</v>
      </c>
    </row>
    <row r="66" ht="15.75" customHeight="1">
      <c r="A66" s="1" t="s">
        <v>24</v>
      </c>
      <c r="B66" s="1" t="s">
        <v>104</v>
      </c>
      <c r="C66" s="1" t="s">
        <v>11</v>
      </c>
      <c r="D66" s="5">
        <v>45741.0</v>
      </c>
      <c r="E66" s="1">
        <v>8.0</v>
      </c>
      <c r="F66" s="1">
        <v>6.0</v>
      </c>
      <c r="G66" s="1" t="str">
        <f t="shared" si="1"/>
        <v>5</v>
      </c>
      <c r="H66" s="1" t="str">
        <f t="shared" si="2"/>
        <v>#REF!</v>
      </c>
    </row>
    <row r="67" ht="15.75" customHeight="1">
      <c r="A67" s="1" t="s">
        <v>24</v>
      </c>
      <c r="B67" s="1" t="s">
        <v>87</v>
      </c>
      <c r="C67" s="1" t="s">
        <v>11</v>
      </c>
      <c r="D67" s="5">
        <v>45741.0</v>
      </c>
      <c r="E67" s="1">
        <v>3.0</v>
      </c>
      <c r="F67" s="1">
        <v>3.0</v>
      </c>
      <c r="G67" s="1" t="str">
        <f t="shared" si="1"/>
        <v>5</v>
      </c>
      <c r="H67" s="1" t="str">
        <f t="shared" si="2"/>
        <v>#REF!</v>
      </c>
    </row>
    <row r="68" ht="15.75" customHeight="1">
      <c r="A68" s="1" t="s">
        <v>27</v>
      </c>
      <c r="B68" s="1" t="s">
        <v>47</v>
      </c>
      <c r="C68" s="1" t="s">
        <v>11</v>
      </c>
      <c r="D68" s="5">
        <v>45741.0</v>
      </c>
      <c r="E68" s="1">
        <v>15.0</v>
      </c>
      <c r="F68" s="1">
        <v>15.0</v>
      </c>
      <c r="G68" s="1" t="str">
        <f t="shared" si="1"/>
        <v>3</v>
      </c>
      <c r="H68" s="1" t="str">
        <f t="shared" si="2"/>
        <v>#REF!</v>
      </c>
    </row>
    <row r="69" ht="15.75" customHeight="1">
      <c r="A69" s="1" t="s">
        <v>49</v>
      </c>
      <c r="B69" s="1" t="s">
        <v>37</v>
      </c>
      <c r="C69" s="1" t="s">
        <v>11</v>
      </c>
      <c r="D69" s="5">
        <v>45741.0</v>
      </c>
      <c r="E69" s="1">
        <v>4.0</v>
      </c>
      <c r="F69" s="1">
        <v>2.0</v>
      </c>
      <c r="G69" s="1" t="str">
        <f t="shared" si="1"/>
        <v>4</v>
      </c>
      <c r="H69" s="1" t="str">
        <f t="shared" si="2"/>
        <v>#REF!</v>
      </c>
    </row>
    <row r="70" ht="15.75" customHeight="1">
      <c r="A70" s="1" t="s">
        <v>52</v>
      </c>
      <c r="B70" s="1" t="s">
        <v>10</v>
      </c>
      <c r="C70" s="1" t="s">
        <v>11</v>
      </c>
      <c r="D70" s="5">
        <v>45741.0</v>
      </c>
      <c r="E70" s="1">
        <v>6.0</v>
      </c>
      <c r="F70" s="1">
        <v>6.0</v>
      </c>
      <c r="G70" s="1" t="str">
        <f t="shared" si="1"/>
        <v>3</v>
      </c>
      <c r="H70" s="1" t="str">
        <f t="shared" si="2"/>
        <v>#REF!</v>
      </c>
    </row>
    <row r="71" ht="15.75" hidden="1" customHeight="1">
      <c r="A71" s="1" t="s">
        <v>52</v>
      </c>
      <c r="B71" s="1" t="s">
        <v>40</v>
      </c>
      <c r="C71" s="1" t="s">
        <v>11</v>
      </c>
      <c r="D71" s="5">
        <v>45741.0</v>
      </c>
      <c r="G71" s="1" t="str">
        <f t="shared" si="1"/>
        <v>4</v>
      </c>
      <c r="H71" s="1" t="str">
        <f t="shared" si="2"/>
        <v>#REF!</v>
      </c>
    </row>
    <row r="72" ht="15.75" customHeight="1">
      <c r="A72" s="1" t="s">
        <v>32</v>
      </c>
      <c r="B72" s="1" t="s">
        <v>28</v>
      </c>
      <c r="C72" s="1" t="s">
        <v>11</v>
      </c>
      <c r="D72" s="5">
        <v>45741.0</v>
      </c>
      <c r="E72" s="1">
        <v>2.0</v>
      </c>
      <c r="F72" s="1">
        <v>0.0</v>
      </c>
      <c r="G72" s="1" t="str">
        <f t="shared" si="1"/>
        <v>3</v>
      </c>
      <c r="H72" s="1" t="str">
        <f t="shared" si="2"/>
        <v>#REF!</v>
      </c>
    </row>
    <row r="73" ht="15.75" customHeight="1">
      <c r="A73" s="1" t="s">
        <v>32</v>
      </c>
      <c r="B73" s="1" t="s">
        <v>30</v>
      </c>
      <c r="C73" s="1" t="s">
        <v>11</v>
      </c>
      <c r="D73" s="5">
        <v>45741.0</v>
      </c>
      <c r="E73" s="1">
        <v>57.0</v>
      </c>
      <c r="F73" s="1">
        <v>34.0</v>
      </c>
      <c r="G73" s="1" t="str">
        <f t="shared" si="1"/>
        <v>3</v>
      </c>
      <c r="H73" s="1" t="str">
        <f t="shared" si="2"/>
        <v>#REF!</v>
      </c>
    </row>
    <row r="74" ht="15.75" customHeight="1">
      <c r="A74" s="1" t="s">
        <v>59</v>
      </c>
      <c r="B74" s="1" t="s">
        <v>47</v>
      </c>
      <c r="C74" s="1" t="s">
        <v>11</v>
      </c>
      <c r="D74" s="5">
        <v>45741.0</v>
      </c>
      <c r="E74" s="1">
        <v>16.0</v>
      </c>
      <c r="F74" s="1">
        <v>16.0</v>
      </c>
      <c r="G74" s="1" t="str">
        <f t="shared" si="1"/>
        <v>3</v>
      </c>
      <c r="H74" s="1" t="str">
        <f t="shared" si="2"/>
        <v>#REF!</v>
      </c>
    </row>
    <row r="75" ht="15.75" customHeight="1">
      <c r="A75" s="1" t="s">
        <v>36</v>
      </c>
      <c r="B75" s="1" t="s">
        <v>34</v>
      </c>
      <c r="C75" s="1" t="s">
        <v>11</v>
      </c>
      <c r="D75" s="5">
        <v>45741.0</v>
      </c>
      <c r="E75" s="1">
        <v>84.0</v>
      </c>
      <c r="F75" s="1">
        <v>58.0</v>
      </c>
      <c r="G75" s="1" t="str">
        <f t="shared" si="1"/>
        <v>4</v>
      </c>
      <c r="H75" s="1" t="str">
        <f t="shared" si="2"/>
        <v>#REF!</v>
      </c>
    </row>
    <row r="76" ht="15.75" customHeight="1">
      <c r="A76" s="1" t="s">
        <v>62</v>
      </c>
      <c r="B76" s="1" t="s">
        <v>10</v>
      </c>
      <c r="C76" s="1" t="s">
        <v>11</v>
      </c>
      <c r="D76" s="5">
        <v>45741.0</v>
      </c>
      <c r="E76" s="1">
        <v>2.0</v>
      </c>
      <c r="F76" s="1">
        <v>2.0</v>
      </c>
      <c r="G76" s="1" t="str">
        <f t="shared" si="1"/>
        <v>3</v>
      </c>
      <c r="H76" s="1" t="str">
        <f t="shared" si="2"/>
        <v>#REF!</v>
      </c>
    </row>
    <row r="77" ht="15.75" customHeight="1">
      <c r="A77" s="1" t="s">
        <v>62</v>
      </c>
      <c r="B77" s="1" t="s">
        <v>47</v>
      </c>
      <c r="C77" s="1" t="s">
        <v>11</v>
      </c>
      <c r="D77" s="5">
        <v>45741.0</v>
      </c>
      <c r="E77" s="1">
        <v>2.0</v>
      </c>
      <c r="F77" s="1">
        <v>2.0</v>
      </c>
      <c r="G77" s="1" t="str">
        <f t="shared" si="1"/>
        <v>3</v>
      </c>
      <c r="H77" s="1" t="str">
        <f t="shared" si="2"/>
        <v>#REF!</v>
      </c>
    </row>
    <row r="78" ht="15.75" customHeight="1">
      <c r="A78" s="1" t="s">
        <v>62</v>
      </c>
      <c r="B78" s="1" t="s">
        <v>111</v>
      </c>
      <c r="C78" s="1" t="s">
        <v>11</v>
      </c>
      <c r="D78" s="5">
        <v>45741.0</v>
      </c>
      <c r="E78" s="1">
        <v>2.0</v>
      </c>
      <c r="F78" s="1">
        <v>2.0</v>
      </c>
      <c r="G78" s="1" t="str">
        <f t="shared" si="1"/>
        <v>3</v>
      </c>
      <c r="H78" s="1" t="str">
        <f t="shared" si="2"/>
        <v>#REF!</v>
      </c>
    </row>
    <row r="79" ht="15.75" customHeight="1">
      <c r="A79" s="1" t="s">
        <v>62</v>
      </c>
      <c r="B79" s="1" t="s">
        <v>25</v>
      </c>
      <c r="C79" s="1" t="s">
        <v>11</v>
      </c>
      <c r="D79" s="5">
        <v>45741.0</v>
      </c>
      <c r="E79" s="1">
        <v>24.0</v>
      </c>
      <c r="F79" s="1">
        <v>22.0</v>
      </c>
      <c r="G79" s="1" t="str">
        <f t="shared" si="1"/>
        <v>5</v>
      </c>
      <c r="H79" s="1" t="str">
        <f t="shared" si="2"/>
        <v>#REF!</v>
      </c>
    </row>
    <row r="80" ht="15.75" customHeight="1">
      <c r="A80" s="1" t="s">
        <v>62</v>
      </c>
      <c r="B80" s="1" t="s">
        <v>103</v>
      </c>
      <c r="C80" s="1" t="s">
        <v>11</v>
      </c>
      <c r="D80" s="5">
        <v>45741.0</v>
      </c>
      <c r="E80" s="1">
        <v>16.0</v>
      </c>
      <c r="F80" s="1">
        <v>14.0</v>
      </c>
      <c r="G80" s="1" t="str">
        <f t="shared" si="1"/>
        <v>5</v>
      </c>
      <c r="H80" s="1" t="str">
        <f t="shared" si="2"/>
        <v>#REF!</v>
      </c>
    </row>
    <row r="81" ht="15.75" customHeight="1">
      <c r="A81" s="1" t="s">
        <v>39</v>
      </c>
      <c r="B81" s="1" t="s">
        <v>40</v>
      </c>
      <c r="C81" s="1" t="s">
        <v>11</v>
      </c>
      <c r="D81" s="5">
        <v>45741.0</v>
      </c>
      <c r="E81" s="1">
        <v>6.0</v>
      </c>
      <c r="F81" s="1">
        <v>6.0</v>
      </c>
      <c r="G81" s="1" t="str">
        <f t="shared" si="1"/>
        <v>4</v>
      </c>
      <c r="H81" s="1" t="str">
        <f t="shared" si="2"/>
        <v>#REF!</v>
      </c>
    </row>
    <row r="82" ht="15.75" customHeight="1">
      <c r="A82" s="1" t="s">
        <v>39</v>
      </c>
      <c r="B82" s="1" t="s">
        <v>66</v>
      </c>
      <c r="C82" s="1" t="s">
        <v>11</v>
      </c>
      <c r="D82" s="5">
        <v>45741.0</v>
      </c>
      <c r="E82" s="1">
        <v>16.0</v>
      </c>
      <c r="F82" s="1">
        <v>14.0</v>
      </c>
      <c r="G82" s="1" t="str">
        <f t="shared" si="1"/>
        <v>4</v>
      </c>
      <c r="H82" s="1" t="str">
        <f t="shared" si="2"/>
        <v>#REF!</v>
      </c>
    </row>
    <row r="83" ht="15.75" customHeight="1">
      <c r="A83" s="1" t="s">
        <v>39</v>
      </c>
      <c r="B83" s="1" t="s">
        <v>99</v>
      </c>
      <c r="C83" s="1" t="s">
        <v>11</v>
      </c>
      <c r="D83" s="5">
        <v>45741.0</v>
      </c>
      <c r="E83" s="1">
        <v>43.0</v>
      </c>
      <c r="F83" s="1">
        <v>30.0</v>
      </c>
      <c r="G83" s="1" t="str">
        <f t="shared" si="1"/>
        <v>4</v>
      </c>
      <c r="H83" s="1" t="str">
        <f t="shared" si="2"/>
        <v>#REF!</v>
      </c>
    </row>
    <row r="84" ht="15.75" hidden="1" customHeight="1">
      <c r="A84" s="1" t="s">
        <v>39</v>
      </c>
      <c r="B84" s="1" t="s">
        <v>44</v>
      </c>
      <c r="C84" s="1" t="s">
        <v>11</v>
      </c>
      <c r="D84" s="5">
        <v>45741.0</v>
      </c>
      <c r="G84" s="1" t="str">
        <f t="shared" si="1"/>
        <v>5</v>
      </c>
      <c r="H84" s="1" t="str">
        <f t="shared" si="2"/>
        <v>#REF!</v>
      </c>
    </row>
    <row r="85" ht="15.75" hidden="1" customHeight="1">
      <c r="A85" s="1" t="s">
        <v>46</v>
      </c>
      <c r="B85" s="1" t="s">
        <v>57</v>
      </c>
      <c r="C85" s="1" t="s">
        <v>11</v>
      </c>
      <c r="D85" s="5">
        <v>45741.0</v>
      </c>
      <c r="G85" s="1" t="str">
        <f t="shared" si="1"/>
        <v>3</v>
      </c>
      <c r="H85" s="1" t="str">
        <f t="shared" si="2"/>
        <v>#REF!</v>
      </c>
    </row>
    <row r="86" ht="15.75" customHeight="1">
      <c r="A86" s="1" t="s">
        <v>46</v>
      </c>
      <c r="B86" s="1" t="s">
        <v>30</v>
      </c>
      <c r="C86" s="1" t="s">
        <v>11</v>
      </c>
      <c r="D86" s="5">
        <v>45741.0</v>
      </c>
      <c r="E86" s="1">
        <v>28.0</v>
      </c>
      <c r="F86" s="1">
        <v>18.0</v>
      </c>
      <c r="G86" s="1" t="str">
        <f t="shared" si="1"/>
        <v>3</v>
      </c>
      <c r="H86" s="1" t="str">
        <f t="shared" si="2"/>
        <v>#REF!</v>
      </c>
    </row>
    <row r="87" ht="15.75" hidden="1" customHeight="1">
      <c r="A87" s="1" t="s">
        <v>46</v>
      </c>
      <c r="B87" s="1" t="s">
        <v>112</v>
      </c>
      <c r="C87" s="1" t="s">
        <v>11</v>
      </c>
      <c r="D87" s="5">
        <v>45741.0</v>
      </c>
      <c r="G87" s="1" t="str">
        <f t="shared" si="1"/>
        <v>3</v>
      </c>
      <c r="H87" s="1" t="str">
        <f t="shared" si="2"/>
        <v>#REF!</v>
      </c>
    </row>
    <row r="88" ht="15.75" customHeight="1">
      <c r="A88" s="1" t="s">
        <v>46</v>
      </c>
      <c r="B88" s="1" t="s">
        <v>58</v>
      </c>
      <c r="C88" s="1" t="s">
        <v>11</v>
      </c>
      <c r="D88" s="5">
        <v>45741.0</v>
      </c>
      <c r="E88" s="1">
        <v>8.0</v>
      </c>
      <c r="F88" s="1">
        <v>0.0</v>
      </c>
      <c r="G88" s="1" t="str">
        <f t="shared" si="1"/>
        <v>3</v>
      </c>
      <c r="H88" s="1" t="str">
        <f t="shared" si="2"/>
        <v>#REF!</v>
      </c>
    </row>
    <row r="89" ht="15.75" customHeight="1">
      <c r="A89" s="1" t="s">
        <v>46</v>
      </c>
      <c r="B89" s="1" t="s">
        <v>34</v>
      </c>
      <c r="C89" s="1" t="s">
        <v>11</v>
      </c>
      <c r="D89" s="5">
        <v>45741.0</v>
      </c>
      <c r="E89" s="1">
        <v>4.0</v>
      </c>
      <c r="F89" s="1">
        <v>2.0</v>
      </c>
      <c r="G89" s="1" t="str">
        <f t="shared" si="1"/>
        <v>4</v>
      </c>
      <c r="H89" s="1" t="str">
        <f t="shared" si="2"/>
        <v>#REF!</v>
      </c>
    </row>
    <row r="90" ht="15.75" customHeight="1">
      <c r="A90" s="1" t="s">
        <v>53</v>
      </c>
      <c r="B90" s="1" t="s">
        <v>28</v>
      </c>
      <c r="C90" s="1" t="s">
        <v>11</v>
      </c>
      <c r="D90" s="5">
        <v>45741.0</v>
      </c>
      <c r="E90" s="1">
        <v>24.0</v>
      </c>
      <c r="F90" s="1">
        <v>18.0</v>
      </c>
      <c r="G90" s="1" t="str">
        <f t="shared" si="1"/>
        <v>3</v>
      </c>
      <c r="H90" s="1" t="str">
        <f t="shared" si="2"/>
        <v>#REF!</v>
      </c>
    </row>
    <row r="91" ht="15.75" customHeight="1">
      <c r="A91" s="1" t="s">
        <v>53</v>
      </c>
      <c r="B91" s="1" t="s">
        <v>111</v>
      </c>
      <c r="C91" s="1" t="s">
        <v>11</v>
      </c>
      <c r="D91" s="5">
        <v>45741.0</v>
      </c>
      <c r="E91" s="1">
        <v>16.0</v>
      </c>
      <c r="F91" s="1">
        <v>12.0</v>
      </c>
      <c r="G91" s="1" t="str">
        <f t="shared" si="1"/>
        <v>3</v>
      </c>
      <c r="H91" s="1" t="str">
        <f t="shared" si="2"/>
        <v>#REF!</v>
      </c>
    </row>
    <row r="92" ht="15.75" customHeight="1">
      <c r="A92" s="1" t="s">
        <v>76</v>
      </c>
      <c r="B92" s="1" t="s">
        <v>34</v>
      </c>
      <c r="C92" s="1" t="s">
        <v>11</v>
      </c>
      <c r="D92" s="5">
        <v>45741.0</v>
      </c>
      <c r="E92" s="1">
        <v>28.0</v>
      </c>
      <c r="F92" s="1">
        <v>14.0</v>
      </c>
      <c r="G92" s="1" t="str">
        <f t="shared" si="1"/>
        <v>4</v>
      </c>
      <c r="H92" s="1" t="str">
        <f t="shared" si="2"/>
        <v>#REF!</v>
      </c>
    </row>
    <row r="93" ht="15.75" customHeight="1">
      <c r="A93" s="1" t="s">
        <v>56</v>
      </c>
      <c r="B93" s="1" t="s">
        <v>48</v>
      </c>
      <c r="C93" s="1" t="s">
        <v>11</v>
      </c>
      <c r="D93" s="5">
        <v>45741.0</v>
      </c>
      <c r="E93" s="1">
        <v>18.0</v>
      </c>
      <c r="F93" s="1">
        <v>14.0</v>
      </c>
      <c r="G93" s="1" t="str">
        <f t="shared" si="1"/>
        <v>3</v>
      </c>
      <c r="H93" s="1" t="str">
        <f t="shared" si="2"/>
        <v>#REF!</v>
      </c>
    </row>
    <row r="94" ht="15.75" customHeight="1">
      <c r="A94" s="1" t="s">
        <v>56</v>
      </c>
      <c r="B94" s="1" t="s">
        <v>34</v>
      </c>
      <c r="C94" s="1" t="s">
        <v>11</v>
      </c>
      <c r="D94" s="5">
        <v>45741.0</v>
      </c>
      <c r="E94" s="1">
        <v>13.0</v>
      </c>
      <c r="F94" s="1">
        <v>9.0</v>
      </c>
      <c r="G94" s="1" t="str">
        <f t="shared" si="1"/>
        <v>4</v>
      </c>
      <c r="H94" s="1" t="str">
        <f t="shared" si="2"/>
        <v>#REF!</v>
      </c>
    </row>
    <row r="95" ht="15.75" customHeight="1">
      <c r="A95" s="1" t="s">
        <v>56</v>
      </c>
      <c r="B95" s="1" t="s">
        <v>97</v>
      </c>
      <c r="C95" s="1" t="s">
        <v>11</v>
      </c>
      <c r="D95" s="5">
        <v>45741.0</v>
      </c>
      <c r="E95" s="1">
        <v>4.0</v>
      </c>
      <c r="F95" s="1">
        <v>4.0</v>
      </c>
      <c r="G95" s="1" t="str">
        <f t="shared" si="1"/>
        <v>4</v>
      </c>
      <c r="H95" s="1" t="str">
        <f t="shared" si="2"/>
        <v>#REF!</v>
      </c>
    </row>
    <row r="96" ht="15.75" hidden="1" customHeight="1">
      <c r="A96" s="1" t="s">
        <v>81</v>
      </c>
      <c r="B96" s="1" t="s">
        <v>113</v>
      </c>
      <c r="C96" s="1" t="s">
        <v>11</v>
      </c>
      <c r="D96" s="5">
        <v>45741.0</v>
      </c>
      <c r="G96" s="1" t="str">
        <f t="shared" si="1"/>
        <v>4</v>
      </c>
      <c r="H96" s="1" t="str">
        <f t="shared" si="2"/>
        <v>#REF!</v>
      </c>
    </row>
    <row r="97" ht="15.75" customHeight="1">
      <c r="A97" s="1" t="s">
        <v>81</v>
      </c>
      <c r="B97" s="1" t="s">
        <v>79</v>
      </c>
      <c r="C97" s="1" t="s">
        <v>11</v>
      </c>
      <c r="D97" s="5">
        <v>45741.0</v>
      </c>
      <c r="E97" s="1">
        <v>2.0</v>
      </c>
      <c r="F97" s="1">
        <v>2.0</v>
      </c>
      <c r="G97" s="1" t="str">
        <f t="shared" si="1"/>
        <v>4</v>
      </c>
      <c r="H97" s="1" t="str">
        <f t="shared" si="2"/>
        <v>#REF!</v>
      </c>
    </row>
    <row r="98" ht="15.75" customHeight="1">
      <c r="A98" s="1" t="s">
        <v>81</v>
      </c>
      <c r="B98" s="1" t="s">
        <v>114</v>
      </c>
      <c r="C98" s="1" t="s">
        <v>11</v>
      </c>
      <c r="D98" s="5">
        <v>45741.0</v>
      </c>
      <c r="E98" s="1">
        <v>28.0</v>
      </c>
      <c r="F98" s="1">
        <v>24.0</v>
      </c>
      <c r="G98" s="1" t="str">
        <f t="shared" si="1"/>
        <v>8</v>
      </c>
      <c r="H98" s="1" t="str">
        <f t="shared" si="2"/>
        <v>#REF!</v>
      </c>
    </row>
    <row r="99" ht="15.75" customHeight="1">
      <c r="A99" s="1" t="s">
        <v>60</v>
      </c>
      <c r="B99" s="1" t="s">
        <v>61</v>
      </c>
      <c r="C99" s="1" t="s">
        <v>11</v>
      </c>
      <c r="D99" s="5">
        <v>45741.0</v>
      </c>
      <c r="E99" s="1">
        <v>14.0</v>
      </c>
      <c r="F99" s="1">
        <v>4.0</v>
      </c>
      <c r="G99" s="1" t="str">
        <f t="shared" si="1"/>
        <v>4</v>
      </c>
      <c r="H99" s="1" t="str">
        <f t="shared" si="2"/>
        <v>#REF!</v>
      </c>
    </row>
    <row r="100" ht="15.75" customHeight="1">
      <c r="A100" s="1" t="s">
        <v>63</v>
      </c>
      <c r="B100" s="1" t="s">
        <v>44</v>
      </c>
      <c r="C100" s="1" t="s">
        <v>11</v>
      </c>
      <c r="D100" s="5">
        <v>45741.0</v>
      </c>
      <c r="E100" s="1">
        <v>6.0</v>
      </c>
      <c r="F100" s="1">
        <v>2.0</v>
      </c>
      <c r="G100" s="1" t="str">
        <f t="shared" si="1"/>
        <v>5</v>
      </c>
      <c r="H100" s="1" t="str">
        <f t="shared" si="2"/>
        <v>#REF!</v>
      </c>
    </row>
    <row r="101" ht="15.75" customHeight="1">
      <c r="A101" s="1" t="s">
        <v>65</v>
      </c>
      <c r="B101" s="1" t="s">
        <v>66</v>
      </c>
      <c r="C101" s="1" t="s">
        <v>11</v>
      </c>
      <c r="D101" s="5">
        <v>45741.0</v>
      </c>
      <c r="E101" s="1">
        <v>6.0</v>
      </c>
      <c r="F101" s="1">
        <v>4.0</v>
      </c>
      <c r="G101" s="1" t="str">
        <f t="shared" si="1"/>
        <v>4</v>
      </c>
      <c r="H101" s="1" t="str">
        <f t="shared" si="2"/>
        <v>#REF!</v>
      </c>
    </row>
    <row r="102" ht="15.75" customHeight="1">
      <c r="A102" s="1" t="s">
        <v>92</v>
      </c>
      <c r="B102" s="1" t="s">
        <v>10</v>
      </c>
      <c r="C102" s="1" t="s">
        <v>11</v>
      </c>
      <c r="D102" s="5">
        <v>45741.0</v>
      </c>
      <c r="E102" s="1">
        <v>9.0</v>
      </c>
      <c r="F102" s="1">
        <v>4.0</v>
      </c>
      <c r="G102" s="1" t="str">
        <f t="shared" si="1"/>
        <v>3</v>
      </c>
      <c r="H102" s="1" t="str">
        <f t="shared" si="2"/>
        <v>#REF!</v>
      </c>
    </row>
    <row r="103" ht="15.75" hidden="1" customHeight="1">
      <c r="A103" s="1" t="s">
        <v>68</v>
      </c>
      <c r="B103" s="1" t="s">
        <v>58</v>
      </c>
      <c r="C103" s="1" t="s">
        <v>11</v>
      </c>
      <c r="D103" s="5">
        <v>45741.0</v>
      </c>
      <c r="G103" s="1" t="str">
        <f t="shared" si="1"/>
        <v>3</v>
      </c>
      <c r="H103" s="1" t="str">
        <f t="shared" si="2"/>
        <v>#REF!</v>
      </c>
    </row>
    <row r="104" ht="15.75" customHeight="1">
      <c r="A104" s="1" t="s">
        <v>69</v>
      </c>
      <c r="B104" s="1" t="s">
        <v>10</v>
      </c>
      <c r="C104" s="1" t="s">
        <v>11</v>
      </c>
      <c r="D104" s="5">
        <v>45741.0</v>
      </c>
      <c r="E104" s="1">
        <v>2.0</v>
      </c>
      <c r="F104" s="1">
        <v>0.0</v>
      </c>
      <c r="G104" s="1" t="str">
        <f t="shared" si="1"/>
        <v>3</v>
      </c>
      <c r="H104" s="1" t="str">
        <f t="shared" si="2"/>
        <v>#REF!</v>
      </c>
    </row>
    <row r="105" ht="15.75" customHeight="1">
      <c r="A105" s="1" t="s">
        <v>98</v>
      </c>
      <c r="B105" s="1" t="s">
        <v>10</v>
      </c>
      <c r="C105" s="1" t="s">
        <v>11</v>
      </c>
      <c r="D105" s="5">
        <v>45741.0</v>
      </c>
      <c r="E105" s="1">
        <v>26.0</v>
      </c>
      <c r="F105" s="1">
        <v>22.0</v>
      </c>
      <c r="G105" s="1" t="str">
        <f t="shared" si="1"/>
        <v>3</v>
      </c>
      <c r="H105" s="1" t="str">
        <f t="shared" si="2"/>
        <v>#REF!</v>
      </c>
    </row>
    <row r="106" ht="15.75" customHeight="1">
      <c r="A106" s="1" t="s">
        <v>98</v>
      </c>
      <c r="B106" s="1" t="s">
        <v>47</v>
      </c>
      <c r="C106" s="1" t="s">
        <v>11</v>
      </c>
      <c r="D106" s="5">
        <v>45741.0</v>
      </c>
      <c r="E106" s="1">
        <v>18.0</v>
      </c>
      <c r="F106" s="1">
        <v>14.0</v>
      </c>
      <c r="G106" s="1" t="str">
        <f t="shared" si="1"/>
        <v>3</v>
      </c>
      <c r="H106" s="1" t="str">
        <f t="shared" si="2"/>
        <v>#REF!</v>
      </c>
    </row>
    <row r="107" ht="15.75" customHeight="1">
      <c r="A107" s="1" t="s">
        <v>75</v>
      </c>
      <c r="B107" s="1" t="s">
        <v>10</v>
      </c>
      <c r="C107" s="1" t="s">
        <v>11</v>
      </c>
      <c r="D107" s="5">
        <v>45741.0</v>
      </c>
      <c r="E107" s="1">
        <v>18.0</v>
      </c>
      <c r="F107" s="1">
        <v>16.0</v>
      </c>
      <c r="G107" s="1" t="str">
        <f t="shared" si="1"/>
        <v>3</v>
      </c>
      <c r="H107" s="1" t="str">
        <f t="shared" si="2"/>
        <v>#REF!</v>
      </c>
    </row>
    <row r="108" ht="15.75" customHeight="1">
      <c r="A108" s="1" t="s">
        <v>75</v>
      </c>
      <c r="B108" s="1" t="s">
        <v>47</v>
      </c>
      <c r="C108" s="1" t="s">
        <v>11</v>
      </c>
      <c r="D108" s="5">
        <v>45741.0</v>
      </c>
      <c r="E108" s="1">
        <v>8.0</v>
      </c>
      <c r="F108" s="1">
        <v>6.0</v>
      </c>
      <c r="G108" s="1" t="str">
        <f t="shared" si="1"/>
        <v>3</v>
      </c>
      <c r="H108" s="1" t="str">
        <f t="shared" si="2"/>
        <v>#REF!</v>
      </c>
    </row>
    <row r="109" ht="15.75" customHeight="1">
      <c r="A109" s="1" t="s">
        <v>77</v>
      </c>
      <c r="B109" s="1" t="s">
        <v>66</v>
      </c>
      <c r="C109" s="1" t="s">
        <v>11</v>
      </c>
      <c r="D109" s="5">
        <v>45741.0</v>
      </c>
      <c r="E109" s="1">
        <v>11.0</v>
      </c>
      <c r="F109" s="1">
        <v>8.0</v>
      </c>
      <c r="G109" s="1" t="str">
        <f t="shared" si="1"/>
        <v>4</v>
      </c>
      <c r="H109" s="1" t="str">
        <f t="shared" si="2"/>
        <v>#REF!</v>
      </c>
    </row>
    <row r="110" ht="15.75" hidden="1" customHeight="1">
      <c r="A110" s="1" t="s">
        <v>77</v>
      </c>
      <c r="B110" s="1" t="s">
        <v>34</v>
      </c>
      <c r="C110" s="1" t="s">
        <v>11</v>
      </c>
      <c r="D110" s="5">
        <v>45741.0</v>
      </c>
      <c r="G110" s="1" t="str">
        <f t="shared" si="1"/>
        <v>4</v>
      </c>
      <c r="H110" s="1" t="str">
        <f t="shared" si="2"/>
        <v>#REF!</v>
      </c>
    </row>
    <row r="111" ht="15.75" customHeight="1">
      <c r="A111" s="1" t="s">
        <v>77</v>
      </c>
      <c r="B111" s="1" t="s">
        <v>19</v>
      </c>
      <c r="C111" s="1" t="s">
        <v>11</v>
      </c>
      <c r="D111" s="5">
        <v>45741.0</v>
      </c>
      <c r="E111" s="1">
        <v>18.0</v>
      </c>
      <c r="F111" s="1">
        <v>18.0</v>
      </c>
      <c r="G111" s="1" t="str">
        <f t="shared" si="1"/>
        <v>4</v>
      </c>
      <c r="H111" s="1" t="str">
        <f t="shared" si="2"/>
        <v>#REF!</v>
      </c>
    </row>
    <row r="112" ht="15.75" customHeight="1">
      <c r="A112" s="1" t="s">
        <v>100</v>
      </c>
      <c r="B112" s="1" t="s">
        <v>44</v>
      </c>
      <c r="C112" s="1" t="s">
        <v>11</v>
      </c>
      <c r="D112" s="5">
        <v>45741.0</v>
      </c>
      <c r="E112" s="1">
        <v>2.0</v>
      </c>
      <c r="F112" s="1">
        <v>2.0</v>
      </c>
      <c r="G112" s="1" t="str">
        <f t="shared" si="1"/>
        <v>5</v>
      </c>
      <c r="H112" s="1" t="str">
        <f t="shared" si="2"/>
        <v>#REF!</v>
      </c>
    </row>
    <row r="113" ht="15.75" customHeight="1">
      <c r="A113" s="1" t="s">
        <v>100</v>
      </c>
      <c r="B113" s="1" t="s">
        <v>103</v>
      </c>
      <c r="C113" s="1" t="s">
        <v>11</v>
      </c>
      <c r="D113" s="5">
        <v>45741.0</v>
      </c>
      <c r="E113" s="1">
        <v>2.0</v>
      </c>
      <c r="F113" s="1">
        <v>0.0</v>
      </c>
      <c r="G113" s="1" t="str">
        <f t="shared" si="1"/>
        <v>5</v>
      </c>
      <c r="H113" s="1" t="str">
        <f t="shared" si="2"/>
        <v>#REF!</v>
      </c>
    </row>
    <row r="114" ht="15.75" customHeight="1">
      <c r="A114" s="1" t="s">
        <v>100</v>
      </c>
      <c r="B114" s="1" t="s">
        <v>104</v>
      </c>
      <c r="C114" s="1" t="s">
        <v>11</v>
      </c>
      <c r="D114" s="5">
        <v>45741.0</v>
      </c>
      <c r="E114" s="1">
        <v>2.0</v>
      </c>
      <c r="F114" s="1">
        <v>2.0</v>
      </c>
      <c r="G114" s="1" t="str">
        <f t="shared" si="1"/>
        <v>5</v>
      </c>
      <c r="H114" s="1" t="str">
        <f t="shared" si="2"/>
        <v>#REF!</v>
      </c>
    </row>
    <row r="115" ht="15.75" customHeight="1">
      <c r="A115" s="1" t="s">
        <v>82</v>
      </c>
      <c r="B115" s="1" t="s">
        <v>10</v>
      </c>
      <c r="C115" s="1" t="s">
        <v>11</v>
      </c>
      <c r="D115" s="5">
        <v>45741.0</v>
      </c>
      <c r="E115" s="1">
        <v>14.0</v>
      </c>
      <c r="F115" s="1">
        <v>14.0</v>
      </c>
      <c r="G115" s="1" t="str">
        <f t="shared" si="1"/>
        <v>3</v>
      </c>
      <c r="H115" s="1" t="str">
        <f t="shared" si="2"/>
        <v>#REF!</v>
      </c>
    </row>
    <row r="116" ht="15.75" customHeight="1">
      <c r="A116" s="1" t="s">
        <v>90</v>
      </c>
      <c r="B116" s="1" t="s">
        <v>115</v>
      </c>
      <c r="C116" s="1" t="s">
        <v>11</v>
      </c>
      <c r="D116" s="5">
        <v>45741.0</v>
      </c>
      <c r="E116" s="1">
        <v>20.0</v>
      </c>
      <c r="F116" s="1">
        <v>16.0</v>
      </c>
      <c r="G116" s="1" t="str">
        <f t="shared" si="1"/>
        <v>3</v>
      </c>
      <c r="H116" s="1" t="str">
        <f t="shared" si="2"/>
        <v>#REF!</v>
      </c>
    </row>
    <row r="117" ht="15.75" customHeight="1">
      <c r="A117" s="1" t="s">
        <v>90</v>
      </c>
      <c r="B117" s="1" t="s">
        <v>116</v>
      </c>
      <c r="C117" s="1" t="s">
        <v>11</v>
      </c>
      <c r="D117" s="5">
        <v>45741.0</v>
      </c>
      <c r="E117" s="1">
        <v>16.0</v>
      </c>
      <c r="F117" s="1">
        <v>16.0</v>
      </c>
      <c r="G117" s="1" t="str">
        <f t="shared" si="1"/>
        <v>3</v>
      </c>
      <c r="H117" s="1" t="str">
        <f t="shared" si="2"/>
        <v>#REF!</v>
      </c>
    </row>
    <row r="118" ht="15.75" customHeight="1">
      <c r="A118" s="1" t="s">
        <v>90</v>
      </c>
      <c r="B118" s="1" t="s">
        <v>91</v>
      </c>
      <c r="C118" s="1" t="s">
        <v>11</v>
      </c>
      <c r="D118" s="5">
        <v>45741.0</v>
      </c>
      <c r="E118" s="1">
        <v>8.0</v>
      </c>
      <c r="F118" s="1">
        <v>4.0</v>
      </c>
      <c r="G118" s="1" t="str">
        <f t="shared" si="1"/>
        <v>3</v>
      </c>
      <c r="H118" s="1" t="str">
        <f t="shared" si="2"/>
        <v>#REF!</v>
      </c>
    </row>
    <row r="119" ht="15.75" hidden="1" customHeight="1">
      <c r="A119" s="1" t="s">
        <v>90</v>
      </c>
      <c r="B119" s="1" t="s">
        <v>117</v>
      </c>
      <c r="C119" s="1" t="s">
        <v>11</v>
      </c>
      <c r="D119" s="5">
        <v>45741.0</v>
      </c>
      <c r="G119" s="1" t="str">
        <f t="shared" si="1"/>
        <v>3</v>
      </c>
      <c r="H119" s="1" t="str">
        <f t="shared" si="2"/>
        <v>#REF!</v>
      </c>
    </row>
    <row r="120" ht="15.75" hidden="1" customHeight="1">
      <c r="A120" s="1" t="s">
        <v>90</v>
      </c>
      <c r="B120" s="1" t="s">
        <v>118</v>
      </c>
      <c r="C120" s="1" t="s">
        <v>11</v>
      </c>
      <c r="D120" s="5">
        <v>45741.0</v>
      </c>
      <c r="G120" s="1" t="str">
        <f t="shared" si="1"/>
        <v>3</v>
      </c>
      <c r="H120" s="1" t="str">
        <f t="shared" si="2"/>
        <v>#REF!</v>
      </c>
    </row>
    <row r="121" ht="15.75" customHeight="1">
      <c r="A121" s="1" t="s">
        <v>90</v>
      </c>
      <c r="B121" s="1" t="s">
        <v>47</v>
      </c>
      <c r="C121" s="1" t="s">
        <v>11</v>
      </c>
      <c r="D121" s="5">
        <v>45741.0</v>
      </c>
      <c r="E121" s="1">
        <v>2.0</v>
      </c>
      <c r="F121" s="1">
        <v>2.0</v>
      </c>
      <c r="G121" s="1" t="str">
        <f t="shared" si="1"/>
        <v>3</v>
      </c>
      <c r="H121" s="1" t="str">
        <f t="shared" si="2"/>
        <v>#REF!</v>
      </c>
    </row>
    <row r="122" ht="15.75" customHeight="1">
      <c r="A122" s="1" t="s">
        <v>90</v>
      </c>
      <c r="B122" s="1" t="s">
        <v>48</v>
      </c>
      <c r="C122" s="1" t="s">
        <v>11</v>
      </c>
      <c r="D122" s="5">
        <v>45741.0</v>
      </c>
      <c r="E122" s="1">
        <v>5.0</v>
      </c>
      <c r="F122" s="1">
        <v>5.0</v>
      </c>
      <c r="G122" s="1" t="str">
        <f t="shared" si="1"/>
        <v>3</v>
      </c>
      <c r="H122" s="1" t="str">
        <f t="shared" si="2"/>
        <v>#REF!</v>
      </c>
    </row>
    <row r="123" ht="15.75" customHeight="1">
      <c r="A123" s="1" t="s">
        <v>93</v>
      </c>
      <c r="B123" s="1" t="s">
        <v>104</v>
      </c>
      <c r="C123" s="1" t="s">
        <v>11</v>
      </c>
      <c r="D123" s="5">
        <v>45741.0</v>
      </c>
      <c r="E123" s="1">
        <v>10.0</v>
      </c>
      <c r="F123" s="1">
        <v>8.0</v>
      </c>
      <c r="G123" s="1" t="str">
        <f t="shared" si="1"/>
        <v>5</v>
      </c>
      <c r="H123" s="1" t="str">
        <f t="shared" si="2"/>
        <v>#REF!</v>
      </c>
    </row>
    <row r="124" ht="15.75" customHeight="1">
      <c r="A124" s="1" t="s">
        <v>107</v>
      </c>
      <c r="B124" s="1" t="s">
        <v>44</v>
      </c>
      <c r="C124" s="1" t="s">
        <v>11</v>
      </c>
      <c r="D124" s="5">
        <v>45741.0</v>
      </c>
      <c r="E124" s="1">
        <v>8.0</v>
      </c>
      <c r="F124" s="1">
        <v>8.0</v>
      </c>
      <c r="G124" s="1" t="str">
        <f t="shared" si="1"/>
        <v>5</v>
      </c>
      <c r="H124" s="1" t="str">
        <f t="shared" si="2"/>
        <v>#REF!</v>
      </c>
    </row>
    <row r="125" ht="15.75" customHeight="1">
      <c r="A125" s="1" t="s">
        <v>94</v>
      </c>
      <c r="B125" s="1" t="s">
        <v>104</v>
      </c>
      <c r="C125" s="1" t="s">
        <v>11</v>
      </c>
      <c r="D125" s="5">
        <v>45741.0</v>
      </c>
      <c r="E125" s="1">
        <v>14.0</v>
      </c>
      <c r="F125" s="1">
        <v>14.0</v>
      </c>
      <c r="G125" s="1" t="str">
        <f t="shared" si="1"/>
        <v>5</v>
      </c>
      <c r="H125" s="1" t="str">
        <f t="shared" si="2"/>
        <v>#REF!</v>
      </c>
    </row>
    <row r="126" ht="15.75" customHeight="1">
      <c r="A126" s="1" t="s">
        <v>96</v>
      </c>
      <c r="B126" s="1" t="s">
        <v>10</v>
      </c>
      <c r="C126" s="1" t="s">
        <v>11</v>
      </c>
      <c r="D126" s="5">
        <v>45741.0</v>
      </c>
      <c r="E126" s="1">
        <v>21.0</v>
      </c>
      <c r="F126" s="1">
        <v>16.0</v>
      </c>
      <c r="G126" s="1" t="str">
        <f t="shared" si="1"/>
        <v>3</v>
      </c>
      <c r="H126" s="1" t="str">
        <f t="shared" si="2"/>
        <v>#REF!</v>
      </c>
    </row>
    <row r="127" ht="15.75" customHeight="1">
      <c r="A127" s="1" t="s">
        <v>29</v>
      </c>
      <c r="B127" s="1" t="s">
        <v>10</v>
      </c>
      <c r="C127" s="1" t="s">
        <v>11</v>
      </c>
      <c r="D127" s="5">
        <v>45740.0</v>
      </c>
      <c r="E127" s="1">
        <v>2.0</v>
      </c>
      <c r="F127" s="1">
        <v>2.0</v>
      </c>
      <c r="G127" s="1" t="str">
        <f t="shared" si="1"/>
        <v>3</v>
      </c>
      <c r="H127" s="1" t="str">
        <f t="shared" si="2"/>
        <v>#REF!</v>
      </c>
    </row>
    <row r="128" ht="15.75" hidden="1" customHeight="1">
      <c r="A128" s="1" t="s">
        <v>31</v>
      </c>
      <c r="B128" s="1" t="s">
        <v>10</v>
      </c>
      <c r="C128" s="1" t="s">
        <v>11</v>
      </c>
      <c r="D128" s="5">
        <v>45740.0</v>
      </c>
      <c r="G128" s="1" t="str">
        <f t="shared" si="1"/>
        <v>3</v>
      </c>
      <c r="H128" s="1" t="str">
        <f t="shared" si="2"/>
        <v>#REF!</v>
      </c>
    </row>
    <row r="129" ht="15.75" customHeight="1">
      <c r="A129" s="1" t="s">
        <v>31</v>
      </c>
      <c r="B129" s="1" t="s">
        <v>34</v>
      </c>
      <c r="C129" s="1" t="s">
        <v>11</v>
      </c>
      <c r="D129" s="5">
        <v>45740.0</v>
      </c>
      <c r="E129" s="1">
        <v>42.0</v>
      </c>
      <c r="F129" s="1">
        <v>27.0</v>
      </c>
      <c r="G129" s="1" t="str">
        <f t="shared" si="1"/>
        <v>4</v>
      </c>
      <c r="H129" s="1" t="str">
        <f t="shared" si="2"/>
        <v>#REF!</v>
      </c>
    </row>
    <row r="130" ht="15.75" customHeight="1">
      <c r="A130" s="1" t="s">
        <v>18</v>
      </c>
      <c r="B130" s="1" t="s">
        <v>34</v>
      </c>
      <c r="C130" s="1" t="s">
        <v>11</v>
      </c>
      <c r="D130" s="5">
        <v>45740.0</v>
      </c>
      <c r="E130" s="1">
        <v>2.0</v>
      </c>
      <c r="F130" s="1">
        <v>2.0</v>
      </c>
      <c r="G130" s="1" t="str">
        <f t="shared" si="1"/>
        <v>4</v>
      </c>
      <c r="H130" s="1" t="str">
        <f t="shared" si="2"/>
        <v>#REF!</v>
      </c>
    </row>
    <row r="131" ht="15.75" customHeight="1">
      <c r="A131" s="1" t="s">
        <v>18</v>
      </c>
      <c r="B131" s="1" t="s">
        <v>37</v>
      </c>
      <c r="C131" s="1" t="s">
        <v>11</v>
      </c>
      <c r="D131" s="5">
        <v>45740.0</v>
      </c>
      <c r="E131" s="1">
        <v>18.0</v>
      </c>
      <c r="F131" s="1">
        <v>14.0</v>
      </c>
      <c r="G131" s="1" t="str">
        <f t="shared" si="1"/>
        <v>4</v>
      </c>
      <c r="H131" s="1" t="str">
        <f t="shared" si="2"/>
        <v>#REF!</v>
      </c>
    </row>
    <row r="132" ht="15.75" customHeight="1">
      <c r="A132" s="1" t="s">
        <v>20</v>
      </c>
      <c r="B132" s="1" t="s">
        <v>61</v>
      </c>
      <c r="C132" s="1" t="s">
        <v>11</v>
      </c>
      <c r="D132" s="5">
        <v>45740.0</v>
      </c>
      <c r="E132" s="1">
        <v>48.0</v>
      </c>
      <c r="F132" s="1">
        <v>30.0</v>
      </c>
      <c r="G132" s="1" t="str">
        <f t="shared" si="1"/>
        <v>4</v>
      </c>
      <c r="H132" s="1" t="str">
        <f t="shared" si="2"/>
        <v>#REF!</v>
      </c>
    </row>
    <row r="133" ht="15.75" customHeight="1">
      <c r="A133" s="1" t="s">
        <v>20</v>
      </c>
      <c r="B133" s="1" t="s">
        <v>34</v>
      </c>
      <c r="C133" s="1" t="s">
        <v>11</v>
      </c>
      <c r="D133" s="5">
        <v>45740.0</v>
      </c>
      <c r="E133" s="1">
        <v>2.0</v>
      </c>
      <c r="F133" s="1">
        <v>2.0</v>
      </c>
      <c r="G133" s="1" t="str">
        <f t="shared" si="1"/>
        <v>4</v>
      </c>
      <c r="H133" s="1" t="str">
        <f t="shared" si="2"/>
        <v>#REF!</v>
      </c>
    </row>
    <row r="134" ht="15.75" customHeight="1">
      <c r="A134" s="1" t="s">
        <v>20</v>
      </c>
      <c r="B134" s="1" t="s">
        <v>97</v>
      </c>
      <c r="C134" s="1" t="s">
        <v>11</v>
      </c>
      <c r="D134" s="5">
        <v>45740.0</v>
      </c>
      <c r="E134" s="1">
        <v>14.0</v>
      </c>
      <c r="F134" s="1">
        <v>10.0</v>
      </c>
      <c r="G134" s="1" t="str">
        <f t="shared" si="1"/>
        <v>4</v>
      </c>
      <c r="H134" s="1" t="str">
        <f t="shared" si="2"/>
        <v>#REF!</v>
      </c>
    </row>
    <row r="135" ht="15.75" customHeight="1">
      <c r="A135" s="1" t="s">
        <v>20</v>
      </c>
      <c r="B135" s="1" t="s">
        <v>37</v>
      </c>
      <c r="C135" s="1" t="s">
        <v>11</v>
      </c>
      <c r="D135" s="5">
        <v>45740.0</v>
      </c>
      <c r="E135" s="1">
        <v>2.0</v>
      </c>
      <c r="F135" s="1">
        <v>2.0</v>
      </c>
      <c r="G135" s="1" t="str">
        <f t="shared" si="1"/>
        <v>4</v>
      </c>
      <c r="H135" s="1" t="str">
        <f t="shared" si="2"/>
        <v>#REF!</v>
      </c>
    </row>
    <row r="136" ht="15.75" customHeight="1">
      <c r="A136" s="1" t="s">
        <v>41</v>
      </c>
      <c r="B136" s="1" t="s">
        <v>34</v>
      </c>
      <c r="C136" s="1" t="s">
        <v>11</v>
      </c>
      <c r="D136" s="5">
        <v>45740.0</v>
      </c>
      <c r="E136" s="1">
        <v>8.0</v>
      </c>
      <c r="F136" s="1">
        <v>6.0</v>
      </c>
      <c r="G136" s="1" t="str">
        <f t="shared" si="1"/>
        <v>4</v>
      </c>
      <c r="H136" s="1" t="str">
        <f t="shared" si="2"/>
        <v>#REF!</v>
      </c>
    </row>
    <row r="137" ht="15.75" customHeight="1">
      <c r="A137" s="1" t="s">
        <v>45</v>
      </c>
      <c r="B137" s="1" t="s">
        <v>25</v>
      </c>
      <c r="C137" s="1" t="s">
        <v>11</v>
      </c>
      <c r="D137" s="5">
        <v>45740.0</v>
      </c>
      <c r="E137" s="1">
        <v>65.0</v>
      </c>
      <c r="F137" s="1">
        <v>47.0</v>
      </c>
      <c r="G137" s="1" t="str">
        <f t="shared" si="1"/>
        <v>5</v>
      </c>
      <c r="H137" s="1" t="str">
        <f t="shared" si="2"/>
        <v>#REF!</v>
      </c>
    </row>
    <row r="138" ht="15.75" customHeight="1">
      <c r="A138" s="1" t="s">
        <v>45</v>
      </c>
      <c r="B138" s="1" t="s">
        <v>44</v>
      </c>
      <c r="C138" s="1" t="s">
        <v>11</v>
      </c>
      <c r="D138" s="5">
        <v>45740.0</v>
      </c>
      <c r="E138" s="1">
        <v>2.0</v>
      </c>
      <c r="F138" s="1">
        <v>2.0</v>
      </c>
      <c r="G138" s="1" t="str">
        <f t="shared" si="1"/>
        <v>5</v>
      </c>
      <c r="H138" s="1" t="str">
        <f t="shared" si="2"/>
        <v>#REF!</v>
      </c>
    </row>
    <row r="139" ht="15.75" customHeight="1">
      <c r="A139" s="1" t="s">
        <v>45</v>
      </c>
      <c r="B139" s="1" t="s">
        <v>103</v>
      </c>
      <c r="C139" s="1" t="s">
        <v>11</v>
      </c>
      <c r="D139" s="5">
        <v>45740.0</v>
      </c>
      <c r="E139" s="1">
        <v>26.0</v>
      </c>
      <c r="F139" s="1">
        <v>20.0</v>
      </c>
      <c r="G139" s="1" t="str">
        <f t="shared" si="1"/>
        <v>5</v>
      </c>
      <c r="H139" s="1" t="str">
        <f t="shared" si="2"/>
        <v>#REF!</v>
      </c>
    </row>
    <row r="140" ht="15.75" customHeight="1">
      <c r="A140" s="1" t="s">
        <v>45</v>
      </c>
      <c r="B140" s="1" t="s">
        <v>104</v>
      </c>
      <c r="C140" s="1" t="s">
        <v>11</v>
      </c>
      <c r="D140" s="5">
        <v>45740.0</v>
      </c>
      <c r="E140" s="1">
        <v>18.0</v>
      </c>
      <c r="F140" s="1">
        <v>18.0</v>
      </c>
      <c r="G140" s="1" t="str">
        <f t="shared" si="1"/>
        <v>5</v>
      </c>
      <c r="H140" s="1" t="str">
        <f t="shared" si="2"/>
        <v>#REF!</v>
      </c>
    </row>
    <row r="141" ht="15.75" customHeight="1">
      <c r="A141" s="1" t="s">
        <v>45</v>
      </c>
      <c r="B141" s="1" t="s">
        <v>106</v>
      </c>
      <c r="C141" s="1" t="s">
        <v>11</v>
      </c>
      <c r="D141" s="5">
        <v>45740.0</v>
      </c>
      <c r="E141" s="1">
        <v>16.0</v>
      </c>
      <c r="F141" s="1">
        <v>10.0</v>
      </c>
      <c r="G141" s="1" t="str">
        <f t="shared" si="1"/>
        <v>5</v>
      </c>
      <c r="H141" s="1" t="str">
        <f t="shared" si="2"/>
        <v>#REF!</v>
      </c>
    </row>
    <row r="142" ht="15.75" hidden="1" customHeight="1">
      <c r="A142" s="1" t="s">
        <v>24</v>
      </c>
      <c r="B142" s="1" t="s">
        <v>44</v>
      </c>
      <c r="C142" s="1" t="s">
        <v>11</v>
      </c>
      <c r="D142" s="5">
        <v>45740.0</v>
      </c>
      <c r="G142" s="1" t="str">
        <f t="shared" si="1"/>
        <v>5</v>
      </c>
      <c r="H142" s="1" t="str">
        <f t="shared" si="2"/>
        <v>#REF!</v>
      </c>
    </row>
    <row r="143" ht="15.75" customHeight="1">
      <c r="A143" s="1" t="s">
        <v>27</v>
      </c>
      <c r="B143" s="1" t="s">
        <v>10</v>
      </c>
      <c r="C143" s="1" t="s">
        <v>11</v>
      </c>
      <c r="D143" s="5">
        <v>45740.0</v>
      </c>
      <c r="E143" s="1">
        <v>41.0</v>
      </c>
      <c r="F143" s="1">
        <v>30.0</v>
      </c>
      <c r="G143" s="1" t="str">
        <f t="shared" si="1"/>
        <v>3</v>
      </c>
      <c r="H143" s="1" t="str">
        <f t="shared" si="2"/>
        <v>#REF!</v>
      </c>
    </row>
    <row r="144" ht="15.75" customHeight="1">
      <c r="A144" s="1" t="s">
        <v>49</v>
      </c>
      <c r="B144" s="1" t="s">
        <v>34</v>
      </c>
      <c r="C144" s="1" t="s">
        <v>11</v>
      </c>
      <c r="D144" s="5">
        <v>45740.0</v>
      </c>
      <c r="E144" s="1">
        <v>2.0</v>
      </c>
      <c r="F144" s="1">
        <v>2.0</v>
      </c>
      <c r="G144" s="1" t="str">
        <f t="shared" si="1"/>
        <v>4</v>
      </c>
      <c r="H144" s="1" t="str">
        <f t="shared" si="2"/>
        <v>#REF!</v>
      </c>
    </row>
    <row r="145" ht="15.75" customHeight="1">
      <c r="A145" s="1" t="s">
        <v>49</v>
      </c>
      <c r="B145" s="1" t="s">
        <v>37</v>
      </c>
      <c r="C145" s="1" t="s">
        <v>11</v>
      </c>
      <c r="D145" s="5">
        <v>45740.0</v>
      </c>
      <c r="E145" s="1">
        <v>24.0</v>
      </c>
      <c r="F145" s="1">
        <v>14.0</v>
      </c>
      <c r="G145" s="1" t="str">
        <f t="shared" si="1"/>
        <v>4</v>
      </c>
      <c r="H145" s="1" t="str">
        <f t="shared" si="2"/>
        <v>#REF!</v>
      </c>
    </row>
    <row r="146" ht="15.75" customHeight="1">
      <c r="A146" s="1" t="s">
        <v>50</v>
      </c>
      <c r="B146" s="1" t="s">
        <v>44</v>
      </c>
      <c r="C146" s="1" t="s">
        <v>11</v>
      </c>
      <c r="D146" s="5">
        <v>45740.0</v>
      </c>
      <c r="E146" s="1">
        <v>17.0</v>
      </c>
      <c r="F146" s="1">
        <v>14.0</v>
      </c>
      <c r="G146" s="1" t="str">
        <f t="shared" si="1"/>
        <v>5</v>
      </c>
      <c r="H146" s="1" t="str">
        <f t="shared" si="2"/>
        <v>#REF!</v>
      </c>
    </row>
    <row r="147" ht="15.75" customHeight="1">
      <c r="A147" s="1" t="s">
        <v>52</v>
      </c>
      <c r="B147" s="1" t="s">
        <v>10</v>
      </c>
      <c r="C147" s="1" t="s">
        <v>11</v>
      </c>
      <c r="D147" s="5">
        <v>45740.0</v>
      </c>
      <c r="E147" s="1">
        <v>15.0</v>
      </c>
      <c r="F147" s="1">
        <v>5.0</v>
      </c>
      <c r="G147" s="1" t="str">
        <f t="shared" si="1"/>
        <v>3</v>
      </c>
      <c r="H147" s="1" t="str">
        <f t="shared" si="2"/>
        <v>#REF!</v>
      </c>
    </row>
    <row r="148" ht="15.75" customHeight="1">
      <c r="A148" s="1" t="s">
        <v>52</v>
      </c>
      <c r="B148" s="1" t="s">
        <v>37</v>
      </c>
      <c r="C148" s="1" t="s">
        <v>11</v>
      </c>
      <c r="D148" s="5">
        <v>45740.0</v>
      </c>
      <c r="E148" s="1">
        <v>4.0</v>
      </c>
      <c r="F148" s="1">
        <v>4.0</v>
      </c>
      <c r="G148" s="1" t="str">
        <f t="shared" si="1"/>
        <v>4</v>
      </c>
      <c r="H148" s="1" t="str">
        <f t="shared" si="2"/>
        <v>#REF!</v>
      </c>
    </row>
    <row r="149" ht="15.75" customHeight="1">
      <c r="A149" s="1" t="s">
        <v>32</v>
      </c>
      <c r="B149" s="1" t="s">
        <v>10</v>
      </c>
      <c r="C149" s="1" t="s">
        <v>11</v>
      </c>
      <c r="D149" s="5">
        <v>45740.0</v>
      </c>
      <c r="E149" s="1">
        <v>2.0</v>
      </c>
      <c r="F149" s="1">
        <v>2.0</v>
      </c>
      <c r="G149" s="1" t="str">
        <f t="shared" si="1"/>
        <v>3</v>
      </c>
      <c r="H149" s="1" t="str">
        <f t="shared" si="2"/>
        <v>#REF!</v>
      </c>
    </row>
    <row r="150" ht="15.75" customHeight="1">
      <c r="A150" s="1" t="s">
        <v>32</v>
      </c>
      <c r="B150" s="1" t="s">
        <v>30</v>
      </c>
      <c r="C150" s="1" t="s">
        <v>11</v>
      </c>
      <c r="D150" s="5">
        <v>45740.0</v>
      </c>
      <c r="E150" s="1">
        <v>25.0</v>
      </c>
      <c r="F150" s="1">
        <v>10.0</v>
      </c>
      <c r="G150" s="1" t="str">
        <f t="shared" si="1"/>
        <v>3</v>
      </c>
      <c r="H150" s="1" t="str">
        <f t="shared" si="2"/>
        <v>#REF!</v>
      </c>
    </row>
    <row r="151" ht="15.75" customHeight="1">
      <c r="A151" s="1" t="s">
        <v>32</v>
      </c>
      <c r="B151" s="1" t="s">
        <v>47</v>
      </c>
      <c r="C151" s="1" t="s">
        <v>11</v>
      </c>
      <c r="D151" s="5">
        <v>45740.0</v>
      </c>
      <c r="E151" s="1">
        <v>24.0</v>
      </c>
      <c r="F151" s="1">
        <v>22.0</v>
      </c>
      <c r="G151" s="1" t="str">
        <f t="shared" si="1"/>
        <v>3</v>
      </c>
      <c r="H151" s="1" t="str">
        <f t="shared" si="2"/>
        <v>#REF!</v>
      </c>
    </row>
    <row r="152" ht="15.75" hidden="1" customHeight="1">
      <c r="A152" s="1" t="s">
        <v>32</v>
      </c>
      <c r="B152" s="1" t="s">
        <v>119</v>
      </c>
      <c r="C152" s="1" t="s">
        <v>11</v>
      </c>
      <c r="D152" s="5">
        <v>45740.0</v>
      </c>
      <c r="G152" s="1" t="str">
        <f t="shared" si="1"/>
        <v>6</v>
      </c>
      <c r="H152" s="1" t="str">
        <f t="shared" si="2"/>
        <v>#REF!</v>
      </c>
    </row>
    <row r="153" ht="15.75" customHeight="1">
      <c r="A153" s="1" t="s">
        <v>59</v>
      </c>
      <c r="B153" s="1" t="s">
        <v>10</v>
      </c>
      <c r="C153" s="1" t="s">
        <v>11</v>
      </c>
      <c r="D153" s="5">
        <v>45740.0</v>
      </c>
      <c r="E153" s="1">
        <v>32.0</v>
      </c>
      <c r="F153" s="1">
        <v>24.0</v>
      </c>
      <c r="G153" s="1" t="str">
        <f t="shared" si="1"/>
        <v>3</v>
      </c>
      <c r="H153" s="1" t="str">
        <f t="shared" si="2"/>
        <v>#REF!</v>
      </c>
    </row>
    <row r="154" ht="15.75" customHeight="1">
      <c r="A154" s="1" t="s">
        <v>62</v>
      </c>
      <c r="B154" s="1" t="s">
        <v>28</v>
      </c>
      <c r="C154" s="1" t="s">
        <v>11</v>
      </c>
      <c r="D154" s="5">
        <v>45740.0</v>
      </c>
      <c r="E154" s="1">
        <v>19.0</v>
      </c>
      <c r="F154" s="1">
        <v>15.0</v>
      </c>
      <c r="G154" s="1" t="str">
        <f t="shared" si="1"/>
        <v>3</v>
      </c>
      <c r="H154" s="1" t="str">
        <f t="shared" si="2"/>
        <v>#REF!</v>
      </c>
    </row>
    <row r="155" ht="15.75" customHeight="1">
      <c r="A155" s="1" t="s">
        <v>62</v>
      </c>
      <c r="B155" s="1" t="s">
        <v>30</v>
      </c>
      <c r="C155" s="1" t="s">
        <v>11</v>
      </c>
      <c r="D155" s="5">
        <v>45740.0</v>
      </c>
      <c r="E155" s="1">
        <v>2.0</v>
      </c>
      <c r="F155" s="1">
        <v>2.0</v>
      </c>
      <c r="G155" s="1" t="str">
        <f t="shared" si="1"/>
        <v>3</v>
      </c>
      <c r="H155" s="1" t="str">
        <f t="shared" si="2"/>
        <v>#REF!</v>
      </c>
    </row>
    <row r="156" ht="15.75" customHeight="1">
      <c r="A156" s="1" t="s">
        <v>39</v>
      </c>
      <c r="B156" s="1" t="s">
        <v>66</v>
      </c>
      <c r="C156" s="1" t="s">
        <v>11</v>
      </c>
      <c r="D156" s="5">
        <v>45740.0</v>
      </c>
      <c r="E156" s="1">
        <v>26.0</v>
      </c>
      <c r="F156" s="1">
        <v>18.0</v>
      </c>
      <c r="G156" s="1" t="str">
        <f t="shared" si="1"/>
        <v>4</v>
      </c>
      <c r="H156" s="1" t="str">
        <f t="shared" si="2"/>
        <v>#REF!</v>
      </c>
    </row>
    <row r="157" ht="15.75" hidden="1" customHeight="1">
      <c r="A157" s="1" t="s">
        <v>39</v>
      </c>
      <c r="B157" s="1" t="s">
        <v>44</v>
      </c>
      <c r="C157" s="1" t="s">
        <v>11</v>
      </c>
      <c r="D157" s="5">
        <v>45740.0</v>
      </c>
      <c r="G157" s="1" t="str">
        <f t="shared" si="1"/>
        <v>5</v>
      </c>
      <c r="H157" s="1" t="str">
        <f t="shared" si="2"/>
        <v>#REF!</v>
      </c>
    </row>
    <row r="158" ht="15.75" customHeight="1">
      <c r="A158" s="1" t="s">
        <v>70</v>
      </c>
      <c r="B158" s="1" t="s">
        <v>44</v>
      </c>
      <c r="C158" s="1" t="s">
        <v>11</v>
      </c>
      <c r="D158" s="5">
        <v>45740.0</v>
      </c>
      <c r="E158" s="1">
        <v>22.0</v>
      </c>
      <c r="F158" s="1">
        <v>14.0</v>
      </c>
      <c r="G158" s="1" t="str">
        <f t="shared" si="1"/>
        <v>5</v>
      </c>
      <c r="H158" s="1" t="str">
        <f t="shared" si="2"/>
        <v>#REF!</v>
      </c>
    </row>
    <row r="159" ht="15.75" customHeight="1">
      <c r="A159" s="1" t="s">
        <v>46</v>
      </c>
      <c r="B159" s="1" t="s">
        <v>57</v>
      </c>
      <c r="C159" s="1" t="s">
        <v>11</v>
      </c>
      <c r="D159" s="5">
        <v>45740.0</v>
      </c>
      <c r="E159" s="1">
        <v>21.0</v>
      </c>
      <c r="F159" s="1">
        <v>17.0</v>
      </c>
      <c r="G159" s="1" t="str">
        <f t="shared" si="1"/>
        <v>3</v>
      </c>
      <c r="H159" s="1" t="str">
        <f t="shared" si="2"/>
        <v>#REF!</v>
      </c>
    </row>
    <row r="160" ht="15.75" hidden="1" customHeight="1">
      <c r="A160" s="1" t="s">
        <v>46</v>
      </c>
      <c r="B160" s="1" t="s">
        <v>47</v>
      </c>
      <c r="C160" s="1" t="s">
        <v>11</v>
      </c>
      <c r="D160" s="5">
        <v>45740.0</v>
      </c>
      <c r="G160" s="1" t="str">
        <f t="shared" si="1"/>
        <v>3</v>
      </c>
      <c r="H160" s="1" t="str">
        <f t="shared" si="2"/>
        <v>#REF!</v>
      </c>
    </row>
    <row r="161" ht="15.75" customHeight="1">
      <c r="A161" s="1" t="s">
        <v>46</v>
      </c>
      <c r="B161" s="1" t="s">
        <v>48</v>
      </c>
      <c r="C161" s="1" t="s">
        <v>11</v>
      </c>
      <c r="D161" s="5">
        <v>45740.0</v>
      </c>
      <c r="E161" s="1">
        <v>12.0</v>
      </c>
      <c r="F161" s="1">
        <v>12.0</v>
      </c>
      <c r="G161" s="1" t="str">
        <f t="shared" si="1"/>
        <v>3</v>
      </c>
      <c r="H161" s="1" t="str">
        <f t="shared" si="2"/>
        <v>#REF!</v>
      </c>
    </row>
    <row r="162" ht="15.75" customHeight="1">
      <c r="A162" s="1" t="s">
        <v>46</v>
      </c>
      <c r="B162" s="1" t="s">
        <v>34</v>
      </c>
      <c r="C162" s="1" t="s">
        <v>11</v>
      </c>
      <c r="D162" s="5">
        <v>45740.0</v>
      </c>
      <c r="E162" s="1">
        <v>22.0</v>
      </c>
      <c r="F162" s="1">
        <v>10.0</v>
      </c>
      <c r="G162" s="1" t="str">
        <f t="shared" si="1"/>
        <v>4</v>
      </c>
      <c r="H162" s="1" t="str">
        <f t="shared" si="2"/>
        <v>#REF!</v>
      </c>
    </row>
    <row r="163" ht="15.75" customHeight="1">
      <c r="A163" s="1" t="s">
        <v>51</v>
      </c>
      <c r="B163" s="1" t="s">
        <v>10</v>
      </c>
      <c r="C163" s="1" t="s">
        <v>11</v>
      </c>
      <c r="D163" s="5">
        <v>45740.0</v>
      </c>
      <c r="E163" s="1">
        <v>12.0</v>
      </c>
      <c r="F163" s="1">
        <v>4.0</v>
      </c>
      <c r="G163" s="1" t="str">
        <f t="shared" si="1"/>
        <v>3</v>
      </c>
      <c r="H163" s="1" t="str">
        <f t="shared" si="2"/>
        <v>#REF!</v>
      </c>
    </row>
    <row r="164" ht="15.75" customHeight="1">
      <c r="A164" s="1" t="s">
        <v>53</v>
      </c>
      <c r="B164" s="1" t="s">
        <v>10</v>
      </c>
      <c r="C164" s="1" t="s">
        <v>11</v>
      </c>
      <c r="D164" s="5">
        <v>45740.0</v>
      </c>
      <c r="E164" s="1">
        <v>22.0</v>
      </c>
      <c r="F164" s="1">
        <v>16.0</v>
      </c>
      <c r="G164" s="1" t="str">
        <f t="shared" si="1"/>
        <v>3</v>
      </c>
      <c r="H164" s="1" t="str">
        <f t="shared" si="2"/>
        <v>#REF!</v>
      </c>
    </row>
    <row r="165" ht="15.75" customHeight="1">
      <c r="A165" s="1" t="s">
        <v>53</v>
      </c>
      <c r="B165" s="1" t="s">
        <v>30</v>
      </c>
      <c r="C165" s="1" t="s">
        <v>11</v>
      </c>
      <c r="D165" s="5">
        <v>45740.0</v>
      </c>
      <c r="E165" s="1">
        <v>26.0</v>
      </c>
      <c r="F165" s="1">
        <v>24.0</v>
      </c>
      <c r="G165" s="1" t="str">
        <f t="shared" si="1"/>
        <v>3</v>
      </c>
      <c r="H165" s="1" t="str">
        <f t="shared" si="2"/>
        <v>#REF!</v>
      </c>
    </row>
    <row r="166" ht="15.75" customHeight="1">
      <c r="A166" s="1" t="s">
        <v>53</v>
      </c>
      <c r="B166" s="1" t="s">
        <v>47</v>
      </c>
      <c r="C166" s="1" t="s">
        <v>11</v>
      </c>
      <c r="D166" s="5">
        <v>45740.0</v>
      </c>
      <c r="E166" s="1">
        <v>18.0</v>
      </c>
      <c r="F166" s="1">
        <v>18.0</v>
      </c>
      <c r="G166" s="1" t="str">
        <f t="shared" si="1"/>
        <v>3</v>
      </c>
      <c r="H166" s="1" t="str">
        <f t="shared" si="2"/>
        <v>#REF!</v>
      </c>
    </row>
    <row r="167" ht="15.75" hidden="1" customHeight="1">
      <c r="A167" s="1" t="s">
        <v>56</v>
      </c>
      <c r="B167" s="1" t="s">
        <v>115</v>
      </c>
      <c r="C167" s="1" t="s">
        <v>11</v>
      </c>
      <c r="D167" s="5">
        <v>45740.0</v>
      </c>
      <c r="G167" s="1" t="str">
        <f t="shared" si="1"/>
        <v>3</v>
      </c>
      <c r="H167" s="1" t="str">
        <f t="shared" si="2"/>
        <v>#REF!</v>
      </c>
    </row>
    <row r="168" ht="15.75" customHeight="1">
      <c r="A168" s="1" t="s">
        <v>56</v>
      </c>
      <c r="B168" s="1" t="s">
        <v>28</v>
      </c>
      <c r="C168" s="1" t="s">
        <v>11</v>
      </c>
      <c r="D168" s="5">
        <v>45740.0</v>
      </c>
      <c r="E168" s="1">
        <v>8.0</v>
      </c>
      <c r="F168" s="1">
        <v>8.0</v>
      </c>
      <c r="G168" s="1" t="str">
        <f t="shared" si="1"/>
        <v>3</v>
      </c>
      <c r="H168" s="1" t="str">
        <f t="shared" si="2"/>
        <v>#REF!</v>
      </c>
    </row>
    <row r="169" ht="15.75" customHeight="1">
      <c r="A169" s="1" t="s">
        <v>56</v>
      </c>
      <c r="B169" s="1" t="s">
        <v>30</v>
      </c>
      <c r="C169" s="1" t="s">
        <v>11</v>
      </c>
      <c r="D169" s="5">
        <v>45740.0</v>
      </c>
      <c r="E169" s="1">
        <v>2.0</v>
      </c>
      <c r="F169" s="1">
        <v>2.0</v>
      </c>
      <c r="G169" s="1" t="str">
        <f t="shared" si="1"/>
        <v>3</v>
      </c>
      <c r="H169" s="1" t="str">
        <f t="shared" si="2"/>
        <v>#REF!</v>
      </c>
    </row>
    <row r="170" ht="15.75" customHeight="1">
      <c r="A170" s="1" t="s">
        <v>56</v>
      </c>
      <c r="B170" s="1" t="s">
        <v>91</v>
      </c>
      <c r="C170" s="1" t="s">
        <v>11</v>
      </c>
      <c r="D170" s="5">
        <v>45740.0</v>
      </c>
      <c r="E170" s="1">
        <v>42.0</v>
      </c>
      <c r="F170" s="1">
        <v>28.0</v>
      </c>
      <c r="G170" s="1" t="str">
        <f t="shared" si="1"/>
        <v>3</v>
      </c>
      <c r="H170" s="1" t="str">
        <f t="shared" si="2"/>
        <v>#REF!</v>
      </c>
    </row>
    <row r="171" ht="15.75" customHeight="1">
      <c r="A171" s="1" t="s">
        <v>56</v>
      </c>
      <c r="B171" s="1" t="s">
        <v>48</v>
      </c>
      <c r="C171" s="1" t="s">
        <v>11</v>
      </c>
      <c r="D171" s="5">
        <v>45740.0</v>
      </c>
      <c r="E171" s="1">
        <v>3.0</v>
      </c>
      <c r="F171" s="1">
        <v>1.0</v>
      </c>
      <c r="G171" s="1" t="str">
        <f t="shared" si="1"/>
        <v>3</v>
      </c>
      <c r="H171" s="1" t="str">
        <f t="shared" si="2"/>
        <v>#REF!</v>
      </c>
    </row>
    <row r="172" ht="15.75" customHeight="1">
      <c r="A172" s="1" t="s">
        <v>56</v>
      </c>
      <c r="B172" s="1" t="s">
        <v>111</v>
      </c>
      <c r="C172" s="1" t="s">
        <v>11</v>
      </c>
      <c r="D172" s="5">
        <v>45740.0</v>
      </c>
      <c r="E172" s="1">
        <v>18.0</v>
      </c>
      <c r="F172" s="1">
        <v>14.0</v>
      </c>
      <c r="G172" s="1" t="str">
        <f t="shared" si="1"/>
        <v>3</v>
      </c>
      <c r="H172" s="1" t="str">
        <f t="shared" si="2"/>
        <v>#REF!</v>
      </c>
    </row>
    <row r="173" ht="15.75" customHeight="1">
      <c r="A173" s="1" t="s">
        <v>56</v>
      </c>
      <c r="B173" s="1" t="s">
        <v>34</v>
      </c>
      <c r="C173" s="1" t="s">
        <v>11</v>
      </c>
      <c r="D173" s="5">
        <v>45740.0</v>
      </c>
      <c r="E173" s="1">
        <v>7.0</v>
      </c>
      <c r="F173" s="1">
        <v>2.0</v>
      </c>
      <c r="G173" s="1" t="str">
        <f t="shared" si="1"/>
        <v>4</v>
      </c>
      <c r="H173" s="1" t="str">
        <f t="shared" si="2"/>
        <v>#REF!</v>
      </c>
    </row>
    <row r="174" ht="15.75" customHeight="1">
      <c r="A174" s="1" t="s">
        <v>78</v>
      </c>
      <c r="B174" s="1" t="s">
        <v>10</v>
      </c>
      <c r="C174" s="1" t="s">
        <v>11</v>
      </c>
      <c r="D174" s="5">
        <v>45740.0</v>
      </c>
      <c r="E174" s="1">
        <v>2.0</v>
      </c>
      <c r="F174" s="1">
        <v>2.0</v>
      </c>
      <c r="G174" s="1" t="str">
        <f t="shared" si="1"/>
        <v>3</v>
      </c>
      <c r="H174" s="1" t="str">
        <f t="shared" si="2"/>
        <v>#REF!</v>
      </c>
    </row>
    <row r="175" ht="15.75" customHeight="1">
      <c r="A175" s="1" t="s">
        <v>78</v>
      </c>
      <c r="B175" s="1" t="s">
        <v>30</v>
      </c>
      <c r="C175" s="1" t="s">
        <v>11</v>
      </c>
      <c r="D175" s="5">
        <v>45740.0</v>
      </c>
      <c r="E175" s="1">
        <v>8.0</v>
      </c>
      <c r="F175" s="1">
        <v>6.0</v>
      </c>
      <c r="G175" s="1" t="str">
        <f t="shared" si="1"/>
        <v>3</v>
      </c>
      <c r="H175" s="1" t="str">
        <f t="shared" si="2"/>
        <v>#REF!</v>
      </c>
    </row>
    <row r="176" ht="15.75" customHeight="1">
      <c r="A176" s="1" t="s">
        <v>78</v>
      </c>
      <c r="B176" s="1" t="s">
        <v>47</v>
      </c>
      <c r="C176" s="1" t="s">
        <v>11</v>
      </c>
      <c r="D176" s="5">
        <v>45740.0</v>
      </c>
      <c r="E176" s="1">
        <v>2.0</v>
      </c>
      <c r="F176" s="1">
        <v>2.0</v>
      </c>
      <c r="G176" s="1" t="str">
        <f t="shared" si="1"/>
        <v>3</v>
      </c>
      <c r="H176" s="1" t="str">
        <f t="shared" si="2"/>
        <v>#REF!</v>
      </c>
    </row>
    <row r="177" ht="15.75" hidden="1" customHeight="1">
      <c r="A177" s="1" t="s">
        <v>78</v>
      </c>
      <c r="B177" s="1" t="s">
        <v>111</v>
      </c>
      <c r="C177" s="1" t="s">
        <v>11</v>
      </c>
      <c r="D177" s="5">
        <v>45740.0</v>
      </c>
      <c r="G177" s="1" t="str">
        <f t="shared" si="1"/>
        <v>3</v>
      </c>
      <c r="H177" s="1" t="str">
        <f t="shared" si="2"/>
        <v>#REF!</v>
      </c>
    </row>
    <row r="178" ht="15.75" customHeight="1">
      <c r="A178" s="1" t="s">
        <v>63</v>
      </c>
      <c r="B178" s="1" t="s">
        <v>44</v>
      </c>
      <c r="C178" s="1" t="s">
        <v>11</v>
      </c>
      <c r="D178" s="5">
        <v>45740.0</v>
      </c>
      <c r="E178" s="1">
        <v>19.0</v>
      </c>
      <c r="F178" s="1">
        <v>10.0</v>
      </c>
      <c r="G178" s="1" t="str">
        <f t="shared" si="1"/>
        <v>5</v>
      </c>
      <c r="H178" s="1" t="str">
        <f t="shared" si="2"/>
        <v>#REF!</v>
      </c>
    </row>
    <row r="179" ht="15.75" hidden="1" customHeight="1">
      <c r="A179" s="1" t="s">
        <v>65</v>
      </c>
      <c r="B179" s="1" t="s">
        <v>66</v>
      </c>
      <c r="C179" s="1" t="s">
        <v>11</v>
      </c>
      <c r="D179" s="5">
        <v>45740.0</v>
      </c>
      <c r="G179" s="1" t="str">
        <f t="shared" si="1"/>
        <v>4</v>
      </c>
      <c r="H179" s="1" t="str">
        <f t="shared" si="2"/>
        <v>#REF!</v>
      </c>
    </row>
    <row r="180" ht="15.75" customHeight="1">
      <c r="A180" s="1" t="s">
        <v>65</v>
      </c>
      <c r="B180" s="1" t="s">
        <v>34</v>
      </c>
      <c r="C180" s="1" t="s">
        <v>11</v>
      </c>
      <c r="D180" s="5">
        <v>45740.0</v>
      </c>
      <c r="E180" s="1">
        <v>15.0</v>
      </c>
      <c r="F180" s="1">
        <v>8.0</v>
      </c>
      <c r="G180" s="1" t="str">
        <f t="shared" si="1"/>
        <v>4</v>
      </c>
      <c r="H180" s="1" t="str">
        <f t="shared" si="2"/>
        <v>#REF!</v>
      </c>
    </row>
    <row r="181" ht="15.75" customHeight="1">
      <c r="A181" s="1" t="s">
        <v>89</v>
      </c>
      <c r="B181" s="1" t="s">
        <v>10</v>
      </c>
      <c r="C181" s="1" t="s">
        <v>11</v>
      </c>
      <c r="D181" s="5">
        <v>45740.0</v>
      </c>
      <c r="E181" s="1">
        <v>14.0</v>
      </c>
      <c r="F181" s="1">
        <v>1.0</v>
      </c>
      <c r="G181" s="1" t="str">
        <f t="shared" si="1"/>
        <v>3</v>
      </c>
      <c r="H181" s="1" t="str">
        <f t="shared" si="2"/>
        <v>#REF!</v>
      </c>
    </row>
    <row r="182" ht="15.75" customHeight="1">
      <c r="A182" s="1" t="s">
        <v>69</v>
      </c>
      <c r="B182" s="1" t="s">
        <v>10</v>
      </c>
      <c r="C182" s="1" t="s">
        <v>11</v>
      </c>
      <c r="D182" s="5">
        <v>45740.0</v>
      </c>
      <c r="E182" s="1">
        <v>2.0</v>
      </c>
      <c r="F182" s="1">
        <v>2.0</v>
      </c>
      <c r="G182" s="1" t="str">
        <f t="shared" si="1"/>
        <v>3</v>
      </c>
      <c r="H182" s="1" t="str">
        <f t="shared" si="2"/>
        <v>#REF!</v>
      </c>
    </row>
    <row r="183" ht="15.75" customHeight="1">
      <c r="A183" s="1" t="s">
        <v>74</v>
      </c>
      <c r="B183" s="1" t="s">
        <v>44</v>
      </c>
      <c r="C183" s="1" t="s">
        <v>11</v>
      </c>
      <c r="D183" s="5">
        <v>45740.0</v>
      </c>
      <c r="E183" s="1">
        <v>7.0</v>
      </c>
      <c r="F183" s="1">
        <v>4.0</v>
      </c>
      <c r="G183" s="1" t="str">
        <f t="shared" si="1"/>
        <v>5</v>
      </c>
      <c r="H183" s="1" t="str">
        <f t="shared" si="2"/>
        <v>#REF!</v>
      </c>
    </row>
    <row r="184" ht="15.75" customHeight="1">
      <c r="A184" s="1" t="s">
        <v>75</v>
      </c>
      <c r="B184" s="1" t="s">
        <v>10</v>
      </c>
      <c r="C184" s="1" t="s">
        <v>11</v>
      </c>
      <c r="D184" s="5">
        <v>45740.0</v>
      </c>
      <c r="E184" s="1">
        <v>29.0</v>
      </c>
      <c r="F184" s="1">
        <v>22.0</v>
      </c>
      <c r="G184" s="1" t="str">
        <f t="shared" si="1"/>
        <v>3</v>
      </c>
      <c r="H184" s="1" t="str">
        <f t="shared" si="2"/>
        <v>#REF!</v>
      </c>
    </row>
    <row r="185" ht="15.75" customHeight="1">
      <c r="A185" s="1" t="s">
        <v>82</v>
      </c>
      <c r="B185" s="1" t="s">
        <v>10</v>
      </c>
      <c r="C185" s="1" t="s">
        <v>11</v>
      </c>
      <c r="D185" s="5">
        <v>45740.0</v>
      </c>
      <c r="E185" s="1">
        <v>8.0</v>
      </c>
      <c r="F185" s="1">
        <v>4.0</v>
      </c>
      <c r="G185" s="1" t="str">
        <f t="shared" si="1"/>
        <v>3</v>
      </c>
      <c r="H185" s="1" t="str">
        <f t="shared" si="2"/>
        <v>#REF!</v>
      </c>
    </row>
    <row r="186" ht="15.75" customHeight="1">
      <c r="A186" s="1" t="s">
        <v>82</v>
      </c>
      <c r="B186" s="1" t="s">
        <v>25</v>
      </c>
      <c r="C186" s="1" t="s">
        <v>11</v>
      </c>
      <c r="D186" s="5">
        <v>45740.0</v>
      </c>
      <c r="E186" s="1">
        <v>4.0</v>
      </c>
      <c r="F186" s="1">
        <v>4.0</v>
      </c>
      <c r="G186" s="1" t="str">
        <f t="shared" si="1"/>
        <v>5</v>
      </c>
      <c r="H186" s="1" t="str">
        <f t="shared" si="2"/>
        <v>#REF!</v>
      </c>
    </row>
    <row r="187" ht="15.75" hidden="1" customHeight="1">
      <c r="A187" s="1" t="s">
        <v>82</v>
      </c>
      <c r="B187" s="1" t="s">
        <v>44</v>
      </c>
      <c r="C187" s="1" t="s">
        <v>11</v>
      </c>
      <c r="D187" s="5">
        <v>45740.0</v>
      </c>
      <c r="G187" s="1" t="str">
        <f t="shared" si="1"/>
        <v>5</v>
      </c>
      <c r="H187" s="1" t="str">
        <f t="shared" si="2"/>
        <v>#REF!</v>
      </c>
    </row>
    <row r="188" ht="15.75" customHeight="1">
      <c r="A188" s="1" t="s">
        <v>90</v>
      </c>
      <c r="B188" s="1" t="s">
        <v>116</v>
      </c>
      <c r="C188" s="1" t="s">
        <v>11</v>
      </c>
      <c r="D188" s="5">
        <v>45740.0</v>
      </c>
      <c r="E188" s="1">
        <v>2.0</v>
      </c>
      <c r="F188" s="1">
        <v>0.0</v>
      </c>
      <c r="G188" s="1" t="str">
        <f t="shared" si="1"/>
        <v>3</v>
      </c>
      <c r="H188" s="1" t="str">
        <f t="shared" si="2"/>
        <v>#REF!</v>
      </c>
    </row>
    <row r="189" ht="15.75" customHeight="1">
      <c r="A189" s="1" t="s">
        <v>90</v>
      </c>
      <c r="B189" s="1" t="s">
        <v>10</v>
      </c>
      <c r="C189" s="1" t="s">
        <v>11</v>
      </c>
      <c r="D189" s="5">
        <v>45740.0</v>
      </c>
      <c r="E189" s="1">
        <v>2.0</v>
      </c>
      <c r="F189" s="1">
        <v>2.0</v>
      </c>
      <c r="G189" s="1" t="str">
        <f t="shared" si="1"/>
        <v>3</v>
      </c>
      <c r="H189" s="1" t="str">
        <f t="shared" si="2"/>
        <v>#REF!</v>
      </c>
    </row>
    <row r="190" ht="15.75" hidden="1" customHeight="1">
      <c r="A190" s="1" t="s">
        <v>90</v>
      </c>
      <c r="B190" s="1" t="s">
        <v>47</v>
      </c>
      <c r="C190" s="1" t="s">
        <v>11</v>
      </c>
      <c r="D190" s="5">
        <v>45740.0</v>
      </c>
      <c r="G190" s="1" t="str">
        <f t="shared" si="1"/>
        <v>3</v>
      </c>
      <c r="H190" s="1" t="str">
        <f t="shared" si="2"/>
        <v>#REF!</v>
      </c>
    </row>
    <row r="191" ht="15.75" customHeight="1">
      <c r="A191" s="1" t="s">
        <v>90</v>
      </c>
      <c r="B191" s="1" t="s">
        <v>58</v>
      </c>
      <c r="C191" s="1" t="s">
        <v>11</v>
      </c>
      <c r="D191" s="5">
        <v>45740.0</v>
      </c>
      <c r="E191" s="1">
        <v>36.0</v>
      </c>
      <c r="F191" s="1">
        <v>22.0</v>
      </c>
      <c r="G191" s="1" t="str">
        <f t="shared" si="1"/>
        <v>3</v>
      </c>
      <c r="H191" s="1" t="str">
        <f t="shared" si="2"/>
        <v>#REF!</v>
      </c>
    </row>
    <row r="192" ht="15.75" customHeight="1">
      <c r="A192" s="1" t="s">
        <v>90</v>
      </c>
      <c r="B192" s="1" t="s">
        <v>48</v>
      </c>
      <c r="C192" s="1" t="s">
        <v>11</v>
      </c>
      <c r="D192" s="5">
        <v>45740.0</v>
      </c>
      <c r="E192" s="1">
        <v>2.0</v>
      </c>
      <c r="F192" s="1">
        <v>2.0</v>
      </c>
      <c r="G192" s="1" t="str">
        <f t="shared" si="1"/>
        <v>3</v>
      </c>
      <c r="H192" s="1" t="str">
        <f t="shared" si="2"/>
        <v>#REF!</v>
      </c>
    </row>
    <row r="193" ht="15.75" customHeight="1">
      <c r="A193" s="1" t="s">
        <v>93</v>
      </c>
      <c r="B193" s="1" t="s">
        <v>44</v>
      </c>
      <c r="C193" s="1" t="s">
        <v>11</v>
      </c>
      <c r="D193" s="5">
        <v>45740.0</v>
      </c>
      <c r="E193" s="1">
        <v>2.0</v>
      </c>
      <c r="F193" s="1">
        <v>2.0</v>
      </c>
      <c r="G193" s="1" t="str">
        <f t="shared" si="1"/>
        <v>5</v>
      </c>
      <c r="H193" s="1" t="str">
        <f t="shared" si="2"/>
        <v>#REF!</v>
      </c>
    </row>
    <row r="194" ht="15.75" customHeight="1">
      <c r="A194" s="1" t="s">
        <v>93</v>
      </c>
      <c r="B194" s="1" t="s">
        <v>104</v>
      </c>
      <c r="C194" s="1" t="s">
        <v>11</v>
      </c>
      <c r="D194" s="5">
        <v>45740.0</v>
      </c>
      <c r="E194" s="1">
        <v>14.0</v>
      </c>
      <c r="F194" s="1">
        <v>12.0</v>
      </c>
      <c r="G194" s="1" t="str">
        <f t="shared" si="1"/>
        <v>5</v>
      </c>
      <c r="H194" s="1" t="str">
        <f t="shared" si="2"/>
        <v>#REF!</v>
      </c>
    </row>
    <row r="195" ht="15.75" customHeight="1">
      <c r="A195" s="1" t="s">
        <v>94</v>
      </c>
      <c r="B195" s="1" t="s">
        <v>44</v>
      </c>
      <c r="C195" s="1" t="s">
        <v>11</v>
      </c>
      <c r="D195" s="5">
        <v>45740.0</v>
      </c>
      <c r="E195" s="1">
        <v>34.0</v>
      </c>
      <c r="F195" s="1">
        <v>26.0</v>
      </c>
      <c r="G195" s="1" t="str">
        <f t="shared" si="1"/>
        <v>5</v>
      </c>
      <c r="H195" s="1" t="str">
        <f t="shared" si="2"/>
        <v>#REF!</v>
      </c>
    </row>
    <row r="196" ht="15.75" customHeight="1">
      <c r="A196" s="1" t="s">
        <v>96</v>
      </c>
      <c r="B196" s="1" t="s">
        <v>10</v>
      </c>
      <c r="C196" s="1" t="s">
        <v>11</v>
      </c>
      <c r="D196" s="5">
        <v>45740.0</v>
      </c>
      <c r="E196" s="1">
        <v>69.0</v>
      </c>
      <c r="F196" s="1">
        <v>36.0</v>
      </c>
      <c r="G196" s="1" t="str">
        <f t="shared" si="1"/>
        <v>3</v>
      </c>
      <c r="H196" s="1" t="str">
        <f t="shared" si="2"/>
        <v>#REF!</v>
      </c>
    </row>
    <row r="197" ht="15.75" customHeight="1">
      <c r="A197" s="1" t="s">
        <v>109</v>
      </c>
      <c r="B197" s="1" t="s">
        <v>34</v>
      </c>
      <c r="C197" s="1" t="s">
        <v>11</v>
      </c>
      <c r="D197" s="5">
        <v>45740.0</v>
      </c>
      <c r="E197" s="1">
        <v>4.0</v>
      </c>
      <c r="F197" s="1">
        <v>0.0</v>
      </c>
      <c r="G197" s="1" t="str">
        <f t="shared" si="1"/>
        <v>4</v>
      </c>
      <c r="H197" s="1" t="str">
        <f t="shared" si="2"/>
        <v>#REF!</v>
      </c>
    </row>
    <row r="198" ht="15.75" customHeight="1">
      <c r="A198" s="1" t="s">
        <v>62</v>
      </c>
      <c r="B198" s="1" t="s">
        <v>10</v>
      </c>
      <c r="C198" s="1" t="s">
        <v>11</v>
      </c>
      <c r="D198" s="5">
        <v>45739.0</v>
      </c>
      <c r="E198" s="1">
        <v>2.0</v>
      </c>
      <c r="F198" s="1">
        <v>2.0</v>
      </c>
      <c r="G198" s="1" t="str">
        <f t="shared" si="1"/>
        <v>3</v>
      </c>
      <c r="H198" s="1" t="str">
        <f t="shared" si="2"/>
        <v>#REF!</v>
      </c>
    </row>
    <row r="199" ht="15.75" hidden="1" customHeight="1">
      <c r="A199" s="1" t="s">
        <v>62</v>
      </c>
      <c r="B199" s="1" t="s">
        <v>117</v>
      </c>
      <c r="C199" s="1" t="s">
        <v>11</v>
      </c>
      <c r="D199" s="5">
        <v>45739.0</v>
      </c>
      <c r="G199" s="1" t="str">
        <f t="shared" si="1"/>
        <v>3</v>
      </c>
      <c r="H199" s="1" t="str">
        <f t="shared" si="2"/>
        <v>#REF!</v>
      </c>
    </row>
    <row r="200" ht="15.75" customHeight="1">
      <c r="A200" s="1" t="s">
        <v>62</v>
      </c>
      <c r="B200" s="1" t="s">
        <v>118</v>
      </c>
      <c r="C200" s="1" t="s">
        <v>11</v>
      </c>
      <c r="D200" s="5">
        <v>45739.0</v>
      </c>
      <c r="E200" s="1">
        <v>24.0</v>
      </c>
      <c r="F200" s="1">
        <v>18.0</v>
      </c>
      <c r="G200" s="1" t="str">
        <f t="shared" si="1"/>
        <v>3</v>
      </c>
      <c r="H200" s="1" t="str">
        <f t="shared" si="2"/>
        <v>#REF!</v>
      </c>
    </row>
    <row r="201" ht="15.75" customHeight="1">
      <c r="A201" s="1" t="s">
        <v>62</v>
      </c>
      <c r="B201" s="1" t="s">
        <v>47</v>
      </c>
      <c r="C201" s="1" t="s">
        <v>11</v>
      </c>
      <c r="D201" s="5">
        <v>45739.0</v>
      </c>
      <c r="E201" s="1">
        <v>2.0</v>
      </c>
      <c r="F201" s="1">
        <v>2.0</v>
      </c>
      <c r="G201" s="1" t="str">
        <f t="shared" si="1"/>
        <v>3</v>
      </c>
      <c r="H201" s="1" t="str">
        <f t="shared" si="2"/>
        <v>#REF!</v>
      </c>
    </row>
    <row r="202" ht="15.75" hidden="1" customHeight="1">
      <c r="A202" s="1" t="s">
        <v>65</v>
      </c>
      <c r="B202" s="1" t="s">
        <v>66</v>
      </c>
      <c r="C202" s="1" t="s">
        <v>11</v>
      </c>
      <c r="D202" s="5">
        <v>45739.0</v>
      </c>
      <c r="G202" s="1" t="str">
        <f t="shared" si="1"/>
        <v>4</v>
      </c>
      <c r="H202" s="1" t="str">
        <f t="shared" si="2"/>
        <v>#REF!</v>
      </c>
    </row>
    <row r="203" ht="15.75" hidden="1" customHeight="1">
      <c r="A203" s="1" t="s">
        <v>26</v>
      </c>
      <c r="B203" s="1" t="s">
        <v>40</v>
      </c>
      <c r="C203" s="1" t="s">
        <v>11</v>
      </c>
      <c r="D203" s="5">
        <v>45737.0</v>
      </c>
      <c r="G203" s="1" t="str">
        <f t="shared" si="1"/>
        <v>4</v>
      </c>
      <c r="H203" s="1" t="str">
        <f t="shared" si="2"/>
        <v>#REF!</v>
      </c>
    </row>
    <row r="204" ht="15.75" hidden="1" customHeight="1">
      <c r="A204" s="1" t="s">
        <v>24</v>
      </c>
      <c r="B204" s="1" t="s">
        <v>61</v>
      </c>
      <c r="C204" s="1" t="s">
        <v>11</v>
      </c>
      <c r="D204" s="5">
        <v>45737.0</v>
      </c>
      <c r="G204" s="1" t="str">
        <f t="shared" si="1"/>
        <v>4</v>
      </c>
      <c r="H204" s="1" t="str">
        <f t="shared" si="2"/>
        <v>#REF!</v>
      </c>
    </row>
    <row r="205" ht="15.75" customHeight="1">
      <c r="A205" s="1" t="s">
        <v>24</v>
      </c>
      <c r="B205" s="1" t="s">
        <v>25</v>
      </c>
      <c r="C205" s="1" t="s">
        <v>11</v>
      </c>
      <c r="D205" s="5">
        <v>45737.0</v>
      </c>
      <c r="E205" s="1">
        <v>10.0</v>
      </c>
      <c r="F205" s="1">
        <v>6.0</v>
      </c>
      <c r="G205" s="1" t="str">
        <f t="shared" si="1"/>
        <v>5</v>
      </c>
      <c r="H205" s="1" t="str">
        <f t="shared" si="2"/>
        <v>#REF!</v>
      </c>
    </row>
    <row r="206" ht="15.75" customHeight="1">
      <c r="A206" s="1" t="s">
        <v>49</v>
      </c>
      <c r="B206" s="1" t="s">
        <v>79</v>
      </c>
      <c r="C206" s="1" t="s">
        <v>11</v>
      </c>
      <c r="D206" s="5">
        <v>45737.0</v>
      </c>
      <c r="E206" s="1">
        <v>49.0</v>
      </c>
      <c r="F206" s="1">
        <v>35.0</v>
      </c>
      <c r="G206" s="1" t="str">
        <f t="shared" si="1"/>
        <v>4</v>
      </c>
      <c r="H206" s="1" t="str">
        <f t="shared" si="2"/>
        <v>#REF!</v>
      </c>
    </row>
    <row r="207" ht="15.75" hidden="1" customHeight="1">
      <c r="A207" s="1" t="s">
        <v>52</v>
      </c>
      <c r="B207" s="1" t="s">
        <v>28</v>
      </c>
      <c r="C207" s="1" t="s">
        <v>11</v>
      </c>
      <c r="D207" s="5">
        <v>45737.0</v>
      </c>
      <c r="G207" s="1" t="str">
        <f t="shared" si="1"/>
        <v>3</v>
      </c>
      <c r="H207" s="1" t="str">
        <f t="shared" si="2"/>
        <v>#REF!</v>
      </c>
    </row>
    <row r="208" ht="15.75" customHeight="1">
      <c r="A208" s="1" t="s">
        <v>52</v>
      </c>
      <c r="B208" s="1" t="s">
        <v>30</v>
      </c>
      <c r="C208" s="1" t="s">
        <v>11</v>
      </c>
      <c r="D208" s="5">
        <v>45737.0</v>
      </c>
      <c r="E208" s="1">
        <v>2.0</v>
      </c>
      <c r="F208" s="1">
        <v>2.0</v>
      </c>
      <c r="G208" s="1" t="str">
        <f t="shared" si="1"/>
        <v>3</v>
      </c>
      <c r="H208" s="1" t="str">
        <f t="shared" si="2"/>
        <v>#REF!</v>
      </c>
    </row>
    <row r="209" ht="15.75" customHeight="1">
      <c r="A209" s="1" t="s">
        <v>52</v>
      </c>
      <c r="B209" s="1" t="s">
        <v>47</v>
      </c>
      <c r="C209" s="1" t="s">
        <v>11</v>
      </c>
      <c r="D209" s="5">
        <v>45737.0</v>
      </c>
      <c r="E209" s="1">
        <v>2.0</v>
      </c>
      <c r="F209" s="1">
        <v>2.0</v>
      </c>
      <c r="G209" s="1" t="str">
        <f t="shared" si="1"/>
        <v>3</v>
      </c>
      <c r="H209" s="1" t="str">
        <f t="shared" si="2"/>
        <v>#REF!</v>
      </c>
    </row>
    <row r="210" ht="15.75" customHeight="1">
      <c r="A210" s="1" t="s">
        <v>51</v>
      </c>
      <c r="B210" s="1" t="s">
        <v>10</v>
      </c>
      <c r="C210" s="1" t="s">
        <v>11</v>
      </c>
      <c r="D210" s="5">
        <v>45737.0</v>
      </c>
      <c r="E210" s="1">
        <v>24.0</v>
      </c>
      <c r="F210" s="1">
        <v>8.0</v>
      </c>
      <c r="G210" s="1" t="str">
        <f t="shared" si="1"/>
        <v>3</v>
      </c>
      <c r="H210" s="1" t="str">
        <f t="shared" si="2"/>
        <v>#REF!</v>
      </c>
    </row>
    <row r="211" ht="15.75" hidden="1" customHeight="1">
      <c r="A211" s="1" t="s">
        <v>51</v>
      </c>
      <c r="B211" s="1" t="s">
        <v>117</v>
      </c>
      <c r="C211" s="1" t="s">
        <v>11</v>
      </c>
      <c r="D211" s="5">
        <v>45737.0</v>
      </c>
      <c r="G211" s="1" t="str">
        <f t="shared" si="1"/>
        <v>3</v>
      </c>
      <c r="H211" s="1" t="str">
        <f t="shared" si="2"/>
        <v>#REF!</v>
      </c>
    </row>
    <row r="212" ht="15.75" customHeight="1">
      <c r="A212" s="1" t="s">
        <v>78</v>
      </c>
      <c r="B212" s="1" t="s">
        <v>117</v>
      </c>
      <c r="C212" s="1" t="s">
        <v>11</v>
      </c>
      <c r="D212" s="5">
        <v>45737.0</v>
      </c>
      <c r="E212" s="1">
        <v>4.0</v>
      </c>
      <c r="F212" s="1">
        <v>2.0</v>
      </c>
      <c r="G212" s="1" t="str">
        <f t="shared" si="1"/>
        <v>3</v>
      </c>
      <c r="H212" s="1" t="str">
        <f t="shared" si="2"/>
        <v>#REF!</v>
      </c>
    </row>
    <row r="213" ht="15.75" customHeight="1">
      <c r="A213" s="1" t="s">
        <v>78</v>
      </c>
      <c r="B213" s="1" t="s">
        <v>118</v>
      </c>
      <c r="C213" s="1" t="s">
        <v>11</v>
      </c>
      <c r="D213" s="5">
        <v>45737.0</v>
      </c>
      <c r="E213" s="1">
        <v>13.0</v>
      </c>
      <c r="F213" s="1">
        <v>12.0</v>
      </c>
      <c r="G213" s="1" t="str">
        <f t="shared" si="1"/>
        <v>3</v>
      </c>
      <c r="H213" s="1" t="str">
        <f t="shared" si="2"/>
        <v>#REF!</v>
      </c>
    </row>
    <row r="214" ht="15.75" customHeight="1">
      <c r="A214" s="1" t="s">
        <v>60</v>
      </c>
      <c r="B214" s="1" t="s">
        <v>120</v>
      </c>
      <c r="C214" s="1" t="s">
        <v>11</v>
      </c>
      <c r="D214" s="5">
        <v>45737.0</v>
      </c>
      <c r="E214" s="1">
        <v>4.0</v>
      </c>
      <c r="F214" s="1">
        <v>2.0</v>
      </c>
      <c r="G214" s="1" t="str">
        <f t="shared" si="1"/>
        <v>5</v>
      </c>
      <c r="H214" s="1" t="str">
        <f t="shared" si="2"/>
        <v>#REF!</v>
      </c>
    </row>
    <row r="215" ht="15.75" customHeight="1">
      <c r="A215" s="1" t="s">
        <v>60</v>
      </c>
      <c r="B215" s="1" t="s">
        <v>121</v>
      </c>
      <c r="C215" s="1" t="s">
        <v>11</v>
      </c>
      <c r="D215" s="5">
        <v>45737.0</v>
      </c>
      <c r="E215" s="1">
        <v>16.0</v>
      </c>
      <c r="F215" s="1">
        <v>12.0</v>
      </c>
      <c r="G215" s="1" t="str">
        <f t="shared" si="1"/>
        <v>5</v>
      </c>
      <c r="H215" s="1" t="str">
        <f t="shared" si="2"/>
        <v>#REF!</v>
      </c>
    </row>
    <row r="216" ht="15.75" customHeight="1">
      <c r="A216" s="1" t="s">
        <v>63</v>
      </c>
      <c r="B216" s="1" t="s">
        <v>87</v>
      </c>
      <c r="C216" s="1" t="s">
        <v>11</v>
      </c>
      <c r="D216" s="5">
        <v>45737.0</v>
      </c>
      <c r="E216" s="1">
        <v>25.0</v>
      </c>
      <c r="F216" s="1">
        <v>16.0</v>
      </c>
      <c r="G216" s="1" t="str">
        <f t="shared" si="1"/>
        <v>5</v>
      </c>
      <c r="H216" s="1" t="str">
        <f t="shared" si="2"/>
        <v>#REF!</v>
      </c>
    </row>
    <row r="217" ht="15.75" customHeight="1">
      <c r="A217" s="1" t="s">
        <v>65</v>
      </c>
      <c r="B217" s="1" t="s">
        <v>66</v>
      </c>
      <c r="C217" s="1" t="s">
        <v>11</v>
      </c>
      <c r="D217" s="5">
        <v>45737.0</v>
      </c>
      <c r="E217" s="1">
        <v>2.0</v>
      </c>
      <c r="F217" s="1">
        <v>0.0</v>
      </c>
      <c r="G217" s="1" t="str">
        <f t="shared" si="1"/>
        <v>4</v>
      </c>
      <c r="H217" s="1" t="str">
        <f t="shared" si="2"/>
        <v>#REF!</v>
      </c>
    </row>
    <row r="218" ht="15.75" customHeight="1">
      <c r="A218" s="1" t="s">
        <v>65</v>
      </c>
      <c r="B218" s="1" t="s">
        <v>79</v>
      </c>
      <c r="C218" s="1" t="s">
        <v>11</v>
      </c>
      <c r="D218" s="5">
        <v>45737.0</v>
      </c>
      <c r="E218" s="1">
        <v>24.0</v>
      </c>
      <c r="F218" s="1">
        <v>18.0</v>
      </c>
      <c r="G218" s="1" t="str">
        <f t="shared" si="1"/>
        <v>4</v>
      </c>
      <c r="H218" s="1" t="str">
        <f t="shared" si="2"/>
        <v>#REF!</v>
      </c>
    </row>
    <row r="219" ht="15.75" hidden="1" customHeight="1">
      <c r="A219" s="1" t="s">
        <v>92</v>
      </c>
      <c r="B219" s="1" t="s">
        <v>10</v>
      </c>
      <c r="C219" s="1" t="s">
        <v>11</v>
      </c>
      <c r="D219" s="5">
        <v>45737.0</v>
      </c>
      <c r="G219" s="1" t="str">
        <f t="shared" si="1"/>
        <v>3</v>
      </c>
      <c r="H219" s="1" t="str">
        <f t="shared" si="2"/>
        <v>#REF!</v>
      </c>
    </row>
    <row r="220" ht="15.75" customHeight="1">
      <c r="A220" s="1" t="s">
        <v>68</v>
      </c>
      <c r="B220" s="1" t="s">
        <v>117</v>
      </c>
      <c r="C220" s="1" t="s">
        <v>11</v>
      </c>
      <c r="D220" s="5">
        <v>45737.0</v>
      </c>
      <c r="E220" s="1">
        <v>4.0</v>
      </c>
      <c r="F220" s="1">
        <v>0.0</v>
      </c>
      <c r="G220" s="1" t="str">
        <f t="shared" si="1"/>
        <v>3</v>
      </c>
      <c r="H220" s="1" t="str">
        <f t="shared" si="2"/>
        <v>#REF!</v>
      </c>
    </row>
    <row r="221" ht="15.75" hidden="1" customHeight="1">
      <c r="A221" s="1" t="s">
        <v>75</v>
      </c>
      <c r="B221" s="1" t="s">
        <v>122</v>
      </c>
      <c r="C221" s="1" t="s">
        <v>11</v>
      </c>
      <c r="D221" s="5">
        <v>45737.0</v>
      </c>
      <c r="G221" s="1" t="str">
        <f t="shared" si="1"/>
        <v>3</v>
      </c>
      <c r="H221" s="1" t="str">
        <f t="shared" si="2"/>
        <v>#REF!</v>
      </c>
    </row>
    <row r="222" ht="15.75" customHeight="1">
      <c r="A222" s="1" t="s">
        <v>75</v>
      </c>
      <c r="B222" s="1" t="s">
        <v>10</v>
      </c>
      <c r="C222" s="1" t="s">
        <v>11</v>
      </c>
      <c r="D222" s="5">
        <v>45737.0</v>
      </c>
      <c r="E222" s="1">
        <v>2.0</v>
      </c>
      <c r="F222" s="1">
        <v>0.0</v>
      </c>
      <c r="G222" s="1" t="str">
        <f t="shared" si="1"/>
        <v>3</v>
      </c>
      <c r="H222" s="1" t="str">
        <f t="shared" si="2"/>
        <v>#REF!</v>
      </c>
    </row>
    <row r="223" ht="15.75" hidden="1" customHeight="1">
      <c r="A223" s="1" t="s">
        <v>75</v>
      </c>
      <c r="B223" s="1" t="s">
        <v>117</v>
      </c>
      <c r="C223" s="1" t="s">
        <v>11</v>
      </c>
      <c r="D223" s="5">
        <v>45737.0</v>
      </c>
      <c r="G223" s="1" t="str">
        <f t="shared" si="1"/>
        <v>3</v>
      </c>
      <c r="H223" s="1" t="str">
        <f t="shared" si="2"/>
        <v>#REF!</v>
      </c>
    </row>
    <row r="224" ht="15.75" customHeight="1">
      <c r="A224" s="1" t="s">
        <v>75</v>
      </c>
      <c r="B224" s="1" t="s">
        <v>118</v>
      </c>
      <c r="C224" s="1" t="s">
        <v>11</v>
      </c>
      <c r="D224" s="5">
        <v>45737.0</v>
      </c>
      <c r="E224" s="1">
        <v>9.0</v>
      </c>
      <c r="F224" s="1">
        <v>7.0</v>
      </c>
      <c r="G224" s="1" t="str">
        <f t="shared" si="1"/>
        <v>3</v>
      </c>
      <c r="H224" s="1" t="str">
        <f t="shared" si="2"/>
        <v>#REF!</v>
      </c>
    </row>
    <row r="225" ht="15.75" customHeight="1">
      <c r="A225" s="1" t="s">
        <v>75</v>
      </c>
      <c r="B225" s="1" t="s">
        <v>111</v>
      </c>
      <c r="C225" s="1" t="s">
        <v>11</v>
      </c>
      <c r="D225" s="5">
        <v>45737.0</v>
      </c>
      <c r="E225" s="1">
        <v>1.0</v>
      </c>
      <c r="F225" s="1">
        <v>1.0</v>
      </c>
      <c r="G225" s="1" t="str">
        <f t="shared" si="1"/>
        <v>3</v>
      </c>
      <c r="H225" s="1" t="str">
        <f t="shared" si="2"/>
        <v>#REF!</v>
      </c>
    </row>
    <row r="226" ht="15.75" customHeight="1">
      <c r="A226" s="1" t="s">
        <v>77</v>
      </c>
      <c r="B226" s="1" t="s">
        <v>123</v>
      </c>
      <c r="C226" s="1" t="s">
        <v>11</v>
      </c>
      <c r="D226" s="5">
        <v>45737.0</v>
      </c>
      <c r="E226" s="1">
        <v>16.0</v>
      </c>
      <c r="F226" s="1">
        <v>12.0</v>
      </c>
      <c r="G226" s="1" t="str">
        <f t="shared" si="1"/>
        <v>4</v>
      </c>
      <c r="H226" s="1" t="str">
        <f t="shared" si="2"/>
        <v>#REF!</v>
      </c>
    </row>
    <row r="227" ht="15.75" customHeight="1">
      <c r="A227" s="1" t="s">
        <v>100</v>
      </c>
      <c r="B227" s="1" t="s">
        <v>25</v>
      </c>
      <c r="C227" s="1" t="s">
        <v>11</v>
      </c>
      <c r="D227" s="5">
        <v>45737.0</v>
      </c>
      <c r="E227" s="1">
        <v>14.0</v>
      </c>
      <c r="F227" s="1">
        <v>8.0</v>
      </c>
      <c r="G227" s="1" t="str">
        <f t="shared" si="1"/>
        <v>5</v>
      </c>
      <c r="H227" s="1" t="str">
        <f t="shared" si="2"/>
        <v>#REF!</v>
      </c>
    </row>
    <row r="228" ht="15.75" customHeight="1">
      <c r="A228" s="1" t="s">
        <v>100</v>
      </c>
      <c r="B228" s="1" t="s">
        <v>44</v>
      </c>
      <c r="C228" s="1" t="s">
        <v>11</v>
      </c>
      <c r="D228" s="5">
        <v>45737.0</v>
      </c>
      <c r="E228" s="1">
        <v>2.0</v>
      </c>
      <c r="F228" s="1">
        <v>2.0</v>
      </c>
      <c r="G228" s="1" t="str">
        <f t="shared" si="1"/>
        <v>5</v>
      </c>
      <c r="H228" s="1" t="str">
        <f t="shared" si="2"/>
        <v>#REF!</v>
      </c>
    </row>
    <row r="229" ht="15.75" customHeight="1">
      <c r="A229" s="1" t="s">
        <v>100</v>
      </c>
      <c r="B229" s="1" t="s">
        <v>103</v>
      </c>
      <c r="C229" s="1" t="s">
        <v>11</v>
      </c>
      <c r="D229" s="5">
        <v>45737.0</v>
      </c>
      <c r="E229" s="1">
        <v>2.0</v>
      </c>
      <c r="F229" s="1">
        <v>2.0</v>
      </c>
      <c r="G229" s="1" t="str">
        <f t="shared" si="1"/>
        <v>5</v>
      </c>
      <c r="H229" s="1" t="str">
        <f t="shared" si="2"/>
        <v>#REF!</v>
      </c>
    </row>
    <row r="230" ht="15.75" customHeight="1">
      <c r="A230" s="1" t="s">
        <v>100</v>
      </c>
      <c r="B230" s="1" t="s">
        <v>104</v>
      </c>
      <c r="C230" s="1" t="s">
        <v>11</v>
      </c>
      <c r="D230" s="5">
        <v>45737.0</v>
      </c>
      <c r="E230" s="1">
        <v>2.0</v>
      </c>
      <c r="F230" s="1">
        <v>2.0</v>
      </c>
      <c r="G230" s="1" t="str">
        <f t="shared" si="1"/>
        <v>5</v>
      </c>
      <c r="H230" s="1" t="str">
        <f t="shared" si="2"/>
        <v>#REF!</v>
      </c>
    </row>
    <row r="231" ht="15.75" hidden="1" customHeight="1">
      <c r="A231" s="1" t="s">
        <v>82</v>
      </c>
      <c r="B231" s="1" t="s">
        <v>115</v>
      </c>
      <c r="C231" s="1" t="s">
        <v>11</v>
      </c>
      <c r="D231" s="5">
        <v>45737.0</v>
      </c>
      <c r="G231" s="1" t="str">
        <f t="shared" si="1"/>
        <v>3</v>
      </c>
      <c r="H231" s="1" t="str">
        <f t="shared" si="2"/>
        <v>#REF!</v>
      </c>
    </row>
    <row r="232" ht="15.75" customHeight="1">
      <c r="A232" s="1" t="s">
        <v>82</v>
      </c>
      <c r="B232" s="1" t="s">
        <v>25</v>
      </c>
      <c r="C232" s="1" t="s">
        <v>11</v>
      </c>
      <c r="D232" s="5">
        <v>45737.0</v>
      </c>
      <c r="E232" s="1">
        <v>27.0</v>
      </c>
      <c r="F232" s="1">
        <v>23.0</v>
      </c>
      <c r="G232" s="1" t="str">
        <f t="shared" si="1"/>
        <v>5</v>
      </c>
      <c r="H232" s="1" t="str">
        <f t="shared" si="2"/>
        <v>#REF!</v>
      </c>
    </row>
    <row r="233" ht="15.75" hidden="1" customHeight="1">
      <c r="A233" s="1" t="s">
        <v>82</v>
      </c>
      <c r="B233" s="1" t="s">
        <v>106</v>
      </c>
      <c r="C233" s="1" t="s">
        <v>11</v>
      </c>
      <c r="D233" s="5">
        <v>45737.0</v>
      </c>
      <c r="G233" s="1" t="str">
        <f t="shared" si="1"/>
        <v>5</v>
      </c>
      <c r="H233" s="1" t="str">
        <f t="shared" si="2"/>
        <v>#REF!</v>
      </c>
    </row>
    <row r="234" ht="15.75" customHeight="1">
      <c r="A234" s="1" t="s">
        <v>90</v>
      </c>
      <c r="B234" s="1" t="s">
        <v>28</v>
      </c>
      <c r="C234" s="1" t="s">
        <v>11</v>
      </c>
      <c r="D234" s="5">
        <v>45737.0</v>
      </c>
      <c r="E234" s="1">
        <v>1.0</v>
      </c>
      <c r="F234" s="1">
        <v>1.0</v>
      </c>
      <c r="G234" s="1" t="str">
        <f t="shared" si="1"/>
        <v>3</v>
      </c>
      <c r="H234" s="1" t="str">
        <f t="shared" si="2"/>
        <v>#REF!</v>
      </c>
    </row>
    <row r="235" ht="15.75" customHeight="1">
      <c r="A235" s="1" t="s">
        <v>90</v>
      </c>
      <c r="B235" s="1" t="s">
        <v>57</v>
      </c>
      <c r="C235" s="1" t="s">
        <v>11</v>
      </c>
      <c r="D235" s="5">
        <v>45737.0</v>
      </c>
      <c r="E235" s="1">
        <v>15.0</v>
      </c>
      <c r="F235" s="1">
        <v>13.0</v>
      </c>
      <c r="G235" s="1" t="str">
        <f t="shared" si="1"/>
        <v>3</v>
      </c>
      <c r="H235" s="1" t="str">
        <f t="shared" si="2"/>
        <v>#REF!</v>
      </c>
    </row>
    <row r="236" ht="15.75" customHeight="1">
      <c r="A236" s="1" t="s">
        <v>90</v>
      </c>
      <c r="B236" s="1" t="s">
        <v>58</v>
      </c>
      <c r="C236" s="1" t="s">
        <v>11</v>
      </c>
      <c r="D236" s="5">
        <v>45737.0</v>
      </c>
      <c r="E236" s="1">
        <v>14.0</v>
      </c>
      <c r="F236" s="1">
        <v>2.0</v>
      </c>
      <c r="G236" s="1" t="str">
        <f t="shared" si="1"/>
        <v>3</v>
      </c>
      <c r="H236" s="1" t="str">
        <f t="shared" si="2"/>
        <v>#REF!</v>
      </c>
    </row>
    <row r="237" ht="15.75" customHeight="1">
      <c r="A237" s="1" t="s">
        <v>90</v>
      </c>
      <c r="B237" s="1" t="s">
        <v>48</v>
      </c>
      <c r="C237" s="1" t="s">
        <v>11</v>
      </c>
      <c r="D237" s="5">
        <v>45737.0</v>
      </c>
      <c r="E237" s="1">
        <v>11.0</v>
      </c>
      <c r="F237" s="1">
        <v>11.0</v>
      </c>
      <c r="G237" s="1" t="str">
        <f t="shared" si="1"/>
        <v>3</v>
      </c>
      <c r="H237" s="1" t="str">
        <f t="shared" si="2"/>
        <v>#REF!</v>
      </c>
    </row>
    <row r="238" ht="15.75" hidden="1" customHeight="1">
      <c r="A238" s="1" t="s">
        <v>102</v>
      </c>
      <c r="B238" s="1" t="s">
        <v>115</v>
      </c>
      <c r="C238" s="1" t="s">
        <v>11</v>
      </c>
      <c r="D238" s="5">
        <v>45737.0</v>
      </c>
      <c r="G238" s="1" t="str">
        <f t="shared" si="1"/>
        <v>3</v>
      </c>
      <c r="H238" s="1" t="str">
        <f t="shared" si="2"/>
        <v>#REF!</v>
      </c>
    </row>
    <row r="239" ht="15.75" hidden="1" customHeight="1">
      <c r="A239" s="1" t="s">
        <v>26</v>
      </c>
      <c r="B239" s="1" t="s">
        <v>34</v>
      </c>
      <c r="C239" s="1" t="s">
        <v>11</v>
      </c>
      <c r="D239" s="5">
        <v>45736.0</v>
      </c>
      <c r="G239" s="1" t="str">
        <f t="shared" si="1"/>
        <v>4</v>
      </c>
      <c r="H239" s="1" t="str">
        <f t="shared" si="2"/>
        <v>#REF!</v>
      </c>
    </row>
    <row r="240" ht="15.75" customHeight="1">
      <c r="A240" s="1" t="s">
        <v>18</v>
      </c>
      <c r="B240" s="1" t="s">
        <v>21</v>
      </c>
      <c r="C240" s="1" t="s">
        <v>11</v>
      </c>
      <c r="D240" s="5">
        <v>45736.0</v>
      </c>
      <c r="E240" s="1">
        <v>20.0</v>
      </c>
      <c r="F240" s="1">
        <v>2.0</v>
      </c>
      <c r="G240" s="1" t="str">
        <f t="shared" si="1"/>
        <v>4</v>
      </c>
      <c r="H240" s="1" t="str">
        <f t="shared" si="2"/>
        <v>#REF!</v>
      </c>
    </row>
    <row r="241" ht="15.75" customHeight="1">
      <c r="A241" s="1" t="s">
        <v>18</v>
      </c>
      <c r="B241" s="1" t="s">
        <v>99</v>
      </c>
      <c r="C241" s="1" t="s">
        <v>11</v>
      </c>
      <c r="D241" s="5">
        <v>45736.0</v>
      </c>
      <c r="E241" s="1">
        <v>31.0</v>
      </c>
      <c r="F241" s="1">
        <v>23.0</v>
      </c>
      <c r="G241" s="1" t="str">
        <f t="shared" si="1"/>
        <v>4</v>
      </c>
      <c r="H241" s="1" t="str">
        <f t="shared" si="2"/>
        <v>#REF!</v>
      </c>
    </row>
    <row r="242" ht="15.75" customHeight="1">
      <c r="A242" s="1" t="s">
        <v>52</v>
      </c>
      <c r="B242" s="1" t="s">
        <v>10</v>
      </c>
      <c r="C242" s="1" t="s">
        <v>11</v>
      </c>
      <c r="D242" s="5">
        <v>45736.0</v>
      </c>
      <c r="E242" s="1">
        <v>2.0</v>
      </c>
      <c r="F242" s="1">
        <v>2.0</v>
      </c>
      <c r="G242" s="1" t="str">
        <f t="shared" si="1"/>
        <v>3</v>
      </c>
      <c r="H242" s="1" t="str">
        <f t="shared" si="2"/>
        <v>#REF!</v>
      </c>
    </row>
    <row r="243" ht="15.75" customHeight="1">
      <c r="A243" s="1" t="s">
        <v>64</v>
      </c>
      <c r="B243" s="1" t="s">
        <v>25</v>
      </c>
      <c r="C243" s="1" t="s">
        <v>11</v>
      </c>
      <c r="D243" s="5">
        <v>45736.0</v>
      </c>
      <c r="E243" s="1">
        <v>22.0</v>
      </c>
      <c r="F243" s="1">
        <v>12.0</v>
      </c>
      <c r="G243" s="1" t="str">
        <f t="shared" si="1"/>
        <v>5</v>
      </c>
      <c r="H243" s="1" t="str">
        <f t="shared" si="2"/>
        <v>#REF!</v>
      </c>
    </row>
    <row r="244" ht="15.75" customHeight="1">
      <c r="A244" s="1" t="s">
        <v>51</v>
      </c>
      <c r="B244" s="1" t="s">
        <v>10</v>
      </c>
      <c r="C244" s="1" t="s">
        <v>11</v>
      </c>
      <c r="D244" s="5">
        <v>45736.0</v>
      </c>
      <c r="E244" s="1">
        <v>22.0</v>
      </c>
      <c r="F244" s="1">
        <v>4.0</v>
      </c>
      <c r="G244" s="1" t="str">
        <f t="shared" si="1"/>
        <v>3</v>
      </c>
      <c r="H244" s="1" t="str">
        <f t="shared" si="2"/>
        <v>#REF!</v>
      </c>
    </row>
    <row r="245" ht="15.75" customHeight="1">
      <c r="A245" s="1" t="s">
        <v>56</v>
      </c>
      <c r="B245" s="1" t="s">
        <v>34</v>
      </c>
      <c r="C245" s="1" t="s">
        <v>11</v>
      </c>
      <c r="D245" s="5">
        <v>45736.0</v>
      </c>
      <c r="E245" s="1">
        <v>16.0</v>
      </c>
      <c r="F245" s="1">
        <v>8.0</v>
      </c>
      <c r="G245" s="1" t="str">
        <f t="shared" si="1"/>
        <v>4</v>
      </c>
      <c r="H245" s="1" t="str">
        <f t="shared" si="2"/>
        <v>#REF!</v>
      </c>
    </row>
    <row r="246" ht="15.75" customHeight="1">
      <c r="A246" s="1" t="s">
        <v>78</v>
      </c>
      <c r="B246" s="1" t="s">
        <v>10</v>
      </c>
      <c r="C246" s="1" t="s">
        <v>11</v>
      </c>
      <c r="D246" s="5">
        <v>45736.0</v>
      </c>
      <c r="E246" s="1">
        <v>12.0</v>
      </c>
      <c r="F246" s="1">
        <v>8.0</v>
      </c>
      <c r="G246" s="1" t="str">
        <f t="shared" si="1"/>
        <v>3</v>
      </c>
      <c r="H246" s="1" t="str">
        <f t="shared" si="2"/>
        <v>#REF!</v>
      </c>
    </row>
    <row r="247" ht="15.75" customHeight="1">
      <c r="A247" s="1" t="s">
        <v>78</v>
      </c>
      <c r="B247" s="1" t="s">
        <v>30</v>
      </c>
      <c r="C247" s="1" t="s">
        <v>11</v>
      </c>
      <c r="D247" s="5">
        <v>45736.0</v>
      </c>
      <c r="E247" s="1">
        <v>2.0</v>
      </c>
      <c r="F247" s="1">
        <v>2.0</v>
      </c>
      <c r="G247" s="1" t="str">
        <f t="shared" si="1"/>
        <v>3</v>
      </c>
      <c r="H247" s="1" t="str">
        <f t="shared" si="2"/>
        <v>#REF!</v>
      </c>
    </row>
    <row r="248" ht="15.75" customHeight="1">
      <c r="A248" s="1" t="s">
        <v>78</v>
      </c>
      <c r="B248" s="1" t="s">
        <v>47</v>
      </c>
      <c r="C248" s="1" t="s">
        <v>11</v>
      </c>
      <c r="D248" s="5">
        <v>45736.0</v>
      </c>
      <c r="E248" s="1">
        <v>2.0</v>
      </c>
      <c r="F248" s="1">
        <v>2.0</v>
      </c>
      <c r="G248" s="1" t="str">
        <f t="shared" si="1"/>
        <v>3</v>
      </c>
      <c r="H248" s="1" t="str">
        <f t="shared" si="2"/>
        <v>#REF!</v>
      </c>
    </row>
    <row r="249" ht="15.75" hidden="1" customHeight="1">
      <c r="A249" s="1" t="s">
        <v>78</v>
      </c>
      <c r="B249" s="1" t="s">
        <v>111</v>
      </c>
      <c r="C249" s="1" t="s">
        <v>11</v>
      </c>
      <c r="D249" s="5">
        <v>45736.0</v>
      </c>
      <c r="G249" s="1" t="str">
        <f t="shared" si="1"/>
        <v>3</v>
      </c>
      <c r="H249" s="1" t="str">
        <f t="shared" si="2"/>
        <v>#REF!</v>
      </c>
    </row>
    <row r="250" ht="15.75" customHeight="1">
      <c r="A250" s="1" t="s">
        <v>81</v>
      </c>
      <c r="B250" s="1" t="s">
        <v>66</v>
      </c>
      <c r="C250" s="1" t="s">
        <v>11</v>
      </c>
      <c r="D250" s="5">
        <v>45736.0</v>
      </c>
      <c r="E250" s="1">
        <v>1.0</v>
      </c>
      <c r="F250" s="1">
        <v>1.0</v>
      </c>
      <c r="G250" s="1" t="str">
        <f t="shared" si="1"/>
        <v>4</v>
      </c>
      <c r="H250" s="1" t="str">
        <f t="shared" si="2"/>
        <v>#REF!</v>
      </c>
    </row>
    <row r="251" ht="15.75" customHeight="1">
      <c r="A251" s="1" t="s">
        <v>81</v>
      </c>
      <c r="B251" s="1" t="s">
        <v>124</v>
      </c>
      <c r="C251" s="1" t="s">
        <v>11</v>
      </c>
      <c r="D251" s="5">
        <v>45736.0</v>
      </c>
      <c r="E251" s="1">
        <v>4.0</v>
      </c>
      <c r="F251" s="1">
        <v>0.0</v>
      </c>
      <c r="G251" s="1" t="str">
        <f t="shared" si="1"/>
        <v>4</v>
      </c>
      <c r="H251" s="1" t="str">
        <f t="shared" si="2"/>
        <v>#REF!</v>
      </c>
    </row>
    <row r="252" ht="15.75" customHeight="1">
      <c r="A252" s="1" t="s">
        <v>81</v>
      </c>
      <c r="B252" s="1" t="s">
        <v>125</v>
      </c>
      <c r="C252" s="1" t="s">
        <v>11</v>
      </c>
      <c r="D252" s="5">
        <v>45736.0</v>
      </c>
      <c r="E252" s="1">
        <v>4.0</v>
      </c>
      <c r="F252" s="1">
        <v>4.0</v>
      </c>
      <c r="G252" s="1" t="str">
        <f t="shared" si="1"/>
        <v>4</v>
      </c>
      <c r="H252" s="1" t="str">
        <f t="shared" si="2"/>
        <v>#REF!</v>
      </c>
    </row>
    <row r="253" ht="15.75" customHeight="1">
      <c r="A253" s="1" t="s">
        <v>60</v>
      </c>
      <c r="B253" s="1" t="s">
        <v>104</v>
      </c>
      <c r="C253" s="1" t="s">
        <v>11</v>
      </c>
      <c r="D253" s="5">
        <v>45736.0</v>
      </c>
      <c r="E253" s="1">
        <v>8.0</v>
      </c>
      <c r="F253" s="1">
        <v>4.0</v>
      </c>
      <c r="G253" s="1" t="str">
        <f t="shared" si="1"/>
        <v>5</v>
      </c>
      <c r="H253" s="1" t="str">
        <f t="shared" si="2"/>
        <v>#REF!</v>
      </c>
    </row>
    <row r="254" ht="15.75" customHeight="1">
      <c r="A254" s="1" t="s">
        <v>92</v>
      </c>
      <c r="B254" s="1" t="s">
        <v>10</v>
      </c>
      <c r="C254" s="1" t="s">
        <v>11</v>
      </c>
      <c r="D254" s="5">
        <v>45736.0</v>
      </c>
      <c r="E254" s="1">
        <v>4.0</v>
      </c>
      <c r="F254" s="1">
        <v>0.0</v>
      </c>
      <c r="G254" s="1" t="str">
        <f t="shared" si="1"/>
        <v>3</v>
      </c>
      <c r="H254" s="1" t="str">
        <f t="shared" si="2"/>
        <v>#REF!</v>
      </c>
    </row>
    <row r="255" ht="15.75" hidden="1" customHeight="1">
      <c r="A255" s="1" t="s">
        <v>75</v>
      </c>
      <c r="B255" s="1" t="s">
        <v>126</v>
      </c>
      <c r="C255" s="1" t="s">
        <v>11</v>
      </c>
      <c r="D255" s="5">
        <v>45736.0</v>
      </c>
      <c r="G255" s="1" t="str">
        <f t="shared" si="1"/>
        <v>3</v>
      </c>
      <c r="H255" s="1" t="str">
        <f t="shared" si="2"/>
        <v>#REF!</v>
      </c>
    </row>
    <row r="256" ht="15.75" customHeight="1">
      <c r="A256" s="1" t="s">
        <v>75</v>
      </c>
      <c r="B256" s="1" t="s">
        <v>10</v>
      </c>
      <c r="C256" s="1" t="s">
        <v>11</v>
      </c>
      <c r="D256" s="5">
        <v>45736.0</v>
      </c>
      <c r="E256" s="1">
        <v>1.0</v>
      </c>
      <c r="F256" s="1">
        <v>1.0</v>
      </c>
      <c r="G256" s="1" t="str">
        <f t="shared" si="1"/>
        <v>3</v>
      </c>
      <c r="H256" s="1" t="str">
        <f t="shared" si="2"/>
        <v>#REF!</v>
      </c>
    </row>
    <row r="257" ht="15.75" customHeight="1">
      <c r="A257" s="1" t="s">
        <v>75</v>
      </c>
      <c r="B257" s="1" t="s">
        <v>30</v>
      </c>
      <c r="C257" s="1" t="s">
        <v>11</v>
      </c>
      <c r="D257" s="5">
        <v>45736.0</v>
      </c>
      <c r="E257" s="1">
        <v>2.0</v>
      </c>
      <c r="F257" s="1">
        <v>2.0</v>
      </c>
      <c r="G257" s="1" t="str">
        <f t="shared" si="1"/>
        <v>3</v>
      </c>
      <c r="H257" s="1" t="str">
        <f t="shared" si="2"/>
        <v>#REF!</v>
      </c>
    </row>
    <row r="258" ht="15.75" customHeight="1">
      <c r="A258" s="1" t="s">
        <v>75</v>
      </c>
      <c r="B258" s="1" t="s">
        <v>112</v>
      </c>
      <c r="C258" s="1" t="s">
        <v>11</v>
      </c>
      <c r="D258" s="5">
        <v>45736.0</v>
      </c>
      <c r="E258" s="1">
        <v>4.0</v>
      </c>
      <c r="F258" s="1">
        <v>4.0</v>
      </c>
      <c r="G258" s="1" t="str">
        <f t="shared" si="1"/>
        <v>3</v>
      </c>
      <c r="H258" s="1" t="str">
        <f t="shared" si="2"/>
        <v>#REF!</v>
      </c>
    </row>
    <row r="259" ht="15.75" customHeight="1">
      <c r="A259" s="1" t="s">
        <v>82</v>
      </c>
      <c r="B259" s="1" t="s">
        <v>10</v>
      </c>
      <c r="C259" s="1" t="s">
        <v>11</v>
      </c>
      <c r="D259" s="5">
        <v>45736.0</v>
      </c>
      <c r="E259" s="1">
        <v>6.0</v>
      </c>
      <c r="F259" s="1">
        <v>4.0</v>
      </c>
      <c r="G259" s="1" t="str">
        <f t="shared" si="1"/>
        <v>3</v>
      </c>
      <c r="H259" s="1" t="str">
        <f t="shared" si="2"/>
        <v>#REF!</v>
      </c>
    </row>
    <row r="260" ht="15.75" customHeight="1">
      <c r="A260" s="1" t="s">
        <v>82</v>
      </c>
      <c r="B260" s="1" t="s">
        <v>111</v>
      </c>
      <c r="C260" s="1" t="s">
        <v>11</v>
      </c>
      <c r="D260" s="5">
        <v>45736.0</v>
      </c>
      <c r="E260" s="1">
        <v>8.0</v>
      </c>
      <c r="F260" s="1">
        <v>6.0</v>
      </c>
      <c r="G260" s="1" t="str">
        <f t="shared" si="1"/>
        <v>3</v>
      </c>
      <c r="H260" s="1" t="str">
        <f t="shared" si="2"/>
        <v>#REF!</v>
      </c>
    </row>
    <row r="261" ht="15.75" hidden="1" customHeight="1">
      <c r="A261" s="1" t="s">
        <v>102</v>
      </c>
      <c r="B261" s="1" t="s">
        <v>115</v>
      </c>
      <c r="C261" s="1" t="s">
        <v>11</v>
      </c>
      <c r="D261" s="5">
        <v>45736.0</v>
      </c>
      <c r="G261" s="1" t="str">
        <f t="shared" si="1"/>
        <v>3</v>
      </c>
      <c r="H261" s="1" t="str">
        <f t="shared" si="2"/>
        <v>#REF!</v>
      </c>
    </row>
    <row r="262" ht="15.75" customHeight="1">
      <c r="A262" s="1" t="s">
        <v>102</v>
      </c>
      <c r="B262" s="1" t="s">
        <v>28</v>
      </c>
      <c r="C262" s="1" t="s">
        <v>11</v>
      </c>
      <c r="D262" s="5">
        <v>45736.0</v>
      </c>
      <c r="E262" s="1">
        <v>2.0</v>
      </c>
      <c r="F262" s="1">
        <v>2.0</v>
      </c>
      <c r="G262" s="1" t="str">
        <f t="shared" si="1"/>
        <v>3</v>
      </c>
      <c r="H262" s="1" t="str">
        <f t="shared" si="2"/>
        <v>#REF!</v>
      </c>
    </row>
    <row r="263" ht="15.75" customHeight="1">
      <c r="A263" s="1" t="s">
        <v>102</v>
      </c>
      <c r="B263" s="1" t="s">
        <v>116</v>
      </c>
      <c r="C263" s="1" t="s">
        <v>11</v>
      </c>
      <c r="D263" s="5">
        <v>45736.0</v>
      </c>
      <c r="E263" s="1">
        <v>20.0</v>
      </c>
      <c r="F263" s="1">
        <v>18.0</v>
      </c>
      <c r="G263" s="1" t="str">
        <f t="shared" si="1"/>
        <v>3</v>
      </c>
      <c r="H263" s="1" t="str">
        <f t="shared" si="2"/>
        <v>#REF!</v>
      </c>
    </row>
    <row r="264" ht="15.75" customHeight="1">
      <c r="A264" s="1" t="s">
        <v>102</v>
      </c>
      <c r="B264" s="1" t="s">
        <v>58</v>
      </c>
      <c r="C264" s="1" t="s">
        <v>11</v>
      </c>
      <c r="D264" s="5">
        <v>45736.0</v>
      </c>
      <c r="E264" s="1">
        <v>28.0</v>
      </c>
      <c r="F264" s="1">
        <v>20.0</v>
      </c>
      <c r="G264" s="1" t="str">
        <f t="shared" si="1"/>
        <v>3</v>
      </c>
      <c r="H264" s="1" t="str">
        <f t="shared" si="2"/>
        <v>#REF!</v>
      </c>
    </row>
    <row r="265" ht="15.75" customHeight="1">
      <c r="A265" s="1" t="s">
        <v>102</v>
      </c>
      <c r="B265" s="1" t="s">
        <v>111</v>
      </c>
      <c r="C265" s="1" t="s">
        <v>11</v>
      </c>
      <c r="D265" s="5">
        <v>45736.0</v>
      </c>
      <c r="E265" s="1">
        <v>21.0</v>
      </c>
      <c r="F265" s="1">
        <v>13.0</v>
      </c>
      <c r="G265" s="1" t="str">
        <f t="shared" si="1"/>
        <v>3</v>
      </c>
      <c r="H265" s="1" t="str">
        <f t="shared" si="2"/>
        <v>#REF!</v>
      </c>
    </row>
    <row r="266" ht="15.75" customHeight="1">
      <c r="A266" s="1" t="s">
        <v>26</v>
      </c>
      <c r="B266" s="1" t="s">
        <v>34</v>
      </c>
      <c r="C266" s="1" t="s">
        <v>11</v>
      </c>
      <c r="D266" s="5">
        <v>45735.0</v>
      </c>
      <c r="E266" s="1">
        <v>6.0</v>
      </c>
      <c r="F266" s="1">
        <v>6.0</v>
      </c>
      <c r="G266" s="1" t="str">
        <f t="shared" si="1"/>
        <v>4</v>
      </c>
      <c r="H266" s="1" t="str">
        <f t="shared" si="2"/>
        <v>#REF!</v>
      </c>
    </row>
    <row r="267" ht="15.75" customHeight="1">
      <c r="A267" s="1" t="s">
        <v>18</v>
      </c>
      <c r="B267" s="1" t="s">
        <v>61</v>
      </c>
      <c r="C267" s="1" t="s">
        <v>11</v>
      </c>
      <c r="D267" s="5">
        <v>45735.0</v>
      </c>
      <c r="E267" s="1">
        <v>54.0</v>
      </c>
      <c r="F267" s="1">
        <v>38.0</v>
      </c>
      <c r="G267" s="1" t="str">
        <f t="shared" si="1"/>
        <v>4</v>
      </c>
      <c r="H267" s="1" t="str">
        <f t="shared" si="2"/>
        <v>#REF!</v>
      </c>
    </row>
    <row r="268" ht="15.75" hidden="1" customHeight="1">
      <c r="A268" s="1" t="s">
        <v>18</v>
      </c>
      <c r="B268" s="1" t="s">
        <v>34</v>
      </c>
      <c r="C268" s="1" t="s">
        <v>11</v>
      </c>
      <c r="D268" s="5">
        <v>45735.0</v>
      </c>
      <c r="G268" s="1" t="str">
        <f t="shared" si="1"/>
        <v>4</v>
      </c>
      <c r="H268" s="1" t="str">
        <f t="shared" si="2"/>
        <v>#REF!</v>
      </c>
    </row>
    <row r="269" ht="15.75" hidden="1" customHeight="1">
      <c r="A269" s="1" t="s">
        <v>18</v>
      </c>
      <c r="B269" s="1" t="s">
        <v>97</v>
      </c>
      <c r="C269" s="1" t="s">
        <v>11</v>
      </c>
      <c r="D269" s="5">
        <v>45735.0</v>
      </c>
      <c r="G269" s="1" t="str">
        <f t="shared" si="1"/>
        <v>4</v>
      </c>
      <c r="H269" s="1" t="str">
        <f t="shared" si="2"/>
        <v>#REF!</v>
      </c>
    </row>
    <row r="270" ht="15.75" hidden="1" customHeight="1">
      <c r="A270" s="1" t="s">
        <v>18</v>
      </c>
      <c r="B270" s="1" t="s">
        <v>37</v>
      </c>
      <c r="C270" s="1" t="s">
        <v>11</v>
      </c>
      <c r="D270" s="5">
        <v>45735.0</v>
      </c>
      <c r="G270" s="1" t="str">
        <f t="shared" si="1"/>
        <v>4</v>
      </c>
      <c r="H270" s="1" t="str">
        <f t="shared" si="2"/>
        <v>#REF!</v>
      </c>
    </row>
    <row r="271" ht="15.75" customHeight="1">
      <c r="A271" s="1" t="s">
        <v>18</v>
      </c>
      <c r="B271" s="1" t="s">
        <v>99</v>
      </c>
      <c r="C271" s="1" t="s">
        <v>11</v>
      </c>
      <c r="D271" s="5">
        <v>45735.0</v>
      </c>
      <c r="E271" s="1">
        <v>3.0</v>
      </c>
      <c r="F271" s="1">
        <v>2.0</v>
      </c>
      <c r="G271" s="1" t="str">
        <f t="shared" si="1"/>
        <v>4</v>
      </c>
      <c r="H271" s="1" t="str">
        <f t="shared" si="2"/>
        <v>#REF!</v>
      </c>
    </row>
    <row r="272" ht="15.75" customHeight="1">
      <c r="A272" s="1" t="s">
        <v>64</v>
      </c>
      <c r="B272" s="1" t="s">
        <v>25</v>
      </c>
      <c r="C272" s="1" t="s">
        <v>11</v>
      </c>
      <c r="D272" s="5">
        <v>45735.0</v>
      </c>
      <c r="E272" s="1">
        <v>4.0</v>
      </c>
      <c r="F272" s="1">
        <v>2.0</v>
      </c>
      <c r="G272" s="1" t="str">
        <f t="shared" si="1"/>
        <v>5</v>
      </c>
      <c r="H272" s="1" t="str">
        <f t="shared" si="2"/>
        <v>#REF!</v>
      </c>
    </row>
    <row r="273" ht="15.75" hidden="1" customHeight="1">
      <c r="A273" s="1" t="s">
        <v>64</v>
      </c>
      <c r="B273" s="1" t="s">
        <v>44</v>
      </c>
      <c r="C273" s="1" t="s">
        <v>11</v>
      </c>
      <c r="D273" s="5">
        <v>45735.0</v>
      </c>
      <c r="G273" s="1" t="str">
        <f t="shared" si="1"/>
        <v>5</v>
      </c>
      <c r="H273" s="1" t="str">
        <f t="shared" si="2"/>
        <v>#REF!</v>
      </c>
    </row>
    <row r="274" ht="15.75" customHeight="1">
      <c r="A274" s="1" t="s">
        <v>64</v>
      </c>
      <c r="B274" s="1" t="s">
        <v>103</v>
      </c>
      <c r="C274" s="1" t="s">
        <v>11</v>
      </c>
      <c r="D274" s="5">
        <v>45735.0</v>
      </c>
      <c r="E274" s="1">
        <v>20.0</v>
      </c>
      <c r="F274" s="1">
        <v>14.0</v>
      </c>
      <c r="G274" s="1" t="str">
        <f t="shared" si="1"/>
        <v>5</v>
      </c>
      <c r="H274" s="1" t="str">
        <f t="shared" si="2"/>
        <v>#REF!</v>
      </c>
    </row>
    <row r="275" ht="15.75" customHeight="1">
      <c r="A275" s="1" t="s">
        <v>64</v>
      </c>
      <c r="B275" s="1" t="s">
        <v>104</v>
      </c>
      <c r="C275" s="1" t="s">
        <v>11</v>
      </c>
      <c r="D275" s="5">
        <v>45735.0</v>
      </c>
      <c r="E275" s="1">
        <v>17.0</v>
      </c>
      <c r="F275" s="1">
        <v>14.0</v>
      </c>
    </row>
    <row r="276" ht="15.75" customHeight="1">
      <c r="A276" s="1" t="s">
        <v>39</v>
      </c>
      <c r="B276" s="1" t="s">
        <v>66</v>
      </c>
      <c r="C276" s="1" t="s">
        <v>11</v>
      </c>
      <c r="D276" s="5">
        <v>45735.0</v>
      </c>
      <c r="E276" s="1">
        <v>17.0</v>
      </c>
      <c r="F276" s="1">
        <v>13.0</v>
      </c>
    </row>
    <row r="277" ht="15.75" hidden="1" customHeight="1">
      <c r="A277" s="1" t="s">
        <v>39</v>
      </c>
      <c r="B277" s="1" t="s">
        <v>44</v>
      </c>
      <c r="C277" s="1" t="s">
        <v>11</v>
      </c>
      <c r="D277" s="5">
        <v>45735.0</v>
      </c>
    </row>
    <row r="278" ht="15.75" customHeight="1">
      <c r="A278" s="1" t="s">
        <v>51</v>
      </c>
      <c r="B278" s="1" t="s">
        <v>10</v>
      </c>
      <c r="C278" s="1" t="s">
        <v>11</v>
      </c>
      <c r="D278" s="5">
        <v>45735.0</v>
      </c>
      <c r="E278" s="1">
        <v>10.0</v>
      </c>
      <c r="F278" s="1">
        <v>2.0</v>
      </c>
    </row>
    <row r="279" ht="15.75" customHeight="1">
      <c r="A279" s="1" t="s">
        <v>78</v>
      </c>
      <c r="B279" s="1" t="s">
        <v>28</v>
      </c>
      <c r="C279" s="1" t="s">
        <v>11</v>
      </c>
      <c r="D279" s="5">
        <v>45735.0</v>
      </c>
      <c r="E279" s="1">
        <v>16.0</v>
      </c>
      <c r="F279" s="1">
        <v>14.0</v>
      </c>
    </row>
    <row r="280" ht="15.75" customHeight="1">
      <c r="A280" s="1" t="s">
        <v>78</v>
      </c>
      <c r="B280" s="1" t="s">
        <v>111</v>
      </c>
      <c r="C280" s="1" t="s">
        <v>11</v>
      </c>
      <c r="D280" s="5">
        <v>45735.0</v>
      </c>
      <c r="E280" s="1">
        <v>22.0</v>
      </c>
      <c r="F280" s="1">
        <v>16.0</v>
      </c>
    </row>
    <row r="281" ht="15.75" hidden="1" customHeight="1">
      <c r="A281" s="1" t="s">
        <v>81</v>
      </c>
      <c r="B281" s="1" t="s">
        <v>61</v>
      </c>
      <c r="C281" s="1" t="s">
        <v>11</v>
      </c>
      <c r="D281" s="5">
        <v>45735.0</v>
      </c>
    </row>
    <row r="282" ht="15.75" customHeight="1">
      <c r="A282" s="1" t="s">
        <v>81</v>
      </c>
      <c r="B282" s="1" t="s">
        <v>123</v>
      </c>
      <c r="C282" s="1" t="s">
        <v>11</v>
      </c>
      <c r="D282" s="5">
        <v>45735.0</v>
      </c>
      <c r="E282" s="1">
        <v>9.0</v>
      </c>
      <c r="F282" s="1">
        <v>9.0</v>
      </c>
    </row>
    <row r="283" ht="15.75" hidden="1" customHeight="1">
      <c r="A283" s="1" t="s">
        <v>81</v>
      </c>
      <c r="B283" s="1" t="s">
        <v>113</v>
      </c>
      <c r="C283" s="1" t="s">
        <v>11</v>
      </c>
      <c r="D283" s="5">
        <v>45735.0</v>
      </c>
    </row>
    <row r="284" ht="15.75" hidden="1" customHeight="1">
      <c r="A284" s="1" t="s">
        <v>81</v>
      </c>
      <c r="B284" s="1" t="s">
        <v>79</v>
      </c>
      <c r="C284" s="1" t="s">
        <v>11</v>
      </c>
      <c r="D284" s="5">
        <v>45735.0</v>
      </c>
    </row>
    <row r="285" ht="15.75" customHeight="1">
      <c r="A285" s="1" t="s">
        <v>60</v>
      </c>
      <c r="B285" s="1" t="s">
        <v>61</v>
      </c>
      <c r="C285" s="1" t="s">
        <v>11</v>
      </c>
      <c r="D285" s="5">
        <v>45735.0</v>
      </c>
      <c r="E285" s="1">
        <v>6.0</v>
      </c>
      <c r="F285" s="1">
        <v>4.0</v>
      </c>
    </row>
    <row r="286" ht="15.75" hidden="1" customHeight="1">
      <c r="A286" s="1" t="s">
        <v>60</v>
      </c>
      <c r="B286" s="1" t="s">
        <v>44</v>
      </c>
      <c r="C286" s="1" t="s">
        <v>11</v>
      </c>
      <c r="D286" s="5">
        <v>45735.0</v>
      </c>
    </row>
    <row r="287" ht="15.75" hidden="1" customHeight="1">
      <c r="A287" s="1" t="s">
        <v>60</v>
      </c>
      <c r="B287" s="1" t="s">
        <v>104</v>
      </c>
      <c r="C287" s="1" t="s">
        <v>11</v>
      </c>
      <c r="D287" s="5">
        <v>45735.0</v>
      </c>
    </row>
    <row r="288" ht="15.75" hidden="1" customHeight="1">
      <c r="A288" s="1" t="s">
        <v>63</v>
      </c>
      <c r="B288" s="1" t="s">
        <v>116</v>
      </c>
      <c r="C288" s="1" t="s">
        <v>11</v>
      </c>
      <c r="D288" s="5">
        <v>45735.0</v>
      </c>
    </row>
    <row r="289" ht="15.75" hidden="1" customHeight="1">
      <c r="A289" s="1" t="s">
        <v>63</v>
      </c>
      <c r="B289" s="1" t="s">
        <v>25</v>
      </c>
      <c r="C289" s="1" t="s">
        <v>11</v>
      </c>
      <c r="D289" s="5">
        <v>45735.0</v>
      </c>
    </row>
    <row r="290" ht="15.75" hidden="1" customHeight="1">
      <c r="A290" s="1" t="s">
        <v>63</v>
      </c>
      <c r="B290" s="1" t="s">
        <v>44</v>
      </c>
      <c r="C290" s="1" t="s">
        <v>11</v>
      </c>
      <c r="D290" s="5">
        <v>45735.0</v>
      </c>
    </row>
    <row r="291" ht="15.75" hidden="1" customHeight="1">
      <c r="A291" s="1" t="s">
        <v>63</v>
      </c>
      <c r="B291" s="1" t="s">
        <v>103</v>
      </c>
      <c r="C291" s="1" t="s">
        <v>11</v>
      </c>
      <c r="D291" s="5">
        <v>45735.0</v>
      </c>
    </row>
    <row r="292" ht="15.75" hidden="1" customHeight="1">
      <c r="A292" s="1" t="s">
        <v>63</v>
      </c>
      <c r="B292" s="1" t="s">
        <v>104</v>
      </c>
      <c r="C292" s="1" t="s">
        <v>11</v>
      </c>
      <c r="D292" s="5">
        <v>45735.0</v>
      </c>
    </row>
    <row r="293" ht="15.75" hidden="1" customHeight="1">
      <c r="A293" s="1" t="s">
        <v>63</v>
      </c>
      <c r="B293" s="1" t="s">
        <v>106</v>
      </c>
      <c r="C293" s="1" t="s">
        <v>11</v>
      </c>
      <c r="D293" s="5">
        <v>45735.0</v>
      </c>
    </row>
    <row r="294" ht="15.75" hidden="1" customHeight="1">
      <c r="A294" s="1" t="s">
        <v>65</v>
      </c>
      <c r="B294" s="1" t="s">
        <v>34</v>
      </c>
      <c r="C294" s="1" t="s">
        <v>11</v>
      </c>
      <c r="D294" s="5">
        <v>45735.0</v>
      </c>
    </row>
    <row r="295" ht="15.75" customHeight="1">
      <c r="A295" s="1" t="s">
        <v>65</v>
      </c>
      <c r="B295" s="1" t="s">
        <v>21</v>
      </c>
      <c r="C295" s="1" t="s">
        <v>11</v>
      </c>
      <c r="D295" s="5">
        <v>45735.0</v>
      </c>
      <c r="E295" s="1">
        <v>28.0</v>
      </c>
      <c r="F295" s="1">
        <v>20.0</v>
      </c>
    </row>
    <row r="296" ht="15.75" customHeight="1">
      <c r="A296" s="1" t="s">
        <v>65</v>
      </c>
      <c r="B296" s="1" t="s">
        <v>99</v>
      </c>
      <c r="C296" s="1" t="s">
        <v>11</v>
      </c>
      <c r="D296" s="5">
        <v>45735.0</v>
      </c>
      <c r="E296" s="1">
        <v>4.0</v>
      </c>
      <c r="F296" s="1">
        <v>4.0</v>
      </c>
    </row>
    <row r="297" ht="15.75" customHeight="1">
      <c r="A297" s="1" t="s">
        <v>89</v>
      </c>
      <c r="B297" s="1" t="s">
        <v>10</v>
      </c>
      <c r="C297" s="1" t="s">
        <v>11</v>
      </c>
      <c r="D297" s="5">
        <v>45735.0</v>
      </c>
      <c r="E297" s="1">
        <v>12.0</v>
      </c>
      <c r="F297" s="1">
        <v>2.0</v>
      </c>
    </row>
    <row r="298" ht="15.75" hidden="1" customHeight="1">
      <c r="A298" s="1" t="s">
        <v>68</v>
      </c>
      <c r="B298" s="1" t="s">
        <v>10</v>
      </c>
      <c r="C298" s="1" t="s">
        <v>11</v>
      </c>
      <c r="D298" s="5">
        <v>45735.0</v>
      </c>
    </row>
    <row r="299" ht="15.75" customHeight="1">
      <c r="A299" s="1" t="s">
        <v>68</v>
      </c>
      <c r="B299" s="1" t="s">
        <v>57</v>
      </c>
      <c r="C299" s="1" t="s">
        <v>11</v>
      </c>
      <c r="D299" s="5">
        <v>45735.0</v>
      </c>
      <c r="E299" s="1">
        <v>20.0</v>
      </c>
      <c r="F299" s="1">
        <v>14.0</v>
      </c>
    </row>
    <row r="300" ht="15.75" customHeight="1">
      <c r="A300" s="1" t="s">
        <v>68</v>
      </c>
      <c r="B300" s="1" t="s">
        <v>91</v>
      </c>
      <c r="C300" s="1" t="s">
        <v>11</v>
      </c>
      <c r="D300" s="5">
        <v>45735.0</v>
      </c>
      <c r="E300" s="1">
        <v>10.0</v>
      </c>
      <c r="F300" s="1">
        <v>8.0</v>
      </c>
    </row>
    <row r="301" ht="15.75" customHeight="1">
      <c r="A301" s="1" t="s">
        <v>68</v>
      </c>
      <c r="B301" s="1" t="s">
        <v>48</v>
      </c>
      <c r="C301" s="1" t="s">
        <v>11</v>
      </c>
      <c r="D301" s="5">
        <v>45735.0</v>
      </c>
      <c r="E301" s="1">
        <v>14.0</v>
      </c>
      <c r="F301" s="1">
        <v>12.0</v>
      </c>
    </row>
    <row r="302" ht="15.75" customHeight="1">
      <c r="A302" s="1" t="s">
        <v>69</v>
      </c>
      <c r="B302" s="1" t="s">
        <v>10</v>
      </c>
      <c r="C302" s="1" t="s">
        <v>11</v>
      </c>
      <c r="D302" s="5">
        <v>45735.0</v>
      </c>
      <c r="E302" s="1">
        <v>13.0</v>
      </c>
      <c r="F302" s="1">
        <v>7.0</v>
      </c>
    </row>
    <row r="303" ht="15.75" customHeight="1">
      <c r="A303" s="1" t="s">
        <v>69</v>
      </c>
      <c r="B303" s="1" t="s">
        <v>47</v>
      </c>
      <c r="C303" s="1" t="s">
        <v>11</v>
      </c>
      <c r="D303" s="5">
        <v>45735.0</v>
      </c>
      <c r="E303" s="1">
        <v>18.0</v>
      </c>
      <c r="F303" s="1">
        <v>14.0</v>
      </c>
    </row>
    <row r="304" ht="15.75" hidden="1" customHeight="1">
      <c r="A304" s="1" t="s">
        <v>75</v>
      </c>
      <c r="B304" s="1" t="s">
        <v>10</v>
      </c>
      <c r="C304" s="1" t="s">
        <v>11</v>
      </c>
      <c r="D304" s="5">
        <v>45735.0</v>
      </c>
    </row>
    <row r="305" ht="15.75" customHeight="1">
      <c r="A305" s="1" t="s">
        <v>75</v>
      </c>
      <c r="B305" s="1" t="s">
        <v>127</v>
      </c>
      <c r="C305" s="1" t="s">
        <v>11</v>
      </c>
      <c r="D305" s="5">
        <v>45735.0</v>
      </c>
      <c r="E305" s="1">
        <v>18.0</v>
      </c>
      <c r="F305" s="1">
        <v>16.0</v>
      </c>
    </row>
    <row r="306" ht="15.75" customHeight="1">
      <c r="A306" s="1" t="s">
        <v>75</v>
      </c>
      <c r="B306" s="1" t="s">
        <v>112</v>
      </c>
      <c r="C306" s="1" t="s">
        <v>11</v>
      </c>
      <c r="D306" s="5">
        <v>45735.0</v>
      </c>
      <c r="E306" s="1">
        <v>3.0</v>
      </c>
      <c r="F306" s="1">
        <v>3.0</v>
      </c>
    </row>
    <row r="307" ht="15.75" hidden="1" customHeight="1">
      <c r="A307" s="1" t="s">
        <v>75</v>
      </c>
      <c r="B307" s="1" t="s">
        <v>47</v>
      </c>
      <c r="C307" s="1" t="s">
        <v>11</v>
      </c>
      <c r="D307" s="5">
        <v>45735.0</v>
      </c>
    </row>
    <row r="308" ht="15.75" hidden="1" customHeight="1">
      <c r="A308" s="1" t="s">
        <v>77</v>
      </c>
      <c r="B308" s="1" t="s">
        <v>34</v>
      </c>
      <c r="C308" s="1" t="s">
        <v>11</v>
      </c>
      <c r="D308" s="5">
        <v>45735.0</v>
      </c>
    </row>
    <row r="309" ht="15.75" customHeight="1">
      <c r="A309" s="1" t="s">
        <v>77</v>
      </c>
      <c r="B309" s="1" t="s">
        <v>21</v>
      </c>
      <c r="C309" s="1" t="s">
        <v>11</v>
      </c>
      <c r="D309" s="5">
        <v>45735.0</v>
      </c>
      <c r="E309" s="1">
        <v>11.0</v>
      </c>
      <c r="F309" s="1">
        <v>11.0</v>
      </c>
    </row>
    <row r="310" ht="15.75" hidden="1" customHeight="1">
      <c r="A310" s="1" t="s">
        <v>82</v>
      </c>
      <c r="B310" s="1" t="s">
        <v>28</v>
      </c>
      <c r="C310" s="1" t="s">
        <v>11</v>
      </c>
      <c r="D310" s="5">
        <v>45735.0</v>
      </c>
    </row>
    <row r="311" ht="15.75" hidden="1" customHeight="1">
      <c r="A311" s="1" t="s">
        <v>82</v>
      </c>
      <c r="B311" s="1" t="s">
        <v>30</v>
      </c>
      <c r="C311" s="1" t="s">
        <v>11</v>
      </c>
      <c r="D311" s="5">
        <v>45735.0</v>
      </c>
    </row>
    <row r="312" ht="15.75" hidden="1" customHeight="1">
      <c r="A312" s="1" t="s">
        <v>82</v>
      </c>
      <c r="B312" s="1" t="s">
        <v>47</v>
      </c>
      <c r="C312" s="1" t="s">
        <v>11</v>
      </c>
      <c r="D312" s="5">
        <v>45735.0</v>
      </c>
    </row>
    <row r="313" ht="15.75" hidden="1" customHeight="1">
      <c r="A313" s="1" t="s">
        <v>82</v>
      </c>
      <c r="B313" s="1" t="s">
        <v>111</v>
      </c>
      <c r="C313" s="1" t="s">
        <v>11</v>
      </c>
      <c r="D313" s="5">
        <v>45735.0</v>
      </c>
    </row>
    <row r="314" ht="15.75" hidden="1" customHeight="1">
      <c r="A314" s="1" t="s">
        <v>82</v>
      </c>
      <c r="B314" s="1" t="s">
        <v>25</v>
      </c>
      <c r="C314" s="1" t="s">
        <v>11</v>
      </c>
      <c r="D314" s="5">
        <v>45735.0</v>
      </c>
    </row>
    <row r="315" ht="15.75" hidden="1" customHeight="1">
      <c r="A315" s="1" t="s">
        <v>82</v>
      </c>
      <c r="B315" s="1" t="s">
        <v>128</v>
      </c>
      <c r="C315" s="1" t="s">
        <v>11</v>
      </c>
      <c r="D315" s="5">
        <v>45735.0</v>
      </c>
    </row>
    <row r="316" ht="15.75" hidden="1" customHeight="1">
      <c r="A316" s="1" t="s">
        <v>90</v>
      </c>
      <c r="B316" s="1" t="s">
        <v>10</v>
      </c>
      <c r="C316" s="1" t="s">
        <v>11</v>
      </c>
      <c r="D316" s="5">
        <v>45735.0</v>
      </c>
    </row>
    <row r="317" ht="15.75" customHeight="1">
      <c r="A317" s="1" t="s">
        <v>90</v>
      </c>
      <c r="B317" s="1" t="s">
        <v>48</v>
      </c>
      <c r="C317" s="1" t="s">
        <v>11</v>
      </c>
      <c r="D317" s="5">
        <v>45735.0</v>
      </c>
      <c r="E317" s="1">
        <v>34.0</v>
      </c>
      <c r="F317" s="1">
        <v>14.0</v>
      </c>
    </row>
    <row r="318" ht="15.75" hidden="1" customHeight="1">
      <c r="A318" s="1" t="s">
        <v>110</v>
      </c>
      <c r="B318" s="1" t="s">
        <v>115</v>
      </c>
      <c r="C318" s="1" t="s">
        <v>11</v>
      </c>
      <c r="D318" s="5">
        <v>45735.0</v>
      </c>
    </row>
    <row r="319" ht="15.75" hidden="1" customHeight="1">
      <c r="A319" s="1" t="s">
        <v>110</v>
      </c>
      <c r="B319" s="1" t="s">
        <v>116</v>
      </c>
      <c r="C319" s="1" t="s">
        <v>11</v>
      </c>
      <c r="D319" s="5">
        <v>45735.0</v>
      </c>
    </row>
    <row r="320" ht="15.75" customHeight="1">
      <c r="A320" s="1" t="s">
        <v>110</v>
      </c>
      <c r="B320" s="1" t="s">
        <v>58</v>
      </c>
      <c r="C320" s="1" t="s">
        <v>11</v>
      </c>
      <c r="D320" s="5">
        <v>45735.0</v>
      </c>
      <c r="E320" s="1">
        <v>69.0</v>
      </c>
      <c r="F320" s="1">
        <v>19.0</v>
      </c>
    </row>
    <row r="321" ht="15.75" hidden="1" customHeight="1">
      <c r="A321" s="1" t="s">
        <v>110</v>
      </c>
      <c r="B321" s="1" t="s">
        <v>34</v>
      </c>
      <c r="C321" s="1" t="s">
        <v>11</v>
      </c>
      <c r="D321" s="5">
        <v>45735.0</v>
      </c>
    </row>
    <row r="322" ht="15.75" customHeight="1">
      <c r="A322" s="1" t="s">
        <v>18</v>
      </c>
      <c r="B322" s="1" t="s">
        <v>61</v>
      </c>
      <c r="C322" s="1" t="s">
        <v>11</v>
      </c>
      <c r="D322" s="5">
        <v>45734.0</v>
      </c>
      <c r="E322" s="1">
        <v>6.0</v>
      </c>
      <c r="F322" s="1">
        <v>4.0</v>
      </c>
    </row>
    <row r="323" ht="15.75" hidden="1" customHeight="1">
      <c r="A323" s="1" t="s">
        <v>20</v>
      </c>
      <c r="B323" s="1" t="s">
        <v>34</v>
      </c>
      <c r="C323" s="1" t="s">
        <v>11</v>
      </c>
      <c r="D323" s="5">
        <v>45734.0</v>
      </c>
    </row>
    <row r="324" ht="15.75" hidden="1" customHeight="1">
      <c r="A324" s="1" t="s">
        <v>38</v>
      </c>
      <c r="B324" s="1" t="s">
        <v>10</v>
      </c>
      <c r="C324" s="1" t="s">
        <v>11</v>
      </c>
      <c r="D324" s="5">
        <v>45734.0</v>
      </c>
    </row>
    <row r="325" ht="15.75" customHeight="1">
      <c r="A325" s="1" t="s">
        <v>38</v>
      </c>
      <c r="B325" s="1" t="s">
        <v>47</v>
      </c>
      <c r="C325" s="1" t="s">
        <v>11</v>
      </c>
      <c r="D325" s="5">
        <v>45734.0</v>
      </c>
      <c r="E325" s="1">
        <v>14.0</v>
      </c>
      <c r="F325" s="1">
        <v>12.0</v>
      </c>
    </row>
    <row r="326" ht="15.75" hidden="1" customHeight="1">
      <c r="A326" s="1" t="s">
        <v>62</v>
      </c>
      <c r="B326" s="1" t="s">
        <v>111</v>
      </c>
      <c r="C326" s="1" t="s">
        <v>11</v>
      </c>
      <c r="D326" s="5">
        <v>45734.0</v>
      </c>
    </row>
    <row r="327" ht="15.75" customHeight="1">
      <c r="A327" s="1" t="s">
        <v>64</v>
      </c>
      <c r="B327" s="1" t="s">
        <v>104</v>
      </c>
      <c r="C327" s="1" t="s">
        <v>11</v>
      </c>
      <c r="D327" s="5">
        <v>45734.0</v>
      </c>
      <c r="E327" s="1">
        <v>8.0</v>
      </c>
      <c r="F327" s="1">
        <v>4.0</v>
      </c>
    </row>
    <row r="328" ht="15.75" customHeight="1">
      <c r="A328" s="1" t="s">
        <v>67</v>
      </c>
      <c r="B328" s="1" t="s">
        <v>28</v>
      </c>
      <c r="C328" s="1" t="s">
        <v>11</v>
      </c>
      <c r="D328" s="5">
        <v>45734.0</v>
      </c>
      <c r="E328" s="1">
        <v>30.0</v>
      </c>
      <c r="F328" s="1">
        <v>20.0</v>
      </c>
    </row>
    <row r="329" ht="15.75" customHeight="1">
      <c r="A329" s="1" t="s">
        <v>67</v>
      </c>
      <c r="B329" s="1" t="s">
        <v>116</v>
      </c>
      <c r="C329" s="1" t="s">
        <v>11</v>
      </c>
      <c r="D329" s="5">
        <v>45734.0</v>
      </c>
      <c r="E329" s="1">
        <v>18.0</v>
      </c>
      <c r="F329" s="1">
        <v>12.0</v>
      </c>
    </row>
    <row r="330" ht="15.75" customHeight="1">
      <c r="A330" s="1" t="s">
        <v>67</v>
      </c>
      <c r="B330" s="1" t="s">
        <v>57</v>
      </c>
      <c r="C330" s="1" t="s">
        <v>11</v>
      </c>
      <c r="D330" s="5">
        <v>45734.0</v>
      </c>
      <c r="E330" s="1">
        <v>14.0</v>
      </c>
      <c r="F330" s="1">
        <v>14.0</v>
      </c>
    </row>
    <row r="331" ht="15.75" customHeight="1">
      <c r="A331" s="1" t="s">
        <v>67</v>
      </c>
      <c r="B331" s="1" t="s">
        <v>30</v>
      </c>
      <c r="C331" s="1" t="s">
        <v>11</v>
      </c>
      <c r="D331" s="5">
        <v>45734.0</v>
      </c>
      <c r="E331" s="1">
        <v>18.0</v>
      </c>
      <c r="F331" s="1">
        <v>14.0</v>
      </c>
    </row>
    <row r="332" ht="15.75" customHeight="1">
      <c r="A332" s="1" t="s">
        <v>67</v>
      </c>
      <c r="B332" s="1" t="s">
        <v>58</v>
      </c>
      <c r="C332" s="1" t="s">
        <v>11</v>
      </c>
      <c r="D332" s="5">
        <v>45734.0</v>
      </c>
      <c r="E332" s="1">
        <v>34.0</v>
      </c>
      <c r="F332" s="1">
        <v>16.0</v>
      </c>
    </row>
    <row r="333" ht="15.75" customHeight="1">
      <c r="A333" s="1" t="s">
        <v>67</v>
      </c>
      <c r="B333" s="1" t="s">
        <v>48</v>
      </c>
      <c r="C333" s="1" t="s">
        <v>11</v>
      </c>
      <c r="D333" s="5">
        <v>45734.0</v>
      </c>
      <c r="E333" s="1">
        <v>30.0</v>
      </c>
      <c r="F333" s="1">
        <v>20.0</v>
      </c>
    </row>
    <row r="334" ht="15.75" customHeight="1">
      <c r="A334" s="1" t="s">
        <v>67</v>
      </c>
      <c r="B334" s="1" t="s">
        <v>111</v>
      </c>
      <c r="C334" s="1" t="s">
        <v>11</v>
      </c>
      <c r="D334" s="5">
        <v>45734.0</v>
      </c>
      <c r="E334" s="1">
        <v>30.0</v>
      </c>
      <c r="F334" s="1">
        <v>24.0</v>
      </c>
    </row>
    <row r="335" ht="15.75" customHeight="1">
      <c r="A335" s="1" t="s">
        <v>92</v>
      </c>
      <c r="B335" s="1" t="s">
        <v>10</v>
      </c>
      <c r="C335" s="1" t="s">
        <v>11</v>
      </c>
      <c r="D335" s="5">
        <v>45734.0</v>
      </c>
      <c r="E335" s="1">
        <v>10.0</v>
      </c>
      <c r="F335" s="1">
        <v>0.0</v>
      </c>
    </row>
    <row r="336" ht="15.75" hidden="1" customHeight="1">
      <c r="A336" s="1" t="s">
        <v>100</v>
      </c>
      <c r="B336" s="1" t="s">
        <v>25</v>
      </c>
      <c r="C336" s="1" t="s">
        <v>11</v>
      </c>
      <c r="D336" s="5">
        <v>45734.0</v>
      </c>
    </row>
    <row r="337" ht="15.75" hidden="1" customHeight="1">
      <c r="A337" s="1" t="s">
        <v>100</v>
      </c>
      <c r="B337" s="1" t="s">
        <v>44</v>
      </c>
      <c r="C337" s="1" t="s">
        <v>11</v>
      </c>
      <c r="D337" s="5">
        <v>45734.0</v>
      </c>
    </row>
    <row r="338" ht="15.75" hidden="1" customHeight="1">
      <c r="A338" s="1" t="s">
        <v>100</v>
      </c>
      <c r="B338" s="1" t="s">
        <v>103</v>
      </c>
      <c r="C338" s="1" t="s">
        <v>11</v>
      </c>
      <c r="D338" s="5">
        <v>45734.0</v>
      </c>
    </row>
    <row r="339" ht="15.75" hidden="1" customHeight="1">
      <c r="A339" s="1" t="s">
        <v>100</v>
      </c>
      <c r="B339" s="1" t="s">
        <v>104</v>
      </c>
      <c r="C339" s="1" t="s">
        <v>11</v>
      </c>
      <c r="D339" s="5">
        <v>45734.0</v>
      </c>
    </row>
    <row r="340" ht="15.75" hidden="1" customHeight="1">
      <c r="A340" s="1" t="s">
        <v>100</v>
      </c>
      <c r="B340" s="1" t="s">
        <v>106</v>
      </c>
      <c r="C340" s="1" t="s">
        <v>11</v>
      </c>
      <c r="D340" s="5">
        <v>45734.0</v>
      </c>
    </row>
    <row r="341" ht="15.75" hidden="1" customHeight="1">
      <c r="A341" s="1" t="s">
        <v>82</v>
      </c>
      <c r="B341" s="1" t="s">
        <v>10</v>
      </c>
      <c r="C341" s="1" t="s">
        <v>11</v>
      </c>
      <c r="D341" s="5">
        <v>45734.0</v>
      </c>
    </row>
    <row r="342" ht="15.75" customHeight="1">
      <c r="A342" s="1" t="s">
        <v>82</v>
      </c>
      <c r="B342" s="1" t="s">
        <v>25</v>
      </c>
      <c r="C342" s="1" t="s">
        <v>11</v>
      </c>
      <c r="D342" s="5">
        <v>45734.0</v>
      </c>
      <c r="E342" s="1">
        <v>14.0</v>
      </c>
      <c r="F342" s="1">
        <v>10.0</v>
      </c>
    </row>
    <row r="343" ht="15.75" hidden="1" customHeight="1">
      <c r="A343" s="1" t="s">
        <v>82</v>
      </c>
      <c r="B343" s="1" t="s">
        <v>128</v>
      </c>
      <c r="C343" s="1" t="s">
        <v>11</v>
      </c>
      <c r="D343" s="5">
        <v>45734.0</v>
      </c>
    </row>
    <row r="344" ht="15.75" customHeight="1">
      <c r="A344" s="1" t="s">
        <v>82</v>
      </c>
      <c r="B344" s="1" t="s">
        <v>129</v>
      </c>
      <c r="C344" s="1" t="s">
        <v>11</v>
      </c>
      <c r="D344" s="5">
        <v>45734.0</v>
      </c>
      <c r="E344" s="1">
        <v>2.0</v>
      </c>
      <c r="F344" s="1">
        <v>0.0</v>
      </c>
    </row>
    <row r="345" ht="15.75" customHeight="1">
      <c r="A345" s="1" t="s">
        <v>82</v>
      </c>
      <c r="B345" s="1" t="s">
        <v>130</v>
      </c>
      <c r="C345" s="1" t="s">
        <v>11</v>
      </c>
      <c r="D345" s="5">
        <v>45734.0</v>
      </c>
      <c r="E345" s="1">
        <v>44.0</v>
      </c>
      <c r="F345" s="1">
        <v>36.0</v>
      </c>
    </row>
    <row r="346" ht="15.75" customHeight="1">
      <c r="A346" s="1" t="s">
        <v>82</v>
      </c>
      <c r="B346" s="1" t="s">
        <v>121</v>
      </c>
      <c r="C346" s="1" t="s">
        <v>11</v>
      </c>
      <c r="D346" s="5">
        <v>45734.0</v>
      </c>
      <c r="E346" s="1">
        <v>18.0</v>
      </c>
      <c r="F346" s="1">
        <v>14.0</v>
      </c>
    </row>
    <row r="347" ht="15.75" hidden="1" customHeight="1">
      <c r="A347" s="1" t="s">
        <v>82</v>
      </c>
      <c r="B347" s="1" t="s">
        <v>87</v>
      </c>
      <c r="C347" s="1" t="s">
        <v>11</v>
      </c>
      <c r="D347" s="5">
        <v>45734.0</v>
      </c>
    </row>
    <row r="348" ht="15.75" hidden="1" customHeight="1">
      <c r="A348" s="1" t="s">
        <v>105</v>
      </c>
      <c r="B348" s="1" t="s">
        <v>34</v>
      </c>
      <c r="C348" s="1" t="s">
        <v>11</v>
      </c>
      <c r="D348" s="5">
        <v>45734.0</v>
      </c>
    </row>
    <row r="349" ht="15.75" customHeight="1">
      <c r="A349" s="1" t="s">
        <v>18</v>
      </c>
      <c r="B349" s="1" t="s">
        <v>61</v>
      </c>
      <c r="C349" s="1" t="s">
        <v>11</v>
      </c>
      <c r="D349" s="5">
        <v>45733.0</v>
      </c>
      <c r="E349" s="1">
        <v>7.0</v>
      </c>
      <c r="F349" s="1">
        <v>0.0</v>
      </c>
    </row>
    <row r="350" ht="15.75" hidden="1" customHeight="1">
      <c r="A350" s="1" t="s">
        <v>18</v>
      </c>
      <c r="B350" s="1" t="s">
        <v>34</v>
      </c>
      <c r="C350" s="1" t="s">
        <v>11</v>
      </c>
      <c r="D350" s="5">
        <v>45733.0</v>
      </c>
    </row>
    <row r="351" ht="15.75" customHeight="1">
      <c r="A351" s="1" t="s">
        <v>18</v>
      </c>
      <c r="B351" s="1" t="s">
        <v>97</v>
      </c>
      <c r="C351" s="1" t="s">
        <v>11</v>
      </c>
      <c r="D351" s="5">
        <v>45733.0</v>
      </c>
      <c r="E351" s="1">
        <v>22.0</v>
      </c>
      <c r="F351" s="1">
        <v>14.0</v>
      </c>
    </row>
    <row r="352" ht="15.75" customHeight="1">
      <c r="A352" s="1" t="s">
        <v>18</v>
      </c>
      <c r="B352" s="1" t="s">
        <v>37</v>
      </c>
      <c r="C352" s="1" t="s">
        <v>11</v>
      </c>
      <c r="D352" s="5">
        <v>45733.0</v>
      </c>
      <c r="E352" s="1">
        <v>10.0</v>
      </c>
      <c r="F352" s="1">
        <v>10.0</v>
      </c>
    </row>
    <row r="353" ht="15.75" customHeight="1">
      <c r="A353" s="1" t="s">
        <v>32</v>
      </c>
      <c r="B353" s="1" t="s">
        <v>10</v>
      </c>
      <c r="C353" s="1" t="s">
        <v>11</v>
      </c>
      <c r="D353" s="5">
        <v>45733.0</v>
      </c>
      <c r="E353" s="1">
        <v>26.0</v>
      </c>
      <c r="F353" s="1">
        <v>20.0</v>
      </c>
    </row>
    <row r="354" ht="15.75" customHeight="1">
      <c r="A354" s="1" t="s">
        <v>32</v>
      </c>
      <c r="B354" s="1" t="s">
        <v>47</v>
      </c>
      <c r="C354" s="1" t="s">
        <v>11</v>
      </c>
      <c r="D354" s="5">
        <v>45733.0</v>
      </c>
      <c r="E354" s="1">
        <v>9.0</v>
      </c>
      <c r="F354" s="1">
        <v>8.0</v>
      </c>
    </row>
    <row r="355" ht="15.75" hidden="1" customHeight="1">
      <c r="A355" s="1" t="s">
        <v>62</v>
      </c>
      <c r="B355" s="1" t="s">
        <v>28</v>
      </c>
      <c r="C355" s="1" t="s">
        <v>11</v>
      </c>
      <c r="D355" s="5">
        <v>45733.0</v>
      </c>
    </row>
    <row r="356" ht="15.75" hidden="1" customHeight="1">
      <c r="A356" s="1" t="s">
        <v>62</v>
      </c>
      <c r="B356" s="1" t="s">
        <v>10</v>
      </c>
      <c r="C356" s="1" t="s">
        <v>11</v>
      </c>
      <c r="D356" s="5">
        <v>45733.0</v>
      </c>
    </row>
    <row r="357" ht="15.75" hidden="1" customHeight="1">
      <c r="A357" s="1" t="s">
        <v>62</v>
      </c>
      <c r="B357" s="1" t="s">
        <v>30</v>
      </c>
      <c r="C357" s="1" t="s">
        <v>11</v>
      </c>
      <c r="D357" s="5">
        <v>45733.0</v>
      </c>
    </row>
    <row r="358" ht="15.75" hidden="1" customHeight="1">
      <c r="A358" s="1" t="s">
        <v>62</v>
      </c>
      <c r="B358" s="1" t="s">
        <v>47</v>
      </c>
      <c r="C358" s="1" t="s">
        <v>11</v>
      </c>
      <c r="D358" s="5">
        <v>45733.0</v>
      </c>
    </row>
    <row r="359" ht="15.75" hidden="1" customHeight="1">
      <c r="A359" s="1" t="s">
        <v>62</v>
      </c>
      <c r="B359" s="1" t="s">
        <v>111</v>
      </c>
      <c r="C359" s="1" t="s">
        <v>11</v>
      </c>
      <c r="D359" s="5">
        <v>45733.0</v>
      </c>
    </row>
    <row r="360" ht="15.75" customHeight="1">
      <c r="A360" s="1" t="s">
        <v>62</v>
      </c>
      <c r="B360" s="1" t="s">
        <v>87</v>
      </c>
      <c r="C360" s="1" t="s">
        <v>11</v>
      </c>
      <c r="D360" s="5">
        <v>45733.0</v>
      </c>
      <c r="E360" s="1">
        <v>16.0</v>
      </c>
      <c r="F360" s="1">
        <v>8.0</v>
      </c>
    </row>
    <row r="361" ht="15.75" hidden="1" customHeight="1">
      <c r="A361" s="1" t="s">
        <v>64</v>
      </c>
      <c r="B361" s="1" t="s">
        <v>44</v>
      </c>
      <c r="C361" s="1" t="s">
        <v>11</v>
      </c>
      <c r="D361" s="5">
        <v>45733.0</v>
      </c>
    </row>
    <row r="362" ht="15.75" customHeight="1">
      <c r="A362" s="1" t="s">
        <v>64</v>
      </c>
      <c r="B362" s="1" t="s">
        <v>104</v>
      </c>
      <c r="C362" s="1" t="s">
        <v>11</v>
      </c>
      <c r="D362" s="5">
        <v>45733.0</v>
      </c>
      <c r="E362" s="1">
        <v>8.0</v>
      </c>
      <c r="F362" s="1">
        <v>4.0</v>
      </c>
    </row>
    <row r="363" ht="15.75" hidden="1" customHeight="1">
      <c r="A363" s="1" t="s">
        <v>67</v>
      </c>
      <c r="B363" s="1" t="s">
        <v>10</v>
      </c>
      <c r="C363" s="1" t="s">
        <v>11</v>
      </c>
      <c r="D363" s="5">
        <v>45733.0</v>
      </c>
    </row>
    <row r="364" ht="15.75" hidden="1" customHeight="1">
      <c r="A364" s="1" t="s">
        <v>67</v>
      </c>
      <c r="B364" s="1" t="s">
        <v>47</v>
      </c>
      <c r="C364" s="1" t="s">
        <v>11</v>
      </c>
      <c r="D364" s="5">
        <v>45733.0</v>
      </c>
    </row>
    <row r="365" ht="15.75" customHeight="1">
      <c r="A365" s="1" t="s">
        <v>78</v>
      </c>
      <c r="B365" s="1" t="s">
        <v>28</v>
      </c>
      <c r="C365" s="1" t="s">
        <v>11</v>
      </c>
      <c r="D365" s="5">
        <v>45733.0</v>
      </c>
      <c r="E365" s="1">
        <v>5.0</v>
      </c>
      <c r="F365" s="1">
        <v>3.0</v>
      </c>
    </row>
    <row r="366" ht="15.75" hidden="1" customHeight="1">
      <c r="A366" s="1" t="s">
        <v>78</v>
      </c>
      <c r="B366" s="1" t="s">
        <v>10</v>
      </c>
      <c r="C366" s="1" t="s">
        <v>11</v>
      </c>
      <c r="D366" s="5">
        <v>45733.0</v>
      </c>
    </row>
    <row r="367" ht="15.75" customHeight="1">
      <c r="A367" s="1" t="s">
        <v>78</v>
      </c>
      <c r="B367" s="1" t="s">
        <v>30</v>
      </c>
      <c r="C367" s="1" t="s">
        <v>11</v>
      </c>
      <c r="D367" s="5">
        <v>45733.0</v>
      </c>
      <c r="E367" s="1">
        <v>14.0</v>
      </c>
      <c r="F367" s="1">
        <v>14.0</v>
      </c>
    </row>
    <row r="368" ht="15.75" customHeight="1">
      <c r="A368" s="1" t="s">
        <v>78</v>
      </c>
      <c r="B368" s="1" t="s">
        <v>47</v>
      </c>
      <c r="C368" s="1" t="s">
        <v>11</v>
      </c>
      <c r="D368" s="5">
        <v>45733.0</v>
      </c>
      <c r="E368" s="1">
        <v>26.0</v>
      </c>
      <c r="F368" s="1">
        <v>22.0</v>
      </c>
    </row>
    <row r="369" ht="15.75" customHeight="1">
      <c r="A369" s="1" t="s">
        <v>81</v>
      </c>
      <c r="B369" s="1" t="s">
        <v>131</v>
      </c>
      <c r="C369" s="1" t="s">
        <v>11</v>
      </c>
      <c r="D369" s="5">
        <v>45733.0</v>
      </c>
      <c r="E369" s="1">
        <v>8.0</v>
      </c>
      <c r="F369" s="1">
        <v>6.0</v>
      </c>
    </row>
    <row r="370" ht="15.75" customHeight="1">
      <c r="A370" s="1" t="s">
        <v>81</v>
      </c>
      <c r="B370" s="1" t="s">
        <v>132</v>
      </c>
      <c r="C370" s="1" t="s">
        <v>11</v>
      </c>
      <c r="D370" s="5">
        <v>45733.0</v>
      </c>
      <c r="E370" s="1">
        <v>2.0</v>
      </c>
      <c r="F370" s="1">
        <v>0.0</v>
      </c>
    </row>
    <row r="371" ht="15.75" customHeight="1">
      <c r="A371" s="1" t="s">
        <v>73</v>
      </c>
      <c r="B371" s="1" t="s">
        <v>34</v>
      </c>
      <c r="C371" s="1" t="s">
        <v>11</v>
      </c>
      <c r="D371" s="5">
        <v>45733.0</v>
      </c>
      <c r="E371" s="1">
        <v>26.0</v>
      </c>
      <c r="F371" s="1">
        <v>4.0</v>
      </c>
    </row>
    <row r="372" ht="15.75" hidden="1" customHeight="1">
      <c r="A372" s="1" t="s">
        <v>82</v>
      </c>
      <c r="B372" s="1" t="s">
        <v>25</v>
      </c>
      <c r="C372" s="1" t="s">
        <v>11</v>
      </c>
      <c r="D372" s="5">
        <v>45733.0</v>
      </c>
    </row>
    <row r="373" ht="15.75" customHeight="1">
      <c r="A373" s="1" t="s">
        <v>82</v>
      </c>
      <c r="B373" s="1" t="s">
        <v>104</v>
      </c>
      <c r="C373" s="1" t="s">
        <v>11</v>
      </c>
      <c r="D373" s="5">
        <v>45733.0</v>
      </c>
      <c r="E373" s="1">
        <v>12.0</v>
      </c>
      <c r="F373" s="1">
        <v>10.0</v>
      </c>
    </row>
    <row r="374" ht="15.75" hidden="1" customHeight="1">
      <c r="A374" s="1" t="s">
        <v>82</v>
      </c>
      <c r="B374" s="1" t="s">
        <v>87</v>
      </c>
      <c r="C374" s="1" t="s">
        <v>11</v>
      </c>
      <c r="D374" s="5">
        <v>45733.0</v>
      </c>
    </row>
    <row r="375" ht="15.75" hidden="1" customHeight="1">
      <c r="A375" s="1" t="s">
        <v>22</v>
      </c>
      <c r="B375" s="1" t="s">
        <v>10</v>
      </c>
      <c r="C375" s="1" t="s">
        <v>11</v>
      </c>
      <c r="D375" s="5">
        <v>45730.0</v>
      </c>
    </row>
    <row r="376" ht="15.75" hidden="1" customHeight="1">
      <c r="A376" s="1" t="s">
        <v>22</v>
      </c>
      <c r="B376" s="1" t="s">
        <v>44</v>
      </c>
      <c r="C376" s="1" t="s">
        <v>11</v>
      </c>
      <c r="D376" s="5">
        <v>45730.0</v>
      </c>
    </row>
    <row r="377" ht="15.75" hidden="1" customHeight="1">
      <c r="A377" s="1" t="s">
        <v>22</v>
      </c>
      <c r="B377" s="1" t="s">
        <v>104</v>
      </c>
      <c r="C377" s="1" t="s">
        <v>11</v>
      </c>
      <c r="D377" s="5">
        <v>45730.0</v>
      </c>
    </row>
    <row r="378" ht="15.75" customHeight="1">
      <c r="A378" s="1" t="s">
        <v>20</v>
      </c>
      <c r="B378" s="1" t="s">
        <v>61</v>
      </c>
      <c r="C378" s="1" t="s">
        <v>11</v>
      </c>
      <c r="D378" s="5">
        <v>45730.0</v>
      </c>
      <c r="E378" s="1">
        <v>4.0</v>
      </c>
      <c r="F378" s="1">
        <v>0.0</v>
      </c>
    </row>
    <row r="379" ht="15.75" hidden="1" customHeight="1">
      <c r="A379" s="1" t="s">
        <v>20</v>
      </c>
      <c r="B379" s="1" t="s">
        <v>34</v>
      </c>
      <c r="C379" s="1" t="s">
        <v>11</v>
      </c>
      <c r="D379" s="5">
        <v>45730.0</v>
      </c>
    </row>
    <row r="380" ht="15.75" customHeight="1">
      <c r="A380" s="1" t="s">
        <v>24</v>
      </c>
      <c r="B380" s="1" t="s">
        <v>34</v>
      </c>
      <c r="C380" s="1" t="s">
        <v>11</v>
      </c>
      <c r="D380" s="5">
        <v>45730.0</v>
      </c>
      <c r="E380" s="1">
        <v>16.0</v>
      </c>
      <c r="F380" s="1">
        <v>8.0</v>
      </c>
    </row>
    <row r="381" ht="15.75" hidden="1" customHeight="1">
      <c r="A381" s="1" t="s">
        <v>24</v>
      </c>
      <c r="B381" s="1" t="s">
        <v>97</v>
      </c>
      <c r="C381" s="1" t="s">
        <v>11</v>
      </c>
      <c r="D381" s="5">
        <v>45730.0</v>
      </c>
    </row>
    <row r="382" ht="15.75" customHeight="1">
      <c r="A382" s="1" t="s">
        <v>24</v>
      </c>
      <c r="B382" s="1" t="s">
        <v>99</v>
      </c>
      <c r="C382" s="1" t="s">
        <v>11</v>
      </c>
      <c r="D382" s="5">
        <v>45730.0</v>
      </c>
      <c r="E382" s="1">
        <v>3.0</v>
      </c>
      <c r="F382" s="1">
        <v>3.0</v>
      </c>
    </row>
    <row r="383" ht="15.75" hidden="1" customHeight="1">
      <c r="A383" s="1" t="s">
        <v>24</v>
      </c>
      <c r="B383" s="1" t="s">
        <v>44</v>
      </c>
      <c r="C383" s="1" t="s">
        <v>11</v>
      </c>
      <c r="D383" s="5">
        <v>45730.0</v>
      </c>
    </row>
    <row r="384" ht="15.75" hidden="1" customHeight="1">
      <c r="A384" s="1" t="s">
        <v>24</v>
      </c>
      <c r="B384" s="1" t="s">
        <v>103</v>
      </c>
      <c r="C384" s="1" t="s">
        <v>11</v>
      </c>
      <c r="D384" s="5">
        <v>45730.0</v>
      </c>
    </row>
    <row r="385" ht="15.75" hidden="1" customHeight="1">
      <c r="A385" s="1" t="s">
        <v>24</v>
      </c>
      <c r="B385" s="1" t="s">
        <v>104</v>
      </c>
      <c r="C385" s="1" t="s">
        <v>11</v>
      </c>
      <c r="D385" s="5">
        <v>45730.0</v>
      </c>
    </row>
    <row r="386" ht="15.75" customHeight="1">
      <c r="A386" s="1" t="s">
        <v>52</v>
      </c>
      <c r="B386" s="1" t="s">
        <v>28</v>
      </c>
      <c r="C386" s="1" t="s">
        <v>11</v>
      </c>
      <c r="D386" s="5">
        <v>45730.0</v>
      </c>
      <c r="E386" s="1">
        <v>16.0</v>
      </c>
      <c r="F386" s="1">
        <v>10.0</v>
      </c>
    </row>
    <row r="387" ht="15.75" hidden="1" customHeight="1">
      <c r="A387" s="1" t="s">
        <v>52</v>
      </c>
      <c r="B387" s="1" t="s">
        <v>10</v>
      </c>
      <c r="C387" s="1" t="s">
        <v>11</v>
      </c>
      <c r="D387" s="5">
        <v>45730.0</v>
      </c>
    </row>
    <row r="388" ht="15.75" hidden="1" customHeight="1">
      <c r="A388" s="1" t="s">
        <v>52</v>
      </c>
      <c r="B388" s="1" t="s">
        <v>30</v>
      </c>
      <c r="C388" s="1" t="s">
        <v>11</v>
      </c>
      <c r="D388" s="5">
        <v>45730.0</v>
      </c>
    </row>
    <row r="389" ht="15.75" hidden="1" customHeight="1">
      <c r="A389" s="1" t="s">
        <v>52</v>
      </c>
      <c r="B389" s="1" t="s">
        <v>47</v>
      </c>
      <c r="C389" s="1" t="s">
        <v>11</v>
      </c>
      <c r="D389" s="5">
        <v>45730.0</v>
      </c>
    </row>
    <row r="390" ht="15.75" customHeight="1">
      <c r="A390" s="1" t="s">
        <v>52</v>
      </c>
      <c r="B390" s="1" t="s">
        <v>61</v>
      </c>
      <c r="C390" s="1" t="s">
        <v>11</v>
      </c>
      <c r="D390" s="5">
        <v>45730.0</v>
      </c>
      <c r="E390" s="1">
        <v>1.0</v>
      </c>
      <c r="F390" s="1">
        <v>1.0</v>
      </c>
    </row>
    <row r="391" ht="15.75" customHeight="1">
      <c r="A391" s="1" t="s">
        <v>52</v>
      </c>
      <c r="B391" s="1" t="s">
        <v>19</v>
      </c>
      <c r="C391" s="1" t="s">
        <v>11</v>
      </c>
      <c r="D391" s="5">
        <v>45730.0</v>
      </c>
      <c r="E391" s="1">
        <v>2.0</v>
      </c>
      <c r="F391" s="1">
        <v>0.0</v>
      </c>
    </row>
    <row r="392" ht="15.75" hidden="1" customHeight="1">
      <c r="A392" s="1" t="s">
        <v>52</v>
      </c>
      <c r="B392" s="1" t="s">
        <v>108</v>
      </c>
      <c r="C392" s="1" t="s">
        <v>11</v>
      </c>
      <c r="D392" s="5">
        <v>45730.0</v>
      </c>
    </row>
    <row r="393" ht="15.75" customHeight="1">
      <c r="A393" s="1" t="s">
        <v>55</v>
      </c>
      <c r="B393" s="1" t="s">
        <v>44</v>
      </c>
      <c r="C393" s="1" t="s">
        <v>11</v>
      </c>
      <c r="D393" s="5">
        <v>45730.0</v>
      </c>
      <c r="E393" s="1">
        <v>2.0</v>
      </c>
      <c r="F393" s="1">
        <v>0.0</v>
      </c>
    </row>
    <row r="394" ht="15.75" hidden="1" customHeight="1">
      <c r="A394" s="1" t="s">
        <v>62</v>
      </c>
      <c r="B394" s="1" t="s">
        <v>28</v>
      </c>
      <c r="C394" s="1" t="s">
        <v>11</v>
      </c>
      <c r="D394" s="5">
        <v>45730.0</v>
      </c>
    </row>
    <row r="395" ht="15.75" hidden="1" customHeight="1">
      <c r="A395" s="1" t="s">
        <v>62</v>
      </c>
      <c r="B395" s="1" t="s">
        <v>10</v>
      </c>
      <c r="C395" s="1" t="s">
        <v>11</v>
      </c>
      <c r="D395" s="5">
        <v>45730.0</v>
      </c>
    </row>
    <row r="396" ht="15.75" hidden="1" customHeight="1">
      <c r="A396" s="1" t="s">
        <v>62</v>
      </c>
      <c r="B396" s="1" t="s">
        <v>30</v>
      </c>
      <c r="C396" s="1" t="s">
        <v>11</v>
      </c>
      <c r="D396" s="5">
        <v>45730.0</v>
      </c>
    </row>
    <row r="397" ht="15.75" hidden="1" customHeight="1">
      <c r="A397" s="1" t="s">
        <v>62</v>
      </c>
      <c r="B397" s="1" t="s">
        <v>47</v>
      </c>
      <c r="C397" s="1" t="s">
        <v>11</v>
      </c>
      <c r="D397" s="5">
        <v>45730.0</v>
      </c>
    </row>
    <row r="398" ht="15.75" hidden="1" customHeight="1">
      <c r="A398" s="1" t="s">
        <v>62</v>
      </c>
      <c r="B398" s="1" t="s">
        <v>111</v>
      </c>
      <c r="C398" s="1" t="s">
        <v>11</v>
      </c>
      <c r="D398" s="5">
        <v>45730.0</v>
      </c>
    </row>
    <row r="399" ht="15.75" customHeight="1">
      <c r="A399" s="1" t="s">
        <v>64</v>
      </c>
      <c r="B399" s="1" t="s">
        <v>104</v>
      </c>
      <c r="C399" s="1" t="s">
        <v>11</v>
      </c>
      <c r="D399" s="5">
        <v>45730.0</v>
      </c>
      <c r="E399" s="1">
        <v>2.0</v>
      </c>
      <c r="F399" s="1">
        <v>1.0</v>
      </c>
    </row>
    <row r="400" ht="15.75" customHeight="1">
      <c r="A400" s="1" t="s">
        <v>73</v>
      </c>
      <c r="B400" s="1" t="s">
        <v>34</v>
      </c>
      <c r="C400" s="1" t="s">
        <v>11</v>
      </c>
      <c r="D400" s="5">
        <v>45730.0</v>
      </c>
      <c r="E400" s="1">
        <v>6.0</v>
      </c>
      <c r="F400" s="1">
        <v>0.0</v>
      </c>
    </row>
    <row r="401" ht="15.75" hidden="1" customHeight="1">
      <c r="A401" s="1" t="s">
        <v>82</v>
      </c>
      <c r="B401" s="1" t="s">
        <v>10</v>
      </c>
      <c r="C401" s="1" t="s">
        <v>11</v>
      </c>
      <c r="D401" s="5">
        <v>45730.0</v>
      </c>
    </row>
    <row r="402" ht="15.75" customHeight="1">
      <c r="A402" s="1" t="s">
        <v>82</v>
      </c>
      <c r="B402" s="1" t="s">
        <v>25</v>
      </c>
      <c r="C402" s="1" t="s">
        <v>11</v>
      </c>
      <c r="D402" s="5">
        <v>45730.0</v>
      </c>
      <c r="E402" s="1">
        <v>2.0</v>
      </c>
      <c r="F402" s="1">
        <v>2.0</v>
      </c>
    </row>
    <row r="403" ht="15.75" customHeight="1">
      <c r="A403" s="1" t="s">
        <v>82</v>
      </c>
      <c r="B403" s="1" t="s">
        <v>83</v>
      </c>
      <c r="C403" s="1" t="s">
        <v>11</v>
      </c>
      <c r="D403" s="5">
        <v>45730.0</v>
      </c>
      <c r="E403" s="1">
        <v>4.0</v>
      </c>
      <c r="F403" s="1">
        <v>1.0</v>
      </c>
    </row>
    <row r="404" ht="15.75" hidden="1" customHeight="1">
      <c r="A404" s="1" t="s">
        <v>82</v>
      </c>
      <c r="B404" s="1" t="s">
        <v>44</v>
      </c>
      <c r="C404" s="1" t="s">
        <v>11</v>
      </c>
      <c r="D404" s="5">
        <v>45730.0</v>
      </c>
    </row>
    <row r="405" ht="15.75" customHeight="1">
      <c r="A405" s="1" t="s">
        <v>82</v>
      </c>
      <c r="B405" s="1" t="s">
        <v>104</v>
      </c>
      <c r="C405" s="1" t="s">
        <v>11</v>
      </c>
      <c r="D405" s="5">
        <v>45730.0</v>
      </c>
      <c r="E405" s="1">
        <v>4.0</v>
      </c>
      <c r="F405" s="1">
        <v>2.0</v>
      </c>
    </row>
    <row r="406" ht="15.75" hidden="1" customHeight="1">
      <c r="A406" s="1" t="s">
        <v>90</v>
      </c>
      <c r="B406" s="1" t="s">
        <v>48</v>
      </c>
      <c r="C406" s="1" t="s">
        <v>11</v>
      </c>
      <c r="D406" s="5">
        <v>45730.0</v>
      </c>
    </row>
    <row r="407" ht="15.75" customHeight="1">
      <c r="A407" s="1" t="s">
        <v>101</v>
      </c>
      <c r="B407" s="1" t="s">
        <v>34</v>
      </c>
      <c r="C407" s="1" t="s">
        <v>11</v>
      </c>
      <c r="D407" s="5">
        <v>45730.0</v>
      </c>
      <c r="E407" s="1">
        <v>4.0</v>
      </c>
      <c r="F407" s="1">
        <v>4.0</v>
      </c>
    </row>
    <row r="408" ht="15.75" customHeight="1">
      <c r="A408" s="1" t="s">
        <v>101</v>
      </c>
      <c r="B408" s="1" t="s">
        <v>21</v>
      </c>
      <c r="C408" s="1" t="s">
        <v>11</v>
      </c>
      <c r="D408" s="5">
        <v>45730.0</v>
      </c>
      <c r="E408" s="1">
        <v>10.0</v>
      </c>
      <c r="F408" s="1">
        <v>0.0</v>
      </c>
    </row>
    <row r="409" ht="15.75" hidden="1" customHeight="1">
      <c r="A409" s="1" t="s">
        <v>38</v>
      </c>
      <c r="B409" s="1" t="s">
        <v>47</v>
      </c>
      <c r="C409" s="1" t="s">
        <v>11</v>
      </c>
      <c r="D409" s="5">
        <v>45729.0</v>
      </c>
    </row>
    <row r="410" ht="15.75" customHeight="1">
      <c r="A410" s="1" t="s">
        <v>38</v>
      </c>
      <c r="B410" s="1" t="s">
        <v>48</v>
      </c>
      <c r="C410" s="1" t="s">
        <v>11</v>
      </c>
      <c r="D410" s="5">
        <v>45729.0</v>
      </c>
      <c r="E410" s="1">
        <v>10.0</v>
      </c>
      <c r="F410" s="1">
        <v>0.0</v>
      </c>
    </row>
    <row r="411" ht="15.75" customHeight="1">
      <c r="A411" s="1" t="s">
        <v>24</v>
      </c>
      <c r="B411" s="1" t="s">
        <v>133</v>
      </c>
      <c r="C411" s="1" t="s">
        <v>11</v>
      </c>
      <c r="D411" s="5">
        <v>45729.0</v>
      </c>
      <c r="E411" s="1">
        <v>6.0</v>
      </c>
      <c r="F411" s="1">
        <v>0.0</v>
      </c>
    </row>
    <row r="412" ht="15.75" hidden="1" customHeight="1">
      <c r="A412" s="1" t="s">
        <v>24</v>
      </c>
      <c r="B412" s="1" t="s">
        <v>106</v>
      </c>
      <c r="C412" s="1" t="s">
        <v>11</v>
      </c>
      <c r="D412" s="5">
        <v>45729.0</v>
      </c>
    </row>
    <row r="413" ht="15.75" hidden="1" customHeight="1">
      <c r="A413" s="1" t="s">
        <v>52</v>
      </c>
      <c r="B413" s="1" t="s">
        <v>28</v>
      </c>
      <c r="C413" s="1" t="s">
        <v>11</v>
      </c>
      <c r="D413" s="5">
        <v>45729.0</v>
      </c>
    </row>
    <row r="414" ht="15.75" customHeight="1">
      <c r="A414" s="1" t="s">
        <v>52</v>
      </c>
      <c r="B414" s="1" t="s">
        <v>61</v>
      </c>
      <c r="C414" s="1" t="s">
        <v>11</v>
      </c>
      <c r="D414" s="5">
        <v>45729.0</v>
      </c>
      <c r="E414" s="1">
        <v>6.0</v>
      </c>
      <c r="F414" s="1">
        <v>2.0</v>
      </c>
    </row>
    <row r="415" ht="15.75" customHeight="1">
      <c r="A415" s="1" t="s">
        <v>52</v>
      </c>
      <c r="B415" s="1" t="s">
        <v>19</v>
      </c>
      <c r="C415" s="1" t="s">
        <v>11</v>
      </c>
      <c r="D415" s="5">
        <v>45729.0</v>
      </c>
      <c r="E415" s="1">
        <v>8.0</v>
      </c>
      <c r="F415" s="1">
        <v>2.0</v>
      </c>
    </row>
    <row r="416" ht="15.75" hidden="1" customHeight="1">
      <c r="A416" s="1" t="s">
        <v>52</v>
      </c>
      <c r="B416" s="1" t="s">
        <v>21</v>
      </c>
      <c r="C416" s="1" t="s">
        <v>11</v>
      </c>
      <c r="D416" s="5">
        <v>45729.0</v>
      </c>
    </row>
    <row r="417" ht="15.75" customHeight="1">
      <c r="A417" s="1" t="s">
        <v>55</v>
      </c>
      <c r="B417" s="1" t="s">
        <v>44</v>
      </c>
      <c r="C417" s="1" t="s">
        <v>11</v>
      </c>
      <c r="D417" s="5">
        <v>45729.0</v>
      </c>
      <c r="E417" s="1">
        <v>6.0</v>
      </c>
      <c r="F417" s="1">
        <v>0.0</v>
      </c>
    </row>
    <row r="418" ht="15.75" customHeight="1">
      <c r="A418" s="1" t="s">
        <v>62</v>
      </c>
      <c r="B418" s="1" t="s">
        <v>28</v>
      </c>
      <c r="C418" s="1" t="s">
        <v>11</v>
      </c>
      <c r="D418" s="5">
        <v>45729.0</v>
      </c>
      <c r="E418" s="1">
        <v>34.0</v>
      </c>
      <c r="F418" s="1">
        <v>22.0</v>
      </c>
    </row>
    <row r="419" ht="15.75" customHeight="1">
      <c r="A419" s="1" t="s">
        <v>62</v>
      </c>
      <c r="B419" s="1" t="s">
        <v>30</v>
      </c>
      <c r="C419" s="1" t="s">
        <v>11</v>
      </c>
      <c r="D419" s="5">
        <v>45729.0</v>
      </c>
      <c r="E419" s="1">
        <v>16.0</v>
      </c>
      <c r="F419" s="1">
        <v>14.0</v>
      </c>
    </row>
    <row r="420" ht="15.75" customHeight="1">
      <c r="A420" s="1" t="s">
        <v>62</v>
      </c>
      <c r="B420" s="1" t="s">
        <v>47</v>
      </c>
      <c r="C420" s="1" t="s">
        <v>11</v>
      </c>
      <c r="D420" s="5">
        <v>45729.0</v>
      </c>
      <c r="E420" s="1">
        <v>20.0</v>
      </c>
      <c r="F420" s="1">
        <v>16.0</v>
      </c>
    </row>
    <row r="421" ht="15.75" customHeight="1">
      <c r="A421" s="1" t="s">
        <v>62</v>
      </c>
      <c r="B421" s="1" t="s">
        <v>111</v>
      </c>
      <c r="C421" s="1" t="s">
        <v>11</v>
      </c>
      <c r="D421" s="5">
        <v>45729.0</v>
      </c>
      <c r="E421" s="1">
        <v>22.0</v>
      </c>
      <c r="F421" s="1">
        <v>16.0</v>
      </c>
    </row>
    <row r="422" ht="15.75" customHeight="1">
      <c r="A422" s="1" t="s">
        <v>64</v>
      </c>
      <c r="B422" s="1" t="s">
        <v>104</v>
      </c>
      <c r="C422" s="1" t="s">
        <v>11</v>
      </c>
      <c r="D422" s="5">
        <v>45729.0</v>
      </c>
      <c r="E422" s="1">
        <v>4.0</v>
      </c>
      <c r="F422" s="1">
        <v>0.0</v>
      </c>
    </row>
    <row r="423" ht="15.75" customHeight="1">
      <c r="A423" s="1" t="s">
        <v>76</v>
      </c>
      <c r="B423" s="1" t="s">
        <v>21</v>
      </c>
      <c r="C423" s="1" t="s">
        <v>11</v>
      </c>
      <c r="D423" s="5">
        <v>45729.0</v>
      </c>
      <c r="E423" s="1">
        <v>10.0</v>
      </c>
      <c r="F423" s="1">
        <v>0.0</v>
      </c>
    </row>
    <row r="424" ht="15.75" customHeight="1">
      <c r="A424" s="1" t="s">
        <v>80</v>
      </c>
      <c r="B424" s="1" t="s">
        <v>21</v>
      </c>
      <c r="C424" s="1" t="s">
        <v>11</v>
      </c>
      <c r="D424" s="5">
        <v>45729.0</v>
      </c>
      <c r="E424" s="1">
        <v>8.0</v>
      </c>
      <c r="F424" s="1">
        <v>0.0</v>
      </c>
    </row>
    <row r="425" ht="15.75" hidden="1" customHeight="1">
      <c r="A425" s="1" t="s">
        <v>81</v>
      </c>
      <c r="B425" s="1" t="s">
        <v>61</v>
      </c>
      <c r="C425" s="1" t="s">
        <v>11</v>
      </c>
      <c r="D425" s="5">
        <v>45729.0</v>
      </c>
    </row>
    <row r="426" ht="15.75" hidden="1" customHeight="1">
      <c r="A426" s="1" t="s">
        <v>81</v>
      </c>
      <c r="B426" s="1" t="s">
        <v>113</v>
      </c>
      <c r="C426" s="1" t="s">
        <v>11</v>
      </c>
      <c r="D426" s="5">
        <v>45729.0</v>
      </c>
    </row>
    <row r="427" ht="15.75" customHeight="1">
      <c r="A427" s="1" t="s">
        <v>81</v>
      </c>
      <c r="B427" s="1" t="s">
        <v>133</v>
      </c>
      <c r="C427" s="1" t="s">
        <v>11</v>
      </c>
      <c r="D427" s="5">
        <v>45729.0</v>
      </c>
      <c r="E427" s="1">
        <v>12.0</v>
      </c>
      <c r="F427" s="1">
        <v>10.0</v>
      </c>
    </row>
    <row r="428" ht="15.75" customHeight="1">
      <c r="A428" s="1" t="s">
        <v>81</v>
      </c>
      <c r="B428" s="1" t="s">
        <v>25</v>
      </c>
      <c r="C428" s="1" t="s">
        <v>11</v>
      </c>
      <c r="D428" s="5">
        <v>45729.0</v>
      </c>
      <c r="E428" s="1">
        <v>14.0</v>
      </c>
      <c r="F428" s="1">
        <v>2.0</v>
      </c>
    </row>
    <row r="429" ht="15.75" customHeight="1">
      <c r="A429" s="1" t="s">
        <v>92</v>
      </c>
      <c r="B429" s="1" t="s">
        <v>10</v>
      </c>
      <c r="C429" s="1" t="s">
        <v>11</v>
      </c>
      <c r="D429" s="5">
        <v>45729.0</v>
      </c>
      <c r="E429" s="1">
        <v>16.0</v>
      </c>
      <c r="F429" s="1">
        <v>0.0</v>
      </c>
    </row>
    <row r="430" ht="15.75" customHeight="1">
      <c r="A430" s="1" t="s">
        <v>73</v>
      </c>
      <c r="B430" s="1" t="s">
        <v>34</v>
      </c>
      <c r="C430" s="1" t="s">
        <v>11</v>
      </c>
      <c r="D430" s="5">
        <v>45729.0</v>
      </c>
      <c r="E430" s="1">
        <v>23.0</v>
      </c>
      <c r="F430" s="1">
        <v>0.0</v>
      </c>
    </row>
    <row r="431" ht="15.75" customHeight="1">
      <c r="A431" s="1" t="s">
        <v>90</v>
      </c>
      <c r="B431" s="1" t="s">
        <v>48</v>
      </c>
      <c r="C431" s="1" t="s">
        <v>11</v>
      </c>
      <c r="D431" s="5">
        <v>45729.0</v>
      </c>
      <c r="E431" s="1">
        <v>5.0</v>
      </c>
      <c r="F431" s="1">
        <v>0.0</v>
      </c>
    </row>
    <row r="432" ht="15.75" hidden="1" customHeight="1">
      <c r="A432" s="1" t="s">
        <v>90</v>
      </c>
      <c r="B432" s="1" t="s">
        <v>111</v>
      </c>
      <c r="C432" s="1" t="s">
        <v>11</v>
      </c>
      <c r="D432" s="5">
        <v>45729.0</v>
      </c>
    </row>
    <row r="433" ht="15.75" customHeight="1">
      <c r="A433" s="1" t="s">
        <v>101</v>
      </c>
      <c r="B433" s="1" t="s">
        <v>34</v>
      </c>
      <c r="C433" s="1" t="s">
        <v>11</v>
      </c>
      <c r="D433" s="5">
        <v>45729.0</v>
      </c>
      <c r="E433" s="1">
        <v>2.0</v>
      </c>
      <c r="F433" s="1">
        <v>0.0</v>
      </c>
    </row>
    <row r="434" ht="15.75" customHeight="1">
      <c r="A434" s="1" t="s">
        <v>62</v>
      </c>
      <c r="B434" s="1" t="s">
        <v>10</v>
      </c>
      <c r="C434" s="1" t="s">
        <v>11</v>
      </c>
      <c r="D434" s="5">
        <v>45728.0</v>
      </c>
      <c r="E434" s="1">
        <v>36.0</v>
      </c>
      <c r="F434" s="1">
        <v>28.0</v>
      </c>
    </row>
    <row r="435" ht="15.75" hidden="1" customHeight="1">
      <c r="A435" s="1" t="s">
        <v>64</v>
      </c>
      <c r="B435" s="1" t="s">
        <v>44</v>
      </c>
      <c r="C435" s="1" t="s">
        <v>11</v>
      </c>
      <c r="D435" s="5">
        <v>45728.0</v>
      </c>
    </row>
    <row r="436" ht="15.75" customHeight="1">
      <c r="A436" s="1" t="s">
        <v>64</v>
      </c>
      <c r="B436" s="1" t="s">
        <v>104</v>
      </c>
      <c r="C436" s="1" t="s">
        <v>11</v>
      </c>
      <c r="D436" s="5">
        <v>45728.0</v>
      </c>
      <c r="E436" s="1">
        <v>3.0</v>
      </c>
      <c r="F436" s="1">
        <v>2.0</v>
      </c>
    </row>
    <row r="437" ht="15.75" hidden="1" customHeight="1">
      <c r="A437" s="1" t="s">
        <v>67</v>
      </c>
      <c r="B437" s="1" t="s">
        <v>10</v>
      </c>
      <c r="C437" s="1" t="s">
        <v>11</v>
      </c>
      <c r="D437" s="5">
        <v>45728.0</v>
      </c>
    </row>
    <row r="438" ht="15.75" customHeight="1">
      <c r="A438" s="1" t="s">
        <v>39</v>
      </c>
      <c r="B438" s="1" t="s">
        <v>66</v>
      </c>
      <c r="C438" s="1" t="s">
        <v>11</v>
      </c>
      <c r="D438" s="5">
        <v>45728.0</v>
      </c>
      <c r="E438" s="1">
        <v>8.0</v>
      </c>
      <c r="F438" s="1">
        <v>6.0</v>
      </c>
    </row>
    <row r="439" ht="15.75" hidden="1" customHeight="1">
      <c r="A439" s="1" t="s">
        <v>39</v>
      </c>
      <c r="B439" s="1" t="s">
        <v>44</v>
      </c>
      <c r="C439" s="1" t="s">
        <v>11</v>
      </c>
      <c r="D439" s="5">
        <v>45728.0</v>
      </c>
    </row>
    <row r="440" ht="15.75" hidden="1" customHeight="1">
      <c r="A440" s="1" t="s">
        <v>78</v>
      </c>
      <c r="B440" s="1" t="s">
        <v>10</v>
      </c>
      <c r="C440" s="1" t="s">
        <v>11</v>
      </c>
      <c r="D440" s="5">
        <v>45728.0</v>
      </c>
    </row>
    <row r="441" ht="15.75" customHeight="1">
      <c r="A441" s="1" t="s">
        <v>60</v>
      </c>
      <c r="B441" s="1" t="s">
        <v>61</v>
      </c>
      <c r="C441" s="1" t="s">
        <v>11</v>
      </c>
      <c r="D441" s="5">
        <v>45728.0</v>
      </c>
      <c r="E441" s="1">
        <v>6.0</v>
      </c>
      <c r="F441" s="1">
        <v>4.0</v>
      </c>
    </row>
    <row r="442" ht="15.75" hidden="1" customHeight="1">
      <c r="A442" s="1" t="s">
        <v>60</v>
      </c>
      <c r="B442" s="1" t="s">
        <v>44</v>
      </c>
      <c r="C442" s="1" t="s">
        <v>11</v>
      </c>
      <c r="D442" s="5">
        <v>45728.0</v>
      </c>
    </row>
    <row r="443" ht="15.75" hidden="1" customHeight="1">
      <c r="A443" s="1" t="s">
        <v>65</v>
      </c>
      <c r="B443" s="1" t="s">
        <v>34</v>
      </c>
      <c r="C443" s="1" t="s">
        <v>11</v>
      </c>
      <c r="D443" s="5">
        <v>45728.0</v>
      </c>
    </row>
    <row r="444" ht="15.75" customHeight="1">
      <c r="A444" s="1" t="s">
        <v>65</v>
      </c>
      <c r="B444" s="1" t="s">
        <v>99</v>
      </c>
      <c r="C444" s="1" t="s">
        <v>11</v>
      </c>
      <c r="D444" s="5">
        <v>45728.0</v>
      </c>
      <c r="E444" s="1">
        <v>26.0</v>
      </c>
      <c r="F444" s="1">
        <v>18.0</v>
      </c>
    </row>
    <row r="445" ht="15.75" hidden="1" customHeight="1">
      <c r="A445" s="1" t="s">
        <v>68</v>
      </c>
      <c r="B445" s="1" t="s">
        <v>10</v>
      </c>
      <c r="C445" s="1" t="s">
        <v>11</v>
      </c>
      <c r="D445" s="5">
        <v>45728.0</v>
      </c>
    </row>
    <row r="446" ht="15.75" customHeight="1">
      <c r="A446" s="1" t="s">
        <v>68</v>
      </c>
      <c r="B446" s="1" t="s">
        <v>48</v>
      </c>
      <c r="C446" s="1" t="s">
        <v>11</v>
      </c>
      <c r="D446" s="5">
        <v>45728.0</v>
      </c>
      <c r="E446" s="1">
        <v>4.0</v>
      </c>
      <c r="F446" s="1">
        <v>0.0</v>
      </c>
    </row>
    <row r="447" ht="15.75" customHeight="1">
      <c r="A447" s="1" t="s">
        <v>73</v>
      </c>
      <c r="B447" s="1" t="s">
        <v>34</v>
      </c>
      <c r="C447" s="1" t="s">
        <v>11</v>
      </c>
      <c r="D447" s="5">
        <v>45728.0</v>
      </c>
      <c r="E447" s="1">
        <v>22.0</v>
      </c>
      <c r="F447" s="1">
        <v>4.0</v>
      </c>
    </row>
    <row r="448" ht="15.75" hidden="1" customHeight="1">
      <c r="A448" s="1" t="s">
        <v>77</v>
      </c>
      <c r="B448" s="1" t="s">
        <v>34</v>
      </c>
      <c r="C448" s="1" t="s">
        <v>11</v>
      </c>
      <c r="D448" s="5">
        <v>45728.0</v>
      </c>
    </row>
    <row r="449" ht="15.75" customHeight="1">
      <c r="A449" s="1" t="s">
        <v>77</v>
      </c>
      <c r="B449" s="1" t="s">
        <v>21</v>
      </c>
      <c r="C449" s="1" t="s">
        <v>11</v>
      </c>
      <c r="D449" s="5">
        <v>45728.0</v>
      </c>
      <c r="E449" s="1">
        <v>2.0</v>
      </c>
      <c r="F449" s="1">
        <v>0.0</v>
      </c>
    </row>
    <row r="450" ht="15.75" hidden="1" customHeight="1">
      <c r="A450" s="1" t="s">
        <v>82</v>
      </c>
      <c r="B450" s="1" t="s">
        <v>134</v>
      </c>
      <c r="C450" s="1" t="s">
        <v>11</v>
      </c>
      <c r="D450" s="5">
        <v>45728.0</v>
      </c>
    </row>
    <row r="451" ht="15.75" hidden="1" customHeight="1">
      <c r="A451" s="1" t="s">
        <v>82</v>
      </c>
      <c r="B451" s="1" t="s">
        <v>10</v>
      </c>
      <c r="C451" s="1" t="s">
        <v>11</v>
      </c>
      <c r="D451" s="5">
        <v>45728.0</v>
      </c>
    </row>
    <row r="452" ht="15.75" hidden="1" customHeight="1">
      <c r="A452" s="1" t="s">
        <v>82</v>
      </c>
      <c r="B452" s="1" t="s">
        <v>44</v>
      </c>
      <c r="C452" s="1" t="s">
        <v>11</v>
      </c>
      <c r="D452" s="5">
        <v>45728.0</v>
      </c>
    </row>
    <row r="453" ht="15.75" hidden="1" customHeight="1">
      <c r="A453" s="1" t="s">
        <v>82</v>
      </c>
      <c r="B453" s="1" t="s">
        <v>84</v>
      </c>
      <c r="C453" s="1" t="s">
        <v>11</v>
      </c>
      <c r="D453" s="5">
        <v>45728.0</v>
      </c>
    </row>
    <row r="454" ht="15.75" hidden="1" customHeight="1">
      <c r="A454" s="1" t="s">
        <v>82</v>
      </c>
      <c r="B454" s="1" t="s">
        <v>103</v>
      </c>
      <c r="C454" s="1" t="s">
        <v>11</v>
      </c>
      <c r="D454" s="5">
        <v>45728.0</v>
      </c>
    </row>
    <row r="455" ht="15.75" customHeight="1">
      <c r="A455" s="1" t="s">
        <v>82</v>
      </c>
      <c r="B455" s="1" t="s">
        <v>104</v>
      </c>
      <c r="C455" s="1" t="s">
        <v>11</v>
      </c>
      <c r="D455" s="5">
        <v>45728.0</v>
      </c>
      <c r="E455" s="1">
        <v>3.0</v>
      </c>
      <c r="F455" s="1">
        <v>2.0</v>
      </c>
    </row>
    <row r="456" ht="15.75" hidden="1" customHeight="1">
      <c r="A456" s="1" t="s">
        <v>82</v>
      </c>
      <c r="B456" s="1" t="s">
        <v>135</v>
      </c>
      <c r="C456" s="1" t="s">
        <v>11</v>
      </c>
      <c r="D456" s="5">
        <v>45728.0</v>
      </c>
    </row>
    <row r="457" ht="15.75" hidden="1" customHeight="1">
      <c r="A457" s="1" t="s">
        <v>82</v>
      </c>
      <c r="B457" s="1" t="s">
        <v>87</v>
      </c>
      <c r="C457" s="1" t="s">
        <v>11</v>
      </c>
      <c r="D457" s="5">
        <v>45728.0</v>
      </c>
    </row>
    <row r="458" ht="15.75" hidden="1" customHeight="1">
      <c r="A458" s="1" t="s">
        <v>90</v>
      </c>
      <c r="B458" s="1" t="s">
        <v>10</v>
      </c>
      <c r="C458" s="1" t="s">
        <v>11</v>
      </c>
      <c r="D458" s="5">
        <v>45728.0</v>
      </c>
    </row>
    <row r="459" ht="15.75" customHeight="1">
      <c r="A459" s="1" t="s">
        <v>90</v>
      </c>
      <c r="B459" s="1" t="s">
        <v>48</v>
      </c>
      <c r="C459" s="1" t="s">
        <v>11</v>
      </c>
      <c r="D459" s="5">
        <v>45728.0</v>
      </c>
      <c r="E459" s="1">
        <v>2.0</v>
      </c>
      <c r="F459" s="1">
        <v>0.0</v>
      </c>
    </row>
    <row r="460" ht="15.75" customHeight="1">
      <c r="A460" s="1" t="s">
        <v>90</v>
      </c>
      <c r="B460" s="1" t="s">
        <v>111</v>
      </c>
      <c r="C460" s="1" t="s">
        <v>11</v>
      </c>
      <c r="D460" s="5">
        <v>45728.0</v>
      </c>
      <c r="E460" s="1">
        <v>14.0</v>
      </c>
      <c r="F460" s="1">
        <v>12.0</v>
      </c>
    </row>
    <row r="461" ht="15.75" hidden="1" customHeight="1">
      <c r="A461" s="1" t="s">
        <v>101</v>
      </c>
      <c r="B461" s="1" t="s">
        <v>116</v>
      </c>
      <c r="C461" s="1" t="s">
        <v>11</v>
      </c>
      <c r="D461" s="5">
        <v>45728.0</v>
      </c>
    </row>
    <row r="462" ht="15.75" customHeight="1">
      <c r="A462" s="1" t="s">
        <v>101</v>
      </c>
      <c r="B462" s="1" t="s">
        <v>136</v>
      </c>
      <c r="C462" s="1" t="s">
        <v>11</v>
      </c>
      <c r="D462" s="5">
        <v>45728.0</v>
      </c>
      <c r="E462" s="1">
        <v>2.0</v>
      </c>
      <c r="F462" s="1">
        <v>0.0</v>
      </c>
    </row>
    <row r="463" ht="15.75" customHeight="1">
      <c r="A463" s="1" t="s">
        <v>101</v>
      </c>
      <c r="B463" s="1" t="s">
        <v>91</v>
      </c>
      <c r="C463" s="1" t="s">
        <v>11</v>
      </c>
      <c r="D463" s="5">
        <v>45728.0</v>
      </c>
      <c r="E463" s="1">
        <v>34.0</v>
      </c>
      <c r="F463" s="1">
        <v>32.0</v>
      </c>
    </row>
    <row r="464" ht="15.75" hidden="1" customHeight="1">
      <c r="A464" s="1" t="s">
        <v>101</v>
      </c>
      <c r="B464" s="1" t="s">
        <v>117</v>
      </c>
      <c r="C464" s="1" t="s">
        <v>11</v>
      </c>
      <c r="D464" s="5">
        <v>45728.0</v>
      </c>
    </row>
    <row r="465" ht="15.75" hidden="1" customHeight="1">
      <c r="A465" s="1" t="s">
        <v>101</v>
      </c>
      <c r="B465" s="1" t="s">
        <v>137</v>
      </c>
      <c r="C465" s="1" t="s">
        <v>11</v>
      </c>
      <c r="D465" s="5">
        <v>45728.0</v>
      </c>
    </row>
    <row r="466" ht="15.75" customHeight="1">
      <c r="A466" s="1" t="s">
        <v>101</v>
      </c>
      <c r="B466" s="1" t="s">
        <v>21</v>
      </c>
      <c r="C466" s="1" t="s">
        <v>11</v>
      </c>
      <c r="D466" s="5">
        <v>45728.0</v>
      </c>
      <c r="E466" s="1">
        <v>12.0</v>
      </c>
      <c r="F466" s="1">
        <v>2.0</v>
      </c>
    </row>
    <row r="467" ht="15.75" hidden="1" customHeight="1">
      <c r="A467" s="1" t="s">
        <v>101</v>
      </c>
      <c r="B467" s="1" t="s">
        <v>99</v>
      </c>
      <c r="C467" s="1" t="s">
        <v>11</v>
      </c>
      <c r="D467" s="5">
        <v>45728.0</v>
      </c>
    </row>
    <row r="468" ht="15.75" customHeight="1">
      <c r="A468" s="1" t="s">
        <v>38</v>
      </c>
      <c r="B468" s="1" t="s">
        <v>10</v>
      </c>
      <c r="C468" s="1" t="s">
        <v>11</v>
      </c>
      <c r="D468" s="5">
        <v>45727.0</v>
      </c>
      <c r="E468" s="1">
        <v>28.0</v>
      </c>
      <c r="F468" s="1">
        <v>26.0</v>
      </c>
    </row>
    <row r="469" ht="15.75" customHeight="1">
      <c r="A469" s="1" t="s">
        <v>38</v>
      </c>
      <c r="B469" s="1" t="s">
        <v>47</v>
      </c>
      <c r="C469" s="1" t="s">
        <v>11</v>
      </c>
      <c r="D469" s="5">
        <v>45727.0</v>
      </c>
      <c r="E469" s="1">
        <v>8.0</v>
      </c>
      <c r="F469" s="1">
        <v>6.0</v>
      </c>
    </row>
    <row r="470" ht="15.75" hidden="1" customHeight="1">
      <c r="A470" s="1" t="s">
        <v>38</v>
      </c>
      <c r="B470" s="1" t="s">
        <v>97</v>
      </c>
      <c r="C470" s="1" t="s">
        <v>11</v>
      </c>
      <c r="D470" s="5">
        <v>45727.0</v>
      </c>
    </row>
    <row r="471" ht="15.75" customHeight="1">
      <c r="A471" s="1" t="s">
        <v>38</v>
      </c>
      <c r="B471" s="1" t="s">
        <v>37</v>
      </c>
      <c r="C471" s="1" t="s">
        <v>11</v>
      </c>
      <c r="D471" s="5">
        <v>45727.0</v>
      </c>
      <c r="E471" s="1">
        <v>4.0</v>
      </c>
      <c r="F471" s="1">
        <v>2.0</v>
      </c>
    </row>
    <row r="472" ht="15.75" hidden="1" customHeight="1">
      <c r="A472" s="1" t="s">
        <v>52</v>
      </c>
      <c r="B472" s="1" t="s">
        <v>10</v>
      </c>
      <c r="C472" s="1" t="s">
        <v>11</v>
      </c>
      <c r="D472" s="5">
        <v>45727.0</v>
      </c>
    </row>
    <row r="473" ht="15.75" customHeight="1">
      <c r="A473" s="1" t="s">
        <v>52</v>
      </c>
      <c r="B473" s="1" t="s">
        <v>61</v>
      </c>
      <c r="C473" s="1" t="s">
        <v>11</v>
      </c>
      <c r="D473" s="5">
        <v>45727.0</v>
      </c>
      <c r="E473" s="1">
        <v>32.0</v>
      </c>
      <c r="F473" s="1">
        <v>24.0</v>
      </c>
    </row>
    <row r="474" ht="15.75" customHeight="1">
      <c r="A474" s="1" t="s">
        <v>52</v>
      </c>
      <c r="B474" s="1" t="s">
        <v>34</v>
      </c>
      <c r="C474" s="1" t="s">
        <v>11</v>
      </c>
      <c r="D474" s="5">
        <v>45727.0</v>
      </c>
      <c r="E474" s="1">
        <v>4.0</v>
      </c>
      <c r="F474" s="1">
        <v>4.0</v>
      </c>
    </row>
    <row r="475" ht="15.75" customHeight="1">
      <c r="A475" s="1" t="s">
        <v>54</v>
      </c>
      <c r="B475" s="1" t="s">
        <v>34</v>
      </c>
      <c r="C475" s="1" t="s">
        <v>11</v>
      </c>
      <c r="D475" s="5">
        <v>45727.0</v>
      </c>
      <c r="E475" s="1">
        <v>2.0</v>
      </c>
      <c r="F475" s="1">
        <v>0.0</v>
      </c>
    </row>
    <row r="476" ht="15.75" customHeight="1">
      <c r="A476" s="1" t="s">
        <v>54</v>
      </c>
      <c r="B476" s="1" t="s">
        <v>97</v>
      </c>
      <c r="C476" s="1" t="s">
        <v>11</v>
      </c>
      <c r="D476" s="5">
        <v>45727.0</v>
      </c>
      <c r="E476" s="1">
        <v>6.0</v>
      </c>
      <c r="F476" s="1">
        <v>0.0</v>
      </c>
    </row>
    <row r="477" ht="15.75" hidden="1" customHeight="1">
      <c r="A477" s="1" t="s">
        <v>64</v>
      </c>
      <c r="B477" s="1" t="s">
        <v>44</v>
      </c>
      <c r="C477" s="1" t="s">
        <v>11</v>
      </c>
      <c r="D477" s="5">
        <v>45727.0</v>
      </c>
    </row>
    <row r="478" ht="15.75" customHeight="1">
      <c r="A478" s="1" t="s">
        <v>64</v>
      </c>
      <c r="B478" s="1" t="s">
        <v>104</v>
      </c>
      <c r="C478" s="1" t="s">
        <v>11</v>
      </c>
      <c r="D478" s="5">
        <v>45727.0</v>
      </c>
      <c r="E478" s="1">
        <v>4.0</v>
      </c>
      <c r="F478" s="1">
        <v>2.0</v>
      </c>
    </row>
    <row r="479" ht="15.75" customHeight="1">
      <c r="A479" s="1" t="s">
        <v>39</v>
      </c>
      <c r="B479" s="1" t="s">
        <v>66</v>
      </c>
      <c r="C479" s="1" t="s">
        <v>11</v>
      </c>
      <c r="D479" s="5">
        <v>45727.0</v>
      </c>
      <c r="E479" s="1">
        <v>2.0</v>
      </c>
      <c r="F479" s="1">
        <v>0.0</v>
      </c>
    </row>
    <row r="480" ht="15.75" hidden="1" customHeight="1">
      <c r="A480" s="1" t="s">
        <v>39</v>
      </c>
      <c r="B480" s="1" t="s">
        <v>44</v>
      </c>
      <c r="C480" s="1" t="s">
        <v>11</v>
      </c>
      <c r="D480" s="5">
        <v>45727.0</v>
      </c>
    </row>
    <row r="481" ht="15.75" customHeight="1">
      <c r="A481" s="1" t="s">
        <v>72</v>
      </c>
      <c r="B481" s="1" t="s">
        <v>34</v>
      </c>
      <c r="C481" s="1" t="s">
        <v>11</v>
      </c>
      <c r="D481" s="5">
        <v>45727.0</v>
      </c>
      <c r="E481" s="1">
        <v>4.0</v>
      </c>
      <c r="F481" s="1">
        <v>0.0</v>
      </c>
    </row>
    <row r="482" ht="15.75" customHeight="1">
      <c r="A482" s="1" t="s">
        <v>72</v>
      </c>
      <c r="B482" s="1" t="s">
        <v>21</v>
      </c>
      <c r="C482" s="1" t="s">
        <v>11</v>
      </c>
      <c r="D482" s="5">
        <v>45727.0</v>
      </c>
      <c r="E482" s="1">
        <v>27.0</v>
      </c>
      <c r="F482" s="1">
        <v>2.0</v>
      </c>
    </row>
    <row r="483" ht="15.75" customHeight="1">
      <c r="A483" s="1" t="s">
        <v>56</v>
      </c>
      <c r="B483" s="1" t="s">
        <v>34</v>
      </c>
      <c r="C483" s="1" t="s">
        <v>11</v>
      </c>
      <c r="D483" s="5">
        <v>45727.0</v>
      </c>
      <c r="E483" s="1">
        <v>18.0</v>
      </c>
      <c r="F483" s="1">
        <v>6.0</v>
      </c>
    </row>
    <row r="484" ht="15.75" customHeight="1">
      <c r="A484" s="1" t="s">
        <v>78</v>
      </c>
      <c r="B484" s="1" t="s">
        <v>10</v>
      </c>
      <c r="C484" s="1" t="s">
        <v>11</v>
      </c>
      <c r="D484" s="5">
        <v>45727.0</v>
      </c>
      <c r="E484" s="1">
        <v>16.0</v>
      </c>
      <c r="F484" s="1">
        <v>14.0</v>
      </c>
    </row>
    <row r="485" ht="15.75" hidden="1" customHeight="1">
      <c r="A485" s="1" t="s">
        <v>81</v>
      </c>
      <c r="B485" s="1" t="s">
        <v>61</v>
      </c>
      <c r="C485" s="1" t="s">
        <v>11</v>
      </c>
      <c r="D485" s="5">
        <v>45727.0</v>
      </c>
    </row>
    <row r="486" ht="15.75" hidden="1" customHeight="1">
      <c r="A486" s="1" t="s">
        <v>81</v>
      </c>
      <c r="B486" s="1" t="s">
        <v>124</v>
      </c>
      <c r="C486" s="1" t="s">
        <v>11</v>
      </c>
      <c r="D486" s="5">
        <v>45727.0</v>
      </c>
    </row>
    <row r="487" ht="15.75" customHeight="1">
      <c r="A487" s="1" t="s">
        <v>81</v>
      </c>
      <c r="B487" s="1" t="s">
        <v>133</v>
      </c>
      <c r="C487" s="1" t="s">
        <v>11</v>
      </c>
      <c r="D487" s="5">
        <v>45727.0</v>
      </c>
      <c r="E487" s="1">
        <v>14.0</v>
      </c>
      <c r="F487" s="1">
        <v>6.0</v>
      </c>
    </row>
    <row r="488" ht="15.75" customHeight="1">
      <c r="A488" s="1" t="s">
        <v>81</v>
      </c>
      <c r="B488" s="1" t="s">
        <v>138</v>
      </c>
      <c r="C488" s="1" t="s">
        <v>11</v>
      </c>
      <c r="D488" s="5">
        <v>45727.0</v>
      </c>
      <c r="E488" s="1">
        <v>2.0</v>
      </c>
      <c r="F488" s="1">
        <v>0.0</v>
      </c>
    </row>
    <row r="489" ht="15.75" hidden="1" customHeight="1">
      <c r="A489" s="1" t="s">
        <v>60</v>
      </c>
      <c r="B489" s="1" t="s">
        <v>61</v>
      </c>
      <c r="C489" s="1" t="s">
        <v>11</v>
      </c>
      <c r="D489" s="5">
        <v>45727.0</v>
      </c>
    </row>
    <row r="490" ht="15.75" hidden="1" customHeight="1">
      <c r="A490" s="1" t="s">
        <v>60</v>
      </c>
      <c r="B490" s="1" t="s">
        <v>44</v>
      </c>
      <c r="C490" s="1" t="s">
        <v>11</v>
      </c>
      <c r="D490" s="5">
        <v>45727.0</v>
      </c>
    </row>
    <row r="491" ht="15.75" hidden="1" customHeight="1">
      <c r="A491" s="1" t="s">
        <v>63</v>
      </c>
      <c r="B491" s="1" t="s">
        <v>44</v>
      </c>
      <c r="C491" s="1" t="s">
        <v>11</v>
      </c>
      <c r="D491" s="5">
        <v>45727.0</v>
      </c>
    </row>
    <row r="492" ht="15.75" hidden="1" customHeight="1">
      <c r="A492" s="1" t="s">
        <v>65</v>
      </c>
      <c r="B492" s="1" t="s">
        <v>34</v>
      </c>
      <c r="C492" s="1" t="s">
        <v>11</v>
      </c>
      <c r="D492" s="5">
        <v>45727.0</v>
      </c>
    </row>
    <row r="493" ht="15.75" hidden="1" customHeight="1">
      <c r="A493" s="1" t="s">
        <v>65</v>
      </c>
      <c r="B493" s="1" t="s">
        <v>99</v>
      </c>
      <c r="C493" s="1" t="s">
        <v>11</v>
      </c>
      <c r="D493" s="5">
        <v>45727.0</v>
      </c>
    </row>
    <row r="494" ht="15.75" customHeight="1">
      <c r="A494" s="1" t="s">
        <v>92</v>
      </c>
      <c r="B494" s="1" t="s">
        <v>10</v>
      </c>
      <c r="C494" s="1" t="s">
        <v>11</v>
      </c>
      <c r="D494" s="5">
        <v>45727.0</v>
      </c>
      <c r="E494" s="1">
        <v>55.0</v>
      </c>
      <c r="F494" s="1">
        <v>17.0</v>
      </c>
    </row>
    <row r="495" ht="15.75" customHeight="1">
      <c r="A495" s="1" t="s">
        <v>73</v>
      </c>
      <c r="B495" s="1" t="s">
        <v>34</v>
      </c>
      <c r="C495" s="1" t="s">
        <v>11</v>
      </c>
      <c r="D495" s="5">
        <v>45727.0</v>
      </c>
      <c r="E495" s="1">
        <v>8.0</v>
      </c>
      <c r="F495" s="1">
        <v>0.0</v>
      </c>
    </row>
    <row r="496" ht="15.75" hidden="1" customHeight="1">
      <c r="A496" s="1" t="s">
        <v>75</v>
      </c>
      <c r="B496" s="1" t="s">
        <v>10</v>
      </c>
      <c r="C496" s="1" t="s">
        <v>11</v>
      </c>
      <c r="D496" s="5">
        <v>45727.0</v>
      </c>
    </row>
    <row r="497" ht="15.75" hidden="1" customHeight="1">
      <c r="A497" s="1" t="s">
        <v>75</v>
      </c>
      <c r="B497" s="1" t="s">
        <v>139</v>
      </c>
      <c r="C497" s="1" t="s">
        <v>11</v>
      </c>
      <c r="D497" s="5">
        <v>45727.0</v>
      </c>
    </row>
    <row r="498" ht="15.75" hidden="1" customHeight="1">
      <c r="A498" s="1" t="s">
        <v>77</v>
      </c>
      <c r="B498" s="1" t="s">
        <v>34</v>
      </c>
      <c r="C498" s="1" t="s">
        <v>11</v>
      </c>
      <c r="D498" s="5">
        <v>45727.0</v>
      </c>
    </row>
    <row r="499" ht="15.75" hidden="1" customHeight="1">
      <c r="A499" s="1" t="s">
        <v>77</v>
      </c>
      <c r="B499" s="1" t="s">
        <v>37</v>
      </c>
      <c r="C499" s="1" t="s">
        <v>11</v>
      </c>
      <c r="D499" s="5">
        <v>45727.0</v>
      </c>
    </row>
    <row r="500" ht="15.75" customHeight="1">
      <c r="A500" s="1" t="s">
        <v>77</v>
      </c>
      <c r="B500" s="1" t="s">
        <v>21</v>
      </c>
      <c r="C500" s="1" t="s">
        <v>11</v>
      </c>
      <c r="D500" s="5">
        <v>45727.0</v>
      </c>
      <c r="E500" s="1">
        <v>4.0</v>
      </c>
      <c r="F500" s="1">
        <v>0.0</v>
      </c>
    </row>
    <row r="501" ht="15.75" hidden="1" customHeight="1">
      <c r="A501" s="1" t="s">
        <v>82</v>
      </c>
      <c r="B501" s="1" t="s">
        <v>118</v>
      </c>
      <c r="C501" s="1" t="s">
        <v>11</v>
      </c>
      <c r="D501" s="5">
        <v>45727.0</v>
      </c>
    </row>
    <row r="502" ht="15.75" hidden="1" customHeight="1">
      <c r="A502" s="1" t="s">
        <v>82</v>
      </c>
      <c r="B502" s="1" t="s">
        <v>25</v>
      </c>
      <c r="C502" s="1" t="s">
        <v>11</v>
      </c>
      <c r="D502" s="5">
        <v>45727.0</v>
      </c>
    </row>
    <row r="503" ht="15.75" customHeight="1">
      <c r="A503" s="1" t="s">
        <v>82</v>
      </c>
      <c r="B503" s="1" t="s">
        <v>140</v>
      </c>
      <c r="C503" s="1" t="s">
        <v>11</v>
      </c>
      <c r="D503" s="5">
        <v>45727.0</v>
      </c>
      <c r="E503" s="1">
        <v>2.0</v>
      </c>
      <c r="F503" s="1">
        <v>0.0</v>
      </c>
    </row>
    <row r="504" ht="15.75" hidden="1" customHeight="1">
      <c r="A504" s="1" t="s">
        <v>82</v>
      </c>
      <c r="B504" s="1" t="s">
        <v>44</v>
      </c>
      <c r="C504" s="1" t="s">
        <v>11</v>
      </c>
      <c r="D504" s="5">
        <v>45727.0</v>
      </c>
    </row>
    <row r="505" ht="15.75" hidden="1" customHeight="1">
      <c r="A505" s="1" t="s">
        <v>90</v>
      </c>
      <c r="B505" s="1" t="s">
        <v>10</v>
      </c>
      <c r="C505" s="1" t="s">
        <v>11</v>
      </c>
      <c r="D505" s="5">
        <v>45727.0</v>
      </c>
    </row>
    <row r="506" ht="15.75" customHeight="1">
      <c r="A506" s="1" t="s">
        <v>90</v>
      </c>
      <c r="B506" s="1" t="s">
        <v>111</v>
      </c>
      <c r="C506" s="1" t="s">
        <v>11</v>
      </c>
      <c r="D506" s="5">
        <v>45727.0</v>
      </c>
      <c r="E506" s="1">
        <v>4.0</v>
      </c>
      <c r="F506" s="1">
        <v>2.0</v>
      </c>
    </row>
    <row r="507" ht="15.75" customHeight="1">
      <c r="A507" s="1" t="s">
        <v>24</v>
      </c>
      <c r="B507" s="1" t="s">
        <v>97</v>
      </c>
      <c r="C507" s="1" t="s">
        <v>11</v>
      </c>
      <c r="D507" s="5">
        <v>45726.0</v>
      </c>
      <c r="E507" s="1">
        <v>40.0</v>
      </c>
      <c r="F507" s="1">
        <v>28.0</v>
      </c>
    </row>
    <row r="508" ht="15.75" hidden="1" customHeight="1">
      <c r="A508" s="1" t="s">
        <v>24</v>
      </c>
      <c r="B508" s="1" t="s">
        <v>104</v>
      </c>
      <c r="C508" s="1" t="s">
        <v>11</v>
      </c>
      <c r="D508" s="5">
        <v>45726.0</v>
      </c>
    </row>
    <row r="509" ht="15.75" hidden="1" customHeight="1">
      <c r="A509" s="1" t="s">
        <v>52</v>
      </c>
      <c r="B509" s="1" t="s">
        <v>10</v>
      </c>
      <c r="C509" s="1" t="s">
        <v>11</v>
      </c>
      <c r="D509" s="5">
        <v>45726.0</v>
      </c>
    </row>
    <row r="510" ht="15.75" hidden="1" customHeight="1">
      <c r="A510" s="1" t="s">
        <v>52</v>
      </c>
      <c r="B510" s="1" t="s">
        <v>61</v>
      </c>
      <c r="C510" s="1" t="s">
        <v>11</v>
      </c>
      <c r="D510" s="5">
        <v>45726.0</v>
      </c>
    </row>
    <row r="511" ht="15.75" customHeight="1">
      <c r="A511" s="1" t="s">
        <v>52</v>
      </c>
      <c r="B511" s="1" t="s">
        <v>97</v>
      </c>
      <c r="C511" s="1" t="s">
        <v>11</v>
      </c>
      <c r="D511" s="5">
        <v>45726.0</v>
      </c>
      <c r="E511" s="1">
        <v>26.0</v>
      </c>
      <c r="F511" s="1">
        <v>24.0</v>
      </c>
    </row>
    <row r="512" ht="15.75" customHeight="1">
      <c r="A512" s="1" t="s">
        <v>52</v>
      </c>
      <c r="B512" s="1" t="s">
        <v>37</v>
      </c>
      <c r="C512" s="1" t="s">
        <v>11</v>
      </c>
      <c r="D512" s="5">
        <v>45726.0</v>
      </c>
      <c r="E512" s="1">
        <v>14.0</v>
      </c>
      <c r="F512" s="1">
        <v>14.0</v>
      </c>
    </row>
    <row r="513" ht="15.75" customHeight="1">
      <c r="A513" s="1" t="s">
        <v>64</v>
      </c>
      <c r="B513" s="1" t="s">
        <v>104</v>
      </c>
      <c r="C513" s="1" t="s">
        <v>11</v>
      </c>
      <c r="D513" s="5">
        <v>45726.0</v>
      </c>
      <c r="E513" s="1">
        <v>4.0</v>
      </c>
      <c r="F513" s="1">
        <v>4.0</v>
      </c>
    </row>
    <row r="514" ht="15.75" customHeight="1">
      <c r="A514" s="1" t="s">
        <v>67</v>
      </c>
      <c r="B514" s="1" t="s">
        <v>10</v>
      </c>
      <c r="C514" s="1" t="s">
        <v>11</v>
      </c>
      <c r="D514" s="5">
        <v>45726.0</v>
      </c>
      <c r="E514" s="1">
        <v>43.0</v>
      </c>
      <c r="F514" s="1">
        <v>35.0</v>
      </c>
    </row>
    <row r="515" ht="15.75" customHeight="1">
      <c r="A515" s="1" t="s">
        <v>67</v>
      </c>
      <c r="B515" s="1" t="s">
        <v>47</v>
      </c>
      <c r="C515" s="1" t="s">
        <v>11</v>
      </c>
      <c r="D515" s="5">
        <v>45726.0</v>
      </c>
      <c r="E515" s="1">
        <v>60.0</v>
      </c>
      <c r="F515" s="1">
        <v>40.0</v>
      </c>
    </row>
    <row r="516" ht="15.75" customHeight="1">
      <c r="A516" s="1" t="s">
        <v>39</v>
      </c>
      <c r="B516" s="1" t="s">
        <v>66</v>
      </c>
      <c r="C516" s="1" t="s">
        <v>11</v>
      </c>
      <c r="D516" s="5">
        <v>45726.0</v>
      </c>
      <c r="E516" s="1">
        <v>11.0</v>
      </c>
      <c r="F516" s="1">
        <v>11.0</v>
      </c>
    </row>
    <row r="517" ht="15.75" hidden="1" customHeight="1">
      <c r="A517" s="1" t="s">
        <v>39</v>
      </c>
      <c r="B517" s="1" t="s">
        <v>44</v>
      </c>
      <c r="C517" s="1" t="s">
        <v>11</v>
      </c>
      <c r="D517" s="5">
        <v>45726.0</v>
      </c>
    </row>
    <row r="518" ht="15.75" customHeight="1">
      <c r="A518" s="1" t="s">
        <v>78</v>
      </c>
      <c r="B518" s="1" t="s">
        <v>10</v>
      </c>
      <c r="C518" s="1" t="s">
        <v>11</v>
      </c>
      <c r="D518" s="5">
        <v>45726.0</v>
      </c>
      <c r="E518" s="1">
        <v>143.0</v>
      </c>
      <c r="F518" s="1">
        <v>94.0</v>
      </c>
    </row>
    <row r="519" ht="15.75" customHeight="1">
      <c r="A519" s="1" t="s">
        <v>81</v>
      </c>
      <c r="B519" s="1" t="s">
        <v>141</v>
      </c>
      <c r="C519" s="1" t="s">
        <v>11</v>
      </c>
      <c r="D519" s="5">
        <v>45726.0</v>
      </c>
      <c r="E519" s="1">
        <v>25.0</v>
      </c>
      <c r="F519" s="1">
        <v>23.0</v>
      </c>
    </row>
    <row r="520" ht="15.75" hidden="1" customHeight="1">
      <c r="A520" s="1" t="s">
        <v>81</v>
      </c>
      <c r="B520" s="1" t="s">
        <v>34</v>
      </c>
      <c r="C520" s="1" t="s">
        <v>11</v>
      </c>
      <c r="D520" s="5">
        <v>45726.0</v>
      </c>
    </row>
    <row r="521" ht="15.75" hidden="1" customHeight="1">
      <c r="A521" s="1" t="s">
        <v>81</v>
      </c>
      <c r="B521" s="1" t="s">
        <v>124</v>
      </c>
      <c r="C521" s="1" t="s">
        <v>11</v>
      </c>
      <c r="D521" s="5">
        <v>45726.0</v>
      </c>
    </row>
    <row r="522" ht="15.75" hidden="1" customHeight="1">
      <c r="A522" s="1" t="s">
        <v>81</v>
      </c>
      <c r="B522" s="1" t="s">
        <v>79</v>
      </c>
      <c r="C522" s="1" t="s">
        <v>11</v>
      </c>
      <c r="D522" s="5">
        <v>45726.0</v>
      </c>
    </row>
    <row r="523" ht="15.75" customHeight="1">
      <c r="A523" s="1" t="s">
        <v>81</v>
      </c>
      <c r="B523" s="1" t="s">
        <v>142</v>
      </c>
      <c r="C523" s="1" t="s">
        <v>11</v>
      </c>
      <c r="D523" s="5">
        <v>45726.0</v>
      </c>
      <c r="E523" s="1">
        <v>12.0</v>
      </c>
      <c r="F523" s="1">
        <v>8.0</v>
      </c>
    </row>
    <row r="524" ht="15.75" customHeight="1">
      <c r="A524" s="1" t="s">
        <v>60</v>
      </c>
      <c r="B524" s="1" t="s">
        <v>61</v>
      </c>
      <c r="C524" s="1" t="s">
        <v>11</v>
      </c>
      <c r="D524" s="5">
        <v>45726.0</v>
      </c>
      <c r="E524" s="1">
        <v>54.0</v>
      </c>
      <c r="F524" s="1">
        <v>32.0</v>
      </c>
    </row>
    <row r="525" ht="15.75" hidden="1" customHeight="1">
      <c r="A525" s="1" t="s">
        <v>60</v>
      </c>
      <c r="B525" s="1" t="s">
        <v>44</v>
      </c>
      <c r="C525" s="1" t="s">
        <v>11</v>
      </c>
      <c r="D525" s="5">
        <v>45726.0</v>
      </c>
    </row>
    <row r="526" ht="15.75" hidden="1" customHeight="1">
      <c r="A526" s="1" t="s">
        <v>86</v>
      </c>
      <c r="B526" s="1" t="s">
        <v>44</v>
      </c>
      <c r="C526" s="1" t="s">
        <v>11</v>
      </c>
      <c r="D526" s="5">
        <v>45726.0</v>
      </c>
    </row>
    <row r="527" ht="15.75" customHeight="1">
      <c r="A527" s="1" t="s">
        <v>95</v>
      </c>
      <c r="B527" s="1" t="s">
        <v>28</v>
      </c>
      <c r="C527" s="1" t="s">
        <v>11</v>
      </c>
      <c r="D527" s="5">
        <v>45726.0</v>
      </c>
      <c r="E527" s="1">
        <v>16.0</v>
      </c>
      <c r="F527" s="1">
        <v>12.0</v>
      </c>
    </row>
    <row r="528" ht="15.75" hidden="1" customHeight="1">
      <c r="A528" s="1" t="s">
        <v>95</v>
      </c>
      <c r="B528" s="1" t="s">
        <v>10</v>
      </c>
      <c r="C528" s="1" t="s">
        <v>11</v>
      </c>
      <c r="D528" s="5">
        <v>45726.0</v>
      </c>
    </row>
    <row r="529" ht="15.75" customHeight="1">
      <c r="A529" s="1" t="s">
        <v>73</v>
      </c>
      <c r="B529" s="1" t="s">
        <v>34</v>
      </c>
      <c r="C529" s="1" t="s">
        <v>11</v>
      </c>
      <c r="D529" s="5">
        <v>45726.0</v>
      </c>
      <c r="E529" s="1">
        <v>16.0</v>
      </c>
      <c r="F529" s="1">
        <v>2.0</v>
      </c>
    </row>
    <row r="530" ht="15.75" hidden="1" customHeight="1">
      <c r="A530" s="1" t="s">
        <v>75</v>
      </c>
      <c r="B530" s="1" t="s">
        <v>10</v>
      </c>
      <c r="C530" s="1" t="s">
        <v>11</v>
      </c>
      <c r="D530" s="5">
        <v>45726.0</v>
      </c>
    </row>
    <row r="531" ht="15.75" hidden="1" customHeight="1">
      <c r="A531" s="1" t="s">
        <v>75</v>
      </c>
      <c r="B531" s="1" t="s">
        <v>139</v>
      </c>
      <c r="C531" s="1" t="s">
        <v>11</v>
      </c>
      <c r="D531" s="5">
        <v>45726.0</v>
      </c>
    </row>
    <row r="532" ht="15.75" hidden="1" customHeight="1">
      <c r="A532" s="1" t="s">
        <v>77</v>
      </c>
      <c r="B532" s="1" t="s">
        <v>34</v>
      </c>
      <c r="C532" s="1" t="s">
        <v>11</v>
      </c>
      <c r="D532" s="5">
        <v>45726.0</v>
      </c>
    </row>
    <row r="533" ht="15.75" customHeight="1">
      <c r="A533" s="1" t="s">
        <v>77</v>
      </c>
      <c r="B533" s="1" t="s">
        <v>21</v>
      </c>
      <c r="C533" s="1" t="s">
        <v>11</v>
      </c>
      <c r="D533" s="5">
        <v>45726.0</v>
      </c>
      <c r="E533" s="1">
        <v>8.0</v>
      </c>
      <c r="F533" s="1">
        <v>2.0</v>
      </c>
    </row>
    <row r="534" ht="15.75" customHeight="1">
      <c r="A534" s="1" t="s">
        <v>82</v>
      </c>
      <c r="B534" s="1" t="s">
        <v>25</v>
      </c>
      <c r="C534" s="1" t="s">
        <v>11</v>
      </c>
      <c r="D534" s="5">
        <v>45726.0</v>
      </c>
      <c r="E534" s="1">
        <v>4.0</v>
      </c>
      <c r="F534" s="1">
        <v>2.0</v>
      </c>
    </row>
    <row r="535" ht="15.75" hidden="1" customHeight="1">
      <c r="A535" s="1" t="s">
        <v>82</v>
      </c>
      <c r="B535" s="1" t="s">
        <v>129</v>
      </c>
      <c r="C535" s="1" t="s">
        <v>11</v>
      </c>
      <c r="D535" s="5">
        <v>45726.0</v>
      </c>
    </row>
    <row r="536" ht="15.75" hidden="1" customHeight="1">
      <c r="A536" s="1" t="s">
        <v>82</v>
      </c>
      <c r="B536" s="1" t="s">
        <v>44</v>
      </c>
      <c r="C536" s="1" t="s">
        <v>11</v>
      </c>
      <c r="D536" s="5">
        <v>45726.0</v>
      </c>
    </row>
    <row r="537" ht="15.75" hidden="1" customHeight="1">
      <c r="A537" s="1" t="s">
        <v>82</v>
      </c>
      <c r="B537" s="1" t="s">
        <v>84</v>
      </c>
      <c r="C537" s="1" t="s">
        <v>11</v>
      </c>
      <c r="D537" s="5">
        <v>45726.0</v>
      </c>
    </row>
    <row r="538" ht="15.75" hidden="1" customHeight="1">
      <c r="A538" s="1" t="s">
        <v>82</v>
      </c>
      <c r="B538" s="1" t="s">
        <v>103</v>
      </c>
      <c r="C538" s="1" t="s">
        <v>11</v>
      </c>
      <c r="D538" s="5">
        <v>45726.0</v>
      </c>
    </row>
    <row r="539" ht="15.75" customHeight="1">
      <c r="A539" s="1" t="s">
        <v>82</v>
      </c>
      <c r="B539" s="1" t="s">
        <v>120</v>
      </c>
      <c r="C539" s="1" t="s">
        <v>11</v>
      </c>
      <c r="D539" s="5">
        <v>45726.0</v>
      </c>
      <c r="E539" s="1">
        <v>1.0</v>
      </c>
      <c r="F539" s="1">
        <v>0.0</v>
      </c>
    </row>
    <row r="540" ht="15.75" hidden="1" customHeight="1">
      <c r="A540" s="1" t="s">
        <v>82</v>
      </c>
      <c r="B540" s="1" t="s">
        <v>143</v>
      </c>
      <c r="C540" s="1" t="s">
        <v>11</v>
      </c>
      <c r="D540" s="5">
        <v>45726.0</v>
      </c>
    </row>
    <row r="541" ht="15.75" hidden="1" customHeight="1">
      <c r="A541" s="1" t="s">
        <v>82</v>
      </c>
      <c r="B541" s="1" t="s">
        <v>104</v>
      </c>
      <c r="C541" s="1" t="s">
        <v>11</v>
      </c>
      <c r="D541" s="5">
        <v>45726.0</v>
      </c>
    </row>
    <row r="542" ht="15.75" hidden="1" customHeight="1">
      <c r="A542" s="1" t="s">
        <v>82</v>
      </c>
      <c r="B542" s="1" t="s">
        <v>142</v>
      </c>
      <c r="C542" s="1" t="s">
        <v>11</v>
      </c>
      <c r="D542" s="5">
        <v>45726.0</v>
      </c>
    </row>
    <row r="543" ht="15.75" customHeight="1">
      <c r="A543" s="1" t="s">
        <v>90</v>
      </c>
      <c r="B543" s="1" t="s">
        <v>28</v>
      </c>
      <c r="C543" s="1" t="s">
        <v>11</v>
      </c>
      <c r="D543" s="5">
        <v>45726.0</v>
      </c>
      <c r="E543" s="1">
        <v>26.0</v>
      </c>
      <c r="F543" s="1">
        <v>22.0</v>
      </c>
    </row>
    <row r="544" ht="15.75" hidden="1" customHeight="1">
      <c r="A544" s="1" t="s">
        <v>90</v>
      </c>
      <c r="B544" s="1" t="s">
        <v>10</v>
      </c>
      <c r="C544" s="1" t="s">
        <v>11</v>
      </c>
      <c r="D544" s="5">
        <v>45726.0</v>
      </c>
    </row>
    <row r="545" ht="15.75" customHeight="1">
      <c r="A545" s="1" t="s">
        <v>109</v>
      </c>
      <c r="B545" s="1" t="s">
        <v>61</v>
      </c>
      <c r="C545" s="1" t="s">
        <v>11</v>
      </c>
      <c r="D545" s="5">
        <v>45726.0</v>
      </c>
      <c r="E545" s="1">
        <v>18.0</v>
      </c>
      <c r="F545" s="1">
        <v>4.0</v>
      </c>
    </row>
    <row r="546" ht="15.75" hidden="1" customHeight="1">
      <c r="A546" s="1" t="s">
        <v>109</v>
      </c>
      <c r="B546" s="1" t="s">
        <v>34</v>
      </c>
      <c r="C546" s="1" t="s">
        <v>11</v>
      </c>
      <c r="D546" s="5">
        <v>45726.0</v>
      </c>
    </row>
    <row r="547" ht="15.75" customHeight="1">
      <c r="A547" s="1"/>
      <c r="B547" s="1"/>
      <c r="C547" s="1"/>
      <c r="D547" s="5"/>
    </row>
    <row r="548" ht="15.75" customHeight="1">
      <c r="A548" s="1"/>
      <c r="B548" s="1"/>
      <c r="C548" s="1"/>
      <c r="D548" s="5"/>
    </row>
    <row r="549" ht="15.75" customHeight="1">
      <c r="A549" s="1"/>
      <c r="B549" s="1"/>
      <c r="C549" s="1"/>
      <c r="D549" s="5"/>
    </row>
    <row r="550" ht="15.75" customHeight="1">
      <c r="A550" s="1"/>
      <c r="B550" s="1"/>
      <c r="C550" s="1"/>
      <c r="D550" s="5"/>
    </row>
    <row r="551" ht="15.75" customHeight="1">
      <c r="A551" s="1"/>
      <c r="B551" s="1"/>
      <c r="C551" s="1"/>
      <c r="D551" s="5"/>
    </row>
    <row r="552" ht="15.75" customHeight="1">
      <c r="A552" s="1"/>
      <c r="B552" s="1"/>
      <c r="C552" s="1"/>
      <c r="D552" s="5"/>
    </row>
    <row r="553" ht="15.75" customHeight="1">
      <c r="A553" s="1"/>
      <c r="B553" s="1"/>
      <c r="C553" s="1"/>
      <c r="D553" s="5"/>
    </row>
    <row r="554" ht="15.75" customHeight="1">
      <c r="A554" s="1"/>
      <c r="B554" s="1"/>
      <c r="C554" s="1"/>
      <c r="D554" s="5"/>
    </row>
    <row r="555" ht="15.75" customHeight="1">
      <c r="A555" s="1"/>
      <c r="B555" s="1"/>
      <c r="C555" s="1"/>
      <c r="D555" s="5"/>
    </row>
    <row r="556" ht="15.75" customHeight="1">
      <c r="A556" s="1"/>
      <c r="B556" s="1"/>
      <c r="C556" s="1"/>
      <c r="D556" s="5"/>
    </row>
    <row r="557" ht="15.75" customHeight="1">
      <c r="A557" s="1"/>
      <c r="B557" s="1"/>
      <c r="C557" s="1"/>
      <c r="D557" s="5"/>
    </row>
    <row r="558" ht="15.75" customHeight="1">
      <c r="A558" s="1"/>
      <c r="B558" s="1"/>
      <c r="C558" s="1"/>
      <c r="D558" s="5"/>
    </row>
    <row r="559" ht="15.75" customHeight="1">
      <c r="A559" s="1"/>
      <c r="B559" s="1"/>
      <c r="C559" s="1"/>
      <c r="D559" s="5"/>
    </row>
    <row r="560" ht="15.75" customHeight="1">
      <c r="A560" s="1"/>
      <c r="B560" s="1"/>
      <c r="C560" s="1"/>
      <c r="D560" s="5"/>
    </row>
    <row r="561" ht="15.75" customHeight="1">
      <c r="A561" s="1"/>
      <c r="B561" s="1"/>
      <c r="C561" s="1"/>
      <c r="D561" s="5"/>
    </row>
    <row r="562" ht="15.75" customHeight="1">
      <c r="A562" s="1"/>
      <c r="B562" s="1"/>
      <c r="C562" s="1"/>
      <c r="D562" s="5"/>
    </row>
    <row r="563" ht="15.75" customHeight="1">
      <c r="A563" s="1"/>
      <c r="B563" s="1"/>
      <c r="C563" s="1"/>
      <c r="D563" s="5"/>
    </row>
    <row r="564" ht="15.75" customHeight="1">
      <c r="A564" s="1"/>
      <c r="B564" s="1"/>
      <c r="C564" s="1"/>
      <c r="D564" s="5"/>
    </row>
    <row r="565" ht="15.75" customHeight="1">
      <c r="A565" s="1"/>
      <c r="B565" s="1"/>
      <c r="C565" s="1"/>
      <c r="D565" s="5"/>
    </row>
    <row r="566" ht="15.75" customHeight="1">
      <c r="A566" s="1"/>
      <c r="B566" s="1"/>
      <c r="C566" s="1"/>
      <c r="D566" s="5"/>
    </row>
    <row r="567" ht="15.75" customHeight="1">
      <c r="A567" s="1"/>
      <c r="B567" s="1"/>
      <c r="C567" s="1"/>
      <c r="D567" s="5"/>
    </row>
    <row r="568" ht="15.75" customHeight="1">
      <c r="A568" s="1"/>
      <c r="B568" s="1"/>
      <c r="C568" s="1"/>
      <c r="D568" s="5"/>
    </row>
    <row r="569" ht="15.75" customHeight="1">
      <c r="A569" s="1"/>
      <c r="B569" s="1"/>
      <c r="C569" s="1"/>
      <c r="D569" s="5"/>
    </row>
    <row r="570" ht="15.75" customHeight="1">
      <c r="A570" s="1"/>
      <c r="B570" s="1"/>
      <c r="C570" s="1"/>
      <c r="D570" s="5"/>
    </row>
    <row r="571" ht="15.75" customHeight="1">
      <c r="A571" s="1"/>
      <c r="B571" s="1"/>
      <c r="C571" s="1"/>
      <c r="D571" s="5"/>
    </row>
    <row r="572" ht="15.75" customHeight="1">
      <c r="A572" s="1"/>
      <c r="B572" s="1"/>
      <c r="C572" s="1"/>
      <c r="D572" s="5"/>
    </row>
    <row r="573" ht="15.75" customHeight="1">
      <c r="A573" s="1"/>
      <c r="B573" s="1"/>
      <c r="C573" s="1"/>
      <c r="D573" s="5"/>
    </row>
    <row r="574" ht="15.75" customHeight="1">
      <c r="A574" s="1"/>
      <c r="B574" s="1"/>
      <c r="C574" s="1"/>
      <c r="D574" s="5"/>
    </row>
    <row r="575" ht="15.75" customHeight="1">
      <c r="A575" s="1"/>
      <c r="B575" s="1"/>
      <c r="C575" s="1"/>
      <c r="D575" s="5"/>
    </row>
    <row r="576" ht="15.75" customHeight="1">
      <c r="A576" s="1"/>
      <c r="B576" s="1"/>
      <c r="C576" s="1"/>
      <c r="D576" s="5"/>
    </row>
    <row r="577" ht="15.75" customHeight="1">
      <c r="A577" s="1"/>
      <c r="B577" s="1"/>
      <c r="C577" s="1"/>
      <c r="D577" s="5"/>
    </row>
    <row r="578" ht="15.75" customHeight="1">
      <c r="A578" s="1"/>
      <c r="B578" s="1"/>
      <c r="C578" s="1"/>
      <c r="D578" s="5"/>
    </row>
    <row r="579" ht="15.75" customHeight="1">
      <c r="A579" s="1"/>
      <c r="B579" s="1"/>
      <c r="C579" s="1"/>
      <c r="D579" s="5"/>
    </row>
    <row r="580" ht="15.75" customHeight="1">
      <c r="A580" s="1"/>
      <c r="B580" s="1"/>
      <c r="C580" s="1"/>
      <c r="D580" s="5"/>
    </row>
    <row r="581" ht="15.75" customHeight="1">
      <c r="A581" s="1"/>
      <c r="B581" s="1"/>
      <c r="C581" s="1"/>
      <c r="D581" s="5"/>
    </row>
    <row r="582" ht="15.75" customHeight="1">
      <c r="A582" s="1"/>
      <c r="B582" s="1"/>
      <c r="C582" s="1"/>
      <c r="D582" s="5"/>
    </row>
    <row r="583" ht="15.75" customHeight="1">
      <c r="A583" s="1"/>
      <c r="B583" s="1"/>
      <c r="C583" s="1"/>
      <c r="D583" s="5"/>
    </row>
    <row r="584" ht="15.75" customHeight="1">
      <c r="A584" s="1"/>
      <c r="B584" s="1"/>
      <c r="C584" s="1"/>
      <c r="D584" s="5"/>
    </row>
    <row r="585" ht="15.75" customHeight="1">
      <c r="A585" s="1"/>
      <c r="B585" s="1"/>
      <c r="C585" s="1"/>
      <c r="D585" s="5"/>
    </row>
    <row r="586" ht="15.75" customHeight="1">
      <c r="A586" s="1"/>
      <c r="B586" s="1"/>
      <c r="C586" s="1"/>
      <c r="D586" s="5"/>
    </row>
    <row r="587" ht="15.75" customHeight="1">
      <c r="A587" s="1"/>
      <c r="B587" s="1"/>
      <c r="C587" s="1"/>
      <c r="D587" s="5"/>
    </row>
    <row r="588" ht="15.75" customHeight="1">
      <c r="A588" s="1"/>
      <c r="B588" s="1"/>
      <c r="C588" s="1"/>
      <c r="D588" s="5"/>
    </row>
    <row r="589" ht="15.75" customHeight="1">
      <c r="A589" s="1"/>
      <c r="B589" s="1"/>
      <c r="C589" s="1"/>
      <c r="D589" s="5"/>
    </row>
    <row r="590" ht="15.75" customHeight="1">
      <c r="A590" s="1"/>
      <c r="B590" s="1"/>
      <c r="C590" s="1"/>
      <c r="D590" s="5"/>
    </row>
    <row r="591" ht="15.75" customHeight="1">
      <c r="A591" s="1"/>
      <c r="B591" s="1"/>
      <c r="C591" s="1"/>
      <c r="D591" s="5"/>
    </row>
    <row r="592" ht="15.75" customHeight="1">
      <c r="A592" s="1"/>
      <c r="B592" s="1"/>
      <c r="C592" s="1"/>
      <c r="D592" s="5"/>
    </row>
    <row r="593" ht="15.75" customHeight="1">
      <c r="A593" s="1"/>
      <c r="B593" s="1"/>
      <c r="C593" s="1"/>
      <c r="D593" s="5"/>
    </row>
    <row r="594" ht="15.75" customHeight="1">
      <c r="A594" s="1"/>
      <c r="B594" s="1"/>
      <c r="C594" s="1"/>
      <c r="D594" s="5"/>
    </row>
    <row r="595" ht="15.75" customHeight="1">
      <c r="A595" s="1"/>
      <c r="B595" s="1"/>
      <c r="C595" s="1"/>
      <c r="D595" s="5"/>
    </row>
    <row r="596" ht="15.75" customHeight="1">
      <c r="A596" s="1"/>
      <c r="B596" s="1"/>
      <c r="C596" s="1"/>
      <c r="D596" s="5"/>
    </row>
    <row r="597" ht="15.75" customHeight="1">
      <c r="A597" s="1"/>
      <c r="B597" s="1"/>
      <c r="C597" s="1"/>
      <c r="D597" s="5"/>
    </row>
    <row r="598" ht="15.75" customHeight="1">
      <c r="A598" s="1"/>
      <c r="B598" s="1"/>
      <c r="C598" s="1"/>
      <c r="D598" s="5"/>
    </row>
    <row r="599" ht="15.75" customHeight="1">
      <c r="A599" s="1"/>
      <c r="B599" s="1"/>
      <c r="C599" s="1"/>
      <c r="D599" s="5"/>
    </row>
    <row r="600" ht="15.75" customHeight="1">
      <c r="A600" s="1"/>
      <c r="B600" s="1"/>
      <c r="C600" s="1"/>
      <c r="D600" s="5"/>
    </row>
    <row r="601" ht="15.75" customHeight="1">
      <c r="A601" s="1"/>
      <c r="B601" s="1"/>
      <c r="C601" s="1"/>
      <c r="D601" s="5"/>
    </row>
    <row r="602" ht="15.75" customHeight="1">
      <c r="A602" s="1"/>
      <c r="B602" s="1"/>
      <c r="C602" s="1"/>
      <c r="D602" s="5"/>
    </row>
    <row r="603" ht="15.75" customHeight="1">
      <c r="A603" s="1"/>
      <c r="B603" s="1"/>
      <c r="C603" s="1"/>
      <c r="D603" s="5"/>
    </row>
    <row r="604" ht="15.75" customHeight="1">
      <c r="A604" s="1"/>
      <c r="B604" s="1"/>
      <c r="C604" s="1"/>
      <c r="D604" s="5"/>
    </row>
    <row r="605" ht="15.75" customHeight="1">
      <c r="A605" s="1"/>
      <c r="B605" s="1"/>
      <c r="C605" s="1"/>
      <c r="D605" s="5"/>
    </row>
    <row r="606" ht="15.75" customHeight="1">
      <c r="A606" s="1"/>
      <c r="B606" s="1"/>
      <c r="C606" s="1"/>
      <c r="D606" s="5"/>
    </row>
    <row r="607" ht="15.75" customHeight="1">
      <c r="A607" s="1"/>
      <c r="B607" s="1"/>
      <c r="C607" s="1"/>
      <c r="D607" s="5"/>
    </row>
    <row r="608" ht="15.75" customHeight="1">
      <c r="A608" s="1"/>
      <c r="B608" s="1"/>
      <c r="C608" s="1"/>
      <c r="D608" s="5"/>
    </row>
    <row r="609" ht="15.75" customHeight="1">
      <c r="A609" s="1"/>
      <c r="B609" s="1"/>
      <c r="C609" s="1"/>
      <c r="D609" s="5"/>
    </row>
    <row r="610" ht="15.75" customHeight="1">
      <c r="A610" s="1"/>
      <c r="B610" s="1"/>
      <c r="C610" s="1"/>
      <c r="D610" s="5"/>
    </row>
    <row r="611" ht="15.75" customHeight="1">
      <c r="A611" s="1"/>
      <c r="B611" s="1"/>
      <c r="C611" s="1"/>
      <c r="D611" s="5"/>
    </row>
    <row r="612" ht="15.75" customHeight="1">
      <c r="A612" s="1"/>
      <c r="B612" s="1"/>
      <c r="C612" s="1"/>
      <c r="D612" s="5"/>
    </row>
    <row r="613" ht="15.75" customHeight="1">
      <c r="A613" s="1"/>
      <c r="B613" s="1"/>
      <c r="C613" s="1"/>
      <c r="D613" s="5"/>
    </row>
    <row r="614" ht="15.75" customHeight="1">
      <c r="A614" s="1"/>
      <c r="B614" s="1"/>
      <c r="C614" s="1"/>
      <c r="D614" s="5"/>
    </row>
    <row r="615" ht="15.75" customHeight="1">
      <c r="A615" s="1"/>
      <c r="B615" s="1"/>
      <c r="C615" s="1"/>
      <c r="D615" s="5"/>
    </row>
    <row r="616" ht="15.75" customHeight="1">
      <c r="A616" s="1"/>
      <c r="B616" s="1"/>
      <c r="C616" s="1"/>
      <c r="D616" s="5"/>
    </row>
    <row r="617" ht="15.75" customHeight="1">
      <c r="A617" s="1"/>
      <c r="B617" s="1"/>
      <c r="C617" s="1"/>
      <c r="D617" s="5"/>
    </row>
    <row r="618" ht="15.75" customHeight="1">
      <c r="A618" s="1"/>
      <c r="B618" s="1"/>
      <c r="C618" s="1"/>
      <c r="D618" s="5"/>
    </row>
    <row r="619" ht="15.75" customHeight="1">
      <c r="A619" s="1"/>
      <c r="B619" s="1"/>
      <c r="C619" s="1"/>
      <c r="D619" s="5"/>
    </row>
    <row r="620" ht="15.75" customHeight="1">
      <c r="A620" s="1"/>
      <c r="B620" s="1"/>
      <c r="C620" s="1"/>
      <c r="D620" s="5"/>
    </row>
    <row r="621" ht="15.75" customHeight="1">
      <c r="A621" s="1"/>
      <c r="B621" s="1"/>
      <c r="C621" s="1"/>
      <c r="D621" s="5"/>
    </row>
    <row r="622" ht="15.75" customHeight="1">
      <c r="A622" s="1"/>
      <c r="B622" s="1"/>
      <c r="C622" s="1"/>
      <c r="D622" s="5"/>
    </row>
    <row r="623" ht="15.75" customHeight="1">
      <c r="A623" s="1"/>
      <c r="B623" s="1"/>
      <c r="C623" s="1"/>
      <c r="D623" s="5"/>
    </row>
    <row r="624" ht="15.75" customHeight="1">
      <c r="A624" s="1"/>
      <c r="B624" s="1"/>
      <c r="C624" s="1"/>
      <c r="D624" s="5"/>
    </row>
    <row r="625" ht="15.75" customHeight="1">
      <c r="A625" s="1"/>
      <c r="B625" s="1"/>
      <c r="C625" s="1"/>
      <c r="D625" s="5"/>
    </row>
    <row r="626" ht="15.75" customHeight="1">
      <c r="A626" s="1"/>
      <c r="B626" s="1"/>
      <c r="C626" s="1"/>
      <c r="D626" s="5"/>
    </row>
    <row r="627" ht="15.75" customHeight="1">
      <c r="A627" s="1"/>
      <c r="B627" s="1"/>
      <c r="C627" s="1"/>
      <c r="D627" s="5"/>
    </row>
    <row r="628" ht="15.75" customHeight="1">
      <c r="A628" s="1"/>
      <c r="B628" s="1"/>
      <c r="C628" s="1"/>
      <c r="D628" s="5"/>
    </row>
    <row r="629" ht="15.75" customHeight="1">
      <c r="A629" s="1"/>
      <c r="B629" s="1"/>
      <c r="C629" s="1"/>
      <c r="D629" s="5"/>
    </row>
    <row r="630" ht="15.75" customHeight="1">
      <c r="A630" s="1"/>
      <c r="B630" s="1"/>
      <c r="C630" s="1"/>
      <c r="D630" s="5"/>
    </row>
    <row r="631" ht="15.75" customHeight="1">
      <c r="A631" s="1"/>
      <c r="B631" s="1"/>
      <c r="C631" s="1"/>
      <c r="D631" s="5"/>
    </row>
    <row r="632" ht="15.75" customHeight="1">
      <c r="A632" s="1"/>
      <c r="B632" s="1"/>
      <c r="C632" s="1"/>
      <c r="D632" s="5"/>
    </row>
    <row r="633" ht="15.75" customHeight="1">
      <c r="A633" s="1"/>
      <c r="B633" s="1"/>
      <c r="C633" s="1"/>
      <c r="D633" s="5"/>
    </row>
    <row r="634" ht="15.75" customHeight="1">
      <c r="A634" s="1"/>
      <c r="B634" s="1"/>
      <c r="C634" s="1"/>
      <c r="D634" s="5"/>
    </row>
    <row r="635" ht="15.75" customHeight="1">
      <c r="A635" s="1"/>
      <c r="B635" s="1"/>
      <c r="C635" s="1"/>
      <c r="D635" s="5"/>
    </row>
    <row r="636" ht="15.75" customHeight="1">
      <c r="A636" s="1"/>
      <c r="B636" s="1"/>
      <c r="C636" s="1"/>
      <c r="D636" s="5"/>
    </row>
    <row r="637" ht="15.75" customHeight="1">
      <c r="A637" s="1"/>
      <c r="B637" s="1"/>
      <c r="C637" s="1"/>
      <c r="D637" s="5"/>
    </row>
    <row r="638" ht="15.75" customHeight="1">
      <c r="A638" s="1"/>
      <c r="B638" s="1"/>
      <c r="C638" s="1"/>
      <c r="D638" s="5"/>
    </row>
    <row r="639" ht="15.75" customHeight="1">
      <c r="A639" s="1"/>
      <c r="B639" s="1"/>
      <c r="C639" s="1"/>
      <c r="D639" s="5"/>
    </row>
    <row r="640" ht="15.75" customHeight="1">
      <c r="A640" s="1"/>
      <c r="B640" s="1"/>
      <c r="C640" s="1"/>
      <c r="D640" s="5"/>
    </row>
    <row r="641" ht="15.75" customHeight="1">
      <c r="A641" s="1"/>
      <c r="B641" s="1"/>
      <c r="C641" s="1"/>
      <c r="D641" s="5"/>
    </row>
    <row r="642" ht="15.75" customHeight="1">
      <c r="A642" s="1"/>
      <c r="B642" s="1"/>
      <c r="C642" s="1"/>
      <c r="D642" s="5"/>
    </row>
    <row r="643" ht="15.75" customHeight="1">
      <c r="A643" s="1"/>
      <c r="B643" s="1"/>
      <c r="C643" s="1"/>
      <c r="D643" s="5"/>
    </row>
    <row r="644" ht="15.75" customHeight="1">
      <c r="A644" s="1"/>
      <c r="B644" s="1"/>
      <c r="C644" s="1"/>
      <c r="D644" s="5"/>
    </row>
    <row r="645" ht="15.75" customHeight="1">
      <c r="A645" s="1"/>
      <c r="B645" s="1"/>
      <c r="C645" s="1"/>
      <c r="D645" s="5"/>
    </row>
    <row r="646" ht="15.75" customHeight="1">
      <c r="A646" s="1"/>
      <c r="B646" s="1"/>
      <c r="C646" s="1"/>
      <c r="D646" s="5"/>
    </row>
    <row r="647" ht="15.75" customHeight="1">
      <c r="A647" s="1"/>
      <c r="B647" s="1"/>
      <c r="C647" s="1"/>
      <c r="D647" s="5"/>
    </row>
    <row r="648" ht="15.75" customHeight="1">
      <c r="A648" s="1"/>
      <c r="B648" s="1"/>
      <c r="C648" s="1"/>
      <c r="D648" s="5"/>
    </row>
    <row r="649" ht="15.75" customHeight="1">
      <c r="A649" s="1"/>
      <c r="B649" s="1"/>
      <c r="C649" s="1"/>
      <c r="D649" s="5"/>
    </row>
    <row r="650" ht="15.75" customHeight="1">
      <c r="A650" s="1"/>
      <c r="B650" s="1"/>
      <c r="C650" s="1"/>
      <c r="D650" s="5"/>
    </row>
    <row r="651" ht="15.75" customHeight="1">
      <c r="A651" s="1"/>
      <c r="B651" s="1"/>
      <c r="C651" s="1"/>
      <c r="D651" s="5"/>
    </row>
    <row r="652" ht="15.75" customHeight="1">
      <c r="A652" s="1"/>
      <c r="B652" s="1"/>
      <c r="C652" s="1"/>
      <c r="D652" s="5"/>
    </row>
    <row r="653" ht="15.75" customHeight="1">
      <c r="A653" s="1"/>
      <c r="B653" s="1"/>
      <c r="C653" s="1"/>
      <c r="D653" s="5"/>
    </row>
    <row r="654" ht="15.75" customHeight="1">
      <c r="A654" s="1"/>
      <c r="B654" s="1"/>
      <c r="C654" s="1"/>
      <c r="D654" s="5"/>
    </row>
    <row r="655" ht="15.75" customHeight="1">
      <c r="A655" s="1"/>
      <c r="B655" s="1"/>
      <c r="C655" s="1"/>
      <c r="D655" s="5"/>
    </row>
    <row r="656" ht="15.75" customHeight="1">
      <c r="A656" s="1"/>
      <c r="B656" s="1"/>
      <c r="C656" s="1"/>
      <c r="D656" s="5"/>
    </row>
    <row r="657" ht="15.75" customHeight="1">
      <c r="A657" s="1"/>
      <c r="B657" s="1"/>
      <c r="C657" s="1"/>
      <c r="D657" s="5"/>
    </row>
    <row r="658" ht="15.75" customHeight="1">
      <c r="A658" s="1"/>
      <c r="B658" s="1"/>
      <c r="C658" s="1"/>
      <c r="D658" s="5"/>
    </row>
    <row r="659" ht="15.75" customHeight="1">
      <c r="A659" s="1"/>
      <c r="B659" s="1"/>
      <c r="C659" s="1"/>
      <c r="D659" s="5"/>
    </row>
    <row r="660" ht="15.75" customHeight="1">
      <c r="A660" s="1"/>
      <c r="B660" s="1"/>
      <c r="C660" s="1"/>
      <c r="D660" s="5"/>
    </row>
    <row r="661" ht="15.75" customHeight="1">
      <c r="A661" s="1"/>
      <c r="B661" s="1"/>
      <c r="C661" s="1"/>
      <c r="D661" s="5"/>
    </row>
    <row r="662" ht="15.75" customHeight="1">
      <c r="A662" s="1"/>
      <c r="B662" s="1"/>
      <c r="C662" s="1"/>
      <c r="D662" s="5"/>
    </row>
    <row r="663" ht="15.75" customHeight="1">
      <c r="A663" s="1"/>
      <c r="B663" s="1"/>
      <c r="C663" s="1"/>
      <c r="D663" s="5"/>
    </row>
    <row r="664" ht="15.75" customHeight="1">
      <c r="A664" s="1"/>
      <c r="B664" s="1"/>
      <c r="C664" s="1"/>
      <c r="D664" s="5"/>
    </row>
    <row r="665" ht="15.75" customHeight="1">
      <c r="A665" s="1"/>
      <c r="B665" s="1"/>
      <c r="C665" s="1"/>
      <c r="D665" s="5"/>
    </row>
    <row r="666" ht="15.75" customHeight="1">
      <c r="A666" s="1"/>
      <c r="B666" s="1"/>
      <c r="C666" s="1"/>
      <c r="D666" s="5"/>
    </row>
    <row r="667" ht="15.75" customHeight="1">
      <c r="A667" s="1"/>
      <c r="B667" s="1"/>
      <c r="C667" s="1"/>
      <c r="D667" s="5"/>
    </row>
    <row r="668" ht="15.75" customHeight="1">
      <c r="A668" s="1"/>
      <c r="B668" s="1"/>
      <c r="C668" s="1"/>
      <c r="D668" s="5"/>
    </row>
    <row r="669" ht="15.75" customHeight="1">
      <c r="A669" s="1"/>
      <c r="B669" s="1"/>
      <c r="C669" s="1"/>
      <c r="D669" s="5"/>
    </row>
    <row r="670" ht="15.75" customHeight="1">
      <c r="A670" s="1"/>
      <c r="B670" s="1"/>
      <c r="C670" s="1"/>
      <c r="D670" s="5"/>
    </row>
    <row r="671" ht="15.75" customHeight="1">
      <c r="A671" s="1"/>
      <c r="B671" s="1"/>
      <c r="C671" s="1"/>
      <c r="D671" s="5"/>
    </row>
    <row r="672" ht="15.75" customHeight="1">
      <c r="A672" s="1"/>
      <c r="B672" s="1"/>
      <c r="C672" s="1"/>
      <c r="D672" s="5"/>
    </row>
    <row r="673" ht="15.75" customHeight="1">
      <c r="A673" s="1"/>
      <c r="B673" s="1"/>
      <c r="C673" s="1"/>
      <c r="D673" s="5"/>
    </row>
    <row r="674" ht="15.75" customHeight="1">
      <c r="A674" s="1"/>
      <c r="B674" s="1"/>
      <c r="C674" s="1"/>
      <c r="D674" s="5"/>
    </row>
    <row r="675" ht="15.75" customHeight="1">
      <c r="A675" s="1"/>
      <c r="B675" s="1"/>
      <c r="C675" s="1"/>
      <c r="D675" s="5"/>
    </row>
    <row r="676" ht="15.75" customHeight="1">
      <c r="A676" s="1"/>
      <c r="B676" s="1"/>
      <c r="C676" s="1"/>
      <c r="D676" s="5"/>
    </row>
    <row r="677" ht="15.75" customHeight="1">
      <c r="A677" s="1"/>
      <c r="B677" s="1"/>
      <c r="C677" s="1"/>
      <c r="D677" s="5"/>
    </row>
    <row r="678" ht="15.75" customHeight="1">
      <c r="A678" s="1"/>
      <c r="B678" s="1"/>
      <c r="C678" s="1"/>
      <c r="D678" s="5"/>
    </row>
    <row r="679" ht="15.75" customHeight="1">
      <c r="A679" s="1"/>
      <c r="B679" s="1"/>
      <c r="C679" s="1"/>
      <c r="D679" s="5"/>
    </row>
    <row r="680" ht="15.75" customHeight="1">
      <c r="A680" s="1"/>
      <c r="B680" s="1"/>
      <c r="C680" s="1"/>
      <c r="D680" s="5"/>
    </row>
    <row r="681" ht="15.75" customHeight="1">
      <c r="A681" s="1"/>
      <c r="B681" s="1"/>
      <c r="C681" s="1"/>
      <c r="D681" s="5"/>
    </row>
    <row r="682" ht="15.75" customHeight="1">
      <c r="A682" s="1"/>
      <c r="B682" s="1"/>
      <c r="C682" s="1"/>
      <c r="D682" s="5"/>
    </row>
    <row r="683" ht="15.75" customHeight="1">
      <c r="A683" s="1"/>
      <c r="B683" s="1"/>
      <c r="C683" s="1"/>
      <c r="D683" s="5"/>
    </row>
    <row r="684" ht="15.75" customHeight="1">
      <c r="A684" s="1"/>
      <c r="B684" s="1"/>
      <c r="C684" s="1"/>
      <c r="D684" s="5"/>
    </row>
    <row r="685" ht="15.75" customHeight="1">
      <c r="A685" s="1"/>
      <c r="B685" s="1"/>
      <c r="C685" s="1"/>
      <c r="D685" s="5"/>
    </row>
    <row r="686" ht="15.75" customHeight="1">
      <c r="A686" s="1"/>
      <c r="B686" s="1"/>
      <c r="C686" s="1"/>
      <c r="D686" s="5"/>
    </row>
    <row r="687" ht="15.75" customHeight="1">
      <c r="A687" s="1"/>
      <c r="B687" s="1"/>
      <c r="C687" s="1"/>
      <c r="D687" s="5"/>
    </row>
    <row r="688" ht="15.75" customHeight="1">
      <c r="A688" s="1"/>
      <c r="B688" s="1"/>
      <c r="C688" s="1"/>
      <c r="D688" s="5"/>
    </row>
    <row r="689" ht="15.75" customHeight="1">
      <c r="A689" s="1"/>
      <c r="B689" s="1"/>
      <c r="C689" s="1"/>
      <c r="D689" s="5"/>
    </row>
    <row r="690" ht="15.75" customHeight="1">
      <c r="A690" s="1"/>
      <c r="B690" s="1"/>
      <c r="C690" s="1"/>
      <c r="D690" s="5"/>
    </row>
    <row r="691" ht="15.75" customHeight="1">
      <c r="A691" s="1"/>
      <c r="B691" s="1"/>
      <c r="C691" s="1"/>
      <c r="D691" s="5"/>
    </row>
    <row r="692" ht="15.75" customHeight="1">
      <c r="A692" s="1"/>
      <c r="B692" s="1"/>
      <c r="C692" s="1"/>
      <c r="D692" s="5"/>
    </row>
    <row r="693" ht="15.75" customHeight="1">
      <c r="A693" s="1"/>
      <c r="B693" s="1"/>
      <c r="C693" s="1"/>
      <c r="D693" s="5"/>
    </row>
    <row r="694" ht="15.75" customHeight="1">
      <c r="A694" s="1"/>
      <c r="B694" s="1"/>
      <c r="C694" s="1"/>
      <c r="D694" s="5"/>
    </row>
    <row r="695" ht="15.75" customHeight="1">
      <c r="A695" s="1"/>
      <c r="B695" s="1"/>
      <c r="C695" s="1"/>
      <c r="D695" s="5"/>
    </row>
    <row r="696" ht="15.75" customHeight="1">
      <c r="A696" s="1"/>
      <c r="B696" s="1"/>
      <c r="C696" s="1"/>
      <c r="D696" s="5"/>
    </row>
    <row r="697" ht="15.75" customHeight="1">
      <c r="A697" s="1"/>
      <c r="B697" s="1"/>
      <c r="C697" s="1"/>
      <c r="D697" s="5"/>
    </row>
    <row r="698" ht="15.75" customHeight="1">
      <c r="A698" s="1"/>
      <c r="B698" s="1"/>
      <c r="C698" s="1"/>
      <c r="D698" s="5"/>
    </row>
    <row r="699" ht="15.75" customHeight="1">
      <c r="A699" s="1"/>
      <c r="B699" s="1"/>
      <c r="C699" s="1"/>
      <c r="D699" s="5"/>
    </row>
    <row r="700" ht="15.75" customHeight="1">
      <c r="A700" s="1"/>
      <c r="B700" s="1"/>
      <c r="C700" s="1"/>
      <c r="D700" s="5"/>
    </row>
    <row r="701" ht="15.75" customHeight="1">
      <c r="A701" s="1"/>
      <c r="B701" s="1"/>
      <c r="C701" s="1"/>
      <c r="D701" s="5"/>
    </row>
    <row r="702" ht="15.75" customHeight="1">
      <c r="A702" s="1"/>
      <c r="B702" s="1"/>
      <c r="C702" s="1"/>
      <c r="D702" s="5"/>
    </row>
    <row r="703" ht="15.75" customHeight="1">
      <c r="A703" s="1"/>
      <c r="B703" s="1"/>
      <c r="C703" s="1"/>
      <c r="D703" s="5"/>
    </row>
    <row r="704" ht="15.75" customHeight="1">
      <c r="A704" s="1"/>
      <c r="B704" s="1"/>
      <c r="C704" s="1"/>
      <c r="D704" s="5"/>
    </row>
    <row r="705" ht="15.75" customHeight="1">
      <c r="A705" s="1"/>
      <c r="B705" s="1"/>
      <c r="C705" s="1"/>
      <c r="D705" s="5"/>
    </row>
    <row r="706" ht="15.75" customHeight="1">
      <c r="A706" s="1"/>
      <c r="B706" s="1"/>
      <c r="C706" s="1"/>
      <c r="D706" s="5"/>
    </row>
    <row r="707" ht="15.75" customHeight="1">
      <c r="A707" s="1"/>
      <c r="B707" s="1"/>
      <c r="C707" s="1"/>
      <c r="D707" s="5"/>
    </row>
    <row r="708" ht="15.75" customHeight="1">
      <c r="A708" s="1"/>
      <c r="B708" s="1"/>
      <c r="C708" s="1"/>
      <c r="D708" s="5"/>
    </row>
    <row r="709" ht="15.75" customHeight="1">
      <c r="A709" s="1"/>
      <c r="B709" s="1"/>
      <c r="C709" s="1"/>
      <c r="D709" s="5"/>
    </row>
    <row r="710" ht="15.75" customHeight="1">
      <c r="A710" s="1"/>
      <c r="B710" s="1"/>
      <c r="C710" s="1"/>
      <c r="D710" s="5"/>
    </row>
    <row r="711" ht="15.75" customHeight="1">
      <c r="A711" s="1"/>
      <c r="B711" s="1"/>
      <c r="C711" s="1"/>
      <c r="D711" s="5"/>
    </row>
    <row r="712" ht="15.75" customHeight="1">
      <c r="A712" s="1"/>
      <c r="B712" s="1"/>
      <c r="C712" s="1"/>
      <c r="D712" s="5"/>
    </row>
    <row r="713" ht="15.75" customHeight="1">
      <c r="A713" s="1"/>
      <c r="B713" s="1"/>
      <c r="C713" s="1"/>
      <c r="D713" s="5"/>
    </row>
    <row r="714" ht="15.75" customHeight="1">
      <c r="A714" s="1"/>
      <c r="B714" s="1"/>
      <c r="C714" s="1"/>
      <c r="D714" s="5"/>
    </row>
    <row r="715" ht="15.75" customHeight="1">
      <c r="A715" s="1"/>
      <c r="B715" s="1"/>
      <c r="C715" s="1"/>
      <c r="D715" s="5"/>
    </row>
    <row r="716" ht="15.75" customHeight="1">
      <c r="A716" s="1"/>
      <c r="B716" s="1"/>
      <c r="C716" s="1"/>
      <c r="D716" s="5"/>
    </row>
    <row r="717" ht="15.75" customHeight="1">
      <c r="A717" s="1"/>
      <c r="B717" s="1"/>
      <c r="C717" s="1"/>
      <c r="D717" s="5"/>
    </row>
    <row r="718" ht="15.75" customHeight="1">
      <c r="A718" s="1"/>
      <c r="B718" s="1"/>
      <c r="C718" s="1"/>
      <c r="D718" s="5"/>
    </row>
    <row r="719" ht="15.75" customHeight="1">
      <c r="A719" s="1"/>
      <c r="B719" s="1"/>
      <c r="C719" s="1"/>
      <c r="D719" s="5"/>
    </row>
    <row r="720" ht="15.75" customHeight="1">
      <c r="A720" s="1"/>
      <c r="B720" s="1"/>
      <c r="C720" s="1"/>
      <c r="D720" s="5"/>
    </row>
    <row r="721" ht="15.75" customHeight="1">
      <c r="A721" s="1"/>
      <c r="B721" s="1"/>
      <c r="C721" s="1"/>
      <c r="D721" s="5"/>
    </row>
    <row r="722" ht="15.75" customHeight="1">
      <c r="A722" s="1"/>
      <c r="B722" s="1"/>
      <c r="C722" s="1"/>
      <c r="D722" s="5"/>
    </row>
    <row r="723" ht="15.75" customHeight="1">
      <c r="A723" s="1"/>
      <c r="B723" s="1"/>
      <c r="C723" s="1"/>
      <c r="D723" s="5"/>
    </row>
    <row r="724" ht="15.75" customHeight="1">
      <c r="A724" s="1"/>
      <c r="B724" s="1"/>
      <c r="C724" s="1"/>
      <c r="D724" s="5"/>
    </row>
    <row r="725" ht="15.75" customHeight="1">
      <c r="A725" s="1"/>
      <c r="B725" s="1"/>
      <c r="C725" s="1"/>
      <c r="D725" s="5"/>
    </row>
    <row r="726" ht="15.75" customHeight="1">
      <c r="A726" s="1"/>
      <c r="B726" s="1"/>
      <c r="C726" s="1"/>
      <c r="D726" s="5"/>
    </row>
    <row r="727" ht="15.75" customHeight="1">
      <c r="A727" s="1"/>
      <c r="B727" s="1"/>
      <c r="C727" s="1"/>
      <c r="D727" s="5"/>
    </row>
    <row r="728" ht="15.75" customHeight="1">
      <c r="A728" s="1"/>
      <c r="B728" s="1"/>
      <c r="C728" s="1"/>
      <c r="D728" s="5"/>
    </row>
    <row r="729" ht="15.75" customHeight="1">
      <c r="A729" s="1"/>
      <c r="B729" s="1"/>
      <c r="C729" s="1"/>
      <c r="D729" s="5"/>
    </row>
    <row r="730" ht="15.75" customHeight="1">
      <c r="A730" s="1"/>
      <c r="B730" s="1"/>
      <c r="C730" s="1"/>
      <c r="D730" s="5"/>
    </row>
    <row r="731" ht="15.75" customHeight="1">
      <c r="A731" s="1"/>
      <c r="B731" s="1"/>
      <c r="C731" s="1"/>
      <c r="D731" s="5"/>
    </row>
    <row r="732" ht="15.75" customHeight="1">
      <c r="A732" s="1"/>
      <c r="B732" s="1"/>
      <c r="C732" s="1"/>
      <c r="D732" s="5"/>
    </row>
    <row r="733" ht="15.75" customHeight="1">
      <c r="A733" s="1"/>
      <c r="B733" s="1"/>
      <c r="C733" s="1"/>
      <c r="D733" s="5"/>
    </row>
    <row r="734" ht="15.75" customHeight="1">
      <c r="A734" s="1"/>
      <c r="B734" s="1"/>
      <c r="C734" s="1"/>
      <c r="D734" s="5"/>
    </row>
    <row r="735" ht="15.75" customHeight="1">
      <c r="A735" s="1"/>
      <c r="B735" s="1"/>
      <c r="C735" s="1"/>
      <c r="D735" s="5"/>
    </row>
    <row r="736" ht="15.75" customHeight="1">
      <c r="A736" s="1"/>
      <c r="B736" s="1"/>
      <c r="C736" s="1"/>
      <c r="D736" s="5"/>
    </row>
    <row r="737" ht="15.75" customHeight="1">
      <c r="A737" s="1"/>
      <c r="B737" s="1"/>
      <c r="C737" s="1"/>
      <c r="D737" s="5"/>
    </row>
    <row r="738" ht="15.75" customHeight="1">
      <c r="A738" s="1"/>
      <c r="B738" s="1"/>
      <c r="C738" s="1"/>
      <c r="D738" s="5"/>
    </row>
    <row r="739" ht="15.75" customHeight="1">
      <c r="A739" s="1"/>
      <c r="B739" s="1"/>
      <c r="C739" s="1"/>
      <c r="D739" s="5"/>
    </row>
    <row r="740" ht="15.75" customHeight="1">
      <c r="A740" s="1"/>
      <c r="B740" s="1"/>
      <c r="C740" s="1"/>
      <c r="D740" s="5"/>
    </row>
    <row r="741" ht="15.75" customHeight="1">
      <c r="A741" s="1"/>
      <c r="B741" s="1"/>
      <c r="C741" s="1"/>
      <c r="D741" s="5"/>
    </row>
    <row r="742" ht="15.75" customHeight="1">
      <c r="A742" s="1"/>
      <c r="B742" s="1"/>
      <c r="C742" s="1"/>
      <c r="D742" s="5"/>
    </row>
    <row r="743" ht="15.75" customHeight="1">
      <c r="A743" s="1"/>
      <c r="B743" s="1"/>
      <c r="C743" s="1"/>
      <c r="D743" s="5"/>
    </row>
    <row r="744" ht="15.75" customHeight="1">
      <c r="A744" s="1"/>
      <c r="B744" s="1"/>
      <c r="C744" s="1"/>
      <c r="D744" s="5"/>
    </row>
    <row r="745" ht="15.75" customHeight="1">
      <c r="A745" s="1"/>
      <c r="B745" s="1"/>
      <c r="C745" s="1"/>
      <c r="D745" s="5"/>
    </row>
    <row r="746" ht="15.75" customHeight="1">
      <c r="A746" s="1"/>
      <c r="B746" s="1"/>
      <c r="C746" s="1"/>
      <c r="D746" s="5"/>
    </row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546">
    <filterColumn colId="4">
      <filters>
        <filter val="44"/>
        <filter val="48"/>
        <filter val="49"/>
        <filter val="10"/>
        <filter val="54"/>
        <filter val="11"/>
        <filter val="55"/>
        <filter val="12"/>
        <filter val="13"/>
        <filter val="57"/>
        <filter val="14"/>
        <filter val="15"/>
        <filter val="16"/>
        <filter val="17"/>
        <filter val="18"/>
        <filter val="19"/>
        <filter val="1"/>
        <filter val="2"/>
        <filter val="3"/>
        <filter val="4"/>
        <filter val="5"/>
        <filter val="6"/>
        <filter val="7"/>
        <filter val="8"/>
        <filter val="9"/>
        <filter val="60"/>
        <filter val="20"/>
        <filter val="21"/>
        <filter val="65"/>
        <filter val="22"/>
        <filter val="23"/>
        <filter val="24"/>
        <filter val="25"/>
        <filter val="69"/>
        <filter val="26"/>
        <filter val="27"/>
        <filter val="28"/>
        <filter val="29"/>
        <filter val="73"/>
        <filter val="30"/>
        <filter val="31"/>
        <filter val="32"/>
        <filter val="33"/>
        <filter val="34"/>
        <filter val="36"/>
        <filter val="38"/>
        <filter val="143"/>
        <filter val="84"/>
        <filter val="40"/>
        <filter val="41"/>
        <filter val="42"/>
        <filter val="43"/>
      </filters>
    </filterColumn>
  </autoFilter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6.88"/>
    <col customWidth="1" min="2" max="2" width="12.63"/>
    <col customWidth="1" min="3" max="3" width="17.0"/>
    <col customWidth="1" min="4" max="4" width="15.5"/>
    <col customWidth="1" min="5" max="6" width="12.63"/>
  </cols>
  <sheetData>
    <row r="1" ht="15.75" customHeight="1">
      <c r="A1" s="14" t="str">
        <f>IFERROR(__xludf.DUMMYFUNCTION("importrange(""https://docs.google.com/spreadsheets/d/1wBLO22hSTrKfDDXCrHIEZ1WCYIgyc-J2krKizrpx500/edit?gid=0#gid=0"",""Master!P:Q"")"),"Full Name")</f>
        <v>Full Name</v>
      </c>
      <c r="B1" s="14" t="str">
        <f>IFERROR(__xludf.DUMMYFUNCTION("""COMPUTED_VALUE"""),"Level")</f>
        <v>Level</v>
      </c>
      <c r="C1" s="15" t="s">
        <v>144</v>
      </c>
      <c r="D1" s="15" t="s">
        <v>145</v>
      </c>
    </row>
    <row r="2" ht="15.75" customHeight="1">
      <c r="A2" s="1" t="str">
        <f>IFERROR(__xludf.DUMMYFUNCTION("""COMPUTED_VALUE"""),"Atlas Kloiber")</f>
        <v>Atlas Kloiber</v>
      </c>
      <c r="B2" s="1" t="str">
        <f>IFERROR(__xludf.DUMMYFUNCTION("""COMPUTED_VALUE"""),"L2")</f>
        <v>L2</v>
      </c>
      <c r="C2" s="1" t="str">
        <f t="shared" ref="C2:C1399" si="1">IF(D2&gt;0,"Yes","No")</f>
        <v>No</v>
      </c>
      <c r="D2" s="1">
        <v>0.0</v>
      </c>
    </row>
    <row r="3" ht="15.75" customHeight="1">
      <c r="A3" s="1" t="str">
        <f>IFERROR(__xludf.DUMMYFUNCTION("""COMPUTED_VALUE"""),"Scotty Noel")</f>
        <v>Scotty Noel</v>
      </c>
      <c r="B3" s="1" t="str">
        <f>IFERROR(__xludf.DUMMYFUNCTION("""COMPUTED_VALUE"""),"L2")</f>
        <v>L2</v>
      </c>
      <c r="C3" s="1" t="str">
        <f t="shared" si="1"/>
        <v>No</v>
      </c>
      <c r="D3" s="1">
        <v>0.0</v>
      </c>
    </row>
    <row r="4" ht="15.75" customHeight="1">
      <c r="A4" s="1" t="str">
        <f>IFERROR(__xludf.DUMMYFUNCTION("""COMPUTED_VALUE"""),"Gray Duffy")</f>
        <v>Gray Duffy</v>
      </c>
      <c r="B4" s="1" t="str">
        <f>IFERROR(__xludf.DUMMYFUNCTION("""COMPUTED_VALUE"""),"L2")</f>
        <v>L2</v>
      </c>
      <c r="C4" s="1" t="str">
        <f t="shared" si="1"/>
        <v>No</v>
      </c>
      <c r="D4" s="1">
        <v>0.0</v>
      </c>
    </row>
    <row r="5" ht="15.75" customHeight="1">
      <c r="A5" s="1" t="str">
        <f>IFERROR(__xludf.DUMMYFUNCTION("""COMPUTED_VALUE"""),"Knox Martin Wheeler")</f>
        <v>Knox Martin Wheeler</v>
      </c>
      <c r="B5" s="1" t="str">
        <f>IFERROR(__xludf.DUMMYFUNCTION("""COMPUTED_VALUE"""),"L2")</f>
        <v>L2</v>
      </c>
      <c r="C5" s="1" t="str">
        <f t="shared" si="1"/>
        <v>No</v>
      </c>
      <c r="D5" s="1">
        <v>0.0</v>
      </c>
    </row>
    <row r="6" ht="15.75" customHeight="1">
      <c r="A6" s="1" t="str">
        <f>IFERROR(__xludf.DUMMYFUNCTION("""COMPUTED_VALUE"""),"Roman-Parker Davis")</f>
        <v>Roman-Parker Davis</v>
      </c>
      <c r="B6" s="1" t="str">
        <f>IFERROR(__xludf.DUMMYFUNCTION("""COMPUTED_VALUE"""),"L2")</f>
        <v>L2</v>
      </c>
      <c r="C6" s="1" t="str">
        <f t="shared" si="1"/>
        <v>No</v>
      </c>
      <c r="D6" s="1">
        <v>0.0</v>
      </c>
    </row>
    <row r="7" ht="15.75" customHeight="1">
      <c r="A7" s="1" t="str">
        <f>IFERROR(__xludf.DUMMYFUNCTION("""COMPUTED_VALUE"""),"Amelia Catherine Lucas")</f>
        <v>Amelia Catherine Lucas</v>
      </c>
      <c r="B7" s="1" t="str">
        <f>IFERROR(__xludf.DUMMYFUNCTION("""COMPUTED_VALUE"""),"MS")</f>
        <v>MS</v>
      </c>
      <c r="C7" s="1" t="str">
        <f t="shared" si="1"/>
        <v>No</v>
      </c>
      <c r="D7" s="1">
        <v>0.0</v>
      </c>
    </row>
    <row r="8" ht="15.75" customHeight="1">
      <c r="A8" s="1" t="str">
        <f>IFERROR(__xludf.DUMMYFUNCTION("""COMPUTED_VALUE"""),"Joanna Victorian")</f>
        <v>Joanna Victorian</v>
      </c>
      <c r="B8" s="1" t="str">
        <f>IFERROR(__xludf.DUMMYFUNCTION("""COMPUTED_VALUE"""),"L2")</f>
        <v>L2</v>
      </c>
      <c r="C8" s="1" t="str">
        <f t="shared" si="1"/>
        <v>No</v>
      </c>
      <c r="D8" s="1">
        <v>0.0</v>
      </c>
    </row>
    <row r="9" ht="15.75" customHeight="1">
      <c r="A9" s="1" t="str">
        <f>IFERROR(__xludf.DUMMYFUNCTION("""COMPUTED_VALUE"""),"Tatiana Lynn Carrion")</f>
        <v>Tatiana Lynn Carrion</v>
      </c>
      <c r="B9" s="1" t="str">
        <f>IFERROR(__xludf.DUMMYFUNCTION("""COMPUTED_VALUE"""),"MS")</f>
        <v>MS</v>
      </c>
      <c r="C9" s="1" t="str">
        <f t="shared" si="1"/>
        <v>No</v>
      </c>
      <c r="D9" s="1">
        <v>0.0</v>
      </c>
    </row>
    <row r="10" ht="15.75" customHeight="1">
      <c r="A10" s="1" t="str">
        <f>IFERROR(__xludf.DUMMYFUNCTION("""COMPUTED_VALUE"""),"Alannah Brie Carrion")</f>
        <v>Alannah Brie Carrion</v>
      </c>
      <c r="B10" s="1" t="str">
        <f>IFERROR(__xludf.DUMMYFUNCTION("""COMPUTED_VALUE"""),"L2")</f>
        <v>L2</v>
      </c>
      <c r="C10" s="1" t="str">
        <f t="shared" si="1"/>
        <v>No</v>
      </c>
      <c r="D10" s="1">
        <v>0.0</v>
      </c>
    </row>
    <row r="11" ht="15.75" customHeight="1">
      <c r="A11" s="1" t="str">
        <f>IFERROR(__xludf.DUMMYFUNCTION("""COMPUTED_VALUE"""),"Diana Kostov")</f>
        <v>Diana Kostov</v>
      </c>
      <c r="B11" s="1" t="str">
        <f>IFERROR(__xludf.DUMMYFUNCTION("""COMPUTED_VALUE"""),"L2")</f>
        <v>L2</v>
      </c>
      <c r="C11" s="1" t="str">
        <f t="shared" si="1"/>
        <v>No</v>
      </c>
      <c r="D11" s="1">
        <v>0.0</v>
      </c>
    </row>
    <row r="12" ht="15.75" customHeight="1">
      <c r="A12" s="1" t="str">
        <f>IFERROR(__xludf.DUMMYFUNCTION("""COMPUTED_VALUE"""),"Shepherd Rogers Mora")</f>
        <v>Shepherd Rogers Mora</v>
      </c>
      <c r="B12" s="1" t="str">
        <f>IFERROR(__xludf.DUMMYFUNCTION("""COMPUTED_VALUE"""),"L2")</f>
        <v>L2</v>
      </c>
      <c r="C12" s="1" t="str">
        <f t="shared" si="1"/>
        <v>No</v>
      </c>
      <c r="D12" s="1">
        <v>0.0</v>
      </c>
    </row>
    <row r="13" ht="15.75" customHeight="1">
      <c r="A13" s="1" t="str">
        <f>IFERROR(__xludf.DUMMYFUNCTION("""COMPUTED_VALUE"""),"Airi Elliott")</f>
        <v>Airi Elliott</v>
      </c>
      <c r="B13" s="1" t="str">
        <f>IFERROR(__xludf.DUMMYFUNCTION("""COMPUTED_VALUE"""),"L2")</f>
        <v>L2</v>
      </c>
      <c r="C13" s="1" t="str">
        <f t="shared" si="1"/>
        <v>No</v>
      </c>
      <c r="D13" s="1">
        <v>0.0</v>
      </c>
    </row>
    <row r="14" ht="15.75" customHeight="1">
      <c r="A14" s="1" t="str">
        <f>IFERROR(__xludf.DUMMYFUNCTION("""COMPUTED_VALUE"""),"Alexander Wiebeck")</f>
        <v>Alexander Wiebeck</v>
      </c>
      <c r="B14" s="1" t="str">
        <f>IFERROR(__xludf.DUMMYFUNCTION("""COMPUTED_VALUE"""),"L1")</f>
        <v>L1</v>
      </c>
      <c r="C14" s="1" t="str">
        <f t="shared" si="1"/>
        <v>No</v>
      </c>
      <c r="D14" s="1">
        <v>0.0</v>
      </c>
    </row>
    <row r="15" ht="15.75" customHeight="1">
      <c r="A15" s="1" t="str">
        <f>IFERROR(__xludf.DUMMYFUNCTION("""COMPUTED_VALUE"""),"Lenora Lovell")</f>
        <v>Lenora Lovell</v>
      </c>
      <c r="B15" s="1" t="str">
        <f>IFERROR(__xludf.DUMMYFUNCTION("""COMPUTED_VALUE"""),"L2")</f>
        <v>L2</v>
      </c>
      <c r="C15" s="1" t="str">
        <f t="shared" si="1"/>
        <v>No</v>
      </c>
      <c r="D15" s="1">
        <v>0.0</v>
      </c>
    </row>
    <row r="16" ht="15.75" customHeight="1">
      <c r="A16" s="1" t="str">
        <f>IFERROR(__xludf.DUMMYFUNCTION("""COMPUTED_VALUE"""),"Jordan Boyer")</f>
        <v>Jordan Boyer</v>
      </c>
      <c r="B16" s="1" t="str">
        <f>IFERROR(__xludf.DUMMYFUNCTION("""COMPUTED_VALUE"""),"L2")</f>
        <v>L2</v>
      </c>
      <c r="C16" s="1" t="str">
        <f t="shared" si="1"/>
        <v>No</v>
      </c>
      <c r="D16" s="1">
        <v>0.0</v>
      </c>
    </row>
    <row r="17" ht="15.75" customHeight="1">
      <c r="A17" s="1" t="str">
        <f>IFERROR(__xludf.DUMMYFUNCTION("""COMPUTED_VALUE"""),"Alex Boyer")</f>
        <v>Alex Boyer</v>
      </c>
      <c r="B17" s="1" t="str">
        <f>IFERROR(__xludf.DUMMYFUNCTION("""COMPUTED_VALUE"""),"L2")</f>
        <v>L2</v>
      </c>
      <c r="C17" s="1" t="str">
        <f t="shared" si="1"/>
        <v>No</v>
      </c>
      <c r="D17" s="1">
        <v>0.0</v>
      </c>
    </row>
    <row r="18" ht="15.75" customHeight="1">
      <c r="A18" s="1" t="str">
        <f>IFERROR(__xludf.DUMMYFUNCTION("""COMPUTED_VALUE"""),"Kal Goodman")</f>
        <v>Kal Goodman</v>
      </c>
      <c r="B18" s="1" t="str">
        <f>IFERROR(__xludf.DUMMYFUNCTION("""COMPUTED_VALUE"""),"LL")</f>
        <v>LL</v>
      </c>
      <c r="C18" s="1" t="str">
        <f t="shared" si="1"/>
        <v>No</v>
      </c>
      <c r="D18" s="1">
        <v>0.0</v>
      </c>
    </row>
    <row r="19" ht="15.75" customHeight="1">
      <c r="A19" s="1" t="str">
        <f>IFERROR(__xludf.DUMMYFUNCTION("""COMPUTED_VALUE"""),"Quinn Kirby")</f>
        <v>Quinn Kirby</v>
      </c>
      <c r="B19" s="1" t="str">
        <f>IFERROR(__xludf.DUMMYFUNCTION("""COMPUTED_VALUE"""),"L2")</f>
        <v>L2</v>
      </c>
      <c r="C19" s="1" t="str">
        <f t="shared" si="1"/>
        <v>No</v>
      </c>
      <c r="D19" s="1">
        <v>0.0</v>
      </c>
    </row>
    <row r="20" ht="15.75" customHeight="1">
      <c r="A20" s="1" t="str">
        <f>IFERROR(__xludf.DUMMYFUNCTION("""COMPUTED_VALUE"""),"Vera Carver")</f>
        <v>Vera Carver</v>
      </c>
      <c r="B20" s="1" t="str">
        <f>IFERROR(__xludf.DUMMYFUNCTION("""COMPUTED_VALUE"""),"MS")</f>
        <v>MS</v>
      </c>
      <c r="C20" s="1" t="str">
        <f t="shared" si="1"/>
        <v>No</v>
      </c>
      <c r="D20" s="1">
        <v>0.0</v>
      </c>
    </row>
    <row r="21" ht="15.75" customHeight="1">
      <c r="A21" s="1" t="str">
        <f>IFERROR(__xludf.DUMMYFUNCTION("""COMPUTED_VALUE"""),"Alexander Schutt")</f>
        <v>Alexander Schutt</v>
      </c>
      <c r="B21" s="1" t="str">
        <f>IFERROR(__xludf.DUMMYFUNCTION("""COMPUTED_VALUE"""),"L1")</f>
        <v>L1</v>
      </c>
      <c r="C21" s="1" t="str">
        <f t="shared" si="1"/>
        <v>No</v>
      </c>
      <c r="D21" s="1">
        <v>0.0</v>
      </c>
    </row>
    <row r="22" ht="15.75" customHeight="1">
      <c r="A22" s="1" t="str">
        <f>IFERROR(__xludf.DUMMYFUNCTION("""COMPUTED_VALUE"""),"Joy Odunowo")</f>
        <v>Joy Odunowo</v>
      </c>
      <c r="B22" s="1" t="str">
        <f>IFERROR(__xludf.DUMMYFUNCTION("""COMPUTED_VALUE"""),"MS")</f>
        <v>MS</v>
      </c>
      <c r="C22" s="1" t="str">
        <f t="shared" si="1"/>
        <v>No</v>
      </c>
      <c r="D22" s="1">
        <v>0.0</v>
      </c>
    </row>
    <row r="23" ht="15.75" customHeight="1">
      <c r="A23" s="1" t="str">
        <f>IFERROR(__xludf.DUMMYFUNCTION("""COMPUTED_VALUE"""),"Collin Keith")</f>
        <v>Collin Keith</v>
      </c>
      <c r="B23" s="1" t="str">
        <f>IFERROR(__xludf.DUMMYFUNCTION("""COMPUTED_VALUE"""),"L2")</f>
        <v>L2</v>
      </c>
      <c r="C23" s="1" t="str">
        <f t="shared" si="1"/>
        <v>No</v>
      </c>
      <c r="D23" s="1">
        <v>0.0</v>
      </c>
    </row>
    <row r="24" ht="15.75" customHeight="1">
      <c r="A24" s="1" t="str">
        <f>IFERROR(__xludf.DUMMYFUNCTION("""COMPUTED_VALUE"""),"Jameson Keith")</f>
        <v>Jameson Keith</v>
      </c>
      <c r="B24" s="1" t="str">
        <f>IFERROR(__xludf.DUMMYFUNCTION("""COMPUTED_VALUE"""),"L1")</f>
        <v>L1</v>
      </c>
      <c r="C24" s="1" t="str">
        <f t="shared" si="1"/>
        <v>No</v>
      </c>
      <c r="D24" s="1">
        <v>0.0</v>
      </c>
    </row>
    <row r="25" ht="15.75" customHeight="1">
      <c r="A25" s="1" t="str">
        <f>IFERROR(__xludf.DUMMYFUNCTION("""COMPUTED_VALUE"""),"Emma Mercer")</f>
        <v>Emma Mercer</v>
      </c>
      <c r="B25" s="1" t="str">
        <f>IFERROR(__xludf.DUMMYFUNCTION("""COMPUTED_VALUE"""),"L1")</f>
        <v>L1</v>
      </c>
      <c r="C25" s="1" t="str">
        <f t="shared" si="1"/>
        <v>No</v>
      </c>
      <c r="D25" s="1">
        <v>0.0</v>
      </c>
    </row>
    <row r="26" ht="15.75" customHeight="1">
      <c r="A26" s="1" t="str">
        <f>IFERROR(__xludf.DUMMYFUNCTION("""COMPUTED_VALUE"""),"Baltasar Andia")</f>
        <v>Baltasar Andia</v>
      </c>
      <c r="B26" s="1" t="str">
        <f>IFERROR(__xludf.DUMMYFUNCTION("""COMPUTED_VALUE"""),"L2")</f>
        <v>L2</v>
      </c>
      <c r="C26" s="1" t="str">
        <f t="shared" si="1"/>
        <v>No</v>
      </c>
      <c r="D26" s="1">
        <v>0.0</v>
      </c>
    </row>
    <row r="27" ht="15.75" customHeight="1">
      <c r="A27" s="1" t="str">
        <f>IFERROR(__xludf.DUMMYFUNCTION("""COMPUTED_VALUE"""),"Taysen Stoker")</f>
        <v>Taysen Stoker</v>
      </c>
      <c r="B27" s="1" t="str">
        <f>IFERROR(__xludf.DUMMYFUNCTION("""COMPUTED_VALUE"""),"MS")</f>
        <v>MS</v>
      </c>
      <c r="C27" s="1" t="str">
        <f t="shared" si="1"/>
        <v>No</v>
      </c>
      <c r="D27" s="1">
        <v>0.0</v>
      </c>
    </row>
    <row r="28" ht="15.75" customHeight="1">
      <c r="A28" s="1" t="str">
        <f>IFERROR(__xludf.DUMMYFUNCTION("""COMPUTED_VALUE"""),"Sullavan Sutton")</f>
        <v>Sullavan Sutton</v>
      </c>
      <c r="B28" s="1" t="str">
        <f>IFERROR(__xludf.DUMMYFUNCTION("""COMPUTED_VALUE"""),"MS")</f>
        <v>MS</v>
      </c>
      <c r="C28" s="1" t="str">
        <f t="shared" si="1"/>
        <v>No</v>
      </c>
      <c r="D28" s="1">
        <v>0.0</v>
      </c>
    </row>
    <row r="29" ht="15.75" customHeight="1">
      <c r="A29" s="1" t="str">
        <f>IFERROR(__xludf.DUMMYFUNCTION("""COMPUTED_VALUE"""),"Tanner Stoker")</f>
        <v>Tanner Stoker</v>
      </c>
      <c r="B29" s="1" t="str">
        <f>IFERROR(__xludf.DUMMYFUNCTION("""COMPUTED_VALUE"""),"L2")</f>
        <v>L2</v>
      </c>
      <c r="C29" s="1" t="str">
        <f t="shared" si="1"/>
        <v>No</v>
      </c>
      <c r="D29" s="1">
        <v>0.0</v>
      </c>
    </row>
    <row r="30" ht="15.75" customHeight="1">
      <c r="A30" s="1" t="str">
        <f>IFERROR(__xludf.DUMMYFUNCTION("""COMPUTED_VALUE"""),"Sawyer Sutton")</f>
        <v>Sawyer Sutton</v>
      </c>
      <c r="B30" s="1" t="str">
        <f>IFERROR(__xludf.DUMMYFUNCTION("""COMPUTED_VALUE"""),"L2")</f>
        <v>L2</v>
      </c>
      <c r="C30" s="1" t="str">
        <f t="shared" si="1"/>
        <v>No</v>
      </c>
      <c r="D30" s="1">
        <v>0.0</v>
      </c>
    </row>
    <row r="31" ht="15.75" customHeight="1">
      <c r="A31" s="1" t="str">
        <f>IFERROR(__xludf.DUMMYFUNCTION("""COMPUTED_VALUE"""),"Vaughn Stoker")</f>
        <v>Vaughn Stoker</v>
      </c>
      <c r="B31" s="1" t="str">
        <f>IFERROR(__xludf.DUMMYFUNCTION("""COMPUTED_VALUE"""),"L1")</f>
        <v>L1</v>
      </c>
      <c r="C31" s="1" t="str">
        <f t="shared" si="1"/>
        <v>No</v>
      </c>
      <c r="D31" s="1">
        <v>0.0</v>
      </c>
    </row>
    <row r="32" ht="15.75" customHeight="1">
      <c r="A32" s="1" t="str">
        <f>IFERROR(__xludf.DUMMYFUNCTION("""COMPUTED_VALUE"""),"Truett Sutton")</f>
        <v>Truett Sutton</v>
      </c>
      <c r="B32" s="1" t="str">
        <f>IFERROR(__xludf.DUMMYFUNCTION("""COMPUTED_VALUE"""),"L1")</f>
        <v>L1</v>
      </c>
      <c r="C32" s="1" t="str">
        <f t="shared" si="1"/>
        <v>No</v>
      </c>
      <c r="D32" s="1">
        <v>0.0</v>
      </c>
    </row>
    <row r="33" ht="15.75" customHeight="1">
      <c r="A33" s="1" t="str">
        <f>IFERROR(__xludf.DUMMYFUNCTION("""COMPUTED_VALUE"""),"Owen Lombard")</f>
        <v>Owen Lombard</v>
      </c>
      <c r="B33" s="1" t="str">
        <f>IFERROR(__xludf.DUMMYFUNCTION("""COMPUTED_VALUE"""),"L2")</f>
        <v>L2</v>
      </c>
      <c r="C33" s="1" t="str">
        <f t="shared" si="1"/>
        <v>No</v>
      </c>
      <c r="D33" s="1">
        <v>0.0</v>
      </c>
    </row>
    <row r="34" ht="15.75" customHeight="1">
      <c r="A34" s="1" t="str">
        <f>IFERROR(__xludf.DUMMYFUNCTION("""COMPUTED_VALUE"""),"Emma Ibarra")</f>
        <v>Emma Ibarra</v>
      </c>
      <c r="B34" s="1" t="str">
        <f>IFERROR(__xludf.DUMMYFUNCTION("""COMPUTED_VALUE"""),"L1")</f>
        <v>L1</v>
      </c>
      <c r="C34" s="1" t="str">
        <f t="shared" si="1"/>
        <v>No</v>
      </c>
      <c r="D34" s="1">
        <v>0.0</v>
      </c>
    </row>
    <row r="35" ht="15.75" customHeight="1">
      <c r="A35" s="1" t="str">
        <f>IFERROR(__xludf.DUMMYFUNCTION("""COMPUTED_VALUE"""),"Charles Scoma Johnson")</f>
        <v>Charles Scoma Johnson</v>
      </c>
      <c r="B35" s="1" t="str">
        <f>IFERROR(__xludf.DUMMYFUNCTION("""COMPUTED_VALUE"""),"L2")</f>
        <v>L2</v>
      </c>
      <c r="C35" s="1" t="str">
        <f t="shared" si="1"/>
        <v>No</v>
      </c>
      <c r="D35" s="1">
        <v>0.0</v>
      </c>
    </row>
    <row r="36" ht="15.75" customHeight="1">
      <c r="A36" s="1" t="str">
        <f>IFERROR(__xludf.DUMMYFUNCTION("""COMPUTED_VALUE"""),"Remi Dustin")</f>
        <v>Remi Dustin</v>
      </c>
      <c r="B36" s="1" t="str">
        <f>IFERROR(__xludf.DUMMYFUNCTION("""COMPUTED_VALUE"""),"MS")</f>
        <v>MS</v>
      </c>
      <c r="C36" s="1" t="str">
        <f t="shared" si="1"/>
        <v>No</v>
      </c>
      <c r="D36" s="1">
        <v>0.0</v>
      </c>
    </row>
    <row r="37" ht="15.75" customHeight="1">
      <c r="A37" s="1" t="str">
        <f>IFERROR(__xludf.DUMMYFUNCTION("""COMPUTED_VALUE"""),"Reece Dustin")</f>
        <v>Reece Dustin</v>
      </c>
      <c r="B37" s="1" t="str">
        <f>IFERROR(__xludf.DUMMYFUNCTION("""COMPUTED_VALUE"""),"MS")</f>
        <v>MS</v>
      </c>
      <c r="C37" s="1" t="str">
        <f t="shared" si="1"/>
        <v>No</v>
      </c>
      <c r="D37" s="1">
        <v>0.0</v>
      </c>
    </row>
    <row r="38" ht="15.75" customHeight="1">
      <c r="A38" s="1" t="str">
        <f>IFERROR(__xludf.DUMMYFUNCTION("""COMPUTED_VALUE"""),"L K")</f>
        <v>L K</v>
      </c>
      <c r="B38" s="1" t="str">
        <f>IFERROR(__xludf.DUMMYFUNCTION("""COMPUTED_VALUE"""),"MS")</f>
        <v>MS</v>
      </c>
      <c r="C38" s="1" t="str">
        <f t="shared" si="1"/>
        <v>No</v>
      </c>
      <c r="D38" s="1">
        <v>0.0</v>
      </c>
    </row>
    <row r="39" ht="15.75" customHeight="1">
      <c r="A39" s="1" t="str">
        <f>IFERROR(__xludf.DUMMYFUNCTION("""COMPUTED_VALUE"""),"adria fuchs")</f>
        <v>adria fuchs</v>
      </c>
      <c r="B39" s="1" t="str">
        <f>IFERROR(__xludf.DUMMYFUNCTION("""COMPUTED_VALUE"""),"L1")</f>
        <v>L1</v>
      </c>
      <c r="C39" s="1" t="str">
        <f t="shared" si="1"/>
        <v>No</v>
      </c>
      <c r="D39" s="1">
        <v>0.0</v>
      </c>
    </row>
    <row r="40" ht="15.75" customHeight="1">
      <c r="A40" s="1" t="str">
        <f>IFERROR(__xludf.DUMMYFUNCTION("""COMPUTED_VALUE"""),"ari fuchs")</f>
        <v>ari fuchs</v>
      </c>
      <c r="B40" s="1" t="str">
        <f>IFERROR(__xludf.DUMMYFUNCTION("""COMPUTED_VALUE"""),"MS")</f>
        <v>MS</v>
      </c>
      <c r="C40" s="1" t="str">
        <f t="shared" si="1"/>
        <v>No</v>
      </c>
      <c r="D40" s="1">
        <v>0.0</v>
      </c>
    </row>
    <row r="41" ht="15.75" customHeight="1">
      <c r="A41" s="1" t="str">
        <f>IFERROR(__xludf.DUMMYFUNCTION("""COMPUTED_VALUE"""),"Linley Kunz")</f>
        <v>Linley Kunz</v>
      </c>
      <c r="B41" s="1" t="str">
        <f>IFERROR(__xludf.DUMMYFUNCTION("""COMPUTED_VALUE"""),"L2")</f>
        <v>L2</v>
      </c>
      <c r="C41" s="1" t="str">
        <f t="shared" si="1"/>
        <v>No</v>
      </c>
      <c r="D41" s="1">
        <v>0.0</v>
      </c>
    </row>
    <row r="42" ht="15.75" customHeight="1">
      <c r="A42" s="1" t="str">
        <f>IFERROR(__xludf.DUMMYFUNCTION("""COMPUTED_VALUE"""),"Alea Adams")</f>
        <v>Alea Adams</v>
      </c>
      <c r="B42" s="1" t="str">
        <f>IFERROR(__xludf.DUMMYFUNCTION("""COMPUTED_VALUE"""),"L2")</f>
        <v>L2</v>
      </c>
      <c r="C42" s="1" t="str">
        <f t="shared" si="1"/>
        <v>No</v>
      </c>
      <c r="D42" s="1">
        <v>0.0</v>
      </c>
    </row>
    <row r="43" ht="15.75" customHeight="1">
      <c r="A43" s="1" t="str">
        <f>IFERROR(__xludf.DUMMYFUNCTION("""COMPUTED_VALUE"""),"Aubree Adams")</f>
        <v>Aubree Adams</v>
      </c>
      <c r="B43" s="1" t="str">
        <f>IFERROR(__xludf.DUMMYFUNCTION("""COMPUTED_VALUE"""),"MS")</f>
        <v>MS</v>
      </c>
      <c r="C43" s="1" t="str">
        <f t="shared" si="1"/>
        <v>No</v>
      </c>
      <c r="D43" s="1">
        <v>0.0</v>
      </c>
    </row>
    <row r="44" ht="15.75" customHeight="1">
      <c r="A44" s="1" t="str">
        <f>IFERROR(__xludf.DUMMYFUNCTION("""COMPUTED_VALUE"""),"Griffin Roberts")</f>
        <v>Griffin Roberts</v>
      </c>
      <c r="B44" s="1" t="str">
        <f>IFERROR(__xludf.DUMMYFUNCTION("""COMPUTED_VALUE"""),"HS")</f>
        <v>HS</v>
      </c>
      <c r="C44" s="1" t="str">
        <f t="shared" si="1"/>
        <v>No</v>
      </c>
      <c r="D44" s="1">
        <v>0.0</v>
      </c>
    </row>
    <row r="45" ht="15.75" customHeight="1">
      <c r="A45" s="1" t="str">
        <f>IFERROR(__xludf.DUMMYFUNCTION("""COMPUTED_VALUE"""),"Piper Roberts")</f>
        <v>Piper Roberts</v>
      </c>
      <c r="B45" s="1" t="str">
        <f>IFERROR(__xludf.DUMMYFUNCTION("""COMPUTED_VALUE"""),"MS")</f>
        <v>MS</v>
      </c>
      <c r="C45" s="1" t="str">
        <f t="shared" si="1"/>
        <v>No</v>
      </c>
      <c r="D45" s="1">
        <v>0.0</v>
      </c>
    </row>
    <row r="46" ht="15.75" customHeight="1">
      <c r="A46" s="1" t="str">
        <f>IFERROR(__xludf.DUMMYFUNCTION("""COMPUTED_VALUE"""),"Parker Heyd")</f>
        <v>Parker Heyd</v>
      </c>
      <c r="B46" s="1" t="str">
        <f>IFERROR(__xludf.DUMMYFUNCTION("""COMPUTED_VALUE"""),"L2")</f>
        <v>L2</v>
      </c>
      <c r="C46" s="1" t="str">
        <f t="shared" si="1"/>
        <v>No</v>
      </c>
      <c r="D46" s="1">
        <v>0.0</v>
      </c>
    </row>
    <row r="47" ht="15.75" customHeight="1">
      <c r="A47" s="1" t="str">
        <f>IFERROR(__xludf.DUMMYFUNCTION("""COMPUTED_VALUE"""),"Gregory Lukashin")</f>
        <v>Gregory Lukashin</v>
      </c>
      <c r="B47" s="1" t="str">
        <f>IFERROR(__xludf.DUMMYFUNCTION("""COMPUTED_VALUE"""),"MS")</f>
        <v>MS</v>
      </c>
      <c r="C47" s="1" t="str">
        <f t="shared" si="1"/>
        <v>No</v>
      </c>
      <c r="D47" s="1">
        <v>0.0</v>
      </c>
    </row>
    <row r="48" ht="15.75" customHeight="1">
      <c r="A48" s="1" t="str">
        <f>IFERROR(__xludf.DUMMYFUNCTION("""COMPUTED_VALUE"""),"Anna Smith")</f>
        <v>Anna Smith</v>
      </c>
      <c r="B48" s="1" t="str">
        <f>IFERROR(__xludf.DUMMYFUNCTION("""COMPUTED_VALUE"""),"MS")</f>
        <v>MS</v>
      </c>
      <c r="C48" s="1" t="str">
        <f t="shared" si="1"/>
        <v>No</v>
      </c>
      <c r="D48" s="1">
        <v>0.0</v>
      </c>
    </row>
    <row r="49" ht="15.75" customHeight="1">
      <c r="A49" s="1" t="str">
        <f>IFERROR(__xludf.DUMMYFUNCTION("""COMPUTED_VALUE"""),"Claire Smith")</f>
        <v>Claire Smith</v>
      </c>
      <c r="B49" s="1" t="str">
        <f>IFERROR(__xludf.DUMMYFUNCTION("""COMPUTED_VALUE"""),"L1")</f>
        <v>L1</v>
      </c>
      <c r="C49" s="1" t="str">
        <f t="shared" si="1"/>
        <v>No</v>
      </c>
      <c r="D49" s="1">
        <v>0.0</v>
      </c>
    </row>
    <row r="50" ht="15.75" customHeight="1">
      <c r="A50" s="1" t="str">
        <f>IFERROR(__xludf.DUMMYFUNCTION("""COMPUTED_VALUE"""),"Reagan Mickens")</f>
        <v>Reagan Mickens</v>
      </c>
      <c r="B50" s="1" t="str">
        <f>IFERROR(__xludf.DUMMYFUNCTION("""COMPUTED_VALUE"""),"MS")</f>
        <v>MS</v>
      </c>
      <c r="C50" s="1" t="str">
        <f t="shared" si="1"/>
        <v>No</v>
      </c>
      <c r="D50" s="1">
        <v>0.0</v>
      </c>
    </row>
    <row r="51" ht="15.75" customHeight="1">
      <c r="A51" s="1" t="str">
        <f>IFERROR(__xludf.DUMMYFUNCTION("""COMPUTED_VALUE"""),"Kennedy Mickens")</f>
        <v>Kennedy Mickens</v>
      </c>
      <c r="B51" s="1" t="str">
        <f>IFERROR(__xludf.DUMMYFUNCTION("""COMPUTED_VALUE"""),"L2")</f>
        <v>L2</v>
      </c>
      <c r="C51" s="1" t="str">
        <f t="shared" si="1"/>
        <v>No</v>
      </c>
      <c r="D51" s="1">
        <v>0.0</v>
      </c>
    </row>
    <row r="52" ht="15.75" customHeight="1">
      <c r="A52" s="1" t="str">
        <f>IFERROR(__xludf.DUMMYFUNCTION("""COMPUTED_VALUE"""),"Juliette Price")</f>
        <v>Juliette Price</v>
      </c>
      <c r="B52" s="1" t="str">
        <f>IFERROR(__xludf.DUMMYFUNCTION("""COMPUTED_VALUE"""),"MS")</f>
        <v>MS</v>
      </c>
      <c r="C52" s="1" t="str">
        <f t="shared" si="1"/>
        <v>No</v>
      </c>
      <c r="D52" s="1">
        <v>0.0</v>
      </c>
    </row>
    <row r="53" ht="15.75" customHeight="1">
      <c r="A53" s="1" t="str">
        <f>IFERROR(__xludf.DUMMYFUNCTION("""COMPUTED_VALUE"""),"Tanner Lohse")</f>
        <v>Tanner Lohse</v>
      </c>
      <c r="B53" s="1" t="str">
        <f>IFERROR(__xludf.DUMMYFUNCTION("""COMPUTED_VALUE"""),"MS")</f>
        <v>MS</v>
      </c>
      <c r="C53" s="1" t="str">
        <f t="shared" si="1"/>
        <v>No</v>
      </c>
      <c r="D53" s="1">
        <v>0.0</v>
      </c>
    </row>
    <row r="54" ht="15.75" customHeight="1">
      <c r="A54" s="1" t="str">
        <f>IFERROR(__xludf.DUMMYFUNCTION("""COMPUTED_VALUE"""),"Akalya Lohse")</f>
        <v>Akalya Lohse</v>
      </c>
      <c r="B54" s="1" t="str">
        <f>IFERROR(__xludf.DUMMYFUNCTION("""COMPUTED_VALUE"""),"L2")</f>
        <v>L2</v>
      </c>
      <c r="C54" s="1" t="str">
        <f t="shared" si="1"/>
        <v>No</v>
      </c>
      <c r="D54" s="1">
        <v>0.0</v>
      </c>
    </row>
    <row r="55" ht="15.75" customHeight="1">
      <c r="A55" s="1" t="str">
        <f>IFERROR(__xludf.DUMMYFUNCTION("""COMPUTED_VALUE"""),"Makari Lohse")</f>
        <v>Makari Lohse</v>
      </c>
      <c r="B55" s="1" t="str">
        <f>IFERROR(__xludf.DUMMYFUNCTION("""COMPUTED_VALUE"""),"LL")</f>
        <v>LL</v>
      </c>
      <c r="C55" s="1" t="str">
        <f t="shared" si="1"/>
        <v>No</v>
      </c>
      <c r="D55" s="1">
        <v>0.0</v>
      </c>
    </row>
    <row r="56" ht="15.75" customHeight="1">
      <c r="A56" s="1" t="str">
        <f>IFERROR(__xludf.DUMMYFUNCTION("""COMPUTED_VALUE"""),"Connor Cheung")</f>
        <v>Connor Cheung</v>
      </c>
      <c r="B56" s="1" t="str">
        <f>IFERROR(__xludf.DUMMYFUNCTION("""COMPUTED_VALUE"""),"L2")</f>
        <v>L2</v>
      </c>
      <c r="C56" s="1" t="str">
        <f t="shared" si="1"/>
        <v>No</v>
      </c>
      <c r="D56" s="1">
        <v>0.0</v>
      </c>
    </row>
    <row r="57" ht="15.75" customHeight="1">
      <c r="A57" s="1" t="str">
        <f>IFERROR(__xludf.DUMMYFUNCTION("""COMPUTED_VALUE"""),"Maddox Cheung")</f>
        <v>Maddox Cheung</v>
      </c>
      <c r="B57" s="1" t="str">
        <f>IFERROR(__xludf.DUMMYFUNCTION("""COMPUTED_VALUE"""),"L2")</f>
        <v>L2</v>
      </c>
      <c r="C57" s="1" t="str">
        <f t="shared" si="1"/>
        <v>No</v>
      </c>
      <c r="D57" s="1">
        <v>0.0</v>
      </c>
    </row>
    <row r="58" ht="15.75" customHeight="1">
      <c r="A58" s="1" t="str">
        <f>IFERROR(__xludf.DUMMYFUNCTION("""COMPUTED_VALUE"""),"Sophia Schmid")</f>
        <v>Sophia Schmid</v>
      </c>
      <c r="B58" s="1" t="str">
        <f>IFERROR(__xludf.DUMMYFUNCTION("""COMPUTED_VALUE"""),"L1")</f>
        <v>L1</v>
      </c>
      <c r="C58" s="1" t="str">
        <f t="shared" si="1"/>
        <v>No</v>
      </c>
      <c r="D58" s="1">
        <v>0.0</v>
      </c>
    </row>
    <row r="59" ht="15.75" customHeight="1">
      <c r="A59" s="1" t="str">
        <f>IFERROR(__xludf.DUMMYFUNCTION("""COMPUTED_VALUE"""),"Bob Schmid")</f>
        <v>Bob Schmid</v>
      </c>
      <c r="B59" s="1" t="str">
        <f>IFERROR(__xludf.DUMMYFUNCTION("""COMPUTED_VALUE"""),"L1")</f>
        <v>L1</v>
      </c>
      <c r="C59" s="1" t="str">
        <f t="shared" si="1"/>
        <v>No</v>
      </c>
      <c r="D59" s="1">
        <v>0.0</v>
      </c>
    </row>
    <row r="60" ht="15.75" customHeight="1">
      <c r="A60" s="1" t="str">
        <f>IFERROR(__xludf.DUMMYFUNCTION("""COMPUTED_VALUE"""),"Bristol Bates")</f>
        <v>Bristol Bates</v>
      </c>
      <c r="B60" s="1" t="str">
        <f>IFERROR(__xludf.DUMMYFUNCTION("""COMPUTED_VALUE"""),"MS")</f>
        <v>MS</v>
      </c>
      <c r="C60" s="1" t="str">
        <f t="shared" si="1"/>
        <v>No</v>
      </c>
      <c r="D60" s="1">
        <v>0.0</v>
      </c>
    </row>
    <row r="61" ht="15.75" customHeight="1">
      <c r="A61" s="1" t="str">
        <f>IFERROR(__xludf.DUMMYFUNCTION("""COMPUTED_VALUE"""),"Zach B")</f>
        <v>Zach B</v>
      </c>
      <c r="B61" s="1" t="str">
        <f>IFERROR(__xludf.DUMMYFUNCTION("""COMPUTED_VALUE"""),"L1")</f>
        <v>L1</v>
      </c>
      <c r="C61" s="1" t="str">
        <f t="shared" si="1"/>
        <v>No</v>
      </c>
      <c r="D61" s="1">
        <v>0.0</v>
      </c>
    </row>
    <row r="62" ht="15.75" customHeight="1">
      <c r="A62" s="1" t="str">
        <f>IFERROR(__xludf.DUMMYFUNCTION("""COMPUTED_VALUE"""),"Greyson Duncombe")</f>
        <v>Greyson Duncombe</v>
      </c>
      <c r="B62" s="1" t="str">
        <f>IFERROR(__xludf.DUMMYFUNCTION("""COMPUTED_VALUE"""),"L1")</f>
        <v>L1</v>
      </c>
      <c r="C62" s="1" t="str">
        <f t="shared" si="1"/>
        <v>No</v>
      </c>
      <c r="D62" s="1">
        <v>0.0</v>
      </c>
    </row>
    <row r="63" ht="15.75" customHeight="1">
      <c r="A63" s="1" t="str">
        <f>IFERROR(__xludf.DUMMYFUNCTION("""COMPUTED_VALUE"""),"Tucker Duncombe")</f>
        <v>Tucker Duncombe</v>
      </c>
      <c r="B63" s="1" t="str">
        <f>IFERROR(__xludf.DUMMYFUNCTION("""COMPUTED_VALUE"""),"L2")</f>
        <v>L2</v>
      </c>
      <c r="C63" s="1" t="str">
        <f t="shared" si="1"/>
        <v>No</v>
      </c>
      <c r="D63" s="1">
        <v>0.0</v>
      </c>
    </row>
    <row r="64" ht="15.75" customHeight="1">
      <c r="A64" s="1" t="str">
        <f>IFERROR(__xludf.DUMMYFUNCTION("""COMPUTED_VALUE"""),"Manah Jembar Membumi")</f>
        <v>Manah Jembar Membumi</v>
      </c>
      <c r="B64" s="1" t="str">
        <f>IFERROR(__xludf.DUMMYFUNCTION("""COMPUTED_VALUE"""),"L2")</f>
        <v>L2</v>
      </c>
      <c r="C64" s="1" t="str">
        <f t="shared" si="1"/>
        <v>No</v>
      </c>
      <c r="D64" s="1">
        <v>0.0</v>
      </c>
    </row>
    <row r="65" ht="15.75" customHeight="1">
      <c r="A65" s="1" t="str">
        <f>IFERROR(__xludf.DUMMYFUNCTION("""COMPUTED_VALUE"""),"Luke Vine")</f>
        <v>Luke Vine</v>
      </c>
      <c r="B65" s="1" t="str">
        <f>IFERROR(__xludf.DUMMYFUNCTION("""COMPUTED_VALUE"""),"MS")</f>
        <v>MS</v>
      </c>
      <c r="C65" s="1" t="str">
        <f t="shared" si="1"/>
        <v>No</v>
      </c>
      <c r="D65" s="1">
        <v>0.0</v>
      </c>
    </row>
    <row r="66" ht="15.75" customHeight="1">
      <c r="A66" s="1" t="str">
        <f>IFERROR(__xludf.DUMMYFUNCTION("""COMPUTED_VALUE"""),"Prayan Vine")</f>
        <v>Prayan Vine</v>
      </c>
      <c r="B66" s="1" t="str">
        <f>IFERROR(__xludf.DUMMYFUNCTION("""COMPUTED_VALUE"""),"L2")</f>
        <v>L2</v>
      </c>
      <c r="C66" s="1" t="str">
        <f t="shared" si="1"/>
        <v>No</v>
      </c>
      <c r="D66" s="1">
        <v>0.0</v>
      </c>
    </row>
    <row r="67" ht="15.75" customHeight="1">
      <c r="A67" s="1" t="str">
        <f>IFERROR(__xludf.DUMMYFUNCTION("""COMPUTED_VALUE"""),"Aaron Vine")</f>
        <v>Aaron Vine</v>
      </c>
      <c r="B67" s="1" t="str">
        <f>IFERROR(__xludf.DUMMYFUNCTION("""COMPUTED_VALUE"""),"LL")</f>
        <v>LL</v>
      </c>
      <c r="C67" s="1" t="str">
        <f t="shared" si="1"/>
        <v>No</v>
      </c>
      <c r="D67" s="1">
        <v>0.0</v>
      </c>
    </row>
    <row r="68" ht="15.75" customHeight="1">
      <c r="A68" s="1" t="str">
        <f>IFERROR(__xludf.DUMMYFUNCTION("""COMPUTED_VALUE"""),"Daniel Ham")</f>
        <v>Daniel Ham</v>
      </c>
      <c r="B68" s="1" t="str">
        <f>IFERROR(__xludf.DUMMYFUNCTION("""COMPUTED_VALUE"""),"L1")</f>
        <v>L1</v>
      </c>
      <c r="C68" s="1" t="str">
        <f t="shared" si="1"/>
        <v>No</v>
      </c>
      <c r="D68" s="1">
        <v>0.0</v>
      </c>
    </row>
    <row r="69" ht="15.75" customHeight="1">
      <c r="A69" s="1" t="str">
        <f>IFERROR(__xludf.DUMMYFUNCTION("""COMPUTED_VALUE"""),"Danier H")</f>
        <v>Danier H</v>
      </c>
      <c r="B69" s="1" t="str">
        <f>IFERROR(__xludf.DUMMYFUNCTION("""COMPUTED_VALUE"""),"L1")</f>
        <v>L1</v>
      </c>
      <c r="C69" s="1" t="str">
        <f t="shared" si="1"/>
        <v>No</v>
      </c>
      <c r="D69" s="1">
        <v>0.0</v>
      </c>
    </row>
    <row r="70" ht="15.75" customHeight="1">
      <c r="A70" s="1" t="str">
        <f>IFERROR(__xludf.DUMMYFUNCTION("""COMPUTED_VALUE"""),"Sofia Seretny-Mharakurwa")</f>
        <v>Sofia Seretny-Mharakurwa</v>
      </c>
      <c r="B70" s="1" t="str">
        <f>IFERROR(__xludf.DUMMYFUNCTION("""COMPUTED_VALUE"""),"L2")</f>
        <v>L2</v>
      </c>
      <c r="C70" s="1" t="str">
        <f t="shared" si="1"/>
        <v>No</v>
      </c>
      <c r="D70" s="1">
        <v>0.0</v>
      </c>
    </row>
    <row r="71" ht="15.75" customHeight="1">
      <c r="A71" s="1" t="str">
        <f>IFERROR(__xludf.DUMMYFUNCTION("""COMPUTED_VALUE"""),"Grey Grassadonia")</f>
        <v>Grey Grassadonia</v>
      </c>
      <c r="B71" s="1" t="str">
        <f>IFERROR(__xludf.DUMMYFUNCTION("""COMPUTED_VALUE"""),"L1")</f>
        <v>L1</v>
      </c>
      <c r="C71" s="1" t="str">
        <f t="shared" si="1"/>
        <v>No</v>
      </c>
      <c r="D71" s="1">
        <v>0.0</v>
      </c>
    </row>
    <row r="72" ht="15.75" customHeight="1">
      <c r="A72" s="1" t="str">
        <f>IFERROR(__xludf.DUMMYFUNCTION("""COMPUTED_VALUE"""),"Marco Wozniak")</f>
        <v>Marco Wozniak</v>
      </c>
      <c r="B72" s="1" t="str">
        <f>IFERROR(__xludf.DUMMYFUNCTION("""COMPUTED_VALUE"""),"L2")</f>
        <v>L2</v>
      </c>
      <c r="C72" s="1" t="str">
        <f t="shared" si="1"/>
        <v>No</v>
      </c>
      <c r="D72" s="1">
        <v>0.0</v>
      </c>
    </row>
    <row r="73" ht="15.75" customHeight="1">
      <c r="A73" s="1" t="str">
        <f>IFERROR(__xludf.DUMMYFUNCTION("""COMPUTED_VALUE"""),"Rose Tindall")</f>
        <v>Rose Tindall</v>
      </c>
      <c r="B73" s="1" t="str">
        <f>IFERROR(__xludf.DUMMYFUNCTION("""COMPUTED_VALUE"""),"L1")</f>
        <v>L1</v>
      </c>
      <c r="C73" s="1" t="str">
        <f t="shared" si="1"/>
        <v>No</v>
      </c>
      <c r="D73" s="1">
        <v>0.0</v>
      </c>
    </row>
    <row r="74" ht="15.75" customHeight="1">
      <c r="A74" s="1" t="str">
        <f>IFERROR(__xludf.DUMMYFUNCTION("""COMPUTED_VALUE"""),"Kai Wozniak")</f>
        <v>Kai Wozniak</v>
      </c>
      <c r="B74" s="1" t="str">
        <f>IFERROR(__xludf.DUMMYFUNCTION("""COMPUTED_VALUE"""),"L1")</f>
        <v>L1</v>
      </c>
      <c r="C74" s="1" t="str">
        <f t="shared" si="1"/>
        <v>No</v>
      </c>
      <c r="D74" s="1">
        <v>0.0</v>
      </c>
    </row>
    <row r="75" ht="15.75" customHeight="1">
      <c r="A75" s="1" t="str">
        <f>IFERROR(__xludf.DUMMYFUNCTION("""COMPUTED_VALUE"""),"Jack Tindall")</f>
        <v>Jack Tindall</v>
      </c>
      <c r="B75" s="1" t="str">
        <f>IFERROR(__xludf.DUMMYFUNCTION("""COMPUTED_VALUE"""),"L1")</f>
        <v>L1</v>
      </c>
      <c r="C75" s="1" t="str">
        <f t="shared" si="1"/>
        <v>No</v>
      </c>
      <c r="D75" s="1">
        <v>0.0</v>
      </c>
    </row>
    <row r="76" ht="15.75" customHeight="1">
      <c r="A76" s="1" t="str">
        <f>IFERROR(__xludf.DUMMYFUNCTION("""COMPUTED_VALUE"""),"Bobby Tafoya")</f>
        <v>Bobby Tafoya</v>
      </c>
      <c r="B76" s="1" t="str">
        <f>IFERROR(__xludf.DUMMYFUNCTION("""COMPUTED_VALUE"""),"L2")</f>
        <v>L2</v>
      </c>
      <c r="C76" s="1" t="str">
        <f t="shared" si="1"/>
        <v>No</v>
      </c>
      <c r="D76" s="1">
        <v>0.0</v>
      </c>
    </row>
    <row r="77" ht="15.75" customHeight="1">
      <c r="A77" s="1" t="str">
        <f>IFERROR(__xludf.DUMMYFUNCTION("""COMPUTED_VALUE"""),"Christian Sanguinetti")</f>
        <v>Christian Sanguinetti</v>
      </c>
      <c r="B77" s="1" t="str">
        <f>IFERROR(__xludf.DUMMYFUNCTION("""COMPUTED_VALUE"""),"MS")</f>
        <v>MS</v>
      </c>
      <c r="C77" s="1" t="str">
        <f t="shared" si="1"/>
        <v>No</v>
      </c>
      <c r="D77" s="1">
        <v>0.0</v>
      </c>
    </row>
    <row r="78" ht="15.75" customHeight="1">
      <c r="A78" s="1" t="str">
        <f>IFERROR(__xludf.DUMMYFUNCTION("""COMPUTED_VALUE"""),"Mateo Rodriguez")</f>
        <v>Mateo Rodriguez</v>
      </c>
      <c r="B78" s="1" t="str">
        <f>IFERROR(__xludf.DUMMYFUNCTION("""COMPUTED_VALUE"""),"LL")</f>
        <v>LL</v>
      </c>
      <c r="C78" s="1" t="str">
        <f t="shared" si="1"/>
        <v>No</v>
      </c>
      <c r="D78" s="1">
        <v>0.0</v>
      </c>
    </row>
    <row r="79" ht="15.75" customHeight="1">
      <c r="A79" s="1" t="str">
        <f>IFERROR(__xludf.DUMMYFUNCTION("""COMPUTED_VALUE"""),"Toby Vacek")</f>
        <v>Toby Vacek</v>
      </c>
      <c r="B79" s="1" t="str">
        <f>IFERROR(__xludf.DUMMYFUNCTION("""COMPUTED_VALUE"""),"L2")</f>
        <v>L2</v>
      </c>
      <c r="C79" s="1" t="str">
        <f t="shared" si="1"/>
        <v>No</v>
      </c>
      <c r="D79" s="1">
        <v>0.0</v>
      </c>
    </row>
    <row r="80" ht="15.75" customHeight="1">
      <c r="A80" s="1" t="str">
        <f>IFERROR(__xludf.DUMMYFUNCTION("""COMPUTED_VALUE"""),"Desmond Millard")</f>
        <v>Desmond Millard</v>
      </c>
      <c r="B80" s="1" t="str">
        <f>IFERROR(__xludf.DUMMYFUNCTION("""COMPUTED_VALUE"""),"L2")</f>
        <v>L2</v>
      </c>
      <c r="C80" s="1" t="str">
        <f t="shared" si="1"/>
        <v>No</v>
      </c>
      <c r="D80" s="1">
        <v>0.0</v>
      </c>
    </row>
    <row r="81" ht="15.75" customHeight="1">
      <c r="A81" s="1" t="str">
        <f>IFERROR(__xludf.DUMMYFUNCTION("""COMPUTED_VALUE"""),"George Gibbs")</f>
        <v>George Gibbs</v>
      </c>
      <c r="B81" s="1" t="str">
        <f>IFERROR(__xludf.DUMMYFUNCTION("""COMPUTED_VALUE"""),"MS")</f>
        <v>MS</v>
      </c>
      <c r="C81" s="1" t="str">
        <f t="shared" si="1"/>
        <v>No</v>
      </c>
      <c r="D81" s="1">
        <v>0.0</v>
      </c>
    </row>
    <row r="82" ht="15.75" customHeight="1">
      <c r="A82" s="1" t="str">
        <f>IFERROR(__xludf.DUMMYFUNCTION("""COMPUTED_VALUE"""),"Matthew Mercille")</f>
        <v>Matthew Mercille</v>
      </c>
      <c r="B82" s="1" t="str">
        <f>IFERROR(__xludf.DUMMYFUNCTION("""COMPUTED_VALUE"""),"L2")</f>
        <v>L2</v>
      </c>
      <c r="C82" s="1" t="str">
        <f t="shared" si="1"/>
        <v>No</v>
      </c>
      <c r="D82" s="1">
        <v>0.0</v>
      </c>
    </row>
    <row r="83" ht="15.75" customHeight="1">
      <c r="A83" s="1" t="str">
        <f>IFERROR(__xludf.DUMMYFUNCTION("""COMPUTED_VALUE"""),"Peyton Romney")</f>
        <v>Peyton Romney</v>
      </c>
      <c r="B83" s="1" t="str">
        <f>IFERROR(__xludf.DUMMYFUNCTION("""COMPUTED_VALUE"""),"L2")</f>
        <v>L2</v>
      </c>
      <c r="C83" s="1" t="str">
        <f t="shared" si="1"/>
        <v>No</v>
      </c>
      <c r="D83" s="1">
        <v>0.0</v>
      </c>
    </row>
    <row r="84" ht="15.75" customHeight="1">
      <c r="A84" s="1" t="str">
        <f>IFERROR(__xludf.DUMMYFUNCTION("""COMPUTED_VALUE"""),"Preslyn Romney")</f>
        <v>Preslyn Romney</v>
      </c>
      <c r="B84" s="1" t="str">
        <f>IFERROR(__xludf.DUMMYFUNCTION("""COMPUTED_VALUE"""),"L1")</f>
        <v>L1</v>
      </c>
      <c r="C84" s="1" t="str">
        <f t="shared" si="1"/>
        <v>No</v>
      </c>
      <c r="D84" s="1">
        <v>0.0</v>
      </c>
    </row>
    <row r="85" ht="15.75" customHeight="1">
      <c r="A85" s="1" t="str">
        <f>IFERROR(__xludf.DUMMYFUNCTION("""COMPUTED_VALUE"""),"Bishop Max")</f>
        <v>Bishop Max</v>
      </c>
      <c r="B85" s="1" t="str">
        <f>IFERROR(__xludf.DUMMYFUNCTION("""COMPUTED_VALUE"""),"MS")</f>
        <v>MS</v>
      </c>
      <c r="C85" s="1" t="str">
        <f t="shared" si="1"/>
        <v>No</v>
      </c>
      <c r="D85" s="1">
        <v>0.0</v>
      </c>
    </row>
    <row r="86" ht="15.75" customHeight="1">
      <c r="A86" s="1" t="str">
        <f>IFERROR(__xludf.DUMMYFUNCTION("""COMPUTED_VALUE"""),"Eliem Ross")</f>
        <v>Eliem Ross</v>
      </c>
      <c r="B86" s="1" t="str">
        <f>IFERROR(__xludf.DUMMYFUNCTION("""COMPUTED_VALUE"""),"L1")</f>
        <v>L1</v>
      </c>
      <c r="C86" s="1" t="str">
        <f t="shared" si="1"/>
        <v>No</v>
      </c>
      <c r="D86" s="1">
        <v>0.0</v>
      </c>
    </row>
    <row r="87" ht="15.75" customHeight="1">
      <c r="A87" s="1" t="str">
        <f>IFERROR(__xludf.DUMMYFUNCTION("""COMPUTED_VALUE"""),"Xehni Martin")</f>
        <v>Xehni Martin</v>
      </c>
      <c r="B87" s="1" t="str">
        <f>IFERROR(__xludf.DUMMYFUNCTION("""COMPUTED_VALUE"""),"L1")</f>
        <v>L1</v>
      </c>
      <c r="C87" s="1" t="str">
        <f t="shared" si="1"/>
        <v>No</v>
      </c>
      <c r="D87" s="1">
        <v>0.0</v>
      </c>
    </row>
    <row r="88" ht="15.75" customHeight="1">
      <c r="A88" s="1" t="str">
        <f>IFERROR(__xludf.DUMMYFUNCTION("""COMPUTED_VALUE"""),"Zack Hendricks")</f>
        <v>Zack Hendricks</v>
      </c>
      <c r="B88" s="1" t="str">
        <f>IFERROR(__xludf.DUMMYFUNCTION("""COMPUTED_VALUE"""),"MS")</f>
        <v>MS</v>
      </c>
      <c r="C88" s="1" t="str">
        <f t="shared" si="1"/>
        <v>No</v>
      </c>
      <c r="D88" s="1">
        <v>0.0</v>
      </c>
    </row>
    <row r="89" ht="15.75" customHeight="1">
      <c r="A89" s="1" t="str">
        <f>IFERROR(__xludf.DUMMYFUNCTION("""COMPUTED_VALUE"""),"Evelyn Franck")</f>
        <v>Evelyn Franck</v>
      </c>
      <c r="B89" s="1" t="str">
        <f>IFERROR(__xludf.DUMMYFUNCTION("""COMPUTED_VALUE"""),"L2")</f>
        <v>L2</v>
      </c>
      <c r="C89" s="1" t="str">
        <f t="shared" si="1"/>
        <v>No</v>
      </c>
      <c r="D89" s="1">
        <v>0.0</v>
      </c>
    </row>
    <row r="90" ht="15.75" customHeight="1">
      <c r="A90" s="1" t="str">
        <f>IFERROR(__xludf.DUMMYFUNCTION("""COMPUTED_VALUE"""),"Isabella Baker")</f>
        <v>Isabella Baker</v>
      </c>
      <c r="B90" s="1" t="str">
        <f>IFERROR(__xludf.DUMMYFUNCTION("""COMPUTED_VALUE"""),"MS")</f>
        <v>MS</v>
      </c>
      <c r="C90" s="1" t="str">
        <f t="shared" si="1"/>
        <v>No</v>
      </c>
      <c r="D90" s="1">
        <v>0.0</v>
      </c>
    </row>
    <row r="91" ht="15.75" customHeight="1">
      <c r="A91" s="1" t="str">
        <f>IFERROR(__xludf.DUMMYFUNCTION("""COMPUTED_VALUE"""),"Zoe Baker")</f>
        <v>Zoe Baker</v>
      </c>
      <c r="B91" s="1" t="str">
        <f>IFERROR(__xludf.DUMMYFUNCTION("""COMPUTED_VALUE"""),"L2")</f>
        <v>L2</v>
      </c>
      <c r="C91" s="1" t="str">
        <f t="shared" si="1"/>
        <v>No</v>
      </c>
      <c r="D91" s="1">
        <v>0.0</v>
      </c>
    </row>
    <row r="92" ht="15.75" customHeight="1">
      <c r="A92" s="1" t="str">
        <f>IFERROR(__xludf.DUMMYFUNCTION("""COMPUTED_VALUE"""),"McCoy Baker")</f>
        <v>McCoy Baker</v>
      </c>
      <c r="B92" s="1" t="str">
        <f>IFERROR(__xludf.DUMMYFUNCTION("""COMPUTED_VALUE"""),"L1")</f>
        <v>L1</v>
      </c>
      <c r="C92" s="1" t="str">
        <f t="shared" si="1"/>
        <v>No</v>
      </c>
      <c r="D92" s="1">
        <v>0.0</v>
      </c>
    </row>
    <row r="93" ht="15.75" customHeight="1">
      <c r="A93" s="1" t="str">
        <f>IFERROR(__xludf.DUMMYFUNCTION("""COMPUTED_VALUE"""),"Waverly Mitchell")</f>
        <v>Waverly Mitchell</v>
      </c>
      <c r="B93" s="1" t="str">
        <f>IFERROR(__xludf.DUMMYFUNCTION("""COMPUTED_VALUE"""),"L2")</f>
        <v>L2</v>
      </c>
      <c r="C93" s="1" t="str">
        <f t="shared" si="1"/>
        <v>No</v>
      </c>
      <c r="D93" s="1">
        <v>0.0</v>
      </c>
    </row>
    <row r="94" ht="15.75" customHeight="1">
      <c r="A94" s="1" t="str">
        <f>IFERROR(__xludf.DUMMYFUNCTION("""COMPUTED_VALUE"""),"William Mitchell")</f>
        <v>William Mitchell</v>
      </c>
      <c r="B94" s="1" t="str">
        <f>IFERROR(__xludf.DUMMYFUNCTION("""COMPUTED_VALUE"""),"L1")</f>
        <v>L1</v>
      </c>
      <c r="C94" s="1" t="str">
        <f t="shared" si="1"/>
        <v>No</v>
      </c>
      <c r="D94" s="1">
        <v>0.0</v>
      </c>
    </row>
    <row r="95" ht="15.75" customHeight="1">
      <c r="A95" s="1" t="str">
        <f>IFERROR(__xludf.DUMMYFUNCTION("""COMPUTED_VALUE"""),"Jesus Macias")</f>
        <v>Jesus Macias</v>
      </c>
      <c r="B95" s="1" t="str">
        <f>IFERROR(__xludf.DUMMYFUNCTION("""COMPUTED_VALUE"""),"L1")</f>
        <v>L1</v>
      </c>
      <c r="C95" s="1" t="str">
        <f t="shared" si="1"/>
        <v>No</v>
      </c>
      <c r="D95" s="1">
        <v>0.0</v>
      </c>
    </row>
    <row r="96" ht="15.75" customHeight="1">
      <c r="A96" s="1" t="str">
        <f>IFERROR(__xludf.DUMMYFUNCTION("""COMPUTED_VALUE"""),"Adrian Macias")</f>
        <v>Adrian Macias</v>
      </c>
      <c r="B96" s="1" t="str">
        <f>IFERROR(__xludf.DUMMYFUNCTION("""COMPUTED_VALUE"""),"L1")</f>
        <v>L1</v>
      </c>
      <c r="C96" s="1" t="str">
        <f t="shared" si="1"/>
        <v>No</v>
      </c>
      <c r="D96" s="1">
        <v>0.0</v>
      </c>
    </row>
    <row r="97" ht="15.75" customHeight="1">
      <c r="A97" s="1" t="str">
        <f>IFERROR(__xludf.DUMMYFUNCTION("""COMPUTED_VALUE"""),"Abigail Ramsey")</f>
        <v>Abigail Ramsey</v>
      </c>
      <c r="B97" s="1" t="str">
        <f>IFERROR(__xludf.DUMMYFUNCTION("""COMPUTED_VALUE"""),"L1")</f>
        <v>L1</v>
      </c>
      <c r="C97" s="1" t="str">
        <f t="shared" si="1"/>
        <v>No</v>
      </c>
      <c r="D97" s="1">
        <v>0.0</v>
      </c>
    </row>
    <row r="98" ht="15.75" customHeight="1">
      <c r="A98" s="1" t="str">
        <f>IFERROR(__xludf.DUMMYFUNCTION("""COMPUTED_VALUE"""),"Francesca Wallace")</f>
        <v>Francesca Wallace</v>
      </c>
      <c r="B98" s="1" t="str">
        <f>IFERROR(__xludf.DUMMYFUNCTION("""COMPUTED_VALUE"""),"L1")</f>
        <v>L1</v>
      </c>
      <c r="C98" s="1" t="str">
        <f t="shared" si="1"/>
        <v>No</v>
      </c>
      <c r="D98" s="1">
        <v>0.0</v>
      </c>
    </row>
    <row r="99" ht="15.75" customHeight="1">
      <c r="A99" s="1" t="str">
        <f>IFERROR(__xludf.DUMMYFUNCTION("""COMPUTED_VALUE"""),"Viaan Agrawal")</f>
        <v>Viaan Agrawal</v>
      </c>
      <c r="B99" s="1" t="str">
        <f>IFERROR(__xludf.DUMMYFUNCTION("""COMPUTED_VALUE"""),"MS")</f>
        <v>MS</v>
      </c>
      <c r="C99" s="1" t="str">
        <f t="shared" si="1"/>
        <v>No</v>
      </c>
      <c r="D99" s="1">
        <v>0.0</v>
      </c>
    </row>
    <row r="100" ht="15.75" customHeight="1">
      <c r="A100" s="1" t="str">
        <f>IFERROR(__xludf.DUMMYFUNCTION("""COMPUTED_VALUE"""),"London Wallace")</f>
        <v>London Wallace</v>
      </c>
      <c r="B100" s="1" t="str">
        <f>IFERROR(__xludf.DUMMYFUNCTION("""COMPUTED_VALUE"""),"MS")</f>
        <v>MS</v>
      </c>
      <c r="C100" s="1" t="str">
        <f t="shared" si="1"/>
        <v>No</v>
      </c>
      <c r="D100" s="1">
        <v>0.0</v>
      </c>
    </row>
    <row r="101" ht="15.75" customHeight="1">
      <c r="A101" s="1" t="str">
        <f>IFERROR(__xludf.DUMMYFUNCTION("""COMPUTED_VALUE"""),"Xander Singh")</f>
        <v>Xander Singh</v>
      </c>
      <c r="B101" s="1" t="str">
        <f>IFERROR(__xludf.DUMMYFUNCTION("""COMPUTED_VALUE"""),"L1")</f>
        <v>L1</v>
      </c>
      <c r="C101" s="1" t="str">
        <f t="shared" si="1"/>
        <v>No</v>
      </c>
      <c r="D101" s="1">
        <v>0.0</v>
      </c>
    </row>
    <row r="102" ht="15.75" customHeight="1">
      <c r="A102" s="1" t="str">
        <f>IFERROR(__xludf.DUMMYFUNCTION("""COMPUTED_VALUE"""),"Bella Vallone")</f>
        <v>Bella Vallone</v>
      </c>
      <c r="B102" s="1" t="str">
        <f>IFERROR(__xludf.DUMMYFUNCTION("""COMPUTED_VALUE"""),"L2")</f>
        <v>L2</v>
      </c>
      <c r="C102" s="1" t="str">
        <f t="shared" si="1"/>
        <v>No</v>
      </c>
      <c r="D102" s="1">
        <v>0.0</v>
      </c>
    </row>
    <row r="103" ht="15.75" customHeight="1">
      <c r="A103" s="1" t="str">
        <f>IFERROR(__xludf.DUMMYFUNCTION("""COMPUTED_VALUE"""),"Asher Rosenstock")</f>
        <v>Asher Rosenstock</v>
      </c>
      <c r="B103" s="1" t="str">
        <f>IFERROR(__xludf.DUMMYFUNCTION("""COMPUTED_VALUE"""),"MS")</f>
        <v>MS</v>
      </c>
      <c r="C103" s="1" t="str">
        <f t="shared" si="1"/>
        <v>No</v>
      </c>
      <c r="D103" s="1">
        <v>0.0</v>
      </c>
    </row>
    <row r="104" ht="15.75" customHeight="1">
      <c r="A104" s="1" t="str">
        <f>IFERROR(__xludf.DUMMYFUNCTION("""COMPUTED_VALUE"""),"Landon Rosenstock")</f>
        <v>Landon Rosenstock</v>
      </c>
      <c r="B104" s="1" t="str">
        <f>IFERROR(__xludf.DUMMYFUNCTION("""COMPUTED_VALUE"""),"HS")</f>
        <v>HS</v>
      </c>
      <c r="C104" s="1" t="str">
        <f t="shared" si="1"/>
        <v>No</v>
      </c>
      <c r="D104" s="1">
        <v>0.0</v>
      </c>
    </row>
    <row r="105" ht="15.75" customHeight="1">
      <c r="A105" s="1" t="str">
        <f>IFERROR(__xludf.DUMMYFUNCTION("""COMPUTED_VALUE"""),"Arjun Menon")</f>
        <v>Arjun Menon</v>
      </c>
      <c r="B105" s="1" t="str">
        <f>IFERROR(__xludf.DUMMYFUNCTION("""COMPUTED_VALUE"""),"MS")</f>
        <v>MS</v>
      </c>
      <c r="C105" s="1" t="str">
        <f t="shared" si="1"/>
        <v>No</v>
      </c>
      <c r="D105" s="1">
        <v>0.0</v>
      </c>
    </row>
    <row r="106" ht="15.75" customHeight="1">
      <c r="A106" s="1" t="str">
        <f>IFERROR(__xludf.DUMMYFUNCTION("""COMPUTED_VALUE"""),"Anders Watson")</f>
        <v>Anders Watson</v>
      </c>
      <c r="B106" s="1" t="str">
        <f>IFERROR(__xludf.DUMMYFUNCTION("""COMPUTED_VALUE"""),"MS")</f>
        <v>MS</v>
      </c>
      <c r="C106" s="1" t="str">
        <f t="shared" si="1"/>
        <v>No</v>
      </c>
      <c r="D106" s="1">
        <v>0.0</v>
      </c>
    </row>
    <row r="107" ht="15.75" customHeight="1">
      <c r="A107" s="1" t="str">
        <f>IFERROR(__xludf.DUMMYFUNCTION("""COMPUTED_VALUE"""),"James Anderson")</f>
        <v>James Anderson</v>
      </c>
      <c r="B107" s="1" t="str">
        <f>IFERROR(__xludf.DUMMYFUNCTION("""COMPUTED_VALUE"""),"MS")</f>
        <v>MS</v>
      </c>
      <c r="C107" s="1" t="str">
        <f t="shared" si="1"/>
        <v>No</v>
      </c>
      <c r="D107" s="1">
        <v>0.0</v>
      </c>
    </row>
    <row r="108" ht="15.75" customHeight="1">
      <c r="A108" s="1" t="str">
        <f>IFERROR(__xludf.DUMMYFUNCTION("""COMPUTED_VALUE"""),"Georgia Anderson")</f>
        <v>Georgia Anderson</v>
      </c>
      <c r="B108" s="1" t="str">
        <f>IFERROR(__xludf.DUMMYFUNCTION("""COMPUTED_VALUE"""),"L2")</f>
        <v>L2</v>
      </c>
      <c r="C108" s="1" t="str">
        <f t="shared" si="1"/>
        <v>No</v>
      </c>
      <c r="D108" s="1">
        <v>0.0</v>
      </c>
    </row>
    <row r="109" ht="15.75" customHeight="1">
      <c r="A109" s="1" t="str">
        <f>IFERROR(__xludf.DUMMYFUNCTION("""COMPUTED_VALUE"""),"Michael Reiner")</f>
        <v>Michael Reiner</v>
      </c>
      <c r="B109" s="1" t="str">
        <f>IFERROR(__xludf.DUMMYFUNCTION("""COMPUTED_VALUE"""),"HS")</f>
        <v>HS</v>
      </c>
      <c r="C109" s="1" t="str">
        <f t="shared" si="1"/>
        <v>No</v>
      </c>
      <c r="D109" s="1">
        <v>0.0</v>
      </c>
    </row>
    <row r="110" ht="15.75" customHeight="1">
      <c r="A110" s="1" t="str">
        <f>IFERROR(__xludf.DUMMYFUNCTION("""COMPUTED_VALUE"""),"Claire Reiner")</f>
        <v>Claire Reiner</v>
      </c>
      <c r="B110" s="1" t="str">
        <f>IFERROR(__xludf.DUMMYFUNCTION("""COMPUTED_VALUE"""),"MS")</f>
        <v>MS</v>
      </c>
      <c r="C110" s="1" t="str">
        <f t="shared" si="1"/>
        <v>No</v>
      </c>
      <c r="D110" s="1">
        <v>0.0</v>
      </c>
    </row>
    <row r="111" ht="15.75" customHeight="1">
      <c r="A111" s="1" t="str">
        <f>IFERROR(__xludf.DUMMYFUNCTION("""COMPUTED_VALUE"""),"Ethan Moulton")</f>
        <v>Ethan Moulton</v>
      </c>
      <c r="B111" s="1" t="str">
        <f>IFERROR(__xludf.DUMMYFUNCTION("""COMPUTED_VALUE"""),"MS")</f>
        <v>MS</v>
      </c>
      <c r="C111" s="1" t="str">
        <f t="shared" si="1"/>
        <v>No</v>
      </c>
      <c r="D111" s="1">
        <v>0.0</v>
      </c>
    </row>
    <row r="112" ht="15.75" customHeight="1">
      <c r="A112" s="1" t="str">
        <f>IFERROR(__xludf.DUMMYFUNCTION("""COMPUTED_VALUE"""),"Audrey Moulton")</f>
        <v>Audrey Moulton</v>
      </c>
      <c r="B112" s="1" t="str">
        <f>IFERROR(__xludf.DUMMYFUNCTION("""COMPUTED_VALUE"""),"MS")</f>
        <v>MS</v>
      </c>
      <c r="C112" s="1" t="str">
        <f t="shared" si="1"/>
        <v>No</v>
      </c>
      <c r="D112" s="1">
        <v>0.0</v>
      </c>
    </row>
    <row r="113" ht="15.75" customHeight="1">
      <c r="A113" s="1" t="str">
        <f>IFERROR(__xludf.DUMMYFUNCTION("""COMPUTED_VALUE"""),"Taylor Heatj")</f>
        <v>Taylor Heatj</v>
      </c>
      <c r="B113" s="1" t="str">
        <f>IFERROR(__xludf.DUMMYFUNCTION("""COMPUTED_VALUE"""),"MS")</f>
        <v>MS</v>
      </c>
      <c r="C113" s="1" t="str">
        <f t="shared" si="1"/>
        <v>No</v>
      </c>
      <c r="D113" s="1">
        <v>0.0</v>
      </c>
    </row>
    <row r="114" ht="15.75" customHeight="1">
      <c r="A114" s="1" t="str">
        <f>IFERROR(__xludf.DUMMYFUNCTION("""COMPUTED_VALUE"""),"Lauren Heath")</f>
        <v>Lauren Heath</v>
      </c>
      <c r="B114" s="1" t="str">
        <f>IFERROR(__xludf.DUMMYFUNCTION("""COMPUTED_VALUE"""),"MS")</f>
        <v>MS</v>
      </c>
      <c r="C114" s="1" t="str">
        <f t="shared" si="1"/>
        <v>No</v>
      </c>
      <c r="D114" s="1">
        <v>0.0</v>
      </c>
    </row>
    <row r="115" ht="15.75" customHeight="1">
      <c r="A115" s="1" t="str">
        <f>IFERROR(__xludf.DUMMYFUNCTION("""COMPUTED_VALUE"""),"Matthew Heath")</f>
        <v>Matthew Heath</v>
      </c>
      <c r="B115" s="1" t="str">
        <f>IFERROR(__xludf.DUMMYFUNCTION("""COMPUTED_VALUE"""),"MS")</f>
        <v>MS</v>
      </c>
      <c r="C115" s="1" t="str">
        <f t="shared" si="1"/>
        <v>No</v>
      </c>
      <c r="D115" s="1">
        <v>0.0</v>
      </c>
    </row>
    <row r="116" ht="15.75" customHeight="1">
      <c r="A116" s="1" t="str">
        <f>IFERROR(__xludf.DUMMYFUNCTION("""COMPUTED_VALUE"""),"Brianna Karli")</f>
        <v>Brianna Karli</v>
      </c>
      <c r="B116" s="1" t="str">
        <f>IFERROR(__xludf.DUMMYFUNCTION("""COMPUTED_VALUE"""),"L2")</f>
        <v>L2</v>
      </c>
      <c r="C116" s="1" t="str">
        <f t="shared" si="1"/>
        <v>No</v>
      </c>
      <c r="D116" s="1">
        <v>0.0</v>
      </c>
    </row>
    <row r="117" ht="15.75" customHeight="1">
      <c r="A117" s="1" t="str">
        <f>IFERROR(__xludf.DUMMYFUNCTION("""COMPUTED_VALUE"""),"Luke Lima Masi")</f>
        <v>Luke Lima Masi</v>
      </c>
      <c r="B117" s="1" t="str">
        <f>IFERROR(__xludf.DUMMYFUNCTION("""COMPUTED_VALUE"""),"LL")</f>
        <v>LL</v>
      </c>
      <c r="C117" s="1" t="str">
        <f t="shared" si="1"/>
        <v>No</v>
      </c>
      <c r="D117" s="1">
        <v>0.0</v>
      </c>
    </row>
    <row r="118" ht="15.75" customHeight="1">
      <c r="A118" s="1" t="str">
        <f>IFERROR(__xludf.DUMMYFUNCTION("""COMPUTED_VALUE"""),"Grant Whidby")</f>
        <v>Grant Whidby</v>
      </c>
      <c r="B118" s="1" t="str">
        <f>IFERROR(__xludf.DUMMYFUNCTION("""COMPUTED_VALUE"""),"MS")</f>
        <v>MS</v>
      </c>
      <c r="C118" s="1" t="str">
        <f t="shared" si="1"/>
        <v>No</v>
      </c>
      <c r="D118" s="1">
        <v>0.0</v>
      </c>
    </row>
    <row r="119" ht="15.75" customHeight="1">
      <c r="A119" s="1" t="str">
        <f>IFERROR(__xludf.DUMMYFUNCTION("""COMPUTED_VALUE"""),"Stellyn Guenther")</f>
        <v>Stellyn Guenther</v>
      </c>
      <c r="B119" s="1" t="str">
        <f>IFERROR(__xludf.DUMMYFUNCTION("""COMPUTED_VALUE"""),"MS")</f>
        <v>MS</v>
      </c>
      <c r="C119" s="1" t="str">
        <f t="shared" si="1"/>
        <v>No</v>
      </c>
      <c r="D119" s="1">
        <v>0.0</v>
      </c>
    </row>
    <row r="120" ht="15.75" customHeight="1">
      <c r="A120" s="1" t="str">
        <f>IFERROR(__xludf.DUMMYFUNCTION("""COMPUTED_VALUE"""),"Valentina Guzman")</f>
        <v>Valentina Guzman</v>
      </c>
      <c r="B120" s="1" t="str">
        <f>IFERROR(__xludf.DUMMYFUNCTION("""COMPUTED_VALUE"""),"L1")</f>
        <v>L1</v>
      </c>
      <c r="C120" s="1" t="str">
        <f t="shared" si="1"/>
        <v>No</v>
      </c>
      <c r="D120" s="1">
        <v>0.0</v>
      </c>
    </row>
    <row r="121" ht="15.75" customHeight="1">
      <c r="A121" s="1" t="str">
        <f>IFERROR(__xludf.DUMMYFUNCTION("""COMPUTED_VALUE"""),"Benson Adix")</f>
        <v>Benson Adix</v>
      </c>
      <c r="B121" s="1" t="str">
        <f>IFERROR(__xludf.DUMMYFUNCTION("""COMPUTED_VALUE"""),"L1")</f>
        <v>L1</v>
      </c>
      <c r="C121" s="1" t="str">
        <f t="shared" si="1"/>
        <v>No</v>
      </c>
      <c r="D121" s="1">
        <v>0.0</v>
      </c>
    </row>
    <row r="122" ht="15.75" customHeight="1">
      <c r="A122" s="1" t="str">
        <f>IFERROR(__xludf.DUMMYFUNCTION("""COMPUTED_VALUE"""),"Asha Devand")</f>
        <v>Asha Devand</v>
      </c>
      <c r="B122" s="1" t="str">
        <f>IFERROR(__xludf.DUMMYFUNCTION("""COMPUTED_VALUE"""),"L1")</f>
        <v>L1</v>
      </c>
      <c r="C122" s="1" t="str">
        <f t="shared" si="1"/>
        <v>No</v>
      </c>
      <c r="D122" s="1">
        <v>0.0</v>
      </c>
    </row>
    <row r="123" ht="15.75" customHeight="1">
      <c r="A123" s="1" t="str">
        <f>IFERROR(__xludf.DUMMYFUNCTION("""COMPUTED_VALUE"""),"Nisha Devand")</f>
        <v>Nisha Devand</v>
      </c>
      <c r="B123" s="1" t="str">
        <f>IFERROR(__xludf.DUMMYFUNCTION("""COMPUTED_VALUE"""),"L1")</f>
        <v>L1</v>
      </c>
      <c r="C123" s="1" t="str">
        <f t="shared" si="1"/>
        <v>No</v>
      </c>
      <c r="D123" s="1">
        <v>0.0</v>
      </c>
    </row>
    <row r="124" ht="15.75" customHeight="1">
      <c r="A124" s="1" t="str">
        <f>IFERROR(__xludf.DUMMYFUNCTION("""COMPUTED_VALUE"""),"Mia Deen")</f>
        <v>Mia Deen</v>
      </c>
      <c r="B124" s="1" t="str">
        <f>IFERROR(__xludf.DUMMYFUNCTION("""COMPUTED_VALUE"""),"MS")</f>
        <v>MS</v>
      </c>
      <c r="C124" s="1" t="str">
        <f t="shared" si="1"/>
        <v>No</v>
      </c>
      <c r="D124" s="1">
        <v>0.0</v>
      </c>
    </row>
    <row r="125" ht="15.75" customHeight="1">
      <c r="A125" s="1" t="str">
        <f>IFERROR(__xludf.DUMMYFUNCTION("""COMPUTED_VALUE"""),"Sol Hudelson Currie")</f>
        <v>Sol Hudelson Currie</v>
      </c>
      <c r="B125" s="1" t="str">
        <f>IFERROR(__xludf.DUMMYFUNCTION("""COMPUTED_VALUE"""),"MS")</f>
        <v>MS</v>
      </c>
      <c r="C125" s="1" t="str">
        <f t="shared" si="1"/>
        <v>No</v>
      </c>
      <c r="D125" s="1">
        <v>0.0</v>
      </c>
    </row>
    <row r="126" ht="15.75" customHeight="1">
      <c r="A126" s="1" t="str">
        <f>IFERROR(__xludf.DUMMYFUNCTION("""COMPUTED_VALUE"""),"Maxime Gautier-Winther")</f>
        <v>Maxime Gautier-Winther</v>
      </c>
      <c r="B126" s="1" t="str">
        <f>IFERROR(__xludf.DUMMYFUNCTION("""COMPUTED_VALUE"""),"L1")</f>
        <v>L1</v>
      </c>
      <c r="C126" s="1" t="str">
        <f t="shared" si="1"/>
        <v>No</v>
      </c>
      <c r="D126" s="1">
        <v>0.0</v>
      </c>
    </row>
    <row r="127" ht="15.75" customHeight="1">
      <c r="A127" s="1" t="str">
        <f>IFERROR(__xludf.DUMMYFUNCTION("""COMPUTED_VALUE"""),"Grady Allen")</f>
        <v>Grady Allen</v>
      </c>
      <c r="B127" s="1" t="str">
        <f>IFERROR(__xludf.DUMMYFUNCTION("""COMPUTED_VALUE"""),"MS")</f>
        <v>MS</v>
      </c>
      <c r="C127" s="1" t="str">
        <f t="shared" si="1"/>
        <v>No</v>
      </c>
      <c r="D127" s="1">
        <v>0.0</v>
      </c>
    </row>
    <row r="128" ht="15.75" customHeight="1">
      <c r="A128" s="1" t="str">
        <f>IFERROR(__xludf.DUMMYFUNCTION("""COMPUTED_VALUE"""),"Quinn Mckee")</f>
        <v>Quinn Mckee</v>
      </c>
      <c r="B128" s="1" t="str">
        <f>IFERROR(__xludf.DUMMYFUNCTION("""COMPUTED_VALUE"""),"MS")</f>
        <v>MS</v>
      </c>
      <c r="C128" s="1" t="str">
        <f t="shared" si="1"/>
        <v>No</v>
      </c>
      <c r="D128" s="1">
        <v>0.0</v>
      </c>
    </row>
    <row r="129" ht="15.75" customHeight="1">
      <c r="A129" s="1" t="str">
        <f>IFERROR(__xludf.DUMMYFUNCTION("""COMPUTED_VALUE"""),"Liam Sung")</f>
        <v>Liam Sung</v>
      </c>
      <c r="B129" s="1" t="str">
        <f>IFERROR(__xludf.DUMMYFUNCTION("""COMPUTED_VALUE"""),"MS")</f>
        <v>MS</v>
      </c>
      <c r="C129" s="1" t="str">
        <f t="shared" si="1"/>
        <v>No</v>
      </c>
      <c r="D129" s="1">
        <v>0.0</v>
      </c>
    </row>
    <row r="130" ht="15.75" customHeight="1">
      <c r="A130" s="1" t="str">
        <f>IFERROR(__xludf.DUMMYFUNCTION("""COMPUTED_VALUE"""),"Elliott Fisher")</f>
        <v>Elliott Fisher</v>
      </c>
      <c r="B130" s="1" t="str">
        <f>IFERROR(__xludf.DUMMYFUNCTION("""COMPUTED_VALUE"""),"L1")</f>
        <v>L1</v>
      </c>
      <c r="C130" s="1" t="str">
        <f t="shared" si="1"/>
        <v>No</v>
      </c>
      <c r="D130" s="1">
        <v>0.0</v>
      </c>
    </row>
    <row r="131" ht="15.75" customHeight="1">
      <c r="A131" s="1" t="str">
        <f>IFERROR(__xludf.DUMMYFUNCTION("""COMPUTED_VALUE"""),"Jacob Reiner")</f>
        <v>Jacob Reiner</v>
      </c>
      <c r="B131" s="1" t="str">
        <f>IFERROR(__xludf.DUMMYFUNCTION("""COMPUTED_VALUE"""),"L2")</f>
        <v>L2</v>
      </c>
      <c r="C131" s="1" t="str">
        <f t="shared" si="1"/>
        <v>No</v>
      </c>
      <c r="D131" s="1">
        <v>0.0</v>
      </c>
    </row>
    <row r="132" ht="15.75" customHeight="1">
      <c r="A132" s="1" t="str">
        <f>IFERROR(__xludf.DUMMYFUNCTION("""COMPUTED_VALUE"""),"Avalynn Gossner")</f>
        <v>Avalynn Gossner</v>
      </c>
      <c r="B132" s="1" t="str">
        <f>IFERROR(__xludf.DUMMYFUNCTION("""COMPUTED_VALUE"""),"L1")</f>
        <v>L1</v>
      </c>
      <c r="C132" s="1" t="str">
        <f t="shared" si="1"/>
        <v>No</v>
      </c>
      <c r="D132" s="1">
        <v>0.0</v>
      </c>
    </row>
    <row r="133" ht="15.75" customHeight="1">
      <c r="A133" s="1" t="str">
        <f>IFERROR(__xludf.DUMMYFUNCTION("""COMPUTED_VALUE"""),"Bailey-Grace Davis")</f>
        <v>Bailey-Grace Davis</v>
      </c>
      <c r="B133" s="1" t="str">
        <f>IFERROR(__xludf.DUMMYFUNCTION("""COMPUTED_VALUE"""),"MS")</f>
        <v>MS</v>
      </c>
      <c r="C133" s="1" t="str">
        <f t="shared" si="1"/>
        <v>No</v>
      </c>
      <c r="D133" s="1">
        <v>0.0</v>
      </c>
    </row>
    <row r="134" ht="15.75" customHeight="1">
      <c r="A134" s="1" t="str">
        <f>IFERROR(__xludf.DUMMYFUNCTION("""COMPUTED_VALUE"""),"Dylan Dorsett")</f>
        <v>Dylan Dorsett</v>
      </c>
      <c r="B134" s="1" t="str">
        <f>IFERROR(__xludf.DUMMYFUNCTION("""COMPUTED_VALUE"""),"L2")</f>
        <v>L2</v>
      </c>
      <c r="C134" s="1" t="str">
        <f t="shared" si="1"/>
        <v>No</v>
      </c>
      <c r="D134" s="1">
        <v>0.0</v>
      </c>
    </row>
    <row r="135" ht="15.75" customHeight="1">
      <c r="A135" s="1" t="str">
        <f>IFERROR(__xludf.DUMMYFUNCTION("""COMPUTED_VALUE"""),"Ethan Dorsett")</f>
        <v>Ethan Dorsett</v>
      </c>
      <c r="B135" s="1" t="str">
        <f>IFERROR(__xludf.DUMMYFUNCTION("""COMPUTED_VALUE"""),"L1")</f>
        <v>L1</v>
      </c>
      <c r="C135" s="1" t="str">
        <f t="shared" si="1"/>
        <v>No</v>
      </c>
      <c r="D135" s="1">
        <v>0.0</v>
      </c>
    </row>
    <row r="136" ht="15.75" customHeight="1">
      <c r="A136" s="1" t="str">
        <f>IFERROR(__xludf.DUMMYFUNCTION("""COMPUTED_VALUE"""),"Annabelle Whidby")</f>
        <v>Annabelle Whidby</v>
      </c>
      <c r="B136" s="1" t="str">
        <f>IFERROR(__xludf.DUMMYFUNCTION("""COMPUTED_VALUE"""),"LL")</f>
        <v>LL</v>
      </c>
      <c r="C136" s="1" t="str">
        <f t="shared" si="1"/>
        <v>No</v>
      </c>
      <c r="D136" s="1">
        <v>0.0</v>
      </c>
    </row>
    <row r="137" ht="15.75" customHeight="1">
      <c r="A137" s="1" t="str">
        <f>IFERROR(__xludf.DUMMYFUNCTION("""COMPUTED_VALUE"""),"Noah Lanthier")</f>
        <v>Noah Lanthier</v>
      </c>
      <c r="B137" s="1" t="str">
        <f>IFERROR(__xludf.DUMMYFUNCTION("""COMPUTED_VALUE"""),"L1")</f>
        <v>L1</v>
      </c>
      <c r="C137" s="1" t="str">
        <f t="shared" si="1"/>
        <v>No</v>
      </c>
      <c r="D137" s="1">
        <v>0.0</v>
      </c>
    </row>
    <row r="138" ht="15.75" customHeight="1">
      <c r="A138" s="1" t="str">
        <f>IFERROR(__xludf.DUMMYFUNCTION("""COMPUTED_VALUE"""),"Lylah Lanthier")</f>
        <v>Lylah Lanthier</v>
      </c>
      <c r="B138" s="1" t="str">
        <f>IFERROR(__xludf.DUMMYFUNCTION("""COMPUTED_VALUE"""),"L1")</f>
        <v>L1</v>
      </c>
      <c r="C138" s="1" t="str">
        <f t="shared" si="1"/>
        <v>No</v>
      </c>
      <c r="D138" s="1">
        <v>0.0</v>
      </c>
    </row>
    <row r="139" ht="15.75" customHeight="1">
      <c r="A139" s="1" t="str">
        <f>IFERROR(__xludf.DUMMYFUNCTION("""COMPUTED_VALUE"""),"Micah Milazzo")</f>
        <v>Micah Milazzo</v>
      </c>
      <c r="B139" s="1" t="str">
        <f>IFERROR(__xludf.DUMMYFUNCTION("""COMPUTED_VALUE"""),"L1")</f>
        <v>L1</v>
      </c>
      <c r="C139" s="1" t="str">
        <f t="shared" si="1"/>
        <v>No</v>
      </c>
      <c r="D139" s="1">
        <v>0.0</v>
      </c>
    </row>
    <row r="140" ht="15.75" customHeight="1">
      <c r="A140" s="1" t="str">
        <f>IFERROR(__xludf.DUMMYFUNCTION("""COMPUTED_VALUE"""),"Ada Lynch")</f>
        <v>Ada Lynch</v>
      </c>
      <c r="B140" s="1" t="str">
        <f>IFERROR(__xludf.DUMMYFUNCTION("""COMPUTED_VALUE"""),"HS")</f>
        <v>HS</v>
      </c>
      <c r="C140" s="1" t="str">
        <f t="shared" si="1"/>
        <v>No</v>
      </c>
      <c r="D140" s="1">
        <v>0.0</v>
      </c>
    </row>
    <row r="141" ht="15.75" customHeight="1">
      <c r="A141" s="1" t="str">
        <f>IFERROR(__xludf.DUMMYFUNCTION("""COMPUTED_VALUE"""),"Murphy Lynch")</f>
        <v>Murphy Lynch</v>
      </c>
      <c r="B141" s="1" t="str">
        <f>IFERROR(__xludf.DUMMYFUNCTION("""COMPUTED_VALUE"""),"L2")</f>
        <v>L2</v>
      </c>
      <c r="C141" s="1" t="str">
        <f t="shared" si="1"/>
        <v>No</v>
      </c>
      <c r="D141" s="1">
        <v>0.0</v>
      </c>
    </row>
    <row r="142" ht="15.75" customHeight="1">
      <c r="A142" s="1" t="str">
        <f>IFERROR(__xludf.DUMMYFUNCTION("""COMPUTED_VALUE"""),"Layla Smith")</f>
        <v>Layla Smith</v>
      </c>
      <c r="B142" s="1" t="str">
        <f>IFERROR(__xludf.DUMMYFUNCTION("""COMPUTED_VALUE"""),"MS")</f>
        <v>MS</v>
      </c>
      <c r="C142" s="1" t="str">
        <f t="shared" si="1"/>
        <v>No</v>
      </c>
      <c r="D142" s="1">
        <v>0.0</v>
      </c>
    </row>
    <row r="143" ht="15.75" customHeight="1">
      <c r="A143" s="1" t="str">
        <f>IFERROR(__xludf.DUMMYFUNCTION("""COMPUTED_VALUE"""),"Grace Smith")</f>
        <v>Grace Smith</v>
      </c>
      <c r="B143" s="1" t="str">
        <f>IFERROR(__xludf.DUMMYFUNCTION("""COMPUTED_VALUE"""),"L2")</f>
        <v>L2</v>
      </c>
      <c r="C143" s="1" t="str">
        <f t="shared" si="1"/>
        <v>No</v>
      </c>
      <c r="D143" s="1">
        <v>0.0</v>
      </c>
    </row>
    <row r="144" ht="15.75" customHeight="1">
      <c r="A144" s="1" t="str">
        <f>IFERROR(__xludf.DUMMYFUNCTION("""COMPUTED_VALUE"""),"Elle McCullough")</f>
        <v>Elle McCullough</v>
      </c>
      <c r="B144" s="1" t="str">
        <f>IFERROR(__xludf.DUMMYFUNCTION("""COMPUTED_VALUE"""),"MS")</f>
        <v>MS</v>
      </c>
      <c r="C144" s="1" t="str">
        <f t="shared" si="1"/>
        <v>No</v>
      </c>
      <c r="D144" s="1">
        <v>0.0</v>
      </c>
    </row>
    <row r="145" ht="15.75" customHeight="1">
      <c r="A145" s="1" t="str">
        <f>IFERROR(__xludf.DUMMYFUNCTION("""COMPUTED_VALUE"""),"Rowan Nair")</f>
        <v>Rowan Nair</v>
      </c>
      <c r="B145" s="1" t="str">
        <f>IFERROR(__xludf.DUMMYFUNCTION("""COMPUTED_VALUE"""),"L1")</f>
        <v>L1</v>
      </c>
      <c r="C145" s="1" t="str">
        <f t="shared" si="1"/>
        <v>No</v>
      </c>
      <c r="D145" s="1">
        <v>0.0</v>
      </c>
    </row>
    <row r="146" ht="15.75" customHeight="1">
      <c r="A146" s="1" t="str">
        <f>IFERROR(__xludf.DUMMYFUNCTION("""COMPUTED_VALUE"""),"Benjamin Nair")</f>
        <v>Benjamin Nair</v>
      </c>
      <c r="B146" s="1" t="str">
        <f>IFERROR(__xludf.DUMMYFUNCTION("""COMPUTED_VALUE"""),"MS")</f>
        <v>MS</v>
      </c>
      <c r="C146" s="1" t="str">
        <f t="shared" si="1"/>
        <v>No</v>
      </c>
      <c r="D146" s="1">
        <v>0.0</v>
      </c>
    </row>
    <row r="147" ht="15.75" customHeight="1">
      <c r="A147" s="1" t="str">
        <f>IFERROR(__xludf.DUMMYFUNCTION("""COMPUTED_VALUE"""),"Anra Armilio")</f>
        <v>Anra Armilio</v>
      </c>
      <c r="B147" s="1" t="str">
        <f>IFERROR(__xludf.DUMMYFUNCTION("""COMPUTED_VALUE"""),"L2")</f>
        <v>L2</v>
      </c>
      <c r="C147" s="1" t="str">
        <f t="shared" si="1"/>
        <v>No</v>
      </c>
      <c r="D147" s="1">
        <v>0.0</v>
      </c>
    </row>
    <row r="148" ht="15.75" customHeight="1">
      <c r="A148" s="1" t="str">
        <f>IFERROR(__xludf.DUMMYFUNCTION("""COMPUTED_VALUE"""),"Aurora Marchionni-Costache")</f>
        <v>Aurora Marchionni-Costache</v>
      </c>
      <c r="B148" s="1" t="str">
        <f>IFERROR(__xludf.DUMMYFUNCTION("""COMPUTED_VALUE"""),"L1")</f>
        <v>L1</v>
      </c>
      <c r="C148" s="1" t="str">
        <f t="shared" si="1"/>
        <v>No</v>
      </c>
      <c r="D148" s="1">
        <v>0.0</v>
      </c>
    </row>
    <row r="149" ht="15.75" customHeight="1">
      <c r="A149" s="1" t="str">
        <f>IFERROR(__xludf.DUMMYFUNCTION("""COMPUTED_VALUE"""),"Jonas Larsen")</f>
        <v>Jonas Larsen</v>
      </c>
      <c r="B149" s="1" t="str">
        <f>IFERROR(__xludf.DUMMYFUNCTION("""COMPUTED_VALUE"""),"MS")</f>
        <v>MS</v>
      </c>
      <c r="C149" s="1" t="str">
        <f t="shared" si="1"/>
        <v>No</v>
      </c>
      <c r="D149" s="1">
        <v>0.0</v>
      </c>
    </row>
    <row r="150" ht="15.75" customHeight="1">
      <c r="A150" s="1" t="str">
        <f>IFERROR(__xludf.DUMMYFUNCTION("""COMPUTED_VALUE"""),"Ronak Karmani")</f>
        <v>Ronak Karmani</v>
      </c>
      <c r="B150" s="1" t="str">
        <f>IFERROR(__xludf.DUMMYFUNCTION("""COMPUTED_VALUE"""),"L1")</f>
        <v>L1</v>
      </c>
      <c r="C150" s="1" t="str">
        <f t="shared" si="1"/>
        <v>No</v>
      </c>
      <c r="D150" s="1">
        <v>0.0</v>
      </c>
    </row>
    <row r="151" ht="15.75" customHeight="1">
      <c r="A151" s="1" t="str">
        <f>IFERROR(__xludf.DUMMYFUNCTION("""COMPUTED_VALUE"""),"Jude MacDonnell")</f>
        <v>Jude MacDonnell</v>
      </c>
      <c r="B151" s="1" t="str">
        <f>IFERROR(__xludf.DUMMYFUNCTION("""COMPUTED_VALUE"""),"L1")</f>
        <v>L1</v>
      </c>
      <c r="C151" s="1" t="str">
        <f t="shared" si="1"/>
        <v>No</v>
      </c>
      <c r="D151" s="1">
        <v>0.0</v>
      </c>
    </row>
    <row r="152" ht="15.75" customHeight="1">
      <c r="A152" s="1" t="str">
        <f>IFERROR(__xludf.DUMMYFUNCTION("""COMPUTED_VALUE"""),"Scarlett MacDonnell")</f>
        <v>Scarlett MacDonnell</v>
      </c>
      <c r="B152" s="1" t="str">
        <f>IFERROR(__xludf.DUMMYFUNCTION("""COMPUTED_VALUE"""),"MS")</f>
        <v>MS</v>
      </c>
      <c r="C152" s="1" t="str">
        <f t="shared" si="1"/>
        <v>No</v>
      </c>
      <c r="D152" s="1">
        <v>0.0</v>
      </c>
    </row>
    <row r="153" ht="15.75" customHeight="1">
      <c r="A153" s="1" t="str">
        <f>IFERROR(__xludf.DUMMYFUNCTION("""COMPUTED_VALUE"""),"Piper Williams")</f>
        <v>Piper Williams</v>
      </c>
      <c r="B153" s="1" t="str">
        <f>IFERROR(__xludf.DUMMYFUNCTION("""COMPUTED_VALUE"""),"HS")</f>
        <v>HS</v>
      </c>
      <c r="C153" s="1" t="str">
        <f t="shared" si="1"/>
        <v>No</v>
      </c>
      <c r="D153" s="1">
        <v>0.0</v>
      </c>
    </row>
    <row r="154" ht="15.75" customHeight="1">
      <c r="A154" s="1" t="str">
        <f>IFERROR(__xludf.DUMMYFUNCTION("""COMPUTED_VALUE"""),"Roman CHAVERS")</f>
        <v>Roman CHAVERS</v>
      </c>
      <c r="B154" s="1" t="str">
        <f>IFERROR(__xludf.DUMMYFUNCTION("""COMPUTED_VALUE"""),"L2")</f>
        <v>L2</v>
      </c>
      <c r="C154" s="1" t="str">
        <f t="shared" si="1"/>
        <v>No</v>
      </c>
      <c r="D154" s="1">
        <v>0.0</v>
      </c>
    </row>
    <row r="155" ht="15.75" customHeight="1">
      <c r="A155" s="1" t="str">
        <f>IFERROR(__xludf.DUMMYFUNCTION("""COMPUTED_VALUE"""),"Henry Hettel")</f>
        <v>Henry Hettel</v>
      </c>
      <c r="B155" s="1" t="str">
        <f>IFERROR(__xludf.DUMMYFUNCTION("""COMPUTED_VALUE"""),"L2")</f>
        <v>L2</v>
      </c>
      <c r="C155" s="1" t="str">
        <f t="shared" si="1"/>
        <v>No</v>
      </c>
      <c r="D155" s="1">
        <v>0.0</v>
      </c>
    </row>
    <row r="156" ht="15.75" customHeight="1">
      <c r="A156" s="1" t="str">
        <f>IFERROR(__xludf.DUMMYFUNCTION("""COMPUTED_VALUE"""),"Warren Hettel")</f>
        <v>Warren Hettel</v>
      </c>
      <c r="B156" s="1" t="str">
        <f>IFERROR(__xludf.DUMMYFUNCTION("""COMPUTED_VALUE"""),"L1")</f>
        <v>L1</v>
      </c>
      <c r="C156" s="1" t="str">
        <f t="shared" si="1"/>
        <v>No</v>
      </c>
      <c r="D156" s="1">
        <v>0.0</v>
      </c>
    </row>
    <row r="157" ht="15.75" customHeight="1">
      <c r="A157" s="1" t="str">
        <f>IFERROR(__xludf.DUMMYFUNCTION("""COMPUTED_VALUE"""),"Ila CHAVERS")</f>
        <v>Ila CHAVERS</v>
      </c>
      <c r="B157" s="1" t="str">
        <f>IFERROR(__xludf.DUMMYFUNCTION("""COMPUTED_VALUE"""),"L1")</f>
        <v>L1</v>
      </c>
      <c r="C157" s="1" t="str">
        <f t="shared" si="1"/>
        <v>No</v>
      </c>
      <c r="D157" s="1">
        <v>0.0</v>
      </c>
    </row>
    <row r="158" ht="15.75" customHeight="1">
      <c r="A158" s="1" t="str">
        <f>IFERROR(__xludf.DUMMYFUNCTION("""COMPUTED_VALUE"""),"Elaine Hettel")</f>
        <v>Elaine Hettel</v>
      </c>
      <c r="B158" s="1" t="str">
        <f>IFERROR(__xludf.DUMMYFUNCTION("""COMPUTED_VALUE"""),"MS")</f>
        <v>MS</v>
      </c>
      <c r="C158" s="1" t="str">
        <f t="shared" si="1"/>
        <v>No</v>
      </c>
      <c r="D158" s="1">
        <v>0.0</v>
      </c>
    </row>
    <row r="159" ht="15.75" customHeight="1">
      <c r="A159" s="1" t="str">
        <f>IFERROR(__xludf.DUMMYFUNCTION("""COMPUTED_VALUE"""),"Keira Luebeck")</f>
        <v>Keira Luebeck</v>
      </c>
      <c r="B159" s="1" t="str">
        <f>IFERROR(__xludf.DUMMYFUNCTION("""COMPUTED_VALUE"""),"L1")</f>
        <v>L1</v>
      </c>
      <c r="C159" s="1" t="str">
        <f t="shared" si="1"/>
        <v>No</v>
      </c>
      <c r="D159" s="1">
        <v>0.0</v>
      </c>
    </row>
    <row r="160" ht="15.75" customHeight="1">
      <c r="A160" s="1" t="str">
        <f>IFERROR(__xludf.DUMMYFUNCTION("""COMPUTED_VALUE"""),"Robert Laird")</f>
        <v>Robert Laird</v>
      </c>
      <c r="B160" s="1" t="str">
        <f>IFERROR(__xludf.DUMMYFUNCTION("""COMPUTED_VALUE"""),"L2")</f>
        <v>L2</v>
      </c>
      <c r="C160" s="1" t="str">
        <f t="shared" si="1"/>
        <v>No</v>
      </c>
      <c r="D160" s="1">
        <v>0.0</v>
      </c>
    </row>
    <row r="161" ht="15.75" customHeight="1">
      <c r="A161" s="1" t="str">
        <f>IFERROR(__xludf.DUMMYFUNCTION("""COMPUTED_VALUE"""),"Luxton Jefferson")</f>
        <v>Luxton Jefferson</v>
      </c>
      <c r="B161" s="1" t="str">
        <f>IFERROR(__xludf.DUMMYFUNCTION("""COMPUTED_VALUE"""),"L1")</f>
        <v>L1</v>
      </c>
      <c r="C161" s="1" t="str">
        <f t="shared" si="1"/>
        <v>No</v>
      </c>
      <c r="D161" s="1">
        <v>0.0</v>
      </c>
    </row>
    <row r="162" ht="15.75" customHeight="1">
      <c r="A162" s="1" t="str">
        <f>IFERROR(__xludf.DUMMYFUNCTION("""COMPUTED_VALUE"""),"Micheal Moi")</f>
        <v>Micheal Moi</v>
      </c>
      <c r="B162" s="1" t="str">
        <f>IFERROR(__xludf.DUMMYFUNCTION("""COMPUTED_VALUE"""),"L1")</f>
        <v>L1</v>
      </c>
      <c r="C162" s="1" t="str">
        <f t="shared" si="1"/>
        <v>No</v>
      </c>
      <c r="D162" s="1">
        <v>0.0</v>
      </c>
    </row>
    <row r="163" ht="15.75" customHeight="1">
      <c r="A163" s="1" t="str">
        <f>IFERROR(__xludf.DUMMYFUNCTION("""COMPUTED_VALUE"""),"Madison Senkovich")</f>
        <v>Madison Senkovich</v>
      </c>
      <c r="B163" s="1" t="str">
        <f>IFERROR(__xludf.DUMMYFUNCTION("""COMPUTED_VALUE"""),"L1")</f>
        <v>L1</v>
      </c>
      <c r="C163" s="1" t="str">
        <f t="shared" si="1"/>
        <v>No</v>
      </c>
      <c r="D163" s="1">
        <v>0.0</v>
      </c>
    </row>
    <row r="164" ht="15.75" customHeight="1">
      <c r="A164" s="1" t="str">
        <f>IFERROR(__xludf.DUMMYFUNCTION("""COMPUTED_VALUE"""),"Emerson Ingram")</f>
        <v>Emerson Ingram</v>
      </c>
      <c r="B164" s="1" t="str">
        <f>IFERROR(__xludf.DUMMYFUNCTION("""COMPUTED_VALUE"""),"L1")</f>
        <v>L1</v>
      </c>
      <c r="C164" s="1" t="str">
        <f t="shared" si="1"/>
        <v>No</v>
      </c>
      <c r="D164" s="1">
        <v>0.0</v>
      </c>
    </row>
    <row r="165" ht="15.75" customHeight="1">
      <c r="A165" s="1" t="str">
        <f>IFERROR(__xludf.DUMMYFUNCTION("""COMPUTED_VALUE"""),"Isla Ingram")</f>
        <v>Isla Ingram</v>
      </c>
      <c r="B165" s="1" t="str">
        <f>IFERROR(__xludf.DUMMYFUNCTION("""COMPUTED_VALUE"""),"MS")</f>
        <v>MS</v>
      </c>
      <c r="C165" s="1" t="str">
        <f t="shared" si="1"/>
        <v>No</v>
      </c>
      <c r="D165" s="1">
        <v>0.0</v>
      </c>
    </row>
    <row r="166" ht="15.75" customHeight="1">
      <c r="A166" s="1" t="str">
        <f>IFERROR(__xludf.DUMMYFUNCTION("""COMPUTED_VALUE"""),"Wesley Ralls")</f>
        <v>Wesley Ralls</v>
      </c>
      <c r="B166" s="1" t="str">
        <f>IFERROR(__xludf.DUMMYFUNCTION("""COMPUTED_VALUE"""),"MS")</f>
        <v>MS</v>
      </c>
      <c r="C166" s="1" t="str">
        <f t="shared" si="1"/>
        <v>No</v>
      </c>
      <c r="D166" s="1">
        <v>0.0</v>
      </c>
    </row>
    <row r="167" ht="15.75" customHeight="1">
      <c r="A167" s="1" t="str">
        <f>IFERROR(__xludf.DUMMYFUNCTION("""COMPUTED_VALUE"""),"Hudson Ralls")</f>
        <v>Hudson Ralls</v>
      </c>
      <c r="B167" s="1" t="str">
        <f>IFERROR(__xludf.DUMMYFUNCTION("""COMPUTED_VALUE"""),"MS")</f>
        <v>MS</v>
      </c>
      <c r="C167" s="1" t="str">
        <f t="shared" si="1"/>
        <v>No</v>
      </c>
      <c r="D167" s="1">
        <v>0.0</v>
      </c>
    </row>
    <row r="168" ht="15.75" customHeight="1">
      <c r="A168" s="1" t="str">
        <f>IFERROR(__xludf.DUMMYFUNCTION("""COMPUTED_VALUE"""),"Drew Sheldon")</f>
        <v>Drew Sheldon</v>
      </c>
      <c r="B168" s="1" t="str">
        <f>IFERROR(__xludf.DUMMYFUNCTION("""COMPUTED_VALUE"""),"HS")</f>
        <v>HS</v>
      </c>
      <c r="C168" s="1" t="str">
        <f t="shared" si="1"/>
        <v>No</v>
      </c>
      <c r="D168" s="1">
        <v>0.0</v>
      </c>
    </row>
    <row r="169" ht="15.75" customHeight="1">
      <c r="A169" s="1" t="str">
        <f>IFERROR(__xludf.DUMMYFUNCTION("""COMPUTED_VALUE"""),"Julia Bowker")</f>
        <v>Julia Bowker</v>
      </c>
      <c r="B169" s="1" t="str">
        <f>IFERROR(__xludf.DUMMYFUNCTION("""COMPUTED_VALUE"""),"MS")</f>
        <v>MS</v>
      </c>
      <c r="C169" s="1" t="str">
        <f t="shared" si="1"/>
        <v>No</v>
      </c>
      <c r="D169" s="1">
        <v>0.0</v>
      </c>
    </row>
    <row r="170" ht="15.75" customHeight="1">
      <c r="A170" s="1" t="str">
        <f>IFERROR(__xludf.DUMMYFUNCTION("""COMPUTED_VALUE"""),"Emma Bowker")</f>
        <v>Emma Bowker</v>
      </c>
      <c r="B170" s="1" t="str">
        <f>IFERROR(__xludf.DUMMYFUNCTION("""COMPUTED_VALUE"""),"MS")</f>
        <v>MS</v>
      </c>
      <c r="C170" s="1" t="str">
        <f t="shared" si="1"/>
        <v>No</v>
      </c>
      <c r="D170" s="1">
        <v>0.0</v>
      </c>
    </row>
    <row r="171" ht="15.75" customHeight="1">
      <c r="A171" s="1" t="str">
        <f>IFERROR(__xludf.DUMMYFUNCTION("""COMPUTED_VALUE"""),"Isis Carter")</f>
        <v>Isis Carter</v>
      </c>
      <c r="B171" s="1" t="str">
        <f>IFERROR(__xludf.DUMMYFUNCTION("""COMPUTED_VALUE"""),"MS")</f>
        <v>MS</v>
      </c>
      <c r="C171" s="1" t="str">
        <f t="shared" si="1"/>
        <v>No</v>
      </c>
      <c r="D171" s="1">
        <v>0.0</v>
      </c>
    </row>
    <row r="172" ht="15.75" customHeight="1">
      <c r="A172" s="1" t="str">
        <f>IFERROR(__xludf.DUMMYFUNCTION("""COMPUTED_VALUE"""),"Rei Quek")</f>
        <v>Rei Quek</v>
      </c>
      <c r="B172" s="1" t="str">
        <f>IFERROR(__xludf.DUMMYFUNCTION("""COMPUTED_VALUE"""),"MS")</f>
        <v>MS</v>
      </c>
      <c r="C172" s="1" t="str">
        <f t="shared" si="1"/>
        <v>No</v>
      </c>
      <c r="D172" s="1">
        <v>0.0</v>
      </c>
    </row>
    <row r="173" ht="15.75" customHeight="1">
      <c r="A173" s="1" t="str">
        <f>IFERROR(__xludf.DUMMYFUNCTION("""COMPUTED_VALUE"""),"Ren Quek")</f>
        <v>Ren Quek</v>
      </c>
      <c r="B173" s="1" t="str">
        <f>IFERROR(__xludf.DUMMYFUNCTION("""COMPUTED_VALUE"""),"L1")</f>
        <v>L1</v>
      </c>
      <c r="C173" s="1" t="str">
        <f t="shared" si="1"/>
        <v>No</v>
      </c>
      <c r="D173" s="1">
        <v>0.0</v>
      </c>
    </row>
    <row r="174" ht="15.75" customHeight="1">
      <c r="A174" s="1" t="str">
        <f>IFERROR(__xludf.DUMMYFUNCTION("""COMPUTED_VALUE"""),"Ava Dixon")</f>
        <v>Ava Dixon</v>
      </c>
      <c r="B174" s="1" t="str">
        <f>IFERROR(__xludf.DUMMYFUNCTION("""COMPUTED_VALUE"""),"L2")</f>
        <v>L2</v>
      </c>
      <c r="C174" s="1" t="str">
        <f t="shared" si="1"/>
        <v>No</v>
      </c>
      <c r="D174" s="1">
        <v>0.0</v>
      </c>
    </row>
    <row r="175" ht="15.75" customHeight="1">
      <c r="A175" s="1" t="str">
        <f>IFERROR(__xludf.DUMMYFUNCTION("""COMPUTED_VALUE"""),"Jace Dixon")</f>
        <v>Jace Dixon</v>
      </c>
      <c r="B175" s="1" t="str">
        <f>IFERROR(__xludf.DUMMYFUNCTION("""COMPUTED_VALUE"""),"L1")</f>
        <v>L1</v>
      </c>
      <c r="C175" s="1" t="str">
        <f t="shared" si="1"/>
        <v>No</v>
      </c>
      <c r="D175" s="1">
        <v>0.0</v>
      </c>
    </row>
    <row r="176" ht="15.75" customHeight="1">
      <c r="A176" s="1" t="str">
        <f>IFERROR(__xludf.DUMMYFUNCTION("""COMPUTED_VALUE"""),"Revie Jefferson")</f>
        <v>Revie Jefferson</v>
      </c>
      <c r="B176" s="1" t="str">
        <f>IFERROR(__xludf.DUMMYFUNCTION("""COMPUTED_VALUE"""),"L1")</f>
        <v>L1</v>
      </c>
      <c r="C176" s="1" t="str">
        <f t="shared" si="1"/>
        <v>No</v>
      </c>
      <c r="D176" s="1">
        <v>0.0</v>
      </c>
    </row>
    <row r="177" ht="15.75" customHeight="1">
      <c r="A177" s="1" t="str">
        <f>IFERROR(__xludf.DUMMYFUNCTION("""COMPUTED_VALUE"""),"Charlotte Barry")</f>
        <v>Charlotte Barry</v>
      </c>
      <c r="B177" s="1" t="str">
        <f>IFERROR(__xludf.DUMMYFUNCTION("""COMPUTED_VALUE"""),"L2")</f>
        <v>L2</v>
      </c>
      <c r="C177" s="1" t="str">
        <f t="shared" si="1"/>
        <v>No</v>
      </c>
      <c r="D177" s="1">
        <v>0.0</v>
      </c>
    </row>
    <row r="178" ht="15.75" customHeight="1">
      <c r="A178" s="1" t="str">
        <f>IFERROR(__xludf.DUMMYFUNCTION("""COMPUTED_VALUE"""),"Kate Corsico")</f>
        <v>Kate Corsico</v>
      </c>
      <c r="B178" s="1" t="str">
        <f>IFERROR(__xludf.DUMMYFUNCTION("""COMPUTED_VALUE"""),"MS")</f>
        <v>MS</v>
      </c>
      <c r="C178" s="1" t="str">
        <f t="shared" si="1"/>
        <v>No</v>
      </c>
      <c r="D178" s="1">
        <v>0.0</v>
      </c>
    </row>
    <row r="179" ht="15.75" customHeight="1">
      <c r="A179" s="1" t="str">
        <f>IFERROR(__xludf.DUMMYFUNCTION("""COMPUTED_VALUE"""),"John Corsico")</f>
        <v>John Corsico</v>
      </c>
      <c r="B179" s="1" t="str">
        <f>IFERROR(__xludf.DUMMYFUNCTION("""COMPUTED_VALUE"""),"L2")</f>
        <v>L2</v>
      </c>
      <c r="C179" s="1" t="str">
        <f t="shared" si="1"/>
        <v>No</v>
      </c>
      <c r="D179" s="1">
        <v>0.0</v>
      </c>
    </row>
    <row r="180" ht="15.75" customHeight="1">
      <c r="A180" s="1" t="str">
        <f>IFERROR(__xludf.DUMMYFUNCTION("""COMPUTED_VALUE"""),"Charles Corsico")</f>
        <v>Charles Corsico</v>
      </c>
      <c r="B180" s="1" t="str">
        <f>IFERROR(__xludf.DUMMYFUNCTION("""COMPUTED_VALUE"""),"L2")</f>
        <v>L2</v>
      </c>
      <c r="C180" s="1" t="str">
        <f t="shared" si="1"/>
        <v>No</v>
      </c>
      <c r="D180" s="1">
        <v>0.0</v>
      </c>
    </row>
    <row r="181" ht="15.75" customHeight="1">
      <c r="A181" s="1" t="str">
        <f>IFERROR(__xludf.DUMMYFUNCTION("""COMPUTED_VALUE"""),"Grace Corsico")</f>
        <v>Grace Corsico</v>
      </c>
      <c r="B181" s="1" t="str">
        <f>IFERROR(__xludf.DUMMYFUNCTION("""COMPUTED_VALUE"""),"L1")</f>
        <v>L1</v>
      </c>
      <c r="C181" s="1" t="str">
        <f t="shared" si="1"/>
        <v>No</v>
      </c>
      <c r="D181" s="1">
        <v>0.0</v>
      </c>
    </row>
    <row r="182" ht="15.75" customHeight="1">
      <c r="A182" s="1" t="str">
        <f>IFERROR(__xludf.DUMMYFUNCTION("""COMPUTED_VALUE"""),"Skylar Jeffery")</f>
        <v>Skylar Jeffery</v>
      </c>
      <c r="B182" s="1" t="str">
        <f>IFERROR(__xludf.DUMMYFUNCTION("""COMPUTED_VALUE"""),"MS")</f>
        <v>MS</v>
      </c>
      <c r="C182" s="1" t="str">
        <f t="shared" si="1"/>
        <v>No</v>
      </c>
      <c r="D182" s="1">
        <v>0.0</v>
      </c>
    </row>
    <row r="183" ht="15.75" customHeight="1">
      <c r="A183" s="1" t="str">
        <f>IFERROR(__xludf.DUMMYFUNCTION("""COMPUTED_VALUE"""),"Sutter Hixson")</f>
        <v>Sutter Hixson</v>
      </c>
      <c r="B183" s="1" t="str">
        <f>IFERROR(__xludf.DUMMYFUNCTION("""COMPUTED_VALUE"""),"L2")</f>
        <v>L2</v>
      </c>
      <c r="C183" s="1" t="str">
        <f t="shared" si="1"/>
        <v>No</v>
      </c>
      <c r="D183" s="1">
        <v>0.0</v>
      </c>
    </row>
    <row r="184" ht="15.75" customHeight="1">
      <c r="A184" s="1" t="str">
        <f>IFERROR(__xludf.DUMMYFUNCTION("""COMPUTED_VALUE"""),"Elias Hixson")</f>
        <v>Elias Hixson</v>
      </c>
      <c r="B184" s="1" t="str">
        <f>IFERROR(__xludf.DUMMYFUNCTION("""COMPUTED_VALUE"""),"L1")</f>
        <v>L1</v>
      </c>
      <c r="C184" s="1" t="str">
        <f t="shared" si="1"/>
        <v>No</v>
      </c>
      <c r="D184" s="1">
        <v>0.0</v>
      </c>
    </row>
    <row r="185" ht="15.75" customHeight="1">
      <c r="A185" s="1" t="str">
        <f>IFERROR(__xludf.DUMMYFUNCTION("""COMPUTED_VALUE"""),"Elisabeth Peace")</f>
        <v>Elisabeth Peace</v>
      </c>
      <c r="B185" s="1" t="str">
        <f>IFERROR(__xludf.DUMMYFUNCTION("""COMPUTED_VALUE"""),"L1")</f>
        <v>L1</v>
      </c>
      <c r="C185" s="1" t="str">
        <f t="shared" si="1"/>
        <v>No</v>
      </c>
      <c r="D185" s="1">
        <v>0.0</v>
      </c>
    </row>
    <row r="186" ht="15.75" customHeight="1">
      <c r="A186" s="1" t="str">
        <f>IFERROR(__xludf.DUMMYFUNCTION("""COMPUTED_VALUE"""),"Avelle Himmler")</f>
        <v>Avelle Himmler</v>
      </c>
      <c r="B186" s="1" t="str">
        <f>IFERROR(__xludf.DUMMYFUNCTION("""COMPUTED_VALUE"""),"MS")</f>
        <v>MS</v>
      </c>
      <c r="C186" s="1" t="str">
        <f t="shared" si="1"/>
        <v>No</v>
      </c>
      <c r="D186" s="1">
        <v>0.0</v>
      </c>
    </row>
    <row r="187" ht="15.75" customHeight="1">
      <c r="A187" s="1" t="str">
        <f>IFERROR(__xludf.DUMMYFUNCTION("""COMPUTED_VALUE"""),"Quinn Espanet")</f>
        <v>Quinn Espanet</v>
      </c>
      <c r="B187" s="1" t="str">
        <f>IFERROR(__xludf.DUMMYFUNCTION("""COMPUTED_VALUE"""),"MS")</f>
        <v>MS</v>
      </c>
      <c r="C187" s="1" t="str">
        <f t="shared" si="1"/>
        <v>No</v>
      </c>
      <c r="D187" s="1">
        <v>0.0</v>
      </c>
    </row>
    <row r="188" ht="15.75" customHeight="1">
      <c r="A188" s="1" t="str">
        <f>IFERROR(__xludf.DUMMYFUNCTION("""COMPUTED_VALUE"""),"Harrison McGhee")</f>
        <v>Harrison McGhee</v>
      </c>
      <c r="B188" s="1" t="str">
        <f>IFERROR(__xludf.DUMMYFUNCTION("""COMPUTED_VALUE"""),"L2")</f>
        <v>L2</v>
      </c>
      <c r="C188" s="1" t="str">
        <f t="shared" si="1"/>
        <v>No</v>
      </c>
      <c r="D188" s="1">
        <v>0.0</v>
      </c>
    </row>
    <row r="189" ht="15.75" customHeight="1">
      <c r="A189" s="1" t="str">
        <f>IFERROR(__xludf.DUMMYFUNCTION("""COMPUTED_VALUE"""),"Nihi Yay")</f>
        <v>Nihi Yay</v>
      </c>
      <c r="B189" s="1" t="str">
        <f>IFERROR(__xludf.DUMMYFUNCTION("""COMPUTED_VALUE"""),"L1")</f>
        <v>L1</v>
      </c>
      <c r="C189" s="1" t="str">
        <f t="shared" si="1"/>
        <v>No</v>
      </c>
      <c r="D189" s="1">
        <v>0.0</v>
      </c>
    </row>
    <row r="190" ht="15.75" customHeight="1">
      <c r="A190" s="1" t="str">
        <f>IFERROR(__xludf.DUMMYFUNCTION("""COMPUTED_VALUE"""),"Ryan Wohlwend")</f>
        <v>Ryan Wohlwend</v>
      </c>
      <c r="B190" s="1" t="str">
        <f>IFERROR(__xludf.DUMMYFUNCTION("""COMPUTED_VALUE"""),"MS")</f>
        <v>MS</v>
      </c>
      <c r="C190" s="1" t="str">
        <f t="shared" si="1"/>
        <v>No</v>
      </c>
      <c r="D190" s="1">
        <v>0.0</v>
      </c>
    </row>
    <row r="191" ht="15.75" customHeight="1">
      <c r="A191" s="1" t="str">
        <f>IFERROR(__xludf.DUMMYFUNCTION("""COMPUTED_VALUE"""),"Luke Ivens-Brown")</f>
        <v>Luke Ivens-Brown</v>
      </c>
      <c r="B191" s="1" t="str">
        <f>IFERROR(__xludf.DUMMYFUNCTION("""COMPUTED_VALUE"""),"L2")</f>
        <v>L2</v>
      </c>
      <c r="C191" s="1" t="str">
        <f t="shared" si="1"/>
        <v>No</v>
      </c>
      <c r="D191" s="1">
        <v>0.0</v>
      </c>
    </row>
    <row r="192" ht="15.75" customHeight="1">
      <c r="A192" s="1" t="str">
        <f>IFERROR(__xludf.DUMMYFUNCTION("""COMPUTED_VALUE"""),"Bear Buehner")</f>
        <v>Bear Buehner</v>
      </c>
      <c r="B192" s="1" t="str">
        <f>IFERROR(__xludf.DUMMYFUNCTION("""COMPUTED_VALUE"""),"MS")</f>
        <v>MS</v>
      </c>
      <c r="C192" s="1" t="str">
        <f t="shared" si="1"/>
        <v>No</v>
      </c>
      <c r="D192" s="1">
        <v>0.0</v>
      </c>
    </row>
    <row r="193" ht="15.75" customHeight="1">
      <c r="A193" s="1" t="str">
        <f>IFERROR(__xludf.DUMMYFUNCTION("""COMPUTED_VALUE"""),"Arthur Ashcroft")</f>
        <v>Arthur Ashcroft</v>
      </c>
      <c r="B193" s="1" t="str">
        <f>IFERROR(__xludf.DUMMYFUNCTION("""COMPUTED_VALUE"""),"L2")</f>
        <v>L2</v>
      </c>
      <c r="C193" s="1" t="str">
        <f t="shared" si="1"/>
        <v>No</v>
      </c>
      <c r="D193" s="1">
        <v>0.0</v>
      </c>
    </row>
    <row r="194" ht="15.75" customHeight="1">
      <c r="A194" s="1" t="str">
        <f>IFERROR(__xludf.DUMMYFUNCTION("""COMPUTED_VALUE"""),"Cameron Teel")</f>
        <v>Cameron Teel</v>
      </c>
      <c r="B194" s="1" t="str">
        <f>IFERROR(__xludf.DUMMYFUNCTION("""COMPUTED_VALUE"""),"L2")</f>
        <v>L2</v>
      </c>
      <c r="C194" s="1" t="str">
        <f t="shared" si="1"/>
        <v>No</v>
      </c>
      <c r="D194" s="1">
        <v>0.0</v>
      </c>
    </row>
    <row r="195" ht="15.75" customHeight="1">
      <c r="A195" s="1" t="str">
        <f>IFERROR(__xludf.DUMMYFUNCTION("""COMPUTED_VALUE"""),"Annelise Arrieta Vu")</f>
        <v>Annelise Arrieta Vu</v>
      </c>
      <c r="B195" s="1" t="str">
        <f>IFERROR(__xludf.DUMMYFUNCTION("""COMPUTED_VALUE"""),"MS")</f>
        <v>MS</v>
      </c>
      <c r="C195" s="1" t="str">
        <f t="shared" si="1"/>
        <v>No</v>
      </c>
      <c r="D195" s="1">
        <v>0.0</v>
      </c>
    </row>
    <row r="196" ht="15.75" customHeight="1">
      <c r="A196" s="1" t="str">
        <f>IFERROR(__xludf.DUMMYFUNCTION("""COMPUTED_VALUE"""),"Liam Monaco")</f>
        <v>Liam Monaco</v>
      </c>
      <c r="B196" s="1" t="str">
        <f>IFERROR(__xludf.DUMMYFUNCTION("""COMPUTED_VALUE"""),"L1")</f>
        <v>L1</v>
      </c>
      <c r="C196" s="1" t="str">
        <f t="shared" si="1"/>
        <v>No</v>
      </c>
      <c r="D196" s="1">
        <v>0.0</v>
      </c>
    </row>
    <row r="197" ht="15.75" customHeight="1">
      <c r="A197" s="1" t="str">
        <f>IFERROR(__xludf.DUMMYFUNCTION("""COMPUTED_VALUE"""),"Penelope Monaco")</f>
        <v>Penelope Monaco</v>
      </c>
      <c r="B197" s="1" t="str">
        <f>IFERROR(__xludf.DUMMYFUNCTION("""COMPUTED_VALUE"""),"MS")</f>
        <v>MS</v>
      </c>
      <c r="C197" s="1" t="str">
        <f t="shared" si="1"/>
        <v>No</v>
      </c>
      <c r="D197" s="1">
        <v>0.0</v>
      </c>
    </row>
    <row r="198" ht="15.75" customHeight="1">
      <c r="A198" s="1" t="str">
        <f>IFERROR(__xludf.DUMMYFUNCTION("""COMPUTED_VALUE"""),"Lola Monaco")</f>
        <v>Lola Monaco</v>
      </c>
      <c r="B198" s="1" t="str">
        <f>IFERROR(__xludf.DUMMYFUNCTION("""COMPUTED_VALUE"""),"MS")</f>
        <v>MS</v>
      </c>
      <c r="C198" s="1" t="str">
        <f t="shared" si="1"/>
        <v>No</v>
      </c>
      <c r="D198" s="1">
        <v>0.0</v>
      </c>
    </row>
    <row r="199" ht="15.75" customHeight="1">
      <c r="A199" s="1" t="str">
        <f>IFERROR(__xludf.DUMMYFUNCTION("""COMPUTED_VALUE"""),"Mila Dodd")</f>
        <v>Mila Dodd</v>
      </c>
      <c r="B199" s="1" t="str">
        <f>IFERROR(__xludf.DUMMYFUNCTION("""COMPUTED_VALUE"""),"L1")</f>
        <v>L1</v>
      </c>
      <c r="C199" s="1" t="str">
        <f t="shared" si="1"/>
        <v>No</v>
      </c>
      <c r="D199" s="1">
        <v>0.0</v>
      </c>
    </row>
    <row r="200" ht="15.75" customHeight="1">
      <c r="A200" s="1" t="str">
        <f>IFERROR(__xludf.DUMMYFUNCTION("""COMPUTED_VALUE"""),"James Wojdan")</f>
        <v>James Wojdan</v>
      </c>
      <c r="B200" s="1" t="str">
        <f>IFERROR(__xludf.DUMMYFUNCTION("""COMPUTED_VALUE"""),"L2")</f>
        <v>L2</v>
      </c>
      <c r="C200" s="1" t="str">
        <f t="shared" si="1"/>
        <v>No</v>
      </c>
      <c r="D200" s="1">
        <v>0.0</v>
      </c>
    </row>
    <row r="201" ht="15.75" customHeight="1">
      <c r="A201" s="1" t="str">
        <f>IFERROR(__xludf.DUMMYFUNCTION("""COMPUTED_VALUE"""),"Charles Schmid")</f>
        <v>Charles Schmid</v>
      </c>
      <c r="B201" s="1" t="str">
        <f>IFERROR(__xludf.DUMMYFUNCTION("""COMPUTED_VALUE"""),"L1")</f>
        <v>L1</v>
      </c>
      <c r="C201" s="1" t="str">
        <f t="shared" si="1"/>
        <v>No</v>
      </c>
      <c r="D201" s="1">
        <v>0.0</v>
      </c>
    </row>
    <row r="202" ht="15.75" customHeight="1">
      <c r="A202" s="1" t="str">
        <f>IFERROR(__xludf.DUMMYFUNCTION("""COMPUTED_VALUE"""),"Zahra Boipelo")</f>
        <v>Zahra Boipelo</v>
      </c>
      <c r="B202" s="1" t="str">
        <f>IFERROR(__xludf.DUMMYFUNCTION("""COMPUTED_VALUE"""),"L1")</f>
        <v>L1</v>
      </c>
      <c r="C202" s="1" t="str">
        <f t="shared" si="1"/>
        <v>No</v>
      </c>
      <c r="D202" s="1">
        <v>0.0</v>
      </c>
    </row>
    <row r="203" ht="15.75" customHeight="1">
      <c r="A203" s="1" t="str">
        <f>IFERROR(__xludf.DUMMYFUNCTION("""COMPUTED_VALUE"""),"Colin Sheldon")</f>
        <v>Colin Sheldon</v>
      </c>
      <c r="B203" s="1" t="str">
        <f>IFERROR(__xludf.DUMMYFUNCTION("""COMPUTED_VALUE"""),"MS")</f>
        <v>MS</v>
      </c>
      <c r="C203" s="1" t="str">
        <f t="shared" si="1"/>
        <v>No</v>
      </c>
      <c r="D203" s="1">
        <v>0.0</v>
      </c>
    </row>
    <row r="204" ht="15.75" customHeight="1">
      <c r="A204" s="1" t="str">
        <f>IFERROR(__xludf.DUMMYFUNCTION("""COMPUTED_VALUE"""),"Jake Sheldon")</f>
        <v>Jake Sheldon</v>
      </c>
      <c r="B204" s="1" t="str">
        <f>IFERROR(__xludf.DUMMYFUNCTION("""COMPUTED_VALUE"""),"HS")</f>
        <v>HS</v>
      </c>
      <c r="C204" s="1" t="str">
        <f t="shared" si="1"/>
        <v>No</v>
      </c>
      <c r="D204" s="1">
        <v>0.0</v>
      </c>
    </row>
    <row r="205" ht="15.75" customHeight="1">
      <c r="A205" s="1" t="str">
        <f>IFERROR(__xludf.DUMMYFUNCTION("""COMPUTED_VALUE"""),"Alan Mandelbaum")</f>
        <v>Alan Mandelbaum</v>
      </c>
      <c r="B205" s="1" t="str">
        <f>IFERROR(__xludf.DUMMYFUNCTION("""COMPUTED_VALUE"""),"L2")</f>
        <v>L2</v>
      </c>
      <c r="C205" s="1" t="str">
        <f t="shared" si="1"/>
        <v>No</v>
      </c>
      <c r="D205" s="1">
        <v>0.0</v>
      </c>
    </row>
    <row r="206" ht="15.75" customHeight="1">
      <c r="A206" s="1" t="str">
        <f>IFERROR(__xludf.DUMMYFUNCTION("""COMPUTED_VALUE"""),"Shana Mandelbaum")</f>
        <v>Shana Mandelbaum</v>
      </c>
      <c r="B206" s="1" t="str">
        <f>IFERROR(__xludf.DUMMYFUNCTION("""COMPUTED_VALUE"""),"L2")</f>
        <v>L2</v>
      </c>
      <c r="C206" s="1" t="str">
        <f t="shared" si="1"/>
        <v>No</v>
      </c>
      <c r="D206" s="1">
        <v>0.0</v>
      </c>
    </row>
    <row r="207" ht="15.75" customHeight="1">
      <c r="A207" s="1" t="str">
        <f>IFERROR(__xludf.DUMMYFUNCTION("""COMPUTED_VALUE"""),"Deo Ravikant")</f>
        <v>Deo Ravikant</v>
      </c>
      <c r="B207" s="1" t="str">
        <f>IFERROR(__xludf.DUMMYFUNCTION("""COMPUTED_VALUE"""),"L2")</f>
        <v>L2</v>
      </c>
      <c r="C207" s="1" t="str">
        <f t="shared" si="1"/>
        <v>No</v>
      </c>
      <c r="D207" s="1">
        <v>0.0</v>
      </c>
    </row>
    <row r="208" ht="15.75" customHeight="1">
      <c r="A208" s="1" t="str">
        <f>IFERROR(__xludf.DUMMYFUNCTION("""COMPUTED_VALUE"""),"Neo Ravikant")</f>
        <v>Neo Ravikant</v>
      </c>
      <c r="B208" s="1" t="str">
        <f>IFERROR(__xludf.DUMMYFUNCTION("""COMPUTED_VALUE"""),"L2")</f>
        <v>L2</v>
      </c>
      <c r="C208" s="1" t="str">
        <f t="shared" si="1"/>
        <v>No</v>
      </c>
      <c r="D208" s="1">
        <v>0.0</v>
      </c>
    </row>
    <row r="209" ht="15.75" customHeight="1">
      <c r="A209" s="1" t="str">
        <f>IFERROR(__xludf.DUMMYFUNCTION("""COMPUTED_VALUE"""),"Jimmy TwoFingers")</f>
        <v>Jimmy TwoFingers</v>
      </c>
      <c r="B209" s="1" t="str">
        <f>IFERROR(__xludf.DUMMYFUNCTION("""COMPUTED_VALUE"""),"MS")</f>
        <v>MS</v>
      </c>
      <c r="C209" s="1" t="str">
        <f t="shared" si="1"/>
        <v>No</v>
      </c>
      <c r="D209" s="1">
        <v>0.0</v>
      </c>
    </row>
    <row r="210" ht="15.75" customHeight="1">
      <c r="A210" s="1" t="str">
        <f>IFERROR(__xludf.DUMMYFUNCTION("""COMPUTED_VALUE"""),"Arsh Jinsi")</f>
        <v>Arsh Jinsi</v>
      </c>
      <c r="B210" s="1" t="str">
        <f>IFERROR(__xludf.DUMMYFUNCTION("""COMPUTED_VALUE"""),"MS")</f>
        <v>MS</v>
      </c>
      <c r="C210" s="1" t="str">
        <f t="shared" si="1"/>
        <v>No</v>
      </c>
      <c r="D210" s="1">
        <v>0.0</v>
      </c>
    </row>
    <row r="211" ht="15.75" customHeight="1">
      <c r="A211" s="1" t="str">
        <f>IFERROR(__xludf.DUMMYFUNCTION("""COMPUTED_VALUE"""),"Lilly Strader")</f>
        <v>Lilly Strader</v>
      </c>
      <c r="B211" s="1" t="str">
        <f>IFERROR(__xludf.DUMMYFUNCTION("""COMPUTED_VALUE"""),"MS")</f>
        <v>MS</v>
      </c>
      <c r="C211" s="1" t="str">
        <f t="shared" si="1"/>
        <v>No</v>
      </c>
      <c r="D211" s="1">
        <v>0.0</v>
      </c>
    </row>
    <row r="212" ht="15.75" customHeight="1">
      <c r="A212" s="1" t="str">
        <f>IFERROR(__xludf.DUMMYFUNCTION("""COMPUTED_VALUE"""),"Nivaan Ag")</f>
        <v>Nivaan Ag</v>
      </c>
      <c r="B212" s="1" t="str">
        <f>IFERROR(__xludf.DUMMYFUNCTION("""COMPUTED_VALUE"""),"L1")</f>
        <v>L1</v>
      </c>
      <c r="C212" s="1" t="str">
        <f t="shared" si="1"/>
        <v>No</v>
      </c>
      <c r="D212" s="1">
        <v>0.0</v>
      </c>
    </row>
    <row r="213" ht="15.75" customHeight="1">
      <c r="A213" s="1" t="str">
        <f>IFERROR(__xludf.DUMMYFUNCTION("""COMPUTED_VALUE"""),"Lily Trifon")</f>
        <v>Lily Trifon</v>
      </c>
      <c r="B213" s="1" t="str">
        <f>IFERROR(__xludf.DUMMYFUNCTION("""COMPUTED_VALUE"""),"MS")</f>
        <v>MS</v>
      </c>
      <c r="C213" s="1" t="str">
        <f t="shared" si="1"/>
        <v>No</v>
      </c>
      <c r="D213" s="1">
        <v>0.0</v>
      </c>
    </row>
    <row r="214" ht="15.75" customHeight="1">
      <c r="A214" s="1" t="str">
        <f>IFERROR(__xludf.DUMMYFUNCTION("""COMPUTED_VALUE"""),"Olivia Trifon")</f>
        <v>Olivia Trifon</v>
      </c>
      <c r="B214" s="1" t="str">
        <f>IFERROR(__xludf.DUMMYFUNCTION("""COMPUTED_VALUE"""),"L1")</f>
        <v>L1</v>
      </c>
      <c r="C214" s="1" t="str">
        <f t="shared" si="1"/>
        <v>No</v>
      </c>
      <c r="D214" s="1">
        <v>0.0</v>
      </c>
    </row>
    <row r="215" ht="15.75" customHeight="1">
      <c r="A215" s="1" t="str">
        <f>IFERROR(__xludf.DUMMYFUNCTION("""COMPUTED_VALUE"""),"Atlas Hendricksen")</f>
        <v>Atlas Hendricksen</v>
      </c>
      <c r="B215" s="1" t="str">
        <f>IFERROR(__xludf.DUMMYFUNCTION("""COMPUTED_VALUE"""),"LL")</f>
        <v>LL</v>
      </c>
      <c r="C215" s="1" t="str">
        <f t="shared" si="1"/>
        <v>No</v>
      </c>
      <c r="D215" s="1">
        <v>0.0</v>
      </c>
    </row>
    <row r="216" ht="15.75" customHeight="1">
      <c r="A216" s="1" t="str">
        <f>IFERROR(__xludf.DUMMYFUNCTION("""COMPUTED_VALUE"""),"Odan Rowley")</f>
        <v>Odan Rowley</v>
      </c>
      <c r="B216" s="1" t="str">
        <f>IFERROR(__xludf.DUMMYFUNCTION("""COMPUTED_VALUE"""),"L2")</f>
        <v>L2</v>
      </c>
      <c r="C216" s="1" t="str">
        <f t="shared" si="1"/>
        <v>No</v>
      </c>
      <c r="D216" s="1">
        <v>0.0</v>
      </c>
    </row>
    <row r="217" ht="15.75" customHeight="1">
      <c r="A217" s="1" t="str">
        <f>IFERROR(__xludf.DUMMYFUNCTION("""COMPUTED_VALUE"""),"Greta Rowley")</f>
        <v>Greta Rowley</v>
      </c>
      <c r="B217" s="1" t="str">
        <f>IFERROR(__xludf.DUMMYFUNCTION("""COMPUTED_VALUE"""),"L2")</f>
        <v>L2</v>
      </c>
      <c r="C217" s="1" t="str">
        <f t="shared" si="1"/>
        <v>No</v>
      </c>
      <c r="D217" s="1">
        <v>0.0</v>
      </c>
    </row>
    <row r="218" ht="15.75" customHeight="1">
      <c r="A218" s="1" t="str">
        <f>IFERROR(__xludf.DUMMYFUNCTION("""COMPUTED_VALUE"""),"Arrow McCallister")</f>
        <v>Arrow McCallister</v>
      </c>
      <c r="B218" s="1" t="str">
        <f>IFERROR(__xludf.DUMMYFUNCTION("""COMPUTED_VALUE"""),"L1")</f>
        <v>L1</v>
      </c>
      <c r="C218" s="1" t="str">
        <f t="shared" si="1"/>
        <v>No</v>
      </c>
      <c r="D218" s="1">
        <v>0.0</v>
      </c>
    </row>
    <row r="219" ht="15.75" customHeight="1">
      <c r="A219" s="1" t="str">
        <f>IFERROR(__xludf.DUMMYFUNCTION("""COMPUTED_VALUE"""),"Ian Young")</f>
        <v>Ian Young</v>
      </c>
      <c r="B219" s="1" t="str">
        <f>IFERROR(__xludf.DUMMYFUNCTION("""COMPUTED_VALUE"""),"L1")</f>
        <v>L1</v>
      </c>
      <c r="C219" s="1" t="str">
        <f t="shared" si="1"/>
        <v>No</v>
      </c>
      <c r="D219" s="1">
        <v>0.0</v>
      </c>
    </row>
    <row r="220" ht="15.75" customHeight="1">
      <c r="A220" s="1" t="str">
        <f>IFERROR(__xludf.DUMMYFUNCTION("""COMPUTED_VALUE"""),"Elsie Young")</f>
        <v>Elsie Young</v>
      </c>
      <c r="B220" s="1" t="str">
        <f>IFERROR(__xludf.DUMMYFUNCTION("""COMPUTED_VALUE"""),"L2")</f>
        <v>L2</v>
      </c>
      <c r="C220" s="1" t="str">
        <f t="shared" si="1"/>
        <v>No</v>
      </c>
      <c r="D220" s="1">
        <v>0.0</v>
      </c>
    </row>
    <row r="221" ht="15.75" customHeight="1">
      <c r="A221" s="1" t="str">
        <f>IFERROR(__xludf.DUMMYFUNCTION("""COMPUTED_VALUE"""),"Sadie Young")</f>
        <v>Sadie Young</v>
      </c>
      <c r="B221" s="1" t="str">
        <f>IFERROR(__xludf.DUMMYFUNCTION("""COMPUTED_VALUE"""),"MS")</f>
        <v>MS</v>
      </c>
      <c r="C221" s="1" t="str">
        <f t="shared" si="1"/>
        <v>No</v>
      </c>
      <c r="D221" s="1">
        <v>0.0</v>
      </c>
    </row>
    <row r="222" ht="15.75" customHeight="1">
      <c r="A222" s="1" t="str">
        <f>IFERROR(__xludf.DUMMYFUNCTION("""COMPUTED_VALUE"""),"Audrey Young")</f>
        <v>Audrey Young</v>
      </c>
      <c r="B222" s="1" t="str">
        <f>IFERROR(__xludf.DUMMYFUNCTION("""COMPUTED_VALUE"""),"MS")</f>
        <v>MS</v>
      </c>
      <c r="C222" s="1" t="str">
        <f t="shared" si="1"/>
        <v>No</v>
      </c>
      <c r="D222" s="1">
        <v>0.0</v>
      </c>
    </row>
    <row r="223" ht="15.75" customHeight="1">
      <c r="A223" s="1" t="str">
        <f>IFERROR(__xludf.DUMMYFUNCTION("""COMPUTED_VALUE"""),"Kate Armagost")</f>
        <v>Kate Armagost</v>
      </c>
      <c r="B223" s="1" t="str">
        <f>IFERROR(__xludf.DUMMYFUNCTION("""COMPUTED_VALUE"""),"MS")</f>
        <v>MS</v>
      </c>
      <c r="C223" s="1" t="str">
        <f t="shared" si="1"/>
        <v>No</v>
      </c>
      <c r="D223" s="1">
        <v>0.0</v>
      </c>
    </row>
    <row r="224" ht="15.75" customHeight="1">
      <c r="A224" s="1" t="str">
        <f>IFERROR(__xludf.DUMMYFUNCTION("""COMPUTED_VALUE"""),"Jane Armagost")</f>
        <v>Jane Armagost</v>
      </c>
      <c r="B224" s="1" t="str">
        <f>IFERROR(__xludf.DUMMYFUNCTION("""COMPUTED_VALUE"""),"HS")</f>
        <v>HS</v>
      </c>
      <c r="C224" s="1" t="str">
        <f t="shared" si="1"/>
        <v>No</v>
      </c>
      <c r="D224" s="1">
        <v>0.0</v>
      </c>
    </row>
    <row r="225" ht="15.75" customHeight="1">
      <c r="A225" s="1" t="str">
        <f>IFERROR(__xludf.DUMMYFUNCTION("""COMPUTED_VALUE"""),"Finn Aufderheide")</f>
        <v>Finn Aufderheide</v>
      </c>
      <c r="B225" s="1" t="str">
        <f>IFERROR(__xludf.DUMMYFUNCTION("""COMPUTED_VALUE"""),"L1")</f>
        <v>L1</v>
      </c>
      <c r="C225" s="1" t="str">
        <f t="shared" si="1"/>
        <v>No</v>
      </c>
      <c r="D225" s="1">
        <v>0.0</v>
      </c>
    </row>
    <row r="226" ht="15.75" customHeight="1">
      <c r="A226" s="1" t="str">
        <f>IFERROR(__xludf.DUMMYFUNCTION("""COMPUTED_VALUE"""),"Leland Carter")</f>
        <v>Leland Carter</v>
      </c>
      <c r="B226" s="1" t="str">
        <f>IFERROR(__xludf.DUMMYFUNCTION("""COMPUTED_VALUE"""),"MS")</f>
        <v>MS</v>
      </c>
      <c r="C226" s="1" t="str">
        <f t="shared" si="1"/>
        <v>No</v>
      </c>
      <c r="D226" s="1">
        <v>0.0</v>
      </c>
    </row>
    <row r="227" ht="15.75" customHeight="1">
      <c r="A227" s="1" t="str">
        <f>IFERROR(__xludf.DUMMYFUNCTION("""COMPUTED_VALUE"""),"Kai Tarquinio")</f>
        <v>Kai Tarquinio</v>
      </c>
      <c r="B227" s="1" t="str">
        <f>IFERROR(__xludf.DUMMYFUNCTION("""COMPUTED_VALUE"""),"L2")</f>
        <v>L2</v>
      </c>
      <c r="C227" s="1" t="str">
        <f t="shared" si="1"/>
        <v>No</v>
      </c>
      <c r="D227" s="1">
        <v>0.0</v>
      </c>
    </row>
    <row r="228" ht="15.75" customHeight="1">
      <c r="A228" s="1" t="str">
        <f>IFERROR(__xludf.DUMMYFUNCTION("""COMPUTED_VALUE"""),"Owen Faulkner")</f>
        <v>Owen Faulkner</v>
      </c>
      <c r="B228" s="1" t="str">
        <f>IFERROR(__xludf.DUMMYFUNCTION("""COMPUTED_VALUE"""),"L2")</f>
        <v>L2</v>
      </c>
      <c r="C228" s="1" t="str">
        <f t="shared" si="1"/>
        <v>No</v>
      </c>
      <c r="D228" s="1">
        <v>0.0</v>
      </c>
    </row>
    <row r="229" ht="15.75" customHeight="1">
      <c r="A229" s="1" t="str">
        <f>IFERROR(__xludf.DUMMYFUNCTION("""COMPUTED_VALUE"""),"Xander Garcia")</f>
        <v>Xander Garcia</v>
      </c>
      <c r="B229" s="1" t="str">
        <f>IFERROR(__xludf.DUMMYFUNCTION("""COMPUTED_VALUE"""),"L1")</f>
        <v>L1</v>
      </c>
      <c r="C229" s="1" t="str">
        <f t="shared" si="1"/>
        <v>No</v>
      </c>
      <c r="D229" s="1">
        <v>0.0</v>
      </c>
    </row>
    <row r="230" ht="15.75" customHeight="1">
      <c r="A230" s="1" t="str">
        <f>IFERROR(__xludf.DUMMYFUNCTION("""COMPUTED_VALUE"""),"Leo Robinson")</f>
        <v>Leo Robinson</v>
      </c>
      <c r="B230" s="1" t="str">
        <f>IFERROR(__xludf.DUMMYFUNCTION("""COMPUTED_VALUE"""),"L2")</f>
        <v>L2</v>
      </c>
      <c r="C230" s="1" t="str">
        <f t="shared" si="1"/>
        <v>No</v>
      </c>
      <c r="D230" s="1">
        <v>0.0</v>
      </c>
    </row>
    <row r="231" ht="15.75" customHeight="1">
      <c r="A231" s="1" t="str">
        <f>IFERROR(__xludf.DUMMYFUNCTION("""COMPUTED_VALUE"""),"Ella Robinson")</f>
        <v>Ella Robinson</v>
      </c>
      <c r="B231" s="1" t="str">
        <f>IFERROR(__xludf.DUMMYFUNCTION("""COMPUTED_VALUE"""),"L1")</f>
        <v>L1</v>
      </c>
      <c r="C231" s="1" t="str">
        <f t="shared" si="1"/>
        <v>No</v>
      </c>
      <c r="D231" s="1">
        <v>0.0</v>
      </c>
    </row>
    <row r="232" ht="15.75" customHeight="1">
      <c r="A232" s="1" t="str">
        <f>IFERROR(__xludf.DUMMYFUNCTION("""COMPUTED_VALUE"""),"Bodhi Smith")</f>
        <v>Bodhi Smith</v>
      </c>
      <c r="B232" s="1" t="str">
        <f>IFERROR(__xludf.DUMMYFUNCTION("""COMPUTED_VALUE"""),"MS")</f>
        <v>MS</v>
      </c>
      <c r="C232" s="1" t="str">
        <f t="shared" si="1"/>
        <v>No</v>
      </c>
      <c r="D232" s="1">
        <v>0.0</v>
      </c>
    </row>
    <row r="233" ht="15.75" customHeight="1">
      <c r="A233" s="1" t="str">
        <f>IFERROR(__xludf.DUMMYFUNCTION("""COMPUTED_VALUE"""),"Kaden Kwauk")</f>
        <v>Kaden Kwauk</v>
      </c>
      <c r="B233" s="1" t="str">
        <f>IFERROR(__xludf.DUMMYFUNCTION("""COMPUTED_VALUE"""),"L2")</f>
        <v>L2</v>
      </c>
      <c r="C233" s="1" t="str">
        <f t="shared" si="1"/>
        <v>No</v>
      </c>
      <c r="D233" s="1">
        <v>0.0</v>
      </c>
    </row>
    <row r="234" ht="15.75" customHeight="1">
      <c r="A234" s="1" t="str">
        <f>IFERROR(__xludf.DUMMYFUNCTION("""COMPUTED_VALUE"""),"Aria Main")</f>
        <v>Aria Main</v>
      </c>
      <c r="B234" s="1" t="str">
        <f>IFERROR(__xludf.DUMMYFUNCTION("""COMPUTED_VALUE"""),"MS")</f>
        <v>MS</v>
      </c>
      <c r="C234" s="1" t="str">
        <f t="shared" si="1"/>
        <v>No</v>
      </c>
      <c r="D234" s="1">
        <v>0.0</v>
      </c>
    </row>
    <row r="235" ht="15.75" customHeight="1">
      <c r="A235" s="1" t="str">
        <f>IFERROR(__xludf.DUMMYFUNCTION("""COMPUTED_VALUE"""),"Cora Main")</f>
        <v>Cora Main</v>
      </c>
      <c r="B235" s="1" t="str">
        <f>IFERROR(__xludf.DUMMYFUNCTION("""COMPUTED_VALUE"""),"MS")</f>
        <v>MS</v>
      </c>
      <c r="C235" s="1" t="str">
        <f t="shared" si="1"/>
        <v>No</v>
      </c>
      <c r="D235" s="1">
        <v>0.0</v>
      </c>
    </row>
    <row r="236" ht="15.75" customHeight="1">
      <c r="A236" s="1" t="str">
        <f>IFERROR(__xludf.DUMMYFUNCTION("""COMPUTED_VALUE"""),"Elia Main")</f>
        <v>Elia Main</v>
      </c>
      <c r="B236" s="1" t="str">
        <f>IFERROR(__xludf.DUMMYFUNCTION("""COMPUTED_VALUE"""),"L2")</f>
        <v>L2</v>
      </c>
      <c r="C236" s="1" t="str">
        <f t="shared" si="1"/>
        <v>No</v>
      </c>
      <c r="D236" s="1">
        <v>0.0</v>
      </c>
    </row>
    <row r="237" ht="15.75" customHeight="1">
      <c r="A237" s="1" t="str">
        <f>IFERROR(__xludf.DUMMYFUNCTION("""COMPUTED_VALUE"""),"Bennett Firth")</f>
        <v>Bennett Firth</v>
      </c>
      <c r="B237" s="1" t="str">
        <f>IFERROR(__xludf.DUMMYFUNCTION("""COMPUTED_VALUE"""),"L2")</f>
        <v>L2</v>
      </c>
      <c r="C237" s="1" t="str">
        <f t="shared" si="1"/>
        <v>No</v>
      </c>
      <c r="D237" s="1">
        <v>0.0</v>
      </c>
    </row>
    <row r="238" ht="15.75" customHeight="1">
      <c r="A238" s="1" t="str">
        <f>IFERROR(__xludf.DUMMYFUNCTION("""COMPUTED_VALUE"""),"Sawyer Firth")</f>
        <v>Sawyer Firth</v>
      </c>
      <c r="B238" s="1" t="str">
        <f>IFERROR(__xludf.DUMMYFUNCTION("""COMPUTED_VALUE"""),"MS")</f>
        <v>MS</v>
      </c>
      <c r="C238" s="1" t="str">
        <f t="shared" si="1"/>
        <v>No</v>
      </c>
      <c r="D238" s="1">
        <v>0.0</v>
      </c>
    </row>
    <row r="239" ht="15.75" customHeight="1">
      <c r="A239" s="1" t="str">
        <f>IFERROR(__xludf.DUMMYFUNCTION("""COMPUTED_VALUE"""),"Jonathan Carvalho")</f>
        <v>Jonathan Carvalho</v>
      </c>
      <c r="B239" s="1" t="str">
        <f>IFERROR(__xludf.DUMMYFUNCTION("""COMPUTED_VALUE"""),"L2")</f>
        <v>L2</v>
      </c>
      <c r="C239" s="1" t="str">
        <f t="shared" si="1"/>
        <v>No</v>
      </c>
      <c r="D239" s="1">
        <v>0.0</v>
      </c>
    </row>
    <row r="240" ht="15.75" customHeight="1">
      <c r="A240" s="1" t="str">
        <f>IFERROR(__xludf.DUMMYFUNCTION("""COMPUTED_VALUE"""),"Emmerson Moi")</f>
        <v>Emmerson Moi</v>
      </c>
      <c r="B240" s="1" t="str">
        <f>IFERROR(__xludf.DUMMYFUNCTION("""COMPUTED_VALUE"""),"MS")</f>
        <v>MS</v>
      </c>
      <c r="C240" s="1" t="str">
        <f t="shared" si="1"/>
        <v>No</v>
      </c>
      <c r="D240" s="1">
        <v>0.0</v>
      </c>
    </row>
    <row r="241" ht="15.75" customHeight="1">
      <c r="A241" s="1" t="str">
        <f>IFERROR(__xludf.DUMMYFUNCTION("""COMPUTED_VALUE"""),"Sofia Nelson")</f>
        <v>Sofia Nelson</v>
      </c>
      <c r="B241" s="1" t="str">
        <f>IFERROR(__xludf.DUMMYFUNCTION("""COMPUTED_VALUE"""),"L1")</f>
        <v>L1</v>
      </c>
      <c r="C241" s="1" t="str">
        <f t="shared" si="1"/>
        <v>No</v>
      </c>
      <c r="D241" s="1">
        <v>0.0</v>
      </c>
    </row>
    <row r="242" ht="15.75" customHeight="1">
      <c r="A242" s="1" t="str">
        <f>IFERROR(__xludf.DUMMYFUNCTION("""COMPUTED_VALUE"""),"Collin Schult")</f>
        <v>Collin Schult</v>
      </c>
      <c r="B242" s="1" t="str">
        <f>IFERROR(__xludf.DUMMYFUNCTION("""COMPUTED_VALUE"""),"L1")</f>
        <v>L1</v>
      </c>
      <c r="C242" s="1" t="str">
        <f t="shared" si="1"/>
        <v>No</v>
      </c>
      <c r="D242" s="1">
        <v>0.0</v>
      </c>
    </row>
    <row r="243" ht="15.75" customHeight="1">
      <c r="A243" s="1" t="str">
        <f>IFERROR(__xludf.DUMMYFUNCTION("""COMPUTED_VALUE"""),"Agnes Lorenz Tirpak")</f>
        <v>Agnes Lorenz Tirpak</v>
      </c>
      <c r="B243" s="1" t="str">
        <f>IFERROR(__xludf.DUMMYFUNCTION("""COMPUTED_VALUE"""),"L1")</f>
        <v>L1</v>
      </c>
      <c r="C243" s="1" t="str">
        <f t="shared" si="1"/>
        <v>No</v>
      </c>
      <c r="D243" s="1">
        <v>0.0</v>
      </c>
    </row>
    <row r="244" ht="15.75" customHeight="1">
      <c r="A244" s="1" t="str">
        <f>IFERROR(__xludf.DUMMYFUNCTION("""COMPUTED_VALUE"""),"Fox Fritz")</f>
        <v>Fox Fritz</v>
      </c>
      <c r="B244" s="1" t="str">
        <f>IFERROR(__xludf.DUMMYFUNCTION("""COMPUTED_VALUE"""),"L1")</f>
        <v>L1</v>
      </c>
      <c r="C244" s="1" t="str">
        <f t="shared" si="1"/>
        <v>No</v>
      </c>
      <c r="D244" s="1">
        <v>0.0</v>
      </c>
    </row>
    <row r="245" ht="15.75" customHeight="1">
      <c r="A245" s="1" t="str">
        <f>IFERROR(__xludf.DUMMYFUNCTION("""COMPUTED_VALUE"""),"Amelie Ivascyn")</f>
        <v>Amelie Ivascyn</v>
      </c>
      <c r="B245" s="1" t="str">
        <f>IFERROR(__xludf.DUMMYFUNCTION("""COMPUTED_VALUE"""),"L1")</f>
        <v>L1</v>
      </c>
      <c r="C245" s="1" t="str">
        <f t="shared" si="1"/>
        <v>No</v>
      </c>
      <c r="D245" s="1">
        <v>0.0</v>
      </c>
    </row>
    <row r="246" ht="15.75" customHeight="1">
      <c r="A246" s="1" t="str">
        <f>IFERROR(__xludf.DUMMYFUNCTION("""COMPUTED_VALUE"""),"Theodore Flawn")</f>
        <v>Theodore Flawn</v>
      </c>
      <c r="B246" s="1" t="str">
        <f>IFERROR(__xludf.DUMMYFUNCTION("""COMPUTED_VALUE"""),"LL")</f>
        <v>LL</v>
      </c>
      <c r="C246" s="1" t="str">
        <f t="shared" si="1"/>
        <v>No</v>
      </c>
      <c r="D246" s="1">
        <v>0.0</v>
      </c>
    </row>
    <row r="247" ht="15.75" customHeight="1">
      <c r="A247" s="1" t="str">
        <f>IFERROR(__xludf.DUMMYFUNCTION("""COMPUTED_VALUE"""),"Ramsey Ducatel")</f>
        <v>Ramsey Ducatel</v>
      </c>
      <c r="B247" s="1" t="str">
        <f>IFERROR(__xludf.DUMMYFUNCTION("""COMPUTED_VALUE"""),"L1")</f>
        <v>L1</v>
      </c>
      <c r="C247" s="1" t="str">
        <f t="shared" si="1"/>
        <v>No</v>
      </c>
      <c r="D247" s="1">
        <v>0.0</v>
      </c>
    </row>
    <row r="248" ht="15.75" customHeight="1">
      <c r="A248" s="1" t="str">
        <f>IFERROR(__xludf.DUMMYFUNCTION("""COMPUTED_VALUE"""),"Winslow Ford")</f>
        <v>Winslow Ford</v>
      </c>
      <c r="B248" s="1" t="str">
        <f>IFERROR(__xludf.DUMMYFUNCTION("""COMPUTED_VALUE"""),"MS")</f>
        <v>MS</v>
      </c>
      <c r="C248" s="1" t="str">
        <f t="shared" si="1"/>
        <v>No</v>
      </c>
      <c r="D248" s="1">
        <v>0.0</v>
      </c>
    </row>
    <row r="249" ht="15.75" customHeight="1">
      <c r="A249" s="1" t="str">
        <f>IFERROR(__xludf.DUMMYFUNCTION("""COMPUTED_VALUE"""),"Stanton Reid")</f>
        <v>Stanton Reid</v>
      </c>
      <c r="B249" s="1" t="str">
        <f>IFERROR(__xludf.DUMMYFUNCTION("""COMPUTED_VALUE"""),"L2")</f>
        <v>L2</v>
      </c>
      <c r="C249" s="1" t="str">
        <f t="shared" si="1"/>
        <v>No</v>
      </c>
      <c r="D249" s="1">
        <v>0.0</v>
      </c>
    </row>
    <row r="250" ht="15.75" customHeight="1">
      <c r="A250" s="1" t="str">
        <f>IFERROR(__xludf.DUMMYFUNCTION("""COMPUTED_VALUE"""),"Remy Bowlds")</f>
        <v>Remy Bowlds</v>
      </c>
      <c r="B250" s="1" t="str">
        <f>IFERROR(__xludf.DUMMYFUNCTION("""COMPUTED_VALUE"""),"L1")</f>
        <v>L1</v>
      </c>
      <c r="C250" s="1" t="str">
        <f t="shared" si="1"/>
        <v>No</v>
      </c>
      <c r="D250" s="1">
        <v>0.0</v>
      </c>
    </row>
    <row r="251" ht="15.75" customHeight="1">
      <c r="A251" s="1" t="str">
        <f>IFERROR(__xludf.DUMMYFUNCTION("""COMPUTED_VALUE"""),"Ella Barry")</f>
        <v>Ella Barry</v>
      </c>
      <c r="B251" s="1" t="str">
        <f>IFERROR(__xludf.DUMMYFUNCTION("""COMPUTED_VALUE"""),"MS")</f>
        <v>MS</v>
      </c>
      <c r="C251" s="1" t="str">
        <f t="shared" si="1"/>
        <v>No</v>
      </c>
      <c r="D251" s="1">
        <v>0.0</v>
      </c>
    </row>
    <row r="252" ht="15.75" customHeight="1">
      <c r="A252" s="1" t="str">
        <f>IFERROR(__xludf.DUMMYFUNCTION("""COMPUTED_VALUE"""),"Olivia Burwell")</f>
        <v>Olivia Burwell</v>
      </c>
      <c r="B252" s="1" t="str">
        <f>IFERROR(__xludf.DUMMYFUNCTION("""COMPUTED_VALUE"""),"L1")</f>
        <v>L1</v>
      </c>
      <c r="C252" s="1" t="str">
        <f t="shared" si="1"/>
        <v>No</v>
      </c>
      <c r="D252" s="1">
        <v>0.0</v>
      </c>
    </row>
    <row r="253" ht="15.75" customHeight="1">
      <c r="A253" s="1" t="str">
        <f>IFERROR(__xludf.DUMMYFUNCTION("""COMPUTED_VALUE"""),"Veda Burwell")</f>
        <v>Veda Burwell</v>
      </c>
      <c r="B253" s="1" t="str">
        <f>IFERROR(__xludf.DUMMYFUNCTION("""COMPUTED_VALUE"""),"LL")</f>
        <v>LL</v>
      </c>
      <c r="C253" s="1" t="str">
        <f t="shared" si="1"/>
        <v>No</v>
      </c>
      <c r="D253" s="1">
        <v>0.0</v>
      </c>
    </row>
    <row r="254" ht="15.75" customHeight="1">
      <c r="A254" s="1" t="str">
        <f>IFERROR(__xludf.DUMMYFUNCTION("""COMPUTED_VALUE"""),"EMILY WALTHER")</f>
        <v>EMILY WALTHER</v>
      </c>
      <c r="B254" s="1" t="str">
        <f>IFERROR(__xludf.DUMMYFUNCTION("""COMPUTED_VALUE"""),"MS")</f>
        <v>MS</v>
      </c>
      <c r="C254" s="1" t="str">
        <f t="shared" si="1"/>
        <v>No</v>
      </c>
      <c r="D254" s="1">
        <v>0.0</v>
      </c>
    </row>
    <row r="255" ht="15.75" customHeight="1">
      <c r="A255" s="1" t="str">
        <f>IFERROR(__xludf.DUMMYFUNCTION("""COMPUTED_VALUE"""),"William Mather")</f>
        <v>William Mather</v>
      </c>
      <c r="B255" s="1" t="str">
        <f>IFERROR(__xludf.DUMMYFUNCTION("""COMPUTED_VALUE"""),"L1")</f>
        <v>L1</v>
      </c>
      <c r="C255" s="1" t="str">
        <f t="shared" si="1"/>
        <v>No</v>
      </c>
      <c r="D255" s="1">
        <v>0.0</v>
      </c>
    </row>
    <row r="256" ht="15.75" customHeight="1">
      <c r="A256" s="1" t="str">
        <f>IFERROR(__xludf.DUMMYFUNCTION("""COMPUTED_VALUE"""),"Wyatt Mather")</f>
        <v>Wyatt Mather</v>
      </c>
      <c r="B256" s="1" t="str">
        <f>IFERROR(__xludf.DUMMYFUNCTION("""COMPUTED_VALUE"""),"LL")</f>
        <v>LL</v>
      </c>
      <c r="C256" s="1" t="str">
        <f t="shared" si="1"/>
        <v>No</v>
      </c>
      <c r="D256" s="1">
        <v>0.0</v>
      </c>
    </row>
    <row r="257" ht="15.75" customHeight="1">
      <c r="A257" s="1" t="str">
        <f>IFERROR(__xludf.DUMMYFUNCTION("""COMPUTED_VALUE"""),"Sullivan Miller")</f>
        <v>Sullivan Miller</v>
      </c>
      <c r="B257" s="1" t="str">
        <f>IFERROR(__xludf.DUMMYFUNCTION("""COMPUTED_VALUE"""),"MS")</f>
        <v>MS</v>
      </c>
      <c r="C257" s="1" t="str">
        <f t="shared" si="1"/>
        <v>No</v>
      </c>
      <c r="D257" s="1">
        <v>0.0</v>
      </c>
    </row>
    <row r="258" ht="15.75" customHeight="1">
      <c r="A258" s="1" t="str">
        <f>IFERROR(__xludf.DUMMYFUNCTION("""COMPUTED_VALUE"""),"Winifred Thistletown")</f>
        <v>Winifred Thistletown</v>
      </c>
      <c r="B258" s="1" t="str">
        <f>IFERROR(__xludf.DUMMYFUNCTION("""COMPUTED_VALUE"""),"L1")</f>
        <v>L1</v>
      </c>
      <c r="C258" s="1" t="str">
        <f t="shared" si="1"/>
        <v>No</v>
      </c>
      <c r="D258" s="1">
        <v>0.0</v>
      </c>
    </row>
    <row r="259" ht="15.75" customHeight="1">
      <c r="A259" s="1" t="str">
        <f>IFERROR(__xludf.DUMMYFUNCTION("""COMPUTED_VALUE"""),"AA Test")</f>
        <v>AA Test</v>
      </c>
      <c r="B259" s="1" t="str">
        <f>IFERROR(__xludf.DUMMYFUNCTION("""COMPUTED_VALUE"""),"L1")</f>
        <v>L1</v>
      </c>
      <c r="C259" s="1" t="str">
        <f t="shared" si="1"/>
        <v>No</v>
      </c>
      <c r="D259" s="1">
        <v>0.0</v>
      </c>
    </row>
    <row r="260" ht="15.75" customHeight="1">
      <c r="A260" s="1" t="str">
        <f>IFERROR(__xludf.DUMMYFUNCTION("""COMPUTED_VALUE"""),"Sophia Meyerowitz")</f>
        <v>Sophia Meyerowitz</v>
      </c>
      <c r="B260" s="1" t="str">
        <f>IFERROR(__xludf.DUMMYFUNCTION("""COMPUTED_VALUE"""),"MS")</f>
        <v>MS</v>
      </c>
      <c r="C260" s="1" t="str">
        <f t="shared" si="1"/>
        <v>No</v>
      </c>
      <c r="D260" s="1">
        <v>0.0</v>
      </c>
    </row>
    <row r="261" ht="15.75" customHeight="1">
      <c r="A261" s="1" t="str">
        <f>IFERROR(__xludf.DUMMYFUNCTION("""COMPUTED_VALUE"""),"Hana Meyerowitz")</f>
        <v>Hana Meyerowitz</v>
      </c>
      <c r="B261" s="1" t="str">
        <f>IFERROR(__xludf.DUMMYFUNCTION("""COMPUTED_VALUE"""),"L2")</f>
        <v>L2</v>
      </c>
      <c r="C261" s="1" t="str">
        <f t="shared" si="1"/>
        <v>No</v>
      </c>
      <c r="D261" s="1">
        <v>0.0</v>
      </c>
    </row>
    <row r="262" ht="15.75" customHeight="1">
      <c r="A262" s="1" t="str">
        <f>IFERROR(__xludf.DUMMYFUNCTION("""COMPUTED_VALUE"""),"Elijah Subervi")</f>
        <v>Elijah Subervi</v>
      </c>
      <c r="B262" s="1" t="str">
        <f>IFERROR(__xludf.DUMMYFUNCTION("""COMPUTED_VALUE"""),"L1")</f>
        <v>L1</v>
      </c>
      <c r="C262" s="1" t="str">
        <f t="shared" si="1"/>
        <v>No</v>
      </c>
      <c r="D262" s="1">
        <v>0.0</v>
      </c>
    </row>
    <row r="263" ht="15.75" customHeight="1">
      <c r="A263" s="1" t="str">
        <f>IFERROR(__xludf.DUMMYFUNCTION("""COMPUTED_VALUE"""),"Doug Buehler")</f>
        <v>Doug Buehler</v>
      </c>
      <c r="B263" s="1" t="str">
        <f>IFERROR(__xludf.DUMMYFUNCTION("""COMPUTED_VALUE"""),"L2")</f>
        <v>L2</v>
      </c>
      <c r="C263" s="1" t="str">
        <f t="shared" si="1"/>
        <v>No</v>
      </c>
      <c r="D263" s="1">
        <v>0.0</v>
      </c>
    </row>
    <row r="264" ht="15.75" customHeight="1">
      <c r="A264" s="1" t="str">
        <f>IFERROR(__xludf.DUMMYFUNCTION("""COMPUTED_VALUE"""),"Olivia Johnson")</f>
        <v>Olivia Johnson</v>
      </c>
      <c r="B264" s="1" t="str">
        <f>IFERROR(__xludf.DUMMYFUNCTION("""COMPUTED_VALUE"""),"MS")</f>
        <v>MS</v>
      </c>
      <c r="C264" s="1" t="str">
        <f t="shared" si="1"/>
        <v>No</v>
      </c>
      <c r="D264" s="1">
        <v>0.0</v>
      </c>
    </row>
    <row r="265" ht="15.75" customHeight="1">
      <c r="A265" s="1" t="str">
        <f>IFERROR(__xludf.DUMMYFUNCTION("""COMPUTED_VALUE"""),"Victoria Upchurch")</f>
        <v>Victoria Upchurch</v>
      </c>
      <c r="B265" s="1" t="str">
        <f>IFERROR(__xludf.DUMMYFUNCTION("""COMPUTED_VALUE"""),"MS")</f>
        <v>MS</v>
      </c>
      <c r="C265" s="1" t="str">
        <f t="shared" si="1"/>
        <v>No</v>
      </c>
      <c r="D265" s="1">
        <v>0.0</v>
      </c>
    </row>
    <row r="266" ht="15.75" customHeight="1">
      <c r="A266" s="1" t="str">
        <f>IFERROR(__xludf.DUMMYFUNCTION("""COMPUTED_VALUE"""),"Christian Upchurch")</f>
        <v>Christian Upchurch</v>
      </c>
      <c r="B266" s="1" t="str">
        <f>IFERROR(__xludf.DUMMYFUNCTION("""COMPUTED_VALUE"""),"L2")</f>
        <v>L2</v>
      </c>
      <c r="C266" s="1" t="str">
        <f t="shared" si="1"/>
        <v>No</v>
      </c>
      <c r="D266" s="1">
        <v>0.0</v>
      </c>
    </row>
    <row r="267" ht="15.75" customHeight="1">
      <c r="A267" s="1" t="str">
        <f>IFERROR(__xludf.DUMMYFUNCTION("""COMPUTED_VALUE"""),"Gloria Upchurch")</f>
        <v>Gloria Upchurch</v>
      </c>
      <c r="B267" s="1" t="str">
        <f>IFERROR(__xludf.DUMMYFUNCTION("""COMPUTED_VALUE"""),"L1")</f>
        <v>L1</v>
      </c>
      <c r="C267" s="1" t="str">
        <f t="shared" si="1"/>
        <v>No</v>
      </c>
      <c r="D267" s="1">
        <v>0.0</v>
      </c>
    </row>
    <row r="268" ht="15.75" customHeight="1">
      <c r="A268" s="1" t="str">
        <f>IFERROR(__xludf.DUMMYFUNCTION("""COMPUTED_VALUE"""),"Doug Buehler")</f>
        <v>Doug Buehler</v>
      </c>
      <c r="B268" s="1" t="str">
        <f>IFERROR(__xludf.DUMMYFUNCTION("""COMPUTED_VALUE"""),"MS")</f>
        <v>MS</v>
      </c>
      <c r="C268" s="1" t="str">
        <f t="shared" si="1"/>
        <v>No</v>
      </c>
      <c r="D268" s="1">
        <v>0.0</v>
      </c>
    </row>
    <row r="269" ht="15.75" customHeight="1">
      <c r="A269" s="1" t="str">
        <f>IFERROR(__xludf.DUMMYFUNCTION("""COMPUTED_VALUE"""),"Ella Verner")</f>
        <v>Ella Verner</v>
      </c>
      <c r="B269" s="1" t="str">
        <f>IFERROR(__xludf.DUMMYFUNCTION("""COMPUTED_VALUE"""),"L1")</f>
        <v>L1</v>
      </c>
      <c r="C269" s="1" t="str">
        <f t="shared" si="1"/>
        <v>No</v>
      </c>
      <c r="D269" s="1">
        <v>0.0</v>
      </c>
    </row>
    <row r="270" ht="15.75" customHeight="1">
      <c r="A270" s="1" t="str">
        <f>IFERROR(__xludf.DUMMYFUNCTION("""COMPUTED_VALUE"""),"Bey Brenman")</f>
        <v>Bey Brenman</v>
      </c>
      <c r="B270" s="1" t="str">
        <f>IFERROR(__xludf.DUMMYFUNCTION("""COMPUTED_VALUE"""),"MS")</f>
        <v>MS</v>
      </c>
      <c r="C270" s="1" t="str">
        <f t="shared" si="1"/>
        <v>No</v>
      </c>
      <c r="D270" s="1">
        <v>0.0</v>
      </c>
    </row>
    <row r="271" ht="15.75" customHeight="1">
      <c r="A271" s="1" t="str">
        <f>IFERROR(__xludf.DUMMYFUNCTION("""COMPUTED_VALUE"""),"Aris Brenman")</f>
        <v>Aris Brenman</v>
      </c>
      <c r="B271" s="1" t="str">
        <f>IFERROR(__xludf.DUMMYFUNCTION("""COMPUTED_VALUE"""),"L2")</f>
        <v>L2</v>
      </c>
      <c r="C271" s="1" t="str">
        <f t="shared" si="1"/>
        <v>No</v>
      </c>
      <c r="D271" s="1">
        <v>0.0</v>
      </c>
    </row>
    <row r="272" ht="15.75" customHeight="1">
      <c r="A272" s="1" t="str">
        <f>IFERROR(__xludf.DUMMYFUNCTION("""COMPUTED_VALUE"""),"Caden Lee")</f>
        <v>Caden Lee</v>
      </c>
      <c r="B272" s="1" t="str">
        <f>IFERROR(__xludf.DUMMYFUNCTION("""COMPUTED_VALUE"""),"L2")</f>
        <v>L2</v>
      </c>
      <c r="C272" s="1" t="str">
        <f t="shared" si="1"/>
        <v>No</v>
      </c>
      <c r="D272" s="1">
        <v>0.0</v>
      </c>
    </row>
    <row r="273" ht="15.75" customHeight="1">
      <c r="A273" s="1" t="str">
        <f>IFERROR(__xludf.DUMMYFUNCTION("""COMPUTED_VALUE"""),"Lauren Lee")</f>
        <v>Lauren Lee</v>
      </c>
      <c r="B273" s="1" t="str">
        <f>IFERROR(__xludf.DUMMYFUNCTION("""COMPUTED_VALUE"""),"L1")</f>
        <v>L1</v>
      </c>
      <c r="C273" s="1" t="str">
        <f t="shared" si="1"/>
        <v>No</v>
      </c>
      <c r="D273" s="1">
        <v>0.0</v>
      </c>
    </row>
    <row r="274" ht="15.75" customHeight="1">
      <c r="A274" s="1" t="str">
        <f>IFERROR(__xludf.DUMMYFUNCTION("""COMPUTED_VALUE"""),"Grace Dozier")</f>
        <v>Grace Dozier</v>
      </c>
      <c r="B274" s="1" t="str">
        <f>IFERROR(__xludf.DUMMYFUNCTION("""COMPUTED_VALUE"""),"L2")</f>
        <v>L2</v>
      </c>
      <c r="C274" s="1" t="str">
        <f t="shared" si="1"/>
        <v>No</v>
      </c>
      <c r="D274" s="1">
        <v>0.0</v>
      </c>
    </row>
    <row r="275" ht="15.75" customHeight="1">
      <c r="A275" s="1" t="str">
        <f>IFERROR(__xludf.DUMMYFUNCTION("""COMPUTED_VALUE"""),"Bradley Tognoni")</f>
        <v>Bradley Tognoni</v>
      </c>
      <c r="B275" s="1" t="str">
        <f>IFERROR(__xludf.DUMMYFUNCTION("""COMPUTED_VALUE"""),"L2")</f>
        <v>L2</v>
      </c>
      <c r="C275" s="1" t="str">
        <f t="shared" si="1"/>
        <v>No</v>
      </c>
      <c r="D275" s="1">
        <v>0.0</v>
      </c>
    </row>
    <row r="276" ht="15.75" customHeight="1">
      <c r="A276" s="1" t="str">
        <f>IFERROR(__xludf.DUMMYFUNCTION("""COMPUTED_VALUE"""),"Tommy Johnston")</f>
        <v>Tommy Johnston</v>
      </c>
      <c r="B276" s="1" t="str">
        <f>IFERROR(__xludf.DUMMYFUNCTION("""COMPUTED_VALUE"""),"L1")</f>
        <v>L1</v>
      </c>
      <c r="C276" s="1" t="str">
        <f t="shared" si="1"/>
        <v>No</v>
      </c>
      <c r="D276" s="1">
        <v>0.0</v>
      </c>
    </row>
    <row r="277" ht="15.75" customHeight="1">
      <c r="A277" s="1" t="str">
        <f>IFERROR(__xludf.DUMMYFUNCTION("""COMPUTED_VALUE"""),"Tommy Lewis")</f>
        <v>Tommy Lewis</v>
      </c>
      <c r="B277" s="1" t="str">
        <f>IFERROR(__xludf.DUMMYFUNCTION("""COMPUTED_VALUE"""),"MS")</f>
        <v>MS</v>
      </c>
      <c r="C277" s="1" t="str">
        <f t="shared" si="1"/>
        <v>No</v>
      </c>
      <c r="D277" s="1">
        <v>0.0</v>
      </c>
    </row>
    <row r="278" ht="15.75" customHeight="1">
      <c r="A278" s="1" t="str">
        <f>IFERROR(__xludf.DUMMYFUNCTION("""COMPUTED_VALUE"""),"Henry Kole")</f>
        <v>Henry Kole</v>
      </c>
      <c r="B278" s="1" t="str">
        <f>IFERROR(__xludf.DUMMYFUNCTION("""COMPUTED_VALUE"""),"MS")</f>
        <v>MS</v>
      </c>
      <c r="C278" s="1" t="str">
        <f t="shared" si="1"/>
        <v>No</v>
      </c>
      <c r="D278" s="1">
        <v>0.0</v>
      </c>
    </row>
    <row r="279" ht="15.75" customHeight="1">
      <c r="A279" s="1" t="str">
        <f>IFERROR(__xludf.DUMMYFUNCTION("""COMPUTED_VALUE"""),"Vivienne Kole")</f>
        <v>Vivienne Kole</v>
      </c>
      <c r="B279" s="1" t="str">
        <f>IFERROR(__xludf.DUMMYFUNCTION("""COMPUTED_VALUE"""),"MS")</f>
        <v>MS</v>
      </c>
      <c r="C279" s="1" t="str">
        <f t="shared" si="1"/>
        <v>No</v>
      </c>
      <c r="D279" s="1">
        <v>0.0</v>
      </c>
    </row>
    <row r="280" ht="15.75" customHeight="1">
      <c r="A280" s="1" t="str">
        <f>IFERROR(__xludf.DUMMYFUNCTION("""COMPUTED_VALUE"""),"Juliet Price")</f>
        <v>Juliet Price</v>
      </c>
      <c r="B280" s="1" t="str">
        <f>IFERROR(__xludf.DUMMYFUNCTION("""COMPUTED_VALUE"""),"MS")</f>
        <v>MS</v>
      </c>
      <c r="C280" s="1" t="str">
        <f t="shared" si="1"/>
        <v>No</v>
      </c>
      <c r="D280" s="1">
        <v>0.0</v>
      </c>
    </row>
    <row r="281" ht="15.75" customHeight="1">
      <c r="A281" s="1" t="str">
        <f>IFERROR(__xludf.DUMMYFUNCTION("""COMPUTED_VALUE"""),"Christian Price")</f>
        <v>Christian Price</v>
      </c>
      <c r="B281" s="1" t="str">
        <f>IFERROR(__xludf.DUMMYFUNCTION("""COMPUTED_VALUE"""),"MS")</f>
        <v>MS</v>
      </c>
      <c r="C281" s="1" t="str">
        <f t="shared" si="1"/>
        <v>No</v>
      </c>
      <c r="D281" s="1">
        <v>0.0</v>
      </c>
    </row>
    <row r="282" ht="15.75" customHeight="1">
      <c r="A282" s="1" t="str">
        <f>IFERROR(__xludf.DUMMYFUNCTION("""COMPUTED_VALUE"""),"Halle Chivers")</f>
        <v>Halle Chivers</v>
      </c>
      <c r="B282" s="1" t="str">
        <f>IFERROR(__xludf.DUMMYFUNCTION("""COMPUTED_VALUE"""),"L2")</f>
        <v>L2</v>
      </c>
      <c r="C282" s="1" t="str">
        <f t="shared" si="1"/>
        <v>No</v>
      </c>
      <c r="D282" s="1">
        <v>0.0</v>
      </c>
    </row>
    <row r="283" ht="15.75" customHeight="1">
      <c r="A283" s="1" t="str">
        <f>IFERROR(__xludf.DUMMYFUNCTION("""COMPUTED_VALUE"""),"Anna Schuepbach")</f>
        <v>Anna Schuepbach</v>
      </c>
      <c r="B283" s="1" t="str">
        <f>IFERROR(__xludf.DUMMYFUNCTION("""COMPUTED_VALUE"""),"MS")</f>
        <v>MS</v>
      </c>
      <c r="C283" s="1" t="str">
        <f t="shared" si="1"/>
        <v>No</v>
      </c>
      <c r="D283" s="1">
        <v>0.0</v>
      </c>
    </row>
    <row r="284" ht="15.75" customHeight="1">
      <c r="A284" s="1" t="str">
        <f>IFERROR(__xludf.DUMMYFUNCTION("""COMPUTED_VALUE"""),"Teddy Schuepbach")</f>
        <v>Teddy Schuepbach</v>
      </c>
      <c r="B284" s="1" t="str">
        <f>IFERROR(__xludf.DUMMYFUNCTION("""COMPUTED_VALUE"""),"MS")</f>
        <v>MS</v>
      </c>
      <c r="C284" s="1" t="str">
        <f t="shared" si="1"/>
        <v>No</v>
      </c>
      <c r="D284" s="1">
        <v>0.0</v>
      </c>
    </row>
    <row r="285" ht="15.75" customHeight="1">
      <c r="A285" s="1" t="str">
        <f>IFERROR(__xludf.DUMMYFUNCTION("""COMPUTED_VALUE"""),"Watson Schuepbach")</f>
        <v>Watson Schuepbach</v>
      </c>
      <c r="B285" s="1" t="str">
        <f>IFERROR(__xludf.DUMMYFUNCTION("""COMPUTED_VALUE"""),"HS")</f>
        <v>HS</v>
      </c>
      <c r="C285" s="1" t="str">
        <f t="shared" si="1"/>
        <v>No</v>
      </c>
      <c r="D285" s="1">
        <v>0.0</v>
      </c>
    </row>
    <row r="286" ht="15.75" customHeight="1">
      <c r="A286" s="1" t="str">
        <f>IFERROR(__xludf.DUMMYFUNCTION("""COMPUTED_VALUE"""),"Lily Zarick")</f>
        <v>Lily Zarick</v>
      </c>
      <c r="B286" s="1" t="str">
        <f>IFERROR(__xludf.DUMMYFUNCTION("""COMPUTED_VALUE"""),"L2")</f>
        <v>L2</v>
      </c>
      <c r="C286" s="1" t="str">
        <f t="shared" si="1"/>
        <v>No</v>
      </c>
      <c r="D286" s="1">
        <v>0.0</v>
      </c>
    </row>
    <row r="287" ht="15.75" customHeight="1">
      <c r="A287" s="1" t="str">
        <f>IFERROR(__xludf.DUMMYFUNCTION("""COMPUTED_VALUE"""),"Taylen Hallett")</f>
        <v>Taylen Hallett</v>
      </c>
      <c r="B287" s="1" t="str">
        <f>IFERROR(__xludf.DUMMYFUNCTION("""COMPUTED_VALUE"""),"HS")</f>
        <v>HS</v>
      </c>
      <c r="C287" s="1" t="str">
        <f t="shared" si="1"/>
        <v>No</v>
      </c>
      <c r="D287" s="1">
        <v>0.0</v>
      </c>
    </row>
    <row r="288" ht="15.75" customHeight="1">
      <c r="A288" s="1" t="str">
        <f>IFERROR(__xludf.DUMMYFUNCTION("""COMPUTED_VALUE"""),"Malachi Solomon")</f>
        <v>Malachi Solomon</v>
      </c>
      <c r="B288" s="1" t="str">
        <f>IFERROR(__xludf.DUMMYFUNCTION("""COMPUTED_VALUE"""),"MS")</f>
        <v>MS</v>
      </c>
      <c r="C288" s="1" t="str">
        <f t="shared" si="1"/>
        <v>No</v>
      </c>
      <c r="D288" s="1">
        <v>0.0</v>
      </c>
    </row>
    <row r="289" ht="15.75" customHeight="1">
      <c r="A289" s="1" t="str">
        <f>IFERROR(__xludf.DUMMYFUNCTION("""COMPUTED_VALUE"""),"Zuri Martin")</f>
        <v>Zuri Martin</v>
      </c>
      <c r="B289" s="1" t="str">
        <f>IFERROR(__xludf.DUMMYFUNCTION("""COMPUTED_VALUE"""),"L1")</f>
        <v>L1</v>
      </c>
      <c r="C289" s="1" t="str">
        <f t="shared" si="1"/>
        <v>No</v>
      </c>
      <c r="D289" s="1">
        <v>0.0</v>
      </c>
    </row>
    <row r="290" ht="15.75" customHeight="1">
      <c r="A290" s="1" t="str">
        <f>IFERROR(__xludf.DUMMYFUNCTION("""COMPUTED_VALUE"""),"Austin Signorelli")</f>
        <v>Austin Signorelli</v>
      </c>
      <c r="B290" s="1" t="str">
        <f>IFERROR(__xludf.DUMMYFUNCTION("""COMPUTED_VALUE"""),"MS")</f>
        <v>MS</v>
      </c>
      <c r="C290" s="1" t="str">
        <f t="shared" si="1"/>
        <v>No</v>
      </c>
      <c r="D290" s="1">
        <v>0.0</v>
      </c>
    </row>
    <row r="291" ht="15.75" customHeight="1">
      <c r="A291" s="1" t="str">
        <f>IFERROR(__xludf.DUMMYFUNCTION("""COMPUTED_VALUE"""),"Leah Signorelli")</f>
        <v>Leah Signorelli</v>
      </c>
      <c r="B291" s="1" t="str">
        <f>IFERROR(__xludf.DUMMYFUNCTION("""COMPUTED_VALUE"""),"MS")</f>
        <v>MS</v>
      </c>
      <c r="C291" s="1" t="str">
        <f t="shared" si="1"/>
        <v>No</v>
      </c>
      <c r="D291" s="1">
        <v>0.0</v>
      </c>
    </row>
    <row r="292" ht="15.75" customHeight="1">
      <c r="A292" s="1" t="str">
        <f>IFERROR(__xludf.DUMMYFUNCTION("""COMPUTED_VALUE"""),"Doug Buehler")</f>
        <v>Doug Buehler</v>
      </c>
      <c r="B292" s="1" t="str">
        <f>IFERROR(__xludf.DUMMYFUNCTION("""COMPUTED_VALUE"""),"L2")</f>
        <v>L2</v>
      </c>
      <c r="C292" s="1" t="str">
        <f t="shared" si="1"/>
        <v>No</v>
      </c>
      <c r="D292" s="1">
        <v>0.0</v>
      </c>
    </row>
    <row r="293" ht="15.75" customHeight="1">
      <c r="A293" s="1" t="str">
        <f>IFERROR(__xludf.DUMMYFUNCTION("""COMPUTED_VALUE"""),"Sabine Smith")</f>
        <v>Sabine Smith</v>
      </c>
      <c r="B293" s="1" t="str">
        <f>IFERROR(__xludf.DUMMYFUNCTION("""COMPUTED_VALUE"""),"MS")</f>
        <v>MS</v>
      </c>
      <c r="C293" s="1" t="str">
        <f t="shared" si="1"/>
        <v>No</v>
      </c>
      <c r="D293" s="1">
        <v>0.0</v>
      </c>
    </row>
    <row r="294" ht="15.75" customHeight="1">
      <c r="A294" s="1" t="str">
        <f>IFERROR(__xludf.DUMMYFUNCTION("""COMPUTED_VALUE"""),"Adam Shulman")</f>
        <v>Adam Shulman</v>
      </c>
      <c r="B294" s="1" t="str">
        <f>IFERROR(__xludf.DUMMYFUNCTION("""COMPUTED_VALUE"""),"L2")</f>
        <v>L2</v>
      </c>
      <c r="C294" s="1" t="str">
        <f t="shared" si="1"/>
        <v>No</v>
      </c>
      <c r="D294" s="1">
        <v>0.0</v>
      </c>
    </row>
    <row r="295" ht="15.75" customHeight="1">
      <c r="A295" s="1" t="str">
        <f>IFERROR(__xludf.DUMMYFUNCTION("""COMPUTED_VALUE"""),"Lucia Monsen")</f>
        <v>Lucia Monsen</v>
      </c>
      <c r="B295" s="1" t="str">
        <f>IFERROR(__xludf.DUMMYFUNCTION("""COMPUTED_VALUE"""),"L2")</f>
        <v>L2</v>
      </c>
      <c r="C295" s="1" t="str">
        <f t="shared" si="1"/>
        <v>No</v>
      </c>
      <c r="D295" s="1">
        <v>0.0</v>
      </c>
    </row>
    <row r="296" ht="15.75" customHeight="1">
      <c r="A296" s="1" t="str">
        <f>IFERROR(__xludf.DUMMYFUNCTION("""COMPUTED_VALUE"""),"Zoram Atwood")</f>
        <v>Zoram Atwood</v>
      </c>
      <c r="B296" s="1" t="str">
        <f>IFERROR(__xludf.DUMMYFUNCTION("""COMPUTED_VALUE"""),"L1")</f>
        <v>L1</v>
      </c>
      <c r="C296" s="1" t="str">
        <f t="shared" si="1"/>
        <v>No</v>
      </c>
      <c r="D296" s="1">
        <v>0.0</v>
      </c>
    </row>
    <row r="297" ht="15.75" customHeight="1">
      <c r="A297" s="1" t="str">
        <f>IFERROR(__xludf.DUMMYFUNCTION("""COMPUTED_VALUE"""),"Cody Pisciarino")</f>
        <v>Cody Pisciarino</v>
      </c>
      <c r="B297" s="1" t="str">
        <f>IFERROR(__xludf.DUMMYFUNCTION("""COMPUTED_VALUE"""),"MS")</f>
        <v>MS</v>
      </c>
      <c r="C297" s="1" t="str">
        <f t="shared" si="1"/>
        <v>No</v>
      </c>
      <c r="D297" s="1">
        <v>0.0</v>
      </c>
    </row>
    <row r="298" ht="15.75" customHeight="1">
      <c r="A298" s="1" t="str">
        <f>IFERROR(__xludf.DUMMYFUNCTION("""COMPUTED_VALUE"""),"Madelyn Melendez")</f>
        <v>Madelyn Melendez</v>
      </c>
      <c r="B298" s="1" t="str">
        <f>IFERROR(__xludf.DUMMYFUNCTION("""COMPUTED_VALUE"""),"MS")</f>
        <v>MS</v>
      </c>
      <c r="C298" s="1" t="str">
        <f t="shared" si="1"/>
        <v>No</v>
      </c>
      <c r="D298" s="1">
        <v>0.0</v>
      </c>
    </row>
    <row r="299" ht="15.75" customHeight="1">
      <c r="A299" s="1" t="str">
        <f>IFERROR(__xludf.DUMMYFUNCTION("""COMPUTED_VALUE"""),"Josiah Melendez")</f>
        <v>Josiah Melendez</v>
      </c>
      <c r="B299" s="1" t="str">
        <f>IFERROR(__xludf.DUMMYFUNCTION("""COMPUTED_VALUE"""),"L1")</f>
        <v>L1</v>
      </c>
      <c r="C299" s="1" t="str">
        <f t="shared" si="1"/>
        <v>No</v>
      </c>
      <c r="D299" s="1">
        <v>0.0</v>
      </c>
    </row>
    <row r="300" ht="15.75" customHeight="1">
      <c r="A300" s="1" t="str">
        <f>IFERROR(__xludf.DUMMYFUNCTION("""COMPUTED_VALUE"""),"Mason Johnson")</f>
        <v>Mason Johnson</v>
      </c>
      <c r="B300" s="1" t="str">
        <f>IFERROR(__xludf.DUMMYFUNCTION("""COMPUTED_VALUE"""),"MS")</f>
        <v>MS</v>
      </c>
      <c r="C300" s="1" t="str">
        <f t="shared" si="1"/>
        <v>No</v>
      </c>
      <c r="D300" s="1">
        <v>0.0</v>
      </c>
    </row>
    <row r="301" ht="15.75" customHeight="1">
      <c r="A301" s="1" t="str">
        <f>IFERROR(__xludf.DUMMYFUNCTION("""COMPUTED_VALUE"""),"Bradley Tyler")</f>
        <v>Bradley Tyler</v>
      </c>
      <c r="B301" s="1" t="str">
        <f>IFERROR(__xludf.DUMMYFUNCTION("""COMPUTED_VALUE"""),"MS")</f>
        <v>MS</v>
      </c>
      <c r="C301" s="1" t="str">
        <f t="shared" si="1"/>
        <v>No</v>
      </c>
      <c r="D301" s="1">
        <v>0.0</v>
      </c>
    </row>
    <row r="302" ht="15.75" customHeight="1">
      <c r="A302" s="1" t="str">
        <f>IFERROR(__xludf.DUMMYFUNCTION("""COMPUTED_VALUE"""),"Ben Palmer")</f>
        <v>Ben Palmer</v>
      </c>
      <c r="B302" s="1" t="str">
        <f>IFERROR(__xludf.DUMMYFUNCTION("""COMPUTED_VALUE"""),"MS")</f>
        <v>MS</v>
      </c>
      <c r="C302" s="1" t="str">
        <f t="shared" si="1"/>
        <v>No</v>
      </c>
      <c r="D302" s="1">
        <v>0.0</v>
      </c>
    </row>
    <row r="303" ht="15.75" customHeight="1">
      <c r="A303" s="1" t="str">
        <f>IFERROR(__xludf.DUMMYFUNCTION("""COMPUTED_VALUE"""),"Ryan Haymore")</f>
        <v>Ryan Haymore</v>
      </c>
      <c r="B303" s="1" t="str">
        <f>IFERROR(__xludf.DUMMYFUNCTION("""COMPUTED_VALUE"""),"MS")</f>
        <v>MS</v>
      </c>
      <c r="C303" s="1" t="str">
        <f t="shared" si="1"/>
        <v>No</v>
      </c>
      <c r="D303" s="1">
        <v>0.0</v>
      </c>
    </row>
    <row r="304" ht="15.75" customHeight="1">
      <c r="A304" s="1" t="str">
        <f>IFERROR(__xludf.DUMMYFUNCTION("""COMPUTED_VALUE"""),"Hadlie Cuthbertson")</f>
        <v>Hadlie Cuthbertson</v>
      </c>
      <c r="B304" s="1" t="str">
        <f>IFERROR(__xludf.DUMMYFUNCTION("""COMPUTED_VALUE"""),"MS")</f>
        <v>MS</v>
      </c>
      <c r="C304" s="1" t="str">
        <f t="shared" si="1"/>
        <v>No</v>
      </c>
      <c r="D304" s="1">
        <v>0.0</v>
      </c>
    </row>
    <row r="305" ht="15.75" customHeight="1">
      <c r="A305" s="1" t="str">
        <f>IFERROR(__xludf.DUMMYFUNCTION("""COMPUTED_VALUE"""),"Crew Cuthbertson")</f>
        <v>Crew Cuthbertson</v>
      </c>
      <c r="B305" s="1" t="str">
        <f>IFERROR(__xludf.DUMMYFUNCTION("""COMPUTED_VALUE"""),"L2")</f>
        <v>L2</v>
      </c>
      <c r="C305" s="1" t="str">
        <f t="shared" si="1"/>
        <v>No</v>
      </c>
      <c r="D305" s="1">
        <v>0.0</v>
      </c>
    </row>
    <row r="306" ht="15.75" customHeight="1">
      <c r="A306" s="1" t="str">
        <f>IFERROR(__xludf.DUMMYFUNCTION("""COMPUTED_VALUE"""),"Gracie Cuthbertson")</f>
        <v>Gracie Cuthbertson</v>
      </c>
      <c r="B306" s="1" t="str">
        <f>IFERROR(__xludf.DUMMYFUNCTION("""COMPUTED_VALUE"""),"MS")</f>
        <v>MS</v>
      </c>
      <c r="C306" s="1" t="str">
        <f t="shared" si="1"/>
        <v>No</v>
      </c>
      <c r="D306" s="1">
        <v>0.0</v>
      </c>
    </row>
    <row r="307" ht="15.75" customHeight="1">
      <c r="A307" s="1" t="str">
        <f>IFERROR(__xludf.DUMMYFUNCTION("""COMPUTED_VALUE"""),"Jens Johnson")</f>
        <v>Jens Johnson</v>
      </c>
      <c r="B307" s="1" t="str">
        <f>IFERROR(__xludf.DUMMYFUNCTION("""COMPUTED_VALUE"""),"LL")</f>
        <v>LL</v>
      </c>
      <c r="C307" s="1" t="str">
        <f t="shared" si="1"/>
        <v>No</v>
      </c>
      <c r="D307" s="1">
        <v>0.0</v>
      </c>
    </row>
    <row r="308" ht="15.75" customHeight="1">
      <c r="A308" s="1" t="str">
        <f>IFERROR(__xludf.DUMMYFUNCTION("""COMPUTED_VALUE"""),"Emmie Vickers")</f>
        <v>Emmie Vickers</v>
      </c>
      <c r="B308" s="1" t="str">
        <f>IFERROR(__xludf.DUMMYFUNCTION("""COMPUTED_VALUE"""),"L1")</f>
        <v>L1</v>
      </c>
      <c r="C308" s="1" t="str">
        <f t="shared" si="1"/>
        <v>No</v>
      </c>
      <c r="D308" s="1">
        <v>0.0</v>
      </c>
    </row>
    <row r="309" ht="15.75" customHeight="1">
      <c r="A309" s="1" t="str">
        <f>IFERROR(__xludf.DUMMYFUNCTION("""COMPUTED_VALUE"""),"Jack Talbot")</f>
        <v>Jack Talbot</v>
      </c>
      <c r="B309" s="1" t="str">
        <f>IFERROR(__xludf.DUMMYFUNCTION("""COMPUTED_VALUE"""),"L2")</f>
        <v>L2</v>
      </c>
      <c r="C309" s="1" t="str">
        <f t="shared" si="1"/>
        <v>No</v>
      </c>
      <c r="D309" s="1">
        <v>0.0</v>
      </c>
    </row>
    <row r="310" ht="15.75" customHeight="1">
      <c r="A310" s="1" t="str">
        <f>IFERROR(__xludf.DUMMYFUNCTION("""COMPUTED_VALUE"""),"Dustin Buehler")</f>
        <v>Dustin Buehler</v>
      </c>
      <c r="B310" s="1" t="str">
        <f>IFERROR(__xludf.DUMMYFUNCTION("""COMPUTED_VALUE"""),"L2")</f>
        <v>L2</v>
      </c>
      <c r="C310" s="1" t="str">
        <f t="shared" si="1"/>
        <v>No</v>
      </c>
      <c r="D310" s="1">
        <v>0.0</v>
      </c>
    </row>
    <row r="311" ht="15.75" customHeight="1">
      <c r="A311" s="1" t="str">
        <f>IFERROR(__xludf.DUMMYFUNCTION("""COMPUTED_VALUE"""),"Salma Abouelenin")</f>
        <v>Salma Abouelenin</v>
      </c>
      <c r="B311" s="1" t="str">
        <f>IFERROR(__xludf.DUMMYFUNCTION("""COMPUTED_VALUE"""),"L2")</f>
        <v>L2</v>
      </c>
      <c r="C311" s="1" t="str">
        <f t="shared" si="1"/>
        <v>No</v>
      </c>
      <c r="D311" s="1">
        <v>0.0</v>
      </c>
    </row>
    <row r="312" ht="15.75" customHeight="1">
      <c r="A312" s="1" t="str">
        <f>IFERROR(__xludf.DUMMYFUNCTION("""COMPUTED_VALUE"""),"Eva Irving")</f>
        <v>Eva Irving</v>
      </c>
      <c r="B312" s="1" t="str">
        <f>IFERROR(__xludf.DUMMYFUNCTION("""COMPUTED_VALUE"""),"L1")</f>
        <v>L1</v>
      </c>
      <c r="C312" s="1" t="str">
        <f t="shared" si="1"/>
        <v>No</v>
      </c>
      <c r="D312" s="1">
        <v>0.0</v>
      </c>
    </row>
    <row r="313" ht="15.75" customHeight="1">
      <c r="A313" s="1" t="str">
        <f>IFERROR(__xludf.DUMMYFUNCTION("""COMPUTED_VALUE"""),"Kate McDonough")</f>
        <v>Kate McDonough</v>
      </c>
      <c r="B313" s="1" t="str">
        <f>IFERROR(__xludf.DUMMYFUNCTION("""COMPUTED_VALUE"""),"L2")</f>
        <v>L2</v>
      </c>
      <c r="C313" s="1" t="str">
        <f t="shared" si="1"/>
        <v>No</v>
      </c>
      <c r="D313" s="1">
        <v>0.0</v>
      </c>
    </row>
    <row r="314" ht="15.75" customHeight="1">
      <c r="A314" s="1" t="str">
        <f>IFERROR(__xludf.DUMMYFUNCTION("""COMPUTED_VALUE"""),"Jack Porto")</f>
        <v>Jack Porto</v>
      </c>
      <c r="B314" s="1" t="str">
        <f>IFERROR(__xludf.DUMMYFUNCTION("""COMPUTED_VALUE"""),"L1")</f>
        <v>L1</v>
      </c>
      <c r="C314" s="1" t="str">
        <f t="shared" si="1"/>
        <v>No</v>
      </c>
      <c r="D314" s="1">
        <v>0.0</v>
      </c>
    </row>
    <row r="315" ht="15.75" customHeight="1">
      <c r="A315" s="1" t="str">
        <f>IFERROR(__xludf.DUMMYFUNCTION("""COMPUTED_VALUE"""),"Sawyer Bryant")</f>
        <v>Sawyer Bryant</v>
      </c>
      <c r="B315" s="1" t="str">
        <f>IFERROR(__xludf.DUMMYFUNCTION("""COMPUTED_VALUE"""),"L1")</f>
        <v>L1</v>
      </c>
      <c r="C315" s="1" t="str">
        <f t="shared" si="1"/>
        <v>No</v>
      </c>
      <c r="D315" s="1">
        <v>0.0</v>
      </c>
    </row>
    <row r="316" ht="15.75" customHeight="1">
      <c r="A316" s="1" t="str">
        <f>IFERROR(__xludf.DUMMYFUNCTION("""COMPUTED_VALUE"""),"Leyson Bryant")</f>
        <v>Leyson Bryant</v>
      </c>
      <c r="B316" s="1" t="str">
        <f>IFERROR(__xludf.DUMMYFUNCTION("""COMPUTED_VALUE"""),"L2")</f>
        <v>L2</v>
      </c>
      <c r="C316" s="1" t="str">
        <f t="shared" si="1"/>
        <v>No</v>
      </c>
      <c r="D316" s="1">
        <v>0.0</v>
      </c>
    </row>
    <row r="317" ht="15.75" customHeight="1">
      <c r="A317" s="1" t="str">
        <f>IFERROR(__xludf.DUMMYFUNCTION("""COMPUTED_VALUE"""),"Hendrix Smith")</f>
        <v>Hendrix Smith</v>
      </c>
      <c r="B317" s="1" t="str">
        <f>IFERROR(__xludf.DUMMYFUNCTION("""COMPUTED_VALUE"""),"L2")</f>
        <v>L2</v>
      </c>
      <c r="C317" s="1" t="str">
        <f t="shared" si="1"/>
        <v>No</v>
      </c>
      <c r="D317" s="1">
        <v>0.0</v>
      </c>
    </row>
    <row r="318" ht="15.75" customHeight="1">
      <c r="A318" s="1" t="str">
        <f>IFERROR(__xludf.DUMMYFUNCTION("""COMPUTED_VALUE"""),"Horty Puddlefoot")</f>
        <v>Horty Puddlefoot</v>
      </c>
      <c r="B318" s="1" t="str">
        <f>IFERROR(__xludf.DUMMYFUNCTION("""COMPUTED_VALUE"""),"L2")</f>
        <v>L2</v>
      </c>
      <c r="C318" s="1" t="str">
        <f t="shared" si="1"/>
        <v>No</v>
      </c>
      <c r="D318" s="1">
        <v>0.0</v>
      </c>
    </row>
    <row r="319" ht="15.75" customHeight="1">
      <c r="A319" s="1" t="str">
        <f>IFERROR(__xludf.DUMMYFUNCTION("""COMPUTED_VALUE"""),"Kane Shaw")</f>
        <v>Kane Shaw</v>
      </c>
      <c r="B319" s="1" t="str">
        <f>IFERROR(__xludf.DUMMYFUNCTION("""COMPUTED_VALUE"""),"L2")</f>
        <v>L2</v>
      </c>
      <c r="C319" s="1" t="str">
        <f t="shared" si="1"/>
        <v>No</v>
      </c>
      <c r="D319" s="1">
        <v>0.0</v>
      </c>
    </row>
    <row r="320" ht="15.75" customHeight="1">
      <c r="A320" s="1" t="str">
        <f>IFERROR(__xludf.DUMMYFUNCTION("""COMPUTED_VALUE"""),"Mason Rosellini")</f>
        <v>Mason Rosellini</v>
      </c>
      <c r="B320" s="1" t="str">
        <f>IFERROR(__xludf.DUMMYFUNCTION("""COMPUTED_VALUE"""),"MS")</f>
        <v>MS</v>
      </c>
      <c r="C320" s="1" t="str">
        <f t="shared" si="1"/>
        <v>No</v>
      </c>
      <c r="D320" s="1">
        <v>0.0</v>
      </c>
    </row>
    <row r="321" ht="15.75" customHeight="1">
      <c r="A321" s="1" t="str">
        <f>IFERROR(__xludf.DUMMYFUNCTION("""COMPUTED_VALUE"""),"Ava Rosellini")</f>
        <v>Ava Rosellini</v>
      </c>
      <c r="B321" s="1" t="str">
        <f>IFERROR(__xludf.DUMMYFUNCTION("""COMPUTED_VALUE"""),"MS")</f>
        <v>MS</v>
      </c>
      <c r="C321" s="1" t="str">
        <f t="shared" si="1"/>
        <v>No</v>
      </c>
      <c r="D321" s="1">
        <v>0.0</v>
      </c>
    </row>
    <row r="322" ht="15.75" customHeight="1">
      <c r="A322" s="1" t="str">
        <f>IFERROR(__xludf.DUMMYFUNCTION("""COMPUTED_VALUE"""),"Camelia Aguilar")</f>
        <v>Camelia Aguilar</v>
      </c>
      <c r="B322" s="1" t="str">
        <f>IFERROR(__xludf.DUMMYFUNCTION("""COMPUTED_VALUE"""),"L2")</f>
        <v>L2</v>
      </c>
      <c r="C322" s="1" t="str">
        <f t="shared" si="1"/>
        <v>No</v>
      </c>
      <c r="D322" s="1">
        <v>0.0</v>
      </c>
    </row>
    <row r="323" ht="15.75" customHeight="1">
      <c r="A323" s="1" t="str">
        <f>IFERROR(__xludf.DUMMYFUNCTION("""COMPUTED_VALUE"""),"Beckett Stares")</f>
        <v>Beckett Stares</v>
      </c>
      <c r="B323" s="1" t="str">
        <f>IFERROR(__xludf.DUMMYFUNCTION("""COMPUTED_VALUE"""),"L2")</f>
        <v>L2</v>
      </c>
      <c r="C323" s="1" t="str">
        <f t="shared" si="1"/>
        <v>No</v>
      </c>
      <c r="D323" s="1">
        <v>0.0</v>
      </c>
    </row>
    <row r="324" ht="15.75" customHeight="1">
      <c r="A324" s="1" t="str">
        <f>IFERROR(__xludf.DUMMYFUNCTION("""COMPUTED_VALUE"""),"Joshua Costa")</f>
        <v>Joshua Costa</v>
      </c>
      <c r="B324" s="1" t="str">
        <f>IFERROR(__xludf.DUMMYFUNCTION("""COMPUTED_VALUE"""),"MS")</f>
        <v>MS</v>
      </c>
      <c r="C324" s="1" t="str">
        <f t="shared" si="1"/>
        <v>No</v>
      </c>
      <c r="D324" s="1">
        <v>0.0</v>
      </c>
    </row>
    <row r="325" ht="15.75" customHeight="1">
      <c r="A325" s="1" t="str">
        <f>IFERROR(__xludf.DUMMYFUNCTION("""COMPUTED_VALUE"""),"Caleb Costa")</f>
        <v>Caleb Costa</v>
      </c>
      <c r="B325" s="1" t="str">
        <f>IFERROR(__xludf.DUMMYFUNCTION("""COMPUTED_VALUE"""),"MS")</f>
        <v>MS</v>
      </c>
      <c r="C325" s="1" t="str">
        <f t="shared" si="1"/>
        <v>No</v>
      </c>
      <c r="D325" s="1">
        <v>0.0</v>
      </c>
    </row>
    <row r="326" ht="15.75" customHeight="1">
      <c r="A326" s="1" t="str">
        <f>IFERROR(__xludf.DUMMYFUNCTION("""COMPUTED_VALUE"""),"Scarlett Hamaoui")</f>
        <v>Scarlett Hamaoui</v>
      </c>
      <c r="B326" s="1" t="str">
        <f>IFERROR(__xludf.DUMMYFUNCTION("""COMPUTED_VALUE"""),"L2")</f>
        <v>L2</v>
      </c>
      <c r="C326" s="1" t="str">
        <f t="shared" si="1"/>
        <v>No</v>
      </c>
      <c r="D326" s="1">
        <v>0.0</v>
      </c>
    </row>
    <row r="327" ht="15.75" customHeight="1">
      <c r="A327" s="1" t="str">
        <f>IFERROR(__xludf.DUMMYFUNCTION("""COMPUTED_VALUE"""),"Anderson Trickett")</f>
        <v>Anderson Trickett</v>
      </c>
      <c r="B327" s="1" t="str">
        <f>IFERROR(__xludf.DUMMYFUNCTION("""COMPUTED_VALUE"""),"MS")</f>
        <v>MS</v>
      </c>
      <c r="C327" s="1" t="str">
        <f t="shared" si="1"/>
        <v>No</v>
      </c>
      <c r="D327" s="1">
        <v>0.0</v>
      </c>
    </row>
    <row r="328" ht="15.75" customHeight="1">
      <c r="A328" s="1" t="str">
        <f>IFERROR(__xludf.DUMMYFUNCTION("""COMPUTED_VALUE"""),"Declan Trickett")</f>
        <v>Declan Trickett</v>
      </c>
      <c r="B328" s="1" t="str">
        <f>IFERROR(__xludf.DUMMYFUNCTION("""COMPUTED_VALUE"""),"MS")</f>
        <v>MS</v>
      </c>
      <c r="C328" s="1" t="str">
        <f t="shared" si="1"/>
        <v>No</v>
      </c>
      <c r="D328" s="1">
        <v>0.0</v>
      </c>
    </row>
    <row r="329" ht="15.75" customHeight="1">
      <c r="A329" s="1" t="str">
        <f>IFERROR(__xludf.DUMMYFUNCTION("""COMPUTED_VALUE"""),"Tomas Da Silva")</f>
        <v>Tomas Da Silva</v>
      </c>
      <c r="B329" s="1" t="str">
        <f>IFERROR(__xludf.DUMMYFUNCTION("""COMPUTED_VALUE"""),"L1")</f>
        <v>L1</v>
      </c>
      <c r="C329" s="1" t="str">
        <f t="shared" si="1"/>
        <v>No</v>
      </c>
      <c r="D329" s="1">
        <v>0.0</v>
      </c>
    </row>
    <row r="330" ht="15.75" customHeight="1">
      <c r="A330" s="1" t="str">
        <f>IFERROR(__xludf.DUMMYFUNCTION("""COMPUTED_VALUE"""),"Callie Krause")</f>
        <v>Callie Krause</v>
      </c>
      <c r="B330" s="1" t="str">
        <f>IFERROR(__xludf.DUMMYFUNCTION("""COMPUTED_VALUE"""),"LL")</f>
        <v>LL</v>
      </c>
      <c r="C330" s="1" t="str">
        <f t="shared" si="1"/>
        <v>No</v>
      </c>
      <c r="D330" s="1">
        <v>0.0</v>
      </c>
    </row>
    <row r="331" ht="15.75" customHeight="1">
      <c r="A331" s="1" t="str">
        <f>IFERROR(__xludf.DUMMYFUNCTION("""COMPUTED_VALUE"""),"Blakely Garner")</f>
        <v>Blakely Garner</v>
      </c>
      <c r="B331" s="1" t="str">
        <f>IFERROR(__xludf.DUMMYFUNCTION("""COMPUTED_VALUE"""),"L2")</f>
        <v>L2</v>
      </c>
      <c r="C331" s="1" t="str">
        <f t="shared" si="1"/>
        <v>No</v>
      </c>
      <c r="D331" s="1">
        <v>0.0</v>
      </c>
    </row>
    <row r="332" ht="15.75" customHeight="1">
      <c r="A332" s="1" t="str">
        <f>IFERROR(__xludf.DUMMYFUNCTION("""COMPUTED_VALUE"""),"Andromeda Brand")</f>
        <v>Andromeda Brand</v>
      </c>
      <c r="B332" s="1" t="str">
        <f>IFERROR(__xludf.DUMMYFUNCTION("""COMPUTED_VALUE"""),"L1")</f>
        <v>L1</v>
      </c>
      <c r="C332" s="1" t="str">
        <f t="shared" si="1"/>
        <v>No</v>
      </c>
      <c r="D332" s="1">
        <v>0.0</v>
      </c>
    </row>
    <row r="333" ht="15.75" customHeight="1">
      <c r="A333" s="1" t="str">
        <f>IFERROR(__xludf.DUMMYFUNCTION("""COMPUTED_VALUE"""),"Chloe Gonzales Conze")</f>
        <v>Chloe Gonzales Conze</v>
      </c>
      <c r="B333" s="1" t="str">
        <f>IFERROR(__xludf.DUMMYFUNCTION("""COMPUTED_VALUE"""),"L2")</f>
        <v>L2</v>
      </c>
      <c r="C333" s="1" t="str">
        <f t="shared" si="1"/>
        <v>No</v>
      </c>
      <c r="D333" s="1">
        <v>0.0</v>
      </c>
    </row>
    <row r="334" ht="15.75" customHeight="1">
      <c r="A334" s="1" t="str">
        <f>IFERROR(__xludf.DUMMYFUNCTION("""COMPUTED_VALUE"""),"Noel Gonzales Conze")</f>
        <v>Noel Gonzales Conze</v>
      </c>
      <c r="B334" s="1" t="str">
        <f>IFERROR(__xludf.DUMMYFUNCTION("""COMPUTED_VALUE"""),"L2")</f>
        <v>L2</v>
      </c>
      <c r="C334" s="1" t="str">
        <f t="shared" si="1"/>
        <v>No</v>
      </c>
      <c r="D334" s="1">
        <v>0.0</v>
      </c>
    </row>
    <row r="335" ht="15.75" customHeight="1">
      <c r="A335" s="1" t="str">
        <f>IFERROR(__xludf.DUMMYFUNCTION("""COMPUTED_VALUE"""),"Jamie Sheridan")</f>
        <v>Jamie Sheridan</v>
      </c>
      <c r="B335" s="1" t="str">
        <f>IFERROR(__xludf.DUMMYFUNCTION("""COMPUTED_VALUE"""),"MS")</f>
        <v>MS</v>
      </c>
      <c r="C335" s="1" t="str">
        <f t="shared" si="1"/>
        <v>No</v>
      </c>
      <c r="D335" s="1">
        <v>0.0</v>
      </c>
    </row>
    <row r="336" ht="15.75" customHeight="1">
      <c r="A336" s="1" t="str">
        <f>IFERROR(__xludf.DUMMYFUNCTION("""COMPUTED_VALUE"""),"Gia Arcieri Gaston")</f>
        <v>Gia Arcieri Gaston</v>
      </c>
      <c r="B336" s="1" t="str">
        <f>IFERROR(__xludf.DUMMYFUNCTION("""COMPUTED_VALUE"""),"MS")</f>
        <v>MS</v>
      </c>
      <c r="C336" s="1" t="str">
        <f t="shared" si="1"/>
        <v>No</v>
      </c>
      <c r="D336" s="1">
        <v>0.0</v>
      </c>
    </row>
    <row r="337" ht="15.75" customHeight="1">
      <c r="A337" s="1" t="str">
        <f>IFERROR(__xludf.DUMMYFUNCTION("""COMPUTED_VALUE"""),"Ava Mavrookas")</f>
        <v>Ava Mavrookas</v>
      </c>
      <c r="B337" s="1" t="str">
        <f>IFERROR(__xludf.DUMMYFUNCTION("""COMPUTED_VALUE"""),"L1")</f>
        <v>L1</v>
      </c>
      <c r="C337" s="1" t="str">
        <f t="shared" si="1"/>
        <v>No</v>
      </c>
      <c r="D337" s="1">
        <v>0.0</v>
      </c>
    </row>
    <row r="338" ht="15.75" customHeight="1">
      <c r="A338" s="1" t="str">
        <f>IFERROR(__xludf.DUMMYFUNCTION("""COMPUTED_VALUE"""),"Seaenah Starr Tolman")</f>
        <v>Seaenah Starr Tolman</v>
      </c>
      <c r="B338" s="1" t="str">
        <f>IFERROR(__xludf.DUMMYFUNCTION("""COMPUTED_VALUE"""),"MS")</f>
        <v>MS</v>
      </c>
      <c r="C338" s="1" t="str">
        <f t="shared" si="1"/>
        <v>No</v>
      </c>
      <c r="D338" s="1">
        <v>0.0</v>
      </c>
    </row>
    <row r="339" ht="15.75" customHeight="1">
      <c r="A339" s="1" t="str">
        <f>IFERROR(__xludf.DUMMYFUNCTION("""COMPUTED_VALUE"""),"Jack Ruple")</f>
        <v>Jack Ruple</v>
      </c>
      <c r="B339" s="1" t="str">
        <f>IFERROR(__xludf.DUMMYFUNCTION("""COMPUTED_VALUE"""),"L2")</f>
        <v>L2</v>
      </c>
      <c r="C339" s="1" t="str">
        <f t="shared" si="1"/>
        <v>No</v>
      </c>
      <c r="D339" s="1">
        <v>0.0</v>
      </c>
    </row>
    <row r="340" ht="15.75" customHeight="1">
      <c r="A340" s="1" t="str">
        <f>IFERROR(__xludf.DUMMYFUNCTION("""COMPUTED_VALUE"""),"Zayla Ruple")</f>
        <v>Zayla Ruple</v>
      </c>
      <c r="B340" s="1" t="str">
        <f>IFERROR(__xludf.DUMMYFUNCTION("""COMPUTED_VALUE"""),"L1")</f>
        <v>L1</v>
      </c>
      <c r="C340" s="1" t="str">
        <f t="shared" si="1"/>
        <v>No</v>
      </c>
      <c r="D340" s="1">
        <v>0.0</v>
      </c>
    </row>
    <row r="341" ht="15.75" customHeight="1">
      <c r="A341" s="1" t="str">
        <f>IFERROR(__xludf.DUMMYFUNCTION("""COMPUTED_VALUE"""),"Etie Smith Holt")</f>
        <v>Etie Smith Holt</v>
      </c>
      <c r="B341" s="1" t="str">
        <f>IFERROR(__xludf.DUMMYFUNCTION("""COMPUTED_VALUE"""),"L2")</f>
        <v>L2</v>
      </c>
      <c r="C341" s="1" t="str">
        <f t="shared" si="1"/>
        <v>No</v>
      </c>
      <c r="D341" s="1">
        <v>0.0</v>
      </c>
    </row>
    <row r="342" ht="15.75" customHeight="1">
      <c r="A342" s="1" t="str">
        <f>IFERROR(__xludf.DUMMYFUNCTION("""COMPUTED_VALUE"""),"Kaiden Kilby")</f>
        <v>Kaiden Kilby</v>
      </c>
      <c r="B342" s="1" t="str">
        <f>IFERROR(__xludf.DUMMYFUNCTION("""COMPUTED_VALUE"""),"L1")</f>
        <v>L1</v>
      </c>
      <c r="C342" s="1" t="str">
        <f t="shared" si="1"/>
        <v>No</v>
      </c>
      <c r="D342" s="1">
        <v>0.0</v>
      </c>
    </row>
    <row r="343" ht="15.75" customHeight="1">
      <c r="A343" s="1" t="str">
        <f>IFERROR(__xludf.DUMMYFUNCTION("""COMPUTED_VALUE"""),"Aubron Hartley")</f>
        <v>Aubron Hartley</v>
      </c>
      <c r="B343" s="1" t="str">
        <f>IFERROR(__xludf.DUMMYFUNCTION("""COMPUTED_VALUE"""),"L2")</f>
        <v>L2</v>
      </c>
      <c r="C343" s="1" t="str">
        <f t="shared" si="1"/>
        <v>No</v>
      </c>
      <c r="D343" s="1">
        <v>0.0</v>
      </c>
    </row>
    <row r="344" ht="15.75" customHeight="1">
      <c r="A344" s="1" t="str">
        <f>IFERROR(__xludf.DUMMYFUNCTION("""COMPUTED_VALUE"""),"Kyndal Hartley")</f>
        <v>Kyndal Hartley</v>
      </c>
      <c r="B344" s="1" t="str">
        <f>IFERROR(__xludf.DUMMYFUNCTION("""COMPUTED_VALUE"""),"MS")</f>
        <v>MS</v>
      </c>
      <c r="C344" s="1" t="str">
        <f t="shared" si="1"/>
        <v>No</v>
      </c>
      <c r="D344" s="1">
        <v>0.0</v>
      </c>
    </row>
    <row r="345" ht="15.75" customHeight="1">
      <c r="A345" s="1" t="str">
        <f>IFERROR(__xludf.DUMMYFUNCTION("""COMPUTED_VALUE"""),"Ella Hartley")</f>
        <v>Ella Hartley</v>
      </c>
      <c r="B345" s="1" t="str">
        <f>IFERROR(__xludf.DUMMYFUNCTION("""COMPUTED_VALUE"""),"MS")</f>
        <v>MS</v>
      </c>
      <c r="C345" s="1" t="str">
        <f t="shared" si="1"/>
        <v>No</v>
      </c>
      <c r="D345" s="1">
        <v>0.0</v>
      </c>
    </row>
    <row r="346" ht="15.75" customHeight="1">
      <c r="A346" s="1" t="str">
        <f>IFERROR(__xludf.DUMMYFUNCTION("""COMPUTED_VALUE"""),"Jackson Gadd")</f>
        <v>Jackson Gadd</v>
      </c>
      <c r="B346" s="1" t="str">
        <f>IFERROR(__xludf.DUMMYFUNCTION("""COMPUTED_VALUE"""),"L2")</f>
        <v>L2</v>
      </c>
      <c r="C346" s="1" t="str">
        <f t="shared" si="1"/>
        <v>No</v>
      </c>
      <c r="D346" s="1">
        <v>0.0</v>
      </c>
    </row>
    <row r="347" ht="15.75" customHeight="1">
      <c r="A347" s="1" t="str">
        <f>IFERROR(__xludf.DUMMYFUNCTION("""COMPUTED_VALUE"""),"Kiran Gadd")</f>
        <v>Kiran Gadd</v>
      </c>
      <c r="B347" s="1" t="str">
        <f>IFERROR(__xludf.DUMMYFUNCTION("""COMPUTED_VALUE"""),"L1")</f>
        <v>L1</v>
      </c>
      <c r="C347" s="1" t="str">
        <f t="shared" si="1"/>
        <v>No</v>
      </c>
      <c r="D347" s="1">
        <v>0.0</v>
      </c>
    </row>
    <row r="348" ht="15.75" customHeight="1">
      <c r="A348" s="1" t="str">
        <f>IFERROR(__xludf.DUMMYFUNCTION("""COMPUTED_VALUE"""),"Hadassah Harter")</f>
        <v>Hadassah Harter</v>
      </c>
      <c r="B348" s="1" t="str">
        <f>IFERROR(__xludf.DUMMYFUNCTION("""COMPUTED_VALUE"""),"MS")</f>
        <v>MS</v>
      </c>
      <c r="C348" s="1" t="str">
        <f t="shared" si="1"/>
        <v>No</v>
      </c>
      <c r="D348" s="1">
        <v>0.0</v>
      </c>
    </row>
    <row r="349" ht="15.75" customHeight="1">
      <c r="A349" s="1" t="str">
        <f>IFERROR(__xludf.DUMMYFUNCTION("""COMPUTED_VALUE"""),"Emma Moy")</f>
        <v>Emma Moy</v>
      </c>
      <c r="B349" s="1" t="str">
        <f>IFERROR(__xludf.DUMMYFUNCTION("""COMPUTED_VALUE"""),"L1")</f>
        <v>L1</v>
      </c>
      <c r="C349" s="1" t="str">
        <f t="shared" si="1"/>
        <v>No</v>
      </c>
      <c r="D349" s="1">
        <v>0.0</v>
      </c>
    </row>
    <row r="350" ht="15.75" customHeight="1">
      <c r="A350" s="1" t="str">
        <f>IFERROR(__xludf.DUMMYFUNCTION("""COMPUTED_VALUE"""),"Asha Karkal")</f>
        <v>Asha Karkal</v>
      </c>
      <c r="B350" s="1" t="str">
        <f>IFERROR(__xludf.DUMMYFUNCTION("""COMPUTED_VALUE"""),"MS")</f>
        <v>MS</v>
      </c>
      <c r="C350" s="1" t="str">
        <f t="shared" si="1"/>
        <v>No</v>
      </c>
      <c r="D350" s="1">
        <v>0.0</v>
      </c>
    </row>
    <row r="351" ht="15.75" customHeight="1">
      <c r="A351" s="1" t="str">
        <f>IFERROR(__xludf.DUMMYFUNCTION("""COMPUTED_VALUE"""),"Alesh Karkal")</f>
        <v>Alesh Karkal</v>
      </c>
      <c r="B351" s="1" t="str">
        <f>IFERROR(__xludf.DUMMYFUNCTION("""COMPUTED_VALUE"""),"L2")</f>
        <v>L2</v>
      </c>
      <c r="C351" s="1" t="str">
        <f t="shared" si="1"/>
        <v>No</v>
      </c>
      <c r="D351" s="1">
        <v>0.0</v>
      </c>
    </row>
    <row r="352" ht="15.75" customHeight="1">
      <c r="A352" s="1" t="str">
        <f>IFERROR(__xludf.DUMMYFUNCTION("""COMPUTED_VALUE"""),"Luke Vedder")</f>
        <v>Luke Vedder</v>
      </c>
      <c r="B352" s="1" t="str">
        <f>IFERROR(__xludf.DUMMYFUNCTION("""COMPUTED_VALUE"""),"L2")</f>
        <v>L2</v>
      </c>
      <c r="C352" s="1" t="str">
        <f t="shared" si="1"/>
        <v>No</v>
      </c>
      <c r="D352" s="1">
        <v>0.0</v>
      </c>
    </row>
    <row r="353" ht="15.75" customHeight="1">
      <c r="A353" s="1" t="str">
        <f>IFERROR(__xludf.DUMMYFUNCTION("""COMPUTED_VALUE"""),"Jacob Fields")</f>
        <v>Jacob Fields</v>
      </c>
      <c r="B353" s="1" t="str">
        <f>IFERROR(__xludf.DUMMYFUNCTION("""COMPUTED_VALUE"""),"MS")</f>
        <v>MS</v>
      </c>
      <c r="C353" s="1" t="str">
        <f t="shared" si="1"/>
        <v>No</v>
      </c>
      <c r="D353" s="1">
        <v>0.0</v>
      </c>
    </row>
    <row r="354" ht="15.75" customHeight="1">
      <c r="A354" s="1" t="str">
        <f>IFERROR(__xludf.DUMMYFUNCTION("""COMPUTED_VALUE"""),"Rebekah Fields")</f>
        <v>Rebekah Fields</v>
      </c>
      <c r="B354" s="1" t="str">
        <f>IFERROR(__xludf.DUMMYFUNCTION("""COMPUTED_VALUE"""),"MS")</f>
        <v>MS</v>
      </c>
      <c r="C354" s="1" t="str">
        <f t="shared" si="1"/>
        <v>No</v>
      </c>
      <c r="D354" s="1">
        <v>0.0</v>
      </c>
    </row>
    <row r="355" ht="15.75" customHeight="1">
      <c r="A355" s="1" t="str">
        <f>IFERROR(__xludf.DUMMYFUNCTION("""COMPUTED_VALUE"""),"Lydia Fields")</f>
        <v>Lydia Fields</v>
      </c>
      <c r="B355" s="1" t="str">
        <f>IFERROR(__xludf.DUMMYFUNCTION("""COMPUTED_VALUE"""),"L2")</f>
        <v>L2</v>
      </c>
      <c r="C355" s="1" t="str">
        <f t="shared" si="1"/>
        <v>No</v>
      </c>
      <c r="D355" s="1">
        <v>0.0</v>
      </c>
    </row>
    <row r="356" ht="15.75" customHeight="1">
      <c r="A356" s="1" t="str">
        <f>IFERROR(__xludf.DUMMYFUNCTION("""COMPUTED_VALUE"""),"Ezra Burrola")</f>
        <v>Ezra Burrola</v>
      </c>
      <c r="B356" s="1" t="str">
        <f>IFERROR(__xludf.DUMMYFUNCTION("""COMPUTED_VALUE"""),"MS")</f>
        <v>MS</v>
      </c>
      <c r="C356" s="1" t="str">
        <f t="shared" si="1"/>
        <v>No</v>
      </c>
      <c r="D356" s="1">
        <v>0.0</v>
      </c>
    </row>
    <row r="357" ht="15.75" customHeight="1">
      <c r="A357" s="1" t="str">
        <f>IFERROR(__xludf.DUMMYFUNCTION("""COMPUTED_VALUE"""),"Emma Burrola")</f>
        <v>Emma Burrola</v>
      </c>
      <c r="B357" s="1" t="str">
        <f>IFERROR(__xludf.DUMMYFUNCTION("""COMPUTED_VALUE"""),"MS")</f>
        <v>MS</v>
      </c>
      <c r="C357" s="1" t="str">
        <f t="shared" si="1"/>
        <v>No</v>
      </c>
      <c r="D357" s="1">
        <v>0.0</v>
      </c>
    </row>
    <row r="358" ht="15.75" customHeight="1">
      <c r="A358" s="1" t="str">
        <f>IFERROR(__xludf.DUMMYFUNCTION("""COMPUTED_VALUE"""),"Kennedy Lybbert")</f>
        <v>Kennedy Lybbert</v>
      </c>
      <c r="B358" s="1" t="str">
        <f>IFERROR(__xludf.DUMMYFUNCTION("""COMPUTED_VALUE"""),"L1")</f>
        <v>L1</v>
      </c>
      <c r="C358" s="1" t="str">
        <f t="shared" si="1"/>
        <v>No</v>
      </c>
      <c r="D358" s="1">
        <v>0.0</v>
      </c>
    </row>
    <row r="359" ht="15.75" customHeight="1">
      <c r="A359" s="1" t="str">
        <f>IFERROR(__xludf.DUMMYFUNCTION("""COMPUTED_VALUE"""),"Lydia Lybbert")</f>
        <v>Lydia Lybbert</v>
      </c>
      <c r="B359" s="1" t="str">
        <f>IFERROR(__xludf.DUMMYFUNCTION("""COMPUTED_VALUE"""),"L2")</f>
        <v>L2</v>
      </c>
      <c r="C359" s="1" t="str">
        <f t="shared" si="1"/>
        <v>No</v>
      </c>
      <c r="D359" s="1">
        <v>0.0</v>
      </c>
    </row>
    <row r="360" ht="15.75" customHeight="1">
      <c r="A360" s="1" t="str">
        <f>IFERROR(__xludf.DUMMYFUNCTION("""COMPUTED_VALUE"""),"Lea Ederi")</f>
        <v>Lea Ederi</v>
      </c>
      <c r="B360" s="1" t="str">
        <f>IFERROR(__xludf.DUMMYFUNCTION("""COMPUTED_VALUE"""),"L2")</f>
        <v>L2</v>
      </c>
      <c r="C360" s="1" t="str">
        <f t="shared" si="1"/>
        <v>No</v>
      </c>
      <c r="D360" s="1">
        <v>0.0</v>
      </c>
    </row>
    <row r="361" ht="15.75" customHeight="1">
      <c r="A361" s="1" t="str">
        <f>IFERROR(__xludf.DUMMYFUNCTION("""COMPUTED_VALUE"""),"Carter Smith")</f>
        <v>Carter Smith</v>
      </c>
      <c r="B361" s="1" t="str">
        <f>IFERROR(__xludf.DUMMYFUNCTION("""COMPUTED_VALUE"""),"L2")</f>
        <v>L2</v>
      </c>
      <c r="C361" s="1" t="str">
        <f t="shared" si="1"/>
        <v>No</v>
      </c>
      <c r="D361" s="1">
        <v>0.0</v>
      </c>
    </row>
    <row r="362" ht="15.75" customHeight="1">
      <c r="A362" s="1" t="str">
        <f>IFERROR(__xludf.DUMMYFUNCTION("""COMPUTED_VALUE"""),"Benjamin Matthews")</f>
        <v>Benjamin Matthews</v>
      </c>
      <c r="B362" s="1" t="str">
        <f>IFERROR(__xludf.DUMMYFUNCTION("""COMPUTED_VALUE"""),"MS")</f>
        <v>MS</v>
      </c>
      <c r="C362" s="1" t="str">
        <f t="shared" si="1"/>
        <v>No</v>
      </c>
      <c r="D362" s="1">
        <v>0.0</v>
      </c>
    </row>
    <row r="363" ht="15.75" customHeight="1">
      <c r="A363" s="1" t="str">
        <f>IFERROR(__xludf.DUMMYFUNCTION("""COMPUTED_VALUE"""),"Victoria Wallace")</f>
        <v>Victoria Wallace</v>
      </c>
      <c r="B363" s="1" t="str">
        <f>IFERROR(__xludf.DUMMYFUNCTION("""COMPUTED_VALUE"""),"L1")</f>
        <v>L1</v>
      </c>
      <c r="C363" s="1" t="str">
        <f t="shared" si="1"/>
        <v>No</v>
      </c>
      <c r="D363" s="1">
        <v>0.0</v>
      </c>
    </row>
    <row r="364" ht="15.75" customHeight="1">
      <c r="A364" s="1" t="str">
        <f>IFERROR(__xludf.DUMMYFUNCTION("""COMPUTED_VALUE"""),"Dior VanOsdale")</f>
        <v>Dior VanOsdale</v>
      </c>
      <c r="B364" s="1" t="str">
        <f>IFERROR(__xludf.DUMMYFUNCTION("""COMPUTED_VALUE"""),"L1")</f>
        <v>L1</v>
      </c>
      <c r="C364" s="1" t="str">
        <f t="shared" si="1"/>
        <v>No</v>
      </c>
      <c r="D364" s="1">
        <v>0.0</v>
      </c>
    </row>
    <row r="365" ht="15.75" customHeight="1">
      <c r="A365" s="1" t="str">
        <f>IFERROR(__xludf.DUMMYFUNCTION("""COMPUTED_VALUE"""),"Silver VanOsdale")</f>
        <v>Silver VanOsdale</v>
      </c>
      <c r="B365" s="1" t="str">
        <f>IFERROR(__xludf.DUMMYFUNCTION("""COMPUTED_VALUE"""),"L1")</f>
        <v>L1</v>
      </c>
      <c r="C365" s="1" t="str">
        <f t="shared" si="1"/>
        <v>No</v>
      </c>
      <c r="D365" s="1">
        <v>0.0</v>
      </c>
    </row>
    <row r="366" ht="15.75" customHeight="1">
      <c r="A366" s="1" t="str">
        <f>IFERROR(__xludf.DUMMYFUNCTION("""COMPUTED_VALUE"""),"Eden Vicefield")</f>
        <v>Eden Vicefield</v>
      </c>
      <c r="B366" s="1" t="str">
        <f>IFERROR(__xludf.DUMMYFUNCTION("""COMPUTED_VALUE"""),"MS")</f>
        <v>MS</v>
      </c>
      <c r="C366" s="1" t="str">
        <f t="shared" si="1"/>
        <v>No</v>
      </c>
      <c r="D366" s="1">
        <v>0.0</v>
      </c>
    </row>
    <row r="367" ht="15.75" customHeight="1">
      <c r="A367" s="1" t="str">
        <f>IFERROR(__xludf.DUMMYFUNCTION("""COMPUTED_VALUE"""),"Richard King")</f>
        <v>Richard King</v>
      </c>
      <c r="B367" s="1" t="str">
        <f>IFERROR(__xludf.DUMMYFUNCTION("""COMPUTED_VALUE"""),"MS")</f>
        <v>MS</v>
      </c>
      <c r="C367" s="1" t="str">
        <f t="shared" si="1"/>
        <v>No</v>
      </c>
      <c r="D367" s="1">
        <v>0.0</v>
      </c>
    </row>
    <row r="368" ht="15.75" customHeight="1">
      <c r="A368" s="1" t="str">
        <f>IFERROR(__xludf.DUMMYFUNCTION("""COMPUTED_VALUE"""),"Max Martell")</f>
        <v>Max Martell</v>
      </c>
      <c r="B368" s="1" t="str">
        <f>IFERROR(__xludf.DUMMYFUNCTION("""COMPUTED_VALUE"""),"MS")</f>
        <v>MS</v>
      </c>
      <c r="C368" s="1" t="str">
        <f t="shared" si="1"/>
        <v>No</v>
      </c>
      <c r="D368" s="1">
        <v>0.0</v>
      </c>
    </row>
    <row r="369" ht="15.75" customHeight="1">
      <c r="A369" s="1" t="str">
        <f>IFERROR(__xludf.DUMMYFUNCTION("""COMPUTED_VALUE"""),"Noah Martell")</f>
        <v>Noah Martell</v>
      </c>
      <c r="B369" s="1" t="str">
        <f>IFERROR(__xludf.DUMMYFUNCTION("""COMPUTED_VALUE"""),"MS")</f>
        <v>MS</v>
      </c>
      <c r="C369" s="1" t="str">
        <f t="shared" si="1"/>
        <v>No</v>
      </c>
      <c r="D369" s="1">
        <v>0.0</v>
      </c>
    </row>
    <row r="370" ht="15.75" customHeight="1">
      <c r="A370" s="1" t="str">
        <f>IFERROR(__xludf.DUMMYFUNCTION("""COMPUTED_VALUE"""),"Sanya Patel")</f>
        <v>Sanya Patel</v>
      </c>
      <c r="B370" s="1" t="str">
        <f>IFERROR(__xludf.DUMMYFUNCTION("""COMPUTED_VALUE"""),"L2")</f>
        <v>L2</v>
      </c>
      <c r="C370" s="1" t="str">
        <f t="shared" si="1"/>
        <v>No</v>
      </c>
      <c r="D370" s="1">
        <v>0.0</v>
      </c>
    </row>
    <row r="371" ht="15.75" customHeight="1">
      <c r="A371" s="1" t="str">
        <f>IFERROR(__xludf.DUMMYFUNCTION("""COMPUTED_VALUE"""),"Arianna Acosta")</f>
        <v>Arianna Acosta</v>
      </c>
      <c r="B371" s="1" t="str">
        <f>IFERROR(__xludf.DUMMYFUNCTION("""COMPUTED_VALUE"""),"L1")</f>
        <v>L1</v>
      </c>
      <c r="C371" s="1" t="str">
        <f t="shared" si="1"/>
        <v>No</v>
      </c>
      <c r="D371" s="1">
        <v>0.0</v>
      </c>
    </row>
    <row r="372" ht="15.75" customHeight="1">
      <c r="A372" s="1" t="str">
        <f>IFERROR(__xludf.DUMMYFUNCTION("""COMPUTED_VALUE"""),"Mac Davis")</f>
        <v>Mac Davis</v>
      </c>
      <c r="B372" s="1" t="str">
        <f>IFERROR(__xludf.DUMMYFUNCTION("""COMPUTED_VALUE"""),"L2")</f>
        <v>L2</v>
      </c>
      <c r="C372" s="1" t="str">
        <f t="shared" si="1"/>
        <v>No</v>
      </c>
      <c r="D372" s="1">
        <v>0.0</v>
      </c>
    </row>
    <row r="373" ht="15.75" customHeight="1">
      <c r="A373" s="1" t="str">
        <f>IFERROR(__xludf.DUMMYFUNCTION("""COMPUTED_VALUE"""),"Rowan Allison")</f>
        <v>Rowan Allison</v>
      </c>
      <c r="B373" s="1" t="str">
        <f>IFERROR(__xludf.DUMMYFUNCTION("""COMPUTED_VALUE"""),"MS")</f>
        <v>MS</v>
      </c>
      <c r="C373" s="1" t="str">
        <f t="shared" si="1"/>
        <v>No</v>
      </c>
      <c r="D373" s="1">
        <v>0.0</v>
      </c>
    </row>
    <row r="374" ht="15.75" customHeight="1">
      <c r="A374" s="1" t="str">
        <f>IFERROR(__xludf.DUMMYFUNCTION("""COMPUTED_VALUE"""),"Taylor Radway")</f>
        <v>Taylor Radway</v>
      </c>
      <c r="B374" s="1" t="str">
        <f>IFERROR(__xludf.DUMMYFUNCTION("""COMPUTED_VALUE"""),"L1")</f>
        <v>L1</v>
      </c>
      <c r="C374" s="1" t="str">
        <f t="shared" si="1"/>
        <v>No</v>
      </c>
      <c r="D374" s="1">
        <v>0.0</v>
      </c>
    </row>
    <row r="375" ht="15.75" customHeight="1">
      <c r="A375" s="1" t="str">
        <f>IFERROR(__xludf.DUMMYFUNCTION("""COMPUTED_VALUE"""),"Andrea Akleh")</f>
        <v>Andrea Akleh</v>
      </c>
      <c r="B375" s="1" t="str">
        <f>IFERROR(__xludf.DUMMYFUNCTION("""COMPUTED_VALUE"""),"L1")</f>
        <v>L1</v>
      </c>
      <c r="C375" s="1" t="str">
        <f t="shared" si="1"/>
        <v>No</v>
      </c>
      <c r="D375" s="1">
        <v>0.0</v>
      </c>
    </row>
    <row r="376" ht="15.75" customHeight="1">
      <c r="A376" s="1" t="str">
        <f>IFERROR(__xludf.DUMMYFUNCTION("""COMPUTED_VALUE"""),"Luca Akleh")</f>
        <v>Luca Akleh</v>
      </c>
      <c r="B376" s="1" t="str">
        <f>IFERROR(__xludf.DUMMYFUNCTION("""COMPUTED_VALUE"""),"MS")</f>
        <v>MS</v>
      </c>
      <c r="C376" s="1" t="str">
        <f t="shared" si="1"/>
        <v>No</v>
      </c>
      <c r="D376" s="1">
        <v>0.0</v>
      </c>
    </row>
    <row r="377" ht="15.75" customHeight="1">
      <c r="A377" s="1" t="str">
        <f>IFERROR(__xludf.DUMMYFUNCTION("""COMPUTED_VALUE"""),"Joshua Akleh")</f>
        <v>Joshua Akleh</v>
      </c>
      <c r="B377" s="1" t="str">
        <f>IFERROR(__xludf.DUMMYFUNCTION("""COMPUTED_VALUE"""),"MS")</f>
        <v>MS</v>
      </c>
      <c r="C377" s="1" t="str">
        <f t="shared" si="1"/>
        <v>No</v>
      </c>
      <c r="D377" s="1">
        <v>0.0</v>
      </c>
    </row>
    <row r="378" ht="15.75" customHeight="1">
      <c r="A378" s="1" t="str">
        <f>IFERROR(__xludf.DUMMYFUNCTION("""COMPUTED_VALUE"""),"Emmett Johnson")</f>
        <v>Emmett Johnson</v>
      </c>
      <c r="B378" s="1" t="str">
        <f>IFERROR(__xludf.DUMMYFUNCTION("""COMPUTED_VALUE"""),"MS")</f>
        <v>MS</v>
      </c>
      <c r="C378" s="1" t="str">
        <f t="shared" si="1"/>
        <v>No</v>
      </c>
      <c r="D378" s="1">
        <v>0.0</v>
      </c>
    </row>
    <row r="379" ht="15.75" customHeight="1">
      <c r="A379" s="1" t="str">
        <f>IFERROR(__xludf.DUMMYFUNCTION("""COMPUTED_VALUE"""),"Jackson Barbagallo")</f>
        <v>Jackson Barbagallo</v>
      </c>
      <c r="B379" s="1" t="str">
        <f>IFERROR(__xludf.DUMMYFUNCTION("""COMPUTED_VALUE"""),"MS")</f>
        <v>MS</v>
      </c>
      <c r="C379" s="1" t="str">
        <f t="shared" si="1"/>
        <v>No</v>
      </c>
      <c r="D379" s="1">
        <v>0.0</v>
      </c>
    </row>
    <row r="380" ht="15.75" customHeight="1">
      <c r="A380" s="1" t="str">
        <f>IFERROR(__xludf.DUMMYFUNCTION("""COMPUTED_VALUE"""),"Madeline Pine")</f>
        <v>Madeline Pine</v>
      </c>
      <c r="B380" s="1" t="str">
        <f>IFERROR(__xludf.DUMMYFUNCTION("""COMPUTED_VALUE"""),"L2")</f>
        <v>L2</v>
      </c>
      <c r="C380" s="1" t="str">
        <f t="shared" si="1"/>
        <v>No</v>
      </c>
      <c r="D380" s="1">
        <v>0.0</v>
      </c>
    </row>
    <row r="381" ht="15.75" customHeight="1">
      <c r="A381" s="1" t="str">
        <f>IFERROR(__xludf.DUMMYFUNCTION("""COMPUTED_VALUE"""),"Luka Vojdanoski")</f>
        <v>Luka Vojdanoski</v>
      </c>
      <c r="B381" s="1" t="str">
        <f>IFERROR(__xludf.DUMMYFUNCTION("""COMPUTED_VALUE"""),"L2")</f>
        <v>L2</v>
      </c>
      <c r="C381" s="1" t="str">
        <f t="shared" si="1"/>
        <v>No</v>
      </c>
      <c r="D381" s="1">
        <v>0.0</v>
      </c>
    </row>
    <row r="382" ht="15.75" customHeight="1">
      <c r="A382" s="1" t="str">
        <f>IFERROR(__xludf.DUMMYFUNCTION("""COMPUTED_VALUE"""),"Isabella Oswald")</f>
        <v>Isabella Oswald</v>
      </c>
      <c r="B382" s="1" t="str">
        <f>IFERROR(__xludf.DUMMYFUNCTION("""COMPUTED_VALUE"""),"MS")</f>
        <v>MS</v>
      </c>
      <c r="C382" s="1" t="str">
        <f t="shared" si="1"/>
        <v>No</v>
      </c>
      <c r="D382" s="1">
        <v>0.0</v>
      </c>
    </row>
    <row r="383" ht="15.75" customHeight="1">
      <c r="A383" s="1" t="str">
        <f>IFERROR(__xludf.DUMMYFUNCTION("""COMPUTED_VALUE"""),"Lizzy Binsbachar")</f>
        <v>Lizzy Binsbachar</v>
      </c>
      <c r="B383" s="1" t="str">
        <f>IFERROR(__xludf.DUMMYFUNCTION("""COMPUTED_VALUE"""),"L2")</f>
        <v>L2</v>
      </c>
      <c r="C383" s="1" t="str">
        <f t="shared" si="1"/>
        <v>No</v>
      </c>
      <c r="D383" s="1">
        <v>0.0</v>
      </c>
    </row>
    <row r="384" ht="15.75" customHeight="1">
      <c r="A384" s="1" t="str">
        <f>IFERROR(__xludf.DUMMYFUNCTION("""COMPUTED_VALUE"""),"Asher Chico")</f>
        <v>Asher Chico</v>
      </c>
      <c r="B384" s="1" t="str">
        <f>IFERROR(__xludf.DUMMYFUNCTION("""COMPUTED_VALUE"""),"LL")</f>
        <v>LL</v>
      </c>
      <c r="C384" s="1" t="str">
        <f t="shared" si="1"/>
        <v>No</v>
      </c>
      <c r="D384" s="1">
        <v>0.0</v>
      </c>
    </row>
    <row r="385" ht="15.75" customHeight="1">
      <c r="A385" s="1" t="str">
        <f>IFERROR(__xludf.DUMMYFUNCTION("""COMPUTED_VALUE"""),"Kayla Hernandez")</f>
        <v>Kayla Hernandez</v>
      </c>
      <c r="B385" s="1" t="str">
        <f>IFERROR(__xludf.DUMMYFUNCTION("""COMPUTED_VALUE"""),"MS")</f>
        <v>MS</v>
      </c>
      <c r="C385" s="1" t="str">
        <f t="shared" si="1"/>
        <v>No</v>
      </c>
      <c r="D385" s="1">
        <v>0.0</v>
      </c>
    </row>
    <row r="386" ht="15.75" customHeight="1">
      <c r="A386" s="1" t="str">
        <f>IFERROR(__xludf.DUMMYFUNCTION("""COMPUTED_VALUE"""),"Jaiden Broderick")</f>
        <v>Jaiden Broderick</v>
      </c>
      <c r="B386" s="1" t="str">
        <f>IFERROR(__xludf.DUMMYFUNCTION("""COMPUTED_VALUE"""),"L2")</f>
        <v>L2</v>
      </c>
      <c r="C386" s="1" t="str">
        <f t="shared" si="1"/>
        <v>No</v>
      </c>
      <c r="D386" s="1">
        <v>0.0</v>
      </c>
    </row>
    <row r="387" ht="15.75" customHeight="1">
      <c r="A387" s="1" t="str">
        <f>IFERROR(__xludf.DUMMYFUNCTION("""COMPUTED_VALUE"""),"Ryan Hughes")</f>
        <v>Ryan Hughes</v>
      </c>
      <c r="B387" s="1" t="str">
        <f>IFERROR(__xludf.DUMMYFUNCTION("""COMPUTED_VALUE"""),"L1")</f>
        <v>L1</v>
      </c>
      <c r="C387" s="1" t="str">
        <f t="shared" si="1"/>
        <v>No</v>
      </c>
      <c r="D387" s="1">
        <v>0.0</v>
      </c>
    </row>
    <row r="388" ht="15.75" customHeight="1">
      <c r="A388" s="1" t="str">
        <f>IFERROR(__xludf.DUMMYFUNCTION("""COMPUTED_VALUE"""),"Ali Hassan")</f>
        <v>Ali Hassan</v>
      </c>
      <c r="B388" s="1" t="str">
        <f>IFERROR(__xludf.DUMMYFUNCTION("""COMPUTED_VALUE"""),"MS")</f>
        <v>MS</v>
      </c>
      <c r="C388" s="1" t="str">
        <f t="shared" si="1"/>
        <v>No</v>
      </c>
      <c r="D388" s="1">
        <v>0.0</v>
      </c>
    </row>
    <row r="389" ht="15.75" customHeight="1">
      <c r="A389" s="1" t="str">
        <f>IFERROR(__xludf.DUMMYFUNCTION("""COMPUTED_VALUE"""),"Crosby Young")</f>
        <v>Crosby Young</v>
      </c>
      <c r="B389" s="1" t="str">
        <f>IFERROR(__xludf.DUMMYFUNCTION("""COMPUTED_VALUE"""),"MS")</f>
        <v>MS</v>
      </c>
      <c r="C389" s="1" t="str">
        <f t="shared" si="1"/>
        <v>No</v>
      </c>
      <c r="D389" s="1">
        <v>0.0</v>
      </c>
    </row>
    <row r="390" ht="15.75" customHeight="1">
      <c r="A390" s="1" t="str">
        <f>IFERROR(__xludf.DUMMYFUNCTION("""COMPUTED_VALUE"""),"Jax Rowe")</f>
        <v>Jax Rowe</v>
      </c>
      <c r="B390" s="1" t="str">
        <f>IFERROR(__xludf.DUMMYFUNCTION("""COMPUTED_VALUE"""),"MS")</f>
        <v>MS</v>
      </c>
      <c r="C390" s="1" t="str">
        <f t="shared" si="1"/>
        <v>No</v>
      </c>
      <c r="D390" s="1">
        <v>0.0</v>
      </c>
    </row>
    <row r="391" ht="15.75" customHeight="1">
      <c r="A391" s="1" t="str">
        <f>IFERROR(__xludf.DUMMYFUNCTION("""COMPUTED_VALUE"""),"Jace Rowe")</f>
        <v>Jace Rowe</v>
      </c>
      <c r="B391" s="1" t="str">
        <f>IFERROR(__xludf.DUMMYFUNCTION("""COMPUTED_VALUE"""),"MS")</f>
        <v>MS</v>
      </c>
      <c r="C391" s="1" t="str">
        <f t="shared" si="1"/>
        <v>No</v>
      </c>
      <c r="D391" s="1">
        <v>0.0</v>
      </c>
    </row>
    <row r="392" ht="15.75" customHeight="1">
      <c r="A392" s="1" t="str">
        <f>IFERROR(__xludf.DUMMYFUNCTION("""COMPUTED_VALUE"""),"Jole Rowe")</f>
        <v>Jole Rowe</v>
      </c>
      <c r="B392" s="1" t="str">
        <f>IFERROR(__xludf.DUMMYFUNCTION("""COMPUTED_VALUE"""),"L2")</f>
        <v>L2</v>
      </c>
      <c r="C392" s="1" t="str">
        <f t="shared" si="1"/>
        <v>No</v>
      </c>
      <c r="D392" s="1">
        <v>0.0</v>
      </c>
    </row>
    <row r="393" ht="15.75" customHeight="1">
      <c r="A393" s="1" t="str">
        <f>IFERROR(__xludf.DUMMYFUNCTION("""COMPUTED_VALUE"""),"Charlie Labadie")</f>
        <v>Charlie Labadie</v>
      </c>
      <c r="B393" s="1" t="str">
        <f>IFERROR(__xludf.DUMMYFUNCTION("""COMPUTED_VALUE"""),"MS")</f>
        <v>MS</v>
      </c>
      <c r="C393" s="1" t="str">
        <f t="shared" si="1"/>
        <v>No</v>
      </c>
      <c r="D393" s="1">
        <v>0.0</v>
      </c>
    </row>
    <row r="394" ht="15.75" customHeight="1">
      <c r="A394" s="1" t="str">
        <f>IFERROR(__xludf.DUMMYFUNCTION("""COMPUTED_VALUE"""),"Diego Vellon")</f>
        <v>Diego Vellon</v>
      </c>
      <c r="B394" s="1" t="str">
        <f>IFERROR(__xludf.DUMMYFUNCTION("""COMPUTED_VALUE"""),"L1")</f>
        <v>L1</v>
      </c>
      <c r="C394" s="1" t="str">
        <f t="shared" si="1"/>
        <v>No</v>
      </c>
      <c r="D394" s="1">
        <v>0.0</v>
      </c>
    </row>
    <row r="395" ht="15.75" customHeight="1">
      <c r="A395" s="1" t="str">
        <f>IFERROR(__xludf.DUMMYFUNCTION("""COMPUTED_VALUE"""),"Brooke Courtney")</f>
        <v>Brooke Courtney</v>
      </c>
      <c r="B395" s="1" t="str">
        <f>IFERROR(__xludf.DUMMYFUNCTION("""COMPUTED_VALUE"""),"MS")</f>
        <v>MS</v>
      </c>
      <c r="C395" s="1" t="str">
        <f t="shared" si="1"/>
        <v>No</v>
      </c>
      <c r="D395" s="1">
        <v>0.0</v>
      </c>
    </row>
    <row r="396" ht="15.75" customHeight="1">
      <c r="A396" s="1" t="str">
        <f>IFERROR(__xludf.DUMMYFUNCTION("""COMPUTED_VALUE"""),"Mason Hall")</f>
        <v>Mason Hall</v>
      </c>
      <c r="B396" s="1" t="str">
        <f>IFERROR(__xludf.DUMMYFUNCTION("""COMPUTED_VALUE"""),"L2")</f>
        <v>L2</v>
      </c>
      <c r="C396" s="1" t="str">
        <f t="shared" si="1"/>
        <v>No</v>
      </c>
      <c r="D396" s="1">
        <v>0.0</v>
      </c>
    </row>
    <row r="397" ht="15.75" customHeight="1">
      <c r="A397" s="1" t="str">
        <f>IFERROR(__xludf.DUMMYFUNCTION("""COMPUTED_VALUE"""),"Bowen O'Connor")</f>
        <v>Bowen O'Connor</v>
      </c>
      <c r="B397" s="1" t="str">
        <f>IFERROR(__xludf.DUMMYFUNCTION("""COMPUTED_VALUE"""),"MS")</f>
        <v>MS</v>
      </c>
      <c r="C397" s="1" t="str">
        <f t="shared" si="1"/>
        <v>No</v>
      </c>
      <c r="D397" s="1">
        <v>0.0</v>
      </c>
    </row>
    <row r="398" ht="15.75" customHeight="1">
      <c r="A398" s="1" t="str">
        <f>IFERROR(__xludf.DUMMYFUNCTION("""COMPUTED_VALUE"""),"Juliette Attallah")</f>
        <v>Juliette Attallah</v>
      </c>
      <c r="B398" s="1" t="str">
        <f>IFERROR(__xludf.DUMMYFUNCTION("""COMPUTED_VALUE"""),"MS")</f>
        <v>MS</v>
      </c>
      <c r="C398" s="1" t="str">
        <f t="shared" si="1"/>
        <v>No</v>
      </c>
      <c r="D398" s="1">
        <v>0.0</v>
      </c>
    </row>
    <row r="399" ht="15.75" customHeight="1">
      <c r="A399" s="1" t="str">
        <f>IFERROR(__xludf.DUMMYFUNCTION("""COMPUTED_VALUE"""),"Daniella Attallah")</f>
        <v>Daniella Attallah</v>
      </c>
      <c r="B399" s="1" t="str">
        <f>IFERROR(__xludf.DUMMYFUNCTION("""COMPUTED_VALUE"""),"L2")</f>
        <v>L2</v>
      </c>
      <c r="C399" s="1" t="str">
        <f t="shared" si="1"/>
        <v>No</v>
      </c>
      <c r="D399" s="1">
        <v>0.0</v>
      </c>
    </row>
    <row r="400" ht="15.75" customHeight="1">
      <c r="A400" s="1" t="str">
        <f>IFERROR(__xludf.DUMMYFUNCTION("""COMPUTED_VALUE"""),"Remington Webber")</f>
        <v>Remington Webber</v>
      </c>
      <c r="B400" s="1" t="str">
        <f>IFERROR(__xludf.DUMMYFUNCTION("""COMPUTED_VALUE"""),"L2")</f>
        <v>L2</v>
      </c>
      <c r="C400" s="1" t="str">
        <f t="shared" si="1"/>
        <v>No</v>
      </c>
      <c r="D400" s="1">
        <v>0.0</v>
      </c>
    </row>
    <row r="401" ht="15.75" customHeight="1">
      <c r="A401" s="1" t="str">
        <f>IFERROR(__xludf.DUMMYFUNCTION("""COMPUTED_VALUE"""),"Jaxon Jacobus")</f>
        <v>Jaxon Jacobus</v>
      </c>
      <c r="B401" s="1" t="str">
        <f>IFERROR(__xludf.DUMMYFUNCTION("""COMPUTED_VALUE"""),"L1")</f>
        <v>L1</v>
      </c>
      <c r="C401" s="1" t="str">
        <f t="shared" si="1"/>
        <v>No</v>
      </c>
      <c r="D401" s="1">
        <v>0.0</v>
      </c>
    </row>
    <row r="402" ht="15.75" customHeight="1">
      <c r="A402" s="1" t="str">
        <f>IFERROR(__xludf.DUMMYFUNCTION("""COMPUTED_VALUE"""),"Josiah Gross")</f>
        <v>Josiah Gross</v>
      </c>
      <c r="B402" s="1" t="str">
        <f>IFERROR(__xludf.DUMMYFUNCTION("""COMPUTED_VALUE"""),"L2")</f>
        <v>L2</v>
      </c>
      <c r="C402" s="1" t="str">
        <f t="shared" si="1"/>
        <v>No</v>
      </c>
      <c r="D402" s="1">
        <v>0.0</v>
      </c>
    </row>
    <row r="403" ht="15.75" customHeight="1">
      <c r="A403" s="1" t="str">
        <f>IFERROR(__xludf.DUMMYFUNCTION("""COMPUTED_VALUE"""),"Elizabeth Gross")</f>
        <v>Elizabeth Gross</v>
      </c>
      <c r="B403" s="1" t="str">
        <f>IFERROR(__xludf.DUMMYFUNCTION("""COMPUTED_VALUE"""),"L2")</f>
        <v>L2</v>
      </c>
      <c r="C403" s="1" t="str">
        <f t="shared" si="1"/>
        <v>No</v>
      </c>
      <c r="D403" s="1">
        <v>0.0</v>
      </c>
    </row>
    <row r="404" ht="15.75" customHeight="1">
      <c r="A404" s="1" t="str">
        <f>IFERROR(__xludf.DUMMYFUNCTION("""COMPUTED_VALUE"""),"McKenzie Bryant")</f>
        <v>McKenzie Bryant</v>
      </c>
      <c r="B404" s="1" t="str">
        <f>IFERROR(__xludf.DUMMYFUNCTION("""COMPUTED_VALUE"""),"L2")</f>
        <v>L2</v>
      </c>
      <c r="C404" s="1" t="str">
        <f t="shared" si="1"/>
        <v>No</v>
      </c>
      <c r="D404" s="1">
        <v>0.0</v>
      </c>
    </row>
    <row r="405" ht="15.75" customHeight="1">
      <c r="A405" s="1" t="str">
        <f>IFERROR(__xludf.DUMMYFUNCTION("""COMPUTED_VALUE"""),"Ellison Welsh")</f>
        <v>Ellison Welsh</v>
      </c>
      <c r="B405" s="1" t="str">
        <f>IFERROR(__xludf.DUMMYFUNCTION("""COMPUTED_VALUE"""),"L2")</f>
        <v>L2</v>
      </c>
      <c r="C405" s="1" t="str">
        <f t="shared" si="1"/>
        <v>No</v>
      </c>
      <c r="D405" s="1">
        <v>0.0</v>
      </c>
    </row>
    <row r="406" ht="15.75" customHeight="1">
      <c r="A406" s="1" t="str">
        <f>IFERROR(__xludf.DUMMYFUNCTION("""COMPUTED_VALUE"""),"Abby Perez")</f>
        <v>Abby Perez</v>
      </c>
      <c r="B406" s="1" t="str">
        <f>IFERROR(__xludf.DUMMYFUNCTION("""COMPUTED_VALUE"""),"L2")</f>
        <v>L2</v>
      </c>
      <c r="C406" s="1" t="str">
        <f t="shared" si="1"/>
        <v>No</v>
      </c>
      <c r="D406" s="1">
        <v>0.0</v>
      </c>
    </row>
    <row r="407" ht="15.75" customHeight="1">
      <c r="A407" s="1" t="str">
        <f>IFERROR(__xludf.DUMMYFUNCTION("""COMPUTED_VALUE"""),"Sparrow Trithart")</f>
        <v>Sparrow Trithart</v>
      </c>
      <c r="B407" s="1" t="str">
        <f>IFERROR(__xludf.DUMMYFUNCTION("""COMPUTED_VALUE"""),"L2")</f>
        <v>L2</v>
      </c>
      <c r="C407" s="1" t="str">
        <f t="shared" si="1"/>
        <v>No</v>
      </c>
      <c r="D407" s="1">
        <v>0.0</v>
      </c>
    </row>
    <row r="408" ht="15.75" customHeight="1">
      <c r="A408" s="1" t="str">
        <f>IFERROR(__xludf.DUMMYFUNCTION("""COMPUTED_VALUE"""),"River Trithart")</f>
        <v>River Trithart</v>
      </c>
      <c r="B408" s="1" t="str">
        <f>IFERROR(__xludf.DUMMYFUNCTION("""COMPUTED_VALUE"""),"MS")</f>
        <v>MS</v>
      </c>
      <c r="C408" s="1" t="str">
        <f t="shared" si="1"/>
        <v>No</v>
      </c>
      <c r="D408" s="1">
        <v>0.0</v>
      </c>
    </row>
    <row r="409" ht="15.75" customHeight="1">
      <c r="A409" s="1" t="str">
        <f>IFERROR(__xludf.DUMMYFUNCTION("""COMPUTED_VALUE"""),"Emir Kajar")</f>
        <v>Emir Kajar</v>
      </c>
      <c r="B409" s="1" t="str">
        <f>IFERROR(__xludf.DUMMYFUNCTION("""COMPUTED_VALUE"""),"MS")</f>
        <v>MS</v>
      </c>
      <c r="C409" s="1" t="str">
        <f t="shared" si="1"/>
        <v>No</v>
      </c>
      <c r="D409" s="1">
        <v>0.0</v>
      </c>
    </row>
    <row r="410" ht="15.75" customHeight="1">
      <c r="A410" s="1" t="str">
        <f>IFERROR(__xludf.DUMMYFUNCTION("""COMPUTED_VALUE"""),"Sloane Rosellini")</f>
        <v>Sloane Rosellini</v>
      </c>
      <c r="B410" s="1" t="str">
        <f>IFERROR(__xludf.DUMMYFUNCTION("""COMPUTED_VALUE"""),"L2")</f>
        <v>L2</v>
      </c>
      <c r="C410" s="1" t="str">
        <f t="shared" si="1"/>
        <v>No</v>
      </c>
      <c r="D410" s="1">
        <v>0.0</v>
      </c>
    </row>
    <row r="411" ht="15.75" customHeight="1">
      <c r="A411" s="1" t="str">
        <f>IFERROR(__xludf.DUMMYFUNCTION("""COMPUTED_VALUE"""),"Jaycee Peaden")</f>
        <v>Jaycee Peaden</v>
      </c>
      <c r="B411" s="1" t="str">
        <f>IFERROR(__xludf.DUMMYFUNCTION("""COMPUTED_VALUE"""),"L2")</f>
        <v>L2</v>
      </c>
      <c r="C411" s="1" t="str">
        <f t="shared" si="1"/>
        <v>No</v>
      </c>
      <c r="D411" s="1">
        <v>0.0</v>
      </c>
    </row>
    <row r="412" ht="15.75" customHeight="1">
      <c r="A412" s="1" t="str">
        <f>IFERROR(__xludf.DUMMYFUNCTION("""COMPUTED_VALUE"""),"Logan Peaden")</f>
        <v>Logan Peaden</v>
      </c>
      <c r="B412" s="1" t="str">
        <f>IFERROR(__xludf.DUMMYFUNCTION("""COMPUTED_VALUE"""),"L1")</f>
        <v>L1</v>
      </c>
      <c r="C412" s="1" t="str">
        <f t="shared" si="1"/>
        <v>No</v>
      </c>
      <c r="D412" s="1">
        <v>0.0</v>
      </c>
    </row>
    <row r="413" ht="15.75" customHeight="1">
      <c r="A413" s="1" t="str">
        <f>IFERROR(__xludf.DUMMYFUNCTION("""COMPUTED_VALUE"""),"Ryker Peaden")</f>
        <v>Ryker Peaden</v>
      </c>
      <c r="B413" s="1" t="str">
        <f>IFERROR(__xludf.DUMMYFUNCTION("""COMPUTED_VALUE"""),"L1")</f>
        <v>L1</v>
      </c>
      <c r="C413" s="1" t="str">
        <f t="shared" si="1"/>
        <v>No</v>
      </c>
      <c r="D413" s="1">
        <v>0.0</v>
      </c>
    </row>
    <row r="414" ht="15.75" customHeight="1">
      <c r="A414" s="1" t="str">
        <f>IFERROR(__xludf.DUMMYFUNCTION("""COMPUTED_VALUE"""),"Advay Pimparkar")</f>
        <v>Advay Pimparkar</v>
      </c>
      <c r="B414" s="1" t="str">
        <f>IFERROR(__xludf.DUMMYFUNCTION("""COMPUTED_VALUE"""),"MS")</f>
        <v>MS</v>
      </c>
      <c r="C414" s="1" t="str">
        <f t="shared" si="1"/>
        <v>No</v>
      </c>
      <c r="D414" s="1">
        <v>0.0</v>
      </c>
    </row>
    <row r="415" ht="15.75" customHeight="1">
      <c r="A415" s="1" t="str">
        <f>IFERROR(__xludf.DUMMYFUNCTION("""COMPUTED_VALUE"""),"Arin Pimparkar")</f>
        <v>Arin Pimparkar</v>
      </c>
      <c r="B415" s="1" t="str">
        <f>IFERROR(__xludf.DUMMYFUNCTION("""COMPUTED_VALUE"""),"L1")</f>
        <v>L1</v>
      </c>
      <c r="C415" s="1" t="str">
        <f t="shared" si="1"/>
        <v>No</v>
      </c>
      <c r="D415" s="1">
        <v>0.0</v>
      </c>
    </row>
    <row r="416" ht="15.75" customHeight="1">
      <c r="A416" s="1" t="str">
        <f>IFERROR(__xludf.DUMMYFUNCTION("""COMPUTED_VALUE"""),"Sloan Shaw")</f>
        <v>Sloan Shaw</v>
      </c>
      <c r="B416" s="1" t="str">
        <f>IFERROR(__xludf.DUMMYFUNCTION("""COMPUTED_VALUE"""),"L2")</f>
        <v>L2</v>
      </c>
      <c r="C416" s="1" t="str">
        <f t="shared" si="1"/>
        <v>No</v>
      </c>
      <c r="D416" s="1">
        <v>0.0</v>
      </c>
    </row>
    <row r="417" ht="15.75" customHeight="1">
      <c r="A417" s="1" t="str">
        <f>IFERROR(__xludf.DUMMYFUNCTION("""COMPUTED_VALUE"""),"Peter Voloshin")</f>
        <v>Peter Voloshin</v>
      </c>
      <c r="B417" s="1" t="str">
        <f>IFERROR(__xludf.DUMMYFUNCTION("""COMPUTED_VALUE"""),"MS")</f>
        <v>MS</v>
      </c>
      <c r="C417" s="1" t="str">
        <f t="shared" si="1"/>
        <v>No</v>
      </c>
      <c r="D417" s="1">
        <v>0.0</v>
      </c>
    </row>
    <row r="418" ht="15.75" customHeight="1">
      <c r="A418" s="1" t="str">
        <f>IFERROR(__xludf.DUMMYFUNCTION("""COMPUTED_VALUE"""),"Jeremiah Voloshin")</f>
        <v>Jeremiah Voloshin</v>
      </c>
      <c r="B418" s="1" t="str">
        <f>IFERROR(__xludf.DUMMYFUNCTION("""COMPUTED_VALUE"""),"L2")</f>
        <v>L2</v>
      </c>
      <c r="C418" s="1" t="str">
        <f t="shared" si="1"/>
        <v>No</v>
      </c>
      <c r="D418" s="1">
        <v>0.0</v>
      </c>
    </row>
    <row r="419" ht="15.75" customHeight="1">
      <c r="A419" s="1" t="str">
        <f>IFERROR(__xludf.DUMMYFUNCTION("""COMPUTED_VALUE"""),"Sarah Voloshin")</f>
        <v>Sarah Voloshin</v>
      </c>
      <c r="B419" s="1" t="str">
        <f>IFERROR(__xludf.DUMMYFUNCTION("""COMPUTED_VALUE"""),"L1")</f>
        <v>L1</v>
      </c>
      <c r="C419" s="1" t="str">
        <f t="shared" si="1"/>
        <v>No</v>
      </c>
      <c r="D419" s="1">
        <v>0.0</v>
      </c>
    </row>
    <row r="420" ht="15.75" customHeight="1">
      <c r="A420" s="1" t="str">
        <f>IFERROR(__xludf.DUMMYFUNCTION("""COMPUTED_VALUE"""),"Oakley Stares")</f>
        <v>Oakley Stares</v>
      </c>
      <c r="B420" s="1" t="str">
        <f>IFERROR(__xludf.DUMMYFUNCTION("""COMPUTED_VALUE"""),"L1")</f>
        <v>L1</v>
      </c>
      <c r="C420" s="1" t="str">
        <f t="shared" si="1"/>
        <v>No</v>
      </c>
      <c r="D420" s="1">
        <v>0.0</v>
      </c>
    </row>
    <row r="421" ht="15.75" customHeight="1">
      <c r="A421" s="1" t="str">
        <f>IFERROR(__xludf.DUMMYFUNCTION("""COMPUTED_VALUE"""),"Julia Strangio")</f>
        <v>Julia Strangio</v>
      </c>
      <c r="B421" s="1" t="str">
        <f>IFERROR(__xludf.DUMMYFUNCTION("""COMPUTED_VALUE"""),"L2")</f>
        <v>L2</v>
      </c>
      <c r="C421" s="1" t="str">
        <f t="shared" si="1"/>
        <v>No</v>
      </c>
      <c r="D421" s="1">
        <v>0.0</v>
      </c>
    </row>
    <row r="422" ht="15.75" customHeight="1">
      <c r="A422" s="1" t="str">
        <f>IFERROR(__xludf.DUMMYFUNCTION("""COMPUTED_VALUE"""),"Easton Mabe")</f>
        <v>Easton Mabe</v>
      </c>
      <c r="B422" s="1" t="str">
        <f>IFERROR(__xludf.DUMMYFUNCTION("""COMPUTED_VALUE"""),"MS")</f>
        <v>MS</v>
      </c>
      <c r="C422" s="1" t="str">
        <f t="shared" si="1"/>
        <v>No</v>
      </c>
      <c r="D422" s="1">
        <v>0.0</v>
      </c>
    </row>
    <row r="423" ht="15.75" customHeight="1">
      <c r="A423" s="1" t="str">
        <f>IFERROR(__xludf.DUMMYFUNCTION("""COMPUTED_VALUE"""),"Delaina Garner")</f>
        <v>Delaina Garner</v>
      </c>
      <c r="B423" s="1" t="str">
        <f>IFERROR(__xludf.DUMMYFUNCTION("""COMPUTED_VALUE"""),"L1")</f>
        <v>L1</v>
      </c>
      <c r="C423" s="1" t="str">
        <f t="shared" si="1"/>
        <v>No</v>
      </c>
      <c r="D423" s="1">
        <v>0.0</v>
      </c>
    </row>
    <row r="424" ht="15.75" customHeight="1">
      <c r="A424" s="1" t="str">
        <f>IFERROR(__xludf.DUMMYFUNCTION("""COMPUTED_VALUE"""),"Everett Whalen")</f>
        <v>Everett Whalen</v>
      </c>
      <c r="B424" s="1" t="str">
        <f>IFERROR(__xludf.DUMMYFUNCTION("""COMPUTED_VALUE"""),"L2")</f>
        <v>L2</v>
      </c>
      <c r="C424" s="1" t="str">
        <f t="shared" si="1"/>
        <v>No</v>
      </c>
      <c r="D424" s="1">
        <v>0.0</v>
      </c>
    </row>
    <row r="425" ht="15.75" customHeight="1">
      <c r="A425" s="1" t="str">
        <f>IFERROR(__xludf.DUMMYFUNCTION("""COMPUTED_VALUE"""),"William Pijanowski")</f>
        <v>William Pijanowski</v>
      </c>
      <c r="B425" s="1" t="str">
        <f>IFERROR(__xludf.DUMMYFUNCTION("""COMPUTED_VALUE"""),"LL")</f>
        <v>LL</v>
      </c>
      <c r="C425" s="1" t="str">
        <f t="shared" si="1"/>
        <v>No</v>
      </c>
      <c r="D425" s="1">
        <v>0.0</v>
      </c>
    </row>
    <row r="426" ht="15.75" customHeight="1">
      <c r="A426" s="1" t="str">
        <f>IFERROR(__xludf.DUMMYFUNCTION("""COMPUTED_VALUE"""),"Maren Schofield")</f>
        <v>Maren Schofield</v>
      </c>
      <c r="B426" s="1" t="str">
        <f>IFERROR(__xludf.DUMMYFUNCTION("""COMPUTED_VALUE"""),"L1")</f>
        <v>L1</v>
      </c>
      <c r="C426" s="1" t="str">
        <f t="shared" si="1"/>
        <v>No</v>
      </c>
      <c r="D426" s="1">
        <v>0.0</v>
      </c>
    </row>
    <row r="427" ht="15.75" customHeight="1">
      <c r="A427" s="1" t="str">
        <f>IFERROR(__xludf.DUMMYFUNCTION("""COMPUTED_VALUE"""),"Rose Schofield")</f>
        <v>Rose Schofield</v>
      </c>
      <c r="B427" s="1" t="str">
        <f>IFERROR(__xludf.DUMMYFUNCTION("""COMPUTED_VALUE"""),"L2")</f>
        <v>L2</v>
      </c>
      <c r="C427" s="1" t="str">
        <f t="shared" si="1"/>
        <v>No</v>
      </c>
      <c r="D427" s="1">
        <v>0.0</v>
      </c>
    </row>
    <row r="428" ht="15.75" customHeight="1">
      <c r="A428" s="1" t="str">
        <f>IFERROR(__xludf.DUMMYFUNCTION("""COMPUTED_VALUE"""),"Antonia Lewis")</f>
        <v>Antonia Lewis</v>
      </c>
      <c r="B428" s="1" t="str">
        <f>IFERROR(__xludf.DUMMYFUNCTION("""COMPUTED_VALUE"""),"MS")</f>
        <v>MS</v>
      </c>
      <c r="C428" s="1" t="str">
        <f t="shared" si="1"/>
        <v>No</v>
      </c>
      <c r="D428" s="1">
        <v>0.0</v>
      </c>
    </row>
    <row r="429" ht="15.75" customHeight="1">
      <c r="A429" s="1" t="str">
        <f>IFERROR(__xludf.DUMMYFUNCTION("""COMPUTED_VALUE"""),"Jakarta Lewis")</f>
        <v>Jakarta Lewis</v>
      </c>
      <c r="B429" s="1" t="str">
        <f>IFERROR(__xludf.DUMMYFUNCTION("""COMPUTED_VALUE"""),"L2")</f>
        <v>L2</v>
      </c>
      <c r="C429" s="1" t="str">
        <f t="shared" si="1"/>
        <v>No</v>
      </c>
      <c r="D429" s="1">
        <v>0.0</v>
      </c>
    </row>
    <row r="430" ht="15.75" customHeight="1">
      <c r="A430" s="1" t="str">
        <f>IFERROR(__xludf.DUMMYFUNCTION("""COMPUTED_VALUE"""),"Kshama Tikmani")</f>
        <v>Kshama Tikmani</v>
      </c>
      <c r="B430" s="1" t="str">
        <f>IFERROR(__xludf.DUMMYFUNCTION("""COMPUTED_VALUE"""),"L1")</f>
        <v>L1</v>
      </c>
      <c r="C430" s="1" t="str">
        <f t="shared" si="1"/>
        <v>No</v>
      </c>
      <c r="D430" s="1">
        <v>0.0</v>
      </c>
    </row>
    <row r="431" ht="15.75" customHeight="1">
      <c r="A431" s="1" t="str">
        <f>IFERROR(__xludf.DUMMYFUNCTION("""COMPUTED_VALUE"""),"Christopher Ambros")</f>
        <v>Christopher Ambros</v>
      </c>
      <c r="B431" s="1" t="str">
        <f>IFERROR(__xludf.DUMMYFUNCTION("""COMPUTED_VALUE"""),"L2")</f>
        <v>L2</v>
      </c>
      <c r="C431" s="1" t="str">
        <f t="shared" si="1"/>
        <v>No</v>
      </c>
      <c r="D431" s="1">
        <v>0.0</v>
      </c>
    </row>
    <row r="432" ht="15.75" customHeight="1">
      <c r="A432" s="1" t="str">
        <f>IFERROR(__xludf.DUMMYFUNCTION("""COMPUTED_VALUE"""),"James Scrimo")</f>
        <v>James Scrimo</v>
      </c>
      <c r="B432" s="1" t="str">
        <f>IFERROR(__xludf.DUMMYFUNCTION("""COMPUTED_VALUE"""),"LL")</f>
        <v>LL</v>
      </c>
      <c r="C432" s="1" t="str">
        <f t="shared" si="1"/>
        <v>No</v>
      </c>
      <c r="D432" s="1">
        <v>0.0</v>
      </c>
    </row>
    <row r="433" ht="15.75" customHeight="1">
      <c r="A433" s="1" t="str">
        <f>IFERROR(__xludf.DUMMYFUNCTION("""COMPUTED_VALUE"""),"Nathan Oser")</f>
        <v>Nathan Oser</v>
      </c>
      <c r="B433" s="1" t="str">
        <f>IFERROR(__xludf.DUMMYFUNCTION("""COMPUTED_VALUE"""),"L2")</f>
        <v>L2</v>
      </c>
      <c r="C433" s="1" t="str">
        <f t="shared" si="1"/>
        <v>No</v>
      </c>
      <c r="D433" s="1">
        <v>0.0</v>
      </c>
    </row>
    <row r="434" ht="15.75" customHeight="1">
      <c r="A434" s="1" t="str">
        <f>IFERROR(__xludf.DUMMYFUNCTION("""COMPUTED_VALUE"""),"Jameson Skaggs")</f>
        <v>Jameson Skaggs</v>
      </c>
      <c r="B434" s="1" t="str">
        <f>IFERROR(__xludf.DUMMYFUNCTION("""COMPUTED_VALUE"""),"L1")</f>
        <v>L1</v>
      </c>
      <c r="C434" s="1" t="str">
        <f t="shared" si="1"/>
        <v>No</v>
      </c>
      <c r="D434" s="1">
        <v>0.0</v>
      </c>
    </row>
    <row r="435" ht="15.75" customHeight="1">
      <c r="A435" s="1" t="str">
        <f>IFERROR(__xludf.DUMMYFUNCTION("""COMPUTED_VALUE"""),"Lola Skaggs")</f>
        <v>Lola Skaggs</v>
      </c>
      <c r="B435" s="1" t="str">
        <f>IFERROR(__xludf.DUMMYFUNCTION("""COMPUTED_VALUE"""),"L1")</f>
        <v>L1</v>
      </c>
      <c r="C435" s="1" t="str">
        <f t="shared" si="1"/>
        <v>No</v>
      </c>
      <c r="D435" s="1">
        <v>0.0</v>
      </c>
    </row>
    <row r="436" ht="15.75" customHeight="1">
      <c r="A436" s="1" t="str">
        <f>IFERROR(__xludf.DUMMYFUNCTION("""COMPUTED_VALUE"""),"Ada Ortiz")</f>
        <v>Ada Ortiz</v>
      </c>
      <c r="B436" s="1" t="str">
        <f>IFERROR(__xludf.DUMMYFUNCTION("""COMPUTED_VALUE"""),"L1")</f>
        <v>L1</v>
      </c>
      <c r="C436" s="1" t="str">
        <f t="shared" si="1"/>
        <v>No</v>
      </c>
      <c r="D436" s="1">
        <v>0.0</v>
      </c>
    </row>
    <row r="437" ht="15.75" customHeight="1">
      <c r="A437" s="1" t="str">
        <f>IFERROR(__xludf.DUMMYFUNCTION("""COMPUTED_VALUE"""),"Evangeline Powers")</f>
        <v>Evangeline Powers</v>
      </c>
      <c r="B437" s="1" t="str">
        <f>IFERROR(__xludf.DUMMYFUNCTION("""COMPUTED_VALUE"""),"L1")</f>
        <v>L1</v>
      </c>
      <c r="C437" s="1" t="str">
        <f t="shared" si="1"/>
        <v>No</v>
      </c>
      <c r="D437" s="1">
        <v>0.0</v>
      </c>
    </row>
    <row r="438" ht="15.75" customHeight="1">
      <c r="A438" s="1" t="str">
        <f>IFERROR(__xludf.DUMMYFUNCTION("""COMPUTED_VALUE"""),"Sebastian Astete")</f>
        <v>Sebastian Astete</v>
      </c>
      <c r="B438" s="1" t="str">
        <f>IFERROR(__xludf.DUMMYFUNCTION("""COMPUTED_VALUE"""),"L1")</f>
        <v>L1</v>
      </c>
      <c r="C438" s="1" t="str">
        <f t="shared" si="1"/>
        <v>No</v>
      </c>
      <c r="D438" s="1">
        <v>0.0</v>
      </c>
    </row>
    <row r="439" ht="15.75" customHeight="1">
      <c r="A439" s="1" t="str">
        <f>IFERROR(__xludf.DUMMYFUNCTION("""COMPUTED_VALUE"""),"Ariana Astete")</f>
        <v>Ariana Astete</v>
      </c>
      <c r="B439" s="1" t="str">
        <f>IFERROR(__xludf.DUMMYFUNCTION("""COMPUTED_VALUE"""),"L1")</f>
        <v>L1</v>
      </c>
      <c r="C439" s="1" t="str">
        <f t="shared" si="1"/>
        <v>No</v>
      </c>
      <c r="D439" s="1">
        <v>0.0</v>
      </c>
    </row>
    <row r="440" ht="15.75" customHeight="1">
      <c r="A440" s="1" t="str">
        <f>IFERROR(__xludf.DUMMYFUNCTION("""COMPUTED_VALUE"""),"Emma Eshkanian")</f>
        <v>Emma Eshkanian</v>
      </c>
      <c r="B440" s="1" t="str">
        <f>IFERROR(__xludf.DUMMYFUNCTION("""COMPUTED_VALUE"""),"L2")</f>
        <v>L2</v>
      </c>
      <c r="C440" s="1" t="str">
        <f t="shared" si="1"/>
        <v>No</v>
      </c>
      <c r="D440" s="1">
        <v>0.0</v>
      </c>
    </row>
    <row r="441" ht="15.75" customHeight="1">
      <c r="A441" s="1" t="str">
        <f>IFERROR(__xludf.DUMMYFUNCTION("""COMPUTED_VALUE"""),"Zyan Parsons")</f>
        <v>Zyan Parsons</v>
      </c>
      <c r="B441" s="1" t="str">
        <f>IFERROR(__xludf.DUMMYFUNCTION("""COMPUTED_VALUE"""),"MS")</f>
        <v>MS</v>
      </c>
      <c r="C441" s="1" t="str">
        <f t="shared" si="1"/>
        <v>No</v>
      </c>
      <c r="D441" s="1">
        <v>0.0</v>
      </c>
    </row>
    <row r="442" ht="15.75" customHeight="1">
      <c r="A442" s="1" t="str">
        <f>IFERROR(__xludf.DUMMYFUNCTION("""COMPUTED_VALUE"""),"Cypress Parsons")</f>
        <v>Cypress Parsons</v>
      </c>
      <c r="B442" s="1" t="str">
        <f>IFERROR(__xludf.DUMMYFUNCTION("""COMPUTED_VALUE"""),"L1")</f>
        <v>L1</v>
      </c>
      <c r="C442" s="1" t="str">
        <f t="shared" si="1"/>
        <v>No</v>
      </c>
      <c r="D442" s="1">
        <v>0.0</v>
      </c>
    </row>
    <row r="443" ht="15.75" customHeight="1">
      <c r="A443" s="1" t="str">
        <f>IFERROR(__xludf.DUMMYFUNCTION("""COMPUTED_VALUE"""),"Krisette Randolph")</f>
        <v>Krisette Randolph</v>
      </c>
      <c r="B443" s="1" t="str">
        <f>IFERROR(__xludf.DUMMYFUNCTION("""COMPUTED_VALUE"""),"L2")</f>
        <v>L2</v>
      </c>
      <c r="C443" s="1" t="str">
        <f t="shared" si="1"/>
        <v>No</v>
      </c>
      <c r="D443" s="1">
        <v>0.0</v>
      </c>
    </row>
    <row r="444" ht="15.75" customHeight="1">
      <c r="A444" s="1" t="str">
        <f>IFERROR(__xludf.DUMMYFUNCTION("""COMPUTED_VALUE"""),"Krista Randolph")</f>
        <v>Krista Randolph</v>
      </c>
      <c r="B444" s="1" t="str">
        <f>IFERROR(__xludf.DUMMYFUNCTION("""COMPUTED_VALUE"""),"L2")</f>
        <v>L2</v>
      </c>
      <c r="C444" s="1" t="str">
        <f t="shared" si="1"/>
        <v>No</v>
      </c>
      <c r="D444" s="1">
        <v>0.0</v>
      </c>
    </row>
    <row r="445" ht="15.75" customHeight="1">
      <c r="A445" s="1" t="str">
        <f>IFERROR(__xludf.DUMMYFUNCTION("""COMPUTED_VALUE"""),"Augie Townsend")</f>
        <v>Augie Townsend</v>
      </c>
      <c r="B445" s="1" t="str">
        <f>IFERROR(__xludf.DUMMYFUNCTION("""COMPUTED_VALUE"""),"L1")</f>
        <v>L1</v>
      </c>
      <c r="C445" s="1" t="str">
        <f t="shared" si="1"/>
        <v>No</v>
      </c>
      <c r="D445" s="1">
        <v>0.0</v>
      </c>
    </row>
    <row r="446" ht="15.75" customHeight="1">
      <c r="A446" s="1" t="str">
        <f>IFERROR(__xludf.DUMMYFUNCTION("""COMPUTED_VALUE"""),"Elias Casares")</f>
        <v>Elias Casares</v>
      </c>
      <c r="B446" s="1" t="str">
        <f>IFERROR(__xludf.DUMMYFUNCTION("""COMPUTED_VALUE"""),"MS")</f>
        <v>MS</v>
      </c>
      <c r="C446" s="1" t="str">
        <f t="shared" si="1"/>
        <v>No</v>
      </c>
      <c r="D446" s="1">
        <v>0.0</v>
      </c>
    </row>
    <row r="447" ht="15.75" customHeight="1">
      <c r="A447" s="1" t="str">
        <f>IFERROR(__xludf.DUMMYFUNCTION("""COMPUTED_VALUE"""),"Nora Casares")</f>
        <v>Nora Casares</v>
      </c>
      <c r="B447" s="1" t="str">
        <f>IFERROR(__xludf.DUMMYFUNCTION("""COMPUTED_VALUE"""),"L2")</f>
        <v>L2</v>
      </c>
      <c r="C447" s="1" t="str">
        <f t="shared" si="1"/>
        <v>No</v>
      </c>
      <c r="D447" s="1">
        <v>0.0</v>
      </c>
    </row>
    <row r="448" ht="15.75" customHeight="1">
      <c r="A448" s="1" t="str">
        <f>IFERROR(__xludf.DUMMYFUNCTION("""COMPUTED_VALUE"""),"Henry Green")</f>
        <v>Henry Green</v>
      </c>
      <c r="B448" s="1" t="str">
        <f>IFERROR(__xludf.DUMMYFUNCTION("""COMPUTED_VALUE"""),"L2")</f>
        <v>L2</v>
      </c>
      <c r="C448" s="1" t="str">
        <f t="shared" si="1"/>
        <v>No</v>
      </c>
      <c r="D448" s="1">
        <v>0.0</v>
      </c>
    </row>
    <row r="449" ht="15.75" customHeight="1">
      <c r="A449" s="1" t="str">
        <f>IFERROR(__xludf.DUMMYFUNCTION("""COMPUTED_VALUE"""),"Archie Green")</f>
        <v>Archie Green</v>
      </c>
      <c r="B449" s="1" t="str">
        <f>IFERROR(__xludf.DUMMYFUNCTION("""COMPUTED_VALUE"""),"L1")</f>
        <v>L1</v>
      </c>
      <c r="C449" s="1" t="str">
        <f t="shared" si="1"/>
        <v>No</v>
      </c>
      <c r="D449" s="1">
        <v>0.0</v>
      </c>
    </row>
    <row r="450" ht="15.75" customHeight="1">
      <c r="A450" s="1" t="str">
        <f>IFERROR(__xludf.DUMMYFUNCTION("""COMPUTED_VALUE"""),"Brielle White")</f>
        <v>Brielle White</v>
      </c>
      <c r="B450" s="1" t="str">
        <f>IFERROR(__xludf.DUMMYFUNCTION("""COMPUTED_VALUE"""),"MS")</f>
        <v>MS</v>
      </c>
      <c r="C450" s="1" t="str">
        <f t="shared" si="1"/>
        <v>No</v>
      </c>
      <c r="D450" s="1">
        <v>0.0</v>
      </c>
    </row>
    <row r="451" ht="15.75" customHeight="1">
      <c r="A451" s="1" t="str">
        <f>IFERROR(__xludf.DUMMYFUNCTION("""COMPUTED_VALUE"""),"Presley Sollevare")</f>
        <v>Presley Sollevare</v>
      </c>
      <c r="B451" s="1" t="str">
        <f>IFERROR(__xludf.DUMMYFUNCTION("""COMPUTED_VALUE"""),"L2")</f>
        <v>L2</v>
      </c>
      <c r="C451" s="1" t="str">
        <f t="shared" si="1"/>
        <v>No</v>
      </c>
      <c r="D451" s="1">
        <v>0.0</v>
      </c>
    </row>
    <row r="452" ht="15.75" customHeight="1">
      <c r="A452" s="1" t="str">
        <f>IFERROR(__xludf.DUMMYFUNCTION("""COMPUTED_VALUE"""),"Atlas Sollevare")</f>
        <v>Atlas Sollevare</v>
      </c>
      <c r="B452" s="1" t="str">
        <f>IFERROR(__xludf.DUMMYFUNCTION("""COMPUTED_VALUE"""),"L1")</f>
        <v>L1</v>
      </c>
      <c r="C452" s="1" t="str">
        <f t="shared" si="1"/>
        <v>No</v>
      </c>
      <c r="D452" s="1">
        <v>0.0</v>
      </c>
    </row>
    <row r="453" ht="15.75" customHeight="1">
      <c r="A453" s="1" t="str">
        <f>IFERROR(__xludf.DUMMYFUNCTION("""COMPUTED_VALUE"""),"Trace Lybbert")</f>
        <v>Trace Lybbert</v>
      </c>
      <c r="B453" s="1" t="str">
        <f>IFERROR(__xludf.DUMMYFUNCTION("""COMPUTED_VALUE"""),"LL")</f>
        <v>LL</v>
      </c>
      <c r="C453" s="1" t="str">
        <f t="shared" si="1"/>
        <v>No</v>
      </c>
      <c r="D453" s="1">
        <v>0.0</v>
      </c>
    </row>
    <row r="454" ht="15.75" customHeight="1">
      <c r="A454" s="1" t="str">
        <f>IFERROR(__xludf.DUMMYFUNCTION("""COMPUTED_VALUE"""),"Ari Hall")</f>
        <v>Ari Hall</v>
      </c>
      <c r="B454" s="1" t="str">
        <f>IFERROR(__xludf.DUMMYFUNCTION("""COMPUTED_VALUE"""),"L2")</f>
        <v>L2</v>
      </c>
      <c r="C454" s="1" t="str">
        <f t="shared" si="1"/>
        <v>No</v>
      </c>
      <c r="D454" s="1">
        <v>0.0</v>
      </c>
    </row>
    <row r="455" ht="15.75" customHeight="1">
      <c r="A455" s="1" t="str">
        <f>IFERROR(__xludf.DUMMYFUNCTION("""COMPUTED_VALUE"""),"Jaxon Bell")</f>
        <v>Jaxon Bell</v>
      </c>
      <c r="B455" s="1" t="str">
        <f>IFERROR(__xludf.DUMMYFUNCTION("""COMPUTED_VALUE"""),"L2")</f>
        <v>L2</v>
      </c>
      <c r="C455" s="1" t="str">
        <f t="shared" si="1"/>
        <v>No</v>
      </c>
      <c r="D455" s="1">
        <v>0.0</v>
      </c>
    </row>
    <row r="456" ht="15.75" customHeight="1">
      <c r="A456" s="1" t="str">
        <f>IFERROR(__xludf.DUMMYFUNCTION("""COMPUTED_VALUE"""),"Jaden Bell")</f>
        <v>Jaden Bell</v>
      </c>
      <c r="B456" s="1" t="str">
        <f>IFERROR(__xludf.DUMMYFUNCTION("""COMPUTED_VALUE"""),"L2")</f>
        <v>L2</v>
      </c>
      <c r="C456" s="1" t="str">
        <f t="shared" si="1"/>
        <v>No</v>
      </c>
      <c r="D456" s="1">
        <v>0.0</v>
      </c>
    </row>
    <row r="457" ht="15.75" customHeight="1">
      <c r="A457" s="1" t="str">
        <f>IFERROR(__xludf.DUMMYFUNCTION("""COMPUTED_VALUE"""),"Zaara Sanghrajka")</f>
        <v>Zaara Sanghrajka</v>
      </c>
      <c r="B457" s="1" t="str">
        <f>IFERROR(__xludf.DUMMYFUNCTION("""COMPUTED_VALUE"""),"MS")</f>
        <v>MS</v>
      </c>
      <c r="C457" s="1" t="str">
        <f t="shared" si="1"/>
        <v>No</v>
      </c>
      <c r="D457" s="1">
        <v>0.0</v>
      </c>
    </row>
    <row r="458" ht="15.75" customHeight="1">
      <c r="A458" s="1" t="str">
        <f>IFERROR(__xludf.DUMMYFUNCTION("""COMPUTED_VALUE"""),"Aarav Sanghrajka")</f>
        <v>Aarav Sanghrajka</v>
      </c>
      <c r="B458" s="1" t="str">
        <f>IFERROR(__xludf.DUMMYFUNCTION("""COMPUTED_VALUE"""),"L1")</f>
        <v>L1</v>
      </c>
      <c r="C458" s="1" t="str">
        <f t="shared" si="1"/>
        <v>No</v>
      </c>
      <c r="D458" s="1">
        <v>0.0</v>
      </c>
    </row>
    <row r="459" ht="15.75" customHeight="1">
      <c r="A459" s="1" t="str">
        <f>IFERROR(__xludf.DUMMYFUNCTION("""COMPUTED_VALUE"""),"Miya Bingling")</f>
        <v>Miya Bingling</v>
      </c>
      <c r="B459" s="1" t="str">
        <f>IFERROR(__xludf.DUMMYFUNCTION("""COMPUTED_VALUE"""),"L2")</f>
        <v>L2</v>
      </c>
      <c r="C459" s="1" t="str">
        <f t="shared" si="1"/>
        <v>No</v>
      </c>
      <c r="D459" s="1">
        <v>0.0</v>
      </c>
    </row>
    <row r="460" ht="15.75" customHeight="1">
      <c r="A460" s="1" t="str">
        <f>IFERROR(__xludf.DUMMYFUNCTION("""COMPUTED_VALUE"""),"Grace Holladay")</f>
        <v>Grace Holladay</v>
      </c>
      <c r="B460" s="1" t="str">
        <f>IFERROR(__xludf.DUMMYFUNCTION("""COMPUTED_VALUE"""),"MS")</f>
        <v>MS</v>
      </c>
      <c r="C460" s="1" t="str">
        <f t="shared" si="1"/>
        <v>No</v>
      </c>
      <c r="D460" s="1">
        <v>0.0</v>
      </c>
    </row>
    <row r="461" ht="15.75" customHeight="1">
      <c r="A461" s="1" t="str">
        <f>IFERROR(__xludf.DUMMYFUNCTION("""COMPUTED_VALUE"""),"Jackson Holladay")</f>
        <v>Jackson Holladay</v>
      </c>
      <c r="B461" s="1" t="str">
        <f>IFERROR(__xludf.DUMMYFUNCTION("""COMPUTED_VALUE"""),"L2")</f>
        <v>L2</v>
      </c>
      <c r="C461" s="1" t="str">
        <f t="shared" si="1"/>
        <v>No</v>
      </c>
      <c r="D461" s="1">
        <v>0.0</v>
      </c>
    </row>
    <row r="462" ht="15.75" customHeight="1">
      <c r="A462" s="1" t="str">
        <f>IFERROR(__xludf.DUMMYFUNCTION("""COMPUTED_VALUE"""),"Emma Torvund")</f>
        <v>Emma Torvund</v>
      </c>
      <c r="B462" s="1" t="str">
        <f>IFERROR(__xludf.DUMMYFUNCTION("""COMPUTED_VALUE"""),"MS")</f>
        <v>MS</v>
      </c>
      <c r="C462" s="1" t="str">
        <f t="shared" si="1"/>
        <v>No</v>
      </c>
      <c r="D462" s="1">
        <v>0.0</v>
      </c>
    </row>
    <row r="463" ht="15.75" customHeight="1">
      <c r="A463" s="1" t="str">
        <f>IFERROR(__xludf.DUMMYFUNCTION("""COMPUTED_VALUE"""),"Abram Hartley")</f>
        <v>Abram Hartley</v>
      </c>
      <c r="B463" s="1" t="str">
        <f>IFERROR(__xludf.DUMMYFUNCTION("""COMPUTED_VALUE"""),"L1")</f>
        <v>L1</v>
      </c>
      <c r="C463" s="1" t="str">
        <f t="shared" si="1"/>
        <v>No</v>
      </c>
      <c r="D463" s="1">
        <v>0.0</v>
      </c>
    </row>
    <row r="464" ht="15.75" customHeight="1">
      <c r="A464" s="1" t="str">
        <f>IFERROR(__xludf.DUMMYFUNCTION("""COMPUTED_VALUE"""),"Kyndal Hartley")</f>
        <v>Kyndal Hartley</v>
      </c>
      <c r="B464" s="1" t="str">
        <f>IFERROR(__xludf.DUMMYFUNCTION("""COMPUTED_VALUE"""),"MS")</f>
        <v>MS</v>
      </c>
      <c r="C464" s="1" t="str">
        <f t="shared" si="1"/>
        <v>No</v>
      </c>
      <c r="D464" s="1">
        <v>0.0</v>
      </c>
    </row>
    <row r="465" ht="15.75" customHeight="1">
      <c r="A465" s="1" t="str">
        <f>IFERROR(__xludf.DUMMYFUNCTION("""COMPUTED_VALUE"""),"Ella Hartley")</f>
        <v>Ella Hartley</v>
      </c>
      <c r="B465" s="1" t="str">
        <f>IFERROR(__xludf.DUMMYFUNCTION("""COMPUTED_VALUE"""),"MS")</f>
        <v>MS</v>
      </c>
      <c r="C465" s="1" t="str">
        <f t="shared" si="1"/>
        <v>No</v>
      </c>
      <c r="D465" s="1">
        <v>0.0</v>
      </c>
    </row>
    <row r="466" ht="15.75" customHeight="1">
      <c r="A466" s="1" t="str">
        <f>IFERROR(__xludf.DUMMYFUNCTION("""COMPUTED_VALUE"""),"Sophia Hock")</f>
        <v>Sophia Hock</v>
      </c>
      <c r="B466" s="1" t="str">
        <f>IFERROR(__xludf.DUMMYFUNCTION("""COMPUTED_VALUE"""),"MS")</f>
        <v>MS</v>
      </c>
      <c r="C466" s="1" t="str">
        <f t="shared" si="1"/>
        <v>No</v>
      </c>
      <c r="D466" s="1">
        <v>0.0</v>
      </c>
    </row>
    <row r="467" ht="15.75" customHeight="1">
      <c r="A467" s="1" t="str">
        <f>IFERROR(__xludf.DUMMYFUNCTION("""COMPUTED_VALUE"""),"Grayson Hock")</f>
        <v>Grayson Hock</v>
      </c>
      <c r="B467" s="1" t="str">
        <f>IFERROR(__xludf.DUMMYFUNCTION("""COMPUTED_VALUE"""),"L1")</f>
        <v>L1</v>
      </c>
      <c r="C467" s="1" t="str">
        <f t="shared" si="1"/>
        <v>No</v>
      </c>
      <c r="D467" s="1">
        <v>0.0</v>
      </c>
    </row>
    <row r="468" ht="15.75" customHeight="1">
      <c r="A468" s="1" t="str">
        <f>IFERROR(__xludf.DUMMYFUNCTION("""COMPUTED_VALUE"""),"Roy Smith")</f>
        <v>Roy Smith</v>
      </c>
      <c r="B468" s="1" t="str">
        <f>IFERROR(__xludf.DUMMYFUNCTION("""COMPUTED_VALUE"""),"HS")</f>
        <v>HS</v>
      </c>
      <c r="C468" s="1" t="str">
        <f t="shared" si="1"/>
        <v>No</v>
      </c>
      <c r="D468" s="1">
        <v>0.0</v>
      </c>
    </row>
    <row r="469" ht="15.75" customHeight="1">
      <c r="A469" s="1" t="str">
        <f>IFERROR(__xludf.DUMMYFUNCTION("""COMPUTED_VALUE"""),"Caroline Strickland")</f>
        <v>Caroline Strickland</v>
      </c>
      <c r="B469" s="1" t="str">
        <f>IFERROR(__xludf.DUMMYFUNCTION("""COMPUTED_VALUE"""),"L2")</f>
        <v>L2</v>
      </c>
      <c r="C469" s="1" t="str">
        <f t="shared" si="1"/>
        <v>No</v>
      </c>
      <c r="D469" s="1">
        <v>0.0</v>
      </c>
    </row>
    <row r="470" ht="15.75" customHeight="1">
      <c r="A470" s="1" t="str">
        <f>IFERROR(__xludf.DUMMYFUNCTION("""COMPUTED_VALUE"""),"Meredith Strickland")</f>
        <v>Meredith Strickland</v>
      </c>
      <c r="B470" s="1" t="str">
        <f>IFERROR(__xludf.DUMMYFUNCTION("""COMPUTED_VALUE"""),"L1")</f>
        <v>L1</v>
      </c>
      <c r="C470" s="1" t="str">
        <f t="shared" si="1"/>
        <v>No</v>
      </c>
      <c r="D470" s="1">
        <v>0.0</v>
      </c>
    </row>
    <row r="471" ht="15.75" customHeight="1">
      <c r="A471" s="1" t="str">
        <f>IFERROR(__xludf.DUMMYFUNCTION("""COMPUTED_VALUE"""),"Indiana Kitchener")</f>
        <v>Indiana Kitchener</v>
      </c>
      <c r="B471" s="1" t="str">
        <f>IFERROR(__xludf.DUMMYFUNCTION("""COMPUTED_VALUE"""),"MS")</f>
        <v>MS</v>
      </c>
      <c r="C471" s="1" t="str">
        <f t="shared" si="1"/>
        <v>No</v>
      </c>
      <c r="D471" s="1">
        <v>0.0</v>
      </c>
    </row>
    <row r="472" ht="15.75" customHeight="1">
      <c r="A472" s="1" t="str">
        <f>IFERROR(__xludf.DUMMYFUNCTION("""COMPUTED_VALUE"""),"Zalia Kitchener")</f>
        <v>Zalia Kitchener</v>
      </c>
      <c r="B472" s="1" t="str">
        <f>IFERROR(__xludf.DUMMYFUNCTION("""COMPUTED_VALUE"""),"L2")</f>
        <v>L2</v>
      </c>
      <c r="C472" s="1" t="str">
        <f t="shared" si="1"/>
        <v>No</v>
      </c>
      <c r="D472" s="1">
        <v>0.0</v>
      </c>
    </row>
    <row r="473" ht="15.75" customHeight="1">
      <c r="A473" s="1" t="str">
        <f>IFERROR(__xludf.DUMMYFUNCTION("""COMPUTED_VALUE"""),"Maddie Mclean")</f>
        <v>Maddie Mclean</v>
      </c>
      <c r="B473" s="1" t="str">
        <f>IFERROR(__xludf.DUMMYFUNCTION("""COMPUTED_VALUE"""),"LL")</f>
        <v>LL</v>
      </c>
      <c r="C473" s="1" t="str">
        <f t="shared" si="1"/>
        <v>No</v>
      </c>
      <c r="D473" s="1">
        <v>0.0</v>
      </c>
    </row>
    <row r="474" ht="15.75" customHeight="1">
      <c r="A474" s="1" t="str">
        <f>IFERROR(__xludf.DUMMYFUNCTION("""COMPUTED_VALUE"""),"Kohen Rogers")</f>
        <v>Kohen Rogers</v>
      </c>
      <c r="B474" s="1" t="str">
        <f>IFERROR(__xludf.DUMMYFUNCTION("""COMPUTED_VALUE"""),"HS")</f>
        <v>HS</v>
      </c>
      <c r="C474" s="1" t="str">
        <f t="shared" si="1"/>
        <v>No</v>
      </c>
      <c r="D474" s="1">
        <v>0.0</v>
      </c>
    </row>
    <row r="475" ht="15.75" customHeight="1">
      <c r="A475" s="1" t="str">
        <f>IFERROR(__xludf.DUMMYFUNCTION("""COMPUTED_VALUE"""),"Michael Pine")</f>
        <v>Michael Pine</v>
      </c>
      <c r="B475" s="1" t="str">
        <f>IFERROR(__xludf.DUMMYFUNCTION("""COMPUTED_VALUE"""),"L1")</f>
        <v>L1</v>
      </c>
      <c r="C475" s="1" t="str">
        <f t="shared" si="1"/>
        <v>No</v>
      </c>
      <c r="D475" s="1">
        <v>0.0</v>
      </c>
    </row>
    <row r="476" ht="15.75" customHeight="1">
      <c r="A476" s="1" t="str">
        <f>IFERROR(__xludf.DUMMYFUNCTION("""COMPUTED_VALUE"""),"Everly Wallace")</f>
        <v>Everly Wallace</v>
      </c>
      <c r="B476" s="1" t="str">
        <f>IFERROR(__xludf.DUMMYFUNCTION("""COMPUTED_VALUE"""),"L2")</f>
        <v>L2</v>
      </c>
      <c r="C476" s="1" t="str">
        <f t="shared" si="1"/>
        <v>No</v>
      </c>
      <c r="D476" s="1">
        <v>0.0</v>
      </c>
    </row>
    <row r="477" ht="15.75" customHeight="1">
      <c r="A477" s="1" t="str">
        <f>IFERROR(__xludf.DUMMYFUNCTION("""COMPUTED_VALUE"""),"Isla Wallace")</f>
        <v>Isla Wallace</v>
      </c>
      <c r="B477" s="1" t="str">
        <f>IFERROR(__xludf.DUMMYFUNCTION("""COMPUTED_VALUE"""),"L1")</f>
        <v>L1</v>
      </c>
      <c r="C477" s="1" t="str">
        <f t="shared" si="1"/>
        <v>No</v>
      </c>
      <c r="D477" s="1">
        <v>0.0</v>
      </c>
    </row>
    <row r="478" ht="15.75" customHeight="1">
      <c r="A478" s="1" t="str">
        <f>IFERROR(__xludf.DUMMYFUNCTION("""COMPUTED_VALUE"""),"Nolan Welsh")</f>
        <v>Nolan Welsh</v>
      </c>
      <c r="B478" s="1" t="str">
        <f>IFERROR(__xludf.DUMMYFUNCTION("""COMPUTED_VALUE"""),"LL")</f>
        <v>LL</v>
      </c>
      <c r="C478" s="1" t="str">
        <f t="shared" si="1"/>
        <v>No</v>
      </c>
      <c r="D478" s="1">
        <v>0.0</v>
      </c>
    </row>
    <row r="479" ht="15.75" customHeight="1">
      <c r="A479" s="1" t="str">
        <f>IFERROR(__xludf.DUMMYFUNCTION("""COMPUTED_VALUE"""),"Sloan Shaw")</f>
        <v>Sloan Shaw</v>
      </c>
      <c r="B479" s="1" t="str">
        <f>IFERROR(__xludf.DUMMYFUNCTION("""COMPUTED_VALUE"""),"L1")</f>
        <v>L1</v>
      </c>
      <c r="C479" s="1" t="str">
        <f t="shared" si="1"/>
        <v>No</v>
      </c>
      <c r="D479" s="1">
        <v>0.0</v>
      </c>
    </row>
    <row r="480" ht="15.75" customHeight="1">
      <c r="A480" s="1" t="str">
        <f>IFERROR(__xludf.DUMMYFUNCTION("""COMPUTED_VALUE"""),"Evan Brown")</f>
        <v>Evan Brown</v>
      </c>
      <c r="B480" s="1" t="str">
        <f>IFERROR(__xludf.DUMMYFUNCTION("""COMPUTED_VALUE"""),"L1")</f>
        <v>L1</v>
      </c>
      <c r="C480" s="1" t="str">
        <f t="shared" si="1"/>
        <v>No</v>
      </c>
      <c r="D480" s="1">
        <v>0.0</v>
      </c>
    </row>
    <row r="481" ht="15.75" customHeight="1">
      <c r="A481" s="1" t="str">
        <f>IFERROR(__xludf.DUMMYFUNCTION("""COMPUTED_VALUE"""),"Charlie Eberle")</f>
        <v>Charlie Eberle</v>
      </c>
      <c r="B481" s="1" t="str">
        <f>IFERROR(__xludf.DUMMYFUNCTION("""COMPUTED_VALUE"""),"MS")</f>
        <v>MS</v>
      </c>
      <c r="C481" s="1" t="str">
        <f t="shared" si="1"/>
        <v>No</v>
      </c>
      <c r="D481" s="1">
        <v>0.0</v>
      </c>
    </row>
    <row r="482" ht="15.75" customHeight="1">
      <c r="A482" s="1" t="str">
        <f>IFERROR(__xludf.DUMMYFUNCTION("""COMPUTED_VALUE"""),"Canon Craig")</f>
        <v>Canon Craig</v>
      </c>
      <c r="B482" s="1" t="str">
        <f>IFERROR(__xludf.DUMMYFUNCTION("""COMPUTED_VALUE"""),"MS")</f>
        <v>MS</v>
      </c>
      <c r="C482" s="1" t="str">
        <f t="shared" si="1"/>
        <v>No</v>
      </c>
      <c r="D482" s="1">
        <v>0.0</v>
      </c>
    </row>
    <row r="483" ht="15.75" customHeight="1">
      <c r="A483" s="1" t="str">
        <f>IFERROR(__xludf.DUMMYFUNCTION("""COMPUTED_VALUE"""),"Thea Craig")</f>
        <v>Thea Craig</v>
      </c>
      <c r="B483" s="1" t="str">
        <f>IFERROR(__xludf.DUMMYFUNCTION("""COMPUTED_VALUE"""),"L2")</f>
        <v>L2</v>
      </c>
      <c r="C483" s="1" t="str">
        <f t="shared" si="1"/>
        <v>No</v>
      </c>
      <c r="D483" s="1">
        <v>0.0</v>
      </c>
    </row>
    <row r="484" ht="15.75" customHeight="1">
      <c r="A484" s="1" t="str">
        <f>IFERROR(__xludf.DUMMYFUNCTION("""COMPUTED_VALUE"""),"Solomon Studt")</f>
        <v>Solomon Studt</v>
      </c>
      <c r="B484" s="1" t="str">
        <f>IFERROR(__xludf.DUMMYFUNCTION("""COMPUTED_VALUE"""),"L1")</f>
        <v>L1</v>
      </c>
      <c r="C484" s="1" t="str">
        <f t="shared" si="1"/>
        <v>No</v>
      </c>
      <c r="D484" s="1">
        <v>0.0</v>
      </c>
    </row>
    <row r="485" ht="15.75" customHeight="1">
      <c r="A485" s="1" t="str">
        <f>IFERROR(__xludf.DUMMYFUNCTION("""COMPUTED_VALUE"""),"Kaneesha Panwar")</f>
        <v>Kaneesha Panwar</v>
      </c>
      <c r="B485" s="1" t="str">
        <f>IFERROR(__xludf.DUMMYFUNCTION("""COMPUTED_VALUE"""),"LL")</f>
        <v>LL</v>
      </c>
      <c r="C485" s="1" t="str">
        <f t="shared" si="1"/>
        <v>No</v>
      </c>
      <c r="D485" s="1">
        <v>0.0</v>
      </c>
    </row>
    <row r="486" ht="15.75" customHeight="1">
      <c r="A486" s="1" t="str">
        <f>IFERROR(__xludf.DUMMYFUNCTION("""COMPUTED_VALUE"""),"Mateo Vojdanoski")</f>
        <v>Mateo Vojdanoski</v>
      </c>
      <c r="B486" s="1" t="str">
        <f>IFERROR(__xludf.DUMMYFUNCTION("""COMPUTED_VALUE"""),"LL")</f>
        <v>LL</v>
      </c>
      <c r="C486" s="1" t="str">
        <f t="shared" si="1"/>
        <v>No</v>
      </c>
      <c r="D486" s="1">
        <v>0.0</v>
      </c>
    </row>
    <row r="487" ht="15.75" customHeight="1">
      <c r="A487" s="1" t="str">
        <f>IFERROR(__xludf.DUMMYFUNCTION("""COMPUTED_VALUE"""),"Elijah Castillo")</f>
        <v>Elijah Castillo</v>
      </c>
      <c r="B487" s="1" t="str">
        <f>IFERROR(__xludf.DUMMYFUNCTION("""COMPUTED_VALUE"""),"LL")</f>
        <v>LL</v>
      </c>
      <c r="C487" s="1" t="str">
        <f t="shared" si="1"/>
        <v>No</v>
      </c>
      <c r="D487" s="1">
        <v>0.0</v>
      </c>
    </row>
    <row r="488" ht="15.75" customHeight="1">
      <c r="A488" s="1" t="str">
        <f>IFERROR(__xludf.DUMMYFUNCTION("""COMPUTED_VALUE"""),"Andrew Attallah")</f>
        <v>Andrew Attallah</v>
      </c>
      <c r="B488" s="1" t="str">
        <f>IFERROR(__xludf.DUMMYFUNCTION("""COMPUTED_VALUE"""),"LL")</f>
        <v>LL</v>
      </c>
      <c r="C488" s="1" t="str">
        <f t="shared" si="1"/>
        <v>No</v>
      </c>
      <c r="D488" s="1">
        <v>0.0</v>
      </c>
    </row>
    <row r="489" ht="15.75" customHeight="1">
      <c r="A489" s="1" t="str">
        <f>IFERROR(__xludf.DUMMYFUNCTION("""COMPUTED_VALUE"""),"Rachel Fields")</f>
        <v>Rachel Fields</v>
      </c>
      <c r="B489" s="1" t="str">
        <f>IFERROR(__xludf.DUMMYFUNCTION("""COMPUTED_VALUE"""),"L1")</f>
        <v>L1</v>
      </c>
      <c r="C489" s="1" t="str">
        <f t="shared" si="1"/>
        <v>No</v>
      </c>
      <c r="D489" s="1">
        <v>0.0</v>
      </c>
    </row>
    <row r="490" ht="15.75" customHeight="1">
      <c r="A490" s="1" t="str">
        <f>IFERROR(__xludf.DUMMYFUNCTION("""COMPUTED_VALUE"""),"Gunnars Bryant")</f>
        <v>Gunnars Bryant</v>
      </c>
      <c r="B490" s="1" t="str">
        <f>IFERROR(__xludf.DUMMYFUNCTION("""COMPUTED_VALUE"""),"LL")</f>
        <v>LL</v>
      </c>
      <c r="C490" s="1" t="str">
        <f t="shared" si="1"/>
        <v>No</v>
      </c>
      <c r="D490" s="1">
        <v>0.0</v>
      </c>
    </row>
    <row r="491" ht="15.75" customHeight="1">
      <c r="A491" s="1" t="str">
        <f>IFERROR(__xludf.DUMMYFUNCTION("""COMPUTED_VALUE"""),"Nabil Kruger")</f>
        <v>Nabil Kruger</v>
      </c>
      <c r="B491" s="1" t="str">
        <f>IFERROR(__xludf.DUMMYFUNCTION("""COMPUTED_VALUE"""),"HS")</f>
        <v>HS</v>
      </c>
      <c r="C491" s="1" t="str">
        <f t="shared" si="1"/>
        <v>No</v>
      </c>
      <c r="D491" s="1">
        <v>0.0</v>
      </c>
    </row>
    <row r="492" ht="15.75" customHeight="1">
      <c r="A492" s="1" t="str">
        <f>IFERROR(__xludf.DUMMYFUNCTION("""COMPUTED_VALUE"""),"Reagan Parmenter")</f>
        <v>Reagan Parmenter</v>
      </c>
      <c r="B492" s="1" t="str">
        <f>IFERROR(__xludf.DUMMYFUNCTION("""COMPUTED_VALUE"""),"L2")</f>
        <v>L2</v>
      </c>
      <c r="C492" s="1" t="str">
        <f t="shared" si="1"/>
        <v>No</v>
      </c>
      <c r="D492" s="1">
        <v>0.0</v>
      </c>
    </row>
    <row r="493" ht="15.75" customHeight="1">
      <c r="A493" s="1" t="str">
        <f>IFERROR(__xludf.DUMMYFUNCTION("""COMPUTED_VALUE"""),"Maverick Parmenter")</f>
        <v>Maverick Parmenter</v>
      </c>
      <c r="B493" s="1" t="str">
        <f>IFERROR(__xludf.DUMMYFUNCTION("""COMPUTED_VALUE"""),"L1")</f>
        <v>L1</v>
      </c>
      <c r="C493" s="1" t="str">
        <f t="shared" si="1"/>
        <v>No</v>
      </c>
      <c r="D493" s="1">
        <v>0.0</v>
      </c>
    </row>
    <row r="494" ht="15.75" customHeight="1">
      <c r="A494" s="1" t="str">
        <f>IFERROR(__xludf.DUMMYFUNCTION("""COMPUTED_VALUE"""),"Eero Cox")</f>
        <v>Eero Cox</v>
      </c>
      <c r="B494" s="1" t="str">
        <f>IFERROR(__xludf.DUMMYFUNCTION("""COMPUTED_VALUE"""),"L2")</f>
        <v>L2</v>
      </c>
      <c r="C494" s="1" t="str">
        <f t="shared" si="1"/>
        <v>No</v>
      </c>
      <c r="D494" s="1">
        <v>0.0</v>
      </c>
    </row>
    <row r="495" ht="15.75" customHeight="1">
      <c r="A495" s="1" t="str">
        <f>IFERROR(__xludf.DUMMYFUNCTION("""COMPUTED_VALUE"""),"Luna Luna")</f>
        <v>Luna Luna</v>
      </c>
      <c r="B495" s="1" t="str">
        <f>IFERROR(__xludf.DUMMYFUNCTION("""COMPUTED_VALUE"""),"MS")</f>
        <v>MS</v>
      </c>
      <c r="C495" s="1" t="str">
        <f t="shared" si="1"/>
        <v>No</v>
      </c>
      <c r="D495" s="1">
        <v>0.0</v>
      </c>
    </row>
    <row r="496" ht="15.75" customHeight="1">
      <c r="A496" s="1" t="str">
        <f>IFERROR(__xludf.DUMMYFUNCTION("""COMPUTED_VALUE"""),"Myles Kelch")</f>
        <v>Myles Kelch</v>
      </c>
      <c r="B496" s="1" t="str">
        <f>IFERROR(__xludf.DUMMYFUNCTION("""COMPUTED_VALUE"""),"MS")</f>
        <v>MS</v>
      </c>
      <c r="C496" s="1" t="str">
        <f t="shared" si="1"/>
        <v>No</v>
      </c>
      <c r="D496" s="1">
        <v>0.0</v>
      </c>
    </row>
    <row r="497" ht="15.75" customHeight="1">
      <c r="A497" s="1" t="str">
        <f>IFERROR(__xludf.DUMMYFUNCTION("""COMPUTED_VALUE"""),"Rowen Kelch")</f>
        <v>Rowen Kelch</v>
      </c>
      <c r="B497" s="1" t="str">
        <f>IFERROR(__xludf.DUMMYFUNCTION("""COMPUTED_VALUE"""),"L2")</f>
        <v>L2</v>
      </c>
      <c r="C497" s="1" t="str">
        <f t="shared" si="1"/>
        <v>No</v>
      </c>
      <c r="D497" s="1">
        <v>0.0</v>
      </c>
    </row>
    <row r="498" ht="15.75" customHeight="1">
      <c r="A498" s="1" t="str">
        <f>IFERROR(__xludf.DUMMYFUNCTION("""COMPUTED_VALUE"""),"Risely Kelch")</f>
        <v>Risely Kelch</v>
      </c>
      <c r="B498" s="1" t="str">
        <f>IFERROR(__xludf.DUMMYFUNCTION("""COMPUTED_VALUE"""),"L1")</f>
        <v>L1</v>
      </c>
      <c r="C498" s="1" t="str">
        <f t="shared" si="1"/>
        <v>No</v>
      </c>
      <c r="D498" s="1">
        <v>0.0</v>
      </c>
    </row>
    <row r="499" ht="15.75" customHeight="1">
      <c r="A499" s="1" t="str">
        <f>IFERROR(__xludf.DUMMYFUNCTION("""COMPUTED_VALUE"""),"Teddy Goss")</f>
        <v>Teddy Goss</v>
      </c>
      <c r="B499" s="1" t="str">
        <f>IFERROR(__xludf.DUMMYFUNCTION("""COMPUTED_VALUE"""),"MS")</f>
        <v>MS</v>
      </c>
      <c r="C499" s="1" t="str">
        <f t="shared" si="1"/>
        <v>No</v>
      </c>
      <c r="D499" s="1">
        <v>0.0</v>
      </c>
    </row>
    <row r="500" ht="15.75" customHeight="1">
      <c r="A500" s="1" t="str">
        <f>IFERROR(__xludf.DUMMYFUNCTION("""COMPUTED_VALUE"""),"Indra Ragavan")</f>
        <v>Indra Ragavan</v>
      </c>
      <c r="B500" s="1" t="str">
        <f>IFERROR(__xludf.DUMMYFUNCTION("""COMPUTED_VALUE"""),"LL")</f>
        <v>LL</v>
      </c>
      <c r="C500" s="1" t="str">
        <f t="shared" si="1"/>
        <v>No</v>
      </c>
      <c r="D500" s="1">
        <v>0.0</v>
      </c>
    </row>
    <row r="501" ht="15.75" customHeight="1">
      <c r="A501" s="1" t="str">
        <f>IFERROR(__xludf.DUMMYFUNCTION("""COMPUTED_VALUE"""),"Janani Ragavan")</f>
        <v>Janani Ragavan</v>
      </c>
      <c r="B501" s="1" t="str">
        <f>IFERROR(__xludf.DUMMYFUNCTION("""COMPUTED_VALUE"""),"LL")</f>
        <v>LL</v>
      </c>
      <c r="C501" s="1" t="str">
        <f t="shared" si="1"/>
        <v>No</v>
      </c>
      <c r="D501" s="1">
        <v>0.0</v>
      </c>
    </row>
    <row r="502" ht="15.75" customHeight="1">
      <c r="A502" s="1" t="str">
        <f>IFERROR(__xludf.DUMMYFUNCTION("""COMPUTED_VALUE"""),"Rivian Becker Simmonds")</f>
        <v>Rivian Becker Simmonds</v>
      </c>
      <c r="B502" s="1" t="str">
        <f>IFERROR(__xludf.DUMMYFUNCTION("""COMPUTED_VALUE"""),"MS")</f>
        <v>MS</v>
      </c>
      <c r="C502" s="1" t="str">
        <f t="shared" si="1"/>
        <v>No</v>
      </c>
      <c r="D502" s="1">
        <v>0.0</v>
      </c>
    </row>
    <row r="503" ht="15.75" customHeight="1">
      <c r="A503" s="1" t="str">
        <f>IFERROR(__xludf.DUMMYFUNCTION("""COMPUTED_VALUE"""),"Shane Beck")</f>
        <v>Shane Beck</v>
      </c>
      <c r="B503" s="1" t="str">
        <f>IFERROR(__xludf.DUMMYFUNCTION("""COMPUTED_VALUE"""),"MS")</f>
        <v>MS</v>
      </c>
      <c r="C503" s="1" t="str">
        <f t="shared" si="1"/>
        <v>No</v>
      </c>
      <c r="D503" s="1">
        <v>0.0</v>
      </c>
    </row>
    <row r="504" ht="15.75" customHeight="1">
      <c r="A504" s="1" t="str">
        <f>IFERROR(__xludf.DUMMYFUNCTION("""COMPUTED_VALUE"""),"Carter Sharkey")</f>
        <v>Carter Sharkey</v>
      </c>
      <c r="B504" s="1" t="str">
        <f>IFERROR(__xludf.DUMMYFUNCTION("""COMPUTED_VALUE"""),"L1")</f>
        <v>L1</v>
      </c>
      <c r="C504" s="1" t="str">
        <f t="shared" si="1"/>
        <v>No</v>
      </c>
      <c r="D504" s="1">
        <v>0.0</v>
      </c>
    </row>
    <row r="505" ht="15.75" customHeight="1">
      <c r="A505" s="1" t="str">
        <f>IFERROR(__xludf.DUMMYFUNCTION("""COMPUTED_VALUE"""),"Orie Thompson")</f>
        <v>Orie Thompson</v>
      </c>
      <c r="B505" s="1" t="str">
        <f>IFERROR(__xludf.DUMMYFUNCTION("""COMPUTED_VALUE"""),"MS")</f>
        <v>MS</v>
      </c>
      <c r="C505" s="1" t="str">
        <f t="shared" si="1"/>
        <v>No</v>
      </c>
      <c r="D505" s="1">
        <v>0.0</v>
      </c>
    </row>
    <row r="506" ht="15.75" customHeight="1">
      <c r="A506" s="1" t="str">
        <f>IFERROR(__xludf.DUMMYFUNCTION("""COMPUTED_VALUE"""),"Daisy Miller")</f>
        <v>Daisy Miller</v>
      </c>
      <c r="B506" s="1" t="str">
        <f>IFERROR(__xludf.DUMMYFUNCTION("""COMPUTED_VALUE"""),"L1")</f>
        <v>L1</v>
      </c>
      <c r="C506" s="1" t="str">
        <f t="shared" si="1"/>
        <v>No</v>
      </c>
      <c r="D506" s="1">
        <v>0.0</v>
      </c>
    </row>
    <row r="507" ht="15.75" customHeight="1">
      <c r="A507" s="1" t="str">
        <f>IFERROR(__xludf.DUMMYFUNCTION("""COMPUTED_VALUE"""),"Decklynn Webber")</f>
        <v>Decklynn Webber</v>
      </c>
      <c r="B507" s="1" t="str">
        <f>IFERROR(__xludf.DUMMYFUNCTION("""COMPUTED_VALUE"""),"L1")</f>
        <v>L1</v>
      </c>
      <c r="C507" s="1" t="str">
        <f t="shared" si="1"/>
        <v>No</v>
      </c>
      <c r="D507" s="1">
        <v>0.0</v>
      </c>
    </row>
    <row r="508" ht="15.75" customHeight="1">
      <c r="A508" s="1" t="str">
        <f>IFERROR(__xludf.DUMMYFUNCTION("""COMPUTED_VALUE"""),"Elliott Ee")</f>
        <v>Elliott Ee</v>
      </c>
      <c r="B508" s="1" t="str">
        <f>IFERROR(__xludf.DUMMYFUNCTION("""COMPUTED_VALUE"""),"L2")</f>
        <v>L2</v>
      </c>
      <c r="C508" s="1" t="str">
        <f t="shared" si="1"/>
        <v>No</v>
      </c>
      <c r="D508" s="1">
        <v>0.0</v>
      </c>
    </row>
    <row r="509" ht="15.75" customHeight="1">
      <c r="A509" s="1" t="str">
        <f>IFERROR(__xludf.DUMMYFUNCTION("""COMPUTED_VALUE"""),"Gabriel Cohen")</f>
        <v>Gabriel Cohen</v>
      </c>
      <c r="B509" s="1" t="str">
        <f>IFERROR(__xludf.DUMMYFUNCTION("""COMPUTED_VALUE"""),"L1")</f>
        <v>L1</v>
      </c>
      <c r="C509" s="1" t="str">
        <f t="shared" si="1"/>
        <v>No</v>
      </c>
      <c r="D509" s="1">
        <v>0.0</v>
      </c>
    </row>
    <row r="510" ht="15.75" customHeight="1">
      <c r="A510" s="1" t="str">
        <f>IFERROR(__xludf.DUMMYFUNCTION("""COMPUTED_VALUE"""),"Adrian Cohen")</f>
        <v>Adrian Cohen</v>
      </c>
      <c r="B510" s="1" t="str">
        <f>IFERROR(__xludf.DUMMYFUNCTION("""COMPUTED_VALUE"""),"MS")</f>
        <v>MS</v>
      </c>
      <c r="C510" s="1" t="str">
        <f t="shared" si="1"/>
        <v>No</v>
      </c>
      <c r="D510" s="1">
        <v>0.0</v>
      </c>
    </row>
    <row r="511" ht="15.75" customHeight="1">
      <c r="A511" s="1" t="str">
        <f>IFERROR(__xludf.DUMMYFUNCTION("""COMPUTED_VALUE"""),"Brooke Courtney")</f>
        <v>Brooke Courtney</v>
      </c>
      <c r="B511" s="1" t="str">
        <f>IFERROR(__xludf.DUMMYFUNCTION("""COMPUTED_VALUE"""),"L2")</f>
        <v>L2</v>
      </c>
      <c r="C511" s="1" t="str">
        <f t="shared" si="1"/>
        <v>No</v>
      </c>
      <c r="D511" s="1">
        <v>0.0</v>
      </c>
    </row>
    <row r="512" ht="15.75" customHeight="1">
      <c r="A512" s="1" t="str">
        <f>IFERROR(__xludf.DUMMYFUNCTION("""COMPUTED_VALUE"""),"Roan Baldwin")</f>
        <v>Roan Baldwin</v>
      </c>
      <c r="B512" s="1" t="str">
        <f>IFERROR(__xludf.DUMMYFUNCTION("""COMPUTED_VALUE"""),"L2")</f>
        <v>L2</v>
      </c>
      <c r="C512" s="1" t="str">
        <f t="shared" si="1"/>
        <v>No</v>
      </c>
      <c r="D512" s="1">
        <v>0.0</v>
      </c>
    </row>
    <row r="513" ht="15.75" customHeight="1">
      <c r="A513" s="1" t="str">
        <f>IFERROR(__xludf.DUMMYFUNCTION("""COMPUTED_VALUE"""),"Pascyun White")</f>
        <v>Pascyun White</v>
      </c>
      <c r="B513" s="1" t="str">
        <f>IFERROR(__xludf.DUMMYFUNCTION("""COMPUTED_VALUE"""),"HS")</f>
        <v>HS</v>
      </c>
      <c r="C513" s="1" t="str">
        <f t="shared" si="1"/>
        <v>No</v>
      </c>
      <c r="D513" s="1">
        <v>0.0</v>
      </c>
    </row>
    <row r="514" ht="15.75" customHeight="1">
      <c r="A514" s="1" t="str">
        <f>IFERROR(__xludf.DUMMYFUNCTION("""COMPUTED_VALUE"""),"Daniel White")</f>
        <v>Daniel White</v>
      </c>
      <c r="B514" s="1" t="str">
        <f>IFERROR(__xludf.DUMMYFUNCTION("""COMPUTED_VALUE"""),"MS")</f>
        <v>MS</v>
      </c>
      <c r="C514" s="1" t="str">
        <f t="shared" si="1"/>
        <v>No</v>
      </c>
      <c r="D514" s="1">
        <v>0.0</v>
      </c>
    </row>
    <row r="515" ht="15.75" customHeight="1">
      <c r="A515" s="1" t="str">
        <f>IFERROR(__xludf.DUMMYFUNCTION("""COMPUTED_VALUE"""),"Jeremiah Voloshin")</f>
        <v>Jeremiah Voloshin</v>
      </c>
      <c r="B515" s="1" t="str">
        <f>IFERROR(__xludf.DUMMYFUNCTION("""COMPUTED_VALUE"""),"L2")</f>
        <v>L2</v>
      </c>
      <c r="C515" s="1" t="str">
        <f t="shared" si="1"/>
        <v>No</v>
      </c>
      <c r="D515" s="1">
        <v>0.0</v>
      </c>
    </row>
    <row r="516" ht="15.75" customHeight="1">
      <c r="A516" s="1" t="str">
        <f>IFERROR(__xludf.DUMMYFUNCTION("""COMPUTED_VALUE"""),"Meyer Gail")</f>
        <v>Meyer Gail</v>
      </c>
      <c r="B516" s="1" t="str">
        <f>IFERROR(__xludf.DUMMYFUNCTION("""COMPUTED_VALUE"""),"L2")</f>
        <v>L2</v>
      </c>
      <c r="C516" s="1" t="str">
        <f t="shared" si="1"/>
        <v>No</v>
      </c>
      <c r="D516" s="1">
        <v>0.0</v>
      </c>
    </row>
    <row r="517" ht="15.75" customHeight="1">
      <c r="A517" s="1" t="str">
        <f>IFERROR(__xludf.DUMMYFUNCTION("""COMPUTED_VALUE"""),"Zamoni Osceola-Jones")</f>
        <v>Zamoni Osceola-Jones</v>
      </c>
      <c r="B517" s="1" t="str">
        <f>IFERROR(__xludf.DUMMYFUNCTION("""COMPUTED_VALUE"""),"MS")</f>
        <v>MS</v>
      </c>
      <c r="C517" s="1" t="str">
        <f t="shared" si="1"/>
        <v>No</v>
      </c>
      <c r="D517" s="1">
        <v>0.0</v>
      </c>
    </row>
    <row r="518" ht="15.75" customHeight="1">
      <c r="A518" s="1" t="str">
        <f>IFERROR(__xludf.DUMMYFUNCTION("""COMPUTED_VALUE"""),"Denzil Irving")</f>
        <v>Denzil Irving</v>
      </c>
      <c r="B518" s="1" t="str">
        <f>IFERROR(__xludf.DUMMYFUNCTION("""COMPUTED_VALUE"""),"L2")</f>
        <v>L2</v>
      </c>
      <c r="C518" s="1" t="str">
        <f t="shared" si="1"/>
        <v>No</v>
      </c>
      <c r="D518" s="1">
        <v>0.0</v>
      </c>
    </row>
    <row r="519" ht="15.75" customHeight="1">
      <c r="A519" s="1" t="str">
        <f>IFERROR(__xludf.DUMMYFUNCTION("""COMPUTED_VALUE"""),"Finn Ashkie")</f>
        <v>Finn Ashkie</v>
      </c>
      <c r="B519" s="1" t="str">
        <f>IFERROR(__xludf.DUMMYFUNCTION("""COMPUTED_VALUE"""),"L1")</f>
        <v>L1</v>
      </c>
      <c r="C519" s="1" t="str">
        <f t="shared" si="1"/>
        <v>No</v>
      </c>
      <c r="D519" s="1">
        <v>0.0</v>
      </c>
    </row>
    <row r="520" ht="15.75" customHeight="1">
      <c r="A520" s="1" t="str">
        <f>IFERROR(__xludf.DUMMYFUNCTION("""COMPUTED_VALUE"""),"Esmee Osceola-Jones")</f>
        <v>Esmee Osceola-Jones</v>
      </c>
      <c r="B520" s="1" t="str">
        <f>IFERROR(__xludf.DUMMYFUNCTION("""COMPUTED_VALUE"""),"L1")</f>
        <v>L1</v>
      </c>
      <c r="C520" s="1" t="str">
        <f t="shared" si="1"/>
        <v>No</v>
      </c>
      <c r="D520" s="1">
        <v>0.0</v>
      </c>
    </row>
    <row r="521" ht="15.75" customHeight="1">
      <c r="A521" s="1" t="str">
        <f>IFERROR(__xludf.DUMMYFUNCTION("""COMPUTED_VALUE"""),"Ziyon Osceola-Jones")</f>
        <v>Ziyon Osceola-Jones</v>
      </c>
      <c r="B521" s="1" t="str">
        <f>IFERROR(__xludf.DUMMYFUNCTION("""COMPUTED_VALUE"""),"MS")</f>
        <v>MS</v>
      </c>
      <c r="C521" s="1" t="str">
        <f t="shared" si="1"/>
        <v>No</v>
      </c>
      <c r="D521" s="1">
        <v>0.0</v>
      </c>
    </row>
    <row r="522" ht="15.75" customHeight="1">
      <c r="A522" s="1" t="str">
        <f>IFERROR(__xludf.DUMMYFUNCTION("""COMPUTED_VALUE"""),"Ava Leger")</f>
        <v>Ava Leger</v>
      </c>
      <c r="B522" s="1" t="str">
        <f>IFERROR(__xludf.DUMMYFUNCTION("""COMPUTED_VALUE"""),"L2")</f>
        <v>L2</v>
      </c>
      <c r="C522" s="1" t="str">
        <f t="shared" si="1"/>
        <v>No</v>
      </c>
      <c r="D522" s="1">
        <v>0.0</v>
      </c>
    </row>
    <row r="523" ht="15.75" customHeight="1">
      <c r="A523" s="1" t="str">
        <f>IFERROR(__xludf.DUMMYFUNCTION("""COMPUTED_VALUE"""),"Greyson Alfred")</f>
        <v>Greyson Alfred</v>
      </c>
      <c r="B523" s="1" t="str">
        <f>IFERROR(__xludf.DUMMYFUNCTION("""COMPUTED_VALUE"""),"L1")</f>
        <v>L1</v>
      </c>
      <c r="C523" s="1" t="str">
        <f t="shared" si="1"/>
        <v>No</v>
      </c>
      <c r="D523" s="1">
        <v>0.0</v>
      </c>
    </row>
    <row r="524" ht="15.75" customHeight="1">
      <c r="A524" s="1" t="str">
        <f>IFERROR(__xludf.DUMMYFUNCTION("""COMPUTED_VALUE"""),"Jillian Mackenzie Marinda")</f>
        <v>Jillian Mackenzie Marinda</v>
      </c>
      <c r="B524" s="1" t="str">
        <f>IFERROR(__xludf.DUMMYFUNCTION("""COMPUTED_VALUE"""),"L2")</f>
        <v>L2</v>
      </c>
      <c r="C524" s="1" t="str">
        <f t="shared" si="1"/>
        <v>No</v>
      </c>
      <c r="D524" s="1">
        <v>0.0</v>
      </c>
    </row>
    <row r="525" ht="15.75" customHeight="1">
      <c r="A525" s="1" t="str">
        <f>IFERROR(__xludf.DUMMYFUNCTION("""COMPUTED_VALUE"""),"Hudson Hindle")</f>
        <v>Hudson Hindle</v>
      </c>
      <c r="B525" s="1" t="str">
        <f>IFERROR(__xludf.DUMMYFUNCTION("""COMPUTED_VALUE"""),"L1")</f>
        <v>L1</v>
      </c>
      <c r="C525" s="1" t="str">
        <f t="shared" si="1"/>
        <v>No</v>
      </c>
      <c r="D525" s="1">
        <v>0.0</v>
      </c>
    </row>
    <row r="526" ht="15.75" customHeight="1">
      <c r="A526" s="1" t="str">
        <f>IFERROR(__xludf.DUMMYFUNCTION("""COMPUTED_VALUE"""),"David Mendez")</f>
        <v>David Mendez</v>
      </c>
      <c r="B526" s="1" t="str">
        <f>IFERROR(__xludf.DUMMYFUNCTION("""COMPUTED_VALUE"""),"L2")</f>
        <v>L2</v>
      </c>
      <c r="C526" s="1" t="str">
        <f t="shared" si="1"/>
        <v>No</v>
      </c>
      <c r="D526" s="1">
        <v>0.0</v>
      </c>
    </row>
    <row r="527" ht="15.75" customHeight="1">
      <c r="A527" s="1" t="str">
        <f>IFERROR(__xludf.DUMMYFUNCTION("""COMPUTED_VALUE"""),"Eloise Kluczynski")</f>
        <v>Eloise Kluczynski</v>
      </c>
      <c r="B527" s="1" t="str">
        <f>IFERROR(__xludf.DUMMYFUNCTION("""COMPUTED_VALUE"""),"MS")</f>
        <v>MS</v>
      </c>
      <c r="C527" s="1" t="str">
        <f t="shared" si="1"/>
        <v>No</v>
      </c>
      <c r="D527" s="1">
        <v>0.0</v>
      </c>
    </row>
    <row r="528" ht="15.75" customHeight="1">
      <c r="A528" s="1" t="str">
        <f>IFERROR(__xludf.DUMMYFUNCTION("""COMPUTED_VALUE"""),"Reese Kluczynski")</f>
        <v>Reese Kluczynski</v>
      </c>
      <c r="B528" s="1" t="str">
        <f>IFERROR(__xludf.DUMMYFUNCTION("""COMPUTED_VALUE"""),"L2")</f>
        <v>L2</v>
      </c>
      <c r="C528" s="1" t="str">
        <f t="shared" si="1"/>
        <v>No</v>
      </c>
      <c r="D528" s="1">
        <v>0.0</v>
      </c>
    </row>
    <row r="529" ht="15.75" customHeight="1">
      <c r="A529" s="1" t="str">
        <f>IFERROR(__xludf.DUMMYFUNCTION("""COMPUTED_VALUE"""),"Kaia Eaton Bringas")</f>
        <v>Kaia Eaton Bringas</v>
      </c>
      <c r="B529" s="1" t="str">
        <f>IFERROR(__xludf.DUMMYFUNCTION("""COMPUTED_VALUE"""),"MS")</f>
        <v>MS</v>
      </c>
      <c r="C529" s="1" t="str">
        <f t="shared" si="1"/>
        <v>No</v>
      </c>
      <c r="D529" s="1">
        <v>0.0</v>
      </c>
    </row>
    <row r="530" ht="15.75" customHeight="1">
      <c r="A530" s="1" t="str">
        <f>IFERROR(__xludf.DUMMYFUNCTION("""COMPUTED_VALUE"""),"Charlie Alfred")</f>
        <v>Charlie Alfred</v>
      </c>
      <c r="B530" s="1" t="str">
        <f>IFERROR(__xludf.DUMMYFUNCTION("""COMPUTED_VALUE"""),"L2")</f>
        <v>L2</v>
      </c>
      <c r="C530" s="1" t="str">
        <f t="shared" si="1"/>
        <v>No</v>
      </c>
      <c r="D530" s="1">
        <v>0.0</v>
      </c>
    </row>
    <row r="531" ht="15.75" customHeight="1">
      <c r="A531" s="1" t="str">
        <f>IFERROR(__xludf.DUMMYFUNCTION("""COMPUTED_VALUE"""),"Alexandra Lyons")</f>
        <v>Alexandra Lyons</v>
      </c>
      <c r="B531" s="1" t="str">
        <f>IFERROR(__xludf.DUMMYFUNCTION("""COMPUTED_VALUE"""),"MS")</f>
        <v>MS</v>
      </c>
      <c r="C531" s="1" t="str">
        <f t="shared" si="1"/>
        <v>No</v>
      </c>
      <c r="D531" s="1">
        <v>0.0</v>
      </c>
    </row>
    <row r="532" ht="15.75" customHeight="1">
      <c r="A532" s="1" t="str">
        <f>IFERROR(__xludf.DUMMYFUNCTION("""COMPUTED_VALUE"""),"Jaiden Mackenzie Marinda")</f>
        <v>Jaiden Mackenzie Marinda</v>
      </c>
      <c r="B532" s="1" t="str">
        <f>IFERROR(__xludf.DUMMYFUNCTION("""COMPUTED_VALUE"""),"L2")</f>
        <v>L2</v>
      </c>
      <c r="C532" s="1" t="str">
        <f t="shared" si="1"/>
        <v>No</v>
      </c>
      <c r="D532" s="1">
        <v>0.0</v>
      </c>
    </row>
    <row r="533" ht="15.75" customHeight="1">
      <c r="A533" s="1" t="str">
        <f>IFERROR(__xludf.DUMMYFUNCTION("""COMPUTED_VALUE"""),"Javier O'Donnell")</f>
        <v>Javier O'Donnell</v>
      </c>
      <c r="B533" s="1" t="str">
        <f>IFERROR(__xludf.DUMMYFUNCTION("""COMPUTED_VALUE"""),"L1")</f>
        <v>L1</v>
      </c>
      <c r="C533" s="1" t="str">
        <f t="shared" si="1"/>
        <v>No</v>
      </c>
      <c r="D533" s="1">
        <v>0.0</v>
      </c>
    </row>
    <row r="534" ht="15.75" customHeight="1">
      <c r="A534" s="1" t="str">
        <f>IFERROR(__xludf.DUMMYFUNCTION("""COMPUTED_VALUE"""),"Elliannah Slaughter")</f>
        <v>Elliannah Slaughter</v>
      </c>
      <c r="B534" s="1" t="str">
        <f>IFERROR(__xludf.DUMMYFUNCTION("""COMPUTED_VALUE"""),"L1")</f>
        <v>L1</v>
      </c>
      <c r="C534" s="1" t="str">
        <f t="shared" si="1"/>
        <v>No</v>
      </c>
      <c r="D534" s="1">
        <v>0.0</v>
      </c>
    </row>
    <row r="535" ht="15.75" customHeight="1">
      <c r="A535" s="1" t="str">
        <f>IFERROR(__xludf.DUMMYFUNCTION("""COMPUTED_VALUE"""),"Sophie Ollivier Aguirre")</f>
        <v>Sophie Ollivier Aguirre</v>
      </c>
      <c r="B535" s="1" t="str">
        <f>IFERROR(__xludf.DUMMYFUNCTION("""COMPUTED_VALUE"""),"MS")</f>
        <v>MS</v>
      </c>
      <c r="C535" s="1" t="str">
        <f t="shared" si="1"/>
        <v>No</v>
      </c>
      <c r="D535" s="1">
        <v>0.0</v>
      </c>
    </row>
    <row r="536" ht="15.75" customHeight="1">
      <c r="A536" s="1" t="str">
        <f>IFERROR(__xludf.DUMMYFUNCTION("""COMPUTED_VALUE"""),"Hathaway Rodriguez")</f>
        <v>Hathaway Rodriguez</v>
      </c>
      <c r="B536" s="1" t="str">
        <f>IFERROR(__xludf.DUMMYFUNCTION("""COMPUTED_VALUE"""),"L2")</f>
        <v>L2</v>
      </c>
      <c r="C536" s="1" t="str">
        <f t="shared" si="1"/>
        <v>No</v>
      </c>
      <c r="D536" s="1">
        <v>0.0</v>
      </c>
    </row>
    <row r="537" ht="15.75" customHeight="1">
      <c r="A537" s="1" t="str">
        <f>IFERROR(__xludf.DUMMYFUNCTION("""COMPUTED_VALUE"""),"Charles Andrews")</f>
        <v>Charles Andrews</v>
      </c>
      <c r="B537" s="1" t="str">
        <f>IFERROR(__xludf.DUMMYFUNCTION("""COMPUTED_VALUE"""),"L1")</f>
        <v>L1</v>
      </c>
      <c r="C537" s="1" t="str">
        <f t="shared" si="1"/>
        <v>No</v>
      </c>
      <c r="D537" s="1">
        <v>0.0</v>
      </c>
    </row>
    <row r="538" ht="15.75" customHeight="1">
      <c r="A538" s="1" t="str">
        <f>IFERROR(__xludf.DUMMYFUNCTION("""COMPUTED_VALUE"""),"Skye Wright")</f>
        <v>Skye Wright</v>
      </c>
      <c r="B538" s="1" t="str">
        <f>IFERROR(__xludf.DUMMYFUNCTION("""COMPUTED_VALUE"""),"L2")</f>
        <v>L2</v>
      </c>
      <c r="C538" s="1" t="str">
        <f t="shared" si="1"/>
        <v>No</v>
      </c>
      <c r="D538" s="1">
        <v>0.0</v>
      </c>
    </row>
    <row r="539" ht="15.75" customHeight="1">
      <c r="A539" s="1" t="str">
        <f>IFERROR(__xludf.DUMMYFUNCTION("""COMPUTED_VALUE"""),"Phoenix Merlino")</f>
        <v>Phoenix Merlino</v>
      </c>
      <c r="B539" s="1" t="str">
        <f>IFERROR(__xludf.DUMMYFUNCTION("""COMPUTED_VALUE"""),"L1")</f>
        <v>L1</v>
      </c>
      <c r="C539" s="1" t="str">
        <f t="shared" si="1"/>
        <v>No</v>
      </c>
      <c r="D539" s="1">
        <v>0.0</v>
      </c>
    </row>
    <row r="540" ht="15.75" customHeight="1">
      <c r="A540" s="1" t="str">
        <f>IFERROR(__xludf.DUMMYFUNCTION("""COMPUTED_VALUE"""),"Zoey Finkelstein")</f>
        <v>Zoey Finkelstein</v>
      </c>
      <c r="B540" s="1" t="str">
        <f>IFERROR(__xludf.DUMMYFUNCTION("""COMPUTED_VALUE"""),"HS")</f>
        <v>HS</v>
      </c>
      <c r="C540" s="1" t="str">
        <f t="shared" si="1"/>
        <v>No</v>
      </c>
      <c r="D540" s="1">
        <v>0.0</v>
      </c>
    </row>
    <row r="541" ht="15.75" customHeight="1">
      <c r="A541" s="1" t="str">
        <f>IFERROR(__xludf.DUMMYFUNCTION("""COMPUTED_VALUE"""),"Justin Finkelstein")</f>
        <v>Justin Finkelstein</v>
      </c>
      <c r="B541" s="1" t="str">
        <f>IFERROR(__xludf.DUMMYFUNCTION("""COMPUTED_VALUE"""),"MS")</f>
        <v>MS</v>
      </c>
      <c r="C541" s="1" t="str">
        <f t="shared" si="1"/>
        <v>No</v>
      </c>
      <c r="D541" s="1">
        <v>0.0</v>
      </c>
    </row>
    <row r="542" ht="15.75" customHeight="1">
      <c r="A542" s="1" t="str">
        <f>IFERROR(__xludf.DUMMYFUNCTION("""COMPUTED_VALUE"""),"Myla Morales")</f>
        <v>Myla Morales</v>
      </c>
      <c r="B542" s="1" t="str">
        <f>IFERROR(__xludf.DUMMYFUNCTION("""COMPUTED_VALUE"""),"L2")</f>
        <v>L2</v>
      </c>
      <c r="C542" s="1" t="str">
        <f t="shared" si="1"/>
        <v>No</v>
      </c>
      <c r="D542" s="1">
        <v>0.0</v>
      </c>
    </row>
    <row r="543" ht="15.75" customHeight="1">
      <c r="A543" s="1" t="str">
        <f>IFERROR(__xludf.DUMMYFUNCTION("""COMPUTED_VALUE"""),"Jax Tocicki")</f>
        <v>Jax Tocicki</v>
      </c>
      <c r="B543" s="1" t="str">
        <f>IFERROR(__xludf.DUMMYFUNCTION("""COMPUTED_VALUE"""),"MS")</f>
        <v>MS</v>
      </c>
      <c r="C543" s="1" t="str">
        <f t="shared" si="1"/>
        <v>No</v>
      </c>
      <c r="D543" s="1">
        <v>0.0</v>
      </c>
    </row>
    <row r="544" ht="15.75" customHeight="1">
      <c r="A544" s="1" t="str">
        <f>IFERROR(__xludf.DUMMYFUNCTION("""COMPUTED_VALUE"""),"Alessandra Yepez")</f>
        <v>Alessandra Yepez</v>
      </c>
      <c r="B544" s="1" t="str">
        <f>IFERROR(__xludf.DUMMYFUNCTION("""COMPUTED_VALUE"""),"MS")</f>
        <v>MS</v>
      </c>
      <c r="C544" s="1" t="str">
        <f t="shared" si="1"/>
        <v>No</v>
      </c>
      <c r="D544" s="1">
        <v>0.0</v>
      </c>
    </row>
    <row r="545" ht="15.75" customHeight="1">
      <c r="A545" s="1" t="str">
        <f>IFERROR(__xludf.DUMMYFUNCTION("""COMPUTED_VALUE"""),"Major McDowell")</f>
        <v>Major McDowell</v>
      </c>
      <c r="B545" s="1" t="str">
        <f>IFERROR(__xludf.DUMMYFUNCTION("""COMPUTED_VALUE"""),"L1")</f>
        <v>L1</v>
      </c>
      <c r="C545" s="1" t="str">
        <f t="shared" si="1"/>
        <v>No</v>
      </c>
      <c r="D545" s="1">
        <v>0.0</v>
      </c>
    </row>
    <row r="546" ht="15.75" customHeight="1">
      <c r="A546" s="1" t="str">
        <f>IFERROR(__xludf.DUMMYFUNCTION("""COMPUTED_VALUE"""),"Dev Shamaev")</f>
        <v>Dev Shamaev</v>
      </c>
      <c r="B546" s="1" t="str">
        <f>IFERROR(__xludf.DUMMYFUNCTION("""COMPUTED_VALUE"""),"L1")</f>
        <v>L1</v>
      </c>
      <c r="C546" s="1" t="str">
        <f t="shared" si="1"/>
        <v>No</v>
      </c>
      <c r="D546" s="1">
        <v>0.0</v>
      </c>
    </row>
    <row r="547" ht="15.75" customHeight="1">
      <c r="A547" s="1" t="str">
        <f>IFERROR(__xludf.DUMMYFUNCTION("""COMPUTED_VALUE"""),"Mozzy McDowell")</f>
        <v>Mozzy McDowell</v>
      </c>
      <c r="B547" s="1" t="str">
        <f>IFERROR(__xludf.DUMMYFUNCTION("""COMPUTED_VALUE"""),"MS")</f>
        <v>MS</v>
      </c>
      <c r="C547" s="1" t="str">
        <f t="shared" si="1"/>
        <v>No</v>
      </c>
      <c r="D547" s="1">
        <v>0.0</v>
      </c>
    </row>
    <row r="548" ht="15.75" customHeight="1">
      <c r="A548" s="1" t="str">
        <f>IFERROR(__xludf.DUMMYFUNCTION("""COMPUTED_VALUE"""),"Cory Schatz")</f>
        <v>Cory Schatz</v>
      </c>
      <c r="B548" s="1" t="str">
        <f>IFERROR(__xludf.DUMMYFUNCTION("""COMPUTED_VALUE"""),"MS")</f>
        <v>MS</v>
      </c>
      <c r="C548" s="1" t="str">
        <f t="shared" si="1"/>
        <v>No</v>
      </c>
      <c r="D548" s="1">
        <v>0.0</v>
      </c>
    </row>
    <row r="549" ht="15.75" customHeight="1">
      <c r="A549" s="1" t="str">
        <f>IFERROR(__xludf.DUMMYFUNCTION("""COMPUTED_VALUE"""),"Jay Schatz")</f>
        <v>Jay Schatz</v>
      </c>
      <c r="B549" s="1" t="str">
        <f>IFERROR(__xludf.DUMMYFUNCTION("""COMPUTED_VALUE"""),"L2")</f>
        <v>L2</v>
      </c>
      <c r="C549" s="1" t="str">
        <f t="shared" si="1"/>
        <v>No</v>
      </c>
      <c r="D549" s="1">
        <v>0.0</v>
      </c>
    </row>
    <row r="550" ht="15.75" customHeight="1">
      <c r="A550" s="1" t="str">
        <f>IFERROR(__xludf.DUMMYFUNCTION("""COMPUTED_VALUE"""),"Max Schatz")</f>
        <v>Max Schatz</v>
      </c>
      <c r="B550" s="1" t="str">
        <f>IFERROR(__xludf.DUMMYFUNCTION("""COMPUTED_VALUE"""),"L1")</f>
        <v>L1</v>
      </c>
      <c r="C550" s="1" t="str">
        <f t="shared" si="1"/>
        <v>No</v>
      </c>
      <c r="D550" s="1">
        <v>0.0</v>
      </c>
    </row>
    <row r="551" ht="15.75" customHeight="1">
      <c r="A551" s="1" t="str">
        <f>IFERROR(__xludf.DUMMYFUNCTION("""COMPUTED_VALUE"""),"King Dickson")</f>
        <v>King Dickson</v>
      </c>
      <c r="B551" s="1" t="str">
        <f>IFERROR(__xludf.DUMMYFUNCTION("""COMPUTED_VALUE"""),"L2")</f>
        <v>L2</v>
      </c>
      <c r="C551" s="1" t="str">
        <f t="shared" si="1"/>
        <v>No</v>
      </c>
      <c r="D551" s="1">
        <v>0.0</v>
      </c>
    </row>
    <row r="552" ht="15.75" customHeight="1">
      <c r="A552" s="1" t="str">
        <f>IFERROR(__xludf.DUMMYFUNCTION("""COMPUTED_VALUE"""),"Everett Courtney")</f>
        <v>Everett Courtney</v>
      </c>
      <c r="B552" s="1" t="str">
        <f>IFERROR(__xludf.DUMMYFUNCTION("""COMPUTED_VALUE"""),"L2")</f>
        <v>L2</v>
      </c>
      <c r="C552" s="1" t="str">
        <f t="shared" si="1"/>
        <v>No</v>
      </c>
      <c r="D552" s="1">
        <v>0.0</v>
      </c>
    </row>
    <row r="553" ht="15.75" customHeight="1">
      <c r="A553" s="1" t="str">
        <f>IFERROR(__xludf.DUMMYFUNCTION("""COMPUTED_VALUE"""),"Henry Brittain")</f>
        <v>Henry Brittain</v>
      </c>
      <c r="B553" s="1" t="str">
        <f>IFERROR(__xludf.DUMMYFUNCTION("""COMPUTED_VALUE"""),"MS")</f>
        <v>MS</v>
      </c>
      <c r="C553" s="1" t="str">
        <f t="shared" si="1"/>
        <v>No</v>
      </c>
      <c r="D553" s="1">
        <v>0.0</v>
      </c>
    </row>
    <row r="554" ht="15.75" customHeight="1">
      <c r="A554" s="1" t="str">
        <f>IFERROR(__xludf.DUMMYFUNCTION("""COMPUTED_VALUE"""),"Theoden Tompkins")</f>
        <v>Theoden Tompkins</v>
      </c>
      <c r="B554" s="1" t="str">
        <f>IFERROR(__xludf.DUMMYFUNCTION("""COMPUTED_VALUE"""),"L1")</f>
        <v>L1</v>
      </c>
      <c r="C554" s="1" t="str">
        <f t="shared" si="1"/>
        <v>No</v>
      </c>
      <c r="D554" s="1">
        <v>0.0</v>
      </c>
    </row>
    <row r="555" ht="15.75" customHeight="1">
      <c r="A555" s="1" t="str">
        <f>IFERROR(__xludf.DUMMYFUNCTION("""COMPUTED_VALUE"""),"Thoren Tompkins")</f>
        <v>Thoren Tompkins</v>
      </c>
      <c r="B555" s="1" t="str">
        <f>IFERROR(__xludf.DUMMYFUNCTION("""COMPUTED_VALUE"""),"L1")</f>
        <v>L1</v>
      </c>
      <c r="C555" s="1" t="str">
        <f t="shared" si="1"/>
        <v>No</v>
      </c>
      <c r="D555" s="1">
        <v>0.0</v>
      </c>
    </row>
    <row r="556" ht="15.75" customHeight="1">
      <c r="A556" s="1" t="str">
        <f>IFERROR(__xludf.DUMMYFUNCTION("""COMPUTED_VALUE"""),"Alexander Rodriguez")</f>
        <v>Alexander Rodriguez</v>
      </c>
      <c r="B556" s="1" t="str">
        <f>IFERROR(__xludf.DUMMYFUNCTION("""COMPUTED_VALUE"""),"L2")</f>
        <v>L2</v>
      </c>
      <c r="C556" s="1" t="str">
        <f t="shared" si="1"/>
        <v>No</v>
      </c>
      <c r="D556" s="1">
        <v>0.0</v>
      </c>
    </row>
    <row r="557" ht="15.75" customHeight="1">
      <c r="A557" s="1" t="str">
        <f>IFERROR(__xludf.DUMMYFUNCTION("""COMPUTED_VALUE"""),"Jayden Rodriguez")</f>
        <v>Jayden Rodriguez</v>
      </c>
      <c r="B557" s="1" t="str">
        <f>IFERROR(__xludf.DUMMYFUNCTION("""COMPUTED_VALUE"""),"L1")</f>
        <v>L1</v>
      </c>
      <c r="C557" s="1" t="str">
        <f t="shared" si="1"/>
        <v>No</v>
      </c>
      <c r="D557" s="1">
        <v>0.0</v>
      </c>
    </row>
    <row r="558" ht="15.75" customHeight="1">
      <c r="A558" s="1" t="str">
        <f>IFERROR(__xludf.DUMMYFUNCTION("""COMPUTED_VALUE"""),"Xander Rodriguez")</f>
        <v>Xander Rodriguez</v>
      </c>
      <c r="B558" s="1" t="str">
        <f>IFERROR(__xludf.DUMMYFUNCTION("""COMPUTED_VALUE"""),"L2")</f>
        <v>L2</v>
      </c>
      <c r="C558" s="1" t="str">
        <f t="shared" si="1"/>
        <v>No</v>
      </c>
      <c r="D558" s="1">
        <v>0.0</v>
      </c>
    </row>
    <row r="559" ht="15.75" customHeight="1">
      <c r="A559" s="1" t="str">
        <f>IFERROR(__xludf.DUMMYFUNCTION("""COMPUTED_VALUE"""),"Stella Bonassi")</f>
        <v>Stella Bonassi</v>
      </c>
      <c r="B559" s="1" t="str">
        <f>IFERROR(__xludf.DUMMYFUNCTION("""COMPUTED_VALUE"""),"L2")</f>
        <v>L2</v>
      </c>
      <c r="C559" s="1" t="str">
        <f t="shared" si="1"/>
        <v>No</v>
      </c>
      <c r="D559" s="1">
        <v>0.0</v>
      </c>
    </row>
    <row r="560" ht="15.75" customHeight="1">
      <c r="A560" s="1" t="str">
        <f>IFERROR(__xludf.DUMMYFUNCTION("""COMPUTED_VALUE"""),"Giovanna Bonassi")</f>
        <v>Giovanna Bonassi</v>
      </c>
      <c r="B560" s="1" t="str">
        <f>IFERROR(__xludf.DUMMYFUNCTION("""COMPUTED_VALUE"""),"L1")</f>
        <v>L1</v>
      </c>
      <c r="C560" s="1" t="str">
        <f t="shared" si="1"/>
        <v>No</v>
      </c>
      <c r="D560" s="1">
        <v>0.0</v>
      </c>
    </row>
    <row r="561" ht="15.75" customHeight="1">
      <c r="A561" s="1" t="str">
        <f>IFERROR(__xludf.DUMMYFUNCTION("""COMPUTED_VALUE"""),"Jaxon Earley")</f>
        <v>Jaxon Earley</v>
      </c>
      <c r="B561" s="1" t="str">
        <f>IFERROR(__xludf.DUMMYFUNCTION("""COMPUTED_VALUE"""),"L2")</f>
        <v>L2</v>
      </c>
      <c r="C561" s="1" t="str">
        <f t="shared" si="1"/>
        <v>No</v>
      </c>
      <c r="D561" s="1">
        <v>0.0</v>
      </c>
    </row>
    <row r="562" ht="15.75" customHeight="1">
      <c r="A562" s="1" t="str">
        <f>IFERROR(__xludf.DUMMYFUNCTION("""COMPUTED_VALUE"""),"Nathan Dubon")</f>
        <v>Nathan Dubon</v>
      </c>
      <c r="B562" s="1" t="str">
        <f>IFERROR(__xludf.DUMMYFUNCTION("""COMPUTED_VALUE"""),"MS")</f>
        <v>MS</v>
      </c>
      <c r="C562" s="1" t="str">
        <f t="shared" si="1"/>
        <v>No</v>
      </c>
      <c r="D562" s="1">
        <v>0.0</v>
      </c>
    </row>
    <row r="563" ht="15.75" customHeight="1">
      <c r="A563" s="1" t="str">
        <f>IFERROR(__xludf.DUMMYFUNCTION("""COMPUTED_VALUE"""),"Lane Rioux")</f>
        <v>Lane Rioux</v>
      </c>
      <c r="B563" s="1" t="str">
        <f>IFERROR(__xludf.DUMMYFUNCTION("""COMPUTED_VALUE"""),"L1")</f>
        <v>L1</v>
      </c>
      <c r="C563" s="1" t="str">
        <f t="shared" si="1"/>
        <v>No</v>
      </c>
      <c r="D563" s="1">
        <v>0.0</v>
      </c>
    </row>
    <row r="564" ht="15.75" customHeight="1">
      <c r="A564" s="1" t="str">
        <f>IFERROR(__xludf.DUMMYFUNCTION("""COMPUTED_VALUE"""),"Jetson Wagner")</f>
        <v>Jetson Wagner</v>
      </c>
      <c r="B564" s="1" t="str">
        <f>IFERROR(__xludf.DUMMYFUNCTION("""COMPUTED_VALUE"""),"MS")</f>
        <v>MS</v>
      </c>
      <c r="C564" s="1" t="str">
        <f t="shared" si="1"/>
        <v>No</v>
      </c>
      <c r="D564" s="1">
        <v>0.0</v>
      </c>
    </row>
    <row r="565" ht="15.75" customHeight="1">
      <c r="A565" s="1" t="str">
        <f>IFERROR(__xludf.DUMMYFUNCTION("""COMPUTED_VALUE"""),"Margot Sacks")</f>
        <v>Margot Sacks</v>
      </c>
      <c r="B565" s="1" t="str">
        <f>IFERROR(__xludf.DUMMYFUNCTION("""COMPUTED_VALUE"""),"L1")</f>
        <v>L1</v>
      </c>
      <c r="C565" s="1" t="str">
        <f t="shared" si="1"/>
        <v>No</v>
      </c>
      <c r="D565" s="1">
        <v>0.0</v>
      </c>
    </row>
    <row r="566" ht="15.75" customHeight="1">
      <c r="A566" s="1" t="str">
        <f>IFERROR(__xludf.DUMMYFUNCTION("""COMPUTED_VALUE"""),"Jonah Wagner")</f>
        <v>Jonah Wagner</v>
      </c>
      <c r="B566" s="1" t="str">
        <f>IFERROR(__xludf.DUMMYFUNCTION("""COMPUTED_VALUE"""),"MS")</f>
        <v>MS</v>
      </c>
      <c r="C566" s="1" t="str">
        <f t="shared" si="1"/>
        <v>No</v>
      </c>
      <c r="D566" s="1">
        <v>0.0</v>
      </c>
    </row>
    <row r="567" ht="15.75" customHeight="1">
      <c r="A567" s="1" t="str">
        <f>IFERROR(__xludf.DUMMYFUNCTION("""COMPUTED_VALUE"""),"Everett Delatore")</f>
        <v>Everett Delatore</v>
      </c>
      <c r="B567" s="1" t="str">
        <f>IFERROR(__xludf.DUMMYFUNCTION("""COMPUTED_VALUE"""),"MS")</f>
        <v>MS</v>
      </c>
      <c r="C567" s="1" t="str">
        <f t="shared" si="1"/>
        <v>No</v>
      </c>
      <c r="D567" s="1">
        <v>0.0</v>
      </c>
    </row>
    <row r="568" ht="15.75" customHeight="1">
      <c r="A568" s="1" t="str">
        <f>IFERROR(__xludf.DUMMYFUNCTION("""COMPUTED_VALUE"""),"June Delatore")</f>
        <v>June Delatore</v>
      </c>
      <c r="B568" s="1" t="str">
        <f>IFERROR(__xludf.DUMMYFUNCTION("""COMPUTED_VALUE"""),"MS")</f>
        <v>MS</v>
      </c>
      <c r="C568" s="1" t="str">
        <f t="shared" si="1"/>
        <v>No</v>
      </c>
      <c r="D568" s="1">
        <v>0.0</v>
      </c>
    </row>
    <row r="569" ht="15.75" customHeight="1">
      <c r="A569" s="1" t="str">
        <f>IFERROR(__xludf.DUMMYFUNCTION("""COMPUTED_VALUE"""),"Beatrice Testa")</f>
        <v>Beatrice Testa</v>
      </c>
      <c r="B569" s="1" t="str">
        <f>IFERROR(__xludf.DUMMYFUNCTION("""COMPUTED_VALUE"""),"MS")</f>
        <v>MS</v>
      </c>
      <c r="C569" s="1" t="str">
        <f t="shared" si="1"/>
        <v>No</v>
      </c>
      <c r="D569" s="1">
        <v>0.0</v>
      </c>
    </row>
    <row r="570" ht="15.75" customHeight="1">
      <c r="A570" s="1" t="str">
        <f>IFERROR(__xludf.DUMMYFUNCTION("""COMPUTED_VALUE"""),"Eleanor Weiss")</f>
        <v>Eleanor Weiss</v>
      </c>
      <c r="B570" s="1" t="str">
        <f>IFERROR(__xludf.DUMMYFUNCTION("""COMPUTED_VALUE"""),"L1")</f>
        <v>L1</v>
      </c>
      <c r="C570" s="1" t="str">
        <f t="shared" si="1"/>
        <v>No</v>
      </c>
      <c r="D570" s="1">
        <v>0.0</v>
      </c>
    </row>
    <row r="571" ht="15.75" customHeight="1">
      <c r="A571" s="1" t="str">
        <f>IFERROR(__xludf.DUMMYFUNCTION("""COMPUTED_VALUE"""),"Nathaniel Rice")</f>
        <v>Nathaniel Rice</v>
      </c>
      <c r="B571" s="1" t="str">
        <f>IFERROR(__xludf.DUMMYFUNCTION("""COMPUTED_VALUE"""),"MS")</f>
        <v>MS</v>
      </c>
      <c r="C571" s="1" t="str">
        <f t="shared" si="1"/>
        <v>No</v>
      </c>
      <c r="D571" s="1">
        <v>0.0</v>
      </c>
    </row>
    <row r="572" ht="15.75" customHeight="1">
      <c r="A572" s="1" t="str">
        <f>IFERROR(__xludf.DUMMYFUNCTION("""COMPUTED_VALUE"""),"Samuel Rice")</f>
        <v>Samuel Rice</v>
      </c>
      <c r="B572" s="1" t="str">
        <f>IFERROR(__xludf.DUMMYFUNCTION("""COMPUTED_VALUE"""),"L2")</f>
        <v>L2</v>
      </c>
      <c r="C572" s="1" t="str">
        <f t="shared" si="1"/>
        <v>No</v>
      </c>
      <c r="D572" s="1">
        <v>0.0</v>
      </c>
    </row>
    <row r="573" ht="15.75" customHeight="1">
      <c r="A573" s="1" t="str">
        <f>IFERROR(__xludf.DUMMYFUNCTION("""COMPUTED_VALUE"""),"Evie Sims")</f>
        <v>Evie Sims</v>
      </c>
      <c r="B573" s="1" t="str">
        <f>IFERROR(__xludf.DUMMYFUNCTION("""COMPUTED_VALUE"""),"MS")</f>
        <v>MS</v>
      </c>
      <c r="C573" s="1" t="str">
        <f t="shared" si="1"/>
        <v>No</v>
      </c>
      <c r="D573" s="1">
        <v>0.0</v>
      </c>
    </row>
    <row r="574" ht="15.75" customHeight="1">
      <c r="A574" s="1" t="str">
        <f>IFERROR(__xludf.DUMMYFUNCTION("""COMPUTED_VALUE"""),"Lincoln Kloiber")</f>
        <v>Lincoln Kloiber</v>
      </c>
      <c r="B574" s="1" t="str">
        <f>IFERROR(__xludf.DUMMYFUNCTION("""COMPUTED_VALUE"""),"MS")</f>
        <v>MS</v>
      </c>
      <c r="C574" s="1" t="str">
        <f t="shared" si="1"/>
        <v>No</v>
      </c>
      <c r="D574" s="1">
        <v>0.0</v>
      </c>
    </row>
    <row r="575" ht="15.75" customHeight="1">
      <c r="A575" s="1" t="str">
        <f>IFERROR(__xludf.DUMMYFUNCTION("""COMPUTED_VALUE"""),"Harlow Zack")</f>
        <v>Harlow Zack</v>
      </c>
      <c r="B575" s="1" t="str">
        <f>IFERROR(__xludf.DUMMYFUNCTION("""COMPUTED_VALUE"""),"MS")</f>
        <v>MS</v>
      </c>
      <c r="C575" s="1" t="str">
        <f t="shared" si="1"/>
        <v>No</v>
      </c>
      <c r="D575" s="1">
        <v>0.0</v>
      </c>
    </row>
    <row r="576" ht="15.75" customHeight="1">
      <c r="A576" s="1" t="str">
        <f>IFERROR(__xludf.DUMMYFUNCTION("""COMPUTED_VALUE"""),"Joshua Owen")</f>
        <v>Joshua Owen</v>
      </c>
      <c r="B576" s="1" t="str">
        <f>IFERROR(__xludf.DUMMYFUNCTION("""COMPUTED_VALUE"""),"MS")</f>
        <v>MS</v>
      </c>
      <c r="C576" s="1" t="str">
        <f t="shared" si="1"/>
        <v>No</v>
      </c>
      <c r="D576" s="1">
        <v>0.0</v>
      </c>
    </row>
    <row r="577" ht="15.75" customHeight="1">
      <c r="A577" s="1" t="str">
        <f>IFERROR(__xludf.DUMMYFUNCTION("""COMPUTED_VALUE"""),"Matilda Timonen")</f>
        <v>Matilda Timonen</v>
      </c>
      <c r="B577" s="1" t="str">
        <f>IFERROR(__xludf.DUMMYFUNCTION("""COMPUTED_VALUE"""),"MS")</f>
        <v>MS</v>
      </c>
      <c r="C577" s="1" t="str">
        <f t="shared" si="1"/>
        <v>No</v>
      </c>
      <c r="D577" s="1">
        <v>0.0</v>
      </c>
    </row>
    <row r="578" ht="15.75" customHeight="1">
      <c r="A578" s="1" t="str">
        <f>IFERROR(__xludf.DUMMYFUNCTION("""COMPUTED_VALUE"""),"Sophia Robinson")</f>
        <v>Sophia Robinson</v>
      </c>
      <c r="B578" s="1" t="str">
        <f>IFERROR(__xludf.DUMMYFUNCTION("""COMPUTED_VALUE"""),"L2")</f>
        <v>L2</v>
      </c>
      <c r="C578" s="1" t="str">
        <f t="shared" si="1"/>
        <v>No</v>
      </c>
      <c r="D578" s="1">
        <v>0.0</v>
      </c>
    </row>
    <row r="579" ht="15.75" customHeight="1">
      <c r="A579" s="1" t="str">
        <f>IFERROR(__xludf.DUMMYFUNCTION("""COMPUTED_VALUE"""),"Gavin Fett")</f>
        <v>Gavin Fett</v>
      </c>
      <c r="B579" s="1" t="str">
        <f>IFERROR(__xludf.DUMMYFUNCTION("""COMPUTED_VALUE"""),"L2")</f>
        <v>L2</v>
      </c>
      <c r="C579" s="1" t="str">
        <f t="shared" si="1"/>
        <v>No</v>
      </c>
      <c r="D579" s="1">
        <v>0.0</v>
      </c>
    </row>
    <row r="580" ht="15.75" customHeight="1">
      <c r="A580" s="1" t="str">
        <f>IFERROR(__xludf.DUMMYFUNCTION("""COMPUTED_VALUE"""),"Archie Key")</f>
        <v>Archie Key</v>
      </c>
      <c r="B580" s="1" t="str">
        <f>IFERROR(__xludf.DUMMYFUNCTION("""COMPUTED_VALUE"""),"MS")</f>
        <v>MS</v>
      </c>
      <c r="C580" s="1" t="str">
        <f t="shared" si="1"/>
        <v>No</v>
      </c>
      <c r="D580" s="1">
        <v>0.0</v>
      </c>
    </row>
    <row r="581" ht="15.75" customHeight="1">
      <c r="A581" s="1" t="str">
        <f>IFERROR(__xludf.DUMMYFUNCTION("""COMPUTED_VALUE"""),"Arabella Key")</f>
        <v>Arabella Key</v>
      </c>
      <c r="B581" s="1" t="str">
        <f>IFERROR(__xludf.DUMMYFUNCTION("""COMPUTED_VALUE"""),"MS")</f>
        <v>MS</v>
      </c>
      <c r="C581" s="1" t="str">
        <f t="shared" si="1"/>
        <v>No</v>
      </c>
      <c r="D581" s="1">
        <v>0.0</v>
      </c>
    </row>
    <row r="582" ht="15.75" customHeight="1">
      <c r="A582" s="1" t="str">
        <f>IFERROR(__xludf.DUMMYFUNCTION("""COMPUTED_VALUE"""),"Wesley Karr")</f>
        <v>Wesley Karr</v>
      </c>
      <c r="B582" s="1" t="str">
        <f>IFERROR(__xludf.DUMMYFUNCTION("""COMPUTED_VALUE"""),"L2")</f>
        <v>L2</v>
      </c>
      <c r="C582" s="1" t="str">
        <f t="shared" si="1"/>
        <v>No</v>
      </c>
      <c r="D582" s="1">
        <v>0.0</v>
      </c>
    </row>
    <row r="583" ht="15.75" customHeight="1">
      <c r="A583" s="1" t="str">
        <f>IFERROR(__xludf.DUMMYFUNCTION("""COMPUTED_VALUE"""),"Jackson Wygant")</f>
        <v>Jackson Wygant</v>
      </c>
      <c r="B583" s="1" t="str">
        <f>IFERROR(__xludf.DUMMYFUNCTION("""COMPUTED_VALUE"""),"MS")</f>
        <v>MS</v>
      </c>
      <c r="C583" s="1" t="str">
        <f t="shared" si="1"/>
        <v>No</v>
      </c>
      <c r="D583" s="1">
        <v>0.0</v>
      </c>
    </row>
    <row r="584" ht="15.75" customHeight="1">
      <c r="A584" s="1" t="str">
        <f>IFERROR(__xludf.DUMMYFUNCTION("""COMPUTED_VALUE"""),"Sadie Wygant")</f>
        <v>Sadie Wygant</v>
      </c>
      <c r="B584" s="1" t="str">
        <f>IFERROR(__xludf.DUMMYFUNCTION("""COMPUTED_VALUE"""),"L2")</f>
        <v>L2</v>
      </c>
      <c r="C584" s="1" t="str">
        <f t="shared" si="1"/>
        <v>No</v>
      </c>
      <c r="D584" s="1">
        <v>0.0</v>
      </c>
    </row>
    <row r="585" ht="15.75" customHeight="1">
      <c r="A585" s="1" t="str">
        <f>IFERROR(__xludf.DUMMYFUNCTION("""COMPUTED_VALUE"""),"Olivia Powell")</f>
        <v>Olivia Powell</v>
      </c>
      <c r="B585" s="1" t="str">
        <f>IFERROR(__xludf.DUMMYFUNCTION("""COMPUTED_VALUE"""),"L2")</f>
        <v>L2</v>
      </c>
      <c r="C585" s="1" t="str">
        <f t="shared" si="1"/>
        <v>No</v>
      </c>
      <c r="D585" s="1">
        <v>0.0</v>
      </c>
    </row>
    <row r="586" ht="15.75" customHeight="1">
      <c r="A586" s="1" t="str">
        <f>IFERROR(__xludf.DUMMYFUNCTION("""COMPUTED_VALUE"""),"Kai Powell")</f>
        <v>Kai Powell</v>
      </c>
      <c r="B586" s="1" t="str">
        <f>IFERROR(__xludf.DUMMYFUNCTION("""COMPUTED_VALUE"""),"L1")</f>
        <v>L1</v>
      </c>
      <c r="C586" s="1" t="str">
        <f t="shared" si="1"/>
        <v>No</v>
      </c>
      <c r="D586" s="1">
        <v>0.0</v>
      </c>
    </row>
    <row r="587" ht="15.75" customHeight="1">
      <c r="A587" s="1" t="str">
        <f>IFERROR(__xludf.DUMMYFUNCTION("""COMPUTED_VALUE"""),"Sage Davis")</f>
        <v>Sage Davis</v>
      </c>
      <c r="B587" s="1" t="str">
        <f>IFERROR(__xludf.DUMMYFUNCTION("""COMPUTED_VALUE"""),"L1")</f>
        <v>L1</v>
      </c>
      <c r="C587" s="1" t="str">
        <f t="shared" si="1"/>
        <v>No</v>
      </c>
      <c r="D587" s="1">
        <v>0.0</v>
      </c>
    </row>
    <row r="588" ht="15.75" customHeight="1">
      <c r="A588" s="1" t="str">
        <f>IFERROR(__xludf.DUMMYFUNCTION("""COMPUTED_VALUE"""),"Malaya Hauber")</f>
        <v>Malaya Hauber</v>
      </c>
      <c r="B588" s="1" t="str">
        <f>IFERROR(__xludf.DUMMYFUNCTION("""COMPUTED_VALUE"""),"L2")</f>
        <v>L2</v>
      </c>
      <c r="C588" s="1" t="str">
        <f t="shared" si="1"/>
        <v>No</v>
      </c>
      <c r="D588" s="1">
        <v>0.0</v>
      </c>
    </row>
    <row r="589" ht="15.75" customHeight="1">
      <c r="A589" s="1" t="str">
        <f>IFERROR(__xludf.DUMMYFUNCTION("""COMPUTED_VALUE"""),"Muhammad Saleem")</f>
        <v>Muhammad Saleem</v>
      </c>
      <c r="B589" s="1" t="str">
        <f>IFERROR(__xludf.DUMMYFUNCTION("""COMPUTED_VALUE"""),"MS")</f>
        <v>MS</v>
      </c>
      <c r="C589" s="1" t="str">
        <f t="shared" si="1"/>
        <v>No</v>
      </c>
      <c r="D589" s="1">
        <v>0.0</v>
      </c>
    </row>
    <row r="590" ht="15.75" customHeight="1">
      <c r="A590" s="1" t="str">
        <f>IFERROR(__xludf.DUMMYFUNCTION("""COMPUTED_VALUE"""),"Ethan E")</f>
        <v>Ethan E</v>
      </c>
      <c r="B590" s="1" t="str">
        <f>IFERROR(__xludf.DUMMYFUNCTION("""COMPUTED_VALUE"""),"L1")</f>
        <v>L1</v>
      </c>
      <c r="C590" s="1" t="str">
        <f t="shared" si="1"/>
        <v>No</v>
      </c>
      <c r="D590" s="1">
        <v>0.0</v>
      </c>
    </row>
    <row r="591" ht="15.75" customHeight="1">
      <c r="A591" s="1" t="str">
        <f>IFERROR(__xludf.DUMMYFUNCTION("""COMPUTED_VALUE"""),"Francis Yeager")</f>
        <v>Francis Yeager</v>
      </c>
      <c r="B591" s="1" t="str">
        <f>IFERROR(__xludf.DUMMYFUNCTION("""COMPUTED_VALUE"""),"MS")</f>
        <v>MS</v>
      </c>
      <c r="C591" s="1" t="str">
        <f t="shared" si="1"/>
        <v>No</v>
      </c>
      <c r="D591" s="1">
        <v>0.0</v>
      </c>
    </row>
    <row r="592" ht="15.75" customHeight="1">
      <c r="A592" s="1" t="str">
        <f>IFERROR(__xludf.DUMMYFUNCTION("""COMPUTED_VALUE"""),"John Yeager")</f>
        <v>John Yeager</v>
      </c>
      <c r="B592" s="1" t="str">
        <f>IFERROR(__xludf.DUMMYFUNCTION("""COMPUTED_VALUE"""),"L2")</f>
        <v>L2</v>
      </c>
      <c r="C592" s="1" t="str">
        <f t="shared" si="1"/>
        <v>No</v>
      </c>
      <c r="D592" s="1">
        <v>0.0</v>
      </c>
    </row>
    <row r="593" ht="15.75" customHeight="1">
      <c r="A593" s="1" t="str">
        <f>IFERROR(__xludf.DUMMYFUNCTION("""COMPUTED_VALUE"""),"Hannah Greene")</f>
        <v>Hannah Greene</v>
      </c>
      <c r="B593" s="1" t="str">
        <f>IFERROR(__xludf.DUMMYFUNCTION("""COMPUTED_VALUE"""),"MS")</f>
        <v>MS</v>
      </c>
      <c r="C593" s="1" t="str">
        <f t="shared" si="1"/>
        <v>No</v>
      </c>
      <c r="D593" s="1">
        <v>0.0</v>
      </c>
    </row>
    <row r="594" ht="15.75" customHeight="1">
      <c r="A594" s="1" t="str">
        <f>IFERROR(__xludf.DUMMYFUNCTION("""COMPUTED_VALUE"""),"Jeremiah Greene")</f>
        <v>Jeremiah Greene</v>
      </c>
      <c r="B594" s="1" t="str">
        <f>IFERROR(__xludf.DUMMYFUNCTION("""COMPUTED_VALUE"""),"L1")</f>
        <v>L1</v>
      </c>
      <c r="C594" s="1" t="str">
        <f t="shared" si="1"/>
        <v>No</v>
      </c>
      <c r="D594" s="1">
        <v>0.0</v>
      </c>
    </row>
    <row r="595" ht="15.75" customHeight="1">
      <c r="A595" s="1" t="str">
        <f>IFERROR(__xludf.DUMMYFUNCTION("""COMPUTED_VALUE"""),"Jack Bowes")</f>
        <v>Jack Bowes</v>
      </c>
      <c r="B595" s="1" t="str">
        <f>IFERROR(__xludf.DUMMYFUNCTION("""COMPUTED_VALUE"""),"HS")</f>
        <v>HS</v>
      </c>
      <c r="C595" s="1" t="str">
        <f t="shared" si="1"/>
        <v>No</v>
      </c>
      <c r="D595" s="1">
        <v>0.0</v>
      </c>
    </row>
    <row r="596" ht="15.75" customHeight="1">
      <c r="A596" s="1" t="str">
        <f>IFERROR(__xludf.DUMMYFUNCTION("""COMPUTED_VALUE"""),"Oliver Bowes")</f>
        <v>Oliver Bowes</v>
      </c>
      <c r="B596" s="1" t="str">
        <f>IFERROR(__xludf.DUMMYFUNCTION("""COMPUTED_VALUE"""),"MS")</f>
        <v>MS</v>
      </c>
      <c r="C596" s="1" t="str">
        <f t="shared" si="1"/>
        <v>No</v>
      </c>
      <c r="D596" s="1">
        <v>0.0</v>
      </c>
    </row>
    <row r="597" ht="15.75" customHeight="1">
      <c r="A597" s="1" t="str">
        <f>IFERROR(__xludf.DUMMYFUNCTION("""COMPUTED_VALUE"""),"Mia Bowes")</f>
        <v>Mia Bowes</v>
      </c>
      <c r="B597" s="1" t="str">
        <f>IFERROR(__xludf.DUMMYFUNCTION("""COMPUTED_VALUE"""),"L2")</f>
        <v>L2</v>
      </c>
      <c r="C597" s="1" t="str">
        <f t="shared" si="1"/>
        <v>No</v>
      </c>
      <c r="D597" s="1">
        <v>0.0</v>
      </c>
    </row>
    <row r="598" ht="15.75" customHeight="1">
      <c r="A598" s="1" t="str">
        <f>IFERROR(__xludf.DUMMYFUNCTION("""COMPUTED_VALUE"""),"Rallie Hauber")</f>
        <v>Rallie Hauber</v>
      </c>
      <c r="B598" s="1" t="str">
        <f>IFERROR(__xludf.DUMMYFUNCTION("""COMPUTED_VALUE"""),"MS")</f>
        <v>MS</v>
      </c>
      <c r="C598" s="1" t="str">
        <f t="shared" si="1"/>
        <v>No</v>
      </c>
      <c r="D598" s="1">
        <v>0.0</v>
      </c>
    </row>
    <row r="599" ht="15.75" customHeight="1">
      <c r="A599" s="1" t="str">
        <f>IFERROR(__xludf.DUMMYFUNCTION("""COMPUTED_VALUE"""),"Kiana Karlin")</f>
        <v>Kiana Karlin</v>
      </c>
      <c r="B599" s="1" t="str">
        <f>IFERROR(__xludf.DUMMYFUNCTION("""COMPUTED_VALUE"""),"MS")</f>
        <v>MS</v>
      </c>
      <c r="C599" s="1" t="str">
        <f t="shared" si="1"/>
        <v>No</v>
      </c>
      <c r="D599" s="1">
        <v>0.0</v>
      </c>
    </row>
    <row r="600" ht="15.75" customHeight="1">
      <c r="A600" s="1" t="str">
        <f>IFERROR(__xludf.DUMMYFUNCTION("""COMPUTED_VALUE"""),"Lorenzo Karlin")</f>
        <v>Lorenzo Karlin</v>
      </c>
      <c r="B600" s="1" t="str">
        <f>IFERROR(__xludf.DUMMYFUNCTION("""COMPUTED_VALUE"""),"MS")</f>
        <v>MS</v>
      </c>
      <c r="C600" s="1" t="str">
        <f t="shared" si="1"/>
        <v>No</v>
      </c>
      <c r="D600" s="1">
        <v>0.0</v>
      </c>
    </row>
    <row r="601" ht="15.75" customHeight="1">
      <c r="A601" s="1" t="str">
        <f>IFERROR(__xludf.DUMMYFUNCTION("""COMPUTED_VALUE"""),"Warren Fett")</f>
        <v>Warren Fett</v>
      </c>
      <c r="B601" s="1" t="str">
        <f>IFERROR(__xludf.DUMMYFUNCTION("""COMPUTED_VALUE"""),"MS")</f>
        <v>MS</v>
      </c>
      <c r="C601" s="1" t="str">
        <f t="shared" si="1"/>
        <v>No</v>
      </c>
      <c r="D601" s="1">
        <v>0.0</v>
      </c>
    </row>
    <row r="602" ht="15.75" customHeight="1">
      <c r="A602" s="1" t="str">
        <f>IFERROR(__xludf.DUMMYFUNCTION("""COMPUTED_VALUE"""),"Oaklen Fett")</f>
        <v>Oaklen Fett</v>
      </c>
      <c r="B602" s="1" t="str">
        <f>IFERROR(__xludf.DUMMYFUNCTION("""COMPUTED_VALUE"""),"L2")</f>
        <v>L2</v>
      </c>
      <c r="C602" s="1" t="str">
        <f t="shared" si="1"/>
        <v>No</v>
      </c>
      <c r="D602" s="1">
        <v>0.0</v>
      </c>
    </row>
    <row r="603" ht="15.75" customHeight="1">
      <c r="A603" s="1" t="str">
        <f>IFERROR(__xludf.DUMMYFUNCTION("""COMPUTED_VALUE"""),"Nova Binns")</f>
        <v>Nova Binns</v>
      </c>
      <c r="B603" s="1" t="str">
        <f>IFERROR(__xludf.DUMMYFUNCTION("""COMPUTED_VALUE"""),"L2")</f>
        <v>L2</v>
      </c>
      <c r="C603" s="1" t="str">
        <f t="shared" si="1"/>
        <v>No</v>
      </c>
      <c r="D603" s="1">
        <v>0.0</v>
      </c>
    </row>
    <row r="604" ht="15.75" customHeight="1">
      <c r="A604" s="1" t="str">
        <f>IFERROR(__xludf.DUMMYFUNCTION("""COMPUTED_VALUE"""),"Marco Meyers")</f>
        <v>Marco Meyers</v>
      </c>
      <c r="B604" s="1" t="str">
        <f>IFERROR(__xludf.DUMMYFUNCTION("""COMPUTED_VALUE"""),"L2")</f>
        <v>L2</v>
      </c>
      <c r="C604" s="1" t="str">
        <f t="shared" si="1"/>
        <v>No</v>
      </c>
      <c r="D604" s="1">
        <v>0.0</v>
      </c>
    </row>
    <row r="605" ht="15.75" customHeight="1">
      <c r="A605" s="1" t="str">
        <f>IFERROR(__xludf.DUMMYFUNCTION("""COMPUTED_VALUE"""),"Rowan Specketer")</f>
        <v>Rowan Specketer</v>
      </c>
      <c r="B605" s="1" t="str">
        <f>IFERROR(__xludf.DUMMYFUNCTION("""COMPUTED_VALUE"""),"L1")</f>
        <v>L1</v>
      </c>
      <c r="C605" s="1" t="str">
        <f t="shared" si="1"/>
        <v>No</v>
      </c>
      <c r="D605" s="1">
        <v>0.0</v>
      </c>
    </row>
    <row r="606" ht="15.75" customHeight="1">
      <c r="A606" s="1" t="str">
        <f>IFERROR(__xludf.DUMMYFUNCTION("""COMPUTED_VALUE"""),"Kyra Taneja")</f>
        <v>Kyra Taneja</v>
      </c>
      <c r="B606" s="1" t="str">
        <f>IFERROR(__xludf.DUMMYFUNCTION("""COMPUTED_VALUE"""),"MS")</f>
        <v>MS</v>
      </c>
      <c r="C606" s="1" t="str">
        <f t="shared" si="1"/>
        <v>No</v>
      </c>
      <c r="D606" s="1">
        <v>0.0</v>
      </c>
    </row>
    <row r="607" ht="15.75" customHeight="1">
      <c r="A607" s="1" t="str">
        <f>IFERROR(__xludf.DUMMYFUNCTION("""COMPUTED_VALUE"""),"Analiese Burns")</f>
        <v>Analiese Burns</v>
      </c>
      <c r="B607" s="1" t="str">
        <f>IFERROR(__xludf.DUMMYFUNCTION("""COMPUTED_VALUE"""),"MS")</f>
        <v>MS</v>
      </c>
      <c r="C607" s="1" t="str">
        <f t="shared" si="1"/>
        <v>No</v>
      </c>
      <c r="D607" s="1">
        <v>0.0</v>
      </c>
    </row>
    <row r="608" ht="15.75" customHeight="1">
      <c r="A608" s="1" t="str">
        <f>IFERROR(__xludf.DUMMYFUNCTION("""COMPUTED_VALUE"""),"Griffin Friis")</f>
        <v>Griffin Friis</v>
      </c>
      <c r="B608" s="1" t="str">
        <f>IFERROR(__xludf.DUMMYFUNCTION("""COMPUTED_VALUE"""),"MS")</f>
        <v>MS</v>
      </c>
      <c r="C608" s="1" t="str">
        <f t="shared" si="1"/>
        <v>No</v>
      </c>
      <c r="D608" s="1">
        <v>0.0</v>
      </c>
    </row>
    <row r="609" ht="15.75" customHeight="1">
      <c r="A609" s="1" t="str">
        <f>IFERROR(__xludf.DUMMYFUNCTION("""COMPUTED_VALUE"""),"Poppy Friis")</f>
        <v>Poppy Friis</v>
      </c>
      <c r="B609" s="1" t="str">
        <f>IFERROR(__xludf.DUMMYFUNCTION("""COMPUTED_VALUE"""),"MS")</f>
        <v>MS</v>
      </c>
      <c r="C609" s="1" t="str">
        <f t="shared" si="1"/>
        <v>No</v>
      </c>
      <c r="D609" s="1">
        <v>0.0</v>
      </c>
    </row>
    <row r="610" ht="15.75" customHeight="1">
      <c r="A610" s="1" t="str">
        <f>IFERROR(__xludf.DUMMYFUNCTION("""COMPUTED_VALUE"""),"Evan Andersen")</f>
        <v>Evan Andersen</v>
      </c>
      <c r="B610" s="1" t="str">
        <f>IFERROR(__xludf.DUMMYFUNCTION("""COMPUTED_VALUE"""),"L1")</f>
        <v>L1</v>
      </c>
      <c r="C610" s="1" t="str">
        <f t="shared" si="1"/>
        <v>No</v>
      </c>
      <c r="D610" s="1">
        <v>0.0</v>
      </c>
    </row>
    <row r="611" ht="15.75" customHeight="1">
      <c r="A611" s="1" t="str">
        <f>IFERROR(__xludf.DUMMYFUNCTION("""COMPUTED_VALUE"""),"Gabriel Zarini")</f>
        <v>Gabriel Zarini</v>
      </c>
      <c r="B611" s="1" t="str">
        <f>IFERROR(__xludf.DUMMYFUNCTION("""COMPUTED_VALUE"""),"L1")</f>
        <v>L1</v>
      </c>
      <c r="C611" s="1" t="str">
        <f t="shared" si="1"/>
        <v>No</v>
      </c>
      <c r="D611" s="1">
        <v>0.0</v>
      </c>
    </row>
    <row r="612" ht="15.75" customHeight="1">
      <c r="A612" s="1" t="str">
        <f>IFERROR(__xludf.DUMMYFUNCTION("""COMPUTED_VALUE"""),"Jorge Mateo Mendez")</f>
        <v>Jorge Mateo Mendez</v>
      </c>
      <c r="B612" s="1" t="str">
        <f>IFERROR(__xludf.DUMMYFUNCTION("""COMPUTED_VALUE"""),"MS")</f>
        <v>MS</v>
      </c>
      <c r="C612" s="1" t="str">
        <f t="shared" si="1"/>
        <v>No</v>
      </c>
      <c r="D612" s="1">
        <v>0.0</v>
      </c>
    </row>
    <row r="613" ht="15.75" customHeight="1">
      <c r="A613" s="1" t="str">
        <f>IFERROR(__xludf.DUMMYFUNCTION("""COMPUTED_VALUE"""),"Zahra Malik")</f>
        <v>Zahra Malik</v>
      </c>
      <c r="B613" s="1" t="str">
        <f>IFERROR(__xludf.DUMMYFUNCTION("""COMPUTED_VALUE"""),"L1")</f>
        <v>L1</v>
      </c>
      <c r="C613" s="1" t="str">
        <f t="shared" si="1"/>
        <v>No</v>
      </c>
      <c r="D613" s="1">
        <v>0.0</v>
      </c>
    </row>
    <row r="614" ht="15.75" customHeight="1">
      <c r="A614" s="1" t="str">
        <f>IFERROR(__xludf.DUMMYFUNCTION("""COMPUTED_VALUE"""),"Yusuf Malik")</f>
        <v>Yusuf Malik</v>
      </c>
      <c r="B614" s="1" t="str">
        <f>IFERROR(__xludf.DUMMYFUNCTION("""COMPUTED_VALUE"""),"LL")</f>
        <v>LL</v>
      </c>
      <c r="C614" s="1" t="str">
        <f t="shared" si="1"/>
        <v>No</v>
      </c>
      <c r="D614" s="1">
        <v>0.0</v>
      </c>
    </row>
    <row r="615" ht="15.75" customHeight="1">
      <c r="A615" s="1" t="str">
        <f>IFERROR(__xludf.DUMMYFUNCTION("""COMPUTED_VALUE"""),"Alessandra La Francesca")</f>
        <v>Alessandra La Francesca</v>
      </c>
      <c r="B615" s="1" t="str">
        <f>IFERROR(__xludf.DUMMYFUNCTION("""COMPUTED_VALUE"""),"MS")</f>
        <v>MS</v>
      </c>
      <c r="C615" s="1" t="str">
        <f t="shared" si="1"/>
        <v>No</v>
      </c>
      <c r="D615" s="1">
        <v>0.0</v>
      </c>
    </row>
    <row r="616" ht="15.75" customHeight="1">
      <c r="A616" s="1" t="str">
        <f>IFERROR(__xludf.DUMMYFUNCTION("""COMPUTED_VALUE"""),"Emerson LaFont")</f>
        <v>Emerson LaFont</v>
      </c>
      <c r="B616" s="1" t="str">
        <f>IFERROR(__xludf.DUMMYFUNCTION("""COMPUTED_VALUE"""),"MS")</f>
        <v>MS</v>
      </c>
      <c r="C616" s="1" t="str">
        <f t="shared" si="1"/>
        <v>No</v>
      </c>
      <c r="D616" s="1">
        <v>0.0</v>
      </c>
    </row>
    <row r="617" ht="15.75" customHeight="1">
      <c r="A617" s="1" t="str">
        <f>IFERROR(__xludf.DUMMYFUNCTION("""COMPUTED_VALUE"""),"Brynn Wamberg")</f>
        <v>Brynn Wamberg</v>
      </c>
      <c r="B617" s="1" t="str">
        <f>IFERROR(__xludf.DUMMYFUNCTION("""COMPUTED_VALUE"""),"L2")</f>
        <v>L2</v>
      </c>
      <c r="C617" s="1" t="str">
        <f t="shared" si="1"/>
        <v>No</v>
      </c>
      <c r="D617" s="1">
        <v>0.0</v>
      </c>
    </row>
    <row r="618" ht="15.75" customHeight="1">
      <c r="A618" s="1" t="str">
        <f>IFERROR(__xludf.DUMMYFUNCTION("""COMPUTED_VALUE"""),"Elora Wamberg")</f>
        <v>Elora Wamberg</v>
      </c>
      <c r="B618" s="1" t="str">
        <f>IFERROR(__xludf.DUMMYFUNCTION("""COMPUTED_VALUE"""),"L1")</f>
        <v>L1</v>
      </c>
      <c r="C618" s="1" t="str">
        <f t="shared" si="1"/>
        <v>No</v>
      </c>
      <c r="D618" s="1">
        <v>0.0</v>
      </c>
    </row>
    <row r="619" ht="15.75" customHeight="1">
      <c r="A619" s="1" t="str">
        <f>IFERROR(__xludf.DUMMYFUNCTION("""COMPUTED_VALUE"""),"Hassan Abdullah")</f>
        <v>Hassan Abdullah</v>
      </c>
      <c r="B619" s="1" t="str">
        <f>IFERROR(__xludf.DUMMYFUNCTION("""COMPUTED_VALUE"""),"L1")</f>
        <v>L1</v>
      </c>
      <c r="C619" s="1" t="str">
        <f t="shared" si="1"/>
        <v>No</v>
      </c>
      <c r="D619" s="1">
        <v>0.0</v>
      </c>
    </row>
    <row r="620" ht="15.75" customHeight="1">
      <c r="A620" s="1" t="str">
        <f>IFERROR(__xludf.DUMMYFUNCTION("""COMPUTED_VALUE"""),"Myah Brewington")</f>
        <v>Myah Brewington</v>
      </c>
      <c r="B620" s="1" t="str">
        <f>IFERROR(__xludf.DUMMYFUNCTION("""COMPUTED_VALUE"""),"MS")</f>
        <v>MS</v>
      </c>
      <c r="C620" s="1" t="str">
        <f t="shared" si="1"/>
        <v>No</v>
      </c>
      <c r="D620" s="1">
        <v>0.0</v>
      </c>
    </row>
    <row r="621" ht="15.75" customHeight="1">
      <c r="A621" s="1" t="str">
        <f>IFERROR(__xludf.DUMMYFUNCTION("""COMPUTED_VALUE"""),"Houston Radack")</f>
        <v>Houston Radack</v>
      </c>
      <c r="B621" s="1" t="str">
        <f>IFERROR(__xludf.DUMMYFUNCTION("""COMPUTED_VALUE"""),"MS")</f>
        <v>MS</v>
      </c>
      <c r="C621" s="1" t="str">
        <f t="shared" si="1"/>
        <v>No</v>
      </c>
      <c r="D621" s="1">
        <v>0.0</v>
      </c>
    </row>
    <row r="622" ht="15.75" customHeight="1">
      <c r="A622" s="1" t="str">
        <f>IFERROR(__xludf.DUMMYFUNCTION("""COMPUTED_VALUE"""),"Lux Weinbrandt")</f>
        <v>Lux Weinbrandt</v>
      </c>
      <c r="B622" s="1" t="str">
        <f>IFERROR(__xludf.DUMMYFUNCTION("""COMPUTED_VALUE"""),"L2")</f>
        <v>L2</v>
      </c>
      <c r="C622" s="1" t="str">
        <f t="shared" si="1"/>
        <v>No</v>
      </c>
      <c r="D622" s="1">
        <v>0.0</v>
      </c>
    </row>
    <row r="623" ht="15.75" customHeight="1">
      <c r="A623" s="1" t="str">
        <f>IFERROR(__xludf.DUMMYFUNCTION("""COMPUTED_VALUE"""),"Lyla Allen")</f>
        <v>Lyla Allen</v>
      </c>
      <c r="B623" s="1" t="str">
        <f>IFERROR(__xludf.DUMMYFUNCTION("""COMPUTED_VALUE"""),"MS")</f>
        <v>MS</v>
      </c>
      <c r="C623" s="1" t="str">
        <f t="shared" si="1"/>
        <v>No</v>
      </c>
      <c r="D623" s="1">
        <v>0.0</v>
      </c>
    </row>
    <row r="624" ht="15.75" customHeight="1">
      <c r="A624" s="1" t="str">
        <f>IFERROR(__xludf.DUMMYFUNCTION("""COMPUTED_VALUE"""),"Delilah Bowman")</f>
        <v>Delilah Bowman</v>
      </c>
      <c r="B624" s="1" t="str">
        <f>IFERROR(__xludf.DUMMYFUNCTION("""COMPUTED_VALUE"""),"MS")</f>
        <v>MS</v>
      </c>
      <c r="C624" s="1" t="str">
        <f t="shared" si="1"/>
        <v>No</v>
      </c>
      <c r="D624" s="1">
        <v>0.0</v>
      </c>
    </row>
    <row r="625" ht="15.75" customHeight="1">
      <c r="A625" s="1" t="str">
        <f>IFERROR(__xludf.DUMMYFUNCTION("""COMPUTED_VALUE"""),"Siena Esquell")</f>
        <v>Siena Esquell</v>
      </c>
      <c r="B625" s="1" t="str">
        <f>IFERROR(__xludf.DUMMYFUNCTION("""COMPUTED_VALUE"""),"L2")</f>
        <v>L2</v>
      </c>
      <c r="C625" s="1" t="str">
        <f t="shared" si="1"/>
        <v>No</v>
      </c>
      <c r="D625" s="1">
        <v>0.0</v>
      </c>
    </row>
    <row r="626" ht="15.75" customHeight="1">
      <c r="A626" s="1" t="str">
        <f>IFERROR(__xludf.DUMMYFUNCTION("""COMPUTED_VALUE"""),"Jack Tomasik")</f>
        <v>Jack Tomasik</v>
      </c>
      <c r="B626" s="1" t="str">
        <f>IFERROR(__xludf.DUMMYFUNCTION("""COMPUTED_VALUE"""),"LL")</f>
        <v>LL</v>
      </c>
      <c r="C626" s="1" t="str">
        <f t="shared" si="1"/>
        <v>No</v>
      </c>
      <c r="D626" s="1">
        <v>0.0</v>
      </c>
    </row>
    <row r="627" ht="15.75" customHeight="1">
      <c r="A627" s="1" t="str">
        <f>IFERROR(__xludf.DUMMYFUNCTION("""COMPUTED_VALUE"""),"Huckleberry Goodwill")</f>
        <v>Huckleberry Goodwill</v>
      </c>
      <c r="B627" s="1" t="str">
        <f>IFERROR(__xludf.DUMMYFUNCTION("""COMPUTED_VALUE"""),"L1")</f>
        <v>L1</v>
      </c>
      <c r="C627" s="1" t="str">
        <f t="shared" si="1"/>
        <v>No</v>
      </c>
      <c r="D627" s="1">
        <v>0.0</v>
      </c>
    </row>
    <row r="628" ht="15.75" customHeight="1">
      <c r="A628" s="1" t="str">
        <f>IFERROR(__xludf.DUMMYFUNCTION("""COMPUTED_VALUE"""),"Kade Mantei")</f>
        <v>Kade Mantei</v>
      </c>
      <c r="B628" s="1" t="str">
        <f>IFERROR(__xludf.DUMMYFUNCTION("""COMPUTED_VALUE"""),"MS")</f>
        <v>MS</v>
      </c>
      <c r="C628" s="1" t="str">
        <f t="shared" si="1"/>
        <v>No</v>
      </c>
      <c r="D628" s="1">
        <v>0.0</v>
      </c>
    </row>
    <row r="629" ht="15.75" customHeight="1">
      <c r="A629" s="1" t="str">
        <f>IFERROR(__xludf.DUMMYFUNCTION("""COMPUTED_VALUE"""),"Kylie Morris")</f>
        <v>Kylie Morris</v>
      </c>
      <c r="B629" s="1" t="str">
        <f>IFERROR(__xludf.DUMMYFUNCTION("""COMPUTED_VALUE"""),"HS")</f>
        <v>HS</v>
      </c>
      <c r="C629" s="1" t="str">
        <f t="shared" si="1"/>
        <v>No</v>
      </c>
      <c r="D629" s="1">
        <v>0.0</v>
      </c>
    </row>
    <row r="630" ht="15.75" customHeight="1">
      <c r="A630" s="1" t="str">
        <f>IFERROR(__xludf.DUMMYFUNCTION("""COMPUTED_VALUE"""),"Isaiah Morris")</f>
        <v>Isaiah Morris</v>
      </c>
      <c r="B630" s="1" t="str">
        <f>IFERROR(__xludf.DUMMYFUNCTION("""COMPUTED_VALUE"""),"MS")</f>
        <v>MS</v>
      </c>
      <c r="C630" s="1" t="str">
        <f t="shared" si="1"/>
        <v>No</v>
      </c>
      <c r="D630" s="1">
        <v>0.0</v>
      </c>
    </row>
    <row r="631" ht="15.75" customHeight="1">
      <c r="A631" s="1" t="str">
        <f>IFERROR(__xludf.DUMMYFUNCTION("""COMPUTED_VALUE"""),"Jeremiah Morris")</f>
        <v>Jeremiah Morris</v>
      </c>
      <c r="B631" s="1" t="str">
        <f>IFERROR(__xludf.DUMMYFUNCTION("""COMPUTED_VALUE"""),"L2")</f>
        <v>L2</v>
      </c>
      <c r="C631" s="1" t="str">
        <f t="shared" si="1"/>
        <v>No</v>
      </c>
      <c r="D631" s="1">
        <v>0.0</v>
      </c>
    </row>
    <row r="632" ht="15.75" customHeight="1">
      <c r="A632" s="1" t="str">
        <f>IFERROR(__xludf.DUMMYFUNCTION("""COMPUTED_VALUE"""),"Ryan Khin")</f>
        <v>Ryan Khin</v>
      </c>
      <c r="B632" s="1" t="str">
        <f>IFERROR(__xludf.DUMMYFUNCTION("""COMPUTED_VALUE"""),"L1")</f>
        <v>L1</v>
      </c>
      <c r="C632" s="1" t="str">
        <f t="shared" si="1"/>
        <v>No</v>
      </c>
      <c r="D632" s="1">
        <v>0.0</v>
      </c>
    </row>
    <row r="633" ht="15.75" customHeight="1">
      <c r="A633" s="1" t="str">
        <f>IFERROR(__xludf.DUMMYFUNCTION("""COMPUTED_VALUE"""),"Charlie Layton")</f>
        <v>Charlie Layton</v>
      </c>
      <c r="B633" s="1" t="str">
        <f>IFERROR(__xludf.DUMMYFUNCTION("""COMPUTED_VALUE"""),"MS")</f>
        <v>MS</v>
      </c>
      <c r="C633" s="1" t="str">
        <f t="shared" si="1"/>
        <v>No</v>
      </c>
      <c r="D633" s="1">
        <v>0.0</v>
      </c>
    </row>
    <row r="634" ht="15.75" customHeight="1">
      <c r="A634" s="1" t="str">
        <f>IFERROR(__xludf.DUMMYFUNCTION("""COMPUTED_VALUE"""),"James Traina")</f>
        <v>James Traina</v>
      </c>
      <c r="B634" s="1" t="str">
        <f>IFERROR(__xludf.DUMMYFUNCTION("""COMPUTED_VALUE"""),"L2")</f>
        <v>L2</v>
      </c>
      <c r="C634" s="1" t="str">
        <f t="shared" si="1"/>
        <v>No</v>
      </c>
      <c r="D634" s="1">
        <v>0.0</v>
      </c>
    </row>
    <row r="635" ht="15.75" customHeight="1">
      <c r="A635" s="1" t="str">
        <f>IFERROR(__xludf.DUMMYFUNCTION("""COMPUTED_VALUE"""),"Joseph Traina")</f>
        <v>Joseph Traina</v>
      </c>
      <c r="B635" s="1" t="str">
        <f>IFERROR(__xludf.DUMMYFUNCTION("""COMPUTED_VALUE"""),"MS")</f>
        <v>MS</v>
      </c>
      <c r="C635" s="1" t="str">
        <f t="shared" si="1"/>
        <v>No</v>
      </c>
      <c r="D635" s="1">
        <v>0.0</v>
      </c>
    </row>
    <row r="636" ht="15.75" customHeight="1">
      <c r="A636" s="1" t="str">
        <f>IFERROR(__xludf.DUMMYFUNCTION("""COMPUTED_VALUE"""),"Lilly Aquino")</f>
        <v>Lilly Aquino</v>
      </c>
      <c r="B636" s="1" t="str">
        <f>IFERROR(__xludf.DUMMYFUNCTION("""COMPUTED_VALUE"""),"L2")</f>
        <v>L2</v>
      </c>
      <c r="C636" s="1" t="str">
        <f t="shared" si="1"/>
        <v>No</v>
      </c>
      <c r="D636" s="1">
        <v>0.0</v>
      </c>
    </row>
    <row r="637" ht="15.75" customHeight="1">
      <c r="A637" s="1" t="str">
        <f>IFERROR(__xludf.DUMMYFUNCTION("""COMPUTED_VALUE"""),"Vivianne Fett")</f>
        <v>Vivianne Fett</v>
      </c>
      <c r="B637" s="1" t="str">
        <f>IFERROR(__xludf.DUMMYFUNCTION("""COMPUTED_VALUE"""),"L1")</f>
        <v>L1</v>
      </c>
      <c r="C637" s="1" t="str">
        <f t="shared" si="1"/>
        <v>No</v>
      </c>
      <c r="D637" s="1">
        <v>0.0</v>
      </c>
    </row>
    <row r="638" ht="15.75" customHeight="1">
      <c r="A638" s="1" t="str">
        <f>IFERROR(__xludf.DUMMYFUNCTION("""COMPUTED_VALUE"""),"Yusuf Ali Khan")</f>
        <v>Yusuf Ali Khan</v>
      </c>
      <c r="B638" s="1" t="str">
        <f>IFERROR(__xludf.DUMMYFUNCTION("""COMPUTED_VALUE"""),"L1")</f>
        <v>L1</v>
      </c>
      <c r="C638" s="1" t="str">
        <f t="shared" si="1"/>
        <v>No</v>
      </c>
      <c r="D638" s="1">
        <v>0.0</v>
      </c>
    </row>
    <row r="639" ht="15.75" customHeight="1">
      <c r="A639" s="1" t="str">
        <f>IFERROR(__xludf.DUMMYFUNCTION("""COMPUTED_VALUE"""),"Kingston Hungerford")</f>
        <v>Kingston Hungerford</v>
      </c>
      <c r="B639" s="1" t="str">
        <f>IFERROR(__xludf.DUMMYFUNCTION("""COMPUTED_VALUE"""),"L2")</f>
        <v>L2</v>
      </c>
      <c r="C639" s="1" t="str">
        <f t="shared" si="1"/>
        <v>No</v>
      </c>
      <c r="D639" s="1">
        <v>0.0</v>
      </c>
    </row>
    <row r="640" ht="15.75" customHeight="1">
      <c r="A640" s="1" t="str">
        <f>IFERROR(__xludf.DUMMYFUNCTION("""COMPUTED_VALUE"""),"Charlie Gardner")</f>
        <v>Charlie Gardner</v>
      </c>
      <c r="B640" s="1" t="str">
        <f>IFERROR(__xludf.DUMMYFUNCTION("""COMPUTED_VALUE"""),"MS")</f>
        <v>MS</v>
      </c>
      <c r="C640" s="1" t="str">
        <f t="shared" si="1"/>
        <v>No</v>
      </c>
      <c r="D640" s="1">
        <v>0.0</v>
      </c>
    </row>
    <row r="641" ht="15.75" customHeight="1">
      <c r="A641" s="1" t="str">
        <f>IFERROR(__xludf.DUMMYFUNCTION("""COMPUTED_VALUE"""),"Tristan Rowley")</f>
        <v>Tristan Rowley</v>
      </c>
      <c r="B641" s="1" t="str">
        <f>IFERROR(__xludf.DUMMYFUNCTION("""COMPUTED_VALUE"""),"L2")</f>
        <v>L2</v>
      </c>
      <c r="C641" s="1" t="str">
        <f t="shared" si="1"/>
        <v>No</v>
      </c>
      <c r="D641" s="1">
        <v>0.0</v>
      </c>
    </row>
    <row r="642" ht="15.75" customHeight="1">
      <c r="A642" s="1" t="str">
        <f>IFERROR(__xludf.DUMMYFUNCTION("""COMPUTED_VALUE"""),"Alex Beck")</f>
        <v>Alex Beck</v>
      </c>
      <c r="B642" s="1" t="str">
        <f>IFERROR(__xludf.DUMMYFUNCTION("""COMPUTED_VALUE"""),"L2")</f>
        <v>L2</v>
      </c>
      <c r="C642" s="1" t="str">
        <f t="shared" si="1"/>
        <v>No</v>
      </c>
      <c r="D642" s="1">
        <v>0.0</v>
      </c>
    </row>
    <row r="643" ht="15.75" customHeight="1">
      <c r="A643" s="1" t="str">
        <f>IFERROR(__xludf.DUMMYFUNCTION("""COMPUTED_VALUE"""),"Camberly Rowley")</f>
        <v>Camberly Rowley</v>
      </c>
      <c r="B643" s="1" t="str">
        <f>IFERROR(__xludf.DUMMYFUNCTION("""COMPUTED_VALUE"""),"L2")</f>
        <v>L2</v>
      </c>
      <c r="C643" s="1" t="str">
        <f t="shared" si="1"/>
        <v>No</v>
      </c>
      <c r="D643" s="1">
        <v>0.0</v>
      </c>
    </row>
    <row r="644" ht="15.75" customHeight="1">
      <c r="A644" s="1" t="str">
        <f>IFERROR(__xludf.DUMMYFUNCTION("""COMPUTED_VALUE"""),"Sage Rowley")</f>
        <v>Sage Rowley</v>
      </c>
      <c r="B644" s="1" t="str">
        <f>IFERROR(__xludf.DUMMYFUNCTION("""COMPUTED_VALUE"""),"LL")</f>
        <v>LL</v>
      </c>
      <c r="C644" s="1" t="str">
        <f t="shared" si="1"/>
        <v>No</v>
      </c>
      <c r="D644" s="1">
        <v>0.0</v>
      </c>
    </row>
    <row r="645" ht="15.75" customHeight="1">
      <c r="A645" s="1" t="str">
        <f>IFERROR(__xludf.DUMMYFUNCTION("""COMPUTED_VALUE"""),"Charlie Burns")</f>
        <v>Charlie Burns</v>
      </c>
      <c r="B645" s="1" t="str">
        <f>IFERROR(__xludf.DUMMYFUNCTION("""COMPUTED_VALUE"""),"MS")</f>
        <v>MS</v>
      </c>
      <c r="C645" s="1" t="str">
        <f t="shared" si="1"/>
        <v>No</v>
      </c>
      <c r="D645" s="1">
        <v>0.0</v>
      </c>
    </row>
    <row r="646" ht="15.75" customHeight="1">
      <c r="A646" s="1" t="str">
        <f>IFERROR(__xludf.DUMMYFUNCTION("""COMPUTED_VALUE"""),"Allie Schaefer")</f>
        <v>Allie Schaefer</v>
      </c>
      <c r="B646" s="1" t="str">
        <f>IFERROR(__xludf.DUMMYFUNCTION("""COMPUTED_VALUE"""),"L1")</f>
        <v>L1</v>
      </c>
      <c r="C646" s="1" t="str">
        <f t="shared" si="1"/>
        <v>No</v>
      </c>
      <c r="D646" s="1">
        <v>0.0</v>
      </c>
    </row>
    <row r="647" ht="15.75" customHeight="1">
      <c r="A647" s="1" t="str">
        <f>IFERROR(__xludf.DUMMYFUNCTION("""COMPUTED_VALUE"""),"Keegan Schaefer")</f>
        <v>Keegan Schaefer</v>
      </c>
      <c r="B647" s="1" t="str">
        <f>IFERROR(__xludf.DUMMYFUNCTION("""COMPUTED_VALUE"""),"HS")</f>
        <v>HS</v>
      </c>
      <c r="C647" s="1" t="str">
        <f t="shared" si="1"/>
        <v>No</v>
      </c>
      <c r="D647" s="1">
        <v>0.0</v>
      </c>
    </row>
    <row r="648" ht="15.75" customHeight="1">
      <c r="A648" s="1" t="str">
        <f>IFERROR(__xludf.DUMMYFUNCTION("""COMPUTED_VALUE"""),"Micah Grove")</f>
        <v>Micah Grove</v>
      </c>
      <c r="B648" s="1" t="str">
        <f>IFERROR(__xludf.DUMMYFUNCTION("""COMPUTED_VALUE"""),"L1")</f>
        <v>L1</v>
      </c>
      <c r="C648" s="1" t="str">
        <f t="shared" si="1"/>
        <v>No</v>
      </c>
      <c r="D648" s="1">
        <v>0.0</v>
      </c>
    </row>
    <row r="649" ht="15.75" customHeight="1">
      <c r="A649" s="1" t="str">
        <f>IFERROR(__xludf.DUMMYFUNCTION("""COMPUTED_VALUE"""),"Myles Bartley")</f>
        <v>Myles Bartley</v>
      </c>
      <c r="B649" s="1" t="str">
        <f>IFERROR(__xludf.DUMMYFUNCTION("""COMPUTED_VALUE"""),"MS")</f>
        <v>MS</v>
      </c>
      <c r="C649" s="1" t="str">
        <f t="shared" si="1"/>
        <v>No</v>
      </c>
      <c r="D649" s="1">
        <v>0.0</v>
      </c>
    </row>
    <row r="650" ht="15.75" customHeight="1">
      <c r="A650" s="1" t="str">
        <f>IFERROR(__xludf.DUMMYFUNCTION("""COMPUTED_VALUE"""),"Olivia Bartley")</f>
        <v>Olivia Bartley</v>
      </c>
      <c r="B650" s="1" t="str">
        <f>IFERROR(__xludf.DUMMYFUNCTION("""COMPUTED_VALUE"""),"L1")</f>
        <v>L1</v>
      </c>
      <c r="C650" s="1" t="str">
        <f t="shared" si="1"/>
        <v>No</v>
      </c>
      <c r="D650" s="1">
        <v>0.0</v>
      </c>
    </row>
    <row r="651" ht="15.75" customHeight="1">
      <c r="A651" s="1" t="str">
        <f>IFERROR(__xludf.DUMMYFUNCTION("""COMPUTED_VALUE"""),"Langston Bartley")</f>
        <v>Langston Bartley</v>
      </c>
      <c r="B651" s="1" t="str">
        <f>IFERROR(__xludf.DUMMYFUNCTION("""COMPUTED_VALUE"""),"HS")</f>
        <v>HS</v>
      </c>
      <c r="C651" s="1" t="str">
        <f t="shared" si="1"/>
        <v>No</v>
      </c>
      <c r="D651" s="1">
        <v>0.0</v>
      </c>
    </row>
    <row r="652" ht="15.75" customHeight="1">
      <c r="A652" s="1" t="str">
        <f>IFERROR(__xludf.DUMMYFUNCTION("""COMPUTED_VALUE"""),"Maksim Kroger")</f>
        <v>Maksim Kroger</v>
      </c>
      <c r="B652" s="1" t="str">
        <f>IFERROR(__xludf.DUMMYFUNCTION("""COMPUTED_VALUE"""),"MS")</f>
        <v>MS</v>
      </c>
      <c r="C652" s="1" t="str">
        <f t="shared" si="1"/>
        <v>No</v>
      </c>
      <c r="D652" s="1">
        <v>0.0</v>
      </c>
    </row>
    <row r="653" ht="15.75" customHeight="1">
      <c r="A653" s="1" t="str">
        <f>IFERROR(__xludf.DUMMYFUNCTION("""COMPUTED_VALUE"""),"Deklan Kroger")</f>
        <v>Deklan Kroger</v>
      </c>
      <c r="B653" s="1" t="str">
        <f>IFERROR(__xludf.DUMMYFUNCTION("""COMPUTED_VALUE"""),"MS")</f>
        <v>MS</v>
      </c>
      <c r="C653" s="1" t="str">
        <f t="shared" si="1"/>
        <v>No</v>
      </c>
      <c r="D653" s="1">
        <v>0.0</v>
      </c>
    </row>
    <row r="654" ht="15.75" customHeight="1">
      <c r="A654" s="1" t="str">
        <f>IFERROR(__xludf.DUMMYFUNCTION("""COMPUTED_VALUE"""),"Pippa Hyrne")</f>
        <v>Pippa Hyrne</v>
      </c>
      <c r="B654" s="1" t="str">
        <f>IFERROR(__xludf.DUMMYFUNCTION("""COMPUTED_VALUE"""),"MS")</f>
        <v>MS</v>
      </c>
      <c r="C654" s="1" t="str">
        <f t="shared" si="1"/>
        <v>No</v>
      </c>
      <c r="D654" s="1">
        <v>0.0</v>
      </c>
    </row>
    <row r="655" ht="15.75" customHeight="1">
      <c r="A655" s="1" t="str">
        <f>IFERROR(__xludf.DUMMYFUNCTION("""COMPUTED_VALUE"""),"Stella Hyrne")</f>
        <v>Stella Hyrne</v>
      </c>
      <c r="B655" s="1" t="str">
        <f>IFERROR(__xludf.DUMMYFUNCTION("""COMPUTED_VALUE"""),"HS")</f>
        <v>HS</v>
      </c>
      <c r="C655" s="1" t="str">
        <f t="shared" si="1"/>
        <v>No</v>
      </c>
      <c r="D655" s="1">
        <v>0.0</v>
      </c>
    </row>
    <row r="656" ht="15.75" customHeight="1">
      <c r="A656" s="1" t="str">
        <f>IFERROR(__xludf.DUMMYFUNCTION("""COMPUTED_VALUE"""),"Joseph Stefanelli")</f>
        <v>Joseph Stefanelli</v>
      </c>
      <c r="B656" s="1" t="str">
        <f>IFERROR(__xludf.DUMMYFUNCTION("""COMPUTED_VALUE"""),"MS")</f>
        <v>MS</v>
      </c>
      <c r="C656" s="1" t="str">
        <f t="shared" si="1"/>
        <v>No</v>
      </c>
      <c r="D656" s="1">
        <v>0.0</v>
      </c>
    </row>
    <row r="657" ht="15.75" customHeight="1">
      <c r="A657" s="1" t="str">
        <f>IFERROR(__xludf.DUMMYFUNCTION("""COMPUTED_VALUE"""),"Gavin Gardner")</f>
        <v>Gavin Gardner</v>
      </c>
      <c r="B657" s="1" t="str">
        <f>IFERROR(__xludf.DUMMYFUNCTION("""COMPUTED_VALUE"""),"MS")</f>
        <v>MS</v>
      </c>
      <c r="C657" s="1" t="str">
        <f t="shared" si="1"/>
        <v>No</v>
      </c>
      <c r="D657" s="1">
        <v>0.0</v>
      </c>
    </row>
    <row r="658" ht="15.75" customHeight="1">
      <c r="A658" s="1" t="str">
        <f>IFERROR(__xludf.DUMMYFUNCTION("""COMPUTED_VALUE"""),"Willa Martin")</f>
        <v>Willa Martin</v>
      </c>
      <c r="B658" s="1" t="str">
        <f>IFERROR(__xludf.DUMMYFUNCTION("""COMPUTED_VALUE"""),"L2")</f>
        <v>L2</v>
      </c>
      <c r="C658" s="1" t="str">
        <f t="shared" si="1"/>
        <v>No</v>
      </c>
      <c r="D658" s="1">
        <v>0.0</v>
      </c>
    </row>
    <row r="659" ht="15.75" customHeight="1">
      <c r="A659" s="1" t="str">
        <f>IFERROR(__xludf.DUMMYFUNCTION("""COMPUTED_VALUE"""),"Elizabeth Marquardt")</f>
        <v>Elizabeth Marquardt</v>
      </c>
      <c r="B659" s="1" t="str">
        <f>IFERROR(__xludf.DUMMYFUNCTION("""COMPUTED_VALUE"""),"MS")</f>
        <v>MS</v>
      </c>
      <c r="C659" s="1" t="str">
        <f t="shared" si="1"/>
        <v>No</v>
      </c>
      <c r="D659" s="1">
        <v>0.0</v>
      </c>
    </row>
    <row r="660" ht="15.75" customHeight="1">
      <c r="A660" s="1" t="str">
        <f>IFERROR(__xludf.DUMMYFUNCTION("""COMPUTED_VALUE"""),"Levi Otto")</f>
        <v>Levi Otto</v>
      </c>
      <c r="B660" s="1" t="str">
        <f>IFERROR(__xludf.DUMMYFUNCTION("""COMPUTED_VALUE"""),"L2")</f>
        <v>L2</v>
      </c>
      <c r="C660" s="1" t="str">
        <f t="shared" si="1"/>
        <v>No</v>
      </c>
      <c r="D660" s="1">
        <v>0.0</v>
      </c>
    </row>
    <row r="661" ht="15.75" customHeight="1">
      <c r="A661" s="1" t="str">
        <f>IFERROR(__xludf.DUMMYFUNCTION("""COMPUTED_VALUE"""),"Elijah Richards")</f>
        <v>Elijah Richards</v>
      </c>
      <c r="B661" s="1" t="str">
        <f>IFERROR(__xludf.DUMMYFUNCTION("""COMPUTED_VALUE"""),"L2")</f>
        <v>L2</v>
      </c>
      <c r="C661" s="1" t="str">
        <f t="shared" si="1"/>
        <v>No</v>
      </c>
      <c r="D661" s="1">
        <v>0.0</v>
      </c>
    </row>
    <row r="662" ht="15.75" customHeight="1">
      <c r="A662" s="1" t="str">
        <f>IFERROR(__xludf.DUMMYFUNCTION("""COMPUTED_VALUE"""),"Zievah Larsen")</f>
        <v>Zievah Larsen</v>
      </c>
      <c r="B662" s="1" t="str">
        <f>IFERROR(__xludf.DUMMYFUNCTION("""COMPUTED_VALUE"""),"MS")</f>
        <v>MS</v>
      </c>
      <c r="C662" s="1" t="str">
        <f t="shared" si="1"/>
        <v>No</v>
      </c>
      <c r="D662" s="1">
        <v>0.0</v>
      </c>
    </row>
    <row r="663" ht="15.75" customHeight="1">
      <c r="A663" s="1" t="str">
        <f>IFERROR(__xludf.DUMMYFUNCTION("""COMPUTED_VALUE"""),"Noah Enge")</f>
        <v>Noah Enge</v>
      </c>
      <c r="B663" s="1" t="str">
        <f>IFERROR(__xludf.DUMMYFUNCTION("""COMPUTED_VALUE"""),"MS")</f>
        <v>MS</v>
      </c>
      <c r="C663" s="1" t="str">
        <f t="shared" si="1"/>
        <v>No</v>
      </c>
      <c r="D663" s="1">
        <v>0.0</v>
      </c>
    </row>
    <row r="664" ht="15.75" customHeight="1">
      <c r="A664" s="1" t="str">
        <f>IFERROR(__xludf.DUMMYFUNCTION("""COMPUTED_VALUE"""),"Micah Enge")</f>
        <v>Micah Enge</v>
      </c>
      <c r="B664" s="1" t="str">
        <f>IFERROR(__xludf.DUMMYFUNCTION("""COMPUTED_VALUE"""),"MS")</f>
        <v>MS</v>
      </c>
      <c r="C664" s="1" t="str">
        <f t="shared" si="1"/>
        <v>No</v>
      </c>
      <c r="D664" s="1">
        <v>0.0</v>
      </c>
    </row>
    <row r="665" ht="15.75" customHeight="1">
      <c r="A665" s="1" t="str">
        <f>IFERROR(__xludf.DUMMYFUNCTION("""COMPUTED_VALUE"""),"Elijah Enge")</f>
        <v>Elijah Enge</v>
      </c>
      <c r="B665" s="1" t="str">
        <f>IFERROR(__xludf.DUMMYFUNCTION("""COMPUTED_VALUE"""),"L1")</f>
        <v>L1</v>
      </c>
      <c r="C665" s="1" t="str">
        <f t="shared" si="1"/>
        <v>No</v>
      </c>
      <c r="D665" s="1">
        <v>0.0</v>
      </c>
    </row>
    <row r="666" ht="15.75" customHeight="1">
      <c r="A666" s="1" t="str">
        <f>IFERROR(__xludf.DUMMYFUNCTION("""COMPUTED_VALUE"""),"Zoraida Gil")</f>
        <v>Zoraida Gil</v>
      </c>
      <c r="B666" s="1" t="str">
        <f>IFERROR(__xludf.DUMMYFUNCTION("""COMPUTED_VALUE"""),"MS")</f>
        <v>MS</v>
      </c>
      <c r="C666" s="1" t="str">
        <f t="shared" si="1"/>
        <v>No</v>
      </c>
      <c r="D666" s="1">
        <v>0.0</v>
      </c>
    </row>
    <row r="667" ht="15.75" customHeight="1">
      <c r="A667" s="1" t="str">
        <f>IFERROR(__xludf.DUMMYFUNCTION("""COMPUTED_VALUE"""),"Mikhael Gil")</f>
        <v>Mikhael Gil</v>
      </c>
      <c r="B667" s="1" t="str">
        <f>IFERROR(__xludf.DUMMYFUNCTION("""COMPUTED_VALUE"""),"L2")</f>
        <v>L2</v>
      </c>
      <c r="C667" s="1" t="str">
        <f t="shared" si="1"/>
        <v>No</v>
      </c>
      <c r="D667" s="1">
        <v>0.0</v>
      </c>
    </row>
    <row r="668" ht="15.75" customHeight="1">
      <c r="A668" s="1" t="str">
        <f>IFERROR(__xludf.DUMMYFUNCTION("""COMPUTED_VALUE"""),"Dexter Shojai")</f>
        <v>Dexter Shojai</v>
      </c>
      <c r="B668" s="1" t="str">
        <f>IFERROR(__xludf.DUMMYFUNCTION("""COMPUTED_VALUE"""),"L2")</f>
        <v>L2</v>
      </c>
      <c r="C668" s="1" t="str">
        <f t="shared" si="1"/>
        <v>No</v>
      </c>
      <c r="D668" s="1">
        <v>0.0</v>
      </c>
    </row>
    <row r="669" ht="15.75" customHeight="1">
      <c r="A669" s="1" t="str">
        <f>IFERROR(__xludf.DUMMYFUNCTION("""COMPUTED_VALUE"""),"Victoria-Belle Morris")</f>
        <v>Victoria-Belle Morris</v>
      </c>
      <c r="B669" s="1" t="str">
        <f>IFERROR(__xludf.DUMMYFUNCTION("""COMPUTED_VALUE"""),"L1")</f>
        <v>L1</v>
      </c>
      <c r="C669" s="1" t="str">
        <f t="shared" si="1"/>
        <v>No</v>
      </c>
      <c r="D669" s="1">
        <v>0.0</v>
      </c>
    </row>
    <row r="670" ht="15.75" customHeight="1">
      <c r="A670" s="1" t="str">
        <f>IFERROR(__xludf.DUMMYFUNCTION("""COMPUTED_VALUE"""),"Liam Munoz")</f>
        <v>Liam Munoz</v>
      </c>
      <c r="B670" s="1" t="str">
        <f>IFERROR(__xludf.DUMMYFUNCTION("""COMPUTED_VALUE"""),"MS")</f>
        <v>MS</v>
      </c>
      <c r="C670" s="1" t="str">
        <f t="shared" si="1"/>
        <v>No</v>
      </c>
      <c r="D670" s="1">
        <v>0.0</v>
      </c>
    </row>
    <row r="671" ht="15.75" customHeight="1">
      <c r="A671" s="1" t="str">
        <f>IFERROR(__xludf.DUMMYFUNCTION("""COMPUTED_VALUE"""),"Liam Bui")</f>
        <v>Liam Bui</v>
      </c>
      <c r="B671" s="1" t="str">
        <f>IFERROR(__xludf.DUMMYFUNCTION("""COMPUTED_VALUE"""),"L1")</f>
        <v>L1</v>
      </c>
      <c r="C671" s="1" t="str">
        <f t="shared" si="1"/>
        <v>No</v>
      </c>
      <c r="D671" s="1">
        <v>0.0</v>
      </c>
    </row>
    <row r="672" ht="15.75" customHeight="1">
      <c r="A672" s="1" t="str">
        <f>IFERROR(__xludf.DUMMYFUNCTION("""COMPUTED_VALUE"""),"Ella Bernal")</f>
        <v>Ella Bernal</v>
      </c>
      <c r="B672" s="1" t="str">
        <f>IFERROR(__xludf.DUMMYFUNCTION("""COMPUTED_VALUE"""),"MS")</f>
        <v>MS</v>
      </c>
      <c r="C672" s="1" t="str">
        <f t="shared" si="1"/>
        <v>No</v>
      </c>
      <c r="D672" s="1">
        <v>0.0</v>
      </c>
    </row>
    <row r="673" ht="15.75" customHeight="1">
      <c r="A673" s="1" t="str">
        <f>IFERROR(__xludf.DUMMYFUNCTION("""COMPUTED_VALUE"""),"Jude-Marie Ulerie Skinner")</f>
        <v>Jude-Marie Ulerie Skinner</v>
      </c>
      <c r="B673" s="1" t="str">
        <f>IFERROR(__xludf.DUMMYFUNCTION("""COMPUTED_VALUE"""),"L1")</f>
        <v>L1</v>
      </c>
      <c r="C673" s="1" t="str">
        <f t="shared" si="1"/>
        <v>No</v>
      </c>
      <c r="D673" s="1">
        <v>0.0</v>
      </c>
    </row>
    <row r="674" ht="15.75" customHeight="1">
      <c r="A674" s="1" t="str">
        <f>IFERROR(__xludf.DUMMYFUNCTION("""COMPUTED_VALUE"""),"Wesley Neilson")</f>
        <v>Wesley Neilson</v>
      </c>
      <c r="B674" s="1" t="str">
        <f>IFERROR(__xludf.DUMMYFUNCTION("""COMPUTED_VALUE"""),"L2")</f>
        <v>L2</v>
      </c>
      <c r="C674" s="1" t="str">
        <f t="shared" si="1"/>
        <v>No</v>
      </c>
      <c r="D674" s="1">
        <v>0.0</v>
      </c>
    </row>
    <row r="675" ht="15.75" customHeight="1">
      <c r="A675" s="1" t="str">
        <f>IFERROR(__xludf.DUMMYFUNCTION("""COMPUTED_VALUE"""),"Josi Posillico")</f>
        <v>Josi Posillico</v>
      </c>
      <c r="B675" s="1" t="str">
        <f>IFERROR(__xludf.DUMMYFUNCTION("""COMPUTED_VALUE"""),"MS")</f>
        <v>MS</v>
      </c>
      <c r="C675" s="1" t="str">
        <f t="shared" si="1"/>
        <v>No</v>
      </c>
      <c r="D675" s="1">
        <v>0.0</v>
      </c>
    </row>
    <row r="676" ht="15.75" customHeight="1">
      <c r="A676" s="1" t="str">
        <f>IFERROR(__xludf.DUMMYFUNCTION("""COMPUTED_VALUE"""),"Talia Kantor")</f>
        <v>Talia Kantor</v>
      </c>
      <c r="B676" s="1" t="str">
        <f>IFERROR(__xludf.DUMMYFUNCTION("""COMPUTED_VALUE"""),"L2")</f>
        <v>L2</v>
      </c>
      <c r="C676" s="1" t="str">
        <f t="shared" si="1"/>
        <v>No</v>
      </c>
      <c r="D676" s="1">
        <v>0.0</v>
      </c>
    </row>
    <row r="677" ht="15.75" customHeight="1">
      <c r="A677" s="1" t="str">
        <f>IFERROR(__xludf.DUMMYFUNCTION("""COMPUTED_VALUE"""),"Ian Snead")</f>
        <v>Ian Snead</v>
      </c>
      <c r="B677" s="1" t="str">
        <f>IFERROR(__xludf.DUMMYFUNCTION("""COMPUTED_VALUE"""),"MS")</f>
        <v>MS</v>
      </c>
      <c r="C677" s="1" t="str">
        <f t="shared" si="1"/>
        <v>No</v>
      </c>
      <c r="D677" s="1">
        <v>0.0</v>
      </c>
    </row>
    <row r="678" ht="15.75" customHeight="1">
      <c r="A678" s="1" t="str">
        <f>IFERROR(__xludf.DUMMYFUNCTION("""COMPUTED_VALUE"""),"Ace Snead")</f>
        <v>Ace Snead</v>
      </c>
      <c r="B678" s="1" t="str">
        <f>IFERROR(__xludf.DUMMYFUNCTION("""COMPUTED_VALUE"""),"L1")</f>
        <v>L1</v>
      </c>
      <c r="C678" s="1" t="str">
        <f t="shared" si="1"/>
        <v>No</v>
      </c>
      <c r="D678" s="1">
        <v>0.0</v>
      </c>
    </row>
    <row r="679" ht="15.75" customHeight="1">
      <c r="A679" s="1" t="str">
        <f>IFERROR(__xludf.DUMMYFUNCTION("""COMPUTED_VALUE"""),"Isadora Pena")</f>
        <v>Isadora Pena</v>
      </c>
      <c r="B679" s="1" t="str">
        <f>IFERROR(__xludf.DUMMYFUNCTION("""COMPUTED_VALUE"""),"MS")</f>
        <v>MS</v>
      </c>
      <c r="C679" s="1" t="str">
        <f t="shared" si="1"/>
        <v>No</v>
      </c>
      <c r="D679" s="1">
        <v>0.0</v>
      </c>
    </row>
    <row r="680" ht="15.75" customHeight="1">
      <c r="A680" s="1" t="str">
        <f>IFERROR(__xludf.DUMMYFUNCTION("""COMPUTED_VALUE"""),"Cooper Baldwin")</f>
        <v>Cooper Baldwin</v>
      </c>
      <c r="B680" s="1" t="str">
        <f>IFERROR(__xludf.DUMMYFUNCTION("""COMPUTED_VALUE"""),"L2")</f>
        <v>L2</v>
      </c>
      <c r="C680" s="1" t="str">
        <f t="shared" si="1"/>
        <v>No</v>
      </c>
      <c r="D680" s="1">
        <v>0.0</v>
      </c>
    </row>
    <row r="681" ht="15.75" customHeight="1">
      <c r="A681" s="1" t="str">
        <f>IFERROR(__xludf.DUMMYFUNCTION("""COMPUTED_VALUE"""),"RJ Williams")</f>
        <v>RJ Williams</v>
      </c>
      <c r="B681" s="1" t="str">
        <f>IFERROR(__xludf.DUMMYFUNCTION("""COMPUTED_VALUE"""),"MS")</f>
        <v>MS</v>
      </c>
      <c r="C681" s="1" t="str">
        <f t="shared" si="1"/>
        <v>No</v>
      </c>
      <c r="D681" s="1">
        <v>0.0</v>
      </c>
    </row>
    <row r="682" ht="15.75" customHeight="1">
      <c r="A682" s="1" t="str">
        <f>IFERROR(__xludf.DUMMYFUNCTION("""COMPUTED_VALUE"""),"Victoria Rastegar")</f>
        <v>Victoria Rastegar</v>
      </c>
      <c r="B682" s="1" t="str">
        <f>IFERROR(__xludf.DUMMYFUNCTION("""COMPUTED_VALUE"""),"MS")</f>
        <v>MS</v>
      </c>
      <c r="C682" s="1" t="str">
        <f t="shared" si="1"/>
        <v>No</v>
      </c>
      <c r="D682" s="1">
        <v>0.0</v>
      </c>
    </row>
    <row r="683" ht="15.75" customHeight="1">
      <c r="A683" s="1" t="str">
        <f>IFERROR(__xludf.DUMMYFUNCTION("""COMPUTED_VALUE"""),"Catherine Solis")</f>
        <v>Catherine Solis</v>
      </c>
      <c r="B683" s="1" t="str">
        <f>IFERROR(__xludf.DUMMYFUNCTION("""COMPUTED_VALUE"""),"MS")</f>
        <v>MS</v>
      </c>
      <c r="C683" s="1" t="str">
        <f t="shared" si="1"/>
        <v>No</v>
      </c>
      <c r="D683" s="1">
        <v>0.0</v>
      </c>
    </row>
    <row r="684" ht="15.75" customHeight="1">
      <c r="A684" s="1" t="str">
        <f>IFERROR(__xludf.DUMMYFUNCTION("""COMPUTED_VALUE"""),"Alexander Solis")</f>
        <v>Alexander Solis</v>
      </c>
      <c r="B684" s="1" t="str">
        <f>IFERROR(__xludf.DUMMYFUNCTION("""COMPUTED_VALUE"""),"MS")</f>
        <v>MS</v>
      </c>
      <c r="C684" s="1" t="str">
        <f t="shared" si="1"/>
        <v>No</v>
      </c>
      <c r="D684" s="1">
        <v>0.0</v>
      </c>
    </row>
    <row r="685" ht="15.75" customHeight="1">
      <c r="A685" s="1" t="str">
        <f>IFERROR(__xludf.DUMMYFUNCTION("""COMPUTED_VALUE"""),"Christopher Solis")</f>
        <v>Christopher Solis</v>
      </c>
      <c r="B685" s="1" t="str">
        <f>IFERROR(__xludf.DUMMYFUNCTION("""COMPUTED_VALUE"""),"L2")</f>
        <v>L2</v>
      </c>
      <c r="C685" s="1" t="str">
        <f t="shared" si="1"/>
        <v>No</v>
      </c>
      <c r="D685" s="1">
        <v>0.0</v>
      </c>
    </row>
    <row r="686" ht="15.75" customHeight="1">
      <c r="A686" s="1" t="str">
        <f>IFERROR(__xludf.DUMMYFUNCTION("""COMPUTED_VALUE"""),"Anthony Solis")</f>
        <v>Anthony Solis</v>
      </c>
      <c r="B686" s="1" t="str">
        <f>IFERROR(__xludf.DUMMYFUNCTION("""COMPUTED_VALUE"""),"L2")</f>
        <v>L2</v>
      </c>
      <c r="C686" s="1" t="str">
        <f t="shared" si="1"/>
        <v>No</v>
      </c>
      <c r="D686" s="1">
        <v>0.0</v>
      </c>
    </row>
    <row r="687" ht="15.75" customHeight="1">
      <c r="A687" s="1" t="str">
        <f>IFERROR(__xludf.DUMMYFUNCTION("""COMPUTED_VALUE"""),"Emery Johnathan Solis")</f>
        <v>Emery Johnathan Solis</v>
      </c>
      <c r="B687" s="1" t="str">
        <f>IFERROR(__xludf.DUMMYFUNCTION("""COMPUTED_VALUE"""),"LL")</f>
        <v>LL</v>
      </c>
      <c r="C687" s="1" t="str">
        <f t="shared" si="1"/>
        <v>No</v>
      </c>
      <c r="D687" s="1">
        <v>0.0</v>
      </c>
    </row>
    <row r="688" ht="15.75" customHeight="1">
      <c r="A688" s="1" t="str">
        <f>IFERROR(__xludf.DUMMYFUNCTION("""COMPUTED_VALUE"""),"Wyatt Sims")</f>
        <v>Wyatt Sims</v>
      </c>
      <c r="B688" s="1" t="str">
        <f>IFERROR(__xludf.DUMMYFUNCTION("""COMPUTED_VALUE"""),"L1")</f>
        <v>L1</v>
      </c>
      <c r="C688" s="1" t="str">
        <f t="shared" si="1"/>
        <v>No</v>
      </c>
      <c r="D688" s="1">
        <v>0.0</v>
      </c>
    </row>
    <row r="689" ht="15.75" customHeight="1">
      <c r="A689" s="1" t="str">
        <f>IFERROR(__xludf.DUMMYFUNCTION("""COMPUTED_VALUE"""),"Nathan Selzler")</f>
        <v>Nathan Selzler</v>
      </c>
      <c r="B689" s="1" t="str">
        <f>IFERROR(__xludf.DUMMYFUNCTION("""COMPUTED_VALUE"""),"MS")</f>
        <v>MS</v>
      </c>
      <c r="C689" s="1" t="str">
        <f t="shared" si="1"/>
        <v>No</v>
      </c>
      <c r="D689" s="1">
        <v>0.0</v>
      </c>
    </row>
    <row r="690" ht="15.75" customHeight="1">
      <c r="A690" s="1" t="str">
        <f>IFERROR(__xludf.DUMMYFUNCTION("""COMPUTED_VALUE"""),"Ezra Henderscheid")</f>
        <v>Ezra Henderscheid</v>
      </c>
      <c r="B690" s="1" t="str">
        <f>IFERROR(__xludf.DUMMYFUNCTION("""COMPUTED_VALUE"""),"L2")</f>
        <v>L2</v>
      </c>
      <c r="C690" s="1" t="str">
        <f t="shared" si="1"/>
        <v>No</v>
      </c>
      <c r="D690" s="1">
        <v>0.0</v>
      </c>
    </row>
    <row r="691" ht="15.75" customHeight="1">
      <c r="A691" s="1" t="str">
        <f>IFERROR(__xludf.DUMMYFUNCTION("""COMPUTED_VALUE"""),"Gideon Henderscheid")</f>
        <v>Gideon Henderscheid</v>
      </c>
      <c r="B691" s="1" t="str">
        <f>IFERROR(__xludf.DUMMYFUNCTION("""COMPUTED_VALUE"""),"MS")</f>
        <v>MS</v>
      </c>
      <c r="C691" s="1" t="str">
        <f t="shared" si="1"/>
        <v>No</v>
      </c>
      <c r="D691" s="1">
        <v>0.0</v>
      </c>
    </row>
    <row r="692" ht="15.75" customHeight="1">
      <c r="A692" s="1" t="str">
        <f>IFERROR(__xludf.DUMMYFUNCTION("""COMPUTED_VALUE"""),"London Thomas")</f>
        <v>London Thomas</v>
      </c>
      <c r="B692" s="1" t="str">
        <f>IFERROR(__xludf.DUMMYFUNCTION("""COMPUTED_VALUE"""),"MS")</f>
        <v>MS</v>
      </c>
      <c r="C692" s="1" t="str">
        <f t="shared" si="1"/>
        <v>No</v>
      </c>
      <c r="D692" s="1">
        <v>0.0</v>
      </c>
    </row>
    <row r="693" ht="15.75" customHeight="1">
      <c r="A693" s="1" t="str">
        <f>IFERROR(__xludf.DUMMYFUNCTION("""COMPUTED_VALUE"""),"Atlas Dahl")</f>
        <v>Atlas Dahl</v>
      </c>
      <c r="B693" s="1" t="str">
        <f>IFERROR(__xludf.DUMMYFUNCTION("""COMPUTED_VALUE"""),"L2")</f>
        <v>L2</v>
      </c>
      <c r="C693" s="1" t="str">
        <f t="shared" si="1"/>
        <v>No</v>
      </c>
      <c r="D693" s="1">
        <v>0.0</v>
      </c>
    </row>
    <row r="694" ht="15.75" customHeight="1">
      <c r="A694" s="1" t="str">
        <f>IFERROR(__xludf.DUMMYFUNCTION("""COMPUTED_VALUE"""),"James Heffley")</f>
        <v>James Heffley</v>
      </c>
      <c r="B694" s="1" t="str">
        <f>IFERROR(__xludf.DUMMYFUNCTION("""COMPUTED_VALUE"""),"MS")</f>
        <v>MS</v>
      </c>
      <c r="C694" s="1" t="str">
        <f t="shared" si="1"/>
        <v>No</v>
      </c>
      <c r="D694" s="1">
        <v>0.0</v>
      </c>
    </row>
    <row r="695" ht="15.75" customHeight="1">
      <c r="A695" s="1" t="str">
        <f>IFERROR(__xludf.DUMMYFUNCTION("""COMPUTED_VALUE"""),"Micah Blowe")</f>
        <v>Micah Blowe</v>
      </c>
      <c r="B695" s="1" t="str">
        <f>IFERROR(__xludf.DUMMYFUNCTION("""COMPUTED_VALUE"""),"MS")</f>
        <v>MS</v>
      </c>
      <c r="C695" s="1" t="str">
        <f t="shared" si="1"/>
        <v>No</v>
      </c>
      <c r="D695" s="1">
        <v>0.0</v>
      </c>
    </row>
    <row r="696" ht="15.75" customHeight="1">
      <c r="A696" s="1" t="str">
        <f>IFERROR(__xludf.DUMMYFUNCTION("""COMPUTED_VALUE"""),"Kian Chheda")</f>
        <v>Kian Chheda</v>
      </c>
      <c r="B696" s="1" t="str">
        <f>IFERROR(__xludf.DUMMYFUNCTION("""COMPUTED_VALUE"""),"L1")</f>
        <v>L1</v>
      </c>
      <c r="C696" s="1" t="str">
        <f t="shared" si="1"/>
        <v>No</v>
      </c>
      <c r="D696" s="1">
        <v>0.0</v>
      </c>
    </row>
    <row r="697" ht="15.75" customHeight="1">
      <c r="A697" s="1" t="str">
        <f>IFERROR(__xludf.DUMMYFUNCTION("""COMPUTED_VALUE"""),"Zaiden Chheda")</f>
        <v>Zaiden Chheda</v>
      </c>
      <c r="B697" s="1" t="str">
        <f>IFERROR(__xludf.DUMMYFUNCTION("""COMPUTED_VALUE"""),"LL")</f>
        <v>LL</v>
      </c>
      <c r="C697" s="1" t="str">
        <f t="shared" si="1"/>
        <v>No</v>
      </c>
      <c r="D697" s="1">
        <v>0.0</v>
      </c>
    </row>
    <row r="698" ht="15.75" customHeight="1">
      <c r="A698" s="1" t="str">
        <f>IFERROR(__xludf.DUMMYFUNCTION("""COMPUTED_VALUE"""),"Kassia Anderson")</f>
        <v>Kassia Anderson</v>
      </c>
      <c r="B698" s="1" t="str">
        <f>IFERROR(__xludf.DUMMYFUNCTION("""COMPUTED_VALUE"""),"L2")</f>
        <v>L2</v>
      </c>
      <c r="C698" s="1" t="str">
        <f t="shared" si="1"/>
        <v>No</v>
      </c>
      <c r="D698" s="1">
        <v>0.0</v>
      </c>
    </row>
    <row r="699" ht="15.75" customHeight="1">
      <c r="A699" s="1" t="str">
        <f>IFERROR(__xludf.DUMMYFUNCTION("""COMPUTED_VALUE"""),"Aleph de Sousa")</f>
        <v>Aleph de Sousa</v>
      </c>
      <c r="B699" s="1" t="str">
        <f>IFERROR(__xludf.DUMMYFUNCTION("""COMPUTED_VALUE"""),"L1")</f>
        <v>L1</v>
      </c>
      <c r="C699" s="1" t="str">
        <f t="shared" si="1"/>
        <v>No</v>
      </c>
      <c r="D699" s="1">
        <v>0.0</v>
      </c>
    </row>
    <row r="700" ht="15.75" customHeight="1">
      <c r="A700" s="1" t="str">
        <f>IFERROR(__xludf.DUMMYFUNCTION("""COMPUTED_VALUE"""),"Owen Hamilton")</f>
        <v>Owen Hamilton</v>
      </c>
      <c r="B700" s="1" t="str">
        <f>IFERROR(__xludf.DUMMYFUNCTION("""COMPUTED_VALUE"""),"MS")</f>
        <v>MS</v>
      </c>
      <c r="C700" s="1" t="str">
        <f t="shared" si="1"/>
        <v>No</v>
      </c>
      <c r="D700" s="1">
        <v>0.0</v>
      </c>
    </row>
    <row r="701" ht="15.75" customHeight="1">
      <c r="A701" s="1" t="str">
        <f>IFERROR(__xludf.DUMMYFUNCTION("""COMPUTED_VALUE"""),"Gunnar Flatland")</f>
        <v>Gunnar Flatland</v>
      </c>
      <c r="B701" s="1" t="str">
        <f>IFERROR(__xludf.DUMMYFUNCTION("""COMPUTED_VALUE"""),"MS")</f>
        <v>MS</v>
      </c>
      <c r="C701" s="1" t="str">
        <f t="shared" si="1"/>
        <v>No</v>
      </c>
      <c r="D701" s="1">
        <v>0.0</v>
      </c>
    </row>
    <row r="702" ht="15.75" customHeight="1">
      <c r="A702" s="1" t="str">
        <f>IFERROR(__xludf.DUMMYFUNCTION("""COMPUTED_VALUE"""),"Westen Warren")</f>
        <v>Westen Warren</v>
      </c>
      <c r="B702" s="1" t="str">
        <f>IFERROR(__xludf.DUMMYFUNCTION("""COMPUTED_VALUE"""),"MS")</f>
        <v>MS</v>
      </c>
      <c r="C702" s="1" t="str">
        <f t="shared" si="1"/>
        <v>No</v>
      </c>
      <c r="D702" s="1">
        <v>0.0</v>
      </c>
    </row>
    <row r="703" ht="15.75" customHeight="1">
      <c r="A703" s="1" t="str">
        <f>IFERROR(__xludf.DUMMYFUNCTION("""COMPUTED_VALUE"""),"rigden snodgress")</f>
        <v>rigden snodgress</v>
      </c>
      <c r="B703" s="1" t="str">
        <f>IFERROR(__xludf.DUMMYFUNCTION("""COMPUTED_VALUE"""),"MS")</f>
        <v>MS</v>
      </c>
      <c r="C703" s="1" t="str">
        <f t="shared" si="1"/>
        <v>No</v>
      </c>
      <c r="D703" s="1">
        <v>0.0</v>
      </c>
    </row>
    <row r="704" ht="15.75" customHeight="1">
      <c r="A704" s="1" t="str">
        <f>IFERROR(__xludf.DUMMYFUNCTION("""COMPUTED_VALUE"""),"bria snodgress")</f>
        <v>bria snodgress</v>
      </c>
      <c r="B704" s="1" t="str">
        <f>IFERROR(__xludf.DUMMYFUNCTION("""COMPUTED_VALUE"""),"L2")</f>
        <v>L2</v>
      </c>
      <c r="C704" s="1" t="str">
        <f t="shared" si="1"/>
        <v>No</v>
      </c>
      <c r="D704" s="1">
        <v>0.0</v>
      </c>
    </row>
    <row r="705" ht="15.75" customHeight="1">
      <c r="A705" s="1" t="str">
        <f>IFERROR(__xludf.DUMMYFUNCTION("""COMPUTED_VALUE"""),"bryn snodgress")</f>
        <v>bryn snodgress</v>
      </c>
      <c r="B705" s="1" t="str">
        <f>IFERROR(__xludf.DUMMYFUNCTION("""COMPUTED_VALUE"""),"L2")</f>
        <v>L2</v>
      </c>
      <c r="C705" s="1" t="str">
        <f t="shared" si="1"/>
        <v>No</v>
      </c>
      <c r="D705" s="1">
        <v>0.0</v>
      </c>
    </row>
    <row r="706" ht="15.75" customHeight="1">
      <c r="A706" s="1" t="str">
        <f>IFERROR(__xludf.DUMMYFUNCTION("""COMPUTED_VALUE"""),"enza snodgress")</f>
        <v>enza snodgress</v>
      </c>
      <c r="B706" s="1" t="str">
        <f>IFERROR(__xludf.DUMMYFUNCTION("""COMPUTED_VALUE"""),"L1")</f>
        <v>L1</v>
      </c>
      <c r="C706" s="1" t="str">
        <f t="shared" si="1"/>
        <v>No</v>
      </c>
      <c r="D706" s="1">
        <v>0.0</v>
      </c>
    </row>
    <row r="707" ht="15.75" customHeight="1">
      <c r="A707" s="1" t="str">
        <f>IFERROR(__xludf.DUMMYFUNCTION("""COMPUTED_VALUE"""),"Peter Estrada")</f>
        <v>Peter Estrada</v>
      </c>
      <c r="B707" s="1" t="str">
        <f>IFERROR(__xludf.DUMMYFUNCTION("""COMPUTED_VALUE"""),"L2")</f>
        <v>L2</v>
      </c>
      <c r="C707" s="1" t="str">
        <f t="shared" si="1"/>
        <v>No</v>
      </c>
      <c r="D707" s="1">
        <v>0.0</v>
      </c>
    </row>
    <row r="708" ht="15.75" customHeight="1">
      <c r="A708" s="1" t="str">
        <f>IFERROR(__xludf.DUMMYFUNCTION("""COMPUTED_VALUE"""),"Ivanka Mata")</f>
        <v>Ivanka Mata</v>
      </c>
      <c r="B708" s="1" t="str">
        <f>IFERROR(__xludf.DUMMYFUNCTION("""COMPUTED_VALUE"""),"MS")</f>
        <v>MS</v>
      </c>
      <c r="C708" s="1" t="str">
        <f t="shared" si="1"/>
        <v>No</v>
      </c>
      <c r="D708" s="1">
        <v>0.0</v>
      </c>
    </row>
    <row r="709" ht="15.75" customHeight="1">
      <c r="A709" s="1" t="str">
        <f>IFERROR(__xludf.DUMMYFUNCTION("""COMPUTED_VALUE"""),"Cristian Mata")</f>
        <v>Cristian Mata</v>
      </c>
      <c r="B709" s="1" t="str">
        <f>IFERROR(__xludf.DUMMYFUNCTION("""COMPUTED_VALUE"""),"L2")</f>
        <v>L2</v>
      </c>
      <c r="C709" s="1" t="str">
        <f t="shared" si="1"/>
        <v>No</v>
      </c>
      <c r="D709" s="1">
        <v>0.0</v>
      </c>
    </row>
    <row r="710" ht="15.75" customHeight="1">
      <c r="A710" s="1" t="str">
        <f>IFERROR(__xludf.DUMMYFUNCTION("""COMPUTED_VALUE"""),"Piper Talbert")</f>
        <v>Piper Talbert</v>
      </c>
      <c r="B710" s="1" t="str">
        <f>IFERROR(__xludf.DUMMYFUNCTION("""COMPUTED_VALUE"""),"MS")</f>
        <v>MS</v>
      </c>
      <c r="C710" s="1" t="str">
        <f t="shared" si="1"/>
        <v>No</v>
      </c>
      <c r="D710" s="1">
        <v>0.0</v>
      </c>
    </row>
    <row r="711" ht="15.75" customHeight="1">
      <c r="A711" s="1" t="str">
        <f>IFERROR(__xludf.DUMMYFUNCTION("""COMPUTED_VALUE"""),"Luke Talbert")</f>
        <v>Luke Talbert</v>
      </c>
      <c r="B711" s="1" t="str">
        <f>IFERROR(__xludf.DUMMYFUNCTION("""COMPUTED_VALUE"""),"L2")</f>
        <v>L2</v>
      </c>
      <c r="C711" s="1" t="str">
        <f t="shared" si="1"/>
        <v>No</v>
      </c>
      <c r="D711" s="1">
        <v>0.0</v>
      </c>
    </row>
    <row r="712" ht="15.75" customHeight="1">
      <c r="A712" s="1" t="str">
        <f>IFERROR(__xludf.DUMMYFUNCTION("""COMPUTED_VALUE"""),"Skyler Byrd")</f>
        <v>Skyler Byrd</v>
      </c>
      <c r="B712" s="1" t="str">
        <f>IFERROR(__xludf.DUMMYFUNCTION("""COMPUTED_VALUE"""),"MS")</f>
        <v>MS</v>
      </c>
      <c r="C712" s="1" t="str">
        <f t="shared" si="1"/>
        <v>No</v>
      </c>
      <c r="D712" s="1">
        <v>0.0</v>
      </c>
    </row>
    <row r="713" ht="15.75" customHeight="1">
      <c r="A713" s="1" t="str">
        <f>IFERROR(__xludf.DUMMYFUNCTION("""COMPUTED_VALUE"""),"Kason Byrd")</f>
        <v>Kason Byrd</v>
      </c>
      <c r="B713" s="1" t="str">
        <f>IFERROR(__xludf.DUMMYFUNCTION("""COMPUTED_VALUE"""),"MS")</f>
        <v>MS</v>
      </c>
      <c r="C713" s="1" t="str">
        <f t="shared" si="1"/>
        <v>No</v>
      </c>
      <c r="D713" s="1">
        <v>0.0</v>
      </c>
    </row>
    <row r="714" ht="15.75" customHeight="1">
      <c r="A714" s="1" t="str">
        <f>IFERROR(__xludf.DUMMYFUNCTION("""COMPUTED_VALUE"""),"Juliette Croshere")</f>
        <v>Juliette Croshere</v>
      </c>
      <c r="B714" s="1" t="str">
        <f>IFERROR(__xludf.DUMMYFUNCTION("""COMPUTED_VALUE"""),"L1")</f>
        <v>L1</v>
      </c>
      <c r="C714" s="1" t="str">
        <f t="shared" si="1"/>
        <v>No</v>
      </c>
      <c r="D714" s="1">
        <v>0.0</v>
      </c>
    </row>
    <row r="715" ht="15.75" customHeight="1">
      <c r="A715" s="1" t="str">
        <f>IFERROR(__xludf.DUMMYFUNCTION("""COMPUTED_VALUE"""),"Kilkenny Oakes")</f>
        <v>Kilkenny Oakes</v>
      </c>
      <c r="B715" s="1" t="str">
        <f>IFERROR(__xludf.DUMMYFUNCTION("""COMPUTED_VALUE"""),"MS")</f>
        <v>MS</v>
      </c>
      <c r="C715" s="1" t="str">
        <f t="shared" si="1"/>
        <v>No</v>
      </c>
      <c r="D715" s="1">
        <v>0.0</v>
      </c>
    </row>
    <row r="716" ht="15.75" customHeight="1">
      <c r="A716" s="1" t="str">
        <f>IFERROR(__xludf.DUMMYFUNCTION("""COMPUTED_VALUE"""),"Killian Oakes")</f>
        <v>Killian Oakes</v>
      </c>
      <c r="B716" s="1" t="str">
        <f>IFERROR(__xludf.DUMMYFUNCTION("""COMPUTED_VALUE"""),"L1")</f>
        <v>L1</v>
      </c>
      <c r="C716" s="1" t="str">
        <f t="shared" si="1"/>
        <v>No</v>
      </c>
      <c r="D716" s="1">
        <v>0.0</v>
      </c>
    </row>
    <row r="717" ht="15.75" customHeight="1">
      <c r="A717" s="1" t="str">
        <f>IFERROR(__xludf.DUMMYFUNCTION("""COMPUTED_VALUE"""),"August Lee")</f>
        <v>August Lee</v>
      </c>
      <c r="B717" s="1" t="str">
        <f>IFERROR(__xludf.DUMMYFUNCTION("""COMPUTED_VALUE"""),"L2")</f>
        <v>L2</v>
      </c>
      <c r="C717" s="1" t="str">
        <f t="shared" si="1"/>
        <v>No</v>
      </c>
      <c r="D717" s="1">
        <v>0.0</v>
      </c>
    </row>
    <row r="718" ht="15.75" customHeight="1">
      <c r="A718" s="1" t="str">
        <f>IFERROR(__xludf.DUMMYFUNCTION("""COMPUTED_VALUE"""),"Anela Attix")</f>
        <v>Anela Attix</v>
      </c>
      <c r="B718" s="1" t="str">
        <f>IFERROR(__xludf.DUMMYFUNCTION("""COMPUTED_VALUE"""),"MS")</f>
        <v>MS</v>
      </c>
      <c r="C718" s="1" t="str">
        <f t="shared" si="1"/>
        <v>No</v>
      </c>
      <c r="D718" s="1">
        <v>0.0</v>
      </c>
    </row>
    <row r="719" ht="15.75" customHeight="1">
      <c r="A719" s="1" t="str">
        <f>IFERROR(__xludf.DUMMYFUNCTION("""COMPUTED_VALUE"""),"Maria Seceleanu")</f>
        <v>Maria Seceleanu</v>
      </c>
      <c r="B719" s="1" t="str">
        <f>IFERROR(__xludf.DUMMYFUNCTION("""COMPUTED_VALUE"""),"L2")</f>
        <v>L2</v>
      </c>
      <c r="C719" s="1" t="str">
        <f t="shared" si="1"/>
        <v>No</v>
      </c>
      <c r="D719" s="1">
        <v>0.0</v>
      </c>
    </row>
    <row r="720" ht="15.75" customHeight="1">
      <c r="A720" s="1" t="str">
        <f>IFERROR(__xludf.DUMMYFUNCTION("""COMPUTED_VALUE"""),"Mihai Seceleanu")</f>
        <v>Mihai Seceleanu</v>
      </c>
      <c r="B720" s="1" t="str">
        <f>IFERROR(__xludf.DUMMYFUNCTION("""COMPUTED_VALUE"""),"MS")</f>
        <v>MS</v>
      </c>
      <c r="C720" s="1" t="str">
        <f t="shared" si="1"/>
        <v>No</v>
      </c>
      <c r="D720" s="1">
        <v>0.0</v>
      </c>
    </row>
    <row r="721" ht="15.75" customHeight="1">
      <c r="A721" s="1" t="str">
        <f>IFERROR(__xludf.DUMMYFUNCTION("""COMPUTED_VALUE"""),"Jan Olpinski")</f>
        <v>Jan Olpinski</v>
      </c>
      <c r="B721" s="1" t="str">
        <f>IFERROR(__xludf.DUMMYFUNCTION("""COMPUTED_VALUE"""),"L2")</f>
        <v>L2</v>
      </c>
      <c r="C721" s="1" t="str">
        <f t="shared" si="1"/>
        <v>No</v>
      </c>
      <c r="D721" s="1">
        <v>0.0</v>
      </c>
    </row>
    <row r="722" ht="15.75" customHeight="1">
      <c r="A722" s="1" t="str">
        <f>IFERROR(__xludf.DUMMYFUNCTION("""COMPUTED_VALUE"""),"Juliet Damani")</f>
        <v>Juliet Damani</v>
      </c>
      <c r="B722" s="1" t="str">
        <f>IFERROR(__xludf.DUMMYFUNCTION("""COMPUTED_VALUE"""),"L2")</f>
        <v>L2</v>
      </c>
      <c r="C722" s="1" t="str">
        <f t="shared" si="1"/>
        <v>No</v>
      </c>
      <c r="D722" s="1">
        <v>0.0</v>
      </c>
    </row>
    <row r="723" ht="15.75" customHeight="1">
      <c r="A723" s="1" t="str">
        <f>IFERROR(__xludf.DUMMYFUNCTION("""COMPUTED_VALUE"""),"Shrita Hegde")</f>
        <v>Shrita Hegde</v>
      </c>
      <c r="B723" s="1" t="str">
        <f>IFERROR(__xludf.DUMMYFUNCTION("""COMPUTED_VALUE"""),"HS")</f>
        <v>HS</v>
      </c>
      <c r="C723" s="1" t="str">
        <f t="shared" si="1"/>
        <v>No</v>
      </c>
      <c r="D723" s="1">
        <v>0.0</v>
      </c>
    </row>
    <row r="724" ht="15.75" customHeight="1">
      <c r="A724" s="1" t="str">
        <f>IFERROR(__xludf.DUMMYFUNCTION("""COMPUTED_VALUE"""),"Mason Ramirez")</f>
        <v>Mason Ramirez</v>
      </c>
      <c r="B724" s="1" t="str">
        <f>IFERROR(__xludf.DUMMYFUNCTION("""COMPUTED_VALUE"""),"MS")</f>
        <v>MS</v>
      </c>
      <c r="C724" s="1" t="str">
        <f t="shared" si="1"/>
        <v>No</v>
      </c>
      <c r="D724" s="1">
        <v>0.0</v>
      </c>
    </row>
    <row r="725" ht="15.75" customHeight="1">
      <c r="A725" s="1" t="str">
        <f>IFERROR(__xludf.DUMMYFUNCTION("""COMPUTED_VALUE"""),"peyton Ramirez")</f>
        <v>peyton Ramirez</v>
      </c>
      <c r="B725" s="1" t="str">
        <f>IFERROR(__xludf.DUMMYFUNCTION("""COMPUTED_VALUE"""),"L2")</f>
        <v>L2</v>
      </c>
      <c r="C725" s="1" t="str">
        <f t="shared" si="1"/>
        <v>No</v>
      </c>
      <c r="D725" s="1">
        <v>0.0</v>
      </c>
    </row>
    <row r="726" ht="15.75" customHeight="1">
      <c r="A726" s="1" t="str">
        <f>IFERROR(__xludf.DUMMYFUNCTION("""COMPUTED_VALUE"""),"charlie Ramirez")</f>
        <v>charlie Ramirez</v>
      </c>
      <c r="B726" s="1" t="str">
        <f>IFERROR(__xludf.DUMMYFUNCTION("""COMPUTED_VALUE"""),"LL")</f>
        <v>LL</v>
      </c>
      <c r="C726" s="1" t="str">
        <f t="shared" si="1"/>
        <v>No</v>
      </c>
      <c r="D726" s="1">
        <v>0.0</v>
      </c>
    </row>
    <row r="727" ht="15.75" customHeight="1">
      <c r="A727" s="1" t="str">
        <f>IFERROR(__xludf.DUMMYFUNCTION("""COMPUTED_VALUE"""),"Lilly Krick")</f>
        <v>Lilly Krick</v>
      </c>
      <c r="B727" s="1" t="str">
        <f>IFERROR(__xludf.DUMMYFUNCTION("""COMPUTED_VALUE"""),"MS")</f>
        <v>MS</v>
      </c>
      <c r="C727" s="1" t="str">
        <f t="shared" si="1"/>
        <v>No</v>
      </c>
      <c r="D727" s="1">
        <v>0.0</v>
      </c>
    </row>
    <row r="728" ht="15.75" customHeight="1">
      <c r="A728" s="1" t="str">
        <f>IFERROR(__xludf.DUMMYFUNCTION("""COMPUTED_VALUE"""),"Hannah Johnson")</f>
        <v>Hannah Johnson</v>
      </c>
      <c r="B728" s="1" t="str">
        <f>IFERROR(__xludf.DUMMYFUNCTION("""COMPUTED_VALUE"""),"MS")</f>
        <v>MS</v>
      </c>
      <c r="C728" s="1" t="str">
        <f t="shared" si="1"/>
        <v>No</v>
      </c>
      <c r="D728" s="1">
        <v>0.0</v>
      </c>
    </row>
    <row r="729" ht="15.75" customHeight="1">
      <c r="A729" s="1" t="str">
        <f>IFERROR(__xludf.DUMMYFUNCTION("""COMPUTED_VALUE"""),"Jane Magnuson")</f>
        <v>Jane Magnuson</v>
      </c>
      <c r="B729" s="1" t="str">
        <f>IFERROR(__xludf.DUMMYFUNCTION("""COMPUTED_VALUE"""),"L1")</f>
        <v>L1</v>
      </c>
      <c r="C729" s="1" t="str">
        <f t="shared" si="1"/>
        <v>No</v>
      </c>
      <c r="D729" s="1">
        <v>0.0</v>
      </c>
    </row>
    <row r="730" ht="15.75" customHeight="1">
      <c r="A730" s="1" t="str">
        <f>IFERROR(__xludf.DUMMYFUNCTION("""COMPUTED_VALUE"""),"Bodhi Jenner")</f>
        <v>Bodhi Jenner</v>
      </c>
      <c r="B730" s="1" t="str">
        <f>IFERROR(__xludf.DUMMYFUNCTION("""COMPUTED_VALUE"""),"L2")</f>
        <v>L2</v>
      </c>
      <c r="C730" s="1" t="str">
        <f t="shared" si="1"/>
        <v>No</v>
      </c>
      <c r="D730" s="1">
        <v>0.0</v>
      </c>
    </row>
    <row r="731" ht="15.75" customHeight="1">
      <c r="A731" s="1" t="str">
        <f>IFERROR(__xludf.DUMMYFUNCTION("""COMPUTED_VALUE"""),"Antonio Del paso")</f>
        <v>Antonio Del paso</v>
      </c>
      <c r="B731" s="1" t="str">
        <f>IFERROR(__xludf.DUMMYFUNCTION("""COMPUTED_VALUE"""),"L1")</f>
        <v>L1</v>
      </c>
      <c r="C731" s="1" t="str">
        <f t="shared" si="1"/>
        <v>No</v>
      </c>
      <c r="D731" s="1">
        <v>0.0</v>
      </c>
    </row>
    <row r="732" ht="15.75" customHeight="1">
      <c r="A732" s="1" t="str">
        <f>IFERROR(__xludf.DUMMYFUNCTION("""COMPUTED_VALUE"""),"Isabel Del Paso")</f>
        <v>Isabel Del Paso</v>
      </c>
      <c r="B732" s="1" t="str">
        <f>IFERROR(__xludf.DUMMYFUNCTION("""COMPUTED_VALUE"""),"MS")</f>
        <v>MS</v>
      </c>
      <c r="C732" s="1" t="str">
        <f t="shared" si="1"/>
        <v>No</v>
      </c>
      <c r="D732" s="1">
        <v>0.0</v>
      </c>
    </row>
    <row r="733" ht="15.75" customHeight="1">
      <c r="A733" s="1" t="str">
        <f>IFERROR(__xludf.DUMMYFUNCTION("""COMPUTED_VALUE"""),"Rafael Del Paso")</f>
        <v>Rafael Del Paso</v>
      </c>
      <c r="B733" s="1" t="str">
        <f>IFERROR(__xludf.DUMMYFUNCTION("""COMPUTED_VALUE"""),"MS")</f>
        <v>MS</v>
      </c>
      <c r="C733" s="1" t="str">
        <f t="shared" si="1"/>
        <v>No</v>
      </c>
      <c r="D733" s="1">
        <v>0.0</v>
      </c>
    </row>
    <row r="734" ht="15.75" customHeight="1">
      <c r="A734" s="1" t="str">
        <f>IFERROR(__xludf.DUMMYFUNCTION("""COMPUTED_VALUE"""),"Geronimo Del Paso")</f>
        <v>Geronimo Del Paso</v>
      </c>
      <c r="B734" s="1" t="str">
        <f>IFERROR(__xludf.DUMMYFUNCTION("""COMPUTED_VALUE"""),"L1")</f>
        <v>L1</v>
      </c>
      <c r="C734" s="1" t="str">
        <f t="shared" si="1"/>
        <v>No</v>
      </c>
      <c r="D734" s="1">
        <v>0.0</v>
      </c>
    </row>
    <row r="735" ht="15.75" customHeight="1">
      <c r="A735" s="1" t="str">
        <f>IFERROR(__xludf.DUMMYFUNCTION("""COMPUTED_VALUE"""),"Isaac Davis")</f>
        <v>Isaac Davis</v>
      </c>
      <c r="B735" s="1" t="str">
        <f>IFERROR(__xludf.DUMMYFUNCTION("""COMPUTED_VALUE"""),"L1")</f>
        <v>L1</v>
      </c>
      <c r="C735" s="1" t="str">
        <f t="shared" si="1"/>
        <v>No</v>
      </c>
      <c r="D735" s="1">
        <v>0.0</v>
      </c>
    </row>
    <row r="736" ht="15.75" customHeight="1">
      <c r="A736" s="1" t="str">
        <f>IFERROR(__xludf.DUMMYFUNCTION("""COMPUTED_VALUE"""),"Serene Davis")</f>
        <v>Serene Davis</v>
      </c>
      <c r="B736" s="1" t="str">
        <f>IFERROR(__xludf.DUMMYFUNCTION("""COMPUTED_VALUE"""),"L1")</f>
        <v>L1</v>
      </c>
      <c r="C736" s="1" t="str">
        <f t="shared" si="1"/>
        <v>No</v>
      </c>
      <c r="D736" s="1">
        <v>0.0</v>
      </c>
    </row>
    <row r="737" ht="15.75" customHeight="1">
      <c r="A737" s="1" t="str">
        <f>IFERROR(__xludf.DUMMYFUNCTION("""COMPUTED_VALUE"""),"Jon Nigg")</f>
        <v>Jon Nigg</v>
      </c>
      <c r="B737" s="1" t="str">
        <f>IFERROR(__xludf.DUMMYFUNCTION("""COMPUTED_VALUE"""),"MS")</f>
        <v>MS</v>
      </c>
      <c r="C737" s="1" t="str">
        <f t="shared" si="1"/>
        <v>No</v>
      </c>
      <c r="D737" s="1">
        <v>0.0</v>
      </c>
    </row>
    <row r="738" ht="15.75" customHeight="1">
      <c r="A738" s="1" t="str">
        <f>IFERROR(__xludf.DUMMYFUNCTION("""COMPUTED_VALUE"""),"Saul Shortt")</f>
        <v>Saul Shortt</v>
      </c>
      <c r="B738" s="1" t="str">
        <f>IFERROR(__xludf.DUMMYFUNCTION("""COMPUTED_VALUE"""),"MS")</f>
        <v>MS</v>
      </c>
      <c r="C738" s="1" t="str">
        <f t="shared" si="1"/>
        <v>No</v>
      </c>
      <c r="D738" s="1">
        <v>0.0</v>
      </c>
    </row>
    <row r="739" ht="15.75" customHeight="1">
      <c r="A739" s="1" t="str">
        <f>IFERROR(__xludf.DUMMYFUNCTION("""COMPUTED_VALUE"""),"Kiya Pack")</f>
        <v>Kiya Pack</v>
      </c>
      <c r="B739" s="1" t="str">
        <f>IFERROR(__xludf.DUMMYFUNCTION("""COMPUTED_VALUE"""),"MS")</f>
        <v>MS</v>
      </c>
      <c r="C739" s="1" t="str">
        <f t="shared" si="1"/>
        <v>No</v>
      </c>
      <c r="D739" s="1">
        <v>0.0</v>
      </c>
    </row>
    <row r="740" ht="15.75" customHeight="1">
      <c r="A740" s="1" t="str">
        <f>IFERROR(__xludf.DUMMYFUNCTION("""COMPUTED_VALUE"""),"Daxton Pack")</f>
        <v>Daxton Pack</v>
      </c>
      <c r="B740" s="1" t="str">
        <f>IFERROR(__xludf.DUMMYFUNCTION("""COMPUTED_VALUE"""),"MS")</f>
        <v>MS</v>
      </c>
      <c r="C740" s="1" t="str">
        <f t="shared" si="1"/>
        <v>No</v>
      </c>
      <c r="D740" s="1">
        <v>0.0</v>
      </c>
    </row>
    <row r="741" ht="15.75" customHeight="1">
      <c r="A741" s="1" t="str">
        <f>IFERROR(__xludf.DUMMYFUNCTION("""COMPUTED_VALUE"""),"Jett Pack")</f>
        <v>Jett Pack</v>
      </c>
      <c r="B741" s="1" t="str">
        <f>IFERROR(__xludf.DUMMYFUNCTION("""COMPUTED_VALUE"""),"L2")</f>
        <v>L2</v>
      </c>
      <c r="C741" s="1" t="str">
        <f t="shared" si="1"/>
        <v>No</v>
      </c>
      <c r="D741" s="1">
        <v>0.0</v>
      </c>
    </row>
    <row r="742" ht="15.75" customHeight="1">
      <c r="A742" s="1" t="str">
        <f>IFERROR(__xludf.DUMMYFUNCTION("""COMPUTED_VALUE"""),"India Pack")</f>
        <v>India Pack</v>
      </c>
      <c r="B742" s="1" t="str">
        <f>IFERROR(__xludf.DUMMYFUNCTION("""COMPUTED_VALUE"""),"L1")</f>
        <v>L1</v>
      </c>
      <c r="C742" s="1" t="str">
        <f t="shared" si="1"/>
        <v>No</v>
      </c>
      <c r="D742" s="1">
        <v>0.0</v>
      </c>
    </row>
    <row r="743" ht="15.75" customHeight="1">
      <c r="A743" s="1" t="str">
        <f>IFERROR(__xludf.DUMMYFUNCTION("""COMPUTED_VALUE"""),"Alayna Pack")</f>
        <v>Alayna Pack</v>
      </c>
      <c r="B743" s="1" t="str">
        <f>IFERROR(__xludf.DUMMYFUNCTION("""COMPUTED_VALUE"""),"LL")</f>
        <v>LL</v>
      </c>
      <c r="C743" s="1" t="str">
        <f t="shared" si="1"/>
        <v>No</v>
      </c>
      <c r="D743" s="1">
        <v>0.0</v>
      </c>
    </row>
    <row r="744" ht="15.75" customHeight="1">
      <c r="A744" s="1" t="str">
        <f>IFERROR(__xludf.DUMMYFUNCTION("""COMPUTED_VALUE"""),"Eva Davila Rodriguez")</f>
        <v>Eva Davila Rodriguez</v>
      </c>
      <c r="B744" s="1" t="str">
        <f>IFERROR(__xludf.DUMMYFUNCTION("""COMPUTED_VALUE"""),"MS")</f>
        <v>MS</v>
      </c>
      <c r="C744" s="1" t="str">
        <f t="shared" si="1"/>
        <v>No</v>
      </c>
      <c r="D744" s="1">
        <v>0.0</v>
      </c>
    </row>
    <row r="745" ht="15.75" customHeight="1">
      <c r="A745" s="1" t="str">
        <f>IFERROR(__xludf.DUMMYFUNCTION("""COMPUTED_VALUE"""),"Adrian Davila Rodriguez")</f>
        <v>Adrian Davila Rodriguez</v>
      </c>
      <c r="B745" s="1" t="str">
        <f>IFERROR(__xludf.DUMMYFUNCTION("""COMPUTED_VALUE"""),"L1")</f>
        <v>L1</v>
      </c>
      <c r="C745" s="1" t="str">
        <f t="shared" si="1"/>
        <v>No</v>
      </c>
      <c r="D745" s="1">
        <v>0.0</v>
      </c>
    </row>
    <row r="746" ht="15.75" customHeight="1">
      <c r="A746" s="1" t="str">
        <f>IFERROR(__xludf.DUMMYFUNCTION("""COMPUTED_VALUE"""),"Hilda Paredes Chumacero Rodriguez")</f>
        <v>Hilda Paredes Chumacero Rodriguez</v>
      </c>
      <c r="B746" s="1" t="str">
        <f>IFERROR(__xludf.DUMMYFUNCTION("""COMPUTED_VALUE"""),"L2")</f>
        <v>L2</v>
      </c>
      <c r="C746" s="1" t="str">
        <f t="shared" si="1"/>
        <v>No</v>
      </c>
      <c r="D746" s="1">
        <v>0.0</v>
      </c>
    </row>
    <row r="747" ht="15.75" customHeight="1">
      <c r="A747" s="1" t="str">
        <f>IFERROR(__xludf.DUMMYFUNCTION("""COMPUTED_VALUE"""),"Kaylee Claussen")</f>
        <v>Kaylee Claussen</v>
      </c>
      <c r="B747" s="1" t="str">
        <f>IFERROR(__xludf.DUMMYFUNCTION("""COMPUTED_VALUE"""),"L2")</f>
        <v>L2</v>
      </c>
      <c r="C747" s="1" t="str">
        <f t="shared" si="1"/>
        <v>No</v>
      </c>
      <c r="D747" s="1">
        <v>0.0</v>
      </c>
    </row>
    <row r="748" ht="15.75" customHeight="1">
      <c r="A748" s="1" t="str">
        <f>IFERROR(__xludf.DUMMYFUNCTION("""COMPUTED_VALUE"""),"Tristan Claussen")</f>
        <v>Tristan Claussen</v>
      </c>
      <c r="B748" s="1" t="str">
        <f>IFERROR(__xludf.DUMMYFUNCTION("""COMPUTED_VALUE"""),"MS")</f>
        <v>MS</v>
      </c>
      <c r="C748" s="1" t="str">
        <f t="shared" si="1"/>
        <v>No</v>
      </c>
      <c r="D748" s="1">
        <v>0.0</v>
      </c>
    </row>
    <row r="749" ht="15.75" customHeight="1">
      <c r="A749" s="1" t="str">
        <f>IFERROR(__xludf.DUMMYFUNCTION("""COMPUTED_VALUE"""),"Vienna Eriksen")</f>
        <v>Vienna Eriksen</v>
      </c>
      <c r="B749" s="1" t="str">
        <f>IFERROR(__xludf.DUMMYFUNCTION("""COMPUTED_VALUE"""),"L2")</f>
        <v>L2</v>
      </c>
      <c r="C749" s="1" t="str">
        <f t="shared" si="1"/>
        <v>No</v>
      </c>
      <c r="D749" s="1">
        <v>0.0</v>
      </c>
    </row>
    <row r="750" ht="15.75" customHeight="1">
      <c r="A750" s="1" t="str">
        <f>IFERROR(__xludf.DUMMYFUNCTION("""COMPUTED_VALUE"""),"Liam DeGol")</f>
        <v>Liam DeGol</v>
      </c>
      <c r="B750" s="1" t="str">
        <f>IFERROR(__xludf.DUMMYFUNCTION("""COMPUTED_VALUE"""),"L1")</f>
        <v>L1</v>
      </c>
      <c r="C750" s="1" t="str">
        <f t="shared" si="1"/>
        <v>No</v>
      </c>
      <c r="D750" s="1">
        <v>0.0</v>
      </c>
    </row>
    <row r="751" ht="15.75" customHeight="1">
      <c r="A751" s="1" t="str">
        <f>IFERROR(__xludf.DUMMYFUNCTION("""COMPUTED_VALUE"""),"Connor Roper")</f>
        <v>Connor Roper</v>
      </c>
      <c r="B751" s="1" t="str">
        <f>IFERROR(__xludf.DUMMYFUNCTION("""COMPUTED_VALUE"""),"MS")</f>
        <v>MS</v>
      </c>
      <c r="C751" s="1" t="str">
        <f t="shared" si="1"/>
        <v>No</v>
      </c>
      <c r="D751" s="1">
        <v>0.0</v>
      </c>
    </row>
    <row r="752" ht="15.75" customHeight="1">
      <c r="A752" s="1" t="str">
        <f>IFERROR(__xludf.DUMMYFUNCTION("""COMPUTED_VALUE"""),"Scarlett Tuchin")</f>
        <v>Scarlett Tuchin</v>
      </c>
      <c r="B752" s="1" t="str">
        <f>IFERROR(__xludf.DUMMYFUNCTION("""COMPUTED_VALUE"""),"L2")</f>
        <v>L2</v>
      </c>
      <c r="C752" s="1" t="str">
        <f t="shared" si="1"/>
        <v>No</v>
      </c>
      <c r="D752" s="1">
        <v>0.0</v>
      </c>
    </row>
    <row r="753" ht="15.75" customHeight="1">
      <c r="A753" s="1" t="str">
        <f>IFERROR(__xludf.DUMMYFUNCTION("""COMPUTED_VALUE"""),"River Tuchin")</f>
        <v>River Tuchin</v>
      </c>
      <c r="B753" s="1" t="str">
        <f>IFERROR(__xludf.DUMMYFUNCTION("""COMPUTED_VALUE"""),"L1")</f>
        <v>L1</v>
      </c>
      <c r="C753" s="1" t="str">
        <f t="shared" si="1"/>
        <v>No</v>
      </c>
      <c r="D753" s="1">
        <v>0.0</v>
      </c>
    </row>
    <row r="754" ht="15.75" customHeight="1">
      <c r="A754" s="1" t="str">
        <f>IFERROR(__xludf.DUMMYFUNCTION("""COMPUTED_VALUE"""),"Harrison Fischer")</f>
        <v>Harrison Fischer</v>
      </c>
      <c r="B754" s="1" t="str">
        <f>IFERROR(__xludf.DUMMYFUNCTION("""COMPUTED_VALUE"""),"L2")</f>
        <v>L2</v>
      </c>
      <c r="C754" s="1" t="str">
        <f t="shared" si="1"/>
        <v>No</v>
      </c>
      <c r="D754" s="1">
        <v>0.0</v>
      </c>
    </row>
    <row r="755" ht="15.75" customHeight="1">
      <c r="A755" s="1" t="str">
        <f>IFERROR(__xludf.DUMMYFUNCTION("""COMPUTED_VALUE"""),"Coco Fischer")</f>
        <v>Coco Fischer</v>
      </c>
      <c r="B755" s="1" t="str">
        <f>IFERROR(__xludf.DUMMYFUNCTION("""COMPUTED_VALUE"""),"L1")</f>
        <v>L1</v>
      </c>
      <c r="C755" s="1" t="str">
        <f t="shared" si="1"/>
        <v>No</v>
      </c>
      <c r="D755" s="1">
        <v>0.0</v>
      </c>
    </row>
    <row r="756" ht="15.75" customHeight="1">
      <c r="A756" s="1" t="str">
        <f>IFERROR(__xludf.DUMMYFUNCTION("""COMPUTED_VALUE"""),"Gracia Hedelius")</f>
        <v>Gracia Hedelius</v>
      </c>
      <c r="B756" s="1" t="str">
        <f>IFERROR(__xludf.DUMMYFUNCTION("""COMPUTED_VALUE"""),"L2")</f>
        <v>L2</v>
      </c>
      <c r="C756" s="1" t="str">
        <f t="shared" si="1"/>
        <v>No</v>
      </c>
      <c r="D756" s="1">
        <v>0.0</v>
      </c>
    </row>
    <row r="757" ht="15.75" customHeight="1">
      <c r="A757" s="1" t="str">
        <f>IFERROR(__xludf.DUMMYFUNCTION("""COMPUTED_VALUE"""),"Jodi Mitzmann")</f>
        <v>Jodi Mitzmann</v>
      </c>
      <c r="B757" s="1" t="str">
        <f>IFERROR(__xludf.DUMMYFUNCTION("""COMPUTED_VALUE"""),"L1")</f>
        <v>L1</v>
      </c>
      <c r="C757" s="1" t="str">
        <f t="shared" si="1"/>
        <v>No</v>
      </c>
      <c r="D757" s="1">
        <v>0.0</v>
      </c>
    </row>
    <row r="758" ht="15.75" customHeight="1">
      <c r="A758" s="1" t="str">
        <f>IFERROR(__xludf.DUMMYFUNCTION("""COMPUTED_VALUE"""),"Hazel Gustafson")</f>
        <v>Hazel Gustafson</v>
      </c>
      <c r="B758" s="1" t="str">
        <f>IFERROR(__xludf.DUMMYFUNCTION("""COMPUTED_VALUE"""),"MS")</f>
        <v>MS</v>
      </c>
      <c r="C758" s="1" t="str">
        <f t="shared" si="1"/>
        <v>No</v>
      </c>
      <c r="D758" s="1">
        <v>0.0</v>
      </c>
    </row>
    <row r="759" ht="15.75" customHeight="1">
      <c r="A759" s="1" t="str">
        <f>IFERROR(__xludf.DUMMYFUNCTION("""COMPUTED_VALUE"""),"Asher Gustafson")</f>
        <v>Asher Gustafson</v>
      </c>
      <c r="B759" s="1" t="str">
        <f>IFERROR(__xludf.DUMMYFUNCTION("""COMPUTED_VALUE"""),"L2")</f>
        <v>L2</v>
      </c>
      <c r="C759" s="1" t="str">
        <f t="shared" si="1"/>
        <v>No</v>
      </c>
      <c r="D759" s="1">
        <v>0.0</v>
      </c>
    </row>
    <row r="760" ht="15.75" customHeight="1">
      <c r="A760" s="1" t="str">
        <f>IFERROR(__xludf.DUMMYFUNCTION("""COMPUTED_VALUE"""),"Ryan Thompson")</f>
        <v>Ryan Thompson</v>
      </c>
      <c r="B760" s="1" t="str">
        <f>IFERROR(__xludf.DUMMYFUNCTION("""COMPUTED_VALUE"""),"MS")</f>
        <v>MS</v>
      </c>
      <c r="C760" s="1" t="str">
        <f t="shared" si="1"/>
        <v>No</v>
      </c>
      <c r="D760" s="1">
        <v>0.0</v>
      </c>
    </row>
    <row r="761" ht="15.75" customHeight="1">
      <c r="A761" s="1" t="str">
        <f>IFERROR(__xludf.DUMMYFUNCTION("""COMPUTED_VALUE"""),"Freddie Thompson")</f>
        <v>Freddie Thompson</v>
      </c>
      <c r="B761" s="1" t="str">
        <f>IFERROR(__xludf.DUMMYFUNCTION("""COMPUTED_VALUE"""),"L1")</f>
        <v>L1</v>
      </c>
      <c r="C761" s="1" t="str">
        <f t="shared" si="1"/>
        <v>No</v>
      </c>
      <c r="D761" s="1">
        <v>0.0</v>
      </c>
    </row>
    <row r="762" ht="15.75" customHeight="1">
      <c r="A762" s="1" t="str">
        <f>IFERROR(__xludf.DUMMYFUNCTION("""COMPUTED_VALUE"""),"John Froehlich")</f>
        <v>John Froehlich</v>
      </c>
      <c r="B762" s="1" t="str">
        <f>IFERROR(__xludf.DUMMYFUNCTION("""COMPUTED_VALUE"""),"L1")</f>
        <v>L1</v>
      </c>
      <c r="C762" s="1" t="str">
        <f t="shared" si="1"/>
        <v>No</v>
      </c>
      <c r="D762" s="1">
        <v>0.0</v>
      </c>
    </row>
    <row r="763" ht="15.75" customHeight="1">
      <c r="A763" s="1" t="str">
        <f>IFERROR(__xludf.DUMMYFUNCTION("""COMPUTED_VALUE"""),"Adelynn Lincoln")</f>
        <v>Adelynn Lincoln</v>
      </c>
      <c r="B763" s="1" t="str">
        <f>IFERROR(__xludf.DUMMYFUNCTION("""COMPUTED_VALUE"""),"L2")</f>
        <v>L2</v>
      </c>
      <c r="C763" s="1" t="str">
        <f t="shared" si="1"/>
        <v>No</v>
      </c>
      <c r="D763" s="1">
        <v>0.0</v>
      </c>
    </row>
    <row r="764" ht="15.75" customHeight="1">
      <c r="A764" s="1" t="str">
        <f>IFERROR(__xludf.DUMMYFUNCTION("""COMPUTED_VALUE"""),"Josslynn Lincoln")</f>
        <v>Josslynn Lincoln</v>
      </c>
      <c r="B764" s="1" t="str">
        <f>IFERROR(__xludf.DUMMYFUNCTION("""COMPUTED_VALUE"""),"L1")</f>
        <v>L1</v>
      </c>
      <c r="C764" s="1" t="str">
        <f t="shared" si="1"/>
        <v>No</v>
      </c>
      <c r="D764" s="1">
        <v>0.0</v>
      </c>
    </row>
    <row r="765" ht="15.75" customHeight="1">
      <c r="A765" s="1" t="str">
        <f>IFERROR(__xludf.DUMMYFUNCTION("""COMPUTED_VALUE"""),"Channing Lincoln")</f>
        <v>Channing Lincoln</v>
      </c>
      <c r="B765" s="1" t="str">
        <f>IFERROR(__xludf.DUMMYFUNCTION("""COMPUTED_VALUE"""),"MS")</f>
        <v>MS</v>
      </c>
      <c r="C765" s="1" t="str">
        <f t="shared" si="1"/>
        <v>No</v>
      </c>
      <c r="D765" s="1">
        <v>0.0</v>
      </c>
    </row>
    <row r="766" ht="15.75" customHeight="1">
      <c r="A766" s="1" t="str">
        <f>IFERROR(__xludf.DUMMYFUNCTION("""COMPUTED_VALUE"""),"Regan Asp")</f>
        <v>Regan Asp</v>
      </c>
      <c r="B766" s="1" t="str">
        <f>IFERROR(__xludf.DUMMYFUNCTION("""COMPUTED_VALUE"""),"L2")</f>
        <v>L2</v>
      </c>
      <c r="C766" s="1" t="str">
        <f t="shared" si="1"/>
        <v>No</v>
      </c>
      <c r="D766" s="1">
        <v>0.0</v>
      </c>
    </row>
    <row r="767" ht="15.75" customHeight="1">
      <c r="A767" s="1" t="str">
        <f>IFERROR(__xludf.DUMMYFUNCTION("""COMPUTED_VALUE"""),"Brady Asp")</f>
        <v>Brady Asp</v>
      </c>
      <c r="B767" s="1" t="str">
        <f>IFERROR(__xludf.DUMMYFUNCTION("""COMPUTED_VALUE"""),"L1")</f>
        <v>L1</v>
      </c>
      <c r="C767" s="1" t="str">
        <f t="shared" si="1"/>
        <v>No</v>
      </c>
      <c r="D767" s="1">
        <v>0.0</v>
      </c>
    </row>
    <row r="768" ht="15.75" customHeight="1">
      <c r="A768" s="1" t="str">
        <f>IFERROR(__xludf.DUMMYFUNCTION("""COMPUTED_VALUE"""),"Devon Asp")</f>
        <v>Devon Asp</v>
      </c>
      <c r="B768" s="1" t="str">
        <f>IFERROR(__xludf.DUMMYFUNCTION("""COMPUTED_VALUE"""),"L1")</f>
        <v>L1</v>
      </c>
      <c r="C768" s="1" t="str">
        <f t="shared" si="1"/>
        <v>No</v>
      </c>
      <c r="D768" s="1">
        <v>0.0</v>
      </c>
    </row>
    <row r="769" ht="15.75" customHeight="1">
      <c r="A769" s="1" t="str">
        <f>IFERROR(__xludf.DUMMYFUNCTION("""COMPUTED_VALUE"""),"Hannah Foreman")</f>
        <v>Hannah Foreman</v>
      </c>
      <c r="B769" s="1" t="str">
        <f>IFERROR(__xludf.DUMMYFUNCTION("""COMPUTED_VALUE"""),"LL")</f>
        <v>LL</v>
      </c>
      <c r="C769" s="1" t="str">
        <f t="shared" si="1"/>
        <v>No</v>
      </c>
      <c r="D769" s="1">
        <v>0.0</v>
      </c>
    </row>
    <row r="770" ht="15.75" customHeight="1">
      <c r="A770" s="1" t="str">
        <f>IFERROR(__xludf.DUMMYFUNCTION("""COMPUTED_VALUE"""),"Michael Rust")</f>
        <v>Michael Rust</v>
      </c>
      <c r="B770" s="1" t="str">
        <f>IFERROR(__xludf.DUMMYFUNCTION("""COMPUTED_VALUE"""),"MS")</f>
        <v>MS</v>
      </c>
      <c r="C770" s="1" t="str">
        <f t="shared" si="1"/>
        <v>No</v>
      </c>
      <c r="D770" s="1">
        <v>0.0</v>
      </c>
    </row>
    <row r="771" ht="15.75" customHeight="1">
      <c r="A771" s="1" t="str">
        <f>IFERROR(__xludf.DUMMYFUNCTION("""COMPUTED_VALUE"""),"William Cox")</f>
        <v>William Cox</v>
      </c>
      <c r="B771" s="1" t="str">
        <f>IFERROR(__xludf.DUMMYFUNCTION("""COMPUTED_VALUE"""),"L2")</f>
        <v>L2</v>
      </c>
      <c r="C771" s="1" t="str">
        <f t="shared" si="1"/>
        <v>No</v>
      </c>
      <c r="D771" s="1">
        <v>0.0</v>
      </c>
    </row>
    <row r="772" ht="15.75" customHeight="1">
      <c r="A772" s="1" t="str">
        <f>IFERROR(__xludf.DUMMYFUNCTION("""COMPUTED_VALUE"""),"Winston Cox")</f>
        <v>Winston Cox</v>
      </c>
      <c r="B772" s="1" t="str">
        <f>IFERROR(__xludf.DUMMYFUNCTION("""COMPUTED_VALUE"""),"L2")</f>
        <v>L2</v>
      </c>
      <c r="C772" s="1" t="str">
        <f t="shared" si="1"/>
        <v>No</v>
      </c>
      <c r="D772" s="1">
        <v>0.0</v>
      </c>
    </row>
    <row r="773" ht="15.75" customHeight="1">
      <c r="A773" s="1" t="str">
        <f>IFERROR(__xludf.DUMMYFUNCTION("""COMPUTED_VALUE"""),"Tyson Bean")</f>
        <v>Tyson Bean</v>
      </c>
      <c r="B773" s="1" t="str">
        <f>IFERROR(__xludf.DUMMYFUNCTION("""COMPUTED_VALUE"""),"L2")</f>
        <v>L2</v>
      </c>
      <c r="C773" s="1" t="str">
        <f t="shared" si="1"/>
        <v>No</v>
      </c>
      <c r="D773" s="1">
        <v>0.0</v>
      </c>
    </row>
    <row r="774" ht="15.75" customHeight="1">
      <c r="A774" s="1" t="str">
        <f>IFERROR(__xludf.DUMMYFUNCTION("""COMPUTED_VALUE"""),"Mikko Bean")</f>
        <v>Mikko Bean</v>
      </c>
      <c r="B774" s="1" t="str">
        <f>IFERROR(__xludf.DUMMYFUNCTION("""COMPUTED_VALUE"""),"MS")</f>
        <v>MS</v>
      </c>
      <c r="C774" s="1" t="str">
        <f t="shared" si="1"/>
        <v>No</v>
      </c>
      <c r="D774" s="1">
        <v>0.0</v>
      </c>
    </row>
    <row r="775" ht="15.75" customHeight="1">
      <c r="A775" s="1" t="str">
        <f>IFERROR(__xludf.DUMMYFUNCTION("""COMPUTED_VALUE"""),"Elliott Lai")</f>
        <v>Elliott Lai</v>
      </c>
      <c r="B775" s="1" t="str">
        <f>IFERROR(__xludf.DUMMYFUNCTION("""COMPUTED_VALUE"""),"L1")</f>
        <v>L1</v>
      </c>
      <c r="C775" s="1" t="str">
        <f t="shared" si="1"/>
        <v>No</v>
      </c>
      <c r="D775" s="1">
        <v>0.0</v>
      </c>
    </row>
    <row r="776" ht="15.75" customHeight="1">
      <c r="A776" s="1" t="str">
        <f>IFERROR(__xludf.DUMMYFUNCTION("""COMPUTED_VALUE"""),"Ayana Gugu")</f>
        <v>Ayana Gugu</v>
      </c>
      <c r="B776" s="1" t="str">
        <f>IFERROR(__xludf.DUMMYFUNCTION("""COMPUTED_VALUE"""),"L2")</f>
        <v>L2</v>
      </c>
      <c r="C776" s="1" t="str">
        <f t="shared" si="1"/>
        <v>No</v>
      </c>
      <c r="D776" s="1">
        <v>0.0</v>
      </c>
    </row>
    <row r="777" ht="15.75" customHeight="1">
      <c r="A777" s="1" t="str">
        <f>IFERROR(__xludf.DUMMYFUNCTION("""COMPUTED_VALUE"""),"Amara Gugu")</f>
        <v>Amara Gugu</v>
      </c>
      <c r="B777" s="1" t="str">
        <f>IFERROR(__xludf.DUMMYFUNCTION("""COMPUTED_VALUE"""),"L1")</f>
        <v>L1</v>
      </c>
      <c r="C777" s="1" t="str">
        <f t="shared" si="1"/>
        <v>No</v>
      </c>
      <c r="D777" s="1">
        <v>0.0</v>
      </c>
    </row>
    <row r="778" ht="15.75" customHeight="1">
      <c r="A778" s="1" t="str">
        <f>IFERROR(__xludf.DUMMYFUNCTION("""COMPUTED_VALUE"""),"Ethan Esayian")</f>
        <v>Ethan Esayian</v>
      </c>
      <c r="B778" s="1" t="str">
        <f>IFERROR(__xludf.DUMMYFUNCTION("""COMPUTED_VALUE"""),"L2")</f>
        <v>L2</v>
      </c>
      <c r="C778" s="1" t="str">
        <f t="shared" si="1"/>
        <v>No</v>
      </c>
      <c r="D778" s="1">
        <v>0.0</v>
      </c>
    </row>
    <row r="779" ht="15.75" customHeight="1">
      <c r="A779" s="1" t="str">
        <f>IFERROR(__xludf.DUMMYFUNCTION("""COMPUTED_VALUE"""),"Nehemiah Harvard")</f>
        <v>Nehemiah Harvard</v>
      </c>
      <c r="B779" s="1" t="str">
        <f>IFERROR(__xludf.DUMMYFUNCTION("""COMPUTED_VALUE"""),"L1")</f>
        <v>L1</v>
      </c>
      <c r="C779" s="1" t="str">
        <f t="shared" si="1"/>
        <v>No</v>
      </c>
      <c r="D779" s="1">
        <v>0.0</v>
      </c>
    </row>
    <row r="780" ht="15.75" customHeight="1">
      <c r="A780" s="1" t="str">
        <f>IFERROR(__xludf.DUMMYFUNCTION("""COMPUTED_VALUE"""),"Rozalyn Loock")</f>
        <v>Rozalyn Loock</v>
      </c>
      <c r="B780" s="1" t="str">
        <f>IFERROR(__xludf.DUMMYFUNCTION("""COMPUTED_VALUE"""),"L2")</f>
        <v>L2</v>
      </c>
      <c r="C780" s="1" t="str">
        <f t="shared" si="1"/>
        <v>No</v>
      </c>
      <c r="D780" s="1">
        <v>0.0</v>
      </c>
    </row>
    <row r="781" ht="15.75" customHeight="1">
      <c r="A781" s="1" t="str">
        <f>IFERROR(__xludf.DUMMYFUNCTION("""COMPUTED_VALUE"""),"Cornelius Loock")</f>
        <v>Cornelius Loock</v>
      </c>
      <c r="B781" s="1" t="str">
        <f>IFERROR(__xludf.DUMMYFUNCTION("""COMPUTED_VALUE"""),"L1")</f>
        <v>L1</v>
      </c>
      <c r="C781" s="1" t="str">
        <f t="shared" si="1"/>
        <v>No</v>
      </c>
      <c r="D781" s="1">
        <v>0.0</v>
      </c>
    </row>
    <row r="782" ht="15.75" customHeight="1">
      <c r="A782" s="1" t="str">
        <f>IFERROR(__xludf.DUMMYFUNCTION("""COMPUTED_VALUE"""),"Mina Ushakumari")</f>
        <v>Mina Ushakumari</v>
      </c>
      <c r="B782" s="1" t="str">
        <f>IFERROR(__xludf.DUMMYFUNCTION("""COMPUTED_VALUE"""),"L1")</f>
        <v>L1</v>
      </c>
      <c r="C782" s="1" t="str">
        <f t="shared" si="1"/>
        <v>No</v>
      </c>
      <c r="D782" s="1">
        <v>0.0</v>
      </c>
    </row>
    <row r="783" ht="15.75" customHeight="1">
      <c r="A783" s="1" t="str">
        <f>IFERROR(__xludf.DUMMYFUNCTION("""COMPUTED_VALUE"""),"Brynn Birmingham")</f>
        <v>Brynn Birmingham</v>
      </c>
      <c r="B783" s="1" t="str">
        <f>IFERROR(__xludf.DUMMYFUNCTION("""COMPUTED_VALUE"""),"L1")</f>
        <v>L1</v>
      </c>
      <c r="C783" s="1" t="str">
        <f t="shared" si="1"/>
        <v>No</v>
      </c>
      <c r="D783" s="1">
        <v>0.0</v>
      </c>
    </row>
    <row r="784" ht="15.75" customHeight="1">
      <c r="A784" s="1" t="str">
        <f>IFERROR(__xludf.DUMMYFUNCTION("""COMPUTED_VALUE"""),"Danil Molchanov")</f>
        <v>Danil Molchanov</v>
      </c>
      <c r="B784" s="1" t="str">
        <f>IFERROR(__xludf.DUMMYFUNCTION("""COMPUTED_VALUE"""),"MS")</f>
        <v>MS</v>
      </c>
      <c r="C784" s="1" t="str">
        <f t="shared" si="1"/>
        <v>No</v>
      </c>
      <c r="D784" s="1">
        <v>0.0</v>
      </c>
    </row>
    <row r="785" ht="15.75" customHeight="1">
      <c r="A785" s="1" t="str">
        <f>IFERROR(__xludf.DUMMYFUNCTION("""COMPUTED_VALUE"""),"Luke Edwards")</f>
        <v>Luke Edwards</v>
      </c>
      <c r="B785" s="1" t="str">
        <f>IFERROR(__xludf.DUMMYFUNCTION("""COMPUTED_VALUE"""),"MS")</f>
        <v>MS</v>
      </c>
      <c r="C785" s="1" t="str">
        <f t="shared" si="1"/>
        <v>No</v>
      </c>
      <c r="D785" s="1">
        <v>0.0</v>
      </c>
    </row>
    <row r="786" ht="15.75" customHeight="1">
      <c r="A786" s="1" t="str">
        <f>IFERROR(__xludf.DUMMYFUNCTION("""COMPUTED_VALUE"""),"treygan snodgress")</f>
        <v>treygan snodgress</v>
      </c>
      <c r="B786" s="1" t="str">
        <f>IFERROR(__xludf.DUMMYFUNCTION("""COMPUTED_VALUE"""),"HS")</f>
        <v>HS</v>
      </c>
      <c r="C786" s="1" t="str">
        <f t="shared" si="1"/>
        <v>No</v>
      </c>
      <c r="D786" s="1">
        <v>0.0</v>
      </c>
    </row>
    <row r="787" ht="15.75" customHeight="1">
      <c r="A787" s="1" t="str">
        <f>IFERROR(__xludf.DUMMYFUNCTION("""COMPUTED_VALUE"""),"Malaya Kabigting")</f>
        <v>Malaya Kabigting</v>
      </c>
      <c r="B787" s="1" t="str">
        <f>IFERROR(__xludf.DUMMYFUNCTION("""COMPUTED_VALUE"""),"MS")</f>
        <v>MS</v>
      </c>
      <c r="C787" s="1" t="str">
        <f t="shared" si="1"/>
        <v>No</v>
      </c>
      <c r="D787" s="1">
        <v>0.0</v>
      </c>
    </row>
    <row r="788" ht="15.75" customHeight="1">
      <c r="A788" s="1" t="str">
        <f>IFERROR(__xludf.DUMMYFUNCTION("""COMPUTED_VALUE"""),"Kieren Wilson")</f>
        <v>Kieren Wilson</v>
      </c>
      <c r="B788" s="1" t="str">
        <f>IFERROR(__xludf.DUMMYFUNCTION("""COMPUTED_VALUE"""),"MS")</f>
        <v>MS</v>
      </c>
      <c r="C788" s="1" t="str">
        <f t="shared" si="1"/>
        <v>No</v>
      </c>
      <c r="D788" s="1">
        <v>0.0</v>
      </c>
    </row>
    <row r="789" ht="15.75" customHeight="1">
      <c r="A789" s="1" t="str">
        <f>IFERROR(__xludf.DUMMYFUNCTION("""COMPUTED_VALUE"""),"Belle Younger")</f>
        <v>Belle Younger</v>
      </c>
      <c r="B789" s="1" t="str">
        <f>IFERROR(__xludf.DUMMYFUNCTION("""COMPUTED_VALUE"""),"L1")</f>
        <v>L1</v>
      </c>
      <c r="C789" s="1" t="str">
        <f t="shared" si="1"/>
        <v>No</v>
      </c>
      <c r="D789" s="1">
        <v>0.0</v>
      </c>
    </row>
    <row r="790" ht="15.75" customHeight="1">
      <c r="A790" s="1" t="str">
        <f>IFERROR(__xludf.DUMMYFUNCTION("""COMPUTED_VALUE"""),"Avery Collier")</f>
        <v>Avery Collier</v>
      </c>
      <c r="B790" s="1" t="str">
        <f>IFERROR(__xludf.DUMMYFUNCTION("""COMPUTED_VALUE"""),"MS")</f>
        <v>MS</v>
      </c>
      <c r="C790" s="1" t="str">
        <f t="shared" si="1"/>
        <v>No</v>
      </c>
      <c r="D790" s="1">
        <v>0.0</v>
      </c>
    </row>
    <row r="791" ht="15.75" customHeight="1">
      <c r="A791" s="1" t="str">
        <f>IFERROR(__xludf.DUMMYFUNCTION("""COMPUTED_VALUE"""),"Jack Collier")</f>
        <v>Jack Collier</v>
      </c>
      <c r="B791" s="1" t="str">
        <f>IFERROR(__xludf.DUMMYFUNCTION("""COMPUTED_VALUE"""),"MS")</f>
        <v>MS</v>
      </c>
      <c r="C791" s="1" t="str">
        <f t="shared" si="1"/>
        <v>No</v>
      </c>
      <c r="D791" s="1">
        <v>0.0</v>
      </c>
    </row>
    <row r="792" ht="15.75" customHeight="1">
      <c r="A792" s="1" t="str">
        <f>IFERROR(__xludf.DUMMYFUNCTION("""COMPUTED_VALUE"""),"Theo Collier")</f>
        <v>Theo Collier</v>
      </c>
      <c r="B792" s="1" t="str">
        <f>IFERROR(__xludf.DUMMYFUNCTION("""COMPUTED_VALUE"""),"L2")</f>
        <v>L2</v>
      </c>
      <c r="C792" s="1" t="str">
        <f t="shared" si="1"/>
        <v>No</v>
      </c>
      <c r="D792" s="1">
        <v>0.0</v>
      </c>
    </row>
    <row r="793" ht="15.75" customHeight="1">
      <c r="A793" s="1" t="str">
        <f>IFERROR(__xludf.DUMMYFUNCTION("""COMPUTED_VALUE"""),"Leah Marichal")</f>
        <v>Leah Marichal</v>
      </c>
      <c r="B793" s="1" t="str">
        <f>IFERROR(__xludf.DUMMYFUNCTION("""COMPUTED_VALUE"""),"L2")</f>
        <v>L2</v>
      </c>
      <c r="C793" s="1" t="str">
        <f t="shared" si="1"/>
        <v>No</v>
      </c>
      <c r="D793" s="1">
        <v>0.0</v>
      </c>
    </row>
    <row r="794" ht="15.75" customHeight="1">
      <c r="A794" s="1" t="str">
        <f>IFERROR(__xludf.DUMMYFUNCTION("""COMPUTED_VALUE"""),"Jonathan Neola")</f>
        <v>Jonathan Neola</v>
      </c>
      <c r="B794" s="1" t="str">
        <f>IFERROR(__xludf.DUMMYFUNCTION("""COMPUTED_VALUE"""),"L1")</f>
        <v>L1</v>
      </c>
      <c r="C794" s="1" t="str">
        <f t="shared" si="1"/>
        <v>No</v>
      </c>
      <c r="D794" s="1">
        <v>0.0</v>
      </c>
    </row>
    <row r="795" ht="15.75" customHeight="1">
      <c r="A795" s="1" t="str">
        <f>IFERROR(__xludf.DUMMYFUNCTION("""COMPUTED_VALUE"""),"Alex Agee")</f>
        <v>Alex Agee</v>
      </c>
      <c r="B795" s="1" t="str">
        <f>IFERROR(__xludf.DUMMYFUNCTION("""COMPUTED_VALUE"""),"MS")</f>
        <v>MS</v>
      </c>
      <c r="C795" s="1" t="str">
        <f t="shared" si="1"/>
        <v>No</v>
      </c>
      <c r="D795" s="1">
        <v>0.0</v>
      </c>
    </row>
    <row r="796" ht="15.75" customHeight="1">
      <c r="A796" s="1" t="str">
        <f>IFERROR(__xludf.DUMMYFUNCTION("""COMPUTED_VALUE"""),"Emma Agee")</f>
        <v>Emma Agee</v>
      </c>
      <c r="B796" s="1" t="str">
        <f>IFERROR(__xludf.DUMMYFUNCTION("""COMPUTED_VALUE"""),"MS")</f>
        <v>MS</v>
      </c>
      <c r="C796" s="1" t="str">
        <f t="shared" si="1"/>
        <v>No</v>
      </c>
      <c r="D796" s="1">
        <v>0.0</v>
      </c>
    </row>
    <row r="797" ht="15.75" customHeight="1">
      <c r="A797" s="1" t="str">
        <f>IFERROR(__xludf.DUMMYFUNCTION("""COMPUTED_VALUE"""),"Noelia Benavides")</f>
        <v>Noelia Benavides</v>
      </c>
      <c r="B797" s="1" t="str">
        <f>IFERROR(__xludf.DUMMYFUNCTION("""COMPUTED_VALUE"""),"L2")</f>
        <v>L2</v>
      </c>
      <c r="C797" s="1" t="str">
        <f t="shared" si="1"/>
        <v>No</v>
      </c>
      <c r="D797" s="1">
        <v>0.0</v>
      </c>
    </row>
    <row r="798" ht="15.75" customHeight="1">
      <c r="A798" s="1" t="str">
        <f>IFERROR(__xludf.DUMMYFUNCTION("""COMPUTED_VALUE"""),"Nicolangelo Haner")</f>
        <v>Nicolangelo Haner</v>
      </c>
      <c r="B798" s="1" t="str">
        <f>IFERROR(__xludf.DUMMYFUNCTION("""COMPUTED_VALUE"""),"L1")</f>
        <v>L1</v>
      </c>
      <c r="C798" s="1" t="str">
        <f t="shared" si="1"/>
        <v>No</v>
      </c>
      <c r="D798" s="1">
        <v>0.0</v>
      </c>
    </row>
    <row r="799" ht="15.75" customHeight="1">
      <c r="A799" s="1" t="str">
        <f>IFERROR(__xludf.DUMMYFUNCTION("""COMPUTED_VALUE"""),"Lucia Rodriguez-Barrios")</f>
        <v>Lucia Rodriguez-Barrios</v>
      </c>
      <c r="B799" s="1" t="str">
        <f>IFERROR(__xludf.DUMMYFUNCTION("""COMPUTED_VALUE"""),"MS")</f>
        <v>MS</v>
      </c>
      <c r="C799" s="1" t="str">
        <f t="shared" si="1"/>
        <v>No</v>
      </c>
      <c r="D799" s="1">
        <v>0.0</v>
      </c>
    </row>
    <row r="800" ht="15.75" customHeight="1">
      <c r="A800" s="1" t="str">
        <f>IFERROR(__xludf.DUMMYFUNCTION("""COMPUTED_VALUE"""),"Landon Jeppesen")</f>
        <v>Landon Jeppesen</v>
      </c>
      <c r="B800" s="1" t="str">
        <f>IFERROR(__xludf.DUMMYFUNCTION("""COMPUTED_VALUE"""),"MS")</f>
        <v>MS</v>
      </c>
      <c r="C800" s="1" t="str">
        <f t="shared" si="1"/>
        <v>No</v>
      </c>
      <c r="D800" s="1">
        <v>0.0</v>
      </c>
    </row>
    <row r="801" ht="15.75" customHeight="1">
      <c r="A801" s="1" t="str">
        <f>IFERROR(__xludf.DUMMYFUNCTION("""COMPUTED_VALUE"""),"Paisley Jeppesen")</f>
        <v>Paisley Jeppesen</v>
      </c>
      <c r="B801" s="1" t="str">
        <f>IFERROR(__xludf.DUMMYFUNCTION("""COMPUTED_VALUE"""),"L2")</f>
        <v>L2</v>
      </c>
      <c r="C801" s="1" t="str">
        <f t="shared" si="1"/>
        <v>No</v>
      </c>
      <c r="D801" s="1">
        <v>0.0</v>
      </c>
    </row>
    <row r="802" ht="15.75" customHeight="1">
      <c r="A802" s="1" t="str">
        <f>IFERROR(__xludf.DUMMYFUNCTION("""COMPUTED_VALUE"""),"Gus Christie")</f>
        <v>Gus Christie</v>
      </c>
      <c r="B802" s="1" t="str">
        <f>IFERROR(__xludf.DUMMYFUNCTION("""COMPUTED_VALUE"""),"L2")</f>
        <v>L2</v>
      </c>
      <c r="C802" s="1" t="str">
        <f t="shared" si="1"/>
        <v>No</v>
      </c>
      <c r="D802" s="1">
        <v>0.0</v>
      </c>
    </row>
    <row r="803" ht="15.75" customHeight="1">
      <c r="A803" s="1" t="str">
        <f>IFERROR(__xludf.DUMMYFUNCTION("""COMPUTED_VALUE"""),"Ava Schultz")</f>
        <v>Ava Schultz</v>
      </c>
      <c r="B803" s="1" t="str">
        <f>IFERROR(__xludf.DUMMYFUNCTION("""COMPUTED_VALUE"""),"MS")</f>
        <v>MS</v>
      </c>
      <c r="C803" s="1" t="str">
        <f t="shared" si="1"/>
        <v>No</v>
      </c>
      <c r="D803" s="1">
        <v>0.0</v>
      </c>
    </row>
    <row r="804" ht="15.75" customHeight="1">
      <c r="A804" s="1" t="str">
        <f>IFERROR(__xludf.DUMMYFUNCTION("""COMPUTED_VALUE"""),"David McCormick")</f>
        <v>David McCormick</v>
      </c>
      <c r="B804" s="1" t="str">
        <f>IFERROR(__xludf.DUMMYFUNCTION("""COMPUTED_VALUE"""),"L2")</f>
        <v>L2</v>
      </c>
      <c r="C804" s="1" t="str">
        <f t="shared" si="1"/>
        <v>No</v>
      </c>
      <c r="D804" s="1">
        <v>0.0</v>
      </c>
    </row>
    <row r="805" ht="15.75" customHeight="1">
      <c r="A805" s="1" t="str">
        <f>IFERROR(__xludf.DUMMYFUNCTION("""COMPUTED_VALUE"""),"Jameson McCormick")</f>
        <v>Jameson McCormick</v>
      </c>
      <c r="B805" s="1" t="str">
        <f>IFERROR(__xludf.DUMMYFUNCTION("""COMPUTED_VALUE"""),"MS")</f>
        <v>MS</v>
      </c>
      <c r="C805" s="1" t="str">
        <f t="shared" si="1"/>
        <v>No</v>
      </c>
      <c r="D805" s="1">
        <v>0.0</v>
      </c>
    </row>
    <row r="806" ht="15.75" customHeight="1">
      <c r="A806" s="1" t="str">
        <f>IFERROR(__xludf.DUMMYFUNCTION("""COMPUTED_VALUE"""),"Kai Malham")</f>
        <v>Kai Malham</v>
      </c>
      <c r="B806" s="1" t="str">
        <f>IFERROR(__xludf.DUMMYFUNCTION("""COMPUTED_VALUE"""),"L1")</f>
        <v>L1</v>
      </c>
      <c r="C806" s="1" t="str">
        <f t="shared" si="1"/>
        <v>No</v>
      </c>
      <c r="D806" s="1">
        <v>0.0</v>
      </c>
    </row>
    <row r="807" ht="15.75" customHeight="1">
      <c r="A807" s="1" t="str">
        <f>IFERROR(__xludf.DUMMYFUNCTION("""COMPUTED_VALUE"""),"Jada Davis")</f>
        <v>Jada Davis</v>
      </c>
      <c r="B807" s="1" t="str">
        <f>IFERROR(__xludf.DUMMYFUNCTION("""COMPUTED_VALUE"""),"MS")</f>
        <v>MS</v>
      </c>
      <c r="C807" s="1" t="str">
        <f t="shared" si="1"/>
        <v>No</v>
      </c>
      <c r="D807" s="1">
        <v>0.0</v>
      </c>
    </row>
    <row r="808" ht="15.75" customHeight="1">
      <c r="A808" s="1" t="str">
        <f>IFERROR(__xludf.DUMMYFUNCTION("""COMPUTED_VALUE"""),"Ella Wilkerson")</f>
        <v>Ella Wilkerson</v>
      </c>
      <c r="B808" s="1" t="str">
        <f>IFERROR(__xludf.DUMMYFUNCTION("""COMPUTED_VALUE"""),"L1")</f>
        <v>L1</v>
      </c>
      <c r="C808" s="1" t="str">
        <f t="shared" si="1"/>
        <v>No</v>
      </c>
      <c r="D808" s="1">
        <v>0.0</v>
      </c>
    </row>
    <row r="809" ht="15.75" customHeight="1">
      <c r="A809" s="1" t="str">
        <f>IFERROR(__xludf.DUMMYFUNCTION("""COMPUTED_VALUE"""),"Philippp Barminov")</f>
        <v>Philippp Barminov</v>
      </c>
      <c r="B809" s="1" t="str">
        <f>IFERROR(__xludf.DUMMYFUNCTION("""COMPUTED_VALUE"""),"MS")</f>
        <v>MS</v>
      </c>
      <c r="C809" s="1" t="str">
        <f t="shared" si="1"/>
        <v>No</v>
      </c>
      <c r="D809" s="1">
        <v>0.0</v>
      </c>
    </row>
    <row r="810" ht="15.75" customHeight="1">
      <c r="A810" s="1" t="str">
        <f>IFERROR(__xludf.DUMMYFUNCTION("""COMPUTED_VALUE"""),"Kloe Frank")</f>
        <v>Kloe Frank</v>
      </c>
      <c r="B810" s="1" t="str">
        <f>IFERROR(__xludf.DUMMYFUNCTION("""COMPUTED_VALUE"""),"L2")</f>
        <v>L2</v>
      </c>
      <c r="C810" s="1" t="str">
        <f t="shared" si="1"/>
        <v>No</v>
      </c>
      <c r="D810" s="1">
        <v>0.0</v>
      </c>
    </row>
    <row r="811" ht="15.75" customHeight="1">
      <c r="A811" s="1" t="str">
        <f>IFERROR(__xludf.DUMMYFUNCTION("""COMPUTED_VALUE"""),"Ze Silva")</f>
        <v>Ze Silva</v>
      </c>
      <c r="B811" s="1" t="str">
        <f>IFERROR(__xludf.DUMMYFUNCTION("""COMPUTED_VALUE"""),"MS")</f>
        <v>MS</v>
      </c>
      <c r="C811" s="1" t="str">
        <f t="shared" si="1"/>
        <v>No</v>
      </c>
      <c r="D811" s="1">
        <v>0.0</v>
      </c>
    </row>
    <row r="812" ht="15.75" customHeight="1">
      <c r="A812" s="1" t="str">
        <f>IFERROR(__xludf.DUMMYFUNCTION("""COMPUTED_VALUE"""),"Joca Silva")</f>
        <v>Joca Silva</v>
      </c>
      <c r="B812" s="1" t="str">
        <f>IFERROR(__xludf.DUMMYFUNCTION("""COMPUTED_VALUE"""),"L2")</f>
        <v>L2</v>
      </c>
      <c r="C812" s="1" t="str">
        <f t="shared" si="1"/>
        <v>No</v>
      </c>
      <c r="D812" s="1">
        <v>0.0</v>
      </c>
    </row>
    <row r="813" ht="15.75" customHeight="1">
      <c r="A813" s="1" t="str">
        <f>IFERROR(__xludf.DUMMYFUNCTION("""COMPUTED_VALUE"""),"Juliette Goldman")</f>
        <v>Juliette Goldman</v>
      </c>
      <c r="B813" s="1" t="str">
        <f>IFERROR(__xludf.DUMMYFUNCTION("""COMPUTED_VALUE"""),"MS")</f>
        <v>MS</v>
      </c>
      <c r="C813" s="1" t="str">
        <f t="shared" si="1"/>
        <v>No</v>
      </c>
      <c r="D813" s="1">
        <v>0.0</v>
      </c>
    </row>
    <row r="814" ht="15.75" customHeight="1">
      <c r="A814" s="1" t="str">
        <f>IFERROR(__xludf.DUMMYFUNCTION("""COMPUTED_VALUE"""),"Gabriella Goldman")</f>
        <v>Gabriella Goldman</v>
      </c>
      <c r="B814" s="1" t="str">
        <f>IFERROR(__xludf.DUMMYFUNCTION("""COMPUTED_VALUE"""),"L2")</f>
        <v>L2</v>
      </c>
      <c r="C814" s="1" t="str">
        <f t="shared" si="1"/>
        <v>No</v>
      </c>
      <c r="D814" s="1">
        <v>0.0</v>
      </c>
    </row>
    <row r="815" ht="15.75" customHeight="1">
      <c r="A815" s="1" t="str">
        <f>IFERROR(__xludf.DUMMYFUNCTION("""COMPUTED_VALUE"""),"Elissa Ek")</f>
        <v>Elissa Ek</v>
      </c>
      <c r="B815" s="1" t="str">
        <f>IFERROR(__xludf.DUMMYFUNCTION("""COMPUTED_VALUE"""),"MS")</f>
        <v>MS</v>
      </c>
      <c r="C815" s="1" t="str">
        <f t="shared" si="1"/>
        <v>No</v>
      </c>
      <c r="D815" s="1">
        <v>0.0</v>
      </c>
    </row>
    <row r="816" ht="15.75" customHeight="1">
      <c r="A816" s="1" t="str">
        <f>IFERROR(__xludf.DUMMYFUNCTION("""COMPUTED_VALUE"""),"Colinne Ek")</f>
        <v>Colinne Ek</v>
      </c>
      <c r="B816" s="1" t="str">
        <f>IFERROR(__xludf.DUMMYFUNCTION("""COMPUTED_VALUE"""),"L2")</f>
        <v>L2</v>
      </c>
      <c r="C816" s="1" t="str">
        <f t="shared" si="1"/>
        <v>No</v>
      </c>
      <c r="D816" s="1">
        <v>0.0</v>
      </c>
    </row>
    <row r="817" ht="15.75" customHeight="1">
      <c r="A817" s="1" t="str">
        <f>IFERROR(__xludf.DUMMYFUNCTION("""COMPUTED_VALUE"""),"Hafsa Shekhabdi")</f>
        <v>Hafsa Shekhabdi</v>
      </c>
      <c r="B817" s="1" t="str">
        <f>IFERROR(__xludf.DUMMYFUNCTION("""COMPUTED_VALUE"""),"L1")</f>
        <v>L1</v>
      </c>
      <c r="C817" s="1" t="str">
        <f t="shared" si="1"/>
        <v>No</v>
      </c>
      <c r="D817" s="1">
        <v>0.0</v>
      </c>
    </row>
    <row r="818" ht="15.75" customHeight="1">
      <c r="A818" s="1" t="str">
        <f>IFERROR(__xludf.DUMMYFUNCTION("""COMPUTED_VALUE"""),"Asher Bjurstrom")</f>
        <v>Asher Bjurstrom</v>
      </c>
      <c r="B818" s="1" t="str">
        <f>IFERROR(__xludf.DUMMYFUNCTION("""COMPUTED_VALUE"""),"MS")</f>
        <v>MS</v>
      </c>
      <c r="C818" s="1" t="str">
        <f t="shared" si="1"/>
        <v>No</v>
      </c>
      <c r="D818" s="1">
        <v>0.0</v>
      </c>
    </row>
    <row r="819" ht="15.75" customHeight="1">
      <c r="A819" s="1" t="str">
        <f>IFERROR(__xludf.DUMMYFUNCTION("""COMPUTED_VALUE"""),"Aviana Allen")</f>
        <v>Aviana Allen</v>
      </c>
      <c r="B819" s="1" t="str">
        <f>IFERROR(__xludf.DUMMYFUNCTION("""COMPUTED_VALUE"""),"L2")</f>
        <v>L2</v>
      </c>
      <c r="C819" s="1" t="str">
        <f t="shared" si="1"/>
        <v>No</v>
      </c>
      <c r="D819" s="1">
        <v>0.0</v>
      </c>
    </row>
    <row r="820" ht="15.75" customHeight="1">
      <c r="A820" s="1" t="str">
        <f>IFERROR(__xludf.DUMMYFUNCTION("""COMPUTED_VALUE"""),"Beckham OBrien")</f>
        <v>Beckham OBrien</v>
      </c>
      <c r="B820" s="1" t="str">
        <f>IFERROR(__xludf.DUMMYFUNCTION("""COMPUTED_VALUE"""),"MS")</f>
        <v>MS</v>
      </c>
      <c r="C820" s="1" t="str">
        <f t="shared" si="1"/>
        <v>No</v>
      </c>
      <c r="D820" s="1">
        <v>0.0</v>
      </c>
    </row>
    <row r="821" ht="15.75" customHeight="1">
      <c r="A821" s="1" t="str">
        <f>IFERROR(__xludf.DUMMYFUNCTION("""COMPUTED_VALUE"""),"Sasho Stoimenov")</f>
        <v>Sasho Stoimenov</v>
      </c>
      <c r="B821" s="1" t="str">
        <f>IFERROR(__xludf.DUMMYFUNCTION("""COMPUTED_VALUE"""),"L2")</f>
        <v>L2</v>
      </c>
      <c r="C821" s="1" t="str">
        <f t="shared" si="1"/>
        <v>No</v>
      </c>
      <c r="D821" s="1">
        <v>0.0</v>
      </c>
    </row>
    <row r="822" ht="15.75" customHeight="1">
      <c r="A822" s="1" t="str">
        <f>IFERROR(__xludf.DUMMYFUNCTION("""COMPUTED_VALUE"""),"Andrej Stoimenov")</f>
        <v>Andrej Stoimenov</v>
      </c>
      <c r="B822" s="1" t="str">
        <f>IFERROR(__xludf.DUMMYFUNCTION("""COMPUTED_VALUE"""),"MS")</f>
        <v>MS</v>
      </c>
      <c r="C822" s="1" t="str">
        <f t="shared" si="1"/>
        <v>No</v>
      </c>
      <c r="D822" s="1">
        <v>0.0</v>
      </c>
    </row>
    <row r="823" ht="15.75" customHeight="1">
      <c r="A823" s="1" t="str">
        <f>IFERROR(__xludf.DUMMYFUNCTION("""COMPUTED_VALUE"""),"Kellen Markovich")</f>
        <v>Kellen Markovich</v>
      </c>
      <c r="B823" s="1" t="str">
        <f>IFERROR(__xludf.DUMMYFUNCTION("""COMPUTED_VALUE"""),"L1")</f>
        <v>L1</v>
      </c>
      <c r="C823" s="1" t="str">
        <f t="shared" si="1"/>
        <v>No</v>
      </c>
      <c r="D823" s="1">
        <v>0.0</v>
      </c>
    </row>
    <row r="824" ht="15.75" customHeight="1">
      <c r="A824" s="1" t="str">
        <f>IFERROR(__xludf.DUMMYFUNCTION("""COMPUTED_VALUE"""),"Brooks Monte")</f>
        <v>Brooks Monte</v>
      </c>
      <c r="B824" s="1" t="str">
        <f>IFERROR(__xludf.DUMMYFUNCTION("""COMPUTED_VALUE"""),"L1")</f>
        <v>L1</v>
      </c>
      <c r="C824" s="1" t="str">
        <f t="shared" si="1"/>
        <v>No</v>
      </c>
      <c r="D824" s="1">
        <v>0.0</v>
      </c>
    </row>
    <row r="825" ht="15.75" customHeight="1">
      <c r="A825" s="1" t="str">
        <f>IFERROR(__xludf.DUMMYFUNCTION("""COMPUTED_VALUE"""),"Ryka Afshar")</f>
        <v>Ryka Afshar</v>
      </c>
      <c r="B825" s="1" t="str">
        <f>IFERROR(__xludf.DUMMYFUNCTION("""COMPUTED_VALUE"""),"L2")</f>
        <v>L2</v>
      </c>
      <c r="C825" s="1" t="str">
        <f t="shared" si="1"/>
        <v>No</v>
      </c>
      <c r="D825" s="1">
        <v>0.0</v>
      </c>
    </row>
    <row r="826" ht="15.75" customHeight="1">
      <c r="A826" s="1" t="str">
        <f>IFERROR(__xludf.DUMMYFUNCTION("""COMPUTED_VALUE"""),"Fila Afshar")</f>
        <v>Fila Afshar</v>
      </c>
      <c r="B826" s="1" t="str">
        <f>IFERROR(__xludf.DUMMYFUNCTION("""COMPUTED_VALUE"""),"L1")</f>
        <v>L1</v>
      </c>
      <c r="C826" s="1" t="str">
        <f t="shared" si="1"/>
        <v>No</v>
      </c>
      <c r="D826" s="1">
        <v>0.0</v>
      </c>
    </row>
    <row r="827" ht="15.75" customHeight="1">
      <c r="A827" s="1" t="str">
        <f>IFERROR(__xludf.DUMMYFUNCTION("""COMPUTED_VALUE"""),"Ayla Brennan")</f>
        <v>Ayla Brennan</v>
      </c>
      <c r="B827" s="1" t="str">
        <f>IFERROR(__xludf.DUMMYFUNCTION("""COMPUTED_VALUE"""),"MS")</f>
        <v>MS</v>
      </c>
      <c r="C827" s="1" t="str">
        <f t="shared" si="1"/>
        <v>No</v>
      </c>
      <c r="D827" s="1">
        <v>0.0</v>
      </c>
    </row>
    <row r="828" ht="15.75" customHeight="1">
      <c r="A828" s="1" t="str">
        <f>IFERROR(__xludf.DUMMYFUNCTION("""COMPUTED_VALUE"""),"Owen Brennan")</f>
        <v>Owen Brennan</v>
      </c>
      <c r="B828" s="1" t="str">
        <f>IFERROR(__xludf.DUMMYFUNCTION("""COMPUTED_VALUE"""),"L1")</f>
        <v>L1</v>
      </c>
      <c r="C828" s="1" t="str">
        <f t="shared" si="1"/>
        <v>No</v>
      </c>
      <c r="D828" s="1">
        <v>0.0</v>
      </c>
    </row>
    <row r="829" ht="15.75" customHeight="1">
      <c r="A829" s="1" t="str">
        <f>IFERROR(__xludf.DUMMYFUNCTION("""COMPUTED_VALUE"""),"Maya Gulden")</f>
        <v>Maya Gulden</v>
      </c>
      <c r="B829" s="1" t="str">
        <f>IFERROR(__xludf.DUMMYFUNCTION("""COMPUTED_VALUE"""),"LL")</f>
        <v>LL</v>
      </c>
      <c r="C829" s="1" t="str">
        <f t="shared" si="1"/>
        <v>No</v>
      </c>
      <c r="D829" s="1">
        <v>0.0</v>
      </c>
    </row>
    <row r="830" ht="15.75" customHeight="1">
      <c r="A830" s="1" t="str">
        <f>IFERROR(__xludf.DUMMYFUNCTION("""COMPUTED_VALUE"""),"Colin Louden")</f>
        <v>Colin Louden</v>
      </c>
      <c r="B830" s="1" t="str">
        <f>IFERROR(__xludf.DUMMYFUNCTION("""COMPUTED_VALUE"""),"L1")</f>
        <v>L1</v>
      </c>
      <c r="C830" s="1" t="str">
        <f t="shared" si="1"/>
        <v>No</v>
      </c>
      <c r="D830" s="1">
        <v>0.0</v>
      </c>
    </row>
    <row r="831" ht="15.75" customHeight="1">
      <c r="A831" s="1" t="str">
        <f>IFERROR(__xludf.DUMMYFUNCTION("""COMPUTED_VALUE"""),"Sahana Kella")</f>
        <v>Sahana Kella</v>
      </c>
      <c r="B831" s="1" t="str">
        <f>IFERROR(__xludf.DUMMYFUNCTION("""COMPUTED_VALUE"""),"MS")</f>
        <v>MS</v>
      </c>
      <c r="C831" s="1" t="str">
        <f t="shared" si="1"/>
        <v>No</v>
      </c>
      <c r="D831" s="1">
        <v>0.0</v>
      </c>
    </row>
    <row r="832" ht="15.75" customHeight="1">
      <c r="A832" s="1" t="str">
        <f>IFERROR(__xludf.DUMMYFUNCTION("""COMPUTED_VALUE"""),"Aryn Kella")</f>
        <v>Aryn Kella</v>
      </c>
      <c r="B832" s="1" t="str">
        <f>IFERROR(__xludf.DUMMYFUNCTION("""COMPUTED_VALUE"""),"MS")</f>
        <v>MS</v>
      </c>
      <c r="C832" s="1" t="str">
        <f t="shared" si="1"/>
        <v>No</v>
      </c>
      <c r="D832" s="1">
        <v>0.0</v>
      </c>
    </row>
    <row r="833" ht="15.75" customHeight="1">
      <c r="A833" s="1" t="str">
        <f>IFERROR(__xludf.DUMMYFUNCTION("""COMPUTED_VALUE"""),"Asreena Kella")</f>
        <v>Asreena Kella</v>
      </c>
      <c r="B833" s="1" t="str">
        <f>IFERROR(__xludf.DUMMYFUNCTION("""COMPUTED_VALUE"""),"L1")</f>
        <v>L1</v>
      </c>
      <c r="C833" s="1" t="str">
        <f t="shared" si="1"/>
        <v>No</v>
      </c>
      <c r="D833" s="1">
        <v>0.0</v>
      </c>
    </row>
    <row r="834" ht="15.75" customHeight="1">
      <c r="A834" s="1" t="str">
        <f>IFERROR(__xludf.DUMMYFUNCTION("""COMPUTED_VALUE"""),"Colton Earnest")</f>
        <v>Colton Earnest</v>
      </c>
      <c r="B834" s="1" t="str">
        <f>IFERROR(__xludf.DUMMYFUNCTION("""COMPUTED_VALUE"""),"MS")</f>
        <v>MS</v>
      </c>
      <c r="C834" s="1" t="str">
        <f t="shared" si="1"/>
        <v>No</v>
      </c>
      <c r="D834" s="1">
        <v>0.0</v>
      </c>
    </row>
    <row r="835" ht="15.75" customHeight="1">
      <c r="A835" s="1" t="str">
        <f>IFERROR(__xludf.DUMMYFUNCTION("""COMPUTED_VALUE"""),"Jack Earnest")</f>
        <v>Jack Earnest</v>
      </c>
      <c r="B835" s="1" t="str">
        <f>IFERROR(__xludf.DUMMYFUNCTION("""COMPUTED_VALUE"""),"MS")</f>
        <v>MS</v>
      </c>
      <c r="C835" s="1" t="str">
        <f t="shared" si="1"/>
        <v>No</v>
      </c>
      <c r="D835" s="1">
        <v>0.0</v>
      </c>
    </row>
    <row r="836" ht="15.75" customHeight="1">
      <c r="A836" s="1" t="str">
        <f>IFERROR(__xludf.DUMMYFUNCTION("""COMPUTED_VALUE"""),"Noah Lopez")</f>
        <v>Noah Lopez</v>
      </c>
      <c r="B836" s="1" t="str">
        <f>IFERROR(__xludf.DUMMYFUNCTION("""COMPUTED_VALUE"""),"L1")</f>
        <v>L1</v>
      </c>
      <c r="C836" s="1" t="str">
        <f t="shared" si="1"/>
        <v>No</v>
      </c>
      <c r="D836" s="1">
        <v>0.0</v>
      </c>
    </row>
    <row r="837" ht="15.75" customHeight="1">
      <c r="A837" s="1" t="str">
        <f>IFERROR(__xludf.DUMMYFUNCTION("""COMPUTED_VALUE"""),"Sofia Peretore")</f>
        <v>Sofia Peretore</v>
      </c>
      <c r="B837" s="1" t="str">
        <f>IFERROR(__xludf.DUMMYFUNCTION("""COMPUTED_VALUE"""),"L2")</f>
        <v>L2</v>
      </c>
      <c r="C837" s="1" t="str">
        <f t="shared" si="1"/>
        <v>No</v>
      </c>
      <c r="D837" s="1">
        <v>0.0</v>
      </c>
    </row>
    <row r="838" ht="15.75" customHeight="1">
      <c r="A838" s="1" t="str">
        <f>IFERROR(__xludf.DUMMYFUNCTION("""COMPUTED_VALUE"""),"Jalen Cheung")</f>
        <v>Jalen Cheung</v>
      </c>
      <c r="B838" s="1" t="str">
        <f>IFERROR(__xludf.DUMMYFUNCTION("""COMPUTED_VALUE"""),"L2")</f>
        <v>L2</v>
      </c>
      <c r="C838" s="1" t="str">
        <f t="shared" si="1"/>
        <v>No</v>
      </c>
      <c r="D838" s="1">
        <v>0.0</v>
      </c>
    </row>
    <row r="839" ht="15.75" customHeight="1">
      <c r="A839" s="1" t="str">
        <f>IFERROR(__xludf.DUMMYFUNCTION("""COMPUTED_VALUE"""),"Ryland Young")</f>
        <v>Ryland Young</v>
      </c>
      <c r="B839" s="1" t="str">
        <f>IFERROR(__xludf.DUMMYFUNCTION("""COMPUTED_VALUE"""),"L2")</f>
        <v>L2</v>
      </c>
      <c r="C839" s="1" t="str">
        <f t="shared" si="1"/>
        <v>No</v>
      </c>
      <c r="D839" s="1">
        <v>0.0</v>
      </c>
    </row>
    <row r="840" ht="15.75" customHeight="1">
      <c r="A840" s="1" t="str">
        <f>IFERROR(__xludf.DUMMYFUNCTION("""COMPUTED_VALUE"""),"Piper Jennings")</f>
        <v>Piper Jennings</v>
      </c>
      <c r="B840" s="1" t="str">
        <f>IFERROR(__xludf.DUMMYFUNCTION("""COMPUTED_VALUE"""),"L1")</f>
        <v>L1</v>
      </c>
      <c r="C840" s="1" t="str">
        <f t="shared" si="1"/>
        <v>No</v>
      </c>
      <c r="D840" s="1">
        <v>0.0</v>
      </c>
    </row>
    <row r="841" ht="15.75" customHeight="1">
      <c r="A841" s="1" t="str">
        <f>IFERROR(__xludf.DUMMYFUNCTION("""COMPUTED_VALUE"""),"Olivia Watson")</f>
        <v>Olivia Watson</v>
      </c>
      <c r="B841" s="1" t="str">
        <f>IFERROR(__xludf.DUMMYFUNCTION("""COMPUTED_VALUE"""),"MS")</f>
        <v>MS</v>
      </c>
      <c r="C841" s="1" t="str">
        <f t="shared" si="1"/>
        <v>No</v>
      </c>
      <c r="D841" s="1">
        <v>0.0</v>
      </c>
    </row>
    <row r="842" ht="15.75" customHeight="1">
      <c r="A842" s="1" t="str">
        <f>IFERROR(__xludf.DUMMYFUNCTION("""COMPUTED_VALUE"""),"Marlin Meyerhofer")</f>
        <v>Marlin Meyerhofer</v>
      </c>
      <c r="B842" s="1" t="str">
        <f>IFERROR(__xludf.DUMMYFUNCTION("""COMPUTED_VALUE"""),"MS")</f>
        <v>MS</v>
      </c>
      <c r="C842" s="1" t="str">
        <f t="shared" si="1"/>
        <v>No</v>
      </c>
      <c r="D842" s="1">
        <v>0.0</v>
      </c>
    </row>
    <row r="843" ht="15.75" customHeight="1">
      <c r="A843" s="1" t="str">
        <f>IFERROR(__xludf.DUMMYFUNCTION("""COMPUTED_VALUE"""),"Ethan Tsikira")</f>
        <v>Ethan Tsikira</v>
      </c>
      <c r="B843" s="1" t="str">
        <f>IFERROR(__xludf.DUMMYFUNCTION("""COMPUTED_VALUE"""),"L2")</f>
        <v>L2</v>
      </c>
      <c r="C843" s="1" t="str">
        <f t="shared" si="1"/>
        <v>No</v>
      </c>
      <c r="D843" s="1">
        <v>0.0</v>
      </c>
    </row>
    <row r="844" ht="15.75" customHeight="1">
      <c r="A844" s="1" t="str">
        <f>IFERROR(__xludf.DUMMYFUNCTION("""COMPUTED_VALUE"""),"Elijah Rivers")</f>
        <v>Elijah Rivers</v>
      </c>
      <c r="B844" s="1" t="str">
        <f>IFERROR(__xludf.DUMMYFUNCTION("""COMPUTED_VALUE"""),"L2")</f>
        <v>L2</v>
      </c>
      <c r="C844" s="1" t="str">
        <f t="shared" si="1"/>
        <v>No</v>
      </c>
      <c r="D844" s="1">
        <v>0.0</v>
      </c>
    </row>
    <row r="845" ht="15.75" customHeight="1">
      <c r="A845" s="1" t="str">
        <f>IFERROR(__xludf.DUMMYFUNCTION("""COMPUTED_VALUE"""),"Quinn Googin")</f>
        <v>Quinn Googin</v>
      </c>
      <c r="B845" s="1" t="str">
        <f>IFERROR(__xludf.DUMMYFUNCTION("""COMPUTED_VALUE"""),"L2")</f>
        <v>L2</v>
      </c>
      <c r="C845" s="1" t="str">
        <f t="shared" si="1"/>
        <v>No</v>
      </c>
      <c r="D845" s="1">
        <v>0.0</v>
      </c>
    </row>
    <row r="846" ht="15.75" customHeight="1">
      <c r="A846" s="1" t="str">
        <f>IFERROR(__xludf.DUMMYFUNCTION("""COMPUTED_VALUE"""),"Abigail D'Arcy")</f>
        <v>Abigail D'Arcy</v>
      </c>
      <c r="B846" s="1" t="str">
        <f>IFERROR(__xludf.DUMMYFUNCTION("""COMPUTED_VALUE"""),"HS")</f>
        <v>HS</v>
      </c>
      <c r="C846" s="1" t="str">
        <f t="shared" si="1"/>
        <v>No</v>
      </c>
      <c r="D846" s="1">
        <v>0.0</v>
      </c>
    </row>
    <row r="847" ht="15.75" customHeight="1">
      <c r="A847" s="1" t="str">
        <f>IFERROR(__xludf.DUMMYFUNCTION("""COMPUTED_VALUE"""),"Lukas Montes de Oca")</f>
        <v>Lukas Montes de Oca</v>
      </c>
      <c r="B847" s="1" t="str">
        <f>IFERROR(__xludf.DUMMYFUNCTION("""COMPUTED_VALUE"""),"MS")</f>
        <v>MS</v>
      </c>
      <c r="C847" s="1" t="str">
        <f t="shared" si="1"/>
        <v>No</v>
      </c>
      <c r="D847" s="1">
        <v>0.0</v>
      </c>
    </row>
    <row r="848" ht="15.75" customHeight="1">
      <c r="A848" s="1" t="str">
        <f>IFERROR(__xludf.DUMMYFUNCTION("""COMPUTED_VALUE"""),"Nehemiah Ward")</f>
        <v>Nehemiah Ward</v>
      </c>
      <c r="B848" s="1" t="str">
        <f>IFERROR(__xludf.DUMMYFUNCTION("""COMPUTED_VALUE"""),"MS")</f>
        <v>MS</v>
      </c>
      <c r="C848" s="1" t="str">
        <f t="shared" si="1"/>
        <v>No</v>
      </c>
      <c r="D848" s="1">
        <v>0.0</v>
      </c>
    </row>
    <row r="849" ht="15.75" customHeight="1">
      <c r="A849" s="1" t="str">
        <f>IFERROR(__xludf.DUMMYFUNCTION("""COMPUTED_VALUE"""),"Azariah Ward")</f>
        <v>Azariah Ward</v>
      </c>
      <c r="B849" s="1" t="str">
        <f>IFERROR(__xludf.DUMMYFUNCTION("""COMPUTED_VALUE"""),"MS")</f>
        <v>MS</v>
      </c>
      <c r="C849" s="1" t="str">
        <f t="shared" si="1"/>
        <v>No</v>
      </c>
      <c r="D849" s="1">
        <v>0.0</v>
      </c>
    </row>
    <row r="850" ht="15.75" customHeight="1">
      <c r="A850" s="1" t="str">
        <f>IFERROR(__xludf.DUMMYFUNCTION("""COMPUTED_VALUE"""),"Lois Mae Ward")</f>
        <v>Lois Mae Ward</v>
      </c>
      <c r="B850" s="1" t="str">
        <f>IFERROR(__xludf.DUMMYFUNCTION("""COMPUTED_VALUE"""),"L1")</f>
        <v>L1</v>
      </c>
      <c r="C850" s="1" t="str">
        <f t="shared" si="1"/>
        <v>No</v>
      </c>
      <c r="D850" s="1">
        <v>0.0</v>
      </c>
    </row>
    <row r="851" ht="15.75" customHeight="1">
      <c r="A851" s="1" t="str">
        <f>IFERROR(__xludf.DUMMYFUNCTION("""COMPUTED_VALUE"""),"Levi Ward")</f>
        <v>Levi Ward</v>
      </c>
      <c r="B851" s="1" t="str">
        <f>IFERROR(__xludf.DUMMYFUNCTION("""COMPUTED_VALUE"""),"HS")</f>
        <v>HS</v>
      </c>
      <c r="C851" s="1" t="str">
        <f t="shared" si="1"/>
        <v>No</v>
      </c>
      <c r="D851" s="1">
        <v>0.0</v>
      </c>
    </row>
    <row r="852" ht="15.75" customHeight="1">
      <c r="A852" s="1" t="str">
        <f>IFERROR(__xludf.DUMMYFUNCTION("""COMPUTED_VALUE"""),"Mason Prestridge-Hoover")</f>
        <v>Mason Prestridge-Hoover</v>
      </c>
      <c r="B852" s="1" t="str">
        <f>IFERROR(__xludf.DUMMYFUNCTION("""COMPUTED_VALUE"""),"L2")</f>
        <v>L2</v>
      </c>
      <c r="C852" s="1" t="str">
        <f t="shared" si="1"/>
        <v>No</v>
      </c>
      <c r="D852" s="1">
        <v>0.0</v>
      </c>
    </row>
    <row r="853" ht="15.75" customHeight="1">
      <c r="A853" s="1" t="str">
        <f>IFERROR(__xludf.DUMMYFUNCTION("""COMPUTED_VALUE"""),"Calvin Kaylor")</f>
        <v>Calvin Kaylor</v>
      </c>
      <c r="B853" s="1" t="str">
        <f>IFERROR(__xludf.DUMMYFUNCTION("""COMPUTED_VALUE"""),"L2")</f>
        <v>L2</v>
      </c>
      <c r="C853" s="1" t="str">
        <f t="shared" si="1"/>
        <v>No</v>
      </c>
      <c r="D853" s="1">
        <v>0.0</v>
      </c>
    </row>
    <row r="854" ht="15.75" customHeight="1">
      <c r="A854" s="1" t="str">
        <f>IFERROR(__xludf.DUMMYFUNCTION("""COMPUTED_VALUE"""),"Kiran Kerr")</f>
        <v>Kiran Kerr</v>
      </c>
      <c r="B854" s="1" t="str">
        <f>IFERROR(__xludf.DUMMYFUNCTION("""COMPUTED_VALUE"""),"MS")</f>
        <v>MS</v>
      </c>
      <c r="C854" s="1" t="str">
        <f t="shared" si="1"/>
        <v>No</v>
      </c>
      <c r="D854" s="1">
        <v>0.0</v>
      </c>
    </row>
    <row r="855" ht="15.75" customHeight="1">
      <c r="A855" s="1" t="str">
        <f>IFERROR(__xludf.DUMMYFUNCTION("""COMPUTED_VALUE"""),"KoreyGrace Kerr")</f>
        <v>KoreyGrace Kerr</v>
      </c>
      <c r="B855" s="1" t="str">
        <f>IFERROR(__xludf.DUMMYFUNCTION("""COMPUTED_VALUE"""),"L1")</f>
        <v>L1</v>
      </c>
      <c r="C855" s="1" t="str">
        <f t="shared" si="1"/>
        <v>No</v>
      </c>
      <c r="D855" s="1">
        <v>0.0</v>
      </c>
    </row>
    <row r="856" ht="15.75" customHeight="1">
      <c r="A856" s="1" t="str">
        <f>IFERROR(__xludf.DUMMYFUNCTION("""COMPUTED_VALUE"""),"Mia P")</f>
        <v>Mia P</v>
      </c>
      <c r="B856" s="1" t="str">
        <f>IFERROR(__xludf.DUMMYFUNCTION("""COMPUTED_VALUE"""),"L2")</f>
        <v>L2</v>
      </c>
      <c r="C856" s="1" t="str">
        <f t="shared" si="1"/>
        <v>No</v>
      </c>
      <c r="D856" s="1">
        <v>0.0</v>
      </c>
    </row>
    <row r="857" ht="15.75" customHeight="1">
      <c r="A857" s="1" t="str">
        <f>IFERROR(__xludf.DUMMYFUNCTION("""COMPUTED_VALUE"""),"A R")</f>
        <v>A R</v>
      </c>
      <c r="B857" s="1" t="str">
        <f>IFERROR(__xludf.DUMMYFUNCTION("""COMPUTED_VALUE"""),"LL")</f>
        <v>LL</v>
      </c>
      <c r="C857" s="1" t="str">
        <f t="shared" si="1"/>
        <v>No</v>
      </c>
      <c r="D857" s="1">
        <v>0.0</v>
      </c>
    </row>
    <row r="858" ht="15.75" customHeight="1">
      <c r="A858" s="1" t="str">
        <f>IFERROR(__xludf.DUMMYFUNCTION("""COMPUTED_VALUE"""),"Bradley Stuckey")</f>
        <v>Bradley Stuckey</v>
      </c>
      <c r="B858" s="1" t="str">
        <f>IFERROR(__xludf.DUMMYFUNCTION("""COMPUTED_VALUE"""),"MS")</f>
        <v>MS</v>
      </c>
      <c r="C858" s="1" t="str">
        <f t="shared" si="1"/>
        <v>No</v>
      </c>
      <c r="D858" s="1">
        <v>0.0</v>
      </c>
    </row>
    <row r="859" ht="15.75" customHeight="1">
      <c r="A859" s="1" t="str">
        <f>IFERROR(__xludf.DUMMYFUNCTION("""COMPUTED_VALUE"""),"Neylan Renshaw")</f>
        <v>Neylan Renshaw</v>
      </c>
      <c r="B859" s="1" t="str">
        <f>IFERROR(__xludf.DUMMYFUNCTION("""COMPUTED_VALUE"""),"LL")</f>
        <v>LL</v>
      </c>
      <c r="C859" s="1" t="str">
        <f t="shared" si="1"/>
        <v>No</v>
      </c>
      <c r="D859" s="1">
        <v>0.0</v>
      </c>
    </row>
    <row r="860" ht="15.75" customHeight="1">
      <c r="A860" s="1" t="str">
        <f>IFERROR(__xludf.DUMMYFUNCTION("""COMPUTED_VALUE"""),"Easton VerLee")</f>
        <v>Easton VerLee</v>
      </c>
      <c r="B860" s="1" t="str">
        <f>IFERROR(__xludf.DUMMYFUNCTION("""COMPUTED_VALUE"""),"MS")</f>
        <v>MS</v>
      </c>
      <c r="C860" s="1" t="str">
        <f t="shared" si="1"/>
        <v>No</v>
      </c>
      <c r="D860" s="1">
        <v>0.0</v>
      </c>
    </row>
    <row r="861" ht="15.75" customHeight="1">
      <c r="A861" s="1" t="str">
        <f>IFERROR(__xludf.DUMMYFUNCTION("""COMPUTED_VALUE"""),"Achinoam Maman")</f>
        <v>Achinoam Maman</v>
      </c>
      <c r="B861" s="1" t="str">
        <f>IFERROR(__xludf.DUMMYFUNCTION("""COMPUTED_VALUE"""),"L2")</f>
        <v>L2</v>
      </c>
      <c r="C861" s="1" t="str">
        <f t="shared" si="1"/>
        <v>No</v>
      </c>
      <c r="D861" s="1">
        <v>0.0</v>
      </c>
    </row>
    <row r="862" ht="15.75" customHeight="1">
      <c r="A862" s="1" t="str">
        <f>IFERROR(__xludf.DUMMYFUNCTION("""COMPUTED_VALUE"""),"Yael Maman")</f>
        <v>Yael Maman</v>
      </c>
      <c r="B862" s="1" t="str">
        <f>IFERROR(__xludf.DUMMYFUNCTION("""COMPUTED_VALUE"""),"HS")</f>
        <v>HS</v>
      </c>
      <c r="C862" s="1" t="str">
        <f t="shared" si="1"/>
        <v>No</v>
      </c>
      <c r="D862" s="1">
        <v>0.0</v>
      </c>
    </row>
    <row r="863" ht="15.75" customHeight="1">
      <c r="A863" s="1" t="str">
        <f>IFERROR(__xludf.DUMMYFUNCTION("""COMPUTED_VALUE"""),"Lior Maman")</f>
        <v>Lior Maman</v>
      </c>
      <c r="B863" s="1" t="str">
        <f>IFERROR(__xludf.DUMMYFUNCTION("""COMPUTED_VALUE"""),"L1")</f>
        <v>L1</v>
      </c>
      <c r="C863" s="1" t="str">
        <f t="shared" si="1"/>
        <v>No</v>
      </c>
      <c r="D863" s="1">
        <v>0.0</v>
      </c>
    </row>
    <row r="864" ht="15.75" customHeight="1">
      <c r="A864" s="1" t="str">
        <f>IFERROR(__xludf.DUMMYFUNCTION("""COMPUTED_VALUE"""),"Maksim Frolov")</f>
        <v>Maksim Frolov</v>
      </c>
      <c r="B864" s="1" t="str">
        <f>IFERROR(__xludf.DUMMYFUNCTION("""COMPUTED_VALUE"""),"HS")</f>
        <v>HS</v>
      </c>
      <c r="C864" s="1" t="str">
        <f t="shared" si="1"/>
        <v>No</v>
      </c>
      <c r="D864" s="1">
        <v>0.0</v>
      </c>
    </row>
    <row r="865" ht="15.75" customHeight="1">
      <c r="A865" s="1" t="str">
        <f>IFERROR(__xludf.DUMMYFUNCTION("""COMPUTED_VALUE"""),"Aleksander Frolov")</f>
        <v>Aleksander Frolov</v>
      </c>
      <c r="B865" s="1" t="str">
        <f>IFERROR(__xludf.DUMMYFUNCTION("""COMPUTED_VALUE"""),"L2")</f>
        <v>L2</v>
      </c>
      <c r="C865" s="1" t="str">
        <f t="shared" si="1"/>
        <v>No</v>
      </c>
      <c r="D865" s="1">
        <v>0.0</v>
      </c>
    </row>
    <row r="866" ht="15.75" customHeight="1">
      <c r="A866" s="1" t="str">
        <f>IFERROR(__xludf.DUMMYFUNCTION("""COMPUTED_VALUE"""),"Daron Tjoflat")</f>
        <v>Daron Tjoflat</v>
      </c>
      <c r="B866" s="1" t="str">
        <f>IFERROR(__xludf.DUMMYFUNCTION("""COMPUTED_VALUE"""),"HS")</f>
        <v>HS</v>
      </c>
      <c r="C866" s="1" t="str">
        <f t="shared" si="1"/>
        <v>No</v>
      </c>
      <c r="D866" s="1">
        <v>0.0</v>
      </c>
    </row>
    <row r="867" ht="15.75" customHeight="1">
      <c r="A867" s="1" t="str">
        <f>IFERROR(__xludf.DUMMYFUNCTION("""COMPUTED_VALUE"""),"Maya Barminova")</f>
        <v>Maya Barminova</v>
      </c>
      <c r="B867" s="1" t="str">
        <f>IFERROR(__xludf.DUMMYFUNCTION("""COMPUTED_VALUE"""),"MS")</f>
        <v>MS</v>
      </c>
      <c r="C867" s="1" t="str">
        <f t="shared" si="1"/>
        <v>No</v>
      </c>
      <c r="D867" s="1">
        <v>0.0</v>
      </c>
    </row>
    <row r="868" ht="15.75" customHeight="1">
      <c r="A868" s="1" t="str">
        <f>IFERROR(__xludf.DUMMYFUNCTION("""COMPUTED_VALUE"""),"Estheras Risinger")</f>
        <v>Estheras Risinger</v>
      </c>
      <c r="B868" s="1" t="str">
        <f>IFERROR(__xludf.DUMMYFUNCTION("""COMPUTED_VALUE"""),"HS")</f>
        <v>HS</v>
      </c>
      <c r="C868" s="1" t="str">
        <f t="shared" si="1"/>
        <v>No</v>
      </c>
      <c r="D868" s="1">
        <v>0.0</v>
      </c>
    </row>
    <row r="869" ht="15.75" customHeight="1">
      <c r="A869" s="1" t="str">
        <f>IFERROR(__xludf.DUMMYFUNCTION("""COMPUTED_VALUE"""),"Samuel Jackson")</f>
        <v>Samuel Jackson</v>
      </c>
      <c r="B869" s="1" t="str">
        <f>IFERROR(__xludf.DUMMYFUNCTION("""COMPUTED_VALUE"""),"HS")</f>
        <v>HS</v>
      </c>
      <c r="C869" s="1" t="str">
        <f t="shared" si="1"/>
        <v>No</v>
      </c>
      <c r="D869" s="1">
        <v>0.0</v>
      </c>
    </row>
    <row r="870" ht="15.75" customHeight="1">
      <c r="A870" s="1" t="str">
        <f>IFERROR(__xludf.DUMMYFUNCTION("""COMPUTED_VALUE"""),"Dmitryy asdsad")</f>
        <v>Dmitryy asdsad</v>
      </c>
      <c r="B870" s="1" t="str">
        <f>IFERROR(__xludf.DUMMYFUNCTION("""COMPUTED_VALUE"""),"HS")</f>
        <v>HS</v>
      </c>
      <c r="C870" s="1" t="str">
        <f t="shared" si="1"/>
        <v>No</v>
      </c>
      <c r="D870" s="1">
        <v>0.0</v>
      </c>
    </row>
    <row r="871" ht="15.75" customHeight="1">
      <c r="A871" s="1" t="str">
        <f>IFERROR(__xludf.DUMMYFUNCTION("""COMPUTED_VALUE"""),"Ava Voellings")</f>
        <v>Ava Voellings</v>
      </c>
      <c r="B871" s="1" t="str">
        <f>IFERROR(__xludf.DUMMYFUNCTION("""COMPUTED_VALUE"""),"L2")</f>
        <v>L2</v>
      </c>
      <c r="C871" s="1" t="str">
        <f t="shared" si="1"/>
        <v>No</v>
      </c>
      <c r="D871" s="1">
        <v>0.0</v>
      </c>
    </row>
    <row r="872" ht="15.75" customHeight="1">
      <c r="A872" s="1" t="str">
        <f>IFERROR(__xludf.DUMMYFUNCTION("""COMPUTED_VALUE"""),"Alden James Myers")</f>
        <v>Alden James Myers</v>
      </c>
      <c r="B872" s="1" t="str">
        <f>IFERROR(__xludf.DUMMYFUNCTION("""COMPUTED_VALUE"""),"L1")</f>
        <v>L1</v>
      </c>
      <c r="C872" s="1" t="str">
        <f t="shared" si="1"/>
        <v>No</v>
      </c>
      <c r="D872" s="1">
        <v>0.0</v>
      </c>
    </row>
    <row r="873" ht="15.75" customHeight="1">
      <c r="A873" s="1" t="str">
        <f>IFERROR(__xludf.DUMMYFUNCTION("""COMPUTED_VALUE"""),"Brooke Myers")</f>
        <v>Brooke Myers</v>
      </c>
      <c r="B873" s="1" t="str">
        <f>IFERROR(__xludf.DUMMYFUNCTION("""COMPUTED_VALUE"""),"MS")</f>
        <v>MS</v>
      </c>
      <c r="C873" s="1" t="str">
        <f t="shared" si="1"/>
        <v>No</v>
      </c>
      <c r="D873" s="1">
        <v>0.0</v>
      </c>
    </row>
    <row r="874" ht="15.75" customHeight="1">
      <c r="A874" s="1" t="str">
        <f>IFERROR(__xludf.DUMMYFUNCTION("""COMPUTED_VALUE"""),"Karam Lamba")</f>
        <v>Karam Lamba</v>
      </c>
      <c r="B874" s="1" t="str">
        <f>IFERROR(__xludf.DUMMYFUNCTION("""COMPUTED_VALUE"""),"MS")</f>
        <v>MS</v>
      </c>
      <c r="C874" s="1" t="str">
        <f t="shared" si="1"/>
        <v>No</v>
      </c>
      <c r="D874" s="1">
        <v>0.0</v>
      </c>
    </row>
    <row r="875" ht="15.75" customHeight="1">
      <c r="A875" s="1" t="str">
        <f>IFERROR(__xludf.DUMMYFUNCTION("""COMPUTED_VALUE"""),"Josiah Chevannes")</f>
        <v>Josiah Chevannes</v>
      </c>
      <c r="B875" s="1" t="str">
        <f>IFERROR(__xludf.DUMMYFUNCTION("""COMPUTED_VALUE"""),"L2")</f>
        <v>L2</v>
      </c>
      <c r="C875" s="1" t="str">
        <f t="shared" si="1"/>
        <v>No</v>
      </c>
      <c r="D875" s="1">
        <v>0.0</v>
      </c>
    </row>
    <row r="876" ht="15.75" customHeight="1">
      <c r="A876" s="1" t="str">
        <f>IFERROR(__xludf.DUMMYFUNCTION("""COMPUTED_VALUE"""),"Elena Beltran van Gelderen")</f>
        <v>Elena Beltran van Gelderen</v>
      </c>
      <c r="B876" s="1" t="str">
        <f>IFERROR(__xludf.DUMMYFUNCTION("""COMPUTED_VALUE"""),"MS")</f>
        <v>MS</v>
      </c>
      <c r="C876" s="1" t="str">
        <f t="shared" si="1"/>
        <v>No</v>
      </c>
      <c r="D876" s="1">
        <v>0.0</v>
      </c>
    </row>
    <row r="877" ht="15.75" customHeight="1">
      <c r="A877" s="1" t="str">
        <f>IFERROR(__xludf.DUMMYFUNCTION("""COMPUTED_VALUE"""),"Lucia Beltran van Gelderen")</f>
        <v>Lucia Beltran van Gelderen</v>
      </c>
      <c r="B877" s="1" t="str">
        <f>IFERROR(__xludf.DUMMYFUNCTION("""COMPUTED_VALUE"""),"L2")</f>
        <v>L2</v>
      </c>
      <c r="C877" s="1" t="str">
        <f t="shared" si="1"/>
        <v>No</v>
      </c>
      <c r="D877" s="1">
        <v>0.0</v>
      </c>
    </row>
    <row r="878" ht="15.75" customHeight="1">
      <c r="A878" s="1" t="str">
        <f>IFERROR(__xludf.DUMMYFUNCTION("""COMPUTED_VALUE"""),"Sofia Beltran van Gelderen")</f>
        <v>Sofia Beltran van Gelderen</v>
      </c>
      <c r="B878" s="1" t="str">
        <f>IFERROR(__xludf.DUMMYFUNCTION("""COMPUTED_VALUE"""),"MS")</f>
        <v>MS</v>
      </c>
      <c r="C878" s="1" t="str">
        <f t="shared" si="1"/>
        <v>No</v>
      </c>
      <c r="D878" s="1">
        <v>0.0</v>
      </c>
    </row>
    <row r="879" ht="15.75" customHeight="1">
      <c r="A879" s="1" t="str">
        <f>IFERROR(__xludf.DUMMYFUNCTION("""COMPUTED_VALUE"""),"Philipp Barminovv")</f>
        <v>Philipp Barminovv</v>
      </c>
      <c r="B879" s="1" t="str">
        <f>IFERROR(__xludf.DUMMYFUNCTION("""COMPUTED_VALUE"""),"L2")</f>
        <v>L2</v>
      </c>
      <c r="C879" s="1" t="str">
        <f t="shared" si="1"/>
        <v>No</v>
      </c>
      <c r="D879" s="1">
        <v>0.0</v>
      </c>
    </row>
    <row r="880" ht="15.75" customHeight="1">
      <c r="A880" s="1" t="str">
        <f>IFERROR(__xludf.DUMMYFUNCTION("""COMPUTED_VALUE"""),"JoJo Cinco")</f>
        <v>JoJo Cinco</v>
      </c>
      <c r="B880" s="1" t="str">
        <f>IFERROR(__xludf.DUMMYFUNCTION("""COMPUTED_VALUE"""),"L2")</f>
        <v>L2</v>
      </c>
      <c r="C880" s="1" t="str">
        <f t="shared" si="1"/>
        <v>No</v>
      </c>
      <c r="D880" s="1">
        <v>0.0</v>
      </c>
    </row>
    <row r="881" ht="15.75" customHeight="1">
      <c r="A881" s="1" t="str">
        <f>IFERROR(__xludf.DUMMYFUNCTION("""COMPUTED_VALUE"""),"Rocky Wilder")</f>
        <v>Rocky Wilder</v>
      </c>
      <c r="B881" s="1" t="str">
        <f>IFERROR(__xludf.DUMMYFUNCTION("""COMPUTED_VALUE"""),"L1")</f>
        <v>L1</v>
      </c>
      <c r="C881" s="1" t="str">
        <f t="shared" si="1"/>
        <v>No</v>
      </c>
      <c r="D881" s="1">
        <v>0.0</v>
      </c>
    </row>
    <row r="882" ht="15.75" customHeight="1">
      <c r="A882" s="1" t="str">
        <f>IFERROR(__xludf.DUMMYFUNCTION("""COMPUTED_VALUE"""),"Kaeto Frazier")</f>
        <v>Kaeto Frazier</v>
      </c>
      <c r="B882" s="1" t="str">
        <f>IFERROR(__xludf.DUMMYFUNCTION("""COMPUTED_VALUE"""),"MS")</f>
        <v>MS</v>
      </c>
      <c r="C882" s="1" t="str">
        <f t="shared" si="1"/>
        <v>No</v>
      </c>
      <c r="D882" s="1">
        <v>0.0</v>
      </c>
    </row>
    <row r="883" ht="15.75" customHeight="1">
      <c r="A883" s="1" t="str">
        <f>IFERROR(__xludf.DUMMYFUNCTION("""COMPUTED_VALUE"""),"Ami Mars")</f>
        <v>Ami Mars</v>
      </c>
      <c r="B883" s="1" t="str">
        <f>IFERROR(__xludf.DUMMYFUNCTION("""COMPUTED_VALUE"""),"L1")</f>
        <v>L1</v>
      </c>
      <c r="C883" s="1" t="str">
        <f t="shared" si="1"/>
        <v>No</v>
      </c>
      <c r="D883" s="1">
        <v>0.0</v>
      </c>
    </row>
    <row r="884" ht="15.75" customHeight="1">
      <c r="A884" s="1" t="str">
        <f>IFERROR(__xludf.DUMMYFUNCTION("""COMPUTED_VALUE"""),"Jonathan Sinnott")</f>
        <v>Jonathan Sinnott</v>
      </c>
      <c r="B884" s="1" t="str">
        <f>IFERROR(__xludf.DUMMYFUNCTION("""COMPUTED_VALUE"""),"L2")</f>
        <v>L2</v>
      </c>
      <c r="C884" s="1" t="str">
        <f t="shared" si="1"/>
        <v>No</v>
      </c>
      <c r="D884" s="1">
        <v>0.0</v>
      </c>
    </row>
    <row r="885" ht="15.75" customHeight="1">
      <c r="A885" s="1" t="str">
        <f>IFERROR(__xludf.DUMMYFUNCTION("""COMPUTED_VALUE"""),"James Sinnot5")</f>
        <v>James Sinnot5</v>
      </c>
      <c r="B885" s="1" t="str">
        <f>IFERROR(__xludf.DUMMYFUNCTION("""COMPUTED_VALUE"""),"L1")</f>
        <v>L1</v>
      </c>
      <c r="C885" s="1" t="str">
        <f t="shared" si="1"/>
        <v>No</v>
      </c>
      <c r="D885" s="1">
        <v>0.0</v>
      </c>
    </row>
    <row r="886" ht="15.75" customHeight="1">
      <c r="A886" s="1" t="str">
        <f>IFERROR(__xludf.DUMMYFUNCTION("""COMPUTED_VALUE"""),"Thomas Woodley")</f>
        <v>Thomas Woodley</v>
      </c>
      <c r="B886" s="1" t="str">
        <f>IFERROR(__xludf.DUMMYFUNCTION("""COMPUTED_VALUE"""),"MS")</f>
        <v>MS</v>
      </c>
      <c r="C886" s="1" t="str">
        <f t="shared" si="1"/>
        <v>No</v>
      </c>
      <c r="D886" s="1">
        <v>0.0</v>
      </c>
    </row>
    <row r="887" ht="15.75" customHeight="1">
      <c r="A887" s="1" t="str">
        <f>IFERROR(__xludf.DUMMYFUNCTION("""COMPUTED_VALUE"""),"Maddy Woodley")</f>
        <v>Maddy Woodley</v>
      </c>
      <c r="B887" s="1" t="str">
        <f>IFERROR(__xludf.DUMMYFUNCTION("""COMPUTED_VALUE"""),"L2")</f>
        <v>L2</v>
      </c>
      <c r="C887" s="1" t="str">
        <f t="shared" si="1"/>
        <v>No</v>
      </c>
      <c r="D887" s="1">
        <v>0.0</v>
      </c>
    </row>
    <row r="888" ht="15.75" customHeight="1">
      <c r="A888" s="1" t="str">
        <f>IFERROR(__xludf.DUMMYFUNCTION("""COMPUTED_VALUE"""),"Nicho Frazao")</f>
        <v>Nicho Frazao</v>
      </c>
      <c r="B888" s="1" t="str">
        <f>IFERROR(__xludf.DUMMYFUNCTION("""COMPUTED_VALUE"""),"L2")</f>
        <v>L2</v>
      </c>
      <c r="C888" s="1" t="str">
        <f t="shared" si="1"/>
        <v>No</v>
      </c>
      <c r="D888" s="1">
        <v>0.0</v>
      </c>
    </row>
    <row r="889" ht="15.75" customHeight="1">
      <c r="A889" s="1" t="str">
        <f>IFERROR(__xludf.DUMMYFUNCTION("""COMPUTED_VALUE"""),"Zander Evans")</f>
        <v>Zander Evans</v>
      </c>
      <c r="B889" s="1" t="str">
        <f>IFERROR(__xludf.DUMMYFUNCTION("""COMPUTED_VALUE"""),"HS")</f>
        <v>HS</v>
      </c>
      <c r="C889" s="1" t="str">
        <f t="shared" si="1"/>
        <v>No</v>
      </c>
      <c r="D889" s="1">
        <v>0.0</v>
      </c>
    </row>
    <row r="890" ht="15.75" customHeight="1">
      <c r="A890" s="1" t="str">
        <f>IFERROR(__xludf.DUMMYFUNCTION("""COMPUTED_VALUE"""),"Rose Costigan")</f>
        <v>Rose Costigan</v>
      </c>
      <c r="B890" s="1" t="str">
        <f>IFERROR(__xludf.DUMMYFUNCTION("""COMPUTED_VALUE"""),"HS")</f>
        <v>HS</v>
      </c>
      <c r="C890" s="1" t="str">
        <f t="shared" si="1"/>
        <v>No</v>
      </c>
      <c r="D890" s="1">
        <v>0.0</v>
      </c>
    </row>
    <row r="891" ht="15.75" customHeight="1">
      <c r="A891" s="1" t="str">
        <f>IFERROR(__xludf.DUMMYFUNCTION("""COMPUTED_VALUE"""),"AJ Lovos")</f>
        <v>AJ Lovos</v>
      </c>
      <c r="B891" s="1" t="str">
        <f>IFERROR(__xludf.DUMMYFUNCTION("""COMPUTED_VALUE"""),"MS")</f>
        <v>MS</v>
      </c>
      <c r="C891" s="1" t="str">
        <f t="shared" si="1"/>
        <v>No</v>
      </c>
      <c r="D891" s="1">
        <v>0.0</v>
      </c>
    </row>
    <row r="892" ht="15.75" customHeight="1">
      <c r="A892" s="1" t="str">
        <f>IFERROR(__xludf.DUMMYFUNCTION("""COMPUTED_VALUE"""),"Aiden Lovos")</f>
        <v>Aiden Lovos</v>
      </c>
      <c r="B892" s="1" t="str">
        <f>IFERROR(__xludf.DUMMYFUNCTION("""COMPUTED_VALUE"""),"L2")</f>
        <v>L2</v>
      </c>
      <c r="C892" s="1" t="str">
        <f t="shared" si="1"/>
        <v>No</v>
      </c>
      <c r="D892" s="1">
        <v>0.0</v>
      </c>
    </row>
    <row r="893" ht="15.75" customHeight="1">
      <c r="A893" s="1" t="str">
        <f>IFERROR(__xludf.DUMMYFUNCTION("""COMPUTED_VALUE"""),"Gala Reyes")</f>
        <v>Gala Reyes</v>
      </c>
      <c r="B893" s="1" t="str">
        <f>IFERROR(__xludf.DUMMYFUNCTION("""COMPUTED_VALUE"""),"L1")</f>
        <v>L1</v>
      </c>
      <c r="C893" s="1" t="str">
        <f t="shared" si="1"/>
        <v>No</v>
      </c>
      <c r="D893" s="1">
        <v>0.0</v>
      </c>
    </row>
    <row r="894" ht="15.75" customHeight="1">
      <c r="A894" s="1" t="str">
        <f>IFERROR(__xludf.DUMMYFUNCTION("""COMPUTED_VALUE"""),"Truman Paul")</f>
        <v>Truman Paul</v>
      </c>
      <c r="B894" s="1" t="str">
        <f>IFERROR(__xludf.DUMMYFUNCTION("""COMPUTED_VALUE"""),"L1")</f>
        <v>L1</v>
      </c>
      <c r="C894" s="1" t="str">
        <f t="shared" si="1"/>
        <v>No</v>
      </c>
      <c r="D894" s="1">
        <v>0.0</v>
      </c>
    </row>
    <row r="895" ht="15.75" customHeight="1">
      <c r="A895" s="1" t="str">
        <f>IFERROR(__xludf.DUMMYFUNCTION("""COMPUTED_VALUE"""),"Charlie Herbert")</f>
        <v>Charlie Herbert</v>
      </c>
      <c r="B895" s="1" t="str">
        <f>IFERROR(__xludf.DUMMYFUNCTION("""COMPUTED_VALUE"""),"L1")</f>
        <v>L1</v>
      </c>
      <c r="C895" s="1" t="str">
        <f t="shared" si="1"/>
        <v>No</v>
      </c>
      <c r="D895" s="1">
        <v>0.0</v>
      </c>
    </row>
    <row r="896" ht="15.75" customHeight="1">
      <c r="A896" s="1" t="str">
        <f>IFERROR(__xludf.DUMMYFUNCTION("""COMPUTED_VALUE"""),"Ada Stevenson")</f>
        <v>Ada Stevenson</v>
      </c>
      <c r="B896" s="1" t="str">
        <f>IFERROR(__xludf.DUMMYFUNCTION("""COMPUTED_VALUE"""),"L1")</f>
        <v>L1</v>
      </c>
      <c r="C896" s="1" t="str">
        <f t="shared" si="1"/>
        <v>No</v>
      </c>
      <c r="D896" s="1">
        <v>0.0</v>
      </c>
    </row>
    <row r="897" ht="15.75" customHeight="1">
      <c r="A897" s="1" t="str">
        <f>IFERROR(__xludf.DUMMYFUNCTION("""COMPUTED_VALUE"""),"Ezra Sulzer")</f>
        <v>Ezra Sulzer</v>
      </c>
      <c r="B897" s="1" t="str">
        <f>IFERROR(__xludf.DUMMYFUNCTION("""COMPUTED_VALUE"""),"L2")</f>
        <v>L2</v>
      </c>
      <c r="C897" s="1" t="str">
        <f t="shared" si="1"/>
        <v>No</v>
      </c>
      <c r="D897" s="1">
        <v>0.0</v>
      </c>
    </row>
    <row r="898" ht="15.75" customHeight="1">
      <c r="A898" s="1" t="str">
        <f>IFERROR(__xludf.DUMMYFUNCTION("""COMPUTED_VALUE"""),"Mya Sulzer")</f>
        <v>Mya Sulzer</v>
      </c>
      <c r="B898" s="1" t="str">
        <f>IFERROR(__xludf.DUMMYFUNCTION("""COMPUTED_VALUE"""),"MS")</f>
        <v>MS</v>
      </c>
      <c r="C898" s="1" t="str">
        <f t="shared" si="1"/>
        <v>No</v>
      </c>
      <c r="D898" s="1">
        <v>0.0</v>
      </c>
    </row>
    <row r="899" ht="15.75" customHeight="1">
      <c r="A899" s="1" t="str">
        <f>IFERROR(__xludf.DUMMYFUNCTION("""COMPUTED_VALUE"""),"Grace Sulzer")</f>
        <v>Grace Sulzer</v>
      </c>
      <c r="B899" s="1" t="str">
        <f>IFERROR(__xludf.DUMMYFUNCTION("""COMPUTED_VALUE"""),"MS")</f>
        <v>MS</v>
      </c>
      <c r="C899" s="1" t="str">
        <f t="shared" si="1"/>
        <v>No</v>
      </c>
      <c r="D899" s="1">
        <v>0.0</v>
      </c>
    </row>
    <row r="900" ht="15.75" customHeight="1">
      <c r="A900" s="1" t="str">
        <f>IFERROR(__xludf.DUMMYFUNCTION("""COMPUTED_VALUE"""),"Beau Alfsen")</f>
        <v>Beau Alfsen</v>
      </c>
      <c r="B900" s="1" t="str">
        <f>IFERROR(__xludf.DUMMYFUNCTION("""COMPUTED_VALUE"""),"MS")</f>
        <v>MS</v>
      </c>
      <c r="C900" s="1" t="str">
        <f t="shared" si="1"/>
        <v>No</v>
      </c>
      <c r="D900" s="1">
        <v>0.0</v>
      </c>
    </row>
    <row r="901" ht="15.75" customHeight="1">
      <c r="A901" s="1" t="str">
        <f>IFERROR(__xludf.DUMMYFUNCTION("""COMPUTED_VALUE"""),"Laird Alfsen")</f>
        <v>Laird Alfsen</v>
      </c>
      <c r="B901" s="1" t="str">
        <f>IFERROR(__xludf.DUMMYFUNCTION("""COMPUTED_VALUE"""),"L2")</f>
        <v>L2</v>
      </c>
      <c r="C901" s="1" t="str">
        <f t="shared" si="1"/>
        <v>No</v>
      </c>
      <c r="D901" s="1">
        <v>0.0</v>
      </c>
    </row>
    <row r="902" ht="15.75" customHeight="1">
      <c r="A902" s="1" t="str">
        <f>IFERROR(__xludf.DUMMYFUNCTION("""COMPUTED_VALUE"""),"Roland Kromhout")</f>
        <v>Roland Kromhout</v>
      </c>
      <c r="B902" s="1" t="str">
        <f>IFERROR(__xludf.DUMMYFUNCTION("""COMPUTED_VALUE"""),"MS")</f>
        <v>MS</v>
      </c>
      <c r="C902" s="1" t="str">
        <f t="shared" si="1"/>
        <v>No</v>
      </c>
      <c r="D902" s="1">
        <v>0.0</v>
      </c>
    </row>
    <row r="903" ht="15.75" customHeight="1">
      <c r="A903" s="1" t="str">
        <f>IFERROR(__xludf.DUMMYFUNCTION("""COMPUTED_VALUE"""),"Francis Kromhout")</f>
        <v>Francis Kromhout</v>
      </c>
      <c r="B903" s="1" t="str">
        <f>IFERROR(__xludf.DUMMYFUNCTION("""COMPUTED_VALUE"""),"L2")</f>
        <v>L2</v>
      </c>
      <c r="C903" s="1" t="str">
        <f t="shared" si="1"/>
        <v>No</v>
      </c>
      <c r="D903" s="1">
        <v>0.0</v>
      </c>
    </row>
    <row r="904" ht="15.75" customHeight="1">
      <c r="A904" s="1" t="str">
        <f>IFERROR(__xludf.DUMMYFUNCTION("""COMPUTED_VALUE"""),"Lars Kromhout")</f>
        <v>Lars Kromhout</v>
      </c>
      <c r="B904" s="1" t="str">
        <f>IFERROR(__xludf.DUMMYFUNCTION("""COMPUTED_VALUE"""),"L1")</f>
        <v>L1</v>
      </c>
      <c r="C904" s="1" t="str">
        <f t="shared" si="1"/>
        <v>No</v>
      </c>
      <c r="D904" s="1">
        <v>0.0</v>
      </c>
    </row>
    <row r="905" ht="15.75" customHeight="1">
      <c r="A905" s="1" t="str">
        <f>IFERROR(__xludf.DUMMYFUNCTION("""COMPUTED_VALUE"""),"Bridger Norris")</f>
        <v>Bridger Norris</v>
      </c>
      <c r="B905" s="1" t="str">
        <f>IFERROR(__xludf.DUMMYFUNCTION("""COMPUTED_VALUE"""),"L2")</f>
        <v>L2</v>
      </c>
      <c r="C905" s="1" t="str">
        <f t="shared" si="1"/>
        <v>No</v>
      </c>
      <c r="D905" s="1">
        <v>0.0</v>
      </c>
    </row>
    <row r="906" ht="15.75" customHeight="1">
      <c r="A906" s="1" t="str">
        <f>IFERROR(__xludf.DUMMYFUNCTION("""COMPUTED_VALUE"""),"Marguerite Norris")</f>
        <v>Marguerite Norris</v>
      </c>
      <c r="B906" s="1" t="str">
        <f>IFERROR(__xludf.DUMMYFUNCTION("""COMPUTED_VALUE"""),"MS")</f>
        <v>MS</v>
      </c>
      <c r="C906" s="1" t="str">
        <f t="shared" si="1"/>
        <v>No</v>
      </c>
      <c r="D906" s="1">
        <v>0.0</v>
      </c>
    </row>
    <row r="907" ht="15.75" customHeight="1">
      <c r="A907" s="1" t="str">
        <f>IFERROR(__xludf.DUMMYFUNCTION("""COMPUTED_VALUE"""),"Jack Hujet")</f>
        <v>Jack Hujet</v>
      </c>
      <c r="B907" s="1" t="str">
        <f>IFERROR(__xludf.DUMMYFUNCTION("""COMPUTED_VALUE"""),"MS")</f>
        <v>MS</v>
      </c>
      <c r="C907" s="1" t="str">
        <f t="shared" si="1"/>
        <v>No</v>
      </c>
      <c r="D907" s="1">
        <v>0.0</v>
      </c>
    </row>
    <row r="908" ht="15.75" customHeight="1">
      <c r="A908" s="1" t="str">
        <f>IFERROR(__xludf.DUMMYFUNCTION("""COMPUTED_VALUE"""),"Blaze Sok")</f>
        <v>Blaze Sok</v>
      </c>
      <c r="B908" s="1" t="str">
        <f>IFERROR(__xludf.DUMMYFUNCTION("""COMPUTED_VALUE"""),"L1")</f>
        <v>L1</v>
      </c>
      <c r="C908" s="1" t="str">
        <f t="shared" si="1"/>
        <v>No</v>
      </c>
      <c r="D908" s="1">
        <v>0.0</v>
      </c>
    </row>
    <row r="909" ht="15.75" customHeight="1">
      <c r="A909" s="1" t="str">
        <f>IFERROR(__xludf.DUMMYFUNCTION("""COMPUTED_VALUE"""),"Ale Rodriguez")</f>
        <v>Ale Rodriguez</v>
      </c>
      <c r="B909" s="1" t="str">
        <f>IFERROR(__xludf.DUMMYFUNCTION("""COMPUTED_VALUE"""),"L1")</f>
        <v>L1</v>
      </c>
      <c r="C909" s="1" t="str">
        <f t="shared" si="1"/>
        <v>No</v>
      </c>
      <c r="D909" s="1">
        <v>0.0</v>
      </c>
    </row>
    <row r="910" ht="15.75" customHeight="1">
      <c r="A910" s="1" t="str">
        <f>IFERROR(__xludf.DUMMYFUNCTION("""COMPUTED_VALUE"""),"Thea Buehler")</f>
        <v>Thea Buehler</v>
      </c>
      <c r="B910" s="1" t="str">
        <f>IFERROR(__xludf.DUMMYFUNCTION("""COMPUTED_VALUE"""),"L2")</f>
        <v>L2</v>
      </c>
      <c r="C910" s="1" t="str">
        <f t="shared" si="1"/>
        <v>No</v>
      </c>
      <c r="D910" s="1">
        <v>0.0</v>
      </c>
    </row>
    <row r="911" ht="15.75" customHeight="1">
      <c r="A911" s="1" t="str">
        <f>IFERROR(__xludf.DUMMYFUNCTION("""COMPUTED_VALUE"""),"Mila Thomason")</f>
        <v>Mila Thomason</v>
      </c>
      <c r="B911" s="1" t="str">
        <f>IFERROR(__xludf.DUMMYFUNCTION("""COMPUTED_VALUE"""),"L1")</f>
        <v>L1</v>
      </c>
      <c r="C911" s="1" t="str">
        <f t="shared" si="1"/>
        <v>No</v>
      </c>
      <c r="D911" s="1">
        <v>0.0</v>
      </c>
    </row>
    <row r="912" ht="15.75" customHeight="1">
      <c r="A912" s="1" t="str">
        <f>IFERROR(__xludf.DUMMYFUNCTION("""COMPUTED_VALUE"""),"Harry Belliston")</f>
        <v>Harry Belliston</v>
      </c>
      <c r="B912" s="1" t="str">
        <f>IFERROR(__xludf.DUMMYFUNCTION("""COMPUTED_VALUE"""),"L1")</f>
        <v>L1</v>
      </c>
      <c r="C912" s="1" t="str">
        <f t="shared" si="1"/>
        <v>No</v>
      </c>
      <c r="D912" s="1">
        <v>0.0</v>
      </c>
    </row>
    <row r="913" ht="15.75" customHeight="1">
      <c r="A913" s="1" t="str">
        <f>IFERROR(__xludf.DUMMYFUNCTION("""COMPUTED_VALUE"""),"Fedor Barminov")</f>
        <v>Fedor Barminov</v>
      </c>
      <c r="B913" s="1" t="str">
        <f>IFERROR(__xludf.DUMMYFUNCTION("""COMPUTED_VALUE"""),"MS")</f>
        <v>MS</v>
      </c>
      <c r="C913" s="1" t="str">
        <f t="shared" si="1"/>
        <v>No</v>
      </c>
      <c r="D913" s="1">
        <v>0.0</v>
      </c>
    </row>
    <row r="914" ht="15.75" customHeight="1">
      <c r="A914" s="1" t="str">
        <f>IFERROR(__xludf.DUMMYFUNCTION("""COMPUTED_VALUE"""),"Sage D")</f>
        <v>Sage D</v>
      </c>
      <c r="B914" s="1" t="str">
        <f>IFERROR(__xludf.DUMMYFUNCTION("""COMPUTED_VALUE"""),"L1")</f>
        <v>L1</v>
      </c>
      <c r="C914" s="1" t="str">
        <f t="shared" si="1"/>
        <v>No</v>
      </c>
      <c r="D914" s="1">
        <v>0.0</v>
      </c>
    </row>
    <row r="915" ht="15.75" customHeight="1">
      <c r="A915" s="1" t="str">
        <f>IFERROR(__xludf.DUMMYFUNCTION("""COMPUTED_VALUE"""),"Isaac D")</f>
        <v>Isaac D</v>
      </c>
      <c r="B915" s="1" t="str">
        <f>IFERROR(__xludf.DUMMYFUNCTION("""COMPUTED_VALUE"""),"L1")</f>
        <v>L1</v>
      </c>
      <c r="C915" s="1" t="str">
        <f t="shared" si="1"/>
        <v>No</v>
      </c>
      <c r="D915" s="1">
        <v>0.0</v>
      </c>
    </row>
    <row r="916" ht="15.75" customHeight="1">
      <c r="A916" s="1" t="str">
        <f>IFERROR(__xludf.DUMMYFUNCTION("""COMPUTED_VALUE"""),"Maj D")</f>
        <v>Maj D</v>
      </c>
      <c r="B916" s="1" t="str">
        <f>IFERROR(__xludf.DUMMYFUNCTION("""COMPUTED_VALUE"""),"L1")</f>
        <v>L1</v>
      </c>
      <c r="C916" s="1" t="str">
        <f t="shared" si="1"/>
        <v>No</v>
      </c>
      <c r="D916" s="1">
        <v>0.0</v>
      </c>
    </row>
    <row r="917" ht="15.75" customHeight="1">
      <c r="A917" s="1" t="str">
        <f>IFERROR(__xludf.DUMMYFUNCTION("""COMPUTED_VALUE"""),"Serene D")</f>
        <v>Serene D</v>
      </c>
      <c r="B917" s="1" t="str">
        <f>IFERROR(__xludf.DUMMYFUNCTION("""COMPUTED_VALUE"""),"L1")</f>
        <v>L1</v>
      </c>
      <c r="C917" s="1" t="str">
        <f t="shared" si="1"/>
        <v>No</v>
      </c>
      <c r="D917" s="1">
        <v>0.0</v>
      </c>
    </row>
    <row r="918" ht="15.75" customHeight="1">
      <c r="A918" s="1" t="str">
        <f>IFERROR(__xludf.DUMMYFUNCTION("""COMPUTED_VALUE"""),"Katyana D")</f>
        <v>Katyana D</v>
      </c>
      <c r="B918" s="1" t="str">
        <f>IFERROR(__xludf.DUMMYFUNCTION("""COMPUTED_VALUE"""),"L1")</f>
        <v>L1</v>
      </c>
      <c r="C918" s="1" t="str">
        <f t="shared" si="1"/>
        <v>No</v>
      </c>
      <c r="D918" s="1">
        <v>0.0</v>
      </c>
    </row>
    <row r="919" ht="15.75" customHeight="1">
      <c r="A919" s="1" t="str">
        <f>IFERROR(__xludf.DUMMYFUNCTION("""COMPUTED_VALUE"""),"Silver Vercellana")</f>
        <v>Silver Vercellana</v>
      </c>
      <c r="B919" s="1" t="str">
        <f>IFERROR(__xludf.DUMMYFUNCTION("""COMPUTED_VALUE"""),"L2")</f>
        <v>L2</v>
      </c>
      <c r="C919" s="1" t="str">
        <f t="shared" si="1"/>
        <v>No</v>
      </c>
      <c r="D919" s="1">
        <v>0.0</v>
      </c>
    </row>
    <row r="920" ht="15.75" customHeight="1">
      <c r="A920" s="1" t="str">
        <f>IFERROR(__xludf.DUMMYFUNCTION("""COMPUTED_VALUE"""),"Marianne Robles")</f>
        <v>Marianne Robles</v>
      </c>
      <c r="B920" s="1" t="str">
        <f>IFERROR(__xludf.DUMMYFUNCTION("""COMPUTED_VALUE"""),"MS")</f>
        <v>MS</v>
      </c>
      <c r="C920" s="1" t="str">
        <f t="shared" si="1"/>
        <v>No</v>
      </c>
      <c r="D920" s="1">
        <v>0.0</v>
      </c>
    </row>
    <row r="921" ht="15.75" customHeight="1">
      <c r="A921" s="1" t="str">
        <f>IFERROR(__xludf.DUMMYFUNCTION("""COMPUTED_VALUE"""),"Julian Ramsay")</f>
        <v>Julian Ramsay</v>
      </c>
      <c r="B921" s="1" t="str">
        <f>IFERROR(__xludf.DUMMYFUNCTION("""COMPUTED_VALUE"""),"L1")</f>
        <v>L1</v>
      </c>
      <c r="C921" s="1" t="str">
        <f t="shared" si="1"/>
        <v>No</v>
      </c>
      <c r="D921" s="1">
        <v>0.0</v>
      </c>
    </row>
    <row r="922" ht="15.75" customHeight="1">
      <c r="A922" s="1" t="str">
        <f>IFERROR(__xludf.DUMMYFUNCTION("""COMPUTED_VALUE"""),"Makar Barminov")</f>
        <v>Makar Barminov</v>
      </c>
      <c r="B922" s="1" t="str">
        <f>IFERROR(__xludf.DUMMYFUNCTION("""COMPUTED_VALUE"""),"MS")</f>
        <v>MS</v>
      </c>
      <c r="C922" s="1" t="str">
        <f t="shared" si="1"/>
        <v>No</v>
      </c>
      <c r="D922" s="1">
        <v>0.0</v>
      </c>
    </row>
    <row r="923" ht="15.75" customHeight="1">
      <c r="A923" s="1" t="str">
        <f>IFERROR(__xludf.DUMMYFUNCTION("""COMPUTED_VALUE"""),"Phillipp Barminov")</f>
        <v>Phillipp Barminov</v>
      </c>
      <c r="B923" s="1" t="str">
        <f>IFERROR(__xludf.DUMMYFUNCTION("""COMPUTED_VALUE"""),"HS")</f>
        <v>HS</v>
      </c>
      <c r="C923" s="1" t="str">
        <f t="shared" si="1"/>
        <v>No</v>
      </c>
      <c r="D923" s="1">
        <v>0.0</v>
      </c>
    </row>
    <row r="924" ht="15.75" customHeight="1">
      <c r="A924" s="1" t="str">
        <f>IFERROR(__xludf.DUMMYFUNCTION("""COMPUTED_VALUE"""),"Azzar Barminov")</f>
        <v>Azzar Barminov</v>
      </c>
      <c r="B924" s="1" t="str">
        <f>IFERROR(__xludf.DUMMYFUNCTION("""COMPUTED_VALUE"""),"L1")</f>
        <v>L1</v>
      </c>
      <c r="C924" s="1" t="str">
        <f t="shared" si="1"/>
        <v>No</v>
      </c>
      <c r="D924" s="1">
        <v>0.0</v>
      </c>
    </row>
    <row r="925" ht="15.75" customHeight="1">
      <c r="A925" s="1" t="str">
        <f>IFERROR(__xludf.DUMMYFUNCTION("""COMPUTED_VALUE"""),"Allen Franco")</f>
        <v>Allen Franco</v>
      </c>
      <c r="B925" s="1" t="str">
        <f>IFERROR(__xludf.DUMMYFUNCTION("""COMPUTED_VALUE"""),"L2")</f>
        <v>L2</v>
      </c>
      <c r="C925" s="1" t="str">
        <f t="shared" si="1"/>
        <v>No</v>
      </c>
      <c r="D925" s="1">
        <v>0.0</v>
      </c>
    </row>
    <row r="926" ht="15.75" customHeight="1">
      <c r="A926" s="1" t="str">
        <f>IFERROR(__xludf.DUMMYFUNCTION("""COMPUTED_VALUE"""),"Kennedy Scott")</f>
        <v>Kennedy Scott</v>
      </c>
      <c r="B926" s="1" t="str">
        <f>IFERROR(__xludf.DUMMYFUNCTION("""COMPUTED_VALUE"""),"MS")</f>
        <v>MS</v>
      </c>
      <c r="C926" s="1" t="str">
        <f t="shared" si="1"/>
        <v>No</v>
      </c>
      <c r="D926" s="1">
        <v>0.0</v>
      </c>
    </row>
    <row r="927" ht="15.75" customHeight="1">
      <c r="A927" s="1" t="str">
        <f>IFERROR(__xludf.DUMMYFUNCTION("""COMPUTED_VALUE"""),"Aria Scott")</f>
        <v>Aria Scott</v>
      </c>
      <c r="B927" s="1" t="str">
        <f>IFERROR(__xludf.DUMMYFUNCTION("""COMPUTED_VALUE"""),"L1")</f>
        <v>L1</v>
      </c>
      <c r="C927" s="1" t="str">
        <f t="shared" si="1"/>
        <v>No</v>
      </c>
      <c r="D927" s="1">
        <v>0.0</v>
      </c>
    </row>
    <row r="928" ht="15.75" customHeight="1">
      <c r="A928" s="1" t="str">
        <f>IFERROR(__xludf.DUMMYFUNCTION("""COMPUTED_VALUE"""),"Gemma Magness")</f>
        <v>Gemma Magness</v>
      </c>
      <c r="B928" s="1" t="str">
        <f>IFERROR(__xludf.DUMMYFUNCTION("""COMPUTED_VALUE"""),"L2")</f>
        <v>L2</v>
      </c>
      <c r="C928" s="1" t="str">
        <f t="shared" si="1"/>
        <v>No</v>
      </c>
      <c r="D928" s="1">
        <v>0.0</v>
      </c>
    </row>
    <row r="929" ht="15.75" customHeight="1">
      <c r="A929" s="1" t="str">
        <f>IFERROR(__xludf.DUMMYFUNCTION("""COMPUTED_VALUE"""),"Blair Magness")</f>
        <v>Blair Magness</v>
      </c>
      <c r="B929" s="1" t="str">
        <f>IFERROR(__xludf.DUMMYFUNCTION("""COMPUTED_VALUE"""),"L1")</f>
        <v>L1</v>
      </c>
      <c r="C929" s="1" t="str">
        <f t="shared" si="1"/>
        <v>No</v>
      </c>
      <c r="D929" s="1">
        <v>0.0</v>
      </c>
    </row>
    <row r="930" ht="15.75" customHeight="1">
      <c r="A930" s="1" t="str">
        <f>IFERROR(__xludf.DUMMYFUNCTION("""COMPUTED_VALUE"""),"Davis Dumond")</f>
        <v>Davis Dumond</v>
      </c>
      <c r="B930" s="1" t="str">
        <f>IFERROR(__xludf.DUMMYFUNCTION("""COMPUTED_VALUE"""),"L1")</f>
        <v>L1</v>
      </c>
      <c r="C930" s="1" t="str">
        <f t="shared" si="1"/>
        <v>No</v>
      </c>
      <c r="D930" s="1">
        <v>0.0</v>
      </c>
    </row>
    <row r="931" ht="15.75" customHeight="1">
      <c r="A931" s="1" t="str">
        <f>IFERROR(__xludf.DUMMYFUNCTION("""COMPUTED_VALUE"""),"Asher Bush")</f>
        <v>Asher Bush</v>
      </c>
      <c r="B931" s="1" t="str">
        <f>IFERROR(__xludf.DUMMYFUNCTION("""COMPUTED_VALUE"""),"MS")</f>
        <v>MS</v>
      </c>
      <c r="C931" s="1" t="str">
        <f t="shared" si="1"/>
        <v>No</v>
      </c>
      <c r="D931" s="1">
        <v>0.0</v>
      </c>
    </row>
    <row r="932" ht="15.75" customHeight="1">
      <c r="A932" s="1" t="str">
        <f>IFERROR(__xludf.DUMMYFUNCTION("""COMPUTED_VALUE"""),"Noah Bush")</f>
        <v>Noah Bush</v>
      </c>
      <c r="B932" s="1" t="str">
        <f>IFERROR(__xludf.DUMMYFUNCTION("""COMPUTED_VALUE"""),"L1")</f>
        <v>L1</v>
      </c>
      <c r="C932" s="1" t="str">
        <f t="shared" si="1"/>
        <v>No</v>
      </c>
      <c r="D932" s="1">
        <v>0.0</v>
      </c>
    </row>
    <row r="933" ht="15.75" customHeight="1">
      <c r="A933" s="1" t="str">
        <f>IFERROR(__xludf.DUMMYFUNCTION("""COMPUTED_VALUE"""),"Chloe Wilson")</f>
        <v>Chloe Wilson</v>
      </c>
      <c r="B933" s="1" t="str">
        <f>IFERROR(__xludf.DUMMYFUNCTION("""COMPUTED_VALUE"""),"L1")</f>
        <v>L1</v>
      </c>
      <c r="C933" s="1" t="str">
        <f t="shared" si="1"/>
        <v>No</v>
      </c>
      <c r="D933" s="1">
        <v>0.0</v>
      </c>
    </row>
    <row r="934" ht="15.75" customHeight="1">
      <c r="A934" s="1" t="str">
        <f>IFERROR(__xludf.DUMMYFUNCTION("""COMPUTED_VALUE"""),"Lily Miller")</f>
        <v>Lily Miller</v>
      </c>
      <c r="B934" s="1" t="str">
        <f>IFERROR(__xludf.DUMMYFUNCTION("""COMPUTED_VALUE"""),"L2")</f>
        <v>L2</v>
      </c>
      <c r="C934" s="1" t="str">
        <f t="shared" si="1"/>
        <v>No</v>
      </c>
      <c r="D934" s="1">
        <v>0.0</v>
      </c>
    </row>
    <row r="935" ht="15.75" customHeight="1">
      <c r="A935" s="1" t="str">
        <f>IFERROR(__xludf.DUMMYFUNCTION("""COMPUTED_VALUE"""),"Elijah snell")</f>
        <v>Elijah snell</v>
      </c>
      <c r="B935" s="1" t="str">
        <f>IFERROR(__xludf.DUMMYFUNCTION("""COMPUTED_VALUE"""),"L2")</f>
        <v>L2</v>
      </c>
      <c r="C935" s="1" t="str">
        <f t="shared" si="1"/>
        <v>No</v>
      </c>
      <c r="D935" s="1">
        <v>0.0</v>
      </c>
    </row>
    <row r="936" ht="15.75" customHeight="1">
      <c r="A936" s="1" t="str">
        <f>IFERROR(__xludf.DUMMYFUNCTION("""COMPUTED_VALUE"""),"Aly Snell")</f>
        <v>Aly Snell</v>
      </c>
      <c r="B936" s="1" t="str">
        <f>IFERROR(__xludf.DUMMYFUNCTION("""COMPUTED_VALUE"""),"L1")</f>
        <v>L1</v>
      </c>
      <c r="C936" s="1" t="str">
        <f t="shared" si="1"/>
        <v>No</v>
      </c>
      <c r="D936" s="1">
        <v>0.0</v>
      </c>
    </row>
    <row r="937" ht="15.75" customHeight="1">
      <c r="A937" s="1" t="str">
        <f>IFERROR(__xludf.DUMMYFUNCTION("""COMPUTED_VALUE"""),"Joshua Hays")</f>
        <v>Joshua Hays</v>
      </c>
      <c r="B937" s="1" t="str">
        <f>IFERROR(__xludf.DUMMYFUNCTION("""COMPUTED_VALUE"""),"MS")</f>
        <v>MS</v>
      </c>
      <c r="C937" s="1" t="str">
        <f t="shared" si="1"/>
        <v>No</v>
      </c>
      <c r="D937" s="1">
        <v>0.0</v>
      </c>
    </row>
    <row r="938" ht="15.75" customHeight="1">
      <c r="A938" s="1" t="str">
        <f>IFERROR(__xludf.DUMMYFUNCTION("""COMPUTED_VALUE"""),"Noah Paulon")</f>
        <v>Noah Paulon</v>
      </c>
      <c r="B938" s="1" t="str">
        <f>IFERROR(__xludf.DUMMYFUNCTION("""COMPUTED_VALUE"""),"L1")</f>
        <v>L1</v>
      </c>
      <c r="C938" s="1" t="str">
        <f t="shared" si="1"/>
        <v>No</v>
      </c>
      <c r="D938" s="1">
        <v>0.0</v>
      </c>
    </row>
    <row r="939" ht="15.75" customHeight="1">
      <c r="A939" s="1" t="str">
        <f>IFERROR(__xludf.DUMMYFUNCTION("""COMPUTED_VALUE"""),"Chloe Chen")</f>
        <v>Chloe Chen</v>
      </c>
      <c r="B939" s="1" t="str">
        <f>IFERROR(__xludf.DUMMYFUNCTION("""COMPUTED_VALUE"""),"L2")</f>
        <v>L2</v>
      </c>
      <c r="C939" s="1" t="str">
        <f t="shared" si="1"/>
        <v>No</v>
      </c>
      <c r="D939" s="1">
        <v>0.0</v>
      </c>
    </row>
    <row r="940" ht="15.75" customHeight="1">
      <c r="A940" s="1" t="str">
        <f>IFERROR(__xludf.DUMMYFUNCTION("""COMPUTED_VALUE"""),"Jack Turner")</f>
        <v>Jack Turner</v>
      </c>
      <c r="B940" s="1" t="str">
        <f>IFERROR(__xludf.DUMMYFUNCTION("""COMPUTED_VALUE"""),"L2")</f>
        <v>L2</v>
      </c>
      <c r="C940" s="1" t="str">
        <f t="shared" si="1"/>
        <v>No</v>
      </c>
      <c r="D940" s="1">
        <v>0.0</v>
      </c>
    </row>
    <row r="941" ht="15.75" customHeight="1">
      <c r="A941" s="1" t="str">
        <f>IFERROR(__xludf.DUMMYFUNCTION("""COMPUTED_VALUE"""),"Isabelle Fu")</f>
        <v>Isabelle Fu</v>
      </c>
      <c r="B941" s="1" t="str">
        <f>IFERROR(__xludf.DUMMYFUNCTION("""COMPUTED_VALUE"""),"L1")</f>
        <v>L1</v>
      </c>
      <c r="C941" s="1" t="str">
        <f t="shared" si="1"/>
        <v>No</v>
      </c>
      <c r="D941" s="1">
        <v>0.0</v>
      </c>
    </row>
    <row r="942" ht="15.75" customHeight="1">
      <c r="A942" s="1" t="str">
        <f>IFERROR(__xludf.DUMMYFUNCTION("""COMPUTED_VALUE"""),"Amelia Lucas")</f>
        <v>Amelia Lucas</v>
      </c>
      <c r="B942" s="1" t="str">
        <f>IFERROR(__xludf.DUMMYFUNCTION("""COMPUTED_VALUE"""),"MS")</f>
        <v>MS</v>
      </c>
      <c r="C942" s="1" t="str">
        <f t="shared" si="1"/>
        <v>No</v>
      </c>
      <c r="D942" s="1">
        <v>0.0</v>
      </c>
    </row>
    <row r="943" ht="15.75" customHeight="1">
      <c r="A943" s="1" t="str">
        <f>IFERROR(__xludf.DUMMYFUNCTION("""COMPUTED_VALUE"""),"Aria Henry")</f>
        <v>Aria Henry</v>
      </c>
      <c r="B943" s="1" t="str">
        <f>IFERROR(__xludf.DUMMYFUNCTION("""COMPUTED_VALUE"""),"MS")</f>
        <v>MS</v>
      </c>
      <c r="C943" s="1" t="str">
        <f t="shared" si="1"/>
        <v>No</v>
      </c>
      <c r="D943" s="1">
        <v>0.0</v>
      </c>
    </row>
    <row r="944" ht="15.75" customHeight="1">
      <c r="A944" s="1" t="str">
        <f>IFERROR(__xludf.DUMMYFUNCTION("""COMPUTED_VALUE"""),"Aariv Rathi")</f>
        <v>Aariv Rathi</v>
      </c>
      <c r="B944" s="1" t="str">
        <f>IFERROR(__xludf.DUMMYFUNCTION("""COMPUTED_VALUE"""),"L2")</f>
        <v>L2</v>
      </c>
      <c r="C944" s="1" t="str">
        <f t="shared" si="1"/>
        <v>No</v>
      </c>
      <c r="D944" s="1">
        <v>0.0</v>
      </c>
    </row>
    <row r="945" ht="15.75" customHeight="1">
      <c r="A945" s="1" t="str">
        <f>IFERROR(__xludf.DUMMYFUNCTION("""COMPUTED_VALUE"""),"Dashiel sellar")</f>
        <v>Dashiel sellar</v>
      </c>
      <c r="B945" s="1" t="str">
        <f>IFERROR(__xludf.DUMMYFUNCTION("""COMPUTED_VALUE"""),"HS")</f>
        <v>HS</v>
      </c>
      <c r="C945" s="1" t="str">
        <f t="shared" si="1"/>
        <v>No</v>
      </c>
      <c r="D945" s="1">
        <v>0.0</v>
      </c>
    </row>
    <row r="946" ht="15.75" customHeight="1">
      <c r="A946" s="1" t="str">
        <f>IFERROR(__xludf.DUMMYFUNCTION("""COMPUTED_VALUE"""),"declan sellar")</f>
        <v>declan sellar</v>
      </c>
      <c r="B946" s="1" t="str">
        <f>IFERROR(__xludf.DUMMYFUNCTION("""COMPUTED_VALUE"""),"MS")</f>
        <v>MS</v>
      </c>
      <c r="C946" s="1" t="str">
        <f t="shared" si="1"/>
        <v>No</v>
      </c>
      <c r="D946" s="1">
        <v>0.0</v>
      </c>
    </row>
    <row r="947" ht="15.75" customHeight="1">
      <c r="A947" s="1" t="str">
        <f>IFERROR(__xludf.DUMMYFUNCTION("""COMPUTED_VALUE"""),"Mia Miller")</f>
        <v>Mia Miller</v>
      </c>
      <c r="B947" s="1" t="str">
        <f>IFERROR(__xludf.DUMMYFUNCTION("""COMPUTED_VALUE"""),"L1")</f>
        <v>L1</v>
      </c>
      <c r="C947" s="1" t="str">
        <f t="shared" si="1"/>
        <v>No</v>
      </c>
      <c r="D947" s="1">
        <v>0.0</v>
      </c>
    </row>
    <row r="948" ht="15.75" customHeight="1">
      <c r="A948" s="1" t="str">
        <f>IFERROR(__xludf.DUMMYFUNCTION("""COMPUTED_VALUE"""),"Ella Victorino")</f>
        <v>Ella Victorino</v>
      </c>
      <c r="B948" s="1" t="str">
        <f>IFERROR(__xludf.DUMMYFUNCTION("""COMPUTED_VALUE"""),"L1")</f>
        <v>L1</v>
      </c>
      <c r="C948" s="1" t="str">
        <f t="shared" si="1"/>
        <v>No</v>
      </c>
      <c r="D948" s="1">
        <v>0.0</v>
      </c>
    </row>
    <row r="949" ht="15.75" customHeight="1">
      <c r="A949" s="1" t="str">
        <f>IFERROR(__xludf.DUMMYFUNCTION("""COMPUTED_VALUE"""),"Gabby Victorino")</f>
        <v>Gabby Victorino</v>
      </c>
      <c r="B949" s="1" t="str">
        <f>IFERROR(__xludf.DUMMYFUNCTION("""COMPUTED_VALUE"""),"MS")</f>
        <v>MS</v>
      </c>
      <c r="C949" s="1" t="str">
        <f t="shared" si="1"/>
        <v>No</v>
      </c>
      <c r="D949" s="1">
        <v>0.0</v>
      </c>
    </row>
    <row r="950" ht="15.75" customHeight="1">
      <c r="A950" s="1" t="str">
        <f>IFERROR(__xludf.DUMMYFUNCTION("""COMPUTED_VALUE"""),"Preston Connors")</f>
        <v>Preston Connors</v>
      </c>
      <c r="B950" s="1" t="str">
        <f>IFERROR(__xludf.DUMMYFUNCTION("""COMPUTED_VALUE"""),"L2")</f>
        <v>L2</v>
      </c>
      <c r="C950" s="1" t="str">
        <f t="shared" si="1"/>
        <v>No</v>
      </c>
      <c r="D950" s="1">
        <v>0.0</v>
      </c>
    </row>
    <row r="951" ht="15.75" customHeight="1">
      <c r="A951" s="1" t="str">
        <f>IFERROR(__xludf.DUMMYFUNCTION("""COMPUTED_VALUE"""),"Harlow Katzman")</f>
        <v>Harlow Katzman</v>
      </c>
      <c r="B951" s="1" t="str">
        <f>IFERROR(__xludf.DUMMYFUNCTION("""COMPUTED_VALUE"""),"L2")</f>
        <v>L2</v>
      </c>
      <c r="C951" s="1" t="str">
        <f t="shared" si="1"/>
        <v>No</v>
      </c>
      <c r="D951" s="1">
        <v>0.0</v>
      </c>
    </row>
    <row r="952" ht="15.75" customHeight="1">
      <c r="A952" s="1" t="str">
        <f>IFERROR(__xludf.DUMMYFUNCTION("""COMPUTED_VALUE"""),"Ben Katzman")</f>
        <v>Ben Katzman</v>
      </c>
      <c r="B952" s="1" t="str">
        <f>IFERROR(__xludf.DUMMYFUNCTION("""COMPUTED_VALUE"""),"MS")</f>
        <v>MS</v>
      </c>
      <c r="C952" s="1" t="str">
        <f t="shared" si="1"/>
        <v>No</v>
      </c>
      <c r="D952" s="1">
        <v>0.0</v>
      </c>
    </row>
    <row r="953" ht="15.75" customHeight="1">
      <c r="A953" s="1" t="str">
        <f>IFERROR(__xludf.DUMMYFUNCTION("""COMPUTED_VALUE"""),"Leila Jassin")</f>
        <v>Leila Jassin</v>
      </c>
      <c r="B953" s="1" t="str">
        <f>IFERROR(__xludf.DUMMYFUNCTION("""COMPUTED_VALUE"""),"MS")</f>
        <v>MS</v>
      </c>
      <c r="C953" s="1" t="str">
        <f t="shared" si="1"/>
        <v>No</v>
      </c>
      <c r="D953" s="1">
        <v>0.0</v>
      </c>
    </row>
    <row r="954" ht="15.75" customHeight="1">
      <c r="A954" s="1" t="str">
        <f>IFERROR(__xludf.DUMMYFUNCTION("""COMPUTED_VALUE"""),"Sofia Jassin")</f>
        <v>Sofia Jassin</v>
      </c>
      <c r="B954" s="1" t="str">
        <f>IFERROR(__xludf.DUMMYFUNCTION("""COMPUTED_VALUE"""),"L2")</f>
        <v>L2</v>
      </c>
      <c r="C954" s="1" t="str">
        <f t="shared" si="1"/>
        <v>No</v>
      </c>
      <c r="D954" s="1">
        <v>0.0</v>
      </c>
    </row>
    <row r="955" ht="15.75" customHeight="1">
      <c r="A955" s="1" t="str">
        <f>IFERROR(__xludf.DUMMYFUNCTION("""COMPUTED_VALUE"""),"Omar Jassin")</f>
        <v>Omar Jassin</v>
      </c>
      <c r="B955" s="1" t="str">
        <f>IFERROR(__xludf.DUMMYFUNCTION("""COMPUTED_VALUE"""),"L1")</f>
        <v>L1</v>
      </c>
      <c r="C955" s="1" t="str">
        <f t="shared" si="1"/>
        <v>No</v>
      </c>
      <c r="D955" s="1">
        <v>0.0</v>
      </c>
    </row>
    <row r="956" ht="15.75" customHeight="1">
      <c r="A956" s="1" t="str">
        <f>IFERROR(__xludf.DUMMYFUNCTION("""COMPUTED_VALUE"""),"Oscar Jassin")</f>
        <v>Oscar Jassin</v>
      </c>
      <c r="B956" s="1" t="str">
        <f>IFERROR(__xludf.DUMMYFUNCTION("""COMPUTED_VALUE"""),"L1")</f>
        <v>L1</v>
      </c>
      <c r="C956" s="1" t="str">
        <f t="shared" si="1"/>
        <v>No</v>
      </c>
      <c r="D956" s="1">
        <v>0.0</v>
      </c>
    </row>
    <row r="957" ht="15.75" customHeight="1">
      <c r="A957" s="1" t="str">
        <f>IFERROR(__xludf.DUMMYFUNCTION("""COMPUTED_VALUE"""),"Noah Johnson")</f>
        <v>Noah Johnson</v>
      </c>
      <c r="B957" s="1" t="str">
        <f>IFERROR(__xludf.DUMMYFUNCTION("""COMPUTED_VALUE"""),"MS")</f>
        <v>MS</v>
      </c>
      <c r="C957" s="1" t="str">
        <f t="shared" si="1"/>
        <v>No</v>
      </c>
      <c r="D957" s="1">
        <v>0.0</v>
      </c>
    </row>
    <row r="958" ht="15.75" customHeight="1">
      <c r="A958" s="1" t="str">
        <f>IFERROR(__xludf.DUMMYFUNCTION("""COMPUTED_VALUE"""),"Stella Dorazio")</f>
        <v>Stella Dorazio</v>
      </c>
      <c r="B958" s="1" t="str">
        <f>IFERROR(__xludf.DUMMYFUNCTION("""COMPUTED_VALUE"""),"L2")</f>
        <v>L2</v>
      </c>
      <c r="C958" s="1" t="str">
        <f t="shared" si="1"/>
        <v>No</v>
      </c>
      <c r="D958" s="1">
        <v>0.0</v>
      </c>
    </row>
    <row r="959" ht="15.75" customHeight="1">
      <c r="A959" s="1" t="str">
        <f>IFERROR(__xludf.DUMMYFUNCTION("""COMPUTED_VALUE"""),"Pdogg Freeman")</f>
        <v>Pdogg Freeman</v>
      </c>
      <c r="B959" s="1" t="str">
        <f>IFERROR(__xludf.DUMMYFUNCTION("""COMPUTED_VALUE"""),"L2")</f>
        <v>L2</v>
      </c>
      <c r="C959" s="1" t="str">
        <f t="shared" si="1"/>
        <v>No</v>
      </c>
      <c r="D959" s="1">
        <v>0.0</v>
      </c>
    </row>
    <row r="960" ht="15.75" customHeight="1">
      <c r="A960" s="1" t="str">
        <f>IFERROR(__xludf.DUMMYFUNCTION("""COMPUTED_VALUE"""),"Saoirse Freeman")</f>
        <v>Saoirse Freeman</v>
      </c>
      <c r="B960" s="1" t="str">
        <f>IFERROR(__xludf.DUMMYFUNCTION("""COMPUTED_VALUE"""),"MS")</f>
        <v>MS</v>
      </c>
      <c r="C960" s="1" t="str">
        <f t="shared" si="1"/>
        <v>No</v>
      </c>
      <c r="D960" s="1">
        <v>0.0</v>
      </c>
    </row>
    <row r="961" ht="15.75" customHeight="1">
      <c r="A961" s="1" t="str">
        <f>IFERROR(__xludf.DUMMYFUNCTION("""COMPUTED_VALUE"""),"Kathleen Va De Graaff")</f>
        <v>Kathleen Va De Graaff</v>
      </c>
      <c r="B961" s="1" t="str">
        <f>IFERROR(__xludf.DUMMYFUNCTION("""COMPUTED_VALUE"""),"MS")</f>
        <v>MS</v>
      </c>
      <c r="C961" s="1" t="str">
        <f t="shared" si="1"/>
        <v>No</v>
      </c>
      <c r="D961" s="1">
        <v>0.0</v>
      </c>
    </row>
    <row r="962" ht="15.75" customHeight="1">
      <c r="A962" s="1" t="str">
        <f>IFERROR(__xludf.DUMMYFUNCTION("""COMPUTED_VALUE"""),"Graham Metcalf")</f>
        <v>Graham Metcalf</v>
      </c>
      <c r="B962" s="1" t="str">
        <f>IFERROR(__xludf.DUMMYFUNCTION("""COMPUTED_VALUE"""),"L2")</f>
        <v>L2</v>
      </c>
      <c r="C962" s="1" t="str">
        <f t="shared" si="1"/>
        <v>No</v>
      </c>
      <c r="D962" s="1">
        <v>0.0</v>
      </c>
    </row>
    <row r="963" ht="15.75" customHeight="1">
      <c r="A963" s="1" t="str">
        <f>IFERROR(__xludf.DUMMYFUNCTION("""COMPUTED_VALUE"""),"Armana Chadwick")</f>
        <v>Armana Chadwick</v>
      </c>
      <c r="B963" s="1" t="str">
        <f>IFERROR(__xludf.DUMMYFUNCTION("""COMPUTED_VALUE"""),"L2")</f>
        <v>L2</v>
      </c>
      <c r="C963" s="1" t="str">
        <f t="shared" si="1"/>
        <v>No</v>
      </c>
      <c r="D963" s="1">
        <v>0.0</v>
      </c>
    </row>
    <row r="964" ht="15.75" customHeight="1">
      <c r="A964" s="1" t="str">
        <f>IFERROR(__xludf.DUMMYFUNCTION("""COMPUTED_VALUE"""),"Armana Chadwick")</f>
        <v>Armana Chadwick</v>
      </c>
      <c r="B964" s="1" t="str">
        <f>IFERROR(__xludf.DUMMYFUNCTION("""COMPUTED_VALUE"""),"L2")</f>
        <v>L2</v>
      </c>
      <c r="C964" s="1" t="str">
        <f t="shared" si="1"/>
        <v>No</v>
      </c>
      <c r="D964" s="1">
        <v>0.0</v>
      </c>
    </row>
    <row r="965" ht="15.75" customHeight="1">
      <c r="A965" s="1" t="str">
        <f>IFERROR(__xludf.DUMMYFUNCTION("""COMPUTED_VALUE"""),"Armana Chadwick")</f>
        <v>Armana Chadwick</v>
      </c>
      <c r="B965" s="1" t="str">
        <f>IFERROR(__xludf.DUMMYFUNCTION("""COMPUTED_VALUE"""),"L2")</f>
        <v>L2</v>
      </c>
      <c r="C965" s="1" t="str">
        <f t="shared" si="1"/>
        <v>No</v>
      </c>
      <c r="D965" s="1">
        <v>0.0</v>
      </c>
    </row>
    <row r="966" ht="15.75" customHeight="1">
      <c r="A966" s="1" t="str">
        <f>IFERROR(__xludf.DUMMYFUNCTION("""COMPUTED_VALUE"""),"Armana Chadwick")</f>
        <v>Armana Chadwick</v>
      </c>
      <c r="B966" s="1" t="str">
        <f>IFERROR(__xludf.DUMMYFUNCTION("""COMPUTED_VALUE"""),"L2")</f>
        <v>L2</v>
      </c>
      <c r="C966" s="1" t="str">
        <f t="shared" si="1"/>
        <v>No</v>
      </c>
      <c r="D966" s="1">
        <v>0.0</v>
      </c>
    </row>
    <row r="967" ht="15.75" customHeight="1">
      <c r="A967" s="1" t="str">
        <f>IFERROR(__xludf.DUMMYFUNCTION("""COMPUTED_VALUE"""),"Armana Chadwick")</f>
        <v>Armana Chadwick</v>
      </c>
      <c r="B967" s="1" t="str">
        <f>IFERROR(__xludf.DUMMYFUNCTION("""COMPUTED_VALUE"""),"L2")</f>
        <v>L2</v>
      </c>
      <c r="C967" s="1" t="str">
        <f t="shared" si="1"/>
        <v>No</v>
      </c>
      <c r="D967" s="1">
        <v>0.0</v>
      </c>
    </row>
    <row r="968" ht="15.75" customHeight="1">
      <c r="A968" s="1" t="str">
        <f>IFERROR(__xludf.DUMMYFUNCTION("""COMPUTED_VALUE"""),"Armana Chadwick")</f>
        <v>Armana Chadwick</v>
      </c>
      <c r="B968" s="1" t="str">
        <f>IFERROR(__xludf.DUMMYFUNCTION("""COMPUTED_VALUE"""),"L2")</f>
        <v>L2</v>
      </c>
      <c r="C968" s="1" t="str">
        <f t="shared" si="1"/>
        <v>No</v>
      </c>
      <c r="D968" s="1">
        <v>0.0</v>
      </c>
    </row>
    <row r="969" ht="15.75" customHeight="1">
      <c r="A969" s="1" t="str">
        <f>IFERROR(__xludf.DUMMYFUNCTION("""COMPUTED_VALUE"""),"Armana Chadwick")</f>
        <v>Armana Chadwick</v>
      </c>
      <c r="B969" s="1" t="str">
        <f>IFERROR(__xludf.DUMMYFUNCTION("""COMPUTED_VALUE"""),"L2")</f>
        <v>L2</v>
      </c>
      <c r="C969" s="1" t="str">
        <f t="shared" si="1"/>
        <v>No</v>
      </c>
      <c r="D969" s="1">
        <v>0.0</v>
      </c>
    </row>
    <row r="970" ht="15.75" customHeight="1">
      <c r="A970" s="1" t="str">
        <f>IFERROR(__xludf.DUMMYFUNCTION("""COMPUTED_VALUE"""),"S Fisher")</f>
        <v>S Fisher</v>
      </c>
      <c r="B970" s="1" t="str">
        <f>IFERROR(__xludf.DUMMYFUNCTION("""COMPUTED_VALUE"""),"MS")</f>
        <v>MS</v>
      </c>
      <c r="C970" s="1" t="str">
        <f t="shared" si="1"/>
        <v>No</v>
      </c>
      <c r="D970" s="1">
        <v>0.0</v>
      </c>
    </row>
    <row r="971" ht="15.75" customHeight="1">
      <c r="A971" s="1" t="str">
        <f>IFERROR(__xludf.DUMMYFUNCTION("""COMPUTED_VALUE"""),"Stella Fisher")</f>
        <v>Stella Fisher</v>
      </c>
      <c r="B971" s="1" t="str">
        <f>IFERROR(__xludf.DUMMYFUNCTION("""COMPUTED_VALUE"""),"MS")</f>
        <v>MS</v>
      </c>
      <c r="C971" s="1" t="str">
        <f t="shared" si="1"/>
        <v>No</v>
      </c>
      <c r="D971" s="1">
        <v>0.0</v>
      </c>
    </row>
    <row r="972" ht="15.75" customHeight="1">
      <c r="A972" s="1" t="str">
        <f>IFERROR(__xludf.DUMMYFUNCTION("""COMPUTED_VALUE"""),"Casimer Jurecki")</f>
        <v>Casimer Jurecki</v>
      </c>
      <c r="B972" s="1" t="str">
        <f>IFERROR(__xludf.DUMMYFUNCTION("""COMPUTED_VALUE"""),"MS")</f>
        <v>MS</v>
      </c>
      <c r="C972" s="1" t="str">
        <f t="shared" si="1"/>
        <v>No</v>
      </c>
      <c r="D972" s="1">
        <v>0.0</v>
      </c>
    </row>
    <row r="973" ht="15.75" customHeight="1">
      <c r="A973" s="1" t="str">
        <f>IFERROR(__xludf.DUMMYFUNCTION("""COMPUTED_VALUE"""),"Elam Dorazio")</f>
        <v>Elam Dorazio</v>
      </c>
      <c r="B973" s="1" t="str">
        <f>IFERROR(__xludf.DUMMYFUNCTION("""COMPUTED_VALUE"""),"MS")</f>
        <v>MS</v>
      </c>
      <c r="C973" s="1" t="str">
        <f t="shared" si="1"/>
        <v>No</v>
      </c>
      <c r="D973" s="1">
        <v>0.0</v>
      </c>
    </row>
    <row r="974" ht="15.75" customHeight="1">
      <c r="A974" s="1" t="str">
        <f>IFERROR(__xludf.DUMMYFUNCTION("""COMPUTED_VALUE"""),"Caroline Lubbat")</f>
        <v>Caroline Lubbat</v>
      </c>
      <c r="B974" s="1" t="str">
        <f>IFERROR(__xludf.DUMMYFUNCTION("""COMPUTED_VALUE"""),"MS")</f>
        <v>MS</v>
      </c>
      <c r="C974" s="1" t="str">
        <f t="shared" si="1"/>
        <v>No</v>
      </c>
      <c r="D974" s="1">
        <v>0.0</v>
      </c>
    </row>
    <row r="975" ht="15.75" customHeight="1">
      <c r="A975" s="1" t="str">
        <f>IFERROR(__xludf.DUMMYFUNCTION("""COMPUTED_VALUE"""),"Luke Lubbat")</f>
        <v>Luke Lubbat</v>
      </c>
      <c r="B975" s="1" t="str">
        <f>IFERROR(__xludf.DUMMYFUNCTION("""COMPUTED_VALUE"""),"L2")</f>
        <v>L2</v>
      </c>
      <c r="C975" s="1" t="str">
        <f t="shared" si="1"/>
        <v>No</v>
      </c>
      <c r="D975" s="1">
        <v>0.0</v>
      </c>
    </row>
    <row r="976" ht="15.75" customHeight="1">
      <c r="A976" s="1" t="str">
        <f>IFERROR(__xludf.DUMMYFUNCTION("""COMPUTED_VALUE"""),"Kendall Rivera")</f>
        <v>Kendall Rivera</v>
      </c>
      <c r="B976" s="1" t="str">
        <f>IFERROR(__xludf.DUMMYFUNCTION("""COMPUTED_VALUE"""),"MS")</f>
        <v>MS</v>
      </c>
      <c r="C976" s="1" t="str">
        <f t="shared" si="1"/>
        <v>No</v>
      </c>
      <c r="D976" s="1">
        <v>0.0</v>
      </c>
    </row>
    <row r="977" ht="15.75" customHeight="1">
      <c r="A977" s="1" t="str">
        <f>IFERROR(__xludf.DUMMYFUNCTION("""COMPUTED_VALUE"""),"Adeliina Rivera")</f>
        <v>Adeliina Rivera</v>
      </c>
      <c r="B977" s="1" t="str">
        <f>IFERROR(__xludf.DUMMYFUNCTION("""COMPUTED_VALUE"""),"L1")</f>
        <v>L1</v>
      </c>
      <c r="C977" s="1" t="str">
        <f t="shared" si="1"/>
        <v>No</v>
      </c>
      <c r="D977" s="1">
        <v>0.0</v>
      </c>
    </row>
    <row r="978" ht="15.75" customHeight="1">
      <c r="A978" s="1" t="str">
        <f>IFERROR(__xludf.DUMMYFUNCTION("""COMPUTED_VALUE"""),"Cece Weeaver")</f>
        <v>Cece Weeaver</v>
      </c>
      <c r="B978" s="1" t="str">
        <f>IFERROR(__xludf.DUMMYFUNCTION("""COMPUTED_VALUE"""),"MS")</f>
        <v>MS</v>
      </c>
      <c r="C978" s="1" t="str">
        <f t="shared" si="1"/>
        <v>No</v>
      </c>
      <c r="D978" s="1">
        <v>0.0</v>
      </c>
    </row>
    <row r="979" ht="15.75" customHeight="1">
      <c r="A979" s="1" t="str">
        <f>IFERROR(__xludf.DUMMYFUNCTION("""COMPUTED_VALUE"""),"Peter Weaver")</f>
        <v>Peter Weaver</v>
      </c>
      <c r="B979" s="1" t="str">
        <f>IFERROR(__xludf.DUMMYFUNCTION("""COMPUTED_VALUE"""),"MS")</f>
        <v>MS</v>
      </c>
      <c r="C979" s="1" t="str">
        <f t="shared" si="1"/>
        <v>No</v>
      </c>
      <c r="D979" s="1">
        <v>0.0</v>
      </c>
    </row>
    <row r="980" ht="15.75" customHeight="1">
      <c r="A980" s="1" t="str">
        <f>IFERROR(__xludf.DUMMYFUNCTION("""COMPUTED_VALUE"""),"Seraphina Weaver")</f>
        <v>Seraphina Weaver</v>
      </c>
      <c r="B980" s="1" t="str">
        <f>IFERROR(__xludf.DUMMYFUNCTION("""COMPUTED_VALUE"""),"L2")</f>
        <v>L2</v>
      </c>
      <c r="C980" s="1" t="str">
        <f t="shared" si="1"/>
        <v>No</v>
      </c>
      <c r="D980" s="1">
        <v>0.0</v>
      </c>
    </row>
    <row r="981" ht="15.75" customHeight="1">
      <c r="A981" s="1" t="str">
        <f>IFERROR(__xludf.DUMMYFUNCTION("""COMPUTED_VALUE"""),"Annabelle Weaver")</f>
        <v>Annabelle Weaver</v>
      </c>
      <c r="B981" s="1" t="str">
        <f>IFERROR(__xludf.DUMMYFUNCTION("""COMPUTED_VALUE"""),"L1")</f>
        <v>L1</v>
      </c>
      <c r="C981" s="1" t="str">
        <f t="shared" si="1"/>
        <v>No</v>
      </c>
      <c r="D981" s="1">
        <v>0.0</v>
      </c>
    </row>
    <row r="982" ht="15.75" customHeight="1">
      <c r="A982" s="1" t="str">
        <f>IFERROR(__xludf.DUMMYFUNCTION("""COMPUTED_VALUE"""),"Bella Schreiber")</f>
        <v>Bella Schreiber</v>
      </c>
      <c r="B982" s="1" t="str">
        <f>IFERROR(__xludf.DUMMYFUNCTION("""COMPUTED_VALUE"""),"L2")</f>
        <v>L2</v>
      </c>
      <c r="C982" s="1" t="str">
        <f t="shared" si="1"/>
        <v>No</v>
      </c>
      <c r="D982" s="1">
        <v>0.0</v>
      </c>
    </row>
    <row r="983" ht="15.75" customHeight="1">
      <c r="A983" s="1" t="str">
        <f>IFERROR(__xludf.DUMMYFUNCTION("""COMPUTED_VALUE"""),"Esther Cumby")</f>
        <v>Esther Cumby</v>
      </c>
      <c r="B983" s="1" t="str">
        <f>IFERROR(__xludf.DUMMYFUNCTION("""COMPUTED_VALUE"""),"L2")</f>
        <v>L2</v>
      </c>
      <c r="C983" s="1" t="str">
        <f t="shared" si="1"/>
        <v>No</v>
      </c>
      <c r="D983" s="1">
        <v>0.0</v>
      </c>
    </row>
    <row r="984" ht="15.75" customHeight="1">
      <c r="A984" s="1" t="str">
        <f>IFERROR(__xludf.DUMMYFUNCTION("""COMPUTED_VALUE"""),"Roxanne Hall")</f>
        <v>Roxanne Hall</v>
      </c>
      <c r="B984" s="1" t="str">
        <f>IFERROR(__xludf.DUMMYFUNCTION("""COMPUTED_VALUE"""),"L2")</f>
        <v>L2</v>
      </c>
      <c r="C984" s="1" t="str">
        <f t="shared" si="1"/>
        <v>No</v>
      </c>
      <c r="D984" s="1">
        <v>0.0</v>
      </c>
    </row>
    <row r="985" ht="15.75" customHeight="1">
      <c r="A985" s="1" t="str">
        <f>IFERROR(__xludf.DUMMYFUNCTION("""COMPUTED_VALUE"""),"Asher Cusack")</f>
        <v>Asher Cusack</v>
      </c>
      <c r="B985" s="1" t="str">
        <f>IFERROR(__xludf.DUMMYFUNCTION("""COMPUTED_VALUE"""),"L2")</f>
        <v>L2</v>
      </c>
      <c r="C985" s="1" t="str">
        <f t="shared" si="1"/>
        <v>No</v>
      </c>
      <c r="D985" s="1">
        <v>0.0</v>
      </c>
    </row>
    <row r="986" ht="15.75" customHeight="1">
      <c r="A986" s="1" t="str">
        <f>IFERROR(__xludf.DUMMYFUNCTION("""COMPUTED_VALUE"""),"Ru Cusack")</f>
        <v>Ru Cusack</v>
      </c>
      <c r="B986" s="1" t="str">
        <f>IFERROR(__xludf.DUMMYFUNCTION("""COMPUTED_VALUE"""),"LL")</f>
        <v>LL</v>
      </c>
      <c r="C986" s="1" t="str">
        <f t="shared" si="1"/>
        <v>No</v>
      </c>
      <c r="D986" s="1">
        <v>0.0</v>
      </c>
    </row>
    <row r="987" ht="15.75" customHeight="1">
      <c r="A987" s="1" t="str">
        <f>IFERROR(__xludf.DUMMYFUNCTION("""COMPUTED_VALUE"""),"Wyatt Markum")</f>
        <v>Wyatt Markum</v>
      </c>
      <c r="B987" s="1" t="str">
        <f>IFERROR(__xludf.DUMMYFUNCTION("""COMPUTED_VALUE"""),"LL")</f>
        <v>LL</v>
      </c>
      <c r="C987" s="1" t="str">
        <f t="shared" si="1"/>
        <v>No</v>
      </c>
      <c r="D987" s="1">
        <v>0.0</v>
      </c>
    </row>
    <row r="988" ht="15.75" customHeight="1">
      <c r="A988" s="1" t="str">
        <f>IFERROR(__xludf.DUMMYFUNCTION("""COMPUTED_VALUE"""),"Rinah Khaitan")</f>
        <v>Rinah Khaitan</v>
      </c>
      <c r="B988" s="1" t="str">
        <f>IFERROR(__xludf.DUMMYFUNCTION("""COMPUTED_VALUE"""),"MS")</f>
        <v>MS</v>
      </c>
      <c r="C988" s="1" t="str">
        <f t="shared" si="1"/>
        <v>No</v>
      </c>
      <c r="D988" s="1">
        <v>0.0</v>
      </c>
    </row>
    <row r="989" ht="15.75" customHeight="1">
      <c r="A989" s="1" t="str">
        <f>IFERROR(__xludf.DUMMYFUNCTION("""COMPUTED_VALUE"""),"Narah Khaitan")</f>
        <v>Narah Khaitan</v>
      </c>
      <c r="B989" s="1" t="str">
        <f>IFERROR(__xludf.DUMMYFUNCTION("""COMPUTED_VALUE"""),"L2")</f>
        <v>L2</v>
      </c>
      <c r="C989" s="1" t="str">
        <f t="shared" si="1"/>
        <v>No</v>
      </c>
      <c r="D989" s="1">
        <v>0.0</v>
      </c>
    </row>
    <row r="990" ht="15.75" customHeight="1">
      <c r="A990" s="1" t="str">
        <f>IFERROR(__xludf.DUMMYFUNCTION("""COMPUTED_VALUE"""),"Sahar Khaitan")</f>
        <v>Sahar Khaitan</v>
      </c>
      <c r="B990" s="1" t="str">
        <f>IFERROR(__xludf.DUMMYFUNCTION("""COMPUTED_VALUE"""),"LL")</f>
        <v>LL</v>
      </c>
      <c r="C990" s="1" t="str">
        <f t="shared" si="1"/>
        <v>No</v>
      </c>
      <c r="D990" s="1">
        <v>0.0</v>
      </c>
    </row>
    <row r="991" ht="15.75" customHeight="1">
      <c r="A991" s="1" t="str">
        <f>IFERROR(__xludf.DUMMYFUNCTION("""COMPUTED_VALUE"""),"Oren Eldridge")</f>
        <v>Oren Eldridge</v>
      </c>
      <c r="B991" s="1" t="str">
        <f>IFERROR(__xludf.DUMMYFUNCTION("""COMPUTED_VALUE"""),"MS")</f>
        <v>MS</v>
      </c>
      <c r="C991" s="1" t="str">
        <f t="shared" si="1"/>
        <v>No</v>
      </c>
      <c r="D991" s="1">
        <v>0.0</v>
      </c>
    </row>
    <row r="992" ht="15.75" customHeight="1">
      <c r="A992" s="1" t="str">
        <f>IFERROR(__xludf.DUMMYFUNCTION("""COMPUTED_VALUE"""),"Mia Eldridge")</f>
        <v>Mia Eldridge</v>
      </c>
      <c r="B992" s="1" t="str">
        <f>IFERROR(__xludf.DUMMYFUNCTION("""COMPUTED_VALUE"""),"MS")</f>
        <v>MS</v>
      </c>
      <c r="C992" s="1" t="str">
        <f t="shared" si="1"/>
        <v>No</v>
      </c>
      <c r="D992" s="1">
        <v>0.0</v>
      </c>
    </row>
    <row r="993" ht="15.75" customHeight="1">
      <c r="A993" s="1" t="str">
        <f>IFERROR(__xludf.DUMMYFUNCTION("""COMPUTED_VALUE"""),"Royce Eldridge")</f>
        <v>Royce Eldridge</v>
      </c>
      <c r="B993" s="1" t="str">
        <f>IFERROR(__xludf.DUMMYFUNCTION("""COMPUTED_VALUE"""),"L2")</f>
        <v>L2</v>
      </c>
      <c r="C993" s="1" t="str">
        <f t="shared" si="1"/>
        <v>No</v>
      </c>
      <c r="D993" s="1">
        <v>0.0</v>
      </c>
    </row>
    <row r="994" ht="15.75" customHeight="1">
      <c r="A994" s="1" t="str">
        <f>IFERROR(__xludf.DUMMYFUNCTION("""COMPUTED_VALUE"""),"Jules Rahemtulla")</f>
        <v>Jules Rahemtulla</v>
      </c>
      <c r="B994" s="1" t="str">
        <f>IFERROR(__xludf.DUMMYFUNCTION("""COMPUTED_VALUE"""),"MS")</f>
        <v>MS</v>
      </c>
      <c r="C994" s="1" t="str">
        <f t="shared" si="1"/>
        <v>No</v>
      </c>
      <c r="D994" s="1">
        <v>0.0</v>
      </c>
    </row>
    <row r="995" ht="15.75" customHeight="1">
      <c r="A995" s="1" t="str">
        <f>IFERROR(__xludf.DUMMYFUNCTION("""COMPUTED_VALUE"""),"Ari Narasimhan")</f>
        <v>Ari Narasimhan</v>
      </c>
      <c r="B995" s="1" t="str">
        <f>IFERROR(__xludf.DUMMYFUNCTION("""COMPUTED_VALUE"""),"L2")</f>
        <v>L2</v>
      </c>
      <c r="C995" s="1" t="str">
        <f t="shared" si="1"/>
        <v>No</v>
      </c>
      <c r="D995" s="1">
        <v>0.0</v>
      </c>
    </row>
    <row r="996" ht="15.75" customHeight="1">
      <c r="A996" s="1" t="str">
        <f>IFERROR(__xludf.DUMMYFUNCTION("""COMPUTED_VALUE"""),"Rafa Narasimhan")</f>
        <v>Rafa Narasimhan</v>
      </c>
      <c r="B996" s="1" t="str">
        <f>IFERROR(__xludf.DUMMYFUNCTION("""COMPUTED_VALUE"""),"L1")</f>
        <v>L1</v>
      </c>
      <c r="C996" s="1" t="str">
        <f t="shared" si="1"/>
        <v>No</v>
      </c>
      <c r="D996" s="1">
        <v>0.0</v>
      </c>
    </row>
    <row r="997" ht="15.75" customHeight="1">
      <c r="A997" s="1" t="str">
        <f>IFERROR(__xludf.DUMMYFUNCTION("""COMPUTED_VALUE"""),"Victor Chen")</f>
        <v>Victor Chen</v>
      </c>
      <c r="B997" s="1" t="str">
        <f>IFERROR(__xludf.DUMMYFUNCTION("""COMPUTED_VALUE"""),"MS")</f>
        <v>MS</v>
      </c>
      <c r="C997" s="1" t="str">
        <f t="shared" si="1"/>
        <v>No</v>
      </c>
      <c r="D997" s="1">
        <v>0.0</v>
      </c>
    </row>
    <row r="998" ht="15.75" customHeight="1">
      <c r="A998" s="1" t="str">
        <f>IFERROR(__xludf.DUMMYFUNCTION("""COMPUTED_VALUE"""),"asd asdasdasdasd")</f>
        <v>asd asdasdasdasd</v>
      </c>
      <c r="B998" s="1" t="str">
        <f>IFERROR(__xludf.DUMMYFUNCTION("""COMPUTED_VALUE"""),"HS")</f>
        <v>HS</v>
      </c>
      <c r="C998" s="1" t="str">
        <f t="shared" si="1"/>
        <v>No</v>
      </c>
      <c r="D998" s="1">
        <v>0.0</v>
      </c>
    </row>
    <row r="999" ht="15.75" customHeight="1">
      <c r="A999" s="1" t="str">
        <f>IFERROR(__xludf.DUMMYFUNCTION("""COMPUTED_VALUE"""),"Solveig Johnson")</f>
        <v>Solveig Johnson</v>
      </c>
      <c r="B999" s="1" t="str">
        <f>IFERROR(__xludf.DUMMYFUNCTION("""COMPUTED_VALUE"""),"L1")</f>
        <v>L1</v>
      </c>
      <c r="C999" s="1" t="str">
        <f t="shared" si="1"/>
        <v>No</v>
      </c>
      <c r="D999" s="1">
        <v>0.0</v>
      </c>
    </row>
    <row r="1000" ht="15.75" customHeight="1">
      <c r="A1000" s="1" t="str">
        <f>IFERROR(__xludf.DUMMYFUNCTION("""COMPUTED_VALUE"""),"Ingrid Johnson")</f>
        <v>Ingrid Johnson</v>
      </c>
      <c r="B1000" s="1" t="str">
        <f>IFERROR(__xludf.DUMMYFUNCTION("""COMPUTED_VALUE"""),"L1")</f>
        <v>L1</v>
      </c>
      <c r="C1000" s="1" t="str">
        <f t="shared" si="1"/>
        <v>No</v>
      </c>
      <c r="D1000" s="1">
        <v>0.0</v>
      </c>
    </row>
    <row r="1001" ht="15.75" customHeight="1">
      <c r="A1001" s="1" t="str">
        <f>IFERROR(__xludf.DUMMYFUNCTION("""COMPUTED_VALUE"""),"Kaylor Pratt")</f>
        <v>Kaylor Pratt</v>
      </c>
      <c r="B1001" s="1" t="str">
        <f>IFERROR(__xludf.DUMMYFUNCTION("""COMPUTED_VALUE"""),"HS")</f>
        <v>HS</v>
      </c>
      <c r="C1001" s="1" t="str">
        <f t="shared" si="1"/>
        <v>No</v>
      </c>
      <c r="D1001" s="1">
        <v>0.0</v>
      </c>
    </row>
    <row r="1002" ht="15.75" customHeight="1">
      <c r="A1002" s="1" t="str">
        <f>IFERROR(__xludf.DUMMYFUNCTION("""COMPUTED_VALUE"""),"Collin Webb")</f>
        <v>Collin Webb</v>
      </c>
      <c r="B1002" s="1" t="str">
        <f>IFERROR(__xludf.DUMMYFUNCTION("""COMPUTED_VALUE"""),"MS")</f>
        <v>MS</v>
      </c>
      <c r="C1002" s="1" t="str">
        <f t="shared" si="1"/>
        <v>No</v>
      </c>
      <c r="D1002" s="1">
        <v>0.0</v>
      </c>
    </row>
    <row r="1003" ht="15.75" customHeight="1">
      <c r="A1003" s="1" t="str">
        <f>IFERROR(__xludf.DUMMYFUNCTION("""COMPUTED_VALUE"""),"Roman Fitchpatric")</f>
        <v>Roman Fitchpatric</v>
      </c>
      <c r="B1003" s="1" t="str">
        <f>IFERROR(__xludf.DUMMYFUNCTION("""COMPUTED_VALUE"""),"L2")</f>
        <v>L2</v>
      </c>
      <c r="C1003" s="1" t="str">
        <f t="shared" si="1"/>
        <v>No</v>
      </c>
      <c r="D1003" s="1">
        <v>0.0</v>
      </c>
    </row>
    <row r="1004" ht="15.75" customHeight="1">
      <c r="A1004" s="1" t="str">
        <f>IFERROR(__xludf.DUMMYFUNCTION("""COMPUTED_VALUE"""),"Cooper Stan")</f>
        <v>Cooper Stan</v>
      </c>
      <c r="B1004" s="1" t="str">
        <f>IFERROR(__xludf.DUMMYFUNCTION("""COMPUTED_VALUE"""),"LL")</f>
        <v>LL</v>
      </c>
      <c r="C1004" s="1" t="str">
        <f t="shared" si="1"/>
        <v>No</v>
      </c>
      <c r="D1004" s="1">
        <v>0.0</v>
      </c>
    </row>
    <row r="1005" ht="15.75" customHeight="1">
      <c r="A1005" s="1" t="str">
        <f>IFERROR(__xludf.DUMMYFUNCTION("""COMPUTED_VALUE"""),"Kai Dennen")</f>
        <v>Kai Dennen</v>
      </c>
      <c r="B1005" s="1" t="str">
        <f>IFERROR(__xludf.DUMMYFUNCTION("""COMPUTED_VALUE"""),"L2")</f>
        <v>L2</v>
      </c>
      <c r="C1005" s="1" t="str">
        <f t="shared" si="1"/>
        <v>No</v>
      </c>
      <c r="D1005" s="1">
        <v>0.0</v>
      </c>
    </row>
    <row r="1006" ht="15.75" customHeight="1">
      <c r="A1006" s="1" t="str">
        <f>IFERROR(__xludf.DUMMYFUNCTION("""COMPUTED_VALUE"""),"Kelly Dennen")</f>
        <v>Kelly Dennen</v>
      </c>
      <c r="B1006" s="1" t="str">
        <f>IFERROR(__xludf.DUMMYFUNCTION("""COMPUTED_VALUE"""),"L1")</f>
        <v>L1</v>
      </c>
      <c r="C1006" s="1" t="str">
        <f t="shared" si="1"/>
        <v>No</v>
      </c>
      <c r="D1006" s="1">
        <v>0.0</v>
      </c>
    </row>
    <row r="1007" ht="15.75" customHeight="1">
      <c r="A1007" s="1" t="str">
        <f>IFERROR(__xludf.DUMMYFUNCTION("""COMPUTED_VALUE"""),"James Aneed")</f>
        <v>James Aneed</v>
      </c>
      <c r="B1007" s="1" t="str">
        <f>IFERROR(__xludf.DUMMYFUNCTION("""COMPUTED_VALUE"""),"L2")</f>
        <v>L2</v>
      </c>
      <c r="C1007" s="1" t="str">
        <f t="shared" si="1"/>
        <v>No</v>
      </c>
      <c r="D1007" s="1">
        <v>0.0</v>
      </c>
    </row>
    <row r="1008" ht="15.75" customHeight="1">
      <c r="A1008" s="1" t="str">
        <f>IFERROR(__xludf.DUMMYFUNCTION("""COMPUTED_VALUE"""),"Alan Katzman")</f>
        <v>Alan Katzman</v>
      </c>
      <c r="B1008" s="1" t="str">
        <f>IFERROR(__xludf.DUMMYFUNCTION("""COMPUTED_VALUE"""),"HS")</f>
        <v>HS</v>
      </c>
      <c r="C1008" s="1" t="str">
        <f t="shared" si="1"/>
        <v>No</v>
      </c>
      <c r="D1008" s="1">
        <v>0.0</v>
      </c>
    </row>
    <row r="1009" ht="15.75" customHeight="1">
      <c r="A1009" s="1" t="str">
        <f>IFERROR(__xludf.DUMMYFUNCTION("""COMPUTED_VALUE"""),"Lucas Szender")</f>
        <v>Lucas Szender</v>
      </c>
      <c r="B1009" s="1" t="str">
        <f>IFERROR(__xludf.DUMMYFUNCTION("""COMPUTED_VALUE"""),"L1")</f>
        <v>L1</v>
      </c>
      <c r="C1009" s="1" t="str">
        <f t="shared" si="1"/>
        <v>No</v>
      </c>
      <c r="D1009" s="1">
        <v>0.0</v>
      </c>
    </row>
    <row r="1010" ht="15.75" customHeight="1">
      <c r="A1010" s="1" t="str">
        <f>IFERROR(__xludf.DUMMYFUNCTION("""COMPUTED_VALUE"""),"Freedome Bennett")</f>
        <v>Freedome Bennett</v>
      </c>
      <c r="B1010" s="1" t="str">
        <f>IFERROR(__xludf.DUMMYFUNCTION("""COMPUTED_VALUE"""),"HS")</f>
        <v>HS</v>
      </c>
      <c r="C1010" s="1" t="str">
        <f t="shared" si="1"/>
        <v>No</v>
      </c>
      <c r="D1010" s="1">
        <v>0.0</v>
      </c>
    </row>
    <row r="1011" ht="15.75" customHeight="1">
      <c r="A1011" s="1" t="str">
        <f>IFERROR(__xludf.DUMMYFUNCTION("""COMPUTED_VALUE"""),"Paige Daniels")</f>
        <v>Paige Daniels</v>
      </c>
      <c r="B1011" s="1" t="str">
        <f>IFERROR(__xludf.DUMMYFUNCTION("""COMPUTED_VALUE"""),"MS")</f>
        <v>MS</v>
      </c>
      <c r="C1011" s="1" t="str">
        <f t="shared" si="1"/>
        <v>No</v>
      </c>
      <c r="D1011" s="1">
        <v>0.0</v>
      </c>
    </row>
    <row r="1012" ht="15.75" customHeight="1">
      <c r="A1012" s="1" t="str">
        <f>IFERROR(__xludf.DUMMYFUNCTION("""COMPUTED_VALUE"""),"Beau Daniels")</f>
        <v>Beau Daniels</v>
      </c>
      <c r="B1012" s="1" t="str">
        <f>IFERROR(__xludf.DUMMYFUNCTION("""COMPUTED_VALUE"""),"L2")</f>
        <v>L2</v>
      </c>
      <c r="C1012" s="1" t="str">
        <f t="shared" si="1"/>
        <v>No</v>
      </c>
      <c r="D1012" s="1">
        <v>0.0</v>
      </c>
    </row>
    <row r="1013" ht="15.75" customHeight="1">
      <c r="A1013" s="1" t="str">
        <f>IFERROR(__xludf.DUMMYFUNCTION("""COMPUTED_VALUE"""),"Sophijah Knowles")</f>
        <v>Sophijah Knowles</v>
      </c>
      <c r="B1013" s="1" t="str">
        <f>IFERROR(__xludf.DUMMYFUNCTION("""COMPUTED_VALUE"""),"MS")</f>
        <v>MS</v>
      </c>
      <c r="C1013" s="1" t="str">
        <f t="shared" si="1"/>
        <v>No</v>
      </c>
      <c r="D1013" s="1">
        <v>0.0</v>
      </c>
    </row>
    <row r="1014" ht="15.75" customHeight="1">
      <c r="A1014" s="1" t="str">
        <f>IFERROR(__xludf.DUMMYFUNCTION("""COMPUTED_VALUE"""),"Paddy Page")</f>
        <v>Paddy Page</v>
      </c>
      <c r="B1014" s="1" t="str">
        <f>IFERROR(__xludf.DUMMYFUNCTION("""COMPUTED_VALUE"""),"L1")</f>
        <v>L1</v>
      </c>
      <c r="C1014" s="1" t="str">
        <f t="shared" si="1"/>
        <v>No</v>
      </c>
      <c r="D1014" s="1">
        <v>0.0</v>
      </c>
    </row>
    <row r="1015" ht="15.75" customHeight="1">
      <c r="A1015" s="1" t="str">
        <f>IFERROR(__xludf.DUMMYFUNCTION("""COMPUTED_VALUE"""),"Kenton Knowles")</f>
        <v>Kenton Knowles</v>
      </c>
      <c r="B1015" s="1" t="str">
        <f>IFERROR(__xludf.DUMMYFUNCTION("""COMPUTED_VALUE"""),"L2")</f>
        <v>L2</v>
      </c>
      <c r="C1015" s="1" t="str">
        <f t="shared" si="1"/>
        <v>No</v>
      </c>
      <c r="D1015" s="1">
        <v>0.0</v>
      </c>
    </row>
    <row r="1016" ht="15.75" customHeight="1">
      <c r="A1016" s="1" t="str">
        <f>IFERROR(__xludf.DUMMYFUNCTION("""COMPUTED_VALUE"""),"Bryce Steele")</f>
        <v>Bryce Steele</v>
      </c>
      <c r="B1016" s="1" t="str">
        <f>IFERROR(__xludf.DUMMYFUNCTION("""COMPUTED_VALUE"""),"MS")</f>
        <v>MS</v>
      </c>
      <c r="C1016" s="1" t="str">
        <f t="shared" si="1"/>
        <v>No</v>
      </c>
      <c r="D1016" s="1">
        <v>0.0</v>
      </c>
    </row>
    <row r="1017" ht="15.75" customHeight="1">
      <c r="A1017" s="1" t="str">
        <f>IFERROR(__xludf.DUMMYFUNCTION("""COMPUTED_VALUE"""),"Logan Hittesdorf")</f>
        <v>Logan Hittesdorf</v>
      </c>
      <c r="B1017" s="1" t="str">
        <f>IFERROR(__xludf.DUMMYFUNCTION("""COMPUTED_VALUE"""),"L1")</f>
        <v>L1</v>
      </c>
      <c r="C1017" s="1" t="str">
        <f t="shared" si="1"/>
        <v>No</v>
      </c>
      <c r="D1017" s="1">
        <v>0.0</v>
      </c>
    </row>
    <row r="1018" ht="15.75" customHeight="1">
      <c r="A1018" s="1" t="str">
        <f>IFERROR(__xludf.DUMMYFUNCTION("""COMPUTED_VALUE"""),"Nora Otulana")</f>
        <v>Nora Otulana</v>
      </c>
      <c r="B1018" s="1" t="str">
        <f>IFERROR(__xludf.DUMMYFUNCTION("""COMPUTED_VALUE"""),"MS")</f>
        <v>MS</v>
      </c>
      <c r="C1018" s="1" t="str">
        <f t="shared" si="1"/>
        <v>No</v>
      </c>
      <c r="D1018" s="1">
        <v>0.0</v>
      </c>
    </row>
    <row r="1019" ht="15.75" customHeight="1">
      <c r="A1019" s="1" t="str">
        <f>IFERROR(__xludf.DUMMYFUNCTION("""COMPUTED_VALUE"""),"Kate Otulana")</f>
        <v>Kate Otulana</v>
      </c>
      <c r="B1019" s="1" t="str">
        <f>IFERROR(__xludf.DUMMYFUNCTION("""COMPUTED_VALUE"""),"L2")</f>
        <v>L2</v>
      </c>
      <c r="C1019" s="1" t="str">
        <f t="shared" si="1"/>
        <v>No</v>
      </c>
      <c r="D1019" s="1">
        <v>0.0</v>
      </c>
    </row>
    <row r="1020" ht="15.75" customHeight="1">
      <c r="A1020" s="1" t="str">
        <f>IFERROR(__xludf.DUMMYFUNCTION("""COMPUTED_VALUE"""),"Hope Allred")</f>
        <v>Hope Allred</v>
      </c>
      <c r="B1020" s="1" t="str">
        <f>IFERROR(__xludf.DUMMYFUNCTION("""COMPUTED_VALUE"""),"MS")</f>
        <v>MS</v>
      </c>
      <c r="C1020" s="1" t="str">
        <f t="shared" si="1"/>
        <v>No</v>
      </c>
      <c r="D1020" s="1">
        <v>0.0</v>
      </c>
    </row>
    <row r="1021" ht="15.75" customHeight="1">
      <c r="A1021" s="1" t="str">
        <f>IFERROR(__xludf.DUMMYFUNCTION("""COMPUTED_VALUE"""),"Boden Allred")</f>
        <v>Boden Allred</v>
      </c>
      <c r="B1021" s="1" t="str">
        <f>IFERROR(__xludf.DUMMYFUNCTION("""COMPUTED_VALUE"""),"L1")</f>
        <v>L1</v>
      </c>
      <c r="C1021" s="1" t="str">
        <f t="shared" si="1"/>
        <v>No</v>
      </c>
      <c r="D1021" s="1">
        <v>0.0</v>
      </c>
    </row>
    <row r="1022" ht="15.75" customHeight="1">
      <c r="A1022" s="1" t="str">
        <f>IFERROR(__xludf.DUMMYFUNCTION("""COMPUTED_VALUE"""),"Zenovia Lindsay")</f>
        <v>Zenovia Lindsay</v>
      </c>
      <c r="B1022" s="1" t="str">
        <f>IFERROR(__xludf.DUMMYFUNCTION("""COMPUTED_VALUE"""),"L1")</f>
        <v>L1</v>
      </c>
      <c r="C1022" s="1" t="str">
        <f t="shared" si="1"/>
        <v>No</v>
      </c>
      <c r="D1022" s="1">
        <v>0.0</v>
      </c>
    </row>
    <row r="1023" ht="15.75" customHeight="1">
      <c r="A1023" s="1" t="str">
        <f>IFERROR(__xludf.DUMMYFUNCTION("""COMPUTED_VALUE"""),"Wynn Wirtz")</f>
        <v>Wynn Wirtz</v>
      </c>
      <c r="B1023" s="1" t="str">
        <f>IFERROR(__xludf.DUMMYFUNCTION("""COMPUTED_VALUE"""),"MS")</f>
        <v>MS</v>
      </c>
      <c r="C1023" s="1" t="str">
        <f t="shared" si="1"/>
        <v>No</v>
      </c>
      <c r="D1023" s="1">
        <v>0.0</v>
      </c>
    </row>
    <row r="1024" ht="15.75" customHeight="1">
      <c r="A1024" s="1" t="str">
        <f>IFERROR(__xludf.DUMMYFUNCTION("""COMPUTED_VALUE"""),"Bella teitelbaum")</f>
        <v>Bella teitelbaum</v>
      </c>
      <c r="B1024" s="1" t="str">
        <f>IFERROR(__xludf.DUMMYFUNCTION("""COMPUTED_VALUE"""),"MS")</f>
        <v>MS</v>
      </c>
      <c r="C1024" s="1" t="str">
        <f t="shared" si="1"/>
        <v>No</v>
      </c>
      <c r="D1024" s="1">
        <v>0.0</v>
      </c>
    </row>
    <row r="1025" ht="15.75" customHeight="1">
      <c r="A1025" s="1" t="str">
        <f>IFERROR(__xludf.DUMMYFUNCTION("""COMPUTED_VALUE"""),"Abel Andea")</f>
        <v>Abel Andea</v>
      </c>
      <c r="B1025" s="1" t="str">
        <f>IFERROR(__xludf.DUMMYFUNCTION("""COMPUTED_VALUE"""),"L1")</f>
        <v>L1</v>
      </c>
      <c r="C1025" s="1" t="str">
        <f t="shared" si="1"/>
        <v>No</v>
      </c>
      <c r="D1025" s="1">
        <v>0.0</v>
      </c>
    </row>
    <row r="1026" ht="15.75" customHeight="1">
      <c r="A1026" s="1" t="str">
        <f>IFERROR(__xludf.DUMMYFUNCTION("""COMPUTED_VALUE"""),"Mia BOUSSAA")</f>
        <v>Mia BOUSSAA</v>
      </c>
      <c r="B1026" s="1" t="str">
        <f>IFERROR(__xludf.DUMMYFUNCTION("""COMPUTED_VALUE"""),"L2")</f>
        <v>L2</v>
      </c>
      <c r="C1026" s="1" t="str">
        <f t="shared" si="1"/>
        <v>No</v>
      </c>
      <c r="D1026" s="1">
        <v>0.0</v>
      </c>
    </row>
    <row r="1027" ht="15.75" customHeight="1">
      <c r="A1027" s="1" t="str">
        <f>IFERROR(__xludf.DUMMYFUNCTION("""COMPUTED_VALUE"""),"Ava Boussaa")</f>
        <v>Ava Boussaa</v>
      </c>
      <c r="B1027" s="1" t="str">
        <f>IFERROR(__xludf.DUMMYFUNCTION("""COMPUTED_VALUE"""),"MS")</f>
        <v>MS</v>
      </c>
      <c r="C1027" s="1" t="str">
        <f t="shared" si="1"/>
        <v>No</v>
      </c>
      <c r="D1027" s="1">
        <v>0.0</v>
      </c>
    </row>
    <row r="1028" ht="15.75" customHeight="1">
      <c r="A1028" s="1" t="str">
        <f>IFERROR(__xludf.DUMMYFUNCTION("""COMPUTED_VALUE"""),"Luca Mendez")</f>
        <v>Luca Mendez</v>
      </c>
      <c r="B1028" s="1" t="str">
        <f>IFERROR(__xludf.DUMMYFUNCTION("""COMPUTED_VALUE"""),"L2")</f>
        <v>L2</v>
      </c>
      <c r="C1028" s="1" t="str">
        <f t="shared" si="1"/>
        <v>No</v>
      </c>
      <c r="D1028" s="1">
        <v>0.0</v>
      </c>
    </row>
    <row r="1029" ht="15.75" customHeight="1">
      <c r="A1029" s="1" t="str">
        <f>IFERROR(__xludf.DUMMYFUNCTION("""COMPUTED_VALUE"""),"Kylie Trojanowski")</f>
        <v>Kylie Trojanowski</v>
      </c>
      <c r="B1029" s="1" t="str">
        <f>IFERROR(__xludf.DUMMYFUNCTION("""COMPUTED_VALUE"""),"L2")</f>
        <v>L2</v>
      </c>
      <c r="C1029" s="1" t="str">
        <f t="shared" si="1"/>
        <v>No</v>
      </c>
      <c r="D1029" s="1">
        <v>0.0</v>
      </c>
    </row>
    <row r="1030" ht="15.75" customHeight="1">
      <c r="A1030" s="1" t="str">
        <f>IFERROR(__xludf.DUMMYFUNCTION("""COMPUTED_VALUE"""),"Jace Trojanowski")</f>
        <v>Jace Trojanowski</v>
      </c>
      <c r="B1030" s="1" t="str">
        <f>IFERROR(__xludf.DUMMYFUNCTION("""COMPUTED_VALUE"""),"L1")</f>
        <v>L1</v>
      </c>
      <c r="C1030" s="1" t="str">
        <f t="shared" si="1"/>
        <v>No</v>
      </c>
      <c r="D1030" s="1">
        <v>0.0</v>
      </c>
    </row>
    <row r="1031" ht="15.75" customHeight="1">
      <c r="A1031" s="1" t="str">
        <f>IFERROR(__xludf.DUMMYFUNCTION("""COMPUTED_VALUE"""),"Dezmond Dulin")</f>
        <v>Dezmond Dulin</v>
      </c>
      <c r="B1031" s="1" t="str">
        <f>IFERROR(__xludf.DUMMYFUNCTION("""COMPUTED_VALUE"""),"L2")</f>
        <v>L2</v>
      </c>
      <c r="C1031" s="1" t="str">
        <f t="shared" si="1"/>
        <v>No</v>
      </c>
      <c r="D1031" s="1">
        <v>0.0</v>
      </c>
    </row>
    <row r="1032" ht="15.75" customHeight="1">
      <c r="A1032" s="1" t="str">
        <f>IFERROR(__xludf.DUMMYFUNCTION("""COMPUTED_VALUE"""),"Jack Fenters")</f>
        <v>Jack Fenters</v>
      </c>
      <c r="B1032" s="1" t="str">
        <f>IFERROR(__xludf.DUMMYFUNCTION("""COMPUTED_VALUE"""),"MS")</f>
        <v>MS</v>
      </c>
      <c r="C1032" s="1" t="str">
        <f t="shared" si="1"/>
        <v>No</v>
      </c>
      <c r="D1032" s="1">
        <v>0.0</v>
      </c>
    </row>
    <row r="1033" ht="15.75" customHeight="1">
      <c r="A1033" s="1" t="str">
        <f>IFERROR(__xludf.DUMMYFUNCTION("""COMPUTED_VALUE"""),"Austin Greene")</f>
        <v>Austin Greene</v>
      </c>
      <c r="B1033" s="1" t="str">
        <f>IFERROR(__xludf.DUMMYFUNCTION("""COMPUTED_VALUE"""),"MS")</f>
        <v>MS</v>
      </c>
      <c r="C1033" s="1" t="str">
        <f t="shared" si="1"/>
        <v>No</v>
      </c>
      <c r="D1033" s="1">
        <v>0.0</v>
      </c>
    </row>
    <row r="1034" ht="15.75" customHeight="1">
      <c r="A1034" s="1" t="str">
        <f>IFERROR(__xludf.DUMMYFUNCTION("""COMPUTED_VALUE"""),"Ava Greene")</f>
        <v>Ava Greene</v>
      </c>
      <c r="B1034" s="1" t="str">
        <f>IFERROR(__xludf.DUMMYFUNCTION("""COMPUTED_VALUE"""),"L2")</f>
        <v>L2</v>
      </c>
      <c r="C1034" s="1" t="str">
        <f t="shared" si="1"/>
        <v>No</v>
      </c>
      <c r="D1034" s="1">
        <v>0.0</v>
      </c>
    </row>
    <row r="1035" ht="15.75" customHeight="1">
      <c r="A1035" s="1" t="str">
        <f>IFERROR(__xludf.DUMMYFUNCTION("""COMPUTED_VALUE"""),"Raiden Geater")</f>
        <v>Raiden Geater</v>
      </c>
      <c r="B1035" s="1" t="str">
        <f>IFERROR(__xludf.DUMMYFUNCTION("""COMPUTED_VALUE"""),"L2")</f>
        <v>L2</v>
      </c>
      <c r="C1035" s="1" t="str">
        <f t="shared" si="1"/>
        <v>No</v>
      </c>
      <c r="D1035" s="1">
        <v>0.0</v>
      </c>
    </row>
    <row r="1036" ht="15.75" customHeight="1">
      <c r="A1036" s="1" t="str">
        <f>IFERROR(__xludf.DUMMYFUNCTION("""COMPUTED_VALUE"""),"Clara Coleman")</f>
        <v>Clara Coleman</v>
      </c>
      <c r="B1036" s="1" t="str">
        <f>IFERROR(__xludf.DUMMYFUNCTION("""COMPUTED_VALUE"""),"L1")</f>
        <v>L1</v>
      </c>
      <c r="C1036" s="1" t="str">
        <f t="shared" si="1"/>
        <v>No</v>
      </c>
      <c r="D1036" s="1">
        <v>0.0</v>
      </c>
    </row>
    <row r="1037" ht="15.75" customHeight="1">
      <c r="A1037" s="1" t="str">
        <f>IFERROR(__xludf.DUMMYFUNCTION("""COMPUTED_VALUE"""),"Tessa Coleman")</f>
        <v>Tessa Coleman</v>
      </c>
      <c r="B1037" s="1" t="str">
        <f>IFERROR(__xludf.DUMMYFUNCTION("""COMPUTED_VALUE"""),"L1")</f>
        <v>L1</v>
      </c>
      <c r="C1037" s="1" t="str">
        <f t="shared" si="1"/>
        <v>No</v>
      </c>
      <c r="D1037" s="1">
        <v>0.0</v>
      </c>
    </row>
    <row r="1038" ht="15.75" customHeight="1">
      <c r="A1038" s="1" t="str">
        <f>IFERROR(__xludf.DUMMYFUNCTION("""COMPUTED_VALUE"""),"Brandon Young")</f>
        <v>Brandon Young</v>
      </c>
      <c r="B1038" s="1" t="str">
        <f>IFERROR(__xludf.DUMMYFUNCTION("""COMPUTED_VALUE"""),"MS")</f>
        <v>MS</v>
      </c>
      <c r="C1038" s="1" t="str">
        <f t="shared" si="1"/>
        <v>No</v>
      </c>
      <c r="D1038" s="1">
        <v>0.0</v>
      </c>
    </row>
    <row r="1039" ht="15.75" customHeight="1">
      <c r="A1039" s="1" t="str">
        <f>IFERROR(__xludf.DUMMYFUNCTION("""COMPUTED_VALUE"""),"Samad Muhammad")</f>
        <v>Samad Muhammad</v>
      </c>
      <c r="B1039" s="1" t="str">
        <f>IFERROR(__xludf.DUMMYFUNCTION("""COMPUTED_VALUE"""),"MS")</f>
        <v>MS</v>
      </c>
      <c r="C1039" s="1" t="str">
        <f t="shared" si="1"/>
        <v>No</v>
      </c>
      <c r="D1039" s="1">
        <v>0.0</v>
      </c>
    </row>
    <row r="1040" ht="15.75" customHeight="1">
      <c r="A1040" s="1" t="str">
        <f>IFERROR(__xludf.DUMMYFUNCTION("""COMPUTED_VALUE"""),"Leo Nicholas")</f>
        <v>Leo Nicholas</v>
      </c>
      <c r="B1040" s="1" t="str">
        <f>IFERROR(__xludf.DUMMYFUNCTION("""COMPUTED_VALUE"""),"L2")</f>
        <v>L2</v>
      </c>
      <c r="C1040" s="1" t="str">
        <f t="shared" si="1"/>
        <v>No</v>
      </c>
      <c r="D1040" s="1">
        <v>0.0</v>
      </c>
    </row>
    <row r="1041" ht="15.75" customHeight="1">
      <c r="A1041" s="1" t="str">
        <f>IFERROR(__xludf.DUMMYFUNCTION("""COMPUTED_VALUE"""),"Amaya Singh")</f>
        <v>Amaya Singh</v>
      </c>
      <c r="B1041" s="1" t="str">
        <f>IFERROR(__xludf.DUMMYFUNCTION("""COMPUTED_VALUE"""),"L2")</f>
        <v>L2</v>
      </c>
      <c r="C1041" s="1" t="str">
        <f t="shared" si="1"/>
        <v>No</v>
      </c>
      <c r="D1041" s="1">
        <v>0.0</v>
      </c>
    </row>
    <row r="1042" ht="15.75" customHeight="1">
      <c r="A1042" s="1" t="str">
        <f>IFERROR(__xludf.DUMMYFUNCTION("""COMPUTED_VALUE"""),"Chesten Bird")</f>
        <v>Chesten Bird</v>
      </c>
      <c r="B1042" s="1" t="str">
        <f>IFERROR(__xludf.DUMMYFUNCTION("""COMPUTED_VALUE"""),"L2")</f>
        <v>L2</v>
      </c>
      <c r="C1042" s="1" t="str">
        <f t="shared" si="1"/>
        <v>No</v>
      </c>
      <c r="D1042" s="1">
        <v>0.0</v>
      </c>
    </row>
    <row r="1043" ht="15.75" customHeight="1">
      <c r="A1043" s="1" t="str">
        <f>IFERROR(__xludf.DUMMYFUNCTION("""COMPUTED_VALUE"""),"Avlynn Bird")</f>
        <v>Avlynn Bird</v>
      </c>
      <c r="B1043" s="1" t="str">
        <f>IFERROR(__xludf.DUMMYFUNCTION("""COMPUTED_VALUE"""),"L1")</f>
        <v>L1</v>
      </c>
      <c r="C1043" s="1" t="str">
        <f t="shared" si="1"/>
        <v>No</v>
      </c>
      <c r="D1043" s="1">
        <v>0.0</v>
      </c>
    </row>
    <row r="1044" ht="15.75" customHeight="1">
      <c r="A1044" s="1" t="str">
        <f>IFERROR(__xludf.DUMMYFUNCTION("""COMPUTED_VALUE"""),"Oliver Andres")</f>
        <v>Oliver Andres</v>
      </c>
      <c r="B1044" s="1" t="str">
        <f>IFERROR(__xludf.DUMMYFUNCTION("""COMPUTED_VALUE"""),"L1")</f>
        <v>L1</v>
      </c>
      <c r="C1044" s="1" t="str">
        <f t="shared" si="1"/>
        <v>No</v>
      </c>
      <c r="D1044" s="1">
        <v>0.0</v>
      </c>
    </row>
    <row r="1045" ht="15.75" customHeight="1">
      <c r="A1045" s="1" t="str">
        <f>IFERROR(__xludf.DUMMYFUNCTION("""COMPUTED_VALUE"""),"Julia Batini")</f>
        <v>Julia Batini</v>
      </c>
      <c r="B1045" s="1" t="str">
        <f>IFERROR(__xludf.DUMMYFUNCTION("""COMPUTED_VALUE"""),"L1")</f>
        <v>L1</v>
      </c>
      <c r="C1045" s="1" t="str">
        <f t="shared" si="1"/>
        <v>No</v>
      </c>
      <c r="D1045" s="1">
        <v>0.0</v>
      </c>
    </row>
    <row r="1046" ht="15.75" customHeight="1">
      <c r="A1046" s="1" t="str">
        <f>IFERROR(__xludf.DUMMYFUNCTION("""COMPUTED_VALUE"""),"Safiyah Girnary")</f>
        <v>Safiyah Girnary</v>
      </c>
      <c r="B1046" s="1" t="str">
        <f>IFERROR(__xludf.DUMMYFUNCTION("""COMPUTED_VALUE"""),"L1")</f>
        <v>L1</v>
      </c>
      <c r="C1046" s="1" t="str">
        <f t="shared" si="1"/>
        <v>No</v>
      </c>
      <c r="D1046" s="1">
        <v>0.0</v>
      </c>
    </row>
    <row r="1047" ht="15.75" customHeight="1">
      <c r="A1047" s="1" t="str">
        <f>IFERROR(__xludf.DUMMYFUNCTION("""COMPUTED_VALUE"""),"Ariel Kalufanya")</f>
        <v>Ariel Kalufanya</v>
      </c>
      <c r="B1047" s="1" t="str">
        <f>IFERROR(__xludf.DUMMYFUNCTION("""COMPUTED_VALUE"""),"MS")</f>
        <v>MS</v>
      </c>
      <c r="C1047" s="1" t="str">
        <f t="shared" si="1"/>
        <v>No</v>
      </c>
      <c r="D1047" s="1">
        <v>0.0</v>
      </c>
    </row>
    <row r="1048" ht="15.75" customHeight="1">
      <c r="A1048" s="1" t="str">
        <f>IFERROR(__xludf.DUMMYFUNCTION("""COMPUTED_VALUE"""),"Micah Kalufanya")</f>
        <v>Micah Kalufanya</v>
      </c>
      <c r="B1048" s="1" t="str">
        <f>IFERROR(__xludf.DUMMYFUNCTION("""COMPUTED_VALUE"""),"L2")</f>
        <v>L2</v>
      </c>
      <c r="C1048" s="1" t="str">
        <f t="shared" si="1"/>
        <v>No</v>
      </c>
      <c r="D1048" s="1">
        <v>0.0</v>
      </c>
    </row>
    <row r="1049" ht="15.75" customHeight="1">
      <c r="A1049" s="1" t="str">
        <f>IFERROR(__xludf.DUMMYFUNCTION("""COMPUTED_VALUE"""),"Chandler Rowley")</f>
        <v>Chandler Rowley</v>
      </c>
      <c r="B1049" s="1" t="str">
        <f>IFERROR(__xludf.DUMMYFUNCTION("""COMPUTED_VALUE"""),"MS")</f>
        <v>MS</v>
      </c>
      <c r="C1049" s="1" t="str">
        <f t="shared" si="1"/>
        <v>No</v>
      </c>
      <c r="D1049" s="1">
        <v>0.0</v>
      </c>
    </row>
    <row r="1050" ht="15.75" customHeight="1">
      <c r="A1050" s="1" t="str">
        <f>IFERROR(__xludf.DUMMYFUNCTION("""COMPUTED_VALUE"""),"Johnny Khin")</f>
        <v>Johnny Khin</v>
      </c>
      <c r="B1050" s="1" t="str">
        <f>IFERROR(__xludf.DUMMYFUNCTION("""COMPUTED_VALUE"""),"L2")</f>
        <v>L2</v>
      </c>
      <c r="C1050" s="1" t="str">
        <f t="shared" si="1"/>
        <v>No</v>
      </c>
      <c r="D1050" s="1">
        <v>0.0</v>
      </c>
    </row>
    <row r="1051" ht="15.75" customHeight="1">
      <c r="A1051" s="1" t="str">
        <f>IFERROR(__xludf.DUMMYFUNCTION("""COMPUTED_VALUE"""),"Emily Tomasik")</f>
        <v>Emily Tomasik</v>
      </c>
      <c r="B1051" s="1" t="str">
        <f>IFERROR(__xludf.DUMMYFUNCTION("""COMPUTED_VALUE"""),"L1")</f>
        <v>L1</v>
      </c>
      <c r="C1051" s="1" t="str">
        <f t="shared" si="1"/>
        <v>No</v>
      </c>
      <c r="D1051" s="1">
        <v>0.0</v>
      </c>
    </row>
    <row r="1052" ht="15.75" customHeight="1">
      <c r="A1052" s="1" t="str">
        <f>IFERROR(__xludf.DUMMYFUNCTION("""COMPUTED_VALUE"""),"Eli Ribbing")</f>
        <v>Eli Ribbing</v>
      </c>
      <c r="B1052" s="1" t="str">
        <f>IFERROR(__xludf.DUMMYFUNCTION("""COMPUTED_VALUE"""),"L2")</f>
        <v>L2</v>
      </c>
      <c r="C1052" s="1" t="str">
        <f t="shared" si="1"/>
        <v>No</v>
      </c>
      <c r="D1052" s="1">
        <v>0.0</v>
      </c>
    </row>
    <row r="1053" ht="15.75" customHeight="1">
      <c r="A1053" s="1" t="str">
        <f>IFERROR(__xludf.DUMMYFUNCTION("""COMPUTED_VALUE"""),"Mateo Moreira")</f>
        <v>Mateo Moreira</v>
      </c>
      <c r="B1053" s="1" t="str">
        <f>IFERROR(__xludf.DUMMYFUNCTION("""COMPUTED_VALUE"""),"L1")</f>
        <v>L1</v>
      </c>
      <c r="C1053" s="1" t="str">
        <f t="shared" si="1"/>
        <v>No</v>
      </c>
      <c r="D1053" s="1">
        <v>0.0</v>
      </c>
    </row>
    <row r="1054" ht="15.75" customHeight="1">
      <c r="A1054" s="1" t="str">
        <f>IFERROR(__xludf.DUMMYFUNCTION("""COMPUTED_VALUE"""),"Ace Macallan Snead")</f>
        <v>Ace Macallan Snead</v>
      </c>
      <c r="B1054" s="1" t="str">
        <f>IFERROR(__xludf.DUMMYFUNCTION("""COMPUTED_VALUE"""),"L1")</f>
        <v>L1</v>
      </c>
      <c r="C1054" s="1" t="str">
        <f t="shared" si="1"/>
        <v>No</v>
      </c>
      <c r="D1054" s="1">
        <v>0.0</v>
      </c>
    </row>
    <row r="1055" ht="15.75" customHeight="1">
      <c r="A1055" s="1" t="str">
        <f>IFERROR(__xludf.DUMMYFUNCTION("""COMPUTED_VALUE"""),"Ian Maverick Snead")</f>
        <v>Ian Maverick Snead</v>
      </c>
      <c r="B1055" s="1" t="str">
        <f>IFERROR(__xludf.DUMMYFUNCTION("""COMPUTED_VALUE"""),"MS")</f>
        <v>MS</v>
      </c>
      <c r="C1055" s="1" t="str">
        <f t="shared" si="1"/>
        <v>No</v>
      </c>
      <c r="D1055" s="1">
        <v>0.0</v>
      </c>
    </row>
    <row r="1056" ht="15.75" customHeight="1">
      <c r="A1056" s="1" t="str">
        <f>IFERROR(__xludf.DUMMYFUNCTION("""COMPUTED_VALUE"""),"Asti Alexander")</f>
        <v>Asti Alexander</v>
      </c>
      <c r="B1056" s="1" t="str">
        <f>IFERROR(__xludf.DUMMYFUNCTION("""COMPUTED_VALUE"""),"HS")</f>
        <v>HS</v>
      </c>
      <c r="C1056" s="1" t="str">
        <f t="shared" si="1"/>
        <v>No</v>
      </c>
      <c r="D1056" s="1">
        <v>0.0</v>
      </c>
    </row>
    <row r="1057" ht="15.75" customHeight="1">
      <c r="A1057" s="1" t="str">
        <f>IFERROR(__xludf.DUMMYFUNCTION("""COMPUTED_VALUE"""),"Vivian Alexander")</f>
        <v>Vivian Alexander</v>
      </c>
      <c r="B1057" s="1" t="str">
        <f>IFERROR(__xludf.DUMMYFUNCTION("""COMPUTED_VALUE"""),"L2")</f>
        <v>L2</v>
      </c>
      <c r="C1057" s="1" t="str">
        <f t="shared" si="1"/>
        <v>No</v>
      </c>
      <c r="D1057" s="1">
        <v>0.0</v>
      </c>
    </row>
    <row r="1058" ht="15.75" customHeight="1">
      <c r="A1058" s="1" t="str">
        <f>IFERROR(__xludf.DUMMYFUNCTION("""COMPUTED_VALUE"""),"Ava Alexander")</f>
        <v>Ava Alexander</v>
      </c>
      <c r="B1058" s="1" t="str">
        <f>IFERROR(__xludf.DUMMYFUNCTION("""COMPUTED_VALUE"""),"MS")</f>
        <v>MS</v>
      </c>
      <c r="C1058" s="1" t="str">
        <f t="shared" si="1"/>
        <v>No</v>
      </c>
      <c r="D1058" s="1">
        <v>0.0</v>
      </c>
    </row>
    <row r="1059" ht="15.75" customHeight="1">
      <c r="A1059" s="1" t="str">
        <f>IFERROR(__xludf.DUMMYFUNCTION("""COMPUTED_VALUE"""),"Logan Alexander")</f>
        <v>Logan Alexander</v>
      </c>
      <c r="B1059" s="1" t="str">
        <f>IFERROR(__xludf.DUMMYFUNCTION("""COMPUTED_VALUE"""),"MS")</f>
        <v>MS</v>
      </c>
      <c r="C1059" s="1" t="str">
        <f t="shared" si="1"/>
        <v>No</v>
      </c>
      <c r="D1059" s="1">
        <v>0.0</v>
      </c>
    </row>
    <row r="1060" ht="15.75" customHeight="1">
      <c r="A1060" s="1" t="str">
        <f>IFERROR(__xludf.DUMMYFUNCTION("""COMPUTED_VALUE"""),"Mitja Usko")</f>
        <v>Mitja Usko</v>
      </c>
      <c r="B1060" s="1" t="str">
        <f>IFERROR(__xludf.DUMMYFUNCTION("""COMPUTED_VALUE"""),"L2")</f>
        <v>L2</v>
      </c>
      <c r="C1060" s="1" t="str">
        <f t="shared" si="1"/>
        <v>No</v>
      </c>
      <c r="D1060" s="1">
        <v>0.0</v>
      </c>
    </row>
    <row r="1061" ht="15.75" customHeight="1">
      <c r="A1061" s="1" t="str">
        <f>IFERROR(__xludf.DUMMYFUNCTION("""COMPUTED_VALUE"""),"Alette Williams")</f>
        <v>Alette Williams</v>
      </c>
      <c r="B1061" s="1" t="str">
        <f>IFERROR(__xludf.DUMMYFUNCTION("""COMPUTED_VALUE"""),"MS")</f>
        <v>MS</v>
      </c>
      <c r="C1061" s="1" t="str">
        <f t="shared" si="1"/>
        <v>No</v>
      </c>
      <c r="D1061" s="1">
        <v>0.0</v>
      </c>
    </row>
    <row r="1062" ht="15.75" customHeight="1">
      <c r="A1062" s="1" t="str">
        <f>IFERROR(__xludf.DUMMYFUNCTION("""COMPUTED_VALUE"""),"Landon Kennedy")</f>
        <v>Landon Kennedy</v>
      </c>
      <c r="B1062" s="1" t="str">
        <f>IFERROR(__xludf.DUMMYFUNCTION("""COMPUTED_VALUE"""),"MS")</f>
        <v>MS</v>
      </c>
      <c r="C1062" s="1" t="str">
        <f t="shared" si="1"/>
        <v>No</v>
      </c>
      <c r="D1062" s="1">
        <v>0.0</v>
      </c>
    </row>
    <row r="1063" ht="15.75" customHeight="1">
      <c r="A1063" s="1" t="str">
        <f>IFERROR(__xludf.DUMMYFUNCTION("""COMPUTED_VALUE"""),"Xander Rodriguez")</f>
        <v>Xander Rodriguez</v>
      </c>
      <c r="B1063" s="1" t="str">
        <f>IFERROR(__xludf.DUMMYFUNCTION("""COMPUTED_VALUE"""),"LL")</f>
        <v>LL</v>
      </c>
      <c r="C1063" s="1" t="str">
        <f t="shared" si="1"/>
        <v>No</v>
      </c>
      <c r="D1063" s="1">
        <v>0.0</v>
      </c>
    </row>
    <row r="1064" ht="15.75" customHeight="1">
      <c r="A1064" s="1" t="str">
        <f>IFERROR(__xludf.DUMMYFUNCTION("""COMPUTED_VALUE"""),"Dev Shamaev")</f>
        <v>Dev Shamaev</v>
      </c>
      <c r="B1064" s="1" t="str">
        <f>IFERROR(__xludf.DUMMYFUNCTION("""COMPUTED_VALUE"""),"L1")</f>
        <v>L1</v>
      </c>
      <c r="C1064" s="1" t="str">
        <f t="shared" si="1"/>
        <v>No</v>
      </c>
      <c r="D1064" s="1">
        <v>0.0</v>
      </c>
    </row>
    <row r="1065" ht="15.75" customHeight="1">
      <c r="A1065" s="1" t="str">
        <f>IFERROR(__xludf.DUMMYFUNCTION("""COMPUTED_VALUE"""),"Ben Finkelstein")</f>
        <v>Ben Finkelstein</v>
      </c>
      <c r="B1065" s="1" t="str">
        <f>IFERROR(__xludf.DUMMYFUNCTION("""COMPUTED_VALUE"""),"MS")</f>
        <v>MS</v>
      </c>
      <c r="C1065" s="1" t="str">
        <f t="shared" si="1"/>
        <v>No</v>
      </c>
      <c r="D1065" s="1">
        <v>0.0</v>
      </c>
    </row>
    <row r="1066" ht="15.75" customHeight="1">
      <c r="A1066" s="1" t="str">
        <f>IFERROR(__xludf.DUMMYFUNCTION("""COMPUTED_VALUE"""),"Sophie Ollivier aguirre")</f>
        <v>Sophie Ollivier aguirre</v>
      </c>
      <c r="B1066" s="1" t="str">
        <f>IFERROR(__xludf.DUMMYFUNCTION("""COMPUTED_VALUE"""),"MS")</f>
        <v>MS</v>
      </c>
      <c r="C1066" s="1" t="str">
        <f t="shared" si="1"/>
        <v>No</v>
      </c>
      <c r="D1066" s="1">
        <v>0.0</v>
      </c>
    </row>
    <row r="1067" ht="15.75" customHeight="1">
      <c r="A1067" s="1" t="str">
        <f>IFERROR(__xludf.DUMMYFUNCTION("""COMPUTED_VALUE"""),"Javier O'Donnell")</f>
        <v>Javier O'Donnell</v>
      </c>
      <c r="B1067" s="1" t="str">
        <f>IFERROR(__xludf.DUMMYFUNCTION("""COMPUTED_VALUE"""),"L1")</f>
        <v>L1</v>
      </c>
      <c r="C1067" s="1" t="str">
        <f t="shared" si="1"/>
        <v>No</v>
      </c>
      <c r="D1067" s="1">
        <v>0.0</v>
      </c>
    </row>
    <row r="1068" ht="15.75" customHeight="1">
      <c r="A1068" s="1" t="str">
        <f>IFERROR(__xludf.DUMMYFUNCTION("""COMPUTED_VALUE"""),"Esmee Osceola-Jones")</f>
        <v>Esmee Osceola-Jones</v>
      </c>
      <c r="B1068" s="1" t="str">
        <f>IFERROR(__xludf.DUMMYFUNCTION("""COMPUTED_VALUE"""),"L1")</f>
        <v>L1</v>
      </c>
      <c r="C1068" s="1" t="str">
        <f t="shared" si="1"/>
        <v>No</v>
      </c>
      <c r="D1068" s="1">
        <v>0.0</v>
      </c>
    </row>
    <row r="1069" ht="15.75" customHeight="1">
      <c r="A1069" s="1" t="str">
        <f>IFERROR(__xludf.DUMMYFUNCTION("""COMPUTED_VALUE"""),"Zamoni Osceola-Jones")</f>
        <v>Zamoni Osceola-Jones</v>
      </c>
      <c r="B1069" s="1" t="str">
        <f>IFERROR(__xludf.DUMMYFUNCTION("""COMPUTED_VALUE"""),"MS")</f>
        <v>MS</v>
      </c>
      <c r="C1069" s="1" t="str">
        <f t="shared" si="1"/>
        <v>No</v>
      </c>
      <c r="D1069" s="1">
        <v>0.0</v>
      </c>
    </row>
    <row r="1070" ht="15.75" customHeight="1">
      <c r="A1070" s="1" t="str">
        <f>IFERROR(__xludf.DUMMYFUNCTION("""COMPUTED_VALUE"""),"Ziyon Osceola-Jones")</f>
        <v>Ziyon Osceola-Jones</v>
      </c>
      <c r="B1070" s="1" t="str">
        <f>IFERROR(__xludf.DUMMYFUNCTION("""COMPUTED_VALUE"""),"MS")</f>
        <v>MS</v>
      </c>
      <c r="C1070" s="1" t="str">
        <f t="shared" si="1"/>
        <v>No</v>
      </c>
      <c r="D1070" s="1">
        <v>0.0</v>
      </c>
    </row>
    <row r="1071" ht="15.75" customHeight="1">
      <c r="A1071" s="1" t="str">
        <f>IFERROR(__xludf.DUMMYFUNCTION("""COMPUTED_VALUE"""),"Cadence Antonucci")</f>
        <v>Cadence Antonucci</v>
      </c>
      <c r="B1071" s="1" t="str">
        <f>IFERROR(__xludf.DUMMYFUNCTION("""COMPUTED_VALUE"""),"L2")</f>
        <v>L2</v>
      </c>
      <c r="C1071" s="1" t="str">
        <f t="shared" si="1"/>
        <v>No</v>
      </c>
      <c r="D1071" s="1">
        <v>0.0</v>
      </c>
    </row>
    <row r="1072" ht="15.75" customHeight="1">
      <c r="A1072" s="1" t="str">
        <f>IFERROR(__xludf.DUMMYFUNCTION("""COMPUTED_VALUE"""),"Sophia Berar Berar")</f>
        <v>Sophia Berar Berar</v>
      </c>
      <c r="B1072" s="1" t="str">
        <f>IFERROR(__xludf.DUMMYFUNCTION("""COMPUTED_VALUE"""),"MS")</f>
        <v>MS</v>
      </c>
      <c r="C1072" s="1" t="str">
        <f t="shared" si="1"/>
        <v>No</v>
      </c>
      <c r="D1072" s="1">
        <v>0.0</v>
      </c>
    </row>
    <row r="1073" ht="15.75" customHeight="1">
      <c r="A1073" s="1" t="str">
        <f>IFERROR(__xludf.DUMMYFUNCTION("""COMPUTED_VALUE"""),"Rivian Becker Simmonds")</f>
        <v>Rivian Becker Simmonds</v>
      </c>
      <c r="B1073" s="1" t="str">
        <f>IFERROR(__xludf.DUMMYFUNCTION("""COMPUTED_VALUE"""),"MS")</f>
        <v>MS</v>
      </c>
      <c r="C1073" s="1" t="str">
        <f t="shared" si="1"/>
        <v>No</v>
      </c>
      <c r="D1073" s="1">
        <v>0.0</v>
      </c>
    </row>
    <row r="1074" ht="15.75" customHeight="1">
      <c r="A1074" s="1" t="str">
        <f>IFERROR(__xludf.DUMMYFUNCTION("""COMPUTED_VALUE"""),"Leilani Lua")</f>
        <v>Leilani Lua</v>
      </c>
      <c r="B1074" s="1" t="str">
        <f>IFERROR(__xludf.DUMMYFUNCTION("""COMPUTED_VALUE"""),"MS")</f>
        <v>MS</v>
      </c>
      <c r="C1074" s="1" t="str">
        <f t="shared" si="1"/>
        <v>No</v>
      </c>
      <c r="D1074" s="1">
        <v>0.0</v>
      </c>
    </row>
    <row r="1075" ht="15.75" customHeight="1">
      <c r="A1075" s="1" t="str">
        <f>IFERROR(__xludf.DUMMYFUNCTION("""COMPUTED_VALUE"""),"Anders Larson")</f>
        <v>Anders Larson</v>
      </c>
      <c r="B1075" s="1" t="str">
        <f>IFERROR(__xludf.DUMMYFUNCTION("""COMPUTED_VALUE"""),"L1")</f>
        <v>L1</v>
      </c>
      <c r="C1075" s="1" t="str">
        <f t="shared" si="1"/>
        <v>No</v>
      </c>
      <c r="D1075" s="1">
        <v>0.0</v>
      </c>
    </row>
    <row r="1076" ht="15.75" customHeight="1">
      <c r="A1076" s="1" t="str">
        <f>IFERROR(__xludf.DUMMYFUNCTION("""COMPUTED_VALUE"""),"Mazie Larson")</f>
        <v>Mazie Larson</v>
      </c>
      <c r="B1076" s="1" t="str">
        <f>IFERROR(__xludf.DUMMYFUNCTION("""COMPUTED_VALUE"""),"MS")</f>
        <v>MS</v>
      </c>
      <c r="C1076" s="1" t="str">
        <f t="shared" si="1"/>
        <v>No</v>
      </c>
      <c r="D1076" s="1">
        <v>0.0</v>
      </c>
    </row>
    <row r="1077" ht="15.75" customHeight="1">
      <c r="A1077" s="1" t="str">
        <f>IFERROR(__xludf.DUMMYFUNCTION("""COMPUTED_VALUE"""),"Evvie Razal")</f>
        <v>Evvie Razal</v>
      </c>
      <c r="B1077" s="1" t="str">
        <f>IFERROR(__xludf.DUMMYFUNCTION("""COMPUTED_VALUE"""),"L1")</f>
        <v>L1</v>
      </c>
      <c r="C1077" s="1" t="str">
        <f t="shared" si="1"/>
        <v>No</v>
      </c>
      <c r="D1077" s="1">
        <v>0.0</v>
      </c>
    </row>
    <row r="1078" ht="15.75" customHeight="1">
      <c r="A1078" s="1" t="str">
        <f>IFERROR(__xludf.DUMMYFUNCTION("""COMPUTED_VALUE"""),"Abraham Hill")</f>
        <v>Abraham Hill</v>
      </c>
      <c r="B1078" s="1" t="str">
        <f>IFERROR(__xludf.DUMMYFUNCTION("""COMPUTED_VALUE"""),"L2")</f>
        <v>L2</v>
      </c>
      <c r="C1078" s="1" t="str">
        <f t="shared" si="1"/>
        <v>No</v>
      </c>
      <c r="D1078" s="1">
        <v>0.0</v>
      </c>
    </row>
    <row r="1079" ht="15.75" customHeight="1">
      <c r="A1079" s="1" t="str">
        <f>IFERROR(__xludf.DUMMYFUNCTION("""COMPUTED_VALUE"""),"Arthur Hill")</f>
        <v>Arthur Hill</v>
      </c>
      <c r="B1079" s="1" t="str">
        <f>IFERROR(__xludf.DUMMYFUNCTION("""COMPUTED_VALUE"""),"L2")</f>
        <v>L2</v>
      </c>
      <c r="C1079" s="1" t="str">
        <f t="shared" si="1"/>
        <v>No</v>
      </c>
      <c r="D1079" s="1">
        <v>0.0</v>
      </c>
    </row>
    <row r="1080" ht="15.75" customHeight="1">
      <c r="A1080" s="1" t="str">
        <f>IFERROR(__xludf.DUMMYFUNCTION("""COMPUTED_VALUE"""),"Hannah de Bruyn")</f>
        <v>Hannah de Bruyn</v>
      </c>
      <c r="B1080" s="1" t="str">
        <f>IFERROR(__xludf.DUMMYFUNCTION("""COMPUTED_VALUE"""),"L1")</f>
        <v>L1</v>
      </c>
      <c r="C1080" s="1" t="str">
        <f t="shared" si="1"/>
        <v>No</v>
      </c>
      <c r="D1080" s="1">
        <v>0.0</v>
      </c>
    </row>
    <row r="1081" ht="15.75" customHeight="1">
      <c r="A1081" s="1" t="str">
        <f>IFERROR(__xludf.DUMMYFUNCTION("""COMPUTED_VALUE"""),"Moses Martinez")</f>
        <v>Moses Martinez</v>
      </c>
      <c r="B1081" s="1" t="str">
        <f>IFERROR(__xludf.DUMMYFUNCTION("""COMPUTED_VALUE"""),"L2")</f>
        <v>L2</v>
      </c>
      <c r="C1081" s="1" t="str">
        <f t="shared" si="1"/>
        <v>No</v>
      </c>
      <c r="D1081" s="1">
        <v>0.0</v>
      </c>
    </row>
    <row r="1082" ht="15.75" customHeight="1">
      <c r="A1082" s="1" t="str">
        <f>IFERROR(__xludf.DUMMYFUNCTION("""COMPUTED_VALUE"""),"Hartley Hughes")</f>
        <v>Hartley Hughes</v>
      </c>
      <c r="B1082" s="1" t="str">
        <f>IFERROR(__xludf.DUMMYFUNCTION("""COMPUTED_VALUE"""),"MS")</f>
        <v>MS</v>
      </c>
      <c r="C1082" s="1" t="str">
        <f t="shared" si="1"/>
        <v>No</v>
      </c>
      <c r="D1082" s="1">
        <v>0.0</v>
      </c>
    </row>
    <row r="1083" ht="15.75" customHeight="1">
      <c r="A1083" s="1" t="str">
        <f>IFERROR(__xludf.DUMMYFUNCTION("""COMPUTED_VALUE"""),"Joy Harsh")</f>
        <v>Joy Harsh</v>
      </c>
      <c r="B1083" s="1" t="str">
        <f>IFERROR(__xludf.DUMMYFUNCTION("""COMPUTED_VALUE"""),"L1")</f>
        <v>L1</v>
      </c>
      <c r="C1083" s="1" t="str">
        <f t="shared" si="1"/>
        <v>No</v>
      </c>
      <c r="D1083" s="1">
        <v>0.0</v>
      </c>
    </row>
    <row r="1084" ht="15.75" customHeight="1">
      <c r="A1084" s="1" t="str">
        <f>IFERROR(__xludf.DUMMYFUNCTION("""COMPUTED_VALUE"""),"Linc Coulthart")</f>
        <v>Linc Coulthart</v>
      </c>
      <c r="B1084" s="1" t="str">
        <f>IFERROR(__xludf.DUMMYFUNCTION("""COMPUTED_VALUE"""),"L2")</f>
        <v>L2</v>
      </c>
      <c r="C1084" s="1" t="str">
        <f t="shared" si="1"/>
        <v>No</v>
      </c>
      <c r="D1084" s="1">
        <v>0.0</v>
      </c>
    </row>
    <row r="1085" ht="15.75" customHeight="1">
      <c r="A1085" s="1" t="str">
        <f>IFERROR(__xludf.DUMMYFUNCTION("""COMPUTED_VALUE"""),"Levi Coulthart")</f>
        <v>Levi Coulthart</v>
      </c>
      <c r="B1085" s="1" t="str">
        <f>IFERROR(__xludf.DUMMYFUNCTION("""COMPUTED_VALUE"""),"L1")</f>
        <v>L1</v>
      </c>
      <c r="C1085" s="1" t="str">
        <f t="shared" si="1"/>
        <v>No</v>
      </c>
      <c r="D1085" s="1">
        <v>0.0</v>
      </c>
    </row>
    <row r="1086" ht="15.75" customHeight="1">
      <c r="A1086" s="1" t="str">
        <f>IFERROR(__xludf.DUMMYFUNCTION("""COMPUTED_VALUE"""),"Wyatt C")</f>
        <v>Wyatt C</v>
      </c>
      <c r="B1086" s="1" t="str">
        <f>IFERROR(__xludf.DUMMYFUNCTION("""COMPUTED_VALUE"""),"L2")</f>
        <v>L2</v>
      </c>
      <c r="C1086" s="1" t="str">
        <f t="shared" si="1"/>
        <v>No</v>
      </c>
      <c r="D1086" s="1">
        <v>0.0</v>
      </c>
    </row>
    <row r="1087" ht="15.75" customHeight="1">
      <c r="A1087" s="1" t="str">
        <f>IFERROR(__xludf.DUMMYFUNCTION("""COMPUTED_VALUE"""),"Aeli Craven-Pasternak")</f>
        <v>Aeli Craven-Pasternak</v>
      </c>
      <c r="B1087" s="1" t="str">
        <f>IFERROR(__xludf.DUMMYFUNCTION("""COMPUTED_VALUE"""),"MS")</f>
        <v>MS</v>
      </c>
      <c r="C1087" s="1" t="str">
        <f t="shared" si="1"/>
        <v>No</v>
      </c>
      <c r="D1087" s="1">
        <v>0.0</v>
      </c>
    </row>
    <row r="1088" ht="15.75" customHeight="1">
      <c r="A1088" s="1" t="str">
        <f>IFERROR(__xludf.DUMMYFUNCTION("""COMPUTED_VALUE"""),"Ronie Carney")</f>
        <v>Ronie Carney</v>
      </c>
      <c r="B1088" s="1" t="str">
        <f>IFERROR(__xludf.DUMMYFUNCTION("""COMPUTED_VALUE"""),"L2")</f>
        <v>L2</v>
      </c>
      <c r="C1088" s="1" t="str">
        <f t="shared" si="1"/>
        <v>No</v>
      </c>
      <c r="D1088" s="1">
        <v>0.0</v>
      </c>
    </row>
    <row r="1089" ht="15.75" customHeight="1">
      <c r="A1089" s="1" t="str">
        <f>IFERROR(__xludf.DUMMYFUNCTION("""COMPUTED_VALUE"""),"Abdullah Alameri")</f>
        <v>Abdullah Alameri</v>
      </c>
      <c r="B1089" s="1" t="str">
        <f>IFERROR(__xludf.DUMMYFUNCTION("""COMPUTED_VALUE"""),"L2")</f>
        <v>L2</v>
      </c>
      <c r="C1089" s="1" t="str">
        <f t="shared" si="1"/>
        <v>No</v>
      </c>
      <c r="D1089" s="1">
        <v>0.0</v>
      </c>
    </row>
    <row r="1090" ht="15.75" customHeight="1">
      <c r="A1090" s="1" t="str">
        <f>IFERROR(__xludf.DUMMYFUNCTION("""COMPUTED_VALUE"""),"Charlie Carney")</f>
        <v>Charlie Carney</v>
      </c>
      <c r="B1090" s="1" t="str">
        <f>IFERROR(__xludf.DUMMYFUNCTION("""COMPUTED_VALUE"""),"MS")</f>
        <v>MS</v>
      </c>
      <c r="C1090" s="1" t="str">
        <f t="shared" si="1"/>
        <v>No</v>
      </c>
      <c r="D1090" s="1">
        <v>0.0</v>
      </c>
    </row>
    <row r="1091" ht="15.75" customHeight="1">
      <c r="A1091" s="1" t="str">
        <f>IFERROR(__xludf.DUMMYFUNCTION("""COMPUTED_VALUE"""),"Harrison Cunningham")</f>
        <v>Harrison Cunningham</v>
      </c>
      <c r="B1091" s="1" t="str">
        <f>IFERROR(__xludf.DUMMYFUNCTION("""COMPUTED_VALUE"""),"L2")</f>
        <v>L2</v>
      </c>
      <c r="C1091" s="1" t="str">
        <f t="shared" si="1"/>
        <v>No</v>
      </c>
      <c r="D1091" s="1">
        <v>0.0</v>
      </c>
    </row>
    <row r="1092" ht="15.75" customHeight="1">
      <c r="A1092" s="1" t="str">
        <f>IFERROR(__xludf.DUMMYFUNCTION("""COMPUTED_VALUE"""),"Caleb Cunningham")</f>
        <v>Caleb Cunningham</v>
      </c>
      <c r="B1092" s="1" t="str">
        <f>IFERROR(__xludf.DUMMYFUNCTION("""COMPUTED_VALUE"""),"MS")</f>
        <v>MS</v>
      </c>
      <c r="C1092" s="1" t="str">
        <f t="shared" si="1"/>
        <v>No</v>
      </c>
      <c r="D1092" s="1">
        <v>0.0</v>
      </c>
    </row>
    <row r="1093" ht="15.75" customHeight="1">
      <c r="A1093" s="1" t="str">
        <f>IFERROR(__xludf.DUMMYFUNCTION("""COMPUTED_VALUE"""),"Ruthie Cunningham")</f>
        <v>Ruthie Cunningham</v>
      </c>
      <c r="B1093" s="1" t="str">
        <f>IFERROR(__xludf.DUMMYFUNCTION("""COMPUTED_VALUE"""),"L1")</f>
        <v>L1</v>
      </c>
      <c r="C1093" s="1" t="str">
        <f t="shared" si="1"/>
        <v>No</v>
      </c>
      <c r="D1093" s="1">
        <v>0.0</v>
      </c>
    </row>
    <row r="1094" ht="15.75" customHeight="1">
      <c r="A1094" s="1" t="str">
        <f>IFERROR(__xludf.DUMMYFUNCTION("""COMPUTED_VALUE"""),"Walker Cunningham")</f>
        <v>Walker Cunningham</v>
      </c>
      <c r="B1094" s="1" t="str">
        <f>IFERROR(__xludf.DUMMYFUNCTION("""COMPUTED_VALUE"""),"MS")</f>
        <v>MS</v>
      </c>
      <c r="C1094" s="1" t="str">
        <f t="shared" si="1"/>
        <v>No</v>
      </c>
      <c r="D1094" s="1">
        <v>0.0</v>
      </c>
    </row>
    <row r="1095" ht="15.75" customHeight="1">
      <c r="A1095" s="1" t="str">
        <f>IFERROR(__xludf.DUMMYFUNCTION("""COMPUTED_VALUE"""),"Max Ragsdale")</f>
        <v>Max Ragsdale</v>
      </c>
      <c r="B1095" s="1" t="str">
        <f>IFERROR(__xludf.DUMMYFUNCTION("""COMPUTED_VALUE"""),"MS")</f>
        <v>MS</v>
      </c>
      <c r="C1095" s="1" t="str">
        <f t="shared" si="1"/>
        <v>No</v>
      </c>
      <c r="D1095" s="1">
        <v>0.0</v>
      </c>
    </row>
    <row r="1096" ht="15.75" customHeight="1">
      <c r="A1096" s="1" t="str">
        <f>IFERROR(__xludf.DUMMYFUNCTION("""COMPUTED_VALUE"""),"River Beach")</f>
        <v>River Beach</v>
      </c>
      <c r="B1096" s="1" t="str">
        <f>IFERROR(__xludf.DUMMYFUNCTION("""COMPUTED_VALUE"""),"L2")</f>
        <v>L2</v>
      </c>
      <c r="C1096" s="1" t="str">
        <f t="shared" si="1"/>
        <v>No</v>
      </c>
      <c r="D1096" s="1">
        <v>0.0</v>
      </c>
    </row>
    <row r="1097" ht="15.75" customHeight="1">
      <c r="A1097" s="1" t="str">
        <f>IFERROR(__xludf.DUMMYFUNCTION("""COMPUTED_VALUE"""),"Ryke Liropoulos")</f>
        <v>Ryke Liropoulos</v>
      </c>
      <c r="B1097" s="1" t="str">
        <f>IFERROR(__xludf.DUMMYFUNCTION("""COMPUTED_VALUE"""),"L1")</f>
        <v>L1</v>
      </c>
      <c r="C1097" s="1" t="str">
        <f t="shared" si="1"/>
        <v>No</v>
      </c>
      <c r="D1097" s="1">
        <v>0.0</v>
      </c>
    </row>
    <row r="1098" ht="15.75" customHeight="1">
      <c r="A1098" s="1" t="str">
        <f>IFERROR(__xludf.DUMMYFUNCTION("""COMPUTED_VALUE"""),"Zoya Singh")</f>
        <v>Zoya Singh</v>
      </c>
      <c r="B1098" s="1" t="str">
        <f>IFERROR(__xludf.DUMMYFUNCTION("""COMPUTED_VALUE"""),"L1")</f>
        <v>L1</v>
      </c>
      <c r="C1098" s="1" t="str">
        <f t="shared" si="1"/>
        <v>No</v>
      </c>
      <c r="D1098" s="1">
        <v>0.0</v>
      </c>
    </row>
    <row r="1099" ht="15.75" customHeight="1">
      <c r="A1099" s="1" t="str">
        <f>IFERROR(__xludf.DUMMYFUNCTION("""COMPUTED_VALUE"""),"Ruth Rondeau")</f>
        <v>Ruth Rondeau</v>
      </c>
      <c r="B1099" s="1" t="str">
        <f>IFERROR(__xludf.DUMMYFUNCTION("""COMPUTED_VALUE"""),"L2")</f>
        <v>L2</v>
      </c>
      <c r="C1099" s="1" t="str">
        <f t="shared" si="1"/>
        <v>No</v>
      </c>
      <c r="D1099" s="1">
        <v>0.0</v>
      </c>
    </row>
    <row r="1100" ht="15.75" customHeight="1">
      <c r="A1100" s="1" t="str">
        <f>IFERROR(__xludf.DUMMYFUNCTION("""COMPUTED_VALUE"""),"Harper McCracken")</f>
        <v>Harper McCracken</v>
      </c>
      <c r="B1100" s="1" t="str">
        <f>IFERROR(__xludf.DUMMYFUNCTION("""COMPUTED_VALUE"""),"L1")</f>
        <v>L1</v>
      </c>
      <c r="C1100" s="1" t="str">
        <f t="shared" si="1"/>
        <v>No</v>
      </c>
      <c r="D1100" s="1">
        <v>0.0</v>
      </c>
    </row>
    <row r="1101" ht="15.75" customHeight="1">
      <c r="A1101" s="1" t="str">
        <f>IFERROR(__xludf.DUMMYFUNCTION("""COMPUTED_VALUE"""),"Ella McCracken")</f>
        <v>Ella McCracken</v>
      </c>
      <c r="B1101" s="1" t="str">
        <f>IFERROR(__xludf.DUMMYFUNCTION("""COMPUTED_VALUE"""),"L2")</f>
        <v>L2</v>
      </c>
      <c r="C1101" s="1" t="str">
        <f t="shared" si="1"/>
        <v>No</v>
      </c>
      <c r="D1101" s="1">
        <v>0.0</v>
      </c>
    </row>
    <row r="1102" ht="15.75" customHeight="1">
      <c r="A1102" s="1" t="str">
        <f>IFERROR(__xludf.DUMMYFUNCTION("""COMPUTED_VALUE"""),"Roman Davidson")</f>
        <v>Roman Davidson</v>
      </c>
      <c r="B1102" s="1" t="str">
        <f>IFERROR(__xludf.DUMMYFUNCTION("""COMPUTED_VALUE"""),"MS")</f>
        <v>MS</v>
      </c>
      <c r="C1102" s="1" t="str">
        <f t="shared" si="1"/>
        <v>No</v>
      </c>
      <c r="D1102" s="1">
        <v>0.0</v>
      </c>
    </row>
    <row r="1103" ht="15.75" customHeight="1">
      <c r="A1103" s="1" t="str">
        <f>IFERROR(__xludf.DUMMYFUNCTION("""COMPUTED_VALUE"""),"River Davidson")</f>
        <v>River Davidson</v>
      </c>
      <c r="B1103" s="1" t="str">
        <f>IFERROR(__xludf.DUMMYFUNCTION("""COMPUTED_VALUE"""),"L2")</f>
        <v>L2</v>
      </c>
      <c r="C1103" s="1" t="str">
        <f t="shared" si="1"/>
        <v>No</v>
      </c>
      <c r="D1103" s="1">
        <v>0.0</v>
      </c>
    </row>
    <row r="1104" ht="15.75" customHeight="1">
      <c r="A1104" s="1" t="str">
        <f>IFERROR(__xludf.DUMMYFUNCTION("""COMPUTED_VALUE"""),"Finn Westendorf")</f>
        <v>Finn Westendorf</v>
      </c>
      <c r="B1104" s="1" t="str">
        <f>IFERROR(__xludf.DUMMYFUNCTION("""COMPUTED_VALUE"""),"MS")</f>
        <v>MS</v>
      </c>
      <c r="C1104" s="1" t="str">
        <f t="shared" si="1"/>
        <v>No</v>
      </c>
      <c r="D1104" s="1">
        <v>0.0</v>
      </c>
    </row>
    <row r="1105" ht="15.75" customHeight="1">
      <c r="A1105" s="1" t="str">
        <f>IFERROR(__xludf.DUMMYFUNCTION("""COMPUTED_VALUE"""),"Rowan Westendorf")</f>
        <v>Rowan Westendorf</v>
      </c>
      <c r="B1105" s="1" t="str">
        <f>IFERROR(__xludf.DUMMYFUNCTION("""COMPUTED_VALUE"""),"L2")</f>
        <v>L2</v>
      </c>
      <c r="C1105" s="1" t="str">
        <f t="shared" si="1"/>
        <v>No</v>
      </c>
      <c r="D1105" s="1">
        <v>0.0</v>
      </c>
    </row>
    <row r="1106" ht="15.75" customHeight="1">
      <c r="A1106" s="1" t="str">
        <f>IFERROR(__xludf.DUMMYFUNCTION("""COMPUTED_VALUE"""),"Jenna Gary")</f>
        <v>Jenna Gary</v>
      </c>
      <c r="B1106" s="1" t="str">
        <f>IFERROR(__xludf.DUMMYFUNCTION("""COMPUTED_VALUE"""),"L1")</f>
        <v>L1</v>
      </c>
      <c r="C1106" s="1" t="str">
        <f t="shared" si="1"/>
        <v>No</v>
      </c>
      <c r="D1106" s="1">
        <v>0.0</v>
      </c>
    </row>
    <row r="1107" ht="15.75" customHeight="1">
      <c r="A1107" s="1" t="str">
        <f>IFERROR(__xludf.DUMMYFUNCTION("""COMPUTED_VALUE"""),"Justin Traylor")</f>
        <v>Justin Traylor</v>
      </c>
      <c r="B1107" s="1" t="str">
        <f>IFERROR(__xludf.DUMMYFUNCTION("""COMPUTED_VALUE"""),"MS")</f>
        <v>MS</v>
      </c>
      <c r="C1107" s="1" t="str">
        <f t="shared" si="1"/>
        <v>No</v>
      </c>
      <c r="D1107" s="1">
        <v>0.0</v>
      </c>
    </row>
    <row r="1108" ht="15.75" customHeight="1">
      <c r="A1108" s="1" t="str">
        <f>IFERROR(__xludf.DUMMYFUNCTION("""COMPUTED_VALUE"""),"Julia Traylor")</f>
        <v>Julia Traylor</v>
      </c>
      <c r="B1108" s="1" t="str">
        <f>IFERROR(__xludf.DUMMYFUNCTION("""COMPUTED_VALUE"""),"MS")</f>
        <v>MS</v>
      </c>
      <c r="C1108" s="1" t="str">
        <f t="shared" si="1"/>
        <v>No</v>
      </c>
      <c r="D1108" s="1">
        <v>0.0</v>
      </c>
    </row>
    <row r="1109" ht="15.75" customHeight="1">
      <c r="A1109" s="1" t="str">
        <f>IFERROR(__xludf.DUMMYFUNCTION("""COMPUTED_VALUE"""),"Jeff Murray")</f>
        <v>Jeff Murray</v>
      </c>
      <c r="B1109" s="1" t="str">
        <f>IFERROR(__xludf.DUMMYFUNCTION("""COMPUTED_VALUE"""),"L2")</f>
        <v>L2</v>
      </c>
      <c r="C1109" s="1" t="str">
        <f t="shared" si="1"/>
        <v>No</v>
      </c>
      <c r="D1109" s="1">
        <v>0.0</v>
      </c>
    </row>
    <row r="1110" ht="15.75" customHeight="1">
      <c r="A1110" s="1" t="str">
        <f>IFERROR(__xludf.DUMMYFUNCTION("""COMPUTED_VALUE"""),"Adrian Velikov")</f>
        <v>Adrian Velikov</v>
      </c>
      <c r="B1110" s="1" t="str">
        <f>IFERROR(__xludf.DUMMYFUNCTION("""COMPUTED_VALUE"""),"L2")</f>
        <v>L2</v>
      </c>
      <c r="C1110" s="1" t="str">
        <f t="shared" si="1"/>
        <v>No</v>
      </c>
      <c r="D1110" s="1">
        <v>0.0</v>
      </c>
    </row>
    <row r="1111" ht="15.75" customHeight="1">
      <c r="A1111" s="1" t="str">
        <f>IFERROR(__xludf.DUMMYFUNCTION("""COMPUTED_VALUE"""),"Vivi Brunton")</f>
        <v>Vivi Brunton</v>
      </c>
      <c r="B1111" s="1" t="str">
        <f>IFERROR(__xludf.DUMMYFUNCTION("""COMPUTED_VALUE"""),"MS")</f>
        <v>MS</v>
      </c>
      <c r="C1111" s="1" t="str">
        <f t="shared" si="1"/>
        <v>No</v>
      </c>
      <c r="D1111" s="1">
        <v>0.0</v>
      </c>
    </row>
    <row r="1112" ht="15.75" customHeight="1">
      <c r="A1112" s="1" t="str">
        <f>IFERROR(__xludf.DUMMYFUNCTION("""COMPUTED_VALUE"""),"Anna Murray")</f>
        <v>Anna Murray</v>
      </c>
      <c r="B1112" s="1" t="str">
        <f>IFERROR(__xludf.DUMMYFUNCTION("""COMPUTED_VALUE"""),"LL")</f>
        <v>LL</v>
      </c>
      <c r="C1112" s="1" t="str">
        <f t="shared" si="1"/>
        <v>No</v>
      </c>
      <c r="D1112" s="1">
        <v>0.0</v>
      </c>
    </row>
    <row r="1113" ht="15.75" customHeight="1">
      <c r="A1113" s="1" t="str">
        <f>IFERROR(__xludf.DUMMYFUNCTION("""COMPUTED_VALUE"""),"Emme Brunton")</f>
        <v>Emme Brunton</v>
      </c>
      <c r="B1113" s="1" t="str">
        <f>IFERROR(__xludf.DUMMYFUNCTION("""COMPUTED_VALUE"""),"MS")</f>
        <v>MS</v>
      </c>
      <c r="C1113" s="1" t="str">
        <f t="shared" si="1"/>
        <v>No</v>
      </c>
      <c r="D1113" s="1">
        <v>0.0</v>
      </c>
    </row>
    <row r="1114" ht="15.75" customHeight="1">
      <c r="A1114" s="1" t="str">
        <f>IFERROR(__xludf.DUMMYFUNCTION("""COMPUTED_VALUE"""),"Gabe Swanson")</f>
        <v>Gabe Swanson</v>
      </c>
      <c r="B1114" s="1" t="str">
        <f>IFERROR(__xludf.DUMMYFUNCTION("""COMPUTED_VALUE"""),"L2")</f>
        <v>L2</v>
      </c>
      <c r="C1114" s="1" t="str">
        <f t="shared" si="1"/>
        <v>No</v>
      </c>
      <c r="D1114" s="1">
        <v>0.0</v>
      </c>
    </row>
    <row r="1115" ht="15.75" customHeight="1">
      <c r="A1115" s="1" t="str">
        <f>IFERROR(__xludf.DUMMYFUNCTION("""COMPUTED_VALUE"""),"Linh Vu")</f>
        <v>Linh Vu</v>
      </c>
      <c r="B1115" s="1" t="str">
        <f>IFERROR(__xludf.DUMMYFUNCTION("""COMPUTED_VALUE"""),"L2")</f>
        <v>L2</v>
      </c>
      <c r="C1115" s="1" t="str">
        <f t="shared" si="1"/>
        <v>No</v>
      </c>
      <c r="D1115" s="1">
        <v>0.0</v>
      </c>
    </row>
    <row r="1116" ht="15.75" customHeight="1">
      <c r="A1116" s="1" t="str">
        <f>IFERROR(__xludf.DUMMYFUNCTION("""COMPUTED_VALUE"""),"Sophia Schoonover")</f>
        <v>Sophia Schoonover</v>
      </c>
      <c r="B1116" s="1" t="str">
        <f>IFERROR(__xludf.DUMMYFUNCTION("""COMPUTED_VALUE"""),"L1")</f>
        <v>L1</v>
      </c>
      <c r="C1116" s="1" t="str">
        <f t="shared" si="1"/>
        <v>No</v>
      </c>
      <c r="D1116" s="1">
        <v>0.0</v>
      </c>
    </row>
    <row r="1117" ht="15.75" customHeight="1">
      <c r="A1117" s="1" t="str">
        <f>IFERROR(__xludf.DUMMYFUNCTION("""COMPUTED_VALUE"""),"Kai Stiern")</f>
        <v>Kai Stiern</v>
      </c>
      <c r="B1117" s="1" t="str">
        <f>IFERROR(__xludf.DUMMYFUNCTION("""COMPUTED_VALUE"""),"MS")</f>
        <v>MS</v>
      </c>
      <c r="C1117" s="1" t="str">
        <f t="shared" si="1"/>
        <v>No</v>
      </c>
      <c r="D1117" s="1">
        <v>0.0</v>
      </c>
    </row>
    <row r="1118" ht="15.75" customHeight="1">
      <c r="A1118" s="1" t="str">
        <f>IFERROR(__xludf.DUMMYFUNCTION("""COMPUTED_VALUE"""),"Luis Sandoval")</f>
        <v>Luis Sandoval</v>
      </c>
      <c r="B1118" s="1" t="str">
        <f>IFERROR(__xludf.DUMMYFUNCTION("""COMPUTED_VALUE"""),"MS")</f>
        <v>MS</v>
      </c>
      <c r="C1118" s="1" t="str">
        <f t="shared" si="1"/>
        <v>No</v>
      </c>
      <c r="D1118" s="1">
        <v>0.0</v>
      </c>
    </row>
    <row r="1119" ht="15.75" customHeight="1">
      <c r="A1119" s="1" t="str">
        <f>IFERROR(__xludf.DUMMYFUNCTION("""COMPUTED_VALUE"""),"Victor Moskalenko")</f>
        <v>Victor Moskalenko</v>
      </c>
      <c r="B1119" s="1" t="str">
        <f>IFERROR(__xludf.DUMMYFUNCTION("""COMPUTED_VALUE"""),"MS")</f>
        <v>MS</v>
      </c>
      <c r="C1119" s="1" t="str">
        <f t="shared" si="1"/>
        <v>No</v>
      </c>
      <c r="D1119" s="1">
        <v>0.0</v>
      </c>
    </row>
    <row r="1120" ht="15.75" customHeight="1">
      <c r="A1120" s="1" t="str">
        <f>IFERROR(__xludf.DUMMYFUNCTION("""COMPUTED_VALUE"""),"Reade Merlau")</f>
        <v>Reade Merlau</v>
      </c>
      <c r="B1120" s="1" t="str">
        <f>IFERROR(__xludf.DUMMYFUNCTION("""COMPUTED_VALUE"""),"MS")</f>
        <v>MS</v>
      </c>
      <c r="C1120" s="1" t="str">
        <f t="shared" si="1"/>
        <v>No</v>
      </c>
      <c r="D1120" s="1">
        <v>0.0</v>
      </c>
    </row>
    <row r="1121" ht="15.75" customHeight="1">
      <c r="A1121" s="1" t="str">
        <f>IFERROR(__xludf.DUMMYFUNCTION("""COMPUTED_VALUE"""),"July Johnson")</f>
        <v>July Johnson</v>
      </c>
      <c r="B1121" s="1" t="str">
        <f>IFERROR(__xludf.DUMMYFUNCTION("""COMPUTED_VALUE"""),"MS")</f>
        <v>MS</v>
      </c>
      <c r="C1121" s="1" t="str">
        <f t="shared" si="1"/>
        <v>No</v>
      </c>
      <c r="D1121" s="1">
        <v>0.0</v>
      </c>
    </row>
    <row r="1122" ht="15.75" customHeight="1">
      <c r="A1122" s="1" t="str">
        <f>IFERROR(__xludf.DUMMYFUNCTION("""COMPUTED_VALUE"""),"Zane Thompson")</f>
        <v>Zane Thompson</v>
      </c>
      <c r="B1122" s="1" t="str">
        <f>IFERROR(__xludf.DUMMYFUNCTION("""COMPUTED_VALUE"""),"L2")</f>
        <v>L2</v>
      </c>
      <c r="C1122" s="1" t="str">
        <f t="shared" si="1"/>
        <v>No</v>
      </c>
      <c r="D1122" s="1">
        <v>0.0</v>
      </c>
    </row>
    <row r="1123" ht="15.75" customHeight="1">
      <c r="A1123" s="1" t="str">
        <f>IFERROR(__xludf.DUMMYFUNCTION("""COMPUTED_VALUE"""),"Audrey Yaffe")</f>
        <v>Audrey Yaffe</v>
      </c>
      <c r="B1123" s="1" t="str">
        <f>IFERROR(__xludf.DUMMYFUNCTION("""COMPUTED_VALUE"""),"L2")</f>
        <v>L2</v>
      </c>
      <c r="C1123" s="1" t="str">
        <f t="shared" si="1"/>
        <v>No</v>
      </c>
      <c r="D1123" s="1">
        <v>0.0</v>
      </c>
    </row>
    <row r="1124" ht="15.75" customHeight="1">
      <c r="A1124" s="1" t="str">
        <f>IFERROR(__xludf.DUMMYFUNCTION("""COMPUTED_VALUE"""),"Olivia Yaffe")</f>
        <v>Olivia Yaffe</v>
      </c>
      <c r="B1124" s="1" t="str">
        <f>IFERROR(__xludf.DUMMYFUNCTION("""COMPUTED_VALUE"""),"MS")</f>
        <v>MS</v>
      </c>
      <c r="C1124" s="1" t="str">
        <f t="shared" si="1"/>
        <v>No</v>
      </c>
      <c r="D1124" s="1">
        <v>0.0</v>
      </c>
    </row>
    <row r="1125" ht="15.75" customHeight="1">
      <c r="A1125" s="1" t="str">
        <f>IFERROR(__xludf.DUMMYFUNCTION("""COMPUTED_VALUE"""),"Alex Dani")</f>
        <v>Alex Dani</v>
      </c>
      <c r="B1125" s="1" t="str">
        <f>IFERROR(__xludf.DUMMYFUNCTION("""COMPUTED_VALUE"""),"L2")</f>
        <v>L2</v>
      </c>
      <c r="C1125" s="1" t="str">
        <f t="shared" si="1"/>
        <v>No</v>
      </c>
      <c r="D1125" s="1">
        <v>0.0</v>
      </c>
    </row>
    <row r="1126" ht="15.75" customHeight="1">
      <c r="A1126" s="1" t="str">
        <f>IFERROR(__xludf.DUMMYFUNCTION("""COMPUTED_VALUE"""),"Axel Becker")</f>
        <v>Axel Becker</v>
      </c>
      <c r="B1126" s="1" t="str">
        <f>IFERROR(__xludf.DUMMYFUNCTION("""COMPUTED_VALUE"""),"L1")</f>
        <v>L1</v>
      </c>
      <c r="C1126" s="1" t="str">
        <f t="shared" si="1"/>
        <v>No</v>
      </c>
      <c r="D1126" s="1">
        <v>0.0</v>
      </c>
    </row>
    <row r="1127" ht="15.75" customHeight="1">
      <c r="A1127" s="1" t="str">
        <f>IFERROR(__xludf.DUMMYFUNCTION("""COMPUTED_VALUE"""),"Kinsley Flowers")</f>
        <v>Kinsley Flowers</v>
      </c>
      <c r="B1127" s="1" t="str">
        <f>IFERROR(__xludf.DUMMYFUNCTION("""COMPUTED_VALUE"""),"MS")</f>
        <v>MS</v>
      </c>
      <c r="C1127" s="1" t="str">
        <f t="shared" si="1"/>
        <v>No</v>
      </c>
      <c r="D1127" s="1">
        <v>0.0</v>
      </c>
    </row>
    <row r="1128" ht="15.75" customHeight="1">
      <c r="A1128" s="1" t="str">
        <f>IFERROR(__xludf.DUMMYFUNCTION("""COMPUTED_VALUE"""),"Emmett Flowers")</f>
        <v>Emmett Flowers</v>
      </c>
      <c r="B1128" s="1" t="str">
        <f>IFERROR(__xludf.DUMMYFUNCTION("""COMPUTED_VALUE"""),"L1")</f>
        <v>L1</v>
      </c>
      <c r="C1128" s="1" t="str">
        <f t="shared" si="1"/>
        <v>No</v>
      </c>
      <c r="D1128" s="1">
        <v>0.0</v>
      </c>
    </row>
    <row r="1129" ht="15.75" customHeight="1">
      <c r="A1129" s="1" t="str">
        <f>IFERROR(__xludf.DUMMYFUNCTION("""COMPUTED_VALUE"""),"Benjamin Janke")</f>
        <v>Benjamin Janke</v>
      </c>
      <c r="B1129" s="1" t="str">
        <f>IFERROR(__xludf.DUMMYFUNCTION("""COMPUTED_VALUE"""),"L2")</f>
        <v>L2</v>
      </c>
      <c r="C1129" s="1" t="str">
        <f t="shared" si="1"/>
        <v>No</v>
      </c>
      <c r="D1129" s="1">
        <v>0.0</v>
      </c>
    </row>
    <row r="1130" ht="15.75" customHeight="1">
      <c r="A1130" s="1" t="str">
        <f>IFERROR(__xludf.DUMMYFUNCTION("""COMPUTED_VALUE"""),"Rylan Bettridge")</f>
        <v>Rylan Bettridge</v>
      </c>
      <c r="B1130" s="1" t="str">
        <f>IFERROR(__xludf.DUMMYFUNCTION("""COMPUTED_VALUE"""),"MS")</f>
        <v>MS</v>
      </c>
      <c r="C1130" s="1" t="str">
        <f t="shared" si="1"/>
        <v>No</v>
      </c>
      <c r="D1130" s="1">
        <v>0.0</v>
      </c>
    </row>
    <row r="1131" ht="15.75" customHeight="1">
      <c r="A1131" s="1" t="str">
        <f>IFERROR(__xludf.DUMMYFUNCTION("""COMPUTED_VALUE"""),"Tempy Bettridge")</f>
        <v>Tempy Bettridge</v>
      </c>
      <c r="B1131" s="1" t="str">
        <f>IFERROR(__xludf.DUMMYFUNCTION("""COMPUTED_VALUE"""),"L1")</f>
        <v>L1</v>
      </c>
      <c r="C1131" s="1" t="str">
        <f t="shared" si="1"/>
        <v>No</v>
      </c>
      <c r="D1131" s="1">
        <v>0.0</v>
      </c>
    </row>
    <row r="1132" ht="15.75" customHeight="1">
      <c r="A1132" s="1" t="str">
        <f>IFERROR(__xludf.DUMMYFUNCTION("""COMPUTED_VALUE"""),"Francesca Bishop")</f>
        <v>Francesca Bishop</v>
      </c>
      <c r="B1132" s="1" t="str">
        <f>IFERROR(__xludf.DUMMYFUNCTION("""COMPUTED_VALUE"""),"MS")</f>
        <v>MS</v>
      </c>
      <c r="C1132" s="1" t="str">
        <f t="shared" si="1"/>
        <v>No</v>
      </c>
      <c r="D1132" s="1">
        <v>0.0</v>
      </c>
    </row>
    <row r="1133" ht="15.75" customHeight="1">
      <c r="A1133" s="1" t="str">
        <f>IFERROR(__xludf.DUMMYFUNCTION("""COMPUTED_VALUE"""),"Malachi Nussbaumer")</f>
        <v>Malachi Nussbaumer</v>
      </c>
      <c r="B1133" s="1" t="str">
        <f>IFERROR(__xludf.DUMMYFUNCTION("""COMPUTED_VALUE"""),"MS")</f>
        <v>MS</v>
      </c>
      <c r="C1133" s="1" t="str">
        <f t="shared" si="1"/>
        <v>No</v>
      </c>
      <c r="D1133" s="1">
        <v>0.0</v>
      </c>
    </row>
    <row r="1134" ht="15.75" customHeight="1">
      <c r="A1134" s="1" t="str">
        <f>IFERROR(__xludf.DUMMYFUNCTION("""COMPUTED_VALUE"""),"Shaan Patel")</f>
        <v>Shaan Patel</v>
      </c>
      <c r="B1134" s="1" t="str">
        <f>IFERROR(__xludf.DUMMYFUNCTION("""COMPUTED_VALUE"""),"MS")</f>
        <v>MS</v>
      </c>
      <c r="C1134" s="1" t="str">
        <f t="shared" si="1"/>
        <v>No</v>
      </c>
      <c r="D1134" s="1">
        <v>0.0</v>
      </c>
    </row>
    <row r="1135" ht="15.75" customHeight="1">
      <c r="A1135" s="1" t="str">
        <f>IFERROR(__xludf.DUMMYFUNCTION("""COMPUTED_VALUE"""),"Vayden Patel")</f>
        <v>Vayden Patel</v>
      </c>
      <c r="B1135" s="1" t="str">
        <f>IFERROR(__xludf.DUMMYFUNCTION("""COMPUTED_VALUE"""),"L2")</f>
        <v>L2</v>
      </c>
      <c r="C1135" s="1" t="str">
        <f t="shared" si="1"/>
        <v>No</v>
      </c>
      <c r="D1135" s="1">
        <v>0.0</v>
      </c>
    </row>
    <row r="1136" ht="15.75" customHeight="1">
      <c r="A1136" s="1" t="str">
        <f>IFERROR(__xludf.DUMMYFUNCTION("""COMPUTED_VALUE"""),"Jessica Maxwell")</f>
        <v>Jessica Maxwell</v>
      </c>
      <c r="B1136" s="1" t="str">
        <f>IFERROR(__xludf.DUMMYFUNCTION("""COMPUTED_VALUE"""),"MS")</f>
        <v>MS</v>
      </c>
      <c r="C1136" s="1" t="str">
        <f t="shared" si="1"/>
        <v>No</v>
      </c>
      <c r="D1136" s="1">
        <v>0.0</v>
      </c>
    </row>
    <row r="1137" ht="15.75" customHeight="1">
      <c r="A1137" s="1" t="str">
        <f>IFERROR(__xludf.DUMMYFUNCTION("""COMPUTED_VALUE"""),"Leo Floyd")</f>
        <v>Leo Floyd</v>
      </c>
      <c r="B1137" s="1" t="str">
        <f>IFERROR(__xludf.DUMMYFUNCTION("""COMPUTED_VALUE"""),"L1")</f>
        <v>L1</v>
      </c>
      <c r="C1137" s="1" t="str">
        <f t="shared" si="1"/>
        <v>No</v>
      </c>
      <c r="D1137" s="1">
        <v>0.0</v>
      </c>
    </row>
    <row r="1138" ht="15.75" customHeight="1">
      <c r="A1138" s="1" t="str">
        <f>IFERROR(__xludf.DUMMYFUNCTION("""COMPUTED_VALUE"""),"Emma Colon")</f>
        <v>Emma Colon</v>
      </c>
      <c r="B1138" s="1" t="str">
        <f>IFERROR(__xludf.DUMMYFUNCTION("""COMPUTED_VALUE"""),"LL")</f>
        <v>LL</v>
      </c>
      <c r="C1138" s="1" t="str">
        <f t="shared" si="1"/>
        <v>No</v>
      </c>
      <c r="D1138" s="1">
        <v>0.0</v>
      </c>
    </row>
    <row r="1139" ht="15.75" customHeight="1">
      <c r="A1139" s="1" t="str">
        <f>IFERROR(__xludf.DUMMYFUNCTION("""COMPUTED_VALUE"""),"Isaac Grant")</f>
        <v>Isaac Grant</v>
      </c>
      <c r="B1139" s="1" t="str">
        <f>IFERROR(__xludf.DUMMYFUNCTION("""COMPUTED_VALUE"""),"MS")</f>
        <v>MS</v>
      </c>
      <c r="C1139" s="1" t="str">
        <f t="shared" si="1"/>
        <v>No</v>
      </c>
      <c r="D1139" s="1">
        <v>0.0</v>
      </c>
    </row>
    <row r="1140" ht="15.75" customHeight="1">
      <c r="A1140" s="1" t="str">
        <f>IFERROR(__xludf.DUMMYFUNCTION("""COMPUTED_VALUE"""),"Will Grant")</f>
        <v>Will Grant</v>
      </c>
      <c r="B1140" s="1" t="str">
        <f>IFERROR(__xludf.DUMMYFUNCTION("""COMPUTED_VALUE"""),"MS")</f>
        <v>MS</v>
      </c>
      <c r="C1140" s="1" t="str">
        <f t="shared" si="1"/>
        <v>No</v>
      </c>
      <c r="D1140" s="1">
        <v>0.0</v>
      </c>
    </row>
    <row r="1141" ht="15.75" customHeight="1">
      <c r="A1141" s="1" t="str">
        <f>IFERROR(__xludf.DUMMYFUNCTION("""COMPUTED_VALUE"""),"Ellie Grant")</f>
        <v>Ellie Grant</v>
      </c>
      <c r="B1141" s="1" t="str">
        <f>IFERROR(__xludf.DUMMYFUNCTION("""COMPUTED_VALUE"""),"L1")</f>
        <v>L1</v>
      </c>
      <c r="C1141" s="1" t="str">
        <f t="shared" si="1"/>
        <v>No</v>
      </c>
      <c r="D1141" s="1">
        <v>0.0</v>
      </c>
    </row>
    <row r="1142" ht="15.75" customHeight="1">
      <c r="A1142" s="1" t="str">
        <f>IFERROR(__xludf.DUMMYFUNCTION("""COMPUTED_VALUE"""),"Ella Fowler")</f>
        <v>Ella Fowler</v>
      </c>
      <c r="B1142" s="1" t="str">
        <f>IFERROR(__xludf.DUMMYFUNCTION("""COMPUTED_VALUE"""),"HS")</f>
        <v>HS</v>
      </c>
      <c r="C1142" s="1" t="str">
        <f t="shared" si="1"/>
        <v>No</v>
      </c>
      <c r="D1142" s="1">
        <v>0.0</v>
      </c>
    </row>
    <row r="1143" ht="15.75" customHeight="1">
      <c r="A1143" s="1" t="str">
        <f>IFERROR(__xludf.DUMMYFUNCTION("""COMPUTED_VALUE"""),"Ava Fowler")</f>
        <v>Ava Fowler</v>
      </c>
      <c r="B1143" s="1" t="str">
        <f>IFERROR(__xludf.DUMMYFUNCTION("""COMPUTED_VALUE"""),"HS")</f>
        <v>HS</v>
      </c>
      <c r="C1143" s="1" t="str">
        <f t="shared" si="1"/>
        <v>No</v>
      </c>
      <c r="D1143" s="1">
        <v>0.0</v>
      </c>
    </row>
    <row r="1144" ht="15.75" customHeight="1">
      <c r="A1144" s="1" t="str">
        <f>IFERROR(__xludf.DUMMYFUNCTION("""COMPUTED_VALUE"""),"Mia Fowler")</f>
        <v>Mia Fowler</v>
      </c>
      <c r="B1144" s="1" t="str">
        <f>IFERROR(__xludf.DUMMYFUNCTION("""COMPUTED_VALUE"""),"MS")</f>
        <v>MS</v>
      </c>
      <c r="C1144" s="1" t="str">
        <f t="shared" si="1"/>
        <v>No</v>
      </c>
      <c r="D1144" s="1">
        <v>0.0</v>
      </c>
    </row>
    <row r="1145" ht="15.75" customHeight="1">
      <c r="A1145" s="1" t="str">
        <f>IFERROR(__xludf.DUMMYFUNCTION("""COMPUTED_VALUE"""),"Reid Fowler")</f>
        <v>Reid Fowler</v>
      </c>
      <c r="B1145" s="1" t="str">
        <f>IFERROR(__xludf.DUMMYFUNCTION("""COMPUTED_VALUE"""),"MS")</f>
        <v>MS</v>
      </c>
      <c r="C1145" s="1" t="str">
        <f t="shared" si="1"/>
        <v>No</v>
      </c>
      <c r="D1145" s="1">
        <v>0.0</v>
      </c>
    </row>
    <row r="1146" ht="15.75" customHeight="1">
      <c r="A1146" s="1" t="str">
        <f>IFERROR(__xludf.DUMMYFUNCTION("""COMPUTED_VALUE"""),"Gavin Scott")</f>
        <v>Gavin Scott</v>
      </c>
      <c r="B1146" s="1" t="str">
        <f>IFERROR(__xludf.DUMMYFUNCTION("""COMPUTED_VALUE"""),"L2")</f>
        <v>L2</v>
      </c>
      <c r="C1146" s="1" t="str">
        <f t="shared" si="1"/>
        <v>No</v>
      </c>
      <c r="D1146" s="1">
        <v>0.0</v>
      </c>
    </row>
    <row r="1147" ht="15.75" customHeight="1">
      <c r="A1147" s="1" t="str">
        <f>IFERROR(__xludf.DUMMYFUNCTION("""COMPUTED_VALUE"""),"Ethan Scott")</f>
        <v>Ethan Scott</v>
      </c>
      <c r="B1147" s="1" t="str">
        <f>IFERROR(__xludf.DUMMYFUNCTION("""COMPUTED_VALUE"""),"L2")</f>
        <v>L2</v>
      </c>
      <c r="C1147" s="1" t="str">
        <f t="shared" si="1"/>
        <v>No</v>
      </c>
      <c r="D1147" s="1">
        <v>0.0</v>
      </c>
    </row>
    <row r="1148" ht="15.75" customHeight="1">
      <c r="A1148" s="1" t="str">
        <f>IFERROR(__xludf.DUMMYFUNCTION("""COMPUTED_VALUE"""),"Sofia Anderson")</f>
        <v>Sofia Anderson</v>
      </c>
      <c r="B1148" s="1" t="str">
        <f>IFERROR(__xludf.DUMMYFUNCTION("""COMPUTED_VALUE"""),"MS")</f>
        <v>MS</v>
      </c>
      <c r="C1148" s="1" t="str">
        <f t="shared" si="1"/>
        <v>No</v>
      </c>
      <c r="D1148" s="1">
        <v>0.0</v>
      </c>
    </row>
    <row r="1149" ht="15.75" customHeight="1">
      <c r="A1149" s="1" t="str">
        <f>IFERROR(__xludf.DUMMYFUNCTION("""COMPUTED_VALUE"""),"Maive Keultjes")</f>
        <v>Maive Keultjes</v>
      </c>
      <c r="B1149" s="1" t="str">
        <f>IFERROR(__xludf.DUMMYFUNCTION("""COMPUTED_VALUE"""),"MS")</f>
        <v>MS</v>
      </c>
      <c r="C1149" s="1" t="str">
        <f t="shared" si="1"/>
        <v>No</v>
      </c>
      <c r="D1149" s="1">
        <v>0.0</v>
      </c>
    </row>
    <row r="1150" ht="15.75" customHeight="1">
      <c r="A1150" s="1" t="str">
        <f>IFERROR(__xludf.DUMMYFUNCTION("""COMPUTED_VALUE"""),"Olly Anderson")</f>
        <v>Olly Anderson</v>
      </c>
      <c r="B1150" s="1" t="str">
        <f>IFERROR(__xludf.DUMMYFUNCTION("""COMPUTED_VALUE"""),"L2")</f>
        <v>L2</v>
      </c>
      <c r="C1150" s="1" t="str">
        <f t="shared" si="1"/>
        <v>No</v>
      </c>
      <c r="D1150" s="1">
        <v>0.0</v>
      </c>
    </row>
    <row r="1151" ht="15.75" customHeight="1">
      <c r="A1151" s="1" t="str">
        <f>IFERROR(__xludf.DUMMYFUNCTION("""COMPUTED_VALUE"""),"Caelan Buchanan")</f>
        <v>Caelan Buchanan</v>
      </c>
      <c r="B1151" s="1" t="str">
        <f>IFERROR(__xludf.DUMMYFUNCTION("""COMPUTED_VALUE"""),"MS")</f>
        <v>MS</v>
      </c>
      <c r="C1151" s="1" t="str">
        <f t="shared" si="1"/>
        <v>No</v>
      </c>
      <c r="D1151" s="1">
        <v>0.0</v>
      </c>
    </row>
    <row r="1152" ht="15.75" customHeight="1">
      <c r="A1152" s="1" t="str">
        <f>IFERROR(__xludf.DUMMYFUNCTION("""COMPUTED_VALUE"""),"Hank Talarico")</f>
        <v>Hank Talarico</v>
      </c>
      <c r="B1152" s="1" t="str">
        <f>IFERROR(__xludf.DUMMYFUNCTION("""COMPUTED_VALUE"""),"L2")</f>
        <v>L2</v>
      </c>
      <c r="C1152" s="1" t="str">
        <f t="shared" si="1"/>
        <v>No</v>
      </c>
      <c r="D1152" s="1">
        <v>0.0</v>
      </c>
    </row>
    <row r="1153" ht="15.75" customHeight="1">
      <c r="A1153" s="1" t="str">
        <f>IFERROR(__xludf.DUMMYFUNCTION("""COMPUTED_VALUE"""),"Tristan Porterfield")</f>
        <v>Tristan Porterfield</v>
      </c>
      <c r="B1153" s="1" t="str">
        <f>IFERROR(__xludf.DUMMYFUNCTION("""COMPUTED_VALUE"""),"L2")</f>
        <v>L2</v>
      </c>
      <c r="C1153" s="1" t="str">
        <f t="shared" si="1"/>
        <v>No</v>
      </c>
      <c r="D1153" s="1">
        <v>0.0</v>
      </c>
    </row>
    <row r="1154" ht="15.75" customHeight="1">
      <c r="A1154" s="1" t="str">
        <f>IFERROR(__xludf.DUMMYFUNCTION("""COMPUTED_VALUE"""),"Nolan Porterfield")</f>
        <v>Nolan Porterfield</v>
      </c>
      <c r="B1154" s="1" t="str">
        <f>IFERROR(__xludf.DUMMYFUNCTION("""COMPUTED_VALUE"""),"L1")</f>
        <v>L1</v>
      </c>
      <c r="C1154" s="1" t="str">
        <f t="shared" si="1"/>
        <v>No</v>
      </c>
      <c r="D1154" s="1">
        <v>0.0</v>
      </c>
    </row>
    <row r="1155" ht="15.75" customHeight="1">
      <c r="A1155" s="1" t="str">
        <f>IFERROR(__xludf.DUMMYFUNCTION("""COMPUTED_VALUE"""),"Navya Shah")</f>
        <v>Navya Shah</v>
      </c>
      <c r="B1155" s="1" t="str">
        <f>IFERROR(__xludf.DUMMYFUNCTION("""COMPUTED_VALUE"""),"MS")</f>
        <v>MS</v>
      </c>
      <c r="C1155" s="1" t="str">
        <f t="shared" si="1"/>
        <v>No</v>
      </c>
      <c r="D1155" s="1">
        <v>0.0</v>
      </c>
    </row>
    <row r="1156" ht="15.75" customHeight="1">
      <c r="A1156" s="1" t="str">
        <f>IFERROR(__xludf.DUMMYFUNCTION("""COMPUTED_VALUE"""),"Elise Callanan")</f>
        <v>Elise Callanan</v>
      </c>
      <c r="B1156" s="1" t="str">
        <f>IFERROR(__xludf.DUMMYFUNCTION("""COMPUTED_VALUE"""),"L2")</f>
        <v>L2</v>
      </c>
      <c r="C1156" s="1" t="str">
        <f t="shared" si="1"/>
        <v>No</v>
      </c>
      <c r="D1156" s="1">
        <v>0.0</v>
      </c>
    </row>
    <row r="1157" ht="15.75" customHeight="1">
      <c r="A1157" s="1" t="str">
        <f>IFERROR(__xludf.DUMMYFUNCTION("""COMPUTED_VALUE"""),"Claire Callanan")</f>
        <v>Claire Callanan</v>
      </c>
      <c r="B1157" s="1" t="str">
        <f>IFERROR(__xludf.DUMMYFUNCTION("""COMPUTED_VALUE"""),"MS")</f>
        <v>MS</v>
      </c>
      <c r="C1157" s="1" t="str">
        <f t="shared" si="1"/>
        <v>No</v>
      </c>
      <c r="D1157" s="1">
        <v>0.0</v>
      </c>
    </row>
    <row r="1158" ht="15.75" customHeight="1">
      <c r="A1158" s="1" t="str">
        <f>IFERROR(__xludf.DUMMYFUNCTION("""COMPUTED_VALUE"""),"Terry Nooner")</f>
        <v>Terry Nooner</v>
      </c>
      <c r="B1158" s="1" t="str">
        <f>IFERROR(__xludf.DUMMYFUNCTION("""COMPUTED_VALUE"""),"L2")</f>
        <v>L2</v>
      </c>
      <c r="C1158" s="1" t="str">
        <f t="shared" si="1"/>
        <v>No</v>
      </c>
      <c r="D1158" s="1">
        <v>0.0</v>
      </c>
    </row>
    <row r="1159" ht="15.75" customHeight="1">
      <c r="A1159" s="1" t="str">
        <f>IFERROR(__xludf.DUMMYFUNCTION("""COMPUTED_VALUE"""),"Thoren Geater")</f>
        <v>Thoren Geater</v>
      </c>
      <c r="B1159" s="1" t="str">
        <f>IFERROR(__xludf.DUMMYFUNCTION("""COMPUTED_VALUE"""),"L1")</f>
        <v>L1</v>
      </c>
      <c r="C1159" s="1" t="str">
        <f t="shared" si="1"/>
        <v>No</v>
      </c>
      <c r="D1159" s="1">
        <v>0.0</v>
      </c>
    </row>
    <row r="1160" ht="15.75" customHeight="1">
      <c r="A1160" s="1" t="str">
        <f>IFERROR(__xludf.DUMMYFUNCTION("""COMPUTED_VALUE"""),"Emmett Michel")</f>
        <v>Emmett Michel</v>
      </c>
      <c r="B1160" s="1" t="str">
        <f>IFERROR(__xludf.DUMMYFUNCTION("""COMPUTED_VALUE"""),"L2")</f>
        <v>L2</v>
      </c>
      <c r="C1160" s="1" t="str">
        <f t="shared" si="1"/>
        <v>No</v>
      </c>
      <c r="D1160" s="1">
        <v>0.0</v>
      </c>
    </row>
    <row r="1161" ht="15.75" customHeight="1">
      <c r="A1161" s="1" t="str">
        <f>IFERROR(__xludf.DUMMYFUNCTION("""COMPUTED_VALUE"""),"Ellen Michel")</f>
        <v>Ellen Michel</v>
      </c>
      <c r="B1161" s="1" t="str">
        <f>IFERROR(__xludf.DUMMYFUNCTION("""COMPUTED_VALUE"""),"L2")</f>
        <v>L2</v>
      </c>
      <c r="C1161" s="1" t="str">
        <f t="shared" si="1"/>
        <v>No</v>
      </c>
      <c r="D1161" s="1">
        <v>0.0</v>
      </c>
    </row>
    <row r="1162" ht="15.75" customHeight="1">
      <c r="A1162" s="1" t="str">
        <f>IFERROR(__xludf.DUMMYFUNCTION("""COMPUTED_VALUE"""),"Rewa Alabdali")</f>
        <v>Rewa Alabdali</v>
      </c>
      <c r="B1162" s="1" t="str">
        <f>IFERROR(__xludf.DUMMYFUNCTION("""COMPUTED_VALUE"""),"L2")</f>
        <v>L2</v>
      </c>
      <c r="C1162" s="1" t="str">
        <f t="shared" si="1"/>
        <v>No</v>
      </c>
      <c r="D1162" s="1">
        <v>0.0</v>
      </c>
    </row>
    <row r="1163" ht="15.75" customHeight="1">
      <c r="A1163" s="1" t="str">
        <f>IFERROR(__xludf.DUMMYFUNCTION("""COMPUTED_VALUE"""),"Abbott Johnson")</f>
        <v>Abbott Johnson</v>
      </c>
      <c r="B1163" s="1" t="str">
        <f>IFERROR(__xludf.DUMMYFUNCTION("""COMPUTED_VALUE"""),"MS")</f>
        <v>MS</v>
      </c>
      <c r="C1163" s="1" t="str">
        <f t="shared" si="1"/>
        <v>No</v>
      </c>
      <c r="D1163" s="1">
        <v>0.0</v>
      </c>
    </row>
    <row r="1164" ht="15.75" customHeight="1">
      <c r="A1164" s="1" t="str">
        <f>IFERROR(__xludf.DUMMYFUNCTION("""COMPUTED_VALUE"""),"Emmett Johnson")</f>
        <v>Emmett Johnson</v>
      </c>
      <c r="B1164" s="1" t="str">
        <f>IFERROR(__xludf.DUMMYFUNCTION("""COMPUTED_VALUE"""),"L2")</f>
        <v>L2</v>
      </c>
      <c r="C1164" s="1" t="str">
        <f t="shared" si="1"/>
        <v>No</v>
      </c>
      <c r="D1164" s="1">
        <v>0.0</v>
      </c>
    </row>
    <row r="1165" ht="15.75" customHeight="1">
      <c r="A1165" s="1" t="str">
        <f>IFERROR(__xludf.DUMMYFUNCTION("""COMPUTED_VALUE"""),"Sarah Ocampo Delfin")</f>
        <v>Sarah Ocampo Delfin</v>
      </c>
      <c r="B1165" s="1" t="str">
        <f>IFERROR(__xludf.DUMMYFUNCTION("""COMPUTED_VALUE"""),"MS")</f>
        <v>MS</v>
      </c>
      <c r="C1165" s="1" t="str">
        <f t="shared" si="1"/>
        <v>No</v>
      </c>
      <c r="D1165" s="1">
        <v>0.0</v>
      </c>
    </row>
    <row r="1166" ht="15.75" customHeight="1">
      <c r="A1166" s="1" t="str">
        <f>IFERROR(__xludf.DUMMYFUNCTION("""COMPUTED_VALUE"""),"Greta Orving")</f>
        <v>Greta Orving</v>
      </c>
      <c r="B1166" s="1" t="str">
        <f>IFERROR(__xludf.DUMMYFUNCTION("""COMPUTED_VALUE"""),"MS")</f>
        <v>MS</v>
      </c>
      <c r="C1166" s="1" t="str">
        <f t="shared" si="1"/>
        <v>No</v>
      </c>
      <c r="D1166" s="1">
        <v>0.0</v>
      </c>
    </row>
    <row r="1167" ht="15.75" customHeight="1">
      <c r="A1167" s="1" t="str">
        <f>IFERROR(__xludf.DUMMYFUNCTION("""COMPUTED_VALUE"""),"Cailey Reyment")</f>
        <v>Cailey Reyment</v>
      </c>
      <c r="B1167" s="1" t="str">
        <f>IFERROR(__xludf.DUMMYFUNCTION("""COMPUTED_VALUE"""),"MS")</f>
        <v>MS</v>
      </c>
      <c r="C1167" s="1" t="str">
        <f t="shared" si="1"/>
        <v>No</v>
      </c>
      <c r="D1167" s="1">
        <v>0.0</v>
      </c>
    </row>
    <row r="1168" ht="15.75" customHeight="1">
      <c r="A1168" s="1" t="str">
        <f>IFERROR(__xludf.DUMMYFUNCTION("""COMPUTED_VALUE"""),"Leo Reyment")</f>
        <v>Leo Reyment</v>
      </c>
      <c r="B1168" s="1" t="str">
        <f>IFERROR(__xludf.DUMMYFUNCTION("""COMPUTED_VALUE"""),"MS")</f>
        <v>MS</v>
      </c>
      <c r="C1168" s="1" t="str">
        <f t="shared" si="1"/>
        <v>No</v>
      </c>
      <c r="D1168" s="1">
        <v>0.0</v>
      </c>
    </row>
    <row r="1169" ht="15.75" customHeight="1">
      <c r="A1169" s="1" t="str">
        <f>IFERROR(__xludf.DUMMYFUNCTION("""COMPUTED_VALUE"""),"Lana Keultjes")</f>
        <v>Lana Keultjes</v>
      </c>
      <c r="B1169" s="1" t="str">
        <f>IFERROR(__xludf.DUMMYFUNCTION("""COMPUTED_VALUE"""),"MS")</f>
        <v>MS</v>
      </c>
      <c r="C1169" s="1" t="str">
        <f t="shared" si="1"/>
        <v>No</v>
      </c>
      <c r="D1169" s="1">
        <v>0.0</v>
      </c>
    </row>
    <row r="1170" ht="15.75" customHeight="1">
      <c r="A1170" s="1" t="str">
        <f>IFERROR(__xludf.DUMMYFUNCTION("""COMPUTED_VALUE"""),"Kline Keultjes")</f>
        <v>Kline Keultjes</v>
      </c>
      <c r="B1170" s="1" t="str">
        <f>IFERROR(__xludf.DUMMYFUNCTION("""COMPUTED_VALUE"""),"L1")</f>
        <v>L1</v>
      </c>
      <c r="C1170" s="1" t="str">
        <f t="shared" si="1"/>
        <v>No</v>
      </c>
      <c r="D1170" s="1">
        <v>0.0</v>
      </c>
    </row>
    <row r="1171" ht="15.75" customHeight="1">
      <c r="A1171" s="1" t="str">
        <f>IFERROR(__xludf.DUMMYFUNCTION("""COMPUTED_VALUE"""),"Payton Flebbe")</f>
        <v>Payton Flebbe</v>
      </c>
      <c r="B1171" s="1" t="str">
        <f>IFERROR(__xludf.DUMMYFUNCTION("""COMPUTED_VALUE"""),"L2")</f>
        <v>L2</v>
      </c>
      <c r="C1171" s="1" t="str">
        <f t="shared" si="1"/>
        <v>No</v>
      </c>
      <c r="D1171" s="1">
        <v>0.0</v>
      </c>
    </row>
    <row r="1172" ht="15.75" customHeight="1">
      <c r="A1172" s="1" t="str">
        <f>IFERROR(__xludf.DUMMYFUNCTION("""COMPUTED_VALUE"""),"Ethan Flebbe")</f>
        <v>Ethan Flebbe</v>
      </c>
      <c r="B1172" s="1" t="str">
        <f>IFERROR(__xludf.DUMMYFUNCTION("""COMPUTED_VALUE"""),"L2")</f>
        <v>L2</v>
      </c>
      <c r="C1172" s="1" t="str">
        <f t="shared" si="1"/>
        <v>No</v>
      </c>
      <c r="D1172" s="1">
        <v>0.0</v>
      </c>
    </row>
    <row r="1173" ht="15.75" customHeight="1">
      <c r="A1173" s="1" t="str">
        <f>IFERROR(__xludf.DUMMYFUNCTION("""COMPUTED_VALUE"""),"Dakota Bowen")</f>
        <v>Dakota Bowen</v>
      </c>
      <c r="B1173" s="1" t="str">
        <f>IFERROR(__xludf.DUMMYFUNCTION("""COMPUTED_VALUE"""),"MS")</f>
        <v>MS</v>
      </c>
      <c r="C1173" s="1" t="str">
        <f t="shared" si="1"/>
        <v>No</v>
      </c>
      <c r="D1173" s="1">
        <v>0.0</v>
      </c>
    </row>
    <row r="1174" ht="15.75" customHeight="1">
      <c r="A1174" s="1" t="str">
        <f>IFERROR(__xludf.DUMMYFUNCTION("""COMPUTED_VALUE"""),"Alex T'Kindt")</f>
        <v>Alex T'Kindt</v>
      </c>
      <c r="B1174" s="1" t="str">
        <f>IFERROR(__xludf.DUMMYFUNCTION("""COMPUTED_VALUE"""),"MS")</f>
        <v>MS</v>
      </c>
      <c r="C1174" s="1" t="str">
        <f t="shared" si="1"/>
        <v>No</v>
      </c>
      <c r="D1174" s="1">
        <v>0.0</v>
      </c>
    </row>
    <row r="1175" ht="15.75" customHeight="1">
      <c r="A1175" s="1" t="str">
        <f>IFERROR(__xludf.DUMMYFUNCTION("""COMPUTED_VALUE"""),"Sloane T'Kindt")</f>
        <v>Sloane T'Kindt</v>
      </c>
      <c r="B1175" s="1" t="str">
        <f>IFERROR(__xludf.DUMMYFUNCTION("""COMPUTED_VALUE"""),"L2")</f>
        <v>L2</v>
      </c>
      <c r="C1175" s="1" t="str">
        <f t="shared" si="1"/>
        <v>No</v>
      </c>
      <c r="D1175" s="1">
        <v>0.0</v>
      </c>
    </row>
    <row r="1176" ht="15.75" customHeight="1">
      <c r="A1176" s="1" t="str">
        <f>IFERROR(__xludf.DUMMYFUNCTION("""COMPUTED_VALUE"""),"Audrey Ng")</f>
        <v>Audrey Ng</v>
      </c>
      <c r="B1176" s="1" t="str">
        <f>IFERROR(__xludf.DUMMYFUNCTION("""COMPUTED_VALUE"""),"L1")</f>
        <v>L1</v>
      </c>
      <c r="C1176" s="1" t="str">
        <f t="shared" si="1"/>
        <v>No</v>
      </c>
      <c r="D1176" s="1">
        <v>0.0</v>
      </c>
    </row>
    <row r="1177" ht="15.75" customHeight="1">
      <c r="A1177" s="1" t="str">
        <f>IFERROR(__xludf.DUMMYFUNCTION("""COMPUTED_VALUE"""),"Kingston Calvin")</f>
        <v>Kingston Calvin</v>
      </c>
      <c r="B1177" s="1" t="str">
        <f>IFERROR(__xludf.DUMMYFUNCTION("""COMPUTED_VALUE"""),"MS")</f>
        <v>MS</v>
      </c>
      <c r="C1177" s="1" t="str">
        <f t="shared" si="1"/>
        <v>No</v>
      </c>
      <c r="D1177" s="1">
        <v>0.0</v>
      </c>
    </row>
    <row r="1178" ht="15.75" customHeight="1">
      <c r="A1178" s="1" t="str">
        <f>IFERROR(__xludf.DUMMYFUNCTION("""COMPUTED_VALUE"""),"Avery Herzog-Ross")</f>
        <v>Avery Herzog-Ross</v>
      </c>
      <c r="B1178" s="1" t="str">
        <f>IFERROR(__xludf.DUMMYFUNCTION("""COMPUTED_VALUE"""),"MS")</f>
        <v>MS</v>
      </c>
      <c r="C1178" s="1" t="str">
        <f t="shared" si="1"/>
        <v>No</v>
      </c>
      <c r="D1178" s="1">
        <v>0.0</v>
      </c>
    </row>
    <row r="1179" ht="15.75" customHeight="1">
      <c r="A1179" s="1" t="str">
        <f>IFERROR(__xludf.DUMMYFUNCTION("""COMPUTED_VALUE"""),"Sebastian Herzog-Ross")</f>
        <v>Sebastian Herzog-Ross</v>
      </c>
      <c r="B1179" s="1" t="str">
        <f>IFERROR(__xludf.DUMMYFUNCTION("""COMPUTED_VALUE"""),"L2")</f>
        <v>L2</v>
      </c>
      <c r="C1179" s="1" t="str">
        <f t="shared" si="1"/>
        <v>No</v>
      </c>
      <c r="D1179" s="1">
        <v>0.0</v>
      </c>
    </row>
    <row r="1180" ht="15.75" customHeight="1">
      <c r="A1180" s="1" t="str">
        <f>IFERROR(__xludf.DUMMYFUNCTION("""COMPUTED_VALUE"""),"E E Aminu")</f>
        <v>E E Aminu</v>
      </c>
      <c r="B1180" s="1" t="str">
        <f>IFERROR(__xludf.DUMMYFUNCTION("""COMPUTED_VALUE"""),"L2")</f>
        <v>L2</v>
      </c>
      <c r="C1180" s="1" t="str">
        <f t="shared" si="1"/>
        <v>No</v>
      </c>
      <c r="D1180" s="1">
        <v>0.0</v>
      </c>
    </row>
    <row r="1181" ht="15.75" customHeight="1">
      <c r="A1181" s="1" t="str">
        <f>IFERROR(__xludf.DUMMYFUNCTION("""COMPUTED_VALUE"""),"Cadence Ollen")</f>
        <v>Cadence Ollen</v>
      </c>
      <c r="B1181" s="1" t="str">
        <f>IFERROR(__xludf.DUMMYFUNCTION("""COMPUTED_VALUE"""),"L2")</f>
        <v>L2</v>
      </c>
      <c r="C1181" s="1" t="str">
        <f t="shared" si="1"/>
        <v>No</v>
      </c>
      <c r="D1181" s="1">
        <v>0.0</v>
      </c>
    </row>
    <row r="1182" ht="15.75" customHeight="1">
      <c r="A1182" s="1" t="str">
        <f>IFERROR(__xludf.DUMMYFUNCTION("""COMPUTED_VALUE"""),"Lawson Ollen")</f>
        <v>Lawson Ollen</v>
      </c>
      <c r="B1182" s="1" t="str">
        <f>IFERROR(__xludf.DUMMYFUNCTION("""COMPUTED_VALUE"""),"MS")</f>
        <v>MS</v>
      </c>
      <c r="C1182" s="1" t="str">
        <f t="shared" si="1"/>
        <v>No</v>
      </c>
      <c r="D1182" s="1">
        <v>0.0</v>
      </c>
    </row>
    <row r="1183" ht="15.75" customHeight="1">
      <c r="A1183" s="1" t="str">
        <f>IFERROR(__xludf.DUMMYFUNCTION("""COMPUTED_VALUE"""),"Noah Batiste")</f>
        <v>Noah Batiste</v>
      </c>
      <c r="B1183" s="1" t="str">
        <f>IFERROR(__xludf.DUMMYFUNCTION("""COMPUTED_VALUE"""),"L2")</f>
        <v>L2</v>
      </c>
      <c r="C1183" s="1" t="str">
        <f t="shared" si="1"/>
        <v>No</v>
      </c>
      <c r="D1183" s="1">
        <v>0.0</v>
      </c>
    </row>
    <row r="1184" ht="15.75" customHeight="1">
      <c r="A1184" s="1" t="str">
        <f>IFERROR(__xludf.DUMMYFUNCTION("""COMPUTED_VALUE"""),"Ian Kislov")</f>
        <v>Ian Kislov</v>
      </c>
      <c r="B1184" s="1" t="str">
        <f>IFERROR(__xludf.DUMMYFUNCTION("""COMPUTED_VALUE"""),"MS")</f>
        <v>MS</v>
      </c>
      <c r="C1184" s="1" t="str">
        <f t="shared" si="1"/>
        <v>No</v>
      </c>
      <c r="D1184" s="1">
        <v>0.0</v>
      </c>
    </row>
    <row r="1185" ht="15.75" customHeight="1">
      <c r="A1185" s="1" t="str">
        <f>IFERROR(__xludf.DUMMYFUNCTION("""COMPUTED_VALUE"""),"Tripp Damon")</f>
        <v>Tripp Damon</v>
      </c>
      <c r="B1185" s="1" t="str">
        <f>IFERROR(__xludf.DUMMYFUNCTION("""COMPUTED_VALUE"""),"L2")</f>
        <v>L2</v>
      </c>
      <c r="C1185" s="1" t="str">
        <f t="shared" si="1"/>
        <v>No</v>
      </c>
      <c r="D1185" s="1">
        <v>0.0</v>
      </c>
    </row>
    <row r="1186" ht="15.75" customHeight="1">
      <c r="A1186" s="1" t="str">
        <f>IFERROR(__xludf.DUMMYFUNCTION("""COMPUTED_VALUE"""),"Isla Damon")</f>
        <v>Isla Damon</v>
      </c>
      <c r="B1186" s="1" t="str">
        <f>IFERROR(__xludf.DUMMYFUNCTION("""COMPUTED_VALUE"""),"L1")</f>
        <v>L1</v>
      </c>
      <c r="C1186" s="1" t="str">
        <f t="shared" si="1"/>
        <v>No</v>
      </c>
      <c r="D1186" s="1">
        <v>0.0</v>
      </c>
    </row>
    <row r="1187" ht="15.75" customHeight="1">
      <c r="A1187" s="1" t="str">
        <f>IFERROR(__xludf.DUMMYFUNCTION("""COMPUTED_VALUE"""),"Noah Deputy")</f>
        <v>Noah Deputy</v>
      </c>
      <c r="B1187" s="1" t="str">
        <f>IFERROR(__xludf.DUMMYFUNCTION("""COMPUTED_VALUE"""),"MS")</f>
        <v>MS</v>
      </c>
      <c r="C1187" s="1" t="str">
        <f t="shared" si="1"/>
        <v>No</v>
      </c>
      <c r="D1187" s="1">
        <v>0.0</v>
      </c>
    </row>
    <row r="1188" ht="15.75" customHeight="1">
      <c r="A1188" s="1" t="str">
        <f>IFERROR(__xludf.DUMMYFUNCTION("""COMPUTED_VALUE"""),"Peyton Deputy")</f>
        <v>Peyton Deputy</v>
      </c>
      <c r="B1188" s="1" t="str">
        <f>IFERROR(__xludf.DUMMYFUNCTION("""COMPUTED_VALUE"""),"L2")</f>
        <v>L2</v>
      </c>
      <c r="C1188" s="1" t="str">
        <f t="shared" si="1"/>
        <v>No</v>
      </c>
      <c r="D1188" s="1">
        <v>0.0</v>
      </c>
    </row>
    <row r="1189" ht="15.75" customHeight="1">
      <c r="A1189" s="1" t="str">
        <f>IFERROR(__xludf.DUMMYFUNCTION("""COMPUTED_VALUE"""),"Lincoln Malavolti")</f>
        <v>Lincoln Malavolti</v>
      </c>
      <c r="B1189" s="1" t="str">
        <f>IFERROR(__xludf.DUMMYFUNCTION("""COMPUTED_VALUE"""),"L2")</f>
        <v>L2</v>
      </c>
      <c r="C1189" s="1" t="str">
        <f t="shared" si="1"/>
        <v>No</v>
      </c>
      <c r="D1189" s="1">
        <v>0.0</v>
      </c>
    </row>
    <row r="1190" ht="15.75" customHeight="1">
      <c r="A1190" s="1" t="str">
        <f>IFERROR(__xludf.DUMMYFUNCTION("""COMPUTED_VALUE"""),"Amelia Cruz")</f>
        <v>Amelia Cruz</v>
      </c>
      <c r="B1190" s="1" t="str">
        <f>IFERROR(__xludf.DUMMYFUNCTION("""COMPUTED_VALUE"""),"MS")</f>
        <v>MS</v>
      </c>
      <c r="C1190" s="1" t="str">
        <f t="shared" si="1"/>
        <v>No</v>
      </c>
      <c r="D1190" s="1">
        <v>0.0</v>
      </c>
    </row>
    <row r="1191" ht="15.75" customHeight="1">
      <c r="A1191" s="1" t="str">
        <f>IFERROR(__xludf.DUMMYFUNCTION("""COMPUTED_VALUE"""),"Olivia Cruz")</f>
        <v>Olivia Cruz</v>
      </c>
      <c r="B1191" s="1" t="str">
        <f>IFERROR(__xludf.DUMMYFUNCTION("""COMPUTED_VALUE"""),"L2")</f>
        <v>L2</v>
      </c>
      <c r="C1191" s="1" t="str">
        <f t="shared" si="1"/>
        <v>No</v>
      </c>
      <c r="D1191" s="1">
        <v>0.0</v>
      </c>
    </row>
    <row r="1192" ht="15.75" customHeight="1">
      <c r="A1192" s="1" t="str">
        <f>IFERROR(__xludf.DUMMYFUNCTION("""COMPUTED_VALUE"""),"Isaac Cruz")</f>
        <v>Isaac Cruz</v>
      </c>
      <c r="B1192" s="1" t="str">
        <f>IFERROR(__xludf.DUMMYFUNCTION("""COMPUTED_VALUE"""),"L1")</f>
        <v>L1</v>
      </c>
      <c r="C1192" s="1" t="str">
        <f t="shared" si="1"/>
        <v>No</v>
      </c>
      <c r="D1192" s="1">
        <v>0.0</v>
      </c>
    </row>
    <row r="1193" ht="15.75" customHeight="1">
      <c r="A1193" s="1" t="str">
        <f>IFERROR(__xludf.DUMMYFUNCTION("""COMPUTED_VALUE"""),"Kylee Corbitt")</f>
        <v>Kylee Corbitt</v>
      </c>
      <c r="B1193" s="1" t="str">
        <f>IFERROR(__xludf.DUMMYFUNCTION("""COMPUTED_VALUE"""),"MS")</f>
        <v>MS</v>
      </c>
      <c r="C1193" s="1" t="str">
        <f t="shared" si="1"/>
        <v>No</v>
      </c>
      <c r="D1193" s="1">
        <v>0.0</v>
      </c>
    </row>
    <row r="1194" ht="15.75" customHeight="1">
      <c r="A1194" s="1" t="str">
        <f>IFERROR(__xludf.DUMMYFUNCTION("""COMPUTED_VALUE"""),"Jayce Corbitt")</f>
        <v>Jayce Corbitt</v>
      </c>
      <c r="B1194" s="1" t="str">
        <f>IFERROR(__xludf.DUMMYFUNCTION("""COMPUTED_VALUE"""),"L2")</f>
        <v>L2</v>
      </c>
      <c r="C1194" s="1" t="str">
        <f t="shared" si="1"/>
        <v>No</v>
      </c>
      <c r="D1194" s="1">
        <v>0.0</v>
      </c>
    </row>
    <row r="1195" ht="15.75" customHeight="1">
      <c r="A1195" s="1" t="str">
        <f>IFERROR(__xludf.DUMMYFUNCTION("""COMPUTED_VALUE"""),"BRANSON ERNEY")</f>
        <v>BRANSON ERNEY</v>
      </c>
      <c r="B1195" s="1" t="str">
        <f>IFERROR(__xludf.DUMMYFUNCTION("""COMPUTED_VALUE"""),"MS")</f>
        <v>MS</v>
      </c>
      <c r="C1195" s="1" t="str">
        <f t="shared" si="1"/>
        <v>No</v>
      </c>
      <c r="D1195" s="1">
        <v>0.0</v>
      </c>
    </row>
    <row r="1196" ht="15.75" customHeight="1">
      <c r="A1196" s="1" t="str">
        <f>IFERROR(__xludf.DUMMYFUNCTION("""COMPUTED_VALUE"""),"PAIGE ERNEY")</f>
        <v>PAIGE ERNEY</v>
      </c>
      <c r="B1196" s="1" t="str">
        <f>IFERROR(__xludf.DUMMYFUNCTION("""COMPUTED_VALUE"""),"MS")</f>
        <v>MS</v>
      </c>
      <c r="C1196" s="1" t="str">
        <f t="shared" si="1"/>
        <v>No</v>
      </c>
      <c r="D1196" s="1">
        <v>0.0</v>
      </c>
    </row>
    <row r="1197" ht="15.75" customHeight="1">
      <c r="A1197" s="1" t="str">
        <f>IFERROR(__xludf.DUMMYFUNCTION("""COMPUTED_VALUE"""),"SIMONE ERNEY")</f>
        <v>SIMONE ERNEY</v>
      </c>
      <c r="B1197" s="1" t="str">
        <f>IFERROR(__xludf.DUMMYFUNCTION("""COMPUTED_VALUE"""),"MS")</f>
        <v>MS</v>
      </c>
      <c r="C1197" s="1" t="str">
        <f t="shared" si="1"/>
        <v>No</v>
      </c>
      <c r="D1197" s="1">
        <v>0.0</v>
      </c>
    </row>
    <row r="1198" ht="15.75" customHeight="1">
      <c r="A1198" s="1" t="str">
        <f>IFERROR(__xludf.DUMMYFUNCTION("""COMPUTED_VALUE"""),"Nixon Kikkert")</f>
        <v>Nixon Kikkert</v>
      </c>
      <c r="B1198" s="1" t="str">
        <f>IFERROR(__xludf.DUMMYFUNCTION("""COMPUTED_VALUE"""),"MS")</f>
        <v>MS</v>
      </c>
      <c r="C1198" s="1" t="str">
        <f t="shared" si="1"/>
        <v>No</v>
      </c>
      <c r="D1198" s="1">
        <v>0.0</v>
      </c>
    </row>
    <row r="1199" ht="15.75" customHeight="1">
      <c r="A1199" s="1" t="str">
        <f>IFERROR(__xludf.DUMMYFUNCTION("""COMPUTED_VALUE"""),"Summer Kikkert")</f>
        <v>Summer Kikkert</v>
      </c>
      <c r="B1199" s="1" t="str">
        <f>IFERROR(__xludf.DUMMYFUNCTION("""COMPUTED_VALUE"""),"L2")</f>
        <v>L2</v>
      </c>
      <c r="C1199" s="1" t="str">
        <f t="shared" si="1"/>
        <v>No</v>
      </c>
      <c r="D1199" s="1">
        <v>0.0</v>
      </c>
    </row>
    <row r="1200" ht="15.75" customHeight="1">
      <c r="A1200" s="1" t="str">
        <f>IFERROR(__xludf.DUMMYFUNCTION("""COMPUTED_VALUE"""),"Kenzie Kikkert")</f>
        <v>Kenzie Kikkert</v>
      </c>
      <c r="B1200" s="1" t="str">
        <f>IFERROR(__xludf.DUMMYFUNCTION("""COMPUTED_VALUE"""),"HS")</f>
        <v>HS</v>
      </c>
      <c r="C1200" s="1" t="str">
        <f t="shared" si="1"/>
        <v>No</v>
      </c>
      <c r="D1200" s="1">
        <v>0.0</v>
      </c>
    </row>
    <row r="1201" ht="15.75" customHeight="1">
      <c r="A1201" s="1" t="str">
        <f>IFERROR(__xludf.DUMMYFUNCTION("""COMPUTED_VALUE"""),"Leonardo DeFlorio")</f>
        <v>Leonardo DeFlorio</v>
      </c>
      <c r="B1201" s="1" t="str">
        <f>IFERROR(__xludf.DUMMYFUNCTION("""COMPUTED_VALUE"""),"L1")</f>
        <v>L1</v>
      </c>
      <c r="C1201" s="1" t="str">
        <f t="shared" si="1"/>
        <v>No</v>
      </c>
      <c r="D1201" s="1">
        <v>0.0</v>
      </c>
    </row>
    <row r="1202" ht="15.75" customHeight="1">
      <c r="A1202" s="1" t="str">
        <f>IFERROR(__xludf.DUMMYFUNCTION("""COMPUTED_VALUE"""),"Harper Zimmerman")</f>
        <v>Harper Zimmerman</v>
      </c>
      <c r="B1202" s="1" t="str">
        <f>IFERROR(__xludf.DUMMYFUNCTION("""COMPUTED_VALUE"""),"L1")</f>
        <v>L1</v>
      </c>
      <c r="C1202" s="1" t="str">
        <f t="shared" si="1"/>
        <v>No</v>
      </c>
      <c r="D1202" s="1">
        <v>0.0</v>
      </c>
    </row>
    <row r="1203" ht="15.75" customHeight="1">
      <c r="A1203" s="1" t="str">
        <f>IFERROR(__xludf.DUMMYFUNCTION("""COMPUTED_VALUE"""),"Zoe Esquivel")</f>
        <v>Zoe Esquivel</v>
      </c>
      <c r="B1203" s="1" t="str">
        <f>IFERROR(__xludf.DUMMYFUNCTION("""COMPUTED_VALUE"""),"HS")</f>
        <v>HS</v>
      </c>
      <c r="C1203" s="1" t="str">
        <f t="shared" si="1"/>
        <v>No</v>
      </c>
      <c r="D1203" s="1">
        <v>0.0</v>
      </c>
    </row>
    <row r="1204" ht="15.75" customHeight="1">
      <c r="A1204" s="1" t="str">
        <f>IFERROR(__xludf.DUMMYFUNCTION("""COMPUTED_VALUE"""),"Noah Jeong-Adler")</f>
        <v>Noah Jeong-Adler</v>
      </c>
      <c r="B1204" s="1" t="str">
        <f>IFERROR(__xludf.DUMMYFUNCTION("""COMPUTED_VALUE"""),"L2")</f>
        <v>L2</v>
      </c>
      <c r="C1204" s="1" t="str">
        <f t="shared" si="1"/>
        <v>No</v>
      </c>
      <c r="D1204" s="1">
        <v>0.0</v>
      </c>
    </row>
    <row r="1205" ht="15.75" customHeight="1">
      <c r="A1205" s="1" t="str">
        <f>IFERROR(__xludf.DUMMYFUNCTION("""COMPUTED_VALUE"""),"Emi Cachoua")</f>
        <v>Emi Cachoua</v>
      </c>
      <c r="B1205" s="1" t="str">
        <f>IFERROR(__xludf.DUMMYFUNCTION("""COMPUTED_VALUE"""),"MS")</f>
        <v>MS</v>
      </c>
      <c r="C1205" s="1" t="str">
        <f t="shared" si="1"/>
        <v>No</v>
      </c>
      <c r="D1205" s="1">
        <v>0.0</v>
      </c>
    </row>
    <row r="1206" ht="15.75" customHeight="1">
      <c r="A1206" s="1" t="str">
        <f>IFERROR(__xludf.DUMMYFUNCTION("""COMPUTED_VALUE"""),"Bella Colangelo")</f>
        <v>Bella Colangelo</v>
      </c>
      <c r="B1206" s="1" t="str">
        <f>IFERROR(__xludf.DUMMYFUNCTION("""COMPUTED_VALUE"""),"L2")</f>
        <v>L2</v>
      </c>
      <c r="C1206" s="1" t="str">
        <f t="shared" si="1"/>
        <v>No</v>
      </c>
      <c r="D1206" s="1">
        <v>0.0</v>
      </c>
    </row>
    <row r="1207" ht="15.75" customHeight="1">
      <c r="A1207" s="1" t="str">
        <f>IFERROR(__xludf.DUMMYFUNCTION("""COMPUTED_VALUE"""),"Ivanna Venzor")</f>
        <v>Ivanna Venzor</v>
      </c>
      <c r="B1207" s="1" t="str">
        <f>IFERROR(__xludf.DUMMYFUNCTION("""COMPUTED_VALUE"""),"L2")</f>
        <v>L2</v>
      </c>
      <c r="C1207" s="1" t="str">
        <f t="shared" si="1"/>
        <v>No</v>
      </c>
      <c r="D1207" s="1">
        <v>0.0</v>
      </c>
    </row>
    <row r="1208" ht="15.75" customHeight="1">
      <c r="A1208" s="1" t="str">
        <f>IFERROR(__xludf.DUMMYFUNCTION("""COMPUTED_VALUE"""),"Minty Wyler")</f>
        <v>Minty Wyler</v>
      </c>
      <c r="B1208" s="1" t="str">
        <f>IFERROR(__xludf.DUMMYFUNCTION("""COMPUTED_VALUE"""),"MS")</f>
        <v>MS</v>
      </c>
      <c r="C1208" s="1" t="str">
        <f t="shared" si="1"/>
        <v>No</v>
      </c>
      <c r="D1208" s="1">
        <v>0.0</v>
      </c>
    </row>
    <row r="1209" ht="15.75" customHeight="1">
      <c r="A1209" s="1" t="str">
        <f>IFERROR(__xludf.DUMMYFUNCTION("""COMPUTED_VALUE"""),"Paisley Wyler")</f>
        <v>Paisley Wyler</v>
      </c>
      <c r="B1209" s="1" t="str">
        <f>IFERROR(__xludf.DUMMYFUNCTION("""COMPUTED_VALUE"""),"MS")</f>
        <v>MS</v>
      </c>
      <c r="C1209" s="1" t="str">
        <f t="shared" si="1"/>
        <v>No</v>
      </c>
      <c r="D1209" s="1">
        <v>0.0</v>
      </c>
    </row>
    <row r="1210" ht="15.75" customHeight="1">
      <c r="A1210" s="1" t="str">
        <f>IFERROR(__xludf.DUMMYFUNCTION("""COMPUTED_VALUE"""),"Hakim Jemal")</f>
        <v>Hakim Jemal</v>
      </c>
      <c r="B1210" s="1" t="str">
        <f>IFERROR(__xludf.DUMMYFUNCTION("""COMPUTED_VALUE"""),"MS")</f>
        <v>MS</v>
      </c>
      <c r="C1210" s="1" t="str">
        <f t="shared" si="1"/>
        <v>No</v>
      </c>
      <c r="D1210" s="1">
        <v>0.0</v>
      </c>
    </row>
    <row r="1211" ht="15.75" customHeight="1">
      <c r="A1211" s="1" t="str">
        <f>IFERROR(__xludf.DUMMYFUNCTION("""COMPUTED_VALUE"""),"Zahra Jemal")</f>
        <v>Zahra Jemal</v>
      </c>
      <c r="B1211" s="1" t="str">
        <f>IFERROR(__xludf.DUMMYFUNCTION("""COMPUTED_VALUE"""),"HS")</f>
        <v>HS</v>
      </c>
      <c r="C1211" s="1" t="str">
        <f t="shared" si="1"/>
        <v>No</v>
      </c>
      <c r="D1211" s="1">
        <v>0.0</v>
      </c>
    </row>
    <row r="1212" ht="15.75" customHeight="1">
      <c r="A1212" s="1" t="str">
        <f>IFERROR(__xludf.DUMMYFUNCTION("""COMPUTED_VALUE"""),"Bastian Schaefers")</f>
        <v>Bastian Schaefers</v>
      </c>
      <c r="B1212" s="1" t="str">
        <f>IFERROR(__xludf.DUMMYFUNCTION("""COMPUTED_VALUE"""),"L2")</f>
        <v>L2</v>
      </c>
      <c r="C1212" s="1" t="str">
        <f t="shared" si="1"/>
        <v>No</v>
      </c>
      <c r="D1212" s="1">
        <v>0.0</v>
      </c>
    </row>
    <row r="1213" ht="15.75" customHeight="1">
      <c r="A1213" s="1" t="str">
        <f>IFERROR(__xludf.DUMMYFUNCTION("""COMPUTED_VALUE"""),"Charlie Hodgkinson")</f>
        <v>Charlie Hodgkinson</v>
      </c>
      <c r="B1213" s="1" t="str">
        <f>IFERROR(__xludf.DUMMYFUNCTION("""COMPUTED_VALUE"""),"HS")</f>
        <v>HS</v>
      </c>
      <c r="C1213" s="1" t="str">
        <f t="shared" si="1"/>
        <v>No</v>
      </c>
      <c r="D1213" s="1">
        <v>0.0</v>
      </c>
    </row>
    <row r="1214" ht="15.75" customHeight="1">
      <c r="A1214" s="1" t="str">
        <f>IFERROR(__xludf.DUMMYFUNCTION("""COMPUTED_VALUE"""),"Grant Blood")</f>
        <v>Grant Blood</v>
      </c>
      <c r="B1214" s="1" t="str">
        <f>IFERROR(__xludf.DUMMYFUNCTION("""COMPUTED_VALUE"""),"L2")</f>
        <v>L2</v>
      </c>
      <c r="C1214" s="1" t="str">
        <f t="shared" si="1"/>
        <v>No</v>
      </c>
      <c r="D1214" s="1">
        <v>0.0</v>
      </c>
    </row>
    <row r="1215" ht="15.75" customHeight="1">
      <c r="A1215" s="1" t="str">
        <f>IFERROR(__xludf.DUMMYFUNCTION("""COMPUTED_VALUE"""),"Tanner Briggs")</f>
        <v>Tanner Briggs</v>
      </c>
      <c r="B1215" s="1" t="str">
        <f>IFERROR(__xludf.DUMMYFUNCTION("""COMPUTED_VALUE"""),"MS")</f>
        <v>MS</v>
      </c>
      <c r="C1215" s="1" t="str">
        <f t="shared" si="1"/>
        <v>No</v>
      </c>
      <c r="D1215" s="1">
        <v>0.0</v>
      </c>
    </row>
    <row r="1216" ht="15.75" customHeight="1">
      <c r="A1216" s="1" t="str">
        <f>IFERROR(__xludf.DUMMYFUNCTION("""COMPUTED_VALUE"""),"Ester Briggs")</f>
        <v>Ester Briggs</v>
      </c>
      <c r="B1216" s="1" t="str">
        <f>IFERROR(__xludf.DUMMYFUNCTION("""COMPUTED_VALUE"""),"HS")</f>
        <v>HS</v>
      </c>
      <c r="C1216" s="1" t="str">
        <f t="shared" si="1"/>
        <v>No</v>
      </c>
      <c r="D1216" s="1">
        <v>0.0</v>
      </c>
    </row>
    <row r="1217" ht="15.75" customHeight="1">
      <c r="A1217" s="1" t="str">
        <f>IFERROR(__xludf.DUMMYFUNCTION("""COMPUTED_VALUE"""),"Sanford Briggs")</f>
        <v>Sanford Briggs</v>
      </c>
      <c r="B1217" s="1" t="str">
        <f>IFERROR(__xludf.DUMMYFUNCTION("""COMPUTED_VALUE"""),"L2")</f>
        <v>L2</v>
      </c>
      <c r="C1217" s="1" t="str">
        <f t="shared" si="1"/>
        <v>No</v>
      </c>
      <c r="D1217" s="1">
        <v>0.0</v>
      </c>
    </row>
    <row r="1218" ht="15.75" customHeight="1">
      <c r="A1218" s="1" t="str">
        <f>IFERROR(__xludf.DUMMYFUNCTION("""COMPUTED_VALUE"""),"Heber Briggs")</f>
        <v>Heber Briggs</v>
      </c>
      <c r="B1218" s="1" t="str">
        <f>IFERROR(__xludf.DUMMYFUNCTION("""COMPUTED_VALUE"""),"L1")</f>
        <v>L1</v>
      </c>
      <c r="C1218" s="1" t="str">
        <f t="shared" si="1"/>
        <v>No</v>
      </c>
      <c r="D1218" s="1">
        <v>0.0</v>
      </c>
    </row>
    <row r="1219" ht="15.75" customHeight="1">
      <c r="A1219" s="1" t="str">
        <f>IFERROR(__xludf.DUMMYFUNCTION("""COMPUTED_VALUE"""),"Skye Costa")</f>
        <v>Skye Costa</v>
      </c>
      <c r="B1219" s="1" t="str">
        <f>IFERROR(__xludf.DUMMYFUNCTION("""COMPUTED_VALUE"""),"MS")</f>
        <v>MS</v>
      </c>
      <c r="C1219" s="1" t="str">
        <f t="shared" si="1"/>
        <v>No</v>
      </c>
      <c r="D1219" s="1">
        <v>0.0</v>
      </c>
    </row>
    <row r="1220" ht="15.75" customHeight="1">
      <c r="A1220" s="1" t="str">
        <f>IFERROR(__xludf.DUMMYFUNCTION("""COMPUTED_VALUE"""),"Willow Mayfield")</f>
        <v>Willow Mayfield</v>
      </c>
      <c r="B1220" s="1" t="str">
        <f>IFERROR(__xludf.DUMMYFUNCTION("""COMPUTED_VALUE"""),"L1")</f>
        <v>L1</v>
      </c>
      <c r="C1220" s="1" t="str">
        <f t="shared" si="1"/>
        <v>No</v>
      </c>
      <c r="D1220" s="1">
        <v>0.0</v>
      </c>
    </row>
    <row r="1221" ht="15.75" customHeight="1">
      <c r="A1221" s="1" t="str">
        <f>IFERROR(__xludf.DUMMYFUNCTION("""COMPUTED_VALUE"""),"Hazel Mayfield")</f>
        <v>Hazel Mayfield</v>
      </c>
      <c r="B1221" s="1" t="str">
        <f>IFERROR(__xludf.DUMMYFUNCTION("""COMPUTED_VALUE"""),"LL")</f>
        <v>LL</v>
      </c>
      <c r="C1221" s="1" t="str">
        <f t="shared" si="1"/>
        <v>No</v>
      </c>
      <c r="D1221" s="1">
        <v>0.0</v>
      </c>
    </row>
    <row r="1222" ht="15.75" customHeight="1">
      <c r="A1222" s="1" t="str">
        <f>IFERROR(__xludf.DUMMYFUNCTION("""COMPUTED_VALUE"""),"Zoe Ledesma")</f>
        <v>Zoe Ledesma</v>
      </c>
      <c r="B1222" s="1" t="str">
        <f>IFERROR(__xludf.DUMMYFUNCTION("""COMPUTED_VALUE"""),"L1")</f>
        <v>L1</v>
      </c>
      <c r="C1222" s="1" t="str">
        <f t="shared" si="1"/>
        <v>No</v>
      </c>
      <c r="D1222" s="1">
        <v>0.0</v>
      </c>
    </row>
    <row r="1223" ht="15.75" customHeight="1">
      <c r="A1223" s="1" t="str">
        <f>IFERROR(__xludf.DUMMYFUNCTION("""COMPUTED_VALUE"""),"Mason Jennings")</f>
        <v>Mason Jennings</v>
      </c>
      <c r="B1223" s="1" t="str">
        <f>IFERROR(__xludf.DUMMYFUNCTION("""COMPUTED_VALUE"""),"MS")</f>
        <v>MS</v>
      </c>
      <c r="C1223" s="1" t="str">
        <f t="shared" si="1"/>
        <v>No</v>
      </c>
      <c r="D1223" s="1">
        <v>0.0</v>
      </c>
    </row>
    <row r="1224" ht="15.75" customHeight="1">
      <c r="A1224" s="1" t="str">
        <f>IFERROR(__xludf.DUMMYFUNCTION("""COMPUTED_VALUE"""),"Jack Jennings")</f>
        <v>Jack Jennings</v>
      </c>
      <c r="B1224" s="1" t="str">
        <f>IFERROR(__xludf.DUMMYFUNCTION("""COMPUTED_VALUE"""),"MS")</f>
        <v>MS</v>
      </c>
      <c r="C1224" s="1" t="str">
        <f t="shared" si="1"/>
        <v>No</v>
      </c>
      <c r="D1224" s="1">
        <v>0.0</v>
      </c>
    </row>
    <row r="1225" ht="15.75" customHeight="1">
      <c r="A1225" s="1" t="str">
        <f>IFERROR(__xludf.DUMMYFUNCTION("""COMPUTED_VALUE"""),"Kaeden Libbrecht")</f>
        <v>Kaeden Libbrecht</v>
      </c>
      <c r="B1225" s="1" t="str">
        <f>IFERROR(__xludf.DUMMYFUNCTION("""COMPUTED_VALUE"""),"L2")</f>
        <v>L2</v>
      </c>
      <c r="C1225" s="1" t="str">
        <f t="shared" si="1"/>
        <v>No</v>
      </c>
      <c r="D1225" s="1">
        <v>0.0</v>
      </c>
    </row>
    <row r="1226" ht="15.75" customHeight="1">
      <c r="A1226" s="1" t="str">
        <f>IFERROR(__xludf.DUMMYFUNCTION("""COMPUTED_VALUE"""),"Isaac Ouano")</f>
        <v>Isaac Ouano</v>
      </c>
      <c r="B1226" s="1" t="str">
        <f>IFERROR(__xludf.DUMMYFUNCTION("""COMPUTED_VALUE"""),"L2")</f>
        <v>L2</v>
      </c>
      <c r="C1226" s="1" t="str">
        <f t="shared" si="1"/>
        <v>No</v>
      </c>
      <c r="D1226" s="1">
        <v>0.0</v>
      </c>
    </row>
    <row r="1227" ht="15.75" customHeight="1">
      <c r="A1227" s="1" t="str">
        <f>IFERROR(__xludf.DUMMYFUNCTION("""COMPUTED_VALUE"""),"Walter Ouano")</f>
        <v>Walter Ouano</v>
      </c>
      <c r="B1227" s="1" t="str">
        <f>IFERROR(__xludf.DUMMYFUNCTION("""COMPUTED_VALUE"""),"L1")</f>
        <v>L1</v>
      </c>
      <c r="C1227" s="1" t="str">
        <f t="shared" si="1"/>
        <v>No</v>
      </c>
      <c r="D1227" s="1">
        <v>0.0</v>
      </c>
    </row>
    <row r="1228" ht="15.75" customHeight="1">
      <c r="A1228" s="1" t="str">
        <f>IFERROR(__xludf.DUMMYFUNCTION("""COMPUTED_VALUE"""),"Logan Khan")</f>
        <v>Logan Khan</v>
      </c>
      <c r="B1228" s="1" t="str">
        <f>IFERROR(__xludf.DUMMYFUNCTION("""COMPUTED_VALUE"""),"L2")</f>
        <v>L2</v>
      </c>
      <c r="C1228" s="1" t="str">
        <f t="shared" si="1"/>
        <v>No</v>
      </c>
      <c r="D1228" s="1">
        <v>0.0</v>
      </c>
    </row>
    <row r="1229" ht="15.75" customHeight="1">
      <c r="A1229" s="1" t="str">
        <f>IFERROR(__xludf.DUMMYFUNCTION("""COMPUTED_VALUE"""),"Mia Cardenas")</f>
        <v>Mia Cardenas</v>
      </c>
      <c r="B1229" s="1" t="str">
        <f>IFERROR(__xludf.DUMMYFUNCTION("""COMPUTED_VALUE"""),"MS")</f>
        <v>MS</v>
      </c>
      <c r="C1229" s="1" t="str">
        <f t="shared" si="1"/>
        <v>No</v>
      </c>
      <c r="D1229" s="1">
        <v>0.0</v>
      </c>
    </row>
    <row r="1230" ht="15.75" customHeight="1">
      <c r="A1230" s="1" t="str">
        <f>IFERROR(__xludf.DUMMYFUNCTION("""COMPUTED_VALUE"""),"Brooks Istvan")</f>
        <v>Brooks Istvan</v>
      </c>
      <c r="B1230" s="1" t="str">
        <f>IFERROR(__xludf.DUMMYFUNCTION("""COMPUTED_VALUE"""),"MS")</f>
        <v>MS</v>
      </c>
      <c r="C1230" s="1" t="str">
        <f t="shared" si="1"/>
        <v>No</v>
      </c>
      <c r="D1230" s="1">
        <v>0.0</v>
      </c>
    </row>
    <row r="1231" ht="15.75" customHeight="1">
      <c r="A1231" s="1" t="str">
        <f>IFERROR(__xludf.DUMMYFUNCTION("""COMPUTED_VALUE"""),"Eliott Istvan")</f>
        <v>Eliott Istvan</v>
      </c>
      <c r="B1231" s="1" t="str">
        <f>IFERROR(__xludf.DUMMYFUNCTION("""COMPUTED_VALUE"""),"L2")</f>
        <v>L2</v>
      </c>
      <c r="C1231" s="1" t="str">
        <f t="shared" si="1"/>
        <v>No</v>
      </c>
      <c r="D1231" s="1">
        <v>0.0</v>
      </c>
    </row>
    <row r="1232" ht="15.75" customHeight="1">
      <c r="A1232" s="1" t="str">
        <f>IFERROR(__xludf.DUMMYFUNCTION("""COMPUTED_VALUE"""),"Timi Z")</f>
        <v>Timi Z</v>
      </c>
      <c r="B1232" s="1" t="str">
        <f>IFERROR(__xludf.DUMMYFUNCTION("""COMPUTED_VALUE"""),"L1")</f>
        <v>L1</v>
      </c>
      <c r="C1232" s="1" t="str">
        <f t="shared" si="1"/>
        <v>No</v>
      </c>
      <c r="D1232" s="1">
        <v>0.0</v>
      </c>
    </row>
    <row r="1233" ht="15.75" customHeight="1">
      <c r="A1233" s="1" t="str">
        <f>IFERROR(__xludf.DUMMYFUNCTION("""COMPUTED_VALUE"""),"Murphy Brennan")</f>
        <v>Murphy Brennan</v>
      </c>
      <c r="B1233" s="1" t="str">
        <f>IFERROR(__xludf.DUMMYFUNCTION("""COMPUTED_VALUE"""),"L1")</f>
        <v>L1</v>
      </c>
      <c r="C1233" s="1" t="str">
        <f t="shared" si="1"/>
        <v>No</v>
      </c>
      <c r="D1233" s="1">
        <v>0.0</v>
      </c>
    </row>
    <row r="1234" ht="15.75" customHeight="1">
      <c r="A1234" s="1" t="str">
        <f>IFERROR(__xludf.DUMMYFUNCTION("""COMPUTED_VALUE"""),"Glacier Brennan")</f>
        <v>Glacier Brennan</v>
      </c>
      <c r="B1234" s="1" t="str">
        <f>IFERROR(__xludf.DUMMYFUNCTION("""COMPUTED_VALUE"""),"LL")</f>
        <v>LL</v>
      </c>
      <c r="C1234" s="1" t="str">
        <f t="shared" si="1"/>
        <v>No</v>
      </c>
      <c r="D1234" s="1">
        <v>0.0</v>
      </c>
    </row>
    <row r="1235" ht="15.75" customHeight="1">
      <c r="A1235" s="1" t="str">
        <f>IFERROR(__xludf.DUMMYFUNCTION("""COMPUTED_VALUE"""),"Sam Webb")</f>
        <v>Sam Webb</v>
      </c>
      <c r="B1235" s="1" t="str">
        <f>IFERROR(__xludf.DUMMYFUNCTION("""COMPUTED_VALUE"""),"MS")</f>
        <v>MS</v>
      </c>
      <c r="C1235" s="1" t="str">
        <f t="shared" si="1"/>
        <v>No</v>
      </c>
      <c r="D1235" s="1">
        <v>0.0</v>
      </c>
    </row>
    <row r="1236" ht="15.75" customHeight="1">
      <c r="A1236" s="1" t="str">
        <f>IFERROR(__xludf.DUMMYFUNCTION("""COMPUTED_VALUE"""),"Lily Webb")</f>
        <v>Lily Webb</v>
      </c>
      <c r="B1236" s="1" t="str">
        <f>IFERROR(__xludf.DUMMYFUNCTION("""COMPUTED_VALUE"""),"L2")</f>
        <v>L2</v>
      </c>
      <c r="C1236" s="1" t="str">
        <f t="shared" si="1"/>
        <v>No</v>
      </c>
      <c r="D1236" s="1">
        <v>0.0</v>
      </c>
    </row>
    <row r="1237" ht="15.75" customHeight="1">
      <c r="A1237" s="1" t="str">
        <f>IFERROR(__xludf.DUMMYFUNCTION("""COMPUTED_VALUE"""),"Beau Webb")</f>
        <v>Beau Webb</v>
      </c>
      <c r="B1237" s="1" t="str">
        <f>IFERROR(__xludf.DUMMYFUNCTION("""COMPUTED_VALUE"""),"L1")</f>
        <v>L1</v>
      </c>
      <c r="C1237" s="1" t="str">
        <f t="shared" si="1"/>
        <v>No</v>
      </c>
      <c r="D1237" s="1">
        <v>0.0</v>
      </c>
    </row>
    <row r="1238" ht="15.75" customHeight="1">
      <c r="A1238" s="1" t="str">
        <f>IFERROR(__xludf.DUMMYFUNCTION("""COMPUTED_VALUE"""),"Fatimaj Alhasani")</f>
        <v>Fatimaj Alhasani</v>
      </c>
      <c r="B1238" s="1" t="str">
        <f>IFERROR(__xludf.DUMMYFUNCTION("""COMPUTED_VALUE"""),"L1")</f>
        <v>L1</v>
      </c>
      <c r="C1238" s="1" t="str">
        <f t="shared" si="1"/>
        <v>No</v>
      </c>
      <c r="D1238" s="1">
        <v>0.0</v>
      </c>
    </row>
    <row r="1239" ht="15.75" customHeight="1">
      <c r="A1239" s="1" t="str">
        <f>IFERROR(__xludf.DUMMYFUNCTION("""COMPUTED_VALUE"""),"Frankie Murray")</f>
        <v>Frankie Murray</v>
      </c>
      <c r="B1239" s="1" t="str">
        <f>IFERROR(__xludf.DUMMYFUNCTION("""COMPUTED_VALUE"""),"MS")</f>
        <v>MS</v>
      </c>
      <c r="C1239" s="1" t="str">
        <f t="shared" si="1"/>
        <v>No</v>
      </c>
      <c r="D1239" s="1">
        <v>0.0</v>
      </c>
    </row>
    <row r="1240" ht="15.75" customHeight="1">
      <c r="A1240" s="1" t="str">
        <f>IFERROR(__xludf.DUMMYFUNCTION("""COMPUTED_VALUE"""),"Aiden Henderson")</f>
        <v>Aiden Henderson</v>
      </c>
      <c r="B1240" s="1" t="str">
        <f>IFERROR(__xludf.DUMMYFUNCTION("""COMPUTED_VALUE"""),"L2")</f>
        <v>L2</v>
      </c>
      <c r="C1240" s="1" t="str">
        <f t="shared" si="1"/>
        <v>No</v>
      </c>
      <c r="D1240" s="1">
        <v>0.0</v>
      </c>
    </row>
    <row r="1241" ht="15.75" customHeight="1">
      <c r="A1241" s="1" t="str">
        <f>IFERROR(__xludf.DUMMYFUNCTION("""COMPUTED_VALUE"""),"Charlie Murray")</f>
        <v>Charlie Murray</v>
      </c>
      <c r="B1241" s="1" t="str">
        <f>IFERROR(__xludf.DUMMYFUNCTION("""COMPUTED_VALUE"""),"MS")</f>
        <v>MS</v>
      </c>
      <c r="C1241" s="1" t="str">
        <f t="shared" si="1"/>
        <v>No</v>
      </c>
      <c r="D1241" s="1">
        <v>0.0</v>
      </c>
    </row>
    <row r="1242" ht="15.75" customHeight="1">
      <c r="A1242" s="1" t="str">
        <f>IFERROR(__xludf.DUMMYFUNCTION("""COMPUTED_VALUE"""),"Lola Pietrkiewicz")</f>
        <v>Lola Pietrkiewicz</v>
      </c>
      <c r="B1242" s="1" t="str">
        <f>IFERROR(__xludf.DUMMYFUNCTION("""COMPUTED_VALUE"""),"L2")</f>
        <v>L2</v>
      </c>
      <c r="C1242" s="1" t="str">
        <f t="shared" si="1"/>
        <v>No</v>
      </c>
      <c r="D1242" s="1">
        <v>0.0</v>
      </c>
    </row>
    <row r="1243" ht="15.75" customHeight="1">
      <c r="A1243" s="1" t="str">
        <f>IFERROR(__xludf.DUMMYFUNCTION("""COMPUTED_VALUE"""),"Leo Denenberg")</f>
        <v>Leo Denenberg</v>
      </c>
      <c r="B1243" s="1" t="str">
        <f>IFERROR(__xludf.DUMMYFUNCTION("""COMPUTED_VALUE"""),"MS")</f>
        <v>MS</v>
      </c>
      <c r="C1243" s="1" t="str">
        <f t="shared" si="1"/>
        <v>No</v>
      </c>
      <c r="D1243" s="1">
        <v>0.0</v>
      </c>
    </row>
    <row r="1244" ht="15.75" customHeight="1">
      <c r="A1244" s="1" t="str">
        <f>IFERROR(__xludf.DUMMYFUNCTION("""COMPUTED_VALUE"""),"Stella Cole")</f>
        <v>Stella Cole</v>
      </c>
      <c r="B1244" s="1" t="str">
        <f>IFERROR(__xludf.DUMMYFUNCTION("""COMPUTED_VALUE"""),"MS")</f>
        <v>MS</v>
      </c>
      <c r="C1244" s="1" t="str">
        <f t="shared" si="1"/>
        <v>No</v>
      </c>
      <c r="D1244" s="1">
        <v>0.0</v>
      </c>
    </row>
    <row r="1245" ht="15.75" customHeight="1">
      <c r="A1245" s="1" t="str">
        <f>IFERROR(__xludf.DUMMYFUNCTION("""COMPUTED_VALUE"""),"Oliver Carrozza Embrey")</f>
        <v>Oliver Carrozza Embrey</v>
      </c>
      <c r="B1245" s="1" t="str">
        <f>IFERROR(__xludf.DUMMYFUNCTION("""COMPUTED_VALUE"""),"MS")</f>
        <v>MS</v>
      </c>
      <c r="C1245" s="1" t="str">
        <f t="shared" si="1"/>
        <v>No</v>
      </c>
      <c r="D1245" s="1">
        <v>0.0</v>
      </c>
    </row>
    <row r="1246" ht="15.75" customHeight="1">
      <c r="A1246" s="1" t="str">
        <f>IFERROR(__xludf.DUMMYFUNCTION("""COMPUTED_VALUE"""),"Jude Carrozza Embrey")</f>
        <v>Jude Carrozza Embrey</v>
      </c>
      <c r="B1246" s="1" t="str">
        <f>IFERROR(__xludf.DUMMYFUNCTION("""COMPUTED_VALUE"""),"L2")</f>
        <v>L2</v>
      </c>
      <c r="C1246" s="1" t="str">
        <f t="shared" si="1"/>
        <v>No</v>
      </c>
      <c r="D1246" s="1">
        <v>0.0</v>
      </c>
    </row>
    <row r="1247" ht="15.75" customHeight="1">
      <c r="A1247" s="1" t="str">
        <f>IFERROR(__xludf.DUMMYFUNCTION("""COMPUTED_VALUE"""),"Marcelo Campana")</f>
        <v>Marcelo Campana</v>
      </c>
      <c r="B1247" s="1" t="str">
        <f>IFERROR(__xludf.DUMMYFUNCTION("""COMPUTED_VALUE"""),"L1")</f>
        <v>L1</v>
      </c>
      <c r="C1247" s="1" t="str">
        <f t="shared" si="1"/>
        <v>No</v>
      </c>
      <c r="D1247" s="1">
        <v>0.0</v>
      </c>
    </row>
    <row r="1248" ht="15.75" customHeight="1">
      <c r="A1248" s="1" t="str">
        <f>IFERROR(__xludf.DUMMYFUNCTION("""COMPUTED_VALUE"""),"Lydia Johnson")</f>
        <v>Lydia Johnson</v>
      </c>
      <c r="B1248" s="1" t="str">
        <f>IFERROR(__xludf.DUMMYFUNCTION("""COMPUTED_VALUE"""),"MS")</f>
        <v>MS</v>
      </c>
      <c r="C1248" s="1" t="str">
        <f t="shared" si="1"/>
        <v>No</v>
      </c>
      <c r="D1248" s="1">
        <v>0.0</v>
      </c>
    </row>
    <row r="1249" ht="15.75" customHeight="1">
      <c r="A1249" s="1" t="str">
        <f>IFERROR(__xludf.DUMMYFUNCTION("""COMPUTED_VALUE"""),"Bennett White")</f>
        <v>Bennett White</v>
      </c>
      <c r="B1249" s="1" t="str">
        <f>IFERROR(__xludf.DUMMYFUNCTION("""COMPUTED_VALUE"""),"L2")</f>
        <v>L2</v>
      </c>
      <c r="C1249" s="1" t="str">
        <f t="shared" si="1"/>
        <v>No</v>
      </c>
      <c r="D1249" s="1">
        <v>0.0</v>
      </c>
    </row>
    <row r="1250" ht="15.75" customHeight="1">
      <c r="A1250" s="1" t="str">
        <f>IFERROR(__xludf.DUMMYFUNCTION("""COMPUTED_VALUE"""),"Anna Reece White")</f>
        <v>Anna Reece White</v>
      </c>
      <c r="B1250" s="1" t="str">
        <f>IFERROR(__xludf.DUMMYFUNCTION("""COMPUTED_VALUE"""),"MS")</f>
        <v>MS</v>
      </c>
      <c r="C1250" s="1" t="str">
        <f t="shared" si="1"/>
        <v>No</v>
      </c>
      <c r="D1250" s="1">
        <v>0.0</v>
      </c>
    </row>
    <row r="1251" ht="15.75" customHeight="1">
      <c r="A1251" s="1" t="str">
        <f>IFERROR(__xludf.DUMMYFUNCTION("""COMPUTED_VALUE"""),"Fynn Slagh")</f>
        <v>Fynn Slagh</v>
      </c>
      <c r="B1251" s="1" t="str">
        <f>IFERROR(__xludf.DUMMYFUNCTION("""COMPUTED_VALUE"""),"L2")</f>
        <v>L2</v>
      </c>
      <c r="C1251" s="1" t="str">
        <f t="shared" si="1"/>
        <v>No</v>
      </c>
      <c r="D1251" s="1">
        <v>0.0</v>
      </c>
    </row>
    <row r="1252" ht="15.75" customHeight="1">
      <c r="A1252" s="1" t="str">
        <f>IFERROR(__xludf.DUMMYFUNCTION("""COMPUTED_VALUE"""),"Grayson Slagh")</f>
        <v>Grayson Slagh</v>
      </c>
      <c r="B1252" s="1" t="str">
        <f>IFERROR(__xludf.DUMMYFUNCTION("""COMPUTED_VALUE"""),"MS")</f>
        <v>MS</v>
      </c>
      <c r="C1252" s="1" t="str">
        <f t="shared" si="1"/>
        <v>No</v>
      </c>
      <c r="D1252" s="1">
        <v>0.0</v>
      </c>
    </row>
    <row r="1253" ht="15.75" customHeight="1">
      <c r="A1253" s="1" t="str">
        <f>IFERROR(__xludf.DUMMYFUNCTION("""COMPUTED_VALUE"""),"Caleb Johnson")</f>
        <v>Caleb Johnson</v>
      </c>
      <c r="B1253" s="1" t="str">
        <f>IFERROR(__xludf.DUMMYFUNCTION("""COMPUTED_VALUE"""),"MS")</f>
        <v>MS</v>
      </c>
      <c r="C1253" s="1" t="str">
        <f t="shared" si="1"/>
        <v>No</v>
      </c>
      <c r="D1253" s="1">
        <v>0.0</v>
      </c>
    </row>
    <row r="1254" ht="15.75" customHeight="1">
      <c r="A1254" s="1" t="str">
        <f>IFERROR(__xludf.DUMMYFUNCTION("""COMPUTED_VALUE"""),"Hannah Johnson")</f>
        <v>Hannah Johnson</v>
      </c>
      <c r="B1254" s="1" t="str">
        <f>IFERROR(__xludf.DUMMYFUNCTION("""COMPUTED_VALUE"""),"L2")</f>
        <v>L2</v>
      </c>
      <c r="C1254" s="1" t="str">
        <f t="shared" si="1"/>
        <v>No</v>
      </c>
      <c r="D1254" s="1">
        <v>0.0</v>
      </c>
    </row>
    <row r="1255" ht="15.75" customHeight="1">
      <c r="A1255" s="1" t="str">
        <f>IFERROR(__xludf.DUMMYFUNCTION("""COMPUTED_VALUE"""),"Kai Kandhari")</f>
        <v>Kai Kandhari</v>
      </c>
      <c r="B1255" s="1" t="str">
        <f>IFERROR(__xludf.DUMMYFUNCTION("""COMPUTED_VALUE"""),"MS")</f>
        <v>MS</v>
      </c>
      <c r="C1255" s="1" t="str">
        <f t="shared" si="1"/>
        <v>No</v>
      </c>
      <c r="D1255" s="1">
        <v>0.0</v>
      </c>
    </row>
    <row r="1256" ht="15.75" customHeight="1">
      <c r="A1256" s="1" t="str">
        <f>IFERROR(__xludf.DUMMYFUNCTION("""COMPUTED_VALUE"""),"Neo Kandhari")</f>
        <v>Neo Kandhari</v>
      </c>
      <c r="B1256" s="1" t="str">
        <f>IFERROR(__xludf.DUMMYFUNCTION("""COMPUTED_VALUE"""),"L2")</f>
        <v>L2</v>
      </c>
      <c r="C1256" s="1" t="str">
        <f t="shared" si="1"/>
        <v>No</v>
      </c>
      <c r="D1256" s="1">
        <v>0.0</v>
      </c>
    </row>
    <row r="1257" ht="15.75" customHeight="1">
      <c r="A1257" s="1" t="str">
        <f>IFERROR(__xludf.DUMMYFUNCTION("""COMPUTED_VALUE"""),"James Esparragoza")</f>
        <v>James Esparragoza</v>
      </c>
      <c r="B1257" s="1" t="str">
        <f>IFERROR(__xludf.DUMMYFUNCTION("""COMPUTED_VALUE"""),"L1")</f>
        <v>L1</v>
      </c>
      <c r="C1257" s="1" t="str">
        <f t="shared" si="1"/>
        <v>No</v>
      </c>
      <c r="D1257" s="1">
        <v>0.0</v>
      </c>
    </row>
    <row r="1258" ht="15.75" customHeight="1">
      <c r="A1258" s="1" t="str">
        <f>IFERROR(__xludf.DUMMYFUNCTION("""COMPUTED_VALUE"""),"Mark Benoit")</f>
        <v>Mark Benoit</v>
      </c>
      <c r="B1258" s="1" t="str">
        <f>IFERROR(__xludf.DUMMYFUNCTION("""COMPUTED_VALUE"""),"L2")</f>
        <v>L2</v>
      </c>
      <c r="C1258" s="1" t="str">
        <f t="shared" si="1"/>
        <v>No</v>
      </c>
      <c r="D1258" s="1">
        <v>0.0</v>
      </c>
    </row>
    <row r="1259" ht="15.75" customHeight="1">
      <c r="A1259" s="1" t="str">
        <f>IFERROR(__xludf.DUMMYFUNCTION("""COMPUTED_VALUE"""),"Matthew Benoit")</f>
        <v>Matthew Benoit</v>
      </c>
      <c r="B1259" s="1" t="str">
        <f>IFERROR(__xludf.DUMMYFUNCTION("""COMPUTED_VALUE"""),"L1")</f>
        <v>L1</v>
      </c>
      <c r="C1259" s="1" t="str">
        <f t="shared" si="1"/>
        <v>No</v>
      </c>
      <c r="D1259" s="1">
        <v>0.0</v>
      </c>
    </row>
    <row r="1260" ht="15.75" customHeight="1">
      <c r="A1260" s="1" t="str">
        <f>IFERROR(__xludf.DUMMYFUNCTION("""COMPUTED_VALUE"""),"Cameron Taylor")</f>
        <v>Cameron Taylor</v>
      </c>
      <c r="B1260" s="1" t="str">
        <f>IFERROR(__xludf.DUMMYFUNCTION("""COMPUTED_VALUE"""),"L1")</f>
        <v>L1</v>
      </c>
      <c r="C1260" s="1" t="str">
        <f t="shared" si="1"/>
        <v>No</v>
      </c>
      <c r="D1260" s="1">
        <v>0.0</v>
      </c>
    </row>
    <row r="1261" ht="15.75" customHeight="1">
      <c r="A1261" s="1" t="str">
        <f>IFERROR(__xludf.DUMMYFUNCTION("""COMPUTED_VALUE"""),"Natalie Taylor")</f>
        <v>Natalie Taylor</v>
      </c>
      <c r="B1261" s="1" t="str">
        <f>IFERROR(__xludf.DUMMYFUNCTION("""COMPUTED_VALUE"""),"L1")</f>
        <v>L1</v>
      </c>
      <c r="C1261" s="1" t="str">
        <f t="shared" si="1"/>
        <v>No</v>
      </c>
      <c r="D1261" s="1">
        <v>0.0</v>
      </c>
    </row>
    <row r="1262" ht="15.75" customHeight="1">
      <c r="A1262" s="1" t="str">
        <f>IFERROR(__xludf.DUMMYFUNCTION("""COMPUTED_VALUE"""),"Rafa Peretz")</f>
        <v>Rafa Peretz</v>
      </c>
      <c r="B1262" s="1" t="str">
        <f>IFERROR(__xludf.DUMMYFUNCTION("""COMPUTED_VALUE"""),"L1")</f>
        <v>L1</v>
      </c>
      <c r="C1262" s="1" t="str">
        <f t="shared" si="1"/>
        <v>No</v>
      </c>
      <c r="D1262" s="1">
        <v>0.0</v>
      </c>
    </row>
    <row r="1263" ht="15.75" customHeight="1">
      <c r="A1263" s="1" t="str">
        <f>IFERROR(__xludf.DUMMYFUNCTION("""COMPUTED_VALUE"""),"IM M")</f>
        <v>IM M</v>
      </c>
      <c r="B1263" s="1" t="str">
        <f>IFERROR(__xludf.DUMMYFUNCTION("""COMPUTED_VALUE"""),"L1")</f>
        <v>L1</v>
      </c>
      <c r="C1263" s="1" t="str">
        <f t="shared" si="1"/>
        <v>No</v>
      </c>
      <c r="D1263" s="1">
        <v>0.0</v>
      </c>
    </row>
    <row r="1264" ht="15.75" customHeight="1">
      <c r="A1264" s="1" t="str">
        <f>IFERROR(__xludf.DUMMYFUNCTION("""COMPUTED_VALUE"""),"Nicholas Gazoni")</f>
        <v>Nicholas Gazoni</v>
      </c>
      <c r="B1264" s="1" t="str">
        <f>IFERROR(__xludf.DUMMYFUNCTION("""COMPUTED_VALUE"""),"MS")</f>
        <v>MS</v>
      </c>
      <c r="C1264" s="1" t="str">
        <f t="shared" si="1"/>
        <v>No</v>
      </c>
      <c r="D1264" s="1">
        <v>0.0</v>
      </c>
    </row>
    <row r="1265" ht="15.75" customHeight="1">
      <c r="A1265" s="1" t="str">
        <f>IFERROR(__xludf.DUMMYFUNCTION("""COMPUTED_VALUE"""),"Xander Kaplan")</f>
        <v>Xander Kaplan</v>
      </c>
      <c r="B1265" s="1" t="str">
        <f>IFERROR(__xludf.DUMMYFUNCTION("""COMPUTED_VALUE"""),"LL")</f>
        <v>LL</v>
      </c>
      <c r="C1265" s="1" t="str">
        <f t="shared" si="1"/>
        <v>No</v>
      </c>
      <c r="D1265" s="1">
        <v>0.0</v>
      </c>
    </row>
    <row r="1266" ht="15.75" customHeight="1">
      <c r="A1266" s="1" t="str">
        <f>IFERROR(__xludf.DUMMYFUNCTION("""COMPUTED_VALUE"""),"Max Kaplan")</f>
        <v>Max Kaplan</v>
      </c>
      <c r="B1266" s="1" t="str">
        <f>IFERROR(__xludf.DUMMYFUNCTION("""COMPUTED_VALUE"""),"L1")</f>
        <v>L1</v>
      </c>
      <c r="C1266" s="1" t="str">
        <f t="shared" si="1"/>
        <v>No</v>
      </c>
      <c r="D1266" s="1">
        <v>0.0</v>
      </c>
    </row>
    <row r="1267" ht="15.75" customHeight="1">
      <c r="A1267" s="1" t="str">
        <f>IFERROR(__xludf.DUMMYFUNCTION("""COMPUTED_VALUE"""),"Leia Hu")</f>
        <v>Leia Hu</v>
      </c>
      <c r="B1267" s="1" t="str">
        <f>IFERROR(__xludf.DUMMYFUNCTION("""COMPUTED_VALUE"""),"L2")</f>
        <v>L2</v>
      </c>
      <c r="C1267" s="1" t="str">
        <f t="shared" si="1"/>
        <v>No</v>
      </c>
      <c r="D1267" s="1">
        <v>0.0</v>
      </c>
    </row>
    <row r="1268" ht="15.75" customHeight="1">
      <c r="A1268" s="1" t="str">
        <f>IFERROR(__xludf.DUMMYFUNCTION("""COMPUTED_VALUE"""),"Zaynab Hussaini")</f>
        <v>Zaynab Hussaini</v>
      </c>
      <c r="B1268" s="1" t="str">
        <f>IFERROR(__xludf.DUMMYFUNCTION("""COMPUTED_VALUE"""),"MS")</f>
        <v>MS</v>
      </c>
      <c r="C1268" s="1" t="str">
        <f t="shared" si="1"/>
        <v>No</v>
      </c>
      <c r="D1268" s="1">
        <v>0.0</v>
      </c>
    </row>
    <row r="1269" ht="15.75" customHeight="1">
      <c r="A1269" s="1" t="str">
        <f>IFERROR(__xludf.DUMMYFUNCTION("""COMPUTED_VALUE"""),"Max Gavrichev")</f>
        <v>Max Gavrichev</v>
      </c>
      <c r="B1269" s="1" t="str">
        <f>IFERROR(__xludf.DUMMYFUNCTION("""COMPUTED_VALUE"""),"L1")</f>
        <v>L1</v>
      </c>
      <c r="C1269" s="1" t="str">
        <f t="shared" si="1"/>
        <v>No</v>
      </c>
      <c r="D1269" s="1">
        <v>0.0</v>
      </c>
    </row>
    <row r="1270" ht="15.75" customHeight="1">
      <c r="A1270" s="1" t="str">
        <f>IFERROR(__xludf.DUMMYFUNCTION("""COMPUTED_VALUE"""),"Sasha Gavrichev")</f>
        <v>Sasha Gavrichev</v>
      </c>
      <c r="B1270" s="1" t="str">
        <f>IFERROR(__xludf.DUMMYFUNCTION("""COMPUTED_VALUE"""),"MS")</f>
        <v>MS</v>
      </c>
      <c r="C1270" s="1" t="str">
        <f t="shared" si="1"/>
        <v>No</v>
      </c>
      <c r="D1270" s="1">
        <v>0.0</v>
      </c>
    </row>
    <row r="1271" ht="15.75" customHeight="1">
      <c r="A1271" s="1" t="str">
        <f>IFERROR(__xludf.DUMMYFUNCTION("""COMPUTED_VALUE"""),"Isabella DonFrancesco")</f>
        <v>Isabella DonFrancesco</v>
      </c>
      <c r="B1271" s="1" t="str">
        <f>IFERROR(__xludf.DUMMYFUNCTION("""COMPUTED_VALUE"""),"LL")</f>
        <v>LL</v>
      </c>
      <c r="C1271" s="1" t="str">
        <f t="shared" si="1"/>
        <v>No</v>
      </c>
      <c r="D1271" s="1">
        <v>0.0</v>
      </c>
    </row>
    <row r="1272" ht="15.75" customHeight="1">
      <c r="A1272" s="1" t="str">
        <f>IFERROR(__xludf.DUMMYFUNCTION("""COMPUTED_VALUE"""),"Luke Thannisch")</f>
        <v>Luke Thannisch</v>
      </c>
      <c r="B1272" s="1" t="str">
        <f>IFERROR(__xludf.DUMMYFUNCTION("""COMPUTED_VALUE"""),"L2")</f>
        <v>L2</v>
      </c>
      <c r="C1272" s="1" t="str">
        <f t="shared" si="1"/>
        <v>No</v>
      </c>
      <c r="D1272" s="1">
        <v>0.0</v>
      </c>
    </row>
    <row r="1273" ht="15.75" customHeight="1">
      <c r="A1273" s="1" t="str">
        <f>IFERROR(__xludf.DUMMYFUNCTION("""COMPUTED_VALUE"""),"Conrad Thannisch")</f>
        <v>Conrad Thannisch</v>
      </c>
      <c r="B1273" s="1" t="str">
        <f>IFERROR(__xludf.DUMMYFUNCTION("""COMPUTED_VALUE"""),"L1")</f>
        <v>L1</v>
      </c>
      <c r="C1273" s="1" t="str">
        <f t="shared" si="1"/>
        <v>No</v>
      </c>
      <c r="D1273" s="1">
        <v>0.0</v>
      </c>
    </row>
    <row r="1274" ht="15.75" customHeight="1">
      <c r="A1274" s="1" t="str">
        <f>IFERROR(__xludf.DUMMYFUNCTION("""COMPUTED_VALUE"""),"Rhett Thannisch")</f>
        <v>Rhett Thannisch</v>
      </c>
      <c r="B1274" s="1" t="str">
        <f>IFERROR(__xludf.DUMMYFUNCTION("""COMPUTED_VALUE"""),"L1")</f>
        <v>L1</v>
      </c>
      <c r="C1274" s="1" t="str">
        <f t="shared" si="1"/>
        <v>No</v>
      </c>
      <c r="D1274" s="1">
        <v>0.0</v>
      </c>
    </row>
    <row r="1275" ht="15.75" customHeight="1">
      <c r="A1275" s="1" t="str">
        <f>IFERROR(__xludf.DUMMYFUNCTION("""COMPUTED_VALUE"""),"Sophia Barreno")</f>
        <v>Sophia Barreno</v>
      </c>
      <c r="B1275" s="1" t="str">
        <f>IFERROR(__xludf.DUMMYFUNCTION("""COMPUTED_VALUE"""),"HS")</f>
        <v>HS</v>
      </c>
      <c r="C1275" s="1" t="str">
        <f t="shared" si="1"/>
        <v>No</v>
      </c>
      <c r="D1275" s="1">
        <v>0.0</v>
      </c>
    </row>
    <row r="1276" ht="15.75" customHeight="1">
      <c r="A1276" s="1" t="str">
        <f>IFERROR(__xludf.DUMMYFUNCTION("""COMPUTED_VALUE"""),"Luke Barreno")</f>
        <v>Luke Barreno</v>
      </c>
      <c r="B1276" s="1" t="str">
        <f>IFERROR(__xludf.DUMMYFUNCTION("""COMPUTED_VALUE"""),"MS")</f>
        <v>MS</v>
      </c>
      <c r="C1276" s="1" t="str">
        <f t="shared" si="1"/>
        <v>No</v>
      </c>
      <c r="D1276" s="1">
        <v>0.0</v>
      </c>
    </row>
    <row r="1277" ht="15.75" customHeight="1">
      <c r="A1277" s="1" t="str">
        <f>IFERROR(__xludf.DUMMYFUNCTION("""COMPUTED_VALUE"""),"Eva Barreno")</f>
        <v>Eva Barreno</v>
      </c>
      <c r="B1277" s="1" t="str">
        <f>IFERROR(__xludf.DUMMYFUNCTION("""COMPUTED_VALUE"""),"MS")</f>
        <v>MS</v>
      </c>
      <c r="C1277" s="1" t="str">
        <f t="shared" si="1"/>
        <v>No</v>
      </c>
      <c r="D1277" s="1">
        <v>0.0</v>
      </c>
    </row>
    <row r="1278" ht="15.75" customHeight="1">
      <c r="A1278" s="1" t="str">
        <f>IFERROR(__xludf.DUMMYFUNCTION("""COMPUTED_VALUE"""),"Zyler Sharpe")</f>
        <v>Zyler Sharpe</v>
      </c>
      <c r="B1278" s="1" t="str">
        <f>IFERROR(__xludf.DUMMYFUNCTION("""COMPUTED_VALUE"""),"L2")</f>
        <v>L2</v>
      </c>
      <c r="C1278" s="1" t="str">
        <f t="shared" si="1"/>
        <v>No</v>
      </c>
      <c r="D1278" s="1">
        <v>0.0</v>
      </c>
    </row>
    <row r="1279" ht="15.75" customHeight="1">
      <c r="A1279" s="1" t="str">
        <f>IFERROR(__xludf.DUMMYFUNCTION("""COMPUTED_VALUE"""),"Kadyn Sharpe")</f>
        <v>Kadyn Sharpe</v>
      </c>
      <c r="B1279" s="1" t="str">
        <f>IFERROR(__xludf.DUMMYFUNCTION("""COMPUTED_VALUE"""),"L2")</f>
        <v>L2</v>
      </c>
      <c r="C1279" s="1" t="str">
        <f t="shared" si="1"/>
        <v>No</v>
      </c>
      <c r="D1279" s="1">
        <v>0.0</v>
      </c>
    </row>
    <row r="1280" ht="15.75" customHeight="1">
      <c r="A1280" s="1" t="str">
        <f>IFERROR(__xludf.DUMMYFUNCTION("""COMPUTED_VALUE"""),"Aaron Michuki")</f>
        <v>Aaron Michuki</v>
      </c>
      <c r="B1280" s="1" t="str">
        <f>IFERROR(__xludf.DUMMYFUNCTION("""COMPUTED_VALUE"""),"L1")</f>
        <v>L1</v>
      </c>
      <c r="C1280" s="1" t="str">
        <f t="shared" si="1"/>
        <v>No</v>
      </c>
      <c r="D1280" s="1">
        <v>0.0</v>
      </c>
    </row>
    <row r="1281" ht="15.75" customHeight="1">
      <c r="A1281" s="1" t="str">
        <f>IFERROR(__xludf.DUMMYFUNCTION("""COMPUTED_VALUE"""),"Kyle Michuki")</f>
        <v>Kyle Michuki</v>
      </c>
      <c r="B1281" s="1" t="str">
        <f>IFERROR(__xludf.DUMMYFUNCTION("""COMPUTED_VALUE"""),"L2")</f>
        <v>L2</v>
      </c>
      <c r="C1281" s="1" t="str">
        <f t="shared" si="1"/>
        <v>No</v>
      </c>
      <c r="D1281" s="1">
        <v>0.0</v>
      </c>
    </row>
    <row r="1282" ht="15.75" customHeight="1">
      <c r="A1282" s="1" t="str">
        <f>IFERROR(__xludf.DUMMYFUNCTION("""COMPUTED_VALUE"""),"Ariana Muto")</f>
        <v>Ariana Muto</v>
      </c>
      <c r="B1282" s="1" t="str">
        <f>IFERROR(__xludf.DUMMYFUNCTION("""COMPUTED_VALUE"""),"L2")</f>
        <v>L2</v>
      </c>
      <c r="C1282" s="1" t="str">
        <f t="shared" si="1"/>
        <v>No</v>
      </c>
      <c r="D1282" s="1">
        <v>0.0</v>
      </c>
    </row>
    <row r="1283" ht="15.75" customHeight="1">
      <c r="A1283" s="1" t="str">
        <f>IFERROR(__xludf.DUMMYFUNCTION("""COMPUTED_VALUE"""),"Davi Tanaka")</f>
        <v>Davi Tanaka</v>
      </c>
      <c r="B1283" s="1" t="str">
        <f>IFERROR(__xludf.DUMMYFUNCTION("""COMPUTED_VALUE"""),"MS")</f>
        <v>MS</v>
      </c>
      <c r="C1283" s="1" t="str">
        <f t="shared" si="1"/>
        <v>No</v>
      </c>
      <c r="D1283" s="1">
        <v>0.0</v>
      </c>
    </row>
    <row r="1284" ht="15.75" customHeight="1">
      <c r="A1284" s="1" t="str">
        <f>IFERROR(__xludf.DUMMYFUNCTION("""COMPUTED_VALUE"""),"Dahlia Hervieux")</f>
        <v>Dahlia Hervieux</v>
      </c>
      <c r="B1284" s="1" t="str">
        <f>IFERROR(__xludf.DUMMYFUNCTION("""COMPUTED_VALUE"""),"MS")</f>
        <v>MS</v>
      </c>
      <c r="C1284" s="1" t="str">
        <f t="shared" si="1"/>
        <v>No</v>
      </c>
      <c r="D1284" s="1">
        <v>0.0</v>
      </c>
    </row>
    <row r="1285" ht="15.75" customHeight="1">
      <c r="A1285" s="1" t="str">
        <f>IFERROR(__xludf.DUMMYFUNCTION("""COMPUTED_VALUE"""),"Landon Hervieux")</f>
        <v>Landon Hervieux</v>
      </c>
      <c r="B1285" s="1" t="str">
        <f>IFERROR(__xludf.DUMMYFUNCTION("""COMPUTED_VALUE"""),"MS")</f>
        <v>MS</v>
      </c>
      <c r="C1285" s="1" t="str">
        <f t="shared" si="1"/>
        <v>No</v>
      </c>
      <c r="D1285" s="1">
        <v>0.0</v>
      </c>
    </row>
    <row r="1286" ht="15.75" customHeight="1">
      <c r="A1286" s="1" t="str">
        <f>IFERROR(__xludf.DUMMYFUNCTION("""COMPUTED_VALUE"""),"Ella Ruiz")</f>
        <v>Ella Ruiz</v>
      </c>
      <c r="B1286" s="1" t="str">
        <f>IFERROR(__xludf.DUMMYFUNCTION("""COMPUTED_VALUE"""),"MS")</f>
        <v>MS</v>
      </c>
      <c r="C1286" s="1" t="str">
        <f t="shared" si="1"/>
        <v>No</v>
      </c>
      <c r="D1286" s="1">
        <v>0.0</v>
      </c>
    </row>
    <row r="1287" ht="15.75" customHeight="1">
      <c r="A1287" s="1" t="str">
        <f>IFERROR(__xludf.DUMMYFUNCTION("""COMPUTED_VALUE"""),"Eva Quintero")</f>
        <v>Eva Quintero</v>
      </c>
      <c r="B1287" s="1" t="str">
        <f>IFERROR(__xludf.DUMMYFUNCTION("""COMPUTED_VALUE"""),"L2")</f>
        <v>L2</v>
      </c>
      <c r="C1287" s="1" t="str">
        <f t="shared" si="1"/>
        <v>No</v>
      </c>
      <c r="D1287" s="1">
        <v>0.0</v>
      </c>
    </row>
    <row r="1288" ht="15.75" customHeight="1">
      <c r="A1288" s="1" t="str">
        <f>IFERROR(__xludf.DUMMYFUNCTION("""COMPUTED_VALUE"""),"TC Brennan")</f>
        <v>TC Brennan</v>
      </c>
      <c r="B1288" s="1" t="str">
        <f>IFERROR(__xludf.DUMMYFUNCTION("""COMPUTED_VALUE"""),"L2")</f>
        <v>L2</v>
      </c>
      <c r="C1288" s="1" t="str">
        <f t="shared" si="1"/>
        <v>No</v>
      </c>
      <c r="D1288" s="1">
        <v>0.0</v>
      </c>
    </row>
    <row r="1289" ht="15.75" customHeight="1">
      <c r="A1289" s="1" t="str">
        <f>IFERROR(__xludf.DUMMYFUNCTION("""COMPUTED_VALUE"""),"Rosie McAllister")</f>
        <v>Rosie McAllister</v>
      </c>
      <c r="B1289" s="1" t="str">
        <f>IFERROR(__xludf.DUMMYFUNCTION("""COMPUTED_VALUE"""),"MS")</f>
        <v>MS</v>
      </c>
      <c r="C1289" s="1" t="str">
        <f t="shared" si="1"/>
        <v>No</v>
      </c>
      <c r="D1289" s="1">
        <v>0.0</v>
      </c>
    </row>
    <row r="1290" ht="15.75" customHeight="1">
      <c r="A1290" s="1" t="str">
        <f>IFERROR(__xludf.DUMMYFUNCTION("""COMPUTED_VALUE"""),"Boone Purviance")</f>
        <v>Boone Purviance</v>
      </c>
      <c r="B1290" s="1" t="str">
        <f>IFERROR(__xludf.DUMMYFUNCTION("""COMPUTED_VALUE"""),"MS")</f>
        <v>MS</v>
      </c>
      <c r="C1290" s="1" t="str">
        <f t="shared" si="1"/>
        <v>No</v>
      </c>
      <c r="D1290" s="1">
        <v>0.0</v>
      </c>
    </row>
    <row r="1291" ht="15.75" customHeight="1">
      <c r="A1291" s="1" t="str">
        <f>IFERROR(__xludf.DUMMYFUNCTION("""COMPUTED_VALUE"""),"Penny Will")</f>
        <v>Penny Will</v>
      </c>
      <c r="B1291" s="1" t="str">
        <f>IFERROR(__xludf.DUMMYFUNCTION("""COMPUTED_VALUE"""),"MS")</f>
        <v>MS</v>
      </c>
      <c r="C1291" s="1" t="str">
        <f t="shared" si="1"/>
        <v>No</v>
      </c>
      <c r="D1291" s="1">
        <v>0.0</v>
      </c>
    </row>
    <row r="1292" ht="15.75" customHeight="1">
      <c r="A1292" s="1" t="str">
        <f>IFERROR(__xludf.DUMMYFUNCTION("""COMPUTED_VALUE"""),"Carter Purviance")</f>
        <v>Carter Purviance</v>
      </c>
      <c r="B1292" s="1" t="str">
        <f>IFERROR(__xludf.DUMMYFUNCTION("""COMPUTED_VALUE"""),"MS")</f>
        <v>MS</v>
      </c>
      <c r="C1292" s="1" t="str">
        <f t="shared" si="1"/>
        <v>No</v>
      </c>
      <c r="D1292" s="1">
        <v>0.0</v>
      </c>
    </row>
    <row r="1293" ht="15.75" customHeight="1">
      <c r="A1293" s="1" t="str">
        <f>IFERROR(__xludf.DUMMYFUNCTION("""COMPUTED_VALUE"""),"Eugenie PURVIANCE")</f>
        <v>Eugenie PURVIANCE</v>
      </c>
      <c r="B1293" s="1" t="str">
        <f>IFERROR(__xludf.DUMMYFUNCTION("""COMPUTED_VALUE"""),"L2")</f>
        <v>L2</v>
      </c>
      <c r="C1293" s="1" t="str">
        <f t="shared" si="1"/>
        <v>No</v>
      </c>
      <c r="D1293" s="1">
        <v>0.0</v>
      </c>
    </row>
    <row r="1294" ht="15.75" customHeight="1">
      <c r="A1294" s="1" t="str">
        <f>IFERROR(__xludf.DUMMYFUNCTION("""COMPUTED_VALUE"""),"Jacob or jake Buchert")</f>
        <v>Jacob or jake Buchert</v>
      </c>
      <c r="B1294" s="1" t="str">
        <f>IFERROR(__xludf.DUMMYFUNCTION("""COMPUTED_VALUE"""),"HS")</f>
        <v>HS</v>
      </c>
      <c r="C1294" s="1" t="str">
        <f t="shared" si="1"/>
        <v>No</v>
      </c>
      <c r="D1294" s="1">
        <v>0.0</v>
      </c>
    </row>
    <row r="1295" ht="15.75" customHeight="1">
      <c r="A1295" s="1" t="str">
        <f>IFERROR(__xludf.DUMMYFUNCTION("""COMPUTED_VALUE"""),"Jordan Buchert")</f>
        <v>Jordan Buchert</v>
      </c>
      <c r="B1295" s="1" t="str">
        <f>IFERROR(__xludf.DUMMYFUNCTION("""COMPUTED_VALUE"""),"HS")</f>
        <v>HS</v>
      </c>
      <c r="C1295" s="1" t="str">
        <f t="shared" si="1"/>
        <v>No</v>
      </c>
      <c r="D1295" s="1">
        <v>0.0</v>
      </c>
    </row>
    <row r="1296" ht="15.75" customHeight="1">
      <c r="A1296" s="1" t="str">
        <f>IFERROR(__xludf.DUMMYFUNCTION("""COMPUTED_VALUE"""),"Ben Buchert")</f>
        <v>Ben Buchert</v>
      </c>
      <c r="B1296" s="1" t="str">
        <f>IFERROR(__xludf.DUMMYFUNCTION("""COMPUTED_VALUE"""),"HS")</f>
        <v>HS</v>
      </c>
      <c r="C1296" s="1" t="str">
        <f t="shared" si="1"/>
        <v>No</v>
      </c>
      <c r="D1296" s="1">
        <v>0.0</v>
      </c>
    </row>
    <row r="1297" ht="15.75" customHeight="1">
      <c r="A1297" s="1" t="str">
        <f>IFERROR(__xludf.DUMMYFUNCTION("""COMPUTED_VALUE"""),"Sam Buchert")</f>
        <v>Sam Buchert</v>
      </c>
      <c r="B1297" s="1" t="str">
        <f>IFERROR(__xludf.DUMMYFUNCTION("""COMPUTED_VALUE"""),"MS")</f>
        <v>MS</v>
      </c>
      <c r="C1297" s="1" t="str">
        <f t="shared" si="1"/>
        <v>No</v>
      </c>
      <c r="D1297" s="1">
        <v>0.0</v>
      </c>
    </row>
    <row r="1298" ht="15.75" customHeight="1">
      <c r="A1298" s="1" t="str">
        <f>IFERROR(__xludf.DUMMYFUNCTION("""COMPUTED_VALUE"""),"Maylie Kabore")</f>
        <v>Maylie Kabore</v>
      </c>
      <c r="B1298" s="1" t="str">
        <f>IFERROR(__xludf.DUMMYFUNCTION("""COMPUTED_VALUE"""),"MS")</f>
        <v>MS</v>
      </c>
      <c r="C1298" s="1" t="str">
        <f t="shared" si="1"/>
        <v>No</v>
      </c>
      <c r="D1298" s="1">
        <v>0.0</v>
      </c>
    </row>
    <row r="1299" ht="15.75" customHeight="1">
      <c r="A1299" s="1" t="str">
        <f>IFERROR(__xludf.DUMMYFUNCTION("""COMPUTED_VALUE"""),"Karson Kabore")</f>
        <v>Karson Kabore</v>
      </c>
      <c r="B1299" s="1" t="str">
        <f>IFERROR(__xludf.DUMMYFUNCTION("""COMPUTED_VALUE"""),"L2")</f>
        <v>L2</v>
      </c>
      <c r="C1299" s="1" t="str">
        <f t="shared" si="1"/>
        <v>No</v>
      </c>
      <c r="D1299" s="1">
        <v>0.0</v>
      </c>
    </row>
    <row r="1300" ht="15.75" customHeight="1">
      <c r="A1300" s="1" t="str">
        <f>IFERROR(__xludf.DUMMYFUNCTION("""COMPUTED_VALUE"""),"Carter Kabore")</f>
        <v>Carter Kabore</v>
      </c>
      <c r="B1300" s="1" t="str">
        <f>IFERROR(__xludf.DUMMYFUNCTION("""COMPUTED_VALUE"""),"L1")</f>
        <v>L1</v>
      </c>
      <c r="C1300" s="1" t="str">
        <f t="shared" si="1"/>
        <v>No</v>
      </c>
      <c r="D1300" s="1">
        <v>0.0</v>
      </c>
    </row>
    <row r="1301" ht="15.75" customHeight="1">
      <c r="A1301" s="1" t="str">
        <f>IFERROR(__xludf.DUMMYFUNCTION("""COMPUTED_VALUE"""),"K R")</f>
        <v>K R</v>
      </c>
      <c r="B1301" s="1" t="str">
        <f>IFERROR(__xludf.DUMMYFUNCTION("""COMPUTED_VALUE"""),"L2")</f>
        <v>L2</v>
      </c>
      <c r="C1301" s="1" t="str">
        <f t="shared" si="1"/>
        <v>No</v>
      </c>
      <c r="D1301" s="1">
        <v>0.0</v>
      </c>
    </row>
    <row r="1302" ht="15.75" customHeight="1">
      <c r="A1302" s="1" t="str">
        <f>IFERROR(__xludf.DUMMYFUNCTION("""COMPUTED_VALUE"""),"Lauren Anderson")</f>
        <v>Lauren Anderson</v>
      </c>
      <c r="B1302" s="1" t="str">
        <f>IFERROR(__xludf.DUMMYFUNCTION("""COMPUTED_VALUE"""),"MS")</f>
        <v>MS</v>
      </c>
      <c r="C1302" s="1" t="str">
        <f t="shared" si="1"/>
        <v>No</v>
      </c>
      <c r="D1302" s="1">
        <v>0.0</v>
      </c>
    </row>
    <row r="1303" ht="15.75" customHeight="1">
      <c r="A1303" s="1" t="str">
        <f>IFERROR(__xludf.DUMMYFUNCTION("""COMPUTED_VALUE"""),"Summer-joy Davis")</f>
        <v>Summer-joy Davis</v>
      </c>
      <c r="B1303" s="1" t="str">
        <f>IFERROR(__xludf.DUMMYFUNCTION("""COMPUTED_VALUE"""),"L1")</f>
        <v>L1</v>
      </c>
      <c r="C1303" s="1" t="str">
        <f t="shared" si="1"/>
        <v>No</v>
      </c>
      <c r="D1303" s="1">
        <v>0.0</v>
      </c>
    </row>
    <row r="1304" ht="15.75" customHeight="1">
      <c r="A1304" s="1" t="str">
        <f>IFERROR(__xludf.DUMMYFUNCTION("""COMPUTED_VALUE"""),"Bentley Jones")</f>
        <v>Bentley Jones</v>
      </c>
      <c r="B1304" s="1" t="str">
        <f>IFERROR(__xludf.DUMMYFUNCTION("""COMPUTED_VALUE"""),"L1")</f>
        <v>L1</v>
      </c>
      <c r="C1304" s="1" t="str">
        <f t="shared" si="1"/>
        <v>No</v>
      </c>
      <c r="D1304" s="1">
        <v>0.0</v>
      </c>
    </row>
    <row r="1305" ht="15.75" customHeight="1">
      <c r="A1305" s="1" t="str">
        <f>IFERROR(__xludf.DUMMYFUNCTION("""COMPUTED_VALUE"""),"Ella Jamal")</f>
        <v>Ella Jamal</v>
      </c>
      <c r="B1305" s="1" t="str">
        <f>IFERROR(__xludf.DUMMYFUNCTION("""COMPUTED_VALUE"""),"MS")</f>
        <v>MS</v>
      </c>
      <c r="C1305" s="1" t="str">
        <f t="shared" si="1"/>
        <v>No</v>
      </c>
      <c r="D1305" s="1">
        <v>0.0</v>
      </c>
    </row>
    <row r="1306" ht="15.75" customHeight="1">
      <c r="A1306" s="1" t="str">
        <f>IFERROR(__xludf.DUMMYFUNCTION("""COMPUTED_VALUE"""),"J Getahun Buchert")</f>
        <v>J Getahun Buchert</v>
      </c>
      <c r="B1306" s="1" t="str">
        <f>IFERROR(__xludf.DUMMYFUNCTION("""COMPUTED_VALUE"""),"MS")</f>
        <v>MS</v>
      </c>
      <c r="C1306" s="1" t="str">
        <f t="shared" si="1"/>
        <v>No</v>
      </c>
      <c r="D1306" s="1">
        <v>0.0</v>
      </c>
    </row>
    <row r="1307" ht="15.75" customHeight="1">
      <c r="A1307" s="1" t="str">
        <f>IFERROR(__xludf.DUMMYFUNCTION("""COMPUTED_VALUE"""),"Andrew Bancroft")</f>
        <v>Andrew Bancroft</v>
      </c>
      <c r="B1307" s="1" t="str">
        <f>IFERROR(__xludf.DUMMYFUNCTION("""COMPUTED_VALUE"""),"L2")</f>
        <v>L2</v>
      </c>
      <c r="C1307" s="1" t="str">
        <f t="shared" si="1"/>
        <v>No</v>
      </c>
      <c r="D1307" s="1">
        <v>0.0</v>
      </c>
    </row>
    <row r="1308" ht="15.75" customHeight="1">
      <c r="A1308" s="1" t="str">
        <f>IFERROR(__xludf.DUMMYFUNCTION("""COMPUTED_VALUE"""),"Kennedy Teykl")</f>
        <v>Kennedy Teykl</v>
      </c>
      <c r="B1308" s="1" t="str">
        <f>IFERROR(__xludf.DUMMYFUNCTION("""COMPUTED_VALUE"""),"L1")</f>
        <v>L1</v>
      </c>
      <c r="C1308" s="1" t="str">
        <f t="shared" si="1"/>
        <v>No</v>
      </c>
      <c r="D1308" s="1">
        <v>0.0</v>
      </c>
    </row>
    <row r="1309" ht="15.75" customHeight="1">
      <c r="A1309" s="1" t="str">
        <f>IFERROR(__xludf.DUMMYFUNCTION("""COMPUTED_VALUE"""),"Eva Nobles")</f>
        <v>Eva Nobles</v>
      </c>
      <c r="B1309" s="1" t="str">
        <f>IFERROR(__xludf.DUMMYFUNCTION("""COMPUTED_VALUE"""),"L2")</f>
        <v>L2</v>
      </c>
      <c r="C1309" s="1" t="str">
        <f t="shared" si="1"/>
        <v>No</v>
      </c>
      <c r="D1309" s="1">
        <v>0.0</v>
      </c>
    </row>
    <row r="1310" ht="15.75" customHeight="1">
      <c r="A1310" s="1" t="str">
        <f>IFERROR(__xludf.DUMMYFUNCTION("""COMPUTED_VALUE"""),"Emma Stuckey")</f>
        <v>Emma Stuckey</v>
      </c>
      <c r="B1310" s="1" t="str">
        <f>IFERROR(__xludf.DUMMYFUNCTION("""COMPUTED_VALUE"""),"L2")</f>
        <v>L2</v>
      </c>
      <c r="C1310" s="1" t="str">
        <f t="shared" si="1"/>
        <v>No</v>
      </c>
      <c r="D1310" s="1">
        <v>0.0</v>
      </c>
    </row>
    <row r="1311" ht="15.75" customHeight="1">
      <c r="A1311" s="1" t="str">
        <f>IFERROR(__xludf.DUMMYFUNCTION("""COMPUTED_VALUE"""),"Audrey Yurich")</f>
        <v>Audrey Yurich</v>
      </c>
      <c r="B1311" s="1" t="str">
        <f>IFERROR(__xludf.DUMMYFUNCTION("""COMPUTED_VALUE"""),"MS")</f>
        <v>MS</v>
      </c>
      <c r="C1311" s="1" t="str">
        <f t="shared" si="1"/>
        <v>No</v>
      </c>
      <c r="D1311" s="1">
        <v>0.0</v>
      </c>
    </row>
    <row r="1312" ht="15.75" customHeight="1">
      <c r="A1312" s="1" t="str">
        <f>IFERROR(__xludf.DUMMYFUNCTION("""COMPUTED_VALUE"""),"Stephen Yurich")</f>
        <v>Stephen Yurich</v>
      </c>
      <c r="B1312" s="1" t="str">
        <f>IFERROR(__xludf.DUMMYFUNCTION("""COMPUTED_VALUE"""),"HS")</f>
        <v>HS</v>
      </c>
      <c r="C1312" s="1" t="str">
        <f t="shared" si="1"/>
        <v>No</v>
      </c>
      <c r="D1312" s="1">
        <v>0.0</v>
      </c>
    </row>
    <row r="1313" ht="15.75" customHeight="1">
      <c r="A1313" s="1" t="str">
        <f>IFERROR(__xludf.DUMMYFUNCTION("""COMPUTED_VALUE"""),"Grace Allen")</f>
        <v>Grace Allen</v>
      </c>
      <c r="B1313" s="1" t="str">
        <f>IFERROR(__xludf.DUMMYFUNCTION("""COMPUTED_VALUE"""),"L1")</f>
        <v>L1</v>
      </c>
      <c r="C1313" s="1" t="str">
        <f t="shared" si="1"/>
        <v>No</v>
      </c>
      <c r="D1313" s="1">
        <v>0.0</v>
      </c>
    </row>
    <row r="1314" ht="15.75" customHeight="1">
      <c r="A1314" s="1" t="str">
        <f>IFERROR(__xludf.DUMMYFUNCTION("""COMPUTED_VALUE"""),"Hadley Wilson")</f>
        <v>Hadley Wilson</v>
      </c>
      <c r="B1314" s="1" t="str">
        <f>IFERROR(__xludf.DUMMYFUNCTION("""COMPUTED_VALUE"""),"L2")</f>
        <v>L2</v>
      </c>
      <c r="C1314" s="1" t="str">
        <f t="shared" si="1"/>
        <v>No</v>
      </c>
      <c r="D1314" s="1">
        <v>0.0</v>
      </c>
    </row>
    <row r="1315" ht="15.75" customHeight="1">
      <c r="A1315" s="1" t="str">
        <f>IFERROR(__xludf.DUMMYFUNCTION("""COMPUTED_VALUE"""),"Hugo Chaloner")</f>
        <v>Hugo Chaloner</v>
      </c>
      <c r="B1315" s="1" t="str">
        <f>IFERROR(__xludf.DUMMYFUNCTION("""COMPUTED_VALUE"""),"MS")</f>
        <v>MS</v>
      </c>
      <c r="C1315" s="1" t="str">
        <f t="shared" si="1"/>
        <v>No</v>
      </c>
      <c r="D1315" s="1">
        <v>0.0</v>
      </c>
    </row>
    <row r="1316" ht="15.75" customHeight="1">
      <c r="A1316" s="1" t="str">
        <f>IFERROR(__xludf.DUMMYFUNCTION("""COMPUTED_VALUE"""),"Perrin Wilson")</f>
        <v>Perrin Wilson</v>
      </c>
      <c r="B1316" s="1" t="str">
        <f>IFERROR(__xludf.DUMMYFUNCTION("""COMPUTED_VALUE"""),"L2")</f>
        <v>L2</v>
      </c>
      <c r="C1316" s="1" t="str">
        <f t="shared" si="1"/>
        <v>No</v>
      </c>
      <c r="D1316" s="1">
        <v>0.0</v>
      </c>
    </row>
    <row r="1317" ht="15.75" customHeight="1">
      <c r="A1317" s="1" t="str">
        <f>IFERROR(__xludf.DUMMYFUNCTION("""COMPUTED_VALUE"""),"Sienna Chaloner")</f>
        <v>Sienna Chaloner</v>
      </c>
      <c r="B1317" s="1" t="str">
        <f>IFERROR(__xludf.DUMMYFUNCTION("""COMPUTED_VALUE"""),"L1")</f>
        <v>L1</v>
      </c>
      <c r="C1317" s="1" t="str">
        <f t="shared" si="1"/>
        <v>No</v>
      </c>
      <c r="D1317" s="1">
        <v>0.0</v>
      </c>
    </row>
    <row r="1318" ht="15.75" customHeight="1">
      <c r="A1318" s="1" t="str">
        <f>IFERROR(__xludf.DUMMYFUNCTION("""COMPUTED_VALUE"""),"Mac Chaloner")</f>
        <v>Mac Chaloner</v>
      </c>
      <c r="B1318" s="1" t="str">
        <f>IFERROR(__xludf.DUMMYFUNCTION("""COMPUTED_VALUE"""),"LL")</f>
        <v>LL</v>
      </c>
      <c r="C1318" s="1" t="str">
        <f t="shared" si="1"/>
        <v>No</v>
      </c>
      <c r="D1318" s="1">
        <v>0.0</v>
      </c>
    </row>
    <row r="1319" ht="15.75" customHeight="1">
      <c r="A1319" s="1" t="str">
        <f>IFERROR(__xludf.DUMMYFUNCTION("""COMPUTED_VALUE"""),"Reece Throgmartin")</f>
        <v>Reece Throgmartin</v>
      </c>
      <c r="B1319" s="1" t="str">
        <f>IFERROR(__xludf.DUMMYFUNCTION("""COMPUTED_VALUE"""),"HS")</f>
        <v>HS</v>
      </c>
      <c r="C1319" s="1" t="str">
        <f t="shared" si="1"/>
        <v>No</v>
      </c>
      <c r="D1319" s="1">
        <v>0.0</v>
      </c>
    </row>
    <row r="1320" ht="15.75" customHeight="1">
      <c r="A1320" s="1" t="str">
        <f>IFERROR(__xludf.DUMMYFUNCTION("""COMPUTED_VALUE"""),"Adam Andemariam")</f>
        <v>Adam Andemariam</v>
      </c>
      <c r="B1320" s="1" t="str">
        <f>IFERROR(__xludf.DUMMYFUNCTION("""COMPUTED_VALUE"""),"MS")</f>
        <v>MS</v>
      </c>
      <c r="C1320" s="1" t="str">
        <f t="shared" si="1"/>
        <v>No</v>
      </c>
      <c r="D1320" s="1">
        <v>0.0</v>
      </c>
    </row>
    <row r="1321" ht="15.75" customHeight="1">
      <c r="A1321" s="1" t="str">
        <f>IFERROR(__xludf.DUMMYFUNCTION("""COMPUTED_VALUE"""),"Sophia Andemariam")</f>
        <v>Sophia Andemariam</v>
      </c>
      <c r="B1321" s="1" t="str">
        <f>IFERROR(__xludf.DUMMYFUNCTION("""COMPUTED_VALUE"""),"L1")</f>
        <v>L1</v>
      </c>
      <c r="C1321" s="1" t="str">
        <f t="shared" si="1"/>
        <v>No</v>
      </c>
      <c r="D1321" s="1">
        <v>0.0</v>
      </c>
    </row>
    <row r="1322" ht="15.75" customHeight="1">
      <c r="A1322" s="1" t="str">
        <f>IFERROR(__xludf.DUMMYFUNCTION("""COMPUTED_VALUE"""),"Elle Throgmartin")</f>
        <v>Elle Throgmartin</v>
      </c>
      <c r="B1322" s="1" t="str">
        <f>IFERROR(__xludf.DUMMYFUNCTION("""COMPUTED_VALUE"""),"MS")</f>
        <v>MS</v>
      </c>
      <c r="C1322" s="1" t="str">
        <f t="shared" si="1"/>
        <v>No</v>
      </c>
      <c r="D1322" s="1">
        <v>0.0</v>
      </c>
    </row>
    <row r="1323" ht="15.75" customHeight="1">
      <c r="A1323" s="1" t="str">
        <f>IFERROR(__xludf.DUMMYFUNCTION("""COMPUTED_VALUE"""),"Karis Rhodes")</f>
        <v>Karis Rhodes</v>
      </c>
      <c r="B1323" s="1" t="str">
        <f>IFERROR(__xludf.DUMMYFUNCTION("""COMPUTED_VALUE"""),"MS")</f>
        <v>MS</v>
      </c>
      <c r="C1323" s="1" t="str">
        <f t="shared" si="1"/>
        <v>No</v>
      </c>
      <c r="D1323" s="1">
        <v>0.0</v>
      </c>
    </row>
    <row r="1324" ht="15.75" customHeight="1">
      <c r="A1324" s="1" t="str">
        <f>IFERROR(__xludf.DUMMYFUNCTION("""COMPUTED_VALUE"""),"Kingston Poon")</f>
        <v>Kingston Poon</v>
      </c>
      <c r="B1324" s="1" t="str">
        <f>IFERROR(__xludf.DUMMYFUNCTION("""COMPUTED_VALUE"""),"L2")</f>
        <v>L2</v>
      </c>
      <c r="C1324" s="1" t="str">
        <f t="shared" si="1"/>
        <v>No</v>
      </c>
      <c r="D1324" s="1">
        <v>0.0</v>
      </c>
    </row>
    <row r="1325" ht="15.75" customHeight="1">
      <c r="A1325" s="1" t="str">
        <f>IFERROR(__xludf.DUMMYFUNCTION("""COMPUTED_VALUE"""),"Ben Binstock")</f>
        <v>Ben Binstock</v>
      </c>
      <c r="B1325" s="1" t="str">
        <f>IFERROR(__xludf.DUMMYFUNCTION("""COMPUTED_VALUE"""),"MS")</f>
        <v>MS</v>
      </c>
      <c r="C1325" s="1" t="str">
        <f t="shared" si="1"/>
        <v>No</v>
      </c>
      <c r="D1325" s="1">
        <v>0.0</v>
      </c>
    </row>
    <row r="1326" ht="15.75" customHeight="1">
      <c r="A1326" s="1" t="str">
        <f>IFERROR(__xludf.DUMMYFUNCTION("""COMPUTED_VALUE"""),"Vivienne Poon")</f>
        <v>Vivienne Poon</v>
      </c>
      <c r="B1326" s="1" t="str">
        <f>IFERROR(__xludf.DUMMYFUNCTION("""COMPUTED_VALUE"""),"L1")</f>
        <v>L1</v>
      </c>
      <c r="C1326" s="1" t="str">
        <f t="shared" si="1"/>
        <v>No</v>
      </c>
      <c r="D1326" s="1">
        <v>0.0</v>
      </c>
    </row>
    <row r="1327" ht="15.75" customHeight="1">
      <c r="A1327" s="1" t="str">
        <f>IFERROR(__xludf.DUMMYFUNCTION("""COMPUTED_VALUE"""),"Dewey Kelly")</f>
        <v>Dewey Kelly</v>
      </c>
      <c r="B1327" s="1" t="str">
        <f>IFERROR(__xludf.DUMMYFUNCTION("""COMPUTED_VALUE"""),"HS")</f>
        <v>HS</v>
      </c>
      <c r="C1327" s="1" t="str">
        <f t="shared" si="1"/>
        <v>No</v>
      </c>
      <c r="D1327" s="1">
        <v>0.0</v>
      </c>
    </row>
    <row r="1328" ht="15.75" customHeight="1">
      <c r="A1328" s="1" t="str">
        <f>IFERROR(__xludf.DUMMYFUNCTION("""COMPUTED_VALUE"""),"Aaron Siegel")</f>
        <v>Aaron Siegel</v>
      </c>
      <c r="B1328" s="1" t="str">
        <f>IFERROR(__xludf.DUMMYFUNCTION("""COMPUTED_VALUE"""),"L1")</f>
        <v>L1</v>
      </c>
      <c r="C1328" s="1" t="str">
        <f t="shared" si="1"/>
        <v>No</v>
      </c>
      <c r="D1328" s="1">
        <v>0.0</v>
      </c>
    </row>
    <row r="1329" ht="15.75" customHeight="1">
      <c r="A1329" s="1" t="str">
        <f>IFERROR(__xludf.DUMMYFUNCTION("""COMPUTED_VALUE"""),"Meg Siegel")</f>
        <v>Meg Siegel</v>
      </c>
      <c r="B1329" s="1" t="str">
        <f>IFERROR(__xludf.DUMMYFUNCTION("""COMPUTED_VALUE"""),"L1")</f>
        <v>L1</v>
      </c>
      <c r="C1329" s="1" t="str">
        <f t="shared" si="1"/>
        <v>No</v>
      </c>
      <c r="D1329" s="1">
        <v>0.0</v>
      </c>
    </row>
    <row r="1330" ht="15.75" customHeight="1">
      <c r="A1330" s="1" t="str">
        <f>IFERROR(__xludf.DUMMYFUNCTION("""COMPUTED_VALUE"""),"Evie Goel")</f>
        <v>Evie Goel</v>
      </c>
      <c r="B1330" s="1" t="str">
        <f>IFERROR(__xludf.DUMMYFUNCTION("""COMPUTED_VALUE"""),"L2")</f>
        <v>L2</v>
      </c>
      <c r="C1330" s="1" t="str">
        <f t="shared" si="1"/>
        <v>No</v>
      </c>
      <c r="D1330" s="1">
        <v>0.0</v>
      </c>
    </row>
    <row r="1331" ht="15.75" customHeight="1">
      <c r="A1331" s="1" t="str">
        <f>IFERROR(__xludf.DUMMYFUNCTION("""COMPUTED_VALUE"""),"James Plunkett")</f>
        <v>James Plunkett</v>
      </c>
      <c r="B1331" s="1" t="str">
        <f>IFERROR(__xludf.DUMMYFUNCTION("""COMPUTED_VALUE"""),"L2")</f>
        <v>L2</v>
      </c>
      <c r="C1331" s="1" t="str">
        <f t="shared" si="1"/>
        <v>No</v>
      </c>
      <c r="D1331" s="1">
        <v>0.0</v>
      </c>
    </row>
    <row r="1332" ht="15.75" customHeight="1">
      <c r="A1332" s="1" t="str">
        <f>IFERROR(__xludf.DUMMYFUNCTION("""COMPUTED_VALUE"""),"Eliza Plunkett")</f>
        <v>Eliza Plunkett</v>
      </c>
      <c r="B1332" s="1" t="str">
        <f>IFERROR(__xludf.DUMMYFUNCTION("""COMPUTED_VALUE"""),"L1")</f>
        <v>L1</v>
      </c>
      <c r="C1332" s="1" t="str">
        <f t="shared" si="1"/>
        <v>No</v>
      </c>
      <c r="D1332" s="1">
        <v>0.0</v>
      </c>
    </row>
    <row r="1333" ht="15.75" customHeight="1">
      <c r="A1333" s="1" t="str">
        <f>IFERROR(__xludf.DUMMYFUNCTION("""COMPUTED_VALUE"""),"Zahrah Rahim")</f>
        <v>Zahrah Rahim</v>
      </c>
      <c r="B1333" s="1" t="str">
        <f>IFERROR(__xludf.DUMMYFUNCTION("""COMPUTED_VALUE"""),"MS")</f>
        <v>MS</v>
      </c>
      <c r="C1333" s="1" t="str">
        <f t="shared" si="1"/>
        <v>No</v>
      </c>
      <c r="D1333" s="1">
        <v>0.0</v>
      </c>
    </row>
    <row r="1334" ht="15.75" customHeight="1">
      <c r="A1334" s="1" t="str">
        <f>IFERROR(__xludf.DUMMYFUNCTION("""COMPUTED_VALUE"""),"Arshag Kevorkian")</f>
        <v>Arshag Kevorkian</v>
      </c>
      <c r="B1334" s="1" t="str">
        <f>IFERROR(__xludf.DUMMYFUNCTION("""COMPUTED_VALUE"""),"HS")</f>
        <v>HS</v>
      </c>
      <c r="C1334" s="1" t="str">
        <f t="shared" si="1"/>
        <v>No</v>
      </c>
      <c r="D1334" s="1">
        <v>0.0</v>
      </c>
    </row>
    <row r="1335" ht="15.75" customHeight="1">
      <c r="A1335" s="1" t="str">
        <f>IFERROR(__xludf.DUMMYFUNCTION("""COMPUTED_VALUE"""),"Yeremya Kevorkian")</f>
        <v>Yeremya Kevorkian</v>
      </c>
      <c r="B1335" s="1" t="str">
        <f>IFERROR(__xludf.DUMMYFUNCTION("""COMPUTED_VALUE"""),"MS")</f>
        <v>MS</v>
      </c>
      <c r="C1335" s="1" t="str">
        <f t="shared" si="1"/>
        <v>No</v>
      </c>
      <c r="D1335" s="1">
        <v>0.0</v>
      </c>
    </row>
    <row r="1336" ht="15.75" customHeight="1">
      <c r="A1336" s="1" t="str">
        <f>IFERROR(__xludf.DUMMYFUNCTION("""COMPUTED_VALUE"""),"Lexa Rodeski")</f>
        <v>Lexa Rodeski</v>
      </c>
      <c r="B1336" s="1" t="str">
        <f>IFERROR(__xludf.DUMMYFUNCTION("""COMPUTED_VALUE"""),"L1")</f>
        <v>L1</v>
      </c>
      <c r="C1336" s="1" t="str">
        <f t="shared" si="1"/>
        <v>No</v>
      </c>
      <c r="D1336" s="1">
        <v>0.0</v>
      </c>
    </row>
    <row r="1337" ht="15.75" customHeight="1">
      <c r="A1337" s="1" t="str">
        <f>IFERROR(__xludf.DUMMYFUNCTION("""COMPUTED_VALUE"""),"Mary Virginia Streib")</f>
        <v>Mary Virginia Streib</v>
      </c>
      <c r="B1337" s="1" t="str">
        <f>IFERROR(__xludf.DUMMYFUNCTION("""COMPUTED_VALUE"""),"L1")</f>
        <v>L1</v>
      </c>
      <c r="C1337" s="1" t="str">
        <f t="shared" si="1"/>
        <v>No</v>
      </c>
      <c r="D1337" s="1">
        <v>0.0</v>
      </c>
    </row>
    <row r="1338" ht="15.75" customHeight="1">
      <c r="A1338" s="1" t="str">
        <f>IFERROR(__xludf.DUMMYFUNCTION("""COMPUTED_VALUE"""),"Max Mccullough")</f>
        <v>Max Mccullough</v>
      </c>
      <c r="B1338" s="1" t="str">
        <f>IFERROR(__xludf.DUMMYFUNCTION("""COMPUTED_VALUE"""),"MS")</f>
        <v>MS</v>
      </c>
      <c r="C1338" s="1" t="str">
        <f t="shared" si="1"/>
        <v>No</v>
      </c>
      <c r="D1338" s="1">
        <v>0.0</v>
      </c>
    </row>
    <row r="1339" ht="15.75" customHeight="1">
      <c r="A1339" s="1" t="str">
        <f>IFERROR(__xludf.DUMMYFUNCTION("""COMPUTED_VALUE"""),"PJ McCullough")</f>
        <v>PJ McCullough</v>
      </c>
      <c r="B1339" s="1" t="str">
        <f>IFERROR(__xludf.DUMMYFUNCTION("""COMPUTED_VALUE"""),"L1")</f>
        <v>L1</v>
      </c>
      <c r="C1339" s="1" t="str">
        <f t="shared" si="1"/>
        <v>No</v>
      </c>
      <c r="D1339" s="1">
        <v>0.0</v>
      </c>
    </row>
    <row r="1340" ht="15.75" customHeight="1">
      <c r="A1340" s="1" t="str">
        <f>IFERROR(__xludf.DUMMYFUNCTION("""COMPUTED_VALUE"""),"Wyatt McCullough")</f>
        <v>Wyatt McCullough</v>
      </c>
      <c r="B1340" s="1" t="str">
        <f>IFERROR(__xludf.DUMMYFUNCTION("""COMPUTED_VALUE"""),"LL")</f>
        <v>LL</v>
      </c>
      <c r="C1340" s="1" t="str">
        <f t="shared" si="1"/>
        <v>No</v>
      </c>
      <c r="D1340" s="1">
        <v>0.0</v>
      </c>
    </row>
    <row r="1341" ht="15.75" customHeight="1">
      <c r="A1341" s="1" t="str">
        <f>IFERROR(__xludf.DUMMYFUNCTION("""COMPUTED_VALUE"""),"christian anderson")</f>
        <v>christian anderson</v>
      </c>
      <c r="B1341" s="1" t="str">
        <f>IFERROR(__xludf.DUMMYFUNCTION("""COMPUTED_VALUE"""),"L1")</f>
        <v>L1</v>
      </c>
      <c r="C1341" s="1" t="str">
        <f t="shared" si="1"/>
        <v>No</v>
      </c>
      <c r="D1341" s="1">
        <v>0.0</v>
      </c>
    </row>
    <row r="1342" ht="15.75" customHeight="1">
      <c r="A1342" s="1" t="str">
        <f>IFERROR(__xludf.DUMMYFUNCTION("""COMPUTED_VALUE"""),"Walter Martin")</f>
        <v>Walter Martin</v>
      </c>
      <c r="B1342" s="1" t="str">
        <f>IFERROR(__xludf.DUMMYFUNCTION("""COMPUTED_VALUE"""),"LL")</f>
        <v>LL</v>
      </c>
      <c r="C1342" s="1" t="str">
        <f t="shared" si="1"/>
        <v>No</v>
      </c>
      <c r="D1342" s="1">
        <v>0.0</v>
      </c>
    </row>
    <row r="1343" ht="15.75" customHeight="1">
      <c r="A1343" s="1" t="str">
        <f>IFERROR(__xludf.DUMMYFUNCTION("""COMPUTED_VALUE"""),"Lucia Lawrence")</f>
        <v>Lucia Lawrence</v>
      </c>
      <c r="B1343" s="1" t="str">
        <f>IFERROR(__xludf.DUMMYFUNCTION("""COMPUTED_VALUE"""),"L1")</f>
        <v>L1</v>
      </c>
      <c r="C1343" s="1" t="str">
        <f t="shared" si="1"/>
        <v>No</v>
      </c>
      <c r="D1343" s="1">
        <v>0.0</v>
      </c>
    </row>
    <row r="1344" ht="15.75" customHeight="1">
      <c r="A1344" s="1" t="str">
        <f>IFERROR(__xludf.DUMMYFUNCTION("""COMPUTED_VALUE"""),"Katie Lawrence")</f>
        <v>Katie Lawrence</v>
      </c>
      <c r="B1344" s="1" t="str">
        <f>IFERROR(__xludf.DUMMYFUNCTION("""COMPUTED_VALUE"""),"MS")</f>
        <v>MS</v>
      </c>
      <c r="C1344" s="1" t="str">
        <f t="shared" si="1"/>
        <v>No</v>
      </c>
      <c r="D1344" s="1">
        <v>0.0</v>
      </c>
    </row>
    <row r="1345" ht="15.75" customHeight="1">
      <c r="A1345" s="1" t="str">
        <f>IFERROR(__xludf.DUMMYFUNCTION("""COMPUTED_VALUE"""),"Genna Lawrence")</f>
        <v>Genna Lawrence</v>
      </c>
      <c r="B1345" s="1" t="str">
        <f>IFERROR(__xludf.DUMMYFUNCTION("""COMPUTED_VALUE"""),"MS")</f>
        <v>MS</v>
      </c>
      <c r="C1345" s="1" t="str">
        <f t="shared" si="1"/>
        <v>No</v>
      </c>
      <c r="D1345" s="1">
        <v>0.0</v>
      </c>
    </row>
    <row r="1346" ht="15.75" customHeight="1">
      <c r="A1346" s="1" t="str">
        <f>IFERROR(__xludf.DUMMYFUNCTION("""COMPUTED_VALUE"""),"Forrest Brookmire")</f>
        <v>Forrest Brookmire</v>
      </c>
      <c r="B1346" s="1" t="str">
        <f>IFERROR(__xludf.DUMMYFUNCTION("""COMPUTED_VALUE"""),"L2")</f>
        <v>L2</v>
      </c>
      <c r="C1346" s="1" t="str">
        <f t="shared" si="1"/>
        <v>No</v>
      </c>
      <c r="D1346" s="1">
        <v>0.0</v>
      </c>
    </row>
    <row r="1347" ht="15.75" customHeight="1">
      <c r="A1347" s="1" t="str">
        <f>IFERROR(__xludf.DUMMYFUNCTION("""COMPUTED_VALUE"""),"Aizah Abbasi")</f>
        <v>Aizah Abbasi</v>
      </c>
      <c r="B1347" s="1" t="str">
        <f>IFERROR(__xludf.DUMMYFUNCTION("""COMPUTED_VALUE"""),"L2")</f>
        <v>L2</v>
      </c>
      <c r="C1347" s="1" t="str">
        <f t="shared" si="1"/>
        <v>No</v>
      </c>
      <c r="D1347" s="1">
        <v>0.0</v>
      </c>
    </row>
    <row r="1348" ht="15.75" customHeight="1">
      <c r="A1348" s="1" t="str">
        <f>IFERROR(__xludf.DUMMYFUNCTION("""COMPUTED_VALUE"""),"Jacob Sawmelle")</f>
        <v>Jacob Sawmelle</v>
      </c>
      <c r="B1348" s="1" t="str">
        <f>IFERROR(__xludf.DUMMYFUNCTION("""COMPUTED_VALUE"""),"HS")</f>
        <v>HS</v>
      </c>
      <c r="C1348" s="1" t="str">
        <f t="shared" si="1"/>
        <v>No</v>
      </c>
      <c r="D1348" s="1">
        <v>0.0</v>
      </c>
    </row>
    <row r="1349" ht="15.75" customHeight="1">
      <c r="A1349" s="1" t="str">
        <f>IFERROR(__xludf.DUMMYFUNCTION("""COMPUTED_VALUE"""),"Patrick Wendler")</f>
        <v>Patrick Wendler</v>
      </c>
      <c r="B1349" s="1" t="str">
        <f>IFERROR(__xludf.DUMMYFUNCTION("""COMPUTED_VALUE"""),"HS")</f>
        <v>HS</v>
      </c>
      <c r="C1349" s="1" t="str">
        <f t="shared" si="1"/>
        <v>No</v>
      </c>
      <c r="D1349" s="1">
        <v>0.0</v>
      </c>
    </row>
    <row r="1350" ht="15.75" customHeight="1">
      <c r="A1350" s="1" t="str">
        <f>IFERROR(__xludf.DUMMYFUNCTION("""COMPUTED_VALUE"""),"Ansell Ly")</f>
        <v>Ansell Ly</v>
      </c>
      <c r="B1350" s="1" t="str">
        <f>IFERROR(__xludf.DUMMYFUNCTION("""COMPUTED_VALUE"""),"L1")</f>
        <v>L1</v>
      </c>
      <c r="C1350" s="1" t="str">
        <f t="shared" si="1"/>
        <v>No</v>
      </c>
      <c r="D1350" s="1">
        <v>0.0</v>
      </c>
    </row>
    <row r="1351" ht="15.75" customHeight="1">
      <c r="A1351" s="1" t="str">
        <f>IFERROR(__xludf.DUMMYFUNCTION("""COMPUTED_VALUE"""),"Gabi Ferraz de Andrade")</f>
        <v>Gabi Ferraz de Andrade</v>
      </c>
      <c r="B1351" s="1" t="str">
        <f>IFERROR(__xludf.DUMMYFUNCTION("""COMPUTED_VALUE"""),"L1")</f>
        <v>L1</v>
      </c>
      <c r="C1351" s="1" t="str">
        <f t="shared" si="1"/>
        <v>No</v>
      </c>
      <c r="D1351" s="1">
        <v>0.0</v>
      </c>
    </row>
    <row r="1352" ht="15.75" customHeight="1">
      <c r="A1352" s="1" t="str">
        <f>IFERROR(__xludf.DUMMYFUNCTION("""COMPUTED_VALUE"""),"Rex Kraljevich")</f>
        <v>Rex Kraljevich</v>
      </c>
      <c r="B1352" s="1" t="str">
        <f>IFERROR(__xludf.DUMMYFUNCTION("""COMPUTED_VALUE"""),"L1")</f>
        <v>L1</v>
      </c>
      <c r="C1352" s="1" t="str">
        <f t="shared" si="1"/>
        <v>No</v>
      </c>
      <c r="D1352" s="1">
        <v>0.0</v>
      </c>
    </row>
    <row r="1353" ht="15.75" customHeight="1">
      <c r="A1353" s="1" t="str">
        <f>IFERROR(__xludf.DUMMYFUNCTION("""COMPUTED_VALUE"""),"Junaid Ekram")</f>
        <v>Junaid Ekram</v>
      </c>
      <c r="B1353" s="1" t="str">
        <f>IFERROR(__xludf.DUMMYFUNCTION("""COMPUTED_VALUE"""),"HS")</f>
        <v>HS</v>
      </c>
      <c r="C1353" s="1" t="str">
        <f t="shared" si="1"/>
        <v>No</v>
      </c>
      <c r="D1353" s="1">
        <v>0.0</v>
      </c>
    </row>
    <row r="1354" ht="15.75" customHeight="1">
      <c r="A1354" s="1" t="str">
        <f>IFERROR(__xludf.DUMMYFUNCTION("""COMPUTED_VALUE"""),"Zakariyya Ekram")</f>
        <v>Zakariyya Ekram</v>
      </c>
      <c r="B1354" s="1" t="str">
        <f>IFERROR(__xludf.DUMMYFUNCTION("""COMPUTED_VALUE"""),"MS")</f>
        <v>MS</v>
      </c>
      <c r="C1354" s="1" t="str">
        <f t="shared" si="1"/>
        <v>No</v>
      </c>
      <c r="D1354" s="1">
        <v>0.0</v>
      </c>
    </row>
    <row r="1355" ht="15.75" customHeight="1">
      <c r="A1355" s="1" t="str">
        <f>IFERROR(__xludf.DUMMYFUNCTION("""COMPUTED_VALUE"""),"Safiyya Ekram")</f>
        <v>Safiyya Ekram</v>
      </c>
      <c r="B1355" s="1" t="str">
        <f>IFERROR(__xludf.DUMMYFUNCTION("""COMPUTED_VALUE"""),"L2")</f>
        <v>L2</v>
      </c>
      <c r="C1355" s="1" t="str">
        <f t="shared" si="1"/>
        <v>No</v>
      </c>
      <c r="D1355" s="1">
        <v>0.0</v>
      </c>
    </row>
    <row r="1356" ht="15.75" customHeight="1">
      <c r="A1356" s="1" t="str">
        <f>IFERROR(__xludf.DUMMYFUNCTION("""COMPUTED_VALUE"""),"Greyson Kim")</f>
        <v>Greyson Kim</v>
      </c>
      <c r="B1356" s="1" t="str">
        <f>IFERROR(__xludf.DUMMYFUNCTION("""COMPUTED_VALUE"""),"L2")</f>
        <v>L2</v>
      </c>
      <c r="C1356" s="1" t="str">
        <f t="shared" si="1"/>
        <v>No</v>
      </c>
      <c r="D1356" s="1">
        <v>0.0</v>
      </c>
    </row>
    <row r="1357" ht="15.75" customHeight="1">
      <c r="A1357" s="1" t="str">
        <f>IFERROR(__xludf.DUMMYFUNCTION("""COMPUTED_VALUE"""),"Julea Che")</f>
        <v>Julea Che</v>
      </c>
      <c r="B1357" s="1" t="str">
        <f>IFERROR(__xludf.DUMMYFUNCTION("""COMPUTED_VALUE"""),"L2")</f>
        <v>L2</v>
      </c>
      <c r="C1357" s="1" t="str">
        <f t="shared" si="1"/>
        <v>No</v>
      </c>
      <c r="D1357" s="1">
        <v>0.0</v>
      </c>
    </row>
    <row r="1358" ht="15.75" customHeight="1">
      <c r="A1358" s="1" t="str">
        <f>IFERROR(__xludf.DUMMYFUNCTION("""COMPUTED_VALUE"""),"Elena Knudsen")</f>
        <v>Elena Knudsen</v>
      </c>
      <c r="B1358" s="1" t="str">
        <f>IFERROR(__xludf.DUMMYFUNCTION("""COMPUTED_VALUE"""),"MS")</f>
        <v>MS</v>
      </c>
      <c r="C1358" s="1" t="str">
        <f t="shared" si="1"/>
        <v>No</v>
      </c>
      <c r="D1358" s="1">
        <v>0.0</v>
      </c>
    </row>
    <row r="1359" ht="15.75" customHeight="1">
      <c r="A1359" s="1" t="str">
        <f>IFERROR(__xludf.DUMMYFUNCTION("""COMPUTED_VALUE"""),"Hektor Knudsen")</f>
        <v>Hektor Knudsen</v>
      </c>
      <c r="B1359" s="1" t="str">
        <f>IFERROR(__xludf.DUMMYFUNCTION("""COMPUTED_VALUE"""),"L2")</f>
        <v>L2</v>
      </c>
      <c r="C1359" s="1" t="str">
        <f t="shared" si="1"/>
        <v>No</v>
      </c>
      <c r="D1359" s="1">
        <v>0.0</v>
      </c>
    </row>
    <row r="1360" ht="15.75" customHeight="1">
      <c r="A1360" s="1" t="str">
        <f>IFERROR(__xludf.DUMMYFUNCTION("""COMPUTED_VALUE"""),"Ben Gleich")</f>
        <v>Ben Gleich</v>
      </c>
      <c r="B1360" s="1" t="str">
        <f>IFERROR(__xludf.DUMMYFUNCTION("""COMPUTED_VALUE"""),"MS")</f>
        <v>MS</v>
      </c>
      <c r="C1360" s="1" t="str">
        <f t="shared" si="1"/>
        <v>No</v>
      </c>
      <c r="D1360" s="1">
        <v>0.0</v>
      </c>
    </row>
    <row r="1361" ht="15.75" customHeight="1">
      <c r="A1361" s="1" t="str">
        <f>IFERROR(__xludf.DUMMYFUNCTION("""COMPUTED_VALUE"""),"Iggy Gleich")</f>
        <v>Iggy Gleich</v>
      </c>
      <c r="B1361" s="1" t="str">
        <f>IFERROR(__xludf.DUMMYFUNCTION("""COMPUTED_VALUE"""),"L2")</f>
        <v>L2</v>
      </c>
      <c r="C1361" s="1" t="str">
        <f t="shared" si="1"/>
        <v>No</v>
      </c>
      <c r="D1361" s="1">
        <v>0.0</v>
      </c>
    </row>
    <row r="1362" ht="15.75" customHeight="1">
      <c r="A1362" s="1" t="str">
        <f>IFERROR(__xludf.DUMMYFUNCTION("""COMPUTED_VALUE"""),"Easton Badillo")</f>
        <v>Easton Badillo</v>
      </c>
      <c r="B1362" s="1" t="str">
        <f>IFERROR(__xludf.DUMMYFUNCTION("""COMPUTED_VALUE"""),"L1")</f>
        <v>L1</v>
      </c>
      <c r="C1362" s="1" t="str">
        <f t="shared" si="1"/>
        <v>No</v>
      </c>
      <c r="D1362" s="1">
        <v>0.0</v>
      </c>
    </row>
    <row r="1363" ht="15.75" customHeight="1">
      <c r="A1363" s="1" t="str">
        <f>IFERROR(__xludf.DUMMYFUNCTION("""COMPUTED_VALUE"""),"Juliette Maupin")</f>
        <v>Juliette Maupin</v>
      </c>
      <c r="B1363" s="1" t="str">
        <f>IFERROR(__xludf.DUMMYFUNCTION("""COMPUTED_VALUE"""),"MS")</f>
        <v>MS</v>
      </c>
      <c r="C1363" s="1" t="str">
        <f t="shared" si="1"/>
        <v>No</v>
      </c>
      <c r="D1363" s="1">
        <v>0.0</v>
      </c>
    </row>
    <row r="1364" ht="15.75" customHeight="1">
      <c r="A1364" s="1" t="str">
        <f>IFERROR(__xludf.DUMMYFUNCTION("""COMPUTED_VALUE"""),"Charlotte Maupin")</f>
        <v>Charlotte Maupin</v>
      </c>
      <c r="B1364" s="1" t="str">
        <f>IFERROR(__xludf.DUMMYFUNCTION("""COMPUTED_VALUE"""),"L2")</f>
        <v>L2</v>
      </c>
      <c r="C1364" s="1" t="str">
        <f t="shared" si="1"/>
        <v>No</v>
      </c>
      <c r="D1364" s="1">
        <v>0.0</v>
      </c>
    </row>
    <row r="1365" ht="15.75" customHeight="1">
      <c r="A1365" s="1" t="str">
        <f>IFERROR(__xludf.DUMMYFUNCTION("""COMPUTED_VALUE"""),"Cyrus Kay")</f>
        <v>Cyrus Kay</v>
      </c>
      <c r="B1365" s="1" t="str">
        <f>IFERROR(__xludf.DUMMYFUNCTION("""COMPUTED_VALUE"""),"L1")</f>
        <v>L1</v>
      </c>
      <c r="C1365" s="1" t="str">
        <f t="shared" si="1"/>
        <v>No</v>
      </c>
      <c r="D1365" s="1">
        <v>0.0</v>
      </c>
    </row>
    <row r="1366" ht="15.75" customHeight="1">
      <c r="A1366" s="1" t="str">
        <f>IFERROR(__xludf.DUMMYFUNCTION("""COMPUTED_VALUE"""),"Cameron Kay")</f>
        <v>Cameron Kay</v>
      </c>
      <c r="B1366" s="1" t="str">
        <f>IFERROR(__xludf.DUMMYFUNCTION("""COMPUTED_VALUE"""),"L1")</f>
        <v>L1</v>
      </c>
      <c r="C1366" s="1" t="str">
        <f t="shared" si="1"/>
        <v>No</v>
      </c>
      <c r="D1366" s="1">
        <v>0.0</v>
      </c>
    </row>
    <row r="1367" ht="15.75" customHeight="1">
      <c r="A1367" s="1" t="str">
        <f>IFERROR(__xludf.DUMMYFUNCTION("""COMPUTED_VALUE"""),"Lulu collisson")</f>
        <v>Lulu collisson</v>
      </c>
      <c r="B1367" s="1" t="str">
        <f>IFERROR(__xludf.DUMMYFUNCTION("""COMPUTED_VALUE"""),"MS")</f>
        <v>MS</v>
      </c>
      <c r="C1367" s="1" t="str">
        <f t="shared" si="1"/>
        <v>No</v>
      </c>
      <c r="D1367" s="1">
        <v>0.0</v>
      </c>
    </row>
    <row r="1368" ht="15.75" customHeight="1">
      <c r="A1368" s="1" t="str">
        <f>IFERROR(__xludf.DUMMYFUNCTION("""COMPUTED_VALUE"""),"Aaron Brantner")</f>
        <v>Aaron Brantner</v>
      </c>
      <c r="B1368" s="1" t="str">
        <f>IFERROR(__xludf.DUMMYFUNCTION("""COMPUTED_VALUE"""),"L2")</f>
        <v>L2</v>
      </c>
      <c r="C1368" s="1" t="str">
        <f t="shared" si="1"/>
        <v>No</v>
      </c>
      <c r="D1368" s="1">
        <v>0.0</v>
      </c>
    </row>
    <row r="1369" ht="15.75" customHeight="1">
      <c r="A1369" s="1" t="str">
        <f>IFERROR(__xludf.DUMMYFUNCTION("""COMPUTED_VALUE"""),"Nate Naylor")</f>
        <v>Nate Naylor</v>
      </c>
      <c r="B1369" s="1" t="str">
        <f>IFERROR(__xludf.DUMMYFUNCTION("""COMPUTED_VALUE"""),"MS")</f>
        <v>MS</v>
      </c>
      <c r="C1369" s="1" t="str">
        <f t="shared" si="1"/>
        <v>No</v>
      </c>
      <c r="D1369" s="1">
        <v>0.0</v>
      </c>
    </row>
    <row r="1370" ht="15.75" customHeight="1">
      <c r="A1370" s="1" t="str">
        <f>IFERROR(__xludf.DUMMYFUNCTION("""COMPUTED_VALUE"""),"Rei Hariadi")</f>
        <v>Rei Hariadi</v>
      </c>
      <c r="B1370" s="1" t="str">
        <f>IFERROR(__xludf.DUMMYFUNCTION("""COMPUTED_VALUE"""),"MS")</f>
        <v>MS</v>
      </c>
      <c r="C1370" s="1" t="str">
        <f t="shared" si="1"/>
        <v>No</v>
      </c>
      <c r="D1370" s="1">
        <v>0.0</v>
      </c>
    </row>
    <row r="1371" ht="15.75" customHeight="1">
      <c r="A1371" s="1" t="str">
        <f>IFERROR(__xludf.DUMMYFUNCTION("""COMPUTED_VALUE"""),"Nicholas Hariadi")</f>
        <v>Nicholas Hariadi</v>
      </c>
      <c r="B1371" s="1" t="str">
        <f>IFERROR(__xludf.DUMMYFUNCTION("""COMPUTED_VALUE"""),"MS")</f>
        <v>MS</v>
      </c>
      <c r="C1371" s="1" t="str">
        <f t="shared" si="1"/>
        <v>No</v>
      </c>
      <c r="D1371" s="1">
        <v>0.0</v>
      </c>
    </row>
    <row r="1372" ht="15.75" customHeight="1">
      <c r="A1372" s="1" t="str">
        <f>IFERROR(__xludf.DUMMYFUNCTION("""COMPUTED_VALUE"""),"Di M")</f>
        <v>Di M</v>
      </c>
      <c r="B1372" s="1" t="str">
        <f>IFERROR(__xludf.DUMMYFUNCTION("""COMPUTED_VALUE"""),"MS")</f>
        <v>MS</v>
      </c>
      <c r="C1372" s="1" t="str">
        <f t="shared" si="1"/>
        <v>No</v>
      </c>
      <c r="D1372" s="1">
        <v>0.0</v>
      </c>
    </row>
    <row r="1373" ht="15.75" customHeight="1">
      <c r="A1373" s="1" t="str">
        <f>IFERROR(__xludf.DUMMYFUNCTION("""COMPUTED_VALUE"""),"Joshua Feinburg")</f>
        <v>Joshua Feinburg</v>
      </c>
      <c r="B1373" s="1" t="str">
        <f>IFERROR(__xludf.DUMMYFUNCTION("""COMPUTED_VALUE"""),"L1")</f>
        <v>L1</v>
      </c>
      <c r="C1373" s="1" t="str">
        <f t="shared" si="1"/>
        <v>No</v>
      </c>
      <c r="D1373" s="1">
        <v>0.0</v>
      </c>
    </row>
    <row r="1374" ht="15.75" customHeight="1">
      <c r="A1374" s="1" t="str">
        <f>IFERROR(__xludf.DUMMYFUNCTION("""COMPUTED_VALUE"""),"Callan Stevens")</f>
        <v>Callan Stevens</v>
      </c>
      <c r="B1374" s="1" t="str">
        <f>IFERROR(__xludf.DUMMYFUNCTION("""COMPUTED_VALUE"""),"L1")</f>
        <v>L1</v>
      </c>
      <c r="C1374" s="1" t="str">
        <f t="shared" si="1"/>
        <v>No</v>
      </c>
      <c r="D1374" s="1">
        <v>0.0</v>
      </c>
    </row>
    <row r="1375" ht="15.75" customHeight="1">
      <c r="A1375" s="1" t="str">
        <f>IFERROR(__xludf.DUMMYFUNCTION("""COMPUTED_VALUE"""),"Callie Kelly")</f>
        <v>Callie Kelly</v>
      </c>
      <c r="B1375" s="1" t="str">
        <f>IFERROR(__xludf.DUMMYFUNCTION("""COMPUTED_VALUE"""),"MS")</f>
        <v>MS</v>
      </c>
      <c r="C1375" s="1" t="str">
        <f t="shared" si="1"/>
        <v>No</v>
      </c>
      <c r="D1375" s="1">
        <v>0.0</v>
      </c>
    </row>
    <row r="1376" ht="15.75" customHeight="1">
      <c r="A1376" s="1" t="str">
        <f>IFERROR(__xludf.DUMMYFUNCTION("""COMPUTED_VALUE"""),"Nathan Allen")</f>
        <v>Nathan Allen</v>
      </c>
      <c r="B1376" s="1" t="str">
        <f>IFERROR(__xludf.DUMMYFUNCTION("""COMPUTED_VALUE"""),"MS")</f>
        <v>MS</v>
      </c>
      <c r="C1376" s="1" t="str">
        <f t="shared" si="1"/>
        <v>No</v>
      </c>
      <c r="D1376" s="1">
        <v>0.0</v>
      </c>
    </row>
    <row r="1377" ht="15.75" customHeight="1">
      <c r="A1377" s="1" t="str">
        <f>IFERROR(__xludf.DUMMYFUNCTION("""COMPUTED_VALUE"""),"Sydney Allen")</f>
        <v>Sydney Allen</v>
      </c>
      <c r="B1377" s="1" t="str">
        <f>IFERROR(__xludf.DUMMYFUNCTION("""COMPUTED_VALUE"""),"L1")</f>
        <v>L1</v>
      </c>
      <c r="C1377" s="1" t="str">
        <f t="shared" si="1"/>
        <v>No</v>
      </c>
      <c r="D1377" s="1">
        <v>0.0</v>
      </c>
    </row>
    <row r="1378" ht="15.75" customHeight="1">
      <c r="A1378" s="1" t="str">
        <f>IFERROR(__xludf.DUMMYFUNCTION("""COMPUTED_VALUE"""),"Max von Zirkelbach")</f>
        <v>Max von Zirkelbach</v>
      </c>
      <c r="B1378" s="1" t="str">
        <f>IFERROR(__xludf.DUMMYFUNCTION("""COMPUTED_VALUE"""),"MS")</f>
        <v>MS</v>
      </c>
      <c r="C1378" s="1" t="str">
        <f t="shared" si="1"/>
        <v>No</v>
      </c>
      <c r="D1378" s="1">
        <v>0.0</v>
      </c>
    </row>
    <row r="1379" ht="15.75" customHeight="1">
      <c r="A1379" s="1" t="str">
        <f>IFERROR(__xludf.DUMMYFUNCTION("""COMPUTED_VALUE"""),"Poppy B")</f>
        <v>Poppy B</v>
      </c>
      <c r="B1379" s="1" t="str">
        <f>IFERROR(__xludf.DUMMYFUNCTION("""COMPUTED_VALUE"""),"L1")</f>
        <v>L1</v>
      </c>
      <c r="C1379" s="1" t="str">
        <f t="shared" si="1"/>
        <v>No</v>
      </c>
      <c r="D1379" s="1">
        <v>0.0</v>
      </c>
    </row>
    <row r="1380" ht="15.75" customHeight="1">
      <c r="A1380" s="1" t="str">
        <f>IFERROR(__xludf.DUMMYFUNCTION("""COMPUTED_VALUE"""),"Siyon Kevorkian")</f>
        <v>Siyon Kevorkian</v>
      </c>
      <c r="B1380" s="1" t="str">
        <f>IFERROR(__xludf.DUMMYFUNCTION("""COMPUTED_VALUE"""),"L2")</f>
        <v>L2</v>
      </c>
      <c r="C1380" s="1" t="str">
        <f t="shared" si="1"/>
        <v>No</v>
      </c>
      <c r="D1380" s="1">
        <v>0.0</v>
      </c>
    </row>
    <row r="1381" ht="15.75" customHeight="1">
      <c r="A1381" s="1" t="str">
        <f>IFERROR(__xludf.DUMMYFUNCTION("""COMPUTED_VALUE"""),"AJ Ferrari")</f>
        <v>AJ Ferrari</v>
      </c>
      <c r="B1381" s="1" t="str">
        <f>IFERROR(__xludf.DUMMYFUNCTION("""COMPUTED_VALUE"""),"MS")</f>
        <v>MS</v>
      </c>
      <c r="C1381" s="1" t="str">
        <f t="shared" si="1"/>
        <v>No</v>
      </c>
      <c r="D1381" s="1">
        <v>0.0</v>
      </c>
    </row>
    <row r="1382" ht="15.75" customHeight="1">
      <c r="A1382" s="1" t="str">
        <f>IFERROR(__xludf.DUMMYFUNCTION("""COMPUTED_VALUE"""),"Charity Ferrari")</f>
        <v>Charity Ferrari</v>
      </c>
      <c r="B1382" s="1" t="str">
        <f>IFERROR(__xludf.DUMMYFUNCTION("""COMPUTED_VALUE"""),"L2")</f>
        <v>L2</v>
      </c>
      <c r="C1382" s="1" t="str">
        <f t="shared" si="1"/>
        <v>No</v>
      </c>
      <c r="D1382" s="1">
        <v>0.0</v>
      </c>
    </row>
    <row r="1383" ht="15.75" customHeight="1">
      <c r="A1383" s="1" t="str">
        <f>IFERROR(__xludf.DUMMYFUNCTION("""COMPUTED_VALUE"""),"Brayden Brecht")</f>
        <v>Brayden Brecht</v>
      </c>
      <c r="B1383" s="1" t="str">
        <f>IFERROR(__xludf.DUMMYFUNCTION("""COMPUTED_VALUE"""),"LL")</f>
        <v>LL</v>
      </c>
      <c r="C1383" s="1" t="str">
        <f t="shared" si="1"/>
        <v>No</v>
      </c>
      <c r="D1383" s="1">
        <v>0.0</v>
      </c>
    </row>
    <row r="1384" ht="15.75" customHeight="1">
      <c r="A1384" s="1" t="str">
        <f>IFERROR(__xludf.DUMMYFUNCTION("""COMPUTED_VALUE"""),"Jack Mahoney")</f>
        <v>Jack Mahoney</v>
      </c>
      <c r="B1384" s="1" t="str">
        <f>IFERROR(__xludf.DUMMYFUNCTION("""COMPUTED_VALUE"""),"L2")</f>
        <v>L2</v>
      </c>
      <c r="C1384" s="1" t="str">
        <f t="shared" si="1"/>
        <v>No</v>
      </c>
      <c r="D1384" s="1">
        <v>0.0</v>
      </c>
    </row>
    <row r="1385" ht="15.75" customHeight="1">
      <c r="A1385" s="1" t="str">
        <f>IFERROR(__xludf.DUMMYFUNCTION("""COMPUTED_VALUE"""),"Connor Mahoney")</f>
        <v>Connor Mahoney</v>
      </c>
      <c r="B1385" s="1" t="str">
        <f>IFERROR(__xludf.DUMMYFUNCTION("""COMPUTED_VALUE"""),"L1")</f>
        <v>L1</v>
      </c>
      <c r="C1385" s="1" t="str">
        <f t="shared" si="1"/>
        <v>No</v>
      </c>
      <c r="D1385" s="1">
        <v>0.0</v>
      </c>
    </row>
    <row r="1386" ht="15.75" customHeight="1">
      <c r="A1386" s="1" t="str">
        <f>IFERROR(__xludf.DUMMYFUNCTION("""COMPUTED_VALUE"""),"Theo Green")</f>
        <v>Theo Green</v>
      </c>
      <c r="B1386" s="1" t="str">
        <f>IFERROR(__xludf.DUMMYFUNCTION("""COMPUTED_VALUE"""),"L2")</f>
        <v>L2</v>
      </c>
      <c r="C1386" s="1" t="str">
        <f t="shared" si="1"/>
        <v>No</v>
      </c>
      <c r="D1386" s="1">
        <v>0.0</v>
      </c>
    </row>
    <row r="1387" ht="15.75" customHeight="1">
      <c r="A1387" s="1" t="str">
        <f>IFERROR(__xludf.DUMMYFUNCTION("""COMPUTED_VALUE"""),"Shiva Malhotra")</f>
        <v>Shiva Malhotra</v>
      </c>
      <c r="B1387" s="1" t="str">
        <f>IFERROR(__xludf.DUMMYFUNCTION("""COMPUTED_VALUE"""),"MS")</f>
        <v>MS</v>
      </c>
      <c r="C1387" s="1" t="str">
        <f t="shared" si="1"/>
        <v>No</v>
      </c>
      <c r="D1387" s="1">
        <v>0.0</v>
      </c>
    </row>
    <row r="1388" ht="15.75" customHeight="1">
      <c r="A1388" s="1" t="str">
        <f>IFERROR(__xludf.DUMMYFUNCTION("""COMPUTED_VALUE"""),"Preston Cornelius")</f>
        <v>Preston Cornelius</v>
      </c>
      <c r="B1388" s="1" t="str">
        <f>IFERROR(__xludf.DUMMYFUNCTION("""COMPUTED_VALUE"""),"HS")</f>
        <v>HS</v>
      </c>
      <c r="C1388" s="1" t="str">
        <f t="shared" si="1"/>
        <v>No</v>
      </c>
      <c r="D1388" s="1">
        <v>0.0</v>
      </c>
    </row>
    <row r="1389" ht="15.75" customHeight="1">
      <c r="A1389" s="1" t="str">
        <f>IFERROR(__xludf.DUMMYFUNCTION("""COMPUTED_VALUE"""),"Eden Colangelo")</f>
        <v>Eden Colangelo</v>
      </c>
      <c r="B1389" s="1" t="str">
        <f>IFERROR(__xludf.DUMMYFUNCTION("""COMPUTED_VALUE"""),"L2")</f>
        <v>L2</v>
      </c>
      <c r="C1389" s="1" t="str">
        <f t="shared" si="1"/>
        <v>No</v>
      </c>
      <c r="D1389" s="1">
        <v>0.0</v>
      </c>
    </row>
    <row r="1390" ht="15.75" customHeight="1">
      <c r="A1390" s="1" t="str">
        <f>IFERROR(__xludf.DUMMYFUNCTION("""COMPUTED_VALUE"""),"Alex Matejec")</f>
        <v>Alex Matejec</v>
      </c>
      <c r="B1390" s="1" t="str">
        <f>IFERROR(__xludf.DUMMYFUNCTION("""COMPUTED_VALUE"""),"MS")</f>
        <v>MS</v>
      </c>
      <c r="C1390" s="1" t="str">
        <f t="shared" si="1"/>
        <v>No</v>
      </c>
      <c r="D1390" s="1">
        <v>0.0</v>
      </c>
    </row>
    <row r="1391" ht="15.75" customHeight="1">
      <c r="A1391" s="1" t="str">
        <f>IFERROR(__xludf.DUMMYFUNCTION("""COMPUTED_VALUE"""),"Pat Wendler")</f>
        <v>Pat Wendler</v>
      </c>
      <c r="B1391" s="1" t="str">
        <f>IFERROR(__xludf.DUMMYFUNCTION("""COMPUTED_VALUE"""),"MS")</f>
        <v>MS</v>
      </c>
      <c r="C1391" s="1" t="str">
        <f t="shared" si="1"/>
        <v>No</v>
      </c>
      <c r="D1391" s="1">
        <v>0.0</v>
      </c>
    </row>
    <row r="1392" ht="15.75" customHeight="1">
      <c r="A1392" s="1" t="str">
        <f>IFERROR(__xludf.DUMMYFUNCTION("""COMPUTED_VALUE"""),"Lulu Dolton")</f>
        <v>Lulu Dolton</v>
      </c>
      <c r="B1392" s="1" t="str">
        <f>IFERROR(__xludf.DUMMYFUNCTION("""COMPUTED_VALUE"""),"MS")</f>
        <v>MS</v>
      </c>
      <c r="C1392" s="1" t="str">
        <f t="shared" si="1"/>
        <v>No</v>
      </c>
      <c r="D1392" s="1">
        <v>0.0</v>
      </c>
    </row>
    <row r="1393" ht="15.75" customHeight="1">
      <c r="A1393" s="1" t="str">
        <f>IFERROR(__xludf.DUMMYFUNCTION("""COMPUTED_VALUE"""),"Byron Magness")</f>
        <v>Byron Magness</v>
      </c>
      <c r="B1393" s="1" t="str">
        <f>IFERROR(__xludf.DUMMYFUNCTION("""COMPUTED_VALUE"""),"L2")</f>
        <v>L2</v>
      </c>
      <c r="C1393" s="1" t="str">
        <f t="shared" si="1"/>
        <v>No</v>
      </c>
      <c r="D1393" s="1">
        <v>0.0</v>
      </c>
    </row>
    <row r="1394" ht="15.75" customHeight="1">
      <c r="A1394" s="1" t="str">
        <f>IFERROR(__xludf.DUMMYFUNCTION("""COMPUTED_VALUE"""),"Blake Carlson")</f>
        <v>Blake Carlson</v>
      </c>
      <c r="B1394" s="1" t="str">
        <f>IFERROR(__xludf.DUMMYFUNCTION("""COMPUTED_VALUE"""),"MS")</f>
        <v>MS</v>
      </c>
      <c r="C1394" s="1" t="str">
        <f t="shared" si="1"/>
        <v>No</v>
      </c>
      <c r="D1394" s="1">
        <v>0.0</v>
      </c>
    </row>
    <row r="1395" ht="15.75" customHeight="1">
      <c r="A1395" s="1" t="str">
        <f>IFERROR(__xludf.DUMMYFUNCTION("""COMPUTED_VALUE"""),"Sydney Duncombe")</f>
        <v>Sydney Duncombe</v>
      </c>
      <c r="B1395" s="1" t="str">
        <f>IFERROR(__xludf.DUMMYFUNCTION("""COMPUTED_VALUE"""),"MS")</f>
        <v>MS</v>
      </c>
      <c r="C1395" s="1" t="str">
        <f t="shared" si="1"/>
        <v>No</v>
      </c>
      <c r="D1395" s="1">
        <v>0.0</v>
      </c>
    </row>
    <row r="1396" ht="15.75" customHeight="1">
      <c r="A1396" s="1" t="str">
        <f>IFERROR(__xludf.DUMMYFUNCTION("""COMPUTED_VALUE"""),"Alfonse Muto")</f>
        <v>Alfonse Muto</v>
      </c>
      <c r="B1396" s="1" t="str">
        <f>IFERROR(__xludf.DUMMYFUNCTION("""COMPUTED_VALUE"""),"MS")</f>
        <v>MS</v>
      </c>
      <c r="C1396" s="1" t="str">
        <f t="shared" si="1"/>
        <v>No</v>
      </c>
      <c r="D1396" s="1">
        <v>0.0</v>
      </c>
    </row>
    <row r="1397" ht="15.75" customHeight="1">
      <c r="A1397" s="1" t="str">
        <f>IFERROR(__xludf.DUMMYFUNCTION("""COMPUTED_VALUE"""),"Reagan Gibson")</f>
        <v>Reagan Gibson</v>
      </c>
      <c r="B1397" s="1" t="str">
        <f>IFERROR(__xludf.DUMMYFUNCTION("""COMPUTED_VALUE"""),"L1")</f>
        <v>L1</v>
      </c>
      <c r="C1397" s="1" t="str">
        <f t="shared" si="1"/>
        <v>No</v>
      </c>
      <c r="D1397" s="1">
        <v>0.0</v>
      </c>
    </row>
    <row r="1398" ht="15.75" customHeight="1">
      <c r="A1398" s="1" t="str">
        <f>IFERROR(__xludf.DUMMYFUNCTION("""COMPUTED_VALUE"""),"Nathan Wirt")</f>
        <v>Nathan Wirt</v>
      </c>
      <c r="B1398" s="1" t="str">
        <f>IFERROR(__xludf.DUMMYFUNCTION("""COMPUTED_VALUE"""),"MS")</f>
        <v>MS</v>
      </c>
      <c r="C1398" s="1" t="str">
        <f t="shared" si="1"/>
        <v>No</v>
      </c>
      <c r="D1398" s="1">
        <v>0.0</v>
      </c>
    </row>
    <row r="1399" ht="15.75" customHeight="1">
      <c r="A1399" s="1" t="str">
        <f>IFERROR(__xludf.DUMMYFUNCTION("""COMPUTED_VALUE"""),"Alex Wirt")</f>
        <v>Alex Wirt</v>
      </c>
      <c r="B1399" s="1" t="str">
        <f>IFERROR(__xludf.DUMMYFUNCTION("""COMPUTED_VALUE"""),"MS")</f>
        <v>MS</v>
      </c>
      <c r="C1399" s="1" t="str">
        <f t="shared" si="1"/>
        <v>No</v>
      </c>
      <c r="D1399" s="1">
        <v>0.0</v>
      </c>
    </row>
    <row r="1400" ht="15.75" customHeight="1">
      <c r="A1400" s="1" t="str">
        <f>IFERROR(__xludf.DUMMYFUNCTION("""COMPUTED_VALUE"""),"Caroline Wirt")</f>
        <v>Caroline Wirt</v>
      </c>
      <c r="B1400" s="1" t="str">
        <f>IFERROR(__xludf.DUMMYFUNCTION("""COMPUTED_VALUE"""),"L2")</f>
        <v>L2</v>
      </c>
    </row>
    <row r="1401" ht="15.75" customHeight="1">
      <c r="A1401" s="1" t="str">
        <f>IFERROR(__xludf.DUMMYFUNCTION("""COMPUTED_VALUE"""),"Vincent Lenning")</f>
        <v>Vincent Lenning</v>
      </c>
      <c r="B1401" s="1" t="str">
        <f>IFERROR(__xludf.DUMMYFUNCTION("""COMPUTED_VALUE"""),"L2")</f>
        <v>L2</v>
      </c>
    </row>
    <row r="1402" ht="15.75" customHeight="1">
      <c r="A1402" s="1" t="str">
        <f>IFERROR(__xludf.DUMMYFUNCTION("""COMPUTED_VALUE"""),"Harrison Sapolsky")</f>
        <v>Harrison Sapolsky</v>
      </c>
      <c r="B1402" s="1" t="str">
        <f>IFERROR(__xludf.DUMMYFUNCTION("""COMPUTED_VALUE"""),"L2")</f>
        <v>L2</v>
      </c>
    </row>
    <row r="1403" ht="15.75" customHeight="1">
      <c r="A1403" s="1" t="str">
        <f>IFERROR(__xludf.DUMMYFUNCTION("""COMPUTED_VALUE"""),"Hannah Sapolsky")</f>
        <v>Hannah Sapolsky</v>
      </c>
      <c r="B1403" s="1" t="str">
        <f>IFERROR(__xludf.DUMMYFUNCTION("""COMPUTED_VALUE"""),"L2")</f>
        <v>L2</v>
      </c>
    </row>
    <row r="1404" ht="15.75" customHeight="1">
      <c r="A1404" s="1" t="str">
        <f>IFERROR(__xludf.DUMMYFUNCTION("""COMPUTED_VALUE"""),"Holly Berger")</f>
        <v>Holly Berger</v>
      </c>
      <c r="B1404" s="1" t="str">
        <f>IFERROR(__xludf.DUMMYFUNCTION("""COMPUTED_VALUE"""),"L1")</f>
        <v>L1</v>
      </c>
    </row>
    <row r="1405" ht="15.75" customHeight="1">
      <c r="A1405" s="1" t="str">
        <f>IFERROR(__xludf.DUMMYFUNCTION("""COMPUTED_VALUE"""),"Shea Berger")</f>
        <v>Shea Berger</v>
      </c>
      <c r="B1405" s="1" t="str">
        <f>IFERROR(__xludf.DUMMYFUNCTION("""COMPUTED_VALUE"""),"L2")</f>
        <v>L2</v>
      </c>
    </row>
    <row r="1406" ht="15.75" customHeight="1">
      <c r="A1406" s="1" t="str">
        <f>IFERROR(__xludf.DUMMYFUNCTION("""COMPUTED_VALUE"""),"Devlin Stroud")</f>
        <v>Devlin Stroud</v>
      </c>
      <c r="B1406" s="1" t="str">
        <f>IFERROR(__xludf.DUMMYFUNCTION("""COMPUTED_VALUE"""),"L2")</f>
        <v>L2</v>
      </c>
    </row>
    <row r="1407" ht="15.75" customHeight="1">
      <c r="A1407" s="1" t="str">
        <f>IFERROR(__xludf.DUMMYFUNCTION("""COMPUTED_VALUE"""),"Ashlee Grilley")</f>
        <v>Ashlee Grilley</v>
      </c>
      <c r="B1407" s="1" t="str">
        <f>IFERROR(__xludf.DUMMYFUNCTION("""COMPUTED_VALUE"""),"MS")</f>
        <v>MS</v>
      </c>
    </row>
    <row r="1408" ht="15.75" customHeight="1">
      <c r="A1408" s="1" t="str">
        <f>IFERROR(__xludf.DUMMYFUNCTION("""COMPUTED_VALUE"""),"Ronan Wells")</f>
        <v>Ronan Wells</v>
      </c>
      <c r="B1408" s="1" t="str">
        <f>IFERROR(__xludf.DUMMYFUNCTION("""COMPUTED_VALUE"""),"MS")</f>
        <v>MS</v>
      </c>
    </row>
    <row r="1409" ht="15.75" customHeight="1">
      <c r="A1409" s="1" t="str">
        <f>IFERROR(__xludf.DUMMYFUNCTION("""COMPUTED_VALUE"""),"Ally Grilley")</f>
        <v>Ally Grilley</v>
      </c>
      <c r="B1409" s="1" t="str">
        <f>IFERROR(__xludf.DUMMYFUNCTION("""COMPUTED_VALUE"""),"MS")</f>
        <v>MS</v>
      </c>
    </row>
    <row r="1410" ht="15.75" customHeight="1">
      <c r="A1410" s="1" t="str">
        <f>IFERROR(__xludf.DUMMYFUNCTION("""COMPUTED_VALUE"""),"Hank Hayhurst")</f>
        <v>Hank Hayhurst</v>
      </c>
      <c r="B1410" s="1" t="str">
        <f>IFERROR(__xludf.DUMMYFUNCTION("""COMPUTED_VALUE"""),"MS")</f>
        <v>MS</v>
      </c>
    </row>
    <row r="1411" ht="15.75" customHeight="1">
      <c r="A1411" s="1" t="str">
        <f>IFERROR(__xludf.DUMMYFUNCTION("""COMPUTED_VALUE"""),"Harvey Hayhurst")</f>
        <v>Harvey Hayhurst</v>
      </c>
      <c r="B1411" s="1" t="str">
        <f>IFERROR(__xludf.DUMMYFUNCTION("""COMPUTED_VALUE"""),"L1")</f>
        <v>L1</v>
      </c>
    </row>
    <row r="1412" ht="15.75" customHeight="1">
      <c r="A1412" s="1" t="str">
        <f>IFERROR(__xludf.DUMMYFUNCTION("""COMPUTED_VALUE"""),"Ian Mchugh")</f>
        <v>Ian Mchugh</v>
      </c>
      <c r="B1412" s="1" t="str">
        <f>IFERROR(__xludf.DUMMYFUNCTION("""COMPUTED_VALUE"""),"L2")</f>
        <v>L2</v>
      </c>
    </row>
    <row r="1413" ht="15.75" customHeight="1">
      <c r="A1413" s="1" t="str">
        <f>IFERROR(__xludf.DUMMYFUNCTION("""COMPUTED_VALUE"""),"Oden Dvorak-Jonsson")</f>
        <v>Oden Dvorak-Jonsson</v>
      </c>
      <c r="B1413" s="1" t="str">
        <f>IFERROR(__xludf.DUMMYFUNCTION("""COMPUTED_VALUE"""),"MS")</f>
        <v>MS</v>
      </c>
    </row>
    <row r="1414" ht="15.75" customHeight="1">
      <c r="A1414" s="1" t="str">
        <f>IFERROR(__xludf.DUMMYFUNCTION("""COMPUTED_VALUE"""),"Micah Wu")</f>
        <v>Micah Wu</v>
      </c>
      <c r="B1414" s="1" t="str">
        <f>IFERROR(__xludf.DUMMYFUNCTION("""COMPUTED_VALUE"""),"L2")</f>
        <v>L2</v>
      </c>
    </row>
    <row r="1415" ht="15.75" customHeight="1">
      <c r="A1415" s="1" t="str">
        <f>IFERROR(__xludf.DUMMYFUNCTION("""COMPUTED_VALUE"""),"Milo Mallory")</f>
        <v>Milo Mallory</v>
      </c>
      <c r="B1415" s="1" t="str">
        <f>IFERROR(__xludf.DUMMYFUNCTION("""COMPUTED_VALUE"""),"L1")</f>
        <v>L1</v>
      </c>
    </row>
    <row r="1416" ht="15.75" customHeight="1">
      <c r="A1416" s="1" t="str">
        <f>IFERROR(__xludf.DUMMYFUNCTION("""COMPUTED_VALUE"""),"Jonathan Tingey")</f>
        <v>Jonathan Tingey</v>
      </c>
      <c r="B1416" s="1" t="str">
        <f>IFERROR(__xludf.DUMMYFUNCTION("""COMPUTED_VALUE"""),"L2")</f>
        <v>L2</v>
      </c>
    </row>
    <row r="1417" ht="15.75" customHeight="1">
      <c r="A1417" s="1" t="str">
        <f>IFERROR(__xludf.DUMMYFUNCTION("""COMPUTED_VALUE"""),"William Tingey")</f>
        <v>William Tingey</v>
      </c>
      <c r="B1417" s="1" t="str">
        <f>IFERROR(__xludf.DUMMYFUNCTION("""COMPUTED_VALUE"""),"L1")</f>
        <v>L1</v>
      </c>
    </row>
    <row r="1418" ht="15.75" customHeight="1">
      <c r="A1418" s="1" t="str">
        <f>IFERROR(__xludf.DUMMYFUNCTION("""COMPUTED_VALUE"""),"Grace Tingey")</f>
        <v>Grace Tingey</v>
      </c>
      <c r="B1418" s="1" t="str">
        <f>IFERROR(__xludf.DUMMYFUNCTION("""COMPUTED_VALUE"""),"LL")</f>
        <v>LL</v>
      </c>
    </row>
    <row r="1419" ht="15.75" customHeight="1">
      <c r="A1419" s="1" t="str">
        <f>IFERROR(__xludf.DUMMYFUNCTION("""COMPUTED_VALUE"""),"Izzy Stelmach")</f>
        <v>Izzy Stelmach</v>
      </c>
      <c r="B1419" s="1" t="str">
        <f>IFERROR(__xludf.DUMMYFUNCTION("""COMPUTED_VALUE"""),"HS")</f>
        <v>HS</v>
      </c>
    </row>
    <row r="1420" ht="15.75" customHeight="1">
      <c r="A1420" s="1" t="str">
        <f>IFERROR(__xludf.DUMMYFUNCTION("""COMPUTED_VALUE"""),"Stella Stelmach")</f>
        <v>Stella Stelmach</v>
      </c>
      <c r="B1420" s="1" t="str">
        <f>IFERROR(__xludf.DUMMYFUNCTION("""COMPUTED_VALUE"""),"MS")</f>
        <v>MS</v>
      </c>
    </row>
    <row r="1421" ht="15.75" customHeight="1">
      <c r="A1421" s="1" t="str">
        <f>IFERROR(__xludf.DUMMYFUNCTION("""COMPUTED_VALUE"""),"Nico Martin")</f>
        <v>Nico Martin</v>
      </c>
      <c r="B1421" s="1" t="str">
        <f>IFERROR(__xludf.DUMMYFUNCTION("""COMPUTED_VALUE"""),"MS")</f>
        <v>MS</v>
      </c>
    </row>
    <row r="1422" ht="15.75" customHeight="1">
      <c r="A1422" s="1" t="str">
        <f>IFERROR(__xludf.DUMMYFUNCTION("""COMPUTED_VALUE"""),"Lincoln Balaker")</f>
        <v>Lincoln Balaker</v>
      </c>
      <c r="B1422" s="1" t="str">
        <f>IFERROR(__xludf.DUMMYFUNCTION("""COMPUTED_VALUE"""),"L2")</f>
        <v>L2</v>
      </c>
    </row>
    <row r="1423" ht="15.75" customHeight="1">
      <c r="A1423" s="1" t="str">
        <f>IFERROR(__xludf.DUMMYFUNCTION("""COMPUTED_VALUE"""),"Reid Balaker")</f>
        <v>Reid Balaker</v>
      </c>
      <c r="B1423" s="1" t="str">
        <f>IFERROR(__xludf.DUMMYFUNCTION("""COMPUTED_VALUE"""),"MS")</f>
        <v>MS</v>
      </c>
    </row>
    <row r="1424" ht="15.75" customHeight="1">
      <c r="A1424" s="1" t="str">
        <f>IFERROR(__xludf.DUMMYFUNCTION("""COMPUTED_VALUE"""),"Alex Infanti")</f>
        <v>Alex Infanti</v>
      </c>
      <c r="B1424" s="1" t="str">
        <f>IFERROR(__xludf.DUMMYFUNCTION("""COMPUTED_VALUE"""),"MS")</f>
        <v>MS</v>
      </c>
    </row>
    <row r="1425" ht="15.75" customHeight="1">
      <c r="A1425" s="1" t="str">
        <f>IFERROR(__xludf.DUMMYFUNCTION("""COMPUTED_VALUE"""),"Caroline Infanti")</f>
        <v>Caroline Infanti</v>
      </c>
      <c r="B1425" s="1" t="str">
        <f>IFERROR(__xludf.DUMMYFUNCTION("""COMPUTED_VALUE"""),"L2")</f>
        <v>L2</v>
      </c>
    </row>
    <row r="1426" ht="15.75" customHeight="1">
      <c r="A1426" s="1" t="str">
        <f>IFERROR(__xludf.DUMMYFUNCTION("""COMPUTED_VALUE"""),"Noah Broderick")</f>
        <v>Noah Broderick</v>
      </c>
      <c r="B1426" s="1" t="str">
        <f>IFERROR(__xludf.DUMMYFUNCTION("""COMPUTED_VALUE"""),"MS")</f>
        <v>MS</v>
      </c>
    </row>
    <row r="1427" ht="15.75" customHeight="1">
      <c r="A1427" s="1" t="str">
        <f>IFERROR(__xludf.DUMMYFUNCTION("""COMPUTED_VALUE"""),"Maud Broderick")</f>
        <v>Maud Broderick</v>
      </c>
      <c r="B1427" s="1" t="str">
        <f>IFERROR(__xludf.DUMMYFUNCTION("""COMPUTED_VALUE"""),"MS")</f>
        <v>MS</v>
      </c>
    </row>
    <row r="1428" ht="15.75" customHeight="1">
      <c r="A1428" s="1" t="str">
        <f>IFERROR(__xludf.DUMMYFUNCTION("""COMPUTED_VALUE"""),"Rafe Broderick")</f>
        <v>Rafe Broderick</v>
      </c>
      <c r="B1428" s="1" t="str">
        <f>IFERROR(__xludf.DUMMYFUNCTION("""COMPUTED_VALUE"""),"L1")</f>
        <v>L1</v>
      </c>
    </row>
    <row r="1429" ht="15.75" customHeight="1">
      <c r="A1429" s="1" t="str">
        <f>IFERROR(__xludf.DUMMYFUNCTION("""COMPUTED_VALUE"""),"Dean Smith")</f>
        <v>Dean Smith</v>
      </c>
      <c r="B1429" s="1" t="str">
        <f>IFERROR(__xludf.DUMMYFUNCTION("""COMPUTED_VALUE"""),"L2")</f>
        <v>L2</v>
      </c>
    </row>
    <row r="1430" ht="15.75" customHeight="1">
      <c r="A1430" s="1" t="str">
        <f>IFERROR(__xludf.DUMMYFUNCTION("""COMPUTED_VALUE"""),"Kendal Smith")</f>
        <v>Kendal Smith</v>
      </c>
      <c r="B1430" s="1" t="str">
        <f>IFERROR(__xludf.DUMMYFUNCTION("""COMPUTED_VALUE"""),"L2")</f>
        <v>L2</v>
      </c>
    </row>
    <row r="1431" ht="15.75" customHeight="1">
      <c r="A1431" s="1" t="str">
        <f>IFERROR(__xludf.DUMMYFUNCTION("""COMPUTED_VALUE"""),"Wesley Smith")</f>
        <v>Wesley Smith</v>
      </c>
      <c r="B1431" s="1" t="str">
        <f>IFERROR(__xludf.DUMMYFUNCTION("""COMPUTED_VALUE"""),"LL")</f>
        <v>LL</v>
      </c>
    </row>
    <row r="1432" ht="15.75" customHeight="1">
      <c r="A1432" s="1" t="str">
        <f>IFERROR(__xludf.DUMMYFUNCTION("""COMPUTED_VALUE"""),"Bobby McLawhorn")</f>
        <v>Bobby McLawhorn</v>
      </c>
      <c r="B1432" s="1" t="str">
        <f>IFERROR(__xludf.DUMMYFUNCTION("""COMPUTED_VALUE"""),"MS")</f>
        <v>MS</v>
      </c>
    </row>
    <row r="1433" ht="15.75" customHeight="1">
      <c r="A1433" s="1" t="str">
        <f>IFERROR(__xludf.DUMMYFUNCTION("""COMPUTED_VALUE"""),"Nell McLawhorn")</f>
        <v>Nell McLawhorn</v>
      </c>
      <c r="B1433" s="1" t="str">
        <f>IFERROR(__xludf.DUMMYFUNCTION("""COMPUTED_VALUE"""),"L2")</f>
        <v>L2</v>
      </c>
    </row>
    <row r="1434" ht="15.75" customHeight="1">
      <c r="A1434" s="1" t="str">
        <f>IFERROR(__xludf.DUMMYFUNCTION("""COMPUTED_VALUE"""),"Alia Godfrey")</f>
        <v>Alia Godfrey</v>
      </c>
      <c r="B1434" s="1" t="str">
        <f>IFERROR(__xludf.DUMMYFUNCTION("""COMPUTED_VALUE"""),"L1")</f>
        <v>L1</v>
      </c>
    </row>
    <row r="1435" ht="15.75" customHeight="1">
      <c r="A1435" s="1" t="str">
        <f>IFERROR(__xludf.DUMMYFUNCTION("""COMPUTED_VALUE"""),"adessa mehta")</f>
        <v>adessa mehta</v>
      </c>
      <c r="B1435" s="1" t="str">
        <f>IFERROR(__xludf.DUMMYFUNCTION("""COMPUTED_VALUE"""),"L1")</f>
        <v>L1</v>
      </c>
    </row>
    <row r="1436" ht="15.75" customHeight="1">
      <c r="A1436" s="1" t="str">
        <f>IFERROR(__xludf.DUMMYFUNCTION("""COMPUTED_VALUE"""),"Nur Mansour")</f>
        <v>Nur Mansour</v>
      </c>
      <c r="B1436" s="1" t="str">
        <f>IFERROR(__xludf.DUMMYFUNCTION("""COMPUTED_VALUE"""),"L1")</f>
        <v>L1</v>
      </c>
    </row>
    <row r="1437" ht="15.75" customHeight="1">
      <c r="A1437" s="1" t="str">
        <f>IFERROR(__xludf.DUMMYFUNCTION("""COMPUTED_VALUE"""),"Razan Mansour")</f>
        <v>Razan Mansour</v>
      </c>
      <c r="B1437" s="1" t="str">
        <f>IFERROR(__xludf.DUMMYFUNCTION("""COMPUTED_VALUE"""),"L1")</f>
        <v>L1</v>
      </c>
    </row>
    <row r="1438" ht="15.75" customHeight="1">
      <c r="A1438" s="1" t="str">
        <f>IFERROR(__xludf.DUMMYFUNCTION("""COMPUTED_VALUE"""),"Jim Wulf")</f>
        <v>Jim Wulf</v>
      </c>
      <c r="B1438" s="1" t="str">
        <f>IFERROR(__xludf.DUMMYFUNCTION("""COMPUTED_VALUE"""),"L2")</f>
        <v>L2</v>
      </c>
    </row>
    <row r="1439" ht="15.75" customHeight="1">
      <c r="A1439" s="1" t="str">
        <f>IFERROR(__xludf.DUMMYFUNCTION("""COMPUTED_VALUE"""),"Nolan German")</f>
        <v>Nolan German</v>
      </c>
      <c r="B1439" s="1" t="str">
        <f>IFERROR(__xludf.DUMMYFUNCTION("""COMPUTED_VALUE"""),"L2")</f>
        <v>L2</v>
      </c>
    </row>
    <row r="1440" ht="15.75" customHeight="1">
      <c r="A1440" s="1" t="str">
        <f>IFERROR(__xludf.DUMMYFUNCTION("""COMPUTED_VALUE"""),"Dylan del Rosario")</f>
        <v>Dylan del Rosario</v>
      </c>
      <c r="B1440" s="1" t="str">
        <f>IFERROR(__xludf.DUMMYFUNCTION("""COMPUTED_VALUE"""),"L2")</f>
        <v>L2</v>
      </c>
    </row>
    <row r="1441" ht="15.75" customHeight="1">
      <c r="A1441" s="1" t="str">
        <f>IFERROR(__xludf.DUMMYFUNCTION("""COMPUTED_VALUE"""),"Devan del Rosario")</f>
        <v>Devan del Rosario</v>
      </c>
      <c r="B1441" s="1" t="str">
        <f>IFERROR(__xludf.DUMMYFUNCTION("""COMPUTED_VALUE"""),"L1")</f>
        <v>L1</v>
      </c>
    </row>
    <row r="1442" ht="15.75" customHeight="1">
      <c r="A1442" s="1" t="str">
        <f>IFERROR(__xludf.DUMMYFUNCTION("""COMPUTED_VALUE"""),"Max Ray")</f>
        <v>Max Ray</v>
      </c>
      <c r="B1442" s="1" t="str">
        <f>IFERROR(__xludf.DUMMYFUNCTION("""COMPUTED_VALUE"""),"L2")</f>
        <v>L2</v>
      </c>
    </row>
    <row r="1443" ht="15.75" customHeight="1">
      <c r="A1443" s="1" t="str">
        <f>IFERROR(__xludf.DUMMYFUNCTION("""COMPUTED_VALUE"""),"Avery Ray")</f>
        <v>Avery Ray</v>
      </c>
      <c r="B1443" s="1" t="str">
        <f>IFERROR(__xludf.DUMMYFUNCTION("""COMPUTED_VALUE"""),"HS")</f>
        <v>HS</v>
      </c>
    </row>
    <row r="1444" ht="15.75" customHeight="1">
      <c r="A1444" s="1" t="str">
        <f>IFERROR(__xludf.DUMMYFUNCTION("""COMPUTED_VALUE"""),"Bodin LaBombard")</f>
        <v>Bodin LaBombard</v>
      </c>
      <c r="B1444" s="1" t="str">
        <f>IFERROR(__xludf.DUMMYFUNCTION("""COMPUTED_VALUE"""),"MS")</f>
        <v>MS</v>
      </c>
    </row>
    <row r="1445" ht="15.75" customHeight="1">
      <c r="A1445" s="1" t="str">
        <f>IFERROR(__xludf.DUMMYFUNCTION("""COMPUTED_VALUE"""),"john Hoofman")</f>
        <v>john Hoofman</v>
      </c>
      <c r="B1445" s="1" t="str">
        <f>IFERROR(__xludf.DUMMYFUNCTION("""COMPUTED_VALUE"""),"L2")</f>
        <v>L2</v>
      </c>
    </row>
    <row r="1446" ht="15.75" customHeight="1">
      <c r="A1446" s="1" t="str">
        <f>IFERROR(__xludf.DUMMYFUNCTION("""COMPUTED_VALUE"""),"Palmer Gibson")</f>
        <v>Palmer Gibson</v>
      </c>
      <c r="B1446" s="1" t="str">
        <f>IFERROR(__xludf.DUMMYFUNCTION("""COMPUTED_VALUE"""),"L1")</f>
        <v>L1</v>
      </c>
    </row>
    <row r="1447" ht="15.75" customHeight="1">
      <c r="A1447" s="1" t="str">
        <f>IFERROR(__xludf.DUMMYFUNCTION("""COMPUTED_VALUE"""),"Zachary Feinburg")</f>
        <v>Zachary Feinburg</v>
      </c>
      <c r="B1447" s="1" t="str">
        <f>IFERROR(__xludf.DUMMYFUNCTION("""COMPUTED_VALUE"""),"L2")</f>
        <v>L2</v>
      </c>
    </row>
    <row r="1448" ht="15.75" customHeight="1">
      <c r="A1448" s="1" t="str">
        <f>IFERROR(__xludf.DUMMYFUNCTION("""COMPUTED_VALUE"""),"Dean Pieri")</f>
        <v>Dean Pieri</v>
      </c>
      <c r="B1448" s="1" t="str">
        <f>IFERROR(__xludf.DUMMYFUNCTION("""COMPUTED_VALUE"""),"L1")</f>
        <v>L1</v>
      </c>
    </row>
    <row r="1449" ht="15.75" customHeight="1">
      <c r="A1449" s="1" t="str">
        <f>IFERROR(__xludf.DUMMYFUNCTION("""COMPUTED_VALUE"""),"Ryp Sullivan")</f>
        <v>Ryp Sullivan</v>
      </c>
      <c r="B1449" s="1" t="str">
        <f>IFERROR(__xludf.DUMMYFUNCTION("""COMPUTED_VALUE"""),"L2")</f>
        <v>L2</v>
      </c>
    </row>
    <row r="1450" ht="15.75" customHeight="1">
      <c r="A1450" s="1" t="str">
        <f>IFERROR(__xludf.DUMMYFUNCTION("""COMPUTED_VALUE"""),"Ali Eldemerdash")</f>
        <v>Ali Eldemerdash</v>
      </c>
      <c r="B1450" s="1" t="str">
        <f>IFERROR(__xludf.DUMMYFUNCTION("""COMPUTED_VALUE"""),"L1")</f>
        <v>L1</v>
      </c>
    </row>
    <row r="1451" ht="15.75" customHeight="1">
      <c r="A1451" s="1" t="str">
        <f>IFERROR(__xludf.DUMMYFUNCTION("""COMPUTED_VALUE"""),"Marvin R")</f>
        <v>Marvin R</v>
      </c>
      <c r="B1451" s="1" t="str">
        <f>IFERROR(__xludf.DUMMYFUNCTION("""COMPUTED_VALUE"""),"HS")</f>
        <v>HS</v>
      </c>
    </row>
    <row r="1452" ht="15.75" customHeight="1">
      <c r="A1452" s="1" t="str">
        <f>IFERROR(__xludf.DUMMYFUNCTION("""COMPUTED_VALUE"""),"Cooper Will")</f>
        <v>Cooper Will</v>
      </c>
      <c r="B1452" s="1" t="str">
        <f>IFERROR(__xludf.DUMMYFUNCTION("""COMPUTED_VALUE"""),"HS")</f>
        <v>HS</v>
      </c>
    </row>
    <row r="1453" ht="15.75" customHeight="1">
      <c r="A1453" s="1" t="str">
        <f>IFERROR(__xludf.DUMMYFUNCTION("""COMPUTED_VALUE"""),"Piper Freedman")</f>
        <v>Piper Freedman</v>
      </c>
      <c r="B1453" s="1" t="str">
        <f>IFERROR(__xludf.DUMMYFUNCTION("""COMPUTED_VALUE"""),"MS")</f>
        <v>MS</v>
      </c>
    </row>
    <row r="1454" ht="15.75" customHeight="1">
      <c r="A1454" s="1" t="str">
        <f>IFERROR(__xludf.DUMMYFUNCTION("""COMPUTED_VALUE"""),"Hugh Hunter")</f>
        <v>Hugh Hunter</v>
      </c>
      <c r="B1454" s="1" t="str">
        <f>IFERROR(__xludf.DUMMYFUNCTION("""COMPUTED_VALUE"""),"MS")</f>
        <v>MS</v>
      </c>
    </row>
    <row r="1455" ht="15.75" customHeight="1">
      <c r="A1455" s="1" t="str">
        <f>IFERROR(__xludf.DUMMYFUNCTION("""COMPUTED_VALUE"""),"Nate Hunter")</f>
        <v>Nate Hunter</v>
      </c>
      <c r="B1455" s="1" t="str">
        <f>IFERROR(__xludf.DUMMYFUNCTION("""COMPUTED_VALUE"""),"MS")</f>
        <v>MS</v>
      </c>
    </row>
    <row r="1456" ht="15.75" customHeight="1">
      <c r="A1456" s="1" t="str">
        <f>IFERROR(__xludf.DUMMYFUNCTION("""COMPUTED_VALUE"""),"Bryn Hunter")</f>
        <v>Bryn Hunter</v>
      </c>
      <c r="B1456" s="1" t="str">
        <f>IFERROR(__xludf.DUMMYFUNCTION("""COMPUTED_VALUE"""),"L1")</f>
        <v>L1</v>
      </c>
    </row>
    <row r="1457" ht="15.75" customHeight="1">
      <c r="A1457" s="1" t="str">
        <f>IFERROR(__xludf.DUMMYFUNCTION("""COMPUTED_VALUE"""),"Grey Hunter")</f>
        <v>Grey Hunter</v>
      </c>
      <c r="B1457" s="1" t="str">
        <f>IFERROR(__xludf.DUMMYFUNCTION("""COMPUTED_VALUE"""),"L1")</f>
        <v>L1</v>
      </c>
    </row>
    <row r="1458" ht="15.75" customHeight="1">
      <c r="A1458" s="1" t="str">
        <f>IFERROR(__xludf.DUMMYFUNCTION("""COMPUTED_VALUE"""),"Henry Frick")</f>
        <v>Henry Frick</v>
      </c>
      <c r="B1458" s="1" t="str">
        <f>IFERROR(__xludf.DUMMYFUNCTION("""COMPUTED_VALUE"""),"L2")</f>
        <v>L2</v>
      </c>
    </row>
    <row r="1459" ht="15.75" customHeight="1">
      <c r="A1459" s="1" t="str">
        <f>IFERROR(__xludf.DUMMYFUNCTION("""COMPUTED_VALUE"""),"Presley Rios")</f>
        <v>Presley Rios</v>
      </c>
      <c r="B1459" s="1" t="str">
        <f>IFERROR(__xludf.DUMMYFUNCTION("""COMPUTED_VALUE"""),"L1")</f>
        <v>L1</v>
      </c>
    </row>
    <row r="1460" ht="15.75" customHeight="1">
      <c r="A1460" s="1" t="str">
        <f>IFERROR(__xludf.DUMMYFUNCTION("""COMPUTED_VALUE"""),"Jacob Jardine")</f>
        <v>Jacob Jardine</v>
      </c>
      <c r="B1460" s="1" t="str">
        <f>IFERROR(__xludf.DUMMYFUNCTION("""COMPUTED_VALUE"""),"MS")</f>
        <v>MS</v>
      </c>
    </row>
    <row r="1461" ht="15.75" customHeight="1">
      <c r="A1461" s="1" t="str">
        <f>IFERROR(__xludf.DUMMYFUNCTION("""COMPUTED_VALUE"""),"Bay Geraghty")</f>
        <v>Bay Geraghty</v>
      </c>
      <c r="B1461" s="1" t="str">
        <f>IFERROR(__xludf.DUMMYFUNCTION("""COMPUTED_VALUE"""),"L2")</f>
        <v>L2</v>
      </c>
    </row>
    <row r="1462" ht="15.75" customHeight="1">
      <c r="A1462" s="1" t="str">
        <f>IFERROR(__xludf.DUMMYFUNCTION("""COMPUTED_VALUE"""),"Tristan Geraghty")</f>
        <v>Tristan Geraghty</v>
      </c>
      <c r="B1462" s="1" t="str">
        <f>IFERROR(__xludf.DUMMYFUNCTION("""COMPUTED_VALUE"""),"L1")</f>
        <v>L1</v>
      </c>
    </row>
    <row r="1463" ht="15.75" customHeight="1">
      <c r="A1463" s="1" t="str">
        <f>IFERROR(__xludf.DUMMYFUNCTION("""COMPUTED_VALUE"""),"Bea Kennedy")</f>
        <v>Bea Kennedy</v>
      </c>
      <c r="B1463" s="1" t="str">
        <f>IFERROR(__xludf.DUMMYFUNCTION("""COMPUTED_VALUE"""),"MS")</f>
        <v>MS</v>
      </c>
    </row>
    <row r="1464" ht="15.75" customHeight="1">
      <c r="A1464" s="1" t="str">
        <f>IFERROR(__xludf.DUMMYFUNCTION("""COMPUTED_VALUE"""),"Bobby Kennedy IV")</f>
        <v>Bobby Kennedy IV</v>
      </c>
      <c r="B1464" s="1" t="str">
        <f>IFERROR(__xludf.DUMMYFUNCTION("""COMPUTED_VALUE"""),"L2")</f>
        <v>L2</v>
      </c>
    </row>
    <row r="1465" ht="15.75" customHeight="1">
      <c r="A1465" s="1" t="str">
        <f>IFERROR(__xludf.DUMMYFUNCTION("""COMPUTED_VALUE"""),"Charlie Kennedy")</f>
        <v>Charlie Kennedy</v>
      </c>
      <c r="B1465" s="1" t="str">
        <f>IFERROR(__xludf.DUMMYFUNCTION("""COMPUTED_VALUE"""),"L1")</f>
        <v>L1</v>
      </c>
    </row>
    <row r="1466" ht="15.75" customHeight="1">
      <c r="A1466" s="1" t="str">
        <f>IFERROR(__xludf.DUMMYFUNCTION("""COMPUTED_VALUE"""),"Jackson Grabbe")</f>
        <v>Jackson Grabbe</v>
      </c>
      <c r="B1466" s="1" t="str">
        <f>IFERROR(__xludf.DUMMYFUNCTION("""COMPUTED_VALUE"""),"L1")</f>
        <v>L1</v>
      </c>
    </row>
    <row r="1467" ht="15.75" customHeight="1">
      <c r="A1467" s="1" t="str">
        <f>IFERROR(__xludf.DUMMYFUNCTION("""COMPUTED_VALUE"""),"Ren Grabbe")</f>
        <v>Ren Grabbe</v>
      </c>
      <c r="B1467" s="1" t="str">
        <f>IFERROR(__xludf.DUMMYFUNCTION("""COMPUTED_VALUE"""),"LL")</f>
        <v>LL</v>
      </c>
    </row>
    <row r="1468" ht="15.75" customHeight="1">
      <c r="A1468" s="1" t="str">
        <f>IFERROR(__xludf.DUMMYFUNCTION("""COMPUTED_VALUE"""),"Freddie Nordheim")</f>
        <v>Freddie Nordheim</v>
      </c>
      <c r="B1468" s="1" t="str">
        <f>IFERROR(__xludf.DUMMYFUNCTION("""COMPUTED_VALUE"""),"L2")</f>
        <v>L2</v>
      </c>
    </row>
    <row r="1469" ht="15.75" customHeight="1">
      <c r="A1469" s="1" t="str">
        <f>IFERROR(__xludf.DUMMYFUNCTION("""COMPUTED_VALUE"""),"Milly Hedgepeth")</f>
        <v>Milly Hedgepeth</v>
      </c>
      <c r="B1469" s="1" t="str">
        <f>IFERROR(__xludf.DUMMYFUNCTION("""COMPUTED_VALUE"""),"MS")</f>
        <v>MS</v>
      </c>
    </row>
    <row r="1470" ht="15.75" customHeight="1">
      <c r="A1470" s="1" t="str">
        <f>IFERROR(__xludf.DUMMYFUNCTION("""COMPUTED_VALUE"""),"Jolene Nordheim")</f>
        <v>Jolene Nordheim</v>
      </c>
      <c r="B1470" s="1" t="str">
        <f>IFERROR(__xludf.DUMMYFUNCTION("""COMPUTED_VALUE"""),"L2")</f>
        <v>L2</v>
      </c>
    </row>
    <row r="1471" ht="15.75" customHeight="1">
      <c r="A1471" s="1" t="str">
        <f>IFERROR(__xludf.DUMMYFUNCTION("""COMPUTED_VALUE"""),"Aaron Jansky")</f>
        <v>Aaron Jansky</v>
      </c>
      <c r="B1471" s="1" t="str">
        <f>IFERROR(__xludf.DUMMYFUNCTION("""COMPUTED_VALUE"""),"L1")</f>
        <v>L1</v>
      </c>
    </row>
    <row r="1472" ht="15.75" customHeight="1">
      <c r="A1472" s="1" t="str">
        <f>IFERROR(__xludf.DUMMYFUNCTION("""COMPUTED_VALUE"""),"Carrter Winfrey")</f>
        <v>Carrter Winfrey</v>
      </c>
      <c r="B1472" s="1" t="str">
        <f>IFERROR(__xludf.DUMMYFUNCTION("""COMPUTED_VALUE"""),"MS")</f>
        <v>MS</v>
      </c>
    </row>
    <row r="1473" ht="15.75" customHeight="1">
      <c r="A1473" s="1" t="str">
        <f>IFERROR(__xludf.DUMMYFUNCTION("""COMPUTED_VALUE"""),"Jackson Gilliam")</f>
        <v>Jackson Gilliam</v>
      </c>
      <c r="B1473" s="1" t="str">
        <f>IFERROR(__xludf.DUMMYFUNCTION("""COMPUTED_VALUE"""),"L2")</f>
        <v>L2</v>
      </c>
    </row>
    <row r="1474" ht="15.75" customHeight="1">
      <c r="A1474" s="1" t="str">
        <f>IFERROR(__xludf.DUMMYFUNCTION("""COMPUTED_VALUE"""),"Jett Winfrey")</f>
        <v>Jett Winfrey</v>
      </c>
      <c r="B1474" s="1" t="str">
        <f>IFERROR(__xludf.DUMMYFUNCTION("""COMPUTED_VALUE"""),"L2")</f>
        <v>L2</v>
      </c>
    </row>
    <row r="1475" ht="15.75" customHeight="1">
      <c r="A1475" s="1" t="str">
        <f>IFERROR(__xludf.DUMMYFUNCTION("""COMPUTED_VALUE"""),"Masen Winfrey")</f>
        <v>Masen Winfrey</v>
      </c>
      <c r="B1475" s="1" t="str">
        <f>IFERROR(__xludf.DUMMYFUNCTION("""COMPUTED_VALUE"""),"L2")</f>
        <v>L2</v>
      </c>
    </row>
    <row r="1476" ht="15.75" customHeight="1">
      <c r="A1476" s="1" t="str">
        <f>IFERROR(__xludf.DUMMYFUNCTION("""COMPUTED_VALUE"""),"Yeva Cohen")</f>
        <v>Yeva Cohen</v>
      </c>
      <c r="B1476" s="1" t="str">
        <f>IFERROR(__xludf.DUMMYFUNCTION("""COMPUTED_VALUE"""),"MS")</f>
        <v>MS</v>
      </c>
    </row>
    <row r="1477" ht="15.75" customHeight="1">
      <c r="A1477" s="1" t="str">
        <f>IFERROR(__xludf.DUMMYFUNCTION("""COMPUTED_VALUE"""),"Fisher Winfrey")</f>
        <v>Fisher Winfrey</v>
      </c>
      <c r="B1477" s="1" t="str">
        <f>IFERROR(__xludf.DUMMYFUNCTION("""COMPUTED_VALUE"""),"L1")</f>
        <v>L1</v>
      </c>
    </row>
    <row r="1478" ht="15.75" customHeight="1">
      <c r="A1478" s="1" t="str">
        <f>IFERROR(__xludf.DUMMYFUNCTION("""COMPUTED_VALUE"""),"Lynk Winfrey")</f>
        <v>Lynk Winfrey</v>
      </c>
      <c r="B1478" s="1" t="str">
        <f>IFERROR(__xludf.DUMMYFUNCTION("""COMPUTED_VALUE"""),"L1")</f>
        <v>L1</v>
      </c>
    </row>
    <row r="1479" ht="15.75" customHeight="1">
      <c r="A1479" s="1" t="str">
        <f>IFERROR(__xludf.DUMMYFUNCTION("""COMPUTED_VALUE"""),"Savva Cohen")</f>
        <v>Savva Cohen</v>
      </c>
      <c r="B1479" s="1" t="str">
        <f>IFERROR(__xludf.DUMMYFUNCTION("""COMPUTED_VALUE"""),"L2")</f>
        <v>L2</v>
      </c>
    </row>
    <row r="1480" ht="15.75" customHeight="1">
      <c r="A1480" s="1" t="str">
        <f>IFERROR(__xludf.DUMMYFUNCTION("""COMPUTED_VALUE"""),"Maria Ballinger")</f>
        <v>Maria Ballinger</v>
      </c>
      <c r="B1480" s="1" t="str">
        <f>IFERROR(__xludf.DUMMYFUNCTION("""COMPUTED_VALUE"""),"MS")</f>
        <v>MS</v>
      </c>
    </row>
    <row r="1481" ht="15.75" customHeight="1">
      <c r="A1481" s="1" t="str">
        <f>IFERROR(__xludf.DUMMYFUNCTION("""COMPUTED_VALUE"""),"Aaron Ballinger")</f>
        <v>Aaron Ballinger</v>
      </c>
      <c r="B1481" s="1" t="str">
        <f>IFERROR(__xludf.DUMMYFUNCTION("""COMPUTED_VALUE"""),"MS")</f>
        <v>MS</v>
      </c>
    </row>
    <row r="1482" ht="15.75" customHeight="1">
      <c r="A1482" s="1" t="str">
        <f>IFERROR(__xludf.DUMMYFUNCTION("""COMPUTED_VALUE"""),"Blaise Ballinger")</f>
        <v>Blaise Ballinger</v>
      </c>
      <c r="B1482" s="1" t="str">
        <f>IFERROR(__xludf.DUMMYFUNCTION("""COMPUTED_VALUE"""),"L2")</f>
        <v>L2</v>
      </c>
    </row>
    <row r="1483" ht="15.75" customHeight="1">
      <c r="A1483" s="1" t="str">
        <f>IFERROR(__xludf.DUMMYFUNCTION("""COMPUTED_VALUE"""),"Charlie Jansky")</f>
        <v>Charlie Jansky</v>
      </c>
      <c r="B1483" s="1" t="str">
        <f>IFERROR(__xludf.DUMMYFUNCTION("""COMPUTED_VALUE"""),"LL")</f>
        <v>LL</v>
      </c>
    </row>
    <row r="1484" ht="15.75" customHeight="1">
      <c r="A1484" s="1" t="str">
        <f>IFERROR(__xludf.DUMMYFUNCTION("""COMPUTED_VALUE"""),"Sofia Santoro")</f>
        <v>Sofia Santoro</v>
      </c>
      <c r="B1484" s="1" t="str">
        <f>IFERROR(__xludf.DUMMYFUNCTION("""COMPUTED_VALUE"""),"MS")</f>
        <v>MS</v>
      </c>
    </row>
    <row r="1485" ht="15.75" customHeight="1">
      <c r="A1485" s="1" t="str">
        <f>IFERROR(__xludf.DUMMYFUNCTION("""COMPUTED_VALUE"""),"Camper Liston")</f>
        <v>Camper Liston</v>
      </c>
      <c r="B1485" s="1" t="str">
        <f>IFERROR(__xludf.DUMMYFUNCTION("""COMPUTED_VALUE"""),"L2")</f>
        <v>L2</v>
      </c>
    </row>
    <row r="1486" ht="15.75" customHeight="1">
      <c r="A1486" s="1" t="str">
        <f>IFERROR(__xludf.DUMMYFUNCTION("""COMPUTED_VALUE"""),"Autumn Barefoot")</f>
        <v>Autumn Barefoot</v>
      </c>
      <c r="B1486" s="1" t="str">
        <f>IFERROR(__xludf.DUMMYFUNCTION("""COMPUTED_VALUE"""),"MS")</f>
        <v>MS</v>
      </c>
    </row>
    <row r="1487" ht="15.75" customHeight="1">
      <c r="A1487" s="1" t="str">
        <f>IFERROR(__xludf.DUMMYFUNCTION("""COMPUTED_VALUE"""),"Isaaac Lindstrom")</f>
        <v>Isaaac Lindstrom</v>
      </c>
      <c r="B1487" s="1" t="str">
        <f>IFERROR(__xludf.DUMMYFUNCTION("""COMPUTED_VALUE"""),"MS")</f>
        <v>MS</v>
      </c>
    </row>
    <row r="1488" ht="15.75" customHeight="1">
      <c r="A1488" s="1" t="str">
        <f>IFERROR(__xludf.DUMMYFUNCTION("""COMPUTED_VALUE"""),"Ale Franklin")</f>
        <v>Ale Franklin</v>
      </c>
      <c r="B1488" s="1" t="str">
        <f>IFERROR(__xludf.DUMMYFUNCTION("""COMPUTED_VALUE"""),"L2")</f>
        <v>L2</v>
      </c>
    </row>
    <row r="1489" ht="15.75" customHeight="1">
      <c r="A1489" s="1" t="str">
        <f>IFERROR(__xludf.DUMMYFUNCTION("""COMPUTED_VALUE"""),"Sebi Franklin")</f>
        <v>Sebi Franklin</v>
      </c>
      <c r="B1489" s="1" t="str">
        <f>IFERROR(__xludf.DUMMYFUNCTION("""COMPUTED_VALUE"""),"L2")</f>
        <v>L2</v>
      </c>
    </row>
    <row r="1490" ht="15.75" customHeight="1">
      <c r="A1490" s="1" t="str">
        <f>IFERROR(__xludf.DUMMYFUNCTION("""COMPUTED_VALUE"""),"Nico Franklin")</f>
        <v>Nico Franklin</v>
      </c>
      <c r="B1490" s="1" t="str">
        <f>IFERROR(__xludf.DUMMYFUNCTION("""COMPUTED_VALUE"""),"L1")</f>
        <v>L1</v>
      </c>
    </row>
    <row r="1491" ht="15.75" customHeight="1">
      <c r="A1491" s="1" t="str">
        <f>IFERROR(__xludf.DUMMYFUNCTION("""COMPUTED_VALUE"""),"Ethan Hahn")</f>
        <v>Ethan Hahn</v>
      </c>
      <c r="B1491" s="1" t="str">
        <f>IFERROR(__xludf.DUMMYFUNCTION("""COMPUTED_VALUE"""),"MS")</f>
        <v>MS</v>
      </c>
    </row>
    <row r="1492" ht="15.75" customHeight="1">
      <c r="A1492" s="1" t="str">
        <f>IFERROR(__xludf.DUMMYFUNCTION("""COMPUTED_VALUE"""),"Ellis Hahn")</f>
        <v>Ellis Hahn</v>
      </c>
      <c r="B1492" s="1" t="str">
        <f>IFERROR(__xludf.DUMMYFUNCTION("""COMPUTED_VALUE"""),"L1")</f>
        <v>L1</v>
      </c>
    </row>
    <row r="1493" ht="15.75" customHeight="1">
      <c r="A1493" s="1" t="str">
        <f>IFERROR(__xludf.DUMMYFUNCTION("""COMPUTED_VALUE"""),"Noa McKnight")</f>
        <v>Noa McKnight</v>
      </c>
      <c r="B1493" s="1" t="str">
        <f>IFERROR(__xludf.DUMMYFUNCTION("""COMPUTED_VALUE"""),"L2")</f>
        <v>L2</v>
      </c>
    </row>
    <row r="1494" ht="15.75" customHeight="1">
      <c r="A1494" s="1" t="str">
        <f>IFERROR(__xludf.DUMMYFUNCTION("""COMPUTED_VALUE"""),"Parker Conley")</f>
        <v>Parker Conley</v>
      </c>
      <c r="B1494" s="1" t="str">
        <f>IFERROR(__xludf.DUMMYFUNCTION("""COMPUTED_VALUE"""),"L2")</f>
        <v>L2</v>
      </c>
    </row>
    <row r="1495" ht="15.75" customHeight="1">
      <c r="A1495" s="1" t="str">
        <f>IFERROR(__xludf.DUMMYFUNCTION("""COMPUTED_VALUE"""),"Alecia Conley")</f>
        <v>Alecia Conley</v>
      </c>
      <c r="B1495" s="1" t="str">
        <f>IFERROR(__xludf.DUMMYFUNCTION("""COMPUTED_VALUE"""),"L1")</f>
        <v>L1</v>
      </c>
    </row>
    <row r="1496" ht="15.75" customHeight="1">
      <c r="A1496" s="1" t="str">
        <f>IFERROR(__xludf.DUMMYFUNCTION("""COMPUTED_VALUE"""),"Roma Day")</f>
        <v>Roma Day</v>
      </c>
      <c r="B1496" s="1" t="str">
        <f>IFERROR(__xludf.DUMMYFUNCTION("""COMPUTED_VALUE"""),"MS")</f>
        <v>MS</v>
      </c>
    </row>
    <row r="1497" ht="15.75" customHeight="1">
      <c r="A1497" s="1" t="str">
        <f>IFERROR(__xludf.DUMMYFUNCTION("""COMPUTED_VALUE"""),"LEO BAILEY")</f>
        <v>LEO BAILEY</v>
      </c>
      <c r="B1497" s="1" t="str">
        <f>IFERROR(__xludf.DUMMYFUNCTION("""COMPUTED_VALUE"""),"MS")</f>
        <v>MS</v>
      </c>
    </row>
    <row r="1498" ht="15.75" customHeight="1">
      <c r="A1498" s="1" t="str">
        <f>IFERROR(__xludf.DUMMYFUNCTION("""COMPUTED_VALUE"""),"Alyson Sowers")</f>
        <v>Alyson Sowers</v>
      </c>
      <c r="B1498" s="1" t="str">
        <f>IFERROR(__xludf.DUMMYFUNCTION("""COMPUTED_VALUE"""),"L2")</f>
        <v>L2</v>
      </c>
    </row>
    <row r="1499" ht="15.75" customHeight="1">
      <c r="A1499" s="1" t="str">
        <f>IFERROR(__xludf.DUMMYFUNCTION("""COMPUTED_VALUE"""),"Catherine Sowers")</f>
        <v>Catherine Sowers</v>
      </c>
      <c r="B1499" s="1" t="str">
        <f>IFERROR(__xludf.DUMMYFUNCTION("""COMPUTED_VALUE"""),"L2")</f>
        <v>L2</v>
      </c>
    </row>
    <row r="1500" ht="15.75" customHeight="1">
      <c r="A1500" s="1" t="str">
        <f>IFERROR(__xludf.DUMMYFUNCTION("""COMPUTED_VALUE"""),"Juliet Sowers")</f>
        <v>Juliet Sowers</v>
      </c>
      <c r="B1500" s="1" t="str">
        <f>IFERROR(__xludf.DUMMYFUNCTION("""COMPUTED_VALUE"""),"L1")</f>
        <v>L1</v>
      </c>
    </row>
    <row r="1501" ht="15.75" customHeight="1">
      <c r="A1501" s="1" t="str">
        <f>IFERROR(__xludf.DUMMYFUNCTION("""COMPUTED_VALUE"""),"Henry Sharpe")</f>
        <v>Henry Sharpe</v>
      </c>
      <c r="B1501" s="1" t="str">
        <f>IFERROR(__xludf.DUMMYFUNCTION("""COMPUTED_VALUE"""),"MS")</f>
        <v>MS</v>
      </c>
    </row>
    <row r="1502" ht="15.75" customHeight="1">
      <c r="A1502" s="1" t="str">
        <f>IFERROR(__xludf.DUMMYFUNCTION("""COMPUTED_VALUE"""),"Alyssa Hakes")</f>
        <v>Alyssa Hakes</v>
      </c>
      <c r="B1502" s="1" t="str">
        <f>IFERROR(__xludf.DUMMYFUNCTION("""COMPUTED_VALUE"""),"HS")</f>
        <v>HS</v>
      </c>
    </row>
    <row r="1503" ht="15.75" customHeight="1">
      <c r="A1503" s="1" t="str">
        <f>IFERROR(__xludf.DUMMYFUNCTION("""COMPUTED_VALUE"""),"Sofia Heckman")</f>
        <v>Sofia Heckman</v>
      </c>
      <c r="B1503" s="1" t="str">
        <f>IFERROR(__xludf.DUMMYFUNCTION("""COMPUTED_VALUE"""),"L1")</f>
        <v>L1</v>
      </c>
    </row>
    <row r="1504" ht="15.75" customHeight="1">
      <c r="A1504" s="1" t="str">
        <f>IFERROR(__xludf.DUMMYFUNCTION("""COMPUTED_VALUE"""),"Elijah Delug")</f>
        <v>Elijah Delug</v>
      </c>
      <c r="B1504" s="1" t="str">
        <f>IFERROR(__xludf.DUMMYFUNCTION("""COMPUTED_VALUE"""),"MS")</f>
        <v>MS</v>
      </c>
    </row>
    <row r="1505" ht="15.75" customHeight="1">
      <c r="A1505" s="1" t="str">
        <f>IFERROR(__xludf.DUMMYFUNCTION("""COMPUTED_VALUE"""),"akiva delug")</f>
        <v>akiva delug</v>
      </c>
      <c r="B1505" s="1" t="str">
        <f>IFERROR(__xludf.DUMMYFUNCTION("""COMPUTED_VALUE"""),"MS")</f>
        <v>MS</v>
      </c>
    </row>
    <row r="1506" ht="15.75" customHeight="1">
      <c r="A1506" s="1" t="str">
        <f>IFERROR(__xludf.DUMMYFUNCTION("""COMPUTED_VALUE"""),"Zander Sullivan")</f>
        <v>Zander Sullivan</v>
      </c>
      <c r="B1506" s="1" t="str">
        <f>IFERROR(__xludf.DUMMYFUNCTION("""COMPUTED_VALUE"""),"MS")</f>
        <v>MS</v>
      </c>
    </row>
    <row r="1507" ht="15.75" customHeight="1">
      <c r="A1507" s="1" t="str">
        <f>IFERROR(__xludf.DUMMYFUNCTION("""COMPUTED_VALUE"""),"Abbie Skok")</f>
        <v>Abbie Skok</v>
      </c>
      <c r="B1507" s="1" t="str">
        <f>IFERROR(__xludf.DUMMYFUNCTION("""COMPUTED_VALUE"""),"L2")</f>
        <v>L2</v>
      </c>
    </row>
    <row r="1508" ht="15.75" customHeight="1">
      <c r="A1508" s="1" t="str">
        <f>IFERROR(__xludf.DUMMYFUNCTION("""COMPUTED_VALUE"""),"Atlas Ablon")</f>
        <v>Atlas Ablon</v>
      </c>
      <c r="B1508" s="1" t="str">
        <f>IFERROR(__xludf.DUMMYFUNCTION("""COMPUTED_VALUE"""),"L1")</f>
        <v>L1</v>
      </c>
    </row>
    <row r="1509" ht="15.75" customHeight="1">
      <c r="A1509" s="1" t="str">
        <f>IFERROR(__xludf.DUMMYFUNCTION("""COMPUTED_VALUE"""),"Ava Bradley")</f>
        <v>Ava Bradley</v>
      </c>
      <c r="B1509" s="1" t="str">
        <f>IFERROR(__xludf.DUMMYFUNCTION("""COMPUTED_VALUE"""),"LL")</f>
        <v>LL</v>
      </c>
    </row>
    <row r="1510" ht="15.75" customHeight="1">
      <c r="A1510" s="1" t="str">
        <f>IFERROR(__xludf.DUMMYFUNCTION("""COMPUTED_VALUE"""),"Paul Gleason")</f>
        <v>Paul Gleason</v>
      </c>
      <c r="B1510" s="1" t="str">
        <f>IFERROR(__xludf.DUMMYFUNCTION("""COMPUTED_VALUE"""),"L2")</f>
        <v>L2</v>
      </c>
    </row>
    <row r="1511" ht="15.75" customHeight="1">
      <c r="A1511" s="1" t="str">
        <f>IFERROR(__xludf.DUMMYFUNCTION("""COMPUTED_VALUE"""),"Jake Buchert")</f>
        <v>Jake Buchert</v>
      </c>
      <c r="B1511" s="1" t="str">
        <f>IFERROR(__xludf.DUMMYFUNCTION("""COMPUTED_VALUE"""),"MS")</f>
        <v>MS</v>
      </c>
    </row>
    <row r="1512" ht="15.75" customHeight="1">
      <c r="A1512" s="1" t="str">
        <f>IFERROR(__xludf.DUMMYFUNCTION("""COMPUTED_VALUE"""),"Aryn L")</f>
        <v>Aryn L</v>
      </c>
      <c r="B1512" s="1" t="str">
        <f>IFERROR(__xludf.DUMMYFUNCTION("""COMPUTED_VALUE"""),"L2")</f>
        <v>L2</v>
      </c>
    </row>
    <row r="1513" ht="15.75" customHeight="1">
      <c r="A1513" s="1" t="str">
        <f>IFERROR(__xludf.DUMMYFUNCTION("""COMPUTED_VALUE"""),"Aryc L")</f>
        <v>Aryc L</v>
      </c>
      <c r="B1513" s="1" t="str">
        <f>IFERROR(__xludf.DUMMYFUNCTION("""COMPUTED_VALUE"""),"HS")</f>
        <v>HS</v>
      </c>
    </row>
    <row r="1514" ht="15.75" customHeight="1">
      <c r="A1514" s="1" t="str">
        <f>IFERROR(__xludf.DUMMYFUNCTION("""COMPUTED_VALUE"""),"Eli Ghazarian")</f>
        <v>Eli Ghazarian</v>
      </c>
      <c r="B1514" s="1" t="str">
        <f>IFERROR(__xludf.DUMMYFUNCTION("""COMPUTED_VALUE"""),"L2")</f>
        <v>L2</v>
      </c>
    </row>
    <row r="1515" ht="15.75" customHeight="1">
      <c r="A1515" s="1" t="str">
        <f>IFERROR(__xludf.DUMMYFUNCTION("""COMPUTED_VALUE"""),"AJ Bombino")</f>
        <v>AJ Bombino</v>
      </c>
      <c r="B1515" s="1" t="str">
        <f>IFERROR(__xludf.DUMMYFUNCTION("""COMPUTED_VALUE"""),"MS")</f>
        <v>MS</v>
      </c>
    </row>
    <row r="1516" ht="15.75" customHeight="1">
      <c r="A1516" s="1" t="str">
        <f>IFERROR(__xludf.DUMMYFUNCTION("""COMPUTED_VALUE"""),"Kirill M")</f>
        <v>Kirill M</v>
      </c>
      <c r="B1516" s="1" t="str">
        <f>IFERROR(__xludf.DUMMYFUNCTION("""COMPUTED_VALUE"""),"L2")</f>
        <v>L2</v>
      </c>
    </row>
    <row r="1517" ht="15.75" customHeight="1">
      <c r="A1517" s="1" t="str">
        <f>IFERROR(__xludf.DUMMYFUNCTION("""COMPUTED_VALUE"""),"Grace McClure")</f>
        <v>Grace McClure</v>
      </c>
      <c r="B1517" s="1" t="str">
        <f>IFERROR(__xludf.DUMMYFUNCTION("""COMPUTED_VALUE"""),"MS")</f>
        <v>MS</v>
      </c>
    </row>
    <row r="1518" ht="15.75" customHeight="1">
      <c r="A1518" s="1" t="str">
        <f>IFERROR(__xludf.DUMMYFUNCTION("""COMPUTED_VALUE"""),"Jack McClure")</f>
        <v>Jack McClure</v>
      </c>
      <c r="B1518" s="1" t="str">
        <f>IFERROR(__xludf.DUMMYFUNCTION("""COMPUTED_VALUE"""),"L2")</f>
        <v>L2</v>
      </c>
    </row>
    <row r="1519" ht="15.75" customHeight="1">
      <c r="A1519" s="1" t="str">
        <f>IFERROR(__xludf.DUMMYFUNCTION("""COMPUTED_VALUE"""),"Penelope Kelly")</f>
        <v>Penelope Kelly</v>
      </c>
      <c r="B1519" s="1" t="str">
        <f>IFERROR(__xludf.DUMMYFUNCTION("""COMPUTED_VALUE"""),"MS")</f>
        <v>MS</v>
      </c>
    </row>
    <row r="1520" ht="15.75" customHeight="1">
      <c r="A1520" s="1" t="str">
        <f>IFERROR(__xludf.DUMMYFUNCTION("""COMPUTED_VALUE"""),"Myles Kelly")</f>
        <v>Myles Kelly</v>
      </c>
      <c r="B1520" s="1" t="str">
        <f>IFERROR(__xludf.DUMMYFUNCTION("""COMPUTED_VALUE"""),"MS")</f>
        <v>MS</v>
      </c>
    </row>
    <row r="1521" ht="15.75" customHeight="1">
      <c r="A1521" s="1" t="str">
        <f>IFERROR(__xludf.DUMMYFUNCTION("""COMPUTED_VALUE"""),"Kingsley Kelly")</f>
        <v>Kingsley Kelly</v>
      </c>
      <c r="B1521" s="1" t="str">
        <f>IFERROR(__xludf.DUMMYFUNCTION("""COMPUTED_VALUE"""),"HS")</f>
        <v>HS</v>
      </c>
    </row>
    <row r="1522" ht="15.75" customHeight="1">
      <c r="A1522" s="1" t="str">
        <f>IFERROR(__xludf.DUMMYFUNCTION("""COMPUTED_VALUE"""),"Ezra Rash")</f>
        <v>Ezra Rash</v>
      </c>
      <c r="B1522" s="1" t="str">
        <f>IFERROR(__xludf.DUMMYFUNCTION("""COMPUTED_VALUE"""),"L2")</f>
        <v>L2</v>
      </c>
    </row>
    <row r="1523" ht="15.75" customHeight="1">
      <c r="A1523" s="1" t="str">
        <f>IFERROR(__xludf.DUMMYFUNCTION("""COMPUTED_VALUE"""),"Enoch Rash")</f>
        <v>Enoch Rash</v>
      </c>
      <c r="B1523" s="1" t="str">
        <f>IFERROR(__xludf.DUMMYFUNCTION("""COMPUTED_VALUE"""),"MS")</f>
        <v>MS</v>
      </c>
    </row>
    <row r="1524" ht="15.75" customHeight="1">
      <c r="A1524" s="1" t="str">
        <f>IFERROR(__xludf.DUMMYFUNCTION("""COMPUTED_VALUE"""),"Annabelle Allen-Hughes")</f>
        <v>Annabelle Allen-Hughes</v>
      </c>
      <c r="B1524" s="1" t="str">
        <f>IFERROR(__xludf.DUMMYFUNCTION("""COMPUTED_VALUE"""),"L1")</f>
        <v>L1</v>
      </c>
    </row>
    <row r="1525" ht="15.75" customHeight="1">
      <c r="A1525" s="1" t="str">
        <f>IFERROR(__xludf.DUMMYFUNCTION("""COMPUTED_VALUE"""),"Amdriel Tineo Sams")</f>
        <v>Amdriel Tineo Sams</v>
      </c>
      <c r="B1525" s="1" t="str">
        <f>IFERROR(__xludf.DUMMYFUNCTION("""COMPUTED_VALUE"""),"L2")</f>
        <v>L2</v>
      </c>
    </row>
    <row r="1526" ht="15.75" customHeight="1">
      <c r="A1526" s="1" t="str">
        <f>IFERROR(__xludf.DUMMYFUNCTION("""COMPUTED_VALUE"""),"Calder Torrez")</f>
        <v>Calder Torrez</v>
      </c>
      <c r="B1526" s="1" t="str">
        <f>IFERROR(__xludf.DUMMYFUNCTION("""COMPUTED_VALUE"""),"L2")</f>
        <v>L2</v>
      </c>
    </row>
    <row r="1527" ht="15.75" customHeight="1">
      <c r="A1527" s="1" t="str">
        <f>IFERROR(__xludf.DUMMYFUNCTION("""COMPUTED_VALUE"""),"Isaiah Yap")</f>
        <v>Isaiah Yap</v>
      </c>
      <c r="B1527" s="1" t="str">
        <f>IFERROR(__xludf.DUMMYFUNCTION("""COMPUTED_VALUE"""),"L2")</f>
        <v>L2</v>
      </c>
    </row>
    <row r="1528" ht="15.75" customHeight="1">
      <c r="A1528" s="1" t="str">
        <f>IFERROR(__xludf.DUMMYFUNCTION("""COMPUTED_VALUE"""),"Sidney Ridge")</f>
        <v>Sidney Ridge</v>
      </c>
      <c r="B1528" s="1" t="str">
        <f>IFERROR(__xludf.DUMMYFUNCTION("""COMPUTED_VALUE"""),"MS")</f>
        <v>MS</v>
      </c>
    </row>
    <row r="1529" ht="15.75" customHeight="1">
      <c r="A1529" s="1" t="str">
        <f>IFERROR(__xludf.DUMMYFUNCTION("""COMPUTED_VALUE"""),"Sydney Khan")</f>
        <v>Sydney Khan</v>
      </c>
      <c r="B1529" s="1" t="str">
        <f>IFERROR(__xludf.DUMMYFUNCTION("""COMPUTED_VALUE"""),"MS")</f>
        <v>MS</v>
      </c>
    </row>
    <row r="1530" ht="15.75" customHeight="1">
      <c r="A1530" s="1" t="str">
        <f>IFERROR(__xludf.DUMMYFUNCTION("""COMPUTED_VALUE"""),"Charley Swibel")</f>
        <v>Charley Swibel</v>
      </c>
      <c r="B1530" s="1" t="str">
        <f>IFERROR(__xludf.DUMMYFUNCTION("""COMPUTED_VALUE"""),"L2")</f>
        <v>L2</v>
      </c>
    </row>
    <row r="1531" ht="15.75" customHeight="1">
      <c r="A1531" s="1" t="str">
        <f>IFERROR(__xludf.DUMMYFUNCTION("""COMPUTED_VALUE"""),"Max Santos")</f>
        <v>Max Santos</v>
      </c>
      <c r="B1531" s="1" t="str">
        <f>IFERROR(__xludf.DUMMYFUNCTION("""COMPUTED_VALUE"""),"L1")</f>
        <v>L1</v>
      </c>
    </row>
    <row r="1532" ht="15.75" customHeight="1">
      <c r="A1532" s="1" t="str">
        <f>IFERROR(__xludf.DUMMYFUNCTION("""COMPUTED_VALUE"""),"Gusto Santos")</f>
        <v>Gusto Santos</v>
      </c>
      <c r="B1532" s="1" t="str">
        <f>IFERROR(__xludf.DUMMYFUNCTION("""COMPUTED_VALUE"""),"LL")</f>
        <v>LL</v>
      </c>
    </row>
    <row r="1533" ht="15.75" customHeight="1">
      <c r="A1533" s="1" t="str">
        <f>IFERROR(__xludf.DUMMYFUNCTION("""COMPUTED_VALUE"""),"Lexssa Link")</f>
        <v>Lexssa Link</v>
      </c>
      <c r="B1533" s="1" t="str">
        <f>IFERROR(__xludf.DUMMYFUNCTION("""COMPUTED_VALUE"""),"MS")</f>
        <v>MS</v>
      </c>
    </row>
    <row r="1534" ht="15.75" customHeight="1">
      <c r="A1534" s="1" t="str">
        <f>IFERROR(__xludf.DUMMYFUNCTION("""COMPUTED_VALUE"""),"Jack Link")</f>
        <v>Jack Link</v>
      </c>
      <c r="B1534" s="1" t="str">
        <f>IFERROR(__xludf.DUMMYFUNCTION("""COMPUTED_VALUE"""),"MS")</f>
        <v>MS</v>
      </c>
    </row>
    <row r="1535" ht="15.75" customHeight="1">
      <c r="A1535" s="1" t="str">
        <f>IFERROR(__xludf.DUMMYFUNCTION("""COMPUTED_VALUE"""),"Caroline Biscardi")</f>
        <v>Caroline Biscardi</v>
      </c>
      <c r="B1535" s="1" t="str">
        <f>IFERROR(__xludf.DUMMYFUNCTION("""COMPUTED_VALUE"""),"MS")</f>
        <v>MS</v>
      </c>
    </row>
    <row r="1536" ht="15.75" customHeight="1">
      <c r="A1536" s="1" t="str">
        <f>IFERROR(__xludf.DUMMYFUNCTION("""COMPUTED_VALUE"""),"Hayden Currie")</f>
        <v>Hayden Currie</v>
      </c>
      <c r="B1536" s="1" t="str">
        <f>IFERROR(__xludf.DUMMYFUNCTION("""COMPUTED_VALUE"""),"L2")</f>
        <v>L2</v>
      </c>
    </row>
    <row r="1537" ht="15.75" customHeight="1">
      <c r="A1537" s="1" t="str">
        <f>IFERROR(__xludf.DUMMYFUNCTION("""COMPUTED_VALUE"""),"David Fang")</f>
        <v>David Fang</v>
      </c>
      <c r="B1537" s="1" t="str">
        <f>IFERROR(__xludf.DUMMYFUNCTION("""COMPUTED_VALUE"""),"MS")</f>
        <v>MS</v>
      </c>
    </row>
    <row r="1538" ht="15.75" customHeight="1">
      <c r="A1538" s="1" t="str">
        <f>IFERROR(__xludf.DUMMYFUNCTION("""COMPUTED_VALUE"""),"Owen Burdick")</f>
        <v>Owen Burdick</v>
      </c>
      <c r="B1538" s="1" t="str">
        <f>IFERROR(__xludf.DUMMYFUNCTION("""COMPUTED_VALUE"""),"HS")</f>
        <v>HS</v>
      </c>
    </row>
    <row r="1539" ht="15.75" customHeight="1">
      <c r="A1539" s="1" t="str">
        <f>IFERROR(__xludf.DUMMYFUNCTION("""COMPUTED_VALUE"""),"Cash Turner")</f>
        <v>Cash Turner</v>
      </c>
      <c r="B1539" s="1" t="str">
        <f>IFERROR(__xludf.DUMMYFUNCTION("""COMPUTED_VALUE"""),"MS")</f>
        <v>MS</v>
      </c>
    </row>
    <row r="1540" ht="15.75" customHeight="1">
      <c r="A1540" s="1" t="str">
        <f>IFERROR(__xludf.DUMMYFUNCTION("""COMPUTED_VALUE"""),"Xavier Olsen")</f>
        <v>Xavier Olsen</v>
      </c>
      <c r="B1540" s="1" t="str">
        <f>IFERROR(__xludf.DUMMYFUNCTION("""COMPUTED_VALUE"""),"MS")</f>
        <v>MS</v>
      </c>
    </row>
    <row r="1541" ht="15.75" customHeight="1">
      <c r="A1541" s="1" t="str">
        <f>IFERROR(__xludf.DUMMYFUNCTION("""COMPUTED_VALUE"""),"Nuh Shaik")</f>
        <v>Nuh Shaik</v>
      </c>
      <c r="B1541" s="1" t="str">
        <f>IFERROR(__xludf.DUMMYFUNCTION("""COMPUTED_VALUE"""),"L1")</f>
        <v>L1</v>
      </c>
    </row>
    <row r="1542" ht="15.75" customHeight="1">
      <c r="A1542" s="1" t="str">
        <f>IFERROR(__xludf.DUMMYFUNCTION("""COMPUTED_VALUE"""),"Ayla White")</f>
        <v>Ayla White</v>
      </c>
      <c r="B1542" s="1" t="str">
        <f>IFERROR(__xludf.DUMMYFUNCTION("""COMPUTED_VALUE"""),"L2")</f>
        <v>L2</v>
      </c>
    </row>
    <row r="1543" ht="15.75" customHeight="1">
      <c r="A1543" s="1" t="str">
        <f>IFERROR(__xludf.DUMMYFUNCTION("""COMPUTED_VALUE"""),"Casper White")</f>
        <v>Casper White</v>
      </c>
      <c r="B1543" s="1" t="str">
        <f>IFERROR(__xludf.DUMMYFUNCTION("""COMPUTED_VALUE"""),"L1")</f>
        <v>L1</v>
      </c>
    </row>
    <row r="1544" ht="15.75" customHeight="1">
      <c r="A1544" s="1" t="str">
        <f>IFERROR(__xludf.DUMMYFUNCTION("""COMPUTED_VALUE"""),"Solly Silin")</f>
        <v>Solly Silin</v>
      </c>
      <c r="B1544" s="1" t="str">
        <f>IFERROR(__xludf.DUMMYFUNCTION("""COMPUTED_VALUE"""),"L1")</f>
        <v>L1</v>
      </c>
    </row>
    <row r="1545" ht="15.75" customHeight="1">
      <c r="A1545" s="1" t="str">
        <f>IFERROR(__xludf.DUMMYFUNCTION("""COMPUTED_VALUE"""),"Harper Anderson")</f>
        <v>Harper Anderson</v>
      </c>
      <c r="B1545" s="1" t="str">
        <f>IFERROR(__xludf.DUMMYFUNCTION("""COMPUTED_VALUE"""),"MS")</f>
        <v>MS</v>
      </c>
    </row>
    <row r="1546" ht="15.75" customHeight="1">
      <c r="A1546" s="1" t="str">
        <f>IFERROR(__xludf.DUMMYFUNCTION("""COMPUTED_VALUE"""),"Vivian Anderson")</f>
        <v>Vivian Anderson</v>
      </c>
      <c r="B1546" s="1" t="str">
        <f>IFERROR(__xludf.DUMMYFUNCTION("""COMPUTED_VALUE"""),"L2")</f>
        <v>L2</v>
      </c>
    </row>
    <row r="1547" ht="15.75" customHeight="1">
      <c r="A1547" s="1" t="str">
        <f>IFERROR(__xludf.DUMMYFUNCTION("""COMPUTED_VALUE"""),"Jack Anderson")</f>
        <v>Jack Anderson</v>
      </c>
      <c r="B1547" s="1" t="str">
        <f>IFERROR(__xludf.DUMMYFUNCTION("""COMPUTED_VALUE"""),"L1")</f>
        <v>L1</v>
      </c>
    </row>
    <row r="1548" ht="15.75" customHeight="1">
      <c r="A1548" s="1" t="str">
        <f>IFERROR(__xludf.DUMMYFUNCTION("""COMPUTED_VALUE"""),"Sahana Couturier")</f>
        <v>Sahana Couturier</v>
      </c>
      <c r="B1548" s="1" t="str">
        <f>IFERROR(__xludf.DUMMYFUNCTION("""COMPUTED_VALUE"""),"L2")</f>
        <v>L2</v>
      </c>
    </row>
    <row r="1549" ht="15.75" customHeight="1">
      <c r="A1549" s="1" t="str">
        <f>IFERROR(__xludf.DUMMYFUNCTION("""COMPUTED_VALUE"""),"Mic Ogan")</f>
        <v>Mic Ogan</v>
      </c>
      <c r="B1549" s="1" t="str">
        <f>IFERROR(__xludf.DUMMYFUNCTION("""COMPUTED_VALUE"""),"L2")</f>
        <v>L2</v>
      </c>
    </row>
    <row r="1550" ht="15.75" customHeight="1">
      <c r="A1550" s="1" t="str">
        <f>IFERROR(__xludf.DUMMYFUNCTION("""COMPUTED_VALUE"""),"Aidan Kinsey")</f>
        <v>Aidan Kinsey</v>
      </c>
      <c r="B1550" s="1" t="str">
        <f>IFERROR(__xludf.DUMMYFUNCTION("""COMPUTED_VALUE"""),"L2")</f>
        <v>L2</v>
      </c>
    </row>
    <row r="1551" ht="15.75" customHeight="1">
      <c r="A1551" s="1" t="str">
        <f>IFERROR(__xludf.DUMMYFUNCTION("""COMPUTED_VALUE"""),"Ever Kinsey")</f>
        <v>Ever Kinsey</v>
      </c>
      <c r="B1551" s="1" t="str">
        <f>IFERROR(__xludf.DUMMYFUNCTION("""COMPUTED_VALUE"""),"MS")</f>
        <v>MS</v>
      </c>
    </row>
    <row r="1552" ht="15.75" customHeight="1">
      <c r="A1552" s="1" t="str">
        <f>IFERROR(__xludf.DUMMYFUNCTION("""COMPUTED_VALUE"""),"Alex Lambeas")</f>
        <v>Alex Lambeas</v>
      </c>
      <c r="B1552" s="1" t="str">
        <f>IFERROR(__xludf.DUMMYFUNCTION("""COMPUTED_VALUE"""),"MS")</f>
        <v>MS</v>
      </c>
    </row>
    <row r="1553" ht="15.75" customHeight="1">
      <c r="A1553" s="1" t="str">
        <f>IFERROR(__xludf.DUMMYFUNCTION("""COMPUTED_VALUE"""),"Daniel Lambeas")</f>
        <v>Daniel Lambeas</v>
      </c>
      <c r="B1553" s="1" t="str">
        <f>IFERROR(__xludf.DUMMYFUNCTION("""COMPUTED_VALUE"""),"L2")</f>
        <v>L2</v>
      </c>
    </row>
    <row r="1554" ht="15.75" customHeight="1">
      <c r="A1554" s="1" t="str">
        <f>IFERROR(__xludf.DUMMYFUNCTION("""COMPUTED_VALUE"""),"James Owen")</f>
        <v>James Owen</v>
      </c>
      <c r="B1554" s="1" t="str">
        <f>IFERROR(__xludf.DUMMYFUNCTION("""COMPUTED_VALUE"""),"MS")</f>
        <v>MS</v>
      </c>
    </row>
    <row r="1555" ht="15.75" customHeight="1">
      <c r="A1555" s="1" t="str">
        <f>IFERROR(__xludf.DUMMYFUNCTION("""COMPUTED_VALUE"""),"Tyler Harrell")</f>
        <v>Tyler Harrell</v>
      </c>
      <c r="B1555" s="1" t="str">
        <f>IFERROR(__xludf.DUMMYFUNCTION("""COMPUTED_VALUE"""),"L1")</f>
        <v>L1</v>
      </c>
    </row>
    <row r="1556" ht="15.75" customHeight="1">
      <c r="A1556" s="1" t="str">
        <f>IFERROR(__xludf.DUMMYFUNCTION("""COMPUTED_VALUE"""),"Tyson Harrell")</f>
        <v>Tyson Harrell</v>
      </c>
      <c r="B1556" s="1" t="str">
        <f>IFERROR(__xludf.DUMMYFUNCTION("""COMPUTED_VALUE"""),"LL")</f>
        <v>LL</v>
      </c>
    </row>
    <row r="1557" ht="15.75" customHeight="1">
      <c r="A1557" s="1" t="str">
        <f>IFERROR(__xludf.DUMMYFUNCTION("""COMPUTED_VALUE"""),"Zarmina Iftekhar")</f>
        <v>Zarmina Iftekhar</v>
      </c>
      <c r="B1557" s="1" t="str">
        <f>IFERROR(__xludf.DUMMYFUNCTION("""COMPUTED_VALUE"""),"MS")</f>
        <v>MS</v>
      </c>
    </row>
    <row r="1558" ht="15.75" customHeight="1">
      <c r="A1558" s="1" t="str">
        <f>IFERROR(__xludf.DUMMYFUNCTION("""COMPUTED_VALUE"""),"Sloane Hall")</f>
        <v>Sloane Hall</v>
      </c>
      <c r="B1558" s="1" t="str">
        <f>IFERROR(__xludf.DUMMYFUNCTION("""COMPUTED_VALUE"""),"L1")</f>
        <v>L1</v>
      </c>
    </row>
    <row r="1559" ht="15.75" customHeight="1">
      <c r="A1559" s="1" t="str">
        <f>IFERROR(__xludf.DUMMYFUNCTION("""COMPUTED_VALUE"""),"Ayana Iftekhar")</f>
        <v>Ayana Iftekhar</v>
      </c>
      <c r="B1559" s="1" t="str">
        <f>IFERROR(__xludf.DUMMYFUNCTION("""COMPUTED_VALUE"""),"L2")</f>
        <v>L2</v>
      </c>
    </row>
    <row r="1560" ht="15.75" customHeight="1">
      <c r="A1560" s="1" t="str">
        <f>IFERROR(__xludf.DUMMYFUNCTION("""COMPUTED_VALUE"""),"Theo Siok")</f>
        <v>Theo Siok</v>
      </c>
      <c r="B1560" s="1" t="str">
        <f>IFERROR(__xludf.DUMMYFUNCTION("""COMPUTED_VALUE"""),"L2")</f>
        <v>L2</v>
      </c>
    </row>
    <row r="1561" ht="15.75" customHeight="1">
      <c r="A1561" s="1" t="str">
        <f>IFERROR(__xludf.DUMMYFUNCTION("""COMPUTED_VALUE"""),"Bennett Reardon")</f>
        <v>Bennett Reardon</v>
      </c>
      <c r="B1561" s="1" t="str">
        <f>IFERROR(__xludf.DUMMYFUNCTION("""COMPUTED_VALUE"""),"MS")</f>
        <v>MS</v>
      </c>
    </row>
    <row r="1562" ht="15.75" customHeight="1">
      <c r="A1562" s="1" t="str">
        <f>IFERROR(__xludf.DUMMYFUNCTION("""COMPUTED_VALUE"""),"Callum Reardon")</f>
        <v>Callum Reardon</v>
      </c>
      <c r="B1562" s="1" t="str">
        <f>IFERROR(__xludf.DUMMYFUNCTION("""COMPUTED_VALUE"""),"MS")</f>
        <v>MS</v>
      </c>
    </row>
    <row r="1563" ht="15.75" customHeight="1">
      <c r="A1563" s="1" t="str">
        <f>IFERROR(__xludf.DUMMYFUNCTION("""COMPUTED_VALUE"""),"Vivienne Siok")</f>
        <v>Vivienne Siok</v>
      </c>
      <c r="B1563" s="1" t="str">
        <f>IFERROR(__xludf.DUMMYFUNCTION("""COMPUTED_VALUE"""),"L1")</f>
        <v>L1</v>
      </c>
    </row>
    <row r="1564" ht="15.75" customHeight="1">
      <c r="A1564" s="1" t="str">
        <f>IFERROR(__xludf.DUMMYFUNCTION("""COMPUTED_VALUE"""),"Annika Siok")</f>
        <v>Annika Siok</v>
      </c>
      <c r="B1564" s="1" t="str">
        <f>IFERROR(__xludf.DUMMYFUNCTION("""COMPUTED_VALUE"""),"L1")</f>
        <v>L1</v>
      </c>
    </row>
    <row r="1565" ht="15.75" customHeight="1">
      <c r="A1565" s="1" t="str">
        <f>IFERROR(__xludf.DUMMYFUNCTION("""COMPUTED_VALUE"""),"Ethan Ikauniks")</f>
        <v>Ethan Ikauniks</v>
      </c>
      <c r="B1565" s="1" t="str">
        <f>IFERROR(__xludf.DUMMYFUNCTION("""COMPUTED_VALUE"""),"L2")</f>
        <v>L2</v>
      </c>
    </row>
    <row r="1566" ht="15.75" customHeight="1">
      <c r="A1566" s="1" t="str">
        <f>IFERROR(__xludf.DUMMYFUNCTION("""COMPUTED_VALUE"""),"Sebastian Conway")</f>
        <v>Sebastian Conway</v>
      </c>
      <c r="B1566" s="1" t="str">
        <f>IFERROR(__xludf.DUMMYFUNCTION("""COMPUTED_VALUE"""),"L2")</f>
        <v>L2</v>
      </c>
    </row>
    <row r="1567" ht="15.75" customHeight="1">
      <c r="A1567" s="1" t="str">
        <f>IFERROR(__xludf.DUMMYFUNCTION("""COMPUTED_VALUE"""),"Olivia White")</f>
        <v>Olivia White</v>
      </c>
      <c r="B1567" s="1" t="str">
        <f>IFERROR(__xludf.DUMMYFUNCTION("""COMPUTED_VALUE"""),"L2")</f>
        <v>L2</v>
      </c>
    </row>
    <row r="1568" ht="15.75" customHeight="1">
      <c r="A1568" s="1" t="str">
        <f>IFERROR(__xludf.DUMMYFUNCTION("""COMPUTED_VALUE"""),"Ethan White")</f>
        <v>Ethan White</v>
      </c>
      <c r="B1568" s="1" t="str">
        <f>IFERROR(__xludf.DUMMYFUNCTION("""COMPUTED_VALUE"""),"L2")</f>
        <v>L2</v>
      </c>
    </row>
    <row r="1569" ht="15.75" customHeight="1">
      <c r="A1569" s="1" t="str">
        <f>IFERROR(__xludf.DUMMYFUNCTION("""COMPUTED_VALUE"""),"Benjamin Conway")</f>
        <v>Benjamin Conway</v>
      </c>
      <c r="B1569" s="1" t="str">
        <f>IFERROR(__xludf.DUMMYFUNCTION("""COMPUTED_VALUE"""),"L1")</f>
        <v>L1</v>
      </c>
    </row>
    <row r="1570" ht="15.75" customHeight="1">
      <c r="A1570" s="1" t="str">
        <f>IFERROR(__xludf.DUMMYFUNCTION("""COMPUTED_VALUE"""),"Vitek Neugebauer")</f>
        <v>Vitek Neugebauer</v>
      </c>
      <c r="B1570" s="1" t="str">
        <f>IFERROR(__xludf.DUMMYFUNCTION("""COMPUTED_VALUE"""),"L1")</f>
        <v>L1</v>
      </c>
    </row>
    <row r="1571" ht="15.75" customHeight="1">
      <c r="A1571" s="1" t="str">
        <f>IFERROR(__xludf.DUMMYFUNCTION("""COMPUTED_VALUE"""),"Krystof Neugebauer")</f>
        <v>Krystof Neugebauer</v>
      </c>
      <c r="B1571" s="1" t="str">
        <f>IFERROR(__xludf.DUMMYFUNCTION("""COMPUTED_VALUE"""),"L2")</f>
        <v>L2</v>
      </c>
    </row>
    <row r="1572" ht="15.75" customHeight="1">
      <c r="A1572" s="1" t="str">
        <f>IFERROR(__xludf.DUMMYFUNCTION("""COMPUTED_VALUE"""),"Henry Pikett")</f>
        <v>Henry Pikett</v>
      </c>
      <c r="B1572" s="1" t="str">
        <f>IFERROR(__xludf.DUMMYFUNCTION("""COMPUTED_VALUE"""),"L2")</f>
        <v>L2</v>
      </c>
    </row>
    <row r="1573" ht="15.75" customHeight="1">
      <c r="A1573" s="1" t="str">
        <f>IFERROR(__xludf.DUMMYFUNCTION("""COMPUTED_VALUE"""),"Annabella Pikett")</f>
        <v>Annabella Pikett</v>
      </c>
      <c r="B1573" s="1" t="str">
        <f>IFERROR(__xludf.DUMMYFUNCTION("""COMPUTED_VALUE"""),"L1")</f>
        <v>L1</v>
      </c>
    </row>
    <row r="1574" ht="15.75" customHeight="1">
      <c r="A1574" s="1" t="str">
        <f>IFERROR(__xludf.DUMMYFUNCTION("""COMPUTED_VALUE"""),"Sami Vargas Arizmendi")</f>
        <v>Sami Vargas Arizmendi</v>
      </c>
      <c r="B1574" s="1" t="str">
        <f>IFERROR(__xludf.DUMMYFUNCTION("""COMPUTED_VALUE"""),"MS")</f>
        <v>MS</v>
      </c>
    </row>
    <row r="1575" ht="15.75" customHeight="1">
      <c r="A1575" s="1" t="str">
        <f>IFERROR(__xludf.DUMMYFUNCTION("""COMPUTED_VALUE"""),"Yessie Vargas Arizmendi")</f>
        <v>Yessie Vargas Arizmendi</v>
      </c>
      <c r="B1575" s="1" t="str">
        <f>IFERROR(__xludf.DUMMYFUNCTION("""COMPUTED_VALUE"""),"L2")</f>
        <v>L2</v>
      </c>
    </row>
    <row r="1576" ht="15.75" customHeight="1">
      <c r="A1576" s="1" t="str">
        <f>IFERROR(__xludf.DUMMYFUNCTION("""COMPUTED_VALUE"""),"Chiara Niswander")</f>
        <v>Chiara Niswander</v>
      </c>
      <c r="B1576" s="1" t="str">
        <f>IFERROR(__xludf.DUMMYFUNCTION("""COMPUTED_VALUE"""),"L1")</f>
        <v>L1</v>
      </c>
    </row>
    <row r="1577" ht="15.75" customHeight="1">
      <c r="A1577" s="1" t="str">
        <f>IFERROR(__xludf.DUMMYFUNCTION("""COMPUTED_VALUE"""),"Phaidon Rosenbaum")</f>
        <v>Phaidon Rosenbaum</v>
      </c>
      <c r="B1577" s="1" t="str">
        <f>IFERROR(__xludf.DUMMYFUNCTION("""COMPUTED_VALUE"""),"L1")</f>
        <v>L1</v>
      </c>
    </row>
    <row r="1578" ht="15.75" customHeight="1">
      <c r="A1578" s="1" t="str">
        <f>IFERROR(__xludf.DUMMYFUNCTION("""COMPUTED_VALUE"""),"Ilay Dagan")</f>
        <v>Ilay Dagan</v>
      </c>
      <c r="B1578" s="1" t="str">
        <f>IFERROR(__xludf.DUMMYFUNCTION("""COMPUTED_VALUE"""),"L1")</f>
        <v>L1</v>
      </c>
    </row>
    <row r="1579" ht="15.75" customHeight="1">
      <c r="A1579" s="1" t="str">
        <f>IFERROR(__xludf.DUMMYFUNCTION("""COMPUTED_VALUE"""),"Dex Putnam")</f>
        <v>Dex Putnam</v>
      </c>
      <c r="B1579" s="1" t="str">
        <f>IFERROR(__xludf.DUMMYFUNCTION("""COMPUTED_VALUE"""),"L2")</f>
        <v>L2</v>
      </c>
    </row>
    <row r="1580" ht="15.75" customHeight="1">
      <c r="A1580" s="1" t="str">
        <f>IFERROR(__xludf.DUMMYFUNCTION("""COMPUTED_VALUE"""),"Alan Qian")</f>
        <v>Alan Qian</v>
      </c>
      <c r="B1580" s="1" t="str">
        <f>IFERROR(__xludf.DUMMYFUNCTION("""COMPUTED_VALUE"""),"MS")</f>
        <v>MS</v>
      </c>
    </row>
    <row r="1581" ht="15.75" customHeight="1">
      <c r="A1581" s="1" t="str">
        <f>IFERROR(__xludf.DUMMYFUNCTION("""COMPUTED_VALUE"""),"Samson Sheehy")</f>
        <v>Samson Sheehy</v>
      </c>
      <c r="B1581" s="1" t="str">
        <f>IFERROR(__xludf.DUMMYFUNCTION("""COMPUTED_VALUE"""),"MS")</f>
        <v>MS</v>
      </c>
    </row>
    <row r="1582" ht="15.75" customHeight="1">
      <c r="A1582" s="1" t="str">
        <f>IFERROR(__xludf.DUMMYFUNCTION("""COMPUTED_VALUE"""),"Nina Sheehy")</f>
        <v>Nina Sheehy</v>
      </c>
      <c r="B1582" s="1" t="str">
        <f>IFERROR(__xludf.DUMMYFUNCTION("""COMPUTED_VALUE"""),"MS")</f>
        <v>MS</v>
      </c>
    </row>
    <row r="1583" ht="15.75" customHeight="1">
      <c r="A1583" s="1" t="str">
        <f>IFERROR(__xludf.DUMMYFUNCTION("""COMPUTED_VALUE"""),"Evan Chiou")</f>
        <v>Evan Chiou</v>
      </c>
      <c r="B1583" s="1" t="str">
        <f>IFERROR(__xludf.DUMMYFUNCTION("""COMPUTED_VALUE"""),"L1")</f>
        <v>L1</v>
      </c>
    </row>
    <row r="1584" ht="15.75" customHeight="1">
      <c r="A1584" s="1" t="str">
        <f>IFERROR(__xludf.DUMMYFUNCTION("""COMPUTED_VALUE"""),"Ethan Chiou")</f>
        <v>Ethan Chiou</v>
      </c>
      <c r="B1584" s="1" t="str">
        <f>IFERROR(__xludf.DUMMYFUNCTION("""COMPUTED_VALUE"""),"MS")</f>
        <v>MS</v>
      </c>
    </row>
    <row r="1585" ht="15.75" customHeight="1">
      <c r="A1585" s="1" t="str">
        <f>IFERROR(__xludf.DUMMYFUNCTION("""COMPUTED_VALUE"""),"William Rudman")</f>
        <v>William Rudman</v>
      </c>
      <c r="B1585" s="1" t="str">
        <f>IFERROR(__xludf.DUMMYFUNCTION("""COMPUTED_VALUE"""),"L2")</f>
        <v>L2</v>
      </c>
    </row>
    <row r="1586" ht="15.75" customHeight="1">
      <c r="A1586" s="1" t="str">
        <f>IFERROR(__xludf.DUMMYFUNCTION("""COMPUTED_VALUE"""),"Miriam Rudman")</f>
        <v>Miriam Rudman</v>
      </c>
      <c r="B1586" s="1" t="str">
        <f>IFERROR(__xludf.DUMMYFUNCTION("""COMPUTED_VALUE"""),"MS")</f>
        <v>MS</v>
      </c>
    </row>
    <row r="1587" ht="15.75" customHeight="1">
      <c r="A1587" s="1" t="str">
        <f>IFERROR(__xludf.DUMMYFUNCTION("""COMPUTED_VALUE"""),"Emily Chiou")</f>
        <v>Emily Chiou</v>
      </c>
      <c r="B1587" s="1" t="str">
        <f>IFERROR(__xludf.DUMMYFUNCTION("""COMPUTED_VALUE"""),"L2")</f>
        <v>L2</v>
      </c>
    </row>
    <row r="1588" ht="15.75" customHeight="1">
      <c r="A1588" s="1" t="str">
        <f>IFERROR(__xludf.DUMMYFUNCTION("""COMPUTED_VALUE"""),"Elizabeth Chiou")</f>
        <v>Elizabeth Chiou</v>
      </c>
      <c r="B1588" s="1" t="str">
        <f>IFERROR(__xludf.DUMMYFUNCTION("""COMPUTED_VALUE"""),"HS")</f>
        <v>HS</v>
      </c>
    </row>
    <row r="1589" ht="15.75" customHeight="1">
      <c r="A1589" s="1" t="str">
        <f>IFERROR(__xludf.DUMMYFUNCTION("""COMPUTED_VALUE"""),"Cate Higgins")</f>
        <v>Cate Higgins</v>
      </c>
      <c r="B1589" s="1" t="str">
        <f>IFERROR(__xludf.DUMMYFUNCTION("""COMPUTED_VALUE"""),"L2")</f>
        <v>L2</v>
      </c>
    </row>
    <row r="1590" ht="15.75" customHeight="1">
      <c r="A1590" s="1" t="str">
        <f>IFERROR(__xludf.DUMMYFUNCTION("""COMPUTED_VALUE"""),"Adria k")</f>
        <v>Adria k</v>
      </c>
      <c r="B1590" s="1" t="str">
        <f>IFERROR(__xludf.DUMMYFUNCTION("""COMPUTED_VALUE"""),"L1")</f>
        <v>L1</v>
      </c>
    </row>
    <row r="1591" ht="15.75" customHeight="1">
      <c r="A1591" s="1" t="str">
        <f>IFERROR(__xludf.DUMMYFUNCTION("""COMPUTED_VALUE"""),"Remy Peretz")</f>
        <v>Remy Peretz</v>
      </c>
      <c r="B1591" s="1" t="str">
        <f>IFERROR(__xludf.DUMMYFUNCTION("""COMPUTED_VALUE"""),"L1")</f>
        <v>L1</v>
      </c>
    </row>
    <row r="1592" ht="15.75" customHeight="1">
      <c r="A1592" s="1" t="str">
        <f>IFERROR(__xludf.DUMMYFUNCTION("""COMPUTED_VALUE"""),"Nova Freedman")</f>
        <v>Nova Freedman</v>
      </c>
      <c r="B1592" s="1" t="str">
        <f>IFERROR(__xludf.DUMMYFUNCTION("""COMPUTED_VALUE"""),"MS")</f>
        <v>MS</v>
      </c>
    </row>
    <row r="1593" ht="15.75" customHeight="1">
      <c r="A1593" s="1" t="str">
        <f>IFERROR(__xludf.DUMMYFUNCTION("""COMPUTED_VALUE"""),"Alex Yordanov")</f>
        <v>Alex Yordanov</v>
      </c>
      <c r="B1593" s="1" t="str">
        <f>IFERROR(__xludf.DUMMYFUNCTION("""COMPUTED_VALUE"""),"L1")</f>
        <v>L1</v>
      </c>
    </row>
    <row r="1594" ht="15.75" customHeight="1">
      <c r="A1594" s="1" t="str">
        <f>IFERROR(__xludf.DUMMYFUNCTION("""COMPUTED_VALUE"""),"Lyla Creedon")</f>
        <v>Lyla Creedon</v>
      </c>
      <c r="B1594" s="1" t="str">
        <f>IFERROR(__xludf.DUMMYFUNCTION("""COMPUTED_VALUE"""),"MS")</f>
        <v>MS</v>
      </c>
    </row>
    <row r="1595" ht="15.75" customHeight="1">
      <c r="A1595" s="1" t="str">
        <f>IFERROR(__xludf.DUMMYFUNCTION("""COMPUTED_VALUE"""),"JJ Creedon Jr.")</f>
        <v>JJ Creedon Jr.</v>
      </c>
      <c r="B1595" s="1" t="str">
        <f>IFERROR(__xludf.DUMMYFUNCTION("""COMPUTED_VALUE"""),"L2")</f>
        <v>L2</v>
      </c>
    </row>
    <row r="1596" ht="15.75" customHeight="1">
      <c r="A1596" s="1" t="str">
        <f>IFERROR(__xludf.DUMMYFUNCTION("""COMPUTED_VALUE"""),"Edwin Schneider")</f>
        <v>Edwin Schneider</v>
      </c>
      <c r="B1596" s="1" t="str">
        <f>IFERROR(__xludf.DUMMYFUNCTION("""COMPUTED_VALUE"""),"MS")</f>
        <v>MS</v>
      </c>
    </row>
    <row r="1597" ht="15.75" customHeight="1">
      <c r="A1597" s="1" t="str">
        <f>IFERROR(__xludf.DUMMYFUNCTION("""COMPUTED_VALUE"""),"Alex Schneider")</f>
        <v>Alex Schneider</v>
      </c>
      <c r="B1597" s="1" t="str">
        <f>IFERROR(__xludf.DUMMYFUNCTION("""COMPUTED_VALUE"""),"L2")</f>
        <v>L2</v>
      </c>
    </row>
    <row r="1598" ht="15.75" customHeight="1">
      <c r="A1598" s="1" t="str">
        <f>IFERROR(__xludf.DUMMYFUNCTION("""COMPUTED_VALUE"""),"Jillian Doolittle")</f>
        <v>Jillian Doolittle</v>
      </c>
      <c r="B1598" s="1" t="str">
        <f>IFERROR(__xludf.DUMMYFUNCTION("""COMPUTED_VALUE"""),"HS")</f>
        <v>HS</v>
      </c>
    </row>
    <row r="1599" ht="15.75" customHeight="1">
      <c r="A1599" s="1" t="str">
        <f>IFERROR(__xludf.DUMMYFUNCTION("""COMPUTED_VALUE"""),"Josie Doolittle")</f>
        <v>Josie Doolittle</v>
      </c>
      <c r="B1599" s="1" t="str">
        <f>IFERROR(__xludf.DUMMYFUNCTION("""COMPUTED_VALUE"""),"L2")</f>
        <v>L2</v>
      </c>
    </row>
    <row r="1600" ht="15.75" customHeight="1">
      <c r="A1600" s="1" t="str">
        <f>IFERROR(__xludf.DUMMYFUNCTION("""COMPUTED_VALUE"""),"Jacob Doolittle")</f>
        <v>Jacob Doolittle</v>
      </c>
      <c r="B1600" s="1" t="str">
        <f>IFERROR(__xludf.DUMMYFUNCTION("""COMPUTED_VALUE"""),"HS")</f>
        <v>HS</v>
      </c>
    </row>
    <row r="1601" ht="15.75" customHeight="1">
      <c r="A1601" s="1" t="str">
        <f>IFERROR(__xludf.DUMMYFUNCTION("""COMPUTED_VALUE"""),"Anais Santo")</f>
        <v>Anais Santo</v>
      </c>
      <c r="B1601" s="1" t="str">
        <f>IFERROR(__xludf.DUMMYFUNCTION("""COMPUTED_VALUE"""),"MS")</f>
        <v>MS</v>
      </c>
    </row>
    <row r="1602" ht="15.75" customHeight="1">
      <c r="A1602" s="1" t="str">
        <f>IFERROR(__xludf.DUMMYFUNCTION("""COMPUTED_VALUE"""),"Lelia Santo")</f>
        <v>Lelia Santo</v>
      </c>
      <c r="B1602" s="1" t="str">
        <f>IFERROR(__xludf.DUMMYFUNCTION("""COMPUTED_VALUE"""),"L2")</f>
        <v>L2</v>
      </c>
    </row>
    <row r="1603" ht="15.75" customHeight="1">
      <c r="A1603" s="1" t="str">
        <f>IFERROR(__xludf.DUMMYFUNCTION("""COMPUTED_VALUE"""),"Amal Santo")</f>
        <v>Amal Santo</v>
      </c>
      <c r="B1603" s="1" t="str">
        <f>IFERROR(__xludf.DUMMYFUNCTION("""COMPUTED_VALUE"""),"L2")</f>
        <v>L2</v>
      </c>
    </row>
    <row r="1604" ht="15.75" customHeight="1">
      <c r="A1604" s="1" t="str">
        <f>IFERROR(__xludf.DUMMYFUNCTION("""COMPUTED_VALUE"""),"Brady Muhle")</f>
        <v>Brady Muhle</v>
      </c>
      <c r="B1604" s="1" t="str">
        <f>IFERROR(__xludf.DUMMYFUNCTION("""COMPUTED_VALUE"""),"L1")</f>
        <v>L1</v>
      </c>
    </row>
    <row r="1605" ht="15.75" customHeight="1">
      <c r="A1605" s="1" t="str">
        <f>IFERROR(__xludf.DUMMYFUNCTION("""COMPUTED_VALUE"""),"Jaxson Muhle")</f>
        <v>Jaxson Muhle</v>
      </c>
      <c r="B1605" s="1" t="str">
        <f>IFERROR(__xludf.DUMMYFUNCTION("""COMPUTED_VALUE"""),"L1")</f>
        <v>L1</v>
      </c>
    </row>
    <row r="1606" ht="15.75" customHeight="1">
      <c r="A1606" s="1" t="str">
        <f>IFERROR(__xludf.DUMMYFUNCTION("""COMPUTED_VALUE"""),"Dea Singh Chitalkar")</f>
        <v>Dea Singh Chitalkar</v>
      </c>
      <c r="B1606" s="1" t="str">
        <f>IFERROR(__xludf.DUMMYFUNCTION("""COMPUTED_VALUE"""),"MS")</f>
        <v>MS</v>
      </c>
    </row>
    <row r="1607" ht="15.75" customHeight="1">
      <c r="A1607" s="1" t="str">
        <f>IFERROR(__xludf.DUMMYFUNCTION("""COMPUTED_VALUE"""),"Dev Singh Chitalkar")</f>
        <v>Dev Singh Chitalkar</v>
      </c>
      <c r="B1607" s="1" t="str">
        <f>IFERROR(__xludf.DUMMYFUNCTION("""COMPUTED_VALUE"""),"L1")</f>
        <v>L1</v>
      </c>
    </row>
    <row r="1608" ht="15.75" customHeight="1">
      <c r="A1608" s="1" t="str">
        <f>IFERROR(__xludf.DUMMYFUNCTION("""COMPUTED_VALUE"""),"Quinn Vleck")</f>
        <v>Quinn Vleck</v>
      </c>
      <c r="B1608" s="1" t="str">
        <f>IFERROR(__xludf.DUMMYFUNCTION("""COMPUTED_VALUE"""),"HS")</f>
        <v>HS</v>
      </c>
    </row>
    <row r="1609" ht="15.75" customHeight="1">
      <c r="A1609" s="1" t="str">
        <f>IFERROR(__xludf.DUMMYFUNCTION("""COMPUTED_VALUE"""),"Teddy Lister")</f>
        <v>Teddy Lister</v>
      </c>
      <c r="B1609" s="1" t="str">
        <f>IFERROR(__xludf.DUMMYFUNCTION("""COMPUTED_VALUE"""),"MS")</f>
        <v>MS</v>
      </c>
    </row>
    <row r="1610" ht="15.75" customHeight="1">
      <c r="A1610" s="1" t="str">
        <f>IFERROR(__xludf.DUMMYFUNCTION("""COMPUTED_VALUE"""),"April Arcidicono")</f>
        <v>April Arcidicono</v>
      </c>
      <c r="B1610" s="1" t="str">
        <f>IFERROR(__xludf.DUMMYFUNCTION("""COMPUTED_VALUE"""),"MS")</f>
        <v>MS</v>
      </c>
    </row>
    <row r="1611" ht="15.75" customHeight="1">
      <c r="A1611" s="1" t="str">
        <f>IFERROR(__xludf.DUMMYFUNCTION("""COMPUTED_VALUE"""),"Simon Arcidicono")</f>
        <v>Simon Arcidicono</v>
      </c>
      <c r="B1611" s="1" t="str">
        <f>IFERROR(__xludf.DUMMYFUNCTION("""COMPUTED_VALUE"""),"L2")</f>
        <v>L2</v>
      </c>
    </row>
    <row r="1612" ht="15.75" customHeight="1">
      <c r="A1612" s="1" t="str">
        <f>IFERROR(__xludf.DUMMYFUNCTION("""COMPUTED_VALUE"""),"Jenny Arcidicono")</f>
        <v>Jenny Arcidicono</v>
      </c>
      <c r="B1612" s="1" t="str">
        <f>IFERROR(__xludf.DUMMYFUNCTION("""COMPUTED_VALUE"""),"HS")</f>
        <v>HS</v>
      </c>
    </row>
    <row r="1613" ht="15.75" customHeight="1">
      <c r="A1613" s="1" t="str">
        <f>IFERROR(__xludf.DUMMYFUNCTION("""COMPUTED_VALUE"""),"Milo Huang")</f>
        <v>Milo Huang</v>
      </c>
      <c r="B1613" s="1" t="str">
        <f>IFERROR(__xludf.DUMMYFUNCTION("""COMPUTED_VALUE"""),"L2")</f>
        <v>L2</v>
      </c>
    </row>
    <row r="1614" ht="15.75" customHeight="1">
      <c r="A1614" s="1" t="str">
        <f>IFERROR(__xludf.DUMMYFUNCTION("""COMPUTED_VALUE"""),"Ronan Huang")</f>
        <v>Ronan Huang</v>
      </c>
      <c r="B1614" s="1" t="str">
        <f>IFERROR(__xludf.DUMMYFUNCTION("""COMPUTED_VALUE"""),"L1")</f>
        <v>L1</v>
      </c>
    </row>
    <row r="1615" ht="15.75" customHeight="1">
      <c r="A1615" s="1" t="str">
        <f>IFERROR(__xludf.DUMMYFUNCTION("""COMPUTED_VALUE"""),"Maddison Carrillo")</f>
        <v>Maddison Carrillo</v>
      </c>
      <c r="B1615" s="1" t="str">
        <f>IFERROR(__xludf.DUMMYFUNCTION("""COMPUTED_VALUE"""),"MS")</f>
        <v>MS</v>
      </c>
    </row>
    <row r="1616" ht="15.75" customHeight="1">
      <c r="A1616" s="1" t="str">
        <f>IFERROR(__xludf.DUMMYFUNCTION("""COMPUTED_VALUE"""),"Amelia Hart")</f>
        <v>Amelia Hart</v>
      </c>
      <c r="B1616" s="1" t="str">
        <f>IFERROR(__xludf.DUMMYFUNCTION("""COMPUTED_VALUE"""),"L1")</f>
        <v>L1</v>
      </c>
    </row>
    <row r="1617" ht="15.75" customHeight="1">
      <c r="A1617" s="1" t="str">
        <f>IFERROR(__xludf.DUMMYFUNCTION("""COMPUTED_VALUE"""),"Quentin Swanson")</f>
        <v>Quentin Swanson</v>
      </c>
      <c r="B1617" s="1" t="str">
        <f>IFERROR(__xludf.DUMMYFUNCTION("""COMPUTED_VALUE"""),"MS")</f>
        <v>MS</v>
      </c>
    </row>
    <row r="1618" ht="15.75" customHeight="1">
      <c r="A1618" s="1" t="str">
        <f>IFERROR(__xludf.DUMMYFUNCTION("""COMPUTED_VALUE"""),"Avi Datta")</f>
        <v>Avi Datta</v>
      </c>
      <c r="B1618" s="1" t="str">
        <f>IFERROR(__xludf.DUMMYFUNCTION("""COMPUTED_VALUE"""),"MS")</f>
        <v>MS</v>
      </c>
    </row>
    <row r="1619" ht="15.75" customHeight="1">
      <c r="A1619" s="1" t="str">
        <f>IFERROR(__xludf.DUMMYFUNCTION("""COMPUTED_VALUE"""),"Gloria Tovar")</f>
        <v>Gloria Tovar</v>
      </c>
      <c r="B1619" s="1" t="str">
        <f>IFERROR(__xludf.DUMMYFUNCTION("""COMPUTED_VALUE"""),"MS")</f>
        <v>MS</v>
      </c>
    </row>
    <row r="1620" ht="15.75" customHeight="1">
      <c r="A1620" s="1" t="str">
        <f>IFERROR(__xludf.DUMMYFUNCTION("""COMPUTED_VALUE"""),"Santiago Tovar")</f>
        <v>Santiago Tovar</v>
      </c>
      <c r="B1620" s="1" t="str">
        <f>IFERROR(__xludf.DUMMYFUNCTION("""COMPUTED_VALUE"""),"HS")</f>
        <v>HS</v>
      </c>
    </row>
    <row r="1621" ht="15.75" customHeight="1">
      <c r="A1621" s="1" t="str">
        <f>IFERROR(__xludf.DUMMYFUNCTION("""COMPUTED_VALUE"""),"Catherine Sullivan")</f>
        <v>Catherine Sullivan</v>
      </c>
      <c r="B1621" s="1" t="str">
        <f>IFERROR(__xludf.DUMMYFUNCTION("""COMPUTED_VALUE"""),"MS")</f>
        <v>MS</v>
      </c>
    </row>
    <row r="1622" ht="15.75" customHeight="1">
      <c r="A1622" s="1" t="str">
        <f>IFERROR(__xludf.DUMMYFUNCTION("""COMPUTED_VALUE"""),"Riley Dulac")</f>
        <v>Riley Dulac</v>
      </c>
      <c r="B1622" s="1" t="str">
        <f>IFERROR(__xludf.DUMMYFUNCTION("""COMPUTED_VALUE"""),"MS")</f>
        <v>MS</v>
      </c>
    </row>
    <row r="1623" ht="15.75" customHeight="1">
      <c r="A1623" s="1" t="str">
        <f>IFERROR(__xludf.DUMMYFUNCTION("""COMPUTED_VALUE"""),"Nate Tanner")</f>
        <v>Nate Tanner</v>
      </c>
      <c r="B1623" s="1" t="str">
        <f>IFERROR(__xludf.DUMMYFUNCTION("""COMPUTED_VALUE"""),"MS")</f>
        <v>MS</v>
      </c>
    </row>
    <row r="1624" ht="15.75" customHeight="1">
      <c r="A1624" s="1" t="str">
        <f>IFERROR(__xludf.DUMMYFUNCTION("""COMPUTED_VALUE"""),"Wyatt Herzik")</f>
        <v>Wyatt Herzik</v>
      </c>
      <c r="B1624" s="1" t="str">
        <f>IFERROR(__xludf.DUMMYFUNCTION("""COMPUTED_VALUE"""),"L2")</f>
        <v>L2</v>
      </c>
    </row>
    <row r="1625" ht="15.75" customHeight="1">
      <c r="A1625" s="1" t="str">
        <f>IFERROR(__xludf.DUMMYFUNCTION("""COMPUTED_VALUE"""),"Audra Herzik")</f>
        <v>Audra Herzik</v>
      </c>
      <c r="B1625" s="1" t="str">
        <f>IFERROR(__xludf.DUMMYFUNCTION("""COMPUTED_VALUE"""),"LL")</f>
        <v>LL</v>
      </c>
    </row>
    <row r="1626" ht="15.75" customHeight="1">
      <c r="A1626" s="1" t="str">
        <f>IFERROR(__xludf.DUMMYFUNCTION("""COMPUTED_VALUE"""),"Jaali Estelle")</f>
        <v>Jaali Estelle</v>
      </c>
      <c r="B1626" s="1" t="str">
        <f>IFERROR(__xludf.DUMMYFUNCTION("""COMPUTED_VALUE"""),"L1")</f>
        <v>L1</v>
      </c>
    </row>
    <row r="1627" ht="15.75" customHeight="1">
      <c r="A1627" s="1" t="str">
        <f>IFERROR(__xludf.DUMMYFUNCTION("""COMPUTED_VALUE"""),"Wish Zurofsky")</f>
        <v>Wish Zurofsky</v>
      </c>
      <c r="B1627" s="1" t="str">
        <f>IFERROR(__xludf.DUMMYFUNCTION("""COMPUTED_VALUE"""),"L1")</f>
        <v>L1</v>
      </c>
    </row>
    <row r="1628" ht="15.75" customHeight="1">
      <c r="A1628" s="1" t="str">
        <f>IFERROR(__xludf.DUMMYFUNCTION("""COMPUTED_VALUE"""),"Lian Grobler")</f>
        <v>Lian Grobler</v>
      </c>
      <c r="B1628" s="1" t="str">
        <f>IFERROR(__xludf.DUMMYFUNCTION("""COMPUTED_VALUE"""),"HS")</f>
        <v>HS</v>
      </c>
    </row>
    <row r="1629" ht="15.75" customHeight="1">
      <c r="A1629" s="1" t="str">
        <f>IFERROR(__xludf.DUMMYFUNCTION("""COMPUTED_VALUE"""),"Sage Zurofsky")</f>
        <v>Sage Zurofsky</v>
      </c>
      <c r="B1629" s="1" t="str">
        <f>IFERROR(__xludf.DUMMYFUNCTION("""COMPUTED_VALUE"""),"L1")</f>
        <v>L1</v>
      </c>
    </row>
    <row r="1630" ht="15.75" customHeight="1">
      <c r="A1630" s="1" t="str">
        <f>IFERROR(__xludf.DUMMYFUNCTION("""COMPUTED_VALUE"""),"Lewis Wiebler")</f>
        <v>Lewis Wiebler</v>
      </c>
      <c r="B1630" s="1" t="str">
        <f>IFERROR(__xludf.DUMMYFUNCTION("""COMPUTED_VALUE"""),"L2")</f>
        <v>L2</v>
      </c>
    </row>
    <row r="1631" ht="15.75" customHeight="1">
      <c r="A1631" s="1" t="str">
        <f>IFERROR(__xludf.DUMMYFUNCTION("""COMPUTED_VALUE"""),"Jack Wiebler")</f>
        <v>Jack Wiebler</v>
      </c>
      <c r="B1631" s="1" t="str">
        <f>IFERROR(__xludf.DUMMYFUNCTION("""COMPUTED_VALUE"""),"MS")</f>
        <v>MS</v>
      </c>
    </row>
    <row r="1632" ht="15.75" customHeight="1">
      <c r="A1632" s="1" t="str">
        <f>IFERROR(__xludf.DUMMYFUNCTION("""COMPUTED_VALUE"""),"Xavier Butler")</f>
        <v>Xavier Butler</v>
      </c>
      <c r="B1632" s="1" t="str">
        <f>IFERROR(__xludf.DUMMYFUNCTION("""COMPUTED_VALUE"""),"MS")</f>
        <v>MS</v>
      </c>
    </row>
    <row r="1633" ht="15.75" customHeight="1">
      <c r="A1633" s="1" t="str">
        <f>IFERROR(__xludf.DUMMYFUNCTION("""COMPUTED_VALUE"""),"Alia Heckathorn")</f>
        <v>Alia Heckathorn</v>
      </c>
      <c r="B1633" s="1" t="str">
        <f>IFERROR(__xludf.DUMMYFUNCTION("""COMPUTED_VALUE"""),"MS")</f>
        <v>MS</v>
      </c>
    </row>
    <row r="1634" ht="15.75" customHeight="1">
      <c r="A1634" s="1" t="str">
        <f>IFERROR(__xludf.DUMMYFUNCTION("""COMPUTED_VALUE"""),"Luke Heckathorn")</f>
        <v>Luke Heckathorn</v>
      </c>
      <c r="B1634" s="1" t="str">
        <f>IFERROR(__xludf.DUMMYFUNCTION("""COMPUTED_VALUE"""),"L2")</f>
        <v>L2</v>
      </c>
    </row>
    <row r="1635" ht="15.75" customHeight="1">
      <c r="A1635" s="1" t="str">
        <f>IFERROR(__xludf.DUMMYFUNCTION("""COMPUTED_VALUE"""),"Jude Terry")</f>
        <v>Jude Terry</v>
      </c>
      <c r="B1635" s="1" t="str">
        <f>IFERROR(__xludf.DUMMYFUNCTION("""COMPUTED_VALUE"""),"MS")</f>
        <v>MS</v>
      </c>
    </row>
    <row r="1636" ht="15.75" customHeight="1">
      <c r="A1636" s="1" t="str">
        <f>IFERROR(__xludf.DUMMYFUNCTION("""COMPUTED_VALUE"""),"Alexander Wikholm")</f>
        <v>Alexander Wikholm</v>
      </c>
      <c r="B1636" s="1" t="str">
        <f>IFERROR(__xludf.DUMMYFUNCTION("""COMPUTED_VALUE"""),"L2")</f>
        <v>L2</v>
      </c>
    </row>
    <row r="1637" ht="15.75" customHeight="1">
      <c r="A1637" s="1" t="str">
        <f>IFERROR(__xludf.DUMMYFUNCTION("""COMPUTED_VALUE"""),"Isabella Wikholm")</f>
        <v>Isabella Wikholm</v>
      </c>
      <c r="B1637" s="1" t="str">
        <f>IFERROR(__xludf.DUMMYFUNCTION("""COMPUTED_VALUE"""),"L1")</f>
        <v>L1</v>
      </c>
    </row>
    <row r="1638" ht="15.75" customHeight="1">
      <c r="A1638" s="1" t="str">
        <f>IFERROR(__xludf.DUMMYFUNCTION("""COMPUTED_VALUE"""),"Thomas Keefe")</f>
        <v>Thomas Keefe</v>
      </c>
      <c r="B1638" s="1" t="str">
        <f>IFERROR(__xludf.DUMMYFUNCTION("""COMPUTED_VALUE"""),"MS")</f>
        <v>MS</v>
      </c>
    </row>
    <row r="1639" ht="15.75" customHeight="1">
      <c r="A1639" s="1" t="str">
        <f>IFERROR(__xludf.DUMMYFUNCTION("""COMPUTED_VALUE"""),"Hayden Yokum")</f>
        <v>Hayden Yokum</v>
      </c>
      <c r="B1639" s="1" t="str">
        <f>IFERROR(__xludf.DUMMYFUNCTION("""COMPUTED_VALUE"""),"MS")</f>
        <v>MS</v>
      </c>
    </row>
    <row r="1640" ht="15.75" customHeight="1">
      <c r="A1640" s="1" t="str">
        <f>IFERROR(__xludf.DUMMYFUNCTION("""COMPUTED_VALUE"""),"Hank Yokum")</f>
        <v>Hank Yokum</v>
      </c>
      <c r="B1640" s="1" t="str">
        <f>IFERROR(__xludf.DUMMYFUNCTION("""COMPUTED_VALUE"""),"MS")</f>
        <v>MS</v>
      </c>
    </row>
    <row r="1641" ht="15.75" customHeight="1">
      <c r="A1641" s="1" t="str">
        <f>IFERROR(__xludf.DUMMYFUNCTION("""COMPUTED_VALUE"""),"Tommy Stott")</f>
        <v>Tommy Stott</v>
      </c>
      <c r="B1641" s="1" t="str">
        <f>IFERROR(__xludf.DUMMYFUNCTION("""COMPUTED_VALUE"""),"L2")</f>
        <v>L2</v>
      </c>
    </row>
    <row r="1642" ht="15.75" customHeight="1">
      <c r="A1642" s="1" t="str">
        <f>IFERROR(__xludf.DUMMYFUNCTION("""COMPUTED_VALUE"""),"KInza Surani")</f>
        <v>KInza Surani</v>
      </c>
      <c r="B1642" s="1" t="str">
        <f>IFERROR(__xludf.DUMMYFUNCTION("""COMPUTED_VALUE"""),"L2")</f>
        <v>L2</v>
      </c>
    </row>
    <row r="1643" ht="15.75" customHeight="1">
      <c r="A1643" s="1" t="str">
        <f>IFERROR(__xludf.DUMMYFUNCTION("""COMPUTED_VALUE"""),"Ileana Surani")</f>
        <v>Ileana Surani</v>
      </c>
      <c r="B1643" s="1" t="str">
        <f>IFERROR(__xludf.DUMMYFUNCTION("""COMPUTED_VALUE"""),"L2")</f>
        <v>L2</v>
      </c>
    </row>
    <row r="1644" ht="15.75" customHeight="1">
      <c r="A1644" s="1" t="str">
        <f>IFERROR(__xludf.DUMMYFUNCTION("""COMPUTED_VALUE"""),"Dev Chatterjee")</f>
        <v>Dev Chatterjee</v>
      </c>
      <c r="B1644" s="1" t="str">
        <f>IFERROR(__xludf.DUMMYFUNCTION("""COMPUTED_VALUE"""),"L2")</f>
        <v>L2</v>
      </c>
    </row>
    <row r="1645" ht="15.75" customHeight="1">
      <c r="A1645" s="1" t="str">
        <f>IFERROR(__xludf.DUMMYFUNCTION("""COMPUTED_VALUE"""),"William Bruss")</f>
        <v>William Bruss</v>
      </c>
      <c r="B1645" s="1" t="str">
        <f>IFERROR(__xludf.DUMMYFUNCTION("""COMPUTED_VALUE"""),"L1")</f>
        <v>L1</v>
      </c>
    </row>
    <row r="1646" ht="15.75" customHeight="1">
      <c r="A1646" s="1" t="str">
        <f>IFERROR(__xludf.DUMMYFUNCTION("""COMPUTED_VALUE"""),"Landry Steele")</f>
        <v>Landry Steele</v>
      </c>
      <c r="B1646" s="1" t="str">
        <f>IFERROR(__xludf.DUMMYFUNCTION("""COMPUTED_VALUE"""),"MS")</f>
        <v>MS</v>
      </c>
    </row>
    <row r="1647" ht="15.75" customHeight="1">
      <c r="A1647" s="1" t="str">
        <f>IFERROR(__xludf.DUMMYFUNCTION("""COMPUTED_VALUE"""),"Palmer Steele")</f>
        <v>Palmer Steele</v>
      </c>
      <c r="B1647" s="1" t="str">
        <f>IFERROR(__xludf.DUMMYFUNCTION("""COMPUTED_VALUE"""),"L1")</f>
        <v>L1</v>
      </c>
    </row>
    <row r="1648" ht="15.75" customHeight="1">
      <c r="A1648" s="1" t="str">
        <f>IFERROR(__xludf.DUMMYFUNCTION("""COMPUTED_VALUE"""),"Robin ONeal")</f>
        <v>Robin ONeal</v>
      </c>
      <c r="B1648" s="1" t="str">
        <f>IFERROR(__xludf.DUMMYFUNCTION("""COMPUTED_VALUE"""),"L2")</f>
        <v>L2</v>
      </c>
    </row>
    <row r="1649" ht="15.75" customHeight="1">
      <c r="A1649" s="1" t="str">
        <f>IFERROR(__xludf.DUMMYFUNCTION("""COMPUTED_VALUE"""),"Quinn ONeal")</f>
        <v>Quinn ONeal</v>
      </c>
      <c r="B1649" s="1" t="str">
        <f>IFERROR(__xludf.DUMMYFUNCTION("""COMPUTED_VALUE"""),"MS")</f>
        <v>MS</v>
      </c>
    </row>
    <row r="1650" ht="15.75" customHeight="1">
      <c r="A1650" s="1" t="str">
        <f>IFERROR(__xludf.DUMMYFUNCTION("""COMPUTED_VALUE"""),"Scarlett ONeal")</f>
        <v>Scarlett ONeal</v>
      </c>
      <c r="B1650" s="1" t="str">
        <f>IFERROR(__xludf.DUMMYFUNCTION("""COMPUTED_VALUE"""),"MS")</f>
        <v>MS</v>
      </c>
    </row>
    <row r="1651" ht="15.75" customHeight="1">
      <c r="A1651" s="1" t="str">
        <f>IFERROR(__xludf.DUMMYFUNCTION("""COMPUTED_VALUE"""),"Jaxon Bombino")</f>
        <v>Jaxon Bombino</v>
      </c>
      <c r="B1651" s="1" t="str">
        <f>IFERROR(__xludf.DUMMYFUNCTION("""COMPUTED_VALUE"""),"HS")</f>
        <v>HS</v>
      </c>
    </row>
    <row r="1652" ht="15.75" customHeight="1">
      <c r="A1652" s="1" t="str">
        <f>IFERROR(__xludf.DUMMYFUNCTION("""COMPUTED_VALUE"""),"Hunter Bowlds")</f>
        <v>Hunter Bowlds</v>
      </c>
      <c r="B1652" s="1" t="str">
        <f>IFERROR(__xludf.DUMMYFUNCTION("""COMPUTED_VALUE"""),"LL")</f>
        <v>LL</v>
      </c>
    </row>
    <row r="1653" ht="15.75" customHeight="1">
      <c r="A1653" s="1" t="str">
        <f>IFERROR(__xludf.DUMMYFUNCTION("""COMPUTED_VALUE"""),"Ketcher Corliss")</f>
        <v>Ketcher Corliss</v>
      </c>
      <c r="B1653" s="1" t="str">
        <f>IFERROR(__xludf.DUMMYFUNCTION("""COMPUTED_VALUE"""),"HS")</f>
        <v>HS</v>
      </c>
    </row>
    <row r="1654" ht="15.75" customHeight="1">
      <c r="A1654" s="1" t="str">
        <f>IFERROR(__xludf.DUMMYFUNCTION("""COMPUTED_VALUE"""),"Gavin Corliss")</f>
        <v>Gavin Corliss</v>
      </c>
      <c r="B1654" s="1" t="str">
        <f>IFERROR(__xludf.DUMMYFUNCTION("""COMPUTED_VALUE"""),"HS")</f>
        <v>HS</v>
      </c>
    </row>
    <row r="1655" ht="15.75" customHeight="1">
      <c r="A1655" s="1" t="str">
        <f>IFERROR(__xludf.DUMMYFUNCTION("""COMPUTED_VALUE"""),"Mackenzie Sheehy")</f>
        <v>Mackenzie Sheehy</v>
      </c>
      <c r="B1655" s="1" t="str">
        <f>IFERROR(__xludf.DUMMYFUNCTION("""COMPUTED_VALUE"""),"MS")</f>
        <v>MS</v>
      </c>
    </row>
    <row r="1656" ht="15.75" customHeight="1">
      <c r="A1656" s="1" t="str">
        <f>IFERROR(__xludf.DUMMYFUNCTION("""COMPUTED_VALUE"""),"Mikaela Johnson")</f>
        <v>Mikaela Johnson</v>
      </c>
      <c r="B1656" s="1" t="str">
        <f>IFERROR(__xludf.DUMMYFUNCTION("""COMPUTED_VALUE"""),"L2")</f>
        <v>L2</v>
      </c>
    </row>
    <row r="1657" ht="15.75" customHeight="1">
      <c r="A1657" s="1" t="str">
        <f>IFERROR(__xludf.DUMMYFUNCTION("""COMPUTED_VALUE"""),"Alistair Davies")</f>
        <v>Alistair Davies</v>
      </c>
      <c r="B1657" s="1" t="str">
        <f>IFERROR(__xludf.DUMMYFUNCTION("""COMPUTED_VALUE"""),"L1")</f>
        <v>L1</v>
      </c>
    </row>
    <row r="1658" ht="15.75" customHeight="1">
      <c r="A1658" s="1" t="str">
        <f>IFERROR(__xludf.DUMMYFUNCTION("""COMPUTED_VALUE"""),"Maiya Baldoni")</f>
        <v>Maiya Baldoni</v>
      </c>
      <c r="B1658" s="1" t="str">
        <f>IFERROR(__xludf.DUMMYFUNCTION("""COMPUTED_VALUE"""),"L2")</f>
        <v>L2</v>
      </c>
    </row>
    <row r="1659" ht="15.75" customHeight="1">
      <c r="A1659" s="1" t="str">
        <f>IFERROR(__xludf.DUMMYFUNCTION("""COMPUTED_VALUE"""),"Maxwell Baldoni")</f>
        <v>Maxwell Baldoni</v>
      </c>
      <c r="B1659" s="1" t="str">
        <f>IFERROR(__xludf.DUMMYFUNCTION("""COMPUTED_VALUE"""),"L1")</f>
        <v>L1</v>
      </c>
    </row>
    <row r="1660" ht="15.75" customHeight="1">
      <c r="A1660" s="1" t="str">
        <f>IFERROR(__xludf.DUMMYFUNCTION("""COMPUTED_VALUE"""),"Charlize Bamba")</f>
        <v>Charlize Bamba</v>
      </c>
      <c r="B1660" s="1" t="str">
        <f>IFERROR(__xludf.DUMMYFUNCTION("""COMPUTED_VALUE"""),"L1")</f>
        <v>L1</v>
      </c>
    </row>
    <row r="1661" ht="15.75" customHeight="1">
      <c r="A1661" s="1" t="str">
        <f>IFERROR(__xludf.DUMMYFUNCTION("""COMPUTED_VALUE"""),"Oliver Gage")</f>
        <v>Oliver Gage</v>
      </c>
      <c r="B1661" s="1" t="str">
        <f>IFERROR(__xludf.DUMMYFUNCTION("""COMPUTED_VALUE"""),"L2")</f>
        <v>L2</v>
      </c>
    </row>
    <row r="1662" ht="15.75" customHeight="1">
      <c r="A1662" s="1" t="str">
        <f>IFERROR(__xludf.DUMMYFUNCTION("""COMPUTED_VALUE"""),"Orion Winn")</f>
        <v>Orion Winn</v>
      </c>
      <c r="B1662" s="1" t="str">
        <f>IFERROR(__xludf.DUMMYFUNCTION("""COMPUTED_VALUE"""),"L2")</f>
        <v>L2</v>
      </c>
    </row>
    <row r="1663" ht="15.75" customHeight="1">
      <c r="A1663" s="1" t="str">
        <f>IFERROR(__xludf.DUMMYFUNCTION("""COMPUTED_VALUE"""),"Jen Arcidicono")</f>
        <v>Jen Arcidicono</v>
      </c>
      <c r="B1663" s="1" t="str">
        <f>IFERROR(__xludf.DUMMYFUNCTION("""COMPUTED_VALUE"""),"MS")</f>
        <v>MS</v>
      </c>
    </row>
    <row r="1664" ht="15.75" customHeight="1">
      <c r="A1664" s="1" t="str">
        <f>IFERROR(__xludf.DUMMYFUNCTION("""COMPUTED_VALUE"""),"Edmond Bailey")</f>
        <v>Edmond Bailey</v>
      </c>
      <c r="B1664" s="1" t="str">
        <f>IFERROR(__xludf.DUMMYFUNCTION("""COMPUTED_VALUE"""),"L2")</f>
        <v>L2</v>
      </c>
    </row>
    <row r="1665" ht="15.75" customHeight="1">
      <c r="A1665" s="1" t="str">
        <f>IFERROR(__xludf.DUMMYFUNCTION("""COMPUTED_VALUE"""),"Beau Bailey")</f>
        <v>Beau Bailey</v>
      </c>
      <c r="B1665" s="1" t="str">
        <f>IFERROR(__xludf.DUMMYFUNCTION("""COMPUTED_VALUE"""),"L1")</f>
        <v>L1</v>
      </c>
    </row>
    <row r="1666" ht="15.75" customHeight="1">
      <c r="A1666" s="1" t="str">
        <f>IFERROR(__xludf.DUMMYFUNCTION("""COMPUTED_VALUE"""),"Annette Macklem")</f>
        <v>Annette Macklem</v>
      </c>
      <c r="B1666" s="1" t="str">
        <f>IFERROR(__xludf.DUMMYFUNCTION("""COMPUTED_VALUE"""),"L1")</f>
        <v>L1</v>
      </c>
    </row>
    <row r="1667" ht="15.75" customHeight="1">
      <c r="A1667" s="1" t="str">
        <f>IFERROR(__xludf.DUMMYFUNCTION("""COMPUTED_VALUE"""),"McKayla Vazquez")</f>
        <v>McKayla Vazquez</v>
      </c>
      <c r="B1667" s="1" t="str">
        <f>IFERROR(__xludf.DUMMYFUNCTION("""COMPUTED_VALUE"""),"L2")</f>
        <v>L2</v>
      </c>
    </row>
    <row r="1668" ht="15.75" customHeight="1">
      <c r="A1668" s="1" t="str">
        <f>IFERROR(__xludf.DUMMYFUNCTION("""COMPUTED_VALUE"""),"Quincy Kassan")</f>
        <v>Quincy Kassan</v>
      </c>
      <c r="B1668" s="1" t="str">
        <f>IFERROR(__xludf.DUMMYFUNCTION("""COMPUTED_VALUE"""),"L1")</f>
        <v>L1</v>
      </c>
    </row>
    <row r="1669" ht="15.75" customHeight="1">
      <c r="A1669" s="1" t="str">
        <f>IFERROR(__xludf.DUMMYFUNCTION("""COMPUTED_VALUE"""),"Watson Macklem")</f>
        <v>Watson Macklem</v>
      </c>
      <c r="B1669" s="1" t="str">
        <f>IFERROR(__xludf.DUMMYFUNCTION("""COMPUTED_VALUE"""),"L2")</f>
        <v>L2</v>
      </c>
    </row>
    <row r="1670" ht="15.75" customHeight="1">
      <c r="A1670" s="1" t="str">
        <f>IFERROR(__xludf.DUMMYFUNCTION("""COMPUTED_VALUE"""),"Leo Vazquez")</f>
        <v>Leo Vazquez</v>
      </c>
      <c r="B1670" s="1" t="str">
        <f>IFERROR(__xludf.DUMMYFUNCTION("""COMPUTED_VALUE"""),"L1")</f>
        <v>L1</v>
      </c>
    </row>
    <row r="1671" ht="15.75" customHeight="1">
      <c r="A1671" s="1" t="str">
        <f>IFERROR(__xludf.DUMMYFUNCTION("""COMPUTED_VALUE"""),"Elfa Macklem")</f>
        <v>Elfa Macklem</v>
      </c>
      <c r="B1671" s="1" t="str">
        <f>IFERROR(__xludf.DUMMYFUNCTION("""COMPUTED_VALUE"""),"MS")</f>
        <v>MS</v>
      </c>
    </row>
    <row r="1672" ht="15.75" customHeight="1">
      <c r="A1672" s="1" t="str">
        <f>IFERROR(__xludf.DUMMYFUNCTION("""COMPUTED_VALUE"""),"Emilie Johnson")</f>
        <v>Emilie Johnson</v>
      </c>
      <c r="B1672" s="1" t="str">
        <f>IFERROR(__xludf.DUMMYFUNCTION("""COMPUTED_VALUE"""),"MS")</f>
        <v>MS</v>
      </c>
    </row>
    <row r="1673" ht="15.75" customHeight="1">
      <c r="A1673" s="1" t="str">
        <f>IFERROR(__xludf.DUMMYFUNCTION("""COMPUTED_VALUE"""),"Jaida Serrano")</f>
        <v>Jaida Serrano</v>
      </c>
      <c r="B1673" s="1" t="str">
        <f>IFERROR(__xludf.DUMMYFUNCTION("""COMPUTED_VALUE"""),"MS")</f>
        <v>MS</v>
      </c>
    </row>
    <row r="1674" ht="15.75" customHeight="1">
      <c r="A1674" s="1" t="str">
        <f>IFERROR(__xludf.DUMMYFUNCTION("""COMPUTED_VALUE"""),"Oliver Szybalski")</f>
        <v>Oliver Szybalski</v>
      </c>
      <c r="B1674" s="1" t="str">
        <f>IFERROR(__xludf.DUMMYFUNCTION("""COMPUTED_VALUE"""),"L1")</f>
        <v>L1</v>
      </c>
    </row>
    <row r="1675" ht="15.75" customHeight="1">
      <c r="A1675" s="1" t="str">
        <f>IFERROR(__xludf.DUMMYFUNCTION("""COMPUTED_VALUE"""),"Sydney Hales")</f>
        <v>Sydney Hales</v>
      </c>
      <c r="B1675" s="1" t="str">
        <f>IFERROR(__xludf.DUMMYFUNCTION("""COMPUTED_VALUE"""),"L1")</f>
        <v>L1</v>
      </c>
    </row>
    <row r="1676" ht="15.75" customHeight="1">
      <c r="A1676" s="1" t="str">
        <f>IFERROR(__xludf.DUMMYFUNCTION("""COMPUTED_VALUE"""),"Jade Ensley")</f>
        <v>Jade Ensley</v>
      </c>
      <c r="B1676" s="1" t="str">
        <f>IFERROR(__xludf.DUMMYFUNCTION("""COMPUTED_VALUE"""),"HS")</f>
        <v>HS</v>
      </c>
    </row>
    <row r="1677" ht="15.75" customHeight="1">
      <c r="A1677" s="1" t="str">
        <f>IFERROR(__xludf.DUMMYFUNCTION("""COMPUTED_VALUE"""),"Maya Chagnon")</f>
        <v>Maya Chagnon</v>
      </c>
      <c r="B1677" s="1" t="str">
        <f>IFERROR(__xludf.DUMMYFUNCTION("""COMPUTED_VALUE"""),"L2")</f>
        <v>L2</v>
      </c>
    </row>
    <row r="1678" ht="15.75" customHeight="1">
      <c r="A1678" s="1" t="str">
        <f>IFERROR(__xludf.DUMMYFUNCTION("""COMPUTED_VALUE"""),"Miles Weidlich")</f>
        <v>Miles Weidlich</v>
      </c>
      <c r="B1678" s="1" t="str">
        <f>IFERROR(__xludf.DUMMYFUNCTION("""COMPUTED_VALUE"""),"L2")</f>
        <v>L2</v>
      </c>
    </row>
    <row r="1679" ht="15.75" customHeight="1">
      <c r="A1679" s="1" t="str">
        <f>IFERROR(__xludf.DUMMYFUNCTION("""COMPUTED_VALUE"""),"Dottie Weidlich")</f>
        <v>Dottie Weidlich</v>
      </c>
      <c r="B1679" s="1" t="str">
        <f>IFERROR(__xludf.DUMMYFUNCTION("""COMPUTED_VALUE"""),"L1")</f>
        <v>L1</v>
      </c>
    </row>
    <row r="1680" ht="15.75" customHeight="1">
      <c r="A1680" s="1" t="str">
        <f>IFERROR(__xludf.DUMMYFUNCTION("""COMPUTED_VALUE"""),"Nicholas Milone")</f>
        <v>Nicholas Milone</v>
      </c>
      <c r="B1680" s="1" t="str">
        <f>IFERROR(__xludf.DUMMYFUNCTION("""COMPUTED_VALUE"""),"HS")</f>
        <v>HS</v>
      </c>
    </row>
    <row r="1681" ht="15.75" customHeight="1">
      <c r="A1681" s="1" t="str">
        <f>IFERROR(__xludf.DUMMYFUNCTION("""COMPUTED_VALUE"""),"Maren Mershon")</f>
        <v>Maren Mershon</v>
      </c>
      <c r="B1681" s="1" t="str">
        <f>IFERROR(__xludf.DUMMYFUNCTION("""COMPUTED_VALUE"""),"L1")</f>
        <v>L1</v>
      </c>
    </row>
    <row r="1682" ht="15.75" customHeight="1">
      <c r="A1682" s="1" t="str">
        <f>IFERROR(__xludf.DUMMYFUNCTION("""COMPUTED_VALUE"""),"Riley D")</f>
        <v>Riley D</v>
      </c>
      <c r="B1682" s="1" t="str">
        <f>IFERROR(__xludf.DUMMYFUNCTION("""COMPUTED_VALUE"""),"L2")</f>
        <v>L2</v>
      </c>
    </row>
    <row r="1683" ht="15.75" customHeight="1">
      <c r="A1683" s="1" t="str">
        <f>IFERROR(__xludf.DUMMYFUNCTION("""COMPUTED_VALUE"""),"Child One")</f>
        <v>Child One</v>
      </c>
      <c r="B1683" s="1" t="str">
        <f>IFERROR(__xludf.DUMMYFUNCTION("""COMPUTED_VALUE"""),"L2")</f>
        <v>L2</v>
      </c>
    </row>
    <row r="1684" ht="15.75" customHeight="1">
      <c r="A1684" s="1" t="str">
        <f>IFERROR(__xludf.DUMMYFUNCTION("""COMPUTED_VALUE"""),"Brianna Armas")</f>
        <v>Brianna Armas</v>
      </c>
      <c r="B1684" s="1" t="str">
        <f>IFERROR(__xludf.DUMMYFUNCTION("""COMPUTED_VALUE"""),"MS")</f>
        <v>MS</v>
      </c>
    </row>
    <row r="1685" ht="15.75" customHeight="1">
      <c r="A1685" s="1" t="str">
        <f>IFERROR(__xludf.DUMMYFUNCTION("""COMPUTED_VALUE"""),"Howie Hsu")</f>
        <v>Howie Hsu</v>
      </c>
      <c r="B1685" s="1" t="str">
        <f>IFERROR(__xludf.DUMMYFUNCTION("""COMPUTED_VALUE"""),"L1")</f>
        <v>L1</v>
      </c>
    </row>
    <row r="1686" ht="15.75" customHeight="1">
      <c r="A1686" s="1" t="str">
        <f>IFERROR(__xludf.DUMMYFUNCTION("""COMPUTED_VALUE"""),"Zoey Hsu")</f>
        <v>Zoey Hsu</v>
      </c>
      <c r="B1686" s="1" t="str">
        <f>IFERROR(__xludf.DUMMYFUNCTION("""COMPUTED_VALUE"""),"L2")</f>
        <v>L2</v>
      </c>
    </row>
    <row r="1687" ht="15.75" customHeight="1">
      <c r="A1687" s="1" t="str">
        <f>IFERROR(__xludf.DUMMYFUNCTION("""COMPUTED_VALUE"""),"Gage Lucas")</f>
        <v>Gage Lucas</v>
      </c>
      <c r="B1687" s="1" t="str">
        <f>IFERROR(__xludf.DUMMYFUNCTION("""COMPUTED_VALUE"""),"MS")</f>
        <v>MS</v>
      </c>
    </row>
    <row r="1688" ht="15.75" customHeight="1">
      <c r="A1688" s="1" t="str">
        <f>IFERROR(__xludf.DUMMYFUNCTION("""COMPUTED_VALUE"""),"Henry Knight")</f>
        <v>Henry Knight</v>
      </c>
      <c r="B1688" s="1" t="str">
        <f>IFERROR(__xludf.DUMMYFUNCTION("""COMPUTED_VALUE"""),"L2")</f>
        <v>L2</v>
      </c>
    </row>
    <row r="1689" ht="15.75" customHeight="1">
      <c r="A1689" s="1" t="str">
        <f>IFERROR(__xludf.DUMMYFUNCTION("""COMPUTED_VALUE"""),"Save Ionescu")</f>
        <v>Save Ionescu</v>
      </c>
      <c r="B1689" s="1" t="str">
        <f>IFERROR(__xludf.DUMMYFUNCTION("""COMPUTED_VALUE"""),"MS")</f>
        <v>MS</v>
      </c>
    </row>
    <row r="1690" ht="15.75" customHeight="1">
      <c r="A1690" s="1" t="str">
        <f>IFERROR(__xludf.DUMMYFUNCTION("""COMPUTED_VALUE"""),"Harrison Tukey")</f>
        <v>Harrison Tukey</v>
      </c>
      <c r="B1690" s="1" t="str">
        <f>IFERROR(__xludf.DUMMYFUNCTION("""COMPUTED_VALUE"""),"L1")</f>
        <v>L1</v>
      </c>
    </row>
    <row r="1691" ht="15.75" customHeight="1">
      <c r="A1691" s="1" t="str">
        <f>IFERROR(__xludf.DUMMYFUNCTION("""COMPUTED_VALUE"""),"Leonardo Lourenco")</f>
        <v>Leonardo Lourenco</v>
      </c>
      <c r="B1691" s="1" t="str">
        <f>IFERROR(__xludf.DUMMYFUNCTION("""COMPUTED_VALUE"""),"L1")</f>
        <v>L1</v>
      </c>
    </row>
    <row r="1692" ht="15.75" customHeight="1">
      <c r="A1692" s="1" t="str">
        <f>IFERROR(__xludf.DUMMYFUNCTION("""COMPUTED_VALUE"""),"Tessla Laemmar")</f>
        <v>Tessla Laemmar</v>
      </c>
      <c r="B1692" s="1" t="str">
        <f>IFERROR(__xludf.DUMMYFUNCTION("""COMPUTED_VALUE"""),"L2")</f>
        <v>L2</v>
      </c>
    </row>
    <row r="1693" ht="15.75" customHeight="1">
      <c r="A1693" s="1" t="str">
        <f>IFERROR(__xludf.DUMMYFUNCTION("""COMPUTED_VALUE"""),"Copper Laemmar")</f>
        <v>Copper Laemmar</v>
      </c>
      <c r="B1693" s="1" t="str">
        <f>IFERROR(__xludf.DUMMYFUNCTION("""COMPUTED_VALUE"""),"L1")</f>
        <v>L1</v>
      </c>
    </row>
    <row r="1694" ht="15.75" customHeight="1">
      <c r="A1694" s="1" t="str">
        <f>IFERROR(__xludf.DUMMYFUNCTION("""COMPUTED_VALUE"""),"Gabriella Pereira")</f>
        <v>Gabriella Pereira</v>
      </c>
      <c r="B1694" s="1" t="str">
        <f>IFERROR(__xludf.DUMMYFUNCTION("""COMPUTED_VALUE"""),"MS")</f>
        <v>MS</v>
      </c>
    </row>
    <row r="1695" ht="15.75" customHeight="1">
      <c r="A1695" s="1" t="str">
        <f>IFERROR(__xludf.DUMMYFUNCTION("""COMPUTED_VALUE"""),"Thea Buehler")</f>
        <v>Thea Buehler</v>
      </c>
      <c r="B1695" s="1" t="str">
        <f>IFERROR(__xludf.DUMMYFUNCTION("""COMPUTED_VALUE"""),"MS")</f>
        <v>MS</v>
      </c>
    </row>
    <row r="1696" ht="15.75" customHeight="1">
      <c r="A1696" s="1" t="str">
        <f>IFERROR(__xludf.DUMMYFUNCTION("""COMPUTED_VALUE"""),"Everly Baldwin")</f>
        <v>Everly Baldwin</v>
      </c>
      <c r="B1696" s="1" t="str">
        <f>IFERROR(__xludf.DUMMYFUNCTION("""COMPUTED_VALUE"""),"MS")</f>
        <v>MS</v>
      </c>
    </row>
    <row r="1697" ht="15.75" customHeight="1">
      <c r="A1697" s="1" t="str">
        <f>IFERROR(__xludf.DUMMYFUNCTION("""COMPUTED_VALUE"""),"Lelia Baldwin")</f>
        <v>Lelia Baldwin</v>
      </c>
      <c r="B1697" s="1" t="str">
        <f>IFERROR(__xludf.DUMMYFUNCTION("""COMPUTED_VALUE"""),"L2")</f>
        <v>L2</v>
      </c>
    </row>
    <row r="1698" ht="15.75" customHeight="1">
      <c r="A1698" s="1" t="str">
        <f>IFERROR(__xludf.DUMMYFUNCTION("""COMPUTED_VALUE"""),"Lawrence Bradham")</f>
        <v>Lawrence Bradham</v>
      </c>
      <c r="B1698" s="1" t="str">
        <f>IFERROR(__xludf.DUMMYFUNCTION("""COMPUTED_VALUE"""),"L2")</f>
        <v>L2</v>
      </c>
    </row>
    <row r="1699" ht="15.75" customHeight="1">
      <c r="A1699" s="1" t="str">
        <f>IFERROR(__xludf.DUMMYFUNCTION("""COMPUTED_VALUE"""),"Noelle Sanders")</f>
        <v>Noelle Sanders</v>
      </c>
      <c r="B1699" s="1" t="str">
        <f>IFERROR(__xludf.DUMMYFUNCTION("""COMPUTED_VALUE"""),"MS")</f>
        <v>MS</v>
      </c>
    </row>
    <row r="1700" ht="15.75" customHeight="1">
      <c r="A1700" s="1" t="str">
        <f>IFERROR(__xludf.DUMMYFUNCTION("""COMPUTED_VALUE"""),"Sunil Prasad")</f>
        <v>Sunil Prasad</v>
      </c>
      <c r="B1700" s="1" t="str">
        <f>IFERROR(__xludf.DUMMYFUNCTION("""COMPUTED_VALUE"""),"MS")</f>
        <v>MS</v>
      </c>
    </row>
    <row r="1701" ht="15.75" customHeight="1">
      <c r="A1701" s="1" t="str">
        <f>IFERROR(__xludf.DUMMYFUNCTION("""COMPUTED_VALUE"""),"Naomi Sanders")</f>
        <v>Naomi Sanders</v>
      </c>
      <c r="B1701" s="1" t="str">
        <f>IFERROR(__xludf.DUMMYFUNCTION("""COMPUTED_VALUE"""),"L2")</f>
        <v>L2</v>
      </c>
    </row>
    <row r="1702" ht="15.75" customHeight="1">
      <c r="A1702" s="1" t="str">
        <f>IFERROR(__xludf.DUMMYFUNCTION("""COMPUTED_VALUE"""),"Callaway Earnest")</f>
        <v>Callaway Earnest</v>
      </c>
      <c r="B1702" s="1" t="str">
        <f>IFERROR(__xludf.DUMMYFUNCTION("""COMPUTED_VALUE"""),"L2")</f>
        <v>L2</v>
      </c>
    </row>
    <row r="1703" ht="15.75" customHeight="1">
      <c r="A1703" s="1" t="str">
        <f>IFERROR(__xludf.DUMMYFUNCTION("""COMPUTED_VALUE"""),"Carlyle Earnest")</f>
        <v>Carlyle Earnest</v>
      </c>
      <c r="B1703" s="1" t="str">
        <f>IFERROR(__xludf.DUMMYFUNCTION("""COMPUTED_VALUE"""),"L1")</f>
        <v>L1</v>
      </c>
    </row>
    <row r="1704" ht="15.75" customHeight="1">
      <c r="A1704" s="1" t="str">
        <f>IFERROR(__xludf.DUMMYFUNCTION("""COMPUTED_VALUE"""),"Soren Kamrud")</f>
        <v>Soren Kamrud</v>
      </c>
      <c r="B1704" s="1" t="str">
        <f>IFERROR(__xludf.DUMMYFUNCTION("""COMPUTED_VALUE"""),"MS")</f>
        <v>MS</v>
      </c>
    </row>
    <row r="1705" ht="15.75" customHeight="1">
      <c r="A1705" s="1" t="str">
        <f>IFERROR(__xludf.DUMMYFUNCTION("""COMPUTED_VALUE"""),"Maria Kamrud")</f>
        <v>Maria Kamrud</v>
      </c>
      <c r="B1705" s="1" t="str">
        <f>IFERROR(__xludf.DUMMYFUNCTION("""COMPUTED_VALUE"""),"MS")</f>
        <v>MS</v>
      </c>
    </row>
    <row r="1706" ht="15.75" customHeight="1">
      <c r="A1706" s="1" t="str">
        <f>IFERROR(__xludf.DUMMYFUNCTION("""COMPUTED_VALUE"""),"Henrik Kamrud")</f>
        <v>Henrik Kamrud</v>
      </c>
      <c r="B1706" s="1" t="str">
        <f>IFERROR(__xludf.DUMMYFUNCTION("""COMPUTED_VALUE"""),"L2")</f>
        <v>L2</v>
      </c>
    </row>
    <row r="1707" ht="15.75" customHeight="1">
      <c r="A1707" s="1" t="str">
        <f>IFERROR(__xludf.DUMMYFUNCTION("""COMPUTED_VALUE"""),"Avi Shah")</f>
        <v>Avi Shah</v>
      </c>
      <c r="B1707" s="1" t="str">
        <f>IFERROR(__xludf.DUMMYFUNCTION("""COMPUTED_VALUE"""),"L2")</f>
        <v>L2</v>
      </c>
    </row>
    <row r="1708" ht="15.75" customHeight="1">
      <c r="A1708" s="1" t="str">
        <f>IFERROR(__xludf.DUMMYFUNCTION("""COMPUTED_VALUE"""),"Maya Shah")</f>
        <v>Maya Shah</v>
      </c>
      <c r="B1708" s="1" t="str">
        <f>IFERROR(__xludf.DUMMYFUNCTION("""COMPUTED_VALUE"""),"L1")</f>
        <v>L1</v>
      </c>
    </row>
    <row r="1709" ht="15.75" customHeight="1">
      <c r="A1709" s="1" t="str">
        <f>IFERROR(__xludf.DUMMYFUNCTION("""COMPUTED_VALUE"""),"Savannah Strayer")</f>
        <v>Savannah Strayer</v>
      </c>
      <c r="B1709" s="1" t="str">
        <f>IFERROR(__xludf.DUMMYFUNCTION("""COMPUTED_VALUE"""),"L2")</f>
        <v>L2</v>
      </c>
    </row>
    <row r="1710" ht="15.75" customHeight="1">
      <c r="A1710" s="1" t="str">
        <f>IFERROR(__xludf.DUMMYFUNCTION("""COMPUTED_VALUE"""),"Roman Strayer")</f>
        <v>Roman Strayer</v>
      </c>
      <c r="B1710" s="1" t="str">
        <f>IFERROR(__xludf.DUMMYFUNCTION("""COMPUTED_VALUE"""),"L1")</f>
        <v>L1</v>
      </c>
    </row>
    <row r="1711" ht="15.75" customHeight="1">
      <c r="A1711" s="1" t="str">
        <f>IFERROR(__xludf.DUMMYFUNCTION("""COMPUTED_VALUE"""),"Ronel St. Germain")</f>
        <v>Ronel St. Germain</v>
      </c>
      <c r="B1711" s="1" t="str">
        <f>IFERROR(__xludf.DUMMYFUNCTION("""COMPUTED_VALUE"""),"MS")</f>
        <v>MS</v>
      </c>
    </row>
    <row r="1712" ht="15.75" customHeight="1">
      <c r="A1712" s="1" t="str">
        <f>IFERROR(__xludf.DUMMYFUNCTION("""COMPUTED_VALUE"""),"M Kamrud")</f>
        <v>M Kamrud</v>
      </c>
      <c r="B1712" s="1" t="str">
        <f>IFERROR(__xludf.DUMMYFUNCTION("""COMPUTED_VALUE"""),"MS")</f>
        <v>MS</v>
      </c>
    </row>
    <row r="1713" ht="15.75" customHeight="1">
      <c r="A1713" s="1" t="str">
        <f>IFERROR(__xludf.DUMMYFUNCTION("""COMPUTED_VALUE"""),"Vidya Narayanan")</f>
        <v>Vidya Narayanan</v>
      </c>
      <c r="B1713" s="1" t="str">
        <f>IFERROR(__xludf.DUMMYFUNCTION("""COMPUTED_VALUE"""),"L1")</f>
        <v>L1</v>
      </c>
    </row>
    <row r="1714" ht="15.75" customHeight="1">
      <c r="A1714" s="1" t="str">
        <f>IFERROR(__xludf.DUMMYFUNCTION("""COMPUTED_VALUE"""),"Laivy Zweig")</f>
        <v>Laivy Zweig</v>
      </c>
      <c r="B1714" s="1" t="str">
        <f>IFERROR(__xludf.DUMMYFUNCTION("""COMPUTED_VALUE"""),"L2")</f>
        <v>L2</v>
      </c>
    </row>
    <row r="1715" ht="15.75" customHeight="1">
      <c r="A1715" s="1" t="str">
        <f>IFERROR(__xludf.DUMMYFUNCTION("""COMPUTED_VALUE"""),"Eli Blye")</f>
        <v>Eli Blye</v>
      </c>
      <c r="B1715" s="1" t="str">
        <f>IFERROR(__xludf.DUMMYFUNCTION("""COMPUTED_VALUE"""),"L2")</f>
        <v>L2</v>
      </c>
    </row>
    <row r="1716" ht="15.75" customHeight="1">
      <c r="A1716" s="1" t="str">
        <f>IFERROR(__xludf.DUMMYFUNCTION("""COMPUTED_VALUE"""),"Kendall Doble")</f>
        <v>Kendall Doble</v>
      </c>
      <c r="B1716" s="1" t="str">
        <f>IFERROR(__xludf.DUMMYFUNCTION("""COMPUTED_VALUE"""),"L2")</f>
        <v>L2</v>
      </c>
    </row>
    <row r="1717" ht="15.75" customHeight="1">
      <c r="A1717" s="1" t="str">
        <f>IFERROR(__xludf.DUMMYFUNCTION("""COMPUTED_VALUE"""),"Graham Doble")</f>
        <v>Graham Doble</v>
      </c>
      <c r="B1717" s="1" t="str">
        <f>IFERROR(__xludf.DUMMYFUNCTION("""COMPUTED_VALUE"""),"LL")</f>
        <v>LL</v>
      </c>
    </row>
    <row r="1718" ht="15.75" customHeight="1">
      <c r="A1718" s="1" t="str">
        <f>IFERROR(__xludf.DUMMYFUNCTION("""COMPUTED_VALUE"""),"Matthew Sully")</f>
        <v>Matthew Sully</v>
      </c>
      <c r="B1718" s="1" t="str">
        <f>IFERROR(__xludf.DUMMYFUNCTION("""COMPUTED_VALUE"""),"MS")</f>
        <v>MS</v>
      </c>
    </row>
    <row r="1719" ht="15.75" customHeight="1">
      <c r="A1719" s="1" t="str">
        <f>IFERROR(__xludf.DUMMYFUNCTION("""COMPUTED_VALUE"""),"Robert Sully")</f>
        <v>Robert Sully</v>
      </c>
      <c r="B1719" s="1" t="str">
        <f>IFERROR(__xludf.DUMMYFUNCTION("""COMPUTED_VALUE"""),"MS")</f>
        <v>MS</v>
      </c>
    </row>
    <row r="1720" ht="15.75" customHeight="1">
      <c r="A1720" s="1" t="str">
        <f>IFERROR(__xludf.DUMMYFUNCTION("""COMPUTED_VALUE"""),"Ruby Shepherd")</f>
        <v>Ruby Shepherd</v>
      </c>
      <c r="B1720" s="1" t="str">
        <f>IFERROR(__xludf.DUMMYFUNCTION("""COMPUTED_VALUE"""),"HS")</f>
        <v>HS</v>
      </c>
    </row>
    <row r="1721" ht="15.75" customHeight="1">
      <c r="A1721" s="1" t="str">
        <f>IFERROR(__xludf.DUMMYFUNCTION("""COMPUTED_VALUE"""),"Ainsley Tung")</f>
        <v>Ainsley Tung</v>
      </c>
      <c r="B1721" s="1" t="str">
        <f>IFERROR(__xludf.DUMMYFUNCTION("""COMPUTED_VALUE"""),"L2")</f>
        <v>L2</v>
      </c>
    </row>
    <row r="1722" ht="15.75" customHeight="1">
      <c r="A1722" s="1" t="str">
        <f>IFERROR(__xludf.DUMMYFUNCTION("""COMPUTED_VALUE"""),"Harrison Laskey")</f>
        <v>Harrison Laskey</v>
      </c>
      <c r="B1722" s="1" t="str">
        <f>IFERROR(__xludf.DUMMYFUNCTION("""COMPUTED_VALUE"""),"L2")</f>
        <v>L2</v>
      </c>
    </row>
    <row r="1723" ht="15.75" customHeight="1">
      <c r="A1723" s="1" t="str">
        <f>IFERROR(__xludf.DUMMYFUNCTION("""COMPUTED_VALUE"""),"Karim Bagautdinov")</f>
        <v>Karim Bagautdinov</v>
      </c>
      <c r="B1723" s="1" t="str">
        <f>IFERROR(__xludf.DUMMYFUNCTION("""COMPUTED_VALUE"""),"L2")</f>
        <v>L2</v>
      </c>
    </row>
    <row r="1724" ht="15.75" customHeight="1">
      <c r="A1724" s="1" t="str">
        <f>IFERROR(__xludf.DUMMYFUNCTION("""COMPUTED_VALUE"""),"Brennan Freeman")</f>
        <v>Brennan Freeman</v>
      </c>
      <c r="B1724" s="1" t="str">
        <f>IFERROR(__xludf.DUMMYFUNCTION("""COMPUTED_VALUE"""),"MS")</f>
        <v>MS</v>
      </c>
    </row>
    <row r="1725" ht="15.75" customHeight="1">
      <c r="A1725" s="1" t="str">
        <f>IFERROR(__xludf.DUMMYFUNCTION("""COMPUTED_VALUE"""),"Knox Yeager")</f>
        <v>Knox Yeager</v>
      </c>
      <c r="B1725" s="1" t="str">
        <f>IFERROR(__xludf.DUMMYFUNCTION("""COMPUTED_VALUE"""),"MS")</f>
        <v>MS</v>
      </c>
    </row>
    <row r="1726" ht="15.75" customHeight="1">
      <c r="A1726" s="1" t="str">
        <f>IFERROR(__xludf.DUMMYFUNCTION("""COMPUTED_VALUE"""),"Beau Yeager")</f>
        <v>Beau Yeager</v>
      </c>
      <c r="B1726" s="1" t="str">
        <f>IFERROR(__xludf.DUMMYFUNCTION("""COMPUTED_VALUE"""),"L1")</f>
        <v>L1</v>
      </c>
    </row>
    <row r="1727" ht="15.75" customHeight="1">
      <c r="A1727" s="1" t="str">
        <f>IFERROR(__xludf.DUMMYFUNCTION("""COMPUTED_VALUE"""),"Gavin Larson")</f>
        <v>Gavin Larson</v>
      </c>
      <c r="B1727" s="1" t="str">
        <f>IFERROR(__xludf.DUMMYFUNCTION("""COMPUTED_VALUE"""),"HS")</f>
        <v>HS</v>
      </c>
    </row>
    <row r="1728" ht="15.75" customHeight="1">
      <c r="A1728" s="1" t="str">
        <f>IFERROR(__xludf.DUMMYFUNCTION("""COMPUTED_VALUE"""),"Vivianna Carpeneti-Winfree")</f>
        <v>Vivianna Carpeneti-Winfree</v>
      </c>
      <c r="B1728" s="1" t="str">
        <f>IFERROR(__xludf.DUMMYFUNCTION("""COMPUTED_VALUE"""),"LL")</f>
        <v>LL</v>
      </c>
    </row>
    <row r="1729" ht="15.75" customHeight="1">
      <c r="A1729" s="1" t="str">
        <f>IFERROR(__xludf.DUMMYFUNCTION("""COMPUTED_VALUE"""),"Sidd Narayanan")</f>
        <v>Sidd Narayanan</v>
      </c>
      <c r="B1729" s="1" t="str">
        <f>IFERROR(__xludf.DUMMYFUNCTION("""COMPUTED_VALUE"""),"HS")</f>
        <v>HS</v>
      </c>
    </row>
    <row r="1730" ht="15.75" customHeight="1">
      <c r="A1730" s="1" t="str">
        <f>IFERROR(__xludf.DUMMYFUNCTION("""COMPUTED_VALUE"""),"Mia Rincon")</f>
        <v>Mia Rincon</v>
      </c>
      <c r="B1730" s="1" t="str">
        <f>IFERROR(__xludf.DUMMYFUNCTION("""COMPUTED_VALUE"""),"L2")</f>
        <v>L2</v>
      </c>
    </row>
    <row r="1731" ht="15.75" customHeight="1">
      <c r="A1731" s="1" t="str">
        <f>IFERROR(__xludf.DUMMYFUNCTION("""COMPUTED_VALUE"""),"Julian Cespedes")</f>
        <v>Julian Cespedes</v>
      </c>
      <c r="B1731" s="1" t="str">
        <f>IFERROR(__xludf.DUMMYFUNCTION("""COMPUTED_VALUE"""),"L1")</f>
        <v>L1</v>
      </c>
    </row>
    <row r="1732" ht="15.75" customHeight="1">
      <c r="A1732" s="1" t="str">
        <f>IFERROR(__xludf.DUMMYFUNCTION("""COMPUTED_VALUE"""),"Ryan Connolly")</f>
        <v>Ryan Connolly</v>
      </c>
      <c r="B1732" s="1" t="str">
        <f>IFERROR(__xludf.DUMMYFUNCTION("""COMPUTED_VALUE"""),"L2")</f>
        <v>L2</v>
      </c>
    </row>
    <row r="1733" ht="15.75" customHeight="1">
      <c r="A1733" s="1" t="str">
        <f>IFERROR(__xludf.DUMMYFUNCTION("""COMPUTED_VALUE"""),"Samuel Connolly")</f>
        <v>Samuel Connolly</v>
      </c>
      <c r="B1733" s="1" t="str">
        <f>IFERROR(__xludf.DUMMYFUNCTION("""COMPUTED_VALUE"""),"MS")</f>
        <v>MS</v>
      </c>
    </row>
    <row r="1734" ht="15.75" customHeight="1">
      <c r="A1734" s="1" t="str">
        <f>IFERROR(__xludf.DUMMYFUNCTION("""COMPUTED_VALUE"""),"Dylan Centellas")</f>
        <v>Dylan Centellas</v>
      </c>
      <c r="B1734" s="1" t="str">
        <f>IFERROR(__xludf.DUMMYFUNCTION("""COMPUTED_VALUE"""),"MS")</f>
        <v>MS</v>
      </c>
    </row>
    <row r="1735" ht="15.75" customHeight="1">
      <c r="A1735" s="1" t="str">
        <f>IFERROR(__xludf.DUMMYFUNCTION("""COMPUTED_VALUE"""),"Everett Rebner")</f>
        <v>Everett Rebner</v>
      </c>
      <c r="B1735" s="1" t="str">
        <f>IFERROR(__xludf.DUMMYFUNCTION("""COMPUTED_VALUE"""),"L2")</f>
        <v>L2</v>
      </c>
    </row>
    <row r="1736" ht="15.75" customHeight="1">
      <c r="A1736" s="1" t="str">
        <f>IFERROR(__xludf.DUMMYFUNCTION("""COMPUTED_VALUE"""),"Anna Rebner")</f>
        <v>Anna Rebner</v>
      </c>
      <c r="B1736" s="1" t="str">
        <f>IFERROR(__xludf.DUMMYFUNCTION("""COMPUTED_VALUE"""),"L1")</f>
        <v>L1</v>
      </c>
    </row>
    <row r="1737" ht="15.75" customHeight="1">
      <c r="A1737" s="1" t="str">
        <f>IFERROR(__xludf.DUMMYFUNCTION("""COMPUTED_VALUE"""),"Leslie Allen")</f>
        <v>Leslie Allen</v>
      </c>
      <c r="B1737" s="1" t="str">
        <f>IFERROR(__xludf.DUMMYFUNCTION("""COMPUTED_VALUE"""),"L2")</f>
        <v>L2</v>
      </c>
    </row>
    <row r="1738" ht="15.75" customHeight="1">
      <c r="A1738" s="1" t="str">
        <f>IFERROR(__xludf.DUMMYFUNCTION("""COMPUTED_VALUE"""),"Sonia Chang")</f>
        <v>Sonia Chang</v>
      </c>
      <c r="B1738" s="1" t="str">
        <f>IFERROR(__xludf.DUMMYFUNCTION("""COMPUTED_VALUE"""),"L1")</f>
        <v>L1</v>
      </c>
    </row>
    <row r="1739" ht="15.75" customHeight="1">
      <c r="A1739" s="1" t="str">
        <f>IFERROR(__xludf.DUMMYFUNCTION("""COMPUTED_VALUE"""),"Royce Allen")</f>
        <v>Royce Allen</v>
      </c>
      <c r="B1739" s="1" t="str">
        <f>IFERROR(__xludf.DUMMYFUNCTION("""COMPUTED_VALUE"""),"L1")</f>
        <v>L1</v>
      </c>
    </row>
    <row r="1740" ht="15.75" customHeight="1">
      <c r="A1740" s="1" t="str">
        <f>IFERROR(__xludf.DUMMYFUNCTION("""COMPUTED_VALUE"""),"Elizabeth Garrod")</f>
        <v>Elizabeth Garrod</v>
      </c>
      <c r="B1740" s="1" t="str">
        <f>IFERROR(__xludf.DUMMYFUNCTION("""COMPUTED_VALUE"""),"L1")</f>
        <v>L1</v>
      </c>
    </row>
    <row r="1741" ht="15.75" customHeight="1">
      <c r="A1741" s="1" t="str">
        <f>IFERROR(__xludf.DUMMYFUNCTION("""COMPUTED_VALUE"""),"Elizabeth Gaviria")</f>
        <v>Elizabeth Gaviria</v>
      </c>
      <c r="B1741" s="1" t="str">
        <f>IFERROR(__xludf.DUMMYFUNCTION("""COMPUTED_VALUE"""),"L1")</f>
        <v>L1</v>
      </c>
    </row>
    <row r="1742" ht="15.75" customHeight="1">
      <c r="A1742" s="1" t="str">
        <f>IFERROR(__xludf.DUMMYFUNCTION("""COMPUTED_VALUE"""),"Ethan Constant")</f>
        <v>Ethan Constant</v>
      </c>
      <c r="B1742" s="1" t="str">
        <f>IFERROR(__xludf.DUMMYFUNCTION("""COMPUTED_VALUE"""),"L2")</f>
        <v>L2</v>
      </c>
    </row>
    <row r="1743" ht="15.75" customHeight="1">
      <c r="A1743" s="1" t="str">
        <f>IFERROR(__xludf.DUMMYFUNCTION("""COMPUTED_VALUE"""),"Carlo Soccorsi")</f>
        <v>Carlo Soccorsi</v>
      </c>
      <c r="B1743" s="1" t="str">
        <f>IFERROR(__xludf.DUMMYFUNCTION("""COMPUTED_VALUE"""),"L1")</f>
        <v>L1</v>
      </c>
    </row>
    <row r="1744" ht="15.75" customHeight="1">
      <c r="A1744" s="1" t="str">
        <f>IFERROR(__xludf.DUMMYFUNCTION("""COMPUTED_VALUE"""),"Agatha Teitelbaum")</f>
        <v>Agatha Teitelbaum</v>
      </c>
      <c r="B1744" s="1" t="str">
        <f>IFERROR(__xludf.DUMMYFUNCTION("""COMPUTED_VALUE"""),"MS")</f>
        <v>MS</v>
      </c>
    </row>
    <row r="1745" ht="15.75" customHeight="1">
      <c r="A1745" s="1" t="str">
        <f>IFERROR(__xludf.DUMMYFUNCTION("""COMPUTED_VALUE"""),"Avram Amato")</f>
        <v>Avram Amato</v>
      </c>
      <c r="B1745" s="1" t="str">
        <f>IFERROR(__xludf.DUMMYFUNCTION("""COMPUTED_VALUE"""),"MS")</f>
        <v>MS</v>
      </c>
    </row>
    <row r="1746" ht="15.75" customHeight="1">
      <c r="A1746" s="1" t="str">
        <f>IFERROR(__xludf.DUMMYFUNCTION("""COMPUTED_VALUE"""),"Sebastian Amato")</f>
        <v>Sebastian Amato</v>
      </c>
      <c r="B1746" s="1" t="str">
        <f>IFERROR(__xludf.DUMMYFUNCTION("""COMPUTED_VALUE"""),"L2")</f>
        <v>L2</v>
      </c>
    </row>
    <row r="1747" ht="15.75" customHeight="1">
      <c r="A1747" s="1" t="str">
        <f>IFERROR(__xludf.DUMMYFUNCTION("""COMPUTED_VALUE"""),"Jake Amato")</f>
        <v>Jake Amato</v>
      </c>
      <c r="B1747" s="1" t="str">
        <f>IFERROR(__xludf.DUMMYFUNCTION("""COMPUTED_VALUE"""),"MS")</f>
        <v>MS</v>
      </c>
    </row>
    <row r="1748" ht="15.75" customHeight="1">
      <c r="A1748" s="1" t="str">
        <f>IFERROR(__xludf.DUMMYFUNCTION("""COMPUTED_VALUE"""),"Zev Thakkar")</f>
        <v>Zev Thakkar</v>
      </c>
      <c r="B1748" s="1" t="str">
        <f>IFERROR(__xludf.DUMMYFUNCTION("""COMPUTED_VALUE"""),"MS")</f>
        <v>MS</v>
      </c>
    </row>
    <row r="1749" ht="15.75" customHeight="1">
      <c r="A1749" s="1" t="str">
        <f>IFERROR(__xludf.DUMMYFUNCTION("""COMPUTED_VALUE"""),"Vianne Ehnis")</f>
        <v>Vianne Ehnis</v>
      </c>
      <c r="B1749" s="1" t="str">
        <f>IFERROR(__xludf.DUMMYFUNCTION("""COMPUTED_VALUE"""),"MS")</f>
        <v>MS</v>
      </c>
    </row>
    <row r="1750" ht="15.75" customHeight="1">
      <c r="A1750" s="1" t="str">
        <f>IFERROR(__xludf.DUMMYFUNCTION("""COMPUTED_VALUE"""),"Mason Donalds")</f>
        <v>Mason Donalds</v>
      </c>
      <c r="B1750" s="1" t="str">
        <f>IFERROR(__xludf.DUMMYFUNCTION("""COMPUTED_VALUE"""),"MS")</f>
        <v>MS</v>
      </c>
    </row>
    <row r="1751" ht="15.75" customHeight="1">
      <c r="A1751" s="1" t="str">
        <f>IFERROR(__xludf.DUMMYFUNCTION("""COMPUTED_VALUE"""),"Jacob Benitt")</f>
        <v>Jacob Benitt</v>
      </c>
      <c r="B1751" s="1" t="str">
        <f>IFERROR(__xludf.DUMMYFUNCTION("""COMPUTED_VALUE"""),"MS")</f>
        <v>MS</v>
      </c>
    </row>
    <row r="1752" ht="15.75" customHeight="1">
      <c r="A1752" s="1" t="str">
        <f>IFERROR(__xludf.DUMMYFUNCTION("""COMPUTED_VALUE"""),"Adria Two")</f>
        <v>Adria Two</v>
      </c>
      <c r="B1752" s="1" t="str">
        <f>IFERROR(__xludf.DUMMYFUNCTION("""COMPUTED_VALUE"""),"L1")</f>
        <v>L1</v>
      </c>
    </row>
    <row r="1753" ht="15.75" customHeight="1">
      <c r="A1753" s="1" t="str">
        <f>IFERROR(__xludf.DUMMYFUNCTION("""COMPUTED_VALUE"""),"Rehan Gul")</f>
        <v>Rehan Gul</v>
      </c>
      <c r="B1753" s="1" t="str">
        <f>IFERROR(__xludf.DUMMYFUNCTION("""COMPUTED_VALUE"""),"L2")</f>
        <v>L2</v>
      </c>
    </row>
    <row r="1754" ht="15.75" customHeight="1">
      <c r="A1754" s="1" t="str">
        <f>IFERROR(__xludf.DUMMYFUNCTION("""COMPUTED_VALUE"""),"Jiya Gul")</f>
        <v>Jiya Gul</v>
      </c>
      <c r="B1754" s="1" t="str">
        <f>IFERROR(__xludf.DUMMYFUNCTION("""COMPUTED_VALUE"""),"L1")</f>
        <v>L1</v>
      </c>
    </row>
    <row r="1755" ht="15.75" customHeight="1">
      <c r="A1755" s="1" t="str">
        <f>IFERROR(__xludf.DUMMYFUNCTION("""COMPUTED_VALUE"""),"August Lutmer")</f>
        <v>August Lutmer</v>
      </c>
      <c r="B1755" s="1" t="str">
        <f>IFERROR(__xludf.DUMMYFUNCTION("""COMPUTED_VALUE"""),"L2")</f>
        <v>L2</v>
      </c>
    </row>
    <row r="1756" ht="15.75" customHeight="1">
      <c r="A1756" s="1" t="str">
        <f>IFERROR(__xludf.DUMMYFUNCTION("""COMPUTED_VALUE"""),"Thomas Lutmer")</f>
        <v>Thomas Lutmer</v>
      </c>
      <c r="B1756" s="1" t="str">
        <f>IFERROR(__xludf.DUMMYFUNCTION("""COMPUTED_VALUE"""),"L1")</f>
        <v>L1</v>
      </c>
    </row>
    <row r="1757" ht="15.75" customHeight="1">
      <c r="A1757" s="1" t="str">
        <f>IFERROR(__xludf.DUMMYFUNCTION("""COMPUTED_VALUE"""),"Luka Svarovsky Hammer")</f>
        <v>Luka Svarovsky Hammer</v>
      </c>
      <c r="B1757" s="1" t="str">
        <f>IFERROR(__xludf.DUMMYFUNCTION("""COMPUTED_VALUE"""),"L1")</f>
        <v>L1</v>
      </c>
    </row>
    <row r="1758" ht="15.75" customHeight="1">
      <c r="A1758" s="1" t="str">
        <f>IFERROR(__xludf.DUMMYFUNCTION("""COMPUTED_VALUE"""),"Nevaeh Carranza")</f>
        <v>Nevaeh Carranza</v>
      </c>
      <c r="B1758" s="1" t="str">
        <f>IFERROR(__xludf.DUMMYFUNCTION("""COMPUTED_VALUE"""),"MS")</f>
        <v>MS</v>
      </c>
    </row>
    <row r="1759" ht="15.75" customHeight="1">
      <c r="A1759" s="1" t="str">
        <f>IFERROR(__xludf.DUMMYFUNCTION("""COMPUTED_VALUE"""),"Eli Morgan")</f>
        <v>Eli Morgan</v>
      </c>
      <c r="B1759" s="1" t="str">
        <f>IFERROR(__xludf.DUMMYFUNCTION("""COMPUTED_VALUE"""),"L2")</f>
        <v>L2</v>
      </c>
    </row>
    <row r="1760" ht="15.75" customHeight="1">
      <c r="A1760" s="1" t="str">
        <f>IFERROR(__xludf.DUMMYFUNCTION("""COMPUTED_VALUE"""),"Luka Hammer")</f>
        <v>Luka Hammer</v>
      </c>
      <c r="B1760" s="1" t="str">
        <f>IFERROR(__xludf.DUMMYFUNCTION("""COMPUTED_VALUE"""),"L1")</f>
        <v>L1</v>
      </c>
    </row>
    <row r="1761" ht="15.75" customHeight="1">
      <c r="A1761" s="1" t="str">
        <f>IFERROR(__xludf.DUMMYFUNCTION("""COMPUTED_VALUE"""),"N Wandimi")</f>
        <v>N Wandimi</v>
      </c>
      <c r="B1761" s="1" t="str">
        <f>IFERROR(__xludf.DUMMYFUNCTION("""COMPUTED_VALUE"""),"L2")</f>
        <v>L2</v>
      </c>
    </row>
    <row r="1762" ht="15.75" customHeight="1">
      <c r="A1762" s="1" t="str">
        <f>IFERROR(__xludf.DUMMYFUNCTION("""COMPUTED_VALUE"""),"V Wandimi")</f>
        <v>V Wandimi</v>
      </c>
      <c r="B1762" s="1" t="str">
        <f>IFERROR(__xludf.DUMMYFUNCTION("""COMPUTED_VALUE"""),"L1")</f>
        <v>L1</v>
      </c>
    </row>
    <row r="1763" ht="15.75" customHeight="1">
      <c r="A1763" s="1" t="str">
        <f>IFERROR(__xludf.DUMMYFUNCTION("""COMPUTED_VALUE"""),"Ava Delaney")</f>
        <v>Ava Delaney</v>
      </c>
      <c r="B1763" s="1" t="str">
        <f>IFERROR(__xludf.DUMMYFUNCTION("""COMPUTED_VALUE"""),"L2")</f>
        <v>L2</v>
      </c>
    </row>
    <row r="1764" ht="15.75" customHeight="1">
      <c r="A1764" s="1" t="str">
        <f>IFERROR(__xludf.DUMMYFUNCTION("""COMPUTED_VALUE"""),"Jacob Schaefer")</f>
        <v>Jacob Schaefer</v>
      </c>
      <c r="B1764" s="1" t="str">
        <f>IFERROR(__xludf.DUMMYFUNCTION("""COMPUTED_VALUE"""),"MS")</f>
        <v>MS</v>
      </c>
    </row>
    <row r="1765" ht="15.75" customHeight="1">
      <c r="A1765" s="1" t="str">
        <f>IFERROR(__xludf.DUMMYFUNCTION("""COMPUTED_VALUE"""),"Liam Schaefer")</f>
        <v>Liam Schaefer</v>
      </c>
      <c r="B1765" s="1" t="str">
        <f>IFERROR(__xludf.DUMMYFUNCTION("""COMPUTED_VALUE"""),"L2")</f>
        <v>L2</v>
      </c>
    </row>
    <row r="1766" ht="15.75" customHeight="1">
      <c r="A1766" s="1" t="str">
        <f>IFERROR(__xludf.DUMMYFUNCTION("""COMPUTED_VALUE"""),"Harper Zacko")</f>
        <v>Harper Zacko</v>
      </c>
      <c r="B1766" s="1" t="str">
        <f>IFERROR(__xludf.DUMMYFUNCTION("""COMPUTED_VALUE"""),"MS")</f>
        <v>MS</v>
      </c>
    </row>
    <row r="1767" ht="15.75" customHeight="1">
      <c r="A1767" s="1" t="str">
        <f>IFERROR(__xludf.DUMMYFUNCTION("""COMPUTED_VALUE"""),"Kennedy Zacko")</f>
        <v>Kennedy Zacko</v>
      </c>
      <c r="B1767" s="1" t="str">
        <f>IFERROR(__xludf.DUMMYFUNCTION("""COMPUTED_VALUE"""),"MS")</f>
        <v>MS</v>
      </c>
    </row>
    <row r="1768" ht="15.75" customHeight="1">
      <c r="A1768" s="1" t="str">
        <f>IFERROR(__xludf.DUMMYFUNCTION("""COMPUTED_VALUE"""),"Briana Rosenzweig")</f>
        <v>Briana Rosenzweig</v>
      </c>
      <c r="B1768" s="1" t="str">
        <f>IFERROR(__xludf.DUMMYFUNCTION("""COMPUTED_VALUE"""),"HS")</f>
        <v>HS</v>
      </c>
    </row>
    <row r="1769" ht="15.75" customHeight="1">
      <c r="A1769" s="1" t="str">
        <f>IFERROR(__xludf.DUMMYFUNCTION("""COMPUTED_VALUE"""),"Jack Brainerd")</f>
        <v>Jack Brainerd</v>
      </c>
      <c r="B1769" s="1" t="str">
        <f>IFERROR(__xludf.DUMMYFUNCTION("""COMPUTED_VALUE"""),"L1")</f>
        <v>L1</v>
      </c>
    </row>
    <row r="1770" ht="15.75" customHeight="1">
      <c r="A1770" s="1" t="str">
        <f>IFERROR(__xludf.DUMMYFUNCTION("""COMPUTED_VALUE"""),"Charlotte Rosenson")</f>
        <v>Charlotte Rosenson</v>
      </c>
      <c r="B1770" s="1" t="str">
        <f>IFERROR(__xludf.DUMMYFUNCTION("""COMPUTED_VALUE"""),"L2")</f>
        <v>L2</v>
      </c>
    </row>
    <row r="1771" ht="15.75" customHeight="1">
      <c r="A1771" s="1" t="str">
        <f>IFERROR(__xludf.DUMMYFUNCTION("""COMPUTED_VALUE"""),"Myfirst Son")</f>
        <v>Myfirst Son</v>
      </c>
      <c r="B1771" s="1" t="str">
        <f>IFERROR(__xludf.DUMMYFUNCTION("""COMPUTED_VALUE"""),"LL")</f>
        <v>LL</v>
      </c>
    </row>
    <row r="1772" ht="15.75" customHeight="1">
      <c r="A1772" s="1" t="str">
        <f>IFERROR(__xludf.DUMMYFUNCTION("""COMPUTED_VALUE"""),"Mysecond son")</f>
        <v>Mysecond son</v>
      </c>
      <c r="B1772" s="1" t="str">
        <f>IFERROR(__xludf.DUMMYFUNCTION("""COMPUTED_VALUE"""),"L1")</f>
        <v>L1</v>
      </c>
    </row>
    <row r="1773" ht="15.75" customHeight="1">
      <c r="A1773" s="1" t="str">
        <f>IFERROR(__xludf.DUMMYFUNCTION("""COMPUTED_VALUE"""),"Tuf Donohoo")</f>
        <v>Tuf Donohoo</v>
      </c>
      <c r="B1773" s="1" t="str">
        <f>IFERROR(__xludf.DUMMYFUNCTION("""COMPUTED_VALUE"""),"L2")</f>
        <v>L2</v>
      </c>
    </row>
    <row r="1774" ht="15.75" customHeight="1">
      <c r="A1774" s="1" t="str">
        <f>IFERROR(__xludf.DUMMYFUNCTION("""COMPUTED_VALUE"""),"Anaelle Abramson")</f>
        <v>Anaelle Abramson</v>
      </c>
      <c r="B1774" s="1" t="str">
        <f>IFERROR(__xludf.DUMMYFUNCTION("""COMPUTED_VALUE"""),"L2")</f>
        <v>L2</v>
      </c>
    </row>
    <row r="1775" ht="15.75" customHeight="1">
      <c r="A1775" s="1" t="str">
        <f>IFERROR(__xludf.DUMMYFUNCTION("""COMPUTED_VALUE"""),"Maayan Abramson")</f>
        <v>Maayan Abramson</v>
      </c>
      <c r="B1775" s="1" t="str">
        <f>IFERROR(__xludf.DUMMYFUNCTION("""COMPUTED_VALUE"""),"L1")</f>
        <v>L1</v>
      </c>
    </row>
    <row r="1776" ht="15.75" customHeight="1">
      <c r="A1776" s="1" t="str">
        <f>IFERROR(__xludf.DUMMYFUNCTION("""COMPUTED_VALUE"""),"Terrell Robinson")</f>
        <v>Terrell Robinson</v>
      </c>
      <c r="B1776" s="1" t="str">
        <f>IFERROR(__xludf.DUMMYFUNCTION("""COMPUTED_VALUE"""),"MS")</f>
        <v>MS</v>
      </c>
    </row>
    <row r="1777" ht="15.75" customHeight="1">
      <c r="A1777" s="1" t="str">
        <f>IFERROR(__xludf.DUMMYFUNCTION("""COMPUTED_VALUE"""),"Emma Exstrom")</f>
        <v>Emma Exstrom</v>
      </c>
      <c r="B1777" s="1" t="str">
        <f>IFERROR(__xludf.DUMMYFUNCTION("""COMPUTED_VALUE"""),"MS")</f>
        <v>MS</v>
      </c>
    </row>
    <row r="1778" ht="15.75" customHeight="1">
      <c r="A1778" s="1" t="str">
        <f>IFERROR(__xludf.DUMMYFUNCTION("""COMPUTED_VALUE"""),"August Van Gompel")</f>
        <v>August Van Gompel</v>
      </c>
      <c r="B1778" s="1" t="str">
        <f>IFERROR(__xludf.DUMMYFUNCTION("""COMPUTED_VALUE"""),"L1")</f>
        <v>L1</v>
      </c>
    </row>
    <row r="1779" ht="15.75" customHeight="1">
      <c r="A1779" s="1" t="str">
        <f>IFERROR(__xludf.DUMMYFUNCTION("""COMPUTED_VALUE"""),"Carter Nash")</f>
        <v>Carter Nash</v>
      </c>
      <c r="B1779" s="1" t="str">
        <f>IFERROR(__xludf.DUMMYFUNCTION("""COMPUTED_VALUE"""),"L1")</f>
        <v>L1</v>
      </c>
    </row>
    <row r="1780" ht="15.75" customHeight="1">
      <c r="A1780" s="1" t="str">
        <f>IFERROR(__xludf.DUMMYFUNCTION("""COMPUTED_VALUE"""),"Patrick V")</f>
        <v>Patrick V</v>
      </c>
      <c r="B1780" s="1" t="str">
        <f>IFERROR(__xludf.DUMMYFUNCTION("""COMPUTED_VALUE"""),"L1")</f>
        <v>L1</v>
      </c>
    </row>
    <row r="1781" ht="15.75" customHeight="1">
      <c r="A1781" s="1" t="str">
        <f>IFERROR(__xludf.DUMMYFUNCTION("""COMPUTED_VALUE"""),"Patricia Owen")</f>
        <v>Patricia Owen</v>
      </c>
      <c r="B1781" s="1" t="str">
        <f>IFERROR(__xludf.DUMMYFUNCTION("""COMPUTED_VALUE"""),"L2")</f>
        <v>L2</v>
      </c>
    </row>
    <row r="1782" ht="15.75" customHeight="1">
      <c r="A1782" s="1" t="str">
        <f>IFERROR(__xludf.DUMMYFUNCTION("""COMPUTED_VALUE"""),"Anthony V")</f>
        <v>Anthony V</v>
      </c>
      <c r="B1782" s="1" t="str">
        <f>IFERROR(__xludf.DUMMYFUNCTION("""COMPUTED_VALUE"""),"L1")</f>
        <v>L1</v>
      </c>
    </row>
    <row r="1783" ht="15.75" customHeight="1">
      <c r="A1783" s="1" t="str">
        <f>IFERROR(__xludf.DUMMYFUNCTION("""COMPUTED_VALUE"""),"Peter Smith")</f>
        <v>Peter Smith</v>
      </c>
      <c r="B1783" s="1" t="str">
        <f>IFERROR(__xludf.DUMMYFUNCTION("""COMPUTED_VALUE"""),"MS")</f>
        <v>MS</v>
      </c>
    </row>
    <row r="1784" ht="15.75" customHeight="1">
      <c r="A1784" s="1" t="str">
        <f>IFERROR(__xludf.DUMMYFUNCTION("""COMPUTED_VALUE"""),"Esther Smith")</f>
        <v>Esther Smith</v>
      </c>
      <c r="B1784" s="1" t="str">
        <f>IFERROR(__xludf.DUMMYFUNCTION("""COMPUTED_VALUE"""),"L2")</f>
        <v>L2</v>
      </c>
    </row>
    <row r="1785" ht="15.75" customHeight="1">
      <c r="A1785" s="1" t="str">
        <f>IFERROR(__xludf.DUMMYFUNCTION("""COMPUTED_VALUE"""),"June Smith")</f>
        <v>June Smith</v>
      </c>
      <c r="B1785" s="1" t="str">
        <f>IFERROR(__xludf.DUMMYFUNCTION("""COMPUTED_VALUE"""),"L1")</f>
        <v>L1</v>
      </c>
    </row>
    <row r="1786" ht="15.75" customHeight="1">
      <c r="A1786" s="1" t="str">
        <f>IFERROR(__xludf.DUMMYFUNCTION("""COMPUTED_VALUE"""),"Hazel Augustine")</f>
        <v>Hazel Augustine</v>
      </c>
      <c r="B1786" s="1" t="str">
        <f>IFERROR(__xludf.DUMMYFUNCTION("""COMPUTED_VALUE"""),"MS")</f>
        <v>MS</v>
      </c>
    </row>
    <row r="1787" ht="15.75" customHeight="1">
      <c r="A1787" s="1" t="str">
        <f>IFERROR(__xludf.DUMMYFUNCTION("""COMPUTED_VALUE"""),"Iris Augustine")</f>
        <v>Iris Augustine</v>
      </c>
      <c r="B1787" s="1" t="str">
        <f>IFERROR(__xludf.DUMMYFUNCTION("""COMPUTED_VALUE"""),"L1")</f>
        <v>L1</v>
      </c>
    </row>
    <row r="1788" ht="15.75" customHeight="1">
      <c r="A1788" s="1" t="str">
        <f>IFERROR(__xludf.DUMMYFUNCTION("""COMPUTED_VALUE"""),"Cameron Ellison")</f>
        <v>Cameron Ellison</v>
      </c>
      <c r="B1788" s="1" t="str">
        <f>IFERROR(__xludf.DUMMYFUNCTION("""COMPUTED_VALUE"""),"MS")</f>
        <v>MS</v>
      </c>
    </row>
    <row r="1789" ht="15.75" customHeight="1">
      <c r="A1789" s="1" t="str">
        <f>IFERROR(__xludf.DUMMYFUNCTION("""COMPUTED_VALUE"""),"Landon Ellison")</f>
        <v>Landon Ellison</v>
      </c>
      <c r="B1789" s="1" t="str">
        <f>IFERROR(__xludf.DUMMYFUNCTION("""COMPUTED_VALUE"""),"MS")</f>
        <v>MS</v>
      </c>
    </row>
    <row r="1790" ht="15.75" customHeight="1">
      <c r="A1790" s="1" t="str">
        <f>IFERROR(__xludf.DUMMYFUNCTION("""COMPUTED_VALUE"""),"Jay Wood")</f>
        <v>Jay Wood</v>
      </c>
      <c r="B1790" s="1" t="str">
        <f>IFERROR(__xludf.DUMMYFUNCTION("""COMPUTED_VALUE"""),"MS")</f>
        <v>MS</v>
      </c>
    </row>
    <row r="1791" ht="15.75" customHeight="1">
      <c r="A1791" s="1" t="str">
        <f>IFERROR(__xludf.DUMMYFUNCTION("""COMPUTED_VALUE"""),"Rayne Witz")</f>
        <v>Rayne Witz</v>
      </c>
      <c r="B1791" s="1" t="str">
        <f>IFERROR(__xludf.DUMMYFUNCTION("""COMPUTED_VALUE"""),"L1")</f>
        <v>L1</v>
      </c>
    </row>
    <row r="1792" ht="15.75" customHeight="1">
      <c r="A1792" s="1" t="str">
        <f>IFERROR(__xludf.DUMMYFUNCTION("""COMPUTED_VALUE"""),"Adrian Escobar")</f>
        <v>Adrian Escobar</v>
      </c>
      <c r="B1792" s="1" t="str">
        <f>IFERROR(__xludf.DUMMYFUNCTION("""COMPUTED_VALUE"""),"MS")</f>
        <v>MS</v>
      </c>
    </row>
    <row r="1793" ht="15.75" customHeight="1">
      <c r="A1793" s="1" t="str">
        <f>IFERROR(__xludf.DUMMYFUNCTION("""COMPUTED_VALUE"""),"Cole Tress")</f>
        <v>Cole Tress</v>
      </c>
      <c r="B1793" s="1" t="str">
        <f>IFERROR(__xludf.DUMMYFUNCTION("""COMPUTED_VALUE"""),"MS")</f>
        <v>MS</v>
      </c>
    </row>
    <row r="1794" ht="15.75" customHeight="1">
      <c r="A1794" s="1" t="str">
        <f>IFERROR(__xludf.DUMMYFUNCTION("""COMPUTED_VALUE"""),"Maria Pereira")</f>
        <v>Maria Pereira</v>
      </c>
      <c r="B1794" s="1" t="str">
        <f>IFERROR(__xludf.DUMMYFUNCTION("""COMPUTED_VALUE"""),"MS")</f>
        <v>MS</v>
      </c>
    </row>
    <row r="1795" ht="15.75" customHeight="1">
      <c r="A1795" s="1" t="str">
        <f>IFERROR(__xludf.DUMMYFUNCTION("""COMPUTED_VALUE"""),"Emma Filip")</f>
        <v>Emma Filip</v>
      </c>
      <c r="B1795" s="1" t="str">
        <f>IFERROR(__xludf.DUMMYFUNCTION("""COMPUTED_VALUE"""),"L1")</f>
        <v>L1</v>
      </c>
    </row>
    <row r="1796" ht="15.75" customHeight="1">
      <c r="A1796" s="1" t="str">
        <f>IFERROR(__xludf.DUMMYFUNCTION("""COMPUTED_VALUE"""),"Lucca Pereira")</f>
        <v>Lucca Pereira</v>
      </c>
      <c r="B1796" s="1" t="str">
        <f>IFERROR(__xludf.DUMMYFUNCTION("""COMPUTED_VALUE"""),"L2")</f>
        <v>L2</v>
      </c>
    </row>
    <row r="1797" ht="15.75" customHeight="1">
      <c r="A1797" s="1" t="str">
        <f>IFERROR(__xludf.DUMMYFUNCTION("""COMPUTED_VALUE"""),"Alfredo Pereira")</f>
        <v>Alfredo Pereira</v>
      </c>
      <c r="B1797" s="1" t="str">
        <f>IFERROR(__xludf.DUMMYFUNCTION("""COMPUTED_VALUE"""),"MS")</f>
        <v>MS</v>
      </c>
    </row>
    <row r="1798" ht="15.75" customHeight="1">
      <c r="A1798" s="1" t="str">
        <f>IFERROR(__xludf.DUMMYFUNCTION("""COMPUTED_VALUE"""),"Soren Kamrud")</f>
        <v>Soren Kamrud</v>
      </c>
      <c r="B1798" s="1" t="str">
        <f>IFERROR(__xludf.DUMMYFUNCTION("""COMPUTED_VALUE"""),"MS")</f>
        <v>MS</v>
      </c>
    </row>
    <row r="1799" ht="15.75" customHeight="1">
      <c r="A1799" s="1" t="str">
        <f>IFERROR(__xludf.DUMMYFUNCTION("""COMPUTED_VALUE"""),"Maria Kamruds")</f>
        <v>Maria Kamruds</v>
      </c>
      <c r="B1799" s="1" t="str">
        <f>IFERROR(__xludf.DUMMYFUNCTION("""COMPUTED_VALUE"""),"MS")</f>
        <v>MS</v>
      </c>
    </row>
    <row r="1800" ht="15.75" customHeight="1">
      <c r="A1800" s="1" t="str">
        <f>IFERROR(__xludf.DUMMYFUNCTION("""COMPUTED_VALUE"""),"Henrik Kamruds")</f>
        <v>Henrik Kamruds</v>
      </c>
      <c r="B1800" s="1" t="str">
        <f>IFERROR(__xludf.DUMMYFUNCTION("""COMPUTED_VALUE"""),"L2")</f>
        <v>L2</v>
      </c>
    </row>
    <row r="1801" ht="15.75" customHeight="1">
      <c r="A1801" s="1" t="str">
        <f>IFERROR(__xludf.DUMMYFUNCTION("""COMPUTED_VALUE"""),"Noah Simon")</f>
        <v>Noah Simon</v>
      </c>
      <c r="B1801" s="1" t="str">
        <f>IFERROR(__xludf.DUMMYFUNCTION("""COMPUTED_VALUE"""),"L2")</f>
        <v>L2</v>
      </c>
    </row>
    <row r="1802" ht="15.75" customHeight="1">
      <c r="A1802" s="1" t="str">
        <f>IFERROR(__xludf.DUMMYFUNCTION("""COMPUTED_VALUE"""),"Lucas Simon")</f>
        <v>Lucas Simon</v>
      </c>
      <c r="B1802" s="1" t="str">
        <f>IFERROR(__xludf.DUMMYFUNCTION("""COMPUTED_VALUE"""),"L1")</f>
        <v>L1</v>
      </c>
    </row>
    <row r="1803" ht="15.75" customHeight="1">
      <c r="A1803" s="1" t="str">
        <f>IFERROR(__xludf.DUMMYFUNCTION("""COMPUTED_VALUE"""),"Annika Howlett")</f>
        <v>Annika Howlett</v>
      </c>
      <c r="B1803" s="1" t="str">
        <f>IFERROR(__xludf.DUMMYFUNCTION("""COMPUTED_VALUE"""),"MS")</f>
        <v>MS</v>
      </c>
    </row>
    <row r="1804" ht="15.75" customHeight="1">
      <c r="A1804" s="1" t="str">
        <f>IFERROR(__xludf.DUMMYFUNCTION("""COMPUTED_VALUE"""),"Ian Howlett")</f>
        <v>Ian Howlett</v>
      </c>
      <c r="B1804" s="1" t="str">
        <f>IFERROR(__xludf.DUMMYFUNCTION("""COMPUTED_VALUE"""),"L2")</f>
        <v>L2</v>
      </c>
    </row>
    <row r="1805" ht="15.75" customHeight="1">
      <c r="A1805" s="1" t="str">
        <f>IFERROR(__xludf.DUMMYFUNCTION("""COMPUTED_VALUE"""),"Edina Torres")</f>
        <v>Edina Torres</v>
      </c>
      <c r="B1805" s="1" t="str">
        <f>IFERROR(__xludf.DUMMYFUNCTION("""COMPUTED_VALUE"""),"L1")</f>
        <v>L1</v>
      </c>
    </row>
    <row r="1806" ht="15.75" customHeight="1">
      <c r="A1806" s="1" t="str">
        <f>IFERROR(__xludf.DUMMYFUNCTION("""COMPUTED_VALUE"""),"Akiva MacGregor")</f>
        <v>Akiva MacGregor</v>
      </c>
      <c r="B1806" s="1" t="str">
        <f>IFERROR(__xludf.DUMMYFUNCTION("""COMPUTED_VALUE"""),"MS")</f>
        <v>MS</v>
      </c>
    </row>
    <row r="1807" ht="15.75" customHeight="1">
      <c r="A1807" s="1" t="str">
        <f>IFERROR(__xludf.DUMMYFUNCTION("""COMPUTED_VALUE"""),"Asher MacGregor")</f>
        <v>Asher MacGregor</v>
      </c>
      <c r="B1807" s="1" t="str">
        <f>IFERROR(__xludf.DUMMYFUNCTION("""COMPUTED_VALUE"""),"L2")</f>
        <v>L2</v>
      </c>
    </row>
    <row r="1808" ht="15.75" customHeight="1">
      <c r="A1808" s="1" t="str">
        <f>IFERROR(__xludf.DUMMYFUNCTION("""COMPUTED_VALUE"""),"Temima MacGregor")</f>
        <v>Temima MacGregor</v>
      </c>
      <c r="B1808" s="1" t="str">
        <f>IFERROR(__xludf.DUMMYFUNCTION("""COMPUTED_VALUE"""),"L1")</f>
        <v>L1</v>
      </c>
    </row>
    <row r="1809" ht="15.75" customHeight="1">
      <c r="A1809" s="1" t="str">
        <f>IFERROR(__xludf.DUMMYFUNCTION("""COMPUTED_VALUE"""),"Charles Benjamin")</f>
        <v>Charles Benjamin</v>
      </c>
      <c r="B1809" s="1" t="str">
        <f>IFERROR(__xludf.DUMMYFUNCTION("""COMPUTED_VALUE"""),"L2")</f>
        <v>L2</v>
      </c>
    </row>
    <row r="1810" ht="15.75" customHeight="1">
      <c r="A1810" s="1" t="str">
        <f>IFERROR(__xludf.DUMMYFUNCTION("""COMPUTED_VALUE"""),"Lila Benjamin")</f>
        <v>Lila Benjamin</v>
      </c>
      <c r="B1810" s="1" t="str">
        <f>IFERROR(__xludf.DUMMYFUNCTION("""COMPUTED_VALUE"""),"L1")</f>
        <v>L1</v>
      </c>
    </row>
    <row r="1811" ht="15.75" customHeight="1">
      <c r="A1811" s="1" t="str">
        <f>IFERROR(__xludf.DUMMYFUNCTION("""COMPUTED_VALUE"""),"Paix schreiner")</f>
        <v>Paix schreiner</v>
      </c>
      <c r="B1811" s="1" t="str">
        <f>IFERROR(__xludf.DUMMYFUNCTION("""COMPUTED_VALUE"""),"MS")</f>
        <v>MS</v>
      </c>
    </row>
    <row r="1812" ht="15.75" customHeight="1">
      <c r="A1812" s="1" t="str">
        <f>IFERROR(__xludf.DUMMYFUNCTION("""COMPUTED_VALUE"""),"Hobbes schreiner")</f>
        <v>Hobbes schreiner</v>
      </c>
      <c r="B1812" s="1" t="str">
        <f>IFERROR(__xludf.DUMMYFUNCTION("""COMPUTED_VALUE"""),"L2")</f>
        <v>L2</v>
      </c>
    </row>
    <row r="1813" ht="15.75" customHeight="1">
      <c r="A1813" s="1" t="str">
        <f>IFERROR(__xludf.DUMMYFUNCTION("""COMPUTED_VALUE"""),"Chloe Munichiello")</f>
        <v>Chloe Munichiello</v>
      </c>
      <c r="B1813" s="1" t="str">
        <f>IFERROR(__xludf.DUMMYFUNCTION("""COMPUTED_VALUE"""),"L1")</f>
        <v>L1</v>
      </c>
    </row>
    <row r="1814" ht="15.75" customHeight="1">
      <c r="A1814" s="1" t="str">
        <f>IFERROR(__xludf.DUMMYFUNCTION("""COMPUTED_VALUE"""),"Murray White")</f>
        <v>Murray White</v>
      </c>
      <c r="B1814" s="1" t="str">
        <f>IFERROR(__xludf.DUMMYFUNCTION("""COMPUTED_VALUE"""),"L2")</f>
        <v>L2</v>
      </c>
    </row>
    <row r="1815" ht="15.75" customHeight="1">
      <c r="A1815" s="1" t="str">
        <f>IFERROR(__xludf.DUMMYFUNCTION("""COMPUTED_VALUE"""),"Hudson White")</f>
        <v>Hudson White</v>
      </c>
      <c r="B1815" s="1" t="str">
        <f>IFERROR(__xludf.DUMMYFUNCTION("""COMPUTED_VALUE"""),"L2")</f>
        <v>L2</v>
      </c>
    </row>
    <row r="1816" ht="15.75" customHeight="1">
      <c r="A1816" s="1" t="str">
        <f>IFERROR(__xludf.DUMMYFUNCTION("""COMPUTED_VALUE"""),"Maisie Milone")</f>
        <v>Maisie Milone</v>
      </c>
      <c r="B1816" s="1" t="str">
        <f>IFERROR(__xludf.DUMMYFUNCTION("""COMPUTED_VALUE"""),"MS")</f>
        <v>MS</v>
      </c>
    </row>
    <row r="1817" ht="15.75" customHeight="1">
      <c r="A1817" s="1" t="str">
        <f>IFERROR(__xludf.DUMMYFUNCTION("""COMPUTED_VALUE"""),"Mila Varner")</f>
        <v>Mila Varner</v>
      </c>
      <c r="B1817" s="1" t="str">
        <f>IFERROR(__xludf.DUMMYFUNCTION("""COMPUTED_VALUE"""),"L2")</f>
        <v>L2</v>
      </c>
    </row>
    <row r="1818" ht="15.75" customHeight="1">
      <c r="A1818" s="1" t="str">
        <f>IFERROR(__xludf.DUMMYFUNCTION("""COMPUTED_VALUE"""),"Macey Varner")</f>
        <v>Macey Varner</v>
      </c>
      <c r="B1818" s="1" t="str">
        <f>IFERROR(__xludf.DUMMYFUNCTION("""COMPUTED_VALUE"""),"L1")</f>
        <v>L1</v>
      </c>
    </row>
    <row r="1819" ht="15.75" customHeight="1">
      <c r="A1819" s="1" t="str">
        <f>IFERROR(__xludf.DUMMYFUNCTION("""COMPUTED_VALUE"""),"Evelynne Gant")</f>
        <v>Evelynne Gant</v>
      </c>
      <c r="B1819" s="1" t="str">
        <f>IFERROR(__xludf.DUMMYFUNCTION("""COMPUTED_VALUE"""),"MS")</f>
        <v>MS</v>
      </c>
    </row>
    <row r="1820" ht="15.75" customHeight="1">
      <c r="A1820" s="1" t="str">
        <f>IFERROR(__xludf.DUMMYFUNCTION("""COMPUTED_VALUE"""),"Peter Gant")</f>
        <v>Peter Gant</v>
      </c>
      <c r="B1820" s="1" t="str">
        <f>IFERROR(__xludf.DUMMYFUNCTION("""COMPUTED_VALUE"""),"L2")</f>
        <v>L2</v>
      </c>
    </row>
    <row r="1821" ht="15.75" customHeight="1">
      <c r="A1821" s="1" t="str">
        <f>IFERROR(__xludf.DUMMYFUNCTION("""COMPUTED_VALUE"""),"James Exstrom")</f>
        <v>James Exstrom</v>
      </c>
      <c r="B1821" s="1" t="str">
        <f>IFERROR(__xludf.DUMMYFUNCTION("""COMPUTED_VALUE"""),"L2")</f>
        <v>L2</v>
      </c>
    </row>
    <row r="1822" ht="15.75" customHeight="1">
      <c r="A1822" s="1" t="str">
        <f>IFERROR(__xludf.DUMMYFUNCTION("""COMPUTED_VALUE"""),"Abdulmohsen Alfozan")</f>
        <v>Abdulmohsen Alfozan</v>
      </c>
      <c r="B1822" s="1" t="str">
        <f>IFERROR(__xludf.DUMMYFUNCTION("""COMPUTED_VALUE"""),"MS")</f>
        <v>MS</v>
      </c>
    </row>
    <row r="1823" ht="15.75" customHeight="1">
      <c r="A1823" s="1" t="str">
        <f>IFERROR(__xludf.DUMMYFUNCTION("""COMPUTED_VALUE"""),"Mikey Jenkins")</f>
        <v>Mikey Jenkins</v>
      </c>
      <c r="B1823" s="1" t="str">
        <f>IFERROR(__xludf.DUMMYFUNCTION("""COMPUTED_VALUE"""),"L2")</f>
        <v>L2</v>
      </c>
    </row>
    <row r="1824" ht="15.75" customHeight="1">
      <c r="A1824" s="1" t="str">
        <f>IFERROR(__xludf.DUMMYFUNCTION("""COMPUTED_VALUE"""),"Montana Jenkins")</f>
        <v>Montana Jenkins</v>
      </c>
      <c r="B1824" s="1" t="str">
        <f>IFERROR(__xludf.DUMMYFUNCTION("""COMPUTED_VALUE"""),"L1")</f>
        <v>L1</v>
      </c>
    </row>
    <row r="1825" ht="15.75" customHeight="1">
      <c r="A1825" s="1" t="str">
        <f>IFERROR(__xludf.DUMMYFUNCTION("""COMPUTED_VALUE"""),"Bryn Nielsen")</f>
        <v>Bryn Nielsen</v>
      </c>
      <c r="B1825" s="1" t="str">
        <f>IFERROR(__xludf.DUMMYFUNCTION("""COMPUTED_VALUE"""),"MS")</f>
        <v>MS</v>
      </c>
    </row>
    <row r="1826" ht="15.75" customHeight="1">
      <c r="A1826" s="1" t="str">
        <f>IFERROR(__xludf.DUMMYFUNCTION("""COMPUTED_VALUE"""),"Barrett Nielsen")</f>
        <v>Barrett Nielsen</v>
      </c>
      <c r="B1826" s="1" t="str">
        <f>IFERROR(__xludf.DUMMYFUNCTION("""COMPUTED_VALUE"""),"L1")</f>
        <v>L1</v>
      </c>
    </row>
    <row r="1827" ht="15.75" customHeight="1">
      <c r="A1827" s="1" t="str">
        <f>IFERROR(__xludf.DUMMYFUNCTION("""COMPUTED_VALUE"""),"Brendan McNamara")</f>
        <v>Brendan McNamara</v>
      </c>
      <c r="B1827" s="1" t="str">
        <f>IFERROR(__xludf.DUMMYFUNCTION("""COMPUTED_VALUE"""),"L2")</f>
        <v>L2</v>
      </c>
    </row>
    <row r="1828" ht="15.75" customHeight="1">
      <c r="A1828" s="1" t="str">
        <f>IFERROR(__xludf.DUMMYFUNCTION("""COMPUTED_VALUE"""),"Liam McNamara")</f>
        <v>Liam McNamara</v>
      </c>
      <c r="B1828" s="1" t="str">
        <f>IFERROR(__xludf.DUMMYFUNCTION("""COMPUTED_VALUE"""),"L1")</f>
        <v>L1</v>
      </c>
    </row>
    <row r="1829" ht="15.75" customHeight="1">
      <c r="A1829" s="1" t="str">
        <f>IFERROR(__xludf.DUMMYFUNCTION("""COMPUTED_VALUE"""),"Graham Wescott")</f>
        <v>Graham Wescott</v>
      </c>
      <c r="B1829" s="1" t="str">
        <f>IFERROR(__xludf.DUMMYFUNCTION("""COMPUTED_VALUE"""),"L2")</f>
        <v>L2</v>
      </c>
    </row>
    <row r="1830" ht="15.75" customHeight="1">
      <c r="A1830" s="1" t="str">
        <f>IFERROR(__xludf.DUMMYFUNCTION("""COMPUTED_VALUE"""),"Beau Zettler")</f>
        <v>Beau Zettler</v>
      </c>
      <c r="B1830" s="1" t="str">
        <f>IFERROR(__xludf.DUMMYFUNCTION("""COMPUTED_VALUE"""),"MS")</f>
        <v>MS</v>
      </c>
    </row>
    <row r="1831" ht="15.75" customHeight="1">
      <c r="A1831" s="1" t="str">
        <f>IFERROR(__xludf.DUMMYFUNCTION("""COMPUTED_VALUE"""),"Jasmine Zettler")</f>
        <v>Jasmine Zettler</v>
      </c>
      <c r="B1831" s="1" t="str">
        <f>IFERROR(__xludf.DUMMYFUNCTION("""COMPUTED_VALUE"""),"HS")</f>
        <v>HS</v>
      </c>
    </row>
    <row r="1832" ht="15.75" customHeight="1">
      <c r="A1832" s="1" t="str">
        <f>IFERROR(__xludf.DUMMYFUNCTION("""COMPUTED_VALUE"""),"Veer Garg")</f>
        <v>Veer Garg</v>
      </c>
      <c r="B1832" s="1" t="str">
        <f>IFERROR(__xludf.DUMMYFUNCTION("""COMPUTED_VALUE"""),"MS")</f>
        <v>MS</v>
      </c>
    </row>
    <row r="1833" ht="15.75" customHeight="1">
      <c r="A1833" s="1" t="str">
        <f>IFERROR(__xludf.DUMMYFUNCTION("""COMPUTED_VALUE"""),"Kaia Heagy")</f>
        <v>Kaia Heagy</v>
      </c>
      <c r="B1833" s="1" t="str">
        <f>IFERROR(__xludf.DUMMYFUNCTION("""COMPUTED_VALUE"""),"L2")</f>
        <v>L2</v>
      </c>
    </row>
    <row r="1834" ht="15.75" customHeight="1">
      <c r="A1834" s="1" t="str">
        <f>IFERROR(__xludf.DUMMYFUNCTION("""COMPUTED_VALUE"""),"Hugo Smit")</f>
        <v>Hugo Smit</v>
      </c>
      <c r="B1834" s="1" t="str">
        <f>IFERROR(__xludf.DUMMYFUNCTION("""COMPUTED_VALUE"""),"L2")</f>
        <v>L2</v>
      </c>
    </row>
    <row r="1835" ht="15.75" customHeight="1">
      <c r="A1835" s="1" t="str">
        <f>IFERROR(__xludf.DUMMYFUNCTION("""COMPUTED_VALUE"""),"Giavanna Blair")</f>
        <v>Giavanna Blair</v>
      </c>
      <c r="B1835" s="1" t="str">
        <f>IFERROR(__xludf.DUMMYFUNCTION("""COMPUTED_VALUE"""),"L1")</f>
        <v>L1</v>
      </c>
    </row>
    <row r="1836" ht="15.75" customHeight="1">
      <c r="A1836" s="1" t="str">
        <f>IFERROR(__xludf.DUMMYFUNCTION("""COMPUTED_VALUE"""),"Anisa Mccoy")</f>
        <v>Anisa Mccoy</v>
      </c>
      <c r="B1836" s="1" t="str">
        <f>IFERROR(__xludf.DUMMYFUNCTION("""COMPUTED_VALUE"""),"L1")</f>
        <v>L1</v>
      </c>
    </row>
    <row r="1837" ht="15.75" customHeight="1">
      <c r="A1837" s="1" t="str">
        <f>IFERROR(__xludf.DUMMYFUNCTION("""COMPUTED_VALUE"""),"Niko Sugeir")</f>
        <v>Niko Sugeir</v>
      </c>
      <c r="B1837" s="1" t="str">
        <f>IFERROR(__xludf.DUMMYFUNCTION("""COMPUTED_VALUE"""),"LL")</f>
        <v>LL</v>
      </c>
    </row>
    <row r="1838" ht="15.75" customHeight="1">
      <c r="A1838" s="1" t="str">
        <f>IFERROR(__xludf.DUMMYFUNCTION("""COMPUTED_VALUE"""),"Oakli Gossen")</f>
        <v>Oakli Gossen</v>
      </c>
      <c r="B1838" s="1" t="str">
        <f>IFERROR(__xludf.DUMMYFUNCTION("""COMPUTED_VALUE"""),"L1")</f>
        <v>L1</v>
      </c>
    </row>
    <row r="1839" ht="15.75" customHeight="1">
      <c r="A1839" s="1" t="str">
        <f>IFERROR(__xludf.DUMMYFUNCTION("""COMPUTED_VALUE"""),"Reed Gossen")</f>
        <v>Reed Gossen</v>
      </c>
      <c r="B1839" s="1" t="str">
        <f>IFERROR(__xludf.DUMMYFUNCTION("""COMPUTED_VALUE"""),"LL")</f>
        <v>LL</v>
      </c>
    </row>
    <row r="1840" ht="15.75" customHeight="1">
      <c r="A1840" s="1" t="str">
        <f>IFERROR(__xludf.DUMMYFUNCTION("""COMPUTED_VALUE"""),"Micah Clarke")</f>
        <v>Micah Clarke</v>
      </c>
      <c r="B1840" s="1" t="str">
        <f>IFERROR(__xludf.DUMMYFUNCTION("""COMPUTED_VALUE"""),"MS")</f>
        <v>MS</v>
      </c>
    </row>
    <row r="1841" ht="15.75" customHeight="1">
      <c r="A1841" s="1" t="str">
        <f>IFERROR(__xludf.DUMMYFUNCTION("""COMPUTED_VALUE"""),"Gloria Clarke")</f>
        <v>Gloria Clarke</v>
      </c>
      <c r="B1841" s="1" t="str">
        <f>IFERROR(__xludf.DUMMYFUNCTION("""COMPUTED_VALUE"""),"MS")</f>
        <v>MS</v>
      </c>
    </row>
    <row r="1842" ht="15.75" customHeight="1">
      <c r="A1842" s="1" t="str">
        <f>IFERROR(__xludf.DUMMYFUNCTION("""COMPUTED_VALUE"""),"Angel Clarke")</f>
        <v>Angel Clarke</v>
      </c>
      <c r="B1842" s="1" t="str">
        <f>IFERROR(__xludf.DUMMYFUNCTION("""COMPUTED_VALUE"""),"HS")</f>
        <v>HS</v>
      </c>
    </row>
    <row r="1843" ht="15.75" customHeight="1">
      <c r="A1843" s="1" t="str">
        <f>IFERROR(__xludf.DUMMYFUNCTION("""COMPUTED_VALUE"""),"Elise Clarke")</f>
        <v>Elise Clarke</v>
      </c>
      <c r="B1843" s="1" t="str">
        <f>IFERROR(__xludf.DUMMYFUNCTION("""COMPUTED_VALUE"""),"L2")</f>
        <v>L2</v>
      </c>
    </row>
    <row r="1844" ht="15.75" customHeight="1">
      <c r="A1844" s="1" t="str">
        <f>IFERROR(__xludf.DUMMYFUNCTION("""COMPUTED_VALUE"""),"Abe Goodman")</f>
        <v>Abe Goodman</v>
      </c>
      <c r="B1844" s="1" t="str">
        <f>IFERROR(__xludf.DUMMYFUNCTION("""COMPUTED_VALUE"""),"MS")</f>
        <v>MS</v>
      </c>
    </row>
    <row r="1845" ht="15.75" customHeight="1">
      <c r="A1845" s="1" t="str">
        <f>IFERROR(__xludf.DUMMYFUNCTION("""COMPUTED_VALUE"""),"America Upchurch")</f>
        <v>America Upchurch</v>
      </c>
      <c r="B1845" s="1" t="str">
        <f>IFERROR(__xludf.DUMMYFUNCTION("""COMPUTED_VALUE"""),"HS")</f>
        <v>HS</v>
      </c>
    </row>
    <row r="1846" ht="15.75" customHeight="1">
      <c r="A1846" s="1" t="str">
        <f>IFERROR(__xludf.DUMMYFUNCTION("""COMPUTED_VALUE"""),"Hudson Volker")</f>
        <v>Hudson Volker</v>
      </c>
      <c r="B1846" s="1" t="str">
        <f>IFERROR(__xludf.DUMMYFUNCTION("""COMPUTED_VALUE"""),"MS")</f>
        <v>MS</v>
      </c>
    </row>
    <row r="1847" ht="15.75" customHeight="1">
      <c r="A1847" s="1" t="str">
        <f>IFERROR(__xludf.DUMMYFUNCTION("""COMPUTED_VALUE"""),"Sasha Robins")</f>
        <v>Sasha Robins</v>
      </c>
      <c r="B1847" s="1" t="str">
        <f>IFERROR(__xludf.DUMMYFUNCTION("""COMPUTED_VALUE"""),"MS")</f>
        <v>MS</v>
      </c>
    </row>
    <row r="1848" ht="15.75" customHeight="1">
      <c r="A1848" s="1" t="str">
        <f>IFERROR(__xludf.DUMMYFUNCTION("""COMPUTED_VALUE"""),"Stephen Racioppi")</f>
        <v>Stephen Racioppi</v>
      </c>
      <c r="B1848" s="1" t="str">
        <f>IFERROR(__xludf.DUMMYFUNCTION("""COMPUTED_VALUE"""),"MS")</f>
        <v>MS</v>
      </c>
    </row>
    <row r="1849" ht="15.75" customHeight="1">
      <c r="A1849" s="1" t="str">
        <f>IFERROR(__xludf.DUMMYFUNCTION("""COMPUTED_VALUE"""),"Emma Racioppi")</f>
        <v>Emma Racioppi</v>
      </c>
      <c r="B1849" s="1" t="str">
        <f>IFERROR(__xludf.DUMMYFUNCTION("""COMPUTED_VALUE"""),"MS")</f>
        <v>MS</v>
      </c>
    </row>
    <row r="1850" ht="15.75" customHeight="1">
      <c r="A1850" s="1" t="str">
        <f>IFERROR(__xludf.DUMMYFUNCTION("""COMPUTED_VALUE"""),"Katherine Racioppi")</f>
        <v>Katherine Racioppi</v>
      </c>
      <c r="B1850" s="1" t="str">
        <f>IFERROR(__xludf.DUMMYFUNCTION("""COMPUTED_VALUE"""),"L2")</f>
        <v>L2</v>
      </c>
    </row>
    <row r="1851" ht="15.75" customHeight="1">
      <c r="A1851" s="1" t="str">
        <f>IFERROR(__xludf.DUMMYFUNCTION("""COMPUTED_VALUE"""),"Elizabeth Racioppi")</f>
        <v>Elizabeth Racioppi</v>
      </c>
      <c r="B1851" s="1" t="str">
        <f>IFERROR(__xludf.DUMMYFUNCTION("""COMPUTED_VALUE"""),"L1")</f>
        <v>L1</v>
      </c>
    </row>
    <row r="1852" ht="15.75" customHeight="1">
      <c r="A1852" s="1" t="str">
        <f>IFERROR(__xludf.DUMMYFUNCTION("""COMPUTED_VALUE"""),"Archibald Dare")</f>
        <v>Archibald Dare</v>
      </c>
      <c r="B1852" s="1" t="str">
        <f>IFERROR(__xludf.DUMMYFUNCTION("""COMPUTED_VALUE"""),"L1")</f>
        <v>L1</v>
      </c>
    </row>
    <row r="1853" ht="15.75" customHeight="1">
      <c r="A1853" s="1" t="str">
        <f>IFERROR(__xludf.DUMMYFUNCTION("""COMPUTED_VALUE"""),"Tyler Francis")</f>
        <v>Tyler Francis</v>
      </c>
      <c r="B1853" s="1" t="str">
        <f>IFERROR(__xludf.DUMMYFUNCTION("""COMPUTED_VALUE"""),"L2")</f>
        <v>L2</v>
      </c>
    </row>
    <row r="1854" ht="15.75" customHeight="1">
      <c r="A1854" s="1" t="str">
        <f>IFERROR(__xludf.DUMMYFUNCTION("""COMPUTED_VALUE"""),"Ellie Francis")</f>
        <v>Ellie Francis</v>
      </c>
      <c r="B1854" s="1" t="str">
        <f>IFERROR(__xludf.DUMMYFUNCTION("""COMPUTED_VALUE"""),"HS")</f>
        <v>HS</v>
      </c>
    </row>
    <row r="1855" ht="15.75" customHeight="1">
      <c r="A1855" s="1" t="str">
        <f>IFERROR(__xludf.DUMMYFUNCTION("""COMPUTED_VALUE"""),"Remi Kenyon")</f>
        <v>Remi Kenyon</v>
      </c>
      <c r="B1855" s="1" t="str">
        <f>IFERROR(__xludf.DUMMYFUNCTION("""COMPUTED_VALUE"""),"MS")</f>
        <v>MS</v>
      </c>
    </row>
    <row r="1856" ht="15.75" customHeight="1">
      <c r="A1856" s="1" t="str">
        <f>IFERROR(__xludf.DUMMYFUNCTION("""COMPUTED_VALUE"""),"Coy Kenyon")</f>
        <v>Coy Kenyon</v>
      </c>
      <c r="B1856" s="1" t="str">
        <f>IFERROR(__xludf.DUMMYFUNCTION("""COMPUTED_VALUE"""),"MS")</f>
        <v>MS</v>
      </c>
    </row>
    <row r="1857" ht="15.75" customHeight="1">
      <c r="A1857" s="1" t="str">
        <f>IFERROR(__xludf.DUMMYFUNCTION("""COMPUTED_VALUE"""),"Hutch Kenyon")</f>
        <v>Hutch Kenyon</v>
      </c>
      <c r="B1857" s="1" t="str">
        <f>IFERROR(__xludf.DUMMYFUNCTION("""COMPUTED_VALUE"""),"L2")</f>
        <v>L2</v>
      </c>
    </row>
    <row r="1858" ht="15.75" customHeight="1">
      <c r="A1858" s="1" t="str">
        <f>IFERROR(__xludf.DUMMYFUNCTION("""COMPUTED_VALUE"""),"Locke Kenyon")</f>
        <v>Locke Kenyon</v>
      </c>
      <c r="B1858" s="1" t="str">
        <f>IFERROR(__xludf.DUMMYFUNCTION("""COMPUTED_VALUE"""),"L1")</f>
        <v>L1</v>
      </c>
    </row>
    <row r="1859" ht="15.75" customHeight="1">
      <c r="A1859" s="1" t="str">
        <f>IFERROR(__xludf.DUMMYFUNCTION("""COMPUTED_VALUE"""),"Della Kefauver")</f>
        <v>Della Kefauver</v>
      </c>
      <c r="B1859" s="1" t="str">
        <f>IFERROR(__xludf.DUMMYFUNCTION("""COMPUTED_VALUE"""),"L2")</f>
        <v>L2</v>
      </c>
    </row>
    <row r="1860" ht="15.75" customHeight="1">
      <c r="A1860" s="1" t="str">
        <f>IFERROR(__xludf.DUMMYFUNCTION("""COMPUTED_VALUE"""),"Milena Kefauver")</f>
        <v>Milena Kefauver</v>
      </c>
      <c r="B1860" s="1" t="str">
        <f>IFERROR(__xludf.DUMMYFUNCTION("""COMPUTED_VALUE"""),"L1")</f>
        <v>L1</v>
      </c>
    </row>
    <row r="1861" ht="15.75" customHeight="1">
      <c r="A1861" s="1" t="str">
        <f>IFERROR(__xludf.DUMMYFUNCTION("""COMPUTED_VALUE"""),"Destiny Allen")</f>
        <v>Destiny Allen</v>
      </c>
      <c r="B1861" s="1" t="str">
        <f>IFERROR(__xludf.DUMMYFUNCTION("""COMPUTED_VALUE"""),"MS")</f>
        <v>MS</v>
      </c>
    </row>
    <row r="1862" ht="15.75" customHeight="1">
      <c r="A1862" s="1" t="str">
        <f>IFERROR(__xludf.DUMMYFUNCTION("""COMPUTED_VALUE"""),"Darnell Allen")</f>
        <v>Darnell Allen</v>
      </c>
      <c r="B1862" s="1" t="str">
        <f>IFERROR(__xludf.DUMMYFUNCTION("""COMPUTED_VALUE"""),"L2")</f>
        <v>L2</v>
      </c>
    </row>
    <row r="1863" ht="15.75" customHeight="1">
      <c r="A1863" s="1" t="str">
        <f>IFERROR(__xludf.DUMMYFUNCTION("""COMPUTED_VALUE"""),"Anna Nguyen")</f>
        <v>Anna Nguyen</v>
      </c>
      <c r="B1863" s="1" t="str">
        <f>IFERROR(__xludf.DUMMYFUNCTION("""COMPUTED_VALUE"""),"L2")</f>
        <v>L2</v>
      </c>
    </row>
    <row r="1864" ht="15.75" customHeight="1">
      <c r="A1864" s="1" t="str">
        <f>IFERROR(__xludf.DUMMYFUNCTION("""COMPUTED_VALUE"""),"Calla Nguyen")</f>
        <v>Calla Nguyen</v>
      </c>
      <c r="B1864" s="1" t="str">
        <f>IFERROR(__xludf.DUMMYFUNCTION("""COMPUTED_VALUE"""),"MS")</f>
        <v>MS</v>
      </c>
    </row>
    <row r="1865" ht="15.75" customHeight="1">
      <c r="A1865" s="1" t="str">
        <f>IFERROR(__xludf.DUMMYFUNCTION("""COMPUTED_VALUE"""),"Corbin Harris")</f>
        <v>Corbin Harris</v>
      </c>
      <c r="B1865" s="1" t="str">
        <f>IFERROR(__xludf.DUMMYFUNCTION("""COMPUTED_VALUE"""),"MS")</f>
        <v>MS</v>
      </c>
    </row>
    <row r="1866" ht="15.75" customHeight="1">
      <c r="A1866" s="1" t="str">
        <f>IFERROR(__xludf.DUMMYFUNCTION("""COMPUTED_VALUE"""),"Everly Harris")</f>
        <v>Everly Harris</v>
      </c>
      <c r="B1866" s="1" t="str">
        <f>IFERROR(__xludf.DUMMYFUNCTION("""COMPUTED_VALUE"""),"L2")</f>
        <v>L2</v>
      </c>
    </row>
    <row r="1867" ht="15.75" customHeight="1">
      <c r="A1867" s="1" t="str">
        <f>IFERROR(__xludf.DUMMYFUNCTION("""COMPUTED_VALUE"""),"Harper Van Hoose")</f>
        <v>Harper Van Hoose</v>
      </c>
      <c r="B1867" s="1" t="str">
        <f>IFERROR(__xludf.DUMMYFUNCTION("""COMPUTED_VALUE"""),"MS")</f>
        <v>MS</v>
      </c>
    </row>
    <row r="1868" ht="15.75" customHeight="1">
      <c r="A1868" s="1" t="str">
        <f>IFERROR(__xludf.DUMMYFUNCTION("""COMPUTED_VALUE"""),"Landen Van Hoose")</f>
        <v>Landen Van Hoose</v>
      </c>
      <c r="B1868" s="1" t="str">
        <f>IFERROR(__xludf.DUMMYFUNCTION("""COMPUTED_VALUE"""),"L2")</f>
        <v>L2</v>
      </c>
    </row>
    <row r="1869" ht="15.75" customHeight="1">
      <c r="A1869" s="1" t="str">
        <f>IFERROR(__xludf.DUMMYFUNCTION("""COMPUTED_VALUE"""),"Phoebe Brodsky")</f>
        <v>Phoebe Brodsky</v>
      </c>
      <c r="B1869" s="1" t="str">
        <f>IFERROR(__xludf.DUMMYFUNCTION("""COMPUTED_VALUE"""),"MS")</f>
        <v>MS</v>
      </c>
    </row>
    <row r="1870" ht="15.75" customHeight="1">
      <c r="A1870" s="1" t="str">
        <f>IFERROR(__xludf.DUMMYFUNCTION("""COMPUTED_VALUE"""),"Hunter Gilstrap")</f>
        <v>Hunter Gilstrap</v>
      </c>
      <c r="B1870" s="1" t="str">
        <f>IFERROR(__xludf.DUMMYFUNCTION("""COMPUTED_VALUE"""),"L2")</f>
        <v>L2</v>
      </c>
    </row>
    <row r="1871" ht="15.75" customHeight="1">
      <c r="A1871" s="1" t="str">
        <f>IFERROR(__xludf.DUMMYFUNCTION("""COMPUTED_VALUE"""),"Savannah Gilstrap")</f>
        <v>Savannah Gilstrap</v>
      </c>
      <c r="B1871" s="1" t="str">
        <f>IFERROR(__xludf.DUMMYFUNCTION("""COMPUTED_VALUE"""),"L1")</f>
        <v>L1</v>
      </c>
    </row>
    <row r="1872" ht="15.75" customHeight="1">
      <c r="A1872" s="1" t="str">
        <f>IFERROR(__xludf.DUMMYFUNCTION("""COMPUTED_VALUE"""),"Burhanuddin Diwanji")</f>
        <v>Burhanuddin Diwanji</v>
      </c>
      <c r="B1872" s="1" t="str">
        <f>IFERROR(__xludf.DUMMYFUNCTION("""COMPUTED_VALUE"""),"MS")</f>
        <v>MS</v>
      </c>
    </row>
    <row r="1873" ht="15.75" customHeight="1">
      <c r="A1873" s="1" t="str">
        <f>IFERROR(__xludf.DUMMYFUNCTION("""COMPUTED_VALUE"""),"nico martin")</f>
        <v>nico martin</v>
      </c>
      <c r="B1873" s="1" t="str">
        <f>IFERROR(__xludf.DUMMYFUNCTION("""COMPUTED_VALUE"""),"MS")</f>
        <v>MS</v>
      </c>
    </row>
    <row r="1874" ht="15.75" customHeight="1">
      <c r="A1874" s="1" t="str">
        <f>IFERROR(__xludf.DUMMYFUNCTION("""COMPUTED_VALUE"""),"Ava Gossner")</f>
        <v>Ava Gossner</v>
      </c>
      <c r="B1874" s="1" t="str">
        <f>IFERROR(__xludf.DUMMYFUNCTION("""COMPUTED_VALUE"""),"LL")</f>
        <v>LL</v>
      </c>
    </row>
    <row r="1875" ht="15.75" customHeight="1">
      <c r="A1875" s="1" t="str">
        <f>IFERROR(__xludf.DUMMYFUNCTION("""COMPUTED_VALUE"""),"Hugh Ehly")</f>
        <v>Hugh Ehly</v>
      </c>
      <c r="B1875" s="1" t="str">
        <f>IFERROR(__xludf.DUMMYFUNCTION("""COMPUTED_VALUE"""),"L2")</f>
        <v>L2</v>
      </c>
    </row>
    <row r="1876" ht="15.75" customHeight="1">
      <c r="A1876" s="1" t="str">
        <f>IFERROR(__xludf.DUMMYFUNCTION("""COMPUTED_VALUE"""),"Elle Ehly")</f>
        <v>Elle Ehly</v>
      </c>
      <c r="B1876" s="1" t="str">
        <f>IFERROR(__xludf.DUMMYFUNCTION("""COMPUTED_VALUE"""),"L1")</f>
        <v>L1</v>
      </c>
    </row>
    <row r="1877" ht="15.75" customHeight="1">
      <c r="A1877" s="1" t="str">
        <f>IFERROR(__xludf.DUMMYFUNCTION("""COMPUTED_VALUE"""),"Emily Michalski")</f>
        <v>Emily Michalski</v>
      </c>
      <c r="B1877" s="1" t="str">
        <f>IFERROR(__xludf.DUMMYFUNCTION("""COMPUTED_VALUE"""),"L1")</f>
        <v>L1</v>
      </c>
    </row>
    <row r="1878" ht="15.75" customHeight="1">
      <c r="A1878" s="1" t="str">
        <f>IFERROR(__xludf.DUMMYFUNCTION("""COMPUTED_VALUE"""),"Myra Michalski")</f>
        <v>Myra Michalski</v>
      </c>
      <c r="B1878" s="1" t="str">
        <f>IFERROR(__xludf.DUMMYFUNCTION("""COMPUTED_VALUE"""),"HS")</f>
        <v>HS</v>
      </c>
    </row>
    <row r="1879" ht="15.75" customHeight="1">
      <c r="A1879" s="1" t="str">
        <f>IFERROR(__xludf.DUMMYFUNCTION("""COMPUTED_VALUE"""),"Grayson Rabaud")</f>
        <v>Grayson Rabaud</v>
      </c>
      <c r="B1879" s="1" t="str">
        <f>IFERROR(__xludf.DUMMYFUNCTION("""COMPUTED_VALUE"""),"L1")</f>
        <v>L1</v>
      </c>
    </row>
    <row r="1880" ht="15.75" customHeight="1">
      <c r="A1880" s="1" t="str">
        <f>IFERROR(__xludf.DUMMYFUNCTION("""COMPUTED_VALUE"""),"XK Butler")</f>
        <v>XK Butler</v>
      </c>
      <c r="B1880" s="1" t="str">
        <f>IFERROR(__xludf.DUMMYFUNCTION("""COMPUTED_VALUE"""),"MS")</f>
        <v>MS</v>
      </c>
    </row>
    <row r="1881" ht="15.75" customHeight="1">
      <c r="A1881" s="1" t="str">
        <f>IFERROR(__xludf.DUMMYFUNCTION("""COMPUTED_VALUE"""),"Violet Reckley")</f>
        <v>Violet Reckley</v>
      </c>
      <c r="B1881" s="1" t="str">
        <f>IFERROR(__xludf.DUMMYFUNCTION("""COMPUTED_VALUE"""),"MS")</f>
        <v>MS</v>
      </c>
    </row>
    <row r="1882" ht="15.75" customHeight="1">
      <c r="A1882" s="1" t="str">
        <f>IFERROR(__xludf.DUMMYFUNCTION("""COMPUTED_VALUE"""),"Henri Coderre")</f>
        <v>Henri Coderre</v>
      </c>
      <c r="B1882" s="1" t="str">
        <f>IFERROR(__xludf.DUMMYFUNCTION("""COMPUTED_VALUE"""),"L2")</f>
        <v>L2</v>
      </c>
    </row>
    <row r="1883" ht="15.75" customHeight="1">
      <c r="A1883" s="1" t="str">
        <f>IFERROR(__xludf.DUMMYFUNCTION("""COMPUTED_VALUE"""),"Arthur Hoese")</f>
        <v>Arthur Hoese</v>
      </c>
      <c r="B1883" s="1" t="str">
        <f>IFERROR(__xludf.DUMMYFUNCTION("""COMPUTED_VALUE"""),"L1")</f>
        <v>L1</v>
      </c>
    </row>
    <row r="1884" ht="15.75" customHeight="1">
      <c r="A1884" s="1" t="str">
        <f>IFERROR(__xludf.DUMMYFUNCTION("""COMPUTED_VALUE"""),"James Hoese")</f>
        <v>James Hoese</v>
      </c>
      <c r="B1884" s="1" t="str">
        <f>IFERROR(__xludf.DUMMYFUNCTION("""COMPUTED_VALUE"""),"MS")</f>
        <v>MS</v>
      </c>
    </row>
    <row r="1885" ht="15.75" customHeight="1">
      <c r="A1885" s="1" t="str">
        <f>IFERROR(__xludf.DUMMYFUNCTION("""COMPUTED_VALUE"""),"Eleanor Patenaude")</f>
        <v>Eleanor Patenaude</v>
      </c>
      <c r="B1885" s="1" t="str">
        <f>IFERROR(__xludf.DUMMYFUNCTION("""COMPUTED_VALUE"""),"L2")</f>
        <v>L2</v>
      </c>
    </row>
    <row r="1886" ht="15.75" customHeight="1">
      <c r="A1886" s="1" t="str">
        <f>IFERROR(__xludf.DUMMYFUNCTION("""COMPUTED_VALUE"""),"Hudson Adams")</f>
        <v>Hudson Adams</v>
      </c>
      <c r="B1886" s="1" t="str">
        <f>IFERROR(__xludf.DUMMYFUNCTION("""COMPUTED_VALUE"""),"L2")</f>
        <v>L2</v>
      </c>
    </row>
    <row r="1887" ht="15.75" customHeight="1">
      <c r="A1887" s="1" t="str">
        <f>IFERROR(__xludf.DUMMYFUNCTION("""COMPUTED_VALUE"""),"Shayden Chopra")</f>
        <v>Shayden Chopra</v>
      </c>
      <c r="B1887" s="1" t="str">
        <f>IFERROR(__xludf.DUMMYFUNCTION("""COMPUTED_VALUE"""),"MS")</f>
        <v>MS</v>
      </c>
    </row>
    <row r="1888" ht="15.75" customHeight="1">
      <c r="A1888" s="1" t="str">
        <f>IFERROR(__xludf.DUMMYFUNCTION("""COMPUTED_VALUE"""),"Fitz Davis")</f>
        <v>Fitz Davis</v>
      </c>
      <c r="B1888" s="1" t="str">
        <f>IFERROR(__xludf.DUMMYFUNCTION("""COMPUTED_VALUE"""),"L2")</f>
        <v>L2</v>
      </c>
    </row>
    <row r="1889" ht="15.75" customHeight="1">
      <c r="A1889" s="1" t="str">
        <f>IFERROR(__xludf.DUMMYFUNCTION("""COMPUTED_VALUE"""),"Victoria Scott")</f>
        <v>Victoria Scott</v>
      </c>
      <c r="B1889" s="1" t="str">
        <f>IFERROR(__xludf.DUMMYFUNCTION("""COMPUTED_VALUE"""),"L2")</f>
        <v>L2</v>
      </c>
    </row>
    <row r="1890" ht="15.75" customHeight="1">
      <c r="A1890" s="1" t="str">
        <f>IFERROR(__xludf.DUMMYFUNCTION("""COMPUTED_VALUE"""),"Joseph Avery")</f>
        <v>Joseph Avery</v>
      </c>
      <c r="B1890" s="1" t="str">
        <f>IFERROR(__xludf.DUMMYFUNCTION("""COMPUTED_VALUE"""),"MS")</f>
        <v>MS</v>
      </c>
    </row>
    <row r="1891" ht="15.75" customHeight="1">
      <c r="A1891" s="1" t="str">
        <f>IFERROR(__xludf.DUMMYFUNCTION("""COMPUTED_VALUE"""),"Jaylyn Avery")</f>
        <v>Jaylyn Avery</v>
      </c>
      <c r="B1891" s="1" t="str">
        <f>IFERROR(__xludf.DUMMYFUNCTION("""COMPUTED_VALUE"""),"MS")</f>
        <v>MS</v>
      </c>
    </row>
    <row r="1892" ht="15.75" customHeight="1">
      <c r="A1892" s="1" t="str">
        <f>IFERROR(__xludf.DUMMYFUNCTION("""COMPUTED_VALUE"""),"Cason McSwan")</f>
        <v>Cason McSwan</v>
      </c>
      <c r="B1892" s="1" t="str">
        <f>IFERROR(__xludf.DUMMYFUNCTION("""COMPUTED_VALUE"""),"MS")</f>
        <v>MS</v>
      </c>
    </row>
    <row r="1893" ht="15.75" customHeight="1">
      <c r="A1893" s="1" t="str">
        <f>IFERROR(__xludf.DUMMYFUNCTION("""COMPUTED_VALUE"""),"Nicolas Padilla")</f>
        <v>Nicolas Padilla</v>
      </c>
      <c r="B1893" s="1" t="str">
        <f>IFERROR(__xludf.DUMMYFUNCTION("""COMPUTED_VALUE"""),"L2")</f>
        <v>L2</v>
      </c>
    </row>
    <row r="1894" ht="15.75" customHeight="1">
      <c r="A1894" s="1" t="str">
        <f>IFERROR(__xludf.DUMMYFUNCTION("""COMPUTED_VALUE"""),"Thaydian Alexander")</f>
        <v>Thaydian Alexander</v>
      </c>
      <c r="B1894" s="1" t="str">
        <f>IFERROR(__xludf.DUMMYFUNCTION("""COMPUTED_VALUE"""),"MS")</f>
        <v>MS</v>
      </c>
    </row>
    <row r="1895" ht="15.75" customHeight="1">
      <c r="A1895" s="1" t="str">
        <f>IFERROR(__xludf.DUMMYFUNCTION("""COMPUTED_VALUE"""),"Jack Montrois")</f>
        <v>Jack Montrois</v>
      </c>
      <c r="B1895" s="1" t="str">
        <f>IFERROR(__xludf.DUMMYFUNCTION("""COMPUTED_VALUE"""),"L2")</f>
        <v>L2</v>
      </c>
    </row>
    <row r="1896" ht="15.75" customHeight="1">
      <c r="A1896" s="1" t="str">
        <f>IFERROR(__xludf.DUMMYFUNCTION("""COMPUTED_VALUE"""),"Amelia Kothari")</f>
        <v>Amelia Kothari</v>
      </c>
      <c r="B1896" s="1" t="str">
        <f>IFERROR(__xludf.DUMMYFUNCTION("""COMPUTED_VALUE"""),"MS")</f>
        <v>MS</v>
      </c>
    </row>
    <row r="1897" ht="15.75" customHeight="1">
      <c r="A1897" s="1" t="str">
        <f>IFERROR(__xludf.DUMMYFUNCTION("""COMPUTED_VALUE"""),"Koben Andres")</f>
        <v>Koben Andres</v>
      </c>
      <c r="B1897" s="1" t="str">
        <f>IFERROR(__xludf.DUMMYFUNCTION("""COMPUTED_VALUE"""),"L1")</f>
        <v>L1</v>
      </c>
    </row>
    <row r="1898" ht="15.75" customHeight="1">
      <c r="A1898" s="1" t="str">
        <f>IFERROR(__xludf.DUMMYFUNCTION("""COMPUTED_VALUE"""),"Lilyan Andres")</f>
        <v>Lilyan Andres</v>
      </c>
      <c r="B1898" s="1" t="str">
        <f>IFERROR(__xludf.DUMMYFUNCTION("""COMPUTED_VALUE"""),"HS")</f>
        <v>HS</v>
      </c>
    </row>
    <row r="1899" ht="15.75" customHeight="1">
      <c r="A1899" s="1" t="str">
        <f>IFERROR(__xludf.DUMMYFUNCTION("""COMPUTED_VALUE"""),"Uthman Iqbal")</f>
        <v>Uthman Iqbal</v>
      </c>
      <c r="B1899" s="1" t="str">
        <f>IFERROR(__xludf.DUMMYFUNCTION("""COMPUTED_VALUE"""),"MS")</f>
        <v>MS</v>
      </c>
    </row>
    <row r="1900" ht="15.75" customHeight="1">
      <c r="A1900" s="1" t="str">
        <f>IFERROR(__xludf.DUMMYFUNCTION("""COMPUTED_VALUE"""),"Emmanuel Lekkas")</f>
        <v>Emmanuel Lekkas</v>
      </c>
      <c r="B1900" s="1" t="str">
        <f>IFERROR(__xludf.DUMMYFUNCTION("""COMPUTED_VALUE"""),"HS")</f>
        <v>HS</v>
      </c>
    </row>
    <row r="1901" ht="15.75" customHeight="1">
      <c r="A1901" s="1" t="str">
        <f>IFERROR(__xludf.DUMMYFUNCTION("""COMPUTED_VALUE"""),"Claire Louden")</f>
        <v>Claire Louden</v>
      </c>
      <c r="B1901" s="1" t="str">
        <f>IFERROR(__xludf.DUMMYFUNCTION("""COMPUTED_VALUE"""),"L2")</f>
        <v>L2</v>
      </c>
    </row>
    <row r="1902" ht="15.75" customHeight="1">
      <c r="A1902" s="1" t="str">
        <f>IFERROR(__xludf.DUMMYFUNCTION("""COMPUTED_VALUE"""),"Avery Louden")</f>
        <v>Avery Louden</v>
      </c>
      <c r="B1902" s="1" t="str">
        <f>IFERROR(__xludf.DUMMYFUNCTION("""COMPUTED_VALUE"""),"L1")</f>
        <v>L1</v>
      </c>
    </row>
    <row r="1903" ht="15.75" customHeight="1">
      <c r="A1903" s="1" t="str">
        <f>IFERROR(__xludf.DUMMYFUNCTION("""COMPUTED_VALUE"""),"Delaney Martin")</f>
        <v>Delaney Martin</v>
      </c>
      <c r="B1903" s="1" t="str">
        <f>IFERROR(__xludf.DUMMYFUNCTION("""COMPUTED_VALUE"""),"MS")</f>
        <v>MS</v>
      </c>
    </row>
    <row r="1904" ht="15.75" customHeight="1">
      <c r="A1904" s="1" t="str">
        <f>IFERROR(__xludf.DUMMYFUNCTION("""COMPUTED_VALUE"""),"Ryan Collette")</f>
        <v>Ryan Collette</v>
      </c>
      <c r="B1904" s="1" t="str">
        <f>IFERROR(__xludf.DUMMYFUNCTION("""COMPUTED_VALUE"""),"L1")</f>
        <v>L1</v>
      </c>
    </row>
    <row r="1905" ht="15.75" customHeight="1">
      <c r="A1905" s="1" t="str">
        <f>IFERROR(__xludf.DUMMYFUNCTION("""COMPUTED_VALUE"""),"Ciela Nelson")</f>
        <v>Ciela Nelson</v>
      </c>
      <c r="B1905" s="1" t="str">
        <f>IFERROR(__xludf.DUMMYFUNCTION("""COMPUTED_VALUE"""),"HS")</f>
        <v>HS</v>
      </c>
    </row>
    <row r="1906" ht="15.75" customHeight="1">
      <c r="A1906" s="1" t="str">
        <f>IFERROR(__xludf.DUMMYFUNCTION("""COMPUTED_VALUE"""),"Adit Kapadia")</f>
        <v>Adit Kapadia</v>
      </c>
      <c r="B1906" s="1" t="str">
        <f>IFERROR(__xludf.DUMMYFUNCTION("""COMPUTED_VALUE"""),"HS")</f>
        <v>HS</v>
      </c>
    </row>
    <row r="1907" ht="15.75" customHeight="1">
      <c r="A1907" s="1" t="str">
        <f>IFERROR(__xludf.DUMMYFUNCTION("""COMPUTED_VALUE"""),"Tara Kapadia")</f>
        <v>Tara Kapadia</v>
      </c>
      <c r="B1907" s="1" t="str">
        <f>IFERROR(__xludf.DUMMYFUNCTION("""COMPUTED_VALUE"""),"L1")</f>
        <v>L1</v>
      </c>
    </row>
    <row r="1908" ht="15.75" customHeight="1">
      <c r="A1908" s="1" t="str">
        <f>IFERROR(__xludf.DUMMYFUNCTION("""COMPUTED_VALUE"""),"Vincent Dion")</f>
        <v>Vincent Dion</v>
      </c>
      <c r="B1908" s="1" t="str">
        <f>IFERROR(__xludf.DUMMYFUNCTION("""COMPUTED_VALUE"""),"MS")</f>
        <v>MS</v>
      </c>
    </row>
    <row r="1909" ht="15.75" customHeight="1">
      <c r="A1909" s="1" t="str">
        <f>IFERROR(__xludf.DUMMYFUNCTION("""COMPUTED_VALUE"""),"Jacob Sherman")</f>
        <v>Jacob Sherman</v>
      </c>
      <c r="B1909" s="1" t="str">
        <f>IFERROR(__xludf.DUMMYFUNCTION("""COMPUTED_VALUE"""),"MS")</f>
        <v>MS</v>
      </c>
    </row>
    <row r="1910" ht="15.75" customHeight="1">
      <c r="A1910" s="1" t="str">
        <f>IFERROR(__xludf.DUMMYFUNCTION("""COMPUTED_VALUE"""),"Kira Kleinschmidt")</f>
        <v>Kira Kleinschmidt</v>
      </c>
      <c r="B1910" s="1" t="str">
        <f>IFERROR(__xludf.DUMMYFUNCTION("""COMPUTED_VALUE"""),"L2")</f>
        <v>L2</v>
      </c>
    </row>
    <row r="1911" ht="15.75" customHeight="1">
      <c r="A1911" s="1" t="str">
        <f>IFERROR(__xludf.DUMMYFUNCTION("""COMPUTED_VALUE"""),"Charlotte Kearns")</f>
        <v>Charlotte Kearns</v>
      </c>
      <c r="B1911" s="1" t="str">
        <f>IFERROR(__xludf.DUMMYFUNCTION("""COMPUTED_VALUE"""),"L1")</f>
        <v>L1</v>
      </c>
    </row>
    <row r="1912" ht="15.75" customHeight="1">
      <c r="A1912" s="1" t="str">
        <f>IFERROR(__xludf.DUMMYFUNCTION("""COMPUTED_VALUE"""),"Caroline Kearns")</f>
        <v>Caroline Kearns</v>
      </c>
      <c r="B1912" s="1" t="str">
        <f>IFERROR(__xludf.DUMMYFUNCTION("""COMPUTED_VALUE"""),"LL")</f>
        <v>LL</v>
      </c>
    </row>
    <row r="1913" ht="15.75" customHeight="1">
      <c r="A1913" s="1" t="str">
        <f>IFERROR(__xludf.DUMMYFUNCTION("""COMPUTED_VALUE"""),"Olle Claessens")</f>
        <v>Olle Claessens</v>
      </c>
      <c r="B1913" s="1" t="str">
        <f>IFERROR(__xludf.DUMMYFUNCTION("""COMPUTED_VALUE"""),"MS")</f>
        <v>MS</v>
      </c>
    </row>
    <row r="1914" ht="15.75" customHeight="1">
      <c r="A1914" s="1" t="str">
        <f>IFERROR(__xludf.DUMMYFUNCTION("""COMPUTED_VALUE"""),"Ada Claessens")</f>
        <v>Ada Claessens</v>
      </c>
      <c r="B1914" s="1" t="str">
        <f>IFERROR(__xludf.DUMMYFUNCTION("""COMPUTED_VALUE"""),"L1")</f>
        <v>L1</v>
      </c>
    </row>
    <row r="1915" ht="15.75" customHeight="1">
      <c r="A1915" s="1" t="str">
        <f>IFERROR(__xludf.DUMMYFUNCTION("""COMPUTED_VALUE"""),"Ophelia Martinez-Shearman")</f>
        <v>Ophelia Martinez-Shearman</v>
      </c>
      <c r="B1915" s="1" t="str">
        <f>IFERROR(__xludf.DUMMYFUNCTION("""COMPUTED_VALUE"""),"LL")</f>
        <v>LL</v>
      </c>
    </row>
    <row r="1916" ht="15.75" customHeight="1">
      <c r="A1916" s="1" t="str">
        <f>IFERROR(__xludf.DUMMYFUNCTION("""COMPUTED_VALUE"""),"Elena Luna")</f>
        <v>Elena Luna</v>
      </c>
      <c r="B1916" s="1" t="str">
        <f>IFERROR(__xludf.DUMMYFUNCTION("""COMPUTED_VALUE"""),"MS")</f>
        <v>MS</v>
      </c>
    </row>
    <row r="1917" ht="15.75" customHeight="1">
      <c r="A1917" s="1" t="str">
        <f>IFERROR(__xludf.DUMMYFUNCTION("""COMPUTED_VALUE"""),"Gracie Dodd")</f>
        <v>Gracie Dodd</v>
      </c>
      <c r="B1917" s="1" t="str">
        <f>IFERROR(__xludf.DUMMYFUNCTION("""COMPUTED_VALUE"""),"MS")</f>
        <v>MS</v>
      </c>
    </row>
    <row r="1918" ht="15.75" customHeight="1">
      <c r="A1918" s="1" t="str">
        <f>IFERROR(__xludf.DUMMYFUNCTION("""COMPUTED_VALUE"""),"Tomas Nesteruk")</f>
        <v>Tomas Nesteruk</v>
      </c>
      <c r="B1918" s="1" t="str">
        <f>IFERROR(__xludf.DUMMYFUNCTION("""COMPUTED_VALUE"""),"L1")</f>
        <v>L1</v>
      </c>
    </row>
    <row r="1919" ht="15.75" customHeight="1">
      <c r="A1919" s="1" t="str">
        <f>IFERROR(__xludf.DUMMYFUNCTION("""COMPUTED_VALUE"""),"Brodie Bishop")</f>
        <v>Brodie Bishop</v>
      </c>
      <c r="B1919" s="1" t="str">
        <f>IFERROR(__xludf.DUMMYFUNCTION("""COMPUTED_VALUE"""),"L1")</f>
        <v>L1</v>
      </c>
    </row>
    <row r="1920" ht="15.75" customHeight="1">
      <c r="A1920" s="1" t="str">
        <f>IFERROR(__xludf.DUMMYFUNCTION("""COMPUTED_VALUE"""),"Harper Bishop")</f>
        <v>Harper Bishop</v>
      </c>
      <c r="B1920" s="1" t="str">
        <f>IFERROR(__xludf.DUMMYFUNCTION("""COMPUTED_VALUE"""),"L1")</f>
        <v>L1</v>
      </c>
    </row>
    <row r="1921" ht="15.75" customHeight="1">
      <c r="A1921" s="1" t="str">
        <f>IFERROR(__xludf.DUMMYFUNCTION("""COMPUTED_VALUE"""),"Ellie Ray")</f>
        <v>Ellie Ray</v>
      </c>
      <c r="B1921" s="1" t="str">
        <f>IFERROR(__xludf.DUMMYFUNCTION("""COMPUTED_VALUE"""),"L1")</f>
        <v>L1</v>
      </c>
    </row>
    <row r="1922" ht="15.75" customHeight="1">
      <c r="A1922" s="1" t="str">
        <f>IFERROR(__xludf.DUMMYFUNCTION("""COMPUTED_VALUE"""),"Kiah Ray")</f>
        <v>Kiah Ray</v>
      </c>
      <c r="B1922" s="1" t="str">
        <f>IFERROR(__xludf.DUMMYFUNCTION("""COMPUTED_VALUE"""),"LL")</f>
        <v>LL</v>
      </c>
    </row>
    <row r="1923" ht="15.75" customHeight="1">
      <c r="A1923" s="1" t="str">
        <f>IFERROR(__xludf.DUMMYFUNCTION("""COMPUTED_VALUE"""),"Hudson Moffat")</f>
        <v>Hudson Moffat</v>
      </c>
      <c r="B1923" s="1" t="str">
        <f>IFERROR(__xludf.DUMMYFUNCTION("""COMPUTED_VALUE"""),"L1")</f>
        <v>L1</v>
      </c>
    </row>
    <row r="1924" ht="15.75" customHeight="1">
      <c r="A1924" s="1" t="str">
        <f>IFERROR(__xludf.DUMMYFUNCTION("""COMPUTED_VALUE"""),"Amelia Koirtyohann")</f>
        <v>Amelia Koirtyohann</v>
      </c>
      <c r="B1924" s="1" t="str">
        <f>IFERROR(__xludf.DUMMYFUNCTION("""COMPUTED_VALUE"""),"MS")</f>
        <v>MS</v>
      </c>
    </row>
    <row r="1925" ht="15.75" customHeight="1">
      <c r="A1925" s="1" t="str">
        <f>IFERROR(__xludf.DUMMYFUNCTION("""COMPUTED_VALUE"""),"Eowyn Koirtyohann Koirtyohann")</f>
        <v>Eowyn Koirtyohann Koirtyohann</v>
      </c>
      <c r="B1925" s="1" t="str">
        <f>IFERROR(__xludf.DUMMYFUNCTION("""COMPUTED_VALUE"""),"L1")</f>
        <v>L1</v>
      </c>
    </row>
    <row r="1926" ht="15.75" customHeight="1">
      <c r="A1926" s="1" t="str">
        <f>IFERROR(__xludf.DUMMYFUNCTION("""COMPUTED_VALUE"""),"Edward Kiddle")</f>
        <v>Edward Kiddle</v>
      </c>
      <c r="B1926" s="1" t="str">
        <f>IFERROR(__xludf.DUMMYFUNCTION("""COMPUTED_VALUE"""),"L2")</f>
        <v>L2</v>
      </c>
    </row>
    <row r="1927" ht="15.75" customHeight="1">
      <c r="A1927" s="1" t="str">
        <f>IFERROR(__xludf.DUMMYFUNCTION("""COMPUTED_VALUE"""),"Parker Sala")</f>
        <v>Parker Sala</v>
      </c>
      <c r="B1927" s="1" t="str">
        <f>IFERROR(__xludf.DUMMYFUNCTION("""COMPUTED_VALUE"""),"L2")</f>
        <v>L2</v>
      </c>
    </row>
    <row r="1928" ht="15.75" customHeight="1">
      <c r="A1928" s="1" t="str">
        <f>IFERROR(__xludf.DUMMYFUNCTION("""COMPUTED_VALUE"""),"Jett Smith")</f>
        <v>Jett Smith</v>
      </c>
      <c r="B1928" s="1" t="str">
        <f>IFERROR(__xludf.DUMMYFUNCTION("""COMPUTED_VALUE"""),"L1")</f>
        <v>L1</v>
      </c>
    </row>
    <row r="1929" ht="15.75" customHeight="1">
      <c r="A1929" s="1" t="str">
        <f>IFERROR(__xludf.DUMMYFUNCTION("""COMPUTED_VALUE"""),"Lily Falkson")</f>
        <v>Lily Falkson</v>
      </c>
      <c r="B1929" s="1" t="str">
        <f>IFERROR(__xludf.DUMMYFUNCTION("""COMPUTED_VALUE"""),"L2")</f>
        <v>L2</v>
      </c>
    </row>
    <row r="1930" ht="15.75" customHeight="1">
      <c r="A1930" s="1" t="str">
        <f>IFERROR(__xludf.DUMMYFUNCTION("""COMPUTED_VALUE"""),"Rowan Falkson")</f>
        <v>Rowan Falkson</v>
      </c>
      <c r="B1930" s="1" t="str">
        <f>IFERROR(__xludf.DUMMYFUNCTION("""COMPUTED_VALUE"""),"MS")</f>
        <v>MS</v>
      </c>
    </row>
    <row r="1931" ht="15.75" customHeight="1">
      <c r="A1931" s="1" t="str">
        <f>IFERROR(__xludf.DUMMYFUNCTION("""COMPUTED_VALUE"""),"Phoenix Sallier")</f>
        <v>Phoenix Sallier</v>
      </c>
      <c r="B1931" s="1" t="str">
        <f>IFERROR(__xludf.DUMMYFUNCTION("""COMPUTED_VALUE"""),"MS")</f>
        <v>MS</v>
      </c>
    </row>
    <row r="1932" ht="15.75" customHeight="1">
      <c r="A1932" s="1" t="str">
        <f>IFERROR(__xludf.DUMMYFUNCTION("""COMPUTED_VALUE"""),"Amaaya Chaudhry")</f>
        <v>Amaaya Chaudhry</v>
      </c>
      <c r="B1932" s="1" t="str">
        <f>IFERROR(__xludf.DUMMYFUNCTION("""COMPUTED_VALUE"""),"MS")</f>
        <v>MS</v>
      </c>
    </row>
    <row r="1933" ht="15.75" customHeight="1">
      <c r="A1933" s="1" t="str">
        <f>IFERROR(__xludf.DUMMYFUNCTION("""COMPUTED_VALUE"""),"Noor Chaudhry")</f>
        <v>Noor Chaudhry</v>
      </c>
      <c r="B1933" s="1" t="str">
        <f>IFERROR(__xludf.DUMMYFUNCTION("""COMPUTED_VALUE"""),"L2")</f>
        <v>L2</v>
      </c>
    </row>
    <row r="1934" ht="15.75" customHeight="1">
      <c r="A1934" s="1" t="str">
        <f>IFERROR(__xludf.DUMMYFUNCTION("""COMPUTED_VALUE"""),"Lincoln Sallier")</f>
        <v>Lincoln Sallier</v>
      </c>
      <c r="B1934" s="1" t="str">
        <f>IFERROR(__xludf.DUMMYFUNCTION("""COMPUTED_VALUE"""),"L2")</f>
        <v>L2</v>
      </c>
    </row>
    <row r="1935" ht="15.75" customHeight="1">
      <c r="A1935" s="1" t="str">
        <f>IFERROR(__xludf.DUMMYFUNCTION("""COMPUTED_VALUE"""),"Taylor Nessa")</f>
        <v>Taylor Nessa</v>
      </c>
      <c r="B1935" s="1" t="str">
        <f>IFERROR(__xludf.DUMMYFUNCTION("""COMPUTED_VALUE"""),"L1")</f>
        <v>L1</v>
      </c>
    </row>
    <row r="1936" ht="15.75" customHeight="1">
      <c r="A1936" s="1" t="str">
        <f>IFERROR(__xludf.DUMMYFUNCTION("""COMPUTED_VALUE"""),"Priya Ousley")</f>
        <v>Priya Ousley</v>
      </c>
      <c r="B1936" s="1" t="str">
        <f>IFERROR(__xludf.DUMMYFUNCTION("""COMPUTED_VALUE"""),"MS")</f>
        <v>MS</v>
      </c>
    </row>
    <row r="1937" ht="15.75" customHeight="1">
      <c r="A1937" s="1" t="str">
        <f>IFERROR(__xludf.DUMMYFUNCTION("""COMPUTED_VALUE"""),"Dara Petrova")</f>
        <v>Dara Petrova</v>
      </c>
      <c r="B1937" s="1" t="str">
        <f>IFERROR(__xludf.DUMMYFUNCTION("""COMPUTED_VALUE"""),"MS")</f>
        <v>MS</v>
      </c>
    </row>
    <row r="1938" ht="15.75" customHeight="1">
      <c r="A1938" s="1" t="str">
        <f>IFERROR(__xludf.DUMMYFUNCTION("""COMPUTED_VALUE"""),"Henry Griffith")</f>
        <v>Henry Griffith</v>
      </c>
      <c r="B1938" s="1" t="str">
        <f>IFERROR(__xludf.DUMMYFUNCTION("""COMPUTED_VALUE"""),"MS")</f>
        <v>MS</v>
      </c>
    </row>
    <row r="1939" ht="15.75" customHeight="1">
      <c r="A1939" s="1" t="str">
        <f>IFERROR(__xludf.DUMMYFUNCTION("""COMPUTED_VALUE"""),"Norah Tilson")</f>
        <v>Norah Tilson</v>
      </c>
      <c r="B1939" s="1" t="str">
        <f>IFERROR(__xludf.DUMMYFUNCTION("""COMPUTED_VALUE"""),"L1")</f>
        <v>L1</v>
      </c>
    </row>
    <row r="1940" ht="15.75" customHeight="1">
      <c r="A1940" s="1" t="str">
        <f>IFERROR(__xludf.DUMMYFUNCTION("""COMPUTED_VALUE"""),"Luke Judy")</f>
        <v>Luke Judy</v>
      </c>
      <c r="B1940" s="1" t="str">
        <f>IFERROR(__xludf.DUMMYFUNCTION("""COMPUTED_VALUE"""),"L1")</f>
        <v>L1</v>
      </c>
    </row>
    <row r="1941" ht="15.75" customHeight="1">
      <c r="A1941" s="1" t="str">
        <f>IFERROR(__xludf.DUMMYFUNCTION("""COMPUTED_VALUE"""),"Obadiah Mendoza")</f>
        <v>Obadiah Mendoza</v>
      </c>
      <c r="B1941" s="1" t="str">
        <f>IFERROR(__xludf.DUMMYFUNCTION("""COMPUTED_VALUE"""),"L1")</f>
        <v>L1</v>
      </c>
    </row>
    <row r="1942" ht="15.75" customHeight="1">
      <c r="A1942" s="1" t="str">
        <f>IFERROR(__xludf.DUMMYFUNCTION("""COMPUTED_VALUE"""),"Judah Mendoza")</f>
        <v>Judah Mendoza</v>
      </c>
      <c r="B1942" s="1" t="str">
        <f>IFERROR(__xludf.DUMMYFUNCTION("""COMPUTED_VALUE"""),"L1")</f>
        <v>L1</v>
      </c>
    </row>
    <row r="1943" ht="15.75" customHeight="1">
      <c r="A1943" s="1" t="str">
        <f>IFERROR(__xludf.DUMMYFUNCTION("""COMPUTED_VALUE"""),"Adelyn Hall")</f>
        <v>Adelyn Hall</v>
      </c>
      <c r="B1943" s="1" t="str">
        <f>IFERROR(__xludf.DUMMYFUNCTION("""COMPUTED_VALUE"""),"L2")</f>
        <v>L2</v>
      </c>
    </row>
    <row r="1944" ht="15.75" customHeight="1">
      <c r="A1944" s="1" t="str">
        <f>IFERROR(__xludf.DUMMYFUNCTION("""COMPUTED_VALUE"""),"Layla Pabla")</f>
        <v>Layla Pabla</v>
      </c>
      <c r="B1944" s="1" t="str">
        <f>IFERROR(__xludf.DUMMYFUNCTION("""COMPUTED_VALUE"""),"L1")</f>
        <v>L1</v>
      </c>
    </row>
    <row r="1945" ht="15.75" customHeight="1">
      <c r="A1945" s="1" t="str">
        <f>IFERROR(__xludf.DUMMYFUNCTION("""COMPUTED_VALUE"""),"Asher Pabla")</f>
        <v>Asher Pabla</v>
      </c>
      <c r="B1945" s="1" t="str">
        <f>IFERROR(__xludf.DUMMYFUNCTION("""COMPUTED_VALUE"""),"LL")</f>
        <v>LL</v>
      </c>
    </row>
    <row r="1946" ht="15.75" customHeight="1">
      <c r="A1946" s="1" t="str">
        <f>IFERROR(__xludf.DUMMYFUNCTION("""COMPUTED_VALUE"""),"Matthew Besk")</f>
        <v>Matthew Besk</v>
      </c>
      <c r="B1946" s="1" t="str">
        <f>IFERROR(__xludf.DUMMYFUNCTION("""COMPUTED_VALUE"""),"MS")</f>
        <v>MS</v>
      </c>
    </row>
    <row r="1947" ht="15.75" customHeight="1">
      <c r="A1947" s="1" t="str">
        <f>IFERROR(__xludf.DUMMYFUNCTION("""COMPUTED_VALUE"""),"Leo Pieper")</f>
        <v>Leo Pieper</v>
      </c>
      <c r="B1947" s="1" t="str">
        <f>IFERROR(__xludf.DUMMYFUNCTION("""COMPUTED_VALUE"""),"MS")</f>
        <v>MS</v>
      </c>
    </row>
    <row r="1948" ht="15.75" customHeight="1">
      <c r="A1948" s="1" t="str">
        <f>IFERROR(__xludf.DUMMYFUNCTION("""COMPUTED_VALUE"""),"Anthony Pieper")</f>
        <v>Anthony Pieper</v>
      </c>
      <c r="B1948" s="1" t="str">
        <f>IFERROR(__xludf.DUMMYFUNCTION("""COMPUTED_VALUE"""),"L2")</f>
        <v>L2</v>
      </c>
    </row>
    <row r="1949" ht="15.75" customHeight="1">
      <c r="A1949" s="1" t="str">
        <f>IFERROR(__xludf.DUMMYFUNCTION("""COMPUTED_VALUE"""),"Graham Jackson")</f>
        <v>Graham Jackson</v>
      </c>
      <c r="B1949" s="1" t="str">
        <f>IFERROR(__xludf.DUMMYFUNCTION("""COMPUTED_VALUE"""),"L1")</f>
        <v>L1</v>
      </c>
    </row>
    <row r="1950" ht="15.75" customHeight="1">
      <c r="A1950" s="1" t="str">
        <f>IFERROR(__xludf.DUMMYFUNCTION("""COMPUTED_VALUE"""),"Austin Jackson")</f>
        <v>Austin Jackson</v>
      </c>
      <c r="B1950" s="1" t="str">
        <f>IFERROR(__xludf.DUMMYFUNCTION("""COMPUTED_VALUE"""),"L1")</f>
        <v>L1</v>
      </c>
    </row>
    <row r="1951" ht="15.75" customHeight="1">
      <c r="A1951" s="1" t="str">
        <f>IFERROR(__xludf.DUMMYFUNCTION("""COMPUTED_VALUE"""),"Niko Rietema")</f>
        <v>Niko Rietema</v>
      </c>
      <c r="B1951" s="1" t="str">
        <f>IFERROR(__xludf.DUMMYFUNCTION("""COMPUTED_VALUE"""),"MS")</f>
        <v>MS</v>
      </c>
    </row>
    <row r="1952" ht="15.75" customHeight="1">
      <c r="A1952" s="1" t="str">
        <f>IFERROR(__xludf.DUMMYFUNCTION("""COMPUTED_VALUE"""),"Avalea Turner")</f>
        <v>Avalea Turner</v>
      </c>
      <c r="B1952" s="1" t="str">
        <f>IFERROR(__xludf.DUMMYFUNCTION("""COMPUTED_VALUE"""),"MS")</f>
        <v>MS</v>
      </c>
    </row>
    <row r="1953" ht="15.75" customHeight="1">
      <c r="A1953" s="1" t="str">
        <f>IFERROR(__xludf.DUMMYFUNCTION("""COMPUTED_VALUE"""),"Nolawi Kinde")</f>
        <v>Nolawi Kinde</v>
      </c>
      <c r="B1953" s="1" t="str">
        <f>IFERROR(__xludf.DUMMYFUNCTION("""COMPUTED_VALUE"""),"L1")</f>
        <v>L1</v>
      </c>
    </row>
    <row r="1954" ht="15.75" customHeight="1">
      <c r="A1954" s="1" t="str">
        <f>IFERROR(__xludf.DUMMYFUNCTION("""COMPUTED_VALUE"""),"Vaiana Tihoni")</f>
        <v>Vaiana Tihoni</v>
      </c>
      <c r="B1954" s="1" t="str">
        <f>IFERROR(__xludf.DUMMYFUNCTION("""COMPUTED_VALUE"""),"MS")</f>
        <v>MS</v>
      </c>
    </row>
    <row r="1955" ht="15.75" customHeight="1">
      <c r="A1955" s="1" t="str">
        <f>IFERROR(__xludf.DUMMYFUNCTION("""COMPUTED_VALUE"""),"Robert Meyer")</f>
        <v>Robert Meyer</v>
      </c>
      <c r="B1955" s="1" t="str">
        <f>IFERROR(__xludf.DUMMYFUNCTION("""COMPUTED_VALUE"""),"MS")</f>
        <v>MS</v>
      </c>
    </row>
    <row r="1956" ht="15.75" customHeight="1">
      <c r="A1956" s="1" t="str">
        <f>IFERROR(__xludf.DUMMYFUNCTION("""COMPUTED_VALUE"""),"Aiden Meyer")</f>
        <v>Aiden Meyer</v>
      </c>
      <c r="B1956" s="1" t="str">
        <f>IFERROR(__xludf.DUMMYFUNCTION("""COMPUTED_VALUE"""),"L1")</f>
        <v>L1</v>
      </c>
    </row>
    <row r="1957" ht="15.75" customHeight="1">
      <c r="A1957" s="1" t="str">
        <f>IFERROR(__xludf.DUMMYFUNCTION("""COMPUTED_VALUE"""),"Hannah Hearsum")</f>
        <v>Hannah Hearsum</v>
      </c>
      <c r="B1957" s="1" t="str">
        <f>IFERROR(__xludf.DUMMYFUNCTION("""COMPUTED_VALUE"""),"L2")</f>
        <v>L2</v>
      </c>
    </row>
    <row r="1958" ht="15.75" customHeight="1">
      <c r="A1958" s="1" t="str">
        <f>IFERROR(__xludf.DUMMYFUNCTION("""COMPUTED_VALUE"""),"Avery Lala")</f>
        <v>Avery Lala</v>
      </c>
      <c r="B1958" s="1" t="str">
        <f>IFERROR(__xludf.DUMMYFUNCTION("""COMPUTED_VALUE"""),"LL")</f>
        <v>LL</v>
      </c>
    </row>
    <row r="1959" ht="15.75" customHeight="1">
      <c r="A1959" s="1" t="str">
        <f>IFERROR(__xludf.DUMMYFUNCTION("""COMPUTED_VALUE"""),"Liam Schmid")</f>
        <v>Liam Schmid</v>
      </c>
      <c r="B1959" s="1" t="str">
        <f>IFERROR(__xludf.DUMMYFUNCTION("""COMPUTED_VALUE"""),"L1")</f>
        <v>L1</v>
      </c>
    </row>
    <row r="1960" ht="15.75" customHeight="1">
      <c r="A1960" s="1" t="str">
        <f>IFERROR(__xludf.DUMMYFUNCTION("""COMPUTED_VALUE"""),"Owen Lowe")</f>
        <v>Owen Lowe</v>
      </c>
      <c r="B1960" s="1" t="str">
        <f>IFERROR(__xludf.DUMMYFUNCTION("""COMPUTED_VALUE"""),"L2")</f>
        <v>L2</v>
      </c>
    </row>
    <row r="1961" ht="15.75" customHeight="1">
      <c r="A1961" s="1" t="str">
        <f>IFERROR(__xludf.DUMMYFUNCTION("""COMPUTED_VALUE"""),"Caleb Bovell")</f>
        <v>Caleb Bovell</v>
      </c>
      <c r="B1961" s="1" t="str">
        <f>IFERROR(__xludf.DUMMYFUNCTION("""COMPUTED_VALUE"""),"L2")</f>
        <v>L2</v>
      </c>
    </row>
    <row r="1962" ht="15.75" customHeight="1">
      <c r="A1962" s="1" t="str">
        <f>IFERROR(__xludf.DUMMYFUNCTION("""COMPUTED_VALUE"""),"Olivia Bovell")</f>
        <v>Olivia Bovell</v>
      </c>
      <c r="B1962" s="1" t="str">
        <f>IFERROR(__xludf.DUMMYFUNCTION("""COMPUTED_VALUE"""),"L1")</f>
        <v>L1</v>
      </c>
    </row>
    <row r="1963" ht="15.75" customHeight="1">
      <c r="A1963" s="1" t="str">
        <f>IFERROR(__xludf.DUMMYFUNCTION("""COMPUTED_VALUE"""),"Vuk Mihaylov")</f>
        <v>Vuk Mihaylov</v>
      </c>
      <c r="B1963" s="1" t="str">
        <f>IFERROR(__xludf.DUMMYFUNCTION("""COMPUTED_VALUE"""),"L2")</f>
        <v>L2</v>
      </c>
    </row>
    <row r="1964" ht="15.75" customHeight="1">
      <c r="A1964" s="1" t="str">
        <f>IFERROR(__xludf.DUMMYFUNCTION("""COMPUTED_VALUE"""),"Tara Mihaylova")</f>
        <v>Tara Mihaylova</v>
      </c>
      <c r="B1964" s="1" t="str">
        <f>IFERROR(__xludf.DUMMYFUNCTION("""COMPUTED_VALUE"""),"L1")</f>
        <v>L1</v>
      </c>
    </row>
    <row r="1965" ht="15.75" customHeight="1">
      <c r="A1965" s="1" t="str">
        <f>IFERROR(__xludf.DUMMYFUNCTION("""COMPUTED_VALUE"""),"Tyler Norris")</f>
        <v>Tyler Norris</v>
      </c>
      <c r="B1965" s="1" t="str">
        <f>IFERROR(__xludf.DUMMYFUNCTION("""COMPUTED_VALUE"""),"L2")</f>
        <v>L2</v>
      </c>
    </row>
    <row r="1966" ht="15.75" customHeight="1">
      <c r="A1966" s="1" t="str">
        <f>IFERROR(__xludf.DUMMYFUNCTION("""COMPUTED_VALUE"""),"Kyrri Vitus")</f>
        <v>Kyrri Vitus</v>
      </c>
      <c r="B1966" s="1" t="str">
        <f>IFERROR(__xludf.DUMMYFUNCTION("""COMPUTED_VALUE"""),"MS")</f>
        <v>MS</v>
      </c>
    </row>
    <row r="1967" ht="15.75" customHeight="1">
      <c r="A1967" s="1" t="str">
        <f>IFERROR(__xludf.DUMMYFUNCTION("""COMPUTED_VALUE"""),"Gavin Vernon")</f>
        <v>Gavin Vernon</v>
      </c>
      <c r="B1967" s="1" t="str">
        <f>IFERROR(__xludf.DUMMYFUNCTION("""COMPUTED_VALUE"""),"L1")</f>
        <v>L1</v>
      </c>
    </row>
    <row r="1968" ht="15.75" customHeight="1">
      <c r="A1968" s="1" t="str">
        <f>IFERROR(__xludf.DUMMYFUNCTION("""COMPUTED_VALUE"""),"Matthias Jost")</f>
        <v>Matthias Jost</v>
      </c>
      <c r="B1968" s="1" t="str">
        <f>IFERROR(__xludf.DUMMYFUNCTION("""COMPUTED_VALUE"""),"MS")</f>
        <v>MS</v>
      </c>
    </row>
    <row r="1969" ht="15.75" customHeight="1">
      <c r="A1969" s="1" t="str">
        <f>IFERROR(__xludf.DUMMYFUNCTION("""COMPUTED_VALUE"""),"Luca Kuhn")</f>
        <v>Luca Kuhn</v>
      </c>
      <c r="B1969" s="1" t="str">
        <f>IFERROR(__xludf.DUMMYFUNCTION("""COMPUTED_VALUE"""),"L2")</f>
        <v>L2</v>
      </c>
    </row>
    <row r="1970" ht="15.75" customHeight="1">
      <c r="A1970" s="1" t="str">
        <f>IFERROR(__xludf.DUMMYFUNCTION("""COMPUTED_VALUE"""),"Liam Kuhn")</f>
        <v>Liam Kuhn</v>
      </c>
      <c r="B1970" s="1" t="str">
        <f>IFERROR(__xludf.DUMMYFUNCTION("""COMPUTED_VALUE"""),"L1")</f>
        <v>L1</v>
      </c>
    </row>
    <row r="1971" ht="15.75" customHeight="1">
      <c r="A1971" s="1" t="str">
        <f>IFERROR(__xludf.DUMMYFUNCTION("""COMPUTED_VALUE"""),"Stella Parker")</f>
        <v>Stella Parker</v>
      </c>
      <c r="B1971" s="1" t="str">
        <f>IFERROR(__xludf.DUMMYFUNCTION("""COMPUTED_VALUE"""),"MS")</f>
        <v>MS</v>
      </c>
    </row>
    <row r="1972" ht="15.75" customHeight="1">
      <c r="A1972" s="1" t="str">
        <f>IFERROR(__xludf.DUMMYFUNCTION("""COMPUTED_VALUE"""),"Aaron Sugarman")</f>
        <v>Aaron Sugarman</v>
      </c>
      <c r="B1972" s="1" t="str">
        <f>IFERROR(__xludf.DUMMYFUNCTION("""COMPUTED_VALUE"""),"MS")</f>
        <v>MS</v>
      </c>
    </row>
    <row r="1973" ht="15.75" customHeight="1">
      <c r="A1973" s="1" t="str">
        <f>IFERROR(__xludf.DUMMYFUNCTION("""COMPUTED_VALUE"""),"Clyde Parker")</f>
        <v>Clyde Parker</v>
      </c>
      <c r="B1973" s="1" t="str">
        <f>IFERROR(__xludf.DUMMYFUNCTION("""COMPUTED_VALUE"""),"L1")</f>
        <v>L1</v>
      </c>
    </row>
    <row r="1974" ht="15.75" customHeight="1">
      <c r="A1974" s="1" t="str">
        <f>IFERROR(__xludf.DUMMYFUNCTION("""COMPUTED_VALUE"""),"Lianna Sugarman")</f>
        <v>Lianna Sugarman</v>
      </c>
      <c r="B1974" s="1" t="str">
        <f>IFERROR(__xludf.DUMMYFUNCTION("""COMPUTED_VALUE"""),"MS")</f>
        <v>MS</v>
      </c>
    </row>
    <row r="1975" ht="15.75" customHeight="1">
      <c r="A1975" s="1" t="str">
        <f>IFERROR(__xludf.DUMMYFUNCTION("""COMPUTED_VALUE"""),"Kate Sugarman")</f>
        <v>Kate Sugarman</v>
      </c>
      <c r="B1975" s="1" t="str">
        <f>IFERROR(__xludf.DUMMYFUNCTION("""COMPUTED_VALUE"""),"L1")</f>
        <v>L1</v>
      </c>
    </row>
    <row r="1976" ht="15.75" customHeight="1">
      <c r="A1976" s="1" t="str">
        <f>IFERROR(__xludf.DUMMYFUNCTION("""COMPUTED_VALUE"""),"Zakariya Ahmad")</f>
        <v>Zakariya Ahmad</v>
      </c>
      <c r="B1976" s="1" t="str">
        <f>IFERROR(__xludf.DUMMYFUNCTION("""COMPUTED_VALUE"""),"L1")</f>
        <v>L1</v>
      </c>
    </row>
    <row r="1977" ht="15.75" customHeight="1">
      <c r="A1977" s="1" t="str">
        <f>IFERROR(__xludf.DUMMYFUNCTION("""COMPUTED_VALUE"""),"Peyton Shupert")</f>
        <v>Peyton Shupert</v>
      </c>
      <c r="B1977" s="1" t="str">
        <f>IFERROR(__xludf.DUMMYFUNCTION("""COMPUTED_VALUE"""),"MS")</f>
        <v>MS</v>
      </c>
    </row>
    <row r="1978" ht="15.75" customHeight="1">
      <c r="A1978" s="1" t="str">
        <f>IFERROR(__xludf.DUMMYFUNCTION("""COMPUTED_VALUE"""),"Livi McGrew")</f>
        <v>Livi McGrew</v>
      </c>
      <c r="B1978" s="1" t="str">
        <f>IFERROR(__xludf.DUMMYFUNCTION("""COMPUTED_VALUE"""),"HS")</f>
        <v>HS</v>
      </c>
    </row>
    <row r="1979" ht="15.75" customHeight="1">
      <c r="A1979" s="1" t="str">
        <f>IFERROR(__xludf.DUMMYFUNCTION("""COMPUTED_VALUE"""),"Daniel McGrew")</f>
        <v>Daniel McGrew</v>
      </c>
      <c r="B1979" s="1" t="str">
        <f>IFERROR(__xludf.DUMMYFUNCTION("""COMPUTED_VALUE"""),"MS")</f>
        <v>MS</v>
      </c>
    </row>
    <row r="1980" ht="15.75" customHeight="1">
      <c r="A1980" s="1" t="str">
        <f>IFERROR(__xludf.DUMMYFUNCTION("""COMPUTED_VALUE"""),"Collin Taylor")</f>
        <v>Collin Taylor</v>
      </c>
      <c r="B1980" s="1" t="str">
        <f>IFERROR(__xludf.DUMMYFUNCTION("""COMPUTED_VALUE"""),"LL")</f>
        <v>LL</v>
      </c>
    </row>
    <row r="1981" ht="15.75" customHeight="1">
      <c r="A1981" s="1" t="str">
        <f>IFERROR(__xludf.DUMMYFUNCTION("""COMPUTED_VALUE"""),"Myles Godinez-Parra")</f>
        <v>Myles Godinez-Parra</v>
      </c>
      <c r="B1981" s="1" t="str">
        <f>IFERROR(__xludf.DUMMYFUNCTION("""COMPUTED_VALUE"""),"MS")</f>
        <v>MS</v>
      </c>
    </row>
    <row r="1982" ht="15.75" customHeight="1">
      <c r="A1982" s="1" t="str">
        <f>IFERROR(__xludf.DUMMYFUNCTION("""COMPUTED_VALUE"""),"Abbie Skok")</f>
        <v>Abbie Skok</v>
      </c>
      <c r="B1982" s="1" t="str">
        <f>IFERROR(__xludf.DUMMYFUNCTION("""COMPUTED_VALUE"""),"L2")</f>
        <v>L2</v>
      </c>
    </row>
    <row r="1983" ht="15.75" customHeight="1">
      <c r="A1983" s="1" t="str">
        <f>IFERROR(__xludf.DUMMYFUNCTION("""COMPUTED_VALUE"""),"Charlie Box")</f>
        <v>Charlie Box</v>
      </c>
      <c r="B1983" s="1" t="str">
        <f>IFERROR(__xludf.DUMMYFUNCTION("""COMPUTED_VALUE"""),"L1")</f>
        <v>L1</v>
      </c>
    </row>
    <row r="1984" ht="15.75" customHeight="1">
      <c r="A1984" s="1" t="str">
        <f>IFERROR(__xludf.DUMMYFUNCTION("""COMPUTED_VALUE"""),"Henry Box")</f>
        <v>Henry Box</v>
      </c>
      <c r="B1984" s="1" t="str">
        <f>IFERROR(__xludf.DUMMYFUNCTION("""COMPUTED_VALUE"""),"LL")</f>
        <v>LL</v>
      </c>
    </row>
    <row r="1985" ht="15.75" customHeight="1">
      <c r="A1985" s="1" t="str">
        <f>IFERROR(__xludf.DUMMYFUNCTION("""COMPUTED_VALUE"""),"Aria Bodiford")</f>
        <v>Aria Bodiford</v>
      </c>
      <c r="B1985" s="1" t="str">
        <f>IFERROR(__xludf.DUMMYFUNCTION("""COMPUTED_VALUE"""),"MS")</f>
        <v>MS</v>
      </c>
    </row>
    <row r="1986" ht="15.75" customHeight="1">
      <c r="A1986" s="1" t="str">
        <f>IFERROR(__xludf.DUMMYFUNCTION("""COMPUTED_VALUE"""),"Skyla Bodiford")</f>
        <v>Skyla Bodiford</v>
      </c>
      <c r="B1986" s="1" t="str">
        <f>IFERROR(__xludf.DUMMYFUNCTION("""COMPUTED_VALUE"""),"L1")</f>
        <v>L1</v>
      </c>
    </row>
    <row r="1987" ht="15.75" customHeight="1">
      <c r="A1987" s="1" t="str">
        <f>IFERROR(__xludf.DUMMYFUNCTION("""COMPUTED_VALUE"""),"Asher Bodiford")</f>
        <v>Asher Bodiford</v>
      </c>
      <c r="B1987" s="1" t="str">
        <f>IFERROR(__xludf.DUMMYFUNCTION("""COMPUTED_VALUE"""),"L1")</f>
        <v>L1</v>
      </c>
    </row>
    <row r="1988" ht="15.75" customHeight="1">
      <c r="A1988" s="1" t="str">
        <f>IFERROR(__xludf.DUMMYFUNCTION("""COMPUTED_VALUE"""),"Jorge Lazo")</f>
        <v>Jorge Lazo</v>
      </c>
      <c r="B1988" s="1" t="str">
        <f>IFERROR(__xludf.DUMMYFUNCTION("""COMPUTED_VALUE"""),"MS")</f>
        <v>MS</v>
      </c>
    </row>
    <row r="1989" ht="15.75" customHeight="1">
      <c r="A1989" s="1" t="str">
        <f>IFERROR(__xludf.DUMMYFUNCTION("""COMPUTED_VALUE"""),"Liam Lazo")</f>
        <v>Liam Lazo</v>
      </c>
      <c r="B1989" s="1" t="str">
        <f>IFERROR(__xludf.DUMMYFUNCTION("""COMPUTED_VALUE"""),"L1")</f>
        <v>L1</v>
      </c>
    </row>
    <row r="1990" ht="15.75" customHeight="1">
      <c r="A1990" s="1" t="str">
        <f>IFERROR(__xludf.DUMMYFUNCTION("""COMPUTED_VALUE"""),"Oliver Lazo")</f>
        <v>Oliver Lazo</v>
      </c>
      <c r="B1990" s="1" t="str">
        <f>IFERROR(__xludf.DUMMYFUNCTION("""COMPUTED_VALUE"""),"L1")</f>
        <v>L1</v>
      </c>
    </row>
    <row r="1991" ht="15.75" customHeight="1">
      <c r="A1991" s="1" t="str">
        <f>IFERROR(__xludf.DUMMYFUNCTION("""COMPUTED_VALUE"""),"Timothy Swartz")</f>
        <v>Timothy Swartz</v>
      </c>
      <c r="B1991" s="1" t="str">
        <f>IFERROR(__xludf.DUMMYFUNCTION("""COMPUTED_VALUE"""),"MS")</f>
        <v>MS</v>
      </c>
    </row>
    <row r="1992" ht="15.75" customHeight="1">
      <c r="A1992" s="1" t="str">
        <f>IFERROR(__xludf.DUMMYFUNCTION("""COMPUTED_VALUE"""),"Elijah almaraz")</f>
        <v>Elijah almaraz</v>
      </c>
      <c r="B1992" s="1" t="str">
        <f>IFERROR(__xludf.DUMMYFUNCTION("""COMPUTED_VALUE"""),"MS")</f>
        <v>MS</v>
      </c>
    </row>
    <row r="1993" ht="15.75" customHeight="1">
      <c r="A1993" s="1" t="str">
        <f>IFERROR(__xludf.DUMMYFUNCTION("""COMPUTED_VALUE"""),"Alexandra Wright")</f>
        <v>Alexandra Wright</v>
      </c>
      <c r="B1993" s="1" t="str">
        <f>IFERROR(__xludf.DUMMYFUNCTION("""COMPUTED_VALUE"""),"L2")</f>
        <v>L2</v>
      </c>
    </row>
    <row r="1994" ht="15.75" customHeight="1">
      <c r="A1994" s="1" t="str">
        <f>IFERROR(__xludf.DUMMYFUNCTION("""COMPUTED_VALUE"""),"Charles Wright")</f>
        <v>Charles Wright</v>
      </c>
      <c r="B1994" s="1" t="str">
        <f>IFERROR(__xludf.DUMMYFUNCTION("""COMPUTED_VALUE"""),"LL")</f>
        <v>LL</v>
      </c>
    </row>
    <row r="1995" ht="15.75" customHeight="1">
      <c r="A1995" s="1" t="str">
        <f>IFERROR(__xludf.DUMMYFUNCTION("""COMPUTED_VALUE"""),"Hannah Radcliffe")</f>
        <v>Hannah Radcliffe</v>
      </c>
      <c r="B1995" s="1" t="str">
        <f>IFERROR(__xludf.DUMMYFUNCTION("""COMPUTED_VALUE"""),"MS")</f>
        <v>MS</v>
      </c>
    </row>
    <row r="1996" ht="15.75" customHeight="1">
      <c r="A1996" s="1" t="str">
        <f>IFERROR(__xludf.DUMMYFUNCTION("""COMPUTED_VALUE"""),"Sebastian Pissano")</f>
        <v>Sebastian Pissano</v>
      </c>
      <c r="B1996" s="1" t="str">
        <f>IFERROR(__xludf.DUMMYFUNCTION("""COMPUTED_VALUE"""),"L2")</f>
        <v>L2</v>
      </c>
    </row>
    <row r="1997" ht="15.75" customHeight="1">
      <c r="A1997" s="1" t="str">
        <f>IFERROR(__xludf.DUMMYFUNCTION("""COMPUTED_VALUE"""),"Nicolas Pissano")</f>
        <v>Nicolas Pissano</v>
      </c>
      <c r="B1997" s="1" t="str">
        <f>IFERROR(__xludf.DUMMYFUNCTION("""COMPUTED_VALUE"""),"L1")</f>
        <v>L1</v>
      </c>
    </row>
    <row r="1998" ht="15.75" customHeight="1">
      <c r="A1998" s="1" t="str">
        <f>IFERROR(__xludf.DUMMYFUNCTION("""COMPUTED_VALUE"""),"Cubby Adams")</f>
        <v>Cubby Adams</v>
      </c>
      <c r="B1998" s="1" t="str">
        <f>IFERROR(__xludf.DUMMYFUNCTION("""COMPUTED_VALUE"""),"L2")</f>
        <v>L2</v>
      </c>
    </row>
    <row r="1999" ht="15.75" customHeight="1">
      <c r="A1999" s="1" t="str">
        <f>IFERROR(__xludf.DUMMYFUNCTION("""COMPUTED_VALUE"""),"Tennyson Vernon")</f>
        <v>Tennyson Vernon</v>
      </c>
      <c r="B1999" s="1" t="str">
        <f>IFERROR(__xludf.DUMMYFUNCTION("""COMPUTED_VALUE"""),"L2")</f>
        <v>L2</v>
      </c>
    </row>
    <row r="2000" ht="15.75" customHeight="1">
      <c r="A2000" s="1" t="str">
        <f>IFERROR(__xludf.DUMMYFUNCTION("""COMPUTED_VALUE"""),"Reese Roomy")</f>
        <v>Reese Roomy</v>
      </c>
      <c r="B2000" s="1" t="str">
        <f>IFERROR(__xludf.DUMMYFUNCTION("""COMPUTED_VALUE"""),"MS")</f>
        <v>MS</v>
      </c>
    </row>
    <row r="2001" ht="15.75" customHeight="1">
      <c r="A2001" s="1" t="str">
        <f>IFERROR(__xludf.DUMMYFUNCTION("""COMPUTED_VALUE"""),"Harper Roomy")</f>
        <v>Harper Roomy</v>
      </c>
      <c r="B2001" s="1" t="str">
        <f>IFERROR(__xludf.DUMMYFUNCTION("""COMPUTED_VALUE"""),"L2")</f>
        <v>L2</v>
      </c>
    </row>
    <row r="2002" ht="15.75" customHeight="1">
      <c r="A2002" s="1" t="str">
        <f>IFERROR(__xludf.DUMMYFUNCTION("""COMPUTED_VALUE"""),"Grady garnett")</f>
        <v>Grady garnett</v>
      </c>
      <c r="B2002" s="1" t="str">
        <f>IFERROR(__xludf.DUMMYFUNCTION("""COMPUTED_VALUE"""),"L2")</f>
        <v>L2</v>
      </c>
    </row>
    <row r="2003" ht="15.75" customHeight="1">
      <c r="A2003" s="1" t="str">
        <f>IFERROR(__xludf.DUMMYFUNCTION("""COMPUTED_VALUE"""),"Cora Taylor")</f>
        <v>Cora Taylor</v>
      </c>
      <c r="B2003" s="1" t="str">
        <f>IFERROR(__xludf.DUMMYFUNCTION("""COMPUTED_VALUE"""),"L2")</f>
        <v>L2</v>
      </c>
    </row>
    <row r="2004" ht="15.75" customHeight="1">
      <c r="A2004" s="1" t="str">
        <f>IFERROR(__xludf.DUMMYFUNCTION("""COMPUTED_VALUE"""),"Thomas Dalle Nogare")</f>
        <v>Thomas Dalle Nogare</v>
      </c>
      <c r="B2004" s="1" t="str">
        <f>IFERROR(__xludf.DUMMYFUNCTION("""COMPUTED_VALUE"""),"MS")</f>
        <v>MS</v>
      </c>
    </row>
    <row r="2005" ht="15.75" customHeight="1">
      <c r="A2005" s="1" t="str">
        <f>IFERROR(__xludf.DUMMYFUNCTION("""COMPUTED_VALUE"""),"Liam Schmid")</f>
        <v>Liam Schmid</v>
      </c>
      <c r="B2005" s="1" t="str">
        <f>IFERROR(__xludf.DUMMYFUNCTION("""COMPUTED_VALUE"""),"L2")</f>
        <v>L2</v>
      </c>
    </row>
    <row r="2006" ht="15.75" customHeight="1">
      <c r="A2006" s="1" t="str">
        <f>IFERROR(__xludf.DUMMYFUNCTION("""COMPUTED_VALUE"""),"John Upchurch")</f>
        <v>John Upchurch</v>
      </c>
      <c r="B2006" s="1" t="str">
        <f>IFERROR(__xludf.DUMMYFUNCTION("""COMPUTED_VALUE"""),"HS")</f>
        <v>HS</v>
      </c>
    </row>
    <row r="2007" ht="15.75" customHeight="1">
      <c r="A2007" s="1" t="str">
        <f>IFERROR(__xludf.DUMMYFUNCTION("""COMPUTED_VALUE"""),"Jordyn Moore")</f>
        <v>Jordyn Moore</v>
      </c>
      <c r="B2007" s="1" t="str">
        <f>IFERROR(__xludf.DUMMYFUNCTION("""COMPUTED_VALUE"""),"HS")</f>
        <v>HS</v>
      </c>
    </row>
    <row r="2008" ht="15.75" customHeight="1">
      <c r="A2008" s="1" t="str">
        <f>IFERROR(__xludf.DUMMYFUNCTION("""COMPUTED_VALUE"""),"Wyatt Hugo")</f>
        <v>Wyatt Hugo</v>
      </c>
      <c r="B2008" s="1" t="str">
        <f>IFERROR(__xludf.DUMMYFUNCTION("""COMPUTED_VALUE"""),"MS")</f>
        <v>MS</v>
      </c>
    </row>
    <row r="2009" ht="15.75" customHeight="1">
      <c r="A2009" s="1" t="str">
        <f>IFERROR(__xludf.DUMMYFUNCTION("""COMPUTED_VALUE"""),"Ava Hugo")</f>
        <v>Ava Hugo</v>
      </c>
      <c r="B2009" s="1" t="str">
        <f>IFERROR(__xludf.DUMMYFUNCTION("""COMPUTED_VALUE"""),"MS")</f>
        <v>MS</v>
      </c>
    </row>
    <row r="2010" ht="15.75" customHeight="1">
      <c r="A2010" s="1" t="str">
        <f>IFERROR(__xludf.DUMMYFUNCTION("""COMPUTED_VALUE"""),"Elise Green")</f>
        <v>Elise Green</v>
      </c>
      <c r="B2010" s="1" t="str">
        <f>IFERROR(__xludf.DUMMYFUNCTION("""COMPUTED_VALUE"""),"L2")</f>
        <v>L2</v>
      </c>
    </row>
    <row r="2011" ht="15.75" customHeight="1">
      <c r="A2011" s="1" t="str">
        <f>IFERROR(__xludf.DUMMYFUNCTION("""COMPUTED_VALUE"""),"Presley Waterhouse")</f>
        <v>Presley Waterhouse</v>
      </c>
      <c r="B2011" s="1" t="str">
        <f>IFERROR(__xludf.DUMMYFUNCTION("""COMPUTED_VALUE"""),"MS")</f>
        <v>MS</v>
      </c>
    </row>
    <row r="2012" ht="15.75" customHeight="1">
      <c r="A2012" s="1" t="str">
        <f>IFERROR(__xludf.DUMMYFUNCTION("""COMPUTED_VALUE"""),"Kayla Johnson")</f>
        <v>Kayla Johnson</v>
      </c>
      <c r="B2012" s="1" t="str">
        <f>IFERROR(__xludf.DUMMYFUNCTION("""COMPUTED_VALUE"""),"MS")</f>
        <v>MS</v>
      </c>
    </row>
    <row r="2013" ht="15.75" customHeight="1">
      <c r="A2013" s="1" t="str">
        <f>IFERROR(__xludf.DUMMYFUNCTION("""COMPUTED_VALUE"""),"Chevy Waterhouse")</f>
        <v>Chevy Waterhouse</v>
      </c>
      <c r="B2013" s="1" t="str">
        <f>IFERROR(__xludf.DUMMYFUNCTION("""COMPUTED_VALUE"""),"L2")</f>
        <v>L2</v>
      </c>
    </row>
    <row r="2014" ht="15.75" customHeight="1">
      <c r="A2014" s="1" t="str">
        <f>IFERROR(__xludf.DUMMYFUNCTION("""COMPUTED_VALUE"""),"Jacob Johnson")</f>
        <v>Jacob Johnson</v>
      </c>
      <c r="B2014" s="1" t="str">
        <f>IFERROR(__xludf.DUMMYFUNCTION("""COMPUTED_VALUE"""),"MS")</f>
        <v>MS</v>
      </c>
    </row>
    <row r="2015" ht="15.75" customHeight="1">
      <c r="A2015" s="1" t="str">
        <f>IFERROR(__xludf.DUMMYFUNCTION("""COMPUTED_VALUE"""),"Zoe Spigner")</f>
        <v>Zoe Spigner</v>
      </c>
      <c r="B2015" s="1" t="str">
        <f>IFERROR(__xludf.DUMMYFUNCTION("""COMPUTED_VALUE"""),"L2")</f>
        <v>L2</v>
      </c>
    </row>
    <row r="2016" ht="15.75" customHeight="1">
      <c r="A2016" s="1" t="str">
        <f>IFERROR(__xludf.DUMMYFUNCTION("""COMPUTED_VALUE"""),"Benjamin Briggs")</f>
        <v>Benjamin Briggs</v>
      </c>
      <c r="B2016" s="1" t="str">
        <f>IFERROR(__xludf.DUMMYFUNCTION("""COMPUTED_VALUE"""),"L1")</f>
        <v>L1</v>
      </c>
    </row>
    <row r="2017" ht="15.75" customHeight="1">
      <c r="A2017" s="1" t="str">
        <f>IFERROR(__xludf.DUMMYFUNCTION("""COMPUTED_VALUE"""),"Hannah Lems")</f>
        <v>Hannah Lems</v>
      </c>
      <c r="B2017" s="1" t="str">
        <f>IFERROR(__xludf.DUMMYFUNCTION("""COMPUTED_VALUE"""),"MS")</f>
        <v>MS</v>
      </c>
    </row>
    <row r="2018" ht="15.75" customHeight="1">
      <c r="A2018" s="1" t="str">
        <f>IFERROR(__xludf.DUMMYFUNCTION("""COMPUTED_VALUE"""),"Charles Lee")</f>
        <v>Charles Lee</v>
      </c>
      <c r="B2018" s="1" t="str">
        <f>IFERROR(__xludf.DUMMYFUNCTION("""COMPUTED_VALUE"""),"L2")</f>
        <v>L2</v>
      </c>
    </row>
    <row r="2019" ht="15.75" customHeight="1">
      <c r="A2019" s="1" t="str">
        <f>IFERROR(__xludf.DUMMYFUNCTION("""COMPUTED_VALUE"""),"Elena Lee")</f>
        <v>Elena Lee</v>
      </c>
      <c r="B2019" s="1" t="str">
        <f>IFERROR(__xludf.DUMMYFUNCTION("""COMPUTED_VALUE"""),"L1")</f>
        <v>L1</v>
      </c>
    </row>
    <row r="2020" ht="15.75" customHeight="1">
      <c r="A2020" s="1" t="str">
        <f>IFERROR(__xludf.DUMMYFUNCTION("""COMPUTED_VALUE"""),"Ian Lems")</f>
        <v>Ian Lems</v>
      </c>
      <c r="B2020" s="1" t="str">
        <f>IFERROR(__xludf.DUMMYFUNCTION("""COMPUTED_VALUE"""),"L1")</f>
        <v>L1</v>
      </c>
    </row>
    <row r="2021" ht="15.75" customHeight="1">
      <c r="A2021" s="1" t="str">
        <f>IFERROR(__xludf.DUMMYFUNCTION("""COMPUTED_VALUE"""),"KlAra Schwammlein")</f>
        <v>KlAra Schwammlein</v>
      </c>
      <c r="B2021" s="1" t="str">
        <f>IFERROR(__xludf.DUMMYFUNCTION("""COMPUTED_VALUE"""),"L2")</f>
        <v>L2</v>
      </c>
    </row>
    <row r="2022" ht="15.75" customHeight="1">
      <c r="A2022" s="1" t="str">
        <f>IFERROR(__xludf.DUMMYFUNCTION("""COMPUTED_VALUE"""),"Georgia McKinniss")</f>
        <v>Georgia McKinniss</v>
      </c>
      <c r="B2022" s="1" t="str">
        <f>IFERROR(__xludf.DUMMYFUNCTION("""COMPUTED_VALUE"""),"L2")</f>
        <v>L2</v>
      </c>
    </row>
    <row r="2023" ht="15.75" customHeight="1">
      <c r="A2023" s="1" t="str">
        <f>IFERROR(__xludf.DUMMYFUNCTION("""COMPUTED_VALUE"""),"Layla Kuzel")</f>
        <v>Layla Kuzel</v>
      </c>
      <c r="B2023" s="1" t="str">
        <f>IFERROR(__xludf.DUMMYFUNCTION("""COMPUTED_VALUE"""),"L1")</f>
        <v>L1</v>
      </c>
    </row>
    <row r="2024" ht="15.75" customHeight="1">
      <c r="A2024" s="1" t="str">
        <f>IFERROR(__xludf.DUMMYFUNCTION("""COMPUTED_VALUE"""),"B Okland")</f>
        <v>B Okland</v>
      </c>
      <c r="B2024" s="1" t="str">
        <f>IFERROR(__xludf.DUMMYFUNCTION("""COMPUTED_VALUE"""),"L2")</f>
        <v>L2</v>
      </c>
    </row>
    <row r="2025" ht="15.75" customHeight="1">
      <c r="A2025" s="1" t="str">
        <f>IFERROR(__xludf.DUMMYFUNCTION("""COMPUTED_VALUE"""),"M Okland")</f>
        <v>M Okland</v>
      </c>
      <c r="B2025" s="1" t="str">
        <f>IFERROR(__xludf.DUMMYFUNCTION("""COMPUTED_VALUE"""),"L1")</f>
        <v>L1</v>
      </c>
    </row>
    <row r="2026" ht="15.75" customHeight="1">
      <c r="A2026" s="1" t="str">
        <f>IFERROR(__xludf.DUMMYFUNCTION("""COMPUTED_VALUE"""),"A Wreede")</f>
        <v>A Wreede</v>
      </c>
      <c r="B2026" s="1" t="str">
        <f>IFERROR(__xludf.DUMMYFUNCTION("""COMPUTED_VALUE"""),"L2")</f>
        <v>L2</v>
      </c>
    </row>
    <row r="2027" ht="15.75" customHeight="1">
      <c r="A2027" s="1" t="str">
        <f>IFERROR(__xludf.DUMMYFUNCTION("""COMPUTED_VALUE"""),"R Wreede")</f>
        <v>R Wreede</v>
      </c>
      <c r="B2027" s="1" t="str">
        <f>IFERROR(__xludf.DUMMYFUNCTION("""COMPUTED_VALUE"""),"L2")</f>
        <v>L2</v>
      </c>
    </row>
    <row r="2028" ht="15.75" customHeight="1">
      <c r="A2028" s="1" t="str">
        <f>IFERROR(__xludf.DUMMYFUNCTION("""COMPUTED_VALUE"""),"Tobit Israel")</f>
        <v>Tobit Israel</v>
      </c>
      <c r="B2028" s="1" t="str">
        <f>IFERROR(__xludf.DUMMYFUNCTION("""COMPUTED_VALUE"""),"L2")</f>
        <v>L2</v>
      </c>
    </row>
    <row r="2029" ht="15.75" customHeight="1">
      <c r="A2029" s="1" t="str">
        <f>IFERROR(__xludf.DUMMYFUNCTION("""COMPUTED_VALUE"""),"yaqoob mian")</f>
        <v>yaqoob mian</v>
      </c>
      <c r="B2029" s="1" t="str">
        <f>IFERROR(__xludf.DUMMYFUNCTION("""COMPUTED_VALUE"""),"MS")</f>
        <v>MS</v>
      </c>
    </row>
    <row r="2030" ht="15.75" customHeight="1">
      <c r="A2030" s="1" t="str">
        <f>IFERROR(__xludf.DUMMYFUNCTION("""COMPUTED_VALUE"""),"Laila Patel")</f>
        <v>Laila Patel</v>
      </c>
      <c r="B2030" s="1" t="str">
        <f>IFERROR(__xludf.DUMMYFUNCTION("""COMPUTED_VALUE"""),"L1")</f>
        <v>L1</v>
      </c>
    </row>
    <row r="2031" ht="15.75" customHeight="1">
      <c r="A2031" s="1" t="str">
        <f>IFERROR(__xludf.DUMMYFUNCTION("""COMPUTED_VALUE"""),"Sophia Yoder")</f>
        <v>Sophia Yoder</v>
      </c>
      <c r="B2031" s="1" t="str">
        <f>IFERROR(__xludf.DUMMYFUNCTION("""COMPUTED_VALUE"""),"LL")</f>
        <v>LL</v>
      </c>
    </row>
    <row r="2032" ht="15.75" customHeight="1">
      <c r="A2032" s="1" t="str">
        <f>IFERROR(__xludf.DUMMYFUNCTION("""COMPUTED_VALUE"""),"Abigail Constain")</f>
        <v>Abigail Constain</v>
      </c>
      <c r="B2032" s="1" t="str">
        <f>IFERROR(__xludf.DUMMYFUNCTION("""COMPUTED_VALUE"""),"MS")</f>
        <v>MS</v>
      </c>
    </row>
    <row r="2033" ht="15.75" customHeight="1">
      <c r="A2033" s="1" t="str">
        <f>IFERROR(__xludf.DUMMYFUNCTION("""COMPUTED_VALUE"""),"Ava Kuhn")</f>
        <v>Ava Kuhn</v>
      </c>
      <c r="B2033" s="1" t="str">
        <f>IFERROR(__xludf.DUMMYFUNCTION("""COMPUTED_VALUE"""),"L1")</f>
        <v>L1</v>
      </c>
    </row>
    <row r="2034" ht="15.75" customHeight="1">
      <c r="A2034" s="1" t="str">
        <f>IFERROR(__xludf.DUMMYFUNCTION("""COMPUTED_VALUE"""),"Luca Gardner")</f>
        <v>Luca Gardner</v>
      </c>
      <c r="B2034" s="1" t="str">
        <f>IFERROR(__xludf.DUMMYFUNCTION("""COMPUTED_VALUE"""),"MS")</f>
        <v>MS</v>
      </c>
    </row>
    <row r="2035" ht="15.75" customHeight="1">
      <c r="A2035" s="1" t="str">
        <f>IFERROR(__xludf.DUMMYFUNCTION("""COMPUTED_VALUE"""),"Matteo Gardner")</f>
        <v>Matteo Gardner</v>
      </c>
      <c r="B2035" s="1" t="str">
        <f>IFERROR(__xludf.DUMMYFUNCTION("""COMPUTED_VALUE"""),"L2")</f>
        <v>L2</v>
      </c>
    </row>
    <row r="2036" ht="15.75" customHeight="1">
      <c r="A2036" s="1" t="str">
        <f>IFERROR(__xludf.DUMMYFUNCTION("""COMPUTED_VALUE"""),"Nora Gardner")</f>
        <v>Nora Gardner</v>
      </c>
      <c r="B2036" s="1" t="str">
        <f>IFERROR(__xludf.DUMMYFUNCTION("""COMPUTED_VALUE"""),"L1")</f>
        <v>L1</v>
      </c>
    </row>
    <row r="2037" ht="15.75" customHeight="1">
      <c r="A2037" s="1" t="str">
        <f>IFERROR(__xludf.DUMMYFUNCTION("""COMPUTED_VALUE"""),"Wyatt Wilkerson")</f>
        <v>Wyatt Wilkerson</v>
      </c>
      <c r="B2037" s="1" t="str">
        <f>IFERROR(__xludf.DUMMYFUNCTION("""COMPUTED_VALUE"""),"L1")</f>
        <v>L1</v>
      </c>
    </row>
    <row r="2038" ht="15.75" customHeight="1">
      <c r="A2038" s="1" t="str">
        <f>IFERROR(__xludf.DUMMYFUNCTION("""COMPUTED_VALUE"""),"Aurora Viana")</f>
        <v>Aurora Viana</v>
      </c>
      <c r="B2038" s="1" t="str">
        <f>IFERROR(__xludf.DUMMYFUNCTION("""COMPUTED_VALUE"""),"L2")</f>
        <v>L2</v>
      </c>
    </row>
    <row r="2039" ht="15.75" customHeight="1">
      <c r="A2039" s="1" t="str">
        <f>IFERROR(__xludf.DUMMYFUNCTION("""COMPUTED_VALUE"""),"Layla Viana")</f>
        <v>Layla Viana</v>
      </c>
      <c r="B2039" s="1" t="str">
        <f>IFERROR(__xludf.DUMMYFUNCTION("""COMPUTED_VALUE"""),"HS")</f>
        <v>HS</v>
      </c>
    </row>
    <row r="2040" ht="15.75" customHeight="1">
      <c r="A2040" s="1" t="str">
        <f>IFERROR(__xludf.DUMMYFUNCTION("""COMPUTED_VALUE"""),"Tessa Park")</f>
        <v>Tessa Park</v>
      </c>
      <c r="B2040" s="1" t="str">
        <f>IFERROR(__xludf.DUMMYFUNCTION("""COMPUTED_VALUE"""),"L1")</f>
        <v>L1</v>
      </c>
    </row>
    <row r="2041" ht="15.75" customHeight="1">
      <c r="A2041" s="1" t="str">
        <f>IFERROR(__xludf.DUMMYFUNCTION("""COMPUTED_VALUE"""),"Laysha Viana")</f>
        <v>Laysha Viana</v>
      </c>
      <c r="B2041" s="1" t="str">
        <f>IFERROR(__xludf.DUMMYFUNCTION("""COMPUTED_VALUE"""),"MS")</f>
        <v>MS</v>
      </c>
    </row>
    <row r="2042" ht="15.75" customHeight="1">
      <c r="A2042" s="1" t="str">
        <f>IFERROR(__xludf.DUMMYFUNCTION("""COMPUTED_VALUE"""),"Yogini Narayanan")</f>
        <v>Yogini Narayanan</v>
      </c>
      <c r="B2042" s="1" t="str">
        <f>IFERROR(__xludf.DUMMYFUNCTION("""COMPUTED_VALUE"""),"MS")</f>
        <v>MS</v>
      </c>
    </row>
    <row r="2043" ht="15.75" customHeight="1">
      <c r="A2043" s="1" t="str">
        <f>IFERROR(__xludf.DUMMYFUNCTION("""COMPUTED_VALUE"""),"Avri Butler")</f>
        <v>Avri Butler</v>
      </c>
      <c r="B2043" s="1" t="str">
        <f>IFERROR(__xludf.DUMMYFUNCTION("""COMPUTED_VALUE"""),"L1")</f>
        <v>L1</v>
      </c>
    </row>
    <row r="2044" ht="15.75" customHeight="1">
      <c r="A2044" s="1" t="str">
        <f>IFERROR(__xludf.DUMMYFUNCTION("""COMPUTED_VALUE"""),"Rochus Owens")</f>
        <v>Rochus Owens</v>
      </c>
      <c r="B2044" s="1" t="str">
        <f>IFERROR(__xludf.DUMMYFUNCTION("""COMPUTED_VALUE"""),"L2")</f>
        <v>L2</v>
      </c>
    </row>
    <row r="2045" ht="15.75" customHeight="1">
      <c r="A2045" s="1" t="str">
        <f>IFERROR(__xludf.DUMMYFUNCTION("""COMPUTED_VALUE"""),"Clay Larson")</f>
        <v>Clay Larson</v>
      </c>
      <c r="B2045" s="1" t="str">
        <f>IFERROR(__xludf.DUMMYFUNCTION("""COMPUTED_VALUE"""),"MS")</f>
        <v>MS</v>
      </c>
    </row>
    <row r="2046" ht="15.75" customHeight="1">
      <c r="A2046" s="1" t="str">
        <f>IFERROR(__xludf.DUMMYFUNCTION("""COMPUTED_VALUE"""),"Porter Larson")</f>
        <v>Porter Larson</v>
      </c>
      <c r="B2046" s="1" t="str">
        <f>IFERROR(__xludf.DUMMYFUNCTION("""COMPUTED_VALUE"""),"MS")</f>
        <v>MS</v>
      </c>
    </row>
    <row r="2047" ht="15.75" customHeight="1">
      <c r="A2047" s="1" t="str">
        <f>IFERROR(__xludf.DUMMYFUNCTION("""COMPUTED_VALUE"""),"Raymond Gindi")</f>
        <v>Raymond Gindi</v>
      </c>
      <c r="B2047" s="1" t="str">
        <f>IFERROR(__xludf.DUMMYFUNCTION("""COMPUTED_VALUE"""),"L2")</f>
        <v>L2</v>
      </c>
    </row>
    <row r="2048" ht="15.75" customHeight="1">
      <c r="A2048" s="1" t="str">
        <f>IFERROR(__xludf.DUMMYFUNCTION("""COMPUTED_VALUE"""),"BRODY STOCKMAN")</f>
        <v>BRODY STOCKMAN</v>
      </c>
      <c r="B2048" s="1" t="str">
        <f>IFERROR(__xludf.DUMMYFUNCTION("""COMPUTED_VALUE"""),"MS")</f>
        <v>MS</v>
      </c>
    </row>
    <row r="2049" ht="15.75" customHeight="1">
      <c r="A2049" s="1" t="str">
        <f>IFERROR(__xludf.DUMMYFUNCTION("""COMPUTED_VALUE"""),"Aryana Alejandro")</f>
        <v>Aryana Alejandro</v>
      </c>
      <c r="B2049" s="1" t="str">
        <f>IFERROR(__xludf.DUMMYFUNCTION("""COMPUTED_VALUE"""),"L2")</f>
        <v>L2</v>
      </c>
    </row>
    <row r="2050" ht="15.75" customHeight="1">
      <c r="A2050" s="1" t="str">
        <f>IFERROR(__xludf.DUMMYFUNCTION("""COMPUTED_VALUE"""),"Abigail Jones")</f>
        <v>Abigail Jones</v>
      </c>
      <c r="B2050" s="1" t="str">
        <f>IFERROR(__xludf.DUMMYFUNCTION("""COMPUTED_VALUE"""),"MS")</f>
        <v>MS</v>
      </c>
    </row>
    <row r="2051" ht="15.75" customHeight="1">
      <c r="A2051" s="1" t="str">
        <f>IFERROR(__xludf.DUMMYFUNCTION("""COMPUTED_VALUE"""),"Kaiya Marone")</f>
        <v>Kaiya Marone</v>
      </c>
      <c r="B2051" s="1" t="str">
        <f>IFERROR(__xludf.DUMMYFUNCTION("""COMPUTED_VALUE"""),"HS")</f>
        <v>HS</v>
      </c>
    </row>
    <row r="2052" ht="15.75" customHeight="1">
      <c r="A2052" s="1" t="str">
        <f>IFERROR(__xludf.DUMMYFUNCTION("""COMPUTED_VALUE"""),"Kaiya Marone2")</f>
        <v>Kaiya Marone2</v>
      </c>
      <c r="B2052" s="1" t="str">
        <f>IFERROR(__xludf.DUMMYFUNCTION("""COMPUTED_VALUE"""),"MS")</f>
        <v>MS</v>
      </c>
    </row>
    <row r="2053" ht="15.75" customHeight="1">
      <c r="A2053" s="1" t="str">
        <f>IFERROR(__xludf.DUMMYFUNCTION("""COMPUTED_VALUE"""),"Andrew Southam")</f>
        <v>Andrew Southam</v>
      </c>
      <c r="B2053" s="1" t="str">
        <f>IFERROR(__xludf.DUMMYFUNCTION("""COMPUTED_VALUE"""),"MS")</f>
        <v>MS</v>
      </c>
    </row>
    <row r="2054" ht="15.75" customHeight="1">
      <c r="A2054" s="1" t="str">
        <f>IFERROR(__xludf.DUMMYFUNCTION("""COMPUTED_VALUE"""),"Jack Southam")</f>
        <v>Jack Southam</v>
      </c>
      <c r="B2054" s="1" t="str">
        <f>IFERROR(__xludf.DUMMYFUNCTION("""COMPUTED_VALUE"""),"L2")</f>
        <v>L2</v>
      </c>
    </row>
    <row r="2055" ht="15.75" customHeight="1">
      <c r="A2055" s="1" t="str">
        <f>IFERROR(__xludf.DUMMYFUNCTION("""COMPUTED_VALUE"""),"Gabriel Crisp")</f>
        <v>Gabriel Crisp</v>
      </c>
      <c r="B2055" s="1" t="str">
        <f>IFERROR(__xludf.DUMMYFUNCTION("""COMPUTED_VALUE"""),"L2")</f>
        <v>L2</v>
      </c>
    </row>
    <row r="2056" ht="15.75" customHeight="1">
      <c r="A2056" s="1" t="str">
        <f>IFERROR(__xludf.DUMMYFUNCTION("""COMPUTED_VALUE"""),"Ellie Donnelly")</f>
        <v>Ellie Donnelly</v>
      </c>
      <c r="B2056" s="1" t="str">
        <f>IFERROR(__xludf.DUMMYFUNCTION("""COMPUTED_VALUE"""),"MS")</f>
        <v>MS</v>
      </c>
    </row>
    <row r="2057" ht="15.75" customHeight="1">
      <c r="A2057" s="1" t="str">
        <f>IFERROR(__xludf.DUMMYFUNCTION("""COMPUTED_VALUE"""),"James Donnelly")</f>
        <v>James Donnelly</v>
      </c>
      <c r="B2057" s="1" t="str">
        <f>IFERROR(__xludf.DUMMYFUNCTION("""COMPUTED_VALUE"""),"MS")</f>
        <v>MS</v>
      </c>
    </row>
    <row r="2058" ht="15.75" customHeight="1">
      <c r="A2058" s="1" t="str">
        <f>IFERROR(__xludf.DUMMYFUNCTION("""COMPUTED_VALUE"""),"Ellenette Donnelly")</f>
        <v>Ellenette Donnelly</v>
      </c>
      <c r="B2058" s="1" t="str">
        <f>IFERROR(__xludf.DUMMYFUNCTION("""COMPUTED_VALUE"""),"MS")</f>
        <v>MS</v>
      </c>
    </row>
    <row r="2059" ht="15.75" customHeight="1">
      <c r="A2059" s="1" t="str">
        <f>IFERROR(__xludf.DUMMYFUNCTION("""COMPUTED_VALUE"""),"Jon Lindgren")</f>
        <v>Jon Lindgren</v>
      </c>
      <c r="B2059" s="1" t="str">
        <f>IFERROR(__xludf.DUMMYFUNCTION("""COMPUTED_VALUE"""),"L2")</f>
        <v>L2</v>
      </c>
    </row>
    <row r="2060" ht="15.75" customHeight="1">
      <c r="A2060" s="1" t="str">
        <f>IFERROR(__xludf.DUMMYFUNCTION("""COMPUTED_VALUE"""),"Molly Lindgren")</f>
        <v>Molly Lindgren</v>
      </c>
      <c r="B2060" s="1" t="str">
        <f>IFERROR(__xludf.DUMMYFUNCTION("""COMPUTED_VALUE"""),"L2")</f>
        <v>L2</v>
      </c>
    </row>
    <row r="2061" ht="15.75" customHeight="1">
      <c r="A2061" s="1" t="str">
        <f>IFERROR(__xludf.DUMMYFUNCTION("""COMPUTED_VALUE"""),"Jenna Lindgren")</f>
        <v>Jenna Lindgren</v>
      </c>
      <c r="B2061" s="1" t="str">
        <f>IFERROR(__xludf.DUMMYFUNCTION("""COMPUTED_VALUE"""),"L1")</f>
        <v>L1</v>
      </c>
    </row>
    <row r="2062" ht="15.75" customHeight="1">
      <c r="A2062" s="1" t="str">
        <f>IFERROR(__xludf.DUMMYFUNCTION("""COMPUTED_VALUE"""),"Wyatt Sise")</f>
        <v>Wyatt Sise</v>
      </c>
      <c r="B2062" s="1" t="str">
        <f>IFERROR(__xludf.DUMMYFUNCTION("""COMPUTED_VALUE"""),"L2")</f>
        <v>L2</v>
      </c>
    </row>
    <row r="2063" ht="15.75" customHeight="1">
      <c r="A2063" s="1" t="str">
        <f>IFERROR(__xludf.DUMMYFUNCTION("""COMPUTED_VALUE"""),"Waylon Sise")</f>
        <v>Waylon Sise</v>
      </c>
      <c r="B2063" s="1" t="str">
        <f>IFERROR(__xludf.DUMMYFUNCTION("""COMPUTED_VALUE"""),"L1")</f>
        <v>L1</v>
      </c>
    </row>
    <row r="2064" ht="15.75" customHeight="1">
      <c r="A2064" s="1" t="str">
        <f>IFERROR(__xludf.DUMMYFUNCTION("""COMPUTED_VALUE"""),"Belle Qian")</f>
        <v>Belle Qian</v>
      </c>
      <c r="B2064" s="1" t="str">
        <f>IFERROR(__xludf.DUMMYFUNCTION("""COMPUTED_VALUE"""),"L1")</f>
        <v>L1</v>
      </c>
    </row>
    <row r="2065" ht="15.75" customHeight="1">
      <c r="A2065" s="1" t="str">
        <f>IFERROR(__xludf.DUMMYFUNCTION("""COMPUTED_VALUE"""),"Miranda Nevers")</f>
        <v>Miranda Nevers</v>
      </c>
      <c r="B2065" s="1" t="str">
        <f>IFERROR(__xludf.DUMMYFUNCTION("""COMPUTED_VALUE"""),"L2")</f>
        <v>L2</v>
      </c>
    </row>
    <row r="2066" ht="15.75" customHeight="1">
      <c r="A2066" s="1" t="str">
        <f>IFERROR(__xludf.DUMMYFUNCTION("""COMPUTED_VALUE"""),"Preston Nevers")</f>
        <v>Preston Nevers</v>
      </c>
      <c r="B2066" s="1" t="str">
        <f>IFERROR(__xludf.DUMMYFUNCTION("""COMPUTED_VALUE"""),"L1")</f>
        <v>L1</v>
      </c>
    </row>
    <row r="2067" ht="15.75" customHeight="1">
      <c r="A2067" s="1" t="str">
        <f>IFERROR(__xludf.DUMMYFUNCTION("""COMPUTED_VALUE"""),"Beckham Koren")</f>
        <v>Beckham Koren</v>
      </c>
      <c r="B2067" s="1" t="str">
        <f>IFERROR(__xludf.DUMMYFUNCTION("""COMPUTED_VALUE"""),"L2")</f>
        <v>L2</v>
      </c>
    </row>
    <row r="2068" ht="15.75" customHeight="1">
      <c r="A2068" s="1" t="str">
        <f>IFERROR(__xludf.DUMMYFUNCTION("""COMPUTED_VALUE"""),"Charlotte Koren")</f>
        <v>Charlotte Koren</v>
      </c>
      <c r="B2068" s="1" t="str">
        <f>IFERROR(__xludf.DUMMYFUNCTION("""COMPUTED_VALUE"""),"L2")</f>
        <v>L2</v>
      </c>
    </row>
    <row r="2069" ht="15.75" customHeight="1">
      <c r="A2069" s="1" t="str">
        <f>IFERROR(__xludf.DUMMYFUNCTION("""COMPUTED_VALUE"""),"Natalie Bingham")</f>
        <v>Natalie Bingham</v>
      </c>
      <c r="B2069" s="1" t="str">
        <f>IFERROR(__xludf.DUMMYFUNCTION("""COMPUTED_VALUE"""),"MS")</f>
        <v>MS</v>
      </c>
    </row>
    <row r="2070" ht="15.75" customHeight="1">
      <c r="A2070" s="1" t="str">
        <f>IFERROR(__xludf.DUMMYFUNCTION("""COMPUTED_VALUE"""),"Perry Mulroy")</f>
        <v>Perry Mulroy</v>
      </c>
      <c r="B2070" s="1" t="str">
        <f>IFERROR(__xludf.DUMMYFUNCTION("""COMPUTED_VALUE"""),"L1")</f>
        <v>L1</v>
      </c>
    </row>
    <row r="2071" ht="15.75" customHeight="1">
      <c r="A2071" s="1" t="str">
        <f>IFERROR(__xludf.DUMMYFUNCTION("""COMPUTED_VALUE"""),"Valentina Lee")</f>
        <v>Valentina Lee</v>
      </c>
      <c r="B2071" s="1" t="str">
        <f>IFERROR(__xludf.DUMMYFUNCTION("""COMPUTED_VALUE"""),"MS")</f>
        <v>MS</v>
      </c>
    </row>
    <row r="2072" ht="15.75" customHeight="1">
      <c r="A2072" s="1" t="str">
        <f>IFERROR(__xludf.DUMMYFUNCTION("""COMPUTED_VALUE"""),"Violet Leathem")</f>
        <v>Violet Leathem</v>
      </c>
      <c r="B2072" s="1" t="str">
        <f>IFERROR(__xludf.DUMMYFUNCTION("""COMPUTED_VALUE"""),"L2")</f>
        <v>L2</v>
      </c>
    </row>
    <row r="2073" ht="15.75" customHeight="1">
      <c r="A2073" s="1" t="str">
        <f>IFERROR(__xludf.DUMMYFUNCTION("""COMPUTED_VALUE"""),"Tyrie Leathem")</f>
        <v>Tyrie Leathem</v>
      </c>
      <c r="B2073" s="1" t="str">
        <f>IFERROR(__xludf.DUMMYFUNCTION("""COMPUTED_VALUE"""),"L1")</f>
        <v>L1</v>
      </c>
    </row>
    <row r="2074" ht="15.75" customHeight="1">
      <c r="A2074" s="1" t="str">
        <f>IFERROR(__xludf.DUMMYFUNCTION("""COMPUTED_VALUE"""),"Blake Boxer")</f>
        <v>Blake Boxer</v>
      </c>
      <c r="B2074" s="1" t="str">
        <f>IFERROR(__xludf.DUMMYFUNCTION("""COMPUTED_VALUE"""),"L2")</f>
        <v>L2</v>
      </c>
    </row>
    <row r="2075" ht="15.75" customHeight="1">
      <c r="A2075" s="1" t="str">
        <f>IFERROR(__xludf.DUMMYFUNCTION("""COMPUTED_VALUE"""),"Noam Benloulou")</f>
        <v>Noam Benloulou</v>
      </c>
      <c r="B2075" s="1" t="str">
        <f>IFERROR(__xludf.DUMMYFUNCTION("""COMPUTED_VALUE"""),"L2")</f>
        <v>L2</v>
      </c>
    </row>
    <row r="2076" ht="15.75" customHeight="1">
      <c r="A2076" s="1" t="str">
        <f>IFERROR(__xludf.DUMMYFUNCTION("""COMPUTED_VALUE"""),"Lia Benloulou")</f>
        <v>Lia Benloulou</v>
      </c>
      <c r="B2076" s="1" t="str">
        <f>IFERROR(__xludf.DUMMYFUNCTION("""COMPUTED_VALUE"""),"MS")</f>
        <v>MS</v>
      </c>
    </row>
    <row r="2077" ht="15.75" customHeight="1">
      <c r="A2077" s="1" t="str">
        <f>IFERROR(__xludf.DUMMYFUNCTION("""COMPUTED_VALUE"""),"Evelyn Benloulou")</f>
        <v>Evelyn Benloulou</v>
      </c>
      <c r="B2077" s="1" t="str">
        <f>IFERROR(__xludf.DUMMYFUNCTION("""COMPUTED_VALUE"""),"HS")</f>
        <v>HS</v>
      </c>
    </row>
    <row r="2078" ht="15.75" customHeight="1">
      <c r="A2078" s="1" t="str">
        <f>IFERROR(__xludf.DUMMYFUNCTION("""COMPUTED_VALUE"""),"Garrett Goyings")</f>
        <v>Garrett Goyings</v>
      </c>
      <c r="B2078" s="1" t="str">
        <f>IFERROR(__xludf.DUMMYFUNCTION("""COMPUTED_VALUE"""),"L2")</f>
        <v>L2</v>
      </c>
    </row>
    <row r="2079" ht="15.75" customHeight="1">
      <c r="A2079" s="1" t="str">
        <f>IFERROR(__xludf.DUMMYFUNCTION("""COMPUTED_VALUE"""),"Axel Goyings")</f>
        <v>Axel Goyings</v>
      </c>
      <c r="B2079" s="1" t="str">
        <f>IFERROR(__xludf.DUMMYFUNCTION("""COMPUTED_VALUE"""),"L2")</f>
        <v>L2</v>
      </c>
    </row>
    <row r="2080" ht="15.75" customHeight="1">
      <c r="A2080" s="1" t="str">
        <f>IFERROR(__xludf.DUMMYFUNCTION("""COMPUTED_VALUE"""),"Wyatt Markum")</f>
        <v>Wyatt Markum</v>
      </c>
      <c r="B2080" s="1" t="str">
        <f>IFERROR(__xludf.DUMMYFUNCTION("""COMPUTED_VALUE"""),"LL")</f>
        <v>LL</v>
      </c>
    </row>
    <row r="2081" ht="15.75" customHeight="1">
      <c r="A2081" s="1" t="str">
        <f>IFERROR(__xludf.DUMMYFUNCTION("""COMPUTED_VALUE"""),"Clark Commagere")</f>
        <v>Clark Commagere</v>
      </c>
      <c r="B2081" s="1" t="str">
        <f>IFERROR(__xludf.DUMMYFUNCTION("""COMPUTED_VALUE"""),"L1")</f>
        <v>L1</v>
      </c>
    </row>
    <row r="2082" ht="15.75" customHeight="1">
      <c r="A2082" s="1" t="str">
        <f>IFERROR(__xludf.DUMMYFUNCTION("""COMPUTED_VALUE"""),"Bob Bragg")</f>
        <v>Bob Bragg</v>
      </c>
      <c r="B2082" s="1" t="str">
        <f>IFERROR(__xludf.DUMMYFUNCTION("""COMPUTED_VALUE"""),"MS")</f>
        <v>MS</v>
      </c>
    </row>
    <row r="2083" ht="15.75" customHeight="1">
      <c r="A2083" s="1" t="str">
        <f>IFERROR(__xludf.DUMMYFUNCTION("""COMPUTED_VALUE"""),"Steve Bragg")</f>
        <v>Steve Bragg</v>
      </c>
      <c r="B2083" s="1" t="str">
        <f>IFERROR(__xludf.DUMMYFUNCTION("""COMPUTED_VALUE"""),"L1")</f>
        <v>L1</v>
      </c>
    </row>
    <row r="2084" ht="15.75" customHeight="1">
      <c r="A2084" s="1" t="str">
        <f>IFERROR(__xludf.DUMMYFUNCTION("""COMPUTED_VALUE"""),"Orlando Grier")</f>
        <v>Orlando Grier</v>
      </c>
      <c r="B2084" s="1" t="str">
        <f>IFERROR(__xludf.DUMMYFUNCTION("""COMPUTED_VALUE"""),"MS")</f>
        <v>MS</v>
      </c>
    </row>
    <row r="2085" ht="15.75" customHeight="1">
      <c r="A2085" s="1" t="str">
        <f>IFERROR(__xludf.DUMMYFUNCTION("""COMPUTED_VALUE"""),"Milo Grier")</f>
        <v>Milo Grier</v>
      </c>
      <c r="B2085" s="1" t="str">
        <f>IFERROR(__xludf.DUMMYFUNCTION("""COMPUTED_VALUE"""),"L1")</f>
        <v>L1</v>
      </c>
    </row>
    <row r="2086" ht="15.75" customHeight="1">
      <c r="A2086" s="1" t="str">
        <f>IFERROR(__xludf.DUMMYFUNCTION("""COMPUTED_VALUE"""),"Eli Viteri Zigler")</f>
        <v>Eli Viteri Zigler</v>
      </c>
      <c r="B2086" s="1" t="str">
        <f>IFERROR(__xludf.DUMMYFUNCTION("""COMPUTED_VALUE"""),"L1")</f>
        <v>L1</v>
      </c>
    </row>
    <row r="2087" ht="15.75" customHeight="1">
      <c r="A2087" s="1" t="str">
        <f>IFERROR(__xludf.DUMMYFUNCTION("""COMPUTED_VALUE"""),"Reese Viteri Zigler")</f>
        <v>Reese Viteri Zigler</v>
      </c>
      <c r="B2087" s="1" t="str">
        <f>IFERROR(__xludf.DUMMYFUNCTION("""COMPUTED_VALUE"""),"LL")</f>
        <v>LL</v>
      </c>
    </row>
    <row r="2088" ht="15.75" customHeight="1">
      <c r="A2088" s="1" t="str">
        <f>IFERROR(__xludf.DUMMYFUNCTION("""COMPUTED_VALUE"""),"Sofia Matos")</f>
        <v>Sofia Matos</v>
      </c>
      <c r="B2088" s="1" t="str">
        <f>IFERROR(__xludf.DUMMYFUNCTION("""COMPUTED_VALUE"""),"L1")</f>
        <v>L1</v>
      </c>
    </row>
    <row r="2089" ht="15.75" customHeight="1">
      <c r="A2089" s="1" t="str">
        <f>IFERROR(__xludf.DUMMYFUNCTION("""COMPUTED_VALUE"""),"Rowe Christensen")</f>
        <v>Rowe Christensen</v>
      </c>
      <c r="B2089" s="1" t="str">
        <f>IFERROR(__xludf.DUMMYFUNCTION("""COMPUTED_VALUE"""),"MS")</f>
        <v>MS</v>
      </c>
    </row>
    <row r="2090" ht="15.75" customHeight="1">
      <c r="A2090" s="1" t="str">
        <f>IFERROR(__xludf.DUMMYFUNCTION("""COMPUTED_VALUE"""),"Jonathan Barker")</f>
        <v>Jonathan Barker</v>
      </c>
      <c r="B2090" s="1" t="str">
        <f>IFERROR(__xludf.DUMMYFUNCTION("""COMPUTED_VALUE"""),"L2")</f>
        <v>L2</v>
      </c>
    </row>
    <row r="2091" ht="15.75" customHeight="1">
      <c r="A2091" s="1" t="str">
        <f>IFERROR(__xludf.DUMMYFUNCTION("""COMPUTED_VALUE"""),"Malakai Schlott")</f>
        <v>Malakai Schlott</v>
      </c>
      <c r="B2091" s="1" t="str">
        <f>IFERROR(__xludf.DUMMYFUNCTION("""COMPUTED_VALUE"""),"HS")</f>
        <v>HS</v>
      </c>
    </row>
    <row r="2092" ht="15.75" customHeight="1">
      <c r="A2092" s="1" t="str">
        <f>IFERROR(__xludf.DUMMYFUNCTION("""COMPUTED_VALUE"""),"Aidan Mccombs")</f>
        <v>Aidan Mccombs</v>
      </c>
      <c r="B2092" s="1" t="str">
        <f>IFERROR(__xludf.DUMMYFUNCTION("""COMPUTED_VALUE"""),"MS")</f>
        <v>MS</v>
      </c>
    </row>
    <row r="2093" ht="15.75" customHeight="1">
      <c r="A2093" s="1" t="str">
        <f>IFERROR(__xludf.DUMMYFUNCTION("""COMPUTED_VALUE"""),"Malayah Schlott")</f>
        <v>Malayah Schlott</v>
      </c>
      <c r="B2093" s="1" t="str">
        <f>IFERROR(__xludf.DUMMYFUNCTION("""COMPUTED_VALUE"""),"MS")</f>
        <v>MS</v>
      </c>
    </row>
    <row r="2094" ht="15.75" customHeight="1">
      <c r="A2094" s="1" t="str">
        <f>IFERROR(__xludf.DUMMYFUNCTION("""COMPUTED_VALUE"""),"Ethan Oduniyi")</f>
        <v>Ethan Oduniyi</v>
      </c>
      <c r="B2094" s="1" t="str">
        <f>IFERROR(__xludf.DUMMYFUNCTION("""COMPUTED_VALUE"""),"MS")</f>
        <v>MS</v>
      </c>
    </row>
    <row r="2095" ht="15.75" customHeight="1">
      <c r="A2095" s="1" t="str">
        <f>IFERROR(__xludf.DUMMYFUNCTION("""COMPUTED_VALUE"""),"Adriano-Miguel C")</f>
        <v>Adriano-Miguel C</v>
      </c>
      <c r="B2095" s="1" t="str">
        <f>IFERROR(__xludf.DUMMYFUNCTION("""COMPUTED_VALUE"""),"MS")</f>
        <v>MS</v>
      </c>
    </row>
    <row r="2096" ht="15.75" customHeight="1">
      <c r="A2096" s="1" t="str">
        <f>IFERROR(__xludf.DUMMYFUNCTION("""COMPUTED_VALUE"""),"Azzario-Cruz G")</f>
        <v>Azzario-Cruz G</v>
      </c>
      <c r="B2096" s="1" t="str">
        <f>IFERROR(__xludf.DUMMYFUNCTION("""COMPUTED_VALUE"""),"LL")</f>
        <v>LL</v>
      </c>
    </row>
    <row r="2097" ht="15.75" customHeight="1">
      <c r="A2097" s="1" t="str">
        <f>IFERROR(__xludf.DUMMYFUNCTION("""COMPUTED_VALUE"""),"Stephen Ionescu")</f>
        <v>Stephen Ionescu</v>
      </c>
      <c r="B2097" s="1" t="str">
        <f>IFERROR(__xludf.DUMMYFUNCTION("""COMPUTED_VALUE"""),"L1")</f>
        <v>L1</v>
      </c>
    </row>
    <row r="2098" ht="15.75" customHeight="1">
      <c r="A2098" s="1" t="str">
        <f>IFERROR(__xludf.DUMMYFUNCTION("""COMPUTED_VALUE"""),"Benjamin Fusco-Muschamp")</f>
        <v>Benjamin Fusco-Muschamp</v>
      </c>
      <c r="B2098" s="1" t="str">
        <f>IFERROR(__xludf.DUMMYFUNCTION("""COMPUTED_VALUE"""),"L1")</f>
        <v>L1</v>
      </c>
    </row>
    <row r="2099" ht="15.75" customHeight="1">
      <c r="A2099" s="1" t="str">
        <f>IFERROR(__xludf.DUMMYFUNCTION("""COMPUTED_VALUE"""),"Nene Test")</f>
        <v>Nene Test</v>
      </c>
      <c r="B2099" s="1" t="str">
        <f>IFERROR(__xludf.DUMMYFUNCTION("""COMPUTED_VALUE"""),"L1")</f>
        <v>L1</v>
      </c>
    </row>
    <row r="2100" ht="15.75" customHeight="1">
      <c r="A2100" s="1" t="str">
        <f>IFERROR(__xludf.DUMMYFUNCTION("""COMPUTED_VALUE"""),"Paula Donovan")</f>
        <v>Paula Donovan</v>
      </c>
      <c r="B2100" s="1" t="str">
        <f>IFERROR(__xludf.DUMMYFUNCTION("""COMPUTED_VALUE"""),"L2")</f>
        <v>L2</v>
      </c>
    </row>
    <row r="2101" ht="15.75" customHeight="1">
      <c r="A2101" s="1" t="str">
        <f>IFERROR(__xludf.DUMMYFUNCTION("""COMPUTED_VALUE"""),"Sucralose Ironfist")</f>
        <v>Sucralose Ironfist</v>
      </c>
      <c r="B2101" s="1" t="str">
        <f>IFERROR(__xludf.DUMMYFUNCTION("""COMPUTED_VALUE"""),"MS")</f>
        <v>MS</v>
      </c>
    </row>
    <row r="2102" ht="15.75" customHeight="1">
      <c r="A2102" s="1" t="str">
        <f>IFERROR(__xludf.DUMMYFUNCTION("""COMPUTED_VALUE"""),"Kai-Rae Watson")</f>
        <v>Kai-Rae Watson</v>
      </c>
      <c r="B2102" s="1" t="str">
        <f>IFERROR(__xludf.DUMMYFUNCTION("""COMPUTED_VALUE"""),"MS")</f>
        <v>MS</v>
      </c>
    </row>
    <row r="2103" ht="15.75" customHeight="1">
      <c r="A2103" s="1" t="str">
        <f>IFERROR(__xludf.DUMMYFUNCTION("""COMPUTED_VALUE"""),"Eliza Orozco Van Parys")</f>
        <v>Eliza Orozco Van Parys</v>
      </c>
      <c r="B2103" s="1" t="str">
        <f>IFERROR(__xludf.DUMMYFUNCTION("""COMPUTED_VALUE"""),"L2")</f>
        <v>L2</v>
      </c>
    </row>
    <row r="2104" ht="15.75" customHeight="1">
      <c r="A2104" s="1" t="str">
        <f>IFERROR(__xludf.DUMMYFUNCTION("""COMPUTED_VALUE"""),"Asaph Bennett")</f>
        <v>Asaph Bennett</v>
      </c>
      <c r="B2104" s="1" t="str">
        <f>IFERROR(__xludf.DUMMYFUNCTION("""COMPUTED_VALUE"""),"L2")</f>
        <v>L2</v>
      </c>
    </row>
    <row r="2105" ht="15.75" customHeight="1">
      <c r="A2105" s="1" t="str">
        <f>IFERROR(__xludf.DUMMYFUNCTION("""COMPUTED_VALUE"""),"Bearach Bennett")</f>
        <v>Bearach Bennett</v>
      </c>
      <c r="B2105" s="1" t="str">
        <f>IFERROR(__xludf.DUMMYFUNCTION("""COMPUTED_VALUE"""),"L2")</f>
        <v>L2</v>
      </c>
    </row>
    <row r="2106" ht="15.75" customHeight="1">
      <c r="A2106" s="1" t="str">
        <f>IFERROR(__xludf.DUMMYFUNCTION("""COMPUTED_VALUE"""),"Avery Vazquez")</f>
        <v>Avery Vazquez</v>
      </c>
      <c r="B2106" s="1" t="str">
        <f>IFERROR(__xludf.DUMMYFUNCTION("""COMPUTED_VALUE"""),"L2")</f>
        <v>L2</v>
      </c>
    </row>
    <row r="2107" ht="15.75" customHeight="1">
      <c r="A2107" s="1" t="str">
        <f>IFERROR(__xludf.DUMMYFUNCTION("""COMPUTED_VALUE"""),"Riley Vazquez")</f>
        <v>Riley Vazquez</v>
      </c>
      <c r="B2107" s="1" t="str">
        <f>IFERROR(__xludf.DUMMYFUNCTION("""COMPUTED_VALUE"""),"L1")</f>
        <v>L1</v>
      </c>
    </row>
    <row r="2108" ht="15.75" customHeight="1">
      <c r="A2108" s="1" t="str">
        <f>IFERROR(__xludf.DUMMYFUNCTION("""COMPUTED_VALUE"""),"McCormick Stevens")</f>
        <v>McCormick Stevens</v>
      </c>
      <c r="B2108" s="1" t="str">
        <f>IFERROR(__xludf.DUMMYFUNCTION("""COMPUTED_VALUE"""),"L1")</f>
        <v>L1</v>
      </c>
    </row>
    <row r="2109" ht="15.75" customHeight="1">
      <c r="A2109" s="1" t="str">
        <f>IFERROR(__xludf.DUMMYFUNCTION("""COMPUTED_VALUE"""),"Remy Stevens")</f>
        <v>Remy Stevens</v>
      </c>
      <c r="B2109" s="1" t="str">
        <f>IFERROR(__xludf.DUMMYFUNCTION("""COMPUTED_VALUE"""),"LL")</f>
        <v>LL</v>
      </c>
    </row>
    <row r="2110" ht="15.75" customHeight="1">
      <c r="A2110" s="1" t="str">
        <f>IFERROR(__xludf.DUMMYFUNCTION("""COMPUTED_VALUE"""),"Deaglan Bell")</f>
        <v>Deaglan Bell</v>
      </c>
      <c r="B2110" s="1" t="str">
        <f>IFERROR(__xludf.DUMMYFUNCTION("""COMPUTED_VALUE"""),"L2")</f>
        <v>L2</v>
      </c>
    </row>
    <row r="2111" ht="15.75" customHeight="1">
      <c r="A2111" s="1" t="str">
        <f>IFERROR(__xludf.DUMMYFUNCTION("""COMPUTED_VALUE"""),"Veer Garg")</f>
        <v>Veer Garg</v>
      </c>
      <c r="B2111" s="1" t="str">
        <f>IFERROR(__xludf.DUMMYFUNCTION("""COMPUTED_VALUE"""),"MS")</f>
        <v>MS</v>
      </c>
    </row>
    <row r="2112" ht="15.75" customHeight="1">
      <c r="A2112" s="1" t="str">
        <f>IFERROR(__xludf.DUMMYFUNCTION("""COMPUTED_VALUE"""),"Sawyer Roberts")</f>
        <v>Sawyer Roberts</v>
      </c>
      <c r="B2112" s="1" t="str">
        <f>IFERROR(__xludf.DUMMYFUNCTION("""COMPUTED_VALUE"""),"L1")</f>
        <v>L1</v>
      </c>
    </row>
    <row r="2113" ht="15.75" customHeight="1">
      <c r="A2113" s="1" t="str">
        <f>IFERROR(__xludf.DUMMYFUNCTION("""COMPUTED_VALUE"""),"Austin Roberts")</f>
        <v>Austin Roberts</v>
      </c>
      <c r="B2113" s="1" t="str">
        <f>IFERROR(__xludf.DUMMYFUNCTION("""COMPUTED_VALUE"""),"LL")</f>
        <v>LL</v>
      </c>
    </row>
    <row r="2114" ht="15.75" customHeight="1">
      <c r="A2114" s="1" t="str">
        <f>IFERROR(__xludf.DUMMYFUNCTION("""COMPUTED_VALUE"""),"Jack Polstein")</f>
        <v>Jack Polstein</v>
      </c>
      <c r="B2114" s="1" t="str">
        <f>IFERROR(__xludf.DUMMYFUNCTION("""COMPUTED_VALUE"""),"L2")</f>
        <v>L2</v>
      </c>
    </row>
    <row r="2115" ht="15.75" customHeight="1">
      <c r="A2115" s="1" t="str">
        <f>IFERROR(__xludf.DUMMYFUNCTION("""COMPUTED_VALUE"""),"Rex Polstein")</f>
        <v>Rex Polstein</v>
      </c>
      <c r="B2115" s="1" t="str">
        <f>IFERROR(__xludf.DUMMYFUNCTION("""COMPUTED_VALUE"""),"L1")</f>
        <v>L1</v>
      </c>
    </row>
    <row r="2116" ht="15.75" customHeight="1">
      <c r="A2116" s="1" t="str">
        <f>IFERROR(__xludf.DUMMYFUNCTION("""COMPUTED_VALUE"""),"Wyatt Elledge")</f>
        <v>Wyatt Elledge</v>
      </c>
      <c r="B2116" s="1" t="str">
        <f>IFERROR(__xludf.DUMMYFUNCTION("""COMPUTED_VALUE"""),"HS")</f>
        <v>HS</v>
      </c>
    </row>
    <row r="2117" ht="15.75" customHeight="1">
      <c r="A2117" s="1" t="str">
        <f>IFERROR(__xludf.DUMMYFUNCTION("""COMPUTED_VALUE"""),"Lucas Elledge")</f>
        <v>Lucas Elledge</v>
      </c>
      <c r="B2117" s="1" t="str">
        <f>IFERROR(__xludf.DUMMYFUNCTION("""COMPUTED_VALUE"""),"MS")</f>
        <v>MS</v>
      </c>
    </row>
    <row r="2118" ht="15.75" customHeight="1">
      <c r="A2118" s="1" t="str">
        <f>IFERROR(__xludf.DUMMYFUNCTION("""COMPUTED_VALUE"""),"Harper Elledge")</f>
        <v>Harper Elledge</v>
      </c>
      <c r="B2118" s="1" t="str">
        <f>IFERROR(__xludf.DUMMYFUNCTION("""COMPUTED_VALUE"""),"L1")</f>
        <v>L1</v>
      </c>
    </row>
    <row r="2119" ht="15.75" customHeight="1">
      <c r="A2119" s="1" t="str">
        <f>IFERROR(__xludf.DUMMYFUNCTION("""COMPUTED_VALUE"""),"Sonia N")</f>
        <v>Sonia N</v>
      </c>
      <c r="B2119" s="1" t="str">
        <f>IFERROR(__xludf.DUMMYFUNCTION("""COMPUTED_VALUE"""),"L2")</f>
        <v>L2</v>
      </c>
    </row>
    <row r="2120" ht="15.75" customHeight="1">
      <c r="A2120" s="1" t="str">
        <f>IFERROR(__xludf.DUMMYFUNCTION("""COMPUTED_VALUE"""),"Holden Jamison")</f>
        <v>Holden Jamison</v>
      </c>
      <c r="B2120" s="1" t="str">
        <f>IFERROR(__xludf.DUMMYFUNCTION("""COMPUTED_VALUE"""),"MS")</f>
        <v>MS</v>
      </c>
    </row>
    <row r="2121" ht="15.75" customHeight="1">
      <c r="A2121" s="1" t="str">
        <f>IFERROR(__xludf.DUMMYFUNCTION("""COMPUTED_VALUE"""),"Benjamin Gershman")</f>
        <v>Benjamin Gershman</v>
      </c>
      <c r="B2121" s="1" t="str">
        <f>IFERROR(__xludf.DUMMYFUNCTION("""COMPUTED_VALUE"""),"LL")</f>
        <v>LL</v>
      </c>
    </row>
    <row r="2122" ht="15.75" customHeight="1">
      <c r="A2122" s="1" t="str">
        <f>IFERROR(__xludf.DUMMYFUNCTION("""COMPUTED_VALUE"""),"Maya Gershman")</f>
        <v>Maya Gershman</v>
      </c>
      <c r="B2122" s="1" t="str">
        <f>IFERROR(__xludf.DUMMYFUNCTION("""COMPUTED_VALUE"""),"L1")</f>
        <v>L1</v>
      </c>
    </row>
    <row r="2123" ht="15.75" customHeight="1">
      <c r="A2123" s="1" t="str">
        <f>IFERROR(__xludf.DUMMYFUNCTION("""COMPUTED_VALUE"""),"Jon Cohen")</f>
        <v>Jon Cohen</v>
      </c>
      <c r="B2123" s="1" t="str">
        <f>IFERROR(__xludf.DUMMYFUNCTION("""COMPUTED_VALUE"""),"MS")</f>
        <v>MS</v>
      </c>
    </row>
    <row r="2124" ht="15.75" customHeight="1">
      <c r="A2124" s="1" t="str">
        <f>IFERROR(__xludf.DUMMYFUNCTION("""COMPUTED_VALUE"""),"Gabe Cohen")</f>
        <v>Gabe Cohen</v>
      </c>
      <c r="B2124" s="1" t="str">
        <f>IFERROR(__xludf.DUMMYFUNCTION("""COMPUTED_VALUE"""),"L2")</f>
        <v>L2</v>
      </c>
    </row>
    <row r="2125" ht="15.75" customHeight="1">
      <c r="A2125" s="1" t="str">
        <f>IFERROR(__xludf.DUMMYFUNCTION("""COMPUTED_VALUE"""),"Wren McGee")</f>
        <v>Wren McGee</v>
      </c>
      <c r="B2125" s="1" t="str">
        <f>IFERROR(__xludf.DUMMYFUNCTION("""COMPUTED_VALUE"""),"MS")</f>
        <v>MS</v>
      </c>
    </row>
    <row r="2126" ht="15.75" customHeight="1">
      <c r="A2126" s="1" t="str">
        <f>IFERROR(__xludf.DUMMYFUNCTION("""COMPUTED_VALUE"""),"Barrett Hall")</f>
        <v>Barrett Hall</v>
      </c>
      <c r="B2126" s="1" t="str">
        <f>IFERROR(__xludf.DUMMYFUNCTION("""COMPUTED_VALUE"""),"L2")</f>
        <v>L2</v>
      </c>
    </row>
    <row r="2127" ht="15.75" customHeight="1">
      <c r="A2127" s="1" t="str">
        <f>IFERROR(__xludf.DUMMYFUNCTION("""COMPUTED_VALUE"""),"Alexander Savanh")</f>
        <v>Alexander Savanh</v>
      </c>
      <c r="B2127" s="1" t="str">
        <f>IFERROR(__xludf.DUMMYFUNCTION("""COMPUTED_VALUE"""),"MS")</f>
        <v>MS</v>
      </c>
    </row>
    <row r="2128" ht="15.75" customHeight="1">
      <c r="A2128" s="1" t="str">
        <f>IFERROR(__xludf.DUMMYFUNCTION("""COMPUTED_VALUE"""),"Troy Savanh")</f>
        <v>Troy Savanh</v>
      </c>
      <c r="B2128" s="1" t="str">
        <f>IFERROR(__xludf.DUMMYFUNCTION("""COMPUTED_VALUE"""),"L2")</f>
        <v>L2</v>
      </c>
    </row>
    <row r="2129" ht="15.75" customHeight="1">
      <c r="A2129" s="1" t="str">
        <f>IFERROR(__xludf.DUMMYFUNCTION("""COMPUTED_VALUE"""),"Riley Chia")</f>
        <v>Riley Chia</v>
      </c>
      <c r="B2129" s="1" t="str">
        <f>IFERROR(__xludf.DUMMYFUNCTION("""COMPUTED_VALUE"""),"L1")</f>
        <v>L1</v>
      </c>
    </row>
    <row r="2130" ht="15.75" customHeight="1">
      <c r="A2130" s="1" t="str">
        <f>IFERROR(__xludf.DUMMYFUNCTION("""COMPUTED_VALUE"""),"Chase Hunter")</f>
        <v>Chase Hunter</v>
      </c>
      <c r="B2130" s="1" t="str">
        <f>IFERROR(__xludf.DUMMYFUNCTION("""COMPUTED_VALUE"""),"MS")</f>
        <v>MS</v>
      </c>
    </row>
    <row r="2131" ht="15.75" customHeight="1">
      <c r="A2131" s="1" t="str">
        <f>IFERROR(__xludf.DUMMYFUNCTION("""COMPUTED_VALUE"""),"Javier O'Donnell")</f>
        <v>Javier O'Donnell</v>
      </c>
      <c r="B2131" s="1" t="str">
        <f>IFERROR(__xludf.DUMMYFUNCTION("""COMPUTED_VALUE"""),"L1")</f>
        <v>L1</v>
      </c>
    </row>
    <row r="2132" ht="15.75" customHeight="1">
      <c r="A2132" s="1" t="str">
        <f>IFERROR(__xludf.DUMMYFUNCTION("""COMPUTED_VALUE"""),"Noor Kidwai")</f>
        <v>Noor Kidwai</v>
      </c>
      <c r="B2132" s="1" t="str">
        <f>IFERROR(__xludf.DUMMYFUNCTION("""COMPUTED_VALUE"""),"L1")</f>
        <v>L1</v>
      </c>
    </row>
    <row r="2133" ht="15.75" customHeight="1">
      <c r="A2133" s="1" t="str">
        <f>IFERROR(__xludf.DUMMYFUNCTION("""COMPUTED_VALUE"""),"Aevrie Johnson")</f>
        <v>Aevrie Johnson</v>
      </c>
      <c r="B2133" s="1" t="str">
        <f>IFERROR(__xludf.DUMMYFUNCTION("""COMPUTED_VALUE"""),"MS")</f>
        <v>MS</v>
      </c>
    </row>
    <row r="2134" ht="15.75" customHeight="1">
      <c r="A2134" s="1" t="str">
        <f>IFERROR(__xludf.DUMMYFUNCTION("""COMPUTED_VALUE"""),"Cyrus Johnson")</f>
        <v>Cyrus Johnson</v>
      </c>
      <c r="B2134" s="1" t="str">
        <f>IFERROR(__xludf.DUMMYFUNCTION("""COMPUTED_VALUE"""),"HS")</f>
        <v>HS</v>
      </c>
    </row>
    <row r="2135" ht="15.75" customHeight="1">
      <c r="A2135" s="1" t="str">
        <f>IFERROR(__xludf.DUMMYFUNCTION("""COMPUTED_VALUE"""),"Conrad Johnson")</f>
        <v>Conrad Johnson</v>
      </c>
      <c r="B2135" s="1" t="str">
        <f>IFERROR(__xludf.DUMMYFUNCTION("""COMPUTED_VALUE"""),"HS")</f>
        <v>HS</v>
      </c>
    </row>
    <row r="2136" ht="15.75" customHeight="1">
      <c r="A2136" s="1" t="str">
        <f>IFERROR(__xludf.DUMMYFUNCTION("""COMPUTED_VALUE"""),"renee mcdade")</f>
        <v>renee mcdade</v>
      </c>
      <c r="B2136" s="1" t="str">
        <f>IFERROR(__xludf.DUMMYFUNCTION("""COMPUTED_VALUE"""),"MS")</f>
        <v>MS</v>
      </c>
    </row>
    <row r="2137" ht="15.75" customHeight="1">
      <c r="A2137" s="1" t="str">
        <f>IFERROR(__xludf.DUMMYFUNCTION("""COMPUTED_VALUE"""),"renell mcdade")</f>
        <v>renell mcdade</v>
      </c>
      <c r="B2137" s="1" t="str">
        <f>IFERROR(__xludf.DUMMYFUNCTION("""COMPUTED_VALUE"""),"L2")</f>
        <v>L2</v>
      </c>
    </row>
    <row r="2138" ht="15.75" customHeight="1">
      <c r="A2138" s="1" t="str">
        <f>IFERROR(__xludf.DUMMYFUNCTION("""COMPUTED_VALUE"""),"Marco Guimaraes")</f>
        <v>Marco Guimaraes</v>
      </c>
      <c r="B2138" s="1" t="str">
        <f>IFERROR(__xludf.DUMMYFUNCTION("""COMPUTED_VALUE"""),"L2")</f>
        <v>L2</v>
      </c>
    </row>
    <row r="2139" ht="15.75" customHeight="1">
      <c r="A2139" s="1" t="str">
        <f>IFERROR(__xludf.DUMMYFUNCTION("""COMPUTED_VALUE"""),"Walter Buck")</f>
        <v>Walter Buck</v>
      </c>
      <c r="B2139" s="1" t="str">
        <f>IFERROR(__xludf.DUMMYFUNCTION("""COMPUTED_VALUE"""),"L2")</f>
        <v>L2</v>
      </c>
    </row>
    <row r="2140" ht="15.75" customHeight="1">
      <c r="A2140" s="1" t="str">
        <f>IFERROR(__xludf.DUMMYFUNCTION("""COMPUTED_VALUE"""),"Solomon Hawkins")</f>
        <v>Solomon Hawkins</v>
      </c>
      <c r="B2140" s="1" t="str">
        <f>IFERROR(__xludf.DUMMYFUNCTION("""COMPUTED_VALUE"""),"L1")</f>
        <v>L1</v>
      </c>
    </row>
    <row r="2141" ht="15.75" customHeight="1">
      <c r="A2141" s="1" t="str">
        <f>IFERROR(__xludf.DUMMYFUNCTION("""COMPUTED_VALUE"""),"Scot Murray")</f>
        <v>Scot Murray</v>
      </c>
      <c r="B2141" s="1" t="str">
        <f>IFERROR(__xludf.DUMMYFUNCTION("""COMPUTED_VALUE"""),"MS")</f>
        <v>MS</v>
      </c>
    </row>
    <row r="2142" ht="15.75" customHeight="1">
      <c r="A2142" s="1" t="str">
        <f>IFERROR(__xludf.DUMMYFUNCTION("""COMPUTED_VALUE"""),"Jack Mooney")</f>
        <v>Jack Mooney</v>
      </c>
      <c r="B2142" s="1" t="str">
        <f>IFERROR(__xludf.DUMMYFUNCTION("""COMPUTED_VALUE"""),"L2")</f>
        <v>L2</v>
      </c>
    </row>
    <row r="2143" ht="15.75" customHeight="1">
      <c r="A2143" s="1" t="str">
        <f>IFERROR(__xludf.DUMMYFUNCTION("""COMPUTED_VALUE"""),"Aarush Bagla")</f>
        <v>Aarush Bagla</v>
      </c>
      <c r="B2143" s="1" t="str">
        <f>IFERROR(__xludf.DUMMYFUNCTION("""COMPUTED_VALUE"""),"L2")</f>
        <v>L2</v>
      </c>
    </row>
    <row r="2144" ht="15.75" customHeight="1">
      <c r="A2144" s="1" t="str">
        <f>IFERROR(__xludf.DUMMYFUNCTION("""COMPUTED_VALUE"""),"Peyton Edge")</f>
        <v>Peyton Edge</v>
      </c>
      <c r="B2144" s="1" t="str">
        <f>IFERROR(__xludf.DUMMYFUNCTION("""COMPUTED_VALUE"""),"L1")</f>
        <v>L1</v>
      </c>
    </row>
    <row r="2145" ht="15.75" customHeight="1">
      <c r="A2145" s="1" t="str">
        <f>IFERROR(__xludf.DUMMYFUNCTION("""COMPUTED_VALUE"""),"amaya propp")</f>
        <v>amaya propp</v>
      </c>
      <c r="B2145" s="1" t="str">
        <f>IFERROR(__xludf.DUMMYFUNCTION("""COMPUTED_VALUE"""),"L1")</f>
        <v>L1</v>
      </c>
    </row>
    <row r="2146" ht="15.75" customHeight="1">
      <c r="A2146" s="1" t="str">
        <f>IFERROR(__xludf.DUMMYFUNCTION("""COMPUTED_VALUE"""),"Sofia Medina")</f>
        <v>Sofia Medina</v>
      </c>
      <c r="B2146" s="1" t="str">
        <f>IFERROR(__xludf.DUMMYFUNCTION("""COMPUTED_VALUE"""),"LL")</f>
        <v>LL</v>
      </c>
    </row>
    <row r="2147" ht="15.75" customHeight="1">
      <c r="A2147" s="1" t="str">
        <f>IFERROR(__xludf.DUMMYFUNCTION("""COMPUTED_VALUE"""),"Annabelle Allen Hughes")</f>
        <v>Annabelle Allen Hughes</v>
      </c>
      <c r="B2147" s="1" t="str">
        <f>IFERROR(__xludf.DUMMYFUNCTION("""COMPUTED_VALUE"""),"L1")</f>
        <v>L1</v>
      </c>
    </row>
    <row r="2148" ht="15.75" customHeight="1">
      <c r="A2148" s="1" t="str">
        <f>IFERROR(__xludf.DUMMYFUNCTION("""COMPUTED_VALUE"""),"Christian Fleuridas")</f>
        <v>Christian Fleuridas</v>
      </c>
      <c r="B2148" s="1" t="str">
        <f>IFERROR(__xludf.DUMMYFUNCTION("""COMPUTED_VALUE"""),"L2")</f>
        <v>L2</v>
      </c>
    </row>
    <row r="2149" ht="15.75" customHeight="1">
      <c r="A2149" s="1" t="str">
        <f>IFERROR(__xludf.DUMMYFUNCTION("""COMPUTED_VALUE"""),"Chloe G")</f>
        <v>Chloe G</v>
      </c>
      <c r="B2149" s="1" t="str">
        <f>IFERROR(__xludf.DUMMYFUNCTION("""COMPUTED_VALUE"""),"MS")</f>
        <v>MS</v>
      </c>
    </row>
    <row r="2150" ht="15.75" customHeight="1">
      <c r="A2150" s="1" t="str">
        <f>IFERROR(__xludf.DUMMYFUNCTION("""COMPUTED_VALUE"""),"Emma G")</f>
        <v>Emma G</v>
      </c>
      <c r="B2150" s="1" t="str">
        <f>IFERROR(__xludf.DUMMYFUNCTION("""COMPUTED_VALUE"""),"L2")</f>
        <v>L2</v>
      </c>
    </row>
    <row r="2151" ht="15.75" customHeight="1">
      <c r="A2151" s="1" t="str">
        <f>IFERROR(__xludf.DUMMYFUNCTION("""COMPUTED_VALUE"""),"Rowan Bowles")</f>
        <v>Rowan Bowles</v>
      </c>
      <c r="B2151" s="1" t="str">
        <f>IFERROR(__xludf.DUMMYFUNCTION("""COMPUTED_VALUE"""),"HS")</f>
        <v>HS</v>
      </c>
    </row>
    <row r="2152" ht="15.75" customHeight="1">
      <c r="A2152" s="1" t="str">
        <f>IFERROR(__xludf.DUMMYFUNCTION("""COMPUTED_VALUE"""),"Charlotte Allen")</f>
        <v>Charlotte Allen</v>
      </c>
      <c r="B2152" s="1" t="str">
        <f>IFERROR(__xludf.DUMMYFUNCTION("""COMPUTED_VALUE"""),"MS")</f>
        <v>MS</v>
      </c>
    </row>
    <row r="2153" ht="15.75" customHeight="1">
      <c r="A2153" s="1" t="str">
        <f>IFERROR(__xludf.DUMMYFUNCTION("""COMPUTED_VALUE"""),"Moses Asrymbetov")</f>
        <v>Moses Asrymbetov</v>
      </c>
      <c r="B2153" s="1" t="str">
        <f>IFERROR(__xludf.DUMMYFUNCTION("""COMPUTED_VALUE"""),"MS")</f>
        <v>MS</v>
      </c>
    </row>
    <row r="2154" ht="15.75" customHeight="1">
      <c r="A2154" s="1" t="str">
        <f>IFERROR(__xludf.DUMMYFUNCTION("""COMPUTED_VALUE"""),"Vir Shah")</f>
        <v>Vir Shah</v>
      </c>
      <c r="B2154" s="1" t="str">
        <f>IFERROR(__xludf.DUMMYFUNCTION("""COMPUTED_VALUE"""),"L2")</f>
        <v>L2</v>
      </c>
    </row>
    <row r="2155" ht="15.75" customHeight="1">
      <c r="A2155" s="1" t="str">
        <f>IFERROR(__xludf.DUMMYFUNCTION("""COMPUTED_VALUE"""),"Mark Chopra")</f>
        <v>Mark Chopra</v>
      </c>
      <c r="B2155" s="1" t="str">
        <f>IFERROR(__xludf.DUMMYFUNCTION("""COMPUTED_VALUE"""),"L2")</f>
        <v>L2</v>
      </c>
    </row>
    <row r="2156" ht="15.75" customHeight="1">
      <c r="A2156" s="1" t="str">
        <f>IFERROR(__xludf.DUMMYFUNCTION("""COMPUTED_VALUE"""),"George Wilson")</f>
        <v>George Wilson</v>
      </c>
      <c r="B2156" s="1" t="str">
        <f>IFERROR(__xludf.DUMMYFUNCTION("""COMPUTED_VALUE"""),"L1")</f>
        <v>L1</v>
      </c>
    </row>
    <row r="2157" ht="15.75" customHeight="1">
      <c r="A2157" s="1" t="str">
        <f>IFERROR(__xludf.DUMMYFUNCTION("""COMPUTED_VALUE"""),"Clara Wilson")</f>
        <v>Clara Wilson</v>
      </c>
      <c r="B2157" s="1" t="str">
        <f>IFERROR(__xludf.DUMMYFUNCTION("""COMPUTED_VALUE"""),"L2")</f>
        <v>L2</v>
      </c>
    </row>
    <row r="2158" ht="15.75" customHeight="1">
      <c r="A2158" s="1" t="str">
        <f>IFERROR(__xludf.DUMMYFUNCTION("""COMPUTED_VALUE"""),"Miles Yeater")</f>
        <v>Miles Yeater</v>
      </c>
      <c r="B2158" s="1" t="str">
        <f>IFERROR(__xludf.DUMMYFUNCTION("""COMPUTED_VALUE"""),"MS")</f>
        <v>MS</v>
      </c>
    </row>
    <row r="2159" ht="15.75" customHeight="1">
      <c r="A2159" s="1" t="str">
        <f>IFERROR(__xludf.DUMMYFUNCTION("""COMPUTED_VALUE"""),"Cali Steel")</f>
        <v>Cali Steel</v>
      </c>
      <c r="B2159" s="1" t="str">
        <f>IFERROR(__xludf.DUMMYFUNCTION("""COMPUTED_VALUE"""),"LL")</f>
        <v>LL</v>
      </c>
    </row>
    <row r="2160" ht="15.75" customHeight="1">
      <c r="A2160" s="1" t="str">
        <f>IFERROR(__xludf.DUMMYFUNCTION("""COMPUTED_VALUE"""),"Samara Given")</f>
        <v>Samara Given</v>
      </c>
      <c r="B2160" s="1" t="str">
        <f>IFERROR(__xludf.DUMMYFUNCTION("""COMPUTED_VALUE"""),"L1")</f>
        <v>L1</v>
      </c>
    </row>
    <row r="2161" ht="15.75" customHeight="1">
      <c r="A2161" s="1" t="str">
        <f>IFERROR(__xludf.DUMMYFUNCTION("""COMPUTED_VALUE"""),"Akiani Banos-Almonte")</f>
        <v>Akiani Banos-Almonte</v>
      </c>
      <c r="B2161" s="1" t="str">
        <f>IFERROR(__xludf.DUMMYFUNCTION("""COMPUTED_VALUE"""),"MS")</f>
        <v>MS</v>
      </c>
    </row>
    <row r="2162" ht="15.75" customHeight="1">
      <c r="A2162" s="1" t="str">
        <f>IFERROR(__xludf.DUMMYFUNCTION("""COMPUTED_VALUE"""),"Nochi Mishory")</f>
        <v>Nochi Mishory</v>
      </c>
      <c r="B2162" s="1" t="str">
        <f>IFERROR(__xludf.DUMMYFUNCTION("""COMPUTED_VALUE"""),"L2")</f>
        <v>L2</v>
      </c>
    </row>
    <row r="2163" ht="15.75" customHeight="1">
      <c r="A2163" s="1" t="str">
        <f>IFERROR(__xludf.DUMMYFUNCTION("""COMPUTED_VALUE"""),"Kael Virden")</f>
        <v>Kael Virden</v>
      </c>
      <c r="B2163" s="1" t="str">
        <f>IFERROR(__xludf.DUMMYFUNCTION("""COMPUTED_VALUE"""),"MS")</f>
        <v>MS</v>
      </c>
    </row>
    <row r="2164" ht="15.75" customHeight="1">
      <c r="A2164" s="1" t="str">
        <f>IFERROR(__xludf.DUMMYFUNCTION("""COMPUTED_VALUE"""),"Ever Smith")</f>
        <v>Ever Smith</v>
      </c>
      <c r="B2164" s="1" t="str">
        <f>IFERROR(__xludf.DUMMYFUNCTION("""COMPUTED_VALUE"""),"HS")</f>
        <v>HS</v>
      </c>
    </row>
    <row r="2165" ht="15.75" customHeight="1">
      <c r="A2165" s="1" t="str">
        <f>IFERROR(__xludf.DUMMYFUNCTION("""COMPUTED_VALUE"""),"Hayden Smith")</f>
        <v>Hayden Smith</v>
      </c>
      <c r="B2165" s="1" t="str">
        <f>IFERROR(__xludf.DUMMYFUNCTION("""COMPUTED_VALUE"""),"MS")</f>
        <v>MS</v>
      </c>
    </row>
    <row r="2166" ht="15.75" customHeight="1">
      <c r="A2166" s="1" t="str">
        <f>IFERROR(__xludf.DUMMYFUNCTION("""COMPUTED_VALUE"""),"Jaxon Hodges")</f>
        <v>Jaxon Hodges</v>
      </c>
      <c r="B2166" s="1" t="str">
        <f>IFERROR(__xludf.DUMMYFUNCTION("""COMPUTED_VALUE"""),"MS")</f>
        <v>MS</v>
      </c>
    </row>
    <row r="2167" ht="15.75" customHeight="1">
      <c r="A2167" s="1" t="str">
        <f>IFERROR(__xludf.DUMMYFUNCTION("""COMPUTED_VALUE"""),"Laurel Parris")</f>
        <v>Laurel Parris</v>
      </c>
      <c r="B2167" s="1" t="str">
        <f>IFERROR(__xludf.DUMMYFUNCTION("""COMPUTED_VALUE"""),"L2")</f>
        <v>L2</v>
      </c>
    </row>
    <row r="2168" ht="15.75" customHeight="1">
      <c r="A2168" s="1" t="str">
        <f>IFERROR(__xludf.DUMMYFUNCTION("""COMPUTED_VALUE"""),"Arie Parris")</f>
        <v>Arie Parris</v>
      </c>
      <c r="B2168" s="1" t="str">
        <f>IFERROR(__xludf.DUMMYFUNCTION("""COMPUTED_VALUE"""),"L1")</f>
        <v>L1</v>
      </c>
    </row>
    <row r="2169" ht="15.75" customHeight="1">
      <c r="A2169" s="1" t="str">
        <f>IFERROR(__xludf.DUMMYFUNCTION("""COMPUTED_VALUE"""),"Elizabeth Price")</f>
        <v>Elizabeth Price</v>
      </c>
      <c r="B2169" s="1" t="str">
        <f>IFERROR(__xludf.DUMMYFUNCTION("""COMPUTED_VALUE"""),"MS")</f>
        <v>MS</v>
      </c>
    </row>
    <row r="2170" ht="15.75" customHeight="1">
      <c r="A2170" s="1" t="str">
        <f>IFERROR(__xludf.DUMMYFUNCTION("""COMPUTED_VALUE"""),"William Price")</f>
        <v>William Price</v>
      </c>
      <c r="B2170" s="1" t="str">
        <f>IFERROR(__xludf.DUMMYFUNCTION("""COMPUTED_VALUE"""),"L1")</f>
        <v>L1</v>
      </c>
    </row>
    <row r="2171" ht="15.75" customHeight="1">
      <c r="A2171" s="1" t="str">
        <f>IFERROR(__xludf.DUMMYFUNCTION("""COMPUTED_VALUE"""),"Talon Bird")</f>
        <v>Talon Bird</v>
      </c>
      <c r="B2171" s="1" t="str">
        <f>IFERROR(__xludf.DUMMYFUNCTION("""COMPUTED_VALUE"""),"L1")</f>
        <v>L1</v>
      </c>
    </row>
    <row r="2172" ht="15.75" customHeight="1">
      <c r="A2172" s="1" t="str">
        <f>IFERROR(__xludf.DUMMYFUNCTION("""COMPUTED_VALUE"""),"Lauren Roth")</f>
        <v>Lauren Roth</v>
      </c>
      <c r="B2172" s="1" t="str">
        <f>IFERROR(__xludf.DUMMYFUNCTION("""COMPUTED_VALUE"""),"L1")</f>
        <v>L1</v>
      </c>
    </row>
    <row r="2173" ht="15.75" customHeight="1">
      <c r="A2173" s="1" t="str">
        <f>IFERROR(__xludf.DUMMYFUNCTION("""COMPUTED_VALUE"""),"Isaac Pinkas")</f>
        <v>Isaac Pinkas</v>
      </c>
      <c r="B2173" s="1" t="str">
        <f>IFERROR(__xludf.DUMMYFUNCTION("""COMPUTED_VALUE"""),"L1")</f>
        <v>L1</v>
      </c>
    </row>
    <row r="2174" ht="15.75" customHeight="1">
      <c r="A2174" s="1" t="str">
        <f>IFERROR(__xludf.DUMMYFUNCTION("""COMPUTED_VALUE"""),"Jaidyn Miller")</f>
        <v>Jaidyn Miller</v>
      </c>
      <c r="B2174" s="1" t="str">
        <f>IFERROR(__xludf.DUMMYFUNCTION("""COMPUTED_VALUE"""),"MS")</f>
        <v>MS</v>
      </c>
    </row>
    <row r="2175" ht="15.75" customHeight="1">
      <c r="A2175" s="1" t="str">
        <f>IFERROR(__xludf.DUMMYFUNCTION("""COMPUTED_VALUE"""),"Finnegan Roberts")</f>
        <v>Finnegan Roberts</v>
      </c>
      <c r="B2175" s="1" t="str">
        <f>IFERROR(__xludf.DUMMYFUNCTION("""COMPUTED_VALUE"""),"MS")</f>
        <v>MS</v>
      </c>
    </row>
    <row r="2176" ht="15.75" customHeight="1">
      <c r="A2176" s="1" t="str">
        <f>IFERROR(__xludf.DUMMYFUNCTION("""COMPUTED_VALUE"""),"Ayla Smith")</f>
        <v>Ayla Smith</v>
      </c>
      <c r="B2176" s="1" t="str">
        <f>IFERROR(__xludf.DUMMYFUNCTION("""COMPUTED_VALUE"""),"MS")</f>
        <v>MS</v>
      </c>
    </row>
    <row r="2177" ht="15.75" customHeight="1">
      <c r="A2177" s="1" t="str">
        <f>IFERROR(__xludf.DUMMYFUNCTION("""COMPUTED_VALUE"""),"Laila Wheeler Cross")</f>
        <v>Laila Wheeler Cross</v>
      </c>
      <c r="B2177" s="1" t="str">
        <f>IFERROR(__xludf.DUMMYFUNCTION("""COMPUTED_VALUE"""),"L2")</f>
        <v>L2</v>
      </c>
    </row>
    <row r="2178" ht="15.75" customHeight="1">
      <c r="A2178" s="1" t="str">
        <f>IFERROR(__xludf.DUMMYFUNCTION("""COMPUTED_VALUE"""),"Niels Kronberg")</f>
        <v>Niels Kronberg</v>
      </c>
      <c r="B2178" s="1" t="str">
        <f>IFERROR(__xludf.DUMMYFUNCTION("""COMPUTED_VALUE"""),"L2")</f>
        <v>L2</v>
      </c>
    </row>
    <row r="2179" ht="15.75" customHeight="1">
      <c r="A2179" s="1" t="str">
        <f>IFERROR(__xludf.DUMMYFUNCTION("""COMPUTED_VALUE"""),"Avery Posillico")</f>
        <v>Avery Posillico</v>
      </c>
      <c r="B2179" s="1" t="str">
        <f>IFERROR(__xludf.DUMMYFUNCTION("""COMPUTED_VALUE"""),"MS")</f>
        <v>MS</v>
      </c>
    </row>
    <row r="2180" ht="15.75" customHeight="1">
      <c r="A2180" s="1" t="str">
        <f>IFERROR(__xludf.DUMMYFUNCTION("""COMPUTED_VALUE"""),"Leo Posillico")</f>
        <v>Leo Posillico</v>
      </c>
      <c r="B2180" s="1" t="str">
        <f>IFERROR(__xludf.DUMMYFUNCTION("""COMPUTED_VALUE"""),"MS")</f>
        <v>MS</v>
      </c>
    </row>
    <row r="2181" ht="15.75" customHeight="1">
      <c r="A2181" s="1" t="str">
        <f>IFERROR(__xludf.DUMMYFUNCTION("""COMPUTED_VALUE"""),"Rowen Breon")</f>
        <v>Rowen Breon</v>
      </c>
      <c r="B2181" s="1" t="str">
        <f>IFERROR(__xludf.DUMMYFUNCTION("""COMPUTED_VALUE"""),"MS")</f>
        <v>MS</v>
      </c>
    </row>
    <row r="2182" ht="15.75" customHeight="1">
      <c r="A2182" s="1" t="str">
        <f>IFERROR(__xludf.DUMMYFUNCTION("""COMPUTED_VALUE"""),"Eli Posillico")</f>
        <v>Eli Posillico</v>
      </c>
      <c r="B2182" s="1" t="str">
        <f>IFERROR(__xludf.DUMMYFUNCTION("""COMPUTED_VALUE"""),"L2")</f>
        <v>L2</v>
      </c>
    </row>
    <row r="2183" ht="15.75" customHeight="1">
      <c r="A2183" s="1" t="str">
        <f>IFERROR(__xludf.DUMMYFUNCTION("""COMPUTED_VALUE"""),"Hadley Posillico")</f>
        <v>Hadley Posillico</v>
      </c>
      <c r="B2183" s="1" t="str">
        <f>IFERROR(__xludf.DUMMYFUNCTION("""COMPUTED_VALUE"""),"L1")</f>
        <v>L1</v>
      </c>
    </row>
    <row r="2184" ht="15.75" customHeight="1">
      <c r="A2184" s="1" t="str">
        <f>IFERROR(__xludf.DUMMYFUNCTION("""COMPUTED_VALUE"""),"Hunter Hagmaier")</f>
        <v>Hunter Hagmaier</v>
      </c>
      <c r="B2184" s="1" t="str">
        <f>IFERROR(__xludf.DUMMYFUNCTION("""COMPUTED_VALUE"""),"L1")</f>
        <v>L1</v>
      </c>
    </row>
    <row r="2185" ht="15.75" customHeight="1">
      <c r="A2185" s="1" t="str">
        <f>IFERROR(__xludf.DUMMYFUNCTION("""COMPUTED_VALUE"""),"Trevor Neal")</f>
        <v>Trevor Neal</v>
      </c>
      <c r="B2185" s="1" t="str">
        <f>IFERROR(__xludf.DUMMYFUNCTION("""COMPUTED_VALUE"""),"L1")</f>
        <v>L1</v>
      </c>
    </row>
    <row r="2186" ht="15.75" customHeight="1">
      <c r="A2186" s="1" t="str">
        <f>IFERROR(__xludf.DUMMYFUNCTION("""COMPUTED_VALUE"""),"William Clement")</f>
        <v>William Clement</v>
      </c>
      <c r="B2186" s="1" t="str">
        <f>IFERROR(__xludf.DUMMYFUNCTION("""COMPUTED_VALUE"""),"MS")</f>
        <v>MS</v>
      </c>
    </row>
    <row r="2187" ht="15.75" customHeight="1">
      <c r="A2187" s="1" t="str">
        <f>IFERROR(__xludf.DUMMYFUNCTION("""COMPUTED_VALUE"""),"Augustus Clement")</f>
        <v>Augustus Clement</v>
      </c>
      <c r="B2187" s="1" t="str">
        <f>IFERROR(__xludf.DUMMYFUNCTION("""COMPUTED_VALUE"""),"L2")</f>
        <v>L2</v>
      </c>
    </row>
    <row r="2188" ht="15.75" customHeight="1">
      <c r="A2188" s="1" t="str">
        <f>IFERROR(__xludf.DUMMYFUNCTION("""COMPUTED_VALUE"""),"Lowden Clement")</f>
        <v>Lowden Clement</v>
      </c>
      <c r="B2188" s="1" t="str">
        <f>IFERROR(__xludf.DUMMYFUNCTION("""COMPUTED_VALUE"""),"L1")</f>
        <v>L1</v>
      </c>
    </row>
    <row r="2189" ht="15.75" customHeight="1">
      <c r="A2189" s="1" t="str">
        <f>IFERROR(__xludf.DUMMYFUNCTION("""COMPUTED_VALUE"""),"Kenna Gilboa")</f>
        <v>Kenna Gilboa</v>
      </c>
      <c r="B2189" s="1" t="str">
        <f>IFERROR(__xludf.DUMMYFUNCTION("""COMPUTED_VALUE"""),"L2")</f>
        <v>L2</v>
      </c>
    </row>
    <row r="2190" ht="15.75" customHeight="1">
      <c r="A2190" s="1" t="str">
        <f>IFERROR(__xludf.DUMMYFUNCTION("""COMPUTED_VALUE"""),"Jag Gilboa")</f>
        <v>Jag Gilboa</v>
      </c>
      <c r="B2190" s="1" t="str">
        <f>IFERROR(__xludf.DUMMYFUNCTION("""COMPUTED_VALUE"""),"L1")</f>
        <v>L1</v>
      </c>
    </row>
    <row r="2191" ht="15.75" customHeight="1">
      <c r="A2191" s="1" t="str">
        <f>IFERROR(__xludf.DUMMYFUNCTION("""COMPUTED_VALUE"""),"Raphael Rodriguez")</f>
        <v>Raphael Rodriguez</v>
      </c>
      <c r="B2191" s="1" t="str">
        <f>IFERROR(__xludf.DUMMYFUNCTION("""COMPUTED_VALUE"""),"MS")</f>
        <v>MS</v>
      </c>
    </row>
    <row r="2192" ht="15.75" customHeight="1">
      <c r="A2192" s="1" t="str">
        <f>IFERROR(__xludf.DUMMYFUNCTION("""COMPUTED_VALUE"""),"Leonardo Rodriguez")</f>
        <v>Leonardo Rodriguez</v>
      </c>
      <c r="B2192" s="1" t="str">
        <f>IFERROR(__xludf.DUMMYFUNCTION("""COMPUTED_VALUE"""),"MS")</f>
        <v>MS</v>
      </c>
    </row>
    <row r="2193" ht="15.75" customHeight="1">
      <c r="A2193" s="1" t="str">
        <f>IFERROR(__xludf.DUMMYFUNCTION("""COMPUTED_VALUE"""),"Jace Connelly")</f>
        <v>Jace Connelly</v>
      </c>
      <c r="B2193" s="1" t="str">
        <f>IFERROR(__xludf.DUMMYFUNCTION("""COMPUTED_VALUE"""),"L2")</f>
        <v>L2</v>
      </c>
    </row>
    <row r="2194" ht="15.75" customHeight="1">
      <c r="A2194" s="1" t="str">
        <f>IFERROR(__xludf.DUMMYFUNCTION("""COMPUTED_VALUE"""),"Rory Smith")</f>
        <v>Rory Smith</v>
      </c>
      <c r="B2194" s="1" t="str">
        <f>IFERROR(__xludf.DUMMYFUNCTION("""COMPUTED_VALUE"""),"L1")</f>
        <v>L1</v>
      </c>
    </row>
    <row r="2195" ht="15.75" customHeight="1">
      <c r="A2195" s="1" t="str">
        <f>IFERROR(__xludf.DUMMYFUNCTION("""COMPUTED_VALUE"""),"E Anderson")</f>
        <v>E Anderson</v>
      </c>
      <c r="B2195" s="1" t="str">
        <f>IFERROR(__xludf.DUMMYFUNCTION("""COMPUTED_VALUE"""),"MS")</f>
        <v>MS</v>
      </c>
    </row>
    <row r="2196" ht="15.75" customHeight="1">
      <c r="A2196" s="1" t="str">
        <f>IFERROR(__xludf.DUMMYFUNCTION("""COMPUTED_VALUE"""),"V Anderson")</f>
        <v>V Anderson</v>
      </c>
      <c r="B2196" s="1" t="str">
        <f>IFERROR(__xludf.DUMMYFUNCTION("""COMPUTED_VALUE"""),"L1")</f>
        <v>L1</v>
      </c>
    </row>
    <row r="2197" ht="15.75" customHeight="1">
      <c r="A2197" s="1" t="str">
        <f>IFERROR(__xludf.DUMMYFUNCTION("""COMPUTED_VALUE"""),"S Anderson")</f>
        <v>S Anderson</v>
      </c>
      <c r="B2197" s="1" t="str">
        <f>IFERROR(__xludf.DUMMYFUNCTION("""COMPUTED_VALUE"""),"LL")</f>
        <v>LL</v>
      </c>
    </row>
    <row r="2198" ht="15.75" customHeight="1">
      <c r="A2198" s="1" t="str">
        <f>IFERROR(__xludf.DUMMYFUNCTION("""COMPUTED_VALUE"""),"Naina Chinta")</f>
        <v>Naina Chinta</v>
      </c>
      <c r="B2198" s="1" t="str">
        <f>IFERROR(__xludf.DUMMYFUNCTION("""COMPUTED_VALUE"""),"L1")</f>
        <v>L1</v>
      </c>
    </row>
    <row r="2199" ht="15.75" customHeight="1">
      <c r="A2199" s="1" t="str">
        <f>IFERROR(__xludf.DUMMYFUNCTION("""COMPUTED_VALUE"""),"Carl Szasz")</f>
        <v>Carl Szasz</v>
      </c>
      <c r="B2199" s="1" t="str">
        <f>IFERROR(__xludf.DUMMYFUNCTION("""COMPUTED_VALUE"""),"MS")</f>
        <v>MS</v>
      </c>
    </row>
    <row r="2200" ht="15.75" customHeight="1">
      <c r="A2200" s="1" t="str">
        <f>IFERROR(__xludf.DUMMYFUNCTION("""COMPUTED_VALUE"""),"Julius Szasz")</f>
        <v>Julius Szasz</v>
      </c>
      <c r="B2200" s="1" t="str">
        <f>IFERROR(__xludf.DUMMYFUNCTION("""COMPUTED_VALUE"""),"L2")</f>
        <v>L2</v>
      </c>
    </row>
    <row r="2201" ht="15.75" customHeight="1">
      <c r="A2201" s="1" t="str">
        <f>IFERROR(__xludf.DUMMYFUNCTION("""COMPUTED_VALUE"""),"Troy Szasz")</f>
        <v>Troy Szasz</v>
      </c>
      <c r="B2201" s="1" t="str">
        <f>IFERROR(__xludf.DUMMYFUNCTION("""COMPUTED_VALUE"""),"L1")</f>
        <v>L1</v>
      </c>
    </row>
    <row r="2202" ht="15.75" customHeight="1">
      <c r="A2202" s="1" t="str">
        <f>IFERROR(__xludf.DUMMYFUNCTION("""COMPUTED_VALUE"""),"Ezra Spark")</f>
        <v>Ezra Spark</v>
      </c>
      <c r="B2202" s="1" t="str">
        <f>IFERROR(__xludf.DUMMYFUNCTION("""COMPUTED_VALUE"""),"MS")</f>
        <v>MS</v>
      </c>
    </row>
    <row r="2203" ht="15.75" customHeight="1">
      <c r="A2203" s="1" t="str">
        <f>IFERROR(__xludf.DUMMYFUNCTION("""COMPUTED_VALUE"""),"Axel Butowski")</f>
        <v>Axel Butowski</v>
      </c>
      <c r="B2203" s="1" t="str">
        <f>IFERROR(__xludf.DUMMYFUNCTION("""COMPUTED_VALUE"""),"MS")</f>
        <v>MS</v>
      </c>
    </row>
    <row r="2204" ht="15.75" customHeight="1">
      <c r="A2204" s="1" t="str">
        <f>IFERROR(__xludf.DUMMYFUNCTION("""COMPUTED_VALUE"""),"Luke Butowski")</f>
        <v>Luke Butowski</v>
      </c>
      <c r="B2204" s="1" t="str">
        <f>IFERROR(__xludf.DUMMYFUNCTION("""COMPUTED_VALUE"""),"HS")</f>
        <v>HS</v>
      </c>
    </row>
    <row r="2205" ht="15.75" customHeight="1">
      <c r="A2205" s="1" t="str">
        <f>IFERROR(__xludf.DUMMYFUNCTION("""COMPUTED_VALUE"""),"Olivia Lee")</f>
        <v>Olivia Lee</v>
      </c>
      <c r="B2205" s="1" t="str">
        <f>IFERROR(__xludf.DUMMYFUNCTION("""COMPUTED_VALUE"""),"L2")</f>
        <v>L2</v>
      </c>
    </row>
    <row r="2206" ht="15.75" customHeight="1">
      <c r="A2206" s="1" t="str">
        <f>IFERROR(__xludf.DUMMYFUNCTION("""COMPUTED_VALUE"""),"Colette Lee")</f>
        <v>Colette Lee</v>
      </c>
      <c r="B2206" s="1" t="str">
        <f>IFERROR(__xludf.DUMMYFUNCTION("""COMPUTED_VALUE"""),"LL")</f>
        <v>LL</v>
      </c>
    </row>
    <row r="2207" ht="15.75" customHeight="1">
      <c r="A2207" s="1" t="str">
        <f>IFERROR(__xludf.DUMMYFUNCTION("""COMPUTED_VALUE"""),"ryuuunosuke fujii")</f>
        <v>ryuuunosuke fujii</v>
      </c>
      <c r="B2207" s="1" t="str">
        <f>IFERROR(__xludf.DUMMYFUNCTION("""COMPUTED_VALUE"""),"L1")</f>
        <v>L1</v>
      </c>
    </row>
    <row r="2208" ht="15.75" customHeight="1">
      <c r="A2208" s="1" t="str">
        <f>IFERROR(__xludf.DUMMYFUNCTION("""COMPUTED_VALUE"""),"Maxx Butler")</f>
        <v>Maxx Butler</v>
      </c>
      <c r="B2208" s="1" t="str">
        <f>IFERROR(__xludf.DUMMYFUNCTION("""COMPUTED_VALUE"""),"MS")</f>
        <v>MS</v>
      </c>
    </row>
    <row r="2209" ht="15.75" customHeight="1">
      <c r="A2209" s="1" t="str">
        <f>IFERROR(__xludf.DUMMYFUNCTION("""COMPUTED_VALUE"""),"Lily Blaich")</f>
        <v>Lily Blaich</v>
      </c>
      <c r="B2209" s="1" t="str">
        <f>IFERROR(__xludf.DUMMYFUNCTION("""COMPUTED_VALUE"""),"L2")</f>
        <v>L2</v>
      </c>
    </row>
    <row r="2210" ht="15.75" customHeight="1">
      <c r="A2210" s="1" t="str">
        <f>IFERROR(__xludf.DUMMYFUNCTION("""COMPUTED_VALUE"""),"Owen Bugden")</f>
        <v>Owen Bugden</v>
      </c>
      <c r="B2210" s="1" t="str">
        <f>IFERROR(__xludf.DUMMYFUNCTION("""COMPUTED_VALUE"""),"L2")</f>
        <v>L2</v>
      </c>
    </row>
    <row r="2211" ht="15.75" customHeight="1">
      <c r="A2211" s="1" t="str">
        <f>IFERROR(__xludf.DUMMYFUNCTION("""COMPUTED_VALUE"""),"Deklyn McCabe")</f>
        <v>Deklyn McCabe</v>
      </c>
      <c r="B2211" s="1" t="str">
        <f>IFERROR(__xludf.DUMMYFUNCTION("""COMPUTED_VALUE"""),"MS")</f>
        <v>MS</v>
      </c>
    </row>
    <row r="2212" ht="15.75" customHeight="1">
      <c r="A2212" s="1" t="str">
        <f>IFERROR(__xludf.DUMMYFUNCTION("""COMPUTED_VALUE"""),"Richard Wellington")</f>
        <v>Richard Wellington</v>
      </c>
      <c r="B2212" s="1" t="str">
        <f>IFERROR(__xludf.DUMMYFUNCTION("""COMPUTED_VALUE"""),"MS")</f>
        <v>MS</v>
      </c>
    </row>
    <row r="2213" ht="15.75" customHeight="1">
      <c r="A2213" s="1" t="str">
        <f>IFERROR(__xludf.DUMMYFUNCTION("""COMPUTED_VALUE"""),"Augie Adducci")</f>
        <v>Augie Adducci</v>
      </c>
      <c r="B2213" s="1" t="str">
        <f>IFERROR(__xludf.DUMMYFUNCTION("""COMPUTED_VALUE"""),"L2")</f>
        <v>L2</v>
      </c>
    </row>
    <row r="2214" ht="15.75" customHeight="1">
      <c r="A2214" s="1" t="str">
        <f>IFERROR(__xludf.DUMMYFUNCTION("""COMPUTED_VALUE"""),"Koa Appleby")</f>
        <v>Koa Appleby</v>
      </c>
      <c r="B2214" s="1" t="str">
        <f>IFERROR(__xludf.DUMMYFUNCTION("""COMPUTED_VALUE"""),"LL")</f>
        <v>LL</v>
      </c>
    </row>
    <row r="2215" ht="15.75" customHeight="1">
      <c r="A2215" s="1" t="str">
        <f>IFERROR(__xludf.DUMMYFUNCTION("""COMPUTED_VALUE"""),"Xander Mogus")</f>
        <v>Xander Mogus</v>
      </c>
      <c r="B2215" s="1" t="str">
        <f>IFERROR(__xludf.DUMMYFUNCTION("""COMPUTED_VALUE"""),"MS")</f>
        <v>MS</v>
      </c>
    </row>
    <row r="2216" ht="15.75" customHeight="1">
      <c r="A2216" s="1" t="str">
        <f>IFERROR(__xludf.DUMMYFUNCTION("""COMPUTED_VALUE"""),"Collins Curry")</f>
        <v>Collins Curry</v>
      </c>
      <c r="B2216" s="1" t="str">
        <f>IFERROR(__xludf.DUMMYFUNCTION("""COMPUTED_VALUE"""),"LL")</f>
        <v>LL</v>
      </c>
    </row>
    <row r="2217" ht="15.75" customHeight="1">
      <c r="A2217" s="1" t="str">
        <f>IFERROR(__xludf.DUMMYFUNCTION("""COMPUTED_VALUE"""),"Andrew Clark")</f>
        <v>Andrew Clark</v>
      </c>
      <c r="B2217" s="1" t="str">
        <f>IFERROR(__xludf.DUMMYFUNCTION("""COMPUTED_VALUE"""),"L2")</f>
        <v>L2</v>
      </c>
    </row>
    <row r="2218" ht="15.75" customHeight="1">
      <c r="A2218" s="1" t="str">
        <f>IFERROR(__xludf.DUMMYFUNCTION("""COMPUTED_VALUE"""),"James Clark")</f>
        <v>James Clark</v>
      </c>
      <c r="B2218" s="1" t="str">
        <f>IFERROR(__xludf.DUMMYFUNCTION("""COMPUTED_VALUE"""),"L2")</f>
        <v>L2</v>
      </c>
    </row>
    <row r="2219" ht="15.75" customHeight="1">
      <c r="A2219" s="1" t="str">
        <f>IFERROR(__xludf.DUMMYFUNCTION("""COMPUTED_VALUE"""),"Eva Feller")</f>
        <v>Eva Feller</v>
      </c>
      <c r="B2219" s="1" t="str">
        <f>IFERROR(__xludf.DUMMYFUNCTION("""COMPUTED_VALUE"""),"MS")</f>
        <v>MS</v>
      </c>
    </row>
    <row r="2220" ht="15.75" customHeight="1">
      <c r="A2220" s="1" t="str">
        <f>IFERROR(__xludf.DUMMYFUNCTION("""COMPUTED_VALUE"""),"Adiel Yaisrael")</f>
        <v>Adiel Yaisrael</v>
      </c>
      <c r="B2220" s="1" t="str">
        <f>IFERROR(__xludf.DUMMYFUNCTION("""COMPUTED_VALUE"""),"HS")</f>
        <v>HS</v>
      </c>
    </row>
    <row r="2221" ht="15.75" customHeight="1">
      <c r="A2221" s="1" t="str">
        <f>IFERROR(__xludf.DUMMYFUNCTION("""COMPUTED_VALUE"""),"Rylee Holyoak")</f>
        <v>Rylee Holyoak</v>
      </c>
      <c r="B2221" s="1" t="str">
        <f>IFERROR(__xludf.DUMMYFUNCTION("""COMPUTED_VALUE"""),"L1")</f>
        <v>L1</v>
      </c>
    </row>
    <row r="2222" ht="15.75" customHeight="1">
      <c r="A2222" s="1" t="str">
        <f>IFERROR(__xludf.DUMMYFUNCTION("""COMPUTED_VALUE"""),"Willow Jordan")</f>
        <v>Willow Jordan</v>
      </c>
      <c r="B2222" s="1" t="str">
        <f>IFERROR(__xludf.DUMMYFUNCTION("""COMPUTED_VALUE"""),"L2")</f>
        <v>L2</v>
      </c>
    </row>
    <row r="2223" ht="15.75" customHeight="1">
      <c r="A2223" s="1" t="str">
        <f>IFERROR(__xludf.DUMMYFUNCTION("""COMPUTED_VALUE"""),"Arthur Jordan")</f>
        <v>Arthur Jordan</v>
      </c>
      <c r="B2223" s="1" t="str">
        <f>IFERROR(__xludf.DUMMYFUNCTION("""COMPUTED_VALUE"""),"L1")</f>
        <v>L1</v>
      </c>
    </row>
    <row r="2224" ht="15.75" customHeight="1">
      <c r="A2224" s="1" t="str">
        <f>IFERROR(__xludf.DUMMYFUNCTION("""COMPUTED_VALUE"""),"Miles Andersen")</f>
        <v>Miles Andersen</v>
      </c>
      <c r="B2224" s="1" t="str">
        <f>IFERROR(__xludf.DUMMYFUNCTION("""COMPUTED_VALUE"""),"HS")</f>
        <v>HS</v>
      </c>
    </row>
    <row r="2225" ht="15.75" customHeight="1">
      <c r="A2225" s="1" t="str">
        <f>IFERROR(__xludf.DUMMYFUNCTION("""COMPUTED_VALUE"""),"Sonali Stevens")</f>
        <v>Sonali Stevens</v>
      </c>
      <c r="B2225" s="1" t="str">
        <f>IFERROR(__xludf.DUMMYFUNCTION("""COMPUTED_VALUE"""),"MS")</f>
        <v>MS</v>
      </c>
    </row>
    <row r="2226" ht="15.75" customHeight="1">
      <c r="A2226" s="1" t="str">
        <f>IFERROR(__xludf.DUMMYFUNCTION("""COMPUTED_VALUE"""),"Stone Candelaria")</f>
        <v>Stone Candelaria</v>
      </c>
      <c r="B2226" s="1" t="str">
        <f>IFERROR(__xludf.DUMMYFUNCTION("""COMPUTED_VALUE"""),"MS")</f>
        <v>MS</v>
      </c>
    </row>
    <row r="2227" ht="15.75" customHeight="1">
      <c r="A2227" s="1" t="str">
        <f>IFERROR(__xludf.DUMMYFUNCTION("""COMPUTED_VALUE"""),"Theo Lima Masi")</f>
        <v>Theo Lima Masi</v>
      </c>
      <c r="B2227" s="1" t="str">
        <f>IFERROR(__xludf.DUMMYFUNCTION("""COMPUTED_VALUE"""),"L1")</f>
        <v>L1</v>
      </c>
    </row>
    <row r="2228" ht="15.75" customHeight="1">
      <c r="A2228" s="1" t="str">
        <f>IFERROR(__xludf.DUMMYFUNCTION("""COMPUTED_VALUE"""),"Liana Milazzo")</f>
        <v>Liana Milazzo</v>
      </c>
      <c r="B2228" s="1" t="str">
        <f>IFERROR(__xludf.DUMMYFUNCTION("""COMPUTED_VALUE"""),"L2")</f>
        <v>L2</v>
      </c>
    </row>
    <row r="2229" ht="15.75" customHeight="1">
      <c r="A2229" s="1" t="str">
        <f>IFERROR(__xludf.DUMMYFUNCTION("""COMPUTED_VALUE"""),"Benjamin Pellegrino")</f>
        <v>Benjamin Pellegrino</v>
      </c>
      <c r="B2229" s="1" t="str">
        <f>IFERROR(__xludf.DUMMYFUNCTION("""COMPUTED_VALUE"""),"MS")</f>
        <v>MS</v>
      </c>
    </row>
    <row r="2230" ht="15.75" customHeight="1">
      <c r="A2230" s="1" t="str">
        <f>IFERROR(__xludf.DUMMYFUNCTION("""COMPUTED_VALUE"""),"Atlas Pellegrino")</f>
        <v>Atlas Pellegrino</v>
      </c>
      <c r="B2230" s="1" t="str">
        <f>IFERROR(__xludf.DUMMYFUNCTION("""COMPUTED_VALUE"""),"L1")</f>
        <v>L1</v>
      </c>
    </row>
    <row r="2231" ht="15.75" customHeight="1">
      <c r="A2231" s="1" t="str">
        <f>IFERROR(__xludf.DUMMYFUNCTION("""COMPUTED_VALUE"""),"Mason Fulgencio")</f>
        <v>Mason Fulgencio</v>
      </c>
      <c r="B2231" s="1" t="str">
        <f>IFERROR(__xludf.DUMMYFUNCTION("""COMPUTED_VALUE"""),"L2")</f>
        <v>L2</v>
      </c>
    </row>
    <row r="2232" ht="15.75" customHeight="1">
      <c r="A2232" s="1" t="str">
        <f>IFERROR(__xludf.DUMMYFUNCTION("""COMPUTED_VALUE"""),"Hadley Fulgencio")</f>
        <v>Hadley Fulgencio</v>
      </c>
      <c r="B2232" s="1" t="str">
        <f>IFERROR(__xludf.DUMMYFUNCTION("""COMPUTED_VALUE"""),"L1")</f>
        <v>L1</v>
      </c>
    </row>
    <row r="2233" ht="15.75" customHeight="1">
      <c r="A2233" s="1" t="str">
        <f>IFERROR(__xludf.DUMMYFUNCTION("""COMPUTED_VALUE"""),"Anya Dias")</f>
        <v>Anya Dias</v>
      </c>
      <c r="B2233" s="1" t="str">
        <f>IFERROR(__xludf.DUMMYFUNCTION("""COMPUTED_VALUE"""),"L1")</f>
        <v>L1</v>
      </c>
    </row>
    <row r="2234" ht="15.75" customHeight="1">
      <c r="A2234" s="1" t="str">
        <f>IFERROR(__xludf.DUMMYFUNCTION("""COMPUTED_VALUE"""),"Liam Corbridge")</f>
        <v>Liam Corbridge</v>
      </c>
      <c r="B2234" s="1" t="str">
        <f>IFERROR(__xludf.DUMMYFUNCTION("""COMPUTED_VALUE"""),"MS")</f>
        <v>MS</v>
      </c>
    </row>
    <row r="2235" ht="15.75" customHeight="1">
      <c r="A2235" s="1" t="str">
        <f>IFERROR(__xludf.DUMMYFUNCTION("""COMPUTED_VALUE"""),"Luke Corbridge")</f>
        <v>Luke Corbridge</v>
      </c>
      <c r="B2235" s="1" t="str">
        <f>IFERROR(__xludf.DUMMYFUNCTION("""COMPUTED_VALUE"""),"MS")</f>
        <v>MS</v>
      </c>
    </row>
    <row r="2236" ht="15.75" customHeight="1">
      <c r="A2236" s="1" t="str">
        <f>IFERROR(__xludf.DUMMYFUNCTION("""COMPUTED_VALUE"""),"Steven Swarthout")</f>
        <v>Steven Swarthout</v>
      </c>
      <c r="B2236" s="1" t="str">
        <f>IFERROR(__xludf.DUMMYFUNCTION("""COMPUTED_VALUE"""),"MS")</f>
        <v>MS</v>
      </c>
    </row>
    <row r="2237" ht="15.75" customHeight="1">
      <c r="A2237" s="1" t="str">
        <f>IFERROR(__xludf.DUMMYFUNCTION("""COMPUTED_VALUE"""),"Lola Oswald")</f>
        <v>Lola Oswald</v>
      </c>
      <c r="B2237" s="1" t="str">
        <f>IFERROR(__xludf.DUMMYFUNCTION("""COMPUTED_VALUE"""),"L1")</f>
        <v>L1</v>
      </c>
    </row>
    <row r="2238" ht="15.75" customHeight="1">
      <c r="A2238" s="1" t="str">
        <f>IFERROR(__xludf.DUMMYFUNCTION("""COMPUTED_VALUE"""),"Levi Oswald")</f>
        <v>Levi Oswald</v>
      </c>
      <c r="B2238" s="1" t="str">
        <f>IFERROR(__xludf.DUMMYFUNCTION("""COMPUTED_VALUE"""),"LL")</f>
        <v>LL</v>
      </c>
    </row>
    <row r="2239" ht="15.75" customHeight="1">
      <c r="A2239" s="1" t="str">
        <f>IFERROR(__xludf.DUMMYFUNCTION("""COMPUTED_VALUE"""),"Castel Barth")</f>
        <v>Castel Barth</v>
      </c>
      <c r="B2239" s="1" t="str">
        <f>IFERROR(__xludf.DUMMYFUNCTION("""COMPUTED_VALUE"""),"MS")</f>
        <v>MS</v>
      </c>
    </row>
    <row r="2240" ht="15.75" customHeight="1">
      <c r="A2240" s="1" t="str">
        <f>IFERROR(__xludf.DUMMYFUNCTION("""COMPUTED_VALUE"""),"Arlo Barth")</f>
        <v>Arlo Barth</v>
      </c>
      <c r="B2240" s="1" t="str">
        <f>IFERROR(__xludf.DUMMYFUNCTION("""COMPUTED_VALUE"""),"L1")</f>
        <v>L1</v>
      </c>
    </row>
    <row r="2241" ht="15.75" customHeight="1">
      <c r="A2241" s="1" t="str">
        <f>IFERROR(__xludf.DUMMYFUNCTION("""COMPUTED_VALUE"""),"Quincy Kieran")</f>
        <v>Quincy Kieran</v>
      </c>
      <c r="B2241" s="1" t="str">
        <f>IFERROR(__xludf.DUMMYFUNCTION("""COMPUTED_VALUE"""),"MS")</f>
        <v>MS</v>
      </c>
    </row>
    <row r="2242" ht="15.75" customHeight="1">
      <c r="A2242" s="1" t="str">
        <f>IFERROR(__xludf.DUMMYFUNCTION("""COMPUTED_VALUE"""),"Owen Barteau")</f>
        <v>Owen Barteau</v>
      </c>
      <c r="B2242" s="1" t="str">
        <f>IFERROR(__xludf.DUMMYFUNCTION("""COMPUTED_VALUE"""),"HS")</f>
        <v>HS</v>
      </c>
    </row>
    <row r="2243" ht="15.75" customHeight="1">
      <c r="A2243" s="1" t="str">
        <f>IFERROR(__xludf.DUMMYFUNCTION("""COMPUTED_VALUE"""),"Yahrah-i Huntley")</f>
        <v>Yahrah-i Huntley</v>
      </c>
      <c r="B2243" s="1" t="str">
        <f>IFERROR(__xludf.DUMMYFUNCTION("""COMPUTED_VALUE"""),"L2")</f>
        <v>L2</v>
      </c>
    </row>
    <row r="2244" ht="15.75" customHeight="1">
      <c r="A2244" s="1" t="str">
        <f>IFERROR(__xludf.DUMMYFUNCTION("""COMPUTED_VALUE"""),"Emmy Barteau")</f>
        <v>Emmy Barteau</v>
      </c>
      <c r="B2244" s="1" t="str">
        <f>IFERROR(__xludf.DUMMYFUNCTION("""COMPUTED_VALUE"""),"MS")</f>
        <v>MS</v>
      </c>
    </row>
    <row r="2245" ht="15.75" customHeight="1">
      <c r="A2245" s="1" t="str">
        <f>IFERROR(__xludf.DUMMYFUNCTION("""COMPUTED_VALUE"""),"Oakley Karas")</f>
        <v>Oakley Karas</v>
      </c>
      <c r="B2245" s="1" t="str">
        <f>IFERROR(__xludf.DUMMYFUNCTION("""COMPUTED_VALUE"""),"L2")</f>
        <v>L2</v>
      </c>
    </row>
    <row r="2246" ht="15.75" customHeight="1">
      <c r="A2246" s="1" t="str">
        <f>IFERROR(__xludf.DUMMYFUNCTION("""COMPUTED_VALUE"""),"Torin Hackett")</f>
        <v>Torin Hackett</v>
      </c>
      <c r="B2246" s="1" t="str">
        <f>IFERROR(__xludf.DUMMYFUNCTION("""COMPUTED_VALUE"""),"LL")</f>
        <v>LL</v>
      </c>
    </row>
    <row r="2247" ht="15.75" customHeight="1">
      <c r="A2247" s="1" t="str">
        <f>IFERROR(__xludf.DUMMYFUNCTION("""COMPUTED_VALUE"""),"River Karas")</f>
        <v>River Karas</v>
      </c>
      <c r="B2247" s="1" t="str">
        <f>IFERROR(__xludf.DUMMYFUNCTION("""COMPUTED_VALUE"""),"L1")</f>
        <v>L1</v>
      </c>
    </row>
    <row r="2248" ht="15.75" customHeight="1">
      <c r="A2248" s="1" t="str">
        <f>IFERROR(__xludf.DUMMYFUNCTION("""COMPUTED_VALUE"""),"Isaac Bigelow")</f>
        <v>Isaac Bigelow</v>
      </c>
      <c r="B2248" s="1" t="str">
        <f>IFERROR(__xludf.DUMMYFUNCTION("""COMPUTED_VALUE"""),"L2")</f>
        <v>L2</v>
      </c>
    </row>
    <row r="2249" ht="15.75" customHeight="1">
      <c r="A2249" s="1" t="str">
        <f>IFERROR(__xludf.DUMMYFUNCTION("""COMPUTED_VALUE"""),"Miya Bigelow")</f>
        <v>Miya Bigelow</v>
      </c>
      <c r="B2249" s="1" t="str">
        <f>IFERROR(__xludf.DUMMYFUNCTION("""COMPUTED_VALUE"""),"L1")</f>
        <v>L1</v>
      </c>
    </row>
    <row r="2250" ht="15.75" customHeight="1">
      <c r="A2250" s="1" t="str">
        <f>IFERROR(__xludf.DUMMYFUNCTION("""COMPUTED_VALUE"""),"Henry Best")</f>
        <v>Henry Best</v>
      </c>
      <c r="B2250" s="1" t="str">
        <f>IFERROR(__xludf.DUMMYFUNCTION("""COMPUTED_VALUE"""),"MS")</f>
        <v>MS</v>
      </c>
    </row>
    <row r="2251" ht="15.75" customHeight="1">
      <c r="A2251" s="1" t="str">
        <f>IFERROR(__xludf.DUMMYFUNCTION("""COMPUTED_VALUE"""),"Ivy Best")</f>
        <v>Ivy Best</v>
      </c>
      <c r="B2251" s="1" t="str">
        <f>IFERROR(__xludf.DUMMYFUNCTION("""COMPUTED_VALUE"""),"L2")</f>
        <v>L2</v>
      </c>
    </row>
    <row r="2252" ht="15.75" customHeight="1">
      <c r="A2252" s="1" t="str">
        <f>IFERROR(__xludf.DUMMYFUNCTION("""COMPUTED_VALUE"""),"Oliver Hardy")</f>
        <v>Oliver Hardy</v>
      </c>
      <c r="B2252" s="1" t="str">
        <f>IFERROR(__xludf.DUMMYFUNCTION("""COMPUTED_VALUE"""),"L2")</f>
        <v>L2</v>
      </c>
    </row>
    <row r="2253" ht="15.75" customHeight="1">
      <c r="A2253" s="1" t="str">
        <f>IFERROR(__xludf.DUMMYFUNCTION("""COMPUTED_VALUE"""),"Nora Veerkamp")</f>
        <v>Nora Veerkamp</v>
      </c>
      <c r="B2253" s="1" t="str">
        <f>IFERROR(__xludf.DUMMYFUNCTION("""COMPUTED_VALUE"""),"L1")</f>
        <v>L1</v>
      </c>
    </row>
    <row r="2254" ht="15.75" customHeight="1">
      <c r="A2254" s="1" t="str">
        <f>IFERROR(__xludf.DUMMYFUNCTION("""COMPUTED_VALUE"""),"Dean Danziger-Shieh")</f>
        <v>Dean Danziger-Shieh</v>
      </c>
      <c r="B2254" s="1" t="str">
        <f>IFERROR(__xludf.DUMMYFUNCTION("""COMPUTED_VALUE"""),"L2")</f>
        <v>L2</v>
      </c>
    </row>
    <row r="2255" ht="15.75" customHeight="1">
      <c r="A2255" s="1" t="str">
        <f>IFERROR(__xludf.DUMMYFUNCTION("""COMPUTED_VALUE"""),"Desiree Danziger-Shieh")</f>
        <v>Desiree Danziger-Shieh</v>
      </c>
      <c r="B2255" s="1" t="str">
        <f>IFERROR(__xludf.DUMMYFUNCTION("""COMPUTED_VALUE"""),"LL")</f>
        <v>LL</v>
      </c>
    </row>
    <row r="2256" ht="15.75" customHeight="1">
      <c r="A2256" s="1" t="str">
        <f>IFERROR(__xludf.DUMMYFUNCTION("""COMPUTED_VALUE"""),"Zoe Veerkamp")</f>
        <v>Zoe Veerkamp</v>
      </c>
      <c r="B2256" s="1" t="str">
        <f>IFERROR(__xludf.DUMMYFUNCTION("""COMPUTED_VALUE"""),"MS")</f>
        <v>MS</v>
      </c>
    </row>
    <row r="2257" ht="15.75" customHeight="1">
      <c r="A2257" s="1" t="str">
        <f>IFERROR(__xludf.DUMMYFUNCTION("""COMPUTED_VALUE"""),"Desi Danziger-shieh")</f>
        <v>Desi Danziger-shieh</v>
      </c>
      <c r="B2257" s="1" t="str">
        <f>IFERROR(__xludf.DUMMYFUNCTION("""COMPUTED_VALUE"""),"L1")</f>
        <v>L1</v>
      </c>
    </row>
    <row r="2258" ht="15.75" customHeight="1">
      <c r="A2258" s="1" t="str">
        <f>IFERROR(__xludf.DUMMYFUNCTION("""COMPUTED_VALUE"""),"Sloane Withers")</f>
        <v>Sloane Withers</v>
      </c>
      <c r="B2258" s="1" t="str">
        <f>IFERROR(__xludf.DUMMYFUNCTION("""COMPUTED_VALUE"""),"MS")</f>
        <v>MS</v>
      </c>
    </row>
    <row r="2259" ht="15.75" customHeight="1">
      <c r="A2259" s="1" t="str">
        <f>IFERROR(__xludf.DUMMYFUNCTION("""COMPUTED_VALUE"""),"Sofia Grace Montgomery")</f>
        <v>Sofia Grace Montgomery</v>
      </c>
      <c r="B2259" s="1" t="str">
        <f>IFERROR(__xludf.DUMMYFUNCTION("""COMPUTED_VALUE"""),"L2")</f>
        <v>L2</v>
      </c>
    </row>
    <row r="2260" ht="15.75" customHeight="1">
      <c r="A2260" s="1" t="str">
        <f>IFERROR(__xludf.DUMMYFUNCTION("""COMPUTED_VALUE"""),"Julia Joy Montgomery")</f>
        <v>Julia Joy Montgomery</v>
      </c>
      <c r="B2260" s="1" t="str">
        <f>IFERROR(__xludf.DUMMYFUNCTION("""COMPUTED_VALUE"""),"L1")</f>
        <v>L1</v>
      </c>
    </row>
    <row r="2261" ht="15.75" customHeight="1">
      <c r="A2261" s="1" t="str">
        <f>IFERROR(__xludf.DUMMYFUNCTION("""COMPUTED_VALUE"""),"Cecile Gilbert")</f>
        <v>Cecile Gilbert</v>
      </c>
      <c r="B2261" s="1" t="str">
        <f>IFERROR(__xludf.DUMMYFUNCTION("""COMPUTED_VALUE"""),"L2")</f>
        <v>L2</v>
      </c>
    </row>
    <row r="2262" ht="15.75" customHeight="1">
      <c r="A2262" s="1" t="str">
        <f>IFERROR(__xludf.DUMMYFUNCTION("""COMPUTED_VALUE"""),"Ida Gilbert")</f>
        <v>Ida Gilbert</v>
      </c>
      <c r="B2262" s="1" t="str">
        <f>IFERROR(__xludf.DUMMYFUNCTION("""COMPUTED_VALUE"""),"L1")</f>
        <v>L1</v>
      </c>
    </row>
    <row r="2263" ht="15.75" customHeight="1">
      <c r="A2263" s="1" t="str">
        <f>IFERROR(__xludf.DUMMYFUNCTION("""COMPUTED_VALUE"""),"Indie Dougherty")</f>
        <v>Indie Dougherty</v>
      </c>
      <c r="B2263" s="1" t="str">
        <f>IFERROR(__xludf.DUMMYFUNCTION("""COMPUTED_VALUE"""),"L1")</f>
        <v>L1</v>
      </c>
    </row>
    <row r="2264" ht="15.75" customHeight="1">
      <c r="A2264" s="1" t="str">
        <f>IFERROR(__xludf.DUMMYFUNCTION("""COMPUTED_VALUE"""),"Findlay Dougherty")</f>
        <v>Findlay Dougherty</v>
      </c>
      <c r="B2264" s="1" t="str">
        <f>IFERROR(__xludf.DUMMYFUNCTION("""COMPUTED_VALUE"""),"L1")</f>
        <v>L1</v>
      </c>
    </row>
    <row r="2265" ht="15.75" customHeight="1">
      <c r="A2265" s="1" t="str">
        <f>IFERROR(__xludf.DUMMYFUNCTION("""COMPUTED_VALUE"""),"Mike Siciliano Jr")</f>
        <v>Mike Siciliano Jr</v>
      </c>
      <c r="B2265" s="1" t="str">
        <f>IFERROR(__xludf.DUMMYFUNCTION("""COMPUTED_VALUE"""),"MS")</f>
        <v>MS</v>
      </c>
    </row>
    <row r="2266" ht="15.75" customHeight="1">
      <c r="A2266" s="1" t="str">
        <f>IFERROR(__xludf.DUMMYFUNCTION("""COMPUTED_VALUE"""),"Mary Siciliano Jr")</f>
        <v>Mary Siciliano Jr</v>
      </c>
      <c r="B2266" s="1" t="str">
        <f>IFERROR(__xludf.DUMMYFUNCTION("""COMPUTED_VALUE"""),"L2")</f>
        <v>L2</v>
      </c>
    </row>
    <row r="2267" ht="15.75" customHeight="1">
      <c r="A2267" s="1" t="str">
        <f>IFERROR(__xludf.DUMMYFUNCTION("""COMPUTED_VALUE"""),"Mike 2 Siciliano")</f>
        <v>Mike 2 Siciliano</v>
      </c>
      <c r="B2267" s="1" t="str">
        <f>IFERROR(__xludf.DUMMYFUNCTION("""COMPUTED_VALUE"""),"MS")</f>
        <v>MS</v>
      </c>
    </row>
    <row r="2268" ht="15.75" customHeight="1">
      <c r="A2268" s="1" t="str">
        <f>IFERROR(__xludf.DUMMYFUNCTION("""COMPUTED_VALUE"""),"Mary 2 Siciliano")</f>
        <v>Mary 2 Siciliano</v>
      </c>
      <c r="B2268" s="1" t="str">
        <f>IFERROR(__xludf.DUMMYFUNCTION("""COMPUTED_VALUE"""),"L2")</f>
        <v>L2</v>
      </c>
    </row>
    <row r="2269" ht="15.75" customHeight="1">
      <c r="A2269" s="1" t="str">
        <f>IFERROR(__xludf.DUMMYFUNCTION("""COMPUTED_VALUE"""),"Eziah Joseph")</f>
        <v>Eziah Joseph</v>
      </c>
      <c r="B2269" s="1" t="str">
        <f>IFERROR(__xludf.DUMMYFUNCTION("""COMPUTED_VALUE"""),"L2")</f>
        <v>L2</v>
      </c>
    </row>
    <row r="2270" ht="15.75" customHeight="1">
      <c r="A2270" s="1" t="str">
        <f>IFERROR(__xludf.DUMMYFUNCTION("""COMPUTED_VALUE"""),"Kiera Shields")</f>
        <v>Kiera Shields</v>
      </c>
      <c r="B2270" s="1" t="str">
        <f>IFERROR(__xludf.DUMMYFUNCTION("""COMPUTED_VALUE"""),"MS")</f>
        <v>MS</v>
      </c>
    </row>
    <row r="2271" ht="15.75" customHeight="1">
      <c r="A2271" s="1" t="str">
        <f>IFERROR(__xludf.DUMMYFUNCTION("""COMPUTED_VALUE"""),"Joshua Whittymore")</f>
        <v>Joshua Whittymore</v>
      </c>
      <c r="B2271" s="1" t="str">
        <f>IFERROR(__xludf.DUMMYFUNCTION("""COMPUTED_VALUE"""),"L2")</f>
        <v>L2</v>
      </c>
    </row>
    <row r="2272" ht="15.75" customHeight="1">
      <c r="A2272" s="1" t="str">
        <f>IFERROR(__xludf.DUMMYFUNCTION("""COMPUTED_VALUE"""),"Isla Arnold")</f>
        <v>Isla Arnold</v>
      </c>
      <c r="B2272" s="1" t="str">
        <f>IFERROR(__xludf.DUMMYFUNCTION("""COMPUTED_VALUE"""),"L2")</f>
        <v>L2</v>
      </c>
    </row>
    <row r="2273" ht="15.75" customHeight="1">
      <c r="A2273" s="1" t="str">
        <f>IFERROR(__xludf.DUMMYFUNCTION("""COMPUTED_VALUE"""),"Ella Shapira")</f>
        <v>Ella Shapira</v>
      </c>
      <c r="B2273" s="1" t="str">
        <f>IFERROR(__xludf.DUMMYFUNCTION("""COMPUTED_VALUE"""),"L2")</f>
        <v>L2</v>
      </c>
    </row>
    <row r="2274" ht="15.75" customHeight="1">
      <c r="A2274" s="1" t="str">
        <f>IFERROR(__xludf.DUMMYFUNCTION("""COMPUTED_VALUE"""),"Lucille Hall")</f>
        <v>Lucille Hall</v>
      </c>
      <c r="B2274" s="1" t="str">
        <f>IFERROR(__xludf.DUMMYFUNCTION("""COMPUTED_VALUE"""),"L1")</f>
        <v>L1</v>
      </c>
    </row>
    <row r="2275" ht="15.75" customHeight="1">
      <c r="A2275" s="1" t="str">
        <f>IFERROR(__xludf.DUMMYFUNCTION("""COMPUTED_VALUE"""),"Anna Hall")</f>
        <v>Anna Hall</v>
      </c>
      <c r="B2275" s="1" t="str">
        <f>IFERROR(__xludf.DUMMYFUNCTION("""COMPUTED_VALUE"""),"L2")</f>
        <v>L2</v>
      </c>
    </row>
    <row r="2276" ht="15.75" customHeight="1">
      <c r="A2276" s="1" t="str">
        <f>IFERROR(__xludf.DUMMYFUNCTION("""COMPUTED_VALUE"""),"Mittie Hall")</f>
        <v>Mittie Hall</v>
      </c>
      <c r="B2276" s="1" t="str">
        <f>IFERROR(__xludf.DUMMYFUNCTION("""COMPUTED_VALUE"""),"MS")</f>
        <v>MS</v>
      </c>
    </row>
    <row r="2277" ht="15.75" customHeight="1">
      <c r="A2277" s="1" t="str">
        <f>IFERROR(__xludf.DUMMYFUNCTION("""COMPUTED_VALUE"""),"Jayden Thomas")</f>
        <v>Jayden Thomas</v>
      </c>
      <c r="B2277" s="1" t="str">
        <f>IFERROR(__xludf.DUMMYFUNCTION("""COMPUTED_VALUE"""),"MS")</f>
        <v>MS</v>
      </c>
    </row>
    <row r="2278" ht="15.75" customHeight="1">
      <c r="A2278" s="1" t="str">
        <f>IFERROR(__xludf.DUMMYFUNCTION("""COMPUTED_VALUE"""),"Liv Carrillo")</f>
        <v>Liv Carrillo</v>
      </c>
      <c r="B2278" s="1" t="str">
        <f>IFERROR(__xludf.DUMMYFUNCTION("""COMPUTED_VALUE"""),"L2")</f>
        <v>L2</v>
      </c>
    </row>
    <row r="2279" ht="15.75" customHeight="1">
      <c r="A2279" s="1" t="str">
        <f>IFERROR(__xludf.DUMMYFUNCTION("""COMPUTED_VALUE"""),"John Pollock")</f>
        <v>John Pollock</v>
      </c>
      <c r="B2279" s="1" t="str">
        <f>IFERROR(__xludf.DUMMYFUNCTION("""COMPUTED_VALUE"""),"MS")</f>
        <v>MS</v>
      </c>
    </row>
    <row r="2280" ht="15.75" customHeight="1">
      <c r="A2280" s="1" t="str">
        <f>IFERROR(__xludf.DUMMYFUNCTION("""COMPUTED_VALUE"""),"Tallulah DCruz")</f>
        <v>Tallulah DCruz</v>
      </c>
      <c r="B2280" s="1" t="str">
        <f>IFERROR(__xludf.DUMMYFUNCTION("""COMPUTED_VALUE"""),"L1")</f>
        <v>L1</v>
      </c>
    </row>
    <row r="2281" ht="15.75" customHeight="1">
      <c r="A2281" s="1" t="str">
        <f>IFERROR(__xludf.DUMMYFUNCTION("""COMPUTED_VALUE"""),"Michael Lowe")</f>
        <v>Michael Lowe</v>
      </c>
      <c r="B2281" s="1" t="str">
        <f>IFERROR(__xludf.DUMMYFUNCTION("""COMPUTED_VALUE"""),"MS")</f>
        <v>MS</v>
      </c>
    </row>
    <row r="2282" ht="15.75" customHeight="1">
      <c r="A2282" s="1" t="str">
        <f>IFERROR(__xludf.DUMMYFUNCTION("""COMPUTED_VALUE"""),"Nathan Lowe")</f>
        <v>Nathan Lowe</v>
      </c>
      <c r="B2282" s="1" t="str">
        <f>IFERROR(__xludf.DUMMYFUNCTION("""COMPUTED_VALUE"""),"L1")</f>
        <v>L1</v>
      </c>
    </row>
    <row r="2283" ht="15.75" customHeight="1">
      <c r="A2283" s="1" t="str">
        <f>IFERROR(__xludf.DUMMYFUNCTION("""COMPUTED_VALUE"""),"Ciara Whicker")</f>
        <v>Ciara Whicker</v>
      </c>
      <c r="B2283" s="1" t="str">
        <f>IFERROR(__xludf.DUMMYFUNCTION("""COMPUTED_VALUE"""),"LL")</f>
        <v>LL</v>
      </c>
    </row>
    <row r="2284" ht="15.75" customHeight="1">
      <c r="A2284" s="1" t="str">
        <f>IFERROR(__xludf.DUMMYFUNCTION("""COMPUTED_VALUE"""),"Garret Bradley")</f>
        <v>Garret Bradley</v>
      </c>
      <c r="B2284" s="1" t="str">
        <f>IFERROR(__xludf.DUMMYFUNCTION("""COMPUTED_VALUE"""),"L2")</f>
        <v>L2</v>
      </c>
    </row>
    <row r="2285" ht="15.75" customHeight="1">
      <c r="A2285" s="1" t="str">
        <f>IFERROR(__xludf.DUMMYFUNCTION("""COMPUTED_VALUE"""),"Zoe Holstein")</f>
        <v>Zoe Holstein</v>
      </c>
      <c r="B2285" s="1" t="str">
        <f>IFERROR(__xludf.DUMMYFUNCTION("""COMPUTED_VALUE"""),"L2")</f>
        <v>L2</v>
      </c>
    </row>
    <row r="2286" ht="15.75" customHeight="1">
      <c r="A2286" s="1" t="str">
        <f>IFERROR(__xludf.DUMMYFUNCTION("""COMPUTED_VALUE"""),"Jack Grey")</f>
        <v>Jack Grey</v>
      </c>
      <c r="B2286" s="1" t="str">
        <f>IFERROR(__xludf.DUMMYFUNCTION("""COMPUTED_VALUE"""),"MS")</f>
        <v>MS</v>
      </c>
    </row>
    <row r="2287" ht="15.75" customHeight="1">
      <c r="A2287" s="1" t="str">
        <f>IFERROR(__xludf.DUMMYFUNCTION("""COMPUTED_VALUE"""),"victoria zhang")</f>
        <v>victoria zhang</v>
      </c>
      <c r="B2287" s="1" t="str">
        <f>IFERROR(__xludf.DUMMYFUNCTION("""COMPUTED_VALUE"""),"HS")</f>
        <v>HS</v>
      </c>
    </row>
    <row r="2288" ht="15.75" customHeight="1">
      <c r="A2288" s="1" t="str">
        <f>IFERROR(__xludf.DUMMYFUNCTION("""COMPUTED_VALUE"""),"Test Single")</f>
        <v>Test Single</v>
      </c>
      <c r="B2288" s="1" t="str">
        <f>IFERROR(__xludf.DUMMYFUNCTION("""COMPUTED_VALUE"""),"MS")</f>
        <v>MS</v>
      </c>
    </row>
    <row r="2289" ht="15.75" customHeight="1">
      <c r="A2289" s="1" t="str">
        <f>IFERROR(__xludf.DUMMYFUNCTION("""COMPUTED_VALUE"""),"Benjamin Doppelhammer")</f>
        <v>Benjamin Doppelhammer</v>
      </c>
      <c r="B2289" s="1" t="str">
        <f>IFERROR(__xludf.DUMMYFUNCTION("""COMPUTED_VALUE"""),"MS")</f>
        <v>MS</v>
      </c>
    </row>
    <row r="2290" ht="15.75" customHeight="1">
      <c r="A2290" s="1" t="str">
        <f>IFERROR(__xludf.DUMMYFUNCTION("""COMPUTED_VALUE"""),"Jett Loeffler")</f>
        <v>Jett Loeffler</v>
      </c>
      <c r="B2290" s="1" t="str">
        <f>IFERROR(__xludf.DUMMYFUNCTION("""COMPUTED_VALUE"""),"L1")</f>
        <v>L1</v>
      </c>
    </row>
    <row r="2291" ht="15.75" customHeight="1">
      <c r="A2291" s="1" t="str">
        <f>IFERROR(__xludf.DUMMYFUNCTION("""COMPUTED_VALUE"""),"Fiona Doppelhammer")</f>
        <v>Fiona Doppelhammer</v>
      </c>
      <c r="B2291" s="1" t="str">
        <f>IFERROR(__xludf.DUMMYFUNCTION("""COMPUTED_VALUE"""),"L2")</f>
        <v>L2</v>
      </c>
    </row>
    <row r="2292" ht="15.75" customHeight="1">
      <c r="A2292" s="1" t="str">
        <f>IFERROR(__xludf.DUMMYFUNCTION("""COMPUTED_VALUE"""),"Lily Loeffler")</f>
        <v>Lily Loeffler</v>
      </c>
      <c r="B2292" s="1" t="str">
        <f>IFERROR(__xludf.DUMMYFUNCTION("""COMPUTED_VALUE"""),"LL")</f>
        <v>LL</v>
      </c>
    </row>
    <row r="2293" ht="15.75" customHeight="1">
      <c r="A2293" s="1" t="str">
        <f>IFERROR(__xludf.DUMMYFUNCTION("""COMPUTED_VALUE"""),"Haley Hilgemann")</f>
        <v>Haley Hilgemann</v>
      </c>
      <c r="B2293" s="1" t="str">
        <f>IFERROR(__xludf.DUMMYFUNCTION("""COMPUTED_VALUE"""),"L2")</f>
        <v>L2</v>
      </c>
    </row>
    <row r="2294" ht="15.75" customHeight="1">
      <c r="A2294" s="1" t="str">
        <f>IFERROR(__xludf.DUMMYFUNCTION("""COMPUTED_VALUE"""),"Sunehri Patel")</f>
        <v>Sunehri Patel</v>
      </c>
      <c r="B2294" s="1" t="str">
        <f>IFERROR(__xludf.DUMMYFUNCTION("""COMPUTED_VALUE"""),"MS")</f>
        <v>MS</v>
      </c>
    </row>
    <row r="2295" ht="15.75" customHeight="1">
      <c r="A2295" s="1" t="str">
        <f>IFERROR(__xludf.DUMMYFUNCTION("""COMPUTED_VALUE"""),"Vivaan Patel")</f>
        <v>Vivaan Patel</v>
      </c>
      <c r="B2295" s="1" t="str">
        <f>IFERROR(__xludf.DUMMYFUNCTION("""COMPUTED_VALUE"""),"L1")</f>
        <v>L1</v>
      </c>
    </row>
    <row r="2296" ht="15.75" customHeight="1">
      <c r="A2296" s="1" t="str">
        <f>IFERROR(__xludf.DUMMYFUNCTION("""COMPUTED_VALUE"""),"Teddy Bolson")</f>
        <v>Teddy Bolson</v>
      </c>
      <c r="B2296" s="1" t="str">
        <f>IFERROR(__xludf.DUMMYFUNCTION("""COMPUTED_VALUE"""),"LL")</f>
        <v>LL</v>
      </c>
    </row>
    <row r="2297" ht="15.75" customHeight="1">
      <c r="A2297" s="1" t="str">
        <f>IFERROR(__xludf.DUMMYFUNCTION("""COMPUTED_VALUE"""),"Charles Clack")</f>
        <v>Charles Clack</v>
      </c>
      <c r="B2297" s="1" t="str">
        <f>IFERROR(__xludf.DUMMYFUNCTION("""COMPUTED_VALUE"""),"MS")</f>
        <v>MS</v>
      </c>
    </row>
    <row r="2298" ht="15.75" customHeight="1">
      <c r="A2298" s="1" t="str">
        <f>IFERROR(__xludf.DUMMYFUNCTION("""COMPUTED_VALUE"""),"Emma Gordon")</f>
        <v>Emma Gordon</v>
      </c>
      <c r="B2298" s="1" t="str">
        <f>IFERROR(__xludf.DUMMYFUNCTION("""COMPUTED_VALUE"""),"L2")</f>
        <v>L2</v>
      </c>
    </row>
    <row r="2299" ht="15.75" customHeight="1">
      <c r="A2299" s="1" t="str">
        <f>IFERROR(__xludf.DUMMYFUNCTION("""COMPUTED_VALUE"""),"Chloe Gordon")</f>
        <v>Chloe Gordon</v>
      </c>
      <c r="B2299" s="1" t="str">
        <f>IFERROR(__xludf.DUMMYFUNCTION("""COMPUTED_VALUE"""),"MS")</f>
        <v>MS</v>
      </c>
    </row>
    <row r="2300" ht="15.75" customHeight="1">
      <c r="A2300" s="1" t="str">
        <f>IFERROR(__xludf.DUMMYFUNCTION("""COMPUTED_VALUE"""),"Tillie Candelaria")</f>
        <v>Tillie Candelaria</v>
      </c>
      <c r="B2300" s="1" t="str">
        <f>IFERROR(__xludf.DUMMYFUNCTION("""COMPUTED_VALUE"""),"MS")</f>
        <v>MS</v>
      </c>
    </row>
    <row r="2301" ht="15.75" customHeight="1">
      <c r="A2301" s="1" t="str">
        <f>IFERROR(__xludf.DUMMYFUNCTION("""COMPUTED_VALUE"""),"Rexi McNeive")</f>
        <v>Rexi McNeive</v>
      </c>
      <c r="B2301" s="1" t="str">
        <f>IFERROR(__xludf.DUMMYFUNCTION("""COMPUTED_VALUE"""),"L1")</f>
        <v>L1</v>
      </c>
    </row>
    <row r="2302" ht="15.75" customHeight="1">
      <c r="A2302" s="1" t="str">
        <f>IFERROR(__xludf.DUMMYFUNCTION("""COMPUTED_VALUE"""),"Logan Sharpe")</f>
        <v>Logan Sharpe</v>
      </c>
      <c r="B2302" s="1" t="str">
        <f>IFERROR(__xludf.DUMMYFUNCTION("""COMPUTED_VALUE"""),"MS")</f>
        <v>MS</v>
      </c>
    </row>
    <row r="2303" ht="15.75" customHeight="1">
      <c r="A2303" s="1" t="str">
        <f>IFERROR(__xludf.DUMMYFUNCTION("""COMPUTED_VALUE"""),"Avery Sharpe")</f>
        <v>Avery Sharpe</v>
      </c>
      <c r="B2303" s="1" t="str">
        <f>IFERROR(__xludf.DUMMYFUNCTION("""COMPUTED_VALUE"""),"L2")</f>
        <v>L2</v>
      </c>
    </row>
    <row r="2304" ht="15.75" customHeight="1">
      <c r="A2304" s="1" t="str">
        <f>IFERROR(__xludf.DUMMYFUNCTION("""COMPUTED_VALUE"""),"Haddy Axtman")</f>
        <v>Haddy Axtman</v>
      </c>
      <c r="B2304" s="1" t="str">
        <f>IFERROR(__xludf.DUMMYFUNCTION("""COMPUTED_VALUE"""),"LL")</f>
        <v>LL</v>
      </c>
    </row>
    <row r="2305" ht="15.75" customHeight="1">
      <c r="A2305" s="1" t="str">
        <f>IFERROR(__xludf.DUMMYFUNCTION("""COMPUTED_VALUE"""),"Laaha Magon")</f>
        <v>Laaha Magon</v>
      </c>
      <c r="B2305" s="1" t="str">
        <f>IFERROR(__xludf.DUMMYFUNCTION("""COMPUTED_VALUE"""),"MS")</f>
        <v>MS</v>
      </c>
    </row>
    <row r="2306" ht="15.75" customHeight="1">
      <c r="A2306" s="1" t="str">
        <f>IFERROR(__xludf.DUMMYFUNCTION("""COMPUTED_VALUE"""),"Mahaan Magon")</f>
        <v>Mahaan Magon</v>
      </c>
      <c r="B2306" s="1" t="str">
        <f>IFERROR(__xludf.DUMMYFUNCTION("""COMPUTED_VALUE"""),"MS")</f>
        <v>MS</v>
      </c>
    </row>
    <row r="2307" ht="15.75" customHeight="1">
      <c r="A2307" s="1" t="str">
        <f>IFERROR(__xludf.DUMMYFUNCTION("""COMPUTED_VALUE"""),"Gabriel Crisp")</f>
        <v>Gabriel Crisp</v>
      </c>
      <c r="B2307" s="1" t="str">
        <f>IFERROR(__xludf.DUMMYFUNCTION("""COMPUTED_VALUE"""),"L2")</f>
        <v>L2</v>
      </c>
    </row>
    <row r="2308" ht="15.75" customHeight="1">
      <c r="A2308" s="1" t="str">
        <f>IFERROR(__xludf.DUMMYFUNCTION("""COMPUTED_VALUE"""),"Pie Kipnes Poomyu")</f>
        <v>Pie Kipnes Poomyu</v>
      </c>
      <c r="B2308" s="1" t="str">
        <f>IFERROR(__xludf.DUMMYFUNCTION("""COMPUTED_VALUE"""),"MS")</f>
        <v>MS</v>
      </c>
    </row>
    <row r="2309" ht="15.75" customHeight="1">
      <c r="A2309" s="1" t="str">
        <f>IFERROR(__xludf.DUMMYFUNCTION("""COMPUTED_VALUE"""),"Julian Laur")</f>
        <v>Julian Laur</v>
      </c>
      <c r="B2309" s="1" t="str">
        <f>IFERROR(__xludf.DUMMYFUNCTION("""COMPUTED_VALUE"""),"L1")</f>
        <v>L1</v>
      </c>
    </row>
    <row r="2310" ht="15.75" customHeight="1">
      <c r="A2310" s="1" t="str">
        <f>IFERROR(__xludf.DUMMYFUNCTION("""COMPUTED_VALUE"""),"Quentin Reaves")</f>
        <v>Quentin Reaves</v>
      </c>
      <c r="B2310" s="1" t="str">
        <f>IFERROR(__xludf.DUMMYFUNCTION("""COMPUTED_VALUE"""),"L2")</f>
        <v>L2</v>
      </c>
    </row>
    <row r="2311" ht="15.75" customHeight="1">
      <c r="A2311" s="1" t="str">
        <f>IFERROR(__xludf.DUMMYFUNCTION("""COMPUTED_VALUE"""),"Caden Baker")</f>
        <v>Caden Baker</v>
      </c>
      <c r="B2311" s="1" t="str">
        <f>IFERROR(__xludf.DUMMYFUNCTION("""COMPUTED_VALUE"""),"MS")</f>
        <v>MS</v>
      </c>
    </row>
    <row r="2312" ht="15.75" customHeight="1">
      <c r="A2312" s="1" t="str">
        <f>IFERROR(__xludf.DUMMYFUNCTION("""COMPUTED_VALUE"""),"George Kwok")</f>
        <v>George Kwok</v>
      </c>
      <c r="B2312" s="1" t="str">
        <f>IFERROR(__xludf.DUMMYFUNCTION("""COMPUTED_VALUE"""),"L1")</f>
        <v>L1</v>
      </c>
    </row>
    <row r="2313" ht="15.75" customHeight="1">
      <c r="A2313" s="1" t="str">
        <f>IFERROR(__xludf.DUMMYFUNCTION("""COMPUTED_VALUE"""),"Christian Rigucci")</f>
        <v>Christian Rigucci</v>
      </c>
      <c r="B2313" s="1" t="str">
        <f>IFERROR(__xludf.DUMMYFUNCTION("""COMPUTED_VALUE"""),"MS")</f>
        <v>MS</v>
      </c>
    </row>
    <row r="2314" ht="15.75" customHeight="1">
      <c r="A2314" s="1" t="str">
        <f>IFERROR(__xludf.DUMMYFUNCTION("""COMPUTED_VALUE"""),"Bowie Mann")</f>
        <v>Bowie Mann</v>
      </c>
      <c r="B2314" s="1" t="str">
        <f>IFERROR(__xludf.DUMMYFUNCTION("""COMPUTED_VALUE"""),"MS")</f>
        <v>MS</v>
      </c>
    </row>
    <row r="2315" ht="15.75" customHeight="1">
      <c r="A2315" s="1" t="str">
        <f>IFERROR(__xludf.DUMMYFUNCTION("""COMPUTED_VALUE"""),"Archer Mann")</f>
        <v>Archer Mann</v>
      </c>
      <c r="B2315" s="1" t="str">
        <f>IFERROR(__xludf.DUMMYFUNCTION("""COMPUTED_VALUE"""),"L2")</f>
        <v>L2</v>
      </c>
    </row>
    <row r="2316" ht="15.75" customHeight="1">
      <c r="A2316" s="1" t="str">
        <f>IFERROR(__xludf.DUMMYFUNCTION("""COMPUTED_VALUE"""),"Judah Mann")</f>
        <v>Judah Mann</v>
      </c>
      <c r="B2316" s="1" t="str">
        <f>IFERROR(__xludf.DUMMYFUNCTION("""COMPUTED_VALUE"""),"HS")</f>
        <v>HS</v>
      </c>
    </row>
    <row r="2317" ht="15.75" customHeight="1">
      <c r="A2317" s="1" t="str">
        <f>IFERROR(__xludf.DUMMYFUNCTION("""COMPUTED_VALUE"""),"Jude Hock")</f>
        <v>Jude Hock</v>
      </c>
      <c r="B2317" s="1" t="str">
        <f>IFERROR(__xludf.DUMMYFUNCTION("""COMPUTED_VALUE"""),"MS")</f>
        <v>MS</v>
      </c>
    </row>
    <row r="2318" ht="15.75" customHeight="1">
      <c r="A2318" s="1" t="str">
        <f>IFERROR(__xludf.DUMMYFUNCTION("""COMPUTED_VALUE"""),"Elle Liemandt")</f>
        <v>Elle Liemandt</v>
      </c>
      <c r="B2318" s="1" t="str">
        <f>IFERROR(__xludf.DUMMYFUNCTION("""COMPUTED_VALUE"""),"HS")</f>
        <v>HS</v>
      </c>
    </row>
    <row r="2319" ht="15.75" customHeight="1">
      <c r="A2319" s="1" t="str">
        <f>IFERROR(__xludf.DUMMYFUNCTION("""COMPUTED_VALUE"""),"Sloane Price")</f>
        <v>Sloane Price</v>
      </c>
      <c r="B2319" s="1" t="str">
        <f>IFERROR(__xludf.DUMMYFUNCTION("""COMPUTED_VALUE"""),"HS")</f>
        <v>HS</v>
      </c>
    </row>
    <row r="2320" ht="15.75" customHeight="1">
      <c r="A2320" s="1" t="str">
        <f>IFERROR(__xludf.DUMMYFUNCTION("""COMPUTED_VALUE"""),"Maddie Price")</f>
        <v>Maddie Price</v>
      </c>
      <c r="B2320" s="1" t="str">
        <f>IFERROR(__xludf.DUMMYFUNCTION("""COMPUTED_VALUE"""),"HS")</f>
        <v>HS</v>
      </c>
    </row>
    <row r="2321" ht="15.75" customHeight="1">
      <c r="A2321" s="1" t="str">
        <f>IFERROR(__xludf.DUMMYFUNCTION("""COMPUTED_VALUE"""),"Ali Romman")</f>
        <v>Ali Romman</v>
      </c>
      <c r="B2321" s="1" t="str">
        <f>IFERROR(__xludf.DUMMYFUNCTION("""COMPUTED_VALUE"""),"HS")</f>
        <v>HS</v>
      </c>
    </row>
    <row r="2322" ht="15.75" customHeight="1">
      <c r="A2322" s="1" t="str">
        <f>IFERROR(__xludf.DUMMYFUNCTION("""COMPUTED_VALUE"""),"Parker Pesek")</f>
        <v>Parker Pesek</v>
      </c>
      <c r="B2322" s="1" t="str">
        <f>IFERROR(__xludf.DUMMYFUNCTION("""COMPUTED_VALUE"""),"MS")</f>
        <v>MS</v>
      </c>
    </row>
    <row r="2323" ht="15.75" customHeight="1">
      <c r="A2323" s="1" t="str">
        <f>IFERROR(__xludf.DUMMYFUNCTION("""COMPUTED_VALUE"""),"Nadine Romman")</f>
        <v>Nadine Romman</v>
      </c>
      <c r="B2323" s="1" t="str">
        <f>IFERROR(__xludf.DUMMYFUNCTION("""COMPUTED_VALUE"""),"MS")</f>
        <v>MS</v>
      </c>
    </row>
    <row r="2324" ht="15.75" customHeight="1">
      <c r="A2324" s="1" t="str">
        <f>IFERROR(__xludf.DUMMYFUNCTION("""COMPUTED_VALUE"""),"Sara Beth Way")</f>
        <v>Sara Beth Way</v>
      </c>
      <c r="B2324" s="1" t="str">
        <f>IFERROR(__xludf.DUMMYFUNCTION("""COMPUTED_VALUE"""),"HS")</f>
        <v>HS</v>
      </c>
    </row>
    <row r="2325" ht="15.75" customHeight="1">
      <c r="A2325" s="1" t="str">
        <f>IFERROR(__xludf.DUMMYFUNCTION("""COMPUTED_VALUE"""),"Luke Hock")</f>
        <v>Luke Hock</v>
      </c>
      <c r="B2325" s="1" t="str">
        <f>IFERROR(__xludf.DUMMYFUNCTION("""COMPUTED_VALUE"""),"MS")</f>
        <v>MS</v>
      </c>
    </row>
    <row r="2326" ht="15.75" customHeight="1">
      <c r="A2326" s="1" t="str">
        <f>IFERROR(__xludf.DUMMYFUNCTION("""COMPUTED_VALUE"""),"Elaina Robertson")</f>
        <v>Elaina Robertson</v>
      </c>
      <c r="B2326" s="1" t="str">
        <f>IFERROR(__xludf.DUMMYFUNCTION("""COMPUTED_VALUE"""),"L2")</f>
        <v>L2</v>
      </c>
    </row>
    <row r="2327" ht="15.75" customHeight="1">
      <c r="A2327" s="1" t="str">
        <f>IFERROR(__xludf.DUMMYFUNCTION("""COMPUTED_VALUE"""),"Tate Price")</f>
        <v>Tate Price</v>
      </c>
      <c r="B2327" s="1" t="str">
        <f>IFERROR(__xludf.DUMMYFUNCTION("""COMPUTED_VALUE"""),"L2")</f>
        <v>L2</v>
      </c>
    </row>
    <row r="2328" ht="15.75" customHeight="1">
      <c r="A2328" s="1" t="str">
        <f>IFERROR(__xludf.DUMMYFUNCTION("""COMPUTED_VALUE"""),"Zion Clark")</f>
        <v>Zion Clark</v>
      </c>
      <c r="B2328" s="1" t="str">
        <f>IFERROR(__xludf.DUMMYFUNCTION("""COMPUTED_VALUE"""),"L2")</f>
        <v>L2</v>
      </c>
    </row>
    <row r="2329" ht="15.75" customHeight="1">
      <c r="A2329" s="1" t="str">
        <f>IFERROR(__xludf.DUMMYFUNCTION("""COMPUTED_VALUE"""),"Jack Cotner")</f>
        <v>Jack Cotner</v>
      </c>
      <c r="B2329" s="1" t="str">
        <f>IFERROR(__xludf.DUMMYFUNCTION("""COMPUTED_VALUE"""),"MS")</f>
        <v>MS</v>
      </c>
    </row>
    <row r="2330" ht="15.75" customHeight="1">
      <c r="A2330" s="1" t="str">
        <f>IFERROR(__xludf.DUMMYFUNCTION("""COMPUTED_VALUE"""),"Emma Cotner")</f>
        <v>Emma Cotner</v>
      </c>
      <c r="B2330" s="1" t="str">
        <f>IFERROR(__xludf.DUMMYFUNCTION("""COMPUTED_VALUE"""),"HS")</f>
        <v>HS</v>
      </c>
    </row>
    <row r="2331" ht="15.75" customHeight="1">
      <c r="A2331" s="1" t="str">
        <f>IFERROR(__xludf.DUMMYFUNCTION("""COMPUTED_VALUE"""),"Austin Way")</f>
        <v>Austin Way</v>
      </c>
      <c r="B2331" s="1" t="str">
        <f>IFERROR(__xludf.DUMMYFUNCTION("""COMPUTED_VALUE"""),"HS")</f>
        <v>HS</v>
      </c>
    </row>
    <row r="2332" ht="15.75" customHeight="1">
      <c r="A2332" s="1" t="str">
        <f>IFERROR(__xludf.DUMMYFUNCTION("""COMPUTED_VALUE"""),"Jacob Kuchinsky")</f>
        <v>Jacob Kuchinsky</v>
      </c>
      <c r="B2332" s="1" t="str">
        <f>IFERROR(__xludf.DUMMYFUNCTION("""COMPUTED_VALUE"""),"HS")</f>
        <v>HS</v>
      </c>
    </row>
    <row r="2333" ht="15.75" customHeight="1">
      <c r="A2333" s="1" t="str">
        <f>IFERROR(__xludf.DUMMYFUNCTION("""COMPUTED_VALUE"""),"Jackson Price")</f>
        <v>Jackson Price</v>
      </c>
      <c r="B2333" s="1" t="str">
        <f>IFERROR(__xludf.DUMMYFUNCTION("""COMPUTED_VALUE"""),"HS")</f>
        <v>HS</v>
      </c>
    </row>
    <row r="2334" ht="15.75" customHeight="1">
      <c r="A2334" s="1" t="str">
        <f>IFERROR(__xludf.DUMMYFUNCTION("""COMPUTED_VALUE"""),"Sophia Reicher")</f>
        <v>Sophia Reicher</v>
      </c>
      <c r="B2334" s="1" t="str">
        <f>IFERROR(__xludf.DUMMYFUNCTION("""COMPUTED_VALUE"""),"L2")</f>
        <v>L2</v>
      </c>
    </row>
    <row r="2335" ht="15.75" customHeight="1">
      <c r="A2335" s="1" t="str">
        <f>IFERROR(__xludf.DUMMYFUNCTION("""COMPUTED_VALUE"""),"Armin Rouwet")</f>
        <v>Armin Rouwet</v>
      </c>
      <c r="B2335" s="1" t="str">
        <f>IFERROR(__xludf.DUMMYFUNCTION("""COMPUTED_VALUE"""),"MS")</f>
        <v>MS</v>
      </c>
    </row>
    <row r="2336" ht="15.75" customHeight="1">
      <c r="A2336" s="1" t="str">
        <f>IFERROR(__xludf.DUMMYFUNCTION("""COMPUTED_VALUE"""),"Lucia Scaletta")</f>
        <v>Lucia Scaletta</v>
      </c>
      <c r="B2336" s="1" t="str">
        <f>IFERROR(__xludf.DUMMYFUNCTION("""COMPUTED_VALUE"""),"HS")</f>
        <v>HS</v>
      </c>
    </row>
    <row r="2337" ht="15.75" customHeight="1">
      <c r="A2337" s="1" t="str">
        <f>IFERROR(__xludf.DUMMYFUNCTION("""COMPUTED_VALUE"""),"Reed Robertson")</f>
        <v>Reed Robertson</v>
      </c>
      <c r="B2337" s="1" t="str">
        <f>IFERROR(__xludf.DUMMYFUNCTION("""COMPUTED_VALUE"""),"L1")</f>
        <v>L1</v>
      </c>
    </row>
    <row r="2338" ht="15.75" customHeight="1">
      <c r="A2338" s="1" t="str">
        <f>IFERROR(__xludf.DUMMYFUNCTION("""COMPUTED_VALUE"""),"Brett Noel")</f>
        <v>Brett Noel</v>
      </c>
      <c r="B2338" s="1" t="str">
        <f>IFERROR(__xludf.DUMMYFUNCTION("""COMPUTED_VALUE"""),"L1")</f>
        <v>L1</v>
      </c>
    </row>
    <row r="2339" ht="15.75" customHeight="1">
      <c r="A2339" s="1" t="str">
        <f>IFERROR(__xludf.DUMMYFUNCTION("""COMPUTED_VALUE"""),"Gus Castillo")</f>
        <v>Gus Castillo</v>
      </c>
      <c r="B2339" s="1" t="str">
        <f>IFERROR(__xludf.DUMMYFUNCTION("""COMPUTED_VALUE"""),"HS")</f>
        <v>HS</v>
      </c>
    </row>
    <row r="2340" ht="15.75" customHeight="1">
      <c r="A2340" s="1" t="str">
        <f>IFERROR(__xludf.DUMMYFUNCTION("""COMPUTED_VALUE"""),"Brooke Tracy")</f>
        <v>Brooke Tracy</v>
      </c>
      <c r="B2340" s="1" t="str">
        <f>IFERROR(__xludf.DUMMYFUNCTION("""COMPUTED_VALUE"""),"L2")</f>
        <v>L2</v>
      </c>
    </row>
    <row r="2341" ht="15.75" customHeight="1">
      <c r="A2341" s="1" t="str">
        <f>IFERROR(__xludf.DUMMYFUNCTION("""COMPUTED_VALUE"""),"Alyan Slizza")</f>
        <v>Alyan Slizza</v>
      </c>
      <c r="B2341" s="1" t="str">
        <f>IFERROR(__xludf.DUMMYFUNCTION("""COMPUTED_VALUE"""),"L2")</f>
        <v>L2</v>
      </c>
    </row>
    <row r="2342" ht="15.75" customHeight="1">
      <c r="A2342" s="1" t="str">
        <f>IFERROR(__xludf.DUMMYFUNCTION("""COMPUTED_VALUE"""),"Duke Ajouz")</f>
        <v>Duke Ajouz</v>
      </c>
      <c r="B2342" s="1" t="str">
        <f>IFERROR(__xludf.DUMMYFUNCTION("""COMPUTED_VALUE"""),"L2")</f>
        <v>L2</v>
      </c>
    </row>
    <row r="2343" ht="15.75" customHeight="1">
      <c r="A2343" s="1" t="str">
        <f>IFERROR(__xludf.DUMMYFUNCTION("""COMPUTED_VALUE"""),"Ella McMurry")</f>
        <v>Ella McMurry</v>
      </c>
      <c r="B2343" s="1" t="str">
        <f>IFERROR(__xludf.DUMMYFUNCTION("""COMPUTED_VALUE"""),"MS")</f>
        <v>MS</v>
      </c>
    </row>
    <row r="2344" ht="15.75" customHeight="1">
      <c r="A2344" s="1" t="str">
        <f>IFERROR(__xludf.DUMMYFUNCTION("""COMPUTED_VALUE"""),"Edgar Shinar")</f>
        <v>Edgar Shinar</v>
      </c>
      <c r="B2344" s="1" t="str">
        <f>IFERROR(__xludf.DUMMYFUNCTION("""COMPUTED_VALUE"""),"MS")</f>
        <v>MS</v>
      </c>
    </row>
    <row r="2345" ht="15.75" customHeight="1">
      <c r="A2345" s="1" t="str">
        <f>IFERROR(__xludf.DUMMYFUNCTION("""COMPUTED_VALUE"""),"Byron Attridge")</f>
        <v>Byron Attridge</v>
      </c>
      <c r="B2345" s="1" t="str">
        <f>IFERROR(__xludf.DUMMYFUNCTION("""COMPUTED_VALUE"""),"MS")</f>
        <v>MS</v>
      </c>
    </row>
    <row r="2346" ht="15.75" customHeight="1">
      <c r="A2346" s="1" t="str">
        <f>IFERROR(__xludf.DUMMYFUNCTION("""COMPUTED_VALUE"""),"Paty Margain-Junco")</f>
        <v>Paty Margain-Junco</v>
      </c>
      <c r="B2346" s="1" t="str">
        <f>IFERROR(__xludf.DUMMYFUNCTION("""COMPUTED_VALUE"""),"HS")</f>
        <v>HS</v>
      </c>
    </row>
    <row r="2347" ht="15.75" customHeight="1">
      <c r="A2347" s="1" t="str">
        <f>IFERROR(__xludf.DUMMYFUNCTION("""COMPUTED_VALUE"""),"Eddie Margain-Junco")</f>
        <v>Eddie Margain-Junco</v>
      </c>
      <c r="B2347" s="1" t="str">
        <f>IFERROR(__xludf.DUMMYFUNCTION("""COMPUTED_VALUE"""),"MS")</f>
        <v>MS</v>
      </c>
    </row>
    <row r="2348" ht="15.75" customHeight="1">
      <c r="A2348" s="1" t="str">
        <f>IFERROR(__xludf.DUMMYFUNCTION("""COMPUTED_VALUE"""),"Adrienne Laswell")</f>
        <v>Adrienne Laswell</v>
      </c>
      <c r="B2348" s="1" t="str">
        <f>IFERROR(__xludf.DUMMYFUNCTION("""COMPUTED_VALUE"""),"HS")</f>
        <v>HS</v>
      </c>
    </row>
    <row r="2349" ht="15.75" customHeight="1">
      <c r="A2349" s="1" t="str">
        <f>IFERROR(__xludf.DUMMYFUNCTION("""COMPUTED_VALUE"""),"Kai Sticker")</f>
        <v>Kai Sticker</v>
      </c>
      <c r="B2349" s="1" t="str">
        <f>IFERROR(__xludf.DUMMYFUNCTION("""COMPUTED_VALUE"""),"MS")</f>
        <v>MS</v>
      </c>
    </row>
    <row r="2350" ht="15.75" customHeight="1">
      <c r="A2350" s="1" t="str">
        <f>IFERROR(__xludf.DUMMYFUNCTION("""COMPUTED_VALUE"""),"Aileya Klinefelter")</f>
        <v>Aileya Klinefelter</v>
      </c>
      <c r="B2350" s="1" t="str">
        <f>IFERROR(__xludf.DUMMYFUNCTION("""COMPUTED_VALUE"""),"MS")</f>
        <v>MS</v>
      </c>
    </row>
    <row r="2351" ht="15.75" customHeight="1">
      <c r="A2351" s="1" t="str">
        <f>IFERROR(__xludf.DUMMYFUNCTION("""COMPUTED_VALUE"""),"Lukas Siers")</f>
        <v>Lukas Siers</v>
      </c>
      <c r="B2351" s="1" t="str">
        <f>IFERROR(__xludf.DUMMYFUNCTION("""COMPUTED_VALUE"""),"L2")</f>
        <v>L2</v>
      </c>
    </row>
    <row r="2352" ht="15.75" customHeight="1">
      <c r="A2352" s="1" t="str">
        <f>IFERROR(__xludf.DUMMYFUNCTION("""COMPUTED_VALUE"""),"Jaxon Siers")</f>
        <v>Jaxon Siers</v>
      </c>
      <c r="B2352" s="1" t="str">
        <f>IFERROR(__xludf.DUMMYFUNCTION("""COMPUTED_VALUE"""),"L2")</f>
        <v>L2</v>
      </c>
    </row>
    <row r="2353" ht="15.75" customHeight="1">
      <c r="A2353" s="1" t="str">
        <f>IFERROR(__xludf.DUMMYFUNCTION("""COMPUTED_VALUE"""),"George Troxell")</f>
        <v>George Troxell</v>
      </c>
      <c r="B2353" s="1" t="str">
        <f>IFERROR(__xludf.DUMMYFUNCTION("""COMPUTED_VALUE"""),"L2")</f>
        <v>L2</v>
      </c>
    </row>
    <row r="2354" ht="15.75" customHeight="1">
      <c r="A2354" s="1" t="str">
        <f>IFERROR(__xludf.DUMMYFUNCTION("""COMPUTED_VALUE"""),"Raphael Shinar")</f>
        <v>Raphael Shinar</v>
      </c>
      <c r="B2354" s="1" t="str">
        <f>IFERROR(__xludf.DUMMYFUNCTION("""COMPUTED_VALUE"""),"L1")</f>
        <v>L1</v>
      </c>
    </row>
    <row r="2355" ht="15.75" customHeight="1">
      <c r="A2355" s="1" t="str">
        <f>IFERROR(__xludf.DUMMYFUNCTION("""COMPUTED_VALUE"""),"James Gregory")</f>
        <v>James Gregory</v>
      </c>
      <c r="B2355" s="1" t="str">
        <f>IFERROR(__xludf.DUMMYFUNCTION("""COMPUTED_VALUE"""),"L1")</f>
        <v>L1</v>
      </c>
    </row>
    <row r="2356" ht="15.75" customHeight="1">
      <c r="A2356" s="1" t="str">
        <f>IFERROR(__xludf.DUMMYFUNCTION("""COMPUTED_VALUE"""),"Naomi Kocek")</f>
        <v>Naomi Kocek</v>
      </c>
      <c r="B2356" s="1" t="str">
        <f>IFERROR(__xludf.DUMMYFUNCTION("""COMPUTED_VALUE"""),"MS")</f>
        <v>MS</v>
      </c>
    </row>
    <row r="2357" ht="15.75" customHeight="1">
      <c r="A2357" s="1" t="str">
        <f>IFERROR(__xludf.DUMMYFUNCTION("""COMPUTED_VALUE"""),"Branson Pfiester")</f>
        <v>Branson Pfiester</v>
      </c>
      <c r="B2357" s="1" t="str">
        <f>IFERROR(__xludf.DUMMYFUNCTION("""COMPUTED_VALUE"""),"HS")</f>
        <v>HS</v>
      </c>
    </row>
    <row r="2358" ht="15.75" customHeight="1">
      <c r="A2358" s="1" t="str">
        <f>IFERROR(__xludf.DUMMYFUNCTION("""COMPUTED_VALUE"""),"Shepperd Pfiester")</f>
        <v>Shepperd Pfiester</v>
      </c>
      <c r="B2358" s="1" t="str">
        <f>IFERROR(__xludf.DUMMYFUNCTION("""COMPUTED_VALUE"""),"MS")</f>
        <v>MS</v>
      </c>
    </row>
    <row r="2359" ht="15.75" customHeight="1">
      <c r="A2359" s="1" t="str">
        <f>IFERROR(__xludf.DUMMYFUNCTION("""COMPUTED_VALUE"""),"Bailey Carlson")</f>
        <v>Bailey Carlson</v>
      </c>
      <c r="B2359" s="1" t="str">
        <f>IFERROR(__xludf.DUMMYFUNCTION("""COMPUTED_VALUE"""),"MS")</f>
        <v>MS</v>
      </c>
    </row>
    <row r="2360" ht="15.75" customHeight="1">
      <c r="A2360" s="1" t="str">
        <f>IFERROR(__xludf.DUMMYFUNCTION("""COMPUTED_VALUE"""),"Grey Walker")</f>
        <v>Grey Walker</v>
      </c>
      <c r="B2360" s="1" t="str">
        <f>IFERROR(__xludf.DUMMYFUNCTION("""COMPUTED_VALUE"""),"HS")</f>
        <v>HS</v>
      </c>
    </row>
    <row r="2361" ht="15.75" customHeight="1">
      <c r="A2361" s="1" t="str">
        <f>IFERROR(__xludf.DUMMYFUNCTION("""COMPUTED_VALUE"""),"Ross Margraves")</f>
        <v>Ross Margraves</v>
      </c>
      <c r="B2361" s="1" t="str">
        <f>IFERROR(__xludf.DUMMYFUNCTION("""COMPUTED_VALUE"""),"HS")</f>
        <v>HS</v>
      </c>
    </row>
    <row r="2362" ht="15.75" customHeight="1">
      <c r="A2362" s="1" t="str">
        <f>IFERROR(__xludf.DUMMYFUNCTION("""COMPUTED_VALUE"""),"Anaya Lenington")</f>
        <v>Anaya Lenington</v>
      </c>
      <c r="B2362" s="1" t="str">
        <f>IFERROR(__xludf.DUMMYFUNCTION("""COMPUTED_VALUE"""),"L2")</f>
        <v>L2</v>
      </c>
    </row>
    <row r="2363" ht="15.75" customHeight="1">
      <c r="A2363" s="1" t="str">
        <f>IFERROR(__xludf.DUMMYFUNCTION("""COMPUTED_VALUE"""),"Wyatt Signor")</f>
        <v>Wyatt Signor</v>
      </c>
      <c r="B2363" s="1" t="str">
        <f>IFERROR(__xludf.DUMMYFUNCTION("""COMPUTED_VALUE"""),"L2")</f>
        <v>L2</v>
      </c>
    </row>
    <row r="2364" ht="15.75" customHeight="1">
      <c r="A2364" s="1" t="str">
        <f>IFERROR(__xludf.DUMMYFUNCTION("""COMPUTED_VALUE"""),"Blake Flores")</f>
        <v>Blake Flores</v>
      </c>
      <c r="B2364" s="1" t="str">
        <f>IFERROR(__xludf.DUMMYFUNCTION("""COMPUTED_VALUE"""),"MS")</f>
        <v>MS</v>
      </c>
    </row>
    <row r="2365" ht="15.75" customHeight="1">
      <c r="A2365" s="1" t="str">
        <f>IFERROR(__xludf.DUMMYFUNCTION("""COMPUTED_VALUE"""),"Liam Lenhardt")</f>
        <v>Liam Lenhardt</v>
      </c>
      <c r="B2365" s="1" t="str">
        <f>IFERROR(__xludf.DUMMYFUNCTION("""COMPUTED_VALUE"""),"HS")</f>
        <v>HS</v>
      </c>
    </row>
    <row r="2366" ht="15.75" customHeight="1">
      <c r="A2366" s="1" t="str">
        <f>IFERROR(__xludf.DUMMYFUNCTION("""COMPUTED_VALUE"""),"Lulu Bressan")</f>
        <v>Lulu Bressan</v>
      </c>
      <c r="B2366" s="1" t="str">
        <f>IFERROR(__xludf.DUMMYFUNCTION("""COMPUTED_VALUE"""),"MS")</f>
        <v>MS</v>
      </c>
    </row>
    <row r="2367" ht="15.75" customHeight="1">
      <c r="A2367" s="1" t="str">
        <f>IFERROR(__xludf.DUMMYFUNCTION("""COMPUTED_VALUE"""),"Caleb Walker")</f>
        <v>Caleb Walker</v>
      </c>
      <c r="B2367" s="1" t="str">
        <f>IFERROR(__xludf.DUMMYFUNCTION("""COMPUTED_VALUE"""),"HS")</f>
        <v>HS</v>
      </c>
    </row>
    <row r="2368" ht="15.75" customHeight="1">
      <c r="A2368" s="1" t="str">
        <f>IFERROR(__xludf.DUMMYFUNCTION("""COMPUTED_VALUE"""),"Rhys Björendahl")</f>
        <v>Rhys Björendahl</v>
      </c>
      <c r="B2368" s="1" t="str">
        <f>IFERROR(__xludf.DUMMYFUNCTION("""COMPUTED_VALUE"""),"MS")</f>
        <v>MS</v>
      </c>
    </row>
    <row r="2369" ht="15.75" customHeight="1">
      <c r="A2369" s="1" t="str">
        <f>IFERROR(__xludf.DUMMYFUNCTION("""COMPUTED_VALUE"""),"Vivian Ajouz")</f>
        <v>Vivian Ajouz</v>
      </c>
      <c r="B2369" s="1" t="str">
        <f>IFERROR(__xludf.DUMMYFUNCTION("""COMPUTED_VALUE"""),"L1")</f>
        <v>L1</v>
      </c>
    </row>
    <row r="2370" ht="15.75" customHeight="1">
      <c r="A2370" s="1" t="str">
        <f>IFERROR(__xludf.DUMMYFUNCTION("""COMPUTED_VALUE"""),"Rivers Yong")</f>
        <v>Rivers Yong</v>
      </c>
      <c r="B2370" s="1" t="str">
        <f>IFERROR(__xludf.DUMMYFUNCTION("""COMPUTED_VALUE"""),"L1")</f>
        <v>L1</v>
      </c>
    </row>
    <row r="2371" ht="15.75" customHeight="1">
      <c r="A2371" s="1" t="str">
        <f>IFERROR(__xludf.DUMMYFUNCTION("""COMPUTED_VALUE"""),"Gia Clark")</f>
        <v>Gia Clark</v>
      </c>
      <c r="B2371" s="1" t="str">
        <f>IFERROR(__xludf.DUMMYFUNCTION("""COMPUTED_VALUE"""),"L1")</f>
        <v>L1</v>
      </c>
    </row>
    <row r="2372" ht="15.75" customHeight="1">
      <c r="A2372" s="1" t="str">
        <f>IFERROR(__xludf.DUMMYFUNCTION("""COMPUTED_VALUE"""),"Blake Price")</f>
        <v>Blake Price</v>
      </c>
      <c r="B2372" s="1" t="str">
        <f>IFERROR(__xludf.DUMMYFUNCTION("""COMPUTED_VALUE"""),"L1")</f>
        <v>L1</v>
      </c>
    </row>
    <row r="2373" ht="15.75" customHeight="1">
      <c r="A2373" s="1" t="str">
        <f>IFERROR(__xludf.DUMMYFUNCTION("""COMPUTED_VALUE"""),"Nour Romman")</f>
        <v>Nour Romman</v>
      </c>
      <c r="B2373" s="1" t="str">
        <f>IFERROR(__xludf.DUMMYFUNCTION("""COMPUTED_VALUE"""),"L1")</f>
        <v>L1</v>
      </c>
    </row>
    <row r="2374" ht="15.75" customHeight="1">
      <c r="A2374" s="1" t="str">
        <f>IFERROR(__xludf.DUMMYFUNCTION("""COMPUTED_VALUE"""),"Kira Fuerst")</f>
        <v>Kira Fuerst</v>
      </c>
      <c r="B2374" s="1" t="str">
        <f>IFERROR(__xludf.DUMMYFUNCTION("""COMPUTED_VALUE"""),"L2")</f>
        <v>L2</v>
      </c>
    </row>
    <row r="2375" ht="15.75" customHeight="1">
      <c r="A2375" s="1" t="str">
        <f>IFERROR(__xludf.DUMMYFUNCTION("""COMPUTED_VALUE"""),"Odeya Shinar")</f>
        <v>Odeya Shinar</v>
      </c>
      <c r="B2375" s="1" t="str">
        <f>IFERROR(__xludf.DUMMYFUNCTION("""COMPUTED_VALUE"""),"L1")</f>
        <v>L1</v>
      </c>
    </row>
    <row r="2376" ht="15.75" customHeight="1">
      <c r="A2376" s="1" t="str">
        <f>IFERROR(__xludf.DUMMYFUNCTION("""COMPUTED_VALUE"""),"David Nolan")</f>
        <v>David Nolan</v>
      </c>
      <c r="B2376" s="1" t="str">
        <f>IFERROR(__xludf.DUMMYFUNCTION("""COMPUTED_VALUE"""),"L2")</f>
        <v>L2</v>
      </c>
    </row>
    <row r="2377" ht="15.75" customHeight="1">
      <c r="A2377" s="1" t="str">
        <f>IFERROR(__xludf.DUMMYFUNCTION("""COMPUTED_VALUE"""),"Bandon Peterson")</f>
        <v>Bandon Peterson</v>
      </c>
      <c r="B2377" s="1" t="str">
        <f>IFERROR(__xludf.DUMMYFUNCTION("""COMPUTED_VALUE"""),"LL")</f>
        <v>LL</v>
      </c>
    </row>
    <row r="2378" ht="15.75" customHeight="1">
      <c r="A2378" s="1" t="str">
        <f>IFERROR(__xludf.DUMMYFUNCTION("""COMPUTED_VALUE"""),"William Nolan")</f>
        <v>William Nolan</v>
      </c>
      <c r="B2378" s="1" t="str">
        <f>IFERROR(__xludf.DUMMYFUNCTION("""COMPUTED_VALUE"""),"L1")</f>
        <v>L1</v>
      </c>
    </row>
    <row r="2379" ht="15.75" customHeight="1">
      <c r="A2379" s="1" t="str">
        <f>IFERROR(__xludf.DUMMYFUNCTION("""COMPUTED_VALUE"""),"Michael Cai")</f>
        <v>Michael Cai</v>
      </c>
      <c r="B2379" s="1" t="str">
        <f>IFERROR(__xludf.DUMMYFUNCTION("""COMPUTED_VALUE"""),"HS")</f>
        <v>HS</v>
      </c>
    </row>
    <row r="2380" ht="15.75" customHeight="1">
      <c r="A2380" s="1" t="str">
        <f>IFERROR(__xludf.DUMMYFUNCTION("""COMPUTED_VALUE"""),"DaveyP Paul")</f>
        <v>DaveyP Paul</v>
      </c>
      <c r="B2380" s="1" t="str">
        <f>IFERROR(__xludf.DUMMYFUNCTION("""COMPUTED_VALUE"""),"L2")</f>
        <v>L2</v>
      </c>
    </row>
    <row r="2381" ht="15.75" customHeight="1">
      <c r="A2381" s="1" t="str">
        <f>IFERROR(__xludf.DUMMYFUNCTION("""COMPUTED_VALUE"""),"Elle Paul")</f>
        <v>Elle Paul</v>
      </c>
      <c r="B2381" s="1" t="str">
        <f>IFERROR(__xludf.DUMMYFUNCTION("""COMPUTED_VALUE"""),"LL")</f>
        <v>LL</v>
      </c>
    </row>
    <row r="2382" ht="15.75" customHeight="1">
      <c r="A2382" s="1" t="str">
        <f>IFERROR(__xludf.DUMMYFUNCTION("""COMPUTED_VALUE"""),"Connor Cason")</f>
        <v>Connor Cason</v>
      </c>
      <c r="B2382" s="1" t="str">
        <f>IFERROR(__xludf.DUMMYFUNCTION("""COMPUTED_VALUE"""),"L2")</f>
        <v>L2</v>
      </c>
    </row>
    <row r="2383" ht="15.75" customHeight="1">
      <c r="A2383" s="1" t="str">
        <f>IFERROR(__xludf.DUMMYFUNCTION("""COMPUTED_VALUE"""),"Cruce Saunders IV")</f>
        <v>Cruce Saunders IV</v>
      </c>
      <c r="B2383" s="1" t="str">
        <f>IFERROR(__xludf.DUMMYFUNCTION("""COMPUTED_VALUE"""),"HS")</f>
        <v>HS</v>
      </c>
    </row>
    <row r="2384" ht="15.75" customHeight="1">
      <c r="A2384" s="1" t="str">
        <f>IFERROR(__xludf.DUMMYFUNCTION("""COMPUTED_VALUE"""),"Rocco Benetti")</f>
        <v>Rocco Benetti</v>
      </c>
      <c r="B2384" s="1" t="str">
        <f>IFERROR(__xludf.DUMMYFUNCTION("""COMPUTED_VALUE"""),"MS")</f>
        <v>MS</v>
      </c>
    </row>
    <row r="2385" ht="15.75" customHeight="1">
      <c r="A2385" s="1" t="str">
        <f>IFERROR(__xludf.DUMMYFUNCTION("""COMPUTED_VALUE"""),"Vayda Hendle")</f>
        <v>Vayda Hendle</v>
      </c>
      <c r="B2385" s="1" t="str">
        <f>IFERROR(__xludf.DUMMYFUNCTION("""COMPUTED_VALUE"""),"MS")</f>
        <v>MS</v>
      </c>
    </row>
    <row r="2386" ht="15.75" customHeight="1">
      <c r="A2386" s="1" t="str">
        <f>IFERROR(__xludf.DUMMYFUNCTION("""COMPUTED_VALUE"""),"Oz Robertson")</f>
        <v>Oz Robertson</v>
      </c>
      <c r="B2386" s="1" t="str">
        <f>IFERROR(__xludf.DUMMYFUNCTION("""COMPUTED_VALUE"""),"LL")</f>
        <v>LL</v>
      </c>
    </row>
    <row r="2387" ht="15.75" customHeight="1">
      <c r="A2387" s="1" t="str">
        <f>IFERROR(__xludf.DUMMYFUNCTION("""COMPUTED_VALUE"""),"Willa Rubenstein")</f>
        <v>Willa Rubenstein</v>
      </c>
      <c r="B2387" s="1" t="str">
        <f>IFERROR(__xludf.DUMMYFUNCTION("""COMPUTED_VALUE"""),"L1")</f>
        <v>L1</v>
      </c>
    </row>
    <row r="2388" ht="15.75" customHeight="1">
      <c r="A2388" s="1" t="str">
        <f>IFERROR(__xludf.DUMMYFUNCTION("""COMPUTED_VALUE"""),"Elijah Knecht")</f>
        <v>Elijah Knecht</v>
      </c>
      <c r="B2388" s="1" t="str">
        <f>IFERROR(__xludf.DUMMYFUNCTION("""COMPUTED_VALUE"""),"LL")</f>
        <v>LL</v>
      </c>
    </row>
    <row r="2389" ht="15.75" customHeight="1">
      <c r="A2389" s="1" t="str">
        <f>IFERROR(__xludf.DUMMYFUNCTION("""COMPUTED_VALUE"""),"Jimmy Moore")</f>
        <v>Jimmy Moore</v>
      </c>
      <c r="B2389" s="1" t="str">
        <f>IFERROR(__xludf.DUMMYFUNCTION("""COMPUTED_VALUE"""),"L1")</f>
        <v>L1</v>
      </c>
    </row>
    <row r="2390" ht="15.75" customHeight="1">
      <c r="A2390" s="1" t="str">
        <f>IFERROR(__xludf.DUMMYFUNCTION("""COMPUTED_VALUE"""),"Aleina Boyce")</f>
        <v>Aleina Boyce</v>
      </c>
      <c r="B2390" s="1" t="str">
        <f>IFERROR(__xludf.DUMMYFUNCTION("""COMPUTED_VALUE"""),"L2")</f>
        <v>L2</v>
      </c>
    </row>
    <row r="2391" ht="15.75" customHeight="1">
      <c r="A2391" s="1" t="str">
        <f>IFERROR(__xludf.DUMMYFUNCTION("""COMPUTED_VALUE"""),"Donnie Moore")</f>
        <v>Donnie Moore</v>
      </c>
      <c r="B2391" s="1" t="str">
        <f>IFERROR(__xludf.DUMMYFUNCTION("""COMPUTED_VALUE"""),"L2")</f>
        <v>L2</v>
      </c>
    </row>
    <row r="2392" ht="15.75" customHeight="1">
      <c r="A2392" s="1" t="str">
        <f>IFERROR(__xludf.DUMMYFUNCTION("""COMPUTED_VALUE"""),"Dario Poyatos Ramos")</f>
        <v>Dario Poyatos Ramos</v>
      </c>
      <c r="B2392" s="1" t="str">
        <f>IFERROR(__xludf.DUMMYFUNCTION("""COMPUTED_VALUE"""),"MS")</f>
        <v>MS</v>
      </c>
    </row>
    <row r="2393" ht="15.75" customHeight="1">
      <c r="A2393" s="1" t="str">
        <f>IFERROR(__xludf.DUMMYFUNCTION("""COMPUTED_VALUE"""),"Love Lalla-Pagan")</f>
        <v>Love Lalla-Pagan</v>
      </c>
      <c r="B2393" s="1" t="str">
        <f>IFERROR(__xludf.DUMMYFUNCTION("""COMPUTED_VALUE"""),"MS")</f>
        <v>MS</v>
      </c>
    </row>
    <row r="2394" ht="15.75" customHeight="1">
      <c r="A2394" s="1" t="str">
        <f>IFERROR(__xludf.DUMMYFUNCTION("""COMPUTED_VALUE"""),"Aoife Moore")</f>
        <v>Aoife Moore</v>
      </c>
      <c r="B2394" s="1" t="str">
        <f>IFERROR(__xludf.DUMMYFUNCTION("""COMPUTED_VALUE"""),"MS")</f>
        <v>MS</v>
      </c>
    </row>
    <row r="2395" ht="15.75" customHeight="1">
      <c r="A2395" s="1" t="str">
        <f>IFERROR(__xludf.DUMMYFUNCTION("""COMPUTED_VALUE"""),"Parker Carlson")</f>
        <v>Parker Carlson</v>
      </c>
      <c r="B2395" s="1" t="str">
        <f>IFERROR(__xludf.DUMMYFUNCTION("""COMPUTED_VALUE"""),"MS")</f>
        <v>MS</v>
      </c>
    </row>
    <row r="2396" ht="15.75" customHeight="1">
      <c r="A2396" s="1" t="str">
        <f>IFERROR(__xludf.DUMMYFUNCTION("""COMPUTED_VALUE"""),"Jake Signor")</f>
        <v>Jake Signor</v>
      </c>
      <c r="B2396" s="1" t="str">
        <f>IFERROR(__xludf.DUMMYFUNCTION("""COMPUTED_VALUE"""),"L1")</f>
        <v>L1</v>
      </c>
    </row>
    <row r="2397" ht="15.75" customHeight="1">
      <c r="A2397" s="1" t="str">
        <f>IFERROR(__xludf.DUMMYFUNCTION("""COMPUTED_VALUE"""),"Aiden Richardson")</f>
        <v>Aiden Richardson</v>
      </c>
      <c r="B2397" s="1" t="str">
        <f>IFERROR(__xludf.DUMMYFUNCTION("""COMPUTED_VALUE"""),"LL")</f>
        <v>LL</v>
      </c>
    </row>
    <row r="2398" ht="15.75" customHeight="1">
      <c r="A2398" s="1" t="str">
        <f>IFERROR(__xludf.DUMMYFUNCTION("""COMPUTED_VALUE"""),"Nico Blanco")</f>
        <v>Nico Blanco</v>
      </c>
      <c r="B2398" s="1" t="str">
        <f>IFERROR(__xludf.DUMMYFUNCTION("""COMPUTED_VALUE"""),"LL")</f>
        <v>LL</v>
      </c>
    </row>
    <row r="2399" ht="15.75" customHeight="1">
      <c r="A2399" s="1" t="str">
        <f>IFERROR(__xludf.DUMMYFUNCTION("""COMPUTED_VALUE"""),"Eva Lenington")</f>
        <v>Eva Lenington</v>
      </c>
      <c r="B2399" s="1" t="str">
        <f>IFERROR(__xludf.DUMMYFUNCTION("""COMPUTED_VALUE"""),"L1")</f>
        <v>L1</v>
      </c>
    </row>
    <row r="2400" ht="15.75" customHeight="1">
      <c r="A2400" s="1" t="str">
        <f>IFERROR(__xludf.DUMMYFUNCTION("""COMPUTED_VALUE"""),"Grady Swanson")</f>
        <v>Grady Swanson</v>
      </c>
      <c r="B2400" s="1" t="str">
        <f>IFERROR(__xludf.DUMMYFUNCTION("""COMPUTED_VALUE"""),"HS")</f>
        <v>HS</v>
      </c>
    </row>
    <row r="2401" ht="15.75" customHeight="1">
      <c r="A2401" s="1" t="str">
        <f>IFERROR(__xludf.DUMMYFUNCTION("""COMPUTED_VALUE"""),"Alex Mathew")</f>
        <v>Alex Mathew</v>
      </c>
      <c r="B2401" s="1" t="str">
        <f>IFERROR(__xludf.DUMMYFUNCTION("""COMPUTED_VALUE"""),"HS")</f>
        <v>HS</v>
      </c>
    </row>
    <row r="2402" ht="15.75" customHeight="1">
      <c r="A2402" s="1" t="str">
        <f>IFERROR(__xludf.DUMMYFUNCTION("""COMPUTED_VALUE"""),"Emily Smith")</f>
        <v>Emily Smith</v>
      </c>
      <c r="B2402" s="1" t="str">
        <f>IFERROR(__xludf.DUMMYFUNCTION("""COMPUTED_VALUE"""),"HS")</f>
        <v>HS</v>
      </c>
    </row>
    <row r="2403" ht="15.75" customHeight="1">
      <c r="A2403" s="1" t="str">
        <f>IFERROR(__xludf.DUMMYFUNCTION("""COMPUTED_VALUE"""),"Arden McCord")</f>
        <v>Arden McCord</v>
      </c>
      <c r="B2403" s="1" t="str">
        <f>IFERROR(__xludf.DUMMYFUNCTION("""COMPUTED_VALUE"""),"LL")</f>
        <v>LL</v>
      </c>
    </row>
    <row r="2404" ht="15.75" customHeight="1">
      <c r="A2404" s="1" t="str">
        <f>IFERROR(__xludf.DUMMYFUNCTION("""COMPUTED_VALUE"""),"Reuben Runacres")</f>
        <v>Reuben Runacres</v>
      </c>
      <c r="B2404" s="1" t="str">
        <f>IFERROR(__xludf.DUMMYFUNCTION("""COMPUTED_VALUE"""),"HS")</f>
        <v>HS</v>
      </c>
    </row>
    <row r="2405" ht="15.75" customHeight="1">
      <c r="A2405" s="1" t="str">
        <f>IFERROR(__xludf.DUMMYFUNCTION("""COMPUTED_VALUE"""),"Hayden Temcharoen")</f>
        <v>Hayden Temcharoen</v>
      </c>
      <c r="B2405" s="1" t="str">
        <f>IFERROR(__xludf.DUMMYFUNCTION("""COMPUTED_VALUE"""),"L1")</f>
        <v>L1</v>
      </c>
    </row>
    <row r="2406" ht="15.75" customHeight="1">
      <c r="A2406" s="1" t="str">
        <f>IFERROR(__xludf.DUMMYFUNCTION("""COMPUTED_VALUE"""),"Lincoln Thomas")</f>
        <v>Lincoln Thomas</v>
      </c>
      <c r="B2406" s="1" t="str">
        <f>IFERROR(__xludf.DUMMYFUNCTION("""COMPUTED_VALUE"""),"HS")</f>
        <v>HS</v>
      </c>
    </row>
    <row r="2407" ht="15.75" customHeight="1">
      <c r="A2407" s="1" t="str">
        <f>IFERROR(__xludf.DUMMYFUNCTION("""COMPUTED_VALUE"""),"Benny Valles")</f>
        <v>Benny Valles</v>
      </c>
      <c r="B2407" s="1" t="str">
        <f>IFERROR(__xludf.DUMMYFUNCTION("""COMPUTED_VALUE"""),"HS")</f>
        <v>HS</v>
      </c>
    </row>
    <row r="2408" ht="15.75" customHeight="1">
      <c r="A2408" s="1" t="str">
        <f>IFERROR(__xludf.DUMMYFUNCTION("""COMPUTED_VALUE"""),"Ren Sticker")</f>
        <v>Ren Sticker</v>
      </c>
      <c r="B2408" s="1" t="str">
        <f>IFERROR(__xludf.DUMMYFUNCTION("""COMPUTED_VALUE"""),"L1")</f>
        <v>L1</v>
      </c>
    </row>
    <row r="2409" ht="15.75" customHeight="1">
      <c r="A2409" s="1" t="str">
        <f>IFERROR(__xludf.DUMMYFUNCTION("""COMPUTED_VALUE"""),"Arman Caberwal")</f>
        <v>Arman Caberwal</v>
      </c>
      <c r="B2409" s="1" t="str">
        <f>IFERROR(__xludf.DUMMYFUNCTION("""COMPUTED_VALUE"""),"L2")</f>
        <v>L2</v>
      </c>
    </row>
    <row r="2410" ht="15.75" customHeight="1">
      <c r="A2410" s="1" t="str">
        <f>IFERROR(__xludf.DUMMYFUNCTION("""COMPUTED_VALUE"""),"Arjun Caberwal")</f>
        <v>Arjun Caberwal</v>
      </c>
      <c r="B2410" s="1" t="str">
        <f>IFERROR(__xludf.DUMMYFUNCTION("""COMPUTED_VALUE"""),"L2")</f>
        <v>L2</v>
      </c>
    </row>
    <row r="2411" ht="15.75" customHeight="1">
      <c r="A2411" s="1" t="str">
        <f>IFERROR(__xludf.DUMMYFUNCTION("""COMPUTED_VALUE"""),"Rania Caberwal")</f>
        <v>Rania Caberwal</v>
      </c>
      <c r="B2411" s="1" t="str">
        <f>IFERROR(__xludf.DUMMYFUNCTION("""COMPUTED_VALUE"""),"MS")</f>
        <v>MS</v>
      </c>
    </row>
    <row r="2412" ht="15.75" customHeight="1">
      <c r="A2412" s="1" t="str">
        <f>IFERROR(__xludf.DUMMYFUNCTION("""COMPUTED_VALUE"""),"Anthem Thomas")</f>
        <v>Anthem Thomas</v>
      </c>
      <c r="B2412" s="1" t="str">
        <f>IFERROR(__xludf.DUMMYFUNCTION("""COMPUTED_VALUE"""),"LL")</f>
        <v>LL</v>
      </c>
    </row>
    <row r="2413" ht="15.75" customHeight="1">
      <c r="A2413" s="1" t="str">
        <f>IFERROR(__xludf.DUMMYFUNCTION("""COMPUTED_VALUE"""),"Diego Bash")</f>
        <v>Diego Bash</v>
      </c>
      <c r="B2413" s="1" t="str">
        <f>IFERROR(__xludf.DUMMYFUNCTION("""COMPUTED_VALUE"""),"LL")</f>
        <v>LL</v>
      </c>
    </row>
    <row r="2414" ht="15.75" customHeight="1">
      <c r="A2414" s="1" t="str">
        <f>IFERROR(__xludf.DUMMYFUNCTION("""COMPUTED_VALUE"""),"Roarke Radia")</f>
        <v>Roarke Radia</v>
      </c>
      <c r="B2414" s="1" t="str">
        <f>IFERROR(__xludf.DUMMYFUNCTION("""COMPUTED_VALUE"""),"MS")</f>
        <v>MS</v>
      </c>
    </row>
    <row r="2415" ht="15.75" customHeight="1">
      <c r="A2415" s="1" t="str">
        <f>IFERROR(__xludf.DUMMYFUNCTION("""COMPUTED_VALUE"""),"Callum Carson-Alford")</f>
        <v>Callum Carson-Alford</v>
      </c>
      <c r="B2415" s="1" t="str">
        <f>IFERROR(__xludf.DUMMYFUNCTION("""COMPUTED_VALUE"""),"LL")</f>
        <v>LL</v>
      </c>
    </row>
    <row r="2416" ht="15.75" customHeight="1">
      <c r="A2416" s="1" t="str">
        <f>IFERROR(__xludf.DUMMYFUNCTION("""COMPUTED_VALUE"""),"L1 First User")</f>
        <v>L1 First User</v>
      </c>
      <c r="B2416" s="1" t="str">
        <f>IFERROR(__xludf.DUMMYFUNCTION("""COMPUTED_VALUE"""),"L2")</f>
        <v>L2</v>
      </c>
    </row>
    <row r="2417" ht="15.75" customHeight="1">
      <c r="A2417" s="1" t="str">
        <f>IFERROR(__xludf.DUMMYFUNCTION("""COMPUTED_VALUE"""),"L1 Second User")</f>
        <v>L1 Second User</v>
      </c>
      <c r="B2417" s="1" t="str">
        <f>IFERROR(__xludf.DUMMYFUNCTION("""COMPUTED_VALUE"""),"L2")</f>
        <v>L2</v>
      </c>
    </row>
    <row r="2418" ht="15.75" customHeight="1">
      <c r="A2418" s="1" t="str">
        <f>IFERROR(__xludf.DUMMYFUNCTION("""COMPUTED_VALUE"""),"Linc First User")</f>
        <v>Linc First User</v>
      </c>
      <c r="B2418" s="1" t="str">
        <f>IFERROR(__xludf.DUMMYFUNCTION("""COMPUTED_VALUE"""),"L1")</f>
        <v>L1</v>
      </c>
    </row>
    <row r="2419" ht="15.75" customHeight="1">
      <c r="A2419" s="1" t="str">
        <f>IFERROR(__xludf.DUMMYFUNCTION("""COMPUTED_VALUE"""),"Linc Second User")</f>
        <v>Linc Second User</v>
      </c>
      <c r="B2419" s="1" t="str">
        <f>IFERROR(__xludf.DUMMYFUNCTION("""COMPUTED_VALUE"""),"L1")</f>
        <v>L1</v>
      </c>
    </row>
    <row r="2420" ht="15.75" customHeight="1">
      <c r="A2420" s="1" t="str">
        <f>IFERROR(__xludf.DUMMYFUNCTION("""COMPUTED_VALUE"""),"LL First User")</f>
        <v>LL First User</v>
      </c>
      <c r="B2420" s="1" t="str">
        <f>IFERROR(__xludf.DUMMYFUNCTION("""COMPUTED_VALUE"""),"L1")</f>
        <v>L1</v>
      </c>
    </row>
    <row r="2421" ht="15.75" customHeight="1">
      <c r="A2421" s="1" t="str">
        <f>IFERROR(__xludf.DUMMYFUNCTION("""COMPUTED_VALUE"""),"LL Second User")</f>
        <v>LL Second User</v>
      </c>
      <c r="B2421" s="1" t="str">
        <f>IFERROR(__xludf.DUMMYFUNCTION("""COMPUTED_VALUE"""),"L1")</f>
        <v>L1</v>
      </c>
    </row>
    <row r="2422" ht="15.75" customHeight="1">
      <c r="A2422" s="1" t="str">
        <f>IFERROR(__xludf.DUMMYFUNCTION("""COMPUTED_VALUE"""),"L2 First User")</f>
        <v>L2 First User</v>
      </c>
      <c r="B2422" s="1" t="str">
        <f>IFERROR(__xludf.DUMMYFUNCTION("""COMPUTED_VALUE"""),"MS")</f>
        <v>MS</v>
      </c>
    </row>
    <row r="2423" ht="15.75" customHeight="1">
      <c r="A2423" s="1" t="str">
        <f>IFERROR(__xludf.DUMMYFUNCTION("""COMPUTED_VALUE"""),"L2 Second User")</f>
        <v>L2 Second User</v>
      </c>
      <c r="B2423" s="1" t="str">
        <f>IFERROR(__xludf.DUMMYFUNCTION("""COMPUTED_VALUE"""),"MS")</f>
        <v>MS</v>
      </c>
    </row>
    <row r="2424" ht="15.75" customHeight="1">
      <c r="A2424" s="1" t="str">
        <f>IFERROR(__xludf.DUMMYFUNCTION("""COMPUTED_VALUE"""),"L3 First User")</f>
        <v>L3 First User</v>
      </c>
      <c r="B2424" s="1" t="str">
        <f>IFERROR(__xludf.DUMMYFUNCTION("""COMPUTED_VALUE"""),"HS")</f>
        <v>HS</v>
      </c>
    </row>
    <row r="2425" ht="15.75" customHeight="1">
      <c r="A2425" s="1" t="str">
        <f>IFERROR(__xludf.DUMMYFUNCTION("""COMPUTED_VALUE"""),"L3 Second User")</f>
        <v>L3 Second User</v>
      </c>
      <c r="B2425" s="1" t="str">
        <f>IFERROR(__xludf.DUMMYFUNCTION("""COMPUTED_VALUE"""),"HS")</f>
        <v>HS</v>
      </c>
    </row>
    <row r="2426" ht="15.75" customHeight="1">
      <c r="A2426" s="1" t="str">
        <f>IFERROR(__xludf.DUMMYFUNCTION("""COMPUTED_VALUE"""),"L4 First User")</f>
        <v>L4 First User</v>
      </c>
      <c r="B2426" s="1" t="str">
        <f>IFERROR(__xludf.DUMMYFUNCTION("""COMPUTED_VALUE"""),"HS")</f>
        <v>HS</v>
      </c>
    </row>
    <row r="2427" ht="15.75" customHeight="1">
      <c r="A2427" s="1" t="str">
        <f>IFERROR(__xludf.DUMMYFUNCTION("""COMPUTED_VALUE"""),"L4 Second User")</f>
        <v>L4 Second User</v>
      </c>
      <c r="B2427" s="1" t="str">
        <f>IFERROR(__xludf.DUMMYFUNCTION("""COMPUTED_VALUE"""),"HS")</f>
        <v>HS</v>
      </c>
    </row>
    <row r="2428" ht="15.75" customHeight="1">
      <c r="A2428" s="1" t="str">
        <f>IFERROR(__xludf.DUMMYFUNCTION("""COMPUTED_VALUE"""),"Test Lci01")</f>
        <v>Test Lci01</v>
      </c>
      <c r="B2428" s="1" t="str">
        <f>IFERROR(__xludf.DUMMYFUNCTION("""COMPUTED_VALUE"""),"L1")</f>
        <v>L1</v>
      </c>
    </row>
    <row r="2429" ht="15.75" customHeight="1">
      <c r="A2429" s="1" t="str">
        <f>IFERROR(__xludf.DUMMYFUNCTION("""COMPUTED_VALUE"""),"Test Lci02")</f>
        <v>Test Lci02</v>
      </c>
      <c r="B2429" s="1" t="str">
        <f>IFERROR(__xludf.DUMMYFUNCTION("""COMPUTED_VALUE"""),"L2")</f>
        <v>L2</v>
      </c>
    </row>
    <row r="2430" ht="15.75" customHeight="1">
      <c r="A2430" s="1" t="str">
        <f>IFERROR(__xludf.DUMMYFUNCTION("""COMPUTED_VALUE"""),"Test Lci03")</f>
        <v>Test Lci03</v>
      </c>
      <c r="B2430" s="1" t="str">
        <f>IFERROR(__xludf.DUMMYFUNCTION("""COMPUTED_VALUE"""),"L2")</f>
        <v>L2</v>
      </c>
    </row>
    <row r="2431" ht="15.75" customHeight="1">
      <c r="A2431" s="1" t="str">
        <f>IFERROR(__xludf.DUMMYFUNCTION("""COMPUTED_VALUE"""),"Test Lci04")</f>
        <v>Test Lci04</v>
      </c>
      <c r="B2431" s="1" t="str">
        <f>IFERROR(__xludf.DUMMYFUNCTION("""COMPUTED_VALUE"""),"MS")</f>
        <v>MS</v>
      </c>
    </row>
    <row r="2432" ht="15.75" customHeight="1">
      <c r="A2432" s="1" t="str">
        <f>IFERROR(__xludf.DUMMYFUNCTION("""COMPUTED_VALUE"""),"Test Lci05")</f>
        <v>Test Lci05</v>
      </c>
      <c r="B2432" s="1" t="str">
        <f>IFERROR(__xludf.DUMMYFUNCTION("""COMPUTED_VALUE"""),"MS")</f>
        <v>MS</v>
      </c>
    </row>
    <row r="2433" ht="15.75" customHeight="1">
      <c r="A2433" s="1" t="str">
        <f>IFERROR(__xludf.DUMMYFUNCTION("""COMPUTED_VALUE"""),"Test Lci06")</f>
        <v>Test Lci06</v>
      </c>
      <c r="B2433" s="1" t="str">
        <f>IFERROR(__xludf.DUMMYFUNCTION("""COMPUTED_VALUE"""),"MS")</f>
        <v>MS</v>
      </c>
    </row>
    <row r="2434" ht="15.75" customHeight="1">
      <c r="A2434" s="1" t="str">
        <f>IFERROR(__xludf.DUMMYFUNCTION("""COMPUTED_VALUE"""),"Test Lci07")</f>
        <v>Test Lci07</v>
      </c>
      <c r="B2434" s="1" t="str">
        <f>IFERROR(__xludf.DUMMYFUNCTION("""COMPUTED_VALUE"""),"HS")</f>
        <v>HS</v>
      </c>
    </row>
    <row r="2435" ht="15.75" customHeight="1">
      <c r="A2435" s="1" t="str">
        <f>IFERROR(__xludf.DUMMYFUNCTION("""COMPUTED_VALUE"""),"Test Lci08")</f>
        <v>Test Lci08</v>
      </c>
      <c r="B2435" s="1" t="str">
        <f>IFERROR(__xludf.DUMMYFUNCTION("""COMPUTED_VALUE"""),"HS")</f>
        <v>HS</v>
      </c>
    </row>
    <row r="2436" ht="15.75" customHeight="1">
      <c r="A2436" s="1" t="str">
        <f>IFERROR(__xludf.DUMMYFUNCTION("""COMPUTED_VALUE"""),"Test Lci09")</f>
        <v>Test Lci09</v>
      </c>
      <c r="B2436" s="1" t="str">
        <f>IFERROR(__xludf.DUMMYFUNCTION("""COMPUTED_VALUE"""),"L1")</f>
        <v>L1</v>
      </c>
    </row>
    <row r="2437" ht="15.75" customHeight="1">
      <c r="A2437" s="1" t="str">
        <f>IFERROR(__xludf.DUMMYFUNCTION("""COMPUTED_VALUE"""),"Test Lci10")</f>
        <v>Test Lci10</v>
      </c>
      <c r="B2437" s="1" t="str">
        <f>IFERROR(__xludf.DUMMYFUNCTION("""COMPUTED_VALUE"""),"MS")</f>
        <v>MS</v>
      </c>
    </row>
    <row r="2438" ht="15.75" customHeight="1">
      <c r="A2438" s="1" t="str">
        <f>IFERROR(__xludf.DUMMYFUNCTION("""COMPUTED_VALUE"""),"Ella Dietz")</f>
        <v>Ella Dietz</v>
      </c>
      <c r="B2438" s="1" t="str">
        <f>IFERROR(__xludf.DUMMYFUNCTION("""COMPUTED_VALUE"""),"HS")</f>
        <v>HS</v>
      </c>
    </row>
    <row r="2439" ht="15.75" customHeight="1">
      <c r="A2439" s="1" t="str">
        <f>IFERROR(__xludf.DUMMYFUNCTION("""COMPUTED_VALUE"""),"Tatum Lemkau")</f>
        <v>Tatum Lemkau</v>
      </c>
      <c r="B2439" s="1" t="str">
        <f>IFERROR(__xludf.DUMMYFUNCTION("""COMPUTED_VALUE"""),"HS")</f>
        <v>HS</v>
      </c>
    </row>
    <row r="2440" ht="15.75" customHeight="1">
      <c r="A2440" s="1" t="str">
        <f>IFERROR(__xludf.DUMMYFUNCTION("""COMPUTED_VALUE"""),"Demo Account LL")</f>
        <v>Demo Account LL</v>
      </c>
      <c r="B2440" s="1" t="str">
        <f>IFERROR(__xludf.DUMMYFUNCTION("""COMPUTED_VALUE"""),"LL")</f>
        <v>LL</v>
      </c>
    </row>
    <row r="2441" ht="15.75" customHeight="1">
      <c r="A2441" s="1" t="str">
        <f>IFERROR(__xludf.DUMMYFUNCTION("""COMPUTED_VALUE"""),"Demo Student Linc")</f>
        <v>Demo Student Linc</v>
      </c>
      <c r="B2441" s="1" t="str">
        <f>IFERROR(__xludf.DUMMYFUNCTION("""COMPUTED_VALUE"""),"L1")</f>
        <v>L1</v>
      </c>
    </row>
    <row r="2442" ht="15.75" customHeight="1">
      <c r="A2442" s="1" t="str">
        <f>IFERROR(__xludf.DUMMYFUNCTION("""COMPUTED_VALUE"""),"Demo Student L1")</f>
        <v>Demo Student L1</v>
      </c>
      <c r="B2442" s="1" t="str">
        <f>IFERROR(__xludf.DUMMYFUNCTION("""COMPUTED_VALUE"""),"L1")</f>
        <v>L1</v>
      </c>
    </row>
    <row r="2443" ht="15.75" customHeight="1">
      <c r="A2443" s="1" t="str">
        <f>IFERROR(__xludf.DUMMYFUNCTION("""COMPUTED_VALUE"""),"Demo Student L2")</f>
        <v>Demo Student L2</v>
      </c>
      <c r="B2443" s="1" t="str">
        <f>IFERROR(__xludf.DUMMYFUNCTION("""COMPUTED_VALUE"""),"MS")</f>
        <v>MS</v>
      </c>
    </row>
    <row r="2444" ht="15.75" customHeight="1">
      <c r="A2444" s="1" t="str">
        <f>IFERROR(__xludf.DUMMYFUNCTION("""COMPUTED_VALUE"""),"Demo Student L3")</f>
        <v>Demo Student L3</v>
      </c>
      <c r="B2444" s="1" t="str">
        <f>IFERROR(__xludf.DUMMYFUNCTION("""COMPUTED_VALUE"""),"MS")</f>
        <v>MS</v>
      </c>
    </row>
    <row r="2445" ht="15.75" customHeight="1">
      <c r="A2445" s="1" t="str">
        <f>IFERROR(__xludf.DUMMYFUNCTION("""COMPUTED_VALUE"""),"Demo Student L4")</f>
        <v>Demo Student L4</v>
      </c>
      <c r="B2445" s="1" t="str">
        <f>IFERROR(__xludf.DUMMYFUNCTION("""COMPUTED_VALUE"""),"HS")</f>
        <v>HS</v>
      </c>
    </row>
    <row r="2446" ht="15.75" customHeight="1">
      <c r="A2446" s="1" t="str">
        <f>IFERROR(__xludf.DUMMYFUNCTION("""COMPUTED_VALUE"""),"Ashley Barnes")</f>
        <v>Ashley Barnes</v>
      </c>
      <c r="B2446" s="1" t="str">
        <f>IFERROR(__xludf.DUMMYFUNCTION("""COMPUTED_VALUE"""),"HS")</f>
        <v>HS</v>
      </c>
    </row>
    <row r="2447" ht="15.75" customHeight="1">
      <c r="A2447" s="1" t="str">
        <f>IFERROR(__xludf.DUMMYFUNCTION("""COMPUTED_VALUE"""),"Ella Gremont")</f>
        <v>Ella Gremont</v>
      </c>
      <c r="B2447" s="1" t="str">
        <f>IFERROR(__xludf.DUMMYFUNCTION("""COMPUTED_VALUE"""),"HS")</f>
        <v>HS</v>
      </c>
    </row>
    <row r="2448" ht="15.75" customHeight="1">
      <c r="A2448" s="1" t="str">
        <f>IFERROR(__xludf.DUMMYFUNCTION("""COMPUTED_VALUE"""),"Central Support Test Student 1")</f>
        <v>Central Support Test Student 1</v>
      </c>
      <c r="B2448" s="1" t="str">
        <f>IFERROR(__xludf.DUMMYFUNCTION("""COMPUTED_VALUE"""),"LL")</f>
        <v>LL</v>
      </c>
    </row>
    <row r="2449" ht="15.75" customHeight="1">
      <c r="A2449" s="1" t="str">
        <f>IFERROR(__xludf.DUMMYFUNCTION("""COMPUTED_VALUE"""),"Zayen Szpitalak")</f>
        <v>Zayen Szpitalak</v>
      </c>
      <c r="B2449" s="1" t="str">
        <f>IFERROR(__xludf.DUMMYFUNCTION("""COMPUTED_VALUE"""),"HS")</f>
        <v>HS</v>
      </c>
    </row>
    <row r="2450" ht="15.75" customHeight="1">
      <c r="A2450" s="1" t="str">
        <f>IFERROR(__xludf.DUMMYFUNCTION("""COMPUTED_VALUE"""),"Tommy Nolan")</f>
        <v>Tommy Nolan</v>
      </c>
      <c r="B2450" s="1" t="str">
        <f>IFERROR(__xludf.DUMMYFUNCTION("""COMPUTED_VALUE"""),"LL")</f>
        <v>LL</v>
      </c>
    </row>
    <row r="2451" ht="15.75" customHeight="1">
      <c r="A2451" s="1" t="str">
        <f>IFERROR(__xludf.DUMMYFUNCTION("""COMPUTED_VALUE"""),"Ella Clark")</f>
        <v>Ella Clark</v>
      </c>
      <c r="B2451" s="1" t="str">
        <f>IFERROR(__xludf.DUMMYFUNCTION("""COMPUTED_VALUE"""),"LL")</f>
        <v>LL</v>
      </c>
    </row>
    <row r="2452" ht="15.75" customHeight="1">
      <c r="A2452" s="1" t="str">
        <f>IFERROR(__xludf.DUMMYFUNCTION("""COMPUTED_VALUE"""),"Shantal Gomez")</f>
        <v>Shantal Gomez</v>
      </c>
      <c r="B2452" s="1" t="str">
        <f>IFERROR(__xludf.DUMMYFUNCTION("""COMPUTED_VALUE"""),"MS")</f>
        <v>MS</v>
      </c>
    </row>
    <row r="2453" ht="15.75" customHeight="1">
      <c r="A2453" s="1" t="str">
        <f>IFERROR(__xludf.DUMMYFUNCTION("""COMPUTED_VALUE"""),"Harper Hawkins")</f>
        <v>Harper Hawkins</v>
      </c>
      <c r="B2453" s="1" t="str">
        <f>IFERROR(__xludf.DUMMYFUNCTION("""COMPUTED_VALUE"""),"L2")</f>
        <v>L2</v>
      </c>
    </row>
    <row r="2454" ht="15.75" customHeight="1">
      <c r="A2454" s="1" t="str">
        <f>IFERROR(__xludf.DUMMYFUNCTION("""COMPUTED_VALUE"""),"Jasper Dawson")</f>
        <v>Jasper Dawson</v>
      </c>
      <c r="B2454" s="1" t="str">
        <f>IFERROR(__xludf.DUMMYFUNCTION("""COMPUTED_VALUE"""),"WL")</f>
        <v>WL</v>
      </c>
    </row>
    <row r="2455" ht="15.75" customHeight="1">
      <c r="A2455" s="1" t="str">
        <f>IFERROR(__xludf.DUMMYFUNCTION("""COMPUTED_VALUE"""),"Lila Dawson")</f>
        <v>Lila Dawson</v>
      </c>
      <c r="B2455" s="1" t="str">
        <f>IFERROR(__xludf.DUMMYFUNCTION("""COMPUTED_VALUE"""),"LL")</f>
        <v>LL</v>
      </c>
    </row>
    <row r="2456" ht="15.75" customHeight="1">
      <c r="A2456" s="1" t="str">
        <f>IFERROR(__xludf.DUMMYFUNCTION("""COMPUTED_VALUE"""),"Kavin Lingham")</f>
        <v>Kavin Lingham</v>
      </c>
      <c r="B2456" s="1" t="str">
        <f>IFERROR(__xludf.DUMMYFUNCTION("""COMPUTED_VALUE"""),"HS")</f>
        <v>HS</v>
      </c>
    </row>
    <row r="2457" ht="15.75" customHeight="1">
      <c r="A2457" s="1" t="str">
        <f>IFERROR(__xludf.DUMMYFUNCTION("""COMPUTED_VALUE"""),"Kaiden Szpitalak")</f>
        <v>Kaiden Szpitalak</v>
      </c>
      <c r="B2457" s="1" t="str">
        <f>IFERROR(__xludf.DUMMYFUNCTION("""COMPUTED_VALUE"""),"MS")</f>
        <v>MS</v>
      </c>
    </row>
    <row r="2458" ht="15.75" customHeight="1">
      <c r="A2458" s="1" t="str">
        <f>IFERROR(__xludf.DUMMYFUNCTION("""COMPUTED_VALUE"""),"Rivers Morgan")</f>
        <v>Rivers Morgan</v>
      </c>
      <c r="B2458" s="1" t="str">
        <f>IFERROR(__xludf.DUMMYFUNCTION("""COMPUTED_VALUE"""),"WL")</f>
        <v>WL</v>
      </c>
    </row>
    <row r="2459" ht="15.75" customHeight="1">
      <c r="A2459" s="1" t="str">
        <f>IFERROR(__xludf.DUMMYFUNCTION("""COMPUTED_VALUE"""),"Aheli Shah")</f>
        <v>Aheli Shah</v>
      </c>
      <c r="B2459" s="1" t="str">
        <f>IFERROR(__xludf.DUMMYFUNCTION("""COMPUTED_VALUE"""),"HS")</f>
        <v>HS</v>
      </c>
    </row>
    <row r="2460" ht="15.75" customHeight="1">
      <c r="A2460" s="1" t="str">
        <f>IFERROR(__xludf.DUMMYFUNCTION("""COMPUTED_VALUE"""),"Kanhai Shah")</f>
        <v>Kanhai Shah</v>
      </c>
      <c r="B2460" s="1" t="str">
        <f>IFERROR(__xludf.DUMMYFUNCTION("""COMPUTED_VALUE"""),"MS")</f>
        <v>MS</v>
      </c>
    </row>
    <row r="2461" ht="15.75" customHeight="1">
      <c r="A2461" s="1" t="str">
        <f>IFERROR(__xludf.DUMMYFUNCTION("""COMPUTED_VALUE"""),"Teddy Dipaola")</f>
        <v>Teddy Dipaola</v>
      </c>
      <c r="B2461" s="1" t="str">
        <f>IFERROR(__xludf.DUMMYFUNCTION("""COMPUTED_VALUE"""),"LL")</f>
        <v>LL</v>
      </c>
    </row>
    <row r="2462" ht="15.75" customHeight="1">
      <c r="A2462" s="1" t="str">
        <f>IFERROR(__xludf.DUMMYFUNCTION("""COMPUTED_VALUE"""),"Test Account9")</f>
        <v>Test Account9</v>
      </c>
      <c r="B2462" s="1" t="str">
        <f>IFERROR(__xludf.DUMMYFUNCTION("""COMPUTED_VALUE"""),"L2")</f>
        <v>L2</v>
      </c>
    </row>
    <row r="2463" ht="15.75" customHeight="1">
      <c r="A2463" s="1" t="str">
        <f>IFERROR(__xludf.DUMMYFUNCTION("""COMPUTED_VALUE"""),"Test Account6")</f>
        <v>Test Account6</v>
      </c>
      <c r="B2463" s="1" t="str">
        <f>IFERROR(__xludf.DUMMYFUNCTION("""COMPUTED_VALUE"""),"MS")</f>
        <v>MS</v>
      </c>
    </row>
    <row r="2464" ht="15.75" customHeight="1">
      <c r="A2464" s="1" t="str">
        <f>IFERROR(__xludf.DUMMYFUNCTION("""COMPUTED_VALUE"""),"Test Account5")</f>
        <v>Test Account5</v>
      </c>
      <c r="B2464" s="1" t="str">
        <f>IFERROR(__xludf.DUMMYFUNCTION("""COMPUTED_VALUE"""),"MS")</f>
        <v>MS</v>
      </c>
    </row>
    <row r="2465" ht="15.75" customHeight="1">
      <c r="A2465" s="1" t="str">
        <f>IFERROR(__xludf.DUMMYFUNCTION("""COMPUTED_VALUE"""),"Test Account4")</f>
        <v>Test Account4</v>
      </c>
      <c r="B2465" s="1" t="str">
        <f>IFERROR(__xludf.DUMMYFUNCTION("""COMPUTED_VALUE"""),"MS")</f>
        <v>MS</v>
      </c>
    </row>
    <row r="2466" ht="15.75" customHeight="1">
      <c r="A2466" s="1" t="str">
        <f>IFERROR(__xludf.DUMMYFUNCTION("""COMPUTED_VALUE"""),"Test Account3")</f>
        <v>Test Account3</v>
      </c>
      <c r="B2466" s="1" t="str">
        <f>IFERROR(__xludf.DUMMYFUNCTION("""COMPUTED_VALUE"""),"MS")</f>
        <v>MS</v>
      </c>
    </row>
    <row r="2467" ht="15.75" customHeight="1">
      <c r="A2467" s="1" t="str">
        <f>IFERROR(__xludf.DUMMYFUNCTION("""COMPUTED_VALUE"""),"Test Account2")</f>
        <v>Test Account2</v>
      </c>
      <c r="B2467" s="1" t="str">
        <f>IFERROR(__xludf.DUMMYFUNCTION("""COMPUTED_VALUE"""),"L2")</f>
        <v>L2</v>
      </c>
    </row>
    <row r="2468" ht="15.75" customHeight="1">
      <c r="A2468" s="1" t="str">
        <f>IFERROR(__xludf.DUMMYFUNCTION("""COMPUTED_VALUE"""),"Test Account1")</f>
        <v>Test Account1</v>
      </c>
      <c r="B2468" s="1" t="str">
        <f>IFERROR(__xludf.DUMMYFUNCTION("""COMPUTED_VALUE"""),"MS")</f>
        <v>MS</v>
      </c>
    </row>
    <row r="2469" ht="15.75" customHeight="1">
      <c r="A2469" s="1" t="str">
        <f>IFERROR(__xludf.DUMMYFUNCTION("""COMPUTED_VALUE"""),"Mazen Qunibi")</f>
        <v>Mazen Qunibi</v>
      </c>
      <c r="B2469" s="1" t="str">
        <f>IFERROR(__xludf.DUMMYFUNCTION("""COMPUTED_VALUE"""),"WL")</f>
        <v>WL</v>
      </c>
    </row>
    <row r="2470" ht="15.75" customHeight="1">
      <c r="A2470" s="1" t="str">
        <f>IFERROR(__xludf.DUMMYFUNCTION("""COMPUTED_VALUE"""),"Sam Ratcliff")</f>
        <v>Sam Ratcliff</v>
      </c>
      <c r="B2470" s="1" t="str">
        <f>IFERROR(__xludf.DUMMYFUNCTION("""COMPUTED_VALUE"""),"MS")</f>
        <v>MS</v>
      </c>
    </row>
    <row r="2471" ht="15.75" customHeight="1">
      <c r="A2471" s="1" t="str">
        <f>IFERROR(__xludf.DUMMYFUNCTION("""COMPUTED_VALUE"""),"Shadow Linc")</f>
        <v>Shadow Linc</v>
      </c>
      <c r="B2471" s="1" t="str">
        <f>IFERROR(__xludf.DUMMYFUNCTION("""COMPUTED_VALUE"""),"L1")</f>
        <v>L1</v>
      </c>
    </row>
    <row r="2472" ht="15.75" customHeight="1">
      <c r="A2472" s="1" t="str">
        <f>IFERROR(__xludf.DUMMYFUNCTION("""COMPUTED_VALUE"""),"Shadow Learning Lab")</f>
        <v>Shadow Learning Lab</v>
      </c>
      <c r="B2472" s="1" t="str">
        <f>IFERROR(__xludf.DUMMYFUNCTION("""COMPUTED_VALUE"""),"LL")</f>
        <v>LL</v>
      </c>
    </row>
    <row r="2473" ht="15.75" customHeight="1">
      <c r="A2473" s="1" t="str">
        <f>IFERROR(__xludf.DUMMYFUNCTION("""COMPUTED_VALUE"""),"Shadow Level 1")</f>
        <v>Shadow Level 1</v>
      </c>
      <c r="B2473" s="1" t="str">
        <f>IFERROR(__xludf.DUMMYFUNCTION("""COMPUTED_VALUE"""),"L2")</f>
        <v>L2</v>
      </c>
    </row>
    <row r="2474" ht="15.75" customHeight="1">
      <c r="A2474" s="1" t="str">
        <f>IFERROR(__xludf.DUMMYFUNCTION("""COMPUTED_VALUE"""),"Shadow level 2")</f>
        <v>Shadow level 2</v>
      </c>
      <c r="B2474" s="1" t="str">
        <f>IFERROR(__xludf.DUMMYFUNCTION("""COMPUTED_VALUE"""),"MS")</f>
        <v>MS</v>
      </c>
    </row>
    <row r="2475" ht="15.75" customHeight="1">
      <c r="A2475" s="1" t="str">
        <f>IFERROR(__xludf.DUMMYFUNCTION("""COMPUTED_VALUE"""),"Shadow Level 3")</f>
        <v>Shadow Level 3</v>
      </c>
      <c r="B2475" s="1" t="str">
        <f>IFERROR(__xludf.DUMMYFUNCTION("""COMPUTED_VALUE"""),"MS")</f>
        <v>MS</v>
      </c>
    </row>
    <row r="2476" ht="15.75" customHeight="1">
      <c r="A2476" s="1" t="str">
        <f>IFERROR(__xludf.DUMMYFUNCTION("""COMPUTED_VALUE"""),"Shadow level 4")</f>
        <v>Shadow level 4</v>
      </c>
      <c r="B2476" s="1" t="str">
        <f>IFERROR(__xludf.DUMMYFUNCTION("""COMPUTED_VALUE"""),"HS")</f>
        <v>HS</v>
      </c>
    </row>
    <row r="2477" ht="15.75" customHeight="1">
      <c r="A2477" s="1" t="str">
        <f>IFERROR(__xludf.DUMMYFUNCTION("""COMPUTED_VALUE"""),"Gwendolyn Meegan")</f>
        <v>Gwendolyn Meegan</v>
      </c>
      <c r="B2477" s="1" t="str">
        <f>IFERROR(__xludf.DUMMYFUNCTION("""COMPUTED_VALUE"""),"MS")</f>
        <v>MS</v>
      </c>
    </row>
    <row r="2478" ht="15.75" customHeight="1">
      <c r="A2478" s="1" t="str">
        <f>IFERROR(__xludf.DUMMYFUNCTION("""COMPUTED_VALUE"""),"Ellen Meegan")</f>
        <v>Ellen Meegan</v>
      </c>
      <c r="B2478" s="1" t="str">
        <f>IFERROR(__xludf.DUMMYFUNCTION("""COMPUTED_VALUE"""),"MS")</f>
        <v>MS</v>
      </c>
    </row>
    <row r="2479" ht="15.75" customHeight="1">
      <c r="A2479" s="1" t="str">
        <f>IFERROR(__xludf.DUMMYFUNCTION("""COMPUTED_VALUE"""),"Leo Levy")</f>
        <v>Leo Levy</v>
      </c>
      <c r="B2479" s="1" t="str">
        <f>IFERROR(__xludf.DUMMYFUNCTION("""COMPUTED_VALUE"""),"LL")</f>
        <v>LL</v>
      </c>
    </row>
    <row r="2480" ht="15.75" customHeight="1">
      <c r="A2480" s="1" t="str">
        <f>IFERROR(__xludf.DUMMYFUNCTION("""COMPUTED_VALUE"""),"Aria Nicholls")</f>
        <v>Aria Nicholls</v>
      </c>
      <c r="B2480" s="1" t="str">
        <f>IFERROR(__xludf.DUMMYFUNCTION("""COMPUTED_VALUE"""),"WL")</f>
        <v>WL</v>
      </c>
    </row>
    <row r="2481" ht="15.75" customHeight="1">
      <c r="A2481" s="1" t="str">
        <f>IFERROR(__xludf.DUMMYFUNCTION("""COMPUTED_VALUE"""),"Stella Cole")</f>
        <v>Stella Cole</v>
      </c>
      <c r="B2481" s="1" t="str">
        <f>IFERROR(__xludf.DUMMYFUNCTION("""COMPUTED_VALUE"""),"HS")</f>
        <v>HS</v>
      </c>
    </row>
    <row r="2482" ht="15.75" customHeight="1">
      <c r="A2482" s="1" t="str">
        <f>IFERROR(__xludf.DUMMYFUNCTION("""COMPUTED_VALUE"""),"Helio Ortiz")</f>
        <v>Helio Ortiz</v>
      </c>
      <c r="B2482" s="1" t="str">
        <f>IFERROR(__xludf.DUMMYFUNCTION("""COMPUTED_VALUE"""),"L2")</f>
        <v>L2</v>
      </c>
    </row>
    <row r="2483" ht="15.75" customHeight="1">
      <c r="A2483" s="1" t="str">
        <f>IFERROR(__xludf.DUMMYFUNCTION("""COMPUTED_VALUE"""),"Major Whitaker")</f>
        <v>Major Whitaker</v>
      </c>
      <c r="B2483" s="1" t="str">
        <f>IFERROR(__xludf.DUMMYFUNCTION("""COMPUTED_VALUE"""),"L2")</f>
        <v>L2</v>
      </c>
    </row>
    <row r="2484" ht="15.75" customHeight="1">
      <c r="A2484" s="1" t="str">
        <f>IFERROR(__xludf.DUMMYFUNCTION("""COMPUTED_VALUE"""),"Ezra Allred")</f>
        <v>Ezra Allred</v>
      </c>
      <c r="B2484" s="1" t="str">
        <f>IFERROR(__xludf.DUMMYFUNCTION("""COMPUTED_VALUE"""),"L1")</f>
        <v>L1</v>
      </c>
    </row>
    <row r="2485" ht="15.75" customHeight="1">
      <c r="A2485" s="1" t="str">
        <f>IFERROR(__xludf.DUMMYFUNCTION("""COMPUTED_VALUE"""),"Brooklyn Allred")</f>
        <v>Brooklyn Allred</v>
      </c>
      <c r="B2485" s="1" t="str">
        <f>IFERROR(__xludf.DUMMYFUNCTION("""COMPUTED_VALUE"""),"L2")</f>
        <v>L2</v>
      </c>
    </row>
    <row r="2486" ht="15.75" customHeight="1">
      <c r="A2486" s="1" t="str">
        <f>IFERROR(__xludf.DUMMYFUNCTION("""COMPUTED_VALUE"""),"James Chao-Breyer")</f>
        <v>James Chao-Breyer</v>
      </c>
      <c r="B2486" s="1" t="str">
        <f>IFERROR(__xludf.DUMMYFUNCTION("""COMPUTED_VALUE"""),"LL")</f>
        <v>LL</v>
      </c>
    </row>
    <row r="2487" ht="15.75" customHeight="1">
      <c r="A2487" s="1" t="str">
        <f>IFERROR(__xludf.DUMMYFUNCTION("""COMPUTED_VALUE"""),"Miguel Bash")</f>
        <v>Miguel Bash</v>
      </c>
      <c r="B2487" s="1" t="str">
        <f>IFERROR(__xludf.DUMMYFUNCTION("""COMPUTED_VALUE"""),"WL")</f>
        <v>WL</v>
      </c>
    </row>
    <row r="2488" ht="15.75" customHeight="1">
      <c r="A2488" s="1" t="str">
        <f>IFERROR(__xludf.DUMMYFUNCTION("""COMPUTED_VALUE"""),"Valentino MacDonald")</f>
        <v>Valentino MacDonald</v>
      </c>
      <c r="B2488" s="1" t="str">
        <f>IFERROR(__xludf.DUMMYFUNCTION("""COMPUTED_VALUE"""),"MS")</f>
        <v>MS</v>
      </c>
    </row>
    <row r="2489" ht="15.75" customHeight="1">
      <c r="A2489" s="1" t="str">
        <f>IFERROR(__xludf.DUMMYFUNCTION("""COMPUTED_VALUE"""),"Nora Rosenthal")</f>
        <v>Nora Rosenthal</v>
      </c>
      <c r="B2489" s="1" t="str">
        <f>IFERROR(__xludf.DUMMYFUNCTION("""COMPUTED_VALUE"""),"LL")</f>
        <v>LL</v>
      </c>
    </row>
    <row r="2490" ht="15.75" customHeight="1">
      <c r="A2490" s="1" t="str">
        <f>IFERROR(__xludf.DUMMYFUNCTION("""COMPUTED_VALUE"""),"Oliver Overton")</f>
        <v>Oliver Overton</v>
      </c>
      <c r="B2490" s="1" t="str">
        <f>IFERROR(__xludf.DUMMYFUNCTION("""COMPUTED_VALUE"""),"L2")</f>
        <v>L2</v>
      </c>
    </row>
    <row r="2491" ht="15.75" customHeight="1">
      <c r="A2491" s="1" t="str">
        <f>IFERROR(__xludf.DUMMYFUNCTION("""COMPUTED_VALUE"""),"Savi Richardson")</f>
        <v>Savi Richardson</v>
      </c>
      <c r="B2491" s="1" t="str">
        <f>IFERROR(__xludf.DUMMYFUNCTION("""COMPUTED_VALUE"""),"LL")</f>
        <v>LL</v>
      </c>
    </row>
    <row r="2492" ht="15.75" customHeight="1">
      <c r="A2492" s="1" t="str">
        <f>IFERROR(__xludf.DUMMYFUNCTION("""COMPUTED_VALUE"""),"Canberk Yuksel")</f>
        <v>Canberk Yuksel</v>
      </c>
      <c r="B2492" s="1" t="str">
        <f>IFERROR(__xludf.DUMMYFUNCTION("""COMPUTED_VALUE"""),"L2")</f>
        <v>L2</v>
      </c>
    </row>
    <row r="2493" ht="15.75" customHeight="1">
      <c r="A2493" s="1" t="str">
        <f>IFERROR(__xludf.DUMMYFUNCTION("""COMPUTED_VALUE"""),"Test Academics")</f>
        <v>Test Academics</v>
      </c>
      <c r="B2493" s="1" t="str">
        <f>IFERROR(__xludf.DUMMYFUNCTION("""COMPUTED_VALUE"""),"L2")</f>
        <v>L2</v>
      </c>
    </row>
    <row r="2494" ht="15.75" customHeight="1">
      <c r="A2494" s="1" t="str">
        <f>IFERROR(__xludf.DUMMYFUNCTION("""COMPUTED_VALUE"""),"Newuser Alpha")</f>
        <v>Newuser Alpha</v>
      </c>
      <c r="B2494" s="1" t="str">
        <f>IFERROR(__xludf.DUMMYFUNCTION("""COMPUTED_VALUE"""),"L2")</f>
        <v>L2</v>
      </c>
    </row>
    <row r="2495" ht="15.75" customHeight="1">
      <c r="A2495" s="1" t="str">
        <f>IFERROR(__xludf.DUMMYFUNCTION("""COMPUTED_VALUE"""),"Ashar Riskind")</f>
        <v>Ashar Riskind</v>
      </c>
      <c r="B2495" s="1" t="str">
        <f>IFERROR(__xludf.DUMMYFUNCTION("""COMPUTED_VALUE"""),"L1")</f>
        <v>L1</v>
      </c>
    </row>
    <row r="2496" ht="15.75" customHeight="1">
      <c r="A2496" s="1" t="str">
        <f>IFERROR(__xludf.DUMMYFUNCTION("""COMPUTED_VALUE"""),"Jack Goodman")</f>
        <v>Jack Goodman</v>
      </c>
      <c r="B2496" s="1" t="str">
        <f>IFERROR(__xludf.DUMMYFUNCTION("""COMPUTED_VALUE"""),"L2")</f>
        <v>L2</v>
      </c>
    </row>
    <row r="2497" ht="15.75" customHeight="1">
      <c r="A2497" s="1" t="str">
        <f>IFERROR(__xludf.DUMMYFUNCTION("""COMPUTED_VALUE"""),"Iceyrena Li")</f>
        <v>Iceyrena Li</v>
      </c>
      <c r="B2497" s="1" t="str">
        <f>IFERROR(__xludf.DUMMYFUNCTION("""COMPUTED_VALUE"""),"L2")</f>
        <v>L2</v>
      </c>
    </row>
    <row r="2498" ht="15.75" customHeight="1">
      <c r="A2498" s="1" t="str">
        <f>IFERROR(__xludf.DUMMYFUNCTION("""COMPUTED_VALUE"""),"Isabella Li")</f>
        <v>Isabella Li</v>
      </c>
      <c r="B2498" s="1" t="str">
        <f>IFERROR(__xludf.DUMMYFUNCTION("""COMPUTED_VALUE"""),"L1")</f>
        <v>L1</v>
      </c>
    </row>
    <row r="2499" ht="15.75" customHeight="1">
      <c r="A2499" s="1" t="str">
        <f>IFERROR(__xludf.DUMMYFUNCTION("""COMPUTED_VALUE"""),"Jaya Kachalia")</f>
        <v>Jaya Kachalia</v>
      </c>
      <c r="B2499" s="1" t="str">
        <f>IFERROR(__xludf.DUMMYFUNCTION("""COMPUTED_VALUE"""),"HS")</f>
        <v>HS</v>
      </c>
    </row>
    <row r="2500" ht="15.75" customHeight="1">
      <c r="A2500" s="1" t="str">
        <f>IFERROR(__xludf.DUMMYFUNCTION("""COMPUTED_VALUE"""),"GradeK Shadow14")</f>
        <v>GradeK Shadow14</v>
      </c>
      <c r="B2500" s="1" t="str">
        <f>IFERROR(__xludf.DUMMYFUNCTION("""COMPUTED_VALUE"""),"WL")</f>
        <v>WL</v>
      </c>
    </row>
    <row r="2501" ht="15.75" customHeight="1">
      <c r="A2501" s="1" t="str">
        <f>IFERROR(__xludf.DUMMYFUNCTION("""COMPUTED_VALUE"""),"GradeK Shadow15")</f>
        <v>GradeK Shadow15</v>
      </c>
      <c r="B2501" s="1" t="str">
        <f>IFERROR(__xludf.DUMMYFUNCTION("""COMPUTED_VALUE"""),"WL")</f>
        <v>WL</v>
      </c>
    </row>
    <row r="2502" ht="15.75" customHeight="1">
      <c r="A2502" s="1" t="str">
        <f>IFERROR(__xludf.DUMMYFUNCTION("""COMPUTED_VALUE"""),"Azlan Ismail")</f>
        <v>Azlan Ismail</v>
      </c>
      <c r="B2502" s="1" t="str">
        <f>IFERROR(__xludf.DUMMYFUNCTION("""COMPUTED_VALUE"""),"WL")</f>
        <v>WL</v>
      </c>
    </row>
    <row r="2503" ht="15.75" customHeight="1">
      <c r="A2503" s="1" t="str">
        <f>IFERROR(__xludf.DUMMYFUNCTION("""COMPUTED_VALUE"""),"Allegra Mauro")</f>
        <v>Allegra Mauro</v>
      </c>
      <c r="B2503" s="1" t="str">
        <f>IFERROR(__xludf.DUMMYFUNCTION("""COMPUTED_VALUE"""),"MS")</f>
        <v>MS</v>
      </c>
    </row>
    <row r="2504" ht="15.75" customHeight="1">
      <c r="A2504" s="1" t="str">
        <f>IFERROR(__xludf.DUMMYFUNCTION("""COMPUTED_VALUE"""),"Agnes Itzel Lorenz Tirpak")</f>
        <v>Agnes Itzel Lorenz Tirpak</v>
      </c>
      <c r="B2504" s="1" t="str">
        <f>IFERROR(__xludf.DUMMYFUNCTION("""COMPUTED_VALUE"""),"L1")</f>
        <v>L1</v>
      </c>
    </row>
    <row r="2505" ht="15.75" customHeight="1">
      <c r="A2505" s="1" t="str">
        <f>IFERROR(__xludf.DUMMYFUNCTION("""COMPUTED_VALUE"""),"Philip Figueiredo")</f>
        <v>Philip Figueiredo</v>
      </c>
      <c r="B2505" s="1" t="str">
        <f>IFERROR(__xludf.DUMMYFUNCTION("""COMPUTED_VALUE"""),"WL")</f>
        <v>WL</v>
      </c>
    </row>
    <row r="2506" ht="15.75" customHeight="1">
      <c r="A2506" s="1" t="str">
        <f>IFERROR(__xludf.DUMMYFUNCTION("""COMPUTED_VALUE"""),"Rosie Way")</f>
        <v>Rosie Way</v>
      </c>
      <c r="B2506" s="1" t="str">
        <f>IFERROR(__xludf.DUMMYFUNCTION("""COMPUTED_VALUE"""),"MS")</f>
        <v>MS</v>
      </c>
    </row>
    <row r="2507" ht="15.75" customHeight="1">
      <c r="A2507" s="1" t="str">
        <f>IFERROR(__xludf.DUMMYFUNCTION("""COMPUTED_VALUE"""),"Leroy Clendening")</f>
        <v>Leroy Clendening</v>
      </c>
      <c r="B2507" s="1" t="str">
        <f>IFERROR(__xludf.DUMMYFUNCTION("""COMPUTED_VALUE"""),"WL")</f>
        <v>WL</v>
      </c>
    </row>
    <row r="2508" ht="15.75" customHeight="1">
      <c r="A2508" s="1" t="str">
        <f>IFERROR(__xludf.DUMMYFUNCTION("""COMPUTED_VALUE"""),"Bodie Garrett")</f>
        <v>Bodie Garrett</v>
      </c>
      <c r="B2508" s="1" t="str">
        <f>IFERROR(__xludf.DUMMYFUNCTION("""COMPUTED_VALUE"""),"WL")</f>
        <v>WL</v>
      </c>
    </row>
    <row r="2509" ht="15.75" customHeight="1">
      <c r="A2509" s="1" t="str">
        <f>IFERROR(__xludf.DUMMYFUNCTION("""COMPUTED_VALUE"""),"Livia Gilbert")</f>
        <v>Livia Gilbert</v>
      </c>
      <c r="B2509" s="1" t="str">
        <f>IFERROR(__xludf.DUMMYFUNCTION("""COMPUTED_VALUE"""),"L1")</f>
        <v>L1</v>
      </c>
    </row>
    <row r="2510" ht="15.75" customHeight="1">
      <c r="A2510" s="1" t="str">
        <f>IFERROR(__xludf.DUMMYFUNCTION("""COMPUTED_VALUE"""),"Grayson Gilbert")</f>
        <v>Grayson Gilbert</v>
      </c>
      <c r="B2510" s="1" t="str">
        <f>IFERROR(__xludf.DUMMYFUNCTION("""COMPUTED_VALUE"""),"LL")</f>
        <v>LL</v>
      </c>
    </row>
    <row r="2511" ht="15.75" customHeight="1">
      <c r="A2511" s="1" t="str">
        <f>IFERROR(__xludf.DUMMYFUNCTION("""COMPUTED_VALUE"""),"Gina Brown")</f>
        <v>Gina Brown</v>
      </c>
      <c r="B2511" s="1" t="str">
        <f>IFERROR(__xludf.DUMMYFUNCTION("""COMPUTED_VALUE"""),"L2")</f>
        <v>L2</v>
      </c>
    </row>
    <row r="2512" ht="15.75" customHeight="1">
      <c r="A2512" s="1" t="str">
        <f>IFERROR(__xludf.DUMMYFUNCTION("""COMPUTED_VALUE"""),"Yoona Brown")</f>
        <v>Yoona Brown</v>
      </c>
      <c r="B2512" s="1" t="str">
        <f>IFERROR(__xludf.DUMMYFUNCTION("""COMPUTED_VALUE"""),"LL")</f>
        <v>LL</v>
      </c>
    </row>
    <row r="2513" ht="15.75" customHeight="1">
      <c r="A2513" s="1" t="str">
        <f>IFERROR(__xludf.DUMMYFUNCTION("""COMPUTED_VALUE"""),"Dominic Peake")</f>
        <v>Dominic Peake</v>
      </c>
      <c r="B2513" s="1" t="str">
        <f>IFERROR(__xludf.DUMMYFUNCTION("""COMPUTED_VALUE"""),"LL")</f>
        <v>LL</v>
      </c>
    </row>
    <row r="2514" ht="15.75" customHeight="1">
      <c r="A2514" s="1" t="str">
        <f>IFERROR(__xludf.DUMMYFUNCTION("""COMPUTED_VALUE"""),"Henry Posey")</f>
        <v>Henry Posey</v>
      </c>
      <c r="B2514" s="1" t="str">
        <f>IFERROR(__xludf.DUMMYFUNCTION("""COMPUTED_VALUE"""),"L1")</f>
        <v>L1</v>
      </c>
    </row>
    <row r="2515" ht="15.75" customHeight="1">
      <c r="A2515" s="1" t="str">
        <f>IFERROR(__xludf.DUMMYFUNCTION("""COMPUTED_VALUE"""),"Chloe Kay")</f>
        <v>Chloe Kay</v>
      </c>
      <c r="B2515" s="1" t="str">
        <f>IFERROR(__xludf.DUMMYFUNCTION("""COMPUTED_VALUE"""),"L1")</f>
        <v>L1</v>
      </c>
    </row>
    <row r="2516" ht="15.75" customHeight="1">
      <c r="A2516" s="1" t="str">
        <f>IFERROR(__xludf.DUMMYFUNCTION("""COMPUTED_VALUE"""),"Timeback AlphaHigh")</f>
        <v>Timeback AlphaHigh</v>
      </c>
      <c r="B2516" s="1" t="str">
        <f>IFERROR(__xludf.DUMMYFUNCTION("""COMPUTED_VALUE"""),"HS")</f>
        <v>HS</v>
      </c>
    </row>
    <row r="2517" ht="15.75" customHeight="1">
      <c r="A2517" s="1" t="str">
        <f>IFERROR(__xludf.DUMMYFUNCTION("""COMPUTED_VALUE"""),"Cole Ashley")</f>
        <v>Cole Ashley</v>
      </c>
      <c r="B2517" s="1" t="str">
        <f>IFERROR(__xludf.DUMMYFUNCTION("""COMPUTED_VALUE"""),"HS")</f>
        <v>HS</v>
      </c>
    </row>
    <row r="2518" ht="15.75" customHeight="1">
      <c r="A2518" s="1" t="str">
        <f>IFERROR(__xludf.DUMMYFUNCTION("""COMPUTED_VALUE"""),"Bryce Yates")</f>
        <v>Bryce Yates</v>
      </c>
      <c r="B2518" s="1" t="str">
        <f>IFERROR(__xludf.DUMMYFUNCTION("""COMPUTED_VALUE"""),"L2")</f>
        <v>L2</v>
      </c>
    </row>
    <row r="2519" ht="15.75" customHeight="1">
      <c r="A2519" s="1" t="str">
        <f>IFERROR(__xludf.DUMMYFUNCTION("""COMPUTED_VALUE"""),"Logan Hinson")</f>
        <v>Logan Hinson</v>
      </c>
      <c r="B2519" s="1" t="str">
        <f>IFERROR(__xludf.DUMMYFUNCTION("""COMPUTED_VALUE"""),"MS")</f>
        <v>MS</v>
      </c>
    </row>
    <row r="2520" ht="15.75" customHeight="1">
      <c r="A2520" s="1" t="str">
        <f>IFERROR(__xludf.DUMMYFUNCTION("""COMPUTED_VALUE"""),"Sol Shojai")</f>
        <v>Sol Shojai</v>
      </c>
      <c r="B2520" s="1" t="str">
        <f>IFERROR(__xludf.DUMMYFUNCTION("""COMPUTED_VALUE"""),"MS")</f>
        <v>MS</v>
      </c>
    </row>
    <row r="2521" ht="15.75" customHeight="1">
      <c r="A2521" s="1" t="str">
        <f>IFERROR(__xludf.DUMMYFUNCTION("""COMPUTED_VALUE"""),"Sophia Shojai")</f>
        <v>Sophia Shojai</v>
      </c>
      <c r="B2521" s="1" t="str">
        <f>IFERROR(__xludf.DUMMYFUNCTION("""COMPUTED_VALUE"""),"L2")</f>
        <v>L2</v>
      </c>
    </row>
    <row r="2522" ht="15.75" customHeight="1">
      <c r="A2522" s="1" t="str">
        <f>IFERROR(__xludf.DUMMYFUNCTION("""COMPUTED_VALUE"""),"Paula McCluskey")</f>
        <v>Paula McCluskey</v>
      </c>
      <c r="B2522" s="1" t="str">
        <f>IFERROR(__xludf.DUMMYFUNCTION("""COMPUTED_VALUE"""),"HS")</f>
        <v>HS</v>
      </c>
    </row>
    <row r="2523" ht="15.75" customHeight="1">
      <c r="A2523" s="1" t="str">
        <f>IFERROR(__xludf.DUMMYFUNCTION("""COMPUTED_VALUE"""),"Ellis Moore")</f>
        <v>Ellis Moore</v>
      </c>
      <c r="B2523" s="1" t="str">
        <f>IFERROR(__xludf.DUMMYFUNCTION("""COMPUTED_VALUE"""),"L1")</f>
        <v>L1</v>
      </c>
    </row>
    <row r="2524" ht="15.75" customHeight="1">
      <c r="A2524" s="1" t="str">
        <f>IFERROR(__xludf.DUMMYFUNCTION("""COMPUTED_VALUE"""),"Chloe Oesterreicher")</f>
        <v>Chloe Oesterreicher</v>
      </c>
      <c r="B2524" s="1" t="str">
        <f>IFERROR(__xludf.DUMMYFUNCTION("""COMPUTED_VALUE"""),"MS")</f>
        <v>MS</v>
      </c>
    </row>
    <row r="2525" ht="15.75" customHeight="1">
      <c r="A2525" s="1" t="str">
        <f>IFERROR(__xludf.DUMMYFUNCTION("""COMPUTED_VALUE"""),"Caylee Oesterreicher")</f>
        <v>Caylee Oesterreicher</v>
      </c>
      <c r="B2525" s="1" t="str">
        <f>IFERROR(__xludf.DUMMYFUNCTION("""COMPUTED_VALUE"""),"L2")</f>
        <v>L2</v>
      </c>
    </row>
    <row r="2526" ht="15.75" customHeight="1">
      <c r="A2526" s="1" t="str">
        <f>IFERROR(__xludf.DUMMYFUNCTION("""COMPUTED_VALUE"""),"Dallas Hesse")</f>
        <v>Dallas Hesse</v>
      </c>
      <c r="B2526" s="1" t="str">
        <f>IFERROR(__xludf.DUMMYFUNCTION("""COMPUTED_VALUE"""),"HS")</f>
        <v>HS</v>
      </c>
    </row>
    <row r="2527" ht="15.75" customHeight="1">
      <c r="A2527" s="1" t="str">
        <f>IFERROR(__xludf.DUMMYFUNCTION("""COMPUTED_VALUE"""),"Noa Fountain")</f>
        <v>Noa Fountain</v>
      </c>
      <c r="B2527" s="1" t="str">
        <f>IFERROR(__xludf.DUMMYFUNCTION("""COMPUTED_VALUE"""),"L2")</f>
        <v>L2</v>
      </c>
    </row>
    <row r="2528" ht="15.75" customHeight="1">
      <c r="A2528" s="1" t="str">
        <f>IFERROR(__xludf.DUMMYFUNCTION("""COMPUTED_VALUE"""),"Josephine Bayer")</f>
        <v>Josephine Bayer</v>
      </c>
      <c r="B2528" s="1" t="str">
        <f>IFERROR(__xludf.DUMMYFUNCTION("""COMPUTED_VALUE"""),"MS")</f>
        <v>MS</v>
      </c>
    </row>
    <row r="2529" ht="15.75" customHeight="1">
      <c r="A2529" s="1" t="str">
        <f>IFERROR(__xludf.DUMMYFUNCTION("""COMPUTED_VALUE"""),"Idrees Taha")</f>
        <v>Idrees Taha</v>
      </c>
      <c r="B2529" s="1" t="str">
        <f>IFERROR(__xludf.DUMMYFUNCTION("""COMPUTED_VALUE"""),"MS")</f>
        <v>MS</v>
      </c>
    </row>
    <row r="2530" ht="15.75" customHeight="1">
      <c r="A2530" s="1" t="str">
        <f>IFERROR(__xludf.DUMMYFUNCTION("""COMPUTED_VALUE"""),"Elissa Taha")</f>
        <v>Elissa Taha</v>
      </c>
      <c r="B2530" s="1" t="str">
        <f>IFERROR(__xludf.DUMMYFUNCTION("""COMPUTED_VALUE"""),"MS")</f>
        <v>MS</v>
      </c>
    </row>
    <row r="2531" ht="15.75" customHeight="1">
      <c r="A2531" s="1" t="str">
        <f>IFERROR(__xludf.DUMMYFUNCTION("""COMPUTED_VALUE"""),"Leo Gnesin")</f>
        <v>Leo Gnesin</v>
      </c>
      <c r="B2531" s="1" t="str">
        <f>IFERROR(__xludf.DUMMYFUNCTION("""COMPUTED_VALUE"""),"WL")</f>
        <v>WL</v>
      </c>
    </row>
    <row r="2532" ht="15.75" customHeight="1">
      <c r="A2532" s="1" t="str">
        <f>IFERROR(__xludf.DUMMYFUNCTION("""COMPUTED_VALUE"""),"Crusoe Scaffidi")</f>
        <v>Crusoe Scaffidi</v>
      </c>
      <c r="B2532" s="1" t="str">
        <f>IFERROR(__xludf.DUMMYFUNCTION("""COMPUTED_VALUE"""),"WL")</f>
        <v>WL</v>
      </c>
    </row>
    <row r="2533" ht="15.75" customHeight="1">
      <c r="A2533" s="1" t="str">
        <f>IFERROR(__xludf.DUMMYFUNCTION("""COMPUTED_VALUE"""),"Lucy Andersen")</f>
        <v>Lucy Andersen</v>
      </c>
      <c r="B2533" s="1" t="str">
        <f>IFERROR(__xludf.DUMMYFUNCTION("""COMPUTED_VALUE"""),"LL")</f>
        <v>LL</v>
      </c>
    </row>
    <row r="2534" ht="15.75" customHeight="1">
      <c r="A2534" s="1" t="str">
        <f>IFERROR(__xludf.DUMMYFUNCTION("""COMPUTED_VALUE"""),"Valen Maheswaran")</f>
        <v>Valen Maheswaran</v>
      </c>
      <c r="B2534" s="1" t="str">
        <f>IFERROR(__xludf.DUMMYFUNCTION("""COMPUTED_VALUE"""),"LL")</f>
        <v>LL</v>
      </c>
    </row>
    <row r="2535" ht="15.75" customHeight="1">
      <c r="A2535" s="1" t="str">
        <f>IFERROR(__xludf.DUMMYFUNCTION("""COMPUTED_VALUE"""),"James Rohner")</f>
        <v>James Rohner</v>
      </c>
      <c r="B2535" s="1" t="str">
        <f>IFERROR(__xludf.DUMMYFUNCTION("""COMPUTED_VALUE"""),"L1")</f>
        <v>L1</v>
      </c>
    </row>
    <row r="2536" ht="15.75" customHeight="1">
      <c r="A2536" s="1" t="str">
        <f>IFERROR(__xludf.DUMMYFUNCTION("""COMPUTED_VALUE"""),"Maggie Rohner")</f>
        <v>Maggie Rohner</v>
      </c>
      <c r="B2536" s="1" t="str">
        <f>IFERROR(__xludf.DUMMYFUNCTION("""COMPUTED_VALUE"""),"L1")</f>
        <v>L1</v>
      </c>
    </row>
    <row r="2537" ht="15.75" customHeight="1">
      <c r="A2537" s="1" t="str">
        <f>IFERROR(__xludf.DUMMYFUNCTION("""COMPUTED_VALUE"""),"Sean Rohner")</f>
        <v>Sean Rohner</v>
      </c>
      <c r="B2537" s="1" t="str">
        <f>IFERROR(__xludf.DUMMYFUNCTION("""COMPUTED_VALUE"""),"LL")</f>
        <v>LL</v>
      </c>
    </row>
    <row r="2538" ht="15.75" customHeight="1">
      <c r="A2538" s="1" t="str">
        <f>IFERROR(__xludf.DUMMYFUNCTION("""COMPUTED_VALUE"""),"Grade1 Shadow14")</f>
        <v>Grade1 Shadow14</v>
      </c>
      <c r="B2538" s="1" t="str">
        <f>IFERROR(__xludf.DUMMYFUNCTION("""COMPUTED_VALUE"""),"LL")</f>
        <v>LL</v>
      </c>
    </row>
    <row r="2539" ht="15.75" customHeight="1">
      <c r="A2539" s="1" t="str">
        <f>IFERROR(__xludf.DUMMYFUNCTION("""COMPUTED_VALUE"""),"Jaiden Bhakta")</f>
        <v>Jaiden Bhakta</v>
      </c>
      <c r="B2539" s="1" t="str">
        <f>IFERROR(__xludf.DUMMYFUNCTION("""COMPUTED_VALUE"""),"HS")</f>
        <v>HS</v>
      </c>
    </row>
    <row r="2540" ht="15.75" customHeight="1">
      <c r="A2540" s="1" t="str">
        <f>IFERROR(__xludf.DUMMYFUNCTION("""COMPUTED_VALUE"""),"Remi Zimmerman")</f>
        <v>Remi Zimmerman</v>
      </c>
      <c r="B2540" s="1" t="str">
        <f>IFERROR(__xludf.DUMMYFUNCTION("""COMPUTED_VALUE"""),"MS")</f>
        <v>MS</v>
      </c>
    </row>
    <row r="2541" ht="15.75" customHeight="1">
      <c r="A2541" s="1" t="str">
        <f>IFERROR(__xludf.DUMMYFUNCTION("""COMPUTED_VALUE"""),"Andy Freytag")</f>
        <v>Andy Freytag</v>
      </c>
      <c r="B2541" s="1" t="str">
        <f>IFERROR(__xludf.DUMMYFUNCTION("""COMPUTED_VALUE"""),"MS")</f>
        <v>MS</v>
      </c>
    </row>
    <row r="2542" ht="15.75" customHeight="1">
      <c r="A2542" s="1" t="str">
        <f>IFERROR(__xludf.DUMMYFUNCTION("""COMPUTED_VALUE"""),"Ariel Reginatto")</f>
        <v>Ariel Reginatto</v>
      </c>
      <c r="B2542" s="1" t="str">
        <f>IFERROR(__xludf.DUMMYFUNCTION("""COMPUTED_VALUE"""),"L2")</f>
        <v>L2</v>
      </c>
    </row>
    <row r="2543" ht="15.75" customHeight="1">
      <c r="A2543" s="1" t="str">
        <f>IFERROR(__xludf.DUMMYFUNCTION("""COMPUTED_VALUE"""),"Olga Reginatto")</f>
        <v>Olga Reginatto</v>
      </c>
      <c r="B2543" s="1" t="str">
        <f>IFERROR(__xludf.DUMMYFUNCTION("""COMPUTED_VALUE"""),"L1")</f>
        <v>L1</v>
      </c>
    </row>
    <row r="2544" ht="15.75" customHeight="1">
      <c r="A2544" s="1" t="str">
        <f>IFERROR(__xludf.DUMMYFUNCTION("""COMPUTED_VALUE"""),"Owen Zimmerman")</f>
        <v>Owen Zimmerman</v>
      </c>
      <c r="B2544" s="1" t="str">
        <f>IFERROR(__xludf.DUMMYFUNCTION("""COMPUTED_VALUE"""),"MS")</f>
        <v>MS</v>
      </c>
    </row>
    <row r="2545" ht="15.75" customHeight="1">
      <c r="A2545" s="1" t="str">
        <f>IFERROR(__xludf.DUMMYFUNCTION("""COMPUTED_VALUE"""),"Hudson Bayer")</f>
        <v>Hudson Bayer</v>
      </c>
      <c r="B2545" s="1" t="str">
        <f>IFERROR(__xludf.DUMMYFUNCTION("""COMPUTED_VALUE"""),"HS")</f>
        <v>HS</v>
      </c>
    </row>
    <row r="2546" ht="15.75" customHeight="1">
      <c r="A2546" s="1" t="str">
        <f>IFERROR(__xludf.DUMMYFUNCTION("""COMPUTED_VALUE"""),"Russell Stoecker")</f>
        <v>Russell Stoecker</v>
      </c>
      <c r="B2546" s="1" t="str">
        <f>IFERROR(__xludf.DUMMYFUNCTION("""COMPUTED_VALUE"""),"L2")</f>
        <v>L2</v>
      </c>
    </row>
    <row r="2547" ht="15.75" customHeight="1">
      <c r="A2547" s="1" t="str">
        <f>IFERROR(__xludf.DUMMYFUNCTION("""COMPUTED_VALUE"""),"Vivienne Hartwell-Yen")</f>
        <v>Vivienne Hartwell-Yen</v>
      </c>
      <c r="B2547" s="1" t="str">
        <f>IFERROR(__xludf.DUMMYFUNCTION("""COMPUTED_VALUE"""),"MS")</f>
        <v>MS</v>
      </c>
    </row>
    <row r="2548" ht="15.75" customHeight="1">
      <c r="A2548" s="1" t="str">
        <f>IFERROR(__xludf.DUMMYFUNCTION("""COMPUTED_VALUE"""),"Max Hartwell-Yen")</f>
        <v>Max Hartwell-Yen</v>
      </c>
      <c r="B2548" s="1" t="str">
        <f>IFERROR(__xludf.DUMMYFUNCTION("""COMPUTED_VALUE"""),"L2")</f>
        <v>L2</v>
      </c>
    </row>
    <row r="2549" ht="15.75" customHeight="1">
      <c r="A2549" s="1" t="str">
        <f>IFERROR(__xludf.DUMMYFUNCTION("""COMPUTED_VALUE"""),"Archer Moulton")</f>
        <v>Archer Moulton</v>
      </c>
      <c r="B2549" s="1" t="str">
        <f>IFERROR(__xludf.DUMMYFUNCTION("""COMPUTED_VALUE"""),"L2")</f>
        <v>L2</v>
      </c>
    </row>
    <row r="2550" ht="15.75" customHeight="1">
      <c r="A2550" s="1" t="str">
        <f>IFERROR(__xludf.DUMMYFUNCTION("""COMPUTED_VALUE"""),"Attley Moulton")</f>
        <v>Attley Moulton</v>
      </c>
      <c r="B2550" s="1" t="str">
        <f>IFERROR(__xludf.DUMMYFUNCTION("""COMPUTED_VALUE"""),"L1")</f>
        <v>L1</v>
      </c>
    </row>
    <row r="2551" ht="15.75" customHeight="1">
      <c r="A2551" s="1" t="str">
        <f>IFERROR(__xludf.DUMMYFUNCTION("""COMPUTED_VALUE"""),"Scott Baehr")</f>
        <v>Scott Baehr</v>
      </c>
      <c r="B2551" s="1" t="str">
        <f>IFERROR(__xludf.DUMMYFUNCTION("""COMPUTED_VALUE"""),"LL")</f>
        <v>LL</v>
      </c>
    </row>
    <row r="2552" ht="15.75" customHeight="1">
      <c r="A2552" s="1" t="str">
        <f>IFERROR(__xludf.DUMMYFUNCTION("""COMPUTED_VALUE"""),"Ian Mentgen")</f>
        <v>Ian Mentgen</v>
      </c>
      <c r="B2552" s="1" t="str">
        <f>IFERROR(__xludf.DUMMYFUNCTION("""COMPUTED_VALUE"""),"L2")</f>
        <v>L2</v>
      </c>
    </row>
    <row r="2553" ht="15.75" customHeight="1">
      <c r="A2553" s="1" t="str">
        <f>IFERROR(__xludf.DUMMYFUNCTION("""COMPUTED_VALUE"""),"Elena Mentgen")</f>
        <v>Elena Mentgen</v>
      </c>
      <c r="B2553" s="1" t="str">
        <f>IFERROR(__xludf.DUMMYFUNCTION("""COMPUTED_VALUE"""),"MS")</f>
        <v>MS</v>
      </c>
    </row>
    <row r="2554" ht="15.75" customHeight="1">
      <c r="A2554" s="1" t="str">
        <f>IFERROR(__xludf.DUMMYFUNCTION("""COMPUTED_VALUE"""),"Eva Mentgen")</f>
        <v>Eva Mentgen</v>
      </c>
      <c r="B2554" s="1" t="str">
        <f>IFERROR(__xludf.DUMMYFUNCTION("""COMPUTED_VALUE"""),"MS")</f>
        <v>MS</v>
      </c>
    </row>
    <row r="2555" ht="15.75" customHeight="1">
      <c r="A2555" s="1" t="str">
        <f>IFERROR(__xludf.DUMMYFUNCTION("""COMPUTED_VALUE"""),"Test Timeback")</f>
        <v>Test Timeback</v>
      </c>
      <c r="B2555" s="1" t="str">
        <f>IFERROR(__xludf.DUMMYFUNCTION("""COMPUTED_VALUE"""),"HS")</f>
        <v>HS</v>
      </c>
    </row>
    <row r="2556" ht="15.75" customHeight="1">
      <c r="A2556" s="1" t="str">
        <f>IFERROR(__xludf.DUMMYFUNCTION("""COMPUTED_VALUE"""),"Brady York")</f>
        <v>Brady York</v>
      </c>
      <c r="B2556" s="1" t="str">
        <f>IFERROR(__xludf.DUMMYFUNCTION("""COMPUTED_VALUE"""),"L2")</f>
        <v>L2</v>
      </c>
    </row>
    <row r="2557" ht="15.75" customHeight="1">
      <c r="A2557" s="1" t="str">
        <f>IFERROR(__xludf.DUMMYFUNCTION("""COMPUTED_VALUE"""),"Erika Rigby")</f>
        <v>Erika Rigby</v>
      </c>
      <c r="B2557" s="1" t="str">
        <f>IFERROR(__xludf.DUMMYFUNCTION("""COMPUTED_VALUE"""),"HS")</f>
        <v>HS</v>
      </c>
    </row>
    <row r="2558" ht="15.75" customHeight="1">
      <c r="A2558" s="1" t="str">
        <f>IFERROR(__xludf.DUMMYFUNCTION("""COMPUTED_VALUE"""),"Stella Grams")</f>
        <v>Stella Grams</v>
      </c>
      <c r="B2558" s="1" t="str">
        <f>IFERROR(__xludf.DUMMYFUNCTION("""COMPUTED_VALUE"""),"HS")</f>
        <v>HS</v>
      </c>
    </row>
    <row r="2559" ht="15.75" customHeight="1">
      <c r="A2559" s="1" t="str">
        <f>IFERROR(__xludf.DUMMYFUNCTION("""COMPUTED_VALUE"""),"Madeleine Grams")</f>
        <v>Madeleine Grams</v>
      </c>
      <c r="B2559" s="1" t="str">
        <f>IFERROR(__xludf.DUMMYFUNCTION("""COMPUTED_VALUE"""),"HS")</f>
        <v>HS</v>
      </c>
    </row>
    <row r="2560" ht="15.75" customHeight="1">
      <c r="A2560" s="1" t="str">
        <f>IFERROR(__xludf.DUMMYFUNCTION("""COMPUTED_VALUE"""),"Alita Sanborn")</f>
        <v>Alita Sanborn</v>
      </c>
      <c r="B2560" s="1" t="str">
        <f>IFERROR(__xludf.DUMMYFUNCTION("""COMPUTED_VALUE"""),"LL")</f>
        <v>LL</v>
      </c>
    </row>
    <row r="2561" ht="15.75" customHeight="1">
      <c r="A2561" s="1" t="str">
        <f>IFERROR(__xludf.DUMMYFUNCTION("""COMPUTED_VALUE"""),"Marco Iorgulescu")</f>
        <v>Marco Iorgulescu</v>
      </c>
      <c r="B2561" s="1" t="str">
        <f>IFERROR(__xludf.DUMMYFUNCTION("""COMPUTED_VALUE"""),"L2")</f>
        <v>L2</v>
      </c>
    </row>
    <row r="2562" ht="15.75" customHeight="1">
      <c r="A2562" s="1" t="str">
        <f>IFERROR(__xludf.DUMMYFUNCTION("""COMPUTED_VALUE"""),"Archer Traff")</f>
        <v>Archer Traff</v>
      </c>
      <c r="B2562" s="1" t="str">
        <f>IFERROR(__xludf.DUMMYFUNCTION("""COMPUTED_VALUE"""),"MS")</f>
        <v>MS</v>
      </c>
    </row>
    <row r="2563" ht="15.75" customHeight="1">
      <c r="A2563" s="1" t="str">
        <f>IFERROR(__xludf.DUMMYFUNCTION("""COMPUTED_VALUE"""),"Allie Stromberg")</f>
        <v>Allie Stromberg</v>
      </c>
      <c r="B2563" s="1" t="str">
        <f>IFERROR(__xludf.DUMMYFUNCTION("""COMPUTED_VALUE"""),"MS")</f>
        <v>MS</v>
      </c>
    </row>
    <row r="2564" ht="15.75" customHeight="1">
      <c r="A2564" s="1" t="str">
        <f>IFERROR(__xludf.DUMMYFUNCTION("""COMPUTED_VALUE"""),"Levi Eichen")</f>
        <v>Levi Eichen</v>
      </c>
      <c r="B2564" s="1" t="str">
        <f>IFERROR(__xludf.DUMMYFUNCTION("""COMPUTED_VALUE"""),"L1")</f>
        <v>L1</v>
      </c>
    </row>
    <row r="2565" ht="15.75" customHeight="1">
      <c r="A2565" s="1" t="str">
        <f>IFERROR(__xludf.DUMMYFUNCTION("""COMPUTED_VALUE"""),"Gavin Ross - Test")</f>
        <v>Gavin Ross - Test</v>
      </c>
      <c r="B2565" s="1" t="str">
        <f>IFERROR(__xludf.DUMMYFUNCTION("""COMPUTED_VALUE"""),"HS")</f>
        <v>HS</v>
      </c>
    </row>
    <row r="2566" ht="15.75" customHeight="1">
      <c r="A2566" s="1" t="str">
        <f>IFERROR(__xludf.DUMMYFUNCTION("""COMPUTED_VALUE"""),"Demo Sales")</f>
        <v>Demo Sales</v>
      </c>
      <c r="B2566" s="1" t="str">
        <f>IFERROR(__xludf.DUMMYFUNCTION("""COMPUTED_VALUE"""),"L2")</f>
        <v>L2</v>
      </c>
    </row>
    <row r="2567" ht="15.75" customHeight="1">
      <c r="A2567" s="1" t="str">
        <f>IFERROR(__xludf.DUMMYFUNCTION("""COMPUTED_VALUE"""),"Jamie Theunissen")</f>
        <v>Jamie Theunissen</v>
      </c>
      <c r="B2567" s="1" t="str">
        <f>IFERROR(__xludf.DUMMYFUNCTION("""COMPUTED_VALUE"""),"LL")</f>
        <v>LL</v>
      </c>
    </row>
    <row r="2568" ht="15.75" customHeight="1">
      <c r="A2568" s="1" t="str">
        <f>IFERROR(__xludf.DUMMYFUNCTION("""COMPUTED_VALUE"""),"Demo Student Re-Enrollment")</f>
        <v>Demo Student Re-Enrollment</v>
      </c>
      <c r="B2568" s="1" t="str">
        <f>IFERROR(__xludf.DUMMYFUNCTION("""COMPUTED_VALUE"""),"MS")</f>
        <v>MS</v>
      </c>
    </row>
    <row r="2569" ht="15.75" customHeight="1">
      <c r="A2569" s="1" t="str">
        <f>IFERROR(__xludf.DUMMYFUNCTION("""COMPUTED_VALUE"""),"Reece Knight")</f>
        <v>Reece Knight</v>
      </c>
      <c r="B2569" s="1" t="str">
        <f>IFERROR(__xludf.DUMMYFUNCTION("""COMPUTED_VALUE"""),"HS")</f>
        <v>HS</v>
      </c>
    </row>
    <row r="2570" ht="15.75" customHeight="1">
      <c r="A2570" s="1" t="str">
        <f>IFERROR(__xludf.DUMMYFUNCTION("""COMPUTED_VALUE"""),"Zeke Knight")</f>
        <v>Zeke Knight</v>
      </c>
      <c r="B2570" s="1" t="str">
        <f>IFERROR(__xludf.DUMMYFUNCTION("""COMPUTED_VALUE"""),"MS")</f>
        <v>MS</v>
      </c>
    </row>
    <row r="2571" ht="15.75" customHeight="1">
      <c r="A2571" s="1" t="str">
        <f>IFERROR(__xludf.DUMMYFUNCTION("""COMPUTED_VALUE"""),"Hayden Jones")</f>
        <v>Hayden Jones</v>
      </c>
      <c r="B2571" s="1" t="str">
        <f>IFERROR(__xludf.DUMMYFUNCTION("""COMPUTED_VALUE"""),"LL")</f>
        <v>LL</v>
      </c>
    </row>
    <row r="2572" ht="15.75" customHeight="1">
      <c r="A2572" s="1" t="str">
        <f>IFERROR(__xludf.DUMMYFUNCTION("""COMPUTED_VALUE"""),"Zara La Pointe")</f>
        <v>Zara La Pointe</v>
      </c>
      <c r="B2572" s="1" t="str">
        <f>IFERROR(__xludf.DUMMYFUNCTION("""COMPUTED_VALUE"""),"L2")</f>
        <v>L2</v>
      </c>
    </row>
    <row r="2573" ht="15.75" customHeight="1">
      <c r="A2573" s="1" t="str">
        <f>IFERROR(__xludf.DUMMYFUNCTION("""COMPUTED_VALUE"""),"Katie Chanyau")</f>
        <v>Katie Chanyau</v>
      </c>
      <c r="B2573" s="1" t="str">
        <f>IFERROR(__xludf.DUMMYFUNCTION("""COMPUTED_VALUE"""),"MS")</f>
        <v>MS</v>
      </c>
    </row>
    <row r="2574" ht="15.75" customHeight="1">
      <c r="A2574" s="1" t="str">
        <f>IFERROR(__xludf.DUMMYFUNCTION("""COMPUTED_VALUE"""),"Sua Chang")</f>
        <v>Sua Chang</v>
      </c>
      <c r="B2574" s="1" t="str">
        <f>IFERROR(__xludf.DUMMYFUNCTION("""COMPUTED_VALUE"""),"L2")</f>
        <v>L2</v>
      </c>
    </row>
    <row r="2575" ht="15.75" customHeight="1">
      <c r="A2575" s="1" t="str">
        <f>IFERROR(__xludf.DUMMYFUNCTION("""COMPUTED_VALUE"""),"Bomi Chang")</f>
        <v>Bomi Chang</v>
      </c>
      <c r="B2575" s="1" t="str">
        <f>IFERROR(__xludf.DUMMYFUNCTION("""COMPUTED_VALUE"""),"LL")</f>
        <v>LL</v>
      </c>
    </row>
    <row r="2576" ht="15.75" customHeight="1">
      <c r="A2576" s="1" t="str">
        <f>IFERROR(__xludf.DUMMYFUNCTION("""COMPUTED_VALUE"""),"Valentina Melendez")</f>
        <v>Valentina Melendez</v>
      </c>
      <c r="B2576" s="1" t="str">
        <f>IFERROR(__xludf.DUMMYFUNCTION("""COMPUTED_VALUE"""),"MS")</f>
        <v>MS</v>
      </c>
    </row>
    <row r="2577" ht="15.75" customHeight="1">
      <c r="A2577" s="1" t="str">
        <f>IFERROR(__xludf.DUMMYFUNCTION("""COMPUTED_VALUE"""),"Hayes Burman")</f>
        <v>Hayes Burman</v>
      </c>
      <c r="B2577" s="1" t="str">
        <f>IFERROR(__xludf.DUMMYFUNCTION("""COMPUTED_VALUE"""),"L1")</f>
        <v>L1</v>
      </c>
    </row>
    <row r="2578" ht="15.75" customHeight="1">
      <c r="A2578" s="1" t="str">
        <f>IFERROR(__xludf.DUMMYFUNCTION("""COMPUTED_VALUE"""),"Sloane Derham")</f>
        <v>Sloane Derham</v>
      </c>
      <c r="B2578" s="1" t="str">
        <f>IFERROR(__xludf.DUMMYFUNCTION("""COMPUTED_VALUE"""),"WL")</f>
        <v>WL</v>
      </c>
    </row>
    <row r="2579" ht="15.75" customHeight="1">
      <c r="A2579" s="1" t="str">
        <f>IFERROR(__xludf.DUMMYFUNCTION("""COMPUTED_VALUE"""),"Bobbi Brown")</f>
        <v>Bobbi Brown</v>
      </c>
      <c r="B2579" s="1" t="str">
        <f>IFERROR(__xludf.DUMMYFUNCTION("""COMPUTED_VALUE"""),"MS")</f>
        <v>MS</v>
      </c>
    </row>
    <row r="2580" ht="15.75" customHeight="1">
      <c r="A2580" s="1" t="str">
        <f>IFERROR(__xludf.DUMMYFUNCTION("""COMPUTED_VALUE"""),"Riley Rosenberg")</f>
        <v>Riley Rosenberg</v>
      </c>
      <c r="B2580" s="1" t="str">
        <f>IFERROR(__xludf.DUMMYFUNCTION("""COMPUTED_VALUE"""),"LL")</f>
        <v>LL</v>
      </c>
    </row>
    <row r="2581" ht="15.75" customHeight="1">
      <c r="A2581" s="1" t="str">
        <f>IFERROR(__xludf.DUMMYFUNCTION("""COMPUTED_VALUE"""),"Jack Bromberg")</f>
        <v>Jack Bromberg</v>
      </c>
      <c r="B2581" s="1" t="str">
        <f>IFERROR(__xludf.DUMMYFUNCTION("""COMPUTED_VALUE"""),"MS")</f>
        <v>MS</v>
      </c>
    </row>
    <row r="2582" ht="15.75" customHeight="1">
      <c r="A2582" s="1" t="str">
        <f>IFERROR(__xludf.DUMMYFUNCTION("""COMPUTED_VALUE"""),"Jacob Atamas")</f>
        <v>Jacob Atamas</v>
      </c>
      <c r="B2582" s="1" t="str">
        <f>IFERROR(__xludf.DUMMYFUNCTION("""COMPUTED_VALUE"""),"MS")</f>
        <v>MS</v>
      </c>
    </row>
    <row r="2583" ht="15.75" customHeight="1">
      <c r="A2583" s="1" t="str">
        <f>IFERROR(__xludf.DUMMYFUNCTION("""COMPUTED_VALUE"""),"Mila Atamas")</f>
        <v>Mila Atamas</v>
      </c>
      <c r="B2583" s="1" t="str">
        <f>IFERROR(__xludf.DUMMYFUNCTION("""COMPUTED_VALUE"""),"MS")</f>
        <v>MS</v>
      </c>
    </row>
    <row r="2584" ht="15.75" customHeight="1">
      <c r="A2584" s="1" t="str">
        <f>IFERROR(__xludf.DUMMYFUNCTION("""COMPUTED_VALUE"""),"Hadassah Atamas")</f>
        <v>Hadassah Atamas</v>
      </c>
      <c r="B2584" s="1" t="str">
        <f>IFERROR(__xludf.DUMMYFUNCTION("""COMPUTED_VALUE"""),"LL")</f>
        <v>LL</v>
      </c>
    </row>
    <row r="2585" ht="15.75" customHeight="1">
      <c r="A2585" s="1" t="str">
        <f>IFERROR(__xludf.DUMMYFUNCTION("""COMPUTED_VALUE"""),"Geetesh Parelly")</f>
        <v>Geetesh Parelly</v>
      </c>
      <c r="B2585" s="1" t="str">
        <f>IFERROR(__xludf.DUMMYFUNCTION("""COMPUTED_VALUE"""),"HS")</f>
        <v>HS</v>
      </c>
    </row>
    <row r="2586" ht="15.75" customHeight="1">
      <c r="A2586" s="1" t="str">
        <f>IFERROR(__xludf.DUMMYFUNCTION("""COMPUTED_VALUE"""),"Reia Wong")</f>
        <v>Reia Wong</v>
      </c>
      <c r="B2586" s="1" t="str">
        <f>IFERROR(__xludf.DUMMYFUNCTION("""COMPUTED_VALUE"""),"LL")</f>
        <v>LL</v>
      </c>
    </row>
    <row r="2587" ht="15.75" customHeight="1">
      <c r="A2587" s="1" t="str">
        <f>IFERROR(__xludf.DUMMYFUNCTION("""COMPUTED_VALUE"""),"John Guner")</f>
        <v>John Guner</v>
      </c>
      <c r="B2587" s="1" t="str">
        <f>IFERROR(__xludf.DUMMYFUNCTION("""COMPUTED_VALUE"""),"MS")</f>
        <v>MS</v>
      </c>
    </row>
    <row r="2588" ht="15.75" customHeight="1">
      <c r="A2588" s="1" t="str">
        <f>IFERROR(__xludf.DUMMYFUNCTION("""COMPUTED_VALUE"""),"Lauren Vento")</f>
        <v>Lauren Vento</v>
      </c>
      <c r="B2588" s="1" t="str">
        <f>IFERROR(__xludf.DUMMYFUNCTION("""COMPUTED_VALUE"""),"MS")</f>
        <v>MS</v>
      </c>
    </row>
    <row r="2589" ht="15.75" customHeight="1">
      <c r="A2589" s="1" t="str">
        <f>IFERROR(__xludf.DUMMYFUNCTION("""COMPUTED_VALUE"""),"Emma Mehr")</f>
        <v>Emma Mehr</v>
      </c>
      <c r="B2589" s="1" t="str">
        <f>IFERROR(__xludf.DUMMYFUNCTION("""COMPUTED_VALUE"""),"WL")</f>
        <v>WL</v>
      </c>
    </row>
    <row r="2590" ht="15.75" customHeight="1">
      <c r="A2590" s="1" t="str">
        <f>IFERROR(__xludf.DUMMYFUNCTION("""COMPUTED_VALUE"""),"Ruby Singer")</f>
        <v>Ruby Singer</v>
      </c>
      <c r="B2590" s="1" t="str">
        <f>IFERROR(__xludf.DUMMYFUNCTION("""COMPUTED_VALUE"""),"LL")</f>
        <v>LL</v>
      </c>
    </row>
    <row r="2591" ht="15.75" customHeight="1">
      <c r="A2591" s="1" t="str">
        <f>IFERROR(__xludf.DUMMYFUNCTION("""COMPUTED_VALUE"""),"Oslo Singer")</f>
        <v>Oslo Singer</v>
      </c>
      <c r="B2591" s="1" t="str">
        <f>IFERROR(__xludf.DUMMYFUNCTION("""COMPUTED_VALUE"""),"L1")</f>
        <v>L1</v>
      </c>
    </row>
    <row r="2592" ht="15.75" customHeight="1">
      <c r="A2592" s="1" t="str">
        <f>IFERROR(__xludf.DUMMYFUNCTION("""COMPUTED_VALUE"""),"Pierce McCord")</f>
        <v>Pierce McCord</v>
      </c>
      <c r="B2592" s="1" t="str">
        <f>IFERROR(__xludf.DUMMYFUNCTION("""COMPUTED_VALUE"""),"WL")</f>
        <v>WL</v>
      </c>
    </row>
    <row r="2593" ht="15.75" customHeight="1">
      <c r="A2593" s="1" t="str">
        <f>IFERROR(__xludf.DUMMYFUNCTION("""COMPUTED_VALUE"""),"Mollie McDougald")</f>
        <v>Mollie McDougald</v>
      </c>
      <c r="B2593" s="1" t="str">
        <f>IFERROR(__xludf.DUMMYFUNCTION("""COMPUTED_VALUE"""),"HS")</f>
        <v>HS</v>
      </c>
    </row>
    <row r="2594" ht="15.75" customHeight="1">
      <c r="A2594" s="1" t="str">
        <f>IFERROR(__xludf.DUMMYFUNCTION("""COMPUTED_VALUE"""),"Beau Stern")</f>
        <v>Beau Stern</v>
      </c>
      <c r="B2594" s="1" t="str">
        <f>IFERROR(__xludf.DUMMYFUNCTION("""COMPUTED_VALUE"""),"L2")</f>
        <v>L2</v>
      </c>
    </row>
    <row r="2595" ht="15.75" customHeight="1">
      <c r="A2595" s="1" t="str">
        <f>IFERROR(__xludf.DUMMYFUNCTION("""COMPUTED_VALUE"""),"Noah Cowher")</f>
        <v>Noah Cowher</v>
      </c>
      <c r="B2595" s="1" t="str">
        <f>IFERROR(__xludf.DUMMYFUNCTION("""COMPUTED_VALUE"""),"MS")</f>
        <v>MS</v>
      </c>
    </row>
    <row r="2596" ht="15.75" customHeight="1">
      <c r="A2596" s="1" t="str">
        <f>IFERROR(__xludf.DUMMYFUNCTION("""COMPUTED_VALUE"""),"Malaika Negrete")</f>
        <v>Malaika Negrete</v>
      </c>
      <c r="B2596" s="1" t="str">
        <f>IFERROR(__xludf.DUMMYFUNCTION("""COMPUTED_VALUE"""),"HS")</f>
        <v>HS</v>
      </c>
    </row>
    <row r="2597" ht="15.75" customHeight="1">
      <c r="A2597" s="1" t="str">
        <f>IFERROR(__xludf.DUMMYFUNCTION("""COMPUTED_VALUE"""),"Iker Negrete")</f>
        <v>Iker Negrete</v>
      </c>
      <c r="B2597" s="1" t="str">
        <f>IFERROR(__xludf.DUMMYFUNCTION("""COMPUTED_VALUE"""),"MS")</f>
        <v>MS</v>
      </c>
    </row>
    <row r="2598" ht="15.75" customHeight="1">
      <c r="A2598" s="1" t="str">
        <f>IFERROR(__xludf.DUMMYFUNCTION("""COMPUTED_VALUE"""),"Eric Feltoon")</f>
        <v>Eric Feltoon</v>
      </c>
      <c r="B2598" s="1" t="str">
        <f>IFERROR(__xludf.DUMMYFUNCTION("""COMPUTED_VALUE"""),"LL")</f>
        <v>LL</v>
      </c>
    </row>
    <row r="2599" ht="15.75" customHeight="1">
      <c r="A2599" s="1" t="str">
        <f>IFERROR(__xludf.DUMMYFUNCTION("""COMPUTED_VALUE"""),"Ava Ackerson")</f>
        <v>Ava Ackerson</v>
      </c>
      <c r="B2599" s="1" t="str">
        <f>IFERROR(__xludf.DUMMYFUNCTION("""COMPUTED_VALUE"""),"L2")</f>
        <v>L2</v>
      </c>
    </row>
    <row r="2600" ht="15.75" customHeight="1">
      <c r="A2600" s="1" t="str">
        <f>IFERROR(__xludf.DUMMYFUNCTION("""COMPUTED_VALUE"""),"Anya Ackerson")</f>
        <v>Anya Ackerson</v>
      </c>
      <c r="B2600" s="1" t="str">
        <f>IFERROR(__xludf.DUMMYFUNCTION("""COMPUTED_VALUE"""),"L2")</f>
        <v>L2</v>
      </c>
    </row>
    <row r="2601" ht="15.75" customHeight="1">
      <c r="A2601" s="1" t="str">
        <f>IFERROR(__xludf.DUMMYFUNCTION("""COMPUTED_VALUE"""),"Maren Ackerson")</f>
        <v>Maren Ackerson</v>
      </c>
      <c r="B2601" s="1" t="str">
        <f>IFERROR(__xludf.DUMMYFUNCTION("""COMPUTED_VALUE"""),"L1")</f>
        <v>L1</v>
      </c>
    </row>
    <row r="2602" ht="15.75" customHeight="1">
      <c r="A2602" s="1" t="str">
        <f>IFERROR(__xludf.DUMMYFUNCTION("""COMPUTED_VALUE"""),"Maxime Auvray")</f>
        <v>Maxime Auvray</v>
      </c>
      <c r="B2602" s="1" t="str">
        <f>IFERROR(__xludf.DUMMYFUNCTION("""COMPUTED_VALUE"""),"HS")</f>
        <v>HS</v>
      </c>
    </row>
    <row r="2603" ht="15.75" customHeight="1">
      <c r="A2603" s="1" t="str">
        <f>IFERROR(__xludf.DUMMYFUNCTION("""COMPUTED_VALUE"""),"Oliver Auvray")</f>
        <v>Oliver Auvray</v>
      </c>
      <c r="B2603" s="1" t="str">
        <f>IFERROR(__xludf.DUMMYFUNCTION("""COMPUTED_VALUE"""),"HS")</f>
        <v>HS</v>
      </c>
    </row>
    <row r="2604" ht="15.75" customHeight="1">
      <c r="A2604" s="1" t="str">
        <f>IFERROR(__xludf.DUMMYFUNCTION("""COMPUTED_VALUE"""),"Harel Manor")</f>
        <v>Harel Manor</v>
      </c>
      <c r="B2604" s="1" t="str">
        <f>IFERROR(__xludf.DUMMYFUNCTION("""COMPUTED_VALUE"""),"L1")</f>
        <v>L1</v>
      </c>
    </row>
    <row r="2605" ht="15.75" customHeight="1">
      <c r="A2605" s="1" t="str">
        <f>IFERROR(__xludf.DUMMYFUNCTION("""COMPUTED_VALUE"""),"Avra Tujios")</f>
        <v>Avra Tujios</v>
      </c>
      <c r="B2605" s="1" t="str">
        <f>IFERROR(__xludf.DUMMYFUNCTION("""COMPUTED_VALUE"""),"L1")</f>
        <v>L1</v>
      </c>
    </row>
    <row r="2606" ht="15.75" customHeight="1">
      <c r="A2606" s="1" t="str">
        <f>IFERROR(__xludf.DUMMYFUNCTION("""COMPUTED_VALUE"""),"Sloka Vudumu")</f>
        <v>Sloka Vudumu</v>
      </c>
      <c r="B2606" s="1" t="str">
        <f>IFERROR(__xludf.DUMMYFUNCTION("""COMPUTED_VALUE"""),"HS")</f>
        <v>HS</v>
      </c>
    </row>
    <row r="2607" ht="15.75" customHeight="1">
      <c r="A2607" s="1" t="str">
        <f>IFERROR(__xludf.DUMMYFUNCTION("""COMPUTED_VALUE"""),"Jad Qunibi")</f>
        <v>Jad Qunibi</v>
      </c>
      <c r="B2607" s="1" t="str">
        <f>IFERROR(__xludf.DUMMYFUNCTION("""COMPUTED_VALUE"""),"L2")</f>
        <v>L2</v>
      </c>
    </row>
    <row r="2608" ht="15.75" customHeight="1">
      <c r="A2608" s="1" t="str">
        <f>IFERROR(__xludf.DUMMYFUNCTION("""COMPUTED_VALUE"""),"Emilia Lobo")</f>
        <v>Emilia Lobo</v>
      </c>
      <c r="B2608" s="1" t="str">
        <f>IFERROR(__xludf.DUMMYFUNCTION("""COMPUTED_VALUE"""),"L1")</f>
        <v>L1</v>
      </c>
    </row>
    <row r="2609" ht="15.75" customHeight="1">
      <c r="A2609" s="1" t="str">
        <f>IFERROR(__xludf.DUMMYFUNCTION("""COMPUTED_VALUE"""),"Andy Test")</f>
        <v>Andy Test</v>
      </c>
      <c r="B2609" s="1" t="str">
        <f>IFERROR(__xludf.DUMMYFUNCTION("""COMPUTED_VALUE"""),"MS")</f>
        <v>MS</v>
      </c>
    </row>
    <row r="2610" ht="15.75" customHeight="1">
      <c r="A2610" s="1" t="str">
        <f>IFERROR(__xludf.DUMMYFUNCTION("""COMPUTED_VALUE"""),"HSTest Account1")</f>
        <v>HSTest Account1</v>
      </c>
      <c r="B2610" s="1" t="str">
        <f>IFERROR(__xludf.DUMMYFUNCTION("""COMPUTED_VALUE"""),"HS")</f>
        <v>HS</v>
      </c>
    </row>
    <row r="2611" ht="15.75" customHeight="1">
      <c r="A2611" s="1" t="str">
        <f>IFERROR(__xludf.DUMMYFUNCTION("""COMPUTED_VALUE"""),"HSTest Account2")</f>
        <v>HSTest Account2</v>
      </c>
      <c r="B2611" s="1" t="str">
        <f>IFERROR(__xludf.DUMMYFUNCTION("""COMPUTED_VALUE"""),"HS")</f>
        <v>HS</v>
      </c>
    </row>
    <row r="2612" ht="15.75" customHeight="1">
      <c r="A2612" s="1" t="str">
        <f>IFERROR(__xludf.DUMMYFUNCTION("""COMPUTED_VALUE"""),"Leila Abony")</f>
        <v>Leila Abony</v>
      </c>
      <c r="B2612" s="1" t="str">
        <f>IFERROR(__xludf.DUMMYFUNCTION("""COMPUTED_VALUE"""),"LL")</f>
        <v>LL</v>
      </c>
    </row>
    <row r="2613" ht="15.75" customHeight="1">
      <c r="A2613" s="1" t="str">
        <f>IFERROR(__xludf.DUMMYFUNCTION("""COMPUTED_VALUE"""),"Dillon Overton")</f>
        <v>Dillon Overton</v>
      </c>
      <c r="B2613" s="1" t="str">
        <f>IFERROR(__xludf.DUMMYFUNCTION("""COMPUTED_VALUE"""),"HS")</f>
        <v>HS</v>
      </c>
    </row>
    <row r="2614" ht="15.75" customHeight="1">
      <c r="A2614" s="1" t="str">
        <f>IFERROR(__xludf.DUMMYFUNCTION("""COMPUTED_VALUE"""),"Jeremy Wang")</f>
        <v>Jeremy Wang</v>
      </c>
      <c r="B2614" s="1" t="str">
        <f>IFERROR(__xludf.DUMMYFUNCTION("""COMPUTED_VALUE"""),"HS")</f>
        <v>HS</v>
      </c>
    </row>
    <row r="2615" ht="15.75" customHeight="1">
      <c r="A2615" s="1" t="str">
        <f>IFERROR(__xludf.DUMMYFUNCTION("""COMPUTED_VALUE"""),"Test Test")</f>
        <v>Test Test</v>
      </c>
      <c r="B2615" s="1" t="str">
        <f>IFERROR(__xludf.DUMMYFUNCTION("""COMPUTED_VALUE"""),"HS")</f>
        <v>HS</v>
      </c>
    </row>
    <row r="2616" ht="15.75" customHeight="1">
      <c r="A2616" s="1" t="str">
        <f>IFERROR(__xludf.DUMMYFUNCTION("""COMPUTED_VALUE"""),"Worden Borho")</f>
        <v>Worden Borho</v>
      </c>
      <c r="B2616" s="1" t="str">
        <f>IFERROR(__xludf.DUMMYFUNCTION("""COMPUTED_VALUE"""),"L2")</f>
        <v>L2</v>
      </c>
    </row>
    <row r="2617" ht="15.75" customHeight="1">
      <c r="A2617" s="1" t="str">
        <f>IFERROR(__xludf.DUMMYFUNCTION("""COMPUTED_VALUE"""),"Vera Li")</f>
        <v>Vera Li</v>
      </c>
      <c r="B2617" s="1" t="str">
        <f>IFERROR(__xludf.DUMMYFUNCTION("""COMPUTED_VALUE"""),"HS")</f>
        <v>HS</v>
      </c>
    </row>
    <row r="2618" ht="15.75" customHeight="1">
      <c r="A2618" s="1" t="str">
        <f>IFERROR(__xludf.DUMMYFUNCTION("""COMPUTED_VALUE"""),"Nathan Scharf")</f>
        <v>Nathan Scharf</v>
      </c>
      <c r="B2618" s="1" t="str">
        <f>IFERROR(__xludf.DUMMYFUNCTION("""COMPUTED_VALUE"""),"MS")</f>
        <v>MS</v>
      </c>
    </row>
    <row r="2619" ht="15.75" customHeight="1">
      <c r="A2619" s="1" t="str">
        <f>IFERROR(__xludf.DUMMYFUNCTION("""COMPUTED_VALUE"""),"Austin Lin")</f>
        <v>Austin Lin</v>
      </c>
      <c r="B2619" s="1" t="str">
        <f>IFERROR(__xludf.DUMMYFUNCTION("""COMPUTED_VALUE"""),"HS")</f>
        <v>HS</v>
      </c>
    </row>
    <row r="2620" ht="15.75" customHeight="1">
      <c r="A2620" s="1" t="str">
        <f>IFERROR(__xludf.DUMMYFUNCTION("""COMPUTED_VALUE"""),"Aoife Huey")</f>
        <v>Aoife Huey</v>
      </c>
      <c r="B2620" s="1" t="str">
        <f>IFERROR(__xludf.DUMMYFUNCTION("""COMPUTED_VALUE"""),"HS")</f>
        <v>HS</v>
      </c>
    </row>
    <row r="2621" ht="15.75" customHeight="1">
      <c r="A2621" s="1" t="str">
        <f>IFERROR(__xludf.DUMMYFUNCTION("""COMPUTED_VALUE"""),"Evan Klein")</f>
        <v>Evan Klein</v>
      </c>
      <c r="B2621" s="1" t="str">
        <f>IFERROR(__xludf.DUMMYFUNCTION("""COMPUTED_VALUE"""),"HS")</f>
        <v>HS</v>
      </c>
    </row>
    <row r="2622" ht="15.75" customHeight="1">
      <c r="A2622" s="1" t="str">
        <f>IFERROR(__xludf.DUMMYFUNCTION("""COMPUTED_VALUE"""),"Katherine Du")</f>
        <v>Katherine Du</v>
      </c>
      <c r="B2622" s="1" t="str">
        <f>IFERROR(__xludf.DUMMYFUNCTION("""COMPUTED_VALUE"""),"L2")</f>
        <v>L2</v>
      </c>
    </row>
    <row r="2623" ht="15.75" customHeight="1">
      <c r="A2623" s="1" t="str">
        <f>IFERROR(__xludf.DUMMYFUNCTION("""COMPUTED_VALUE"""),"HSTest Account3")</f>
        <v>HSTest Account3</v>
      </c>
      <c r="B2623" s="1" t="str">
        <f>IFERROR(__xludf.DUMMYFUNCTION("""COMPUTED_VALUE"""),"HS")</f>
        <v>HS</v>
      </c>
    </row>
    <row r="2624" ht="15.75" customHeight="1">
      <c r="A2624" s="1" t="str">
        <f>IFERROR(__xludf.DUMMYFUNCTION("""COMPUTED_VALUE"""),"Saachi Sharma")</f>
        <v>Saachi Sharma</v>
      </c>
      <c r="B2624" s="1" t="str">
        <f>IFERROR(__xludf.DUMMYFUNCTION("""COMPUTED_VALUE"""),"L1")</f>
        <v>L1</v>
      </c>
    </row>
    <row r="2625" ht="15.75" customHeight="1">
      <c r="A2625" s="1" t="str">
        <f>IFERROR(__xludf.DUMMYFUNCTION("""COMPUTED_VALUE"""),"Des Pardi")</f>
        <v>Des Pardi</v>
      </c>
      <c r="B2625" s="1" t="str">
        <f>IFERROR(__xludf.DUMMYFUNCTION("""COMPUTED_VALUE"""),"MS")</f>
        <v>MS</v>
      </c>
    </row>
    <row r="2626" ht="15.75" customHeight="1">
      <c r="A2626" s="1" t="str">
        <f>IFERROR(__xludf.DUMMYFUNCTION("""COMPUTED_VALUE"""),"Joel Runacres")</f>
        <v>Joel Runacres</v>
      </c>
      <c r="B2626" s="1" t="str">
        <f>IFERROR(__xludf.DUMMYFUNCTION("""COMPUTED_VALUE"""),"HS")</f>
        <v>HS</v>
      </c>
    </row>
    <row r="2627" ht="15.75" customHeight="1">
      <c r="A2627" s="1" t="str">
        <f>IFERROR(__xludf.DUMMYFUNCTION("""COMPUTED_VALUE"""),"Molly Joshi")</f>
        <v>Molly Joshi</v>
      </c>
      <c r="B2627" s="1" t="str">
        <f>IFERROR(__xludf.DUMMYFUNCTION("""COMPUTED_VALUE"""),"WL")</f>
        <v>WL</v>
      </c>
    </row>
    <row r="2628" ht="15.75" customHeight="1">
      <c r="A2628" s="1" t="str">
        <f>IFERROR(__xludf.DUMMYFUNCTION("""COMPUTED_VALUE"""),"Test 4 _test_")</f>
        <v>Test 4 _test_</v>
      </c>
      <c r="B2628" s="1" t="str">
        <f>IFERROR(__xludf.DUMMYFUNCTION("""COMPUTED_VALUE"""),"LL")</f>
        <v>LL</v>
      </c>
    </row>
    <row r="2629" ht="15.75" customHeight="1">
      <c r="A2629" s="1" t="str">
        <f>IFERROR(__xludf.DUMMYFUNCTION("""COMPUTED_VALUE"""),"Test 10 _test_")</f>
        <v>Test 10 _test_</v>
      </c>
      <c r="B2629" s="1" t="str">
        <f>IFERROR(__xludf.DUMMYFUNCTION("""COMPUTED_VALUE"""),"WL")</f>
        <v>WL</v>
      </c>
    </row>
    <row r="2630" ht="15.75" customHeight="1">
      <c r="A2630" s="1" t="str">
        <f>IFERROR(__xludf.DUMMYFUNCTION("""COMPUTED_VALUE"""),"Student _test_")</f>
        <v>Student _test_</v>
      </c>
      <c r="B2630" s="1" t="str">
        <f>IFERROR(__xludf.DUMMYFUNCTION("""COMPUTED_VALUE"""),"LL")</f>
        <v>LL</v>
      </c>
    </row>
    <row r="2631" ht="15.75" customHeight="1">
      <c r="A2631" s="1" t="str">
        <f>IFERROR(__xludf.DUMMYFUNCTION("""COMPUTED_VALUE"""),"Test 15 _test_")</f>
        <v>Test 15 _test_</v>
      </c>
      <c r="B2631" s="1" t="str">
        <f>IFERROR(__xludf.DUMMYFUNCTION("""COMPUTED_VALUE"""),"WL")</f>
        <v>WL</v>
      </c>
    </row>
    <row r="2632" ht="15.75" customHeight="1">
      <c r="A2632" s="1" t="str">
        <f>IFERROR(__xludf.DUMMYFUNCTION("""COMPUTED_VALUE"""),"Test 16 _test_")</f>
        <v>Test 16 _test_</v>
      </c>
      <c r="B2632" s="1" t="str">
        <f>IFERROR(__xludf.DUMMYFUNCTION("""COMPUTED_VALUE"""),"WL")</f>
        <v>WL</v>
      </c>
    </row>
    <row r="2633" ht="15.75" customHeight="1">
      <c r="A2633" s="1" t="str">
        <f>IFERROR(__xludf.DUMMYFUNCTION("""COMPUTED_VALUE"""),"Test 17 _test_")</f>
        <v>Test 17 _test_</v>
      </c>
      <c r="B2633" s="1" t="str">
        <f>IFERROR(__xludf.DUMMYFUNCTION("""COMPUTED_VALUE"""),"WL")</f>
        <v>WL</v>
      </c>
    </row>
    <row r="2634" ht="15.75" customHeight="1">
      <c r="A2634" s="1" t="str">
        <f>IFERROR(__xludf.DUMMYFUNCTION("""COMPUTED_VALUE"""),"Test 18 _test_")</f>
        <v>Test 18 _test_</v>
      </c>
      <c r="B2634" s="1" t="str">
        <f>IFERROR(__xludf.DUMMYFUNCTION("""COMPUTED_VALUE"""),"WL")</f>
        <v>WL</v>
      </c>
    </row>
    <row r="2635" ht="15.75" customHeight="1">
      <c r="A2635" s="1" t="str">
        <f>IFERROR(__xludf.DUMMYFUNCTION("""COMPUTED_VALUE"""),"Test 19 _test_")</f>
        <v>Test 19 _test_</v>
      </c>
      <c r="B2635" s="1" t="str">
        <f>IFERROR(__xludf.DUMMYFUNCTION("""COMPUTED_VALUE"""),"LL")</f>
        <v>LL</v>
      </c>
    </row>
    <row r="2636" ht="15.75" customHeight="1">
      <c r="A2636" s="1" t="str">
        <f>IFERROR(__xludf.DUMMYFUNCTION("""COMPUTED_VALUE"""),"Test 20 _test_")</f>
        <v>Test 20 _test_</v>
      </c>
      <c r="B2636" s="1" t="str">
        <f>IFERROR(__xludf.DUMMYFUNCTION("""COMPUTED_VALUE"""),"LL")</f>
        <v>LL</v>
      </c>
    </row>
    <row r="2637" ht="15.75" customHeight="1">
      <c r="A2637" s="1" t="str">
        <f>IFERROR(__xludf.DUMMYFUNCTION("""COMPUTED_VALUE"""),"Test 21 _test_")</f>
        <v>Test 21 _test_</v>
      </c>
      <c r="B2637" s="1" t="str">
        <f>IFERROR(__xludf.DUMMYFUNCTION("""COMPUTED_VALUE"""),"WL")</f>
        <v>WL</v>
      </c>
    </row>
    <row r="2638" ht="15.75" customHeight="1">
      <c r="A2638" s="1" t="str">
        <f>IFERROR(__xludf.DUMMYFUNCTION("""COMPUTED_VALUE"""),"Test 22 _test_")</f>
        <v>Test 22 _test_</v>
      </c>
      <c r="B2638" s="1" t="str">
        <f>IFERROR(__xludf.DUMMYFUNCTION("""COMPUTED_VALUE"""),"MS")</f>
        <v>MS</v>
      </c>
    </row>
    <row r="2639" ht="15.75" customHeight="1">
      <c r="A2639" s="1" t="str">
        <f>IFERROR(__xludf.DUMMYFUNCTION("""COMPUTED_VALUE"""),"Honey Ross")</f>
        <v>Honey Ross</v>
      </c>
      <c r="B2639" s="1" t="str">
        <f>IFERROR(__xludf.DUMMYFUNCTION("""COMPUTED_VALUE"""),"LL")</f>
        <v>LL</v>
      </c>
    </row>
    <row r="2640" ht="15.75" customHeight="1">
      <c r="A2640" s="1" t="str">
        <f>IFERROR(__xludf.DUMMYFUNCTION("""COMPUTED_VALUE"""),"sd Sedf")</f>
        <v>sd Sedf</v>
      </c>
      <c r="B2640" s="1" t="str">
        <f>IFERROR(__xludf.DUMMYFUNCTION("""COMPUTED_VALUE"""),"LL")</f>
        <v>LL</v>
      </c>
    </row>
    <row r="2641" ht="15.75" customHeight="1">
      <c r="A2641" s="1" t="str">
        <f>IFERROR(__xludf.DUMMYFUNCTION("""COMPUTED_VALUE"""),"Yashar Student New 1 _test_")</f>
        <v>Yashar Student New 1 _test_</v>
      </c>
      <c r="B2641" s="1" t="str">
        <f>IFERROR(__xludf.DUMMYFUNCTION("""COMPUTED_VALUE"""),"L2")</f>
        <v>L2</v>
      </c>
    </row>
    <row r="2642" ht="15.75" customHeight="1">
      <c r="A2642" s="1" t="str">
        <f>IFERROR(__xludf.DUMMYFUNCTION("""COMPUTED_VALUE"""),"Ellis Kyung")</f>
        <v>Ellis Kyung</v>
      </c>
      <c r="B2642" s="1" t="str">
        <f>IFERROR(__xludf.DUMMYFUNCTION("""COMPUTED_VALUE"""),"LL")</f>
        <v>LL</v>
      </c>
    </row>
    <row r="2643" ht="15.75" customHeight="1">
      <c r="A2643" s="1" t="str">
        <f>IFERROR(__xludf.DUMMYFUNCTION("""COMPUTED_VALUE"""),"Yashar Student Invitee New 1 _test_")</f>
        <v>Yashar Student Invitee New 1 _test_</v>
      </c>
      <c r="B2643" s="1" t="str">
        <f>IFERROR(__xludf.DUMMYFUNCTION("""COMPUTED_VALUE"""),"LL")</f>
        <v>LL</v>
      </c>
    </row>
    <row r="2644" ht="15.75" customHeight="1">
      <c r="A2644" s="1" t="str">
        <f>IFERROR(__xludf.DUMMYFUNCTION("""COMPUTED_VALUE"""),"Yashar Student Invitee PD New 1 _test_")</f>
        <v>Yashar Student Invitee PD New 1 _test_</v>
      </c>
      <c r="B2644" s="1" t="str">
        <f>IFERROR(__xludf.DUMMYFUNCTION("""COMPUTED_VALUE"""),"WL")</f>
        <v>WL</v>
      </c>
    </row>
    <row r="2645" ht="15.75" customHeight="1">
      <c r="A2645" s="1" t="str">
        <f>IFERROR(__xludf.DUMMYFUNCTION("""COMPUTED_VALUE"""),"Yashar Student Invitee FN New 1 _test_")</f>
        <v>Yashar Student Invitee FN New 1 _test_</v>
      </c>
      <c r="B2645" s="1" t="str">
        <f>IFERROR(__xludf.DUMMYFUNCTION("""COMPUTED_VALUE"""),"LL")</f>
        <v>LL</v>
      </c>
    </row>
    <row r="2646" ht="15.75" customHeight="1">
      <c r="A2646" s="1" t="str">
        <f>IFERROR(__xludf.DUMMYFUNCTION("""COMPUTED_VALUE"""),"Yashar Student Invitee UTM Source New 1 _test_")</f>
        <v>Yashar Student Invitee UTM Source New 1 _test_</v>
      </c>
      <c r="B2646" s="1" t="str">
        <f>IFERROR(__xludf.DUMMYFUNCTION("""COMPUTED_VALUE"""),"LL")</f>
        <v>LL</v>
      </c>
    </row>
    <row r="2647" ht="15.75" customHeight="1">
      <c r="A2647" s="1" t="str">
        <f>IFERROR(__xludf.DUMMYFUNCTION("""COMPUTED_VALUE"""),"Yashar Student IS 1 _test_")</f>
        <v>Yashar Student IS 1 _test_</v>
      </c>
      <c r="B2647" s="1" t="str">
        <f>IFERROR(__xludf.DUMMYFUNCTION("""COMPUTED_VALUE"""),"LL")</f>
        <v>LL</v>
      </c>
    </row>
    <row r="2648" ht="15.75" customHeight="1">
      <c r="A2648" s="1" t="str">
        <f>IFERROR(__xludf.DUMMYFUNCTION("""COMPUTED_VALUE"""),"Yashar Student Invitee SS1 _test_")</f>
        <v>Yashar Student Invitee SS1 _test_</v>
      </c>
      <c r="B2648" s="1" t="str">
        <f>IFERROR(__xludf.DUMMYFUNCTION("""COMPUTED_VALUE"""),"LL")</f>
        <v>LL</v>
      </c>
    </row>
    <row r="2649" ht="15.75" customHeight="1">
      <c r="A2649" s="1" t="str">
        <f>IFERROR(__xludf.DUMMYFUNCTION("""COMPUTED_VALUE"""),"Yashar IDGS 1 _test_")</f>
        <v>Yashar IDGS 1 _test_</v>
      </c>
      <c r="B2649" s="1" t="str">
        <f>IFERROR(__xludf.DUMMYFUNCTION("""COMPUTED_VALUE"""),"WL")</f>
        <v>WL</v>
      </c>
    </row>
    <row r="2650" ht="15.75" customHeight="1">
      <c r="A2650" s="1" t="str">
        <f>IFERROR(__xludf.DUMMYFUNCTION("""COMPUTED_VALUE"""),"Yashar IDGS 2 _test_")</f>
        <v>Yashar IDGS 2 _test_</v>
      </c>
      <c r="B2650" s="1" t="str">
        <f>IFERROR(__xludf.DUMMYFUNCTION("""COMPUTED_VALUE"""),"LL")</f>
        <v>LL</v>
      </c>
    </row>
    <row r="2651" ht="15.75" customHeight="1">
      <c r="A2651" s="1" t="str">
        <f>IFERROR(__xludf.DUMMYFUNCTION("""COMPUTED_VALUE"""),"Yashar IDGS 3 _test_")</f>
        <v>Yashar IDGS 3 _test_</v>
      </c>
      <c r="B2651" s="1" t="str">
        <f>IFERROR(__xludf.DUMMYFUNCTION("""COMPUTED_VALUE"""),"L1")</f>
        <v>L1</v>
      </c>
    </row>
    <row r="2652" ht="15.75" customHeight="1">
      <c r="A2652" s="1" t="str">
        <f>IFERROR(__xludf.DUMMYFUNCTION("""COMPUTED_VALUE"""),"Yashar Student Invitee PD New 1 _test_")</f>
        <v>Yashar Student Invitee PD New 1 _test_</v>
      </c>
      <c r="B2652" s="1" t="str">
        <f>IFERROR(__xludf.DUMMYFUNCTION("""COMPUTED_VALUE"""),"LL")</f>
        <v>LL</v>
      </c>
    </row>
    <row r="2653" ht="15.75" customHeight="1">
      <c r="A2653" s="1" t="str">
        <f>IFERROR(__xludf.DUMMYFUNCTION("""COMPUTED_VALUE"""),"Yashar Student Invitee PD New 1 _test_")</f>
        <v>Yashar Student Invitee PD New 1 _test_</v>
      </c>
      <c r="B2653" s="1" t="str">
        <f>IFERROR(__xludf.DUMMYFUNCTION("""COMPUTED_VALUE"""),"LL")</f>
        <v>LL</v>
      </c>
    </row>
    <row r="2654" ht="15.75" customHeight="1">
      <c r="A2654" s="1" t="str">
        <f>IFERROR(__xludf.DUMMYFUNCTION("""COMPUTED_VALUE"""),"Jane Doe")</f>
        <v>Jane Doe</v>
      </c>
      <c r="B2654" s="1" t="str">
        <f>IFERROR(__xludf.DUMMYFUNCTION("""COMPUTED_VALUE"""),"LL")</f>
        <v>LL</v>
      </c>
    </row>
    <row r="2655" ht="15.75" customHeight="1">
      <c r="A2655" s="1" t="str">
        <f>IFERROR(__xludf.DUMMYFUNCTION("""COMPUTED_VALUE"""),"Blake Puddlefoot")</f>
        <v>Blake Puddlefoot</v>
      </c>
      <c r="B2655" s="1" t="str">
        <f>IFERROR(__xludf.DUMMYFUNCTION("""COMPUTED_VALUE"""),"LL")</f>
        <v>LL</v>
      </c>
    </row>
    <row r="2656" ht="15.75" customHeight="1">
      <c r="A2656" s="1" t="str">
        <f>IFERROR(__xludf.DUMMYFUNCTION("""COMPUTED_VALUE"""),"Guide Sixth Grade1")</f>
        <v>Guide Sixth Grade1</v>
      </c>
      <c r="B2656" s="1" t="str">
        <f>IFERROR(__xludf.DUMMYFUNCTION("""COMPUTED_VALUE"""),"MS")</f>
        <v>MS</v>
      </c>
    </row>
    <row r="2657" ht="15.75" customHeight="1">
      <c r="A2657" s="1" t="str">
        <f>IFERROR(__xludf.DUMMYFUNCTION("""COMPUTED_VALUE"""),"Guide Sixth Grade2")</f>
        <v>Guide Sixth Grade2</v>
      </c>
      <c r="B2657" s="1" t="str">
        <f>IFERROR(__xludf.DUMMYFUNCTION("""COMPUTED_VALUE"""),"MS")</f>
        <v>MS</v>
      </c>
    </row>
    <row r="2658" ht="15.75" customHeight="1">
      <c r="A2658" s="1" t="str">
        <f>IFERROR(__xludf.DUMMYFUNCTION("""COMPUTED_VALUE"""),"Guide Sixth Grade3")</f>
        <v>Guide Sixth Grade3</v>
      </c>
      <c r="B2658" s="1" t="str">
        <f>IFERROR(__xludf.DUMMYFUNCTION("""COMPUTED_VALUE"""),"MS")</f>
        <v>MS</v>
      </c>
    </row>
    <row r="2659" ht="15.75" customHeight="1">
      <c r="A2659" s="1" t="str">
        <f>IFERROR(__xludf.DUMMYFUNCTION("""COMPUTED_VALUE"""),"Guide Sixth Grade4")</f>
        <v>Guide Sixth Grade4</v>
      </c>
      <c r="B2659" s="1" t="str">
        <f>IFERROR(__xludf.DUMMYFUNCTION("""COMPUTED_VALUE"""),"MS")</f>
        <v>MS</v>
      </c>
    </row>
    <row r="2660" ht="15.75" customHeight="1">
      <c r="A2660" s="1" t="str">
        <f>IFERROR(__xludf.DUMMYFUNCTION("""COMPUTED_VALUE"""),"Guide Sixth Grade5")</f>
        <v>Guide Sixth Grade5</v>
      </c>
      <c r="B2660" s="1" t="str">
        <f>IFERROR(__xludf.DUMMYFUNCTION("""COMPUTED_VALUE"""),"MS")</f>
        <v>MS</v>
      </c>
    </row>
    <row r="2661" ht="15.75" customHeight="1">
      <c r="A2661" s="1" t="str">
        <f>IFERROR(__xludf.DUMMYFUNCTION("""COMPUTED_VALUE"""),"Guide Sixth Grade6")</f>
        <v>Guide Sixth Grade6</v>
      </c>
      <c r="B2661" s="1" t="str">
        <f>IFERROR(__xludf.DUMMYFUNCTION("""COMPUTED_VALUE"""),"MS")</f>
        <v>MS</v>
      </c>
    </row>
    <row r="2662" ht="15.75" customHeight="1">
      <c r="A2662" s="1" t="str">
        <f>IFERROR(__xludf.DUMMYFUNCTION("""COMPUTED_VALUE"""),"Guide Sixth Grade7")</f>
        <v>Guide Sixth Grade7</v>
      </c>
      <c r="B2662" s="1" t="str">
        <f>IFERROR(__xludf.DUMMYFUNCTION("""COMPUTED_VALUE"""),"MS")</f>
        <v>MS</v>
      </c>
    </row>
    <row r="2663" ht="15.75" customHeight="1">
      <c r="A2663" s="1" t="str">
        <f>IFERROR(__xludf.DUMMYFUNCTION("""COMPUTED_VALUE"""),"Avaleigh Swanson")</f>
        <v>Avaleigh Swanson</v>
      </c>
      <c r="B2663" s="1" t="str">
        <f>IFERROR(__xludf.DUMMYFUNCTION("""COMPUTED_VALUE"""),"MS")</f>
        <v>MS</v>
      </c>
    </row>
    <row r="2664" ht="15.75" customHeight="1">
      <c r="A2664" s="1" t="str">
        <f>IFERROR(__xludf.DUMMYFUNCTION("""COMPUTED_VALUE"""),"Vini Blanco")</f>
        <v>Vini Blanco</v>
      </c>
      <c r="B2664" s="1" t="str">
        <f>IFERROR(__xludf.DUMMYFUNCTION("""COMPUTED_VALUE"""),"WL")</f>
        <v>WL</v>
      </c>
    </row>
    <row r="2665" ht="15.75" customHeight="1">
      <c r="A2665" s="1" t="str">
        <f>IFERROR(__xludf.DUMMYFUNCTION("""COMPUTED_VALUE"""),"Zoya Luna")</f>
        <v>Zoya Luna</v>
      </c>
      <c r="B2665" s="1" t="str">
        <f>IFERROR(__xludf.DUMMYFUNCTION("""COMPUTED_VALUE"""),"WL")</f>
        <v>WL</v>
      </c>
    </row>
    <row r="2666" ht="15.75" customHeight="1">
      <c r="A2666" s="1" t="str">
        <f>IFERROR(__xludf.DUMMYFUNCTION("""COMPUTED_VALUE"""),"Felicity Wallach")</f>
        <v>Felicity Wallach</v>
      </c>
      <c r="B2666" s="1" t="str">
        <f>IFERROR(__xludf.DUMMYFUNCTION("""COMPUTED_VALUE"""),"L1")</f>
        <v>L1</v>
      </c>
    </row>
    <row r="2667" ht="15.75" customHeight="1">
      <c r="A2667" s="1" t="str">
        <f>IFERROR(__xludf.DUMMYFUNCTION("""COMPUTED_VALUE"""),"Madeline Wallach")</f>
        <v>Madeline Wallach</v>
      </c>
      <c r="B2667" s="1" t="str">
        <f>IFERROR(__xludf.DUMMYFUNCTION("""COMPUTED_VALUE"""),"L2")</f>
        <v>L2</v>
      </c>
    </row>
    <row r="2668" ht="15.75" customHeight="1">
      <c r="A2668" s="1" t="str">
        <f>IFERROR(__xludf.DUMMYFUNCTION("""COMPUTED_VALUE"""),"Alex _test_Michel")</f>
        <v>Alex _test_Michel</v>
      </c>
      <c r="B2668" s="1" t="str">
        <f>IFERROR(__xludf.DUMMYFUNCTION("""COMPUTED_VALUE"""),"MS")</f>
        <v>MS</v>
      </c>
    </row>
    <row r="2669" ht="15.75" customHeight="1">
      <c r="A2669" s="1" t="str">
        <f>IFERROR(__xludf.DUMMYFUNCTION("""COMPUTED_VALUE"""),"Olivia Hirsch")</f>
        <v>Olivia Hirsch</v>
      </c>
      <c r="B2669" s="1" t="str">
        <f>IFERROR(__xludf.DUMMYFUNCTION("""COMPUTED_VALUE"""),"MS")</f>
        <v>MS</v>
      </c>
    </row>
    <row r="2670" ht="15.75" customHeight="1">
      <c r="A2670" s="1" t="str">
        <f>IFERROR(__xludf.DUMMYFUNCTION("""COMPUTED_VALUE"""),"Ferris Holder")</f>
        <v>Ferris Holder</v>
      </c>
      <c r="B2670" s="1" t="str">
        <f>IFERROR(__xludf.DUMMYFUNCTION("""COMPUTED_VALUE"""),"MS")</f>
        <v>MS</v>
      </c>
    </row>
    <row r="2671" ht="15.75" customHeight="1">
      <c r="A2671" s="1" t="str">
        <f>IFERROR(__xludf.DUMMYFUNCTION("""COMPUTED_VALUE"""),"Rylan Joseph")</f>
        <v>Rylan Joseph</v>
      </c>
      <c r="B2671" s="1" t="str">
        <f>IFERROR(__xludf.DUMMYFUNCTION("""COMPUTED_VALUE"""),"LL")</f>
        <v>LL</v>
      </c>
    </row>
    <row r="2672" ht="15.75" customHeight="1">
      <c r="A2672" s="1" t="str">
        <f>IFERROR(__xludf.DUMMYFUNCTION("""COMPUTED_VALUE"""),"Jacob Berman")</f>
        <v>Jacob Berman</v>
      </c>
      <c r="B2672" s="1" t="str">
        <f>IFERROR(__xludf.DUMMYFUNCTION("""COMPUTED_VALUE"""),"L1")</f>
        <v>L1</v>
      </c>
    </row>
    <row r="2673" ht="15.75" customHeight="1">
      <c r="A2673" s="1" t="str">
        <f>IFERROR(__xludf.DUMMYFUNCTION("""COMPUTED_VALUE"""),"GradeK Shadow1")</f>
        <v>GradeK Shadow1</v>
      </c>
      <c r="B2673" s="1" t="str">
        <f>IFERROR(__xludf.DUMMYFUNCTION("""COMPUTED_VALUE"""),"LL")</f>
        <v>LL</v>
      </c>
    </row>
    <row r="2674" ht="15.75" customHeight="1">
      <c r="A2674" s="1" t="str">
        <f>IFERROR(__xludf.DUMMYFUNCTION("""COMPUTED_VALUE"""),"GradeK Shadow2")</f>
        <v>GradeK Shadow2</v>
      </c>
      <c r="B2674" s="1" t="str">
        <f>IFERROR(__xludf.DUMMYFUNCTION("""COMPUTED_VALUE"""),"LL")</f>
        <v>LL</v>
      </c>
    </row>
    <row r="2675" ht="15.75" customHeight="1">
      <c r="A2675" s="1" t="str">
        <f>IFERROR(__xludf.DUMMYFUNCTION("""COMPUTED_VALUE"""),"GradeK Shadow3")</f>
        <v>GradeK Shadow3</v>
      </c>
      <c r="B2675" s="1" t="str">
        <f>IFERROR(__xludf.DUMMYFUNCTION("""COMPUTED_VALUE"""),"LL")</f>
        <v>LL</v>
      </c>
    </row>
    <row r="2676" ht="15.75" customHeight="1">
      <c r="A2676" s="1" t="str">
        <f>IFERROR(__xludf.DUMMYFUNCTION("""COMPUTED_VALUE"""),"GradeK Shadow4")</f>
        <v>GradeK Shadow4</v>
      </c>
      <c r="B2676" s="1" t="str">
        <f>IFERROR(__xludf.DUMMYFUNCTION("""COMPUTED_VALUE"""),"LL")</f>
        <v>LL</v>
      </c>
    </row>
    <row r="2677" ht="15.75" customHeight="1">
      <c r="A2677" s="1" t="str">
        <f>IFERROR(__xludf.DUMMYFUNCTION("""COMPUTED_VALUE"""),"GradeK Shadow5")</f>
        <v>GradeK Shadow5</v>
      </c>
      <c r="B2677" s="1" t="str">
        <f>IFERROR(__xludf.DUMMYFUNCTION("""COMPUTED_VALUE"""),"LL")</f>
        <v>LL</v>
      </c>
    </row>
    <row r="2678" ht="15.75" customHeight="1">
      <c r="A2678" s="1" t="str">
        <f>IFERROR(__xludf.DUMMYFUNCTION("""COMPUTED_VALUE"""),"Grade1 Shadow1")</f>
        <v>Grade1 Shadow1</v>
      </c>
      <c r="B2678" s="1" t="str">
        <f>IFERROR(__xludf.DUMMYFUNCTION("""COMPUTED_VALUE"""),"LL")</f>
        <v>LL</v>
      </c>
    </row>
    <row r="2679" ht="15.75" customHeight="1">
      <c r="A2679" s="1" t="str">
        <f>IFERROR(__xludf.DUMMYFUNCTION("""COMPUTED_VALUE"""),"Grade1 Shadow2")</f>
        <v>Grade1 Shadow2</v>
      </c>
      <c r="B2679" s="1" t="str">
        <f>IFERROR(__xludf.DUMMYFUNCTION("""COMPUTED_VALUE"""),"LL")</f>
        <v>LL</v>
      </c>
    </row>
    <row r="2680" ht="15.75" customHeight="1">
      <c r="A2680" s="1" t="str">
        <f>IFERROR(__xludf.DUMMYFUNCTION("""COMPUTED_VALUE"""),"Grade1 Shadow3")</f>
        <v>Grade1 Shadow3</v>
      </c>
      <c r="B2680" s="1" t="str">
        <f>IFERROR(__xludf.DUMMYFUNCTION("""COMPUTED_VALUE"""),"LL")</f>
        <v>LL</v>
      </c>
    </row>
    <row r="2681" ht="15.75" customHeight="1">
      <c r="A2681" s="1" t="str">
        <f>IFERROR(__xludf.DUMMYFUNCTION("""COMPUTED_VALUE"""),"Grade1 Shadow4")</f>
        <v>Grade1 Shadow4</v>
      </c>
      <c r="B2681" s="1" t="str">
        <f>IFERROR(__xludf.DUMMYFUNCTION("""COMPUTED_VALUE"""),"LL")</f>
        <v>LL</v>
      </c>
    </row>
    <row r="2682" ht="15.75" customHeight="1">
      <c r="A2682" s="1" t="str">
        <f>IFERROR(__xludf.DUMMYFUNCTION("""COMPUTED_VALUE"""),"Grade1 Shadow5")</f>
        <v>Grade1 Shadow5</v>
      </c>
      <c r="B2682" s="1" t="str">
        <f>IFERROR(__xludf.DUMMYFUNCTION("""COMPUTED_VALUE"""),"LL")</f>
        <v>LL</v>
      </c>
    </row>
    <row r="2683" ht="15.75" customHeight="1">
      <c r="A2683" s="1" t="str">
        <f>IFERROR(__xludf.DUMMYFUNCTION("""COMPUTED_VALUE"""),"Grade2 Shadow1")</f>
        <v>Grade2 Shadow1</v>
      </c>
      <c r="B2683" s="1" t="str">
        <f>IFERROR(__xludf.DUMMYFUNCTION("""COMPUTED_VALUE"""),"L1")</f>
        <v>L1</v>
      </c>
    </row>
    <row r="2684" ht="15.75" customHeight="1">
      <c r="A2684" s="1" t="str">
        <f>IFERROR(__xludf.DUMMYFUNCTION("""COMPUTED_VALUE"""),"Grade2 Shadow2")</f>
        <v>Grade2 Shadow2</v>
      </c>
      <c r="B2684" s="1" t="str">
        <f>IFERROR(__xludf.DUMMYFUNCTION("""COMPUTED_VALUE"""),"L1")</f>
        <v>L1</v>
      </c>
    </row>
    <row r="2685" ht="15.75" customHeight="1">
      <c r="A2685" s="1" t="str">
        <f>IFERROR(__xludf.DUMMYFUNCTION("""COMPUTED_VALUE"""),"Grade2 Shadow3")</f>
        <v>Grade2 Shadow3</v>
      </c>
      <c r="B2685" s="1" t="str">
        <f>IFERROR(__xludf.DUMMYFUNCTION("""COMPUTED_VALUE"""),"L1")</f>
        <v>L1</v>
      </c>
    </row>
    <row r="2686" ht="15.75" customHeight="1">
      <c r="A2686" s="1" t="str">
        <f>IFERROR(__xludf.DUMMYFUNCTION("""COMPUTED_VALUE"""),"Grade2 Shadow4")</f>
        <v>Grade2 Shadow4</v>
      </c>
      <c r="B2686" s="1" t="str">
        <f>IFERROR(__xludf.DUMMYFUNCTION("""COMPUTED_VALUE"""),"L1")</f>
        <v>L1</v>
      </c>
    </row>
    <row r="2687" ht="15.75" customHeight="1">
      <c r="A2687" s="1" t="str">
        <f>IFERROR(__xludf.DUMMYFUNCTION("""COMPUTED_VALUE"""),"Grade2 Shadow5")</f>
        <v>Grade2 Shadow5</v>
      </c>
      <c r="B2687" s="1" t="str">
        <f>IFERROR(__xludf.DUMMYFUNCTION("""COMPUTED_VALUE"""),"L1")</f>
        <v>L1</v>
      </c>
    </row>
    <row r="2688" ht="15.75" customHeight="1">
      <c r="A2688" s="1" t="str">
        <f>IFERROR(__xludf.DUMMYFUNCTION("""COMPUTED_VALUE"""),"Grade3 Shadow1")</f>
        <v>Grade3 Shadow1</v>
      </c>
      <c r="B2688" s="1" t="str">
        <f>IFERROR(__xludf.DUMMYFUNCTION("""COMPUTED_VALUE"""),"L1")</f>
        <v>L1</v>
      </c>
    </row>
    <row r="2689" ht="15.75" customHeight="1">
      <c r="A2689" s="1" t="str">
        <f>IFERROR(__xludf.DUMMYFUNCTION("""COMPUTED_VALUE"""),"Grade3 Shadow2")</f>
        <v>Grade3 Shadow2</v>
      </c>
      <c r="B2689" s="1" t="str">
        <f>IFERROR(__xludf.DUMMYFUNCTION("""COMPUTED_VALUE"""),"L1")</f>
        <v>L1</v>
      </c>
    </row>
    <row r="2690" ht="15.75" customHeight="1">
      <c r="A2690" s="1" t="str">
        <f>IFERROR(__xludf.DUMMYFUNCTION("""COMPUTED_VALUE"""),"Grade3 Shadow3")</f>
        <v>Grade3 Shadow3</v>
      </c>
      <c r="B2690" s="1" t="str">
        <f>IFERROR(__xludf.DUMMYFUNCTION("""COMPUTED_VALUE"""),"L1")</f>
        <v>L1</v>
      </c>
    </row>
    <row r="2691" ht="15.75" customHeight="1">
      <c r="A2691" s="1" t="str">
        <f>IFERROR(__xludf.DUMMYFUNCTION("""COMPUTED_VALUE"""),"Grade3 Shadow4")</f>
        <v>Grade3 Shadow4</v>
      </c>
      <c r="B2691" s="1" t="str">
        <f>IFERROR(__xludf.DUMMYFUNCTION("""COMPUTED_VALUE"""),"L1")</f>
        <v>L1</v>
      </c>
    </row>
    <row r="2692" ht="15.75" customHeight="1">
      <c r="A2692" s="1" t="str">
        <f>IFERROR(__xludf.DUMMYFUNCTION("""COMPUTED_VALUE"""),"Grade3 Shadow5")</f>
        <v>Grade3 Shadow5</v>
      </c>
      <c r="B2692" s="1" t="str">
        <f>IFERROR(__xludf.DUMMYFUNCTION("""COMPUTED_VALUE"""),"L1")</f>
        <v>L1</v>
      </c>
    </row>
    <row r="2693" ht="15.75" customHeight="1">
      <c r="A2693" s="1" t="str">
        <f>IFERROR(__xludf.DUMMYFUNCTION("""COMPUTED_VALUE"""),"Grade4 Shadow1")</f>
        <v>Grade4 Shadow1</v>
      </c>
      <c r="B2693" s="1" t="str">
        <f>IFERROR(__xludf.DUMMYFUNCTION("""COMPUTED_VALUE"""),"L2")</f>
        <v>L2</v>
      </c>
    </row>
    <row r="2694" ht="15.75" customHeight="1">
      <c r="A2694" s="1" t="str">
        <f>IFERROR(__xludf.DUMMYFUNCTION("""COMPUTED_VALUE"""),"Grade4 Shadow2")</f>
        <v>Grade4 Shadow2</v>
      </c>
      <c r="B2694" s="1" t="str">
        <f>IFERROR(__xludf.DUMMYFUNCTION("""COMPUTED_VALUE"""),"L2")</f>
        <v>L2</v>
      </c>
    </row>
    <row r="2695" ht="15.75" customHeight="1">
      <c r="A2695" s="1" t="str">
        <f>IFERROR(__xludf.DUMMYFUNCTION("""COMPUTED_VALUE"""),"Grade4 Shadow3")</f>
        <v>Grade4 Shadow3</v>
      </c>
      <c r="B2695" s="1" t="str">
        <f>IFERROR(__xludf.DUMMYFUNCTION("""COMPUTED_VALUE"""),"L2")</f>
        <v>L2</v>
      </c>
    </row>
    <row r="2696" ht="15.75" customHeight="1">
      <c r="A2696" s="1" t="str">
        <f>IFERROR(__xludf.DUMMYFUNCTION("""COMPUTED_VALUE"""),"Grade4 Shadow4")</f>
        <v>Grade4 Shadow4</v>
      </c>
      <c r="B2696" s="1" t="str">
        <f>IFERROR(__xludf.DUMMYFUNCTION("""COMPUTED_VALUE"""),"L2")</f>
        <v>L2</v>
      </c>
    </row>
    <row r="2697" ht="15.75" customHeight="1">
      <c r="A2697" s="1" t="str">
        <f>IFERROR(__xludf.DUMMYFUNCTION("""COMPUTED_VALUE"""),"Grade4 Shadow5")</f>
        <v>Grade4 Shadow5</v>
      </c>
      <c r="B2697" s="1" t="str">
        <f>IFERROR(__xludf.DUMMYFUNCTION("""COMPUTED_VALUE"""),"L2")</f>
        <v>L2</v>
      </c>
    </row>
    <row r="2698" ht="15.75" customHeight="1">
      <c r="A2698" s="1" t="str">
        <f>IFERROR(__xludf.DUMMYFUNCTION("""COMPUTED_VALUE"""),"Grade5 Shadow1")</f>
        <v>Grade5 Shadow1</v>
      </c>
      <c r="B2698" s="1" t="str">
        <f>IFERROR(__xludf.DUMMYFUNCTION("""COMPUTED_VALUE"""),"L2")</f>
        <v>L2</v>
      </c>
    </row>
    <row r="2699" ht="15.75" customHeight="1">
      <c r="A2699" s="1" t="str">
        <f>IFERROR(__xludf.DUMMYFUNCTION("""COMPUTED_VALUE"""),"Grade5 Shadow2")</f>
        <v>Grade5 Shadow2</v>
      </c>
      <c r="B2699" s="1" t="str">
        <f>IFERROR(__xludf.DUMMYFUNCTION("""COMPUTED_VALUE"""),"L2")</f>
        <v>L2</v>
      </c>
    </row>
    <row r="2700" ht="15.75" customHeight="1">
      <c r="A2700" s="1" t="str">
        <f>IFERROR(__xludf.DUMMYFUNCTION("""COMPUTED_VALUE"""),"Grade5 Shadow3")</f>
        <v>Grade5 Shadow3</v>
      </c>
      <c r="B2700" s="1" t="str">
        <f>IFERROR(__xludf.DUMMYFUNCTION("""COMPUTED_VALUE"""),"L2")</f>
        <v>L2</v>
      </c>
    </row>
    <row r="2701" ht="15.75" customHeight="1">
      <c r="A2701" s="1" t="str">
        <f>IFERROR(__xludf.DUMMYFUNCTION("""COMPUTED_VALUE"""),"Grade5 Shadow4")</f>
        <v>Grade5 Shadow4</v>
      </c>
      <c r="B2701" s="1" t="str">
        <f>IFERROR(__xludf.DUMMYFUNCTION("""COMPUTED_VALUE"""),"L2")</f>
        <v>L2</v>
      </c>
    </row>
    <row r="2702" ht="15.75" customHeight="1">
      <c r="A2702" s="1" t="str">
        <f>IFERROR(__xludf.DUMMYFUNCTION("""COMPUTED_VALUE"""),"Grade5 Shadow5")</f>
        <v>Grade5 Shadow5</v>
      </c>
      <c r="B2702" s="1" t="str">
        <f>IFERROR(__xludf.DUMMYFUNCTION("""COMPUTED_VALUE"""),"L2")</f>
        <v>L2</v>
      </c>
    </row>
    <row r="2703" ht="15.75" customHeight="1">
      <c r="A2703" s="1" t="str">
        <f>IFERROR(__xludf.DUMMYFUNCTION("""COMPUTED_VALUE"""),"Grade6 Shadow1")</f>
        <v>Grade6 Shadow1</v>
      </c>
      <c r="B2703" s="1" t="str">
        <f>IFERROR(__xludf.DUMMYFUNCTION("""COMPUTED_VALUE"""),"MS")</f>
        <v>MS</v>
      </c>
    </row>
    <row r="2704" ht="15.75" customHeight="1">
      <c r="A2704" s="1" t="str">
        <f>IFERROR(__xludf.DUMMYFUNCTION("""COMPUTED_VALUE"""),"Grade6 Shadow2")</f>
        <v>Grade6 Shadow2</v>
      </c>
      <c r="B2704" s="1" t="str">
        <f>IFERROR(__xludf.DUMMYFUNCTION("""COMPUTED_VALUE"""),"MS")</f>
        <v>MS</v>
      </c>
    </row>
    <row r="2705" ht="15.75" customHeight="1">
      <c r="A2705" s="1" t="str">
        <f>IFERROR(__xludf.DUMMYFUNCTION("""COMPUTED_VALUE"""),"Grade6 Shadow3")</f>
        <v>Grade6 Shadow3</v>
      </c>
      <c r="B2705" s="1" t="str">
        <f>IFERROR(__xludf.DUMMYFUNCTION("""COMPUTED_VALUE"""),"MS")</f>
        <v>MS</v>
      </c>
    </row>
    <row r="2706" ht="15.75" customHeight="1">
      <c r="A2706" s="1" t="str">
        <f>IFERROR(__xludf.DUMMYFUNCTION("""COMPUTED_VALUE"""),"Grade6 Shadow4")</f>
        <v>Grade6 Shadow4</v>
      </c>
      <c r="B2706" s="1" t="str">
        <f>IFERROR(__xludf.DUMMYFUNCTION("""COMPUTED_VALUE"""),"MS")</f>
        <v>MS</v>
      </c>
    </row>
    <row r="2707" ht="15.75" customHeight="1">
      <c r="A2707" s="1" t="str">
        <f>IFERROR(__xludf.DUMMYFUNCTION("""COMPUTED_VALUE"""),"Grade6 Shadow5")</f>
        <v>Grade6 Shadow5</v>
      </c>
      <c r="B2707" s="1" t="str">
        <f>IFERROR(__xludf.DUMMYFUNCTION("""COMPUTED_VALUE"""),"MS")</f>
        <v>MS</v>
      </c>
    </row>
    <row r="2708" ht="15.75" customHeight="1">
      <c r="A2708" s="1" t="str">
        <f>IFERROR(__xludf.DUMMYFUNCTION("""COMPUTED_VALUE"""),"Grade7 Shadow1")</f>
        <v>Grade7 Shadow1</v>
      </c>
      <c r="B2708" s="1" t="str">
        <f>IFERROR(__xludf.DUMMYFUNCTION("""COMPUTED_VALUE"""),"MS")</f>
        <v>MS</v>
      </c>
    </row>
    <row r="2709" ht="15.75" customHeight="1">
      <c r="A2709" s="1" t="str">
        <f>IFERROR(__xludf.DUMMYFUNCTION("""COMPUTED_VALUE"""),"Grade7 Shadow2")</f>
        <v>Grade7 Shadow2</v>
      </c>
      <c r="B2709" s="1" t="str">
        <f>IFERROR(__xludf.DUMMYFUNCTION("""COMPUTED_VALUE"""),"MS")</f>
        <v>MS</v>
      </c>
    </row>
    <row r="2710" ht="15.75" customHeight="1">
      <c r="A2710" s="1" t="str">
        <f>IFERROR(__xludf.DUMMYFUNCTION("""COMPUTED_VALUE"""),"Grade7 Shadow3")</f>
        <v>Grade7 Shadow3</v>
      </c>
      <c r="B2710" s="1" t="str">
        <f>IFERROR(__xludf.DUMMYFUNCTION("""COMPUTED_VALUE"""),"MS")</f>
        <v>MS</v>
      </c>
    </row>
    <row r="2711" ht="15.75" customHeight="1">
      <c r="A2711" s="1" t="str">
        <f>IFERROR(__xludf.DUMMYFUNCTION("""COMPUTED_VALUE"""),"Grade7 Shadow4")</f>
        <v>Grade7 Shadow4</v>
      </c>
      <c r="B2711" s="1" t="str">
        <f>IFERROR(__xludf.DUMMYFUNCTION("""COMPUTED_VALUE"""),"MS")</f>
        <v>MS</v>
      </c>
    </row>
    <row r="2712" ht="15.75" customHeight="1">
      <c r="A2712" s="1" t="str">
        <f>IFERROR(__xludf.DUMMYFUNCTION("""COMPUTED_VALUE"""),"Grade7 Shadow5")</f>
        <v>Grade7 Shadow5</v>
      </c>
      <c r="B2712" s="1" t="str">
        <f>IFERROR(__xludf.DUMMYFUNCTION("""COMPUTED_VALUE"""),"MS")</f>
        <v>MS</v>
      </c>
    </row>
    <row r="2713" ht="15.75" customHeight="1">
      <c r="A2713" s="1" t="str">
        <f>IFERROR(__xludf.DUMMYFUNCTION("""COMPUTED_VALUE"""),"Grade8 Shadow1")</f>
        <v>Grade8 Shadow1</v>
      </c>
      <c r="B2713" s="1" t="str">
        <f>IFERROR(__xludf.DUMMYFUNCTION("""COMPUTED_VALUE"""),"MS")</f>
        <v>MS</v>
      </c>
    </row>
    <row r="2714" ht="15.75" customHeight="1">
      <c r="A2714" s="1" t="str">
        <f>IFERROR(__xludf.DUMMYFUNCTION("""COMPUTED_VALUE"""),"Grade8 Shadow2")</f>
        <v>Grade8 Shadow2</v>
      </c>
      <c r="B2714" s="1" t="str">
        <f>IFERROR(__xludf.DUMMYFUNCTION("""COMPUTED_VALUE"""),"MS")</f>
        <v>MS</v>
      </c>
    </row>
    <row r="2715" ht="15.75" customHeight="1">
      <c r="A2715" s="1" t="str">
        <f>IFERROR(__xludf.DUMMYFUNCTION("""COMPUTED_VALUE"""),"Grade8 Shadow3")</f>
        <v>Grade8 Shadow3</v>
      </c>
      <c r="B2715" s="1" t="str">
        <f>IFERROR(__xludf.DUMMYFUNCTION("""COMPUTED_VALUE"""),"MS")</f>
        <v>MS</v>
      </c>
    </row>
    <row r="2716" ht="15.75" customHeight="1">
      <c r="A2716" s="1" t="str">
        <f>IFERROR(__xludf.DUMMYFUNCTION("""COMPUTED_VALUE"""),"Grade8 Shadow4")</f>
        <v>Grade8 Shadow4</v>
      </c>
      <c r="B2716" s="1" t="str">
        <f>IFERROR(__xludf.DUMMYFUNCTION("""COMPUTED_VALUE"""),"MS")</f>
        <v>MS</v>
      </c>
    </row>
    <row r="2717" ht="15.75" customHeight="1">
      <c r="A2717" s="1" t="str">
        <f>IFERROR(__xludf.DUMMYFUNCTION("""COMPUTED_VALUE"""),"Grade8 Shadow5")</f>
        <v>Grade8 Shadow5</v>
      </c>
      <c r="B2717" s="1" t="str">
        <f>IFERROR(__xludf.DUMMYFUNCTION("""COMPUTED_VALUE"""),"MS")</f>
        <v>MS</v>
      </c>
    </row>
    <row r="2718" ht="15.75" customHeight="1">
      <c r="A2718" s="1" t="str">
        <f>IFERROR(__xludf.DUMMYFUNCTION("""COMPUTED_VALUE"""),"Grade9 Shadow1")</f>
        <v>Grade9 Shadow1</v>
      </c>
      <c r="B2718" s="1" t="str">
        <f>IFERROR(__xludf.DUMMYFUNCTION("""COMPUTED_VALUE"""),"HS")</f>
        <v>HS</v>
      </c>
    </row>
    <row r="2719" ht="15.75" customHeight="1">
      <c r="A2719" s="1" t="str">
        <f>IFERROR(__xludf.DUMMYFUNCTION("""COMPUTED_VALUE"""),"Grade9 Shadow2")</f>
        <v>Grade9 Shadow2</v>
      </c>
      <c r="B2719" s="1" t="str">
        <f>IFERROR(__xludf.DUMMYFUNCTION("""COMPUTED_VALUE"""),"HS")</f>
        <v>HS</v>
      </c>
    </row>
    <row r="2720" ht="15.75" customHeight="1">
      <c r="A2720" s="1" t="str">
        <f>IFERROR(__xludf.DUMMYFUNCTION("""COMPUTED_VALUE"""),"Grade9 Shadow3")</f>
        <v>Grade9 Shadow3</v>
      </c>
      <c r="B2720" s="1" t="str">
        <f>IFERROR(__xludf.DUMMYFUNCTION("""COMPUTED_VALUE"""),"HS")</f>
        <v>HS</v>
      </c>
    </row>
    <row r="2721" ht="15.75" customHeight="1">
      <c r="A2721" s="1" t="str">
        <f>IFERROR(__xludf.DUMMYFUNCTION("""COMPUTED_VALUE"""),"Grade9 Shadow4")</f>
        <v>Grade9 Shadow4</v>
      </c>
      <c r="B2721" s="1" t="str">
        <f>IFERROR(__xludf.DUMMYFUNCTION("""COMPUTED_VALUE"""),"HS")</f>
        <v>HS</v>
      </c>
    </row>
    <row r="2722" ht="15.75" customHeight="1">
      <c r="A2722" s="1" t="str">
        <f>IFERROR(__xludf.DUMMYFUNCTION("""COMPUTED_VALUE"""),"Grade9 Shadow5")</f>
        <v>Grade9 Shadow5</v>
      </c>
      <c r="B2722" s="1" t="str">
        <f>IFERROR(__xludf.DUMMYFUNCTION("""COMPUTED_VALUE"""),"HS")</f>
        <v>HS</v>
      </c>
    </row>
    <row r="2723" ht="15.75" customHeight="1">
      <c r="A2723" s="1" t="str">
        <f>IFERROR(__xludf.DUMMYFUNCTION("""COMPUTED_VALUE"""),"Grade10 Shadow1")</f>
        <v>Grade10 Shadow1</v>
      </c>
      <c r="B2723" s="1" t="str">
        <f>IFERROR(__xludf.DUMMYFUNCTION("""COMPUTED_VALUE"""),"HS")</f>
        <v>HS</v>
      </c>
    </row>
    <row r="2724" ht="15.75" customHeight="1">
      <c r="A2724" s="1" t="str">
        <f>IFERROR(__xludf.DUMMYFUNCTION("""COMPUTED_VALUE"""),"Grade10 Shadow2")</f>
        <v>Grade10 Shadow2</v>
      </c>
      <c r="B2724" s="1" t="str">
        <f>IFERROR(__xludf.DUMMYFUNCTION("""COMPUTED_VALUE"""),"HS")</f>
        <v>HS</v>
      </c>
    </row>
    <row r="2725" ht="15.75" customHeight="1">
      <c r="A2725" s="1" t="str">
        <f>IFERROR(__xludf.DUMMYFUNCTION("""COMPUTED_VALUE"""),"Grade10 Shadow3")</f>
        <v>Grade10 Shadow3</v>
      </c>
      <c r="B2725" s="1" t="str">
        <f>IFERROR(__xludf.DUMMYFUNCTION("""COMPUTED_VALUE"""),"HS")</f>
        <v>HS</v>
      </c>
    </row>
    <row r="2726" ht="15.75" customHeight="1">
      <c r="A2726" s="1" t="str">
        <f>IFERROR(__xludf.DUMMYFUNCTION("""COMPUTED_VALUE"""),"Grade10 Shadow4")</f>
        <v>Grade10 Shadow4</v>
      </c>
      <c r="B2726" s="1" t="str">
        <f>IFERROR(__xludf.DUMMYFUNCTION("""COMPUTED_VALUE"""),"HS")</f>
        <v>HS</v>
      </c>
    </row>
    <row r="2727" ht="15.75" customHeight="1">
      <c r="A2727" s="1" t="str">
        <f>IFERROR(__xludf.DUMMYFUNCTION("""COMPUTED_VALUE"""),"Grade10 Shadow5")</f>
        <v>Grade10 Shadow5</v>
      </c>
      <c r="B2727" s="1" t="str">
        <f>IFERROR(__xludf.DUMMYFUNCTION("""COMPUTED_VALUE"""),"HS")</f>
        <v>HS</v>
      </c>
    </row>
    <row r="2728" ht="15.75" customHeight="1">
      <c r="A2728" s="1" t="str">
        <f>IFERROR(__xludf.DUMMYFUNCTION("""COMPUTED_VALUE"""),"Grade11 Shadow1")</f>
        <v>Grade11 Shadow1</v>
      </c>
      <c r="B2728" s="1" t="str">
        <f>IFERROR(__xludf.DUMMYFUNCTION("""COMPUTED_VALUE"""),"HS")</f>
        <v>HS</v>
      </c>
    </row>
    <row r="2729" ht="15.75" customHeight="1">
      <c r="A2729" s="1" t="str">
        <f>IFERROR(__xludf.DUMMYFUNCTION("""COMPUTED_VALUE"""),"Grade11 Shadow2")</f>
        <v>Grade11 Shadow2</v>
      </c>
      <c r="B2729" s="1" t="str">
        <f>IFERROR(__xludf.DUMMYFUNCTION("""COMPUTED_VALUE"""),"HS")</f>
        <v>HS</v>
      </c>
    </row>
    <row r="2730" ht="15.75" customHeight="1">
      <c r="A2730" s="1" t="str">
        <f>IFERROR(__xludf.DUMMYFUNCTION("""COMPUTED_VALUE"""),"Grade11 Shadow3")</f>
        <v>Grade11 Shadow3</v>
      </c>
      <c r="B2730" s="1" t="str">
        <f>IFERROR(__xludf.DUMMYFUNCTION("""COMPUTED_VALUE"""),"HS")</f>
        <v>HS</v>
      </c>
    </row>
    <row r="2731" ht="15.75" customHeight="1">
      <c r="A2731" s="1" t="str">
        <f>IFERROR(__xludf.DUMMYFUNCTION("""COMPUTED_VALUE"""),"Grade11 Shadow4")</f>
        <v>Grade11 Shadow4</v>
      </c>
      <c r="B2731" s="1" t="str">
        <f>IFERROR(__xludf.DUMMYFUNCTION("""COMPUTED_VALUE"""),"HS")</f>
        <v>HS</v>
      </c>
    </row>
    <row r="2732" ht="15.75" customHeight="1">
      <c r="A2732" s="1" t="str">
        <f>IFERROR(__xludf.DUMMYFUNCTION("""COMPUTED_VALUE"""),"Grade11 Shadow5")</f>
        <v>Grade11 Shadow5</v>
      </c>
      <c r="B2732" s="1" t="str">
        <f>IFERROR(__xludf.DUMMYFUNCTION("""COMPUTED_VALUE"""),"HS")</f>
        <v>HS</v>
      </c>
    </row>
    <row r="2733" ht="15.75" customHeight="1">
      <c r="A2733" s="1" t="str">
        <f>IFERROR(__xludf.DUMMYFUNCTION("""COMPUTED_VALUE"""),"Grade12 Shadow1")</f>
        <v>Grade12 Shadow1</v>
      </c>
      <c r="B2733" s="1" t="str">
        <f>IFERROR(__xludf.DUMMYFUNCTION("""COMPUTED_VALUE"""),"HS")</f>
        <v>HS</v>
      </c>
    </row>
    <row r="2734" ht="15.75" customHeight="1">
      <c r="A2734" s="1" t="str">
        <f>IFERROR(__xludf.DUMMYFUNCTION("""COMPUTED_VALUE"""),"Grade12 Shadow2")</f>
        <v>Grade12 Shadow2</v>
      </c>
      <c r="B2734" s="1" t="str">
        <f>IFERROR(__xludf.DUMMYFUNCTION("""COMPUTED_VALUE"""),"HS")</f>
        <v>HS</v>
      </c>
    </row>
    <row r="2735" ht="15.75" customHeight="1">
      <c r="A2735" s="1" t="str">
        <f>IFERROR(__xludf.DUMMYFUNCTION("""COMPUTED_VALUE"""),"Grade12 Shadow3")</f>
        <v>Grade12 Shadow3</v>
      </c>
      <c r="B2735" s="1" t="str">
        <f>IFERROR(__xludf.DUMMYFUNCTION("""COMPUTED_VALUE"""),"HS")</f>
        <v>HS</v>
      </c>
    </row>
    <row r="2736" ht="15.75" customHeight="1">
      <c r="A2736" s="1" t="str">
        <f>IFERROR(__xludf.DUMMYFUNCTION("""COMPUTED_VALUE"""),"Grade12 Shadow4")</f>
        <v>Grade12 Shadow4</v>
      </c>
      <c r="B2736" s="1" t="str">
        <f>IFERROR(__xludf.DUMMYFUNCTION("""COMPUTED_VALUE"""),"HS")</f>
        <v>HS</v>
      </c>
    </row>
    <row r="2737" ht="15.75" customHeight="1">
      <c r="A2737" s="1" t="str">
        <f>IFERROR(__xludf.DUMMYFUNCTION("""COMPUTED_VALUE"""),"Grade12 Shadow5")</f>
        <v>Grade12 Shadow5</v>
      </c>
      <c r="B2737" s="1" t="str">
        <f>IFERROR(__xludf.DUMMYFUNCTION("""COMPUTED_VALUE"""),"HS")</f>
        <v>HS</v>
      </c>
    </row>
    <row r="2738" ht="15.75" customHeight="1">
      <c r="A2738" s="1" t="str">
        <f>IFERROR(__xludf.DUMMYFUNCTION("""COMPUTED_VALUE"""),"Alexander and Nicolas Pearson")</f>
        <v>Alexander and Nicolas Pearson</v>
      </c>
      <c r="B2738" s="1" t="str">
        <f>IFERROR(__xludf.DUMMYFUNCTION("""COMPUTED_VALUE"""),"MS")</f>
        <v>MS</v>
      </c>
    </row>
    <row r="2739" ht="15.75" customHeight="1">
      <c r="A2739" s="1" t="str">
        <f>IFERROR(__xludf.DUMMYFUNCTION("""COMPUTED_VALUE"""),"Nadia Mercer")</f>
        <v>Nadia Mercer</v>
      </c>
      <c r="B2739" s="1" t="str">
        <f>IFERROR(__xludf.DUMMYFUNCTION("""COMPUTED_VALUE"""),"WL")</f>
        <v>WL</v>
      </c>
    </row>
    <row r="2740" ht="15.75" customHeight="1">
      <c r="A2740" s="1" t="str">
        <f>IFERROR(__xludf.DUMMYFUNCTION("""COMPUTED_VALUE"""),"GradeK Shadow6")</f>
        <v>GradeK Shadow6</v>
      </c>
      <c r="B2740" s="1" t="str">
        <f>IFERROR(__xludf.DUMMYFUNCTION("""COMPUTED_VALUE"""),"LL")</f>
        <v>LL</v>
      </c>
    </row>
    <row r="2741" ht="15.75" customHeight="1">
      <c r="A2741" s="1" t="str">
        <f>IFERROR(__xludf.DUMMYFUNCTION("""COMPUTED_VALUE"""),"GradeK Shadow7")</f>
        <v>GradeK Shadow7</v>
      </c>
      <c r="B2741" s="1" t="str">
        <f>IFERROR(__xludf.DUMMYFUNCTION("""COMPUTED_VALUE"""),"LL")</f>
        <v>LL</v>
      </c>
    </row>
    <row r="2742" ht="15.75" customHeight="1">
      <c r="A2742" s="1" t="str">
        <f>IFERROR(__xludf.DUMMYFUNCTION("""COMPUTED_VALUE"""),"GradeK Shadow8")</f>
        <v>GradeK Shadow8</v>
      </c>
      <c r="B2742" s="1" t="str">
        <f>IFERROR(__xludf.DUMMYFUNCTION("""COMPUTED_VALUE"""),"LL")</f>
        <v>LL</v>
      </c>
    </row>
    <row r="2743" ht="15.75" customHeight="1">
      <c r="A2743" s="1" t="str">
        <f>IFERROR(__xludf.DUMMYFUNCTION("""COMPUTED_VALUE"""),"GradeK Shadow9")</f>
        <v>GradeK Shadow9</v>
      </c>
      <c r="B2743" s="1" t="str">
        <f>IFERROR(__xludf.DUMMYFUNCTION("""COMPUTED_VALUE"""),"LL")</f>
        <v>LL</v>
      </c>
    </row>
    <row r="2744" ht="15.75" customHeight="1">
      <c r="A2744" s="1" t="str">
        <f>IFERROR(__xludf.DUMMYFUNCTION("""COMPUTED_VALUE"""),"GradeK Shadow10")</f>
        <v>GradeK Shadow10</v>
      </c>
      <c r="B2744" s="1" t="str">
        <f>IFERROR(__xludf.DUMMYFUNCTION("""COMPUTED_VALUE"""),"LL")</f>
        <v>LL</v>
      </c>
    </row>
    <row r="2745" ht="15.75" customHeight="1">
      <c r="A2745" s="1" t="str">
        <f>IFERROR(__xludf.DUMMYFUNCTION("""COMPUTED_VALUE"""),"Grade1 Shadow6")</f>
        <v>Grade1 Shadow6</v>
      </c>
      <c r="B2745" s="1" t="str">
        <f>IFERROR(__xludf.DUMMYFUNCTION("""COMPUTED_VALUE"""),"LL")</f>
        <v>LL</v>
      </c>
    </row>
    <row r="2746" ht="15.75" customHeight="1">
      <c r="A2746" s="1" t="str">
        <f>IFERROR(__xludf.DUMMYFUNCTION("""COMPUTED_VALUE"""),"Grade1 Shadow7")</f>
        <v>Grade1 Shadow7</v>
      </c>
      <c r="B2746" s="1" t="str">
        <f>IFERROR(__xludf.DUMMYFUNCTION("""COMPUTED_VALUE"""),"LL")</f>
        <v>LL</v>
      </c>
    </row>
    <row r="2747" ht="15.75" customHeight="1">
      <c r="A2747" s="1" t="str">
        <f>IFERROR(__xludf.DUMMYFUNCTION("""COMPUTED_VALUE"""),"Grade1 Shadow8")</f>
        <v>Grade1 Shadow8</v>
      </c>
      <c r="B2747" s="1" t="str">
        <f>IFERROR(__xludf.DUMMYFUNCTION("""COMPUTED_VALUE"""),"LL")</f>
        <v>LL</v>
      </c>
    </row>
    <row r="2748" ht="15.75" customHeight="1">
      <c r="A2748" s="1" t="str">
        <f>IFERROR(__xludf.DUMMYFUNCTION("""COMPUTED_VALUE"""),"Grade1 Shadow9")</f>
        <v>Grade1 Shadow9</v>
      </c>
      <c r="B2748" s="1" t="str">
        <f>IFERROR(__xludf.DUMMYFUNCTION("""COMPUTED_VALUE"""),"LL")</f>
        <v>LL</v>
      </c>
    </row>
    <row r="2749" ht="15.75" customHeight="1">
      <c r="A2749" s="1" t="str">
        <f>IFERROR(__xludf.DUMMYFUNCTION("""COMPUTED_VALUE"""),"Grade1 Shadow10")</f>
        <v>Grade1 Shadow10</v>
      </c>
      <c r="B2749" s="1" t="str">
        <f>IFERROR(__xludf.DUMMYFUNCTION("""COMPUTED_VALUE"""),"LL")</f>
        <v>LL</v>
      </c>
    </row>
    <row r="2750" ht="15.75" customHeight="1">
      <c r="A2750" s="1" t="str">
        <f>IFERROR(__xludf.DUMMYFUNCTION("""COMPUTED_VALUE"""),"Grade2 Shadow6")</f>
        <v>Grade2 Shadow6</v>
      </c>
      <c r="B2750" s="1" t="str">
        <f>IFERROR(__xludf.DUMMYFUNCTION("""COMPUTED_VALUE"""),"L1")</f>
        <v>L1</v>
      </c>
    </row>
    <row r="2751" ht="15.75" customHeight="1">
      <c r="A2751" s="1" t="str">
        <f>IFERROR(__xludf.DUMMYFUNCTION("""COMPUTED_VALUE"""),"Grade2 Shadow7")</f>
        <v>Grade2 Shadow7</v>
      </c>
      <c r="B2751" s="1" t="str">
        <f>IFERROR(__xludf.DUMMYFUNCTION("""COMPUTED_VALUE"""),"L1")</f>
        <v>L1</v>
      </c>
    </row>
    <row r="2752" ht="15.75" customHeight="1">
      <c r="A2752" s="1" t="str">
        <f>IFERROR(__xludf.DUMMYFUNCTION("""COMPUTED_VALUE"""),"Grade2 Shadow8")</f>
        <v>Grade2 Shadow8</v>
      </c>
      <c r="B2752" s="1" t="str">
        <f>IFERROR(__xludf.DUMMYFUNCTION("""COMPUTED_VALUE"""),"L1")</f>
        <v>L1</v>
      </c>
    </row>
    <row r="2753" ht="15.75" customHeight="1">
      <c r="A2753" s="1" t="str">
        <f>IFERROR(__xludf.DUMMYFUNCTION("""COMPUTED_VALUE"""),"Grade2 Shadow9")</f>
        <v>Grade2 Shadow9</v>
      </c>
      <c r="B2753" s="1" t="str">
        <f>IFERROR(__xludf.DUMMYFUNCTION("""COMPUTED_VALUE"""),"L1")</f>
        <v>L1</v>
      </c>
    </row>
    <row r="2754" ht="15.75" customHeight="1">
      <c r="A2754" s="1" t="str">
        <f>IFERROR(__xludf.DUMMYFUNCTION("""COMPUTED_VALUE"""),"Grade2 Shadow10")</f>
        <v>Grade2 Shadow10</v>
      </c>
      <c r="B2754" s="1" t="str">
        <f>IFERROR(__xludf.DUMMYFUNCTION("""COMPUTED_VALUE"""),"L1")</f>
        <v>L1</v>
      </c>
    </row>
    <row r="2755" ht="15.75" customHeight="1">
      <c r="A2755" s="1" t="str">
        <f>IFERROR(__xludf.DUMMYFUNCTION("""COMPUTED_VALUE"""),"Grade3 Shadow6")</f>
        <v>Grade3 Shadow6</v>
      </c>
      <c r="B2755" s="1" t="str">
        <f>IFERROR(__xludf.DUMMYFUNCTION("""COMPUTED_VALUE"""),"L1")</f>
        <v>L1</v>
      </c>
    </row>
    <row r="2756" ht="15.75" customHeight="1">
      <c r="A2756" s="1" t="str">
        <f>IFERROR(__xludf.DUMMYFUNCTION("""COMPUTED_VALUE"""),"Grade3 Shadow7")</f>
        <v>Grade3 Shadow7</v>
      </c>
      <c r="B2756" s="1" t="str">
        <f>IFERROR(__xludf.DUMMYFUNCTION("""COMPUTED_VALUE"""),"L1")</f>
        <v>L1</v>
      </c>
    </row>
    <row r="2757" ht="15.75" customHeight="1">
      <c r="A2757" s="1" t="str">
        <f>IFERROR(__xludf.DUMMYFUNCTION("""COMPUTED_VALUE"""),"Grade3 Shadow8")</f>
        <v>Grade3 Shadow8</v>
      </c>
      <c r="B2757" s="1" t="str">
        <f>IFERROR(__xludf.DUMMYFUNCTION("""COMPUTED_VALUE"""),"L1")</f>
        <v>L1</v>
      </c>
    </row>
    <row r="2758" ht="15.75" customHeight="1">
      <c r="A2758" s="1" t="str">
        <f>IFERROR(__xludf.DUMMYFUNCTION("""COMPUTED_VALUE"""),"Grade3 Shadow9")</f>
        <v>Grade3 Shadow9</v>
      </c>
      <c r="B2758" s="1" t="str">
        <f>IFERROR(__xludf.DUMMYFUNCTION("""COMPUTED_VALUE"""),"L1")</f>
        <v>L1</v>
      </c>
    </row>
    <row r="2759" ht="15.75" customHeight="1">
      <c r="A2759" s="1" t="str">
        <f>IFERROR(__xludf.DUMMYFUNCTION("""COMPUTED_VALUE"""),"Grade3 Shadow10")</f>
        <v>Grade3 Shadow10</v>
      </c>
      <c r="B2759" s="1" t="str">
        <f>IFERROR(__xludf.DUMMYFUNCTION("""COMPUTED_VALUE"""),"L1")</f>
        <v>L1</v>
      </c>
    </row>
    <row r="2760" ht="15.75" customHeight="1">
      <c r="A2760" s="1" t="str">
        <f>IFERROR(__xludf.DUMMYFUNCTION("""COMPUTED_VALUE"""),"Grade4 Shadow6")</f>
        <v>Grade4 Shadow6</v>
      </c>
      <c r="B2760" s="1" t="str">
        <f>IFERROR(__xludf.DUMMYFUNCTION("""COMPUTED_VALUE"""),"L2")</f>
        <v>L2</v>
      </c>
    </row>
    <row r="2761" ht="15.75" customHeight="1">
      <c r="A2761" s="1" t="str">
        <f>IFERROR(__xludf.DUMMYFUNCTION("""COMPUTED_VALUE"""),"Grade4 Shadow7")</f>
        <v>Grade4 Shadow7</v>
      </c>
      <c r="B2761" s="1" t="str">
        <f>IFERROR(__xludf.DUMMYFUNCTION("""COMPUTED_VALUE"""),"L2")</f>
        <v>L2</v>
      </c>
    </row>
    <row r="2762" ht="15.75" customHeight="1">
      <c r="A2762" s="1" t="str">
        <f>IFERROR(__xludf.DUMMYFUNCTION("""COMPUTED_VALUE"""),"Grade4 Shadow8")</f>
        <v>Grade4 Shadow8</v>
      </c>
      <c r="B2762" s="1" t="str">
        <f>IFERROR(__xludf.DUMMYFUNCTION("""COMPUTED_VALUE"""),"L2")</f>
        <v>L2</v>
      </c>
    </row>
    <row r="2763" ht="15.75" customHeight="1">
      <c r="A2763" s="1" t="str">
        <f>IFERROR(__xludf.DUMMYFUNCTION("""COMPUTED_VALUE"""),"Grade4 Shadow9")</f>
        <v>Grade4 Shadow9</v>
      </c>
      <c r="B2763" s="1" t="str">
        <f>IFERROR(__xludf.DUMMYFUNCTION("""COMPUTED_VALUE"""),"L2")</f>
        <v>L2</v>
      </c>
    </row>
    <row r="2764" ht="15.75" customHeight="1">
      <c r="A2764" s="1" t="str">
        <f>IFERROR(__xludf.DUMMYFUNCTION("""COMPUTED_VALUE"""),"Grade4 Shadow10")</f>
        <v>Grade4 Shadow10</v>
      </c>
      <c r="B2764" s="1" t="str">
        <f>IFERROR(__xludf.DUMMYFUNCTION("""COMPUTED_VALUE"""),"L2")</f>
        <v>L2</v>
      </c>
    </row>
    <row r="2765" ht="15.75" customHeight="1">
      <c r="A2765" s="1" t="str">
        <f>IFERROR(__xludf.DUMMYFUNCTION("""COMPUTED_VALUE"""),"Grade5 Shadow6")</f>
        <v>Grade5 Shadow6</v>
      </c>
      <c r="B2765" s="1" t="str">
        <f>IFERROR(__xludf.DUMMYFUNCTION("""COMPUTED_VALUE"""),"L2")</f>
        <v>L2</v>
      </c>
    </row>
    <row r="2766" ht="15.75" customHeight="1">
      <c r="A2766" s="1" t="str">
        <f>IFERROR(__xludf.DUMMYFUNCTION("""COMPUTED_VALUE"""),"Grade5 Shadow7")</f>
        <v>Grade5 Shadow7</v>
      </c>
      <c r="B2766" s="1" t="str">
        <f>IFERROR(__xludf.DUMMYFUNCTION("""COMPUTED_VALUE"""),"L2")</f>
        <v>L2</v>
      </c>
    </row>
    <row r="2767" ht="15.75" customHeight="1">
      <c r="A2767" s="1" t="str">
        <f>IFERROR(__xludf.DUMMYFUNCTION("""COMPUTED_VALUE"""),"Grade5 Shadow8")</f>
        <v>Grade5 Shadow8</v>
      </c>
      <c r="B2767" s="1" t="str">
        <f>IFERROR(__xludf.DUMMYFUNCTION("""COMPUTED_VALUE"""),"L2")</f>
        <v>L2</v>
      </c>
    </row>
    <row r="2768" ht="15.75" customHeight="1">
      <c r="A2768" s="1" t="str">
        <f>IFERROR(__xludf.DUMMYFUNCTION("""COMPUTED_VALUE"""),"Grade5 Shadow9")</f>
        <v>Grade5 Shadow9</v>
      </c>
      <c r="B2768" s="1" t="str">
        <f>IFERROR(__xludf.DUMMYFUNCTION("""COMPUTED_VALUE"""),"L2")</f>
        <v>L2</v>
      </c>
    </row>
    <row r="2769" ht="15.75" customHeight="1">
      <c r="A2769" s="1" t="str">
        <f>IFERROR(__xludf.DUMMYFUNCTION("""COMPUTED_VALUE"""),"Grade5 Shadow10")</f>
        <v>Grade5 Shadow10</v>
      </c>
      <c r="B2769" s="1" t="str">
        <f>IFERROR(__xludf.DUMMYFUNCTION("""COMPUTED_VALUE"""),"L2")</f>
        <v>L2</v>
      </c>
    </row>
    <row r="2770" ht="15.75" customHeight="1">
      <c r="A2770" s="1" t="str">
        <f>IFERROR(__xludf.DUMMYFUNCTION("""COMPUTED_VALUE"""),"Grade6 Shadow6")</f>
        <v>Grade6 Shadow6</v>
      </c>
      <c r="B2770" s="1" t="str">
        <f>IFERROR(__xludf.DUMMYFUNCTION("""COMPUTED_VALUE"""),"MS")</f>
        <v>MS</v>
      </c>
    </row>
    <row r="2771" ht="15.75" customHeight="1">
      <c r="A2771" s="1" t="str">
        <f>IFERROR(__xludf.DUMMYFUNCTION("""COMPUTED_VALUE"""),"Grade6 Shadow7")</f>
        <v>Grade6 Shadow7</v>
      </c>
      <c r="B2771" s="1" t="str">
        <f>IFERROR(__xludf.DUMMYFUNCTION("""COMPUTED_VALUE"""),"MS")</f>
        <v>MS</v>
      </c>
    </row>
    <row r="2772" ht="15.75" customHeight="1">
      <c r="A2772" s="1" t="str">
        <f>IFERROR(__xludf.DUMMYFUNCTION("""COMPUTED_VALUE"""),"Grade6 Shadow8")</f>
        <v>Grade6 Shadow8</v>
      </c>
      <c r="B2772" s="1" t="str">
        <f>IFERROR(__xludf.DUMMYFUNCTION("""COMPUTED_VALUE"""),"MS")</f>
        <v>MS</v>
      </c>
    </row>
    <row r="2773" ht="15.75" customHeight="1">
      <c r="A2773" s="1" t="str">
        <f>IFERROR(__xludf.DUMMYFUNCTION("""COMPUTED_VALUE"""),"Grade6 Shadow9")</f>
        <v>Grade6 Shadow9</v>
      </c>
      <c r="B2773" s="1" t="str">
        <f>IFERROR(__xludf.DUMMYFUNCTION("""COMPUTED_VALUE"""),"MS")</f>
        <v>MS</v>
      </c>
    </row>
    <row r="2774" ht="15.75" customHeight="1">
      <c r="A2774" s="1" t="str">
        <f>IFERROR(__xludf.DUMMYFUNCTION("""COMPUTED_VALUE"""),"Grade6 Shadow10")</f>
        <v>Grade6 Shadow10</v>
      </c>
      <c r="B2774" s="1" t="str">
        <f>IFERROR(__xludf.DUMMYFUNCTION("""COMPUTED_VALUE"""),"MS")</f>
        <v>MS</v>
      </c>
    </row>
    <row r="2775" ht="15.75" customHeight="1">
      <c r="A2775" s="1" t="str">
        <f>IFERROR(__xludf.DUMMYFUNCTION("""COMPUTED_VALUE"""),"Grade7 Shadow6")</f>
        <v>Grade7 Shadow6</v>
      </c>
      <c r="B2775" s="1" t="str">
        <f>IFERROR(__xludf.DUMMYFUNCTION("""COMPUTED_VALUE"""),"MS")</f>
        <v>MS</v>
      </c>
    </row>
    <row r="2776" ht="15.75" customHeight="1">
      <c r="A2776" s="1" t="str">
        <f>IFERROR(__xludf.DUMMYFUNCTION("""COMPUTED_VALUE"""),"Grade7 Shadow7")</f>
        <v>Grade7 Shadow7</v>
      </c>
      <c r="B2776" s="1" t="str">
        <f>IFERROR(__xludf.DUMMYFUNCTION("""COMPUTED_VALUE"""),"MS")</f>
        <v>MS</v>
      </c>
    </row>
    <row r="2777" ht="15.75" customHeight="1">
      <c r="A2777" s="1" t="str">
        <f>IFERROR(__xludf.DUMMYFUNCTION("""COMPUTED_VALUE"""),"Grade7 Shadow8")</f>
        <v>Grade7 Shadow8</v>
      </c>
      <c r="B2777" s="1" t="str">
        <f>IFERROR(__xludf.DUMMYFUNCTION("""COMPUTED_VALUE"""),"MS")</f>
        <v>MS</v>
      </c>
    </row>
    <row r="2778" ht="15.75" customHeight="1">
      <c r="A2778" s="1" t="str">
        <f>IFERROR(__xludf.DUMMYFUNCTION("""COMPUTED_VALUE"""),"Grade7 Shadow9")</f>
        <v>Grade7 Shadow9</v>
      </c>
      <c r="B2778" s="1" t="str">
        <f>IFERROR(__xludf.DUMMYFUNCTION("""COMPUTED_VALUE"""),"MS")</f>
        <v>MS</v>
      </c>
    </row>
    <row r="2779" ht="15.75" customHeight="1">
      <c r="A2779" s="1" t="str">
        <f>IFERROR(__xludf.DUMMYFUNCTION("""COMPUTED_VALUE"""),"Grade7 Shadow10")</f>
        <v>Grade7 Shadow10</v>
      </c>
      <c r="B2779" s="1" t="str">
        <f>IFERROR(__xludf.DUMMYFUNCTION("""COMPUTED_VALUE"""),"MS")</f>
        <v>MS</v>
      </c>
    </row>
    <row r="2780" ht="15.75" customHeight="1">
      <c r="A2780" s="1" t="str">
        <f>IFERROR(__xludf.DUMMYFUNCTION("""COMPUTED_VALUE"""),"Grade8 Shadow6")</f>
        <v>Grade8 Shadow6</v>
      </c>
      <c r="B2780" s="1" t="str">
        <f>IFERROR(__xludf.DUMMYFUNCTION("""COMPUTED_VALUE"""),"MS")</f>
        <v>MS</v>
      </c>
    </row>
    <row r="2781" ht="15.75" customHeight="1">
      <c r="A2781" s="1" t="str">
        <f>IFERROR(__xludf.DUMMYFUNCTION("""COMPUTED_VALUE"""),"Grade8 Shadow7")</f>
        <v>Grade8 Shadow7</v>
      </c>
      <c r="B2781" s="1" t="str">
        <f>IFERROR(__xludf.DUMMYFUNCTION("""COMPUTED_VALUE"""),"MS")</f>
        <v>MS</v>
      </c>
    </row>
    <row r="2782" ht="15.75" customHeight="1">
      <c r="A2782" s="1" t="str">
        <f>IFERROR(__xludf.DUMMYFUNCTION("""COMPUTED_VALUE"""),"Grade8 Shadow8")</f>
        <v>Grade8 Shadow8</v>
      </c>
      <c r="B2782" s="1" t="str">
        <f>IFERROR(__xludf.DUMMYFUNCTION("""COMPUTED_VALUE"""),"MS")</f>
        <v>MS</v>
      </c>
    </row>
    <row r="2783" ht="15.75" customHeight="1">
      <c r="A2783" s="1" t="str">
        <f>IFERROR(__xludf.DUMMYFUNCTION("""COMPUTED_VALUE"""),"Grade8 Shadow9")</f>
        <v>Grade8 Shadow9</v>
      </c>
      <c r="B2783" s="1" t="str">
        <f>IFERROR(__xludf.DUMMYFUNCTION("""COMPUTED_VALUE"""),"MS")</f>
        <v>MS</v>
      </c>
    </row>
    <row r="2784" ht="15.75" customHeight="1">
      <c r="A2784" s="1" t="str">
        <f>IFERROR(__xludf.DUMMYFUNCTION("""COMPUTED_VALUE"""),"Grade8 Shadow10")</f>
        <v>Grade8 Shadow10</v>
      </c>
      <c r="B2784" s="1" t="str">
        <f>IFERROR(__xludf.DUMMYFUNCTION("""COMPUTED_VALUE"""),"MS")</f>
        <v>MS</v>
      </c>
    </row>
    <row r="2785" ht="15.75" customHeight="1">
      <c r="A2785" s="1" t="str">
        <f>IFERROR(__xludf.DUMMYFUNCTION("""COMPUTED_VALUE"""),"Grade9 Shadow6")</f>
        <v>Grade9 Shadow6</v>
      </c>
      <c r="B2785" s="1" t="str">
        <f>IFERROR(__xludf.DUMMYFUNCTION("""COMPUTED_VALUE"""),"HS")</f>
        <v>HS</v>
      </c>
    </row>
    <row r="2786" ht="15.75" customHeight="1">
      <c r="A2786" s="1" t="str">
        <f>IFERROR(__xludf.DUMMYFUNCTION("""COMPUTED_VALUE"""),"Grade9 Shadow7")</f>
        <v>Grade9 Shadow7</v>
      </c>
      <c r="B2786" s="1" t="str">
        <f>IFERROR(__xludf.DUMMYFUNCTION("""COMPUTED_VALUE"""),"HS")</f>
        <v>HS</v>
      </c>
    </row>
    <row r="2787" ht="15.75" customHeight="1">
      <c r="A2787" s="1" t="str">
        <f>IFERROR(__xludf.DUMMYFUNCTION("""COMPUTED_VALUE"""),"Grade9 Shadow8")</f>
        <v>Grade9 Shadow8</v>
      </c>
      <c r="B2787" s="1" t="str">
        <f>IFERROR(__xludf.DUMMYFUNCTION("""COMPUTED_VALUE"""),"HS")</f>
        <v>HS</v>
      </c>
    </row>
    <row r="2788" ht="15.75" customHeight="1">
      <c r="A2788" s="1" t="str">
        <f>IFERROR(__xludf.DUMMYFUNCTION("""COMPUTED_VALUE"""),"Grade9 Shadow9")</f>
        <v>Grade9 Shadow9</v>
      </c>
      <c r="B2788" s="1" t="str">
        <f>IFERROR(__xludf.DUMMYFUNCTION("""COMPUTED_VALUE"""),"HS")</f>
        <v>HS</v>
      </c>
    </row>
    <row r="2789" ht="15.75" customHeight="1">
      <c r="A2789" s="1" t="str">
        <f>IFERROR(__xludf.DUMMYFUNCTION("""COMPUTED_VALUE"""),"Grade9 Shadow10")</f>
        <v>Grade9 Shadow10</v>
      </c>
      <c r="B2789" s="1" t="str">
        <f>IFERROR(__xludf.DUMMYFUNCTION("""COMPUTED_VALUE"""),"HS")</f>
        <v>HS</v>
      </c>
    </row>
    <row r="2790" ht="15.75" customHeight="1">
      <c r="A2790" s="1" t="str">
        <f>IFERROR(__xludf.DUMMYFUNCTION("""COMPUTED_VALUE"""),"Grade10 Shadow6")</f>
        <v>Grade10 Shadow6</v>
      </c>
      <c r="B2790" s="1" t="str">
        <f>IFERROR(__xludf.DUMMYFUNCTION("""COMPUTED_VALUE"""),"HS")</f>
        <v>HS</v>
      </c>
    </row>
    <row r="2791" ht="15.75" customHeight="1">
      <c r="A2791" s="1" t="str">
        <f>IFERROR(__xludf.DUMMYFUNCTION("""COMPUTED_VALUE"""),"Grade10 Shadow7")</f>
        <v>Grade10 Shadow7</v>
      </c>
      <c r="B2791" s="1" t="str">
        <f>IFERROR(__xludf.DUMMYFUNCTION("""COMPUTED_VALUE"""),"HS")</f>
        <v>HS</v>
      </c>
    </row>
    <row r="2792" ht="15.75" customHeight="1">
      <c r="A2792" s="1" t="str">
        <f>IFERROR(__xludf.DUMMYFUNCTION("""COMPUTED_VALUE"""),"Grade10 Shadow8")</f>
        <v>Grade10 Shadow8</v>
      </c>
      <c r="B2792" s="1" t="str">
        <f>IFERROR(__xludf.DUMMYFUNCTION("""COMPUTED_VALUE"""),"HS")</f>
        <v>HS</v>
      </c>
    </row>
    <row r="2793" ht="15.75" customHeight="1">
      <c r="A2793" s="1" t="str">
        <f>IFERROR(__xludf.DUMMYFUNCTION("""COMPUTED_VALUE"""),"Grade10 Shadow9")</f>
        <v>Grade10 Shadow9</v>
      </c>
      <c r="B2793" s="1" t="str">
        <f>IFERROR(__xludf.DUMMYFUNCTION("""COMPUTED_VALUE"""),"HS")</f>
        <v>HS</v>
      </c>
    </row>
    <row r="2794" ht="15.75" customHeight="1">
      <c r="A2794" s="1" t="str">
        <f>IFERROR(__xludf.DUMMYFUNCTION("""COMPUTED_VALUE"""),"Grade10 Shadow10")</f>
        <v>Grade10 Shadow10</v>
      </c>
      <c r="B2794" s="1" t="str">
        <f>IFERROR(__xludf.DUMMYFUNCTION("""COMPUTED_VALUE"""),"HS")</f>
        <v>HS</v>
      </c>
    </row>
    <row r="2795" ht="15.75" customHeight="1">
      <c r="A2795" s="1" t="str">
        <f>IFERROR(__xludf.DUMMYFUNCTION("""COMPUTED_VALUE"""),"Grade11 Shadow6")</f>
        <v>Grade11 Shadow6</v>
      </c>
      <c r="B2795" s="1" t="str">
        <f>IFERROR(__xludf.DUMMYFUNCTION("""COMPUTED_VALUE"""),"HS")</f>
        <v>HS</v>
      </c>
    </row>
    <row r="2796" ht="15.75" customHeight="1">
      <c r="A2796" s="1" t="str">
        <f>IFERROR(__xludf.DUMMYFUNCTION("""COMPUTED_VALUE"""),"Grade11 Shadow7")</f>
        <v>Grade11 Shadow7</v>
      </c>
      <c r="B2796" s="1" t="str">
        <f>IFERROR(__xludf.DUMMYFUNCTION("""COMPUTED_VALUE"""),"HS")</f>
        <v>HS</v>
      </c>
    </row>
    <row r="2797" ht="15.75" customHeight="1">
      <c r="A2797" s="1" t="str">
        <f>IFERROR(__xludf.DUMMYFUNCTION("""COMPUTED_VALUE"""),"Grade11 Shadow8")</f>
        <v>Grade11 Shadow8</v>
      </c>
      <c r="B2797" s="1" t="str">
        <f>IFERROR(__xludf.DUMMYFUNCTION("""COMPUTED_VALUE"""),"HS")</f>
        <v>HS</v>
      </c>
    </row>
    <row r="2798" ht="15.75" customHeight="1">
      <c r="A2798" s="1" t="str">
        <f>IFERROR(__xludf.DUMMYFUNCTION("""COMPUTED_VALUE"""),"Grade11 Shadow9")</f>
        <v>Grade11 Shadow9</v>
      </c>
      <c r="B2798" s="1" t="str">
        <f>IFERROR(__xludf.DUMMYFUNCTION("""COMPUTED_VALUE"""),"HS")</f>
        <v>HS</v>
      </c>
    </row>
    <row r="2799" ht="15.75" customHeight="1">
      <c r="A2799" s="1" t="str">
        <f>IFERROR(__xludf.DUMMYFUNCTION("""COMPUTED_VALUE"""),"Grade11 Shadow10")</f>
        <v>Grade11 Shadow10</v>
      </c>
      <c r="B2799" s="1" t="str">
        <f>IFERROR(__xludf.DUMMYFUNCTION("""COMPUTED_VALUE"""),"HS")</f>
        <v>HS</v>
      </c>
    </row>
    <row r="2800" ht="15.75" customHeight="1">
      <c r="A2800" s="1" t="str">
        <f>IFERROR(__xludf.DUMMYFUNCTION("""COMPUTED_VALUE"""),"Grade12 Shadow6")</f>
        <v>Grade12 Shadow6</v>
      </c>
      <c r="B2800" s="1" t="str">
        <f>IFERROR(__xludf.DUMMYFUNCTION("""COMPUTED_VALUE"""),"HS")</f>
        <v>HS</v>
      </c>
    </row>
    <row r="2801" ht="15.75" customHeight="1">
      <c r="A2801" s="1" t="str">
        <f>IFERROR(__xludf.DUMMYFUNCTION("""COMPUTED_VALUE"""),"Grade12 Shadow7")</f>
        <v>Grade12 Shadow7</v>
      </c>
      <c r="B2801" s="1" t="str">
        <f>IFERROR(__xludf.DUMMYFUNCTION("""COMPUTED_VALUE"""),"HS")</f>
        <v>HS</v>
      </c>
    </row>
    <row r="2802" ht="15.75" customHeight="1">
      <c r="A2802" s="1" t="str">
        <f>IFERROR(__xludf.DUMMYFUNCTION("""COMPUTED_VALUE"""),"Grade12 Shadow8")</f>
        <v>Grade12 Shadow8</v>
      </c>
      <c r="B2802" s="1" t="str">
        <f>IFERROR(__xludf.DUMMYFUNCTION("""COMPUTED_VALUE"""),"HS")</f>
        <v>HS</v>
      </c>
    </row>
    <row r="2803" ht="15.75" customHeight="1">
      <c r="A2803" s="1" t="str">
        <f>IFERROR(__xludf.DUMMYFUNCTION("""COMPUTED_VALUE"""),"Grade12 Shadow9")</f>
        <v>Grade12 Shadow9</v>
      </c>
      <c r="B2803" s="1" t="str">
        <f>IFERROR(__xludf.DUMMYFUNCTION("""COMPUTED_VALUE"""),"HS")</f>
        <v>HS</v>
      </c>
    </row>
    <row r="2804" ht="15.75" customHeight="1">
      <c r="A2804" s="1" t="str">
        <f>IFERROR(__xludf.DUMMYFUNCTION("""COMPUTED_VALUE"""),"Grade12 Shadow10")</f>
        <v>Grade12 Shadow10</v>
      </c>
      <c r="B2804" s="1" t="str">
        <f>IFERROR(__xludf.DUMMYFUNCTION("""COMPUTED_VALUE"""),"HS")</f>
        <v>HS</v>
      </c>
    </row>
    <row r="2805" ht="15.75" customHeight="1">
      <c r="A2805" s="1" t="str">
        <f>IFERROR(__xludf.DUMMYFUNCTION("""COMPUTED_VALUE"""),"Ferran Reddy")</f>
        <v>Ferran Reddy</v>
      </c>
      <c r="B2805" s="1" t="str">
        <f>IFERROR(__xludf.DUMMYFUNCTION("""COMPUTED_VALUE"""),"LL")</f>
        <v>LL</v>
      </c>
    </row>
    <row r="2806" ht="15.75" customHeight="1">
      <c r="A2806" s="1" t="str">
        <f>IFERROR(__xludf.DUMMYFUNCTION("""COMPUTED_VALUE"""),"_test_ChildFarhan _test_Raja1")</f>
        <v>_test_ChildFarhan _test_Raja1</v>
      </c>
      <c r="B2806" s="1" t="str">
        <f>IFERROR(__xludf.DUMMYFUNCTION("""COMPUTED_VALUE"""),"L1")</f>
        <v>L1</v>
      </c>
    </row>
    <row r="2807" ht="15.75" customHeight="1">
      <c r="A2807" s="1" t="str">
        <f>IFERROR(__xludf.DUMMYFUNCTION("""COMPUTED_VALUE"""),"Saeed Tarawneh")</f>
        <v>Saeed Tarawneh</v>
      </c>
      <c r="B2807" s="1" t="str">
        <f>IFERROR(__xludf.DUMMYFUNCTION("""COMPUTED_VALUE"""),"HS")</f>
        <v>HS</v>
      </c>
    </row>
    <row r="2808" ht="15.75" customHeight="1">
      <c r="A2808" s="1" t="str">
        <f>IFERROR(__xludf.DUMMYFUNCTION("""COMPUTED_VALUE"""),"Wills Evans")</f>
        <v>Wills Evans</v>
      </c>
      <c r="B2808" s="1" t="str">
        <f>IFERROR(__xludf.DUMMYFUNCTION("""COMPUTED_VALUE"""),"WL")</f>
        <v>WL</v>
      </c>
    </row>
    <row r="2809" ht="15.75" customHeight="1">
      <c r="A2809" s="1" t="str">
        <f>IFERROR(__xludf.DUMMYFUNCTION("""COMPUTED_VALUE"""),"Rose Marass")</f>
        <v>Rose Marass</v>
      </c>
      <c r="B2809" s="1" t="str">
        <f>IFERROR(__xludf.DUMMYFUNCTION("""COMPUTED_VALUE"""),"WL")</f>
        <v>WL</v>
      </c>
    </row>
    <row r="2810" ht="15.75" customHeight="1">
      <c r="A2810" s="1" t="str">
        <f>IFERROR(__xludf.DUMMYFUNCTION("""COMPUTED_VALUE"""),"Nolan Epp Odom")</f>
        <v>Nolan Epp Odom</v>
      </c>
      <c r="B2810" s="1" t="str">
        <f>IFERROR(__xludf.DUMMYFUNCTION("""COMPUTED_VALUE"""),"WL")</f>
        <v>WL</v>
      </c>
    </row>
    <row r="2811" ht="15.75" customHeight="1">
      <c r="A2811" s="1" t="str">
        <f>IFERROR(__xludf.DUMMYFUNCTION("""COMPUTED_VALUE"""),"Tyson Karp")</f>
        <v>Tyson Karp</v>
      </c>
      <c r="B2811" s="1" t="str">
        <f>IFERROR(__xludf.DUMMYFUNCTION("""COMPUTED_VALUE"""),"MS")</f>
        <v>MS</v>
      </c>
    </row>
    <row r="2812" ht="15.75" customHeight="1">
      <c r="A2812" s="1" t="str">
        <f>IFERROR(__xludf.DUMMYFUNCTION("""COMPUTED_VALUE"""),"Perrin Phatak")</f>
        <v>Perrin Phatak</v>
      </c>
      <c r="B2812" s="1" t="str">
        <f>IFERROR(__xludf.DUMMYFUNCTION("""COMPUTED_VALUE"""),"HS")</f>
        <v>HS</v>
      </c>
    </row>
    <row r="2813" ht="15.75" customHeight="1">
      <c r="A2813" s="1" t="str">
        <f>IFERROR(__xludf.DUMMYFUNCTION("""COMPUTED_VALUE"""),"Stu Demo")</f>
        <v>Stu Demo</v>
      </c>
      <c r="B2813" s="1" t="str">
        <f>IFERROR(__xludf.DUMMYFUNCTION("""COMPUTED_VALUE"""),"L2")</f>
        <v>L2</v>
      </c>
    </row>
    <row r="2814" ht="15.75" customHeight="1">
      <c r="A2814" s="1" t="str">
        <f>IFERROR(__xludf.DUMMYFUNCTION("""COMPUTED_VALUE"""),"Kobe Brescic")</f>
        <v>Kobe Brescic</v>
      </c>
      <c r="B2814" s="1" t="str">
        <f>IFERROR(__xludf.DUMMYFUNCTION("""COMPUTED_VALUE"""),"WL")</f>
        <v>WL</v>
      </c>
    </row>
    <row r="2815" ht="15.75" customHeight="1">
      <c r="A2815" s="1" t="str">
        <f>IFERROR(__xludf.DUMMYFUNCTION("""COMPUTED_VALUE"""),"David Broderick")</f>
        <v>David Broderick</v>
      </c>
      <c r="B2815" s="1" t="str">
        <f>IFERROR(__xludf.DUMMYFUNCTION("""COMPUTED_VALUE"""),"L1")</f>
        <v>L1</v>
      </c>
    </row>
    <row r="2816" ht="15.75" customHeight="1">
      <c r="A2816" s="1" t="str">
        <f>IFERROR(__xludf.DUMMYFUNCTION("""COMPUTED_VALUE"""),"GradePK Shadow1")</f>
        <v>GradePK Shadow1</v>
      </c>
      <c r="B2816" s="1" t="str">
        <f>IFERROR(__xludf.DUMMYFUNCTION("""COMPUTED_VALUE"""),"WL")</f>
        <v>WL</v>
      </c>
    </row>
    <row r="2817" ht="15.75" customHeight="1">
      <c r="A2817" s="1" t="str">
        <f>IFERROR(__xludf.DUMMYFUNCTION("""COMPUTED_VALUE"""),"GradePK Shadow2")</f>
        <v>GradePK Shadow2</v>
      </c>
      <c r="B2817" s="1" t="str">
        <f>IFERROR(__xludf.DUMMYFUNCTION("""COMPUTED_VALUE"""),"WL")</f>
        <v>WL</v>
      </c>
    </row>
    <row r="2818" ht="15.75" customHeight="1">
      <c r="A2818" s="1" t="str">
        <f>IFERROR(__xludf.DUMMYFUNCTION("""COMPUTED_VALUE"""),"GradePK Shadow3")</f>
        <v>GradePK Shadow3</v>
      </c>
      <c r="B2818" s="1" t="str">
        <f>IFERROR(__xludf.DUMMYFUNCTION("""COMPUTED_VALUE"""),"WL")</f>
        <v>WL</v>
      </c>
    </row>
    <row r="2819" ht="15.75" customHeight="1">
      <c r="A2819" s="1" t="str">
        <f>IFERROR(__xludf.DUMMYFUNCTION("""COMPUTED_VALUE"""),"GradePK Shadow4")</f>
        <v>GradePK Shadow4</v>
      </c>
      <c r="B2819" s="1" t="str">
        <f>IFERROR(__xludf.DUMMYFUNCTION("""COMPUTED_VALUE"""),"WL")</f>
        <v>WL</v>
      </c>
    </row>
    <row r="2820" ht="15.75" customHeight="1">
      <c r="A2820" s="1" t="str">
        <f>IFERROR(__xludf.DUMMYFUNCTION("""COMPUTED_VALUE"""),"GradePK Shadow5")</f>
        <v>GradePK Shadow5</v>
      </c>
      <c r="B2820" s="1" t="str">
        <f>IFERROR(__xludf.DUMMYFUNCTION("""COMPUTED_VALUE"""),"WL")</f>
        <v>WL</v>
      </c>
    </row>
    <row r="2821" ht="15.75" customHeight="1">
      <c r="A2821" s="1" t="str">
        <f>IFERROR(__xludf.DUMMYFUNCTION("""COMPUTED_VALUE"""),"Yashar Student 2 _test_")</f>
        <v>Yashar Student 2 _test_</v>
      </c>
      <c r="B2821" s="1" t="str">
        <f>IFERROR(__xludf.DUMMYFUNCTION("""COMPUTED_VALUE"""),"L1")</f>
        <v>L1</v>
      </c>
    </row>
    <row r="2822" ht="15.75" customHeight="1">
      <c r="A2822" s="1" t="str">
        <f>IFERROR(__xludf.DUMMYFUNCTION("""COMPUTED_VALUE"""),"Fernando 12 _test_")</f>
        <v>Fernando 12 _test_</v>
      </c>
      <c r="B2822" s="1" t="str">
        <f>IFERROR(__xludf.DUMMYFUNCTION("""COMPUTED_VALUE"""),"LL")</f>
        <v>LL</v>
      </c>
    </row>
    <row r="2823" ht="15.75" customHeight="1">
      <c r="A2823" s="1" t="str">
        <f>IFERROR(__xludf.DUMMYFUNCTION("""COMPUTED_VALUE"""),"Fernando 13 _test_")</f>
        <v>Fernando 13 _test_</v>
      </c>
      <c r="B2823" s="1" t="str">
        <f>IFERROR(__xludf.DUMMYFUNCTION("""COMPUTED_VALUE"""),"HS")</f>
        <v>HS</v>
      </c>
    </row>
    <row r="2824" ht="15.75" customHeight="1">
      <c r="A2824" s="1" t="str">
        <f>IFERROR(__xludf.DUMMYFUNCTION("""COMPUTED_VALUE"""),"Fernando 14 _test_")</f>
        <v>Fernando 14 _test_</v>
      </c>
      <c r="B2824" s="1" t="str">
        <f>IFERROR(__xludf.DUMMYFUNCTION("""COMPUTED_VALUE"""),"HS")</f>
        <v>HS</v>
      </c>
    </row>
    <row r="2825" ht="15.75" customHeight="1">
      <c r="A2825" s="1" t="str">
        <f>IFERROR(__xludf.DUMMYFUNCTION("""COMPUTED_VALUE"""),"Norman Taliaferro III")</f>
        <v>Norman Taliaferro III</v>
      </c>
      <c r="B2825" s="1" t="str">
        <f>IFERROR(__xludf.DUMMYFUNCTION("""COMPUTED_VALUE"""),"WL")</f>
        <v>WL</v>
      </c>
    </row>
    <row r="2826" ht="15.75" customHeight="1">
      <c r="A2826" s="1" t="str">
        <f>IFERROR(__xludf.DUMMYFUNCTION("""COMPUTED_VALUE"""),"Sarhaan _test_")</f>
        <v>Sarhaan _test_</v>
      </c>
      <c r="B2826" s="1" t="str">
        <f>IFERROR(__xludf.DUMMYFUNCTION("""COMPUTED_VALUE"""),"HS")</f>
        <v>HS</v>
      </c>
    </row>
    <row r="2827" ht="15.75" customHeight="1">
      <c r="A2827" s="1" t="str">
        <f>IFERROR(__xludf.DUMMYFUNCTION("""COMPUTED_VALUE"""),"Oscar Linn")</f>
        <v>Oscar Linn</v>
      </c>
      <c r="B2827" s="1" t="str">
        <f>IFERROR(__xludf.DUMMYFUNCTION("""COMPUTED_VALUE"""),"L2")</f>
        <v>L2</v>
      </c>
    </row>
    <row r="2828" ht="15.75" customHeight="1">
      <c r="A2828" s="1" t="str">
        <f>IFERROR(__xludf.DUMMYFUNCTION("""COMPUTED_VALUE"""),"Woody Wilcox")</f>
        <v>Woody Wilcox</v>
      </c>
      <c r="B2828" s="1" t="str">
        <f>IFERROR(__xludf.DUMMYFUNCTION("""COMPUTED_VALUE"""),"LL")</f>
        <v>LL</v>
      </c>
    </row>
    <row r="2829" ht="15.75" customHeight="1">
      <c r="A2829" s="1" t="str">
        <f>IFERROR(__xludf.DUMMYFUNCTION("""COMPUTED_VALUE"""),"Ash Hoogstraten")</f>
        <v>Ash Hoogstraten</v>
      </c>
      <c r="B2829" s="1" t="str">
        <f>IFERROR(__xludf.DUMMYFUNCTION("""COMPUTED_VALUE"""),"WL")</f>
        <v>WL</v>
      </c>
    </row>
    <row r="2830" ht="15.75" customHeight="1">
      <c r="A2830" s="1" t="str">
        <f>IFERROR(__xludf.DUMMYFUNCTION("""COMPUTED_VALUE"""),"Ellie Zusin")</f>
        <v>Ellie Zusin</v>
      </c>
      <c r="B2830" s="1" t="str">
        <f>IFERROR(__xludf.DUMMYFUNCTION("""COMPUTED_VALUE"""),"MS")</f>
        <v>MS</v>
      </c>
    </row>
    <row r="2831" ht="15.75" customHeight="1">
      <c r="A2831" s="1" t="str">
        <f>IFERROR(__xludf.DUMMYFUNCTION("""COMPUTED_VALUE"""),"Arlo Knecht")</f>
        <v>Arlo Knecht</v>
      </c>
      <c r="B2831" s="1" t="str">
        <f>IFERROR(__xludf.DUMMYFUNCTION("""COMPUTED_VALUE"""),"WL")</f>
        <v>WL</v>
      </c>
    </row>
    <row r="2832" ht="15.75" customHeight="1">
      <c r="A2832" s="1" t="str">
        <f>IFERROR(__xludf.DUMMYFUNCTION("""COMPUTED_VALUE"""),"Hiro Horn-Agrawal")</f>
        <v>Hiro Horn-Agrawal</v>
      </c>
      <c r="B2832" s="1" t="str">
        <f>IFERROR(__xludf.DUMMYFUNCTION("""COMPUTED_VALUE"""),"L1")</f>
        <v>L1</v>
      </c>
    </row>
    <row r="2833" ht="15.75" customHeight="1">
      <c r="A2833" s="1" t="str">
        <f>IFERROR(__xludf.DUMMYFUNCTION("""COMPUTED_VALUE"""),"Taliah Granados")</f>
        <v>Taliah Granados</v>
      </c>
      <c r="B2833" s="1" t="str">
        <f>IFERROR(__xludf.DUMMYFUNCTION("""COMPUTED_VALUE"""),"L2")</f>
        <v>L2</v>
      </c>
    </row>
    <row r="2834" ht="15.75" customHeight="1">
      <c r="A2834" s="1" t="str">
        <f>IFERROR(__xludf.DUMMYFUNCTION("""COMPUTED_VALUE"""),"Ellis Granados")</f>
        <v>Ellis Granados</v>
      </c>
      <c r="B2834" s="1" t="str">
        <f>IFERROR(__xludf.DUMMYFUNCTION("""COMPUTED_VALUE"""),"L1")</f>
        <v>L1</v>
      </c>
    </row>
    <row r="2835" ht="15.75" customHeight="1">
      <c r="A2835" s="1" t="str">
        <f>IFERROR(__xludf.DUMMYFUNCTION("""COMPUTED_VALUE"""),"Frankie Faeder")</f>
        <v>Frankie Faeder</v>
      </c>
      <c r="B2835" s="1" t="str">
        <f>IFERROR(__xludf.DUMMYFUNCTION("""COMPUTED_VALUE"""),"WL")</f>
        <v>WL</v>
      </c>
    </row>
    <row r="2836" ht="15.75" customHeight="1">
      <c r="A2836" s="1" t="str">
        <f>IFERROR(__xludf.DUMMYFUNCTION("""COMPUTED_VALUE"""),"William Whitcraft")</f>
        <v>William Whitcraft</v>
      </c>
      <c r="B2836" s="1" t="str">
        <f>IFERROR(__xludf.DUMMYFUNCTION("""COMPUTED_VALUE"""),"LL")</f>
        <v>LL</v>
      </c>
    </row>
    <row r="2837" ht="15.75" customHeight="1">
      <c r="A2837" s="1" t="str">
        <f>IFERROR(__xludf.DUMMYFUNCTION("""COMPUTED_VALUE"""),"Anika Paasche")</f>
        <v>Anika Paasche</v>
      </c>
      <c r="B2837" s="1" t="str">
        <f>IFERROR(__xludf.DUMMYFUNCTION("""COMPUTED_VALUE"""),"HS")</f>
        <v>HS</v>
      </c>
    </row>
    <row r="2838" ht="15.75" customHeight="1">
      <c r="A2838" s="1" t="str">
        <f>IFERROR(__xludf.DUMMYFUNCTION("""COMPUTED_VALUE"""),"Rhodes Alfred")</f>
        <v>Rhodes Alfred</v>
      </c>
      <c r="B2838" s="1" t="str">
        <f>IFERROR(__xludf.DUMMYFUNCTION("""COMPUTED_VALUE"""),"WL")</f>
        <v>WL</v>
      </c>
    </row>
    <row r="2839" ht="15.75" customHeight="1">
      <c r="A2839" s="1" t="str">
        <f>IFERROR(__xludf.DUMMYFUNCTION("""COMPUTED_VALUE"""),"Liberty Miller")</f>
        <v>Liberty Miller</v>
      </c>
      <c r="B2839" s="1" t="str">
        <f>IFERROR(__xludf.DUMMYFUNCTION("""COMPUTED_VALUE"""),"WL")</f>
        <v>WL</v>
      </c>
    </row>
    <row r="2840" ht="15.75" customHeight="1">
      <c r="A2840" s="1" t="str">
        <f>IFERROR(__xludf.DUMMYFUNCTION("""COMPUTED_VALUE"""),"Alina Williford")</f>
        <v>Alina Williford</v>
      </c>
      <c r="B2840" s="1" t="str">
        <f>IFERROR(__xludf.DUMMYFUNCTION("""COMPUTED_VALUE"""),"WL")</f>
        <v>WL</v>
      </c>
    </row>
    <row r="2841" ht="15.75" customHeight="1">
      <c r="A2841" s="1" t="str">
        <f>IFERROR(__xludf.DUMMYFUNCTION("""COMPUTED_VALUE"""),"Bo King")</f>
        <v>Bo King</v>
      </c>
      <c r="B2841" s="1" t="str">
        <f>IFERROR(__xludf.DUMMYFUNCTION("""COMPUTED_VALUE"""),"WL")</f>
        <v>WL</v>
      </c>
    </row>
    <row r="2842" ht="15.75" customHeight="1">
      <c r="A2842" s="1" t="str">
        <f>IFERROR(__xludf.DUMMYFUNCTION("""COMPUTED_VALUE"""),"Ben Rosenbloom")</f>
        <v>Ben Rosenbloom</v>
      </c>
      <c r="B2842" s="1" t="str">
        <f>IFERROR(__xludf.DUMMYFUNCTION("""COMPUTED_VALUE"""),"L1")</f>
        <v>L1</v>
      </c>
    </row>
    <row r="2843" ht="15.75" customHeight="1">
      <c r="A2843" s="1" t="str">
        <f>IFERROR(__xludf.DUMMYFUNCTION("""COMPUTED_VALUE"""),"Orion Adams")</f>
        <v>Orion Adams</v>
      </c>
      <c r="B2843" s="1" t="str">
        <f>IFERROR(__xludf.DUMMYFUNCTION("""COMPUTED_VALUE"""),"WL")</f>
        <v>WL</v>
      </c>
    </row>
    <row r="2844" ht="15.75" customHeight="1">
      <c r="A2844" s="1" t="str">
        <f>IFERROR(__xludf.DUMMYFUNCTION("""COMPUTED_VALUE"""),"Chase Godschalk")</f>
        <v>Chase Godschalk</v>
      </c>
      <c r="B2844" s="1" t="str">
        <f>IFERROR(__xludf.DUMMYFUNCTION("""COMPUTED_VALUE"""),"HS")</f>
        <v>HS</v>
      </c>
    </row>
    <row r="2845" ht="15.75" customHeight="1">
      <c r="A2845" s="1" t="str">
        <f>IFERROR(__xludf.DUMMYFUNCTION("""COMPUTED_VALUE"""),"Finn Godschalk")</f>
        <v>Finn Godschalk</v>
      </c>
      <c r="B2845" s="1" t="str">
        <f>IFERROR(__xludf.DUMMYFUNCTION("""COMPUTED_VALUE"""),"MS")</f>
        <v>MS</v>
      </c>
    </row>
    <row r="2846" ht="15.75" customHeight="1">
      <c r="A2846" s="1" t="str">
        <f>IFERROR(__xludf.DUMMYFUNCTION("""COMPUTED_VALUE"""),"Silas Labelle Lobeira")</f>
        <v>Silas Labelle Lobeira</v>
      </c>
      <c r="B2846" s="1" t="str">
        <f>IFERROR(__xludf.DUMMYFUNCTION("""COMPUTED_VALUE"""),"L2")</f>
        <v>L2</v>
      </c>
    </row>
    <row r="2847" ht="15.75" customHeight="1">
      <c r="A2847" s="1" t="str">
        <f>IFERROR(__xludf.DUMMYFUNCTION("""COMPUTED_VALUE"""),"Neko Lewis")</f>
        <v>Neko Lewis</v>
      </c>
      <c r="B2847" s="1" t="str">
        <f>IFERROR(__xludf.DUMMYFUNCTION("""COMPUTED_VALUE"""),"L2")</f>
        <v>L2</v>
      </c>
    </row>
    <row r="2848" ht="15.75" customHeight="1">
      <c r="A2848" s="1" t="str">
        <f>IFERROR(__xludf.DUMMYFUNCTION("""COMPUTED_VALUE"""),"Ari Schaaf")</f>
        <v>Ari Schaaf</v>
      </c>
      <c r="B2848" s="1" t="str">
        <f>IFERROR(__xludf.DUMMYFUNCTION("""COMPUTED_VALUE"""),"WL")</f>
        <v>WL</v>
      </c>
    </row>
    <row r="2849" ht="15.75" customHeight="1">
      <c r="A2849" s="1" t="str">
        <f>IFERROR(__xludf.DUMMYFUNCTION("""COMPUTED_VALUE"""),"June Murrell")</f>
        <v>June Murrell</v>
      </c>
      <c r="B2849" s="1" t="str">
        <f>IFERROR(__xludf.DUMMYFUNCTION("""COMPUTED_VALUE"""),"L1")</f>
        <v>L1</v>
      </c>
    </row>
    <row r="2850" ht="15.75" customHeight="1">
      <c r="A2850" s="1" t="str">
        <f>IFERROR(__xludf.DUMMYFUNCTION("""COMPUTED_VALUE"""),"GradeK Shadow11")</f>
        <v>GradeK Shadow11</v>
      </c>
      <c r="B2850" s="1" t="str">
        <f>IFERROR(__xludf.DUMMYFUNCTION("""COMPUTED_VALUE"""),"LL")</f>
        <v>LL</v>
      </c>
    </row>
    <row r="2851" ht="15.75" customHeight="1">
      <c r="A2851" s="1" t="str">
        <f>IFERROR(__xludf.DUMMYFUNCTION("""COMPUTED_VALUE"""),"GradeK Shadow12")</f>
        <v>GradeK Shadow12</v>
      </c>
      <c r="B2851" s="1" t="str">
        <f>IFERROR(__xludf.DUMMYFUNCTION("""COMPUTED_VALUE"""),"LL")</f>
        <v>LL</v>
      </c>
    </row>
    <row r="2852" ht="15.75" customHeight="1">
      <c r="A2852" s="1" t="str">
        <f>IFERROR(__xludf.DUMMYFUNCTION("""COMPUTED_VALUE"""),"GradeK Shadow13")</f>
        <v>GradeK Shadow13</v>
      </c>
      <c r="B2852" s="1" t="str">
        <f>IFERROR(__xludf.DUMMYFUNCTION("""COMPUTED_VALUE"""),"LL")</f>
        <v>LL</v>
      </c>
    </row>
    <row r="2853" ht="15.75" customHeight="1">
      <c r="A2853" s="1" t="str">
        <f>IFERROR(__xludf.DUMMYFUNCTION("""COMPUTED_VALUE"""),"Grade1 Shadow11")</f>
        <v>Grade1 Shadow11</v>
      </c>
      <c r="B2853" s="1" t="str">
        <f>IFERROR(__xludf.DUMMYFUNCTION("""COMPUTED_VALUE"""),"LL")</f>
        <v>LL</v>
      </c>
    </row>
    <row r="2854" ht="15.75" customHeight="1">
      <c r="A2854" s="1" t="str">
        <f>IFERROR(__xludf.DUMMYFUNCTION("""COMPUTED_VALUE"""),"Grade1 Shadow12")</f>
        <v>Grade1 Shadow12</v>
      </c>
      <c r="B2854" s="1" t="str">
        <f>IFERROR(__xludf.DUMMYFUNCTION("""COMPUTED_VALUE"""),"LL")</f>
        <v>LL</v>
      </c>
    </row>
    <row r="2855" ht="15.75" customHeight="1">
      <c r="A2855" s="1" t="str">
        <f>IFERROR(__xludf.DUMMYFUNCTION("""COMPUTED_VALUE"""),"Grade1 Shadow13")</f>
        <v>Grade1 Shadow13</v>
      </c>
      <c r="B2855" s="1" t="str">
        <f>IFERROR(__xludf.DUMMYFUNCTION("""COMPUTED_VALUE"""),"LL")</f>
        <v>LL</v>
      </c>
    </row>
    <row r="2856" ht="15.75" customHeight="1">
      <c r="A2856" s="1" t="str">
        <f>IFERROR(__xludf.DUMMYFUNCTION("""COMPUTED_VALUE"""),"Grade2 Shadow11")</f>
        <v>Grade2 Shadow11</v>
      </c>
      <c r="B2856" s="1" t="str">
        <f>IFERROR(__xludf.DUMMYFUNCTION("""COMPUTED_VALUE"""),"L1")</f>
        <v>L1</v>
      </c>
    </row>
    <row r="2857" ht="15.75" customHeight="1">
      <c r="A2857" s="1" t="str">
        <f>IFERROR(__xludf.DUMMYFUNCTION("""COMPUTED_VALUE"""),"Grade2 Shadow12")</f>
        <v>Grade2 Shadow12</v>
      </c>
      <c r="B2857" s="1" t="str">
        <f>IFERROR(__xludf.DUMMYFUNCTION("""COMPUTED_VALUE"""),"L1")</f>
        <v>L1</v>
      </c>
    </row>
    <row r="2858" ht="15.75" customHeight="1">
      <c r="A2858" s="1" t="str">
        <f>IFERROR(__xludf.DUMMYFUNCTION("""COMPUTED_VALUE"""),"Grade2 Shadow13")</f>
        <v>Grade2 Shadow13</v>
      </c>
      <c r="B2858" s="1" t="str">
        <f>IFERROR(__xludf.DUMMYFUNCTION("""COMPUTED_VALUE"""),"L1")</f>
        <v>L1</v>
      </c>
    </row>
    <row r="2859" ht="15.75" customHeight="1">
      <c r="A2859" s="1" t="str">
        <f>IFERROR(__xludf.DUMMYFUNCTION("""COMPUTED_VALUE"""),"Grade3 Shadow11")</f>
        <v>Grade3 Shadow11</v>
      </c>
      <c r="B2859" s="1" t="str">
        <f>IFERROR(__xludf.DUMMYFUNCTION("""COMPUTED_VALUE"""),"L1")</f>
        <v>L1</v>
      </c>
    </row>
    <row r="2860" ht="15.75" customHeight="1">
      <c r="A2860" s="1" t="str">
        <f>IFERROR(__xludf.DUMMYFUNCTION("""COMPUTED_VALUE"""),"Grade3 Shadow12")</f>
        <v>Grade3 Shadow12</v>
      </c>
      <c r="B2860" s="1" t="str">
        <f>IFERROR(__xludf.DUMMYFUNCTION("""COMPUTED_VALUE"""),"L1")</f>
        <v>L1</v>
      </c>
    </row>
    <row r="2861" ht="15.75" customHeight="1">
      <c r="A2861" s="1" t="str">
        <f>IFERROR(__xludf.DUMMYFUNCTION("""COMPUTED_VALUE"""),"Grade3 Shadow13")</f>
        <v>Grade3 Shadow13</v>
      </c>
      <c r="B2861" s="1" t="str">
        <f>IFERROR(__xludf.DUMMYFUNCTION("""COMPUTED_VALUE"""),"L1")</f>
        <v>L1</v>
      </c>
    </row>
    <row r="2862" ht="15.75" customHeight="1">
      <c r="A2862" s="1" t="str">
        <f>IFERROR(__xludf.DUMMYFUNCTION("""COMPUTED_VALUE"""),"Grade4 Shadow11")</f>
        <v>Grade4 Shadow11</v>
      </c>
      <c r="B2862" s="1" t="str">
        <f>IFERROR(__xludf.DUMMYFUNCTION("""COMPUTED_VALUE"""),"L2")</f>
        <v>L2</v>
      </c>
    </row>
    <row r="2863" ht="15.75" customHeight="1">
      <c r="A2863" s="1" t="str">
        <f>IFERROR(__xludf.DUMMYFUNCTION("""COMPUTED_VALUE"""),"Grade4 Shadow12")</f>
        <v>Grade4 Shadow12</v>
      </c>
      <c r="B2863" s="1" t="str">
        <f>IFERROR(__xludf.DUMMYFUNCTION("""COMPUTED_VALUE"""),"L2")</f>
        <v>L2</v>
      </c>
    </row>
    <row r="2864" ht="15.75" customHeight="1">
      <c r="A2864" s="1" t="str">
        <f>IFERROR(__xludf.DUMMYFUNCTION("""COMPUTED_VALUE"""),"Grade4 Shadow13")</f>
        <v>Grade4 Shadow13</v>
      </c>
      <c r="B2864" s="1" t="str">
        <f>IFERROR(__xludf.DUMMYFUNCTION("""COMPUTED_VALUE"""),"L2")</f>
        <v>L2</v>
      </c>
    </row>
    <row r="2865" ht="15.75" customHeight="1">
      <c r="A2865" s="1" t="str">
        <f>IFERROR(__xludf.DUMMYFUNCTION("""COMPUTED_VALUE"""),"Grade5 Shadow11")</f>
        <v>Grade5 Shadow11</v>
      </c>
      <c r="B2865" s="1" t="str">
        <f>IFERROR(__xludf.DUMMYFUNCTION("""COMPUTED_VALUE"""),"L2")</f>
        <v>L2</v>
      </c>
    </row>
    <row r="2866" ht="15.75" customHeight="1">
      <c r="A2866" s="1" t="str">
        <f>IFERROR(__xludf.DUMMYFUNCTION("""COMPUTED_VALUE"""),"Grade5 Shadow12")</f>
        <v>Grade5 Shadow12</v>
      </c>
      <c r="B2866" s="1" t="str">
        <f>IFERROR(__xludf.DUMMYFUNCTION("""COMPUTED_VALUE"""),"L2")</f>
        <v>L2</v>
      </c>
    </row>
    <row r="2867" ht="15.75" customHeight="1">
      <c r="A2867" s="1" t="str">
        <f>IFERROR(__xludf.DUMMYFUNCTION("""COMPUTED_VALUE"""),"Grade5 Shadow13")</f>
        <v>Grade5 Shadow13</v>
      </c>
      <c r="B2867" s="1" t="str">
        <f>IFERROR(__xludf.DUMMYFUNCTION("""COMPUTED_VALUE"""),"L2")</f>
        <v>L2</v>
      </c>
    </row>
    <row r="2868" ht="15.75" customHeight="1">
      <c r="A2868" s="1" t="str">
        <f>IFERROR(__xludf.DUMMYFUNCTION("""COMPUTED_VALUE"""),"Mikyle Sattar")</f>
        <v>Mikyle Sattar</v>
      </c>
      <c r="B2868" s="1" t="str">
        <f>IFERROR(__xludf.DUMMYFUNCTION("""COMPUTED_VALUE"""),"MS")</f>
        <v>MS</v>
      </c>
    </row>
    <row r="2869" ht="15.75" customHeight="1">
      <c r="A2869" s="1" t="str">
        <f>IFERROR(__xludf.DUMMYFUNCTION("""COMPUTED_VALUE"""),"Marlowe Powers")</f>
        <v>Marlowe Powers</v>
      </c>
      <c r="B2869" s="1" t="str">
        <f>IFERROR(__xludf.DUMMYFUNCTION("""COMPUTED_VALUE"""),"L1")</f>
        <v>L1</v>
      </c>
    </row>
    <row r="2870" ht="15.75" customHeight="1">
      <c r="A2870" s="1" t="str">
        <f>IFERROR(__xludf.DUMMYFUNCTION("""COMPUTED_VALUE"""),"Henry Powers")</f>
        <v>Henry Powers</v>
      </c>
      <c r="B2870" s="1" t="str">
        <f>IFERROR(__xludf.DUMMYFUNCTION("""COMPUTED_VALUE"""),"LL")</f>
        <v>LL</v>
      </c>
    </row>
    <row r="2871" ht="15.75" customHeight="1">
      <c r="A2871" s="1" t="str">
        <f>IFERROR(__xludf.DUMMYFUNCTION("""COMPUTED_VALUE"""),"Georgia Pincus")</f>
        <v>Georgia Pincus</v>
      </c>
      <c r="B2871" s="1" t="str">
        <f>IFERROR(__xludf.DUMMYFUNCTION("""COMPUTED_VALUE"""),"HS")</f>
        <v>HS</v>
      </c>
    </row>
    <row r="2872" ht="15.75" customHeight="1">
      <c r="A2872" s="1" t="str">
        <f>IFERROR(__xludf.DUMMYFUNCTION("""COMPUTED_VALUE"""),"Josie Hodson")</f>
        <v>Josie Hodson</v>
      </c>
      <c r="B2872" s="1" t="str">
        <f>IFERROR(__xludf.DUMMYFUNCTION("""COMPUTED_VALUE"""),"MS")</f>
        <v>MS</v>
      </c>
    </row>
    <row r="2873" ht="15.75" customHeight="1">
      <c r="A2873" s="1" t="str">
        <f>IFERROR(__xludf.DUMMYFUNCTION("""COMPUTED_VALUE"""),"Stuti Patel")</f>
        <v>Stuti Patel</v>
      </c>
      <c r="B2873" s="1" t="str">
        <f>IFERROR(__xludf.DUMMYFUNCTION("""COMPUTED_VALUE"""),"MS")</f>
        <v>MS</v>
      </c>
    </row>
    <row r="2874" ht="15.75" customHeight="1">
      <c r="A2874" s="1" t="str">
        <f>IFERROR(__xludf.DUMMYFUNCTION("""COMPUTED_VALUE"""),"Mia Rapp")</f>
        <v>Mia Rapp</v>
      </c>
      <c r="B2874" s="1" t="str">
        <f>IFERROR(__xludf.DUMMYFUNCTION("""COMPUTED_VALUE"""),"WL")</f>
        <v>WL</v>
      </c>
    </row>
    <row r="2875" ht="15.75" customHeight="1">
      <c r="A2875" s="1" t="str">
        <f>IFERROR(__xludf.DUMMYFUNCTION("""COMPUTED_VALUE"""),"Luke Osborn")</f>
        <v>Luke Osborn</v>
      </c>
      <c r="B2875" s="1" t="str">
        <f>IFERROR(__xludf.DUMMYFUNCTION("""COMPUTED_VALUE"""),"L1")</f>
        <v>L1</v>
      </c>
    </row>
    <row r="2876" ht="15.75" customHeight="1">
      <c r="A2876" s="1" t="str">
        <f>IFERROR(__xludf.DUMMYFUNCTION("""COMPUTED_VALUE"""),"Ipso _test_")</f>
        <v>Ipso _test_</v>
      </c>
      <c r="B2876" s="1" t="str">
        <f>IFERROR(__xludf.DUMMYFUNCTION("""COMPUTED_VALUE"""),"LL")</f>
        <v>LL</v>
      </c>
    </row>
    <row r="2877" ht="15.75" customHeight="1">
      <c r="A2877" s="1" t="str">
        <f>IFERROR(__xludf.DUMMYFUNCTION("""COMPUTED_VALUE"""),"Artemis Schiettecatte")</f>
        <v>Artemis Schiettecatte</v>
      </c>
      <c r="B2877" s="1" t="str">
        <f>IFERROR(__xludf.DUMMYFUNCTION("""COMPUTED_VALUE"""),"HS")</f>
        <v>HS</v>
      </c>
    </row>
    <row r="2878" ht="15.75" customHeight="1">
      <c r="A2878" s="1" t="str">
        <f>IFERROR(__xludf.DUMMYFUNCTION("""COMPUTED_VALUE"""),"Sloan Vaughen")</f>
        <v>Sloan Vaughen</v>
      </c>
      <c r="B2878" s="1" t="str">
        <f>IFERROR(__xludf.DUMMYFUNCTION("""COMPUTED_VALUE"""),"HS")</f>
        <v>HS</v>
      </c>
    </row>
    <row r="2879" ht="15.75" customHeight="1">
      <c r="A2879" s="1" t="str">
        <f>IFERROR(__xludf.DUMMYFUNCTION("""COMPUTED_VALUE"""),"Jaden Havermann")</f>
        <v>Jaden Havermann</v>
      </c>
      <c r="B2879" s="1" t="str">
        <f>IFERROR(__xludf.DUMMYFUNCTION("""COMPUTED_VALUE"""),"HS")</f>
        <v>HS</v>
      </c>
    </row>
    <row r="2880" ht="15.75" customHeight="1">
      <c r="A2880" s="1" t="str">
        <f>IFERROR(__xludf.DUMMYFUNCTION("""COMPUTED_VALUE"""),"Julian Haddad")</f>
        <v>Julian Haddad</v>
      </c>
      <c r="B2880" s="1" t="str">
        <f>IFERROR(__xludf.DUMMYFUNCTION("""COMPUTED_VALUE"""),"L1")</f>
        <v>L1</v>
      </c>
    </row>
    <row r="2881" ht="15.75" customHeight="1">
      <c r="A2881" s="1" t="str">
        <f>IFERROR(__xludf.DUMMYFUNCTION("""COMPUTED_VALUE"""),"Sabrina Haddad")</f>
        <v>Sabrina Haddad</v>
      </c>
      <c r="B2881" s="1" t="str">
        <f>IFERROR(__xludf.DUMMYFUNCTION("""COMPUTED_VALUE"""),"LL")</f>
        <v>LL</v>
      </c>
    </row>
    <row r="2882" ht="15.75" customHeight="1">
      <c r="A2882" s="1" t="str">
        <f>IFERROR(__xludf.DUMMYFUNCTION("""COMPUTED_VALUE"""),"Alia Itkin")</f>
        <v>Alia Itkin</v>
      </c>
      <c r="B2882" s="1" t="str">
        <f>IFERROR(__xludf.DUMMYFUNCTION("""COMPUTED_VALUE"""),"L2")</f>
        <v>L2</v>
      </c>
    </row>
    <row r="2883" ht="15.75" customHeight="1">
      <c r="A2883" s="1" t="str">
        <f>IFERROR(__xludf.DUMMYFUNCTION("""COMPUTED_VALUE"""),"Dimitri Camino")</f>
        <v>Dimitri Camino</v>
      </c>
      <c r="B2883" s="1" t="str">
        <f>IFERROR(__xludf.DUMMYFUNCTION("""COMPUTED_VALUE"""),"MS")</f>
        <v>MS</v>
      </c>
    </row>
    <row r="2884" ht="15.75" customHeight="1">
      <c r="A2884" s="1" t="str">
        <f>IFERROR(__xludf.DUMMYFUNCTION("""COMPUTED_VALUE"""),"Allegra Schiettecatte")</f>
        <v>Allegra Schiettecatte</v>
      </c>
      <c r="B2884" s="1" t="str">
        <f>IFERROR(__xludf.DUMMYFUNCTION("""COMPUTED_VALUE"""),"MS")</f>
        <v>MS</v>
      </c>
    </row>
    <row r="2885" ht="15.75" customHeight="1">
      <c r="A2885" s="1" t="str">
        <f>IFERROR(__xludf.DUMMYFUNCTION("""COMPUTED_VALUE"""),"Sylvie Crane")</f>
        <v>Sylvie Crane</v>
      </c>
      <c r="B2885" s="1" t="str">
        <f>IFERROR(__xludf.DUMMYFUNCTION("""COMPUTED_VALUE"""),"L1")</f>
        <v>L1</v>
      </c>
    </row>
    <row r="2886" ht="15.75" customHeight="1">
      <c r="A2886" s="1" t="str">
        <f>IFERROR(__xludf.DUMMYFUNCTION("""COMPUTED_VALUE"""),"Sebastian Leyack")</f>
        <v>Sebastian Leyack</v>
      </c>
      <c r="B2886" s="1" t="str">
        <f>IFERROR(__xludf.DUMMYFUNCTION("""COMPUTED_VALUE"""),"MS")</f>
        <v>MS</v>
      </c>
    </row>
    <row r="2887" ht="15.75" customHeight="1">
      <c r="A2887" s="1" t="str">
        <f>IFERROR(__xludf.DUMMYFUNCTION("""COMPUTED_VALUE"""),"Cammie Weber")</f>
        <v>Cammie Weber</v>
      </c>
      <c r="B2887" s="1" t="str">
        <f>IFERROR(__xludf.DUMMYFUNCTION("""COMPUTED_VALUE"""),"MS")</f>
        <v>MS</v>
      </c>
    </row>
    <row r="2888" ht="15.75" customHeight="1">
      <c r="A2888" s="1" t="str">
        <f>IFERROR(__xludf.DUMMYFUNCTION("""COMPUTED_VALUE"""),"Chase Weber")</f>
        <v>Chase Weber</v>
      </c>
      <c r="B2888" s="1" t="str">
        <f>IFERROR(__xludf.DUMMYFUNCTION("""COMPUTED_VALUE"""),"L2")</f>
        <v>L2</v>
      </c>
    </row>
    <row r="2889" ht="15.75" customHeight="1">
      <c r="A2889" s="1" t="str">
        <f>IFERROR(__xludf.DUMMYFUNCTION("""COMPUTED_VALUE"""),"Chase Baker")</f>
        <v>Chase Baker</v>
      </c>
      <c r="B2889" s="1" t="str">
        <f>IFERROR(__xludf.DUMMYFUNCTION("""COMPUTED_VALUE"""),"HS")</f>
        <v>HS</v>
      </c>
    </row>
    <row r="2890" ht="15.75" customHeight="1">
      <c r="A2890" s="1" t="str">
        <f>IFERROR(__xludf.DUMMYFUNCTION("""COMPUTED_VALUE"""),"Atticus Dai")</f>
        <v>Atticus Dai</v>
      </c>
      <c r="B2890" s="1" t="str">
        <f>IFERROR(__xludf.DUMMYFUNCTION("""COMPUTED_VALUE"""),"MS")</f>
        <v>MS</v>
      </c>
    </row>
    <row r="2891" ht="15.75" customHeight="1">
      <c r="A2891" s="1" t="str">
        <f>IFERROR(__xludf.DUMMYFUNCTION("""COMPUTED_VALUE"""),"Jones Crane")</f>
        <v>Jones Crane</v>
      </c>
      <c r="B2891" s="1" t="str">
        <f>IFERROR(__xludf.DUMMYFUNCTION("""COMPUTED_VALUE"""),"MS")</f>
        <v>MS</v>
      </c>
    </row>
    <row r="2892" ht="15.75" customHeight="1">
      <c r="A2892" s="1" t="str">
        <f>IFERROR(__xludf.DUMMYFUNCTION("""COMPUTED_VALUE"""),"Aira Anirudha")</f>
        <v>Aira Anirudha</v>
      </c>
      <c r="B2892" s="1" t="str">
        <f>IFERROR(__xludf.DUMMYFUNCTION("""COMPUTED_VALUE"""),"L1")</f>
        <v>L1</v>
      </c>
    </row>
    <row r="2893" ht="15.75" customHeight="1">
      <c r="A2893" s="1" t="str">
        <f>IFERROR(__xludf.DUMMYFUNCTION("""COMPUTED_VALUE"""),"Navy Clendening")</f>
        <v>Navy Clendening</v>
      </c>
      <c r="B2893" s="1" t="str">
        <f>IFERROR(__xludf.DUMMYFUNCTION("""COMPUTED_VALUE"""),"LL")</f>
        <v>LL</v>
      </c>
    </row>
    <row r="2894" ht="15.75" customHeight="1">
      <c r="A2894" s="1" t="str">
        <f>IFERROR(__xludf.DUMMYFUNCTION("""COMPUTED_VALUE"""),"Maeve Sibley")</f>
        <v>Maeve Sibley</v>
      </c>
      <c r="B2894" s="1" t="str">
        <f>IFERROR(__xludf.DUMMYFUNCTION("""COMPUTED_VALUE"""),"WL")</f>
        <v>WL</v>
      </c>
    </row>
    <row r="2895" ht="15.75" customHeight="1">
      <c r="A2895" s="1" t="str">
        <f>IFERROR(__xludf.DUMMYFUNCTION("""COMPUTED_VALUE"""),"Andreas Gabriel")</f>
        <v>Andreas Gabriel</v>
      </c>
      <c r="B2895" s="1" t="str">
        <f>IFERROR(__xludf.DUMMYFUNCTION("""COMPUTED_VALUE"""),"L2")</f>
        <v>L2</v>
      </c>
    </row>
    <row r="2896" ht="15.75" customHeight="1">
      <c r="A2896" s="1" t="str">
        <f>IFERROR(__xludf.DUMMYFUNCTION("""COMPUTED_VALUE"""),"Ayaan Kidambi")</f>
        <v>Ayaan Kidambi</v>
      </c>
      <c r="B2896" s="1" t="str">
        <f>IFERROR(__xludf.DUMMYFUNCTION("""COMPUTED_VALUE"""),"L1")</f>
        <v>L1</v>
      </c>
    </row>
    <row r="2897" ht="15.75" customHeight="1">
      <c r="A2897" s="1" t="str">
        <f>IFERROR(__xludf.DUMMYFUNCTION("""COMPUTED_VALUE"""),"Margo Manuel")</f>
        <v>Margo Manuel</v>
      </c>
      <c r="B2897" s="1" t="str">
        <f>IFERROR(__xludf.DUMMYFUNCTION("""COMPUTED_VALUE"""),"L1")</f>
        <v>L1</v>
      </c>
    </row>
    <row r="2898" ht="15.75" customHeight="1">
      <c r="A2898" s="1" t="str">
        <f>IFERROR(__xludf.DUMMYFUNCTION("""COMPUTED_VALUE"""),"Mia Manuel")</f>
        <v>Mia Manuel</v>
      </c>
      <c r="B2898" s="1" t="str">
        <f>IFERROR(__xludf.DUMMYFUNCTION("""COMPUTED_VALUE"""),"LL")</f>
        <v>LL</v>
      </c>
    </row>
    <row r="2899" ht="15.75" customHeight="1">
      <c r="A2899" s="1" t="str">
        <f>IFERROR(__xludf.DUMMYFUNCTION("""COMPUTED_VALUE"""),"Armaan Kajani")</f>
        <v>Armaan Kajani</v>
      </c>
      <c r="B2899" s="1" t="str">
        <f>IFERROR(__xludf.DUMMYFUNCTION("""COMPUTED_VALUE"""),"MS")</f>
        <v>MS</v>
      </c>
    </row>
    <row r="2900" ht="15.75" customHeight="1">
      <c r="A2900" s="1" t="str">
        <f>IFERROR(__xludf.DUMMYFUNCTION("""COMPUTED_VALUE"""),"Alisha Kajani")</f>
        <v>Alisha Kajani</v>
      </c>
      <c r="B2900" s="1" t="str">
        <f>IFERROR(__xludf.DUMMYFUNCTION("""COMPUTED_VALUE"""),"L1")</f>
        <v>L1</v>
      </c>
    </row>
    <row r="2901" ht="15.75" customHeight="1">
      <c r="A2901" s="1" t="str">
        <f>IFERROR(__xludf.DUMMYFUNCTION("""COMPUTED_VALUE"""),"Tomas Gonzales")</f>
        <v>Tomas Gonzales</v>
      </c>
      <c r="B2901" s="1" t="str">
        <f>IFERROR(__xludf.DUMMYFUNCTION("""COMPUTED_VALUE"""),"L1")</f>
        <v>L1</v>
      </c>
    </row>
    <row r="2902" ht="15.75" customHeight="1">
      <c r="A2902" s="1" t="str">
        <f>IFERROR(__xludf.DUMMYFUNCTION("""COMPUTED_VALUE"""),"Kian King")</f>
        <v>Kian King</v>
      </c>
      <c r="B2902" s="1" t="str">
        <f>IFERROR(__xludf.DUMMYFUNCTION("""COMPUTED_VALUE"""),"WL")</f>
        <v>WL</v>
      </c>
    </row>
    <row r="2903" ht="15.75" customHeight="1">
      <c r="A2903" s="1" t="str">
        <f>IFERROR(__xludf.DUMMYFUNCTION("""COMPUTED_VALUE"""),"Maximilian Camino")</f>
        <v>Maximilian Camino</v>
      </c>
      <c r="B2903" s="1" t="str">
        <f>IFERROR(__xludf.DUMMYFUNCTION("""COMPUTED_VALUE"""),"MS")</f>
        <v>MS</v>
      </c>
    </row>
    <row r="2904" ht="15.75" customHeight="1">
      <c r="A2904" s="1" t="str">
        <f>IFERROR(__xludf.DUMMYFUNCTION("""COMPUTED_VALUE"""),"Huck Vriesenga")</f>
        <v>Huck Vriesenga</v>
      </c>
      <c r="B2904" s="1" t="str">
        <f>IFERROR(__xludf.DUMMYFUNCTION("""COMPUTED_VALUE"""),"L1")</f>
        <v>L1</v>
      </c>
    </row>
    <row r="2905" ht="15.75" customHeight="1">
      <c r="A2905" s="1" t="str">
        <f>IFERROR(__xludf.DUMMYFUNCTION("""COMPUTED_VALUE"""),"Molly Price")</f>
        <v>Molly Price</v>
      </c>
      <c r="B2905" s="1" t="str">
        <f>IFERROR(__xludf.DUMMYFUNCTION("""COMPUTED_VALUE"""),"MS")</f>
        <v>MS</v>
      </c>
    </row>
    <row r="2906" ht="15.75" customHeight="1">
      <c r="A2906" s="1" t="str">
        <f>IFERROR(__xludf.DUMMYFUNCTION("""COMPUTED_VALUE"""),"Timeback Kindergartner")</f>
        <v>Timeback Kindergartner</v>
      </c>
      <c r="B2906" s="1" t="str">
        <f>IFERROR(__xludf.DUMMYFUNCTION("""COMPUTED_VALUE"""),"LL")</f>
        <v>LL</v>
      </c>
    </row>
    <row r="2907" ht="15.75" customHeight="1">
      <c r="A2907" s="1" t="str">
        <f>IFERROR(__xludf.DUMMYFUNCTION("""COMPUTED_VALUE"""),"Timeback Firstgrader")</f>
        <v>Timeback Firstgrader</v>
      </c>
      <c r="B2907" s="1" t="str">
        <f>IFERROR(__xludf.DUMMYFUNCTION("""COMPUTED_VALUE"""),"LL")</f>
        <v>LL</v>
      </c>
    </row>
    <row r="2908" ht="15.75" customHeight="1">
      <c r="A2908" s="1" t="str">
        <f>IFERROR(__xludf.DUMMYFUNCTION("""COMPUTED_VALUE"""),"Timeback Secondgrader")</f>
        <v>Timeback Secondgrader</v>
      </c>
      <c r="B2908" s="1" t="str">
        <f>IFERROR(__xludf.DUMMYFUNCTION("""COMPUTED_VALUE"""),"L1")</f>
        <v>L1</v>
      </c>
    </row>
    <row r="2909" ht="15.75" customHeight="1">
      <c r="A2909" s="1" t="str">
        <f>IFERROR(__xludf.DUMMYFUNCTION("""COMPUTED_VALUE"""),"Timeback Thirdgrader")</f>
        <v>Timeback Thirdgrader</v>
      </c>
      <c r="B2909" s="1" t="str">
        <f>IFERROR(__xludf.DUMMYFUNCTION("""COMPUTED_VALUE"""),"L1")</f>
        <v>L1</v>
      </c>
    </row>
    <row r="2910" ht="15.75" customHeight="1">
      <c r="A2910" s="1" t="str">
        <f>IFERROR(__xludf.DUMMYFUNCTION("""COMPUTED_VALUE"""),"Timeback Fourthgrader")</f>
        <v>Timeback Fourthgrader</v>
      </c>
      <c r="B2910" s="1" t="str">
        <f>IFERROR(__xludf.DUMMYFUNCTION("""COMPUTED_VALUE"""),"L2")</f>
        <v>L2</v>
      </c>
    </row>
    <row r="2911" ht="15.75" customHeight="1">
      <c r="A2911" s="1" t="str">
        <f>IFERROR(__xludf.DUMMYFUNCTION("""COMPUTED_VALUE"""),"Timeback Fifthgrader")</f>
        <v>Timeback Fifthgrader</v>
      </c>
      <c r="B2911" s="1" t="str">
        <f>IFERROR(__xludf.DUMMYFUNCTION("""COMPUTED_VALUE"""),"L2")</f>
        <v>L2</v>
      </c>
    </row>
    <row r="2912" ht="15.75" customHeight="1">
      <c r="A2912" s="1" t="str">
        <f>IFERROR(__xludf.DUMMYFUNCTION("""COMPUTED_VALUE"""),"Violet Jaskolski")</f>
        <v>Violet Jaskolski</v>
      </c>
      <c r="B2912" s="1" t="str">
        <f>IFERROR(__xludf.DUMMYFUNCTION("""COMPUTED_VALUE"""),"MS")</f>
        <v>MS</v>
      </c>
    </row>
    <row r="2913" ht="15.75" customHeight="1">
      <c r="A2913" s="1" t="str">
        <f>IFERROR(__xludf.DUMMYFUNCTION("""COMPUTED_VALUE"""),"GradePK Shadow6")</f>
        <v>GradePK Shadow6</v>
      </c>
      <c r="B2913" s="1" t="str">
        <f>IFERROR(__xludf.DUMMYFUNCTION("""COMPUTED_VALUE"""),"WL")</f>
        <v>WL</v>
      </c>
    </row>
    <row r="2914" ht="15.75" customHeight="1">
      <c r="A2914" s="1" t="str">
        <f>IFERROR(__xludf.DUMMYFUNCTION("""COMPUTED_VALUE"""),"GradePK Shadow7")</f>
        <v>GradePK Shadow7</v>
      </c>
      <c r="B2914" s="1" t="str">
        <f>IFERROR(__xludf.DUMMYFUNCTION("""COMPUTED_VALUE"""),"WL")</f>
        <v>WL</v>
      </c>
    </row>
    <row r="2915" ht="15.75" customHeight="1">
      <c r="A2915" s="1" t="str">
        <f>IFERROR(__xludf.DUMMYFUNCTION("""COMPUTED_VALUE"""),"GradePK Shadow8")</f>
        <v>GradePK Shadow8</v>
      </c>
      <c r="B2915" s="1" t="str">
        <f>IFERROR(__xludf.DUMMYFUNCTION("""COMPUTED_VALUE"""),"WL")</f>
        <v>WL</v>
      </c>
    </row>
    <row r="2916" ht="15.75" customHeight="1">
      <c r="A2916" s="1" t="str">
        <f>IFERROR(__xludf.DUMMYFUNCTION("""COMPUTED_VALUE"""),"GradePK Shadow9")</f>
        <v>GradePK Shadow9</v>
      </c>
      <c r="B2916" s="1" t="str">
        <f>IFERROR(__xludf.DUMMYFUNCTION("""COMPUTED_VALUE"""),"WL")</f>
        <v>WL</v>
      </c>
    </row>
    <row r="2917" ht="15.75" customHeight="1">
      <c r="A2917" s="1" t="str">
        <f>IFERROR(__xludf.DUMMYFUNCTION("""COMPUTED_VALUE"""),"GradePK Shadow10")</f>
        <v>GradePK Shadow10</v>
      </c>
      <c r="B2917" s="1" t="str">
        <f>IFERROR(__xludf.DUMMYFUNCTION("""COMPUTED_VALUE"""),"WL")</f>
        <v>WL</v>
      </c>
    </row>
    <row r="2918" ht="15.75" customHeight="1">
      <c r="A2918" s="1" t="str">
        <f>IFERROR(__xludf.DUMMYFUNCTION("""COMPUTED_VALUE"""),"GradePK Shadow11")</f>
        <v>GradePK Shadow11</v>
      </c>
      <c r="B2918" s="1" t="str">
        <f>IFERROR(__xludf.DUMMYFUNCTION("""COMPUTED_VALUE"""),"WL")</f>
        <v>WL</v>
      </c>
    </row>
    <row r="2919" ht="15.75" customHeight="1">
      <c r="A2919" s="1" t="str">
        <f>IFERROR(__xludf.DUMMYFUNCTION("""COMPUTED_VALUE"""),"GradePK Shadow12")</f>
        <v>GradePK Shadow12</v>
      </c>
      <c r="B2919" s="1" t="str">
        <f>IFERROR(__xludf.DUMMYFUNCTION("""COMPUTED_VALUE"""),"WL")</f>
        <v>WL</v>
      </c>
    </row>
    <row r="2920" ht="15.75" customHeight="1">
      <c r="A2920" s="1" t="str">
        <f>IFERROR(__xludf.DUMMYFUNCTION("""COMPUTED_VALUE"""),"GradePK Shadow13")</f>
        <v>GradePK Shadow13</v>
      </c>
      <c r="B2920" s="1" t="str">
        <f>IFERROR(__xludf.DUMMYFUNCTION("""COMPUTED_VALUE"""),"WL")</f>
        <v>WL</v>
      </c>
    </row>
    <row r="2921" ht="15.75" customHeight="1">
      <c r="A2921" s="1" t="str">
        <f>IFERROR(__xludf.DUMMYFUNCTION("""COMPUTED_VALUE"""),"GradePK Shadow14")</f>
        <v>GradePK Shadow14</v>
      </c>
      <c r="B2921" s="1" t="str">
        <f>IFERROR(__xludf.DUMMYFUNCTION("""COMPUTED_VALUE"""),"WL")</f>
        <v>WL</v>
      </c>
    </row>
    <row r="2922" ht="15.75" customHeight="1">
      <c r="A2922" s="1" t="str">
        <f>IFERROR(__xludf.DUMMYFUNCTION("""COMPUTED_VALUE"""),"GradePK Shadow15")</f>
        <v>GradePK Shadow15</v>
      </c>
      <c r="B2922" s="1" t="str">
        <f>IFERROR(__xludf.DUMMYFUNCTION("""COMPUTED_VALUE"""),"WL")</f>
        <v>WL</v>
      </c>
    </row>
    <row r="2923" ht="15.75" customHeight="1">
      <c r="A2923" s="1" t="str">
        <f>IFERROR(__xludf.DUMMYFUNCTION("""COMPUTED_VALUE"""),"Dean Woods")</f>
        <v>Dean Woods</v>
      </c>
      <c r="B2923" s="1" t="str">
        <f>IFERROR(__xludf.DUMMYFUNCTION("""COMPUTED_VALUE"""),"L2")</f>
        <v>L2</v>
      </c>
    </row>
    <row r="2924" ht="15.75" customHeight="1">
      <c r="A2924" s="1" t="str">
        <f>IFERROR(__xludf.DUMMYFUNCTION("""COMPUTED_VALUE"""),"Daphne Woods")</f>
        <v>Daphne Woods</v>
      </c>
      <c r="B2924" s="1" t="str">
        <f>IFERROR(__xludf.DUMMYFUNCTION("""COMPUTED_VALUE"""),"MS")</f>
        <v>MS</v>
      </c>
    </row>
    <row r="2925" ht="15.75" customHeight="1">
      <c r="A2925" s="1" t="str">
        <f>IFERROR(__xludf.DUMMYFUNCTION("""COMPUTED_VALUE"""),"Lea De Gunzburg")</f>
        <v>Lea De Gunzburg</v>
      </c>
      <c r="B2925" s="1" t="str">
        <f>IFERROR(__xludf.DUMMYFUNCTION("""COMPUTED_VALUE"""),"WL")</f>
        <v>WL</v>
      </c>
    </row>
    <row r="2926" ht="15.75" customHeight="1">
      <c r="A2926" s="1" t="str">
        <f>IFERROR(__xludf.DUMMYFUNCTION("""COMPUTED_VALUE"""),"Zoe Abbott")</f>
        <v>Zoe Abbott</v>
      </c>
      <c r="B2926" s="1" t="str">
        <f>IFERROR(__xludf.DUMMYFUNCTION("""COMPUTED_VALUE"""),"L2")</f>
        <v>L2</v>
      </c>
    </row>
    <row r="2927" ht="15.75" customHeight="1">
      <c r="A2927" s="1" t="str">
        <f>IFERROR(__xludf.DUMMYFUNCTION("""COMPUTED_VALUE"""),"Allie Schultz")</f>
        <v>Allie Schultz</v>
      </c>
      <c r="B2927" s="1" t="str">
        <f>IFERROR(__xludf.DUMMYFUNCTION("""COMPUTED_VALUE"""),"HS")</f>
        <v>HS</v>
      </c>
    </row>
    <row r="2928" ht="15.75" customHeight="1">
      <c r="A2928" s="1" t="str">
        <f>IFERROR(__xludf.DUMMYFUNCTION("""COMPUTED_VALUE"""),"edith Schurtz")</f>
        <v>edith Schurtz</v>
      </c>
      <c r="B2928" s="1" t="str">
        <f>IFERROR(__xludf.DUMMYFUNCTION("""COMPUTED_VALUE"""),"L1")</f>
        <v>L1</v>
      </c>
    </row>
    <row r="2929" ht="15.75" customHeight="1">
      <c r="A2929" s="1" t="str">
        <f>IFERROR(__xludf.DUMMYFUNCTION("""COMPUTED_VALUE"""),"William Schurtz")</f>
        <v>William Schurtz</v>
      </c>
      <c r="B2929" s="1" t="str">
        <f>IFERROR(__xludf.DUMMYFUNCTION("""COMPUTED_VALUE"""),"WL")</f>
        <v>WL</v>
      </c>
    </row>
    <row r="2930" ht="15.75" customHeight="1">
      <c r="A2930" s="1" t="str">
        <f>IFERROR(__xludf.DUMMYFUNCTION("""COMPUTED_VALUE"""),"Mahdi Shawky")</f>
        <v>Mahdi Shawky</v>
      </c>
      <c r="B2930" s="1" t="str">
        <f>IFERROR(__xludf.DUMMYFUNCTION("""COMPUTED_VALUE"""),"L1")</f>
        <v>L1</v>
      </c>
    </row>
    <row r="2931" ht="15.75" customHeight="1">
      <c r="A2931" s="1" t="str">
        <f>IFERROR(__xludf.DUMMYFUNCTION("""COMPUTED_VALUE"""),"Sonia Nagarajan")</f>
        <v>Sonia Nagarajan</v>
      </c>
      <c r="B2931" s="1" t="str">
        <f>IFERROR(__xludf.DUMMYFUNCTION("""COMPUTED_VALUE"""),"L1")</f>
        <v>L1</v>
      </c>
    </row>
    <row r="2932" ht="15.75" customHeight="1">
      <c r="A2932" s="1" t="str">
        <f>IFERROR(__xludf.DUMMYFUNCTION("""COMPUTED_VALUE"""),"Malaya Dipaola")</f>
        <v>Malaya Dipaola</v>
      </c>
      <c r="B2932" s="1" t="str">
        <f>IFERROR(__xludf.DUMMYFUNCTION("""COMPUTED_VALUE"""),"WL")</f>
        <v>WL</v>
      </c>
    </row>
    <row r="2933" ht="15.75" customHeight="1">
      <c r="A2933" s="1" t="str">
        <f>IFERROR(__xludf.DUMMYFUNCTION("""COMPUTED_VALUE"""),"Jackson Lai")</f>
        <v>Jackson Lai</v>
      </c>
      <c r="B2933" s="1" t="str">
        <f>IFERROR(__xludf.DUMMYFUNCTION("""COMPUTED_VALUE"""),"WL")</f>
        <v>WL</v>
      </c>
    </row>
    <row r="2934" ht="15.75" customHeight="1">
      <c r="A2934" s="1" t="str">
        <f>IFERROR(__xludf.DUMMYFUNCTION("""COMPUTED_VALUE"""),"Farah Shawky")</f>
        <v>Farah Shawky</v>
      </c>
      <c r="B2934" s="1" t="str">
        <f>IFERROR(__xludf.DUMMYFUNCTION("""COMPUTED_VALUE"""),"L2")</f>
        <v>L2</v>
      </c>
    </row>
    <row r="2935" ht="15.75" customHeight="1">
      <c r="A2935" s="1" t="str">
        <f>IFERROR(__xludf.DUMMYFUNCTION("""COMPUTED_VALUE"""),"Isla Flanzraich")</f>
        <v>Isla Flanzraich</v>
      </c>
      <c r="B2935" s="1" t="str">
        <f>IFERROR(__xludf.DUMMYFUNCTION("""COMPUTED_VALUE"""),"WL")</f>
        <v>WL</v>
      </c>
    </row>
    <row r="2936" ht="15.75" customHeight="1">
      <c r="A2936" s="1" t="str">
        <f>IFERROR(__xludf.DUMMYFUNCTION("""COMPUTED_VALUE"""),"Otis Kalick")</f>
        <v>Otis Kalick</v>
      </c>
      <c r="B2936" s="1" t="str">
        <f>IFERROR(__xludf.DUMMYFUNCTION("""COMPUTED_VALUE"""),"WL")</f>
        <v>WL</v>
      </c>
    </row>
    <row r="2937" ht="15.75" customHeight="1">
      <c r="A2937" s="1" t="str">
        <f>IFERROR(__xludf.DUMMYFUNCTION("""COMPUTED_VALUE"""),"Test 4 _test_")</f>
        <v>Test 4 _test_</v>
      </c>
      <c r="B2937" s="1" t="str">
        <f>IFERROR(__xludf.DUMMYFUNCTION("""COMPUTED_VALUE"""),"LL")</f>
        <v>LL</v>
      </c>
    </row>
    <row r="2938" ht="15.75" customHeight="1">
      <c r="A2938" s="1" t="str">
        <f>IFERROR(__xludf.DUMMYFUNCTION("""COMPUTED_VALUE"""),"Khalil Shawky")</f>
        <v>Khalil Shawky</v>
      </c>
      <c r="B2938" s="1" t="str">
        <f>IFERROR(__xludf.DUMMYFUNCTION("""COMPUTED_VALUE"""),"MS")</f>
        <v>MS</v>
      </c>
    </row>
    <row r="2939" ht="15.75" customHeight="1">
      <c r="A2939" s="1" t="str">
        <f>IFERROR(__xludf.DUMMYFUNCTION("""COMPUTED_VALUE"""),"Ella Richardson")</f>
        <v>Ella Richardson</v>
      </c>
      <c r="B2939" s="1" t="str">
        <f>IFERROR(__xludf.DUMMYFUNCTION("""COMPUTED_VALUE"""),"WL")</f>
        <v>WL</v>
      </c>
    </row>
    <row r="2940" ht="15.75" customHeight="1">
      <c r="A2940" s="1" t="str">
        <f>IFERROR(__xludf.DUMMYFUNCTION("""COMPUTED_VALUE"""),"Emma Ninoles")</f>
        <v>Emma Ninoles</v>
      </c>
      <c r="B2940" s="1" t="str">
        <f>IFERROR(__xludf.DUMMYFUNCTION("""COMPUTED_VALUE"""),"WL")</f>
        <v>WL</v>
      </c>
    </row>
    <row r="2941" ht="15.75" customHeight="1">
      <c r="A2941" s="1" t="str">
        <f>IFERROR(__xludf.DUMMYFUNCTION("""COMPUTED_VALUE"""),"Garret Pullom")</f>
        <v>Garret Pullom</v>
      </c>
      <c r="B2941" s="1" t="str">
        <f>IFERROR(__xludf.DUMMYFUNCTION("""COMPUTED_VALUE"""),"L2")</f>
        <v>L2</v>
      </c>
    </row>
    <row r="2942" ht="15.75" customHeight="1">
      <c r="A2942" s="1" t="str">
        <f>IFERROR(__xludf.DUMMYFUNCTION("""COMPUTED_VALUE"""),"Cruz Keller")</f>
        <v>Cruz Keller</v>
      </c>
      <c r="B2942" s="1" t="str">
        <f>IFERROR(__xludf.DUMMYFUNCTION("""COMPUTED_VALUE"""),"MS")</f>
        <v>MS</v>
      </c>
    </row>
    <row r="2943" ht="15.75" customHeight="1">
      <c r="A2943" s="1" t="str">
        <f>IFERROR(__xludf.DUMMYFUNCTION("""COMPUTED_VALUE"""),"Evelyn Luck")</f>
        <v>Evelyn Luck</v>
      </c>
      <c r="B2943" s="1" t="str">
        <f>IFERROR(__xludf.DUMMYFUNCTION("""COMPUTED_VALUE"""),"L2")</f>
        <v>L2</v>
      </c>
    </row>
    <row r="2944" ht="15.75" customHeight="1">
      <c r="A2944" s="1" t="str">
        <f>IFERROR(__xludf.DUMMYFUNCTION("""COMPUTED_VALUE"""),"Ananya Kakarlapudi")</f>
        <v>Ananya Kakarlapudi</v>
      </c>
      <c r="B2944" s="1" t="str">
        <f>IFERROR(__xludf.DUMMYFUNCTION("""COMPUTED_VALUE"""),"HS")</f>
        <v>HS</v>
      </c>
    </row>
    <row r="2945" ht="15.75" customHeight="1">
      <c r="A2945" s="1" t="str">
        <f>IFERROR(__xludf.DUMMYFUNCTION("""COMPUTED_VALUE"""),"Leonardo Nava Garduno")</f>
        <v>Leonardo Nava Garduno</v>
      </c>
      <c r="B2945" s="1" t="str">
        <f>IFERROR(__xludf.DUMMYFUNCTION("""COMPUTED_VALUE"""),"LL")</f>
        <v>LL</v>
      </c>
    </row>
    <row r="2946" ht="15.75" customHeight="1">
      <c r="A2946" s="1" t="str">
        <f>IFERROR(__xludf.DUMMYFUNCTION("""COMPUTED_VALUE"""),"Jessica Owenby")</f>
        <v>Jessica Owenby</v>
      </c>
      <c r="B2946" s="1" t="str">
        <f>IFERROR(__xludf.DUMMYFUNCTION("""COMPUTED_VALUE"""),"HS")</f>
        <v>HS</v>
      </c>
    </row>
    <row r="2947" ht="15.75" customHeight="1">
      <c r="A2947" s="1" t="str">
        <f>IFERROR(__xludf.DUMMYFUNCTION("""COMPUTED_VALUE"""),"Arjun Kakarlapudi")</f>
        <v>Arjun Kakarlapudi</v>
      </c>
      <c r="B2947" s="1" t="str">
        <f>IFERROR(__xludf.DUMMYFUNCTION("""COMPUTED_VALUE"""),"MS")</f>
        <v>MS</v>
      </c>
    </row>
    <row r="2948" ht="15.75" customHeight="1">
      <c r="A2948" s="1" t="str">
        <f>IFERROR(__xludf.DUMMYFUNCTION("""COMPUTED_VALUE"""),"Gio Brown")</f>
        <v>Gio Brown</v>
      </c>
      <c r="B2948" s="1" t="str">
        <f>IFERROR(__xludf.DUMMYFUNCTION("""COMPUTED_VALUE"""),"WL")</f>
        <v>WL</v>
      </c>
    </row>
    <row r="2949" ht="15.75" customHeight="1">
      <c r="A2949" s="1" t="str">
        <f>IFERROR(__xludf.DUMMYFUNCTION("""COMPUTED_VALUE"""),"Inigo Sopwith")</f>
        <v>Inigo Sopwith</v>
      </c>
      <c r="B2949" s="1" t="str">
        <f>IFERROR(__xludf.DUMMYFUNCTION("""COMPUTED_VALUE"""),"MS")</f>
        <v>MS</v>
      </c>
    </row>
    <row r="2950" ht="15.75" customHeight="1">
      <c r="A2950" s="1" t="str">
        <f>IFERROR(__xludf.DUMMYFUNCTION("""COMPUTED_VALUE"""),"Etai Zweibach")</f>
        <v>Etai Zweibach</v>
      </c>
      <c r="B2950" s="1" t="str">
        <f>IFERROR(__xludf.DUMMYFUNCTION("""COMPUTED_VALUE"""),"L1")</f>
        <v>L1</v>
      </c>
    </row>
    <row r="2951" ht="15.75" customHeight="1">
      <c r="A2951" s="1" t="str">
        <f>IFERROR(__xludf.DUMMYFUNCTION("""COMPUTED_VALUE"""),"Vansh Jain")</f>
        <v>Vansh Jain</v>
      </c>
      <c r="B2951" s="1" t="str">
        <f>IFERROR(__xludf.DUMMYFUNCTION("""COMPUTED_VALUE"""),"L2")</f>
        <v>L2</v>
      </c>
    </row>
    <row r="2952" ht="15.75" customHeight="1">
      <c r="A2952" s="1" t="str">
        <f>IFERROR(__xludf.DUMMYFUNCTION("""COMPUTED_VALUE"""),"Conrad Finkel")</f>
        <v>Conrad Finkel</v>
      </c>
      <c r="B2952" s="1" t="str">
        <f>IFERROR(__xludf.DUMMYFUNCTION("""COMPUTED_VALUE"""),"MS")</f>
        <v>MS</v>
      </c>
    </row>
    <row r="2953" ht="15.75" customHeight="1">
      <c r="A2953" s="1" t="str">
        <f>IFERROR(__xludf.DUMMYFUNCTION("""COMPUTED_VALUE"""),"Leonardo Alben")</f>
        <v>Leonardo Alben</v>
      </c>
      <c r="B2953" s="1" t="str">
        <f>IFERROR(__xludf.DUMMYFUNCTION("""COMPUTED_VALUE"""),"WL")</f>
        <v>WL</v>
      </c>
    </row>
    <row r="2954" ht="15.75" customHeight="1">
      <c r="A2954" s="1" t="str">
        <f>IFERROR(__xludf.DUMMYFUNCTION("""COMPUTED_VALUE"""),"Ezra Robertson")</f>
        <v>Ezra Robertson</v>
      </c>
      <c r="B2954" s="1" t="str">
        <f>IFERROR(__xludf.DUMMYFUNCTION("""COMPUTED_VALUE"""),"WL")</f>
        <v>WL</v>
      </c>
    </row>
    <row r="2955" ht="15.75" customHeight="1">
      <c r="A2955" s="1" t="str">
        <f>IFERROR(__xludf.DUMMYFUNCTION("""COMPUTED_VALUE"""),"Ron Zweibach")</f>
        <v>Ron Zweibach</v>
      </c>
      <c r="B2955" s="1" t="str">
        <f>IFERROR(__xludf.DUMMYFUNCTION("""COMPUTED_VALUE"""),"HS")</f>
        <v>HS</v>
      </c>
    </row>
    <row r="2956" ht="15.75" customHeight="1">
      <c r="A2956" s="1" t="str">
        <f>IFERROR(__xludf.DUMMYFUNCTION("""COMPUTED_VALUE"""),"Skyler Young")</f>
        <v>Skyler Young</v>
      </c>
      <c r="B2956" s="1" t="str">
        <f>IFERROR(__xludf.DUMMYFUNCTION("""COMPUTED_VALUE"""),"LL")</f>
        <v>LL</v>
      </c>
    </row>
    <row r="2957" ht="15.75" customHeight="1">
      <c r="A2957" s="1" t="str">
        <f>IFERROR(__xludf.DUMMYFUNCTION("""COMPUTED_VALUE"""),"Owen Lancelot")</f>
        <v>Owen Lancelot</v>
      </c>
      <c r="B2957" s="1" t="str">
        <f>IFERROR(__xludf.DUMMYFUNCTION("""COMPUTED_VALUE"""),"L2")</f>
        <v>L2</v>
      </c>
    </row>
    <row r="2958" ht="15.75" customHeight="1">
      <c r="A2958" s="1" t="str">
        <f>IFERROR(__xludf.DUMMYFUNCTION("""COMPUTED_VALUE"""),"Olive Lancelot")</f>
        <v>Olive Lancelot</v>
      </c>
      <c r="B2958" s="1" t="str">
        <f>IFERROR(__xludf.DUMMYFUNCTION("""COMPUTED_VALUE"""),"L1")</f>
        <v>L1</v>
      </c>
    </row>
    <row r="2959" ht="15.75" customHeight="1">
      <c r="A2959" s="1" t="str">
        <f>IFERROR(__xludf.DUMMYFUNCTION("""COMPUTED_VALUE"""),"Oggie Lancelot")</f>
        <v>Oggie Lancelot</v>
      </c>
      <c r="B2959" s="1" t="str">
        <f>IFERROR(__xludf.DUMMYFUNCTION("""COMPUTED_VALUE"""),"LL")</f>
        <v>LL</v>
      </c>
    </row>
    <row r="2960" ht="15.75" customHeight="1">
      <c r="A2960" s="1" t="str">
        <f>IFERROR(__xludf.DUMMYFUNCTION("""COMPUTED_VALUE"""),"GradePK TTS1")</f>
        <v>GradePK TTS1</v>
      </c>
      <c r="B2960" s="1" t="str">
        <f>IFERROR(__xludf.DUMMYFUNCTION("""COMPUTED_VALUE"""),"WL")</f>
        <v>WL</v>
      </c>
    </row>
    <row r="2961" ht="15.75" customHeight="1">
      <c r="A2961" s="1" t="str">
        <f>IFERROR(__xludf.DUMMYFUNCTION("""COMPUTED_VALUE"""),"GradePK TTS2")</f>
        <v>GradePK TTS2</v>
      </c>
      <c r="B2961" s="1" t="str">
        <f>IFERROR(__xludf.DUMMYFUNCTION("""COMPUTED_VALUE"""),"WL")</f>
        <v>WL</v>
      </c>
    </row>
    <row r="2962" ht="15.75" customHeight="1">
      <c r="A2962" s="1" t="str">
        <f>IFERROR(__xludf.DUMMYFUNCTION("""COMPUTED_VALUE"""),"GradeK TTS1")</f>
        <v>GradeK TTS1</v>
      </c>
      <c r="B2962" s="1" t="str">
        <f>IFERROR(__xludf.DUMMYFUNCTION("""COMPUTED_VALUE"""),"LL")</f>
        <v>LL</v>
      </c>
    </row>
    <row r="2963" ht="15.75" customHeight="1">
      <c r="A2963" s="1" t="str">
        <f>IFERROR(__xludf.DUMMYFUNCTION("""COMPUTED_VALUE"""),"GradeK TTS2")</f>
        <v>GradeK TTS2</v>
      </c>
      <c r="B2963" s="1" t="str">
        <f>IFERROR(__xludf.DUMMYFUNCTION("""COMPUTED_VALUE"""),"LL")</f>
        <v>LL</v>
      </c>
    </row>
    <row r="2964" ht="15.75" customHeight="1">
      <c r="A2964" s="1" t="str">
        <f>IFERROR(__xludf.DUMMYFUNCTION("""COMPUTED_VALUE"""),"Grade1 TTS1")</f>
        <v>Grade1 TTS1</v>
      </c>
      <c r="B2964" s="1" t="str">
        <f>IFERROR(__xludf.DUMMYFUNCTION("""COMPUTED_VALUE"""),"LL")</f>
        <v>LL</v>
      </c>
    </row>
    <row r="2965" ht="15.75" customHeight="1">
      <c r="A2965" s="1" t="str">
        <f>IFERROR(__xludf.DUMMYFUNCTION("""COMPUTED_VALUE"""),"Grade1 TTS2")</f>
        <v>Grade1 TTS2</v>
      </c>
      <c r="B2965" s="1" t="str">
        <f>IFERROR(__xludf.DUMMYFUNCTION("""COMPUTED_VALUE"""),"LL")</f>
        <v>LL</v>
      </c>
    </row>
    <row r="2966" ht="15.75" customHeight="1">
      <c r="A2966" s="1" t="str">
        <f>IFERROR(__xludf.DUMMYFUNCTION("""COMPUTED_VALUE"""),"Grade2 TTS1")</f>
        <v>Grade2 TTS1</v>
      </c>
      <c r="B2966" s="1" t="str">
        <f>IFERROR(__xludf.DUMMYFUNCTION("""COMPUTED_VALUE"""),"L1")</f>
        <v>L1</v>
      </c>
    </row>
    <row r="2967" ht="15.75" customHeight="1">
      <c r="A2967" s="1" t="str">
        <f>IFERROR(__xludf.DUMMYFUNCTION("""COMPUTED_VALUE"""),"Grade2 TTS2")</f>
        <v>Grade2 TTS2</v>
      </c>
      <c r="B2967" s="1" t="str">
        <f>IFERROR(__xludf.DUMMYFUNCTION("""COMPUTED_VALUE"""),"L1")</f>
        <v>L1</v>
      </c>
    </row>
    <row r="2968" ht="15.75" customHeight="1">
      <c r="A2968" s="1" t="str">
        <f>IFERROR(__xludf.DUMMYFUNCTION("""COMPUTED_VALUE"""),"Grade3 TTS1")</f>
        <v>Grade3 TTS1</v>
      </c>
      <c r="B2968" s="1" t="str">
        <f>IFERROR(__xludf.DUMMYFUNCTION("""COMPUTED_VALUE"""),"L1")</f>
        <v>L1</v>
      </c>
    </row>
    <row r="2969" ht="15.75" customHeight="1">
      <c r="A2969" s="1" t="str">
        <f>IFERROR(__xludf.DUMMYFUNCTION("""COMPUTED_VALUE"""),"Grade3 TTS2")</f>
        <v>Grade3 TTS2</v>
      </c>
      <c r="B2969" s="1" t="str">
        <f>IFERROR(__xludf.DUMMYFUNCTION("""COMPUTED_VALUE"""),"L1")</f>
        <v>L1</v>
      </c>
    </row>
    <row r="2970" ht="15.75" customHeight="1">
      <c r="A2970" s="1" t="str">
        <f>IFERROR(__xludf.DUMMYFUNCTION("""COMPUTED_VALUE"""),"Grade4 TTS1")</f>
        <v>Grade4 TTS1</v>
      </c>
      <c r="B2970" s="1" t="str">
        <f>IFERROR(__xludf.DUMMYFUNCTION("""COMPUTED_VALUE"""),"L2")</f>
        <v>L2</v>
      </c>
    </row>
    <row r="2971" ht="15.75" customHeight="1">
      <c r="A2971" s="1" t="str">
        <f>IFERROR(__xludf.DUMMYFUNCTION("""COMPUTED_VALUE"""),"Grade4 TTS2")</f>
        <v>Grade4 TTS2</v>
      </c>
      <c r="B2971" s="1" t="str">
        <f>IFERROR(__xludf.DUMMYFUNCTION("""COMPUTED_VALUE"""),"L2")</f>
        <v>L2</v>
      </c>
    </row>
    <row r="2972" ht="15.75" customHeight="1">
      <c r="A2972" s="1" t="str">
        <f>IFERROR(__xludf.DUMMYFUNCTION("""COMPUTED_VALUE"""),"Grade5 TTS1")</f>
        <v>Grade5 TTS1</v>
      </c>
      <c r="B2972" s="1" t="str">
        <f>IFERROR(__xludf.DUMMYFUNCTION("""COMPUTED_VALUE"""),"L2")</f>
        <v>L2</v>
      </c>
    </row>
    <row r="2973" ht="15.75" customHeight="1">
      <c r="A2973" s="1" t="str">
        <f>IFERROR(__xludf.DUMMYFUNCTION("""COMPUTED_VALUE"""),"Grade5 TTS2")</f>
        <v>Grade5 TTS2</v>
      </c>
      <c r="B2973" s="1" t="str">
        <f>IFERROR(__xludf.DUMMYFUNCTION("""COMPUTED_VALUE"""),"L2")</f>
        <v>L2</v>
      </c>
    </row>
    <row r="2974" ht="15.75" customHeight="1">
      <c r="A2974" s="1" t="str">
        <f>IFERROR(__xludf.DUMMYFUNCTION("""COMPUTED_VALUE"""),"Grade6 TTS1")</f>
        <v>Grade6 TTS1</v>
      </c>
      <c r="B2974" s="1" t="str">
        <f>IFERROR(__xludf.DUMMYFUNCTION("""COMPUTED_VALUE"""),"MS")</f>
        <v>MS</v>
      </c>
    </row>
    <row r="2975" ht="15.75" customHeight="1">
      <c r="A2975" s="1" t="str">
        <f>IFERROR(__xludf.DUMMYFUNCTION("""COMPUTED_VALUE"""),"Grade6 TTS2")</f>
        <v>Grade6 TTS2</v>
      </c>
      <c r="B2975" s="1" t="str">
        <f>IFERROR(__xludf.DUMMYFUNCTION("""COMPUTED_VALUE"""),"MS")</f>
        <v>MS</v>
      </c>
    </row>
    <row r="2976" ht="15.75" customHeight="1">
      <c r="A2976" s="1" t="str">
        <f>IFERROR(__xludf.DUMMYFUNCTION("""COMPUTED_VALUE"""),"Grade7 TTS1")</f>
        <v>Grade7 TTS1</v>
      </c>
      <c r="B2976" s="1" t="str">
        <f>IFERROR(__xludf.DUMMYFUNCTION("""COMPUTED_VALUE"""),"MS")</f>
        <v>MS</v>
      </c>
    </row>
    <row r="2977" ht="15.75" customHeight="1">
      <c r="A2977" s="1" t="str">
        <f>IFERROR(__xludf.DUMMYFUNCTION("""COMPUTED_VALUE"""),"Grade7 TTS2")</f>
        <v>Grade7 TTS2</v>
      </c>
      <c r="B2977" s="1" t="str">
        <f>IFERROR(__xludf.DUMMYFUNCTION("""COMPUTED_VALUE"""),"MS")</f>
        <v>MS</v>
      </c>
    </row>
    <row r="2978" ht="15.75" customHeight="1">
      <c r="A2978" s="1" t="str">
        <f>IFERROR(__xludf.DUMMYFUNCTION("""COMPUTED_VALUE"""),"Grade8 TTS1")</f>
        <v>Grade8 TTS1</v>
      </c>
      <c r="B2978" s="1" t="str">
        <f>IFERROR(__xludf.DUMMYFUNCTION("""COMPUTED_VALUE"""),"MS")</f>
        <v>MS</v>
      </c>
    </row>
    <row r="2979" ht="15.75" customHeight="1">
      <c r="A2979" s="1" t="str">
        <f>IFERROR(__xludf.DUMMYFUNCTION("""COMPUTED_VALUE"""),"Grade8 TTS2")</f>
        <v>Grade8 TTS2</v>
      </c>
      <c r="B2979" s="1" t="str">
        <f>IFERROR(__xludf.DUMMYFUNCTION("""COMPUTED_VALUE"""),"MS")</f>
        <v>MS</v>
      </c>
    </row>
    <row r="2980" ht="15.75" customHeight="1">
      <c r="A2980" s="1" t="str">
        <f>IFERROR(__xludf.DUMMYFUNCTION("""COMPUTED_VALUE"""),"Grade9 TTS1")</f>
        <v>Grade9 TTS1</v>
      </c>
      <c r="B2980" s="1" t="str">
        <f>IFERROR(__xludf.DUMMYFUNCTION("""COMPUTED_VALUE"""),"HS")</f>
        <v>HS</v>
      </c>
    </row>
    <row r="2981" ht="15.75" customHeight="1">
      <c r="A2981" s="1" t="str">
        <f>IFERROR(__xludf.DUMMYFUNCTION("""COMPUTED_VALUE"""),"Grade9 TTS2")</f>
        <v>Grade9 TTS2</v>
      </c>
      <c r="B2981" s="1" t="str">
        <f>IFERROR(__xludf.DUMMYFUNCTION("""COMPUTED_VALUE"""),"HS")</f>
        <v>HS</v>
      </c>
    </row>
    <row r="2982" ht="15.75" customHeight="1">
      <c r="A2982" s="1" t="str">
        <f>IFERROR(__xludf.DUMMYFUNCTION("""COMPUTED_VALUE"""),"Grade10 TTS1")</f>
        <v>Grade10 TTS1</v>
      </c>
      <c r="B2982" s="1" t="str">
        <f>IFERROR(__xludf.DUMMYFUNCTION("""COMPUTED_VALUE"""),"HS")</f>
        <v>HS</v>
      </c>
    </row>
    <row r="2983" ht="15.75" customHeight="1">
      <c r="A2983" s="1" t="str">
        <f>IFERROR(__xludf.DUMMYFUNCTION("""COMPUTED_VALUE"""),"Grade10 TTS2")</f>
        <v>Grade10 TTS2</v>
      </c>
      <c r="B2983" s="1" t="str">
        <f>IFERROR(__xludf.DUMMYFUNCTION("""COMPUTED_VALUE"""),"HS")</f>
        <v>HS</v>
      </c>
    </row>
    <row r="2984" ht="15.75" customHeight="1">
      <c r="A2984" s="1" t="str">
        <f>IFERROR(__xludf.DUMMYFUNCTION("""COMPUTED_VALUE"""),"Grade11 TTS1")</f>
        <v>Grade11 TTS1</v>
      </c>
      <c r="B2984" s="1" t="str">
        <f>IFERROR(__xludf.DUMMYFUNCTION("""COMPUTED_VALUE"""),"HS")</f>
        <v>HS</v>
      </c>
    </row>
    <row r="2985" ht="15.75" customHeight="1">
      <c r="A2985" s="1" t="str">
        <f>IFERROR(__xludf.DUMMYFUNCTION("""COMPUTED_VALUE"""),"Grade11 TTS2")</f>
        <v>Grade11 TTS2</v>
      </c>
      <c r="B2985" s="1" t="str">
        <f>IFERROR(__xludf.DUMMYFUNCTION("""COMPUTED_VALUE"""),"HS")</f>
        <v>HS</v>
      </c>
    </row>
    <row r="2986" ht="15.75" customHeight="1">
      <c r="A2986" s="1" t="str">
        <f>IFERROR(__xludf.DUMMYFUNCTION("""COMPUTED_VALUE"""),"Grade12 TTS1")</f>
        <v>Grade12 TTS1</v>
      </c>
      <c r="B2986" s="1" t="str">
        <f>IFERROR(__xludf.DUMMYFUNCTION("""COMPUTED_VALUE"""),"HS")</f>
        <v>HS</v>
      </c>
    </row>
    <row r="2987" ht="15.75" customHeight="1">
      <c r="A2987" s="1" t="str">
        <f>IFERROR(__xludf.DUMMYFUNCTION("""COMPUTED_VALUE"""),"Grade12 TTS2")</f>
        <v>Grade12 TTS2</v>
      </c>
      <c r="B2987" s="1" t="str">
        <f>IFERROR(__xludf.DUMMYFUNCTION("""COMPUTED_VALUE"""),"HS")</f>
        <v>HS</v>
      </c>
    </row>
    <row r="2988" ht="15.75" customHeight="1">
      <c r="A2988" s="1" t="str">
        <f>IFERROR(__xludf.DUMMYFUNCTION("""COMPUTED_VALUE"""),"Samuel Allen")</f>
        <v>Samuel Allen</v>
      </c>
      <c r="B2988" s="1" t="str">
        <f>IFERROR(__xludf.DUMMYFUNCTION("""COMPUTED_VALUE"""),"L2")</f>
        <v>L2</v>
      </c>
    </row>
    <row r="2989" ht="15.75" customHeight="1">
      <c r="A2989" s="1" t="str">
        <f>IFERROR(__xludf.DUMMYFUNCTION("""COMPUTED_VALUE"""),"Oliver Allen")</f>
        <v>Oliver Allen</v>
      </c>
      <c r="B2989" s="1" t="str">
        <f>IFERROR(__xludf.DUMMYFUNCTION("""COMPUTED_VALUE"""),"L1")</f>
        <v>L1</v>
      </c>
    </row>
    <row r="2990" ht="15.75" customHeight="1">
      <c r="A2990" s="1" t="str">
        <f>IFERROR(__xludf.DUMMYFUNCTION("""COMPUTED_VALUE"""),"Nadya Kachalia")</f>
        <v>Nadya Kachalia</v>
      </c>
      <c r="B2990" s="1" t="str">
        <f>IFERROR(__xludf.DUMMYFUNCTION("""COMPUTED_VALUE"""),"L2")</f>
        <v>L2</v>
      </c>
    </row>
    <row r="2991" ht="15.75" customHeight="1">
      <c r="A2991" s="1" t="str">
        <f>IFERROR(__xludf.DUMMYFUNCTION("""COMPUTED_VALUE"""),"Riya Kachalia")</f>
        <v>Riya Kachalia</v>
      </c>
      <c r="B2991" s="1" t="str">
        <f>IFERROR(__xludf.DUMMYFUNCTION("""COMPUTED_VALUE"""),"L2")</f>
        <v>L2</v>
      </c>
    </row>
    <row r="2992" ht="15.75" customHeight="1">
      <c r="A2992" s="1" t="str">
        <f>IFERROR(__xludf.DUMMYFUNCTION("""COMPUTED_VALUE"""),"Mock Student 2")</f>
        <v>Mock Student 2</v>
      </c>
      <c r="B2992" s="1" t="str">
        <f>IFERROR(__xludf.DUMMYFUNCTION("""COMPUTED_VALUE"""),"HS")</f>
        <v>HS</v>
      </c>
    </row>
    <row r="2993" ht="15.75" customHeight="1">
      <c r="A2993" s="1" t="str">
        <f>IFERROR(__xludf.DUMMYFUNCTION("""COMPUTED_VALUE"""),"Mock Student 1")</f>
        <v>Mock Student 1</v>
      </c>
      <c r="B2993" s="1" t="str">
        <f>IFERROR(__xludf.DUMMYFUNCTION("""COMPUTED_VALUE"""),"HS")</f>
        <v>HS</v>
      </c>
    </row>
    <row r="2994" ht="15.75" customHeight="1">
      <c r="A2994" s="1" t="str">
        <f>IFERROR(__xludf.DUMMYFUNCTION("""COMPUTED_VALUE"""),"CoachBot Test")</f>
        <v>CoachBot Test</v>
      </c>
      <c r="B2994" s="1" t="str">
        <f>IFERROR(__xludf.DUMMYFUNCTION("""COMPUTED_VALUE"""),"L1")</f>
        <v>L1</v>
      </c>
    </row>
    <row r="2995" ht="15.75" customHeight="1">
      <c r="A2995" s="1" t="str">
        <f>IFERROR(__xludf.DUMMYFUNCTION("""COMPUTED_VALUE"""),"Aster Burns")</f>
        <v>Aster Burns</v>
      </c>
      <c r="B2995" s="1" t="str">
        <f>IFERROR(__xludf.DUMMYFUNCTION("""COMPUTED_VALUE"""),"L1")</f>
        <v>L1</v>
      </c>
    </row>
    <row r="2996" ht="15.75" customHeight="1">
      <c r="A2996" s="1" t="str">
        <f>IFERROR(__xludf.DUMMYFUNCTION("""COMPUTED_VALUE"""),"Zarielle Vela")</f>
        <v>Zarielle Vela</v>
      </c>
      <c r="B2996" s="1" t="str">
        <f>IFERROR(__xludf.DUMMYFUNCTION("""COMPUTED_VALUE"""),"L2")</f>
        <v>L2</v>
      </c>
    </row>
    <row r="2997" ht="15.75" customHeight="1">
      <c r="A2997" s="1" t="str">
        <f>IFERROR(__xludf.DUMMYFUNCTION("""COMPUTED_VALUE"""),"Sander Gabler")</f>
        <v>Sander Gabler</v>
      </c>
      <c r="B2997" s="1" t="str">
        <f>IFERROR(__xludf.DUMMYFUNCTION("""COMPUTED_VALUE"""),"MS")</f>
        <v>MS</v>
      </c>
    </row>
    <row r="2998" ht="15.75" customHeight="1">
      <c r="A2998" s="1" t="str">
        <f>IFERROR(__xludf.DUMMYFUNCTION("""COMPUTED_VALUE"""),"Amelia Gabler")</f>
        <v>Amelia Gabler</v>
      </c>
      <c r="B2998" s="1" t="str">
        <f>IFERROR(__xludf.DUMMYFUNCTION("""COMPUTED_VALUE"""),"L1")</f>
        <v>L1</v>
      </c>
    </row>
    <row r="2999" ht="15.75" customHeight="1">
      <c r="A2999" s="1" t="str">
        <f>IFERROR(__xludf.DUMMYFUNCTION("""COMPUTED_VALUE"""),"Evelyn Gabler")</f>
        <v>Evelyn Gabler</v>
      </c>
      <c r="B2999" s="1" t="str">
        <f>IFERROR(__xludf.DUMMYFUNCTION("""COMPUTED_VALUE"""),"MS")</f>
        <v>MS</v>
      </c>
    </row>
    <row r="3000" ht="15.75" customHeight="1">
      <c r="A3000" s="1" t="str">
        <f>IFERROR(__xludf.DUMMYFUNCTION("""COMPUTED_VALUE"""),"Savannah Marrero")</f>
        <v>Savannah Marrero</v>
      </c>
      <c r="B3000" s="1" t="str">
        <f>IFERROR(__xludf.DUMMYFUNCTION("""COMPUTED_VALUE"""),"MS")</f>
        <v>MS</v>
      </c>
    </row>
    <row r="3001" ht="15.75" customHeight="1">
      <c r="A3001" s="1" t="str">
        <f>IFERROR(__xludf.DUMMYFUNCTION("""COMPUTED_VALUE"""),"Lavender Marrero")</f>
        <v>Lavender Marrero</v>
      </c>
      <c r="B3001" s="1" t="str">
        <f>IFERROR(__xludf.DUMMYFUNCTION("""COMPUTED_VALUE"""),"MS")</f>
        <v>MS</v>
      </c>
    </row>
    <row r="3002" ht="15.75" customHeight="1">
      <c r="A3002" s="1" t="str">
        <f>IFERROR(__xludf.DUMMYFUNCTION("""COMPUTED_VALUE"""),"Orion Campbell")</f>
        <v>Orion Campbell</v>
      </c>
      <c r="B3002" s="1" t="str">
        <f>IFERROR(__xludf.DUMMYFUNCTION("""COMPUTED_VALUE"""),"MS")</f>
        <v>MS</v>
      </c>
    </row>
    <row r="3003" ht="15.75" customHeight="1">
      <c r="A3003" s="1" t="str">
        <f>IFERROR(__xludf.DUMMYFUNCTION("""COMPUTED_VALUE"""),"Logan Campbell")</f>
        <v>Logan Campbell</v>
      </c>
      <c r="B3003" s="1" t="str">
        <f>IFERROR(__xludf.DUMMYFUNCTION("""COMPUTED_VALUE"""),"L2")</f>
        <v>L2</v>
      </c>
    </row>
    <row r="3004" ht="15.75" customHeight="1">
      <c r="A3004" s="1" t="str">
        <f>IFERROR(__xludf.DUMMYFUNCTION("""COMPUTED_VALUE"""),"Sarah Hunter")</f>
        <v>Sarah Hunter</v>
      </c>
      <c r="B3004" s="1" t="str">
        <f>IFERROR(__xludf.DUMMYFUNCTION("""COMPUTED_VALUE"""),"L2")</f>
        <v>L2</v>
      </c>
    </row>
    <row r="3005" ht="15.75" customHeight="1">
      <c r="A3005" s="1" t="str">
        <f>IFERROR(__xludf.DUMMYFUNCTION("""COMPUTED_VALUE"""),"Abigail Hunter")</f>
        <v>Abigail Hunter</v>
      </c>
      <c r="B3005" s="1" t="str">
        <f>IFERROR(__xludf.DUMMYFUNCTION("""COMPUTED_VALUE"""),"L1")</f>
        <v>L1</v>
      </c>
    </row>
    <row r="3006" ht="15.75" customHeight="1">
      <c r="A3006" s="1" t="str">
        <f>IFERROR(__xludf.DUMMYFUNCTION("""COMPUTED_VALUE"""),"Edward Qu")</f>
        <v>Edward Qu</v>
      </c>
      <c r="B3006" s="1" t="str">
        <f>IFERROR(__xludf.DUMMYFUNCTION("""COMPUTED_VALUE"""),"LL")</f>
        <v>LL</v>
      </c>
    </row>
    <row r="3007" ht="15.75" customHeight="1">
      <c r="A3007" s="1" t="str">
        <f>IFERROR(__xludf.DUMMYFUNCTION("""COMPUTED_VALUE"""),"Elijah Hunter")</f>
        <v>Elijah Hunter</v>
      </c>
      <c r="B3007" s="1" t="str">
        <f>IFERROR(__xludf.DUMMYFUNCTION("""COMPUTED_VALUE"""),"LL")</f>
        <v>LL</v>
      </c>
    </row>
    <row r="3008" ht="15.75" customHeight="1">
      <c r="A3008" s="1" t="str">
        <f>IFERROR(__xludf.DUMMYFUNCTION("""COMPUTED_VALUE"""),"Raegan Middleton")</f>
        <v>Raegan Middleton</v>
      </c>
      <c r="B3008" s="1" t="str">
        <f>IFERROR(__xludf.DUMMYFUNCTION("""COMPUTED_VALUE"""),"MS")</f>
        <v>MS</v>
      </c>
    </row>
    <row r="3009" ht="15.75" customHeight="1">
      <c r="A3009" s="1" t="str">
        <f>IFERROR(__xludf.DUMMYFUNCTION("""COMPUTED_VALUE"""),"Emma Garcia Lerma")</f>
        <v>Emma Garcia Lerma</v>
      </c>
      <c r="B3009" s="1" t="str">
        <f>IFERROR(__xludf.DUMMYFUNCTION("""COMPUTED_VALUE"""),"WL")</f>
        <v>WL</v>
      </c>
    </row>
    <row r="3010" ht="15.75" customHeight="1">
      <c r="A3010" s="1" t="str">
        <f>IFERROR(__xludf.DUMMYFUNCTION("""COMPUTED_VALUE"""),"Emery Cox")</f>
        <v>Emery Cox</v>
      </c>
      <c r="B3010" s="1" t="str">
        <f>IFERROR(__xludf.DUMMYFUNCTION("""COMPUTED_VALUE"""),"L1")</f>
        <v>L1</v>
      </c>
    </row>
    <row r="3011" ht="15.75" customHeight="1">
      <c r="A3011" s="1" t="str">
        <f>IFERROR(__xludf.DUMMYFUNCTION("""COMPUTED_VALUE"""),"Leo Wright")</f>
        <v>Leo Wright</v>
      </c>
      <c r="B3011" s="1" t="str">
        <f>IFERROR(__xludf.DUMMYFUNCTION("""COMPUTED_VALUE"""),"L1")</f>
        <v>L1</v>
      </c>
    </row>
    <row r="3012" ht="15.75" customHeight="1">
      <c r="A3012" s="1" t="str">
        <f>IFERROR(__xludf.DUMMYFUNCTION("""COMPUTED_VALUE"""),"C.J. Wright")</f>
        <v>C.J. Wright</v>
      </c>
      <c r="B3012" s="1" t="str">
        <f>IFERROR(__xludf.DUMMYFUNCTION("""COMPUTED_VALUE"""),"L1")</f>
        <v>L1</v>
      </c>
    </row>
    <row r="3013" ht="15.75" customHeight="1">
      <c r="A3013" s="1" t="str">
        <f>IFERROR(__xludf.DUMMYFUNCTION("""COMPUTED_VALUE"""),"Victoria Leal")</f>
        <v>Victoria Leal</v>
      </c>
      <c r="B3013" s="1" t="str">
        <f>IFERROR(__xludf.DUMMYFUNCTION("""COMPUTED_VALUE"""),"LL")</f>
        <v>LL</v>
      </c>
    </row>
    <row r="3014" ht="15.75" customHeight="1">
      <c r="A3014" s="1" t="str">
        <f>IFERROR(__xludf.DUMMYFUNCTION("""COMPUTED_VALUE"""),"Lucy Peden")</f>
        <v>Lucy Peden</v>
      </c>
      <c r="B3014" s="1" t="str">
        <f>IFERROR(__xludf.DUMMYFUNCTION("""COMPUTED_VALUE"""),"LL")</f>
        <v>LL</v>
      </c>
    </row>
    <row r="3015" ht="15.75" customHeight="1">
      <c r="A3015" s="1" t="str">
        <f>IFERROR(__xludf.DUMMYFUNCTION("""COMPUTED_VALUE"""),"Zoey Peden")</f>
        <v>Zoey Peden</v>
      </c>
      <c r="B3015" s="1" t="str">
        <f>IFERROR(__xludf.DUMMYFUNCTION("""COMPUTED_VALUE"""),"L1")</f>
        <v>L1</v>
      </c>
    </row>
    <row r="3016" ht="15.75" customHeight="1">
      <c r="A3016" s="1" t="str">
        <f>IFERROR(__xludf.DUMMYFUNCTION("""COMPUTED_VALUE"""),"Ginny Gray")</f>
        <v>Ginny Gray</v>
      </c>
      <c r="B3016" s="1" t="str">
        <f>IFERROR(__xludf.DUMMYFUNCTION("""COMPUTED_VALUE"""),"L2")</f>
        <v>L2</v>
      </c>
    </row>
    <row r="3017" ht="15.75" customHeight="1">
      <c r="A3017" s="1" t="str">
        <f>IFERROR(__xludf.DUMMYFUNCTION("""COMPUTED_VALUE"""),"Gigi Gurrola")</f>
        <v>Gigi Gurrola</v>
      </c>
      <c r="B3017" s="1" t="str">
        <f>IFERROR(__xludf.DUMMYFUNCTION("""COMPUTED_VALUE"""),"LL")</f>
        <v>LL</v>
      </c>
    </row>
    <row r="3018" ht="15.75" customHeight="1">
      <c r="A3018" s="1" t="str">
        <f>IFERROR(__xludf.DUMMYFUNCTION("""COMPUTED_VALUE"""),"Ethan Bale")</f>
        <v>Ethan Bale</v>
      </c>
      <c r="B3018" s="1" t="str">
        <f>IFERROR(__xludf.DUMMYFUNCTION("""COMPUTED_VALUE"""),"L1")</f>
        <v>L1</v>
      </c>
    </row>
    <row r="3019" ht="15.75" customHeight="1">
      <c r="A3019" s="1" t="str">
        <f>IFERROR(__xludf.DUMMYFUNCTION("""COMPUTED_VALUE"""),"Luisela Almanza")</f>
        <v>Luisela Almanza</v>
      </c>
      <c r="B3019" s="1" t="str">
        <f>IFERROR(__xludf.DUMMYFUNCTION("""COMPUTED_VALUE"""),"LL")</f>
        <v>LL</v>
      </c>
    </row>
    <row r="3020" ht="15.75" customHeight="1">
      <c r="A3020" s="1" t="str">
        <f>IFERROR(__xludf.DUMMYFUNCTION("""COMPUTED_VALUE"""),"Rafaela Almanza")</f>
        <v>Rafaela Almanza</v>
      </c>
      <c r="B3020" s="1" t="str">
        <f>IFERROR(__xludf.DUMMYFUNCTION("""COMPUTED_VALUE"""),"LL")</f>
        <v>LL</v>
      </c>
    </row>
    <row r="3021" ht="15.75" customHeight="1">
      <c r="A3021" s="1" t="str">
        <f>IFERROR(__xludf.DUMMYFUNCTION("""COMPUTED_VALUE"""),"Maya Muthuswamy")</f>
        <v>Maya Muthuswamy</v>
      </c>
      <c r="B3021" s="1" t="str">
        <f>IFERROR(__xludf.DUMMYFUNCTION("""COMPUTED_VALUE"""),"LL")</f>
        <v>LL</v>
      </c>
    </row>
    <row r="3022" ht="15.75" customHeight="1">
      <c r="A3022" s="1" t="str">
        <f>IFERROR(__xludf.DUMMYFUNCTION("""COMPUTED_VALUE"""),"Seby Holzhauer")</f>
        <v>Seby Holzhauer</v>
      </c>
      <c r="B3022" s="1" t="str">
        <f>IFERROR(__xludf.DUMMYFUNCTION("""COMPUTED_VALUE"""),"LL")</f>
        <v>LL</v>
      </c>
    </row>
    <row r="3023" ht="15.75" customHeight="1">
      <c r="A3023" s="1" t="str">
        <f>IFERROR(__xludf.DUMMYFUNCTION("""COMPUTED_VALUE"""),"Lily Gray")</f>
        <v>Lily Gray</v>
      </c>
      <c r="B3023" s="1" t="str">
        <f>IFERROR(__xludf.DUMMYFUNCTION("""COMPUTED_VALUE"""),"MS")</f>
        <v>MS</v>
      </c>
    </row>
    <row r="3024" ht="15.75" customHeight="1">
      <c r="A3024" s="1" t="str">
        <f>IFERROR(__xludf.DUMMYFUNCTION("""COMPUTED_VALUE"""),"Marcus Fuentes")</f>
        <v>Marcus Fuentes</v>
      </c>
      <c r="B3024" s="1" t="str">
        <f>IFERROR(__xludf.DUMMYFUNCTION("""COMPUTED_VALUE"""),"MS")</f>
        <v>MS</v>
      </c>
    </row>
    <row r="3025" ht="15.75" customHeight="1">
      <c r="A3025" s="1" t="str">
        <f>IFERROR(__xludf.DUMMYFUNCTION("""COMPUTED_VALUE"""),"Bash Salazar")</f>
        <v>Bash Salazar</v>
      </c>
      <c r="B3025" s="1" t="str">
        <f>IFERROR(__xludf.DUMMYFUNCTION("""COMPUTED_VALUE"""),"L1")</f>
        <v>L1</v>
      </c>
    </row>
    <row r="3026" ht="15.75" customHeight="1">
      <c r="A3026" s="1" t="str">
        <f>IFERROR(__xludf.DUMMYFUNCTION("""COMPUTED_VALUE"""),"Emma Schipper")</f>
        <v>Emma Schipper</v>
      </c>
      <c r="B3026" s="1" t="str">
        <f>IFERROR(__xludf.DUMMYFUNCTION("""COMPUTED_VALUE"""),"LL")</f>
        <v>LL</v>
      </c>
    </row>
    <row r="3027" ht="15.75" customHeight="1">
      <c r="A3027" s="1" t="str">
        <f>IFERROR(__xludf.DUMMYFUNCTION("""COMPUTED_VALUE"""),"Sarah Schipper")</f>
        <v>Sarah Schipper</v>
      </c>
      <c r="B3027" s="1" t="str">
        <f>IFERROR(__xludf.DUMMYFUNCTION("""COMPUTED_VALUE"""),"L1")</f>
        <v>L1</v>
      </c>
    </row>
    <row r="3028" ht="15.75" customHeight="1">
      <c r="A3028" s="1" t="str">
        <f>IFERROR(__xludf.DUMMYFUNCTION("""COMPUTED_VALUE"""),"Vigo Levin")</f>
        <v>Vigo Levin</v>
      </c>
      <c r="B3028" s="1" t="str">
        <f>IFERROR(__xludf.DUMMYFUNCTION("""COMPUTED_VALUE"""),"LL")</f>
        <v>LL</v>
      </c>
    </row>
    <row r="3029" ht="15.75" customHeight="1">
      <c r="A3029" s="1" t="str">
        <f>IFERROR(__xludf.DUMMYFUNCTION("""COMPUTED_VALUE"""),"Ramsey Levin")</f>
        <v>Ramsey Levin</v>
      </c>
      <c r="B3029" s="1" t="str">
        <f>IFERROR(__xludf.DUMMYFUNCTION("""COMPUTED_VALUE"""),"L2")</f>
        <v>L2</v>
      </c>
    </row>
    <row r="3030" ht="15.75" customHeight="1">
      <c r="A3030" s="1" t="str">
        <f>IFERROR(__xludf.DUMMYFUNCTION("""COMPUTED_VALUE"""),"Meka Hossaini-Joudrey")</f>
        <v>Meka Hossaini-Joudrey</v>
      </c>
      <c r="B3030" s="1" t="str">
        <f>IFERROR(__xludf.DUMMYFUNCTION("""COMPUTED_VALUE"""),"LL")</f>
        <v>LL</v>
      </c>
    </row>
    <row r="3031" ht="15.75" customHeight="1">
      <c r="A3031" s="1" t="str">
        <f>IFERROR(__xludf.DUMMYFUNCTION("""COMPUTED_VALUE"""),"Central Support Test Student 2")</f>
        <v>Central Support Test Student 2</v>
      </c>
      <c r="B3031" s="1" t="str">
        <f>IFERROR(__xludf.DUMMYFUNCTION("""COMPUTED_VALUE"""),"MS")</f>
        <v>MS</v>
      </c>
    </row>
    <row r="3032" ht="15.75" customHeight="1">
      <c r="A3032" s="1" t="str">
        <f>IFERROR(__xludf.DUMMYFUNCTION("""COMPUTED_VALUE"""),"Bradley Arriaga")</f>
        <v>Bradley Arriaga</v>
      </c>
      <c r="B3032" s="1" t="str">
        <f>IFERROR(__xludf.DUMMYFUNCTION("""COMPUTED_VALUE"""),"LL")</f>
        <v>LL</v>
      </c>
    </row>
    <row r="3033" ht="15.75" customHeight="1">
      <c r="A3033" s="1" t="str">
        <f>IFERROR(__xludf.DUMMYFUNCTION("""COMPUTED_VALUE"""),"Mido Ahmed")</f>
        <v>Mido Ahmed</v>
      </c>
      <c r="B3033" s="1" t="str">
        <f>IFERROR(__xludf.DUMMYFUNCTION("""COMPUTED_VALUE"""),"WL")</f>
        <v>WL</v>
      </c>
    </row>
    <row r="3034" ht="15.75" customHeight="1">
      <c r="A3034" s="1" t="str">
        <f>IFERROR(__xludf.DUMMYFUNCTION("""COMPUTED_VALUE"""),"Lina Ahmed")</f>
        <v>Lina Ahmed</v>
      </c>
      <c r="B3034" s="1" t="str">
        <f>IFERROR(__xludf.DUMMYFUNCTION("""COMPUTED_VALUE"""),"WL")</f>
        <v>WL</v>
      </c>
    </row>
    <row r="3035" ht="15.75" customHeight="1">
      <c r="A3035" s="1" t="str">
        <f>IFERROR(__xludf.DUMMYFUNCTION("""COMPUTED_VALUE"""),"Santiago Ramos")</f>
        <v>Santiago Ramos</v>
      </c>
      <c r="B3035" s="1" t="str">
        <f>IFERROR(__xludf.DUMMYFUNCTION("""COMPUTED_VALUE"""),"L1")</f>
        <v>L1</v>
      </c>
    </row>
    <row r="3036" ht="15.75" customHeight="1">
      <c r="A3036" s="1" t="str">
        <f>IFERROR(__xludf.DUMMYFUNCTION("""COMPUTED_VALUE"""),"Rowan Martin")</f>
        <v>Rowan Martin</v>
      </c>
      <c r="B3036" s="1" t="str">
        <f>IFERROR(__xludf.DUMMYFUNCTION("""COMPUTED_VALUE"""),"L1")</f>
        <v>L1</v>
      </c>
    </row>
    <row r="3037" ht="15.75" customHeight="1">
      <c r="A3037" s="1" t="str">
        <f>IFERROR(__xludf.DUMMYFUNCTION("""COMPUTED_VALUE"""),"Johnny Darcy")</f>
        <v>Johnny Darcy</v>
      </c>
      <c r="B3037" s="1" t="str">
        <f>IFERROR(__xludf.DUMMYFUNCTION("""COMPUTED_VALUE"""),"MS")</f>
        <v>MS</v>
      </c>
    </row>
    <row r="3038" ht="15.75" customHeight="1">
      <c r="A3038" s="1" t="str">
        <f>IFERROR(__xludf.DUMMYFUNCTION("""COMPUTED_VALUE"""),"Theodore Salgado-Singer")</f>
        <v>Theodore Salgado-Singer</v>
      </c>
      <c r="B3038" s="1" t="str">
        <f>IFERROR(__xludf.DUMMYFUNCTION("""COMPUTED_VALUE"""),"L1")</f>
        <v>L1</v>
      </c>
    </row>
    <row r="3039" ht="15.75" customHeight="1">
      <c r="A3039" s="1" t="str">
        <f>IFERROR(__xludf.DUMMYFUNCTION("""COMPUTED_VALUE"""),"Hyrule Petrelli")</f>
        <v>Hyrule Petrelli</v>
      </c>
      <c r="B3039" s="1" t="str">
        <f>IFERROR(__xludf.DUMMYFUNCTION("""COMPUTED_VALUE"""),"L2")</f>
        <v>L2</v>
      </c>
    </row>
    <row r="3040" ht="15.75" customHeight="1">
      <c r="A3040" s="1" t="str">
        <f>IFERROR(__xludf.DUMMYFUNCTION("""COMPUTED_VALUE"""),"Matthew Fernandez")</f>
        <v>Matthew Fernandez</v>
      </c>
      <c r="B3040" s="1" t="str">
        <f>IFERROR(__xludf.DUMMYFUNCTION("""COMPUTED_VALUE"""),"LL")</f>
        <v>LL</v>
      </c>
    </row>
    <row r="3041" ht="15.75" customHeight="1">
      <c r="A3041" s="1" t="str">
        <f>IFERROR(__xludf.DUMMYFUNCTION("""COMPUTED_VALUE"""),"Ezra Avalos")</f>
        <v>Ezra Avalos</v>
      </c>
      <c r="B3041" s="1" t="str">
        <f>IFERROR(__xludf.DUMMYFUNCTION("""COMPUTED_VALUE"""),"LL")</f>
        <v>LL</v>
      </c>
    </row>
    <row r="3042" ht="15.75" customHeight="1">
      <c r="A3042" s="1" t="str">
        <f>IFERROR(__xludf.DUMMYFUNCTION("""COMPUTED_VALUE"""),"Santiago Martinez")</f>
        <v>Santiago Martinez</v>
      </c>
      <c r="B3042" s="1" t="str">
        <f>IFERROR(__xludf.DUMMYFUNCTION("""COMPUTED_VALUE"""),"MS")</f>
        <v>MS</v>
      </c>
    </row>
    <row r="3043" ht="15.75" customHeight="1">
      <c r="A3043" s="1" t="str">
        <f>IFERROR(__xludf.DUMMYFUNCTION("""COMPUTED_VALUE"""),"Koa Ghilain")</f>
        <v>Koa Ghilain</v>
      </c>
      <c r="B3043" s="1" t="str">
        <f>IFERROR(__xludf.DUMMYFUNCTION("""COMPUTED_VALUE"""),"LL")</f>
        <v>LL</v>
      </c>
    </row>
    <row r="3044" ht="15.75" customHeight="1">
      <c r="A3044" s="1" t="str">
        <f>IFERROR(__xludf.DUMMYFUNCTION("""COMPUTED_VALUE"""),"Brooklyn Baez")</f>
        <v>Brooklyn Baez</v>
      </c>
      <c r="B3044" s="1" t="str">
        <f>IFERROR(__xludf.DUMMYFUNCTION("""COMPUTED_VALUE"""),"WL")</f>
        <v>WL</v>
      </c>
    </row>
    <row r="3045" ht="15.75" customHeight="1">
      <c r="A3045" s="1" t="str">
        <f>IFERROR(__xludf.DUMMYFUNCTION("""COMPUTED_VALUE"""),"Dillon Fischer")</f>
        <v>Dillon Fischer</v>
      </c>
      <c r="B3045" s="1" t="str">
        <f>IFERROR(__xludf.DUMMYFUNCTION("""COMPUTED_VALUE"""),"WL")</f>
        <v>WL</v>
      </c>
    </row>
    <row r="3046" ht="15.75" customHeight="1">
      <c r="A3046" s="1" t="str">
        <f>IFERROR(__xludf.DUMMYFUNCTION("""COMPUTED_VALUE"""),"Cristobal Delgado")</f>
        <v>Cristobal Delgado</v>
      </c>
      <c r="B3046" s="1" t="str">
        <f>IFERROR(__xludf.DUMMYFUNCTION("""COMPUTED_VALUE"""),"L2")</f>
        <v>L2</v>
      </c>
    </row>
    <row r="3047" ht="15.75" customHeight="1">
      <c r="A3047" s="1" t="str">
        <f>IFERROR(__xludf.DUMMYFUNCTION("""COMPUTED_VALUE"""),"Francisco Elias Gonzalez")</f>
        <v>Francisco Elias Gonzalez</v>
      </c>
      <c r="B3047" s="1" t="str">
        <f>IFERROR(__xludf.DUMMYFUNCTION("""COMPUTED_VALUE"""),"MS")</f>
        <v>MS</v>
      </c>
    </row>
    <row r="3048" ht="15.75" customHeight="1">
      <c r="A3048" s="1" t="str">
        <f>IFERROR(__xludf.DUMMYFUNCTION("""COMPUTED_VALUE"""),"Thiago Rodriguez Penzo")</f>
        <v>Thiago Rodriguez Penzo</v>
      </c>
      <c r="B3048" s="1" t="str">
        <f>IFERROR(__xludf.DUMMYFUNCTION("""COMPUTED_VALUE"""),"WL")</f>
        <v>WL</v>
      </c>
    </row>
    <row r="3049" ht="15.75" customHeight="1">
      <c r="A3049" s="1" t="str">
        <f>IFERROR(__xludf.DUMMYFUNCTION("""COMPUTED_VALUE"""),"Marlowe James")</f>
        <v>Marlowe James</v>
      </c>
      <c r="B3049" s="1" t="str">
        <f>IFERROR(__xludf.DUMMYFUNCTION("""COMPUTED_VALUE"""),"WL")</f>
        <v>WL</v>
      </c>
    </row>
    <row r="3050" ht="15.75" customHeight="1">
      <c r="A3050" s="1" t="str">
        <f>IFERROR(__xludf.DUMMYFUNCTION("""COMPUTED_VALUE"""),"Evelyn Norman")</f>
        <v>Evelyn Norman</v>
      </c>
      <c r="B3050" s="1" t="str">
        <f>IFERROR(__xludf.DUMMYFUNCTION("""COMPUTED_VALUE"""),"WL")</f>
        <v>WL</v>
      </c>
    </row>
    <row r="3051" ht="15.75" customHeight="1">
      <c r="A3051" s="1" t="str">
        <f>IFERROR(__xludf.DUMMYFUNCTION("""COMPUTED_VALUE"""),"Valeria Salazar")</f>
        <v>Valeria Salazar</v>
      </c>
      <c r="B3051" s="1" t="str">
        <f>IFERROR(__xludf.DUMMYFUNCTION("""COMPUTED_VALUE"""),"MS")</f>
        <v>MS</v>
      </c>
    </row>
    <row r="3052" ht="15.75" customHeight="1">
      <c r="A3052" s="1" t="str">
        <f>IFERROR(__xludf.DUMMYFUNCTION("""COMPUTED_VALUE"""),"Jessica Espinoza")</f>
        <v>Jessica Espinoza</v>
      </c>
      <c r="B3052" s="1" t="str">
        <f>IFERROR(__xludf.DUMMYFUNCTION("""COMPUTED_VALUE"""),"MS")</f>
        <v>MS</v>
      </c>
    </row>
    <row r="3053" ht="15.75" customHeight="1">
      <c r="A3053" s="1" t="str">
        <f>IFERROR(__xludf.DUMMYFUNCTION("""COMPUTED_VALUE"""),"Martin Bolgov")</f>
        <v>Martin Bolgov</v>
      </c>
      <c r="B3053" s="1" t="str">
        <f>IFERROR(__xludf.DUMMYFUNCTION("""COMPUTED_VALUE"""),"WL")</f>
        <v>WL</v>
      </c>
    </row>
    <row r="3054" ht="15.75" customHeight="1">
      <c r="A3054" s="1" t="str">
        <f>IFERROR(__xludf.DUMMYFUNCTION("""COMPUTED_VALUE"""),"Liam Oyervides")</f>
        <v>Liam Oyervides</v>
      </c>
      <c r="B3054" s="1" t="str">
        <f>IFERROR(__xludf.DUMMYFUNCTION("""COMPUTED_VALUE"""),"L2")</f>
        <v>L2</v>
      </c>
    </row>
    <row r="3055" ht="15.75" customHeight="1">
      <c r="A3055" s="1" t="str">
        <f>IFERROR(__xludf.DUMMYFUNCTION("""COMPUTED_VALUE"""),"Phoenix Oyervides")</f>
        <v>Phoenix Oyervides</v>
      </c>
      <c r="B3055" s="1" t="str">
        <f>IFERROR(__xludf.DUMMYFUNCTION("""COMPUTED_VALUE"""),"LL")</f>
        <v>LL</v>
      </c>
    </row>
    <row r="3056" ht="15.75" customHeight="1">
      <c r="A3056" s="1" t="str">
        <f>IFERROR(__xludf.DUMMYFUNCTION("""COMPUTED_VALUE"""),"MJ Oyervides")</f>
        <v>MJ Oyervides</v>
      </c>
      <c r="B3056" s="1" t="str">
        <f>IFERROR(__xludf.DUMMYFUNCTION("""COMPUTED_VALUE"""),"MS")</f>
        <v>MS</v>
      </c>
    </row>
    <row r="3057" ht="15.75" customHeight="1">
      <c r="A3057" s="1" t="str">
        <f>IFERROR(__xludf.DUMMYFUNCTION("""COMPUTED_VALUE"""),"Hazel SANTANA")</f>
        <v>Hazel SANTANA</v>
      </c>
      <c r="B3057" s="1" t="str">
        <f>IFERROR(__xludf.DUMMYFUNCTION("""COMPUTED_VALUE"""),"LL")</f>
        <v>LL</v>
      </c>
    </row>
    <row r="3058" ht="15.75" customHeight="1">
      <c r="A3058" s="1" t="str">
        <f>IFERROR(__xludf.DUMMYFUNCTION("""COMPUTED_VALUE"""),"Zion Lau")</f>
        <v>Zion Lau</v>
      </c>
      <c r="B3058" s="1" t="str">
        <f>IFERROR(__xludf.DUMMYFUNCTION("""COMPUTED_VALUE"""),"L1")</f>
        <v>L1</v>
      </c>
    </row>
    <row r="3059" ht="15.75" customHeight="1">
      <c r="A3059" s="1" t="str">
        <f>IFERROR(__xludf.DUMMYFUNCTION("""COMPUTED_VALUE"""),"Bennett Morris")</f>
        <v>Bennett Morris</v>
      </c>
      <c r="B3059" s="1" t="str">
        <f>IFERROR(__xludf.DUMMYFUNCTION("""COMPUTED_VALUE"""),"MS")</f>
        <v>MS</v>
      </c>
    </row>
    <row r="3060" ht="15.75" customHeight="1">
      <c r="A3060" s="1" t="str">
        <f>IFERROR(__xludf.DUMMYFUNCTION("""COMPUTED_VALUE"""),"Felix Cole")</f>
        <v>Felix Cole</v>
      </c>
      <c r="B3060" s="1" t="str">
        <f>IFERROR(__xludf.DUMMYFUNCTION("""COMPUTED_VALUE"""),"MS")</f>
        <v>MS</v>
      </c>
    </row>
    <row r="3061" ht="15.75" customHeight="1">
      <c r="A3061" s="1" t="str">
        <f>IFERROR(__xludf.DUMMYFUNCTION("""COMPUTED_VALUE"""),"Landen Goikhman")</f>
        <v>Landen Goikhman</v>
      </c>
      <c r="B3061" s="1" t="str">
        <f>IFERROR(__xludf.DUMMYFUNCTION("""COMPUTED_VALUE"""),"MS")</f>
        <v>MS</v>
      </c>
    </row>
    <row r="3062" ht="15.75" customHeight="1">
      <c r="A3062" s="1" t="str">
        <f>IFERROR(__xludf.DUMMYFUNCTION("""COMPUTED_VALUE"""),"Test Account2")</f>
        <v>Test Account2</v>
      </c>
      <c r="B3062" s="1" t="str">
        <f>IFERROR(__xludf.DUMMYFUNCTION("""COMPUTED_VALUE"""),"L2")</f>
        <v>L2</v>
      </c>
    </row>
    <row r="3063" ht="15.75" customHeight="1">
      <c r="A3063" s="1" t="str">
        <f>IFERROR(__xludf.DUMMYFUNCTION("""COMPUTED_VALUE"""),"Rowan Wyatt")</f>
        <v>Rowan Wyatt</v>
      </c>
      <c r="B3063" s="1" t="str">
        <f>IFERROR(__xludf.DUMMYFUNCTION("""COMPUTED_VALUE"""),"L2")</f>
        <v>L2</v>
      </c>
    </row>
    <row r="3064" ht="15.75" customHeight="1">
      <c r="A3064" s="1" t="str">
        <f>IFERROR(__xludf.DUMMYFUNCTION("""COMPUTED_VALUE"""),"Connor Moubry")</f>
        <v>Connor Moubry</v>
      </c>
      <c r="B3064" s="1" t="str">
        <f>IFERROR(__xludf.DUMMYFUNCTION("""COMPUTED_VALUE"""),"L2")</f>
        <v>L2</v>
      </c>
    </row>
    <row r="3065" ht="15.75" customHeight="1">
      <c r="A3065" s="1" t="str">
        <f>IFERROR(__xludf.DUMMYFUNCTION("""COMPUTED_VALUE"""),"Cai Cox")</f>
        <v>Cai Cox</v>
      </c>
      <c r="B3065" s="1" t="str">
        <f>IFERROR(__xludf.DUMMYFUNCTION("""COMPUTED_VALUE"""),"L2")</f>
        <v>L2</v>
      </c>
    </row>
    <row r="3066" ht="15.75" customHeight="1">
      <c r="A3066" s="1" t="str">
        <f>IFERROR(__xludf.DUMMYFUNCTION("""COMPUTED_VALUE"""),"_test_ChildFarhanDifferent1 Raja_Last")</f>
        <v>_test_ChildFarhanDifferent1 Raja_Last</v>
      </c>
      <c r="B3066" s="1" t="str">
        <f>IFERROR(__xludf.DUMMYFUNCTION("""COMPUTED_VALUE"""),"L1")</f>
        <v>L1</v>
      </c>
    </row>
    <row r="3067" ht="15.75" customHeight="1">
      <c r="A3067" s="1" t="str">
        <f>IFERROR(__xludf.DUMMYFUNCTION("""COMPUTED_VALUE"""),"Brendan Lopez")</f>
        <v>Brendan Lopez</v>
      </c>
      <c r="B3067" s="1" t="str">
        <f>IFERROR(__xludf.DUMMYFUNCTION("""COMPUTED_VALUE"""),"MS")</f>
        <v>MS</v>
      </c>
    </row>
    <row r="3068" ht="15.75" customHeight="1">
      <c r="A3068" s="1" t="str">
        <f>IFERROR(__xludf.DUMMYFUNCTION("""COMPUTED_VALUE"""),"Lorenzo Mooso")</f>
        <v>Lorenzo Mooso</v>
      </c>
      <c r="B3068" s="1" t="str">
        <f>IFERROR(__xludf.DUMMYFUNCTION("""COMPUTED_VALUE"""),"L2")</f>
        <v>L2</v>
      </c>
    </row>
    <row r="3069" ht="15.75" customHeight="1">
      <c r="A3069" s="1" t="str">
        <f>IFERROR(__xludf.DUMMYFUNCTION("""COMPUTED_VALUE"""),"Ansel Coffey")</f>
        <v>Ansel Coffey</v>
      </c>
      <c r="B3069" s="1" t="str">
        <f>IFERROR(__xludf.DUMMYFUNCTION("""COMPUTED_VALUE"""),"L2")</f>
        <v>L2</v>
      </c>
    </row>
    <row r="3070" ht="15.75" customHeight="1">
      <c r="A3070" s="1" t="str">
        <f>IFERROR(__xludf.DUMMYFUNCTION("""COMPUTED_VALUE"""),"Jon_Ash Victorian Jr")</f>
        <v>Jon_Ash Victorian Jr</v>
      </c>
      <c r="B3070" s="1" t="str">
        <f>IFERROR(__xludf.DUMMYFUNCTION("""COMPUTED_VALUE"""),"LL")</f>
        <v>LL</v>
      </c>
    </row>
    <row r="3071" ht="15.75" customHeight="1">
      <c r="A3071" s="1" t="str">
        <f>IFERROR(__xludf.DUMMYFUNCTION("""COMPUTED_VALUE"""),"Jacob Mooso")</f>
        <v>Jacob Mooso</v>
      </c>
      <c r="B3071" s="1" t="str">
        <f>IFERROR(__xludf.DUMMYFUNCTION("""COMPUTED_VALUE"""),"L1")</f>
        <v>L1</v>
      </c>
    </row>
    <row r="3072" ht="15.75" customHeight="1">
      <c r="A3072" s="1" t="str">
        <f>IFERROR(__xludf.DUMMYFUNCTION("""COMPUTED_VALUE"""),"Aaman Shetty")</f>
        <v>Aaman Shetty</v>
      </c>
      <c r="B3072" s="1" t="str">
        <f>IFERROR(__xludf.DUMMYFUNCTION("""COMPUTED_VALUE"""),"L2")</f>
        <v>L2</v>
      </c>
    </row>
    <row r="3073" ht="15.75" customHeight="1">
      <c r="A3073" s="1" t="str">
        <f>IFERROR(__xludf.DUMMYFUNCTION("""COMPUTED_VALUE"""),"Kruti Patel")</f>
        <v>Kruti Patel</v>
      </c>
      <c r="B3073" s="1" t="str">
        <f>IFERROR(__xludf.DUMMYFUNCTION("""COMPUTED_VALUE"""),"L2")</f>
        <v>L2</v>
      </c>
    </row>
    <row r="3074" ht="15.75" customHeight="1">
      <c r="A3074" s="1" t="str">
        <f>IFERROR(__xludf.DUMMYFUNCTION("""COMPUTED_VALUE"""),"Ziggy Marley")</f>
        <v>Ziggy Marley</v>
      </c>
      <c r="B3074" s="1" t="str">
        <f>IFERROR(__xludf.DUMMYFUNCTION("""COMPUTED_VALUE"""),"L2")</f>
        <v>L2</v>
      </c>
    </row>
    <row r="3075" ht="15.75" customHeight="1">
      <c r="A3075" s="1" t="str">
        <f>IFERROR(__xludf.DUMMYFUNCTION("""COMPUTED_VALUE"""),"NG Student 2 _test_")</f>
        <v>NG Student 2 _test_</v>
      </c>
      <c r="B3075" s="1" t="str">
        <f>IFERROR(__xludf.DUMMYFUNCTION("""COMPUTED_VALUE"""),"LL")</f>
        <v>LL</v>
      </c>
    </row>
    <row r="3076" ht="15.75" customHeight="1">
      <c r="A3076" s="1" t="str">
        <f>IFERROR(__xludf.DUMMYFUNCTION("""COMPUTED_VALUE"""),"Neo Injam")</f>
        <v>Neo Injam</v>
      </c>
      <c r="B3076" s="1" t="str">
        <f>IFERROR(__xludf.DUMMYFUNCTION("""COMPUTED_VALUE"""),"L1")</f>
        <v>L1</v>
      </c>
    </row>
    <row r="3077" ht="15.75" customHeight="1">
      <c r="A3077" s="1" t="str">
        <f>IFERROR(__xludf.DUMMYFUNCTION("""COMPUTED_VALUE"""),"NG Student _test_")</f>
        <v>NG Student _test_</v>
      </c>
      <c r="B3077" s="1" t="str">
        <f>IFERROR(__xludf.DUMMYFUNCTION("""COMPUTED_VALUE"""),"L1")</f>
        <v>L1</v>
      </c>
    </row>
    <row r="3078" ht="15.75" customHeight="1">
      <c r="A3078" s="1" t="str">
        <f>IFERROR(__xludf.DUMMYFUNCTION("""COMPUTED_VALUE"""),"Oden Dvorak-Jonsson")</f>
        <v>Oden Dvorak-Jonsson</v>
      </c>
      <c r="B3078" s="1" t="str">
        <f>IFERROR(__xludf.DUMMYFUNCTION("""COMPUTED_VALUE"""),"MS")</f>
        <v>MS</v>
      </c>
    </row>
    <row r="3079" ht="15.75" customHeight="1">
      <c r="A3079" s="1" t="str">
        <f>IFERROR(__xludf.DUMMYFUNCTION("""COMPUTED_VALUE"""),"Michael Leakas")</f>
        <v>Michael Leakas</v>
      </c>
      <c r="B3079" s="1" t="str">
        <f>IFERROR(__xludf.DUMMYFUNCTION("""COMPUTED_VALUE"""),"MS")</f>
        <v>MS</v>
      </c>
    </row>
    <row r="3080" ht="15.75" customHeight="1">
      <c r="A3080" s="1" t="str">
        <f>IFERROR(__xludf.DUMMYFUNCTION("""COMPUTED_VALUE"""),"Carlos Silerio")</f>
        <v>Carlos Silerio</v>
      </c>
      <c r="B3080" s="1" t="str">
        <f>IFERROR(__xludf.DUMMYFUNCTION("""COMPUTED_VALUE"""),"L2")</f>
        <v>L2</v>
      </c>
    </row>
    <row r="3081" ht="15.75" customHeight="1">
      <c r="A3081" s="1" t="str">
        <f>IFERROR(__xludf.DUMMYFUNCTION("""COMPUTED_VALUE"""),"Samiullah Khan")</f>
        <v>Samiullah Khan</v>
      </c>
      <c r="B3081" s="1" t="str">
        <f>IFERROR(__xludf.DUMMYFUNCTION("""COMPUTED_VALUE"""),"L1")</f>
        <v>L1</v>
      </c>
    </row>
    <row r="3082" ht="15.75" customHeight="1">
      <c r="A3082" s="1" t="str">
        <f>IFERROR(__xludf.DUMMYFUNCTION("""COMPUTED_VALUE"""),"Obe Sopwith")</f>
        <v>Obe Sopwith</v>
      </c>
      <c r="B3082" s="1" t="str">
        <f>IFERROR(__xludf.DUMMYFUNCTION("""COMPUTED_VALUE"""),"L2")</f>
        <v>L2</v>
      </c>
    </row>
    <row r="3083" ht="15.75" customHeight="1">
      <c r="A3083" s="1" t="str">
        <f>IFERROR(__xludf.DUMMYFUNCTION("""COMPUTED_VALUE"""),"Mox McCuistion")</f>
        <v>Mox McCuistion</v>
      </c>
      <c r="B3083" s="1" t="str">
        <f>IFERROR(__xludf.DUMMYFUNCTION("""COMPUTED_VALUE"""),"L2")</f>
        <v>L2</v>
      </c>
    </row>
    <row r="3084" ht="15.75" customHeight="1">
      <c r="A3084" s="1" t="str">
        <f>IFERROR(__xludf.DUMMYFUNCTION("""COMPUTED_VALUE"""),"Jax McCuistion")</f>
        <v>Jax McCuistion</v>
      </c>
      <c r="B3084" s="1" t="str">
        <f>IFERROR(__xludf.DUMMYFUNCTION("""COMPUTED_VALUE"""),"L1")</f>
        <v>L1</v>
      </c>
    </row>
    <row r="3085" ht="15.75" customHeight="1">
      <c r="A3085" s="1" t="str">
        <f>IFERROR(__xludf.DUMMYFUNCTION("""COMPUTED_VALUE"""),"test l2 student1")</f>
        <v>test l2 student1</v>
      </c>
      <c r="B3085" s="1" t="str">
        <f>IFERROR(__xludf.DUMMYFUNCTION("""COMPUTED_VALUE"""),"MS")</f>
        <v>MS</v>
      </c>
    </row>
    <row r="3086" ht="15.75" customHeight="1">
      <c r="A3086" s="1" t="str">
        <f>IFERROR(__xludf.DUMMYFUNCTION("""COMPUTED_VALUE"""),"test l3 student1")</f>
        <v>test l3 student1</v>
      </c>
      <c r="B3086" s="1" t="str">
        <f>IFERROR(__xludf.DUMMYFUNCTION("""COMPUTED_VALUE"""),"MS")</f>
        <v>MS</v>
      </c>
    </row>
    <row r="3087" ht="15.75" customHeight="1">
      <c r="A3087" s="1" t="str">
        <f>IFERROR(__xludf.DUMMYFUNCTION("""COMPUTED_VALUE"""),"Valeriia Lysytsia")</f>
        <v>Valeriia Lysytsia</v>
      </c>
      <c r="B3087" s="1" t="str">
        <f>IFERROR(__xludf.DUMMYFUNCTION("""COMPUTED_VALUE"""),"HS")</f>
        <v>HS</v>
      </c>
    </row>
    <row r="3088" ht="15.75" customHeight="1">
      <c r="A3088" s="1" t="str">
        <f>IFERROR(__xludf.DUMMYFUNCTION("""COMPUTED_VALUE"""),"Zhydetska Tetiana")</f>
        <v>Zhydetska Tetiana</v>
      </c>
      <c r="B3088" s="1" t="str">
        <f>IFERROR(__xludf.DUMMYFUNCTION("""COMPUTED_VALUE"""),"L1")</f>
        <v>L1</v>
      </c>
    </row>
    <row r="3089" ht="15.75" customHeight="1">
      <c r="A3089" s="1" t="str">
        <f>IFERROR(__xludf.DUMMYFUNCTION("""COMPUTED_VALUE"""),"Davyd Maievskyi")</f>
        <v>Davyd Maievskyi</v>
      </c>
      <c r="B3089" s="1" t="str">
        <f>IFERROR(__xludf.DUMMYFUNCTION("""COMPUTED_VALUE"""),"L1")</f>
        <v>L1</v>
      </c>
    </row>
    <row r="3090" ht="15.75" customHeight="1">
      <c r="A3090" s="1" t="str">
        <f>IFERROR(__xludf.DUMMYFUNCTION("""COMPUTED_VALUE"""),"Vadim Vakurin")</f>
        <v>Vadim Vakurin</v>
      </c>
      <c r="B3090" s="1" t="str">
        <f>IFERROR(__xludf.DUMMYFUNCTION("""COMPUTED_VALUE"""),"L1")</f>
        <v>L1</v>
      </c>
    </row>
    <row r="3091" ht="15.75" customHeight="1">
      <c r="A3091" s="1" t="str">
        <f>IFERROR(__xludf.DUMMYFUNCTION("""COMPUTED_VALUE"""),"Aliesia Vialkova")</f>
        <v>Aliesia Vialkova</v>
      </c>
      <c r="B3091" s="1" t="str">
        <f>IFERROR(__xludf.DUMMYFUNCTION("""COMPUTED_VALUE"""),"L1")</f>
        <v>L1</v>
      </c>
    </row>
    <row r="3092" ht="15.75" customHeight="1">
      <c r="A3092" s="1" t="str">
        <f>IFERROR(__xludf.DUMMYFUNCTION("""COMPUTED_VALUE"""),"Veronika Sapaeva")</f>
        <v>Veronika Sapaeva</v>
      </c>
      <c r="B3092" s="1" t="str">
        <f>IFERROR(__xludf.DUMMYFUNCTION("""COMPUTED_VALUE"""),"L1")</f>
        <v>L1</v>
      </c>
    </row>
    <row r="3093" ht="15.75" customHeight="1">
      <c r="A3093" s="1" t="str">
        <f>IFERROR(__xludf.DUMMYFUNCTION("""COMPUTED_VALUE"""),"Vladyslav Nikolaiev")</f>
        <v>Vladyslav Nikolaiev</v>
      </c>
      <c r="B3093" s="1" t="str">
        <f>IFERROR(__xludf.DUMMYFUNCTION("""COMPUTED_VALUE"""),"L1")</f>
        <v>L1</v>
      </c>
    </row>
    <row r="3094" ht="15.75" customHeight="1">
      <c r="A3094" s="1" t="str">
        <f>IFERROR(__xludf.DUMMYFUNCTION("""COMPUTED_VALUE"""),"Klymenko Anna-Mariij")</f>
        <v>Klymenko Anna-Mariij</v>
      </c>
      <c r="B3094" s="1" t="str">
        <f>IFERROR(__xludf.DUMMYFUNCTION("""COMPUTED_VALUE"""),"L1")</f>
        <v>L1</v>
      </c>
    </row>
    <row r="3095" ht="15.75" customHeight="1">
      <c r="A3095" s="1" t="str">
        <f>IFERROR(__xludf.DUMMYFUNCTION("""COMPUTED_VALUE"""),"Mariia Ostapenko")</f>
        <v>Mariia Ostapenko</v>
      </c>
      <c r="B3095" s="1" t="str">
        <f>IFERROR(__xludf.DUMMYFUNCTION("""COMPUTED_VALUE"""),"L1")</f>
        <v>L1</v>
      </c>
    </row>
    <row r="3096" ht="15.75" customHeight="1">
      <c r="A3096" s="1" t="str">
        <f>IFERROR(__xludf.DUMMYFUNCTION("""COMPUTED_VALUE"""),"Rudiuk Vlastymyr")</f>
        <v>Rudiuk Vlastymyr</v>
      </c>
      <c r="B3096" s="1" t="str">
        <f>IFERROR(__xludf.DUMMYFUNCTION("""COMPUTED_VALUE"""),"L1")</f>
        <v>L1</v>
      </c>
    </row>
    <row r="3097" ht="15.75" customHeight="1">
      <c r="A3097" s="1" t="str">
        <f>IFERROR(__xludf.DUMMYFUNCTION("""COMPUTED_VALUE"""),"Zhydetska Mariia")</f>
        <v>Zhydetska Mariia</v>
      </c>
      <c r="B3097" s="1" t="str">
        <f>IFERROR(__xludf.DUMMYFUNCTION("""COMPUTED_VALUE"""),"L2")</f>
        <v>L2</v>
      </c>
    </row>
    <row r="3098" ht="15.75" customHeight="1">
      <c r="A3098" s="1" t="str">
        <f>IFERROR(__xludf.DUMMYFUNCTION("""COMPUTED_VALUE"""),"Tymur Sapaev")</f>
        <v>Tymur Sapaev</v>
      </c>
      <c r="B3098" s="1" t="str">
        <f>IFERROR(__xludf.DUMMYFUNCTION("""COMPUTED_VALUE"""),"L2")</f>
        <v>L2</v>
      </c>
    </row>
    <row r="3099" ht="15.75" customHeight="1">
      <c r="A3099" s="1" t="str">
        <f>IFERROR(__xludf.DUMMYFUNCTION("""COMPUTED_VALUE"""),"Klymenko Ivan")</f>
        <v>Klymenko Ivan</v>
      </c>
      <c r="B3099" s="1" t="str">
        <f>IFERROR(__xludf.DUMMYFUNCTION("""COMPUTED_VALUE"""),"L2")</f>
        <v>L2</v>
      </c>
    </row>
    <row r="3100" ht="15.75" customHeight="1">
      <c r="A3100" s="1" t="str">
        <f>IFERROR(__xludf.DUMMYFUNCTION("""COMPUTED_VALUE"""),"Mykola Klochkov")</f>
        <v>Mykola Klochkov</v>
      </c>
      <c r="B3100" s="1" t="str">
        <f>IFERROR(__xludf.DUMMYFUNCTION("""COMPUTED_VALUE"""),"L2")</f>
        <v>L2</v>
      </c>
    </row>
    <row r="3101" ht="15.75" customHeight="1">
      <c r="A3101" s="1" t="str">
        <f>IFERROR(__xludf.DUMMYFUNCTION("""COMPUTED_VALUE"""),"Tymur Davydov")</f>
        <v>Tymur Davydov</v>
      </c>
      <c r="B3101" s="1" t="str">
        <f>IFERROR(__xludf.DUMMYFUNCTION("""COMPUTED_VALUE"""),"L2")</f>
        <v>L2</v>
      </c>
    </row>
    <row r="3102" ht="15.75" customHeight="1">
      <c r="A3102" s="1" t="str">
        <f>IFERROR(__xludf.DUMMYFUNCTION("""COMPUTED_VALUE"""),"Feyt Moroz")</f>
        <v>Feyt Moroz</v>
      </c>
      <c r="B3102" s="1" t="str">
        <f>IFERROR(__xludf.DUMMYFUNCTION("""COMPUTED_VALUE"""),"L2")</f>
        <v>L2</v>
      </c>
    </row>
    <row r="3103" ht="15.75" customHeight="1">
      <c r="A3103" s="1" t="str">
        <f>IFERROR(__xludf.DUMMYFUNCTION("""COMPUTED_VALUE"""),"Valeriia Sitalo")</f>
        <v>Valeriia Sitalo</v>
      </c>
      <c r="B3103" s="1" t="str">
        <f>IFERROR(__xludf.DUMMYFUNCTION("""COMPUTED_VALUE"""),"L2")</f>
        <v>L2</v>
      </c>
    </row>
    <row r="3104" ht="15.75" customHeight="1">
      <c r="A3104" s="1" t="str">
        <f>IFERROR(__xludf.DUMMYFUNCTION("""COMPUTED_VALUE"""),"Nazar Kuznetsov")</f>
        <v>Nazar Kuznetsov</v>
      </c>
      <c r="B3104" s="1" t="str">
        <f>IFERROR(__xludf.DUMMYFUNCTION("""COMPUTED_VALUE"""),"L2")</f>
        <v>L2</v>
      </c>
    </row>
    <row r="3105" ht="15.75" customHeight="1">
      <c r="A3105" s="1" t="str">
        <f>IFERROR(__xludf.DUMMYFUNCTION("""COMPUTED_VALUE"""),"Volodymyr Kudelia")</f>
        <v>Volodymyr Kudelia</v>
      </c>
      <c r="B3105" s="1" t="str">
        <f>IFERROR(__xludf.DUMMYFUNCTION("""COMPUTED_VALUE"""),"L2")</f>
        <v>L2</v>
      </c>
    </row>
    <row r="3106" ht="15.75" customHeight="1">
      <c r="A3106" s="1" t="str">
        <f>IFERROR(__xludf.DUMMYFUNCTION("""COMPUTED_VALUE"""),"Andrii Marushchak")</f>
        <v>Andrii Marushchak</v>
      </c>
      <c r="B3106" s="1" t="str">
        <f>IFERROR(__xludf.DUMMYFUNCTION("""COMPUTED_VALUE"""),"L2")</f>
        <v>L2</v>
      </c>
    </row>
    <row r="3107" ht="15.75" customHeight="1">
      <c r="A3107" s="1" t="str">
        <f>IFERROR(__xludf.DUMMYFUNCTION("""COMPUTED_VALUE"""),"Sifia Matiyuk")</f>
        <v>Sifia Matiyuk</v>
      </c>
      <c r="B3107" s="1" t="str">
        <f>IFERROR(__xludf.DUMMYFUNCTION("""COMPUTED_VALUE"""),"L2")</f>
        <v>L2</v>
      </c>
    </row>
    <row r="3108" ht="15.75" customHeight="1">
      <c r="A3108" s="1" t="str">
        <f>IFERROR(__xludf.DUMMYFUNCTION("""COMPUTED_VALUE"""),"Anna Kudelia")</f>
        <v>Anna Kudelia</v>
      </c>
      <c r="B3108" s="1" t="str">
        <f>IFERROR(__xludf.DUMMYFUNCTION("""COMPUTED_VALUE"""),"MS")</f>
        <v>MS</v>
      </c>
    </row>
    <row r="3109" ht="15.75" customHeight="1">
      <c r="A3109" s="1" t="str">
        <f>IFERROR(__xludf.DUMMYFUNCTION("""COMPUTED_VALUE"""),"Pavlo Sheptun")</f>
        <v>Pavlo Sheptun</v>
      </c>
      <c r="B3109" s="1" t="str">
        <f>IFERROR(__xludf.DUMMYFUNCTION("""COMPUTED_VALUE"""),"MS")</f>
        <v>MS</v>
      </c>
    </row>
    <row r="3110" ht="15.75" customHeight="1">
      <c r="A3110" s="1" t="str">
        <f>IFERROR(__xludf.DUMMYFUNCTION("""COMPUTED_VALUE"""),"Anna Bukharova")</f>
        <v>Anna Bukharova</v>
      </c>
      <c r="B3110" s="1" t="str">
        <f>IFERROR(__xludf.DUMMYFUNCTION("""COMPUTED_VALUE"""),"MS")</f>
        <v>MS</v>
      </c>
    </row>
    <row r="3111" ht="15.75" customHeight="1">
      <c r="A3111" s="1" t="str">
        <f>IFERROR(__xludf.DUMMYFUNCTION("""COMPUTED_VALUE"""),"Danylo Bondarenko")</f>
        <v>Danylo Bondarenko</v>
      </c>
      <c r="B3111" s="1" t="str">
        <f>IFERROR(__xludf.DUMMYFUNCTION("""COMPUTED_VALUE"""),"MS")</f>
        <v>MS</v>
      </c>
    </row>
    <row r="3112" ht="15.75" customHeight="1">
      <c r="A3112" s="1" t="str">
        <f>IFERROR(__xludf.DUMMYFUNCTION("""COMPUTED_VALUE"""),"Lolita Dontsova")</f>
        <v>Lolita Dontsova</v>
      </c>
      <c r="B3112" s="1" t="str">
        <f>IFERROR(__xludf.DUMMYFUNCTION("""COMPUTED_VALUE"""),"MS")</f>
        <v>MS</v>
      </c>
    </row>
    <row r="3113" ht="15.75" customHeight="1">
      <c r="A3113" s="1" t="str">
        <f>IFERROR(__xludf.DUMMYFUNCTION("""COMPUTED_VALUE"""),"Izotov Artem")</f>
        <v>Izotov Artem</v>
      </c>
      <c r="B3113" s="1" t="str">
        <f>IFERROR(__xludf.DUMMYFUNCTION("""COMPUTED_VALUE"""),"MS")</f>
        <v>MS</v>
      </c>
    </row>
    <row r="3114" ht="15.75" customHeight="1">
      <c r="A3114" s="1" t="str">
        <f>IFERROR(__xludf.DUMMYFUNCTION("""COMPUTED_VALUE"""),"Tamara Moskina")</f>
        <v>Tamara Moskina</v>
      </c>
      <c r="B3114" s="1" t="str">
        <f>IFERROR(__xludf.DUMMYFUNCTION("""COMPUTED_VALUE"""),"MS")</f>
        <v>MS</v>
      </c>
    </row>
    <row r="3115" ht="15.75" customHeight="1">
      <c r="A3115" s="1" t="str">
        <f>IFERROR(__xludf.DUMMYFUNCTION("""COMPUTED_VALUE"""),"Veronika Varfolomieievy")</f>
        <v>Veronika Varfolomieievy</v>
      </c>
      <c r="B3115" s="1" t="str">
        <f>IFERROR(__xludf.DUMMYFUNCTION("""COMPUTED_VALUE"""),"MS")</f>
        <v>MS</v>
      </c>
    </row>
    <row r="3116" ht="15.75" customHeight="1">
      <c r="A3116" s="1" t="str">
        <f>IFERROR(__xludf.DUMMYFUNCTION("""COMPUTED_VALUE"""),"Zhydetska Sofia")</f>
        <v>Zhydetska Sofia</v>
      </c>
      <c r="B3116" s="1" t="str">
        <f>IFERROR(__xludf.DUMMYFUNCTION("""COMPUTED_VALUE"""),"MS")</f>
        <v>MS</v>
      </c>
    </row>
    <row r="3117" ht="15.75" customHeight="1">
      <c r="A3117" s="1" t="str">
        <f>IFERROR(__xludf.DUMMYFUNCTION("""COMPUTED_VALUE"""),"Yaroslava Khorkova")</f>
        <v>Yaroslava Khorkova</v>
      </c>
      <c r="B3117" s="1" t="str">
        <f>IFERROR(__xludf.DUMMYFUNCTION("""COMPUTED_VALUE"""),"MS")</f>
        <v>MS</v>
      </c>
    </row>
    <row r="3118" ht="15.75" customHeight="1">
      <c r="A3118" s="1" t="str">
        <f>IFERROR(__xludf.DUMMYFUNCTION("""COMPUTED_VALUE"""),"Danylo Kozolup")</f>
        <v>Danylo Kozolup</v>
      </c>
      <c r="B3118" s="1" t="str">
        <f>IFERROR(__xludf.DUMMYFUNCTION("""COMPUTED_VALUE"""),"MS")</f>
        <v>MS</v>
      </c>
    </row>
    <row r="3119" ht="15.75" customHeight="1">
      <c r="A3119" s="1" t="str">
        <f>IFERROR(__xludf.DUMMYFUNCTION("""COMPUTED_VALUE"""),"Sobol Mariya")</f>
        <v>Sobol Mariya</v>
      </c>
      <c r="B3119" s="1" t="str">
        <f>IFERROR(__xludf.DUMMYFUNCTION("""COMPUTED_VALUE"""),"MS")</f>
        <v>MS</v>
      </c>
    </row>
    <row r="3120" ht="15.75" customHeight="1">
      <c r="A3120" s="1" t="str">
        <f>IFERROR(__xludf.DUMMYFUNCTION("""COMPUTED_VALUE"""),"Yuna Isaieva")</f>
        <v>Yuna Isaieva</v>
      </c>
      <c r="B3120" s="1" t="str">
        <f>IFERROR(__xludf.DUMMYFUNCTION("""COMPUTED_VALUE"""),"MS")</f>
        <v>MS</v>
      </c>
    </row>
    <row r="3121" ht="15.75" customHeight="1">
      <c r="A3121" s="1" t="str">
        <f>IFERROR(__xludf.DUMMYFUNCTION("""COMPUTED_VALUE"""),"Zhydetska Yuliia")</f>
        <v>Zhydetska Yuliia</v>
      </c>
      <c r="B3121" s="1" t="str">
        <f>IFERROR(__xludf.DUMMYFUNCTION("""COMPUTED_VALUE"""),"HS")</f>
        <v>HS</v>
      </c>
    </row>
    <row r="3122" ht="15.75" customHeight="1">
      <c r="A3122" s="1" t="str">
        <f>IFERROR(__xludf.DUMMYFUNCTION("""COMPUTED_VALUE"""),"Mariia Fedorenko")</f>
        <v>Mariia Fedorenko</v>
      </c>
      <c r="B3122" s="1" t="str">
        <f>IFERROR(__xludf.DUMMYFUNCTION("""COMPUTED_VALUE"""),"HS")</f>
        <v>HS</v>
      </c>
    </row>
    <row r="3123" ht="15.75" customHeight="1">
      <c r="A3123" s="1" t="str">
        <f>IFERROR(__xludf.DUMMYFUNCTION("""COMPUTED_VALUE"""),"Maksym Lazariev")</f>
        <v>Maksym Lazariev</v>
      </c>
      <c r="B3123" s="1" t="str">
        <f>IFERROR(__xludf.DUMMYFUNCTION("""COMPUTED_VALUE"""),"HS")</f>
        <v>HS</v>
      </c>
    </row>
    <row r="3124" ht="15.75" customHeight="1">
      <c r="A3124" s="1" t="str">
        <f>IFERROR(__xludf.DUMMYFUNCTION("""COMPUTED_VALUE"""),"Arina Izotova")</f>
        <v>Arina Izotova</v>
      </c>
      <c r="B3124" s="1" t="str">
        <f>IFERROR(__xludf.DUMMYFUNCTION("""COMPUTED_VALUE"""),"HS")</f>
        <v>HS</v>
      </c>
    </row>
    <row r="3125" ht="15.75" customHeight="1">
      <c r="A3125" s="1" t="str">
        <f>IFERROR(__xludf.DUMMYFUNCTION("""COMPUTED_VALUE"""),"Andrii Zakladnyi")</f>
        <v>Andrii Zakladnyi</v>
      </c>
      <c r="B3125" s="1" t="str">
        <f>IFERROR(__xludf.DUMMYFUNCTION("""COMPUTED_VALUE"""),"HS")</f>
        <v>HS</v>
      </c>
    </row>
    <row r="3126" ht="15.75" customHeight="1">
      <c r="A3126" s="1" t="str">
        <f>IFERROR(__xludf.DUMMYFUNCTION("""COMPUTED_VALUE"""),"Fedelesh Karina")</f>
        <v>Fedelesh Karina</v>
      </c>
      <c r="B3126" s="1" t="str">
        <f>IFERROR(__xludf.DUMMYFUNCTION("""COMPUTED_VALUE"""),"HS")</f>
        <v>HS</v>
      </c>
    </row>
    <row r="3127" ht="15.75" customHeight="1">
      <c r="A3127" s="1" t="str">
        <f>IFERROR(__xludf.DUMMYFUNCTION("""COMPUTED_VALUE"""),"Lunhu Mykyta")</f>
        <v>Lunhu Mykyta</v>
      </c>
      <c r="B3127" s="1" t="str">
        <f>IFERROR(__xludf.DUMMYFUNCTION("""COMPUTED_VALUE"""),"HS")</f>
        <v>HS</v>
      </c>
    </row>
    <row r="3128" ht="15.75" customHeight="1">
      <c r="A3128" s="1" t="str">
        <f>IFERROR(__xludf.DUMMYFUNCTION("""COMPUTED_VALUE"""),"Tetiana Chumak")</f>
        <v>Tetiana Chumak</v>
      </c>
      <c r="B3128" s="1" t="str">
        <f>IFERROR(__xludf.DUMMYFUNCTION("""COMPUTED_VALUE"""),"HS")</f>
        <v>HS</v>
      </c>
    </row>
    <row r="3129" ht="15.75" customHeight="1">
      <c r="A3129" s="1" t="str">
        <f>IFERROR(__xludf.DUMMYFUNCTION("""COMPUTED_VALUE"""),"Milana Kopych")</f>
        <v>Milana Kopych</v>
      </c>
      <c r="B3129" s="1" t="str">
        <f>IFERROR(__xludf.DUMMYFUNCTION("""COMPUTED_VALUE"""),"HS")</f>
        <v>HS</v>
      </c>
    </row>
    <row r="3130" ht="15.75" customHeight="1">
      <c r="A3130" s="1" t="str">
        <f>IFERROR(__xludf.DUMMYFUNCTION("""COMPUTED_VALUE"""),"Iryna Kozolup")</f>
        <v>Iryna Kozolup</v>
      </c>
      <c r="B3130" s="1" t="str">
        <f>IFERROR(__xludf.DUMMYFUNCTION("""COMPUTED_VALUE"""),"HS")</f>
        <v>HS</v>
      </c>
    </row>
    <row r="3131" ht="15.75" customHeight="1">
      <c r="A3131" s="1" t="str">
        <f>IFERROR(__xludf.DUMMYFUNCTION("""COMPUTED_VALUE"""),"Mykola Shevchuk")</f>
        <v>Mykola Shevchuk</v>
      </c>
      <c r="B3131" s="1" t="str">
        <f>IFERROR(__xludf.DUMMYFUNCTION("""COMPUTED_VALUE"""),"HS")</f>
        <v>HS</v>
      </c>
    </row>
    <row r="3132" ht="15.75" customHeight="1">
      <c r="A3132" s="1" t="str">
        <f>IFERROR(__xludf.DUMMYFUNCTION("""COMPUTED_VALUE"""),"Zhydetska Oleksandra")</f>
        <v>Zhydetska Oleksandra</v>
      </c>
      <c r="B3132" s="1" t="str">
        <f>IFERROR(__xludf.DUMMYFUNCTION("""COMPUTED_VALUE"""),"HS")</f>
        <v>HS</v>
      </c>
    </row>
    <row r="3133" ht="15.75" customHeight="1">
      <c r="A3133" s="1" t="str">
        <f>IFERROR(__xludf.DUMMYFUNCTION("""COMPUTED_VALUE"""),"Vladyslav Khorkov")</f>
        <v>Vladyslav Khorkov</v>
      </c>
      <c r="B3133" s="1" t="str">
        <f>IFERROR(__xludf.DUMMYFUNCTION("""COMPUTED_VALUE"""),"HS")</f>
        <v>HS</v>
      </c>
    </row>
    <row r="3134" ht="15.75" customHeight="1">
      <c r="A3134" s="1" t="str">
        <f>IFERROR(__xludf.DUMMYFUNCTION("""COMPUTED_VALUE"""),"Andrii Mudryk")</f>
        <v>Andrii Mudryk</v>
      </c>
      <c r="B3134" s="1" t="str">
        <f>IFERROR(__xludf.DUMMYFUNCTION("""COMPUTED_VALUE"""),"HS")</f>
        <v>HS</v>
      </c>
    </row>
    <row r="3135" ht="15.75" customHeight="1">
      <c r="A3135" s="1" t="str">
        <f>IFERROR(__xludf.DUMMYFUNCTION("""COMPUTED_VALUE"""),"Romanovskyi Yaroslav")</f>
        <v>Romanovskyi Yaroslav</v>
      </c>
      <c r="B3135" s="1" t="str">
        <f>IFERROR(__xludf.DUMMYFUNCTION("""COMPUTED_VALUE"""),"HS")</f>
        <v>HS</v>
      </c>
    </row>
    <row r="3136" ht="15.75" customHeight="1">
      <c r="A3136" s="1" t="str">
        <f>IFERROR(__xludf.DUMMYFUNCTION("""COMPUTED_VALUE"""),"Kustovska Polina")</f>
        <v>Kustovska Polina</v>
      </c>
      <c r="B3136" s="1" t="str">
        <f>IFERROR(__xludf.DUMMYFUNCTION("""COMPUTED_VALUE"""),"HS")</f>
        <v>HS</v>
      </c>
    </row>
    <row r="3137" ht="15.75" customHeight="1">
      <c r="A3137" s="1" t="str">
        <f>IFERROR(__xludf.DUMMYFUNCTION("""COMPUTED_VALUE"""),"Lev Hvozdetskyi")</f>
        <v>Lev Hvozdetskyi</v>
      </c>
      <c r="B3137" s="1" t="str">
        <f>IFERROR(__xludf.DUMMYFUNCTION("""COMPUTED_VALUE"""),"HS")</f>
        <v>HS</v>
      </c>
    </row>
    <row r="3138" ht="15.75" customHeight="1">
      <c r="A3138" s="1" t="str">
        <f>IFERROR(__xludf.DUMMYFUNCTION("""COMPUTED_VALUE"""),"Sofia Rudiuk")</f>
        <v>Sofia Rudiuk</v>
      </c>
      <c r="B3138" s="1" t="str">
        <f>IFERROR(__xludf.DUMMYFUNCTION("""COMPUTED_VALUE"""),"HS")</f>
        <v>HS</v>
      </c>
    </row>
    <row r="3139" ht="15.75" customHeight="1">
      <c r="A3139" s="1" t="str">
        <f>IFERROR(__xludf.DUMMYFUNCTION("""COMPUTED_VALUE"""),"Test Poland")</f>
        <v>Test Poland</v>
      </c>
      <c r="B3139" s="1" t="str">
        <f>IFERROR(__xludf.DUMMYFUNCTION("""COMPUTED_VALUE"""),"MS")</f>
        <v>MS</v>
      </c>
    </row>
    <row r="3140" ht="15.75" customHeight="1">
      <c r="A3140" s="1" t="str">
        <f>IFERROR(__xludf.DUMMYFUNCTION("""COMPUTED_VALUE"""),"Timur Pavlov")</f>
        <v>Timur Pavlov</v>
      </c>
      <c r="B3140" s="1" t="str">
        <f>IFERROR(__xludf.DUMMYFUNCTION("""COMPUTED_VALUE"""),"HS")</f>
        <v>HS</v>
      </c>
    </row>
    <row r="3141" ht="15.75" customHeight="1">
      <c r="A3141" s="1" t="str">
        <f>IFERROR(__xludf.DUMMYFUNCTION("""COMPUTED_VALUE"""),"Ulana Pavlova")</f>
        <v>Ulana Pavlova</v>
      </c>
      <c r="B3141" s="1" t="str">
        <f>IFERROR(__xludf.DUMMYFUNCTION("""COMPUTED_VALUE"""),"MS")</f>
        <v>MS</v>
      </c>
    </row>
    <row r="3142" ht="15.75" customHeight="1">
      <c r="A3142" s="1" t="str">
        <f>IFERROR(__xludf.DUMMYFUNCTION("""COMPUTED_VALUE"""),"Mariia Romantseva")</f>
        <v>Mariia Romantseva</v>
      </c>
      <c r="B3142" s="1" t="str">
        <f>IFERROR(__xludf.DUMMYFUNCTION("""COMPUTED_VALUE"""),"LL")</f>
        <v>LL</v>
      </c>
    </row>
    <row r="3143" ht="15.75" customHeight="1">
      <c r="A3143" s="1" t="str">
        <f>IFERROR(__xludf.DUMMYFUNCTION("""COMPUTED_VALUE"""),"Polina Kozak")</f>
        <v>Polina Kozak</v>
      </c>
      <c r="B3143" s="1" t="str">
        <f>IFERROR(__xludf.DUMMYFUNCTION("""COMPUTED_VALUE"""),"LL")</f>
        <v>LL</v>
      </c>
    </row>
    <row r="3144" ht="15.75" customHeight="1">
      <c r="A3144" s="1" t="str">
        <f>IFERROR(__xludf.DUMMYFUNCTION("""COMPUTED_VALUE"""),"Tetiana Savinova")</f>
        <v>Tetiana Savinova</v>
      </c>
      <c r="B3144" s="1" t="str">
        <f>IFERROR(__xludf.DUMMYFUNCTION("""COMPUTED_VALUE"""),"LL")</f>
        <v>LL</v>
      </c>
    </row>
    <row r="3145" ht="15.75" customHeight="1">
      <c r="A3145" s="1" t="str">
        <f>IFERROR(__xludf.DUMMYFUNCTION("""COMPUTED_VALUE"""),"Alisa Hramushko")</f>
        <v>Alisa Hramushko</v>
      </c>
      <c r="B3145" s="1" t="str">
        <f>IFERROR(__xludf.DUMMYFUNCTION("""COMPUTED_VALUE"""),"L1")</f>
        <v>L1</v>
      </c>
    </row>
    <row r="3146" ht="15.75" customHeight="1">
      <c r="A3146" s="1" t="str">
        <f>IFERROR(__xludf.DUMMYFUNCTION("""COMPUTED_VALUE"""),"Mariana Artemieva")</f>
        <v>Mariana Artemieva</v>
      </c>
      <c r="B3146" s="1" t="str">
        <f>IFERROR(__xludf.DUMMYFUNCTION("""COMPUTED_VALUE"""),"L1")</f>
        <v>L1</v>
      </c>
    </row>
    <row r="3147" ht="15.75" customHeight="1">
      <c r="A3147" s="1" t="str">
        <f>IFERROR(__xludf.DUMMYFUNCTION("""COMPUTED_VALUE"""),"Mariia Lashchenko")</f>
        <v>Mariia Lashchenko</v>
      </c>
      <c r="B3147" s="1" t="str">
        <f>IFERROR(__xludf.DUMMYFUNCTION("""COMPUTED_VALUE"""),"L1")</f>
        <v>L1</v>
      </c>
    </row>
    <row r="3148" ht="15.75" customHeight="1">
      <c r="A3148" s="1" t="str">
        <f>IFERROR(__xludf.DUMMYFUNCTION("""COMPUTED_VALUE"""),"Ivan Delfas")</f>
        <v>Ivan Delfas</v>
      </c>
      <c r="B3148" s="1" t="str">
        <f>IFERROR(__xludf.DUMMYFUNCTION("""COMPUTED_VALUE"""),"L1")</f>
        <v>L1</v>
      </c>
    </row>
    <row r="3149" ht="15.75" customHeight="1">
      <c r="A3149" s="1" t="str">
        <f>IFERROR(__xludf.DUMMYFUNCTION("""COMPUTED_VALUE"""),"Kateryna Bubenets")</f>
        <v>Kateryna Bubenets</v>
      </c>
      <c r="B3149" s="1" t="str">
        <f>IFERROR(__xludf.DUMMYFUNCTION("""COMPUTED_VALUE"""),"L1")</f>
        <v>L1</v>
      </c>
    </row>
    <row r="3150" ht="15.75" customHeight="1">
      <c r="A3150" s="1" t="str">
        <f>IFERROR(__xludf.DUMMYFUNCTION("""COMPUTED_VALUE"""),"Kyrylo Kotov")</f>
        <v>Kyrylo Kotov</v>
      </c>
      <c r="B3150" s="1" t="str">
        <f>IFERROR(__xludf.DUMMYFUNCTION("""COMPUTED_VALUE"""),"L1")</f>
        <v>L1</v>
      </c>
    </row>
    <row r="3151" ht="15.75" customHeight="1">
      <c r="A3151" s="1" t="str">
        <f>IFERROR(__xludf.DUMMYFUNCTION("""COMPUTED_VALUE"""),"Sofiia Lebedieva")</f>
        <v>Sofiia Lebedieva</v>
      </c>
      <c r="B3151" s="1" t="str">
        <f>IFERROR(__xludf.DUMMYFUNCTION("""COMPUTED_VALUE"""),"L1")</f>
        <v>L1</v>
      </c>
    </row>
    <row r="3152" ht="15.75" customHeight="1">
      <c r="A3152" s="1" t="str">
        <f>IFERROR(__xludf.DUMMYFUNCTION("""COMPUTED_VALUE"""),"Anastasiia Stoliarchuk")</f>
        <v>Anastasiia Stoliarchuk</v>
      </c>
      <c r="B3152" s="1" t="str">
        <f>IFERROR(__xludf.DUMMYFUNCTION("""COMPUTED_VALUE"""),"L2")</f>
        <v>L2</v>
      </c>
    </row>
    <row r="3153" ht="15.75" customHeight="1">
      <c r="A3153" s="1" t="str">
        <f>IFERROR(__xludf.DUMMYFUNCTION("""COMPUTED_VALUE"""),"Aryna Artemieva")</f>
        <v>Aryna Artemieva</v>
      </c>
      <c r="B3153" s="1" t="str">
        <f>IFERROR(__xludf.DUMMYFUNCTION("""COMPUTED_VALUE"""),"L2")</f>
        <v>L2</v>
      </c>
    </row>
    <row r="3154" ht="15.75" customHeight="1">
      <c r="A3154" s="1" t="str">
        <f>IFERROR(__xludf.DUMMYFUNCTION("""COMPUTED_VALUE"""),"Bohdan Pasechnyk")</f>
        <v>Bohdan Pasechnyk</v>
      </c>
      <c r="B3154" s="1" t="str">
        <f>IFERROR(__xludf.DUMMYFUNCTION("""COMPUTED_VALUE"""),"L2")</f>
        <v>L2</v>
      </c>
    </row>
    <row r="3155" ht="15.75" customHeight="1">
      <c r="A3155" s="1" t="str">
        <f>IFERROR(__xludf.DUMMYFUNCTION("""COMPUTED_VALUE"""),"Protsenko Danylo")</f>
        <v>Protsenko Danylo</v>
      </c>
      <c r="B3155" s="1" t="str">
        <f>IFERROR(__xludf.DUMMYFUNCTION("""COMPUTED_VALUE"""),"L2")</f>
        <v>L2</v>
      </c>
    </row>
    <row r="3156" ht="15.75" customHeight="1">
      <c r="A3156" s="1" t="str">
        <f>IFERROR(__xludf.DUMMYFUNCTION("""COMPUTED_VALUE"""),"Svitlana Prokhortseva")</f>
        <v>Svitlana Prokhortseva</v>
      </c>
      <c r="B3156" s="1" t="str">
        <f>IFERROR(__xludf.DUMMYFUNCTION("""COMPUTED_VALUE"""),"L2")</f>
        <v>L2</v>
      </c>
    </row>
    <row r="3157" ht="15.75" customHeight="1">
      <c r="A3157" s="1" t="str">
        <f>IFERROR(__xludf.DUMMYFUNCTION("""COMPUTED_VALUE"""),"Oleksandr Kaliuzhnyi")</f>
        <v>Oleksandr Kaliuzhnyi</v>
      </c>
      <c r="B3157" s="1" t="str">
        <f>IFERROR(__xludf.DUMMYFUNCTION("""COMPUTED_VALUE"""),"L2")</f>
        <v>L2</v>
      </c>
    </row>
    <row r="3158" ht="15.75" customHeight="1">
      <c r="A3158" s="1" t="str">
        <f>IFERROR(__xludf.DUMMYFUNCTION("""COMPUTED_VALUE"""),"Denys Nizelskyi")</f>
        <v>Denys Nizelskyi</v>
      </c>
      <c r="B3158" s="1" t="str">
        <f>IFERROR(__xludf.DUMMYFUNCTION("""COMPUTED_VALUE"""),"MS")</f>
        <v>MS</v>
      </c>
    </row>
    <row r="3159" ht="15.75" customHeight="1">
      <c r="A3159" s="1" t="str">
        <f>IFERROR(__xludf.DUMMYFUNCTION("""COMPUTED_VALUE"""),"Jaroslaw Nizelskyi")</f>
        <v>Jaroslaw Nizelskyi</v>
      </c>
      <c r="B3159" s="1" t="str">
        <f>IFERROR(__xludf.DUMMYFUNCTION("""COMPUTED_VALUE"""),"MS")</f>
        <v>MS</v>
      </c>
    </row>
    <row r="3160" ht="15.75" customHeight="1">
      <c r="A3160" s="1" t="str">
        <f>IFERROR(__xludf.DUMMYFUNCTION("""COMPUTED_VALUE"""),"Kateryna Romantseva")</f>
        <v>Kateryna Romantseva</v>
      </c>
      <c r="B3160" s="1" t="str">
        <f>IFERROR(__xludf.DUMMYFUNCTION("""COMPUTED_VALUE"""),"MS")</f>
        <v>MS</v>
      </c>
    </row>
    <row r="3161" ht="15.75" customHeight="1">
      <c r="A3161" s="1" t="str">
        <f>IFERROR(__xludf.DUMMYFUNCTION("""COMPUTED_VALUE"""),"Nika Raketska")</f>
        <v>Nika Raketska</v>
      </c>
      <c r="B3161" s="1" t="str">
        <f>IFERROR(__xludf.DUMMYFUNCTION("""COMPUTED_VALUE"""),"MS")</f>
        <v>MS</v>
      </c>
    </row>
    <row r="3162" ht="15.75" customHeight="1">
      <c r="A3162" s="1" t="str">
        <f>IFERROR(__xludf.DUMMYFUNCTION("""COMPUTED_VALUE"""),"Volodymyr Slobodianiuk")</f>
        <v>Volodymyr Slobodianiuk</v>
      </c>
      <c r="B3162" s="1" t="str">
        <f>IFERROR(__xludf.DUMMYFUNCTION("""COMPUTED_VALUE"""),"MS")</f>
        <v>MS</v>
      </c>
    </row>
    <row r="3163" ht="15.75" customHeight="1">
      <c r="A3163" s="1" t="str">
        <f>IFERROR(__xludf.DUMMYFUNCTION("""COMPUTED_VALUE"""),"Yevheniia Dozhdova")</f>
        <v>Yevheniia Dozhdova</v>
      </c>
      <c r="B3163" s="1" t="str">
        <f>IFERROR(__xludf.DUMMYFUNCTION("""COMPUTED_VALUE"""),"MS")</f>
        <v>MS</v>
      </c>
    </row>
    <row r="3164" ht="15.75" customHeight="1">
      <c r="A3164" s="1" t="str">
        <f>IFERROR(__xludf.DUMMYFUNCTION("""COMPUTED_VALUE"""),"Andrii Loiko")</f>
        <v>Andrii Loiko</v>
      </c>
      <c r="B3164" s="1" t="str">
        <f>IFERROR(__xludf.DUMMYFUNCTION("""COMPUTED_VALUE"""),"MS")</f>
        <v>MS</v>
      </c>
    </row>
    <row r="3165" ht="15.75" customHeight="1">
      <c r="A3165" s="1" t="str">
        <f>IFERROR(__xludf.DUMMYFUNCTION("""COMPUTED_VALUE"""),"Daria Norikova")</f>
        <v>Daria Norikova</v>
      </c>
      <c r="B3165" s="1" t="str">
        <f>IFERROR(__xludf.DUMMYFUNCTION("""COMPUTED_VALUE"""),"MS")</f>
        <v>MS</v>
      </c>
    </row>
    <row r="3166" ht="15.75" customHeight="1">
      <c r="A3166" s="1" t="str">
        <f>IFERROR(__xludf.DUMMYFUNCTION("""COMPUTED_VALUE"""),"Makar Vasilev")</f>
        <v>Makar Vasilev</v>
      </c>
      <c r="B3166" s="1" t="str">
        <f>IFERROR(__xludf.DUMMYFUNCTION("""COMPUTED_VALUE"""),"MS")</f>
        <v>MS</v>
      </c>
    </row>
    <row r="3167" ht="15.75" customHeight="1">
      <c r="A3167" s="1" t="str">
        <f>IFERROR(__xludf.DUMMYFUNCTION("""COMPUTED_VALUE"""),"Polina Kot")</f>
        <v>Polina Kot</v>
      </c>
      <c r="B3167" s="1" t="str">
        <f>IFERROR(__xludf.DUMMYFUNCTION("""COMPUTED_VALUE"""),"MS")</f>
        <v>MS</v>
      </c>
    </row>
    <row r="3168" ht="15.75" customHeight="1">
      <c r="A3168" s="1" t="str">
        <f>IFERROR(__xludf.DUMMYFUNCTION("""COMPUTED_VALUE"""),"Rostyslav Branovskyi")</f>
        <v>Rostyslav Branovskyi</v>
      </c>
      <c r="B3168" s="1" t="str">
        <f>IFERROR(__xludf.DUMMYFUNCTION("""COMPUTED_VALUE"""),"MS")</f>
        <v>MS</v>
      </c>
    </row>
    <row r="3169" ht="15.75" customHeight="1">
      <c r="A3169" s="1" t="str">
        <f>IFERROR(__xludf.DUMMYFUNCTION("""COMPUTED_VALUE"""),"Bogdan Plakhuta")</f>
        <v>Bogdan Plakhuta</v>
      </c>
      <c r="B3169" s="1" t="str">
        <f>IFERROR(__xludf.DUMMYFUNCTION("""COMPUTED_VALUE"""),"MS")</f>
        <v>MS</v>
      </c>
    </row>
    <row r="3170" ht="15.75" customHeight="1">
      <c r="A3170" s="1" t="str">
        <f>IFERROR(__xludf.DUMMYFUNCTION("""COMPUTED_VALUE"""),"Kira Likhachova")</f>
        <v>Kira Likhachova</v>
      </c>
      <c r="B3170" s="1" t="str">
        <f>IFERROR(__xludf.DUMMYFUNCTION("""COMPUTED_VALUE"""),"MS")</f>
        <v>MS</v>
      </c>
    </row>
    <row r="3171" ht="15.75" customHeight="1">
      <c r="A3171" s="1" t="str">
        <f>IFERROR(__xludf.DUMMYFUNCTION("""COMPUTED_VALUE"""),"Kostiantyn Hnatiuk")</f>
        <v>Kostiantyn Hnatiuk</v>
      </c>
      <c r="B3171" s="1" t="str">
        <f>IFERROR(__xludf.DUMMYFUNCTION("""COMPUTED_VALUE"""),"MS")</f>
        <v>MS</v>
      </c>
    </row>
    <row r="3172" ht="15.75" customHeight="1">
      <c r="A3172" s="1" t="str">
        <f>IFERROR(__xludf.DUMMYFUNCTION("""COMPUTED_VALUE"""),"Kseniia Zavadska")</f>
        <v>Kseniia Zavadska</v>
      </c>
      <c r="B3172" s="1" t="str">
        <f>IFERROR(__xludf.DUMMYFUNCTION("""COMPUTED_VALUE"""),"MS")</f>
        <v>MS</v>
      </c>
    </row>
    <row r="3173" ht="15.75" customHeight="1">
      <c r="A3173" s="1" t="str">
        <f>IFERROR(__xludf.DUMMYFUNCTION("""COMPUTED_VALUE"""),"Nikita Kornienko")</f>
        <v>Nikita Kornienko</v>
      </c>
      <c r="B3173" s="1" t="str">
        <f>IFERROR(__xludf.DUMMYFUNCTION("""COMPUTED_VALUE"""),"MS")</f>
        <v>MS</v>
      </c>
    </row>
    <row r="3174" ht="15.75" customHeight="1">
      <c r="A3174" s="1" t="str">
        <f>IFERROR(__xludf.DUMMYFUNCTION("""COMPUTED_VALUE"""),"Nikita Valkov")</f>
        <v>Nikita Valkov</v>
      </c>
      <c r="B3174" s="1" t="str">
        <f>IFERROR(__xludf.DUMMYFUNCTION("""COMPUTED_VALUE"""),"MS")</f>
        <v>MS</v>
      </c>
    </row>
    <row r="3175" ht="15.75" customHeight="1">
      <c r="A3175" s="1" t="str">
        <f>IFERROR(__xludf.DUMMYFUNCTION("""COMPUTED_VALUE"""),"Snizhana Likhachova")</f>
        <v>Snizhana Likhachova</v>
      </c>
      <c r="B3175" s="1" t="str">
        <f>IFERROR(__xludf.DUMMYFUNCTION("""COMPUTED_VALUE"""),"MS")</f>
        <v>MS</v>
      </c>
    </row>
    <row r="3176" ht="15.75" customHeight="1">
      <c r="A3176" s="1" t="str">
        <f>IFERROR(__xludf.DUMMYFUNCTION("""COMPUTED_VALUE"""),"Vechirko Oleksii")</f>
        <v>Vechirko Oleksii</v>
      </c>
      <c r="B3176" s="1" t="str">
        <f>IFERROR(__xludf.DUMMYFUNCTION("""COMPUTED_VALUE"""),"MS")</f>
        <v>MS</v>
      </c>
    </row>
    <row r="3177" ht="15.75" customHeight="1">
      <c r="A3177" s="1" t="str">
        <f>IFERROR(__xludf.DUMMYFUNCTION("""COMPUTED_VALUE"""),"Zlatoslava Ivantsova")</f>
        <v>Zlatoslava Ivantsova</v>
      </c>
      <c r="B3177" s="1" t="str">
        <f>IFERROR(__xludf.DUMMYFUNCTION("""COMPUTED_VALUE"""),"MS")</f>
        <v>MS</v>
      </c>
    </row>
    <row r="3178" ht="15.75" customHeight="1">
      <c r="A3178" s="1" t="str">
        <f>IFERROR(__xludf.DUMMYFUNCTION("""COMPUTED_VALUE"""),"Artur Simkin")</f>
        <v>Artur Simkin</v>
      </c>
      <c r="B3178" s="1" t="str">
        <f>IFERROR(__xludf.DUMMYFUNCTION("""COMPUTED_VALUE"""),"HS")</f>
        <v>HS</v>
      </c>
    </row>
    <row r="3179" ht="15.75" customHeight="1">
      <c r="A3179" s="1" t="str">
        <f>IFERROR(__xludf.DUMMYFUNCTION("""COMPUTED_VALUE"""),"Maksim Rozhkov")</f>
        <v>Maksim Rozhkov</v>
      </c>
      <c r="B3179" s="1" t="str">
        <f>IFERROR(__xludf.DUMMYFUNCTION("""COMPUTED_VALUE"""),"HS")</f>
        <v>HS</v>
      </c>
    </row>
    <row r="3180" ht="15.75" customHeight="1">
      <c r="A3180" s="1" t="str">
        <f>IFERROR(__xludf.DUMMYFUNCTION("""COMPUTED_VALUE"""),"Maksym Martynov")</f>
        <v>Maksym Martynov</v>
      </c>
      <c r="B3180" s="1" t="str">
        <f>IFERROR(__xludf.DUMMYFUNCTION("""COMPUTED_VALUE"""),"HS")</f>
        <v>HS</v>
      </c>
    </row>
    <row r="3181" ht="15.75" customHeight="1">
      <c r="A3181" s="1" t="str">
        <f>IFERROR(__xludf.DUMMYFUNCTION("""COMPUTED_VALUE"""),"Tereza Branovska")</f>
        <v>Tereza Branovska</v>
      </c>
      <c r="B3181" s="1" t="str">
        <f>IFERROR(__xludf.DUMMYFUNCTION("""COMPUTED_VALUE"""),"HS")</f>
        <v>HS</v>
      </c>
    </row>
    <row r="3182" ht="15.75" customHeight="1">
      <c r="A3182" s="1" t="str">
        <f>IFERROR(__xludf.DUMMYFUNCTION("""COMPUTED_VALUE"""),"Kapustian Mikita")</f>
        <v>Kapustian Mikita</v>
      </c>
      <c r="B3182" s="1" t="str">
        <f>IFERROR(__xludf.DUMMYFUNCTION("""COMPUTED_VALUE"""),"HS")</f>
        <v>HS</v>
      </c>
    </row>
    <row r="3183" ht="15.75" customHeight="1">
      <c r="A3183" s="1" t="str">
        <f>IFERROR(__xludf.DUMMYFUNCTION("""COMPUTED_VALUE"""),"Mykyta Klochko")</f>
        <v>Mykyta Klochko</v>
      </c>
      <c r="B3183" s="1" t="str">
        <f>IFERROR(__xludf.DUMMYFUNCTION("""COMPUTED_VALUE"""),"HS")</f>
        <v>HS</v>
      </c>
    </row>
    <row r="3184" ht="15.75" customHeight="1">
      <c r="A3184" s="1" t="str">
        <f>IFERROR(__xludf.DUMMYFUNCTION("""COMPUTED_VALUE"""),"Solomiya Andreychuk")</f>
        <v>Solomiya Andreychuk</v>
      </c>
      <c r="B3184" s="1" t="str">
        <f>IFERROR(__xludf.DUMMYFUNCTION("""COMPUTED_VALUE"""),"HS")</f>
        <v>HS</v>
      </c>
    </row>
    <row r="3185" ht="15.75" customHeight="1">
      <c r="A3185" s="1" t="str">
        <f>IFERROR(__xludf.DUMMYFUNCTION("""COMPUTED_VALUE"""),"Anton Savinov")</f>
        <v>Anton Savinov</v>
      </c>
      <c r="B3185" s="1" t="str">
        <f>IFERROR(__xludf.DUMMYFUNCTION("""COMPUTED_VALUE"""),"HS")</f>
        <v>HS</v>
      </c>
    </row>
    <row r="3186" ht="15.75" customHeight="1">
      <c r="A3186" s="1" t="str">
        <f>IFERROR(__xludf.DUMMYFUNCTION("""COMPUTED_VALUE"""),"Roman Sorochak")</f>
        <v>Roman Sorochak</v>
      </c>
      <c r="B3186" s="1" t="str">
        <f>IFERROR(__xludf.DUMMYFUNCTION("""COMPUTED_VALUE"""),"HS")</f>
        <v>HS</v>
      </c>
    </row>
    <row r="3187" ht="15.75" customHeight="1">
      <c r="A3187" s="1" t="str">
        <f>IFERROR(__xludf.DUMMYFUNCTION("""COMPUTED_VALUE"""),"Tamila Mydianka")</f>
        <v>Tamila Mydianka</v>
      </c>
      <c r="B3187" s="1" t="str">
        <f>IFERROR(__xludf.DUMMYFUNCTION("""COMPUTED_VALUE"""),"HS")</f>
        <v>HS</v>
      </c>
    </row>
    <row r="3188" ht="15.75" customHeight="1">
      <c r="A3188" s="1" t="str">
        <f>IFERROR(__xludf.DUMMYFUNCTION("""COMPUTED_VALUE"""),"Merkulova Veronika")</f>
        <v>Merkulova Veronika</v>
      </c>
      <c r="B3188" s="1" t="str">
        <f>IFERROR(__xludf.DUMMYFUNCTION("""COMPUTED_VALUE"""),"HS")</f>
        <v>HS</v>
      </c>
    </row>
    <row r="3189" ht="15.75" customHeight="1">
      <c r="A3189" s="1" t="str">
        <f>IFERROR(__xludf.DUMMYFUNCTION("""COMPUTED_VALUE"""),"Maksym Riadinskyi")</f>
        <v>Maksym Riadinskyi</v>
      </c>
      <c r="B3189" s="1" t="str">
        <f>IFERROR(__xludf.DUMMYFUNCTION("""COMPUTED_VALUE"""),"LL")</f>
        <v>LL</v>
      </c>
    </row>
    <row r="3190" ht="15.75" customHeight="1">
      <c r="A3190" s="1" t="str">
        <f>IFERROR(__xludf.DUMMYFUNCTION("""COMPUTED_VALUE"""),"Kirill Mikhailichenko")</f>
        <v>Kirill Mikhailichenko</v>
      </c>
      <c r="B3190" s="1" t="str">
        <f>IFERROR(__xludf.DUMMYFUNCTION("""COMPUTED_VALUE"""),"LL")</f>
        <v>LL</v>
      </c>
    </row>
    <row r="3191" ht="15.75" customHeight="1">
      <c r="A3191" s="1" t="str">
        <f>IFERROR(__xludf.DUMMYFUNCTION("""COMPUTED_VALUE"""),"Tymur Tykhomyrov")</f>
        <v>Tymur Tykhomyrov</v>
      </c>
      <c r="B3191" s="1" t="str">
        <f>IFERROR(__xludf.DUMMYFUNCTION("""COMPUTED_VALUE"""),"L1")</f>
        <v>L1</v>
      </c>
    </row>
    <row r="3192" ht="15.75" customHeight="1">
      <c r="A3192" s="1" t="str">
        <f>IFERROR(__xludf.DUMMYFUNCTION("""COMPUTED_VALUE"""),"Artem Kasarab")</f>
        <v>Artem Kasarab</v>
      </c>
      <c r="B3192" s="1" t="str">
        <f>IFERROR(__xludf.DUMMYFUNCTION("""COMPUTED_VALUE"""),"L1")</f>
        <v>L1</v>
      </c>
    </row>
    <row r="3193" ht="15.75" customHeight="1">
      <c r="A3193" s="1" t="str">
        <f>IFERROR(__xludf.DUMMYFUNCTION("""COMPUTED_VALUE"""),"Sofiia Shved")</f>
        <v>Sofiia Shved</v>
      </c>
      <c r="B3193" s="1" t="str">
        <f>IFERROR(__xludf.DUMMYFUNCTION("""COMPUTED_VALUE"""),"L1")</f>
        <v>L1</v>
      </c>
    </row>
    <row r="3194" ht="15.75" customHeight="1">
      <c r="A3194" s="1" t="str">
        <f>IFERROR(__xludf.DUMMYFUNCTION("""COMPUTED_VALUE"""),"Yelizaveta Zhupynska")</f>
        <v>Yelizaveta Zhupynska</v>
      </c>
      <c r="B3194" s="1" t="str">
        <f>IFERROR(__xludf.DUMMYFUNCTION("""COMPUTED_VALUE"""),"L1")</f>
        <v>L1</v>
      </c>
    </row>
    <row r="3195" ht="15.75" customHeight="1">
      <c r="A3195" s="1" t="str">
        <f>IFERROR(__xludf.DUMMYFUNCTION("""COMPUTED_VALUE"""),"Chirpak Anna")</f>
        <v>Chirpak Anna</v>
      </c>
      <c r="B3195" s="1" t="str">
        <f>IFERROR(__xludf.DUMMYFUNCTION("""COMPUTED_VALUE"""),"L1")</f>
        <v>L1</v>
      </c>
    </row>
    <row r="3196" ht="15.75" customHeight="1">
      <c r="A3196" s="1" t="str">
        <f>IFERROR(__xludf.DUMMYFUNCTION("""COMPUTED_VALUE"""),"Anna Zaplava")</f>
        <v>Anna Zaplava</v>
      </c>
      <c r="B3196" s="1" t="str">
        <f>IFERROR(__xludf.DUMMYFUNCTION("""COMPUTED_VALUE"""),"L1")</f>
        <v>L1</v>
      </c>
    </row>
    <row r="3197" ht="15.75" customHeight="1">
      <c r="A3197" s="1" t="str">
        <f>IFERROR(__xludf.DUMMYFUNCTION("""COMPUTED_VALUE"""),"Yelyzaveta Brahina")</f>
        <v>Yelyzaveta Brahina</v>
      </c>
      <c r="B3197" s="1" t="str">
        <f>IFERROR(__xludf.DUMMYFUNCTION("""COMPUTED_VALUE"""),"L1")</f>
        <v>L1</v>
      </c>
    </row>
    <row r="3198" ht="15.75" customHeight="1">
      <c r="A3198" s="1" t="str">
        <f>IFERROR(__xludf.DUMMYFUNCTION("""COMPUTED_VALUE"""),"Yevstropova Tereza")</f>
        <v>Yevstropova Tereza</v>
      </c>
      <c r="B3198" s="1" t="str">
        <f>IFERROR(__xludf.DUMMYFUNCTION("""COMPUTED_VALUE"""),"L1")</f>
        <v>L1</v>
      </c>
    </row>
    <row r="3199" ht="15.75" customHeight="1">
      <c r="A3199" s="1" t="str">
        <f>IFERROR(__xludf.DUMMYFUNCTION("""COMPUTED_VALUE"""),"Sebestyen Dorka")</f>
        <v>Sebestyen Dorka</v>
      </c>
      <c r="B3199" s="1" t="str">
        <f>IFERROR(__xludf.DUMMYFUNCTION("""COMPUTED_VALUE"""),"L1")</f>
        <v>L1</v>
      </c>
    </row>
    <row r="3200" ht="15.75" customHeight="1">
      <c r="A3200" s="1" t="str">
        <f>IFERROR(__xludf.DUMMYFUNCTION("""COMPUTED_VALUE"""),"Sebestyen Patrik")</f>
        <v>Sebestyen Patrik</v>
      </c>
      <c r="B3200" s="1" t="str">
        <f>IFERROR(__xludf.DUMMYFUNCTION("""COMPUTED_VALUE"""),"L1")</f>
        <v>L1</v>
      </c>
    </row>
    <row r="3201" ht="15.75" customHeight="1">
      <c r="A3201" s="1" t="str">
        <f>IFERROR(__xludf.DUMMYFUNCTION("""COMPUTED_VALUE"""),"Ispir Yelyzaveta")</f>
        <v>Ispir Yelyzaveta</v>
      </c>
      <c r="B3201" s="1" t="str">
        <f>IFERROR(__xludf.DUMMYFUNCTION("""COMPUTED_VALUE"""),"L1")</f>
        <v>L1</v>
      </c>
    </row>
    <row r="3202" ht="15.75" customHeight="1">
      <c r="A3202" s="1" t="str">
        <f>IFERROR(__xludf.DUMMYFUNCTION("""COMPUTED_VALUE"""),"Zlata Levytska")</f>
        <v>Zlata Levytska</v>
      </c>
      <c r="B3202" s="1" t="str">
        <f>IFERROR(__xludf.DUMMYFUNCTION("""COMPUTED_VALUE"""),"L1")</f>
        <v>L1</v>
      </c>
    </row>
    <row r="3203" ht="15.75" customHeight="1">
      <c r="A3203" s="1" t="str">
        <f>IFERROR(__xludf.DUMMYFUNCTION("""COMPUTED_VALUE"""),"Artem Khvorostov")</f>
        <v>Artem Khvorostov</v>
      </c>
      <c r="B3203" s="1" t="str">
        <f>IFERROR(__xludf.DUMMYFUNCTION("""COMPUTED_VALUE"""),"L1")</f>
        <v>L1</v>
      </c>
    </row>
    <row r="3204" ht="15.75" customHeight="1">
      <c r="A3204" s="1" t="str">
        <f>IFERROR(__xludf.DUMMYFUNCTION("""COMPUTED_VALUE"""),"Kyryl Lavrynchuk")</f>
        <v>Kyryl Lavrynchuk</v>
      </c>
      <c r="B3204" s="1" t="str">
        <f>IFERROR(__xludf.DUMMYFUNCTION("""COMPUTED_VALUE"""),"L2")</f>
        <v>L2</v>
      </c>
    </row>
    <row r="3205" ht="15.75" customHeight="1">
      <c r="A3205" s="1" t="str">
        <f>IFERROR(__xludf.DUMMYFUNCTION("""COMPUTED_VALUE"""),"Veronika Marchenko")</f>
        <v>Veronika Marchenko</v>
      </c>
      <c r="B3205" s="1" t="str">
        <f>IFERROR(__xludf.DUMMYFUNCTION("""COMPUTED_VALUE"""),"L2")</f>
        <v>L2</v>
      </c>
    </row>
    <row r="3206" ht="15.75" customHeight="1">
      <c r="A3206" s="1" t="str">
        <f>IFERROR(__xludf.DUMMYFUNCTION("""COMPUTED_VALUE"""),"Nazar Vorobiov")</f>
        <v>Nazar Vorobiov</v>
      </c>
      <c r="B3206" s="1" t="str">
        <f>IFERROR(__xludf.DUMMYFUNCTION("""COMPUTED_VALUE"""),"L2")</f>
        <v>L2</v>
      </c>
    </row>
    <row r="3207" ht="15.75" customHeight="1">
      <c r="A3207" s="1" t="str">
        <f>IFERROR(__xludf.DUMMYFUNCTION("""COMPUTED_VALUE"""),"Sofiia Vasylenko")</f>
        <v>Sofiia Vasylenko</v>
      </c>
      <c r="B3207" s="1" t="str">
        <f>IFERROR(__xludf.DUMMYFUNCTION("""COMPUTED_VALUE"""),"L2")</f>
        <v>L2</v>
      </c>
    </row>
    <row r="3208" ht="15.75" customHeight="1">
      <c r="A3208" s="1" t="str">
        <f>IFERROR(__xludf.DUMMYFUNCTION("""COMPUTED_VALUE"""),"Maria Doroshenko")</f>
        <v>Maria Doroshenko</v>
      </c>
      <c r="B3208" s="1" t="str">
        <f>IFERROR(__xludf.DUMMYFUNCTION("""COMPUTED_VALUE"""),"L2")</f>
        <v>L2</v>
      </c>
    </row>
    <row r="3209" ht="15.75" customHeight="1">
      <c r="A3209" s="1" t="str">
        <f>IFERROR(__xludf.DUMMYFUNCTION("""COMPUTED_VALUE"""),"Yeva Vyshynska")</f>
        <v>Yeva Vyshynska</v>
      </c>
      <c r="B3209" s="1" t="str">
        <f>IFERROR(__xludf.DUMMYFUNCTION("""COMPUTED_VALUE"""),"L2")</f>
        <v>L2</v>
      </c>
    </row>
    <row r="3210" ht="15.75" customHeight="1">
      <c r="A3210" s="1" t="str">
        <f>IFERROR(__xludf.DUMMYFUNCTION("""COMPUTED_VALUE"""),"Yar Kovalenko")</f>
        <v>Yar Kovalenko</v>
      </c>
      <c r="B3210" s="1" t="str">
        <f>IFERROR(__xludf.DUMMYFUNCTION("""COMPUTED_VALUE"""),"L2")</f>
        <v>L2</v>
      </c>
    </row>
    <row r="3211" ht="15.75" customHeight="1">
      <c r="A3211" s="1" t="str">
        <f>IFERROR(__xludf.DUMMYFUNCTION("""COMPUTED_VALUE"""),"Ivan Koliesnik")</f>
        <v>Ivan Koliesnik</v>
      </c>
      <c r="B3211" s="1" t="str">
        <f>IFERROR(__xludf.DUMMYFUNCTION("""COMPUTED_VALUE"""),"L2")</f>
        <v>L2</v>
      </c>
    </row>
    <row r="3212" ht="15.75" customHeight="1">
      <c r="A3212" s="1" t="str">
        <f>IFERROR(__xludf.DUMMYFUNCTION("""COMPUTED_VALUE"""),"Angelina Milowanowa")</f>
        <v>Angelina Milowanowa</v>
      </c>
      <c r="B3212" s="1" t="str">
        <f>IFERROR(__xludf.DUMMYFUNCTION("""COMPUTED_VALUE"""),"L2")</f>
        <v>L2</v>
      </c>
    </row>
    <row r="3213" ht="15.75" customHeight="1">
      <c r="A3213" s="1" t="str">
        <f>IFERROR(__xludf.DUMMYFUNCTION("""COMPUTED_VALUE"""),"Vakulyuk Sofia")</f>
        <v>Vakulyuk Sofia</v>
      </c>
      <c r="B3213" s="1" t="str">
        <f>IFERROR(__xludf.DUMMYFUNCTION("""COMPUTED_VALUE"""),"L2")</f>
        <v>L2</v>
      </c>
    </row>
    <row r="3214" ht="15.75" customHeight="1">
      <c r="A3214" s="1" t="str">
        <f>IFERROR(__xludf.DUMMYFUNCTION("""COMPUTED_VALUE"""),"Sofiia Zhukova")</f>
        <v>Sofiia Zhukova</v>
      </c>
      <c r="B3214" s="1" t="str">
        <f>IFERROR(__xludf.DUMMYFUNCTION("""COMPUTED_VALUE"""),"MS")</f>
        <v>MS</v>
      </c>
    </row>
    <row r="3215" ht="15.75" customHeight="1">
      <c r="A3215" s="1" t="str">
        <f>IFERROR(__xludf.DUMMYFUNCTION("""COMPUTED_VALUE"""),"Mykyta Kosmachov")</f>
        <v>Mykyta Kosmachov</v>
      </c>
      <c r="B3215" s="1" t="str">
        <f>IFERROR(__xludf.DUMMYFUNCTION("""COMPUTED_VALUE"""),"MS")</f>
        <v>MS</v>
      </c>
    </row>
    <row r="3216" ht="15.75" customHeight="1">
      <c r="A3216" s="1" t="str">
        <f>IFERROR(__xludf.DUMMYFUNCTION("""COMPUTED_VALUE"""),"Anastasiia Zinkovska")</f>
        <v>Anastasiia Zinkovska</v>
      </c>
      <c r="B3216" s="1" t="str">
        <f>IFERROR(__xludf.DUMMYFUNCTION("""COMPUTED_VALUE"""),"MS")</f>
        <v>MS</v>
      </c>
    </row>
    <row r="3217" ht="15.75" customHeight="1">
      <c r="A3217" s="1" t="str">
        <f>IFERROR(__xludf.DUMMYFUNCTION("""COMPUTED_VALUE"""),"Kostiantyn Reznichenko")</f>
        <v>Kostiantyn Reznichenko</v>
      </c>
      <c r="B3217" s="1" t="str">
        <f>IFERROR(__xludf.DUMMYFUNCTION("""COMPUTED_VALUE"""),"MS")</f>
        <v>MS</v>
      </c>
    </row>
    <row r="3218" ht="15.75" customHeight="1">
      <c r="A3218" s="1" t="str">
        <f>IFERROR(__xludf.DUMMYFUNCTION("""COMPUTED_VALUE"""),"Mikhaylichenko Yeva")</f>
        <v>Mikhaylichenko Yeva</v>
      </c>
      <c r="B3218" s="1" t="str">
        <f>IFERROR(__xludf.DUMMYFUNCTION("""COMPUTED_VALUE"""),"MS")</f>
        <v>MS</v>
      </c>
    </row>
    <row r="3219" ht="15.75" customHeight="1">
      <c r="A3219" s="1" t="str">
        <f>IFERROR(__xludf.DUMMYFUNCTION("""COMPUTED_VALUE"""),"Marta Lozovyk")</f>
        <v>Marta Lozovyk</v>
      </c>
      <c r="B3219" s="1" t="str">
        <f>IFERROR(__xludf.DUMMYFUNCTION("""COMPUTED_VALUE"""),"MS")</f>
        <v>MS</v>
      </c>
    </row>
    <row r="3220" ht="15.75" customHeight="1">
      <c r="A3220" s="1" t="str">
        <f>IFERROR(__xludf.DUMMYFUNCTION("""COMPUTED_VALUE"""),"Valeriia Charkovska")</f>
        <v>Valeriia Charkovska</v>
      </c>
      <c r="B3220" s="1" t="str">
        <f>IFERROR(__xludf.DUMMYFUNCTION("""COMPUTED_VALUE"""),"MS")</f>
        <v>MS</v>
      </c>
    </row>
    <row r="3221" ht="15.75" customHeight="1">
      <c r="A3221" s="1" t="str">
        <f>IFERROR(__xludf.DUMMYFUNCTION("""COMPUTED_VALUE"""),"Tima Myzuka")</f>
        <v>Tima Myzuka</v>
      </c>
      <c r="B3221" s="1" t="str">
        <f>IFERROR(__xludf.DUMMYFUNCTION("""COMPUTED_VALUE"""),"MS")</f>
        <v>MS</v>
      </c>
    </row>
    <row r="3222" ht="15.75" customHeight="1">
      <c r="A3222" s="1" t="str">
        <f>IFERROR(__xludf.DUMMYFUNCTION("""COMPUTED_VALUE"""),"Bogdan Frolov")</f>
        <v>Bogdan Frolov</v>
      </c>
      <c r="B3222" s="1" t="str">
        <f>IFERROR(__xludf.DUMMYFUNCTION("""COMPUTED_VALUE"""),"MS")</f>
        <v>MS</v>
      </c>
    </row>
    <row r="3223" ht="15.75" customHeight="1">
      <c r="A3223" s="1" t="str">
        <f>IFERROR(__xludf.DUMMYFUNCTION("""COMPUTED_VALUE"""),"Poliakova Anna")</f>
        <v>Poliakova Anna</v>
      </c>
      <c r="B3223" s="1" t="str">
        <f>IFERROR(__xludf.DUMMYFUNCTION("""COMPUTED_VALUE"""),"MS")</f>
        <v>MS</v>
      </c>
    </row>
    <row r="3224" ht="15.75" customHeight="1">
      <c r="A3224" s="1" t="str">
        <f>IFERROR(__xludf.DUMMYFUNCTION("""COMPUTED_VALUE"""),"Ivan Deineko")</f>
        <v>Ivan Deineko</v>
      </c>
      <c r="B3224" s="1" t="str">
        <f>IFERROR(__xludf.DUMMYFUNCTION("""COMPUTED_VALUE"""),"MS")</f>
        <v>MS</v>
      </c>
    </row>
    <row r="3225" ht="15.75" customHeight="1">
      <c r="A3225" s="1" t="str">
        <f>IFERROR(__xludf.DUMMYFUNCTION("""COMPUTED_VALUE"""),"Chelovska Anna")</f>
        <v>Chelovska Anna</v>
      </c>
      <c r="B3225" s="1" t="str">
        <f>IFERROR(__xludf.DUMMYFUNCTION("""COMPUTED_VALUE"""),"MS")</f>
        <v>MS</v>
      </c>
    </row>
    <row r="3226" ht="15.75" customHeight="1">
      <c r="A3226" s="1" t="str">
        <f>IFERROR(__xludf.DUMMYFUNCTION("""COMPUTED_VALUE"""),"Hakalo Yevhen")</f>
        <v>Hakalo Yevhen</v>
      </c>
      <c r="B3226" s="1" t="str">
        <f>IFERROR(__xludf.DUMMYFUNCTION("""COMPUTED_VALUE"""),"MS")</f>
        <v>MS</v>
      </c>
    </row>
    <row r="3227" ht="15.75" customHeight="1">
      <c r="A3227" s="1" t="str">
        <f>IFERROR(__xludf.DUMMYFUNCTION("""COMPUTED_VALUE"""),"Chirpak Kristof")</f>
        <v>Chirpak Kristof</v>
      </c>
      <c r="B3227" s="1" t="str">
        <f>IFERROR(__xludf.DUMMYFUNCTION("""COMPUTED_VALUE"""),"MS")</f>
        <v>MS</v>
      </c>
    </row>
    <row r="3228" ht="15.75" customHeight="1">
      <c r="A3228" s="1" t="str">
        <f>IFERROR(__xludf.DUMMYFUNCTION("""COMPUTED_VALUE"""),"Berkovskyi Artem")</f>
        <v>Berkovskyi Artem</v>
      </c>
      <c r="B3228" s="1" t="str">
        <f>IFERROR(__xludf.DUMMYFUNCTION("""COMPUTED_VALUE"""),"MS")</f>
        <v>MS</v>
      </c>
    </row>
    <row r="3229" ht="15.75" customHeight="1">
      <c r="A3229" s="1" t="str">
        <f>IFERROR(__xludf.DUMMYFUNCTION("""COMPUTED_VALUE"""),"Arina Zabolotna")</f>
        <v>Arina Zabolotna</v>
      </c>
      <c r="B3229" s="1" t="str">
        <f>IFERROR(__xludf.DUMMYFUNCTION("""COMPUTED_VALUE"""),"MS")</f>
        <v>MS</v>
      </c>
    </row>
    <row r="3230" ht="15.75" customHeight="1">
      <c r="A3230" s="1" t="str">
        <f>IFERROR(__xludf.DUMMYFUNCTION("""COMPUTED_VALUE"""),"Kyrylo Marchenko")</f>
        <v>Kyrylo Marchenko</v>
      </c>
      <c r="B3230" s="1" t="str">
        <f>IFERROR(__xludf.DUMMYFUNCTION("""COMPUTED_VALUE"""),"MS")</f>
        <v>MS</v>
      </c>
    </row>
    <row r="3231" ht="15.75" customHeight="1">
      <c r="A3231" s="1" t="str">
        <f>IFERROR(__xludf.DUMMYFUNCTION("""COMPUTED_VALUE"""),"Oleksandr Provorov")</f>
        <v>Oleksandr Provorov</v>
      </c>
      <c r="B3231" s="1" t="str">
        <f>IFERROR(__xludf.DUMMYFUNCTION("""COMPUTED_VALUE"""),"MS")</f>
        <v>MS</v>
      </c>
    </row>
    <row r="3232" ht="15.75" customHeight="1">
      <c r="A3232" s="1" t="str">
        <f>IFERROR(__xludf.DUMMYFUNCTION("""COMPUTED_VALUE"""),"Zhurbyk Yelyzaveta")</f>
        <v>Zhurbyk Yelyzaveta</v>
      </c>
      <c r="B3232" s="1" t="str">
        <f>IFERROR(__xludf.DUMMYFUNCTION("""COMPUTED_VALUE"""),"MS")</f>
        <v>MS</v>
      </c>
    </row>
    <row r="3233" ht="15.75" customHeight="1">
      <c r="A3233" s="1" t="str">
        <f>IFERROR(__xludf.DUMMYFUNCTION("""COMPUTED_VALUE"""),"Maksym Dolyna")</f>
        <v>Maksym Dolyna</v>
      </c>
      <c r="B3233" s="1" t="str">
        <f>IFERROR(__xludf.DUMMYFUNCTION("""COMPUTED_VALUE"""),"MS")</f>
        <v>MS</v>
      </c>
    </row>
    <row r="3234" ht="15.75" customHeight="1">
      <c r="A3234" s="1" t="str">
        <f>IFERROR(__xludf.DUMMYFUNCTION("""COMPUTED_VALUE"""),"Solomiia Levytska")</f>
        <v>Solomiia Levytska</v>
      </c>
      <c r="B3234" s="1" t="str">
        <f>IFERROR(__xludf.DUMMYFUNCTION("""COMPUTED_VALUE"""),"MS")</f>
        <v>MS</v>
      </c>
    </row>
    <row r="3235" ht="15.75" customHeight="1">
      <c r="A3235" s="1" t="str">
        <f>IFERROR(__xludf.DUMMYFUNCTION("""COMPUTED_VALUE"""),"Arthur Yankovenko")</f>
        <v>Arthur Yankovenko</v>
      </c>
      <c r="B3235" s="1" t="str">
        <f>IFERROR(__xludf.DUMMYFUNCTION("""COMPUTED_VALUE"""),"MS")</f>
        <v>MS</v>
      </c>
    </row>
    <row r="3236" ht="15.75" customHeight="1">
      <c r="A3236" s="1" t="str">
        <f>IFERROR(__xludf.DUMMYFUNCTION("""COMPUTED_VALUE"""),"Deme Stella")</f>
        <v>Deme Stella</v>
      </c>
      <c r="B3236" s="1" t="str">
        <f>IFERROR(__xludf.DUMMYFUNCTION("""COMPUTED_VALUE"""),"MS")</f>
        <v>MS</v>
      </c>
    </row>
    <row r="3237" ht="15.75" customHeight="1">
      <c r="A3237" s="1" t="str">
        <f>IFERROR(__xludf.DUMMYFUNCTION("""COMPUTED_VALUE"""),"Vakulyuk Yana")</f>
        <v>Vakulyuk Yana</v>
      </c>
      <c r="B3237" s="1" t="str">
        <f>IFERROR(__xludf.DUMMYFUNCTION("""COMPUTED_VALUE"""),"MS")</f>
        <v>MS</v>
      </c>
    </row>
    <row r="3238" ht="15.75" customHeight="1">
      <c r="A3238" s="1" t="str">
        <f>IFERROR(__xludf.DUMMYFUNCTION("""COMPUTED_VALUE"""),"Maksym Povkh")</f>
        <v>Maksym Povkh</v>
      </c>
      <c r="B3238" s="1" t="str">
        <f>IFERROR(__xludf.DUMMYFUNCTION("""COMPUTED_VALUE"""),"MS")</f>
        <v>MS</v>
      </c>
    </row>
    <row r="3239" ht="15.75" customHeight="1">
      <c r="A3239" s="1" t="str">
        <f>IFERROR(__xludf.DUMMYFUNCTION("""COMPUTED_VALUE"""),"Kateryna Kerbut")</f>
        <v>Kateryna Kerbut</v>
      </c>
      <c r="B3239" s="1" t="str">
        <f>IFERROR(__xludf.DUMMYFUNCTION("""COMPUTED_VALUE"""),"MS")</f>
        <v>MS</v>
      </c>
    </row>
    <row r="3240" ht="15.75" customHeight="1">
      <c r="A3240" s="1" t="str">
        <f>IFERROR(__xludf.DUMMYFUNCTION("""COMPUTED_VALUE"""),"Yurii Kostiuk")</f>
        <v>Yurii Kostiuk</v>
      </c>
      <c r="B3240" s="1" t="str">
        <f>IFERROR(__xludf.DUMMYFUNCTION("""COMPUTED_VALUE"""),"HS")</f>
        <v>HS</v>
      </c>
    </row>
    <row r="3241" ht="15.75" customHeight="1">
      <c r="A3241" s="1" t="str">
        <f>IFERROR(__xludf.DUMMYFUNCTION("""COMPUTED_VALUE"""),"Polina Shylo")</f>
        <v>Polina Shylo</v>
      </c>
      <c r="B3241" s="1" t="str">
        <f>IFERROR(__xludf.DUMMYFUNCTION("""COMPUTED_VALUE"""),"HS")</f>
        <v>HS</v>
      </c>
    </row>
    <row r="3242" ht="15.75" customHeight="1">
      <c r="A3242" s="1" t="str">
        <f>IFERROR(__xludf.DUMMYFUNCTION("""COMPUTED_VALUE"""),"Pavlo Charkovskyi")</f>
        <v>Pavlo Charkovskyi</v>
      </c>
      <c r="B3242" s="1" t="str">
        <f>IFERROR(__xludf.DUMMYFUNCTION("""COMPUTED_VALUE"""),"HS")</f>
        <v>HS</v>
      </c>
    </row>
    <row r="3243" ht="15.75" customHeight="1">
      <c r="A3243" s="1" t="str">
        <f>IFERROR(__xludf.DUMMYFUNCTION("""COMPUTED_VALUE"""),"Yroslav Samarskyi")</f>
        <v>Yroslav Samarskyi</v>
      </c>
      <c r="B3243" s="1" t="str">
        <f>IFERROR(__xludf.DUMMYFUNCTION("""COMPUTED_VALUE"""),"HS")</f>
        <v>HS</v>
      </c>
    </row>
    <row r="3244" ht="15.75" customHeight="1">
      <c r="A3244" s="1" t="str">
        <f>IFERROR(__xludf.DUMMYFUNCTION("""COMPUTED_VALUE"""),"Taisiia Brichak")</f>
        <v>Taisiia Brichak</v>
      </c>
      <c r="B3244" s="1" t="str">
        <f>IFERROR(__xludf.DUMMYFUNCTION("""COMPUTED_VALUE"""),"HS")</f>
        <v>HS</v>
      </c>
    </row>
    <row r="3245" ht="15.75" customHeight="1">
      <c r="A3245" s="1" t="str">
        <f>IFERROR(__xludf.DUMMYFUNCTION("""COMPUTED_VALUE"""),"Hlib Koval")</f>
        <v>Hlib Koval</v>
      </c>
      <c r="B3245" s="1" t="str">
        <f>IFERROR(__xludf.DUMMYFUNCTION("""COMPUTED_VALUE"""),"HS")</f>
        <v>HS</v>
      </c>
    </row>
    <row r="3246" ht="15.75" customHeight="1">
      <c r="A3246" s="1" t="str">
        <f>IFERROR(__xludf.DUMMYFUNCTION("""COMPUTED_VALUE"""),"Roksolana Levytska")</f>
        <v>Roksolana Levytska</v>
      </c>
      <c r="B3246" s="1" t="str">
        <f>IFERROR(__xludf.DUMMYFUNCTION("""COMPUTED_VALUE"""),"HS")</f>
        <v>HS</v>
      </c>
    </row>
    <row r="3247" ht="15.75" customHeight="1">
      <c r="A3247" s="1" t="str">
        <f>IFERROR(__xludf.DUMMYFUNCTION("""COMPUTED_VALUE"""),"Roman Vasiura")</f>
        <v>Roman Vasiura</v>
      </c>
      <c r="B3247" s="1" t="str">
        <f>IFERROR(__xludf.DUMMYFUNCTION("""COMPUTED_VALUE"""),"HS")</f>
        <v>HS</v>
      </c>
    </row>
    <row r="3248" ht="15.75" customHeight="1">
      <c r="A3248" s="1" t="str">
        <f>IFERROR(__xludf.DUMMYFUNCTION("""COMPUTED_VALUE"""),"Hunko Artem")</f>
        <v>Hunko Artem</v>
      </c>
      <c r="B3248" s="1" t="str">
        <f>IFERROR(__xludf.DUMMYFUNCTION("""COMPUTED_VALUE"""),"HS")</f>
        <v>HS</v>
      </c>
    </row>
    <row r="3249" ht="15.75" customHeight="1">
      <c r="A3249" s="1" t="str">
        <f>IFERROR(__xludf.DUMMYFUNCTION("""COMPUTED_VALUE"""),"Palii Yaroslav")</f>
        <v>Palii Yaroslav</v>
      </c>
      <c r="B3249" s="1" t="str">
        <f>IFERROR(__xludf.DUMMYFUNCTION("""COMPUTED_VALUE"""),"HS")</f>
        <v>HS</v>
      </c>
    </row>
    <row r="3250" ht="15.75" customHeight="1">
      <c r="A3250" s="1" t="str">
        <f>IFERROR(__xludf.DUMMYFUNCTION("""COMPUTED_VALUE"""),"Chirpak Ester")</f>
        <v>Chirpak Ester</v>
      </c>
      <c r="B3250" s="1" t="str">
        <f>IFERROR(__xludf.DUMMYFUNCTION("""COMPUTED_VALUE"""),"HS")</f>
        <v>HS</v>
      </c>
    </row>
    <row r="3251" ht="15.75" customHeight="1">
      <c r="A3251" s="1" t="str">
        <f>IFERROR(__xludf.DUMMYFUNCTION("""COMPUTED_VALUE"""),"Bilov Arsenii")</f>
        <v>Bilov Arsenii</v>
      </c>
      <c r="B3251" s="1" t="str">
        <f>IFERROR(__xludf.DUMMYFUNCTION("""COMPUTED_VALUE"""),"HS")</f>
        <v>HS</v>
      </c>
    </row>
    <row r="3252" ht="15.75" customHeight="1">
      <c r="A3252" s="1" t="str">
        <f>IFERROR(__xludf.DUMMYFUNCTION("""COMPUTED_VALUE"""),"Daria Novenko")</f>
        <v>Daria Novenko</v>
      </c>
      <c r="B3252" s="1" t="str">
        <f>IFERROR(__xludf.DUMMYFUNCTION("""COMPUTED_VALUE"""),"HS")</f>
        <v>HS</v>
      </c>
    </row>
    <row r="3253" ht="15.75" customHeight="1">
      <c r="A3253" s="1" t="str">
        <f>IFERROR(__xludf.DUMMYFUNCTION("""COMPUTED_VALUE"""),"Davydenko Yevhenii")</f>
        <v>Davydenko Yevhenii</v>
      </c>
      <c r="B3253" s="1" t="str">
        <f>IFERROR(__xludf.DUMMYFUNCTION("""COMPUTED_VALUE"""),"HS")</f>
        <v>HS</v>
      </c>
    </row>
    <row r="3254" ht="15.75" customHeight="1">
      <c r="A3254" s="1" t="str">
        <f>IFERROR(__xludf.DUMMYFUNCTION("""COMPUTED_VALUE"""),"Sebestyen Mark")</f>
        <v>Sebestyen Mark</v>
      </c>
      <c r="B3254" s="1" t="str">
        <f>IFERROR(__xludf.DUMMYFUNCTION("""COMPUTED_VALUE"""),"HS")</f>
        <v>HS</v>
      </c>
    </row>
    <row r="3255" ht="15.75" customHeight="1">
      <c r="A3255" s="1" t="str">
        <f>IFERROR(__xludf.DUMMYFUNCTION("""COMPUTED_VALUE"""),"Marta Nagy")</f>
        <v>Marta Nagy</v>
      </c>
      <c r="B3255" s="1" t="str">
        <f>IFERROR(__xludf.DUMMYFUNCTION("""COMPUTED_VALUE"""),"HS")</f>
        <v>HS</v>
      </c>
    </row>
    <row r="3256" ht="15.75" customHeight="1">
      <c r="A3256" s="1" t="str">
        <f>IFERROR(__xludf.DUMMYFUNCTION("""COMPUTED_VALUE"""),"Anastasia Pelekhata")</f>
        <v>Anastasia Pelekhata</v>
      </c>
      <c r="B3256" s="1" t="str">
        <f>IFERROR(__xludf.DUMMYFUNCTION("""COMPUTED_VALUE"""),"HS")</f>
        <v>HS</v>
      </c>
    </row>
    <row r="3257" ht="15.75" customHeight="1">
      <c r="A3257" s="1" t="str">
        <f>IFERROR(__xludf.DUMMYFUNCTION("""COMPUTED_VALUE"""),"Mandziuk Maksym")</f>
        <v>Mandziuk Maksym</v>
      </c>
      <c r="B3257" s="1" t="str">
        <f>IFERROR(__xludf.DUMMYFUNCTION("""COMPUTED_VALUE"""),"HS")</f>
        <v>HS</v>
      </c>
    </row>
    <row r="3258" ht="15.75" customHeight="1">
      <c r="A3258" s="1" t="str">
        <f>IFERROR(__xludf.DUMMYFUNCTION("""COMPUTED_VALUE"""),"Elena Biro")</f>
        <v>Elena Biro</v>
      </c>
      <c r="B3258" s="1" t="str">
        <f>IFERROR(__xludf.DUMMYFUNCTION("""COMPUTED_VALUE"""),"HS")</f>
        <v>HS</v>
      </c>
    </row>
    <row r="3259" ht="15.75" customHeight="1">
      <c r="A3259" s="1" t="str">
        <f>IFERROR(__xludf.DUMMYFUNCTION("""COMPUTED_VALUE"""),"Anastasiia Telep")</f>
        <v>Anastasiia Telep</v>
      </c>
      <c r="B3259" s="1" t="str">
        <f>IFERROR(__xludf.DUMMYFUNCTION("""COMPUTED_VALUE"""),"HS")</f>
        <v>HS</v>
      </c>
    </row>
    <row r="3260" ht="15.75" customHeight="1">
      <c r="A3260" s="1" t="str">
        <f>IFERROR(__xludf.DUMMYFUNCTION("""COMPUTED_VALUE"""),"Violetta Ryzhova")</f>
        <v>Violetta Ryzhova</v>
      </c>
      <c r="B3260" s="1" t="str">
        <f>IFERROR(__xludf.DUMMYFUNCTION("""COMPUTED_VALUE"""),"HS")</f>
        <v>HS</v>
      </c>
    </row>
    <row r="3261" ht="15.75" customHeight="1">
      <c r="A3261" s="1" t="str">
        <f>IFERROR(__xludf.DUMMYFUNCTION("""COMPUTED_VALUE"""),"Alina Kurylo")</f>
        <v>Alina Kurylo</v>
      </c>
      <c r="B3261" s="1" t="str">
        <f>IFERROR(__xludf.DUMMYFUNCTION("""COMPUTED_VALUE"""),"HS")</f>
        <v>HS</v>
      </c>
    </row>
    <row r="3262" ht="15.75" customHeight="1">
      <c r="A3262" s="1" t="str">
        <f>IFERROR(__xludf.DUMMYFUNCTION("""COMPUTED_VALUE"""),"Holovnitska Veronika")</f>
        <v>Holovnitska Veronika</v>
      </c>
      <c r="B3262" s="1" t="str">
        <f>IFERROR(__xludf.DUMMYFUNCTION("""COMPUTED_VALUE"""),"HS")</f>
        <v>HS</v>
      </c>
    </row>
    <row r="3263" ht="15.75" customHeight="1">
      <c r="A3263" s="1" t="str">
        <f>IFERROR(__xludf.DUMMYFUNCTION("""COMPUTED_VALUE"""),"Olexandr Kiziurin")</f>
        <v>Olexandr Kiziurin</v>
      </c>
      <c r="B3263" s="1" t="str">
        <f>IFERROR(__xludf.DUMMYFUNCTION("""COMPUTED_VALUE"""),"HS")</f>
        <v>HS</v>
      </c>
    </row>
    <row r="3264" ht="15.75" customHeight="1">
      <c r="A3264" s="1" t="str">
        <f>IFERROR(__xludf.DUMMYFUNCTION("""COMPUTED_VALUE"""),"Abramchuk Oleh")</f>
        <v>Abramchuk Oleh</v>
      </c>
      <c r="B3264" s="1" t="str">
        <f>IFERROR(__xludf.DUMMYFUNCTION("""COMPUTED_VALUE"""),"HS")</f>
        <v>HS</v>
      </c>
    </row>
    <row r="3265" ht="15.75" customHeight="1">
      <c r="A3265" s="1" t="str">
        <f>IFERROR(__xludf.DUMMYFUNCTION("""COMPUTED_VALUE"""),"Holovchak Vitalii")</f>
        <v>Holovchak Vitalii</v>
      </c>
      <c r="B3265" s="1" t="str">
        <f>IFERROR(__xludf.DUMMYFUNCTION("""COMPUTED_VALUE"""),"HS")</f>
        <v>HS</v>
      </c>
    </row>
    <row r="3266" ht="15.75" customHeight="1">
      <c r="A3266" s="1" t="str">
        <f>IFERROR(__xludf.DUMMYFUNCTION("""COMPUTED_VALUE"""),"Denysiuk Daryna")</f>
        <v>Denysiuk Daryna</v>
      </c>
      <c r="B3266" s="1" t="str">
        <f>IFERROR(__xludf.DUMMYFUNCTION("""COMPUTED_VALUE"""),"HS")</f>
        <v>HS</v>
      </c>
    </row>
    <row r="3267" ht="15.75" customHeight="1">
      <c r="A3267" s="1" t="str">
        <f>IFERROR(__xludf.DUMMYFUNCTION("""COMPUTED_VALUE"""),"Kudriavtseva Daryna")</f>
        <v>Kudriavtseva Daryna</v>
      </c>
      <c r="B3267" s="1" t="str">
        <f>IFERROR(__xludf.DUMMYFUNCTION("""COMPUTED_VALUE"""),"HS")</f>
        <v>HS</v>
      </c>
    </row>
    <row r="3268" ht="15.75" customHeight="1">
      <c r="A3268" s="1" t="str">
        <f>IFERROR(__xludf.DUMMYFUNCTION("""COMPUTED_VALUE"""),"Mykhalchuk Anna")</f>
        <v>Mykhalchuk Anna</v>
      </c>
      <c r="B3268" s="1" t="str">
        <f>IFERROR(__xludf.DUMMYFUNCTION("""COMPUTED_VALUE"""),"HS")</f>
        <v>HS</v>
      </c>
    </row>
    <row r="3269" ht="15.75" customHeight="1">
      <c r="A3269" s="1" t="str">
        <f>IFERROR(__xludf.DUMMYFUNCTION("""COMPUTED_VALUE"""),"Nikitin Bohdan")</f>
        <v>Nikitin Bohdan</v>
      </c>
      <c r="B3269" s="1" t="str">
        <f>IFERROR(__xludf.DUMMYFUNCTION("""COMPUTED_VALUE"""),"HS")</f>
        <v>HS</v>
      </c>
    </row>
    <row r="3270" ht="15.75" customHeight="1">
      <c r="A3270" s="1" t="str">
        <f>IFERROR(__xludf.DUMMYFUNCTION("""COMPUTED_VALUE"""),"Sobchuk Liza")</f>
        <v>Sobchuk Liza</v>
      </c>
      <c r="B3270" s="1" t="str">
        <f>IFERROR(__xludf.DUMMYFUNCTION("""COMPUTED_VALUE"""),"HS")</f>
        <v>HS</v>
      </c>
    </row>
    <row r="3271" ht="15.75" customHeight="1">
      <c r="A3271" s="1" t="str">
        <f>IFERROR(__xludf.DUMMYFUNCTION("""COMPUTED_VALUE"""),"Valeria Redko")</f>
        <v>Valeria Redko</v>
      </c>
      <c r="B3271" s="1" t="str">
        <f>IFERROR(__xludf.DUMMYFUNCTION("""COMPUTED_VALUE"""),"HS")</f>
        <v>HS</v>
      </c>
    </row>
    <row r="3272" ht="15.75" customHeight="1">
      <c r="A3272" s="1" t="str">
        <f>IFERROR(__xludf.DUMMYFUNCTION("""COMPUTED_VALUE"""),"Alina Lustoklad")</f>
        <v>Alina Lustoklad</v>
      </c>
      <c r="B3272" s="1" t="str">
        <f>IFERROR(__xludf.DUMMYFUNCTION("""COMPUTED_VALUE"""),"HS")</f>
        <v>HS</v>
      </c>
    </row>
    <row r="3273" ht="15.75" customHeight="1">
      <c r="A3273" s="1" t="str">
        <f>IFERROR(__xludf.DUMMYFUNCTION("""COMPUTED_VALUE"""),"Daniil Semianov")</f>
        <v>Daniil Semianov</v>
      </c>
      <c r="B3273" s="1" t="str">
        <f>IFERROR(__xludf.DUMMYFUNCTION("""COMPUTED_VALUE"""),"HS")</f>
        <v>HS</v>
      </c>
    </row>
    <row r="3274" ht="15.75" customHeight="1">
      <c r="A3274" s="1" t="str">
        <f>IFERROR(__xludf.DUMMYFUNCTION("""COMPUTED_VALUE"""),"Novenko Artem")</f>
        <v>Novenko Artem</v>
      </c>
      <c r="B3274" s="1" t="str">
        <f>IFERROR(__xludf.DUMMYFUNCTION("""COMPUTED_VALUE"""),"HS")</f>
        <v>HS</v>
      </c>
    </row>
    <row r="3275" ht="15.75" customHeight="1">
      <c r="A3275" s="1" t="str">
        <f>IFERROR(__xludf.DUMMYFUNCTION("""COMPUTED_VALUE"""),"Veremii Alina")</f>
        <v>Veremii Alina</v>
      </c>
      <c r="B3275" s="1" t="str">
        <f>IFERROR(__xludf.DUMMYFUNCTION("""COMPUTED_VALUE"""),"HS")</f>
        <v>HS</v>
      </c>
    </row>
    <row r="3276" ht="15.75" customHeight="1">
      <c r="A3276" s="1" t="str">
        <f>IFERROR(__xludf.DUMMYFUNCTION("""COMPUTED_VALUE"""),"Demchynska Nastia")</f>
        <v>Demchynska Nastia</v>
      </c>
      <c r="B3276" s="1" t="str">
        <f>IFERROR(__xludf.DUMMYFUNCTION("""COMPUTED_VALUE"""),"HS")</f>
        <v>HS</v>
      </c>
    </row>
    <row r="3277" ht="15.75" customHeight="1">
      <c r="A3277" s="1" t="str">
        <f>IFERROR(__xludf.DUMMYFUNCTION("""COMPUTED_VALUE"""),"Kysliak Viktoriia")</f>
        <v>Kysliak Viktoriia</v>
      </c>
      <c r="B3277" s="1" t="str">
        <f>IFERROR(__xludf.DUMMYFUNCTION("""COMPUTED_VALUE"""),"HS")</f>
        <v>HS</v>
      </c>
    </row>
    <row r="3278" ht="15.75" customHeight="1">
      <c r="A3278" s="1" t="str">
        <f>IFERROR(__xludf.DUMMYFUNCTION("""COMPUTED_VALUE"""),"Kurchyk Anhelina")</f>
        <v>Kurchyk Anhelina</v>
      </c>
      <c r="B3278" s="1" t="str">
        <f>IFERROR(__xludf.DUMMYFUNCTION("""COMPUTED_VALUE"""),"HS")</f>
        <v>HS</v>
      </c>
    </row>
    <row r="3279" ht="15.75" customHeight="1">
      <c r="A3279" s="1" t="str">
        <f>IFERROR(__xludf.DUMMYFUNCTION("""COMPUTED_VALUE"""),"Lishchuk Daryna")</f>
        <v>Lishchuk Daryna</v>
      </c>
      <c r="B3279" s="1" t="str">
        <f>IFERROR(__xludf.DUMMYFUNCTION("""COMPUTED_VALUE"""),"HS")</f>
        <v>HS</v>
      </c>
    </row>
    <row r="3280" ht="15.75" customHeight="1">
      <c r="A3280" s="1" t="str">
        <f>IFERROR(__xludf.DUMMYFUNCTION("""COMPUTED_VALUE"""),"Makarov Serhii")</f>
        <v>Makarov Serhii</v>
      </c>
      <c r="B3280" s="1" t="str">
        <f>IFERROR(__xludf.DUMMYFUNCTION("""COMPUTED_VALUE"""),"HS")</f>
        <v>HS</v>
      </c>
    </row>
    <row r="3281" ht="15.75" customHeight="1">
      <c r="A3281" s="1" t="str">
        <f>IFERROR(__xludf.DUMMYFUNCTION("""COMPUTED_VALUE"""),"Palii Valentyn")</f>
        <v>Palii Valentyn</v>
      </c>
      <c r="B3281" s="1" t="str">
        <f>IFERROR(__xludf.DUMMYFUNCTION("""COMPUTED_VALUE"""),"HS")</f>
        <v>HS</v>
      </c>
    </row>
    <row r="3282" ht="15.75" customHeight="1">
      <c r="A3282" s="1" t="str">
        <f>IFERROR(__xludf.DUMMYFUNCTION("""COMPUTED_VALUE"""),"Pashko Vadym")</f>
        <v>Pashko Vadym</v>
      </c>
      <c r="B3282" s="1" t="str">
        <f>IFERROR(__xludf.DUMMYFUNCTION("""COMPUTED_VALUE"""),"HS")</f>
        <v>HS</v>
      </c>
    </row>
    <row r="3283" ht="15.75" customHeight="1">
      <c r="A3283" s="1" t="str">
        <f>IFERROR(__xludf.DUMMYFUNCTION("""COMPUTED_VALUE"""),"Fedorchuk Dmytro")</f>
        <v>Fedorchuk Dmytro</v>
      </c>
      <c r="B3283" s="1" t="str">
        <f>IFERROR(__xludf.DUMMYFUNCTION("""COMPUTED_VALUE"""),"HS")</f>
        <v>HS</v>
      </c>
    </row>
    <row r="3284" ht="15.75" customHeight="1">
      <c r="A3284" s="1" t="str">
        <f>IFERROR(__xludf.DUMMYFUNCTION("""COMPUTED_VALUE"""),"Yushchyk Viktoriia")</f>
        <v>Yushchyk Viktoriia</v>
      </c>
      <c r="B3284" s="1" t="str">
        <f>IFERROR(__xludf.DUMMYFUNCTION("""COMPUTED_VALUE"""),"HS")</f>
        <v>HS</v>
      </c>
    </row>
    <row r="3285" ht="15.75" customHeight="1">
      <c r="A3285" s="1" t="str">
        <f>IFERROR(__xludf.DUMMYFUNCTION("""COMPUTED_VALUE"""),"Huk Kateryna")</f>
        <v>Huk Kateryna</v>
      </c>
      <c r="B3285" s="1" t="str">
        <f>IFERROR(__xludf.DUMMYFUNCTION("""COMPUTED_VALUE"""),"HS")</f>
        <v>HS</v>
      </c>
    </row>
    <row r="3286" ht="15.75" customHeight="1">
      <c r="A3286" s="1" t="str">
        <f>IFERROR(__xludf.DUMMYFUNCTION("""COMPUTED_VALUE"""),"Huk Veronika")</f>
        <v>Huk Veronika</v>
      </c>
      <c r="B3286" s="1" t="str">
        <f>IFERROR(__xludf.DUMMYFUNCTION("""COMPUTED_VALUE"""),"MS")</f>
        <v>MS</v>
      </c>
    </row>
    <row r="3287" ht="15.75" customHeight="1">
      <c r="A3287" s="1" t="str">
        <f>IFERROR(__xludf.DUMMYFUNCTION("""COMPUTED_VALUE"""),"Zoltan Szalontai")</f>
        <v>Zoltan Szalontai</v>
      </c>
      <c r="B3287" s="1" t="str">
        <f>IFERROR(__xludf.DUMMYFUNCTION("""COMPUTED_VALUE"""),"MS")</f>
        <v>MS</v>
      </c>
    </row>
    <row r="3288" ht="15.75" customHeight="1">
      <c r="A3288" s="1" t="str">
        <f>IFERROR(__xludf.DUMMYFUNCTION("""COMPUTED_VALUE"""),"Olena Zayats")</f>
        <v>Olena Zayats</v>
      </c>
      <c r="B3288" s="1" t="str">
        <f>IFERROR(__xludf.DUMMYFUNCTION("""COMPUTED_VALUE"""),"HS")</f>
        <v>HS</v>
      </c>
    </row>
    <row r="3289" ht="15.75" customHeight="1">
      <c r="A3289" s="1" t="str">
        <f>IFERROR(__xludf.DUMMYFUNCTION("""COMPUTED_VALUE"""),"Maksym Zayats")</f>
        <v>Maksym Zayats</v>
      </c>
      <c r="B3289" s="1" t="str">
        <f>IFERROR(__xludf.DUMMYFUNCTION("""COMPUTED_VALUE"""),"L2")</f>
        <v>L2</v>
      </c>
    </row>
    <row r="3290" ht="15.75" customHeight="1">
      <c r="A3290" s="1" t="str">
        <f>IFERROR(__xludf.DUMMYFUNCTION("""COMPUTED_VALUE"""),"Daniil Gromoviy")</f>
        <v>Daniil Gromoviy</v>
      </c>
      <c r="B3290" s="1" t="str">
        <f>IFERROR(__xludf.DUMMYFUNCTION("""COMPUTED_VALUE"""),"L2")</f>
        <v>L2</v>
      </c>
    </row>
    <row r="3291" ht="15.75" customHeight="1">
      <c r="A3291" s="1" t="str">
        <f>IFERROR(__xludf.DUMMYFUNCTION("""COMPUTED_VALUE"""),"Andrii Shopiak")</f>
        <v>Andrii Shopiak</v>
      </c>
      <c r="B3291" s="1" t="str">
        <f>IFERROR(__xludf.DUMMYFUNCTION("""COMPUTED_VALUE"""),"HS")</f>
        <v>HS</v>
      </c>
    </row>
    <row r="3292" ht="15.75" customHeight="1">
      <c r="A3292" s="1" t="str">
        <f>IFERROR(__xludf.DUMMYFUNCTION("""COMPUTED_VALUE"""),"Oleksii Rakhuba")</f>
        <v>Oleksii Rakhuba</v>
      </c>
      <c r="B3292" s="1" t="str">
        <f>IFERROR(__xludf.DUMMYFUNCTION("""COMPUTED_VALUE"""),"L2")</f>
        <v>L2</v>
      </c>
    </row>
    <row r="3293" ht="15.75" customHeight="1">
      <c r="A3293" s="1" t="str">
        <f>IFERROR(__xludf.DUMMYFUNCTION("""COMPUTED_VALUE"""),"Artemii Stryzhak")</f>
        <v>Artemii Stryzhak</v>
      </c>
      <c r="B3293" s="1" t="str">
        <f>IFERROR(__xludf.DUMMYFUNCTION("""COMPUTED_VALUE"""),"L1")</f>
        <v>L1</v>
      </c>
    </row>
    <row r="3294" ht="15.75" customHeight="1">
      <c r="A3294" s="1" t="str">
        <f>IFERROR(__xludf.DUMMYFUNCTION("""COMPUTED_VALUE"""),"Eva Bazhan")</f>
        <v>Eva Bazhan</v>
      </c>
      <c r="B3294" s="1" t="str">
        <f>IFERROR(__xludf.DUMMYFUNCTION("""COMPUTED_VALUE"""),"HS")</f>
        <v>HS</v>
      </c>
    </row>
    <row r="3295" ht="15.75" customHeight="1">
      <c r="A3295" s="1" t="str">
        <f>IFERROR(__xludf.DUMMYFUNCTION("""COMPUTED_VALUE"""),"Anton Fediushyn")</f>
        <v>Anton Fediushyn</v>
      </c>
      <c r="B3295" s="1" t="str">
        <f>IFERROR(__xludf.DUMMYFUNCTION("""COMPUTED_VALUE"""),"HS")</f>
        <v>HS</v>
      </c>
    </row>
    <row r="3296" ht="15.75" customHeight="1">
      <c r="A3296" s="1" t="str">
        <f>IFERROR(__xludf.DUMMYFUNCTION("""COMPUTED_VALUE"""),"Yakym Chupriianovskyi")</f>
        <v>Yakym Chupriianovskyi</v>
      </c>
      <c r="B3296" s="1" t="str">
        <f>IFERROR(__xludf.DUMMYFUNCTION("""COMPUTED_VALUE"""),"MS")</f>
        <v>MS</v>
      </c>
    </row>
    <row r="3297" ht="15.75" customHeight="1">
      <c r="A3297" s="1" t="str">
        <f>IFERROR(__xludf.DUMMYFUNCTION("""COMPUTED_VALUE"""),"Anastasiia Filatova")</f>
        <v>Anastasiia Filatova</v>
      </c>
      <c r="B3297" s="1" t="str">
        <f>IFERROR(__xludf.DUMMYFUNCTION("""COMPUTED_VALUE"""),"MS")</f>
        <v>MS</v>
      </c>
    </row>
    <row r="3298" ht="15.75" customHeight="1">
      <c r="A3298" s="1" t="str">
        <f>IFERROR(__xludf.DUMMYFUNCTION("""COMPUTED_VALUE"""),"Lev Dryzhakov")</f>
        <v>Lev Dryzhakov</v>
      </c>
      <c r="B3298" s="1" t="str">
        <f>IFERROR(__xludf.DUMMYFUNCTION("""COMPUTED_VALUE"""),"L2")</f>
        <v>L2</v>
      </c>
    </row>
    <row r="3299" ht="15.75" customHeight="1">
      <c r="A3299" s="1" t="str">
        <f>IFERROR(__xludf.DUMMYFUNCTION("""COMPUTED_VALUE"""),"Daryna Dolzhykova")</f>
        <v>Daryna Dolzhykova</v>
      </c>
      <c r="B3299" s="1" t="str">
        <f>IFERROR(__xludf.DUMMYFUNCTION("""COMPUTED_VALUE"""),"L1")</f>
        <v>L1</v>
      </c>
    </row>
    <row r="3300" ht="15.75" customHeight="1">
      <c r="A3300" s="1" t="str">
        <f>IFERROR(__xludf.DUMMYFUNCTION("""COMPUTED_VALUE"""),"Oleksandr Levytskyi")</f>
        <v>Oleksandr Levytskyi</v>
      </c>
      <c r="B3300" s="1" t="str">
        <f>IFERROR(__xludf.DUMMYFUNCTION("""COMPUTED_VALUE"""),"HS")</f>
        <v>HS</v>
      </c>
    </row>
    <row r="3301" ht="15.75" customHeight="1">
      <c r="A3301" s="1" t="str">
        <f>IFERROR(__xludf.DUMMYFUNCTION("""COMPUTED_VALUE"""),"Alim Protsenko")</f>
        <v>Alim Protsenko</v>
      </c>
      <c r="B3301" s="1" t="str">
        <f>IFERROR(__xludf.DUMMYFUNCTION("""COMPUTED_VALUE"""),"MS")</f>
        <v>MS</v>
      </c>
    </row>
    <row r="3302" ht="15.75" customHeight="1">
      <c r="A3302" s="1" t="str">
        <f>IFERROR(__xludf.DUMMYFUNCTION("""COMPUTED_VALUE"""),"Amalia Filatova")</f>
        <v>Amalia Filatova</v>
      </c>
      <c r="B3302" s="1" t="str">
        <f>IFERROR(__xludf.DUMMYFUNCTION("""COMPUTED_VALUE"""),"MS")</f>
        <v>MS</v>
      </c>
    </row>
    <row r="3303" ht="15.75" customHeight="1">
      <c r="A3303" s="1" t="str">
        <f>IFERROR(__xludf.DUMMYFUNCTION("""COMPUTED_VALUE"""),"Olha Vynohradova")</f>
        <v>Olha Vynohradova</v>
      </c>
      <c r="B3303" s="1" t="str">
        <f>IFERROR(__xludf.DUMMYFUNCTION("""COMPUTED_VALUE"""),"HS")</f>
        <v>HS</v>
      </c>
    </row>
    <row r="3304" ht="15.75" customHeight="1">
      <c r="A3304" s="1" t="str">
        <f>IFERROR(__xludf.DUMMYFUNCTION("""COMPUTED_VALUE"""),"Sofia Zhuk")</f>
        <v>Sofia Zhuk</v>
      </c>
      <c r="B3304" s="1" t="str">
        <f>IFERROR(__xludf.DUMMYFUNCTION("""COMPUTED_VALUE"""),"L2")</f>
        <v>L2</v>
      </c>
    </row>
    <row r="3305" ht="15.75" customHeight="1">
      <c r="A3305" s="1" t="str">
        <f>IFERROR(__xludf.DUMMYFUNCTION("""COMPUTED_VALUE"""),"Anhelina Chernetska")</f>
        <v>Anhelina Chernetska</v>
      </c>
      <c r="B3305" s="1" t="str">
        <f>IFERROR(__xludf.DUMMYFUNCTION("""COMPUTED_VALUE"""),"HS")</f>
        <v>HS</v>
      </c>
    </row>
    <row r="3306" ht="15.75" customHeight="1">
      <c r="A3306" s="1" t="str">
        <f>IFERROR(__xludf.DUMMYFUNCTION("""COMPUTED_VALUE"""),"Arsen Forostiak")</f>
        <v>Arsen Forostiak</v>
      </c>
      <c r="B3306" s="1" t="str">
        <f>IFERROR(__xludf.DUMMYFUNCTION("""COMPUTED_VALUE"""),"LL")</f>
        <v>LL</v>
      </c>
    </row>
    <row r="3307" ht="15.75" customHeight="1">
      <c r="A3307" s="1" t="str">
        <f>IFERROR(__xludf.DUMMYFUNCTION("""COMPUTED_VALUE"""),"Anna Lemeza")</f>
        <v>Anna Lemeza</v>
      </c>
      <c r="B3307" s="1" t="str">
        <f>IFERROR(__xludf.DUMMYFUNCTION("""COMPUTED_VALUE"""),"L2")</f>
        <v>L2</v>
      </c>
    </row>
    <row r="3308" ht="15.75" customHeight="1">
      <c r="A3308" s="1" t="str">
        <f>IFERROR(__xludf.DUMMYFUNCTION("""COMPUTED_VALUE"""),"Yaroslav Chernenko")</f>
        <v>Yaroslav Chernenko</v>
      </c>
      <c r="B3308" s="1" t="str">
        <f>IFERROR(__xludf.DUMMYFUNCTION("""COMPUTED_VALUE"""),"L1")</f>
        <v>L1</v>
      </c>
    </row>
    <row r="3309" ht="15.75" customHeight="1">
      <c r="A3309" s="1" t="str">
        <f>IFERROR(__xludf.DUMMYFUNCTION("""COMPUTED_VALUE"""),"Arina Ostrolutska")</f>
        <v>Arina Ostrolutska</v>
      </c>
      <c r="B3309" s="1" t="str">
        <f>IFERROR(__xludf.DUMMYFUNCTION("""COMPUTED_VALUE"""),"L2")</f>
        <v>L2</v>
      </c>
    </row>
    <row r="3310" ht="15.75" customHeight="1">
      <c r="A3310" s="1" t="str">
        <f>IFERROR(__xludf.DUMMYFUNCTION("""COMPUTED_VALUE"""),"Artem Hudyk")</f>
        <v>Artem Hudyk</v>
      </c>
      <c r="B3310" s="1" t="str">
        <f>IFERROR(__xludf.DUMMYFUNCTION("""COMPUTED_VALUE"""),"MS")</f>
        <v>MS</v>
      </c>
    </row>
    <row r="3311" ht="15.75" customHeight="1">
      <c r="A3311" s="1" t="str">
        <f>IFERROR(__xludf.DUMMYFUNCTION("""COMPUTED_VALUE"""),"Ihor Artiukh")</f>
        <v>Ihor Artiukh</v>
      </c>
      <c r="B3311" s="1" t="str">
        <f>IFERROR(__xludf.DUMMYFUNCTION("""COMPUTED_VALUE"""),"LL")</f>
        <v>LL</v>
      </c>
    </row>
    <row r="3312" ht="15.75" customHeight="1">
      <c r="A3312" s="1" t="str">
        <f>IFERROR(__xludf.DUMMYFUNCTION("""COMPUTED_VALUE"""),"Kateryna Basiuk")</f>
        <v>Kateryna Basiuk</v>
      </c>
      <c r="B3312" s="1" t="str">
        <f>IFERROR(__xludf.DUMMYFUNCTION("""COMPUTED_VALUE"""),"L1")</f>
        <v>L1</v>
      </c>
    </row>
    <row r="3313" ht="15.75" customHeight="1">
      <c r="A3313" s="1" t="str">
        <f>IFERROR(__xludf.DUMMYFUNCTION("""COMPUTED_VALUE"""),"Bianka Beregi")</f>
        <v>Bianka Beregi</v>
      </c>
      <c r="B3313" s="1" t="str">
        <f>IFERROR(__xludf.DUMMYFUNCTION("""COMPUTED_VALUE"""),"MS")</f>
        <v>MS</v>
      </c>
    </row>
    <row r="3314" ht="15.75" customHeight="1">
      <c r="A3314" s="1" t="str">
        <f>IFERROR(__xludf.DUMMYFUNCTION("""COMPUTED_VALUE"""),"Bohdana Chernetska")</f>
        <v>Bohdana Chernetska</v>
      </c>
      <c r="B3314" s="1" t="str">
        <f>IFERROR(__xludf.DUMMYFUNCTION("""COMPUTED_VALUE"""),"MS")</f>
        <v>MS</v>
      </c>
    </row>
    <row r="3315" ht="15.75" customHeight="1">
      <c r="A3315" s="1" t="str">
        <f>IFERROR(__xludf.DUMMYFUNCTION("""COMPUTED_VALUE"""),"Kirill Tolochko")</f>
        <v>Kirill Tolochko</v>
      </c>
      <c r="B3315" s="1" t="str">
        <f>IFERROR(__xludf.DUMMYFUNCTION("""COMPUTED_VALUE"""),"HS")</f>
        <v>HS</v>
      </c>
    </row>
    <row r="3316" ht="15.75" customHeight="1">
      <c r="A3316" s="1" t="str">
        <f>IFERROR(__xludf.DUMMYFUNCTION("""COMPUTED_VALUE"""),"Yaroslav Smyrnyi")</f>
        <v>Yaroslav Smyrnyi</v>
      </c>
      <c r="B3316" s="1" t="str">
        <f>IFERROR(__xludf.DUMMYFUNCTION("""COMPUTED_VALUE"""),"MS")</f>
        <v>MS</v>
      </c>
    </row>
    <row r="3317" ht="15.75" customHeight="1">
      <c r="A3317" s="1" t="str">
        <f>IFERROR(__xludf.DUMMYFUNCTION("""COMPUTED_VALUE"""),"Daniil Bohushev")</f>
        <v>Daniil Bohushev</v>
      </c>
      <c r="B3317" s="1" t="str">
        <f>IFERROR(__xludf.DUMMYFUNCTION("""COMPUTED_VALUE"""),"L2")</f>
        <v>L2</v>
      </c>
    </row>
    <row r="3318" ht="15.75" customHeight="1">
      <c r="A3318" s="1" t="str">
        <f>IFERROR(__xludf.DUMMYFUNCTION("""COMPUTED_VALUE"""),"Danil Slushchenko")</f>
        <v>Danil Slushchenko</v>
      </c>
      <c r="B3318" s="1" t="str">
        <f>IFERROR(__xludf.DUMMYFUNCTION("""COMPUTED_VALUE"""),"HS")</f>
        <v>HS</v>
      </c>
    </row>
    <row r="3319" ht="15.75" customHeight="1">
      <c r="A3319" s="1" t="str">
        <f>IFERROR(__xludf.DUMMYFUNCTION("""COMPUTED_VALUE"""),"Daryna Momot")</f>
        <v>Daryna Momot</v>
      </c>
      <c r="B3319" s="1" t="str">
        <f>IFERROR(__xludf.DUMMYFUNCTION("""COMPUTED_VALUE"""),"MS")</f>
        <v>MS</v>
      </c>
    </row>
    <row r="3320" ht="15.75" customHeight="1">
      <c r="A3320" s="1" t="str">
        <f>IFERROR(__xludf.DUMMYFUNCTION("""COMPUTED_VALUE"""),"Serhii Semesenko")</f>
        <v>Serhii Semesenko</v>
      </c>
      <c r="B3320" s="1" t="str">
        <f>IFERROR(__xludf.DUMMYFUNCTION("""COMPUTED_VALUE"""),"HS")</f>
        <v>HS</v>
      </c>
    </row>
    <row r="3321" ht="15.75" customHeight="1">
      <c r="A3321" s="1" t="str">
        <f>IFERROR(__xludf.DUMMYFUNCTION("""COMPUTED_VALUE"""),"Diana Dediuk")</f>
        <v>Diana Dediuk</v>
      </c>
      <c r="B3321" s="1" t="str">
        <f>IFERROR(__xludf.DUMMYFUNCTION("""COMPUTED_VALUE"""),"HS")</f>
        <v>HS</v>
      </c>
    </row>
    <row r="3322" ht="15.75" customHeight="1">
      <c r="A3322" s="1" t="str">
        <f>IFERROR(__xludf.DUMMYFUNCTION("""COMPUTED_VALUE"""),"Anna Dorokhova")</f>
        <v>Anna Dorokhova</v>
      </c>
      <c r="B3322" s="1" t="str">
        <f>IFERROR(__xludf.DUMMYFUNCTION("""COMPUTED_VALUE"""),"MS")</f>
        <v>MS</v>
      </c>
    </row>
    <row r="3323" ht="15.75" customHeight="1">
      <c r="A3323" s="1" t="str">
        <f>IFERROR(__xludf.DUMMYFUNCTION("""COMPUTED_VALUE"""),"Illia Dovhal")</f>
        <v>Illia Dovhal</v>
      </c>
      <c r="B3323" s="1" t="str">
        <f>IFERROR(__xludf.DUMMYFUNCTION("""COMPUTED_VALUE"""),"MS")</f>
        <v>MS</v>
      </c>
    </row>
    <row r="3324" ht="15.75" customHeight="1">
      <c r="A3324" s="1" t="str">
        <f>IFERROR(__xludf.DUMMYFUNCTION("""COMPUTED_VALUE"""),"Veronika Dovhal")</f>
        <v>Veronika Dovhal</v>
      </c>
      <c r="B3324" s="1" t="str">
        <f>IFERROR(__xludf.DUMMYFUNCTION("""COMPUTED_VALUE"""),"MS")</f>
        <v>MS</v>
      </c>
    </row>
    <row r="3325" ht="15.75" customHeight="1">
      <c r="A3325" s="1" t="str">
        <f>IFERROR(__xludf.DUMMYFUNCTION("""COMPUTED_VALUE"""),"Yeva Nalisnikovska")</f>
        <v>Yeva Nalisnikovska</v>
      </c>
      <c r="B3325" s="1" t="str">
        <f>IFERROR(__xludf.DUMMYFUNCTION("""COMPUTED_VALUE"""),"LL")</f>
        <v>LL</v>
      </c>
    </row>
    <row r="3326" ht="15.75" customHeight="1">
      <c r="A3326" s="1" t="str">
        <f>IFERROR(__xludf.DUMMYFUNCTION("""COMPUTED_VALUE"""),"Yelyzaveta Liebiedieva")</f>
        <v>Yelyzaveta Liebiedieva</v>
      </c>
      <c r="B3326" s="1" t="str">
        <f>IFERROR(__xludf.DUMMYFUNCTION("""COMPUTED_VALUE"""),"L1")</f>
        <v>L1</v>
      </c>
    </row>
    <row r="3327" ht="15.75" customHeight="1">
      <c r="A3327" s="1" t="str">
        <f>IFERROR(__xludf.DUMMYFUNCTION("""COMPUTED_VALUE"""),"Kryvenets Albina")</f>
        <v>Kryvenets Albina</v>
      </c>
      <c r="B3327" s="1" t="str">
        <f>IFERROR(__xludf.DUMMYFUNCTION("""COMPUTED_VALUE"""),"L2")</f>
        <v>L2</v>
      </c>
    </row>
    <row r="3328" ht="15.75" customHeight="1">
      <c r="A3328" s="1" t="str">
        <f>IFERROR(__xludf.DUMMYFUNCTION("""COMPUTED_VALUE"""),"Homoki Reka")</f>
        <v>Homoki Reka</v>
      </c>
      <c r="B3328" s="1" t="str">
        <f>IFERROR(__xludf.DUMMYFUNCTION("""COMPUTED_VALUE"""),"L1")</f>
        <v>L1</v>
      </c>
    </row>
    <row r="3329" ht="15.75" customHeight="1">
      <c r="A3329" s="1" t="str">
        <f>IFERROR(__xludf.DUMMYFUNCTION("""COMPUTED_VALUE"""),"Oleksandr Chopik")</f>
        <v>Oleksandr Chopik</v>
      </c>
      <c r="B3329" s="1" t="str">
        <f>IFERROR(__xludf.DUMMYFUNCTION("""COMPUTED_VALUE"""),"L1")</f>
        <v>L1</v>
      </c>
    </row>
    <row r="3330" ht="15.75" customHeight="1">
      <c r="A3330" s="1" t="str">
        <f>IFERROR(__xludf.DUMMYFUNCTION("""COMPUTED_VALUE"""),"Oleksandr Sharyi")</f>
        <v>Oleksandr Sharyi</v>
      </c>
      <c r="B3330" s="1" t="str">
        <f>IFERROR(__xludf.DUMMYFUNCTION("""COMPUTED_VALUE"""),"HS")</f>
        <v>HS</v>
      </c>
    </row>
    <row r="3331" ht="15.75" customHeight="1">
      <c r="A3331" s="1" t="str">
        <f>IFERROR(__xludf.DUMMYFUNCTION("""COMPUTED_VALUE"""),"Artem Safronov")</f>
        <v>Artem Safronov</v>
      </c>
      <c r="B3331" s="1" t="str">
        <f>IFERROR(__xludf.DUMMYFUNCTION("""COMPUTED_VALUE"""),"HS")</f>
        <v>HS</v>
      </c>
    </row>
    <row r="3332" ht="15.75" customHeight="1">
      <c r="A3332" s="1" t="str">
        <f>IFERROR(__xludf.DUMMYFUNCTION("""COMPUTED_VALUE"""),"Bohdan Harievskyi")</f>
        <v>Bohdan Harievskyi</v>
      </c>
      <c r="B3332" s="1" t="str">
        <f>IFERROR(__xludf.DUMMYFUNCTION("""COMPUTED_VALUE"""),"MS")</f>
        <v>MS</v>
      </c>
    </row>
    <row r="3333" ht="15.75" customHeight="1">
      <c r="A3333" s="1" t="str">
        <f>IFERROR(__xludf.DUMMYFUNCTION("""COMPUTED_VALUE"""),"Anastasiia Hodunko")</f>
        <v>Anastasiia Hodunko</v>
      </c>
      <c r="B3333" s="1" t="str">
        <f>IFERROR(__xludf.DUMMYFUNCTION("""COMPUTED_VALUE"""),"MS")</f>
        <v>MS</v>
      </c>
    </row>
    <row r="3334" ht="15.75" customHeight="1">
      <c r="A3334" s="1" t="str">
        <f>IFERROR(__xludf.DUMMYFUNCTION("""COMPUTED_VALUE"""),"Illia Rybak")</f>
        <v>Illia Rybak</v>
      </c>
      <c r="B3334" s="1" t="str">
        <f>IFERROR(__xludf.DUMMYFUNCTION("""COMPUTED_VALUE"""),"HS")</f>
        <v>HS</v>
      </c>
    </row>
    <row r="3335" ht="15.75" customHeight="1">
      <c r="A3335" s="1" t="str">
        <f>IFERROR(__xludf.DUMMYFUNCTION("""COMPUTED_VALUE"""),"Anastasiia Myronenko")</f>
        <v>Anastasiia Myronenko</v>
      </c>
      <c r="B3335" s="1" t="str">
        <f>IFERROR(__xludf.DUMMYFUNCTION("""COMPUTED_VALUE"""),"L2")</f>
        <v>L2</v>
      </c>
    </row>
    <row r="3336" ht="15.75" customHeight="1">
      <c r="A3336" s="1" t="str">
        <f>IFERROR(__xludf.DUMMYFUNCTION("""COMPUTED_VALUE"""),"Illia Neshytoi")</f>
        <v>Illia Neshytoi</v>
      </c>
      <c r="B3336" s="1" t="str">
        <f>IFERROR(__xludf.DUMMYFUNCTION("""COMPUTED_VALUE"""),"HS")</f>
        <v>HS</v>
      </c>
    </row>
    <row r="3337" ht="15.75" customHeight="1">
      <c r="A3337" s="1" t="str">
        <f>IFERROR(__xludf.DUMMYFUNCTION("""COMPUTED_VALUE"""),"Kseniia Ionash")</f>
        <v>Kseniia Ionash</v>
      </c>
      <c r="B3337" s="1" t="str">
        <f>IFERROR(__xludf.DUMMYFUNCTION("""COMPUTED_VALUE"""),"LL")</f>
        <v>LL</v>
      </c>
    </row>
    <row r="3338" ht="15.75" customHeight="1">
      <c r="A3338" s="1" t="str">
        <f>IFERROR(__xludf.DUMMYFUNCTION("""COMPUTED_VALUE"""),"Gleb Onopriienko")</f>
        <v>Gleb Onopriienko</v>
      </c>
      <c r="B3338" s="1" t="str">
        <f>IFERROR(__xludf.DUMMYFUNCTION("""COMPUTED_VALUE"""),"L1")</f>
        <v>L1</v>
      </c>
    </row>
    <row r="3339" ht="15.75" customHeight="1">
      <c r="A3339" s="1" t="str">
        <f>IFERROR(__xludf.DUMMYFUNCTION("""COMPUTED_VALUE"""),"Olesia NalISNIKOVSKA")</f>
        <v>Olesia NalISNIKOVSKA</v>
      </c>
      <c r="B3339" s="1" t="str">
        <f>IFERROR(__xludf.DUMMYFUNCTION("""COMPUTED_VALUE"""),"L1")</f>
        <v>L1</v>
      </c>
    </row>
    <row r="3340" ht="15.75" customHeight="1">
      <c r="A3340" s="1" t="str">
        <f>IFERROR(__xludf.DUMMYFUNCTION("""COMPUTED_VALUE"""),"Jaroslawa Pryliepina")</f>
        <v>Jaroslawa Pryliepina</v>
      </c>
      <c r="B3340" s="1" t="str">
        <f>IFERROR(__xludf.DUMMYFUNCTION("""COMPUTED_VALUE"""),"MS")</f>
        <v>MS</v>
      </c>
    </row>
    <row r="3341" ht="15.75" customHeight="1">
      <c r="A3341" s="1" t="str">
        <f>IFERROR(__xludf.DUMMYFUNCTION("""COMPUTED_VALUE"""),"Makar Liashko")</f>
        <v>Makar Liashko</v>
      </c>
      <c r="B3341" s="1" t="str">
        <f>IFERROR(__xludf.DUMMYFUNCTION("""COMPUTED_VALUE"""),"L2")</f>
        <v>L2</v>
      </c>
    </row>
    <row r="3342" ht="15.75" customHeight="1">
      <c r="A3342" s="1" t="str">
        <f>IFERROR(__xludf.DUMMYFUNCTION("""COMPUTED_VALUE"""),"Andrii Liebiediev")</f>
        <v>Andrii Liebiediev</v>
      </c>
      <c r="B3342" s="1" t="str">
        <f>IFERROR(__xludf.DUMMYFUNCTION("""COMPUTED_VALUE"""),"LL")</f>
        <v>LL</v>
      </c>
    </row>
    <row r="3343" ht="15.75" customHeight="1">
      <c r="A3343" s="1" t="str">
        <f>IFERROR(__xludf.DUMMYFUNCTION("""COMPUTED_VALUE"""),"Kapran Nikita")</f>
        <v>Kapran Nikita</v>
      </c>
      <c r="B3343" s="1" t="str">
        <f>IFERROR(__xludf.DUMMYFUNCTION("""COMPUTED_VALUE"""),"MS")</f>
        <v>MS</v>
      </c>
    </row>
    <row r="3344" ht="15.75" customHeight="1">
      <c r="A3344" s="1" t="str">
        <f>IFERROR(__xludf.DUMMYFUNCTION("""COMPUTED_VALUE"""),"Kira Pronina")</f>
        <v>Kira Pronina</v>
      </c>
      <c r="B3344" s="1" t="str">
        <f>IFERROR(__xludf.DUMMYFUNCTION("""COMPUTED_VALUE"""),"LL")</f>
        <v>LL</v>
      </c>
    </row>
    <row r="3345" ht="15.75" customHeight="1">
      <c r="A3345" s="1" t="str">
        <f>IFERROR(__xludf.DUMMYFUNCTION("""COMPUTED_VALUE"""),"David Tsiukevich")</f>
        <v>David Tsiukevich</v>
      </c>
      <c r="B3345" s="1" t="str">
        <f>IFERROR(__xludf.DUMMYFUNCTION("""COMPUTED_VALUE"""),"L2")</f>
        <v>L2</v>
      </c>
    </row>
    <row r="3346" ht="15.75" customHeight="1">
      <c r="A3346" s="1" t="str">
        <f>IFERROR(__xludf.DUMMYFUNCTION("""COMPUTED_VALUE"""),"Kateryna Grankina")</f>
        <v>Kateryna Grankina</v>
      </c>
      <c r="B3346" s="1" t="str">
        <f>IFERROR(__xludf.DUMMYFUNCTION("""COMPUTED_VALUE"""),"HS")</f>
        <v>HS</v>
      </c>
    </row>
    <row r="3347" ht="15.75" customHeight="1">
      <c r="A3347" s="1" t="str">
        <f>IFERROR(__xludf.DUMMYFUNCTION("""COMPUTED_VALUE"""),"Veronika Yantseva")</f>
        <v>Veronika Yantseva</v>
      </c>
      <c r="B3347" s="1" t="str">
        <f>IFERROR(__xludf.DUMMYFUNCTION("""COMPUTED_VALUE"""),"MS")</f>
        <v>MS</v>
      </c>
    </row>
    <row r="3348" ht="15.75" customHeight="1">
      <c r="A3348" s="1" t="str">
        <f>IFERROR(__xludf.DUMMYFUNCTION("""COMPUTED_VALUE"""),"Viktor Ionash")</f>
        <v>Viktor Ionash</v>
      </c>
      <c r="B3348" s="1" t="str">
        <f>IFERROR(__xludf.DUMMYFUNCTION("""COMPUTED_VALUE"""),"L1")</f>
        <v>L1</v>
      </c>
    </row>
    <row r="3349" ht="15.75" customHeight="1">
      <c r="A3349" s="1" t="str">
        <f>IFERROR(__xludf.DUMMYFUNCTION("""COMPUTED_VALUE"""),"Khrystyna Stechyshyn")</f>
        <v>Khrystyna Stechyshyn</v>
      </c>
      <c r="B3349" s="1" t="str">
        <f>IFERROR(__xludf.DUMMYFUNCTION("""COMPUTED_VALUE"""),"MS")</f>
        <v>MS</v>
      </c>
    </row>
    <row r="3350" ht="15.75" customHeight="1">
      <c r="A3350" s="1" t="str">
        <f>IFERROR(__xludf.DUMMYFUNCTION("""COMPUTED_VALUE"""),"Ivan Horbatiuk")</f>
        <v>Ivan Horbatiuk</v>
      </c>
      <c r="B3350" s="1" t="str">
        <f>IFERROR(__xludf.DUMMYFUNCTION("""COMPUTED_VALUE"""),"L1")</f>
        <v>L1</v>
      </c>
    </row>
    <row r="3351" ht="15.75" customHeight="1">
      <c r="A3351" s="1" t="str">
        <f>IFERROR(__xludf.DUMMYFUNCTION("""COMPUTED_VALUE"""),"Viktoriia Kuklenko")</f>
        <v>Viktoriia Kuklenko</v>
      </c>
      <c r="B3351" s="1" t="str">
        <f>IFERROR(__xludf.DUMMYFUNCTION("""COMPUTED_VALUE"""),"MS")</f>
        <v>MS</v>
      </c>
    </row>
    <row r="3352" ht="15.75" customHeight="1">
      <c r="A3352" s="1" t="str">
        <f>IFERROR(__xludf.DUMMYFUNCTION("""COMPUTED_VALUE"""),"Mariia Tarakanova")</f>
        <v>Mariia Tarakanova</v>
      </c>
      <c r="B3352" s="1" t="str">
        <f>IFERROR(__xludf.DUMMYFUNCTION("""COMPUTED_VALUE"""),"HS")</f>
        <v>HS</v>
      </c>
    </row>
    <row r="3353" ht="15.75" customHeight="1">
      <c r="A3353" s="1" t="str">
        <f>IFERROR(__xludf.DUMMYFUNCTION("""COMPUTED_VALUE"""),"Yaroslava Shevchuk")</f>
        <v>Yaroslava Shevchuk</v>
      </c>
      <c r="B3353" s="1" t="str">
        <f>IFERROR(__xludf.DUMMYFUNCTION("""COMPUTED_VALUE"""),"L2")</f>
        <v>L2</v>
      </c>
    </row>
    <row r="3354" ht="15.75" customHeight="1">
      <c r="A3354" s="1" t="str">
        <f>IFERROR(__xludf.DUMMYFUNCTION("""COMPUTED_VALUE"""),"Bohdan Linskyi")</f>
        <v>Bohdan Linskyi</v>
      </c>
      <c r="B3354" s="1" t="str">
        <f>IFERROR(__xludf.DUMMYFUNCTION("""COMPUTED_VALUE"""),"HS")</f>
        <v>HS</v>
      </c>
    </row>
    <row r="3355" ht="15.75" customHeight="1">
      <c r="A3355" s="1" t="str">
        <f>IFERROR(__xludf.DUMMYFUNCTION("""COMPUTED_VALUE"""),"Sofiia Kuziuk")</f>
        <v>Sofiia Kuziuk</v>
      </c>
      <c r="B3355" s="1" t="str">
        <f>IFERROR(__xludf.DUMMYFUNCTION("""COMPUTED_VALUE"""),"L2")</f>
        <v>L2</v>
      </c>
    </row>
    <row r="3356" ht="15.75" customHeight="1">
      <c r="A3356" s="1" t="str">
        <f>IFERROR(__xludf.DUMMYFUNCTION("""COMPUTED_VALUE"""),"Ameliya Boiko")</f>
        <v>Ameliya Boiko</v>
      </c>
      <c r="B3356" s="1" t="str">
        <f>IFERROR(__xludf.DUMMYFUNCTION("""COMPUTED_VALUE"""),"MS")</f>
        <v>MS</v>
      </c>
    </row>
    <row r="3357" ht="15.75" customHeight="1">
      <c r="A3357" s="1" t="str">
        <f>IFERROR(__xludf.DUMMYFUNCTION("""COMPUTED_VALUE"""),"Volodymyr Tarakanov")</f>
        <v>Volodymyr Tarakanov</v>
      </c>
      <c r="B3357" s="1" t="str">
        <f>IFERROR(__xludf.DUMMYFUNCTION("""COMPUTED_VALUE"""),"L1")</f>
        <v>L1</v>
      </c>
    </row>
    <row r="3358" ht="15.75" customHeight="1">
      <c r="A3358" s="1" t="str">
        <f>IFERROR(__xludf.DUMMYFUNCTION("""COMPUTED_VALUE"""),"Maksym Falchuk")</f>
        <v>Maksym Falchuk</v>
      </c>
      <c r="B3358" s="1" t="str">
        <f>IFERROR(__xludf.DUMMYFUNCTION("""COMPUTED_VALUE"""),"MS")</f>
        <v>MS</v>
      </c>
    </row>
    <row r="3359" ht="15.75" customHeight="1">
      <c r="A3359" s="1" t="str">
        <f>IFERROR(__xludf.DUMMYFUNCTION("""COMPUTED_VALUE"""),"Yuliya Marchenko")</f>
        <v>Yuliya Marchenko</v>
      </c>
      <c r="B3359" s="1" t="str">
        <f>IFERROR(__xludf.DUMMYFUNCTION("""COMPUTED_VALUE"""),"HS")</f>
        <v>HS</v>
      </c>
    </row>
    <row r="3360" ht="15.75" customHeight="1">
      <c r="A3360" s="1" t="str">
        <f>IFERROR(__xludf.DUMMYFUNCTION("""COMPUTED_VALUE"""),"malgorzata mardus")</f>
        <v>malgorzata mardus</v>
      </c>
      <c r="B3360" s="1" t="str">
        <f>IFERROR(__xludf.DUMMYFUNCTION("""COMPUTED_VALUE"""),"MS")</f>
        <v>MS</v>
      </c>
    </row>
    <row r="3361" ht="15.75" customHeight="1">
      <c r="A3361" s="1" t="str">
        <f>IFERROR(__xludf.DUMMYFUNCTION("""COMPUTED_VALUE"""),"Marharyta Ovcharenko")</f>
        <v>Marharyta Ovcharenko</v>
      </c>
      <c r="B3361" s="1" t="str">
        <f>IFERROR(__xludf.DUMMYFUNCTION("""COMPUTED_VALUE"""),"HS")</f>
        <v>HS</v>
      </c>
    </row>
    <row r="3362" ht="15.75" customHeight="1">
      <c r="A3362" s="1" t="str">
        <f>IFERROR(__xludf.DUMMYFUNCTION("""COMPUTED_VALUE"""),"Marharyta Kohutnitska")</f>
        <v>Marharyta Kohutnitska</v>
      </c>
      <c r="B3362" s="1" t="str">
        <f>IFERROR(__xludf.DUMMYFUNCTION("""COMPUTED_VALUE"""),"MS")</f>
        <v>MS</v>
      </c>
    </row>
    <row r="3363" ht="15.75" customHeight="1">
      <c r="A3363" s="1" t="str">
        <f>IFERROR(__xludf.DUMMYFUNCTION("""COMPUTED_VALUE"""),"Mariia Skok")</f>
        <v>Mariia Skok</v>
      </c>
      <c r="B3363" s="1" t="str">
        <f>IFERROR(__xludf.DUMMYFUNCTION("""COMPUTED_VALUE"""),"HS")</f>
        <v>HS</v>
      </c>
    </row>
    <row r="3364" ht="15.75" customHeight="1">
      <c r="A3364" s="1" t="str">
        <f>IFERROR(__xludf.DUMMYFUNCTION("""COMPUTED_VALUE"""),"Mariia Sukhyna")</f>
        <v>Mariia Sukhyna</v>
      </c>
      <c r="B3364" s="1" t="str">
        <f>IFERROR(__xludf.DUMMYFUNCTION("""COMPUTED_VALUE"""),"MS")</f>
        <v>MS</v>
      </c>
    </row>
    <row r="3365" ht="15.75" customHeight="1">
      <c r="A3365" s="1" t="str">
        <f>IFERROR(__xludf.DUMMYFUNCTION("""COMPUTED_VALUE"""),"Veronika Drykina")</f>
        <v>Veronika Drykina</v>
      </c>
      <c r="B3365" s="1" t="str">
        <f>IFERROR(__xludf.DUMMYFUNCTION("""COMPUTED_VALUE"""),"L1")</f>
        <v>L1</v>
      </c>
    </row>
    <row r="3366" ht="15.75" customHeight="1">
      <c r="A3366" s="1" t="str">
        <f>IFERROR(__xludf.DUMMYFUNCTION("""COMPUTED_VALUE"""),"Vladyslav Kalmykov")</f>
        <v>Vladyslav Kalmykov</v>
      </c>
      <c r="B3366" s="1" t="str">
        <f>IFERROR(__xludf.DUMMYFUNCTION("""COMPUTED_VALUE"""),"HS")</f>
        <v>HS</v>
      </c>
    </row>
    <row r="3367" ht="15.75" customHeight="1">
      <c r="A3367" s="1" t="str">
        <f>IFERROR(__xludf.DUMMYFUNCTION("""COMPUTED_VALUE"""),"Marko Kuybida")</f>
        <v>Marko Kuybida</v>
      </c>
      <c r="B3367" s="1" t="str">
        <f>IFERROR(__xludf.DUMMYFUNCTION("""COMPUTED_VALUE"""),"MS")</f>
        <v>MS</v>
      </c>
    </row>
    <row r="3368" ht="15.75" customHeight="1">
      <c r="A3368" s="1" t="str">
        <f>IFERROR(__xludf.DUMMYFUNCTION("""COMPUTED_VALUE"""),"Mariia Ovsiannikova")</f>
        <v>Mariia Ovsiannikova</v>
      </c>
      <c r="B3368" s="1" t="str">
        <f>IFERROR(__xludf.DUMMYFUNCTION("""COMPUTED_VALUE"""),"MS")</f>
        <v>MS</v>
      </c>
    </row>
    <row r="3369" ht="15.75" customHeight="1">
      <c r="A3369" s="1" t="str">
        <f>IFERROR(__xludf.DUMMYFUNCTION("""COMPUTED_VALUE"""),"Matvii Maksymov")</f>
        <v>Matvii Maksymov</v>
      </c>
      <c r="B3369" s="1" t="str">
        <f>IFERROR(__xludf.DUMMYFUNCTION("""COMPUTED_VALUE"""),"MS")</f>
        <v>MS</v>
      </c>
    </row>
    <row r="3370" ht="15.75" customHeight="1">
      <c r="A3370" s="1" t="str">
        <f>IFERROR(__xludf.DUMMYFUNCTION("""COMPUTED_VALUE"""),"Vladyslava Melnikova")</f>
        <v>Vladyslava Melnikova</v>
      </c>
      <c r="B3370" s="1" t="str">
        <f>IFERROR(__xludf.DUMMYFUNCTION("""COMPUTED_VALUE"""),"MS")</f>
        <v>MS</v>
      </c>
    </row>
    <row r="3371" ht="15.75" customHeight="1">
      <c r="A3371" s="1" t="str">
        <f>IFERROR(__xludf.DUMMYFUNCTION("""COMPUTED_VALUE"""),"kostantin kurdyaev")</f>
        <v>kostantin kurdyaev</v>
      </c>
      <c r="B3371" s="1" t="str">
        <f>IFERROR(__xludf.DUMMYFUNCTION("""COMPUTED_VALUE"""),"MS")</f>
        <v>MS</v>
      </c>
    </row>
    <row r="3372" ht="15.75" customHeight="1">
      <c r="A3372" s="1" t="str">
        <f>IFERROR(__xludf.DUMMYFUNCTION("""COMPUTED_VALUE"""),"Vitalii Muchychka")</f>
        <v>Vitalii Muchychka</v>
      </c>
      <c r="B3372" s="1" t="str">
        <f>IFERROR(__xludf.DUMMYFUNCTION("""COMPUTED_VALUE"""),"HS")</f>
        <v>HS</v>
      </c>
    </row>
    <row r="3373" ht="15.75" customHeight="1">
      <c r="A3373" s="1" t="str">
        <f>IFERROR(__xludf.DUMMYFUNCTION("""COMPUTED_VALUE"""),"Moroz Denis")</f>
        <v>Moroz Denis</v>
      </c>
      <c r="B3373" s="1" t="str">
        <f>IFERROR(__xludf.DUMMYFUNCTION("""COMPUTED_VALUE"""),"MS")</f>
        <v>MS</v>
      </c>
    </row>
    <row r="3374" ht="15.75" customHeight="1">
      <c r="A3374" s="1" t="str">
        <f>IFERROR(__xludf.DUMMYFUNCTION("""COMPUTED_VALUE"""),"Mykhailo Novosad")</f>
        <v>Mykhailo Novosad</v>
      </c>
      <c r="B3374" s="1" t="str">
        <f>IFERROR(__xludf.DUMMYFUNCTION("""COMPUTED_VALUE"""),"HS")</f>
        <v>HS</v>
      </c>
    </row>
    <row r="3375" ht="15.75" customHeight="1">
      <c r="A3375" s="1" t="str">
        <f>IFERROR(__xludf.DUMMYFUNCTION("""COMPUTED_VALUE"""),"Oleksandra Musatova")</f>
        <v>Oleksandra Musatova</v>
      </c>
      <c r="B3375" s="1" t="str">
        <f>IFERROR(__xludf.DUMMYFUNCTION("""COMPUTED_VALUE"""),"HS")</f>
        <v>HS</v>
      </c>
    </row>
    <row r="3376" ht="15.75" customHeight="1">
      <c r="A3376" s="1" t="str">
        <f>IFERROR(__xludf.DUMMYFUNCTION("""COMPUTED_VALUE"""),"Mykola Kuzmenko")</f>
        <v>Mykola Kuzmenko</v>
      </c>
      <c r="B3376" s="1" t="str">
        <f>IFERROR(__xludf.DUMMYFUNCTION("""COMPUTED_VALUE"""),"L1")</f>
        <v>L1</v>
      </c>
    </row>
    <row r="3377" ht="15.75" customHeight="1">
      <c r="A3377" s="1" t="str">
        <f>IFERROR(__xludf.DUMMYFUNCTION("""COMPUTED_VALUE"""),"Anna Sharko")</f>
        <v>Anna Sharko</v>
      </c>
      <c r="B3377" s="1" t="str">
        <f>IFERROR(__xludf.DUMMYFUNCTION("""COMPUTED_VALUE"""),"HS")</f>
        <v>HS</v>
      </c>
    </row>
    <row r="3378" ht="15.75" customHeight="1">
      <c r="A3378" s="1" t="str">
        <f>IFERROR(__xludf.DUMMYFUNCTION("""COMPUTED_VALUE"""),"Solomiia Sharko")</f>
        <v>Solomiia Sharko</v>
      </c>
      <c r="B3378" s="1" t="str">
        <f>IFERROR(__xludf.DUMMYFUNCTION("""COMPUTED_VALUE"""),"MS")</f>
        <v>MS</v>
      </c>
    </row>
    <row r="3379" ht="15.75" customHeight="1">
      <c r="A3379" s="1" t="str">
        <f>IFERROR(__xludf.DUMMYFUNCTION("""COMPUTED_VALUE"""),"Amastasiia Shevchenko")</f>
        <v>Amastasiia Shevchenko</v>
      </c>
      <c r="B3379" s="1" t="str">
        <f>IFERROR(__xludf.DUMMYFUNCTION("""COMPUTED_VALUE"""),"HS")</f>
        <v>HS</v>
      </c>
    </row>
    <row r="3380" ht="15.75" customHeight="1">
      <c r="A3380" s="1" t="str">
        <f>IFERROR(__xludf.DUMMYFUNCTION("""COMPUTED_VALUE"""),"Anastasiia Vozniuk")</f>
        <v>Anastasiia Vozniuk</v>
      </c>
      <c r="B3380" s="1" t="str">
        <f>IFERROR(__xludf.DUMMYFUNCTION("""COMPUTED_VALUE"""),"MS")</f>
        <v>MS</v>
      </c>
    </row>
    <row r="3381" ht="15.75" customHeight="1">
      <c r="A3381" s="1" t="str">
        <f>IFERROR(__xludf.DUMMYFUNCTION("""COMPUTED_VALUE"""),"Fatkullina Anastasiia")</f>
        <v>Fatkullina Anastasiia</v>
      </c>
      <c r="B3381" s="1" t="str">
        <f>IFERROR(__xludf.DUMMYFUNCTION("""COMPUTED_VALUE"""),"HS")</f>
        <v>HS</v>
      </c>
    </row>
    <row r="3382" ht="15.75" customHeight="1">
      <c r="A3382" s="1" t="str">
        <f>IFERROR(__xludf.DUMMYFUNCTION("""COMPUTED_VALUE"""),"Marharyta Stozhok")</f>
        <v>Marharyta Stozhok</v>
      </c>
      <c r="B3382" s="1" t="str">
        <f>IFERROR(__xludf.DUMMYFUNCTION("""COMPUTED_VALUE"""),"HS")</f>
        <v>HS</v>
      </c>
    </row>
    <row r="3383" ht="15.75" customHeight="1">
      <c r="A3383" s="1" t="str">
        <f>IFERROR(__xludf.DUMMYFUNCTION("""COMPUTED_VALUE"""),"Nataliia Shpak")</f>
        <v>Nataliia Shpak</v>
      </c>
      <c r="B3383" s="1" t="str">
        <f>IFERROR(__xludf.DUMMYFUNCTION("""COMPUTED_VALUE"""),"HS")</f>
        <v>HS</v>
      </c>
    </row>
    <row r="3384" ht="15.75" customHeight="1">
      <c r="A3384" s="1" t="str">
        <f>IFERROR(__xludf.DUMMYFUNCTION("""COMPUTED_VALUE"""),"Yuliia Zinchenko")</f>
        <v>Yuliia Zinchenko</v>
      </c>
      <c r="B3384" s="1" t="str">
        <f>IFERROR(__xludf.DUMMYFUNCTION("""COMPUTED_VALUE"""),"L2")</f>
        <v>L2</v>
      </c>
    </row>
    <row r="3385" ht="15.75" customHeight="1">
      <c r="A3385" s="1" t="str">
        <f>IFERROR(__xludf.DUMMYFUNCTION("""COMPUTED_VALUE"""),"Blazhaieva Arina")</f>
        <v>Blazhaieva Arina</v>
      </c>
      <c r="B3385" s="1" t="str">
        <f>IFERROR(__xludf.DUMMYFUNCTION("""COMPUTED_VALUE"""),"MS")</f>
        <v>MS</v>
      </c>
    </row>
    <row r="3386" ht="15.75" customHeight="1">
      <c r="A3386" s="1" t="str">
        <f>IFERROR(__xludf.DUMMYFUNCTION("""COMPUTED_VALUE"""),"Sarmasov Nazar")</f>
        <v>Sarmasov Nazar</v>
      </c>
      <c r="B3386" s="1" t="str">
        <f>IFERROR(__xludf.DUMMYFUNCTION("""COMPUTED_VALUE"""),"HS")</f>
        <v>HS</v>
      </c>
    </row>
    <row r="3387" ht="15.75" customHeight="1">
      <c r="A3387" s="1" t="str">
        <f>IFERROR(__xludf.DUMMYFUNCTION("""COMPUTED_VALUE"""),"Nikol Chupriianovska")</f>
        <v>Nikol Chupriianovska</v>
      </c>
      <c r="B3387" s="1" t="str">
        <f>IFERROR(__xludf.DUMMYFUNCTION("""COMPUTED_VALUE"""),"L1")</f>
        <v>L1</v>
      </c>
    </row>
    <row r="3388" ht="15.75" customHeight="1">
      <c r="A3388" s="1" t="str">
        <f>IFERROR(__xludf.DUMMYFUNCTION("""COMPUTED_VALUE"""),"Kysyliuk Veronika")</f>
        <v>Kysyliuk Veronika</v>
      </c>
      <c r="B3388" s="1" t="str">
        <f>IFERROR(__xludf.DUMMYFUNCTION("""COMPUTED_VALUE"""),"MS")</f>
        <v>MS</v>
      </c>
    </row>
    <row r="3389" ht="15.75" customHeight="1">
      <c r="A3389" s="1" t="str">
        <f>IFERROR(__xludf.DUMMYFUNCTION("""COMPUTED_VALUE"""),"Bohush Artem")</f>
        <v>Bohush Artem</v>
      </c>
      <c r="B3389" s="1" t="str">
        <f>IFERROR(__xludf.DUMMYFUNCTION("""COMPUTED_VALUE"""),"HS")</f>
        <v>HS</v>
      </c>
    </row>
    <row r="3390" ht="15.75" customHeight="1">
      <c r="A3390" s="1" t="str">
        <f>IFERROR(__xludf.DUMMYFUNCTION("""COMPUTED_VALUE"""),"Anhelina Nakonechna")</f>
        <v>Anhelina Nakonechna</v>
      </c>
      <c r="B3390" s="1" t="str">
        <f>IFERROR(__xludf.DUMMYFUNCTION("""COMPUTED_VALUE"""),"L2")</f>
        <v>L2</v>
      </c>
    </row>
    <row r="3391" ht="15.75" customHeight="1">
      <c r="A3391" s="1" t="str">
        <f>IFERROR(__xludf.DUMMYFUNCTION("""COMPUTED_VALUE"""),"Iryna Shpak")</f>
        <v>Iryna Shpak</v>
      </c>
      <c r="B3391" s="1" t="str">
        <f>IFERROR(__xludf.DUMMYFUNCTION("""COMPUTED_VALUE"""),"MS")</f>
        <v>MS</v>
      </c>
    </row>
    <row r="3392" ht="15.75" customHeight="1">
      <c r="A3392" s="1" t="str">
        <f>IFERROR(__xludf.DUMMYFUNCTION("""COMPUTED_VALUE"""),"oleksandra zhuk")</f>
        <v>oleksandra zhuk</v>
      </c>
      <c r="B3392" s="1" t="str">
        <f>IFERROR(__xludf.DUMMYFUNCTION("""COMPUTED_VALUE"""),"MS")</f>
        <v>MS</v>
      </c>
    </row>
    <row r="3393" ht="15.75" customHeight="1">
      <c r="A3393" s="1" t="str">
        <f>IFERROR(__xludf.DUMMYFUNCTION("""COMPUTED_VALUE"""),"Matvii Kolesnikov")</f>
        <v>Matvii Kolesnikov</v>
      </c>
      <c r="B3393" s="1" t="str">
        <f>IFERROR(__xludf.DUMMYFUNCTION("""COMPUTED_VALUE"""),"L2")</f>
        <v>L2</v>
      </c>
    </row>
    <row r="3394" ht="15.75" customHeight="1">
      <c r="A3394" s="1" t="str">
        <f>IFERROR(__xludf.DUMMYFUNCTION("""COMPUTED_VALUE"""),"Dariia Mitkina")</f>
        <v>Dariia Mitkina</v>
      </c>
      <c r="B3394" s="1" t="str">
        <f>IFERROR(__xludf.DUMMYFUNCTION("""COMPUTED_VALUE"""),"L2")</f>
        <v>L2</v>
      </c>
    </row>
    <row r="3395" ht="15.75" customHeight="1">
      <c r="A3395" s="1" t="str">
        <f>IFERROR(__xludf.DUMMYFUNCTION("""COMPUTED_VALUE"""),"Illia Pidmohylnyi")</f>
        <v>Illia Pidmohylnyi</v>
      </c>
      <c r="B3395" s="1" t="str">
        <f>IFERROR(__xludf.DUMMYFUNCTION("""COMPUTED_VALUE"""),"L1")</f>
        <v>L1</v>
      </c>
    </row>
    <row r="3396" ht="15.75" customHeight="1">
      <c r="A3396" s="1" t="str">
        <f>IFERROR(__xludf.DUMMYFUNCTION("""COMPUTED_VALUE"""),"Emiliia Pidmohylna")</f>
        <v>Emiliia Pidmohylna</v>
      </c>
      <c r="B3396" s="1" t="str">
        <f>IFERROR(__xludf.DUMMYFUNCTION("""COMPUTED_VALUE"""),"LL")</f>
        <v>LL</v>
      </c>
    </row>
    <row r="3397" ht="15.75" customHeight="1">
      <c r="A3397" s="1" t="str">
        <f>IFERROR(__xludf.DUMMYFUNCTION("""COMPUTED_VALUE"""),"Kyrylo Kurdiaiev")</f>
        <v>Kyrylo Kurdiaiev</v>
      </c>
      <c r="B3397" s="1" t="str">
        <f>IFERROR(__xludf.DUMMYFUNCTION("""COMPUTED_VALUE"""),"HS")</f>
        <v>HS</v>
      </c>
    </row>
    <row r="3398" ht="15.75" customHeight="1">
      <c r="A3398" s="1" t="str">
        <f>IFERROR(__xludf.DUMMYFUNCTION("""COMPUTED_VALUE"""),"Mykyta Orlovskyi")</f>
        <v>Mykyta Orlovskyi</v>
      </c>
      <c r="B3398" s="1" t="str">
        <f>IFERROR(__xludf.DUMMYFUNCTION("""COMPUTED_VALUE"""),"MS")</f>
        <v>MS</v>
      </c>
    </row>
    <row r="3399" ht="15.75" customHeight="1">
      <c r="A3399" s="1" t="str">
        <f>IFERROR(__xludf.DUMMYFUNCTION("""COMPUTED_VALUE"""),"Mariia Vozniuk")</f>
        <v>Mariia Vozniuk</v>
      </c>
      <c r="B3399" s="1" t="str">
        <f>IFERROR(__xludf.DUMMYFUNCTION("""COMPUTED_VALUE"""),"L2")</f>
        <v>L2</v>
      </c>
    </row>
    <row r="3400" ht="15.75" customHeight="1">
      <c r="A3400" s="1" t="str">
        <f>IFERROR(__xludf.DUMMYFUNCTION("""COMPUTED_VALUE"""),"Davyd Pavlyk")</f>
        <v>Davyd Pavlyk</v>
      </c>
      <c r="B3400" s="1" t="str">
        <f>IFERROR(__xludf.DUMMYFUNCTION("""COMPUTED_VALUE"""),"L2")</f>
        <v>L2</v>
      </c>
    </row>
    <row r="3401" ht="15.75" customHeight="1">
      <c r="A3401" s="1" t="str">
        <f>IFERROR(__xludf.DUMMYFUNCTION("""COMPUTED_VALUE"""),"Petro Martyn")</f>
        <v>Petro Martyn</v>
      </c>
      <c r="B3401" s="1" t="str">
        <f>IFERROR(__xludf.DUMMYFUNCTION("""COMPUTED_VALUE"""),"HS")</f>
        <v>HS</v>
      </c>
    </row>
    <row r="3402" ht="15.75" customHeight="1">
      <c r="A3402" s="1" t="str">
        <f>IFERROR(__xludf.DUMMYFUNCTION("""COMPUTED_VALUE"""),"Petro Boiko")</f>
        <v>Petro Boiko</v>
      </c>
      <c r="B3402" s="1" t="str">
        <f>IFERROR(__xludf.DUMMYFUNCTION("""COMPUTED_VALUE"""),"MS")</f>
        <v>MS</v>
      </c>
    </row>
    <row r="3403" ht="15.75" customHeight="1">
      <c r="A3403" s="1" t="str">
        <f>IFERROR(__xludf.DUMMYFUNCTION("""COMPUTED_VALUE"""),"Grzegorz Mardus")</f>
        <v>Grzegorz Mardus</v>
      </c>
      <c r="B3403" s="1" t="str">
        <f>IFERROR(__xludf.DUMMYFUNCTION("""COMPUTED_VALUE"""),"MS")</f>
        <v>MS</v>
      </c>
    </row>
    <row r="3404" ht="15.75" customHeight="1">
      <c r="A3404" s="1" t="str">
        <f>IFERROR(__xludf.DUMMYFUNCTION("""COMPUTED_VALUE"""),"Polina Soliar")</f>
        <v>Polina Soliar</v>
      </c>
      <c r="B3404" s="1" t="str">
        <f>IFERROR(__xludf.DUMMYFUNCTION("""COMPUTED_VALUE"""),"MS")</f>
        <v>MS</v>
      </c>
    </row>
    <row r="3405" ht="15.75" customHeight="1">
      <c r="A3405" s="1" t="str">
        <f>IFERROR(__xludf.DUMMYFUNCTION("""COMPUTED_VALUE"""),"Artem Prokopchuk")</f>
        <v>Artem Prokopchuk</v>
      </c>
      <c r="B3405" s="1" t="str">
        <f>IFERROR(__xludf.DUMMYFUNCTION("""COMPUTED_VALUE"""),"L2")</f>
        <v>L2</v>
      </c>
    </row>
    <row r="3406" ht="15.75" customHeight="1">
      <c r="A3406" s="1" t="str">
        <f>IFERROR(__xludf.DUMMYFUNCTION("""COMPUTED_VALUE"""),"Daria Prokopchuk")</f>
        <v>Daria Prokopchuk</v>
      </c>
      <c r="B3406" s="1" t="str">
        <f>IFERROR(__xludf.DUMMYFUNCTION("""COMPUTED_VALUE"""),"L2")</f>
        <v>L2</v>
      </c>
    </row>
    <row r="3407" ht="15.75" customHeight="1">
      <c r="A3407" s="1" t="str">
        <f>IFERROR(__xludf.DUMMYFUNCTION("""COMPUTED_VALUE"""),"Roman lhnatenko")</f>
        <v>Roman lhnatenko</v>
      </c>
      <c r="B3407" s="1" t="str">
        <f>IFERROR(__xludf.DUMMYFUNCTION("""COMPUTED_VALUE"""),"HS")</f>
        <v>HS</v>
      </c>
    </row>
    <row r="3408" ht="15.75" customHeight="1">
      <c r="A3408" s="1" t="str">
        <f>IFERROR(__xludf.DUMMYFUNCTION("""COMPUTED_VALUE"""),"Roman Prysiazhniuk")</f>
        <v>Roman Prysiazhniuk</v>
      </c>
      <c r="B3408" s="1" t="str">
        <f>IFERROR(__xludf.DUMMYFUNCTION("""COMPUTED_VALUE"""),"MS")</f>
        <v>MS</v>
      </c>
    </row>
    <row r="3409" ht="15.75" customHeight="1">
      <c r="A3409" s="1" t="str">
        <f>IFERROR(__xludf.DUMMYFUNCTION("""COMPUTED_VALUE"""),"Shpak Tymur")</f>
        <v>Shpak Tymur</v>
      </c>
      <c r="B3409" s="1" t="str">
        <f>IFERROR(__xludf.DUMMYFUNCTION("""COMPUTED_VALUE"""),"L2")</f>
        <v>L2</v>
      </c>
    </row>
    <row r="3410" ht="15.75" customHeight="1">
      <c r="A3410" s="1" t="str">
        <f>IFERROR(__xludf.DUMMYFUNCTION("""COMPUTED_VALUE"""),"Solomiia Deriabina")</f>
        <v>Solomiia Deriabina</v>
      </c>
      <c r="B3410" s="1" t="str">
        <f>IFERROR(__xludf.DUMMYFUNCTION("""COMPUTED_VALUE"""),"HS")</f>
        <v>HS</v>
      </c>
    </row>
    <row r="3411" ht="15.75" customHeight="1">
      <c r="A3411" s="1" t="str">
        <f>IFERROR(__xludf.DUMMYFUNCTION("""COMPUTED_VALUE"""),"Nataliia Safonova")</f>
        <v>Nataliia Safonova</v>
      </c>
      <c r="B3411" s="1" t="str">
        <f>IFERROR(__xludf.DUMMYFUNCTION("""COMPUTED_VALUE"""),"L2")</f>
        <v>L2</v>
      </c>
    </row>
    <row r="3412" ht="15.75" customHeight="1">
      <c r="A3412" s="1" t="str">
        <f>IFERROR(__xludf.DUMMYFUNCTION("""COMPUTED_VALUE"""),"Oleksandra Sukhyna")</f>
        <v>Oleksandra Sukhyna</v>
      </c>
      <c r="B3412" s="1" t="str">
        <f>IFERROR(__xludf.DUMMYFUNCTION("""COMPUTED_VALUE"""),"MS")</f>
        <v>MS</v>
      </c>
    </row>
    <row r="3413" ht="15.75" customHeight="1">
      <c r="A3413" s="1" t="str">
        <f>IFERROR(__xludf.DUMMYFUNCTION("""COMPUTED_VALUE"""),"oleksandra marchenko")</f>
        <v>oleksandra marchenko</v>
      </c>
      <c r="B3413" s="1" t="str">
        <f>IFERROR(__xludf.DUMMYFUNCTION("""COMPUTED_VALUE"""),"HS")</f>
        <v>HS</v>
      </c>
    </row>
    <row r="3414" ht="15.75" customHeight="1">
      <c r="A3414" s="1" t="str">
        <f>IFERROR(__xludf.DUMMYFUNCTION("""COMPUTED_VALUE"""),"Ilona Siabruk")</f>
        <v>Ilona Siabruk</v>
      </c>
      <c r="B3414" s="1" t="str">
        <f>IFERROR(__xludf.DUMMYFUNCTION("""COMPUTED_VALUE"""),"MS")</f>
        <v>MS</v>
      </c>
    </row>
    <row r="3415" ht="15.75" customHeight="1">
      <c r="A3415" s="1" t="str">
        <f>IFERROR(__xludf.DUMMYFUNCTION("""COMPUTED_VALUE"""),"Bohdan Nizelskyi")</f>
        <v>Bohdan Nizelskyi</v>
      </c>
      <c r="B3415" s="1" t="str">
        <f>IFERROR(__xludf.DUMMYFUNCTION("""COMPUTED_VALUE"""),"MS")</f>
        <v>MS</v>
      </c>
    </row>
    <row r="3416" ht="15.75" customHeight="1">
      <c r="A3416" s="1" t="str">
        <f>IFERROR(__xludf.DUMMYFUNCTION("""COMPUTED_VALUE"""),"Yuliia Sheremetina")</f>
        <v>Yuliia Sheremetina</v>
      </c>
      <c r="B3416" s="1" t="str">
        <f>IFERROR(__xludf.DUMMYFUNCTION("""COMPUTED_VALUE"""),"MS")</f>
        <v>MS</v>
      </c>
    </row>
    <row r="3417" ht="15.75" customHeight="1">
      <c r="A3417" s="1" t="str">
        <f>IFERROR(__xludf.DUMMYFUNCTION("""COMPUTED_VALUE"""),"Ernest Mytsyk")</f>
        <v>Ernest Mytsyk</v>
      </c>
      <c r="B3417" s="1" t="str">
        <f>IFERROR(__xludf.DUMMYFUNCTION("""COMPUTED_VALUE"""),"MS")</f>
        <v>MS</v>
      </c>
    </row>
    <row r="3418" ht="15.75" customHeight="1">
      <c r="A3418" s="1" t="str">
        <f>IFERROR(__xludf.DUMMYFUNCTION("""COMPUTED_VALUE"""),"Daria Skok")</f>
        <v>Daria Skok</v>
      </c>
      <c r="B3418" s="1" t="str">
        <f>IFERROR(__xludf.DUMMYFUNCTION("""COMPUTED_VALUE"""),"MS")</f>
        <v>MS</v>
      </c>
    </row>
    <row r="3419" ht="15.75" customHeight="1">
      <c r="A3419" s="1" t="str">
        <f>IFERROR(__xludf.DUMMYFUNCTION("""COMPUTED_VALUE"""),"Daria Slushchenko")</f>
        <v>Daria Slushchenko</v>
      </c>
      <c r="B3419" s="1" t="str">
        <f>IFERROR(__xludf.DUMMYFUNCTION("""COMPUTED_VALUE"""),"MS")</f>
        <v>MS</v>
      </c>
    </row>
    <row r="3420" ht="15.75" customHeight="1">
      <c r="A3420" s="1" t="str">
        <f>IFERROR(__xludf.DUMMYFUNCTION("""COMPUTED_VALUE"""),"Sofiia Senchyna")</f>
        <v>Sofiia Senchyna</v>
      </c>
      <c r="B3420" s="1" t="str">
        <f>IFERROR(__xludf.DUMMYFUNCTION("""COMPUTED_VALUE"""),"HS")</f>
        <v>HS</v>
      </c>
    </row>
    <row r="3421" ht="15.75" customHeight="1">
      <c r="A3421" s="1" t="str">
        <f>IFERROR(__xludf.DUMMYFUNCTION("""COMPUTED_VALUE"""),"Sofiia Polukhina")</f>
        <v>Sofiia Polukhina</v>
      </c>
      <c r="B3421" s="1" t="str">
        <f>IFERROR(__xludf.DUMMYFUNCTION("""COMPUTED_VALUE"""),"MS")</f>
        <v>MS</v>
      </c>
    </row>
    <row r="3422" ht="15.75" customHeight="1">
      <c r="A3422" s="1" t="str">
        <f>IFERROR(__xludf.DUMMYFUNCTION("""COMPUTED_VALUE"""),"Sofiia Ovsiannikova")</f>
        <v>Sofiia Ovsiannikova</v>
      </c>
      <c r="B3422" s="1" t="str">
        <f>IFERROR(__xludf.DUMMYFUNCTION("""COMPUTED_VALUE"""),"L1")</f>
        <v>L1</v>
      </c>
    </row>
    <row r="3423" ht="15.75" customHeight="1">
      <c r="A3423" s="1" t="str">
        <f>IFERROR(__xludf.DUMMYFUNCTION("""COMPUTED_VALUE"""),"Sofiia Vozniuk")</f>
        <v>Sofiia Vozniuk</v>
      </c>
      <c r="B3423" s="1" t="str">
        <f>IFERROR(__xludf.DUMMYFUNCTION("""COMPUTED_VALUE"""),"HS")</f>
        <v>HS</v>
      </c>
    </row>
    <row r="3424" ht="15.75" customHeight="1">
      <c r="A3424" s="1" t="str">
        <f>IFERROR(__xludf.DUMMYFUNCTION("""COMPUTED_VALUE"""),"Sologub Illya")</f>
        <v>Sologub Illya</v>
      </c>
      <c r="B3424" s="1" t="str">
        <f>IFERROR(__xludf.DUMMYFUNCTION("""COMPUTED_VALUE"""),"MS")</f>
        <v>MS</v>
      </c>
    </row>
    <row r="3425" ht="15.75" customHeight="1">
      <c r="A3425" s="1" t="str">
        <f>IFERROR(__xludf.DUMMYFUNCTION("""COMPUTED_VALUE"""),"Soloviov Maksym")</f>
        <v>Soloviov Maksym</v>
      </c>
      <c r="B3425" s="1" t="str">
        <f>IFERROR(__xludf.DUMMYFUNCTION("""COMPUTED_VALUE"""),"L2")</f>
        <v>L2</v>
      </c>
    </row>
    <row r="3426" ht="15.75" customHeight="1">
      <c r="A3426" s="1" t="str">
        <f>IFERROR(__xludf.DUMMYFUNCTION("""COMPUTED_VALUE"""),"Oleksander Shpak")</f>
        <v>Oleksander Shpak</v>
      </c>
      <c r="B3426" s="1" t="str">
        <f>IFERROR(__xludf.DUMMYFUNCTION("""COMPUTED_VALUE"""),"HS")</f>
        <v>HS</v>
      </c>
    </row>
    <row r="3427" ht="15.75" customHeight="1">
      <c r="A3427" s="1" t="str">
        <f>IFERROR(__xludf.DUMMYFUNCTION("""COMPUTED_VALUE"""),"Emiliia Sulik")</f>
        <v>Emiliia Sulik</v>
      </c>
      <c r="B3427" s="1" t="str">
        <f>IFERROR(__xludf.DUMMYFUNCTION("""COMPUTED_VALUE"""),"HS")</f>
        <v>HS</v>
      </c>
    </row>
    <row r="3428" ht="15.75" customHeight="1">
      <c r="A3428" s="1" t="str">
        <f>IFERROR(__xludf.DUMMYFUNCTION("""COMPUTED_VALUE"""),"Tymek Sulik")</f>
        <v>Tymek Sulik</v>
      </c>
      <c r="B3428" s="1" t="str">
        <f>IFERROR(__xludf.DUMMYFUNCTION("""COMPUTED_VALUE"""),"MS")</f>
        <v>MS</v>
      </c>
    </row>
    <row r="3429" ht="15.75" customHeight="1">
      <c r="A3429" s="1" t="str">
        <f>IFERROR(__xludf.DUMMYFUNCTION("""COMPUTED_VALUE"""),"Babenko Milana")</f>
        <v>Babenko Milana</v>
      </c>
      <c r="B3429" s="1" t="str">
        <f>IFERROR(__xludf.DUMMYFUNCTION("""COMPUTED_VALUE"""),"MS")</f>
        <v>MS</v>
      </c>
    </row>
    <row r="3430" ht="15.75" customHeight="1">
      <c r="A3430" s="1" t="str">
        <f>IFERROR(__xludf.DUMMYFUNCTION("""COMPUTED_VALUE"""),"Kryvenets Katerina")</f>
        <v>Kryvenets Katerina</v>
      </c>
      <c r="B3430" s="1" t="str">
        <f>IFERROR(__xludf.DUMMYFUNCTION("""COMPUTED_VALUE"""),"MS")</f>
        <v>MS</v>
      </c>
    </row>
    <row r="3431" ht="15.75" customHeight="1">
      <c r="A3431" s="1" t="str">
        <f>IFERROR(__xludf.DUMMYFUNCTION("""COMPUTED_VALUE"""),"Tanya Neshitaya")</f>
        <v>Tanya Neshitaya</v>
      </c>
      <c r="B3431" s="1" t="str">
        <f>IFERROR(__xludf.DUMMYFUNCTION("""COMPUTED_VALUE"""),"HS")</f>
        <v>HS</v>
      </c>
    </row>
    <row r="3432" ht="15.75" customHeight="1">
      <c r="A3432" s="1" t="str">
        <f>IFERROR(__xludf.DUMMYFUNCTION("""COMPUTED_VALUE"""),"Dmytro Tarusin")</f>
        <v>Dmytro Tarusin</v>
      </c>
      <c r="B3432" s="1" t="str">
        <f>IFERROR(__xludf.DUMMYFUNCTION("""COMPUTED_VALUE"""),"MS")</f>
        <v>MS</v>
      </c>
    </row>
    <row r="3433" ht="15.75" customHeight="1">
      <c r="A3433" s="1" t="str">
        <f>IFERROR(__xludf.DUMMYFUNCTION("""COMPUTED_VALUE"""),"Sofiia Shevchenko")</f>
        <v>Sofiia Shevchenko</v>
      </c>
      <c r="B3433" s="1" t="str">
        <f>IFERROR(__xludf.DUMMYFUNCTION("""COMPUTED_VALUE"""),"L2")</f>
        <v>L2</v>
      </c>
    </row>
    <row r="3434" ht="15.75" customHeight="1">
      <c r="A3434" s="1" t="str">
        <f>IFERROR(__xludf.DUMMYFUNCTION("""COMPUTED_VALUE"""),"Vladyslav Ternavskiy")</f>
        <v>Vladyslav Ternavskiy</v>
      </c>
      <c r="B3434" s="1" t="str">
        <f>IFERROR(__xludf.DUMMYFUNCTION("""COMPUTED_VALUE"""),"HS")</f>
        <v>HS</v>
      </c>
    </row>
    <row r="3435" ht="15.75" customHeight="1">
      <c r="A3435" s="1" t="str">
        <f>IFERROR(__xludf.DUMMYFUNCTION("""COMPUTED_VALUE"""),"Danylo Dolzhykov")</f>
        <v>Danylo Dolzhykov</v>
      </c>
      <c r="B3435" s="1" t="str">
        <f>IFERROR(__xludf.DUMMYFUNCTION("""COMPUTED_VALUE"""),"L2")</f>
        <v>L2</v>
      </c>
    </row>
    <row r="3436" ht="15.75" customHeight="1">
      <c r="A3436" s="1" t="str">
        <f>IFERROR(__xludf.DUMMYFUNCTION("""COMPUTED_VALUE"""),"Antonina Gortovliuk")</f>
        <v>Antonina Gortovliuk</v>
      </c>
      <c r="B3436" s="1" t="str">
        <f>IFERROR(__xludf.DUMMYFUNCTION("""COMPUTED_VALUE"""),"MS")</f>
        <v>MS</v>
      </c>
    </row>
    <row r="3437" ht="15.75" customHeight="1">
      <c r="A3437" s="1" t="str">
        <f>IFERROR(__xludf.DUMMYFUNCTION("""COMPUTED_VALUE"""),"Maksym Kuklenko")</f>
        <v>Maksym Kuklenko</v>
      </c>
      <c r="B3437" s="1" t="str">
        <f>IFERROR(__xludf.DUMMYFUNCTION("""COMPUTED_VALUE"""),"HS")</f>
        <v>HS</v>
      </c>
    </row>
    <row r="3438" ht="15.75" customHeight="1">
      <c r="A3438" s="1" t="str">
        <f>IFERROR(__xludf.DUMMYFUNCTION("""COMPUTED_VALUE"""),"Maksim Shakalo")</f>
        <v>Maksim Shakalo</v>
      </c>
      <c r="B3438" s="1" t="str">
        <f>IFERROR(__xludf.DUMMYFUNCTION("""COMPUTED_VALUE"""),"L1")</f>
        <v>L1</v>
      </c>
    </row>
    <row r="3439" ht="15.75" customHeight="1">
      <c r="A3439" s="1" t="str">
        <f>IFERROR(__xludf.DUMMYFUNCTION("""COMPUTED_VALUE"""),"valeriia safonova")</f>
        <v>valeriia safonova</v>
      </c>
      <c r="B3439" s="1" t="str">
        <f>IFERROR(__xludf.DUMMYFUNCTION("""COMPUTED_VALUE"""),"HS")</f>
        <v>HS</v>
      </c>
    </row>
    <row r="3440" ht="15.75" customHeight="1">
      <c r="A3440" s="1" t="str">
        <f>IFERROR(__xludf.DUMMYFUNCTION("""COMPUTED_VALUE"""),"Anastasiia Desiak")</f>
        <v>Anastasiia Desiak</v>
      </c>
      <c r="B3440" s="1" t="str">
        <f>IFERROR(__xludf.DUMMYFUNCTION("""COMPUTED_VALUE"""),"MS")</f>
        <v>MS</v>
      </c>
    </row>
    <row r="3441" ht="15.75" customHeight="1">
      <c r="A3441" s="1" t="str">
        <f>IFERROR(__xludf.DUMMYFUNCTION("""COMPUTED_VALUE"""),"Viktoriia Rybak")</f>
        <v>Viktoriia Rybak</v>
      </c>
      <c r="B3441" s="1" t="str">
        <f>IFERROR(__xludf.DUMMYFUNCTION("""COMPUTED_VALUE"""),"HS")</f>
        <v>HS</v>
      </c>
    </row>
    <row r="3442" ht="15.75" customHeight="1">
      <c r="A3442" s="1" t="str">
        <f>IFERROR(__xludf.DUMMYFUNCTION("""COMPUTED_VALUE"""),"Leonid Gortovliuk")</f>
        <v>Leonid Gortovliuk</v>
      </c>
      <c r="B3442" s="1" t="str">
        <f>IFERROR(__xludf.DUMMYFUNCTION("""COMPUTED_VALUE"""),"LL")</f>
        <v>LL</v>
      </c>
    </row>
    <row r="3443" ht="15.75" customHeight="1">
      <c r="A3443" s="1" t="str">
        <f>IFERROR(__xludf.DUMMYFUNCTION("""COMPUTED_VALUE"""),"Valeriia Ihnatenko")</f>
        <v>Valeriia Ihnatenko</v>
      </c>
      <c r="B3443" s="1" t="str">
        <f>IFERROR(__xludf.DUMMYFUNCTION("""COMPUTED_VALUE"""),"L2")</f>
        <v>L2</v>
      </c>
    </row>
    <row r="3444" ht="15.75" customHeight="1">
      <c r="A3444" s="1" t="str">
        <f>IFERROR(__xludf.DUMMYFUNCTION("""COMPUTED_VALUE"""),"Tymofii Vynohradov")</f>
        <v>Tymofii Vynohradov</v>
      </c>
      <c r="B3444" s="1" t="str">
        <f>IFERROR(__xludf.DUMMYFUNCTION("""COMPUTED_VALUE"""),"L2")</f>
        <v>L2</v>
      </c>
    </row>
    <row r="3445" ht="15.75" customHeight="1">
      <c r="A3445" s="1" t="str">
        <f>IFERROR(__xludf.DUMMYFUNCTION("""COMPUTED_VALUE"""),"Danylo Vynohradov")</f>
        <v>Danylo Vynohradov</v>
      </c>
      <c r="B3445" s="1" t="str">
        <f>IFERROR(__xludf.DUMMYFUNCTION("""COMPUTED_VALUE"""),"MS")</f>
        <v>MS</v>
      </c>
    </row>
    <row r="3446" ht="15.75" customHeight="1">
      <c r="A3446" s="1" t="str">
        <f>IFERROR(__xludf.DUMMYFUNCTION("""COMPUTED_VALUE"""),"Zakhar Yaroshenko")</f>
        <v>Zakhar Yaroshenko</v>
      </c>
      <c r="B3446" s="1" t="str">
        <f>IFERROR(__xludf.DUMMYFUNCTION("""COMPUTED_VALUE"""),"L1")</f>
        <v>L1</v>
      </c>
    </row>
    <row r="3447" ht="15.75" customHeight="1">
      <c r="A3447" s="1" t="str">
        <f>IFERROR(__xludf.DUMMYFUNCTION("""COMPUTED_VALUE"""),"Yaroslav Sopin")</f>
        <v>Yaroslav Sopin</v>
      </c>
      <c r="B3447" s="1" t="str">
        <f>IFERROR(__xludf.DUMMYFUNCTION("""COMPUTED_VALUE"""),"MS")</f>
        <v>MS</v>
      </c>
    </row>
    <row r="3448" ht="15.75" customHeight="1">
      <c r="A3448" s="1" t="str">
        <f>IFERROR(__xludf.DUMMYFUNCTION("""COMPUTED_VALUE"""),"Igor Antoniuk")</f>
        <v>Igor Antoniuk</v>
      </c>
      <c r="B3448" s="1" t="str">
        <f>IFERROR(__xludf.DUMMYFUNCTION("""COMPUTED_VALUE"""),"MS")</f>
        <v>MS</v>
      </c>
    </row>
    <row r="3449" ht="15.75" customHeight="1">
      <c r="A3449" s="1" t="str">
        <f>IFERROR(__xludf.DUMMYFUNCTION("""COMPUTED_VALUE"""),"Yekateryna Horbatiuk")</f>
        <v>Yekateryna Horbatiuk</v>
      </c>
      <c r="B3449" s="1" t="str">
        <f>IFERROR(__xludf.DUMMYFUNCTION("""COMPUTED_VALUE"""),"MS")</f>
        <v>MS</v>
      </c>
    </row>
    <row r="3450" ht="15.75" customHeight="1">
      <c r="A3450" s="1" t="str">
        <f>IFERROR(__xludf.DUMMYFUNCTION("""COMPUTED_VALUE"""),"Makar Tonkoshkur")</f>
        <v>Makar Tonkoshkur</v>
      </c>
      <c r="B3450" s="1" t="str">
        <f>IFERROR(__xludf.DUMMYFUNCTION("""COMPUTED_VALUE"""),"L1")</f>
        <v>L1</v>
      </c>
    </row>
    <row r="3451" ht="15.75" customHeight="1">
      <c r="A3451" s="1" t="str">
        <f>IFERROR(__xludf.DUMMYFUNCTION("""COMPUTED_VALUE"""),"Alisiia Yanytska")</f>
        <v>Alisiia Yanytska</v>
      </c>
      <c r="B3451" s="1" t="str">
        <f>IFERROR(__xludf.DUMMYFUNCTION("""COMPUTED_VALUE"""),"L2")</f>
        <v>L2</v>
      </c>
    </row>
    <row r="3452" ht="15.75" customHeight="1">
      <c r="A3452" s="1" t="str">
        <f>IFERROR(__xludf.DUMMYFUNCTION("""COMPUTED_VALUE"""),"Daria Sitova")</f>
        <v>Daria Sitova</v>
      </c>
      <c r="B3452" s="1" t="str">
        <f>IFERROR(__xludf.DUMMYFUNCTION("""COMPUTED_VALUE"""),"MS")</f>
        <v>MS</v>
      </c>
    </row>
    <row r="3453" ht="15.75" customHeight="1">
      <c r="A3453" s="1" t="str">
        <f>IFERROR(__xludf.DUMMYFUNCTION("""COMPUTED_VALUE"""),"Alexei Zadneprovsky")</f>
        <v>Alexei Zadneprovsky</v>
      </c>
      <c r="B3453" s="1" t="str">
        <f>IFERROR(__xludf.DUMMYFUNCTION("""COMPUTED_VALUE"""),"HS")</f>
        <v>HS</v>
      </c>
    </row>
    <row r="3454" ht="15.75" customHeight="1">
      <c r="A3454" s="1" t="str">
        <f>IFERROR(__xludf.DUMMYFUNCTION("""COMPUTED_VALUE"""),"Yevheniia Chernenko")</f>
        <v>Yevheniia Chernenko</v>
      </c>
      <c r="B3454" s="1" t="str">
        <f>IFERROR(__xludf.DUMMYFUNCTION("""COMPUTED_VALUE"""),"HS")</f>
        <v>HS</v>
      </c>
    </row>
    <row r="3455" ht="15.75" customHeight="1">
      <c r="A3455" s="1" t="str">
        <f>IFERROR(__xludf.DUMMYFUNCTION("""COMPUTED_VALUE"""),"Kryvenets Yevheniia")</f>
        <v>Kryvenets Yevheniia</v>
      </c>
      <c r="B3455" s="1" t="str">
        <f>IFERROR(__xludf.DUMMYFUNCTION("""COMPUTED_VALUE"""),"MS")</f>
        <v>MS</v>
      </c>
    </row>
    <row r="3456" ht="15.75" customHeight="1">
      <c r="A3456" s="1" t="str">
        <f>IFERROR(__xludf.DUMMYFUNCTION("""COMPUTED_VALUE"""),"Kata Szilagyi")</f>
        <v>Kata Szilagyi</v>
      </c>
      <c r="B3456" s="1" t="str">
        <f>IFERROR(__xludf.DUMMYFUNCTION("""COMPUTED_VALUE"""),"MS")</f>
        <v>MS</v>
      </c>
    </row>
    <row r="3457" ht="15.75" customHeight="1">
      <c r="A3457" s="1" t="str">
        <f>IFERROR(__xludf.DUMMYFUNCTION("""COMPUTED_VALUE"""),"Taisia Gorobets")</f>
        <v>Taisia Gorobets</v>
      </c>
      <c r="B3457" s="1" t="str">
        <f>IFERROR(__xludf.DUMMYFUNCTION("""COMPUTED_VALUE"""),"HS")</f>
        <v>HS</v>
      </c>
    </row>
    <row r="3458" ht="15.75" customHeight="1">
      <c r="A3458" s="1" t="str">
        <f>IFERROR(__xludf.DUMMYFUNCTION("""COMPUTED_VALUE"""),"Viktoriia Romanova")</f>
        <v>Viktoriia Romanova</v>
      </c>
      <c r="B3458" s="1" t="str">
        <f>IFERROR(__xludf.DUMMYFUNCTION("""COMPUTED_VALUE"""),"HS")</f>
        <v>HS</v>
      </c>
    </row>
    <row r="3459" ht="15.75" customHeight="1">
      <c r="A3459" s="1" t="str">
        <f>IFERROR(__xludf.DUMMYFUNCTION("""COMPUTED_VALUE"""),"Vladyslav Vershkovskyy")</f>
        <v>Vladyslav Vershkovskyy</v>
      </c>
      <c r="B3459" s="1" t="str">
        <f>IFERROR(__xludf.DUMMYFUNCTION("""COMPUTED_VALUE"""),"HS")</f>
        <v>HS</v>
      </c>
    </row>
    <row r="3460" ht="15.75" customHeight="1">
      <c r="A3460" s="1" t="str">
        <f>IFERROR(__xludf.DUMMYFUNCTION("""COMPUTED_VALUE"""),"Andras Horvat")</f>
        <v>Andras Horvat</v>
      </c>
      <c r="B3460" s="1" t="str">
        <f>IFERROR(__xludf.DUMMYFUNCTION("""COMPUTED_VALUE"""),"MS")</f>
        <v>MS</v>
      </c>
    </row>
    <row r="3461" ht="15.75" customHeight="1">
      <c r="A3461" s="1" t="str">
        <f>IFERROR(__xludf.DUMMYFUNCTION("""COMPUTED_VALUE"""),"Vladislav Khmel")</f>
        <v>Vladislav Khmel</v>
      </c>
      <c r="B3461" s="1" t="str">
        <f>IFERROR(__xludf.DUMMYFUNCTION("""COMPUTED_VALUE"""),"L2")</f>
        <v>L2</v>
      </c>
    </row>
    <row r="3462" ht="15.75" customHeight="1">
      <c r="A3462" s="1" t="str">
        <f>IFERROR(__xludf.DUMMYFUNCTION("""COMPUTED_VALUE"""),"Viktor Peter")</f>
        <v>Viktor Peter</v>
      </c>
      <c r="B3462" s="1" t="str">
        <f>IFERROR(__xludf.DUMMYFUNCTION("""COMPUTED_VALUE"""),"L2")</f>
        <v>L2</v>
      </c>
    </row>
    <row r="3463" ht="15.75" customHeight="1">
      <c r="A3463" s="1" t="str">
        <f>IFERROR(__xludf.DUMMYFUNCTION("""COMPUTED_VALUE"""),"Marton Percsi")</f>
        <v>Marton Percsi</v>
      </c>
      <c r="B3463" s="1" t="str">
        <f>IFERROR(__xludf.DUMMYFUNCTION("""COMPUTED_VALUE"""),"HS")</f>
        <v>HS</v>
      </c>
    </row>
    <row r="3464" ht="15.75" customHeight="1">
      <c r="A3464" s="1" t="str">
        <f>IFERROR(__xludf.DUMMYFUNCTION("""COMPUTED_VALUE"""),"Oleh Piddubniak")</f>
        <v>Oleh Piddubniak</v>
      </c>
      <c r="B3464" s="1" t="str">
        <f>IFERROR(__xludf.DUMMYFUNCTION("""COMPUTED_VALUE"""),"L1")</f>
        <v>L1</v>
      </c>
    </row>
    <row r="3465" ht="15.75" customHeight="1">
      <c r="A3465" s="1" t="str">
        <f>IFERROR(__xludf.DUMMYFUNCTION("""COMPUTED_VALUE"""),"Mariia Sukhoparova")</f>
        <v>Mariia Sukhoparova</v>
      </c>
      <c r="B3465" s="1" t="str">
        <f>IFERROR(__xludf.DUMMYFUNCTION("""COMPUTED_VALUE"""),"L2")</f>
        <v>L2</v>
      </c>
    </row>
    <row r="3466" ht="15.75" customHeight="1">
      <c r="A3466" s="1" t="str">
        <f>IFERROR(__xludf.DUMMYFUNCTION("""COMPUTED_VALUE"""),"Deniel Habuniia")</f>
        <v>Deniel Habuniia</v>
      </c>
      <c r="B3466" s="1" t="str">
        <f>IFERROR(__xludf.DUMMYFUNCTION("""COMPUTED_VALUE"""),"MS")</f>
        <v>MS</v>
      </c>
    </row>
    <row r="3467" ht="15.75" customHeight="1">
      <c r="A3467" s="1" t="str">
        <f>IFERROR(__xludf.DUMMYFUNCTION("""COMPUTED_VALUE"""),"Eva Kuliesh")</f>
        <v>Eva Kuliesh</v>
      </c>
      <c r="B3467" s="1" t="str">
        <f>IFERROR(__xludf.DUMMYFUNCTION("""COMPUTED_VALUE"""),"L1")</f>
        <v>L1</v>
      </c>
    </row>
    <row r="3468" ht="15.75" customHeight="1">
      <c r="A3468" s="1" t="str">
        <f>IFERROR(__xludf.DUMMYFUNCTION("""COMPUTED_VALUE"""),"Kateryna Hahina")</f>
        <v>Kateryna Hahina</v>
      </c>
      <c r="B3468" s="1" t="str">
        <f>IFERROR(__xludf.DUMMYFUNCTION("""COMPUTED_VALUE"""),"HS")</f>
        <v>HS</v>
      </c>
    </row>
    <row r="3469" ht="15.75" customHeight="1">
      <c r="A3469" s="1" t="str">
        <f>IFERROR(__xludf.DUMMYFUNCTION("""COMPUTED_VALUE"""),"Yelena Romashko")</f>
        <v>Yelena Romashko</v>
      </c>
      <c r="B3469" s="1" t="str">
        <f>IFERROR(__xludf.DUMMYFUNCTION("""COMPUTED_VALUE"""),"L2")</f>
        <v>L2</v>
      </c>
    </row>
    <row r="3470" ht="15.75" customHeight="1">
      <c r="A3470" s="1" t="str">
        <f>IFERROR(__xludf.DUMMYFUNCTION("""COMPUTED_VALUE"""),"Oleksandr Spolnyk")</f>
        <v>Oleksandr Spolnyk</v>
      </c>
      <c r="B3470" s="1" t="str">
        <f>IFERROR(__xludf.DUMMYFUNCTION("""COMPUTED_VALUE"""),"L2")</f>
        <v>L2</v>
      </c>
    </row>
    <row r="3471" ht="15.75" customHeight="1">
      <c r="A3471" s="1" t="str">
        <f>IFERROR(__xludf.DUMMYFUNCTION("""COMPUTED_VALUE"""),"Istvan Patrik Ur")</f>
        <v>Istvan Patrik Ur</v>
      </c>
      <c r="B3471" s="1" t="str">
        <f>IFERROR(__xludf.DUMMYFUNCTION("""COMPUTED_VALUE"""),"HS")</f>
        <v>HS</v>
      </c>
    </row>
    <row r="3472" ht="15.75" customHeight="1">
      <c r="A3472" s="1" t="str">
        <f>IFERROR(__xludf.DUMMYFUNCTION("""COMPUTED_VALUE"""),"Yuliia Romanova")</f>
        <v>Yuliia Romanova</v>
      </c>
      <c r="B3472" s="1" t="str">
        <f>IFERROR(__xludf.DUMMYFUNCTION("""COMPUTED_VALUE"""),"MS")</f>
        <v>MS</v>
      </c>
    </row>
    <row r="3473" ht="15.75" customHeight="1">
      <c r="A3473" s="1" t="str">
        <f>IFERROR(__xludf.DUMMYFUNCTION("""COMPUTED_VALUE"""),"Oksana Bohdanova")</f>
        <v>Oksana Bohdanova</v>
      </c>
      <c r="B3473" s="1" t="str">
        <f>IFERROR(__xludf.DUMMYFUNCTION("""COMPUTED_VALUE"""),"MS")</f>
        <v>MS</v>
      </c>
    </row>
    <row r="3474" ht="15.75" customHeight="1">
      <c r="A3474" s="1" t="str">
        <f>IFERROR(__xludf.DUMMYFUNCTION("""COMPUTED_VALUE"""),"Elina Miloserdiva")</f>
        <v>Elina Miloserdiva</v>
      </c>
      <c r="B3474" s="1" t="str">
        <f>IFERROR(__xludf.DUMMYFUNCTION("""COMPUTED_VALUE"""),"MS")</f>
        <v>MS</v>
      </c>
    </row>
    <row r="3475" ht="15.75" customHeight="1">
      <c r="A3475" s="1" t="str">
        <f>IFERROR(__xludf.DUMMYFUNCTION("""COMPUTED_VALUE"""),"Yelysei Chernyshov")</f>
        <v>Yelysei Chernyshov</v>
      </c>
      <c r="B3475" s="1" t="str">
        <f>IFERROR(__xludf.DUMMYFUNCTION("""COMPUTED_VALUE"""),"L1")</f>
        <v>L1</v>
      </c>
    </row>
    <row r="3476" ht="15.75" customHeight="1">
      <c r="A3476" s="1" t="str">
        <f>IFERROR(__xludf.DUMMYFUNCTION("""COMPUTED_VALUE"""),"Dominik Csele")</f>
        <v>Dominik Csele</v>
      </c>
      <c r="B3476" s="1" t="str">
        <f>IFERROR(__xludf.DUMMYFUNCTION("""COMPUTED_VALUE"""),"MS")</f>
        <v>MS</v>
      </c>
    </row>
    <row r="3477" ht="15.75" customHeight="1">
      <c r="A3477" s="1" t="str">
        <f>IFERROR(__xludf.DUMMYFUNCTION("""COMPUTED_VALUE"""),"Artem Prymak")</f>
        <v>Artem Prymak</v>
      </c>
      <c r="B3477" s="1" t="str">
        <f>IFERROR(__xludf.DUMMYFUNCTION("""COMPUTED_VALUE"""),"L1")</f>
        <v>L1</v>
      </c>
    </row>
    <row r="3478" ht="15.75" customHeight="1">
      <c r="A3478" s="1" t="str">
        <f>IFERROR(__xludf.DUMMYFUNCTION("""COMPUTED_VALUE"""),"Daniel Sharkezi")</f>
        <v>Daniel Sharkezi</v>
      </c>
      <c r="B3478" s="1" t="str">
        <f>IFERROR(__xludf.DUMMYFUNCTION("""COMPUTED_VALUE"""),"MS")</f>
        <v>MS</v>
      </c>
    </row>
    <row r="3479" ht="15.75" customHeight="1">
      <c r="A3479" s="1" t="str">
        <f>IFERROR(__xludf.DUMMYFUNCTION("""COMPUTED_VALUE"""),"Akos Horvath")</f>
        <v>Akos Horvath</v>
      </c>
      <c r="B3479" s="1" t="str">
        <f>IFERROR(__xludf.DUMMYFUNCTION("""COMPUTED_VALUE"""),"HS")</f>
        <v>HS</v>
      </c>
    </row>
    <row r="3480" ht="15.75" customHeight="1">
      <c r="A3480" s="1" t="str">
        <f>IFERROR(__xludf.DUMMYFUNCTION("""COMPUTED_VALUE"""),"Jaroslav Tkachenko")</f>
        <v>Jaroslav Tkachenko</v>
      </c>
      <c r="B3480" s="1" t="str">
        <f>IFERROR(__xludf.DUMMYFUNCTION("""COMPUTED_VALUE"""),"MS")</f>
        <v>MS</v>
      </c>
    </row>
    <row r="3481" ht="15.75" customHeight="1">
      <c r="A3481" s="1" t="str">
        <f>IFERROR(__xludf.DUMMYFUNCTION("""COMPUTED_VALUE"""),"David Beres")</f>
        <v>David Beres</v>
      </c>
      <c r="B3481" s="1" t="str">
        <f>IFERROR(__xludf.DUMMYFUNCTION("""COMPUTED_VALUE"""),"MS")</f>
        <v>MS</v>
      </c>
    </row>
    <row r="3482" ht="15.75" customHeight="1">
      <c r="A3482" s="1" t="str">
        <f>IFERROR(__xludf.DUMMYFUNCTION("""COMPUTED_VALUE"""),"Ivan Chernysh")</f>
        <v>Ivan Chernysh</v>
      </c>
      <c r="B3482" s="1" t="str">
        <f>IFERROR(__xludf.DUMMYFUNCTION("""COMPUTED_VALUE"""),"MS")</f>
        <v>MS</v>
      </c>
    </row>
    <row r="3483" ht="15.75" customHeight="1">
      <c r="A3483" s="1" t="str">
        <f>IFERROR(__xludf.DUMMYFUNCTION("""COMPUTED_VALUE"""),"Sandor Lakatos")</f>
        <v>Sandor Lakatos</v>
      </c>
      <c r="B3483" s="1" t="str">
        <f>IFERROR(__xludf.DUMMYFUNCTION("""COMPUTED_VALUE"""),"L1")</f>
        <v>L1</v>
      </c>
    </row>
    <row r="3484" ht="15.75" customHeight="1">
      <c r="A3484" s="1" t="str">
        <f>IFERROR(__xludf.DUMMYFUNCTION("""COMPUTED_VALUE"""),"Denys Tkalich")</f>
        <v>Denys Tkalich</v>
      </c>
      <c r="B3484" s="1" t="str">
        <f>IFERROR(__xludf.DUMMYFUNCTION("""COMPUTED_VALUE"""),"HS")</f>
        <v>HS</v>
      </c>
    </row>
    <row r="3485" ht="15.75" customHeight="1">
      <c r="A3485" s="1" t="str">
        <f>IFERROR(__xludf.DUMMYFUNCTION("""COMPUTED_VALUE"""),"Anastasia Piddubniak")</f>
        <v>Anastasia Piddubniak</v>
      </c>
      <c r="B3485" s="1" t="str">
        <f>IFERROR(__xludf.DUMMYFUNCTION("""COMPUTED_VALUE"""),"MS")</f>
        <v>MS</v>
      </c>
    </row>
    <row r="3486" ht="15.75" customHeight="1">
      <c r="A3486" s="1" t="str">
        <f>IFERROR(__xludf.DUMMYFUNCTION("""COMPUTED_VALUE"""),"Danilo Ransky")</f>
        <v>Danilo Ransky</v>
      </c>
      <c r="B3486" s="1" t="str">
        <f>IFERROR(__xludf.DUMMYFUNCTION("""COMPUTED_VALUE"""),"HS")</f>
        <v>HS</v>
      </c>
    </row>
    <row r="3487" ht="15.75" customHeight="1">
      <c r="A3487" s="1" t="str">
        <f>IFERROR(__xludf.DUMMYFUNCTION("""COMPUTED_VALUE"""),"Jozsef Beres")</f>
        <v>Jozsef Beres</v>
      </c>
      <c r="B3487" s="1" t="str">
        <f>IFERROR(__xludf.DUMMYFUNCTION("""COMPUTED_VALUE"""),"HS")</f>
        <v>HS</v>
      </c>
    </row>
    <row r="3488" ht="15.75" customHeight="1">
      <c r="A3488" s="1" t="str">
        <f>IFERROR(__xludf.DUMMYFUNCTION("""COMPUTED_VALUE"""),"Zhasmin Kenyz")</f>
        <v>Zhasmin Kenyz</v>
      </c>
      <c r="B3488" s="1" t="str">
        <f>IFERROR(__xludf.DUMMYFUNCTION("""COMPUTED_VALUE"""),"L1")</f>
        <v>L1</v>
      </c>
    </row>
    <row r="3489" ht="15.75" customHeight="1">
      <c r="A3489" s="1" t="str">
        <f>IFERROR(__xludf.DUMMYFUNCTION("""COMPUTED_VALUE"""),"Sofiia Sorokina")</f>
        <v>Sofiia Sorokina</v>
      </c>
      <c r="B3489" s="1" t="str">
        <f>IFERROR(__xludf.DUMMYFUNCTION("""COMPUTED_VALUE"""),"L2")</f>
        <v>L2</v>
      </c>
    </row>
    <row r="3490" ht="15.75" customHeight="1">
      <c r="A3490" s="1" t="str">
        <f>IFERROR(__xludf.DUMMYFUNCTION("""COMPUTED_VALUE"""),"Oleksandr Sivtsov")</f>
        <v>Oleksandr Sivtsov</v>
      </c>
      <c r="B3490" s="1" t="str">
        <f>IFERROR(__xludf.DUMMYFUNCTION("""COMPUTED_VALUE"""),"L1")</f>
        <v>L1</v>
      </c>
    </row>
    <row r="3491" ht="15.75" customHeight="1">
      <c r="A3491" s="1" t="str">
        <f>IFERROR(__xludf.DUMMYFUNCTION("""COMPUTED_VALUE"""),"Matvii Matvii")</f>
        <v>Matvii Matvii</v>
      </c>
      <c r="B3491" s="1" t="str">
        <f>IFERROR(__xludf.DUMMYFUNCTION("""COMPUTED_VALUE"""),"MS")</f>
        <v>MS</v>
      </c>
    </row>
    <row r="3492" ht="15.75" customHeight="1">
      <c r="A3492" s="1" t="str">
        <f>IFERROR(__xludf.DUMMYFUNCTION("""COMPUTED_VALUE"""),"Pizsu Emese")</f>
        <v>Pizsu Emese</v>
      </c>
      <c r="B3492" s="1" t="str">
        <f>IFERROR(__xludf.DUMMYFUNCTION("""COMPUTED_VALUE"""),"HS")</f>
        <v>HS</v>
      </c>
    </row>
    <row r="3493" ht="15.75" customHeight="1">
      <c r="A3493" s="1" t="str">
        <f>IFERROR(__xludf.DUMMYFUNCTION("""COMPUTED_VALUE"""),"Serhii Moiseiev")</f>
        <v>Serhii Moiseiev</v>
      </c>
      <c r="B3493" s="1" t="str">
        <f>IFERROR(__xludf.DUMMYFUNCTION("""COMPUTED_VALUE"""),"MS")</f>
        <v>MS</v>
      </c>
    </row>
    <row r="3494" ht="15.75" customHeight="1">
      <c r="A3494" s="1" t="str">
        <f>IFERROR(__xludf.DUMMYFUNCTION("""COMPUTED_VALUE"""),"Viktor Shiposh")</f>
        <v>Viktor Shiposh</v>
      </c>
      <c r="B3494" s="1" t="str">
        <f>IFERROR(__xludf.DUMMYFUNCTION("""COMPUTED_VALUE"""),"MS")</f>
        <v>MS</v>
      </c>
    </row>
    <row r="3495" ht="15.75" customHeight="1">
      <c r="A3495" s="1" t="str">
        <f>IFERROR(__xludf.DUMMYFUNCTION("""COMPUTED_VALUE"""),"Karolina Nagy")</f>
        <v>Karolina Nagy</v>
      </c>
      <c r="B3495" s="1" t="str">
        <f>IFERROR(__xludf.DUMMYFUNCTION("""COMPUTED_VALUE"""),"L2")</f>
        <v>L2</v>
      </c>
    </row>
    <row r="3496" ht="15.75" customHeight="1">
      <c r="A3496" s="1" t="str">
        <f>IFERROR(__xludf.DUMMYFUNCTION("""COMPUTED_VALUE"""),"Rakhil Bondarenko")</f>
        <v>Rakhil Bondarenko</v>
      </c>
      <c r="B3496" s="1" t="str">
        <f>IFERROR(__xludf.DUMMYFUNCTION("""COMPUTED_VALUE"""),"HS")</f>
        <v>HS</v>
      </c>
    </row>
    <row r="3497" ht="15.75" customHeight="1">
      <c r="A3497" s="1" t="str">
        <f>IFERROR(__xludf.DUMMYFUNCTION("""COMPUTED_VALUE"""),"Nikolett Cseh")</f>
        <v>Nikolett Cseh</v>
      </c>
      <c r="B3497" s="1" t="str">
        <f>IFERROR(__xludf.DUMMYFUNCTION("""COMPUTED_VALUE"""),"HS")</f>
        <v>HS</v>
      </c>
    </row>
    <row r="3498" ht="15.75" customHeight="1">
      <c r="A3498" s="1" t="str">
        <f>IFERROR(__xludf.DUMMYFUNCTION("""COMPUTED_VALUE"""),"Jazmin Dzsaszem")</f>
        <v>Jazmin Dzsaszem</v>
      </c>
      <c r="B3498" s="1" t="str">
        <f>IFERROR(__xludf.DUMMYFUNCTION("""COMPUTED_VALUE"""),"HS")</f>
        <v>HS</v>
      </c>
    </row>
    <row r="3499" ht="15.75" customHeight="1">
      <c r="A3499" s="1" t="str">
        <f>IFERROR(__xludf.DUMMYFUNCTION("""COMPUTED_VALUE"""),"Janos Roszoha")</f>
        <v>Janos Roszoha</v>
      </c>
      <c r="B3499" s="1" t="str">
        <f>IFERROR(__xludf.DUMMYFUNCTION("""COMPUTED_VALUE"""),"L2")</f>
        <v>L2</v>
      </c>
    </row>
    <row r="3500" ht="15.75" customHeight="1">
      <c r="A3500" s="1" t="str">
        <f>IFERROR(__xludf.DUMMYFUNCTION("""COMPUTED_VALUE"""),"Serhii Zakharov")</f>
        <v>Serhii Zakharov</v>
      </c>
      <c r="B3500" s="1" t="str">
        <f>IFERROR(__xludf.DUMMYFUNCTION("""COMPUTED_VALUE"""),"MS")</f>
        <v>MS</v>
      </c>
    </row>
    <row r="3501" ht="15.75" customHeight="1">
      <c r="A3501" s="1" t="str">
        <f>IFERROR(__xludf.DUMMYFUNCTION("""COMPUTED_VALUE"""),"Maksym Sheremetiev")</f>
        <v>Maksym Sheremetiev</v>
      </c>
      <c r="B3501" s="1" t="str">
        <f>IFERROR(__xludf.DUMMYFUNCTION("""COMPUTED_VALUE"""),"HS")</f>
        <v>HS</v>
      </c>
    </row>
    <row r="3502" ht="15.75" customHeight="1">
      <c r="A3502" s="1" t="str">
        <f>IFERROR(__xludf.DUMMYFUNCTION("""COMPUTED_VALUE"""),"Nazar Blinkov")</f>
        <v>Nazar Blinkov</v>
      </c>
      <c r="B3502" s="1" t="str">
        <f>IFERROR(__xludf.DUMMYFUNCTION("""COMPUTED_VALUE"""),"HS")</f>
        <v>HS</v>
      </c>
    </row>
    <row r="3503" ht="15.75" customHeight="1">
      <c r="A3503" s="1" t="str">
        <f>IFERROR(__xludf.DUMMYFUNCTION("""COMPUTED_VALUE"""),"Enns Diemid")</f>
        <v>Enns Diemid</v>
      </c>
      <c r="B3503" s="1" t="str">
        <f>IFERROR(__xludf.DUMMYFUNCTION("""COMPUTED_VALUE"""),"L2")</f>
        <v>L2</v>
      </c>
    </row>
    <row r="3504" ht="15.75" customHeight="1">
      <c r="A3504" s="1" t="str">
        <f>IFERROR(__xludf.DUMMYFUNCTION("""COMPUTED_VALUE"""),"Kira Shtohrin")</f>
        <v>Kira Shtohrin</v>
      </c>
      <c r="B3504" s="1" t="str">
        <f>IFERROR(__xludf.DUMMYFUNCTION("""COMPUTED_VALUE"""),"L1")</f>
        <v>L1</v>
      </c>
    </row>
    <row r="3505" ht="15.75" customHeight="1">
      <c r="A3505" s="1" t="str">
        <f>IFERROR(__xludf.DUMMYFUNCTION("""COMPUTED_VALUE"""),"Yehor Semenchenko")</f>
        <v>Yehor Semenchenko</v>
      </c>
      <c r="B3505" s="1" t="str">
        <f>IFERROR(__xludf.DUMMYFUNCTION("""COMPUTED_VALUE"""),"MS")</f>
        <v>MS</v>
      </c>
    </row>
    <row r="3506" ht="15.75" customHeight="1">
      <c r="A3506" s="1" t="str">
        <f>IFERROR(__xludf.DUMMYFUNCTION("""COMPUTED_VALUE"""),"Roman Khmel")</f>
        <v>Roman Khmel</v>
      </c>
      <c r="B3506" s="1" t="str">
        <f>IFERROR(__xludf.DUMMYFUNCTION("""COMPUTED_VALUE"""),"L1")</f>
        <v>L1</v>
      </c>
    </row>
    <row r="3507" ht="15.75" customHeight="1">
      <c r="A3507" s="1" t="str">
        <f>IFERROR(__xludf.DUMMYFUNCTION("""COMPUTED_VALUE"""),"Miranda Mate")</f>
        <v>Miranda Mate</v>
      </c>
      <c r="B3507" s="1" t="str">
        <f>IFERROR(__xludf.DUMMYFUNCTION("""COMPUTED_VALUE"""),"HS")</f>
        <v>HS</v>
      </c>
    </row>
    <row r="3508" ht="15.75" customHeight="1">
      <c r="A3508" s="1" t="str">
        <f>IFERROR(__xludf.DUMMYFUNCTION("""COMPUTED_VALUE"""),"Rulieva Anastasia")</f>
        <v>Rulieva Anastasia</v>
      </c>
      <c r="B3508" s="1" t="str">
        <f>IFERROR(__xludf.DUMMYFUNCTION("""COMPUTED_VALUE"""),"L1")</f>
        <v>L1</v>
      </c>
    </row>
    <row r="3509" ht="15.75" customHeight="1">
      <c r="A3509" s="1" t="str">
        <f>IFERROR(__xludf.DUMMYFUNCTION("""COMPUTED_VALUE"""),"Uljana Dryzha")</f>
        <v>Uljana Dryzha</v>
      </c>
      <c r="B3509" s="1" t="str">
        <f>IFERROR(__xludf.DUMMYFUNCTION("""COMPUTED_VALUE"""),"L1")</f>
        <v>L1</v>
      </c>
    </row>
    <row r="3510" ht="15.75" customHeight="1">
      <c r="A3510" s="1" t="str">
        <f>IFERROR(__xludf.DUMMYFUNCTION("""COMPUTED_VALUE"""),"Oleksii Maidaniuk")</f>
        <v>Oleksii Maidaniuk</v>
      </c>
      <c r="B3510" s="1" t="str">
        <f>IFERROR(__xludf.DUMMYFUNCTION("""COMPUTED_VALUE"""),"HS")</f>
        <v>HS</v>
      </c>
    </row>
    <row r="3511" ht="15.75" customHeight="1">
      <c r="A3511" s="1" t="str">
        <f>IFERROR(__xludf.DUMMYFUNCTION("""COMPUTED_VALUE"""),"Alex Galajda")</f>
        <v>Alex Galajda</v>
      </c>
      <c r="B3511" s="1" t="str">
        <f>IFERROR(__xludf.DUMMYFUNCTION("""COMPUTED_VALUE"""),"MS")</f>
        <v>MS</v>
      </c>
    </row>
    <row r="3512" ht="15.75" customHeight="1">
      <c r="A3512" s="1" t="str">
        <f>IFERROR(__xludf.DUMMYFUNCTION("""COMPUTED_VALUE"""),"Mandryka Faddiei")</f>
        <v>Mandryka Faddiei</v>
      </c>
      <c r="B3512" s="1" t="str">
        <f>IFERROR(__xludf.DUMMYFUNCTION("""COMPUTED_VALUE"""),"L1")</f>
        <v>L1</v>
      </c>
    </row>
    <row r="3513" ht="15.75" customHeight="1">
      <c r="A3513" s="1" t="str">
        <f>IFERROR(__xludf.DUMMYFUNCTION("""COMPUTED_VALUE"""),"Emilia Bence")</f>
        <v>Emilia Bence</v>
      </c>
      <c r="B3513" s="1" t="str">
        <f>IFERROR(__xludf.DUMMYFUNCTION("""COMPUTED_VALUE"""),"MS")</f>
        <v>MS</v>
      </c>
    </row>
    <row r="3514" ht="15.75" customHeight="1">
      <c r="A3514" s="1" t="str">
        <f>IFERROR(__xludf.DUMMYFUNCTION("""COMPUTED_VALUE"""),"Diana Dryzha")</f>
        <v>Diana Dryzha</v>
      </c>
      <c r="B3514" s="1" t="str">
        <f>IFERROR(__xludf.DUMMYFUNCTION("""COMPUTED_VALUE"""),"L2")</f>
        <v>L2</v>
      </c>
    </row>
    <row r="3515" ht="15.75" customHeight="1">
      <c r="A3515" s="1" t="str">
        <f>IFERROR(__xludf.DUMMYFUNCTION("""COMPUTED_VALUE"""),"Viktoria Ur")</f>
        <v>Viktoria Ur</v>
      </c>
      <c r="B3515" s="1" t="str">
        <f>IFERROR(__xludf.DUMMYFUNCTION("""COMPUTED_VALUE"""),"HS")</f>
        <v>HS</v>
      </c>
    </row>
    <row r="3516" ht="15.75" customHeight="1">
      <c r="A3516" s="1" t="str">
        <f>IFERROR(__xludf.DUMMYFUNCTION("""COMPUTED_VALUE"""),"Savva Plotnikov")</f>
        <v>Savva Plotnikov</v>
      </c>
      <c r="B3516" s="1" t="str">
        <f>IFERROR(__xludf.DUMMYFUNCTION("""COMPUTED_VALUE"""),"MS")</f>
        <v>MS</v>
      </c>
    </row>
    <row r="3517" ht="15.75" customHeight="1">
      <c r="A3517" s="1" t="str">
        <f>IFERROR(__xludf.DUMMYFUNCTION("""COMPUTED_VALUE"""),"Karina Nagy")</f>
        <v>Karina Nagy</v>
      </c>
      <c r="B3517" s="1" t="str">
        <f>IFERROR(__xludf.DUMMYFUNCTION("""COMPUTED_VALUE"""),"MS")</f>
        <v>MS</v>
      </c>
    </row>
    <row r="3518" ht="15.75" customHeight="1">
      <c r="A3518" s="1" t="str">
        <f>IFERROR(__xludf.DUMMYFUNCTION("""COMPUTED_VALUE"""),"Zherebtsov Arsenii")</f>
        <v>Zherebtsov Arsenii</v>
      </c>
      <c r="B3518" s="1" t="str">
        <f>IFERROR(__xludf.DUMMYFUNCTION("""COMPUTED_VALUE"""),"L1")</f>
        <v>L1</v>
      </c>
    </row>
    <row r="3519" ht="15.75" customHeight="1">
      <c r="A3519" s="1" t="str">
        <f>IFERROR(__xludf.DUMMYFUNCTION("""COMPUTED_VALUE"""),"Sofia Steshenko")</f>
        <v>Sofia Steshenko</v>
      </c>
      <c r="B3519" s="1" t="str">
        <f>IFERROR(__xludf.DUMMYFUNCTION("""COMPUTED_VALUE"""),"L1")</f>
        <v>L1</v>
      </c>
    </row>
    <row r="3520" ht="15.75" customHeight="1">
      <c r="A3520" s="1" t="str">
        <f>IFERROR(__xludf.DUMMYFUNCTION("""COMPUTED_VALUE"""),"Novytskyi Vladyslav")</f>
        <v>Novytskyi Vladyslav</v>
      </c>
      <c r="B3520" s="1" t="str">
        <f>IFERROR(__xludf.DUMMYFUNCTION("""COMPUTED_VALUE"""),"MS")</f>
        <v>MS</v>
      </c>
    </row>
    <row r="3521" ht="15.75" customHeight="1">
      <c r="A3521" s="1" t="str">
        <f>IFERROR(__xludf.DUMMYFUNCTION("""COMPUTED_VALUE"""),"Heorhii Fikhtman")</f>
        <v>Heorhii Fikhtman</v>
      </c>
      <c r="B3521" s="1" t="str">
        <f>IFERROR(__xludf.DUMMYFUNCTION("""COMPUTED_VALUE"""),"L2")</f>
        <v>L2</v>
      </c>
    </row>
    <row r="3522" ht="15.75" customHeight="1">
      <c r="A3522" s="1" t="str">
        <f>IFERROR(__xludf.DUMMYFUNCTION("""COMPUTED_VALUE"""),"Mykhailo Holovko")</f>
        <v>Mykhailo Holovko</v>
      </c>
      <c r="B3522" s="1" t="str">
        <f>IFERROR(__xludf.DUMMYFUNCTION("""COMPUTED_VALUE"""),"MS")</f>
        <v>MS</v>
      </c>
    </row>
    <row r="3523" ht="15.75" customHeight="1">
      <c r="A3523" s="1" t="str">
        <f>IFERROR(__xludf.DUMMYFUNCTION("""COMPUTED_VALUE"""),"David Remez")</f>
        <v>David Remez</v>
      </c>
      <c r="B3523" s="1" t="str">
        <f>IFERROR(__xludf.DUMMYFUNCTION("""COMPUTED_VALUE"""),"L1")</f>
        <v>L1</v>
      </c>
    </row>
    <row r="3524" ht="15.75" customHeight="1">
      <c r="A3524" s="1" t="str">
        <f>IFERROR(__xludf.DUMMYFUNCTION("""COMPUTED_VALUE"""),"Oleksii Dzisiak")</f>
        <v>Oleksii Dzisiak</v>
      </c>
      <c r="B3524" s="1" t="str">
        <f>IFERROR(__xludf.DUMMYFUNCTION("""COMPUTED_VALUE"""),"L1")</f>
        <v>L1</v>
      </c>
    </row>
    <row r="3525" ht="15.75" customHeight="1">
      <c r="A3525" s="1" t="str">
        <f>IFERROR(__xludf.DUMMYFUNCTION("""COMPUTED_VALUE"""),"Mykhailo Horvat")</f>
        <v>Mykhailo Horvat</v>
      </c>
      <c r="B3525" s="1" t="str">
        <f>IFERROR(__xludf.DUMMYFUNCTION("""COMPUTED_VALUE"""),"MS")</f>
        <v>MS</v>
      </c>
    </row>
    <row r="3526" ht="15.75" customHeight="1">
      <c r="A3526" s="1" t="str">
        <f>IFERROR(__xludf.DUMMYFUNCTION("""COMPUTED_VALUE"""),"Roman Piddubnyi")</f>
        <v>Roman Piddubnyi</v>
      </c>
      <c r="B3526" s="1" t="str">
        <f>IFERROR(__xludf.DUMMYFUNCTION("""COMPUTED_VALUE"""),"MS")</f>
        <v>MS</v>
      </c>
    </row>
    <row r="3527" ht="15.75" customHeight="1">
      <c r="A3527" s="1" t="str">
        <f>IFERROR(__xludf.DUMMYFUNCTION("""COMPUTED_VALUE"""),"Andrii Petrov")</f>
        <v>Andrii Petrov</v>
      </c>
      <c r="B3527" s="1" t="str">
        <f>IFERROR(__xludf.DUMMYFUNCTION("""COMPUTED_VALUE"""),"MS")</f>
        <v>MS</v>
      </c>
    </row>
    <row r="3528" ht="15.75" customHeight="1">
      <c r="A3528" s="1" t="str">
        <f>IFERROR(__xludf.DUMMYFUNCTION("""COMPUTED_VALUE"""),"Oleksij Tkachenko")</f>
        <v>Oleksij Tkachenko</v>
      </c>
      <c r="B3528" s="1" t="str">
        <f>IFERROR(__xludf.DUMMYFUNCTION("""COMPUTED_VALUE"""),"L2")</f>
        <v>L2</v>
      </c>
    </row>
    <row r="3529" ht="15.75" customHeight="1">
      <c r="A3529" s="1" t="str">
        <f>IFERROR(__xludf.DUMMYFUNCTION("""COMPUTED_VALUE"""),"Brajen Kerekes")</f>
        <v>Brajen Kerekes</v>
      </c>
      <c r="B3529" s="1" t="str">
        <f>IFERROR(__xludf.DUMMYFUNCTION("""COMPUTED_VALUE"""),"MS")</f>
        <v>MS</v>
      </c>
    </row>
    <row r="3530" ht="15.75" customHeight="1">
      <c r="A3530" s="1" t="str">
        <f>IFERROR(__xludf.DUMMYFUNCTION("""COMPUTED_VALUE"""),"Patrik Bursza")</f>
        <v>Patrik Bursza</v>
      </c>
      <c r="B3530" s="1" t="str">
        <f>IFERROR(__xludf.DUMMYFUNCTION("""COMPUTED_VALUE"""),"MS")</f>
        <v>MS</v>
      </c>
    </row>
    <row r="3531" ht="15.75" customHeight="1">
      <c r="A3531" s="1" t="str">
        <f>IFERROR(__xludf.DUMMYFUNCTION("""COMPUTED_VALUE"""),"Rebeka Kornuta")</f>
        <v>Rebeka Kornuta</v>
      </c>
      <c r="B3531" s="1" t="str">
        <f>IFERROR(__xludf.DUMMYFUNCTION("""COMPUTED_VALUE"""),"HS")</f>
        <v>HS</v>
      </c>
    </row>
    <row r="3532" ht="15.75" customHeight="1">
      <c r="A3532" s="1" t="str">
        <f>IFERROR(__xludf.DUMMYFUNCTION("""COMPUTED_VALUE"""),"Zsofia Toth")</f>
        <v>Zsofia Toth</v>
      </c>
      <c r="B3532" s="1" t="str">
        <f>IFERROR(__xludf.DUMMYFUNCTION("""COMPUTED_VALUE"""),"HS")</f>
        <v>HS</v>
      </c>
    </row>
    <row r="3533" ht="15.75" customHeight="1">
      <c r="A3533" s="1" t="str">
        <f>IFERROR(__xludf.DUMMYFUNCTION("""COMPUTED_VALUE"""),"Sniehur Andrii")</f>
        <v>Sniehur Andrii</v>
      </c>
      <c r="B3533" s="1" t="str">
        <f>IFERROR(__xludf.DUMMYFUNCTION("""COMPUTED_VALUE"""),"HS")</f>
        <v>HS</v>
      </c>
    </row>
    <row r="3534" ht="15.75" customHeight="1">
      <c r="A3534" s="1" t="str">
        <f>IFERROR(__xludf.DUMMYFUNCTION("""COMPUTED_VALUE"""),"Marta Andriienko")</f>
        <v>Marta Andriienko</v>
      </c>
      <c r="B3534" s="1" t="str">
        <f>IFERROR(__xludf.DUMMYFUNCTION("""COMPUTED_VALUE"""),"L2")</f>
        <v>L2</v>
      </c>
    </row>
    <row r="3535" ht="15.75" customHeight="1">
      <c r="A3535" s="1" t="str">
        <f>IFERROR(__xludf.DUMMYFUNCTION("""COMPUTED_VALUE"""),"Veronika Babkina")</f>
        <v>Veronika Babkina</v>
      </c>
      <c r="B3535" s="1" t="str">
        <f>IFERROR(__xludf.DUMMYFUNCTION("""COMPUTED_VALUE"""),"HS")</f>
        <v>HS</v>
      </c>
    </row>
    <row r="3536" ht="15.75" customHeight="1">
      <c r="A3536" s="1" t="str">
        <f>IFERROR(__xludf.DUMMYFUNCTION("""COMPUTED_VALUE"""),"Yaroslava Plotnikova")</f>
        <v>Yaroslava Plotnikova</v>
      </c>
      <c r="B3536" s="1" t="str">
        <f>IFERROR(__xludf.DUMMYFUNCTION("""COMPUTED_VALUE"""),"MS")</f>
        <v>MS</v>
      </c>
    </row>
    <row r="3537" ht="15.75" customHeight="1">
      <c r="A3537" s="1" t="str">
        <f>IFERROR(__xludf.DUMMYFUNCTION("""COMPUTED_VALUE"""),"Iryna Maiboroda")</f>
        <v>Iryna Maiboroda</v>
      </c>
      <c r="B3537" s="1" t="str">
        <f>IFERROR(__xludf.DUMMYFUNCTION("""COMPUTED_VALUE"""),"HS")</f>
        <v>HS</v>
      </c>
    </row>
    <row r="3538" ht="15.75" customHeight="1">
      <c r="A3538" s="1" t="str">
        <f>IFERROR(__xludf.DUMMYFUNCTION("""COMPUTED_VALUE"""),"Marina Maiboroda")</f>
        <v>Marina Maiboroda</v>
      </c>
      <c r="B3538" s="1" t="str">
        <f>IFERROR(__xludf.DUMMYFUNCTION("""COMPUTED_VALUE"""),"MS")</f>
        <v>MS</v>
      </c>
    </row>
    <row r="3539" ht="15.75" customHeight="1">
      <c r="A3539" s="1" t="str">
        <f>IFERROR(__xludf.DUMMYFUNCTION("""COMPUTED_VALUE"""),"Veronika Popovich")</f>
        <v>Veronika Popovich</v>
      </c>
      <c r="B3539" s="1" t="str">
        <f>IFERROR(__xludf.DUMMYFUNCTION("""COMPUTED_VALUE"""),"L1")</f>
        <v>L1</v>
      </c>
    </row>
    <row r="3540" ht="15.75" customHeight="1">
      <c r="A3540" s="1" t="str">
        <f>IFERROR(__xludf.DUMMYFUNCTION("""COMPUTED_VALUE"""),"Vodopianov Gordey")</f>
        <v>Vodopianov Gordey</v>
      </c>
      <c r="B3540" s="1" t="str">
        <f>IFERROR(__xludf.DUMMYFUNCTION("""COMPUTED_VALUE"""),"L2")</f>
        <v>L2</v>
      </c>
    </row>
    <row r="3541" ht="15.75" customHeight="1">
      <c r="A3541" s="1" t="str">
        <f>IFERROR(__xludf.DUMMYFUNCTION("""COMPUTED_VALUE"""),"Johanna Pataki")</f>
        <v>Johanna Pataki</v>
      </c>
      <c r="B3541" s="1" t="str">
        <f>IFERROR(__xludf.DUMMYFUNCTION("""COMPUTED_VALUE"""),"L2")</f>
        <v>L2</v>
      </c>
    </row>
    <row r="3542" ht="15.75" customHeight="1">
      <c r="A3542" s="1" t="str">
        <f>IFERROR(__xludf.DUMMYFUNCTION("""COMPUTED_VALUE"""),"Mate Marosi")</f>
        <v>Mate Marosi</v>
      </c>
      <c r="B3542" s="1" t="str">
        <f>IFERROR(__xludf.DUMMYFUNCTION("""COMPUTED_VALUE"""),"MS")</f>
        <v>MS</v>
      </c>
    </row>
    <row r="3543" ht="15.75" customHeight="1">
      <c r="A3543" s="1" t="str">
        <f>IFERROR(__xludf.DUMMYFUNCTION("""COMPUTED_VALUE"""),"Sandor Szanyi")</f>
        <v>Sandor Szanyi</v>
      </c>
      <c r="B3543" s="1" t="str">
        <f>IFERROR(__xludf.DUMMYFUNCTION("""COMPUTED_VALUE"""),"HS")</f>
        <v>HS</v>
      </c>
    </row>
    <row r="3544" ht="15.75" customHeight="1">
      <c r="A3544" s="1" t="str">
        <f>IFERROR(__xludf.DUMMYFUNCTION("""COMPUTED_VALUE"""),"Lilia Voronkova")</f>
        <v>Lilia Voronkova</v>
      </c>
      <c r="B3544" s="1" t="str">
        <f>IFERROR(__xludf.DUMMYFUNCTION("""COMPUTED_VALUE"""),"L2")</f>
        <v>L2</v>
      </c>
    </row>
    <row r="3545" ht="15.75" customHeight="1">
      <c r="A3545" s="1" t="str">
        <f>IFERROR(__xludf.DUMMYFUNCTION("""COMPUTED_VALUE"""),"Biro Anna")</f>
        <v>Biro Anna</v>
      </c>
      <c r="B3545" s="1" t="str">
        <f>IFERROR(__xludf.DUMMYFUNCTION("""COMPUTED_VALUE"""),"L2")</f>
        <v>L2</v>
      </c>
    </row>
    <row r="3546" ht="15.75" customHeight="1">
      <c r="A3546" s="1" t="str">
        <f>IFERROR(__xludf.DUMMYFUNCTION("""COMPUTED_VALUE"""),"Maria Tarpai")</f>
        <v>Maria Tarpai</v>
      </c>
      <c r="B3546" s="1" t="str">
        <f>IFERROR(__xludf.DUMMYFUNCTION("""COMPUTED_VALUE"""),"MS")</f>
        <v>MS</v>
      </c>
    </row>
    <row r="3547" ht="15.75" customHeight="1">
      <c r="A3547" s="1" t="str">
        <f>IFERROR(__xludf.DUMMYFUNCTION("""COMPUTED_VALUE"""),"Sergej Yefremov")</f>
        <v>Sergej Yefremov</v>
      </c>
      <c r="B3547" s="1" t="str">
        <f>IFERROR(__xludf.DUMMYFUNCTION("""COMPUTED_VALUE"""),"MS")</f>
        <v>MS</v>
      </c>
    </row>
    <row r="3548" ht="15.75" customHeight="1">
      <c r="A3548" s="1" t="str">
        <f>IFERROR(__xludf.DUMMYFUNCTION("""COMPUTED_VALUE"""),"Tolochka Bohdan")</f>
        <v>Tolochka Bohdan</v>
      </c>
      <c r="B3548" s="1" t="str">
        <f>IFERROR(__xludf.DUMMYFUNCTION("""COMPUTED_VALUE"""),"MS")</f>
        <v>MS</v>
      </c>
    </row>
    <row r="3549" ht="15.75" customHeight="1">
      <c r="A3549" s="1" t="str">
        <f>IFERROR(__xludf.DUMMYFUNCTION("""COMPUTED_VALUE"""),"Radchenko Nikita")</f>
        <v>Radchenko Nikita</v>
      </c>
      <c r="B3549" s="1" t="str">
        <f>IFERROR(__xludf.DUMMYFUNCTION("""COMPUTED_VALUE"""),"L1")</f>
        <v>L1</v>
      </c>
    </row>
    <row r="3550" ht="15.75" customHeight="1">
      <c r="A3550" s="1" t="str">
        <f>IFERROR(__xludf.DUMMYFUNCTION("""COMPUTED_VALUE"""),"Sebastiian Popovych")</f>
        <v>Sebastiian Popovych</v>
      </c>
      <c r="B3550" s="1" t="str">
        <f>IFERROR(__xludf.DUMMYFUNCTION("""COMPUTED_VALUE"""),"HS")</f>
        <v>HS</v>
      </c>
    </row>
    <row r="3551" ht="15.75" customHeight="1">
      <c r="A3551" s="1" t="str">
        <f>IFERROR(__xludf.DUMMYFUNCTION("""COMPUTED_VALUE"""),"Mandryka Damian")</f>
        <v>Mandryka Damian</v>
      </c>
      <c r="B3551" s="1" t="str">
        <f>IFERROR(__xludf.DUMMYFUNCTION("""COMPUTED_VALUE"""),"MS")</f>
        <v>MS</v>
      </c>
    </row>
    <row r="3552" ht="15.75" customHeight="1">
      <c r="A3552" s="1" t="str">
        <f>IFERROR(__xludf.DUMMYFUNCTION("""COMPUTED_VALUE"""),"Emma Szilagyi")</f>
        <v>Emma Szilagyi</v>
      </c>
      <c r="B3552" s="1" t="str">
        <f>IFERROR(__xludf.DUMMYFUNCTION("""COMPUTED_VALUE"""),"L2")</f>
        <v>L2</v>
      </c>
    </row>
    <row r="3553" ht="15.75" customHeight="1">
      <c r="A3553" s="1" t="str">
        <f>IFERROR(__xludf.DUMMYFUNCTION("""COMPUTED_VALUE"""),"Tytarenko Pavlo")</f>
        <v>Tytarenko Pavlo</v>
      </c>
      <c r="B3553" s="1" t="str">
        <f>IFERROR(__xludf.DUMMYFUNCTION("""COMPUTED_VALUE"""),"L2")</f>
        <v>L2</v>
      </c>
    </row>
    <row r="3554" ht="15.75" customHeight="1">
      <c r="A3554" s="1" t="str">
        <f>IFERROR(__xludf.DUMMYFUNCTION("""COMPUTED_VALUE"""),"Lebediev Andrii")</f>
        <v>Lebediev Andrii</v>
      </c>
      <c r="B3554" s="1" t="str">
        <f>IFERROR(__xludf.DUMMYFUNCTION("""COMPUTED_VALUE"""),"L1")</f>
        <v>L1</v>
      </c>
    </row>
    <row r="3555" ht="15.75" customHeight="1">
      <c r="A3555" s="1" t="str">
        <f>IFERROR(__xludf.DUMMYFUNCTION("""COMPUTED_VALUE"""),"Faktulina Solomiia")</f>
        <v>Faktulina Solomiia</v>
      </c>
      <c r="B3555" s="1" t="str">
        <f>IFERROR(__xludf.DUMMYFUNCTION("""COMPUTED_VALUE"""),"L1")</f>
        <v>L1</v>
      </c>
    </row>
    <row r="3556" ht="15.75" customHeight="1">
      <c r="A3556" s="1" t="str">
        <f>IFERROR(__xludf.DUMMYFUNCTION("""COMPUTED_VALUE"""),"Adam Szanyi")</f>
        <v>Adam Szanyi</v>
      </c>
      <c r="B3556" s="1" t="str">
        <f>IFERROR(__xludf.DUMMYFUNCTION("""COMPUTED_VALUE"""),"L2")</f>
        <v>L2</v>
      </c>
    </row>
    <row r="3557" ht="15.75" customHeight="1">
      <c r="A3557" s="1" t="str">
        <f>IFERROR(__xludf.DUMMYFUNCTION("""COMPUTED_VALUE"""),"Veronika Bereczky")</f>
        <v>Veronika Bereczky</v>
      </c>
      <c r="B3557" s="1" t="str">
        <f>IFERROR(__xludf.DUMMYFUNCTION("""COMPUTED_VALUE"""),"L1")</f>
        <v>L1</v>
      </c>
    </row>
    <row r="3558" ht="15.75" customHeight="1">
      <c r="A3558" s="1" t="str">
        <f>IFERROR(__xludf.DUMMYFUNCTION("""COMPUTED_VALUE"""),"Lebedieva Violetta")</f>
        <v>Lebedieva Violetta</v>
      </c>
      <c r="B3558" s="1" t="str">
        <f>IFERROR(__xludf.DUMMYFUNCTION("""COMPUTED_VALUE"""),"L2")</f>
        <v>L2</v>
      </c>
    </row>
    <row r="3559" ht="15.75" customHeight="1">
      <c r="A3559" s="1" t="str">
        <f>IFERROR(__xludf.DUMMYFUNCTION("""COMPUTED_VALUE"""),"Lev Hurinenko")</f>
        <v>Lev Hurinenko</v>
      </c>
      <c r="B3559" s="1" t="str">
        <f>IFERROR(__xludf.DUMMYFUNCTION("""COMPUTED_VALUE"""),"L1")</f>
        <v>L1</v>
      </c>
    </row>
    <row r="3560" ht="15.75" customHeight="1">
      <c r="A3560" s="1" t="str">
        <f>IFERROR(__xludf.DUMMYFUNCTION("""COMPUTED_VALUE"""),"David Temerdek")</f>
        <v>David Temerdek</v>
      </c>
      <c r="B3560" s="1" t="str">
        <f>IFERROR(__xludf.DUMMYFUNCTION("""COMPUTED_VALUE"""),"L1")</f>
        <v>L1</v>
      </c>
    </row>
    <row r="3561" ht="15.75" customHeight="1">
      <c r="A3561" s="1" t="str">
        <f>IFERROR(__xludf.DUMMYFUNCTION("""COMPUTED_VALUE"""),"Eszter Tarpai")</f>
        <v>Eszter Tarpai</v>
      </c>
      <c r="B3561" s="1" t="str">
        <f>IFERROR(__xludf.DUMMYFUNCTION("""COMPUTED_VALUE"""),"L2")</f>
        <v>L2</v>
      </c>
    </row>
    <row r="3562" ht="15.75" customHeight="1">
      <c r="A3562" s="1" t="str">
        <f>IFERROR(__xludf.DUMMYFUNCTION("""COMPUTED_VALUE"""),"Vladyslav Maiboroda")</f>
        <v>Vladyslav Maiboroda</v>
      </c>
      <c r="B3562" s="1" t="str">
        <f>IFERROR(__xludf.DUMMYFUNCTION("""COMPUTED_VALUE"""),"L2")</f>
        <v>L2</v>
      </c>
    </row>
    <row r="3563" ht="15.75" customHeight="1">
      <c r="A3563" s="1" t="str">
        <f>IFERROR(__xludf.DUMMYFUNCTION("""COMPUTED_VALUE"""),"Bianka Fekeshazi")</f>
        <v>Bianka Fekeshazi</v>
      </c>
      <c r="B3563" s="1" t="str">
        <f>IFERROR(__xludf.DUMMYFUNCTION("""COMPUTED_VALUE"""),"HS")</f>
        <v>HS</v>
      </c>
    </row>
    <row r="3564" ht="15.75" customHeight="1">
      <c r="A3564" s="1" t="str">
        <f>IFERROR(__xludf.DUMMYFUNCTION("""COMPUTED_VALUE"""),"Andrii Kovalchuk")</f>
        <v>Andrii Kovalchuk</v>
      </c>
      <c r="B3564" s="1" t="str">
        <f>IFERROR(__xludf.DUMMYFUNCTION("""COMPUTED_VALUE"""),"MS")</f>
        <v>MS</v>
      </c>
    </row>
    <row r="3565" ht="15.75" customHeight="1">
      <c r="A3565" s="1" t="str">
        <f>IFERROR(__xludf.DUMMYFUNCTION("""COMPUTED_VALUE"""),"KincsO Kurmai")</f>
        <v>KincsO Kurmai</v>
      </c>
      <c r="B3565" s="1" t="str">
        <f>IFERROR(__xludf.DUMMYFUNCTION("""COMPUTED_VALUE"""),"MS")</f>
        <v>MS</v>
      </c>
    </row>
    <row r="3566" ht="15.75" customHeight="1">
      <c r="A3566" s="1" t="str">
        <f>IFERROR(__xludf.DUMMYFUNCTION("""COMPUTED_VALUE"""),"Kozma Katalin")</f>
        <v>Kozma Katalin</v>
      </c>
      <c r="B3566" s="1" t="str">
        <f>IFERROR(__xludf.DUMMYFUNCTION("""COMPUTED_VALUE"""),"HS")</f>
        <v>HS</v>
      </c>
    </row>
    <row r="3567" ht="15.75" customHeight="1">
      <c r="A3567" s="1" t="str">
        <f>IFERROR(__xludf.DUMMYFUNCTION("""COMPUTED_VALUE"""),"Vasylyna Gorbachova")</f>
        <v>Vasylyna Gorbachova</v>
      </c>
      <c r="B3567" s="1" t="str">
        <f>IFERROR(__xludf.DUMMYFUNCTION("""COMPUTED_VALUE"""),"L1")</f>
        <v>L1</v>
      </c>
    </row>
    <row r="3568" ht="15.75" customHeight="1">
      <c r="A3568" s="1" t="str">
        <f>IFERROR(__xludf.DUMMYFUNCTION("""COMPUTED_VALUE"""),"Evelina Rybalchenko")</f>
        <v>Evelina Rybalchenko</v>
      </c>
      <c r="B3568" s="1" t="str">
        <f>IFERROR(__xludf.DUMMYFUNCTION("""COMPUTED_VALUE"""),"L2")</f>
        <v>L2</v>
      </c>
    </row>
    <row r="3569" ht="15.75" customHeight="1">
      <c r="A3569" s="1" t="str">
        <f>IFERROR(__xludf.DUMMYFUNCTION("""COMPUTED_VALUE"""),"Zazymko Maksym")</f>
        <v>Zazymko Maksym</v>
      </c>
      <c r="B3569" s="1" t="str">
        <f>IFERROR(__xludf.DUMMYFUNCTION("""COMPUTED_VALUE"""),"MS")</f>
        <v>MS</v>
      </c>
    </row>
    <row r="3570" ht="15.75" customHeight="1">
      <c r="A3570" s="1" t="str">
        <f>IFERROR(__xludf.DUMMYFUNCTION("""COMPUTED_VALUE"""),"Lili Fanni")</f>
        <v>Lili Fanni</v>
      </c>
      <c r="B3570" s="1" t="str">
        <f>IFERROR(__xludf.DUMMYFUNCTION("""COMPUTED_VALUE"""),"HS")</f>
        <v>HS</v>
      </c>
    </row>
    <row r="3571" ht="15.75" customHeight="1">
      <c r="A3571" s="1" t="str">
        <f>IFERROR(__xludf.DUMMYFUNCTION("""COMPUTED_VALUE"""),"Viktor Nyistyak")</f>
        <v>Viktor Nyistyak</v>
      </c>
      <c r="B3571" s="1" t="str">
        <f>IFERROR(__xludf.DUMMYFUNCTION("""COMPUTED_VALUE"""),"HS")</f>
        <v>HS</v>
      </c>
    </row>
    <row r="3572" ht="15.75" customHeight="1">
      <c r="A3572" s="1" t="str">
        <f>IFERROR(__xludf.DUMMYFUNCTION("""COMPUTED_VALUE"""),"Jozsef Renik")</f>
        <v>Jozsef Renik</v>
      </c>
      <c r="B3572" s="1" t="str">
        <f>IFERROR(__xludf.DUMMYFUNCTION("""COMPUTED_VALUE"""),"MS")</f>
        <v>MS</v>
      </c>
    </row>
    <row r="3573" ht="15.75" customHeight="1">
      <c r="A3573" s="1" t="str">
        <f>IFERROR(__xludf.DUMMYFUNCTION("""COMPUTED_VALUE"""),"Sofiia Pryimenko")</f>
        <v>Sofiia Pryimenko</v>
      </c>
      <c r="B3573" s="1" t="str">
        <f>IFERROR(__xludf.DUMMYFUNCTION("""COMPUTED_VALUE"""),"L2")</f>
        <v>L2</v>
      </c>
    </row>
    <row r="3574" ht="15.75" customHeight="1">
      <c r="A3574" s="1" t="str">
        <f>IFERROR(__xludf.DUMMYFUNCTION("""COMPUTED_VALUE"""),"Darina Svitlychna")</f>
        <v>Darina Svitlychna</v>
      </c>
      <c r="B3574" s="1" t="str">
        <f>IFERROR(__xludf.DUMMYFUNCTION("""COMPUTED_VALUE"""),"MS")</f>
        <v>MS</v>
      </c>
    </row>
    <row r="3575" ht="15.75" customHeight="1">
      <c r="A3575" s="1" t="str">
        <f>IFERROR(__xludf.DUMMYFUNCTION("""COMPUTED_VALUE"""),"Edvard Hegedus")</f>
        <v>Edvard Hegedus</v>
      </c>
      <c r="B3575" s="1" t="str">
        <f>IFERROR(__xludf.DUMMYFUNCTION("""COMPUTED_VALUE"""),"L2")</f>
        <v>L2</v>
      </c>
    </row>
    <row r="3576" ht="15.75" customHeight="1">
      <c r="A3576" s="1" t="str">
        <f>IFERROR(__xludf.DUMMYFUNCTION("""COMPUTED_VALUE"""),"Mykyta Borodin")</f>
        <v>Mykyta Borodin</v>
      </c>
      <c r="B3576" s="1" t="str">
        <f>IFERROR(__xludf.DUMMYFUNCTION("""COMPUTED_VALUE"""),"MS")</f>
        <v>MS</v>
      </c>
    </row>
    <row r="3577" ht="15.75" customHeight="1">
      <c r="A3577" s="1" t="str">
        <f>IFERROR(__xludf.DUMMYFUNCTION("""COMPUTED_VALUE"""),"Regina Toth")</f>
        <v>Regina Toth</v>
      </c>
      <c r="B3577" s="1" t="str">
        <f>IFERROR(__xludf.DUMMYFUNCTION("""COMPUTED_VALUE"""),"MS")</f>
        <v>MS</v>
      </c>
    </row>
    <row r="3578" ht="15.75" customHeight="1">
      <c r="A3578" s="1" t="str">
        <f>IFERROR(__xludf.DUMMYFUNCTION("""COMPUTED_VALUE"""),"Abigel Mezo")</f>
        <v>Abigel Mezo</v>
      </c>
      <c r="B3578" s="1" t="str">
        <f>IFERROR(__xludf.DUMMYFUNCTION("""COMPUTED_VALUE"""),"MS")</f>
        <v>MS</v>
      </c>
    </row>
    <row r="3579" ht="15.75" customHeight="1">
      <c r="A3579" s="1" t="str">
        <f>IFERROR(__xludf.DUMMYFUNCTION("""COMPUTED_VALUE"""),"Kornel Kurmai")</f>
        <v>Kornel Kurmai</v>
      </c>
      <c r="B3579" s="1" t="str">
        <f>IFERROR(__xludf.DUMMYFUNCTION("""COMPUTED_VALUE"""),"HS")</f>
        <v>HS</v>
      </c>
    </row>
    <row r="3580" ht="15.75" customHeight="1">
      <c r="A3580" s="1" t="str">
        <f>IFERROR(__xludf.DUMMYFUNCTION("""COMPUTED_VALUE"""),"Diana Yefremova")</f>
        <v>Diana Yefremova</v>
      </c>
      <c r="B3580" s="1" t="str">
        <f>IFERROR(__xludf.DUMMYFUNCTION("""COMPUTED_VALUE"""),"L2")</f>
        <v>L2</v>
      </c>
    </row>
    <row r="3581" ht="15.75" customHeight="1">
      <c r="A3581" s="1" t="str">
        <f>IFERROR(__xludf.DUMMYFUNCTION("""COMPUTED_VALUE"""),"Yelyzaveta Andriukhova")</f>
        <v>Yelyzaveta Andriukhova</v>
      </c>
      <c r="B3581" s="1" t="str">
        <f>IFERROR(__xludf.DUMMYFUNCTION("""COMPUTED_VALUE"""),"HS")</f>
        <v>HS</v>
      </c>
    </row>
    <row r="3582" ht="15.75" customHeight="1">
      <c r="A3582" s="1" t="str">
        <f>IFERROR(__xludf.DUMMYFUNCTION("""COMPUTED_VALUE"""),"Demeter Robert")</f>
        <v>Demeter Robert</v>
      </c>
      <c r="B3582" s="1" t="str">
        <f>IFERROR(__xludf.DUMMYFUNCTION("""COMPUTED_VALUE"""),"LL")</f>
        <v>LL</v>
      </c>
    </row>
    <row r="3583" ht="15.75" customHeight="1">
      <c r="A3583" s="1" t="str">
        <f>IFERROR(__xludf.DUMMYFUNCTION("""COMPUTED_VALUE"""),"Milan Harapko")</f>
        <v>Milan Harapko</v>
      </c>
      <c r="B3583" s="1" t="str">
        <f>IFERROR(__xludf.DUMMYFUNCTION("""COMPUTED_VALUE"""),"MS")</f>
        <v>MS</v>
      </c>
    </row>
    <row r="3584" ht="15.75" customHeight="1">
      <c r="A3584" s="1" t="str">
        <f>IFERROR(__xludf.DUMMYFUNCTION("""COMPUTED_VALUE"""),"Karina Kotlyar")</f>
        <v>Karina Kotlyar</v>
      </c>
      <c r="B3584" s="1" t="str">
        <f>IFERROR(__xludf.DUMMYFUNCTION("""COMPUTED_VALUE"""),"HS")</f>
        <v>HS</v>
      </c>
    </row>
    <row r="3585" ht="15.75" customHeight="1">
      <c r="A3585" s="1" t="str">
        <f>IFERROR(__xludf.DUMMYFUNCTION("""COMPUTED_VALUE"""),"David Jenei")</f>
        <v>David Jenei</v>
      </c>
      <c r="B3585" s="1" t="str">
        <f>IFERROR(__xludf.DUMMYFUNCTION("""COMPUTED_VALUE"""),"HS")</f>
        <v>HS</v>
      </c>
    </row>
    <row r="3586" ht="15.75" customHeight="1">
      <c r="A3586" s="1" t="str">
        <f>IFERROR(__xludf.DUMMYFUNCTION("""COMPUTED_VALUE"""),"Alina Skliarova")</f>
        <v>Alina Skliarova</v>
      </c>
      <c r="B3586" s="1" t="str">
        <f>IFERROR(__xludf.DUMMYFUNCTION("""COMPUTED_VALUE"""),"HS")</f>
        <v>HS</v>
      </c>
    </row>
    <row r="3587" ht="15.75" customHeight="1">
      <c r="A3587" s="1" t="str">
        <f>IFERROR(__xludf.DUMMYFUNCTION("""COMPUTED_VALUE"""),"Petra Toth")</f>
        <v>Petra Toth</v>
      </c>
      <c r="B3587" s="1" t="str">
        <f>IFERROR(__xludf.DUMMYFUNCTION("""COMPUTED_VALUE"""),"MS")</f>
        <v>MS</v>
      </c>
    </row>
    <row r="3588" ht="15.75" customHeight="1">
      <c r="A3588" s="1" t="str">
        <f>IFERROR(__xludf.DUMMYFUNCTION("""COMPUTED_VALUE"""),"Timur Torpitko")</f>
        <v>Timur Torpitko</v>
      </c>
      <c r="B3588" s="1" t="str">
        <f>IFERROR(__xludf.DUMMYFUNCTION("""COMPUTED_VALUE"""),"L2")</f>
        <v>L2</v>
      </c>
    </row>
    <row r="3589" ht="15.75" customHeight="1">
      <c r="A3589" s="1" t="str">
        <f>IFERROR(__xludf.DUMMYFUNCTION("""COMPUTED_VALUE"""),"Peter Nyistyak")</f>
        <v>Peter Nyistyak</v>
      </c>
      <c r="B3589" s="1" t="str">
        <f>IFERROR(__xludf.DUMMYFUNCTION("""COMPUTED_VALUE"""),"L1")</f>
        <v>L1</v>
      </c>
    </row>
    <row r="3590" ht="15.75" customHeight="1">
      <c r="A3590" s="1" t="str">
        <f>IFERROR(__xludf.DUMMYFUNCTION("""COMPUTED_VALUE"""),"Alisa Davydenko")</f>
        <v>Alisa Davydenko</v>
      </c>
      <c r="B3590" s="1" t="str">
        <f>IFERROR(__xludf.DUMMYFUNCTION("""COMPUTED_VALUE"""),"MS")</f>
        <v>MS</v>
      </c>
    </row>
    <row r="3591" ht="15.75" customHeight="1">
      <c r="A3591" s="1" t="str">
        <f>IFERROR(__xludf.DUMMYFUNCTION("""COMPUTED_VALUE"""),"Blyshchyk Pavlo")</f>
        <v>Blyshchyk Pavlo</v>
      </c>
      <c r="B3591" s="1" t="str">
        <f>IFERROR(__xludf.DUMMYFUNCTION("""COMPUTED_VALUE"""),"MS")</f>
        <v>MS</v>
      </c>
    </row>
    <row r="3592" ht="15.75" customHeight="1">
      <c r="A3592" s="1" t="str">
        <f>IFERROR(__xludf.DUMMYFUNCTION("""COMPUTED_VALUE"""),"Aliz Kun")</f>
        <v>Aliz Kun</v>
      </c>
      <c r="B3592" s="1" t="str">
        <f>IFERROR(__xludf.DUMMYFUNCTION("""COMPUTED_VALUE"""),"L1")</f>
        <v>L1</v>
      </c>
    </row>
    <row r="3593" ht="15.75" customHeight="1">
      <c r="A3593" s="1" t="str">
        <f>IFERROR(__xludf.DUMMYFUNCTION("""COMPUTED_VALUE"""),"Daryna Myndria")</f>
        <v>Daryna Myndria</v>
      </c>
      <c r="B3593" s="1" t="str">
        <f>IFERROR(__xludf.DUMMYFUNCTION("""COMPUTED_VALUE"""),"HS")</f>
        <v>HS</v>
      </c>
    </row>
    <row r="3594" ht="15.75" customHeight="1">
      <c r="A3594" s="1" t="str">
        <f>IFERROR(__xludf.DUMMYFUNCTION("""COMPUTED_VALUE"""),"Zsolt Ember")</f>
        <v>Zsolt Ember</v>
      </c>
      <c r="B3594" s="1" t="str">
        <f>IFERROR(__xludf.DUMMYFUNCTION("""COMPUTED_VALUE"""),"MS")</f>
        <v>MS</v>
      </c>
    </row>
    <row r="3595" ht="15.75" customHeight="1">
      <c r="A3595" s="1" t="str">
        <f>IFERROR(__xludf.DUMMYFUNCTION("""COMPUTED_VALUE"""),"Mortsell Brekovski")</f>
        <v>Mortsell Brekovski</v>
      </c>
      <c r="B3595" s="1" t="str">
        <f>IFERROR(__xludf.DUMMYFUNCTION("""COMPUTED_VALUE"""),"L2")</f>
        <v>L2</v>
      </c>
    </row>
    <row r="3596" ht="15.75" customHeight="1">
      <c r="A3596" s="1" t="str">
        <f>IFERROR(__xludf.DUMMYFUNCTION("""COMPUTED_VALUE"""),"Kira Kovalchuk")</f>
        <v>Kira Kovalchuk</v>
      </c>
      <c r="B3596" s="1" t="str">
        <f>IFERROR(__xludf.DUMMYFUNCTION("""COMPUTED_VALUE"""),"L1")</f>
        <v>L1</v>
      </c>
    </row>
    <row r="3597" ht="15.75" customHeight="1">
      <c r="A3597" s="1" t="str">
        <f>IFERROR(__xludf.DUMMYFUNCTION("""COMPUTED_VALUE"""),"Dmytro Iatsko")</f>
        <v>Dmytro Iatsko</v>
      </c>
      <c r="B3597" s="1" t="str">
        <f>IFERROR(__xludf.DUMMYFUNCTION("""COMPUTED_VALUE"""),"L2")</f>
        <v>L2</v>
      </c>
    </row>
    <row r="3598" ht="15.75" customHeight="1">
      <c r="A3598" s="1" t="str">
        <f>IFERROR(__xludf.DUMMYFUNCTION("""COMPUTED_VALUE"""),"Patrik Toth")</f>
        <v>Patrik Toth</v>
      </c>
      <c r="B3598" s="1" t="str">
        <f>IFERROR(__xludf.DUMMYFUNCTION("""COMPUTED_VALUE"""),"HS")</f>
        <v>HS</v>
      </c>
    </row>
    <row r="3599" ht="15.75" customHeight="1">
      <c r="A3599" s="1" t="str">
        <f>IFERROR(__xludf.DUMMYFUNCTION("""COMPUTED_VALUE"""),"Katerina Dejneka")</f>
        <v>Katerina Dejneka</v>
      </c>
      <c r="B3599" s="1" t="str">
        <f>IFERROR(__xludf.DUMMYFUNCTION("""COMPUTED_VALUE"""),"MS")</f>
        <v>MS</v>
      </c>
    </row>
    <row r="3600" ht="15.75" customHeight="1">
      <c r="A3600" s="1" t="str">
        <f>IFERROR(__xludf.DUMMYFUNCTION("""COMPUTED_VALUE"""),"Fruzsina Szabo")</f>
        <v>Fruzsina Szabo</v>
      </c>
      <c r="B3600" s="1" t="str">
        <f>IFERROR(__xludf.DUMMYFUNCTION("""COMPUTED_VALUE"""),"L2")</f>
        <v>L2</v>
      </c>
    </row>
    <row r="3601" ht="15.75" customHeight="1">
      <c r="A3601" s="1" t="str">
        <f>IFERROR(__xludf.DUMMYFUNCTION("""COMPUTED_VALUE"""),"Milena Juhasz")</f>
        <v>Milena Juhasz</v>
      </c>
      <c r="B3601" s="1" t="str">
        <f>IFERROR(__xludf.DUMMYFUNCTION("""COMPUTED_VALUE"""),"L1")</f>
        <v>L1</v>
      </c>
    </row>
    <row r="3602" ht="15.75" customHeight="1">
      <c r="A3602" s="1" t="str">
        <f>IFERROR(__xludf.DUMMYFUNCTION("""COMPUTED_VALUE"""),"Dorina Pataki")</f>
        <v>Dorina Pataki</v>
      </c>
      <c r="B3602" s="1" t="str">
        <f>IFERROR(__xludf.DUMMYFUNCTION("""COMPUTED_VALUE"""),"MS")</f>
        <v>MS</v>
      </c>
    </row>
    <row r="3603" ht="15.75" customHeight="1">
      <c r="A3603" s="1" t="str">
        <f>IFERROR(__xludf.DUMMYFUNCTION("""COMPUTED_VALUE"""),"Szofia Fekeshazi")</f>
        <v>Szofia Fekeshazi</v>
      </c>
      <c r="B3603" s="1" t="str">
        <f>IFERROR(__xludf.DUMMYFUNCTION("""COMPUTED_VALUE"""),"L1")</f>
        <v>L1</v>
      </c>
    </row>
    <row r="3604" ht="15.75" customHeight="1">
      <c r="A3604" s="1" t="str">
        <f>IFERROR(__xludf.DUMMYFUNCTION("""COMPUTED_VALUE"""),"Danyil Kovalchuk")</f>
        <v>Danyil Kovalchuk</v>
      </c>
      <c r="B3604" s="1" t="str">
        <f>IFERROR(__xludf.DUMMYFUNCTION("""COMPUTED_VALUE"""),"L2")</f>
        <v>L2</v>
      </c>
    </row>
    <row r="3605" ht="15.75" customHeight="1">
      <c r="A3605" s="1" t="str">
        <f>IFERROR(__xludf.DUMMYFUNCTION("""COMPUTED_VALUE"""),"Todora Toth")</f>
        <v>Todora Toth</v>
      </c>
      <c r="B3605" s="1" t="str">
        <f>IFERROR(__xludf.DUMMYFUNCTION("""COMPUTED_VALUE"""),"MS")</f>
        <v>MS</v>
      </c>
    </row>
    <row r="3606" ht="15.75" customHeight="1">
      <c r="A3606" s="1" t="str">
        <f>IFERROR(__xludf.DUMMYFUNCTION("""COMPUTED_VALUE"""),"Volkov Mykhailo")</f>
        <v>Volkov Mykhailo</v>
      </c>
      <c r="B3606" s="1" t="str">
        <f>IFERROR(__xludf.DUMMYFUNCTION("""COMPUTED_VALUE"""),"L1")</f>
        <v>L1</v>
      </c>
    </row>
    <row r="3607" ht="15.75" customHeight="1">
      <c r="A3607" s="1" t="str">
        <f>IFERROR(__xludf.DUMMYFUNCTION("""COMPUTED_VALUE"""),"Kiril Kotlyar")</f>
        <v>Kiril Kotlyar</v>
      </c>
      <c r="B3607" s="1" t="str">
        <f>IFERROR(__xludf.DUMMYFUNCTION("""COMPUTED_VALUE"""),"L2")</f>
        <v>L2</v>
      </c>
    </row>
    <row r="3608" ht="15.75" customHeight="1">
      <c r="A3608" s="1" t="str">
        <f>IFERROR(__xludf.DUMMYFUNCTION("""COMPUTED_VALUE"""),"Mark Lisniak")</f>
        <v>Mark Lisniak</v>
      </c>
      <c r="B3608" s="1" t="str">
        <f>IFERROR(__xludf.DUMMYFUNCTION("""COMPUTED_VALUE"""),"HS")</f>
        <v>HS</v>
      </c>
    </row>
    <row r="3609" ht="15.75" customHeight="1">
      <c r="A3609" s="1" t="str">
        <f>IFERROR(__xludf.DUMMYFUNCTION("""COMPUTED_VALUE"""),"Hlobenko Polina")</f>
        <v>Hlobenko Polina</v>
      </c>
      <c r="B3609" s="1" t="str">
        <f>IFERROR(__xludf.DUMMYFUNCTION("""COMPUTED_VALUE"""),"L2")</f>
        <v>L2</v>
      </c>
    </row>
    <row r="3610" ht="15.75" customHeight="1">
      <c r="A3610" s="1" t="str">
        <f>IFERROR(__xludf.DUMMYFUNCTION("""COMPUTED_VALUE"""),"Danil Seleznev")</f>
        <v>Danil Seleznev</v>
      </c>
      <c r="B3610" s="1" t="str">
        <f>IFERROR(__xludf.DUMMYFUNCTION("""COMPUTED_VALUE"""),"L1")</f>
        <v>L1</v>
      </c>
    </row>
    <row r="3611" ht="15.75" customHeight="1">
      <c r="A3611" s="1" t="str">
        <f>IFERROR(__xludf.DUMMYFUNCTION("""COMPUTED_VALUE"""),"Yaroslav Perevierziev")</f>
        <v>Yaroslav Perevierziev</v>
      </c>
      <c r="B3611" s="1" t="str">
        <f>IFERROR(__xludf.DUMMYFUNCTION("""COMPUTED_VALUE"""),"L1")</f>
        <v>L1</v>
      </c>
    </row>
    <row r="3612" ht="15.75" customHeight="1">
      <c r="A3612" s="1" t="str">
        <f>IFERROR(__xludf.DUMMYFUNCTION("""COMPUTED_VALUE"""),"Ihor Zakharov")</f>
        <v>Ihor Zakharov</v>
      </c>
      <c r="B3612" s="1" t="str">
        <f>IFERROR(__xludf.DUMMYFUNCTION("""COMPUTED_VALUE"""),"MS")</f>
        <v>MS</v>
      </c>
    </row>
    <row r="3613" ht="15.75" customHeight="1">
      <c r="A3613" s="1" t="str">
        <f>IFERROR(__xludf.DUMMYFUNCTION("""COMPUTED_VALUE"""),"Volkov Egor")</f>
        <v>Volkov Egor</v>
      </c>
      <c r="B3613" s="1" t="str">
        <f>IFERROR(__xludf.DUMMYFUNCTION("""COMPUTED_VALUE"""),"L1")</f>
        <v>L1</v>
      </c>
    </row>
    <row r="3614" ht="15.75" customHeight="1">
      <c r="A3614" s="1" t="str">
        <f>IFERROR(__xludf.DUMMYFUNCTION("""COMPUTED_VALUE"""),"Rostyslav Shtodler")</f>
        <v>Rostyslav Shtodler</v>
      </c>
      <c r="B3614" s="1" t="str">
        <f>IFERROR(__xludf.DUMMYFUNCTION("""COMPUTED_VALUE"""),"MS")</f>
        <v>MS</v>
      </c>
    </row>
    <row r="3615" ht="15.75" customHeight="1">
      <c r="A3615" s="1" t="str">
        <f>IFERROR(__xludf.DUMMYFUNCTION("""COMPUTED_VALUE"""),"Daniil Haranin")</f>
        <v>Daniil Haranin</v>
      </c>
      <c r="B3615" s="1" t="str">
        <f>IFERROR(__xludf.DUMMYFUNCTION("""COMPUTED_VALUE"""),"HS")</f>
        <v>HS</v>
      </c>
    </row>
    <row r="3616" ht="15.75" customHeight="1">
      <c r="A3616" s="1" t="str">
        <f>IFERROR(__xludf.DUMMYFUNCTION("""COMPUTED_VALUE"""),"Diana Daniel")</f>
        <v>Diana Daniel</v>
      </c>
      <c r="B3616" s="1" t="str">
        <f>IFERROR(__xludf.DUMMYFUNCTION("""COMPUTED_VALUE"""),"L2")</f>
        <v>L2</v>
      </c>
    </row>
    <row r="3617" ht="15.75" customHeight="1">
      <c r="A3617" s="1" t="str">
        <f>IFERROR(__xludf.DUMMYFUNCTION("""COMPUTED_VALUE"""),"Lina Harbolynska")</f>
        <v>Lina Harbolynska</v>
      </c>
      <c r="B3617" s="1" t="str">
        <f>IFERROR(__xludf.DUMMYFUNCTION("""COMPUTED_VALUE"""),"L1")</f>
        <v>L1</v>
      </c>
    </row>
    <row r="3618" ht="15.75" customHeight="1">
      <c r="A3618" s="1" t="str">
        <f>IFERROR(__xludf.DUMMYFUNCTION("""COMPUTED_VALUE"""),"Mark Daniel")</f>
        <v>Mark Daniel</v>
      </c>
      <c r="B3618" s="1" t="str">
        <f>IFERROR(__xludf.DUMMYFUNCTION("""COMPUTED_VALUE"""),"L1")</f>
        <v>L1</v>
      </c>
    </row>
    <row r="3619" ht="15.75" customHeight="1">
      <c r="A3619" s="1" t="str">
        <f>IFERROR(__xludf.DUMMYFUNCTION("""COMPUTED_VALUE"""),"Valentyn Lohinov")</f>
        <v>Valentyn Lohinov</v>
      </c>
      <c r="B3619" s="1" t="str">
        <f>IFERROR(__xludf.DUMMYFUNCTION("""COMPUTED_VALUE"""),"L2")</f>
        <v>L2</v>
      </c>
    </row>
    <row r="3620" ht="15.75" customHeight="1">
      <c r="A3620" s="1" t="str">
        <f>IFERROR(__xludf.DUMMYFUNCTION("""COMPUTED_VALUE"""),"Yevheniia Dzyhar")</f>
        <v>Yevheniia Dzyhar</v>
      </c>
      <c r="B3620" s="1" t="str">
        <f>IFERROR(__xludf.DUMMYFUNCTION("""COMPUTED_VALUE"""),"L2")</f>
        <v>L2</v>
      </c>
    </row>
    <row r="3621" ht="15.75" customHeight="1">
      <c r="A3621" s="1" t="str">
        <f>IFERROR(__xludf.DUMMYFUNCTION("""COMPUTED_VALUE"""),"Alexandra Bihari")</f>
        <v>Alexandra Bihari</v>
      </c>
      <c r="B3621" s="1" t="str">
        <f>IFERROR(__xludf.DUMMYFUNCTION("""COMPUTED_VALUE"""),"L1")</f>
        <v>L1</v>
      </c>
    </row>
    <row r="3622" ht="15.75" customHeight="1">
      <c r="A3622" s="1" t="str">
        <f>IFERROR(__xludf.DUMMYFUNCTION("""COMPUTED_VALUE"""),"David Lynkov")</f>
        <v>David Lynkov</v>
      </c>
      <c r="B3622" s="1" t="str">
        <f>IFERROR(__xludf.DUMMYFUNCTION("""COMPUTED_VALUE"""),"L1")</f>
        <v>L1</v>
      </c>
    </row>
    <row r="3623" ht="15.75" customHeight="1">
      <c r="A3623" s="1" t="str">
        <f>IFERROR(__xludf.DUMMYFUNCTION("""COMPUTED_VALUE"""),"Kira Kibalnyk")</f>
        <v>Kira Kibalnyk</v>
      </c>
      <c r="B3623" s="1" t="str">
        <f>IFERROR(__xludf.DUMMYFUNCTION("""COMPUTED_VALUE"""),"MS")</f>
        <v>MS</v>
      </c>
    </row>
    <row r="3624" ht="15.75" customHeight="1">
      <c r="A3624" s="1" t="str">
        <f>IFERROR(__xludf.DUMMYFUNCTION("""COMPUTED_VALUE"""),"Ivan Kozak")</f>
        <v>Ivan Kozak</v>
      </c>
      <c r="B3624" s="1" t="str">
        <f>IFERROR(__xludf.DUMMYFUNCTION("""COMPUTED_VALUE"""),"MS")</f>
        <v>MS</v>
      </c>
    </row>
    <row r="3625" ht="15.75" customHeight="1">
      <c r="A3625" s="1" t="str">
        <f>IFERROR(__xludf.DUMMYFUNCTION("""COMPUTED_VALUE"""),"Oleksandr Maidaniuk")</f>
        <v>Oleksandr Maidaniuk</v>
      </c>
      <c r="B3625" s="1" t="str">
        <f>IFERROR(__xludf.DUMMYFUNCTION("""COMPUTED_VALUE"""),"L2")</f>
        <v>L2</v>
      </c>
    </row>
    <row r="3626" ht="15.75" customHeight="1">
      <c r="A3626" s="1" t="str">
        <f>IFERROR(__xludf.DUMMYFUNCTION("""COMPUTED_VALUE"""),"Kozlova Arina")</f>
        <v>Kozlova Arina</v>
      </c>
      <c r="B3626" s="1" t="str">
        <f>IFERROR(__xludf.DUMMYFUNCTION("""COMPUTED_VALUE"""),"MS")</f>
        <v>MS</v>
      </c>
    </row>
    <row r="3627" ht="15.75" customHeight="1">
      <c r="A3627" s="1" t="str">
        <f>IFERROR(__xludf.DUMMYFUNCTION("""COMPUTED_VALUE"""),"Kharlynskaya Anastasiya")</f>
        <v>Kharlynskaya Anastasiya</v>
      </c>
      <c r="B3627" s="1" t="str">
        <f>IFERROR(__xludf.DUMMYFUNCTION("""COMPUTED_VALUE"""),"L1")</f>
        <v>L1</v>
      </c>
    </row>
    <row r="3628" ht="15.75" customHeight="1">
      <c r="A3628" s="1" t="str">
        <f>IFERROR(__xludf.DUMMYFUNCTION("""COMPUTED_VALUE"""),"Anisiia Zhuravlova")</f>
        <v>Anisiia Zhuravlova</v>
      </c>
      <c r="B3628" s="1" t="str">
        <f>IFERROR(__xludf.DUMMYFUNCTION("""COMPUTED_VALUE"""),"L2")</f>
        <v>L2</v>
      </c>
    </row>
    <row r="3629" ht="15.75" customHeight="1">
      <c r="A3629" s="1" t="str">
        <f>IFERROR(__xludf.DUMMYFUNCTION("""COMPUTED_VALUE"""),"Timur Zhdan-Marichev")</f>
        <v>Timur Zhdan-Marichev</v>
      </c>
      <c r="B3629" s="1" t="str">
        <f>IFERROR(__xludf.DUMMYFUNCTION("""COMPUTED_VALUE"""),"HS")</f>
        <v>HS</v>
      </c>
    </row>
    <row r="3630" ht="15.75" customHeight="1">
      <c r="A3630" s="1" t="str">
        <f>IFERROR(__xludf.DUMMYFUNCTION("""COMPUTED_VALUE"""),"Seleznova Veronika")</f>
        <v>Seleznova Veronika</v>
      </c>
      <c r="B3630" s="1" t="str">
        <f>IFERROR(__xludf.DUMMYFUNCTION("""COMPUTED_VALUE"""),"L1")</f>
        <v>L1</v>
      </c>
    </row>
    <row r="3631" ht="15.75" customHeight="1">
      <c r="A3631" s="1" t="str">
        <f>IFERROR(__xludf.DUMMYFUNCTION("""COMPUTED_VALUE"""),"Zhyha Illia")</f>
        <v>Zhyha Illia</v>
      </c>
      <c r="B3631" s="1" t="str">
        <f>IFERROR(__xludf.DUMMYFUNCTION("""COMPUTED_VALUE"""),"MS")</f>
        <v>MS</v>
      </c>
    </row>
    <row r="3632" ht="15.75" customHeight="1">
      <c r="A3632" s="1" t="str">
        <f>IFERROR(__xludf.DUMMYFUNCTION("""COMPUTED_VALUE"""),"Uliana Shyshenko")</f>
        <v>Uliana Shyshenko</v>
      </c>
      <c r="B3632" s="1" t="str">
        <f>IFERROR(__xludf.DUMMYFUNCTION("""COMPUTED_VALUE"""),"L2")</f>
        <v>L2</v>
      </c>
    </row>
    <row r="3633" ht="15.75" customHeight="1">
      <c r="A3633" s="1" t="str">
        <f>IFERROR(__xludf.DUMMYFUNCTION("""COMPUTED_VALUE"""),"Mate Kristof")</f>
        <v>Mate Kristof</v>
      </c>
      <c r="B3633" s="1" t="str">
        <f>IFERROR(__xludf.DUMMYFUNCTION("""COMPUTED_VALUE"""),"L1")</f>
        <v>L1</v>
      </c>
    </row>
    <row r="3634" ht="15.75" customHeight="1">
      <c r="A3634" s="1" t="str">
        <f>IFERROR(__xludf.DUMMYFUNCTION("""COMPUTED_VALUE"""),"Oleksii Svitailo")</f>
        <v>Oleksii Svitailo</v>
      </c>
      <c r="B3634" s="1" t="str">
        <f>IFERROR(__xludf.DUMMYFUNCTION("""COMPUTED_VALUE"""),"L2")</f>
        <v>L2</v>
      </c>
    </row>
    <row r="3635" ht="15.75" customHeight="1">
      <c r="A3635" s="1" t="str">
        <f>IFERROR(__xludf.DUMMYFUNCTION("""COMPUTED_VALUE"""),"Bohdan Moskalenko")</f>
        <v>Bohdan Moskalenko</v>
      </c>
      <c r="B3635" s="1" t="str">
        <f>IFERROR(__xludf.DUMMYFUNCTION("""COMPUTED_VALUE"""),"L1")</f>
        <v>L1</v>
      </c>
    </row>
    <row r="3636" ht="15.75" customHeight="1">
      <c r="A3636" s="1" t="str">
        <f>IFERROR(__xludf.DUMMYFUNCTION("""COMPUTED_VALUE"""),"Blinkov Zakhar")</f>
        <v>Blinkov Zakhar</v>
      </c>
      <c r="B3636" s="1" t="str">
        <f>IFERROR(__xludf.DUMMYFUNCTION("""COMPUTED_VALUE"""),"L2")</f>
        <v>L2</v>
      </c>
    </row>
    <row r="3637" ht="15.75" customHeight="1">
      <c r="A3637" s="1" t="str">
        <f>IFERROR(__xludf.DUMMYFUNCTION("""COMPUTED_VALUE"""),"Kovalova Olexandra")</f>
        <v>Kovalova Olexandra</v>
      </c>
      <c r="B3637" s="1" t="str">
        <f>IFERROR(__xludf.DUMMYFUNCTION("""COMPUTED_VALUE"""),"L1")</f>
        <v>L1</v>
      </c>
    </row>
    <row r="3638" ht="15.75" customHeight="1">
      <c r="A3638" s="1" t="str">
        <f>IFERROR(__xludf.DUMMYFUNCTION("""COMPUTED_VALUE"""),"Piddubnyi Daniil")</f>
        <v>Piddubnyi Daniil</v>
      </c>
      <c r="B3638" s="1" t="str">
        <f>IFERROR(__xludf.DUMMYFUNCTION("""COMPUTED_VALUE"""),"HS")</f>
        <v>HS</v>
      </c>
    </row>
    <row r="3639" ht="15.75" customHeight="1">
      <c r="A3639" s="1" t="str">
        <f>IFERROR(__xludf.DUMMYFUNCTION("""COMPUTED_VALUE"""),"Nor Olexander")</f>
        <v>Nor Olexander</v>
      </c>
      <c r="B3639" s="1" t="str">
        <f>IFERROR(__xludf.DUMMYFUNCTION("""COMPUTED_VALUE"""),"L2")</f>
        <v>L2</v>
      </c>
    </row>
    <row r="3640" ht="15.75" customHeight="1">
      <c r="A3640" s="1" t="str">
        <f>IFERROR(__xludf.DUMMYFUNCTION("""COMPUTED_VALUE"""),"Shiposh Patrik")</f>
        <v>Shiposh Patrik</v>
      </c>
      <c r="B3640" s="1" t="str">
        <f>IFERROR(__xludf.DUMMYFUNCTION("""COMPUTED_VALUE"""),"L1")</f>
        <v>L1</v>
      </c>
    </row>
    <row r="3641" ht="15.75" customHeight="1">
      <c r="A3641" s="1" t="str">
        <f>IFERROR(__xludf.DUMMYFUNCTION("""COMPUTED_VALUE"""),"Kovalova Marta")</f>
        <v>Kovalova Marta</v>
      </c>
      <c r="B3641" s="1" t="str">
        <f>IFERROR(__xludf.DUMMYFUNCTION("""COMPUTED_VALUE"""),"MS")</f>
        <v>MS</v>
      </c>
    </row>
    <row r="3642" ht="15.75" customHeight="1">
      <c r="A3642" s="1" t="str">
        <f>IFERROR(__xludf.DUMMYFUNCTION("""COMPUTED_VALUE"""),"Lepshokova Sofia")</f>
        <v>Lepshokova Sofia</v>
      </c>
      <c r="B3642" s="1" t="str">
        <f>IFERROR(__xludf.DUMMYFUNCTION("""COMPUTED_VALUE"""),"MS")</f>
        <v>MS</v>
      </c>
    </row>
    <row r="3643" ht="15.75" customHeight="1">
      <c r="A3643" s="1" t="str">
        <f>IFERROR(__xludf.DUMMYFUNCTION("""COMPUTED_VALUE"""),"Kuziv Anton")</f>
        <v>Kuziv Anton</v>
      </c>
      <c r="B3643" s="1" t="str">
        <f>IFERROR(__xludf.DUMMYFUNCTION("""COMPUTED_VALUE"""),"L2")</f>
        <v>L2</v>
      </c>
    </row>
    <row r="3644" ht="15.75" customHeight="1">
      <c r="A3644" s="1" t="str">
        <f>IFERROR(__xludf.DUMMYFUNCTION("""COMPUTED_VALUE"""),"Csenge Demeter")</f>
        <v>Csenge Demeter</v>
      </c>
      <c r="B3644" s="1" t="str">
        <f>IFERROR(__xludf.DUMMYFUNCTION("""COMPUTED_VALUE"""),"MS")</f>
        <v>MS</v>
      </c>
    </row>
    <row r="3645" ht="15.75" customHeight="1">
      <c r="A3645" s="1" t="str">
        <f>IFERROR(__xludf.DUMMYFUNCTION("""COMPUTED_VALUE"""),"Viktoria Horvat")</f>
        <v>Viktoria Horvat</v>
      </c>
      <c r="B3645" s="1" t="str">
        <f>IFERROR(__xludf.DUMMYFUNCTION("""COMPUTED_VALUE"""),"L1")</f>
        <v>L1</v>
      </c>
    </row>
    <row r="3646" ht="15.75" customHeight="1">
      <c r="A3646" s="1" t="str">
        <f>IFERROR(__xludf.DUMMYFUNCTION("""COMPUTED_VALUE"""),"Zhyhina Anna")</f>
        <v>Zhyhina Anna</v>
      </c>
      <c r="B3646" s="1" t="str">
        <f>IFERROR(__xludf.DUMMYFUNCTION("""COMPUTED_VALUE"""),"L1")</f>
        <v>L1</v>
      </c>
    </row>
    <row r="3647" ht="15.75" customHeight="1">
      <c r="A3647" s="1" t="str">
        <f>IFERROR(__xludf.DUMMYFUNCTION("""COMPUTED_VALUE"""),"Hanna Ivan")</f>
        <v>Hanna Ivan</v>
      </c>
      <c r="B3647" s="1" t="str">
        <f>IFERROR(__xludf.DUMMYFUNCTION("""COMPUTED_VALUE"""),"L2")</f>
        <v>L2</v>
      </c>
    </row>
    <row r="3648" ht="15.75" customHeight="1">
      <c r="A3648" s="1" t="str">
        <f>IFERROR(__xludf.DUMMYFUNCTION("""COMPUTED_VALUE"""),"Adam Ivan")</f>
        <v>Adam Ivan</v>
      </c>
      <c r="B3648" s="1" t="str">
        <f>IFERROR(__xludf.DUMMYFUNCTION("""COMPUTED_VALUE"""),"L1")</f>
        <v>L1</v>
      </c>
    </row>
    <row r="3649" ht="15.75" customHeight="1">
      <c r="A3649" s="1" t="str">
        <f>IFERROR(__xludf.DUMMYFUNCTION("""COMPUTED_VALUE"""),"Zoltan Szilagyi")</f>
        <v>Zoltan Szilagyi</v>
      </c>
      <c r="B3649" s="1" t="str">
        <f>IFERROR(__xludf.DUMMYFUNCTION("""COMPUTED_VALUE"""),"LL")</f>
        <v>LL</v>
      </c>
    </row>
    <row r="3650" ht="15.75" customHeight="1">
      <c r="A3650" s="1" t="str">
        <f>IFERROR(__xludf.DUMMYFUNCTION("""COMPUTED_VALUE"""),"Janos Szilagyi")</f>
        <v>Janos Szilagyi</v>
      </c>
      <c r="B3650" s="1" t="str">
        <f>IFERROR(__xludf.DUMMYFUNCTION("""COMPUTED_VALUE"""),"L1")</f>
        <v>L1</v>
      </c>
    </row>
    <row r="3651" ht="15.75" customHeight="1">
      <c r="A3651" s="1" t="str">
        <f>IFERROR(__xludf.DUMMYFUNCTION("""COMPUTED_VALUE"""),"Abel Tar")</f>
        <v>Abel Tar</v>
      </c>
      <c r="B3651" s="1" t="str">
        <f>IFERROR(__xludf.DUMMYFUNCTION("""COMPUTED_VALUE"""),"L2")</f>
        <v>L2</v>
      </c>
    </row>
    <row r="3652" ht="15.75" customHeight="1">
      <c r="A3652" s="1" t="str">
        <f>IFERROR(__xludf.DUMMYFUNCTION("""COMPUTED_VALUE"""),"Eszter Tar")</f>
        <v>Eszter Tar</v>
      </c>
      <c r="B3652" s="1" t="str">
        <f>IFERROR(__xludf.DUMMYFUNCTION("""COMPUTED_VALUE"""),"HS")</f>
        <v>HS</v>
      </c>
    </row>
    <row r="3653" ht="15.75" customHeight="1">
      <c r="A3653" s="1" t="str">
        <f>IFERROR(__xludf.DUMMYFUNCTION("""COMPUTED_VALUE"""),"Bence Tar")</f>
        <v>Bence Tar</v>
      </c>
      <c r="B3653" s="1" t="str">
        <f>IFERROR(__xludf.DUMMYFUNCTION("""COMPUTED_VALUE"""),"MS")</f>
        <v>MS</v>
      </c>
    </row>
    <row r="3654" ht="15.75" customHeight="1">
      <c r="A3654" s="1" t="str">
        <f>IFERROR(__xludf.DUMMYFUNCTION("""COMPUTED_VALUE"""),"aron Ponitz")</f>
        <v>aron Ponitz</v>
      </c>
      <c r="B3654" s="1" t="str">
        <f>IFERROR(__xludf.DUMMYFUNCTION("""COMPUTED_VALUE"""),"MS")</f>
        <v>MS</v>
      </c>
    </row>
    <row r="3655" ht="15.75" customHeight="1">
      <c r="A3655" s="1" t="str">
        <f>IFERROR(__xludf.DUMMYFUNCTION("""COMPUTED_VALUE"""),"Valentyna Hapon")</f>
        <v>Valentyna Hapon</v>
      </c>
      <c r="B3655" s="1" t="str">
        <f>IFERROR(__xludf.DUMMYFUNCTION("""COMPUTED_VALUE"""),"L1")</f>
        <v>L1</v>
      </c>
    </row>
    <row r="3656" ht="15.75" customHeight="1">
      <c r="A3656" s="1" t="str">
        <f>IFERROR(__xludf.DUMMYFUNCTION("""COMPUTED_VALUE"""),"Samuel Ponitz")</f>
        <v>Samuel Ponitz</v>
      </c>
      <c r="B3656" s="1" t="str">
        <f>IFERROR(__xludf.DUMMYFUNCTION("""COMPUTED_VALUE"""),"L1")</f>
        <v>L1</v>
      </c>
    </row>
    <row r="3657" ht="15.75" customHeight="1">
      <c r="A3657" s="1" t="str">
        <f>IFERROR(__xludf.DUMMYFUNCTION("""COMPUTED_VALUE"""),"Zalan Kovacs")</f>
        <v>Zalan Kovacs</v>
      </c>
      <c r="B3657" s="1" t="str">
        <f>IFERROR(__xludf.DUMMYFUNCTION("""COMPUTED_VALUE"""),"LL")</f>
        <v>LL</v>
      </c>
    </row>
    <row r="3658" ht="15.75" customHeight="1">
      <c r="A3658" s="1" t="str">
        <f>IFERROR(__xludf.DUMMYFUNCTION("""COMPUTED_VALUE"""),"Fanni Sarkadi")</f>
        <v>Fanni Sarkadi</v>
      </c>
      <c r="B3658" s="1" t="str">
        <f>IFERROR(__xludf.DUMMYFUNCTION("""COMPUTED_VALUE"""),"MS")</f>
        <v>MS</v>
      </c>
    </row>
    <row r="3659" ht="15.75" customHeight="1">
      <c r="A3659" s="1" t="str">
        <f>IFERROR(__xludf.DUMMYFUNCTION("""COMPUTED_VALUE"""),"Rebeka Sarkadi")</f>
        <v>Rebeka Sarkadi</v>
      </c>
      <c r="B3659" s="1" t="str">
        <f>IFERROR(__xludf.DUMMYFUNCTION("""COMPUTED_VALUE"""),"MS")</f>
        <v>MS</v>
      </c>
    </row>
    <row r="3660" ht="15.75" customHeight="1">
      <c r="A3660" s="1" t="str">
        <f>IFERROR(__xludf.DUMMYFUNCTION("""COMPUTED_VALUE"""),"Abel Sarkadi")</f>
        <v>Abel Sarkadi</v>
      </c>
      <c r="B3660" s="1" t="str">
        <f>IFERROR(__xludf.DUMMYFUNCTION("""COMPUTED_VALUE"""),"LL")</f>
        <v>LL</v>
      </c>
    </row>
    <row r="3661" ht="15.75" customHeight="1">
      <c r="A3661" s="1" t="str">
        <f>IFERROR(__xludf.DUMMYFUNCTION("""COMPUTED_VALUE"""),"Amina Jakab")</f>
        <v>Amina Jakab</v>
      </c>
      <c r="B3661" s="1" t="str">
        <f>IFERROR(__xludf.DUMMYFUNCTION("""COMPUTED_VALUE"""),"L1")</f>
        <v>L1</v>
      </c>
    </row>
    <row r="3662" ht="15.75" customHeight="1">
      <c r="A3662" s="1" t="str">
        <f>IFERROR(__xludf.DUMMYFUNCTION("""COMPUTED_VALUE"""),"Robart Jakab")</f>
        <v>Robart Jakab</v>
      </c>
      <c r="B3662" s="1" t="str">
        <f>IFERROR(__xludf.DUMMYFUNCTION("""COMPUTED_VALUE"""),"L1")</f>
        <v>L1</v>
      </c>
    </row>
    <row r="3663" ht="15.75" customHeight="1">
      <c r="A3663" s="1" t="str">
        <f>IFERROR(__xludf.DUMMYFUNCTION("""COMPUTED_VALUE"""),"Mykhailo Davidov")</f>
        <v>Mykhailo Davidov</v>
      </c>
      <c r="B3663" s="1" t="str">
        <f>IFERROR(__xludf.DUMMYFUNCTION("""COMPUTED_VALUE"""),"MS")</f>
        <v>MS</v>
      </c>
    </row>
    <row r="3664" ht="15.75" customHeight="1">
      <c r="A3664" s="1" t="str">
        <f>IFERROR(__xludf.DUMMYFUNCTION("""COMPUTED_VALUE"""),"Sofiya Kotsuban")</f>
        <v>Sofiya Kotsuban</v>
      </c>
      <c r="B3664" s="1" t="str">
        <f>IFERROR(__xludf.DUMMYFUNCTION("""COMPUTED_VALUE"""),"LL")</f>
        <v>LL</v>
      </c>
    </row>
    <row r="3665" ht="15.75" customHeight="1">
      <c r="A3665" s="1" t="str">
        <f>IFERROR(__xludf.DUMMYFUNCTION("""COMPUTED_VALUE"""),"Maksym Marchenko")</f>
        <v>Maksym Marchenko</v>
      </c>
      <c r="B3665" s="1" t="str">
        <f>IFERROR(__xludf.DUMMYFUNCTION("""COMPUTED_VALUE"""),"L2")</f>
        <v>L2</v>
      </c>
    </row>
    <row r="3666" ht="15.75" customHeight="1">
      <c r="A3666" s="1" t="str">
        <f>IFERROR(__xludf.DUMMYFUNCTION("""COMPUTED_VALUE"""),"Zhombor Brekovski")</f>
        <v>Zhombor Brekovski</v>
      </c>
      <c r="B3666" s="1" t="str">
        <f>IFERROR(__xludf.DUMMYFUNCTION("""COMPUTED_VALUE"""),"HS")</f>
        <v>HS</v>
      </c>
    </row>
    <row r="3667" ht="15.75" customHeight="1">
      <c r="A3667" s="1" t="str">
        <f>IFERROR(__xludf.DUMMYFUNCTION("""COMPUTED_VALUE"""),"Kuzma Romanchenko")</f>
        <v>Kuzma Romanchenko</v>
      </c>
      <c r="B3667" s="1" t="str">
        <f>IFERROR(__xludf.DUMMYFUNCTION("""COMPUTED_VALUE"""),"L2")</f>
        <v>L2</v>
      </c>
    </row>
    <row r="3668" ht="15.75" customHeight="1">
      <c r="A3668" s="1" t="str">
        <f>IFERROR(__xludf.DUMMYFUNCTION("""COMPUTED_VALUE"""),"Mykyta Korniyenko")</f>
        <v>Mykyta Korniyenko</v>
      </c>
      <c r="B3668" s="1" t="str">
        <f>IFERROR(__xludf.DUMMYFUNCTION("""COMPUTED_VALUE"""),"L1")</f>
        <v>L1</v>
      </c>
    </row>
    <row r="3669" ht="15.75" customHeight="1">
      <c r="A3669" s="1" t="str">
        <f>IFERROR(__xludf.DUMMYFUNCTION("""COMPUTED_VALUE"""),"Viktoriya Kachanova")</f>
        <v>Viktoriya Kachanova</v>
      </c>
      <c r="B3669" s="1" t="str">
        <f>IFERROR(__xludf.DUMMYFUNCTION("""COMPUTED_VALUE"""),"MS")</f>
        <v>MS</v>
      </c>
    </row>
    <row r="3670" ht="15.75" customHeight="1">
      <c r="A3670" s="1" t="str">
        <f>IFERROR(__xludf.DUMMYFUNCTION("""COMPUTED_VALUE"""),"Polina Smyrnova")</f>
        <v>Polina Smyrnova</v>
      </c>
      <c r="B3670" s="1" t="str">
        <f>IFERROR(__xludf.DUMMYFUNCTION("""COMPUTED_VALUE"""),"MS")</f>
        <v>MS</v>
      </c>
    </row>
    <row r="3671" ht="15.75" customHeight="1">
      <c r="A3671" s="1" t="str">
        <f>IFERROR(__xludf.DUMMYFUNCTION("""COMPUTED_VALUE"""),"Sasha Dolomanzhi")</f>
        <v>Sasha Dolomanzhi</v>
      </c>
      <c r="B3671" s="1" t="str">
        <f>IFERROR(__xludf.DUMMYFUNCTION("""COMPUTED_VALUE"""),"HS")</f>
        <v>HS</v>
      </c>
    </row>
    <row r="3672" ht="15.75" customHeight="1">
      <c r="A3672" s="1" t="str">
        <f>IFERROR(__xludf.DUMMYFUNCTION("""COMPUTED_VALUE"""),"Nika Antoshchuk")</f>
        <v>Nika Antoshchuk</v>
      </c>
      <c r="B3672" s="1" t="str">
        <f>IFERROR(__xludf.DUMMYFUNCTION("""COMPUTED_VALUE"""),"MS")</f>
        <v>MS</v>
      </c>
    </row>
    <row r="3673" ht="15.75" customHeight="1">
      <c r="A3673" s="1" t="str">
        <f>IFERROR(__xludf.DUMMYFUNCTION("""COMPUTED_VALUE"""),"Danylo Kalinichenko")</f>
        <v>Danylo Kalinichenko</v>
      </c>
      <c r="B3673" s="1" t="str">
        <f>IFERROR(__xludf.DUMMYFUNCTION("""COMPUTED_VALUE"""),"HS")</f>
        <v>HS</v>
      </c>
    </row>
    <row r="3674" ht="15.75" customHeight="1">
      <c r="A3674" s="1" t="str">
        <f>IFERROR(__xludf.DUMMYFUNCTION("""COMPUTED_VALUE"""),"Yana Rudenko")</f>
        <v>Yana Rudenko</v>
      </c>
      <c r="B3674" s="1" t="str">
        <f>IFERROR(__xludf.DUMMYFUNCTION("""COMPUTED_VALUE"""),"L1")</f>
        <v>L1</v>
      </c>
    </row>
    <row r="3675" ht="15.75" customHeight="1">
      <c r="A3675" s="1" t="str">
        <f>IFERROR(__xludf.DUMMYFUNCTION("""COMPUTED_VALUE"""),"David Mucsicska")</f>
        <v>David Mucsicska</v>
      </c>
      <c r="B3675" s="1" t="str">
        <f>IFERROR(__xludf.DUMMYFUNCTION("""COMPUTED_VALUE"""),"MS")</f>
        <v>MS</v>
      </c>
    </row>
    <row r="3676" ht="15.75" customHeight="1">
      <c r="A3676" s="1" t="str">
        <f>IFERROR(__xludf.DUMMYFUNCTION("""COMPUTED_VALUE"""),"Vlad Spolnyk")</f>
        <v>Vlad Spolnyk</v>
      </c>
      <c r="B3676" s="1" t="str">
        <f>IFERROR(__xludf.DUMMYFUNCTION("""COMPUTED_VALUE"""),"MS")</f>
        <v>MS</v>
      </c>
    </row>
    <row r="3677" ht="15.75" customHeight="1">
      <c r="A3677" s="1" t="str">
        <f>IFERROR(__xludf.DUMMYFUNCTION("""COMPUTED_VALUE"""),"Antonia Bihari")</f>
        <v>Antonia Bihari</v>
      </c>
      <c r="B3677" s="1" t="str">
        <f>IFERROR(__xludf.DUMMYFUNCTION("""COMPUTED_VALUE"""),"HS")</f>
        <v>HS</v>
      </c>
    </row>
    <row r="3678" ht="15.75" customHeight="1">
      <c r="A3678" s="1" t="str">
        <f>IFERROR(__xludf.DUMMYFUNCTION("""COMPUTED_VALUE"""),"Ostap Borsky")</f>
        <v>Ostap Borsky</v>
      </c>
      <c r="B3678" s="1" t="str">
        <f>IFERROR(__xludf.DUMMYFUNCTION("""COMPUTED_VALUE"""),"MS")</f>
        <v>MS</v>
      </c>
    </row>
    <row r="3679" ht="15.75" customHeight="1">
      <c r="A3679" s="1" t="str">
        <f>IFERROR(__xludf.DUMMYFUNCTION("""COMPUTED_VALUE"""),"Yustina Borska")</f>
        <v>Yustina Borska</v>
      </c>
      <c r="B3679" s="1" t="str">
        <f>IFERROR(__xludf.DUMMYFUNCTION("""COMPUTED_VALUE"""),"LL")</f>
        <v>LL</v>
      </c>
    </row>
    <row r="3680" ht="15.75" customHeight="1">
      <c r="A3680" s="1" t="str">
        <f>IFERROR(__xludf.DUMMYFUNCTION("""COMPUTED_VALUE"""),"Szintia Bianka Sas")</f>
        <v>Szintia Bianka Sas</v>
      </c>
      <c r="B3680" s="1" t="str">
        <f>IFERROR(__xludf.DUMMYFUNCTION("""COMPUTED_VALUE"""),"L2")</f>
        <v>L2</v>
      </c>
    </row>
    <row r="3681" ht="15.75" customHeight="1">
      <c r="A3681" s="1" t="str">
        <f>IFERROR(__xludf.DUMMYFUNCTION("""COMPUTED_VALUE"""),"Kateryna Rymar")</f>
        <v>Kateryna Rymar</v>
      </c>
      <c r="B3681" s="1" t="str">
        <f>IFERROR(__xludf.DUMMYFUNCTION("""COMPUTED_VALUE"""),"MS")</f>
        <v>MS</v>
      </c>
    </row>
    <row r="3682" ht="15.75" customHeight="1">
      <c r="A3682" s="1" t="str">
        <f>IFERROR(__xludf.DUMMYFUNCTION("""COMPUTED_VALUE"""),"Mariia Rymar")</f>
        <v>Mariia Rymar</v>
      </c>
      <c r="B3682" s="1" t="str">
        <f>IFERROR(__xludf.DUMMYFUNCTION("""COMPUTED_VALUE"""),"L2")</f>
        <v>L2</v>
      </c>
    </row>
    <row r="3683" ht="15.75" customHeight="1">
      <c r="A3683" s="1" t="str">
        <f>IFERROR(__xludf.DUMMYFUNCTION("""COMPUTED_VALUE"""),"Benjamin LOrinc")</f>
        <v>Benjamin LOrinc</v>
      </c>
      <c r="B3683" s="1" t="str">
        <f>IFERROR(__xludf.DUMMYFUNCTION("""COMPUTED_VALUE"""),"L2")</f>
        <v>L2</v>
      </c>
    </row>
    <row r="3684" ht="15.75" customHeight="1">
      <c r="A3684" s="1" t="str">
        <f>IFERROR(__xludf.DUMMYFUNCTION("""COMPUTED_VALUE"""),"Jeremias LOrinc")</f>
        <v>Jeremias LOrinc</v>
      </c>
      <c r="B3684" s="1" t="str">
        <f>IFERROR(__xludf.DUMMYFUNCTION("""COMPUTED_VALUE"""),"MS")</f>
        <v>MS</v>
      </c>
    </row>
    <row r="3685" ht="15.75" customHeight="1">
      <c r="A3685" s="1" t="str">
        <f>IFERROR(__xludf.DUMMYFUNCTION("""COMPUTED_VALUE"""),"Svitlana Shehuta")</f>
        <v>Svitlana Shehuta</v>
      </c>
      <c r="B3685" s="1" t="str">
        <f>IFERROR(__xludf.DUMMYFUNCTION("""COMPUTED_VALUE"""),"MS")</f>
        <v>MS</v>
      </c>
    </row>
    <row r="3686" ht="15.75" customHeight="1">
      <c r="A3686" s="1" t="str">
        <f>IFERROR(__xludf.DUMMYFUNCTION("""COMPUTED_VALUE"""),"Ruslan Tsilkovskyi")</f>
        <v>Ruslan Tsilkovskyi</v>
      </c>
      <c r="B3686" s="1" t="str">
        <f>IFERROR(__xludf.DUMMYFUNCTION("""COMPUTED_VALUE"""),"MS")</f>
        <v>MS</v>
      </c>
    </row>
    <row r="3687" ht="15.75" customHeight="1">
      <c r="A3687" s="1" t="str">
        <f>IFERROR(__xludf.DUMMYFUNCTION("""COMPUTED_VALUE"""),"Darina Levychkina")</f>
        <v>Darina Levychkina</v>
      </c>
      <c r="B3687" s="1" t="str">
        <f>IFERROR(__xludf.DUMMYFUNCTION("""COMPUTED_VALUE"""),"HS")</f>
        <v>HS</v>
      </c>
    </row>
    <row r="3688" ht="15.75" customHeight="1">
      <c r="A3688" s="1" t="str">
        <f>IFERROR(__xludf.DUMMYFUNCTION("""COMPUTED_VALUE"""),"Nazar Proshukalo")</f>
        <v>Nazar Proshukalo</v>
      </c>
      <c r="B3688" s="1" t="str">
        <f>IFERROR(__xludf.DUMMYFUNCTION("""COMPUTED_VALUE"""),"L1")</f>
        <v>L1</v>
      </c>
    </row>
    <row r="3689" ht="15.75" customHeight="1">
      <c r="A3689" s="1" t="str">
        <f>IFERROR(__xludf.DUMMYFUNCTION("""COMPUTED_VALUE"""),"Ksenya Ozerna")</f>
        <v>Ksenya Ozerna</v>
      </c>
      <c r="B3689" s="1" t="str">
        <f>IFERROR(__xludf.DUMMYFUNCTION("""COMPUTED_VALUE"""),"MS")</f>
        <v>MS</v>
      </c>
    </row>
    <row r="3690" ht="15.75" customHeight="1">
      <c r="A3690" s="1" t="str">
        <f>IFERROR(__xludf.DUMMYFUNCTION("""COMPUTED_VALUE"""),"Yevhen Ozernyi")</f>
        <v>Yevhen Ozernyi</v>
      </c>
      <c r="B3690" s="1" t="str">
        <f>IFERROR(__xludf.DUMMYFUNCTION("""COMPUTED_VALUE"""),"L2")</f>
        <v>L2</v>
      </c>
    </row>
    <row r="3691" ht="15.75" customHeight="1">
      <c r="A3691" s="1" t="str">
        <f>IFERROR(__xludf.DUMMYFUNCTION("""COMPUTED_VALUE"""),"David Ozernyi")</f>
        <v>David Ozernyi</v>
      </c>
      <c r="B3691" s="1" t="str">
        <f>IFERROR(__xludf.DUMMYFUNCTION("""COMPUTED_VALUE"""),"L2")</f>
        <v>L2</v>
      </c>
    </row>
    <row r="3692" ht="15.75" customHeight="1">
      <c r="A3692" s="1" t="str">
        <f>IFERROR(__xludf.DUMMYFUNCTION("""COMPUTED_VALUE"""),"Danyil Ozernyi")</f>
        <v>Danyil Ozernyi</v>
      </c>
      <c r="B3692" s="1" t="str">
        <f>IFERROR(__xludf.DUMMYFUNCTION("""COMPUTED_VALUE"""),"L2")</f>
        <v>L2</v>
      </c>
    </row>
    <row r="3693" ht="15.75" customHeight="1">
      <c r="A3693" s="1" t="str">
        <f>IFERROR(__xludf.DUMMYFUNCTION("""COMPUTED_VALUE"""),"Volodymyr Madzygon")</f>
        <v>Volodymyr Madzygon</v>
      </c>
      <c r="B3693" s="1" t="str">
        <f>IFERROR(__xludf.DUMMYFUNCTION("""COMPUTED_VALUE"""),"L2")</f>
        <v>L2</v>
      </c>
    </row>
    <row r="3694" ht="15.75" customHeight="1">
      <c r="A3694" s="1" t="str">
        <f>IFERROR(__xludf.DUMMYFUNCTION("""COMPUTED_VALUE"""),"Artem Siyanov")</f>
        <v>Artem Siyanov</v>
      </c>
      <c r="B3694" s="1" t="str">
        <f>IFERROR(__xludf.DUMMYFUNCTION("""COMPUTED_VALUE"""),"MS")</f>
        <v>MS</v>
      </c>
    </row>
    <row r="3695" ht="15.75" customHeight="1">
      <c r="A3695" s="1" t="str">
        <f>IFERROR(__xludf.DUMMYFUNCTION("""COMPUTED_VALUE"""),"Attila-Alex Shyuti")</f>
        <v>Attila-Alex Shyuti</v>
      </c>
      <c r="B3695" s="1" t="str">
        <f>IFERROR(__xludf.DUMMYFUNCTION("""COMPUTED_VALUE"""),"HS")</f>
        <v>HS</v>
      </c>
    </row>
    <row r="3696" ht="15.75" customHeight="1">
      <c r="A3696" s="1" t="str">
        <f>IFERROR(__xludf.DUMMYFUNCTION("""COMPUTED_VALUE"""),"Katalin Roszoha")</f>
        <v>Katalin Roszoha</v>
      </c>
      <c r="B3696" s="1" t="str">
        <f>IFERROR(__xludf.DUMMYFUNCTION("""COMPUTED_VALUE"""),"MS")</f>
        <v>MS</v>
      </c>
    </row>
    <row r="3697" ht="15.75" customHeight="1">
      <c r="A3697" s="1" t="str">
        <f>IFERROR(__xludf.DUMMYFUNCTION("""COMPUTED_VALUE"""),"Barbara Shyuti")</f>
        <v>Barbara Shyuti</v>
      </c>
      <c r="B3697" s="1" t="str">
        <f>IFERROR(__xludf.DUMMYFUNCTION("""COMPUTED_VALUE"""),"HS")</f>
        <v>HS</v>
      </c>
    </row>
    <row r="3698" ht="15.75" customHeight="1">
      <c r="A3698" s="1" t="str">
        <f>IFERROR(__xludf.DUMMYFUNCTION("""COMPUTED_VALUE"""),"Vladyslav Zhydenko")</f>
        <v>Vladyslav Zhydenko</v>
      </c>
      <c r="B3698" s="1" t="str">
        <f>IFERROR(__xludf.DUMMYFUNCTION("""COMPUTED_VALUE"""),"L2")</f>
        <v>L2</v>
      </c>
    </row>
    <row r="3699" ht="15.75" customHeight="1">
      <c r="A3699" s="1" t="str">
        <f>IFERROR(__xludf.DUMMYFUNCTION("""COMPUTED_VALUE"""),"Vitaliy Perfilov")</f>
        <v>Vitaliy Perfilov</v>
      </c>
      <c r="B3699" s="1" t="str">
        <f>IFERROR(__xludf.DUMMYFUNCTION("""COMPUTED_VALUE"""),"HS")</f>
        <v>HS</v>
      </c>
    </row>
    <row r="3700" ht="15.75" customHeight="1">
      <c r="A3700" s="1" t="str">
        <f>IFERROR(__xludf.DUMMYFUNCTION("""COMPUTED_VALUE"""),"Luka Pichkur")</f>
        <v>Luka Pichkur</v>
      </c>
      <c r="B3700" s="1" t="str">
        <f>IFERROR(__xludf.DUMMYFUNCTION("""COMPUTED_VALUE"""),"HS")</f>
        <v>HS</v>
      </c>
    </row>
    <row r="3701" ht="15.75" customHeight="1">
      <c r="A3701" s="1" t="str">
        <f>IFERROR(__xludf.DUMMYFUNCTION("""COMPUTED_VALUE"""),"Gyula Gerics")</f>
        <v>Gyula Gerics</v>
      </c>
      <c r="B3701" s="1" t="str">
        <f>IFERROR(__xludf.DUMMYFUNCTION("""COMPUTED_VALUE"""),"MS")</f>
        <v>MS</v>
      </c>
    </row>
    <row r="3702" ht="15.75" customHeight="1">
      <c r="A3702" s="1" t="str">
        <f>IFERROR(__xludf.DUMMYFUNCTION("""COMPUTED_VALUE"""),"Mate Samok")</f>
        <v>Mate Samok</v>
      </c>
      <c r="B3702" s="1" t="str">
        <f>IFERROR(__xludf.DUMMYFUNCTION("""COMPUTED_VALUE"""),"HS")</f>
        <v>HS</v>
      </c>
    </row>
    <row r="3703" ht="15.75" customHeight="1">
      <c r="A3703" s="1" t="str">
        <f>IFERROR(__xludf.DUMMYFUNCTION("""COMPUTED_VALUE"""),"Kyrylo Tereshchenko")</f>
        <v>Kyrylo Tereshchenko</v>
      </c>
      <c r="B3703" s="1" t="str">
        <f>IFERROR(__xludf.DUMMYFUNCTION("""COMPUTED_VALUE"""),"HS")</f>
        <v>HS</v>
      </c>
    </row>
    <row r="3704" ht="15.75" customHeight="1">
      <c r="A3704" s="1" t="str">
        <f>IFERROR(__xludf.DUMMYFUNCTION("""COMPUTED_VALUE"""),"Dmytro Tereshchenko")</f>
        <v>Dmytro Tereshchenko</v>
      </c>
      <c r="B3704" s="1" t="str">
        <f>IFERROR(__xludf.DUMMYFUNCTION("""COMPUTED_VALUE"""),"HS")</f>
        <v>HS</v>
      </c>
    </row>
    <row r="3705" ht="15.75" customHeight="1">
      <c r="A3705" s="1" t="str">
        <f>IFERROR(__xludf.DUMMYFUNCTION("""COMPUTED_VALUE"""),"Evelina Lysytska")</f>
        <v>Evelina Lysytska</v>
      </c>
      <c r="B3705" s="1" t="str">
        <f>IFERROR(__xludf.DUMMYFUNCTION("""COMPUTED_VALUE"""),"L2")</f>
        <v>L2</v>
      </c>
    </row>
    <row r="3706" ht="15.75" customHeight="1">
      <c r="A3706" s="1" t="str">
        <f>IFERROR(__xludf.DUMMYFUNCTION("""COMPUTED_VALUE"""),"Laura Katona")</f>
        <v>Laura Katona</v>
      </c>
      <c r="B3706" s="1" t="str">
        <f>IFERROR(__xludf.DUMMYFUNCTION("""COMPUTED_VALUE"""),"MS")</f>
        <v>MS</v>
      </c>
    </row>
    <row r="3707" ht="15.75" customHeight="1">
      <c r="A3707" s="1" t="str">
        <f>IFERROR(__xludf.DUMMYFUNCTION("""COMPUTED_VALUE"""),"Nikolett Mate")</f>
        <v>Nikolett Mate</v>
      </c>
      <c r="B3707" s="1" t="str">
        <f>IFERROR(__xludf.DUMMYFUNCTION("""COMPUTED_VALUE"""),"HS")</f>
        <v>HS</v>
      </c>
    </row>
    <row r="3708" ht="15.75" customHeight="1">
      <c r="A3708" s="1" t="str">
        <f>IFERROR(__xludf.DUMMYFUNCTION("""COMPUTED_VALUE"""),"Darina Kryshenyk")</f>
        <v>Darina Kryshenyk</v>
      </c>
      <c r="B3708" s="1" t="str">
        <f>IFERROR(__xludf.DUMMYFUNCTION("""COMPUTED_VALUE"""),"L2")</f>
        <v>L2</v>
      </c>
    </row>
    <row r="3709" ht="15.75" customHeight="1">
      <c r="A3709" s="1" t="str">
        <f>IFERROR(__xludf.DUMMYFUNCTION("""COMPUTED_VALUE"""),"Roland Katona")</f>
        <v>Roland Katona</v>
      </c>
      <c r="B3709" s="1" t="str">
        <f>IFERROR(__xludf.DUMMYFUNCTION("""COMPUTED_VALUE"""),"HS")</f>
        <v>HS</v>
      </c>
    </row>
    <row r="3710" ht="15.75" customHeight="1">
      <c r="A3710" s="1" t="str">
        <f>IFERROR(__xludf.DUMMYFUNCTION("""COMPUTED_VALUE"""),"Nelli Hrytsylo")</f>
        <v>Nelli Hrytsylo</v>
      </c>
      <c r="B3710" s="1" t="str">
        <f>IFERROR(__xludf.DUMMYFUNCTION("""COMPUTED_VALUE"""),"MS")</f>
        <v>MS</v>
      </c>
    </row>
    <row r="3711" ht="15.75" customHeight="1">
      <c r="A3711" s="1" t="str">
        <f>IFERROR(__xludf.DUMMYFUNCTION("""COMPUTED_VALUE"""),"Iren Tkachuk")</f>
        <v>Iren Tkachuk</v>
      </c>
      <c r="B3711" s="1" t="str">
        <f>IFERROR(__xludf.DUMMYFUNCTION("""COMPUTED_VALUE"""),"L2")</f>
        <v>L2</v>
      </c>
    </row>
    <row r="3712" ht="15.75" customHeight="1">
      <c r="A3712" s="1" t="str">
        <f>IFERROR(__xludf.DUMMYFUNCTION("""COMPUTED_VALUE"""),"Anna Tkachuk")</f>
        <v>Anna Tkachuk</v>
      </c>
      <c r="B3712" s="1" t="str">
        <f>IFERROR(__xludf.DUMMYFUNCTION("""COMPUTED_VALUE"""),"MS")</f>
        <v>MS</v>
      </c>
    </row>
    <row r="3713" ht="15.75" customHeight="1">
      <c r="A3713" s="1" t="str">
        <f>IFERROR(__xludf.DUMMYFUNCTION("""COMPUTED_VALUE"""),"Petra Papp")</f>
        <v>Petra Papp</v>
      </c>
      <c r="B3713" s="1" t="str">
        <f>IFERROR(__xludf.DUMMYFUNCTION("""COMPUTED_VALUE"""),"HS")</f>
        <v>HS</v>
      </c>
    </row>
    <row r="3714" ht="15.75" customHeight="1">
      <c r="A3714" s="1" t="str">
        <f>IFERROR(__xludf.DUMMYFUNCTION("""COMPUTED_VALUE"""),"Anzselika Szimku")</f>
        <v>Anzselika Szimku</v>
      </c>
      <c r="B3714" s="1" t="str">
        <f>IFERROR(__xludf.DUMMYFUNCTION("""COMPUTED_VALUE"""),"MS")</f>
        <v>MS</v>
      </c>
    </row>
    <row r="3715" ht="15.75" customHeight="1">
      <c r="A3715" s="1" t="str">
        <f>IFERROR(__xludf.DUMMYFUNCTION("""COMPUTED_VALUE"""),"Oleksandra Kolomiiets")</f>
        <v>Oleksandra Kolomiiets</v>
      </c>
      <c r="B3715" s="1" t="str">
        <f>IFERROR(__xludf.DUMMYFUNCTION("""COMPUTED_VALUE"""),"MS")</f>
        <v>MS</v>
      </c>
    </row>
    <row r="3716" ht="15.75" customHeight="1">
      <c r="A3716" s="1" t="str">
        <f>IFERROR(__xludf.DUMMYFUNCTION("""COMPUTED_VALUE"""),"Artem Matviishyn")</f>
        <v>Artem Matviishyn</v>
      </c>
      <c r="B3716" s="1" t="str">
        <f>IFERROR(__xludf.DUMMYFUNCTION("""COMPUTED_VALUE"""),"L1")</f>
        <v>L1</v>
      </c>
    </row>
    <row r="3717" ht="15.75" customHeight="1">
      <c r="A3717" s="1" t="str">
        <f>IFERROR(__xludf.DUMMYFUNCTION("""COMPUTED_VALUE"""),"Maryana Matviishyna")</f>
        <v>Maryana Matviishyna</v>
      </c>
      <c r="B3717" s="1" t="str">
        <f>IFERROR(__xludf.DUMMYFUNCTION("""COMPUTED_VALUE"""),"L1")</f>
        <v>L1</v>
      </c>
    </row>
    <row r="3718" ht="15.75" customHeight="1">
      <c r="A3718" s="1" t="str">
        <f>IFERROR(__xludf.DUMMYFUNCTION("""COMPUTED_VALUE"""),"Oleksandr Hinaylo")</f>
        <v>Oleksandr Hinaylo</v>
      </c>
      <c r="B3718" s="1" t="str">
        <f>IFERROR(__xludf.DUMMYFUNCTION("""COMPUTED_VALUE"""),"L2")</f>
        <v>L2</v>
      </c>
    </row>
    <row r="3719" ht="15.75" customHeight="1">
      <c r="A3719" s="1" t="str">
        <f>IFERROR(__xludf.DUMMYFUNCTION("""COMPUTED_VALUE"""),"Janos Vamos")</f>
        <v>Janos Vamos</v>
      </c>
      <c r="B3719" s="1" t="str">
        <f>IFERROR(__xludf.DUMMYFUNCTION("""COMPUTED_VALUE"""),"HS")</f>
        <v>HS</v>
      </c>
    </row>
    <row r="3720" ht="15.75" customHeight="1">
      <c r="A3720" s="1" t="str">
        <f>IFERROR(__xludf.DUMMYFUNCTION("""COMPUTED_VALUE"""),"Somi Balazs")</f>
        <v>Somi Balazs</v>
      </c>
      <c r="B3720" s="1" t="str">
        <f>IFERROR(__xludf.DUMMYFUNCTION("""COMPUTED_VALUE"""),"L1")</f>
        <v>L1</v>
      </c>
    </row>
    <row r="3721" ht="15.75" customHeight="1">
      <c r="A3721" s="1" t="str">
        <f>IFERROR(__xludf.DUMMYFUNCTION("""COMPUTED_VALUE"""),"Somi Adrienn")</f>
        <v>Somi Adrienn</v>
      </c>
      <c r="B3721" s="1" t="str">
        <f>IFERROR(__xludf.DUMMYFUNCTION("""COMPUTED_VALUE"""),"HS")</f>
        <v>HS</v>
      </c>
    </row>
    <row r="3722" ht="15.75" customHeight="1">
      <c r="A3722" s="1" t="str">
        <f>IFERROR(__xludf.DUMMYFUNCTION("""COMPUTED_VALUE"""),"Bunda Veronika")</f>
        <v>Bunda Veronika</v>
      </c>
      <c r="B3722" s="1" t="str">
        <f>IFERROR(__xludf.DUMMYFUNCTION("""COMPUTED_VALUE"""),"HS")</f>
        <v>HS</v>
      </c>
    </row>
    <row r="3723" ht="15.75" customHeight="1">
      <c r="A3723" s="1" t="str">
        <f>IFERROR(__xludf.DUMMYFUNCTION("""COMPUTED_VALUE"""),"Bunda Teodora")</f>
        <v>Bunda Teodora</v>
      </c>
      <c r="B3723" s="1" t="str">
        <f>IFERROR(__xludf.DUMMYFUNCTION("""COMPUTED_VALUE"""),"HS")</f>
        <v>HS</v>
      </c>
    </row>
    <row r="3724" ht="15.75" customHeight="1">
      <c r="A3724" s="1" t="str">
        <f>IFERROR(__xludf.DUMMYFUNCTION("""COMPUTED_VALUE"""),"Yelyzaveta Antonets")</f>
        <v>Yelyzaveta Antonets</v>
      </c>
      <c r="B3724" s="1" t="str">
        <f>IFERROR(__xludf.DUMMYFUNCTION("""COMPUTED_VALUE"""),"MS")</f>
        <v>MS</v>
      </c>
    </row>
    <row r="3725" ht="15.75" customHeight="1">
      <c r="A3725" s="1" t="str">
        <f>IFERROR(__xludf.DUMMYFUNCTION("""COMPUTED_VALUE"""),"Dariia Sukhorukova")</f>
        <v>Dariia Sukhorukova</v>
      </c>
      <c r="B3725" s="1" t="str">
        <f>IFERROR(__xludf.DUMMYFUNCTION("""COMPUTED_VALUE"""),"HS")</f>
        <v>HS</v>
      </c>
    </row>
    <row r="3726" ht="15.75" customHeight="1">
      <c r="A3726" s="1" t="str">
        <f>IFERROR(__xludf.DUMMYFUNCTION("""COMPUTED_VALUE"""),"Anna Sukhorukova")</f>
        <v>Anna Sukhorukova</v>
      </c>
      <c r="B3726" s="1" t="str">
        <f>IFERROR(__xludf.DUMMYFUNCTION("""COMPUTED_VALUE"""),"L2")</f>
        <v>L2</v>
      </c>
    </row>
    <row r="3727" ht="15.75" customHeight="1">
      <c r="A3727" s="1" t="str">
        <f>IFERROR(__xludf.DUMMYFUNCTION("""COMPUTED_VALUE"""),"Anna Horvat")</f>
        <v>Anna Horvat</v>
      </c>
      <c r="B3727" s="1" t="str">
        <f>IFERROR(__xludf.DUMMYFUNCTION("""COMPUTED_VALUE"""),"L2")</f>
        <v>L2</v>
      </c>
    </row>
    <row r="3728" ht="15.75" customHeight="1">
      <c r="A3728" s="1" t="str">
        <f>IFERROR(__xludf.DUMMYFUNCTION("""COMPUTED_VALUE"""),"Vivien Varaljai")</f>
        <v>Vivien Varaljai</v>
      </c>
      <c r="B3728" s="1" t="str">
        <f>IFERROR(__xludf.DUMMYFUNCTION("""COMPUTED_VALUE"""),"L2")</f>
        <v>L2</v>
      </c>
    </row>
    <row r="3729" ht="15.75" customHeight="1">
      <c r="A3729" s="1" t="str">
        <f>IFERROR(__xludf.DUMMYFUNCTION("""COMPUTED_VALUE"""),"Ivan Piddubnyi")</f>
        <v>Ivan Piddubnyi</v>
      </c>
      <c r="B3729" s="1" t="str">
        <f>IFERROR(__xludf.DUMMYFUNCTION("""COMPUTED_VALUE"""),"L2")</f>
        <v>L2</v>
      </c>
    </row>
    <row r="3730" ht="15.75" customHeight="1">
      <c r="A3730" s="1" t="str">
        <f>IFERROR(__xludf.DUMMYFUNCTION("""COMPUTED_VALUE"""),"Ivan Hryshchuk")</f>
        <v>Ivan Hryshchuk</v>
      </c>
      <c r="B3730" s="1" t="str">
        <f>IFERROR(__xludf.DUMMYFUNCTION("""COMPUTED_VALUE"""),"HS")</f>
        <v>HS</v>
      </c>
    </row>
    <row r="3731" ht="15.75" customHeight="1">
      <c r="A3731" s="1" t="str">
        <f>IFERROR(__xludf.DUMMYFUNCTION("""COMPUTED_VALUE"""),"Alisa Moseichuk")</f>
        <v>Alisa Moseichuk</v>
      </c>
      <c r="B3731" s="1" t="str">
        <f>IFERROR(__xludf.DUMMYFUNCTION("""COMPUTED_VALUE"""),"HS")</f>
        <v>HS</v>
      </c>
    </row>
    <row r="3732" ht="15.75" customHeight="1">
      <c r="A3732" s="1" t="str">
        <f>IFERROR(__xludf.DUMMYFUNCTION("""COMPUTED_VALUE"""),"Dmytro Kakurin")</f>
        <v>Dmytro Kakurin</v>
      </c>
      <c r="B3732" s="1" t="str">
        <f>IFERROR(__xludf.DUMMYFUNCTION("""COMPUTED_VALUE"""),"MS")</f>
        <v>MS</v>
      </c>
    </row>
    <row r="3733" ht="15.75" customHeight="1">
      <c r="A3733" s="1" t="str">
        <f>IFERROR(__xludf.DUMMYFUNCTION("""COMPUTED_VALUE"""),"Biro agnes")</f>
        <v>Biro agnes</v>
      </c>
      <c r="B3733" s="1" t="str">
        <f>IFERROR(__xludf.DUMMYFUNCTION("""COMPUTED_VALUE"""),"L2")</f>
        <v>L2</v>
      </c>
    </row>
    <row r="3734" ht="15.75" customHeight="1">
      <c r="A3734" s="1" t="str">
        <f>IFERROR(__xludf.DUMMYFUNCTION("""COMPUTED_VALUE"""),"Biro Ferenc")</f>
        <v>Biro Ferenc</v>
      </c>
      <c r="B3734" s="1" t="str">
        <f>IFERROR(__xludf.DUMMYFUNCTION("""COMPUTED_VALUE"""),"L2")</f>
        <v>L2</v>
      </c>
    </row>
    <row r="3735" ht="15.75" customHeight="1">
      <c r="A3735" s="1" t="str">
        <f>IFERROR(__xludf.DUMMYFUNCTION("""COMPUTED_VALUE"""),"LOrinc Krisztina")</f>
        <v>LOrinc Krisztina</v>
      </c>
      <c r="B3735" s="1" t="str">
        <f>IFERROR(__xludf.DUMMYFUNCTION("""COMPUTED_VALUE"""),"HS")</f>
        <v>HS</v>
      </c>
    </row>
    <row r="3736" ht="15.75" customHeight="1">
      <c r="A3736" s="1" t="str">
        <f>IFERROR(__xludf.DUMMYFUNCTION("""COMPUTED_VALUE"""),"Percsi Anna")</f>
        <v>Percsi Anna</v>
      </c>
      <c r="B3736" s="1" t="str">
        <f>IFERROR(__xludf.DUMMYFUNCTION("""COMPUTED_VALUE"""),"L1")</f>
        <v>L1</v>
      </c>
    </row>
    <row r="3737" ht="15.75" customHeight="1">
      <c r="A3737" s="1" t="str">
        <f>IFERROR(__xludf.DUMMYFUNCTION("""COMPUTED_VALUE"""),"Kucik Izabella")</f>
        <v>Kucik Izabella</v>
      </c>
      <c r="B3737" s="1" t="str">
        <f>IFERROR(__xludf.DUMMYFUNCTION("""COMPUTED_VALUE"""),"MS")</f>
        <v>MS</v>
      </c>
    </row>
    <row r="3738" ht="15.75" customHeight="1">
      <c r="A3738" s="1" t="str">
        <f>IFERROR(__xludf.DUMMYFUNCTION("""COMPUTED_VALUE"""),"Budahazi ArtUr")</f>
        <v>Budahazi ArtUr</v>
      </c>
      <c r="B3738" s="1" t="str">
        <f>IFERROR(__xludf.DUMMYFUNCTION("""COMPUTED_VALUE"""),"MS")</f>
        <v>MS</v>
      </c>
    </row>
    <row r="3739" ht="15.75" customHeight="1">
      <c r="A3739" s="1" t="str">
        <f>IFERROR(__xludf.DUMMYFUNCTION("""COMPUTED_VALUE"""),"Bak David")</f>
        <v>Bak David</v>
      </c>
      <c r="B3739" s="1" t="str">
        <f>IFERROR(__xludf.DUMMYFUNCTION("""COMPUTED_VALUE"""),"MS")</f>
        <v>MS</v>
      </c>
    </row>
    <row r="3740" ht="15.75" customHeight="1">
      <c r="A3740" s="1" t="str">
        <f>IFERROR(__xludf.DUMMYFUNCTION("""COMPUTED_VALUE"""),"Ruslan Mustafaiev")</f>
        <v>Ruslan Mustafaiev</v>
      </c>
      <c r="B3740" s="1" t="str">
        <f>IFERROR(__xludf.DUMMYFUNCTION("""COMPUTED_VALUE"""),"L1")</f>
        <v>L1</v>
      </c>
    </row>
    <row r="3741" ht="15.75" customHeight="1">
      <c r="A3741" s="1" t="str">
        <f>IFERROR(__xludf.DUMMYFUNCTION("""COMPUTED_VALUE"""),"Bak Jazmin")</f>
        <v>Bak Jazmin</v>
      </c>
      <c r="B3741" s="1" t="str">
        <f>IFERROR(__xludf.DUMMYFUNCTION("""COMPUTED_VALUE"""),"HS")</f>
        <v>HS</v>
      </c>
    </row>
    <row r="3742" ht="15.75" customHeight="1">
      <c r="A3742" s="1" t="str">
        <f>IFERROR(__xludf.DUMMYFUNCTION("""COMPUTED_VALUE"""),"Szucs Annamaria")</f>
        <v>Szucs Annamaria</v>
      </c>
      <c r="B3742" s="1" t="str">
        <f>IFERROR(__xludf.DUMMYFUNCTION("""COMPUTED_VALUE"""),"HS")</f>
        <v>HS</v>
      </c>
    </row>
    <row r="3743" ht="15.75" customHeight="1">
      <c r="A3743" s="1" t="str">
        <f>IFERROR(__xludf.DUMMYFUNCTION("""COMPUTED_VALUE"""),"Szucs Peter")</f>
        <v>Szucs Peter</v>
      </c>
      <c r="B3743" s="1" t="str">
        <f>IFERROR(__xludf.DUMMYFUNCTION("""COMPUTED_VALUE"""),"MS")</f>
        <v>MS</v>
      </c>
    </row>
    <row r="3744" ht="15.75" customHeight="1">
      <c r="A3744" s="1" t="str">
        <f>IFERROR(__xludf.DUMMYFUNCTION("""COMPUTED_VALUE"""),"Balogh akos")</f>
        <v>Balogh akos</v>
      </c>
      <c r="B3744" s="1" t="str">
        <f>IFERROR(__xludf.DUMMYFUNCTION("""COMPUTED_VALUE"""),"MS")</f>
        <v>MS</v>
      </c>
    </row>
    <row r="3745" ht="15.75" customHeight="1">
      <c r="A3745" s="1" t="str">
        <f>IFERROR(__xludf.DUMMYFUNCTION("""COMPUTED_VALUE"""),"Suta Boglarka")</f>
        <v>Suta Boglarka</v>
      </c>
      <c r="B3745" s="1" t="str">
        <f>IFERROR(__xludf.DUMMYFUNCTION("""COMPUTED_VALUE"""),"MS")</f>
        <v>MS</v>
      </c>
    </row>
    <row r="3746" ht="15.75" customHeight="1">
      <c r="A3746" s="1" t="str">
        <f>IFERROR(__xludf.DUMMYFUNCTION("""COMPUTED_VALUE"""),"Bereczky Tamas")</f>
        <v>Bereczky Tamas</v>
      </c>
      <c r="B3746" s="1" t="str">
        <f>IFERROR(__xludf.DUMMYFUNCTION("""COMPUTED_VALUE"""),"HS")</f>
        <v>HS</v>
      </c>
    </row>
    <row r="3747" ht="15.75" customHeight="1">
      <c r="A3747" s="1" t="str">
        <f>IFERROR(__xludf.DUMMYFUNCTION("""COMPUTED_VALUE"""),"Pal Teofil")</f>
        <v>Pal Teofil</v>
      </c>
      <c r="B3747" s="1" t="str">
        <f>IFERROR(__xludf.DUMMYFUNCTION("""COMPUTED_VALUE"""),"HS")</f>
        <v>HS</v>
      </c>
    </row>
    <row r="3748" ht="15.75" customHeight="1">
      <c r="A3748" s="1" t="str">
        <f>IFERROR(__xludf.DUMMYFUNCTION("""COMPUTED_VALUE"""),"Pal Abigel")</f>
        <v>Pal Abigel</v>
      </c>
      <c r="B3748" s="1" t="str">
        <f>IFERROR(__xludf.DUMMYFUNCTION("""COMPUTED_VALUE"""),"MS")</f>
        <v>MS</v>
      </c>
    </row>
    <row r="3749" ht="15.75" customHeight="1">
      <c r="A3749" s="1" t="str">
        <f>IFERROR(__xludf.DUMMYFUNCTION("""COMPUTED_VALUE"""),"Dzsaszem Fatima")</f>
        <v>Dzsaszem Fatima</v>
      </c>
      <c r="B3749" s="1" t="str">
        <f>IFERROR(__xludf.DUMMYFUNCTION("""COMPUTED_VALUE"""),"HS")</f>
        <v>HS</v>
      </c>
    </row>
    <row r="3750" ht="15.75" customHeight="1">
      <c r="A3750" s="1" t="str">
        <f>IFERROR(__xludf.DUMMYFUNCTION("""COMPUTED_VALUE"""),"Csirpak Kristof")</f>
        <v>Csirpak Kristof</v>
      </c>
      <c r="B3750" s="1" t="str">
        <f>IFERROR(__xludf.DUMMYFUNCTION("""COMPUTED_VALUE"""),"MS")</f>
        <v>MS</v>
      </c>
    </row>
    <row r="3751" ht="15.75" customHeight="1">
      <c r="A3751" s="1" t="str">
        <f>IFERROR(__xludf.DUMMYFUNCTION("""COMPUTED_VALUE"""),"Milan Vamos")</f>
        <v>Milan Vamos</v>
      </c>
      <c r="B3751" s="1" t="str">
        <f>IFERROR(__xludf.DUMMYFUNCTION("""COMPUTED_VALUE"""),"MS")</f>
        <v>MS</v>
      </c>
    </row>
    <row r="3752" ht="15.75" customHeight="1">
      <c r="A3752" s="1" t="str">
        <f>IFERROR(__xludf.DUMMYFUNCTION("""COMPUTED_VALUE"""),"Vashkeba David")</f>
        <v>Vashkeba David</v>
      </c>
      <c r="B3752" s="1" t="str">
        <f>IFERROR(__xludf.DUMMYFUNCTION("""COMPUTED_VALUE"""),"MS")</f>
        <v>MS</v>
      </c>
    </row>
    <row r="3753" ht="15.75" customHeight="1">
      <c r="A3753" s="1" t="str">
        <f>IFERROR(__xludf.DUMMYFUNCTION("""COMPUTED_VALUE"""),"Yelyzaveta Yakymchuk")</f>
        <v>Yelyzaveta Yakymchuk</v>
      </c>
      <c r="B3753" s="1" t="str">
        <f>IFERROR(__xludf.DUMMYFUNCTION("""COMPUTED_VALUE"""),"L1")</f>
        <v>L1</v>
      </c>
    </row>
    <row r="3754" ht="15.75" customHeight="1">
      <c r="A3754" s="1" t="str">
        <f>IFERROR(__xludf.DUMMYFUNCTION("""COMPUTED_VALUE"""),"Mark Lepshokov")</f>
        <v>Mark Lepshokov</v>
      </c>
      <c r="B3754" s="1" t="str">
        <f>IFERROR(__xludf.DUMMYFUNCTION("""COMPUTED_VALUE"""),"L1")</f>
        <v>L1</v>
      </c>
    </row>
    <row r="3755" ht="15.75" customHeight="1">
      <c r="A3755" s="1" t="str">
        <f>IFERROR(__xludf.DUMMYFUNCTION("""COMPUTED_VALUE"""),"Ustym Babych")</f>
        <v>Ustym Babych</v>
      </c>
      <c r="B3755" s="1" t="str">
        <f>IFERROR(__xludf.DUMMYFUNCTION("""COMPUTED_VALUE"""),"MS")</f>
        <v>MS</v>
      </c>
    </row>
    <row r="3756" ht="15.75" customHeight="1">
      <c r="A3756" s="1" t="str">
        <f>IFERROR(__xludf.DUMMYFUNCTION("""COMPUTED_VALUE"""),"Anna Andriichuk")</f>
        <v>Anna Andriichuk</v>
      </c>
      <c r="B3756" s="1" t="str">
        <f>IFERROR(__xludf.DUMMYFUNCTION("""COMPUTED_VALUE"""),"MS")</f>
        <v>MS</v>
      </c>
    </row>
    <row r="3757" ht="15.75" customHeight="1">
      <c r="A3757" s="1" t="str">
        <f>IFERROR(__xludf.DUMMYFUNCTION("""COMPUTED_VALUE"""),"Kirill Kasianenko")</f>
        <v>Kirill Kasianenko</v>
      </c>
      <c r="B3757" s="1" t="str">
        <f>IFERROR(__xludf.DUMMYFUNCTION("""COMPUTED_VALUE"""),"MS")</f>
        <v>MS</v>
      </c>
    </row>
    <row r="3758" ht="15.75" customHeight="1">
      <c r="A3758" s="1" t="str">
        <f>IFERROR(__xludf.DUMMYFUNCTION("""COMPUTED_VALUE"""),"Olha Kovalenko")</f>
        <v>Olha Kovalenko</v>
      </c>
      <c r="B3758" s="1" t="str">
        <f>IFERROR(__xludf.DUMMYFUNCTION("""COMPUTED_VALUE"""),"L1")</f>
        <v>L1</v>
      </c>
    </row>
    <row r="3759" ht="15.75" customHeight="1">
      <c r="A3759" s="1" t="str">
        <f>IFERROR(__xludf.DUMMYFUNCTION("""COMPUTED_VALUE"""),"Daniel Lisiutkin")</f>
        <v>Daniel Lisiutkin</v>
      </c>
      <c r="B3759" s="1" t="str">
        <f>IFERROR(__xludf.DUMMYFUNCTION("""COMPUTED_VALUE"""),"L1")</f>
        <v>L1</v>
      </c>
    </row>
    <row r="3760" ht="15.75" customHeight="1">
      <c r="A3760" s="1" t="str">
        <f>IFERROR(__xludf.DUMMYFUNCTION("""COMPUTED_VALUE"""),"Antonina Dzyhar")</f>
        <v>Antonina Dzyhar</v>
      </c>
      <c r="B3760" s="1" t="str">
        <f>IFERROR(__xludf.DUMMYFUNCTION("""COMPUTED_VALUE"""),"L1")</f>
        <v>L1</v>
      </c>
    </row>
    <row r="3761" ht="15.75" customHeight="1">
      <c r="A3761" s="1" t="str">
        <f>IFERROR(__xludf.DUMMYFUNCTION("""COMPUTED_VALUE"""),"Mariia Torpitko")</f>
        <v>Mariia Torpitko</v>
      </c>
      <c r="B3761" s="1" t="str">
        <f>IFERROR(__xludf.DUMMYFUNCTION("""COMPUTED_VALUE"""),"HS")</f>
        <v>HS</v>
      </c>
    </row>
    <row r="3762" ht="15.75" customHeight="1">
      <c r="A3762" s="1" t="str">
        <f>IFERROR(__xludf.DUMMYFUNCTION("""COMPUTED_VALUE"""),"Oleksandra Lisiutkina")</f>
        <v>Oleksandra Lisiutkina</v>
      </c>
      <c r="B3762" s="1" t="str">
        <f>IFERROR(__xludf.DUMMYFUNCTION("""COMPUTED_VALUE"""),"MS")</f>
        <v>MS</v>
      </c>
    </row>
    <row r="3763" ht="15.75" customHeight="1">
      <c r="A3763" s="1" t="str">
        <f>IFERROR(__xludf.DUMMYFUNCTION("""COMPUTED_VALUE"""),"Szuzanna Nagy")</f>
        <v>Szuzanna Nagy</v>
      </c>
      <c r="B3763" s="1" t="str">
        <f>IFERROR(__xludf.DUMMYFUNCTION("""COMPUTED_VALUE"""),"L2")</f>
        <v>L2</v>
      </c>
    </row>
    <row r="3764" ht="15.75" customHeight="1">
      <c r="A3764" s="1" t="str">
        <f>IFERROR(__xludf.DUMMYFUNCTION("""COMPUTED_VALUE"""),"Bogdan Kharlynskyi")</f>
        <v>Bogdan Kharlynskyi</v>
      </c>
      <c r="B3764" s="1" t="str">
        <f>IFERROR(__xludf.DUMMYFUNCTION("""COMPUTED_VALUE"""),"HS")</f>
        <v>HS</v>
      </c>
    </row>
    <row r="3765" ht="15.75" customHeight="1">
      <c r="A3765" s="1" t="str">
        <f>IFERROR(__xludf.DUMMYFUNCTION("""COMPUTED_VALUE"""),"Maksym Zhyhin")</f>
        <v>Maksym Zhyhin</v>
      </c>
      <c r="B3765" s="1" t="str">
        <f>IFERROR(__xludf.DUMMYFUNCTION("""COMPUTED_VALUE"""),"MS")</f>
        <v>MS</v>
      </c>
    </row>
    <row r="3766" ht="15.75" customHeight="1">
      <c r="A3766" s="1" t="str">
        <f>IFERROR(__xludf.DUMMYFUNCTION("""COMPUTED_VALUE"""),"Nikita Bosenko")</f>
        <v>Nikita Bosenko</v>
      </c>
      <c r="B3766" s="1" t="str">
        <f>IFERROR(__xludf.DUMMYFUNCTION("""COMPUTED_VALUE"""),"MS")</f>
        <v>MS</v>
      </c>
    </row>
    <row r="3767" ht="15.75" customHeight="1">
      <c r="A3767" s="1" t="str">
        <f>IFERROR(__xludf.DUMMYFUNCTION("""COMPUTED_VALUE"""),"Milan Marosi")</f>
        <v>Milan Marosi</v>
      </c>
      <c r="B3767" s="1" t="str">
        <f>IFERROR(__xludf.DUMMYFUNCTION("""COMPUTED_VALUE"""),"HS")</f>
        <v>HS</v>
      </c>
    </row>
    <row r="3768" ht="15.75" customHeight="1">
      <c r="A3768" s="1" t="str">
        <f>IFERROR(__xludf.DUMMYFUNCTION("""COMPUTED_VALUE"""),"Maxim Moldavcsuk")</f>
        <v>Maxim Moldavcsuk</v>
      </c>
      <c r="B3768" s="1" t="str">
        <f>IFERROR(__xludf.DUMMYFUNCTION("""COMPUTED_VALUE"""),"MS")</f>
        <v>MS</v>
      </c>
    </row>
    <row r="3769" ht="15.75" customHeight="1">
      <c r="A3769" s="1" t="str">
        <f>IFERROR(__xludf.DUMMYFUNCTION("""COMPUTED_VALUE"""),"Dmytro Rechenskyi")</f>
        <v>Dmytro Rechenskyi</v>
      </c>
      <c r="B3769" s="1" t="str">
        <f>IFERROR(__xludf.DUMMYFUNCTION("""COMPUTED_VALUE"""),"L2")</f>
        <v>L2</v>
      </c>
    </row>
    <row r="3770" ht="15.75" customHeight="1">
      <c r="A3770" s="1" t="str">
        <f>IFERROR(__xludf.DUMMYFUNCTION("""COMPUTED_VALUE"""),"Denys Sani P")</f>
        <v>Denys Sani P</v>
      </c>
      <c r="B3770" s="1" t="str">
        <f>IFERROR(__xludf.DUMMYFUNCTION("""COMPUTED_VALUE"""),"L2")</f>
        <v>L2</v>
      </c>
    </row>
    <row r="3771" ht="15.75" customHeight="1">
      <c r="A3771" s="1" t="str">
        <f>IFERROR(__xludf.DUMMYFUNCTION("""COMPUTED_VALUE"""),"Daria Bielaia")</f>
        <v>Daria Bielaia</v>
      </c>
      <c r="B3771" s="1" t="str">
        <f>IFERROR(__xludf.DUMMYFUNCTION("""COMPUTED_VALUE"""),"L2")</f>
        <v>L2</v>
      </c>
    </row>
    <row r="3772" ht="15.75" customHeight="1">
      <c r="A3772" s="1" t="str">
        <f>IFERROR(__xludf.DUMMYFUNCTION("""COMPUTED_VALUE"""),"Vladyslav Bielyi")</f>
        <v>Vladyslav Bielyi</v>
      </c>
      <c r="B3772" s="1" t="str">
        <f>IFERROR(__xludf.DUMMYFUNCTION("""COMPUTED_VALUE"""),"MS")</f>
        <v>MS</v>
      </c>
    </row>
    <row r="3773" ht="15.75" customHeight="1">
      <c r="A3773" s="1" t="str">
        <f>IFERROR(__xludf.DUMMYFUNCTION("""COMPUTED_VALUE"""),"Maria Balog")</f>
        <v>Maria Balog</v>
      </c>
      <c r="B3773" s="1" t="str">
        <f>IFERROR(__xludf.DUMMYFUNCTION("""COMPUTED_VALUE"""),"MS")</f>
        <v>MS</v>
      </c>
    </row>
    <row r="3774" ht="15.75" customHeight="1">
      <c r="A3774" s="1" t="str">
        <f>IFERROR(__xludf.DUMMYFUNCTION("""COMPUTED_VALUE"""),"Dominik Karaslai")</f>
        <v>Dominik Karaslai</v>
      </c>
      <c r="B3774" s="1" t="str">
        <f>IFERROR(__xludf.DUMMYFUNCTION("""COMPUTED_VALUE"""),"HS")</f>
        <v>HS</v>
      </c>
    </row>
    <row r="3775" ht="15.75" customHeight="1">
      <c r="A3775" s="1" t="str">
        <f>IFERROR(__xludf.DUMMYFUNCTION("""COMPUTED_VALUE"""),"Shimon Abel")</f>
        <v>Shimon Abel</v>
      </c>
      <c r="B3775" s="1" t="str">
        <f>IFERROR(__xludf.DUMMYFUNCTION("""COMPUTED_VALUE"""),"MS")</f>
        <v>MS</v>
      </c>
    </row>
    <row r="3776" ht="15.75" customHeight="1">
      <c r="A3776" s="1" t="str">
        <f>IFERROR(__xludf.DUMMYFUNCTION("""COMPUTED_VALUE"""),"Arina Kustova")</f>
        <v>Arina Kustova</v>
      </c>
      <c r="B3776" s="1" t="str">
        <f>IFERROR(__xludf.DUMMYFUNCTION("""COMPUTED_VALUE"""),"L1")</f>
        <v>L1</v>
      </c>
    </row>
    <row r="3777" ht="15.75" customHeight="1">
      <c r="A3777" s="1" t="str">
        <f>IFERROR(__xludf.DUMMYFUNCTION("""COMPUTED_VALUE"""),"Karpenko Viktoriia")</f>
        <v>Karpenko Viktoriia</v>
      </c>
      <c r="B3777" s="1" t="str">
        <f>IFERROR(__xludf.DUMMYFUNCTION("""COMPUTED_VALUE"""),"MS")</f>
        <v>MS</v>
      </c>
    </row>
    <row r="3778" ht="15.75" customHeight="1">
      <c r="A3778" s="1" t="str">
        <f>IFERROR(__xludf.DUMMYFUNCTION("""COMPUTED_VALUE"""),"Kristóf Liliana")</f>
        <v>Kristóf Liliana</v>
      </c>
      <c r="B3778" s="1" t="str">
        <f>IFERROR(__xludf.DUMMYFUNCTION("""COMPUTED_VALUE"""),"L2")</f>
        <v>L2</v>
      </c>
    </row>
    <row r="3779" ht="15.75" customHeight="1">
      <c r="A3779" s="1" t="str">
        <f>IFERROR(__xludf.DUMMYFUNCTION("""COMPUTED_VALUE"""),"Zoltan Birov")</f>
        <v>Zoltan Birov</v>
      </c>
      <c r="B3779" s="1" t="str">
        <f>IFERROR(__xludf.DUMMYFUNCTION("""COMPUTED_VALUE"""),"MS")</f>
        <v>MS</v>
      </c>
    </row>
    <row r="3780" ht="15.75" customHeight="1">
      <c r="A3780" s="1" t="str">
        <f>IFERROR(__xludf.DUMMYFUNCTION("""COMPUTED_VALUE"""),"Dominik Turzai")</f>
        <v>Dominik Turzai</v>
      </c>
      <c r="B3780" s="1" t="str">
        <f>IFERROR(__xludf.DUMMYFUNCTION("""COMPUTED_VALUE"""),"MS")</f>
        <v>MS</v>
      </c>
    </row>
    <row r="3781" ht="15.75" customHeight="1">
      <c r="A3781" s="1" t="str">
        <f>IFERROR(__xludf.DUMMYFUNCTION("""COMPUTED_VALUE"""),"Nesterenko Diana")</f>
        <v>Nesterenko Diana</v>
      </c>
      <c r="B3781" s="1" t="str">
        <f>IFERROR(__xludf.DUMMYFUNCTION("""COMPUTED_VALUE"""),"L2")</f>
        <v>L2</v>
      </c>
    </row>
    <row r="3782" ht="15.75" customHeight="1">
      <c r="A3782" s="1" t="str">
        <f>IFERROR(__xludf.DUMMYFUNCTION("""COMPUTED_VALUE"""),"Erik Kodobocz")</f>
        <v>Erik Kodobocz</v>
      </c>
      <c r="B3782" s="1" t="str">
        <f>IFERROR(__xludf.DUMMYFUNCTION("""COMPUTED_VALUE"""),"HS")</f>
        <v>HS</v>
      </c>
    </row>
    <row r="3783" ht="15.75" customHeight="1">
      <c r="A3783" s="1" t="str">
        <f>IFERROR(__xludf.DUMMYFUNCTION("""COMPUTED_VALUE"""),"Smahliuk Mykhailo")</f>
        <v>Smahliuk Mykhailo</v>
      </c>
      <c r="B3783" s="1" t="str">
        <f>IFERROR(__xludf.DUMMYFUNCTION("""COMPUTED_VALUE"""),"HS")</f>
        <v>HS</v>
      </c>
    </row>
    <row r="3784" ht="15.75" customHeight="1">
      <c r="A3784" s="1" t="str">
        <f>IFERROR(__xludf.DUMMYFUNCTION("""COMPUTED_VALUE"""),"Anabella Shestak")</f>
        <v>Anabella Shestak</v>
      </c>
      <c r="B3784" s="1" t="str">
        <f>IFERROR(__xludf.DUMMYFUNCTION("""COMPUTED_VALUE"""),"L2")</f>
        <v>L2</v>
      </c>
    </row>
    <row r="3785" ht="15.75" customHeight="1">
      <c r="A3785" s="1" t="str">
        <f>IFERROR(__xludf.DUMMYFUNCTION("""COMPUTED_VALUE"""),"Oleksandr Kuzenko")</f>
        <v>Oleksandr Kuzenko</v>
      </c>
      <c r="B3785" s="1" t="str">
        <f>IFERROR(__xludf.DUMMYFUNCTION("""COMPUTED_VALUE"""),"HS")</f>
        <v>HS</v>
      </c>
    </row>
    <row r="3786" ht="15.75" customHeight="1">
      <c r="A3786" s="1" t="str">
        <f>IFERROR(__xludf.DUMMYFUNCTION("""COMPUTED_VALUE"""),"Maksym Storozhuk")</f>
        <v>Maksym Storozhuk</v>
      </c>
      <c r="B3786" s="1" t="str">
        <f>IFERROR(__xludf.DUMMYFUNCTION("""COMPUTED_VALUE"""),"L1")</f>
        <v>L1</v>
      </c>
    </row>
    <row r="3787" ht="15.75" customHeight="1">
      <c r="A3787" s="1" t="str">
        <f>IFERROR(__xludf.DUMMYFUNCTION("""COMPUTED_VALUE"""),"Danyil Buzian")</f>
        <v>Danyil Buzian</v>
      </c>
      <c r="B3787" s="1" t="str">
        <f>IFERROR(__xludf.DUMMYFUNCTION("""COMPUTED_VALUE"""),"L1")</f>
        <v>L1</v>
      </c>
    </row>
    <row r="3788" ht="15.75" customHeight="1">
      <c r="A3788" s="1" t="str">
        <f>IFERROR(__xludf.DUMMYFUNCTION("""COMPUTED_VALUE"""),"Mykhailo Storozhuk")</f>
        <v>Mykhailo Storozhuk</v>
      </c>
      <c r="B3788" s="1" t="str">
        <f>IFERROR(__xludf.DUMMYFUNCTION("""COMPUTED_VALUE"""),"MS")</f>
        <v>MS</v>
      </c>
    </row>
    <row r="3789" ht="15.75" customHeight="1">
      <c r="A3789" s="1" t="str">
        <f>IFERROR(__xludf.DUMMYFUNCTION("""COMPUTED_VALUE"""),"Vudvodova Ulianna")</f>
        <v>Vudvodova Ulianna</v>
      </c>
      <c r="B3789" s="1" t="str">
        <f>IFERROR(__xludf.DUMMYFUNCTION("""COMPUTED_VALUE"""),"MS")</f>
        <v>MS</v>
      </c>
    </row>
    <row r="3790" ht="15.75" customHeight="1">
      <c r="A3790" s="1" t="str">
        <f>IFERROR(__xludf.DUMMYFUNCTION("""COMPUTED_VALUE"""),"Inna DʼIachenko")</f>
        <v>Inna DʼIachenko</v>
      </c>
      <c r="B3790" s="1" t="str">
        <f>IFERROR(__xludf.DUMMYFUNCTION("""COMPUTED_VALUE"""),"L2")</f>
        <v>L2</v>
      </c>
    </row>
    <row r="3791" ht="15.75" customHeight="1">
      <c r="A3791" s="1" t="str">
        <f>IFERROR(__xludf.DUMMYFUNCTION("""COMPUTED_VALUE"""),"Xeniia Kolodiazhna")</f>
        <v>Xeniia Kolodiazhna</v>
      </c>
      <c r="B3791" s="1" t="str">
        <f>IFERROR(__xludf.DUMMYFUNCTION("""COMPUTED_VALUE"""),"LL")</f>
        <v>LL</v>
      </c>
    </row>
    <row r="3792" ht="15.75" customHeight="1">
      <c r="A3792" s="1" t="str">
        <f>IFERROR(__xludf.DUMMYFUNCTION("""COMPUTED_VALUE"""),"Viktoria Shopa")</f>
        <v>Viktoria Shopa</v>
      </c>
      <c r="B3792" s="1" t="str">
        <f>IFERROR(__xludf.DUMMYFUNCTION("""COMPUTED_VALUE"""),"L1")</f>
        <v>L1</v>
      </c>
    </row>
    <row r="3793" ht="15.75" customHeight="1">
      <c r="A3793" s="1" t="str">
        <f>IFERROR(__xludf.DUMMYFUNCTION("""COMPUTED_VALUE"""),"Anna Serheniuk")</f>
        <v>Anna Serheniuk</v>
      </c>
      <c r="B3793" s="1" t="str">
        <f>IFERROR(__xludf.DUMMYFUNCTION("""COMPUTED_VALUE"""),"L2")</f>
        <v>L2</v>
      </c>
    </row>
    <row r="3794" ht="15.75" customHeight="1">
      <c r="A3794" s="1" t="str">
        <f>IFERROR(__xludf.DUMMYFUNCTION("""COMPUTED_VALUE"""),"Mokar Amanda")</f>
        <v>Mokar Amanda</v>
      </c>
      <c r="B3794" s="1" t="str">
        <f>IFERROR(__xludf.DUMMYFUNCTION("""COMPUTED_VALUE"""),"MS")</f>
        <v>MS</v>
      </c>
    </row>
    <row r="3795" ht="15.75" customHeight="1">
      <c r="A3795" s="1" t="str">
        <f>IFERROR(__xludf.DUMMYFUNCTION("""COMPUTED_VALUE"""),"Nikita Sabluk")</f>
        <v>Nikita Sabluk</v>
      </c>
      <c r="B3795" s="1" t="str">
        <f>IFERROR(__xludf.DUMMYFUNCTION("""COMPUTED_VALUE"""),"L2")</f>
        <v>L2</v>
      </c>
    </row>
    <row r="3796" ht="15.75" customHeight="1">
      <c r="A3796" s="1" t="str">
        <f>IFERROR(__xludf.DUMMYFUNCTION("""COMPUTED_VALUE"""),"Noel Komari")</f>
        <v>Noel Komari</v>
      </c>
      <c r="B3796" s="1" t="str">
        <f>IFERROR(__xludf.DUMMYFUNCTION("""COMPUTED_VALUE"""),"MS")</f>
        <v>MS</v>
      </c>
    </row>
    <row r="3797" ht="15.75" customHeight="1">
      <c r="A3797" s="1" t="str">
        <f>IFERROR(__xludf.DUMMYFUNCTION("""COMPUTED_VALUE"""),"Petra Pevse")</f>
        <v>Petra Pevse</v>
      </c>
      <c r="B3797" s="1" t="str">
        <f>IFERROR(__xludf.DUMMYFUNCTION("""COMPUTED_VALUE"""),"MS")</f>
        <v>MS</v>
      </c>
    </row>
    <row r="3798" ht="15.75" customHeight="1">
      <c r="A3798" s="1" t="str">
        <f>IFERROR(__xludf.DUMMYFUNCTION("""COMPUTED_VALUE"""),"Solohub Danylo")</f>
        <v>Solohub Danylo</v>
      </c>
      <c r="B3798" s="1" t="str">
        <f>IFERROR(__xludf.DUMMYFUNCTION("""COMPUTED_VALUE"""),"L1")</f>
        <v>L1</v>
      </c>
    </row>
    <row r="3799" ht="15.75" customHeight="1">
      <c r="A3799" s="1" t="str">
        <f>IFERROR(__xludf.DUMMYFUNCTION("""COMPUTED_VALUE"""),"Erik Holovach")</f>
        <v>Erik Holovach</v>
      </c>
      <c r="B3799" s="1" t="str">
        <f>IFERROR(__xludf.DUMMYFUNCTION("""COMPUTED_VALUE"""),"L2")</f>
        <v>L2</v>
      </c>
    </row>
    <row r="3800" ht="15.75" customHeight="1">
      <c r="A3800" s="1" t="str">
        <f>IFERROR(__xludf.DUMMYFUNCTION("""COMPUTED_VALUE"""),"Vladyslava Mokan")</f>
        <v>Vladyslava Mokan</v>
      </c>
      <c r="B3800" s="1" t="str">
        <f>IFERROR(__xludf.DUMMYFUNCTION("""COMPUTED_VALUE"""),"HS")</f>
        <v>HS</v>
      </c>
    </row>
    <row r="3801" ht="15.75" customHeight="1">
      <c r="A3801" s="1" t="str">
        <f>IFERROR(__xludf.DUMMYFUNCTION("""COMPUTED_VALUE"""),"Yevhen Lazko")</f>
        <v>Yevhen Lazko</v>
      </c>
      <c r="B3801" s="1" t="str">
        <f>IFERROR(__xludf.DUMMYFUNCTION("""COMPUTED_VALUE"""),"LL")</f>
        <v>LL</v>
      </c>
    </row>
    <row r="3802" ht="15.75" customHeight="1">
      <c r="A3802" s="1" t="str">
        <f>IFERROR(__xludf.DUMMYFUNCTION("""COMPUTED_VALUE"""),"Makar Lemesh")</f>
        <v>Makar Lemesh</v>
      </c>
      <c r="B3802" s="1" t="str">
        <f>IFERROR(__xludf.DUMMYFUNCTION("""COMPUTED_VALUE"""),"HS")</f>
        <v>HS</v>
      </c>
    </row>
    <row r="3803" ht="15.75" customHeight="1">
      <c r="A3803" s="1" t="str">
        <f>IFERROR(__xludf.DUMMYFUNCTION("""COMPUTED_VALUE"""),"Sofiia Chaban")</f>
        <v>Sofiia Chaban</v>
      </c>
      <c r="B3803" s="1" t="str">
        <f>IFERROR(__xludf.DUMMYFUNCTION("""COMPUTED_VALUE"""),"L1")</f>
        <v>L1</v>
      </c>
    </row>
    <row r="3804" ht="15.75" customHeight="1">
      <c r="A3804" s="1" t="str">
        <f>IFERROR(__xludf.DUMMYFUNCTION("""COMPUTED_VALUE"""),"Tymofii DʼIachenko")</f>
        <v>Tymofii DʼIachenko</v>
      </c>
      <c r="B3804" s="1" t="str">
        <f>IFERROR(__xludf.DUMMYFUNCTION("""COMPUTED_VALUE"""),"MS")</f>
        <v>MS</v>
      </c>
    </row>
    <row r="3805" ht="15.75" customHeight="1">
      <c r="A3805" s="1" t="str">
        <f>IFERROR(__xludf.DUMMYFUNCTION("""COMPUTED_VALUE"""),"Viktor Moroz")</f>
        <v>Viktor Moroz</v>
      </c>
      <c r="B3805" s="1" t="str">
        <f>IFERROR(__xludf.DUMMYFUNCTION("""COMPUTED_VALUE"""),"HS")</f>
        <v>HS</v>
      </c>
    </row>
    <row r="3806" ht="15.75" customHeight="1">
      <c r="A3806" s="1" t="str">
        <f>IFERROR(__xludf.DUMMYFUNCTION("""COMPUTED_VALUE"""),"Bela Holovach")</f>
        <v>Bela Holovach</v>
      </c>
      <c r="B3806" s="1" t="str">
        <f>IFERROR(__xludf.DUMMYFUNCTION("""COMPUTED_VALUE"""),"HS")</f>
        <v>HS</v>
      </c>
    </row>
    <row r="3807" ht="15.75" customHeight="1">
      <c r="A3807" s="1" t="str">
        <f>IFERROR(__xludf.DUMMYFUNCTION("""COMPUTED_VALUE"""),"Matvii Lukasevych")</f>
        <v>Matvii Lukasevych</v>
      </c>
      <c r="B3807" s="1" t="str">
        <f>IFERROR(__xludf.DUMMYFUNCTION("""COMPUTED_VALUE"""),"L1")</f>
        <v>L1</v>
      </c>
    </row>
    <row r="3808" ht="15.75" customHeight="1">
      <c r="A3808" s="1" t="str">
        <f>IFERROR(__xludf.DUMMYFUNCTION("""COMPUTED_VALUE"""),"Tovt Sofiia Yeva")</f>
        <v>Tovt Sofiia Yeva</v>
      </c>
      <c r="B3808" s="1" t="str">
        <f>IFERROR(__xludf.DUMMYFUNCTION("""COMPUTED_VALUE"""),"HS")</f>
        <v>HS</v>
      </c>
    </row>
    <row r="3809" ht="15.75" customHeight="1">
      <c r="A3809" s="1" t="str">
        <f>IFERROR(__xludf.DUMMYFUNCTION("""COMPUTED_VALUE"""),"Barbara Bunina")</f>
        <v>Barbara Bunina</v>
      </c>
      <c r="B3809" s="1" t="str">
        <f>IFERROR(__xludf.DUMMYFUNCTION("""COMPUTED_VALUE"""),"HS")</f>
        <v>HS</v>
      </c>
    </row>
    <row r="3810" ht="15.75" customHeight="1">
      <c r="A3810" s="1" t="str">
        <f>IFERROR(__xludf.DUMMYFUNCTION("""COMPUTED_VALUE"""),"Marton Babych")</f>
        <v>Marton Babych</v>
      </c>
      <c r="B3810" s="1" t="str">
        <f>IFERROR(__xludf.DUMMYFUNCTION("""COMPUTED_VALUE"""),"MS")</f>
        <v>MS</v>
      </c>
    </row>
    <row r="3811" ht="15.75" customHeight="1">
      <c r="A3811" s="1" t="str">
        <f>IFERROR(__xludf.DUMMYFUNCTION("""COMPUTED_VALUE"""),"Utkalo Yana")</f>
        <v>Utkalo Yana</v>
      </c>
      <c r="B3811" s="1" t="str">
        <f>IFERROR(__xludf.DUMMYFUNCTION("""COMPUTED_VALUE"""),"L1")</f>
        <v>L1</v>
      </c>
    </row>
    <row r="3812" ht="15.75" customHeight="1">
      <c r="A3812" s="1" t="str">
        <f>IFERROR(__xludf.DUMMYFUNCTION("""COMPUTED_VALUE"""),"Maksym Kinarov")</f>
        <v>Maksym Kinarov</v>
      </c>
      <c r="B3812" s="1" t="str">
        <f>IFERROR(__xludf.DUMMYFUNCTION("""COMPUTED_VALUE"""),"HS")</f>
        <v>HS</v>
      </c>
    </row>
    <row r="3813" ht="15.75" customHeight="1">
      <c r="A3813" s="1" t="str">
        <f>IFERROR(__xludf.DUMMYFUNCTION("""COMPUTED_VALUE"""),"Illia Storozhuk")</f>
        <v>Illia Storozhuk</v>
      </c>
      <c r="B3813" s="1" t="str">
        <f>IFERROR(__xludf.DUMMYFUNCTION("""COMPUTED_VALUE"""),"MS")</f>
        <v>MS</v>
      </c>
    </row>
    <row r="3814" ht="15.75" customHeight="1">
      <c r="A3814" s="1" t="str">
        <f>IFERROR(__xludf.DUMMYFUNCTION("""COMPUTED_VALUE"""),"Sabov Yazmin")</f>
        <v>Sabov Yazmin</v>
      </c>
      <c r="B3814" s="1" t="str">
        <f>IFERROR(__xludf.DUMMYFUNCTION("""COMPUTED_VALUE"""),"L1")</f>
        <v>L1</v>
      </c>
    </row>
    <row r="3815" ht="15.75" customHeight="1">
      <c r="A3815" s="1" t="str">
        <f>IFERROR(__xludf.DUMMYFUNCTION("""COMPUTED_VALUE"""),"Roman Tkachenko")</f>
        <v>Roman Tkachenko</v>
      </c>
      <c r="B3815" s="1" t="str">
        <f>IFERROR(__xludf.DUMMYFUNCTION("""COMPUTED_VALUE"""),"MS")</f>
        <v>MS</v>
      </c>
    </row>
    <row r="3816" ht="15.75" customHeight="1">
      <c r="A3816" s="1" t="str">
        <f>IFERROR(__xludf.DUMMYFUNCTION("""COMPUTED_VALUE"""),"Martynov Viktor")</f>
        <v>Martynov Viktor</v>
      </c>
      <c r="B3816" s="1" t="str">
        <f>IFERROR(__xludf.DUMMYFUNCTION("""COMPUTED_VALUE"""),"L2")</f>
        <v>L2</v>
      </c>
    </row>
    <row r="3817" ht="15.75" customHeight="1">
      <c r="A3817" s="1" t="str">
        <f>IFERROR(__xludf.DUMMYFUNCTION("""COMPUTED_VALUE"""),"Anhelina Koldorosh")</f>
        <v>Anhelina Koldorosh</v>
      </c>
      <c r="B3817" s="1" t="str">
        <f>IFERROR(__xludf.DUMMYFUNCTION("""COMPUTED_VALUE"""),"HS")</f>
        <v>HS</v>
      </c>
    </row>
    <row r="3818" ht="15.75" customHeight="1">
      <c r="A3818" s="1" t="str">
        <f>IFERROR(__xludf.DUMMYFUNCTION("""COMPUTED_VALUE"""),"Roman Duldiier")</f>
        <v>Roman Duldiier</v>
      </c>
      <c r="B3818" s="1" t="str">
        <f>IFERROR(__xludf.DUMMYFUNCTION("""COMPUTED_VALUE"""),"MS")</f>
        <v>MS</v>
      </c>
    </row>
    <row r="3819" ht="15.75" customHeight="1">
      <c r="A3819" s="1" t="str">
        <f>IFERROR(__xludf.DUMMYFUNCTION("""COMPUTED_VALUE"""),"Vynnytskyi Arsen")</f>
        <v>Vynnytskyi Arsen</v>
      </c>
      <c r="B3819" s="1" t="str">
        <f>IFERROR(__xludf.DUMMYFUNCTION("""COMPUTED_VALUE"""),"HS")</f>
        <v>HS</v>
      </c>
    </row>
    <row r="3820" ht="15.75" customHeight="1">
      <c r="A3820" s="1" t="str">
        <f>IFERROR(__xludf.DUMMYFUNCTION("""COMPUTED_VALUE"""),"Daria Kushpil")</f>
        <v>Daria Kushpil</v>
      </c>
      <c r="B3820" s="1" t="str">
        <f>IFERROR(__xludf.DUMMYFUNCTION("""COMPUTED_VALUE"""),"MS")</f>
        <v>MS</v>
      </c>
    </row>
    <row r="3821" ht="15.75" customHeight="1">
      <c r="A3821" s="1" t="str">
        <f>IFERROR(__xludf.DUMMYFUNCTION("""COMPUTED_VALUE"""),"Martynova Nataliia")</f>
        <v>Martynova Nataliia</v>
      </c>
      <c r="B3821" s="1" t="str">
        <f>IFERROR(__xludf.DUMMYFUNCTION("""COMPUTED_VALUE"""),"MS")</f>
        <v>MS</v>
      </c>
    </row>
    <row r="3822" ht="15.75" customHeight="1">
      <c r="A3822" s="1" t="str">
        <f>IFERROR(__xludf.DUMMYFUNCTION("""COMPUTED_VALUE"""),"Nataliia Zhyha")</f>
        <v>Nataliia Zhyha</v>
      </c>
      <c r="B3822" s="1" t="str">
        <f>IFERROR(__xludf.DUMMYFUNCTION("""COMPUTED_VALUE"""),"MS")</f>
        <v>MS</v>
      </c>
    </row>
    <row r="3823" ht="15.75" customHeight="1">
      <c r="A3823" s="1" t="str">
        <f>IFERROR(__xludf.DUMMYFUNCTION("""COMPUTED_VALUE"""),"Tovt Anna")</f>
        <v>Tovt Anna</v>
      </c>
      <c r="B3823" s="1" t="str">
        <f>IFERROR(__xludf.DUMMYFUNCTION("""COMPUTED_VALUE"""),"HS")</f>
        <v>HS</v>
      </c>
    </row>
    <row r="3824" ht="15.75" customHeight="1">
      <c r="A3824" s="1" t="str">
        <f>IFERROR(__xludf.DUMMYFUNCTION("""COMPUTED_VALUE"""),"Stepan Makarenko")</f>
        <v>Stepan Makarenko</v>
      </c>
      <c r="B3824" s="1" t="str">
        <f>IFERROR(__xludf.DUMMYFUNCTION("""COMPUTED_VALUE"""),"MS")</f>
        <v>MS</v>
      </c>
    </row>
    <row r="3825" ht="15.75" customHeight="1">
      <c r="A3825" s="1" t="str">
        <f>IFERROR(__xludf.DUMMYFUNCTION("""COMPUTED_VALUE"""),"Rospopa Anastasiia")</f>
        <v>Rospopa Anastasiia</v>
      </c>
      <c r="B3825" s="1" t="str">
        <f>IFERROR(__xludf.DUMMYFUNCTION("""COMPUTED_VALUE"""),"MS")</f>
        <v>MS</v>
      </c>
    </row>
    <row r="3826" ht="15.75" customHeight="1">
      <c r="A3826" s="1" t="str">
        <f>IFERROR(__xludf.DUMMYFUNCTION("""COMPUTED_VALUE"""),"Tymur Nesterenko")</f>
        <v>Tymur Nesterenko</v>
      </c>
      <c r="B3826" s="1" t="str">
        <f>IFERROR(__xludf.DUMMYFUNCTION("""COMPUTED_VALUE"""),"LL")</f>
        <v>LL</v>
      </c>
    </row>
    <row r="3827" ht="15.75" customHeight="1">
      <c r="A3827" s="1" t="str">
        <f>IFERROR(__xludf.DUMMYFUNCTION("""COMPUTED_VALUE"""),"Yaroshenko Timur")</f>
        <v>Yaroshenko Timur</v>
      </c>
      <c r="B3827" s="1" t="str">
        <f>IFERROR(__xludf.DUMMYFUNCTION("""COMPUTED_VALUE"""),"L2")</f>
        <v>L2</v>
      </c>
    </row>
    <row r="3828" ht="15.75" customHeight="1">
      <c r="A3828" s="1" t="str">
        <f>IFERROR(__xludf.DUMMYFUNCTION("""COMPUTED_VALUE"""),"Matii Mark Sevastianovych")</f>
        <v>Matii Mark Sevastianovych</v>
      </c>
      <c r="B3828" s="1" t="str">
        <f>IFERROR(__xludf.DUMMYFUNCTION("""COMPUTED_VALUE"""),"HS")</f>
        <v>HS</v>
      </c>
    </row>
    <row r="3829" ht="15.75" customHeight="1">
      <c r="A3829" s="1" t="str">
        <f>IFERROR(__xludf.DUMMYFUNCTION("""COMPUTED_VALUE"""),"Artem Shepeliev")</f>
        <v>Artem Shepeliev</v>
      </c>
      <c r="B3829" s="1" t="str">
        <f>IFERROR(__xludf.DUMMYFUNCTION("""COMPUTED_VALUE"""),"MS")</f>
        <v>MS</v>
      </c>
    </row>
    <row r="3830" ht="15.75" customHeight="1">
      <c r="A3830" s="1" t="str">
        <f>IFERROR(__xludf.DUMMYFUNCTION("""COMPUTED_VALUE"""),"Melania Varha")</f>
        <v>Melania Varha</v>
      </c>
      <c r="B3830" s="1" t="str">
        <f>IFERROR(__xludf.DUMMYFUNCTION("""COMPUTED_VALUE"""),"L1")</f>
        <v>L1</v>
      </c>
    </row>
    <row r="3831" ht="15.75" customHeight="1">
      <c r="A3831" s="1" t="str">
        <f>IFERROR(__xludf.DUMMYFUNCTION("""COMPUTED_VALUE"""),"Oleksandr Zeykan")</f>
        <v>Oleksandr Zeykan</v>
      </c>
      <c r="B3831" s="1" t="str">
        <f>IFERROR(__xludf.DUMMYFUNCTION("""COMPUTED_VALUE"""),"MS")</f>
        <v>MS</v>
      </c>
    </row>
    <row r="3832" ht="15.75" customHeight="1">
      <c r="A3832" s="1" t="str">
        <f>IFERROR(__xludf.DUMMYFUNCTION("""COMPUTED_VALUE"""),"Emiliia Mokan")</f>
        <v>Emiliia Mokan</v>
      </c>
      <c r="B3832" s="1" t="str">
        <f>IFERROR(__xludf.DUMMYFUNCTION("""COMPUTED_VALUE"""),"L2")</f>
        <v>L2</v>
      </c>
    </row>
    <row r="3833" ht="15.75" customHeight="1">
      <c r="A3833" s="1" t="str">
        <f>IFERROR(__xludf.DUMMYFUNCTION("""COMPUTED_VALUE"""),"Ryndich Maksym")</f>
        <v>Ryndich Maksym</v>
      </c>
      <c r="B3833" s="1" t="str">
        <f>IFERROR(__xludf.DUMMYFUNCTION("""COMPUTED_VALUE"""),"MS")</f>
        <v>MS</v>
      </c>
    </row>
    <row r="3834" ht="15.75" customHeight="1">
      <c r="A3834" s="1" t="str">
        <f>IFERROR(__xludf.DUMMYFUNCTION("""COMPUTED_VALUE"""),"Rospopa Kseniia")</f>
        <v>Rospopa Kseniia</v>
      </c>
      <c r="B3834" s="1" t="str">
        <f>IFERROR(__xludf.DUMMYFUNCTION("""COMPUTED_VALUE"""),"MS")</f>
        <v>MS</v>
      </c>
    </row>
    <row r="3835" ht="15.75" customHeight="1">
      <c r="A3835" s="1" t="str">
        <f>IFERROR(__xludf.DUMMYFUNCTION("""COMPUTED_VALUE"""),"Elvira Buzian")</f>
        <v>Elvira Buzian</v>
      </c>
      <c r="B3835" s="1" t="str">
        <f>IFERROR(__xludf.DUMMYFUNCTION("""COMPUTED_VALUE"""),"L2")</f>
        <v>L2</v>
      </c>
    </row>
    <row r="3836" ht="15.75" customHeight="1">
      <c r="A3836" s="1" t="str">
        <f>IFERROR(__xludf.DUMMYFUNCTION("""COMPUTED_VALUE"""),"Veronika Veikon")</f>
        <v>Veronika Veikon</v>
      </c>
      <c r="B3836" s="1" t="str">
        <f>IFERROR(__xludf.DUMMYFUNCTION("""COMPUTED_VALUE"""),"MS")</f>
        <v>MS</v>
      </c>
    </row>
    <row r="3837" ht="15.75" customHeight="1">
      <c r="A3837" s="1" t="str">
        <f>IFERROR(__xludf.DUMMYFUNCTION("""COMPUTED_VALUE"""),"Emeshe Sabov")</f>
        <v>Emeshe Sabov</v>
      </c>
      <c r="B3837" s="1" t="str">
        <f>IFERROR(__xludf.DUMMYFUNCTION("""COMPUTED_VALUE"""),"MS")</f>
        <v>MS</v>
      </c>
    </row>
    <row r="3838" ht="15.75" customHeight="1">
      <c r="A3838" s="1" t="str">
        <f>IFERROR(__xludf.DUMMYFUNCTION("""COMPUTED_VALUE"""),"Daniel Lesyk")</f>
        <v>Daniel Lesyk</v>
      </c>
      <c r="B3838" s="1" t="str">
        <f>IFERROR(__xludf.DUMMYFUNCTION("""COMPUTED_VALUE"""),"MS")</f>
        <v>MS</v>
      </c>
    </row>
    <row r="3839" ht="15.75" customHeight="1">
      <c r="A3839" s="1" t="str">
        <f>IFERROR(__xludf.DUMMYFUNCTION("""COMPUTED_VALUE"""),"Yelyzaveta Lemesh")</f>
        <v>Yelyzaveta Lemesh</v>
      </c>
      <c r="B3839" s="1" t="str">
        <f>IFERROR(__xludf.DUMMYFUNCTION("""COMPUTED_VALUE"""),"MS")</f>
        <v>MS</v>
      </c>
    </row>
    <row r="3840" ht="15.75" customHeight="1">
      <c r="A3840" s="1" t="str">
        <f>IFERROR(__xludf.DUMMYFUNCTION("""COMPUTED_VALUE"""),"Vadym Shopa")</f>
        <v>Vadym Shopa</v>
      </c>
      <c r="B3840" s="1" t="str">
        <f>IFERROR(__xludf.DUMMYFUNCTION("""COMPUTED_VALUE"""),"HS")</f>
        <v>HS</v>
      </c>
    </row>
    <row r="3841" ht="15.75" customHeight="1">
      <c r="A3841" s="1" t="str">
        <f>IFERROR(__xludf.DUMMYFUNCTION("""COMPUTED_VALUE"""),"Kapusta Nazarii")</f>
        <v>Kapusta Nazarii</v>
      </c>
      <c r="B3841" s="1" t="str">
        <f>IFERROR(__xludf.DUMMYFUNCTION("""COMPUTED_VALUE"""),"HS")</f>
        <v>HS</v>
      </c>
    </row>
    <row r="3842" ht="15.75" customHeight="1">
      <c r="A3842" s="1" t="str">
        <f>IFERROR(__xludf.DUMMYFUNCTION("""COMPUTED_VALUE"""),"Mariia Lukasevych")</f>
        <v>Mariia Lukasevych</v>
      </c>
      <c r="B3842" s="1" t="str">
        <f>IFERROR(__xludf.DUMMYFUNCTION("""COMPUTED_VALUE"""),"L2")</f>
        <v>L2</v>
      </c>
    </row>
    <row r="3843" ht="15.75" customHeight="1">
      <c r="A3843" s="1" t="str">
        <f>IFERROR(__xludf.DUMMYFUNCTION("""COMPUTED_VALUE"""),"Minakova Anastasiia")</f>
        <v>Minakova Anastasiia</v>
      </c>
      <c r="B3843" s="1" t="str">
        <f>IFERROR(__xludf.DUMMYFUNCTION("""COMPUTED_VALUE"""),"HS")</f>
        <v>HS</v>
      </c>
    </row>
    <row r="3844" ht="15.75" customHeight="1">
      <c r="A3844" s="1" t="str">
        <f>IFERROR(__xludf.DUMMYFUNCTION("""COMPUTED_VALUE"""),"Davyd Zhadik")</f>
        <v>Davyd Zhadik</v>
      </c>
      <c r="B3844" s="1" t="str">
        <f>IFERROR(__xludf.DUMMYFUNCTION("""COMPUTED_VALUE"""),"L1")</f>
        <v>L1</v>
      </c>
    </row>
    <row r="3845" ht="15.75" customHeight="1">
      <c r="A3845" s="1" t="str">
        <f>IFERROR(__xludf.DUMMYFUNCTION("""COMPUTED_VALUE"""),"Oleksandra Titova")</f>
        <v>Oleksandra Titova</v>
      </c>
      <c r="B3845" s="1" t="str">
        <f>IFERROR(__xludf.DUMMYFUNCTION("""COMPUTED_VALUE"""),"HS")</f>
        <v>HS</v>
      </c>
    </row>
    <row r="3846" ht="15.75" customHeight="1">
      <c r="A3846" s="1" t="str">
        <f>IFERROR(__xludf.DUMMYFUNCTION("""COMPUTED_VALUE"""),"Tovt Yulia")</f>
        <v>Tovt Yulia</v>
      </c>
      <c r="B3846" s="1" t="str">
        <f>IFERROR(__xludf.DUMMYFUNCTION("""COMPUTED_VALUE"""),"MS")</f>
        <v>MS</v>
      </c>
    </row>
    <row r="3847" ht="15.75" customHeight="1">
      <c r="A3847" s="1" t="str">
        <f>IFERROR(__xludf.DUMMYFUNCTION("""COMPUTED_VALUE"""),"Markiian Roman")</f>
        <v>Markiian Roman</v>
      </c>
      <c r="B3847" s="1" t="str">
        <f>IFERROR(__xludf.DUMMYFUNCTION("""COMPUTED_VALUE"""),"L2")</f>
        <v>L2</v>
      </c>
    </row>
    <row r="3848" ht="15.75" customHeight="1">
      <c r="A3848" s="1" t="str">
        <f>IFERROR(__xludf.DUMMYFUNCTION("""COMPUTED_VALUE"""),"Milan Turzai")</f>
        <v>Milan Turzai</v>
      </c>
      <c r="B3848" s="1" t="str">
        <f>IFERROR(__xludf.DUMMYFUNCTION("""COMPUTED_VALUE"""),"HS")</f>
        <v>HS</v>
      </c>
    </row>
    <row r="3849" ht="15.75" customHeight="1">
      <c r="A3849" s="1" t="str">
        <f>IFERROR(__xludf.DUMMYFUNCTION("""COMPUTED_VALUE"""),"Mariia Kovtunenko")</f>
        <v>Mariia Kovtunenko</v>
      </c>
      <c r="B3849" s="1" t="str">
        <f>IFERROR(__xludf.DUMMYFUNCTION("""COMPUTED_VALUE"""),"HS")</f>
        <v>HS</v>
      </c>
    </row>
    <row r="3850" ht="15.75" customHeight="1">
      <c r="A3850" s="1" t="str">
        <f>IFERROR(__xludf.DUMMYFUNCTION("""COMPUTED_VALUE"""),"Yonatan Chetneki")</f>
        <v>Yonatan Chetneki</v>
      </c>
      <c r="B3850" s="1" t="str">
        <f>IFERROR(__xludf.DUMMYFUNCTION("""COMPUTED_VALUE"""),"L2")</f>
        <v>L2</v>
      </c>
    </row>
    <row r="3851" ht="15.75" customHeight="1">
      <c r="A3851" s="1" t="str">
        <f>IFERROR(__xludf.DUMMYFUNCTION("""COMPUTED_VALUE"""),"Belia Anastasiia")</f>
        <v>Belia Anastasiia</v>
      </c>
      <c r="B3851" s="1" t="str">
        <f>IFERROR(__xludf.DUMMYFUNCTION("""COMPUTED_VALUE"""),"L1")</f>
        <v>L1</v>
      </c>
    </row>
    <row r="3852" ht="15.75" customHeight="1">
      <c r="A3852" s="1" t="str">
        <f>IFERROR(__xludf.DUMMYFUNCTION("""COMPUTED_VALUE"""),"Alevtyna Lemesh")</f>
        <v>Alevtyna Lemesh</v>
      </c>
      <c r="B3852" s="1" t="str">
        <f>IFERROR(__xludf.DUMMYFUNCTION("""COMPUTED_VALUE"""),"MS")</f>
        <v>MS</v>
      </c>
    </row>
    <row r="3853" ht="15.75" customHeight="1">
      <c r="A3853" s="1" t="str">
        <f>IFERROR(__xludf.DUMMYFUNCTION("""COMPUTED_VALUE"""),"Lozovyi Tymur")</f>
        <v>Lozovyi Tymur</v>
      </c>
      <c r="B3853" s="1" t="str">
        <f>IFERROR(__xludf.DUMMYFUNCTION("""COMPUTED_VALUE"""),"L2")</f>
        <v>L2</v>
      </c>
    </row>
    <row r="3854" ht="15.75" customHeight="1">
      <c r="A3854" s="1" t="str">
        <f>IFERROR(__xludf.DUMMYFUNCTION("""COMPUTED_VALUE"""),"Anastasiia Zhadik")</f>
        <v>Anastasiia Zhadik</v>
      </c>
      <c r="B3854" s="1" t="str">
        <f>IFERROR(__xludf.DUMMYFUNCTION("""COMPUTED_VALUE"""),"MS")</f>
        <v>MS</v>
      </c>
    </row>
    <row r="3855" ht="15.75" customHeight="1">
      <c r="A3855" s="1" t="str">
        <f>IFERROR(__xludf.DUMMYFUNCTION("""COMPUTED_VALUE"""),"Utkalo Arina")</f>
        <v>Utkalo Arina</v>
      </c>
      <c r="B3855" s="1" t="str">
        <f>IFERROR(__xludf.DUMMYFUNCTION("""COMPUTED_VALUE"""),"L1")</f>
        <v>L1</v>
      </c>
    </row>
    <row r="3856" ht="15.75" customHeight="1">
      <c r="A3856" s="1" t="str">
        <f>IFERROR(__xludf.DUMMYFUNCTION("""COMPUTED_VALUE"""),"Borys Bychkovskyi")</f>
        <v>Borys Bychkovskyi</v>
      </c>
      <c r="B3856" s="1" t="str">
        <f>IFERROR(__xludf.DUMMYFUNCTION("""COMPUTED_VALUE"""),"MS")</f>
        <v>MS</v>
      </c>
    </row>
    <row r="3857" ht="15.75" customHeight="1">
      <c r="A3857" s="1" t="str">
        <f>IFERROR(__xludf.DUMMYFUNCTION("""COMPUTED_VALUE"""),"Vynnytskyi Pavlo")</f>
        <v>Vynnytskyi Pavlo</v>
      </c>
      <c r="B3857" s="1" t="str">
        <f>IFERROR(__xludf.DUMMYFUNCTION("""COMPUTED_VALUE"""),"HS")</f>
        <v>HS</v>
      </c>
    </row>
    <row r="3858" ht="15.75" customHeight="1">
      <c r="A3858" s="1" t="str">
        <f>IFERROR(__xludf.DUMMYFUNCTION("""COMPUTED_VALUE"""),"Romanenko Maksym")</f>
        <v>Romanenko Maksym</v>
      </c>
      <c r="B3858" s="1" t="str">
        <f>IFERROR(__xludf.DUMMYFUNCTION("""COMPUTED_VALUE"""),"MS")</f>
        <v>MS</v>
      </c>
    </row>
    <row r="3859" ht="15.75" customHeight="1">
      <c r="A3859" s="1" t="str">
        <f>IFERROR(__xludf.DUMMYFUNCTION("""COMPUTED_VALUE"""),"Kristovf Dominik")</f>
        <v>Kristovf Dominik</v>
      </c>
      <c r="B3859" s="1" t="str">
        <f>IFERROR(__xludf.DUMMYFUNCTION("""COMPUTED_VALUE"""),"L1")</f>
        <v>L1</v>
      </c>
    </row>
    <row r="3860" ht="15.75" customHeight="1">
      <c r="A3860" s="1" t="str">
        <f>IFERROR(__xludf.DUMMYFUNCTION("""COMPUTED_VALUE"""),"Nazar Tkachenko")</f>
        <v>Nazar Tkachenko</v>
      </c>
      <c r="B3860" s="1" t="str">
        <f>IFERROR(__xludf.DUMMYFUNCTION("""COMPUTED_VALUE"""),"L2")</f>
        <v>L2</v>
      </c>
    </row>
    <row r="3861" ht="15.75" customHeight="1">
      <c r="A3861" s="1" t="str">
        <f>IFERROR(__xludf.DUMMYFUNCTION("""COMPUTED_VALUE"""),"Anastasiia Tkachenko")</f>
        <v>Anastasiia Tkachenko</v>
      </c>
      <c r="B3861" s="1" t="str">
        <f>IFERROR(__xludf.DUMMYFUNCTION("""COMPUTED_VALUE"""),"HS")</f>
        <v>HS</v>
      </c>
    </row>
    <row r="3862" ht="15.75" customHeight="1">
      <c r="A3862" s="1" t="str">
        <f>IFERROR(__xludf.DUMMYFUNCTION("""COMPUTED_VALUE"""),"Barbara Karaslai")</f>
        <v>Barbara Karaslai</v>
      </c>
      <c r="B3862" s="1" t="str">
        <f>IFERROR(__xludf.DUMMYFUNCTION("""COMPUTED_VALUE"""),"HS")</f>
        <v>HS</v>
      </c>
    </row>
    <row r="3863" ht="15.75" customHeight="1">
      <c r="A3863" s="1" t="str">
        <f>IFERROR(__xludf.DUMMYFUNCTION("""COMPUTED_VALUE"""),"Kyrylo Lebediev")</f>
        <v>Kyrylo Lebediev</v>
      </c>
      <c r="B3863" s="1" t="str">
        <f>IFERROR(__xludf.DUMMYFUNCTION("""COMPUTED_VALUE"""),"L1")</f>
        <v>L1</v>
      </c>
    </row>
    <row r="3864" ht="15.75" customHeight="1">
      <c r="A3864" s="1" t="str">
        <f>IFERROR(__xludf.DUMMYFUNCTION("""COMPUTED_VALUE"""),"Solnoki Hanna")</f>
        <v>Solnoki Hanna</v>
      </c>
      <c r="B3864" s="1" t="str">
        <f>IFERROR(__xludf.DUMMYFUNCTION("""COMPUTED_VALUE"""),"L2")</f>
        <v>L2</v>
      </c>
    </row>
    <row r="3865" ht="15.75" customHeight="1">
      <c r="A3865" s="1" t="str">
        <f>IFERROR(__xludf.DUMMYFUNCTION("""COMPUTED_VALUE"""),"Pakholok Anna")</f>
        <v>Pakholok Anna</v>
      </c>
      <c r="B3865" s="1" t="str">
        <f>IFERROR(__xludf.DUMMYFUNCTION("""COMPUTED_VALUE"""),"L1")</f>
        <v>L1</v>
      </c>
    </row>
    <row r="3866" ht="15.75" customHeight="1">
      <c r="A3866" s="1" t="str">
        <f>IFERROR(__xludf.DUMMYFUNCTION("""COMPUTED_VALUE"""),"Kistrui David")</f>
        <v>Kistrui David</v>
      </c>
      <c r="B3866" s="1" t="str">
        <f>IFERROR(__xludf.DUMMYFUNCTION("""COMPUTED_VALUE"""),"L1")</f>
        <v>L1</v>
      </c>
    </row>
    <row r="3867" ht="15.75" customHeight="1">
      <c r="A3867" s="1" t="str">
        <f>IFERROR(__xludf.DUMMYFUNCTION("""COMPUTED_VALUE"""),"Oleksandr Kulykovskyi")</f>
        <v>Oleksandr Kulykovskyi</v>
      </c>
      <c r="B3867" s="1" t="str">
        <f>IFERROR(__xludf.DUMMYFUNCTION("""COMPUTED_VALUE"""),"HS")</f>
        <v>HS</v>
      </c>
    </row>
    <row r="3868" ht="15.75" customHeight="1">
      <c r="A3868" s="1" t="str">
        <f>IFERROR(__xludf.DUMMYFUNCTION("""COMPUTED_VALUE"""),"Daniil Mylnikov")</f>
        <v>Daniil Mylnikov</v>
      </c>
      <c r="B3868" s="1" t="str">
        <f>IFERROR(__xludf.DUMMYFUNCTION("""COMPUTED_VALUE"""),"MS")</f>
        <v>MS</v>
      </c>
    </row>
    <row r="3869" ht="15.75" customHeight="1">
      <c r="A3869" s="1" t="str">
        <f>IFERROR(__xludf.DUMMYFUNCTION("""COMPUTED_VALUE"""),"Myron Buzian")</f>
        <v>Myron Buzian</v>
      </c>
      <c r="B3869" s="1" t="str">
        <f>IFERROR(__xludf.DUMMYFUNCTION("""COMPUTED_VALUE"""),"MS")</f>
        <v>MS</v>
      </c>
    </row>
    <row r="3870" ht="15.75" customHeight="1">
      <c r="A3870" s="1" t="str">
        <f>IFERROR(__xludf.DUMMYFUNCTION("""COMPUTED_VALUE"""),"Silviia Koldorosh")</f>
        <v>Silviia Koldorosh</v>
      </c>
      <c r="B3870" s="1" t="str">
        <f>IFERROR(__xludf.DUMMYFUNCTION("""COMPUTED_VALUE"""),"L1")</f>
        <v>L1</v>
      </c>
    </row>
    <row r="3871" ht="15.75" customHeight="1">
      <c r="A3871" s="1" t="str">
        <f>IFERROR(__xludf.DUMMYFUNCTION("""COMPUTED_VALUE"""),"Ivan Serhiienko")</f>
        <v>Ivan Serhiienko</v>
      </c>
      <c r="B3871" s="1" t="str">
        <f>IFERROR(__xludf.DUMMYFUNCTION("""COMPUTED_VALUE"""),"L2")</f>
        <v>L2</v>
      </c>
    </row>
    <row r="3872" ht="15.75" customHeight="1">
      <c r="A3872" s="1" t="str">
        <f>IFERROR(__xludf.DUMMYFUNCTION("""COMPUTED_VALUE"""),"Mariia Kolesetska")</f>
        <v>Mariia Kolesetska</v>
      </c>
      <c r="B3872" s="1" t="str">
        <f>IFERROR(__xludf.DUMMYFUNCTION("""COMPUTED_VALUE"""),"L2")</f>
        <v>L2</v>
      </c>
    </row>
    <row r="3873" ht="15.75" customHeight="1">
      <c r="A3873" s="1" t="str">
        <f>IFERROR(__xludf.DUMMYFUNCTION("""COMPUTED_VALUE"""),"Kadia Anastasia")</f>
        <v>Kadia Anastasia</v>
      </c>
      <c r="B3873" s="1" t="str">
        <f>IFERROR(__xludf.DUMMYFUNCTION("""COMPUTED_VALUE"""),"MS")</f>
        <v>MS</v>
      </c>
    </row>
    <row r="3874" ht="15.75" customHeight="1">
      <c r="A3874" s="1" t="str">
        <f>IFERROR(__xludf.DUMMYFUNCTION("""COMPUTED_VALUE"""),"Emma Czapovics")</f>
        <v>Emma Czapovics</v>
      </c>
      <c r="B3874" s="1" t="str">
        <f>IFERROR(__xludf.DUMMYFUNCTION("""COMPUTED_VALUE"""),"L1")</f>
        <v>L1</v>
      </c>
    </row>
    <row r="3875" ht="15.75" customHeight="1">
      <c r="A3875" s="1" t="str">
        <f>IFERROR(__xludf.DUMMYFUNCTION("""COMPUTED_VALUE"""),"Claudia Hobart")</f>
        <v>Claudia Hobart</v>
      </c>
      <c r="B3875" s="1" t="str">
        <f>IFERROR(__xludf.DUMMYFUNCTION("""COMPUTED_VALUE"""),"L2")</f>
        <v>L2</v>
      </c>
    </row>
    <row r="3876" ht="15.75" customHeight="1">
      <c r="A3876" s="1" t="str">
        <f>IFERROR(__xludf.DUMMYFUNCTION("""COMPUTED_VALUE"""),"Mallory Hobart")</f>
        <v>Mallory Hobart</v>
      </c>
      <c r="B3876" s="1" t="str">
        <f>IFERROR(__xludf.DUMMYFUNCTION("""COMPUTED_VALUE"""),"L1")</f>
        <v>L1</v>
      </c>
    </row>
    <row r="3877" ht="15.75" customHeight="1">
      <c r="A3877" s="1" t="str">
        <f>IFERROR(__xludf.DUMMYFUNCTION("""COMPUTED_VALUE"""),"Jules Nevraumont")</f>
        <v>Jules Nevraumont</v>
      </c>
      <c r="B3877" s="1" t="str">
        <f>IFERROR(__xludf.DUMMYFUNCTION("""COMPUTED_VALUE"""),"L1")</f>
        <v>L1</v>
      </c>
    </row>
    <row r="3878" ht="15.75" customHeight="1">
      <c r="A3878" s="1" t="str">
        <f>IFERROR(__xludf.DUMMYFUNCTION("""COMPUTED_VALUE"""),"Mara Nevraumont")</f>
        <v>Mara Nevraumont</v>
      </c>
      <c r="B3878" s="1" t="str">
        <f>IFERROR(__xludf.DUMMYFUNCTION("""COMPUTED_VALUE"""),"L1")</f>
        <v>L1</v>
      </c>
    </row>
    <row r="3879" ht="15.75" customHeight="1">
      <c r="A3879" s="1" t="str">
        <f>IFERROR(__xludf.DUMMYFUNCTION("""COMPUTED_VALUE"""),"Eric Kenez")</f>
        <v>Eric Kenez</v>
      </c>
      <c r="B3879" s="1" t="str">
        <f>IFERROR(__xludf.DUMMYFUNCTION("""COMPUTED_VALUE"""),"L1")</f>
        <v>L1</v>
      </c>
    </row>
    <row r="3880" ht="15.75" customHeight="1">
      <c r="A3880" s="1" t="str">
        <f>IFERROR(__xludf.DUMMYFUNCTION("""COMPUTED_VALUE"""),"Calvin Barraza")</f>
        <v>Calvin Barraza</v>
      </c>
      <c r="B3880" s="1" t="str">
        <f>IFERROR(__xludf.DUMMYFUNCTION("""COMPUTED_VALUE"""),"L1")</f>
        <v>L1</v>
      </c>
    </row>
    <row r="3881" ht="15.75" customHeight="1">
      <c r="A3881" s="1" t="str">
        <f>IFERROR(__xludf.DUMMYFUNCTION("""COMPUTED_VALUE"""),"Jaiden Bhakta")</f>
        <v>Jaiden Bhakta</v>
      </c>
      <c r="B3881" s="1" t="str">
        <f>IFERROR(__xludf.DUMMYFUNCTION("""COMPUTED_VALUE"""),"HS")</f>
        <v>HS</v>
      </c>
    </row>
    <row r="3882" ht="15.75" customHeight="1">
      <c r="A3882" s="1" t="str">
        <f>IFERROR(__xludf.DUMMYFUNCTION("""COMPUTED_VALUE"""),"Krish Bhakta")</f>
        <v>Krish Bhakta</v>
      </c>
      <c r="B3882" s="1" t="str">
        <f>IFERROR(__xludf.DUMMYFUNCTION("""COMPUTED_VALUE"""),"MS")</f>
        <v>MS</v>
      </c>
    </row>
    <row r="3883" ht="15.75" customHeight="1">
      <c r="A3883" s="1" t="str">
        <f>IFERROR(__xludf.DUMMYFUNCTION("""COMPUTED_VALUE"""),"Everest Nevraumont")</f>
        <v>Everest Nevraumont</v>
      </c>
      <c r="B3883" s="1" t="str">
        <f>IFERROR(__xludf.DUMMYFUNCTION("""COMPUTED_VALUE"""),"L2")</f>
        <v>L2</v>
      </c>
    </row>
    <row r="3884" ht="15.75" customHeight="1">
      <c r="A3884" s="1" t="str">
        <f>IFERROR(__xludf.DUMMYFUNCTION("""COMPUTED_VALUE"""),"Lucas Sanner")</f>
        <v>Lucas Sanner</v>
      </c>
      <c r="B3884" s="1" t="str">
        <f>IFERROR(__xludf.DUMMYFUNCTION("""COMPUTED_VALUE"""),"MS")</f>
        <v>MS</v>
      </c>
    </row>
    <row r="3885" ht="15.75" customHeight="1">
      <c r="A3885" s="1" t="str">
        <f>IFERROR(__xludf.DUMMYFUNCTION("""COMPUTED_VALUE"""),"Ariel Martel")</f>
        <v>Ariel Martel</v>
      </c>
      <c r="B3885" s="1" t="str">
        <f>IFERROR(__xludf.DUMMYFUNCTION("""COMPUTED_VALUE"""),"L2")</f>
        <v>L2</v>
      </c>
    </row>
    <row r="3886" ht="15.75" customHeight="1">
      <c r="A3886" s="1" t="str">
        <f>IFERROR(__xludf.DUMMYFUNCTION("""COMPUTED_VALUE"""),"Abraham Ayad")</f>
        <v>Abraham Ayad</v>
      </c>
      <c r="B3886" s="1" t="str">
        <f>IFERROR(__xludf.DUMMYFUNCTION("""COMPUTED_VALUE"""),"LL")</f>
        <v>LL</v>
      </c>
    </row>
    <row r="3887" ht="15.75" customHeight="1">
      <c r="A3887" s="1" t="str">
        <f>IFERROR(__xludf.DUMMYFUNCTION("""COMPUTED_VALUE"""),"S. Christopher Zielinski")</f>
        <v>S. Christopher Zielinski</v>
      </c>
      <c r="B3887" s="1" t="str">
        <f>IFERROR(__xludf.DUMMYFUNCTION("""COMPUTED_VALUE"""),"L2")</f>
        <v>L2</v>
      </c>
    </row>
    <row r="3888" ht="15.75" customHeight="1">
      <c r="A3888" s="1" t="str">
        <f>IFERROR(__xludf.DUMMYFUNCTION("""COMPUTED_VALUE"""),"Calvert Taylor")</f>
        <v>Calvert Taylor</v>
      </c>
      <c r="B3888" s="1" t="str">
        <f>IFERROR(__xludf.DUMMYFUNCTION("""COMPUTED_VALUE"""),"L1")</f>
        <v>L1</v>
      </c>
    </row>
    <row r="3889" ht="15.75" customHeight="1">
      <c r="A3889" s="1" t="str">
        <f>IFERROR(__xludf.DUMMYFUNCTION("""COMPUTED_VALUE"""),"Wyatt Victore")</f>
        <v>Wyatt Victore</v>
      </c>
      <c r="B3889" s="1" t="str">
        <f>IFERROR(__xludf.DUMMYFUNCTION("""COMPUTED_VALUE"""),"L2")</f>
        <v>L2</v>
      </c>
    </row>
    <row r="3890" ht="15.75" customHeight="1">
      <c r="A3890" s="1" t="str">
        <f>IFERROR(__xludf.DUMMYFUNCTION("""COMPUTED_VALUE"""),"Nova Victore")</f>
        <v>Nova Victore</v>
      </c>
      <c r="B3890" s="1" t="str">
        <f>IFERROR(__xludf.DUMMYFUNCTION("""COMPUTED_VALUE"""),"L1")</f>
        <v>L1</v>
      </c>
    </row>
    <row r="3891" ht="15.75" customHeight="1">
      <c r="A3891" s="1" t="str">
        <f>IFERROR(__xludf.DUMMYFUNCTION("""COMPUTED_VALUE"""),"Neel Balija")</f>
        <v>Neel Balija</v>
      </c>
      <c r="B3891" s="1" t="str">
        <f>IFERROR(__xludf.DUMMYFUNCTION("""COMPUTED_VALUE"""),"LL")</f>
        <v>LL</v>
      </c>
    </row>
    <row r="3892" ht="15.75" customHeight="1">
      <c r="A3892" s="1" t="str">
        <f>IFERROR(__xludf.DUMMYFUNCTION("""COMPUTED_VALUE"""),"Athena Goldin-Jones")</f>
        <v>Athena Goldin-Jones</v>
      </c>
      <c r="B3892" s="1" t="str">
        <f>IFERROR(__xludf.DUMMYFUNCTION("""COMPUTED_VALUE"""),"L2")</f>
        <v>L2</v>
      </c>
    </row>
    <row r="3893" ht="15.75" customHeight="1">
      <c r="A3893" s="1" t="str">
        <f>IFERROR(__xludf.DUMMYFUNCTION("""COMPUTED_VALUE"""),"Demi Wurz")</f>
        <v>Demi Wurz</v>
      </c>
      <c r="B3893" s="1" t="str">
        <f>IFERROR(__xludf.DUMMYFUNCTION("""COMPUTED_VALUE"""),"LL")</f>
        <v>LL</v>
      </c>
    </row>
    <row r="3894" ht="15.75" customHeight="1">
      <c r="A3894" s="1" t="str">
        <f>IFERROR(__xludf.DUMMYFUNCTION("""COMPUTED_VALUE"""),"Elina Wurz")</f>
        <v>Elina Wurz</v>
      </c>
      <c r="B3894" s="1" t="str">
        <f>IFERROR(__xludf.DUMMYFUNCTION("""COMPUTED_VALUE"""),"WL")</f>
        <v>WL</v>
      </c>
    </row>
    <row r="3895" ht="15.75" customHeight="1">
      <c r="A3895" s="1" t="str">
        <f>IFERROR(__xludf.DUMMYFUNCTION("""COMPUTED_VALUE"""),"Novah Pitre")</f>
        <v>Novah Pitre</v>
      </c>
      <c r="B3895" s="1" t="str">
        <f>IFERROR(__xludf.DUMMYFUNCTION("""COMPUTED_VALUE"""),"LL")</f>
        <v>LL</v>
      </c>
    </row>
    <row r="3896" ht="15.75" customHeight="1">
      <c r="A3896" s="1" t="str">
        <f>IFERROR(__xludf.DUMMYFUNCTION("""COMPUTED_VALUE"""),"Ethan Stromfeld")</f>
        <v>Ethan Stromfeld</v>
      </c>
      <c r="B3896" s="1" t="str">
        <f>IFERROR(__xludf.DUMMYFUNCTION("""COMPUTED_VALUE"""),"L1")</f>
        <v>L1</v>
      </c>
    </row>
    <row r="3897" ht="15.75" customHeight="1">
      <c r="A3897" s="1" t="str">
        <f>IFERROR(__xludf.DUMMYFUNCTION("""COMPUTED_VALUE"""),"Vic Satijn")</f>
        <v>Vic Satijn</v>
      </c>
      <c r="B3897" s="1" t="str">
        <f>IFERROR(__xludf.DUMMYFUNCTION("""COMPUTED_VALUE"""),"LL")</f>
        <v>LL</v>
      </c>
    </row>
    <row r="3898" ht="15.75" customHeight="1">
      <c r="A3898" s="1" t="str">
        <f>IFERROR(__xludf.DUMMYFUNCTION("""COMPUTED_VALUE"""),"Fiona Nessler")</f>
        <v>Fiona Nessler</v>
      </c>
      <c r="B3898" s="1" t="str">
        <f>IFERROR(__xludf.DUMMYFUNCTION("""COMPUTED_VALUE"""),"WL")</f>
        <v>WL</v>
      </c>
    </row>
    <row r="3899" ht="15.75" customHeight="1">
      <c r="A3899" s="1" t="str">
        <f>IFERROR(__xludf.DUMMYFUNCTION("""COMPUTED_VALUE"""),"August Pease")</f>
        <v>August Pease</v>
      </c>
      <c r="B3899" s="1" t="str">
        <f>IFERROR(__xludf.DUMMYFUNCTION("""COMPUTED_VALUE"""),"L2")</f>
        <v>L2</v>
      </c>
    </row>
    <row r="3900" ht="15.75" customHeight="1">
      <c r="A3900" s="1" t="str">
        <f>IFERROR(__xludf.DUMMYFUNCTION("""COMPUTED_VALUE"""),"Isabella Reffett-Sell")</f>
        <v>Isabella Reffett-Sell</v>
      </c>
      <c r="B3900" s="1" t="str">
        <f>IFERROR(__xludf.DUMMYFUNCTION("""COMPUTED_VALUE"""),"L2")</f>
        <v>L2</v>
      </c>
    </row>
    <row r="3901" ht="15.75" customHeight="1">
      <c r="A3901" s="1" t="str">
        <f>IFERROR(__xludf.DUMMYFUNCTION("""COMPUTED_VALUE"""),"Wayne Zou")</f>
        <v>Wayne Zou</v>
      </c>
      <c r="B3901" s="1" t="str">
        <f>IFERROR(__xludf.DUMMYFUNCTION("""COMPUTED_VALUE"""),"L2")</f>
        <v>L2</v>
      </c>
    </row>
    <row r="3902" ht="15.75" customHeight="1">
      <c r="A3902" s="1" t="str">
        <f>IFERROR(__xludf.DUMMYFUNCTION("""COMPUTED_VALUE"""),"Jack Thibodeaux")</f>
        <v>Jack Thibodeaux</v>
      </c>
      <c r="B3902" s="1" t="str">
        <f>IFERROR(__xludf.DUMMYFUNCTION("""COMPUTED_VALUE"""),"LL")</f>
        <v>LL</v>
      </c>
    </row>
    <row r="3903" ht="15.75" customHeight="1">
      <c r="A3903" s="1" t="str">
        <f>IFERROR(__xludf.DUMMYFUNCTION("""COMPUTED_VALUE"""),"Theodore Steinberg")</f>
        <v>Theodore Steinberg</v>
      </c>
      <c r="B3903" s="1" t="str">
        <f>IFERROR(__xludf.DUMMYFUNCTION("""COMPUTED_VALUE"""),"WL")</f>
        <v>WL</v>
      </c>
    </row>
    <row r="3904" ht="15.75" customHeight="1">
      <c r="A3904" s="1" t="str">
        <f>IFERROR(__xludf.DUMMYFUNCTION("""COMPUTED_VALUE"""),"Regan McLachlan")</f>
        <v>Regan McLachlan</v>
      </c>
      <c r="B3904" s="1" t="str">
        <f>IFERROR(__xludf.DUMMYFUNCTION("""COMPUTED_VALUE"""),"LL")</f>
        <v>LL</v>
      </c>
    </row>
    <row r="3905" ht="15.75" customHeight="1">
      <c r="A3905" s="1" t="str">
        <f>IFERROR(__xludf.DUMMYFUNCTION("""COMPUTED_VALUE"""),"Dax Hummel")</f>
        <v>Dax Hummel</v>
      </c>
      <c r="B3905" s="1" t="str">
        <f>IFERROR(__xludf.DUMMYFUNCTION("""COMPUTED_VALUE"""),"L2")</f>
        <v>L2</v>
      </c>
    </row>
    <row r="3906" ht="15.75" customHeight="1">
      <c r="A3906" s="1" t="str">
        <f>IFERROR(__xludf.DUMMYFUNCTION("""COMPUTED_VALUE"""),"Llm Child Llm Llm")</f>
        <v>Llm Child Llm Llm</v>
      </c>
      <c r="B3906" s="1" t="str">
        <f>IFERROR(__xludf.DUMMYFUNCTION("""COMPUTED_VALUE"""),"L2")</f>
        <v>L2</v>
      </c>
    </row>
    <row r="3907" ht="15.75" customHeight="1">
      <c r="A3907" s="1" t="str">
        <f>IFERROR(__xludf.DUMMYFUNCTION("""COMPUTED_VALUE"""),"Test Test")</f>
        <v>Test Test</v>
      </c>
      <c r="B3907" s="1" t="str">
        <f>IFERROR(__xludf.DUMMYFUNCTION("""COMPUTED_VALUE"""),"LL")</f>
        <v>LL</v>
      </c>
    </row>
    <row r="3908" ht="15.75" customHeight="1">
      <c r="A3908" s="1" t="str">
        <f>IFERROR(__xludf.DUMMYFUNCTION("""COMPUTED_VALUE"""),"Joseph Ahanobi-Ikekwere, Jr")</f>
        <v>Joseph Ahanobi-Ikekwere, Jr</v>
      </c>
      <c r="B3908" s="1" t="str">
        <f>IFERROR(__xludf.DUMMYFUNCTION("""COMPUTED_VALUE"""),"L1")</f>
        <v>L1</v>
      </c>
    </row>
    <row r="3909" ht="15.75" customHeight="1">
      <c r="A3909" s="1" t="str">
        <f>IFERROR(__xludf.DUMMYFUNCTION("""COMPUTED_VALUE"""),"Gardner Edwards")</f>
        <v>Gardner Edwards</v>
      </c>
      <c r="B3909" s="1" t="str">
        <f>IFERROR(__xludf.DUMMYFUNCTION("""COMPUTED_VALUE"""),"MS")</f>
        <v>MS</v>
      </c>
    </row>
    <row r="3910" ht="15.75" customHeight="1">
      <c r="A3910" s="1" t="str">
        <f>IFERROR(__xludf.DUMMYFUNCTION("""COMPUTED_VALUE"""),"Emory Criss")</f>
        <v>Emory Criss</v>
      </c>
      <c r="B3910" s="1" t="str">
        <f>IFERROR(__xludf.DUMMYFUNCTION("""COMPUTED_VALUE"""),"WL")</f>
        <v>WL</v>
      </c>
    </row>
    <row r="3911" ht="15.75" customHeight="1">
      <c r="A3911" s="1" t="str">
        <f>IFERROR(__xludf.DUMMYFUNCTION("""COMPUTED_VALUE"""),"GT Student _test_")</f>
        <v>GT Student _test_</v>
      </c>
      <c r="B3911" s="1" t="str">
        <f>IFERROR(__xludf.DUMMYFUNCTION("""COMPUTED_VALUE"""),"MS")</f>
        <v>MS</v>
      </c>
    </row>
    <row r="3912" ht="15.75" customHeight="1">
      <c r="A3912" s="1" t="str">
        <f>IFERROR(__xludf.DUMMYFUNCTION("""COMPUTED_VALUE"""),"GT Student 2 _test_")</f>
        <v>GT Student 2 _test_</v>
      </c>
      <c r="B3912" s="1" t="str">
        <f>IFERROR(__xludf.DUMMYFUNCTION("""COMPUTED_VALUE"""),"L1")</f>
        <v>L1</v>
      </c>
    </row>
    <row r="3913" ht="15.75" customHeight="1">
      <c r="A3913" s="1" t="str">
        <f>IFERROR(__xludf.DUMMYFUNCTION("""COMPUTED_VALUE"""),"Ethan Kim")</f>
        <v>Ethan Kim</v>
      </c>
      <c r="B3913" s="1" t="str">
        <f>IFERROR(__xludf.DUMMYFUNCTION("""COMPUTED_VALUE"""),"LL")</f>
        <v>LL</v>
      </c>
    </row>
    <row r="3914" ht="15.75" customHeight="1">
      <c r="A3914" s="1" t="str">
        <f>IFERROR(__xludf.DUMMYFUNCTION("""COMPUTED_VALUE"""),"Aviv Meppen")</f>
        <v>Aviv Meppen</v>
      </c>
      <c r="B3914" s="1" t="str">
        <f>IFERROR(__xludf.DUMMYFUNCTION("""COMPUTED_VALUE"""),"L1")</f>
        <v>L1</v>
      </c>
    </row>
    <row r="3915" ht="15.75" customHeight="1">
      <c r="A3915" s="1" t="str">
        <f>IFERROR(__xludf.DUMMYFUNCTION("""COMPUTED_VALUE"""),"Gautam child 21 _test")</f>
        <v>Gautam child 21 _test</v>
      </c>
      <c r="B3915" s="1" t="str">
        <f>IFERROR(__xludf.DUMMYFUNCTION("""COMPUTED_VALUE"""),"LL")</f>
        <v>LL</v>
      </c>
    </row>
    <row r="3916" ht="15.75" customHeight="1">
      <c r="A3916" s="1" t="str">
        <f>IFERROR(__xludf.DUMMYFUNCTION("""COMPUTED_VALUE"""),"Riana Parikh")</f>
        <v>Riana Parikh</v>
      </c>
      <c r="B3916" s="1" t="str">
        <f>IFERROR(__xludf.DUMMYFUNCTION("""COMPUTED_VALUE"""),"L1")</f>
        <v>L1</v>
      </c>
    </row>
    <row r="3917" ht="15.75" customHeight="1">
      <c r="A3917" s="1" t="str">
        <f>IFERROR(__xludf.DUMMYFUNCTION("""COMPUTED_VALUE"""),"Avantika Reddy")</f>
        <v>Avantika Reddy</v>
      </c>
      <c r="B3917" s="1" t="str">
        <f>IFERROR(__xludf.DUMMYFUNCTION("""COMPUTED_VALUE"""),"L2")</f>
        <v>L2</v>
      </c>
    </row>
    <row r="3918" ht="15.75" customHeight="1">
      <c r="A3918" s="1" t="str">
        <f>IFERROR(__xludf.DUMMYFUNCTION("""COMPUTED_VALUE"""),"Sheela Nagarajan")</f>
        <v>Sheela Nagarajan</v>
      </c>
      <c r="B3918" s="1" t="str">
        <f>IFERROR(__xludf.DUMMYFUNCTION("""COMPUTED_VALUE"""),"L2")</f>
        <v>L2</v>
      </c>
    </row>
    <row r="3919" ht="15.75" customHeight="1">
      <c r="A3919" s="1" t="str">
        <f>IFERROR(__xludf.DUMMYFUNCTION("""COMPUTED_VALUE"""),"Alishan Makanojiya")</f>
        <v>Alishan Makanojiya</v>
      </c>
      <c r="B3919" s="1" t="str">
        <f>IFERROR(__xludf.DUMMYFUNCTION("""COMPUTED_VALUE"""),"WL")</f>
        <v>WL</v>
      </c>
    </row>
    <row r="3920" ht="15.75" customHeight="1">
      <c r="A3920" s="1" t="str">
        <f>IFERROR(__xludf.DUMMYFUNCTION("""COMPUTED_VALUE"""),"Aksel Jensen")</f>
        <v>Aksel Jensen</v>
      </c>
      <c r="B3920" s="1" t="str">
        <f>IFERROR(__xludf.DUMMYFUNCTION("""COMPUTED_VALUE"""),"MS")</f>
        <v>MS</v>
      </c>
    </row>
    <row r="3921" ht="15.75" customHeight="1">
      <c r="A3921" s="1" t="str">
        <f>IFERROR(__xludf.DUMMYFUNCTION("""COMPUTED_VALUE"""),"Marshall Jensen")</f>
        <v>Marshall Jensen</v>
      </c>
      <c r="B3921" s="1" t="str">
        <f>IFERROR(__xludf.DUMMYFUNCTION("""COMPUTED_VALUE"""),"L2")</f>
        <v>L2</v>
      </c>
    </row>
    <row r="3922" ht="15.75" customHeight="1">
      <c r="A3922" s="1" t="str">
        <f>IFERROR(__xludf.DUMMYFUNCTION("""COMPUTED_VALUE"""),"Lucius Walker")</f>
        <v>Lucius Walker</v>
      </c>
      <c r="B3922" s="1" t="str">
        <f>IFERROR(__xludf.DUMMYFUNCTION("""COMPUTED_VALUE"""),"L1")</f>
        <v>L1</v>
      </c>
    </row>
    <row r="3923" ht="15.75" customHeight="1">
      <c r="A3923" s="1" t="str">
        <f>IFERROR(__xludf.DUMMYFUNCTION("""COMPUTED_VALUE"""),"D'sean Harden II")</f>
        <v>D'sean Harden II</v>
      </c>
      <c r="B3923" s="1" t="str">
        <f>IFERROR(__xludf.DUMMYFUNCTION("""COMPUTED_VALUE"""),"L2")</f>
        <v>L2</v>
      </c>
    </row>
    <row r="3924" ht="15.75" customHeight="1">
      <c r="A3924" s="1" t="str">
        <f>IFERROR(__xludf.DUMMYFUNCTION("""COMPUTED_VALUE"""),"Corinne McGowan")</f>
        <v>Corinne McGowan</v>
      </c>
      <c r="B3924" s="1" t="str">
        <f>IFERROR(__xludf.DUMMYFUNCTION("""COMPUTED_VALUE"""),"L1")</f>
        <v>L1</v>
      </c>
    </row>
    <row r="3925" ht="15.75" customHeight="1">
      <c r="A3925" s="1" t="str">
        <f>IFERROR(__xludf.DUMMYFUNCTION("""COMPUTED_VALUE"""),"North Griswold")</f>
        <v>North Griswold</v>
      </c>
      <c r="B3925" s="1" t="str">
        <f>IFERROR(__xludf.DUMMYFUNCTION("""COMPUTED_VALUE"""),"L1")</f>
        <v>L1</v>
      </c>
    </row>
    <row r="3926" ht="15.75" customHeight="1">
      <c r="A3926" s="1" t="str">
        <f>IFERROR(__xludf.DUMMYFUNCTION("""COMPUTED_VALUE"""),"Luca Neubern Papetti")</f>
        <v>Luca Neubern Papetti</v>
      </c>
      <c r="B3926" s="1" t="str">
        <f>IFERROR(__xludf.DUMMYFUNCTION("""COMPUTED_VALUE"""),"WL")</f>
        <v>WL</v>
      </c>
    </row>
    <row r="3927" ht="15.75" customHeight="1">
      <c r="A3927" s="1" t="str">
        <f>IFERROR(__xludf.DUMMYFUNCTION("""COMPUTED_VALUE"""),"Levi Reeves")</f>
        <v>Levi Reeves</v>
      </c>
      <c r="B3927" s="1" t="str">
        <f>IFERROR(__xludf.DUMMYFUNCTION("""COMPUTED_VALUE"""),"L1")</f>
        <v>L1</v>
      </c>
    </row>
    <row r="3928" ht="15.75" customHeight="1">
      <c r="A3928" s="1" t="str">
        <f>IFERROR(__xludf.DUMMYFUNCTION("""COMPUTED_VALUE"""),"Stone Meyers")</f>
        <v>Stone Meyers</v>
      </c>
      <c r="B3928" s="1" t="str">
        <f>IFERROR(__xludf.DUMMYFUNCTION("""COMPUTED_VALUE"""),"MS")</f>
        <v>MS</v>
      </c>
    </row>
    <row r="3929" ht="15.75" customHeight="1">
      <c r="A3929" s="1" t="str">
        <f>IFERROR(__xludf.DUMMYFUNCTION("""COMPUTED_VALUE"""),"Omar Ibarra")</f>
        <v>Omar Ibarra</v>
      </c>
      <c r="B3929" s="1" t="str">
        <f>IFERROR(__xludf.DUMMYFUNCTION("""COMPUTED_VALUE"""),"L2")</f>
        <v>L2</v>
      </c>
    </row>
    <row r="3930" ht="15.75" customHeight="1">
      <c r="A3930" s="1" t="str">
        <f>IFERROR(__xludf.DUMMYFUNCTION("""COMPUTED_VALUE"""),"Dallace Jones")</f>
        <v>Dallace Jones</v>
      </c>
      <c r="B3930" s="1" t="str">
        <f>IFERROR(__xludf.DUMMYFUNCTION("""COMPUTED_VALUE"""),"L1")</f>
        <v>L1</v>
      </c>
    </row>
    <row r="3931" ht="15.75" customHeight="1">
      <c r="A3931" s="1" t="str">
        <f>IFERROR(__xludf.DUMMYFUNCTION("""COMPUTED_VALUE"""),"Musiq Jones")</f>
        <v>Musiq Jones</v>
      </c>
      <c r="B3931" s="1" t="str">
        <f>IFERROR(__xludf.DUMMYFUNCTION("""COMPUTED_VALUE"""),"LL")</f>
        <v>LL</v>
      </c>
    </row>
    <row r="3932" ht="15.75" customHeight="1">
      <c r="A3932" s="1" t="str">
        <f>IFERROR(__xludf.DUMMYFUNCTION("""COMPUTED_VALUE"""),"Javier Baez")</f>
        <v>Javier Baez</v>
      </c>
      <c r="B3932" s="1" t="str">
        <f>IFERROR(__xludf.DUMMYFUNCTION("""COMPUTED_VALUE"""),"MS")</f>
        <v>MS</v>
      </c>
    </row>
    <row r="3933" ht="15.75" customHeight="1">
      <c r="A3933" s="1" t="str">
        <f>IFERROR(__xludf.DUMMYFUNCTION("""COMPUTED_VALUE"""),"Zenon Zaidi")</f>
        <v>Zenon Zaidi</v>
      </c>
      <c r="B3933" s="1" t="str">
        <f>IFERROR(__xludf.DUMMYFUNCTION("""COMPUTED_VALUE"""),"L2")</f>
        <v>L2</v>
      </c>
    </row>
    <row r="3934" ht="15.75" customHeight="1">
      <c r="A3934" s="1" t="str">
        <f>IFERROR(__xludf.DUMMYFUNCTION("""COMPUTED_VALUE"""),"Zane Rogers")</f>
        <v>Zane Rogers</v>
      </c>
      <c r="B3934" s="1" t="str">
        <f>IFERROR(__xludf.DUMMYFUNCTION("""COMPUTED_VALUE"""),"L2")</f>
        <v>L2</v>
      </c>
    </row>
    <row r="3935" ht="15.75" customHeight="1">
      <c r="A3935" s="1" t="str">
        <f>IFERROR(__xludf.DUMMYFUNCTION("""COMPUTED_VALUE"""),"Alex Lekic Brajovic")</f>
        <v>Alex Lekic Brajovic</v>
      </c>
      <c r="B3935" s="1" t="str">
        <f>IFERROR(__xludf.DUMMYFUNCTION("""COMPUTED_VALUE"""),"L2")</f>
        <v>L2</v>
      </c>
    </row>
    <row r="3936" ht="15.75" customHeight="1">
      <c r="A3936" s="1" t="str">
        <f>IFERROR(__xludf.DUMMYFUNCTION("""COMPUTED_VALUE"""),"Eastwood Washburn")</f>
        <v>Eastwood Washburn</v>
      </c>
      <c r="B3936" s="1" t="str">
        <f>IFERROR(__xludf.DUMMYFUNCTION("""COMPUTED_VALUE"""),"L2")</f>
        <v>L2</v>
      </c>
    </row>
    <row r="3937" ht="15.75" customHeight="1">
      <c r="A3937" s="1" t="str">
        <f>IFERROR(__xludf.DUMMYFUNCTION("""COMPUTED_VALUE"""),"Leyland Henry Old")</f>
        <v>Leyland Henry Old</v>
      </c>
      <c r="B3937" s="1" t="str">
        <f>IFERROR(__xludf.DUMMYFUNCTION("""COMPUTED_VALUE"""),"MS")</f>
        <v>MS</v>
      </c>
    </row>
    <row r="3938" ht="15.75" customHeight="1">
      <c r="A3938" s="1" t="str">
        <f>IFERROR(__xludf.DUMMYFUNCTION("""COMPUTED_VALUE"""),"Drew Pearson")</f>
        <v>Drew Pearson</v>
      </c>
      <c r="B3938" s="1" t="str">
        <f>IFERROR(__xludf.DUMMYFUNCTION("""COMPUTED_VALUE"""),"L2")</f>
        <v>L2</v>
      </c>
    </row>
    <row r="3939" ht="15.75" customHeight="1">
      <c r="A3939" s="1" t="str">
        <f>IFERROR(__xludf.DUMMYFUNCTION("""COMPUTED_VALUE"""),"Zoey Zaidi")</f>
        <v>Zoey Zaidi</v>
      </c>
      <c r="B3939" s="1" t="str">
        <f>IFERROR(__xludf.DUMMYFUNCTION("""COMPUTED_VALUE"""),"WL")</f>
        <v>WL</v>
      </c>
    </row>
    <row r="3940" ht="15.75" customHeight="1">
      <c r="A3940" s="1" t="str">
        <f>IFERROR(__xludf.DUMMYFUNCTION("""COMPUTED_VALUE"""),"Kay Krajicek")</f>
        <v>Kay Krajicek</v>
      </c>
      <c r="B3940" s="1" t="str">
        <f>IFERROR(__xludf.DUMMYFUNCTION("""COMPUTED_VALUE"""),"WL")</f>
        <v>WL</v>
      </c>
    </row>
    <row r="3941" ht="15.75" customHeight="1">
      <c r="A3941" s="1" t="str">
        <f>IFERROR(__xludf.DUMMYFUNCTION("""COMPUTED_VALUE"""),"Grady Williamson")</f>
        <v>Grady Williamson</v>
      </c>
      <c r="B3941" s="1" t="str">
        <f>IFERROR(__xludf.DUMMYFUNCTION("""COMPUTED_VALUE"""),"L2")</f>
        <v>L2</v>
      </c>
    </row>
    <row r="3942" ht="15.75" customHeight="1">
      <c r="A3942" s="1" t="str">
        <f>IFERROR(__xludf.DUMMYFUNCTION("""COMPUTED_VALUE"""),"Waverly Williamson")</f>
        <v>Waverly Williamson</v>
      </c>
      <c r="B3942" s="1" t="str">
        <f>IFERROR(__xludf.DUMMYFUNCTION("""COMPUTED_VALUE"""),"LL")</f>
        <v>LL</v>
      </c>
    </row>
    <row r="3943" ht="15.75" customHeight="1">
      <c r="A3943" s="1" t="str">
        <f>IFERROR(__xludf.DUMMYFUNCTION("""COMPUTED_VALUE"""),"Melissa Smith")</f>
        <v>Melissa Smith</v>
      </c>
      <c r="B3943" s="1" t="str">
        <f>IFERROR(__xludf.DUMMYFUNCTION("""COMPUTED_VALUE"""),"HS")</f>
        <v>HS</v>
      </c>
    </row>
    <row r="3944" ht="15.75" customHeight="1">
      <c r="A3944" s="1" t="str">
        <f>IFERROR(__xludf.DUMMYFUNCTION("""COMPUTED_VALUE"""),"Braeden Conn")</f>
        <v>Braeden Conn</v>
      </c>
      <c r="B3944" s="1" t="str">
        <f>IFERROR(__xludf.DUMMYFUNCTION("""COMPUTED_VALUE"""),"MS")</f>
        <v>MS</v>
      </c>
    </row>
    <row r="3945" ht="15.75" customHeight="1">
      <c r="A3945" s="1" t="str">
        <f>IFERROR(__xludf.DUMMYFUNCTION("""COMPUTED_VALUE"""),"Owen Conn")</f>
        <v>Owen Conn</v>
      </c>
      <c r="B3945" s="1" t="str">
        <f>IFERROR(__xludf.DUMMYFUNCTION("""COMPUTED_VALUE"""),"MS")</f>
        <v>MS</v>
      </c>
    </row>
    <row r="3946" ht="15.75" customHeight="1">
      <c r="A3946" s="1" t="str">
        <f>IFERROR(__xludf.DUMMYFUNCTION("""COMPUTED_VALUE"""),"Kadence Phariss")</f>
        <v>Kadence Phariss</v>
      </c>
      <c r="B3946" s="1" t="str">
        <f>IFERROR(__xludf.DUMMYFUNCTION("""COMPUTED_VALUE"""),"L2")</f>
        <v>L2</v>
      </c>
    </row>
    <row r="3947" ht="15.75" customHeight="1">
      <c r="A3947" s="1" t="str">
        <f>IFERROR(__xludf.DUMMYFUNCTION("""COMPUTED_VALUE"""),"Grace Tran")</f>
        <v>Grace Tran</v>
      </c>
      <c r="B3947" s="1" t="str">
        <f>IFERROR(__xludf.DUMMYFUNCTION("""COMPUTED_VALUE"""),"LL")</f>
        <v>LL</v>
      </c>
    </row>
    <row r="3948" ht="15.75" customHeight="1">
      <c r="A3948" s="1" t="str">
        <f>IFERROR(__xludf.DUMMYFUNCTION("""COMPUTED_VALUE"""),"Kai Lever")</f>
        <v>Kai Lever</v>
      </c>
      <c r="B3948" s="1" t="str">
        <f>IFERROR(__xludf.DUMMYFUNCTION("""COMPUTED_VALUE"""),"MS")</f>
        <v>MS</v>
      </c>
    </row>
    <row r="3949" ht="15.75" customHeight="1">
      <c r="A3949" s="1" t="str">
        <f>IFERROR(__xludf.DUMMYFUNCTION("""COMPUTED_VALUE"""),"Jay Lever")</f>
        <v>Jay Lever</v>
      </c>
      <c r="B3949" s="1" t="str">
        <f>IFERROR(__xludf.DUMMYFUNCTION("""COMPUTED_VALUE"""),"L2")</f>
        <v>L2</v>
      </c>
    </row>
    <row r="3950" ht="15.75" customHeight="1">
      <c r="A3950" s="1" t="str">
        <f>IFERROR(__xludf.DUMMYFUNCTION("""COMPUTED_VALUE"""),"Fiona Krajicek")</f>
        <v>Fiona Krajicek</v>
      </c>
      <c r="B3950" s="1" t="str">
        <f>IFERROR(__xludf.DUMMYFUNCTION("""COMPUTED_VALUE"""),"LL")</f>
        <v>LL</v>
      </c>
    </row>
    <row r="3951" ht="15.75" customHeight="1">
      <c r="A3951" s="1" t="str">
        <f>IFERROR(__xludf.DUMMYFUNCTION("""COMPUTED_VALUE"""),"Jack Delbridge")</f>
        <v>Jack Delbridge</v>
      </c>
      <c r="B3951" s="1" t="str">
        <f>IFERROR(__xludf.DUMMYFUNCTION("""COMPUTED_VALUE"""),"LL")</f>
        <v>LL</v>
      </c>
    </row>
    <row r="3952" ht="15.75" customHeight="1">
      <c r="A3952" s="1" t="str">
        <f>IFERROR(__xludf.DUMMYFUNCTION("""COMPUTED_VALUE"""),"JT Kambic")</f>
        <v>JT Kambic</v>
      </c>
      <c r="B3952" s="1" t="str">
        <f>IFERROR(__xludf.DUMMYFUNCTION("""COMPUTED_VALUE"""),"LL")</f>
        <v>LL</v>
      </c>
    </row>
    <row r="3953" ht="15.75" customHeight="1">
      <c r="A3953" s="1" t="str">
        <f>IFERROR(__xludf.DUMMYFUNCTION("""COMPUTED_VALUE"""),"Mira Kambic")</f>
        <v>Mira Kambic</v>
      </c>
      <c r="B3953" s="1" t="str">
        <f>IFERROR(__xludf.DUMMYFUNCTION("""COMPUTED_VALUE"""),"L2")</f>
        <v>L2</v>
      </c>
    </row>
    <row r="3954" ht="15.75" customHeight="1">
      <c r="A3954" s="1" t="str">
        <f>IFERROR(__xludf.DUMMYFUNCTION("""COMPUTED_VALUE"""),"Zane Thornton")</f>
        <v>Zane Thornton</v>
      </c>
      <c r="B3954" s="1" t="str">
        <f>IFERROR(__xludf.DUMMYFUNCTION("""COMPUTED_VALUE"""),"MS")</f>
        <v>MS</v>
      </c>
    </row>
    <row r="3955" ht="15.75" customHeight="1">
      <c r="A3955" s="1" t="str">
        <f>IFERROR(__xludf.DUMMYFUNCTION("""COMPUTED_VALUE"""),"Mason McDougald")</f>
        <v>Mason McDougald</v>
      </c>
      <c r="B3955" s="1" t="str">
        <f>IFERROR(__xludf.DUMMYFUNCTION("""COMPUTED_VALUE"""),"MS")</f>
        <v>MS</v>
      </c>
    </row>
    <row r="3956" ht="15.75" customHeight="1">
      <c r="A3956" s="1" t="str">
        <f>IFERROR(__xludf.DUMMYFUNCTION("""COMPUTED_VALUE"""),"Tallulah Chaney")</f>
        <v>Tallulah Chaney</v>
      </c>
      <c r="B3956" s="1" t="str">
        <f>IFERROR(__xludf.DUMMYFUNCTION("""COMPUTED_VALUE"""),"LL")</f>
        <v>LL</v>
      </c>
    </row>
    <row r="3957" ht="15.75" customHeight="1">
      <c r="A3957" s="1" t="str">
        <f>IFERROR(__xludf.DUMMYFUNCTION("""COMPUTED_VALUE"""),"Lauren Harden")</f>
        <v>Lauren Harden</v>
      </c>
      <c r="B3957" s="1" t="str">
        <f>IFERROR(__xludf.DUMMYFUNCTION("""COMPUTED_VALUE"""),"L1")</f>
        <v>L1</v>
      </c>
    </row>
    <row r="3958" ht="15.75" customHeight="1">
      <c r="A3958" s="1" t="str">
        <f>IFERROR(__xludf.DUMMYFUNCTION("""COMPUTED_VALUE"""),"Allison Kim")</f>
        <v>Allison Kim</v>
      </c>
      <c r="B3958" s="1" t="str">
        <f>IFERROR(__xludf.DUMMYFUNCTION("""COMPUTED_VALUE"""),"L1")</f>
        <v>L1</v>
      </c>
    </row>
    <row r="3959" ht="15.75" customHeight="1">
      <c r="A3959" s="1" t="str">
        <f>IFERROR(__xludf.DUMMYFUNCTION("""COMPUTED_VALUE"""),"Ryder Shilt")</f>
        <v>Ryder Shilt</v>
      </c>
      <c r="B3959" s="1" t="str">
        <f>IFERROR(__xludf.DUMMYFUNCTION("""COMPUTED_VALUE"""),"MS")</f>
        <v>MS</v>
      </c>
    </row>
    <row r="3960" ht="15.75" customHeight="1">
      <c r="A3960" s="1" t="str">
        <f>IFERROR(__xludf.DUMMYFUNCTION("""COMPUTED_VALUE"""),"Lawson Shilt")</f>
        <v>Lawson Shilt</v>
      </c>
      <c r="B3960" s="1" t="str">
        <f>IFERROR(__xludf.DUMMYFUNCTION("""COMPUTED_VALUE"""),"MS")</f>
        <v>MS</v>
      </c>
    </row>
    <row r="3961" ht="15.75" customHeight="1">
      <c r="A3961" s="1" t="str">
        <f>IFERROR(__xludf.DUMMYFUNCTION("""COMPUTED_VALUE"""),"Lawsen Lanehart")</f>
        <v>Lawsen Lanehart</v>
      </c>
      <c r="B3961" s="1" t="str">
        <f>IFERROR(__xludf.DUMMYFUNCTION("""COMPUTED_VALUE"""),"LL")</f>
        <v>LL</v>
      </c>
    </row>
    <row r="3962" ht="15.75" customHeight="1">
      <c r="A3962" s="1" t="str">
        <f>IFERROR(__xludf.DUMMYFUNCTION("""COMPUTED_VALUE"""),"Jax Marroquin")</f>
        <v>Jax Marroquin</v>
      </c>
      <c r="B3962" s="1" t="str">
        <f>IFERROR(__xludf.DUMMYFUNCTION("""COMPUTED_VALUE"""),"LL")</f>
        <v>LL</v>
      </c>
    </row>
    <row r="3963" ht="15.75" customHeight="1">
      <c r="A3963" s="1" t="str">
        <f>IFERROR(__xludf.DUMMYFUNCTION("""COMPUTED_VALUE"""),"Jenny Thomason")</f>
        <v>Jenny Thomason</v>
      </c>
      <c r="B3963" s="1" t="str">
        <f>IFERROR(__xludf.DUMMYFUNCTION("""COMPUTED_VALUE"""),"LL")</f>
        <v>LL</v>
      </c>
    </row>
    <row r="3964" ht="15.75" customHeight="1">
      <c r="A3964" s="1" t="str">
        <f>IFERROR(__xludf.DUMMYFUNCTION("""COMPUTED_VALUE"""),"Scarlett Sullivan")</f>
        <v>Scarlett Sullivan</v>
      </c>
      <c r="B3964" s="1" t="str">
        <f>IFERROR(__xludf.DUMMYFUNCTION("""COMPUTED_VALUE"""),"L2")</f>
        <v>L2</v>
      </c>
    </row>
    <row r="3965" ht="15.75" customHeight="1">
      <c r="A3965" s="1" t="str">
        <f>IFERROR(__xludf.DUMMYFUNCTION("""COMPUTED_VALUE"""),"Titus Towne")</f>
        <v>Titus Towne</v>
      </c>
      <c r="B3965" s="1" t="str">
        <f>IFERROR(__xludf.DUMMYFUNCTION("""COMPUTED_VALUE"""),"L2")</f>
        <v>L2</v>
      </c>
    </row>
    <row r="3966" ht="15.75" customHeight="1">
      <c r="A3966" s="1" t="str">
        <f>IFERROR(__xludf.DUMMYFUNCTION("""COMPUTED_VALUE"""),"Benjamin Towne")</f>
        <v>Benjamin Towne</v>
      </c>
      <c r="B3966" s="1" t="str">
        <f>IFERROR(__xludf.DUMMYFUNCTION("""COMPUTED_VALUE"""),"L1")</f>
        <v>L1</v>
      </c>
    </row>
    <row r="3967" ht="15.75" customHeight="1">
      <c r="A3967" s="1" t="str">
        <f>IFERROR(__xludf.DUMMYFUNCTION("""COMPUTED_VALUE"""),"Smith Adreon")</f>
        <v>Smith Adreon</v>
      </c>
      <c r="B3967" s="1" t="str">
        <f>IFERROR(__xludf.DUMMYFUNCTION("""COMPUTED_VALUE"""),"L2")</f>
        <v>L2</v>
      </c>
    </row>
    <row r="3968" ht="15.75" customHeight="1">
      <c r="A3968" s="1" t="str">
        <f>IFERROR(__xludf.DUMMYFUNCTION("""COMPUTED_VALUE"""),"Lucy Wilkinson")</f>
        <v>Lucy Wilkinson</v>
      </c>
      <c r="B3968" s="1" t="str">
        <f>IFERROR(__xludf.DUMMYFUNCTION("""COMPUTED_VALUE"""),"LL")</f>
        <v>LL</v>
      </c>
    </row>
    <row r="3969" ht="15.75" customHeight="1">
      <c r="A3969" s="1" t="str">
        <f>IFERROR(__xludf.DUMMYFUNCTION("""COMPUTED_VALUE"""),"Otto Metzger")</f>
        <v>Otto Metzger</v>
      </c>
      <c r="B3969" s="1" t="str">
        <f>IFERROR(__xludf.DUMMYFUNCTION("""COMPUTED_VALUE"""),"MS")</f>
        <v>MS</v>
      </c>
    </row>
    <row r="3970" ht="15.75" customHeight="1">
      <c r="A3970" s="1" t="str">
        <f>IFERROR(__xludf.DUMMYFUNCTION("""COMPUTED_VALUE"""),"Cam McCollough")</f>
        <v>Cam McCollough</v>
      </c>
      <c r="B3970" s="1" t="str">
        <f>IFERROR(__xludf.DUMMYFUNCTION("""COMPUTED_VALUE"""),"MS")</f>
        <v>MS</v>
      </c>
    </row>
    <row r="3971" ht="15.75" customHeight="1">
      <c r="A3971" s="1" t="str">
        <f>IFERROR(__xludf.DUMMYFUNCTION("""COMPUTED_VALUE"""),"Andie Childress")</f>
        <v>Andie Childress</v>
      </c>
      <c r="B3971" s="1" t="str">
        <f>IFERROR(__xludf.DUMMYFUNCTION("""COMPUTED_VALUE"""),"MS")</f>
        <v>MS</v>
      </c>
    </row>
    <row r="3972" ht="15.75" customHeight="1">
      <c r="A3972" s="1" t="str">
        <f>IFERROR(__xludf.DUMMYFUNCTION("""COMPUTED_VALUE"""),"Victoria Towne")</f>
        <v>Victoria Towne</v>
      </c>
      <c r="B3972" s="1" t="str">
        <f>IFERROR(__xludf.DUMMYFUNCTION("""COMPUTED_VALUE"""),"MS")</f>
        <v>MS</v>
      </c>
    </row>
    <row r="3973" ht="15.75" customHeight="1">
      <c r="A3973" s="1" t="str">
        <f>IFERROR(__xludf.DUMMYFUNCTION("""COMPUTED_VALUE"""),"Cooper Gregston")</f>
        <v>Cooper Gregston</v>
      </c>
      <c r="B3973" s="1" t="str">
        <f>IFERROR(__xludf.DUMMYFUNCTION("""COMPUTED_VALUE"""),"L1")</f>
        <v>L1</v>
      </c>
    </row>
    <row r="3974" ht="15.75" customHeight="1">
      <c r="A3974" s="1" t="str">
        <f>IFERROR(__xludf.DUMMYFUNCTION("""COMPUTED_VALUE"""),"TSA Student _test_")</f>
        <v>TSA Student _test_</v>
      </c>
      <c r="B3974" s="1" t="str">
        <f>IFERROR(__xludf.DUMMYFUNCTION("""COMPUTED_VALUE"""),"MS")</f>
        <v>MS</v>
      </c>
    </row>
    <row r="3975" ht="15.75" customHeight="1">
      <c r="A3975" s="1" t="str">
        <f>IFERROR(__xludf.DUMMYFUNCTION("""COMPUTED_VALUE"""),"TSA Student 2 _test_")</f>
        <v>TSA Student 2 _test_</v>
      </c>
      <c r="B3975" s="1" t="str">
        <f>IFERROR(__xludf.DUMMYFUNCTION("""COMPUTED_VALUE"""),"MS")</f>
        <v>MS</v>
      </c>
    </row>
    <row r="3976" ht="15.75" customHeight="1">
      <c r="A3976" s="1" t="str">
        <f>IFERROR(__xludf.DUMMYFUNCTION("""COMPUTED_VALUE"""),"Georgia Sullivan")</f>
        <v>Georgia Sullivan</v>
      </c>
      <c r="B3976" s="1" t="str">
        <f>IFERROR(__xludf.DUMMYFUNCTION("""COMPUTED_VALUE"""),"L1")</f>
        <v>L1</v>
      </c>
    </row>
    <row r="3977" ht="15.75" customHeight="1">
      <c r="A3977" s="1" t="str">
        <f>IFERROR(__xludf.DUMMYFUNCTION("""COMPUTED_VALUE"""),"Conrad Horn")</f>
        <v>Conrad Horn</v>
      </c>
      <c r="B3977" s="1" t="str">
        <f>IFERROR(__xludf.DUMMYFUNCTION("""COMPUTED_VALUE"""),"LL")</f>
        <v>LL</v>
      </c>
    </row>
    <row r="3978" ht="15.75" customHeight="1">
      <c r="A3978" s="1" t="str">
        <f>IFERROR(__xludf.DUMMYFUNCTION("""COMPUTED_VALUE"""),"Brooks Horn")</f>
        <v>Brooks Horn</v>
      </c>
      <c r="B3978" s="1" t="str">
        <f>IFERROR(__xludf.DUMMYFUNCTION("""COMPUTED_VALUE"""),"L1")</f>
        <v>L1</v>
      </c>
    </row>
    <row r="3979" ht="15.75" customHeight="1">
      <c r="A3979" s="1" t="str">
        <f>IFERROR(__xludf.DUMMYFUNCTION("""COMPUTED_VALUE"""),"Annabel Horn")</f>
        <v>Annabel Horn</v>
      </c>
      <c r="B3979" s="1" t="str">
        <f>IFERROR(__xludf.DUMMYFUNCTION("""COMPUTED_VALUE"""),"L2")</f>
        <v>L2</v>
      </c>
    </row>
    <row r="3980" ht="15.75" customHeight="1">
      <c r="A3980" s="1" t="str">
        <f>IFERROR(__xludf.DUMMYFUNCTION("""COMPUTED_VALUE"""),"Jack Milne")</f>
        <v>Jack Milne</v>
      </c>
      <c r="B3980" s="1" t="str">
        <f>IFERROR(__xludf.DUMMYFUNCTION("""COMPUTED_VALUE"""),"WL")</f>
        <v>WL</v>
      </c>
    </row>
    <row r="3981" ht="15.75" customHeight="1">
      <c r="A3981" s="1" t="str">
        <f>IFERROR(__xludf.DUMMYFUNCTION("""COMPUTED_VALUE"""),"Phoenix Knight")</f>
        <v>Phoenix Knight</v>
      </c>
      <c r="B3981" s="1" t="str">
        <f>IFERROR(__xludf.DUMMYFUNCTION("""COMPUTED_VALUE"""),"L2")</f>
        <v>L2</v>
      </c>
    </row>
    <row r="3982" ht="15.75" customHeight="1">
      <c r="A3982" s="1" t="str">
        <f>IFERROR(__xludf.DUMMYFUNCTION("""COMPUTED_VALUE"""),"Sachin Sarna")</f>
        <v>Sachin Sarna</v>
      </c>
      <c r="B3982" s="1" t="str">
        <f>IFERROR(__xludf.DUMMYFUNCTION("""COMPUTED_VALUE"""),"L1")</f>
        <v>L1</v>
      </c>
    </row>
    <row r="3983" ht="15.75" customHeight="1">
      <c r="A3983" s="1" t="str">
        <f>IFERROR(__xludf.DUMMYFUNCTION("""COMPUTED_VALUE"""),"EnrollmentChild _test_")</f>
        <v>EnrollmentChild _test_</v>
      </c>
      <c r="B3983" s="1" t="str">
        <f>IFERROR(__xludf.DUMMYFUNCTION("""COMPUTED_VALUE"""),"HS")</f>
        <v>HS</v>
      </c>
    </row>
    <row r="3984" ht="15.75" customHeight="1">
      <c r="A3984" s="1" t="str">
        <f>IFERROR(__xludf.DUMMYFUNCTION("""COMPUTED_VALUE"""),"Carter Gregston")</f>
        <v>Carter Gregston</v>
      </c>
      <c r="B3984" s="1" t="str">
        <f>IFERROR(__xludf.DUMMYFUNCTION("""COMPUTED_VALUE"""),"LL")</f>
        <v>LL</v>
      </c>
    </row>
    <row r="3985" ht="15.75" customHeight="1">
      <c r="A3985" s="1" t="str">
        <f>IFERROR(__xludf.DUMMYFUNCTION("""COMPUTED_VALUE"""),"Scarlett Zarabi")</f>
        <v>Scarlett Zarabi</v>
      </c>
      <c r="B3985" s="1" t="str">
        <f>IFERROR(__xludf.DUMMYFUNCTION("""COMPUTED_VALUE"""),"MS")</f>
        <v>MS</v>
      </c>
    </row>
    <row r="3986" ht="15.75" customHeight="1">
      <c r="A3986" s="1" t="str">
        <f>IFERROR(__xludf.DUMMYFUNCTION("""COMPUTED_VALUE"""),"Bella Barba")</f>
        <v>Bella Barba</v>
      </c>
      <c r="B3986" s="1" t="str">
        <f>IFERROR(__xludf.DUMMYFUNCTION("""COMPUTED_VALUE"""),"MS")</f>
        <v>MS</v>
      </c>
    </row>
    <row r="3987" ht="15.75" customHeight="1">
      <c r="A3987" s="1" t="str">
        <f>IFERROR(__xludf.DUMMYFUNCTION("""COMPUTED_VALUE"""),"Sydney Barba")</f>
        <v>Sydney Barba</v>
      </c>
      <c r="B3987" s="1" t="str">
        <f>IFERROR(__xludf.DUMMYFUNCTION("""COMPUTED_VALUE"""),"HS")</f>
        <v>HS</v>
      </c>
    </row>
    <row r="3988" ht="15.75" customHeight="1">
      <c r="A3988" s="1" t="str">
        <f>IFERROR(__xludf.DUMMYFUNCTION("""COMPUTED_VALUE"""),"Luna Montagna")</f>
        <v>Luna Montagna</v>
      </c>
      <c r="B3988" s="1" t="str">
        <f>IFERROR(__xludf.DUMMYFUNCTION("""COMPUTED_VALUE"""),"L2")</f>
        <v>L2</v>
      </c>
    </row>
    <row r="3989" ht="15.75" customHeight="1">
      <c r="A3989" s="1" t="str">
        <f>IFERROR(__xludf.DUMMYFUNCTION("""COMPUTED_VALUE"""),"Leo Montagna")</f>
        <v>Leo Montagna</v>
      </c>
      <c r="B3989" s="1" t="str">
        <f>IFERROR(__xludf.DUMMYFUNCTION("""COMPUTED_VALUE"""),"L1")</f>
        <v>L1</v>
      </c>
    </row>
    <row r="3990" ht="15.75" customHeight="1">
      <c r="A3990" s="1" t="str">
        <f>IFERROR(__xludf.DUMMYFUNCTION("""COMPUTED_VALUE"""),"Jason Montagna")</f>
        <v>Jason Montagna</v>
      </c>
      <c r="B3990" s="1" t="str">
        <f>IFERROR(__xludf.DUMMYFUNCTION("""COMPUTED_VALUE"""),"MS")</f>
        <v>MS</v>
      </c>
    </row>
    <row r="3991" ht="15.75" customHeight="1">
      <c r="A3991" s="1" t="str">
        <f>IFERROR(__xludf.DUMMYFUNCTION("""COMPUTED_VALUE"""),"Sai Shah")</f>
        <v>Sai Shah</v>
      </c>
      <c r="B3991" s="1" t="str">
        <f>IFERROR(__xludf.DUMMYFUNCTION("""COMPUTED_VALUE"""),"LL")</f>
        <v>LL</v>
      </c>
    </row>
    <row r="3992" ht="15.75" customHeight="1">
      <c r="A3992" s="1" t="str">
        <f>IFERROR(__xludf.DUMMYFUNCTION("""COMPUTED_VALUE"""),"Penny Marty")</f>
        <v>Penny Marty</v>
      </c>
      <c r="B3992" s="1" t="str">
        <f>IFERROR(__xludf.DUMMYFUNCTION("""COMPUTED_VALUE"""),"MS")</f>
        <v>MS</v>
      </c>
    </row>
    <row r="3993" ht="15.75" customHeight="1">
      <c r="A3993" s="1" t="str">
        <f>IFERROR(__xludf.DUMMYFUNCTION("""COMPUTED_VALUE"""),"Magnus Liodden")</f>
        <v>Magnus Liodden</v>
      </c>
      <c r="B3993" s="1" t="str">
        <f>IFERROR(__xludf.DUMMYFUNCTION("""COMPUTED_VALUE"""),"L1")</f>
        <v>L1</v>
      </c>
    </row>
    <row r="3994" ht="15.75" customHeight="1">
      <c r="A3994" s="1" t="str">
        <f>IFERROR(__xludf.DUMMYFUNCTION("""COMPUTED_VALUE"""),"Javier Martinez")</f>
        <v>Javier Martinez</v>
      </c>
      <c r="B3994" s="1" t="str">
        <f>IFERROR(__xludf.DUMMYFUNCTION("""COMPUTED_VALUE"""),"L1")</f>
        <v>L1</v>
      </c>
    </row>
    <row r="3995" ht="15.75" customHeight="1">
      <c r="A3995" s="1" t="str">
        <f>IFERROR(__xludf.DUMMYFUNCTION("""COMPUTED_VALUE"""),"Eva Joan Martinez")</f>
        <v>Eva Joan Martinez</v>
      </c>
      <c r="B3995" s="1" t="str">
        <f>IFERROR(__xludf.DUMMYFUNCTION("""COMPUTED_VALUE"""),"LL")</f>
        <v>LL</v>
      </c>
    </row>
    <row r="3996" ht="15.75" customHeight="1">
      <c r="A3996" s="1" t="str">
        <f>IFERROR(__xludf.DUMMYFUNCTION("""COMPUTED_VALUE"""),"Jeronimo Cardenas Garcia")</f>
        <v>Jeronimo Cardenas Garcia</v>
      </c>
      <c r="B3996" s="1" t="str">
        <f>IFERROR(__xludf.DUMMYFUNCTION("""COMPUTED_VALUE"""),"LL")</f>
        <v>LL</v>
      </c>
    </row>
    <row r="3997" ht="15.75" customHeight="1">
      <c r="A3997" s="1" t="str">
        <f>IFERROR(__xludf.DUMMYFUNCTION("""COMPUTED_VALUE"""),"Santiago Vasquez Lazo")</f>
        <v>Santiago Vasquez Lazo</v>
      </c>
      <c r="B3997" s="1" t="str">
        <f>IFERROR(__xludf.DUMMYFUNCTION("""COMPUTED_VALUE"""),"MS")</f>
        <v>MS</v>
      </c>
    </row>
    <row r="3998" ht="15.75" customHeight="1">
      <c r="A3998" s="1" t="str">
        <f>IFERROR(__xludf.DUMMYFUNCTION("""COMPUTED_VALUE"""),"Elle Zak")</f>
        <v>Elle Zak</v>
      </c>
      <c r="B3998" s="1" t="str">
        <f>IFERROR(__xludf.DUMMYFUNCTION("""COMPUTED_VALUE"""),"L2")</f>
        <v>L2</v>
      </c>
    </row>
    <row r="3999" ht="15.75" customHeight="1">
      <c r="A3999" s="1" t="str">
        <f>IFERROR(__xludf.DUMMYFUNCTION("""COMPUTED_VALUE"""),"Test Account8")</f>
        <v>Test Account8</v>
      </c>
      <c r="B3999" s="1" t="str">
        <f>IFERROR(__xludf.DUMMYFUNCTION("""COMPUTED_VALUE"""),"MS")</f>
        <v>MS</v>
      </c>
    </row>
    <row r="4000" ht="15.75" customHeight="1">
      <c r="A4000" s="1" t="str">
        <f>IFERROR(__xludf.DUMMYFUNCTION("""COMPUTED_VALUE"""),"Ben Laserna")</f>
        <v>Ben Laserna</v>
      </c>
      <c r="B4000" s="1" t="str">
        <f>IFERROR(__xludf.DUMMYFUNCTION("""COMPUTED_VALUE"""),"L1")</f>
        <v>L1</v>
      </c>
    </row>
    <row r="4001" ht="15.75" customHeight="1">
      <c r="A4001" s="1" t="str">
        <f>IFERROR(__xludf.DUMMYFUNCTION("""COMPUTED_VALUE"""),"Jace Guilarte")</f>
        <v>Jace Guilarte</v>
      </c>
      <c r="B4001" s="1" t="str">
        <f>IFERROR(__xludf.DUMMYFUNCTION("""COMPUTED_VALUE"""),"L1")</f>
        <v>L1</v>
      </c>
    </row>
    <row r="4002" ht="15.75" customHeight="1">
      <c r="A4002" s="1" t="str">
        <f>IFERROR(__xludf.DUMMYFUNCTION("""COMPUTED_VALUE"""),"Sebi Cobas")</f>
        <v>Sebi Cobas</v>
      </c>
      <c r="B4002" s="1" t="str">
        <f>IFERROR(__xludf.DUMMYFUNCTION("""COMPUTED_VALUE"""),"MS")</f>
        <v>MS</v>
      </c>
    </row>
    <row r="4003" ht="15.75" customHeight="1">
      <c r="A4003" s="1" t="str">
        <f>IFERROR(__xludf.DUMMYFUNCTION("""COMPUTED_VALUE"""),"Lydia Cobas")</f>
        <v>Lydia Cobas</v>
      </c>
      <c r="B4003" s="1" t="str">
        <f>IFERROR(__xludf.DUMMYFUNCTION("""COMPUTED_VALUE"""),"MS")</f>
        <v>MS</v>
      </c>
    </row>
    <row r="4004" ht="15.75" customHeight="1">
      <c r="A4004" s="1" t="str">
        <f>IFERROR(__xludf.DUMMYFUNCTION("""COMPUTED_VALUE"""),"Bobby Simonds III")</f>
        <v>Bobby Simonds III</v>
      </c>
      <c r="B4004" s="1" t="str">
        <f>IFERROR(__xludf.DUMMYFUNCTION("""COMPUTED_VALUE"""),"MS")</f>
        <v>MS</v>
      </c>
    </row>
    <row r="4005" ht="15.75" customHeight="1">
      <c r="A4005" s="1" t="str">
        <f>IFERROR(__xludf.DUMMYFUNCTION("""COMPUTED_VALUE"""),"Bernardo Adams")</f>
        <v>Bernardo Adams</v>
      </c>
      <c r="B4005" s="1" t="str">
        <f>IFERROR(__xludf.DUMMYFUNCTION("""COMPUTED_VALUE"""),"L2")</f>
        <v>L2</v>
      </c>
    </row>
    <row r="4006" ht="15.75" customHeight="1">
      <c r="A4006" s="1" t="str">
        <f>IFERROR(__xludf.DUMMYFUNCTION("""COMPUTED_VALUE"""),"Noah Noorani")</f>
        <v>Noah Noorani</v>
      </c>
      <c r="B4006" s="1" t="str">
        <f>IFERROR(__xludf.DUMMYFUNCTION("""COMPUTED_VALUE"""),"L2")</f>
        <v>L2</v>
      </c>
    </row>
    <row r="4007" ht="15.75" customHeight="1">
      <c r="A4007" s="1" t="str">
        <f>IFERROR(__xludf.DUMMYFUNCTION("""COMPUTED_VALUE"""),"Sofia Page")</f>
        <v>Sofia Page</v>
      </c>
      <c r="B4007" s="1" t="str">
        <f>IFERROR(__xludf.DUMMYFUNCTION("""COMPUTED_VALUE"""),"MS")</f>
        <v>MS</v>
      </c>
    </row>
    <row r="4008" ht="15.75" customHeight="1">
      <c r="A4008" s="1" t="str">
        <f>IFERROR(__xludf.DUMMYFUNCTION("""COMPUTED_VALUE"""),"Thomas Page")</f>
        <v>Thomas Page</v>
      </c>
      <c r="B4008" s="1" t="str">
        <f>IFERROR(__xludf.DUMMYFUNCTION("""COMPUTED_VALUE"""),"L1")</f>
        <v>L1</v>
      </c>
    </row>
    <row r="4009" ht="15.75" customHeight="1">
      <c r="A4009" s="1" t="str">
        <f>IFERROR(__xludf.DUMMYFUNCTION("""COMPUTED_VALUE"""),"Daniel Calvo")</f>
        <v>Daniel Calvo</v>
      </c>
      <c r="B4009" s="1" t="str">
        <f>IFERROR(__xludf.DUMMYFUNCTION("""COMPUTED_VALUE"""),"LL")</f>
        <v>LL</v>
      </c>
    </row>
    <row r="4010" ht="15.75" customHeight="1">
      <c r="A4010" s="1" t="str">
        <f>IFERROR(__xludf.DUMMYFUNCTION("""COMPUTED_VALUE"""),"Alek Petrovic")</f>
        <v>Alek Petrovic</v>
      </c>
      <c r="B4010" s="1" t="str">
        <f>IFERROR(__xludf.DUMMYFUNCTION("""COMPUTED_VALUE"""),"LL")</f>
        <v>LL</v>
      </c>
    </row>
    <row r="4011" ht="15.75" customHeight="1">
      <c r="A4011" s="1" t="str">
        <f>IFERROR(__xludf.DUMMYFUNCTION("""COMPUTED_VALUE"""),"Sebastiano Campagna")</f>
        <v>Sebastiano Campagna</v>
      </c>
      <c r="B4011" s="1" t="str">
        <f>IFERROR(__xludf.DUMMYFUNCTION("""COMPUTED_VALUE"""),"MS")</f>
        <v>MS</v>
      </c>
    </row>
    <row r="4012" ht="15.75" customHeight="1">
      <c r="A4012" s="1" t="str">
        <f>IFERROR(__xludf.DUMMYFUNCTION("""COMPUTED_VALUE"""),"Milan Hidalgo")</f>
        <v>Milan Hidalgo</v>
      </c>
      <c r="B4012" s="1" t="str">
        <f>IFERROR(__xludf.DUMMYFUNCTION("""COMPUTED_VALUE"""),"WL")</f>
        <v>WL</v>
      </c>
    </row>
    <row r="4013" ht="15.75" customHeight="1">
      <c r="A4013" s="1" t="str">
        <f>IFERROR(__xludf.DUMMYFUNCTION("""COMPUTED_VALUE"""),"Mirko Hidalgo")</f>
        <v>Mirko Hidalgo</v>
      </c>
      <c r="B4013" s="1" t="str">
        <f>IFERROR(__xludf.DUMMYFUNCTION("""COMPUTED_VALUE"""),"WL")</f>
        <v>WL</v>
      </c>
    </row>
    <row r="4014" ht="15.75" customHeight="1">
      <c r="A4014" s="1" t="str">
        <f>IFERROR(__xludf.DUMMYFUNCTION("""COMPUTED_VALUE"""),"Lincoln Sperry")</f>
        <v>Lincoln Sperry</v>
      </c>
      <c r="B4014" s="1" t="str">
        <f>IFERROR(__xludf.DUMMYFUNCTION("""COMPUTED_VALUE"""),"L2")</f>
        <v>L2</v>
      </c>
    </row>
    <row r="4015" ht="15.75" customHeight="1">
      <c r="A4015" s="1" t="str">
        <f>IFERROR(__xludf.DUMMYFUNCTION("""COMPUTED_VALUE"""),"London Sperry")</f>
        <v>London Sperry</v>
      </c>
      <c r="B4015" s="1" t="str">
        <f>IFERROR(__xludf.DUMMYFUNCTION("""COMPUTED_VALUE"""),"L2")</f>
        <v>L2</v>
      </c>
    </row>
    <row r="4016" ht="15.75" customHeight="1">
      <c r="A4016" s="1" t="str">
        <f>IFERROR(__xludf.DUMMYFUNCTION("""COMPUTED_VALUE"""),"ELLE Lemberger")</f>
        <v>ELLE Lemberger</v>
      </c>
      <c r="B4016" s="1" t="str">
        <f>IFERROR(__xludf.DUMMYFUNCTION("""COMPUTED_VALUE"""),"L1")</f>
        <v>L1</v>
      </c>
    </row>
    <row r="4017" ht="15.75" customHeight="1">
      <c r="A4017" s="1" t="str">
        <f>IFERROR(__xludf.DUMMYFUNCTION("""COMPUTED_VALUE"""),"Aria Quintero")</f>
        <v>Aria Quintero</v>
      </c>
      <c r="B4017" s="1" t="str">
        <f>IFERROR(__xludf.DUMMYFUNCTION("""COMPUTED_VALUE"""),"MS")</f>
        <v>MS</v>
      </c>
    </row>
    <row r="4018" ht="15.75" customHeight="1">
      <c r="A4018" s="1" t="str">
        <f>IFERROR(__xludf.DUMMYFUNCTION("""COMPUTED_VALUE"""),"Rafaelle Choiniere")</f>
        <v>Rafaelle Choiniere</v>
      </c>
      <c r="B4018" s="1" t="str">
        <f>IFERROR(__xludf.DUMMYFUNCTION("""COMPUTED_VALUE"""),"L2")</f>
        <v>L2</v>
      </c>
    </row>
    <row r="4019" ht="15.75" customHeight="1">
      <c r="A4019" s="1" t="str">
        <f>IFERROR(__xludf.DUMMYFUNCTION("""COMPUTED_VALUE"""),"Camille Choiniere")</f>
        <v>Camille Choiniere</v>
      </c>
      <c r="B4019" s="1" t="str">
        <f>IFERROR(__xludf.DUMMYFUNCTION("""COMPUTED_VALUE"""),"L1")</f>
        <v>L1</v>
      </c>
    </row>
    <row r="4020" ht="15.75" customHeight="1">
      <c r="A4020" s="1" t="str">
        <f>IFERROR(__xludf.DUMMYFUNCTION("""COMPUTED_VALUE"""),"Ludovico Suppan")</f>
        <v>Ludovico Suppan</v>
      </c>
      <c r="B4020" s="1" t="str">
        <f>IFERROR(__xludf.DUMMYFUNCTION("""COMPUTED_VALUE"""),"WL")</f>
        <v>WL</v>
      </c>
    </row>
    <row r="4021" ht="15.75" customHeight="1">
      <c r="A4021" s="1" t="str">
        <f>IFERROR(__xludf.DUMMYFUNCTION("""COMPUTED_VALUE"""),"Liam Munoz")</f>
        <v>Liam Munoz</v>
      </c>
      <c r="B4021" s="1" t="str">
        <f>IFERROR(__xludf.DUMMYFUNCTION("""COMPUTED_VALUE"""),"WL")</f>
        <v>WL</v>
      </c>
    </row>
    <row r="4022" ht="15.75" customHeight="1">
      <c r="A4022" s="1" t="str">
        <f>IFERROR(__xludf.DUMMYFUNCTION("""COMPUTED_VALUE"""),"Lily Ibarra")</f>
        <v>Lily Ibarra</v>
      </c>
      <c r="B4022" s="1" t="str">
        <f>IFERROR(__xludf.DUMMYFUNCTION("""COMPUTED_VALUE"""),"L2")</f>
        <v>L2</v>
      </c>
    </row>
    <row r="4023" ht="15.75" customHeight="1">
      <c r="A4023" s="1" t="str">
        <f>IFERROR(__xludf.DUMMYFUNCTION("""COMPUTED_VALUE"""),"Matias Ogborn Cedeno")</f>
        <v>Matias Ogborn Cedeno</v>
      </c>
      <c r="B4023" s="1" t="str">
        <f>IFERROR(__xludf.DUMMYFUNCTION("""COMPUTED_VALUE"""),"L2")</f>
        <v>L2</v>
      </c>
    </row>
    <row r="4024" ht="15.75" customHeight="1">
      <c r="A4024" s="1" t="str">
        <f>IFERROR(__xludf.DUMMYFUNCTION("""COMPUTED_VALUE"""),"Audrey Charles Harper")</f>
        <v>Audrey Charles Harper</v>
      </c>
      <c r="B4024" s="1" t="str">
        <f>IFERROR(__xludf.DUMMYFUNCTION("""COMPUTED_VALUE"""),"LL")</f>
        <v>LL</v>
      </c>
    </row>
    <row r="4025" ht="15.75" customHeight="1">
      <c r="A4025" s="1" t="str">
        <f>IFERROR(__xludf.DUMMYFUNCTION("""COMPUTED_VALUE"""),"Josephine Scott Harper")</f>
        <v>Josephine Scott Harper</v>
      </c>
      <c r="B4025" s="1" t="str">
        <f>IFERROR(__xludf.DUMMYFUNCTION("""COMPUTED_VALUE"""),"WL")</f>
        <v>WL</v>
      </c>
    </row>
    <row r="4026" ht="15.75" customHeight="1">
      <c r="A4026" s="1" t="str">
        <f>IFERROR(__xludf.DUMMYFUNCTION("""COMPUTED_VALUE"""),"Mila Fierro")</f>
        <v>Mila Fierro</v>
      </c>
      <c r="B4026" s="1" t="str">
        <f>IFERROR(__xludf.DUMMYFUNCTION("""COMPUTED_VALUE"""),"L1")</f>
        <v>L1</v>
      </c>
    </row>
    <row r="4027" ht="15.75" customHeight="1">
      <c r="A4027" s="1" t="str">
        <f>IFERROR(__xludf.DUMMYFUNCTION("""COMPUTED_VALUE"""),"Lukas Noah Forero")</f>
        <v>Lukas Noah Forero</v>
      </c>
      <c r="B4027" s="1" t="str">
        <f>IFERROR(__xludf.DUMMYFUNCTION("""COMPUTED_VALUE"""),"L2")</f>
        <v>L2</v>
      </c>
    </row>
    <row r="4028" ht="15.75" customHeight="1">
      <c r="A4028" s="1" t="str">
        <f>IFERROR(__xludf.DUMMYFUNCTION("""COMPUTED_VALUE"""),"Conor Ferns")</f>
        <v>Conor Ferns</v>
      </c>
      <c r="B4028" s="1" t="str">
        <f>IFERROR(__xludf.DUMMYFUNCTION("""COMPUTED_VALUE"""),"WL")</f>
        <v>WL</v>
      </c>
    </row>
    <row r="4029" ht="15.75" customHeight="1">
      <c r="A4029" s="1" t="str">
        <f>IFERROR(__xludf.DUMMYFUNCTION("""COMPUTED_VALUE"""),"Matias Bravo")</f>
        <v>Matias Bravo</v>
      </c>
      <c r="B4029" s="1" t="str">
        <f>IFERROR(__xludf.DUMMYFUNCTION("""COMPUTED_VALUE"""),"WL")</f>
        <v>WL</v>
      </c>
    </row>
    <row r="4030" ht="15.75" customHeight="1">
      <c r="A4030" s="1" t="str">
        <f>IFERROR(__xludf.DUMMYFUNCTION("""COMPUTED_VALUE"""),"Nikolai Osztreicher")</f>
        <v>Nikolai Osztreicher</v>
      </c>
      <c r="B4030" s="1" t="str">
        <f>IFERROR(__xludf.DUMMYFUNCTION("""COMPUTED_VALUE"""),"MS")</f>
        <v>MS</v>
      </c>
    </row>
    <row r="4031" ht="15.75" customHeight="1">
      <c r="A4031" s="1" t="str">
        <f>IFERROR(__xludf.DUMMYFUNCTION("""COMPUTED_VALUE"""),"Mati Cortazar")</f>
        <v>Mati Cortazar</v>
      </c>
      <c r="B4031" s="1" t="str">
        <f>IFERROR(__xludf.DUMMYFUNCTION("""COMPUTED_VALUE"""),"L2")</f>
        <v>L2</v>
      </c>
    </row>
    <row r="4032" ht="15.75" customHeight="1">
      <c r="A4032" s="1" t="str">
        <f>IFERROR(__xludf.DUMMYFUNCTION("""COMPUTED_VALUE"""),"Pablo Cortazar")</f>
        <v>Pablo Cortazar</v>
      </c>
      <c r="B4032" s="1" t="str">
        <f>IFERROR(__xludf.DUMMYFUNCTION("""COMPUTED_VALUE"""),"L1")</f>
        <v>L1</v>
      </c>
    </row>
    <row r="4033" ht="15.75" customHeight="1">
      <c r="A4033" s="1" t="str">
        <f>IFERROR(__xludf.DUMMYFUNCTION("""COMPUTED_VALUE"""),"Asher Hazard")</f>
        <v>Asher Hazard</v>
      </c>
      <c r="B4033" s="1" t="str">
        <f>IFERROR(__xludf.DUMMYFUNCTION("""COMPUTED_VALUE"""),"L2")</f>
        <v>L2</v>
      </c>
    </row>
    <row r="4034" ht="15.75" customHeight="1">
      <c r="A4034" s="1" t="str">
        <f>IFERROR(__xludf.DUMMYFUNCTION("""COMPUTED_VALUE"""),"Ozzie Lowe")</f>
        <v>Ozzie Lowe</v>
      </c>
      <c r="B4034" s="1" t="str">
        <f>IFERROR(__xludf.DUMMYFUNCTION("""COMPUTED_VALUE"""),"MS")</f>
        <v>MS</v>
      </c>
    </row>
    <row r="4035" ht="15.75" customHeight="1">
      <c r="A4035" s="1" t="str">
        <f>IFERROR(__xludf.DUMMYFUNCTION("""COMPUTED_VALUE"""),"Gavyn Martinez")</f>
        <v>Gavyn Martinez</v>
      </c>
      <c r="B4035" s="1" t="str">
        <f>IFERROR(__xludf.DUMMYFUNCTION("""COMPUTED_VALUE"""),"MS")</f>
        <v>MS</v>
      </c>
    </row>
    <row r="4036" ht="15.75" customHeight="1">
      <c r="A4036" s="1" t="str">
        <f>IFERROR(__xludf.DUMMYFUNCTION("""COMPUTED_VALUE"""),"Izzy Vicente")</f>
        <v>Izzy Vicente</v>
      </c>
      <c r="B4036" s="1" t="str">
        <f>IFERROR(__xludf.DUMMYFUNCTION("""COMPUTED_VALUE"""),"HS")</f>
        <v>HS</v>
      </c>
    </row>
    <row r="4037" ht="15.75" customHeight="1">
      <c r="A4037" s="1" t="str">
        <f>IFERROR(__xludf.DUMMYFUNCTION("""COMPUTED_VALUE"""),"Giulia Scandella")</f>
        <v>Giulia Scandella</v>
      </c>
      <c r="B4037" s="1" t="str">
        <f>IFERROR(__xludf.DUMMYFUNCTION("""COMPUTED_VALUE"""),"L2")</f>
        <v>L2</v>
      </c>
    </row>
    <row r="4038" ht="15.75" customHeight="1">
      <c r="A4038" s="1" t="str">
        <f>IFERROR(__xludf.DUMMYFUNCTION("""COMPUTED_VALUE"""),"Max Jimenez")</f>
        <v>Max Jimenez</v>
      </c>
      <c r="B4038" s="1" t="str">
        <f>IFERROR(__xludf.DUMMYFUNCTION("""COMPUTED_VALUE"""),"L2")</f>
        <v>L2</v>
      </c>
    </row>
    <row r="4039" ht="15.75" customHeight="1">
      <c r="A4039" s="1" t="str">
        <f>IFERROR(__xludf.DUMMYFUNCTION("""COMPUTED_VALUE"""),"Brianna Bentancourt")</f>
        <v>Brianna Bentancourt</v>
      </c>
      <c r="B4039" s="1" t="str">
        <f>IFERROR(__xludf.DUMMYFUNCTION("""COMPUTED_VALUE"""),"L2")</f>
        <v>L2</v>
      </c>
    </row>
    <row r="4040" ht="15.75" customHeight="1">
      <c r="A4040" s="1" t="str">
        <f>IFERROR(__xludf.DUMMYFUNCTION("""COMPUTED_VALUE"""),"Tara Kehinde")</f>
        <v>Tara Kehinde</v>
      </c>
      <c r="B4040" s="1" t="str">
        <f>IFERROR(__xludf.DUMMYFUNCTION("""COMPUTED_VALUE"""),"L1")</f>
        <v>L1</v>
      </c>
    </row>
    <row r="4041" ht="15.75" customHeight="1">
      <c r="A4041" s="1" t="str">
        <f>IFERROR(__xludf.DUMMYFUNCTION("""COMPUTED_VALUE"""),"Mir Arsh Ali")</f>
        <v>Mir Arsh Ali</v>
      </c>
      <c r="B4041" s="1" t="str">
        <f>IFERROR(__xludf.DUMMYFUNCTION("""COMPUTED_VALUE"""),"MS")</f>
        <v>MS</v>
      </c>
    </row>
    <row r="4042" ht="15.75" customHeight="1">
      <c r="A4042" s="1" t="str">
        <f>IFERROR(__xludf.DUMMYFUNCTION("""COMPUTED_VALUE"""),"Isa De La Riva")</f>
        <v>Isa De La Riva</v>
      </c>
      <c r="B4042" s="1" t="str">
        <f>IFERROR(__xludf.DUMMYFUNCTION("""COMPUTED_VALUE"""),"L1")</f>
        <v>L1</v>
      </c>
    </row>
    <row r="4043" ht="15.75" customHeight="1">
      <c r="A4043" s="1" t="str">
        <f>IFERROR(__xludf.DUMMYFUNCTION("""COMPUTED_VALUE"""),"Catherine Caballero")</f>
        <v>Catherine Caballero</v>
      </c>
      <c r="B4043" s="1" t="str">
        <f>IFERROR(__xludf.DUMMYFUNCTION("""COMPUTED_VALUE"""),"L1")</f>
        <v>L1</v>
      </c>
    </row>
    <row r="4044" ht="15.75" customHeight="1">
      <c r="A4044" s="1" t="str">
        <f>IFERROR(__xludf.DUMMYFUNCTION("""COMPUTED_VALUE"""),"Ty Kotkovskyi")</f>
        <v>Ty Kotkovskyi</v>
      </c>
      <c r="B4044" s="1" t="str">
        <f>IFERROR(__xludf.DUMMYFUNCTION("""COMPUTED_VALUE"""),"MS")</f>
        <v>MS</v>
      </c>
    </row>
    <row r="4045" ht="15.75" customHeight="1">
      <c r="A4045" s="1" t="str">
        <f>IFERROR(__xludf.DUMMYFUNCTION("""COMPUTED_VALUE"""),"Asaph Park")</f>
        <v>Asaph Park</v>
      </c>
      <c r="B4045" s="1" t="str">
        <f>IFERROR(__xludf.DUMMYFUNCTION("""COMPUTED_VALUE"""),"LL")</f>
        <v>LL</v>
      </c>
    </row>
    <row r="4046" ht="15.75" customHeight="1">
      <c r="A4046" s="1" t="str">
        <f>IFERROR(__xludf.DUMMYFUNCTION("""COMPUTED_VALUE"""),"Nori Rodriguez")</f>
        <v>Nori Rodriguez</v>
      </c>
      <c r="B4046" s="1" t="str">
        <f>IFERROR(__xludf.DUMMYFUNCTION("""COMPUTED_VALUE"""),"LL")</f>
        <v>LL</v>
      </c>
    </row>
    <row r="4047" ht="15.75" customHeight="1">
      <c r="A4047" s="1" t="str">
        <f>IFERROR(__xludf.DUMMYFUNCTION("""COMPUTED_VALUE"""),"Ben De Amorim")</f>
        <v>Ben De Amorim</v>
      </c>
      <c r="B4047" s="1" t="str">
        <f>IFERROR(__xludf.DUMMYFUNCTION("""COMPUTED_VALUE"""),"MS")</f>
        <v>MS</v>
      </c>
    </row>
    <row r="4048" ht="15.75" customHeight="1">
      <c r="A4048" s="1" t="str">
        <f>IFERROR(__xludf.DUMMYFUNCTION("""COMPUTED_VALUE"""),"David Sheldon")</f>
        <v>David Sheldon</v>
      </c>
      <c r="B4048" s="1" t="str">
        <f>IFERROR(__xludf.DUMMYFUNCTION("""COMPUTED_VALUE"""),"MS")</f>
        <v>MS</v>
      </c>
    </row>
    <row r="4049" ht="15.75" customHeight="1">
      <c r="A4049" s="1" t="str">
        <f>IFERROR(__xludf.DUMMYFUNCTION("""COMPUTED_VALUE"""),"Abi Constain")</f>
        <v>Abi Constain</v>
      </c>
      <c r="B4049" s="1" t="str">
        <f>IFERROR(__xludf.DUMMYFUNCTION("""COMPUTED_VALUE"""),"MS")</f>
        <v>MS</v>
      </c>
    </row>
    <row r="4050" ht="15.75" customHeight="1">
      <c r="A4050" s="1" t="str">
        <f>IFERROR(__xludf.DUMMYFUNCTION("""COMPUTED_VALUE"""),"Sol Felicevich")</f>
        <v>Sol Felicevich</v>
      </c>
      <c r="B4050" s="1" t="str">
        <f>IFERROR(__xludf.DUMMYFUNCTION("""COMPUTED_VALUE"""),"MS")</f>
        <v>MS</v>
      </c>
    </row>
    <row r="4051" ht="15.75" customHeight="1">
      <c r="A4051" s="1" t="str">
        <f>IFERROR(__xludf.DUMMYFUNCTION("""COMPUTED_VALUE"""),"Ju Orloff")</f>
        <v>Ju Orloff</v>
      </c>
      <c r="B4051" s="1" t="str">
        <f>IFERROR(__xludf.DUMMYFUNCTION("""COMPUTED_VALUE"""),"HS")</f>
        <v>HS</v>
      </c>
    </row>
    <row r="4052" ht="15.75" customHeight="1">
      <c r="A4052" s="1" t="str">
        <f>IFERROR(__xludf.DUMMYFUNCTION("""COMPUTED_VALUE"""),"Lilly Orloff")</f>
        <v>Lilly Orloff</v>
      </c>
      <c r="B4052" s="1" t="str">
        <f>IFERROR(__xludf.DUMMYFUNCTION("""COMPUTED_VALUE"""),"L2")</f>
        <v>L2</v>
      </c>
    </row>
    <row r="4053" ht="15.75" customHeight="1">
      <c r="A4053" s="1" t="str">
        <f>IFERROR(__xludf.DUMMYFUNCTION("""COMPUTED_VALUE"""),"Justin Rodriguez")</f>
        <v>Justin Rodriguez</v>
      </c>
      <c r="B4053" s="1" t="str">
        <f>IFERROR(__xludf.DUMMYFUNCTION("""COMPUTED_VALUE"""),"HS")</f>
        <v>HS</v>
      </c>
    </row>
    <row r="4054" ht="15.75" customHeight="1">
      <c r="A4054" s="1" t="str">
        <f>IFERROR(__xludf.DUMMYFUNCTION("""COMPUTED_VALUE"""),"Emin Poladov")</f>
        <v>Emin Poladov</v>
      </c>
      <c r="B4054" s="1" t="str">
        <f>IFERROR(__xludf.DUMMYFUNCTION("""COMPUTED_VALUE"""),"LL")</f>
        <v>LL</v>
      </c>
    </row>
    <row r="4055" ht="15.75" customHeight="1">
      <c r="A4055" s="1" t="str">
        <f>IFERROR(__xludf.DUMMYFUNCTION("""COMPUTED_VALUE"""),"_test_ChildFarhan Raja_Last")</f>
        <v>_test_ChildFarhan Raja_Last</v>
      </c>
      <c r="B4055" s="1" t="str">
        <f>IFERROR(__xludf.DUMMYFUNCTION("""COMPUTED_VALUE"""),"MS")</f>
        <v>MS</v>
      </c>
    </row>
    <row r="4056" ht="15.75" customHeight="1">
      <c r="A4056" s="1" t="str">
        <f>IFERROR(__xludf.DUMMYFUNCTION("""COMPUTED_VALUE"""),"Luca Stroman")</f>
        <v>Luca Stroman</v>
      </c>
      <c r="B4056" s="1" t="str">
        <f>IFERROR(__xludf.DUMMYFUNCTION("""COMPUTED_VALUE"""),"L1")</f>
        <v>L1</v>
      </c>
    </row>
    <row r="4057" ht="15.75" customHeight="1">
      <c r="A4057" s="1" t="str">
        <f>IFERROR(__xludf.DUMMYFUNCTION("""COMPUTED_VALUE"""),"Alessia Kriete")</f>
        <v>Alessia Kriete</v>
      </c>
      <c r="B4057" s="1" t="str">
        <f>IFERROR(__xludf.DUMMYFUNCTION("""COMPUTED_VALUE"""),"LL")</f>
        <v>LL</v>
      </c>
    </row>
    <row r="4058" ht="15.75" customHeight="1">
      <c r="A4058" s="1" t="str">
        <f>IFERROR(__xludf.DUMMYFUNCTION("""COMPUTED_VALUE"""),"Elias Kellemen")</f>
        <v>Elias Kellemen</v>
      </c>
      <c r="B4058" s="1" t="str">
        <f>IFERROR(__xludf.DUMMYFUNCTION("""COMPUTED_VALUE"""),"MS")</f>
        <v>MS</v>
      </c>
    </row>
    <row r="4059" ht="15.75" customHeight="1">
      <c r="A4059" s="1" t="str">
        <f>IFERROR(__xludf.DUMMYFUNCTION("""COMPUTED_VALUE"""),"Emma Correa")</f>
        <v>Emma Correa</v>
      </c>
      <c r="B4059" s="1" t="str">
        <f>IFERROR(__xludf.DUMMYFUNCTION("""COMPUTED_VALUE"""),"MS")</f>
        <v>MS</v>
      </c>
    </row>
    <row r="4060" ht="15.75" customHeight="1">
      <c r="A4060" s="1" t="str">
        <f>IFERROR(__xludf.DUMMYFUNCTION("""COMPUTED_VALUE"""),"_test_ChildFarhanDifferent1 Raja_Last")</f>
        <v>_test_ChildFarhanDifferent1 Raja_Last</v>
      </c>
      <c r="B4060" s="1" t="str">
        <f>IFERROR(__xludf.DUMMYFUNCTION("""COMPUTED_VALUE"""),"L1")</f>
        <v>L1</v>
      </c>
    </row>
    <row r="4061" ht="15.75" customHeight="1">
      <c r="A4061" s="1" t="str">
        <f>IFERROR(__xludf.DUMMYFUNCTION("""COMPUTED_VALUE"""),"Julian Dziuba")</f>
        <v>Julian Dziuba</v>
      </c>
      <c r="B4061" s="1" t="str">
        <f>IFERROR(__xludf.DUMMYFUNCTION("""COMPUTED_VALUE"""),"L1")</f>
        <v>L1</v>
      </c>
    </row>
    <row r="4062" ht="15.75" customHeight="1">
      <c r="A4062" s="1" t="str">
        <f>IFERROR(__xludf.DUMMYFUNCTION("""COMPUTED_VALUE"""),"Jason Dziuba")</f>
        <v>Jason Dziuba</v>
      </c>
      <c r="B4062" s="1" t="str">
        <f>IFERROR(__xludf.DUMMYFUNCTION("""COMPUTED_VALUE"""),"MS")</f>
        <v>MS</v>
      </c>
    </row>
    <row r="4063" ht="15.75" customHeight="1">
      <c r="A4063" s="1" t="str">
        <f>IFERROR(__xludf.DUMMYFUNCTION("""COMPUTED_VALUE"""),"Emilio Correa")</f>
        <v>Emilio Correa</v>
      </c>
      <c r="B4063" s="1" t="str">
        <f>IFERROR(__xludf.DUMMYFUNCTION("""COMPUTED_VALUE"""),"L2")</f>
        <v>L2</v>
      </c>
    </row>
    <row r="4064" ht="15.75" customHeight="1">
      <c r="A4064" s="1" t="str">
        <f>IFERROR(__xludf.DUMMYFUNCTION("""COMPUTED_VALUE"""),"Siena Busch")</f>
        <v>Siena Busch</v>
      </c>
      <c r="B4064" s="1" t="str">
        <f>IFERROR(__xludf.DUMMYFUNCTION("""COMPUTED_VALUE"""),"L1")</f>
        <v>L1</v>
      </c>
    </row>
    <row r="4065" ht="15.75" customHeight="1">
      <c r="A4065" s="1" t="str">
        <f>IFERROR(__xludf.DUMMYFUNCTION("""COMPUTED_VALUE"""),"William Milciunas")</f>
        <v>William Milciunas</v>
      </c>
      <c r="B4065" s="1" t="str">
        <f>IFERROR(__xludf.DUMMYFUNCTION("""COMPUTED_VALUE"""),"WL")</f>
        <v>WL</v>
      </c>
    </row>
    <row r="4066" ht="15.75" customHeight="1">
      <c r="A4066" s="1" t="str">
        <f>IFERROR(__xludf.DUMMYFUNCTION("""COMPUTED_VALUE"""),"Alejandro Castillo")</f>
        <v>Alejandro Castillo</v>
      </c>
      <c r="B4066" s="1" t="str">
        <f>IFERROR(__xludf.DUMMYFUNCTION("""COMPUTED_VALUE"""),"L2")</f>
        <v>L2</v>
      </c>
    </row>
    <row r="4067" ht="15.75" customHeight="1">
      <c r="A4067" s="1" t="str">
        <f>IFERROR(__xludf.DUMMYFUNCTION("""COMPUTED_VALUE"""),"Nico Mora")</f>
        <v>Nico Mora</v>
      </c>
      <c r="B4067" s="1" t="str">
        <f>IFERROR(__xludf.DUMMYFUNCTION("""COMPUTED_VALUE"""),"MS")</f>
        <v>MS</v>
      </c>
    </row>
    <row r="4068" ht="15.75" customHeight="1">
      <c r="A4068" s="1" t="str">
        <f>IFERROR(__xludf.DUMMYFUNCTION("""COMPUTED_VALUE"""),"Enzo Estrada")</f>
        <v>Enzo Estrada</v>
      </c>
      <c r="B4068" s="1" t="str">
        <f>IFERROR(__xludf.DUMMYFUNCTION("""COMPUTED_VALUE"""),"LL")</f>
        <v>LL</v>
      </c>
    </row>
    <row r="4069" ht="15.75" customHeight="1">
      <c r="A4069" s="1" t="str">
        <f>IFERROR(__xludf.DUMMYFUNCTION("""COMPUTED_VALUE"""),"Antonio Gutierrez")</f>
        <v>Antonio Gutierrez</v>
      </c>
      <c r="B4069" s="1" t="str">
        <f>IFERROR(__xludf.DUMMYFUNCTION("""COMPUTED_VALUE"""),"L2")</f>
        <v>L2</v>
      </c>
    </row>
    <row r="4070" ht="15.75" customHeight="1">
      <c r="A4070" s="1" t="str">
        <f>IFERROR(__xludf.DUMMYFUNCTION("""COMPUTED_VALUE"""),"Amelia Barakat")</f>
        <v>Amelia Barakat</v>
      </c>
      <c r="B4070" s="1" t="str">
        <f>IFERROR(__xludf.DUMMYFUNCTION("""COMPUTED_VALUE"""),"L1")</f>
        <v>L1</v>
      </c>
    </row>
    <row r="4071" ht="15.75" customHeight="1">
      <c r="A4071" s="1" t="str">
        <f>IFERROR(__xludf.DUMMYFUNCTION("""COMPUTED_VALUE"""),"Estella Estrada")</f>
        <v>Estella Estrada</v>
      </c>
      <c r="B4071" s="1" t="str">
        <f>IFERROR(__xludf.DUMMYFUNCTION("""COMPUTED_VALUE"""),"HS")</f>
        <v>HS</v>
      </c>
    </row>
    <row r="4072" ht="15.75" customHeight="1">
      <c r="A4072" s="1" t="str">
        <f>IFERROR(__xludf.DUMMYFUNCTION("""COMPUTED_VALUE"""),"Luca Demian")</f>
        <v>Luca Demian</v>
      </c>
      <c r="B4072" s="1" t="str">
        <f>IFERROR(__xludf.DUMMYFUNCTION("""COMPUTED_VALUE"""),"LL")</f>
        <v>LL</v>
      </c>
    </row>
    <row r="4073" ht="15.75" customHeight="1">
      <c r="A4073" s="1" t="str">
        <f>IFERROR(__xludf.DUMMYFUNCTION("""COMPUTED_VALUE"""),"Jonathan Demian")</f>
        <v>Jonathan Demian</v>
      </c>
      <c r="B4073" s="1" t="str">
        <f>IFERROR(__xludf.DUMMYFUNCTION("""COMPUTED_VALUE"""),"L2")</f>
        <v>L2</v>
      </c>
    </row>
    <row r="4074" ht="15.75" customHeight="1">
      <c r="A4074" s="1" t="str">
        <f>IFERROR(__xludf.DUMMYFUNCTION("""COMPUTED_VALUE"""),"Julie Saint")</f>
        <v>Julie Saint</v>
      </c>
      <c r="B4074" s="1" t="str">
        <f>IFERROR(__xludf.DUMMYFUNCTION("""COMPUTED_VALUE"""),"L2")</f>
        <v>L2</v>
      </c>
    </row>
    <row r="4075" ht="15.75" customHeight="1">
      <c r="A4075" s="1" t="str">
        <f>IFERROR(__xludf.DUMMYFUNCTION("""COMPUTED_VALUE"""),"Frederico Gutierrez")</f>
        <v>Frederico Gutierrez</v>
      </c>
      <c r="B4075" s="1" t="str">
        <f>IFERROR(__xludf.DUMMYFUNCTION("""COMPUTED_VALUE"""),"L1")</f>
        <v>L1</v>
      </c>
    </row>
    <row r="4076" ht="15.75" customHeight="1">
      <c r="A4076" s="1" t="str">
        <f>IFERROR(__xludf.DUMMYFUNCTION("""COMPUTED_VALUE"""),"Luca Sanchez")</f>
        <v>Luca Sanchez</v>
      </c>
      <c r="B4076" s="1" t="str">
        <f>IFERROR(__xludf.DUMMYFUNCTION("""COMPUTED_VALUE"""),"HS")</f>
        <v>HS</v>
      </c>
    </row>
    <row r="4077" ht="15.75" customHeight="1">
      <c r="A4077" s="1" t="str">
        <f>IFERROR(__xludf.DUMMYFUNCTION("""COMPUTED_VALUE"""),"Mateo Sanchez")</f>
        <v>Mateo Sanchez</v>
      </c>
      <c r="B4077" s="1" t="str">
        <f>IFERROR(__xludf.DUMMYFUNCTION("""COMPUTED_VALUE"""),"L2")</f>
        <v>L2</v>
      </c>
    </row>
    <row r="4078" ht="15.75" customHeight="1">
      <c r="A4078" s="1" t="str">
        <f>IFERROR(__xludf.DUMMYFUNCTION("""COMPUTED_VALUE"""),"Hinano Tamura")</f>
        <v>Hinano Tamura</v>
      </c>
      <c r="B4078" s="1" t="str">
        <f>IFERROR(__xludf.DUMMYFUNCTION("""COMPUTED_VALUE"""),"HS")</f>
        <v>HS</v>
      </c>
    </row>
    <row r="4079" ht="15.75" customHeight="1">
      <c r="A4079" s="1" t="str">
        <f>IFERROR(__xludf.DUMMYFUNCTION("""COMPUTED_VALUE"""),"Enzo Noorani")</f>
        <v>Enzo Noorani</v>
      </c>
      <c r="B4079" s="1" t="str">
        <f>IFERROR(__xludf.DUMMYFUNCTION("""COMPUTED_VALUE"""),"L1")</f>
        <v>L1</v>
      </c>
    </row>
    <row r="4080" ht="15.75" customHeight="1">
      <c r="A4080" s="1" t="str">
        <f>IFERROR(__xludf.DUMMYFUNCTION("""COMPUTED_VALUE"""),"Tomi Fernandez")</f>
        <v>Tomi Fernandez</v>
      </c>
      <c r="B4080" s="1" t="str">
        <f>IFERROR(__xludf.DUMMYFUNCTION("""COMPUTED_VALUE"""),"MS")</f>
        <v>MS</v>
      </c>
    </row>
    <row r="4081" ht="15.75" customHeight="1">
      <c r="A4081" s="1" t="str">
        <f>IFERROR(__xludf.DUMMYFUNCTION("""COMPUTED_VALUE"""),"Cami Fernandez")</f>
        <v>Cami Fernandez</v>
      </c>
      <c r="B4081" s="1" t="str">
        <f>IFERROR(__xludf.DUMMYFUNCTION("""COMPUTED_VALUE"""),"MS")</f>
        <v>MS</v>
      </c>
    </row>
    <row r="4082" ht="15.75" customHeight="1">
      <c r="A4082" s="1" t="str">
        <f>IFERROR(__xludf.DUMMYFUNCTION("""COMPUTED_VALUE"""),"Isla Noorani")</f>
        <v>Isla Noorani</v>
      </c>
      <c r="B4082" s="1" t="str">
        <f>IFERROR(__xludf.DUMMYFUNCTION("""COMPUTED_VALUE"""),"WL")</f>
        <v>WL</v>
      </c>
    </row>
    <row r="4083" ht="15.75" customHeight="1">
      <c r="A4083" s="1" t="str">
        <f>IFERROR(__xludf.DUMMYFUNCTION("""COMPUTED_VALUE"""),"Nash Niccolls")</f>
        <v>Nash Niccolls</v>
      </c>
      <c r="B4083" s="1" t="str">
        <f>IFERROR(__xludf.DUMMYFUNCTION("""COMPUTED_VALUE"""),"LL")</f>
        <v>LL</v>
      </c>
    </row>
    <row r="4084" ht="15.75" customHeight="1">
      <c r="A4084" s="1" t="str">
        <f>IFERROR(__xludf.DUMMYFUNCTION("""COMPUTED_VALUE"""),"Boris Dudarev")</f>
        <v>Boris Dudarev</v>
      </c>
      <c r="B4084" s="1" t="str">
        <f>IFERROR(__xludf.DUMMYFUNCTION("""COMPUTED_VALUE"""),"HS")</f>
        <v>HS</v>
      </c>
    </row>
    <row r="4085" ht="15.75" customHeight="1">
      <c r="A4085" s="1" t="str">
        <f>IFERROR(__xludf.DUMMYFUNCTION("""COMPUTED_VALUE"""),"Sammy Strems")</f>
        <v>Sammy Strems</v>
      </c>
      <c r="B4085" s="1" t="str">
        <f>IFERROR(__xludf.DUMMYFUNCTION("""COMPUTED_VALUE"""),"L2")</f>
        <v>L2</v>
      </c>
    </row>
    <row r="4086" ht="15.75" customHeight="1">
      <c r="A4086" s="1" t="str">
        <f>IFERROR(__xludf.DUMMYFUNCTION("""COMPUTED_VALUE"""),"Sarah Alcaraz Rico")</f>
        <v>Sarah Alcaraz Rico</v>
      </c>
      <c r="B4086" s="1" t="str">
        <f>IFERROR(__xludf.DUMMYFUNCTION("""COMPUTED_VALUE"""),"L2")</f>
        <v>L2</v>
      </c>
    </row>
    <row r="4087" ht="15.75" customHeight="1">
      <c r="A4087" s="1" t="str">
        <f>IFERROR(__xludf.DUMMYFUNCTION("""COMPUTED_VALUE"""),"Nico Gelber")</f>
        <v>Nico Gelber</v>
      </c>
      <c r="B4087" s="1" t="str">
        <f>IFERROR(__xludf.DUMMYFUNCTION("""COMPUTED_VALUE"""),"L2")</f>
        <v>L2</v>
      </c>
    </row>
    <row r="4088" ht="15.75" customHeight="1">
      <c r="A4088" s="1" t="str">
        <f>IFERROR(__xludf.DUMMYFUNCTION("""COMPUTED_VALUE"""),"Foster Bustamante")</f>
        <v>Foster Bustamante</v>
      </c>
      <c r="B4088" s="1" t="str">
        <f>IFERROR(__xludf.DUMMYFUNCTION("""COMPUTED_VALUE"""),"LL")</f>
        <v>LL</v>
      </c>
    </row>
    <row r="4089" ht="15.75" customHeight="1">
      <c r="A4089" s="1" t="str">
        <f>IFERROR(__xludf.DUMMYFUNCTION("""COMPUTED_VALUE"""),"James Gutierrez")</f>
        <v>James Gutierrez</v>
      </c>
      <c r="B4089" s="1" t="str">
        <f>IFERROR(__xludf.DUMMYFUNCTION("""COMPUTED_VALUE"""),"L2")</f>
        <v>L2</v>
      </c>
    </row>
    <row r="4090" ht="15.75" customHeight="1">
      <c r="A4090" s="1" t="str">
        <f>IFERROR(__xludf.DUMMYFUNCTION("""COMPUTED_VALUE"""),"Ricardo Sagrera")</f>
        <v>Ricardo Sagrera</v>
      </c>
      <c r="B4090" s="1" t="str">
        <f>IFERROR(__xludf.DUMMYFUNCTION("""COMPUTED_VALUE"""),"MS")</f>
        <v>MS</v>
      </c>
    </row>
    <row r="4091" ht="15.75" customHeight="1">
      <c r="A4091" s="1" t="str">
        <f>IFERROR(__xludf.DUMMYFUNCTION("""COMPUTED_VALUE"""),"Luciana Sagrera")</f>
        <v>Luciana Sagrera</v>
      </c>
      <c r="B4091" s="1" t="str">
        <f>IFERROR(__xludf.DUMMYFUNCTION("""COMPUTED_VALUE"""),"L1")</f>
        <v>L1</v>
      </c>
    </row>
    <row r="4092" ht="15.75" customHeight="1">
      <c r="A4092" s="1" t="str">
        <f>IFERROR(__xludf.DUMMYFUNCTION("""COMPUTED_VALUE"""),"Kaia Walsh")</f>
        <v>Kaia Walsh</v>
      </c>
      <c r="B4092" s="1" t="str">
        <f>IFERROR(__xludf.DUMMYFUNCTION("""COMPUTED_VALUE"""),"L2")</f>
        <v>L2</v>
      </c>
    </row>
    <row r="4093" ht="15.75" customHeight="1">
      <c r="A4093" s="1" t="str">
        <f>IFERROR(__xludf.DUMMYFUNCTION("""COMPUTED_VALUE"""),"Cora Walsh")</f>
        <v>Cora Walsh</v>
      </c>
      <c r="B4093" s="1" t="str">
        <f>IFERROR(__xludf.DUMMYFUNCTION("""COMPUTED_VALUE"""),"LL")</f>
        <v>LL</v>
      </c>
    </row>
    <row r="4094" ht="15.75" customHeight="1">
      <c r="A4094" s="1" t="str">
        <f>IFERROR(__xludf.DUMMYFUNCTION("""COMPUTED_VALUE"""),"Zoe Bodnick")</f>
        <v>Zoe Bodnick</v>
      </c>
      <c r="B4094" s="1" t="str">
        <f>IFERROR(__xludf.DUMMYFUNCTION("""COMPUTED_VALUE"""),"HS")</f>
        <v>HS</v>
      </c>
    </row>
    <row r="4095" ht="15.75" customHeight="1">
      <c r="A4095" s="1" t="str">
        <f>IFERROR(__xludf.DUMMYFUNCTION("""COMPUTED_VALUE"""),"Noor Otaky")</f>
        <v>Noor Otaky</v>
      </c>
      <c r="B4095" s="1" t="str">
        <f>IFERROR(__xludf.DUMMYFUNCTION("""COMPUTED_VALUE"""),"L1")</f>
        <v>L1</v>
      </c>
    </row>
    <row r="4096" ht="15.75" customHeight="1">
      <c r="A4096" s="1" t="str">
        <f>IFERROR(__xludf.DUMMYFUNCTION("""COMPUTED_VALUE"""),"Alexander Georg")</f>
        <v>Alexander Georg</v>
      </c>
      <c r="B4096" s="1" t="str">
        <f>IFERROR(__xludf.DUMMYFUNCTION("""COMPUTED_VALUE"""),"LL")</f>
        <v>LL</v>
      </c>
    </row>
    <row r="4097" ht="15.75" customHeight="1">
      <c r="A4097" s="1" t="str">
        <f>IFERROR(__xludf.DUMMYFUNCTION("""COMPUTED_VALUE"""),"Rozzy Kovacs-Joy")</f>
        <v>Rozzy Kovacs-Joy</v>
      </c>
      <c r="B4097" s="1" t="str">
        <f>IFERROR(__xludf.DUMMYFUNCTION("""COMPUTED_VALUE"""),"L1")</f>
        <v>L1</v>
      </c>
    </row>
    <row r="4098" ht="15.75" customHeight="1">
      <c r="A4098" s="1" t="str">
        <f>IFERROR(__xludf.DUMMYFUNCTION("""COMPUTED_VALUE"""),"Evie Anderson")</f>
        <v>Evie Anderson</v>
      </c>
      <c r="B4098" s="1" t="str">
        <f>IFERROR(__xludf.DUMMYFUNCTION("""COMPUTED_VALUE"""),"L2")</f>
        <v>L2</v>
      </c>
    </row>
    <row r="4099" ht="15.75" customHeight="1">
      <c r="A4099" s="1" t="str">
        <f>IFERROR(__xludf.DUMMYFUNCTION("""COMPUTED_VALUE"""),"Arturo Esteban Moreno")</f>
        <v>Arturo Esteban Moreno</v>
      </c>
      <c r="B4099" s="1" t="str">
        <f>IFERROR(__xludf.DUMMYFUNCTION("""COMPUTED_VALUE"""),"L1")</f>
        <v>L1</v>
      </c>
    </row>
    <row r="4100" ht="15.75" customHeight="1">
      <c r="A4100" s="1" t="str">
        <f>IFERROR(__xludf.DUMMYFUNCTION("""COMPUTED_VALUE"""),"Vasco Rake")</f>
        <v>Vasco Rake</v>
      </c>
      <c r="B4100" s="1" t="str">
        <f>IFERROR(__xludf.DUMMYFUNCTION("""COMPUTED_VALUE"""),"MS")</f>
        <v>MS</v>
      </c>
    </row>
    <row r="4101" ht="15.75" customHeight="1">
      <c r="A4101" s="1" t="str">
        <f>IFERROR(__xludf.DUMMYFUNCTION("""COMPUTED_VALUE"""),"Emile Larrivee")</f>
        <v>Emile Larrivee</v>
      </c>
      <c r="B4101" s="1" t="str">
        <f>IFERROR(__xludf.DUMMYFUNCTION("""COMPUTED_VALUE"""),"L2")</f>
        <v>L2</v>
      </c>
    </row>
    <row r="4102" ht="15.75" customHeight="1">
      <c r="A4102" s="1" t="str">
        <f>IFERROR(__xludf.DUMMYFUNCTION("""COMPUTED_VALUE"""),"Henry Werner")</f>
        <v>Henry Werner</v>
      </c>
      <c r="B4102" s="1" t="str">
        <f>IFERROR(__xludf.DUMMYFUNCTION("""COMPUTED_VALUE"""),"L2")</f>
        <v>L2</v>
      </c>
    </row>
    <row r="4103" ht="15.75" customHeight="1">
      <c r="A4103" s="1" t="str">
        <f>IFERROR(__xludf.DUMMYFUNCTION("""COMPUTED_VALUE"""),"Jean Matteo Rosario")</f>
        <v>Jean Matteo Rosario</v>
      </c>
      <c r="B4103" s="1" t="str">
        <f>IFERROR(__xludf.DUMMYFUNCTION("""COMPUTED_VALUE"""),"L2")</f>
        <v>L2</v>
      </c>
    </row>
    <row r="4104" ht="15.75" customHeight="1">
      <c r="A4104" s="1" t="str">
        <f>IFERROR(__xludf.DUMMYFUNCTION("""COMPUTED_VALUE"""),"Gautam Child 17 _test_")</f>
        <v>Gautam Child 17 _test_</v>
      </c>
      <c r="B4104" s="1" t="str">
        <f>IFERROR(__xludf.DUMMYFUNCTION("""COMPUTED_VALUE"""),"MS")</f>
        <v>MS</v>
      </c>
    </row>
    <row r="4105" ht="15.75" customHeight="1">
      <c r="A4105" s="1" t="str">
        <f>IFERROR(__xludf.DUMMYFUNCTION("""COMPUTED_VALUE"""),"Teddy Leventhal")</f>
        <v>Teddy Leventhal</v>
      </c>
      <c r="B4105" s="1" t="str">
        <f>IFERROR(__xludf.DUMMYFUNCTION("""COMPUTED_VALUE"""),"L1")</f>
        <v>L1</v>
      </c>
    </row>
    <row r="4106" ht="15.75" customHeight="1">
      <c r="A4106" s="1" t="str">
        <f>IFERROR(__xludf.DUMMYFUNCTION("""COMPUTED_VALUE"""),"Beatrice Leventhal")</f>
        <v>Beatrice Leventhal</v>
      </c>
      <c r="B4106" s="1" t="str">
        <f>IFERROR(__xludf.DUMMYFUNCTION("""COMPUTED_VALUE"""),"LL")</f>
        <v>LL</v>
      </c>
    </row>
    <row r="4107" ht="15.75" customHeight="1">
      <c r="A4107" s="1" t="str">
        <f>IFERROR(__xludf.DUMMYFUNCTION("""COMPUTED_VALUE"""),"Gautam child 18 _test")</f>
        <v>Gautam child 18 _test</v>
      </c>
      <c r="B4107" s="1" t="str">
        <f>IFERROR(__xludf.DUMMYFUNCTION("""COMPUTED_VALUE"""),"LL")</f>
        <v>LL</v>
      </c>
    </row>
    <row r="4108" ht="15.75" customHeight="1">
      <c r="A4108" s="1" t="str">
        <f>IFERROR(__xludf.DUMMYFUNCTION("""COMPUTED_VALUE"""),"Melyssa Hoyos")</f>
        <v>Melyssa Hoyos</v>
      </c>
      <c r="B4108" s="1" t="str">
        <f>IFERROR(__xludf.DUMMYFUNCTION("""COMPUTED_VALUE"""),"L2")</f>
        <v>L2</v>
      </c>
    </row>
    <row r="4109" ht="15.75" customHeight="1">
      <c r="A4109" s="1" t="str">
        <f>IFERROR(__xludf.DUMMYFUNCTION("""COMPUTED_VALUE"""),"Manu Almenara")</f>
        <v>Manu Almenara</v>
      </c>
      <c r="B4109" s="1" t="str">
        <f>IFERROR(__xludf.DUMMYFUNCTION("""COMPUTED_VALUE"""),"L2")</f>
        <v>L2</v>
      </c>
    </row>
    <row r="4110" ht="15.75" customHeight="1">
      <c r="A4110" s="1" t="str">
        <f>IFERROR(__xludf.DUMMYFUNCTION("""COMPUTED_VALUE"""),"James Finn Pulichino")</f>
        <v>James Finn Pulichino</v>
      </c>
      <c r="B4110" s="1" t="str">
        <f>IFERROR(__xludf.DUMMYFUNCTION("""COMPUTED_VALUE"""),"MS")</f>
        <v>MS</v>
      </c>
    </row>
    <row r="4111" ht="15.75" customHeight="1">
      <c r="A4111" s="1" t="str">
        <f>IFERROR(__xludf.DUMMYFUNCTION("""COMPUTED_VALUE"""),"Aria Stack")</f>
        <v>Aria Stack</v>
      </c>
      <c r="B4111" s="1" t="str">
        <f>IFERROR(__xludf.DUMMYFUNCTION("""COMPUTED_VALUE"""),"L2")</f>
        <v>L2</v>
      </c>
    </row>
    <row r="4112" ht="15.75" customHeight="1">
      <c r="A4112" s="1" t="str">
        <f>IFERROR(__xludf.DUMMYFUNCTION("""COMPUTED_VALUE"""),"Saylor Stack")</f>
        <v>Saylor Stack</v>
      </c>
      <c r="B4112" s="1" t="str">
        <f>IFERROR(__xludf.DUMMYFUNCTION("""COMPUTED_VALUE"""),"L1")</f>
        <v>L1</v>
      </c>
    </row>
    <row r="4113" ht="15.75" customHeight="1">
      <c r="A4113" s="1" t="str">
        <f>IFERROR(__xludf.DUMMYFUNCTION("""COMPUTED_VALUE"""),"Mila Almenara")</f>
        <v>Mila Almenara</v>
      </c>
      <c r="B4113" s="1" t="str">
        <f>IFERROR(__xludf.DUMMYFUNCTION("""COMPUTED_VALUE"""),"L1")</f>
        <v>L1</v>
      </c>
    </row>
    <row r="4114" ht="15.75" customHeight="1">
      <c r="A4114" s="1" t="str">
        <f>IFERROR(__xludf.DUMMYFUNCTION("""COMPUTED_VALUE"""),"Taye Astuya Leibovich-Robins")</f>
        <v>Taye Astuya Leibovich-Robins</v>
      </c>
      <c r="B4114" s="1" t="str">
        <f>IFERROR(__xludf.DUMMYFUNCTION("""COMPUTED_VALUE"""),"L2")</f>
        <v>L2</v>
      </c>
    </row>
    <row r="4115" ht="15.75" customHeight="1">
      <c r="A4115" s="1" t="str">
        <f>IFERROR(__xludf.DUMMYFUNCTION("""COMPUTED_VALUE"""),"William Mercaldi")</f>
        <v>William Mercaldi</v>
      </c>
      <c r="B4115" s="1" t="str">
        <f>IFERROR(__xludf.DUMMYFUNCTION("""COMPUTED_VALUE"""),"LL")</f>
        <v>LL</v>
      </c>
    </row>
    <row r="4116" ht="15.75" customHeight="1">
      <c r="A4116" s="1" t="str">
        <f>IFERROR(__xludf.DUMMYFUNCTION("""COMPUTED_VALUE"""),"Davi Mercaldi")</f>
        <v>Davi Mercaldi</v>
      </c>
      <c r="B4116" s="1" t="str">
        <f>IFERROR(__xludf.DUMMYFUNCTION("""COMPUTED_VALUE"""),"LL")</f>
        <v>LL</v>
      </c>
    </row>
    <row r="4117" ht="15.75" customHeight="1">
      <c r="A4117" s="1" t="str">
        <f>IFERROR(__xludf.DUMMYFUNCTION("""COMPUTED_VALUE"""),"Charley Ohayon")</f>
        <v>Charley Ohayon</v>
      </c>
      <c r="B4117" s="1" t="str">
        <f>IFERROR(__xludf.DUMMYFUNCTION("""COMPUTED_VALUE"""),"L2")</f>
        <v>L2</v>
      </c>
    </row>
    <row r="4118" ht="15.75" customHeight="1">
      <c r="A4118" s="1" t="str">
        <f>IFERROR(__xludf.DUMMYFUNCTION("""COMPUTED_VALUE"""),"Liam Teh")</f>
        <v>Liam Teh</v>
      </c>
      <c r="B4118" s="1" t="str">
        <f>IFERROR(__xludf.DUMMYFUNCTION("""COMPUTED_VALUE"""),"L2")</f>
        <v>L2</v>
      </c>
    </row>
    <row r="4119" ht="15.75" customHeight="1">
      <c r="A4119" s="1" t="str">
        <f>IFERROR(__xludf.DUMMYFUNCTION("""COMPUTED_VALUE"""),"Jack Fayman")</f>
        <v>Jack Fayman</v>
      </c>
      <c r="B4119" s="1" t="str">
        <f>IFERROR(__xludf.DUMMYFUNCTION("""COMPUTED_VALUE"""),"L2")</f>
        <v>L2</v>
      </c>
    </row>
    <row r="4120" ht="15.75" customHeight="1">
      <c r="A4120" s="1" t="str">
        <f>IFERROR(__xludf.DUMMYFUNCTION("""COMPUTED_VALUE"""),"Milana Junco")</f>
        <v>Milana Junco</v>
      </c>
      <c r="B4120" s="1" t="str">
        <f>IFERROR(__xludf.DUMMYFUNCTION("""COMPUTED_VALUE"""),"L2")</f>
        <v>L2</v>
      </c>
    </row>
    <row r="4121" ht="15.75" customHeight="1">
      <c r="A4121" s="1" t="str">
        <f>IFERROR(__xludf.DUMMYFUNCTION("""COMPUTED_VALUE"""),"Henry Jorge")</f>
        <v>Henry Jorge</v>
      </c>
      <c r="B4121" s="1" t="str">
        <f>IFERROR(__xludf.DUMMYFUNCTION("""COMPUTED_VALUE"""),"L2")</f>
        <v>L2</v>
      </c>
    </row>
    <row r="4122" ht="15.75" customHeight="1">
      <c r="A4122" s="1" t="str">
        <f>IFERROR(__xludf.DUMMYFUNCTION("""COMPUTED_VALUE"""),"Nicolas Savioli")</f>
        <v>Nicolas Savioli</v>
      </c>
      <c r="B4122" s="1" t="str">
        <f>IFERROR(__xludf.DUMMYFUNCTION("""COMPUTED_VALUE"""),"L2")</f>
        <v>L2</v>
      </c>
    </row>
    <row r="4123" ht="15.75" customHeight="1">
      <c r="A4123" s="1" t="str">
        <f>IFERROR(__xludf.DUMMYFUNCTION("""COMPUTED_VALUE"""),"Alan Mandelbaum")</f>
        <v>Alan Mandelbaum</v>
      </c>
      <c r="B4123" s="1" t="str">
        <f>IFERROR(__xludf.DUMMYFUNCTION("""COMPUTED_VALUE"""),"L2")</f>
        <v>L2</v>
      </c>
    </row>
    <row r="4124" ht="15.75" customHeight="1">
      <c r="A4124" s="1" t="str">
        <f>IFERROR(__xludf.DUMMYFUNCTION("""COMPUTED_VALUE"""),"Shana Mandelbaum")</f>
        <v>Shana Mandelbaum</v>
      </c>
      <c r="B4124" s="1" t="str">
        <f>IFERROR(__xludf.DUMMYFUNCTION("""COMPUTED_VALUE"""),"L2")</f>
        <v>L2</v>
      </c>
    </row>
    <row r="4125" ht="15.75" customHeight="1">
      <c r="A4125" s="1" t="str">
        <f>IFERROR(__xludf.DUMMYFUNCTION("""COMPUTED_VALUE"""),"Moises Mandelbaum")</f>
        <v>Moises Mandelbaum</v>
      </c>
      <c r="B4125" s="1" t="str">
        <f>IFERROR(__xludf.DUMMYFUNCTION("""COMPUTED_VALUE"""),"WL")</f>
        <v>WL</v>
      </c>
    </row>
    <row r="4126" ht="15.75" customHeight="1">
      <c r="A4126" s="1" t="str">
        <f>IFERROR(__xludf.DUMMYFUNCTION("""COMPUTED_VALUE"""),"Protection _test_")</f>
        <v>Protection _test_</v>
      </c>
      <c r="B4126" s="1" t="str">
        <f>IFERROR(__xludf.DUMMYFUNCTION("""COMPUTED_VALUE"""),"WL")</f>
        <v>WL</v>
      </c>
    </row>
    <row r="4127" ht="15.75" customHeight="1">
      <c r="A4127" s="1" t="str">
        <f>IFERROR(__xludf.DUMMYFUNCTION("""COMPUTED_VALUE"""),"StudentProt _test_")</f>
        <v>StudentProt _test_</v>
      </c>
      <c r="B4127" s="1" t="str">
        <f>IFERROR(__xludf.DUMMYFUNCTION("""COMPUTED_VALUE"""),"WL")</f>
        <v>WL</v>
      </c>
    </row>
    <row r="4128" ht="15.75" customHeight="1">
      <c r="A4128" s="1" t="str">
        <f>IFERROR(__xludf.DUMMYFUNCTION("""COMPUTED_VALUE"""),"Protecteds _test_")</f>
        <v>Protecteds _test_</v>
      </c>
      <c r="B4128" s="1" t="str">
        <f>IFERROR(__xludf.DUMMYFUNCTION("""COMPUTED_VALUE"""),"WL")</f>
        <v>WL</v>
      </c>
    </row>
    <row r="4129" ht="15.75" customHeight="1">
      <c r="A4129" s="1" t="str">
        <f>IFERROR(__xludf.DUMMYFUNCTION("""COMPUTED_VALUE"""),"Protecteds2 _test_")</f>
        <v>Protecteds2 _test_</v>
      </c>
      <c r="B4129" s="1" t="str">
        <f>IFERROR(__xludf.DUMMYFUNCTION("""COMPUTED_VALUE"""),"WL")</f>
        <v>WL</v>
      </c>
    </row>
    <row r="4130" ht="15.75" customHeight="1">
      <c r="A4130" s="1" t="str">
        <f>IFERROR(__xludf.DUMMYFUNCTION("""COMPUTED_VALUE"""),"Protecteds3 _test_")</f>
        <v>Protecteds3 _test_</v>
      </c>
      <c r="B4130" s="1" t="str">
        <f>IFERROR(__xludf.DUMMYFUNCTION("""COMPUTED_VALUE"""),"WL")</f>
        <v>WL</v>
      </c>
    </row>
    <row r="4131" ht="15.75" customHeight="1">
      <c r="A4131" s="1" t="str">
        <f>IFERROR(__xludf.DUMMYFUNCTION("""COMPUTED_VALUE"""),"Liliya Logvynska")</f>
        <v>Liliya Logvynska</v>
      </c>
      <c r="B4131" s="1" t="str">
        <f>IFERROR(__xludf.DUMMYFUNCTION("""COMPUTED_VALUE"""),"MS")</f>
        <v>MS</v>
      </c>
    </row>
    <row r="4132" ht="15.75" customHeight="1">
      <c r="A4132" s="1" t="str">
        <f>IFERROR(__xludf.DUMMYFUNCTION("""COMPUTED_VALUE"""),"Benjamin Eraña")</f>
        <v>Benjamin Eraña</v>
      </c>
      <c r="B4132" s="1" t="str">
        <f>IFERROR(__xludf.DUMMYFUNCTION("""COMPUTED_VALUE"""),"L2")</f>
        <v>L2</v>
      </c>
    </row>
    <row r="4133" ht="15.75" customHeight="1">
      <c r="A4133" s="1" t="str">
        <f>IFERROR(__xludf.DUMMYFUNCTION("""COMPUTED_VALUE"""),"AlphaIdStudent _test_")</f>
        <v>AlphaIdStudent _test_</v>
      </c>
      <c r="B4133" s="1" t="str">
        <f>IFERROR(__xludf.DUMMYFUNCTION("""COMPUTED_VALUE"""),"WL")</f>
        <v>WL</v>
      </c>
    </row>
    <row r="4134" ht="15.75" customHeight="1">
      <c r="A4134" s="1" t="str">
        <f>IFERROR(__xludf.DUMMYFUNCTION("""COMPUTED_VALUE"""),"Matteo Hidalgo")</f>
        <v>Matteo Hidalgo</v>
      </c>
      <c r="B4134" s="1" t="str">
        <f>IFERROR(__xludf.DUMMYFUNCTION("""COMPUTED_VALUE"""),"LL")</f>
        <v>LL</v>
      </c>
    </row>
    <row r="4135" ht="15.75" customHeight="1">
      <c r="A4135" s="1" t="str">
        <f>IFERROR(__xludf.DUMMYFUNCTION("""COMPUTED_VALUE"""),"Mariella Hernandez")</f>
        <v>Mariella Hernandez</v>
      </c>
      <c r="B4135" s="1" t="str">
        <f>IFERROR(__xludf.DUMMYFUNCTION("""COMPUTED_VALUE"""),"MS")</f>
        <v>MS</v>
      </c>
    </row>
    <row r="4136" ht="15.75" customHeight="1">
      <c r="A4136" s="1" t="str">
        <f>IFERROR(__xludf.DUMMYFUNCTION("""COMPUTED_VALUE"""),"Zamara Peralta")</f>
        <v>Zamara Peralta</v>
      </c>
      <c r="B4136" s="1" t="str">
        <f>IFERROR(__xludf.DUMMYFUNCTION("""COMPUTED_VALUE"""),"LL")</f>
        <v>LL</v>
      </c>
    </row>
    <row r="4137" ht="15.75" customHeight="1">
      <c r="A4137" s="1" t="str">
        <f>IFERROR(__xludf.DUMMYFUNCTION("""COMPUTED_VALUE"""),"Anthonella Ochoa")</f>
        <v>Anthonella Ochoa</v>
      </c>
      <c r="B4137" s="1" t="str">
        <f>IFERROR(__xludf.DUMMYFUNCTION("""COMPUTED_VALUE"""),"L1")</f>
        <v>L1</v>
      </c>
    </row>
    <row r="4138" ht="15.75" customHeight="1">
      <c r="A4138" s="1" t="str">
        <f>IFERROR(__xludf.DUMMYFUNCTION("""COMPUTED_VALUE"""),"Gael Gonzalez-Romero")</f>
        <v>Gael Gonzalez-Romero</v>
      </c>
      <c r="B4138" s="1" t="str">
        <f>IFERROR(__xludf.DUMMYFUNCTION("""COMPUTED_VALUE"""),"LL")</f>
        <v>LL</v>
      </c>
    </row>
    <row r="4139" ht="15.75" customHeight="1">
      <c r="A4139" s="1" t="str">
        <f>IFERROR(__xludf.DUMMYFUNCTION("""COMPUTED_VALUE"""),"Savannah Johnson")</f>
        <v>Savannah Johnson</v>
      </c>
      <c r="B4139" s="1" t="str">
        <f>IFERROR(__xludf.DUMMYFUNCTION("""COMPUTED_VALUE"""),"LL")</f>
        <v>LL</v>
      </c>
    </row>
    <row r="4140" ht="15.75" customHeight="1">
      <c r="A4140" s="1" t="str">
        <f>IFERROR(__xludf.DUMMYFUNCTION("""COMPUTED_VALUE"""),"Saija Shittu")</f>
        <v>Saija Shittu</v>
      </c>
      <c r="B4140" s="1" t="str">
        <f>IFERROR(__xludf.DUMMYFUNCTION("""COMPUTED_VALUE"""),"LL")</f>
        <v>LL</v>
      </c>
    </row>
    <row r="4141" ht="15.75" customHeight="1">
      <c r="A4141" s="1" t="str">
        <f>IFERROR(__xludf.DUMMYFUNCTION("""COMPUTED_VALUE"""),"Kyran Swain")</f>
        <v>Kyran Swain</v>
      </c>
      <c r="B4141" s="1" t="str">
        <f>IFERROR(__xludf.DUMMYFUNCTION("""COMPUTED_VALUE"""),"LL")</f>
        <v>LL</v>
      </c>
    </row>
    <row r="4142" ht="15.75" customHeight="1">
      <c r="A4142" s="1" t="str">
        <f>IFERROR(__xludf.DUMMYFUNCTION("""COMPUTED_VALUE"""),"Shailene Ferrebus")</f>
        <v>Shailene Ferrebus</v>
      </c>
      <c r="B4142" s="1" t="str">
        <f>IFERROR(__xludf.DUMMYFUNCTION("""COMPUTED_VALUE"""),"LL")</f>
        <v>LL</v>
      </c>
    </row>
    <row r="4143" ht="15.75" customHeight="1">
      <c r="A4143" s="1" t="str">
        <f>IFERROR(__xludf.DUMMYFUNCTION("""COMPUTED_VALUE"""),"Samauri Lovejoy")</f>
        <v>Samauri Lovejoy</v>
      </c>
      <c r="B4143" s="1" t="str">
        <f>IFERROR(__xludf.DUMMYFUNCTION("""COMPUTED_VALUE"""),"LL")</f>
        <v>LL</v>
      </c>
    </row>
    <row r="4144" ht="15.75" customHeight="1">
      <c r="A4144" s="1" t="str">
        <f>IFERROR(__xludf.DUMMYFUNCTION("""COMPUTED_VALUE"""),"Alana Marin Barrios")</f>
        <v>Alana Marin Barrios</v>
      </c>
      <c r="B4144" s="1" t="str">
        <f>IFERROR(__xludf.DUMMYFUNCTION("""COMPUTED_VALUE"""),"LL")</f>
        <v>LL</v>
      </c>
    </row>
    <row r="4145" ht="15.75" customHeight="1">
      <c r="A4145" s="1" t="str">
        <f>IFERROR(__xludf.DUMMYFUNCTION("""COMPUTED_VALUE"""),"Admissions Sandbox Child _Test_")</f>
        <v>Admissions Sandbox Child _Test_</v>
      </c>
      <c r="B4145" s="1" t="str">
        <f>IFERROR(__xludf.DUMMYFUNCTION("""COMPUTED_VALUE"""),"L2")</f>
        <v>L2</v>
      </c>
    </row>
    <row r="4146" ht="15.75" customHeight="1">
      <c r="A4146" s="1" t="str">
        <f>IFERROR(__xludf.DUMMYFUNCTION("""COMPUTED_VALUE"""),"Child Last")</f>
        <v>Child Last</v>
      </c>
      <c r="B4146" s="1" t="str">
        <f>IFERROR(__xludf.DUMMYFUNCTION("""COMPUTED_VALUE"""),"LL")</f>
        <v>LL</v>
      </c>
    </row>
    <row r="4147" ht="15.75" customHeight="1">
      <c r="A4147" s="1" t="str">
        <f>IFERROR(__xludf.DUMMYFUNCTION("""COMPUTED_VALUE"""),"Jurnee Bolden")</f>
        <v>Jurnee Bolden</v>
      </c>
      <c r="B4147" s="1" t="str">
        <f>IFERROR(__xludf.DUMMYFUNCTION("""COMPUTED_VALUE"""),"LL")</f>
        <v>LL</v>
      </c>
    </row>
    <row r="4148" ht="15.75" customHeight="1">
      <c r="A4148" s="1" t="str">
        <f>IFERROR(__xludf.DUMMYFUNCTION("""COMPUTED_VALUE"""),"Mya Hadnot")</f>
        <v>Mya Hadnot</v>
      </c>
      <c r="B4148" s="1" t="str">
        <f>IFERROR(__xludf.DUMMYFUNCTION("""COMPUTED_VALUE"""),"L1")</f>
        <v>L1</v>
      </c>
    </row>
    <row r="4149" ht="15.75" customHeight="1">
      <c r="A4149" s="1" t="str">
        <f>IFERROR(__xludf.DUMMYFUNCTION("""COMPUTED_VALUE"""),"A'Leiah Jenkins")</f>
        <v>A'Leiah Jenkins</v>
      </c>
      <c r="B4149" s="1" t="str">
        <f>IFERROR(__xludf.DUMMYFUNCTION("""COMPUTED_VALUE"""),"L1")</f>
        <v>L1</v>
      </c>
    </row>
    <row r="4150" ht="15.75" customHeight="1">
      <c r="A4150" s="1" t="str">
        <f>IFERROR(__xludf.DUMMYFUNCTION("""COMPUTED_VALUE"""),"Samara Tyler")</f>
        <v>Samara Tyler</v>
      </c>
      <c r="B4150" s="1" t="str">
        <f>IFERROR(__xludf.DUMMYFUNCTION("""COMPUTED_VALUE"""),"LL")</f>
        <v>LL</v>
      </c>
    </row>
    <row r="4151" ht="15.75" customHeight="1">
      <c r="A4151" s="1" t="str">
        <f>IFERROR(__xludf.DUMMYFUNCTION("""COMPUTED_VALUE"""),"Justin Wooley Jr.")</f>
        <v>Justin Wooley Jr.</v>
      </c>
      <c r="B4151" s="1" t="str">
        <f>IFERROR(__xludf.DUMMYFUNCTION("""COMPUTED_VALUE"""),"L1")</f>
        <v>L1</v>
      </c>
    </row>
    <row r="4152" ht="15.75" customHeight="1">
      <c r="A4152" s="1" t="str">
        <f>IFERROR(__xludf.DUMMYFUNCTION("""COMPUTED_VALUE"""),"Faustina Ngambo-Kialengele")</f>
        <v>Faustina Ngambo-Kialengele</v>
      </c>
      <c r="B4152" s="1" t="str">
        <f>IFERROR(__xludf.DUMMYFUNCTION("""COMPUTED_VALUE"""),"L1")</f>
        <v>L1</v>
      </c>
    </row>
    <row r="4153" ht="15.75" customHeight="1">
      <c r="A4153" s="1" t="str">
        <f>IFERROR(__xludf.DUMMYFUNCTION("""COMPUTED_VALUE"""),"Kamila Gonzalez-Romero")</f>
        <v>Kamila Gonzalez-Romero</v>
      </c>
      <c r="B4153" s="1" t="str">
        <f>IFERROR(__xludf.DUMMYFUNCTION("""COMPUTED_VALUE"""),"L1")</f>
        <v>L1</v>
      </c>
    </row>
    <row r="4154" ht="15.75" customHeight="1">
      <c r="A4154" s="1" t="str">
        <f>IFERROR(__xludf.DUMMYFUNCTION("""COMPUTED_VALUE"""),"Victoria Marin Barrios")</f>
        <v>Victoria Marin Barrios</v>
      </c>
      <c r="B4154" s="1" t="str">
        <f>IFERROR(__xludf.DUMMYFUNCTION("""COMPUTED_VALUE"""),"L1")</f>
        <v>L1</v>
      </c>
    </row>
    <row r="4155" ht="15.75" customHeight="1">
      <c r="A4155" s="1" t="str">
        <f>IFERROR(__xludf.DUMMYFUNCTION("""COMPUTED_VALUE"""),"Angel Gonzalez-Romero")</f>
        <v>Angel Gonzalez-Romero</v>
      </c>
      <c r="B4155" s="1" t="str">
        <f>IFERROR(__xludf.DUMMYFUNCTION("""COMPUTED_VALUE"""),"L2")</f>
        <v>L2</v>
      </c>
    </row>
    <row r="4156" ht="15.75" customHeight="1">
      <c r="A4156" s="1" t="str">
        <f>IFERROR(__xludf.DUMMYFUNCTION("""COMPUTED_VALUE"""),"Jarius Collins")</f>
        <v>Jarius Collins</v>
      </c>
      <c r="B4156" s="1" t="str">
        <f>IFERROR(__xludf.DUMMYFUNCTION("""COMPUTED_VALUE"""),"L2")</f>
        <v>L2</v>
      </c>
    </row>
    <row r="4157" ht="15.75" customHeight="1">
      <c r="A4157" s="1" t="str">
        <f>IFERROR(__xludf.DUMMYFUNCTION("""COMPUTED_VALUE"""),"Jalayah Washington")</f>
        <v>Jalayah Washington</v>
      </c>
      <c r="B4157" s="1" t="str">
        <f>IFERROR(__xludf.DUMMYFUNCTION("""COMPUTED_VALUE"""),"MS")</f>
        <v>MS</v>
      </c>
    </row>
    <row r="4158" ht="15.75" customHeight="1">
      <c r="A4158" s="1" t="str">
        <f>IFERROR(__xludf.DUMMYFUNCTION("""COMPUTED_VALUE"""),"Leoxinelys Campos-Ferrebus")</f>
        <v>Leoxinelys Campos-Ferrebus</v>
      </c>
      <c r="B4158" s="1" t="str">
        <f>IFERROR(__xludf.DUMMYFUNCTION("""COMPUTED_VALUE"""),"MS")</f>
        <v>MS</v>
      </c>
    </row>
    <row r="4159" ht="15.75" customHeight="1">
      <c r="A4159" s="1" t="str">
        <f>IFERROR(__xludf.DUMMYFUNCTION("""COMPUTED_VALUE"""),"dilling Lugo Marquez")</f>
        <v>dilling Lugo Marquez</v>
      </c>
      <c r="B4159" s="1" t="str">
        <f>IFERROR(__xludf.DUMMYFUNCTION("""COMPUTED_VALUE"""),"L2")</f>
        <v>L2</v>
      </c>
    </row>
    <row r="4160" ht="15.75" customHeight="1">
      <c r="A4160" s="1" t="str">
        <f>IFERROR(__xludf.DUMMYFUNCTION("""COMPUTED_VALUE"""),"Jh'Manii Jackson")</f>
        <v>Jh'Manii Jackson</v>
      </c>
      <c r="B4160" s="1" t="str">
        <f>IFERROR(__xludf.DUMMYFUNCTION("""COMPUTED_VALUE"""),"L2")</f>
        <v>L2</v>
      </c>
    </row>
    <row r="4161" ht="15.75" customHeight="1">
      <c r="A4161" s="1" t="str">
        <f>IFERROR(__xludf.DUMMYFUNCTION("""COMPUTED_VALUE"""),"Tanill Bills")</f>
        <v>Tanill Bills</v>
      </c>
      <c r="B4161" s="1" t="str">
        <f>IFERROR(__xludf.DUMMYFUNCTION("""COMPUTED_VALUE"""),"MS")</f>
        <v>MS</v>
      </c>
    </row>
    <row r="4162" ht="15.75" customHeight="1">
      <c r="A4162" s="1" t="str">
        <f>IFERROR(__xludf.DUMMYFUNCTION("""COMPUTED_VALUE"""),"Texasprep User")</f>
        <v>Texasprep User</v>
      </c>
      <c r="B4162" s="1" t="str">
        <f>IFERROR(__xludf.DUMMYFUNCTION("""COMPUTED_VALUE"""),"L2")</f>
        <v>L2</v>
      </c>
    </row>
    <row r="4163" ht="15.75" customHeight="1">
      <c r="A4163" s="1" t="str">
        <f>IFERROR(__xludf.DUMMYFUNCTION("""COMPUTED_VALUE"""),"Jhorgelis Sanguino Miranda")</f>
        <v>Jhorgelis Sanguino Miranda</v>
      </c>
      <c r="B4163" s="1" t="str">
        <f>IFERROR(__xludf.DUMMYFUNCTION("""COMPUTED_VALUE"""),"L1")</f>
        <v>L1</v>
      </c>
    </row>
    <row r="4164" ht="15.75" customHeight="1">
      <c r="A4164" s="1" t="str">
        <f>IFERROR(__xludf.DUMMYFUNCTION("""COMPUTED_VALUE"""),"Sofia Cruz-Peralta")</f>
        <v>Sofia Cruz-Peralta</v>
      </c>
      <c r="B4164" s="1" t="str">
        <f>IFERROR(__xludf.DUMMYFUNCTION("""COMPUTED_VALUE"""),"L1")</f>
        <v>L1</v>
      </c>
    </row>
    <row r="4165" ht="15.75" customHeight="1">
      <c r="A4165" s="1" t="str">
        <f>IFERROR(__xludf.DUMMYFUNCTION("""COMPUTED_VALUE"""),"Eleanor Martinez")</f>
        <v>Eleanor Martinez</v>
      </c>
      <c r="B4165" s="1" t="str">
        <f>IFERROR(__xludf.DUMMYFUNCTION("""COMPUTED_VALUE"""),"L1")</f>
        <v>L1</v>
      </c>
    </row>
    <row r="4166" ht="15.75" customHeight="1">
      <c r="A4166" s="1" t="str">
        <f>IFERROR(__xludf.DUMMYFUNCTION("""COMPUTED_VALUE"""),"Megan Chukwura")</f>
        <v>Megan Chukwura</v>
      </c>
      <c r="B4166" s="1" t="str">
        <f>IFERROR(__xludf.DUMMYFUNCTION("""COMPUTED_VALUE"""),"L1")</f>
        <v>L1</v>
      </c>
    </row>
    <row r="4167" ht="15.75" customHeight="1">
      <c r="A4167" s="1" t="str">
        <f>IFERROR(__xludf.DUMMYFUNCTION("""COMPUTED_VALUE"""),"Junior Alejandro Quintanilla-Reyes")</f>
        <v>Junior Alejandro Quintanilla-Reyes</v>
      </c>
      <c r="B4167" s="1" t="str">
        <f>IFERROR(__xludf.DUMMYFUNCTION("""COMPUTED_VALUE"""),"L1")</f>
        <v>L1</v>
      </c>
    </row>
    <row r="4168" ht="15.75" customHeight="1">
      <c r="A4168" s="1" t="str">
        <f>IFERROR(__xludf.DUMMYFUNCTION("""COMPUTED_VALUE"""),"Test Irvington")</f>
        <v>Test Irvington</v>
      </c>
      <c r="B4168" s="1" t="str">
        <f>IFERROR(__xludf.DUMMYFUNCTION("""COMPUTED_VALUE"""),"MS")</f>
        <v>MS</v>
      </c>
    </row>
    <row r="4169" ht="15.75" customHeight="1">
      <c r="A4169" s="1" t="str">
        <f>IFERROR(__xludf.DUMMYFUNCTION("""COMPUTED_VALUE"""),"Natalie Ceja")</f>
        <v>Natalie Ceja</v>
      </c>
      <c r="B4169" s="1" t="str">
        <f>IFERROR(__xludf.DUMMYFUNCTION("""COMPUTED_VALUE"""),"HS")</f>
        <v>HS</v>
      </c>
    </row>
    <row r="4170" ht="15.75" customHeight="1">
      <c r="A4170" s="1" t="str">
        <f>IFERROR(__xludf.DUMMYFUNCTION("""COMPUTED_VALUE"""),"Noah Cordero")</f>
        <v>Noah Cordero</v>
      </c>
      <c r="B4170" s="1" t="str">
        <f>IFERROR(__xludf.DUMMYFUNCTION("""COMPUTED_VALUE"""),"HS")</f>
        <v>HS</v>
      </c>
    </row>
    <row r="4171" ht="15.75" customHeight="1">
      <c r="A4171" s="1" t="str">
        <f>IFERROR(__xludf.DUMMYFUNCTION("""COMPUTED_VALUE"""),"Umar Khaliq")</f>
        <v>Umar Khaliq</v>
      </c>
      <c r="B4171" s="1" t="str">
        <f>IFERROR(__xludf.DUMMYFUNCTION("""COMPUTED_VALUE"""),"HS")</f>
        <v>HS</v>
      </c>
    </row>
    <row r="4172" ht="15.75" customHeight="1">
      <c r="A4172" s="1" t="str">
        <f>IFERROR(__xludf.DUMMYFUNCTION("""COMPUTED_VALUE"""),"Ysobelle Lapena")</f>
        <v>Ysobelle Lapena</v>
      </c>
      <c r="B4172" s="1" t="str">
        <f>IFERROR(__xludf.DUMMYFUNCTION("""COMPUTED_VALUE"""),"HS")</f>
        <v>HS</v>
      </c>
    </row>
    <row r="4173" ht="15.75" customHeight="1">
      <c r="A4173" s="1" t="str">
        <f>IFERROR(__xludf.DUMMYFUNCTION("""COMPUTED_VALUE"""),"Abaijit Mangat")</f>
        <v>Abaijit Mangat</v>
      </c>
      <c r="B4173" s="1" t="str">
        <f>IFERROR(__xludf.DUMMYFUNCTION("""COMPUTED_VALUE"""),"HS")</f>
        <v>HS</v>
      </c>
    </row>
    <row r="4174" ht="15.75" customHeight="1">
      <c r="A4174" s="1" t="str">
        <f>IFERROR(__xludf.DUMMYFUNCTION("""COMPUTED_VALUE"""),"Aivi Pham")</f>
        <v>Aivi Pham</v>
      </c>
      <c r="B4174" s="1" t="str">
        <f>IFERROR(__xludf.DUMMYFUNCTION("""COMPUTED_VALUE"""),"HS")</f>
        <v>HS</v>
      </c>
    </row>
    <row r="4175" ht="15.75" customHeight="1">
      <c r="A4175" s="1" t="str">
        <f>IFERROR(__xludf.DUMMYFUNCTION("""COMPUTED_VALUE"""),"Jaiden Robles")</f>
        <v>Jaiden Robles</v>
      </c>
      <c r="B4175" s="1" t="str">
        <f>IFERROR(__xludf.DUMMYFUNCTION("""COMPUTED_VALUE"""),"HS")</f>
        <v>HS</v>
      </c>
    </row>
    <row r="4176" ht="15.75" customHeight="1">
      <c r="A4176" s="1" t="str">
        <f>IFERROR(__xludf.DUMMYFUNCTION("""COMPUTED_VALUE"""),"Erin Stuart")</f>
        <v>Erin Stuart</v>
      </c>
      <c r="B4176" s="1" t="str">
        <f>IFERROR(__xludf.DUMMYFUNCTION("""COMPUTED_VALUE"""),"HS")</f>
        <v>HS</v>
      </c>
    </row>
    <row r="4177" ht="15.75" customHeight="1">
      <c r="A4177" s="1" t="str">
        <f>IFERROR(__xludf.DUMMYFUNCTION("""COMPUTED_VALUE"""),"Sivaimauga Ah Loe")</f>
        <v>Sivaimauga Ah Loe</v>
      </c>
      <c r="B4177" s="1" t="str">
        <f>IFERROR(__xludf.DUMMYFUNCTION("""COMPUTED_VALUE"""),"HS")</f>
        <v>HS</v>
      </c>
    </row>
    <row r="4178" ht="15.75" customHeight="1">
      <c r="A4178" s="1" t="str">
        <f>IFERROR(__xludf.DUMMYFUNCTION("""COMPUTED_VALUE"""),"Amena Hashemi")</f>
        <v>Amena Hashemi</v>
      </c>
      <c r="B4178" s="1" t="str">
        <f>IFERROR(__xludf.DUMMYFUNCTION("""COMPUTED_VALUE"""),"HS")</f>
        <v>HS</v>
      </c>
    </row>
    <row r="4179" ht="15.75" customHeight="1">
      <c r="A4179" s="1" t="str">
        <f>IFERROR(__xludf.DUMMYFUNCTION("""COMPUTED_VALUE"""),"Nasib Rahman")</f>
        <v>Nasib Rahman</v>
      </c>
      <c r="B4179" s="1" t="str">
        <f>IFERROR(__xludf.DUMMYFUNCTION("""COMPUTED_VALUE"""),"HS")</f>
        <v>HS</v>
      </c>
    </row>
    <row r="4180" ht="15.75" customHeight="1">
      <c r="A4180" s="1" t="str">
        <f>IFERROR(__xludf.DUMMYFUNCTION("""COMPUTED_VALUE"""),"Katherine Ropue Umana")</f>
        <v>Katherine Ropue Umana</v>
      </c>
      <c r="B4180" s="1" t="str">
        <f>IFERROR(__xludf.DUMMYFUNCTION("""COMPUTED_VALUE"""),"HS")</f>
        <v>HS</v>
      </c>
    </row>
    <row r="4181" ht="15.75" customHeight="1">
      <c r="A4181" s="1" t="str">
        <f>IFERROR(__xludf.DUMMYFUNCTION("""COMPUTED_VALUE"""),"Ahmed Yousuf Shaik")</f>
        <v>Ahmed Yousuf Shaik</v>
      </c>
      <c r="B4181" s="1" t="str">
        <f>IFERROR(__xludf.DUMMYFUNCTION("""COMPUTED_VALUE"""),"HS")</f>
        <v>HS</v>
      </c>
    </row>
    <row r="4182" ht="15.75" customHeight="1">
      <c r="A4182" s="1" t="str">
        <f>IFERROR(__xludf.DUMMYFUNCTION("""COMPUTED_VALUE"""),"Su Park")</f>
        <v>Su Park</v>
      </c>
      <c r="B4182" s="1" t="str">
        <f>IFERROR(__xludf.DUMMYFUNCTION("""COMPUTED_VALUE"""),"HS")</f>
        <v>HS</v>
      </c>
    </row>
    <row r="4183" ht="15.75" customHeight="1">
      <c r="A4183" s="1" t="str">
        <f>IFERROR(__xludf.DUMMYFUNCTION("""COMPUTED_VALUE"""),"Melanie Ortiz-Santellan")</f>
        <v>Melanie Ortiz-Santellan</v>
      </c>
      <c r="B4183" s="1" t="str">
        <f>IFERROR(__xludf.DUMMYFUNCTION("""COMPUTED_VALUE"""),"HS")</f>
        <v>HS</v>
      </c>
    </row>
    <row r="4184" ht="15.75" customHeight="1">
      <c r="A4184" s="1" t="str">
        <f>IFERROR(__xludf.DUMMYFUNCTION("""COMPUTED_VALUE"""),"Ana Cruz-Rodriguez")</f>
        <v>Ana Cruz-Rodriguez</v>
      </c>
      <c r="B4184" s="1" t="str">
        <f>IFERROR(__xludf.DUMMYFUNCTION("""COMPUTED_VALUE"""),"HS")</f>
        <v>HS</v>
      </c>
    </row>
    <row r="4185" ht="15.75" customHeight="1">
      <c r="A4185" s="1" t="str">
        <f>IFERROR(__xludf.DUMMYFUNCTION("""COMPUTED_VALUE"""),"Matthew Hunt")</f>
        <v>Matthew Hunt</v>
      </c>
      <c r="B4185" s="1" t="str">
        <f>IFERROR(__xludf.DUMMYFUNCTION("""COMPUTED_VALUE"""),"HS")</f>
        <v>HS</v>
      </c>
    </row>
    <row r="4186" ht="15.75" customHeight="1">
      <c r="A4186" s="1" t="str">
        <f>IFERROR(__xludf.DUMMYFUNCTION("""COMPUTED_VALUE"""),"Abdiel Campista Rodas")</f>
        <v>Abdiel Campista Rodas</v>
      </c>
      <c r="B4186" s="1" t="str">
        <f>IFERROR(__xludf.DUMMYFUNCTION("""COMPUTED_VALUE"""),"HS")</f>
        <v>HS</v>
      </c>
    </row>
    <row r="4187" ht="15.75" customHeight="1">
      <c r="A4187" s="1" t="str">
        <f>IFERROR(__xludf.DUMMYFUNCTION("""COMPUTED_VALUE"""),"Ahmad Rezwan")</f>
        <v>Ahmad Rezwan</v>
      </c>
      <c r="B4187" s="1" t="str">
        <f>IFERROR(__xludf.DUMMYFUNCTION("""COMPUTED_VALUE"""),"HS")</f>
        <v>HS</v>
      </c>
    </row>
    <row r="4188" ht="15.75" customHeight="1">
      <c r="A4188" s="1" t="str">
        <f>IFERROR(__xludf.DUMMYFUNCTION("""COMPUTED_VALUE"""),"Aleena Welagedara")</f>
        <v>Aleena Welagedara</v>
      </c>
      <c r="B4188" s="1" t="str">
        <f>IFERROR(__xludf.DUMMYFUNCTION("""COMPUTED_VALUE"""),"HS")</f>
        <v>HS</v>
      </c>
    </row>
    <row r="4189" ht="15.75" customHeight="1">
      <c r="A4189" s="1" t="str">
        <f>IFERROR(__xludf.DUMMYFUNCTION("""COMPUTED_VALUE"""),"Alexa De Leon")</f>
        <v>Alexa De Leon</v>
      </c>
      <c r="B4189" s="1" t="str">
        <f>IFERROR(__xludf.DUMMYFUNCTION("""COMPUTED_VALUE"""),"HS")</f>
        <v>HS</v>
      </c>
    </row>
    <row r="4190" ht="15.75" customHeight="1">
      <c r="A4190" s="1" t="str">
        <f>IFERROR(__xludf.DUMMYFUNCTION("""COMPUTED_VALUE"""),"Alexa Ontiveros Portillo")</f>
        <v>Alexa Ontiveros Portillo</v>
      </c>
      <c r="B4190" s="1" t="str">
        <f>IFERROR(__xludf.DUMMYFUNCTION("""COMPUTED_VALUE"""),"HS")</f>
        <v>HS</v>
      </c>
    </row>
    <row r="4191" ht="15.75" customHeight="1">
      <c r="A4191" s="1" t="str">
        <f>IFERROR(__xludf.DUMMYFUNCTION("""COMPUTED_VALUE"""),"Alina Smith")</f>
        <v>Alina Smith</v>
      </c>
      <c r="B4191" s="1" t="str">
        <f>IFERROR(__xludf.DUMMYFUNCTION("""COMPUTED_VALUE"""),"HS")</f>
        <v>HS</v>
      </c>
    </row>
    <row r="4192" ht="15.75" customHeight="1">
      <c r="A4192" s="1" t="str">
        <f>IFERROR(__xludf.DUMMYFUNCTION("""COMPUTED_VALUE"""),"Aman Yosief")</f>
        <v>Aman Yosief</v>
      </c>
      <c r="B4192" s="1" t="str">
        <f>IFERROR(__xludf.DUMMYFUNCTION("""COMPUTED_VALUE"""),"HS")</f>
        <v>HS</v>
      </c>
    </row>
    <row r="4193" ht="15.75" customHeight="1">
      <c r="A4193" s="1" t="str">
        <f>IFERROR(__xludf.DUMMYFUNCTION("""COMPUTED_VALUE"""),"Anthony Valdovinos")</f>
        <v>Anthony Valdovinos</v>
      </c>
      <c r="B4193" s="1" t="str">
        <f>IFERROR(__xludf.DUMMYFUNCTION("""COMPUTED_VALUE"""),"HS")</f>
        <v>HS</v>
      </c>
    </row>
    <row r="4194" ht="15.75" customHeight="1">
      <c r="A4194" s="1" t="str">
        <f>IFERROR(__xludf.DUMMYFUNCTION("""COMPUTED_VALUE"""),"Arsh Chadda")</f>
        <v>Arsh Chadda</v>
      </c>
      <c r="B4194" s="1" t="str">
        <f>IFERROR(__xludf.DUMMYFUNCTION("""COMPUTED_VALUE"""),"HS")</f>
        <v>HS</v>
      </c>
    </row>
    <row r="4195" ht="15.75" customHeight="1">
      <c r="A4195" s="1" t="str">
        <f>IFERROR(__xludf.DUMMYFUNCTION("""COMPUTED_VALUE"""),"Brian Bjornson")</f>
        <v>Brian Bjornson</v>
      </c>
      <c r="B4195" s="1" t="str">
        <f>IFERROR(__xludf.DUMMYFUNCTION("""COMPUTED_VALUE"""),"HS")</f>
        <v>HS</v>
      </c>
    </row>
    <row r="4196" ht="15.75" customHeight="1">
      <c r="A4196" s="1" t="str">
        <f>IFERROR(__xludf.DUMMYFUNCTION("""COMPUTED_VALUE"""),"Brianna Cortes Apolinar")</f>
        <v>Brianna Cortes Apolinar</v>
      </c>
      <c r="B4196" s="1" t="str">
        <f>IFERROR(__xludf.DUMMYFUNCTION("""COMPUTED_VALUE"""),"HS")</f>
        <v>HS</v>
      </c>
    </row>
    <row r="4197" ht="15.75" customHeight="1">
      <c r="A4197" s="1" t="str">
        <f>IFERROR(__xludf.DUMMYFUNCTION("""COMPUTED_VALUE"""),"Bryan Cervantes")</f>
        <v>Bryan Cervantes</v>
      </c>
      <c r="B4197" s="1" t="str">
        <f>IFERROR(__xludf.DUMMYFUNCTION("""COMPUTED_VALUE"""),"HS")</f>
        <v>HS</v>
      </c>
    </row>
    <row r="4198" ht="15.75" customHeight="1">
      <c r="A4198" s="1" t="str">
        <f>IFERROR(__xludf.DUMMYFUNCTION("""COMPUTED_VALUE"""),"Cristobal Lopez Contreras")</f>
        <v>Cristobal Lopez Contreras</v>
      </c>
      <c r="B4198" s="1" t="str">
        <f>IFERROR(__xludf.DUMMYFUNCTION("""COMPUTED_VALUE"""),"HS")</f>
        <v>HS</v>
      </c>
    </row>
    <row r="4199" ht="15.75" customHeight="1">
      <c r="A4199" s="1" t="str">
        <f>IFERROR(__xludf.DUMMYFUNCTION("""COMPUTED_VALUE"""),"Edwin Sanchez Valadez")</f>
        <v>Edwin Sanchez Valadez</v>
      </c>
      <c r="B4199" s="1" t="str">
        <f>IFERROR(__xludf.DUMMYFUNCTION("""COMPUTED_VALUE"""),"HS")</f>
        <v>HS</v>
      </c>
    </row>
    <row r="4200" ht="15.75" customHeight="1">
      <c r="A4200" s="1" t="str">
        <f>IFERROR(__xludf.DUMMYFUNCTION("""COMPUTED_VALUE"""),"Emilia Bieszcz")</f>
        <v>Emilia Bieszcz</v>
      </c>
      <c r="B4200" s="1" t="str">
        <f>IFERROR(__xludf.DUMMYFUNCTION("""COMPUTED_VALUE"""),"HS")</f>
        <v>HS</v>
      </c>
    </row>
    <row r="4201" ht="15.75" customHeight="1">
      <c r="A4201" s="1" t="str">
        <f>IFERROR(__xludf.DUMMYFUNCTION("""COMPUTED_VALUE"""),"Emiliano Casas Mota")</f>
        <v>Emiliano Casas Mota</v>
      </c>
      <c r="B4201" s="1" t="str">
        <f>IFERROR(__xludf.DUMMYFUNCTION("""COMPUTED_VALUE"""),"HS")</f>
        <v>HS</v>
      </c>
    </row>
    <row r="4202" ht="15.75" customHeight="1">
      <c r="A4202" s="1" t="str">
        <f>IFERROR(__xludf.DUMMYFUNCTION("""COMPUTED_VALUE"""),"Evan Attard")</f>
        <v>Evan Attard</v>
      </c>
      <c r="B4202" s="1" t="str">
        <f>IFERROR(__xludf.DUMMYFUNCTION("""COMPUTED_VALUE"""),"HS")</f>
        <v>HS</v>
      </c>
    </row>
    <row r="4203" ht="15.75" customHeight="1">
      <c r="A4203" s="1" t="str">
        <f>IFERROR(__xludf.DUMMYFUNCTION("""COMPUTED_VALUE"""),"Francis Smith")</f>
        <v>Francis Smith</v>
      </c>
      <c r="B4203" s="1" t="str">
        <f>IFERROR(__xludf.DUMMYFUNCTION("""COMPUTED_VALUE"""),"HS")</f>
        <v>HS</v>
      </c>
    </row>
    <row r="4204" ht="15.75" customHeight="1">
      <c r="A4204" s="1" t="str">
        <f>IFERROR(__xludf.DUMMYFUNCTION("""COMPUTED_VALUE"""),"Hector Andrade")</f>
        <v>Hector Andrade</v>
      </c>
      <c r="B4204" s="1" t="str">
        <f>IFERROR(__xludf.DUMMYFUNCTION("""COMPUTED_VALUE"""),"HS")</f>
        <v>HS</v>
      </c>
    </row>
    <row r="4205" ht="15.75" customHeight="1">
      <c r="A4205" s="1" t="str">
        <f>IFERROR(__xludf.DUMMYFUNCTION("""COMPUTED_VALUE"""),"Ibrar Sadat")</f>
        <v>Ibrar Sadat</v>
      </c>
      <c r="B4205" s="1" t="str">
        <f>IFERROR(__xludf.DUMMYFUNCTION("""COMPUTED_VALUE"""),"HS")</f>
        <v>HS</v>
      </c>
    </row>
    <row r="4206" ht="15.75" customHeight="1">
      <c r="A4206" s="1" t="str">
        <f>IFERROR(__xludf.DUMMYFUNCTION("""COMPUTED_VALUE"""),"Itzel Rocha-Sepulveda")</f>
        <v>Itzel Rocha-Sepulveda</v>
      </c>
      <c r="B4206" s="1" t="str">
        <f>IFERROR(__xludf.DUMMYFUNCTION("""COMPUTED_VALUE"""),"HS")</f>
        <v>HS</v>
      </c>
    </row>
    <row r="4207" ht="15.75" customHeight="1">
      <c r="A4207" s="1" t="str">
        <f>IFERROR(__xludf.DUMMYFUNCTION("""COMPUTED_VALUE"""),"Jairo Vence Molano")</f>
        <v>Jairo Vence Molano</v>
      </c>
      <c r="B4207" s="1" t="str">
        <f>IFERROR(__xludf.DUMMYFUNCTION("""COMPUTED_VALUE"""),"HS")</f>
        <v>HS</v>
      </c>
    </row>
    <row r="4208" ht="15.75" customHeight="1">
      <c r="A4208" s="1" t="str">
        <f>IFERROR(__xludf.DUMMYFUNCTION("""COMPUTED_VALUE"""),"Jiayin Liu")</f>
        <v>Jiayin Liu</v>
      </c>
      <c r="B4208" s="1" t="str">
        <f>IFERROR(__xludf.DUMMYFUNCTION("""COMPUTED_VALUE"""),"HS")</f>
        <v>HS</v>
      </c>
    </row>
    <row r="4209" ht="15.75" customHeight="1">
      <c r="A4209" s="1" t="str">
        <f>IFERROR(__xludf.DUMMYFUNCTION("""COMPUTED_VALUE"""),"Jordyn Howe")</f>
        <v>Jordyn Howe</v>
      </c>
      <c r="B4209" s="1" t="str">
        <f>IFERROR(__xludf.DUMMYFUNCTION("""COMPUTED_VALUE"""),"HS")</f>
        <v>HS</v>
      </c>
    </row>
    <row r="4210" ht="15.75" customHeight="1">
      <c r="A4210" s="1" t="str">
        <f>IFERROR(__xludf.DUMMYFUNCTION("""COMPUTED_VALUE"""),"Jose Estrada Jimenez")</f>
        <v>Jose Estrada Jimenez</v>
      </c>
      <c r="B4210" s="1" t="str">
        <f>IFERROR(__xludf.DUMMYFUNCTION("""COMPUTED_VALUE"""),"HS")</f>
        <v>HS</v>
      </c>
    </row>
    <row r="4211" ht="15.75" customHeight="1">
      <c r="A4211" s="1" t="str">
        <f>IFERROR(__xludf.DUMMYFUNCTION("""COMPUTED_VALUE"""),"Josiah Valadez")</f>
        <v>Josiah Valadez</v>
      </c>
      <c r="B4211" s="1" t="str">
        <f>IFERROR(__xludf.DUMMYFUNCTION("""COMPUTED_VALUE"""),"HS")</f>
        <v>HS</v>
      </c>
    </row>
    <row r="4212" ht="15.75" customHeight="1">
      <c r="A4212" s="1" t="str">
        <f>IFERROR(__xludf.DUMMYFUNCTION("""COMPUTED_VALUE"""),"Julian Sabogal Cadena")</f>
        <v>Julian Sabogal Cadena</v>
      </c>
      <c r="B4212" s="1" t="str">
        <f>IFERROR(__xludf.DUMMYFUNCTION("""COMPUTED_VALUE"""),"HS")</f>
        <v>HS</v>
      </c>
    </row>
    <row r="4213" ht="15.75" customHeight="1">
      <c r="A4213" s="1" t="str">
        <f>IFERROR(__xludf.DUMMYFUNCTION("""COMPUTED_VALUE"""),"Justin Trey Ordonez")</f>
        <v>Justin Trey Ordonez</v>
      </c>
      <c r="B4213" s="1" t="str">
        <f>IFERROR(__xludf.DUMMYFUNCTION("""COMPUTED_VALUE"""),"HS")</f>
        <v>HS</v>
      </c>
    </row>
    <row r="4214" ht="15.75" customHeight="1">
      <c r="A4214" s="1" t="str">
        <f>IFERROR(__xludf.DUMMYFUNCTION("""COMPUTED_VALUE"""),"Layla Barthelow")</f>
        <v>Layla Barthelow</v>
      </c>
      <c r="B4214" s="1" t="str">
        <f>IFERROR(__xludf.DUMMYFUNCTION("""COMPUTED_VALUE"""),"HS")</f>
        <v>HS</v>
      </c>
    </row>
    <row r="4215" ht="15.75" customHeight="1">
      <c r="A4215" s="1" t="str">
        <f>IFERROR(__xludf.DUMMYFUNCTION("""COMPUTED_VALUE"""),"Leandra Anahi Rodriguez Sanchez")</f>
        <v>Leandra Anahi Rodriguez Sanchez</v>
      </c>
      <c r="B4215" s="1" t="str">
        <f>IFERROR(__xludf.DUMMYFUNCTION("""COMPUTED_VALUE"""),"HS")</f>
        <v>HS</v>
      </c>
    </row>
    <row r="4216" ht="15.75" customHeight="1">
      <c r="A4216" s="1" t="str">
        <f>IFERROR(__xludf.DUMMYFUNCTION("""COMPUTED_VALUE"""),"Manh Dung Mai")</f>
        <v>Manh Dung Mai</v>
      </c>
      <c r="B4216" s="1" t="str">
        <f>IFERROR(__xludf.DUMMYFUNCTION("""COMPUTED_VALUE"""),"HS")</f>
        <v>HS</v>
      </c>
    </row>
    <row r="4217" ht="15.75" customHeight="1">
      <c r="A4217" s="1" t="str">
        <f>IFERROR(__xludf.DUMMYFUNCTION("""COMPUTED_VALUE"""),"Mariana Bonilla Lujan")</f>
        <v>Mariana Bonilla Lujan</v>
      </c>
      <c r="B4217" s="1" t="str">
        <f>IFERROR(__xludf.DUMMYFUNCTION("""COMPUTED_VALUE"""),"HS")</f>
        <v>HS</v>
      </c>
    </row>
    <row r="4218" ht="15.75" customHeight="1">
      <c r="A4218" s="1" t="str">
        <f>IFERROR(__xludf.DUMMYFUNCTION("""COMPUTED_VALUE"""),"Marquisha De Vera")</f>
        <v>Marquisha De Vera</v>
      </c>
      <c r="B4218" s="1" t="str">
        <f>IFERROR(__xludf.DUMMYFUNCTION("""COMPUTED_VALUE"""),"HS")</f>
        <v>HS</v>
      </c>
    </row>
    <row r="4219" ht="15.75" customHeight="1">
      <c r="A4219" s="1" t="str">
        <f>IFERROR(__xludf.DUMMYFUNCTION("""COMPUTED_VALUE"""),"Mason Aquino Cowan")</f>
        <v>Mason Aquino Cowan</v>
      </c>
      <c r="B4219" s="1" t="str">
        <f>IFERROR(__xludf.DUMMYFUNCTION("""COMPUTED_VALUE"""),"HS")</f>
        <v>HS</v>
      </c>
    </row>
    <row r="4220" ht="15.75" customHeight="1">
      <c r="A4220" s="1" t="str">
        <f>IFERROR(__xludf.DUMMYFUNCTION("""COMPUTED_VALUE"""),"Maximiliano Escobedo Garcia")</f>
        <v>Maximiliano Escobedo Garcia</v>
      </c>
      <c r="B4220" s="1" t="str">
        <f>IFERROR(__xludf.DUMMYFUNCTION("""COMPUTED_VALUE"""),"HS")</f>
        <v>HS</v>
      </c>
    </row>
    <row r="4221" ht="15.75" customHeight="1">
      <c r="A4221" s="1" t="str">
        <f>IFERROR(__xludf.DUMMYFUNCTION("""COMPUTED_VALUE"""),"Mellina Bharani")</f>
        <v>Mellina Bharani</v>
      </c>
      <c r="B4221" s="1" t="str">
        <f>IFERROR(__xludf.DUMMYFUNCTION("""COMPUTED_VALUE"""),"HS")</f>
        <v>HS</v>
      </c>
    </row>
    <row r="4222" ht="15.75" customHeight="1">
      <c r="A4222" s="1" t="str">
        <f>IFERROR(__xludf.DUMMYFUNCTION("""COMPUTED_VALUE"""),"Moises Sandoval")</f>
        <v>Moises Sandoval</v>
      </c>
      <c r="B4222" s="1" t="str">
        <f>IFERROR(__xludf.DUMMYFUNCTION("""COMPUTED_VALUE"""),"HS")</f>
        <v>HS</v>
      </c>
    </row>
    <row r="4223" ht="15.75" customHeight="1">
      <c r="A4223" s="1" t="str">
        <f>IFERROR(__xludf.DUMMYFUNCTION("""COMPUTED_VALUE"""),"Roberto Narvaez Serrato")</f>
        <v>Roberto Narvaez Serrato</v>
      </c>
      <c r="B4223" s="1" t="str">
        <f>IFERROR(__xludf.DUMMYFUNCTION("""COMPUTED_VALUE"""),"HS")</f>
        <v>HS</v>
      </c>
    </row>
    <row r="4224" ht="15.75" customHeight="1">
      <c r="A4224" s="1" t="str">
        <f>IFERROR(__xludf.DUMMYFUNCTION("""COMPUTED_VALUE"""),"Rolando Barrios")</f>
        <v>Rolando Barrios</v>
      </c>
      <c r="B4224" s="1" t="str">
        <f>IFERROR(__xludf.DUMMYFUNCTION("""COMPUTED_VALUE"""),"HS")</f>
        <v>HS</v>
      </c>
    </row>
    <row r="4225" ht="15.75" customHeight="1">
      <c r="A4225" s="1" t="str">
        <f>IFERROR(__xludf.DUMMYFUNCTION("""COMPUTED_VALUE"""),"Rumaisah Noori")</f>
        <v>Rumaisah Noori</v>
      </c>
      <c r="B4225" s="1" t="str">
        <f>IFERROR(__xludf.DUMMYFUNCTION("""COMPUTED_VALUE"""),"HS")</f>
        <v>HS</v>
      </c>
    </row>
    <row r="4226" ht="15.75" customHeight="1">
      <c r="A4226" s="1" t="str">
        <f>IFERROR(__xludf.DUMMYFUNCTION("""COMPUTED_VALUE"""),"Sama Nabi")</f>
        <v>Sama Nabi</v>
      </c>
      <c r="B4226" s="1" t="str">
        <f>IFERROR(__xludf.DUMMYFUNCTION("""COMPUTED_VALUE"""),"HS")</f>
        <v>HS</v>
      </c>
    </row>
    <row r="4227" ht="15.75" customHeight="1">
      <c r="A4227" s="1" t="str">
        <f>IFERROR(__xludf.DUMMYFUNCTION("""COMPUTED_VALUE"""),"Samantha Villareal")</f>
        <v>Samantha Villareal</v>
      </c>
      <c r="B4227" s="1" t="str">
        <f>IFERROR(__xludf.DUMMYFUNCTION("""COMPUTED_VALUE"""),"HS")</f>
        <v>HS</v>
      </c>
    </row>
    <row r="4228" ht="15.75" customHeight="1">
      <c r="A4228" s="1" t="str">
        <f>IFERROR(__xludf.DUMMYFUNCTION("""COMPUTED_VALUE"""),"Siena Fiorelli")</f>
        <v>Siena Fiorelli</v>
      </c>
      <c r="B4228" s="1" t="str">
        <f>IFERROR(__xludf.DUMMYFUNCTION("""COMPUTED_VALUE"""),"HS")</f>
        <v>HS</v>
      </c>
    </row>
    <row r="4229" ht="15.75" customHeight="1">
      <c r="A4229" s="1" t="str">
        <f>IFERROR(__xludf.DUMMYFUNCTION("""COMPUTED_VALUE"""),"Sorosh Hazeen")</f>
        <v>Sorosh Hazeen</v>
      </c>
      <c r="B4229" s="1" t="str">
        <f>IFERROR(__xludf.DUMMYFUNCTION("""COMPUTED_VALUE"""),"HS")</f>
        <v>HS</v>
      </c>
    </row>
    <row r="4230" ht="15.75" customHeight="1">
      <c r="A4230" s="1" t="str">
        <f>IFERROR(__xludf.DUMMYFUNCTION("""COMPUTED_VALUE"""),"Sreya Purushothaman")</f>
        <v>Sreya Purushothaman</v>
      </c>
      <c r="B4230" s="1" t="str">
        <f>IFERROR(__xludf.DUMMYFUNCTION("""COMPUTED_VALUE"""),"HS")</f>
        <v>HS</v>
      </c>
    </row>
    <row r="4231" ht="15.75" customHeight="1">
      <c r="A4231" s="1" t="str">
        <f>IFERROR(__xludf.DUMMYFUNCTION("""COMPUTED_VALUE"""),"Tyler Landre")</f>
        <v>Tyler Landre</v>
      </c>
      <c r="B4231" s="1" t="str">
        <f>IFERROR(__xludf.DUMMYFUNCTION("""COMPUTED_VALUE"""),"HS")</f>
        <v>HS</v>
      </c>
    </row>
    <row r="4232" ht="15.75" customHeight="1">
      <c r="A4232" s="1" t="str">
        <f>IFERROR(__xludf.DUMMYFUNCTION("""COMPUTED_VALUE"""),"Venkata Srinidhi Kodamasimham")</f>
        <v>Venkata Srinidhi Kodamasimham</v>
      </c>
      <c r="B4232" s="1" t="str">
        <f>IFERROR(__xludf.DUMMYFUNCTION("""COMPUTED_VALUE"""),"HS")</f>
        <v>HS</v>
      </c>
    </row>
    <row r="4233" ht="15.75" customHeight="1">
      <c r="A4233" s="1" t="str">
        <f>IFERROR(__xludf.DUMMYFUNCTION("""COMPUTED_VALUE"""),"Violet Caples")</f>
        <v>Violet Caples</v>
      </c>
      <c r="B4233" s="1" t="str">
        <f>IFERROR(__xludf.DUMMYFUNCTION("""COMPUTED_VALUE"""),"HS")</f>
        <v>HS</v>
      </c>
    </row>
    <row r="4234" ht="15.75" customHeight="1">
      <c r="A4234" s="1" t="str">
        <f>IFERROR(__xludf.DUMMYFUNCTION("""COMPUTED_VALUE"""),"Wayne Ashton Mallari")</f>
        <v>Wayne Ashton Mallari</v>
      </c>
      <c r="B4234" s="1" t="str">
        <f>IFERROR(__xludf.DUMMYFUNCTION("""COMPUTED_VALUE"""),"HS")</f>
        <v>HS</v>
      </c>
    </row>
    <row r="4235" ht="15.75" customHeight="1">
      <c r="A4235" s="1" t="str">
        <f>IFERROR(__xludf.DUMMYFUNCTION("""COMPUTED_VALUE"""),"Zakir Hashim")</f>
        <v>Zakir Hashim</v>
      </c>
      <c r="B4235" s="1" t="str">
        <f>IFERROR(__xludf.DUMMYFUNCTION("""COMPUTED_VALUE"""),"HS")</f>
        <v>HS</v>
      </c>
    </row>
    <row r="4236" ht="15.75" customHeight="1">
      <c r="A4236" s="1" t="str">
        <f>IFERROR(__xludf.DUMMYFUNCTION("""COMPUTED_VALUE"""),"Zoha Shaikh")</f>
        <v>Zoha Shaikh</v>
      </c>
      <c r="B4236" s="1" t="str">
        <f>IFERROR(__xludf.DUMMYFUNCTION("""COMPUTED_VALUE"""),"HS")</f>
        <v>HS</v>
      </c>
    </row>
    <row r="4237" ht="15.75" customHeight="1">
      <c r="A4237" s="1" t="str">
        <f>IFERROR(__xludf.DUMMYFUNCTION("""COMPUTED_VALUE"""),"Chloe Thel Dilao")</f>
        <v>Chloe Thel Dilao</v>
      </c>
      <c r="B4237" s="1" t="str">
        <f>IFERROR(__xludf.DUMMYFUNCTION("""COMPUTED_VALUE"""),"HS")</f>
        <v>HS</v>
      </c>
    </row>
    <row r="4238" ht="15.75" customHeight="1">
      <c r="A4238" s="1" t="str">
        <f>IFERROR(__xludf.DUMMYFUNCTION("""COMPUTED_VALUE"""),"Elida Godinez Morales")</f>
        <v>Elida Godinez Morales</v>
      </c>
      <c r="B4238" s="1" t="str">
        <f>IFERROR(__xludf.DUMMYFUNCTION("""COMPUTED_VALUE"""),"HS")</f>
        <v>HS</v>
      </c>
    </row>
    <row r="4239" ht="15.75" customHeight="1">
      <c r="A4239" s="1" t="str">
        <f>IFERROR(__xludf.DUMMYFUNCTION("""COMPUTED_VALUE"""),"Lalith Sureshbabu")</f>
        <v>Lalith Sureshbabu</v>
      </c>
      <c r="B4239" s="1" t="str">
        <f>IFERROR(__xludf.DUMMYFUNCTION("""COMPUTED_VALUE"""),"HS")</f>
        <v>HS</v>
      </c>
    </row>
    <row r="4240" ht="15.75" customHeight="1">
      <c r="A4240" s="1" t="str">
        <f>IFERROR(__xludf.DUMMYFUNCTION("""COMPUTED_VALUE"""),"Hamna Noori")</f>
        <v>Hamna Noori</v>
      </c>
      <c r="B4240" s="1" t="str">
        <f>IFERROR(__xludf.DUMMYFUNCTION("""COMPUTED_VALUE"""),"HS")</f>
        <v>HS</v>
      </c>
    </row>
    <row r="4241" ht="15.75" customHeight="1">
      <c r="A4241" s="1" t="str">
        <f>IFERROR(__xludf.DUMMYFUNCTION("""COMPUTED_VALUE"""),"Juan Pablo Monroy Perdomo")</f>
        <v>Juan Pablo Monroy Perdomo</v>
      </c>
      <c r="B4241" s="1" t="str">
        <f>IFERROR(__xludf.DUMMYFUNCTION("""COMPUTED_VALUE"""),"HS")</f>
        <v>HS</v>
      </c>
    </row>
    <row r="4242" ht="15.75" customHeight="1">
      <c r="A4242" s="1" t="str">
        <f>IFERROR(__xludf.DUMMYFUNCTION("""COMPUTED_VALUE"""),"Osbaldo Soriano Moreno")</f>
        <v>Osbaldo Soriano Moreno</v>
      </c>
      <c r="B4242" s="1" t="str">
        <f>IFERROR(__xludf.DUMMYFUNCTION("""COMPUTED_VALUE"""),"HS")</f>
        <v>HS</v>
      </c>
    </row>
    <row r="4243" ht="15.75" customHeight="1">
      <c r="A4243" s="1" t="str">
        <f>IFERROR(__xludf.DUMMYFUNCTION("""COMPUTED_VALUE"""),"Jorge Barco Avella")</f>
        <v>Jorge Barco Avella</v>
      </c>
      <c r="B4243" s="1" t="str">
        <f>IFERROR(__xludf.DUMMYFUNCTION("""COMPUTED_VALUE"""),"HS")</f>
        <v>HS</v>
      </c>
    </row>
    <row r="4244" ht="15.75" customHeight="1">
      <c r="A4244" s="1" t="str">
        <f>IFERROR(__xludf.DUMMYFUNCTION("""COMPUTED_VALUE"""),"Radcliffe Angelo Bastasa")</f>
        <v>Radcliffe Angelo Bastasa</v>
      </c>
      <c r="B4244" s="1" t="str">
        <f>IFERROR(__xludf.DUMMYFUNCTION("""COMPUTED_VALUE"""),"HS")</f>
        <v>HS</v>
      </c>
    </row>
    <row r="4245" ht="15.75" customHeight="1">
      <c r="A4245" s="1" t="str">
        <f>IFERROR(__xludf.DUMMYFUNCTION("""COMPUTED_VALUE"""),"Jackson Bohannon")</f>
        <v>Jackson Bohannon</v>
      </c>
      <c r="B4245" s="1" t="str">
        <f>IFERROR(__xludf.DUMMYFUNCTION("""COMPUTED_VALUE"""),"HS")</f>
        <v>HS</v>
      </c>
    </row>
    <row r="4246" ht="15.75" customHeight="1">
      <c r="A4246" s="1" t="str">
        <f>IFERROR(__xludf.DUMMYFUNCTION("""COMPUTED_VALUE"""),"Pratyush Choudhary")</f>
        <v>Pratyush Choudhary</v>
      </c>
      <c r="B4246" s="1" t="str">
        <f>IFERROR(__xludf.DUMMYFUNCTION("""COMPUTED_VALUE"""),"HS")</f>
        <v>HS</v>
      </c>
    </row>
    <row r="4247" ht="15.75" customHeight="1">
      <c r="A4247" s="1" t="str">
        <f>IFERROR(__xludf.DUMMYFUNCTION("""COMPUTED_VALUE"""),"Cristian Gaytan")</f>
        <v>Cristian Gaytan</v>
      </c>
      <c r="B4247" s="1" t="str">
        <f>IFERROR(__xludf.DUMMYFUNCTION("""COMPUTED_VALUE"""),"HS")</f>
        <v>HS</v>
      </c>
    </row>
    <row r="4248" ht="15.75" customHeight="1">
      <c r="A4248" s="1" t="str">
        <f>IFERROR(__xludf.DUMMYFUNCTION("""COMPUTED_VALUE"""),"Jacob Cornejo")</f>
        <v>Jacob Cornejo</v>
      </c>
      <c r="B4248" s="1" t="str">
        <f>IFERROR(__xludf.DUMMYFUNCTION("""COMPUTED_VALUE"""),"HS")</f>
        <v>HS</v>
      </c>
    </row>
    <row r="4249" ht="15.75" customHeight="1">
      <c r="A4249" s="1" t="str">
        <f>IFERROR(__xludf.DUMMYFUNCTION("""COMPUTED_VALUE"""),"Jasmine Hasanzada")</f>
        <v>Jasmine Hasanzada</v>
      </c>
      <c r="B4249" s="1" t="str">
        <f>IFERROR(__xludf.DUMMYFUNCTION("""COMPUTED_VALUE"""),"HS")</f>
        <v>HS</v>
      </c>
    </row>
    <row r="4250" ht="15.75" customHeight="1">
      <c r="A4250" s="1" t="str">
        <f>IFERROR(__xludf.DUMMYFUNCTION("""COMPUTED_VALUE"""),"Juan Magana Tovar")</f>
        <v>Juan Magana Tovar</v>
      </c>
      <c r="B4250" s="1" t="str">
        <f>IFERROR(__xludf.DUMMYFUNCTION("""COMPUTED_VALUE"""),"HS")</f>
        <v>HS</v>
      </c>
    </row>
    <row r="4251" ht="15.75" customHeight="1">
      <c r="A4251" s="1" t="str">
        <f>IFERROR(__xludf.DUMMYFUNCTION("""COMPUTED_VALUE"""),"Jhon Martinez Perez")</f>
        <v>Jhon Martinez Perez</v>
      </c>
      <c r="B4251" s="1" t="str">
        <f>IFERROR(__xludf.DUMMYFUNCTION("""COMPUTED_VALUE"""),"HS")</f>
        <v>HS</v>
      </c>
    </row>
    <row r="4252" ht="15.75" customHeight="1">
      <c r="A4252" s="1" t="str">
        <f>IFERROR(__xludf.DUMMYFUNCTION("""COMPUTED_VALUE"""),"Ferough Osmani")</f>
        <v>Ferough Osmani</v>
      </c>
      <c r="B4252" s="1" t="str">
        <f>IFERROR(__xludf.DUMMYFUNCTION("""COMPUTED_VALUE"""),"HS")</f>
        <v>HS</v>
      </c>
    </row>
    <row r="4253" ht="15.75" customHeight="1">
      <c r="A4253" s="1" t="str">
        <f>IFERROR(__xludf.DUMMYFUNCTION("""COMPUTED_VALUE"""),"Adrien Perera")</f>
        <v>Adrien Perera</v>
      </c>
      <c r="B4253" s="1" t="str">
        <f>IFERROR(__xludf.DUMMYFUNCTION("""COMPUTED_VALUE"""),"HS")</f>
        <v>HS</v>
      </c>
    </row>
    <row r="4254" ht="15.75" customHeight="1">
      <c r="A4254" s="1" t="str">
        <f>IFERROR(__xludf.DUMMYFUNCTION("""COMPUTED_VALUE"""),"Sathyajith Ramesh")</f>
        <v>Sathyajith Ramesh</v>
      </c>
      <c r="B4254" s="1" t="str">
        <f>IFERROR(__xludf.DUMMYFUNCTION("""COMPUTED_VALUE"""),"HS")</f>
        <v>HS</v>
      </c>
    </row>
    <row r="4255" ht="15.75" customHeight="1">
      <c r="A4255" s="1" t="str">
        <f>IFERROR(__xludf.DUMMYFUNCTION("""COMPUTED_VALUE"""),"Yuhang Ran")</f>
        <v>Yuhang Ran</v>
      </c>
      <c r="B4255" s="1" t="str">
        <f>IFERROR(__xludf.DUMMYFUNCTION("""COMPUTED_VALUE"""),"HS")</f>
        <v>HS</v>
      </c>
    </row>
    <row r="4256" ht="15.75" customHeight="1">
      <c r="A4256" s="1" t="str">
        <f>IFERROR(__xludf.DUMMYFUNCTION("""COMPUTED_VALUE"""),"Alexis Vera Franklin")</f>
        <v>Alexis Vera Franklin</v>
      </c>
      <c r="B4256" s="1" t="str">
        <f>IFERROR(__xludf.DUMMYFUNCTION("""COMPUTED_VALUE"""),"HS")</f>
        <v>HS</v>
      </c>
    </row>
    <row r="4257" ht="15.75" customHeight="1">
      <c r="A4257" s="1" t="str">
        <f>IFERROR(__xludf.DUMMYFUNCTION("""COMPUTED_VALUE"""),"Kaiming Wen")</f>
        <v>Kaiming Wen</v>
      </c>
      <c r="B4257" s="1" t="str">
        <f>IFERROR(__xludf.DUMMYFUNCTION("""COMPUTED_VALUE"""),"HS")</f>
        <v>HS</v>
      </c>
    </row>
    <row r="4258" ht="15.75" customHeight="1">
      <c r="A4258" s="1" t="str">
        <f>IFERROR(__xludf.DUMMYFUNCTION("""COMPUTED_VALUE"""),"Jacob Cardenas Mora")</f>
        <v>Jacob Cardenas Mora</v>
      </c>
      <c r="B4258" s="1" t="str">
        <f>IFERROR(__xludf.DUMMYFUNCTION("""COMPUTED_VALUE"""),"HS")</f>
        <v>HS</v>
      </c>
    </row>
    <row r="4259" ht="15.75" customHeight="1">
      <c r="A4259" s="1" t="str">
        <f>IFERROR(__xludf.DUMMYFUNCTION("""COMPUTED_VALUE"""),"Jesus Cisneros")</f>
        <v>Jesus Cisneros</v>
      </c>
      <c r="B4259" s="1" t="str">
        <f>IFERROR(__xludf.DUMMYFUNCTION("""COMPUTED_VALUE"""),"HS")</f>
        <v>HS</v>
      </c>
    </row>
    <row r="4260" ht="15.75" customHeight="1">
      <c r="A4260" s="1" t="str">
        <f>IFERROR(__xludf.DUMMYFUNCTION("""COMPUTED_VALUE"""),"Steven Echeverria Galvez")</f>
        <v>Steven Echeverria Galvez</v>
      </c>
      <c r="B4260" s="1" t="str">
        <f>IFERROR(__xludf.DUMMYFUNCTION("""COMPUTED_VALUE"""),"HS")</f>
        <v>HS</v>
      </c>
    </row>
    <row r="4261" ht="15.75" customHeight="1">
      <c r="A4261" s="1" t="str">
        <f>IFERROR(__xludf.DUMMYFUNCTION("""COMPUTED_VALUE"""),"Joaquin Gutierrez")</f>
        <v>Joaquin Gutierrez</v>
      </c>
      <c r="B4261" s="1" t="str">
        <f>IFERROR(__xludf.DUMMYFUNCTION("""COMPUTED_VALUE"""),"HS")</f>
        <v>HS</v>
      </c>
    </row>
    <row r="4262" ht="15.75" customHeight="1">
      <c r="A4262" s="1" t="str">
        <f>IFERROR(__xludf.DUMMYFUNCTION("""COMPUTED_VALUE"""),"Navpreet Kaur")</f>
        <v>Navpreet Kaur</v>
      </c>
      <c r="B4262" s="1" t="str">
        <f>IFERROR(__xludf.DUMMYFUNCTION("""COMPUTED_VALUE"""),"HS")</f>
        <v>HS</v>
      </c>
    </row>
    <row r="4263" ht="15.75" customHeight="1">
      <c r="A4263" s="1" t="str">
        <f>IFERROR(__xludf.DUMMYFUNCTION("""COMPUTED_VALUE"""),"Sehaj Kaur")</f>
        <v>Sehaj Kaur</v>
      </c>
      <c r="B4263" s="1" t="str">
        <f>IFERROR(__xludf.DUMMYFUNCTION("""COMPUTED_VALUE"""),"HS")</f>
        <v>HS</v>
      </c>
    </row>
    <row r="4264" ht="15.75" customHeight="1">
      <c r="A4264" s="1" t="str">
        <f>IFERROR(__xludf.DUMMYFUNCTION("""COMPUTED_VALUE"""),"Qiaoruo Li")</f>
        <v>Qiaoruo Li</v>
      </c>
      <c r="B4264" s="1" t="str">
        <f>IFERROR(__xludf.DUMMYFUNCTION("""COMPUTED_VALUE"""),"HS")</f>
        <v>HS</v>
      </c>
    </row>
    <row r="4265" ht="15.75" customHeight="1">
      <c r="A4265" s="1" t="str">
        <f>IFERROR(__xludf.DUMMYFUNCTION("""COMPUTED_VALUE"""),"Jaiden Martinez Rodriguez")</f>
        <v>Jaiden Martinez Rodriguez</v>
      </c>
      <c r="B4265" s="1" t="str">
        <f>IFERROR(__xludf.DUMMYFUNCTION("""COMPUTED_VALUE"""),"HS")</f>
        <v>HS</v>
      </c>
    </row>
    <row r="4266" ht="15.75" customHeight="1">
      <c r="A4266" s="1" t="str">
        <f>IFERROR(__xludf.DUMMYFUNCTION("""COMPUTED_VALUE"""),"Selina Mcintyre")</f>
        <v>Selina Mcintyre</v>
      </c>
      <c r="B4266" s="1" t="str">
        <f>IFERROR(__xludf.DUMMYFUNCTION("""COMPUTED_VALUE"""),"HS")</f>
        <v>HS</v>
      </c>
    </row>
    <row r="4267" ht="15.75" customHeight="1">
      <c r="A4267" s="1" t="str">
        <f>IFERROR(__xludf.DUMMYFUNCTION("""COMPUTED_VALUE"""),"Kayvon Moghaddam")</f>
        <v>Kayvon Moghaddam</v>
      </c>
      <c r="B4267" s="1" t="str">
        <f>IFERROR(__xludf.DUMMYFUNCTION("""COMPUTED_VALUE"""),"HS")</f>
        <v>HS</v>
      </c>
    </row>
    <row r="4268" ht="15.75" customHeight="1">
      <c r="A4268" s="1" t="str">
        <f>IFERROR(__xludf.DUMMYFUNCTION("""COMPUTED_VALUE"""),"Laiyah Morganstein")</f>
        <v>Laiyah Morganstein</v>
      </c>
      <c r="B4268" s="1" t="str">
        <f>IFERROR(__xludf.DUMMYFUNCTION("""COMPUTED_VALUE"""),"HS")</f>
        <v>HS</v>
      </c>
    </row>
    <row r="4269" ht="15.75" customHeight="1">
      <c r="A4269" s="1" t="str">
        <f>IFERROR(__xludf.DUMMYFUNCTION("""COMPUTED_VALUE"""),"Vanessa Ortega Casas")</f>
        <v>Vanessa Ortega Casas</v>
      </c>
      <c r="B4269" s="1" t="str">
        <f>IFERROR(__xludf.DUMMYFUNCTION("""COMPUTED_VALUE"""),"HS")</f>
        <v>HS</v>
      </c>
    </row>
    <row r="4270" ht="15.75" customHeight="1">
      <c r="A4270" s="1" t="str">
        <f>IFERROR(__xludf.DUMMYFUNCTION("""COMPUTED_VALUE"""),"Sayed Wedad Sadaat")</f>
        <v>Sayed Wedad Sadaat</v>
      </c>
      <c r="B4270" s="1" t="str">
        <f>IFERROR(__xludf.DUMMYFUNCTION("""COMPUTED_VALUE"""),"HS")</f>
        <v>HS</v>
      </c>
    </row>
    <row r="4271" ht="15.75" customHeight="1">
      <c r="A4271" s="1" t="str">
        <f>IFERROR(__xludf.DUMMYFUNCTION("""COMPUTED_VALUE"""),"London Sykes Murray")</f>
        <v>London Sykes Murray</v>
      </c>
      <c r="B4271" s="1" t="str">
        <f>IFERROR(__xludf.DUMMYFUNCTION("""COMPUTED_VALUE"""),"HS")</f>
        <v>HS</v>
      </c>
    </row>
    <row r="4272" ht="15.75" customHeight="1">
      <c r="A4272" s="1" t="str">
        <f>IFERROR(__xludf.DUMMYFUNCTION("""COMPUTED_VALUE"""),"Diego Toral Villegas")</f>
        <v>Diego Toral Villegas</v>
      </c>
      <c r="B4272" s="1" t="str">
        <f>IFERROR(__xludf.DUMMYFUNCTION("""COMPUTED_VALUE"""),"HS")</f>
        <v>HS</v>
      </c>
    </row>
    <row r="4273" ht="15.75" customHeight="1">
      <c r="A4273" s="1" t="str">
        <f>IFERROR(__xludf.DUMMYFUNCTION("""COMPUTED_VALUE"""),"Leon Vuong")</f>
        <v>Leon Vuong</v>
      </c>
      <c r="B4273" s="1" t="str">
        <f>IFERROR(__xludf.DUMMYFUNCTION("""COMPUTED_VALUE"""),"HS")</f>
        <v>HS</v>
      </c>
    </row>
    <row r="4274" ht="15.75" customHeight="1">
      <c r="A4274" s="1" t="str">
        <f>IFERROR(__xludf.DUMMYFUNCTION("""COMPUTED_VALUE"""),"Cali Bannon")</f>
        <v>Cali Bannon</v>
      </c>
      <c r="B4274" s="1" t="str">
        <f>IFERROR(__xludf.DUMMYFUNCTION("""COMPUTED_VALUE"""),"HS")</f>
        <v>HS</v>
      </c>
    </row>
    <row r="4275" ht="15.75" customHeight="1">
      <c r="A4275" s="1" t="str">
        <f>IFERROR(__xludf.DUMMYFUNCTION("""COMPUTED_VALUE"""),"Olivia Attia")</f>
        <v>Olivia Attia</v>
      </c>
      <c r="B4275" s="1" t="str">
        <f>IFERROR(__xludf.DUMMYFUNCTION("""COMPUTED_VALUE"""),"HS")</f>
        <v>HS</v>
      </c>
    </row>
    <row r="4276" ht="15.75" customHeight="1">
      <c r="A4276" s="1" t="str">
        <f>IFERROR(__xludf.DUMMYFUNCTION("""COMPUTED_VALUE"""),"Test Student2025")</f>
        <v>Test Student2025</v>
      </c>
      <c r="B4276" s="1" t="str">
        <f>IFERROR(__xludf.DUMMYFUNCTION("""COMPUTED_VALUE"""),"HS")</f>
        <v>HS</v>
      </c>
    </row>
    <row r="4277" ht="15.75" customHeight="1">
      <c r="A4277" s="1" t="str">
        <f>IFERROR(__xludf.DUMMYFUNCTION("""COMPUTED_VALUE"""),"Keyen Gupta")</f>
        <v>Keyen Gupta</v>
      </c>
      <c r="B4277" s="1" t="str">
        <f>IFERROR(__xludf.DUMMYFUNCTION("""COMPUTED_VALUE"""),"HS")</f>
        <v>HS</v>
      </c>
    </row>
    <row r="4278" ht="15.75" customHeight="1">
      <c r="A4278" s="1" t="str">
        <f>IFERROR(__xludf.DUMMYFUNCTION("""COMPUTED_VALUE"""),"Layla Kelch")</f>
        <v>Layla Kelch</v>
      </c>
      <c r="B4278" s="1" t="str">
        <f>IFERROR(__xludf.DUMMYFUNCTION("""COMPUTED_VALUE"""),"MS")</f>
        <v>MS</v>
      </c>
    </row>
    <row r="4279" ht="15.75" customHeight="1">
      <c r="A4279" s="1" t="str">
        <f>IFERROR(__xludf.DUMMYFUNCTION("""COMPUTED_VALUE"""),"Elyse Suarez")</f>
        <v>Elyse Suarez</v>
      </c>
      <c r="B4279" s="1" t="str">
        <f>IFERROR(__xludf.DUMMYFUNCTION("""COMPUTED_VALUE"""),"L2")</f>
        <v>L2</v>
      </c>
    </row>
    <row r="4280" ht="15.75" customHeight="1">
      <c r="A4280" s="1" t="str">
        <f>IFERROR(__xludf.DUMMYFUNCTION("""COMPUTED_VALUE"""),"Hasini Chandrakumar")</f>
        <v>Hasini Chandrakumar</v>
      </c>
      <c r="B4280" s="1" t="str">
        <f>IFERROR(__xludf.DUMMYFUNCTION("""COMPUTED_VALUE"""),"HS")</f>
        <v>HS</v>
      </c>
    </row>
    <row r="4281" ht="15.75" customHeight="1">
      <c r="A4281" s="1" t="str">
        <f>IFERROR(__xludf.DUMMYFUNCTION("""COMPUTED_VALUE"""),"Layla Ford")</f>
        <v>Layla Ford</v>
      </c>
      <c r="B4281" s="1" t="str">
        <f>IFERROR(__xludf.DUMMYFUNCTION("""COMPUTED_VALUE"""),"HS")</f>
        <v>HS</v>
      </c>
    </row>
    <row r="4282" ht="15.75" customHeight="1">
      <c r="A4282" s="1" t="str">
        <f>IFERROR(__xludf.DUMMYFUNCTION("""COMPUTED_VALUE"""),"Lawson Fass")</f>
        <v>Lawson Fass</v>
      </c>
      <c r="B4282" s="1" t="str">
        <f>IFERROR(__xludf.DUMMYFUNCTION("""COMPUTED_VALUE"""),"HS")</f>
        <v>HS</v>
      </c>
    </row>
    <row r="4283" ht="15.75" customHeight="1">
      <c r="A4283" s="1" t="str">
        <f>IFERROR(__xludf.DUMMYFUNCTION("""COMPUTED_VALUE"""),"Shrika Vudumu")</f>
        <v>Shrika Vudumu</v>
      </c>
      <c r="B4283" s="1" t="str">
        <f>IFERROR(__xludf.DUMMYFUNCTION("""COMPUTED_VALUE"""),"HS")</f>
        <v>HS</v>
      </c>
    </row>
    <row r="4284" ht="15.75" customHeight="1">
      <c r="A4284" s="1" t="str">
        <f>IFERROR(__xludf.DUMMYFUNCTION("""COMPUTED_VALUE"""),"Ridhima Chelani")</f>
        <v>Ridhima Chelani</v>
      </c>
      <c r="B4284" s="1" t="str">
        <f>IFERROR(__xludf.DUMMYFUNCTION("""COMPUTED_VALUE"""),"HS")</f>
        <v>HS</v>
      </c>
    </row>
    <row r="4285" ht="15.75" customHeight="1">
      <c r="A4285" s="1" t="str">
        <f>IFERROR(__xludf.DUMMYFUNCTION("""COMPUTED_VALUE"""),"Jash Jagadeesan")</f>
        <v>Jash Jagadeesan</v>
      </c>
      <c r="B4285" s="1" t="str">
        <f>IFERROR(__xludf.DUMMYFUNCTION("""COMPUTED_VALUE"""),"MS")</f>
        <v>MS</v>
      </c>
    </row>
    <row r="4286" ht="15.75" customHeight="1">
      <c r="A4286" s="1" t="str">
        <f>IFERROR(__xludf.DUMMYFUNCTION("""COMPUTED_VALUE"""),"Jaswanth Jagadeesan")</f>
        <v>Jaswanth Jagadeesan</v>
      </c>
      <c r="B4286" s="1" t="str">
        <f>IFERROR(__xludf.DUMMYFUNCTION("""COMPUTED_VALUE"""),"MS")</f>
        <v>MS</v>
      </c>
    </row>
    <row r="4287" ht="15.75" customHeight="1">
      <c r="A4287" s="1" t="str">
        <f>IFERROR(__xludf.DUMMYFUNCTION("""COMPUTED_VALUE"""),"Dilan Koya")</f>
        <v>Dilan Koya</v>
      </c>
      <c r="B4287" s="1" t="str">
        <f>IFERROR(__xludf.DUMMYFUNCTION("""COMPUTED_VALUE"""),"HS")</f>
        <v>HS</v>
      </c>
    </row>
    <row r="4288" ht="15.75" customHeight="1">
      <c r="A4288" s="1" t="str">
        <f>IFERROR(__xludf.DUMMYFUNCTION("""COMPUTED_VALUE"""),"Jaiden Koya")</f>
        <v>Jaiden Koya</v>
      </c>
      <c r="B4288" s="1" t="str">
        <f>IFERROR(__xludf.DUMMYFUNCTION("""COMPUTED_VALUE"""),"HS")</f>
        <v>HS</v>
      </c>
    </row>
    <row r="4289" ht="15.75" customHeight="1">
      <c r="A4289" s="1" t="str">
        <f>IFERROR(__xludf.DUMMYFUNCTION("""COMPUTED_VALUE"""),"Ananya Peesu")</f>
        <v>Ananya Peesu</v>
      </c>
      <c r="B4289" s="1" t="str">
        <f>IFERROR(__xludf.DUMMYFUNCTION("""COMPUTED_VALUE"""),"MS")</f>
        <v>MS</v>
      </c>
    </row>
    <row r="4290" ht="15.75" customHeight="1">
      <c r="A4290" s="1" t="str">
        <f>IFERROR(__xludf.DUMMYFUNCTION("""COMPUTED_VALUE"""),"Adam Phan")</f>
        <v>Adam Phan</v>
      </c>
      <c r="B4290" s="1" t="str">
        <f>IFERROR(__xludf.DUMMYFUNCTION("""COMPUTED_VALUE"""),"HS")</f>
        <v>HS</v>
      </c>
    </row>
    <row r="4291" ht="15.75" customHeight="1">
      <c r="A4291" s="1" t="str">
        <f>IFERROR(__xludf.DUMMYFUNCTION("""COMPUTED_VALUE"""),"Raghavi Srinivasan")</f>
        <v>Raghavi Srinivasan</v>
      </c>
      <c r="B4291" s="1" t="str">
        <f>IFERROR(__xludf.DUMMYFUNCTION("""COMPUTED_VALUE"""),"HS")</f>
        <v>HS</v>
      </c>
    </row>
    <row r="4292" ht="15.75" customHeight="1">
      <c r="A4292" s="1" t="str">
        <f>IFERROR(__xludf.DUMMYFUNCTION("""COMPUTED_VALUE"""),"Arnav Konduru")</f>
        <v>Arnav Konduru</v>
      </c>
      <c r="B4292" s="1" t="str">
        <f>IFERROR(__xludf.DUMMYFUNCTION("""COMPUTED_VALUE"""),"HS")</f>
        <v>HS</v>
      </c>
    </row>
    <row r="4293" ht="15.75" customHeight="1">
      <c r="A4293" s="1" t="str">
        <f>IFERROR(__xludf.DUMMYFUNCTION("""COMPUTED_VALUE"""),"Ashrith Chinta")</f>
        <v>Ashrith Chinta</v>
      </c>
      <c r="B4293" s="1" t="str">
        <f>IFERROR(__xludf.DUMMYFUNCTION("""COMPUTED_VALUE"""),"HS")</f>
        <v>HS</v>
      </c>
    </row>
    <row r="4294" ht="15.75" customHeight="1">
      <c r="A4294" s="1" t="str">
        <f>IFERROR(__xludf.DUMMYFUNCTION("""COMPUTED_VALUE"""),"Shiven Uppuluri")</f>
        <v>Shiven Uppuluri</v>
      </c>
      <c r="B4294" s="1" t="str">
        <f>IFERROR(__xludf.DUMMYFUNCTION("""COMPUTED_VALUE"""),"HS")</f>
        <v>HS</v>
      </c>
    </row>
    <row r="4295" ht="15.75" customHeight="1">
      <c r="A4295" s="1" t="str">
        <f>IFERROR(__xludf.DUMMYFUNCTION("""COMPUTED_VALUE"""),"Vishnu Mahesha")</f>
        <v>Vishnu Mahesha</v>
      </c>
      <c r="B4295" s="1" t="str">
        <f>IFERROR(__xludf.DUMMYFUNCTION("""COMPUTED_VALUE"""),"HS")</f>
        <v>HS</v>
      </c>
    </row>
    <row r="4296" ht="15.75" customHeight="1">
      <c r="A4296" s="1" t="str">
        <f>IFERROR(__xludf.DUMMYFUNCTION("""COMPUTED_VALUE"""),"Kathiravan Balakrishnan")</f>
        <v>Kathiravan Balakrishnan</v>
      </c>
      <c r="B4296" s="1" t="str">
        <f>IFERROR(__xludf.DUMMYFUNCTION("""COMPUTED_VALUE"""),"HS")</f>
        <v>HS</v>
      </c>
    </row>
    <row r="4297" ht="15.75" customHeight="1">
      <c r="A4297" s="1" t="str">
        <f>IFERROR(__xludf.DUMMYFUNCTION("""COMPUTED_VALUE"""),"Parnika Taluru")</f>
        <v>Parnika Taluru</v>
      </c>
      <c r="B4297" s="1" t="str">
        <f>IFERROR(__xludf.DUMMYFUNCTION("""COMPUTED_VALUE"""),"HS")</f>
        <v>HS</v>
      </c>
    </row>
    <row r="4298" ht="15.75" customHeight="1">
      <c r="A4298" s="1" t="str">
        <f>IFERROR(__xludf.DUMMYFUNCTION("""COMPUTED_VALUE"""),"Max Schneider")</f>
        <v>Max Schneider</v>
      </c>
      <c r="B4298" s="1" t="str">
        <f>IFERROR(__xludf.DUMMYFUNCTION("""COMPUTED_VALUE"""),"HS")</f>
        <v>HS</v>
      </c>
    </row>
    <row r="4299" ht="15.75" customHeight="1">
      <c r="A4299" s="1" t="str">
        <f>IFERROR(__xludf.DUMMYFUNCTION("""COMPUTED_VALUE"""),"Otto Schneider")</f>
        <v>Otto Schneider</v>
      </c>
      <c r="B4299" s="1" t="str">
        <f>IFERROR(__xludf.DUMMYFUNCTION("""COMPUTED_VALUE"""),"HS")</f>
        <v>HS</v>
      </c>
    </row>
    <row r="4300" ht="15.75" customHeight="1">
      <c r="A4300" s="1" t="str">
        <f>IFERROR(__xludf.DUMMYFUNCTION("""COMPUTED_VALUE"""),"Aksel Schneider")</f>
        <v>Aksel Schneider</v>
      </c>
      <c r="B4300" s="1" t="str">
        <f>IFERROR(__xludf.DUMMYFUNCTION("""COMPUTED_VALUE"""),"HS")</f>
        <v>HS</v>
      </c>
    </row>
    <row r="4301" ht="15.75" customHeight="1">
      <c r="A4301" s="1" t="str">
        <f>IFERROR(__xludf.DUMMYFUNCTION("""COMPUTED_VALUE"""),"Preston Ramirez")</f>
        <v>Preston Ramirez</v>
      </c>
      <c r="B4301" s="1" t="str">
        <f>IFERROR(__xludf.DUMMYFUNCTION("""COMPUTED_VALUE"""),"HS")</f>
        <v>HS</v>
      </c>
    </row>
    <row r="4302" ht="15.75" customHeight="1">
      <c r="A4302" s="1" t="str">
        <f>IFERROR(__xludf.DUMMYFUNCTION("""COMPUTED_VALUE"""),"Deshna Porwar")</f>
        <v>Deshna Porwar</v>
      </c>
      <c r="B4302" s="1" t="str">
        <f>IFERROR(__xludf.DUMMYFUNCTION("""COMPUTED_VALUE"""),"HS")</f>
        <v>HS</v>
      </c>
    </row>
    <row r="4303" ht="15.75" customHeight="1">
      <c r="A4303" s="1" t="str">
        <f>IFERROR(__xludf.DUMMYFUNCTION("""COMPUTED_VALUE"""),"Sai Deepthi Puligadda")</f>
        <v>Sai Deepthi Puligadda</v>
      </c>
      <c r="B4303" s="1" t="str">
        <f>IFERROR(__xludf.DUMMYFUNCTION("""COMPUTED_VALUE"""),"HS")</f>
        <v>HS</v>
      </c>
    </row>
    <row r="4304" ht="15.75" customHeight="1">
      <c r="A4304" s="1" t="str">
        <f>IFERROR(__xludf.DUMMYFUNCTION("""COMPUTED_VALUE"""),"Colette Kim")</f>
        <v>Colette Kim</v>
      </c>
      <c r="B4304" s="1" t="str">
        <f>IFERROR(__xludf.DUMMYFUNCTION("""COMPUTED_VALUE"""),"HS")</f>
        <v>HS</v>
      </c>
    </row>
    <row r="4305" ht="15.75" customHeight="1">
      <c r="A4305" s="1" t="str">
        <f>IFERROR(__xludf.DUMMYFUNCTION("""COMPUTED_VALUE"""),"William Zulanas")</f>
        <v>William Zulanas</v>
      </c>
      <c r="B4305" s="1" t="str">
        <f>IFERROR(__xludf.DUMMYFUNCTION("""COMPUTED_VALUE"""),"L2")</f>
        <v>L2</v>
      </c>
    </row>
    <row r="4306" ht="15.75" customHeight="1">
      <c r="A4306" s="1" t="str">
        <f>IFERROR(__xludf.DUMMYFUNCTION("""COMPUTED_VALUE"""),"Vivian Macholtz")</f>
        <v>Vivian Macholtz</v>
      </c>
      <c r="B4306" s="1" t="str">
        <f>IFERROR(__xludf.DUMMYFUNCTION("""COMPUTED_VALUE"""),"L1")</f>
        <v>L1</v>
      </c>
    </row>
    <row r="4307" ht="15.75" customHeight="1">
      <c r="A4307" s="1" t="str">
        <f>IFERROR(__xludf.DUMMYFUNCTION("""COMPUTED_VALUE"""),"Livy Fay")</f>
        <v>Livy Fay</v>
      </c>
      <c r="B4307" s="1" t="str">
        <f>IFERROR(__xludf.DUMMYFUNCTION("""COMPUTED_VALUE"""),"LL")</f>
        <v>LL</v>
      </c>
    </row>
    <row r="4308" ht="15.75" customHeight="1">
      <c r="A4308" s="1" t="str">
        <f>IFERROR(__xludf.DUMMYFUNCTION("""COMPUTED_VALUE"""),"Addie Postillion")</f>
        <v>Addie Postillion</v>
      </c>
      <c r="B4308" s="1" t="str">
        <f>IFERROR(__xludf.DUMMYFUNCTION("""COMPUTED_VALUE"""),"WL")</f>
        <v>WL</v>
      </c>
    </row>
    <row r="4309" ht="15.75" customHeight="1">
      <c r="A4309" s="1" t="str">
        <f>IFERROR(__xludf.DUMMYFUNCTION("""COMPUTED_VALUE"""),"Jensen Langston")</f>
        <v>Jensen Langston</v>
      </c>
      <c r="B4309" s="1" t="str">
        <f>IFERROR(__xludf.DUMMYFUNCTION("""COMPUTED_VALUE"""),"MS")</f>
        <v>MS</v>
      </c>
    </row>
    <row r="4310" ht="15.75" customHeight="1">
      <c r="A4310" s="1" t="str">
        <f>IFERROR(__xludf.DUMMYFUNCTION("""COMPUTED_VALUE"""),"Francis Naset")</f>
        <v>Francis Naset</v>
      </c>
      <c r="B4310" s="1" t="str">
        <f>IFERROR(__xludf.DUMMYFUNCTION("""COMPUTED_VALUE"""),"LL")</f>
        <v>LL</v>
      </c>
    </row>
    <row r="4311" ht="15.75" customHeight="1">
      <c r="A4311" s="1" t="str">
        <f>IFERROR(__xludf.DUMMYFUNCTION("""COMPUTED_VALUE"""),"Aanya Ather")</f>
        <v>Aanya Ather</v>
      </c>
      <c r="B4311" s="1" t="str">
        <f>IFERROR(__xludf.DUMMYFUNCTION("""COMPUTED_VALUE"""),"L1")</f>
        <v>L1</v>
      </c>
    </row>
    <row r="4312" ht="15.75" customHeight="1">
      <c r="A4312" s="1" t="str">
        <f>IFERROR(__xludf.DUMMYFUNCTION("""COMPUTED_VALUE"""),"Connor Baker-Hassell")</f>
        <v>Connor Baker-Hassell</v>
      </c>
      <c r="B4312" s="1" t="str">
        <f>IFERROR(__xludf.DUMMYFUNCTION("""COMPUTED_VALUE"""),"L2")</f>
        <v>L2</v>
      </c>
    </row>
    <row r="4313" ht="15.75" customHeight="1">
      <c r="A4313" s="1" t="str">
        <f>IFERROR(__xludf.DUMMYFUNCTION("""COMPUTED_VALUE"""),"Axl Meyer")</f>
        <v>Axl Meyer</v>
      </c>
      <c r="B4313" s="1" t="str">
        <f>IFERROR(__xludf.DUMMYFUNCTION("""COMPUTED_VALUE"""),"L2")</f>
        <v>L2</v>
      </c>
    </row>
    <row r="4314" ht="15.75" customHeight="1">
      <c r="A4314" s="1" t="str">
        <f>IFERROR(__xludf.DUMMYFUNCTION("""COMPUTED_VALUE"""),"Scarlett Meyer")</f>
        <v>Scarlett Meyer</v>
      </c>
      <c r="B4314" s="1" t="str">
        <f>IFERROR(__xludf.DUMMYFUNCTION("""COMPUTED_VALUE"""),"L1")</f>
        <v>L1</v>
      </c>
    </row>
    <row r="4315" ht="15.75" customHeight="1">
      <c r="A4315" s="1" t="str">
        <f>IFERROR(__xludf.DUMMYFUNCTION("""COMPUTED_VALUE"""),"Ethan Dailey")</f>
        <v>Ethan Dailey</v>
      </c>
      <c r="B4315" s="1" t="str">
        <f>IFERROR(__xludf.DUMMYFUNCTION("""COMPUTED_VALUE"""),"LL")</f>
        <v>LL</v>
      </c>
    </row>
    <row r="4316" ht="15.75" customHeight="1">
      <c r="A4316" s="1" t="str">
        <f>IFERROR(__xludf.DUMMYFUNCTION("""COMPUTED_VALUE"""),"Noah Hastings")</f>
        <v>Noah Hastings</v>
      </c>
      <c r="B4316" s="1" t="str">
        <f>IFERROR(__xludf.DUMMYFUNCTION("""COMPUTED_VALUE"""),"L2")</f>
        <v>L2</v>
      </c>
    </row>
    <row r="4317" ht="15.75" customHeight="1">
      <c r="A4317" s="1" t="str">
        <f>IFERROR(__xludf.DUMMYFUNCTION("""COMPUTED_VALUE"""),"Ben Doherty")</f>
        <v>Ben Doherty</v>
      </c>
      <c r="B4317" s="1" t="str">
        <f>IFERROR(__xludf.DUMMYFUNCTION("""COMPUTED_VALUE"""),"MS")</f>
        <v>MS</v>
      </c>
    </row>
    <row r="4318" ht="15.75" customHeight="1">
      <c r="A4318" s="1" t="str">
        <f>IFERROR(__xludf.DUMMYFUNCTION("""COMPUTED_VALUE"""),"Cruz Munoz")</f>
        <v>Cruz Munoz</v>
      </c>
      <c r="B4318" s="1" t="str">
        <f>IFERROR(__xludf.DUMMYFUNCTION("""COMPUTED_VALUE"""),"L1")</f>
        <v>L1</v>
      </c>
    </row>
    <row r="4319" ht="15.75" customHeight="1">
      <c r="A4319" s="1" t="str">
        <f>IFERROR(__xludf.DUMMYFUNCTION("""COMPUTED_VALUE"""),"Eden Michel")</f>
        <v>Eden Michel</v>
      </c>
      <c r="B4319" s="1" t="str">
        <f>IFERROR(__xludf.DUMMYFUNCTION("""COMPUTED_VALUE"""),"L2")</f>
        <v>L2</v>
      </c>
    </row>
    <row r="4320" ht="15.75" customHeight="1">
      <c r="A4320" s="1" t="str">
        <f>IFERROR(__xludf.DUMMYFUNCTION("""COMPUTED_VALUE"""),"Wells Lindsley")</f>
        <v>Wells Lindsley</v>
      </c>
      <c r="B4320" s="1" t="str">
        <f>IFERROR(__xludf.DUMMYFUNCTION("""COMPUTED_VALUE"""),"L1")</f>
        <v>L1</v>
      </c>
    </row>
    <row r="4321" ht="15.75" customHeight="1">
      <c r="A4321" s="1" t="str">
        <f>IFERROR(__xludf.DUMMYFUNCTION("""COMPUTED_VALUE"""),"Rocket Roark")</f>
        <v>Rocket Roark</v>
      </c>
      <c r="B4321" s="1" t="str">
        <f>IFERROR(__xludf.DUMMYFUNCTION("""COMPUTED_VALUE"""),"LL")</f>
        <v>LL</v>
      </c>
    </row>
    <row r="4322" ht="15.75" customHeight="1">
      <c r="A4322" s="1" t="str">
        <f>IFERROR(__xludf.DUMMYFUNCTION("""COMPUTED_VALUE"""),"Ruby Roark")</f>
        <v>Ruby Roark</v>
      </c>
      <c r="B4322" s="1" t="str">
        <f>IFERROR(__xludf.DUMMYFUNCTION("""COMPUTED_VALUE"""),"L2")</f>
        <v>L2</v>
      </c>
    </row>
    <row r="4323" ht="15.75" customHeight="1">
      <c r="A4323" s="1" t="str">
        <f>IFERROR(__xludf.DUMMYFUNCTION("""COMPUTED_VALUE"""),"Lilah Roark")</f>
        <v>Lilah Roark</v>
      </c>
      <c r="B4323" s="1" t="str">
        <f>IFERROR(__xludf.DUMMYFUNCTION("""COMPUTED_VALUE"""),"L2")</f>
        <v>L2</v>
      </c>
    </row>
    <row r="4324" ht="15.75" customHeight="1">
      <c r="A4324" s="1" t="str">
        <f>IFERROR(__xludf.DUMMYFUNCTION("""COMPUTED_VALUE"""),"Reese Robell")</f>
        <v>Reese Robell</v>
      </c>
      <c r="B4324" s="1" t="str">
        <f>IFERROR(__xludf.DUMMYFUNCTION("""COMPUTED_VALUE"""),"MS")</f>
        <v>MS</v>
      </c>
    </row>
    <row r="4325" ht="15.75" customHeight="1">
      <c r="A4325" s="1" t="str">
        <f>IFERROR(__xludf.DUMMYFUNCTION("""COMPUTED_VALUE"""),"StudentPreK Phoenix")</f>
        <v>StudentPreK Phoenix</v>
      </c>
      <c r="B4325" s="1" t="str">
        <f>IFERROR(__xludf.DUMMYFUNCTION("""COMPUTED_VALUE"""),"WL")</f>
        <v>WL</v>
      </c>
    </row>
    <row r="4326" ht="15.75" customHeight="1">
      <c r="A4326" s="1" t="str">
        <f>IFERROR(__xludf.DUMMYFUNCTION("""COMPUTED_VALUE"""),"StudentPreKb Phoenix")</f>
        <v>StudentPreKb Phoenix</v>
      </c>
      <c r="B4326" s="1" t="str">
        <f>IFERROR(__xludf.DUMMYFUNCTION("""COMPUTED_VALUE"""),"WL")</f>
        <v>WL</v>
      </c>
    </row>
    <row r="4327" ht="15.75" customHeight="1">
      <c r="A4327" s="1" t="str">
        <f>IFERROR(__xludf.DUMMYFUNCTION("""COMPUTED_VALUE"""),"StudentK Phoenix")</f>
        <v>StudentK Phoenix</v>
      </c>
      <c r="B4327" s="1" t="str">
        <f>IFERROR(__xludf.DUMMYFUNCTION("""COMPUTED_VALUE"""),"LL")</f>
        <v>LL</v>
      </c>
    </row>
    <row r="4328" ht="15.75" customHeight="1">
      <c r="A4328" s="1" t="str">
        <f>IFERROR(__xludf.DUMMYFUNCTION("""COMPUTED_VALUE"""),"StudentKb Phoenix")</f>
        <v>StudentKb Phoenix</v>
      </c>
      <c r="B4328" s="1" t="str">
        <f>IFERROR(__xludf.DUMMYFUNCTION("""COMPUTED_VALUE"""),"LL")</f>
        <v>LL</v>
      </c>
    </row>
    <row r="4329" ht="15.75" customHeight="1">
      <c r="A4329" s="1" t="str">
        <f>IFERROR(__xludf.DUMMYFUNCTION("""COMPUTED_VALUE"""),"Student1 Phoenix")</f>
        <v>Student1 Phoenix</v>
      </c>
      <c r="B4329" s="1" t="str">
        <f>IFERROR(__xludf.DUMMYFUNCTION("""COMPUTED_VALUE"""),"LL")</f>
        <v>LL</v>
      </c>
    </row>
    <row r="4330" ht="15.75" customHeight="1">
      <c r="A4330" s="1" t="str">
        <f>IFERROR(__xludf.DUMMYFUNCTION("""COMPUTED_VALUE"""),"Student1b Phoenix")</f>
        <v>Student1b Phoenix</v>
      </c>
      <c r="B4330" s="1" t="str">
        <f>IFERROR(__xludf.DUMMYFUNCTION("""COMPUTED_VALUE"""),"LL")</f>
        <v>LL</v>
      </c>
    </row>
    <row r="4331" ht="15.75" customHeight="1">
      <c r="A4331" s="1" t="str">
        <f>IFERROR(__xludf.DUMMYFUNCTION("""COMPUTED_VALUE"""),"Student2 Phoenix")</f>
        <v>Student2 Phoenix</v>
      </c>
      <c r="B4331" s="1" t="str">
        <f>IFERROR(__xludf.DUMMYFUNCTION("""COMPUTED_VALUE"""),"L1")</f>
        <v>L1</v>
      </c>
    </row>
    <row r="4332" ht="15.75" customHeight="1">
      <c r="A4332" s="1" t="str">
        <f>IFERROR(__xludf.DUMMYFUNCTION("""COMPUTED_VALUE"""),"Student2b Phoenix")</f>
        <v>Student2b Phoenix</v>
      </c>
      <c r="B4332" s="1" t="str">
        <f>IFERROR(__xludf.DUMMYFUNCTION("""COMPUTED_VALUE"""),"L1")</f>
        <v>L1</v>
      </c>
    </row>
    <row r="4333" ht="15.75" customHeight="1">
      <c r="A4333" s="1" t="str">
        <f>IFERROR(__xludf.DUMMYFUNCTION("""COMPUTED_VALUE"""),"Student3 Phoenix")</f>
        <v>Student3 Phoenix</v>
      </c>
      <c r="B4333" s="1" t="str">
        <f>IFERROR(__xludf.DUMMYFUNCTION("""COMPUTED_VALUE"""),"L1")</f>
        <v>L1</v>
      </c>
    </row>
    <row r="4334" ht="15.75" customHeight="1">
      <c r="A4334" s="1" t="str">
        <f>IFERROR(__xludf.DUMMYFUNCTION("""COMPUTED_VALUE"""),"Hunter Howard")</f>
        <v>Hunter Howard</v>
      </c>
      <c r="B4334" s="1" t="str">
        <f>IFERROR(__xludf.DUMMYFUNCTION("""COMPUTED_VALUE"""),"LL")</f>
        <v>LL</v>
      </c>
    </row>
    <row r="4335" ht="15.75" customHeight="1">
      <c r="A4335" s="1" t="str">
        <f>IFERROR(__xludf.DUMMYFUNCTION("""COMPUTED_VALUE"""),"Student3b Phoenix")</f>
        <v>Student3b Phoenix</v>
      </c>
      <c r="B4335" s="1" t="str">
        <f>IFERROR(__xludf.DUMMYFUNCTION("""COMPUTED_VALUE"""),"L1")</f>
        <v>L1</v>
      </c>
    </row>
    <row r="4336" ht="15.75" customHeight="1">
      <c r="A4336" s="1" t="str">
        <f>IFERROR(__xludf.DUMMYFUNCTION("""COMPUTED_VALUE"""),"Student4 Phoenix")</f>
        <v>Student4 Phoenix</v>
      </c>
      <c r="B4336" s="1" t="str">
        <f>IFERROR(__xludf.DUMMYFUNCTION("""COMPUTED_VALUE"""),"L2")</f>
        <v>L2</v>
      </c>
    </row>
    <row r="4337" ht="15.75" customHeight="1">
      <c r="A4337" s="1" t="str">
        <f>IFERROR(__xludf.DUMMYFUNCTION("""COMPUTED_VALUE"""),"Student4b Phoenix")</f>
        <v>Student4b Phoenix</v>
      </c>
      <c r="B4337" s="1" t="str">
        <f>IFERROR(__xludf.DUMMYFUNCTION("""COMPUTED_VALUE"""),"L2")</f>
        <v>L2</v>
      </c>
    </row>
    <row r="4338" ht="15.75" customHeight="1">
      <c r="A4338" s="1" t="str">
        <f>IFERROR(__xludf.DUMMYFUNCTION("""COMPUTED_VALUE"""),"Student5 Phoenix")</f>
        <v>Student5 Phoenix</v>
      </c>
      <c r="B4338" s="1" t="str">
        <f>IFERROR(__xludf.DUMMYFUNCTION("""COMPUTED_VALUE"""),"L2")</f>
        <v>L2</v>
      </c>
    </row>
    <row r="4339" ht="15.75" customHeight="1">
      <c r="A4339" s="1" t="str">
        <f>IFERROR(__xludf.DUMMYFUNCTION("""COMPUTED_VALUE"""),"Student5b Phoenix")</f>
        <v>Student5b Phoenix</v>
      </c>
      <c r="B4339" s="1" t="str">
        <f>IFERROR(__xludf.DUMMYFUNCTION("""COMPUTED_VALUE"""),"L2")</f>
        <v>L2</v>
      </c>
    </row>
    <row r="4340" ht="15.75" customHeight="1">
      <c r="A4340" s="1" t="str">
        <f>IFERROR(__xludf.DUMMYFUNCTION("""COMPUTED_VALUE"""),"Student6 Phoenix")</f>
        <v>Student6 Phoenix</v>
      </c>
      <c r="B4340" s="1" t="str">
        <f>IFERROR(__xludf.DUMMYFUNCTION("""COMPUTED_VALUE"""),"MS")</f>
        <v>MS</v>
      </c>
    </row>
    <row r="4341" ht="15.75" customHeight="1">
      <c r="A4341" s="1" t="str">
        <f>IFERROR(__xludf.DUMMYFUNCTION("""COMPUTED_VALUE"""),"Student6b Phoenix")</f>
        <v>Student6b Phoenix</v>
      </c>
      <c r="B4341" s="1" t="str">
        <f>IFERROR(__xludf.DUMMYFUNCTION("""COMPUTED_VALUE"""),"MS")</f>
        <v>MS</v>
      </c>
    </row>
    <row r="4342" ht="15.75" customHeight="1">
      <c r="A4342" s="1" t="str">
        <f>IFERROR(__xludf.DUMMYFUNCTION("""COMPUTED_VALUE"""),"Student7 Phoenix")</f>
        <v>Student7 Phoenix</v>
      </c>
      <c r="B4342" s="1" t="str">
        <f>IFERROR(__xludf.DUMMYFUNCTION("""COMPUTED_VALUE"""),"MS")</f>
        <v>MS</v>
      </c>
    </row>
    <row r="4343" ht="15.75" customHeight="1">
      <c r="A4343" s="1" t="str">
        <f>IFERROR(__xludf.DUMMYFUNCTION("""COMPUTED_VALUE"""),"Student7b Phoenix")</f>
        <v>Student7b Phoenix</v>
      </c>
      <c r="B4343" s="1" t="str">
        <f>IFERROR(__xludf.DUMMYFUNCTION("""COMPUTED_VALUE"""),"MS")</f>
        <v>MS</v>
      </c>
    </row>
    <row r="4344" ht="15.75" customHeight="1">
      <c r="A4344" s="1" t="str">
        <f>IFERROR(__xludf.DUMMYFUNCTION("""COMPUTED_VALUE"""),"Student8 Phoenix")</f>
        <v>Student8 Phoenix</v>
      </c>
      <c r="B4344" s="1" t="str">
        <f>IFERROR(__xludf.DUMMYFUNCTION("""COMPUTED_VALUE"""),"MS")</f>
        <v>MS</v>
      </c>
    </row>
    <row r="4345" ht="15.75" customHeight="1">
      <c r="A4345" s="1" t="str">
        <f>IFERROR(__xludf.DUMMYFUNCTION("""COMPUTED_VALUE"""),"Student8b Phoenix")</f>
        <v>Student8b Phoenix</v>
      </c>
      <c r="B4345" s="1" t="str">
        <f>IFERROR(__xludf.DUMMYFUNCTION("""COMPUTED_VALUE"""),"MS")</f>
        <v>MS</v>
      </c>
    </row>
    <row r="4346" ht="15.75" customHeight="1">
      <c r="A4346" s="1" t="str">
        <f>IFERROR(__xludf.DUMMYFUNCTION("""COMPUTED_VALUE"""),"Daniel Marin")</f>
        <v>Daniel Marin</v>
      </c>
      <c r="B4346" s="1" t="str">
        <f>IFERROR(__xludf.DUMMYFUNCTION("""COMPUTED_VALUE"""),"LL")</f>
        <v>LL</v>
      </c>
    </row>
    <row r="4347" ht="15.75" customHeight="1">
      <c r="A4347" s="1" t="str">
        <f>IFERROR(__xludf.DUMMYFUNCTION("""COMPUTED_VALUE"""),"Charlotte McDonald")</f>
        <v>Charlotte McDonald</v>
      </c>
      <c r="B4347" s="1" t="str">
        <f>IFERROR(__xludf.DUMMYFUNCTION("""COMPUTED_VALUE"""),"LL")</f>
        <v>LL</v>
      </c>
    </row>
    <row r="4348" ht="15.75" customHeight="1">
      <c r="A4348" s="1" t="str">
        <f>IFERROR(__xludf.DUMMYFUNCTION("""COMPUTED_VALUE"""),"Makenna Cobb")</f>
        <v>Makenna Cobb</v>
      </c>
      <c r="B4348" s="1" t="str">
        <f>IFERROR(__xludf.DUMMYFUNCTION("""COMPUTED_VALUE"""),"L2")</f>
        <v>L2</v>
      </c>
    </row>
    <row r="4349" ht="15.75" customHeight="1">
      <c r="A4349" s="1" t="str">
        <f>IFERROR(__xludf.DUMMYFUNCTION("""COMPUTED_VALUE"""),"Gerardo Rodriguez Rojo")</f>
        <v>Gerardo Rodriguez Rojo</v>
      </c>
      <c r="B4349" s="1" t="str">
        <f>IFERROR(__xludf.DUMMYFUNCTION("""COMPUTED_VALUE"""),"LL")</f>
        <v>LL</v>
      </c>
    </row>
    <row r="4350" ht="15.75" customHeight="1">
      <c r="A4350" s="1" t="str">
        <f>IFERROR(__xludf.DUMMYFUNCTION("""COMPUTED_VALUE"""),"Mila Tinkler")</f>
        <v>Mila Tinkler</v>
      </c>
      <c r="B4350" s="1" t="str">
        <f>IFERROR(__xludf.DUMMYFUNCTION("""COMPUTED_VALUE"""),"L2")</f>
        <v>L2</v>
      </c>
    </row>
    <row r="4351" ht="15.75" customHeight="1">
      <c r="A4351" s="1" t="str">
        <f>IFERROR(__xludf.DUMMYFUNCTION("""COMPUTED_VALUE"""),"Lex DeMaree")</f>
        <v>Lex DeMaree</v>
      </c>
      <c r="B4351" s="1" t="str">
        <f>IFERROR(__xludf.DUMMYFUNCTION("""COMPUTED_VALUE"""),"L2")</f>
        <v>L2</v>
      </c>
    </row>
    <row r="4352" ht="15.75" customHeight="1">
      <c r="A4352" s="1" t="str">
        <f>IFERROR(__xludf.DUMMYFUNCTION("""COMPUTED_VALUE"""),"Carter Tinkler")</f>
        <v>Carter Tinkler</v>
      </c>
      <c r="B4352" s="1" t="str">
        <f>IFERROR(__xludf.DUMMYFUNCTION("""COMPUTED_VALUE"""),"L2")</f>
        <v>L2</v>
      </c>
    </row>
    <row r="4353" ht="15.75" customHeight="1">
      <c r="A4353" s="1" t="str">
        <f>IFERROR(__xludf.DUMMYFUNCTION("""COMPUTED_VALUE"""),"Surya Krishnan")</f>
        <v>Surya Krishnan</v>
      </c>
      <c r="B4353" s="1" t="str">
        <f>IFERROR(__xludf.DUMMYFUNCTION("""COMPUTED_VALUE"""),"L1")</f>
        <v>L1</v>
      </c>
    </row>
    <row r="4354" ht="15.75" customHeight="1">
      <c r="A4354" s="1" t="str">
        <f>IFERROR(__xludf.DUMMYFUNCTION("""COMPUTED_VALUE"""),"Khloe Hinkle")</f>
        <v>Khloe Hinkle</v>
      </c>
      <c r="B4354" s="1" t="str">
        <f>IFERROR(__xludf.DUMMYFUNCTION("""COMPUTED_VALUE"""),"L1")</f>
        <v>L1</v>
      </c>
    </row>
    <row r="4355" ht="15.75" customHeight="1">
      <c r="A4355" s="1" t="str">
        <f>IFERROR(__xludf.DUMMYFUNCTION("""COMPUTED_VALUE"""),"Kyla Hinkle")</f>
        <v>Kyla Hinkle</v>
      </c>
      <c r="B4355" s="1" t="str">
        <f>IFERROR(__xludf.DUMMYFUNCTION("""COMPUTED_VALUE"""),"L2")</f>
        <v>L2</v>
      </c>
    </row>
    <row r="4356" ht="15.75" customHeight="1">
      <c r="A4356" s="1" t="str">
        <f>IFERROR(__xludf.DUMMYFUNCTION("""COMPUTED_VALUE"""),"Cameron White")</f>
        <v>Cameron White</v>
      </c>
      <c r="B4356" s="1" t="str">
        <f>IFERROR(__xludf.DUMMYFUNCTION("""COMPUTED_VALUE"""),"L2")</f>
        <v>L2</v>
      </c>
    </row>
    <row r="4357" ht="15.75" customHeight="1">
      <c r="A4357" s="1" t="str">
        <f>IFERROR(__xludf.DUMMYFUNCTION("""COMPUTED_VALUE"""),"Luke Wertheim")</f>
        <v>Luke Wertheim</v>
      </c>
      <c r="B4357" s="1" t="str">
        <f>IFERROR(__xludf.DUMMYFUNCTION("""COMPUTED_VALUE"""),"MS")</f>
        <v>MS</v>
      </c>
    </row>
    <row r="4358" ht="15.75" customHeight="1">
      <c r="A4358" s="1" t="str">
        <f>IFERROR(__xludf.DUMMYFUNCTION("""COMPUTED_VALUE"""),"Brooks Knight")</f>
        <v>Brooks Knight</v>
      </c>
      <c r="B4358" s="1" t="str">
        <f>IFERROR(__xludf.DUMMYFUNCTION("""COMPUTED_VALUE"""),"L1")</f>
        <v>L1</v>
      </c>
    </row>
    <row r="4359" ht="15.75" customHeight="1">
      <c r="A4359" s="1" t="str">
        <f>IFERROR(__xludf.DUMMYFUNCTION("""COMPUTED_VALUE"""),"Dakari Campbell")</f>
        <v>Dakari Campbell</v>
      </c>
      <c r="B4359" s="1" t="str">
        <f>IFERROR(__xludf.DUMMYFUNCTION("""COMPUTED_VALUE"""),"LL")</f>
        <v>LL</v>
      </c>
    </row>
    <row r="4360" ht="15.75" customHeight="1">
      <c r="A4360" s="1" t="str">
        <f>IFERROR(__xludf.DUMMYFUNCTION("""COMPUTED_VALUE"""),"Eden Meave")</f>
        <v>Eden Meave</v>
      </c>
      <c r="B4360" s="1" t="str">
        <f>IFERROR(__xludf.DUMMYFUNCTION("""COMPUTED_VALUE"""),"L2")</f>
        <v>L2</v>
      </c>
    </row>
    <row r="4361" ht="15.75" customHeight="1">
      <c r="A4361" s="1" t="str">
        <f>IFERROR(__xludf.DUMMYFUNCTION("""COMPUTED_VALUE"""),"Gerardo Rojo")</f>
        <v>Gerardo Rojo</v>
      </c>
      <c r="B4361" s="1" t="str">
        <f>IFERROR(__xludf.DUMMYFUNCTION("""COMPUTED_VALUE"""),"LL")</f>
        <v>LL</v>
      </c>
    </row>
    <row r="4362" ht="15.75" customHeight="1">
      <c r="A4362" s="1" t="str">
        <f>IFERROR(__xludf.DUMMYFUNCTION("""COMPUTED_VALUE"""),"Elliott Rudnicki")</f>
        <v>Elliott Rudnicki</v>
      </c>
      <c r="B4362" s="1" t="str">
        <f>IFERROR(__xludf.DUMMYFUNCTION("""COMPUTED_VALUE"""),"LL")</f>
        <v>LL</v>
      </c>
    </row>
    <row r="4363" ht="15.75" customHeight="1">
      <c r="A4363" s="1" t="str">
        <f>IFERROR(__xludf.DUMMYFUNCTION("""COMPUTED_VALUE"""),"Garret Farnham")</f>
        <v>Garret Farnham</v>
      </c>
      <c r="B4363" s="1" t="str">
        <f>IFERROR(__xludf.DUMMYFUNCTION("""COMPUTED_VALUE"""),"MS")</f>
        <v>MS</v>
      </c>
    </row>
    <row r="4364" ht="15.75" customHeight="1">
      <c r="A4364" s="1" t="str">
        <f>IFERROR(__xludf.DUMMYFUNCTION("""COMPUTED_VALUE"""),"Brecken Smith")</f>
        <v>Brecken Smith</v>
      </c>
      <c r="B4364" s="1" t="str">
        <f>IFERROR(__xludf.DUMMYFUNCTION("""COMPUTED_VALUE"""),"MS")</f>
        <v>MS</v>
      </c>
    </row>
    <row r="4365" ht="15.75" customHeight="1">
      <c r="A4365" s="1" t="str">
        <f>IFERROR(__xludf.DUMMYFUNCTION("""COMPUTED_VALUE"""),"Griffin Farnham")</f>
        <v>Griffin Farnham</v>
      </c>
      <c r="B4365" s="1" t="str">
        <f>IFERROR(__xludf.DUMMYFUNCTION("""COMPUTED_VALUE"""),"L1")</f>
        <v>L1</v>
      </c>
    </row>
    <row r="4366" ht="15.75" customHeight="1">
      <c r="A4366" s="1" t="str">
        <f>IFERROR(__xludf.DUMMYFUNCTION("""COMPUTED_VALUE"""),"Charlee Drake")</f>
        <v>Charlee Drake</v>
      </c>
      <c r="B4366" s="1" t="str">
        <f>IFERROR(__xludf.DUMMYFUNCTION("""COMPUTED_VALUE"""),"WL")</f>
        <v>WL</v>
      </c>
    </row>
    <row r="4367" ht="15.75" customHeight="1">
      <c r="A4367" s="1" t="str">
        <f>IFERROR(__xludf.DUMMYFUNCTION("""COMPUTED_VALUE"""),"Saylor Keyser")</f>
        <v>Saylor Keyser</v>
      </c>
      <c r="B4367" s="1" t="str">
        <f>IFERROR(__xludf.DUMMYFUNCTION("""COMPUTED_VALUE"""),"WL")</f>
        <v>WL</v>
      </c>
    </row>
    <row r="4368" ht="15.75" customHeight="1">
      <c r="A4368" s="1" t="str">
        <f>IFERROR(__xludf.DUMMYFUNCTION("""COMPUTED_VALUE"""),"Vivienne Fairorth")</f>
        <v>Vivienne Fairorth</v>
      </c>
      <c r="B4368" s="1" t="str">
        <f>IFERROR(__xludf.DUMMYFUNCTION("""COMPUTED_VALUE"""),"L1")</f>
        <v>L1</v>
      </c>
    </row>
    <row r="4369" ht="15.75" customHeight="1">
      <c r="A4369" s="1" t="str">
        <f>IFERROR(__xludf.DUMMYFUNCTION("""COMPUTED_VALUE"""),"Phoenix Calapp")</f>
        <v>Phoenix Calapp</v>
      </c>
      <c r="B4369" s="1" t="str">
        <f>IFERROR(__xludf.DUMMYFUNCTION("""COMPUTED_VALUE"""),"L1")</f>
        <v>L1</v>
      </c>
    </row>
    <row r="4370" ht="15.75" customHeight="1">
      <c r="A4370" s="1" t="str">
        <f>IFERROR(__xludf.DUMMYFUNCTION("""COMPUTED_VALUE"""),"Hafsa Khan")</f>
        <v>Hafsa Khan</v>
      </c>
      <c r="B4370" s="1" t="str">
        <f>IFERROR(__xludf.DUMMYFUNCTION("""COMPUTED_VALUE"""),"MS")</f>
        <v>MS</v>
      </c>
    </row>
    <row r="4371" ht="15.75" customHeight="1">
      <c r="A4371" s="1" t="str">
        <f>IFERROR(__xludf.DUMMYFUNCTION("""COMPUTED_VALUE"""),"Kai Abromovitz")</f>
        <v>Kai Abromovitz</v>
      </c>
      <c r="B4371" s="1" t="str">
        <f>IFERROR(__xludf.DUMMYFUNCTION("""COMPUTED_VALUE"""),"L2")</f>
        <v>L2</v>
      </c>
    </row>
    <row r="4372" ht="15.75" customHeight="1">
      <c r="A4372" s="1" t="str">
        <f>IFERROR(__xludf.DUMMYFUNCTION("""COMPUTED_VALUE"""),"Milan Marcinek")</f>
        <v>Milan Marcinek</v>
      </c>
      <c r="B4372" s="1" t="str">
        <f>IFERROR(__xludf.DUMMYFUNCTION("""COMPUTED_VALUE"""),"MS")</f>
        <v>MS</v>
      </c>
    </row>
    <row r="4373" ht="15.75" customHeight="1">
      <c r="A4373" s="1" t="str">
        <f>IFERROR(__xludf.DUMMYFUNCTION("""COMPUTED_VALUE"""),"Jett McCandless")</f>
        <v>Jett McCandless</v>
      </c>
      <c r="B4373" s="1" t="str">
        <f>IFERROR(__xludf.DUMMYFUNCTION("""COMPUTED_VALUE"""),"WL")</f>
        <v>WL</v>
      </c>
    </row>
    <row r="4374" ht="15.75" customHeight="1">
      <c r="A4374" s="1" t="str">
        <f>IFERROR(__xludf.DUMMYFUNCTION("""COMPUTED_VALUE"""),"Jameson Walsh")</f>
        <v>Jameson Walsh</v>
      </c>
      <c r="B4374" s="1" t="str">
        <f>IFERROR(__xludf.DUMMYFUNCTION("""COMPUTED_VALUE"""),"L1")</f>
        <v>L1</v>
      </c>
    </row>
    <row r="4375" ht="15.75" customHeight="1">
      <c r="A4375" s="1" t="str">
        <f>IFERROR(__xludf.DUMMYFUNCTION("""COMPUTED_VALUE"""),"Alder McKenzie")</f>
        <v>Alder McKenzie</v>
      </c>
      <c r="B4375" s="1" t="str">
        <f>IFERROR(__xludf.DUMMYFUNCTION("""COMPUTED_VALUE"""),"L1")</f>
        <v>L1</v>
      </c>
    </row>
    <row r="4376" ht="15.75" customHeight="1">
      <c r="A4376" s="1" t="str">
        <f>IFERROR(__xludf.DUMMYFUNCTION("""COMPUTED_VALUE"""),"Griffin Smith")</f>
        <v>Griffin Smith</v>
      </c>
      <c r="B4376" s="1" t="str">
        <f>IFERROR(__xludf.DUMMYFUNCTION("""COMPUTED_VALUE"""),"L2")</f>
        <v>L2</v>
      </c>
    </row>
    <row r="4377" ht="15.75" customHeight="1">
      <c r="A4377" s="1" t="str">
        <f>IFERROR(__xludf.DUMMYFUNCTION("""COMPUTED_VALUE"""),"Crinion Levin")</f>
        <v>Crinion Levin</v>
      </c>
      <c r="B4377" s="1" t="str">
        <f>IFERROR(__xludf.DUMMYFUNCTION("""COMPUTED_VALUE"""),"MS")</f>
        <v>MS</v>
      </c>
    </row>
    <row r="4378" ht="15.75" customHeight="1">
      <c r="A4378" s="1" t="str">
        <f>IFERROR(__xludf.DUMMYFUNCTION("""COMPUTED_VALUE"""),"David Bacon")</f>
        <v>David Bacon</v>
      </c>
      <c r="B4378" s="1" t="str">
        <f>IFERROR(__xludf.DUMMYFUNCTION("""COMPUTED_VALUE"""),"L2")</f>
        <v>L2</v>
      </c>
    </row>
    <row r="4379" ht="15.75" customHeight="1">
      <c r="A4379" s="1" t="str">
        <f>IFERROR(__xludf.DUMMYFUNCTION("""COMPUTED_VALUE"""),"Caleb Bacon")</f>
        <v>Caleb Bacon</v>
      </c>
      <c r="B4379" s="1" t="str">
        <f>IFERROR(__xludf.DUMMYFUNCTION("""COMPUTED_VALUE"""),"L1")</f>
        <v>L1</v>
      </c>
    </row>
    <row r="4380" ht="15.75" customHeight="1">
      <c r="A4380" s="1" t="str">
        <f>IFERROR(__xludf.DUMMYFUNCTION("""COMPUTED_VALUE"""),"Chy Torabi")</f>
        <v>Chy Torabi</v>
      </c>
      <c r="B4380" s="1" t="str">
        <f>IFERROR(__xludf.DUMMYFUNCTION("""COMPUTED_VALUE"""),"WL")</f>
        <v>WL</v>
      </c>
    </row>
    <row r="4381" ht="15.75" customHeight="1">
      <c r="A4381" s="1" t="str">
        <f>IFERROR(__xludf.DUMMYFUNCTION("""COMPUTED_VALUE"""),"Gray Marcinek")</f>
        <v>Gray Marcinek</v>
      </c>
      <c r="B4381" s="1" t="str">
        <f>IFERROR(__xludf.DUMMYFUNCTION("""COMPUTED_VALUE"""),"LL")</f>
        <v>LL</v>
      </c>
    </row>
    <row r="4382" ht="15.75" customHeight="1">
      <c r="A4382" s="1" t="str">
        <f>IFERROR(__xludf.DUMMYFUNCTION("""COMPUTED_VALUE"""),"Ben Shaffer")</f>
        <v>Ben Shaffer</v>
      </c>
      <c r="B4382" s="1" t="str">
        <f>IFERROR(__xludf.DUMMYFUNCTION("""COMPUTED_VALUE"""),"L2")</f>
        <v>L2</v>
      </c>
    </row>
    <row r="4383" ht="15.75" customHeight="1">
      <c r="A4383" s="1" t="str">
        <f>IFERROR(__xludf.DUMMYFUNCTION("""COMPUTED_VALUE"""),"Dmitry _test_child6")</f>
        <v>Dmitry _test_child6</v>
      </c>
      <c r="B4383" s="1" t="str">
        <f>IFERROR(__xludf.DUMMYFUNCTION("""COMPUTED_VALUE"""),"L1")</f>
        <v>L1</v>
      </c>
    </row>
    <row r="4384" ht="15.75" customHeight="1">
      <c r="A4384" s="1" t="str">
        <f>IFERROR(__xludf.DUMMYFUNCTION("""COMPUTED_VALUE"""),"Dmitry _test_9_Child")</f>
        <v>Dmitry _test_9_Child</v>
      </c>
      <c r="B4384" s="1" t="str">
        <f>IFERROR(__xludf.DUMMYFUNCTION("""COMPUTED_VALUE"""),"L2")</f>
        <v>L2</v>
      </c>
    </row>
    <row r="4385" ht="15.75" customHeight="1">
      <c r="A4385" s="1" t="str">
        <f>IFERROR(__xludf.DUMMYFUNCTION("""COMPUTED_VALUE"""),"Dmitry _test_12_Child")</f>
        <v>Dmitry _test_12_Child</v>
      </c>
      <c r="B4385" s="1" t="str">
        <f>IFERROR(__xludf.DUMMYFUNCTION("""COMPUTED_VALUE"""),"L2")</f>
        <v>L2</v>
      </c>
    </row>
    <row r="4386" ht="15.75" customHeight="1">
      <c r="A4386" s="1" t="str">
        <f>IFERROR(__xludf.DUMMYFUNCTION("""COMPUTED_VALUE"""),"Vladimir _test_BakaevSC_applied")</f>
        <v>Vladimir _test_BakaevSC_applied</v>
      </c>
      <c r="B4386" s="1" t="str">
        <f>IFERROR(__xludf.DUMMYFUNCTION("""COMPUTED_VALUE"""),"L2")</f>
        <v>L2</v>
      </c>
    </row>
    <row r="4387" ht="15.75" customHeight="1">
      <c r="A4387" s="1" t="str">
        <f>IFERROR(__xludf.DUMMYFUNCTION("""COMPUTED_VALUE"""),"Dmitry _test_Child")</f>
        <v>Dmitry _test_Child</v>
      </c>
      <c r="B4387" s="1" t="str">
        <f>IFERROR(__xludf.DUMMYFUNCTION("""COMPUTED_VALUE"""),"L1")</f>
        <v>L1</v>
      </c>
    </row>
    <row r="4388" ht="15.75" customHeight="1">
      <c r="A4388" s="1" t="str">
        <f>IFERROR(__xludf.DUMMYFUNCTION("""COMPUTED_VALUE"""),"Kai Tilzer")</f>
        <v>Kai Tilzer</v>
      </c>
      <c r="B4388" s="1" t="str">
        <f>IFERROR(__xludf.DUMMYFUNCTION("""COMPUTED_VALUE"""),"LL")</f>
        <v>LL</v>
      </c>
    </row>
    <row r="4389" ht="15.75" customHeight="1">
      <c r="A4389" s="1" t="str">
        <f>IFERROR(__xludf.DUMMYFUNCTION("""COMPUTED_VALUE"""),"Sage Tilzer")</f>
        <v>Sage Tilzer</v>
      </c>
      <c r="B4389" s="1" t="str">
        <f>IFERROR(__xludf.DUMMYFUNCTION("""COMPUTED_VALUE"""),"LL")</f>
        <v>LL</v>
      </c>
    </row>
    <row r="4390" ht="15.75" customHeight="1">
      <c r="A4390" s="1" t="str">
        <f>IFERROR(__xludf.DUMMYFUNCTION("""COMPUTED_VALUE"""),"Palmer Lucovich")</f>
        <v>Palmer Lucovich</v>
      </c>
      <c r="B4390" s="1" t="str">
        <f>IFERROR(__xludf.DUMMYFUNCTION("""COMPUTED_VALUE"""),"LL")</f>
        <v>LL</v>
      </c>
    </row>
    <row r="4391" ht="15.75" customHeight="1">
      <c r="A4391" s="1" t="str">
        <f>IFERROR(__xludf.DUMMYFUNCTION("""COMPUTED_VALUE"""),"Ledger Kahler")</f>
        <v>Ledger Kahler</v>
      </c>
      <c r="B4391" s="1" t="str">
        <f>IFERROR(__xludf.DUMMYFUNCTION("""COMPUTED_VALUE"""),"L2")</f>
        <v>L2</v>
      </c>
    </row>
    <row r="4392" ht="15.75" customHeight="1">
      <c r="A4392" s="1" t="str">
        <f>IFERROR(__xludf.DUMMYFUNCTION("""COMPUTED_VALUE"""),"Vesper Kahler")</f>
        <v>Vesper Kahler</v>
      </c>
      <c r="B4392" s="1" t="str">
        <f>IFERROR(__xludf.DUMMYFUNCTION("""COMPUTED_VALUE"""),"L1")</f>
        <v>L1</v>
      </c>
    </row>
    <row r="4393" ht="15.75" customHeight="1">
      <c r="A4393" s="1" t="str">
        <f>IFERROR(__xludf.DUMMYFUNCTION("""COMPUTED_VALUE"""),"Junjun Cheng")</f>
        <v>Junjun Cheng</v>
      </c>
      <c r="B4393" s="1" t="str">
        <f>IFERROR(__xludf.DUMMYFUNCTION("""COMPUTED_VALUE"""),"L1")</f>
        <v>L1</v>
      </c>
    </row>
    <row r="4394" ht="15.75" customHeight="1">
      <c r="A4394" s="1" t="str">
        <f>IFERROR(__xludf.DUMMYFUNCTION("""COMPUTED_VALUE"""),"Cannon Svedin")</f>
        <v>Cannon Svedin</v>
      </c>
      <c r="B4394" s="1" t="str">
        <f>IFERROR(__xludf.DUMMYFUNCTION("""COMPUTED_VALUE"""),"WL")</f>
        <v>WL</v>
      </c>
    </row>
    <row r="4395" ht="15.75" customHeight="1">
      <c r="A4395" s="1" t="str">
        <f>IFERROR(__xludf.DUMMYFUNCTION("""COMPUTED_VALUE"""),"Heath Howard")</f>
        <v>Heath Howard</v>
      </c>
      <c r="B4395" s="1" t="str">
        <f>IFERROR(__xludf.DUMMYFUNCTION("""COMPUTED_VALUE"""),"WL")</f>
        <v>WL</v>
      </c>
    </row>
    <row r="4396" ht="15.75" customHeight="1">
      <c r="A4396" s="1" t="str">
        <f>IFERROR(__xludf.DUMMYFUNCTION("""COMPUTED_VALUE"""),"Lincoln Bauer")</f>
        <v>Lincoln Bauer</v>
      </c>
      <c r="B4396" s="1" t="str">
        <f>IFERROR(__xludf.DUMMYFUNCTION("""COMPUTED_VALUE"""),"L1")</f>
        <v>L1</v>
      </c>
    </row>
    <row r="4397" ht="15.75" customHeight="1">
      <c r="A4397" s="1" t="str">
        <f>IFERROR(__xludf.DUMMYFUNCTION("""COMPUTED_VALUE"""),"Dmebi Kehinde")</f>
        <v>Dmebi Kehinde</v>
      </c>
      <c r="B4397" s="1" t="str">
        <f>IFERROR(__xludf.DUMMYFUNCTION("""COMPUTED_VALUE"""),"L1")</f>
        <v>L1</v>
      </c>
    </row>
    <row r="4398" ht="15.75" customHeight="1">
      <c r="A4398" s="1" t="str">
        <f>IFERROR(__xludf.DUMMYFUNCTION("""COMPUTED_VALUE"""),"Elizabeth Cohen")</f>
        <v>Elizabeth Cohen</v>
      </c>
      <c r="B4398" s="1" t="str">
        <f>IFERROR(__xludf.DUMMYFUNCTION("""COMPUTED_VALUE"""),"L2")</f>
        <v>L2</v>
      </c>
    </row>
    <row r="4399" ht="15.75" customHeight="1">
      <c r="A4399" s="1" t="str">
        <f>IFERROR(__xludf.DUMMYFUNCTION("""COMPUTED_VALUE"""),"London Perry")</f>
        <v>London Perry</v>
      </c>
      <c r="B4399" s="1" t="str">
        <f>IFERROR(__xludf.DUMMYFUNCTION("""COMPUTED_VALUE"""),"L1")</f>
        <v>L1</v>
      </c>
    </row>
    <row r="4400" ht="15.75" customHeight="1">
      <c r="A4400" s="1" t="str">
        <f>IFERROR(__xludf.DUMMYFUNCTION("""COMPUTED_VALUE"""),"Luca Perry")</f>
        <v>Luca Perry</v>
      </c>
      <c r="B4400" s="1" t="str">
        <f>IFERROR(__xludf.DUMMYFUNCTION("""COMPUTED_VALUE"""),"WL")</f>
        <v>WL</v>
      </c>
    </row>
    <row r="4401" ht="15.75" customHeight="1">
      <c r="A4401" s="1" t="str">
        <f>IFERROR(__xludf.DUMMYFUNCTION("""COMPUTED_VALUE"""),"Quinn Davis")</f>
        <v>Quinn Davis</v>
      </c>
      <c r="B4401" s="1" t="str">
        <f>IFERROR(__xludf.DUMMYFUNCTION("""COMPUTED_VALUE"""),"LL")</f>
        <v>LL</v>
      </c>
    </row>
    <row r="4402" ht="15.75" customHeight="1">
      <c r="A4402" s="1" t="str">
        <f>IFERROR(__xludf.DUMMYFUNCTION("""COMPUTED_VALUE"""),"Elizabeth Maxwell")</f>
        <v>Elizabeth Maxwell</v>
      </c>
      <c r="B4402" s="1" t="str">
        <f>IFERROR(__xludf.DUMMYFUNCTION("""COMPUTED_VALUE"""),"WL")</f>
        <v>WL</v>
      </c>
    </row>
    <row r="4403" ht="15.75" customHeight="1">
      <c r="A4403" s="1" t="str">
        <f>IFERROR(__xludf.DUMMYFUNCTION("""COMPUTED_VALUE"""),"Alayna Virani")</f>
        <v>Alayna Virani</v>
      </c>
      <c r="B4403" s="1" t="str">
        <f>IFERROR(__xludf.DUMMYFUNCTION("""COMPUTED_VALUE"""),"L2")</f>
        <v>L2</v>
      </c>
    </row>
    <row r="4404" ht="15.75" customHeight="1">
      <c r="A4404" s="1" t="str">
        <f>IFERROR(__xludf.DUMMYFUNCTION("""COMPUTED_VALUE"""),"Alia Maknojia")</f>
        <v>Alia Maknojia</v>
      </c>
      <c r="B4404" s="1" t="str">
        <f>IFERROR(__xludf.DUMMYFUNCTION("""COMPUTED_VALUE"""),"L2")</f>
        <v>L2</v>
      </c>
    </row>
    <row r="4405" ht="15.75" customHeight="1">
      <c r="A4405" s="1" t="str">
        <f>IFERROR(__xludf.DUMMYFUNCTION("""COMPUTED_VALUE"""),"Hudson Schultz")</f>
        <v>Hudson Schultz</v>
      </c>
      <c r="B4405" s="1" t="str">
        <f>IFERROR(__xludf.DUMMYFUNCTION("""COMPUTED_VALUE"""),"L1")</f>
        <v>L1</v>
      </c>
    </row>
    <row r="4406" ht="15.75" customHeight="1">
      <c r="A4406" s="1" t="str">
        <f>IFERROR(__xludf.DUMMYFUNCTION("""COMPUTED_VALUE"""),"Colt Schultz")</f>
        <v>Colt Schultz</v>
      </c>
      <c r="B4406" s="1" t="str">
        <f>IFERROR(__xludf.DUMMYFUNCTION("""COMPUTED_VALUE"""),"LL")</f>
        <v>LL</v>
      </c>
    </row>
    <row r="4407" ht="15.75" customHeight="1">
      <c r="A4407" s="1" t="str">
        <f>IFERROR(__xludf.DUMMYFUNCTION("""COMPUTED_VALUE"""),"Daniel Fishov")</f>
        <v>Daniel Fishov</v>
      </c>
      <c r="B4407" s="1" t="str">
        <f>IFERROR(__xludf.DUMMYFUNCTION("""COMPUTED_VALUE"""),"LL")</f>
        <v>LL</v>
      </c>
    </row>
    <row r="4408" ht="15.75" customHeight="1">
      <c r="A4408" s="1" t="str">
        <f>IFERROR(__xludf.DUMMYFUNCTION("""COMPUTED_VALUE"""),"Adler Wersebe")</f>
        <v>Adler Wersebe</v>
      </c>
      <c r="B4408" s="1" t="str">
        <f>IFERROR(__xludf.DUMMYFUNCTION("""COMPUTED_VALUE"""),"MS")</f>
        <v>MS</v>
      </c>
    </row>
    <row r="4409" ht="15.75" customHeight="1">
      <c r="A4409" s="1" t="str">
        <f>IFERROR(__xludf.DUMMYFUNCTION("""COMPUTED_VALUE"""),"Aria Talai")</f>
        <v>Aria Talai</v>
      </c>
      <c r="B4409" s="1" t="str">
        <f>IFERROR(__xludf.DUMMYFUNCTION("""COMPUTED_VALUE"""),"L2")</f>
        <v>L2</v>
      </c>
    </row>
    <row r="4410" ht="15.75" customHeight="1">
      <c r="A4410" s="1" t="str">
        <f>IFERROR(__xludf.DUMMYFUNCTION("""COMPUTED_VALUE"""),"Bert O'Regan")</f>
        <v>Bert O'Regan</v>
      </c>
      <c r="B4410" s="1" t="str">
        <f>IFERROR(__xludf.DUMMYFUNCTION("""COMPUTED_VALUE"""),"L2")</f>
        <v>L2</v>
      </c>
    </row>
    <row r="4411" ht="15.75" customHeight="1">
      <c r="A4411" s="1" t="str">
        <f>IFERROR(__xludf.DUMMYFUNCTION("""COMPUTED_VALUE"""),"Kai Buckley")</f>
        <v>Kai Buckley</v>
      </c>
      <c r="B4411" s="1" t="str">
        <f>IFERROR(__xludf.DUMMYFUNCTION("""COMPUTED_VALUE"""),"L2")</f>
        <v>L2</v>
      </c>
    </row>
    <row r="4412" ht="15.75" customHeight="1">
      <c r="A4412" s="1" t="str">
        <f>IFERROR(__xludf.DUMMYFUNCTION("""COMPUTED_VALUE"""),"Kameron Buckley")</f>
        <v>Kameron Buckley</v>
      </c>
      <c r="B4412" s="1" t="str">
        <f>IFERROR(__xludf.DUMMYFUNCTION("""COMPUTED_VALUE"""),"LL")</f>
        <v>LL</v>
      </c>
    </row>
    <row r="4413" ht="15.75" customHeight="1">
      <c r="A4413" s="1" t="str">
        <f>IFERROR(__xludf.DUMMYFUNCTION("""COMPUTED_VALUE"""),"Olivia Samei")</f>
        <v>Olivia Samei</v>
      </c>
      <c r="B4413" s="1" t="str">
        <f>IFERROR(__xludf.DUMMYFUNCTION("""COMPUTED_VALUE"""),"L2")</f>
        <v>L2</v>
      </c>
    </row>
    <row r="4414" ht="15.75" customHeight="1">
      <c r="A4414" s="1" t="str">
        <f>IFERROR(__xludf.DUMMYFUNCTION("""COMPUTED_VALUE"""),"Makenzie Isom")</f>
        <v>Makenzie Isom</v>
      </c>
      <c r="B4414" s="1" t="str">
        <f>IFERROR(__xludf.DUMMYFUNCTION("""COMPUTED_VALUE"""),"L2")</f>
        <v>L2</v>
      </c>
    </row>
    <row r="4415" ht="15.75" customHeight="1">
      <c r="A4415" s="1" t="str">
        <f>IFERROR(__xludf.DUMMYFUNCTION("""COMPUTED_VALUE"""),"Stella Galvan")</f>
        <v>Stella Galvan</v>
      </c>
      <c r="B4415" s="1" t="str">
        <f>IFERROR(__xludf.DUMMYFUNCTION("""COMPUTED_VALUE"""),"WL")</f>
        <v>WL</v>
      </c>
    </row>
    <row r="4416" ht="15.75" customHeight="1">
      <c r="A4416" s="1" t="str">
        <f>IFERROR(__xludf.DUMMYFUNCTION("""COMPUTED_VALUE"""),"Lane Galvan")</f>
        <v>Lane Galvan</v>
      </c>
      <c r="B4416" s="1" t="str">
        <f>IFERROR(__xludf.DUMMYFUNCTION("""COMPUTED_VALUE"""),"WL")</f>
        <v>WL</v>
      </c>
    </row>
    <row r="4417" ht="15.75" customHeight="1">
      <c r="A4417" s="1" t="str">
        <f>IFERROR(__xludf.DUMMYFUNCTION("""COMPUTED_VALUE"""),"Preston Clement")</f>
        <v>Preston Clement</v>
      </c>
      <c r="B4417" s="1" t="str">
        <f>IFERROR(__xludf.DUMMYFUNCTION("""COMPUTED_VALUE"""),"L2")</f>
        <v>L2</v>
      </c>
    </row>
    <row r="4418" ht="15.75" customHeight="1">
      <c r="A4418" s="1" t="str">
        <f>IFERROR(__xludf.DUMMYFUNCTION("""COMPUTED_VALUE"""),"Olive Fisher")</f>
        <v>Olive Fisher</v>
      </c>
      <c r="B4418" s="1" t="str">
        <f>IFERROR(__xludf.DUMMYFUNCTION("""COMPUTED_VALUE"""),"WL")</f>
        <v>WL</v>
      </c>
    </row>
    <row r="4419" ht="15.75" customHeight="1">
      <c r="A4419" s="1" t="str">
        <f>IFERROR(__xludf.DUMMYFUNCTION("""COMPUTED_VALUE"""),"Sebastián Marquez")</f>
        <v>Sebastián Marquez</v>
      </c>
      <c r="B4419" s="1" t="str">
        <f>IFERROR(__xludf.DUMMYFUNCTION("""COMPUTED_VALUE"""),"L2")</f>
        <v>L2</v>
      </c>
    </row>
    <row r="4420" ht="15.75" customHeight="1">
      <c r="A4420" s="1" t="str">
        <f>IFERROR(__xludf.DUMMYFUNCTION("""COMPUTED_VALUE"""),"Zara Lu")</f>
        <v>Zara Lu</v>
      </c>
      <c r="B4420" s="1" t="str">
        <f>IFERROR(__xludf.DUMMYFUNCTION("""COMPUTED_VALUE"""),"MS")</f>
        <v>MS</v>
      </c>
    </row>
    <row r="4421" ht="15.75" customHeight="1">
      <c r="A4421" s="1" t="str">
        <f>IFERROR(__xludf.DUMMYFUNCTION("""COMPUTED_VALUE"""),"Khalila Keshwani")</f>
        <v>Khalila Keshwani</v>
      </c>
      <c r="B4421" s="1" t="str">
        <f>IFERROR(__xludf.DUMMYFUNCTION("""COMPUTED_VALUE"""),"LL")</f>
        <v>LL</v>
      </c>
    </row>
    <row r="4422" ht="15.75" customHeight="1">
      <c r="A4422" s="1" t="str">
        <f>IFERROR(__xludf.DUMMYFUNCTION("""COMPUTED_VALUE"""),"Xeaux Uche")</f>
        <v>Xeaux Uche</v>
      </c>
      <c r="B4422" s="1" t="str">
        <f>IFERROR(__xludf.DUMMYFUNCTION("""COMPUTED_VALUE"""),"LL")</f>
        <v>LL</v>
      </c>
    </row>
    <row r="4423" ht="15.75" customHeight="1">
      <c r="A4423" s="1" t="str">
        <f>IFERROR(__xludf.DUMMYFUNCTION("""COMPUTED_VALUE"""),"Xerxes Uche")</f>
        <v>Xerxes Uche</v>
      </c>
      <c r="B4423" s="1" t="str">
        <f>IFERROR(__xludf.DUMMYFUNCTION("""COMPUTED_VALUE"""),"L1")</f>
        <v>L1</v>
      </c>
    </row>
    <row r="4424" ht="15.75" customHeight="1">
      <c r="A4424" s="1" t="str">
        <f>IFERROR(__xludf.DUMMYFUNCTION("""COMPUTED_VALUE"""),"Mary Osborne")</f>
        <v>Mary Osborne</v>
      </c>
      <c r="B4424" s="1" t="str">
        <f>IFERROR(__xludf.DUMMYFUNCTION("""COMPUTED_VALUE"""),"L2")</f>
        <v>L2</v>
      </c>
    </row>
    <row r="4425" ht="15.75" customHeight="1">
      <c r="A4425" s="1" t="str">
        <f>IFERROR(__xludf.DUMMYFUNCTION("""COMPUTED_VALUE"""),"Philip Osborne")</f>
        <v>Philip Osborne</v>
      </c>
      <c r="B4425" s="1" t="str">
        <f>IFERROR(__xludf.DUMMYFUNCTION("""COMPUTED_VALUE"""),"MS")</f>
        <v>MS</v>
      </c>
    </row>
    <row r="4426" ht="15.75" customHeight="1">
      <c r="A4426" s="1" t="str">
        <f>IFERROR(__xludf.DUMMYFUNCTION("""COMPUTED_VALUE"""),"Isabelle Nguyen")</f>
        <v>Isabelle Nguyen</v>
      </c>
      <c r="B4426" s="1" t="str">
        <f>IFERROR(__xludf.DUMMYFUNCTION("""COMPUTED_VALUE"""),"MS")</f>
        <v>MS</v>
      </c>
    </row>
    <row r="4427" ht="15.75" customHeight="1">
      <c r="A4427" s="1" t="str">
        <f>IFERROR(__xludf.DUMMYFUNCTION("""COMPUTED_VALUE"""),"Nathaniel Nguyen")</f>
        <v>Nathaniel Nguyen</v>
      </c>
      <c r="B4427" s="1" t="str">
        <f>IFERROR(__xludf.DUMMYFUNCTION("""COMPUTED_VALUE"""),"MS")</f>
        <v>MS</v>
      </c>
    </row>
    <row r="4428" ht="15.75" customHeight="1">
      <c r="A4428" s="1" t="str">
        <f>IFERROR(__xludf.DUMMYFUNCTION("""COMPUTED_VALUE"""),"Jase Schneider")</f>
        <v>Jase Schneider</v>
      </c>
      <c r="B4428" s="1" t="str">
        <f>IFERROR(__xludf.DUMMYFUNCTION("""COMPUTED_VALUE"""),"L2")</f>
        <v>L2</v>
      </c>
    </row>
    <row r="4429" ht="15.75" customHeight="1">
      <c r="A4429" s="1" t="str">
        <f>IFERROR(__xludf.DUMMYFUNCTION("""COMPUTED_VALUE"""),"Trip Toomey")</f>
        <v>Trip Toomey</v>
      </c>
      <c r="B4429" s="1" t="str">
        <f>IFERROR(__xludf.DUMMYFUNCTION("""COMPUTED_VALUE"""),"L1")</f>
        <v>L1</v>
      </c>
    </row>
    <row r="4430" ht="15.75" customHeight="1">
      <c r="A4430" s="1" t="str">
        <f>IFERROR(__xludf.DUMMYFUNCTION("""COMPUTED_VALUE"""),"Penelope Goffi")</f>
        <v>Penelope Goffi</v>
      </c>
      <c r="B4430" s="1" t="str">
        <f>IFERROR(__xludf.DUMMYFUNCTION("""COMPUTED_VALUE"""),"LL")</f>
        <v>LL</v>
      </c>
    </row>
    <row r="4431" ht="15.75" customHeight="1">
      <c r="A4431" s="1" t="str">
        <f>IFERROR(__xludf.DUMMYFUNCTION("""COMPUTED_VALUE"""),"Jackson Robinett")</f>
        <v>Jackson Robinett</v>
      </c>
      <c r="B4431" s="1" t="str">
        <f>IFERROR(__xludf.DUMMYFUNCTION("""COMPUTED_VALUE"""),"WL")</f>
        <v>WL</v>
      </c>
    </row>
    <row r="4432" ht="15.75" customHeight="1">
      <c r="A4432" s="1" t="str">
        <f>IFERROR(__xludf.DUMMYFUNCTION("""COMPUTED_VALUE"""),"Jaxon Rocka")</f>
        <v>Jaxon Rocka</v>
      </c>
      <c r="B4432" s="1" t="str">
        <f>IFERROR(__xludf.DUMMYFUNCTION("""COMPUTED_VALUE"""),"L1")</f>
        <v>L1</v>
      </c>
    </row>
    <row r="4433" ht="15.75" customHeight="1">
      <c r="A4433" s="1" t="str">
        <f>IFERROR(__xludf.DUMMYFUNCTION("""COMPUTED_VALUE"""),"Xhaveare Howard")</f>
        <v>Xhaveare Howard</v>
      </c>
      <c r="B4433" s="1" t="str">
        <f>IFERROR(__xludf.DUMMYFUNCTION("""COMPUTED_VALUE"""),"L2")</f>
        <v>L2</v>
      </c>
    </row>
    <row r="4434" ht="15.75" customHeight="1">
      <c r="A4434" s="1" t="str">
        <f>IFERROR(__xludf.DUMMYFUNCTION("""COMPUTED_VALUE"""),"Nolan Pinney")</f>
        <v>Nolan Pinney</v>
      </c>
      <c r="B4434" s="1" t="str">
        <f>IFERROR(__xludf.DUMMYFUNCTION("""COMPUTED_VALUE"""),"L1")</f>
        <v>L1</v>
      </c>
    </row>
    <row r="4435" ht="15.75" customHeight="1">
      <c r="A4435" s="1" t="str">
        <f>IFERROR(__xludf.DUMMYFUNCTION("""COMPUTED_VALUE"""),"Jayden Alonge")</f>
        <v>Jayden Alonge</v>
      </c>
      <c r="B4435" s="1" t="str">
        <f>IFERROR(__xludf.DUMMYFUNCTION("""COMPUTED_VALUE"""),"L2")</f>
        <v>L2</v>
      </c>
    </row>
    <row r="4436" ht="15.75" customHeight="1">
      <c r="A4436" s="1" t="str">
        <f>IFERROR(__xludf.DUMMYFUNCTION("""COMPUTED_VALUE"""),"Magnus Baker")</f>
        <v>Magnus Baker</v>
      </c>
      <c r="B4436" s="1" t="str">
        <f>IFERROR(__xludf.DUMMYFUNCTION("""COMPUTED_VALUE"""),"L1")</f>
        <v>L1</v>
      </c>
    </row>
    <row r="4437" ht="15.75" customHeight="1">
      <c r="A4437" s="1" t="str">
        <f>IFERROR(__xludf.DUMMYFUNCTION("""COMPUTED_VALUE"""),"Test 12 _test_")</f>
        <v>Test 12 _test_</v>
      </c>
      <c r="B4437" s="1" t="str">
        <f>IFERROR(__xludf.DUMMYFUNCTION("""COMPUTED_VALUE"""),"WL")</f>
        <v>WL</v>
      </c>
    </row>
    <row r="4438" ht="15.75" customHeight="1">
      <c r="A4438" s="1" t="str">
        <f>IFERROR(__xludf.DUMMYFUNCTION("""COMPUTED_VALUE"""),"Isabelle Dahmann")</f>
        <v>Isabelle Dahmann</v>
      </c>
      <c r="B4438" s="1" t="str">
        <f>IFERROR(__xludf.DUMMYFUNCTION("""COMPUTED_VALUE"""),"MS")</f>
        <v>MS</v>
      </c>
    </row>
    <row r="4439" ht="15.75" customHeight="1">
      <c r="A4439" s="1" t="str">
        <f>IFERROR(__xludf.DUMMYFUNCTION("""COMPUTED_VALUE"""),"Wyatt Sims")</f>
        <v>Wyatt Sims</v>
      </c>
      <c r="B4439" s="1" t="str">
        <f>IFERROR(__xludf.DUMMYFUNCTION("""COMPUTED_VALUE"""),"LL")</f>
        <v>LL</v>
      </c>
    </row>
    <row r="4440" ht="15.75" customHeight="1">
      <c r="A4440" s="1" t="str">
        <f>IFERROR(__xludf.DUMMYFUNCTION("""COMPUTED_VALUE"""),"Sachin Sanghani")</f>
        <v>Sachin Sanghani</v>
      </c>
      <c r="B4440" s="1" t="str">
        <f>IFERROR(__xludf.DUMMYFUNCTION("""COMPUTED_VALUE"""),"WL")</f>
        <v>WL</v>
      </c>
    </row>
    <row r="4441" ht="15.75" customHeight="1">
      <c r="A4441" s="1" t="str">
        <f>IFERROR(__xludf.DUMMYFUNCTION("""COMPUTED_VALUE"""),"Toni Odegbami")</f>
        <v>Toni Odegbami</v>
      </c>
      <c r="B4441" s="1" t="str">
        <f>IFERROR(__xludf.DUMMYFUNCTION("""COMPUTED_VALUE"""),"L1")</f>
        <v>L1</v>
      </c>
    </row>
    <row r="4442" ht="15.75" customHeight="1">
      <c r="A4442" s="1" t="str">
        <f>IFERROR(__xludf.DUMMYFUNCTION("""COMPUTED_VALUE"""),"Ava Dowell")</f>
        <v>Ava Dowell</v>
      </c>
      <c r="B4442" s="1" t="str">
        <f>IFERROR(__xludf.DUMMYFUNCTION("""COMPUTED_VALUE"""),"LL")</f>
        <v>LL</v>
      </c>
    </row>
    <row r="4443" ht="15.75" customHeight="1">
      <c r="A4443" s="1" t="str">
        <f>IFERROR(__xludf.DUMMYFUNCTION("""COMPUTED_VALUE"""),"Josef Benazouz")</f>
        <v>Josef Benazouz</v>
      </c>
      <c r="B4443" s="1" t="str">
        <f>IFERROR(__xludf.DUMMYFUNCTION("""COMPUTED_VALUE"""),"WL")</f>
        <v>WL</v>
      </c>
    </row>
    <row r="4444" ht="15.75" customHeight="1">
      <c r="A4444" s="1" t="str">
        <f>IFERROR(__xludf.DUMMYFUNCTION("""COMPUTED_VALUE"""),"Vivian Pappas")</f>
        <v>Vivian Pappas</v>
      </c>
      <c r="B4444" s="1" t="str">
        <f>IFERROR(__xludf.DUMMYFUNCTION("""COMPUTED_VALUE"""),"WL")</f>
        <v>WL</v>
      </c>
    </row>
    <row r="4445" ht="15.75" customHeight="1">
      <c r="A4445" s="1" t="str">
        <f>IFERROR(__xludf.DUMMYFUNCTION("""COMPUTED_VALUE"""),"Penny McFadden")</f>
        <v>Penny McFadden</v>
      </c>
      <c r="B4445" s="1" t="str">
        <f>IFERROR(__xludf.DUMMYFUNCTION("""COMPUTED_VALUE"""),"WL")</f>
        <v>WL</v>
      </c>
    </row>
    <row r="4446" ht="15.75" customHeight="1">
      <c r="A4446" s="1" t="str">
        <f>IFERROR(__xludf.DUMMYFUNCTION("""COMPUTED_VALUE"""),"Aeson Woods")</f>
        <v>Aeson Woods</v>
      </c>
      <c r="B4446" s="1" t="str">
        <f>IFERROR(__xludf.DUMMYFUNCTION("""COMPUTED_VALUE"""),"L1")</f>
        <v>L1</v>
      </c>
    </row>
    <row r="4447" ht="15.75" customHeight="1">
      <c r="A4447" s="1" t="str">
        <f>IFERROR(__xludf.DUMMYFUNCTION("""COMPUTED_VALUE"""),"Gracie Beck")</f>
        <v>Gracie Beck</v>
      </c>
      <c r="B4447" s="1" t="str">
        <f>IFERROR(__xludf.DUMMYFUNCTION("""COMPUTED_VALUE"""),"L1")</f>
        <v>L1</v>
      </c>
    </row>
    <row r="4448" ht="15.75" customHeight="1">
      <c r="A4448" s="1" t="str">
        <f>IFERROR(__xludf.DUMMYFUNCTION("""COMPUTED_VALUE"""),"Liam Lynch")</f>
        <v>Liam Lynch</v>
      </c>
      <c r="B4448" s="1" t="str">
        <f>IFERROR(__xludf.DUMMYFUNCTION("""COMPUTED_VALUE"""),"LL")</f>
        <v>LL</v>
      </c>
    </row>
    <row r="4449" ht="15.75" customHeight="1">
      <c r="A4449" s="1" t="str">
        <f>IFERROR(__xludf.DUMMYFUNCTION("""COMPUTED_VALUE"""),"Habib Khan")</f>
        <v>Habib Khan</v>
      </c>
      <c r="B4449" s="1" t="str">
        <f>IFERROR(__xludf.DUMMYFUNCTION("""COMPUTED_VALUE"""),"LL")</f>
        <v>LL</v>
      </c>
    </row>
    <row r="4450" ht="15.75" customHeight="1">
      <c r="A4450" s="1" t="str">
        <f>IFERROR(__xludf.DUMMYFUNCTION("""COMPUTED_VALUE"""),"Robert King")</f>
        <v>Robert King</v>
      </c>
      <c r="B4450" s="1" t="str">
        <f>IFERROR(__xludf.DUMMYFUNCTION("""COMPUTED_VALUE"""),"MS")</f>
        <v>MS</v>
      </c>
    </row>
    <row r="4451" ht="15.75" customHeight="1">
      <c r="A4451" s="1" t="str">
        <f>IFERROR(__xludf.DUMMYFUNCTION("""COMPUTED_VALUE"""),"Gabriella Boylhart")</f>
        <v>Gabriella Boylhart</v>
      </c>
      <c r="B4451" s="1" t="str">
        <f>IFERROR(__xludf.DUMMYFUNCTION("""COMPUTED_VALUE"""),"LL")</f>
        <v>LL</v>
      </c>
    </row>
    <row r="4452" ht="15.75" customHeight="1">
      <c r="A4452" s="1" t="str">
        <f>IFERROR(__xludf.DUMMYFUNCTION("""COMPUTED_VALUE"""),"Serena Paracha")</f>
        <v>Serena Paracha</v>
      </c>
      <c r="B4452" s="1" t="str">
        <f>IFERROR(__xludf.DUMMYFUNCTION("""COMPUTED_VALUE"""),"L2")</f>
        <v>L2</v>
      </c>
    </row>
    <row r="4453" ht="15.75" customHeight="1">
      <c r="A4453" s="1" t="str">
        <f>IFERROR(__xludf.DUMMYFUNCTION("""COMPUTED_VALUE"""),"Eva Chakrabarti")</f>
        <v>Eva Chakrabarti</v>
      </c>
      <c r="B4453" s="1" t="str">
        <f>IFERROR(__xludf.DUMMYFUNCTION("""COMPUTED_VALUE"""),"LL")</f>
        <v>LL</v>
      </c>
    </row>
    <row r="4454" ht="15.75" customHeight="1">
      <c r="A4454" s="1" t="str">
        <f>IFERROR(__xludf.DUMMYFUNCTION("""COMPUTED_VALUE"""),"Suri Noorian")</f>
        <v>Suri Noorian</v>
      </c>
      <c r="B4454" s="1" t="str">
        <f>IFERROR(__xludf.DUMMYFUNCTION("""COMPUTED_VALUE"""),"WL")</f>
        <v>WL</v>
      </c>
    </row>
    <row r="4455" ht="15.75" customHeight="1">
      <c r="A4455" s="1" t="str">
        <f>IFERROR(__xludf.DUMMYFUNCTION("""COMPUTED_VALUE"""),"Maya Ortega")</f>
        <v>Maya Ortega</v>
      </c>
      <c r="B4455" s="1" t="str">
        <f>IFERROR(__xludf.DUMMYFUNCTION("""COMPUTED_VALUE"""),"WL")</f>
        <v>WL</v>
      </c>
    </row>
    <row r="4456" ht="15.75" customHeight="1">
      <c r="A4456" s="1" t="str">
        <f>IFERROR(__xludf.DUMMYFUNCTION("""COMPUTED_VALUE"""),"Trace Hale")</f>
        <v>Trace Hale</v>
      </c>
      <c r="B4456" s="1" t="str">
        <f>IFERROR(__xludf.DUMMYFUNCTION("""COMPUTED_VALUE"""),"WL")</f>
        <v>WL</v>
      </c>
    </row>
    <row r="4457" ht="15.75" customHeight="1">
      <c r="A4457" s="1" t="str">
        <f>IFERROR(__xludf.DUMMYFUNCTION("""COMPUTED_VALUE"""),"Carla Alessio")</f>
        <v>Carla Alessio</v>
      </c>
      <c r="B4457" s="1" t="str">
        <f>IFERROR(__xludf.DUMMYFUNCTION("""COMPUTED_VALUE"""),"WL")</f>
        <v>WL</v>
      </c>
    </row>
    <row r="4458" ht="15.75" customHeight="1">
      <c r="A4458" s="1" t="str">
        <f>IFERROR(__xludf.DUMMYFUNCTION("""COMPUTED_VALUE"""),"Kai Pedersen")</f>
        <v>Kai Pedersen</v>
      </c>
      <c r="B4458" s="1" t="str">
        <f>IFERROR(__xludf.DUMMYFUNCTION("""COMPUTED_VALUE"""),"WL")</f>
        <v>WL</v>
      </c>
    </row>
    <row r="4459" ht="15.75" customHeight="1">
      <c r="A4459" s="1" t="str">
        <f>IFERROR(__xludf.DUMMYFUNCTION("""COMPUTED_VALUE"""),"Leonardo Slater")</f>
        <v>Leonardo Slater</v>
      </c>
      <c r="B4459" s="1" t="str">
        <f>IFERROR(__xludf.DUMMYFUNCTION("""COMPUTED_VALUE"""),"LL")</f>
        <v>LL</v>
      </c>
    </row>
    <row r="4460" ht="15.75" customHeight="1">
      <c r="A4460" s="1" t="str">
        <f>IFERROR(__xludf.DUMMYFUNCTION("""COMPUTED_VALUE"""),"Chase Di Lella")</f>
        <v>Chase Di Lella</v>
      </c>
      <c r="B4460" s="1" t="str">
        <f>IFERROR(__xludf.DUMMYFUNCTION("""COMPUTED_VALUE"""),"WL")</f>
        <v>WL</v>
      </c>
    </row>
    <row r="4461" ht="15.75" customHeight="1">
      <c r="A4461" s="1" t="str">
        <f>IFERROR(__xludf.DUMMYFUNCTION("""COMPUTED_VALUE"""),"Eva Selvam")</f>
        <v>Eva Selvam</v>
      </c>
      <c r="B4461" s="1" t="str">
        <f>IFERROR(__xludf.DUMMYFUNCTION("""COMPUTED_VALUE"""),"LL")</f>
        <v>LL</v>
      </c>
    </row>
    <row r="4462" ht="15.75" customHeight="1">
      <c r="A4462" s="1" t="str">
        <f>IFERROR(__xludf.DUMMYFUNCTION("""COMPUTED_VALUE"""),"Ivaan Ravande")</f>
        <v>Ivaan Ravande</v>
      </c>
      <c r="B4462" s="1" t="str">
        <f>IFERROR(__xludf.DUMMYFUNCTION("""COMPUTED_VALUE"""),"WL")</f>
        <v>WL</v>
      </c>
    </row>
    <row r="4463" ht="15.75" customHeight="1">
      <c r="A4463" s="1" t="str">
        <f>IFERROR(__xludf.DUMMYFUNCTION("""COMPUTED_VALUE"""),"Adam Sana")</f>
        <v>Adam Sana</v>
      </c>
      <c r="B4463" s="1" t="str">
        <f>IFERROR(__xludf.DUMMYFUNCTION("""COMPUTED_VALUE"""),"L1")</f>
        <v>L1</v>
      </c>
    </row>
    <row r="4464" ht="15.75" customHeight="1">
      <c r="A4464" s="1" t="str">
        <f>IFERROR(__xludf.DUMMYFUNCTION("""COMPUTED_VALUE"""),"Vedant Morning")</f>
        <v>Vedant Morning</v>
      </c>
      <c r="B4464" s="1" t="str">
        <f>IFERROR(__xludf.DUMMYFUNCTION("""COMPUTED_VALUE"""),"WL")</f>
        <v>WL</v>
      </c>
    </row>
    <row r="4465" ht="15.75" customHeight="1">
      <c r="A4465" s="1" t="str">
        <f>IFERROR(__xludf.DUMMYFUNCTION("""COMPUTED_VALUE"""),"Soraya Noorian")</f>
        <v>Soraya Noorian</v>
      </c>
      <c r="B4465" s="1" t="str">
        <f>IFERROR(__xludf.DUMMYFUNCTION("""COMPUTED_VALUE"""),"LL")</f>
        <v>LL</v>
      </c>
    </row>
    <row r="4466" ht="15.75" customHeight="1">
      <c r="A4466" s="1" t="str">
        <f>IFERROR(__xludf.DUMMYFUNCTION("""COMPUTED_VALUE"""),"Julian Peterson")</f>
        <v>Julian Peterson</v>
      </c>
      <c r="B4466" s="1" t="str">
        <f>IFERROR(__xludf.DUMMYFUNCTION("""COMPUTED_VALUE"""),"WL")</f>
        <v>WL</v>
      </c>
    </row>
    <row r="4467" ht="15.75" customHeight="1">
      <c r="A4467" s="1" t="str">
        <f>IFERROR(__xludf.DUMMYFUNCTION("""COMPUTED_VALUE"""),"Himat Singh")</f>
        <v>Himat Singh</v>
      </c>
      <c r="B4467" s="1" t="str">
        <f>IFERROR(__xludf.DUMMYFUNCTION("""COMPUTED_VALUE"""),"MS")</f>
        <v>MS</v>
      </c>
    </row>
    <row r="4468" ht="15.75" customHeight="1">
      <c r="A4468" s="1" t="str">
        <f>IFERROR(__xludf.DUMMYFUNCTION("""COMPUTED_VALUE"""),"Elwin Hou")</f>
        <v>Elwin Hou</v>
      </c>
      <c r="B4468" s="1" t="str">
        <f>IFERROR(__xludf.DUMMYFUNCTION("""COMPUTED_VALUE"""),"WL")</f>
        <v>WL</v>
      </c>
    </row>
    <row r="4469" ht="15.75" customHeight="1">
      <c r="A4469" s="1" t="str">
        <f>IFERROR(__xludf.DUMMYFUNCTION("""COMPUTED_VALUE"""),"Zachary Hertz")</f>
        <v>Zachary Hertz</v>
      </c>
      <c r="B4469" s="1" t="str">
        <f>IFERROR(__xludf.DUMMYFUNCTION("""COMPUTED_VALUE"""),"LL")</f>
        <v>LL</v>
      </c>
    </row>
    <row r="4470" ht="15.75" customHeight="1">
      <c r="A4470" s="1" t="str">
        <f>IFERROR(__xludf.DUMMYFUNCTION("""COMPUTED_VALUE"""),"Aspen Achor")</f>
        <v>Aspen Achor</v>
      </c>
      <c r="B4470" s="1" t="str">
        <f>IFERROR(__xludf.DUMMYFUNCTION("""COMPUTED_VALUE"""),"LL")</f>
        <v>LL</v>
      </c>
    </row>
    <row r="4471" ht="15.75" customHeight="1">
      <c r="A4471" s="1" t="str">
        <f>IFERROR(__xludf.DUMMYFUNCTION("""COMPUTED_VALUE"""),"Innaya Shaikh")</f>
        <v>Innaya Shaikh</v>
      </c>
      <c r="B4471" s="1" t="str">
        <f>IFERROR(__xludf.DUMMYFUNCTION("""COMPUTED_VALUE"""),"L1")</f>
        <v>L1</v>
      </c>
    </row>
    <row r="4472" ht="15.75" customHeight="1">
      <c r="A4472" s="1" t="str">
        <f>IFERROR(__xludf.DUMMYFUNCTION("""COMPUTED_VALUE"""),"Ahana Govindarajulu")</f>
        <v>Ahana Govindarajulu</v>
      </c>
      <c r="B4472" s="1" t="str">
        <f>IFERROR(__xludf.DUMMYFUNCTION("""COMPUTED_VALUE"""),"L1")</f>
        <v>L1</v>
      </c>
    </row>
    <row r="4473" ht="15.75" customHeight="1">
      <c r="A4473" s="1" t="str">
        <f>IFERROR(__xludf.DUMMYFUNCTION("""COMPUTED_VALUE"""),"Biance Roth")</f>
        <v>Biance Roth</v>
      </c>
      <c r="B4473" s="1" t="str">
        <f>IFERROR(__xludf.DUMMYFUNCTION("""COMPUTED_VALUE"""),"L1")</f>
        <v>L1</v>
      </c>
    </row>
    <row r="4474" ht="15.75" customHeight="1">
      <c r="A4474" s="1" t="str">
        <f>IFERROR(__xludf.DUMMYFUNCTION("""COMPUTED_VALUE"""),"Ajay Patel")</f>
        <v>Ajay Patel</v>
      </c>
      <c r="B4474" s="1" t="str">
        <f>IFERROR(__xludf.DUMMYFUNCTION("""COMPUTED_VALUE"""),"L1")</f>
        <v>L1</v>
      </c>
    </row>
    <row r="4475" ht="15.75" customHeight="1">
      <c r="A4475" s="1" t="str">
        <f>IFERROR(__xludf.DUMMYFUNCTION("""COMPUTED_VALUE"""),"Ocean Canales")</f>
        <v>Ocean Canales</v>
      </c>
      <c r="B4475" s="1" t="str">
        <f>IFERROR(__xludf.DUMMYFUNCTION("""COMPUTED_VALUE"""),"L1")</f>
        <v>L1</v>
      </c>
    </row>
    <row r="4476" ht="15.75" customHeight="1">
      <c r="A4476" s="1" t="str">
        <f>IFERROR(__xludf.DUMMYFUNCTION("""COMPUTED_VALUE"""),"Kalani Canales")</f>
        <v>Kalani Canales</v>
      </c>
      <c r="B4476" s="1" t="str">
        <f>IFERROR(__xludf.DUMMYFUNCTION("""COMPUTED_VALUE"""),"LL")</f>
        <v>LL</v>
      </c>
    </row>
    <row r="4477" ht="15.75" customHeight="1">
      <c r="A4477" s="1" t="str">
        <f>IFERROR(__xludf.DUMMYFUNCTION("""COMPUTED_VALUE"""),"Hope Grunow")</f>
        <v>Hope Grunow</v>
      </c>
      <c r="B4477" s="1" t="str">
        <f>IFERROR(__xludf.DUMMYFUNCTION("""COMPUTED_VALUE"""),"L1")</f>
        <v>L1</v>
      </c>
    </row>
    <row r="4478" ht="15.75" customHeight="1">
      <c r="A4478" s="1" t="str">
        <f>IFERROR(__xludf.DUMMYFUNCTION("""COMPUTED_VALUE"""),"Johnny Grunow")</f>
        <v>Johnny Grunow</v>
      </c>
      <c r="B4478" s="1" t="str">
        <f>IFERROR(__xludf.DUMMYFUNCTION("""COMPUTED_VALUE"""),"L2")</f>
        <v>L2</v>
      </c>
    </row>
    <row r="4479" ht="15.75" customHeight="1">
      <c r="A4479" s="1" t="str">
        <f>IFERROR(__xludf.DUMMYFUNCTION("""COMPUTED_VALUE"""),"Betty Grunow")</f>
        <v>Betty Grunow</v>
      </c>
      <c r="B4479" s="1" t="str">
        <f>IFERROR(__xludf.DUMMYFUNCTION("""COMPUTED_VALUE"""),"LL")</f>
        <v>LL</v>
      </c>
    </row>
    <row r="4480" ht="15.75" customHeight="1">
      <c r="A4480" s="1" t="str">
        <f>IFERROR(__xludf.DUMMYFUNCTION("""COMPUTED_VALUE"""),"Violet Benham")</f>
        <v>Violet Benham</v>
      </c>
      <c r="B4480" s="1" t="str">
        <f>IFERROR(__xludf.DUMMYFUNCTION("""COMPUTED_VALUE"""),"MS")</f>
        <v>MS</v>
      </c>
    </row>
    <row r="4481" ht="15.75" customHeight="1">
      <c r="A4481" s="1" t="str">
        <f>IFERROR(__xludf.DUMMYFUNCTION("""COMPUTED_VALUE"""),"Elijah Braafheid")</f>
        <v>Elijah Braafheid</v>
      </c>
      <c r="B4481" s="1" t="str">
        <f>IFERROR(__xludf.DUMMYFUNCTION("""COMPUTED_VALUE"""),"L1")</f>
        <v>L1</v>
      </c>
    </row>
    <row r="4482" ht="15.75" customHeight="1">
      <c r="A4482" s="1" t="str">
        <f>IFERROR(__xludf.DUMMYFUNCTION("""COMPUTED_VALUE"""),"Adriana D'Anieri")</f>
        <v>Adriana D'Anieri</v>
      </c>
      <c r="B4482" s="1" t="str">
        <f>IFERROR(__xludf.DUMMYFUNCTION("""COMPUTED_VALUE"""),"L1")</f>
        <v>L1</v>
      </c>
    </row>
    <row r="4483" ht="15.75" customHeight="1">
      <c r="A4483" s="1" t="str">
        <f>IFERROR(__xludf.DUMMYFUNCTION("""COMPUTED_VALUE"""),"GraceHonan Goedereis")</f>
        <v>GraceHonan Goedereis</v>
      </c>
      <c r="B4483" s="1" t="str">
        <f>IFERROR(__xludf.DUMMYFUNCTION("""COMPUTED_VALUE"""),"L1")</f>
        <v>L1</v>
      </c>
    </row>
    <row r="4484" ht="15.75" customHeight="1">
      <c r="A4484" s="1" t="str">
        <f>IFERROR(__xludf.DUMMYFUNCTION("""COMPUTED_VALUE"""),"Charlie Rubin")</f>
        <v>Charlie Rubin</v>
      </c>
      <c r="B4484" s="1" t="str">
        <f>IFERROR(__xludf.DUMMYFUNCTION("""COMPUTED_VALUE"""),"WL")</f>
        <v>WL</v>
      </c>
    </row>
    <row r="4485" ht="15.75" customHeight="1">
      <c r="A4485" s="1" t="str">
        <f>IFERROR(__xludf.DUMMYFUNCTION("""COMPUTED_VALUE"""),"Benjamin Amira")</f>
        <v>Benjamin Amira</v>
      </c>
      <c r="B4485" s="1" t="str">
        <f>IFERROR(__xludf.DUMMYFUNCTION("""COMPUTED_VALUE"""),"WL")</f>
        <v>WL</v>
      </c>
    </row>
    <row r="4486" ht="15.75" customHeight="1">
      <c r="A4486" s="1" t="str">
        <f>IFERROR(__xludf.DUMMYFUNCTION("""COMPUTED_VALUE"""),"Zachary Amira")</f>
        <v>Zachary Amira</v>
      </c>
      <c r="B4486" s="1" t="str">
        <f>IFERROR(__xludf.DUMMYFUNCTION("""COMPUTED_VALUE"""),"WL")</f>
        <v>WL</v>
      </c>
    </row>
    <row r="4487" ht="15.75" customHeight="1">
      <c r="A4487" s="1" t="str">
        <f>IFERROR(__xludf.DUMMYFUNCTION("""COMPUTED_VALUE"""),"George Giesea")</f>
        <v>George Giesea</v>
      </c>
      <c r="B4487" s="1" t="str">
        <f>IFERROR(__xludf.DUMMYFUNCTION("""COMPUTED_VALUE"""),"L1")</f>
        <v>L1</v>
      </c>
    </row>
    <row r="4488" ht="15.75" customHeight="1">
      <c r="A4488" s="1" t="str">
        <f>IFERROR(__xludf.DUMMYFUNCTION("""COMPUTED_VALUE"""),"India Mahaney")</f>
        <v>India Mahaney</v>
      </c>
      <c r="B4488" s="1" t="str">
        <f>IFERROR(__xludf.DUMMYFUNCTION("""COMPUTED_VALUE"""),"LL")</f>
        <v>LL</v>
      </c>
    </row>
    <row r="4489" ht="15.75" customHeight="1">
      <c r="A4489" s="1" t="str">
        <f>IFERROR(__xludf.DUMMYFUNCTION("""COMPUTED_VALUE"""),"Bryce Zielasko")</f>
        <v>Bryce Zielasko</v>
      </c>
      <c r="B4489" s="1" t="str">
        <f>IFERROR(__xludf.DUMMYFUNCTION("""COMPUTED_VALUE"""),"L2")</f>
        <v>L2</v>
      </c>
    </row>
    <row r="4490" ht="15.75" customHeight="1">
      <c r="A4490" s="1" t="str">
        <f>IFERROR(__xludf.DUMMYFUNCTION("""COMPUTED_VALUE"""),"Eve Odea")</f>
        <v>Eve Odea</v>
      </c>
      <c r="B4490" s="1" t="str">
        <f>IFERROR(__xludf.DUMMYFUNCTION("""COMPUTED_VALUE"""),"L2")</f>
        <v>L2</v>
      </c>
    </row>
    <row r="4491" ht="15.75" customHeight="1">
      <c r="A4491" s="1" t="str">
        <f>IFERROR(__xludf.DUMMYFUNCTION("""COMPUTED_VALUE"""),"Duke Adubato")</f>
        <v>Duke Adubato</v>
      </c>
      <c r="B4491" s="1" t="str">
        <f>IFERROR(__xludf.DUMMYFUNCTION("""COMPUTED_VALUE"""),"L1")</f>
        <v>L1</v>
      </c>
    </row>
    <row r="4492" ht="15.75" customHeight="1">
      <c r="A4492" s="1" t="str">
        <f>IFERROR(__xludf.DUMMYFUNCTION("""COMPUTED_VALUE"""),"Isaac David")</f>
        <v>Isaac David</v>
      </c>
      <c r="B4492" s="1" t="str">
        <f>IFERROR(__xludf.DUMMYFUNCTION("""COMPUTED_VALUE"""),"LL")</f>
        <v>LL</v>
      </c>
    </row>
    <row r="4493" ht="15.75" customHeight="1">
      <c r="A4493" s="1" t="str">
        <f>IFERROR(__xludf.DUMMYFUNCTION("""COMPUTED_VALUE"""),"Griffin McCauley")</f>
        <v>Griffin McCauley</v>
      </c>
      <c r="B4493" s="1" t="str">
        <f>IFERROR(__xludf.DUMMYFUNCTION("""COMPUTED_VALUE"""),"WL")</f>
        <v>WL</v>
      </c>
    </row>
    <row r="4494" ht="15.75" customHeight="1">
      <c r="A4494" s="1" t="str">
        <f>IFERROR(__xludf.DUMMYFUNCTION("""COMPUTED_VALUE"""),"Leonardo Lourenco")</f>
        <v>Leonardo Lourenco</v>
      </c>
      <c r="B4494" s="1" t="str">
        <f>IFERROR(__xludf.DUMMYFUNCTION("""COMPUTED_VALUE"""),"L1")</f>
        <v>L1</v>
      </c>
    </row>
    <row r="4495" ht="15.75" customHeight="1">
      <c r="A4495" s="1" t="str">
        <f>IFERROR(__xludf.DUMMYFUNCTION("""COMPUTED_VALUE"""),"Emi Lourenco")</f>
        <v>Emi Lourenco</v>
      </c>
      <c r="B4495" s="1" t="str">
        <f>IFERROR(__xludf.DUMMYFUNCTION("""COMPUTED_VALUE"""),"LL")</f>
        <v>LL</v>
      </c>
    </row>
    <row r="4496" ht="15.75" customHeight="1">
      <c r="A4496" s="1" t="str">
        <f>IFERROR(__xludf.DUMMYFUNCTION("""COMPUTED_VALUE"""),"Shiloh Durham")</f>
        <v>Shiloh Durham</v>
      </c>
      <c r="B4496" s="1" t="str">
        <f>IFERROR(__xludf.DUMMYFUNCTION("""COMPUTED_VALUE"""),"LL")</f>
        <v>LL</v>
      </c>
    </row>
    <row r="4497" ht="15.75" customHeight="1">
      <c r="A4497" s="1" t="str">
        <f>IFERROR(__xludf.DUMMYFUNCTION("""COMPUTED_VALUE"""),"Vivien Boren")</f>
        <v>Vivien Boren</v>
      </c>
      <c r="B4497" s="1" t="str">
        <f>IFERROR(__xludf.DUMMYFUNCTION("""COMPUTED_VALUE"""),"L1")</f>
        <v>L1</v>
      </c>
    </row>
    <row r="4498" ht="15.75" customHeight="1">
      <c r="A4498" s="1" t="str">
        <f>IFERROR(__xludf.DUMMYFUNCTION("""COMPUTED_VALUE"""),"Ahanu Durham")</f>
        <v>Ahanu Durham</v>
      </c>
      <c r="B4498" s="1" t="str">
        <f>IFERROR(__xludf.DUMMYFUNCTION("""COMPUTED_VALUE"""),"LL")</f>
        <v>LL</v>
      </c>
    </row>
    <row r="4499" ht="15.75" customHeight="1">
      <c r="A4499" s="1" t="str">
        <f>IFERROR(__xludf.DUMMYFUNCTION("""COMPUTED_VALUE"""),"Caspian Wilkins")</f>
        <v>Caspian Wilkins</v>
      </c>
      <c r="B4499" s="1" t="str">
        <f>IFERROR(__xludf.DUMMYFUNCTION("""COMPUTED_VALUE"""),"WL")</f>
        <v>WL</v>
      </c>
    </row>
    <row r="4500" ht="15.75" customHeight="1">
      <c r="A4500" s="1" t="str">
        <f>IFERROR(__xludf.DUMMYFUNCTION("""COMPUTED_VALUE"""),"Talulla Wilkins")</f>
        <v>Talulla Wilkins</v>
      </c>
      <c r="B4500" s="1" t="str">
        <f>IFERROR(__xludf.DUMMYFUNCTION("""COMPUTED_VALUE"""),"WL")</f>
        <v>WL</v>
      </c>
    </row>
    <row r="4501" ht="15.75" customHeight="1">
      <c r="A4501" s="1" t="str">
        <f>IFERROR(__xludf.DUMMYFUNCTION("""COMPUTED_VALUE"""),"John “NORRIS” HARDING IV")</f>
        <v>John “NORRIS” HARDING IV</v>
      </c>
      <c r="B4501" s="1" t="str">
        <f>IFERROR(__xludf.DUMMYFUNCTION("""COMPUTED_VALUE"""),"WL")</f>
        <v>WL</v>
      </c>
    </row>
    <row r="4502" ht="15.75" customHeight="1">
      <c r="A4502" s="1" t="str">
        <f>IFERROR(__xludf.DUMMYFUNCTION("""COMPUTED_VALUE"""),"Gautam child 1- _test")</f>
        <v>Gautam child 1- _test</v>
      </c>
      <c r="B4502" s="1" t="str">
        <f>IFERROR(__xludf.DUMMYFUNCTION("""COMPUTED_VALUE"""),"LL")</f>
        <v>LL</v>
      </c>
    </row>
    <row r="4503" ht="15.75" customHeight="1">
      <c r="A4503" s="1" t="str">
        <f>IFERROR(__xludf.DUMMYFUNCTION("""COMPUTED_VALUE"""),"Leo Donato")</f>
        <v>Leo Donato</v>
      </c>
      <c r="B4503" s="1" t="str">
        <f>IFERROR(__xludf.DUMMYFUNCTION("""COMPUTED_VALUE"""),"L1")</f>
        <v>L1</v>
      </c>
    </row>
    <row r="4504" ht="15.75" customHeight="1">
      <c r="A4504" s="1" t="str">
        <f>IFERROR(__xludf.DUMMYFUNCTION("""COMPUTED_VALUE"""),"Aidan Silverstein")</f>
        <v>Aidan Silverstein</v>
      </c>
      <c r="B4504" s="1" t="str">
        <f>IFERROR(__xludf.DUMMYFUNCTION("""COMPUTED_VALUE"""),"WL")</f>
        <v>WL</v>
      </c>
    </row>
    <row r="4505" ht="15.75" customHeight="1">
      <c r="A4505" s="1" t="str">
        <f>IFERROR(__xludf.DUMMYFUNCTION("""COMPUTED_VALUE"""),"Aya Anand Chuecos")</f>
        <v>Aya Anand Chuecos</v>
      </c>
      <c r="B4505" s="1" t="str">
        <f>IFERROR(__xludf.DUMMYFUNCTION("""COMPUTED_VALUE"""),"WL")</f>
        <v>WL</v>
      </c>
    </row>
    <row r="4506" ht="15.75" customHeight="1">
      <c r="A4506" s="1" t="str">
        <f>IFERROR(__xludf.DUMMYFUNCTION("""COMPUTED_VALUE"""),"Clark Cho")</f>
        <v>Clark Cho</v>
      </c>
      <c r="B4506" s="1" t="str">
        <f>IFERROR(__xludf.DUMMYFUNCTION("""COMPUTED_VALUE"""),"LL")</f>
        <v>LL</v>
      </c>
    </row>
    <row r="4507" ht="15.75" customHeight="1">
      <c r="A4507" s="1" t="str">
        <f>IFERROR(__xludf.DUMMYFUNCTION("""COMPUTED_VALUE"""),"Jack Wolf")</f>
        <v>Jack Wolf</v>
      </c>
      <c r="B4507" s="1" t="str">
        <f>IFERROR(__xludf.DUMMYFUNCTION("""COMPUTED_VALUE"""),"L1")</f>
        <v>L1</v>
      </c>
    </row>
    <row r="4508" ht="15.75" customHeight="1">
      <c r="A4508" s="1" t="str">
        <f>IFERROR(__xludf.DUMMYFUNCTION("""COMPUTED_VALUE"""),"Rushton Guthrie")</f>
        <v>Rushton Guthrie</v>
      </c>
      <c r="B4508" s="1" t="str">
        <f>IFERROR(__xludf.DUMMYFUNCTION("""COMPUTED_VALUE"""),"LL")</f>
        <v>LL</v>
      </c>
    </row>
    <row r="4509" ht="15.75" customHeight="1">
      <c r="A4509" s="1" t="str">
        <f>IFERROR(__xludf.DUMMYFUNCTION("""COMPUTED_VALUE"""),"Vander Marquez")</f>
        <v>Vander Marquez</v>
      </c>
      <c r="B4509" s="1" t="str">
        <f>IFERROR(__xludf.DUMMYFUNCTION("""COMPUTED_VALUE"""),"MS")</f>
        <v>MS</v>
      </c>
    </row>
    <row r="4510" ht="15.75" customHeight="1">
      <c r="A4510" s="1" t="str">
        <f>IFERROR(__xludf.DUMMYFUNCTION("""COMPUTED_VALUE"""),"Hendrix Marquez")</f>
        <v>Hendrix Marquez</v>
      </c>
      <c r="B4510" s="1" t="str">
        <f>IFERROR(__xludf.DUMMYFUNCTION("""COMPUTED_VALUE"""),"L2")</f>
        <v>L2</v>
      </c>
    </row>
    <row r="4511" ht="15.75" customHeight="1">
      <c r="A4511" s="1" t="str">
        <f>IFERROR(__xludf.DUMMYFUNCTION("""COMPUTED_VALUE"""),"Juliet Damani")</f>
        <v>Juliet Damani</v>
      </c>
      <c r="B4511" s="1" t="str">
        <f>IFERROR(__xludf.DUMMYFUNCTION("""COMPUTED_VALUE"""),"L2")</f>
        <v>L2</v>
      </c>
    </row>
    <row r="4512" ht="15.75" customHeight="1">
      <c r="A4512" s="1" t="str">
        <f>IFERROR(__xludf.DUMMYFUNCTION("""COMPUTED_VALUE"""),"Leila Damani")</f>
        <v>Leila Damani</v>
      </c>
      <c r="B4512" s="1" t="str">
        <f>IFERROR(__xludf.DUMMYFUNCTION("""COMPUTED_VALUE"""),"LL")</f>
        <v>LL</v>
      </c>
    </row>
    <row r="4513" ht="15.75" customHeight="1">
      <c r="A4513" s="1" t="str">
        <f>IFERROR(__xludf.DUMMYFUNCTION("""COMPUTED_VALUE"""),"Warren Garner")</f>
        <v>Warren Garner</v>
      </c>
      <c r="B4513" s="1" t="str">
        <f>IFERROR(__xludf.DUMMYFUNCTION("""COMPUTED_VALUE"""),"LL")</f>
        <v>LL</v>
      </c>
    </row>
    <row r="4514" ht="15.75" customHeight="1">
      <c r="A4514" s="1" t="str">
        <f>IFERROR(__xludf.DUMMYFUNCTION("""COMPUTED_VALUE"""),"Ada Garner")</f>
        <v>Ada Garner</v>
      </c>
      <c r="B4514" s="1" t="str">
        <f>IFERROR(__xludf.DUMMYFUNCTION("""COMPUTED_VALUE"""),"WL")</f>
        <v>WL</v>
      </c>
    </row>
    <row r="4515" ht="15.75" customHeight="1">
      <c r="A4515" s="1" t="str">
        <f>IFERROR(__xludf.DUMMYFUNCTION("""COMPUTED_VALUE"""),"Arya Powers")</f>
        <v>Arya Powers</v>
      </c>
      <c r="B4515" s="1" t="str">
        <f>IFERROR(__xludf.DUMMYFUNCTION("""COMPUTED_VALUE"""),"LL")</f>
        <v>LL</v>
      </c>
    </row>
    <row r="4516" ht="15.75" customHeight="1">
      <c r="A4516" s="1" t="str">
        <f>IFERROR(__xludf.DUMMYFUNCTION("""COMPUTED_VALUE"""),"Deklan Kroger")</f>
        <v>Deklan Kroger</v>
      </c>
      <c r="B4516" s="1" t="str">
        <f>IFERROR(__xludf.DUMMYFUNCTION("""COMPUTED_VALUE"""),"L2")</f>
        <v>L2</v>
      </c>
    </row>
    <row r="4517" ht="15.75" customHeight="1">
      <c r="A4517" s="1" t="str">
        <f>IFERROR(__xludf.DUMMYFUNCTION("""COMPUTED_VALUE"""),"Scarlett Kroger")</f>
        <v>Scarlett Kroger</v>
      </c>
      <c r="B4517" s="1" t="str">
        <f>IFERROR(__xludf.DUMMYFUNCTION("""COMPUTED_VALUE"""),"LL")</f>
        <v>LL</v>
      </c>
    </row>
    <row r="4518" ht="15.75" customHeight="1">
      <c r="A4518" s="1" t="str">
        <f>IFERROR(__xludf.DUMMYFUNCTION("""COMPUTED_VALUE"""),"Rowan Kroger")</f>
        <v>Rowan Kroger</v>
      </c>
      <c r="B4518" s="1" t="str">
        <f>IFERROR(__xludf.DUMMYFUNCTION("""COMPUTED_VALUE"""),"WL")</f>
        <v>WL</v>
      </c>
    </row>
    <row r="4519" ht="15.75" customHeight="1">
      <c r="A4519" s="1" t="str">
        <f>IFERROR(__xludf.DUMMYFUNCTION("""COMPUTED_VALUE"""),"Peyton Lang")</f>
        <v>Peyton Lang</v>
      </c>
      <c r="B4519" s="1" t="str">
        <f>IFERROR(__xludf.DUMMYFUNCTION("""COMPUTED_VALUE"""),"MS")</f>
        <v>MS</v>
      </c>
    </row>
    <row r="4520" ht="15.75" customHeight="1">
      <c r="A4520" s="1" t="str">
        <f>IFERROR(__xludf.DUMMYFUNCTION("""COMPUTED_VALUE"""),"Gavin Ares")</f>
        <v>Gavin Ares</v>
      </c>
      <c r="B4520" s="1" t="str">
        <f>IFERROR(__xludf.DUMMYFUNCTION("""COMPUTED_VALUE"""),"HS")</f>
        <v>HS</v>
      </c>
    </row>
    <row r="4521" ht="15.75" customHeight="1">
      <c r="A4521" s="1" t="str">
        <f>IFERROR(__xludf.DUMMYFUNCTION("""COMPUTED_VALUE"""),"Dante Generelli")</f>
        <v>Dante Generelli</v>
      </c>
      <c r="B4521" s="1" t="str">
        <f>IFERROR(__xludf.DUMMYFUNCTION("""COMPUTED_VALUE"""),"LL")</f>
        <v>LL</v>
      </c>
    </row>
    <row r="4522" ht="15.75" customHeight="1">
      <c r="A4522" s="1" t="str">
        <f>IFERROR(__xludf.DUMMYFUNCTION("""COMPUTED_VALUE"""),"Liam Mihailov")</f>
        <v>Liam Mihailov</v>
      </c>
      <c r="B4522" s="1" t="str">
        <f>IFERROR(__xludf.DUMMYFUNCTION("""COMPUTED_VALUE"""),"WL")</f>
        <v>WL</v>
      </c>
    </row>
    <row r="4523" ht="15.75" customHeight="1">
      <c r="A4523" s="1" t="str">
        <f>IFERROR(__xludf.DUMMYFUNCTION("""COMPUTED_VALUE"""),"Maryam Elnagar")</f>
        <v>Maryam Elnagar</v>
      </c>
      <c r="B4523" s="1" t="str">
        <f>IFERROR(__xludf.DUMMYFUNCTION("""COMPUTED_VALUE"""),"MS")</f>
        <v>MS</v>
      </c>
    </row>
    <row r="4524" ht="15.75" customHeight="1">
      <c r="A4524" s="1" t="str">
        <f>IFERROR(__xludf.DUMMYFUNCTION("""COMPUTED_VALUE"""),"Mason Chance")</f>
        <v>Mason Chance</v>
      </c>
      <c r="B4524" s="1" t="str">
        <f>IFERROR(__xludf.DUMMYFUNCTION("""COMPUTED_VALUE"""),"L2")</f>
        <v>L2</v>
      </c>
    </row>
    <row r="4525" ht="15.75" customHeight="1">
      <c r="A4525" s="1" t="str">
        <f>IFERROR(__xludf.DUMMYFUNCTION("""COMPUTED_VALUE"""),"Jeremiah Santos")</f>
        <v>Jeremiah Santos</v>
      </c>
      <c r="B4525" s="1" t="str">
        <f>IFERROR(__xludf.DUMMYFUNCTION("""COMPUTED_VALUE"""),"WL")</f>
        <v>WL</v>
      </c>
    </row>
    <row r="4526" ht="15.75" customHeight="1">
      <c r="A4526" s="1" t="str">
        <f>IFERROR(__xludf.DUMMYFUNCTION("""COMPUTED_VALUE"""),"Leonel Mihailov")</f>
        <v>Leonel Mihailov</v>
      </c>
      <c r="B4526" s="1" t="str">
        <f>IFERROR(__xludf.DUMMYFUNCTION("""COMPUTED_VALUE"""),"WL")</f>
        <v>WL</v>
      </c>
    </row>
    <row r="4527" ht="15.75" customHeight="1">
      <c r="A4527" s="1" t="str">
        <f>IFERROR(__xludf.DUMMYFUNCTION("""COMPUTED_VALUE"""),"Xander Montero")</f>
        <v>Xander Montero</v>
      </c>
      <c r="B4527" s="1" t="str">
        <f>IFERROR(__xludf.DUMMYFUNCTION("""COMPUTED_VALUE"""),"LL")</f>
        <v>LL</v>
      </c>
    </row>
    <row r="4528" ht="15.75" customHeight="1">
      <c r="A4528" s="1" t="str">
        <f>IFERROR(__xludf.DUMMYFUNCTION("""COMPUTED_VALUE"""),"Zoe Chance")</f>
        <v>Zoe Chance</v>
      </c>
      <c r="B4528" s="1" t="str">
        <f>IFERROR(__xludf.DUMMYFUNCTION("""COMPUTED_VALUE"""),"L1")</f>
        <v>L1</v>
      </c>
    </row>
    <row r="4529" ht="15.75" customHeight="1">
      <c r="A4529" s="1" t="str">
        <f>IFERROR(__xludf.DUMMYFUNCTION("""COMPUTED_VALUE"""),"Jamar Smith")</f>
        <v>Jamar Smith</v>
      </c>
      <c r="B4529" s="1" t="str">
        <f>IFERROR(__xludf.DUMMYFUNCTION("""COMPUTED_VALUE"""),"L1")</f>
        <v>L1</v>
      </c>
    </row>
    <row r="4530" ht="15.75" customHeight="1">
      <c r="A4530" s="1" t="str">
        <f>IFERROR(__xludf.DUMMYFUNCTION("""COMPUTED_VALUE"""),"Aidan Zavatsky")</f>
        <v>Aidan Zavatsky</v>
      </c>
      <c r="B4530" s="1" t="str">
        <f>IFERROR(__xludf.DUMMYFUNCTION("""COMPUTED_VALUE"""),"WL")</f>
        <v>WL</v>
      </c>
    </row>
    <row r="4531" ht="15.75" customHeight="1">
      <c r="A4531" s="1" t="str">
        <f>IFERROR(__xludf.DUMMYFUNCTION("""COMPUTED_VALUE"""),"Benjamin Reinke")</f>
        <v>Benjamin Reinke</v>
      </c>
      <c r="B4531" s="1" t="str">
        <f>IFERROR(__xludf.DUMMYFUNCTION("""COMPUTED_VALUE"""),"L2")</f>
        <v>L2</v>
      </c>
    </row>
    <row r="4532" ht="15.75" customHeight="1">
      <c r="A4532" s="1" t="str">
        <f>IFERROR(__xludf.DUMMYFUNCTION("""COMPUTED_VALUE"""),"Presley Generelli")</f>
        <v>Presley Generelli</v>
      </c>
      <c r="B4532" s="1" t="str">
        <f>IFERROR(__xludf.DUMMYFUNCTION("""COMPUTED_VALUE"""),"L1")</f>
        <v>L1</v>
      </c>
    </row>
    <row r="4533" ht="15.75" customHeight="1">
      <c r="A4533" s="1" t="str">
        <f>IFERROR(__xludf.DUMMYFUNCTION("""COMPUTED_VALUE"""),"Elisa Mathew")</f>
        <v>Elisa Mathew</v>
      </c>
      <c r="B4533" s="1" t="str">
        <f>IFERROR(__xludf.DUMMYFUNCTION("""COMPUTED_VALUE"""),"L1")</f>
        <v>L1</v>
      </c>
    </row>
    <row r="4534" ht="15.75" customHeight="1">
      <c r="A4534" s="1" t="str">
        <f>IFERROR(__xludf.DUMMYFUNCTION("""COMPUTED_VALUE"""),"Lana Turnbull")</f>
        <v>Lana Turnbull</v>
      </c>
      <c r="B4534" s="1" t="str">
        <f>IFERROR(__xludf.DUMMYFUNCTION("""COMPUTED_VALUE"""),"L2")</f>
        <v>L2</v>
      </c>
    </row>
    <row r="4535" ht="15.75" customHeight="1">
      <c r="A4535" s="1" t="str">
        <f>IFERROR(__xludf.DUMMYFUNCTION("""COMPUTED_VALUE"""),"Caroline Wiebeck")</f>
        <v>Caroline Wiebeck</v>
      </c>
      <c r="B4535" s="1" t="str">
        <f>IFERROR(__xludf.DUMMYFUNCTION("""COMPUTED_VALUE"""),"MS")</f>
        <v>MS</v>
      </c>
    </row>
    <row r="4536" ht="15.75" customHeight="1">
      <c r="A4536" s="1" t="str">
        <f>IFERROR(__xludf.DUMMYFUNCTION("""COMPUTED_VALUE"""),"Lily Van Colen")</f>
        <v>Lily Van Colen</v>
      </c>
      <c r="B4536" s="1" t="str">
        <f>IFERROR(__xludf.DUMMYFUNCTION("""COMPUTED_VALUE"""),"L2")</f>
        <v>L2</v>
      </c>
    </row>
    <row r="4537" ht="15.75" customHeight="1">
      <c r="A4537" s="1" t="str">
        <f>IFERROR(__xludf.DUMMYFUNCTION("""COMPUTED_VALUE"""),"Caelyn Manchev")</f>
        <v>Caelyn Manchev</v>
      </c>
      <c r="B4537" s="1" t="str">
        <f>IFERROR(__xludf.DUMMYFUNCTION("""COMPUTED_VALUE"""),"WL")</f>
        <v>WL</v>
      </c>
    </row>
    <row r="4538" ht="15.75" customHeight="1">
      <c r="A4538" s="1" t="str">
        <f>IFERROR(__xludf.DUMMYFUNCTION("""COMPUTED_VALUE"""),"Eva Halliday")</f>
        <v>Eva Halliday</v>
      </c>
      <c r="B4538" s="1" t="str">
        <f>IFERROR(__xludf.DUMMYFUNCTION("""COMPUTED_VALUE"""),"LL")</f>
        <v>LL</v>
      </c>
    </row>
    <row r="4539" ht="15.75" customHeight="1">
      <c r="A4539" s="1" t="str">
        <f>IFERROR(__xludf.DUMMYFUNCTION("""COMPUTED_VALUE"""),"Cruz Butler")</f>
        <v>Cruz Butler</v>
      </c>
      <c r="B4539" s="1" t="str">
        <f>IFERROR(__xludf.DUMMYFUNCTION("""COMPUTED_VALUE"""),"MS")</f>
        <v>MS</v>
      </c>
    </row>
    <row r="4540" ht="15.75" customHeight="1">
      <c r="A4540" s="1" t="str">
        <f>IFERROR(__xludf.DUMMYFUNCTION("""COMPUTED_VALUE"""),"William Lin")</f>
        <v>William Lin</v>
      </c>
      <c r="B4540" s="1" t="str">
        <f>IFERROR(__xludf.DUMMYFUNCTION("""COMPUTED_VALUE"""),"MS")</f>
        <v>MS</v>
      </c>
    </row>
    <row r="4541" ht="15.75" customHeight="1">
      <c r="A4541" s="1" t="str">
        <f>IFERROR(__xludf.DUMMYFUNCTION("""COMPUTED_VALUE"""),"Chiara Niswander")</f>
        <v>Chiara Niswander</v>
      </c>
      <c r="B4541" s="1" t="str">
        <f>IFERROR(__xludf.DUMMYFUNCTION("""COMPUTED_VALUE"""),"L2")</f>
        <v>L2</v>
      </c>
    </row>
    <row r="4542" ht="15.75" customHeight="1">
      <c r="A4542" s="1" t="str">
        <f>IFERROR(__xludf.DUMMYFUNCTION("""COMPUTED_VALUE"""),"Claire Merlau")</f>
        <v>Claire Merlau</v>
      </c>
      <c r="B4542" s="1" t="str">
        <f>IFERROR(__xludf.DUMMYFUNCTION("""COMPUTED_VALUE"""),"WL")</f>
        <v>WL</v>
      </c>
    </row>
    <row r="4543" ht="15.75" customHeight="1">
      <c r="A4543" s="1" t="str">
        <f>IFERROR(__xludf.DUMMYFUNCTION("""COMPUTED_VALUE"""),"Jayce Lang")</f>
        <v>Jayce Lang</v>
      </c>
      <c r="B4543" s="1" t="str">
        <f>IFERROR(__xludf.DUMMYFUNCTION("""COMPUTED_VALUE"""),"HS")</f>
        <v>HS</v>
      </c>
    </row>
    <row r="4544" ht="15.75" customHeight="1">
      <c r="A4544" s="1" t="str">
        <f>IFERROR(__xludf.DUMMYFUNCTION("""COMPUTED_VALUE"""),"Addy Saa")</f>
        <v>Addy Saa</v>
      </c>
      <c r="B4544" s="1" t="str">
        <f>IFERROR(__xludf.DUMMYFUNCTION("""COMPUTED_VALUE"""),"L2")</f>
        <v>L2</v>
      </c>
    </row>
    <row r="4545" ht="15.75" customHeight="1">
      <c r="A4545" s="1" t="str">
        <f>IFERROR(__xludf.DUMMYFUNCTION("""COMPUTED_VALUE"""),"Cannon White")</f>
        <v>Cannon White</v>
      </c>
      <c r="B4545" s="1" t="str">
        <f>IFERROR(__xludf.DUMMYFUNCTION("""COMPUTED_VALUE"""),"L2")</f>
        <v>L2</v>
      </c>
    </row>
    <row r="4546" ht="15.75" customHeight="1">
      <c r="A4546" s="1" t="str">
        <f>IFERROR(__xludf.DUMMYFUNCTION("""COMPUTED_VALUE"""),"Enzo Ittyerah")</f>
        <v>Enzo Ittyerah</v>
      </c>
      <c r="B4546" s="1" t="str">
        <f>IFERROR(__xludf.DUMMYFUNCTION("""COMPUTED_VALUE"""),"WL")</f>
        <v>WL</v>
      </c>
    </row>
    <row r="4547" ht="15.75" customHeight="1">
      <c r="A4547" s="1" t="str">
        <f>IFERROR(__xludf.DUMMYFUNCTION("""COMPUTED_VALUE"""),"Anna Ittyerah")</f>
        <v>Anna Ittyerah</v>
      </c>
      <c r="B4547" s="1" t="str">
        <f>IFERROR(__xludf.DUMMYFUNCTION("""COMPUTED_VALUE"""),"WL")</f>
        <v>WL</v>
      </c>
    </row>
    <row r="4548" ht="15.75" customHeight="1">
      <c r="A4548" s="1" t="str">
        <f>IFERROR(__xludf.DUMMYFUNCTION("""COMPUTED_VALUE"""),"Theo Drummond")</f>
        <v>Theo Drummond</v>
      </c>
      <c r="B4548" s="1" t="str">
        <f>IFERROR(__xludf.DUMMYFUNCTION("""COMPUTED_VALUE"""),"LL")</f>
        <v>LL</v>
      </c>
    </row>
    <row r="4549" ht="15.75" customHeight="1">
      <c r="A4549" s="1" t="str">
        <f>IFERROR(__xludf.DUMMYFUNCTION("""COMPUTED_VALUE"""),"Rikki Rudometkin")</f>
        <v>Rikki Rudometkin</v>
      </c>
      <c r="B4549" s="1" t="str">
        <f>IFERROR(__xludf.DUMMYFUNCTION("""COMPUTED_VALUE"""),"MS")</f>
        <v>MS</v>
      </c>
    </row>
    <row r="4550" ht="15.75" customHeight="1">
      <c r="A4550" s="1" t="str">
        <f>IFERROR(__xludf.DUMMYFUNCTION("""COMPUTED_VALUE"""),"Gavin White")</f>
        <v>Gavin White</v>
      </c>
      <c r="B4550" s="1" t="str">
        <f>IFERROR(__xludf.DUMMYFUNCTION("""COMPUTED_VALUE"""),"WL")</f>
        <v>WL</v>
      </c>
    </row>
    <row r="4551" ht="15.75" customHeight="1">
      <c r="A4551" s="1" t="str">
        <f>IFERROR(__xludf.DUMMYFUNCTION("""COMPUTED_VALUE"""),"Maria Cardim")</f>
        <v>Maria Cardim</v>
      </c>
      <c r="B4551" s="1" t="str">
        <f>IFERROR(__xludf.DUMMYFUNCTION("""COMPUTED_VALUE"""),"L2")</f>
        <v>L2</v>
      </c>
    </row>
    <row r="4552" ht="15.75" customHeight="1">
      <c r="A4552" s="1" t="str">
        <f>IFERROR(__xludf.DUMMYFUNCTION("""COMPUTED_VALUE"""),"Jana Bonassi")</f>
        <v>Jana Bonassi</v>
      </c>
      <c r="B4552" s="1" t="str">
        <f>IFERROR(__xludf.DUMMYFUNCTION("""COMPUTED_VALUE"""),"L1")</f>
        <v>L1</v>
      </c>
    </row>
    <row r="4553" ht="15.75" customHeight="1">
      <c r="A4553" s="1" t="str">
        <f>IFERROR(__xludf.DUMMYFUNCTION("""COMPUTED_VALUE"""),"Noah Xavier Leocadio")</f>
        <v>Noah Xavier Leocadio</v>
      </c>
      <c r="B4553" s="1" t="str">
        <f>IFERROR(__xludf.DUMMYFUNCTION("""COMPUTED_VALUE"""),"HS")</f>
        <v>HS</v>
      </c>
    </row>
    <row r="4554" ht="15.75" customHeight="1">
      <c r="A4554" s="1" t="str">
        <f>IFERROR(__xludf.DUMMYFUNCTION("""COMPUTED_VALUE"""),"Joseph (Yousef) Naqvi")</f>
        <v>Joseph (Yousef) Naqvi</v>
      </c>
      <c r="B4554" s="1" t="str">
        <f>IFERROR(__xludf.DUMMYFUNCTION("""COMPUTED_VALUE"""),"L1")</f>
        <v>L1</v>
      </c>
    </row>
    <row r="4555" ht="15.75" customHeight="1">
      <c r="A4555" s="1" t="str">
        <f>IFERROR(__xludf.DUMMYFUNCTION("""COMPUTED_VALUE"""),"Jonathan Soto")</f>
        <v>Jonathan Soto</v>
      </c>
      <c r="B4555" s="1" t="str">
        <f>IFERROR(__xludf.DUMMYFUNCTION("""COMPUTED_VALUE"""),"L2")</f>
        <v>L2</v>
      </c>
    </row>
    <row r="4556" ht="15.75" customHeight="1">
      <c r="A4556" s="1" t="str">
        <f>IFERROR(__xludf.DUMMYFUNCTION("""COMPUTED_VALUE"""),"Colton Kingston")</f>
        <v>Colton Kingston</v>
      </c>
      <c r="B4556" s="1" t="str">
        <f>IFERROR(__xludf.DUMMYFUNCTION("""COMPUTED_VALUE"""),"L2")</f>
        <v>L2</v>
      </c>
    </row>
    <row r="4557" ht="15.75" customHeight="1">
      <c r="A4557" s="1" t="str">
        <f>IFERROR(__xludf.DUMMYFUNCTION("""COMPUTED_VALUE"""),"RJ Sumter")</f>
        <v>RJ Sumter</v>
      </c>
      <c r="B4557" s="1" t="str">
        <f>IFERROR(__xludf.DUMMYFUNCTION("""COMPUTED_VALUE"""),"HS")</f>
        <v>HS</v>
      </c>
    </row>
    <row r="4558" ht="15.75" customHeight="1">
      <c r="A4558" s="1" t="str">
        <f>IFERROR(__xludf.DUMMYFUNCTION("""COMPUTED_VALUE"""),"Mila Walsh")</f>
        <v>Mila Walsh</v>
      </c>
      <c r="B4558" s="1" t="str">
        <f>IFERROR(__xludf.DUMMYFUNCTION("""COMPUTED_VALUE"""),"L1")</f>
        <v>L1</v>
      </c>
    </row>
    <row r="4559" ht="15.75" customHeight="1">
      <c r="A4559" s="1" t="str">
        <f>IFERROR(__xludf.DUMMYFUNCTION("""COMPUTED_VALUE"""),"Isabella Tutti")</f>
        <v>Isabella Tutti</v>
      </c>
      <c r="B4559" s="1" t="str">
        <f>IFERROR(__xludf.DUMMYFUNCTION("""COMPUTED_VALUE"""),"LL")</f>
        <v>LL</v>
      </c>
    </row>
    <row r="4560" ht="15.75" customHeight="1">
      <c r="A4560" s="1" t="str">
        <f>IFERROR(__xludf.DUMMYFUNCTION("""COMPUTED_VALUE"""),"Jackson Kalas")</f>
        <v>Jackson Kalas</v>
      </c>
      <c r="B4560" s="1" t="str">
        <f>IFERROR(__xludf.DUMMYFUNCTION("""COMPUTED_VALUE"""),"LL")</f>
        <v>LL</v>
      </c>
    </row>
    <row r="4561" ht="15.75" customHeight="1">
      <c r="A4561" s="1" t="str">
        <f>IFERROR(__xludf.DUMMYFUNCTION("""COMPUTED_VALUE"""),"Dylan Schajris")</f>
        <v>Dylan Schajris</v>
      </c>
      <c r="B4561" s="1" t="str">
        <f>IFERROR(__xludf.DUMMYFUNCTION("""COMPUTED_VALUE"""),"L1")</f>
        <v>L1</v>
      </c>
    </row>
    <row r="4562" ht="15.75" customHeight="1">
      <c r="A4562" s="1" t="str">
        <f>IFERROR(__xludf.DUMMYFUNCTION("""COMPUTED_VALUE"""),"Emma Schajris")</f>
        <v>Emma Schajris</v>
      </c>
      <c r="B4562" s="1" t="str">
        <f>IFERROR(__xludf.DUMMYFUNCTION("""COMPUTED_VALUE"""),"MS")</f>
        <v>MS</v>
      </c>
    </row>
    <row r="4563" ht="15.75" customHeight="1">
      <c r="A4563" s="1" t="str">
        <f>IFERROR(__xludf.DUMMYFUNCTION("""COMPUTED_VALUE"""),"Hazel Neu")</f>
        <v>Hazel Neu</v>
      </c>
      <c r="B4563" s="1" t="str">
        <f>IFERROR(__xludf.DUMMYFUNCTION("""COMPUTED_VALUE"""),"MS")</f>
        <v>MS</v>
      </c>
    </row>
    <row r="4564" ht="15.75" customHeight="1">
      <c r="A4564" s="1" t="str">
        <f>IFERROR(__xludf.DUMMYFUNCTION("""COMPUTED_VALUE"""),"Tully Thomas")</f>
        <v>Tully Thomas</v>
      </c>
      <c r="B4564" s="1" t="str">
        <f>IFERROR(__xludf.DUMMYFUNCTION("""COMPUTED_VALUE"""),"LL")</f>
        <v>LL</v>
      </c>
    </row>
    <row r="4565" ht="15.75" customHeight="1">
      <c r="A4565" s="1" t="str">
        <f>IFERROR(__xludf.DUMMYFUNCTION("""COMPUTED_VALUE"""),"Tiger Adams")</f>
        <v>Tiger Adams</v>
      </c>
      <c r="B4565" s="1" t="str">
        <f>IFERROR(__xludf.DUMMYFUNCTION("""COMPUTED_VALUE"""),"MS")</f>
        <v>MS</v>
      </c>
    </row>
    <row r="4566" ht="15.75" customHeight="1">
      <c r="A4566" s="1" t="str">
        <f>IFERROR(__xludf.DUMMYFUNCTION("""COMPUTED_VALUE"""),"Arrow Adams")</f>
        <v>Arrow Adams</v>
      </c>
      <c r="B4566" s="1" t="str">
        <f>IFERROR(__xludf.DUMMYFUNCTION("""COMPUTED_VALUE"""),"L2")</f>
        <v>L2</v>
      </c>
    </row>
    <row r="4567" ht="15.75" customHeight="1">
      <c r="A4567" s="1" t="str">
        <f>IFERROR(__xludf.DUMMYFUNCTION("""COMPUTED_VALUE"""),"Azelle Adams")</f>
        <v>Azelle Adams</v>
      </c>
      <c r="B4567" s="1" t="str">
        <f>IFERROR(__xludf.DUMMYFUNCTION("""COMPUTED_VALUE"""),"L1")</f>
        <v>L1</v>
      </c>
    </row>
    <row r="4568" ht="15.75" customHeight="1">
      <c r="A4568" s="1" t="str">
        <f>IFERROR(__xludf.DUMMYFUNCTION("""COMPUTED_VALUE"""),"Gretel Haig")</f>
        <v>Gretel Haig</v>
      </c>
      <c r="B4568" s="1" t="str">
        <f>IFERROR(__xludf.DUMMYFUNCTION("""COMPUTED_VALUE"""),"L1")</f>
        <v>L1</v>
      </c>
    </row>
    <row r="4569" ht="15.75" customHeight="1">
      <c r="A4569" s="1" t="str">
        <f>IFERROR(__xludf.DUMMYFUNCTION("""COMPUTED_VALUE"""),"Bowen Thomson")</f>
        <v>Bowen Thomson</v>
      </c>
      <c r="B4569" s="1" t="str">
        <f>IFERROR(__xludf.DUMMYFUNCTION("""COMPUTED_VALUE"""),"L2")</f>
        <v>L2</v>
      </c>
    </row>
    <row r="4570" ht="15.75" customHeight="1">
      <c r="A4570" s="1" t="str">
        <f>IFERROR(__xludf.DUMMYFUNCTION("""COMPUTED_VALUE"""),"Rio Kneebone")</f>
        <v>Rio Kneebone</v>
      </c>
      <c r="B4570" s="1" t="str">
        <f>IFERROR(__xludf.DUMMYFUNCTION("""COMPUTED_VALUE"""),"LL")</f>
        <v>LL</v>
      </c>
    </row>
    <row r="4571" ht="15.75" customHeight="1">
      <c r="A4571" s="1" t="str">
        <f>IFERROR(__xludf.DUMMYFUNCTION("""COMPUTED_VALUE"""),"Theo Hollister")</f>
        <v>Theo Hollister</v>
      </c>
      <c r="B4571" s="1" t="str">
        <f>IFERROR(__xludf.DUMMYFUNCTION("""COMPUTED_VALUE"""),"L2")</f>
        <v>L2</v>
      </c>
    </row>
    <row r="4572" ht="15.75" customHeight="1">
      <c r="A4572" s="1" t="str">
        <f>IFERROR(__xludf.DUMMYFUNCTION("""COMPUTED_VALUE"""),"Roman Penna")</f>
        <v>Roman Penna</v>
      </c>
      <c r="B4572" s="1" t="str">
        <f>IFERROR(__xludf.DUMMYFUNCTION("""COMPUTED_VALUE"""),"WL")</f>
        <v>WL</v>
      </c>
    </row>
    <row r="4573" ht="15.75" customHeight="1">
      <c r="A4573" s="1" t="str">
        <f>IFERROR(__xludf.DUMMYFUNCTION("""COMPUTED_VALUE"""),"Rhys Robertson")</f>
        <v>Rhys Robertson</v>
      </c>
      <c r="B4573" s="1" t="str">
        <f>IFERROR(__xludf.DUMMYFUNCTION("""COMPUTED_VALUE"""),"MS")</f>
        <v>MS</v>
      </c>
    </row>
    <row r="4574" ht="15.75" customHeight="1">
      <c r="A4574" s="1" t="str">
        <f>IFERROR(__xludf.DUMMYFUNCTION("""COMPUTED_VALUE"""),"Theo Jenkins")</f>
        <v>Theo Jenkins</v>
      </c>
      <c r="B4574" s="1" t="str">
        <f>IFERROR(__xludf.DUMMYFUNCTION("""COMPUTED_VALUE"""),"MS")</f>
        <v>MS</v>
      </c>
    </row>
    <row r="4575" ht="15.75" customHeight="1">
      <c r="A4575" s="1" t="str">
        <f>IFERROR(__xludf.DUMMYFUNCTION("""COMPUTED_VALUE"""),"GrantBell Bell")</f>
        <v>GrantBell Bell</v>
      </c>
      <c r="B4575" s="1" t="str">
        <f>IFERROR(__xludf.DUMMYFUNCTION("""COMPUTED_VALUE"""),"MS")</f>
        <v>MS</v>
      </c>
    </row>
    <row r="4576" ht="15.75" customHeight="1">
      <c r="A4576" s="1" t="str">
        <f>IFERROR(__xludf.DUMMYFUNCTION("""COMPUTED_VALUE"""),"Gabi Gamperl")</f>
        <v>Gabi Gamperl</v>
      </c>
      <c r="B4576" s="1" t="str">
        <f>IFERROR(__xludf.DUMMYFUNCTION("""COMPUTED_VALUE"""),"MS")</f>
        <v>MS</v>
      </c>
    </row>
    <row r="4577" ht="15.75" customHeight="1">
      <c r="A4577" s="1" t="str">
        <f>IFERROR(__xludf.DUMMYFUNCTION("""COMPUTED_VALUE"""),"Donny Warm")</f>
        <v>Donny Warm</v>
      </c>
      <c r="B4577" s="1" t="str">
        <f>IFERROR(__xludf.DUMMYFUNCTION("""COMPUTED_VALUE"""),"MS")</f>
        <v>MS</v>
      </c>
    </row>
    <row r="4578" ht="15.75" customHeight="1">
      <c r="A4578" s="1" t="str">
        <f>IFERROR(__xludf.DUMMYFUNCTION("""COMPUTED_VALUE"""),"Mila Murray")</f>
        <v>Mila Murray</v>
      </c>
      <c r="B4578" s="1" t="str">
        <f>IFERROR(__xludf.DUMMYFUNCTION("""COMPUTED_VALUE"""),"MS")</f>
        <v>MS</v>
      </c>
    </row>
    <row r="4579" ht="15.75" customHeight="1">
      <c r="A4579" s="1" t="str">
        <f>IFERROR(__xludf.DUMMYFUNCTION("""COMPUTED_VALUE"""),"Aidan Chase")</f>
        <v>Aidan Chase</v>
      </c>
      <c r="B4579" s="1" t="str">
        <f>IFERROR(__xludf.DUMMYFUNCTION("""COMPUTED_VALUE"""),"MS")</f>
        <v>MS</v>
      </c>
    </row>
    <row r="4580" ht="15.75" customHeight="1">
      <c r="A4580" s="1" t="str">
        <f>IFERROR(__xludf.DUMMYFUNCTION("""COMPUTED_VALUE"""),"Greyson Robert Boyle")</f>
        <v>Greyson Robert Boyle</v>
      </c>
      <c r="B4580" s="1" t="str">
        <f>IFERROR(__xludf.DUMMYFUNCTION("""COMPUTED_VALUE"""),"MS")</f>
        <v>MS</v>
      </c>
    </row>
    <row r="4581" ht="15.75" customHeight="1">
      <c r="A4581" s="1" t="str">
        <f>IFERROR(__xludf.DUMMYFUNCTION("""COMPUTED_VALUE"""),"Liam Moore")</f>
        <v>Liam Moore</v>
      </c>
      <c r="B4581" s="1" t="str">
        <f>IFERROR(__xludf.DUMMYFUNCTION("""COMPUTED_VALUE"""),"HS")</f>
        <v>HS</v>
      </c>
    </row>
    <row r="4582" ht="15.75" customHeight="1">
      <c r="A4582" s="1" t="str">
        <f>IFERROR(__xludf.DUMMYFUNCTION("""COMPUTED_VALUE"""),"Colton Bellamy")</f>
        <v>Colton Bellamy</v>
      </c>
      <c r="B4582" s="1" t="str">
        <f>IFERROR(__xludf.DUMMYFUNCTION("""COMPUTED_VALUE"""),"MS")</f>
        <v>MS</v>
      </c>
    </row>
    <row r="4583" ht="15.75" customHeight="1">
      <c r="A4583" s="1" t="str">
        <f>IFERROR(__xludf.DUMMYFUNCTION("""COMPUTED_VALUE"""),"Mason Harn")</f>
        <v>Mason Harn</v>
      </c>
      <c r="B4583" s="1" t="str">
        <f>IFERROR(__xludf.DUMMYFUNCTION("""COMPUTED_VALUE"""),"MS")</f>
        <v>MS</v>
      </c>
    </row>
    <row r="4584" ht="15.75" customHeight="1">
      <c r="A4584" s="1" t="str">
        <f>IFERROR(__xludf.DUMMYFUNCTION("""COMPUTED_VALUE"""),"Theodore Holland")</f>
        <v>Theodore Holland</v>
      </c>
      <c r="B4584" s="1" t="str">
        <f>IFERROR(__xludf.DUMMYFUNCTION("""COMPUTED_VALUE"""),"LL")</f>
        <v>LL</v>
      </c>
    </row>
    <row r="4585" ht="15.75" customHeight="1">
      <c r="A4585" s="1" t="str">
        <f>IFERROR(__xludf.DUMMYFUNCTION("""COMPUTED_VALUE"""),"Nasseri Kasra")</f>
        <v>Nasseri Kasra</v>
      </c>
      <c r="B4585" s="1" t="str">
        <f>IFERROR(__xludf.DUMMYFUNCTION("""COMPUTED_VALUE"""),"L1")</f>
        <v>L1</v>
      </c>
    </row>
    <row r="4586" ht="15.75" customHeight="1">
      <c r="A4586" s="1" t="str">
        <f>IFERROR(__xludf.DUMMYFUNCTION("""COMPUTED_VALUE"""),"Madison Harn")</f>
        <v>Madison Harn</v>
      </c>
      <c r="B4586" s="1" t="str">
        <f>IFERROR(__xludf.DUMMYFUNCTION("""COMPUTED_VALUE"""),"L1")</f>
        <v>L1</v>
      </c>
    </row>
    <row r="4587" ht="15.75" customHeight="1">
      <c r="A4587" s="1" t="str">
        <f>IFERROR(__xludf.DUMMYFUNCTION("""COMPUTED_VALUE"""),"Rowan Brewster")</f>
        <v>Rowan Brewster</v>
      </c>
      <c r="B4587" s="1" t="str">
        <f>IFERROR(__xludf.DUMMYFUNCTION("""COMPUTED_VALUE"""),"L1")</f>
        <v>L1</v>
      </c>
    </row>
    <row r="4588" ht="15.75" customHeight="1">
      <c r="A4588" s="1" t="str">
        <f>IFERROR(__xludf.DUMMYFUNCTION("""COMPUTED_VALUE"""),"Ella Smith")</f>
        <v>Ella Smith</v>
      </c>
      <c r="B4588" s="1" t="str">
        <f>IFERROR(__xludf.DUMMYFUNCTION("""COMPUTED_VALUE"""),"L2")</f>
        <v>L2</v>
      </c>
    </row>
    <row r="4589" ht="15.75" customHeight="1">
      <c r="A4589" s="1" t="str">
        <f>IFERROR(__xludf.DUMMYFUNCTION("""COMPUTED_VALUE"""),"Asher Frano Joenck")</f>
        <v>Asher Frano Joenck</v>
      </c>
      <c r="B4589" s="1" t="str">
        <f>IFERROR(__xludf.DUMMYFUNCTION("""COMPUTED_VALUE"""),"L2")</f>
        <v>L2</v>
      </c>
    </row>
    <row r="4590" ht="15.75" customHeight="1">
      <c r="A4590" s="1" t="str">
        <f>IFERROR(__xludf.DUMMYFUNCTION("""COMPUTED_VALUE"""),"Royse Gilliland")</f>
        <v>Royse Gilliland</v>
      </c>
      <c r="B4590" s="1" t="str">
        <f>IFERROR(__xludf.DUMMYFUNCTION("""COMPUTED_VALUE"""),"L1")</f>
        <v>L1</v>
      </c>
    </row>
    <row r="4591" ht="15.75" customHeight="1">
      <c r="A4591" s="1" t="str">
        <f>IFERROR(__xludf.DUMMYFUNCTION("""COMPUTED_VALUE"""),"Maxwell Dunning")</f>
        <v>Maxwell Dunning</v>
      </c>
      <c r="B4591" s="1" t="str">
        <f>IFERROR(__xludf.DUMMYFUNCTION("""COMPUTED_VALUE"""),"MS")</f>
        <v>MS</v>
      </c>
    </row>
    <row r="4592" ht="15.75" customHeight="1">
      <c r="A4592" s="1" t="str">
        <f>IFERROR(__xludf.DUMMYFUNCTION("""COMPUTED_VALUE"""),"StudentPreK SantaBarbara")</f>
        <v>StudentPreK SantaBarbara</v>
      </c>
      <c r="B4592" s="1" t="str">
        <f>IFERROR(__xludf.DUMMYFUNCTION("""COMPUTED_VALUE"""),"WL")</f>
        <v>WL</v>
      </c>
    </row>
    <row r="4593" ht="15.75" customHeight="1">
      <c r="A4593" s="1" t="str">
        <f>IFERROR(__xludf.DUMMYFUNCTION("""COMPUTED_VALUE"""),"StudentPreKb SantaBarbara")</f>
        <v>StudentPreKb SantaBarbara</v>
      </c>
      <c r="B4593" s="1" t="str">
        <f>IFERROR(__xludf.DUMMYFUNCTION("""COMPUTED_VALUE"""),"WL")</f>
        <v>WL</v>
      </c>
    </row>
    <row r="4594" ht="15.75" customHeight="1">
      <c r="A4594" s="1" t="str">
        <f>IFERROR(__xludf.DUMMYFUNCTION("""COMPUTED_VALUE"""),"StudentK SantaBarbara")</f>
        <v>StudentK SantaBarbara</v>
      </c>
      <c r="B4594" s="1" t="str">
        <f>IFERROR(__xludf.DUMMYFUNCTION("""COMPUTED_VALUE"""),"LL")</f>
        <v>LL</v>
      </c>
    </row>
    <row r="4595" ht="15.75" customHeight="1">
      <c r="A4595" s="1" t="str">
        <f>IFERROR(__xludf.DUMMYFUNCTION("""COMPUTED_VALUE"""),"StudentKb SantaBarbara")</f>
        <v>StudentKb SantaBarbara</v>
      </c>
      <c r="B4595" s="1" t="str">
        <f>IFERROR(__xludf.DUMMYFUNCTION("""COMPUTED_VALUE"""),"LL")</f>
        <v>LL</v>
      </c>
    </row>
    <row r="4596" ht="15.75" customHeight="1">
      <c r="A4596" s="1" t="str">
        <f>IFERROR(__xludf.DUMMYFUNCTION("""COMPUTED_VALUE"""),"Student1 SantaBarbara")</f>
        <v>Student1 SantaBarbara</v>
      </c>
      <c r="B4596" s="1" t="str">
        <f>IFERROR(__xludf.DUMMYFUNCTION("""COMPUTED_VALUE"""),"LL")</f>
        <v>LL</v>
      </c>
    </row>
    <row r="4597" ht="15.75" customHeight="1">
      <c r="A4597" s="1" t="str">
        <f>IFERROR(__xludf.DUMMYFUNCTION("""COMPUTED_VALUE"""),"Student1b SantaBarbara")</f>
        <v>Student1b SantaBarbara</v>
      </c>
      <c r="B4597" s="1" t="str">
        <f>IFERROR(__xludf.DUMMYFUNCTION("""COMPUTED_VALUE"""),"LL")</f>
        <v>LL</v>
      </c>
    </row>
    <row r="4598" ht="15.75" customHeight="1">
      <c r="A4598" s="1" t="str">
        <f>IFERROR(__xludf.DUMMYFUNCTION("""COMPUTED_VALUE"""),"Student2 SantaBarbara")</f>
        <v>Student2 SantaBarbara</v>
      </c>
      <c r="B4598" s="1" t="str">
        <f>IFERROR(__xludf.DUMMYFUNCTION("""COMPUTED_VALUE"""),"L1")</f>
        <v>L1</v>
      </c>
    </row>
    <row r="4599" ht="15.75" customHeight="1">
      <c r="A4599" s="1" t="str">
        <f>IFERROR(__xludf.DUMMYFUNCTION("""COMPUTED_VALUE"""),"Student2b SantaBarbara")</f>
        <v>Student2b SantaBarbara</v>
      </c>
      <c r="B4599" s="1" t="str">
        <f>IFERROR(__xludf.DUMMYFUNCTION("""COMPUTED_VALUE"""),"L1")</f>
        <v>L1</v>
      </c>
    </row>
    <row r="4600" ht="15.75" customHeight="1">
      <c r="A4600" s="1" t="str">
        <f>IFERROR(__xludf.DUMMYFUNCTION("""COMPUTED_VALUE"""),"Student3 SantaBarbara")</f>
        <v>Student3 SantaBarbara</v>
      </c>
      <c r="B4600" s="1" t="str">
        <f>IFERROR(__xludf.DUMMYFUNCTION("""COMPUTED_VALUE"""),"L1")</f>
        <v>L1</v>
      </c>
    </row>
    <row r="4601" ht="15.75" customHeight="1">
      <c r="A4601" s="1" t="str">
        <f>IFERROR(__xludf.DUMMYFUNCTION("""COMPUTED_VALUE"""),"Student3b SantaBarbara")</f>
        <v>Student3b SantaBarbara</v>
      </c>
      <c r="B4601" s="1" t="str">
        <f>IFERROR(__xludf.DUMMYFUNCTION("""COMPUTED_VALUE"""),"L1")</f>
        <v>L1</v>
      </c>
    </row>
    <row r="4602" ht="15.75" customHeight="1">
      <c r="A4602" s="1" t="str">
        <f>IFERROR(__xludf.DUMMYFUNCTION("""COMPUTED_VALUE"""),"Student4 SantaBarbara")</f>
        <v>Student4 SantaBarbara</v>
      </c>
      <c r="B4602" s="1" t="str">
        <f>IFERROR(__xludf.DUMMYFUNCTION("""COMPUTED_VALUE"""),"L2")</f>
        <v>L2</v>
      </c>
    </row>
    <row r="4603" ht="15.75" customHeight="1">
      <c r="A4603" s="1" t="str">
        <f>IFERROR(__xludf.DUMMYFUNCTION("""COMPUTED_VALUE"""),"Student4b SantaBarbara")</f>
        <v>Student4b SantaBarbara</v>
      </c>
      <c r="B4603" s="1" t="str">
        <f>IFERROR(__xludf.DUMMYFUNCTION("""COMPUTED_VALUE"""),"L2")</f>
        <v>L2</v>
      </c>
    </row>
    <row r="4604" ht="15.75" customHeight="1">
      <c r="A4604" s="1" t="str">
        <f>IFERROR(__xludf.DUMMYFUNCTION("""COMPUTED_VALUE"""),"Student5 SantaBarbara")</f>
        <v>Student5 SantaBarbara</v>
      </c>
      <c r="B4604" s="1" t="str">
        <f>IFERROR(__xludf.DUMMYFUNCTION("""COMPUTED_VALUE"""),"L2")</f>
        <v>L2</v>
      </c>
    </row>
    <row r="4605" ht="15.75" customHeight="1">
      <c r="A4605" s="1" t="str">
        <f>IFERROR(__xludf.DUMMYFUNCTION("""COMPUTED_VALUE"""),"Student5b SantaBarbara")</f>
        <v>Student5b SantaBarbara</v>
      </c>
      <c r="B4605" s="1" t="str">
        <f>IFERROR(__xludf.DUMMYFUNCTION("""COMPUTED_VALUE"""),"L2")</f>
        <v>L2</v>
      </c>
    </row>
    <row r="4606" ht="15.75" customHeight="1">
      <c r="A4606" s="1" t="str">
        <f>IFERROR(__xludf.DUMMYFUNCTION("""COMPUTED_VALUE"""),"Student6 SantaBarbara")</f>
        <v>Student6 SantaBarbara</v>
      </c>
      <c r="B4606" s="1" t="str">
        <f>IFERROR(__xludf.DUMMYFUNCTION("""COMPUTED_VALUE"""),"MS")</f>
        <v>MS</v>
      </c>
    </row>
    <row r="4607" ht="15.75" customHeight="1">
      <c r="A4607" s="1" t="str">
        <f>IFERROR(__xludf.DUMMYFUNCTION("""COMPUTED_VALUE"""),"Student6b SantaBarbara")</f>
        <v>Student6b SantaBarbara</v>
      </c>
      <c r="B4607" s="1" t="str">
        <f>IFERROR(__xludf.DUMMYFUNCTION("""COMPUTED_VALUE"""),"MS")</f>
        <v>MS</v>
      </c>
    </row>
    <row r="4608" ht="15.75" customHeight="1">
      <c r="A4608" s="1" t="str">
        <f>IFERROR(__xludf.DUMMYFUNCTION("""COMPUTED_VALUE"""),"Student7 SantaBarbara")</f>
        <v>Student7 SantaBarbara</v>
      </c>
      <c r="B4608" s="1" t="str">
        <f>IFERROR(__xludf.DUMMYFUNCTION("""COMPUTED_VALUE"""),"MS")</f>
        <v>MS</v>
      </c>
    </row>
    <row r="4609" ht="15.75" customHeight="1">
      <c r="A4609" s="1" t="str">
        <f>IFERROR(__xludf.DUMMYFUNCTION("""COMPUTED_VALUE"""),"Student7b SantaBarbara")</f>
        <v>Student7b SantaBarbara</v>
      </c>
      <c r="B4609" s="1" t="str">
        <f>IFERROR(__xludf.DUMMYFUNCTION("""COMPUTED_VALUE"""),"MS")</f>
        <v>MS</v>
      </c>
    </row>
    <row r="4610" ht="15.75" customHeight="1">
      <c r="A4610" s="1" t="str">
        <f>IFERROR(__xludf.DUMMYFUNCTION("""COMPUTED_VALUE"""),"Student8 SantaBarbara")</f>
        <v>Student8 SantaBarbara</v>
      </c>
      <c r="B4610" s="1" t="str">
        <f>IFERROR(__xludf.DUMMYFUNCTION("""COMPUTED_VALUE"""),"MS")</f>
        <v>MS</v>
      </c>
    </row>
    <row r="4611" ht="15.75" customHeight="1">
      <c r="A4611" s="1" t="str">
        <f>IFERROR(__xludf.DUMMYFUNCTION("""COMPUTED_VALUE"""),"Student8b SantaBarbara")</f>
        <v>Student8b SantaBarbara</v>
      </c>
      <c r="B4611" s="1" t="str">
        <f>IFERROR(__xludf.DUMMYFUNCTION("""COMPUTED_VALUE"""),"MS")</f>
        <v>MS</v>
      </c>
    </row>
    <row r="4612" ht="15.75" customHeight="1">
      <c r="A4612" s="1" t="str">
        <f>IFERROR(__xludf.DUMMYFUNCTION("""COMPUTED_VALUE"""),"Max Dunning")</f>
        <v>Max Dunning</v>
      </c>
      <c r="B4612" s="1" t="str">
        <f>IFERROR(__xludf.DUMMYFUNCTION("""COMPUTED_VALUE"""),"MS")</f>
        <v>MS</v>
      </c>
    </row>
    <row r="4613" ht="15.75" customHeight="1">
      <c r="A4613" s="1" t="str">
        <f>IFERROR(__xludf.DUMMYFUNCTION("""COMPUTED_VALUE"""),"Student5c SantaBarbara")</f>
        <v>Student5c SantaBarbara</v>
      </c>
      <c r="B4613" s="1" t="str">
        <f>IFERROR(__xludf.DUMMYFUNCTION("""COMPUTED_VALUE"""),"L2")</f>
        <v>L2</v>
      </c>
    </row>
    <row r="4614" ht="15.75" customHeight="1">
      <c r="A4614" s="1" t="str">
        <f>IFERROR(__xludf.DUMMYFUNCTION("""COMPUTED_VALUE"""),"Student5d SantaBarbara")</f>
        <v>Student5d SantaBarbara</v>
      </c>
      <c r="B4614" s="1" t="str">
        <f>IFERROR(__xludf.DUMMYFUNCTION("""COMPUTED_VALUE"""),"L2")</f>
        <v>L2</v>
      </c>
    </row>
    <row r="4615" ht="15.75" customHeight="1">
      <c r="A4615" s="1" t="str">
        <f>IFERROR(__xludf.DUMMYFUNCTION("""COMPUTED_VALUE"""),"Student5e SantaBarbara")</f>
        <v>Student5e SantaBarbara</v>
      </c>
      <c r="B4615" s="1" t="str">
        <f>IFERROR(__xludf.DUMMYFUNCTION("""COMPUTED_VALUE"""),"L2")</f>
        <v>L2</v>
      </c>
    </row>
    <row r="4616" ht="15.75" customHeight="1">
      <c r="A4616" s="1" t="str">
        <f>IFERROR(__xludf.DUMMYFUNCTION("""COMPUTED_VALUE"""),"Student6c SantaBarbara")</f>
        <v>Student6c SantaBarbara</v>
      </c>
      <c r="B4616" s="1" t="str">
        <f>IFERROR(__xludf.DUMMYFUNCTION("""COMPUTED_VALUE"""),"MS")</f>
        <v>MS</v>
      </c>
    </row>
    <row r="4617" ht="15.75" customHeight="1">
      <c r="A4617" s="1" t="str">
        <f>IFERROR(__xludf.DUMMYFUNCTION("""COMPUTED_VALUE"""),"Student6d SantaBarbara")</f>
        <v>Student6d SantaBarbara</v>
      </c>
      <c r="B4617" s="1" t="str">
        <f>IFERROR(__xludf.DUMMYFUNCTION("""COMPUTED_VALUE"""),"MS")</f>
        <v>MS</v>
      </c>
    </row>
    <row r="4618" ht="15.75" customHeight="1">
      <c r="A4618" s="1" t="str">
        <f>IFERROR(__xludf.DUMMYFUNCTION("""COMPUTED_VALUE"""),"Student6e SantaBarbara")</f>
        <v>Student6e SantaBarbara</v>
      </c>
      <c r="B4618" s="1" t="str">
        <f>IFERROR(__xludf.DUMMYFUNCTION("""COMPUTED_VALUE"""),"MS")</f>
        <v>MS</v>
      </c>
    </row>
    <row r="4619" ht="15.75" customHeight="1">
      <c r="A4619" s="1" t="str">
        <f>IFERROR(__xludf.DUMMYFUNCTION("""COMPUTED_VALUE"""),"Student7c SantaBarbara")</f>
        <v>Student7c SantaBarbara</v>
      </c>
      <c r="B4619" s="1" t="str">
        <f>IFERROR(__xludf.DUMMYFUNCTION("""COMPUTED_VALUE"""),"MS")</f>
        <v>MS</v>
      </c>
    </row>
    <row r="4620" ht="15.75" customHeight="1">
      <c r="A4620" s="1" t="str">
        <f>IFERROR(__xludf.DUMMYFUNCTION("""COMPUTED_VALUE"""),"Student7d SantaBarbara")</f>
        <v>Student7d SantaBarbara</v>
      </c>
      <c r="B4620" s="1" t="str">
        <f>IFERROR(__xludf.DUMMYFUNCTION("""COMPUTED_VALUE"""),"MS")</f>
        <v>MS</v>
      </c>
    </row>
    <row r="4621" ht="15.75" customHeight="1">
      <c r="A4621" s="1" t="str">
        <f>IFERROR(__xludf.DUMMYFUNCTION("""COMPUTED_VALUE"""),"Student7e SantaBarbara")</f>
        <v>Student7e SantaBarbara</v>
      </c>
      <c r="B4621" s="1" t="str">
        <f>IFERROR(__xludf.DUMMYFUNCTION("""COMPUTED_VALUE"""),"MS")</f>
        <v>MS</v>
      </c>
    </row>
    <row r="4622" ht="15.75" customHeight="1">
      <c r="A4622" s="1" t="str">
        <f>IFERROR(__xludf.DUMMYFUNCTION("""COMPUTED_VALUE"""),"Student8c SantaBarbara")</f>
        <v>Student8c SantaBarbara</v>
      </c>
      <c r="B4622" s="1" t="str">
        <f>IFERROR(__xludf.DUMMYFUNCTION("""COMPUTED_VALUE"""),"MS")</f>
        <v>MS</v>
      </c>
    </row>
    <row r="4623" ht="15.75" customHeight="1">
      <c r="A4623" s="1" t="str">
        <f>IFERROR(__xludf.DUMMYFUNCTION("""COMPUTED_VALUE"""),"Student8d SantaBarbara")</f>
        <v>Student8d SantaBarbara</v>
      </c>
      <c r="B4623" s="1" t="str">
        <f>IFERROR(__xludf.DUMMYFUNCTION("""COMPUTED_VALUE"""),"MS")</f>
        <v>MS</v>
      </c>
    </row>
    <row r="4624" ht="15.75" customHeight="1">
      <c r="A4624" s="1" t="str">
        <f>IFERROR(__xludf.DUMMYFUNCTION("""COMPUTED_VALUE"""),"Student8e SantaBarbara")</f>
        <v>Student8e SantaBarbara</v>
      </c>
      <c r="B4624" s="1" t="str">
        <f>IFERROR(__xludf.DUMMYFUNCTION("""COMPUTED_VALUE"""),"MS")</f>
        <v>MS</v>
      </c>
    </row>
    <row r="4625" ht="15.75" customHeight="1">
      <c r="A4625" s="1" t="str">
        <f>IFERROR(__xludf.DUMMYFUNCTION("""COMPUTED_VALUE"""),"Isaac Sanchez")</f>
        <v>Isaac Sanchez</v>
      </c>
      <c r="B4625" s="1" t="str">
        <f>IFERROR(__xludf.DUMMYFUNCTION("""COMPUTED_VALUE"""),"MS")</f>
        <v>MS</v>
      </c>
    </row>
    <row r="4626" ht="15.75" customHeight="1">
      <c r="A4626" s="1" t="str">
        <f>IFERROR(__xludf.DUMMYFUNCTION("""COMPUTED_VALUE"""),"Lydia Genuardi")</f>
        <v>Lydia Genuardi</v>
      </c>
      <c r="B4626" s="1" t="str">
        <f>IFERROR(__xludf.DUMMYFUNCTION("""COMPUTED_VALUE"""),"L2")</f>
        <v>L2</v>
      </c>
    </row>
    <row r="4627" ht="15.75" customHeight="1">
      <c r="A4627" s="1" t="str">
        <f>IFERROR(__xludf.DUMMYFUNCTION("""COMPUTED_VALUE"""),"Olivia Warner")</f>
        <v>Olivia Warner</v>
      </c>
      <c r="B4627" s="1" t="str">
        <f>IFERROR(__xludf.DUMMYFUNCTION("""COMPUTED_VALUE"""),"L1")</f>
        <v>L1</v>
      </c>
    </row>
    <row r="4628" ht="15.75" customHeight="1">
      <c r="A4628" s="1" t="str">
        <f>IFERROR(__xludf.DUMMYFUNCTION("""COMPUTED_VALUE"""),"Siena Phillips")</f>
        <v>Siena Phillips</v>
      </c>
      <c r="B4628" s="1" t="str">
        <f>IFERROR(__xludf.DUMMYFUNCTION("""COMPUTED_VALUE"""),"MS")</f>
        <v>MS</v>
      </c>
    </row>
    <row r="4629" ht="15.75" customHeight="1">
      <c r="A4629" s="1" t="str">
        <f>IFERROR(__xludf.DUMMYFUNCTION("""COMPUTED_VALUE"""),"Angus Duncan")</f>
        <v>Angus Duncan</v>
      </c>
      <c r="B4629" s="1" t="str">
        <f>IFERROR(__xludf.DUMMYFUNCTION("""COMPUTED_VALUE"""),"MS")</f>
        <v>MS</v>
      </c>
    </row>
    <row r="4630" ht="15.75" customHeight="1">
      <c r="A4630" s="1" t="str">
        <f>IFERROR(__xludf.DUMMYFUNCTION("""COMPUTED_VALUE"""),"Royse Ann Gilliland")</f>
        <v>Royse Ann Gilliland</v>
      </c>
      <c r="B4630" s="1" t="str">
        <f>IFERROR(__xludf.DUMMYFUNCTION("""COMPUTED_VALUE"""),"LL")</f>
        <v>LL</v>
      </c>
    </row>
    <row r="4631" ht="15.75" customHeight="1">
      <c r="A4631" s="1" t="str">
        <f>IFERROR(__xludf.DUMMYFUNCTION("""COMPUTED_VALUE"""),"Gus Haig")</f>
        <v>Gus Haig</v>
      </c>
      <c r="B4631" s="1" t="str">
        <f>IFERROR(__xludf.DUMMYFUNCTION("""COMPUTED_VALUE"""),"L2")</f>
        <v>L2</v>
      </c>
    </row>
    <row r="4632" ht="15.75" customHeight="1">
      <c r="A4632" s="1" t="str">
        <f>IFERROR(__xludf.DUMMYFUNCTION("""COMPUTED_VALUE"""),"Oz Munoz")</f>
        <v>Oz Munoz</v>
      </c>
      <c r="B4632" s="1" t="str">
        <f>IFERROR(__xludf.DUMMYFUNCTION("""COMPUTED_VALUE"""),"L1")</f>
        <v>L1</v>
      </c>
    </row>
    <row r="4633" ht="15.75" customHeight="1">
      <c r="A4633" s="1" t="str">
        <f>IFERROR(__xludf.DUMMYFUNCTION("""COMPUTED_VALUE"""),"Avery Smith")</f>
        <v>Avery Smith</v>
      </c>
      <c r="B4633" s="1" t="str">
        <f>IFERROR(__xludf.DUMMYFUNCTION("""COMPUTED_VALUE"""),"LL")</f>
        <v>LL</v>
      </c>
    </row>
    <row r="4634" ht="15.75" customHeight="1">
      <c r="A4634" s="1" t="str">
        <f>IFERROR(__xludf.DUMMYFUNCTION("""COMPUTED_VALUE"""),"Oz Bernhard")</f>
        <v>Oz Bernhard</v>
      </c>
      <c r="B4634" s="1" t="str">
        <f>IFERROR(__xludf.DUMMYFUNCTION("""COMPUTED_VALUE"""),"L1")</f>
        <v>L1</v>
      </c>
    </row>
    <row r="4635" ht="15.75" customHeight="1">
      <c r="A4635" s="1" t="str">
        <f>IFERROR(__xludf.DUMMYFUNCTION("""COMPUTED_VALUE"""),"James Rameson")</f>
        <v>James Rameson</v>
      </c>
      <c r="B4635" s="1" t="str">
        <f>IFERROR(__xludf.DUMMYFUNCTION("""COMPUTED_VALUE"""),"MS")</f>
        <v>MS</v>
      </c>
    </row>
    <row r="4636" ht="15.75" customHeight="1">
      <c r="A4636" s="1" t="str">
        <f>IFERROR(__xludf.DUMMYFUNCTION("""COMPUTED_VALUE"""),"Yashar IPL Student 1 _test_")</f>
        <v>Yashar IPL Student 1 _test_</v>
      </c>
      <c r="B4636" s="1" t="str">
        <f>IFERROR(__xludf.DUMMYFUNCTION("""COMPUTED_VALUE"""),"LL")</f>
        <v>LL</v>
      </c>
    </row>
    <row r="4637" ht="15.75" customHeight="1">
      <c r="A4637" s="1" t="str">
        <f>IFERROR(__xludf.DUMMYFUNCTION("""COMPUTED_VALUE"""),"Sam Hamid")</f>
        <v>Sam Hamid</v>
      </c>
      <c r="B4637" s="1" t="str">
        <f>IFERROR(__xludf.DUMMYFUNCTION("""COMPUTED_VALUE"""),"WL")</f>
        <v>WL</v>
      </c>
    </row>
    <row r="4638" ht="15.75" customHeight="1">
      <c r="A4638" s="1" t="str">
        <f>IFERROR(__xludf.DUMMYFUNCTION("""COMPUTED_VALUE"""),"Jeremy Verellen")</f>
        <v>Jeremy Verellen</v>
      </c>
      <c r="B4638" s="1" t="str">
        <f>IFERROR(__xludf.DUMMYFUNCTION("""COMPUTED_VALUE"""),"MS")</f>
        <v>MS</v>
      </c>
    </row>
    <row r="4639" ht="15.75" customHeight="1">
      <c r="A4639" s="1" t="str">
        <f>IFERROR(__xludf.DUMMYFUNCTION("""COMPUTED_VALUE"""),"Matteo Verellen")</f>
        <v>Matteo Verellen</v>
      </c>
      <c r="B4639" s="1" t="str">
        <f>IFERROR(__xludf.DUMMYFUNCTION("""COMPUTED_VALUE"""),"L1")</f>
        <v>L1</v>
      </c>
    </row>
    <row r="4640" ht="15.75" customHeight="1">
      <c r="A4640" s="1" t="str">
        <f>IFERROR(__xludf.DUMMYFUNCTION("""COMPUTED_VALUE"""),"Eber N Bayona")</f>
        <v>Eber N Bayona</v>
      </c>
      <c r="B4640" s="1" t="str">
        <f>IFERROR(__xludf.DUMMYFUNCTION("""COMPUTED_VALUE"""),"L1")</f>
        <v>L1</v>
      </c>
    </row>
    <row r="4641" ht="15.75" customHeight="1">
      <c r="A4641" s="1" t="str">
        <f>IFERROR(__xludf.DUMMYFUNCTION("""COMPUTED_VALUE"""),"Wilder Windish")</f>
        <v>Wilder Windish</v>
      </c>
      <c r="B4641" s="1" t="str">
        <f>IFERROR(__xludf.DUMMYFUNCTION("""COMPUTED_VALUE"""),"LL")</f>
        <v>LL</v>
      </c>
    </row>
    <row r="4642" ht="15.75" customHeight="1">
      <c r="A4642" s="1" t="str">
        <f>IFERROR(__xludf.DUMMYFUNCTION("""COMPUTED_VALUE"""),"Gianna Grewal")</f>
        <v>Gianna Grewal</v>
      </c>
      <c r="B4642" s="1" t="str">
        <f>IFERROR(__xludf.DUMMYFUNCTION("""COMPUTED_VALUE"""),"WL")</f>
        <v>WL</v>
      </c>
    </row>
    <row r="4643" ht="15.75" customHeight="1">
      <c r="A4643" s="1" t="str">
        <f>IFERROR(__xludf.DUMMYFUNCTION("""COMPUTED_VALUE"""),"Serafina Casignia")</f>
        <v>Serafina Casignia</v>
      </c>
      <c r="B4643" s="1" t="str">
        <f>IFERROR(__xludf.DUMMYFUNCTION("""COMPUTED_VALUE"""),"MS")</f>
        <v>MS</v>
      </c>
    </row>
    <row r="4644" ht="15.75" customHeight="1">
      <c r="A4644" s="1" t="str">
        <f>IFERROR(__xludf.DUMMYFUNCTION("""COMPUTED_VALUE"""),"Charlotte Jenkins")</f>
        <v>Charlotte Jenkins</v>
      </c>
      <c r="B4644" s="1" t="str">
        <f>IFERROR(__xludf.DUMMYFUNCTION("""COMPUTED_VALUE"""),"L1")</f>
        <v>L1</v>
      </c>
    </row>
    <row r="4645" ht="15.75" customHeight="1">
      <c r="A4645" s="1" t="str">
        <f>IFERROR(__xludf.DUMMYFUNCTION("""COMPUTED_VALUE"""),"Simona Warm")</f>
        <v>Simona Warm</v>
      </c>
      <c r="B4645" s="1" t="str">
        <f>IFERROR(__xludf.DUMMYFUNCTION("""COMPUTED_VALUE"""),"L1")</f>
        <v>L1</v>
      </c>
    </row>
    <row r="4646" ht="15.75" customHeight="1">
      <c r="A4646" s="1" t="str">
        <f>IFERROR(__xludf.DUMMYFUNCTION("""COMPUTED_VALUE"""),"Jonah Penna")</f>
        <v>Jonah Penna</v>
      </c>
      <c r="B4646" s="1" t="str">
        <f>IFERROR(__xludf.DUMMYFUNCTION("""COMPUTED_VALUE"""),"L2")</f>
        <v>L2</v>
      </c>
    </row>
    <row r="4647" ht="15.75" customHeight="1">
      <c r="A4647" s="1" t="str">
        <f>IFERROR(__xludf.DUMMYFUNCTION("""COMPUTED_VALUE"""),"Austin Eiler")</f>
        <v>Austin Eiler</v>
      </c>
      <c r="B4647" s="1" t="str">
        <f>IFERROR(__xludf.DUMMYFUNCTION("""COMPUTED_VALUE"""),"MS")</f>
        <v>MS</v>
      </c>
    </row>
    <row r="4648" ht="15.75" customHeight="1">
      <c r="A4648" s="1" t="str">
        <f>IFERROR(__xludf.DUMMYFUNCTION("""COMPUTED_VALUE"""),"Violet Reckley")</f>
        <v>Violet Reckley</v>
      </c>
      <c r="B4648" s="1" t="str">
        <f>IFERROR(__xludf.DUMMYFUNCTION("""COMPUTED_VALUE"""),"MS")</f>
        <v>MS</v>
      </c>
    </row>
    <row r="4649" ht="15.75" customHeight="1">
      <c r="A4649" s="1" t="str">
        <f>IFERROR(__xludf.DUMMYFUNCTION("""COMPUTED_VALUE"""),"Dominic Pires")</f>
        <v>Dominic Pires</v>
      </c>
      <c r="B4649" s="1" t="str">
        <f>IFERROR(__xludf.DUMMYFUNCTION("""COMPUTED_VALUE"""),"L2")</f>
        <v>L2</v>
      </c>
    </row>
    <row r="4650" ht="15.75" customHeight="1">
      <c r="A4650" s="1" t="str">
        <f>IFERROR(__xludf.DUMMYFUNCTION("""COMPUTED_VALUE"""),"Bronson Melnick")</f>
        <v>Bronson Melnick</v>
      </c>
      <c r="B4650" s="1" t="str">
        <f>IFERROR(__xludf.DUMMYFUNCTION("""COMPUTED_VALUE"""),"WL")</f>
        <v>WL</v>
      </c>
    </row>
    <row r="4651" ht="15.75" customHeight="1">
      <c r="A4651" s="1" t="str">
        <f>IFERROR(__xludf.DUMMYFUNCTION("""COMPUTED_VALUE"""),"Jackson Sternberg")</f>
        <v>Jackson Sternberg</v>
      </c>
      <c r="B4651" s="1" t="str">
        <f>IFERROR(__xludf.DUMMYFUNCTION("""COMPUTED_VALUE"""),"MS")</f>
        <v>MS</v>
      </c>
    </row>
    <row r="4652" ht="15.75" customHeight="1">
      <c r="A4652" s="1" t="str">
        <f>IFERROR(__xludf.DUMMYFUNCTION("""COMPUTED_VALUE"""),"Liam Sternberg")</f>
        <v>Liam Sternberg</v>
      </c>
      <c r="B4652" s="1" t="str">
        <f>IFERROR(__xludf.DUMMYFUNCTION("""COMPUTED_VALUE"""),"L2")</f>
        <v>L2</v>
      </c>
    </row>
    <row r="4653" ht="15.75" customHeight="1">
      <c r="A4653" s="1" t="str">
        <f>IFERROR(__xludf.DUMMYFUNCTION("""COMPUTED_VALUE"""),"Dmitry _test_SantaBarbara")</f>
        <v>Dmitry _test_SantaBarbara</v>
      </c>
      <c r="B4653" s="1" t="str">
        <f>IFERROR(__xludf.DUMMYFUNCTION("""COMPUTED_VALUE"""),"L1")</f>
        <v>L1</v>
      </c>
    </row>
    <row r="4654" ht="15.75" customHeight="1">
      <c r="A4654" s="1" t="str">
        <f>IFERROR(__xludf.DUMMYFUNCTION("""COMPUTED_VALUE"""),"Nico Choe")</f>
        <v>Nico Choe</v>
      </c>
      <c r="B4654" s="1" t="str">
        <f>IFERROR(__xludf.DUMMYFUNCTION("""COMPUTED_VALUE"""),"MS")</f>
        <v>MS</v>
      </c>
    </row>
    <row r="4655" ht="15.75" customHeight="1">
      <c r="A4655" s="1" t="str">
        <f>IFERROR(__xludf.DUMMYFUNCTION("""COMPUTED_VALUE"""),"Naomi Choe")</f>
        <v>Naomi Choe</v>
      </c>
      <c r="B4655" s="1" t="str">
        <f>IFERROR(__xludf.DUMMYFUNCTION("""COMPUTED_VALUE"""),"L2")</f>
        <v>L2</v>
      </c>
    </row>
    <row r="4656" ht="15.75" customHeight="1">
      <c r="A4656" s="1" t="str">
        <f>IFERROR(__xludf.DUMMYFUNCTION("""COMPUTED_VALUE"""),"Niam Choe")</f>
        <v>Niam Choe</v>
      </c>
      <c r="B4656" s="1" t="str">
        <f>IFERROR(__xludf.DUMMYFUNCTION("""COMPUTED_VALUE"""),"L2")</f>
        <v>L2</v>
      </c>
    </row>
    <row r="4657" ht="15.75" customHeight="1">
      <c r="A4657" s="1" t="str">
        <f>IFERROR(__xludf.DUMMYFUNCTION("""COMPUTED_VALUE"""),"Test Account7")</f>
        <v>Test Account7</v>
      </c>
      <c r="B4657" s="1" t="str">
        <f>IFERROR(__xludf.DUMMYFUNCTION("""COMPUTED_VALUE"""),"MS")</f>
        <v>MS</v>
      </c>
    </row>
    <row r="4658" ht="15.75" customHeight="1">
      <c r="A4658" s="1" t="str">
        <f>IFERROR(__xludf.DUMMYFUNCTION("""COMPUTED_VALUE"""),"Nextgen Student1")</f>
        <v>Nextgen Student1</v>
      </c>
      <c r="B4658" s="1" t="str">
        <f>IFERROR(__xludf.DUMMYFUNCTION("""COMPUTED_VALUE"""),"MS")</f>
        <v>MS</v>
      </c>
    </row>
    <row r="4659" ht="15.75" customHeight="1">
      <c r="A4659" s="1" t="str">
        <f>IFERROR(__xludf.DUMMYFUNCTION("""COMPUTED_VALUE"""),"Beau Sydes - Test")</f>
        <v>Beau Sydes - Test</v>
      </c>
      <c r="B4659" s="1" t="str">
        <f>IFERROR(__xludf.DUMMYFUNCTION("""COMPUTED_VALUE"""),"MS")</f>
        <v>MS</v>
      </c>
    </row>
    <row r="4660" ht="15.75" customHeight="1">
      <c r="A4660" s="1" t="str">
        <f>IFERROR(__xludf.DUMMYFUNCTION("""COMPUTED_VALUE"""),"Henry Schwab")</f>
        <v>Henry Schwab</v>
      </c>
      <c r="B4660" s="1" t="str">
        <f>IFERROR(__xludf.DUMMYFUNCTION("""COMPUTED_VALUE"""),"L2")</f>
        <v>L2</v>
      </c>
    </row>
    <row r="4661" ht="15.75" customHeight="1">
      <c r="A4661" s="1" t="str">
        <f>IFERROR(__xludf.DUMMYFUNCTION("""COMPUTED_VALUE"""),"Ayla Enayat")</f>
        <v>Ayla Enayat</v>
      </c>
      <c r="B4661" s="1" t="str">
        <f>IFERROR(__xludf.DUMMYFUNCTION("""COMPUTED_VALUE"""),"L2")</f>
        <v>L2</v>
      </c>
    </row>
    <row r="4662" ht="15.75" customHeight="1">
      <c r="A4662" s="1" t="str">
        <f>IFERROR(__xludf.DUMMYFUNCTION("""COMPUTED_VALUE"""),"Casper Enayat")</f>
        <v>Casper Enayat</v>
      </c>
      <c r="B4662" s="1" t="str">
        <f>IFERROR(__xludf.DUMMYFUNCTION("""COMPUTED_VALUE"""),"L2")</f>
        <v>L2</v>
      </c>
    </row>
    <row r="4663" ht="15.75" customHeight="1">
      <c r="A4663" s="1" t="str">
        <f>IFERROR(__xludf.DUMMYFUNCTION("""COMPUTED_VALUE"""),"Ava Waghwani")</f>
        <v>Ava Waghwani</v>
      </c>
      <c r="B4663" s="1" t="str">
        <f>IFERROR(__xludf.DUMMYFUNCTION("""COMPUTED_VALUE"""),"L1")</f>
        <v>L1</v>
      </c>
    </row>
    <row r="4664" ht="15.75" customHeight="1">
      <c r="A4664" s="1" t="str">
        <f>IFERROR(__xludf.DUMMYFUNCTION("""COMPUTED_VALUE"""),"Sloane Makavy")</f>
        <v>Sloane Makavy</v>
      </c>
      <c r="B4664" s="1" t="str">
        <f>IFERROR(__xludf.DUMMYFUNCTION("""COMPUTED_VALUE"""),"L1")</f>
        <v>L1</v>
      </c>
    </row>
    <row r="4665" ht="15.75" customHeight="1">
      <c r="A4665" s="1" t="str">
        <f>IFERROR(__xludf.DUMMYFUNCTION("""COMPUTED_VALUE"""),"Felix Voss")</f>
        <v>Felix Voss</v>
      </c>
      <c r="B4665" s="1" t="str">
        <f>IFERROR(__xludf.DUMMYFUNCTION("""COMPUTED_VALUE"""),"L1")</f>
        <v>L1</v>
      </c>
    </row>
    <row r="4666" ht="15.75" customHeight="1">
      <c r="A4666" s="1" t="str">
        <f>IFERROR(__xludf.DUMMYFUNCTION("""COMPUTED_VALUE"""),"Arjun Waghwani")</f>
        <v>Arjun Waghwani</v>
      </c>
      <c r="B4666" s="1" t="str">
        <f>IFERROR(__xludf.DUMMYFUNCTION("""COMPUTED_VALUE"""),"LL")</f>
        <v>LL</v>
      </c>
    </row>
    <row r="4667" ht="15.75" customHeight="1">
      <c r="A4667" s="1" t="str">
        <f>IFERROR(__xludf.DUMMYFUNCTION("""COMPUTED_VALUE"""),"Oliver Cook")</f>
        <v>Oliver Cook</v>
      </c>
      <c r="B4667" s="1" t="str">
        <f>IFERROR(__xludf.DUMMYFUNCTION("""COMPUTED_VALUE"""),"WL")</f>
        <v>WL</v>
      </c>
    </row>
    <row r="4668" ht="15.75" customHeight="1">
      <c r="A4668" s="1" t="str">
        <f>IFERROR(__xludf.DUMMYFUNCTION("""COMPUTED_VALUE"""),"Tatum Bischoff")</f>
        <v>Tatum Bischoff</v>
      </c>
      <c r="B4668" s="1" t="str">
        <f>IFERROR(__xludf.DUMMYFUNCTION("""COMPUTED_VALUE"""),"WL")</f>
        <v>WL</v>
      </c>
    </row>
    <row r="4669" ht="15.75" customHeight="1">
      <c r="A4669" s="1" t="str">
        <f>IFERROR(__xludf.DUMMYFUNCTION("""COMPUTED_VALUE"""),"Riyan Patel")</f>
        <v>Riyan Patel</v>
      </c>
      <c r="B4669" s="1" t="str">
        <f>IFERROR(__xludf.DUMMYFUNCTION("""COMPUTED_VALUE"""),"WL")</f>
        <v>WL</v>
      </c>
    </row>
    <row r="4670" ht="15.75" customHeight="1">
      <c r="A4670" s="1" t="str">
        <f>IFERROR(__xludf.DUMMYFUNCTION("""COMPUTED_VALUE"""),"Seva Huston")</f>
        <v>Seva Huston</v>
      </c>
      <c r="B4670" s="1" t="str">
        <f>IFERROR(__xludf.DUMMYFUNCTION("""COMPUTED_VALUE"""),"L1")</f>
        <v>L1</v>
      </c>
    </row>
    <row r="4671" ht="15.75" customHeight="1">
      <c r="A4671" s="1" t="str">
        <f>IFERROR(__xludf.DUMMYFUNCTION("""COMPUTED_VALUE"""),"Esfir Mamut")</f>
        <v>Esfir Mamut</v>
      </c>
      <c r="B4671" s="1" t="str">
        <f>IFERROR(__xludf.DUMMYFUNCTION("""COMPUTED_VALUE"""),"MS")</f>
        <v>MS</v>
      </c>
    </row>
    <row r="4672" ht="15.75" customHeight="1">
      <c r="A4672" s="1" t="str">
        <f>IFERROR(__xludf.DUMMYFUNCTION("""COMPUTED_VALUE"""),"Ronnie Philippa Caplan")</f>
        <v>Ronnie Philippa Caplan</v>
      </c>
      <c r="B4672" s="1" t="str">
        <f>IFERROR(__xludf.DUMMYFUNCTION("""COMPUTED_VALUE"""),"MS")</f>
        <v>MS</v>
      </c>
    </row>
    <row r="4673" ht="15.75" customHeight="1">
      <c r="A4673" s="1" t="str">
        <f>IFERROR(__xludf.DUMMYFUNCTION("""COMPUTED_VALUE"""),"Chloe Ostrander")</f>
        <v>Chloe Ostrander</v>
      </c>
      <c r="B4673" s="1" t="str">
        <f>IFERROR(__xludf.DUMMYFUNCTION("""COMPUTED_VALUE"""),"HS")</f>
        <v>HS</v>
      </c>
    </row>
    <row r="4674" ht="15.75" customHeight="1">
      <c r="A4674" s="1" t="str">
        <f>IFERROR(__xludf.DUMMYFUNCTION("""COMPUTED_VALUE"""),"Philippe De Bedout")</f>
        <v>Philippe De Bedout</v>
      </c>
      <c r="B4674" s="1" t="str">
        <f>IFERROR(__xludf.DUMMYFUNCTION("""COMPUTED_VALUE"""),"MS")</f>
        <v>MS</v>
      </c>
    </row>
    <row r="4675" ht="15.75" customHeight="1">
      <c r="A4675" s="1" t="str">
        <f>IFERROR(__xludf.DUMMYFUNCTION("""COMPUTED_VALUE"""),"Archer Jaffe")</f>
        <v>Archer Jaffe</v>
      </c>
      <c r="B4675" s="1" t="str">
        <f>IFERROR(__xludf.DUMMYFUNCTION("""COMPUTED_VALUE"""),"L1")</f>
        <v>L1</v>
      </c>
    </row>
    <row r="4676" ht="15.75" customHeight="1">
      <c r="A4676" s="1" t="str">
        <f>IFERROR(__xludf.DUMMYFUNCTION("""COMPUTED_VALUE"""),"Flynn Freeman")</f>
        <v>Flynn Freeman</v>
      </c>
      <c r="B4676" s="1" t="str">
        <f>IFERROR(__xludf.DUMMYFUNCTION("""COMPUTED_VALUE"""),"L2")</f>
        <v>L2</v>
      </c>
    </row>
    <row r="4677" ht="15.75" customHeight="1">
      <c r="A4677" s="1" t="str">
        <f>IFERROR(__xludf.DUMMYFUNCTION("""COMPUTED_VALUE"""),"Hans Scotford")</f>
        <v>Hans Scotford</v>
      </c>
      <c r="B4677" s="1" t="str">
        <f>IFERROR(__xludf.DUMMYFUNCTION("""COMPUTED_VALUE"""),"MS")</f>
        <v>MS</v>
      </c>
    </row>
    <row r="4678" ht="15.75" customHeight="1">
      <c r="A4678" s="1" t="str">
        <f>IFERROR(__xludf.DUMMYFUNCTION("""COMPUTED_VALUE"""),"Ryder Allen")</f>
        <v>Ryder Allen</v>
      </c>
      <c r="B4678" s="1" t="str">
        <f>IFERROR(__xludf.DUMMYFUNCTION("""COMPUTED_VALUE"""),"L1")</f>
        <v>L1</v>
      </c>
    </row>
    <row r="4679" ht="15.75" customHeight="1">
      <c r="A4679" s="1" t="str">
        <f>IFERROR(__xludf.DUMMYFUNCTION("""COMPUTED_VALUE"""),"Wade Allen")</f>
        <v>Wade Allen</v>
      </c>
      <c r="B4679" s="1" t="str">
        <f>IFERROR(__xludf.DUMMYFUNCTION("""COMPUTED_VALUE"""),"LL")</f>
        <v>LL</v>
      </c>
    </row>
    <row r="4680" ht="15.75" customHeight="1">
      <c r="A4680" s="1" t="str">
        <f>IFERROR(__xludf.DUMMYFUNCTION("""COMPUTED_VALUE"""),"Hildy Grimm")</f>
        <v>Hildy Grimm</v>
      </c>
      <c r="B4680" s="1" t="str">
        <f>IFERROR(__xludf.DUMMYFUNCTION("""COMPUTED_VALUE"""),"LL")</f>
        <v>LL</v>
      </c>
    </row>
    <row r="4681" ht="15.75" customHeight="1">
      <c r="A4681" s="1" t="str">
        <f>IFERROR(__xludf.DUMMYFUNCTION("""COMPUTED_VALUE"""),"Georgia Flaherty")</f>
        <v>Georgia Flaherty</v>
      </c>
      <c r="B4681" s="1" t="str">
        <f>IFERROR(__xludf.DUMMYFUNCTION("""COMPUTED_VALUE"""),"L2")</f>
        <v>L2</v>
      </c>
    </row>
    <row r="4682" ht="15.75" customHeight="1">
      <c r="A4682" s="1" t="str">
        <f>IFERROR(__xludf.DUMMYFUNCTION("""COMPUTED_VALUE"""),"Jaya Vora")</f>
        <v>Jaya Vora</v>
      </c>
      <c r="B4682" s="1" t="str">
        <f>IFERROR(__xludf.DUMMYFUNCTION("""COMPUTED_VALUE"""),"L2")</f>
        <v>L2</v>
      </c>
    </row>
    <row r="4683" ht="15.75" customHeight="1">
      <c r="A4683" s="1" t="str">
        <f>IFERROR(__xludf.DUMMYFUNCTION("""COMPUTED_VALUE"""),"Ada Cone")</f>
        <v>Ada Cone</v>
      </c>
      <c r="B4683" s="1" t="str">
        <f>IFERROR(__xludf.DUMMYFUNCTION("""COMPUTED_VALUE"""),"L1")</f>
        <v>L1</v>
      </c>
    </row>
    <row r="4684" ht="15.75" customHeight="1">
      <c r="A4684" s="1" t="str">
        <f>IFERROR(__xludf.DUMMYFUNCTION("""COMPUTED_VALUE"""),"Shayaan Shah")</f>
        <v>Shayaan Shah</v>
      </c>
      <c r="B4684" s="1" t="str">
        <f>IFERROR(__xludf.DUMMYFUNCTION("""COMPUTED_VALUE"""),"LL")</f>
        <v>LL</v>
      </c>
    </row>
    <row r="4685" ht="15.75" customHeight="1">
      <c r="A4685" s="1" t="str">
        <f>IFERROR(__xludf.DUMMYFUNCTION("""COMPUTED_VALUE"""),"StudentPreK ShadowNYC")</f>
        <v>StudentPreK ShadowNYC</v>
      </c>
      <c r="B4685" s="1" t="str">
        <f>IFERROR(__xludf.DUMMYFUNCTION("""COMPUTED_VALUE"""),"WL")</f>
        <v>WL</v>
      </c>
    </row>
    <row r="4686" ht="15.75" customHeight="1">
      <c r="A4686" s="1" t="str">
        <f>IFERROR(__xludf.DUMMYFUNCTION("""COMPUTED_VALUE"""),"StudentPreKb ShadowNYC")</f>
        <v>StudentPreKb ShadowNYC</v>
      </c>
      <c r="B4686" s="1" t="str">
        <f>IFERROR(__xludf.DUMMYFUNCTION("""COMPUTED_VALUE"""),"WL")</f>
        <v>WL</v>
      </c>
    </row>
    <row r="4687" ht="15.75" customHeight="1">
      <c r="A4687" s="1" t="str">
        <f>IFERROR(__xludf.DUMMYFUNCTION("""COMPUTED_VALUE"""),"StudentK ShadowNYC")</f>
        <v>StudentK ShadowNYC</v>
      </c>
      <c r="B4687" s="1" t="str">
        <f>IFERROR(__xludf.DUMMYFUNCTION("""COMPUTED_VALUE"""),"LL")</f>
        <v>LL</v>
      </c>
    </row>
    <row r="4688" ht="15.75" customHeight="1">
      <c r="A4688" s="1" t="str">
        <f>IFERROR(__xludf.DUMMYFUNCTION("""COMPUTED_VALUE"""),"StudentKb ShadowNYC")</f>
        <v>StudentKb ShadowNYC</v>
      </c>
      <c r="B4688" s="1" t="str">
        <f>IFERROR(__xludf.DUMMYFUNCTION("""COMPUTED_VALUE"""),"LL")</f>
        <v>LL</v>
      </c>
    </row>
    <row r="4689" ht="15.75" customHeight="1">
      <c r="A4689" s="1" t="str">
        <f>IFERROR(__xludf.DUMMYFUNCTION("""COMPUTED_VALUE"""),"Student1 ShadowNYC")</f>
        <v>Student1 ShadowNYC</v>
      </c>
      <c r="B4689" s="1" t="str">
        <f>IFERROR(__xludf.DUMMYFUNCTION("""COMPUTED_VALUE"""),"LL")</f>
        <v>LL</v>
      </c>
    </row>
    <row r="4690" ht="15.75" customHeight="1">
      <c r="A4690" s="1" t="str">
        <f>IFERROR(__xludf.DUMMYFUNCTION("""COMPUTED_VALUE"""),"Student1b ShadowNYC")</f>
        <v>Student1b ShadowNYC</v>
      </c>
      <c r="B4690" s="1" t="str">
        <f>IFERROR(__xludf.DUMMYFUNCTION("""COMPUTED_VALUE"""),"LL")</f>
        <v>LL</v>
      </c>
    </row>
    <row r="4691" ht="15.75" customHeight="1">
      <c r="A4691" s="1" t="str">
        <f>IFERROR(__xludf.DUMMYFUNCTION("""COMPUTED_VALUE"""),"Student2 ShadowNYC")</f>
        <v>Student2 ShadowNYC</v>
      </c>
      <c r="B4691" s="1" t="str">
        <f>IFERROR(__xludf.DUMMYFUNCTION("""COMPUTED_VALUE"""),"L1")</f>
        <v>L1</v>
      </c>
    </row>
    <row r="4692" ht="15.75" customHeight="1">
      <c r="A4692" s="1" t="str">
        <f>IFERROR(__xludf.DUMMYFUNCTION("""COMPUTED_VALUE"""),"Student2b ShadowNYC")</f>
        <v>Student2b ShadowNYC</v>
      </c>
      <c r="B4692" s="1" t="str">
        <f>IFERROR(__xludf.DUMMYFUNCTION("""COMPUTED_VALUE"""),"L1")</f>
        <v>L1</v>
      </c>
    </row>
    <row r="4693" ht="15.75" customHeight="1">
      <c r="A4693" s="1" t="str">
        <f>IFERROR(__xludf.DUMMYFUNCTION("""COMPUTED_VALUE"""),"Student3 ShadowNYC")</f>
        <v>Student3 ShadowNYC</v>
      </c>
      <c r="B4693" s="1" t="str">
        <f>IFERROR(__xludf.DUMMYFUNCTION("""COMPUTED_VALUE"""),"L1")</f>
        <v>L1</v>
      </c>
    </row>
    <row r="4694" ht="15.75" customHeight="1">
      <c r="A4694" s="1" t="str">
        <f>IFERROR(__xludf.DUMMYFUNCTION("""COMPUTED_VALUE"""),"Student3b ShadowNYC")</f>
        <v>Student3b ShadowNYC</v>
      </c>
      <c r="B4694" s="1" t="str">
        <f>IFERROR(__xludf.DUMMYFUNCTION("""COMPUTED_VALUE"""),"L1")</f>
        <v>L1</v>
      </c>
    </row>
    <row r="4695" ht="15.75" customHeight="1">
      <c r="A4695" s="1" t="str">
        <f>IFERROR(__xludf.DUMMYFUNCTION("""COMPUTED_VALUE"""),"Student4 ShadowNYC")</f>
        <v>Student4 ShadowNYC</v>
      </c>
      <c r="B4695" s="1" t="str">
        <f>IFERROR(__xludf.DUMMYFUNCTION("""COMPUTED_VALUE"""),"L2")</f>
        <v>L2</v>
      </c>
    </row>
    <row r="4696" ht="15.75" customHeight="1">
      <c r="A4696" s="1" t="str">
        <f>IFERROR(__xludf.DUMMYFUNCTION("""COMPUTED_VALUE"""),"Student4b ShadowNYC")</f>
        <v>Student4b ShadowNYC</v>
      </c>
      <c r="B4696" s="1" t="str">
        <f>IFERROR(__xludf.DUMMYFUNCTION("""COMPUTED_VALUE"""),"L2")</f>
        <v>L2</v>
      </c>
    </row>
    <row r="4697" ht="15.75" customHeight="1">
      <c r="A4697" s="1" t="str">
        <f>IFERROR(__xludf.DUMMYFUNCTION("""COMPUTED_VALUE"""),"Student5 ShadowNYC")</f>
        <v>Student5 ShadowNYC</v>
      </c>
      <c r="B4697" s="1" t="str">
        <f>IFERROR(__xludf.DUMMYFUNCTION("""COMPUTED_VALUE"""),"L2")</f>
        <v>L2</v>
      </c>
    </row>
    <row r="4698" ht="15.75" customHeight="1">
      <c r="A4698" s="1" t="str">
        <f>IFERROR(__xludf.DUMMYFUNCTION("""COMPUTED_VALUE"""),"Student5b ShadowNYC")</f>
        <v>Student5b ShadowNYC</v>
      </c>
      <c r="B4698" s="1" t="str">
        <f>IFERROR(__xludf.DUMMYFUNCTION("""COMPUTED_VALUE"""),"L2")</f>
        <v>L2</v>
      </c>
    </row>
    <row r="4699" ht="15.75" customHeight="1">
      <c r="A4699" s="1" t="str">
        <f>IFERROR(__xludf.DUMMYFUNCTION("""COMPUTED_VALUE"""),"Student6 ShadowNYC")</f>
        <v>Student6 ShadowNYC</v>
      </c>
      <c r="B4699" s="1" t="str">
        <f>IFERROR(__xludf.DUMMYFUNCTION("""COMPUTED_VALUE"""),"MS")</f>
        <v>MS</v>
      </c>
    </row>
    <row r="4700" ht="15.75" customHeight="1">
      <c r="A4700" s="1" t="str">
        <f>IFERROR(__xludf.DUMMYFUNCTION("""COMPUTED_VALUE"""),"Student6b ShadowNYC")</f>
        <v>Student6b ShadowNYC</v>
      </c>
      <c r="B4700" s="1" t="str">
        <f>IFERROR(__xludf.DUMMYFUNCTION("""COMPUTED_VALUE"""),"MS")</f>
        <v>MS</v>
      </c>
    </row>
    <row r="4701" ht="15.75" customHeight="1">
      <c r="A4701" s="1" t="str">
        <f>IFERROR(__xludf.DUMMYFUNCTION("""COMPUTED_VALUE"""),"Student7 ShadowNYC")</f>
        <v>Student7 ShadowNYC</v>
      </c>
      <c r="B4701" s="1" t="str">
        <f>IFERROR(__xludf.DUMMYFUNCTION("""COMPUTED_VALUE"""),"MS")</f>
        <v>MS</v>
      </c>
    </row>
    <row r="4702" ht="15.75" customHeight="1">
      <c r="A4702" s="1" t="str">
        <f>IFERROR(__xludf.DUMMYFUNCTION("""COMPUTED_VALUE"""),"Student7b ShadowNYC")</f>
        <v>Student7b ShadowNYC</v>
      </c>
      <c r="B4702" s="1" t="str">
        <f>IFERROR(__xludf.DUMMYFUNCTION("""COMPUTED_VALUE"""),"MS")</f>
        <v>MS</v>
      </c>
    </row>
    <row r="4703" ht="15.75" customHeight="1">
      <c r="A4703" s="1" t="str">
        <f>IFERROR(__xludf.DUMMYFUNCTION("""COMPUTED_VALUE"""),"Student8 ShadowNYC")</f>
        <v>Student8 ShadowNYC</v>
      </c>
      <c r="B4703" s="1" t="str">
        <f>IFERROR(__xludf.DUMMYFUNCTION("""COMPUTED_VALUE"""),"MS")</f>
        <v>MS</v>
      </c>
    </row>
    <row r="4704" ht="15.75" customHeight="1">
      <c r="A4704" s="1" t="str">
        <f>IFERROR(__xludf.DUMMYFUNCTION("""COMPUTED_VALUE"""),"Student8b ShadowNYC")</f>
        <v>Student8b ShadowNYC</v>
      </c>
      <c r="B4704" s="1" t="str">
        <f>IFERROR(__xludf.DUMMYFUNCTION("""COMPUTED_VALUE"""),"MS")</f>
        <v>MS</v>
      </c>
    </row>
    <row r="4705" ht="15.75" customHeight="1">
      <c r="A4705" s="1" t="str">
        <f>IFERROR(__xludf.DUMMYFUNCTION("""COMPUTED_VALUE"""),"_test_ Test ChildFName4XY DmitryChildLName4")</f>
        <v>_test_ Test ChildFName4XY DmitryChildLName4</v>
      </c>
      <c r="B4705" s="1" t="str">
        <f>IFERROR(__xludf.DUMMYFUNCTION("""COMPUTED_VALUE"""),"L2")</f>
        <v>L2</v>
      </c>
    </row>
    <row r="4706" ht="15.75" customHeight="1">
      <c r="A4706" s="1" t="str">
        <f>IFERROR(__xludf.DUMMYFUNCTION("""COMPUTED_VALUE"""),"Max Rzepecki")</f>
        <v>Max Rzepecki</v>
      </c>
      <c r="B4706" s="1" t="str">
        <f>IFERROR(__xludf.DUMMYFUNCTION("""COMPUTED_VALUE"""),"L1")</f>
        <v>L1</v>
      </c>
    </row>
    <row r="4707" ht="15.75" customHeight="1">
      <c r="A4707" s="1" t="str">
        <f>IFERROR(__xludf.DUMMYFUNCTION("""COMPUTED_VALUE"""),"_test_DmitryChildFName2 DmitryChildLName2")</f>
        <v>_test_DmitryChildFName2 DmitryChildLName2</v>
      </c>
      <c r="B4707" s="1" t="str">
        <f>IFERROR(__xludf.DUMMYFUNCTION("""COMPUTED_VALUE"""),"L1")</f>
        <v>L1</v>
      </c>
    </row>
    <row r="4708" ht="15.75" customHeight="1">
      <c r="A4708" s="1" t="str">
        <f>IFERROR(__xludf.DUMMYFUNCTION("""COMPUTED_VALUE"""),"a w")</f>
        <v>a w</v>
      </c>
      <c r="B4708" s="1" t="str">
        <f>IFERROR(__xludf.DUMMYFUNCTION("""COMPUTED_VALUE"""),"MS")</f>
        <v>MS</v>
      </c>
    </row>
    <row r="4709" ht="15.75" customHeight="1">
      <c r="A4709" s="1" t="str">
        <f>IFERROR(__xludf.DUMMYFUNCTION("""COMPUTED_VALUE"""),"Pax Ovitz")</f>
        <v>Pax Ovitz</v>
      </c>
      <c r="B4709" s="1" t="str">
        <f>IFERROR(__xludf.DUMMYFUNCTION("""COMPUTED_VALUE"""),"L2")</f>
        <v>L2</v>
      </c>
    </row>
    <row r="4710" ht="15.75" customHeight="1">
      <c r="A4710" s="1" t="str">
        <f>IFERROR(__xludf.DUMMYFUNCTION("""COMPUTED_VALUE"""),"Mimi Prospere")</f>
        <v>Mimi Prospere</v>
      </c>
      <c r="B4710" s="1" t="str">
        <f>IFERROR(__xludf.DUMMYFUNCTION("""COMPUTED_VALUE"""),"MS")</f>
        <v>MS</v>
      </c>
    </row>
    <row r="4711" ht="15.75" customHeight="1">
      <c r="A4711" s="1" t="str">
        <f>IFERROR(__xludf.DUMMYFUNCTION("""COMPUTED_VALUE"""),"Oleander Poulson")</f>
        <v>Oleander Poulson</v>
      </c>
      <c r="B4711" s="1" t="str">
        <f>IFERROR(__xludf.DUMMYFUNCTION("""COMPUTED_VALUE"""),"L1")</f>
        <v>L1</v>
      </c>
    </row>
    <row r="4712" ht="15.75" customHeight="1">
      <c r="A4712" s="1" t="str">
        <f>IFERROR(__xludf.DUMMYFUNCTION("""COMPUTED_VALUE"""),"Jeremiah Dominique")</f>
        <v>Jeremiah Dominique</v>
      </c>
      <c r="B4712" s="1" t="str">
        <f>IFERROR(__xludf.DUMMYFUNCTION("""COMPUTED_VALUE"""),"L2")</f>
        <v>L2</v>
      </c>
    </row>
    <row r="4713" ht="15.75" customHeight="1">
      <c r="A4713" s="1" t="str">
        <f>IFERROR(__xludf.DUMMYFUNCTION("""COMPUTED_VALUE"""),"London Politi")</f>
        <v>London Politi</v>
      </c>
      <c r="B4713" s="1" t="str">
        <f>IFERROR(__xludf.DUMMYFUNCTION("""COMPUTED_VALUE"""),"L1")</f>
        <v>L1</v>
      </c>
    </row>
    <row r="4714" ht="15.75" customHeight="1">
      <c r="A4714" s="1" t="str">
        <f>IFERROR(__xludf.DUMMYFUNCTION("""COMPUTED_VALUE"""),"Leonidas Kuo")</f>
        <v>Leonidas Kuo</v>
      </c>
      <c r="B4714" s="1" t="str">
        <f>IFERROR(__xludf.DUMMYFUNCTION("""COMPUTED_VALUE"""),"WL")</f>
        <v>WL</v>
      </c>
    </row>
    <row r="4715" ht="15.75" customHeight="1">
      <c r="A4715" s="1" t="str">
        <f>IFERROR(__xludf.DUMMYFUNCTION("""COMPUTED_VALUE"""),"Test 1 _test_")</f>
        <v>Test 1 _test_</v>
      </c>
      <c r="B4715" s="1" t="str">
        <f>IFERROR(__xludf.DUMMYFUNCTION("""COMPUTED_VALUE"""),"MS")</f>
        <v>MS</v>
      </c>
    </row>
    <row r="4716" ht="15.75" customHeight="1">
      <c r="A4716" s="1" t="str">
        <f>IFERROR(__xludf.DUMMYFUNCTION("""COMPUTED_VALUE"""),"Ayaan Shah")</f>
        <v>Ayaan Shah</v>
      </c>
      <c r="B4716" s="1" t="str">
        <f>IFERROR(__xludf.DUMMYFUNCTION("""COMPUTED_VALUE"""),"LL")</f>
        <v>LL</v>
      </c>
    </row>
    <row r="4717" ht="15.75" customHeight="1">
      <c r="A4717" s="1" t="str">
        <f>IFERROR(__xludf.DUMMYFUNCTION("""COMPUTED_VALUE"""),"Blake Richheimer")</f>
        <v>Blake Richheimer</v>
      </c>
      <c r="B4717" s="1" t="str">
        <f>IFERROR(__xludf.DUMMYFUNCTION("""COMPUTED_VALUE"""),"L1")</f>
        <v>L1</v>
      </c>
    </row>
    <row r="4718" ht="15.75" customHeight="1">
      <c r="A4718" s="1" t="str">
        <f>IFERROR(__xludf.DUMMYFUNCTION("""COMPUTED_VALUE"""),"Yashar Student 1 _test_")</f>
        <v>Yashar Student 1 _test_</v>
      </c>
      <c r="B4718" s="1" t="str">
        <f>IFERROR(__xludf.DUMMYFUNCTION("""COMPUTED_VALUE"""),"LL")</f>
        <v>LL</v>
      </c>
    </row>
    <row r="4719" ht="15.75" customHeight="1">
      <c r="A4719" s="1" t="str">
        <f>IFERROR(__xludf.DUMMYFUNCTION("""COMPUTED_VALUE"""),"Test 13 _test_")</f>
        <v>Test 13 _test_</v>
      </c>
      <c r="B4719" s="1" t="str">
        <f>IFERROR(__xludf.DUMMYFUNCTION("""COMPUTED_VALUE"""),"LL")</f>
        <v>LL</v>
      </c>
    </row>
    <row r="4720" ht="15.75" customHeight="1">
      <c r="A4720" s="1" t="str">
        <f>IFERROR(__xludf.DUMMYFUNCTION("""COMPUTED_VALUE"""),"_test_farhan_student2_firstname _test_farhan_student2_lastname")</f>
        <v>_test_farhan_student2_firstname _test_farhan_student2_lastname</v>
      </c>
      <c r="B4720" s="1" t="str">
        <f>IFERROR(__xludf.DUMMYFUNCTION("""COMPUTED_VALUE"""),"LL")</f>
        <v>LL</v>
      </c>
    </row>
    <row r="4721" ht="15.75" customHeight="1">
      <c r="A4721" s="1" t="str">
        <f>IFERROR(__xludf.DUMMYFUNCTION("""COMPUTED_VALUE"""),"Leelaya Thevar-Washburn")</f>
        <v>Leelaya Thevar-Washburn</v>
      </c>
      <c r="B4721" s="1" t="str">
        <f>IFERROR(__xludf.DUMMYFUNCTION("""COMPUTED_VALUE"""),"WL")</f>
        <v>WL</v>
      </c>
    </row>
    <row r="4722" ht="15.75" customHeight="1">
      <c r="A4722" s="1" t="str">
        <f>IFERROR(__xludf.DUMMYFUNCTION("""COMPUTED_VALUE"""),"Conan Hogan")</f>
        <v>Conan Hogan</v>
      </c>
      <c r="B4722" s="1" t="str">
        <f>IFERROR(__xludf.DUMMYFUNCTION("""COMPUTED_VALUE"""),"L1")</f>
        <v>L1</v>
      </c>
    </row>
    <row r="4723" ht="15.75" customHeight="1">
      <c r="A4723" s="1" t="str">
        <f>IFERROR(__xludf.DUMMYFUNCTION("""COMPUTED_VALUE"""),"First1 _test_")</f>
        <v>First1 _test_</v>
      </c>
      <c r="B4723" s="1" t="str">
        <f>IFERROR(__xludf.DUMMYFUNCTION("""COMPUTED_VALUE"""),"MS")</f>
        <v>MS</v>
      </c>
    </row>
    <row r="4724" ht="15.75" customHeight="1">
      <c r="A4724" s="1" t="str">
        <f>IFERROR(__xludf.DUMMYFUNCTION("""COMPUTED_VALUE"""),"Nara Mekeel")</f>
        <v>Nara Mekeel</v>
      </c>
      <c r="B4724" s="1" t="str">
        <f>IFERROR(__xludf.DUMMYFUNCTION("""COMPUTED_VALUE"""),"WL")</f>
        <v>WL</v>
      </c>
    </row>
    <row r="4725" ht="15.75" customHeight="1">
      <c r="A4725" s="1" t="str">
        <f>IFERROR(__xludf.DUMMYFUNCTION("""COMPUTED_VALUE"""),"Colm Bowen")</f>
        <v>Colm Bowen</v>
      </c>
      <c r="B4725" s="1" t="str">
        <f>IFERROR(__xludf.DUMMYFUNCTION("""COMPUTED_VALUE"""),"LL")</f>
        <v>LL</v>
      </c>
    </row>
    <row r="4726" ht="15.75" customHeight="1">
      <c r="A4726" s="1" t="str">
        <f>IFERROR(__xludf.DUMMYFUNCTION("""COMPUTED_VALUE"""),"Aedan Petruzzelli")</f>
        <v>Aedan Petruzzelli</v>
      </c>
      <c r="B4726" s="1" t="str">
        <f>IFERROR(__xludf.DUMMYFUNCTION("""COMPUTED_VALUE"""),"WL")</f>
        <v>WL</v>
      </c>
    </row>
    <row r="4727" ht="15.75" customHeight="1">
      <c r="A4727" s="1" t="str">
        <f>IFERROR(__xludf.DUMMYFUNCTION("""COMPUTED_VALUE"""),"Annabelle Lembo")</f>
        <v>Annabelle Lembo</v>
      </c>
      <c r="B4727" s="1" t="str">
        <f>IFERROR(__xludf.DUMMYFUNCTION("""COMPUTED_VALUE"""),"L2")</f>
        <v>L2</v>
      </c>
    </row>
    <row r="4728" ht="15.75" customHeight="1">
      <c r="A4728" s="1" t="str">
        <f>IFERROR(__xludf.DUMMYFUNCTION("""COMPUTED_VALUE"""),"Harper Lembo")</f>
        <v>Harper Lembo</v>
      </c>
      <c r="B4728" s="1" t="str">
        <f>IFERROR(__xludf.DUMMYFUNCTION("""COMPUTED_VALUE"""),"LL")</f>
        <v>LL</v>
      </c>
    </row>
    <row r="4729" ht="15.75" customHeight="1">
      <c r="A4729" s="1" t="str">
        <f>IFERROR(__xludf.DUMMYFUNCTION("""COMPUTED_VALUE"""),"Liza Schnabel")</f>
        <v>Liza Schnabel</v>
      </c>
      <c r="B4729" s="1" t="str">
        <f>IFERROR(__xludf.DUMMYFUNCTION("""COMPUTED_VALUE"""),"LL")</f>
        <v>LL</v>
      </c>
    </row>
    <row r="4730" ht="15.75" customHeight="1">
      <c r="A4730" s="1" t="str">
        <f>IFERROR(__xludf.DUMMYFUNCTION("""COMPUTED_VALUE"""),"StudentPreKc ShadowNYC")</f>
        <v>StudentPreKc ShadowNYC</v>
      </c>
      <c r="B4730" s="1" t="str">
        <f>IFERROR(__xludf.DUMMYFUNCTION("""COMPUTED_VALUE"""),"WL")</f>
        <v>WL</v>
      </c>
    </row>
    <row r="4731" ht="15.75" customHeight="1">
      <c r="A4731" s="1" t="str">
        <f>IFERROR(__xludf.DUMMYFUNCTION("""COMPUTED_VALUE"""),"StudentKc ShadowNYC")</f>
        <v>StudentKc ShadowNYC</v>
      </c>
      <c r="B4731" s="1" t="str">
        <f>IFERROR(__xludf.DUMMYFUNCTION("""COMPUTED_VALUE"""),"LL")</f>
        <v>LL</v>
      </c>
    </row>
    <row r="4732" ht="15.75" customHeight="1">
      <c r="A4732" s="1" t="str">
        <f>IFERROR(__xludf.DUMMYFUNCTION("""COMPUTED_VALUE"""),"Student1c ShadowNYC")</f>
        <v>Student1c ShadowNYC</v>
      </c>
      <c r="B4732" s="1" t="str">
        <f>IFERROR(__xludf.DUMMYFUNCTION("""COMPUTED_VALUE"""),"LL")</f>
        <v>LL</v>
      </c>
    </row>
    <row r="4733" ht="15.75" customHeight="1">
      <c r="A4733" s="1" t="str">
        <f>IFERROR(__xludf.DUMMYFUNCTION("""COMPUTED_VALUE"""),"Student2c ShadowNYC")</f>
        <v>Student2c ShadowNYC</v>
      </c>
      <c r="B4733" s="1" t="str">
        <f>IFERROR(__xludf.DUMMYFUNCTION("""COMPUTED_VALUE"""),"L1")</f>
        <v>L1</v>
      </c>
    </row>
    <row r="4734" ht="15.75" customHeight="1">
      <c r="A4734" s="1" t="str">
        <f>IFERROR(__xludf.DUMMYFUNCTION("""COMPUTED_VALUE"""),"Student3c ShadowNYC")</f>
        <v>Student3c ShadowNYC</v>
      </c>
      <c r="B4734" s="1" t="str">
        <f>IFERROR(__xludf.DUMMYFUNCTION("""COMPUTED_VALUE"""),"L1")</f>
        <v>L1</v>
      </c>
    </row>
    <row r="4735" ht="15.75" customHeight="1">
      <c r="A4735" s="1" t="str">
        <f>IFERROR(__xludf.DUMMYFUNCTION("""COMPUTED_VALUE"""),"Student4c ShadowNYC")</f>
        <v>Student4c ShadowNYC</v>
      </c>
      <c r="B4735" s="1" t="str">
        <f>IFERROR(__xludf.DUMMYFUNCTION("""COMPUTED_VALUE"""),"L2")</f>
        <v>L2</v>
      </c>
    </row>
    <row r="4736" ht="15.75" customHeight="1">
      <c r="A4736" s="1" t="str">
        <f>IFERROR(__xludf.DUMMYFUNCTION("""COMPUTED_VALUE"""),"Student5c ShadowNYC")</f>
        <v>Student5c ShadowNYC</v>
      </c>
      <c r="B4736" s="1" t="str">
        <f>IFERROR(__xludf.DUMMYFUNCTION("""COMPUTED_VALUE"""),"L2")</f>
        <v>L2</v>
      </c>
    </row>
    <row r="4737" ht="15.75" customHeight="1">
      <c r="A4737" s="1" t="str">
        <f>IFERROR(__xludf.DUMMYFUNCTION("""COMPUTED_VALUE"""),"Student6c ShadowNYC")</f>
        <v>Student6c ShadowNYC</v>
      </c>
      <c r="B4737" s="1" t="str">
        <f>IFERROR(__xludf.DUMMYFUNCTION("""COMPUTED_VALUE"""),"MS")</f>
        <v>MS</v>
      </c>
    </row>
    <row r="4738" ht="15.75" customHeight="1">
      <c r="A4738" s="1" t="str">
        <f>IFERROR(__xludf.DUMMYFUNCTION("""COMPUTED_VALUE"""),"Student7c ShadowNYC")</f>
        <v>Student7c ShadowNYC</v>
      </c>
      <c r="B4738" s="1" t="str">
        <f>IFERROR(__xludf.DUMMYFUNCTION("""COMPUTED_VALUE"""),"MS")</f>
        <v>MS</v>
      </c>
    </row>
    <row r="4739" ht="15.75" customHeight="1">
      <c r="A4739" s="1" t="str">
        <f>IFERROR(__xludf.DUMMYFUNCTION("""COMPUTED_VALUE"""),"Student8c ShadowNYC")</f>
        <v>Student8c ShadowNYC</v>
      </c>
      <c r="B4739" s="1" t="str">
        <f>IFERROR(__xludf.DUMMYFUNCTION("""COMPUTED_VALUE"""),"MS")</f>
        <v>MS</v>
      </c>
    </row>
    <row r="4740" ht="15.75" customHeight="1">
      <c r="A4740" s="1" t="str">
        <f>IFERROR(__xludf.DUMMYFUNCTION("""COMPUTED_VALUE"""),"Raika Ackman")</f>
        <v>Raika Ackman</v>
      </c>
      <c r="B4740" s="1" t="str">
        <f>IFERROR(__xludf.DUMMYFUNCTION("""COMPUTED_VALUE"""),"L1")</f>
        <v>L1</v>
      </c>
    </row>
    <row r="4741" ht="15.75" customHeight="1">
      <c r="A4741" s="1" t="str">
        <f>IFERROR(__xludf.DUMMYFUNCTION("""COMPUTED_VALUE"""),"Eli Slifka")</f>
        <v>Eli Slifka</v>
      </c>
      <c r="B4741" s="1" t="str">
        <f>IFERROR(__xludf.DUMMYFUNCTION("""COMPUTED_VALUE"""),"MS")</f>
        <v>MS</v>
      </c>
    </row>
    <row r="4742" ht="15.75" customHeight="1">
      <c r="A4742" s="1" t="str">
        <f>IFERROR(__xludf.DUMMYFUNCTION("""COMPUTED_VALUE"""),"Emma Slifka")</f>
        <v>Emma Slifka</v>
      </c>
      <c r="B4742" s="1" t="str">
        <f>IFERROR(__xludf.DUMMYFUNCTION("""COMPUTED_VALUE"""),"MS")</f>
        <v>MS</v>
      </c>
    </row>
    <row r="4743" ht="15.75" customHeight="1">
      <c r="A4743" s="1" t="str">
        <f>IFERROR(__xludf.DUMMYFUNCTION("""COMPUTED_VALUE"""),"Miriam Rettek")</f>
        <v>Miriam Rettek</v>
      </c>
      <c r="B4743" s="1" t="str">
        <f>IFERROR(__xludf.DUMMYFUNCTION("""COMPUTED_VALUE"""),"WL")</f>
        <v>WL</v>
      </c>
    </row>
    <row r="4744" ht="15.75" customHeight="1">
      <c r="A4744" s="1" t="str">
        <f>IFERROR(__xludf.DUMMYFUNCTION("""COMPUTED_VALUE"""),"Testchild _test_waypoint")</f>
        <v>Testchild _test_waypoint</v>
      </c>
      <c r="B4744" s="1" t="str">
        <f>IFERROR(__xludf.DUMMYFUNCTION("""COMPUTED_VALUE"""),"L1")</f>
        <v>L1</v>
      </c>
    </row>
    <row r="4745" ht="15.75" customHeight="1">
      <c r="A4745" s="1" t="str">
        <f>IFERROR(__xludf.DUMMYFUNCTION("""COMPUTED_VALUE"""),"_test_farhan_Shadow2 _test_Raja22")</f>
        <v>_test_farhan_Shadow2 _test_Raja22</v>
      </c>
      <c r="B4745" s="1" t="str">
        <f>IFERROR(__xludf.DUMMYFUNCTION("""COMPUTED_VALUE"""),"LL")</f>
        <v>LL</v>
      </c>
    </row>
    <row r="4746" ht="15.75" customHeight="1">
      <c r="A4746" s="1" t="str">
        <f>IFERROR(__xludf.DUMMYFUNCTION("""COMPUTED_VALUE"""),"Lucian McDavid")</f>
        <v>Lucian McDavid</v>
      </c>
      <c r="B4746" s="1" t="str">
        <f>IFERROR(__xludf.DUMMYFUNCTION("""COMPUTED_VALUE"""),"L2")</f>
        <v>L2</v>
      </c>
    </row>
    <row r="4747" ht="15.75" customHeight="1">
      <c r="A4747" s="1" t="str">
        <f>IFERROR(__xludf.DUMMYFUNCTION("""COMPUTED_VALUE"""),"Van McDavid")</f>
        <v>Van McDavid</v>
      </c>
      <c r="B4747" s="1" t="str">
        <f>IFERROR(__xludf.DUMMYFUNCTION("""COMPUTED_VALUE"""),"L1")</f>
        <v>L1</v>
      </c>
    </row>
    <row r="4748" ht="15.75" customHeight="1">
      <c r="A4748" s="1" t="str">
        <f>IFERROR(__xludf.DUMMYFUNCTION("""COMPUTED_VALUE"""),"Aster Steele")</f>
        <v>Aster Steele</v>
      </c>
      <c r="B4748" s="1" t="str">
        <f>IFERROR(__xludf.DUMMYFUNCTION("""COMPUTED_VALUE"""),"WL")</f>
        <v>WL</v>
      </c>
    </row>
    <row r="4749" ht="15.75" customHeight="1">
      <c r="A4749" s="1" t="str">
        <f>IFERROR(__xludf.DUMMYFUNCTION("""COMPUTED_VALUE"""),"Nora Li")</f>
        <v>Nora Li</v>
      </c>
      <c r="B4749" s="1" t="str">
        <f>IFERROR(__xludf.DUMMYFUNCTION("""COMPUTED_VALUE"""),"L1")</f>
        <v>L1</v>
      </c>
    </row>
    <row r="4750" ht="15.75" customHeight="1">
      <c r="A4750" s="1" t="str">
        <f>IFERROR(__xludf.DUMMYFUNCTION("""COMPUTED_VALUE"""),"Tager Goodman")</f>
        <v>Tager Goodman</v>
      </c>
      <c r="B4750" s="1" t="str">
        <f>IFERROR(__xludf.DUMMYFUNCTION("""COMPUTED_VALUE"""),"WL")</f>
        <v>WL</v>
      </c>
    </row>
    <row r="4751" ht="15.75" customHeight="1">
      <c r="A4751" s="1" t="str">
        <f>IFERROR(__xludf.DUMMYFUNCTION("""COMPUTED_VALUE"""),"Adam Donocik")</f>
        <v>Adam Donocik</v>
      </c>
      <c r="B4751" s="1" t="str">
        <f>IFERROR(__xludf.DUMMYFUNCTION("""COMPUTED_VALUE"""),"WL")</f>
        <v>WL</v>
      </c>
    </row>
    <row r="4752" ht="15.75" customHeight="1">
      <c r="A4752" s="1" t="str">
        <f>IFERROR(__xludf.DUMMYFUNCTION("""COMPUTED_VALUE"""),"Lola Propp")</f>
        <v>Lola Propp</v>
      </c>
      <c r="B4752" s="1" t="str">
        <f>IFERROR(__xludf.DUMMYFUNCTION("""COMPUTED_VALUE"""),"L1")</f>
        <v>L1</v>
      </c>
    </row>
    <row r="4753" ht="15.75" customHeight="1">
      <c r="A4753" s="1" t="str">
        <f>IFERROR(__xludf.DUMMYFUNCTION("""COMPUTED_VALUE"""),"Eliana Lerner")</f>
        <v>Eliana Lerner</v>
      </c>
      <c r="B4753" s="1" t="str">
        <f>IFERROR(__xludf.DUMMYFUNCTION("""COMPUTED_VALUE"""),"LL")</f>
        <v>LL</v>
      </c>
    </row>
    <row r="4754" ht="15.75" customHeight="1">
      <c r="A4754" s="1" t="str">
        <f>IFERROR(__xludf.DUMMYFUNCTION("""COMPUTED_VALUE"""),"Yuval Prosor")</f>
        <v>Yuval Prosor</v>
      </c>
      <c r="B4754" s="1" t="str">
        <f>IFERROR(__xludf.DUMMYFUNCTION("""COMPUTED_VALUE"""),"WL")</f>
        <v>WL</v>
      </c>
    </row>
    <row r="4755" ht="15.75" customHeight="1">
      <c r="A4755" s="1" t="str">
        <f>IFERROR(__xludf.DUMMYFUNCTION("""COMPUTED_VALUE"""),"Liv Brodsky")</f>
        <v>Liv Brodsky</v>
      </c>
      <c r="B4755" s="1" t="str">
        <f>IFERROR(__xludf.DUMMYFUNCTION("""COMPUTED_VALUE"""),"L2")</f>
        <v>L2</v>
      </c>
    </row>
    <row r="4756" ht="15.75" customHeight="1">
      <c r="A4756" s="1" t="str">
        <f>IFERROR(__xludf.DUMMYFUNCTION("""COMPUTED_VALUE"""),"Ayla Gorbansky")</f>
        <v>Ayla Gorbansky</v>
      </c>
      <c r="B4756" s="1" t="str">
        <f>IFERROR(__xludf.DUMMYFUNCTION("""COMPUTED_VALUE"""),"LL")</f>
        <v>LL</v>
      </c>
    </row>
    <row r="4757" ht="15.75" customHeight="1">
      <c r="A4757" s="1" t="str">
        <f>IFERROR(__xludf.DUMMYFUNCTION("""COMPUTED_VALUE"""),"Esme Gorbansky")</f>
        <v>Esme Gorbansky</v>
      </c>
      <c r="B4757" s="1" t="str">
        <f>IFERROR(__xludf.DUMMYFUNCTION("""COMPUTED_VALUE"""),"LL")</f>
        <v>LL</v>
      </c>
    </row>
    <row r="4758" ht="15.75" customHeight="1">
      <c r="A4758" s="1" t="str">
        <f>IFERROR(__xludf.DUMMYFUNCTION("""COMPUTED_VALUE"""),"Levi Knauer")</f>
        <v>Levi Knauer</v>
      </c>
      <c r="B4758" s="1" t="str">
        <f>IFERROR(__xludf.DUMMYFUNCTION("""COMPUTED_VALUE"""),"WL")</f>
        <v>WL</v>
      </c>
    </row>
    <row r="4759" ht="15.75" customHeight="1">
      <c r="A4759" s="1" t="str">
        <f>IFERROR(__xludf.DUMMYFUNCTION("""COMPUTED_VALUE"""),"Vasili Giannopoulos")</f>
        <v>Vasili Giannopoulos</v>
      </c>
      <c r="B4759" s="1" t="str">
        <f>IFERROR(__xludf.DUMMYFUNCTION("""COMPUTED_VALUE"""),"L1")</f>
        <v>L1</v>
      </c>
    </row>
    <row r="4760" ht="15.75" customHeight="1">
      <c r="A4760" s="1" t="str">
        <f>IFERROR(__xludf.DUMMYFUNCTION("""COMPUTED_VALUE"""),"Preston Fallis")</f>
        <v>Preston Fallis</v>
      </c>
      <c r="B4760" s="1" t="str">
        <f>IFERROR(__xludf.DUMMYFUNCTION("""COMPUTED_VALUE"""),"WL")</f>
        <v>WL</v>
      </c>
    </row>
    <row r="4761" ht="15.75" customHeight="1">
      <c r="A4761" s="1" t="str">
        <f>IFERROR(__xludf.DUMMYFUNCTION("""COMPUTED_VALUE"""),"Tora Stellberger")</f>
        <v>Tora Stellberger</v>
      </c>
      <c r="B4761" s="1" t="str">
        <f>IFERROR(__xludf.DUMMYFUNCTION("""COMPUTED_VALUE"""),"WL")</f>
        <v>WL</v>
      </c>
    </row>
    <row r="4762" ht="15.75" customHeight="1">
      <c r="A4762" s="1" t="str">
        <f>IFERROR(__xludf.DUMMYFUNCTION("""COMPUTED_VALUE"""),"Nextgen _test_")</f>
        <v>Nextgen _test_</v>
      </c>
      <c r="B4762" s="1" t="str">
        <f>IFERROR(__xludf.DUMMYFUNCTION("""COMPUTED_VALUE"""),"L2")</f>
        <v>L2</v>
      </c>
    </row>
    <row r="4763" ht="15.75" customHeight="1">
      <c r="A4763" s="1" t="str">
        <f>IFERROR(__xludf.DUMMYFUNCTION("""COMPUTED_VALUE"""),"Alma Bruckner")</f>
        <v>Alma Bruckner</v>
      </c>
      <c r="B4763" s="1" t="str">
        <f>IFERROR(__xludf.DUMMYFUNCTION("""COMPUTED_VALUE"""),"WL")</f>
        <v>WL</v>
      </c>
    </row>
    <row r="4764" ht="15.75" customHeight="1">
      <c r="A4764" s="1" t="str">
        <f>IFERROR(__xludf.DUMMYFUNCTION("""COMPUTED_VALUE"""),"Leah Abramovich")</f>
        <v>Leah Abramovich</v>
      </c>
      <c r="B4764" s="1" t="str">
        <f>IFERROR(__xludf.DUMMYFUNCTION("""COMPUTED_VALUE"""),"MS")</f>
        <v>MS</v>
      </c>
    </row>
    <row r="4765" ht="15.75" customHeight="1">
      <c r="A4765" s="1" t="str">
        <f>IFERROR(__xludf.DUMMYFUNCTION("""COMPUTED_VALUE"""),"Edith Harrison")</f>
        <v>Edith Harrison</v>
      </c>
      <c r="B4765" s="1" t="str">
        <f>IFERROR(__xludf.DUMMYFUNCTION("""COMPUTED_VALUE"""),"L2")</f>
        <v>L2</v>
      </c>
    </row>
    <row r="4766" ht="15.75" customHeight="1">
      <c r="A4766" s="1" t="str">
        <f>IFERROR(__xludf.DUMMYFUNCTION("""COMPUTED_VALUE"""),"Roma Andrade")</f>
        <v>Roma Andrade</v>
      </c>
      <c r="B4766" s="1" t="str">
        <f>IFERROR(__xludf.DUMMYFUNCTION("""COMPUTED_VALUE"""),"WL")</f>
        <v>WL</v>
      </c>
    </row>
    <row r="4767" ht="15.75" customHeight="1">
      <c r="A4767" s="1" t="str">
        <f>IFERROR(__xludf.DUMMYFUNCTION("""COMPUTED_VALUE"""),"Cate Henry")</f>
        <v>Cate Henry</v>
      </c>
      <c r="B4767" s="1" t="str">
        <f>IFERROR(__xludf.DUMMYFUNCTION("""COMPUTED_VALUE"""),"L2")</f>
        <v>L2</v>
      </c>
    </row>
    <row r="4768" ht="15.75" customHeight="1">
      <c r="A4768" s="1" t="str">
        <f>IFERROR(__xludf.DUMMYFUNCTION("""COMPUTED_VALUE"""),"Vivienne Henry")</f>
        <v>Vivienne Henry</v>
      </c>
      <c r="B4768" s="1" t="str">
        <f>IFERROR(__xludf.DUMMYFUNCTION("""COMPUTED_VALUE"""),"MS")</f>
        <v>MS</v>
      </c>
    </row>
    <row r="4769" ht="15.75" customHeight="1">
      <c r="A4769" s="1" t="str">
        <f>IFERROR(__xludf.DUMMYFUNCTION("""COMPUTED_VALUE"""),"Mace Varghese")</f>
        <v>Mace Varghese</v>
      </c>
      <c r="B4769" s="1" t="str">
        <f>IFERROR(__xludf.DUMMYFUNCTION("""COMPUTED_VALUE"""),"WL")</f>
        <v>WL</v>
      </c>
    </row>
    <row r="4770" ht="15.75" customHeight="1">
      <c r="A4770" s="1" t="str">
        <f>IFERROR(__xludf.DUMMYFUNCTION("""COMPUTED_VALUE"""),"Lavinia Harper")</f>
        <v>Lavinia Harper</v>
      </c>
      <c r="B4770" s="1" t="str">
        <f>IFERROR(__xludf.DUMMYFUNCTION("""COMPUTED_VALUE"""),"L1")</f>
        <v>L1</v>
      </c>
    </row>
    <row r="4771" ht="15.75" customHeight="1">
      <c r="A4771" s="1" t="str">
        <f>IFERROR(__xludf.DUMMYFUNCTION("""COMPUTED_VALUE"""),"Han Timmerman")</f>
        <v>Han Timmerman</v>
      </c>
      <c r="B4771" s="1" t="str">
        <f>IFERROR(__xludf.DUMMYFUNCTION("""COMPUTED_VALUE"""),"WL")</f>
        <v>WL</v>
      </c>
    </row>
    <row r="4772" ht="15.75" customHeight="1">
      <c r="A4772" s="1" t="str">
        <f>IFERROR(__xludf.DUMMYFUNCTION("""COMPUTED_VALUE"""),"Hadrian Harper")</f>
        <v>Hadrian Harper</v>
      </c>
      <c r="B4772" s="1" t="str">
        <f>IFERROR(__xludf.DUMMYFUNCTION("""COMPUTED_VALUE"""),"LL")</f>
        <v>LL</v>
      </c>
    </row>
    <row r="4773" ht="15.75" customHeight="1">
      <c r="A4773" s="1" t="str">
        <f>IFERROR(__xludf.DUMMYFUNCTION("""COMPUTED_VALUE"""),"Pierce Bandier")</f>
        <v>Pierce Bandier</v>
      </c>
      <c r="B4773" s="1" t="str">
        <f>IFERROR(__xludf.DUMMYFUNCTION("""COMPUTED_VALUE"""),"LL")</f>
        <v>LL</v>
      </c>
    </row>
    <row r="4774" ht="15.75" customHeight="1">
      <c r="A4774" s="1" t="str">
        <f>IFERROR(__xludf.DUMMYFUNCTION("""COMPUTED_VALUE"""),"Maxi Moalemzadeh")</f>
        <v>Maxi Moalemzadeh</v>
      </c>
      <c r="B4774" s="1" t="str">
        <f>IFERROR(__xludf.DUMMYFUNCTION("""COMPUTED_VALUE"""),"L1")</f>
        <v>L1</v>
      </c>
    </row>
    <row r="4775" ht="15.75" customHeight="1">
      <c r="A4775" s="1" t="str">
        <f>IFERROR(__xludf.DUMMYFUNCTION("""COMPUTED_VALUE"""),"GlenEric Ostrander")</f>
        <v>GlenEric Ostrander</v>
      </c>
      <c r="B4775" s="1" t="str">
        <f>IFERROR(__xludf.DUMMYFUNCTION("""COMPUTED_VALUE"""),"MS")</f>
        <v>MS</v>
      </c>
    </row>
    <row r="4776" ht="15.75" customHeight="1">
      <c r="A4776" s="1" t="str">
        <f>IFERROR(__xludf.DUMMYFUNCTION("""COMPUTED_VALUE"""),"Ana Pate")</f>
        <v>Ana Pate</v>
      </c>
      <c r="B4776" s="1" t="str">
        <f>IFERROR(__xludf.DUMMYFUNCTION("""COMPUTED_VALUE"""),"WL")</f>
        <v>WL</v>
      </c>
    </row>
    <row r="4777" ht="15.75" customHeight="1">
      <c r="A4777" s="1" t="str">
        <f>IFERROR(__xludf.DUMMYFUNCTION("""COMPUTED_VALUE"""),"Mateo Arteaga-Weissburg")</f>
        <v>Mateo Arteaga-Weissburg</v>
      </c>
      <c r="B4777" s="1" t="str">
        <f>IFERROR(__xludf.DUMMYFUNCTION("""COMPUTED_VALUE"""),"L1")</f>
        <v>L1</v>
      </c>
    </row>
    <row r="4778" ht="15.75" customHeight="1">
      <c r="A4778" s="1" t="str">
        <f>IFERROR(__xludf.DUMMYFUNCTION("""COMPUTED_VALUE"""),"Whitney Klaussmann")</f>
        <v>Whitney Klaussmann</v>
      </c>
      <c r="B4778" s="1" t="str">
        <f>IFERROR(__xludf.DUMMYFUNCTION("""COMPUTED_VALUE"""),"WL")</f>
        <v>WL</v>
      </c>
    </row>
    <row r="4779" ht="15.75" customHeight="1">
      <c r="A4779" s="1" t="str">
        <f>IFERROR(__xludf.DUMMYFUNCTION("""COMPUTED_VALUE"""),"Beatrice Brooks")</f>
        <v>Beatrice Brooks</v>
      </c>
      <c r="B4779" s="1" t="str">
        <f>IFERROR(__xludf.DUMMYFUNCTION("""COMPUTED_VALUE"""),"LL")</f>
        <v>LL</v>
      </c>
    </row>
    <row r="4780" ht="15.75" customHeight="1">
      <c r="A4780" s="1" t="str">
        <f>IFERROR(__xludf.DUMMYFUNCTION("""COMPUTED_VALUE"""),"George Polisskii")</f>
        <v>George Polisskii</v>
      </c>
      <c r="B4780" s="1" t="str">
        <f>IFERROR(__xludf.DUMMYFUNCTION("""COMPUTED_VALUE"""),"L2")</f>
        <v>L2</v>
      </c>
    </row>
    <row r="4781" ht="15.75" customHeight="1">
      <c r="A4781" s="1" t="str">
        <f>IFERROR(__xludf.DUMMYFUNCTION("""COMPUTED_VALUE"""),"Max Beren")</f>
        <v>Max Beren</v>
      </c>
      <c r="B4781" s="1" t="str">
        <f>IFERROR(__xludf.DUMMYFUNCTION("""COMPUTED_VALUE"""),"L1")</f>
        <v>L1</v>
      </c>
    </row>
    <row r="4782" ht="15.75" customHeight="1">
      <c r="A4782" s="1" t="str">
        <f>IFERROR(__xludf.DUMMYFUNCTION("""COMPUTED_VALUE"""),"Noah Krell")</f>
        <v>Noah Krell</v>
      </c>
      <c r="B4782" s="1" t="str">
        <f>IFERROR(__xludf.DUMMYFUNCTION("""COMPUTED_VALUE"""),"LL")</f>
        <v>LL</v>
      </c>
    </row>
    <row r="4783" ht="15.75" customHeight="1">
      <c r="A4783" s="1" t="str">
        <f>IFERROR(__xludf.DUMMYFUNCTION("""COMPUTED_VALUE"""),"Esme Alfaro")</f>
        <v>Esme Alfaro</v>
      </c>
      <c r="B4783" s="1" t="str">
        <f>IFERROR(__xludf.DUMMYFUNCTION("""COMPUTED_VALUE"""),"LL")</f>
        <v>LL</v>
      </c>
    </row>
    <row r="4784" ht="15.75" customHeight="1">
      <c r="A4784" s="1" t="str">
        <f>IFERROR(__xludf.DUMMYFUNCTION("""COMPUTED_VALUE"""),"Penelope Carrington")</f>
        <v>Penelope Carrington</v>
      </c>
      <c r="B4784" s="1" t="str">
        <f>IFERROR(__xludf.DUMMYFUNCTION("""COMPUTED_VALUE"""),"MS")</f>
        <v>MS</v>
      </c>
    </row>
    <row r="4785" ht="15.75" customHeight="1">
      <c r="A4785" s="1" t="str">
        <f>IFERROR(__xludf.DUMMYFUNCTION("""COMPUTED_VALUE"""),"Masha Komarov")</f>
        <v>Masha Komarov</v>
      </c>
      <c r="B4785" s="1" t="str">
        <f>IFERROR(__xludf.DUMMYFUNCTION("""COMPUTED_VALUE"""),"WL")</f>
        <v>WL</v>
      </c>
    </row>
    <row r="4786" ht="15.75" customHeight="1">
      <c r="A4786" s="1" t="str">
        <f>IFERROR(__xludf.DUMMYFUNCTION("""COMPUTED_VALUE"""),"Max Brodsky")</f>
        <v>Max Brodsky</v>
      </c>
      <c r="B4786" s="1" t="str">
        <f>IFERROR(__xludf.DUMMYFUNCTION("""COMPUTED_VALUE"""),"MS")</f>
        <v>MS</v>
      </c>
    </row>
    <row r="4787" ht="15.75" customHeight="1">
      <c r="A4787" s="1" t="str">
        <f>IFERROR(__xludf.DUMMYFUNCTION("""COMPUTED_VALUE"""),"Nova Grislain")</f>
        <v>Nova Grislain</v>
      </c>
      <c r="B4787" s="1" t="str">
        <f>IFERROR(__xludf.DUMMYFUNCTION("""COMPUTED_VALUE"""),"WL")</f>
        <v>WL</v>
      </c>
    </row>
    <row r="4788" ht="15.75" customHeight="1">
      <c r="A4788" s="1" t="str">
        <f>IFERROR(__xludf.DUMMYFUNCTION("""COMPUTED_VALUE"""),"Milo Gupta")</f>
        <v>Milo Gupta</v>
      </c>
      <c r="B4788" s="1" t="str">
        <f>IFERROR(__xludf.DUMMYFUNCTION("""COMPUTED_VALUE"""),"L2")</f>
        <v>L2</v>
      </c>
    </row>
    <row r="4789" ht="15.75" customHeight="1">
      <c r="A4789" s="1" t="str">
        <f>IFERROR(__xludf.DUMMYFUNCTION("""COMPUTED_VALUE"""),"Nina Gupta")</f>
        <v>Nina Gupta</v>
      </c>
      <c r="B4789" s="1" t="str">
        <f>IFERROR(__xludf.DUMMYFUNCTION("""COMPUTED_VALUE"""),"LL")</f>
        <v>LL</v>
      </c>
    </row>
    <row r="4790" ht="15.75" customHeight="1">
      <c r="A4790" s="1" t="str">
        <f>IFERROR(__xludf.DUMMYFUNCTION("""COMPUTED_VALUE"""),"Cassie Krell")</f>
        <v>Cassie Krell</v>
      </c>
      <c r="B4790" s="1" t="str">
        <f>IFERROR(__xludf.DUMMYFUNCTION("""COMPUTED_VALUE"""),"L1")</f>
        <v>L1</v>
      </c>
    </row>
    <row r="4791" ht="15.75" customHeight="1">
      <c r="A4791" s="1" t="str">
        <f>IFERROR(__xludf.DUMMYFUNCTION("""COMPUTED_VALUE"""),"Olimpia Taubman")</f>
        <v>Olimpia Taubman</v>
      </c>
      <c r="B4791" s="1" t="str">
        <f>IFERROR(__xludf.DUMMYFUNCTION("""COMPUTED_VALUE"""),"WL")</f>
        <v>WL</v>
      </c>
    </row>
    <row r="4792" ht="15.75" customHeight="1">
      <c r="A4792" s="1" t="str">
        <f>IFERROR(__xludf.DUMMYFUNCTION("""COMPUTED_VALUE"""),"Venice Kirkpatrick Soni")</f>
        <v>Venice Kirkpatrick Soni</v>
      </c>
      <c r="B4792" s="1" t="str">
        <f>IFERROR(__xludf.DUMMYFUNCTION("""COMPUTED_VALUE"""),"L2")</f>
        <v>L2</v>
      </c>
    </row>
    <row r="4793" ht="15.75" customHeight="1">
      <c r="A4793" s="1" t="str">
        <f>IFERROR(__xludf.DUMMYFUNCTION("""COMPUTED_VALUE"""),"Vihaan Murthy")</f>
        <v>Vihaan Murthy</v>
      </c>
      <c r="B4793" s="1" t="str">
        <f>IFERROR(__xludf.DUMMYFUNCTION("""COMPUTED_VALUE"""),"WL")</f>
        <v>WL</v>
      </c>
    </row>
    <row r="4794" ht="15.75" customHeight="1">
      <c r="A4794" s="1" t="str">
        <f>IFERROR(__xludf.DUMMYFUNCTION("""COMPUTED_VALUE"""),"Azali Arif")</f>
        <v>Azali Arif</v>
      </c>
      <c r="B4794" s="1" t="str">
        <f>IFERROR(__xludf.DUMMYFUNCTION("""COMPUTED_VALUE"""),"L1")</f>
        <v>L1</v>
      </c>
    </row>
    <row r="4795" ht="15.75" customHeight="1">
      <c r="A4795" s="1" t="str">
        <f>IFERROR(__xludf.DUMMYFUNCTION("""COMPUTED_VALUE"""),"Oliver McLeod")</f>
        <v>Oliver McLeod</v>
      </c>
      <c r="B4795" s="1" t="str">
        <f>IFERROR(__xludf.DUMMYFUNCTION("""COMPUTED_VALUE"""),"LL")</f>
        <v>LL</v>
      </c>
    </row>
    <row r="4796" ht="15.75" customHeight="1">
      <c r="A4796" s="1" t="str">
        <f>IFERROR(__xludf.DUMMYFUNCTION("""COMPUTED_VALUE"""),"Billy Roeschlaub")</f>
        <v>Billy Roeschlaub</v>
      </c>
      <c r="B4796" s="1" t="str">
        <f>IFERROR(__xludf.DUMMYFUNCTION("""COMPUTED_VALUE"""),"WL")</f>
        <v>WL</v>
      </c>
    </row>
    <row r="4797" ht="15.75" customHeight="1">
      <c r="A4797" s="1" t="str">
        <f>IFERROR(__xludf.DUMMYFUNCTION("""COMPUTED_VALUE"""),"Lillian Val")</f>
        <v>Lillian Val</v>
      </c>
      <c r="B4797" s="1" t="str">
        <f>IFERROR(__xludf.DUMMYFUNCTION("""COMPUTED_VALUE"""),"L1")</f>
        <v>L1</v>
      </c>
    </row>
    <row r="4798" ht="15.75" customHeight="1">
      <c r="A4798" s="1" t="str">
        <f>IFERROR(__xludf.DUMMYFUNCTION("""COMPUTED_VALUE"""),"Avery Park")</f>
        <v>Avery Park</v>
      </c>
      <c r="B4798" s="1" t="str">
        <f>IFERROR(__xludf.DUMMYFUNCTION("""COMPUTED_VALUE"""),"MS")</f>
        <v>MS</v>
      </c>
    </row>
    <row r="4799" ht="15.75" customHeight="1">
      <c r="A4799" s="1" t="str">
        <f>IFERROR(__xludf.DUMMYFUNCTION("""COMPUTED_VALUE"""),"Gabriela Bischoff")</f>
        <v>Gabriela Bischoff</v>
      </c>
      <c r="B4799" s="1" t="str">
        <f>IFERROR(__xludf.DUMMYFUNCTION("""COMPUTED_VALUE"""),"LL")</f>
        <v>LL</v>
      </c>
    </row>
    <row r="4800" ht="15.75" customHeight="1">
      <c r="A4800" s="1" t="str">
        <f>IFERROR(__xludf.DUMMYFUNCTION("""COMPUTED_VALUE"""),"Yash Dange")</f>
        <v>Yash Dange</v>
      </c>
      <c r="B4800" s="1" t="str">
        <f>IFERROR(__xludf.DUMMYFUNCTION("""COMPUTED_VALUE"""),"L2")</f>
        <v>L2</v>
      </c>
    </row>
    <row r="4801" ht="15.75" customHeight="1">
      <c r="A4801" s="1" t="str">
        <f>IFERROR(__xludf.DUMMYFUNCTION("""COMPUTED_VALUE"""),"Krish Dange")</f>
        <v>Krish Dange</v>
      </c>
      <c r="B4801" s="1" t="str">
        <f>IFERROR(__xludf.DUMMYFUNCTION("""COMPUTED_VALUE"""),"L2")</f>
        <v>L2</v>
      </c>
    </row>
    <row r="4802" ht="15.75" customHeight="1">
      <c r="A4802" s="1" t="str">
        <f>IFERROR(__xludf.DUMMYFUNCTION("""COMPUTED_VALUE"""),"Cillian O'Hearn")</f>
        <v>Cillian O'Hearn</v>
      </c>
      <c r="B4802" s="1" t="str">
        <f>IFERROR(__xludf.DUMMYFUNCTION("""COMPUTED_VALUE"""),"WL")</f>
        <v>WL</v>
      </c>
    </row>
    <row r="4803" ht="15.75" customHeight="1">
      <c r="A4803" s="1" t="str">
        <f>IFERROR(__xludf.DUMMYFUNCTION("""COMPUTED_VALUE"""),"Harvey Caulin")</f>
        <v>Harvey Caulin</v>
      </c>
      <c r="B4803" s="1" t="str">
        <f>IFERROR(__xludf.DUMMYFUNCTION("""COMPUTED_VALUE"""),"L1")</f>
        <v>L1</v>
      </c>
    </row>
    <row r="4804" ht="15.75" customHeight="1">
      <c r="A4804" s="1" t="str">
        <f>IFERROR(__xludf.DUMMYFUNCTION("""COMPUTED_VALUE"""),"Ethan Irom")</f>
        <v>Ethan Irom</v>
      </c>
      <c r="B4804" s="1" t="str">
        <f>IFERROR(__xludf.DUMMYFUNCTION("""COMPUTED_VALUE"""),"WL")</f>
        <v>WL</v>
      </c>
    </row>
    <row r="4805" ht="15.75" customHeight="1">
      <c r="A4805" s="1" t="str">
        <f>IFERROR(__xludf.DUMMYFUNCTION("""COMPUTED_VALUE"""),"Alexander Danford")</f>
        <v>Alexander Danford</v>
      </c>
      <c r="B4805" s="1" t="str">
        <f>IFERROR(__xludf.DUMMYFUNCTION("""COMPUTED_VALUE"""),"L2")</f>
        <v>L2</v>
      </c>
    </row>
    <row r="4806" ht="15.75" customHeight="1">
      <c r="A4806" s="1" t="str">
        <f>IFERROR(__xludf.DUMMYFUNCTION("""COMPUTED_VALUE"""),"Madeline Irom")</f>
        <v>Madeline Irom</v>
      </c>
      <c r="B4806" s="1" t="str">
        <f>IFERROR(__xludf.DUMMYFUNCTION("""COMPUTED_VALUE"""),"L2")</f>
        <v>L2</v>
      </c>
    </row>
    <row r="4807" ht="15.75" customHeight="1">
      <c r="A4807" s="1" t="str">
        <f>IFERROR(__xludf.DUMMYFUNCTION("""COMPUTED_VALUE"""),"Remington Robbins")</f>
        <v>Remington Robbins</v>
      </c>
      <c r="B4807" s="1" t="str">
        <f>IFERROR(__xludf.DUMMYFUNCTION("""COMPUTED_VALUE"""),"MS")</f>
        <v>MS</v>
      </c>
    </row>
    <row r="4808" ht="15.75" customHeight="1">
      <c r="A4808" s="1" t="str">
        <f>IFERROR(__xludf.DUMMYFUNCTION("""COMPUTED_VALUE"""),"Enzo Kim")</f>
        <v>Enzo Kim</v>
      </c>
      <c r="B4808" s="1" t="str">
        <f>IFERROR(__xludf.DUMMYFUNCTION("""COMPUTED_VALUE"""),"L1")</f>
        <v>L1</v>
      </c>
    </row>
    <row r="4809" ht="15.75" customHeight="1">
      <c r="A4809" s="1" t="str">
        <f>IFERROR(__xludf.DUMMYFUNCTION("""COMPUTED_VALUE"""),"Josephine Valvo")</f>
        <v>Josephine Valvo</v>
      </c>
      <c r="B4809" s="1" t="str">
        <f>IFERROR(__xludf.DUMMYFUNCTION("""COMPUTED_VALUE"""),"L1")</f>
        <v>L1</v>
      </c>
    </row>
    <row r="4810" ht="15.75" customHeight="1">
      <c r="A4810" s="1" t="str">
        <f>IFERROR(__xludf.DUMMYFUNCTION("""COMPUTED_VALUE"""),"Sait Kaan Ozdogan")</f>
        <v>Sait Kaan Ozdogan</v>
      </c>
      <c r="B4810" s="1" t="str">
        <f>IFERROR(__xludf.DUMMYFUNCTION("""COMPUTED_VALUE"""),"L1")</f>
        <v>L1</v>
      </c>
    </row>
    <row r="4811" ht="15.75" customHeight="1">
      <c r="A4811" s="1" t="str">
        <f>IFERROR(__xludf.DUMMYFUNCTION("""COMPUTED_VALUE"""),"Serkan Mete Ozdogan")</f>
        <v>Serkan Mete Ozdogan</v>
      </c>
      <c r="B4811" s="1" t="str">
        <f>IFERROR(__xludf.DUMMYFUNCTION("""COMPUTED_VALUE"""),"WL")</f>
        <v>WL</v>
      </c>
    </row>
    <row r="4812" ht="15.75" customHeight="1">
      <c r="A4812" s="1" t="str">
        <f>IFERROR(__xludf.DUMMYFUNCTION("""COMPUTED_VALUE"""),"Christopher Bastha")</f>
        <v>Christopher Bastha</v>
      </c>
      <c r="B4812" s="1" t="str">
        <f>IFERROR(__xludf.DUMMYFUNCTION("""COMPUTED_VALUE"""),"WL")</f>
        <v>WL</v>
      </c>
    </row>
    <row r="4813" ht="15.75" customHeight="1">
      <c r="A4813" s="1" t="str">
        <f>IFERROR(__xludf.DUMMYFUNCTION("""COMPUTED_VALUE"""),"Angelina Lu")</f>
        <v>Angelina Lu</v>
      </c>
      <c r="B4813" s="1" t="str">
        <f>IFERROR(__xludf.DUMMYFUNCTION("""COMPUTED_VALUE"""),"L2")</f>
        <v>L2</v>
      </c>
    </row>
    <row r="4814" ht="15.75" customHeight="1">
      <c r="A4814" s="1" t="str">
        <f>IFERROR(__xludf.DUMMYFUNCTION("""COMPUTED_VALUE"""),"Laylie Falahi")</f>
        <v>Laylie Falahi</v>
      </c>
      <c r="B4814" s="1" t="str">
        <f>IFERROR(__xludf.DUMMYFUNCTION("""COMPUTED_VALUE"""),"LL")</f>
        <v>LL</v>
      </c>
    </row>
    <row r="4815" ht="15.75" customHeight="1">
      <c r="A4815" s="1" t="str">
        <f>IFERROR(__xludf.DUMMYFUNCTION("""COMPUTED_VALUE"""),"Hunter Taback")</f>
        <v>Hunter Taback</v>
      </c>
      <c r="B4815" s="1" t="str">
        <f>IFERROR(__xludf.DUMMYFUNCTION("""COMPUTED_VALUE"""),"L2")</f>
        <v>L2</v>
      </c>
    </row>
    <row r="4816" ht="15.75" customHeight="1">
      <c r="A4816" s="1" t="str">
        <f>IFERROR(__xludf.DUMMYFUNCTION("""COMPUTED_VALUE"""),"William Jiang")</f>
        <v>William Jiang</v>
      </c>
      <c r="B4816" s="1" t="str">
        <f>IFERROR(__xludf.DUMMYFUNCTION("""COMPUTED_VALUE"""),"LL")</f>
        <v>LL</v>
      </c>
    </row>
    <row r="4817" ht="15.75" customHeight="1">
      <c r="A4817" s="1" t="str">
        <f>IFERROR(__xludf.DUMMYFUNCTION("""COMPUTED_VALUE"""),"Niko Valvo")</f>
        <v>Niko Valvo</v>
      </c>
      <c r="B4817" s="1" t="str">
        <f>IFERROR(__xludf.DUMMYFUNCTION("""COMPUTED_VALUE"""),"MS")</f>
        <v>MS</v>
      </c>
    </row>
    <row r="4818" ht="15.75" customHeight="1">
      <c r="A4818" s="1" t="str">
        <f>IFERROR(__xludf.DUMMYFUNCTION("""COMPUTED_VALUE"""),"Holden Scammel")</f>
        <v>Holden Scammel</v>
      </c>
      <c r="B4818" s="1" t="str">
        <f>IFERROR(__xludf.DUMMYFUNCTION("""COMPUTED_VALUE"""),"WL")</f>
        <v>WL</v>
      </c>
    </row>
    <row r="4819" ht="15.75" customHeight="1">
      <c r="A4819" s="1" t="str">
        <f>IFERROR(__xludf.DUMMYFUNCTION("""COMPUTED_VALUE"""),"Kaden Kane")</f>
        <v>Kaden Kane</v>
      </c>
      <c r="B4819" s="1" t="str">
        <f>IFERROR(__xludf.DUMMYFUNCTION("""COMPUTED_VALUE"""),"MS")</f>
        <v>MS</v>
      </c>
    </row>
    <row r="4820" ht="15.75" customHeight="1">
      <c r="A4820" s="1" t="str">
        <f>IFERROR(__xludf.DUMMYFUNCTION("""COMPUTED_VALUE"""),"Heloise Cortney")</f>
        <v>Heloise Cortney</v>
      </c>
      <c r="B4820" s="1" t="str">
        <f>IFERROR(__xludf.DUMMYFUNCTION("""COMPUTED_VALUE"""),"L2")</f>
        <v>L2</v>
      </c>
    </row>
    <row r="4821" ht="15.75" customHeight="1">
      <c r="A4821" s="1" t="str">
        <f>IFERROR(__xludf.DUMMYFUNCTION("""COMPUTED_VALUE"""),"Emma Murphy")</f>
        <v>Emma Murphy</v>
      </c>
      <c r="B4821" s="1" t="str">
        <f>IFERROR(__xludf.DUMMYFUNCTION("""COMPUTED_VALUE"""),"MS")</f>
        <v>MS</v>
      </c>
    </row>
    <row r="4822" ht="15.75" customHeight="1">
      <c r="A4822" s="1" t="str">
        <f>IFERROR(__xludf.DUMMYFUNCTION("""COMPUTED_VALUE"""),"London Plascencia")</f>
        <v>London Plascencia</v>
      </c>
      <c r="B4822" s="1" t="str">
        <f>IFERROR(__xludf.DUMMYFUNCTION("""COMPUTED_VALUE"""),"LL")</f>
        <v>LL</v>
      </c>
    </row>
    <row r="4823" ht="15.75" customHeight="1">
      <c r="A4823" s="1" t="str">
        <f>IFERROR(__xludf.DUMMYFUNCTION("""COMPUTED_VALUE"""),"Emori McDaniel")</f>
        <v>Emori McDaniel</v>
      </c>
      <c r="B4823" s="1" t="str">
        <f>IFERROR(__xludf.DUMMYFUNCTION("""COMPUTED_VALUE"""),"L2")</f>
        <v>L2</v>
      </c>
    </row>
    <row r="4824" ht="15.75" customHeight="1">
      <c r="A4824" s="1" t="str">
        <f>IFERROR(__xludf.DUMMYFUNCTION("""COMPUTED_VALUE"""),"Mary Elizabeth Searway")</f>
        <v>Mary Elizabeth Searway</v>
      </c>
      <c r="B4824" s="1" t="str">
        <f>IFERROR(__xludf.DUMMYFUNCTION("""COMPUTED_VALUE"""),"WL")</f>
        <v>WL</v>
      </c>
    </row>
    <row r="4825" ht="15.75" customHeight="1">
      <c r="A4825" s="1" t="str">
        <f>IFERROR(__xludf.DUMMYFUNCTION("""COMPUTED_VALUE"""),"Reed Emerton")</f>
        <v>Reed Emerton</v>
      </c>
      <c r="B4825" s="1" t="str">
        <f>IFERROR(__xludf.DUMMYFUNCTION("""COMPUTED_VALUE"""),"LL")</f>
        <v>LL</v>
      </c>
    </row>
    <row r="4826" ht="15.75" customHeight="1">
      <c r="A4826" s="1" t="str">
        <f>IFERROR(__xludf.DUMMYFUNCTION("""COMPUTED_VALUE"""),"Keaton Beck")</f>
        <v>Keaton Beck</v>
      </c>
      <c r="B4826" s="1" t="str">
        <f>IFERROR(__xludf.DUMMYFUNCTION("""COMPUTED_VALUE"""),"L1")</f>
        <v>L1</v>
      </c>
    </row>
    <row r="4827" ht="15.75" customHeight="1">
      <c r="A4827" s="1" t="str">
        <f>IFERROR(__xludf.DUMMYFUNCTION("""COMPUTED_VALUE"""),"Jacob Vandercook")</f>
        <v>Jacob Vandercook</v>
      </c>
      <c r="B4827" s="1" t="str">
        <f>IFERROR(__xludf.DUMMYFUNCTION("""COMPUTED_VALUE"""),"MS")</f>
        <v>MS</v>
      </c>
    </row>
    <row r="4828" ht="15.75" customHeight="1">
      <c r="A4828" s="1" t="str">
        <f>IFERROR(__xludf.DUMMYFUNCTION("""COMPUTED_VALUE"""),"Blair Obrecht")</f>
        <v>Blair Obrecht</v>
      </c>
      <c r="B4828" s="1" t="str">
        <f>IFERROR(__xludf.DUMMYFUNCTION("""COMPUTED_VALUE"""),"L2")</f>
        <v>L2</v>
      </c>
    </row>
    <row r="4829" ht="15.75" customHeight="1">
      <c r="A4829" s="1" t="str">
        <f>IFERROR(__xludf.DUMMYFUNCTION("""COMPUTED_VALUE"""),"Teddy Obrecht")</f>
        <v>Teddy Obrecht</v>
      </c>
      <c r="B4829" s="1" t="str">
        <f>IFERROR(__xludf.DUMMYFUNCTION("""COMPUTED_VALUE"""),"LL")</f>
        <v>LL</v>
      </c>
    </row>
    <row r="4830" ht="15.75" customHeight="1">
      <c r="A4830" s="1" t="str">
        <f>IFERROR(__xludf.DUMMYFUNCTION("""COMPUTED_VALUE"""),"Evanna McDaniel")</f>
        <v>Evanna McDaniel</v>
      </c>
      <c r="B4830" s="1" t="str">
        <f>IFERROR(__xludf.DUMMYFUNCTION("""COMPUTED_VALUE"""),"LL")</f>
        <v>LL</v>
      </c>
    </row>
    <row r="4831" ht="15.75" customHeight="1">
      <c r="A4831" s="1" t="str">
        <f>IFERROR(__xludf.DUMMYFUNCTION("""COMPUTED_VALUE"""),"Dmitry _test_Child")</f>
        <v>Dmitry _test_Child</v>
      </c>
      <c r="B4831" s="1" t="str">
        <f>IFERROR(__xludf.DUMMYFUNCTION("""COMPUTED_VALUE"""),"L1")</f>
        <v>L1</v>
      </c>
    </row>
    <row r="4832" ht="15.75" customHeight="1">
      <c r="A4832" s="1" t="str">
        <f>IFERROR(__xludf.DUMMYFUNCTION("""COMPUTED_VALUE"""),"Easton Niles")</f>
        <v>Easton Niles</v>
      </c>
      <c r="B4832" s="1" t="str">
        <f>IFERROR(__xludf.DUMMYFUNCTION("""COMPUTED_VALUE"""),"L1")</f>
        <v>L1</v>
      </c>
    </row>
    <row r="4833" ht="15.75" customHeight="1">
      <c r="A4833" s="1" t="str">
        <f>IFERROR(__xludf.DUMMYFUNCTION("""COMPUTED_VALUE"""),"Kankanala Vihaan")</f>
        <v>Kankanala Vihaan</v>
      </c>
      <c r="B4833" s="1" t="str">
        <f>IFERROR(__xludf.DUMMYFUNCTION("""COMPUTED_VALUE"""),"LL")</f>
        <v>LL</v>
      </c>
    </row>
    <row r="4834" ht="15.75" customHeight="1">
      <c r="A4834" s="1" t="str">
        <f>IFERROR(__xludf.DUMMYFUNCTION("""COMPUTED_VALUE"""),"August Ali")</f>
        <v>August Ali</v>
      </c>
      <c r="B4834" s="1" t="str">
        <f>IFERROR(__xludf.DUMMYFUNCTION("""COMPUTED_VALUE"""),"MS")</f>
        <v>MS</v>
      </c>
    </row>
    <row r="4835" ht="15.75" customHeight="1">
      <c r="A4835" s="1" t="str">
        <f>IFERROR(__xludf.DUMMYFUNCTION("""COMPUTED_VALUE"""),"Payton Kroll")</f>
        <v>Payton Kroll</v>
      </c>
      <c r="B4835" s="1" t="str">
        <f>IFERROR(__xludf.DUMMYFUNCTION("""COMPUTED_VALUE"""),"WL")</f>
        <v>WL</v>
      </c>
    </row>
    <row r="4836" ht="15.75" customHeight="1">
      <c r="A4836" s="1" t="str">
        <f>IFERROR(__xludf.DUMMYFUNCTION("""COMPUTED_VALUE"""),"Max Johnson")</f>
        <v>Max Johnson</v>
      </c>
      <c r="B4836" s="1" t="str">
        <f>IFERROR(__xludf.DUMMYFUNCTION("""COMPUTED_VALUE"""),"L1")</f>
        <v>L1</v>
      </c>
    </row>
    <row r="4837" ht="15.75" customHeight="1">
      <c r="A4837" s="1" t="str">
        <f>IFERROR(__xludf.DUMMYFUNCTION("""COMPUTED_VALUE"""),"Henry Johnson")</f>
        <v>Henry Johnson</v>
      </c>
      <c r="B4837" s="1" t="str">
        <f>IFERROR(__xludf.DUMMYFUNCTION("""COMPUTED_VALUE"""),"LL")</f>
        <v>LL</v>
      </c>
    </row>
    <row r="4838" ht="15.75" customHeight="1">
      <c r="A4838" s="1" t="str">
        <f>IFERROR(__xludf.DUMMYFUNCTION("""COMPUTED_VALUE"""),"Terrance McCray")</f>
        <v>Terrance McCray</v>
      </c>
      <c r="B4838" s="1" t="str">
        <f>IFERROR(__xludf.DUMMYFUNCTION("""COMPUTED_VALUE"""),"LL")</f>
        <v>LL</v>
      </c>
    </row>
    <row r="4839" ht="15.75" customHeight="1">
      <c r="A4839" s="1" t="str">
        <f>IFERROR(__xludf.DUMMYFUNCTION("""COMPUTED_VALUE"""),"Leonardo Radatovich")</f>
        <v>Leonardo Radatovich</v>
      </c>
      <c r="B4839" s="1" t="str">
        <f>IFERROR(__xludf.DUMMYFUNCTION("""COMPUTED_VALUE"""),"LL")</f>
        <v>LL</v>
      </c>
    </row>
    <row r="4840" ht="15.75" customHeight="1">
      <c r="A4840" s="1" t="str">
        <f>IFERROR(__xludf.DUMMYFUNCTION("""COMPUTED_VALUE"""),"test 1 _test_")</f>
        <v>test 1 _test_</v>
      </c>
      <c r="B4840" s="1" t="str">
        <f>IFERROR(__xludf.DUMMYFUNCTION("""COMPUTED_VALUE"""),"LL")</f>
        <v>LL</v>
      </c>
    </row>
    <row r="4841" ht="15.75" customHeight="1">
      <c r="A4841" s="1" t="str">
        <f>IFERROR(__xludf.DUMMYFUNCTION("""COMPUTED_VALUE"""),"Dmitry _test_FortWorth")</f>
        <v>Dmitry _test_FortWorth</v>
      </c>
      <c r="B4841" s="1" t="str">
        <f>IFERROR(__xludf.DUMMYFUNCTION("""COMPUTED_VALUE"""),"L1")</f>
        <v>L1</v>
      </c>
    </row>
    <row r="4842" ht="15.75" customHeight="1">
      <c r="A4842" s="1" t="str">
        <f>IFERROR(__xludf.DUMMYFUNCTION("""COMPUTED_VALUE"""),"Vihaan Reddy Dyavershetty")</f>
        <v>Vihaan Reddy Dyavershetty</v>
      </c>
      <c r="B4842" s="1" t="str">
        <f>IFERROR(__xludf.DUMMYFUNCTION("""COMPUTED_VALUE"""),"WL")</f>
        <v>WL</v>
      </c>
    </row>
    <row r="4843" ht="15.75" customHeight="1">
      <c r="A4843" s="1" t="str">
        <f>IFERROR(__xludf.DUMMYFUNCTION("""COMPUTED_VALUE"""),"Dawson Poplin")</f>
        <v>Dawson Poplin</v>
      </c>
      <c r="B4843" s="1" t="str">
        <f>IFERROR(__xludf.DUMMYFUNCTION("""COMPUTED_VALUE"""),"WL")</f>
        <v>WL</v>
      </c>
    </row>
    <row r="4844" ht="15.75" customHeight="1">
      <c r="A4844" s="1" t="str">
        <f>IFERROR(__xludf.DUMMYFUNCTION("""COMPUTED_VALUE"""),"Jace Joslyn")</f>
        <v>Jace Joslyn</v>
      </c>
      <c r="B4844" s="1" t="str">
        <f>IFERROR(__xludf.DUMMYFUNCTION("""COMPUTED_VALUE"""),"LL")</f>
        <v>LL</v>
      </c>
    </row>
    <row r="4845" ht="15.75" customHeight="1">
      <c r="A4845" s="1" t="str">
        <f>IFERROR(__xludf.DUMMYFUNCTION("""COMPUTED_VALUE"""),"Analea Lopez")</f>
        <v>Analea Lopez</v>
      </c>
      <c r="B4845" s="1" t="str">
        <f>IFERROR(__xludf.DUMMYFUNCTION("""COMPUTED_VALUE"""),"L1")</f>
        <v>L1</v>
      </c>
    </row>
    <row r="4846" ht="15.75" customHeight="1">
      <c r="A4846" s="1" t="str">
        <f>IFERROR(__xludf.DUMMYFUNCTION("""COMPUTED_VALUE"""),"Octavia Gieskes")</f>
        <v>Octavia Gieskes</v>
      </c>
      <c r="B4846" s="1" t="str">
        <f>IFERROR(__xludf.DUMMYFUNCTION("""COMPUTED_VALUE"""),"LL")</f>
        <v>LL</v>
      </c>
    </row>
    <row r="4847" ht="15.75" customHeight="1">
      <c r="A4847" s="1" t="str">
        <f>IFERROR(__xludf.DUMMYFUNCTION("""COMPUTED_VALUE"""),"Atticus Gieskes")</f>
        <v>Atticus Gieskes</v>
      </c>
      <c r="B4847" s="1" t="str">
        <f>IFERROR(__xludf.DUMMYFUNCTION("""COMPUTED_VALUE"""),"L2")</f>
        <v>L2</v>
      </c>
    </row>
    <row r="4848" ht="15.75" customHeight="1">
      <c r="A4848" s="1" t="str">
        <f>IFERROR(__xludf.DUMMYFUNCTION("""COMPUTED_VALUE"""),"Joan Olson")</f>
        <v>Joan Olson</v>
      </c>
      <c r="B4848" s="1" t="str">
        <f>IFERROR(__xludf.DUMMYFUNCTION("""COMPUTED_VALUE"""),"MS")</f>
        <v>MS</v>
      </c>
    </row>
    <row r="4849" ht="15.75" customHeight="1">
      <c r="A4849" s="1" t="str">
        <f>IFERROR(__xludf.DUMMYFUNCTION("""COMPUTED_VALUE"""),"Lisa Olson")</f>
        <v>Lisa Olson</v>
      </c>
      <c r="B4849" s="1" t="str">
        <f>IFERROR(__xludf.DUMMYFUNCTION("""COMPUTED_VALUE"""),"L1")</f>
        <v>L1</v>
      </c>
    </row>
    <row r="4850" ht="15.75" customHeight="1">
      <c r="A4850" s="1" t="str">
        <f>IFERROR(__xludf.DUMMYFUNCTION("""COMPUTED_VALUE"""),"Ryan Zawatieh")</f>
        <v>Ryan Zawatieh</v>
      </c>
      <c r="B4850" s="1" t="str">
        <f>IFERROR(__xludf.DUMMYFUNCTION("""COMPUTED_VALUE"""),"MS")</f>
        <v>MS</v>
      </c>
    </row>
    <row r="4851" ht="15.75" customHeight="1">
      <c r="A4851" s="1" t="str">
        <f>IFERROR(__xludf.DUMMYFUNCTION("""COMPUTED_VALUE"""),"Garrett Mullins")</f>
        <v>Garrett Mullins</v>
      </c>
      <c r="B4851" s="1" t="str">
        <f>IFERROR(__xludf.DUMMYFUNCTION("""COMPUTED_VALUE"""),"L2")</f>
        <v>L2</v>
      </c>
    </row>
    <row r="4852" ht="15.75" customHeight="1">
      <c r="A4852" s="1" t="str">
        <f>IFERROR(__xludf.DUMMYFUNCTION("""COMPUTED_VALUE"""),"Joshua Mullins")</f>
        <v>Joshua Mullins</v>
      </c>
      <c r="B4852" s="1" t="str">
        <f>IFERROR(__xludf.DUMMYFUNCTION("""COMPUTED_VALUE"""),"L2")</f>
        <v>L2</v>
      </c>
    </row>
    <row r="4853" ht="15.75" customHeight="1">
      <c r="A4853" s="1" t="str">
        <f>IFERROR(__xludf.DUMMYFUNCTION("""COMPUTED_VALUE"""),"Everett Mroczkowski")</f>
        <v>Everett Mroczkowski</v>
      </c>
      <c r="B4853" s="1" t="str">
        <f>IFERROR(__xludf.DUMMYFUNCTION("""COMPUTED_VALUE"""),"L1")</f>
        <v>L1</v>
      </c>
    </row>
    <row r="4854" ht="15.75" customHeight="1">
      <c r="A4854" s="1" t="str">
        <f>IFERROR(__xludf.DUMMYFUNCTION("""COMPUTED_VALUE"""),"Arianna Salazar")</f>
        <v>Arianna Salazar</v>
      </c>
      <c r="B4854" s="1" t="str">
        <f>IFERROR(__xludf.DUMMYFUNCTION("""COMPUTED_VALUE"""),"L2")</f>
        <v>L2</v>
      </c>
    </row>
    <row r="4855" ht="15.75" customHeight="1">
      <c r="A4855" s="1" t="str">
        <f>IFERROR(__xludf.DUMMYFUNCTION("""COMPUTED_VALUE"""),"Brandon Gonzales")</f>
        <v>Brandon Gonzales</v>
      </c>
      <c r="B4855" s="1" t="str">
        <f>IFERROR(__xludf.DUMMYFUNCTION("""COMPUTED_VALUE"""),"L1")</f>
        <v>L1</v>
      </c>
    </row>
    <row r="4856" ht="15.75" customHeight="1">
      <c r="A4856" s="1" t="str">
        <f>IFERROR(__xludf.DUMMYFUNCTION("""COMPUTED_VALUE"""),"Orion Lira")</f>
        <v>Orion Lira</v>
      </c>
      <c r="B4856" s="1" t="str">
        <f>IFERROR(__xludf.DUMMYFUNCTION("""COMPUTED_VALUE"""),"L1")</f>
        <v>L1</v>
      </c>
    </row>
    <row r="4857" ht="15.75" customHeight="1">
      <c r="A4857" s="1" t="str">
        <f>IFERROR(__xludf.DUMMYFUNCTION("""COMPUTED_VALUE"""),"Noah Allen")</f>
        <v>Noah Allen</v>
      </c>
      <c r="B4857" s="1" t="str">
        <f>IFERROR(__xludf.DUMMYFUNCTION("""COMPUTED_VALUE"""),"L1")</f>
        <v>L1</v>
      </c>
    </row>
    <row r="4858" ht="15.75" customHeight="1">
      <c r="A4858" s="1" t="str">
        <f>IFERROR(__xludf.DUMMYFUNCTION("""COMPUTED_VALUE"""),"Lincoln Criss")</f>
        <v>Lincoln Criss</v>
      </c>
      <c r="B4858" s="1" t="str">
        <f>IFERROR(__xludf.DUMMYFUNCTION("""COMPUTED_VALUE"""),"L1")</f>
        <v>L1</v>
      </c>
    </row>
    <row r="4859" ht="15.75" customHeight="1">
      <c r="A4859" s="1" t="str">
        <f>IFERROR(__xludf.DUMMYFUNCTION("""COMPUTED_VALUE"""),"Levi Benz")</f>
        <v>Levi Benz</v>
      </c>
      <c r="B4859" s="1" t="str">
        <f>IFERROR(__xludf.DUMMYFUNCTION("""COMPUTED_VALUE"""),"LL")</f>
        <v>LL</v>
      </c>
    </row>
    <row r="4860" ht="15.75" customHeight="1">
      <c r="A4860" s="1" t="str">
        <f>IFERROR(__xludf.DUMMYFUNCTION("""COMPUTED_VALUE"""),"Child Last")</f>
        <v>Child Last</v>
      </c>
      <c r="B4860" s="1" t="str">
        <f>IFERROR(__xludf.DUMMYFUNCTION("""COMPUTED_VALUE"""),"LL")</f>
        <v>LL</v>
      </c>
    </row>
    <row r="4861" ht="15.75" customHeight="1">
      <c r="A4861" s="1" t="str">
        <f>IFERROR(__xludf.DUMMYFUNCTION("""COMPUTED_VALUE"""),"Test 5 _test_")</f>
        <v>Test 5 _test_</v>
      </c>
      <c r="B4861" s="1" t="str">
        <f>IFERROR(__xludf.DUMMYFUNCTION("""COMPUTED_VALUE"""),"WL")</f>
        <v>WL</v>
      </c>
    </row>
    <row r="4862" ht="15.75" customHeight="1">
      <c r="A4862" s="1" t="str">
        <f>IFERROR(__xludf.DUMMYFUNCTION("""COMPUTED_VALUE"""),"Nova Student _test_")</f>
        <v>Nova Student _test_</v>
      </c>
      <c r="B4862" s="1" t="str">
        <f>IFERROR(__xludf.DUMMYFUNCTION("""COMPUTED_VALUE"""),"L2")</f>
        <v>L2</v>
      </c>
    </row>
    <row r="4863" ht="15.75" customHeight="1">
      <c r="A4863" s="1" t="str">
        <f>IFERROR(__xludf.DUMMYFUNCTION("""COMPUTED_VALUE"""),"Oscar Beard")</f>
        <v>Oscar Beard</v>
      </c>
      <c r="B4863" s="1" t="str">
        <f>IFERROR(__xludf.DUMMYFUNCTION("""COMPUTED_VALUE"""),"MS")</f>
        <v>MS</v>
      </c>
    </row>
    <row r="4864" ht="15.75" customHeight="1">
      <c r="A4864" s="1" t="str">
        <f>IFERROR(__xludf.DUMMYFUNCTION("""COMPUTED_VALUE"""),"Kolton Radtke")</f>
        <v>Kolton Radtke</v>
      </c>
      <c r="B4864" s="1" t="str">
        <f>IFERROR(__xludf.DUMMYFUNCTION("""COMPUTED_VALUE"""),"L2")</f>
        <v>L2</v>
      </c>
    </row>
    <row r="4865" ht="15.75" customHeight="1">
      <c r="A4865" s="1" t="str">
        <f>IFERROR(__xludf.DUMMYFUNCTION("""COMPUTED_VALUE"""),"Kherington Radtke")</f>
        <v>Kherington Radtke</v>
      </c>
      <c r="B4865" s="1" t="str">
        <f>IFERROR(__xludf.DUMMYFUNCTION("""COMPUTED_VALUE"""),"L2")</f>
        <v>L2</v>
      </c>
    </row>
    <row r="4866" ht="15.75" customHeight="1">
      <c r="A4866" s="1" t="str">
        <f>IFERROR(__xludf.DUMMYFUNCTION("""COMPUTED_VALUE"""),"Ezekiel Villa")</f>
        <v>Ezekiel Villa</v>
      </c>
      <c r="B4866" s="1" t="str">
        <f>IFERROR(__xludf.DUMMYFUNCTION("""COMPUTED_VALUE"""),"L1")</f>
        <v>L1</v>
      </c>
    </row>
    <row r="4867" ht="15.75" customHeight="1">
      <c r="A4867" s="1" t="str">
        <f>IFERROR(__xludf.DUMMYFUNCTION("""COMPUTED_VALUE"""),"Caleb Magallanes")</f>
        <v>Caleb Magallanes</v>
      </c>
      <c r="B4867" s="1" t="str">
        <f>IFERROR(__xludf.DUMMYFUNCTION("""COMPUTED_VALUE"""),"MS")</f>
        <v>MS</v>
      </c>
    </row>
    <row r="4868" ht="15.75" customHeight="1">
      <c r="A4868" s="1" t="str">
        <f>IFERROR(__xludf.DUMMYFUNCTION("""COMPUTED_VALUE"""),"Gyshelah Moultry")</f>
        <v>Gyshelah Moultry</v>
      </c>
      <c r="B4868" s="1" t="str">
        <f>IFERROR(__xludf.DUMMYFUNCTION("""COMPUTED_VALUE"""),"MS")</f>
        <v>MS</v>
      </c>
    </row>
    <row r="4869" ht="15.75" customHeight="1">
      <c r="A4869" s="1" t="str">
        <f>IFERROR(__xludf.DUMMYFUNCTION("""COMPUTED_VALUE"""),"Gacori Moultry")</f>
        <v>Gacori Moultry</v>
      </c>
      <c r="B4869" s="1" t="str">
        <f>IFERROR(__xludf.DUMMYFUNCTION("""COMPUTED_VALUE"""),"L2")</f>
        <v>L2</v>
      </c>
    </row>
    <row r="4870" ht="15.75" customHeight="1">
      <c r="A4870" s="1" t="str">
        <f>IFERROR(__xludf.DUMMYFUNCTION("""COMPUTED_VALUE"""),"Gakai Moultry")</f>
        <v>Gakai Moultry</v>
      </c>
      <c r="B4870" s="1" t="str">
        <f>IFERROR(__xludf.DUMMYFUNCTION("""COMPUTED_VALUE"""),"L1")</f>
        <v>L1</v>
      </c>
    </row>
    <row r="4871" ht="15.75" customHeight="1">
      <c r="A4871" s="1" t="str">
        <f>IFERROR(__xludf.DUMMYFUNCTION("""COMPUTED_VALUE"""),"Genai Moultry")</f>
        <v>Genai Moultry</v>
      </c>
      <c r="B4871" s="1" t="str">
        <f>IFERROR(__xludf.DUMMYFUNCTION("""COMPUTED_VALUE"""),"L2")</f>
        <v>L2</v>
      </c>
    </row>
    <row r="4872" ht="15.75" customHeight="1">
      <c r="A4872" s="1" t="str">
        <f>IFERROR(__xludf.DUMMYFUNCTION("""COMPUTED_VALUE"""),"Gabriel Herran")</f>
        <v>Gabriel Herran</v>
      </c>
      <c r="B4872" s="1" t="str">
        <f>IFERROR(__xludf.DUMMYFUNCTION("""COMPUTED_VALUE"""),"L1")</f>
        <v>L1</v>
      </c>
    </row>
    <row r="4873" ht="15.75" customHeight="1">
      <c r="A4873" s="1" t="str">
        <f>IFERROR(__xludf.DUMMYFUNCTION("""COMPUTED_VALUE"""),"Sebastian Herran")</f>
        <v>Sebastian Herran</v>
      </c>
      <c r="B4873" s="1" t="str">
        <f>IFERROR(__xludf.DUMMYFUNCTION("""COMPUTED_VALUE"""),"MS")</f>
        <v>MS</v>
      </c>
    </row>
    <row r="4874" ht="15.75" customHeight="1">
      <c r="A4874" s="1" t="str">
        <f>IFERROR(__xludf.DUMMYFUNCTION("""COMPUTED_VALUE"""),"Anastasia Collins")</f>
        <v>Anastasia Collins</v>
      </c>
      <c r="B4874" s="1" t="str">
        <f>IFERROR(__xludf.DUMMYFUNCTION("""COMPUTED_VALUE"""),"MS")</f>
        <v>MS</v>
      </c>
    </row>
    <row r="4875" ht="15.75" customHeight="1">
      <c r="A4875" s="1" t="str">
        <f>IFERROR(__xludf.DUMMYFUNCTION("""COMPUTED_VALUE"""),"Olivia Collins")</f>
        <v>Olivia Collins</v>
      </c>
      <c r="B4875" s="1" t="str">
        <f>IFERROR(__xludf.DUMMYFUNCTION("""COMPUTED_VALUE"""),"L2")</f>
        <v>L2</v>
      </c>
    </row>
    <row r="4876" ht="15.75" customHeight="1">
      <c r="A4876" s="1" t="str">
        <f>IFERROR(__xludf.DUMMYFUNCTION("""COMPUTED_VALUE"""),"Jhadea Johnson")</f>
        <v>Jhadea Johnson</v>
      </c>
      <c r="B4876" s="1" t="str">
        <f>IFERROR(__xludf.DUMMYFUNCTION("""COMPUTED_VALUE"""),"L2")</f>
        <v>L2</v>
      </c>
    </row>
    <row r="4877" ht="15.75" customHeight="1">
      <c r="A4877" s="1" t="str">
        <f>IFERROR(__xludf.DUMMYFUNCTION("""COMPUTED_VALUE"""),"Sebastian Lizarraga")</f>
        <v>Sebastian Lizarraga</v>
      </c>
      <c r="B4877" s="1" t="str">
        <f>IFERROR(__xludf.DUMMYFUNCTION("""COMPUTED_VALUE"""),"MS")</f>
        <v>MS</v>
      </c>
    </row>
    <row r="4878" ht="15.75" customHeight="1">
      <c r="A4878" s="1" t="str">
        <f>IFERROR(__xludf.DUMMYFUNCTION("""COMPUTED_VALUE"""),"James Palmer")</f>
        <v>James Palmer</v>
      </c>
      <c r="B4878" s="1" t="str">
        <f>IFERROR(__xludf.DUMMYFUNCTION("""COMPUTED_VALUE"""),"MS")</f>
        <v>MS</v>
      </c>
    </row>
    <row r="4879" ht="15.75" customHeight="1">
      <c r="A4879" s="1" t="str">
        <f>IFERROR(__xludf.DUMMYFUNCTION("""COMPUTED_VALUE"""),"Deyna Edwards")</f>
        <v>Deyna Edwards</v>
      </c>
      <c r="B4879" s="1" t="str">
        <f>IFERROR(__xludf.DUMMYFUNCTION("""COMPUTED_VALUE"""),"MS")</f>
        <v>MS</v>
      </c>
    </row>
    <row r="4880" ht="15.75" customHeight="1">
      <c r="A4880" s="1" t="str">
        <f>IFERROR(__xludf.DUMMYFUNCTION("""COMPUTED_VALUE"""),"Christian Hanson")</f>
        <v>Christian Hanson</v>
      </c>
      <c r="B4880" s="1" t="str">
        <f>IFERROR(__xludf.DUMMYFUNCTION("""COMPUTED_VALUE"""),"L1")</f>
        <v>L1</v>
      </c>
    </row>
    <row r="4881" ht="15.75" customHeight="1">
      <c r="A4881" s="1" t="str">
        <f>IFERROR(__xludf.DUMMYFUNCTION("""COMPUTED_VALUE"""),"Skylar Hanson")</f>
        <v>Skylar Hanson</v>
      </c>
      <c r="B4881" s="1" t="str">
        <f>IFERROR(__xludf.DUMMYFUNCTION("""COMPUTED_VALUE"""),"L2")</f>
        <v>L2</v>
      </c>
    </row>
    <row r="4882" ht="15.75" customHeight="1">
      <c r="A4882" s="1" t="str">
        <f>IFERROR(__xludf.DUMMYFUNCTION("""COMPUTED_VALUE"""),"Aaliyah Bracamontes")</f>
        <v>Aaliyah Bracamontes</v>
      </c>
      <c r="B4882" s="1" t="str">
        <f>IFERROR(__xludf.DUMMYFUNCTION("""COMPUTED_VALUE"""),"L2")</f>
        <v>L2</v>
      </c>
    </row>
    <row r="4883" ht="15.75" customHeight="1">
      <c r="A4883" s="1" t="str">
        <f>IFERROR(__xludf.DUMMYFUNCTION("""COMPUTED_VALUE"""),"Alaya Rodriguez")</f>
        <v>Alaya Rodriguez</v>
      </c>
      <c r="B4883" s="1" t="str">
        <f>IFERROR(__xludf.DUMMYFUNCTION("""COMPUTED_VALUE"""),"MS")</f>
        <v>MS</v>
      </c>
    </row>
    <row r="4884" ht="15.75" customHeight="1">
      <c r="A4884" s="1" t="str">
        <f>IFERROR(__xludf.DUMMYFUNCTION("""COMPUTED_VALUE"""),"Donnie Test")</f>
        <v>Donnie Test</v>
      </c>
      <c r="B4884" s="1" t="str">
        <f>IFERROR(__xludf.DUMMYFUNCTION("""COMPUTED_VALUE"""),"MS")</f>
        <v>MS</v>
      </c>
    </row>
    <row r="4885" ht="15.75" customHeight="1">
      <c r="A4885" s="1" t="str">
        <f>IFERROR(__xludf.DUMMYFUNCTION("""COMPUTED_VALUE"""),"Michael Test")</f>
        <v>Michael Test</v>
      </c>
      <c r="B4885" s="1" t="str">
        <f>IFERROR(__xludf.DUMMYFUNCTION("""COMPUTED_VALUE"""),"L2")</f>
        <v>L2</v>
      </c>
    </row>
    <row r="4886" ht="15.75" customHeight="1">
      <c r="A4886" s="1" t="str">
        <f>IFERROR(__xludf.DUMMYFUNCTION("""COMPUTED_VALUE"""),"Katarina Test")</f>
        <v>Katarina Test</v>
      </c>
      <c r="B4886" s="1" t="str">
        <f>IFERROR(__xludf.DUMMYFUNCTION("""COMPUTED_VALUE"""),"MS")</f>
        <v>MS</v>
      </c>
    </row>
    <row r="4887" ht="15.75" customHeight="1">
      <c r="A4887" s="1" t="str">
        <f>IFERROR(__xludf.DUMMYFUNCTION("""COMPUTED_VALUE"""),"Kylie Test")</f>
        <v>Kylie Test</v>
      </c>
      <c r="B4887" s="1" t="str">
        <f>IFERROR(__xludf.DUMMYFUNCTION("""COMPUTED_VALUE"""),"MS")</f>
        <v>MS</v>
      </c>
    </row>
    <row r="4888" ht="15.75" customHeight="1">
      <c r="A4888" s="1" t="str">
        <f>IFERROR(__xludf.DUMMYFUNCTION("""COMPUTED_VALUE"""),"Test Novatio1")</f>
        <v>Test Novatio1</v>
      </c>
      <c r="B4888" s="1" t="str">
        <f>IFERROR(__xludf.DUMMYFUNCTION("""COMPUTED_VALUE"""),"MS")</f>
        <v>MS</v>
      </c>
    </row>
    <row r="4889" ht="15.75" customHeight="1">
      <c r="A4889" s="1" t="str">
        <f>IFERROR(__xludf.DUMMYFUNCTION("""COMPUTED_VALUE"""),"Tyiir Woods")</f>
        <v>Tyiir Woods</v>
      </c>
      <c r="B4889" s="1" t="str">
        <f>IFERROR(__xludf.DUMMYFUNCTION("""COMPUTED_VALUE"""),"L2")</f>
        <v>L2</v>
      </c>
    </row>
    <row r="4890" ht="15.75" customHeight="1">
      <c r="A4890" s="1" t="str">
        <f>IFERROR(__xludf.DUMMYFUNCTION("""COMPUTED_VALUE"""),"Anabeth Blodgett")</f>
        <v>Anabeth Blodgett</v>
      </c>
      <c r="B4890" s="1" t="str">
        <f>IFERROR(__xludf.DUMMYFUNCTION("""COMPUTED_VALUE"""),"MS")</f>
        <v>MS</v>
      </c>
    </row>
    <row r="4891" ht="15.75" customHeight="1">
      <c r="A4891" s="1" t="str">
        <f>IFERROR(__xludf.DUMMYFUNCTION("""COMPUTED_VALUE"""),"Sophie Chang")</f>
        <v>Sophie Chang</v>
      </c>
      <c r="B4891" s="1" t="str">
        <f>IFERROR(__xludf.DUMMYFUNCTION("""COMPUTED_VALUE"""),"MS")</f>
        <v>MS</v>
      </c>
    </row>
    <row r="4892" ht="15.75" customHeight="1">
      <c r="A4892" s="1" t="str">
        <f>IFERROR(__xludf.DUMMYFUNCTION("""COMPUTED_VALUE"""),"Warren Meyer")</f>
        <v>Warren Meyer</v>
      </c>
      <c r="B4892" s="1" t="str">
        <f>IFERROR(__xludf.DUMMYFUNCTION("""COMPUTED_VALUE"""),"L2")</f>
        <v>L2</v>
      </c>
    </row>
    <row r="4893" ht="15.75" customHeight="1">
      <c r="A4893" s="1" t="str">
        <f>IFERROR(__xludf.DUMMYFUNCTION("""COMPUTED_VALUE"""),"User 1")</f>
        <v>User 1</v>
      </c>
      <c r="B4893" s="1" t="str">
        <f>IFERROR(__xludf.DUMMYFUNCTION("""COMPUTED_VALUE"""),"L2")</f>
        <v>L2</v>
      </c>
    </row>
    <row r="4894" ht="15.75" customHeight="1">
      <c r="A4894" s="1" t="str">
        <f>IFERROR(__xludf.DUMMYFUNCTION("""COMPUTED_VALUE"""),"User 2")</f>
        <v>User 2</v>
      </c>
      <c r="B4894" s="1" t="str">
        <f>IFERROR(__xludf.DUMMYFUNCTION("""COMPUTED_VALUE"""),"L2")</f>
        <v>L2</v>
      </c>
    </row>
    <row r="4895" ht="15.75" customHeight="1">
      <c r="A4895" s="1" t="str">
        <f>IFERROR(__xludf.DUMMYFUNCTION("""COMPUTED_VALUE"""),"User 3")</f>
        <v>User 3</v>
      </c>
      <c r="B4895" s="1" t="str">
        <f>IFERROR(__xludf.DUMMYFUNCTION("""COMPUTED_VALUE"""),"L2")</f>
        <v>L2</v>
      </c>
    </row>
    <row r="4896" ht="15.75" customHeight="1">
      <c r="A4896" s="1" t="str">
        <f>IFERROR(__xludf.DUMMYFUNCTION("""COMPUTED_VALUE"""),"User 4")</f>
        <v>User 4</v>
      </c>
      <c r="B4896" s="1" t="str">
        <f>IFERROR(__xludf.DUMMYFUNCTION("""COMPUTED_VALUE"""),"L2")</f>
        <v>L2</v>
      </c>
    </row>
    <row r="4897" ht="15.75" customHeight="1">
      <c r="A4897" s="1" t="str">
        <f>IFERROR(__xludf.DUMMYFUNCTION("""COMPUTED_VALUE"""),"User 5")</f>
        <v>User 5</v>
      </c>
      <c r="B4897" s="1" t="str">
        <f>IFERROR(__xludf.DUMMYFUNCTION("""COMPUTED_VALUE"""),"L2")</f>
        <v>L2</v>
      </c>
    </row>
    <row r="4898" ht="15.75" customHeight="1">
      <c r="A4898" s="1" t="str">
        <f>IFERROR(__xludf.DUMMYFUNCTION("""COMPUTED_VALUE"""),"User 6")</f>
        <v>User 6</v>
      </c>
      <c r="B4898" s="1" t="str">
        <f>IFERROR(__xludf.DUMMYFUNCTION("""COMPUTED_VALUE"""),"L2")</f>
        <v>L2</v>
      </c>
    </row>
    <row r="4899" ht="15.75" customHeight="1">
      <c r="A4899" s="1" t="str">
        <f>IFERROR(__xludf.DUMMYFUNCTION("""COMPUTED_VALUE"""),"User 7")</f>
        <v>User 7</v>
      </c>
      <c r="B4899" s="1" t="str">
        <f>IFERROR(__xludf.DUMMYFUNCTION("""COMPUTED_VALUE"""),"L2")</f>
        <v>L2</v>
      </c>
    </row>
    <row r="4900" ht="15.75" customHeight="1">
      <c r="A4900" s="1" t="str">
        <f>IFERROR(__xludf.DUMMYFUNCTION("""COMPUTED_VALUE"""),"User 8")</f>
        <v>User 8</v>
      </c>
      <c r="B4900" s="1" t="str">
        <f>IFERROR(__xludf.DUMMYFUNCTION("""COMPUTED_VALUE"""),"L2")</f>
        <v>L2</v>
      </c>
    </row>
    <row r="4901" ht="15.75" customHeight="1">
      <c r="A4901" s="1" t="str">
        <f>IFERROR(__xludf.DUMMYFUNCTION("""COMPUTED_VALUE"""),"User 9")</f>
        <v>User 9</v>
      </c>
      <c r="B4901" s="1" t="str">
        <f>IFERROR(__xludf.DUMMYFUNCTION("""COMPUTED_VALUE"""),"L2")</f>
        <v>L2</v>
      </c>
    </row>
    <row r="4902" ht="15.75" customHeight="1">
      <c r="A4902" s="1" t="str">
        <f>IFERROR(__xludf.DUMMYFUNCTION("""COMPUTED_VALUE"""),"User 10")</f>
        <v>User 10</v>
      </c>
      <c r="B4902" s="1" t="str">
        <f>IFERROR(__xludf.DUMMYFUNCTION("""COMPUTED_VALUE"""),"L2")</f>
        <v>L2</v>
      </c>
    </row>
    <row r="4903" ht="15.75" customHeight="1">
      <c r="A4903" s="1" t="str">
        <f>IFERROR(__xludf.DUMMYFUNCTION("""COMPUTED_VALUE"""),"User 11")</f>
        <v>User 11</v>
      </c>
      <c r="B4903" s="1" t="str">
        <f>IFERROR(__xludf.DUMMYFUNCTION("""COMPUTED_VALUE"""),"L2")</f>
        <v>L2</v>
      </c>
    </row>
    <row r="4904" ht="15.75" customHeight="1">
      <c r="A4904" s="1" t="str">
        <f>IFERROR(__xludf.DUMMYFUNCTION("""COMPUTED_VALUE"""),"User 12")</f>
        <v>User 12</v>
      </c>
      <c r="B4904" s="1" t="str">
        <f>IFERROR(__xludf.DUMMYFUNCTION("""COMPUTED_VALUE"""),"L2")</f>
        <v>L2</v>
      </c>
    </row>
    <row r="4905" ht="15.75" customHeight="1">
      <c r="A4905" s="1" t="str">
        <f>IFERROR(__xludf.DUMMYFUNCTION("""COMPUTED_VALUE"""),"User 13")</f>
        <v>User 13</v>
      </c>
      <c r="B4905" s="1" t="str">
        <f>IFERROR(__xludf.DUMMYFUNCTION("""COMPUTED_VALUE"""),"L2")</f>
        <v>L2</v>
      </c>
    </row>
    <row r="4906" ht="15.75" customHeight="1">
      <c r="A4906" s="1" t="str">
        <f>IFERROR(__xludf.DUMMYFUNCTION("""COMPUTED_VALUE"""),"User 14")</f>
        <v>User 14</v>
      </c>
      <c r="B4906" s="1" t="str">
        <f>IFERROR(__xludf.DUMMYFUNCTION("""COMPUTED_VALUE"""),"L2")</f>
        <v>L2</v>
      </c>
    </row>
    <row r="4907" ht="15.75" customHeight="1">
      <c r="A4907" s="1" t="str">
        <f>IFERROR(__xludf.DUMMYFUNCTION("""COMPUTED_VALUE"""),"User 15")</f>
        <v>User 15</v>
      </c>
      <c r="B4907" s="1" t="str">
        <f>IFERROR(__xludf.DUMMYFUNCTION("""COMPUTED_VALUE"""),"L2")</f>
        <v>L2</v>
      </c>
    </row>
    <row r="4908" ht="15.75" customHeight="1">
      <c r="A4908" s="1" t="str">
        <f>IFERROR(__xludf.DUMMYFUNCTION("""COMPUTED_VALUE"""),"User 16")</f>
        <v>User 16</v>
      </c>
      <c r="B4908" s="1" t="str">
        <f>IFERROR(__xludf.DUMMYFUNCTION("""COMPUTED_VALUE"""),"L2")</f>
        <v>L2</v>
      </c>
    </row>
    <row r="4909" ht="15.75" customHeight="1">
      <c r="A4909" s="1" t="str">
        <f>IFERROR(__xludf.DUMMYFUNCTION("""COMPUTED_VALUE"""),"User 17")</f>
        <v>User 17</v>
      </c>
      <c r="B4909" s="1" t="str">
        <f>IFERROR(__xludf.DUMMYFUNCTION("""COMPUTED_VALUE"""),"L2")</f>
        <v>L2</v>
      </c>
    </row>
    <row r="4910" ht="15.75" customHeight="1">
      <c r="A4910" s="1" t="str">
        <f>IFERROR(__xludf.DUMMYFUNCTION("""COMPUTED_VALUE"""),"User 18")</f>
        <v>User 18</v>
      </c>
      <c r="B4910" s="1" t="str">
        <f>IFERROR(__xludf.DUMMYFUNCTION("""COMPUTED_VALUE"""),"L2")</f>
        <v>L2</v>
      </c>
    </row>
    <row r="4911" ht="15.75" customHeight="1">
      <c r="A4911" s="1" t="str">
        <f>IFERROR(__xludf.DUMMYFUNCTION("""COMPUTED_VALUE"""),"User 19")</f>
        <v>User 19</v>
      </c>
      <c r="B4911" s="1" t="str">
        <f>IFERROR(__xludf.DUMMYFUNCTION("""COMPUTED_VALUE"""),"L2")</f>
        <v>L2</v>
      </c>
    </row>
    <row r="4912" ht="15.75" customHeight="1">
      <c r="A4912" s="1" t="str">
        <f>IFERROR(__xludf.DUMMYFUNCTION("""COMPUTED_VALUE"""),"User 20")</f>
        <v>User 20</v>
      </c>
      <c r="B4912" s="1" t="str">
        <f>IFERROR(__xludf.DUMMYFUNCTION("""COMPUTED_VALUE"""),"L2")</f>
        <v>L2</v>
      </c>
    </row>
    <row r="4913" ht="15.75" customHeight="1">
      <c r="A4913" s="1" t="str">
        <f>IFERROR(__xludf.DUMMYFUNCTION("""COMPUTED_VALUE"""),"User 21")</f>
        <v>User 21</v>
      </c>
      <c r="B4913" s="1" t="str">
        <f>IFERROR(__xludf.DUMMYFUNCTION("""COMPUTED_VALUE"""),"L2")</f>
        <v>L2</v>
      </c>
    </row>
    <row r="4914" ht="15.75" customHeight="1">
      <c r="A4914" s="1" t="str">
        <f>IFERROR(__xludf.DUMMYFUNCTION("""COMPUTED_VALUE"""),"User 22")</f>
        <v>User 22</v>
      </c>
      <c r="B4914" s="1" t="str">
        <f>IFERROR(__xludf.DUMMYFUNCTION("""COMPUTED_VALUE"""),"L2")</f>
        <v>L2</v>
      </c>
    </row>
    <row r="4915" ht="15.75" customHeight="1">
      <c r="A4915" s="1" t="str">
        <f>IFERROR(__xludf.DUMMYFUNCTION("""COMPUTED_VALUE"""),"User 23")</f>
        <v>User 23</v>
      </c>
      <c r="B4915" s="1" t="str">
        <f>IFERROR(__xludf.DUMMYFUNCTION("""COMPUTED_VALUE"""),"L2")</f>
        <v>L2</v>
      </c>
    </row>
    <row r="4916" ht="15.75" customHeight="1">
      <c r="A4916" s="1" t="str">
        <f>IFERROR(__xludf.DUMMYFUNCTION("""COMPUTED_VALUE"""),"User 24")</f>
        <v>User 24</v>
      </c>
      <c r="B4916" s="1" t="str">
        <f>IFERROR(__xludf.DUMMYFUNCTION("""COMPUTED_VALUE"""),"L2")</f>
        <v>L2</v>
      </c>
    </row>
    <row r="4917" ht="15.75" customHeight="1">
      <c r="A4917" s="1" t="str">
        <f>IFERROR(__xludf.DUMMYFUNCTION("""COMPUTED_VALUE"""),"User 25")</f>
        <v>User 25</v>
      </c>
      <c r="B4917" s="1" t="str">
        <f>IFERROR(__xludf.DUMMYFUNCTION("""COMPUTED_VALUE"""),"MS")</f>
        <v>MS</v>
      </c>
    </row>
    <row r="4918" ht="15.75" customHeight="1">
      <c r="A4918" s="1" t="str">
        <f>IFERROR(__xludf.DUMMYFUNCTION("""COMPUTED_VALUE"""),"User 26")</f>
        <v>User 26</v>
      </c>
      <c r="B4918" s="1" t="str">
        <f>IFERROR(__xludf.DUMMYFUNCTION("""COMPUTED_VALUE"""),"MS")</f>
        <v>MS</v>
      </c>
    </row>
    <row r="4919" ht="15.75" customHeight="1">
      <c r="A4919" s="1" t="str">
        <f>IFERROR(__xludf.DUMMYFUNCTION("""COMPUTED_VALUE"""),"User 27")</f>
        <v>User 27</v>
      </c>
      <c r="B4919" s="1" t="str">
        <f>IFERROR(__xludf.DUMMYFUNCTION("""COMPUTED_VALUE"""),"MS")</f>
        <v>MS</v>
      </c>
    </row>
    <row r="4920" ht="15.75" customHeight="1">
      <c r="A4920" s="1" t="str">
        <f>IFERROR(__xludf.DUMMYFUNCTION("""COMPUTED_VALUE"""),"User 28")</f>
        <v>User 28</v>
      </c>
      <c r="B4920" s="1" t="str">
        <f>IFERROR(__xludf.DUMMYFUNCTION("""COMPUTED_VALUE"""),"MS")</f>
        <v>MS</v>
      </c>
    </row>
    <row r="4921" ht="15.75" customHeight="1">
      <c r="A4921" s="1" t="str">
        <f>IFERROR(__xludf.DUMMYFUNCTION("""COMPUTED_VALUE"""),"User 29")</f>
        <v>User 29</v>
      </c>
      <c r="B4921" s="1" t="str">
        <f>IFERROR(__xludf.DUMMYFUNCTION("""COMPUTED_VALUE"""),"MS")</f>
        <v>MS</v>
      </c>
    </row>
    <row r="4922" ht="15.75" customHeight="1">
      <c r="A4922" s="1" t="str">
        <f>IFERROR(__xludf.DUMMYFUNCTION("""COMPUTED_VALUE"""),"User 30")</f>
        <v>User 30</v>
      </c>
      <c r="B4922" s="1" t="str">
        <f>IFERROR(__xludf.DUMMYFUNCTION("""COMPUTED_VALUE"""),"MS")</f>
        <v>MS</v>
      </c>
    </row>
    <row r="4923" ht="15.75" customHeight="1">
      <c r="A4923" s="1" t="str">
        <f>IFERROR(__xludf.DUMMYFUNCTION("""COMPUTED_VALUE"""),"User 31")</f>
        <v>User 31</v>
      </c>
      <c r="B4923" s="1" t="str">
        <f>IFERROR(__xludf.DUMMYFUNCTION("""COMPUTED_VALUE"""),"MS")</f>
        <v>MS</v>
      </c>
    </row>
    <row r="4924" ht="15.75" customHeight="1">
      <c r="A4924" s="1" t="str">
        <f>IFERROR(__xludf.DUMMYFUNCTION("""COMPUTED_VALUE"""),"User 32")</f>
        <v>User 32</v>
      </c>
      <c r="B4924" s="1" t="str">
        <f>IFERROR(__xludf.DUMMYFUNCTION("""COMPUTED_VALUE"""),"MS")</f>
        <v>MS</v>
      </c>
    </row>
    <row r="4925" ht="15.75" customHeight="1">
      <c r="A4925" s="1" t="str">
        <f>IFERROR(__xludf.DUMMYFUNCTION("""COMPUTED_VALUE"""),"User 33")</f>
        <v>User 33</v>
      </c>
      <c r="B4925" s="1" t="str">
        <f>IFERROR(__xludf.DUMMYFUNCTION("""COMPUTED_VALUE"""),"MS")</f>
        <v>MS</v>
      </c>
    </row>
    <row r="4926" ht="15.75" customHeight="1">
      <c r="A4926" s="1" t="str">
        <f>IFERROR(__xludf.DUMMYFUNCTION("""COMPUTED_VALUE"""),"User 34")</f>
        <v>User 34</v>
      </c>
      <c r="B4926" s="1" t="str">
        <f>IFERROR(__xludf.DUMMYFUNCTION("""COMPUTED_VALUE"""),"MS")</f>
        <v>MS</v>
      </c>
    </row>
    <row r="4927" ht="15.75" customHeight="1">
      <c r="A4927" s="1" t="str">
        <f>IFERROR(__xludf.DUMMYFUNCTION("""COMPUTED_VALUE"""),"User 35")</f>
        <v>User 35</v>
      </c>
      <c r="B4927" s="1" t="str">
        <f>IFERROR(__xludf.DUMMYFUNCTION("""COMPUTED_VALUE"""),"MS")</f>
        <v>MS</v>
      </c>
    </row>
    <row r="4928" ht="15.75" customHeight="1">
      <c r="A4928" s="1" t="str">
        <f>IFERROR(__xludf.DUMMYFUNCTION("""COMPUTED_VALUE"""),"User 36")</f>
        <v>User 36</v>
      </c>
      <c r="B4928" s="1" t="str">
        <f>IFERROR(__xludf.DUMMYFUNCTION("""COMPUTED_VALUE"""),"MS")</f>
        <v>MS</v>
      </c>
    </row>
    <row r="4929" ht="15.75" customHeight="1">
      <c r="A4929" s="1" t="str">
        <f>IFERROR(__xludf.DUMMYFUNCTION("""COMPUTED_VALUE"""),"User 37")</f>
        <v>User 37</v>
      </c>
      <c r="B4929" s="1" t="str">
        <f>IFERROR(__xludf.DUMMYFUNCTION("""COMPUTED_VALUE"""),"MS")</f>
        <v>MS</v>
      </c>
    </row>
    <row r="4930" ht="15.75" customHeight="1">
      <c r="A4930" s="1" t="str">
        <f>IFERROR(__xludf.DUMMYFUNCTION("""COMPUTED_VALUE"""),"User 38")</f>
        <v>User 38</v>
      </c>
      <c r="B4930" s="1" t="str">
        <f>IFERROR(__xludf.DUMMYFUNCTION("""COMPUTED_VALUE"""),"MS")</f>
        <v>MS</v>
      </c>
    </row>
    <row r="4931" ht="15.75" customHeight="1">
      <c r="A4931" s="1" t="str">
        <f>IFERROR(__xludf.DUMMYFUNCTION("""COMPUTED_VALUE"""),"User 39")</f>
        <v>User 39</v>
      </c>
      <c r="B4931" s="1" t="str">
        <f>IFERROR(__xludf.DUMMYFUNCTION("""COMPUTED_VALUE"""),"MS")</f>
        <v>MS</v>
      </c>
    </row>
    <row r="4932" ht="15.75" customHeight="1">
      <c r="A4932" s="1" t="str">
        <f>IFERROR(__xludf.DUMMYFUNCTION("""COMPUTED_VALUE"""),"User 40")</f>
        <v>User 40</v>
      </c>
      <c r="B4932" s="1" t="str">
        <f>IFERROR(__xludf.DUMMYFUNCTION("""COMPUTED_VALUE"""),"MS")</f>
        <v>MS</v>
      </c>
    </row>
    <row r="4933" ht="15.75" customHeight="1">
      <c r="A4933" s="1" t="str">
        <f>IFERROR(__xludf.DUMMYFUNCTION("""COMPUTED_VALUE"""),"User 41")</f>
        <v>User 41</v>
      </c>
      <c r="B4933" s="1" t="str">
        <f>IFERROR(__xludf.DUMMYFUNCTION("""COMPUTED_VALUE"""),"MS")</f>
        <v>MS</v>
      </c>
    </row>
    <row r="4934" ht="15.75" customHeight="1">
      <c r="A4934" s="1" t="str">
        <f>IFERROR(__xludf.DUMMYFUNCTION("""COMPUTED_VALUE"""),"User 42")</f>
        <v>User 42</v>
      </c>
      <c r="B4934" s="1" t="str">
        <f>IFERROR(__xludf.DUMMYFUNCTION("""COMPUTED_VALUE"""),"MS")</f>
        <v>MS</v>
      </c>
    </row>
    <row r="4935" ht="15.75" customHeight="1">
      <c r="A4935" s="1" t="str">
        <f>IFERROR(__xludf.DUMMYFUNCTION("""COMPUTED_VALUE"""),"User 43")</f>
        <v>User 43</v>
      </c>
      <c r="B4935" s="1" t="str">
        <f>IFERROR(__xludf.DUMMYFUNCTION("""COMPUTED_VALUE"""),"MS")</f>
        <v>MS</v>
      </c>
    </row>
    <row r="4936" ht="15.75" customHeight="1">
      <c r="A4936" s="1" t="str">
        <f>IFERROR(__xludf.DUMMYFUNCTION("""COMPUTED_VALUE"""),"User 44")</f>
        <v>User 44</v>
      </c>
      <c r="B4936" s="1" t="str">
        <f>IFERROR(__xludf.DUMMYFUNCTION("""COMPUTED_VALUE"""),"MS")</f>
        <v>MS</v>
      </c>
    </row>
    <row r="4937" ht="15.75" customHeight="1">
      <c r="A4937" s="1" t="str">
        <f>IFERROR(__xludf.DUMMYFUNCTION("""COMPUTED_VALUE"""),"User 45")</f>
        <v>User 45</v>
      </c>
      <c r="B4937" s="1" t="str">
        <f>IFERROR(__xludf.DUMMYFUNCTION("""COMPUTED_VALUE"""),"MS")</f>
        <v>MS</v>
      </c>
    </row>
    <row r="4938" ht="15.75" customHeight="1">
      <c r="A4938" s="1" t="str">
        <f>IFERROR(__xludf.DUMMYFUNCTION("""COMPUTED_VALUE"""),"User 46")</f>
        <v>User 46</v>
      </c>
      <c r="B4938" s="1" t="str">
        <f>IFERROR(__xludf.DUMMYFUNCTION("""COMPUTED_VALUE"""),"MS")</f>
        <v>MS</v>
      </c>
    </row>
    <row r="4939" ht="15.75" customHeight="1">
      <c r="A4939" s="1" t="str">
        <f>IFERROR(__xludf.DUMMYFUNCTION("""COMPUTED_VALUE"""),"User 47")</f>
        <v>User 47</v>
      </c>
      <c r="B4939" s="1" t="str">
        <f>IFERROR(__xludf.DUMMYFUNCTION("""COMPUTED_VALUE"""),"MS")</f>
        <v>MS</v>
      </c>
    </row>
    <row r="4940" ht="15.75" customHeight="1">
      <c r="A4940" s="1" t="str">
        <f>IFERROR(__xludf.DUMMYFUNCTION("""COMPUTED_VALUE"""),"User 48")</f>
        <v>User 48</v>
      </c>
      <c r="B4940" s="1" t="str">
        <f>IFERROR(__xludf.DUMMYFUNCTION("""COMPUTED_VALUE"""),"MS")</f>
        <v>MS</v>
      </c>
    </row>
    <row r="4941" ht="15.75" customHeight="1">
      <c r="A4941" s="1" t="str">
        <f>IFERROR(__xludf.DUMMYFUNCTION("""COMPUTED_VALUE"""),"User 49")</f>
        <v>User 49</v>
      </c>
      <c r="B4941" s="1" t="str">
        <f>IFERROR(__xludf.DUMMYFUNCTION("""COMPUTED_VALUE"""),"MS")</f>
        <v>MS</v>
      </c>
    </row>
    <row r="4942" ht="15.75" customHeight="1">
      <c r="A4942" s="1" t="str">
        <f>IFERROR(__xludf.DUMMYFUNCTION("""COMPUTED_VALUE"""),"User 50")</f>
        <v>User 50</v>
      </c>
      <c r="B4942" s="1" t="str">
        <f>IFERROR(__xludf.DUMMYFUNCTION("""COMPUTED_VALUE"""),"MS")</f>
        <v>MS</v>
      </c>
    </row>
    <row r="4943" ht="15.75" customHeight="1">
      <c r="A4943" s="1" t="str">
        <f>IFERROR(__xludf.DUMMYFUNCTION("""COMPUTED_VALUE"""),"User 51")</f>
        <v>User 51</v>
      </c>
      <c r="B4943" s="1" t="str">
        <f>IFERROR(__xludf.DUMMYFUNCTION("""COMPUTED_VALUE"""),"MS")</f>
        <v>MS</v>
      </c>
    </row>
    <row r="4944" ht="15.75" customHeight="1">
      <c r="A4944" s="1" t="str">
        <f>IFERROR(__xludf.DUMMYFUNCTION("""COMPUTED_VALUE"""),"User 52")</f>
        <v>User 52</v>
      </c>
      <c r="B4944" s="1" t="str">
        <f>IFERROR(__xludf.DUMMYFUNCTION("""COMPUTED_VALUE"""),"MS")</f>
        <v>MS</v>
      </c>
    </row>
    <row r="4945" ht="15.75" customHeight="1">
      <c r="A4945" s="1" t="str">
        <f>IFERROR(__xludf.DUMMYFUNCTION("""COMPUTED_VALUE"""),"User 53")</f>
        <v>User 53</v>
      </c>
      <c r="B4945" s="1" t="str">
        <f>IFERROR(__xludf.DUMMYFUNCTION("""COMPUTED_VALUE"""),"MS")</f>
        <v>MS</v>
      </c>
    </row>
    <row r="4946" ht="15.75" customHeight="1">
      <c r="A4946" s="1" t="str">
        <f>IFERROR(__xludf.DUMMYFUNCTION("""COMPUTED_VALUE"""),"User 54")</f>
        <v>User 54</v>
      </c>
      <c r="B4946" s="1" t="str">
        <f>IFERROR(__xludf.DUMMYFUNCTION("""COMPUTED_VALUE"""),"MS")</f>
        <v>MS</v>
      </c>
    </row>
    <row r="4947" ht="15.75" customHeight="1">
      <c r="A4947" s="1" t="str">
        <f>IFERROR(__xludf.DUMMYFUNCTION("""COMPUTED_VALUE"""),"User 55")</f>
        <v>User 55</v>
      </c>
      <c r="B4947" s="1" t="str">
        <f>IFERROR(__xludf.DUMMYFUNCTION("""COMPUTED_VALUE"""),"MS")</f>
        <v>MS</v>
      </c>
    </row>
    <row r="4948" ht="15.75" customHeight="1">
      <c r="A4948" s="1" t="str">
        <f>IFERROR(__xludf.DUMMYFUNCTION("""COMPUTED_VALUE"""),"User 56")</f>
        <v>User 56</v>
      </c>
      <c r="B4948" s="1" t="str">
        <f>IFERROR(__xludf.DUMMYFUNCTION("""COMPUTED_VALUE"""),"MS")</f>
        <v>MS</v>
      </c>
    </row>
    <row r="4949" ht="15.75" customHeight="1">
      <c r="A4949" s="1" t="str">
        <f>IFERROR(__xludf.DUMMYFUNCTION("""COMPUTED_VALUE"""),"User 57")</f>
        <v>User 57</v>
      </c>
      <c r="B4949" s="1" t="str">
        <f>IFERROR(__xludf.DUMMYFUNCTION("""COMPUTED_VALUE"""),"MS")</f>
        <v>MS</v>
      </c>
    </row>
    <row r="4950" ht="15.75" customHeight="1">
      <c r="A4950" s="1" t="str">
        <f>IFERROR(__xludf.DUMMYFUNCTION("""COMPUTED_VALUE"""),"User 58")</f>
        <v>User 58</v>
      </c>
      <c r="B4950" s="1" t="str">
        <f>IFERROR(__xludf.DUMMYFUNCTION("""COMPUTED_VALUE"""),"MS")</f>
        <v>MS</v>
      </c>
    </row>
    <row r="4951" ht="15.75" customHeight="1">
      <c r="A4951" s="1" t="str">
        <f>IFERROR(__xludf.DUMMYFUNCTION("""COMPUTED_VALUE"""),"User 59")</f>
        <v>User 59</v>
      </c>
      <c r="B4951" s="1" t="str">
        <f>IFERROR(__xludf.DUMMYFUNCTION("""COMPUTED_VALUE"""),"MS")</f>
        <v>MS</v>
      </c>
    </row>
    <row r="4952" ht="15.75" customHeight="1">
      <c r="A4952" s="1" t="str">
        <f>IFERROR(__xludf.DUMMYFUNCTION("""COMPUTED_VALUE"""),"User 60")</f>
        <v>User 60</v>
      </c>
      <c r="B4952" s="1" t="str">
        <f>IFERROR(__xludf.DUMMYFUNCTION("""COMPUTED_VALUE"""),"MS")</f>
        <v>MS</v>
      </c>
    </row>
    <row r="4953" ht="15.75" customHeight="1">
      <c r="A4953" s="1" t="str">
        <f>IFERROR(__xludf.DUMMYFUNCTION("""COMPUTED_VALUE"""),"Alex Langenberg")</f>
        <v>Alex Langenberg</v>
      </c>
      <c r="B4953" s="1" t="str">
        <f>IFERROR(__xludf.DUMMYFUNCTION("""COMPUTED_VALUE"""),"MS")</f>
        <v>MS</v>
      </c>
    </row>
    <row r="4954" ht="15.75" customHeight="1">
      <c r="A4954" s="1" t="str">
        <f>IFERROR(__xludf.DUMMYFUNCTION("""COMPUTED_VALUE"""),"Londyn Massey")</f>
        <v>Londyn Massey</v>
      </c>
      <c r="B4954" s="1" t="str">
        <f>IFERROR(__xludf.DUMMYFUNCTION("""COMPUTED_VALUE"""),"MS")</f>
        <v>MS</v>
      </c>
    </row>
    <row r="4955" ht="15.75" customHeight="1">
      <c r="A4955" s="1" t="str">
        <f>IFERROR(__xludf.DUMMYFUNCTION("""COMPUTED_VALUE"""),"Noah Sanders")</f>
        <v>Noah Sanders</v>
      </c>
      <c r="B4955" s="1" t="str">
        <f>IFERROR(__xludf.DUMMYFUNCTION("""COMPUTED_VALUE"""),"MS")</f>
        <v>MS</v>
      </c>
    </row>
    <row r="4956" ht="15.75" customHeight="1">
      <c r="A4956" s="1" t="str">
        <f>IFERROR(__xludf.DUMMYFUNCTION("""COMPUTED_VALUE"""),"Sawyer Hartman")</f>
        <v>Sawyer Hartman</v>
      </c>
      <c r="B4956" s="1" t="str">
        <f>IFERROR(__xludf.DUMMYFUNCTION("""COMPUTED_VALUE"""),"L2")</f>
        <v>L2</v>
      </c>
    </row>
    <row r="4957" ht="15.75" customHeight="1">
      <c r="A4957" s="1" t="str">
        <f>IFERROR(__xludf.DUMMYFUNCTION("""COMPUTED_VALUE"""),"Jacob Blevins")</f>
        <v>Jacob Blevins</v>
      </c>
      <c r="B4957" s="1" t="str">
        <f>IFERROR(__xludf.DUMMYFUNCTION("""COMPUTED_VALUE"""),"L2")</f>
        <v>L2</v>
      </c>
    </row>
    <row r="4958" ht="15.75" customHeight="1">
      <c r="A4958" s="1" t="str">
        <f>IFERROR(__xludf.DUMMYFUNCTION("""COMPUTED_VALUE"""),"Blake Garrity")</f>
        <v>Blake Garrity</v>
      </c>
      <c r="B4958" s="1" t="str">
        <f>IFERROR(__xludf.DUMMYFUNCTION("""COMPUTED_VALUE"""),"MS")</f>
        <v>MS</v>
      </c>
    </row>
    <row r="4959" ht="15.75" customHeight="1">
      <c r="A4959" s="1" t="str">
        <f>IFERROR(__xludf.DUMMYFUNCTION("""COMPUTED_VALUE"""),"Harley Garlock")</f>
        <v>Harley Garlock</v>
      </c>
      <c r="B4959" s="1" t="str">
        <f>IFERROR(__xludf.DUMMYFUNCTION("""COMPUTED_VALUE"""),"MS")</f>
        <v>MS</v>
      </c>
    </row>
    <row r="4960" ht="15.75" customHeight="1">
      <c r="A4960" s="1" t="str">
        <f>IFERROR(__xludf.DUMMYFUNCTION("""COMPUTED_VALUE"""),"Cadence Antonucci")</f>
        <v>Cadence Antonucci</v>
      </c>
      <c r="B4960" s="1" t="str">
        <f>IFERROR(__xludf.DUMMYFUNCTION("""COMPUTED_VALUE"""),"L2")</f>
        <v>L2</v>
      </c>
    </row>
    <row r="4961" ht="15.75" customHeight="1">
      <c r="A4961" s="1" t="str">
        <f>IFERROR(__xludf.DUMMYFUNCTION("""COMPUTED_VALUE"""),"Jaime Ramirez")</f>
        <v>Jaime Ramirez</v>
      </c>
      <c r="B4961" s="1" t="str">
        <f>IFERROR(__xludf.DUMMYFUNCTION("""COMPUTED_VALUE"""),"MS")</f>
        <v>MS</v>
      </c>
    </row>
    <row r="4962" ht="15.75" customHeight="1">
      <c r="A4962" s="1" t="str">
        <f>IFERROR(__xludf.DUMMYFUNCTION("""COMPUTED_VALUE"""),"Tenley Garlock")</f>
        <v>Tenley Garlock</v>
      </c>
      <c r="B4962" s="1" t="str">
        <f>IFERROR(__xludf.DUMMYFUNCTION("""COMPUTED_VALUE"""),"MS")</f>
        <v>MS</v>
      </c>
    </row>
    <row r="4963" ht="15.75" customHeight="1">
      <c r="A4963" s="1" t="str">
        <f>IFERROR(__xludf.DUMMYFUNCTION("""COMPUTED_VALUE"""),"Jase Hawkins")</f>
        <v>Jase Hawkins</v>
      </c>
      <c r="B4963" s="1" t="str">
        <f>IFERROR(__xludf.DUMMYFUNCTION("""COMPUTED_VALUE"""),"MS")</f>
        <v>MS</v>
      </c>
    </row>
    <row r="4964" ht="15.75" customHeight="1">
      <c r="A4964" s="1" t="str">
        <f>IFERROR(__xludf.DUMMYFUNCTION("""COMPUTED_VALUE"""),"Chloe Antonucci")</f>
        <v>Chloe Antonucci</v>
      </c>
      <c r="B4964" s="1" t="str">
        <f>IFERROR(__xludf.DUMMYFUNCTION("""COMPUTED_VALUE"""),"L2")</f>
        <v>L2</v>
      </c>
    </row>
    <row r="4965" ht="15.75" customHeight="1">
      <c r="A4965" s="1" t="str">
        <f>IFERROR(__xludf.DUMMYFUNCTION("""COMPUTED_VALUE"""),"Christopher Olson")</f>
        <v>Christopher Olson</v>
      </c>
      <c r="B4965" s="1" t="str">
        <f>IFERROR(__xludf.DUMMYFUNCTION("""COMPUTED_VALUE"""),"MS")</f>
        <v>MS</v>
      </c>
    </row>
    <row r="4966" ht="15.75" customHeight="1">
      <c r="A4966" s="1" t="str">
        <f>IFERROR(__xludf.DUMMYFUNCTION("""COMPUTED_VALUE"""),"Rahul Yazzie")</f>
        <v>Rahul Yazzie</v>
      </c>
      <c r="B4966" s="1" t="str">
        <f>IFERROR(__xludf.DUMMYFUNCTION("""COMPUTED_VALUE"""),"MS")</f>
        <v>MS</v>
      </c>
    </row>
    <row r="4967" ht="15.75" customHeight="1">
      <c r="A4967" s="1" t="str">
        <f>IFERROR(__xludf.DUMMYFUNCTION("""COMPUTED_VALUE"""),"Jaxton Haukos")</f>
        <v>Jaxton Haukos</v>
      </c>
      <c r="B4967" s="1" t="str">
        <f>IFERROR(__xludf.DUMMYFUNCTION("""COMPUTED_VALUE"""),"MS")</f>
        <v>MS</v>
      </c>
    </row>
    <row r="4968" ht="15.75" customHeight="1">
      <c r="A4968" s="1" t="str">
        <f>IFERROR(__xludf.DUMMYFUNCTION("""COMPUTED_VALUE"""),"Luciano Barraza")</f>
        <v>Luciano Barraza</v>
      </c>
      <c r="B4968" s="1" t="str">
        <f>IFERROR(__xludf.DUMMYFUNCTION("""COMPUTED_VALUE"""),"MS")</f>
        <v>MS</v>
      </c>
    </row>
    <row r="4969" ht="15.75" customHeight="1">
      <c r="A4969" s="1" t="str">
        <f>IFERROR(__xludf.DUMMYFUNCTION("""COMPUTED_VALUE"""),"Pearl Terrell")</f>
        <v>Pearl Terrell</v>
      </c>
      <c r="B4969" s="1" t="str">
        <f>IFERROR(__xludf.DUMMYFUNCTION("""COMPUTED_VALUE"""),"L2")</f>
        <v>L2</v>
      </c>
    </row>
    <row r="4970" ht="15.75" customHeight="1">
      <c r="A4970" s="1" t="str">
        <f>IFERROR(__xludf.DUMMYFUNCTION("""COMPUTED_VALUE"""),"Indeanna Ham")</f>
        <v>Indeanna Ham</v>
      </c>
      <c r="B4970" s="1" t="str">
        <f>IFERROR(__xludf.DUMMYFUNCTION("""COMPUTED_VALUE"""),"L2")</f>
        <v>L2</v>
      </c>
    </row>
    <row r="4971" ht="15.75" customHeight="1">
      <c r="A4971" s="1" t="str">
        <f>IFERROR(__xludf.DUMMYFUNCTION("""COMPUTED_VALUE"""),"Bridger Wilcox")</f>
        <v>Bridger Wilcox</v>
      </c>
      <c r="B4971" s="1" t="str">
        <f>IFERROR(__xludf.DUMMYFUNCTION("""COMPUTED_VALUE"""),"MS")</f>
        <v>MS</v>
      </c>
    </row>
    <row r="4972" ht="15.75" customHeight="1">
      <c r="A4972" s="1" t="str">
        <f>IFERROR(__xludf.DUMMYFUNCTION("""COMPUTED_VALUE"""),"Everly Wilcox")</f>
        <v>Everly Wilcox</v>
      </c>
      <c r="B4972" s="1" t="str">
        <f>IFERROR(__xludf.DUMMYFUNCTION("""COMPUTED_VALUE"""),"L2")</f>
        <v>L2</v>
      </c>
    </row>
    <row r="4973" ht="15.75" customHeight="1">
      <c r="A4973" s="1" t="str">
        <f>IFERROR(__xludf.DUMMYFUNCTION("""COMPUTED_VALUE"""),"Warren Wilcox")</f>
        <v>Warren Wilcox</v>
      </c>
      <c r="B4973" s="1" t="str">
        <f>IFERROR(__xludf.DUMMYFUNCTION("""COMPUTED_VALUE"""),"L1")</f>
        <v>L1</v>
      </c>
    </row>
    <row r="4974" ht="15.75" customHeight="1">
      <c r="A4974" s="1" t="str">
        <f>IFERROR(__xludf.DUMMYFUNCTION("""COMPUTED_VALUE"""),"Antonio Gerlach")</f>
        <v>Antonio Gerlach</v>
      </c>
      <c r="B4974" s="1" t="str">
        <f>IFERROR(__xludf.DUMMYFUNCTION("""COMPUTED_VALUE"""),"L2")</f>
        <v>L2</v>
      </c>
    </row>
    <row r="4975" ht="15.75" customHeight="1">
      <c r="A4975" s="1" t="str">
        <f>IFERROR(__xludf.DUMMYFUNCTION("""COMPUTED_VALUE"""),"Javin Bowser")</f>
        <v>Javin Bowser</v>
      </c>
      <c r="B4975" s="1" t="str">
        <f>IFERROR(__xludf.DUMMYFUNCTION("""COMPUTED_VALUE"""),"MS")</f>
        <v>MS</v>
      </c>
    </row>
    <row r="4976" ht="15.75" customHeight="1">
      <c r="A4976" s="1" t="str">
        <f>IFERROR(__xludf.DUMMYFUNCTION("""COMPUTED_VALUE"""),"Jeremy Merriweather")</f>
        <v>Jeremy Merriweather</v>
      </c>
      <c r="B4976" s="1" t="str">
        <f>IFERROR(__xludf.DUMMYFUNCTION("""COMPUTED_VALUE"""),"MS")</f>
        <v>MS</v>
      </c>
    </row>
    <row r="4977" ht="15.75" customHeight="1">
      <c r="A4977" s="1" t="str">
        <f>IFERROR(__xludf.DUMMYFUNCTION("""COMPUTED_VALUE"""),"Alana Crown")</f>
        <v>Alana Crown</v>
      </c>
      <c r="B4977" s="1" t="str">
        <f>IFERROR(__xludf.DUMMYFUNCTION("""COMPUTED_VALUE"""),"L1")</f>
        <v>L1</v>
      </c>
    </row>
    <row r="4978" ht="15.75" customHeight="1">
      <c r="A4978" s="1" t="str">
        <f>IFERROR(__xludf.DUMMYFUNCTION("""COMPUTED_VALUE"""),"Madeline Medina")</f>
        <v>Madeline Medina</v>
      </c>
      <c r="B4978" s="1" t="str">
        <f>IFERROR(__xludf.DUMMYFUNCTION("""COMPUTED_VALUE"""),"L2")</f>
        <v>L2</v>
      </c>
    </row>
    <row r="4979" ht="15.75" customHeight="1">
      <c r="A4979" s="1" t="str">
        <f>IFERROR(__xludf.DUMMYFUNCTION("""COMPUTED_VALUE"""),"Dayson Rodarte")</f>
        <v>Dayson Rodarte</v>
      </c>
      <c r="B4979" s="1" t="str">
        <f>IFERROR(__xludf.DUMMYFUNCTION("""COMPUTED_VALUE"""),"L1")</f>
        <v>L1</v>
      </c>
    </row>
    <row r="4980" ht="15.75" customHeight="1">
      <c r="A4980" s="1" t="str">
        <f>IFERROR(__xludf.DUMMYFUNCTION("""COMPUTED_VALUE"""),"Eden Dent")</f>
        <v>Eden Dent</v>
      </c>
      <c r="B4980" s="1" t="str">
        <f>IFERROR(__xludf.DUMMYFUNCTION("""COMPUTED_VALUE"""),"L2")</f>
        <v>L2</v>
      </c>
    </row>
    <row r="4981" ht="15.75" customHeight="1">
      <c r="A4981" s="1" t="str">
        <f>IFERROR(__xludf.DUMMYFUNCTION("""COMPUTED_VALUE"""),"Zander Macdonald")</f>
        <v>Zander Macdonald</v>
      </c>
      <c r="B4981" s="1" t="str">
        <f>IFERROR(__xludf.DUMMYFUNCTION("""COMPUTED_VALUE"""),"L2")</f>
        <v>L2</v>
      </c>
    </row>
    <row r="4982" ht="15.75" customHeight="1">
      <c r="A4982" s="1" t="str">
        <f>IFERROR(__xludf.DUMMYFUNCTION("""COMPUTED_VALUE"""),"Kenneth Eady")</f>
        <v>Kenneth Eady</v>
      </c>
      <c r="B4982" s="1" t="str">
        <f>IFERROR(__xludf.DUMMYFUNCTION("""COMPUTED_VALUE"""),"L1")</f>
        <v>L1</v>
      </c>
    </row>
    <row r="4983" ht="15.75" customHeight="1">
      <c r="A4983" s="1" t="str">
        <f>IFERROR(__xludf.DUMMYFUNCTION("""COMPUTED_VALUE"""),"Anela Manako")</f>
        <v>Anela Manako</v>
      </c>
      <c r="B4983" s="1" t="str">
        <f>IFERROR(__xludf.DUMMYFUNCTION("""COMPUTED_VALUE"""),"MS")</f>
        <v>MS</v>
      </c>
    </row>
    <row r="4984" ht="15.75" customHeight="1">
      <c r="A4984" s="1" t="str">
        <f>IFERROR(__xludf.DUMMYFUNCTION("""COMPUTED_VALUE"""),"Tobias Strothers")</f>
        <v>Tobias Strothers</v>
      </c>
      <c r="B4984" s="1" t="str">
        <f>IFERROR(__xludf.DUMMYFUNCTION("""COMPUTED_VALUE"""),"MS")</f>
        <v>MS</v>
      </c>
    </row>
    <row r="4985" ht="15.75" customHeight="1">
      <c r="A4985" s="1" t="str">
        <f>IFERROR(__xludf.DUMMYFUNCTION("""COMPUTED_VALUE"""),"Bryce Steele")</f>
        <v>Bryce Steele</v>
      </c>
      <c r="B4985" s="1" t="str">
        <f>IFERROR(__xludf.DUMMYFUNCTION("""COMPUTED_VALUE"""),"MS")</f>
        <v>MS</v>
      </c>
    </row>
    <row r="4986" ht="15.75" customHeight="1">
      <c r="A4986" s="1" t="str">
        <f>IFERROR(__xludf.DUMMYFUNCTION("""COMPUTED_VALUE"""),"Maximiliano Talamantes")</f>
        <v>Maximiliano Talamantes</v>
      </c>
      <c r="B4986" s="1" t="str">
        <f>IFERROR(__xludf.DUMMYFUNCTION("""COMPUTED_VALUE"""),"MS")</f>
        <v>MS</v>
      </c>
    </row>
    <row r="4987" ht="15.75" customHeight="1">
      <c r="A4987" s="1" t="str">
        <f>IFERROR(__xludf.DUMMYFUNCTION("""COMPUTED_VALUE"""),"Everly Deshaw")</f>
        <v>Everly Deshaw</v>
      </c>
      <c r="B4987" s="1" t="str">
        <f>IFERROR(__xludf.DUMMYFUNCTION("""COMPUTED_VALUE"""),"MS")</f>
        <v>MS</v>
      </c>
    </row>
    <row r="4988" ht="15.75" customHeight="1">
      <c r="A4988" s="1" t="str">
        <f>IFERROR(__xludf.DUMMYFUNCTION("""COMPUTED_VALUE"""),"Ky Page")</f>
        <v>Ky Page</v>
      </c>
      <c r="B4988" s="1" t="str">
        <f>IFERROR(__xludf.DUMMYFUNCTION("""COMPUTED_VALUE"""),"L2")</f>
        <v>L2</v>
      </c>
    </row>
    <row r="4989" ht="15.75" customHeight="1">
      <c r="A4989" s="1" t="str">
        <f>IFERROR(__xludf.DUMMYFUNCTION("""COMPUTED_VALUE"""),"Caspian Antonucci")</f>
        <v>Caspian Antonucci</v>
      </c>
      <c r="B4989" s="1" t="str">
        <f>IFERROR(__xludf.DUMMYFUNCTION("""COMPUTED_VALUE"""),"L1")</f>
        <v>L1</v>
      </c>
    </row>
    <row r="4990" ht="15.75" customHeight="1">
      <c r="A4990" s="1" t="str">
        <f>IFERROR(__xludf.DUMMYFUNCTION("""COMPUTED_VALUE"""),"Brooke Van Nostrand")</f>
        <v>Brooke Van Nostrand</v>
      </c>
      <c r="B4990" s="1" t="str">
        <f>IFERROR(__xludf.DUMMYFUNCTION("""COMPUTED_VALUE"""),"L2")</f>
        <v>L2</v>
      </c>
    </row>
    <row r="4991" ht="15.75" customHeight="1">
      <c r="A4991" s="1" t="str">
        <f>IFERROR(__xludf.DUMMYFUNCTION("""COMPUTED_VALUE"""),"Kenzie Van Nostrand")</f>
        <v>Kenzie Van Nostrand</v>
      </c>
      <c r="B4991" s="1" t="str">
        <f>IFERROR(__xludf.DUMMYFUNCTION("""COMPUTED_VALUE"""),"MS")</f>
        <v>MS</v>
      </c>
    </row>
    <row r="4992" ht="15.75" customHeight="1">
      <c r="A4992" s="1" t="str">
        <f>IFERROR(__xludf.DUMMYFUNCTION("""COMPUTED_VALUE"""),"Dakota Friello")</f>
        <v>Dakota Friello</v>
      </c>
      <c r="B4992" s="1" t="str">
        <f>IFERROR(__xludf.DUMMYFUNCTION("""COMPUTED_VALUE"""),"MS")</f>
        <v>MS</v>
      </c>
    </row>
    <row r="4993" ht="15.75" customHeight="1">
      <c r="A4993" s="1" t="str">
        <f>IFERROR(__xludf.DUMMYFUNCTION("""COMPUTED_VALUE"""),"Royale Johnson")</f>
        <v>Royale Johnson</v>
      </c>
      <c r="B4993" s="1" t="str">
        <f>IFERROR(__xludf.DUMMYFUNCTION("""COMPUTED_VALUE"""),"L1")</f>
        <v>L1</v>
      </c>
    </row>
    <row r="4994" ht="15.75" customHeight="1">
      <c r="A4994" s="1" t="str">
        <f>IFERROR(__xludf.DUMMYFUNCTION("""COMPUTED_VALUE"""),"Kit Meredith")</f>
        <v>Kit Meredith</v>
      </c>
      <c r="B4994" s="1" t="str">
        <f>IFERROR(__xludf.DUMMYFUNCTION("""COMPUTED_VALUE"""),"L2")</f>
        <v>L2</v>
      </c>
    </row>
    <row r="4995" ht="15.75" customHeight="1">
      <c r="A4995" s="1" t="str">
        <f>IFERROR(__xludf.DUMMYFUNCTION("""COMPUTED_VALUE"""),"Tim Swartz")</f>
        <v>Tim Swartz</v>
      </c>
      <c r="B4995" s="1" t="str">
        <f>IFERROR(__xludf.DUMMYFUNCTION("""COMPUTED_VALUE"""),"MS")</f>
        <v>MS</v>
      </c>
    </row>
    <row r="4996" ht="15.75" customHeight="1">
      <c r="A4996" s="1" t="str">
        <f>IFERROR(__xludf.DUMMYFUNCTION("""COMPUTED_VALUE"""),"Emmalyn Cope")</f>
        <v>Emmalyn Cope</v>
      </c>
      <c r="B4996" s="1" t="str">
        <f>IFERROR(__xludf.DUMMYFUNCTION("""COMPUTED_VALUE"""),"MS")</f>
        <v>MS</v>
      </c>
    </row>
    <row r="4997" ht="15.75" customHeight="1">
      <c r="A4997" s="1" t="str">
        <f>IFERROR(__xludf.DUMMYFUNCTION("""COMPUTED_VALUE"""),"Coleton Ryan")</f>
        <v>Coleton Ryan</v>
      </c>
      <c r="B4997" s="1" t="str">
        <f>IFERROR(__xludf.DUMMYFUNCTION("""COMPUTED_VALUE"""),"MS")</f>
        <v>MS</v>
      </c>
    </row>
    <row r="4998" ht="15.75" customHeight="1">
      <c r="A4998" s="1" t="str">
        <f>IFERROR(__xludf.DUMMYFUNCTION("""COMPUTED_VALUE"""),"Zion Rutledge")</f>
        <v>Zion Rutledge</v>
      </c>
      <c r="B4998" s="1" t="str">
        <f>IFERROR(__xludf.DUMMYFUNCTION("""COMPUTED_VALUE"""),"MS")</f>
        <v>MS</v>
      </c>
    </row>
    <row r="4999" ht="15.75" customHeight="1">
      <c r="A4999" s="1" t="str">
        <f>IFERROR(__xludf.DUMMYFUNCTION("""COMPUTED_VALUE"""),"Nicholas Keiser")</f>
        <v>Nicholas Keiser</v>
      </c>
      <c r="B4999" s="1" t="str">
        <f>IFERROR(__xludf.DUMMYFUNCTION("""COMPUTED_VALUE"""),"MS")</f>
        <v>MS</v>
      </c>
    </row>
    <row r="5000" ht="15.75" customHeight="1">
      <c r="A5000" s="1" t="str">
        <f>IFERROR(__xludf.DUMMYFUNCTION("""COMPUTED_VALUE"""),"Kendall Keiser")</f>
        <v>Kendall Keiser</v>
      </c>
      <c r="B5000" s="1" t="str">
        <f>IFERROR(__xludf.DUMMYFUNCTION("""COMPUTED_VALUE"""),"L1")</f>
        <v>L1</v>
      </c>
    </row>
    <row r="5001" ht="15.75" customHeight="1">
      <c r="A5001" s="1" t="str">
        <f>IFERROR(__xludf.DUMMYFUNCTION("""COMPUTED_VALUE"""),"Ellis Keiser")</f>
        <v>Ellis Keiser</v>
      </c>
      <c r="B5001" s="1" t="str">
        <f>IFERROR(__xludf.DUMMYFUNCTION("""COMPUTED_VALUE"""),"LL")</f>
        <v>LL</v>
      </c>
    </row>
    <row r="5002" ht="15.75" customHeight="1">
      <c r="A5002" s="1" t="str">
        <f>IFERROR(__xludf.DUMMYFUNCTION("""COMPUTED_VALUE"""),"Lukas Prentice")</f>
        <v>Lukas Prentice</v>
      </c>
      <c r="B5002" s="1" t="str">
        <f>IFERROR(__xludf.DUMMYFUNCTION("""COMPUTED_VALUE"""),"L2")</f>
        <v>L2</v>
      </c>
    </row>
    <row r="5003" ht="15.75" customHeight="1">
      <c r="A5003" s="1" t="str">
        <f>IFERROR(__xludf.DUMMYFUNCTION("""COMPUTED_VALUE"""),"Felix Vigil")</f>
        <v>Felix Vigil</v>
      </c>
      <c r="B5003" s="1" t="str">
        <f>IFERROR(__xludf.DUMMYFUNCTION("""COMPUTED_VALUE"""),"L1")</f>
        <v>L1</v>
      </c>
    </row>
    <row r="5004" ht="15.75" customHeight="1">
      <c r="A5004" s="1" t="str">
        <f>IFERROR(__xludf.DUMMYFUNCTION("""COMPUTED_VALUE"""),"Rayna Thomas")</f>
        <v>Rayna Thomas</v>
      </c>
      <c r="B5004" s="1" t="str">
        <f>IFERROR(__xludf.DUMMYFUNCTION("""COMPUTED_VALUE"""),"L2")</f>
        <v>L2</v>
      </c>
    </row>
    <row r="5005" ht="15.75" customHeight="1">
      <c r="A5005" s="1" t="str">
        <f>IFERROR(__xludf.DUMMYFUNCTION("""COMPUTED_VALUE"""),"Aisha Kabwe")</f>
        <v>Aisha Kabwe</v>
      </c>
      <c r="B5005" s="1" t="str">
        <f>IFERROR(__xludf.DUMMYFUNCTION("""COMPUTED_VALUE"""),"MS")</f>
        <v>MS</v>
      </c>
    </row>
    <row r="5006" ht="15.75" customHeight="1">
      <c r="A5006" s="1" t="str">
        <f>IFERROR(__xludf.DUMMYFUNCTION("""COMPUTED_VALUE"""),"Christelle Ngoyi")</f>
        <v>Christelle Ngoyi</v>
      </c>
      <c r="B5006" s="1" t="str">
        <f>IFERROR(__xludf.DUMMYFUNCTION("""COMPUTED_VALUE"""),"MS")</f>
        <v>MS</v>
      </c>
    </row>
    <row r="5007" ht="15.75" customHeight="1">
      <c r="A5007" s="1" t="str">
        <f>IFERROR(__xludf.DUMMYFUNCTION("""COMPUTED_VALUE"""),"Tegra Mulanga")</f>
        <v>Tegra Mulanga</v>
      </c>
      <c r="B5007" s="1" t="str">
        <f>IFERROR(__xludf.DUMMYFUNCTION("""COMPUTED_VALUE"""),"MS")</f>
        <v>MS</v>
      </c>
    </row>
    <row r="5008" ht="15.75" customHeight="1">
      <c r="A5008" s="1" t="str">
        <f>IFERROR(__xludf.DUMMYFUNCTION("""COMPUTED_VALUE"""),"Malemba Darren")</f>
        <v>Malemba Darren</v>
      </c>
      <c r="B5008" s="1" t="str">
        <f>IFERROR(__xludf.DUMMYFUNCTION("""COMPUTED_VALUE"""),"MS")</f>
        <v>MS</v>
      </c>
    </row>
    <row r="5009" ht="15.75" customHeight="1">
      <c r="A5009" s="1" t="str">
        <f>IFERROR(__xludf.DUMMYFUNCTION("""COMPUTED_VALUE"""),"Grace Mujinga")</f>
        <v>Grace Mujinga</v>
      </c>
      <c r="B5009" s="1" t="str">
        <f>IFERROR(__xludf.DUMMYFUNCTION("""COMPUTED_VALUE"""),"HS")</f>
        <v>HS</v>
      </c>
    </row>
    <row r="5010" ht="15.75" customHeight="1">
      <c r="A5010" s="1" t="str">
        <f>IFERROR(__xludf.DUMMYFUNCTION("""COMPUTED_VALUE"""),"Elvis Ilunga")</f>
        <v>Elvis Ilunga</v>
      </c>
      <c r="B5010" s="1" t="str">
        <f>IFERROR(__xludf.DUMMYFUNCTION("""COMPUTED_VALUE"""),"HS")</f>
        <v>HS</v>
      </c>
    </row>
    <row r="5011" ht="15.75" customHeight="1">
      <c r="A5011" s="1" t="str">
        <f>IFERROR(__xludf.DUMMYFUNCTION("""COMPUTED_VALUE"""),"Holly Hope")</f>
        <v>Holly Hope</v>
      </c>
      <c r="B5011" s="1" t="str">
        <f>IFERROR(__xludf.DUMMYFUNCTION("""COMPUTED_VALUE"""),"HS")</f>
        <v>HS</v>
      </c>
    </row>
    <row r="5012" ht="15.75" customHeight="1">
      <c r="A5012" s="1" t="str">
        <f>IFERROR(__xludf.DUMMYFUNCTION("""COMPUTED_VALUE"""),"Igiraneza Joshua")</f>
        <v>Igiraneza Joshua</v>
      </c>
      <c r="B5012" s="1" t="str">
        <f>IFERROR(__xludf.DUMMYFUNCTION("""COMPUTED_VALUE"""),"HS")</f>
        <v>HS</v>
      </c>
    </row>
    <row r="5013" ht="15.75" customHeight="1">
      <c r="A5013" s="1" t="str">
        <f>IFERROR(__xludf.DUMMYFUNCTION("""COMPUTED_VALUE"""),"Erick Sobanika")</f>
        <v>Erick Sobanika</v>
      </c>
      <c r="B5013" s="1" t="str">
        <f>IFERROR(__xludf.DUMMYFUNCTION("""COMPUTED_VALUE"""),"MS")</f>
        <v>MS</v>
      </c>
    </row>
    <row r="5014" ht="15.75" customHeight="1">
      <c r="A5014" s="1" t="str">
        <f>IFERROR(__xludf.DUMMYFUNCTION("""COMPUTED_VALUE"""),"Hellena Furanisha")</f>
        <v>Hellena Furanisha</v>
      </c>
      <c r="B5014" s="1" t="str">
        <f>IFERROR(__xludf.DUMMYFUNCTION("""COMPUTED_VALUE"""),"L2")</f>
        <v>L2</v>
      </c>
    </row>
    <row r="5015" ht="15.75" customHeight="1">
      <c r="A5015" s="1" t="str">
        <f>IFERROR(__xludf.DUMMYFUNCTION("""COMPUTED_VALUE"""),"Felix Jacques")</f>
        <v>Felix Jacques</v>
      </c>
      <c r="B5015" s="1" t="str">
        <f>IFERROR(__xludf.DUMMYFUNCTION("""COMPUTED_VALUE"""),"MS")</f>
        <v>MS</v>
      </c>
    </row>
    <row r="5016" ht="15.75" customHeight="1">
      <c r="A5016" s="1" t="str">
        <f>IFERROR(__xludf.DUMMYFUNCTION("""COMPUTED_VALUE"""),"Mary Johnson")</f>
        <v>Mary Johnson</v>
      </c>
      <c r="B5016" s="1" t="str">
        <f>IFERROR(__xludf.DUMMYFUNCTION("""COMPUTED_VALUE"""),"HS")</f>
        <v>HS</v>
      </c>
    </row>
    <row r="5017" ht="15.75" customHeight="1">
      <c r="A5017" s="1" t="str">
        <f>IFERROR(__xludf.DUMMYFUNCTION("""COMPUTED_VALUE"""),"Dorcas Mashaka")</f>
        <v>Dorcas Mashaka</v>
      </c>
      <c r="B5017" s="1" t="str">
        <f>IFERROR(__xludf.DUMMYFUNCTION("""COMPUTED_VALUE"""),"MS")</f>
        <v>MS</v>
      </c>
    </row>
    <row r="5018" ht="15.75" customHeight="1">
      <c r="A5018" s="1" t="str">
        <f>IFERROR(__xludf.DUMMYFUNCTION("""COMPUTED_VALUE"""),"Beni Ingabire")</f>
        <v>Beni Ingabire</v>
      </c>
      <c r="B5018" s="1" t="str">
        <f>IFERROR(__xludf.DUMMYFUNCTION("""COMPUTED_VALUE"""),"MS")</f>
        <v>MS</v>
      </c>
    </row>
    <row r="5019" ht="15.75" customHeight="1">
      <c r="A5019" s="1" t="str">
        <f>IFERROR(__xludf.DUMMYFUNCTION("""COMPUTED_VALUE"""),"Alvin Mukegere")</f>
        <v>Alvin Mukegere</v>
      </c>
      <c r="B5019" s="1" t="str">
        <f>IFERROR(__xludf.DUMMYFUNCTION("""COMPUTED_VALUE"""),"L2")</f>
        <v>L2</v>
      </c>
    </row>
    <row r="5020" ht="15.75" customHeight="1">
      <c r="A5020" s="1" t="str">
        <f>IFERROR(__xludf.DUMMYFUNCTION("""COMPUTED_VALUE"""),"Joyance Kizungu")</f>
        <v>Joyance Kizungu</v>
      </c>
      <c r="B5020" s="1" t="str">
        <f>IFERROR(__xludf.DUMMYFUNCTION("""COMPUTED_VALUE"""),"MS")</f>
        <v>MS</v>
      </c>
    </row>
    <row r="5021" ht="15.75" customHeight="1">
      <c r="A5021" s="1" t="str">
        <f>IFERROR(__xludf.DUMMYFUNCTION("""COMPUTED_VALUE"""),"Never Kamakoko")</f>
        <v>Never Kamakoko</v>
      </c>
      <c r="B5021" s="1" t="str">
        <f>IFERROR(__xludf.DUMMYFUNCTION("""COMPUTED_VALUE"""),"L2")</f>
        <v>L2</v>
      </c>
    </row>
    <row r="5022" ht="15.75" customHeight="1">
      <c r="A5022" s="1" t="str">
        <f>IFERROR(__xludf.DUMMYFUNCTION("""COMPUTED_VALUE"""),"Happiness Jamisoni")</f>
        <v>Happiness Jamisoni</v>
      </c>
      <c r="B5022" s="1" t="str">
        <f>IFERROR(__xludf.DUMMYFUNCTION("""COMPUTED_VALUE"""),"L2")</f>
        <v>L2</v>
      </c>
    </row>
    <row r="5023" ht="15.75" customHeight="1">
      <c r="A5023" s="1" t="str">
        <f>IFERROR(__xludf.DUMMYFUNCTION("""COMPUTED_VALUE"""),"Miracle Kahina")</f>
        <v>Miracle Kahina</v>
      </c>
      <c r="B5023" s="1" t="str">
        <f>IFERROR(__xludf.DUMMYFUNCTION("""COMPUTED_VALUE"""),"MS")</f>
        <v>MS</v>
      </c>
    </row>
    <row r="5024" ht="15.75" customHeight="1">
      <c r="A5024" s="1" t="str">
        <f>IFERROR(__xludf.DUMMYFUNCTION("""COMPUTED_VALUE"""),"Raymond Nkhwachi")</f>
        <v>Raymond Nkhwachi</v>
      </c>
      <c r="B5024" s="1" t="str">
        <f>IFERROR(__xludf.DUMMYFUNCTION("""COMPUTED_VALUE"""),"MS")</f>
        <v>MS</v>
      </c>
    </row>
    <row r="5025" ht="15.75" customHeight="1">
      <c r="A5025" s="1" t="str">
        <f>IFERROR(__xludf.DUMMYFUNCTION("""COMPUTED_VALUE"""),"Tadala Banda")</f>
        <v>Tadala Banda</v>
      </c>
      <c r="B5025" s="1" t="str">
        <f>IFERROR(__xludf.DUMMYFUNCTION("""COMPUTED_VALUE"""),"MS")</f>
        <v>MS</v>
      </c>
    </row>
    <row r="5026" ht="15.75" customHeight="1">
      <c r="A5026" s="1" t="str">
        <f>IFERROR(__xludf.DUMMYFUNCTION("""COMPUTED_VALUE"""),"Francis Lungu")</f>
        <v>Francis Lungu</v>
      </c>
      <c r="B5026" s="1" t="str">
        <f>IFERROR(__xludf.DUMMYFUNCTION("""COMPUTED_VALUE"""),"MS")</f>
        <v>MS</v>
      </c>
    </row>
    <row r="5027" ht="15.75" customHeight="1">
      <c r="A5027" s="1" t="str">
        <f>IFERROR(__xludf.DUMMYFUNCTION("""COMPUTED_VALUE"""),"Esther Nthaka")</f>
        <v>Esther Nthaka</v>
      </c>
      <c r="B5027" s="1" t="str">
        <f>IFERROR(__xludf.DUMMYFUNCTION("""COMPUTED_VALUE"""),"MS")</f>
        <v>MS</v>
      </c>
    </row>
    <row r="5028" ht="15.75" customHeight="1">
      <c r="A5028" s="1" t="str">
        <f>IFERROR(__xludf.DUMMYFUNCTION("""COMPUTED_VALUE"""),"Kelvin Kamakoko")</f>
        <v>Kelvin Kamakoko</v>
      </c>
      <c r="B5028" s="1" t="str">
        <f>IFERROR(__xludf.DUMMYFUNCTION("""COMPUTED_VALUE"""),"MS")</f>
        <v>MS</v>
      </c>
    </row>
    <row r="5029" ht="15.75" customHeight="1">
      <c r="A5029" s="1" t="str">
        <f>IFERROR(__xludf.DUMMYFUNCTION("""COMPUTED_VALUE"""),"Patrick Juma")</f>
        <v>Patrick Juma</v>
      </c>
      <c r="B5029" s="1" t="str">
        <f>IFERROR(__xludf.DUMMYFUNCTION("""COMPUTED_VALUE"""),"MS")</f>
        <v>MS</v>
      </c>
    </row>
    <row r="5030" ht="15.75" customHeight="1">
      <c r="A5030" s="1" t="str">
        <f>IFERROR(__xludf.DUMMYFUNCTION("""COMPUTED_VALUE"""),"Marc Shehinge")</f>
        <v>Marc Shehinge</v>
      </c>
      <c r="B5030" s="1" t="str">
        <f>IFERROR(__xludf.DUMMYFUNCTION("""COMPUTED_VALUE"""),"MS")</f>
        <v>MS</v>
      </c>
    </row>
    <row r="5031" ht="15.75" customHeight="1">
      <c r="A5031" s="1" t="str">
        <f>IFERROR(__xludf.DUMMYFUNCTION("""COMPUTED_VALUE"""),"Ninda Kiputa")</f>
        <v>Ninda Kiputa</v>
      </c>
      <c r="B5031" s="1" t="str">
        <f>IFERROR(__xludf.DUMMYFUNCTION("""COMPUTED_VALUE"""),"MS")</f>
        <v>MS</v>
      </c>
    </row>
    <row r="5032" ht="15.75" customHeight="1">
      <c r="A5032" s="1" t="str">
        <f>IFERROR(__xludf.DUMMYFUNCTION("""COMPUTED_VALUE"""),"Frank Mihindu")</f>
        <v>Frank Mihindu</v>
      </c>
      <c r="B5032" s="1" t="str">
        <f>IFERROR(__xludf.DUMMYFUNCTION("""COMPUTED_VALUE"""),"MS")</f>
        <v>MS</v>
      </c>
    </row>
    <row r="5033" ht="15.75" customHeight="1">
      <c r="A5033" s="1" t="str">
        <f>IFERROR(__xludf.DUMMYFUNCTION("""COMPUTED_VALUE"""),"Gasaro Daniella")</f>
        <v>Gasaro Daniella</v>
      </c>
      <c r="B5033" s="1" t="str">
        <f>IFERROR(__xludf.DUMMYFUNCTION("""COMPUTED_VALUE"""),"HS")</f>
        <v>HS</v>
      </c>
    </row>
    <row r="5034" ht="15.75" customHeight="1">
      <c r="A5034" s="1" t="str">
        <f>IFERROR(__xludf.DUMMYFUNCTION("""COMPUTED_VALUE"""),"Salma Irakoze")</f>
        <v>Salma Irakoze</v>
      </c>
      <c r="B5034" s="1" t="str">
        <f>IFERROR(__xludf.DUMMYFUNCTION("""COMPUTED_VALUE"""),"MS")</f>
        <v>MS</v>
      </c>
    </row>
    <row r="5035" ht="15.75" customHeight="1">
      <c r="A5035" s="1" t="str">
        <f>IFERROR(__xludf.DUMMYFUNCTION("""COMPUTED_VALUE"""),"Abigael Augustin")</f>
        <v>Abigael Augustin</v>
      </c>
      <c r="B5035" s="1" t="str">
        <f>IFERROR(__xludf.DUMMYFUNCTION("""COMPUTED_VALUE"""),"MS")</f>
        <v>MS</v>
      </c>
    </row>
    <row r="5036" ht="15.75" customHeight="1">
      <c r="A5036" s="1" t="str">
        <f>IFERROR(__xludf.DUMMYFUNCTION("""COMPUTED_VALUE"""),"Dieu-merci Moses")</f>
        <v>Dieu-merci Moses</v>
      </c>
      <c r="B5036" s="1" t="str">
        <f>IFERROR(__xludf.DUMMYFUNCTION("""COMPUTED_VALUE"""),"L2")</f>
        <v>L2</v>
      </c>
    </row>
    <row r="5037" ht="15.75" customHeight="1">
      <c r="A5037" s="1" t="str">
        <f>IFERROR(__xludf.DUMMYFUNCTION("""COMPUTED_VALUE"""),"Etabi Bilombele")</f>
        <v>Etabi Bilombele</v>
      </c>
      <c r="B5037" s="1" t="str">
        <f>IFERROR(__xludf.DUMMYFUNCTION("""COMPUTED_VALUE"""),"L2")</f>
        <v>L2</v>
      </c>
    </row>
    <row r="5038" ht="15.75" customHeight="1">
      <c r="A5038" s="1" t="str">
        <f>IFERROR(__xludf.DUMMYFUNCTION("""COMPUTED_VALUE"""),"Finidi Batakumba")</f>
        <v>Finidi Batakumba</v>
      </c>
      <c r="B5038" s="1" t="str">
        <f>IFERROR(__xludf.DUMMYFUNCTION("""COMPUTED_VALUE"""),"MS")</f>
        <v>MS</v>
      </c>
    </row>
    <row r="5039" ht="15.75" customHeight="1">
      <c r="A5039" s="1" t="str">
        <f>IFERROR(__xludf.DUMMYFUNCTION("""COMPUTED_VALUE"""),"Angel Muswege")</f>
        <v>Angel Muswege</v>
      </c>
      <c r="B5039" s="1" t="str">
        <f>IFERROR(__xludf.DUMMYFUNCTION("""COMPUTED_VALUE"""),"MS")</f>
        <v>MS</v>
      </c>
    </row>
    <row r="5040" ht="15.75" customHeight="1">
      <c r="A5040" s="1" t="str">
        <f>IFERROR(__xludf.DUMMYFUNCTION("""COMPUTED_VALUE"""),"Ashura Monga")</f>
        <v>Ashura Monga</v>
      </c>
      <c r="B5040" s="1" t="str">
        <f>IFERROR(__xludf.DUMMYFUNCTION("""COMPUTED_VALUE"""),"MS")</f>
        <v>MS</v>
      </c>
    </row>
    <row r="5041" ht="15.75" customHeight="1">
      <c r="A5041" s="1" t="str">
        <f>IFERROR(__xludf.DUMMYFUNCTION("""COMPUTED_VALUE"""),"Muzaliwa Mbilizi")</f>
        <v>Muzaliwa Mbilizi</v>
      </c>
      <c r="B5041" s="1" t="str">
        <f>IFERROR(__xludf.DUMMYFUNCTION("""COMPUTED_VALUE"""),"MS")</f>
        <v>MS</v>
      </c>
    </row>
    <row r="5042" ht="15.75" customHeight="1">
      <c r="A5042" s="1" t="str">
        <f>IFERROR(__xludf.DUMMYFUNCTION("""COMPUTED_VALUE"""),"Preference Muka")</f>
        <v>Preference Muka</v>
      </c>
      <c r="B5042" s="1" t="str">
        <f>IFERROR(__xludf.DUMMYFUNCTION("""COMPUTED_VALUE"""),"MS")</f>
        <v>MS</v>
      </c>
    </row>
    <row r="5043" ht="15.75" customHeight="1">
      <c r="A5043" s="1" t="str">
        <f>IFERROR(__xludf.DUMMYFUNCTION("""COMPUTED_VALUE"""),"Kyanda Mbumba")</f>
        <v>Kyanda Mbumba</v>
      </c>
      <c r="B5043" s="1" t="str">
        <f>IFERROR(__xludf.DUMMYFUNCTION("""COMPUTED_VALUE"""),"MS")</f>
        <v>MS</v>
      </c>
    </row>
    <row r="5044" ht="15.75" customHeight="1">
      <c r="A5044" s="1" t="str">
        <f>IFERROR(__xludf.DUMMYFUNCTION("""COMPUTED_VALUE"""),"Julliene Augustin")</f>
        <v>Julliene Augustin</v>
      </c>
      <c r="B5044" s="1" t="str">
        <f>IFERROR(__xludf.DUMMYFUNCTION("""COMPUTED_VALUE"""),"MS")</f>
        <v>MS</v>
      </c>
    </row>
    <row r="5045" ht="15.75" customHeight="1">
      <c r="A5045" s="1" t="str">
        <f>IFERROR(__xludf.DUMMYFUNCTION("""COMPUTED_VALUE"""),"Light Nshimbi")</f>
        <v>Light Nshimbi</v>
      </c>
      <c r="B5045" s="1" t="str">
        <f>IFERROR(__xludf.DUMMYFUNCTION("""COMPUTED_VALUE"""),"MS")</f>
        <v>MS</v>
      </c>
    </row>
    <row r="5046" ht="15.75" customHeight="1">
      <c r="A5046" s="1" t="str">
        <f>IFERROR(__xludf.DUMMYFUNCTION("""COMPUTED_VALUE"""),"Blessings Nshimbi")</f>
        <v>Blessings Nshimbi</v>
      </c>
      <c r="B5046" s="1" t="str">
        <f>IFERROR(__xludf.DUMMYFUNCTION("""COMPUTED_VALUE"""),"MS")</f>
        <v>MS</v>
      </c>
    </row>
    <row r="5047" ht="15.75" customHeight="1">
      <c r="A5047" s="1" t="str">
        <f>IFERROR(__xludf.DUMMYFUNCTION("""COMPUTED_VALUE"""),"Esther Victorina")</f>
        <v>Esther Victorina</v>
      </c>
      <c r="B5047" s="1" t="str">
        <f>IFERROR(__xludf.DUMMYFUNCTION("""COMPUTED_VALUE"""),"MS")</f>
        <v>MS</v>
      </c>
    </row>
    <row r="5048" ht="15.75" customHeight="1">
      <c r="A5048" s="1" t="str">
        <f>IFERROR(__xludf.DUMMYFUNCTION("""COMPUTED_VALUE"""),"Jemimah Mapenzi")</f>
        <v>Jemimah Mapenzi</v>
      </c>
      <c r="B5048" s="1" t="str">
        <f>IFERROR(__xludf.DUMMYFUNCTION("""COMPUTED_VALUE"""),"HS")</f>
        <v>HS</v>
      </c>
    </row>
    <row r="5049" ht="15.75" customHeight="1">
      <c r="A5049" s="1" t="str">
        <f>IFERROR(__xludf.DUMMYFUNCTION("""COMPUTED_VALUE"""),"Zawadi Napamba")</f>
        <v>Zawadi Napamba</v>
      </c>
      <c r="B5049" s="1" t="str">
        <f>IFERROR(__xludf.DUMMYFUNCTION("""COMPUTED_VALUE"""),"MS")</f>
        <v>MS</v>
      </c>
    </row>
    <row r="5050" ht="15.75" customHeight="1">
      <c r="A5050" s="1" t="str">
        <f>IFERROR(__xludf.DUMMYFUNCTION("""COMPUTED_VALUE"""),"Raisa Furaha")</f>
        <v>Raisa Furaha</v>
      </c>
      <c r="B5050" s="1" t="str">
        <f>IFERROR(__xludf.DUMMYFUNCTION("""COMPUTED_VALUE"""),"HS")</f>
        <v>HS</v>
      </c>
    </row>
    <row r="5051" ht="15.75" customHeight="1">
      <c r="A5051" s="1" t="str">
        <f>IFERROR(__xludf.DUMMYFUNCTION("""COMPUTED_VALUE"""),"Merciana Sikabwe")</f>
        <v>Merciana Sikabwe</v>
      </c>
      <c r="B5051" s="1" t="str">
        <f>IFERROR(__xludf.DUMMYFUNCTION("""COMPUTED_VALUE"""),"L2")</f>
        <v>L2</v>
      </c>
    </row>
    <row r="5052" ht="15.75" customHeight="1">
      <c r="A5052" s="1" t="str">
        <f>IFERROR(__xludf.DUMMYFUNCTION("""COMPUTED_VALUE"""),"Hadassah Banze")</f>
        <v>Hadassah Banze</v>
      </c>
      <c r="B5052" s="1" t="str">
        <f>IFERROR(__xludf.DUMMYFUNCTION("""COMPUTED_VALUE"""),"HS")</f>
        <v>HS</v>
      </c>
    </row>
    <row r="5053" ht="15.75" customHeight="1">
      <c r="A5053" s="1" t="str">
        <f>IFERROR(__xludf.DUMMYFUNCTION("""COMPUTED_VALUE"""),"Mazingwa Jeane")</f>
        <v>Mazingwa Jeane</v>
      </c>
      <c r="B5053" s="1" t="str">
        <f>IFERROR(__xludf.DUMMYFUNCTION("""COMPUTED_VALUE"""),"MS")</f>
        <v>MS</v>
      </c>
    </row>
    <row r="5054" ht="15.75" customHeight="1">
      <c r="A5054" s="1" t="str">
        <f>IFERROR(__xludf.DUMMYFUNCTION("""COMPUTED_VALUE"""),"Aviva Centner")</f>
        <v>Aviva Centner</v>
      </c>
      <c r="B5054" s="1" t="str">
        <f>IFERROR(__xludf.DUMMYFUNCTION("""COMPUTED_VALUE"""),"L2")</f>
        <v>L2</v>
      </c>
    </row>
    <row r="5055" ht="15.75" customHeight="1">
      <c r="A5055" s="1" t="str">
        <f>IFERROR(__xludf.DUMMYFUNCTION("""COMPUTED_VALUE"""),"Test Centner1")</f>
        <v>Test Centner1</v>
      </c>
      <c r="B5055" s="1" t="str">
        <f>IFERROR(__xludf.DUMMYFUNCTION("""COMPUTED_VALUE"""),"MS")</f>
        <v>MS</v>
      </c>
    </row>
    <row r="5056" ht="15.75" customHeight="1">
      <c r="A5056" s="1" t="str">
        <f>IFERROR(__xludf.DUMMYFUNCTION("""COMPUTED_VALUE"""),"Sophia Nurse")</f>
        <v>Sophia Nurse</v>
      </c>
      <c r="B5056" s="1" t="str">
        <f>IFERROR(__xludf.DUMMYFUNCTION("""COMPUTED_VALUE"""),"HS")</f>
        <v>HS</v>
      </c>
    </row>
    <row r="5057" ht="15.75" customHeight="1">
      <c r="A5057" s="1" t="str">
        <f>IFERROR(__xludf.DUMMYFUNCTION("""COMPUTED_VALUE"""),"Nicole Diaz")</f>
        <v>Nicole Diaz</v>
      </c>
      <c r="B5057" s="1" t="str">
        <f>IFERROR(__xludf.DUMMYFUNCTION("""COMPUTED_VALUE"""),"HS")</f>
        <v>HS</v>
      </c>
    </row>
    <row r="5058" ht="15.75" customHeight="1">
      <c r="A5058" s="1" t="str">
        <f>IFERROR(__xludf.DUMMYFUNCTION("""COMPUTED_VALUE"""),"Charlotte Gutierrez")</f>
        <v>Charlotte Gutierrez</v>
      </c>
      <c r="B5058" s="1" t="str">
        <f>IFERROR(__xludf.DUMMYFUNCTION("""COMPUTED_VALUE"""),"HS")</f>
        <v>HS</v>
      </c>
    </row>
    <row r="5059" ht="15.75" customHeight="1">
      <c r="A5059" s="1" t="str">
        <f>IFERROR(__xludf.DUMMYFUNCTION("""COMPUTED_VALUE"""),"Aaliyah O'Neal")</f>
        <v>Aaliyah O'Neal</v>
      </c>
      <c r="B5059" s="1" t="str">
        <f>IFERROR(__xludf.DUMMYFUNCTION("""COMPUTED_VALUE"""),"HS")</f>
        <v>HS</v>
      </c>
    </row>
    <row r="5060" ht="15.75" customHeight="1">
      <c r="A5060" s="1" t="str">
        <f>IFERROR(__xludf.DUMMYFUNCTION("""COMPUTED_VALUE"""),"Jay Hernandez")</f>
        <v>Jay Hernandez</v>
      </c>
      <c r="B5060" s="1" t="str">
        <f>IFERROR(__xludf.DUMMYFUNCTION("""COMPUTED_VALUE"""),"HS")</f>
        <v>HS</v>
      </c>
    </row>
    <row r="5061" ht="15.75" customHeight="1">
      <c r="A5061" s="1" t="str">
        <f>IFERROR(__xludf.DUMMYFUNCTION("""COMPUTED_VALUE"""),"Luis Acabal Rivas")</f>
        <v>Luis Acabal Rivas</v>
      </c>
      <c r="B5061" s="1" t="str">
        <f>IFERROR(__xludf.DUMMYFUNCTION("""COMPUTED_VALUE"""),"HS")</f>
        <v>HS</v>
      </c>
    </row>
    <row r="5062" ht="15.75" customHeight="1">
      <c r="A5062" s="1" t="str">
        <f>IFERROR(__xludf.DUMMYFUNCTION("""COMPUTED_VALUE"""),"Cody Hutson")</f>
        <v>Cody Hutson</v>
      </c>
      <c r="B5062" s="1" t="str">
        <f>IFERROR(__xludf.DUMMYFUNCTION("""COMPUTED_VALUE"""),"HS")</f>
        <v>HS</v>
      </c>
    </row>
    <row r="5063" ht="15.75" customHeight="1">
      <c r="A5063" s="1" t="str">
        <f>IFERROR(__xludf.DUMMYFUNCTION("""COMPUTED_VALUE"""),"Andre Gainey")</f>
        <v>Andre Gainey</v>
      </c>
      <c r="B5063" s="1" t="str">
        <f>IFERROR(__xludf.DUMMYFUNCTION("""COMPUTED_VALUE"""),"HS")</f>
        <v>HS</v>
      </c>
    </row>
    <row r="5064" ht="15.75" customHeight="1">
      <c r="A5064" s="1" t="str">
        <f>IFERROR(__xludf.DUMMYFUNCTION("""COMPUTED_VALUE"""),"Yember Aguilera Ramirez")</f>
        <v>Yember Aguilera Ramirez</v>
      </c>
      <c r="B5064" s="1" t="str">
        <f>IFERROR(__xludf.DUMMYFUNCTION("""COMPUTED_VALUE"""),"HS")</f>
        <v>HS</v>
      </c>
    </row>
    <row r="5065" ht="15.75" customHeight="1">
      <c r="A5065" s="1" t="str">
        <f>IFERROR(__xludf.DUMMYFUNCTION("""COMPUTED_VALUE"""),"Pasco Test")</f>
        <v>Pasco Test</v>
      </c>
      <c r="B5065" s="1" t="str">
        <f>IFERROR(__xludf.DUMMYFUNCTION("""COMPUTED_VALUE"""),"MS")</f>
        <v>MS</v>
      </c>
    </row>
    <row r="5066" ht="15.75" customHeight="1">
      <c r="A5066" s="1" t="str">
        <f>IFERROR(__xludf.DUMMYFUNCTION("""COMPUTED_VALUE"""),"Alan Rodriguez")</f>
        <v>Alan Rodriguez</v>
      </c>
      <c r="B5066" s="1" t="str">
        <f>IFERROR(__xludf.DUMMYFUNCTION("""COMPUTED_VALUE"""),"HS")</f>
        <v>HS</v>
      </c>
    </row>
    <row r="5067" ht="15.75" customHeight="1">
      <c r="A5067" s="1" t="str">
        <f>IFERROR(__xludf.DUMMYFUNCTION("""COMPUTED_VALUE"""),"Andre Rios")</f>
        <v>Andre Rios</v>
      </c>
      <c r="B5067" s="1" t="str">
        <f>IFERROR(__xludf.DUMMYFUNCTION("""COMPUTED_VALUE"""),"HS")</f>
        <v>HS</v>
      </c>
    </row>
    <row r="5068" ht="15.75" customHeight="1">
      <c r="A5068" s="1" t="str">
        <f>IFERROR(__xludf.DUMMYFUNCTION("""COMPUTED_VALUE"""),"Angel Raymundo Duarte")</f>
        <v>Angel Raymundo Duarte</v>
      </c>
      <c r="B5068" s="1" t="str">
        <f>IFERROR(__xludf.DUMMYFUNCTION("""COMPUTED_VALUE"""),"HS")</f>
        <v>HS</v>
      </c>
    </row>
    <row r="5069" ht="15.75" customHeight="1">
      <c r="A5069" s="1" t="str">
        <f>IFERROR(__xludf.DUMMYFUNCTION("""COMPUTED_VALUE"""),"Cullen Harris")</f>
        <v>Cullen Harris</v>
      </c>
      <c r="B5069" s="1" t="str">
        <f>IFERROR(__xludf.DUMMYFUNCTION("""COMPUTED_VALUE"""),"HS")</f>
        <v>HS</v>
      </c>
    </row>
    <row r="5070" ht="15.75" customHeight="1">
      <c r="A5070" s="1" t="str">
        <f>IFERROR(__xludf.DUMMYFUNCTION("""COMPUTED_VALUE"""),"Elijah Criner")</f>
        <v>Elijah Criner</v>
      </c>
      <c r="B5070" s="1" t="str">
        <f>IFERROR(__xludf.DUMMYFUNCTION("""COMPUTED_VALUE"""),"HS")</f>
        <v>HS</v>
      </c>
    </row>
    <row r="5071" ht="15.75" customHeight="1">
      <c r="A5071" s="1" t="str">
        <f>IFERROR(__xludf.DUMMYFUNCTION("""COMPUTED_VALUE"""),"Glayven Lenox")</f>
        <v>Glayven Lenox</v>
      </c>
      <c r="B5071" s="1" t="str">
        <f>IFERROR(__xludf.DUMMYFUNCTION("""COMPUTED_VALUE"""),"HS")</f>
        <v>HS</v>
      </c>
    </row>
    <row r="5072" ht="15.75" customHeight="1">
      <c r="A5072" s="1" t="str">
        <f>IFERROR(__xludf.DUMMYFUNCTION("""COMPUTED_VALUE"""),"Isabella Thomas")</f>
        <v>Isabella Thomas</v>
      </c>
      <c r="B5072" s="1" t="str">
        <f>IFERROR(__xludf.DUMMYFUNCTION("""COMPUTED_VALUE"""),"HS")</f>
        <v>HS</v>
      </c>
    </row>
    <row r="5073" ht="15.75" customHeight="1">
      <c r="A5073" s="1" t="str">
        <f>IFERROR(__xludf.DUMMYFUNCTION("""COMPUTED_VALUE"""),"Jose Salinas")</f>
        <v>Jose Salinas</v>
      </c>
      <c r="B5073" s="1" t="str">
        <f>IFERROR(__xludf.DUMMYFUNCTION("""COMPUTED_VALUE"""),"HS")</f>
        <v>HS</v>
      </c>
    </row>
    <row r="5074" ht="15.75" customHeight="1">
      <c r="A5074" s="1" t="str">
        <f>IFERROR(__xludf.DUMMYFUNCTION("""COMPUTED_VALUE"""),"Josephine Nurse")</f>
        <v>Josephine Nurse</v>
      </c>
      <c r="B5074" s="1" t="str">
        <f>IFERROR(__xludf.DUMMYFUNCTION("""COMPUTED_VALUE"""),"HS")</f>
        <v>HS</v>
      </c>
    </row>
    <row r="5075" ht="15.75" customHeight="1">
      <c r="A5075" s="1" t="str">
        <f>IFERROR(__xludf.DUMMYFUNCTION("""COMPUTED_VALUE"""),"Linnea Shelton Smith")</f>
        <v>Linnea Shelton Smith</v>
      </c>
      <c r="B5075" s="1" t="str">
        <f>IFERROR(__xludf.DUMMYFUNCTION("""COMPUTED_VALUE"""),"HS")</f>
        <v>HS</v>
      </c>
    </row>
    <row r="5076" ht="15.75" customHeight="1">
      <c r="A5076" s="1" t="str">
        <f>IFERROR(__xludf.DUMMYFUNCTION("""COMPUTED_VALUE"""),"Zane Skilnyk")</f>
        <v>Zane Skilnyk</v>
      </c>
      <c r="B5076" s="1" t="str">
        <f>IFERROR(__xludf.DUMMYFUNCTION("""COMPUTED_VALUE"""),"HS")</f>
        <v>HS</v>
      </c>
    </row>
    <row r="5077" ht="15.75" customHeight="1">
      <c r="A5077" s="1" t="str">
        <f>IFERROR(__xludf.DUMMYFUNCTION("""COMPUTED_VALUE"""),"Rashaud Hollen")</f>
        <v>Rashaud Hollen</v>
      </c>
      <c r="B5077" s="1" t="str">
        <f>IFERROR(__xludf.DUMMYFUNCTION("""COMPUTED_VALUE"""),"HS")</f>
        <v>HS</v>
      </c>
    </row>
    <row r="5078" ht="15.75" customHeight="1">
      <c r="A5078" s="1" t="str">
        <f>IFERROR(__xludf.DUMMYFUNCTION("""COMPUTED_VALUE"""),"Dauz Lee-Zablotny")</f>
        <v>Dauz Lee-Zablotny</v>
      </c>
      <c r="B5078" s="1" t="str">
        <f>IFERROR(__xludf.DUMMYFUNCTION("""COMPUTED_VALUE"""),"HS")</f>
        <v>HS</v>
      </c>
    </row>
    <row r="5079" ht="15.75" customHeight="1">
      <c r="A5079" s="1" t="str">
        <f>IFERROR(__xludf.DUMMYFUNCTION("""COMPUTED_VALUE"""),"Isaiah Murray")</f>
        <v>Isaiah Murray</v>
      </c>
      <c r="B5079" s="1" t="str">
        <f>IFERROR(__xludf.DUMMYFUNCTION("""COMPUTED_VALUE"""),"MS")</f>
        <v>MS</v>
      </c>
    </row>
    <row r="5080" ht="15.75" customHeight="1">
      <c r="A5080" s="1" t="str">
        <f>IFERROR(__xludf.DUMMYFUNCTION("""COMPUTED_VALUE"""),"Hunter Dastrup")</f>
        <v>Hunter Dastrup</v>
      </c>
      <c r="B5080" s="1" t="str">
        <f>IFERROR(__xludf.DUMMYFUNCTION("""COMPUTED_VALUE"""),"L2")</f>
        <v>L2</v>
      </c>
    </row>
    <row r="5081" ht="15.75" customHeight="1">
      <c r="A5081" s="1" t="str">
        <f>IFERROR(__xludf.DUMMYFUNCTION("""COMPUTED_VALUE"""),"Gabriella Gonzalez")</f>
        <v>Gabriella Gonzalez</v>
      </c>
      <c r="B5081" s="1" t="str">
        <f>IFERROR(__xludf.DUMMYFUNCTION("""COMPUTED_VALUE"""),"MS")</f>
        <v>MS</v>
      </c>
    </row>
    <row r="5082" ht="15.75" customHeight="1">
      <c r="A5082" s="1" t="str">
        <f>IFERROR(__xludf.DUMMYFUNCTION("""COMPUTED_VALUE"""),"Dalton Robinson")</f>
        <v>Dalton Robinson</v>
      </c>
      <c r="B5082" s="1" t="str">
        <f>IFERROR(__xludf.DUMMYFUNCTION("""COMPUTED_VALUE"""),"MS")</f>
        <v>MS</v>
      </c>
    </row>
    <row r="5083" ht="15.75" customHeight="1">
      <c r="A5083" s="1" t="str">
        <f>IFERROR(__xludf.DUMMYFUNCTION("""COMPUTED_VALUE"""),"William Case")</f>
        <v>William Case</v>
      </c>
      <c r="B5083" s="1" t="str">
        <f>IFERROR(__xludf.DUMMYFUNCTION("""COMPUTED_VALUE"""),"MS")</f>
        <v>MS</v>
      </c>
    </row>
    <row r="5084" ht="15.75" customHeight="1">
      <c r="A5084" s="1" t="str">
        <f>IFERROR(__xludf.DUMMYFUNCTION("""COMPUTED_VALUE"""),"Samuel Case")</f>
        <v>Samuel Case</v>
      </c>
      <c r="B5084" s="1" t="str">
        <f>IFERROR(__xludf.DUMMYFUNCTION("""COMPUTED_VALUE"""),"MS")</f>
        <v>MS</v>
      </c>
    </row>
    <row r="5085" ht="15.75" customHeight="1">
      <c r="A5085" s="1" t="str">
        <f>IFERROR(__xludf.DUMMYFUNCTION("""COMPUTED_VALUE"""),"Will Robinson")</f>
        <v>Will Robinson</v>
      </c>
      <c r="B5085" s="1" t="str">
        <f>IFERROR(__xludf.DUMMYFUNCTION("""COMPUTED_VALUE"""),"LL")</f>
        <v>LL</v>
      </c>
    </row>
    <row r="5086" ht="15.75" customHeight="1">
      <c r="A5086" s="1" t="str">
        <f>IFERROR(__xludf.DUMMYFUNCTION("""COMPUTED_VALUE"""),"Lynnix Russel")</f>
        <v>Lynnix Russel</v>
      </c>
      <c r="B5086" s="1" t="str">
        <f>IFERROR(__xludf.DUMMYFUNCTION("""COMPUTED_VALUE"""),"L2")</f>
        <v>L2</v>
      </c>
    </row>
    <row r="5087" ht="15.75" customHeight="1">
      <c r="A5087" s="1" t="str">
        <f>IFERROR(__xludf.DUMMYFUNCTION("""COMPUTED_VALUE"""),"Reagan Galbreth")</f>
        <v>Reagan Galbreth</v>
      </c>
      <c r="B5087" s="1" t="str">
        <f>IFERROR(__xludf.DUMMYFUNCTION("""COMPUTED_VALUE"""),"L1")</f>
        <v>L1</v>
      </c>
    </row>
    <row r="5088" ht="15.75" customHeight="1">
      <c r="A5088" s="1" t="str">
        <f>IFERROR(__xludf.DUMMYFUNCTION("""COMPUTED_VALUE"""),"Monica Langford-Sanchez")</f>
        <v>Monica Langford-Sanchez</v>
      </c>
      <c r="B5088" s="1" t="str">
        <f>IFERROR(__xludf.DUMMYFUNCTION("""COMPUTED_VALUE"""),"L2")</f>
        <v>L2</v>
      </c>
    </row>
    <row r="5089" ht="15.75" customHeight="1">
      <c r="A5089" s="1" t="str">
        <f>IFERROR(__xludf.DUMMYFUNCTION("""COMPUTED_VALUE"""),"Ivan Langford-Sanchez")</f>
        <v>Ivan Langford-Sanchez</v>
      </c>
      <c r="B5089" s="1" t="str">
        <f>IFERROR(__xludf.DUMMYFUNCTION("""COMPUTED_VALUE"""),"MS")</f>
        <v>MS</v>
      </c>
    </row>
    <row r="5090" ht="15.75" customHeight="1">
      <c r="A5090" s="1" t="str">
        <f>IFERROR(__xludf.DUMMYFUNCTION("""COMPUTED_VALUE"""),"Joshua Kennard")</f>
        <v>Joshua Kennard</v>
      </c>
      <c r="B5090" s="1" t="str">
        <f>IFERROR(__xludf.DUMMYFUNCTION("""COMPUTED_VALUE"""),"HS")</f>
        <v>HS</v>
      </c>
    </row>
    <row r="5091" ht="15.75" customHeight="1">
      <c r="A5091" s="1" t="str">
        <f>IFERROR(__xludf.DUMMYFUNCTION("""COMPUTED_VALUE"""),"Joseph Kennard")</f>
        <v>Joseph Kennard</v>
      </c>
      <c r="B5091" s="1" t="str">
        <f>IFERROR(__xludf.DUMMYFUNCTION("""COMPUTED_VALUE"""),"MS")</f>
        <v>MS</v>
      </c>
    </row>
    <row r="5092" ht="15.75" customHeight="1">
      <c r="A5092" s="1" t="str">
        <f>IFERROR(__xludf.DUMMYFUNCTION("""COMPUTED_VALUE"""),"Timothy Pena")</f>
        <v>Timothy Pena</v>
      </c>
      <c r="B5092" s="1" t="str">
        <f>IFERROR(__xludf.DUMMYFUNCTION("""COMPUTED_VALUE"""),"MS")</f>
        <v>MS</v>
      </c>
    </row>
    <row r="5093" ht="15.75" customHeight="1">
      <c r="A5093" s="1" t="str">
        <f>IFERROR(__xludf.DUMMYFUNCTION("""COMPUTED_VALUE"""),"Evelyn Kennard")</f>
        <v>Evelyn Kennard</v>
      </c>
      <c r="B5093" s="1" t="str">
        <f>IFERROR(__xludf.DUMMYFUNCTION("""COMPUTED_VALUE"""),"L1")</f>
        <v>L1</v>
      </c>
    </row>
    <row r="5094" ht="15.75" customHeight="1">
      <c r="A5094" s="1" t="str">
        <f>IFERROR(__xludf.DUMMYFUNCTION("""COMPUTED_VALUE"""),"James Thompson")</f>
        <v>James Thompson</v>
      </c>
      <c r="B5094" s="1" t="str">
        <f>IFERROR(__xludf.DUMMYFUNCTION("""COMPUTED_VALUE"""),"L2")</f>
        <v>L2</v>
      </c>
    </row>
    <row r="5095" ht="15.75" customHeight="1">
      <c r="A5095" s="1" t="str">
        <f>IFERROR(__xludf.DUMMYFUNCTION("""COMPUTED_VALUE"""),"Kaylie Thompson")</f>
        <v>Kaylie Thompson</v>
      </c>
      <c r="B5095" s="1" t="str">
        <f>IFERROR(__xludf.DUMMYFUNCTION("""COMPUTED_VALUE"""),"MS")</f>
        <v>MS</v>
      </c>
    </row>
    <row r="5096" ht="15.75" customHeight="1">
      <c r="A5096" s="1" t="str">
        <f>IFERROR(__xludf.DUMMYFUNCTION("""COMPUTED_VALUE"""),"Rowan Thompson")</f>
        <v>Rowan Thompson</v>
      </c>
      <c r="B5096" s="1" t="str">
        <f>IFERROR(__xludf.DUMMYFUNCTION("""COMPUTED_VALUE"""),"LL")</f>
        <v>LL</v>
      </c>
    </row>
    <row r="5097" ht="15.75" customHeight="1">
      <c r="A5097" s="1" t="str">
        <f>IFERROR(__xludf.DUMMYFUNCTION("""COMPUTED_VALUE"""),"David Thompson")</f>
        <v>David Thompson</v>
      </c>
      <c r="B5097" s="1" t="str">
        <f>IFERROR(__xludf.DUMMYFUNCTION("""COMPUTED_VALUE"""),"L2")</f>
        <v>L2</v>
      </c>
    </row>
    <row r="5098" ht="15.75" customHeight="1">
      <c r="A5098" s="1" t="str">
        <f>IFERROR(__xludf.DUMMYFUNCTION("""COMPUTED_VALUE"""),"Anora Thompson")</f>
        <v>Anora Thompson</v>
      </c>
      <c r="B5098" s="1" t="str">
        <f>IFERROR(__xludf.DUMMYFUNCTION("""COMPUTED_VALUE"""),"MS")</f>
        <v>MS</v>
      </c>
    </row>
    <row r="5099" ht="15.75" customHeight="1">
      <c r="A5099" s="1" t="str">
        <f>IFERROR(__xludf.DUMMYFUNCTION("""COMPUTED_VALUE"""),"Payson Robinson")</f>
        <v>Payson Robinson</v>
      </c>
      <c r="B5099" s="1" t="str">
        <f>IFERROR(__xludf.DUMMYFUNCTION("""COMPUTED_VALUE"""),"L2")</f>
        <v>L2</v>
      </c>
    </row>
    <row r="5100" ht="15.75" customHeight="1">
      <c r="A5100" s="1" t="str">
        <f>IFERROR(__xludf.DUMMYFUNCTION("""COMPUTED_VALUE"""),"Faezon Philips")</f>
        <v>Faezon Philips</v>
      </c>
      <c r="B5100" s="1" t="str">
        <f>IFERROR(__xludf.DUMMYFUNCTION("""COMPUTED_VALUE"""),"L1")</f>
        <v>L1</v>
      </c>
    </row>
    <row r="5101" ht="15.75" customHeight="1">
      <c r="A5101" s="1" t="str">
        <f>IFERROR(__xludf.DUMMYFUNCTION("""COMPUTED_VALUE"""),"Samuel Langford-Sanchez")</f>
        <v>Samuel Langford-Sanchez</v>
      </c>
      <c r="B5101" s="1" t="str">
        <f>IFERROR(__xludf.DUMMYFUNCTION("""COMPUTED_VALUE"""),"MS")</f>
        <v>MS</v>
      </c>
    </row>
    <row r="5102" ht="15.75" customHeight="1">
      <c r="A5102" s="1" t="str">
        <f>IFERROR(__xludf.DUMMYFUNCTION("""COMPUTED_VALUE"""),"Asher Buckner")</f>
        <v>Asher Buckner</v>
      </c>
      <c r="B5102" s="1" t="str">
        <f>IFERROR(__xludf.DUMMYFUNCTION("""COMPUTED_VALUE"""),"MS")</f>
        <v>MS</v>
      </c>
    </row>
    <row r="5103" ht="15.75" customHeight="1">
      <c r="A5103" s="1" t="str">
        <f>IFERROR(__xludf.DUMMYFUNCTION("""COMPUTED_VALUE"""),"Stella Anaipakos")</f>
        <v>Stella Anaipakos</v>
      </c>
      <c r="B5103" s="1" t="str">
        <f>IFERROR(__xludf.DUMMYFUNCTION("""COMPUTED_VALUE"""),"MS")</f>
        <v>MS</v>
      </c>
    </row>
    <row r="5104" ht="15.75" customHeight="1">
      <c r="A5104" s="1" t="str">
        <f>IFERROR(__xludf.DUMMYFUNCTION("""COMPUTED_VALUE"""),"Paul Kennedy")</f>
        <v>Paul Kennedy</v>
      </c>
      <c r="B5104" s="1" t="str">
        <f>IFERROR(__xludf.DUMMYFUNCTION("""COMPUTED_VALUE"""),"L2")</f>
        <v>L2</v>
      </c>
    </row>
    <row r="5105" ht="15.75" customHeight="1">
      <c r="A5105" s="1" t="str">
        <f>IFERROR(__xludf.DUMMYFUNCTION("""COMPUTED_VALUE"""),"Guide Sixth Grade8")</f>
        <v>Guide Sixth Grade8</v>
      </c>
      <c r="B5105" s="1" t="str">
        <f>IFERROR(__xludf.DUMMYFUNCTION("""COMPUTED_VALUE"""),"MS")</f>
        <v>MS</v>
      </c>
    </row>
    <row r="5106" ht="15.75" customHeight="1">
      <c r="A5106" s="1" t="str">
        <f>IFERROR(__xludf.DUMMYFUNCTION("""COMPUTED_VALUE"""),"Catherine DeYmaz")</f>
        <v>Catherine DeYmaz</v>
      </c>
      <c r="B5106" s="1" t="str">
        <f>IFERROR(__xludf.DUMMYFUNCTION("""COMPUTED_VALUE"""),"L2")</f>
        <v>L2</v>
      </c>
    </row>
    <row r="5107" ht="15.75" customHeight="1">
      <c r="A5107" s="1" t="str">
        <f>IFERROR(__xludf.DUMMYFUNCTION("""COMPUTED_VALUE"""),"Noah Dunn")</f>
        <v>Noah Dunn</v>
      </c>
      <c r="B5107" s="1" t="str">
        <f>IFERROR(__xludf.DUMMYFUNCTION("""COMPUTED_VALUE"""),"L2")</f>
        <v>L2</v>
      </c>
    </row>
    <row r="5108" ht="15.75" customHeight="1">
      <c r="A5108" s="1" t="str">
        <f>IFERROR(__xludf.DUMMYFUNCTION("""COMPUTED_VALUE"""),"Nora Haynes")</f>
        <v>Nora Haynes</v>
      </c>
      <c r="B5108" s="1" t="str">
        <f>IFERROR(__xludf.DUMMYFUNCTION("""COMPUTED_VALUE"""),"L2")</f>
        <v>L2</v>
      </c>
    </row>
    <row r="5109" ht="15.75" customHeight="1">
      <c r="A5109" s="1" t="str">
        <f>IFERROR(__xludf.DUMMYFUNCTION("""COMPUTED_VALUE"""),"Revel Hurley")</f>
        <v>Revel Hurley</v>
      </c>
      <c r="B5109" s="1" t="str">
        <f>IFERROR(__xludf.DUMMYFUNCTION("""COMPUTED_VALUE"""),"L2")</f>
        <v>L2</v>
      </c>
    </row>
    <row r="5110" ht="15.75" customHeight="1">
      <c r="A5110" s="1" t="str">
        <f>IFERROR(__xludf.DUMMYFUNCTION("""COMPUTED_VALUE"""),"Evelyn Meyer")</f>
        <v>Evelyn Meyer</v>
      </c>
      <c r="B5110" s="1" t="str">
        <f>IFERROR(__xludf.DUMMYFUNCTION("""COMPUTED_VALUE"""),"L2")</f>
        <v>L2</v>
      </c>
    </row>
    <row r="5111" ht="15.75" customHeight="1">
      <c r="A5111" s="1" t="str">
        <f>IFERROR(__xludf.DUMMYFUNCTION("""COMPUTED_VALUE"""),"Mary Lane Page")</f>
        <v>Mary Lane Page</v>
      </c>
      <c r="B5111" s="1" t="str">
        <f>IFERROR(__xludf.DUMMYFUNCTION("""COMPUTED_VALUE"""),"L2")</f>
        <v>L2</v>
      </c>
    </row>
    <row r="5112" ht="15.75" customHeight="1">
      <c r="A5112" s="1" t="str">
        <f>IFERROR(__xludf.DUMMYFUNCTION("""COMPUTED_VALUE"""),"Stellar Rackley")</f>
        <v>Stellar Rackley</v>
      </c>
      <c r="B5112" s="1" t="str">
        <f>IFERROR(__xludf.DUMMYFUNCTION("""COMPUTED_VALUE"""),"L2")</f>
        <v>L2</v>
      </c>
    </row>
    <row r="5113" ht="15.75" customHeight="1">
      <c r="A5113" s="1" t="str">
        <f>IFERROR(__xludf.DUMMYFUNCTION("""COMPUTED_VALUE"""),"Agustin Sanchez")</f>
        <v>Agustin Sanchez</v>
      </c>
      <c r="B5113" s="1" t="str">
        <f>IFERROR(__xludf.DUMMYFUNCTION("""COMPUTED_VALUE"""),"L2")</f>
        <v>L2</v>
      </c>
    </row>
    <row r="5114" ht="15.75" customHeight="1">
      <c r="A5114" s="1" t="str">
        <f>IFERROR(__xludf.DUMMYFUNCTION("""COMPUTED_VALUE"""),"Basil Green")</f>
        <v>Basil Green</v>
      </c>
      <c r="B5114" s="1" t="str">
        <f>IFERROR(__xludf.DUMMYFUNCTION("""COMPUTED_VALUE"""),"L2")</f>
        <v>L2</v>
      </c>
    </row>
    <row r="5115" ht="15.75" customHeight="1">
      <c r="A5115" s="1" t="str">
        <f>IFERROR(__xludf.DUMMYFUNCTION("""COMPUTED_VALUE"""),"Canyon Hardmon")</f>
        <v>Canyon Hardmon</v>
      </c>
      <c r="B5115" s="1" t="str">
        <f>IFERROR(__xludf.DUMMYFUNCTION("""COMPUTED_VALUE"""),"L2")</f>
        <v>L2</v>
      </c>
    </row>
    <row r="5116" ht="15.75" customHeight="1">
      <c r="A5116" s="1" t="str">
        <f>IFERROR(__xludf.DUMMYFUNCTION("""COMPUTED_VALUE"""),"Blakely Harper")</f>
        <v>Blakely Harper</v>
      </c>
      <c r="B5116" s="1" t="str">
        <f>IFERROR(__xludf.DUMMYFUNCTION("""COMPUTED_VALUE"""),"L2")</f>
        <v>L2</v>
      </c>
    </row>
    <row r="5117" ht="15.75" customHeight="1">
      <c r="A5117" s="1" t="str">
        <f>IFERROR(__xludf.DUMMYFUNCTION("""COMPUTED_VALUE"""),"Saige Rackley")</f>
        <v>Saige Rackley</v>
      </c>
      <c r="B5117" s="1" t="str">
        <f>IFERROR(__xludf.DUMMYFUNCTION("""COMPUTED_VALUE"""),"L2")</f>
        <v>L2</v>
      </c>
    </row>
    <row r="5118" ht="15.75" customHeight="1">
      <c r="A5118" s="1" t="str">
        <f>IFERROR(__xludf.DUMMYFUNCTION("""COMPUTED_VALUE"""),"Quincy Page")</f>
        <v>Quincy Page</v>
      </c>
      <c r="B5118" s="1" t="str">
        <f>IFERROR(__xludf.DUMMYFUNCTION("""COMPUTED_VALUE"""),"L1")</f>
        <v>L1</v>
      </c>
    </row>
    <row r="5119" ht="15.75" customHeight="1">
      <c r="A5119" s="1" t="str">
        <f>IFERROR(__xludf.DUMMYFUNCTION("""COMPUTED_VALUE"""),"Summery Summer")</f>
        <v>Summery Summer</v>
      </c>
      <c r="B5119" s="1" t="str">
        <f>IFERROR(__xludf.DUMMYFUNCTION("""COMPUTED_VALUE"""),"L1")</f>
        <v>L1</v>
      </c>
    </row>
    <row r="5120" ht="15.75" customHeight="1">
      <c r="A5120" s="1" t="str">
        <f>IFERROR(__xludf.DUMMYFUNCTION("""COMPUTED_VALUE"""),"Barton Zhang")</f>
        <v>Barton Zhang</v>
      </c>
      <c r="B5120" s="1" t="str">
        <f>IFERROR(__xludf.DUMMYFUNCTION("""COMPUTED_VALUE"""),"HS")</f>
        <v>HS</v>
      </c>
    </row>
    <row r="5121" ht="15.75" customHeight="1">
      <c r="A5121" s="1" t="str">
        <f>IFERROR(__xludf.DUMMYFUNCTION("""COMPUTED_VALUE"""),"Miles Aguiar")</f>
        <v>Miles Aguiar</v>
      </c>
      <c r="B5121" s="1" t="str">
        <f>IFERROR(__xludf.DUMMYFUNCTION("""COMPUTED_VALUE"""),"MS")</f>
        <v>MS</v>
      </c>
    </row>
    <row r="5122" ht="15.75" customHeight="1">
      <c r="A5122" s="1" t="str">
        <f>IFERROR(__xludf.DUMMYFUNCTION("""COMPUTED_VALUE"""),"Nicolas Avino")</f>
        <v>Nicolas Avino</v>
      </c>
      <c r="B5122" s="1" t="str">
        <f>IFERROR(__xludf.DUMMYFUNCTION("""COMPUTED_VALUE"""),"HS")</f>
        <v>HS</v>
      </c>
    </row>
    <row r="5123" ht="15.75" customHeight="1">
      <c r="A5123" s="1" t="str">
        <f>IFERROR(__xludf.DUMMYFUNCTION("""COMPUTED_VALUE"""),"Matias Ovalles Montiel")</f>
        <v>Matias Ovalles Montiel</v>
      </c>
      <c r="B5123" s="1" t="str">
        <f>IFERROR(__xludf.DUMMYFUNCTION("""COMPUTED_VALUE"""),"MS")</f>
        <v>MS</v>
      </c>
    </row>
    <row r="5124" ht="15.75" customHeight="1">
      <c r="A5124" s="1" t="str">
        <f>IFERROR(__xludf.DUMMYFUNCTION("""COMPUTED_VALUE"""),"Maximiliano Ovalles Montiel")</f>
        <v>Maximiliano Ovalles Montiel</v>
      </c>
      <c r="B5124" s="1" t="str">
        <f>IFERROR(__xludf.DUMMYFUNCTION("""COMPUTED_VALUE"""),"MS")</f>
        <v>MS</v>
      </c>
    </row>
    <row r="5125" ht="15.75" customHeight="1">
      <c r="A5125" s="1" t="str">
        <f>IFERROR(__xludf.DUMMYFUNCTION("""COMPUTED_VALUE"""),"Jaden Nuno")</f>
        <v>Jaden Nuno</v>
      </c>
      <c r="B5125" s="1" t="str">
        <f>IFERROR(__xludf.DUMMYFUNCTION("""COMPUTED_VALUE"""),"HS")</f>
        <v>HS</v>
      </c>
    </row>
    <row r="5126" ht="15.75" customHeight="1">
      <c r="A5126" s="1" t="str">
        <f>IFERROR(__xludf.DUMMYFUNCTION("""COMPUTED_VALUE"""),"Isadora Diaz Balonek")</f>
        <v>Isadora Diaz Balonek</v>
      </c>
      <c r="B5126" s="1" t="str">
        <f>IFERROR(__xludf.DUMMYFUNCTION("""COMPUTED_VALUE"""),"MS")</f>
        <v>MS</v>
      </c>
    </row>
    <row r="5127" ht="15.75" customHeight="1">
      <c r="A5127" s="1" t="str">
        <f>IFERROR(__xludf.DUMMYFUNCTION("""COMPUTED_VALUE"""),"Camila Diaz Balonek")</f>
        <v>Camila Diaz Balonek</v>
      </c>
      <c r="B5127" s="1" t="str">
        <f>IFERROR(__xludf.DUMMYFUNCTION("""COMPUTED_VALUE"""),"MS")</f>
        <v>MS</v>
      </c>
    </row>
    <row r="5128" ht="15.75" customHeight="1">
      <c r="A5128" s="1" t="str">
        <f>IFERROR(__xludf.DUMMYFUNCTION("""COMPUTED_VALUE"""),"Sophia Picado")</f>
        <v>Sophia Picado</v>
      </c>
      <c r="B5128" s="1" t="str">
        <f>IFERROR(__xludf.DUMMYFUNCTION("""COMPUTED_VALUE"""),"MS")</f>
        <v>MS</v>
      </c>
    </row>
    <row r="5129" ht="15.75" customHeight="1">
      <c r="A5129" s="1" t="str">
        <f>IFERROR(__xludf.DUMMYFUNCTION("""COMPUTED_VALUE"""),"Fatima Teraif")</f>
        <v>Fatima Teraif</v>
      </c>
      <c r="B5129" s="1" t="str">
        <f>IFERROR(__xludf.DUMMYFUNCTION("""COMPUTED_VALUE"""),"MS")</f>
        <v>MS</v>
      </c>
    </row>
    <row r="5130" ht="15.75" customHeight="1">
      <c r="A5130" s="1" t="str">
        <f>IFERROR(__xludf.DUMMYFUNCTION("""COMPUTED_VALUE"""),"Amy Li")</f>
        <v>Amy Li</v>
      </c>
      <c r="B5130" s="1" t="str">
        <f>IFERROR(__xludf.DUMMYFUNCTION("""COMPUTED_VALUE"""),"MS")</f>
        <v>MS</v>
      </c>
    </row>
    <row r="5131" ht="15.75" customHeight="1">
      <c r="A5131" s="1" t="str">
        <f>IFERROR(__xludf.DUMMYFUNCTION("""COMPUTED_VALUE"""),"Lemon Li")</f>
        <v>Lemon Li</v>
      </c>
      <c r="B5131" s="1" t="str">
        <f>IFERROR(__xludf.DUMMYFUNCTION("""COMPUTED_VALUE"""),"HS")</f>
        <v>HS</v>
      </c>
    </row>
    <row r="5132" ht="15.75" customHeight="1">
      <c r="A5132" s="1" t="str">
        <f>IFERROR(__xludf.DUMMYFUNCTION("""COMPUTED_VALUE"""),"Kelly Li")</f>
        <v>Kelly Li</v>
      </c>
      <c r="B5132" s="1" t="str">
        <f>IFERROR(__xludf.DUMMYFUNCTION("""COMPUTED_VALUE"""),"HS")</f>
        <v>HS</v>
      </c>
    </row>
    <row r="5133" ht="15.75" customHeight="1">
      <c r="A5133" s="1" t="str">
        <f>IFERROR(__xludf.DUMMYFUNCTION("""COMPUTED_VALUE"""),"Cartier Lee")</f>
        <v>Cartier Lee</v>
      </c>
      <c r="B5133" s="1" t="str">
        <f>IFERROR(__xludf.DUMMYFUNCTION("""COMPUTED_VALUE"""),"MS")</f>
        <v>MS</v>
      </c>
    </row>
    <row r="5134" ht="15.75" customHeight="1">
      <c r="A5134" s="1" t="str">
        <f>IFERROR(__xludf.DUMMYFUNCTION("""COMPUTED_VALUE"""),"Matias Cabanas")</f>
        <v>Matias Cabanas</v>
      </c>
      <c r="B5134" s="1" t="str">
        <f>IFERROR(__xludf.DUMMYFUNCTION("""COMPUTED_VALUE"""),"HS")</f>
        <v>HS</v>
      </c>
    </row>
    <row r="5135" ht="15.75" customHeight="1">
      <c r="A5135" s="1" t="str">
        <f>IFERROR(__xludf.DUMMYFUNCTION("""COMPUTED_VALUE"""),"Peter Lee-Schonfeld")</f>
        <v>Peter Lee-Schonfeld</v>
      </c>
      <c r="B5135" s="1" t="str">
        <f>IFERROR(__xludf.DUMMYFUNCTION("""COMPUTED_VALUE"""),"L2")</f>
        <v>L2</v>
      </c>
    </row>
    <row r="5136" ht="15.75" customHeight="1">
      <c r="A5136" s="1" t="str">
        <f>IFERROR(__xludf.DUMMYFUNCTION("""COMPUTED_VALUE"""),"Mariana Castro Arevalo")</f>
        <v>Mariana Castro Arevalo</v>
      </c>
      <c r="B5136" s="1" t="str">
        <f>IFERROR(__xludf.DUMMYFUNCTION("""COMPUTED_VALUE"""),"HS")</f>
        <v>HS</v>
      </c>
    </row>
    <row r="5137" ht="15.75" customHeight="1">
      <c r="A5137" s="1" t="str">
        <f>IFERROR(__xludf.DUMMYFUNCTION("""COMPUTED_VALUE"""),"Juan Castro Arevalo")</f>
        <v>Juan Castro Arevalo</v>
      </c>
      <c r="B5137" s="1" t="str">
        <f>IFERROR(__xludf.DUMMYFUNCTION("""COMPUTED_VALUE"""),"HS")</f>
        <v>HS</v>
      </c>
    </row>
    <row r="5138" ht="15.75" customHeight="1">
      <c r="A5138" s="1" t="str">
        <f>IFERROR(__xludf.DUMMYFUNCTION("""COMPUTED_VALUE"""),"Shu Yang Qin")</f>
        <v>Shu Yang Qin</v>
      </c>
      <c r="B5138" s="1" t="str">
        <f>IFERROR(__xludf.DUMMYFUNCTION("""COMPUTED_VALUE"""),"L2")</f>
        <v>L2</v>
      </c>
    </row>
    <row r="5139" ht="15.75" customHeight="1">
      <c r="A5139" s="1" t="str">
        <f>IFERROR(__xludf.DUMMYFUNCTION("""COMPUTED_VALUE"""),"Santiago Salinas Hernandez")</f>
        <v>Santiago Salinas Hernandez</v>
      </c>
      <c r="B5139" s="1" t="str">
        <f>IFERROR(__xludf.DUMMYFUNCTION("""COMPUTED_VALUE"""),"L2")</f>
        <v>L2</v>
      </c>
    </row>
    <row r="5140" ht="15.75" customHeight="1">
      <c r="A5140" s="1" t="str">
        <f>IFERROR(__xludf.DUMMYFUNCTION("""COMPUTED_VALUE"""),"Daniel Salinas Hernandez")</f>
        <v>Daniel Salinas Hernandez</v>
      </c>
      <c r="B5140" s="1" t="str">
        <f>IFERROR(__xludf.DUMMYFUNCTION("""COMPUTED_VALUE"""),"L2")</f>
        <v>L2</v>
      </c>
    </row>
    <row r="5141" ht="15.75" customHeight="1">
      <c r="A5141" s="1" t="str">
        <f>IFERROR(__xludf.DUMMYFUNCTION("""COMPUTED_VALUE"""),"Kingston Breed")</f>
        <v>Kingston Breed</v>
      </c>
      <c r="B5141" s="1" t="str">
        <f>IFERROR(__xludf.DUMMYFUNCTION("""COMPUTED_VALUE"""),"MS")</f>
        <v>MS</v>
      </c>
    </row>
    <row r="5142" ht="15.75" customHeight="1">
      <c r="A5142" s="1" t="str">
        <f>IFERROR(__xludf.DUMMYFUNCTION("""COMPUTED_VALUE"""),"Shadowy Shadow")</f>
        <v>Shadowy Shadow</v>
      </c>
      <c r="B5142" s="1" t="str">
        <f>IFERROR(__xludf.DUMMYFUNCTION("""COMPUTED_VALUE"""),"WL")</f>
        <v>WL</v>
      </c>
    </row>
    <row r="5143" ht="15.75" customHeight="1">
      <c r="A5143" s="1" t="str">
        <f>IFERROR(__xludf.DUMMYFUNCTION("""COMPUTED_VALUE"""),"Sawyer Pennington")</f>
        <v>Sawyer Pennington</v>
      </c>
      <c r="B5143" s="1" t="str">
        <f>IFERROR(__xludf.DUMMYFUNCTION("""COMPUTED_VALUE"""),"MS")</f>
        <v>MS</v>
      </c>
    </row>
    <row r="5144" ht="15.75" customHeight="1">
      <c r="A5144" s="1" t="str">
        <f>IFERROR(__xludf.DUMMYFUNCTION("""COMPUTED_VALUE"""),"Audrey Tanner")</f>
        <v>Audrey Tanner</v>
      </c>
      <c r="B5144" s="1" t="str">
        <f>IFERROR(__xludf.DUMMYFUNCTION("""COMPUTED_VALUE"""),"MS")</f>
        <v>MS</v>
      </c>
    </row>
    <row r="5145" ht="15.75" customHeight="1">
      <c r="A5145" s="1" t="str">
        <f>IFERROR(__xludf.DUMMYFUNCTION("""COMPUTED_VALUE"""),"King Morgan")</f>
        <v>King Morgan</v>
      </c>
      <c r="B5145" s="1" t="str">
        <f>IFERROR(__xludf.DUMMYFUNCTION("""COMPUTED_VALUE"""),"MS")</f>
        <v>MS</v>
      </c>
    </row>
    <row r="5146" ht="15.75" customHeight="1">
      <c r="A5146" s="1" t="str">
        <f>IFERROR(__xludf.DUMMYFUNCTION("""COMPUTED_VALUE"""),"Ryker Sekulow")</f>
        <v>Ryker Sekulow</v>
      </c>
      <c r="B5146" s="1" t="str">
        <f>IFERROR(__xludf.DUMMYFUNCTION("""COMPUTED_VALUE"""),"MS")</f>
        <v>MS</v>
      </c>
    </row>
    <row r="5147" ht="15.75" customHeight="1">
      <c r="A5147" s="1" t="str">
        <f>IFERROR(__xludf.DUMMYFUNCTION("""COMPUTED_VALUE"""),"Hudson Tant")</f>
        <v>Hudson Tant</v>
      </c>
      <c r="B5147" s="1" t="str">
        <f>IFERROR(__xludf.DUMMYFUNCTION("""COMPUTED_VALUE"""),"MS")</f>
        <v>MS</v>
      </c>
    </row>
    <row r="5148" ht="15.75" customHeight="1">
      <c r="A5148" s="1" t="str">
        <f>IFERROR(__xludf.DUMMYFUNCTION("""COMPUTED_VALUE"""),"Kiera Butler")</f>
        <v>Kiera Butler</v>
      </c>
      <c r="B5148" s="1" t="str">
        <f>IFERROR(__xludf.DUMMYFUNCTION("""COMPUTED_VALUE"""),"MS")</f>
        <v>MS</v>
      </c>
    </row>
    <row r="5149" ht="15.75" customHeight="1">
      <c r="A5149" s="1" t="str">
        <f>IFERROR(__xludf.DUMMYFUNCTION("""COMPUTED_VALUE"""),"Georgia Pennington")</f>
        <v>Georgia Pennington</v>
      </c>
      <c r="B5149" s="1" t="str">
        <f>IFERROR(__xludf.DUMMYFUNCTION("""COMPUTED_VALUE"""),"MS")</f>
        <v>MS</v>
      </c>
    </row>
    <row r="5150" ht="15.75" customHeight="1">
      <c r="A5150" s="1" t="str">
        <f>IFERROR(__xludf.DUMMYFUNCTION("""COMPUTED_VALUE"""),"Zoe Silverberg")</f>
        <v>Zoe Silverberg</v>
      </c>
      <c r="B5150" s="1" t="str">
        <f>IFERROR(__xludf.DUMMYFUNCTION("""COMPUTED_VALUE"""),"MS")</f>
        <v>MS</v>
      </c>
    </row>
    <row r="5151" ht="15.75" customHeight="1">
      <c r="A5151" s="1" t="str">
        <f>IFERROR(__xludf.DUMMYFUNCTION("""COMPUTED_VALUE"""),"Olivia Miller")</f>
        <v>Olivia Miller</v>
      </c>
      <c r="B5151" s="1" t="str">
        <f>IFERROR(__xludf.DUMMYFUNCTION("""COMPUTED_VALUE"""),"MS")</f>
        <v>MS</v>
      </c>
    </row>
    <row r="5152" ht="15.75" customHeight="1">
      <c r="A5152" s="1" t="str">
        <f>IFERROR(__xludf.DUMMYFUNCTION("""COMPUTED_VALUE"""),"Accelerate Shadow")</f>
        <v>Accelerate Shadow</v>
      </c>
      <c r="B5152" s="1" t="str">
        <f>IFERROR(__xludf.DUMMYFUNCTION("""COMPUTED_VALUE"""),"MS")</f>
        <v>MS</v>
      </c>
    </row>
    <row r="5153" ht="15.75" customHeight="1">
      <c r="A5153" s="1" t="str">
        <f>IFERROR(__xludf.DUMMYFUNCTION("""COMPUTED_VALUE"""),"Eli Hansen")</f>
        <v>Eli Hansen</v>
      </c>
      <c r="B5153" s="1" t="str">
        <f>IFERROR(__xludf.DUMMYFUNCTION("""COMPUTED_VALUE"""),"MS")</f>
        <v>MS</v>
      </c>
    </row>
    <row r="5154" ht="15.75" customHeight="1">
      <c r="A5154" s="1" t="str">
        <f>IFERROR(__xludf.DUMMYFUNCTION("""COMPUTED_VALUE"""),"Evan Banks")</f>
        <v>Evan Banks</v>
      </c>
      <c r="B5154" s="1" t="str">
        <f>IFERROR(__xludf.DUMMYFUNCTION("""COMPUTED_VALUE"""),"MS")</f>
        <v>MS</v>
      </c>
    </row>
    <row r="5155" ht="15.75" customHeight="1">
      <c r="A5155" s="1" t="str">
        <f>IFERROR(__xludf.DUMMYFUNCTION("""COMPUTED_VALUE"""),"Ceheara Moore")</f>
        <v>Ceheara Moore</v>
      </c>
      <c r="B5155" s="1" t="str">
        <f>IFERROR(__xludf.DUMMYFUNCTION("""COMPUTED_VALUE"""),"MS")</f>
        <v>MS</v>
      </c>
    </row>
    <row r="5156" ht="15.75" customHeight="1">
      <c r="A5156" s="1" t="str">
        <f>IFERROR(__xludf.DUMMYFUNCTION("""COMPUTED_VALUE"""),"Kharizma Moore")</f>
        <v>Kharizma Moore</v>
      </c>
      <c r="B5156" s="1" t="str">
        <f>IFERROR(__xludf.DUMMYFUNCTION("""COMPUTED_VALUE"""),"MS")</f>
        <v>MS</v>
      </c>
    </row>
    <row r="5157" ht="15.75" customHeight="1">
      <c r="A5157" s="1" t="str">
        <f>IFERROR(__xludf.DUMMYFUNCTION("""COMPUTED_VALUE"""),"Azariah Villa")</f>
        <v>Azariah Villa</v>
      </c>
      <c r="B5157" s="1" t="str">
        <f>IFERROR(__xludf.DUMMYFUNCTION("""COMPUTED_VALUE"""),"L2")</f>
        <v>L2</v>
      </c>
    </row>
    <row r="5158" ht="15.75" customHeight="1">
      <c r="A5158" s="1" t="str">
        <f>IFERROR(__xludf.DUMMYFUNCTION("""COMPUTED_VALUE"""),"Lazarus Villa")</f>
        <v>Lazarus Villa</v>
      </c>
      <c r="B5158" s="1" t="str">
        <f>IFERROR(__xludf.DUMMYFUNCTION("""COMPUTED_VALUE"""),"MS")</f>
        <v>MS</v>
      </c>
    </row>
    <row r="5159" ht="15.75" customHeight="1">
      <c r="A5159" s="1" t="str">
        <f>IFERROR(__xludf.DUMMYFUNCTION("""COMPUTED_VALUE"""),"Esme Valdez")</f>
        <v>Esme Valdez</v>
      </c>
      <c r="B5159" s="1" t="str">
        <f>IFERROR(__xludf.DUMMYFUNCTION("""COMPUTED_VALUE"""),"L2")</f>
        <v>L2</v>
      </c>
    </row>
    <row r="5160" ht="15.75" customHeight="1">
      <c r="A5160" s="1" t="str">
        <f>IFERROR(__xludf.DUMMYFUNCTION("""COMPUTED_VALUE"""),"Emmett Valdez")</f>
        <v>Emmett Valdez</v>
      </c>
      <c r="B5160" s="1" t="str">
        <f>IFERROR(__xludf.DUMMYFUNCTION("""COMPUTED_VALUE"""),"L2")</f>
        <v>L2</v>
      </c>
    </row>
    <row r="5161" ht="15.75" customHeight="1">
      <c r="A5161" s="1" t="str">
        <f>IFERROR(__xludf.DUMMYFUNCTION("""COMPUTED_VALUE"""),"Jacob Valdez")</f>
        <v>Jacob Valdez</v>
      </c>
      <c r="B5161" s="1" t="str">
        <f>IFERROR(__xludf.DUMMYFUNCTION("""COMPUTED_VALUE"""),"MS")</f>
        <v>MS</v>
      </c>
    </row>
    <row r="5162" ht="15.75" customHeight="1">
      <c r="A5162" s="1" t="str">
        <f>IFERROR(__xludf.DUMMYFUNCTION("""COMPUTED_VALUE"""),"Liberty Garvin")</f>
        <v>Liberty Garvin</v>
      </c>
      <c r="B5162" s="1" t="str">
        <f>IFERROR(__xludf.DUMMYFUNCTION("""COMPUTED_VALUE"""),"MS")</f>
        <v>MS</v>
      </c>
    </row>
    <row r="5163" ht="15.75" customHeight="1">
      <c r="A5163" s="1" t="str">
        <f>IFERROR(__xludf.DUMMYFUNCTION("""COMPUTED_VALUE"""),"Elijah Love")</f>
        <v>Elijah Love</v>
      </c>
      <c r="B5163" s="1" t="str">
        <f>IFERROR(__xludf.DUMMYFUNCTION("""COMPUTED_VALUE"""),"MS")</f>
        <v>MS</v>
      </c>
    </row>
    <row r="5164" ht="15.75" customHeight="1">
      <c r="A5164" s="1" t="str">
        <f>IFERROR(__xludf.DUMMYFUNCTION("""COMPUTED_VALUE"""),"Kailer Olmstead")</f>
        <v>Kailer Olmstead</v>
      </c>
      <c r="B5164" s="1" t="str">
        <f>IFERROR(__xludf.DUMMYFUNCTION("""COMPUTED_VALUE"""),"L2")</f>
        <v>L2</v>
      </c>
    </row>
    <row r="5165" ht="15.75" customHeight="1">
      <c r="A5165" s="1" t="str">
        <f>IFERROR(__xludf.DUMMYFUNCTION("""COMPUTED_VALUE"""),"Micah Valentine")</f>
        <v>Micah Valentine</v>
      </c>
      <c r="B5165" s="1" t="str">
        <f>IFERROR(__xludf.DUMMYFUNCTION("""COMPUTED_VALUE"""),"L2")</f>
        <v>L2</v>
      </c>
    </row>
    <row r="5166" ht="15.75" customHeight="1">
      <c r="A5166" s="1" t="str">
        <f>IFERROR(__xludf.DUMMYFUNCTION("""COMPUTED_VALUE"""),"Genevieve Taylor")</f>
        <v>Genevieve Taylor</v>
      </c>
      <c r="B5166" s="1" t="str">
        <f>IFERROR(__xludf.DUMMYFUNCTION("""COMPUTED_VALUE"""),"MS")</f>
        <v>MS</v>
      </c>
    </row>
    <row r="5167" ht="15.75" customHeight="1">
      <c r="A5167" s="1" t="str">
        <f>IFERROR(__xludf.DUMMYFUNCTION("""COMPUTED_VALUE"""),"Mateo Carrillo")</f>
        <v>Mateo Carrillo</v>
      </c>
      <c r="B5167" s="1" t="str">
        <f>IFERROR(__xludf.DUMMYFUNCTION("""COMPUTED_VALUE"""),"MS")</f>
        <v>MS</v>
      </c>
    </row>
    <row r="5168" ht="15.75" customHeight="1">
      <c r="A5168" s="1" t="str">
        <f>IFERROR(__xludf.DUMMYFUNCTION("""COMPUTED_VALUE"""),"Alejandro Garcia")</f>
        <v>Alejandro Garcia</v>
      </c>
      <c r="B5168" s="1" t="str">
        <f>IFERROR(__xludf.DUMMYFUNCTION("""COMPUTED_VALUE"""),"L2")</f>
        <v>L2</v>
      </c>
    </row>
    <row r="5169" ht="15.75" customHeight="1">
      <c r="A5169" s="1" t="str">
        <f>IFERROR(__xludf.DUMMYFUNCTION("""COMPUTED_VALUE"""),"John Mead")</f>
        <v>John Mead</v>
      </c>
      <c r="B5169" s="1" t="str">
        <f>IFERROR(__xludf.DUMMYFUNCTION("""COMPUTED_VALUE"""),"L2")</f>
        <v>L2</v>
      </c>
    </row>
    <row r="5170" ht="15.75" customHeight="1">
      <c r="A5170" s="1" t="str">
        <f>IFERROR(__xludf.DUMMYFUNCTION("""COMPUTED_VALUE"""),"Calogero DeAlejandro")</f>
        <v>Calogero DeAlejandro</v>
      </c>
      <c r="B5170" s="1" t="str">
        <f>IFERROR(__xludf.DUMMYFUNCTION("""COMPUTED_VALUE"""),"L2")</f>
        <v>L2</v>
      </c>
    </row>
    <row r="5171" ht="15.75" customHeight="1">
      <c r="A5171" s="1" t="str">
        <f>IFERROR(__xludf.DUMMYFUNCTION("""COMPUTED_VALUE"""),"Angel Mendivil")</f>
        <v>Angel Mendivil</v>
      </c>
      <c r="B5171" s="1" t="str">
        <f>IFERROR(__xludf.DUMMYFUNCTION("""COMPUTED_VALUE"""),"L2")</f>
        <v>L2</v>
      </c>
    </row>
    <row r="5172" ht="15.75" customHeight="1">
      <c r="A5172" s="1" t="str">
        <f>IFERROR(__xludf.DUMMYFUNCTION("""COMPUTED_VALUE"""),"Le'Hawnie Walker")</f>
        <v>Le'Hawnie Walker</v>
      </c>
      <c r="B5172" s="1" t="str">
        <f>IFERROR(__xludf.DUMMYFUNCTION("""COMPUTED_VALUE"""),"MS")</f>
        <v>MS</v>
      </c>
    </row>
    <row r="5173" ht="15.75" customHeight="1">
      <c r="A5173" s="1" t="str">
        <f>IFERROR(__xludf.DUMMYFUNCTION("""COMPUTED_VALUE"""),"Isaiah Ortiz Mendivil")</f>
        <v>Isaiah Ortiz Mendivil</v>
      </c>
      <c r="B5173" s="1" t="str">
        <f>IFERROR(__xludf.DUMMYFUNCTION("""COMPUTED_VALUE"""),"MS")</f>
        <v>MS</v>
      </c>
    </row>
    <row r="5174" ht="15.75" customHeight="1">
      <c r="A5174" s="1" t="str">
        <f>IFERROR(__xludf.DUMMYFUNCTION("""COMPUTED_VALUE"""),"Asher Consales")</f>
        <v>Asher Consales</v>
      </c>
      <c r="B5174" s="1" t="str">
        <f>IFERROR(__xludf.DUMMYFUNCTION("""COMPUTED_VALUE"""),"MS")</f>
        <v>MS</v>
      </c>
    </row>
    <row r="5175" ht="15.75" customHeight="1">
      <c r="A5175" s="1" t="str">
        <f>IFERROR(__xludf.DUMMYFUNCTION("""COMPUTED_VALUE"""),"Aurora Pope")</f>
        <v>Aurora Pope</v>
      </c>
      <c r="B5175" s="1" t="str">
        <f>IFERROR(__xludf.DUMMYFUNCTION("""COMPUTED_VALUE"""),"MS")</f>
        <v>MS</v>
      </c>
    </row>
    <row r="5176" ht="15.75" customHeight="1">
      <c r="A5176" s="1" t="str">
        <f>IFERROR(__xludf.DUMMYFUNCTION("""COMPUTED_VALUE"""),"Mikai Anyair")</f>
        <v>Mikai Anyair</v>
      </c>
      <c r="B5176" s="1" t="str">
        <f>IFERROR(__xludf.DUMMYFUNCTION("""COMPUTED_VALUE"""),"L2")</f>
        <v>L2</v>
      </c>
    </row>
    <row r="5177" ht="15.75" customHeight="1">
      <c r="A5177" s="1" t="str">
        <f>IFERROR(__xludf.DUMMYFUNCTION("""COMPUTED_VALUE"""),"Daniel Lopez III")</f>
        <v>Daniel Lopez III</v>
      </c>
      <c r="B5177" s="1" t="str">
        <f>IFERROR(__xludf.DUMMYFUNCTION("""COMPUTED_VALUE"""),"MS")</f>
        <v>MS</v>
      </c>
    </row>
    <row r="5178" ht="15.75" customHeight="1">
      <c r="A5178" s="1" t="str">
        <f>IFERROR(__xludf.DUMMYFUNCTION("""COMPUTED_VALUE"""),"Emberlyn Hummel")</f>
        <v>Emberlyn Hummel</v>
      </c>
      <c r="B5178" s="1" t="str">
        <f>IFERROR(__xludf.DUMMYFUNCTION("""COMPUTED_VALUE"""),"L2")</f>
        <v>L2</v>
      </c>
    </row>
    <row r="5179" ht="15.75" customHeight="1">
      <c r="A5179" s="1" t="str">
        <f>IFERROR(__xludf.DUMMYFUNCTION("""COMPUTED_VALUE"""),"Malakai Schultz")</f>
        <v>Malakai Schultz</v>
      </c>
      <c r="B5179" s="1" t="str">
        <f>IFERROR(__xludf.DUMMYFUNCTION("""COMPUTED_VALUE"""),"L2")</f>
        <v>L2</v>
      </c>
    </row>
    <row r="5180" ht="15.75" customHeight="1">
      <c r="A5180" s="1" t="str">
        <f>IFERROR(__xludf.DUMMYFUNCTION("""COMPUTED_VALUE"""),"Italia Amour Cropper")</f>
        <v>Italia Amour Cropper</v>
      </c>
      <c r="B5180" s="1" t="str">
        <f>IFERROR(__xludf.DUMMYFUNCTION("""COMPUTED_VALUE"""),"MS")</f>
        <v>MS</v>
      </c>
    </row>
    <row r="5181" ht="15.75" customHeight="1">
      <c r="A5181" s="1" t="str">
        <f>IFERROR(__xludf.DUMMYFUNCTION("""COMPUTED_VALUE"""),"MaKennea Mina")</f>
        <v>MaKennea Mina</v>
      </c>
      <c r="B5181" s="1" t="str">
        <f>IFERROR(__xludf.DUMMYFUNCTION("""COMPUTED_VALUE"""),"MS")</f>
        <v>MS</v>
      </c>
    </row>
    <row r="5182" ht="15.75" customHeight="1">
      <c r="A5182" s="1" t="str">
        <f>IFERROR(__xludf.DUMMYFUNCTION("""COMPUTED_VALUE"""),"Kadence Caparas")</f>
        <v>Kadence Caparas</v>
      </c>
      <c r="B5182" s="1" t="str">
        <f>IFERROR(__xludf.DUMMYFUNCTION("""COMPUTED_VALUE"""),"MS")</f>
        <v>MS</v>
      </c>
    </row>
    <row r="5183" ht="15.75" customHeight="1">
      <c r="A5183" s="1" t="str">
        <f>IFERROR(__xludf.DUMMYFUNCTION("""COMPUTED_VALUE"""),"Soriyia Dougchan")</f>
        <v>Soriyia Dougchan</v>
      </c>
      <c r="B5183" s="1" t="str">
        <f>IFERROR(__xludf.DUMMYFUNCTION("""COMPUTED_VALUE"""),"MS")</f>
        <v>MS</v>
      </c>
    </row>
    <row r="5184" ht="15.75" customHeight="1">
      <c r="A5184" s="1" t="str">
        <f>IFERROR(__xludf.DUMMYFUNCTION("""COMPUTED_VALUE"""),"Cheyenne Stuart")</f>
        <v>Cheyenne Stuart</v>
      </c>
      <c r="B5184" s="1" t="str">
        <f>IFERROR(__xludf.DUMMYFUNCTION("""COMPUTED_VALUE"""),"MS")</f>
        <v>MS</v>
      </c>
    </row>
    <row r="5185" ht="15.75" customHeight="1">
      <c r="A5185" s="1" t="str">
        <f>IFERROR(__xludf.DUMMYFUNCTION("""COMPUTED_VALUE"""),"Gizelle Gleave")</f>
        <v>Gizelle Gleave</v>
      </c>
      <c r="B5185" s="1" t="str">
        <f>IFERROR(__xludf.DUMMYFUNCTION("""COMPUTED_VALUE"""),"MS")</f>
        <v>MS</v>
      </c>
    </row>
    <row r="5186" ht="15.75" customHeight="1">
      <c r="A5186" s="1" t="str">
        <f>IFERROR(__xludf.DUMMYFUNCTION("""COMPUTED_VALUE"""),"Selah Santiago")</f>
        <v>Selah Santiago</v>
      </c>
      <c r="B5186" s="1" t="str">
        <f>IFERROR(__xludf.DUMMYFUNCTION("""COMPUTED_VALUE"""),"MS")</f>
        <v>MS</v>
      </c>
    </row>
    <row r="5187" ht="15.75" customHeight="1">
      <c r="A5187" s="1" t="str">
        <f>IFERROR(__xludf.DUMMYFUNCTION("""COMPUTED_VALUE"""),"Evan Duncan")</f>
        <v>Evan Duncan</v>
      </c>
      <c r="B5187" s="1" t="str">
        <f>IFERROR(__xludf.DUMMYFUNCTION("""COMPUTED_VALUE"""),"MS")</f>
        <v>MS</v>
      </c>
    </row>
    <row r="5188" ht="15.75" customHeight="1">
      <c r="A5188" s="1" t="str">
        <f>IFERROR(__xludf.DUMMYFUNCTION("""COMPUTED_VALUE"""),"Mia Duncan")</f>
        <v>Mia Duncan</v>
      </c>
      <c r="B5188" s="1" t="str">
        <f>IFERROR(__xludf.DUMMYFUNCTION("""COMPUTED_VALUE"""),"MS")</f>
        <v>MS</v>
      </c>
    </row>
    <row r="5189" ht="15.75" customHeight="1">
      <c r="A5189" s="1" t="str">
        <f>IFERROR(__xludf.DUMMYFUNCTION("""COMPUTED_VALUE"""),"Tommy Davis")</f>
        <v>Tommy Davis</v>
      </c>
      <c r="B5189" s="1" t="str">
        <f>IFERROR(__xludf.DUMMYFUNCTION("""COMPUTED_VALUE"""),"MS")</f>
        <v>MS</v>
      </c>
    </row>
    <row r="5190" ht="15.75" customHeight="1">
      <c r="A5190" s="1" t="str">
        <f>IFERROR(__xludf.DUMMYFUNCTION("""COMPUTED_VALUE"""),"Arturo Martinez Lopez")</f>
        <v>Arturo Martinez Lopez</v>
      </c>
      <c r="B5190" s="1" t="str">
        <f>IFERROR(__xludf.DUMMYFUNCTION("""COMPUTED_VALUE"""),"L2")</f>
        <v>L2</v>
      </c>
    </row>
    <row r="5191" ht="15.75" customHeight="1">
      <c r="A5191" s="1" t="str">
        <f>IFERROR(__xludf.DUMMYFUNCTION("""COMPUTED_VALUE"""),"Zaiden Hardin")</f>
        <v>Zaiden Hardin</v>
      </c>
      <c r="B5191" s="1" t="str">
        <f>IFERROR(__xludf.DUMMYFUNCTION("""COMPUTED_VALUE"""),"L2")</f>
        <v>L2</v>
      </c>
    </row>
    <row r="5192" ht="15.75" customHeight="1">
      <c r="A5192" s="1" t="str">
        <f>IFERROR(__xludf.DUMMYFUNCTION("""COMPUTED_VALUE"""),"Ridge Todd")</f>
        <v>Ridge Todd</v>
      </c>
      <c r="B5192" s="1" t="str">
        <f>IFERROR(__xludf.DUMMYFUNCTION("""COMPUTED_VALUE"""),"L2")</f>
        <v>L2</v>
      </c>
    </row>
    <row r="5193" ht="15.75" customHeight="1">
      <c r="A5193" s="1" t="str">
        <f>IFERROR(__xludf.DUMMYFUNCTION("""COMPUTED_VALUE"""),"Tyesha Thomas")</f>
        <v>Tyesha Thomas</v>
      </c>
      <c r="B5193" s="1" t="str">
        <f>IFERROR(__xludf.DUMMYFUNCTION("""COMPUTED_VALUE"""),"MS")</f>
        <v>MS</v>
      </c>
    </row>
    <row r="5194" ht="15.75" customHeight="1">
      <c r="A5194" s="1" t="str">
        <f>IFERROR(__xludf.DUMMYFUNCTION("""COMPUTED_VALUE"""),"Peyton Todd")</f>
        <v>Peyton Todd</v>
      </c>
      <c r="B5194" s="1" t="str">
        <f>IFERROR(__xludf.DUMMYFUNCTION("""COMPUTED_VALUE"""),"MS")</f>
        <v>MS</v>
      </c>
    </row>
    <row r="5195" ht="15.75" customHeight="1">
      <c r="A5195" s="1" t="str">
        <f>IFERROR(__xludf.DUMMYFUNCTION("""COMPUTED_VALUE"""),"Gianna Giglio")</f>
        <v>Gianna Giglio</v>
      </c>
      <c r="B5195" s="1" t="str">
        <f>IFERROR(__xludf.DUMMYFUNCTION("""COMPUTED_VALUE"""),"MS")</f>
        <v>MS</v>
      </c>
    </row>
    <row r="5196" ht="15.75" customHeight="1">
      <c r="A5196" s="1" t="str">
        <f>IFERROR(__xludf.DUMMYFUNCTION("""COMPUTED_VALUE"""),"Aurora Cisneros")</f>
        <v>Aurora Cisneros</v>
      </c>
      <c r="B5196" s="1" t="str">
        <f>IFERROR(__xludf.DUMMYFUNCTION("""COMPUTED_VALUE"""),"L2")</f>
        <v>L2</v>
      </c>
    </row>
    <row r="5197" ht="15.75" customHeight="1">
      <c r="A5197" s="1" t="str">
        <f>IFERROR(__xludf.DUMMYFUNCTION("""COMPUTED_VALUE"""),"Marlie Smee")</f>
        <v>Marlie Smee</v>
      </c>
      <c r="B5197" s="1" t="str">
        <f>IFERROR(__xludf.DUMMYFUNCTION("""COMPUTED_VALUE"""),"MS")</f>
        <v>MS</v>
      </c>
    </row>
    <row r="5198" ht="15.75" customHeight="1">
      <c r="A5198" s="1" t="str">
        <f>IFERROR(__xludf.DUMMYFUNCTION("""COMPUTED_VALUE"""),"Ellie Larish")</f>
        <v>Ellie Larish</v>
      </c>
      <c r="B5198" s="1" t="str">
        <f>IFERROR(__xludf.DUMMYFUNCTION("""COMPUTED_VALUE"""),"L2")</f>
        <v>L2</v>
      </c>
    </row>
    <row r="5199" ht="15.75" customHeight="1">
      <c r="A5199" s="1" t="str">
        <f>IFERROR(__xludf.DUMMYFUNCTION("""COMPUTED_VALUE"""),"Kullen Larish")</f>
        <v>Kullen Larish</v>
      </c>
      <c r="B5199" s="1" t="str">
        <f>IFERROR(__xludf.DUMMYFUNCTION("""COMPUTED_VALUE"""),"MS")</f>
        <v>MS</v>
      </c>
    </row>
    <row r="5200" ht="15.75" customHeight="1">
      <c r="A5200" s="1" t="str">
        <f>IFERROR(__xludf.DUMMYFUNCTION("""COMPUTED_VALUE"""),"Robert Crown")</f>
        <v>Robert Crown</v>
      </c>
      <c r="B5200" s="1" t="str">
        <f>IFERROR(__xludf.DUMMYFUNCTION("""COMPUTED_VALUE"""),"L2")</f>
        <v>L2</v>
      </c>
    </row>
    <row r="5201" ht="15.75" customHeight="1">
      <c r="A5201" s="1" t="str">
        <f>IFERROR(__xludf.DUMMYFUNCTION("""COMPUTED_VALUE"""),"Arya Wiryawan")</f>
        <v>Arya Wiryawan</v>
      </c>
      <c r="B5201" s="1" t="str">
        <f>IFERROR(__xludf.DUMMYFUNCTION("""COMPUTED_VALUE"""),"MS")</f>
        <v>MS</v>
      </c>
    </row>
    <row r="5202" ht="15.75" customHeight="1">
      <c r="A5202" s="1" t="str">
        <f>IFERROR(__xludf.DUMMYFUNCTION("""COMPUTED_VALUE"""),"Eva Larish")</f>
        <v>Eva Larish</v>
      </c>
      <c r="B5202" s="1" t="str">
        <f>IFERROR(__xludf.DUMMYFUNCTION("""COMPUTED_VALUE"""),"L2")</f>
        <v>L2</v>
      </c>
    </row>
    <row r="5203" ht="15.75" customHeight="1">
      <c r="A5203" s="1" t="str">
        <f>IFERROR(__xludf.DUMMYFUNCTION("""COMPUTED_VALUE"""),"Samuel Bernal")</f>
        <v>Samuel Bernal</v>
      </c>
      <c r="B5203" s="1" t="str">
        <f>IFERROR(__xludf.DUMMYFUNCTION("""COMPUTED_VALUE"""),"MS")</f>
        <v>MS</v>
      </c>
    </row>
    <row r="5204" ht="15.75" customHeight="1">
      <c r="A5204" s="1" t="str">
        <f>IFERROR(__xludf.DUMMYFUNCTION("""COMPUTED_VALUE"""),"Beck Corder")</f>
        <v>Beck Corder</v>
      </c>
      <c r="B5204" s="1" t="str">
        <f>IFERROR(__xludf.DUMMYFUNCTION("""COMPUTED_VALUE"""),"MS")</f>
        <v>MS</v>
      </c>
    </row>
    <row r="5205" ht="15.75" customHeight="1">
      <c r="A5205" s="1" t="str">
        <f>IFERROR(__xludf.DUMMYFUNCTION("""COMPUTED_VALUE"""),"Nico Vaccaro")</f>
        <v>Nico Vaccaro</v>
      </c>
      <c r="B5205" s="1" t="str">
        <f>IFERROR(__xludf.DUMMYFUNCTION("""COMPUTED_VALUE"""),"L2")</f>
        <v>L2</v>
      </c>
    </row>
    <row r="5206" ht="15.75" customHeight="1">
      <c r="A5206" s="1" t="str">
        <f>IFERROR(__xludf.DUMMYFUNCTION("""COMPUTED_VALUE"""),"Kahleesi Holm")</f>
        <v>Kahleesi Holm</v>
      </c>
      <c r="B5206" s="1" t="str">
        <f>IFERROR(__xludf.DUMMYFUNCTION("""COMPUTED_VALUE"""),"MS")</f>
        <v>MS</v>
      </c>
    </row>
    <row r="5207" ht="15.75" customHeight="1">
      <c r="A5207" s="1" t="str">
        <f>IFERROR(__xludf.DUMMYFUNCTION("""COMPUTED_VALUE"""),"Briehl Holm")</f>
        <v>Briehl Holm</v>
      </c>
      <c r="B5207" s="1" t="str">
        <f>IFERROR(__xludf.DUMMYFUNCTION("""COMPUTED_VALUE"""),"L2")</f>
        <v>L2</v>
      </c>
    </row>
    <row r="5208" ht="15.75" customHeight="1">
      <c r="A5208" s="1" t="str">
        <f>IFERROR(__xludf.DUMMYFUNCTION("""COMPUTED_VALUE"""),"Jackson Stuart")</f>
        <v>Jackson Stuart</v>
      </c>
      <c r="B5208" s="1" t="str">
        <f>IFERROR(__xludf.DUMMYFUNCTION("""COMPUTED_VALUE"""),"L2")</f>
        <v>L2</v>
      </c>
    </row>
    <row r="5209" ht="15.75" customHeight="1">
      <c r="A5209" s="1" t="str">
        <f>IFERROR(__xludf.DUMMYFUNCTION("""COMPUTED_VALUE"""),"Kylan Brock")</f>
        <v>Kylan Brock</v>
      </c>
      <c r="B5209" s="1" t="str">
        <f>IFERROR(__xludf.DUMMYFUNCTION("""COMPUTED_VALUE"""),"MS")</f>
        <v>MS</v>
      </c>
    </row>
    <row r="5210" ht="15.75" customHeight="1">
      <c r="A5210" s="1" t="str">
        <f>IFERROR(__xludf.DUMMYFUNCTION("""COMPUTED_VALUE"""),"Alejandro Lopez")</f>
        <v>Alejandro Lopez</v>
      </c>
      <c r="B5210" s="1" t="str">
        <f>IFERROR(__xludf.DUMMYFUNCTION("""COMPUTED_VALUE"""),"MS")</f>
        <v>MS</v>
      </c>
    </row>
    <row r="5211" ht="15.75" customHeight="1">
      <c r="A5211" s="1" t="str">
        <f>IFERROR(__xludf.DUMMYFUNCTION("""COMPUTED_VALUE"""),"Aleah Hartwig")</f>
        <v>Aleah Hartwig</v>
      </c>
      <c r="B5211" s="1" t="str">
        <f>IFERROR(__xludf.DUMMYFUNCTION("""COMPUTED_VALUE"""),"MS")</f>
        <v>MS</v>
      </c>
    </row>
    <row r="5212" ht="15.75" customHeight="1">
      <c r="A5212" s="1" t="str">
        <f>IFERROR(__xludf.DUMMYFUNCTION("""COMPUTED_VALUE"""),"Khiaro Lamb")</f>
        <v>Khiaro Lamb</v>
      </c>
      <c r="B5212" s="1" t="str">
        <f>IFERROR(__xludf.DUMMYFUNCTION("""COMPUTED_VALUE"""),"L2")</f>
        <v>L2</v>
      </c>
    </row>
    <row r="5213" ht="15.75" customHeight="1">
      <c r="A5213" s="1" t="str">
        <f>IFERROR(__xludf.DUMMYFUNCTION("""COMPUTED_VALUE"""),"Christian Nutt")</f>
        <v>Christian Nutt</v>
      </c>
      <c r="B5213" s="1" t="str">
        <f>IFERROR(__xludf.DUMMYFUNCTION("""COMPUTED_VALUE"""),"MS")</f>
        <v>MS</v>
      </c>
    </row>
    <row r="5214" ht="15.75" customHeight="1">
      <c r="A5214" s="1" t="str">
        <f>IFERROR(__xludf.DUMMYFUNCTION("""COMPUTED_VALUE"""),"Carter Daniels")</f>
        <v>Carter Daniels</v>
      </c>
      <c r="B5214" s="1" t="str">
        <f>IFERROR(__xludf.DUMMYFUNCTION("""COMPUTED_VALUE"""),"L2")</f>
        <v>L2</v>
      </c>
    </row>
    <row r="5215" ht="15.75" customHeight="1">
      <c r="A5215" s="1" t="str">
        <f>IFERROR(__xludf.DUMMYFUNCTION("""COMPUTED_VALUE"""),"Triston House")</f>
        <v>Triston House</v>
      </c>
      <c r="B5215" s="1" t="str">
        <f>IFERROR(__xludf.DUMMYFUNCTION("""COMPUTED_VALUE"""),"MS")</f>
        <v>MS</v>
      </c>
    </row>
    <row r="5216" ht="15.75" customHeight="1">
      <c r="A5216" s="1" t="str">
        <f>IFERROR(__xludf.DUMMYFUNCTION("""COMPUTED_VALUE"""),"Lynzy Risingsun II")</f>
        <v>Lynzy Risingsun II</v>
      </c>
      <c r="B5216" s="1" t="str">
        <f>IFERROR(__xludf.DUMMYFUNCTION("""COMPUTED_VALUE"""),"L2")</f>
        <v>L2</v>
      </c>
    </row>
    <row r="5217" ht="15.75" customHeight="1">
      <c r="A5217" s="1" t="str">
        <f>IFERROR(__xludf.DUMMYFUNCTION("""COMPUTED_VALUE"""),"Finn Newman")</f>
        <v>Finn Newman</v>
      </c>
      <c r="B5217" s="1" t="str">
        <f>IFERROR(__xludf.DUMMYFUNCTION("""COMPUTED_VALUE"""),"L2")</f>
        <v>L2</v>
      </c>
    </row>
    <row r="5218" ht="15.75" customHeight="1">
      <c r="A5218" s="1" t="str">
        <f>IFERROR(__xludf.DUMMYFUNCTION("""COMPUTED_VALUE"""),"Caiden Wood")</f>
        <v>Caiden Wood</v>
      </c>
      <c r="B5218" s="1" t="str">
        <f>IFERROR(__xludf.DUMMYFUNCTION("""COMPUTED_VALUE"""),"MS")</f>
        <v>MS</v>
      </c>
    </row>
    <row r="5219" ht="15.75" customHeight="1">
      <c r="A5219" s="1" t="str">
        <f>IFERROR(__xludf.DUMMYFUNCTION("""COMPUTED_VALUE"""),"Kyle Bowders")</f>
        <v>Kyle Bowders</v>
      </c>
      <c r="B5219" s="1" t="str">
        <f>IFERROR(__xludf.DUMMYFUNCTION("""COMPUTED_VALUE"""),"MS")</f>
        <v>MS</v>
      </c>
    </row>
    <row r="5220" ht="15.75" customHeight="1">
      <c r="A5220" s="1" t="str">
        <f>IFERROR(__xludf.DUMMYFUNCTION("""COMPUTED_VALUE"""),"Aiden Lee")</f>
        <v>Aiden Lee</v>
      </c>
      <c r="B5220" s="1" t="str">
        <f>IFERROR(__xludf.DUMMYFUNCTION("""COMPUTED_VALUE"""),"L2")</f>
        <v>L2</v>
      </c>
    </row>
    <row r="5221" ht="15.75" customHeight="1">
      <c r="A5221" s="1" t="str">
        <f>IFERROR(__xludf.DUMMYFUNCTION("""COMPUTED_VALUE"""),"Sarae Lynch")</f>
        <v>Sarae Lynch</v>
      </c>
      <c r="B5221" s="1" t="str">
        <f>IFERROR(__xludf.DUMMYFUNCTION("""COMPUTED_VALUE"""),"MS")</f>
        <v>MS</v>
      </c>
    </row>
    <row r="5222" ht="15.75" customHeight="1">
      <c r="A5222" s="1" t="str">
        <f>IFERROR(__xludf.DUMMYFUNCTION("""COMPUTED_VALUE"""),"Elijah Romeo")</f>
        <v>Elijah Romeo</v>
      </c>
      <c r="B5222" s="1" t="str">
        <f>IFERROR(__xludf.DUMMYFUNCTION("""COMPUTED_VALUE"""),"MS")</f>
        <v>MS</v>
      </c>
    </row>
    <row r="5223" ht="15.75" customHeight="1">
      <c r="A5223" s="1" t="str">
        <f>IFERROR(__xludf.DUMMYFUNCTION("""COMPUTED_VALUE"""),"Gauge Orozco")</f>
        <v>Gauge Orozco</v>
      </c>
      <c r="B5223" s="1" t="str">
        <f>IFERROR(__xludf.DUMMYFUNCTION("""COMPUTED_VALUE"""),"MS")</f>
        <v>MS</v>
      </c>
    </row>
    <row r="5224" ht="15.75" customHeight="1">
      <c r="A5224" s="1" t="str">
        <f>IFERROR(__xludf.DUMMYFUNCTION("""COMPUTED_VALUE"""),"Sarah Sema")</f>
        <v>Sarah Sema</v>
      </c>
      <c r="B5224" s="1" t="str">
        <f>IFERROR(__xludf.DUMMYFUNCTION("""COMPUTED_VALUE"""),"MS")</f>
        <v>MS</v>
      </c>
    </row>
    <row r="5225" ht="15.75" customHeight="1">
      <c r="A5225" s="1" t="str">
        <f>IFERROR(__xludf.DUMMYFUNCTION("""COMPUTED_VALUE"""),"Keegan McCardle")</f>
        <v>Keegan McCardle</v>
      </c>
      <c r="B5225" s="1" t="str">
        <f>IFERROR(__xludf.DUMMYFUNCTION("""COMPUTED_VALUE"""),"MS")</f>
        <v>MS</v>
      </c>
    </row>
    <row r="5226" ht="15.75" customHeight="1">
      <c r="A5226" s="1" t="str">
        <f>IFERROR(__xludf.DUMMYFUNCTION("""COMPUTED_VALUE"""),"Chevy Ashcraft")</f>
        <v>Chevy Ashcraft</v>
      </c>
      <c r="B5226" s="1" t="str">
        <f>IFERROR(__xludf.DUMMYFUNCTION("""COMPUTED_VALUE"""),"L2")</f>
        <v>L2</v>
      </c>
    </row>
    <row r="5227" ht="15.75" customHeight="1">
      <c r="A5227" s="1" t="str">
        <f>IFERROR(__xludf.DUMMYFUNCTION("""COMPUTED_VALUE"""),"Christian Forte")</f>
        <v>Christian Forte</v>
      </c>
      <c r="B5227" s="1" t="str">
        <f>IFERROR(__xludf.DUMMYFUNCTION("""COMPUTED_VALUE"""),"L2")</f>
        <v>L2</v>
      </c>
    </row>
    <row r="5228" ht="15.75" customHeight="1">
      <c r="A5228" s="1" t="str">
        <f>IFERROR(__xludf.DUMMYFUNCTION("""COMPUTED_VALUE"""),"Carter Mahoney")</f>
        <v>Carter Mahoney</v>
      </c>
      <c r="B5228" s="1" t="str">
        <f>IFERROR(__xludf.DUMMYFUNCTION("""COMPUTED_VALUE"""),"MS")</f>
        <v>MS</v>
      </c>
    </row>
    <row r="5229" ht="15.75" customHeight="1">
      <c r="A5229" s="1" t="str">
        <f>IFERROR(__xludf.DUMMYFUNCTION("""COMPUTED_VALUE"""),"Kade Brown")</f>
        <v>Kade Brown</v>
      </c>
      <c r="B5229" s="1" t="str">
        <f>IFERROR(__xludf.DUMMYFUNCTION("""COMPUTED_VALUE"""),"MS")</f>
        <v>MS</v>
      </c>
    </row>
    <row r="5230" ht="15.75" customHeight="1">
      <c r="A5230" s="1" t="str">
        <f>IFERROR(__xludf.DUMMYFUNCTION("""COMPUTED_VALUE"""),"Harper Lee")</f>
        <v>Harper Lee</v>
      </c>
      <c r="B5230" s="1" t="str">
        <f>IFERROR(__xludf.DUMMYFUNCTION("""COMPUTED_VALUE"""),"MS")</f>
        <v>MS</v>
      </c>
    </row>
    <row r="5231" ht="15.75" customHeight="1">
      <c r="A5231" s="1" t="str">
        <f>IFERROR(__xludf.DUMMYFUNCTION("""COMPUTED_VALUE"""),"Nicholas Grange")</f>
        <v>Nicholas Grange</v>
      </c>
      <c r="B5231" s="1" t="str">
        <f>IFERROR(__xludf.DUMMYFUNCTION("""COMPUTED_VALUE"""),"MS")</f>
        <v>MS</v>
      </c>
    </row>
    <row r="5232" ht="15.75" customHeight="1">
      <c r="A5232" s="1" t="str">
        <f>IFERROR(__xludf.DUMMYFUNCTION("""COMPUTED_VALUE"""),"Bianca Sandoval-Saba")</f>
        <v>Bianca Sandoval-Saba</v>
      </c>
      <c r="B5232" s="1" t="str">
        <f>IFERROR(__xludf.DUMMYFUNCTION("""COMPUTED_VALUE"""),"MS")</f>
        <v>MS</v>
      </c>
    </row>
    <row r="5233" ht="15.75" customHeight="1">
      <c r="A5233" s="1" t="str">
        <f>IFERROR(__xludf.DUMMYFUNCTION("""COMPUTED_VALUE"""),"Cristian Corniciuc")</f>
        <v>Cristian Corniciuc</v>
      </c>
      <c r="B5233" s="1" t="str">
        <f>IFERROR(__xludf.DUMMYFUNCTION("""COMPUTED_VALUE"""),"MS")</f>
        <v>MS</v>
      </c>
    </row>
    <row r="5234" ht="15.75" customHeight="1">
      <c r="A5234" s="1" t="str">
        <f>IFERROR(__xludf.DUMMYFUNCTION("""COMPUTED_VALUE"""),"Isabella Radford")</f>
        <v>Isabella Radford</v>
      </c>
      <c r="B5234" s="1" t="str">
        <f>IFERROR(__xludf.DUMMYFUNCTION("""COMPUTED_VALUE"""),"MS")</f>
        <v>MS</v>
      </c>
    </row>
    <row r="5235" ht="15.75" customHeight="1">
      <c r="A5235" s="1" t="str">
        <f>IFERROR(__xludf.DUMMYFUNCTION("""COMPUTED_VALUE"""),"Amelia Adame")</f>
        <v>Amelia Adame</v>
      </c>
      <c r="B5235" s="1" t="str">
        <f>IFERROR(__xludf.DUMMYFUNCTION("""COMPUTED_VALUE"""),"MS")</f>
        <v>MS</v>
      </c>
    </row>
    <row r="5236" ht="15.75" customHeight="1">
      <c r="A5236" s="1" t="str">
        <f>IFERROR(__xludf.DUMMYFUNCTION("""COMPUTED_VALUE"""),"Angel Adame")</f>
        <v>Angel Adame</v>
      </c>
      <c r="B5236" s="1" t="str">
        <f>IFERROR(__xludf.DUMMYFUNCTION("""COMPUTED_VALUE"""),"MS")</f>
        <v>MS</v>
      </c>
    </row>
    <row r="5237" ht="15.75" customHeight="1">
      <c r="A5237" s="1" t="str">
        <f>IFERROR(__xludf.DUMMYFUNCTION("""COMPUTED_VALUE"""),"Jenesis Freitag")</f>
        <v>Jenesis Freitag</v>
      </c>
      <c r="B5237" s="1" t="str">
        <f>IFERROR(__xludf.DUMMYFUNCTION("""COMPUTED_VALUE"""),"MS")</f>
        <v>MS</v>
      </c>
    </row>
    <row r="5238" ht="15.75" customHeight="1">
      <c r="A5238" s="1" t="str">
        <f>IFERROR(__xludf.DUMMYFUNCTION("""COMPUTED_VALUE"""),"Kassandra Freitag")</f>
        <v>Kassandra Freitag</v>
      </c>
      <c r="B5238" s="1" t="str">
        <f>IFERROR(__xludf.DUMMYFUNCTION("""COMPUTED_VALUE"""),"L2")</f>
        <v>L2</v>
      </c>
    </row>
    <row r="5239" ht="15.75" customHeight="1">
      <c r="A5239" s="1" t="str">
        <f>IFERROR(__xludf.DUMMYFUNCTION("""COMPUTED_VALUE"""),"Allie Skipps")</f>
        <v>Allie Skipps</v>
      </c>
      <c r="B5239" s="1" t="str">
        <f>IFERROR(__xludf.DUMMYFUNCTION("""COMPUTED_VALUE"""),"MS")</f>
        <v>MS</v>
      </c>
    </row>
    <row r="5240" ht="15.75" customHeight="1">
      <c r="A5240" s="1" t="str">
        <f>IFERROR(__xludf.DUMMYFUNCTION("""COMPUTED_VALUE"""),"Emmit Beascochea")</f>
        <v>Emmit Beascochea</v>
      </c>
      <c r="B5240" s="1" t="str">
        <f>IFERROR(__xludf.DUMMYFUNCTION("""COMPUTED_VALUE"""),"MS")</f>
        <v>MS</v>
      </c>
    </row>
    <row r="5241" ht="15.75" customHeight="1">
      <c r="A5241" s="1" t="str">
        <f>IFERROR(__xludf.DUMMYFUNCTION("""COMPUTED_VALUE"""),"Yaretzi Gima")</f>
        <v>Yaretzi Gima</v>
      </c>
      <c r="B5241" s="1" t="str">
        <f>IFERROR(__xludf.DUMMYFUNCTION("""COMPUTED_VALUE"""),"L2")</f>
        <v>L2</v>
      </c>
    </row>
    <row r="5242" ht="15.75" customHeight="1">
      <c r="A5242" s="1" t="str">
        <f>IFERROR(__xludf.DUMMYFUNCTION("""COMPUTED_VALUE"""),"Addison Brzoska")</f>
        <v>Addison Brzoska</v>
      </c>
      <c r="B5242" s="1" t="str">
        <f>IFERROR(__xludf.DUMMYFUNCTION("""COMPUTED_VALUE"""),"MS")</f>
        <v>MS</v>
      </c>
    </row>
    <row r="5243" ht="15.75" customHeight="1">
      <c r="A5243" s="1" t="str">
        <f>IFERROR(__xludf.DUMMYFUNCTION("""COMPUTED_VALUE"""),"Lucas Petersen")</f>
        <v>Lucas Petersen</v>
      </c>
      <c r="B5243" s="1" t="str">
        <f>IFERROR(__xludf.DUMMYFUNCTION("""COMPUTED_VALUE"""),"MS")</f>
        <v>MS</v>
      </c>
    </row>
    <row r="5244" ht="15.75" customHeight="1">
      <c r="A5244" s="1" t="str">
        <f>IFERROR(__xludf.DUMMYFUNCTION("""COMPUTED_VALUE"""),"Daniel Gralla")</f>
        <v>Daniel Gralla</v>
      </c>
      <c r="B5244" s="1" t="str">
        <f>IFERROR(__xludf.DUMMYFUNCTION("""COMPUTED_VALUE"""),"MS")</f>
        <v>MS</v>
      </c>
    </row>
    <row r="5245" ht="15.75" customHeight="1">
      <c r="A5245" s="1" t="str">
        <f>IFERROR(__xludf.DUMMYFUNCTION("""COMPUTED_VALUE"""),"Xavier Medina")</f>
        <v>Xavier Medina</v>
      </c>
      <c r="B5245" s="1" t="str">
        <f>IFERROR(__xludf.DUMMYFUNCTION("""COMPUTED_VALUE"""),"MS")</f>
        <v>MS</v>
      </c>
    </row>
    <row r="5246" ht="15.75" customHeight="1">
      <c r="A5246" s="1" t="str">
        <f>IFERROR(__xludf.DUMMYFUNCTION("""COMPUTED_VALUE"""),"Aaron Torres Burciaga")</f>
        <v>Aaron Torres Burciaga</v>
      </c>
      <c r="B5246" s="1" t="str">
        <f>IFERROR(__xludf.DUMMYFUNCTION("""COMPUTED_VALUE"""),"L2")</f>
        <v>L2</v>
      </c>
    </row>
    <row r="5247" ht="15.75" customHeight="1">
      <c r="A5247" s="1" t="str">
        <f>IFERROR(__xludf.DUMMYFUNCTION("""COMPUTED_VALUE"""),"Mason Brown")</f>
        <v>Mason Brown</v>
      </c>
      <c r="B5247" s="1" t="str">
        <f>IFERROR(__xludf.DUMMYFUNCTION("""COMPUTED_VALUE"""),"MS")</f>
        <v>MS</v>
      </c>
    </row>
    <row r="5248" ht="15.75" customHeight="1">
      <c r="A5248" s="1" t="str">
        <f>IFERROR(__xludf.DUMMYFUNCTION("""COMPUTED_VALUE"""),"Cruz Guzman-Barron")</f>
        <v>Cruz Guzman-Barron</v>
      </c>
      <c r="B5248" s="1" t="str">
        <f>IFERROR(__xludf.DUMMYFUNCTION("""COMPUTED_VALUE"""),"MS")</f>
        <v>MS</v>
      </c>
    </row>
    <row r="5249" ht="15.75" customHeight="1">
      <c r="A5249" s="1" t="str">
        <f>IFERROR(__xludf.DUMMYFUNCTION("""COMPUTED_VALUE"""),"Sophia Endler")</f>
        <v>Sophia Endler</v>
      </c>
      <c r="B5249" s="1" t="str">
        <f>IFERROR(__xludf.DUMMYFUNCTION("""COMPUTED_VALUE"""),"MS")</f>
        <v>MS</v>
      </c>
    </row>
    <row r="5250" ht="15.75" customHeight="1">
      <c r="A5250" s="1" t="str">
        <f>IFERROR(__xludf.DUMMYFUNCTION("""COMPUTED_VALUE"""),"Dylan Grange")</f>
        <v>Dylan Grange</v>
      </c>
      <c r="B5250" s="1" t="str">
        <f>IFERROR(__xludf.DUMMYFUNCTION("""COMPUTED_VALUE"""),"MS")</f>
        <v>MS</v>
      </c>
    </row>
    <row r="5251" ht="15.75" customHeight="1">
      <c r="A5251" s="1" t="str">
        <f>IFERROR(__xludf.DUMMYFUNCTION("""COMPUTED_VALUE"""),"Theodore Riley")</f>
        <v>Theodore Riley</v>
      </c>
      <c r="B5251" s="1" t="str">
        <f>IFERROR(__xludf.DUMMYFUNCTION("""COMPUTED_VALUE"""),"MS")</f>
        <v>MS</v>
      </c>
    </row>
    <row r="5252" ht="15.75" customHeight="1">
      <c r="A5252" s="1" t="str">
        <f>IFERROR(__xludf.DUMMYFUNCTION("""COMPUTED_VALUE"""),"Raphael Dear")</f>
        <v>Raphael Dear</v>
      </c>
      <c r="B5252" s="1" t="str">
        <f>IFERROR(__xludf.DUMMYFUNCTION("""COMPUTED_VALUE"""),"MS")</f>
        <v>MS</v>
      </c>
    </row>
    <row r="5253" ht="15.75" customHeight="1">
      <c r="A5253" s="1" t="str">
        <f>IFERROR(__xludf.DUMMYFUNCTION("""COMPUTED_VALUE"""),"Kenai McClane")</f>
        <v>Kenai McClane</v>
      </c>
      <c r="B5253" s="1" t="str">
        <f>IFERROR(__xludf.DUMMYFUNCTION("""COMPUTED_VALUE"""),"MS")</f>
        <v>MS</v>
      </c>
    </row>
    <row r="5254" ht="15.75" customHeight="1">
      <c r="A5254" s="1" t="str">
        <f>IFERROR(__xludf.DUMMYFUNCTION("""COMPUTED_VALUE"""),"D'Shane Juan")</f>
        <v>D'Shane Juan</v>
      </c>
      <c r="B5254" s="1" t="str">
        <f>IFERROR(__xludf.DUMMYFUNCTION("""COMPUTED_VALUE"""),"MS")</f>
        <v>MS</v>
      </c>
    </row>
    <row r="5255" ht="15.75" customHeight="1">
      <c r="A5255" s="1" t="str">
        <f>IFERROR(__xludf.DUMMYFUNCTION("""COMPUTED_VALUE"""),"Parker Martel")</f>
        <v>Parker Martel</v>
      </c>
      <c r="B5255" s="1" t="str">
        <f>IFERROR(__xludf.DUMMYFUNCTION("""COMPUTED_VALUE"""),"MS")</f>
        <v>MS</v>
      </c>
    </row>
    <row r="5256" ht="15.75" customHeight="1">
      <c r="A5256" s="1" t="str">
        <f>IFERROR(__xludf.DUMMYFUNCTION("""COMPUTED_VALUE"""),"Tenor Smith")</f>
        <v>Tenor Smith</v>
      </c>
      <c r="B5256" s="1" t="str">
        <f>IFERROR(__xludf.DUMMYFUNCTION("""COMPUTED_VALUE"""),"L2")</f>
        <v>L2</v>
      </c>
    </row>
    <row r="5257" ht="15.75" customHeight="1">
      <c r="A5257" s="1" t="str">
        <f>IFERROR(__xludf.DUMMYFUNCTION("""COMPUTED_VALUE"""),"Mondre Wright")</f>
        <v>Mondre Wright</v>
      </c>
      <c r="B5257" s="1" t="str">
        <f>IFERROR(__xludf.DUMMYFUNCTION("""COMPUTED_VALUE"""),"MS")</f>
        <v>MS</v>
      </c>
    </row>
    <row r="5258" ht="15.75" customHeight="1">
      <c r="A5258" s="1" t="str">
        <f>IFERROR(__xludf.DUMMYFUNCTION("""COMPUTED_VALUE"""),"Dectrick Page Jr")</f>
        <v>Dectrick Page Jr</v>
      </c>
      <c r="B5258" s="1" t="str">
        <f>IFERROR(__xludf.DUMMYFUNCTION("""COMPUTED_VALUE"""),"L2")</f>
        <v>L2</v>
      </c>
    </row>
    <row r="5259" ht="15.75" customHeight="1">
      <c r="A5259" s="1" t="str">
        <f>IFERROR(__xludf.DUMMYFUNCTION("""COMPUTED_VALUE"""),"Luis Santoyo")</f>
        <v>Luis Santoyo</v>
      </c>
      <c r="B5259" s="1" t="str">
        <f>IFERROR(__xludf.DUMMYFUNCTION("""COMPUTED_VALUE"""),"MS")</f>
        <v>MS</v>
      </c>
    </row>
    <row r="5260" ht="15.75" customHeight="1">
      <c r="A5260" s="1" t="str">
        <f>IFERROR(__xludf.DUMMYFUNCTION("""COMPUTED_VALUE"""),"Russell McCarty")</f>
        <v>Russell McCarty</v>
      </c>
      <c r="B5260" s="1" t="str">
        <f>IFERROR(__xludf.DUMMYFUNCTION("""COMPUTED_VALUE"""),"MS")</f>
        <v>MS</v>
      </c>
    </row>
    <row r="5261" ht="15.75" customHeight="1">
      <c r="A5261" s="1" t="str">
        <f>IFERROR(__xludf.DUMMYFUNCTION("""COMPUTED_VALUE"""),"Angel Trejo")</f>
        <v>Angel Trejo</v>
      </c>
      <c r="B5261" s="1" t="str">
        <f>IFERROR(__xludf.DUMMYFUNCTION("""COMPUTED_VALUE"""),"MS")</f>
        <v>MS</v>
      </c>
    </row>
    <row r="5262" ht="15.75" customHeight="1">
      <c r="A5262" s="1" t="str">
        <f>IFERROR(__xludf.DUMMYFUNCTION("""COMPUTED_VALUE"""),"Isaac Dimas")</f>
        <v>Isaac Dimas</v>
      </c>
      <c r="B5262" s="1" t="str">
        <f>IFERROR(__xludf.DUMMYFUNCTION("""COMPUTED_VALUE"""),"MS")</f>
        <v>MS</v>
      </c>
    </row>
    <row r="5263" ht="15.75" customHeight="1">
      <c r="A5263" s="1" t="str">
        <f>IFERROR(__xludf.DUMMYFUNCTION("""COMPUTED_VALUE"""),"Jullian Allison")</f>
        <v>Jullian Allison</v>
      </c>
      <c r="B5263" s="1" t="str">
        <f>IFERROR(__xludf.DUMMYFUNCTION("""COMPUTED_VALUE"""),"L2")</f>
        <v>L2</v>
      </c>
    </row>
    <row r="5264" ht="15.75" customHeight="1">
      <c r="A5264" s="1" t="str">
        <f>IFERROR(__xludf.DUMMYFUNCTION("""COMPUTED_VALUE"""),"Eddie Franco")</f>
        <v>Eddie Franco</v>
      </c>
      <c r="B5264" s="1" t="str">
        <f>IFERROR(__xludf.DUMMYFUNCTION("""COMPUTED_VALUE"""),"MS")</f>
        <v>MS</v>
      </c>
    </row>
    <row r="5265" ht="15.75" customHeight="1">
      <c r="A5265" s="1" t="str">
        <f>IFERROR(__xludf.DUMMYFUNCTION("""COMPUTED_VALUE"""),"Oscar Franco-Tolano")</f>
        <v>Oscar Franco-Tolano</v>
      </c>
      <c r="B5265" s="1" t="str">
        <f>IFERROR(__xludf.DUMMYFUNCTION("""COMPUTED_VALUE"""),"MS")</f>
        <v>MS</v>
      </c>
    </row>
    <row r="5266" ht="15.75" customHeight="1">
      <c r="A5266" s="1" t="str">
        <f>IFERROR(__xludf.DUMMYFUNCTION("""COMPUTED_VALUE"""),"Londyn Darough")</f>
        <v>Londyn Darough</v>
      </c>
      <c r="B5266" s="1" t="str">
        <f>IFERROR(__xludf.DUMMYFUNCTION("""COMPUTED_VALUE"""),"MS")</f>
        <v>MS</v>
      </c>
    </row>
    <row r="5267" ht="15.75" customHeight="1">
      <c r="A5267" s="1" t="str">
        <f>IFERROR(__xludf.DUMMYFUNCTION("""COMPUTED_VALUE"""),"Skylar Darough")</f>
        <v>Skylar Darough</v>
      </c>
      <c r="B5267" s="1" t="str">
        <f>IFERROR(__xludf.DUMMYFUNCTION("""COMPUTED_VALUE"""),"L2")</f>
        <v>L2</v>
      </c>
    </row>
    <row r="5268" ht="15.75" customHeight="1">
      <c r="A5268" s="1" t="str">
        <f>IFERROR(__xludf.DUMMYFUNCTION("""COMPUTED_VALUE"""),"Devin Glover")</f>
        <v>Devin Glover</v>
      </c>
      <c r="B5268" s="1" t="str">
        <f>IFERROR(__xludf.DUMMYFUNCTION("""COMPUTED_VALUE"""),"L2")</f>
        <v>L2</v>
      </c>
    </row>
    <row r="5269" ht="15.75" customHeight="1">
      <c r="A5269" s="1" t="str">
        <f>IFERROR(__xludf.DUMMYFUNCTION("""COMPUTED_VALUE"""),"Kennedy Klopf")</f>
        <v>Kennedy Klopf</v>
      </c>
      <c r="B5269" s="1" t="str">
        <f>IFERROR(__xludf.DUMMYFUNCTION("""COMPUTED_VALUE"""),"MS")</f>
        <v>MS</v>
      </c>
    </row>
    <row r="5270" ht="15.75" customHeight="1">
      <c r="A5270" s="1" t="str">
        <f>IFERROR(__xludf.DUMMYFUNCTION("""COMPUTED_VALUE"""),"Bentlye Brunelle")</f>
        <v>Bentlye Brunelle</v>
      </c>
      <c r="B5270" s="1" t="str">
        <f>IFERROR(__xludf.DUMMYFUNCTION("""COMPUTED_VALUE"""),"MS")</f>
        <v>MS</v>
      </c>
    </row>
    <row r="5271" ht="15.75" customHeight="1">
      <c r="A5271" s="1" t="str">
        <f>IFERROR(__xludf.DUMMYFUNCTION("""COMPUTED_VALUE"""),"Cole Porteous-Babel")</f>
        <v>Cole Porteous-Babel</v>
      </c>
      <c r="B5271" s="1" t="str">
        <f>IFERROR(__xludf.DUMMYFUNCTION("""COMPUTED_VALUE"""),"MS")</f>
        <v>MS</v>
      </c>
    </row>
    <row r="5272" ht="15.75" customHeight="1">
      <c r="A5272" s="1" t="str">
        <f>IFERROR(__xludf.DUMMYFUNCTION("""COMPUTED_VALUE"""),"Ethan Crisostomo Techur")</f>
        <v>Ethan Crisostomo Techur</v>
      </c>
      <c r="B5272" s="1" t="str">
        <f>IFERROR(__xludf.DUMMYFUNCTION("""COMPUTED_VALUE"""),"MS")</f>
        <v>MS</v>
      </c>
    </row>
    <row r="5273" ht="15.75" customHeight="1">
      <c r="A5273" s="1" t="str">
        <f>IFERROR(__xludf.DUMMYFUNCTION("""COMPUTED_VALUE"""),"Ellie Emery")</f>
        <v>Ellie Emery</v>
      </c>
      <c r="B5273" s="1" t="str">
        <f>IFERROR(__xludf.DUMMYFUNCTION("""COMPUTED_VALUE"""),"MS")</f>
        <v>MS</v>
      </c>
    </row>
    <row r="5274" ht="15.75" customHeight="1">
      <c r="A5274" s="1" t="str">
        <f>IFERROR(__xludf.DUMMYFUNCTION("""COMPUTED_VALUE"""),"Ailanne Pineda Villa")</f>
        <v>Ailanne Pineda Villa</v>
      </c>
      <c r="B5274" s="1" t="str">
        <f>IFERROR(__xludf.DUMMYFUNCTION("""COMPUTED_VALUE"""),"MS")</f>
        <v>MS</v>
      </c>
    </row>
    <row r="5275" ht="15.75" customHeight="1">
      <c r="A5275" s="1" t="str">
        <f>IFERROR(__xludf.DUMMYFUNCTION("""COMPUTED_VALUE"""),"Jaden Pineda Villa")</f>
        <v>Jaden Pineda Villa</v>
      </c>
      <c r="B5275" s="1" t="str">
        <f>IFERROR(__xludf.DUMMYFUNCTION("""COMPUTED_VALUE"""),"MS")</f>
        <v>MS</v>
      </c>
    </row>
    <row r="5276" ht="15.75" customHeight="1">
      <c r="A5276" s="1" t="str">
        <f>IFERROR(__xludf.DUMMYFUNCTION("""COMPUTED_VALUE"""),"Lily Spears")</f>
        <v>Lily Spears</v>
      </c>
      <c r="B5276" s="1" t="str">
        <f>IFERROR(__xludf.DUMMYFUNCTION("""COMPUTED_VALUE"""),"MS")</f>
        <v>MS</v>
      </c>
    </row>
    <row r="5277" ht="15.75" customHeight="1">
      <c r="A5277" s="1" t="str">
        <f>IFERROR(__xludf.DUMMYFUNCTION("""COMPUTED_VALUE"""),"Cesar Jimenez Urias")</f>
        <v>Cesar Jimenez Urias</v>
      </c>
      <c r="B5277" s="1" t="str">
        <f>IFERROR(__xludf.DUMMYFUNCTION("""COMPUTED_VALUE"""),"MS")</f>
        <v>MS</v>
      </c>
    </row>
    <row r="5278" ht="15.75" customHeight="1">
      <c r="A5278" s="1" t="str">
        <f>IFERROR(__xludf.DUMMYFUNCTION("""COMPUTED_VALUE"""),"Paesyn Baldassarre")</f>
        <v>Paesyn Baldassarre</v>
      </c>
      <c r="B5278" s="1" t="str">
        <f>IFERROR(__xludf.DUMMYFUNCTION("""COMPUTED_VALUE"""),"MS")</f>
        <v>MS</v>
      </c>
    </row>
    <row r="5279" ht="15.75" customHeight="1">
      <c r="A5279" s="1" t="str">
        <f>IFERROR(__xludf.DUMMYFUNCTION("""COMPUTED_VALUE"""),"Vincent Baldassarre")</f>
        <v>Vincent Baldassarre</v>
      </c>
      <c r="B5279" s="1" t="str">
        <f>IFERROR(__xludf.DUMMYFUNCTION("""COMPUTED_VALUE"""),"MS")</f>
        <v>MS</v>
      </c>
    </row>
    <row r="5280" ht="15.75" customHeight="1">
      <c r="A5280" s="1" t="str">
        <f>IFERROR(__xludf.DUMMYFUNCTION("""COMPUTED_VALUE"""),"Armani Barker")</f>
        <v>Armani Barker</v>
      </c>
      <c r="B5280" s="1" t="str">
        <f>IFERROR(__xludf.DUMMYFUNCTION("""COMPUTED_VALUE"""),"L2")</f>
        <v>L2</v>
      </c>
    </row>
    <row r="5281" ht="15.75" customHeight="1">
      <c r="A5281" s="1" t="str">
        <f>IFERROR(__xludf.DUMMYFUNCTION("""COMPUTED_VALUE"""),"Avery Porter")</f>
        <v>Avery Porter</v>
      </c>
      <c r="B5281" s="1" t="str">
        <f>IFERROR(__xludf.DUMMYFUNCTION("""COMPUTED_VALUE"""),"L2")</f>
        <v>L2</v>
      </c>
    </row>
    <row r="5282" ht="15.75" customHeight="1">
      <c r="A5282" s="1" t="str">
        <f>IFERROR(__xludf.DUMMYFUNCTION("""COMPUTED_VALUE"""),"Madeline Porter")</f>
        <v>Madeline Porter</v>
      </c>
      <c r="B5282" s="1" t="str">
        <f>IFERROR(__xludf.DUMMYFUNCTION("""COMPUTED_VALUE"""),"MS")</f>
        <v>MS</v>
      </c>
    </row>
    <row r="5283" ht="15.75" customHeight="1">
      <c r="A5283" s="1" t="str">
        <f>IFERROR(__xludf.DUMMYFUNCTION("""COMPUTED_VALUE"""),"Morgan Hart")</f>
        <v>Morgan Hart</v>
      </c>
      <c r="B5283" s="1" t="str">
        <f>IFERROR(__xludf.DUMMYFUNCTION("""COMPUTED_VALUE"""),"L2")</f>
        <v>L2</v>
      </c>
    </row>
    <row r="5284" ht="15.75" customHeight="1">
      <c r="A5284" s="1" t="str">
        <f>IFERROR(__xludf.DUMMYFUNCTION("""COMPUTED_VALUE"""),"Eli Tortorici")</f>
        <v>Eli Tortorici</v>
      </c>
      <c r="B5284" s="1" t="str">
        <f>IFERROR(__xludf.DUMMYFUNCTION("""COMPUTED_VALUE"""),"MS")</f>
        <v>MS</v>
      </c>
    </row>
    <row r="5285" ht="15.75" customHeight="1">
      <c r="A5285" s="1" t="str">
        <f>IFERROR(__xludf.DUMMYFUNCTION("""COMPUTED_VALUE"""),"Evelyn Simmons")</f>
        <v>Evelyn Simmons</v>
      </c>
      <c r="B5285" s="1" t="str">
        <f>IFERROR(__xludf.DUMMYFUNCTION("""COMPUTED_VALUE"""),"MS")</f>
        <v>MS</v>
      </c>
    </row>
    <row r="5286" ht="15.75" customHeight="1">
      <c r="A5286" s="1" t="str">
        <f>IFERROR(__xludf.DUMMYFUNCTION("""COMPUTED_VALUE"""),"Aurora Martins")</f>
        <v>Aurora Martins</v>
      </c>
      <c r="B5286" s="1" t="str">
        <f>IFERROR(__xludf.DUMMYFUNCTION("""COMPUTED_VALUE"""),"L2")</f>
        <v>L2</v>
      </c>
    </row>
    <row r="5287" ht="15.75" customHeight="1">
      <c r="A5287" s="1" t="str">
        <f>IFERROR(__xludf.DUMMYFUNCTION("""COMPUTED_VALUE"""),"Rylan McInerney-Cannon")</f>
        <v>Rylan McInerney-Cannon</v>
      </c>
      <c r="B5287" s="1" t="str">
        <f>IFERROR(__xludf.DUMMYFUNCTION("""COMPUTED_VALUE"""),"MS")</f>
        <v>MS</v>
      </c>
    </row>
    <row r="5288" ht="15.75" customHeight="1">
      <c r="A5288" s="1" t="str">
        <f>IFERROR(__xludf.DUMMYFUNCTION("""COMPUTED_VALUE"""),"RubyAnn Barnhart")</f>
        <v>RubyAnn Barnhart</v>
      </c>
      <c r="B5288" s="1" t="str">
        <f>IFERROR(__xludf.DUMMYFUNCTION("""COMPUTED_VALUE"""),"L2")</f>
        <v>L2</v>
      </c>
    </row>
    <row r="5289" ht="15.75" customHeight="1">
      <c r="A5289" s="1" t="str">
        <f>IFERROR(__xludf.DUMMYFUNCTION("""COMPUTED_VALUE"""),"Maya Barroteran")</f>
        <v>Maya Barroteran</v>
      </c>
      <c r="B5289" s="1" t="str">
        <f>IFERROR(__xludf.DUMMYFUNCTION("""COMPUTED_VALUE"""),"MS")</f>
        <v>MS</v>
      </c>
    </row>
    <row r="5290" ht="15.75" customHeight="1">
      <c r="A5290" s="1" t="str">
        <f>IFERROR(__xludf.DUMMYFUNCTION("""COMPUTED_VALUE"""),"Evan McClain")</f>
        <v>Evan McClain</v>
      </c>
      <c r="B5290" s="1" t="str">
        <f>IFERROR(__xludf.DUMMYFUNCTION("""COMPUTED_VALUE"""),"L2")</f>
        <v>L2</v>
      </c>
    </row>
    <row r="5291" ht="15.75" customHeight="1">
      <c r="A5291" s="1" t="str">
        <f>IFERROR(__xludf.DUMMYFUNCTION("""COMPUTED_VALUE"""),"Mase Hellerud")</f>
        <v>Mase Hellerud</v>
      </c>
      <c r="B5291" s="1" t="str">
        <f>IFERROR(__xludf.DUMMYFUNCTION("""COMPUTED_VALUE"""),"MS")</f>
        <v>MS</v>
      </c>
    </row>
    <row r="5292" ht="15.75" customHeight="1">
      <c r="A5292" s="1" t="str">
        <f>IFERROR(__xludf.DUMMYFUNCTION("""COMPUTED_VALUE"""),"Gavin Oliver")</f>
        <v>Gavin Oliver</v>
      </c>
      <c r="B5292" s="1" t="str">
        <f>IFERROR(__xludf.DUMMYFUNCTION("""COMPUTED_VALUE"""),"L2")</f>
        <v>L2</v>
      </c>
    </row>
    <row r="5293" ht="15.75" customHeight="1">
      <c r="A5293" s="1" t="str">
        <f>IFERROR(__xludf.DUMMYFUNCTION("""COMPUTED_VALUE"""),"Gannon Tafoya")</f>
        <v>Gannon Tafoya</v>
      </c>
      <c r="B5293" s="1" t="str">
        <f>IFERROR(__xludf.DUMMYFUNCTION("""COMPUTED_VALUE"""),"L2")</f>
        <v>L2</v>
      </c>
    </row>
    <row r="5294" ht="15.75" customHeight="1">
      <c r="A5294" s="1" t="str">
        <f>IFERROR(__xludf.DUMMYFUNCTION("""COMPUTED_VALUE"""),"Azariah Williams")</f>
        <v>Azariah Williams</v>
      </c>
      <c r="B5294" s="1" t="str">
        <f>IFERROR(__xludf.DUMMYFUNCTION("""COMPUTED_VALUE"""),"MS")</f>
        <v>MS</v>
      </c>
    </row>
    <row r="5295" ht="15.75" customHeight="1">
      <c r="A5295" s="1" t="str">
        <f>IFERROR(__xludf.DUMMYFUNCTION("""COMPUTED_VALUE"""),"Payton Nagle")</f>
        <v>Payton Nagle</v>
      </c>
      <c r="B5295" s="1" t="str">
        <f>IFERROR(__xludf.DUMMYFUNCTION("""COMPUTED_VALUE"""),"L2")</f>
        <v>L2</v>
      </c>
    </row>
    <row r="5296" ht="15.75" customHeight="1">
      <c r="A5296" s="1" t="str">
        <f>IFERROR(__xludf.DUMMYFUNCTION("""COMPUTED_VALUE"""),"Andre Martinez")</f>
        <v>Andre Martinez</v>
      </c>
      <c r="B5296" s="1" t="str">
        <f>IFERROR(__xludf.DUMMYFUNCTION("""COMPUTED_VALUE"""),"L2")</f>
        <v>L2</v>
      </c>
    </row>
    <row r="5297" ht="15.75" customHeight="1">
      <c r="A5297" s="1" t="str">
        <f>IFERROR(__xludf.DUMMYFUNCTION("""COMPUTED_VALUE"""),"Dominique Batt")</f>
        <v>Dominique Batt</v>
      </c>
      <c r="B5297" s="1" t="str">
        <f>IFERROR(__xludf.DUMMYFUNCTION("""COMPUTED_VALUE"""),"MS")</f>
        <v>MS</v>
      </c>
    </row>
    <row r="5298" ht="15.75" customHeight="1">
      <c r="A5298" s="1" t="str">
        <f>IFERROR(__xludf.DUMMYFUNCTION("""COMPUTED_VALUE"""),"Phenex Galvan")</f>
        <v>Phenex Galvan</v>
      </c>
      <c r="B5298" s="1" t="str">
        <f>IFERROR(__xludf.DUMMYFUNCTION("""COMPUTED_VALUE"""),"MS")</f>
        <v>MS</v>
      </c>
    </row>
    <row r="5299" ht="15.75" customHeight="1">
      <c r="A5299" s="1" t="str">
        <f>IFERROR(__xludf.DUMMYFUNCTION("""COMPUTED_VALUE"""),"Taylor Mead")</f>
        <v>Taylor Mead</v>
      </c>
      <c r="B5299" s="1" t="str">
        <f>IFERROR(__xludf.DUMMYFUNCTION("""COMPUTED_VALUE"""),"MS")</f>
        <v>MS</v>
      </c>
    </row>
    <row r="5300" ht="15.75" customHeight="1">
      <c r="A5300" s="1" t="str">
        <f>IFERROR(__xludf.DUMMYFUNCTION("""COMPUTED_VALUE"""),"Arizza Perez")</f>
        <v>Arizza Perez</v>
      </c>
      <c r="B5300" s="1" t="str">
        <f>IFERROR(__xludf.DUMMYFUNCTION("""COMPUTED_VALUE"""),"L2")</f>
        <v>L2</v>
      </c>
    </row>
    <row r="5301" ht="15.75" customHeight="1">
      <c r="A5301" s="1" t="str">
        <f>IFERROR(__xludf.DUMMYFUNCTION("""COMPUTED_VALUE"""),"Peyton Mead")</f>
        <v>Peyton Mead</v>
      </c>
      <c r="B5301" s="1" t="str">
        <f>IFERROR(__xludf.DUMMYFUNCTION("""COMPUTED_VALUE"""),"MS")</f>
        <v>MS</v>
      </c>
    </row>
    <row r="5302" ht="15.75" customHeight="1">
      <c r="A5302" s="1" t="str">
        <f>IFERROR(__xludf.DUMMYFUNCTION("""COMPUTED_VALUE"""),"Lydia Nishijima-Cox")</f>
        <v>Lydia Nishijima-Cox</v>
      </c>
      <c r="B5302" s="1" t="str">
        <f>IFERROR(__xludf.DUMMYFUNCTION("""COMPUTED_VALUE"""),"L2")</f>
        <v>L2</v>
      </c>
    </row>
    <row r="5303" ht="15.75" customHeight="1">
      <c r="A5303" s="1" t="str">
        <f>IFERROR(__xludf.DUMMYFUNCTION("""COMPUTED_VALUE"""),"Blueskye Price")</f>
        <v>Blueskye Price</v>
      </c>
      <c r="B5303" s="1" t="str">
        <f>IFERROR(__xludf.DUMMYFUNCTION("""COMPUTED_VALUE"""),"L2")</f>
        <v>L2</v>
      </c>
    </row>
    <row r="5304" ht="15.75" customHeight="1">
      <c r="A5304" s="1" t="str">
        <f>IFERROR(__xludf.DUMMYFUNCTION("""COMPUTED_VALUE"""),"Elijah Paige")</f>
        <v>Elijah Paige</v>
      </c>
      <c r="B5304" s="1" t="str">
        <f>IFERROR(__xludf.DUMMYFUNCTION("""COMPUTED_VALUE"""),"MS")</f>
        <v>MS</v>
      </c>
    </row>
    <row r="5305" ht="15.75" customHeight="1">
      <c r="A5305" s="1" t="str">
        <f>IFERROR(__xludf.DUMMYFUNCTION("""COMPUTED_VALUE"""),"Ciera Norona")</f>
        <v>Ciera Norona</v>
      </c>
      <c r="B5305" s="1" t="str">
        <f>IFERROR(__xludf.DUMMYFUNCTION("""COMPUTED_VALUE"""),"MS")</f>
        <v>MS</v>
      </c>
    </row>
    <row r="5306" ht="15.75" customHeight="1">
      <c r="A5306" s="1" t="str">
        <f>IFERROR(__xludf.DUMMYFUNCTION("""COMPUTED_VALUE"""),"Kye Merrill")</f>
        <v>Kye Merrill</v>
      </c>
      <c r="B5306" s="1" t="str">
        <f>IFERROR(__xludf.DUMMYFUNCTION("""COMPUTED_VALUE"""),"MS")</f>
        <v>MS</v>
      </c>
    </row>
    <row r="5307" ht="15.75" customHeight="1">
      <c r="A5307" s="1" t="str">
        <f>IFERROR(__xludf.DUMMYFUNCTION("""COMPUTED_VALUE"""),"Caleb Perry")</f>
        <v>Caleb Perry</v>
      </c>
      <c r="B5307" s="1" t="str">
        <f>IFERROR(__xludf.DUMMYFUNCTION("""COMPUTED_VALUE"""),"MS")</f>
        <v>MS</v>
      </c>
    </row>
    <row r="5308" ht="15.75" customHeight="1">
      <c r="A5308" s="1" t="str">
        <f>IFERROR(__xludf.DUMMYFUNCTION("""COMPUTED_VALUE"""),"Sebastian Canez")</f>
        <v>Sebastian Canez</v>
      </c>
      <c r="B5308" s="1" t="str">
        <f>IFERROR(__xludf.DUMMYFUNCTION("""COMPUTED_VALUE"""),"L2")</f>
        <v>L2</v>
      </c>
    </row>
    <row r="5309" ht="15.75" customHeight="1">
      <c r="A5309" s="1" t="str">
        <f>IFERROR(__xludf.DUMMYFUNCTION("""COMPUTED_VALUE"""),"Rhea Rivera")</f>
        <v>Rhea Rivera</v>
      </c>
      <c r="B5309" s="1" t="str">
        <f>IFERROR(__xludf.DUMMYFUNCTION("""COMPUTED_VALUE"""),"L2")</f>
        <v>L2</v>
      </c>
    </row>
    <row r="5310" ht="15.75" customHeight="1">
      <c r="A5310" s="1" t="str">
        <f>IFERROR(__xludf.DUMMYFUNCTION("""COMPUTED_VALUE"""),"London Rivera")</f>
        <v>London Rivera</v>
      </c>
      <c r="B5310" s="1" t="str">
        <f>IFERROR(__xludf.DUMMYFUNCTION("""COMPUTED_VALUE"""),"MS")</f>
        <v>MS</v>
      </c>
    </row>
    <row r="5311" ht="15.75" customHeight="1">
      <c r="A5311" s="1" t="str">
        <f>IFERROR(__xludf.DUMMYFUNCTION("""COMPUTED_VALUE"""),"Terrence Dunn")</f>
        <v>Terrence Dunn</v>
      </c>
      <c r="B5311" s="1" t="str">
        <f>IFERROR(__xludf.DUMMYFUNCTION("""COMPUTED_VALUE"""),"L2")</f>
        <v>L2</v>
      </c>
    </row>
    <row r="5312" ht="15.75" customHeight="1">
      <c r="A5312" s="1" t="str">
        <f>IFERROR(__xludf.DUMMYFUNCTION("""COMPUTED_VALUE"""),"Arabella Hovater")</f>
        <v>Arabella Hovater</v>
      </c>
      <c r="B5312" s="1" t="str">
        <f>IFERROR(__xludf.DUMMYFUNCTION("""COMPUTED_VALUE"""),"L2")</f>
        <v>L2</v>
      </c>
    </row>
    <row r="5313" ht="15.75" customHeight="1">
      <c r="A5313" s="1" t="str">
        <f>IFERROR(__xludf.DUMMYFUNCTION("""COMPUTED_VALUE"""),"Abel Hovater")</f>
        <v>Abel Hovater</v>
      </c>
      <c r="B5313" s="1" t="str">
        <f>IFERROR(__xludf.DUMMYFUNCTION("""COMPUTED_VALUE"""),"MS")</f>
        <v>MS</v>
      </c>
    </row>
    <row r="5314" ht="15.75" customHeight="1">
      <c r="A5314" s="1" t="str">
        <f>IFERROR(__xludf.DUMMYFUNCTION("""COMPUTED_VALUE"""),"Journie Stewart")</f>
        <v>Journie Stewart</v>
      </c>
      <c r="B5314" s="1" t="str">
        <f>IFERROR(__xludf.DUMMYFUNCTION("""COMPUTED_VALUE"""),"MS")</f>
        <v>MS</v>
      </c>
    </row>
    <row r="5315" ht="15.75" customHeight="1">
      <c r="A5315" s="1" t="str">
        <f>IFERROR(__xludf.DUMMYFUNCTION("""COMPUTED_VALUE"""),"Kanaan Lerma-Martinez")</f>
        <v>Kanaan Lerma-Martinez</v>
      </c>
      <c r="B5315" s="1" t="str">
        <f>IFERROR(__xludf.DUMMYFUNCTION("""COMPUTED_VALUE"""),"L2")</f>
        <v>L2</v>
      </c>
    </row>
    <row r="5316" ht="15.75" customHeight="1">
      <c r="A5316" s="1" t="str">
        <f>IFERROR(__xludf.DUMMYFUNCTION("""COMPUTED_VALUE"""),"James Edwards")</f>
        <v>James Edwards</v>
      </c>
      <c r="B5316" s="1" t="str">
        <f>IFERROR(__xludf.DUMMYFUNCTION("""COMPUTED_VALUE"""),"MS")</f>
        <v>MS</v>
      </c>
    </row>
    <row r="5317" ht="15.75" customHeight="1">
      <c r="A5317" s="1" t="str">
        <f>IFERROR(__xludf.DUMMYFUNCTION("""COMPUTED_VALUE"""),"Fifth Grader")</f>
        <v>Fifth Grader</v>
      </c>
      <c r="B5317" s="1" t="str">
        <f>IFERROR(__xludf.DUMMYFUNCTION("""COMPUTED_VALUE"""),"L2")</f>
        <v>L2</v>
      </c>
    </row>
    <row r="5318" ht="15.75" customHeight="1">
      <c r="A5318" s="1" t="str">
        <f>IFERROR(__xludf.DUMMYFUNCTION("""COMPUTED_VALUE"""),"Kinder Gartner")</f>
        <v>Kinder Gartner</v>
      </c>
      <c r="B5318" s="1" t="str">
        <f>IFERROR(__xludf.DUMMYFUNCTION("""COMPUTED_VALUE"""),"LL")</f>
        <v>LL</v>
      </c>
    </row>
    <row r="5319" ht="15.75" customHeight="1">
      <c r="A5319" s="1" t="str">
        <f>IFERROR(__xludf.DUMMYFUNCTION("""COMPUTED_VALUE"""),"First Grader")</f>
        <v>First Grader</v>
      </c>
      <c r="B5319" s="1" t="str">
        <f>IFERROR(__xludf.DUMMYFUNCTION("""COMPUTED_VALUE"""),"LL")</f>
        <v>LL</v>
      </c>
    </row>
    <row r="5320" ht="15.75" customHeight="1">
      <c r="A5320" s="1" t="str">
        <f>IFERROR(__xludf.DUMMYFUNCTION("""COMPUTED_VALUE"""),"Second Grader")</f>
        <v>Second Grader</v>
      </c>
      <c r="B5320" s="1" t="str">
        <f>IFERROR(__xludf.DUMMYFUNCTION("""COMPUTED_VALUE"""),"L1")</f>
        <v>L1</v>
      </c>
    </row>
    <row r="5321" ht="15.75" customHeight="1">
      <c r="A5321" s="1" t="str">
        <f>IFERROR(__xludf.DUMMYFUNCTION("""COMPUTED_VALUE"""),"Third Grader")</f>
        <v>Third Grader</v>
      </c>
      <c r="B5321" s="1" t="str">
        <f>IFERROR(__xludf.DUMMYFUNCTION("""COMPUTED_VALUE"""),"L1")</f>
        <v>L1</v>
      </c>
    </row>
    <row r="5322" ht="15.75" customHeight="1">
      <c r="A5322" s="1" t="str">
        <f>IFERROR(__xludf.DUMMYFUNCTION("""COMPUTED_VALUE"""),"Fourth Grader")</f>
        <v>Fourth Grader</v>
      </c>
      <c r="B5322" s="1" t="str">
        <f>IFERROR(__xludf.DUMMYFUNCTION("""COMPUTED_VALUE"""),"L2")</f>
        <v>L2</v>
      </c>
    </row>
    <row r="5323" ht="15.75" customHeight="1">
      <c r="A5323" s="1" t="str">
        <f>IFERROR(__xludf.DUMMYFUNCTION("""COMPUTED_VALUE"""),"Mollee Brown")</f>
        <v>Mollee Brown</v>
      </c>
      <c r="B5323" s="1" t="str">
        <f>IFERROR(__xludf.DUMMYFUNCTION("""COMPUTED_VALUE"""),"MS")</f>
        <v>MS</v>
      </c>
    </row>
    <row r="5324" ht="15.75" customHeight="1">
      <c r="A5324" s="1" t="str">
        <f>IFERROR(__xludf.DUMMYFUNCTION("""COMPUTED_VALUE"""),"Noah Pope")</f>
        <v>Noah Pope</v>
      </c>
      <c r="B5324" s="1" t="str">
        <f>IFERROR(__xludf.DUMMYFUNCTION("""COMPUTED_VALUE"""),"L2")</f>
        <v>L2</v>
      </c>
    </row>
    <row r="5325" ht="15.75" customHeight="1">
      <c r="A5325" s="1" t="str">
        <f>IFERROR(__xludf.DUMMYFUNCTION("""COMPUTED_VALUE"""),"Meadow Koll")</f>
        <v>Meadow Koll</v>
      </c>
      <c r="B5325" s="1" t="str">
        <f>IFERROR(__xludf.DUMMYFUNCTION("""COMPUTED_VALUE"""),"MS")</f>
        <v>MS</v>
      </c>
    </row>
    <row r="5326" ht="15.75" customHeight="1">
      <c r="A5326" s="1" t="str">
        <f>IFERROR(__xludf.DUMMYFUNCTION("""COMPUTED_VALUE"""),"Labrysha Colbert")</f>
        <v>Labrysha Colbert</v>
      </c>
      <c r="B5326" s="1" t="str">
        <f>IFERROR(__xludf.DUMMYFUNCTION("""COMPUTED_VALUE"""),"MS")</f>
        <v>MS</v>
      </c>
    </row>
    <row r="5327" ht="15.75" customHeight="1">
      <c r="A5327" s="1" t="str">
        <f>IFERROR(__xludf.DUMMYFUNCTION("""COMPUTED_VALUE"""),"Anna Michalski")</f>
        <v>Anna Michalski</v>
      </c>
      <c r="B5327" s="1" t="str">
        <f>IFERROR(__xludf.DUMMYFUNCTION("""COMPUTED_VALUE"""),"L2")</f>
        <v>L2</v>
      </c>
    </row>
    <row r="5328" ht="15.75" customHeight="1">
      <c r="A5328" s="1" t="str">
        <f>IFERROR(__xludf.DUMMYFUNCTION("""COMPUTED_VALUE"""),"Mia Valencia")</f>
        <v>Mia Valencia</v>
      </c>
      <c r="B5328" s="1" t="str">
        <f>IFERROR(__xludf.DUMMYFUNCTION("""COMPUTED_VALUE"""),"L2")</f>
        <v>L2</v>
      </c>
    </row>
    <row r="5329" ht="15.75" customHeight="1">
      <c r="A5329" s="1" t="str">
        <f>IFERROR(__xludf.DUMMYFUNCTION("""COMPUTED_VALUE"""),"Harmony Franklin")</f>
        <v>Harmony Franklin</v>
      </c>
      <c r="B5329" s="1" t="str">
        <f>IFERROR(__xludf.DUMMYFUNCTION("""COMPUTED_VALUE"""),"MS")</f>
        <v>MS</v>
      </c>
    </row>
    <row r="5330" ht="15.75" customHeight="1">
      <c r="A5330" s="1" t="str">
        <f>IFERROR(__xludf.DUMMYFUNCTION("""COMPUTED_VALUE"""),"Gilbert Flores")</f>
        <v>Gilbert Flores</v>
      </c>
      <c r="B5330" s="1" t="str">
        <f>IFERROR(__xludf.DUMMYFUNCTION("""COMPUTED_VALUE"""),"L2")</f>
        <v>L2</v>
      </c>
    </row>
    <row r="5331" ht="15.75" customHeight="1">
      <c r="A5331" s="1" t="str">
        <f>IFERROR(__xludf.DUMMYFUNCTION("""COMPUTED_VALUE"""),"Sofia Barroteran")</f>
        <v>Sofia Barroteran</v>
      </c>
      <c r="B5331" s="1" t="str">
        <f>IFERROR(__xludf.DUMMYFUNCTION("""COMPUTED_VALUE"""),"L2")</f>
        <v>L2</v>
      </c>
    </row>
    <row r="5332" ht="15.75" customHeight="1">
      <c r="A5332" s="1" t="str">
        <f>IFERROR(__xludf.DUMMYFUNCTION("""COMPUTED_VALUE"""),"Cruzito Medina")</f>
        <v>Cruzito Medina</v>
      </c>
      <c r="B5332" s="1" t="str">
        <f>IFERROR(__xludf.DUMMYFUNCTION("""COMPUTED_VALUE"""),"L2")</f>
        <v>L2</v>
      </c>
    </row>
    <row r="5333" ht="15.75" customHeight="1">
      <c r="A5333" s="1" t="str">
        <f>IFERROR(__xludf.DUMMYFUNCTION("""COMPUTED_VALUE"""),"Gunnar Bustamante")</f>
        <v>Gunnar Bustamante</v>
      </c>
      <c r="B5333" s="1" t="str">
        <f>IFERROR(__xludf.DUMMYFUNCTION("""COMPUTED_VALUE"""),"MS")</f>
        <v>MS</v>
      </c>
    </row>
    <row r="5334" ht="15.75" customHeight="1">
      <c r="A5334" s="1" t="str">
        <f>IFERROR(__xludf.DUMMYFUNCTION("""COMPUTED_VALUE"""),"Angelo Vargas")</f>
        <v>Angelo Vargas</v>
      </c>
      <c r="B5334" s="1" t="str">
        <f>IFERROR(__xludf.DUMMYFUNCTION("""COMPUTED_VALUE"""),"L2")</f>
        <v>L2</v>
      </c>
    </row>
    <row r="5335" ht="15.75" customHeight="1">
      <c r="A5335" s="1" t="str">
        <f>IFERROR(__xludf.DUMMYFUNCTION("""COMPUTED_VALUE"""),"Julianna Gonzalez")</f>
        <v>Julianna Gonzalez</v>
      </c>
      <c r="B5335" s="1" t="str">
        <f>IFERROR(__xludf.DUMMYFUNCTION("""COMPUTED_VALUE"""),"L2")</f>
        <v>L2</v>
      </c>
    </row>
    <row r="5336" ht="15.75" customHeight="1">
      <c r="A5336" s="1" t="str">
        <f>IFERROR(__xludf.DUMMYFUNCTION("""COMPUTED_VALUE"""),"Gabriel Gaviria")</f>
        <v>Gabriel Gaviria</v>
      </c>
      <c r="B5336" s="1" t="str">
        <f>IFERROR(__xludf.DUMMYFUNCTION("""COMPUTED_VALUE"""),"L2")</f>
        <v>L2</v>
      </c>
    </row>
    <row r="5337" ht="15.75" customHeight="1">
      <c r="A5337" s="1" t="str">
        <f>IFERROR(__xludf.DUMMYFUNCTION("""COMPUTED_VALUE"""),"Lexi Greene")</f>
        <v>Lexi Greene</v>
      </c>
      <c r="B5337" s="1" t="str">
        <f>IFERROR(__xludf.DUMMYFUNCTION("""COMPUTED_VALUE"""),"MS")</f>
        <v>MS</v>
      </c>
    </row>
    <row r="5338" ht="15.75" customHeight="1">
      <c r="A5338" s="1" t="str">
        <f>IFERROR(__xludf.DUMMYFUNCTION("""COMPUTED_VALUE"""),"Amiya Works")</f>
        <v>Amiya Works</v>
      </c>
      <c r="B5338" s="1" t="str">
        <f>IFERROR(__xludf.DUMMYFUNCTION("""COMPUTED_VALUE"""),"MS")</f>
        <v>MS</v>
      </c>
    </row>
    <row r="5339" ht="15.75" customHeight="1">
      <c r="A5339" s="1" t="str">
        <f>IFERROR(__xludf.DUMMYFUNCTION("""COMPUTED_VALUE"""),"Gauge McCahon")</f>
        <v>Gauge McCahon</v>
      </c>
      <c r="B5339" s="1" t="str">
        <f>IFERROR(__xludf.DUMMYFUNCTION("""COMPUTED_VALUE"""),"MS")</f>
        <v>MS</v>
      </c>
    </row>
    <row r="5340" ht="15.75" customHeight="1">
      <c r="A5340" s="1" t="str">
        <f>IFERROR(__xludf.DUMMYFUNCTION("""COMPUTED_VALUE"""),"Kaine McCahon")</f>
        <v>Kaine McCahon</v>
      </c>
      <c r="B5340" s="1" t="str">
        <f>IFERROR(__xludf.DUMMYFUNCTION("""COMPUTED_VALUE"""),"MS")</f>
        <v>MS</v>
      </c>
    </row>
    <row r="5341" ht="15.75" customHeight="1">
      <c r="A5341" s="1" t="str">
        <f>IFERROR(__xludf.DUMMYFUNCTION("""COMPUTED_VALUE"""),"Gyzelle Kemp")</f>
        <v>Gyzelle Kemp</v>
      </c>
      <c r="B5341" s="1" t="str">
        <f>IFERROR(__xludf.DUMMYFUNCTION("""COMPUTED_VALUE"""),"L2")</f>
        <v>L2</v>
      </c>
    </row>
    <row r="5342" ht="15.75" customHeight="1">
      <c r="A5342" s="1" t="str">
        <f>IFERROR(__xludf.DUMMYFUNCTION("""COMPUTED_VALUE"""),"Alexander Seitz")</f>
        <v>Alexander Seitz</v>
      </c>
      <c r="B5342" s="1" t="str">
        <f>IFERROR(__xludf.DUMMYFUNCTION("""COMPUTED_VALUE"""),"MS")</f>
        <v>MS</v>
      </c>
    </row>
    <row r="5343" ht="15.75" customHeight="1">
      <c r="A5343" s="1" t="str">
        <f>IFERROR(__xludf.DUMMYFUNCTION("""COMPUTED_VALUE"""),"Ian Valenzuela")</f>
        <v>Ian Valenzuela</v>
      </c>
      <c r="B5343" s="1" t="str">
        <f>IFERROR(__xludf.DUMMYFUNCTION("""COMPUTED_VALUE"""),"MS")</f>
        <v>MS</v>
      </c>
    </row>
    <row r="5344" ht="15.75" customHeight="1">
      <c r="A5344" s="1" t="str">
        <f>IFERROR(__xludf.DUMMYFUNCTION("""COMPUTED_VALUE"""),"Tremaine Coy")</f>
        <v>Tremaine Coy</v>
      </c>
      <c r="B5344" s="1" t="str">
        <f>IFERROR(__xludf.DUMMYFUNCTION("""COMPUTED_VALUE"""),"MS")</f>
        <v>MS</v>
      </c>
    </row>
    <row r="5345" ht="15.75" customHeight="1">
      <c r="A5345" s="1" t="str">
        <f>IFERROR(__xludf.DUMMYFUNCTION("""COMPUTED_VALUE"""),"Benjamin Vega")</f>
        <v>Benjamin Vega</v>
      </c>
      <c r="B5345" s="1" t="str">
        <f>IFERROR(__xludf.DUMMYFUNCTION("""COMPUTED_VALUE"""),"MS")</f>
        <v>MS</v>
      </c>
    </row>
    <row r="5346" ht="15.75" customHeight="1">
      <c r="A5346" s="1" t="str">
        <f>IFERROR(__xludf.DUMMYFUNCTION("""COMPUTED_VALUE"""),"Daniel Vega")</f>
        <v>Daniel Vega</v>
      </c>
      <c r="B5346" s="1" t="str">
        <f>IFERROR(__xludf.DUMMYFUNCTION("""COMPUTED_VALUE"""),"MS")</f>
        <v>MS</v>
      </c>
    </row>
    <row r="5347" ht="15.75" customHeight="1">
      <c r="A5347" s="1" t="str">
        <f>IFERROR(__xludf.DUMMYFUNCTION("""COMPUTED_VALUE"""),"Elisea Benion")</f>
        <v>Elisea Benion</v>
      </c>
      <c r="B5347" s="1" t="str">
        <f>IFERROR(__xludf.DUMMYFUNCTION("""COMPUTED_VALUE"""),"MS")</f>
        <v>MS</v>
      </c>
    </row>
    <row r="5348" ht="15.75" customHeight="1">
      <c r="A5348" s="1" t="str">
        <f>IFERROR(__xludf.DUMMYFUNCTION("""COMPUTED_VALUE"""),"Emiya Benion")</f>
        <v>Emiya Benion</v>
      </c>
      <c r="B5348" s="1" t="str">
        <f>IFERROR(__xludf.DUMMYFUNCTION("""COMPUTED_VALUE"""),"L2")</f>
        <v>L2</v>
      </c>
    </row>
    <row r="5349" ht="15.75" customHeight="1">
      <c r="A5349" s="1" t="str">
        <f>IFERROR(__xludf.DUMMYFUNCTION("""COMPUTED_VALUE"""),"Camryn Brenner")</f>
        <v>Camryn Brenner</v>
      </c>
      <c r="B5349" s="1" t="str">
        <f>IFERROR(__xludf.DUMMYFUNCTION("""COMPUTED_VALUE"""),"MS")</f>
        <v>MS</v>
      </c>
    </row>
    <row r="5350" ht="15.75" customHeight="1">
      <c r="A5350" s="1" t="str">
        <f>IFERROR(__xludf.DUMMYFUNCTION("""COMPUTED_VALUE"""),"Trev Brenner")</f>
        <v>Trev Brenner</v>
      </c>
      <c r="B5350" s="1" t="str">
        <f>IFERROR(__xludf.DUMMYFUNCTION("""COMPUTED_VALUE"""),"L2")</f>
        <v>L2</v>
      </c>
    </row>
    <row r="5351" ht="15.75" customHeight="1">
      <c r="A5351" s="1" t="str">
        <f>IFERROR(__xludf.DUMMYFUNCTION("""COMPUTED_VALUE"""),"SessionTuitionStudent _test_")</f>
        <v>SessionTuitionStudent _test_</v>
      </c>
      <c r="B5351" s="1" t="str">
        <f>IFERROR(__xludf.DUMMYFUNCTION("""COMPUTED_VALUE"""),"WL")</f>
        <v>WL</v>
      </c>
    </row>
    <row r="5352" ht="15.75" customHeight="1">
      <c r="A5352" s="1" t="str">
        <f>IFERROR(__xludf.DUMMYFUNCTION("""COMPUTED_VALUE"""),"TuitionGroupStudent _test_")</f>
        <v>TuitionGroupStudent _test_</v>
      </c>
      <c r="B5352" s="1" t="str">
        <f>IFERROR(__xludf.DUMMYFUNCTION("""COMPUTED_VALUE"""),"WL")</f>
        <v>WL</v>
      </c>
    </row>
    <row r="5353" ht="15.75" customHeight="1">
      <c r="A5353" s="1" t="str">
        <f>IFERROR(__xludf.DUMMYFUNCTION("""COMPUTED_VALUE"""),"FromsStudent _test_")</f>
        <v>FromsStudent _test_</v>
      </c>
      <c r="B5353" s="1" t="str">
        <f>IFERROR(__xludf.DUMMYFUNCTION("""COMPUTED_VALUE"""),"WL")</f>
        <v>WL</v>
      </c>
    </row>
    <row r="5354" ht="15.75" customHeight="1">
      <c r="A5354" s="1" t="str">
        <f>IFERROR(__xludf.DUMMYFUNCTION("""COMPUTED_VALUE"""),"Test 14 _test_")</f>
        <v>Test 14 _test_</v>
      </c>
      <c r="B5354" s="1" t="str">
        <f>IFERROR(__xludf.DUMMYFUNCTION("""COMPUTED_VALUE"""),"WL")</f>
        <v>WL</v>
      </c>
    </row>
    <row r="5355" ht="15.75" customHeight="1">
      <c r="A5355" s="1" t="str">
        <f>IFERROR(__xludf.DUMMYFUNCTION("""COMPUTED_VALUE"""),"Gautam c1_test_ _test_")</f>
        <v>Gautam c1_test_ _test_</v>
      </c>
      <c r="B5355" s="1" t="str">
        <f>IFERROR(__xludf.DUMMYFUNCTION("""COMPUTED_VALUE"""),"MS")</f>
        <v>MS</v>
      </c>
    </row>
    <row r="5356" ht="15.75" customHeight="1">
      <c r="A5356" s="1" t="str">
        <f>IFERROR(__xludf.DUMMYFUNCTION("""COMPUTED_VALUE"""),"Gautam Child 2 _test_")</f>
        <v>Gautam Child 2 _test_</v>
      </c>
      <c r="B5356" s="1" t="str">
        <f>IFERROR(__xludf.DUMMYFUNCTION("""COMPUTED_VALUE"""),"L1")</f>
        <v>L1</v>
      </c>
    </row>
    <row r="5357" ht="15.75" customHeight="1">
      <c r="A5357" s="1" t="str">
        <f>IFERROR(__xludf.DUMMYFUNCTION("""COMPUTED_VALUE"""),"Gautam Child 3 _test_")</f>
        <v>Gautam Child 3 _test_</v>
      </c>
      <c r="B5357" s="1" t="str">
        <f>IFERROR(__xludf.DUMMYFUNCTION("""COMPUTED_VALUE"""),"MS")</f>
        <v>MS</v>
      </c>
    </row>
    <row r="5358" ht="15.75" customHeight="1">
      <c r="A5358" s="1" t="str">
        <f>IFERROR(__xludf.DUMMYFUNCTION("""COMPUTED_VALUE"""),"Gautam Child 14 _test_")</f>
        <v>Gautam Child 14 _test_</v>
      </c>
      <c r="B5358" s="1" t="str">
        <f>IFERROR(__xludf.DUMMYFUNCTION("""COMPUTED_VALUE"""),"MS")</f>
        <v>MS</v>
      </c>
    </row>
    <row r="5359" ht="15.75" customHeight="1">
      <c r="A5359" s="1" t="str">
        <f>IFERROR(__xludf.DUMMYFUNCTION("""COMPUTED_VALUE"""),"Gautam Child 15 _test_")</f>
        <v>Gautam Child 15 _test_</v>
      </c>
      <c r="B5359" s="1" t="str">
        <f>IFERROR(__xludf.DUMMYFUNCTION("""COMPUTED_VALUE"""),"MS")</f>
        <v>MS</v>
      </c>
    </row>
    <row r="5360" ht="15.75" customHeight="1">
      <c r="A5360" s="1" t="str">
        <f>IFERROR(__xludf.DUMMYFUNCTION("""COMPUTED_VALUE"""),"Gautam Child 16 _test_")</f>
        <v>Gautam Child 16 _test_</v>
      </c>
      <c r="B5360" s="1" t="str">
        <f>IFERROR(__xludf.DUMMYFUNCTION("""COMPUTED_VALUE"""),"MS")</f>
        <v>MS</v>
      </c>
    </row>
    <row r="5361" ht="15.75" customHeight="1">
      <c r="A5361" s="1" t="str">
        <f>IFERROR(__xludf.DUMMYFUNCTION("""COMPUTED_VALUE"""),"Student Test")</f>
        <v>Student Test</v>
      </c>
      <c r="B5361" s="1" t="str">
        <f>IFERROR(__xludf.DUMMYFUNCTION("""COMPUTED_VALUE"""),"L1")</f>
        <v>L1</v>
      </c>
    </row>
    <row r="5362" ht="15.75" customHeight="1">
      <c r="A5362" s="1" t="str">
        <f>IFERROR(__xludf.DUMMYFUNCTION("""COMPUTED_VALUE"""),"DealStudent _test_")</f>
        <v>DealStudent _test_</v>
      </c>
      <c r="B5362" s="1" t="str">
        <f>IFERROR(__xludf.DUMMYFUNCTION("""COMPUTED_VALUE"""),"HS")</f>
        <v>HS</v>
      </c>
    </row>
    <row r="5363" ht="15.75" customHeight="1">
      <c r="A5363" s="1" t="str">
        <f>IFERROR(__xludf.DUMMYFUNCTION("""COMPUTED_VALUE"""),"E2EStudent _test_")</f>
        <v>E2EStudent _test_</v>
      </c>
      <c r="B5363" s="1" t="str">
        <f>IFERROR(__xludf.DUMMYFUNCTION("""COMPUTED_VALUE"""),"HS")</f>
        <v>HS</v>
      </c>
    </row>
    <row r="5364" ht="15.75" customHeight="1">
      <c r="A5364" s="1" t="str">
        <f>IFERROR(__xludf.DUMMYFUNCTION("""COMPUTED_VALUE"""),"Francesca Jonesyoung")</f>
        <v>Francesca Jonesyoung</v>
      </c>
      <c r="B5364" s="1" t="str">
        <f>IFERROR(__xludf.DUMMYFUNCTION("""COMPUTED_VALUE"""),"WL")</f>
        <v>WL</v>
      </c>
    </row>
    <row r="5365" ht="15.75" customHeight="1">
      <c r="A5365" s="1" t="str">
        <f>IFERROR(__xludf.DUMMYFUNCTION("""COMPUTED_VALUE"""),"Aria Lal")</f>
        <v>Aria Lal</v>
      </c>
      <c r="B5365" s="1" t="str">
        <f>IFERROR(__xludf.DUMMYFUNCTION("""COMPUTED_VALUE"""),"L2")</f>
        <v>L2</v>
      </c>
    </row>
    <row r="5366" ht="15.75" customHeight="1">
      <c r="A5366" s="1" t="str">
        <f>IFERROR(__xludf.DUMMYFUNCTION("""COMPUTED_VALUE"""),"Viaan Lal")</f>
        <v>Viaan Lal</v>
      </c>
      <c r="B5366" s="1" t="str">
        <f>IFERROR(__xludf.DUMMYFUNCTION("""COMPUTED_VALUE"""),"L2")</f>
        <v>L2</v>
      </c>
    </row>
    <row r="5367" ht="15.75" customHeight="1">
      <c r="A5367" s="1" t="str">
        <f>IFERROR(__xludf.DUMMYFUNCTION("""COMPUTED_VALUE"""),"Zoë Murphy")</f>
        <v>Zoë Murphy</v>
      </c>
      <c r="B5367" s="1" t="str">
        <f>IFERROR(__xludf.DUMMYFUNCTION("""COMPUTED_VALUE"""),"WL")</f>
        <v>WL</v>
      </c>
    </row>
    <row r="5368" ht="15.75" customHeight="1">
      <c r="A5368" s="1" t="str">
        <f>IFERROR(__xludf.DUMMYFUNCTION("""COMPUTED_VALUE"""),"Liam Bryan")</f>
        <v>Liam Bryan</v>
      </c>
      <c r="B5368" s="1" t="str">
        <f>IFERROR(__xludf.DUMMYFUNCTION("""COMPUTED_VALUE"""),"WL")</f>
        <v>WL</v>
      </c>
    </row>
    <row r="5369" ht="15.75" customHeight="1">
      <c r="A5369" s="1" t="str">
        <f>IFERROR(__xludf.DUMMYFUNCTION("""COMPUTED_VALUE"""),"Sofia Stone")</f>
        <v>Sofia Stone</v>
      </c>
      <c r="B5369" s="1" t="str">
        <f>IFERROR(__xludf.DUMMYFUNCTION("""COMPUTED_VALUE"""),"L1")</f>
        <v>L1</v>
      </c>
    </row>
    <row r="5370" ht="15.75" customHeight="1">
      <c r="A5370" s="1" t="str">
        <f>IFERROR(__xludf.DUMMYFUNCTION("""COMPUTED_VALUE"""),"Max Stone")</f>
        <v>Max Stone</v>
      </c>
      <c r="B5370" s="1" t="str">
        <f>IFERROR(__xludf.DUMMYFUNCTION("""COMPUTED_VALUE"""),"LL")</f>
        <v>LL</v>
      </c>
    </row>
    <row r="5371" ht="15.75" customHeight="1">
      <c r="A5371" s="1" t="str">
        <f>IFERROR(__xludf.DUMMYFUNCTION("""COMPUTED_VALUE"""),"Luke Tongco")</f>
        <v>Luke Tongco</v>
      </c>
      <c r="B5371" s="1" t="str">
        <f>IFERROR(__xludf.DUMMYFUNCTION("""COMPUTED_VALUE"""),"LL")</f>
        <v>LL</v>
      </c>
    </row>
    <row r="5372" ht="15.75" customHeight="1">
      <c r="A5372" s="1" t="str">
        <f>IFERROR(__xludf.DUMMYFUNCTION("""COMPUTED_VALUE"""),"Veera Cheruvu")</f>
        <v>Veera Cheruvu</v>
      </c>
      <c r="B5372" s="1" t="str">
        <f>IFERROR(__xludf.DUMMYFUNCTION("""COMPUTED_VALUE"""),"LL")</f>
        <v>LL</v>
      </c>
    </row>
    <row r="5373" ht="15.75" customHeight="1">
      <c r="A5373" s="1" t="str">
        <f>IFERROR(__xludf.DUMMYFUNCTION("""COMPUTED_VALUE"""),"Oakley O'Riordan")</f>
        <v>Oakley O'Riordan</v>
      </c>
      <c r="B5373" s="1" t="str">
        <f>IFERROR(__xludf.DUMMYFUNCTION("""COMPUTED_VALUE"""),"L1")</f>
        <v>L1</v>
      </c>
    </row>
    <row r="5374" ht="15.75" customHeight="1">
      <c r="A5374" s="1" t="str">
        <f>IFERROR(__xludf.DUMMYFUNCTION("""COMPUTED_VALUE"""),"Zidan Millette")</f>
        <v>Zidan Millette</v>
      </c>
      <c r="B5374" s="1" t="str">
        <f>IFERROR(__xludf.DUMMYFUNCTION("""COMPUTED_VALUE"""),"L2")</f>
        <v>L2</v>
      </c>
    </row>
    <row r="5375" ht="15.75" customHeight="1">
      <c r="A5375" s="1" t="str">
        <f>IFERROR(__xludf.DUMMYFUNCTION("""COMPUTED_VALUE"""),"Tina Simoes Lopes")</f>
        <v>Tina Simoes Lopes</v>
      </c>
      <c r="B5375" s="1" t="str">
        <f>IFERROR(__xludf.DUMMYFUNCTION("""COMPUTED_VALUE"""),"L2")</f>
        <v>L2</v>
      </c>
    </row>
    <row r="5376" ht="15.75" customHeight="1">
      <c r="A5376" s="1" t="str">
        <f>IFERROR(__xludf.DUMMYFUNCTION("""COMPUTED_VALUE"""),"Zion Nguyen")</f>
        <v>Zion Nguyen</v>
      </c>
      <c r="B5376" s="1" t="str">
        <f>IFERROR(__xludf.DUMMYFUNCTION("""COMPUTED_VALUE"""),"LL")</f>
        <v>LL</v>
      </c>
    </row>
    <row r="5377" ht="15.75" customHeight="1">
      <c r="A5377" s="1" t="str">
        <f>IFERROR(__xludf.DUMMYFUNCTION("""COMPUTED_VALUE"""),"Hayes Zimmerebner")</f>
        <v>Hayes Zimmerebner</v>
      </c>
      <c r="B5377" s="1" t="str">
        <f>IFERROR(__xludf.DUMMYFUNCTION("""COMPUTED_VALUE"""),"LL")</f>
        <v>LL</v>
      </c>
    </row>
    <row r="5378" ht="15.75" customHeight="1">
      <c r="A5378" s="1" t="str">
        <f>IFERROR(__xludf.DUMMYFUNCTION("""COMPUTED_VALUE"""),"James Gibson")</f>
        <v>James Gibson</v>
      </c>
      <c r="B5378" s="1" t="str">
        <f>IFERROR(__xludf.DUMMYFUNCTION("""COMPUTED_VALUE"""),"L2")</f>
        <v>L2</v>
      </c>
    </row>
    <row r="5379" ht="15.75" customHeight="1">
      <c r="A5379" s="1" t="str">
        <f>IFERROR(__xludf.DUMMYFUNCTION("""COMPUTED_VALUE"""),"Vyne Bagley")</f>
        <v>Vyne Bagley</v>
      </c>
      <c r="B5379" s="1" t="str">
        <f>IFERROR(__xludf.DUMMYFUNCTION("""COMPUTED_VALUE"""),"L1")</f>
        <v>L1</v>
      </c>
    </row>
    <row r="5380" ht="15.75" customHeight="1">
      <c r="A5380" s="1" t="str">
        <f>IFERROR(__xludf.DUMMYFUNCTION("""COMPUTED_VALUE"""),"Hayden Pogue")</f>
        <v>Hayden Pogue</v>
      </c>
      <c r="B5380" s="1" t="str">
        <f>IFERROR(__xludf.DUMMYFUNCTION("""COMPUTED_VALUE"""),"L1")</f>
        <v>L1</v>
      </c>
    </row>
    <row r="5381" ht="15.75" customHeight="1">
      <c r="A5381" s="1" t="str">
        <f>IFERROR(__xludf.DUMMYFUNCTION("""COMPUTED_VALUE"""),"Charlotte Pogue")</f>
        <v>Charlotte Pogue</v>
      </c>
      <c r="B5381" s="1" t="str">
        <f>IFERROR(__xludf.DUMMYFUNCTION("""COMPUTED_VALUE"""),"LL")</f>
        <v>LL</v>
      </c>
    </row>
    <row r="5382" ht="15.75" customHeight="1">
      <c r="A5382" s="1" t="str">
        <f>IFERROR(__xludf.DUMMYFUNCTION("""COMPUTED_VALUE"""),"Gautam child 20 _test")</f>
        <v>Gautam child 20 _test</v>
      </c>
      <c r="B5382" s="1" t="str">
        <f>IFERROR(__xludf.DUMMYFUNCTION("""COMPUTED_VALUE"""),"LL")</f>
        <v>LL</v>
      </c>
    </row>
    <row r="5383" ht="15.75" customHeight="1">
      <c r="A5383" s="1" t="str">
        <f>IFERROR(__xludf.DUMMYFUNCTION("""COMPUTED_VALUE"""),"Gautam child 22 _test")</f>
        <v>Gautam child 22 _test</v>
      </c>
      <c r="B5383" s="1" t="str">
        <f>IFERROR(__xludf.DUMMYFUNCTION("""COMPUTED_VALUE"""),"LL")</f>
        <v>LL</v>
      </c>
    </row>
    <row r="5384" ht="15.75" customHeight="1">
      <c r="A5384" s="1" t="str">
        <f>IFERROR(__xludf.DUMMYFUNCTION("""COMPUTED_VALUE"""),"Holden Patrick")</f>
        <v>Holden Patrick</v>
      </c>
      <c r="B5384" s="1" t="str">
        <f>IFERROR(__xludf.DUMMYFUNCTION("""COMPUTED_VALUE"""),"LL")</f>
        <v>LL</v>
      </c>
    </row>
    <row r="5385" ht="15.75" customHeight="1">
      <c r="A5385" s="1" t="str">
        <f>IFERROR(__xludf.DUMMYFUNCTION("""COMPUTED_VALUE"""),"Ariella Sadowsky")</f>
        <v>Ariella Sadowsky</v>
      </c>
      <c r="B5385" s="1" t="str">
        <f>IFERROR(__xludf.DUMMYFUNCTION("""COMPUTED_VALUE"""),"L2")</f>
        <v>L2</v>
      </c>
    </row>
    <row r="5386" ht="15.75" customHeight="1">
      <c r="A5386" s="1" t="str">
        <f>IFERROR(__xludf.DUMMYFUNCTION("""COMPUTED_VALUE"""),"Ronin Stanton")</f>
        <v>Ronin Stanton</v>
      </c>
      <c r="B5386" s="1" t="str">
        <f>IFERROR(__xludf.DUMMYFUNCTION("""COMPUTED_VALUE"""),"LL")</f>
        <v>LL</v>
      </c>
    </row>
    <row r="5387" ht="15.75" customHeight="1">
      <c r="A5387" s="1" t="str">
        <f>IFERROR(__xludf.DUMMYFUNCTION("""COMPUTED_VALUE"""),"Livia Perel")</f>
        <v>Livia Perel</v>
      </c>
      <c r="B5387" s="1" t="str">
        <f>IFERROR(__xludf.DUMMYFUNCTION("""COMPUTED_VALUE"""),"MS")</f>
        <v>MS</v>
      </c>
    </row>
    <row r="5388" ht="15.75" customHeight="1">
      <c r="A5388" s="1" t="str">
        <f>IFERROR(__xludf.DUMMYFUNCTION("""COMPUTED_VALUE"""),"Vladimir _test_BakaevPlano_applied")</f>
        <v>Vladimir _test_BakaevPlano_applied</v>
      </c>
      <c r="B5388" s="1" t="str">
        <f>IFERROR(__xludf.DUMMYFUNCTION("""COMPUTED_VALUE"""),"L2")</f>
        <v>L2</v>
      </c>
    </row>
    <row r="5389" ht="15.75" customHeight="1">
      <c r="A5389" s="1" t="str">
        <f>IFERROR(__xludf.DUMMYFUNCTION("""COMPUTED_VALUE"""),"Vladimir _test_BakaevPlano_enrolled")</f>
        <v>Vladimir _test_BakaevPlano_enrolled</v>
      </c>
      <c r="B5389" s="1" t="str">
        <f>IFERROR(__xludf.DUMMYFUNCTION("""COMPUTED_VALUE"""),"L2")</f>
        <v>L2</v>
      </c>
    </row>
    <row r="5390" ht="15.75" customHeight="1">
      <c r="A5390" s="1" t="str">
        <f>IFERROR(__xludf.DUMMYFUNCTION("""COMPUTED_VALUE"""),"Founding Student _test_")</f>
        <v>Founding Student _test_</v>
      </c>
      <c r="B5390" s="1" t="str">
        <f>IFERROR(__xludf.DUMMYFUNCTION("""COMPUTED_VALUE"""),"L2")</f>
        <v>L2</v>
      </c>
    </row>
    <row r="5391" ht="15.75" customHeight="1">
      <c r="A5391" s="1" t="str">
        <f>IFERROR(__xludf.DUMMYFUNCTION("""COMPUTED_VALUE"""),"Applied Student _test_")</f>
        <v>Applied Student _test_</v>
      </c>
      <c r="B5391" s="1" t="str">
        <f>IFERROR(__xludf.DUMMYFUNCTION("""COMPUTED_VALUE"""),"LL")</f>
        <v>LL</v>
      </c>
    </row>
    <row r="5392" ht="15.75" customHeight="1">
      <c r="A5392" s="1" t="str">
        <f>IFERROR(__xludf.DUMMYFUNCTION("""COMPUTED_VALUE"""),"Nayel Bajwa")</f>
        <v>Nayel Bajwa</v>
      </c>
      <c r="B5392" s="1" t="str">
        <f>IFERROR(__xludf.DUMMYFUNCTION("""COMPUTED_VALUE"""),"LL")</f>
        <v>LL</v>
      </c>
    </row>
    <row r="5393" ht="15.75" customHeight="1">
      <c r="A5393" s="1" t="str">
        <f>IFERROR(__xludf.DUMMYFUNCTION("""COMPUTED_VALUE"""),"Labubu _test_")</f>
        <v>Labubu _test_</v>
      </c>
      <c r="B5393" s="1" t="str">
        <f>IFERROR(__xludf.DUMMYFUNCTION("""COMPUTED_VALUE"""),"LL")</f>
        <v>LL</v>
      </c>
    </row>
    <row r="5394" ht="15.75" customHeight="1">
      <c r="A5394" s="1" t="str">
        <f>IFERROR(__xludf.DUMMYFUNCTION("""COMPUTED_VALUE"""),"Stem _test_")</f>
        <v>Stem _test_</v>
      </c>
      <c r="B5394" s="1" t="str">
        <f>IFERROR(__xludf.DUMMYFUNCTION("""COMPUTED_VALUE"""),"LL")</f>
        <v>LL</v>
      </c>
    </row>
    <row r="5395" ht="15.75" customHeight="1">
      <c r="A5395" s="1" t="str">
        <f>IFERROR(__xludf.DUMMYFUNCTION("""COMPUTED_VALUE"""),"Elizabeth Wilkes")</f>
        <v>Elizabeth Wilkes</v>
      </c>
      <c r="B5395" s="1" t="str">
        <f>IFERROR(__xludf.DUMMYFUNCTION("""COMPUTED_VALUE"""),"L1")</f>
        <v>L1</v>
      </c>
    </row>
    <row r="5396" ht="15.75" customHeight="1">
      <c r="A5396" s="1" t="str">
        <f>IFERROR(__xludf.DUMMYFUNCTION("""COMPUTED_VALUE"""),"Oliver Keeler")</f>
        <v>Oliver Keeler</v>
      </c>
      <c r="B5396" s="1" t="str">
        <f>IFERROR(__xludf.DUMMYFUNCTION("""COMPUTED_VALUE"""),"L1")</f>
        <v>L1</v>
      </c>
    </row>
    <row r="5397" ht="15.75" customHeight="1">
      <c r="A5397" s="1" t="str">
        <f>IFERROR(__xludf.DUMMYFUNCTION("""COMPUTED_VALUE"""),"William Keeler")</f>
        <v>William Keeler</v>
      </c>
      <c r="B5397" s="1" t="str">
        <f>IFERROR(__xludf.DUMMYFUNCTION("""COMPUTED_VALUE"""),"LL")</f>
        <v>LL</v>
      </c>
    </row>
    <row r="5398" ht="15.75" customHeight="1">
      <c r="A5398" s="1" t="str">
        <f>IFERROR(__xludf.DUMMYFUNCTION("""COMPUTED_VALUE"""),"Lucia Quimby")</f>
        <v>Lucia Quimby</v>
      </c>
      <c r="B5398" s="1" t="str">
        <f>IFERROR(__xludf.DUMMYFUNCTION("""COMPUTED_VALUE"""),"LL")</f>
        <v>LL</v>
      </c>
    </row>
    <row r="5399" ht="15.75" customHeight="1">
      <c r="A5399" s="1" t="str">
        <f>IFERROR(__xludf.DUMMYFUNCTION("""COMPUTED_VALUE"""),"Michael Tan")</f>
        <v>Michael Tan</v>
      </c>
      <c r="B5399" s="1" t="str">
        <f>IFERROR(__xludf.DUMMYFUNCTION("""COMPUTED_VALUE"""),"L1")</f>
        <v>L1</v>
      </c>
    </row>
    <row r="5400" ht="15.75" customHeight="1">
      <c r="A5400" s="1" t="str">
        <f>IFERROR(__xludf.DUMMYFUNCTION("""COMPUTED_VALUE"""),"Winston Khodara")</f>
        <v>Winston Khodara</v>
      </c>
      <c r="B5400" s="1" t="str">
        <f>IFERROR(__xludf.DUMMYFUNCTION("""COMPUTED_VALUE"""),"L1")</f>
        <v>L1</v>
      </c>
    </row>
    <row r="5401" ht="15.75" customHeight="1">
      <c r="A5401" s="1" t="str">
        <f>IFERROR(__xludf.DUMMYFUNCTION("""COMPUTED_VALUE"""),"Sophia Nguyen")</f>
        <v>Sophia Nguyen</v>
      </c>
      <c r="B5401" s="1" t="str">
        <f>IFERROR(__xludf.DUMMYFUNCTION("""COMPUTED_VALUE"""),"WL")</f>
        <v>WL</v>
      </c>
    </row>
    <row r="5402" ht="15.75" customHeight="1">
      <c r="A5402" s="1" t="str">
        <f>IFERROR(__xludf.DUMMYFUNCTION("""COMPUTED_VALUE"""),"Sabrina Yang")</f>
        <v>Sabrina Yang</v>
      </c>
      <c r="B5402" s="1" t="str">
        <f>IFERROR(__xludf.DUMMYFUNCTION("""COMPUTED_VALUE"""),"L1")</f>
        <v>L1</v>
      </c>
    </row>
    <row r="5403" ht="15.75" customHeight="1">
      <c r="A5403" s="1" t="str">
        <f>IFERROR(__xludf.DUMMYFUNCTION("""COMPUTED_VALUE"""),"Sophie Yang")</f>
        <v>Sophie Yang</v>
      </c>
      <c r="B5403" s="1" t="str">
        <f>IFERROR(__xludf.DUMMYFUNCTION("""COMPUTED_VALUE"""),"LL")</f>
        <v>LL</v>
      </c>
    </row>
    <row r="5404" ht="15.75" customHeight="1">
      <c r="A5404" s="1" t="str">
        <f>IFERROR(__xludf.DUMMYFUNCTION("""COMPUTED_VALUE"""),"Marc Tan")</f>
        <v>Marc Tan</v>
      </c>
      <c r="B5404" s="1" t="str">
        <f>IFERROR(__xludf.DUMMYFUNCTION("""COMPUTED_VALUE"""),"L2")</f>
        <v>L2</v>
      </c>
    </row>
    <row r="5405" ht="15.75" customHeight="1">
      <c r="A5405" s="1" t="str">
        <f>IFERROR(__xludf.DUMMYFUNCTION("""COMPUTED_VALUE"""),"Audrey Tan")</f>
        <v>Audrey Tan</v>
      </c>
      <c r="B5405" s="1" t="str">
        <f>IFERROR(__xludf.DUMMYFUNCTION("""COMPUTED_VALUE"""),"L2")</f>
        <v>L2</v>
      </c>
    </row>
    <row r="5406" ht="15.75" customHeight="1">
      <c r="A5406" s="1" t="str">
        <f>IFERROR(__xludf.DUMMYFUNCTION("""COMPUTED_VALUE"""),"Ziye Zhang")</f>
        <v>Ziye Zhang</v>
      </c>
      <c r="B5406" s="1" t="str">
        <f>IFERROR(__xludf.DUMMYFUNCTION("""COMPUTED_VALUE"""),"L1")</f>
        <v>L1</v>
      </c>
    </row>
    <row r="5407" ht="15.75" customHeight="1">
      <c r="A5407" s="1" t="str">
        <f>IFERROR(__xludf.DUMMYFUNCTION("""COMPUTED_VALUE"""),"Zhongxi Li")</f>
        <v>Zhongxi Li</v>
      </c>
      <c r="B5407" s="1" t="str">
        <f>IFERROR(__xludf.DUMMYFUNCTION("""COMPUTED_VALUE"""),"LL")</f>
        <v>LL</v>
      </c>
    </row>
    <row r="5408" ht="15.75" customHeight="1">
      <c r="A5408" s="1" t="str">
        <f>IFERROR(__xludf.DUMMYFUNCTION("""COMPUTED_VALUE"""),"Arthur Przybyl")</f>
        <v>Arthur Przybyl</v>
      </c>
      <c r="B5408" s="1" t="str">
        <f>IFERROR(__xludf.DUMMYFUNCTION("""COMPUTED_VALUE"""),"L1")</f>
        <v>L1</v>
      </c>
    </row>
    <row r="5409" ht="15.75" customHeight="1">
      <c r="A5409" s="1" t="str">
        <f>IFERROR(__xludf.DUMMYFUNCTION("""COMPUTED_VALUE"""),"Macy Xie")</f>
        <v>Macy Xie</v>
      </c>
      <c r="B5409" s="1" t="str">
        <f>IFERROR(__xludf.DUMMYFUNCTION("""COMPUTED_VALUE"""),"L1")</f>
        <v>L1</v>
      </c>
    </row>
    <row r="5410" ht="15.75" customHeight="1">
      <c r="A5410" s="1" t="str">
        <f>IFERROR(__xludf.DUMMYFUNCTION("""COMPUTED_VALUE"""),"Olivia Wojtowicz")</f>
        <v>Olivia Wojtowicz</v>
      </c>
      <c r="B5410" s="1" t="str">
        <f>IFERROR(__xludf.DUMMYFUNCTION("""COMPUTED_VALUE"""),"L1")</f>
        <v>L1</v>
      </c>
    </row>
    <row r="5411" ht="15.75" customHeight="1">
      <c r="A5411" s="1" t="str">
        <f>IFERROR(__xludf.DUMMYFUNCTION("""COMPUTED_VALUE"""),"Aurelia Knight")</f>
        <v>Aurelia Knight</v>
      </c>
      <c r="B5411" s="1" t="str">
        <f>IFERROR(__xludf.DUMMYFUNCTION("""COMPUTED_VALUE"""),"L1")</f>
        <v>L1</v>
      </c>
    </row>
    <row r="5412" ht="15.75" customHeight="1">
      <c r="A5412" s="1" t="str">
        <f>IFERROR(__xludf.DUMMYFUNCTION("""COMPUTED_VALUE"""),"Hudson Knight")</f>
        <v>Hudson Knight</v>
      </c>
      <c r="B5412" s="1" t="str">
        <f>IFERROR(__xludf.DUMMYFUNCTION("""COMPUTED_VALUE"""),"LL")</f>
        <v>LL</v>
      </c>
    </row>
    <row r="5413" ht="15.75" customHeight="1">
      <c r="A5413" s="1" t="str">
        <f>IFERROR(__xludf.DUMMYFUNCTION("""COMPUTED_VALUE"""),"Bijan Yamoutpour")</f>
        <v>Bijan Yamoutpour</v>
      </c>
      <c r="B5413" s="1" t="str">
        <f>IFERROR(__xludf.DUMMYFUNCTION("""COMPUTED_VALUE"""),"L1")</f>
        <v>L1</v>
      </c>
    </row>
    <row r="5414" ht="15.75" customHeight="1">
      <c r="A5414" s="1" t="str">
        <f>IFERROR(__xludf.DUMMYFUNCTION("""COMPUTED_VALUE"""),"Amelia Jacunski")</f>
        <v>Amelia Jacunski</v>
      </c>
      <c r="B5414" s="1" t="str">
        <f>IFERROR(__xludf.DUMMYFUNCTION("""COMPUTED_VALUE"""),"LL")</f>
        <v>LL</v>
      </c>
    </row>
    <row r="5415" ht="15.75" customHeight="1">
      <c r="A5415" s="1" t="str">
        <f>IFERROR(__xludf.DUMMYFUNCTION("""COMPUTED_VALUE"""),"Colin Chinnock")</f>
        <v>Colin Chinnock</v>
      </c>
      <c r="B5415" s="1" t="str">
        <f>IFERROR(__xludf.DUMMYFUNCTION("""COMPUTED_VALUE"""),"L2")</f>
        <v>L2</v>
      </c>
    </row>
    <row r="5416" ht="15.75" customHeight="1">
      <c r="A5416" s="1" t="str">
        <f>IFERROR(__xludf.DUMMYFUNCTION("""COMPUTED_VALUE"""),"Mia Baklanova")</f>
        <v>Mia Baklanova</v>
      </c>
      <c r="B5416" s="1" t="str">
        <f>IFERROR(__xludf.DUMMYFUNCTION("""COMPUTED_VALUE"""),"LL")</f>
        <v>LL</v>
      </c>
    </row>
    <row r="5417" ht="15.75" customHeight="1">
      <c r="A5417" s="1" t="str">
        <f>IFERROR(__xludf.DUMMYFUNCTION("""COMPUTED_VALUE"""),"William Messenger")</f>
        <v>William Messenger</v>
      </c>
      <c r="B5417" s="1" t="str">
        <f>IFERROR(__xludf.DUMMYFUNCTION("""COMPUTED_VALUE"""),"LL")</f>
        <v>LL</v>
      </c>
    </row>
    <row r="5418" ht="15.75" customHeight="1">
      <c r="A5418" s="1" t="str">
        <f>IFERROR(__xludf.DUMMYFUNCTION("""COMPUTED_VALUE"""),"Lulu Creelman")</f>
        <v>Lulu Creelman</v>
      </c>
      <c r="B5418" s="1" t="str">
        <f>IFERROR(__xludf.DUMMYFUNCTION("""COMPUTED_VALUE"""),"L1")</f>
        <v>L1</v>
      </c>
    </row>
    <row r="5419" ht="15.75" customHeight="1">
      <c r="A5419" s="1" t="str">
        <f>IFERROR(__xludf.DUMMYFUNCTION("""COMPUTED_VALUE"""),"Cam Creelman")</f>
        <v>Cam Creelman</v>
      </c>
      <c r="B5419" s="1" t="str">
        <f>IFERROR(__xludf.DUMMYFUNCTION("""COMPUTED_VALUE"""),"L1")</f>
        <v>L1</v>
      </c>
    </row>
    <row r="5420" ht="15.75" customHeight="1">
      <c r="A5420" s="1" t="str">
        <f>IFERROR(__xludf.DUMMYFUNCTION("""COMPUTED_VALUE"""),"Nate Kelly")</f>
        <v>Nate Kelly</v>
      </c>
      <c r="B5420" s="1" t="str">
        <f>IFERROR(__xludf.DUMMYFUNCTION("""COMPUTED_VALUE"""),"L2")</f>
        <v>L2</v>
      </c>
    </row>
    <row r="5421" ht="15.75" customHeight="1">
      <c r="A5421" s="1" t="str">
        <f>IFERROR(__xludf.DUMMYFUNCTION("""COMPUTED_VALUE"""),"Cora Ishaq")</f>
        <v>Cora Ishaq</v>
      </c>
      <c r="B5421" s="1" t="str">
        <f>IFERROR(__xludf.DUMMYFUNCTION("""COMPUTED_VALUE"""),"L1")</f>
        <v>L1</v>
      </c>
    </row>
    <row r="5422" ht="15.75" customHeight="1">
      <c r="A5422" s="1" t="str">
        <f>IFERROR(__xludf.DUMMYFUNCTION("""COMPUTED_VALUE"""),"Emma Baklanova")</f>
        <v>Emma Baklanova</v>
      </c>
      <c r="B5422" s="1" t="str">
        <f>IFERROR(__xludf.DUMMYFUNCTION("""COMPUTED_VALUE"""),"L2")</f>
        <v>L2</v>
      </c>
    </row>
    <row r="5423" ht="15.75" customHeight="1">
      <c r="A5423" s="1" t="str">
        <f>IFERROR(__xludf.DUMMYFUNCTION("""COMPUTED_VALUE"""),"Jase Lekkerkerker")</f>
        <v>Jase Lekkerkerker</v>
      </c>
      <c r="B5423" s="1" t="str">
        <f>IFERROR(__xludf.DUMMYFUNCTION("""COMPUTED_VALUE"""),"L2")</f>
        <v>L2</v>
      </c>
    </row>
    <row r="5424" ht="15.75" customHeight="1">
      <c r="A5424" s="1" t="str">
        <f>IFERROR(__xludf.DUMMYFUNCTION("""COMPUTED_VALUE"""),"Nate Lekkerkerker")</f>
        <v>Nate Lekkerkerker</v>
      </c>
      <c r="B5424" s="1" t="str">
        <f>IFERROR(__xludf.DUMMYFUNCTION("""COMPUTED_VALUE"""),"L2")</f>
        <v>L2</v>
      </c>
    </row>
    <row r="5425" ht="15.75" customHeight="1">
      <c r="A5425" s="1" t="str">
        <f>IFERROR(__xludf.DUMMYFUNCTION("""COMPUTED_VALUE"""),"Andrea Li")</f>
        <v>Andrea Li</v>
      </c>
      <c r="B5425" s="1" t="str">
        <f>IFERROR(__xludf.DUMMYFUNCTION("""COMPUTED_VALUE"""),"L2")</f>
        <v>L2</v>
      </c>
    </row>
    <row r="5426" ht="15.75" customHeight="1">
      <c r="A5426" s="1" t="str">
        <f>IFERROR(__xludf.DUMMYFUNCTION("""COMPUTED_VALUE"""),"Ari Faheem")</f>
        <v>Ari Faheem</v>
      </c>
      <c r="B5426" s="1" t="str">
        <f>IFERROR(__xludf.DUMMYFUNCTION("""COMPUTED_VALUE"""),"L2")</f>
        <v>L2</v>
      </c>
    </row>
    <row r="5427" ht="15.75" customHeight="1">
      <c r="A5427" s="1" t="str">
        <f>IFERROR(__xludf.DUMMYFUNCTION("""COMPUTED_VALUE"""),"Annalise Faheem")</f>
        <v>Annalise Faheem</v>
      </c>
      <c r="B5427" s="1" t="str">
        <f>IFERROR(__xludf.DUMMYFUNCTION("""COMPUTED_VALUE"""),"L1")</f>
        <v>L1</v>
      </c>
    </row>
    <row r="5428" ht="15.75" customHeight="1">
      <c r="A5428" s="1" t="str">
        <f>IFERROR(__xludf.DUMMYFUNCTION("""COMPUTED_VALUE"""),"Jack Featherstone")</f>
        <v>Jack Featherstone</v>
      </c>
      <c r="B5428" s="1" t="str">
        <f>IFERROR(__xludf.DUMMYFUNCTION("""COMPUTED_VALUE"""),"L1")</f>
        <v>L1</v>
      </c>
    </row>
    <row r="5429" ht="15.75" customHeight="1">
      <c r="A5429" s="1" t="str">
        <f>IFERROR(__xludf.DUMMYFUNCTION("""COMPUTED_VALUE"""),"Rêve Stinson")</f>
        <v>Rêve Stinson</v>
      </c>
      <c r="B5429" s="1" t="str">
        <f>IFERROR(__xludf.DUMMYFUNCTION("""COMPUTED_VALUE"""),"L1")</f>
        <v>L1</v>
      </c>
    </row>
    <row r="5430" ht="15.75" customHeight="1">
      <c r="A5430" s="1" t="str">
        <f>IFERROR(__xludf.DUMMYFUNCTION("""COMPUTED_VALUE"""),"Jojo Stinson")</f>
        <v>Jojo Stinson</v>
      </c>
      <c r="B5430" s="1" t="str">
        <f>IFERROR(__xludf.DUMMYFUNCTION("""COMPUTED_VALUE"""),"LL")</f>
        <v>LL</v>
      </c>
    </row>
    <row r="5431" ht="15.75" customHeight="1">
      <c r="A5431" s="1" t="str">
        <f>IFERROR(__xludf.DUMMYFUNCTION("""COMPUTED_VALUE"""),"test student one _test_")</f>
        <v>test student one _test_</v>
      </c>
      <c r="B5431" s="1" t="str">
        <f>IFERROR(__xludf.DUMMYFUNCTION("""COMPUTED_VALUE"""),"WL")</f>
        <v>WL</v>
      </c>
    </row>
    <row r="5432" ht="15.75" customHeight="1">
      <c r="A5432" s="1" t="str">
        <f>IFERROR(__xludf.DUMMYFUNCTION("""COMPUTED_VALUE"""),"Maisyn Davis")</f>
        <v>Maisyn Davis</v>
      </c>
      <c r="B5432" s="1" t="str">
        <f>IFERROR(__xludf.DUMMYFUNCTION("""COMPUTED_VALUE"""),"L1")</f>
        <v>L1</v>
      </c>
    </row>
    <row r="5433" ht="15.75" customHeight="1">
      <c r="A5433" s="1" t="str">
        <f>IFERROR(__xludf.DUMMYFUNCTION("""COMPUTED_VALUE"""),"Hana Wong")</f>
        <v>Hana Wong</v>
      </c>
      <c r="B5433" s="1" t="str">
        <f>IFERROR(__xludf.DUMMYFUNCTION("""COMPUTED_VALUE"""),"L1")</f>
        <v>L1</v>
      </c>
    </row>
    <row r="5434" ht="15.75" customHeight="1">
      <c r="A5434" s="1" t="str">
        <f>IFERROR(__xludf.DUMMYFUNCTION("""COMPUTED_VALUE"""),"Harvey Han")</f>
        <v>Harvey Han</v>
      </c>
      <c r="B5434" s="1" t="str">
        <f>IFERROR(__xludf.DUMMYFUNCTION("""COMPUTED_VALUE"""),"LL")</f>
        <v>LL</v>
      </c>
    </row>
    <row r="5435" ht="15.75" customHeight="1">
      <c r="A5435" s="1" t="str">
        <f>IFERROR(__xludf.DUMMYFUNCTION("""COMPUTED_VALUE"""),"Luca Bongiovanni")</f>
        <v>Luca Bongiovanni</v>
      </c>
      <c r="B5435" s="1" t="str">
        <f>IFERROR(__xludf.DUMMYFUNCTION("""COMPUTED_VALUE"""),"WL")</f>
        <v>WL</v>
      </c>
    </row>
    <row r="5436" ht="15.75" customHeight="1">
      <c r="A5436" s="1" t="str">
        <f>IFERROR(__xludf.DUMMYFUNCTION("""COMPUTED_VALUE"""),"Caleb Chang")</f>
        <v>Caleb Chang</v>
      </c>
      <c r="B5436" s="1" t="str">
        <f>IFERROR(__xludf.DUMMYFUNCTION("""COMPUTED_VALUE"""),"LL")</f>
        <v>LL</v>
      </c>
    </row>
    <row r="5437" ht="15.75" customHeight="1">
      <c r="A5437" s="1" t="str">
        <f>IFERROR(__xludf.DUMMYFUNCTION("""COMPUTED_VALUE"""),"Daelos Navarro")</f>
        <v>Daelos Navarro</v>
      </c>
      <c r="B5437" s="1" t="str">
        <f>IFERROR(__xludf.DUMMYFUNCTION("""COMPUTED_VALUE"""),"WL")</f>
        <v>WL</v>
      </c>
    </row>
    <row r="5438" ht="15.75" customHeight="1">
      <c r="A5438" s="1" t="str">
        <f>IFERROR(__xludf.DUMMYFUNCTION("""COMPUTED_VALUE"""),"Graham Gattegno")</f>
        <v>Graham Gattegno</v>
      </c>
      <c r="B5438" s="1" t="str">
        <f>IFERROR(__xludf.DUMMYFUNCTION("""COMPUTED_VALUE"""),"L1")</f>
        <v>L1</v>
      </c>
    </row>
    <row r="5439" ht="15.75" customHeight="1">
      <c r="A5439" s="1" t="str">
        <f>IFERROR(__xludf.DUMMYFUNCTION("""COMPUTED_VALUE"""),"Winter Neu")</f>
        <v>Winter Neu</v>
      </c>
      <c r="B5439" s="1" t="str">
        <f>IFERROR(__xludf.DUMMYFUNCTION("""COMPUTED_VALUE"""),"L1")</f>
        <v>L1</v>
      </c>
    </row>
    <row r="5440" ht="15.75" customHeight="1">
      <c r="A5440" s="1" t="str">
        <f>IFERROR(__xludf.DUMMYFUNCTION("""COMPUTED_VALUE"""),"Legend Tyler")</f>
        <v>Legend Tyler</v>
      </c>
      <c r="B5440" s="1" t="str">
        <f>IFERROR(__xludf.DUMMYFUNCTION("""COMPUTED_VALUE"""),"LL")</f>
        <v>LL</v>
      </c>
    </row>
    <row r="5441" ht="15.75" customHeight="1">
      <c r="A5441" s="1" t="str">
        <f>IFERROR(__xludf.DUMMYFUNCTION("""COMPUTED_VALUE"""),"Karter Angel")</f>
        <v>Karter Angel</v>
      </c>
      <c r="B5441" s="1" t="str">
        <f>IFERROR(__xludf.DUMMYFUNCTION("""COMPUTED_VALUE"""),"MS")</f>
        <v>MS</v>
      </c>
    </row>
    <row r="5442" ht="15.75" customHeight="1">
      <c r="A5442" s="1" t="str">
        <f>IFERROR(__xludf.DUMMYFUNCTION("""COMPUTED_VALUE"""),"Margaux Murrish")</f>
        <v>Margaux Murrish</v>
      </c>
      <c r="B5442" s="1" t="str">
        <f>IFERROR(__xludf.DUMMYFUNCTION("""COMPUTED_VALUE"""),"WL")</f>
        <v>WL</v>
      </c>
    </row>
    <row r="5443" ht="15.75" customHeight="1">
      <c r="A5443" s="1" t="str">
        <f>IFERROR(__xludf.DUMMYFUNCTION("""COMPUTED_VALUE"""),"Finn Figueiredo")</f>
        <v>Finn Figueiredo</v>
      </c>
      <c r="B5443" s="1" t="str">
        <f>IFERROR(__xludf.DUMMYFUNCTION("""COMPUTED_VALUE"""),"LL")</f>
        <v>LL</v>
      </c>
    </row>
    <row r="5444" ht="15.75" customHeight="1">
      <c r="A5444" s="1" t="str">
        <f>IFERROR(__xludf.DUMMYFUNCTION("""COMPUTED_VALUE"""),"Jaiden Chopra")</f>
        <v>Jaiden Chopra</v>
      </c>
      <c r="B5444" s="1" t="str">
        <f>IFERROR(__xludf.DUMMYFUNCTION("""COMPUTED_VALUE"""),"L1")</f>
        <v>L1</v>
      </c>
    </row>
    <row r="5445" ht="15.75" customHeight="1">
      <c r="A5445" s="1" t="str">
        <f>IFERROR(__xludf.DUMMYFUNCTION("""COMPUTED_VALUE"""),"Zenveer Chopra")</f>
        <v>Zenveer Chopra</v>
      </c>
      <c r="B5445" s="1" t="str">
        <f>IFERROR(__xludf.DUMMYFUNCTION("""COMPUTED_VALUE"""),"L1")</f>
        <v>L1</v>
      </c>
    </row>
    <row r="5446" ht="15.75" customHeight="1">
      <c r="A5446" s="1" t="str">
        <f>IFERROR(__xludf.DUMMYFUNCTION("""COMPUTED_VALUE"""),"Ford Figueiredo")</f>
        <v>Ford Figueiredo</v>
      </c>
      <c r="B5446" s="1" t="str">
        <f>IFERROR(__xludf.DUMMYFUNCTION("""COMPUTED_VALUE"""),"LL")</f>
        <v>LL</v>
      </c>
    </row>
    <row r="5447" ht="15.75" customHeight="1">
      <c r="A5447" s="1" t="str">
        <f>IFERROR(__xludf.DUMMYFUNCTION("""COMPUTED_VALUE"""),"Test Holiday 1 _test_")</f>
        <v>Test Holiday 1 _test_</v>
      </c>
      <c r="B5447" s="1" t="str">
        <f>IFERROR(__xludf.DUMMYFUNCTION("""COMPUTED_VALUE"""),"LL")</f>
        <v>LL</v>
      </c>
    </row>
    <row r="5448" ht="15.75" customHeight="1">
      <c r="A5448" s="1" t="str">
        <f>IFERROR(__xludf.DUMMYFUNCTION("""COMPUTED_VALUE"""),"Test Holiday 2 _test_")</f>
        <v>Test Holiday 2 _test_</v>
      </c>
      <c r="B5448" s="1" t="str">
        <f>IFERROR(__xludf.DUMMYFUNCTION("""COMPUTED_VALUE"""),"LL")</f>
        <v>LL</v>
      </c>
    </row>
    <row r="5449" ht="15.75" customHeight="1">
      <c r="A5449" s="1" t="str">
        <f>IFERROR(__xludf.DUMMYFUNCTION("""COMPUTED_VALUE"""),"Declan Strickland")</f>
        <v>Declan Strickland</v>
      </c>
      <c r="B5449" s="1" t="str">
        <f>IFERROR(__xludf.DUMMYFUNCTION("""COMPUTED_VALUE"""),"L2")</f>
        <v>L2</v>
      </c>
    </row>
    <row r="5450" ht="15.75" customHeight="1">
      <c r="A5450" s="1" t="str">
        <f>IFERROR(__xludf.DUMMYFUNCTION("""COMPUTED_VALUE"""),"Jaiveer Kothari")</f>
        <v>Jaiveer Kothari</v>
      </c>
      <c r="B5450" s="1" t="str">
        <f>IFERROR(__xludf.DUMMYFUNCTION("""COMPUTED_VALUE"""),"L2")</f>
        <v>L2</v>
      </c>
    </row>
    <row r="5451" ht="15.75" customHeight="1">
      <c r="A5451" s="1" t="str">
        <f>IFERROR(__xludf.DUMMYFUNCTION("""COMPUTED_VALUE"""),"Liliana Johnson")</f>
        <v>Liliana Johnson</v>
      </c>
      <c r="B5451" s="1" t="str">
        <f>IFERROR(__xludf.DUMMYFUNCTION("""COMPUTED_VALUE"""),"LL")</f>
        <v>LL</v>
      </c>
    </row>
    <row r="5452" ht="15.75" customHeight="1">
      <c r="A5452" s="1" t="str">
        <f>IFERROR(__xludf.DUMMYFUNCTION("""COMPUTED_VALUE"""),"Isabella Johnson")</f>
        <v>Isabella Johnson</v>
      </c>
      <c r="B5452" s="1" t="str">
        <f>IFERROR(__xludf.DUMMYFUNCTION("""COMPUTED_VALUE"""),"L1")</f>
        <v>L1</v>
      </c>
    </row>
    <row r="5453" ht="15.75" customHeight="1">
      <c r="A5453" s="1" t="str">
        <f>IFERROR(__xludf.DUMMYFUNCTION("""COMPUTED_VALUE"""),"Ava Howard")</f>
        <v>Ava Howard</v>
      </c>
      <c r="B5453" s="1" t="str">
        <f>IFERROR(__xludf.DUMMYFUNCTION("""COMPUTED_VALUE"""),"WL")</f>
        <v>WL</v>
      </c>
    </row>
    <row r="5454" ht="15.75" customHeight="1">
      <c r="A5454" s="1" t="str">
        <f>IFERROR(__xludf.DUMMYFUNCTION("""COMPUTED_VALUE"""),"Pedro Rossello")</f>
        <v>Pedro Rossello</v>
      </c>
      <c r="B5454" s="1" t="str">
        <f>IFERROR(__xludf.DUMMYFUNCTION("""COMPUTED_VALUE"""),"L1")</f>
        <v>L1</v>
      </c>
    </row>
    <row r="5455" ht="15.75" customHeight="1">
      <c r="A5455" s="1" t="str">
        <f>IFERROR(__xludf.DUMMYFUNCTION("""COMPUTED_VALUE"""),"Gabriella Fortoul Davila Melo")</f>
        <v>Gabriella Fortoul Davila Melo</v>
      </c>
      <c r="B5455" s="1" t="str">
        <f>IFERROR(__xludf.DUMMYFUNCTION("""COMPUTED_VALUE"""),"LL")</f>
        <v>LL</v>
      </c>
    </row>
    <row r="5456" ht="15.75" customHeight="1">
      <c r="A5456" s="1" t="str">
        <f>IFERROR(__xludf.DUMMYFUNCTION("""COMPUTED_VALUE"""),"Joseph DeFlorio")</f>
        <v>Joseph DeFlorio</v>
      </c>
      <c r="B5456" s="1" t="str">
        <f>IFERROR(__xludf.DUMMYFUNCTION("""COMPUTED_VALUE"""),"LL")</f>
        <v>LL</v>
      </c>
    </row>
    <row r="5457" ht="15.75" customHeight="1">
      <c r="A5457" s="1" t="str">
        <f>IFERROR(__xludf.DUMMYFUNCTION("""COMPUTED_VALUE"""),"Leonardo DeFlorio")</f>
        <v>Leonardo DeFlorio</v>
      </c>
      <c r="B5457" s="1" t="str">
        <f>IFERROR(__xludf.DUMMYFUNCTION("""COMPUTED_VALUE"""),"L1")</f>
        <v>L1</v>
      </c>
    </row>
    <row r="5458" ht="15.75" customHeight="1">
      <c r="A5458" s="1" t="str">
        <f>IFERROR(__xludf.DUMMYFUNCTION("""COMPUTED_VALUE"""),"Jude Harper")</f>
        <v>Jude Harper</v>
      </c>
      <c r="B5458" s="1" t="str">
        <f>IFERROR(__xludf.DUMMYFUNCTION("""COMPUTED_VALUE"""),"WL")</f>
        <v>WL</v>
      </c>
    </row>
    <row r="5459" ht="15.75" customHeight="1">
      <c r="A5459" s="1" t="str">
        <f>IFERROR(__xludf.DUMMYFUNCTION("""COMPUTED_VALUE"""),"Isha Karkera")</f>
        <v>Isha Karkera</v>
      </c>
      <c r="B5459" s="1" t="str">
        <f>IFERROR(__xludf.DUMMYFUNCTION("""COMPUTED_VALUE"""),"LL")</f>
        <v>LL</v>
      </c>
    </row>
    <row r="5460" ht="15.75" customHeight="1">
      <c r="A5460" s="1" t="str">
        <f>IFERROR(__xludf.DUMMYFUNCTION("""COMPUTED_VALUE"""),"Claudia Rossello")</f>
        <v>Claudia Rossello</v>
      </c>
      <c r="B5460" s="1" t="str">
        <f>IFERROR(__xludf.DUMMYFUNCTION("""COMPUTED_VALUE"""),"MS")</f>
        <v>MS</v>
      </c>
    </row>
    <row r="5461" ht="15.75" customHeight="1">
      <c r="A5461" s="1" t="str">
        <f>IFERROR(__xludf.DUMMYFUNCTION("""COMPUTED_VALUE"""),"Jordan Chay")</f>
        <v>Jordan Chay</v>
      </c>
      <c r="B5461" s="1" t="str">
        <f>IFERROR(__xludf.DUMMYFUNCTION("""COMPUTED_VALUE"""),"LL")</f>
        <v>LL</v>
      </c>
    </row>
    <row r="5462" ht="15.75" customHeight="1">
      <c r="A5462" s="1" t="str">
        <f>IFERROR(__xludf.DUMMYFUNCTION("""COMPUTED_VALUE"""),"Griffin Wittenborn")</f>
        <v>Griffin Wittenborn</v>
      </c>
      <c r="B5462" s="1" t="str">
        <f>IFERROR(__xludf.DUMMYFUNCTION("""COMPUTED_VALUE"""),"L1")</f>
        <v>L1</v>
      </c>
    </row>
    <row r="5463" ht="15.75" customHeight="1">
      <c r="A5463" s="1" t="str">
        <f>IFERROR(__xludf.DUMMYFUNCTION("""COMPUTED_VALUE"""),"Eliza Windle")</f>
        <v>Eliza Windle</v>
      </c>
      <c r="B5463" s="1" t="str">
        <f>IFERROR(__xludf.DUMMYFUNCTION("""COMPUTED_VALUE"""),"L1")</f>
        <v>L1</v>
      </c>
    </row>
    <row r="5464" ht="15.75" customHeight="1">
      <c r="A5464" s="1" t="str">
        <f>IFERROR(__xludf.DUMMYFUNCTION("""COMPUTED_VALUE"""),"Ayan Garg")</f>
        <v>Ayan Garg</v>
      </c>
      <c r="B5464" s="1" t="str">
        <f>IFERROR(__xludf.DUMMYFUNCTION("""COMPUTED_VALUE"""),"WL")</f>
        <v>WL</v>
      </c>
    </row>
    <row r="5465" ht="15.75" customHeight="1">
      <c r="A5465" s="1" t="str">
        <f>IFERROR(__xludf.DUMMYFUNCTION("""COMPUTED_VALUE"""),"Grayson Hoffman")</f>
        <v>Grayson Hoffman</v>
      </c>
      <c r="B5465" s="1" t="str">
        <f>IFERROR(__xludf.DUMMYFUNCTION("""COMPUTED_VALUE"""),"L1")</f>
        <v>L1</v>
      </c>
    </row>
    <row r="5466" ht="15.75" customHeight="1">
      <c r="A5466" s="1" t="str">
        <f>IFERROR(__xludf.DUMMYFUNCTION("""COMPUTED_VALUE"""),"Avery Arehart")</f>
        <v>Avery Arehart</v>
      </c>
      <c r="B5466" s="1" t="str">
        <f>IFERROR(__xludf.DUMMYFUNCTION("""COMPUTED_VALUE"""),"L2")</f>
        <v>L2</v>
      </c>
    </row>
    <row r="5467" ht="15.75" customHeight="1">
      <c r="A5467" s="1" t="str">
        <f>IFERROR(__xludf.DUMMYFUNCTION("""COMPUTED_VALUE"""),"Finn Joyce")</f>
        <v>Finn Joyce</v>
      </c>
      <c r="B5467" s="1" t="str">
        <f>IFERROR(__xludf.DUMMYFUNCTION("""COMPUTED_VALUE"""),"WL")</f>
        <v>WL</v>
      </c>
    </row>
    <row r="5468" ht="15.75" customHeight="1">
      <c r="A5468" s="1" t="str">
        <f>IFERROR(__xludf.DUMMYFUNCTION("""COMPUTED_VALUE"""),"Mati Jacobson")</f>
        <v>Mati Jacobson</v>
      </c>
      <c r="B5468" s="1" t="str">
        <f>IFERROR(__xludf.DUMMYFUNCTION("""COMPUTED_VALUE"""),"LL")</f>
        <v>LL</v>
      </c>
    </row>
    <row r="5469" ht="15.75" customHeight="1">
      <c r="A5469" s="1" t="str">
        <f>IFERROR(__xludf.DUMMYFUNCTION("""COMPUTED_VALUE"""),"Skyler Herron")</f>
        <v>Skyler Herron</v>
      </c>
      <c r="B5469" s="1" t="str">
        <f>IFERROR(__xludf.DUMMYFUNCTION("""COMPUTED_VALUE"""),"L2")</f>
        <v>L2</v>
      </c>
    </row>
    <row r="5470" ht="15.75" customHeight="1">
      <c r="A5470" s="1" t="str">
        <f>IFERROR(__xludf.DUMMYFUNCTION("""COMPUTED_VALUE"""),"please work _test_")</f>
        <v>please work _test_</v>
      </c>
      <c r="B5470" s="1" t="str">
        <f>IFERROR(__xludf.DUMMYFUNCTION("""COMPUTED_VALUE"""),"WL")</f>
        <v>WL</v>
      </c>
    </row>
    <row r="5471" ht="15.75" customHeight="1">
      <c r="A5471" s="1" t="str">
        <f>IFERROR(__xludf.DUMMYFUNCTION("""COMPUTED_VALUE"""),"Emmy Lou _test_")</f>
        <v>Emmy Lou _test_</v>
      </c>
      <c r="B5471" s="1" t="str">
        <f>IFERROR(__xludf.DUMMYFUNCTION("""COMPUTED_VALUE"""),"LL")</f>
        <v>LL</v>
      </c>
    </row>
    <row r="5472" ht="15.75" customHeight="1">
      <c r="A5472" s="1" t="str">
        <f>IFERROR(__xludf.DUMMYFUNCTION("""COMPUTED_VALUE"""),"Dmitry _test_Child_Chantilly")</f>
        <v>Dmitry _test_Child_Chantilly</v>
      </c>
      <c r="B5472" s="1" t="str">
        <f>IFERROR(__xludf.DUMMYFUNCTION("""COMPUTED_VALUE"""),"L2")</f>
        <v>L2</v>
      </c>
    </row>
    <row r="5473" ht="15.75" customHeight="1">
      <c r="A5473" s="1" t="str">
        <f>IFERROR(__xludf.DUMMYFUNCTION("""COMPUTED_VALUE"""),"Spencer Gates")</f>
        <v>Spencer Gates</v>
      </c>
      <c r="B5473" s="1" t="str">
        <f>IFERROR(__xludf.DUMMYFUNCTION("""COMPUTED_VALUE"""),"WL")</f>
        <v>WL</v>
      </c>
    </row>
    <row r="5474" ht="15.75" customHeight="1">
      <c r="A5474" s="1" t="str">
        <f>IFERROR(__xludf.DUMMYFUNCTION("""COMPUTED_VALUE"""),"Parker Riggs")</f>
        <v>Parker Riggs</v>
      </c>
      <c r="B5474" s="1" t="str">
        <f>IFERROR(__xludf.DUMMYFUNCTION("""COMPUTED_VALUE"""),"WL")</f>
        <v>WL</v>
      </c>
    </row>
    <row r="5475" ht="15.75" customHeight="1">
      <c r="A5475" s="1" t="str">
        <f>IFERROR(__xludf.DUMMYFUNCTION("""COMPUTED_VALUE"""),"Richard Joyce")</f>
        <v>Richard Joyce</v>
      </c>
      <c r="B5475" s="1" t="str">
        <f>IFERROR(__xludf.DUMMYFUNCTION("""COMPUTED_VALUE"""),"L2")</f>
        <v>L2</v>
      </c>
    </row>
    <row r="5476" ht="15.75" customHeight="1">
      <c r="A5476" s="1" t="str">
        <f>IFERROR(__xludf.DUMMYFUNCTION("""COMPUTED_VALUE"""),"Cataleya Williams Reyes")</f>
        <v>Cataleya Williams Reyes</v>
      </c>
      <c r="B5476" s="1" t="str">
        <f>IFERROR(__xludf.DUMMYFUNCTION("""COMPUTED_VALUE"""),"LL")</f>
        <v>LL</v>
      </c>
    </row>
    <row r="5477" ht="15.75" customHeight="1">
      <c r="A5477" s="1" t="str">
        <f>IFERROR(__xludf.DUMMYFUNCTION("""COMPUTED_VALUE"""),"Liam Hart")</f>
        <v>Liam Hart</v>
      </c>
      <c r="B5477" s="1" t="str">
        <f>IFERROR(__xludf.DUMMYFUNCTION("""COMPUTED_VALUE"""),"MS")</f>
        <v>MS</v>
      </c>
    </row>
    <row r="5478" ht="15.75" customHeight="1">
      <c r="A5478" s="1" t="str">
        <f>IFERROR(__xludf.DUMMYFUNCTION("""COMPUTED_VALUE"""),"Liam Beckford")</f>
        <v>Liam Beckford</v>
      </c>
      <c r="B5478" s="1" t="str">
        <f>IFERROR(__xludf.DUMMYFUNCTION("""COMPUTED_VALUE"""),"L1")</f>
        <v>L1</v>
      </c>
    </row>
    <row r="5479" ht="15.75" customHeight="1">
      <c r="A5479" s="1" t="str">
        <f>IFERROR(__xludf.DUMMYFUNCTION("""COMPUTED_VALUE"""),"Dex Dirksen")</f>
        <v>Dex Dirksen</v>
      </c>
      <c r="B5479" s="1" t="str">
        <f>IFERROR(__xludf.DUMMYFUNCTION("""COMPUTED_VALUE"""),"WL")</f>
        <v>WL</v>
      </c>
    </row>
    <row r="5480" ht="15.75" customHeight="1">
      <c r="A5480" s="1" t="str">
        <f>IFERROR(__xludf.DUMMYFUNCTION("""COMPUTED_VALUE"""),"Naomi Currie")</f>
        <v>Naomi Currie</v>
      </c>
      <c r="B5480" s="1" t="str">
        <f>IFERROR(__xludf.DUMMYFUNCTION("""COMPUTED_VALUE"""),"WL")</f>
        <v>WL</v>
      </c>
    </row>
    <row r="5481" ht="15.75" customHeight="1">
      <c r="A5481" s="1" t="str">
        <f>IFERROR(__xludf.DUMMYFUNCTION("""COMPUTED_VALUE"""),"Leah Draughon")</f>
        <v>Leah Draughon</v>
      </c>
      <c r="B5481" s="1" t="str">
        <f>IFERROR(__xludf.DUMMYFUNCTION("""COMPUTED_VALUE"""),"L1")</f>
        <v>L1</v>
      </c>
    </row>
    <row r="5482" ht="15.75" customHeight="1">
      <c r="A5482" s="1" t="str">
        <f>IFERROR(__xludf.DUMMYFUNCTION("""COMPUTED_VALUE"""),"Huck DeJesus")</f>
        <v>Huck DeJesus</v>
      </c>
      <c r="B5482" s="1" t="str">
        <f>IFERROR(__xludf.DUMMYFUNCTION("""COMPUTED_VALUE"""),"WL")</f>
        <v>WL</v>
      </c>
    </row>
    <row r="5483" ht="15.75" customHeight="1">
      <c r="A5483" s="1" t="str">
        <f>IFERROR(__xludf.DUMMYFUNCTION("""COMPUTED_VALUE"""),"Miles Prince")</f>
        <v>Miles Prince</v>
      </c>
      <c r="B5483" s="1" t="str">
        <f>IFERROR(__xludf.DUMMYFUNCTION("""COMPUTED_VALUE"""),"WL")</f>
        <v>WL</v>
      </c>
    </row>
    <row r="5484" ht="15.75" customHeight="1">
      <c r="A5484" s="1" t="str">
        <f>IFERROR(__xludf.DUMMYFUNCTION("""COMPUTED_VALUE"""),"Ameerah Ganglani")</f>
        <v>Ameerah Ganglani</v>
      </c>
      <c r="B5484" s="1" t="str">
        <f>IFERROR(__xludf.DUMMYFUNCTION("""COMPUTED_VALUE"""),"LL")</f>
        <v>LL</v>
      </c>
    </row>
    <row r="5485" ht="15.75" customHeight="1">
      <c r="A5485" s="1" t="str">
        <f>IFERROR(__xludf.DUMMYFUNCTION("""COMPUTED_VALUE"""),"Sugapradha _test_")</f>
        <v>Sugapradha _test_</v>
      </c>
      <c r="B5485" s="1" t="str">
        <f>IFERROR(__xludf.DUMMYFUNCTION("""COMPUTED_VALUE"""),"L1")</f>
        <v>L1</v>
      </c>
    </row>
    <row r="5486" ht="15.75" customHeight="1">
      <c r="A5486" s="1" t="str">
        <f>IFERROR(__xludf.DUMMYFUNCTION("""COMPUTED_VALUE"""),"Zo Manning")</f>
        <v>Zo Manning</v>
      </c>
      <c r="B5486" s="1" t="str">
        <f>IFERROR(__xludf.DUMMYFUNCTION("""COMPUTED_VALUE"""),"LL")</f>
        <v>LL</v>
      </c>
    </row>
    <row r="5487" ht="15.75" customHeight="1">
      <c r="A5487" s="1" t="str">
        <f>IFERROR(__xludf.DUMMYFUNCTION("""COMPUTED_VALUE"""),"Harrison Klenk")</f>
        <v>Harrison Klenk</v>
      </c>
      <c r="B5487" s="1" t="str">
        <f>IFERROR(__xludf.DUMMYFUNCTION("""COMPUTED_VALUE"""),"L2")</f>
        <v>L2</v>
      </c>
    </row>
    <row r="5488" ht="15.75" customHeight="1">
      <c r="A5488" s="1" t="str">
        <f>IFERROR(__xludf.DUMMYFUNCTION("""COMPUTED_VALUE"""),"Jacksom Klenk")</f>
        <v>Jacksom Klenk</v>
      </c>
      <c r="B5488" s="1" t="str">
        <f>IFERROR(__xludf.DUMMYFUNCTION("""COMPUTED_VALUE"""),"LL")</f>
        <v>LL</v>
      </c>
    </row>
    <row r="5489" ht="15.75" customHeight="1">
      <c r="A5489" s="1" t="str">
        <f>IFERROR(__xludf.DUMMYFUNCTION("""COMPUTED_VALUE"""),"Test 4 _test_")</f>
        <v>Test 4 _test_</v>
      </c>
      <c r="B5489" s="1" t="str">
        <f>IFERROR(__xludf.DUMMYFUNCTION("""COMPUTED_VALUE"""),"LL")</f>
        <v>LL</v>
      </c>
    </row>
    <row r="5490" ht="15.75" customHeight="1">
      <c r="A5490" s="1" t="str">
        <f>IFERROR(__xludf.DUMMYFUNCTION("""COMPUTED_VALUE"""),"Xavier Li")</f>
        <v>Xavier Li</v>
      </c>
      <c r="B5490" s="1" t="str">
        <f>IFERROR(__xludf.DUMMYFUNCTION("""COMPUTED_VALUE"""),"L1")</f>
        <v>L1</v>
      </c>
    </row>
    <row r="5491" ht="15.75" customHeight="1">
      <c r="A5491" s="1" t="str">
        <f>IFERROR(__xludf.DUMMYFUNCTION("""COMPUTED_VALUE"""),"Joshua Ibbetson")</f>
        <v>Joshua Ibbetson</v>
      </c>
      <c r="B5491" s="1" t="str">
        <f>IFERROR(__xludf.DUMMYFUNCTION("""COMPUTED_VALUE"""),"LL")</f>
        <v>LL</v>
      </c>
    </row>
    <row r="5492" ht="15.75" customHeight="1">
      <c r="A5492" s="1" t="str">
        <f>IFERROR(__xludf.DUMMYFUNCTION("""COMPUTED_VALUE"""),"Joseph Ibbetson")</f>
        <v>Joseph Ibbetson</v>
      </c>
      <c r="B5492" s="1" t="str">
        <f>IFERROR(__xludf.DUMMYFUNCTION("""COMPUTED_VALUE"""),"LL")</f>
        <v>LL</v>
      </c>
    </row>
    <row r="5493" ht="15.75" customHeight="1">
      <c r="A5493" s="1" t="str">
        <f>IFERROR(__xludf.DUMMYFUNCTION("""COMPUTED_VALUE"""),"Bo Minkowski")</f>
        <v>Bo Minkowski</v>
      </c>
      <c r="B5493" s="1" t="str">
        <f>IFERROR(__xludf.DUMMYFUNCTION("""COMPUTED_VALUE"""),"L1")</f>
        <v>L1</v>
      </c>
    </row>
    <row r="5494" ht="15.75" customHeight="1">
      <c r="A5494" s="1" t="str">
        <f>IFERROR(__xludf.DUMMYFUNCTION("""COMPUTED_VALUE"""),"Rahi Patel")</f>
        <v>Rahi Patel</v>
      </c>
      <c r="B5494" s="1" t="str">
        <f>IFERROR(__xludf.DUMMYFUNCTION("""COMPUTED_VALUE"""),"L1")</f>
        <v>L1</v>
      </c>
    </row>
    <row r="5495" ht="15.75" customHeight="1">
      <c r="A5495" s="1" t="str">
        <f>IFERROR(__xludf.DUMMYFUNCTION("""COMPUTED_VALUE"""),"Dmitry _test_Child_Charlotte")</f>
        <v>Dmitry _test_Child_Charlotte</v>
      </c>
      <c r="B5495" s="1" t="str">
        <f>IFERROR(__xludf.DUMMYFUNCTION("""COMPUTED_VALUE"""),"L1")</f>
        <v>L1</v>
      </c>
    </row>
    <row r="5496" ht="15.75" customHeight="1">
      <c r="A5496" s="1" t="str">
        <f>IFERROR(__xludf.DUMMYFUNCTION("""COMPUTED_VALUE"""),"Simon Estevez")</f>
        <v>Simon Estevez</v>
      </c>
      <c r="B5496" s="1" t="str">
        <f>IFERROR(__xludf.DUMMYFUNCTION("""COMPUTED_VALUE"""),"WL")</f>
        <v>WL</v>
      </c>
    </row>
    <row r="5497" ht="15.75" customHeight="1">
      <c r="A5497" s="1" t="str">
        <f>IFERROR(__xludf.DUMMYFUNCTION("""COMPUTED_VALUE"""),"Ema Hardman")</f>
        <v>Ema Hardman</v>
      </c>
      <c r="B5497" s="1" t="str">
        <f>IFERROR(__xludf.DUMMYFUNCTION("""COMPUTED_VALUE"""),"L1")</f>
        <v>L1</v>
      </c>
    </row>
    <row r="5498" ht="15.75" customHeight="1">
      <c r="A5498" s="1" t="str">
        <f>IFERROR(__xludf.DUMMYFUNCTION("""COMPUTED_VALUE"""),"MISHKA REDDY")</f>
        <v>MISHKA REDDY</v>
      </c>
      <c r="B5498" s="1" t="str">
        <f>IFERROR(__xludf.DUMMYFUNCTION("""COMPUTED_VALUE"""),"WL")</f>
        <v>WL</v>
      </c>
    </row>
    <row r="5499" ht="15.75" customHeight="1">
      <c r="A5499" s="1" t="str">
        <f>IFERROR(__xludf.DUMMYFUNCTION("""COMPUTED_VALUE"""),"Ziggy _test_")</f>
        <v>Ziggy _test_</v>
      </c>
      <c r="B5499" s="1" t="str">
        <f>IFERROR(__xludf.DUMMYFUNCTION("""COMPUTED_VALUE"""),"WL")</f>
        <v>WL</v>
      </c>
    </row>
    <row r="5500" ht="15.75" customHeight="1">
      <c r="A5500" s="1" t="str">
        <f>IFERROR(__xludf.DUMMYFUNCTION("""COMPUTED_VALUE"""),"test 1 _test_")</f>
        <v>test 1 _test_</v>
      </c>
      <c r="B5500" s="1" t="str">
        <f>IFERROR(__xludf.DUMMYFUNCTION("""COMPUTED_VALUE"""),"LL")</f>
        <v>LL</v>
      </c>
    </row>
    <row r="5501" ht="15.75" customHeight="1">
      <c r="A5501" s="1" t="str">
        <f>IFERROR(__xludf.DUMMYFUNCTION("""COMPUTED_VALUE"""),"Grayson Winters")</f>
        <v>Grayson Winters</v>
      </c>
      <c r="B5501" s="1" t="str">
        <f>IFERROR(__xludf.DUMMYFUNCTION("""COMPUTED_VALUE"""),"LL")</f>
        <v>LL</v>
      </c>
    </row>
    <row r="5502" ht="15.75" customHeight="1">
      <c r="A5502" s="1" t="str">
        <f>IFERROR(__xludf.DUMMYFUNCTION("""COMPUTED_VALUE"""),"James Hoverstad")</f>
        <v>James Hoverstad</v>
      </c>
      <c r="B5502" s="1" t="str">
        <f>IFERROR(__xludf.DUMMYFUNCTION("""COMPUTED_VALUE"""),"L2")</f>
        <v>L2</v>
      </c>
    </row>
    <row r="5503" ht="15.75" customHeight="1">
      <c r="A5503" s="1" t="str">
        <f>IFERROR(__xludf.DUMMYFUNCTION("""COMPUTED_VALUE"""),"Viraaj Kattamamchi")</f>
        <v>Viraaj Kattamamchi</v>
      </c>
      <c r="B5503" s="1" t="str">
        <f>IFERROR(__xludf.DUMMYFUNCTION("""COMPUTED_VALUE"""),"LL")</f>
        <v>LL</v>
      </c>
    </row>
    <row r="5504" ht="15.75" customHeight="1">
      <c r="A5504" s="1" t="str">
        <f>IFERROR(__xludf.DUMMYFUNCTION("""COMPUTED_VALUE"""),"Della Jedd")</f>
        <v>Della Jedd</v>
      </c>
      <c r="B5504" s="1" t="str">
        <f>IFERROR(__xludf.DUMMYFUNCTION("""COMPUTED_VALUE"""),"WL")</f>
        <v>WL</v>
      </c>
    </row>
    <row r="5505" ht="15.75" customHeight="1">
      <c r="A5505" s="1" t="str">
        <f>IFERROR(__xludf.DUMMYFUNCTION("""COMPUTED_VALUE"""),"Guide Sixth Grade9")</f>
        <v>Guide Sixth Grade9</v>
      </c>
      <c r="B5505" s="1" t="str">
        <f>IFERROR(__xludf.DUMMYFUNCTION("""COMPUTED_VALUE"""),"MS")</f>
        <v>MS</v>
      </c>
    </row>
    <row r="5506" ht="15.75" customHeight="1">
      <c r="A5506" s="1" t="str">
        <f>IFERROR(__xludf.DUMMYFUNCTION("""COMPUTED_VALUE"""),"Guide Sixth Grade10")</f>
        <v>Guide Sixth Grade10</v>
      </c>
      <c r="B5506" s="1" t="str">
        <f>IFERROR(__xludf.DUMMYFUNCTION("""COMPUTED_VALUE"""),"MS")</f>
        <v>MS</v>
      </c>
    </row>
    <row r="5507" ht="15.75" customHeight="1">
      <c r="A5507" s="1" t="str">
        <f>IFERROR(__xludf.DUMMYFUNCTION("""COMPUTED_VALUE"""),"Guide Sixth Grade11")</f>
        <v>Guide Sixth Grade11</v>
      </c>
      <c r="B5507" s="1" t="str">
        <f>IFERROR(__xludf.DUMMYFUNCTION("""COMPUTED_VALUE"""),"MS")</f>
        <v>MS</v>
      </c>
    </row>
    <row r="5508" ht="15.75" customHeight="1">
      <c r="A5508" s="1" t="str">
        <f>IFERROR(__xludf.DUMMYFUNCTION("""COMPUTED_VALUE"""),"Guide Sixth Grade12")</f>
        <v>Guide Sixth Grade12</v>
      </c>
      <c r="B5508" s="1" t="str">
        <f>IFERROR(__xludf.DUMMYFUNCTION("""COMPUTED_VALUE"""),"MS")</f>
        <v>MS</v>
      </c>
    </row>
    <row r="5509" ht="15.75" customHeight="1">
      <c r="A5509" s="1" t="str">
        <f>IFERROR(__xludf.DUMMYFUNCTION("""COMPUTED_VALUE"""),"Guide Sixth Grade13")</f>
        <v>Guide Sixth Grade13</v>
      </c>
      <c r="B5509" s="1" t="str">
        <f>IFERROR(__xludf.DUMMYFUNCTION("""COMPUTED_VALUE"""),"MS")</f>
        <v>MS</v>
      </c>
    </row>
    <row r="5510" ht="15.75" customHeight="1">
      <c r="A5510" s="1" t="str">
        <f>IFERROR(__xludf.DUMMYFUNCTION("""COMPUTED_VALUE"""),"Guide Sixth Grade14")</f>
        <v>Guide Sixth Grade14</v>
      </c>
      <c r="B5510" s="1" t="str">
        <f>IFERROR(__xludf.DUMMYFUNCTION("""COMPUTED_VALUE"""),"MS")</f>
        <v>MS</v>
      </c>
    </row>
    <row r="5511" ht="15.75" customHeight="1">
      <c r="A5511" s="1" t="str">
        <f>IFERROR(__xludf.DUMMYFUNCTION("""COMPUTED_VALUE"""),"Guide Sixth Grade15")</f>
        <v>Guide Sixth Grade15</v>
      </c>
      <c r="B5511" s="1" t="str">
        <f>IFERROR(__xludf.DUMMYFUNCTION("""COMPUTED_VALUE"""),"MS")</f>
        <v>MS</v>
      </c>
    </row>
    <row r="5512" ht="15.75" customHeight="1">
      <c r="A5512" s="1" t="str">
        <f>IFERROR(__xludf.DUMMYFUNCTION("""COMPUTED_VALUE"""),"Guide Sixth Grade16")</f>
        <v>Guide Sixth Grade16</v>
      </c>
      <c r="B5512" s="1" t="str">
        <f>IFERROR(__xludf.DUMMYFUNCTION("""COMPUTED_VALUE"""),"MS")</f>
        <v>MS</v>
      </c>
    </row>
    <row r="5513" ht="15.75" customHeight="1">
      <c r="A5513" s="1" t="str">
        <f>IFERROR(__xludf.DUMMYFUNCTION("""COMPUTED_VALUE"""),"Guide Sixth Grade17")</f>
        <v>Guide Sixth Grade17</v>
      </c>
      <c r="B5513" s="1" t="str">
        <f>IFERROR(__xludf.DUMMYFUNCTION("""COMPUTED_VALUE"""),"MS")</f>
        <v>MS</v>
      </c>
    </row>
    <row r="5514" ht="15.75" customHeight="1">
      <c r="A5514" s="1" t="str">
        <f>IFERROR(__xludf.DUMMYFUNCTION("""COMPUTED_VALUE"""),"Guide Sixth Grade18")</f>
        <v>Guide Sixth Grade18</v>
      </c>
      <c r="B5514" s="1" t="str">
        <f>IFERROR(__xludf.DUMMYFUNCTION("""COMPUTED_VALUE"""),"MS")</f>
        <v>MS</v>
      </c>
    </row>
    <row r="5515" ht="15.75" customHeight="1">
      <c r="A5515" s="1" t="str">
        <f>IFERROR(__xludf.DUMMYFUNCTION("""COMPUTED_VALUE"""),"Guide Sixth Grade19")</f>
        <v>Guide Sixth Grade19</v>
      </c>
      <c r="B5515" s="1" t="str">
        <f>IFERROR(__xludf.DUMMYFUNCTION("""COMPUTED_VALUE"""),"MS")</f>
        <v>MS</v>
      </c>
    </row>
    <row r="5516" ht="15.75" customHeight="1">
      <c r="A5516" s="1" t="str">
        <f>IFERROR(__xludf.DUMMYFUNCTION("""COMPUTED_VALUE"""),"Guide Sixth Grade20")</f>
        <v>Guide Sixth Grade20</v>
      </c>
      <c r="B5516" s="1" t="str">
        <f>IFERROR(__xludf.DUMMYFUNCTION("""COMPUTED_VALUE"""),"MS")</f>
        <v>MS</v>
      </c>
    </row>
    <row r="5517" ht="15.75" customHeight="1">
      <c r="A5517" s="1" t="str">
        <f>IFERROR(__xludf.DUMMYFUNCTION("""COMPUTED_VALUE"""),"Guide Sixth Grade21")</f>
        <v>Guide Sixth Grade21</v>
      </c>
      <c r="B5517" s="1" t="str">
        <f>IFERROR(__xludf.DUMMYFUNCTION("""COMPUTED_VALUE"""),"MS")</f>
        <v>MS</v>
      </c>
    </row>
    <row r="5518" ht="15.75" customHeight="1">
      <c r="A5518" s="1" t="str">
        <f>IFERROR(__xludf.DUMMYFUNCTION("""COMPUTED_VALUE"""),"Guide Sixth Grade22")</f>
        <v>Guide Sixth Grade22</v>
      </c>
      <c r="B5518" s="1" t="str">
        <f>IFERROR(__xludf.DUMMYFUNCTION("""COMPUTED_VALUE"""),"MS")</f>
        <v>MS</v>
      </c>
    </row>
    <row r="5519" ht="15.75" customHeight="1">
      <c r="A5519" s="1" t="str">
        <f>IFERROR(__xludf.DUMMYFUNCTION("""COMPUTED_VALUE"""),"Guide Sixth Grade23")</f>
        <v>Guide Sixth Grade23</v>
      </c>
      <c r="B5519" s="1" t="str">
        <f>IFERROR(__xludf.DUMMYFUNCTION("""COMPUTED_VALUE"""),"MS")</f>
        <v>MS</v>
      </c>
    </row>
    <row r="5520" ht="15.75" customHeight="1">
      <c r="A5520" s="1" t="str">
        <f>IFERROR(__xludf.DUMMYFUNCTION("""COMPUTED_VALUE"""),"Guide Sixth Grade24")</f>
        <v>Guide Sixth Grade24</v>
      </c>
      <c r="B5520" s="1" t="str">
        <f>IFERROR(__xludf.DUMMYFUNCTION("""COMPUTED_VALUE"""),"MS")</f>
        <v>MS</v>
      </c>
    </row>
    <row r="5521" ht="15.75" customHeight="1">
      <c r="A5521" s="1" t="str">
        <f>IFERROR(__xludf.DUMMYFUNCTION("""COMPUTED_VALUE"""),"Guide Sixth Grade25")</f>
        <v>Guide Sixth Grade25</v>
      </c>
      <c r="B5521" s="1" t="str">
        <f>IFERROR(__xludf.DUMMYFUNCTION("""COMPUTED_VALUE"""),"MS")</f>
        <v>MS</v>
      </c>
    </row>
    <row r="5522" ht="15.75" customHeight="1">
      <c r="A5522" s="1" t="str">
        <f>IFERROR(__xludf.DUMMYFUNCTION("""COMPUTED_VALUE"""),"Guide Sixth Grade26")</f>
        <v>Guide Sixth Grade26</v>
      </c>
      <c r="B5522" s="1" t="str">
        <f>IFERROR(__xludf.DUMMYFUNCTION("""COMPUTED_VALUE"""),"MS")</f>
        <v>MS</v>
      </c>
    </row>
    <row r="5523" ht="15.75" customHeight="1">
      <c r="A5523" s="1" t="str">
        <f>IFERROR(__xludf.DUMMYFUNCTION("""COMPUTED_VALUE"""),"Guide Sixth Grade27")</f>
        <v>Guide Sixth Grade27</v>
      </c>
      <c r="B5523" s="1" t="str">
        <f>IFERROR(__xludf.DUMMYFUNCTION("""COMPUTED_VALUE"""),"MS")</f>
        <v>MS</v>
      </c>
    </row>
    <row r="5524" ht="15.75" customHeight="1">
      <c r="A5524" s="1" t="str">
        <f>IFERROR(__xludf.DUMMYFUNCTION("""COMPUTED_VALUE"""),"Guide Sixth Grade28")</f>
        <v>Guide Sixth Grade28</v>
      </c>
      <c r="B5524" s="1" t="str">
        <f>IFERROR(__xludf.DUMMYFUNCTION("""COMPUTED_VALUE"""),"MS")</f>
        <v>MS</v>
      </c>
    </row>
    <row r="5525" ht="15.75" customHeight="1">
      <c r="A5525" s="1" t="str">
        <f>IFERROR(__xludf.DUMMYFUNCTION("""COMPUTED_VALUE"""),"Guide Sixth Grade29")</f>
        <v>Guide Sixth Grade29</v>
      </c>
      <c r="B5525" s="1" t="str">
        <f>IFERROR(__xludf.DUMMYFUNCTION("""COMPUTED_VALUE"""),"MS")</f>
        <v>MS</v>
      </c>
    </row>
    <row r="5526" ht="15.75" customHeight="1">
      <c r="A5526" s="1" t="str">
        <f>IFERROR(__xludf.DUMMYFUNCTION("""COMPUTED_VALUE"""),"Guide Sixth Grade30")</f>
        <v>Guide Sixth Grade30</v>
      </c>
      <c r="B5526" s="1" t="str">
        <f>IFERROR(__xludf.DUMMYFUNCTION("""COMPUTED_VALUE"""),"MS")</f>
        <v>MS</v>
      </c>
    </row>
    <row r="5527" ht="15.75" customHeight="1">
      <c r="A5527" s="1" t="str">
        <f>IFERROR(__xludf.DUMMYFUNCTION("""COMPUTED_VALUE"""),"Ethan Wong")</f>
        <v>Ethan Wong</v>
      </c>
      <c r="B5527" s="1" t="str">
        <f>IFERROR(__xludf.DUMMYFUNCTION("""COMPUTED_VALUE"""),"MS")</f>
        <v>MS</v>
      </c>
    </row>
    <row r="5528" ht="15.75" customHeight="1">
      <c r="A5528" s="1" t="str">
        <f>IFERROR(__xludf.DUMMYFUNCTION("""COMPUTED_VALUE"""),"Austin Wong")</f>
        <v>Austin Wong</v>
      </c>
      <c r="B5528" s="1" t="str">
        <f>IFERROR(__xludf.DUMMYFUNCTION("""COMPUTED_VALUE"""),"L1")</f>
        <v>L1</v>
      </c>
    </row>
    <row r="5529" ht="15.75" customHeight="1">
      <c r="A5529" s="1" t="str">
        <f>IFERROR(__xludf.DUMMYFUNCTION("""COMPUTED_VALUE"""),"Lev Lin")</f>
        <v>Lev Lin</v>
      </c>
      <c r="B5529" s="1" t="str">
        <f>IFERROR(__xludf.DUMMYFUNCTION("""COMPUTED_VALUE"""),"L1")</f>
        <v>L1</v>
      </c>
    </row>
    <row r="5530" ht="15.75" customHeight="1">
      <c r="A5530" s="1" t="str">
        <f>IFERROR(__xludf.DUMMYFUNCTION("""COMPUTED_VALUE"""),"Vihan Valloppillil")</f>
        <v>Vihan Valloppillil</v>
      </c>
      <c r="B5530" s="1" t="str">
        <f>IFERROR(__xludf.DUMMYFUNCTION("""COMPUTED_VALUE"""),"MS")</f>
        <v>MS</v>
      </c>
    </row>
    <row r="5531" ht="15.75" customHeight="1">
      <c r="A5531" s="1" t="str">
        <f>IFERROR(__xludf.DUMMYFUNCTION("""COMPUTED_VALUE"""),"Arman Valloppillil")</f>
        <v>Arman Valloppillil</v>
      </c>
      <c r="B5531" s="1" t="str">
        <f>IFERROR(__xludf.DUMMYFUNCTION("""COMPUTED_VALUE"""),"L1")</f>
        <v>L1</v>
      </c>
    </row>
    <row r="5532" ht="15.75" customHeight="1">
      <c r="A5532" s="1" t="str">
        <f>IFERROR(__xludf.DUMMYFUNCTION("""COMPUTED_VALUE"""),"Win Conrad")</f>
        <v>Win Conrad</v>
      </c>
      <c r="B5532" s="1" t="str">
        <f>IFERROR(__xludf.DUMMYFUNCTION("""COMPUTED_VALUE"""),"L1")</f>
        <v>L1</v>
      </c>
    </row>
    <row r="5533" ht="15.75" customHeight="1">
      <c r="A5533" s="1" t="str">
        <f>IFERROR(__xludf.DUMMYFUNCTION("""COMPUTED_VALUE"""),"Theodore King")</f>
        <v>Theodore King</v>
      </c>
      <c r="B5533" s="1" t="str">
        <f>IFERROR(__xludf.DUMMYFUNCTION("""COMPUTED_VALUE"""),"LL")</f>
        <v>LL</v>
      </c>
    </row>
    <row r="5534" ht="15.75" customHeight="1">
      <c r="A5534" s="1" t="str">
        <f>IFERROR(__xludf.DUMMYFUNCTION("""COMPUTED_VALUE"""),"Lev Kaplan")</f>
        <v>Lev Kaplan</v>
      </c>
      <c r="B5534" s="1" t="str">
        <f>IFERROR(__xludf.DUMMYFUNCTION("""COMPUTED_VALUE"""),"LL")</f>
        <v>LL</v>
      </c>
    </row>
    <row r="5535" ht="15.75" customHeight="1">
      <c r="A5535" s="1" t="str">
        <f>IFERROR(__xludf.DUMMYFUNCTION("""COMPUTED_VALUE"""),"Xander Adamson")</f>
        <v>Xander Adamson</v>
      </c>
      <c r="B5535" s="1" t="str">
        <f>IFERROR(__xludf.DUMMYFUNCTION("""COMPUTED_VALUE"""),"L2")</f>
        <v>L2</v>
      </c>
    </row>
    <row r="5536" ht="15.75" customHeight="1">
      <c r="A5536" s="1" t="str">
        <f>IFERROR(__xludf.DUMMYFUNCTION("""COMPUTED_VALUE"""),"Ori Lovinsky")</f>
        <v>Ori Lovinsky</v>
      </c>
      <c r="B5536" s="1" t="str">
        <f>IFERROR(__xludf.DUMMYFUNCTION("""COMPUTED_VALUE"""),"L1")</f>
        <v>L1</v>
      </c>
    </row>
    <row r="5537" ht="15.75" customHeight="1">
      <c r="A5537" s="1" t="str">
        <f>IFERROR(__xludf.DUMMYFUNCTION("""COMPUTED_VALUE"""),"Lyla Lovinsky")</f>
        <v>Lyla Lovinsky</v>
      </c>
      <c r="B5537" s="1" t="str">
        <f>IFERROR(__xludf.DUMMYFUNCTION("""COMPUTED_VALUE"""),"LL")</f>
        <v>LL</v>
      </c>
    </row>
    <row r="5538" ht="15.75" customHeight="1">
      <c r="A5538" s="1" t="str">
        <f>IFERROR(__xludf.DUMMYFUNCTION("""COMPUTED_VALUE"""),"Sean Skidanov")</f>
        <v>Sean Skidanov</v>
      </c>
      <c r="B5538" s="1" t="str">
        <f>IFERROR(__xludf.DUMMYFUNCTION("""COMPUTED_VALUE"""),"L2")</f>
        <v>L2</v>
      </c>
    </row>
    <row r="5539" ht="15.75" customHeight="1">
      <c r="A5539" s="1" t="str">
        <f>IFERROR(__xludf.DUMMYFUNCTION("""COMPUTED_VALUE"""),"Elora Petersen")</f>
        <v>Elora Petersen</v>
      </c>
      <c r="B5539" s="1" t="str">
        <f>IFERROR(__xludf.DUMMYFUNCTION("""COMPUTED_VALUE"""),"WL")</f>
        <v>WL</v>
      </c>
    </row>
    <row r="5540" ht="15.75" customHeight="1">
      <c r="A5540" s="1" t="str">
        <f>IFERROR(__xludf.DUMMYFUNCTION("""COMPUTED_VALUE"""),"Riaan Shah")</f>
        <v>Riaan Shah</v>
      </c>
      <c r="B5540" s="1" t="str">
        <f>IFERROR(__xludf.DUMMYFUNCTION("""COMPUTED_VALUE"""),"WL")</f>
        <v>WL</v>
      </c>
    </row>
    <row r="5541" ht="15.75" customHeight="1">
      <c r="A5541" s="1" t="str">
        <f>IFERROR(__xludf.DUMMYFUNCTION("""COMPUTED_VALUE"""),"Otto Rockefeller")</f>
        <v>Otto Rockefeller</v>
      </c>
      <c r="B5541" s="1" t="str">
        <f>IFERROR(__xludf.DUMMYFUNCTION("""COMPUTED_VALUE"""),"WL")</f>
        <v>WL</v>
      </c>
    </row>
    <row r="5542" ht="15.75" customHeight="1">
      <c r="A5542" s="1" t="str">
        <f>IFERROR(__xludf.DUMMYFUNCTION("""COMPUTED_VALUE"""),"Hana He")</f>
        <v>Hana He</v>
      </c>
      <c r="B5542" s="1" t="str">
        <f>IFERROR(__xludf.DUMMYFUNCTION("""COMPUTED_VALUE"""),"LL")</f>
        <v>LL</v>
      </c>
    </row>
    <row r="5543" ht="15.75" customHeight="1">
      <c r="A5543" s="1" t="str">
        <f>IFERROR(__xludf.DUMMYFUNCTION("""COMPUTED_VALUE"""),"Mikko Murray")</f>
        <v>Mikko Murray</v>
      </c>
      <c r="B5543" s="1" t="str">
        <f>IFERROR(__xludf.DUMMYFUNCTION("""COMPUTED_VALUE"""),"L2")</f>
        <v>L2</v>
      </c>
    </row>
    <row r="5544" ht="15.75" customHeight="1">
      <c r="A5544" s="1" t="str">
        <f>IFERROR(__xludf.DUMMYFUNCTION("""COMPUTED_VALUE"""),"Aya Murrat")</f>
        <v>Aya Murrat</v>
      </c>
      <c r="B5544" s="1" t="str">
        <f>IFERROR(__xludf.DUMMYFUNCTION("""COMPUTED_VALUE"""),"MS")</f>
        <v>MS</v>
      </c>
    </row>
    <row r="5545" ht="15.75" customHeight="1">
      <c r="A5545" s="1" t="str">
        <f>IFERROR(__xludf.DUMMYFUNCTION("""COMPUTED_VALUE"""),"Jesse Crain, Jr")</f>
        <v>Jesse Crain, Jr</v>
      </c>
      <c r="B5545" s="1" t="str">
        <f>IFERROR(__xludf.DUMMYFUNCTION("""COMPUTED_VALUE"""),"LL")</f>
        <v>LL</v>
      </c>
    </row>
    <row r="5546" ht="15.75" customHeight="1">
      <c r="A5546" s="1" t="str">
        <f>IFERROR(__xludf.DUMMYFUNCTION("""COMPUTED_VALUE"""),"Cameron Caldbeck")</f>
        <v>Cameron Caldbeck</v>
      </c>
      <c r="B5546" s="1" t="str">
        <f>IFERROR(__xludf.DUMMYFUNCTION("""COMPUTED_VALUE"""),"LL")</f>
        <v>LL</v>
      </c>
    </row>
    <row r="5547" ht="15.75" customHeight="1">
      <c r="A5547" s="1" t="str">
        <f>IFERROR(__xludf.DUMMYFUNCTION("""COMPUTED_VALUE"""),"Austin Caldbeck")</f>
        <v>Austin Caldbeck</v>
      </c>
      <c r="B5547" s="1" t="str">
        <f>IFERROR(__xludf.DUMMYFUNCTION("""COMPUTED_VALUE"""),"L1")</f>
        <v>L1</v>
      </c>
    </row>
    <row r="5548" ht="15.75" customHeight="1">
      <c r="A5548" s="1" t="str">
        <f>IFERROR(__xludf.DUMMYFUNCTION("""COMPUTED_VALUE"""),"Maya Gries-Yano")</f>
        <v>Maya Gries-Yano</v>
      </c>
      <c r="B5548" s="1" t="str">
        <f>IFERROR(__xludf.DUMMYFUNCTION("""COMPUTED_VALUE"""),"L1")</f>
        <v>L1</v>
      </c>
    </row>
    <row r="5549" ht="15.75" customHeight="1">
      <c r="A5549" s="1" t="str">
        <f>IFERROR(__xludf.DUMMYFUNCTION("""COMPUTED_VALUE"""),"McKayla Caldbeck")</f>
        <v>McKayla Caldbeck</v>
      </c>
      <c r="B5549" s="1" t="str">
        <f>IFERROR(__xludf.DUMMYFUNCTION("""COMPUTED_VALUE"""),"L2")</f>
        <v>L2</v>
      </c>
    </row>
    <row r="5550" ht="15.75" customHeight="1">
      <c r="A5550" s="1" t="str">
        <f>IFERROR(__xludf.DUMMYFUNCTION("""COMPUTED_VALUE"""),"Elliott Bartolomei")</f>
        <v>Elliott Bartolomei</v>
      </c>
      <c r="B5550" s="1" t="str">
        <f>IFERROR(__xludf.DUMMYFUNCTION("""COMPUTED_VALUE"""),"WL")</f>
        <v>WL</v>
      </c>
    </row>
    <row r="5551" ht="15.75" customHeight="1">
      <c r="A5551" s="1" t="str">
        <f>IFERROR(__xludf.DUMMYFUNCTION("""COMPUTED_VALUE"""),"Ava Gong")</f>
        <v>Ava Gong</v>
      </c>
      <c r="B5551" s="1" t="str">
        <f>IFERROR(__xludf.DUMMYFUNCTION("""COMPUTED_VALUE"""),"LL")</f>
        <v>LL</v>
      </c>
    </row>
    <row r="5552" ht="15.75" customHeight="1">
      <c r="A5552" s="1" t="str">
        <f>IFERROR(__xludf.DUMMYFUNCTION("""COMPUTED_VALUE"""),"Kyra Taneja")</f>
        <v>Kyra Taneja</v>
      </c>
      <c r="B5552" s="1" t="str">
        <f>IFERROR(__xludf.DUMMYFUNCTION("""COMPUTED_VALUE"""),"MS")</f>
        <v>MS</v>
      </c>
    </row>
    <row r="5553" ht="15.75" customHeight="1">
      <c r="A5553" s="1" t="str">
        <f>IFERROR(__xludf.DUMMYFUNCTION("""COMPUTED_VALUE"""),"Romy Newton")</f>
        <v>Romy Newton</v>
      </c>
      <c r="B5553" s="1" t="str">
        <f>IFERROR(__xludf.DUMMYFUNCTION("""COMPUTED_VALUE"""),"WL")</f>
        <v>WL</v>
      </c>
    </row>
    <row r="5554" ht="15.75" customHeight="1">
      <c r="A5554" s="1" t="str">
        <f>IFERROR(__xludf.DUMMYFUNCTION("""COMPUTED_VALUE"""),"Leslie Wang")</f>
        <v>Leslie Wang</v>
      </c>
      <c r="B5554" s="1" t="str">
        <f>IFERROR(__xludf.DUMMYFUNCTION("""COMPUTED_VALUE"""),"LL")</f>
        <v>LL</v>
      </c>
    </row>
    <row r="5555" ht="15.75" customHeight="1">
      <c r="A5555" s="1" t="str">
        <f>IFERROR(__xludf.DUMMYFUNCTION("""COMPUTED_VALUE"""),"Daniela Kotsiubynska")</f>
        <v>Daniela Kotsiubynska</v>
      </c>
      <c r="B5555" s="1" t="str">
        <f>IFERROR(__xludf.DUMMYFUNCTION("""COMPUTED_VALUE"""),"L2")</f>
        <v>L2</v>
      </c>
    </row>
    <row r="5556" ht="15.75" customHeight="1">
      <c r="A5556" s="1" t="str">
        <f>IFERROR(__xludf.DUMMYFUNCTION("""COMPUTED_VALUE"""),"Ace Weir")</f>
        <v>Ace Weir</v>
      </c>
      <c r="B5556" s="1" t="str">
        <f>IFERROR(__xludf.DUMMYFUNCTION("""COMPUTED_VALUE"""),"LL")</f>
        <v>LL</v>
      </c>
    </row>
    <row r="5557" ht="15.75" customHeight="1">
      <c r="A5557" s="1" t="str">
        <f>IFERROR(__xludf.DUMMYFUNCTION("""COMPUTED_VALUE"""),"Elliot Alexander")</f>
        <v>Elliot Alexander</v>
      </c>
      <c r="B5557" s="1" t="str">
        <f>IFERROR(__xludf.DUMMYFUNCTION("""COMPUTED_VALUE"""),"MS")</f>
        <v>MS</v>
      </c>
    </row>
    <row r="5558" ht="15.75" customHeight="1">
      <c r="A5558" s="1" t="str">
        <f>IFERROR(__xludf.DUMMYFUNCTION("""COMPUTED_VALUE"""),"Hayan Germain")</f>
        <v>Hayan Germain</v>
      </c>
      <c r="B5558" s="1" t="str">
        <f>IFERROR(__xludf.DUMMYFUNCTION("""COMPUTED_VALUE"""),"L1")</f>
        <v>L1</v>
      </c>
    </row>
    <row r="5559" ht="15.75" customHeight="1">
      <c r="A5559" s="1" t="str">
        <f>IFERROR(__xludf.DUMMYFUNCTION("""COMPUTED_VALUE"""),"Aila Wong")</f>
        <v>Aila Wong</v>
      </c>
      <c r="B5559" s="1" t="str">
        <f>IFERROR(__xludf.DUMMYFUNCTION("""COMPUTED_VALUE"""),"MS")</f>
        <v>MS</v>
      </c>
    </row>
    <row r="5560" ht="15.75" customHeight="1">
      <c r="A5560" s="1" t="str">
        <f>IFERROR(__xludf.DUMMYFUNCTION("""COMPUTED_VALUE"""),"Aidan Wong")</f>
        <v>Aidan Wong</v>
      </c>
      <c r="B5560" s="1" t="str">
        <f>IFERROR(__xludf.DUMMYFUNCTION("""COMPUTED_VALUE"""),"HS")</f>
        <v>HS</v>
      </c>
    </row>
    <row r="5561" ht="15.75" customHeight="1">
      <c r="A5561" s="1" t="str">
        <f>IFERROR(__xludf.DUMMYFUNCTION("""COMPUTED_VALUE"""),"Leo Clark")</f>
        <v>Leo Clark</v>
      </c>
      <c r="B5561" s="1" t="str">
        <f>IFERROR(__xludf.DUMMYFUNCTION("""COMPUTED_VALUE"""),"LL")</f>
        <v>LL</v>
      </c>
    </row>
    <row r="5562" ht="15.75" customHeight="1">
      <c r="A5562" s="1" t="str">
        <f>IFERROR(__xludf.DUMMYFUNCTION("""COMPUTED_VALUE"""),"Emil Welinder")</f>
        <v>Emil Welinder</v>
      </c>
      <c r="B5562" s="1" t="str">
        <f>IFERROR(__xludf.DUMMYFUNCTION("""COMPUTED_VALUE"""),"L1")</f>
        <v>L1</v>
      </c>
    </row>
    <row r="5563" ht="15.75" customHeight="1">
      <c r="A5563" s="1" t="str">
        <f>IFERROR(__xludf.DUMMYFUNCTION("""COMPUTED_VALUE"""),"Elias Cruz")</f>
        <v>Elias Cruz</v>
      </c>
      <c r="B5563" s="1" t="str">
        <f>IFERROR(__xludf.DUMMYFUNCTION("""COMPUTED_VALUE"""),"LL")</f>
        <v>LL</v>
      </c>
    </row>
    <row r="5564" ht="15.75" customHeight="1">
      <c r="A5564" s="1" t="str">
        <f>IFERROR(__xludf.DUMMYFUNCTION("""COMPUTED_VALUE"""),"June Rockefeller")</f>
        <v>June Rockefeller</v>
      </c>
      <c r="B5564" s="1" t="str">
        <f>IFERROR(__xludf.DUMMYFUNCTION("""COMPUTED_VALUE"""),"MS")</f>
        <v>MS</v>
      </c>
    </row>
    <row r="5565" ht="15.75" customHeight="1">
      <c r="A5565" s="1" t="str">
        <f>IFERROR(__xludf.DUMMYFUNCTION("""COMPUTED_VALUE"""),"Cayden Degnarain")</f>
        <v>Cayden Degnarain</v>
      </c>
      <c r="B5565" s="1" t="str">
        <f>IFERROR(__xludf.DUMMYFUNCTION("""COMPUTED_VALUE"""),"LL")</f>
        <v>LL</v>
      </c>
    </row>
    <row r="5566" ht="15.75" customHeight="1">
      <c r="A5566" s="1" t="str">
        <f>IFERROR(__xludf.DUMMYFUNCTION("""COMPUTED_VALUE"""),"Paxton Lam")</f>
        <v>Paxton Lam</v>
      </c>
      <c r="B5566" s="1" t="str">
        <f>IFERROR(__xludf.DUMMYFUNCTION("""COMPUTED_VALUE"""),"LL")</f>
        <v>LL</v>
      </c>
    </row>
    <row r="5567" ht="15.75" customHeight="1">
      <c r="A5567" s="1" t="str">
        <f>IFERROR(__xludf.DUMMYFUNCTION("""COMPUTED_VALUE"""),"Leon Lam")</f>
        <v>Leon Lam</v>
      </c>
      <c r="B5567" s="1" t="str">
        <f>IFERROR(__xludf.DUMMYFUNCTION("""COMPUTED_VALUE"""),"LL")</f>
        <v>LL</v>
      </c>
    </row>
    <row r="5568" ht="15.75" customHeight="1">
      <c r="A5568" s="1" t="str">
        <f>IFERROR(__xludf.DUMMYFUNCTION("""COMPUTED_VALUE"""),"Auren Maymon")</f>
        <v>Auren Maymon</v>
      </c>
      <c r="B5568" s="1" t="str">
        <f>IFERROR(__xludf.DUMMYFUNCTION("""COMPUTED_VALUE"""),"L1")</f>
        <v>L1</v>
      </c>
    </row>
    <row r="5569" ht="15.75" customHeight="1">
      <c r="A5569" s="1" t="str">
        <f>IFERROR(__xludf.DUMMYFUNCTION("""COMPUTED_VALUE"""),"Ben Tierney")</f>
        <v>Ben Tierney</v>
      </c>
      <c r="B5569" s="1" t="str">
        <f>IFERROR(__xludf.DUMMYFUNCTION("""COMPUTED_VALUE"""),"MS")</f>
        <v>MS</v>
      </c>
    </row>
    <row r="5570" ht="15.75" customHeight="1">
      <c r="A5570" s="1" t="str">
        <f>IFERROR(__xludf.DUMMYFUNCTION("""COMPUTED_VALUE"""),"Jack Tierney")</f>
        <v>Jack Tierney</v>
      </c>
      <c r="B5570" s="1" t="str">
        <f>IFERROR(__xludf.DUMMYFUNCTION("""COMPUTED_VALUE"""),"MS")</f>
        <v>MS</v>
      </c>
    </row>
    <row r="5571" ht="15.75" customHeight="1">
      <c r="A5571" s="1" t="str">
        <f>IFERROR(__xludf.DUMMYFUNCTION("""COMPUTED_VALUE"""),"Jonathan Meier")</f>
        <v>Jonathan Meier</v>
      </c>
      <c r="B5571" s="1" t="str">
        <f>IFERROR(__xludf.DUMMYFUNCTION("""COMPUTED_VALUE"""),"LL")</f>
        <v>LL</v>
      </c>
    </row>
    <row r="5572" ht="15.75" customHeight="1">
      <c r="A5572" s="1" t="str">
        <f>IFERROR(__xludf.DUMMYFUNCTION("""COMPUTED_VALUE"""),"Kali Kanevski")</f>
        <v>Kali Kanevski</v>
      </c>
      <c r="B5572" s="1" t="str">
        <f>IFERROR(__xludf.DUMMYFUNCTION("""COMPUTED_VALUE"""),"L1")</f>
        <v>L1</v>
      </c>
    </row>
    <row r="5573" ht="15.75" customHeight="1">
      <c r="A5573" s="1" t="str">
        <f>IFERROR(__xludf.DUMMYFUNCTION("""COMPUTED_VALUE"""),"Jack Balfour")</f>
        <v>Jack Balfour</v>
      </c>
      <c r="B5573" s="1" t="str">
        <f>IFERROR(__xludf.DUMMYFUNCTION("""COMPUTED_VALUE"""),"LL")</f>
        <v>LL</v>
      </c>
    </row>
    <row r="5574" ht="15.75" customHeight="1">
      <c r="A5574" s="1" t="str">
        <f>IFERROR(__xludf.DUMMYFUNCTION("""COMPUTED_VALUE"""),"Lyla Kahn")</f>
        <v>Lyla Kahn</v>
      </c>
      <c r="B5574" s="1" t="str">
        <f>IFERROR(__xludf.DUMMYFUNCTION("""COMPUTED_VALUE"""),"MS")</f>
        <v>MS</v>
      </c>
    </row>
    <row r="5575" ht="15.75" customHeight="1">
      <c r="A5575" s="1" t="str">
        <f>IFERROR(__xludf.DUMMYFUNCTION("""COMPUTED_VALUE"""),"Kitt Kanevski")</f>
        <v>Kitt Kanevski</v>
      </c>
      <c r="B5575" s="1" t="str">
        <f>IFERROR(__xludf.DUMMYFUNCTION("""COMPUTED_VALUE"""),"LL")</f>
        <v>LL</v>
      </c>
    </row>
    <row r="5576" ht="15.75" customHeight="1">
      <c r="A5576" s="1" t="str">
        <f>IFERROR(__xludf.DUMMYFUNCTION("""COMPUTED_VALUE"""),"Arden Kaplan")</f>
        <v>Arden Kaplan</v>
      </c>
      <c r="B5576" s="1" t="str">
        <f>IFERROR(__xludf.DUMMYFUNCTION("""COMPUTED_VALUE"""),"LL")</f>
        <v>LL</v>
      </c>
    </row>
    <row r="5577" ht="15.75" customHeight="1">
      <c r="A5577" s="1" t="str">
        <f>IFERROR(__xludf.DUMMYFUNCTION("""COMPUTED_VALUE"""),"Dash Humphrey")</f>
        <v>Dash Humphrey</v>
      </c>
      <c r="B5577" s="1" t="str">
        <f>IFERROR(__xludf.DUMMYFUNCTION("""COMPUTED_VALUE"""),"WL")</f>
        <v>WL</v>
      </c>
    </row>
    <row r="5578" ht="15.75" customHeight="1">
      <c r="A5578" s="1" t="str">
        <f>IFERROR(__xludf.DUMMYFUNCTION("""COMPUTED_VALUE"""),"Aly Townsend")</f>
        <v>Aly Townsend</v>
      </c>
      <c r="B5578" s="1" t="str">
        <f>IFERROR(__xludf.DUMMYFUNCTION("""COMPUTED_VALUE"""),"WL")</f>
        <v>WL</v>
      </c>
    </row>
    <row r="5579" ht="15.75" customHeight="1">
      <c r="A5579" s="1" t="str">
        <f>IFERROR(__xludf.DUMMYFUNCTION("""COMPUTED_VALUE"""),"Finley Smith")</f>
        <v>Finley Smith</v>
      </c>
      <c r="B5579" s="1" t="str">
        <f>IFERROR(__xludf.DUMMYFUNCTION("""COMPUTED_VALUE"""),"MS")</f>
        <v>MS</v>
      </c>
    </row>
    <row r="5580" ht="15.75" customHeight="1">
      <c r="A5580" s="1" t="str">
        <f>IFERROR(__xludf.DUMMYFUNCTION("""COMPUTED_VALUE"""),"Kieran Gandhi")</f>
        <v>Kieran Gandhi</v>
      </c>
      <c r="B5580" s="1" t="str">
        <f>IFERROR(__xludf.DUMMYFUNCTION("""COMPUTED_VALUE"""),"L1")</f>
        <v>L1</v>
      </c>
    </row>
    <row r="5581" ht="15.75" customHeight="1">
      <c r="A5581" s="1" t="str">
        <f>IFERROR(__xludf.DUMMYFUNCTION("""COMPUTED_VALUE"""),"Tim Svirsky")</f>
        <v>Tim Svirsky</v>
      </c>
      <c r="B5581" s="1" t="str">
        <f>IFERROR(__xludf.DUMMYFUNCTION("""COMPUTED_VALUE"""),"MS")</f>
        <v>MS</v>
      </c>
    </row>
    <row r="5582" ht="15.75" customHeight="1">
      <c r="A5582" s="1" t="str">
        <f>IFERROR(__xludf.DUMMYFUNCTION("""COMPUTED_VALUE"""),"Julien Modir")</f>
        <v>Julien Modir</v>
      </c>
      <c r="B5582" s="1" t="str">
        <f>IFERROR(__xludf.DUMMYFUNCTION("""COMPUTED_VALUE"""),"L1")</f>
        <v>L1</v>
      </c>
    </row>
    <row r="5583" ht="15.75" customHeight="1">
      <c r="A5583" s="1" t="str">
        <f>IFERROR(__xludf.DUMMYFUNCTION("""COMPUTED_VALUE"""),"Arden Chatham")</f>
        <v>Arden Chatham</v>
      </c>
      <c r="B5583" s="1" t="str">
        <f>IFERROR(__xludf.DUMMYFUNCTION("""COMPUTED_VALUE"""),"WL")</f>
        <v>WL</v>
      </c>
    </row>
    <row r="5584" ht="15.75" customHeight="1">
      <c r="A5584" s="1" t="str">
        <f>IFERROR(__xludf.DUMMYFUNCTION("""COMPUTED_VALUE"""),"Ben Williams")</f>
        <v>Ben Williams</v>
      </c>
      <c r="B5584" s="1" t="str">
        <f>IFERROR(__xludf.DUMMYFUNCTION("""COMPUTED_VALUE"""),"MS")</f>
        <v>MS</v>
      </c>
    </row>
    <row r="5585" ht="15.75" customHeight="1">
      <c r="A5585" s="1" t="str">
        <f>IFERROR(__xludf.DUMMYFUNCTION("""COMPUTED_VALUE"""),"Ryan Rockefeller")</f>
        <v>Ryan Rockefeller</v>
      </c>
      <c r="B5585" s="1" t="str">
        <f>IFERROR(__xludf.DUMMYFUNCTION("""COMPUTED_VALUE"""),"L2")</f>
        <v>L2</v>
      </c>
    </row>
    <row r="5586" ht="15.75" customHeight="1">
      <c r="A5586" s="1" t="str">
        <f>IFERROR(__xludf.DUMMYFUNCTION("""COMPUTED_VALUE"""),"John Rockefeller")</f>
        <v>John Rockefeller</v>
      </c>
      <c r="B5586" s="1" t="str">
        <f>IFERROR(__xludf.DUMMYFUNCTION("""COMPUTED_VALUE"""),"MS")</f>
        <v>MS</v>
      </c>
    </row>
    <row r="5587" ht="15.75" customHeight="1">
      <c r="A5587" s="1" t="str">
        <f>IFERROR(__xludf.DUMMYFUNCTION("""COMPUTED_VALUE"""),"William Zhang")</f>
        <v>William Zhang</v>
      </c>
      <c r="B5587" s="1" t="str">
        <f>IFERROR(__xludf.DUMMYFUNCTION("""COMPUTED_VALUE"""),"L2")</f>
        <v>L2</v>
      </c>
    </row>
    <row r="5588" ht="15.75" customHeight="1">
      <c r="A5588" s="1" t="str">
        <f>IFERROR(__xludf.DUMMYFUNCTION("""COMPUTED_VALUE"""),"Alexander von Koch")</f>
        <v>Alexander von Koch</v>
      </c>
      <c r="B5588" s="1" t="str">
        <f>IFERROR(__xludf.DUMMYFUNCTION("""COMPUTED_VALUE"""),"MS")</f>
        <v>MS</v>
      </c>
    </row>
    <row r="5589" ht="15.75" customHeight="1">
      <c r="A5589" s="1" t="str">
        <f>IFERROR(__xludf.DUMMYFUNCTION("""COMPUTED_VALUE"""),"Chaydin Lui")</f>
        <v>Chaydin Lui</v>
      </c>
      <c r="B5589" s="1" t="str">
        <f>IFERROR(__xludf.DUMMYFUNCTION("""COMPUTED_VALUE"""),"WL")</f>
        <v>WL</v>
      </c>
    </row>
    <row r="5590" ht="15.75" customHeight="1">
      <c r="A5590" s="1" t="str">
        <f>IFERROR(__xludf.DUMMYFUNCTION("""COMPUTED_VALUE"""),"Sequoia Kievlan")</f>
        <v>Sequoia Kievlan</v>
      </c>
      <c r="B5590" s="1" t="str">
        <f>IFERROR(__xludf.DUMMYFUNCTION("""COMPUTED_VALUE"""),"WL")</f>
        <v>WL</v>
      </c>
    </row>
    <row r="5591" ht="15.75" customHeight="1">
      <c r="A5591" s="1" t="str">
        <f>IFERROR(__xludf.DUMMYFUNCTION("""COMPUTED_VALUE"""),"Aniya Akhund")</f>
        <v>Aniya Akhund</v>
      </c>
      <c r="B5591" s="1" t="str">
        <f>IFERROR(__xludf.DUMMYFUNCTION("""COMPUTED_VALUE"""),"MS")</f>
        <v>MS</v>
      </c>
    </row>
    <row r="5592" ht="15.75" customHeight="1">
      <c r="A5592" s="1" t="str">
        <f>IFERROR(__xludf.DUMMYFUNCTION("""COMPUTED_VALUE"""),"Helena Akhund")</f>
        <v>Helena Akhund</v>
      </c>
      <c r="B5592" s="1" t="str">
        <f>IFERROR(__xludf.DUMMYFUNCTION("""COMPUTED_VALUE"""),"L1")</f>
        <v>L1</v>
      </c>
    </row>
    <row r="5593" ht="15.75" customHeight="1">
      <c r="A5593" s="1" t="str">
        <f>IFERROR(__xludf.DUMMYFUNCTION("""COMPUTED_VALUE"""),"Gus Nee")</f>
        <v>Gus Nee</v>
      </c>
      <c r="B5593" s="1" t="str">
        <f>IFERROR(__xludf.DUMMYFUNCTION("""COMPUTED_VALUE"""),"WL")</f>
        <v>WL</v>
      </c>
    </row>
    <row r="5594" ht="15.75" customHeight="1">
      <c r="A5594" s="1" t="str">
        <f>IFERROR(__xludf.DUMMYFUNCTION("""COMPUTED_VALUE"""),"Dmitry _test_child")</f>
        <v>Dmitry _test_child</v>
      </c>
      <c r="B5594" s="1" t="str">
        <f>IFERROR(__xludf.DUMMYFUNCTION("""COMPUTED_VALUE"""),"L1")</f>
        <v>L1</v>
      </c>
    </row>
    <row r="5595" ht="15.75" customHeight="1">
      <c r="A5595" s="1" t="str">
        <f>IFERROR(__xludf.DUMMYFUNCTION("""COMPUTED_VALUE"""),"Patrick Cunningham")</f>
        <v>Patrick Cunningham</v>
      </c>
      <c r="B5595" s="1" t="str">
        <f>IFERROR(__xludf.DUMMYFUNCTION("""COMPUTED_VALUE"""),"WL")</f>
        <v>WL</v>
      </c>
    </row>
    <row r="5596" ht="15.75" customHeight="1">
      <c r="A5596" s="1" t="str">
        <f>IFERROR(__xludf.DUMMYFUNCTION("""COMPUTED_VALUE"""),"Teddy Moore")</f>
        <v>Teddy Moore</v>
      </c>
      <c r="B5596" s="1" t="str">
        <f>IFERROR(__xludf.DUMMYFUNCTION("""COMPUTED_VALUE"""),"WL")</f>
        <v>WL</v>
      </c>
    </row>
    <row r="5597" ht="15.75" customHeight="1">
      <c r="A5597" s="1" t="str">
        <f>IFERROR(__xludf.DUMMYFUNCTION("""COMPUTED_VALUE"""),"Leah Noomi Moe Smith")</f>
        <v>Leah Noomi Moe Smith</v>
      </c>
      <c r="B5597" s="1" t="str">
        <f>IFERROR(__xludf.DUMMYFUNCTION("""COMPUTED_VALUE"""),"L2")</f>
        <v>L2</v>
      </c>
    </row>
    <row r="5598" ht="15.75" customHeight="1">
      <c r="A5598" s="1" t="str">
        <f>IFERROR(__xludf.DUMMYFUNCTION("""COMPUTED_VALUE"""),"Laurie Hill-Seward")</f>
        <v>Laurie Hill-Seward</v>
      </c>
      <c r="B5598" s="1" t="str">
        <f>IFERROR(__xludf.DUMMYFUNCTION("""COMPUTED_VALUE"""),"L2")</f>
        <v>L2</v>
      </c>
    </row>
    <row r="5599" ht="15.75" customHeight="1">
      <c r="A5599" s="1" t="str">
        <f>IFERROR(__xludf.DUMMYFUNCTION("""COMPUTED_VALUE"""),"Soren Stoecker")</f>
        <v>Soren Stoecker</v>
      </c>
      <c r="B5599" s="1" t="str">
        <f>IFERROR(__xludf.DUMMYFUNCTION("""COMPUTED_VALUE"""),"L2")</f>
        <v>L2</v>
      </c>
    </row>
    <row r="5600" ht="15.75" customHeight="1">
      <c r="A5600" s="1" t="str">
        <f>IFERROR(__xludf.DUMMYFUNCTION("""COMPUTED_VALUE"""),"Ivan Meng")</f>
        <v>Ivan Meng</v>
      </c>
      <c r="B5600" s="1" t="str">
        <f>IFERROR(__xludf.DUMMYFUNCTION("""COMPUTED_VALUE"""),"MS")</f>
        <v>MS</v>
      </c>
    </row>
    <row r="5601" ht="15.75" customHeight="1">
      <c r="A5601" s="1" t="str">
        <f>IFERROR(__xludf.DUMMYFUNCTION("""COMPUTED_VALUE"""),"Charlie Booth")</f>
        <v>Charlie Booth</v>
      </c>
      <c r="B5601" s="1" t="str">
        <f>IFERROR(__xludf.DUMMYFUNCTION("""COMPUTED_VALUE"""),"L1")</f>
        <v>L1</v>
      </c>
    </row>
    <row r="5602" ht="15.75" customHeight="1">
      <c r="A5602" s="1" t="str">
        <f>IFERROR(__xludf.DUMMYFUNCTION("""COMPUTED_VALUE"""),"Aliya Trang")</f>
        <v>Aliya Trang</v>
      </c>
      <c r="B5602" s="1" t="str">
        <f>IFERROR(__xludf.DUMMYFUNCTION("""COMPUTED_VALUE"""),"WL")</f>
        <v>WL</v>
      </c>
    </row>
    <row r="5603" ht="15.75" customHeight="1">
      <c r="A5603" s="1" t="str">
        <f>IFERROR(__xludf.DUMMYFUNCTION("""COMPUTED_VALUE"""),"Milam Morgan")</f>
        <v>Milam Morgan</v>
      </c>
      <c r="B5603" s="1" t="str">
        <f>IFERROR(__xludf.DUMMYFUNCTION("""COMPUTED_VALUE"""),"L1")</f>
        <v>L1</v>
      </c>
    </row>
    <row r="5604" ht="15.75" customHeight="1">
      <c r="A5604" s="1" t="str">
        <f>IFERROR(__xludf.DUMMYFUNCTION("""COMPUTED_VALUE"""),"Luther Ortega")</f>
        <v>Luther Ortega</v>
      </c>
      <c r="B5604" s="1" t="str">
        <f>IFERROR(__xludf.DUMMYFUNCTION("""COMPUTED_VALUE"""),"L2")</f>
        <v>L2</v>
      </c>
    </row>
    <row r="5605" ht="15.75" customHeight="1">
      <c r="A5605" s="1" t="str">
        <f>IFERROR(__xludf.DUMMYFUNCTION("""COMPUTED_VALUE"""),"Tyler Norris")</f>
        <v>Tyler Norris</v>
      </c>
      <c r="B5605" s="1" t="str">
        <f>IFERROR(__xludf.DUMMYFUNCTION("""COMPUTED_VALUE"""),"L2")</f>
        <v>L2</v>
      </c>
    </row>
    <row r="5606" ht="15.75" customHeight="1">
      <c r="A5606" s="1" t="str">
        <f>IFERROR(__xludf.DUMMYFUNCTION("""COMPUTED_VALUE"""),"Aubrey Pevehouse")</f>
        <v>Aubrey Pevehouse</v>
      </c>
      <c r="B5606" s="1" t="str">
        <f>IFERROR(__xludf.DUMMYFUNCTION("""COMPUTED_VALUE"""),"MS")</f>
        <v>MS</v>
      </c>
    </row>
    <row r="5607" ht="15.75" customHeight="1">
      <c r="A5607" s="1" t="str">
        <f>IFERROR(__xludf.DUMMYFUNCTION("""COMPUTED_VALUE"""),"WP Student _test_")</f>
        <v>WP Student _test_</v>
      </c>
      <c r="B5607" s="1" t="str">
        <f>IFERROR(__xludf.DUMMYFUNCTION("""COMPUTED_VALUE"""),"L2")</f>
        <v>L2</v>
      </c>
    </row>
    <row r="5608" ht="15.75" customHeight="1">
      <c r="A5608" s="1" t="str">
        <f>IFERROR(__xludf.DUMMYFUNCTION("""COMPUTED_VALUE"""),"WP Student 2 _test_")</f>
        <v>WP Student 2 _test_</v>
      </c>
      <c r="B5608" s="1" t="str">
        <f>IFERROR(__xludf.DUMMYFUNCTION("""COMPUTED_VALUE"""),"L1")</f>
        <v>L1</v>
      </c>
    </row>
    <row r="5609" ht="15.75" customHeight="1">
      <c r="A5609" s="1" t="str">
        <f>IFERROR(__xludf.DUMMYFUNCTION("""COMPUTED_VALUE"""),"Harriet Pretorius")</f>
        <v>Harriet Pretorius</v>
      </c>
      <c r="B5609" s="1" t="str">
        <f>IFERROR(__xludf.DUMMYFUNCTION("""COMPUTED_VALUE"""),"L1")</f>
        <v>L1</v>
      </c>
    </row>
    <row r="5610" ht="15.75" customHeight="1">
      <c r="A5610" s="1" t="str">
        <f>IFERROR(__xludf.DUMMYFUNCTION("""COMPUTED_VALUE"""),"Liam Pretorius")</f>
        <v>Liam Pretorius</v>
      </c>
      <c r="B5610" s="1" t="str">
        <f>IFERROR(__xludf.DUMMYFUNCTION("""COMPUTED_VALUE"""),"LL")</f>
        <v>LL</v>
      </c>
    </row>
    <row r="5611" ht="15.75" customHeight="1">
      <c r="A5611" s="1" t="str">
        <f>IFERROR(__xludf.DUMMYFUNCTION("""COMPUTED_VALUE"""),"Theo Hemphill")</f>
        <v>Theo Hemphill</v>
      </c>
      <c r="B5611" s="1" t="str">
        <f>IFERROR(__xludf.DUMMYFUNCTION("""COMPUTED_VALUE"""),"WL")</f>
        <v>WL</v>
      </c>
    </row>
    <row r="5612" ht="15.75" customHeight="1">
      <c r="A5612" s="1" t="str">
        <f>IFERROR(__xludf.DUMMYFUNCTION("""COMPUTED_VALUE"""),"Atlas Ryan")</f>
        <v>Atlas Ryan</v>
      </c>
      <c r="B5612" s="1" t="str">
        <f>IFERROR(__xludf.DUMMYFUNCTION("""COMPUTED_VALUE"""),"L1")</f>
        <v>L1</v>
      </c>
    </row>
    <row r="5613" ht="15.75" customHeight="1">
      <c r="A5613" s="1" t="str">
        <f>IFERROR(__xludf.DUMMYFUNCTION("""COMPUTED_VALUE"""),"Bishop Max")</f>
        <v>Bishop Max</v>
      </c>
      <c r="B5613" s="1" t="str">
        <f>IFERROR(__xludf.DUMMYFUNCTION("""COMPUTED_VALUE"""),"L2")</f>
        <v>L2</v>
      </c>
    </row>
    <row r="5614" ht="15.75" customHeight="1">
      <c r="A5614" s="1" t="str">
        <f>IFERROR(__xludf.DUMMYFUNCTION("""COMPUTED_VALUE"""),"Athena Soni")</f>
        <v>Athena Soni</v>
      </c>
      <c r="B5614" s="1" t="str">
        <f>IFERROR(__xludf.DUMMYFUNCTION("""COMPUTED_VALUE"""),"LL")</f>
        <v>LL</v>
      </c>
    </row>
    <row r="5615" ht="15.75" customHeight="1">
      <c r="A5615" s="1" t="str">
        <f>IFERROR(__xludf.DUMMYFUNCTION("""COMPUTED_VALUE"""),"Alice Bateman")</f>
        <v>Alice Bateman</v>
      </c>
      <c r="B5615" s="1" t="str">
        <f>IFERROR(__xludf.DUMMYFUNCTION("""COMPUTED_VALUE"""),"LL")</f>
        <v>LL</v>
      </c>
    </row>
    <row r="5616" ht="15.75" customHeight="1">
      <c r="A5616" s="1" t="str">
        <f>IFERROR(__xludf.DUMMYFUNCTION("""COMPUTED_VALUE"""),"Arjun Rana")</f>
        <v>Arjun Rana</v>
      </c>
      <c r="B5616" s="1" t="str">
        <f>IFERROR(__xludf.DUMMYFUNCTION("""COMPUTED_VALUE"""),"MS")</f>
        <v>MS</v>
      </c>
    </row>
    <row r="5617" ht="15.75" customHeight="1">
      <c r="A5617" s="1" t="str">
        <f>IFERROR(__xludf.DUMMYFUNCTION("""COMPUTED_VALUE"""),"Clara Modlin")</f>
        <v>Clara Modlin</v>
      </c>
      <c r="B5617" s="1" t="str">
        <f>IFERROR(__xludf.DUMMYFUNCTION("""COMPUTED_VALUE"""),"L1")</f>
        <v>L1</v>
      </c>
    </row>
    <row r="5618" ht="15.75" customHeight="1">
      <c r="A5618" s="1" t="str">
        <f>IFERROR(__xludf.DUMMYFUNCTION("""COMPUTED_VALUE"""),"Riva Stucchio")</f>
        <v>Riva Stucchio</v>
      </c>
      <c r="B5618" s="1" t="str">
        <f>IFERROR(__xludf.DUMMYFUNCTION("""COMPUTED_VALUE"""),"LL")</f>
        <v>LL</v>
      </c>
    </row>
    <row r="5619" ht="15.75" customHeight="1">
      <c r="A5619" s="1" t="str">
        <f>IFERROR(__xludf.DUMMYFUNCTION("""COMPUTED_VALUE"""),"Taliya Diab-Marzouk")</f>
        <v>Taliya Diab-Marzouk</v>
      </c>
      <c r="B5619" s="1" t="str">
        <f>IFERROR(__xludf.DUMMYFUNCTION("""COMPUTED_VALUE"""),"LL")</f>
        <v>LL</v>
      </c>
    </row>
    <row r="5620" ht="15.75" customHeight="1">
      <c r="A5620" s="1" t="str">
        <f>IFERROR(__xludf.DUMMYFUNCTION("""COMPUTED_VALUE"""),"Vikram Singh")</f>
        <v>Vikram Singh</v>
      </c>
      <c r="B5620" s="1" t="str">
        <f>IFERROR(__xludf.DUMMYFUNCTION("""COMPUTED_VALUE"""),"LL")</f>
        <v>LL</v>
      </c>
    </row>
    <row r="5621" ht="15.75" customHeight="1">
      <c r="A5621" s="1" t="str">
        <f>IFERROR(__xludf.DUMMYFUNCTION("""COMPUTED_VALUE"""),"Karthik Bala")</f>
        <v>Karthik Bala</v>
      </c>
      <c r="B5621" s="1" t="str">
        <f>IFERROR(__xludf.DUMMYFUNCTION("""COMPUTED_VALUE"""),"LL")</f>
        <v>LL</v>
      </c>
    </row>
    <row r="5622" ht="15.75" customHeight="1">
      <c r="A5622" s="1" t="str">
        <f>IFERROR(__xludf.DUMMYFUNCTION("""COMPUTED_VALUE"""),"Griffin Mendes")</f>
        <v>Griffin Mendes</v>
      </c>
      <c r="B5622" s="1" t="str">
        <f>IFERROR(__xludf.DUMMYFUNCTION("""COMPUTED_VALUE"""),"L2")</f>
        <v>L2</v>
      </c>
    </row>
    <row r="5623" ht="15.75" customHeight="1">
      <c r="A5623" s="1" t="str">
        <f>IFERROR(__xludf.DUMMYFUNCTION("""COMPUTED_VALUE"""),"Andrew Alba")</f>
        <v>Andrew Alba</v>
      </c>
      <c r="B5623" s="1" t="str">
        <f>IFERROR(__xludf.DUMMYFUNCTION("""COMPUTED_VALUE"""),"LL")</f>
        <v>LL</v>
      </c>
    </row>
    <row r="5624" ht="15.75" customHeight="1">
      <c r="A5624" s="1" t="str">
        <f>IFERROR(__xludf.DUMMYFUNCTION("""COMPUTED_VALUE"""),"Mebin Timilsina")</f>
        <v>Mebin Timilsina</v>
      </c>
      <c r="B5624" s="1" t="str">
        <f>IFERROR(__xludf.DUMMYFUNCTION("""COMPUTED_VALUE"""),"L1")</f>
        <v>L1</v>
      </c>
    </row>
    <row r="5625" ht="15.75" customHeight="1">
      <c r="A5625" s="1" t="str">
        <f>IFERROR(__xludf.DUMMYFUNCTION("""COMPUTED_VALUE"""),"Jake Grimes")</f>
        <v>Jake Grimes</v>
      </c>
      <c r="B5625" s="1" t="str">
        <f>IFERROR(__xludf.DUMMYFUNCTION("""COMPUTED_VALUE"""),"LL")</f>
        <v>LL</v>
      </c>
    </row>
    <row r="5626" ht="15.75" customHeight="1">
      <c r="A5626" s="1" t="str">
        <f>IFERROR(__xludf.DUMMYFUNCTION("""COMPUTED_VALUE"""),"Jayden Daguillard")</f>
        <v>Jayden Daguillard</v>
      </c>
      <c r="B5626" s="1" t="str">
        <f>IFERROR(__xludf.DUMMYFUNCTION("""COMPUTED_VALUE"""),"L1")</f>
        <v>L1</v>
      </c>
    </row>
    <row r="5627" ht="15.75" customHeight="1">
      <c r="A5627" s="1" t="str">
        <f>IFERROR(__xludf.DUMMYFUNCTION("""COMPUTED_VALUE"""),"Jaxx Daguillard")</f>
        <v>Jaxx Daguillard</v>
      </c>
      <c r="B5627" s="1" t="str">
        <f>IFERROR(__xludf.DUMMYFUNCTION("""COMPUTED_VALUE"""),"LL")</f>
        <v>LL</v>
      </c>
    </row>
    <row r="5628" ht="15.75" customHeight="1">
      <c r="A5628" s="1" t="str">
        <f>IFERROR(__xludf.DUMMYFUNCTION("""COMPUTED_VALUE"""),"Zara Enayati")</f>
        <v>Zara Enayati</v>
      </c>
      <c r="B5628" s="1" t="str">
        <f>IFERROR(__xludf.DUMMYFUNCTION("""COMPUTED_VALUE"""),"L1")</f>
        <v>L1</v>
      </c>
    </row>
    <row r="5629" ht="15.75" customHeight="1">
      <c r="A5629" s="1" t="str">
        <f>IFERROR(__xludf.DUMMYFUNCTION("""COMPUTED_VALUE"""),"Walker Hammond")</f>
        <v>Walker Hammond</v>
      </c>
      <c r="B5629" s="1" t="str">
        <f>IFERROR(__xludf.DUMMYFUNCTION("""COMPUTED_VALUE"""),"LL")</f>
        <v>LL</v>
      </c>
    </row>
    <row r="5630" ht="15.75" customHeight="1">
      <c r="A5630" s="1" t="str">
        <f>IFERROR(__xludf.DUMMYFUNCTION("""COMPUTED_VALUE"""),"Oliver Roa")</f>
        <v>Oliver Roa</v>
      </c>
      <c r="B5630" s="1" t="str">
        <f>IFERROR(__xludf.DUMMYFUNCTION("""COMPUTED_VALUE"""),"WL")</f>
        <v>WL</v>
      </c>
    </row>
    <row r="5631" ht="15.75" customHeight="1">
      <c r="A5631" s="1" t="str">
        <f>IFERROR(__xludf.DUMMYFUNCTION("""COMPUTED_VALUE"""),"Zander Halili")</f>
        <v>Zander Halili</v>
      </c>
      <c r="B5631" s="1" t="str">
        <f>IFERROR(__xludf.DUMMYFUNCTION("""COMPUTED_VALUE"""),"L1")</f>
        <v>L1</v>
      </c>
    </row>
    <row r="5632" ht="15.75" customHeight="1">
      <c r="A5632" s="1" t="str">
        <f>IFERROR(__xludf.DUMMYFUNCTION("""COMPUTED_VALUE"""),"Kriya Santhoshkumar")</f>
        <v>Kriya Santhoshkumar</v>
      </c>
      <c r="B5632" s="1" t="str">
        <f>IFERROR(__xludf.DUMMYFUNCTION("""COMPUTED_VALUE"""),"L1")</f>
        <v>L1</v>
      </c>
    </row>
    <row r="5633" ht="15.75" customHeight="1">
      <c r="A5633" s="1" t="str">
        <f>IFERROR(__xludf.DUMMYFUNCTION("""COMPUTED_VALUE"""),"Soren Winter")</f>
        <v>Soren Winter</v>
      </c>
      <c r="B5633" s="1" t="str">
        <f>IFERROR(__xludf.DUMMYFUNCTION("""COMPUTED_VALUE"""),"LL")</f>
        <v>LL</v>
      </c>
    </row>
    <row r="5634" ht="15.75" customHeight="1">
      <c r="A5634" s="1" t="str">
        <f>IFERROR(__xludf.DUMMYFUNCTION("""COMPUTED_VALUE"""),"Test 4 _test_")</f>
        <v>Test 4 _test_</v>
      </c>
      <c r="B5634" s="1" t="str">
        <f>IFERROR(__xludf.DUMMYFUNCTION("""COMPUTED_VALUE"""),"L1")</f>
        <v>L1</v>
      </c>
    </row>
    <row r="5635" ht="15.75" customHeight="1">
      <c r="A5635" s="1" t="str">
        <f>IFERROR(__xludf.DUMMYFUNCTION("""COMPUTED_VALUE"""),"Urs Pilipow")</f>
        <v>Urs Pilipow</v>
      </c>
      <c r="B5635" s="1" t="str">
        <f>IFERROR(__xludf.DUMMYFUNCTION("""COMPUTED_VALUE"""),"WL")</f>
        <v>WL</v>
      </c>
    </row>
    <row r="5636" ht="15.75" customHeight="1">
      <c r="A5636" s="1" t="str">
        <f>IFERROR(__xludf.DUMMYFUNCTION("""COMPUTED_VALUE"""),"Maya Prokupets")</f>
        <v>Maya Prokupets</v>
      </c>
      <c r="B5636" s="1" t="str">
        <f>IFERROR(__xludf.DUMMYFUNCTION("""COMPUTED_VALUE"""),"LL")</f>
        <v>LL</v>
      </c>
    </row>
    <row r="5637" ht="15.75" customHeight="1">
      <c r="A5637" s="1" t="str">
        <f>IFERROR(__xludf.DUMMYFUNCTION("""COMPUTED_VALUE"""),"Liam Rahim")</f>
        <v>Liam Rahim</v>
      </c>
      <c r="B5637" s="1" t="str">
        <f>IFERROR(__xludf.DUMMYFUNCTION("""COMPUTED_VALUE"""),"LL")</f>
        <v>LL</v>
      </c>
    </row>
    <row r="5638" ht="15.75" customHeight="1">
      <c r="A5638" s="1" t="str">
        <f>IFERROR(__xludf.DUMMYFUNCTION("""COMPUTED_VALUE"""),"Test 404 _test_")</f>
        <v>Test 404 _test_</v>
      </c>
      <c r="B5638" s="1" t="str">
        <f>IFERROR(__xludf.DUMMYFUNCTION("""COMPUTED_VALUE"""),"L1")</f>
        <v>L1</v>
      </c>
    </row>
    <row r="5639" ht="15.75" customHeight="1">
      <c r="A5639" s="1" t="str">
        <f>IFERROR(__xludf.DUMMYFUNCTION("""COMPUTED_VALUE"""),"Test 406 _test_")</f>
        <v>Test 406 _test_</v>
      </c>
      <c r="B5639" s="1" t="str">
        <f>IFERROR(__xludf.DUMMYFUNCTION("""COMPUTED_VALUE"""),"L1")</f>
        <v>L1</v>
      </c>
    </row>
    <row r="5640" ht="15.75" customHeight="1">
      <c r="A5640" s="1" t="str">
        <f>IFERROR(__xludf.DUMMYFUNCTION("""COMPUTED_VALUE"""),"Jiwoo Choi")</f>
        <v>Jiwoo Choi</v>
      </c>
      <c r="B5640" s="1" t="str">
        <f>IFERROR(__xludf.DUMMYFUNCTION("""COMPUTED_VALUE"""),"LL")</f>
        <v>LL</v>
      </c>
    </row>
    <row r="5641" ht="15.75" customHeight="1">
      <c r="A5641" s="1" t="str">
        <f>IFERROR(__xludf.DUMMYFUNCTION("""COMPUTED_VALUE"""),"Arjun Patel")</f>
        <v>Arjun Patel</v>
      </c>
      <c r="B5641" s="1" t="str">
        <f>IFERROR(__xludf.DUMMYFUNCTION("""COMPUTED_VALUE"""),"LL")</f>
        <v>LL</v>
      </c>
    </row>
    <row r="5642" ht="15.75" customHeight="1">
      <c r="A5642" s="1" t="str">
        <f>IFERROR(__xludf.DUMMYFUNCTION("""COMPUTED_VALUE"""),"Suri Patel")</f>
        <v>Suri Patel</v>
      </c>
      <c r="B5642" s="1" t="str">
        <f>IFERROR(__xludf.DUMMYFUNCTION("""COMPUTED_VALUE"""),"WL")</f>
        <v>WL</v>
      </c>
    </row>
    <row r="5643" ht="15.75" customHeight="1">
      <c r="A5643" s="1" t="str">
        <f>IFERROR(__xludf.DUMMYFUNCTION("""COMPUTED_VALUE"""),"Evan Allen")</f>
        <v>Evan Allen</v>
      </c>
      <c r="B5643" s="1" t="str">
        <f>IFERROR(__xludf.DUMMYFUNCTION("""COMPUTED_VALUE"""),"L1")</f>
        <v>L1</v>
      </c>
    </row>
    <row r="5644" ht="15.75" customHeight="1">
      <c r="A5644" s="1" t="str">
        <f>IFERROR(__xludf.DUMMYFUNCTION("""COMPUTED_VALUE"""),"Colt Stark")</f>
        <v>Colt Stark</v>
      </c>
      <c r="B5644" s="1" t="str">
        <f>IFERROR(__xludf.DUMMYFUNCTION("""COMPUTED_VALUE"""),"WL")</f>
        <v>WL</v>
      </c>
    </row>
    <row r="5645" ht="15.75" customHeight="1">
      <c r="A5645" s="1" t="str">
        <f>IFERROR(__xludf.DUMMYFUNCTION("""COMPUTED_VALUE"""),"Odin Yang")</f>
        <v>Odin Yang</v>
      </c>
      <c r="B5645" s="1" t="str">
        <f>IFERROR(__xludf.DUMMYFUNCTION("""COMPUTED_VALUE"""),"WL")</f>
        <v>WL</v>
      </c>
    </row>
    <row r="5646" ht="15.75" customHeight="1">
      <c r="A5646" s="1" t="str">
        <f>IFERROR(__xludf.DUMMYFUNCTION("""COMPUTED_VALUE"""),"Lucas Skinner")</f>
        <v>Lucas Skinner</v>
      </c>
      <c r="B5646" s="1" t="str">
        <f>IFERROR(__xludf.DUMMYFUNCTION("""COMPUTED_VALUE"""),"L1")</f>
        <v>L1</v>
      </c>
    </row>
    <row r="5647" ht="15.75" customHeight="1">
      <c r="A5647" s="1" t="str">
        <f>IFERROR(__xludf.DUMMYFUNCTION("""COMPUTED_VALUE"""),"Eva Skinner")</f>
        <v>Eva Skinner</v>
      </c>
      <c r="B5647" s="1" t="str">
        <f>IFERROR(__xludf.DUMMYFUNCTION("""COMPUTED_VALUE"""),"LL")</f>
        <v>LL</v>
      </c>
    </row>
    <row r="5648" ht="15.75" customHeight="1">
      <c r="A5648" s="1" t="str">
        <f>IFERROR(__xludf.DUMMYFUNCTION("""COMPUTED_VALUE"""),"ReadingF ReadingL")</f>
        <v>ReadingF ReadingL</v>
      </c>
      <c r="B5648" s="1" t="str">
        <f>IFERROR(__xludf.DUMMYFUNCTION("""COMPUTED_VALUE"""),"MS")</f>
        <v>MS</v>
      </c>
    </row>
    <row r="5649" ht="15.75" customHeight="1">
      <c r="A5649" s="1" t="str">
        <f>IFERROR(__xludf.DUMMYFUNCTION("""COMPUTED_VALUE"""),"Aaleah Berry")</f>
        <v>Aaleah Berry</v>
      </c>
      <c r="B5649" s="1" t="str">
        <f>IFERROR(__xludf.DUMMYFUNCTION("""COMPUTED_VALUE"""),"L2")</f>
        <v>L2</v>
      </c>
    </row>
    <row r="5650" ht="15.75" customHeight="1">
      <c r="A5650" s="1" t="str">
        <f>IFERROR(__xludf.DUMMYFUNCTION("""COMPUTED_VALUE"""),"Adam Hyden")</f>
        <v>Adam Hyden</v>
      </c>
      <c r="B5650" s="1" t="str">
        <f>IFERROR(__xludf.DUMMYFUNCTION("""COMPUTED_VALUE"""),"L2")</f>
        <v>L2</v>
      </c>
    </row>
    <row r="5651" ht="15.75" customHeight="1">
      <c r="A5651" s="1" t="str">
        <f>IFERROR(__xludf.DUMMYFUNCTION("""COMPUTED_VALUE"""),"Addisyn Davis")</f>
        <v>Addisyn Davis</v>
      </c>
      <c r="B5651" s="1" t="str">
        <f>IFERROR(__xludf.DUMMYFUNCTION("""COMPUTED_VALUE"""),"L2")</f>
        <v>L2</v>
      </c>
    </row>
    <row r="5652" ht="15.75" customHeight="1">
      <c r="A5652" s="1" t="str">
        <f>IFERROR(__xludf.DUMMYFUNCTION("""COMPUTED_VALUE"""),"Amiliana Cunningham")</f>
        <v>Amiliana Cunningham</v>
      </c>
      <c r="B5652" s="1" t="str">
        <f>IFERROR(__xludf.DUMMYFUNCTION("""COMPUTED_VALUE"""),"L2")</f>
        <v>L2</v>
      </c>
    </row>
    <row r="5653" ht="15.75" customHeight="1">
      <c r="A5653" s="1" t="str">
        <f>IFERROR(__xludf.DUMMYFUNCTION("""COMPUTED_VALUE"""),"Annsleigh Damron")</f>
        <v>Annsleigh Damron</v>
      </c>
      <c r="B5653" s="1" t="str">
        <f>IFERROR(__xludf.DUMMYFUNCTION("""COMPUTED_VALUE"""),"L2")</f>
        <v>L2</v>
      </c>
    </row>
    <row r="5654" ht="15.75" customHeight="1">
      <c r="A5654" s="1" t="str">
        <f>IFERROR(__xludf.DUMMYFUNCTION("""COMPUTED_VALUE"""),"Arabella Thompson")</f>
        <v>Arabella Thompson</v>
      </c>
      <c r="B5654" s="1" t="str">
        <f>IFERROR(__xludf.DUMMYFUNCTION("""COMPUTED_VALUE"""),"L2")</f>
        <v>L2</v>
      </c>
    </row>
    <row r="5655" ht="15.75" customHeight="1">
      <c r="A5655" s="1" t="str">
        <f>IFERROR(__xludf.DUMMYFUNCTION("""COMPUTED_VALUE"""),"George Zagar")</f>
        <v>George Zagar</v>
      </c>
      <c r="B5655" s="1" t="str">
        <f>IFERROR(__xludf.DUMMYFUNCTION("""COMPUTED_VALUE"""),"L2")</f>
        <v>L2</v>
      </c>
    </row>
    <row r="5656" ht="15.75" customHeight="1">
      <c r="A5656" s="1" t="str">
        <f>IFERROR(__xludf.DUMMYFUNCTION("""COMPUTED_VALUE"""),"Kason Jordan")</f>
        <v>Kason Jordan</v>
      </c>
      <c r="B5656" s="1" t="str">
        <f>IFERROR(__xludf.DUMMYFUNCTION("""COMPUTED_VALUE"""),"L2")</f>
        <v>L2</v>
      </c>
    </row>
    <row r="5657" ht="15.75" customHeight="1">
      <c r="A5657" s="1" t="str">
        <f>IFERROR(__xludf.DUMMYFUNCTION("""COMPUTED_VALUE"""),"Levii Wilson")</f>
        <v>Levii Wilson</v>
      </c>
      <c r="B5657" s="1" t="str">
        <f>IFERROR(__xludf.DUMMYFUNCTION("""COMPUTED_VALUE"""),"L2")</f>
        <v>L2</v>
      </c>
    </row>
    <row r="5658" ht="15.75" customHeight="1">
      <c r="A5658" s="1" t="str">
        <f>IFERROR(__xludf.DUMMYFUNCTION("""COMPUTED_VALUE"""),"Liam Gentile")</f>
        <v>Liam Gentile</v>
      </c>
      <c r="B5658" s="1" t="str">
        <f>IFERROR(__xludf.DUMMYFUNCTION("""COMPUTED_VALUE"""),"L2")</f>
        <v>L2</v>
      </c>
    </row>
    <row r="5659" ht="15.75" customHeight="1">
      <c r="A5659" s="1" t="str">
        <f>IFERROR(__xludf.DUMMYFUNCTION("""COMPUTED_VALUE"""),"London Jones")</f>
        <v>London Jones</v>
      </c>
      <c r="B5659" s="1" t="str">
        <f>IFERROR(__xludf.DUMMYFUNCTION("""COMPUTED_VALUE"""),"L2")</f>
        <v>L2</v>
      </c>
    </row>
    <row r="5660" ht="15.75" customHeight="1">
      <c r="A5660" s="1" t="str">
        <f>IFERROR(__xludf.DUMMYFUNCTION("""COMPUTED_VALUE"""),"Luke Keller")</f>
        <v>Luke Keller</v>
      </c>
      <c r="B5660" s="1" t="str">
        <f>IFERROR(__xludf.DUMMYFUNCTION("""COMPUTED_VALUE"""),"L2")</f>
        <v>L2</v>
      </c>
    </row>
    <row r="5661" ht="15.75" customHeight="1">
      <c r="A5661" s="1" t="str">
        <f>IFERROR(__xludf.DUMMYFUNCTION("""COMPUTED_VALUE"""),"Karson Vick")</f>
        <v>Karson Vick</v>
      </c>
      <c r="B5661" s="1" t="str">
        <f>IFERROR(__xludf.DUMMYFUNCTION("""COMPUTED_VALUE"""),"L2")</f>
        <v>L2</v>
      </c>
    </row>
    <row r="5662" ht="15.75" customHeight="1">
      <c r="A5662" s="1" t="str">
        <f>IFERROR(__xludf.DUMMYFUNCTION("""COMPUTED_VALUE"""),"McKenna Kroeger")</f>
        <v>McKenna Kroeger</v>
      </c>
      <c r="B5662" s="1" t="str">
        <f>IFERROR(__xludf.DUMMYFUNCTION("""COMPUTED_VALUE"""),"L2")</f>
        <v>L2</v>
      </c>
    </row>
    <row r="5663" ht="15.75" customHeight="1">
      <c r="A5663" s="1" t="str">
        <f>IFERROR(__xludf.DUMMYFUNCTION("""COMPUTED_VALUE"""),"Stella Gretchen")</f>
        <v>Stella Gretchen</v>
      </c>
      <c r="B5663" s="1" t="str">
        <f>IFERROR(__xludf.DUMMYFUNCTION("""COMPUTED_VALUE"""),"L2")</f>
        <v>L2</v>
      </c>
    </row>
    <row r="5664" ht="15.75" customHeight="1">
      <c r="A5664" s="1" t="str">
        <f>IFERROR(__xludf.DUMMYFUNCTION("""COMPUTED_VALUE"""),"Zophia Raewyn")</f>
        <v>Zophia Raewyn</v>
      </c>
      <c r="B5664" s="1" t="str">
        <f>IFERROR(__xludf.DUMMYFUNCTION("""COMPUTED_VALUE"""),"L2")</f>
        <v>L2</v>
      </c>
    </row>
    <row r="5665" ht="15.75" customHeight="1">
      <c r="A5665" s="1" t="str">
        <f>IFERROR(__xludf.DUMMYFUNCTION("""COMPUTED_VALUE"""),"Nora Alghazawe")</f>
        <v>Nora Alghazawe</v>
      </c>
      <c r="B5665" s="1" t="str">
        <f>IFERROR(__xludf.DUMMYFUNCTION("""COMPUTED_VALUE"""),"L2")</f>
        <v>L2</v>
      </c>
    </row>
    <row r="5666" ht="15.75" customHeight="1">
      <c r="A5666" s="1" t="str">
        <f>IFERROR(__xludf.DUMMYFUNCTION("""COMPUTED_VALUE"""),"Parish Felder")</f>
        <v>Parish Felder</v>
      </c>
      <c r="B5666" s="1" t="str">
        <f>IFERROR(__xludf.DUMMYFUNCTION("""COMPUTED_VALUE"""),"L2")</f>
        <v>L2</v>
      </c>
    </row>
    <row r="5667" ht="15.75" customHeight="1">
      <c r="A5667" s="1" t="str">
        <f>IFERROR(__xludf.DUMMYFUNCTION("""COMPUTED_VALUE"""),"Reyansh Dhamija")</f>
        <v>Reyansh Dhamija</v>
      </c>
      <c r="B5667" s="1" t="str">
        <f>IFERROR(__xludf.DUMMYFUNCTION("""COMPUTED_VALUE"""),"L2")</f>
        <v>L2</v>
      </c>
    </row>
    <row r="5668" ht="15.75" customHeight="1">
      <c r="A5668" s="1" t="str">
        <f>IFERROR(__xludf.DUMMYFUNCTION("""COMPUTED_VALUE"""),"Skylar Listermann")</f>
        <v>Skylar Listermann</v>
      </c>
      <c r="B5668" s="1" t="str">
        <f>IFERROR(__xludf.DUMMYFUNCTION("""COMPUTED_VALUE"""),"L2")</f>
        <v>L2</v>
      </c>
    </row>
    <row r="5669" ht="15.75" customHeight="1">
      <c r="A5669" s="1" t="str">
        <f>IFERROR(__xludf.DUMMYFUNCTION("""COMPUTED_VALUE"""),"Ta'Naja North")</f>
        <v>Ta'Naja North</v>
      </c>
      <c r="B5669" s="1" t="str">
        <f>IFERROR(__xludf.DUMMYFUNCTION("""COMPUTED_VALUE"""),"L2")</f>
        <v>L2</v>
      </c>
    </row>
    <row r="5670" ht="15.75" customHeight="1">
      <c r="A5670" s="1" t="str">
        <f>IFERROR(__xludf.DUMMYFUNCTION("""COMPUTED_VALUE"""),"Wryan Gravesande")</f>
        <v>Wryan Gravesande</v>
      </c>
      <c r="B5670" s="1" t="str">
        <f>IFERROR(__xludf.DUMMYFUNCTION("""COMPUTED_VALUE"""),"L2")</f>
        <v>L2</v>
      </c>
    </row>
    <row r="5671" ht="15.75" customHeight="1">
      <c r="A5671" s="1" t="str">
        <f>IFERROR(__xludf.DUMMYFUNCTION("""COMPUTED_VALUE"""),"Zachary Mappes")</f>
        <v>Zachary Mappes</v>
      </c>
      <c r="B5671" s="1" t="str">
        <f>IFERROR(__xludf.DUMMYFUNCTION("""COMPUTED_VALUE"""),"L2")</f>
        <v>L2</v>
      </c>
    </row>
    <row r="5672" ht="15.75" customHeight="1">
      <c r="A5672" s="1" t="str">
        <f>IFERROR(__xludf.DUMMYFUNCTION("""COMPUTED_VALUE"""),"Zavier Madden")</f>
        <v>Zavier Madden</v>
      </c>
      <c r="B5672" s="1" t="str">
        <f>IFERROR(__xludf.DUMMYFUNCTION("""COMPUTED_VALUE"""),"L2")</f>
        <v>L2</v>
      </c>
    </row>
    <row r="5673" ht="15.75" customHeight="1">
      <c r="A5673" s="1" t="str">
        <f>IFERROR(__xludf.DUMMYFUNCTION("""COMPUTED_VALUE"""),"Zeth Raewyn")</f>
        <v>Zeth Raewyn</v>
      </c>
      <c r="B5673" s="1" t="str">
        <f>IFERROR(__xludf.DUMMYFUNCTION("""COMPUTED_VALUE"""),"L2")</f>
        <v>L2</v>
      </c>
    </row>
    <row r="5674" ht="15.75" customHeight="1">
      <c r="A5674" s="1" t="str">
        <f>IFERROR(__xludf.DUMMYFUNCTION("""COMPUTED_VALUE"""),"Zowie Smith")</f>
        <v>Zowie Smith</v>
      </c>
      <c r="B5674" s="1" t="str">
        <f>IFERROR(__xludf.DUMMYFUNCTION("""COMPUTED_VALUE"""),"L2")</f>
        <v>L2</v>
      </c>
    </row>
    <row r="5675" ht="15.75" customHeight="1">
      <c r="A5675" s="1" t="str">
        <f>IFERROR(__xludf.DUMMYFUNCTION("""COMPUTED_VALUE"""),"Adilynn Adkins")</f>
        <v>Adilynn Adkins</v>
      </c>
      <c r="B5675" s="1" t="str">
        <f>IFERROR(__xludf.DUMMYFUNCTION("""COMPUTED_VALUE"""),"L2")</f>
        <v>L2</v>
      </c>
    </row>
    <row r="5676" ht="15.75" customHeight="1">
      <c r="A5676" s="1" t="str">
        <f>IFERROR(__xludf.DUMMYFUNCTION("""COMPUTED_VALUE"""),"Amari Lewis")</f>
        <v>Amari Lewis</v>
      </c>
      <c r="B5676" s="1" t="str">
        <f>IFERROR(__xludf.DUMMYFUNCTION("""COMPUTED_VALUE"""),"L2")</f>
        <v>L2</v>
      </c>
    </row>
    <row r="5677" ht="15.75" customHeight="1">
      <c r="A5677" s="1" t="str">
        <f>IFERROR(__xludf.DUMMYFUNCTION("""COMPUTED_VALUE"""),"Ashari Smith")</f>
        <v>Ashari Smith</v>
      </c>
      <c r="B5677" s="1" t="str">
        <f>IFERROR(__xludf.DUMMYFUNCTION("""COMPUTED_VALUE"""),"L2")</f>
        <v>L2</v>
      </c>
    </row>
    <row r="5678" ht="15.75" customHeight="1">
      <c r="A5678" s="1" t="str">
        <f>IFERROR(__xludf.DUMMYFUNCTION("""COMPUTED_VALUE"""),"Asher Ellis")</f>
        <v>Asher Ellis</v>
      </c>
      <c r="B5678" s="1" t="str">
        <f>IFERROR(__xludf.DUMMYFUNCTION("""COMPUTED_VALUE"""),"L2")</f>
        <v>L2</v>
      </c>
    </row>
    <row r="5679" ht="15.75" customHeight="1">
      <c r="A5679" s="1" t="str">
        <f>IFERROR(__xludf.DUMMYFUNCTION("""COMPUTED_VALUE"""),"Bryce Chisenhall")</f>
        <v>Bryce Chisenhall</v>
      </c>
      <c r="B5679" s="1" t="str">
        <f>IFERROR(__xludf.DUMMYFUNCTION("""COMPUTED_VALUE"""),"L2")</f>
        <v>L2</v>
      </c>
    </row>
    <row r="5680" ht="15.75" customHeight="1">
      <c r="A5680" s="1" t="str">
        <f>IFERROR(__xludf.DUMMYFUNCTION("""COMPUTED_VALUE"""),"Camden Hunter")</f>
        <v>Camden Hunter</v>
      </c>
      <c r="B5680" s="1" t="str">
        <f>IFERROR(__xludf.DUMMYFUNCTION("""COMPUTED_VALUE"""),"L2")</f>
        <v>L2</v>
      </c>
    </row>
    <row r="5681" ht="15.75" customHeight="1">
      <c r="A5681" s="1" t="str">
        <f>IFERROR(__xludf.DUMMYFUNCTION("""COMPUTED_VALUE"""),"Cheikh Mbaye")</f>
        <v>Cheikh Mbaye</v>
      </c>
      <c r="B5681" s="1" t="str">
        <f>IFERROR(__xludf.DUMMYFUNCTION("""COMPUTED_VALUE"""),"L2")</f>
        <v>L2</v>
      </c>
    </row>
    <row r="5682" ht="15.75" customHeight="1">
      <c r="A5682" s="1" t="str">
        <f>IFERROR(__xludf.DUMMYFUNCTION("""COMPUTED_VALUE"""),"Dominique Wright")</f>
        <v>Dominique Wright</v>
      </c>
      <c r="B5682" s="1" t="str">
        <f>IFERROR(__xludf.DUMMYFUNCTION("""COMPUTED_VALUE"""),"L2")</f>
        <v>L2</v>
      </c>
    </row>
    <row r="5683" ht="15.75" customHeight="1">
      <c r="A5683" s="1" t="str">
        <f>IFERROR(__xludf.DUMMYFUNCTION("""COMPUTED_VALUE"""),"Elaine Maertz")</f>
        <v>Elaine Maertz</v>
      </c>
      <c r="B5683" s="1" t="str">
        <f>IFERROR(__xludf.DUMMYFUNCTION("""COMPUTED_VALUE"""),"L2")</f>
        <v>L2</v>
      </c>
    </row>
    <row r="5684" ht="15.75" customHeight="1">
      <c r="A5684" s="1" t="str">
        <f>IFERROR(__xludf.DUMMYFUNCTION("""COMPUTED_VALUE"""),"Jayson Rouse")</f>
        <v>Jayson Rouse</v>
      </c>
      <c r="B5684" s="1" t="str">
        <f>IFERROR(__xludf.DUMMYFUNCTION("""COMPUTED_VALUE"""),"L2")</f>
        <v>L2</v>
      </c>
    </row>
    <row r="5685" ht="15.75" customHeight="1">
      <c r="A5685" s="1" t="str">
        <f>IFERROR(__xludf.DUMMYFUNCTION("""COMPUTED_VALUE"""),"Jayvien Hahn")</f>
        <v>Jayvien Hahn</v>
      </c>
      <c r="B5685" s="1" t="str">
        <f>IFERROR(__xludf.DUMMYFUNCTION("""COMPUTED_VALUE"""),"L2")</f>
        <v>L2</v>
      </c>
    </row>
    <row r="5686" ht="15.75" customHeight="1">
      <c r="A5686" s="1" t="str">
        <f>IFERROR(__xludf.DUMMYFUNCTION("""COMPUTED_VALUE"""),"Joseph Reynolds")</f>
        <v>Joseph Reynolds</v>
      </c>
      <c r="B5686" s="1" t="str">
        <f>IFERROR(__xludf.DUMMYFUNCTION("""COMPUTED_VALUE"""),"L2")</f>
        <v>L2</v>
      </c>
    </row>
    <row r="5687" ht="15.75" customHeight="1">
      <c r="A5687" s="1" t="str">
        <f>IFERROR(__xludf.DUMMYFUNCTION("""COMPUTED_VALUE"""),"Kayden Nickoson")</f>
        <v>Kayden Nickoson</v>
      </c>
      <c r="B5687" s="1" t="str">
        <f>IFERROR(__xludf.DUMMYFUNCTION("""COMPUTED_VALUE"""),"L2")</f>
        <v>L2</v>
      </c>
    </row>
    <row r="5688" ht="15.75" customHeight="1">
      <c r="A5688" s="1" t="str">
        <f>IFERROR(__xludf.DUMMYFUNCTION("""COMPUTED_VALUE"""),"Kylinn Harvey")</f>
        <v>Kylinn Harvey</v>
      </c>
      <c r="B5688" s="1" t="str">
        <f>IFERROR(__xludf.DUMMYFUNCTION("""COMPUTED_VALUE"""),"L2")</f>
        <v>L2</v>
      </c>
    </row>
    <row r="5689" ht="15.75" customHeight="1">
      <c r="A5689" s="1" t="str">
        <f>IFERROR(__xludf.DUMMYFUNCTION("""COMPUTED_VALUE"""),"Liam Turner")</f>
        <v>Liam Turner</v>
      </c>
      <c r="B5689" s="1" t="str">
        <f>IFERROR(__xludf.DUMMYFUNCTION("""COMPUTED_VALUE"""),"L2")</f>
        <v>L2</v>
      </c>
    </row>
    <row r="5690" ht="15.75" customHeight="1">
      <c r="A5690" s="1" t="str">
        <f>IFERROR(__xludf.DUMMYFUNCTION("""COMPUTED_VALUE"""),"Lillian Reyes")</f>
        <v>Lillian Reyes</v>
      </c>
      <c r="B5690" s="1" t="str">
        <f>IFERROR(__xludf.DUMMYFUNCTION("""COMPUTED_VALUE"""),"L2")</f>
        <v>L2</v>
      </c>
    </row>
    <row r="5691" ht="15.75" customHeight="1">
      <c r="A5691" s="1" t="str">
        <f>IFERROR(__xludf.DUMMYFUNCTION("""COMPUTED_VALUE"""),"Logan Skallos")</f>
        <v>Logan Skallos</v>
      </c>
      <c r="B5691" s="1" t="str">
        <f>IFERROR(__xludf.DUMMYFUNCTION("""COMPUTED_VALUE"""),"L2")</f>
        <v>L2</v>
      </c>
    </row>
    <row r="5692" ht="15.75" customHeight="1">
      <c r="A5692" s="1" t="str">
        <f>IFERROR(__xludf.DUMMYFUNCTION("""COMPUTED_VALUE"""),"Lucy Davis")</f>
        <v>Lucy Davis</v>
      </c>
      <c r="B5692" s="1" t="str">
        <f>IFERROR(__xludf.DUMMYFUNCTION("""COMPUTED_VALUE"""),"L2")</f>
        <v>L2</v>
      </c>
    </row>
    <row r="5693" ht="15.75" customHeight="1">
      <c r="A5693" s="1" t="str">
        <f>IFERROR(__xludf.DUMMYFUNCTION("""COMPUTED_VALUE"""),"Oliver Rugama")</f>
        <v>Oliver Rugama</v>
      </c>
      <c r="B5693" s="1" t="str">
        <f>IFERROR(__xludf.DUMMYFUNCTION("""COMPUTED_VALUE"""),"L2")</f>
        <v>L2</v>
      </c>
    </row>
    <row r="5694" ht="15.75" customHeight="1">
      <c r="A5694" s="1" t="str">
        <f>IFERROR(__xludf.DUMMYFUNCTION("""COMPUTED_VALUE"""),"Paisley Bowman")</f>
        <v>Paisley Bowman</v>
      </c>
      <c r="B5694" s="1" t="str">
        <f>IFERROR(__xludf.DUMMYFUNCTION("""COMPUTED_VALUE"""),"L2")</f>
        <v>L2</v>
      </c>
    </row>
    <row r="5695" ht="15.75" customHeight="1">
      <c r="A5695" s="1" t="str">
        <f>IFERROR(__xludf.DUMMYFUNCTION("""COMPUTED_VALUE"""),"Ruben Bannie")</f>
        <v>Ruben Bannie</v>
      </c>
      <c r="B5695" s="1" t="str">
        <f>IFERROR(__xludf.DUMMYFUNCTION("""COMPUTED_VALUE"""),"L2")</f>
        <v>L2</v>
      </c>
    </row>
    <row r="5696" ht="15.75" customHeight="1">
      <c r="A5696" s="1" t="str">
        <f>IFERROR(__xludf.DUMMYFUNCTION("""COMPUTED_VALUE"""),"Ryann McCormick")</f>
        <v>Ryann McCormick</v>
      </c>
      <c r="B5696" s="1" t="str">
        <f>IFERROR(__xludf.DUMMYFUNCTION("""COMPUTED_VALUE"""),"L2")</f>
        <v>L2</v>
      </c>
    </row>
    <row r="5697" ht="15.75" customHeight="1">
      <c r="A5697" s="1" t="str">
        <f>IFERROR(__xludf.DUMMYFUNCTION("""COMPUTED_VALUE"""),"Adam Langenbrunner")</f>
        <v>Adam Langenbrunner</v>
      </c>
      <c r="B5697" s="1" t="str">
        <f>IFERROR(__xludf.DUMMYFUNCTION("""COMPUTED_VALUE"""),"MS")</f>
        <v>MS</v>
      </c>
    </row>
    <row r="5698" ht="15.75" customHeight="1">
      <c r="A5698" s="1" t="str">
        <f>IFERROR(__xludf.DUMMYFUNCTION("""COMPUTED_VALUE"""),"Alexandra Lewis")</f>
        <v>Alexandra Lewis</v>
      </c>
      <c r="B5698" s="1" t="str">
        <f>IFERROR(__xludf.DUMMYFUNCTION("""COMPUTED_VALUE"""),"MS")</f>
        <v>MS</v>
      </c>
    </row>
    <row r="5699" ht="15.75" customHeight="1">
      <c r="A5699" s="1" t="str">
        <f>IFERROR(__xludf.DUMMYFUNCTION("""COMPUTED_VALUE"""),"Avery Fletcher")</f>
        <v>Avery Fletcher</v>
      </c>
      <c r="B5699" s="1" t="str">
        <f>IFERROR(__xludf.DUMMYFUNCTION("""COMPUTED_VALUE"""),"MS")</f>
        <v>MS</v>
      </c>
    </row>
    <row r="5700" ht="15.75" customHeight="1">
      <c r="A5700" s="1" t="str">
        <f>IFERROR(__xludf.DUMMYFUNCTION("""COMPUTED_VALUE"""),"Caroline Hall")</f>
        <v>Caroline Hall</v>
      </c>
      <c r="B5700" s="1" t="str">
        <f>IFERROR(__xludf.DUMMYFUNCTION("""COMPUTED_VALUE"""),"MS")</f>
        <v>MS</v>
      </c>
    </row>
    <row r="5701" ht="15.75" customHeight="1">
      <c r="A5701" s="1" t="str">
        <f>IFERROR(__xludf.DUMMYFUNCTION("""COMPUTED_VALUE"""),"Dalton Sickinger")</f>
        <v>Dalton Sickinger</v>
      </c>
      <c r="B5701" s="1" t="str">
        <f>IFERROR(__xludf.DUMMYFUNCTION("""COMPUTED_VALUE"""),"MS")</f>
        <v>MS</v>
      </c>
    </row>
    <row r="5702" ht="15.75" customHeight="1">
      <c r="A5702" s="1" t="str">
        <f>IFERROR(__xludf.DUMMYFUNCTION("""COMPUTED_VALUE"""),"Darien French")</f>
        <v>Darien French</v>
      </c>
      <c r="B5702" s="1" t="str">
        <f>IFERROR(__xludf.DUMMYFUNCTION("""COMPUTED_VALUE"""),"MS")</f>
        <v>MS</v>
      </c>
    </row>
    <row r="5703" ht="15.75" customHeight="1">
      <c r="A5703" s="1" t="str">
        <f>IFERROR(__xludf.DUMMYFUNCTION("""COMPUTED_VALUE"""),"Declan Graham")</f>
        <v>Declan Graham</v>
      </c>
      <c r="B5703" s="1" t="str">
        <f>IFERROR(__xludf.DUMMYFUNCTION("""COMPUTED_VALUE"""),"MS")</f>
        <v>MS</v>
      </c>
    </row>
    <row r="5704" ht="15.75" customHeight="1">
      <c r="A5704" s="1" t="str">
        <f>IFERROR(__xludf.DUMMYFUNCTION("""COMPUTED_VALUE"""),"Jaycee Gilbert")</f>
        <v>Jaycee Gilbert</v>
      </c>
      <c r="B5704" s="1" t="str">
        <f>IFERROR(__xludf.DUMMYFUNCTION("""COMPUTED_VALUE"""),"MS")</f>
        <v>MS</v>
      </c>
    </row>
    <row r="5705" ht="15.75" customHeight="1">
      <c r="A5705" s="1" t="str">
        <f>IFERROR(__xludf.DUMMYFUNCTION("""COMPUTED_VALUE"""),"Kali Line")</f>
        <v>Kali Line</v>
      </c>
      <c r="B5705" s="1" t="str">
        <f>IFERROR(__xludf.DUMMYFUNCTION("""COMPUTED_VALUE"""),"MS")</f>
        <v>MS</v>
      </c>
    </row>
    <row r="5706" ht="15.75" customHeight="1">
      <c r="A5706" s="1" t="str">
        <f>IFERROR(__xludf.DUMMYFUNCTION("""COMPUTED_VALUE"""),"Kinley Horsley")</f>
        <v>Kinley Horsley</v>
      </c>
      <c r="B5706" s="1" t="str">
        <f>IFERROR(__xludf.DUMMYFUNCTION("""COMPUTED_VALUE"""),"MS")</f>
        <v>MS</v>
      </c>
    </row>
    <row r="5707" ht="15.75" customHeight="1">
      <c r="A5707" s="1" t="str">
        <f>IFERROR(__xludf.DUMMYFUNCTION("""COMPUTED_VALUE"""),"Lanyiah Steele")</f>
        <v>Lanyiah Steele</v>
      </c>
      <c r="B5707" s="1" t="str">
        <f>IFERROR(__xludf.DUMMYFUNCTION("""COMPUTED_VALUE"""),"MS")</f>
        <v>MS</v>
      </c>
    </row>
    <row r="5708" ht="15.75" customHeight="1">
      <c r="A5708" s="1" t="str">
        <f>IFERROR(__xludf.DUMMYFUNCTION("""COMPUTED_VALUE"""),"Mamadou Anne")</f>
        <v>Mamadou Anne</v>
      </c>
      <c r="B5708" s="1" t="str">
        <f>IFERROR(__xludf.DUMMYFUNCTION("""COMPUTED_VALUE"""),"MS")</f>
        <v>MS</v>
      </c>
    </row>
    <row r="5709" ht="15.75" customHeight="1">
      <c r="A5709" s="1" t="str">
        <f>IFERROR(__xludf.DUMMYFUNCTION("""COMPUTED_VALUE"""),"Messiah Reid")</f>
        <v>Messiah Reid</v>
      </c>
      <c r="B5709" s="1" t="str">
        <f>IFERROR(__xludf.DUMMYFUNCTION("""COMPUTED_VALUE"""),"MS")</f>
        <v>MS</v>
      </c>
    </row>
    <row r="5710" ht="15.75" customHeight="1">
      <c r="A5710" s="1" t="str">
        <f>IFERROR(__xludf.DUMMYFUNCTION("""COMPUTED_VALUE"""),"Molly Ernst")</f>
        <v>Molly Ernst</v>
      </c>
      <c r="B5710" s="1" t="str">
        <f>IFERROR(__xludf.DUMMYFUNCTION("""COMPUTED_VALUE"""),"MS")</f>
        <v>MS</v>
      </c>
    </row>
    <row r="5711" ht="15.75" customHeight="1">
      <c r="A5711" s="1" t="str">
        <f>IFERROR(__xludf.DUMMYFUNCTION("""COMPUTED_VALUE"""),"Naoma Orosco")</f>
        <v>Naoma Orosco</v>
      </c>
      <c r="B5711" s="1" t="str">
        <f>IFERROR(__xludf.DUMMYFUNCTION("""COMPUTED_VALUE"""),"MS")</f>
        <v>MS</v>
      </c>
    </row>
    <row r="5712" ht="15.75" customHeight="1">
      <c r="A5712" s="1" t="str">
        <f>IFERROR(__xludf.DUMMYFUNCTION("""COMPUTED_VALUE"""),"Natali Andino")</f>
        <v>Natali Andino</v>
      </c>
      <c r="B5712" s="1" t="str">
        <f>IFERROR(__xludf.DUMMYFUNCTION("""COMPUTED_VALUE"""),"MS")</f>
        <v>MS</v>
      </c>
    </row>
    <row r="5713" ht="15.75" customHeight="1">
      <c r="A5713" s="1" t="str">
        <f>IFERROR(__xludf.DUMMYFUNCTION("""COMPUTED_VALUE"""),"Prince Wright")</f>
        <v>Prince Wright</v>
      </c>
      <c r="B5713" s="1" t="str">
        <f>IFERROR(__xludf.DUMMYFUNCTION("""COMPUTED_VALUE"""),"MS")</f>
        <v>MS</v>
      </c>
    </row>
    <row r="5714" ht="15.75" customHeight="1">
      <c r="A5714" s="1" t="str">
        <f>IFERROR(__xludf.DUMMYFUNCTION("""COMPUTED_VALUE"""),"Rhylee Theis")</f>
        <v>Rhylee Theis</v>
      </c>
      <c r="B5714" s="1" t="str">
        <f>IFERROR(__xludf.DUMMYFUNCTION("""COMPUTED_VALUE"""),"MS")</f>
        <v>MS</v>
      </c>
    </row>
    <row r="5715" ht="15.75" customHeight="1">
      <c r="A5715" s="1" t="str">
        <f>IFERROR(__xludf.DUMMYFUNCTION("""COMPUTED_VALUE"""),"Rumer Rose")</f>
        <v>Rumer Rose</v>
      </c>
      <c r="B5715" s="1" t="str">
        <f>IFERROR(__xludf.DUMMYFUNCTION("""COMPUTED_VALUE"""),"MS")</f>
        <v>MS</v>
      </c>
    </row>
    <row r="5716" ht="15.75" customHeight="1">
      <c r="A5716" s="1" t="str">
        <f>IFERROR(__xludf.DUMMYFUNCTION("""COMPUTED_VALUE"""),"Savannah Walker")</f>
        <v>Savannah Walker</v>
      </c>
      <c r="B5716" s="1" t="str">
        <f>IFERROR(__xludf.DUMMYFUNCTION("""COMPUTED_VALUE"""),"MS")</f>
        <v>MS</v>
      </c>
    </row>
    <row r="5717" ht="15.75" customHeight="1">
      <c r="A5717" s="1" t="str">
        <f>IFERROR(__xludf.DUMMYFUNCTION("""COMPUTED_VALUE"""),"Ty'Reek Harris")</f>
        <v>Ty'Reek Harris</v>
      </c>
      <c r="B5717" s="1" t="str">
        <f>IFERROR(__xludf.DUMMYFUNCTION("""COMPUTED_VALUE"""),"MS")</f>
        <v>MS</v>
      </c>
    </row>
    <row r="5718" ht="15.75" customHeight="1">
      <c r="A5718" s="1" t="str">
        <f>IFERROR(__xludf.DUMMYFUNCTION("""COMPUTED_VALUE"""),"Aleaha Bedford")</f>
        <v>Aleaha Bedford</v>
      </c>
      <c r="B5718" s="1" t="str">
        <f>IFERROR(__xludf.DUMMYFUNCTION("""COMPUTED_VALUE"""),"MS")</f>
        <v>MS</v>
      </c>
    </row>
    <row r="5719" ht="15.75" customHeight="1">
      <c r="A5719" s="1" t="str">
        <f>IFERROR(__xludf.DUMMYFUNCTION("""COMPUTED_VALUE"""),"Anniya Baynes")</f>
        <v>Anniya Baynes</v>
      </c>
      <c r="B5719" s="1" t="str">
        <f>IFERROR(__xludf.DUMMYFUNCTION("""COMPUTED_VALUE"""),"MS")</f>
        <v>MS</v>
      </c>
    </row>
    <row r="5720" ht="15.75" customHeight="1">
      <c r="A5720" s="1" t="str">
        <f>IFERROR(__xludf.DUMMYFUNCTION("""COMPUTED_VALUE"""),"Austin Thomas")</f>
        <v>Austin Thomas</v>
      </c>
      <c r="B5720" s="1" t="str">
        <f>IFERROR(__xludf.DUMMYFUNCTION("""COMPUTED_VALUE"""),"MS")</f>
        <v>MS</v>
      </c>
    </row>
    <row r="5721" ht="15.75" customHeight="1">
      <c r="A5721" s="1" t="str">
        <f>IFERROR(__xludf.DUMMYFUNCTION("""COMPUTED_VALUE"""),"Ava Benton")</f>
        <v>Ava Benton</v>
      </c>
      <c r="B5721" s="1" t="str">
        <f>IFERROR(__xludf.DUMMYFUNCTION("""COMPUTED_VALUE"""),"MS")</f>
        <v>MS</v>
      </c>
    </row>
    <row r="5722" ht="15.75" customHeight="1">
      <c r="A5722" s="1" t="str">
        <f>IFERROR(__xludf.DUMMYFUNCTION("""COMPUTED_VALUE"""),"Callie Keller")</f>
        <v>Callie Keller</v>
      </c>
      <c r="B5722" s="1" t="str">
        <f>IFERROR(__xludf.DUMMYFUNCTION("""COMPUTED_VALUE"""),"MS")</f>
        <v>MS</v>
      </c>
    </row>
    <row r="5723" ht="15.75" customHeight="1">
      <c r="A5723" s="1" t="str">
        <f>IFERROR(__xludf.DUMMYFUNCTION("""COMPUTED_VALUE"""),"Emily Prince")</f>
        <v>Emily Prince</v>
      </c>
      <c r="B5723" s="1" t="str">
        <f>IFERROR(__xludf.DUMMYFUNCTION("""COMPUTED_VALUE"""),"MS")</f>
        <v>MS</v>
      </c>
    </row>
    <row r="5724" ht="15.75" customHeight="1">
      <c r="A5724" s="1" t="str">
        <f>IFERROR(__xludf.DUMMYFUNCTION("""COMPUTED_VALUE"""),"Jayceon Thomas")</f>
        <v>Jayceon Thomas</v>
      </c>
      <c r="B5724" s="1" t="str">
        <f>IFERROR(__xludf.DUMMYFUNCTION("""COMPUTED_VALUE"""),"MS")</f>
        <v>MS</v>
      </c>
    </row>
    <row r="5725" ht="15.75" customHeight="1">
      <c r="A5725" s="1" t="str">
        <f>IFERROR(__xludf.DUMMYFUNCTION("""COMPUTED_VALUE"""),"Jeffrey Webb")</f>
        <v>Jeffrey Webb</v>
      </c>
      <c r="B5725" s="1" t="str">
        <f>IFERROR(__xludf.DUMMYFUNCTION("""COMPUTED_VALUE"""),"MS")</f>
        <v>MS</v>
      </c>
    </row>
    <row r="5726" ht="15.75" customHeight="1">
      <c r="A5726" s="1" t="str">
        <f>IFERROR(__xludf.DUMMYFUNCTION("""COMPUTED_VALUE"""),"Kipton Fletcher")</f>
        <v>Kipton Fletcher</v>
      </c>
      <c r="B5726" s="1" t="str">
        <f>IFERROR(__xludf.DUMMYFUNCTION("""COMPUTED_VALUE"""),"MS")</f>
        <v>MS</v>
      </c>
    </row>
    <row r="5727" ht="15.75" customHeight="1">
      <c r="A5727" s="1" t="str">
        <f>IFERROR(__xludf.DUMMYFUNCTION("""COMPUTED_VALUE"""),"Liam Terry")</f>
        <v>Liam Terry</v>
      </c>
      <c r="B5727" s="1" t="str">
        <f>IFERROR(__xludf.DUMMYFUNCTION("""COMPUTED_VALUE"""),"MS")</f>
        <v>MS</v>
      </c>
    </row>
    <row r="5728" ht="15.75" customHeight="1">
      <c r="A5728" s="1" t="str">
        <f>IFERROR(__xludf.DUMMYFUNCTION("""COMPUTED_VALUE"""),"Melody Najeeullah")</f>
        <v>Melody Najeeullah</v>
      </c>
      <c r="B5728" s="1" t="str">
        <f>IFERROR(__xludf.DUMMYFUNCTION("""COMPUTED_VALUE"""),"MS")</f>
        <v>MS</v>
      </c>
    </row>
    <row r="5729" ht="15.75" customHeight="1">
      <c r="A5729" s="1" t="str">
        <f>IFERROR(__xludf.DUMMYFUNCTION("""COMPUTED_VALUE"""),"Muzamil Faizi")</f>
        <v>Muzamil Faizi</v>
      </c>
      <c r="B5729" s="1" t="str">
        <f>IFERROR(__xludf.DUMMYFUNCTION("""COMPUTED_VALUE"""),"MS")</f>
        <v>MS</v>
      </c>
    </row>
    <row r="5730" ht="15.75" customHeight="1">
      <c r="A5730" s="1" t="str">
        <f>IFERROR(__xludf.DUMMYFUNCTION("""COMPUTED_VALUE"""),"Stephen Turner")</f>
        <v>Stephen Turner</v>
      </c>
      <c r="B5730" s="1" t="str">
        <f>IFERROR(__xludf.DUMMYFUNCTION("""COMPUTED_VALUE"""),"MS")</f>
        <v>MS</v>
      </c>
    </row>
    <row r="5731" ht="15.75" customHeight="1">
      <c r="A5731" s="1" t="str">
        <f>IFERROR(__xludf.DUMMYFUNCTION("""COMPUTED_VALUE"""),"Zion Garnett")</f>
        <v>Zion Garnett</v>
      </c>
      <c r="B5731" s="1" t="str">
        <f>IFERROR(__xludf.DUMMYFUNCTION("""COMPUTED_VALUE"""),"MS")</f>
        <v>MS</v>
      </c>
    </row>
    <row r="5732" ht="15.75" customHeight="1">
      <c r="A5732" s="1" t="str">
        <f>IFERROR(__xludf.DUMMYFUNCTION("""COMPUTED_VALUE"""),"Andrea Olive")</f>
        <v>Andrea Olive</v>
      </c>
      <c r="B5732" s="1" t="str">
        <f>IFERROR(__xludf.DUMMYFUNCTION("""COMPUTED_VALUE"""),"MS")</f>
        <v>MS</v>
      </c>
    </row>
    <row r="5733" ht="15.75" customHeight="1">
      <c r="A5733" s="1" t="str">
        <f>IFERROR(__xludf.DUMMYFUNCTION("""COMPUTED_VALUE"""),"Daniel Smith")</f>
        <v>Daniel Smith</v>
      </c>
      <c r="B5733" s="1" t="str">
        <f>IFERROR(__xludf.DUMMYFUNCTION("""COMPUTED_VALUE"""),"MS")</f>
        <v>MS</v>
      </c>
    </row>
    <row r="5734" ht="15.75" customHeight="1">
      <c r="A5734" s="1" t="str">
        <f>IFERROR(__xludf.DUMMYFUNCTION("""COMPUTED_VALUE"""),"Isaiah Nicely")</f>
        <v>Isaiah Nicely</v>
      </c>
      <c r="B5734" s="1" t="str">
        <f>IFERROR(__xludf.DUMMYFUNCTION("""COMPUTED_VALUE"""),"MS")</f>
        <v>MS</v>
      </c>
    </row>
    <row r="5735" ht="15.75" customHeight="1">
      <c r="A5735" s="1" t="str">
        <f>IFERROR(__xludf.DUMMYFUNCTION("""COMPUTED_VALUE"""),"Izzie Armacost")</f>
        <v>Izzie Armacost</v>
      </c>
      <c r="B5735" s="1" t="str">
        <f>IFERROR(__xludf.DUMMYFUNCTION("""COMPUTED_VALUE"""),"MS")</f>
        <v>MS</v>
      </c>
    </row>
    <row r="5736" ht="15.75" customHeight="1">
      <c r="A5736" s="1" t="str">
        <f>IFERROR(__xludf.DUMMYFUNCTION("""COMPUTED_VALUE"""),"Jake Aildasani")</f>
        <v>Jake Aildasani</v>
      </c>
      <c r="B5736" s="1" t="str">
        <f>IFERROR(__xludf.DUMMYFUNCTION("""COMPUTED_VALUE"""),"MS")</f>
        <v>MS</v>
      </c>
    </row>
    <row r="5737" ht="15.75" customHeight="1">
      <c r="A5737" s="1" t="str">
        <f>IFERROR(__xludf.DUMMYFUNCTION("""COMPUTED_VALUE"""),"Jay'Marion Taylor-Goosby")</f>
        <v>Jay'Marion Taylor-Goosby</v>
      </c>
      <c r="B5737" s="1" t="str">
        <f>IFERROR(__xludf.DUMMYFUNCTION("""COMPUTED_VALUE"""),"MS")</f>
        <v>MS</v>
      </c>
    </row>
    <row r="5738" ht="15.75" customHeight="1">
      <c r="A5738" s="1" t="str">
        <f>IFERROR(__xludf.DUMMYFUNCTION("""COMPUTED_VALUE"""),"Jeffrey Hughes")</f>
        <v>Jeffrey Hughes</v>
      </c>
      <c r="B5738" s="1" t="str">
        <f>IFERROR(__xludf.DUMMYFUNCTION("""COMPUTED_VALUE"""),"MS")</f>
        <v>MS</v>
      </c>
    </row>
    <row r="5739" ht="15.75" customHeight="1">
      <c r="A5739" s="1" t="str">
        <f>IFERROR(__xludf.DUMMYFUNCTION("""COMPUTED_VALUE"""),"Koda Mirick")</f>
        <v>Koda Mirick</v>
      </c>
      <c r="B5739" s="1" t="str">
        <f>IFERROR(__xludf.DUMMYFUNCTION("""COMPUTED_VALUE"""),"MS")</f>
        <v>MS</v>
      </c>
    </row>
    <row r="5740" ht="15.75" customHeight="1">
      <c r="A5740" s="1" t="str">
        <f>IFERROR(__xludf.DUMMYFUNCTION("""COMPUTED_VALUE"""),"Marshall Baker")</f>
        <v>Marshall Baker</v>
      </c>
      <c r="B5740" s="1" t="str">
        <f>IFERROR(__xludf.DUMMYFUNCTION("""COMPUTED_VALUE"""),"MS")</f>
        <v>MS</v>
      </c>
    </row>
    <row r="5741" ht="15.75" customHeight="1">
      <c r="A5741" s="1" t="str">
        <f>IFERROR(__xludf.DUMMYFUNCTION("""COMPUTED_VALUE"""),"Melody Bronner")</f>
        <v>Melody Bronner</v>
      </c>
      <c r="B5741" s="1" t="str">
        <f>IFERROR(__xludf.DUMMYFUNCTION("""COMPUTED_VALUE"""),"MS")</f>
        <v>MS</v>
      </c>
    </row>
    <row r="5742" ht="15.75" customHeight="1">
      <c r="A5742" s="1" t="str">
        <f>IFERROR(__xludf.DUMMYFUNCTION("""COMPUTED_VALUE"""),"Nevaeh Morgan")</f>
        <v>Nevaeh Morgan</v>
      </c>
      <c r="B5742" s="1" t="str">
        <f>IFERROR(__xludf.DUMMYFUNCTION("""COMPUTED_VALUE"""),"MS")</f>
        <v>MS</v>
      </c>
    </row>
    <row r="5743" ht="15.75" customHeight="1">
      <c r="A5743" s="1" t="str">
        <f>IFERROR(__xludf.DUMMYFUNCTION("""COMPUTED_VALUE"""),"Samuel Bemmes")</f>
        <v>Samuel Bemmes</v>
      </c>
      <c r="B5743" s="1" t="str">
        <f>IFERROR(__xludf.DUMMYFUNCTION("""COMPUTED_VALUE"""),"MS")</f>
        <v>MS</v>
      </c>
    </row>
    <row r="5744" ht="15.75" customHeight="1">
      <c r="A5744" s="1" t="str">
        <f>IFERROR(__xludf.DUMMYFUNCTION("""COMPUTED_VALUE"""),"Tianna Wooten")</f>
        <v>Tianna Wooten</v>
      </c>
      <c r="B5744" s="1" t="str">
        <f>IFERROR(__xludf.DUMMYFUNCTION("""COMPUTED_VALUE"""),"MS")</f>
        <v>MS</v>
      </c>
    </row>
    <row r="5745" ht="15.75" customHeight="1">
      <c r="A5745" s="1" t="str">
        <f>IFERROR(__xludf.DUMMYFUNCTION("""COMPUTED_VALUE"""),"Valerie Bruner")</f>
        <v>Valerie Bruner</v>
      </c>
      <c r="B5745" s="1" t="str">
        <f>IFERROR(__xludf.DUMMYFUNCTION("""COMPUTED_VALUE"""),"MS")</f>
        <v>MS</v>
      </c>
    </row>
    <row r="5746" ht="15.75" customHeight="1">
      <c r="A5746" s="1" t="str">
        <f>IFERROR(__xludf.DUMMYFUNCTION("""COMPUTED_VALUE"""),"Adrian Torres")</f>
        <v>Adrian Torres</v>
      </c>
      <c r="B5746" s="1" t="str">
        <f>IFERROR(__xludf.DUMMYFUNCTION("""COMPUTED_VALUE"""),"HS")</f>
        <v>HS</v>
      </c>
    </row>
    <row r="5747" ht="15.75" customHeight="1">
      <c r="A5747" s="1" t="str">
        <f>IFERROR(__xludf.DUMMYFUNCTION("""COMPUTED_VALUE"""),"Alyssa Guy")</f>
        <v>Alyssa Guy</v>
      </c>
      <c r="B5747" s="1" t="str">
        <f>IFERROR(__xludf.DUMMYFUNCTION("""COMPUTED_VALUE"""),"HS")</f>
        <v>HS</v>
      </c>
    </row>
    <row r="5748" ht="15.75" customHeight="1">
      <c r="A5748" s="1" t="str">
        <f>IFERROR(__xludf.DUMMYFUNCTION("""COMPUTED_VALUE"""),"Artevias Patterson")</f>
        <v>Artevias Patterson</v>
      </c>
      <c r="B5748" s="1" t="str">
        <f>IFERROR(__xludf.DUMMYFUNCTION("""COMPUTED_VALUE"""),"HS")</f>
        <v>HS</v>
      </c>
    </row>
    <row r="5749" ht="15.75" customHeight="1">
      <c r="A5749" s="1" t="str">
        <f>IFERROR(__xludf.DUMMYFUNCTION("""COMPUTED_VALUE"""),"Chaen White")</f>
        <v>Chaen White</v>
      </c>
      <c r="B5749" s="1" t="str">
        <f>IFERROR(__xludf.DUMMYFUNCTION("""COMPUTED_VALUE"""),"HS")</f>
        <v>HS</v>
      </c>
    </row>
    <row r="5750" ht="15.75" customHeight="1">
      <c r="A5750" s="1" t="str">
        <f>IFERROR(__xludf.DUMMYFUNCTION("""COMPUTED_VALUE"""),"Danisa Compres")</f>
        <v>Danisa Compres</v>
      </c>
      <c r="B5750" s="1" t="str">
        <f>IFERROR(__xludf.DUMMYFUNCTION("""COMPUTED_VALUE"""),"HS")</f>
        <v>HS</v>
      </c>
    </row>
    <row r="5751" ht="15.75" customHeight="1">
      <c r="A5751" s="1" t="str">
        <f>IFERROR(__xludf.DUMMYFUNCTION("""COMPUTED_VALUE"""),"Elana Garrett")</f>
        <v>Elana Garrett</v>
      </c>
      <c r="B5751" s="1" t="str">
        <f>IFERROR(__xludf.DUMMYFUNCTION("""COMPUTED_VALUE"""),"HS")</f>
        <v>HS</v>
      </c>
    </row>
    <row r="5752" ht="15.75" customHeight="1">
      <c r="A5752" s="1" t="str">
        <f>IFERROR(__xludf.DUMMYFUNCTION("""COMPUTED_VALUE"""),"Eleisya Jackson")</f>
        <v>Eleisya Jackson</v>
      </c>
      <c r="B5752" s="1" t="str">
        <f>IFERROR(__xludf.DUMMYFUNCTION("""COMPUTED_VALUE"""),"HS")</f>
        <v>HS</v>
      </c>
    </row>
    <row r="5753" ht="15.75" customHeight="1">
      <c r="A5753" s="1" t="str">
        <f>IFERROR(__xludf.DUMMYFUNCTION("""COMPUTED_VALUE"""),"Elijah Chalk")</f>
        <v>Elijah Chalk</v>
      </c>
      <c r="B5753" s="1" t="str">
        <f>IFERROR(__xludf.DUMMYFUNCTION("""COMPUTED_VALUE"""),"HS")</f>
        <v>HS</v>
      </c>
    </row>
    <row r="5754" ht="15.75" customHeight="1">
      <c r="A5754" s="1" t="str">
        <f>IFERROR(__xludf.DUMMYFUNCTION("""COMPUTED_VALUE"""),"Ethan Davies")</f>
        <v>Ethan Davies</v>
      </c>
      <c r="B5754" s="1" t="str">
        <f>IFERROR(__xludf.DUMMYFUNCTION("""COMPUTED_VALUE"""),"HS")</f>
        <v>HS</v>
      </c>
    </row>
    <row r="5755" ht="15.75" customHeight="1">
      <c r="A5755" s="1" t="str">
        <f>IFERROR(__xludf.DUMMYFUNCTION("""COMPUTED_VALUE"""),"Grayson Searcy")</f>
        <v>Grayson Searcy</v>
      </c>
      <c r="B5755" s="1" t="str">
        <f>IFERROR(__xludf.DUMMYFUNCTION("""COMPUTED_VALUE"""),"HS")</f>
        <v>HS</v>
      </c>
    </row>
    <row r="5756" ht="15.75" customHeight="1">
      <c r="A5756" s="1" t="str">
        <f>IFERROR(__xludf.DUMMYFUNCTION("""COMPUTED_VALUE"""),"Ian Wright")</f>
        <v>Ian Wright</v>
      </c>
      <c r="B5756" s="1" t="str">
        <f>IFERROR(__xludf.DUMMYFUNCTION("""COMPUTED_VALUE"""),"HS")</f>
        <v>HS</v>
      </c>
    </row>
    <row r="5757" ht="15.75" customHeight="1">
      <c r="A5757" s="1" t="str">
        <f>IFERROR(__xludf.DUMMYFUNCTION("""COMPUTED_VALUE"""),"Ireland Vaughn")</f>
        <v>Ireland Vaughn</v>
      </c>
      <c r="B5757" s="1" t="str">
        <f>IFERROR(__xludf.DUMMYFUNCTION("""COMPUTED_VALUE"""),"HS")</f>
        <v>HS</v>
      </c>
    </row>
    <row r="5758" ht="15.75" customHeight="1">
      <c r="A5758" s="1" t="str">
        <f>IFERROR(__xludf.DUMMYFUNCTION("""COMPUTED_VALUE"""),"Jaime Orizaba")</f>
        <v>Jaime Orizaba</v>
      </c>
      <c r="B5758" s="1" t="str">
        <f>IFERROR(__xludf.DUMMYFUNCTION("""COMPUTED_VALUE"""),"HS")</f>
        <v>HS</v>
      </c>
    </row>
    <row r="5759" ht="15.75" customHeight="1">
      <c r="A5759" s="1" t="str">
        <f>IFERROR(__xludf.DUMMYFUNCTION("""COMPUTED_VALUE"""),"Josiah Garland")</f>
        <v>Josiah Garland</v>
      </c>
      <c r="B5759" s="1" t="str">
        <f>IFERROR(__xludf.DUMMYFUNCTION("""COMPUTED_VALUE"""),"HS")</f>
        <v>HS</v>
      </c>
    </row>
    <row r="5760" ht="15.75" customHeight="1">
      <c r="A5760" s="1" t="str">
        <f>IFERROR(__xludf.DUMMYFUNCTION("""COMPUTED_VALUE"""),"Katonna Pitts")</f>
        <v>Katonna Pitts</v>
      </c>
      <c r="B5760" s="1" t="str">
        <f>IFERROR(__xludf.DUMMYFUNCTION("""COMPUTED_VALUE"""),"HS")</f>
        <v>HS</v>
      </c>
    </row>
    <row r="5761" ht="15.75" customHeight="1">
      <c r="A5761" s="1" t="str">
        <f>IFERROR(__xludf.DUMMYFUNCTION("""COMPUTED_VALUE"""),"Kenlie Adams")</f>
        <v>Kenlie Adams</v>
      </c>
      <c r="B5761" s="1" t="str">
        <f>IFERROR(__xludf.DUMMYFUNCTION("""COMPUTED_VALUE"""),"HS")</f>
        <v>HS</v>
      </c>
    </row>
    <row r="5762" ht="15.75" customHeight="1">
      <c r="A5762" s="1" t="str">
        <f>IFERROR(__xludf.DUMMYFUNCTION("""COMPUTED_VALUE"""),"Kyren Harvey")</f>
        <v>Kyren Harvey</v>
      </c>
      <c r="B5762" s="1" t="str">
        <f>IFERROR(__xludf.DUMMYFUNCTION("""COMPUTED_VALUE"""),"HS")</f>
        <v>HS</v>
      </c>
    </row>
    <row r="5763" ht="15.75" customHeight="1">
      <c r="A5763" s="1" t="str">
        <f>IFERROR(__xludf.DUMMYFUNCTION("""COMPUTED_VALUE"""),"Lauren Rogers")</f>
        <v>Lauren Rogers</v>
      </c>
      <c r="B5763" s="1" t="str">
        <f>IFERROR(__xludf.DUMMYFUNCTION("""COMPUTED_VALUE"""),"HS")</f>
        <v>HS</v>
      </c>
    </row>
    <row r="5764" ht="15.75" customHeight="1">
      <c r="A5764" s="1" t="str">
        <f>IFERROR(__xludf.DUMMYFUNCTION("""COMPUTED_VALUE"""),"Logan Thompson")</f>
        <v>Logan Thompson</v>
      </c>
      <c r="B5764" s="1" t="str">
        <f>IFERROR(__xludf.DUMMYFUNCTION("""COMPUTED_VALUE"""),"HS")</f>
        <v>HS</v>
      </c>
    </row>
    <row r="5765" ht="15.75" customHeight="1">
      <c r="A5765" s="1" t="str">
        <f>IFERROR(__xludf.DUMMYFUNCTION("""COMPUTED_VALUE"""),"Mahmod Almahros")</f>
        <v>Mahmod Almahros</v>
      </c>
      <c r="B5765" s="1" t="str">
        <f>IFERROR(__xludf.DUMMYFUNCTION("""COMPUTED_VALUE"""),"HS")</f>
        <v>HS</v>
      </c>
    </row>
    <row r="5766" ht="15.75" customHeight="1">
      <c r="A5766" s="1" t="str">
        <f>IFERROR(__xludf.DUMMYFUNCTION("""COMPUTED_VALUE"""),"Makayla Hans")</f>
        <v>Makayla Hans</v>
      </c>
      <c r="B5766" s="1" t="str">
        <f>IFERROR(__xludf.DUMMYFUNCTION("""COMPUTED_VALUE"""),"HS")</f>
        <v>HS</v>
      </c>
    </row>
    <row r="5767" ht="15.75" customHeight="1">
      <c r="A5767" s="1" t="str">
        <f>IFERROR(__xludf.DUMMYFUNCTION("""COMPUTED_VALUE"""),"Mallory Duchaine")</f>
        <v>Mallory Duchaine</v>
      </c>
      <c r="B5767" s="1" t="str">
        <f>IFERROR(__xludf.DUMMYFUNCTION("""COMPUTED_VALUE"""),"HS")</f>
        <v>HS</v>
      </c>
    </row>
    <row r="5768" ht="15.75" customHeight="1">
      <c r="A5768" s="1" t="str">
        <f>IFERROR(__xludf.DUMMYFUNCTION("""COMPUTED_VALUE"""),"Marqee Smith")</f>
        <v>Marqee Smith</v>
      </c>
      <c r="B5768" s="1" t="str">
        <f>IFERROR(__xludf.DUMMYFUNCTION("""COMPUTED_VALUE"""),"HS")</f>
        <v>HS</v>
      </c>
    </row>
    <row r="5769" ht="15.75" customHeight="1">
      <c r="A5769" s="1" t="str">
        <f>IFERROR(__xludf.DUMMYFUNCTION("""COMPUTED_VALUE"""),"Mya Montgomery")</f>
        <v>Mya Montgomery</v>
      </c>
      <c r="B5769" s="1" t="str">
        <f>IFERROR(__xludf.DUMMYFUNCTION("""COMPUTED_VALUE"""),"HS")</f>
        <v>HS</v>
      </c>
    </row>
    <row r="5770" ht="15.75" customHeight="1">
      <c r="A5770" s="1" t="str">
        <f>IFERROR(__xludf.DUMMYFUNCTION("""COMPUTED_VALUE"""),"Nevaeh Reid")</f>
        <v>Nevaeh Reid</v>
      </c>
      <c r="B5770" s="1" t="str">
        <f>IFERROR(__xludf.DUMMYFUNCTION("""COMPUTED_VALUE"""),"HS")</f>
        <v>HS</v>
      </c>
    </row>
    <row r="5771" ht="15.75" customHeight="1">
      <c r="A5771" s="1" t="str">
        <f>IFERROR(__xludf.DUMMYFUNCTION("""COMPUTED_VALUE"""),"Nick Harris")</f>
        <v>Nick Harris</v>
      </c>
      <c r="B5771" s="1" t="str">
        <f>IFERROR(__xludf.DUMMYFUNCTION("""COMPUTED_VALUE"""),"HS")</f>
        <v>HS</v>
      </c>
    </row>
    <row r="5772" ht="15.75" customHeight="1">
      <c r="A5772" s="1" t="str">
        <f>IFERROR(__xludf.DUMMYFUNCTION("""COMPUTED_VALUE"""),"Trenton Covert")</f>
        <v>Trenton Covert</v>
      </c>
      <c r="B5772" s="1" t="str">
        <f>IFERROR(__xludf.DUMMYFUNCTION("""COMPUTED_VALUE"""),"HS")</f>
        <v>HS</v>
      </c>
    </row>
    <row r="5773" ht="15.75" customHeight="1">
      <c r="A5773" s="1" t="str">
        <f>IFERROR(__xludf.DUMMYFUNCTION("""COMPUTED_VALUE"""),"Yosibel Jose Fabian Canay Caba")</f>
        <v>Yosibel Jose Fabian Canay Caba</v>
      </c>
      <c r="B5773" s="1" t="str">
        <f>IFERROR(__xludf.DUMMYFUNCTION("""COMPUTED_VALUE"""),"HS")</f>
        <v>HS</v>
      </c>
    </row>
    <row r="5774" ht="15.75" customHeight="1">
      <c r="A5774" s="1" t="str">
        <f>IFERROR(__xludf.DUMMYFUNCTION("""COMPUTED_VALUE"""),"Zachariah Steele")</f>
        <v>Zachariah Steele</v>
      </c>
      <c r="B5774" s="1" t="str">
        <f>IFERROR(__xludf.DUMMYFUNCTION("""COMPUTED_VALUE"""),"HS")</f>
        <v>HS</v>
      </c>
    </row>
    <row r="5775" ht="15.75" customHeight="1">
      <c r="A5775" s="1" t="str">
        <f>IFERROR(__xludf.DUMMYFUNCTION("""COMPUTED_VALUE"""),"Andrew Lambert")</f>
        <v>Andrew Lambert</v>
      </c>
      <c r="B5775" s="1" t="str">
        <f>IFERROR(__xludf.DUMMYFUNCTION("""COMPUTED_VALUE"""),"HS")</f>
        <v>HS</v>
      </c>
    </row>
    <row r="5776" ht="15.75" customHeight="1">
      <c r="A5776" s="1" t="str">
        <f>IFERROR(__xludf.DUMMYFUNCTION("""COMPUTED_VALUE"""),"Aniya Avery")</f>
        <v>Aniya Avery</v>
      </c>
      <c r="B5776" s="1" t="str">
        <f>IFERROR(__xludf.DUMMYFUNCTION("""COMPUTED_VALUE"""),"HS")</f>
        <v>HS</v>
      </c>
    </row>
    <row r="5777" ht="15.75" customHeight="1">
      <c r="A5777" s="1" t="str">
        <f>IFERROR(__xludf.DUMMYFUNCTION("""COMPUTED_VALUE"""),"Brayden Carroll-Leder")</f>
        <v>Brayden Carroll-Leder</v>
      </c>
      <c r="B5777" s="1" t="str">
        <f>IFERROR(__xludf.DUMMYFUNCTION("""COMPUTED_VALUE"""),"HS")</f>
        <v>HS</v>
      </c>
    </row>
    <row r="5778" ht="15.75" customHeight="1">
      <c r="A5778" s="1" t="str">
        <f>IFERROR(__xludf.DUMMYFUNCTION("""COMPUTED_VALUE"""),"Dareion Sumler")</f>
        <v>Dareion Sumler</v>
      </c>
      <c r="B5778" s="1" t="str">
        <f>IFERROR(__xludf.DUMMYFUNCTION("""COMPUTED_VALUE"""),"HS")</f>
        <v>HS</v>
      </c>
    </row>
    <row r="5779" ht="15.75" customHeight="1">
      <c r="A5779" s="1" t="str">
        <f>IFERROR(__xludf.DUMMYFUNCTION("""COMPUTED_VALUE"""),"Demarco Smith")</f>
        <v>Demarco Smith</v>
      </c>
      <c r="B5779" s="1" t="str">
        <f>IFERROR(__xludf.DUMMYFUNCTION("""COMPUTED_VALUE"""),"HS")</f>
        <v>HS</v>
      </c>
    </row>
    <row r="5780" ht="15.75" customHeight="1">
      <c r="A5780" s="1" t="str">
        <f>IFERROR(__xludf.DUMMYFUNCTION("""COMPUTED_VALUE"""),"Gabrielle Minnick")</f>
        <v>Gabrielle Minnick</v>
      </c>
      <c r="B5780" s="1" t="str">
        <f>IFERROR(__xludf.DUMMYFUNCTION("""COMPUTED_VALUE"""),"HS")</f>
        <v>HS</v>
      </c>
    </row>
    <row r="5781" ht="15.75" customHeight="1">
      <c r="A5781" s="1" t="str">
        <f>IFERROR(__xludf.DUMMYFUNCTION("""COMPUTED_VALUE"""),"Ishaya Whitaker")</f>
        <v>Ishaya Whitaker</v>
      </c>
      <c r="B5781" s="1" t="str">
        <f>IFERROR(__xludf.DUMMYFUNCTION("""COMPUTED_VALUE"""),"HS")</f>
        <v>HS</v>
      </c>
    </row>
    <row r="5782" ht="15.75" customHeight="1">
      <c r="A5782" s="1" t="str">
        <f>IFERROR(__xludf.DUMMYFUNCTION("""COMPUTED_VALUE"""),"Jaelyn Nelson")</f>
        <v>Jaelyn Nelson</v>
      </c>
      <c r="B5782" s="1" t="str">
        <f>IFERROR(__xludf.DUMMYFUNCTION("""COMPUTED_VALUE"""),"HS")</f>
        <v>HS</v>
      </c>
    </row>
    <row r="5783" ht="15.75" customHeight="1">
      <c r="A5783" s="1" t="str">
        <f>IFERROR(__xludf.DUMMYFUNCTION("""COMPUTED_VALUE"""),"Kaden Robinson")</f>
        <v>Kaden Robinson</v>
      </c>
      <c r="B5783" s="1" t="str">
        <f>IFERROR(__xludf.DUMMYFUNCTION("""COMPUTED_VALUE"""),"HS")</f>
        <v>HS</v>
      </c>
    </row>
    <row r="5784" ht="15.75" customHeight="1">
      <c r="A5784" s="1" t="str">
        <f>IFERROR(__xludf.DUMMYFUNCTION("""COMPUTED_VALUE"""),"Khris-lashay Atkins")</f>
        <v>Khris-lashay Atkins</v>
      </c>
      <c r="B5784" s="1" t="str">
        <f>IFERROR(__xludf.DUMMYFUNCTION("""COMPUTED_VALUE"""),"HS")</f>
        <v>HS</v>
      </c>
    </row>
    <row r="5785" ht="15.75" customHeight="1">
      <c r="A5785" s="1" t="str">
        <f>IFERROR(__xludf.DUMMYFUNCTION("""COMPUTED_VALUE"""),"Landyn Gillum")</f>
        <v>Landyn Gillum</v>
      </c>
      <c r="B5785" s="1" t="str">
        <f>IFERROR(__xludf.DUMMYFUNCTION("""COMPUTED_VALUE"""),"HS")</f>
        <v>HS</v>
      </c>
    </row>
    <row r="5786" ht="15.75" customHeight="1">
      <c r="A5786" s="1" t="str">
        <f>IFERROR(__xludf.DUMMYFUNCTION("""COMPUTED_VALUE"""),"Luis Toledo-Sanchez")</f>
        <v>Luis Toledo-Sanchez</v>
      </c>
      <c r="B5786" s="1" t="str">
        <f>IFERROR(__xludf.DUMMYFUNCTION("""COMPUTED_VALUE"""),"HS")</f>
        <v>HS</v>
      </c>
    </row>
    <row r="5787" ht="15.75" customHeight="1">
      <c r="A5787" s="1" t="str">
        <f>IFERROR(__xludf.DUMMYFUNCTION("""COMPUTED_VALUE"""),"Maci Lawson")</f>
        <v>Maci Lawson</v>
      </c>
      <c r="B5787" s="1" t="str">
        <f>IFERROR(__xludf.DUMMYFUNCTION("""COMPUTED_VALUE"""),"HS")</f>
        <v>HS</v>
      </c>
    </row>
    <row r="5788" ht="15.75" customHeight="1">
      <c r="A5788" s="1" t="str">
        <f>IFERROR(__xludf.DUMMYFUNCTION("""COMPUTED_VALUE"""),"Naseer Faizi")</f>
        <v>Naseer Faizi</v>
      </c>
      <c r="B5788" s="1" t="str">
        <f>IFERROR(__xludf.DUMMYFUNCTION("""COMPUTED_VALUE"""),"HS")</f>
        <v>HS</v>
      </c>
    </row>
    <row r="5789" ht="15.75" customHeight="1">
      <c r="A5789" s="1" t="str">
        <f>IFERROR(__xludf.DUMMYFUNCTION("""COMPUTED_VALUE"""),"Natalee Sprinkles")</f>
        <v>Natalee Sprinkles</v>
      </c>
      <c r="B5789" s="1" t="str">
        <f>IFERROR(__xludf.DUMMYFUNCTION("""COMPUTED_VALUE"""),"HS")</f>
        <v>HS</v>
      </c>
    </row>
    <row r="5790" ht="15.75" customHeight="1">
      <c r="A5790" s="1" t="str">
        <f>IFERROR(__xludf.DUMMYFUNCTION("""COMPUTED_VALUE"""),"Peyton Watkins")</f>
        <v>Peyton Watkins</v>
      </c>
      <c r="B5790" s="1" t="str">
        <f>IFERROR(__xludf.DUMMYFUNCTION("""COMPUTED_VALUE"""),"HS")</f>
        <v>HS</v>
      </c>
    </row>
    <row r="5791" ht="15.75" customHeight="1">
      <c r="A5791" s="1" t="str">
        <f>IFERROR(__xludf.DUMMYFUNCTION("""COMPUTED_VALUE"""),"Victoria Bemmes")</f>
        <v>Victoria Bemmes</v>
      </c>
      <c r="B5791" s="1" t="str">
        <f>IFERROR(__xludf.DUMMYFUNCTION("""COMPUTED_VALUE"""),"HS")</f>
        <v>HS</v>
      </c>
    </row>
    <row r="5792" ht="15.75" customHeight="1">
      <c r="A5792" s="1" t="str">
        <f>IFERROR(__xludf.DUMMYFUNCTION("""COMPUTED_VALUE"""),"Zakeea Faizi")</f>
        <v>Zakeea Faizi</v>
      </c>
      <c r="B5792" s="1" t="str">
        <f>IFERROR(__xludf.DUMMYFUNCTION("""COMPUTED_VALUE"""),"HS")</f>
        <v>HS</v>
      </c>
    </row>
    <row r="5793" ht="15.75" customHeight="1">
      <c r="A5793" s="1" t="str">
        <f>IFERROR(__xludf.DUMMYFUNCTION("""COMPUTED_VALUE"""),"Austin Singleton")</f>
        <v>Austin Singleton</v>
      </c>
      <c r="B5793" s="1" t="str">
        <f>IFERROR(__xludf.DUMMYFUNCTION("""COMPUTED_VALUE"""),"HS")</f>
        <v>HS</v>
      </c>
    </row>
    <row r="5794" ht="15.75" customHeight="1">
      <c r="A5794" s="1" t="str">
        <f>IFERROR(__xludf.DUMMYFUNCTION("""COMPUTED_VALUE"""),"Dakota Gamble")</f>
        <v>Dakota Gamble</v>
      </c>
      <c r="B5794" s="1" t="str">
        <f>IFERROR(__xludf.DUMMYFUNCTION("""COMPUTED_VALUE"""),"HS")</f>
        <v>HS</v>
      </c>
    </row>
    <row r="5795" ht="15.75" customHeight="1">
      <c r="A5795" s="1" t="str">
        <f>IFERROR(__xludf.DUMMYFUNCTION("""COMPUTED_VALUE"""),"Nicholas Simpson")</f>
        <v>Nicholas Simpson</v>
      </c>
      <c r="B5795" s="1" t="str">
        <f>IFERROR(__xludf.DUMMYFUNCTION("""COMPUTED_VALUE"""),"HS")</f>
        <v>HS</v>
      </c>
    </row>
    <row r="5796" ht="15.75" customHeight="1">
      <c r="A5796" s="1" t="str">
        <f>IFERROR(__xludf.DUMMYFUNCTION("""COMPUTED_VALUE"""),"Love-vee Haysbert")</f>
        <v>Love-vee Haysbert</v>
      </c>
      <c r="B5796" s="1" t="str">
        <f>IFERROR(__xludf.DUMMYFUNCTION("""COMPUTED_VALUE"""),"HS")</f>
        <v>HS</v>
      </c>
    </row>
    <row r="5797" ht="15.75" customHeight="1">
      <c r="A5797" s="1" t="str">
        <f>IFERROR(__xludf.DUMMYFUNCTION("""COMPUTED_VALUE"""),"Lyla Howard")</f>
        <v>Lyla Howard</v>
      </c>
      <c r="B5797" s="1" t="str">
        <f>IFERROR(__xludf.DUMMYFUNCTION("""COMPUTED_VALUE"""),"HS")</f>
        <v>HS</v>
      </c>
    </row>
    <row r="5798" ht="15.75" customHeight="1">
      <c r="A5798" s="1" t="str">
        <f>IFERROR(__xludf.DUMMYFUNCTION("""COMPUTED_VALUE"""),"Jennifer Lopez-Romero")</f>
        <v>Jennifer Lopez-Romero</v>
      </c>
      <c r="B5798" s="1" t="str">
        <f>IFERROR(__xludf.DUMMYFUNCTION("""COMPUTED_VALUE"""),"HS")</f>
        <v>HS</v>
      </c>
    </row>
    <row r="5799" ht="15.75" customHeight="1">
      <c r="A5799" s="1" t="str">
        <f>IFERROR(__xludf.DUMMYFUNCTION("""COMPUTED_VALUE"""),"Emma Rush-Smith")</f>
        <v>Emma Rush-Smith</v>
      </c>
      <c r="B5799" s="1" t="str">
        <f>IFERROR(__xludf.DUMMYFUNCTION("""COMPUTED_VALUE"""),"HS")</f>
        <v>HS</v>
      </c>
    </row>
    <row r="5800" ht="15.75" customHeight="1">
      <c r="A5800" s="1" t="str">
        <f>IFERROR(__xludf.DUMMYFUNCTION("""COMPUTED_VALUE"""),"Mikhial Stewart")</f>
        <v>Mikhial Stewart</v>
      </c>
      <c r="B5800" s="1" t="str">
        <f>IFERROR(__xludf.DUMMYFUNCTION("""COMPUTED_VALUE"""),"HS")</f>
        <v>HS</v>
      </c>
    </row>
    <row r="5801" ht="15.75" customHeight="1">
      <c r="A5801" s="1" t="str">
        <f>IFERROR(__xludf.DUMMYFUNCTION("""COMPUTED_VALUE"""),"Ousmane Traore")</f>
        <v>Ousmane Traore</v>
      </c>
      <c r="B5801" s="1" t="str">
        <f>IFERROR(__xludf.DUMMYFUNCTION("""COMPUTED_VALUE"""),"HS")</f>
        <v>HS</v>
      </c>
    </row>
    <row r="5802" ht="15.75" customHeight="1">
      <c r="A5802" s="1" t="str">
        <f>IFERROR(__xludf.DUMMYFUNCTION("""COMPUTED_VALUE"""),"Miracle Foggie")</f>
        <v>Miracle Foggie</v>
      </c>
      <c r="B5802" s="1" t="str">
        <f>IFERROR(__xludf.DUMMYFUNCTION("""COMPUTED_VALUE"""),"HS")</f>
        <v>HS</v>
      </c>
    </row>
    <row r="5803" ht="15.75" customHeight="1">
      <c r="A5803" s="1" t="str">
        <f>IFERROR(__xludf.DUMMYFUNCTION("""COMPUTED_VALUE"""),"David Parsons")</f>
        <v>David Parsons</v>
      </c>
      <c r="B5803" s="1" t="str">
        <f>IFERROR(__xludf.DUMMYFUNCTION("""COMPUTED_VALUE"""),"HS")</f>
        <v>HS</v>
      </c>
    </row>
    <row r="5804" ht="15.75" customHeight="1">
      <c r="A5804" s="1" t="str">
        <f>IFERROR(__xludf.DUMMYFUNCTION("""COMPUTED_VALUE"""),"Joseph Narvaez")</f>
        <v>Joseph Narvaez</v>
      </c>
      <c r="B5804" s="1" t="str">
        <f>IFERROR(__xludf.DUMMYFUNCTION("""COMPUTED_VALUE"""),"HS")</f>
        <v>HS</v>
      </c>
    </row>
    <row r="5805" ht="15.75" customHeight="1">
      <c r="A5805" s="1" t="str">
        <f>IFERROR(__xludf.DUMMYFUNCTION("""COMPUTED_VALUE"""),"Rosmailin Guzman")</f>
        <v>Rosmailin Guzman</v>
      </c>
      <c r="B5805" s="1" t="str">
        <f>IFERROR(__xludf.DUMMYFUNCTION("""COMPUTED_VALUE"""),"HS")</f>
        <v>HS</v>
      </c>
    </row>
    <row r="5806" ht="15.75" customHeight="1">
      <c r="A5806" s="1" t="str">
        <f>IFERROR(__xludf.DUMMYFUNCTION("""COMPUTED_VALUE"""),"Reynash Dhamija")</f>
        <v>Reynash Dhamija</v>
      </c>
      <c r="B5806" s="1" t="str">
        <f>IFERROR(__xludf.DUMMYFUNCTION("""COMPUTED_VALUE"""),"L2")</f>
        <v>L2</v>
      </c>
    </row>
    <row r="5807" ht="15.75" customHeight="1">
      <c r="A5807" s="1" t="str">
        <f>IFERROR(__xludf.DUMMYFUNCTION("""COMPUTED_VALUE"""),"Zachary Mappers")</f>
        <v>Zachary Mappers</v>
      </c>
      <c r="B5807" s="1" t="str">
        <f>IFERROR(__xludf.DUMMYFUNCTION("""COMPUTED_VALUE"""),"L2")</f>
        <v>L2</v>
      </c>
    </row>
    <row r="5808" ht="15.75" customHeight="1">
      <c r="A5808" s="1" t="str">
        <f>IFERROR(__xludf.DUMMYFUNCTION("""COMPUTED_VALUE"""),"Yolber Omana")</f>
        <v>Yolber Omana</v>
      </c>
      <c r="B5808" s="1" t="str">
        <f>IFERROR(__xludf.DUMMYFUNCTION("""COMPUTED_VALUE"""),"HS")</f>
        <v>HS</v>
      </c>
    </row>
    <row r="5809" ht="15.75" customHeight="1">
      <c r="A5809" s="1" t="str">
        <f>IFERROR(__xludf.DUMMYFUNCTION("""COMPUTED_VALUE"""),"Jennifer Lopez")</f>
        <v>Jennifer Lopez</v>
      </c>
      <c r="B5809" s="1" t="str">
        <f>IFERROR(__xludf.DUMMYFUNCTION("""COMPUTED_VALUE"""),"HS")</f>
        <v>HS</v>
      </c>
    </row>
    <row r="5810" ht="15.75" customHeight="1">
      <c r="A5810" s="1" t="str">
        <f>IFERROR(__xludf.DUMMYFUNCTION("""COMPUTED_VALUE"""),"David Omana-Zambrano")</f>
        <v>David Omana-Zambrano</v>
      </c>
      <c r="B5810" s="1" t="str">
        <f>IFERROR(__xludf.DUMMYFUNCTION("""COMPUTED_VALUE"""),"HS")</f>
        <v>HS</v>
      </c>
    </row>
    <row r="5811" ht="15.75" customHeight="1">
      <c r="A5811" s="1" t="str">
        <f>IFERROR(__xludf.DUMMYFUNCTION("""COMPUTED_VALUE"""),"Landen Rivers")</f>
        <v>Landen Rivers</v>
      </c>
      <c r="B5811" s="1" t="str">
        <f>IFERROR(__xludf.DUMMYFUNCTION("""COMPUTED_VALUE"""),"MS")</f>
        <v>MS</v>
      </c>
    </row>
    <row r="5812" ht="15.75" customHeight="1">
      <c r="A5812" s="1" t="str">
        <f>IFERROR(__xludf.DUMMYFUNCTION("""COMPUTED_VALUE"""),"Carter Bell")</f>
        <v>Carter Bell</v>
      </c>
      <c r="B5812" s="1" t="str">
        <f>IFERROR(__xludf.DUMMYFUNCTION("""COMPUTED_VALUE"""),"MS")</f>
        <v>MS</v>
      </c>
    </row>
    <row r="5813" ht="15.75" customHeight="1">
      <c r="A5813" s="1" t="str">
        <f>IFERROR(__xludf.DUMMYFUNCTION("""COMPUTED_VALUE"""),"Test PBSA")</f>
        <v>Test PBSA</v>
      </c>
      <c r="B5813" s="1" t="str">
        <f>IFERROR(__xludf.DUMMYFUNCTION("""COMPUTED_VALUE"""),"L2")</f>
        <v>L2</v>
      </c>
    </row>
    <row r="5814" ht="15.75" customHeight="1">
      <c r="A5814" s="1" t="str">
        <f>IFERROR(__xludf.DUMMYFUNCTION("""COMPUTED_VALUE"""),"Test Posnack")</f>
        <v>Test Posnack</v>
      </c>
      <c r="B5814" s="1" t="str">
        <f>IFERROR(__xludf.DUMMYFUNCTION("""COMPUTED_VALUE"""),"L2")</f>
        <v>L2</v>
      </c>
    </row>
    <row r="5815" ht="15.75" customHeight="1">
      <c r="A5815" s="1" t="str">
        <f>IFERROR(__xludf.DUMMYFUNCTION("""COMPUTED_VALUE"""),"Test JCSD")</f>
        <v>Test JCSD</v>
      </c>
      <c r="B5815" s="1" t="str">
        <f>IFERROR(__xludf.DUMMYFUNCTION("""COMPUTED_VALUE"""),"L2")</f>
        <v>L2</v>
      </c>
    </row>
    <row r="5816" ht="15.75" customHeight="1">
      <c r="A5816" s="1" t="str">
        <f>IFERROR(__xludf.DUMMYFUNCTION("""COMPUTED_VALUE"""),"Test ACS")</f>
        <v>Test ACS</v>
      </c>
      <c r="B5816" s="1" t="str">
        <f>IFERROR(__xludf.DUMMYFUNCTION("""COMPUTED_VALUE"""),"L2")</f>
        <v>L2</v>
      </c>
    </row>
    <row r="5817" ht="15.75" customHeight="1">
      <c r="A5817" s="1" t="str">
        <f>IFERROR(__xludf.DUMMYFUNCTION("""COMPUTED_VALUE"""),"Test AISD")</f>
        <v>Test AISD</v>
      </c>
      <c r="B5817" s="1" t="str">
        <f>IFERROR(__xludf.DUMMYFUNCTION("""COMPUTED_VALUE"""),"L2")</f>
        <v>L2</v>
      </c>
    </row>
    <row r="5818" ht="15.75" customHeight="1">
      <c r="A5818" s="1" t="str">
        <f>IFERROR(__xludf.DUMMYFUNCTION("""COMPUTED_VALUE"""),"Ryan Peters")</f>
        <v>Ryan Peters</v>
      </c>
      <c r="B5818" s="1" t="str">
        <f>IFERROR(__xludf.DUMMYFUNCTION("""COMPUTED_VALUE"""),"LL")</f>
        <v>LL</v>
      </c>
    </row>
    <row r="5819" ht="15.75" customHeight="1">
      <c r="A5819" s="1" t="str">
        <f>IFERROR(__xludf.DUMMYFUNCTION("""COMPUTED_VALUE"""),"Sophie Love")</f>
        <v>Sophie Love</v>
      </c>
      <c r="B5819" s="1" t="str">
        <f>IFERROR(__xludf.DUMMYFUNCTION("""COMPUTED_VALUE"""),"LL")</f>
        <v>LL</v>
      </c>
    </row>
    <row r="5820" ht="15.75" customHeight="1">
      <c r="A5820" s="1" t="str">
        <f>IFERROR(__xludf.DUMMYFUNCTION("""COMPUTED_VALUE"""),"Rebecca Scowcroft")</f>
        <v>Rebecca Scowcroft</v>
      </c>
      <c r="B5820" s="1" t="str">
        <f>IFERROR(__xludf.DUMMYFUNCTION("""COMPUTED_VALUE"""),"LL")</f>
        <v>LL</v>
      </c>
    </row>
    <row r="5821" ht="15.75" customHeight="1">
      <c r="A5821" s="1" t="str">
        <f>IFERROR(__xludf.DUMMYFUNCTION("""COMPUTED_VALUE"""),"Paola McClung")</f>
        <v>Paola McClung</v>
      </c>
      <c r="B5821" s="1" t="str">
        <f>IFERROR(__xludf.DUMMYFUNCTION("""COMPUTED_VALUE"""),"LL")</f>
        <v>LL</v>
      </c>
    </row>
    <row r="5822" ht="15.75" customHeight="1">
      <c r="A5822" s="1" t="str">
        <f>IFERROR(__xludf.DUMMYFUNCTION("""COMPUTED_VALUE"""),"Kassidy Jackson")</f>
        <v>Kassidy Jackson</v>
      </c>
      <c r="B5822" s="1" t="str">
        <f>IFERROR(__xludf.DUMMYFUNCTION("""COMPUTED_VALUE"""),"HS")</f>
        <v>HS</v>
      </c>
    </row>
    <row r="5823" ht="15.75" customHeight="1">
      <c r="A5823" s="1" t="str">
        <f>IFERROR(__xludf.DUMMYFUNCTION("""COMPUTED_VALUE"""),"Justin Burrough")</f>
        <v>Justin Burrough</v>
      </c>
      <c r="B5823" s="1" t="str">
        <f>IFERROR(__xludf.DUMMYFUNCTION("""COMPUTED_VALUE"""),"HS")</f>
        <v>HS</v>
      </c>
    </row>
    <row r="5824" ht="15.75" customHeight="1">
      <c r="A5824" s="1" t="str">
        <f>IFERROR(__xludf.DUMMYFUNCTION("""COMPUTED_VALUE"""),"Jakobe Shepeard")</f>
        <v>Jakobe Shepeard</v>
      </c>
      <c r="B5824" s="1" t="str">
        <f>IFERROR(__xludf.DUMMYFUNCTION("""COMPUTED_VALUE"""),"HS")</f>
        <v>HS</v>
      </c>
    </row>
    <row r="5825" ht="15.75" customHeight="1">
      <c r="A5825" s="1" t="str">
        <f>IFERROR(__xludf.DUMMYFUNCTION("""COMPUTED_VALUE"""),"Landon Keller")</f>
        <v>Landon Keller</v>
      </c>
      <c r="B5825" s="1" t="str">
        <f>IFERROR(__xludf.DUMMYFUNCTION("""COMPUTED_VALUE"""),"MS")</f>
        <v>MS</v>
      </c>
    </row>
    <row r="5826" ht="15.75" customHeight="1">
      <c r="A5826" s="1" t="str">
        <f>IFERROR(__xludf.DUMMYFUNCTION("""COMPUTED_VALUE"""),"Carson Ford")</f>
        <v>Carson Ford</v>
      </c>
      <c r="B5826" s="1" t="str">
        <f>IFERROR(__xludf.DUMMYFUNCTION("""COMPUTED_VALUE"""),"MS")</f>
        <v>MS</v>
      </c>
    </row>
    <row r="5827" ht="15.75" customHeight="1">
      <c r="A5827" s="1" t="str">
        <f>IFERROR(__xludf.DUMMYFUNCTION("""COMPUTED_VALUE"""),"Dei'Undre Peacock")</f>
        <v>Dei'Undre Peacock</v>
      </c>
      <c r="B5827" s="1" t="str">
        <f>IFERROR(__xludf.DUMMYFUNCTION("""COMPUTED_VALUE"""),"MS")</f>
        <v>MS</v>
      </c>
    </row>
    <row r="5828" ht="15.75" customHeight="1">
      <c r="A5828" s="1" t="str">
        <f>IFERROR(__xludf.DUMMYFUNCTION("""COMPUTED_VALUE"""),"Brenna Valdez")</f>
        <v>Brenna Valdez</v>
      </c>
      <c r="B5828" s="1" t="str">
        <f>IFERROR(__xludf.DUMMYFUNCTION("""COMPUTED_VALUE"""),"MS")</f>
        <v>MS</v>
      </c>
    </row>
    <row r="5829" ht="15.75" customHeight="1">
      <c r="A5829" s="1" t="str">
        <f>IFERROR(__xludf.DUMMYFUNCTION("""COMPUTED_VALUE"""),"Charlotte Buquoi")</f>
        <v>Charlotte Buquoi</v>
      </c>
      <c r="B5829" s="1" t="str">
        <f>IFERROR(__xludf.DUMMYFUNCTION("""COMPUTED_VALUE"""),"L2")</f>
        <v>L2</v>
      </c>
    </row>
    <row r="5830" ht="15.75" customHeight="1">
      <c r="A5830" s="1" t="str">
        <f>IFERROR(__xludf.DUMMYFUNCTION("""COMPUTED_VALUE"""),"Margaret Furman")</f>
        <v>Margaret Furman</v>
      </c>
      <c r="B5830" s="1" t="str">
        <f>IFERROR(__xludf.DUMMYFUNCTION("""COMPUTED_VALUE"""),"L2")</f>
        <v>L2</v>
      </c>
    </row>
    <row r="5831" ht="15.75" customHeight="1">
      <c r="A5831" s="1" t="str">
        <f>IFERROR(__xludf.DUMMYFUNCTION("""COMPUTED_VALUE"""),"Kayson Foor")</f>
        <v>Kayson Foor</v>
      </c>
      <c r="B5831" s="1" t="str">
        <f>IFERROR(__xludf.DUMMYFUNCTION("""COMPUTED_VALUE"""),"HS")</f>
        <v>HS</v>
      </c>
    </row>
    <row r="5832" ht="15.75" customHeight="1">
      <c r="A5832" s="1" t="str">
        <f>IFERROR(__xludf.DUMMYFUNCTION("""COMPUTED_VALUE"""),"Parker Hart")</f>
        <v>Parker Hart</v>
      </c>
      <c r="B5832" s="1" t="str">
        <f>IFERROR(__xludf.DUMMYFUNCTION("""COMPUTED_VALUE"""),"MS")</f>
        <v>MS</v>
      </c>
    </row>
    <row r="5833" ht="15.75" customHeight="1">
      <c r="A5833" s="1" t="str">
        <f>IFERROR(__xludf.DUMMYFUNCTION("""COMPUTED_VALUE"""),"Julian Cortez")</f>
        <v>Julian Cortez</v>
      </c>
      <c r="B5833" s="1" t="str">
        <f>IFERROR(__xludf.DUMMYFUNCTION("""COMPUTED_VALUE"""),"MS")</f>
        <v>MS</v>
      </c>
    </row>
    <row r="5834" ht="15.75" customHeight="1">
      <c r="A5834" s="1" t="str">
        <f>IFERROR(__xludf.DUMMYFUNCTION("""COMPUTED_VALUE"""),"Leyland Henry")</f>
        <v>Leyland Henry</v>
      </c>
      <c r="B5834" s="1" t="str">
        <f>IFERROR(__xludf.DUMMYFUNCTION("""COMPUTED_VALUE"""),"MS")</f>
        <v>MS</v>
      </c>
    </row>
    <row r="5835" ht="15.75" customHeight="1">
      <c r="A5835" s="1" t="str">
        <f>IFERROR(__xludf.DUMMYFUNCTION("""COMPUTED_VALUE"""),"Ryan Brown")</f>
        <v>Ryan Brown</v>
      </c>
      <c r="B5835" s="1" t="str">
        <f>IFERROR(__xludf.DUMMYFUNCTION("""COMPUTED_VALUE"""),"MS")</f>
        <v>MS</v>
      </c>
    </row>
    <row r="5836" ht="15.75" customHeight="1">
      <c r="A5836" s="1" t="str">
        <f>IFERROR(__xludf.DUMMYFUNCTION("""COMPUTED_VALUE"""),"Kingston Abraham")</f>
        <v>Kingston Abraham</v>
      </c>
      <c r="B5836" s="1" t="str">
        <f>IFERROR(__xludf.DUMMYFUNCTION("""COMPUTED_VALUE"""),"L2")</f>
        <v>L2</v>
      </c>
    </row>
    <row r="5837" ht="15.75" customHeight="1">
      <c r="A5837" s="1" t="str">
        <f>IFERROR(__xludf.DUMMYFUNCTION("""COMPUTED_VALUE"""),"Tristan Lawrence")</f>
        <v>Tristan Lawrence</v>
      </c>
      <c r="B5837" s="1" t="str">
        <f>IFERROR(__xludf.DUMMYFUNCTION("""COMPUTED_VALUE"""),"L2")</f>
        <v>L2</v>
      </c>
    </row>
    <row r="5838" ht="15.75" customHeight="1">
      <c r="A5838" s="1" t="str">
        <f>IFERROR(__xludf.DUMMYFUNCTION("""COMPUTED_VALUE"""),"Josiah Brown")</f>
        <v>Josiah Brown</v>
      </c>
      <c r="B5838" s="1" t="str">
        <f>IFERROR(__xludf.DUMMYFUNCTION("""COMPUTED_VALUE"""),"MS")</f>
        <v>MS</v>
      </c>
    </row>
    <row r="5839" ht="15.75" customHeight="1">
      <c r="A5839" s="1" t="str">
        <f>IFERROR(__xludf.DUMMYFUNCTION("""COMPUTED_VALUE"""),"Mikayel Khan")</f>
        <v>Mikayel Khan</v>
      </c>
      <c r="B5839" s="1" t="str">
        <f>IFERROR(__xludf.DUMMYFUNCTION("""COMPUTED_VALUE"""),"MS")</f>
        <v>MS</v>
      </c>
    </row>
    <row r="5840" ht="15.75" customHeight="1">
      <c r="A5840" s="1" t="str">
        <f>IFERROR(__xludf.DUMMYFUNCTION("""COMPUTED_VALUE"""),"Kolten Haby")</f>
        <v>Kolten Haby</v>
      </c>
      <c r="B5840" s="1" t="str">
        <f>IFERROR(__xludf.DUMMYFUNCTION("""COMPUTED_VALUE"""),"MS")</f>
        <v>MS</v>
      </c>
    </row>
    <row r="5841" ht="15.75" customHeight="1">
      <c r="A5841" s="1" t="str">
        <f>IFERROR(__xludf.DUMMYFUNCTION("""COMPUTED_VALUE"""),"Nicolas Souza")</f>
        <v>Nicolas Souza</v>
      </c>
      <c r="B5841" s="1" t="str">
        <f>IFERROR(__xludf.DUMMYFUNCTION("""COMPUTED_VALUE"""),"MS")</f>
        <v>MS</v>
      </c>
    </row>
    <row r="5842" ht="15.75" customHeight="1">
      <c r="A5842" s="1" t="str">
        <f>IFERROR(__xludf.DUMMYFUNCTION("""COMPUTED_VALUE"""),"Chloe Cooley")</f>
        <v>Chloe Cooley</v>
      </c>
      <c r="B5842" s="1" t="str">
        <f>IFERROR(__xludf.DUMMYFUNCTION("""COMPUTED_VALUE"""),"MS")</f>
        <v>MS</v>
      </c>
    </row>
    <row r="5843" ht="15.75" customHeight="1">
      <c r="A5843" s="1" t="str">
        <f>IFERROR(__xludf.DUMMYFUNCTION("""COMPUTED_VALUE"""),"Roderick Scott")</f>
        <v>Roderick Scott</v>
      </c>
      <c r="B5843" s="1" t="str">
        <f>IFERROR(__xludf.DUMMYFUNCTION("""COMPUTED_VALUE"""),"MS")</f>
        <v>MS</v>
      </c>
    </row>
    <row r="5844" ht="15.75" customHeight="1">
      <c r="A5844" s="1" t="str">
        <f>IFERROR(__xludf.DUMMYFUNCTION("""COMPUTED_VALUE"""),"Ismael Hani")</f>
        <v>Ismael Hani</v>
      </c>
      <c r="B5844" s="1" t="str">
        <f>IFERROR(__xludf.DUMMYFUNCTION("""COMPUTED_VALUE"""),"HS")</f>
        <v>HS</v>
      </c>
    </row>
    <row r="5845" ht="15.75" customHeight="1">
      <c r="A5845" s="1" t="str">
        <f>IFERROR(__xludf.DUMMYFUNCTION("""COMPUTED_VALUE"""),"Karim Hani")</f>
        <v>Karim Hani</v>
      </c>
      <c r="B5845" s="1" t="str">
        <f>IFERROR(__xludf.DUMMYFUNCTION("""COMPUTED_VALUE"""),"HS")</f>
        <v>HS</v>
      </c>
    </row>
    <row r="5846" ht="15.75" customHeight="1">
      <c r="A5846" s="1" t="str">
        <f>IFERROR(__xludf.DUMMYFUNCTION("""COMPUTED_VALUE"""),"Cody Cooley")</f>
        <v>Cody Cooley</v>
      </c>
      <c r="B5846" s="1" t="str">
        <f>IFERROR(__xludf.DUMMYFUNCTION("""COMPUTED_VALUE"""),"L2")</f>
        <v>L2</v>
      </c>
    </row>
    <row r="5847" ht="15.75" customHeight="1">
      <c r="A5847" s="1" t="str">
        <f>IFERROR(__xludf.DUMMYFUNCTION("""COMPUTED_VALUE"""),"Hayler Schneider")</f>
        <v>Hayler Schneider</v>
      </c>
      <c r="B5847" s="1" t="str">
        <f>IFERROR(__xludf.DUMMYFUNCTION("""COMPUTED_VALUE"""),"L2")</f>
        <v>L2</v>
      </c>
    </row>
    <row r="5848" ht="15.75" customHeight="1">
      <c r="A5848" s="1" t="str">
        <f>IFERROR(__xludf.DUMMYFUNCTION("""COMPUTED_VALUE"""),"Jackson Peterson")</f>
        <v>Jackson Peterson</v>
      </c>
      <c r="B5848" s="1" t="str">
        <f>IFERROR(__xludf.DUMMYFUNCTION("""COMPUTED_VALUE"""),"MS")</f>
        <v>MS</v>
      </c>
    </row>
    <row r="5849" ht="15.75" customHeight="1">
      <c r="A5849" s="1" t="str">
        <f>IFERROR(__xludf.DUMMYFUNCTION("""COMPUTED_VALUE"""),"Ford Radde")</f>
        <v>Ford Radde</v>
      </c>
      <c r="B5849" s="1" t="str">
        <f>IFERROR(__xludf.DUMMYFUNCTION("""COMPUTED_VALUE"""),"MS")</f>
        <v>MS</v>
      </c>
    </row>
    <row r="5850" ht="15.75" customHeight="1">
      <c r="A5850" s="1" t="str">
        <f>IFERROR(__xludf.DUMMYFUNCTION("""COMPUTED_VALUE"""),"Ayden Matlock")</f>
        <v>Ayden Matlock</v>
      </c>
      <c r="B5850" s="1" t="str">
        <f>IFERROR(__xludf.DUMMYFUNCTION("""COMPUTED_VALUE"""),"MS")</f>
        <v>MS</v>
      </c>
    </row>
    <row r="5851" ht="15.75" customHeight="1">
      <c r="A5851" s="1" t="str">
        <f>IFERROR(__xludf.DUMMYFUNCTION("""COMPUTED_VALUE"""),"Cooper Dowdy")</f>
        <v>Cooper Dowdy</v>
      </c>
      <c r="B5851" s="1" t="str">
        <f>IFERROR(__xludf.DUMMYFUNCTION("""COMPUTED_VALUE"""),"MS")</f>
        <v>MS</v>
      </c>
    </row>
    <row r="5852" ht="15.75" customHeight="1">
      <c r="A5852" s="1" t="str">
        <f>IFERROR(__xludf.DUMMYFUNCTION("""COMPUTED_VALUE"""),"Noah Williams")</f>
        <v>Noah Williams</v>
      </c>
      <c r="B5852" s="1" t="str">
        <f>IFERROR(__xludf.DUMMYFUNCTION("""COMPUTED_VALUE"""),"MS")</f>
        <v>MS</v>
      </c>
    </row>
    <row r="5853" ht="15.75" customHeight="1">
      <c r="A5853" s="1" t="str">
        <f>IFERROR(__xludf.DUMMYFUNCTION("""COMPUTED_VALUE"""),"Mason McWilliams")</f>
        <v>Mason McWilliams</v>
      </c>
      <c r="B5853" s="1" t="str">
        <f>IFERROR(__xludf.DUMMYFUNCTION("""COMPUTED_VALUE"""),"MS")</f>
        <v>MS</v>
      </c>
    </row>
    <row r="5854" ht="15.75" customHeight="1">
      <c r="A5854" s="1" t="str">
        <f>IFERROR(__xludf.DUMMYFUNCTION("""COMPUTED_VALUE"""),"Robert Montgomery")</f>
        <v>Robert Montgomery</v>
      </c>
      <c r="B5854" s="1" t="str">
        <f>IFERROR(__xludf.DUMMYFUNCTION("""COMPUTED_VALUE"""),"MS")</f>
        <v>MS</v>
      </c>
    </row>
    <row r="5855" ht="15.75" customHeight="1">
      <c r="A5855" s="1" t="str">
        <f>IFERROR(__xludf.DUMMYFUNCTION("""COMPUTED_VALUE"""),"Kadin Morton")</f>
        <v>Kadin Morton</v>
      </c>
      <c r="B5855" s="1" t="str">
        <f>IFERROR(__xludf.DUMMYFUNCTION("""COMPUTED_VALUE"""),"MS")</f>
        <v>MS</v>
      </c>
    </row>
    <row r="5856" ht="15.75" customHeight="1">
      <c r="A5856" s="1" t="str">
        <f>IFERROR(__xludf.DUMMYFUNCTION("""COMPUTED_VALUE"""),"Major Parchman")</f>
        <v>Major Parchman</v>
      </c>
      <c r="B5856" s="1" t="str">
        <f>IFERROR(__xludf.DUMMYFUNCTION("""COMPUTED_VALUE"""),"MS")</f>
        <v>MS</v>
      </c>
    </row>
    <row r="5857" ht="15.75" customHeight="1">
      <c r="A5857" s="1" t="str">
        <f>IFERROR(__xludf.DUMMYFUNCTION("""COMPUTED_VALUE"""),"Henry Shepherd")</f>
        <v>Henry Shepherd</v>
      </c>
      <c r="B5857" s="1" t="str">
        <f>IFERROR(__xludf.DUMMYFUNCTION("""COMPUTED_VALUE"""),"MS")</f>
        <v>MS</v>
      </c>
    </row>
    <row r="5858" ht="15.75" customHeight="1">
      <c r="A5858" s="1" t="str">
        <f>IFERROR(__xludf.DUMMYFUNCTION("""COMPUTED_VALUE"""),"Levi Taylor")</f>
        <v>Levi Taylor</v>
      </c>
      <c r="B5858" s="1" t="str">
        <f>IFERROR(__xludf.DUMMYFUNCTION("""COMPUTED_VALUE"""),"MS")</f>
        <v>MS</v>
      </c>
    </row>
    <row r="5859" ht="15.75" customHeight="1">
      <c r="A5859" s="1" t="str">
        <f>IFERROR(__xludf.DUMMYFUNCTION("""COMPUTED_VALUE"""),"Kylen Toombs")</f>
        <v>Kylen Toombs</v>
      </c>
      <c r="B5859" s="1" t="str">
        <f>IFERROR(__xludf.DUMMYFUNCTION("""COMPUTED_VALUE"""),"MS")</f>
        <v>MS</v>
      </c>
    </row>
    <row r="5860" ht="15.75" customHeight="1">
      <c r="A5860" s="1" t="str">
        <f>IFERROR(__xludf.DUMMYFUNCTION("""COMPUTED_VALUE"""),"Aaron Underwood")</f>
        <v>Aaron Underwood</v>
      </c>
      <c r="B5860" s="1" t="str">
        <f>IFERROR(__xludf.DUMMYFUNCTION("""COMPUTED_VALUE"""),"MS")</f>
        <v>MS</v>
      </c>
    </row>
    <row r="5861" ht="15.75" customHeight="1">
      <c r="A5861" s="1" t="str">
        <f>IFERROR(__xludf.DUMMYFUNCTION("""COMPUTED_VALUE"""),"Michael Balderaz")</f>
        <v>Michael Balderaz</v>
      </c>
      <c r="B5861" s="1" t="str">
        <f>IFERROR(__xludf.DUMMYFUNCTION("""COMPUTED_VALUE"""),"MS")</f>
        <v>MS</v>
      </c>
    </row>
    <row r="5862" ht="15.75" customHeight="1">
      <c r="A5862" s="1" t="str">
        <f>IFERROR(__xludf.DUMMYFUNCTION("""COMPUTED_VALUE"""),"Charles Rider Burgin")</f>
        <v>Charles Rider Burgin</v>
      </c>
      <c r="B5862" s="1" t="str">
        <f>IFERROR(__xludf.DUMMYFUNCTION("""COMPUTED_VALUE"""),"MS")</f>
        <v>MS</v>
      </c>
    </row>
    <row r="5863" ht="15.75" customHeight="1">
      <c r="A5863" s="1" t="str">
        <f>IFERROR(__xludf.DUMMYFUNCTION("""COMPUTED_VALUE"""),"James Arphul")</f>
        <v>James Arphul</v>
      </c>
      <c r="B5863" s="1" t="str">
        <f>IFERROR(__xludf.DUMMYFUNCTION("""COMPUTED_VALUE"""),"MS")</f>
        <v>MS</v>
      </c>
    </row>
    <row r="5864" ht="15.75" customHeight="1">
      <c r="A5864" s="1" t="str">
        <f>IFERROR(__xludf.DUMMYFUNCTION("""COMPUTED_VALUE"""),"Jaylen Shelby")</f>
        <v>Jaylen Shelby</v>
      </c>
      <c r="B5864" s="1" t="str">
        <f>IFERROR(__xludf.DUMMYFUNCTION("""COMPUTED_VALUE"""),"MS")</f>
        <v>MS</v>
      </c>
    </row>
    <row r="5865" ht="15.75" customHeight="1">
      <c r="A5865" s="1" t="str">
        <f>IFERROR(__xludf.DUMMYFUNCTION("""COMPUTED_VALUE"""),"Kai White")</f>
        <v>Kai White</v>
      </c>
      <c r="B5865" s="1" t="str">
        <f>IFERROR(__xludf.DUMMYFUNCTION("""COMPUTED_VALUE"""),"MS")</f>
        <v>MS</v>
      </c>
    </row>
    <row r="5866" ht="15.75" customHeight="1">
      <c r="A5866" s="1" t="str">
        <f>IFERROR(__xludf.DUMMYFUNCTION("""COMPUTED_VALUE"""),"Dakota Colbert")</f>
        <v>Dakota Colbert</v>
      </c>
      <c r="B5866" s="1" t="str">
        <f>IFERROR(__xludf.DUMMYFUNCTION("""COMPUTED_VALUE"""),"MS")</f>
        <v>MS</v>
      </c>
    </row>
    <row r="5867" ht="15.75" customHeight="1">
      <c r="A5867" s="1" t="str">
        <f>IFERROR(__xludf.DUMMYFUNCTION("""COMPUTED_VALUE"""),"Brannigan James")</f>
        <v>Brannigan James</v>
      </c>
      <c r="B5867" s="1" t="str">
        <f>IFERROR(__xludf.DUMMYFUNCTION("""COMPUTED_VALUE"""),"MS")</f>
        <v>MS</v>
      </c>
    </row>
    <row r="5868" ht="15.75" customHeight="1">
      <c r="A5868" s="1" t="str">
        <f>IFERROR(__xludf.DUMMYFUNCTION("""COMPUTED_VALUE"""),"Jack Drake")</f>
        <v>Jack Drake</v>
      </c>
      <c r="B5868" s="1" t="str">
        <f>IFERROR(__xludf.DUMMYFUNCTION("""COMPUTED_VALUE"""),"MS")</f>
        <v>MS</v>
      </c>
    </row>
    <row r="5869" ht="15.75" customHeight="1">
      <c r="A5869" s="1" t="str">
        <f>IFERROR(__xludf.DUMMYFUNCTION("""COMPUTED_VALUE"""),"Mayvin Coppens")</f>
        <v>Mayvin Coppens</v>
      </c>
      <c r="B5869" s="1" t="str">
        <f>IFERROR(__xludf.DUMMYFUNCTION("""COMPUTED_VALUE"""),"MS")</f>
        <v>MS</v>
      </c>
    </row>
    <row r="5870" ht="15.75" customHeight="1">
      <c r="A5870" s="1" t="str">
        <f>IFERROR(__xludf.DUMMYFUNCTION("""COMPUTED_VALUE"""),"Patrice Azi")</f>
        <v>Patrice Azi</v>
      </c>
      <c r="B5870" s="1" t="str">
        <f>IFERROR(__xludf.DUMMYFUNCTION("""COMPUTED_VALUE"""),"L2")</f>
        <v>L2</v>
      </c>
    </row>
    <row r="5871" ht="15.75" customHeight="1">
      <c r="A5871" s="1" t="str">
        <f>IFERROR(__xludf.DUMMYFUNCTION("""COMPUTED_VALUE"""),"Gianni Coppens")</f>
        <v>Gianni Coppens</v>
      </c>
      <c r="B5871" s="1" t="str">
        <f>IFERROR(__xludf.DUMMYFUNCTION("""COMPUTED_VALUE"""),"L2")</f>
        <v>L2</v>
      </c>
    </row>
    <row r="5872" ht="15.75" customHeight="1">
      <c r="A5872" s="1" t="str">
        <f>IFERROR(__xludf.DUMMYFUNCTION("""COMPUTED_VALUE"""),"Taylor Young")</f>
        <v>Taylor Young</v>
      </c>
      <c r="B5872" s="1" t="str">
        <f>IFERROR(__xludf.DUMMYFUNCTION("""COMPUTED_VALUE"""),"MS")</f>
        <v>MS</v>
      </c>
    </row>
    <row r="5873" ht="15.75" customHeight="1">
      <c r="A5873" s="1" t="str">
        <f>IFERROR(__xludf.DUMMYFUNCTION("""COMPUTED_VALUE"""),"Terrill Binion II")</f>
        <v>Terrill Binion II</v>
      </c>
      <c r="B5873" s="1" t="str">
        <f>IFERROR(__xludf.DUMMYFUNCTION("""COMPUTED_VALUE"""),"MS")</f>
        <v>MS</v>
      </c>
    </row>
    <row r="5874" ht="15.75" customHeight="1">
      <c r="A5874" s="1" t="str">
        <f>IFERROR(__xludf.DUMMYFUNCTION("""COMPUTED_VALUE"""),"Carter Jockers")</f>
        <v>Carter Jockers</v>
      </c>
      <c r="B5874" s="1" t="str">
        <f>IFERROR(__xludf.DUMMYFUNCTION("""COMPUTED_VALUE"""),"MS")</f>
        <v>MS</v>
      </c>
    </row>
    <row r="5875" ht="15.75" customHeight="1">
      <c r="A5875" s="1" t="str">
        <f>IFERROR(__xludf.DUMMYFUNCTION("""COMPUTED_VALUE"""),"adam lebbar")</f>
        <v>adam lebbar</v>
      </c>
      <c r="B5875" s="1" t="str">
        <f>IFERROR(__xludf.DUMMYFUNCTION("""COMPUTED_VALUE"""),"MS")</f>
        <v>MS</v>
      </c>
    </row>
    <row r="5876" ht="15.75" customHeight="1">
      <c r="A5876" s="1" t="str">
        <f>IFERROR(__xludf.DUMMYFUNCTION("""COMPUTED_VALUE"""),"Kayden Browning")</f>
        <v>Kayden Browning</v>
      </c>
      <c r="B5876" s="1" t="str">
        <f>IFERROR(__xludf.DUMMYFUNCTION("""COMPUTED_VALUE"""),"L2")</f>
        <v>L2</v>
      </c>
    </row>
    <row r="5877" ht="15.75" customHeight="1">
      <c r="A5877" s="1" t="str">
        <f>IFERROR(__xludf.DUMMYFUNCTION("""COMPUTED_VALUE"""),"Quentin Johnson")</f>
        <v>Quentin Johnson</v>
      </c>
      <c r="B5877" s="1" t="str">
        <f>IFERROR(__xludf.DUMMYFUNCTION("""COMPUTED_VALUE"""),"MS")</f>
        <v>MS</v>
      </c>
    </row>
    <row r="5878" ht="15.75" customHeight="1">
      <c r="A5878" s="1" t="str">
        <f>IFERROR(__xludf.DUMMYFUNCTION("""COMPUTED_VALUE"""),"Josue Cardenas")</f>
        <v>Josue Cardenas</v>
      </c>
      <c r="B5878" s="1" t="str">
        <f>IFERROR(__xludf.DUMMYFUNCTION("""COMPUTED_VALUE"""),"HS")</f>
        <v>HS</v>
      </c>
    </row>
    <row r="5879" ht="15.75" customHeight="1">
      <c r="A5879" s="1" t="str">
        <f>IFERROR(__xludf.DUMMYFUNCTION("""COMPUTED_VALUE"""),"Kye McDade")</f>
        <v>Kye McDade</v>
      </c>
      <c r="B5879" s="1" t="str">
        <f>IFERROR(__xludf.DUMMYFUNCTION("""COMPUTED_VALUE"""),"MS")</f>
        <v>MS</v>
      </c>
    </row>
    <row r="5880" ht="15.75" customHeight="1">
      <c r="A5880" s="1" t="str">
        <f>IFERROR(__xludf.DUMMYFUNCTION("""COMPUTED_VALUE"""),"Dash Dowell")</f>
        <v>Dash Dowell</v>
      </c>
      <c r="B5880" s="1" t="str">
        <f>IFERROR(__xludf.DUMMYFUNCTION("""COMPUTED_VALUE"""),"HS")</f>
        <v>HS</v>
      </c>
    </row>
    <row r="5881" ht="15.75" customHeight="1">
      <c r="A5881" s="1" t="str">
        <f>IFERROR(__xludf.DUMMYFUNCTION("""COMPUTED_VALUE"""),"Christian Salinas")</f>
        <v>Christian Salinas</v>
      </c>
      <c r="B5881" s="1" t="str">
        <f>IFERROR(__xludf.DUMMYFUNCTION("""COMPUTED_VALUE"""),"L2")</f>
        <v>L2</v>
      </c>
    </row>
    <row r="5882" ht="15.75" customHeight="1">
      <c r="A5882" s="1" t="str">
        <f>IFERROR(__xludf.DUMMYFUNCTION("""COMPUTED_VALUE"""),"Catalina Mazzucca")</f>
        <v>Catalina Mazzucca</v>
      </c>
      <c r="B5882" s="1" t="str">
        <f>IFERROR(__xludf.DUMMYFUNCTION("""COMPUTED_VALUE"""),"MS")</f>
        <v>MS</v>
      </c>
    </row>
    <row r="5883" ht="15.75" customHeight="1">
      <c r="A5883" s="1" t="str">
        <f>IFERROR(__xludf.DUMMYFUNCTION("""COMPUTED_VALUE"""),"Emmett Escamilla")</f>
        <v>Emmett Escamilla</v>
      </c>
      <c r="B5883" s="1" t="str">
        <f>IFERROR(__xludf.DUMMYFUNCTION("""COMPUTED_VALUE"""),"L1")</f>
        <v>L1</v>
      </c>
    </row>
    <row r="5884" ht="15.75" customHeight="1">
      <c r="A5884" s="1" t="str">
        <f>IFERROR(__xludf.DUMMYFUNCTION("""COMPUTED_VALUE"""),"Lukkas Powao")</f>
        <v>Lukkas Powao</v>
      </c>
      <c r="B5884" s="1" t="str">
        <f>IFERROR(__xludf.DUMMYFUNCTION("""COMPUTED_VALUE"""),"L1")</f>
        <v>L1</v>
      </c>
    </row>
    <row r="5885" ht="15.75" customHeight="1">
      <c r="A5885" s="1" t="str">
        <f>IFERROR(__xludf.DUMMYFUNCTION("""COMPUTED_VALUE"""),"Jackson Bulderbergs")</f>
        <v>Jackson Bulderbergs</v>
      </c>
      <c r="B5885" s="1" t="str">
        <f>IFERROR(__xludf.DUMMYFUNCTION("""COMPUTED_VALUE"""),"L1")</f>
        <v>L1</v>
      </c>
    </row>
    <row r="5886" ht="15.75" customHeight="1">
      <c r="A5886" s="1" t="str">
        <f>IFERROR(__xludf.DUMMYFUNCTION("""COMPUTED_VALUE"""),"Luis Merino")</f>
        <v>Luis Merino</v>
      </c>
      <c r="B5886" s="1" t="str">
        <f>IFERROR(__xludf.DUMMYFUNCTION("""COMPUTED_VALUE"""),"L2")</f>
        <v>L2</v>
      </c>
    </row>
    <row r="5887" ht="15.75" customHeight="1">
      <c r="A5887" s="1" t="str">
        <f>IFERROR(__xludf.DUMMYFUNCTION("""COMPUTED_VALUE"""),"King Fluckers")</f>
        <v>King Fluckers</v>
      </c>
      <c r="B5887" s="1" t="str">
        <f>IFERROR(__xludf.DUMMYFUNCTION("""COMPUTED_VALUE"""),"MS")</f>
        <v>MS</v>
      </c>
    </row>
    <row r="5888" ht="15.75" customHeight="1">
      <c r="A5888" s="1" t="str">
        <f>IFERROR(__xludf.DUMMYFUNCTION("""COMPUTED_VALUE"""),"Watson Dowell")</f>
        <v>Watson Dowell</v>
      </c>
      <c r="B5888" s="1" t="str">
        <f>IFERROR(__xludf.DUMMYFUNCTION("""COMPUTED_VALUE"""),"MS")</f>
        <v>MS</v>
      </c>
    </row>
    <row r="5889" ht="15.75" customHeight="1">
      <c r="A5889" s="1" t="str">
        <f>IFERROR(__xludf.DUMMYFUNCTION("""COMPUTED_VALUE"""),"Jaxson Luikart")</f>
        <v>Jaxson Luikart</v>
      </c>
      <c r="B5889" s="1" t="str">
        <f>IFERROR(__xludf.DUMMYFUNCTION("""COMPUTED_VALUE"""),"MS")</f>
        <v>MS</v>
      </c>
    </row>
    <row r="5890" ht="15.75" customHeight="1">
      <c r="A5890" s="1" t="str">
        <f>IFERROR(__xludf.DUMMYFUNCTION("""COMPUTED_VALUE"""),"Cade Bustamante")</f>
        <v>Cade Bustamante</v>
      </c>
      <c r="B5890" s="1" t="str">
        <f>IFERROR(__xludf.DUMMYFUNCTION("""COMPUTED_VALUE"""),"HS")</f>
        <v>HS</v>
      </c>
    </row>
    <row r="5891" ht="15.75" customHeight="1">
      <c r="A5891" s="1" t="str">
        <f>IFERROR(__xludf.DUMMYFUNCTION("""COMPUTED_VALUE"""),"Jack Ely")</f>
        <v>Jack Ely</v>
      </c>
      <c r="B5891" s="1" t="str">
        <f>IFERROR(__xludf.DUMMYFUNCTION("""COMPUTED_VALUE"""),"HS")</f>
        <v>HS</v>
      </c>
    </row>
    <row r="5892" ht="15.75" customHeight="1">
      <c r="A5892" s="1" t="str">
        <f>IFERROR(__xludf.DUMMYFUNCTION("""COMPUTED_VALUE"""),"Rory Johnson")</f>
        <v>Rory Johnson</v>
      </c>
      <c r="B5892" s="1" t="str">
        <f>IFERROR(__xludf.DUMMYFUNCTION("""COMPUTED_VALUE"""),"MS")</f>
        <v>MS</v>
      </c>
    </row>
    <row r="5893" ht="15.75" customHeight="1">
      <c r="A5893" s="1" t="str">
        <f>IFERROR(__xludf.DUMMYFUNCTION("""COMPUTED_VALUE"""),"Jacob Hinojosa")</f>
        <v>Jacob Hinojosa</v>
      </c>
      <c r="B5893" s="1" t="str">
        <f>IFERROR(__xludf.DUMMYFUNCTION("""COMPUTED_VALUE"""),"HS")</f>
        <v>HS</v>
      </c>
    </row>
    <row r="5894" ht="15.75" customHeight="1">
      <c r="A5894" s="1" t="str">
        <f>IFERROR(__xludf.DUMMYFUNCTION("""COMPUTED_VALUE"""),"Dominic Jones")</f>
        <v>Dominic Jones</v>
      </c>
      <c r="B5894" s="1" t="str">
        <f>IFERROR(__xludf.DUMMYFUNCTION("""COMPUTED_VALUE"""),"MS")</f>
        <v>MS</v>
      </c>
    </row>
    <row r="5895" ht="15.75" customHeight="1">
      <c r="A5895" s="1" t="str">
        <f>IFERROR(__xludf.DUMMYFUNCTION("""COMPUTED_VALUE"""),"Peini Jiang")</f>
        <v>Peini Jiang</v>
      </c>
      <c r="B5895" s="1" t="str">
        <f>IFERROR(__xludf.DUMMYFUNCTION("""COMPUTED_VALUE"""),"HS")</f>
        <v>HS</v>
      </c>
    </row>
    <row r="5896" ht="15.75" customHeight="1">
      <c r="A5896" s="1" t="str">
        <f>IFERROR(__xludf.DUMMYFUNCTION("""COMPUTED_VALUE"""),"Sean Jiang")</f>
        <v>Sean Jiang</v>
      </c>
      <c r="B5896" s="1" t="str">
        <f>IFERROR(__xludf.DUMMYFUNCTION("""COMPUTED_VALUE"""),"MS")</f>
        <v>MS</v>
      </c>
    </row>
    <row r="5897" ht="15.75" customHeight="1">
      <c r="A5897" s="1" t="str">
        <f>IFERROR(__xludf.DUMMYFUNCTION("""COMPUTED_VALUE"""),"Elijah Calzadilla")</f>
        <v>Elijah Calzadilla</v>
      </c>
      <c r="B5897" s="1" t="str">
        <f>IFERROR(__xludf.DUMMYFUNCTION("""COMPUTED_VALUE"""),"HS")</f>
        <v>HS</v>
      </c>
    </row>
    <row r="5898" ht="15.75" customHeight="1">
      <c r="A5898" s="1" t="str">
        <f>IFERROR(__xludf.DUMMYFUNCTION("""COMPUTED_VALUE"""),"Jeremiah Wilson")</f>
        <v>Jeremiah Wilson</v>
      </c>
      <c r="B5898" s="1" t="str">
        <f>IFERROR(__xludf.DUMMYFUNCTION("""COMPUTED_VALUE"""),"L2")</f>
        <v>L2</v>
      </c>
    </row>
    <row r="5899" ht="15.75" customHeight="1">
      <c r="A5899" s="1" t="str">
        <f>IFERROR(__xludf.DUMMYFUNCTION("""COMPUTED_VALUE"""),"Renee Parnell")</f>
        <v>Renee Parnell</v>
      </c>
      <c r="B5899" s="1" t="str">
        <f>IFERROR(__xludf.DUMMYFUNCTION("""COMPUTED_VALUE"""),"MS")</f>
        <v>MS</v>
      </c>
    </row>
    <row r="5900" ht="15.75" customHeight="1">
      <c r="A5900" s="1" t="str">
        <f>IFERROR(__xludf.DUMMYFUNCTION("""COMPUTED_VALUE"""),"Alijah Wright")</f>
        <v>Alijah Wright</v>
      </c>
      <c r="B5900" s="1" t="str">
        <f>IFERROR(__xludf.DUMMYFUNCTION("""COMPUTED_VALUE"""),"MS")</f>
        <v>MS</v>
      </c>
    </row>
    <row r="5901" ht="15.75" customHeight="1">
      <c r="A5901" s="1" t="str">
        <f>IFERROR(__xludf.DUMMYFUNCTION("""COMPUTED_VALUE"""),"De'Marcus Collins")</f>
        <v>De'Marcus Collins</v>
      </c>
      <c r="B5901" s="1" t="str">
        <f>IFERROR(__xludf.DUMMYFUNCTION("""COMPUTED_VALUE"""),"MS")</f>
        <v>MS</v>
      </c>
    </row>
    <row r="5902" ht="15.75" customHeight="1">
      <c r="A5902" s="1" t="str">
        <f>IFERROR(__xludf.DUMMYFUNCTION("""COMPUTED_VALUE"""),"Tanner Klentz")</f>
        <v>Tanner Klentz</v>
      </c>
      <c r="B5902" s="1" t="str">
        <f>IFERROR(__xludf.DUMMYFUNCTION("""COMPUTED_VALUE"""),"HS")</f>
        <v>HS</v>
      </c>
    </row>
    <row r="5903" ht="15.75" customHeight="1">
      <c r="A5903" s="1" t="str">
        <f>IFERROR(__xludf.DUMMYFUNCTION("""COMPUTED_VALUE"""),"Omar Mendoza")</f>
        <v>Omar Mendoza</v>
      </c>
      <c r="B5903" s="1" t="str">
        <f>IFERROR(__xludf.DUMMYFUNCTION("""COMPUTED_VALUE"""),"MS")</f>
        <v>MS</v>
      </c>
    </row>
    <row r="5904" ht="15.75" customHeight="1">
      <c r="A5904" s="1" t="str">
        <f>IFERROR(__xludf.DUMMYFUNCTION("""COMPUTED_VALUE"""),"Seth Anders")</f>
        <v>Seth Anders</v>
      </c>
      <c r="B5904" s="1" t="str">
        <f>IFERROR(__xludf.DUMMYFUNCTION("""COMPUTED_VALUE"""),"HS")</f>
        <v>HS</v>
      </c>
    </row>
    <row r="5905" ht="15.75" customHeight="1">
      <c r="A5905" s="1" t="str">
        <f>IFERROR(__xludf.DUMMYFUNCTION("""COMPUTED_VALUE"""),"Jaycob Herrera")</f>
        <v>Jaycob Herrera</v>
      </c>
      <c r="B5905" s="1" t="str">
        <f>IFERROR(__xludf.DUMMYFUNCTION("""COMPUTED_VALUE"""),"HS")</f>
        <v>HS</v>
      </c>
    </row>
    <row r="5906" ht="15.75" customHeight="1">
      <c r="A5906" s="1" t="str">
        <f>IFERROR(__xludf.DUMMYFUNCTION("""COMPUTED_VALUE"""),"Chris Gaines")</f>
        <v>Chris Gaines</v>
      </c>
      <c r="B5906" s="1" t="str">
        <f>IFERROR(__xludf.DUMMYFUNCTION("""COMPUTED_VALUE"""),"HS")</f>
        <v>HS</v>
      </c>
    </row>
    <row r="5907" ht="15.75" customHeight="1">
      <c r="A5907" s="1" t="str">
        <f>IFERROR(__xludf.DUMMYFUNCTION("""COMPUTED_VALUE"""),"Ilyas Ali")</f>
        <v>Ilyas Ali</v>
      </c>
      <c r="B5907" s="1" t="str">
        <f>IFERROR(__xludf.DUMMYFUNCTION("""COMPUTED_VALUE"""),"HS")</f>
        <v>HS</v>
      </c>
    </row>
    <row r="5908" ht="15.75" customHeight="1">
      <c r="A5908" s="1" t="str">
        <f>IFERROR(__xludf.DUMMYFUNCTION("""COMPUTED_VALUE"""),"River Thomas")</f>
        <v>River Thomas</v>
      </c>
      <c r="B5908" s="1" t="str">
        <f>IFERROR(__xludf.DUMMYFUNCTION("""COMPUTED_VALUE"""),"HS")</f>
        <v>HS</v>
      </c>
    </row>
    <row r="5909" ht="15.75" customHeight="1">
      <c r="A5909" s="1" t="str">
        <f>IFERROR(__xludf.DUMMYFUNCTION("""COMPUTED_VALUE"""),"Alexander Le-Iyore")</f>
        <v>Alexander Le-Iyore</v>
      </c>
      <c r="B5909" s="1" t="str">
        <f>IFERROR(__xludf.DUMMYFUNCTION("""COMPUTED_VALUE"""),"HS")</f>
        <v>HS</v>
      </c>
    </row>
    <row r="5910" ht="15.75" customHeight="1">
      <c r="A5910" s="1" t="str">
        <f>IFERROR(__xludf.DUMMYFUNCTION("""COMPUTED_VALUE"""),"Liam Macdonel")</f>
        <v>Liam Macdonel</v>
      </c>
      <c r="B5910" s="1" t="str">
        <f>IFERROR(__xludf.DUMMYFUNCTION("""COMPUTED_VALUE"""),"HS")</f>
        <v>HS</v>
      </c>
    </row>
    <row r="5911" ht="15.75" customHeight="1">
      <c r="A5911" s="1" t="str">
        <f>IFERROR(__xludf.DUMMYFUNCTION("""COMPUTED_VALUE"""),"Austin Pederson")</f>
        <v>Austin Pederson</v>
      </c>
      <c r="B5911" s="1" t="str">
        <f>IFERROR(__xludf.DUMMYFUNCTION("""COMPUTED_VALUE"""),"MS")</f>
        <v>MS</v>
      </c>
    </row>
    <row r="5912" ht="15.75" customHeight="1">
      <c r="A5912" s="1" t="str">
        <f>IFERROR(__xludf.DUMMYFUNCTION("""COMPUTED_VALUE"""),"Cody Haley")</f>
        <v>Cody Haley</v>
      </c>
      <c r="B5912" s="1" t="str">
        <f>IFERROR(__xludf.DUMMYFUNCTION("""COMPUTED_VALUE"""),"HS")</f>
        <v>HS</v>
      </c>
    </row>
    <row r="5913" ht="15.75" customHeight="1">
      <c r="A5913" s="1" t="str">
        <f>IFERROR(__xludf.DUMMYFUNCTION("""COMPUTED_VALUE"""),"Xavier Mejia")</f>
        <v>Xavier Mejia</v>
      </c>
      <c r="B5913" s="1" t="str">
        <f>IFERROR(__xludf.DUMMYFUNCTION("""COMPUTED_VALUE"""),"L2")</f>
        <v>L2</v>
      </c>
    </row>
    <row r="5914" ht="15.75" customHeight="1">
      <c r="A5914" s="1" t="str">
        <f>IFERROR(__xludf.DUMMYFUNCTION("""COMPUTED_VALUE"""),"Brayden Worthen")</f>
        <v>Brayden Worthen</v>
      </c>
      <c r="B5914" s="1" t="str">
        <f>IFERROR(__xludf.DUMMYFUNCTION("""COMPUTED_VALUE"""),"MS")</f>
        <v>MS</v>
      </c>
    </row>
    <row r="5915" ht="15.75" customHeight="1">
      <c r="A5915" s="1" t="str">
        <f>IFERROR(__xludf.DUMMYFUNCTION("""COMPUTED_VALUE"""),"Easton Hall")</f>
        <v>Easton Hall</v>
      </c>
      <c r="B5915" s="1" t="str">
        <f>IFERROR(__xludf.DUMMYFUNCTION("""COMPUTED_VALUE"""),"MS")</f>
        <v>MS</v>
      </c>
    </row>
    <row r="5916" ht="15.75" customHeight="1">
      <c r="A5916" s="1" t="str">
        <f>IFERROR(__xludf.DUMMYFUNCTION("""COMPUTED_VALUE"""),"Axel Dwyer")</f>
        <v>Axel Dwyer</v>
      </c>
      <c r="B5916" s="1" t="str">
        <f>IFERROR(__xludf.DUMMYFUNCTION("""COMPUTED_VALUE"""),"MS")</f>
        <v>MS</v>
      </c>
    </row>
    <row r="5917" ht="15.75" customHeight="1">
      <c r="A5917" s="1" t="str">
        <f>IFERROR(__xludf.DUMMYFUNCTION("""COMPUTED_VALUE"""),"Davis Cook")</f>
        <v>Davis Cook</v>
      </c>
      <c r="B5917" s="1" t="str">
        <f>IFERROR(__xludf.DUMMYFUNCTION("""COMPUTED_VALUE"""),"HS")</f>
        <v>HS</v>
      </c>
    </row>
    <row r="5918" ht="15.75" customHeight="1">
      <c r="A5918" s="1" t="str">
        <f>IFERROR(__xludf.DUMMYFUNCTION("""COMPUTED_VALUE"""),"Lathan Lindsey")</f>
        <v>Lathan Lindsey</v>
      </c>
      <c r="B5918" s="1" t="str">
        <f>IFERROR(__xludf.DUMMYFUNCTION("""COMPUTED_VALUE"""),"MS")</f>
        <v>MS</v>
      </c>
    </row>
    <row r="5919" ht="15.75" customHeight="1">
      <c r="A5919" s="1" t="str">
        <f>IFERROR(__xludf.DUMMYFUNCTION("""COMPUTED_VALUE"""),"Ty Garner")</f>
        <v>Ty Garner</v>
      </c>
      <c r="B5919" s="1" t="str">
        <f>IFERROR(__xludf.DUMMYFUNCTION("""COMPUTED_VALUE"""),"HS")</f>
        <v>HS</v>
      </c>
    </row>
    <row r="5920" ht="15.75" customHeight="1">
      <c r="A5920" s="1" t="str">
        <f>IFERROR(__xludf.DUMMYFUNCTION("""COMPUTED_VALUE"""),"Owen Ott")</f>
        <v>Owen Ott</v>
      </c>
      <c r="B5920" s="1" t="str">
        <f>IFERROR(__xludf.DUMMYFUNCTION("""COMPUTED_VALUE"""),"MS")</f>
        <v>MS</v>
      </c>
    </row>
    <row r="5921" ht="15.75" customHeight="1">
      <c r="A5921" s="1" t="str">
        <f>IFERROR(__xludf.DUMMYFUNCTION("""COMPUTED_VALUE"""),"Spencer Drake")</f>
        <v>Spencer Drake</v>
      </c>
      <c r="B5921" s="1" t="str">
        <f>IFERROR(__xludf.DUMMYFUNCTION("""COMPUTED_VALUE"""),"MS")</f>
        <v>MS</v>
      </c>
    </row>
    <row r="5922" ht="15.75" customHeight="1">
      <c r="A5922" s="1" t="str">
        <f>IFERROR(__xludf.DUMMYFUNCTION("""COMPUTED_VALUE"""),"Jesse Soberal")</f>
        <v>Jesse Soberal</v>
      </c>
      <c r="B5922" s="1" t="str">
        <f>IFERROR(__xludf.DUMMYFUNCTION("""COMPUTED_VALUE"""),"MS")</f>
        <v>MS</v>
      </c>
    </row>
    <row r="5923" ht="15.75" customHeight="1">
      <c r="A5923" s="1" t="str">
        <f>IFERROR(__xludf.DUMMYFUNCTION("""COMPUTED_VALUE"""),"GraeCynn Boler")</f>
        <v>GraeCynn Boler</v>
      </c>
      <c r="B5923" s="1" t="str">
        <f>IFERROR(__xludf.DUMMYFUNCTION("""COMPUTED_VALUE"""),"L2")</f>
        <v>L2</v>
      </c>
    </row>
    <row r="5924" ht="15.75" customHeight="1">
      <c r="A5924" s="1" t="str">
        <f>IFERROR(__xludf.DUMMYFUNCTION("""COMPUTED_VALUE"""),"Thalia Cummings")</f>
        <v>Thalia Cummings</v>
      </c>
      <c r="B5924" s="1" t="str">
        <f>IFERROR(__xludf.DUMMYFUNCTION("""COMPUTED_VALUE"""),"L2")</f>
        <v>L2</v>
      </c>
    </row>
    <row r="5925" ht="15.75" customHeight="1">
      <c r="A5925" s="1" t="str">
        <f>IFERROR(__xludf.DUMMYFUNCTION("""COMPUTED_VALUE"""),"Iker Maresh")</f>
        <v>Iker Maresh</v>
      </c>
      <c r="B5925" s="1" t="str">
        <f>IFERROR(__xludf.DUMMYFUNCTION("""COMPUTED_VALUE"""),"MS")</f>
        <v>MS</v>
      </c>
    </row>
    <row r="5926" ht="15.75" customHeight="1">
      <c r="A5926" s="1" t="str">
        <f>IFERROR(__xludf.DUMMYFUNCTION("""COMPUTED_VALUE"""),"Phoenix Smith")</f>
        <v>Phoenix Smith</v>
      </c>
      <c r="B5926" s="1" t="str">
        <f>IFERROR(__xludf.DUMMYFUNCTION("""COMPUTED_VALUE"""),"MS")</f>
        <v>MS</v>
      </c>
    </row>
    <row r="5927" ht="15.75" customHeight="1">
      <c r="A5927" s="1" t="str">
        <f>IFERROR(__xludf.DUMMYFUNCTION("""COMPUTED_VALUE"""),"Luke Villalba")</f>
        <v>Luke Villalba</v>
      </c>
      <c r="B5927" s="1" t="str">
        <f>IFERROR(__xludf.DUMMYFUNCTION("""COMPUTED_VALUE"""),"L2")</f>
        <v>L2</v>
      </c>
    </row>
    <row r="5928" ht="15.75" customHeight="1">
      <c r="A5928" s="1" t="str">
        <f>IFERROR(__xludf.DUMMYFUNCTION("""COMPUTED_VALUE"""),"Tobias Greene")</f>
        <v>Tobias Greene</v>
      </c>
      <c r="B5928" s="1" t="str">
        <f>IFERROR(__xludf.DUMMYFUNCTION("""COMPUTED_VALUE"""),"MS")</f>
        <v>MS</v>
      </c>
    </row>
    <row r="5929" ht="15.75" customHeight="1">
      <c r="A5929" s="1" t="str">
        <f>IFERROR(__xludf.DUMMYFUNCTION("""COMPUTED_VALUE"""),"Henry Harrison")</f>
        <v>Henry Harrison</v>
      </c>
      <c r="B5929" s="1" t="str">
        <f>IFERROR(__xludf.DUMMYFUNCTION("""COMPUTED_VALUE"""),"MS")</f>
        <v>MS</v>
      </c>
    </row>
    <row r="5930" ht="15.75" customHeight="1">
      <c r="A5930" s="1" t="str">
        <f>IFERROR(__xludf.DUMMYFUNCTION("""COMPUTED_VALUE"""),"Gregory Clark")</f>
        <v>Gregory Clark</v>
      </c>
      <c r="B5930" s="1" t="str">
        <f>IFERROR(__xludf.DUMMYFUNCTION("""COMPUTED_VALUE"""),"MS")</f>
        <v>MS</v>
      </c>
    </row>
    <row r="5931" ht="15.75" customHeight="1">
      <c r="A5931" s="1" t="str">
        <f>IFERROR(__xludf.DUMMYFUNCTION("""COMPUTED_VALUE"""),"Alyssa Barrett")</f>
        <v>Alyssa Barrett</v>
      </c>
      <c r="B5931" s="1" t="str">
        <f>IFERROR(__xludf.DUMMYFUNCTION("""COMPUTED_VALUE"""),"L2")</f>
        <v>L2</v>
      </c>
    </row>
    <row r="5932" ht="15.75" customHeight="1">
      <c r="A5932" s="1" t="str">
        <f>IFERROR(__xludf.DUMMYFUNCTION("""COMPUTED_VALUE"""),"Quinn Chase")</f>
        <v>Quinn Chase</v>
      </c>
      <c r="B5932" s="1" t="str">
        <f>IFERROR(__xludf.DUMMYFUNCTION("""COMPUTED_VALUE"""),"L2")</f>
        <v>L2</v>
      </c>
    </row>
    <row r="5933" ht="15.75" customHeight="1">
      <c r="A5933" s="1" t="str">
        <f>IFERROR(__xludf.DUMMYFUNCTION("""COMPUTED_VALUE"""),"Kinley Kostan")</f>
        <v>Kinley Kostan</v>
      </c>
      <c r="B5933" s="1" t="str">
        <f>IFERROR(__xludf.DUMMYFUNCTION("""COMPUTED_VALUE"""),"L2")</f>
        <v>L2</v>
      </c>
    </row>
    <row r="5934" ht="15.75" customHeight="1">
      <c r="A5934" s="1" t="str">
        <f>IFERROR(__xludf.DUMMYFUNCTION("""COMPUTED_VALUE"""),"Ayden Jones")</f>
        <v>Ayden Jones</v>
      </c>
      <c r="B5934" s="1" t="str">
        <f>IFERROR(__xludf.DUMMYFUNCTION("""COMPUTED_VALUE"""),"MS")</f>
        <v>MS</v>
      </c>
    </row>
    <row r="5935" ht="15.75" customHeight="1">
      <c r="A5935" s="1" t="str">
        <f>IFERROR(__xludf.DUMMYFUNCTION("""COMPUTED_VALUE"""),"Andrew Merchant")</f>
        <v>Andrew Merchant</v>
      </c>
      <c r="B5935" s="1" t="str">
        <f>IFERROR(__xludf.DUMMYFUNCTION("""COMPUTED_VALUE"""),"MS")</f>
        <v>MS</v>
      </c>
    </row>
    <row r="5936" ht="15.75" customHeight="1">
      <c r="A5936" s="1" t="str">
        <f>IFERROR(__xludf.DUMMYFUNCTION("""COMPUTED_VALUE"""),"Noah Oakes")</f>
        <v>Noah Oakes</v>
      </c>
      <c r="B5936" s="1" t="str">
        <f>IFERROR(__xludf.DUMMYFUNCTION("""COMPUTED_VALUE"""),"L2")</f>
        <v>L2</v>
      </c>
    </row>
    <row r="5937" ht="15.75" customHeight="1">
      <c r="A5937" s="1" t="str">
        <f>IFERROR(__xludf.DUMMYFUNCTION("""COMPUTED_VALUE"""),"Ricky Sanchez")</f>
        <v>Ricky Sanchez</v>
      </c>
      <c r="B5937" s="1" t="str">
        <f>IFERROR(__xludf.DUMMYFUNCTION("""COMPUTED_VALUE"""),"MS")</f>
        <v>MS</v>
      </c>
    </row>
    <row r="5938" ht="15.75" customHeight="1">
      <c r="A5938" s="1" t="str">
        <f>IFERROR(__xludf.DUMMYFUNCTION("""COMPUTED_VALUE"""),"Lucas Garza")</f>
        <v>Lucas Garza</v>
      </c>
      <c r="B5938" s="1" t="str">
        <f>IFERROR(__xludf.DUMMYFUNCTION("""COMPUTED_VALUE"""),"MS")</f>
        <v>MS</v>
      </c>
    </row>
    <row r="5939" ht="15.75" customHeight="1">
      <c r="A5939" s="1" t="str">
        <f>IFERROR(__xludf.DUMMYFUNCTION("""COMPUTED_VALUE"""),"Taylor Rosencrans")</f>
        <v>Taylor Rosencrans</v>
      </c>
      <c r="B5939" s="1" t="str">
        <f>IFERROR(__xludf.DUMMYFUNCTION("""COMPUTED_VALUE"""),"L2")</f>
        <v>L2</v>
      </c>
    </row>
    <row r="5940" ht="15.75" customHeight="1">
      <c r="A5940" s="1" t="str">
        <f>IFERROR(__xludf.DUMMYFUNCTION("""COMPUTED_VALUE"""),"Sammy Rosencrans")</f>
        <v>Sammy Rosencrans</v>
      </c>
      <c r="B5940" s="1" t="str">
        <f>IFERROR(__xludf.DUMMYFUNCTION("""COMPUTED_VALUE"""),"L1")</f>
        <v>L1</v>
      </c>
    </row>
    <row r="5941" ht="15.75" customHeight="1">
      <c r="A5941" s="1" t="str">
        <f>IFERROR(__xludf.DUMMYFUNCTION("""COMPUTED_VALUE"""),"Jacob Garza")</f>
        <v>Jacob Garza</v>
      </c>
      <c r="B5941" s="1" t="str">
        <f>IFERROR(__xludf.DUMMYFUNCTION("""COMPUTED_VALUE"""),"L2")</f>
        <v>L2</v>
      </c>
    </row>
    <row r="5942" ht="15.75" customHeight="1">
      <c r="A5942" s="1" t="str">
        <f>IFERROR(__xludf.DUMMYFUNCTION("""COMPUTED_VALUE"""),"Alexander Palacios")</f>
        <v>Alexander Palacios</v>
      </c>
      <c r="B5942" s="1" t="str">
        <f>IFERROR(__xludf.DUMMYFUNCTION("""COMPUTED_VALUE"""),"MS")</f>
        <v>MS</v>
      </c>
    </row>
    <row r="5943" ht="15.75" customHeight="1">
      <c r="A5943" s="1" t="str">
        <f>IFERROR(__xludf.DUMMYFUNCTION("""COMPUTED_VALUE"""),"Nico Sanchez")</f>
        <v>Nico Sanchez</v>
      </c>
      <c r="B5943" s="1" t="str">
        <f>IFERROR(__xludf.DUMMYFUNCTION("""COMPUTED_VALUE"""),"L2")</f>
        <v>L2</v>
      </c>
    </row>
    <row r="5944" ht="15.75" customHeight="1">
      <c r="A5944" s="1" t="str">
        <f>IFERROR(__xludf.DUMMYFUNCTION("""COMPUTED_VALUE"""),"Lizzy Blue")</f>
        <v>Lizzy Blue</v>
      </c>
      <c r="B5944" s="1" t="str">
        <f>IFERROR(__xludf.DUMMYFUNCTION("""COMPUTED_VALUE"""),"MS")</f>
        <v>MS</v>
      </c>
    </row>
    <row r="5945" ht="15.75" customHeight="1">
      <c r="A5945" s="1" t="str">
        <f>IFERROR(__xludf.DUMMYFUNCTION("""COMPUTED_VALUE"""),"Easton Violini Jones")</f>
        <v>Easton Violini Jones</v>
      </c>
      <c r="B5945" s="1" t="str">
        <f>IFERROR(__xludf.DUMMYFUNCTION("""COMPUTED_VALUE"""),"L2")</f>
        <v>L2</v>
      </c>
    </row>
    <row r="5946" ht="15.75" customHeight="1">
      <c r="A5946" s="1" t="str">
        <f>IFERROR(__xludf.DUMMYFUNCTION("""COMPUTED_VALUE"""),"Luca Besaw")</f>
        <v>Luca Besaw</v>
      </c>
      <c r="B5946" s="1" t="str">
        <f>IFERROR(__xludf.DUMMYFUNCTION("""COMPUTED_VALUE"""),"L2")</f>
        <v>L2</v>
      </c>
    </row>
    <row r="5947" ht="15.75" customHeight="1">
      <c r="A5947" s="1" t="str">
        <f>IFERROR(__xludf.DUMMYFUNCTION("""COMPUTED_VALUE"""),"Sami Lugo")</f>
        <v>Sami Lugo</v>
      </c>
      <c r="B5947" s="1" t="str">
        <f>IFERROR(__xludf.DUMMYFUNCTION("""COMPUTED_VALUE"""),"MS")</f>
        <v>MS</v>
      </c>
    </row>
    <row r="5948" ht="15.75" customHeight="1">
      <c r="A5948" s="1" t="str">
        <f>IFERROR(__xludf.DUMMYFUNCTION("""COMPUTED_VALUE"""),"Skye Lugo")</f>
        <v>Skye Lugo</v>
      </c>
      <c r="B5948" s="1" t="str">
        <f>IFERROR(__xludf.DUMMYFUNCTION("""COMPUTED_VALUE"""),"MS")</f>
        <v>MS</v>
      </c>
    </row>
    <row r="5949" ht="15.75" customHeight="1">
      <c r="A5949" s="1" t="str">
        <f>IFERROR(__xludf.DUMMYFUNCTION("""COMPUTED_VALUE"""),"Bellamy Wilson")</f>
        <v>Bellamy Wilson</v>
      </c>
      <c r="B5949" s="1" t="str">
        <f>IFERROR(__xludf.DUMMYFUNCTION("""COMPUTED_VALUE"""),"L2")</f>
        <v>L2</v>
      </c>
    </row>
    <row r="5950" ht="15.75" customHeight="1">
      <c r="A5950" s="1" t="str">
        <f>IFERROR(__xludf.DUMMYFUNCTION("""COMPUTED_VALUE"""),"Ben Gutshall")</f>
        <v>Ben Gutshall</v>
      </c>
      <c r="B5950" s="1" t="str">
        <f>IFERROR(__xludf.DUMMYFUNCTION("""COMPUTED_VALUE"""),"MS")</f>
        <v>MS</v>
      </c>
    </row>
    <row r="5951" ht="15.75" customHeight="1">
      <c r="A5951" s="1" t="str">
        <f>IFERROR(__xludf.DUMMYFUNCTION("""COMPUTED_VALUE"""),"Tatum Bakker")</f>
        <v>Tatum Bakker</v>
      </c>
      <c r="B5951" s="1" t="str">
        <f>IFERROR(__xludf.DUMMYFUNCTION("""COMPUTED_VALUE"""),"MS")</f>
        <v>MS</v>
      </c>
    </row>
    <row r="5952" ht="15.75" customHeight="1">
      <c r="A5952" s="1" t="str">
        <f>IFERROR(__xludf.DUMMYFUNCTION("""COMPUTED_VALUE"""),"Noah Duran")</f>
        <v>Noah Duran</v>
      </c>
      <c r="B5952" s="1" t="str">
        <f>IFERROR(__xludf.DUMMYFUNCTION("""COMPUTED_VALUE"""),"MS")</f>
        <v>MS</v>
      </c>
    </row>
    <row r="5953" ht="15.75" customHeight="1">
      <c r="A5953" s="1" t="str">
        <f>IFERROR(__xludf.DUMMYFUNCTION("""COMPUTED_VALUE"""),"Rowan Thomas")</f>
        <v>Rowan Thomas</v>
      </c>
      <c r="B5953" s="1" t="str">
        <f>IFERROR(__xludf.DUMMYFUNCTION("""COMPUTED_VALUE"""),"L2")</f>
        <v>L2</v>
      </c>
    </row>
    <row r="5954" ht="15.75" customHeight="1">
      <c r="A5954" s="1" t="str">
        <f>IFERROR(__xludf.DUMMYFUNCTION("""COMPUTED_VALUE"""),"Lyra Ruddock")</f>
        <v>Lyra Ruddock</v>
      </c>
      <c r="B5954" s="1" t="str">
        <f>IFERROR(__xludf.DUMMYFUNCTION("""COMPUTED_VALUE"""),"L2")</f>
        <v>L2</v>
      </c>
    </row>
    <row r="5955" ht="15.75" customHeight="1">
      <c r="A5955" s="1" t="str">
        <f>IFERROR(__xludf.DUMMYFUNCTION("""COMPUTED_VALUE"""),"Peyton Ruddock")</f>
        <v>Peyton Ruddock</v>
      </c>
      <c r="B5955" s="1" t="str">
        <f>IFERROR(__xludf.DUMMYFUNCTION("""COMPUTED_VALUE"""),"MS")</f>
        <v>MS</v>
      </c>
    </row>
    <row r="5956" ht="15.75" customHeight="1">
      <c r="A5956" s="1" t="str">
        <f>IFERROR(__xludf.DUMMYFUNCTION("""COMPUTED_VALUE"""),"Shadow Kairos")</f>
        <v>Shadow Kairos</v>
      </c>
      <c r="B5956" s="1" t="str">
        <f>IFERROR(__xludf.DUMMYFUNCTION("""COMPUTED_VALUE"""),"L2")</f>
        <v>L2</v>
      </c>
    </row>
    <row r="5957" ht="15.75" customHeight="1">
      <c r="A5957" s="1" t="str">
        <f>IFERROR(__xludf.DUMMYFUNCTION("""COMPUTED_VALUE"""),"Lilly Yee")</f>
        <v>Lilly Yee</v>
      </c>
      <c r="B5957" s="1" t="str">
        <f>IFERROR(__xludf.DUMMYFUNCTION("""COMPUTED_VALUE"""),"MS")</f>
        <v>MS</v>
      </c>
    </row>
    <row r="5958" ht="15.75" customHeight="1">
      <c r="A5958" s="1" t="str">
        <f>IFERROR(__xludf.DUMMYFUNCTION("""COMPUTED_VALUE"""),"Brielle Taylor")</f>
        <v>Brielle Taylor</v>
      </c>
      <c r="B5958" s="1" t="str">
        <f>IFERROR(__xludf.DUMMYFUNCTION("""COMPUTED_VALUE"""),"MS")</f>
        <v>MS</v>
      </c>
    </row>
    <row r="5959" ht="15.75" customHeight="1">
      <c r="A5959" s="1" t="str">
        <f>IFERROR(__xludf.DUMMYFUNCTION("""COMPUTED_VALUE"""),"Evelyn Soto-Lira")</f>
        <v>Evelyn Soto-Lira</v>
      </c>
      <c r="B5959" s="1" t="str">
        <f>IFERROR(__xludf.DUMMYFUNCTION("""COMPUTED_VALUE"""),"L2")</f>
        <v>L2</v>
      </c>
    </row>
    <row r="5960" ht="15.75" customHeight="1">
      <c r="A5960" s="1" t="str">
        <f>IFERROR(__xludf.DUMMYFUNCTION("""COMPUTED_VALUE"""),"Angelo Lucero")</f>
        <v>Angelo Lucero</v>
      </c>
      <c r="B5960" s="1" t="str">
        <f>IFERROR(__xludf.DUMMYFUNCTION("""COMPUTED_VALUE"""),"MS")</f>
        <v>MS</v>
      </c>
    </row>
    <row r="5961" ht="15.75" customHeight="1">
      <c r="A5961" s="1" t="str">
        <f>IFERROR(__xludf.DUMMYFUNCTION("""COMPUTED_VALUE"""),"Mariana Dzib-Salgado")</f>
        <v>Mariana Dzib-Salgado</v>
      </c>
      <c r="B5961" s="1" t="str">
        <f>IFERROR(__xludf.DUMMYFUNCTION("""COMPUTED_VALUE"""),"MS")</f>
        <v>MS</v>
      </c>
    </row>
    <row r="5962" ht="15.75" customHeight="1">
      <c r="A5962" s="1" t="str">
        <f>IFERROR(__xludf.DUMMYFUNCTION("""COMPUTED_VALUE"""),"Elias Dzib Salgado")</f>
        <v>Elias Dzib Salgado</v>
      </c>
      <c r="B5962" s="1" t="str">
        <f>IFERROR(__xludf.DUMMYFUNCTION("""COMPUTED_VALUE"""),"L1")</f>
        <v>L1</v>
      </c>
    </row>
    <row r="5963" ht="15.75" customHeight="1">
      <c r="A5963" s="1" t="str">
        <f>IFERROR(__xludf.DUMMYFUNCTION("""COMPUTED_VALUE"""),"William Napyer")</f>
        <v>William Napyer</v>
      </c>
      <c r="B5963" s="1" t="str">
        <f>IFERROR(__xludf.DUMMYFUNCTION("""COMPUTED_VALUE"""),"MS")</f>
        <v>MS</v>
      </c>
    </row>
    <row r="5964" ht="15.75" customHeight="1">
      <c r="A5964" s="1" t="str">
        <f>IFERROR(__xludf.DUMMYFUNCTION("""COMPUTED_VALUE"""),"Kaylee Castro-Rose")</f>
        <v>Kaylee Castro-Rose</v>
      </c>
      <c r="B5964" s="1" t="str">
        <f>IFERROR(__xludf.DUMMYFUNCTION("""COMPUTED_VALUE"""),"MS")</f>
        <v>MS</v>
      </c>
    </row>
    <row r="5965" ht="15.75" customHeight="1">
      <c r="A5965" s="1" t="str">
        <f>IFERROR(__xludf.DUMMYFUNCTION("""COMPUTED_VALUE"""),"Leland Lucero")</f>
        <v>Leland Lucero</v>
      </c>
      <c r="B5965" s="1" t="str">
        <f>IFERROR(__xludf.DUMMYFUNCTION("""COMPUTED_VALUE"""),"L2")</f>
        <v>L2</v>
      </c>
    </row>
    <row r="5966" ht="15.75" customHeight="1">
      <c r="A5966" s="1" t="str">
        <f>IFERROR(__xludf.DUMMYFUNCTION("""COMPUTED_VALUE"""),"Matti McKay")</f>
        <v>Matti McKay</v>
      </c>
      <c r="B5966" s="1" t="str">
        <f>IFERROR(__xludf.DUMMYFUNCTION("""COMPUTED_VALUE"""),"MS")</f>
        <v>MS</v>
      </c>
    </row>
    <row r="5967" ht="15.75" customHeight="1">
      <c r="A5967" s="1" t="str">
        <f>IFERROR(__xludf.DUMMYFUNCTION("""COMPUTED_VALUE"""),"Connor Clingen")</f>
        <v>Connor Clingen</v>
      </c>
      <c r="B5967" s="1" t="str">
        <f>IFERROR(__xludf.DUMMYFUNCTION("""COMPUTED_VALUE"""),"MS")</f>
        <v>MS</v>
      </c>
    </row>
    <row r="5968" ht="15.75" customHeight="1">
      <c r="A5968" s="1" t="str">
        <f>IFERROR(__xludf.DUMMYFUNCTION("""COMPUTED_VALUE"""),"La'King Arthur Sims Dickerson")</f>
        <v>La'King Arthur Sims Dickerson</v>
      </c>
      <c r="B5968" s="1" t="str">
        <f>IFERROR(__xludf.DUMMYFUNCTION("""COMPUTED_VALUE"""),"MS")</f>
        <v>MS</v>
      </c>
    </row>
    <row r="5969" ht="15.75" customHeight="1">
      <c r="A5969" s="1" t="str">
        <f>IFERROR(__xludf.DUMMYFUNCTION("""COMPUTED_VALUE"""),"Alexander Perez Doroteo")</f>
        <v>Alexander Perez Doroteo</v>
      </c>
      <c r="B5969" s="1" t="str">
        <f>IFERROR(__xludf.DUMMYFUNCTION("""COMPUTED_VALUE"""),"MS")</f>
        <v>MS</v>
      </c>
    </row>
    <row r="5970" ht="15.75" customHeight="1">
      <c r="A5970" s="1" t="str">
        <f>IFERROR(__xludf.DUMMYFUNCTION("""COMPUTED_VALUE"""),"Jacob Chable Gasser")</f>
        <v>Jacob Chable Gasser</v>
      </c>
      <c r="B5970" s="1" t="str">
        <f>IFERROR(__xludf.DUMMYFUNCTION("""COMPUTED_VALUE"""),"MS")</f>
        <v>MS</v>
      </c>
    </row>
    <row r="5971" ht="15.75" customHeight="1">
      <c r="A5971" s="1" t="str">
        <f>IFERROR(__xludf.DUMMYFUNCTION("""COMPUTED_VALUE"""),"Charlee Baker")</f>
        <v>Charlee Baker</v>
      </c>
      <c r="B5971" s="1" t="str">
        <f>IFERROR(__xludf.DUMMYFUNCTION("""COMPUTED_VALUE"""),"MS")</f>
        <v>MS</v>
      </c>
    </row>
    <row r="5972" ht="15.75" customHeight="1">
      <c r="A5972" s="1" t="str">
        <f>IFERROR(__xludf.DUMMYFUNCTION("""COMPUTED_VALUE"""),"Elyas Banik")</f>
        <v>Elyas Banik</v>
      </c>
      <c r="B5972" s="1" t="str">
        <f>IFERROR(__xludf.DUMMYFUNCTION("""COMPUTED_VALUE"""),"MS")</f>
        <v>MS</v>
      </c>
    </row>
    <row r="5973" ht="15.75" customHeight="1">
      <c r="A5973" s="1" t="str">
        <f>IFERROR(__xludf.DUMMYFUNCTION("""COMPUTED_VALUE"""),"Cecily Black")</f>
        <v>Cecily Black</v>
      </c>
      <c r="B5973" s="1" t="str">
        <f>IFERROR(__xludf.DUMMYFUNCTION("""COMPUTED_VALUE"""),"MS")</f>
        <v>MS</v>
      </c>
    </row>
    <row r="5974" ht="15.75" customHeight="1">
      <c r="A5974" s="1" t="str">
        <f>IFERROR(__xludf.DUMMYFUNCTION("""COMPUTED_VALUE"""),"Rivver Bodrero")</f>
        <v>Rivver Bodrero</v>
      </c>
      <c r="B5974" s="1" t="str">
        <f>IFERROR(__xludf.DUMMYFUNCTION("""COMPUTED_VALUE"""),"MS")</f>
        <v>MS</v>
      </c>
    </row>
    <row r="5975" ht="15.75" customHeight="1">
      <c r="A5975" s="1" t="str">
        <f>IFERROR(__xludf.DUMMYFUNCTION("""COMPUTED_VALUE"""),"Holden Brower")</f>
        <v>Holden Brower</v>
      </c>
      <c r="B5975" s="1" t="str">
        <f>IFERROR(__xludf.DUMMYFUNCTION("""COMPUTED_VALUE"""),"MS")</f>
        <v>MS</v>
      </c>
    </row>
    <row r="5976" ht="15.75" customHeight="1">
      <c r="A5976" s="1" t="str">
        <f>IFERROR(__xludf.DUMMYFUNCTION("""COMPUTED_VALUE"""),"Clifton Brown")</f>
        <v>Clifton Brown</v>
      </c>
      <c r="B5976" s="1" t="str">
        <f>IFERROR(__xludf.DUMMYFUNCTION("""COMPUTED_VALUE"""),"MS")</f>
        <v>MS</v>
      </c>
    </row>
    <row r="5977" ht="15.75" customHeight="1">
      <c r="A5977" s="1" t="str">
        <f>IFERROR(__xludf.DUMMYFUNCTION("""COMPUTED_VALUE"""),"Luis Ivan Campos")</f>
        <v>Luis Ivan Campos</v>
      </c>
      <c r="B5977" s="1" t="str">
        <f>IFERROR(__xludf.DUMMYFUNCTION("""COMPUTED_VALUE"""),"MS")</f>
        <v>MS</v>
      </c>
    </row>
    <row r="5978" ht="15.75" customHeight="1">
      <c r="A5978" s="1" t="str">
        <f>IFERROR(__xludf.DUMMYFUNCTION("""COMPUTED_VALUE"""),"Jude Cole-Parkins")</f>
        <v>Jude Cole-Parkins</v>
      </c>
      <c r="B5978" s="1" t="str">
        <f>IFERROR(__xludf.DUMMYFUNCTION("""COMPUTED_VALUE"""),"MS")</f>
        <v>MS</v>
      </c>
    </row>
    <row r="5979" ht="15.75" customHeight="1">
      <c r="A5979" s="1" t="str">
        <f>IFERROR(__xludf.DUMMYFUNCTION("""COMPUTED_VALUE"""),"Jaxson Coyne")</f>
        <v>Jaxson Coyne</v>
      </c>
      <c r="B5979" s="1" t="str">
        <f>IFERROR(__xludf.DUMMYFUNCTION("""COMPUTED_VALUE"""),"MS")</f>
        <v>MS</v>
      </c>
    </row>
    <row r="5980" ht="15.75" customHeight="1">
      <c r="A5980" s="1" t="str">
        <f>IFERROR(__xludf.DUMMYFUNCTION("""COMPUTED_VALUE"""),"Maria Cruz Martinez")</f>
        <v>Maria Cruz Martinez</v>
      </c>
      <c r="B5980" s="1" t="str">
        <f>IFERROR(__xludf.DUMMYFUNCTION("""COMPUTED_VALUE"""),"MS")</f>
        <v>MS</v>
      </c>
    </row>
    <row r="5981" ht="15.75" customHeight="1">
      <c r="A5981" s="1" t="str">
        <f>IFERROR(__xludf.DUMMYFUNCTION("""COMPUTED_VALUE"""),"Coen Gaittens")</f>
        <v>Coen Gaittens</v>
      </c>
      <c r="B5981" s="1" t="str">
        <f>IFERROR(__xludf.DUMMYFUNCTION("""COMPUTED_VALUE"""),"MS")</f>
        <v>MS</v>
      </c>
    </row>
    <row r="5982" ht="15.75" customHeight="1">
      <c r="A5982" s="1" t="str">
        <f>IFERROR(__xludf.DUMMYFUNCTION("""COMPUTED_VALUE"""),"Gael Gallardo")</f>
        <v>Gael Gallardo</v>
      </c>
      <c r="B5982" s="1" t="str">
        <f>IFERROR(__xludf.DUMMYFUNCTION("""COMPUTED_VALUE"""),"MS")</f>
        <v>MS</v>
      </c>
    </row>
    <row r="5983" ht="15.75" customHeight="1">
      <c r="A5983" s="1" t="str">
        <f>IFERROR(__xludf.DUMMYFUNCTION("""COMPUTED_VALUE"""),"Autumn Hanifin")</f>
        <v>Autumn Hanifin</v>
      </c>
      <c r="B5983" s="1" t="str">
        <f>IFERROR(__xludf.DUMMYFUNCTION("""COMPUTED_VALUE"""),"MS")</f>
        <v>MS</v>
      </c>
    </row>
    <row r="5984" ht="15.75" customHeight="1">
      <c r="A5984" s="1" t="str">
        <f>IFERROR(__xludf.DUMMYFUNCTION("""COMPUTED_VALUE"""),"Emery Hereim")</f>
        <v>Emery Hereim</v>
      </c>
      <c r="B5984" s="1" t="str">
        <f>IFERROR(__xludf.DUMMYFUNCTION("""COMPUTED_VALUE"""),"MS")</f>
        <v>MS</v>
      </c>
    </row>
    <row r="5985" ht="15.75" customHeight="1">
      <c r="A5985" s="1" t="str">
        <f>IFERROR(__xludf.DUMMYFUNCTION("""COMPUTED_VALUE"""),"Leonardo Hernandez Bocanegra")</f>
        <v>Leonardo Hernandez Bocanegra</v>
      </c>
      <c r="B5985" s="1" t="str">
        <f>IFERROR(__xludf.DUMMYFUNCTION("""COMPUTED_VALUE"""),"MS")</f>
        <v>MS</v>
      </c>
    </row>
    <row r="5986" ht="15.75" customHeight="1">
      <c r="A5986" s="1" t="str">
        <f>IFERROR(__xludf.DUMMYFUNCTION("""COMPUTED_VALUE"""),"Maizie Hornor")</f>
        <v>Maizie Hornor</v>
      </c>
      <c r="B5986" s="1" t="str">
        <f>IFERROR(__xludf.DUMMYFUNCTION("""COMPUTED_VALUE"""),"MS")</f>
        <v>MS</v>
      </c>
    </row>
    <row r="5987" ht="15.75" customHeight="1">
      <c r="A5987" s="1" t="str">
        <f>IFERROR(__xludf.DUMMYFUNCTION("""COMPUTED_VALUE"""),"King Hufford")</f>
        <v>King Hufford</v>
      </c>
      <c r="B5987" s="1" t="str">
        <f>IFERROR(__xludf.DUMMYFUNCTION("""COMPUTED_VALUE"""),"MS")</f>
        <v>MS</v>
      </c>
    </row>
    <row r="5988" ht="15.75" customHeight="1">
      <c r="A5988" s="1" t="str">
        <f>IFERROR(__xludf.DUMMYFUNCTION("""COMPUTED_VALUE"""),"Jayce Keck")</f>
        <v>Jayce Keck</v>
      </c>
      <c r="B5988" s="1" t="str">
        <f>IFERROR(__xludf.DUMMYFUNCTION("""COMPUTED_VALUE"""),"MS")</f>
        <v>MS</v>
      </c>
    </row>
    <row r="5989" ht="15.75" customHeight="1">
      <c r="A5989" s="1" t="str">
        <f>IFERROR(__xludf.DUMMYFUNCTION("""COMPUTED_VALUE"""),"Garrett Littlejohn")</f>
        <v>Garrett Littlejohn</v>
      </c>
      <c r="B5989" s="1" t="str">
        <f>IFERROR(__xludf.DUMMYFUNCTION("""COMPUTED_VALUE"""),"MS")</f>
        <v>MS</v>
      </c>
    </row>
    <row r="5990" ht="15.75" customHeight="1">
      <c r="A5990" s="1" t="str">
        <f>IFERROR(__xludf.DUMMYFUNCTION("""COMPUTED_VALUE"""),"Thomas Marlowe")</f>
        <v>Thomas Marlowe</v>
      </c>
      <c r="B5990" s="1" t="str">
        <f>IFERROR(__xludf.DUMMYFUNCTION("""COMPUTED_VALUE"""),"MS")</f>
        <v>MS</v>
      </c>
    </row>
    <row r="5991" ht="15.75" customHeight="1">
      <c r="A5991" s="1" t="str">
        <f>IFERROR(__xludf.DUMMYFUNCTION("""COMPUTED_VALUE"""),"JulieAnna Martinez-Olmos")</f>
        <v>JulieAnna Martinez-Olmos</v>
      </c>
      <c r="B5991" s="1" t="str">
        <f>IFERROR(__xludf.DUMMYFUNCTION("""COMPUTED_VALUE"""),"MS")</f>
        <v>MS</v>
      </c>
    </row>
    <row r="5992" ht="15.75" customHeight="1">
      <c r="A5992" s="1" t="str">
        <f>IFERROR(__xludf.DUMMYFUNCTION("""COMPUTED_VALUE"""),"Valeria Martinez-Ruiz")</f>
        <v>Valeria Martinez-Ruiz</v>
      </c>
      <c r="B5992" s="1" t="str">
        <f>IFERROR(__xludf.DUMMYFUNCTION("""COMPUTED_VALUE"""),"MS")</f>
        <v>MS</v>
      </c>
    </row>
    <row r="5993" ht="15.75" customHeight="1">
      <c r="A5993" s="1" t="str">
        <f>IFERROR(__xludf.DUMMYFUNCTION("""COMPUTED_VALUE"""),"Ava Mattoon")</f>
        <v>Ava Mattoon</v>
      </c>
      <c r="B5993" s="1" t="str">
        <f>IFERROR(__xludf.DUMMYFUNCTION("""COMPUTED_VALUE"""),"MS")</f>
        <v>MS</v>
      </c>
    </row>
    <row r="5994" ht="15.75" customHeight="1">
      <c r="A5994" s="1" t="str">
        <f>IFERROR(__xludf.DUMMYFUNCTION("""COMPUTED_VALUE"""),"Glenyx Melgar Sandoval")</f>
        <v>Glenyx Melgar Sandoval</v>
      </c>
      <c r="B5994" s="1" t="str">
        <f>IFERROR(__xludf.DUMMYFUNCTION("""COMPUTED_VALUE"""),"MS")</f>
        <v>MS</v>
      </c>
    </row>
    <row r="5995" ht="15.75" customHeight="1">
      <c r="A5995" s="1" t="str">
        <f>IFERROR(__xludf.DUMMYFUNCTION("""COMPUTED_VALUE"""),"Robert Minter")</f>
        <v>Robert Minter</v>
      </c>
      <c r="B5995" s="1" t="str">
        <f>IFERROR(__xludf.DUMMYFUNCTION("""COMPUTED_VALUE"""),"MS")</f>
        <v>MS</v>
      </c>
    </row>
    <row r="5996" ht="15.75" customHeight="1">
      <c r="A5996" s="1" t="str">
        <f>IFERROR(__xludf.DUMMYFUNCTION("""COMPUTED_VALUE"""),"Nicolette Roberts")</f>
        <v>Nicolette Roberts</v>
      </c>
      <c r="B5996" s="1" t="str">
        <f>IFERROR(__xludf.DUMMYFUNCTION("""COMPUTED_VALUE"""),"MS")</f>
        <v>MS</v>
      </c>
    </row>
    <row r="5997" ht="15.75" customHeight="1">
      <c r="A5997" s="1" t="str">
        <f>IFERROR(__xludf.DUMMYFUNCTION("""COMPUTED_VALUE"""),"Charles Rogers")</f>
        <v>Charles Rogers</v>
      </c>
      <c r="B5997" s="1" t="str">
        <f>IFERROR(__xludf.DUMMYFUNCTION("""COMPUTED_VALUE"""),"MS")</f>
        <v>MS</v>
      </c>
    </row>
    <row r="5998" ht="15.75" customHeight="1">
      <c r="A5998" s="1" t="str">
        <f>IFERROR(__xludf.DUMMYFUNCTION("""COMPUTED_VALUE"""),"Abigail Thomas")</f>
        <v>Abigail Thomas</v>
      </c>
      <c r="B5998" s="1" t="str">
        <f>IFERROR(__xludf.DUMMYFUNCTION("""COMPUTED_VALUE"""),"MS")</f>
        <v>MS</v>
      </c>
    </row>
    <row r="5999" ht="15.75" customHeight="1">
      <c r="A5999" s="1" t="str">
        <f>IFERROR(__xludf.DUMMYFUNCTION("""COMPUTED_VALUE"""),"Medalena To")</f>
        <v>Medalena To</v>
      </c>
      <c r="B5999" s="1" t="str">
        <f>IFERROR(__xludf.DUMMYFUNCTION("""COMPUTED_VALUE"""),"MS")</f>
        <v>MS</v>
      </c>
    </row>
    <row r="6000" ht="15.75" customHeight="1">
      <c r="A6000" s="1" t="str">
        <f>IFERROR(__xludf.DUMMYFUNCTION("""COMPUTED_VALUE"""),"Opal Asher")</f>
        <v>Opal Asher</v>
      </c>
      <c r="B6000" s="1" t="str">
        <f>IFERROR(__xludf.DUMMYFUNCTION("""COMPUTED_VALUE"""),"MS")</f>
        <v>MS</v>
      </c>
    </row>
    <row r="6001" ht="15.75" customHeight="1">
      <c r="A6001" s="1" t="str">
        <f>IFERROR(__xludf.DUMMYFUNCTION("""COMPUTED_VALUE"""),"Bryan Califf")</f>
        <v>Bryan Califf</v>
      </c>
      <c r="B6001" s="1" t="str">
        <f>IFERROR(__xludf.DUMMYFUNCTION("""COMPUTED_VALUE"""),"MS")</f>
        <v>MS</v>
      </c>
    </row>
    <row r="6002" ht="15.75" customHeight="1">
      <c r="A6002" s="1" t="str">
        <f>IFERROR(__xludf.DUMMYFUNCTION("""COMPUTED_VALUE"""),"Trudy Cavanaugh")</f>
        <v>Trudy Cavanaugh</v>
      </c>
      <c r="B6002" s="1" t="str">
        <f>IFERROR(__xludf.DUMMYFUNCTION("""COMPUTED_VALUE"""),"MS")</f>
        <v>MS</v>
      </c>
    </row>
    <row r="6003" ht="15.75" customHeight="1">
      <c r="A6003" s="1" t="str">
        <f>IFERROR(__xludf.DUMMYFUNCTION("""COMPUTED_VALUE"""),"Rian Dodge")</f>
        <v>Rian Dodge</v>
      </c>
      <c r="B6003" s="1" t="str">
        <f>IFERROR(__xludf.DUMMYFUNCTION("""COMPUTED_VALUE"""),"MS")</f>
        <v>MS</v>
      </c>
    </row>
    <row r="6004" ht="15.75" customHeight="1">
      <c r="A6004" s="1" t="str">
        <f>IFERROR(__xludf.DUMMYFUNCTION("""COMPUTED_VALUE"""),"Markus Dunlap")</f>
        <v>Markus Dunlap</v>
      </c>
      <c r="B6004" s="1" t="str">
        <f>IFERROR(__xludf.DUMMYFUNCTION("""COMPUTED_VALUE"""),"MS")</f>
        <v>MS</v>
      </c>
    </row>
    <row r="6005" ht="15.75" customHeight="1">
      <c r="A6005" s="1" t="str">
        <f>IFERROR(__xludf.DUMMYFUNCTION("""COMPUTED_VALUE"""),"Leo Fondersmith")</f>
        <v>Leo Fondersmith</v>
      </c>
      <c r="B6005" s="1" t="str">
        <f>IFERROR(__xludf.DUMMYFUNCTION("""COMPUTED_VALUE"""),"MS")</f>
        <v>MS</v>
      </c>
    </row>
    <row r="6006" ht="15.75" customHeight="1">
      <c r="A6006" s="1" t="str">
        <f>IFERROR(__xludf.DUMMYFUNCTION("""COMPUTED_VALUE"""),"Lukus Glenn")</f>
        <v>Lukus Glenn</v>
      </c>
      <c r="B6006" s="1" t="str">
        <f>IFERROR(__xludf.DUMMYFUNCTION("""COMPUTED_VALUE"""),"MS")</f>
        <v>MS</v>
      </c>
    </row>
    <row r="6007" ht="15.75" customHeight="1">
      <c r="A6007" s="1" t="str">
        <f>IFERROR(__xludf.DUMMYFUNCTION("""COMPUTED_VALUE"""),"Aurora Graham")</f>
        <v>Aurora Graham</v>
      </c>
      <c r="B6007" s="1" t="str">
        <f>IFERROR(__xludf.DUMMYFUNCTION("""COMPUTED_VALUE"""),"MS")</f>
        <v>MS</v>
      </c>
    </row>
    <row r="6008" ht="15.75" customHeight="1">
      <c r="A6008" s="1" t="str">
        <f>IFERROR(__xludf.DUMMYFUNCTION("""COMPUTED_VALUE"""),"Ariana Graves")</f>
        <v>Ariana Graves</v>
      </c>
      <c r="B6008" s="1" t="str">
        <f>IFERROR(__xludf.DUMMYFUNCTION("""COMPUTED_VALUE"""),"MS")</f>
        <v>MS</v>
      </c>
    </row>
    <row r="6009" ht="15.75" customHeight="1">
      <c r="A6009" s="1" t="str">
        <f>IFERROR(__xludf.DUMMYFUNCTION("""COMPUTED_VALUE"""),"Ava Henry")</f>
        <v>Ava Henry</v>
      </c>
      <c r="B6009" s="1" t="str">
        <f>IFERROR(__xludf.DUMMYFUNCTION("""COMPUTED_VALUE"""),"MS")</f>
        <v>MS</v>
      </c>
    </row>
    <row r="6010" ht="15.75" customHeight="1">
      <c r="A6010" s="1" t="str">
        <f>IFERROR(__xludf.DUMMYFUNCTION("""COMPUTED_VALUE"""),"Kaedyn Hereim")</f>
        <v>Kaedyn Hereim</v>
      </c>
      <c r="B6010" s="1" t="str">
        <f>IFERROR(__xludf.DUMMYFUNCTION("""COMPUTED_VALUE"""),"MS")</f>
        <v>MS</v>
      </c>
    </row>
    <row r="6011" ht="15.75" customHeight="1">
      <c r="A6011" s="1" t="str">
        <f>IFERROR(__xludf.DUMMYFUNCTION("""COMPUTED_VALUE"""),"Raegan Hryciw")</f>
        <v>Raegan Hryciw</v>
      </c>
      <c r="B6011" s="1" t="str">
        <f>IFERROR(__xludf.DUMMYFUNCTION("""COMPUTED_VALUE"""),"MS")</f>
        <v>MS</v>
      </c>
    </row>
    <row r="6012" ht="15.75" customHeight="1">
      <c r="A6012" s="1" t="str">
        <f>IFERROR(__xludf.DUMMYFUNCTION("""COMPUTED_VALUE"""),"Gideon Kaiser")</f>
        <v>Gideon Kaiser</v>
      </c>
      <c r="B6012" s="1" t="str">
        <f>IFERROR(__xludf.DUMMYFUNCTION("""COMPUTED_VALUE"""),"MS")</f>
        <v>MS</v>
      </c>
    </row>
    <row r="6013" ht="15.75" customHeight="1">
      <c r="A6013" s="1" t="str">
        <f>IFERROR(__xludf.DUMMYFUNCTION("""COMPUTED_VALUE"""),"Madalynn MacDonald")</f>
        <v>Madalynn MacDonald</v>
      </c>
      <c r="B6013" s="1" t="str">
        <f>IFERROR(__xludf.DUMMYFUNCTION("""COMPUTED_VALUE"""),"MS")</f>
        <v>MS</v>
      </c>
    </row>
    <row r="6014" ht="15.75" customHeight="1">
      <c r="A6014" s="1" t="str">
        <f>IFERROR(__xludf.DUMMYFUNCTION("""COMPUTED_VALUE"""),"Aspen McMahon")</f>
        <v>Aspen McMahon</v>
      </c>
      <c r="B6014" s="1" t="str">
        <f>IFERROR(__xludf.DUMMYFUNCTION("""COMPUTED_VALUE"""),"MS")</f>
        <v>MS</v>
      </c>
    </row>
    <row r="6015" ht="15.75" customHeight="1">
      <c r="A6015" s="1" t="str">
        <f>IFERROR(__xludf.DUMMYFUNCTION("""COMPUTED_VALUE"""),"Aneira Mutterspaugh-Klug")</f>
        <v>Aneira Mutterspaugh-Klug</v>
      </c>
      <c r="B6015" s="1" t="str">
        <f>IFERROR(__xludf.DUMMYFUNCTION("""COMPUTED_VALUE"""),"MS")</f>
        <v>MS</v>
      </c>
    </row>
    <row r="6016" ht="15.75" customHeight="1">
      <c r="A6016" s="1" t="str">
        <f>IFERROR(__xludf.DUMMYFUNCTION("""COMPUTED_VALUE"""),"Gavin Pfeiler")</f>
        <v>Gavin Pfeiler</v>
      </c>
      <c r="B6016" s="1" t="str">
        <f>IFERROR(__xludf.DUMMYFUNCTION("""COMPUTED_VALUE"""),"MS")</f>
        <v>MS</v>
      </c>
    </row>
    <row r="6017" ht="15.75" customHeight="1">
      <c r="A6017" s="1" t="str">
        <f>IFERROR(__xludf.DUMMYFUNCTION("""COMPUTED_VALUE"""),"Mason Prudence")</f>
        <v>Mason Prudence</v>
      </c>
      <c r="B6017" s="1" t="str">
        <f>IFERROR(__xludf.DUMMYFUNCTION("""COMPUTED_VALUE"""),"MS")</f>
        <v>MS</v>
      </c>
    </row>
    <row r="6018" ht="15.75" customHeight="1">
      <c r="A6018" s="1" t="str">
        <f>IFERROR(__xludf.DUMMYFUNCTION("""COMPUTED_VALUE"""),"Bodie Rasmussen")</f>
        <v>Bodie Rasmussen</v>
      </c>
      <c r="B6018" s="1" t="str">
        <f>IFERROR(__xludf.DUMMYFUNCTION("""COMPUTED_VALUE"""),"MS")</f>
        <v>MS</v>
      </c>
    </row>
    <row r="6019" ht="15.75" customHeight="1">
      <c r="A6019" s="1" t="str">
        <f>IFERROR(__xludf.DUMMYFUNCTION("""COMPUTED_VALUE"""),"Dylan Skaggs")</f>
        <v>Dylan Skaggs</v>
      </c>
      <c r="B6019" s="1" t="str">
        <f>IFERROR(__xludf.DUMMYFUNCTION("""COMPUTED_VALUE"""),"MS")</f>
        <v>MS</v>
      </c>
    </row>
    <row r="6020" ht="15.75" customHeight="1">
      <c r="A6020" s="1" t="str">
        <f>IFERROR(__xludf.DUMMYFUNCTION("""COMPUTED_VALUE"""),"Zia Thomason")</f>
        <v>Zia Thomason</v>
      </c>
      <c r="B6020" s="1" t="str">
        <f>IFERROR(__xludf.DUMMYFUNCTION("""COMPUTED_VALUE"""),"MS")</f>
        <v>MS</v>
      </c>
    </row>
    <row r="6021" ht="15.75" customHeight="1">
      <c r="A6021" s="1" t="str">
        <f>IFERROR(__xludf.DUMMYFUNCTION("""COMPUTED_VALUE"""),"Avery Wagner")</f>
        <v>Avery Wagner</v>
      </c>
      <c r="B6021" s="1" t="str">
        <f>IFERROR(__xludf.DUMMYFUNCTION("""COMPUTED_VALUE"""),"MS")</f>
        <v>MS</v>
      </c>
    </row>
    <row r="6022" ht="15.75" customHeight="1">
      <c r="A6022" s="1" t="str">
        <f>IFERROR(__xludf.DUMMYFUNCTION("""COMPUTED_VALUE"""),"Elliot Baker")</f>
        <v>Elliot Baker</v>
      </c>
      <c r="B6022" s="1" t="str">
        <f>IFERROR(__xludf.DUMMYFUNCTION("""COMPUTED_VALUE"""),"MS")</f>
        <v>MS</v>
      </c>
    </row>
    <row r="6023" ht="15.75" customHeight="1">
      <c r="A6023" s="1" t="str">
        <f>IFERROR(__xludf.DUMMYFUNCTION("""COMPUTED_VALUE"""),"Brooklyn Beeson")</f>
        <v>Brooklyn Beeson</v>
      </c>
      <c r="B6023" s="1" t="str">
        <f>IFERROR(__xludf.DUMMYFUNCTION("""COMPUTED_VALUE"""),"MS")</f>
        <v>MS</v>
      </c>
    </row>
    <row r="6024" ht="15.75" customHeight="1">
      <c r="A6024" s="1" t="str">
        <f>IFERROR(__xludf.DUMMYFUNCTION("""COMPUTED_VALUE"""),"Amelia Bergeson")</f>
        <v>Amelia Bergeson</v>
      </c>
      <c r="B6024" s="1" t="str">
        <f>IFERROR(__xludf.DUMMYFUNCTION("""COMPUTED_VALUE"""),"MS")</f>
        <v>MS</v>
      </c>
    </row>
    <row r="6025" ht="15.75" customHeight="1">
      <c r="A6025" s="1" t="str">
        <f>IFERROR(__xludf.DUMMYFUNCTION("""COMPUTED_VALUE"""),"Vincent Billingsley")</f>
        <v>Vincent Billingsley</v>
      </c>
      <c r="B6025" s="1" t="str">
        <f>IFERROR(__xludf.DUMMYFUNCTION("""COMPUTED_VALUE"""),"MS")</f>
        <v>MS</v>
      </c>
    </row>
    <row r="6026" ht="15.75" customHeight="1">
      <c r="A6026" s="1" t="str">
        <f>IFERROR(__xludf.DUMMYFUNCTION("""COMPUTED_VALUE"""),"Brady Caruso")</f>
        <v>Brady Caruso</v>
      </c>
      <c r="B6026" s="1" t="str">
        <f>IFERROR(__xludf.DUMMYFUNCTION("""COMPUTED_VALUE"""),"MS")</f>
        <v>MS</v>
      </c>
    </row>
    <row r="6027" ht="15.75" customHeight="1">
      <c r="A6027" s="1" t="str">
        <f>IFERROR(__xludf.DUMMYFUNCTION("""COMPUTED_VALUE"""),"Alexander Chilton")</f>
        <v>Alexander Chilton</v>
      </c>
      <c r="B6027" s="1" t="str">
        <f>IFERROR(__xludf.DUMMYFUNCTION("""COMPUTED_VALUE"""),"MS")</f>
        <v>MS</v>
      </c>
    </row>
    <row r="6028" ht="15.75" customHeight="1">
      <c r="A6028" s="1" t="str">
        <f>IFERROR(__xludf.DUMMYFUNCTION("""COMPUTED_VALUE"""),"Oscar Cruz Ventura")</f>
        <v>Oscar Cruz Ventura</v>
      </c>
      <c r="B6028" s="1" t="str">
        <f>IFERROR(__xludf.DUMMYFUNCTION("""COMPUTED_VALUE"""),"MS")</f>
        <v>MS</v>
      </c>
    </row>
    <row r="6029" ht="15.75" customHeight="1">
      <c r="A6029" s="1" t="str">
        <f>IFERROR(__xludf.DUMMYFUNCTION("""COMPUTED_VALUE"""),"Jacque Day")</f>
        <v>Jacque Day</v>
      </c>
      <c r="B6029" s="1" t="str">
        <f>IFERROR(__xludf.DUMMYFUNCTION("""COMPUTED_VALUE"""),"MS")</f>
        <v>MS</v>
      </c>
    </row>
    <row r="6030" ht="15.75" customHeight="1">
      <c r="A6030" s="1" t="str">
        <f>IFERROR(__xludf.DUMMYFUNCTION("""COMPUTED_VALUE"""),"Rayne Day")</f>
        <v>Rayne Day</v>
      </c>
      <c r="B6030" s="1" t="str">
        <f>IFERROR(__xludf.DUMMYFUNCTION("""COMPUTED_VALUE"""),"MS")</f>
        <v>MS</v>
      </c>
    </row>
    <row r="6031" ht="15.75" customHeight="1">
      <c r="A6031" s="1" t="str">
        <f>IFERROR(__xludf.DUMMYFUNCTION("""COMPUTED_VALUE"""),"Wiley DePauw")</f>
        <v>Wiley DePauw</v>
      </c>
      <c r="B6031" s="1" t="str">
        <f>IFERROR(__xludf.DUMMYFUNCTION("""COMPUTED_VALUE"""),"MS")</f>
        <v>MS</v>
      </c>
    </row>
    <row r="6032" ht="15.75" customHeight="1">
      <c r="A6032" s="1" t="str">
        <f>IFERROR(__xludf.DUMMYFUNCTION("""COMPUTED_VALUE"""),"Levi Evans")</f>
        <v>Levi Evans</v>
      </c>
      <c r="B6032" s="1" t="str">
        <f>IFERROR(__xludf.DUMMYFUNCTION("""COMPUTED_VALUE"""),"MS")</f>
        <v>MS</v>
      </c>
    </row>
    <row r="6033" ht="15.75" customHeight="1">
      <c r="A6033" s="1" t="str">
        <f>IFERROR(__xludf.DUMMYFUNCTION("""COMPUTED_VALUE"""),"Ruby Garmon")</f>
        <v>Ruby Garmon</v>
      </c>
      <c r="B6033" s="1" t="str">
        <f>IFERROR(__xludf.DUMMYFUNCTION("""COMPUTED_VALUE"""),"MS")</f>
        <v>MS</v>
      </c>
    </row>
    <row r="6034" ht="15.75" customHeight="1">
      <c r="A6034" s="1" t="str">
        <f>IFERROR(__xludf.DUMMYFUNCTION("""COMPUTED_VALUE"""),"Peyton Haggard")</f>
        <v>Peyton Haggard</v>
      </c>
      <c r="B6034" s="1" t="str">
        <f>IFERROR(__xludf.DUMMYFUNCTION("""COMPUTED_VALUE"""),"MS")</f>
        <v>MS</v>
      </c>
    </row>
    <row r="6035" ht="15.75" customHeight="1">
      <c r="A6035" s="1" t="str">
        <f>IFERROR(__xludf.DUMMYFUNCTION("""COMPUTED_VALUE"""),"Hudson Henry")</f>
        <v>Hudson Henry</v>
      </c>
      <c r="B6035" s="1" t="str">
        <f>IFERROR(__xludf.DUMMYFUNCTION("""COMPUTED_VALUE"""),"MS")</f>
        <v>MS</v>
      </c>
    </row>
    <row r="6036" ht="15.75" customHeight="1">
      <c r="A6036" s="1" t="str">
        <f>IFERROR(__xludf.DUMMYFUNCTION("""COMPUTED_VALUE"""),"Granite Holmes")</f>
        <v>Granite Holmes</v>
      </c>
      <c r="B6036" s="1" t="str">
        <f>IFERROR(__xludf.DUMMYFUNCTION("""COMPUTED_VALUE"""),"MS")</f>
        <v>MS</v>
      </c>
    </row>
    <row r="6037" ht="15.75" customHeight="1">
      <c r="A6037" s="1" t="str">
        <f>IFERROR(__xludf.DUMMYFUNCTION("""COMPUTED_VALUE"""),"Amlie Hoopes")</f>
        <v>Amlie Hoopes</v>
      </c>
      <c r="B6037" s="1" t="str">
        <f>IFERROR(__xludf.DUMMYFUNCTION("""COMPUTED_VALUE"""),"MS")</f>
        <v>MS</v>
      </c>
    </row>
    <row r="6038" ht="15.75" customHeight="1">
      <c r="A6038" s="1" t="str">
        <f>IFERROR(__xludf.DUMMYFUNCTION("""COMPUTED_VALUE"""),"Mary Hoyt")</f>
        <v>Mary Hoyt</v>
      </c>
      <c r="B6038" s="1" t="str">
        <f>IFERROR(__xludf.DUMMYFUNCTION("""COMPUTED_VALUE"""),"MS")</f>
        <v>MS</v>
      </c>
    </row>
    <row r="6039" ht="15.75" customHeight="1">
      <c r="A6039" s="1" t="str">
        <f>IFERROR(__xludf.DUMMYFUNCTION("""COMPUTED_VALUE"""),"Ella Lampkin")</f>
        <v>Ella Lampkin</v>
      </c>
      <c r="B6039" s="1" t="str">
        <f>IFERROR(__xludf.DUMMYFUNCTION("""COMPUTED_VALUE"""),"MS")</f>
        <v>MS</v>
      </c>
    </row>
    <row r="6040" ht="15.75" customHeight="1">
      <c r="A6040" s="1" t="str">
        <f>IFERROR(__xludf.DUMMYFUNCTION("""COMPUTED_VALUE"""),"Jaden Lynch")</f>
        <v>Jaden Lynch</v>
      </c>
      <c r="B6040" s="1" t="str">
        <f>IFERROR(__xludf.DUMMYFUNCTION("""COMPUTED_VALUE"""),"MS")</f>
        <v>MS</v>
      </c>
    </row>
    <row r="6041" ht="15.75" customHeight="1">
      <c r="A6041" s="1" t="str">
        <f>IFERROR(__xludf.DUMMYFUNCTION("""COMPUTED_VALUE"""),"Aurora Schnadig")</f>
        <v>Aurora Schnadig</v>
      </c>
      <c r="B6041" s="1" t="str">
        <f>IFERROR(__xludf.DUMMYFUNCTION("""COMPUTED_VALUE"""),"MS")</f>
        <v>MS</v>
      </c>
    </row>
    <row r="6042" ht="15.75" customHeight="1">
      <c r="A6042" s="1" t="str">
        <f>IFERROR(__xludf.DUMMYFUNCTION("""COMPUTED_VALUE"""),"Gage Smith")</f>
        <v>Gage Smith</v>
      </c>
      <c r="B6042" s="1" t="str">
        <f>IFERROR(__xludf.DUMMYFUNCTION("""COMPUTED_VALUE"""),"MS")</f>
        <v>MS</v>
      </c>
    </row>
    <row r="6043" ht="15.75" customHeight="1">
      <c r="A6043" s="1" t="str">
        <f>IFERROR(__xludf.DUMMYFUNCTION("""COMPUTED_VALUE"""),"Helen Stoller Smith")</f>
        <v>Helen Stoller Smith</v>
      </c>
      <c r="B6043" s="1" t="str">
        <f>IFERROR(__xludf.DUMMYFUNCTION("""COMPUTED_VALUE"""),"MS")</f>
        <v>MS</v>
      </c>
    </row>
    <row r="6044" ht="15.75" customHeight="1">
      <c r="A6044" s="1" t="str">
        <f>IFERROR(__xludf.DUMMYFUNCTION("""COMPUTED_VALUE"""),"Jack Stoller Smith")</f>
        <v>Jack Stoller Smith</v>
      </c>
      <c r="B6044" s="1" t="str">
        <f>IFERROR(__xludf.DUMMYFUNCTION("""COMPUTED_VALUE"""),"MS")</f>
        <v>MS</v>
      </c>
    </row>
    <row r="6045" ht="15.75" customHeight="1">
      <c r="A6045" s="1" t="str">
        <f>IFERROR(__xludf.DUMMYFUNCTION("""COMPUTED_VALUE"""),"Kyrie Thoensen-Metts")</f>
        <v>Kyrie Thoensen-Metts</v>
      </c>
      <c r="B6045" s="1" t="str">
        <f>IFERROR(__xludf.DUMMYFUNCTION("""COMPUTED_VALUE"""),"MS")</f>
        <v>MS</v>
      </c>
    </row>
    <row r="6046" ht="15.75" customHeight="1">
      <c r="A6046" s="1" t="str">
        <f>IFERROR(__xludf.DUMMYFUNCTION("""COMPUTED_VALUE"""),"Kyla Thomas")</f>
        <v>Kyla Thomas</v>
      </c>
      <c r="B6046" s="1" t="str">
        <f>IFERROR(__xludf.DUMMYFUNCTION("""COMPUTED_VALUE"""),"MS")</f>
        <v>MS</v>
      </c>
    </row>
    <row r="6047" ht="15.75" customHeight="1">
      <c r="A6047" s="1" t="str">
        <f>IFERROR(__xludf.DUMMYFUNCTION("""COMPUTED_VALUE"""),"Joseph Turner")</f>
        <v>Joseph Turner</v>
      </c>
      <c r="B6047" s="1" t="str">
        <f>IFERROR(__xludf.DUMMYFUNCTION("""COMPUTED_VALUE"""),"MS")</f>
        <v>MS</v>
      </c>
    </row>
    <row r="6048" ht="15.75" customHeight="1">
      <c r="A6048" s="1" t="str">
        <f>IFERROR(__xludf.DUMMYFUNCTION("""COMPUTED_VALUE"""),"Brooklyn Perry")</f>
        <v>Brooklyn Perry</v>
      </c>
      <c r="B6048" s="1" t="str">
        <f>IFERROR(__xludf.DUMMYFUNCTION("""COMPUTED_VALUE"""),"MS")</f>
        <v>MS</v>
      </c>
    </row>
    <row r="6049" ht="15.75" customHeight="1">
      <c r="A6049" s="1" t="str">
        <f>IFERROR(__xludf.DUMMYFUNCTION("""COMPUTED_VALUE"""),"Hunter D. Chilson")</f>
        <v>Hunter D. Chilson</v>
      </c>
      <c r="B6049" s="1" t="str">
        <f>IFERROR(__xludf.DUMMYFUNCTION("""COMPUTED_VALUE"""),"MS")</f>
        <v>MS</v>
      </c>
    </row>
    <row r="6050" ht="15.75" customHeight="1">
      <c r="A6050" s="1" t="str">
        <f>IFERROR(__xludf.DUMMYFUNCTION("""COMPUTED_VALUE"""),"Adrian E. Jr Gill")</f>
        <v>Adrian E. Jr Gill</v>
      </c>
      <c r="B6050" s="1" t="str">
        <f>IFERROR(__xludf.DUMMYFUNCTION("""COMPUTED_VALUE"""),"MS")</f>
        <v>MS</v>
      </c>
    </row>
    <row r="6051" ht="15.75" customHeight="1">
      <c r="A6051" s="1" t="str">
        <f>IFERROR(__xludf.DUMMYFUNCTION("""COMPUTED_VALUE"""),"Maverick R. Muhoberac")</f>
        <v>Maverick R. Muhoberac</v>
      </c>
      <c r="B6051" s="1" t="str">
        <f>IFERROR(__xludf.DUMMYFUNCTION("""COMPUTED_VALUE"""),"MS")</f>
        <v>MS</v>
      </c>
    </row>
    <row r="6052" ht="15.75" customHeight="1">
      <c r="A6052" s="1" t="str">
        <f>IFERROR(__xludf.DUMMYFUNCTION("""COMPUTED_VALUE"""),"Warren F. Neumann")</f>
        <v>Warren F. Neumann</v>
      </c>
      <c r="B6052" s="1" t="str">
        <f>IFERROR(__xludf.DUMMYFUNCTION("""COMPUTED_VALUE"""),"MS")</f>
        <v>MS</v>
      </c>
    </row>
    <row r="6053" ht="15.75" customHeight="1">
      <c r="A6053" s="1" t="str">
        <f>IFERROR(__xludf.DUMMYFUNCTION("""COMPUTED_VALUE"""),"Chase J. Reynolds")</f>
        <v>Chase J. Reynolds</v>
      </c>
      <c r="B6053" s="1" t="str">
        <f>IFERROR(__xludf.DUMMYFUNCTION("""COMPUTED_VALUE"""),"MS")</f>
        <v>MS</v>
      </c>
    </row>
    <row r="6054" ht="15.75" customHeight="1">
      <c r="A6054" s="1" t="str">
        <f>IFERROR(__xludf.DUMMYFUNCTION("""COMPUTED_VALUE"""),"Skylar K. Snow")</f>
        <v>Skylar K. Snow</v>
      </c>
      <c r="B6054" s="1" t="str">
        <f>IFERROR(__xludf.DUMMYFUNCTION("""COMPUTED_VALUE"""),"MS")</f>
        <v>MS</v>
      </c>
    </row>
    <row r="6055" ht="15.75" customHeight="1">
      <c r="A6055" s="1" t="str">
        <f>IFERROR(__xludf.DUMMYFUNCTION("""COMPUTED_VALUE"""),"Laney K. Starr")</f>
        <v>Laney K. Starr</v>
      </c>
      <c r="B6055" s="1" t="str">
        <f>IFERROR(__xludf.DUMMYFUNCTION("""COMPUTED_VALUE"""),"MS")</f>
        <v>MS</v>
      </c>
    </row>
    <row r="6056" ht="15.75" customHeight="1">
      <c r="A6056" s="1" t="str">
        <f>IFERROR(__xludf.DUMMYFUNCTION("""COMPUTED_VALUE"""),"Brendon M. Falten")</f>
        <v>Brendon M. Falten</v>
      </c>
      <c r="B6056" s="1" t="str">
        <f>IFERROR(__xludf.DUMMYFUNCTION("""COMPUTED_VALUE"""),"MS")</f>
        <v>MS</v>
      </c>
    </row>
    <row r="6057" ht="15.75" customHeight="1">
      <c r="A6057" s="1" t="str">
        <f>IFERROR(__xludf.DUMMYFUNCTION("""COMPUTED_VALUE"""),"David M. Garrison")</f>
        <v>David M. Garrison</v>
      </c>
      <c r="B6057" s="1" t="str">
        <f>IFERROR(__xludf.DUMMYFUNCTION("""COMPUTED_VALUE"""),"MS")</f>
        <v>MS</v>
      </c>
    </row>
    <row r="6058" ht="15.75" customHeight="1">
      <c r="A6058" s="1" t="str">
        <f>IFERROR(__xludf.DUMMYFUNCTION("""COMPUTED_VALUE"""),"Ashby F. Hammontree")</f>
        <v>Ashby F. Hammontree</v>
      </c>
      <c r="B6058" s="1" t="str">
        <f>IFERROR(__xludf.DUMMYFUNCTION("""COMPUTED_VALUE"""),"MS")</f>
        <v>MS</v>
      </c>
    </row>
    <row r="6059" ht="15.75" customHeight="1">
      <c r="A6059" s="1" t="str">
        <f>IFERROR(__xludf.DUMMYFUNCTION("""COMPUTED_VALUE"""),"Dustin M. Montiel")</f>
        <v>Dustin M. Montiel</v>
      </c>
      <c r="B6059" s="1" t="str">
        <f>IFERROR(__xludf.DUMMYFUNCTION("""COMPUTED_VALUE"""),"MS")</f>
        <v>MS</v>
      </c>
    </row>
    <row r="6060" ht="15.75" customHeight="1">
      <c r="A6060" s="1" t="str">
        <f>IFERROR(__xludf.DUMMYFUNCTION("""COMPUTED_VALUE"""),"Benjamin E. Newton")</f>
        <v>Benjamin E. Newton</v>
      </c>
      <c r="B6060" s="1" t="str">
        <f>IFERROR(__xludf.DUMMYFUNCTION("""COMPUTED_VALUE"""),"MS")</f>
        <v>MS</v>
      </c>
    </row>
    <row r="6061" ht="15.75" customHeight="1">
      <c r="A6061" s="1" t="str">
        <f>IFERROR(__xludf.DUMMYFUNCTION("""COMPUTED_VALUE"""),"Alexa A. Valdez")</f>
        <v>Alexa A. Valdez</v>
      </c>
      <c r="B6061" s="1" t="str">
        <f>IFERROR(__xludf.DUMMYFUNCTION("""COMPUTED_VALUE"""),"MS")</f>
        <v>MS</v>
      </c>
    </row>
    <row r="6062" ht="15.75" customHeight="1">
      <c r="A6062" s="1" t="str">
        <f>IFERROR(__xludf.DUMMYFUNCTION("""COMPUTED_VALUE"""),"Cadence J. Brown")</f>
        <v>Cadence J. Brown</v>
      </c>
      <c r="B6062" s="1" t="str">
        <f>IFERROR(__xludf.DUMMYFUNCTION("""COMPUTED_VALUE"""),"MS")</f>
        <v>MS</v>
      </c>
    </row>
    <row r="6063" ht="15.75" customHeight="1">
      <c r="A6063" s="1" t="str">
        <f>IFERROR(__xludf.DUMMYFUNCTION("""COMPUTED_VALUE"""),"Andrew S. Ilinich")</f>
        <v>Andrew S. Ilinich</v>
      </c>
      <c r="B6063" s="1" t="str">
        <f>IFERROR(__xludf.DUMMYFUNCTION("""COMPUTED_VALUE"""),"MS")</f>
        <v>MS</v>
      </c>
    </row>
    <row r="6064" ht="15.75" customHeight="1">
      <c r="A6064" s="1" t="str">
        <f>IFERROR(__xludf.DUMMYFUNCTION("""COMPUTED_VALUE"""),"Nolen C. Litchfield")</f>
        <v>Nolen C. Litchfield</v>
      </c>
      <c r="B6064" s="1" t="str">
        <f>IFERROR(__xludf.DUMMYFUNCTION("""COMPUTED_VALUE"""),"MS")</f>
        <v>MS</v>
      </c>
    </row>
    <row r="6065" ht="15.75" customHeight="1">
      <c r="A6065" s="1" t="str">
        <f>IFERROR(__xludf.DUMMYFUNCTION("""COMPUTED_VALUE"""),"Maleeka R. Willis")</f>
        <v>Maleeka R. Willis</v>
      </c>
      <c r="B6065" s="1" t="str">
        <f>IFERROR(__xludf.DUMMYFUNCTION("""COMPUTED_VALUE"""),"MS")</f>
        <v>MS</v>
      </c>
    </row>
    <row r="6066" ht="15.75" customHeight="1">
      <c r="A6066" s="1" t="str">
        <f>IFERROR(__xludf.DUMMYFUNCTION("""COMPUTED_VALUE"""),"Oliver J. Kyle")</f>
        <v>Oliver J. Kyle</v>
      </c>
      <c r="B6066" s="1" t="str">
        <f>IFERROR(__xludf.DUMMYFUNCTION("""COMPUTED_VALUE"""),"MS")</f>
        <v>MS</v>
      </c>
    </row>
    <row r="6067" ht="15.75" customHeight="1">
      <c r="A6067" s="1" t="str">
        <f>IFERROR(__xludf.DUMMYFUNCTION("""COMPUTED_VALUE"""),"Fiona M. Merrill")</f>
        <v>Fiona M. Merrill</v>
      </c>
      <c r="B6067" s="1" t="str">
        <f>IFERROR(__xludf.DUMMYFUNCTION("""COMPUTED_VALUE"""),"MS")</f>
        <v>MS</v>
      </c>
    </row>
    <row r="6068" ht="15.75" customHeight="1">
      <c r="A6068" s="1" t="str">
        <f>IFERROR(__xludf.DUMMYFUNCTION("""COMPUTED_VALUE"""),"Elianah K. Reyes")</f>
        <v>Elianah K. Reyes</v>
      </c>
      <c r="B6068" s="1" t="str">
        <f>IFERROR(__xludf.DUMMYFUNCTION("""COMPUTED_VALUE"""),"MS")</f>
        <v>MS</v>
      </c>
    </row>
    <row r="6069" ht="15.75" customHeight="1">
      <c r="A6069" s="1" t="str">
        <f>IFERROR(__xludf.DUMMYFUNCTION("""COMPUTED_VALUE"""),"Devin R. Russell")</f>
        <v>Devin R. Russell</v>
      </c>
      <c r="B6069" s="1" t="str">
        <f>IFERROR(__xludf.DUMMYFUNCTION("""COMPUTED_VALUE"""),"MS")</f>
        <v>MS</v>
      </c>
    </row>
    <row r="6070" ht="15.75" customHeight="1">
      <c r="A6070" s="1" t="str">
        <f>IFERROR(__xludf.DUMMYFUNCTION("""COMPUTED_VALUE"""),"Cayde P. Cornell")</f>
        <v>Cayde P. Cornell</v>
      </c>
      <c r="B6070" s="1" t="str">
        <f>IFERROR(__xludf.DUMMYFUNCTION("""COMPUTED_VALUE"""),"MS")</f>
        <v>MS</v>
      </c>
    </row>
    <row r="6071" ht="15.75" customHeight="1">
      <c r="A6071" s="1" t="str">
        <f>IFERROR(__xludf.DUMMYFUNCTION("""COMPUTED_VALUE"""),"Eliza L. Donovan")</f>
        <v>Eliza L. Donovan</v>
      </c>
      <c r="B6071" s="1" t="str">
        <f>IFERROR(__xludf.DUMMYFUNCTION("""COMPUTED_VALUE"""),"MS")</f>
        <v>MS</v>
      </c>
    </row>
    <row r="6072" ht="15.75" customHeight="1">
      <c r="A6072" s="1" t="str">
        <f>IFERROR(__xludf.DUMMYFUNCTION("""COMPUTED_VALUE"""),"Ezekiel D. Erichsen")</f>
        <v>Ezekiel D. Erichsen</v>
      </c>
      <c r="B6072" s="1" t="str">
        <f>IFERROR(__xludf.DUMMYFUNCTION("""COMPUTED_VALUE"""),"MS")</f>
        <v>MS</v>
      </c>
    </row>
    <row r="6073" ht="15.75" customHeight="1">
      <c r="A6073" s="1" t="str">
        <f>IFERROR(__xludf.DUMMYFUNCTION("""COMPUTED_VALUE"""),"Chloe A. Favro")</f>
        <v>Chloe A. Favro</v>
      </c>
      <c r="B6073" s="1" t="str">
        <f>IFERROR(__xludf.DUMMYFUNCTION("""COMPUTED_VALUE"""),"MS")</f>
        <v>MS</v>
      </c>
    </row>
    <row r="6074" ht="15.75" customHeight="1">
      <c r="A6074" s="1" t="str">
        <f>IFERROR(__xludf.DUMMYFUNCTION("""COMPUTED_VALUE"""),"Luca J. Ferrero")</f>
        <v>Luca J. Ferrero</v>
      </c>
      <c r="B6074" s="1" t="str">
        <f>IFERROR(__xludf.DUMMYFUNCTION("""COMPUTED_VALUE"""),"MS")</f>
        <v>MS</v>
      </c>
    </row>
    <row r="6075" ht="15.75" customHeight="1">
      <c r="A6075" s="1" t="str">
        <f>IFERROR(__xludf.DUMMYFUNCTION("""COMPUTED_VALUE"""),"Kimber A. Joachim")</f>
        <v>Kimber A. Joachim</v>
      </c>
      <c r="B6075" s="1" t="str">
        <f>IFERROR(__xludf.DUMMYFUNCTION("""COMPUTED_VALUE"""),"MS")</f>
        <v>MS</v>
      </c>
    </row>
    <row r="6076" ht="15.75" customHeight="1">
      <c r="A6076" s="1" t="str">
        <f>IFERROR(__xludf.DUMMYFUNCTION("""COMPUTED_VALUE"""),"Ava K. Milliken")</f>
        <v>Ava K. Milliken</v>
      </c>
      <c r="B6076" s="1" t="str">
        <f>IFERROR(__xludf.DUMMYFUNCTION("""COMPUTED_VALUE"""),"MS")</f>
        <v>MS</v>
      </c>
    </row>
    <row r="6077" ht="15.75" customHeight="1">
      <c r="A6077" s="1" t="str">
        <f>IFERROR(__xludf.DUMMYFUNCTION("""COMPUTED_VALUE"""),"Brigitte Arcos")</f>
        <v>Brigitte Arcos</v>
      </c>
      <c r="B6077" s="1" t="str">
        <f>IFERROR(__xludf.DUMMYFUNCTION("""COMPUTED_VALUE"""),"MS")</f>
        <v>MS</v>
      </c>
    </row>
    <row r="6078" ht="15.75" customHeight="1">
      <c r="A6078" s="1" t="str">
        <f>IFERROR(__xludf.DUMMYFUNCTION("""COMPUTED_VALUE"""),"Xavi E. Duran Chacon")</f>
        <v>Xavi E. Duran Chacon</v>
      </c>
      <c r="B6078" s="1" t="str">
        <f>IFERROR(__xludf.DUMMYFUNCTION("""COMPUTED_VALUE"""),"MS")</f>
        <v>MS</v>
      </c>
    </row>
    <row r="6079" ht="15.75" customHeight="1">
      <c r="A6079" s="1" t="str">
        <f>IFERROR(__xludf.DUMMYFUNCTION("""COMPUTED_VALUE"""),"Santiago C. Salas")</f>
        <v>Santiago C. Salas</v>
      </c>
      <c r="B6079" s="1" t="str">
        <f>IFERROR(__xludf.DUMMYFUNCTION("""COMPUTED_VALUE"""),"MS")</f>
        <v>MS</v>
      </c>
    </row>
    <row r="6080" ht="15.75" customHeight="1">
      <c r="A6080" s="1" t="str">
        <f>IFERROR(__xludf.DUMMYFUNCTION("""COMPUTED_VALUE"""),"David Torgasov")</f>
        <v>David Torgasov</v>
      </c>
      <c r="B6080" s="1" t="str">
        <f>IFERROR(__xludf.DUMMYFUNCTION("""COMPUTED_VALUE"""),"MS")</f>
        <v>MS</v>
      </c>
    </row>
    <row r="6081" ht="15.75" customHeight="1">
      <c r="A6081" s="1" t="str">
        <f>IFERROR(__xludf.DUMMYFUNCTION("""COMPUTED_VALUE"""),"Jayson E. Aguirre Jain")</f>
        <v>Jayson E. Aguirre Jain</v>
      </c>
      <c r="B6081" s="1" t="str">
        <f>IFERROR(__xludf.DUMMYFUNCTION("""COMPUTED_VALUE"""),"MS")</f>
        <v>MS</v>
      </c>
    </row>
    <row r="6082" ht="15.75" customHeight="1">
      <c r="A6082" s="1" t="str">
        <f>IFERROR(__xludf.DUMMYFUNCTION("""COMPUTED_VALUE"""),"Sophia C. Bell")</f>
        <v>Sophia C. Bell</v>
      </c>
      <c r="B6082" s="1" t="str">
        <f>IFERROR(__xludf.DUMMYFUNCTION("""COMPUTED_VALUE"""),"MS")</f>
        <v>MS</v>
      </c>
    </row>
    <row r="6083" ht="15.75" customHeight="1">
      <c r="A6083" s="1" t="str">
        <f>IFERROR(__xludf.DUMMYFUNCTION("""COMPUTED_VALUE"""),"Gage T. Brassinne")</f>
        <v>Gage T. Brassinne</v>
      </c>
      <c r="B6083" s="1" t="str">
        <f>IFERROR(__xludf.DUMMYFUNCTION("""COMPUTED_VALUE"""),"MS")</f>
        <v>MS</v>
      </c>
    </row>
    <row r="6084" ht="15.75" customHeight="1">
      <c r="A6084" s="1" t="str">
        <f>IFERROR(__xludf.DUMMYFUNCTION("""COMPUTED_VALUE"""),"Mariela Campas Melesio")</f>
        <v>Mariela Campas Melesio</v>
      </c>
      <c r="B6084" s="1" t="str">
        <f>IFERROR(__xludf.DUMMYFUNCTION("""COMPUTED_VALUE"""),"MS")</f>
        <v>MS</v>
      </c>
    </row>
    <row r="6085" ht="15.75" customHeight="1">
      <c r="A6085" s="1" t="str">
        <f>IFERROR(__xludf.DUMMYFUNCTION("""COMPUTED_VALUE"""),"Brittany Hernandez Salazar")</f>
        <v>Brittany Hernandez Salazar</v>
      </c>
      <c r="B6085" s="1" t="str">
        <f>IFERROR(__xludf.DUMMYFUNCTION("""COMPUTED_VALUE"""),"MS")</f>
        <v>MS</v>
      </c>
    </row>
    <row r="6086" ht="15.75" customHeight="1">
      <c r="A6086" s="1" t="str">
        <f>IFERROR(__xludf.DUMMYFUNCTION("""COMPUTED_VALUE"""),"Sebastian Rodriguez-Joaquin")</f>
        <v>Sebastian Rodriguez-Joaquin</v>
      </c>
      <c r="B6086" s="1" t="str">
        <f>IFERROR(__xludf.DUMMYFUNCTION("""COMPUTED_VALUE"""),"MS")</f>
        <v>MS</v>
      </c>
    </row>
    <row r="6087" ht="15.75" customHeight="1">
      <c r="A6087" s="1" t="str">
        <f>IFERROR(__xludf.DUMMYFUNCTION("""COMPUTED_VALUE"""),"Sebastian T. Rogers")</f>
        <v>Sebastian T. Rogers</v>
      </c>
      <c r="B6087" s="1" t="str">
        <f>IFERROR(__xludf.DUMMYFUNCTION("""COMPUTED_VALUE"""),"MS")</f>
        <v>MS</v>
      </c>
    </row>
    <row r="6088" ht="15.75" customHeight="1">
      <c r="A6088" s="1" t="str">
        <f>IFERROR(__xludf.DUMMYFUNCTION("""COMPUTED_VALUE"""),"Satorie S. Russell")</f>
        <v>Satorie S. Russell</v>
      </c>
      <c r="B6088" s="1" t="str">
        <f>IFERROR(__xludf.DUMMYFUNCTION("""COMPUTED_VALUE"""),"MS")</f>
        <v>MS</v>
      </c>
    </row>
    <row r="6089" ht="15.75" customHeight="1">
      <c r="A6089" s="1" t="str">
        <f>IFERROR(__xludf.DUMMYFUNCTION("""COMPUTED_VALUE"""),"Cade T. Sparks")</f>
        <v>Cade T. Sparks</v>
      </c>
      <c r="B6089" s="1" t="str">
        <f>IFERROR(__xludf.DUMMYFUNCTION("""COMPUTED_VALUE"""),"MS")</f>
        <v>MS</v>
      </c>
    </row>
    <row r="6090" ht="15.75" customHeight="1">
      <c r="A6090" s="1" t="str">
        <f>IFERROR(__xludf.DUMMYFUNCTION("""COMPUTED_VALUE"""),"Itziael A. Castro-Rose")</f>
        <v>Itziael A. Castro-Rose</v>
      </c>
      <c r="B6090" s="1" t="str">
        <f>IFERROR(__xludf.DUMMYFUNCTION("""COMPUTED_VALUE"""),"MS")</f>
        <v>MS</v>
      </c>
    </row>
    <row r="6091" ht="15.75" customHeight="1">
      <c r="A6091" s="1" t="str">
        <f>IFERROR(__xludf.DUMMYFUNCTION("""COMPUTED_VALUE"""),"Xavier j. Gomez")</f>
        <v>Xavier j. Gomez</v>
      </c>
      <c r="B6091" s="1" t="str">
        <f>IFERROR(__xludf.DUMMYFUNCTION("""COMPUTED_VALUE"""),"MS")</f>
        <v>MS</v>
      </c>
    </row>
    <row r="6092" ht="15.75" customHeight="1">
      <c r="A6092" s="1" t="str">
        <f>IFERROR(__xludf.DUMMYFUNCTION("""COMPUTED_VALUE"""),"Kade T. Hitsman")</f>
        <v>Kade T. Hitsman</v>
      </c>
      <c r="B6092" s="1" t="str">
        <f>IFERROR(__xludf.DUMMYFUNCTION("""COMPUTED_VALUE"""),"MS")</f>
        <v>MS</v>
      </c>
    </row>
    <row r="6093" ht="15.75" customHeight="1">
      <c r="A6093" s="1" t="str">
        <f>IFERROR(__xludf.DUMMYFUNCTION("""COMPUTED_VALUE"""),"Elijah S. Ilinich")</f>
        <v>Elijah S. Ilinich</v>
      </c>
      <c r="B6093" s="1" t="str">
        <f>IFERROR(__xludf.DUMMYFUNCTION("""COMPUTED_VALUE"""),"MS")</f>
        <v>MS</v>
      </c>
    </row>
    <row r="6094" ht="15.75" customHeight="1">
      <c r="A6094" s="1" t="str">
        <f>IFERROR(__xludf.DUMMYFUNCTION("""COMPUTED_VALUE"""),"Victoria A. Lee")</f>
        <v>Victoria A. Lee</v>
      </c>
      <c r="B6094" s="1" t="str">
        <f>IFERROR(__xludf.DUMMYFUNCTION("""COMPUTED_VALUE"""),"MS")</f>
        <v>MS</v>
      </c>
    </row>
    <row r="6095" ht="15.75" customHeight="1">
      <c r="A6095" s="1" t="str">
        <f>IFERROR(__xludf.DUMMYFUNCTION("""COMPUTED_VALUE"""),"Skylah L. Nelson Zavala")</f>
        <v>Skylah L. Nelson Zavala</v>
      </c>
      <c r="B6095" s="1" t="str">
        <f>IFERROR(__xludf.DUMMYFUNCTION("""COMPUTED_VALUE"""),"MS")</f>
        <v>MS</v>
      </c>
    </row>
    <row r="6096" ht="15.75" customHeight="1">
      <c r="A6096" s="1" t="str">
        <f>IFERROR(__xludf.DUMMYFUNCTION("""COMPUTED_VALUE"""),"Jeremy J. Neumann")</f>
        <v>Jeremy J. Neumann</v>
      </c>
      <c r="B6096" s="1" t="str">
        <f>IFERROR(__xludf.DUMMYFUNCTION("""COMPUTED_VALUE"""),"MS")</f>
        <v>MS</v>
      </c>
    </row>
    <row r="6097" ht="15.75" customHeight="1">
      <c r="A6097" s="1" t="str">
        <f>IFERROR(__xludf.DUMMYFUNCTION("""COMPUTED_VALUE"""),"Blaine D. Peterkin")</f>
        <v>Blaine D. Peterkin</v>
      </c>
      <c r="B6097" s="1" t="str">
        <f>IFERROR(__xludf.DUMMYFUNCTION("""COMPUTED_VALUE"""),"MS")</f>
        <v>MS</v>
      </c>
    </row>
    <row r="6098" ht="15.75" customHeight="1">
      <c r="A6098" s="1" t="str">
        <f>IFERROR(__xludf.DUMMYFUNCTION("""COMPUTED_VALUE"""),"Isac M. Rozell")</f>
        <v>Isac M. Rozell</v>
      </c>
      <c r="B6098" s="1" t="str">
        <f>IFERROR(__xludf.DUMMYFUNCTION("""COMPUTED_VALUE"""),"MS")</f>
        <v>MS</v>
      </c>
    </row>
    <row r="6099" ht="15.75" customHeight="1">
      <c r="A6099" s="1" t="str">
        <f>IFERROR(__xludf.DUMMYFUNCTION("""COMPUTED_VALUE"""),"Eva M. Arnold")</f>
        <v>Eva M. Arnold</v>
      </c>
      <c r="B6099" s="1" t="str">
        <f>IFERROR(__xludf.DUMMYFUNCTION("""COMPUTED_VALUE"""),"MS")</f>
        <v>MS</v>
      </c>
    </row>
    <row r="6100" ht="15.75" customHeight="1">
      <c r="A6100" s="1" t="str">
        <f>IFERROR(__xludf.DUMMYFUNCTION("""COMPUTED_VALUE"""),"Jared H. Espinoza Angulo")</f>
        <v>Jared H. Espinoza Angulo</v>
      </c>
      <c r="B6100" s="1" t="str">
        <f>IFERROR(__xludf.DUMMYFUNCTION("""COMPUTED_VALUE"""),"MS")</f>
        <v>MS</v>
      </c>
    </row>
    <row r="6101" ht="15.75" customHeight="1">
      <c r="A6101" s="1" t="str">
        <f>IFERROR(__xludf.DUMMYFUNCTION("""COMPUTED_VALUE"""),"Dean M. Graham")</f>
        <v>Dean M. Graham</v>
      </c>
      <c r="B6101" s="1" t="str">
        <f>IFERROR(__xludf.DUMMYFUNCTION("""COMPUTED_VALUE"""),"MS")</f>
        <v>MS</v>
      </c>
    </row>
    <row r="6102" ht="15.75" customHeight="1">
      <c r="A6102" s="1" t="str">
        <f>IFERROR(__xludf.DUMMYFUNCTION("""COMPUTED_VALUE"""),"Mariah J. Kozachenko")</f>
        <v>Mariah J. Kozachenko</v>
      </c>
      <c r="B6102" s="1" t="str">
        <f>IFERROR(__xludf.DUMMYFUNCTION("""COMPUTED_VALUE"""),"MS")</f>
        <v>MS</v>
      </c>
    </row>
    <row r="6103" ht="15.75" customHeight="1">
      <c r="A6103" s="1" t="str">
        <f>IFERROR(__xludf.DUMMYFUNCTION("""COMPUTED_VALUE"""),"Willow R. Palanuk")</f>
        <v>Willow R. Palanuk</v>
      </c>
      <c r="B6103" s="1" t="str">
        <f>IFERROR(__xludf.DUMMYFUNCTION("""COMPUTED_VALUE"""),"MS")</f>
        <v>MS</v>
      </c>
    </row>
    <row r="6104" ht="15.75" customHeight="1">
      <c r="A6104" s="1" t="str">
        <f>IFERROR(__xludf.DUMMYFUNCTION("""COMPUTED_VALUE"""),"Jesse D. Priest")</f>
        <v>Jesse D. Priest</v>
      </c>
      <c r="B6104" s="1" t="str">
        <f>IFERROR(__xludf.DUMMYFUNCTION("""COMPUTED_VALUE"""),"MS")</f>
        <v>MS</v>
      </c>
    </row>
    <row r="6105" ht="15.75" customHeight="1">
      <c r="A6105" s="1" t="str">
        <f>IFERROR(__xludf.DUMMYFUNCTION("""COMPUTED_VALUE"""),"Jameson L. Rackley")</f>
        <v>Jameson L. Rackley</v>
      </c>
      <c r="B6105" s="1" t="str">
        <f>IFERROR(__xludf.DUMMYFUNCTION("""COMPUTED_VALUE"""),"MS")</f>
        <v>MS</v>
      </c>
    </row>
    <row r="6106" ht="15.75" customHeight="1">
      <c r="A6106" s="1" t="str">
        <f>IFERROR(__xludf.DUMMYFUNCTION("""COMPUTED_VALUE"""),"Wyatt C. Schneider")</f>
        <v>Wyatt C. Schneider</v>
      </c>
      <c r="B6106" s="1" t="str">
        <f>IFERROR(__xludf.DUMMYFUNCTION("""COMPUTED_VALUE"""),"MS")</f>
        <v>MS</v>
      </c>
    </row>
    <row r="6107" ht="15.75" customHeight="1">
      <c r="A6107" s="1" t="str">
        <f>IFERROR(__xludf.DUMMYFUNCTION("""COMPUTED_VALUE"""),"Kellyn A. Slipher")</f>
        <v>Kellyn A. Slipher</v>
      </c>
      <c r="B6107" s="1" t="str">
        <f>IFERROR(__xludf.DUMMYFUNCTION("""COMPUTED_VALUE"""),"MS")</f>
        <v>MS</v>
      </c>
    </row>
    <row r="6108" ht="15.75" customHeight="1">
      <c r="A6108" s="1" t="str">
        <f>IFERROR(__xludf.DUMMYFUNCTION("""COMPUTED_VALUE"""),"Arielle E. Apreotesi")</f>
        <v>Arielle E. Apreotesi</v>
      </c>
      <c r="B6108" s="1" t="str">
        <f>IFERROR(__xludf.DUMMYFUNCTION("""COMPUTED_VALUE"""),"MS")</f>
        <v>MS</v>
      </c>
    </row>
    <row r="6109" ht="15.75" customHeight="1">
      <c r="A6109" s="1" t="str">
        <f>IFERROR(__xludf.DUMMYFUNCTION("""COMPUTED_VALUE"""),"Ruby J. Burri")</f>
        <v>Ruby J. Burri</v>
      </c>
      <c r="B6109" s="1" t="str">
        <f>IFERROR(__xludf.DUMMYFUNCTION("""COMPUTED_VALUE"""),"MS")</f>
        <v>MS</v>
      </c>
    </row>
    <row r="6110" ht="15.75" customHeight="1">
      <c r="A6110" s="1" t="str">
        <f>IFERROR(__xludf.DUMMYFUNCTION("""COMPUTED_VALUE"""),"David M. Chan-Rodriguez")</f>
        <v>David M. Chan-Rodriguez</v>
      </c>
      <c r="B6110" s="1" t="str">
        <f>IFERROR(__xludf.DUMMYFUNCTION("""COMPUTED_VALUE"""),"MS")</f>
        <v>MS</v>
      </c>
    </row>
    <row r="6111" ht="15.75" customHeight="1">
      <c r="A6111" s="1" t="str">
        <f>IFERROR(__xludf.DUMMYFUNCTION("""COMPUTED_VALUE"""),"Adrian S. Guevara")</f>
        <v>Adrian S. Guevara</v>
      </c>
      <c r="B6111" s="1" t="str">
        <f>IFERROR(__xludf.DUMMYFUNCTION("""COMPUTED_VALUE"""),"MS")</f>
        <v>MS</v>
      </c>
    </row>
    <row r="6112" ht="15.75" customHeight="1">
      <c r="A6112" s="1" t="str">
        <f>IFERROR(__xludf.DUMMYFUNCTION("""COMPUTED_VALUE"""),"Isabella M. Houtchens")</f>
        <v>Isabella M. Houtchens</v>
      </c>
      <c r="B6112" s="1" t="str">
        <f>IFERROR(__xludf.DUMMYFUNCTION("""COMPUTED_VALUE"""),"MS")</f>
        <v>MS</v>
      </c>
    </row>
    <row r="6113" ht="15.75" customHeight="1">
      <c r="A6113" s="1" t="str">
        <f>IFERROR(__xludf.DUMMYFUNCTION("""COMPUTED_VALUE"""),"Abner J. Martinez Serna")</f>
        <v>Abner J. Martinez Serna</v>
      </c>
      <c r="B6113" s="1" t="str">
        <f>IFERROR(__xludf.DUMMYFUNCTION("""COMPUTED_VALUE"""),"MS")</f>
        <v>MS</v>
      </c>
    </row>
    <row r="6114" ht="15.75" customHeight="1">
      <c r="A6114" s="1" t="str">
        <f>IFERROR(__xludf.DUMMYFUNCTION("""COMPUTED_VALUE"""),"Samantha J. Povey")</f>
        <v>Samantha J. Povey</v>
      </c>
      <c r="B6114" s="1" t="str">
        <f>IFERROR(__xludf.DUMMYFUNCTION("""COMPUTED_VALUE"""),"MS")</f>
        <v>MS</v>
      </c>
    </row>
    <row r="6115" ht="15.75" customHeight="1">
      <c r="A6115" s="1" t="str">
        <f>IFERROR(__xludf.DUMMYFUNCTION("""COMPUTED_VALUE"""),"Landyn J. Presley")</f>
        <v>Landyn J. Presley</v>
      </c>
      <c r="B6115" s="1" t="str">
        <f>IFERROR(__xludf.DUMMYFUNCTION("""COMPUTED_VALUE"""),"MS")</f>
        <v>MS</v>
      </c>
    </row>
    <row r="6116" ht="15.75" customHeight="1">
      <c r="A6116" s="1" t="str">
        <f>IFERROR(__xludf.DUMMYFUNCTION("""COMPUTED_VALUE"""),"William M. Schaffer")</f>
        <v>William M. Schaffer</v>
      </c>
      <c r="B6116" s="1" t="str">
        <f>IFERROR(__xludf.DUMMYFUNCTION("""COMPUTED_VALUE"""),"MS")</f>
        <v>MS</v>
      </c>
    </row>
    <row r="6117" ht="15.75" customHeight="1">
      <c r="A6117" s="1" t="str">
        <f>IFERROR(__xludf.DUMMYFUNCTION("""COMPUTED_VALUE"""),"Olivia L. Seino-Braidwood")</f>
        <v>Olivia L. Seino-Braidwood</v>
      </c>
      <c r="B6117" s="1" t="str">
        <f>IFERROR(__xludf.DUMMYFUNCTION("""COMPUTED_VALUE"""),"MS")</f>
        <v>MS</v>
      </c>
    </row>
    <row r="6118" ht="15.75" customHeight="1">
      <c r="A6118" s="1" t="str">
        <f>IFERROR(__xludf.DUMMYFUNCTION("""COMPUTED_VALUE"""),"Maddox W. Snyder")</f>
        <v>Maddox W. Snyder</v>
      </c>
      <c r="B6118" s="1" t="str">
        <f>IFERROR(__xludf.DUMMYFUNCTION("""COMPUTED_VALUE"""),"MS")</f>
        <v>MS</v>
      </c>
    </row>
    <row r="6119" ht="15.75" customHeight="1">
      <c r="A6119" s="1" t="str">
        <f>IFERROR(__xludf.DUMMYFUNCTION("""COMPUTED_VALUE"""),"Payne W. Stewart")</f>
        <v>Payne W. Stewart</v>
      </c>
      <c r="B6119" s="1" t="str">
        <f>IFERROR(__xludf.DUMMYFUNCTION("""COMPUTED_VALUE"""),"MS")</f>
        <v>MS</v>
      </c>
    </row>
    <row r="6120" ht="15.75" customHeight="1">
      <c r="A6120" s="1" t="str">
        <f>IFERROR(__xludf.DUMMYFUNCTION("""COMPUTED_VALUE"""),"Ivan F. Ascencio")</f>
        <v>Ivan F. Ascencio</v>
      </c>
      <c r="B6120" s="1" t="str">
        <f>IFERROR(__xludf.DUMMYFUNCTION("""COMPUTED_VALUE"""),"MS")</f>
        <v>MS</v>
      </c>
    </row>
    <row r="6121" ht="15.75" customHeight="1">
      <c r="A6121" s="1" t="str">
        <f>IFERROR(__xludf.DUMMYFUNCTION("""COMPUTED_VALUE"""),"Tyler L. Conner")</f>
        <v>Tyler L. Conner</v>
      </c>
      <c r="B6121" s="1" t="str">
        <f>IFERROR(__xludf.DUMMYFUNCTION("""COMPUTED_VALUE"""),"MS")</f>
        <v>MS</v>
      </c>
    </row>
    <row r="6122" ht="15.75" customHeight="1">
      <c r="A6122" s="1" t="str">
        <f>IFERROR(__xludf.DUMMYFUNCTION("""COMPUTED_VALUE"""),"Braxton C. Davison")</f>
        <v>Braxton C. Davison</v>
      </c>
      <c r="B6122" s="1" t="str">
        <f>IFERROR(__xludf.DUMMYFUNCTION("""COMPUTED_VALUE"""),"MS")</f>
        <v>MS</v>
      </c>
    </row>
    <row r="6123" ht="15.75" customHeight="1">
      <c r="A6123" s="1" t="str">
        <f>IFERROR(__xludf.DUMMYFUNCTION("""COMPUTED_VALUE"""),"Byron R. Howard")</f>
        <v>Byron R. Howard</v>
      </c>
      <c r="B6123" s="1" t="str">
        <f>IFERROR(__xludf.DUMMYFUNCTION("""COMPUTED_VALUE"""),"MS")</f>
        <v>MS</v>
      </c>
    </row>
    <row r="6124" ht="15.75" customHeight="1">
      <c r="A6124" s="1" t="str">
        <f>IFERROR(__xludf.DUMMYFUNCTION("""COMPUTED_VALUE"""),"Carter J. McClain")</f>
        <v>Carter J. McClain</v>
      </c>
      <c r="B6124" s="1" t="str">
        <f>IFERROR(__xludf.DUMMYFUNCTION("""COMPUTED_VALUE"""),"MS")</f>
        <v>MS</v>
      </c>
    </row>
    <row r="6125" ht="15.75" customHeight="1">
      <c r="A6125" s="1" t="str">
        <f>IFERROR(__xludf.DUMMYFUNCTION("""COMPUTED_VALUE"""),"Elyana G. Molina")</f>
        <v>Elyana G. Molina</v>
      </c>
      <c r="B6125" s="1" t="str">
        <f>IFERROR(__xludf.DUMMYFUNCTION("""COMPUTED_VALUE"""),"MS")</f>
        <v>MS</v>
      </c>
    </row>
    <row r="6126" ht="15.75" customHeight="1">
      <c r="A6126" s="1" t="str">
        <f>IFERROR(__xludf.DUMMYFUNCTION("""COMPUTED_VALUE"""),"Samuel T. Nerpel")</f>
        <v>Samuel T. Nerpel</v>
      </c>
      <c r="B6126" s="1" t="str">
        <f>IFERROR(__xludf.DUMMYFUNCTION("""COMPUTED_VALUE"""),"MS")</f>
        <v>MS</v>
      </c>
    </row>
    <row r="6127" ht="15.75" customHeight="1">
      <c r="A6127" s="1" t="str">
        <f>IFERROR(__xludf.DUMMYFUNCTION("""COMPUTED_VALUE"""),"Elijah J. Pederson")</f>
        <v>Elijah J. Pederson</v>
      </c>
      <c r="B6127" s="1" t="str">
        <f>IFERROR(__xludf.DUMMYFUNCTION("""COMPUTED_VALUE"""),"MS")</f>
        <v>MS</v>
      </c>
    </row>
    <row r="6128" ht="15.75" customHeight="1">
      <c r="A6128" s="1" t="str">
        <f>IFERROR(__xludf.DUMMYFUNCTION("""COMPUTED_VALUE"""),"Keeley A. Perez")</f>
        <v>Keeley A. Perez</v>
      </c>
      <c r="B6128" s="1" t="str">
        <f>IFERROR(__xludf.DUMMYFUNCTION("""COMPUTED_VALUE"""),"MS")</f>
        <v>MS</v>
      </c>
    </row>
    <row r="6129" ht="15.75" customHeight="1">
      <c r="A6129" s="1" t="str">
        <f>IFERROR(__xludf.DUMMYFUNCTION("""COMPUTED_VALUE"""),"Yara L. Saucedo")</f>
        <v>Yara L. Saucedo</v>
      </c>
      <c r="B6129" s="1" t="str">
        <f>IFERROR(__xludf.DUMMYFUNCTION("""COMPUTED_VALUE"""),"MS")</f>
        <v>MS</v>
      </c>
    </row>
    <row r="6130" ht="15.75" customHeight="1">
      <c r="A6130" s="1" t="str">
        <f>IFERROR(__xludf.DUMMYFUNCTION("""COMPUTED_VALUE"""),"Ava F. Traxler")</f>
        <v>Ava F. Traxler</v>
      </c>
      <c r="B6130" s="1" t="str">
        <f>IFERROR(__xludf.DUMMYFUNCTION("""COMPUTED_VALUE"""),"MS")</f>
        <v>MS</v>
      </c>
    </row>
    <row r="6131" ht="15.75" customHeight="1">
      <c r="A6131" s="1" t="str">
        <f>IFERROR(__xludf.DUMMYFUNCTION("""COMPUTED_VALUE"""),"Khyler Hawkins")</f>
        <v>Khyler Hawkins</v>
      </c>
      <c r="B6131" s="1" t="str">
        <f>IFERROR(__xludf.DUMMYFUNCTION("""COMPUTED_VALUE"""),"MS")</f>
        <v>MS</v>
      </c>
    </row>
    <row r="6132" ht="15.75" customHeight="1">
      <c r="A6132" s="1" t="str">
        <f>IFERROR(__xludf.DUMMYFUNCTION("""COMPUTED_VALUE"""),"Gage Howard")</f>
        <v>Gage Howard</v>
      </c>
      <c r="B6132" s="1" t="str">
        <f>IFERROR(__xludf.DUMMYFUNCTION("""COMPUTED_VALUE"""),"MS")</f>
        <v>MS</v>
      </c>
    </row>
    <row r="6133" ht="15.75" customHeight="1">
      <c r="A6133" s="1" t="str">
        <f>IFERROR(__xludf.DUMMYFUNCTION("""COMPUTED_VALUE"""),"Avree LePley-McElheran")</f>
        <v>Avree LePley-McElheran</v>
      </c>
      <c r="B6133" s="1" t="str">
        <f>IFERROR(__xludf.DUMMYFUNCTION("""COMPUTED_VALUE"""),"MS")</f>
        <v>MS</v>
      </c>
    </row>
    <row r="6134" ht="15.75" customHeight="1">
      <c r="A6134" s="1" t="str">
        <f>IFERROR(__xludf.DUMMYFUNCTION("""COMPUTED_VALUE"""),"Sabastian Martin")</f>
        <v>Sabastian Martin</v>
      </c>
      <c r="B6134" s="1" t="str">
        <f>IFERROR(__xludf.DUMMYFUNCTION("""COMPUTED_VALUE"""),"MS")</f>
        <v>MS</v>
      </c>
    </row>
    <row r="6135" ht="15.75" customHeight="1">
      <c r="A6135" s="1" t="str">
        <f>IFERROR(__xludf.DUMMYFUNCTION("""COMPUTED_VALUE"""),"McCarville Max")</f>
        <v>McCarville Max</v>
      </c>
      <c r="B6135" s="1" t="str">
        <f>IFERROR(__xludf.DUMMYFUNCTION("""COMPUTED_VALUE"""),"MS")</f>
        <v>MS</v>
      </c>
    </row>
    <row r="6136" ht="15.75" customHeight="1">
      <c r="A6136" s="1" t="str">
        <f>IFERROR(__xludf.DUMMYFUNCTION("""COMPUTED_VALUE"""),"Everett Messinger")</f>
        <v>Everett Messinger</v>
      </c>
      <c r="B6136" s="1" t="str">
        <f>IFERROR(__xludf.DUMMYFUNCTION("""COMPUTED_VALUE"""),"MS")</f>
        <v>MS</v>
      </c>
    </row>
    <row r="6137" ht="15.75" customHeight="1">
      <c r="A6137" s="1" t="str">
        <f>IFERROR(__xludf.DUMMYFUNCTION("""COMPUTED_VALUE"""),"Dawson Schaffer-Smith")</f>
        <v>Dawson Schaffer-Smith</v>
      </c>
      <c r="B6137" s="1" t="str">
        <f>IFERROR(__xludf.DUMMYFUNCTION("""COMPUTED_VALUE"""),"MS")</f>
        <v>MS</v>
      </c>
    </row>
    <row r="6138" ht="15.75" customHeight="1">
      <c r="A6138" s="1" t="str">
        <f>IFERROR(__xludf.DUMMYFUNCTION("""COMPUTED_VALUE"""),"Quinton Schmiedel")</f>
        <v>Quinton Schmiedel</v>
      </c>
      <c r="B6138" s="1" t="str">
        <f>IFERROR(__xludf.DUMMYFUNCTION("""COMPUTED_VALUE"""),"MS")</f>
        <v>MS</v>
      </c>
    </row>
    <row r="6139" ht="15.75" customHeight="1">
      <c r="A6139" s="1" t="str">
        <f>IFERROR(__xludf.DUMMYFUNCTION("""COMPUTED_VALUE"""),"Elijah A. Stephenson")</f>
        <v>Elijah A. Stephenson</v>
      </c>
      <c r="B6139" s="1" t="str">
        <f>IFERROR(__xludf.DUMMYFUNCTION("""COMPUTED_VALUE"""),"MS")</f>
        <v>MS</v>
      </c>
    </row>
    <row r="6140" ht="15.75" customHeight="1">
      <c r="A6140" s="1" t="str">
        <f>IFERROR(__xludf.DUMMYFUNCTION("""COMPUTED_VALUE"""),"Cai E. Thompson")</f>
        <v>Cai E. Thompson</v>
      </c>
      <c r="B6140" s="1" t="str">
        <f>IFERROR(__xludf.DUMMYFUNCTION("""COMPUTED_VALUE"""),"MS")</f>
        <v>MS</v>
      </c>
    </row>
    <row r="6141" ht="15.75" customHeight="1">
      <c r="A6141" s="1" t="str">
        <f>IFERROR(__xludf.DUMMYFUNCTION("""COMPUTED_VALUE"""),"Phoenix Tingle")</f>
        <v>Phoenix Tingle</v>
      </c>
      <c r="B6141" s="1" t="str">
        <f>IFERROR(__xludf.DUMMYFUNCTION("""COMPUTED_VALUE"""),"MS")</f>
        <v>MS</v>
      </c>
    </row>
    <row r="6142" ht="15.75" customHeight="1">
      <c r="A6142" s="1" t="str">
        <f>IFERROR(__xludf.DUMMYFUNCTION("""COMPUTED_VALUE"""),"James A. Adams")</f>
        <v>James A. Adams</v>
      </c>
      <c r="B6142" s="1" t="str">
        <f>IFERROR(__xludf.DUMMYFUNCTION("""COMPUTED_VALUE"""),"MS")</f>
        <v>MS</v>
      </c>
    </row>
    <row r="6143" ht="15.75" customHeight="1">
      <c r="A6143" s="1" t="str">
        <f>IFERROR(__xludf.DUMMYFUNCTION("""COMPUTED_VALUE"""),"Emma E. Carter")</f>
        <v>Emma E. Carter</v>
      </c>
      <c r="B6143" s="1" t="str">
        <f>IFERROR(__xludf.DUMMYFUNCTION("""COMPUTED_VALUE"""),"MS")</f>
        <v>MS</v>
      </c>
    </row>
    <row r="6144" ht="15.75" customHeight="1">
      <c r="A6144" s="1" t="str">
        <f>IFERROR(__xludf.DUMMYFUNCTION("""COMPUTED_VALUE"""),"Iris M. Fisher")</f>
        <v>Iris M. Fisher</v>
      </c>
      <c r="B6144" s="1" t="str">
        <f>IFERROR(__xludf.DUMMYFUNCTION("""COMPUTED_VALUE"""),"MS")</f>
        <v>MS</v>
      </c>
    </row>
    <row r="6145" ht="15.75" customHeight="1">
      <c r="A6145" s="1" t="str">
        <f>IFERROR(__xludf.DUMMYFUNCTION("""COMPUTED_VALUE"""),"Maxamus J. Griffiths")</f>
        <v>Maxamus J. Griffiths</v>
      </c>
      <c r="B6145" s="1" t="str">
        <f>IFERROR(__xludf.DUMMYFUNCTION("""COMPUTED_VALUE"""),"MS")</f>
        <v>MS</v>
      </c>
    </row>
    <row r="6146" ht="15.75" customHeight="1">
      <c r="A6146" s="1" t="str">
        <f>IFERROR(__xludf.DUMMYFUNCTION("""COMPUTED_VALUE"""),"Maddox C. Immele")</f>
        <v>Maddox C. Immele</v>
      </c>
      <c r="B6146" s="1" t="str">
        <f>IFERROR(__xludf.DUMMYFUNCTION("""COMPUTED_VALUE"""),"MS")</f>
        <v>MS</v>
      </c>
    </row>
    <row r="6147" ht="15.75" customHeight="1">
      <c r="A6147" s="1" t="str">
        <f>IFERROR(__xludf.DUMMYFUNCTION("""COMPUTED_VALUE"""),"Brock W. Rotzien")</f>
        <v>Brock W. Rotzien</v>
      </c>
      <c r="B6147" s="1" t="str">
        <f>IFERROR(__xludf.DUMMYFUNCTION("""COMPUTED_VALUE"""),"MS")</f>
        <v>MS</v>
      </c>
    </row>
    <row r="6148" ht="15.75" customHeight="1">
      <c r="A6148" s="1" t="str">
        <f>IFERROR(__xludf.DUMMYFUNCTION("""COMPUTED_VALUE"""),"Mason S. Schlaht")</f>
        <v>Mason S. Schlaht</v>
      </c>
      <c r="B6148" s="1" t="str">
        <f>IFERROR(__xludf.DUMMYFUNCTION("""COMPUTED_VALUE"""),"MS")</f>
        <v>MS</v>
      </c>
    </row>
    <row r="6149" ht="15.75" customHeight="1">
      <c r="A6149" s="1" t="str">
        <f>IFERROR(__xludf.DUMMYFUNCTION("""COMPUTED_VALUE"""),"Ethan M. Shaw")</f>
        <v>Ethan M. Shaw</v>
      </c>
      <c r="B6149" s="1" t="str">
        <f>IFERROR(__xludf.DUMMYFUNCTION("""COMPUTED_VALUE"""),"MS")</f>
        <v>MS</v>
      </c>
    </row>
    <row r="6150" ht="15.75" customHeight="1">
      <c r="A6150" s="1" t="str">
        <f>IFERROR(__xludf.DUMMYFUNCTION("""COMPUTED_VALUE"""),"Jaxon G. Wakefield")</f>
        <v>Jaxon G. Wakefield</v>
      </c>
      <c r="B6150" s="1" t="str">
        <f>IFERROR(__xludf.DUMMYFUNCTION("""COMPUTED_VALUE"""),"MS")</f>
        <v>MS</v>
      </c>
    </row>
    <row r="6151" ht="15.75" customHeight="1">
      <c r="A6151" s="1" t="str">
        <f>IFERROR(__xludf.DUMMYFUNCTION("""COMPUTED_VALUE"""),"Bridge E. Anderson")</f>
        <v>Bridge E. Anderson</v>
      </c>
      <c r="B6151" s="1" t="str">
        <f>IFERROR(__xludf.DUMMYFUNCTION("""COMPUTED_VALUE"""),"MS")</f>
        <v>MS</v>
      </c>
    </row>
    <row r="6152" ht="15.75" customHeight="1">
      <c r="A6152" s="1" t="str">
        <f>IFERROR(__xludf.DUMMYFUNCTION("""COMPUTED_VALUE"""),"Travis e. Ash")</f>
        <v>Travis e. Ash</v>
      </c>
      <c r="B6152" s="1" t="str">
        <f>IFERROR(__xludf.DUMMYFUNCTION("""COMPUTED_VALUE"""),"MS")</f>
        <v>MS</v>
      </c>
    </row>
    <row r="6153" ht="15.75" customHeight="1">
      <c r="A6153" s="1" t="str">
        <f>IFERROR(__xludf.DUMMYFUNCTION("""COMPUTED_VALUE"""),"Stephen E. Azurdia")</f>
        <v>Stephen E. Azurdia</v>
      </c>
      <c r="B6153" s="1" t="str">
        <f>IFERROR(__xludf.DUMMYFUNCTION("""COMPUTED_VALUE"""),"MS")</f>
        <v>MS</v>
      </c>
    </row>
    <row r="6154" ht="15.75" customHeight="1">
      <c r="A6154" s="1" t="str">
        <f>IFERROR(__xludf.DUMMYFUNCTION("""COMPUTED_VALUE"""),"Allie G. Bennett")</f>
        <v>Allie G. Bennett</v>
      </c>
      <c r="B6154" s="1" t="str">
        <f>IFERROR(__xludf.DUMMYFUNCTION("""COMPUTED_VALUE"""),"MS")</f>
        <v>MS</v>
      </c>
    </row>
    <row r="6155" ht="15.75" customHeight="1">
      <c r="A6155" s="1" t="str">
        <f>IFERROR(__xludf.DUMMYFUNCTION("""COMPUTED_VALUE"""),"DeMario E. Bershell")</f>
        <v>DeMario E. Bershell</v>
      </c>
      <c r="B6155" s="1" t="str">
        <f>IFERROR(__xludf.DUMMYFUNCTION("""COMPUTED_VALUE"""),"MS")</f>
        <v>MS</v>
      </c>
    </row>
    <row r="6156" ht="15.75" customHeight="1">
      <c r="A6156" s="1" t="str">
        <f>IFERROR(__xludf.DUMMYFUNCTION("""COMPUTED_VALUE"""),"Stetson D. Best")</f>
        <v>Stetson D. Best</v>
      </c>
      <c r="B6156" s="1" t="str">
        <f>IFERROR(__xludf.DUMMYFUNCTION("""COMPUTED_VALUE"""),"MS")</f>
        <v>MS</v>
      </c>
    </row>
    <row r="6157" ht="15.75" customHeight="1">
      <c r="A6157" s="1" t="str">
        <f>IFERROR(__xludf.DUMMYFUNCTION("""COMPUTED_VALUE"""),"Mason R. Blackwood")</f>
        <v>Mason R. Blackwood</v>
      </c>
      <c r="B6157" s="1" t="str">
        <f>IFERROR(__xludf.DUMMYFUNCTION("""COMPUTED_VALUE"""),"MS")</f>
        <v>MS</v>
      </c>
    </row>
    <row r="6158" ht="15.75" customHeight="1">
      <c r="A6158" s="1" t="str">
        <f>IFERROR(__xludf.DUMMYFUNCTION("""COMPUTED_VALUE"""),"Raiden L. Brist")</f>
        <v>Raiden L. Brist</v>
      </c>
      <c r="B6158" s="1" t="str">
        <f>IFERROR(__xludf.DUMMYFUNCTION("""COMPUTED_VALUE"""),"MS")</f>
        <v>MS</v>
      </c>
    </row>
    <row r="6159" ht="15.75" customHeight="1">
      <c r="A6159" s="1" t="str">
        <f>IFERROR(__xludf.DUMMYFUNCTION("""COMPUTED_VALUE"""),"Natalie R. Burbank")</f>
        <v>Natalie R. Burbank</v>
      </c>
      <c r="B6159" s="1" t="str">
        <f>IFERROR(__xludf.DUMMYFUNCTION("""COMPUTED_VALUE"""),"MS")</f>
        <v>MS</v>
      </c>
    </row>
    <row r="6160" ht="15.75" customHeight="1">
      <c r="A6160" s="1" t="str">
        <f>IFERROR(__xludf.DUMMYFUNCTION("""COMPUTED_VALUE"""),"Kayden J. Burkenbine")</f>
        <v>Kayden J. Burkenbine</v>
      </c>
      <c r="B6160" s="1" t="str">
        <f>IFERROR(__xludf.DUMMYFUNCTION("""COMPUTED_VALUE"""),"MS")</f>
        <v>MS</v>
      </c>
    </row>
    <row r="6161" ht="15.75" customHeight="1">
      <c r="A6161" s="1" t="str">
        <f>IFERROR(__xludf.DUMMYFUNCTION("""COMPUTED_VALUE"""),"Edgar Carrillo Maximo")</f>
        <v>Edgar Carrillo Maximo</v>
      </c>
      <c r="B6161" s="1" t="str">
        <f>IFERROR(__xludf.DUMMYFUNCTION("""COMPUTED_VALUE"""),"MS")</f>
        <v>MS</v>
      </c>
    </row>
    <row r="6162" ht="15.75" customHeight="1">
      <c r="A6162" s="1" t="str">
        <f>IFERROR(__xludf.DUMMYFUNCTION("""COMPUTED_VALUE"""),"Masshia C. Crane")</f>
        <v>Masshia C. Crane</v>
      </c>
      <c r="B6162" s="1" t="str">
        <f>IFERROR(__xludf.DUMMYFUNCTION("""COMPUTED_VALUE"""),"MS")</f>
        <v>MS</v>
      </c>
    </row>
    <row r="6163" ht="15.75" customHeight="1">
      <c r="A6163" s="1" t="str">
        <f>IFERROR(__xludf.DUMMYFUNCTION("""COMPUTED_VALUE"""),"Logan B. Davis")</f>
        <v>Logan B. Davis</v>
      </c>
      <c r="B6163" s="1" t="str">
        <f>IFERROR(__xludf.DUMMYFUNCTION("""COMPUTED_VALUE"""),"MS")</f>
        <v>MS</v>
      </c>
    </row>
    <row r="6164" ht="15.75" customHeight="1">
      <c r="A6164" s="1" t="str">
        <f>IFERROR(__xludf.DUMMYFUNCTION("""COMPUTED_VALUE"""),"Paisley G. Dooley")</f>
        <v>Paisley G. Dooley</v>
      </c>
      <c r="B6164" s="1" t="str">
        <f>IFERROR(__xludf.DUMMYFUNCTION("""COMPUTED_VALUE"""),"MS")</f>
        <v>MS</v>
      </c>
    </row>
    <row r="6165" ht="15.75" customHeight="1">
      <c r="A6165" s="1" t="str">
        <f>IFERROR(__xludf.DUMMYFUNCTION("""COMPUTED_VALUE"""),"Jacob C. Flock")</f>
        <v>Jacob C. Flock</v>
      </c>
      <c r="B6165" s="1" t="str">
        <f>IFERROR(__xludf.DUMMYFUNCTION("""COMPUTED_VALUE"""),"MS")</f>
        <v>MS</v>
      </c>
    </row>
    <row r="6166" ht="15.75" customHeight="1">
      <c r="A6166" s="1" t="str">
        <f>IFERROR(__xludf.DUMMYFUNCTION("""COMPUTED_VALUE"""),"Max D. Gardner")</f>
        <v>Max D. Gardner</v>
      </c>
      <c r="B6166" s="1" t="str">
        <f>IFERROR(__xludf.DUMMYFUNCTION("""COMPUTED_VALUE"""),"MS")</f>
        <v>MS</v>
      </c>
    </row>
    <row r="6167" ht="15.75" customHeight="1">
      <c r="A6167" s="1" t="str">
        <f>IFERROR(__xludf.DUMMYFUNCTION("""COMPUTED_VALUE"""),"Marquese Graham")</f>
        <v>Marquese Graham</v>
      </c>
      <c r="B6167" s="1" t="str">
        <f>IFERROR(__xludf.DUMMYFUNCTION("""COMPUTED_VALUE"""),"MS")</f>
        <v>MS</v>
      </c>
    </row>
    <row r="6168" ht="15.75" customHeight="1">
      <c r="A6168" s="1" t="str">
        <f>IFERROR(__xludf.DUMMYFUNCTION("""COMPUTED_VALUE"""),"Hunter K. Houston")</f>
        <v>Hunter K. Houston</v>
      </c>
      <c r="B6168" s="1" t="str">
        <f>IFERROR(__xludf.DUMMYFUNCTION("""COMPUTED_VALUE"""),"MS")</f>
        <v>MS</v>
      </c>
    </row>
    <row r="6169" ht="15.75" customHeight="1">
      <c r="A6169" s="1" t="str">
        <f>IFERROR(__xludf.DUMMYFUNCTION("""COMPUTED_VALUE"""),"Cash M. Kahoe")</f>
        <v>Cash M. Kahoe</v>
      </c>
      <c r="B6169" s="1" t="str">
        <f>IFERROR(__xludf.DUMMYFUNCTION("""COMPUTED_VALUE"""),"MS")</f>
        <v>MS</v>
      </c>
    </row>
    <row r="6170" ht="15.75" customHeight="1">
      <c r="A6170" s="1" t="str">
        <f>IFERROR(__xludf.DUMMYFUNCTION("""COMPUTED_VALUE"""),"Hudson V. Logue")</f>
        <v>Hudson V. Logue</v>
      </c>
      <c r="B6170" s="1" t="str">
        <f>IFERROR(__xludf.DUMMYFUNCTION("""COMPUTED_VALUE"""),"MS")</f>
        <v>MS</v>
      </c>
    </row>
    <row r="6171" ht="15.75" customHeight="1">
      <c r="A6171" s="1" t="str">
        <f>IFERROR(__xludf.DUMMYFUNCTION("""COMPUTED_VALUE"""),"Marley Britt")</f>
        <v>Marley Britt</v>
      </c>
      <c r="B6171" s="1" t="str">
        <f>IFERROR(__xludf.DUMMYFUNCTION("""COMPUTED_VALUE"""),"MS")</f>
        <v>MS</v>
      </c>
    </row>
    <row r="6172" ht="15.75" customHeight="1">
      <c r="A6172" s="1" t="str">
        <f>IFERROR(__xludf.DUMMYFUNCTION("""COMPUTED_VALUE"""),"Azalea Mickley")</f>
        <v>Azalea Mickley</v>
      </c>
      <c r="B6172" s="1" t="str">
        <f>IFERROR(__xludf.DUMMYFUNCTION("""COMPUTED_VALUE"""),"MS")</f>
        <v>MS</v>
      </c>
    </row>
    <row r="6173" ht="15.75" customHeight="1">
      <c r="A6173" s="1" t="str">
        <f>IFERROR(__xludf.DUMMYFUNCTION("""COMPUTED_VALUE"""),"Royal L. Neuman")</f>
        <v>Royal L. Neuman</v>
      </c>
      <c r="B6173" s="1" t="str">
        <f>IFERROR(__xludf.DUMMYFUNCTION("""COMPUTED_VALUE"""),"MS")</f>
        <v>MS</v>
      </c>
    </row>
    <row r="6174" ht="15.75" customHeight="1">
      <c r="A6174" s="1" t="str">
        <f>IFERROR(__xludf.DUMMYFUNCTION("""COMPUTED_VALUE"""),"Kullen J. Nicholls")</f>
        <v>Kullen J. Nicholls</v>
      </c>
      <c r="B6174" s="1" t="str">
        <f>IFERROR(__xludf.DUMMYFUNCTION("""COMPUTED_VALUE"""),"MS")</f>
        <v>MS</v>
      </c>
    </row>
    <row r="6175" ht="15.75" customHeight="1">
      <c r="A6175" s="1" t="str">
        <f>IFERROR(__xludf.DUMMYFUNCTION("""COMPUTED_VALUE"""),"Zayden K. Paugh")</f>
        <v>Zayden K. Paugh</v>
      </c>
      <c r="B6175" s="1" t="str">
        <f>IFERROR(__xludf.DUMMYFUNCTION("""COMPUTED_VALUE"""),"MS")</f>
        <v>MS</v>
      </c>
    </row>
    <row r="6176" ht="15.75" customHeight="1">
      <c r="A6176" s="1" t="str">
        <f>IFERROR(__xludf.DUMMYFUNCTION("""COMPUTED_VALUE"""),"Dallas C. Pyburn Hamlin")</f>
        <v>Dallas C. Pyburn Hamlin</v>
      </c>
      <c r="B6176" s="1" t="str">
        <f>IFERROR(__xludf.DUMMYFUNCTION("""COMPUTED_VALUE"""),"MS")</f>
        <v>MS</v>
      </c>
    </row>
    <row r="6177" ht="15.75" customHeight="1">
      <c r="A6177" s="1" t="str">
        <f>IFERROR(__xludf.DUMMYFUNCTION("""COMPUTED_VALUE"""),"Lily L. Reid")</f>
        <v>Lily L. Reid</v>
      </c>
      <c r="B6177" s="1" t="str">
        <f>IFERROR(__xludf.DUMMYFUNCTION("""COMPUTED_VALUE"""),"MS")</f>
        <v>MS</v>
      </c>
    </row>
    <row r="6178" ht="15.75" customHeight="1">
      <c r="A6178" s="1" t="str">
        <f>IFERROR(__xludf.DUMMYFUNCTION("""COMPUTED_VALUE"""),"Frankie S. Russell")</f>
        <v>Frankie S. Russell</v>
      </c>
      <c r="B6178" s="1" t="str">
        <f>IFERROR(__xludf.DUMMYFUNCTION("""COMPUTED_VALUE"""),"MS")</f>
        <v>MS</v>
      </c>
    </row>
    <row r="6179" ht="15.75" customHeight="1">
      <c r="A6179" s="1" t="str">
        <f>IFERROR(__xludf.DUMMYFUNCTION("""COMPUTED_VALUE"""),"Geovanny M. Salazar")</f>
        <v>Geovanny M. Salazar</v>
      </c>
      <c r="B6179" s="1" t="str">
        <f>IFERROR(__xludf.DUMMYFUNCTION("""COMPUTED_VALUE"""),"MS")</f>
        <v>MS</v>
      </c>
    </row>
    <row r="6180" ht="15.75" customHeight="1">
      <c r="A6180" s="1" t="str">
        <f>IFERROR(__xludf.DUMMYFUNCTION("""COMPUTED_VALUE"""),"Isaac R. Schaffer")</f>
        <v>Isaac R. Schaffer</v>
      </c>
      <c r="B6180" s="1" t="str">
        <f>IFERROR(__xludf.DUMMYFUNCTION("""COMPUTED_VALUE"""),"MS")</f>
        <v>MS</v>
      </c>
    </row>
    <row r="6181" ht="15.75" customHeight="1">
      <c r="A6181" s="1" t="str">
        <f>IFERROR(__xludf.DUMMYFUNCTION("""COMPUTED_VALUE"""),"Blake T. Skinner")</f>
        <v>Blake T. Skinner</v>
      </c>
      <c r="B6181" s="1" t="str">
        <f>IFERROR(__xludf.DUMMYFUNCTION("""COMPUTED_VALUE"""),"MS")</f>
        <v>MS</v>
      </c>
    </row>
    <row r="6182" ht="15.75" customHeight="1">
      <c r="A6182" s="1" t="str">
        <f>IFERROR(__xludf.DUMMYFUNCTION("""COMPUTED_VALUE"""),"Caleb J. Slack")</f>
        <v>Caleb J. Slack</v>
      </c>
      <c r="B6182" s="1" t="str">
        <f>IFERROR(__xludf.DUMMYFUNCTION("""COMPUTED_VALUE"""),"MS")</f>
        <v>MS</v>
      </c>
    </row>
    <row r="6183" ht="15.75" customHeight="1">
      <c r="A6183" s="1" t="str">
        <f>IFERROR(__xludf.DUMMYFUNCTION("""COMPUTED_VALUE"""),"Mack R. Solso")</f>
        <v>Mack R. Solso</v>
      </c>
      <c r="B6183" s="1" t="str">
        <f>IFERROR(__xludf.DUMMYFUNCTION("""COMPUTED_VALUE"""),"MS")</f>
        <v>MS</v>
      </c>
    </row>
    <row r="6184" ht="15.75" customHeight="1">
      <c r="A6184" s="1" t="str">
        <f>IFERROR(__xludf.DUMMYFUNCTION("""COMPUTED_VALUE"""),"Opal J. Sorber")</f>
        <v>Opal J. Sorber</v>
      </c>
      <c r="B6184" s="1" t="str">
        <f>IFERROR(__xludf.DUMMYFUNCTION("""COMPUTED_VALUE"""),"MS")</f>
        <v>MS</v>
      </c>
    </row>
    <row r="6185" ht="15.75" customHeight="1">
      <c r="A6185" s="1" t="str">
        <f>IFERROR(__xludf.DUMMYFUNCTION("""COMPUTED_VALUE"""),"Liam J. Strunk")</f>
        <v>Liam J. Strunk</v>
      </c>
      <c r="B6185" s="1" t="str">
        <f>IFERROR(__xludf.DUMMYFUNCTION("""COMPUTED_VALUE"""),"MS")</f>
        <v>MS</v>
      </c>
    </row>
    <row r="6186" ht="15.75" customHeight="1">
      <c r="A6186" s="1" t="str">
        <f>IFERROR(__xludf.DUMMYFUNCTION("""COMPUTED_VALUE"""),"Yanilen Y. Tello Tello")</f>
        <v>Yanilen Y. Tello Tello</v>
      </c>
      <c r="B6186" s="1" t="str">
        <f>IFERROR(__xludf.DUMMYFUNCTION("""COMPUTED_VALUE"""),"MS")</f>
        <v>MS</v>
      </c>
    </row>
    <row r="6187" ht="15.75" customHeight="1">
      <c r="A6187" s="1" t="str">
        <f>IFERROR(__xludf.DUMMYFUNCTION("""COMPUTED_VALUE"""),"Gerard F. Velasco")</f>
        <v>Gerard F. Velasco</v>
      </c>
      <c r="B6187" s="1" t="str">
        <f>IFERROR(__xludf.DUMMYFUNCTION("""COMPUTED_VALUE"""),"MS")</f>
        <v>MS</v>
      </c>
    </row>
    <row r="6188" ht="15.75" customHeight="1">
      <c r="A6188" s="1" t="str">
        <f>IFERROR(__xludf.DUMMYFUNCTION("""COMPUTED_VALUE"""),"Koren S. Vidrine")</f>
        <v>Koren S. Vidrine</v>
      </c>
      <c r="B6188" s="1" t="str">
        <f>IFERROR(__xludf.DUMMYFUNCTION("""COMPUTED_VALUE"""),"MS")</f>
        <v>MS</v>
      </c>
    </row>
    <row r="6189" ht="15.75" customHeight="1">
      <c r="A6189" s="1" t="str">
        <f>IFERROR(__xludf.DUMMYFUNCTION("""COMPUTED_VALUE"""),"Stetson M. Weakly")</f>
        <v>Stetson M. Weakly</v>
      </c>
      <c r="B6189" s="1" t="str">
        <f>IFERROR(__xludf.DUMMYFUNCTION("""COMPUTED_VALUE"""),"MS")</f>
        <v>MS</v>
      </c>
    </row>
    <row r="6190" ht="15.75" customHeight="1">
      <c r="A6190" s="1" t="str">
        <f>IFERROR(__xludf.DUMMYFUNCTION("""COMPUTED_VALUE"""),"Blake M. Williams")</f>
        <v>Blake M. Williams</v>
      </c>
      <c r="B6190" s="1" t="str">
        <f>IFERROR(__xludf.DUMMYFUNCTION("""COMPUTED_VALUE"""),"MS")</f>
        <v>MS</v>
      </c>
    </row>
    <row r="6191" ht="15.75" customHeight="1">
      <c r="A6191" s="1" t="str">
        <f>IFERROR(__xludf.DUMMYFUNCTION("""COMPUTED_VALUE"""),"Connor M. Williams")</f>
        <v>Connor M. Williams</v>
      </c>
      <c r="B6191" s="1" t="str">
        <f>IFERROR(__xludf.DUMMYFUNCTION("""COMPUTED_VALUE"""),"MS")</f>
        <v>MS</v>
      </c>
    </row>
    <row r="6192" ht="15.75" customHeight="1">
      <c r="A6192" s="1" t="str">
        <f>IFERROR(__xludf.DUMMYFUNCTION("""COMPUTED_VALUE"""),"Jordan Baird")</f>
        <v>Jordan Baird</v>
      </c>
      <c r="B6192" s="1" t="str">
        <f>IFERROR(__xludf.DUMMYFUNCTION("""COMPUTED_VALUE"""),"MS")</f>
        <v>MS</v>
      </c>
    </row>
    <row r="6193" ht="15.75" customHeight="1">
      <c r="A6193" s="1" t="str">
        <f>IFERROR(__xludf.DUMMYFUNCTION("""COMPUTED_VALUE"""),"Hailey Blakely")</f>
        <v>Hailey Blakely</v>
      </c>
      <c r="B6193" s="1" t="str">
        <f>IFERROR(__xludf.DUMMYFUNCTION("""COMPUTED_VALUE"""),"MS")</f>
        <v>MS</v>
      </c>
    </row>
    <row r="6194" ht="15.75" customHeight="1">
      <c r="A6194" s="1" t="str">
        <f>IFERROR(__xludf.DUMMYFUNCTION("""COMPUTED_VALUE"""),"Elim Coe")</f>
        <v>Elim Coe</v>
      </c>
      <c r="B6194" s="1" t="str">
        <f>IFERROR(__xludf.DUMMYFUNCTION("""COMPUTED_VALUE"""),"MS")</f>
        <v>MS</v>
      </c>
    </row>
    <row r="6195" ht="15.75" customHeight="1">
      <c r="A6195" s="1" t="str">
        <f>IFERROR(__xludf.DUMMYFUNCTION("""COMPUTED_VALUE"""),"Mason Simon")</f>
        <v>Mason Simon</v>
      </c>
      <c r="B6195" s="1" t="str">
        <f>IFERROR(__xludf.DUMMYFUNCTION("""COMPUTED_VALUE"""),"MS")</f>
        <v>MS</v>
      </c>
    </row>
    <row r="6196" ht="15.75" customHeight="1">
      <c r="A6196" s="1" t="str">
        <f>IFERROR(__xludf.DUMMYFUNCTION("""COMPUTED_VALUE"""),"Jeremiah Aceves")</f>
        <v>Jeremiah Aceves</v>
      </c>
      <c r="B6196" s="1" t="str">
        <f>IFERROR(__xludf.DUMMYFUNCTION("""COMPUTED_VALUE"""),"MS")</f>
        <v>MS</v>
      </c>
    </row>
    <row r="6197" ht="15.75" customHeight="1">
      <c r="A6197" s="1" t="str">
        <f>IFERROR(__xludf.DUMMYFUNCTION("""COMPUTED_VALUE"""),"Rosalinda Aguilar Francisco")</f>
        <v>Rosalinda Aguilar Francisco</v>
      </c>
      <c r="B6197" s="1" t="str">
        <f>IFERROR(__xludf.DUMMYFUNCTION("""COMPUTED_VALUE"""),"MS")</f>
        <v>MS</v>
      </c>
    </row>
    <row r="6198" ht="15.75" customHeight="1">
      <c r="A6198" s="1" t="str">
        <f>IFERROR(__xludf.DUMMYFUNCTION("""COMPUTED_VALUE"""),"Zarahi I. Albarran Zacarias")</f>
        <v>Zarahi I. Albarran Zacarias</v>
      </c>
      <c r="B6198" s="1" t="str">
        <f>IFERROR(__xludf.DUMMYFUNCTION("""COMPUTED_VALUE"""),"MS")</f>
        <v>MS</v>
      </c>
    </row>
    <row r="6199" ht="15.75" customHeight="1">
      <c r="A6199" s="1" t="str">
        <f>IFERROR(__xludf.DUMMYFUNCTION("""COMPUTED_VALUE"""),"Silvano Doroteo Prado")</f>
        <v>Silvano Doroteo Prado</v>
      </c>
      <c r="B6199" s="1" t="str">
        <f>IFERROR(__xludf.DUMMYFUNCTION("""COMPUTED_VALUE"""),"MS")</f>
        <v>MS</v>
      </c>
    </row>
    <row r="6200" ht="15.75" customHeight="1">
      <c r="A6200" s="1" t="str">
        <f>IFERROR(__xludf.DUMMYFUNCTION("""COMPUTED_VALUE"""),"Lismeydi Gomez")</f>
        <v>Lismeydi Gomez</v>
      </c>
      <c r="B6200" s="1" t="str">
        <f>IFERROR(__xludf.DUMMYFUNCTION("""COMPUTED_VALUE"""),"MS")</f>
        <v>MS</v>
      </c>
    </row>
    <row r="6201" ht="15.75" customHeight="1">
      <c r="A6201" s="1" t="str">
        <f>IFERROR(__xludf.DUMMYFUNCTION("""COMPUTED_VALUE"""),"Lillyanna A. Gonzalez")</f>
        <v>Lillyanna A. Gonzalez</v>
      </c>
      <c r="B6201" s="1" t="str">
        <f>IFERROR(__xludf.DUMMYFUNCTION("""COMPUTED_VALUE"""),"MS")</f>
        <v>MS</v>
      </c>
    </row>
    <row r="6202" ht="15.75" customHeight="1">
      <c r="A6202" s="1" t="str">
        <f>IFERROR(__xludf.DUMMYFUNCTION("""COMPUTED_VALUE"""),"Eduardo R. Hernandez")</f>
        <v>Eduardo R. Hernandez</v>
      </c>
      <c r="B6202" s="1" t="str">
        <f>IFERROR(__xludf.DUMMYFUNCTION("""COMPUTED_VALUE"""),"MS")</f>
        <v>MS</v>
      </c>
    </row>
    <row r="6203" ht="15.75" customHeight="1">
      <c r="A6203" s="1" t="str">
        <f>IFERROR(__xludf.DUMMYFUNCTION("""COMPUTED_VALUE"""),"Anahi Lopez")</f>
        <v>Anahi Lopez</v>
      </c>
      <c r="B6203" s="1" t="str">
        <f>IFERROR(__xludf.DUMMYFUNCTION("""COMPUTED_VALUE"""),"MS")</f>
        <v>MS</v>
      </c>
    </row>
    <row r="6204" ht="15.75" customHeight="1">
      <c r="A6204" s="1" t="str">
        <f>IFERROR(__xludf.DUMMYFUNCTION("""COMPUTED_VALUE"""),"Lori Lopez Prado")</f>
        <v>Lori Lopez Prado</v>
      </c>
      <c r="B6204" s="1" t="str">
        <f>IFERROR(__xludf.DUMMYFUNCTION("""COMPUTED_VALUE"""),"MS")</f>
        <v>MS</v>
      </c>
    </row>
    <row r="6205" ht="15.75" customHeight="1">
      <c r="A6205" s="1" t="str">
        <f>IFERROR(__xludf.DUMMYFUNCTION("""COMPUTED_VALUE"""),"Nestor H. Martinez Valente")</f>
        <v>Nestor H. Martinez Valente</v>
      </c>
      <c r="B6205" s="1" t="str">
        <f>IFERROR(__xludf.DUMMYFUNCTION("""COMPUTED_VALUE"""),"MS")</f>
        <v>MS</v>
      </c>
    </row>
    <row r="6206" ht="15.75" customHeight="1">
      <c r="A6206" s="1" t="str">
        <f>IFERROR(__xludf.DUMMYFUNCTION("""COMPUTED_VALUE"""),"Micaela S. Miguel Pedro")</f>
        <v>Micaela S. Miguel Pedro</v>
      </c>
      <c r="B6206" s="1" t="str">
        <f>IFERROR(__xludf.DUMMYFUNCTION("""COMPUTED_VALUE"""),"MS")</f>
        <v>MS</v>
      </c>
    </row>
    <row r="6207" ht="15.75" customHeight="1">
      <c r="A6207" s="1" t="str">
        <f>IFERROR(__xludf.DUMMYFUNCTION("""COMPUTED_VALUE"""),"Yohan O. Paz Venancio")</f>
        <v>Yohan O. Paz Venancio</v>
      </c>
      <c r="B6207" s="1" t="str">
        <f>IFERROR(__xludf.DUMMYFUNCTION("""COMPUTED_VALUE"""),"MS")</f>
        <v>MS</v>
      </c>
    </row>
    <row r="6208" ht="15.75" customHeight="1">
      <c r="A6208" s="1" t="str">
        <f>IFERROR(__xludf.DUMMYFUNCTION("""COMPUTED_VALUE"""),"Pascual Pedro Juan")</f>
        <v>Pascual Pedro Juan</v>
      </c>
      <c r="B6208" s="1" t="str">
        <f>IFERROR(__xludf.DUMMYFUNCTION("""COMPUTED_VALUE"""),"MS")</f>
        <v>MS</v>
      </c>
    </row>
    <row r="6209" ht="15.75" customHeight="1">
      <c r="A6209" s="1" t="str">
        <f>IFERROR(__xludf.DUMMYFUNCTION("""COMPUTED_VALUE"""),"Kevin Rosales De Jesus")</f>
        <v>Kevin Rosales De Jesus</v>
      </c>
      <c r="B6209" s="1" t="str">
        <f>IFERROR(__xludf.DUMMYFUNCTION("""COMPUTED_VALUE"""),"MS")</f>
        <v>MS</v>
      </c>
    </row>
    <row r="6210" ht="15.75" customHeight="1">
      <c r="A6210" s="1" t="str">
        <f>IFERROR(__xludf.DUMMYFUNCTION("""COMPUTED_VALUE"""),"Brandon Santos Galindo")</f>
        <v>Brandon Santos Galindo</v>
      </c>
      <c r="B6210" s="1" t="str">
        <f>IFERROR(__xludf.DUMMYFUNCTION("""COMPUTED_VALUE"""),"MS")</f>
        <v>MS</v>
      </c>
    </row>
    <row r="6211" ht="15.75" customHeight="1">
      <c r="A6211" s="1" t="str">
        <f>IFERROR(__xludf.DUMMYFUNCTION("""COMPUTED_VALUE"""),"Andrew J. SIlbernagel-Acosta")</f>
        <v>Andrew J. SIlbernagel-Acosta</v>
      </c>
      <c r="B6211" s="1" t="str">
        <f>IFERROR(__xludf.DUMMYFUNCTION("""COMPUTED_VALUE"""),"MS")</f>
        <v>MS</v>
      </c>
    </row>
    <row r="6212" ht="15.75" customHeight="1">
      <c r="A6212" s="1" t="str">
        <f>IFERROR(__xludf.DUMMYFUNCTION("""COMPUTED_VALUE"""),"Juan O. Tello Doroteo")</f>
        <v>Juan O. Tello Doroteo</v>
      </c>
      <c r="B6212" s="1" t="str">
        <f>IFERROR(__xludf.DUMMYFUNCTION("""COMPUTED_VALUE"""),"MS")</f>
        <v>MS</v>
      </c>
    </row>
    <row r="6213" ht="15.75" customHeight="1">
      <c r="A6213" s="1" t="str">
        <f>IFERROR(__xludf.DUMMYFUNCTION("""COMPUTED_VALUE"""),"Gracee J. Amell")</f>
        <v>Gracee J. Amell</v>
      </c>
      <c r="B6213" s="1" t="str">
        <f>IFERROR(__xludf.DUMMYFUNCTION("""COMPUTED_VALUE"""),"MS")</f>
        <v>MS</v>
      </c>
    </row>
    <row r="6214" ht="15.75" customHeight="1">
      <c r="A6214" s="1" t="str">
        <f>IFERROR(__xludf.DUMMYFUNCTION("""COMPUTED_VALUE"""),"Matthew Berkovich")</f>
        <v>Matthew Berkovich</v>
      </c>
      <c r="B6214" s="1" t="str">
        <f>IFERROR(__xludf.DUMMYFUNCTION("""COMPUTED_VALUE"""),"MS")</f>
        <v>MS</v>
      </c>
    </row>
    <row r="6215" ht="15.75" customHeight="1">
      <c r="A6215" s="1" t="str">
        <f>IFERROR(__xludf.DUMMYFUNCTION("""COMPUTED_VALUE"""),"Juan Miguel Garrido Bribiesca")</f>
        <v>Juan Miguel Garrido Bribiesca</v>
      </c>
      <c r="B6215" s="1" t="str">
        <f>IFERROR(__xludf.DUMMYFUNCTION("""COMPUTED_VALUE"""),"MS")</f>
        <v>MS</v>
      </c>
    </row>
    <row r="6216" ht="15.75" customHeight="1">
      <c r="A6216" s="1" t="str">
        <f>IFERROR(__xludf.DUMMYFUNCTION("""COMPUTED_VALUE"""),"Emma Longanecker")</f>
        <v>Emma Longanecker</v>
      </c>
      <c r="B6216" s="1" t="str">
        <f>IFERROR(__xludf.DUMMYFUNCTION("""COMPUTED_VALUE"""),"MS")</f>
        <v>MS</v>
      </c>
    </row>
    <row r="6217" ht="15.75" customHeight="1">
      <c r="A6217" s="1" t="str">
        <f>IFERROR(__xludf.DUMMYFUNCTION("""COMPUTED_VALUE"""),"Sophia Lopez Lira")</f>
        <v>Sophia Lopez Lira</v>
      </c>
      <c r="B6217" s="1" t="str">
        <f>IFERROR(__xludf.DUMMYFUNCTION("""COMPUTED_VALUE"""),"MS")</f>
        <v>MS</v>
      </c>
    </row>
    <row r="6218" ht="15.75" customHeight="1">
      <c r="A6218" s="1" t="str">
        <f>IFERROR(__xludf.DUMMYFUNCTION("""COMPUTED_VALUE"""),"Jacob Niswander")</f>
        <v>Jacob Niswander</v>
      </c>
      <c r="B6218" s="1" t="str">
        <f>IFERROR(__xludf.DUMMYFUNCTION("""COMPUTED_VALUE"""),"MS")</f>
        <v>MS</v>
      </c>
    </row>
    <row r="6219" ht="15.75" customHeight="1">
      <c r="A6219" s="1" t="str">
        <f>IFERROR(__xludf.DUMMYFUNCTION("""COMPUTED_VALUE"""),"Kegan K. Preston")</f>
        <v>Kegan K. Preston</v>
      </c>
      <c r="B6219" s="1" t="str">
        <f>IFERROR(__xludf.DUMMYFUNCTION("""COMPUTED_VALUE"""),"MS")</f>
        <v>MS</v>
      </c>
    </row>
    <row r="6220" ht="15.75" customHeight="1">
      <c r="A6220" s="1" t="str">
        <f>IFERROR(__xludf.DUMMYFUNCTION("""COMPUTED_VALUE"""),"Laila Roach")</f>
        <v>Laila Roach</v>
      </c>
      <c r="B6220" s="1" t="str">
        <f>IFERROR(__xludf.DUMMYFUNCTION("""COMPUTED_VALUE"""),"MS")</f>
        <v>MS</v>
      </c>
    </row>
    <row r="6221" ht="15.75" customHeight="1">
      <c r="A6221" s="1" t="str">
        <f>IFERROR(__xludf.DUMMYFUNCTION("""COMPUTED_VALUE"""),"Gage Stetner")</f>
        <v>Gage Stetner</v>
      </c>
      <c r="B6221" s="1" t="str">
        <f>IFERROR(__xludf.DUMMYFUNCTION("""COMPUTED_VALUE"""),"MS")</f>
        <v>MS</v>
      </c>
    </row>
    <row r="6222" ht="15.75" customHeight="1">
      <c r="A6222" s="1" t="str">
        <f>IFERROR(__xludf.DUMMYFUNCTION("""COMPUTED_VALUE"""),"Jorge Y. Velarde Ramirez")</f>
        <v>Jorge Y. Velarde Ramirez</v>
      </c>
      <c r="B6222" s="1" t="str">
        <f>IFERROR(__xludf.DUMMYFUNCTION("""COMPUTED_VALUE"""),"MS")</f>
        <v>MS</v>
      </c>
    </row>
    <row r="6223" ht="15.75" customHeight="1">
      <c r="A6223" s="1" t="str">
        <f>IFERROR(__xludf.DUMMYFUNCTION("""COMPUTED_VALUE"""),"Waylen G. Earley")</f>
        <v>Waylen G. Earley</v>
      </c>
      <c r="B6223" s="1" t="str">
        <f>IFERROR(__xludf.DUMMYFUNCTION("""COMPUTED_VALUE"""),"MS")</f>
        <v>MS</v>
      </c>
    </row>
    <row r="6224" ht="15.75" customHeight="1">
      <c r="A6224" s="1" t="str">
        <f>IFERROR(__xludf.DUMMYFUNCTION("""COMPUTED_VALUE"""),"Jace M. Graber")</f>
        <v>Jace M. Graber</v>
      </c>
      <c r="B6224" s="1" t="str">
        <f>IFERROR(__xludf.DUMMYFUNCTION("""COMPUTED_VALUE"""),"MS")</f>
        <v>MS</v>
      </c>
    </row>
    <row r="6225" ht="15.75" customHeight="1">
      <c r="A6225" s="1" t="str">
        <f>IFERROR(__xludf.DUMMYFUNCTION("""COMPUTED_VALUE"""),"Amelia R. Green")</f>
        <v>Amelia R. Green</v>
      </c>
      <c r="B6225" s="1" t="str">
        <f>IFERROR(__xludf.DUMMYFUNCTION("""COMPUTED_VALUE"""),"MS")</f>
        <v>MS</v>
      </c>
    </row>
    <row r="6226" ht="15.75" customHeight="1">
      <c r="A6226" s="1" t="str">
        <f>IFERROR(__xludf.DUMMYFUNCTION("""COMPUTED_VALUE"""),"Jace C. Hahn")</f>
        <v>Jace C. Hahn</v>
      </c>
      <c r="B6226" s="1" t="str">
        <f>IFERROR(__xludf.DUMMYFUNCTION("""COMPUTED_VALUE"""),"MS")</f>
        <v>MS</v>
      </c>
    </row>
    <row r="6227" ht="15.75" customHeight="1">
      <c r="A6227" s="1" t="str">
        <f>IFERROR(__xludf.DUMMYFUNCTION("""COMPUTED_VALUE"""),"Hudson J. Henniger")</f>
        <v>Hudson J. Henniger</v>
      </c>
      <c r="B6227" s="1" t="str">
        <f>IFERROR(__xludf.DUMMYFUNCTION("""COMPUTED_VALUE"""),"MS")</f>
        <v>MS</v>
      </c>
    </row>
    <row r="6228" ht="15.75" customHeight="1">
      <c r="A6228" s="1" t="str">
        <f>IFERROR(__xludf.DUMMYFUNCTION("""COMPUTED_VALUE"""),"Aiden P. Johnston")</f>
        <v>Aiden P. Johnston</v>
      </c>
      <c r="B6228" s="1" t="str">
        <f>IFERROR(__xludf.DUMMYFUNCTION("""COMPUTED_VALUE"""),"MS")</f>
        <v>MS</v>
      </c>
    </row>
    <row r="6229" ht="15.75" customHeight="1">
      <c r="A6229" s="1" t="str">
        <f>IFERROR(__xludf.DUMMYFUNCTION("""COMPUTED_VALUE"""),"Eliot J. Jones")</f>
        <v>Eliot J. Jones</v>
      </c>
      <c r="B6229" s="1" t="str">
        <f>IFERROR(__xludf.DUMMYFUNCTION("""COMPUTED_VALUE"""),"MS")</f>
        <v>MS</v>
      </c>
    </row>
    <row r="6230" ht="15.75" customHeight="1">
      <c r="A6230" s="1" t="str">
        <f>IFERROR(__xludf.DUMMYFUNCTION("""COMPUTED_VALUE"""),"Carter R. Kemper")</f>
        <v>Carter R. Kemper</v>
      </c>
      <c r="B6230" s="1" t="str">
        <f>IFERROR(__xludf.DUMMYFUNCTION("""COMPUTED_VALUE"""),"MS")</f>
        <v>MS</v>
      </c>
    </row>
    <row r="6231" ht="15.75" customHeight="1">
      <c r="A6231" s="1" t="str">
        <f>IFERROR(__xludf.DUMMYFUNCTION("""COMPUTED_VALUE"""),"Greyson E. Lentz")</f>
        <v>Greyson E. Lentz</v>
      </c>
      <c r="B6231" s="1" t="str">
        <f>IFERROR(__xludf.DUMMYFUNCTION("""COMPUTED_VALUE"""),"MS")</f>
        <v>MS</v>
      </c>
    </row>
    <row r="6232" ht="15.75" customHeight="1">
      <c r="A6232" s="1" t="str">
        <f>IFERROR(__xludf.DUMMYFUNCTION("""COMPUTED_VALUE"""),"Keilan J. Morales-Smither")</f>
        <v>Keilan J. Morales-Smither</v>
      </c>
      <c r="B6232" s="1" t="str">
        <f>IFERROR(__xludf.DUMMYFUNCTION("""COMPUTED_VALUE"""),"MS")</f>
        <v>MS</v>
      </c>
    </row>
    <row r="6233" ht="15.75" customHeight="1">
      <c r="A6233" s="1" t="str">
        <f>IFERROR(__xludf.DUMMYFUNCTION("""COMPUTED_VALUE"""),"Jameson A. Rader")</f>
        <v>Jameson A. Rader</v>
      </c>
      <c r="B6233" s="1" t="str">
        <f>IFERROR(__xludf.DUMMYFUNCTION("""COMPUTED_VALUE"""),"MS")</f>
        <v>MS</v>
      </c>
    </row>
    <row r="6234" ht="15.75" customHeight="1">
      <c r="A6234" s="1" t="str">
        <f>IFERROR(__xludf.DUMMYFUNCTION("""COMPUTED_VALUE"""),"Carla V. Ramirez-Diaz")</f>
        <v>Carla V. Ramirez-Diaz</v>
      </c>
      <c r="B6234" s="1" t="str">
        <f>IFERROR(__xludf.DUMMYFUNCTION("""COMPUTED_VALUE"""),"MS")</f>
        <v>MS</v>
      </c>
    </row>
    <row r="6235" ht="15.75" customHeight="1">
      <c r="A6235" s="1" t="str">
        <f>IFERROR(__xludf.DUMMYFUNCTION("""COMPUTED_VALUE"""),"Sean A. Rhyne")</f>
        <v>Sean A. Rhyne</v>
      </c>
      <c r="B6235" s="1" t="str">
        <f>IFERROR(__xludf.DUMMYFUNCTION("""COMPUTED_VALUE"""),"MS")</f>
        <v>MS</v>
      </c>
    </row>
    <row r="6236" ht="15.75" customHeight="1">
      <c r="A6236" s="1" t="str">
        <f>IFERROR(__xludf.DUMMYFUNCTION("""COMPUTED_VALUE"""),"Isabella L. Rodriguez")</f>
        <v>Isabella L. Rodriguez</v>
      </c>
      <c r="B6236" s="1" t="str">
        <f>IFERROR(__xludf.DUMMYFUNCTION("""COMPUTED_VALUE"""),"MS")</f>
        <v>MS</v>
      </c>
    </row>
    <row r="6237" ht="15.75" customHeight="1">
      <c r="A6237" s="1" t="str">
        <f>IFERROR(__xludf.DUMMYFUNCTION("""COMPUTED_VALUE"""),"Daniel D. Rogers")</f>
        <v>Daniel D. Rogers</v>
      </c>
      <c r="B6237" s="1" t="str">
        <f>IFERROR(__xludf.DUMMYFUNCTION("""COMPUTED_VALUE"""),"MS")</f>
        <v>MS</v>
      </c>
    </row>
    <row r="6238" ht="15.75" customHeight="1">
      <c r="A6238" s="1" t="str">
        <f>IFERROR(__xludf.DUMMYFUNCTION("""COMPUTED_VALUE"""),"Spencer A. Tyler")</f>
        <v>Spencer A. Tyler</v>
      </c>
      <c r="B6238" s="1" t="str">
        <f>IFERROR(__xludf.DUMMYFUNCTION("""COMPUTED_VALUE"""),"MS")</f>
        <v>MS</v>
      </c>
    </row>
    <row r="6239" ht="15.75" customHeight="1">
      <c r="A6239" s="1" t="str">
        <f>IFERROR(__xludf.DUMMYFUNCTION("""COMPUTED_VALUE"""),"Lucas A. Ulery")</f>
        <v>Lucas A. Ulery</v>
      </c>
      <c r="B6239" s="1" t="str">
        <f>IFERROR(__xludf.DUMMYFUNCTION("""COMPUTED_VALUE"""),"MS")</f>
        <v>MS</v>
      </c>
    </row>
    <row r="6240" ht="15.75" customHeight="1">
      <c r="A6240" s="1" t="str">
        <f>IFERROR(__xludf.DUMMYFUNCTION("""COMPUTED_VALUE"""),"Paige L. Winsor")</f>
        <v>Paige L. Winsor</v>
      </c>
      <c r="B6240" s="1" t="str">
        <f>IFERROR(__xludf.DUMMYFUNCTION("""COMPUTED_VALUE"""),"MS")</f>
        <v>MS</v>
      </c>
    </row>
    <row r="6241" ht="15.75" customHeight="1">
      <c r="A6241" s="1" t="str">
        <f>IFERROR(__xludf.DUMMYFUNCTION("""COMPUTED_VALUE"""),"Owen D. Yow")</f>
        <v>Owen D. Yow</v>
      </c>
      <c r="B6241" s="1" t="str">
        <f>IFERROR(__xludf.DUMMYFUNCTION("""COMPUTED_VALUE"""),"MS")</f>
        <v>MS</v>
      </c>
    </row>
    <row r="6242" ht="15.75" customHeight="1">
      <c r="A6242" s="1" t="str">
        <f>IFERROR(__xludf.DUMMYFUNCTION("""COMPUTED_VALUE"""),"Cody N. Hess")</f>
        <v>Cody N. Hess</v>
      </c>
      <c r="B6242" s="1" t="str">
        <f>IFERROR(__xludf.DUMMYFUNCTION("""COMPUTED_VALUE"""),"MS")</f>
        <v>MS</v>
      </c>
    </row>
    <row r="6243" ht="15.75" customHeight="1">
      <c r="A6243" s="1" t="str">
        <f>IFERROR(__xludf.DUMMYFUNCTION("""COMPUTED_VALUE"""),"Orin A. MacIsaac")</f>
        <v>Orin A. MacIsaac</v>
      </c>
      <c r="B6243" s="1" t="str">
        <f>IFERROR(__xludf.DUMMYFUNCTION("""COMPUTED_VALUE"""),"MS")</f>
        <v>MS</v>
      </c>
    </row>
    <row r="6244" ht="15.75" customHeight="1">
      <c r="A6244" s="1" t="str">
        <f>IFERROR(__xludf.DUMMYFUNCTION("""COMPUTED_VALUE"""),"Robeen Bessed")</f>
        <v>Robeen Bessed</v>
      </c>
      <c r="B6244" s="1" t="str">
        <f>IFERROR(__xludf.DUMMYFUNCTION("""COMPUTED_VALUE"""),"MS")</f>
        <v>MS</v>
      </c>
    </row>
    <row r="6245" ht="15.75" customHeight="1">
      <c r="A6245" s="1" t="str">
        <f>IFERROR(__xludf.DUMMYFUNCTION("""COMPUTED_VALUE"""),"Kinzley K. Brown")</f>
        <v>Kinzley K. Brown</v>
      </c>
      <c r="B6245" s="1" t="str">
        <f>IFERROR(__xludf.DUMMYFUNCTION("""COMPUTED_VALUE"""),"MS")</f>
        <v>MS</v>
      </c>
    </row>
    <row r="6246" ht="15.75" customHeight="1">
      <c r="A6246" s="1" t="str">
        <f>IFERROR(__xludf.DUMMYFUNCTION("""COMPUTED_VALUE"""),"Xander L. Davidson")</f>
        <v>Xander L. Davidson</v>
      </c>
      <c r="B6246" s="1" t="str">
        <f>IFERROR(__xludf.DUMMYFUNCTION("""COMPUTED_VALUE"""),"MS")</f>
        <v>MS</v>
      </c>
    </row>
    <row r="6247" ht="15.75" customHeight="1">
      <c r="A6247" s="1" t="str">
        <f>IFERROR(__xludf.DUMMYFUNCTION("""COMPUTED_VALUE"""),"Lyllian M. Hoygaard")</f>
        <v>Lyllian M. Hoygaard</v>
      </c>
      <c r="B6247" s="1" t="str">
        <f>IFERROR(__xludf.DUMMYFUNCTION("""COMPUTED_VALUE"""),"MS")</f>
        <v>MS</v>
      </c>
    </row>
    <row r="6248" ht="15.75" customHeight="1">
      <c r="A6248" s="1" t="str">
        <f>IFERROR(__xludf.DUMMYFUNCTION("""COMPUTED_VALUE"""),"Stetson P. LeMasters")</f>
        <v>Stetson P. LeMasters</v>
      </c>
      <c r="B6248" s="1" t="str">
        <f>IFERROR(__xludf.DUMMYFUNCTION("""COMPUTED_VALUE"""),"MS")</f>
        <v>MS</v>
      </c>
    </row>
    <row r="6249" ht="15.75" customHeight="1">
      <c r="A6249" s="1" t="str">
        <f>IFERROR(__xludf.DUMMYFUNCTION("""COMPUTED_VALUE"""),"Caty A. Miguel Pedro")</f>
        <v>Caty A. Miguel Pedro</v>
      </c>
      <c r="B6249" s="1" t="str">
        <f>IFERROR(__xludf.DUMMYFUNCTION("""COMPUTED_VALUE"""),"MS")</f>
        <v>MS</v>
      </c>
    </row>
    <row r="6250" ht="15.75" customHeight="1">
      <c r="A6250" s="1" t="str">
        <f>IFERROR(__xludf.DUMMYFUNCTION("""COMPUTED_VALUE"""),"Eva I. Parker")</f>
        <v>Eva I. Parker</v>
      </c>
      <c r="B6250" s="1" t="str">
        <f>IFERROR(__xludf.DUMMYFUNCTION("""COMPUTED_VALUE"""),"MS")</f>
        <v>MS</v>
      </c>
    </row>
    <row r="6251" ht="15.75" customHeight="1">
      <c r="A6251" s="1" t="str">
        <f>IFERROR(__xludf.DUMMYFUNCTION("""COMPUTED_VALUE"""),"Sadie K. Pedersen")</f>
        <v>Sadie K. Pedersen</v>
      </c>
      <c r="B6251" s="1" t="str">
        <f>IFERROR(__xludf.DUMMYFUNCTION("""COMPUTED_VALUE"""),"MS")</f>
        <v>MS</v>
      </c>
    </row>
    <row r="6252" ht="15.75" customHeight="1">
      <c r="A6252" s="1" t="str">
        <f>IFERROR(__xludf.DUMMYFUNCTION("""COMPUTED_VALUE"""),"Xavier R. Veith")</f>
        <v>Xavier R. Veith</v>
      </c>
      <c r="B6252" s="1" t="str">
        <f>IFERROR(__xludf.DUMMYFUNCTION("""COMPUTED_VALUE"""),"MS")</f>
        <v>MS</v>
      </c>
    </row>
    <row r="6253" ht="15.75" customHeight="1">
      <c r="A6253" s="1" t="str">
        <f>IFERROR(__xludf.DUMMYFUNCTION("""COMPUTED_VALUE"""),"Aubree M. Will")</f>
        <v>Aubree M. Will</v>
      </c>
      <c r="B6253" s="1" t="str">
        <f>IFERROR(__xludf.DUMMYFUNCTION("""COMPUTED_VALUE"""),"MS")</f>
        <v>MS</v>
      </c>
    </row>
    <row r="6254" ht="15.75" customHeight="1">
      <c r="A6254" s="1" t="str">
        <f>IFERROR(__xludf.DUMMYFUNCTION("""COMPUTED_VALUE"""),"Dakota K. Willman")</f>
        <v>Dakota K. Willman</v>
      </c>
      <c r="B6254" s="1" t="str">
        <f>IFERROR(__xludf.DUMMYFUNCTION("""COMPUTED_VALUE"""),"MS")</f>
        <v>MS</v>
      </c>
    </row>
    <row r="6255" ht="15.75" customHeight="1">
      <c r="A6255" s="1" t="str">
        <f>IFERROR(__xludf.DUMMYFUNCTION("""COMPUTED_VALUE"""),"Kai A. York")</f>
        <v>Kai A. York</v>
      </c>
      <c r="B6255" s="1" t="str">
        <f>IFERROR(__xludf.DUMMYFUNCTION("""COMPUTED_VALUE"""),"MS")</f>
        <v>MS</v>
      </c>
    </row>
    <row r="6256" ht="15.75" customHeight="1">
      <c r="A6256" s="1" t="str">
        <f>IFERROR(__xludf.DUMMYFUNCTION("""COMPUTED_VALUE"""),"Chloe L. Germann")</f>
        <v>Chloe L. Germann</v>
      </c>
      <c r="B6256" s="1" t="str">
        <f>IFERROR(__xludf.DUMMYFUNCTION("""COMPUTED_VALUE"""),"MS")</f>
        <v>MS</v>
      </c>
    </row>
    <row r="6257" ht="15.75" customHeight="1">
      <c r="A6257" s="1" t="str">
        <f>IFERROR(__xludf.DUMMYFUNCTION("""COMPUTED_VALUE"""),"Camden C. Richards")</f>
        <v>Camden C. Richards</v>
      </c>
      <c r="B6257" s="1" t="str">
        <f>IFERROR(__xludf.DUMMYFUNCTION("""COMPUTED_VALUE"""),"MS")</f>
        <v>MS</v>
      </c>
    </row>
    <row r="6258" ht="15.75" customHeight="1">
      <c r="A6258" s="1" t="str">
        <f>IFERROR(__xludf.DUMMYFUNCTION("""COMPUTED_VALUE"""),"Jasiah Adams")</f>
        <v>Jasiah Adams</v>
      </c>
      <c r="B6258" s="1" t="str">
        <f>IFERROR(__xludf.DUMMYFUNCTION("""COMPUTED_VALUE"""),"L1")</f>
        <v>L1</v>
      </c>
    </row>
    <row r="6259" ht="15.75" customHeight="1">
      <c r="A6259" s="1" t="str">
        <f>IFERROR(__xludf.DUMMYFUNCTION("""COMPUTED_VALUE"""),"Benjamin Aldrich")</f>
        <v>Benjamin Aldrich</v>
      </c>
      <c r="B6259" s="1" t="str">
        <f>IFERROR(__xludf.DUMMYFUNCTION("""COMPUTED_VALUE"""),"L1")</f>
        <v>L1</v>
      </c>
    </row>
    <row r="6260" ht="15.75" customHeight="1">
      <c r="A6260" s="1" t="str">
        <f>IFERROR(__xludf.DUMMYFUNCTION("""COMPUTED_VALUE"""),"Aerin Ashmore")</f>
        <v>Aerin Ashmore</v>
      </c>
      <c r="B6260" s="1" t="str">
        <f>IFERROR(__xludf.DUMMYFUNCTION("""COMPUTED_VALUE"""),"L1")</f>
        <v>L1</v>
      </c>
    </row>
    <row r="6261" ht="15.75" customHeight="1">
      <c r="A6261" s="1" t="str">
        <f>IFERROR(__xludf.DUMMYFUNCTION("""COMPUTED_VALUE"""),"Chaz Banks")</f>
        <v>Chaz Banks</v>
      </c>
      <c r="B6261" s="1" t="str">
        <f>IFERROR(__xludf.DUMMYFUNCTION("""COMPUTED_VALUE"""),"L1")</f>
        <v>L1</v>
      </c>
    </row>
    <row r="6262" ht="15.75" customHeight="1">
      <c r="A6262" s="1" t="str">
        <f>IFERROR(__xludf.DUMMYFUNCTION("""COMPUTED_VALUE"""),"Stella Berg")</f>
        <v>Stella Berg</v>
      </c>
      <c r="B6262" s="1" t="str">
        <f>IFERROR(__xludf.DUMMYFUNCTION("""COMPUTED_VALUE"""),"L1")</f>
        <v>L1</v>
      </c>
    </row>
    <row r="6263" ht="15.75" customHeight="1">
      <c r="A6263" s="1" t="str">
        <f>IFERROR(__xludf.DUMMYFUNCTION("""COMPUTED_VALUE"""),"J'Den Boaz-Chapa")</f>
        <v>J'Den Boaz-Chapa</v>
      </c>
      <c r="B6263" s="1" t="str">
        <f>IFERROR(__xludf.DUMMYFUNCTION("""COMPUTED_VALUE"""),"L1")</f>
        <v>L1</v>
      </c>
    </row>
    <row r="6264" ht="15.75" customHeight="1">
      <c r="A6264" s="1" t="str">
        <f>IFERROR(__xludf.DUMMYFUNCTION("""COMPUTED_VALUE"""),"Takumi Breidenbach")</f>
        <v>Takumi Breidenbach</v>
      </c>
      <c r="B6264" s="1" t="str">
        <f>IFERROR(__xludf.DUMMYFUNCTION("""COMPUTED_VALUE"""),"L1")</f>
        <v>L1</v>
      </c>
    </row>
    <row r="6265" ht="15.75" customHeight="1">
      <c r="A6265" s="1" t="str">
        <f>IFERROR(__xludf.DUMMYFUNCTION("""COMPUTED_VALUE"""),"Mia Corrales")</f>
        <v>Mia Corrales</v>
      </c>
      <c r="B6265" s="1" t="str">
        <f>IFERROR(__xludf.DUMMYFUNCTION("""COMPUTED_VALUE"""),"L1")</f>
        <v>L1</v>
      </c>
    </row>
    <row r="6266" ht="15.75" customHeight="1">
      <c r="A6266" s="1" t="str">
        <f>IFERROR(__xludf.DUMMYFUNCTION("""COMPUTED_VALUE"""),"Robert Cubic")</f>
        <v>Robert Cubic</v>
      </c>
      <c r="B6266" s="1" t="str">
        <f>IFERROR(__xludf.DUMMYFUNCTION("""COMPUTED_VALUE"""),"L1")</f>
        <v>L1</v>
      </c>
    </row>
    <row r="6267" ht="15.75" customHeight="1">
      <c r="A6267" s="1" t="str">
        <f>IFERROR(__xludf.DUMMYFUNCTION("""COMPUTED_VALUE"""),"La'lanette Angel Dickersims")</f>
        <v>La'lanette Angel Dickersims</v>
      </c>
      <c r="B6267" s="1" t="str">
        <f>IFERROR(__xludf.DUMMYFUNCTION("""COMPUTED_VALUE"""),"L1")</f>
        <v>L1</v>
      </c>
    </row>
    <row r="6268" ht="15.75" customHeight="1">
      <c r="A6268" s="1" t="str">
        <f>IFERROR(__xludf.DUMMYFUNCTION("""COMPUTED_VALUE"""),"Noaha Donovan")</f>
        <v>Noaha Donovan</v>
      </c>
      <c r="B6268" s="1" t="str">
        <f>IFERROR(__xludf.DUMMYFUNCTION("""COMPUTED_VALUE"""),"L1")</f>
        <v>L1</v>
      </c>
    </row>
    <row r="6269" ht="15.75" customHeight="1">
      <c r="A6269" s="1" t="str">
        <f>IFERROR(__xludf.DUMMYFUNCTION("""COMPUTED_VALUE"""),"Maggie Favro")</f>
        <v>Maggie Favro</v>
      </c>
      <c r="B6269" s="1" t="str">
        <f>IFERROR(__xludf.DUMMYFUNCTION("""COMPUTED_VALUE"""),"L1")</f>
        <v>L1</v>
      </c>
    </row>
    <row r="6270" ht="15.75" customHeight="1">
      <c r="A6270" s="1" t="str">
        <f>IFERROR(__xludf.DUMMYFUNCTION("""COMPUTED_VALUE"""),"Tegan Ferguson")</f>
        <v>Tegan Ferguson</v>
      </c>
      <c r="B6270" s="1" t="str">
        <f>IFERROR(__xludf.DUMMYFUNCTION("""COMPUTED_VALUE"""),"L1")</f>
        <v>L1</v>
      </c>
    </row>
    <row r="6271" ht="15.75" customHeight="1">
      <c r="A6271" s="1" t="str">
        <f>IFERROR(__xludf.DUMMYFUNCTION("""COMPUTED_VALUE"""),"Jamie Flowers")</f>
        <v>Jamie Flowers</v>
      </c>
      <c r="B6271" s="1" t="str">
        <f>IFERROR(__xludf.DUMMYFUNCTION("""COMPUTED_VALUE"""),"L1")</f>
        <v>L1</v>
      </c>
    </row>
    <row r="6272" ht="15.75" customHeight="1">
      <c r="A6272" s="1" t="str">
        <f>IFERROR(__xludf.DUMMYFUNCTION("""COMPUTED_VALUE"""),"Alejandro Gallegos Marin")</f>
        <v>Alejandro Gallegos Marin</v>
      </c>
      <c r="B6272" s="1" t="str">
        <f>IFERROR(__xludf.DUMMYFUNCTION("""COMPUTED_VALUE"""),"L1")</f>
        <v>L1</v>
      </c>
    </row>
    <row r="6273" ht="15.75" customHeight="1">
      <c r="A6273" s="1" t="str">
        <f>IFERROR(__xludf.DUMMYFUNCTION("""COMPUTED_VALUE"""),"Samantha Galleran")</f>
        <v>Samantha Galleran</v>
      </c>
      <c r="B6273" s="1" t="str">
        <f>IFERROR(__xludf.DUMMYFUNCTION("""COMPUTED_VALUE"""),"L1")</f>
        <v>L1</v>
      </c>
    </row>
    <row r="6274" ht="15.75" customHeight="1">
      <c r="A6274" s="1" t="str">
        <f>IFERROR(__xludf.DUMMYFUNCTION("""COMPUTED_VALUE"""),"Fabian Garcia Von Steinberg")</f>
        <v>Fabian Garcia Von Steinberg</v>
      </c>
      <c r="B6274" s="1" t="str">
        <f>IFERROR(__xludf.DUMMYFUNCTION("""COMPUTED_VALUE"""),"L1")</f>
        <v>L1</v>
      </c>
    </row>
    <row r="6275" ht="15.75" customHeight="1">
      <c r="A6275" s="1" t="str">
        <f>IFERROR(__xludf.DUMMYFUNCTION("""COMPUTED_VALUE"""),"Camille Garrison")</f>
        <v>Camille Garrison</v>
      </c>
      <c r="B6275" s="1" t="str">
        <f>IFERROR(__xludf.DUMMYFUNCTION("""COMPUTED_VALUE"""),"L1")</f>
        <v>L1</v>
      </c>
    </row>
    <row r="6276" ht="15.75" customHeight="1">
      <c r="A6276" s="1" t="str">
        <f>IFERROR(__xludf.DUMMYFUNCTION("""COMPUTED_VALUE"""),"Octavia Goetz")</f>
        <v>Octavia Goetz</v>
      </c>
      <c r="B6276" s="1" t="str">
        <f>IFERROR(__xludf.DUMMYFUNCTION("""COMPUTED_VALUE"""),"L1")</f>
        <v>L1</v>
      </c>
    </row>
    <row r="6277" ht="15.75" customHeight="1">
      <c r="A6277" s="1" t="str">
        <f>IFERROR(__xludf.DUMMYFUNCTION("""COMPUTED_VALUE"""),"Reid Hadduck")</f>
        <v>Reid Hadduck</v>
      </c>
      <c r="B6277" s="1" t="str">
        <f>IFERROR(__xludf.DUMMYFUNCTION("""COMPUTED_VALUE"""),"L1")</f>
        <v>L1</v>
      </c>
    </row>
    <row r="6278" ht="15.75" customHeight="1">
      <c r="A6278" s="1" t="str">
        <f>IFERROR(__xludf.DUMMYFUNCTION("""COMPUTED_VALUE"""),"John Haggstrom")</f>
        <v>John Haggstrom</v>
      </c>
      <c r="B6278" s="1" t="str">
        <f>IFERROR(__xludf.DUMMYFUNCTION("""COMPUTED_VALUE"""),"L1")</f>
        <v>L1</v>
      </c>
    </row>
    <row r="6279" ht="15.75" customHeight="1">
      <c r="A6279" s="1" t="str">
        <f>IFERROR(__xludf.DUMMYFUNCTION("""COMPUTED_VALUE"""),"Ellawen Hedge")</f>
        <v>Ellawen Hedge</v>
      </c>
      <c r="B6279" s="1" t="str">
        <f>IFERROR(__xludf.DUMMYFUNCTION("""COMPUTED_VALUE"""),"L1")</f>
        <v>L1</v>
      </c>
    </row>
    <row r="6280" ht="15.75" customHeight="1">
      <c r="A6280" s="1" t="str">
        <f>IFERROR(__xludf.DUMMYFUNCTION("""COMPUTED_VALUE"""),"Rayden Hood")</f>
        <v>Rayden Hood</v>
      </c>
      <c r="B6280" s="1" t="str">
        <f>IFERROR(__xludf.DUMMYFUNCTION("""COMPUTED_VALUE"""),"L1")</f>
        <v>L1</v>
      </c>
    </row>
    <row r="6281" ht="15.75" customHeight="1">
      <c r="A6281" s="1" t="str">
        <f>IFERROR(__xludf.DUMMYFUNCTION("""COMPUTED_VALUE"""),"Levi Hoover")</f>
        <v>Levi Hoover</v>
      </c>
      <c r="B6281" s="1" t="str">
        <f>IFERROR(__xludf.DUMMYFUNCTION("""COMPUTED_VALUE"""),"L1")</f>
        <v>L1</v>
      </c>
    </row>
    <row r="6282" ht="15.75" customHeight="1">
      <c r="A6282" s="1" t="str">
        <f>IFERROR(__xludf.DUMMYFUNCTION("""COMPUTED_VALUE"""),"Lylleahna Hoskins")</f>
        <v>Lylleahna Hoskins</v>
      </c>
      <c r="B6282" s="1" t="str">
        <f>IFERROR(__xludf.DUMMYFUNCTION("""COMPUTED_VALUE"""),"L1")</f>
        <v>L1</v>
      </c>
    </row>
    <row r="6283" ht="15.75" customHeight="1">
      <c r="A6283" s="1" t="str">
        <f>IFERROR(__xludf.DUMMYFUNCTION("""COMPUTED_VALUE"""),"Kanyon Isaak")</f>
        <v>Kanyon Isaak</v>
      </c>
      <c r="B6283" s="1" t="str">
        <f>IFERROR(__xludf.DUMMYFUNCTION("""COMPUTED_VALUE"""),"L1")</f>
        <v>L1</v>
      </c>
    </row>
    <row r="6284" ht="15.75" customHeight="1">
      <c r="A6284" s="1" t="str">
        <f>IFERROR(__xludf.DUMMYFUNCTION("""COMPUTED_VALUE"""),"Ronald Jimenez")</f>
        <v>Ronald Jimenez</v>
      </c>
      <c r="B6284" s="1" t="str">
        <f>IFERROR(__xludf.DUMMYFUNCTION("""COMPUTED_VALUE"""),"L1")</f>
        <v>L1</v>
      </c>
    </row>
    <row r="6285" ht="15.75" customHeight="1">
      <c r="A6285" s="1" t="str">
        <f>IFERROR(__xludf.DUMMYFUNCTION("""COMPUTED_VALUE"""),"Scarlett Juden")</f>
        <v>Scarlett Juden</v>
      </c>
      <c r="B6285" s="1" t="str">
        <f>IFERROR(__xludf.DUMMYFUNCTION("""COMPUTED_VALUE"""),"L1")</f>
        <v>L1</v>
      </c>
    </row>
    <row r="6286" ht="15.75" customHeight="1">
      <c r="A6286" s="1" t="str">
        <f>IFERROR(__xludf.DUMMYFUNCTION("""COMPUTED_VALUE"""),"Xavier Kennedy")</f>
        <v>Xavier Kennedy</v>
      </c>
      <c r="B6286" s="1" t="str">
        <f>IFERROR(__xludf.DUMMYFUNCTION("""COMPUTED_VALUE"""),"L1")</f>
        <v>L1</v>
      </c>
    </row>
    <row r="6287" ht="15.75" customHeight="1">
      <c r="A6287" s="1" t="str">
        <f>IFERROR(__xludf.DUMMYFUNCTION("""COMPUTED_VALUE"""),"Benjamin Lescanec")</f>
        <v>Benjamin Lescanec</v>
      </c>
      <c r="B6287" s="1" t="str">
        <f>IFERROR(__xludf.DUMMYFUNCTION("""COMPUTED_VALUE"""),"L1")</f>
        <v>L1</v>
      </c>
    </row>
    <row r="6288" ht="15.75" customHeight="1">
      <c r="A6288" s="1" t="str">
        <f>IFERROR(__xludf.DUMMYFUNCTION("""COMPUTED_VALUE"""),"Nora Mckinney")</f>
        <v>Nora Mckinney</v>
      </c>
      <c r="B6288" s="1" t="str">
        <f>IFERROR(__xludf.DUMMYFUNCTION("""COMPUTED_VALUE"""),"L1")</f>
        <v>L1</v>
      </c>
    </row>
    <row r="6289" ht="15.75" customHeight="1">
      <c r="A6289" s="1" t="str">
        <f>IFERROR(__xludf.DUMMYFUNCTION("""COMPUTED_VALUE"""),"Mateo Mendez")</f>
        <v>Mateo Mendez</v>
      </c>
      <c r="B6289" s="1" t="str">
        <f>IFERROR(__xludf.DUMMYFUNCTION("""COMPUTED_VALUE"""),"L1")</f>
        <v>L1</v>
      </c>
    </row>
    <row r="6290" ht="15.75" customHeight="1">
      <c r="A6290" s="1" t="str">
        <f>IFERROR(__xludf.DUMMYFUNCTION("""COMPUTED_VALUE"""),"Everett Miller")</f>
        <v>Everett Miller</v>
      </c>
      <c r="B6290" s="1" t="str">
        <f>IFERROR(__xludf.DUMMYFUNCTION("""COMPUTED_VALUE"""),"L1")</f>
        <v>L1</v>
      </c>
    </row>
    <row r="6291" ht="15.75" customHeight="1">
      <c r="A6291" s="1" t="str">
        <f>IFERROR(__xludf.DUMMYFUNCTION("""COMPUTED_VALUE"""),"Oliver Nelson")</f>
        <v>Oliver Nelson</v>
      </c>
      <c r="B6291" s="1" t="str">
        <f>IFERROR(__xludf.DUMMYFUNCTION("""COMPUTED_VALUE"""),"L1")</f>
        <v>L1</v>
      </c>
    </row>
    <row r="6292" ht="15.75" customHeight="1">
      <c r="A6292" s="1" t="str">
        <f>IFERROR(__xludf.DUMMYFUNCTION("""COMPUTED_VALUE"""),"Marley Niiranen")</f>
        <v>Marley Niiranen</v>
      </c>
      <c r="B6292" s="1" t="str">
        <f>IFERROR(__xludf.DUMMYFUNCTION("""COMPUTED_VALUE"""),"L1")</f>
        <v>L1</v>
      </c>
    </row>
    <row r="6293" ht="15.75" customHeight="1">
      <c r="A6293" s="1" t="str">
        <f>IFERROR(__xludf.DUMMYFUNCTION("""COMPUTED_VALUE"""),"Scarlett Norvald")</f>
        <v>Scarlett Norvald</v>
      </c>
      <c r="B6293" s="1" t="str">
        <f>IFERROR(__xludf.DUMMYFUNCTION("""COMPUTED_VALUE"""),"L1")</f>
        <v>L1</v>
      </c>
    </row>
    <row r="6294" ht="15.75" customHeight="1">
      <c r="A6294" s="1" t="str">
        <f>IFERROR(__xludf.DUMMYFUNCTION("""COMPUTED_VALUE"""),"Emmett Oropeza")</f>
        <v>Emmett Oropeza</v>
      </c>
      <c r="B6294" s="1" t="str">
        <f>IFERROR(__xludf.DUMMYFUNCTION("""COMPUTED_VALUE"""),"L1")</f>
        <v>L1</v>
      </c>
    </row>
    <row r="6295" ht="15.75" customHeight="1">
      <c r="A6295" s="1" t="str">
        <f>IFERROR(__xludf.DUMMYFUNCTION("""COMPUTED_VALUE"""),"Landon Oster")</f>
        <v>Landon Oster</v>
      </c>
      <c r="B6295" s="1" t="str">
        <f>IFERROR(__xludf.DUMMYFUNCTION("""COMPUTED_VALUE"""),"L1")</f>
        <v>L1</v>
      </c>
    </row>
    <row r="6296" ht="15.75" customHeight="1">
      <c r="A6296" s="1" t="str">
        <f>IFERROR(__xludf.DUMMYFUNCTION("""COMPUTED_VALUE"""),"Lucas Partipilo")</f>
        <v>Lucas Partipilo</v>
      </c>
      <c r="B6296" s="1" t="str">
        <f>IFERROR(__xludf.DUMMYFUNCTION("""COMPUTED_VALUE"""),"L1")</f>
        <v>L1</v>
      </c>
    </row>
    <row r="6297" ht="15.75" customHeight="1">
      <c r="A6297" s="1" t="str">
        <f>IFERROR(__xludf.DUMMYFUNCTION("""COMPUTED_VALUE"""),"Emma Peterkin")</f>
        <v>Emma Peterkin</v>
      </c>
      <c r="B6297" s="1" t="str">
        <f>IFERROR(__xludf.DUMMYFUNCTION("""COMPUTED_VALUE"""),"L1")</f>
        <v>L1</v>
      </c>
    </row>
    <row r="6298" ht="15.75" customHeight="1">
      <c r="A6298" s="1" t="str">
        <f>IFERROR(__xludf.DUMMYFUNCTION("""COMPUTED_VALUE"""),"Bryce Queen")</f>
        <v>Bryce Queen</v>
      </c>
      <c r="B6298" s="1" t="str">
        <f>IFERROR(__xludf.DUMMYFUNCTION("""COMPUTED_VALUE"""),"L1")</f>
        <v>L1</v>
      </c>
    </row>
    <row r="6299" ht="15.75" customHeight="1">
      <c r="A6299" s="1" t="str">
        <f>IFERROR(__xludf.DUMMYFUNCTION("""COMPUTED_VALUE"""),"Alder Richards")</f>
        <v>Alder Richards</v>
      </c>
      <c r="B6299" s="1" t="str">
        <f>IFERROR(__xludf.DUMMYFUNCTION("""COMPUTED_VALUE"""),"L1")</f>
        <v>L1</v>
      </c>
    </row>
    <row r="6300" ht="15.75" customHeight="1">
      <c r="A6300" s="1" t="str">
        <f>IFERROR(__xludf.DUMMYFUNCTION("""COMPUTED_VALUE"""),"Blakely Roller")</f>
        <v>Blakely Roller</v>
      </c>
      <c r="B6300" s="1" t="str">
        <f>IFERROR(__xludf.DUMMYFUNCTION("""COMPUTED_VALUE"""),"L1")</f>
        <v>L1</v>
      </c>
    </row>
    <row r="6301" ht="15.75" customHeight="1">
      <c r="A6301" s="1" t="str">
        <f>IFERROR(__xludf.DUMMYFUNCTION("""COMPUTED_VALUE"""),"Kinsley Roller")</f>
        <v>Kinsley Roller</v>
      </c>
      <c r="B6301" s="1" t="str">
        <f>IFERROR(__xludf.DUMMYFUNCTION("""COMPUTED_VALUE"""),"L1")</f>
        <v>L1</v>
      </c>
    </row>
    <row r="6302" ht="15.75" customHeight="1">
      <c r="A6302" s="1" t="str">
        <f>IFERROR(__xludf.DUMMYFUNCTION("""COMPUTED_VALUE"""),"Leonardo Ruttledge")</f>
        <v>Leonardo Ruttledge</v>
      </c>
      <c r="B6302" s="1" t="str">
        <f>IFERROR(__xludf.DUMMYFUNCTION("""COMPUTED_VALUE"""),"L1")</f>
        <v>L1</v>
      </c>
    </row>
    <row r="6303" ht="15.75" customHeight="1">
      <c r="A6303" s="1" t="str">
        <f>IFERROR(__xludf.DUMMYFUNCTION("""COMPUTED_VALUE"""),"Sydney Sagiao")</f>
        <v>Sydney Sagiao</v>
      </c>
      <c r="B6303" s="1" t="str">
        <f>IFERROR(__xludf.DUMMYFUNCTION("""COMPUTED_VALUE"""),"L1")</f>
        <v>L1</v>
      </c>
    </row>
    <row r="6304" ht="15.75" customHeight="1">
      <c r="A6304" s="1" t="str">
        <f>IFERROR(__xludf.DUMMYFUNCTION("""COMPUTED_VALUE"""),"Layla Seidel")</f>
        <v>Layla Seidel</v>
      </c>
      <c r="B6304" s="1" t="str">
        <f>IFERROR(__xludf.DUMMYFUNCTION("""COMPUTED_VALUE"""),"L1")</f>
        <v>L1</v>
      </c>
    </row>
    <row r="6305" ht="15.75" customHeight="1">
      <c r="A6305" s="1" t="str">
        <f>IFERROR(__xludf.DUMMYFUNCTION("""COMPUTED_VALUE"""),"Nora Shadden")</f>
        <v>Nora Shadden</v>
      </c>
      <c r="B6305" s="1" t="str">
        <f>IFERROR(__xludf.DUMMYFUNCTION("""COMPUTED_VALUE"""),"L1")</f>
        <v>L1</v>
      </c>
    </row>
    <row r="6306" ht="15.75" customHeight="1">
      <c r="A6306" s="1" t="str">
        <f>IFERROR(__xludf.DUMMYFUNCTION("""COMPUTED_VALUE"""),"Ezra Simms")</f>
        <v>Ezra Simms</v>
      </c>
      <c r="B6306" s="1" t="str">
        <f>IFERROR(__xludf.DUMMYFUNCTION("""COMPUTED_VALUE"""),"L1")</f>
        <v>L1</v>
      </c>
    </row>
    <row r="6307" ht="15.75" customHeight="1">
      <c r="A6307" s="1" t="str">
        <f>IFERROR(__xludf.DUMMYFUNCTION("""COMPUTED_VALUE"""),"Bjorn Spiel")</f>
        <v>Bjorn Spiel</v>
      </c>
      <c r="B6307" s="1" t="str">
        <f>IFERROR(__xludf.DUMMYFUNCTION("""COMPUTED_VALUE"""),"L1")</f>
        <v>L1</v>
      </c>
    </row>
    <row r="6308" ht="15.75" customHeight="1">
      <c r="A6308" s="1" t="str">
        <f>IFERROR(__xludf.DUMMYFUNCTION("""COMPUTED_VALUE"""),"Oliver Spitzengel")</f>
        <v>Oliver Spitzengel</v>
      </c>
      <c r="B6308" s="1" t="str">
        <f>IFERROR(__xludf.DUMMYFUNCTION("""COMPUTED_VALUE"""),"L1")</f>
        <v>L1</v>
      </c>
    </row>
    <row r="6309" ht="15.75" customHeight="1">
      <c r="A6309" s="1" t="str">
        <f>IFERROR(__xludf.DUMMYFUNCTION("""COMPUTED_VALUE"""),"Ayvah Strom")</f>
        <v>Ayvah Strom</v>
      </c>
      <c r="B6309" s="1" t="str">
        <f>IFERROR(__xludf.DUMMYFUNCTION("""COMPUTED_VALUE"""),"L1")</f>
        <v>L1</v>
      </c>
    </row>
    <row r="6310" ht="15.75" customHeight="1">
      <c r="A6310" s="1" t="str">
        <f>IFERROR(__xludf.DUMMYFUNCTION("""COMPUTED_VALUE"""),"Paislee Thomas")</f>
        <v>Paislee Thomas</v>
      </c>
      <c r="B6310" s="1" t="str">
        <f>IFERROR(__xludf.DUMMYFUNCTION("""COMPUTED_VALUE"""),"L1")</f>
        <v>L1</v>
      </c>
    </row>
    <row r="6311" ht="15.75" customHeight="1">
      <c r="A6311" s="1" t="str">
        <f>IFERROR(__xludf.DUMMYFUNCTION("""COMPUTED_VALUE"""),"Dominik Thompson")</f>
        <v>Dominik Thompson</v>
      </c>
      <c r="B6311" s="1" t="str">
        <f>IFERROR(__xludf.DUMMYFUNCTION("""COMPUTED_VALUE"""),"L1")</f>
        <v>L1</v>
      </c>
    </row>
    <row r="6312" ht="15.75" customHeight="1">
      <c r="A6312" s="1" t="str">
        <f>IFERROR(__xludf.DUMMYFUNCTION("""COMPUTED_VALUE"""),"Winnie Trussell")</f>
        <v>Winnie Trussell</v>
      </c>
      <c r="B6312" s="1" t="str">
        <f>IFERROR(__xludf.DUMMYFUNCTION("""COMPUTED_VALUE"""),"L1")</f>
        <v>L1</v>
      </c>
    </row>
    <row r="6313" ht="15.75" customHeight="1">
      <c r="A6313" s="1" t="str">
        <f>IFERROR(__xludf.DUMMYFUNCTION("""COMPUTED_VALUE"""),"Paxton Vang")</f>
        <v>Paxton Vang</v>
      </c>
      <c r="B6313" s="1" t="str">
        <f>IFERROR(__xludf.DUMMYFUNCTION("""COMPUTED_VALUE"""),"L1")</f>
        <v>L1</v>
      </c>
    </row>
    <row r="6314" ht="15.75" customHeight="1">
      <c r="A6314" s="1" t="str">
        <f>IFERROR(__xludf.DUMMYFUNCTION("""COMPUTED_VALUE"""),"Kingsley Vegas")</f>
        <v>Kingsley Vegas</v>
      </c>
      <c r="B6314" s="1" t="str">
        <f>IFERROR(__xludf.DUMMYFUNCTION("""COMPUTED_VALUE"""),"L1")</f>
        <v>L1</v>
      </c>
    </row>
    <row r="6315" ht="15.75" customHeight="1">
      <c r="A6315" s="1" t="str">
        <f>IFERROR(__xludf.DUMMYFUNCTION("""COMPUTED_VALUE"""),"Paxton Vibbard")</f>
        <v>Paxton Vibbard</v>
      </c>
      <c r="B6315" s="1" t="str">
        <f>IFERROR(__xludf.DUMMYFUNCTION("""COMPUTED_VALUE"""),"L1")</f>
        <v>L1</v>
      </c>
    </row>
    <row r="6316" ht="15.75" customHeight="1">
      <c r="A6316" s="1" t="str">
        <f>IFERROR(__xludf.DUMMYFUNCTION("""COMPUTED_VALUE"""),"Harleigh Warfield")</f>
        <v>Harleigh Warfield</v>
      </c>
      <c r="B6316" s="1" t="str">
        <f>IFERROR(__xludf.DUMMYFUNCTION("""COMPUTED_VALUE"""),"L1")</f>
        <v>L1</v>
      </c>
    </row>
    <row r="6317" ht="15.75" customHeight="1">
      <c r="A6317" s="1" t="str">
        <f>IFERROR(__xludf.DUMMYFUNCTION("""COMPUTED_VALUE"""),"Rian Wickizer")</f>
        <v>Rian Wickizer</v>
      </c>
      <c r="B6317" s="1" t="str">
        <f>IFERROR(__xludf.DUMMYFUNCTION("""COMPUTED_VALUE"""),"L1")</f>
        <v>L1</v>
      </c>
    </row>
    <row r="6318" ht="15.75" customHeight="1">
      <c r="A6318" s="1" t="str">
        <f>IFERROR(__xludf.DUMMYFUNCTION("""COMPUTED_VALUE"""),"Emerick Winters")</f>
        <v>Emerick Winters</v>
      </c>
      <c r="B6318" s="1" t="str">
        <f>IFERROR(__xludf.DUMMYFUNCTION("""COMPUTED_VALUE"""),"L1")</f>
        <v>L1</v>
      </c>
    </row>
    <row r="6319" ht="15.75" customHeight="1">
      <c r="A6319" s="1" t="str">
        <f>IFERROR(__xludf.DUMMYFUNCTION("""COMPUTED_VALUE"""),"Olivia Wolfe")</f>
        <v>Olivia Wolfe</v>
      </c>
      <c r="B6319" s="1" t="str">
        <f>IFERROR(__xludf.DUMMYFUNCTION("""COMPUTED_VALUE"""),"L1")</f>
        <v>L1</v>
      </c>
    </row>
    <row r="6320" ht="15.75" customHeight="1">
      <c r="A6320" s="1" t="str">
        <f>IFERROR(__xludf.DUMMYFUNCTION("""COMPUTED_VALUE"""),"Zuleika Zurita Ortiz")</f>
        <v>Zuleika Zurita Ortiz</v>
      </c>
      <c r="B6320" s="1" t="str">
        <f>IFERROR(__xludf.DUMMYFUNCTION("""COMPUTED_VALUE"""),"L1")</f>
        <v>L1</v>
      </c>
    </row>
    <row r="6321" ht="15.75" customHeight="1">
      <c r="A6321" s="1" t="str">
        <f>IFERROR(__xludf.DUMMYFUNCTION("""COMPUTED_VALUE"""),"Jace Allison")</f>
        <v>Jace Allison</v>
      </c>
      <c r="B6321" s="1" t="str">
        <f>IFERROR(__xludf.DUMMYFUNCTION("""COMPUTED_VALUE"""),"L2")</f>
        <v>L2</v>
      </c>
    </row>
    <row r="6322" ht="15.75" customHeight="1">
      <c r="A6322" s="1" t="str">
        <f>IFERROR(__xludf.DUMMYFUNCTION("""COMPUTED_VALUE"""),"Natalie Arnold")</f>
        <v>Natalie Arnold</v>
      </c>
      <c r="B6322" s="1" t="str">
        <f>IFERROR(__xludf.DUMMYFUNCTION("""COMPUTED_VALUE"""),"L2")</f>
        <v>L2</v>
      </c>
    </row>
    <row r="6323" ht="15.75" customHeight="1">
      <c r="A6323" s="1" t="str">
        <f>IFERROR(__xludf.DUMMYFUNCTION("""COMPUTED_VALUE"""),"Nora Bates")</f>
        <v>Nora Bates</v>
      </c>
      <c r="B6323" s="1" t="str">
        <f>IFERROR(__xludf.DUMMYFUNCTION("""COMPUTED_VALUE"""),"L2")</f>
        <v>L2</v>
      </c>
    </row>
    <row r="6324" ht="15.75" customHeight="1">
      <c r="A6324" s="1" t="str">
        <f>IFERROR(__xludf.DUMMYFUNCTION("""COMPUTED_VALUE"""),"Anderson Bell")</f>
        <v>Anderson Bell</v>
      </c>
      <c r="B6324" s="1" t="str">
        <f>IFERROR(__xludf.DUMMYFUNCTION("""COMPUTED_VALUE"""),"L2")</f>
        <v>L2</v>
      </c>
    </row>
    <row r="6325" ht="15.75" customHeight="1">
      <c r="A6325" s="1" t="str">
        <f>IFERROR(__xludf.DUMMYFUNCTION("""COMPUTED_VALUE"""),"Errol Blanchard")</f>
        <v>Errol Blanchard</v>
      </c>
      <c r="B6325" s="1" t="str">
        <f>IFERROR(__xludf.DUMMYFUNCTION("""COMPUTED_VALUE"""),"L2")</f>
        <v>L2</v>
      </c>
    </row>
    <row r="6326" ht="15.75" customHeight="1">
      <c r="A6326" s="1" t="str">
        <f>IFERROR(__xludf.DUMMYFUNCTION("""COMPUTED_VALUE"""),"Kennedy Bolyard")</f>
        <v>Kennedy Bolyard</v>
      </c>
      <c r="B6326" s="1" t="str">
        <f>IFERROR(__xludf.DUMMYFUNCTION("""COMPUTED_VALUE"""),"L2")</f>
        <v>L2</v>
      </c>
    </row>
    <row r="6327" ht="15.75" customHeight="1">
      <c r="A6327" s="1" t="str">
        <f>IFERROR(__xludf.DUMMYFUNCTION("""COMPUTED_VALUE"""),"Carter Donaldson")</f>
        <v>Carter Donaldson</v>
      </c>
      <c r="B6327" s="1" t="str">
        <f>IFERROR(__xludf.DUMMYFUNCTION("""COMPUTED_VALUE"""),"L2")</f>
        <v>L2</v>
      </c>
    </row>
    <row r="6328" ht="15.75" customHeight="1">
      <c r="A6328" s="1" t="str">
        <f>IFERROR(__xludf.DUMMYFUNCTION("""COMPUTED_VALUE"""),"Owen Dooley")</f>
        <v>Owen Dooley</v>
      </c>
      <c r="B6328" s="1" t="str">
        <f>IFERROR(__xludf.DUMMYFUNCTION("""COMPUTED_VALUE"""),"L2")</f>
        <v>L2</v>
      </c>
    </row>
    <row r="6329" ht="15.75" customHeight="1">
      <c r="A6329" s="1" t="str">
        <f>IFERROR(__xludf.DUMMYFUNCTION("""COMPUTED_VALUE"""),"Arra Dover")</f>
        <v>Arra Dover</v>
      </c>
      <c r="B6329" s="1" t="str">
        <f>IFERROR(__xludf.DUMMYFUNCTION("""COMPUTED_VALUE"""),"L2")</f>
        <v>L2</v>
      </c>
    </row>
    <row r="6330" ht="15.75" customHeight="1">
      <c r="A6330" s="1" t="str">
        <f>IFERROR(__xludf.DUMMYFUNCTION("""COMPUTED_VALUE"""),"Madelyn Fisher")</f>
        <v>Madelyn Fisher</v>
      </c>
      <c r="B6330" s="1" t="str">
        <f>IFERROR(__xludf.DUMMYFUNCTION("""COMPUTED_VALUE"""),"L2")</f>
        <v>L2</v>
      </c>
    </row>
    <row r="6331" ht="15.75" customHeight="1">
      <c r="A6331" s="1" t="str">
        <f>IFERROR(__xludf.DUMMYFUNCTION("""COMPUTED_VALUE"""),"Declyn Fitch")</f>
        <v>Declyn Fitch</v>
      </c>
      <c r="B6331" s="1" t="str">
        <f>IFERROR(__xludf.DUMMYFUNCTION("""COMPUTED_VALUE"""),"L2")</f>
        <v>L2</v>
      </c>
    </row>
    <row r="6332" ht="15.75" customHeight="1">
      <c r="A6332" s="1" t="str">
        <f>IFERROR(__xludf.DUMMYFUNCTION("""COMPUTED_VALUE"""),"Daniel Garrison")</f>
        <v>Daniel Garrison</v>
      </c>
      <c r="B6332" s="1" t="str">
        <f>IFERROR(__xludf.DUMMYFUNCTION("""COMPUTED_VALUE"""),"L2")</f>
        <v>L2</v>
      </c>
    </row>
    <row r="6333" ht="15.75" customHeight="1">
      <c r="A6333" s="1" t="str">
        <f>IFERROR(__xludf.DUMMYFUNCTION("""COMPUTED_VALUE"""),"Madison Gurule")</f>
        <v>Madison Gurule</v>
      </c>
      <c r="B6333" s="1" t="str">
        <f>IFERROR(__xludf.DUMMYFUNCTION("""COMPUTED_VALUE"""),"L2")</f>
        <v>L2</v>
      </c>
    </row>
    <row r="6334" ht="15.75" customHeight="1">
      <c r="A6334" s="1" t="str">
        <f>IFERROR(__xludf.DUMMYFUNCTION("""COMPUTED_VALUE"""),"Elsie Hakala")</f>
        <v>Elsie Hakala</v>
      </c>
      <c r="B6334" s="1" t="str">
        <f>IFERROR(__xludf.DUMMYFUNCTION("""COMPUTED_VALUE"""),"L2")</f>
        <v>L2</v>
      </c>
    </row>
    <row r="6335" ht="15.75" customHeight="1">
      <c r="A6335" s="1" t="str">
        <f>IFERROR(__xludf.DUMMYFUNCTION("""COMPUTED_VALUE"""),"Parker Harris")</f>
        <v>Parker Harris</v>
      </c>
      <c r="B6335" s="1" t="str">
        <f>IFERROR(__xludf.DUMMYFUNCTION("""COMPUTED_VALUE"""),"L2")</f>
        <v>L2</v>
      </c>
    </row>
    <row r="6336" ht="15.75" customHeight="1">
      <c r="A6336" s="1" t="str">
        <f>IFERROR(__xludf.DUMMYFUNCTION("""COMPUTED_VALUE"""),"Holland Hickey")</f>
        <v>Holland Hickey</v>
      </c>
      <c r="B6336" s="1" t="str">
        <f>IFERROR(__xludf.DUMMYFUNCTION("""COMPUTED_VALUE"""),"L2")</f>
        <v>L2</v>
      </c>
    </row>
    <row r="6337" ht="15.75" customHeight="1">
      <c r="A6337" s="1" t="str">
        <f>IFERROR(__xludf.DUMMYFUNCTION("""COMPUTED_VALUE"""),"Sabino Jimenez")</f>
        <v>Sabino Jimenez</v>
      </c>
      <c r="B6337" s="1" t="str">
        <f>IFERROR(__xludf.DUMMYFUNCTION("""COMPUTED_VALUE"""),"L2")</f>
        <v>L2</v>
      </c>
    </row>
    <row r="6338" ht="15.75" customHeight="1">
      <c r="A6338" s="1" t="str">
        <f>IFERROR(__xludf.DUMMYFUNCTION("""COMPUTED_VALUE"""),"William Kyniston")</f>
        <v>William Kyniston</v>
      </c>
      <c r="B6338" s="1" t="str">
        <f>IFERROR(__xludf.DUMMYFUNCTION("""COMPUTED_VALUE"""),"L2")</f>
        <v>L2</v>
      </c>
    </row>
    <row r="6339" ht="15.75" customHeight="1">
      <c r="A6339" s="1" t="str">
        <f>IFERROR(__xludf.DUMMYFUNCTION("""COMPUTED_VALUE"""),"Lanaya Laird")</f>
        <v>Lanaya Laird</v>
      </c>
      <c r="B6339" s="1" t="str">
        <f>IFERROR(__xludf.DUMMYFUNCTION("""COMPUTED_VALUE"""),"L2")</f>
        <v>L2</v>
      </c>
    </row>
    <row r="6340" ht="15.75" customHeight="1">
      <c r="A6340" s="1" t="str">
        <f>IFERROR(__xludf.DUMMYFUNCTION("""COMPUTED_VALUE"""),"Cruz Lang")</f>
        <v>Cruz Lang</v>
      </c>
      <c r="B6340" s="1" t="str">
        <f>IFERROR(__xludf.DUMMYFUNCTION("""COMPUTED_VALUE"""),"L2")</f>
        <v>L2</v>
      </c>
    </row>
    <row r="6341" ht="15.75" customHeight="1">
      <c r="A6341" s="1" t="str">
        <f>IFERROR(__xludf.DUMMYFUNCTION("""COMPUTED_VALUE"""),"Casey Lopez Carvajal")</f>
        <v>Casey Lopez Carvajal</v>
      </c>
      <c r="B6341" s="1" t="str">
        <f>IFERROR(__xludf.DUMMYFUNCTION("""COMPUTED_VALUE"""),"L2")</f>
        <v>L2</v>
      </c>
    </row>
    <row r="6342" ht="15.75" customHeight="1">
      <c r="A6342" s="1" t="str">
        <f>IFERROR(__xludf.DUMMYFUNCTION("""COMPUTED_VALUE"""),"Willa Luebbers")</f>
        <v>Willa Luebbers</v>
      </c>
      <c r="B6342" s="1" t="str">
        <f>IFERROR(__xludf.DUMMYFUNCTION("""COMPUTED_VALUE"""),"L2")</f>
        <v>L2</v>
      </c>
    </row>
    <row r="6343" ht="15.75" customHeight="1">
      <c r="A6343" s="1" t="str">
        <f>IFERROR(__xludf.DUMMYFUNCTION("""COMPUTED_VALUE"""),"Kylie MacKenzie")</f>
        <v>Kylie MacKenzie</v>
      </c>
      <c r="B6343" s="1" t="str">
        <f>IFERROR(__xludf.DUMMYFUNCTION("""COMPUTED_VALUE"""),"L2")</f>
        <v>L2</v>
      </c>
    </row>
    <row r="6344" ht="15.75" customHeight="1">
      <c r="A6344" s="1" t="str">
        <f>IFERROR(__xludf.DUMMYFUNCTION("""COMPUTED_VALUE"""),"Millie McKinney")</f>
        <v>Millie McKinney</v>
      </c>
      <c r="B6344" s="1" t="str">
        <f>IFERROR(__xludf.DUMMYFUNCTION("""COMPUTED_VALUE"""),"L2")</f>
        <v>L2</v>
      </c>
    </row>
    <row r="6345" ht="15.75" customHeight="1">
      <c r="A6345" s="1" t="str">
        <f>IFERROR(__xludf.DUMMYFUNCTION("""COMPUTED_VALUE"""),"Lilly McNiece")</f>
        <v>Lilly McNiece</v>
      </c>
      <c r="B6345" s="1" t="str">
        <f>IFERROR(__xludf.DUMMYFUNCTION("""COMPUTED_VALUE"""),"L2")</f>
        <v>L2</v>
      </c>
    </row>
    <row r="6346" ht="15.75" customHeight="1">
      <c r="A6346" s="1" t="str">
        <f>IFERROR(__xludf.DUMMYFUNCTION("""COMPUTED_VALUE"""),"Miles Melcher")</f>
        <v>Miles Melcher</v>
      </c>
      <c r="B6346" s="1" t="str">
        <f>IFERROR(__xludf.DUMMYFUNCTION("""COMPUTED_VALUE"""),"L2")</f>
        <v>L2</v>
      </c>
    </row>
    <row r="6347" ht="15.75" customHeight="1">
      <c r="A6347" s="1" t="str">
        <f>IFERROR(__xludf.DUMMYFUNCTION("""COMPUTED_VALUE"""),"Blaine Meyer")</f>
        <v>Blaine Meyer</v>
      </c>
      <c r="B6347" s="1" t="str">
        <f>IFERROR(__xludf.DUMMYFUNCTION("""COMPUTED_VALUE"""),"L2")</f>
        <v>L2</v>
      </c>
    </row>
    <row r="6348" ht="15.75" customHeight="1">
      <c r="A6348" s="1" t="str">
        <f>IFERROR(__xludf.DUMMYFUNCTION("""COMPUTED_VALUE"""),"Rylee Miller")</f>
        <v>Rylee Miller</v>
      </c>
      <c r="B6348" s="1" t="str">
        <f>IFERROR(__xludf.DUMMYFUNCTION("""COMPUTED_VALUE"""),"L2")</f>
        <v>L2</v>
      </c>
    </row>
    <row r="6349" ht="15.75" customHeight="1">
      <c r="A6349" s="1" t="str">
        <f>IFERROR(__xludf.DUMMYFUNCTION("""COMPUTED_VALUE"""),"Lyla Murphy")</f>
        <v>Lyla Murphy</v>
      </c>
      <c r="B6349" s="1" t="str">
        <f>IFERROR(__xludf.DUMMYFUNCTION("""COMPUTED_VALUE"""),"L2")</f>
        <v>L2</v>
      </c>
    </row>
    <row r="6350" ht="15.75" customHeight="1">
      <c r="A6350" s="1" t="str">
        <f>IFERROR(__xludf.DUMMYFUNCTION("""COMPUTED_VALUE"""),"Mackenzie Nyseth")</f>
        <v>Mackenzie Nyseth</v>
      </c>
      <c r="B6350" s="1" t="str">
        <f>IFERROR(__xludf.DUMMYFUNCTION("""COMPUTED_VALUE"""),"L2")</f>
        <v>L2</v>
      </c>
    </row>
    <row r="6351" ht="15.75" customHeight="1">
      <c r="A6351" s="1" t="str">
        <f>IFERROR(__xludf.DUMMYFUNCTION("""COMPUTED_VALUE"""),"Atlas Oster")</f>
        <v>Atlas Oster</v>
      </c>
      <c r="B6351" s="1" t="str">
        <f>IFERROR(__xludf.DUMMYFUNCTION("""COMPUTED_VALUE"""),"L2")</f>
        <v>L2</v>
      </c>
    </row>
    <row r="6352" ht="15.75" customHeight="1">
      <c r="A6352" s="1" t="str">
        <f>IFERROR(__xludf.DUMMYFUNCTION("""COMPUTED_VALUE"""),"Riley Padilla")</f>
        <v>Riley Padilla</v>
      </c>
      <c r="B6352" s="1" t="str">
        <f>IFERROR(__xludf.DUMMYFUNCTION("""COMPUTED_VALUE"""),"L2")</f>
        <v>L2</v>
      </c>
    </row>
    <row r="6353" ht="15.75" customHeight="1">
      <c r="A6353" s="1" t="str">
        <f>IFERROR(__xludf.DUMMYFUNCTION("""COMPUTED_VALUE"""),"Dylan Perez")</f>
        <v>Dylan Perez</v>
      </c>
      <c r="B6353" s="1" t="str">
        <f>IFERROR(__xludf.DUMMYFUNCTION("""COMPUTED_VALUE"""),"L2")</f>
        <v>L2</v>
      </c>
    </row>
    <row r="6354" ht="15.75" customHeight="1">
      <c r="A6354" s="1" t="str">
        <f>IFERROR(__xludf.DUMMYFUNCTION("""COMPUTED_VALUE"""),"Kaia Perez")</f>
        <v>Kaia Perez</v>
      </c>
      <c r="B6354" s="1" t="str">
        <f>IFERROR(__xludf.DUMMYFUNCTION("""COMPUTED_VALUE"""),"L2")</f>
        <v>L2</v>
      </c>
    </row>
    <row r="6355" ht="15.75" customHeight="1">
      <c r="A6355" s="1" t="str">
        <f>IFERROR(__xludf.DUMMYFUNCTION("""COMPUTED_VALUE"""),"Isaiah Ramos")</f>
        <v>Isaiah Ramos</v>
      </c>
      <c r="B6355" s="1" t="str">
        <f>IFERROR(__xludf.DUMMYFUNCTION("""COMPUTED_VALUE"""),"L2")</f>
        <v>L2</v>
      </c>
    </row>
    <row r="6356" ht="15.75" customHeight="1">
      <c r="A6356" s="1" t="str">
        <f>IFERROR(__xludf.DUMMYFUNCTION("""COMPUTED_VALUE"""),"Preston Randall")</f>
        <v>Preston Randall</v>
      </c>
      <c r="B6356" s="1" t="str">
        <f>IFERROR(__xludf.DUMMYFUNCTION("""COMPUTED_VALUE"""),"L2")</f>
        <v>L2</v>
      </c>
    </row>
    <row r="6357" ht="15.75" customHeight="1">
      <c r="A6357" s="1" t="str">
        <f>IFERROR(__xludf.DUMMYFUNCTION("""COMPUTED_VALUE"""),"Sadie Ruegg")</f>
        <v>Sadie Ruegg</v>
      </c>
      <c r="B6357" s="1" t="str">
        <f>IFERROR(__xludf.DUMMYFUNCTION("""COMPUTED_VALUE"""),"L2")</f>
        <v>L2</v>
      </c>
    </row>
    <row r="6358" ht="15.75" customHeight="1">
      <c r="A6358" s="1" t="str">
        <f>IFERROR(__xludf.DUMMYFUNCTION("""COMPUTED_VALUE"""),"Peyton Scanlon")</f>
        <v>Peyton Scanlon</v>
      </c>
      <c r="B6358" s="1" t="str">
        <f>IFERROR(__xludf.DUMMYFUNCTION("""COMPUTED_VALUE"""),"L2")</f>
        <v>L2</v>
      </c>
    </row>
    <row r="6359" ht="15.75" customHeight="1">
      <c r="A6359" s="1" t="str">
        <f>IFERROR(__xludf.DUMMYFUNCTION("""COMPUTED_VALUE"""),"Rose Seigal")</f>
        <v>Rose Seigal</v>
      </c>
      <c r="B6359" s="1" t="str">
        <f>IFERROR(__xludf.DUMMYFUNCTION("""COMPUTED_VALUE"""),"L2")</f>
        <v>L2</v>
      </c>
    </row>
    <row r="6360" ht="15.75" customHeight="1">
      <c r="A6360" s="1" t="str">
        <f>IFERROR(__xludf.DUMMYFUNCTION("""COMPUTED_VALUE"""),"Gerald Shaw")</f>
        <v>Gerald Shaw</v>
      </c>
      <c r="B6360" s="1" t="str">
        <f>IFERROR(__xludf.DUMMYFUNCTION("""COMPUTED_VALUE"""),"L2")</f>
        <v>L2</v>
      </c>
    </row>
    <row r="6361" ht="15.75" customHeight="1">
      <c r="A6361" s="1" t="str">
        <f>IFERROR(__xludf.DUMMYFUNCTION("""COMPUTED_VALUE"""),"Melodie Slater")</f>
        <v>Melodie Slater</v>
      </c>
      <c r="B6361" s="1" t="str">
        <f>IFERROR(__xludf.DUMMYFUNCTION("""COMPUTED_VALUE"""),"L2")</f>
        <v>L2</v>
      </c>
    </row>
    <row r="6362" ht="15.75" customHeight="1">
      <c r="A6362" s="1" t="str">
        <f>IFERROR(__xludf.DUMMYFUNCTION("""COMPUTED_VALUE"""),"Elsie Slipher")</f>
        <v>Elsie Slipher</v>
      </c>
      <c r="B6362" s="1" t="str">
        <f>IFERROR(__xludf.DUMMYFUNCTION("""COMPUTED_VALUE"""),"L2")</f>
        <v>L2</v>
      </c>
    </row>
    <row r="6363" ht="15.75" customHeight="1">
      <c r="A6363" s="1" t="str">
        <f>IFERROR(__xludf.DUMMYFUNCTION("""COMPUTED_VALUE"""),"Leona Stroh")</f>
        <v>Leona Stroh</v>
      </c>
      <c r="B6363" s="1" t="str">
        <f>IFERROR(__xludf.DUMMYFUNCTION("""COMPUTED_VALUE"""),"L2")</f>
        <v>L2</v>
      </c>
    </row>
    <row r="6364" ht="15.75" customHeight="1">
      <c r="A6364" s="1" t="str">
        <f>IFERROR(__xludf.DUMMYFUNCTION("""COMPUTED_VALUE"""),"Easton Taylor")</f>
        <v>Easton Taylor</v>
      </c>
      <c r="B6364" s="1" t="str">
        <f>IFERROR(__xludf.DUMMYFUNCTION("""COMPUTED_VALUE"""),"L2")</f>
        <v>L2</v>
      </c>
    </row>
    <row r="6365" ht="15.75" customHeight="1">
      <c r="A6365" s="1" t="str">
        <f>IFERROR(__xludf.DUMMYFUNCTION("""COMPUTED_VALUE"""),"Ana Traxler")</f>
        <v>Ana Traxler</v>
      </c>
      <c r="B6365" s="1" t="str">
        <f>IFERROR(__xludf.DUMMYFUNCTION("""COMPUTED_VALUE"""),"L2")</f>
        <v>L2</v>
      </c>
    </row>
    <row r="6366" ht="15.75" customHeight="1">
      <c r="A6366" s="1" t="str">
        <f>IFERROR(__xludf.DUMMYFUNCTION("""COMPUTED_VALUE"""),"Elizabeth Triplett")</f>
        <v>Elizabeth Triplett</v>
      </c>
      <c r="B6366" s="1" t="str">
        <f>IFERROR(__xludf.DUMMYFUNCTION("""COMPUTED_VALUE"""),"L2")</f>
        <v>L2</v>
      </c>
    </row>
    <row r="6367" ht="15.75" customHeight="1">
      <c r="A6367" s="1" t="str">
        <f>IFERROR(__xludf.DUMMYFUNCTION("""COMPUTED_VALUE"""),"Emerson Victorella")</f>
        <v>Emerson Victorella</v>
      </c>
      <c r="B6367" s="1" t="str">
        <f>IFERROR(__xludf.DUMMYFUNCTION("""COMPUTED_VALUE"""),"L2")</f>
        <v>L2</v>
      </c>
    </row>
    <row r="6368" ht="15.75" customHeight="1">
      <c r="A6368" s="1" t="str">
        <f>IFERROR(__xludf.DUMMYFUNCTION("""COMPUTED_VALUE"""),"Evelina Volsky")</f>
        <v>Evelina Volsky</v>
      </c>
      <c r="B6368" s="1" t="str">
        <f>IFERROR(__xludf.DUMMYFUNCTION("""COMPUTED_VALUE"""),"L2")</f>
        <v>L2</v>
      </c>
    </row>
    <row r="6369" ht="15.75" customHeight="1">
      <c r="A6369" s="1" t="str">
        <f>IFERROR(__xludf.DUMMYFUNCTION("""COMPUTED_VALUE"""),"Adilynn Whitley")</f>
        <v>Adilynn Whitley</v>
      </c>
      <c r="B6369" s="1" t="str">
        <f>IFERROR(__xludf.DUMMYFUNCTION("""COMPUTED_VALUE"""),"L2")</f>
        <v>L2</v>
      </c>
    </row>
    <row r="6370" ht="15.75" customHeight="1">
      <c r="A6370" s="1" t="str">
        <f>IFERROR(__xludf.DUMMYFUNCTION("""COMPUTED_VALUE"""),"Olivia Wilson")</f>
        <v>Olivia Wilson</v>
      </c>
      <c r="B6370" s="1" t="str">
        <f>IFERROR(__xludf.DUMMYFUNCTION("""COMPUTED_VALUE"""),"L2")</f>
        <v>L2</v>
      </c>
    </row>
    <row r="6371" ht="15.75" customHeight="1">
      <c r="A6371" s="1" t="str">
        <f>IFERROR(__xludf.DUMMYFUNCTION("""COMPUTED_VALUE"""),"John Wrenn IV")</f>
        <v>John Wrenn IV</v>
      </c>
      <c r="B6371" s="1" t="str">
        <f>IFERROR(__xludf.DUMMYFUNCTION("""COMPUTED_VALUE"""),"L2")</f>
        <v>L2</v>
      </c>
    </row>
    <row r="6372" ht="15.75" customHeight="1">
      <c r="A6372" s="1" t="str">
        <f>IFERROR(__xludf.DUMMYFUNCTION("""COMPUTED_VALUE"""),"Jamison Wright")</f>
        <v>Jamison Wright</v>
      </c>
      <c r="B6372" s="1" t="str">
        <f>IFERROR(__xludf.DUMMYFUNCTION("""COMPUTED_VALUE"""),"L2")</f>
        <v>L2</v>
      </c>
    </row>
    <row r="6373" ht="15.75" customHeight="1">
      <c r="A6373" s="1" t="str">
        <f>IFERROR(__xludf.DUMMYFUNCTION("""COMPUTED_VALUE"""),"Johanna Alcorn")</f>
        <v>Johanna Alcorn</v>
      </c>
      <c r="B6373" s="1" t="str">
        <f>IFERROR(__xludf.DUMMYFUNCTION("""COMPUTED_VALUE"""),"L2")</f>
        <v>L2</v>
      </c>
    </row>
    <row r="6374" ht="15.75" customHeight="1">
      <c r="A6374" s="1" t="str">
        <f>IFERROR(__xludf.DUMMYFUNCTION("""COMPUTED_VALUE"""),"Hunter Anderson")</f>
        <v>Hunter Anderson</v>
      </c>
      <c r="B6374" s="1" t="str">
        <f>IFERROR(__xludf.DUMMYFUNCTION("""COMPUTED_VALUE"""),"L2")</f>
        <v>L2</v>
      </c>
    </row>
    <row r="6375" ht="15.75" customHeight="1">
      <c r="A6375" s="1" t="str">
        <f>IFERROR(__xludf.DUMMYFUNCTION("""COMPUTED_VALUE"""),"Harrison Berg")</f>
        <v>Harrison Berg</v>
      </c>
      <c r="B6375" s="1" t="str">
        <f>IFERROR(__xludf.DUMMYFUNCTION("""COMPUTED_VALUE"""),"L2")</f>
        <v>L2</v>
      </c>
    </row>
    <row r="6376" ht="15.75" customHeight="1">
      <c r="A6376" s="1" t="str">
        <f>IFERROR(__xludf.DUMMYFUNCTION("""COMPUTED_VALUE"""),"Bonabelle Bogart")</f>
        <v>Bonabelle Bogart</v>
      </c>
      <c r="B6376" s="1" t="str">
        <f>IFERROR(__xludf.DUMMYFUNCTION("""COMPUTED_VALUE"""),"L2")</f>
        <v>L2</v>
      </c>
    </row>
    <row r="6377" ht="15.75" customHeight="1">
      <c r="A6377" s="1" t="str">
        <f>IFERROR(__xludf.DUMMYFUNCTION("""COMPUTED_VALUE"""),"Layla Bondar")</f>
        <v>Layla Bondar</v>
      </c>
      <c r="B6377" s="1" t="str">
        <f>IFERROR(__xludf.DUMMYFUNCTION("""COMPUTED_VALUE"""),"L2")</f>
        <v>L2</v>
      </c>
    </row>
    <row r="6378" ht="15.75" customHeight="1">
      <c r="A6378" s="1" t="str">
        <f>IFERROR(__xludf.DUMMYFUNCTION("""COMPUTED_VALUE"""),"Easton Boyer")</f>
        <v>Easton Boyer</v>
      </c>
      <c r="B6378" s="1" t="str">
        <f>IFERROR(__xludf.DUMMYFUNCTION("""COMPUTED_VALUE"""),"L2")</f>
        <v>L2</v>
      </c>
    </row>
    <row r="6379" ht="15.75" customHeight="1">
      <c r="A6379" s="1" t="str">
        <f>IFERROR(__xludf.DUMMYFUNCTION("""COMPUTED_VALUE"""),"Nova Brain")</f>
        <v>Nova Brain</v>
      </c>
      <c r="B6379" s="1" t="str">
        <f>IFERROR(__xludf.DUMMYFUNCTION("""COMPUTED_VALUE"""),"L2")</f>
        <v>L2</v>
      </c>
    </row>
    <row r="6380" ht="15.75" customHeight="1">
      <c r="A6380" s="1" t="str">
        <f>IFERROR(__xludf.DUMMYFUNCTION("""COMPUTED_VALUE"""),"Harper Brandon")</f>
        <v>Harper Brandon</v>
      </c>
      <c r="B6380" s="1" t="str">
        <f>IFERROR(__xludf.DUMMYFUNCTION("""COMPUTED_VALUE"""),"L2")</f>
        <v>L2</v>
      </c>
    </row>
    <row r="6381" ht="15.75" customHeight="1">
      <c r="A6381" s="1" t="str">
        <f>IFERROR(__xludf.DUMMYFUNCTION("""COMPUTED_VALUE"""),"Abigail Corum")</f>
        <v>Abigail Corum</v>
      </c>
      <c r="B6381" s="1" t="str">
        <f>IFERROR(__xludf.DUMMYFUNCTION("""COMPUTED_VALUE"""),"L2")</f>
        <v>L2</v>
      </c>
    </row>
    <row r="6382" ht="15.75" customHeight="1">
      <c r="A6382" s="1" t="str">
        <f>IFERROR(__xludf.DUMMYFUNCTION("""COMPUTED_VALUE"""),"Mililani Cox")</f>
        <v>Mililani Cox</v>
      </c>
      <c r="B6382" s="1" t="str">
        <f>IFERROR(__xludf.DUMMYFUNCTION("""COMPUTED_VALUE"""),"L2")</f>
        <v>L2</v>
      </c>
    </row>
    <row r="6383" ht="15.75" customHeight="1">
      <c r="A6383" s="1" t="str">
        <f>IFERROR(__xludf.DUMMYFUNCTION("""COMPUTED_VALUE"""),"Elsie Cramer")</f>
        <v>Elsie Cramer</v>
      </c>
      <c r="B6383" s="1" t="str">
        <f>IFERROR(__xludf.DUMMYFUNCTION("""COMPUTED_VALUE"""),"L2")</f>
        <v>L2</v>
      </c>
    </row>
    <row r="6384" ht="15.75" customHeight="1">
      <c r="A6384" s="1" t="str">
        <f>IFERROR(__xludf.DUMMYFUNCTION("""COMPUTED_VALUE"""),"Easton Earley")</f>
        <v>Easton Earley</v>
      </c>
      <c r="B6384" s="1" t="str">
        <f>IFERROR(__xludf.DUMMYFUNCTION("""COMPUTED_VALUE"""),"L2")</f>
        <v>L2</v>
      </c>
    </row>
    <row r="6385" ht="15.75" customHeight="1">
      <c r="A6385" s="1" t="str">
        <f>IFERROR(__xludf.DUMMYFUNCTION("""COMPUTED_VALUE"""),"Lennon Edwards")</f>
        <v>Lennon Edwards</v>
      </c>
      <c r="B6385" s="1" t="str">
        <f>IFERROR(__xludf.DUMMYFUNCTION("""COMPUTED_VALUE"""),"L2")</f>
        <v>L2</v>
      </c>
    </row>
    <row r="6386" ht="15.75" customHeight="1">
      <c r="A6386" s="1" t="str">
        <f>IFERROR(__xludf.DUMMYFUNCTION("""COMPUTED_VALUE"""),"Kylie Fisher")</f>
        <v>Kylie Fisher</v>
      </c>
      <c r="B6386" s="1" t="str">
        <f>IFERROR(__xludf.DUMMYFUNCTION("""COMPUTED_VALUE"""),"L2")</f>
        <v>L2</v>
      </c>
    </row>
    <row r="6387" ht="15.75" customHeight="1">
      <c r="A6387" s="1" t="str">
        <f>IFERROR(__xludf.DUMMYFUNCTION("""COMPUTED_VALUE"""),"Morgan Frank")</f>
        <v>Morgan Frank</v>
      </c>
      <c r="B6387" s="1" t="str">
        <f>IFERROR(__xludf.DUMMYFUNCTION("""COMPUTED_VALUE"""),"L2")</f>
        <v>L2</v>
      </c>
    </row>
    <row r="6388" ht="15.75" customHeight="1">
      <c r="A6388" s="1" t="str">
        <f>IFERROR(__xludf.DUMMYFUNCTION("""COMPUTED_VALUE"""),"Aubrey Fuller")</f>
        <v>Aubrey Fuller</v>
      </c>
      <c r="B6388" s="1" t="str">
        <f>IFERROR(__xludf.DUMMYFUNCTION("""COMPUTED_VALUE"""),"L2")</f>
        <v>L2</v>
      </c>
    </row>
    <row r="6389" ht="15.75" customHeight="1">
      <c r="A6389" s="1" t="str">
        <f>IFERROR(__xludf.DUMMYFUNCTION("""COMPUTED_VALUE"""),"Miguel Gallegos Marin")</f>
        <v>Miguel Gallegos Marin</v>
      </c>
      <c r="B6389" s="1" t="str">
        <f>IFERROR(__xludf.DUMMYFUNCTION("""COMPUTED_VALUE"""),"L2")</f>
        <v>L2</v>
      </c>
    </row>
    <row r="6390" ht="15.75" customHeight="1">
      <c r="A6390" s="1" t="str">
        <f>IFERROR(__xludf.DUMMYFUNCTION("""COMPUTED_VALUE"""),"Kennedy Graham")</f>
        <v>Kennedy Graham</v>
      </c>
      <c r="B6390" s="1" t="str">
        <f>IFERROR(__xludf.DUMMYFUNCTION("""COMPUTED_VALUE"""),"L2")</f>
        <v>L2</v>
      </c>
    </row>
    <row r="6391" ht="15.75" customHeight="1">
      <c r="A6391" s="1" t="str">
        <f>IFERROR(__xludf.DUMMYFUNCTION("""COMPUTED_VALUE"""),"Chloe Gregg")</f>
        <v>Chloe Gregg</v>
      </c>
      <c r="B6391" s="1" t="str">
        <f>IFERROR(__xludf.DUMMYFUNCTION("""COMPUTED_VALUE"""),"L2")</f>
        <v>L2</v>
      </c>
    </row>
    <row r="6392" ht="15.75" customHeight="1">
      <c r="A6392" s="1" t="str">
        <f>IFERROR(__xludf.DUMMYFUNCTION("""COMPUTED_VALUE"""),"Emily Gregg")</f>
        <v>Emily Gregg</v>
      </c>
      <c r="B6392" s="1" t="str">
        <f>IFERROR(__xludf.DUMMYFUNCTION("""COMPUTED_VALUE"""),"L2")</f>
        <v>L2</v>
      </c>
    </row>
    <row r="6393" ht="15.75" customHeight="1">
      <c r="A6393" s="1" t="str">
        <f>IFERROR(__xludf.DUMMYFUNCTION("""COMPUTED_VALUE"""),"Ava Grigg")</f>
        <v>Ava Grigg</v>
      </c>
      <c r="B6393" s="1" t="str">
        <f>IFERROR(__xludf.DUMMYFUNCTION("""COMPUTED_VALUE"""),"L2")</f>
        <v>L2</v>
      </c>
    </row>
    <row r="6394" ht="15.75" customHeight="1">
      <c r="A6394" s="1" t="str">
        <f>IFERROR(__xludf.DUMMYFUNCTION("""COMPUTED_VALUE"""),"Brinley Guentner")</f>
        <v>Brinley Guentner</v>
      </c>
      <c r="B6394" s="1" t="str">
        <f>IFERROR(__xludf.DUMMYFUNCTION("""COMPUTED_VALUE"""),"L2")</f>
        <v>L2</v>
      </c>
    </row>
    <row r="6395" ht="15.75" customHeight="1">
      <c r="A6395" s="1" t="str">
        <f>IFERROR(__xludf.DUMMYFUNCTION("""COMPUTED_VALUE"""),"Jazlyn Guzman")</f>
        <v>Jazlyn Guzman</v>
      </c>
      <c r="B6395" s="1" t="str">
        <f>IFERROR(__xludf.DUMMYFUNCTION("""COMPUTED_VALUE"""),"L2")</f>
        <v>L2</v>
      </c>
    </row>
    <row r="6396" ht="15.75" customHeight="1">
      <c r="A6396" s="1" t="str">
        <f>IFERROR(__xludf.DUMMYFUNCTION("""COMPUTED_VALUE"""),"Piper Hadduck")</f>
        <v>Piper Hadduck</v>
      </c>
      <c r="B6396" s="1" t="str">
        <f>IFERROR(__xludf.DUMMYFUNCTION("""COMPUTED_VALUE"""),"L2")</f>
        <v>L2</v>
      </c>
    </row>
    <row r="6397" ht="15.75" customHeight="1">
      <c r="A6397" s="1" t="str">
        <f>IFERROR(__xludf.DUMMYFUNCTION("""COMPUTED_VALUE"""),"Scarlette Hanneman")</f>
        <v>Scarlette Hanneman</v>
      </c>
      <c r="B6397" s="1" t="str">
        <f>IFERROR(__xludf.DUMMYFUNCTION("""COMPUTED_VALUE"""),"L2")</f>
        <v>L2</v>
      </c>
    </row>
    <row r="6398" ht="15.75" customHeight="1">
      <c r="A6398" s="1" t="str">
        <f>IFERROR(__xludf.DUMMYFUNCTION("""COMPUTED_VALUE"""),"Finnley Hedge")</f>
        <v>Finnley Hedge</v>
      </c>
      <c r="B6398" s="1" t="str">
        <f>IFERROR(__xludf.DUMMYFUNCTION("""COMPUTED_VALUE"""),"L2")</f>
        <v>L2</v>
      </c>
    </row>
    <row r="6399" ht="15.75" customHeight="1">
      <c r="A6399" s="1" t="str">
        <f>IFERROR(__xludf.DUMMYFUNCTION("""COMPUTED_VALUE"""),"Emma Herrejon")</f>
        <v>Emma Herrejon</v>
      </c>
      <c r="B6399" s="1" t="str">
        <f>IFERROR(__xludf.DUMMYFUNCTION("""COMPUTED_VALUE"""),"L2")</f>
        <v>L2</v>
      </c>
    </row>
    <row r="6400" ht="15.75" customHeight="1">
      <c r="A6400" s="1" t="str">
        <f>IFERROR(__xludf.DUMMYFUNCTION("""COMPUTED_VALUE"""),"Sadie Horner")</f>
        <v>Sadie Horner</v>
      </c>
      <c r="B6400" s="1" t="str">
        <f>IFERROR(__xludf.DUMMYFUNCTION("""COMPUTED_VALUE"""),"L2")</f>
        <v>L2</v>
      </c>
    </row>
    <row r="6401" ht="15.75" customHeight="1">
      <c r="A6401" s="1" t="str">
        <f>IFERROR(__xludf.DUMMYFUNCTION("""COMPUTED_VALUE"""),"Ashtyn Janovich")</f>
        <v>Ashtyn Janovich</v>
      </c>
      <c r="B6401" s="1" t="str">
        <f>IFERROR(__xludf.DUMMYFUNCTION("""COMPUTED_VALUE"""),"L2")</f>
        <v>L2</v>
      </c>
    </row>
    <row r="6402" ht="15.75" customHeight="1">
      <c r="A6402" s="1" t="str">
        <f>IFERROR(__xludf.DUMMYFUNCTION("""COMPUTED_VALUE"""),"Axxl Johnson")</f>
        <v>Axxl Johnson</v>
      </c>
      <c r="B6402" s="1" t="str">
        <f>IFERROR(__xludf.DUMMYFUNCTION("""COMPUTED_VALUE"""),"L2")</f>
        <v>L2</v>
      </c>
    </row>
    <row r="6403" ht="15.75" customHeight="1">
      <c r="A6403" s="1" t="str">
        <f>IFERROR(__xludf.DUMMYFUNCTION("""COMPUTED_VALUE"""),"Alessandra Juarez-Solano")</f>
        <v>Alessandra Juarez-Solano</v>
      </c>
      <c r="B6403" s="1" t="str">
        <f>IFERROR(__xludf.DUMMYFUNCTION("""COMPUTED_VALUE"""),"L2")</f>
        <v>L2</v>
      </c>
    </row>
    <row r="6404" ht="15.75" customHeight="1">
      <c r="A6404" s="1" t="str">
        <f>IFERROR(__xludf.DUMMYFUNCTION("""COMPUTED_VALUE"""),"Ezmeray Kellim")</f>
        <v>Ezmeray Kellim</v>
      </c>
      <c r="B6404" s="1" t="str">
        <f>IFERROR(__xludf.DUMMYFUNCTION("""COMPUTED_VALUE"""),"L2")</f>
        <v>L2</v>
      </c>
    </row>
    <row r="6405" ht="15.75" customHeight="1">
      <c r="A6405" s="1" t="str">
        <f>IFERROR(__xludf.DUMMYFUNCTION("""COMPUTED_VALUE"""),"Adriell Kennedy")</f>
        <v>Adriell Kennedy</v>
      </c>
      <c r="B6405" s="1" t="str">
        <f>IFERROR(__xludf.DUMMYFUNCTION("""COMPUTED_VALUE"""),"L2")</f>
        <v>L2</v>
      </c>
    </row>
    <row r="6406" ht="15.75" customHeight="1">
      <c r="A6406" s="1" t="str">
        <f>IFERROR(__xludf.DUMMYFUNCTION("""COMPUTED_VALUE"""),"Madilyn Kimmons")</f>
        <v>Madilyn Kimmons</v>
      </c>
      <c r="B6406" s="1" t="str">
        <f>IFERROR(__xludf.DUMMYFUNCTION("""COMPUTED_VALUE"""),"L2")</f>
        <v>L2</v>
      </c>
    </row>
    <row r="6407" ht="15.75" customHeight="1">
      <c r="A6407" s="1" t="str">
        <f>IFERROR(__xludf.DUMMYFUNCTION("""COMPUTED_VALUE"""),"Genevieve LeFlore")</f>
        <v>Genevieve LeFlore</v>
      </c>
      <c r="B6407" s="1" t="str">
        <f>IFERROR(__xludf.DUMMYFUNCTION("""COMPUTED_VALUE"""),"L2")</f>
        <v>L2</v>
      </c>
    </row>
    <row r="6408" ht="15.75" customHeight="1">
      <c r="A6408" s="1" t="str">
        <f>IFERROR(__xludf.DUMMYFUNCTION("""COMPUTED_VALUE"""),"Raylan Littlepage")</f>
        <v>Raylan Littlepage</v>
      </c>
      <c r="B6408" s="1" t="str">
        <f>IFERROR(__xludf.DUMMYFUNCTION("""COMPUTED_VALUE"""),"L2")</f>
        <v>L2</v>
      </c>
    </row>
    <row r="6409" ht="15.75" customHeight="1">
      <c r="A6409" s="1" t="str">
        <f>IFERROR(__xludf.DUMMYFUNCTION("""COMPUTED_VALUE"""),"Andrew Long")</f>
        <v>Andrew Long</v>
      </c>
      <c r="B6409" s="1" t="str">
        <f>IFERROR(__xludf.DUMMYFUNCTION("""COMPUTED_VALUE"""),"L2")</f>
        <v>L2</v>
      </c>
    </row>
    <row r="6410" ht="15.75" customHeight="1">
      <c r="A6410" s="1" t="str">
        <f>IFERROR(__xludf.DUMMYFUNCTION("""COMPUTED_VALUE"""),"Jesus Lopez Lira")</f>
        <v>Jesus Lopez Lira</v>
      </c>
      <c r="B6410" s="1" t="str">
        <f>IFERROR(__xludf.DUMMYFUNCTION("""COMPUTED_VALUE"""),"L2")</f>
        <v>L2</v>
      </c>
    </row>
    <row r="6411" ht="15.75" customHeight="1">
      <c r="A6411" s="1" t="str">
        <f>IFERROR(__xludf.DUMMYFUNCTION("""COMPUTED_VALUE"""),"Molly Luebbers")</f>
        <v>Molly Luebbers</v>
      </c>
      <c r="B6411" s="1" t="str">
        <f>IFERROR(__xludf.DUMMYFUNCTION("""COMPUTED_VALUE"""),"L2")</f>
        <v>L2</v>
      </c>
    </row>
    <row r="6412" ht="15.75" customHeight="1">
      <c r="A6412" s="1" t="str">
        <f>IFERROR(__xludf.DUMMYFUNCTION("""COMPUTED_VALUE"""),"Zoey Lunsford")</f>
        <v>Zoey Lunsford</v>
      </c>
      <c r="B6412" s="1" t="str">
        <f>IFERROR(__xludf.DUMMYFUNCTION("""COMPUTED_VALUE"""),"L2")</f>
        <v>L2</v>
      </c>
    </row>
    <row r="6413" ht="15.75" customHeight="1">
      <c r="A6413" s="1" t="str">
        <f>IFERROR(__xludf.DUMMYFUNCTION("""COMPUTED_VALUE"""),"Savannah Masic")</f>
        <v>Savannah Masic</v>
      </c>
      <c r="B6413" s="1" t="str">
        <f>IFERROR(__xludf.DUMMYFUNCTION("""COMPUTED_VALUE"""),"L2")</f>
        <v>L2</v>
      </c>
    </row>
    <row r="6414" ht="15.75" customHeight="1">
      <c r="A6414" s="1" t="str">
        <f>IFERROR(__xludf.DUMMYFUNCTION("""COMPUTED_VALUE"""),"Rylinn McCarr")</f>
        <v>Rylinn McCarr</v>
      </c>
      <c r="B6414" s="1" t="str">
        <f>IFERROR(__xludf.DUMMYFUNCTION("""COMPUTED_VALUE"""),"L2")</f>
        <v>L2</v>
      </c>
    </row>
    <row r="6415" ht="15.75" customHeight="1">
      <c r="A6415" s="1" t="str">
        <f>IFERROR(__xludf.DUMMYFUNCTION("""COMPUTED_VALUE"""),"Luke McMurtry")</f>
        <v>Luke McMurtry</v>
      </c>
      <c r="B6415" s="1" t="str">
        <f>IFERROR(__xludf.DUMMYFUNCTION("""COMPUTED_VALUE"""),"L2")</f>
        <v>L2</v>
      </c>
    </row>
    <row r="6416" ht="15.75" customHeight="1">
      <c r="A6416" s="1" t="str">
        <f>IFERROR(__xludf.DUMMYFUNCTION("""COMPUTED_VALUE"""),"Colton Miller")</f>
        <v>Colton Miller</v>
      </c>
      <c r="B6416" s="1" t="str">
        <f>IFERROR(__xludf.DUMMYFUNCTION("""COMPUTED_VALUE"""),"L2")</f>
        <v>L2</v>
      </c>
    </row>
    <row r="6417" ht="15.75" customHeight="1">
      <c r="A6417" s="1" t="str">
        <f>IFERROR(__xludf.DUMMYFUNCTION("""COMPUTED_VALUE"""),"Sullivan Moye")</f>
        <v>Sullivan Moye</v>
      </c>
      <c r="B6417" s="1" t="str">
        <f>IFERROR(__xludf.DUMMYFUNCTION("""COMPUTED_VALUE"""),"L2")</f>
        <v>L2</v>
      </c>
    </row>
    <row r="6418" ht="15.75" customHeight="1">
      <c r="A6418" s="1" t="str">
        <f>IFERROR(__xludf.DUMMYFUNCTION("""COMPUTED_VALUE"""),"Paisley Nash")</f>
        <v>Paisley Nash</v>
      </c>
      <c r="B6418" s="1" t="str">
        <f>IFERROR(__xludf.DUMMYFUNCTION("""COMPUTED_VALUE"""),"L2")</f>
        <v>L2</v>
      </c>
    </row>
    <row r="6419" ht="15.75" customHeight="1">
      <c r="A6419" s="1" t="str">
        <f>IFERROR(__xludf.DUMMYFUNCTION("""COMPUTED_VALUE"""),"Chase Nelson")</f>
        <v>Chase Nelson</v>
      </c>
      <c r="B6419" s="1" t="str">
        <f>IFERROR(__xludf.DUMMYFUNCTION("""COMPUTED_VALUE"""),"L2")</f>
        <v>L2</v>
      </c>
    </row>
    <row r="6420" ht="15.75" customHeight="1">
      <c r="A6420" s="1" t="str">
        <f>IFERROR(__xludf.DUMMYFUNCTION("""COMPUTED_VALUE"""),"Kisa Nelson")</f>
        <v>Kisa Nelson</v>
      </c>
      <c r="B6420" s="1" t="str">
        <f>IFERROR(__xludf.DUMMYFUNCTION("""COMPUTED_VALUE"""),"L2")</f>
        <v>L2</v>
      </c>
    </row>
    <row r="6421" ht="15.75" customHeight="1">
      <c r="A6421" s="1" t="str">
        <f>IFERROR(__xludf.DUMMYFUNCTION("""COMPUTED_VALUE"""),"Grant Newton")</f>
        <v>Grant Newton</v>
      </c>
      <c r="B6421" s="1" t="str">
        <f>IFERROR(__xludf.DUMMYFUNCTION("""COMPUTED_VALUE"""),"L2")</f>
        <v>L2</v>
      </c>
    </row>
    <row r="6422" ht="15.75" customHeight="1">
      <c r="A6422" s="1" t="str">
        <f>IFERROR(__xludf.DUMMYFUNCTION("""COMPUTED_VALUE"""),"Johnny Nisbet")</f>
        <v>Johnny Nisbet</v>
      </c>
      <c r="B6422" s="1" t="str">
        <f>IFERROR(__xludf.DUMMYFUNCTION("""COMPUTED_VALUE"""),"L2")</f>
        <v>L2</v>
      </c>
    </row>
    <row r="6423" ht="15.75" customHeight="1">
      <c r="A6423" s="1" t="str">
        <f>IFERROR(__xludf.DUMMYFUNCTION("""COMPUTED_VALUE"""),"Jacob Normand")</f>
        <v>Jacob Normand</v>
      </c>
      <c r="B6423" s="1" t="str">
        <f>IFERROR(__xludf.DUMMYFUNCTION("""COMPUTED_VALUE"""),"L2")</f>
        <v>L2</v>
      </c>
    </row>
    <row r="6424" ht="15.75" customHeight="1">
      <c r="A6424" s="1" t="str">
        <f>IFERROR(__xludf.DUMMYFUNCTION("""COMPUTED_VALUE"""),"Elizabeth Oster")</f>
        <v>Elizabeth Oster</v>
      </c>
      <c r="B6424" s="1" t="str">
        <f>IFERROR(__xludf.DUMMYFUNCTION("""COMPUTED_VALUE"""),"L2")</f>
        <v>L2</v>
      </c>
    </row>
    <row r="6425" ht="15.75" customHeight="1">
      <c r="A6425" s="1" t="str">
        <f>IFERROR(__xludf.DUMMYFUNCTION("""COMPUTED_VALUE"""),"Marshall Parman")</f>
        <v>Marshall Parman</v>
      </c>
      <c r="B6425" s="1" t="str">
        <f>IFERROR(__xludf.DUMMYFUNCTION("""COMPUTED_VALUE"""),"L2")</f>
        <v>L2</v>
      </c>
    </row>
    <row r="6426" ht="15.75" customHeight="1">
      <c r="A6426" s="1" t="str">
        <f>IFERROR(__xludf.DUMMYFUNCTION("""COMPUTED_VALUE"""),"Nathan Pernilla")</f>
        <v>Nathan Pernilla</v>
      </c>
      <c r="B6426" s="1" t="str">
        <f>IFERROR(__xludf.DUMMYFUNCTION("""COMPUTED_VALUE"""),"L2")</f>
        <v>L2</v>
      </c>
    </row>
    <row r="6427" ht="15.75" customHeight="1">
      <c r="A6427" s="1" t="str">
        <f>IFERROR(__xludf.DUMMYFUNCTION("""COMPUTED_VALUE"""),"Autumn Petronek")</f>
        <v>Autumn Petronek</v>
      </c>
      <c r="B6427" s="1" t="str">
        <f>IFERROR(__xludf.DUMMYFUNCTION("""COMPUTED_VALUE"""),"L2")</f>
        <v>L2</v>
      </c>
    </row>
    <row r="6428" ht="15.75" customHeight="1">
      <c r="A6428" s="1" t="str">
        <f>IFERROR(__xludf.DUMMYFUNCTION("""COMPUTED_VALUE"""),"Brady Place")</f>
        <v>Brady Place</v>
      </c>
      <c r="B6428" s="1" t="str">
        <f>IFERROR(__xludf.DUMMYFUNCTION("""COMPUTED_VALUE"""),"L2")</f>
        <v>L2</v>
      </c>
    </row>
    <row r="6429" ht="15.75" customHeight="1">
      <c r="A6429" s="1" t="str">
        <f>IFERROR(__xludf.DUMMYFUNCTION("""COMPUTED_VALUE"""),"Jaxavier Prewitt")</f>
        <v>Jaxavier Prewitt</v>
      </c>
      <c r="B6429" s="1" t="str">
        <f>IFERROR(__xludf.DUMMYFUNCTION("""COMPUTED_VALUE"""),"L2")</f>
        <v>L2</v>
      </c>
    </row>
    <row r="6430" ht="15.75" customHeight="1">
      <c r="A6430" s="1" t="str">
        <f>IFERROR(__xludf.DUMMYFUNCTION("""COMPUTED_VALUE"""),"Joseph Prewitt")</f>
        <v>Joseph Prewitt</v>
      </c>
      <c r="B6430" s="1" t="str">
        <f>IFERROR(__xludf.DUMMYFUNCTION("""COMPUTED_VALUE"""),"L2")</f>
        <v>L2</v>
      </c>
    </row>
    <row r="6431" ht="15.75" customHeight="1">
      <c r="A6431" s="1" t="str">
        <f>IFERROR(__xludf.DUMMYFUNCTION("""COMPUTED_VALUE"""),"Astraea Reyes")</f>
        <v>Astraea Reyes</v>
      </c>
      <c r="B6431" s="1" t="str">
        <f>IFERROR(__xludf.DUMMYFUNCTION("""COMPUTED_VALUE"""),"L2")</f>
        <v>L2</v>
      </c>
    </row>
    <row r="6432" ht="15.75" customHeight="1">
      <c r="A6432" s="1" t="str">
        <f>IFERROR(__xludf.DUMMYFUNCTION("""COMPUTED_VALUE"""),"Ana Rivera-Villegas")</f>
        <v>Ana Rivera-Villegas</v>
      </c>
      <c r="B6432" s="1" t="str">
        <f>IFERROR(__xludf.DUMMYFUNCTION("""COMPUTED_VALUE"""),"L2")</f>
        <v>L2</v>
      </c>
    </row>
    <row r="6433" ht="15.75" customHeight="1">
      <c r="A6433" s="1" t="str">
        <f>IFERROR(__xludf.DUMMYFUNCTION("""COMPUTED_VALUE"""),"Mackenzie Rogers")</f>
        <v>Mackenzie Rogers</v>
      </c>
      <c r="B6433" s="1" t="str">
        <f>IFERROR(__xludf.DUMMYFUNCTION("""COMPUTED_VALUE"""),"L2")</f>
        <v>L2</v>
      </c>
    </row>
    <row r="6434" ht="15.75" customHeight="1">
      <c r="A6434" s="1" t="str">
        <f>IFERROR(__xludf.DUMMYFUNCTION("""COMPUTED_VALUE"""),"Mila Scheller")</f>
        <v>Mila Scheller</v>
      </c>
      <c r="B6434" s="1" t="str">
        <f>IFERROR(__xludf.DUMMYFUNCTION("""COMPUTED_VALUE"""),"L2")</f>
        <v>L2</v>
      </c>
    </row>
    <row r="6435" ht="15.75" customHeight="1">
      <c r="A6435" s="1" t="str">
        <f>IFERROR(__xludf.DUMMYFUNCTION("""COMPUTED_VALUE"""),"Joseph Schoffstoll")</f>
        <v>Joseph Schoffstoll</v>
      </c>
      <c r="B6435" s="1" t="str">
        <f>IFERROR(__xludf.DUMMYFUNCTION("""COMPUTED_VALUE"""),"L2")</f>
        <v>L2</v>
      </c>
    </row>
    <row r="6436" ht="15.75" customHeight="1">
      <c r="A6436" s="1" t="str">
        <f>IFERROR(__xludf.DUMMYFUNCTION("""COMPUTED_VALUE"""),"La'Schalane Sims Dickerson")</f>
        <v>La'Schalane Sims Dickerson</v>
      </c>
      <c r="B6436" s="1" t="str">
        <f>IFERROR(__xludf.DUMMYFUNCTION("""COMPUTED_VALUE"""),"L2")</f>
        <v>L2</v>
      </c>
    </row>
    <row r="6437" ht="15.75" customHeight="1">
      <c r="A6437" s="1" t="str">
        <f>IFERROR(__xludf.DUMMYFUNCTION("""COMPUTED_VALUE"""),"Clara Spiel")</f>
        <v>Clara Spiel</v>
      </c>
      <c r="B6437" s="1" t="str">
        <f>IFERROR(__xludf.DUMMYFUNCTION("""COMPUTED_VALUE"""),"L2")</f>
        <v>L2</v>
      </c>
    </row>
    <row r="6438" ht="15.75" customHeight="1">
      <c r="A6438" s="1" t="str">
        <f>IFERROR(__xludf.DUMMYFUNCTION("""COMPUTED_VALUE"""),"Emmett Stutz")</f>
        <v>Emmett Stutz</v>
      </c>
      <c r="B6438" s="1" t="str">
        <f>IFERROR(__xludf.DUMMYFUNCTION("""COMPUTED_VALUE"""),"L2")</f>
        <v>L2</v>
      </c>
    </row>
    <row r="6439" ht="15.75" customHeight="1">
      <c r="A6439" s="1" t="str">
        <f>IFERROR(__xludf.DUMMYFUNCTION("""COMPUTED_VALUE"""),"Carson Taylor")</f>
        <v>Carson Taylor</v>
      </c>
      <c r="B6439" s="1" t="str">
        <f>IFERROR(__xludf.DUMMYFUNCTION("""COMPUTED_VALUE"""),"L2")</f>
        <v>L2</v>
      </c>
    </row>
    <row r="6440" ht="15.75" customHeight="1">
      <c r="A6440" s="1" t="str">
        <f>IFERROR(__xludf.DUMMYFUNCTION("""COMPUTED_VALUE"""),"Jude Triplett")</f>
        <v>Jude Triplett</v>
      </c>
      <c r="B6440" s="1" t="str">
        <f>IFERROR(__xludf.DUMMYFUNCTION("""COMPUTED_VALUE"""),"L2")</f>
        <v>L2</v>
      </c>
    </row>
    <row r="6441" ht="15.75" customHeight="1">
      <c r="A6441" s="1" t="str">
        <f>IFERROR(__xludf.DUMMYFUNCTION("""COMPUTED_VALUE"""),"Leo Triplett")</f>
        <v>Leo Triplett</v>
      </c>
      <c r="B6441" s="1" t="str">
        <f>IFERROR(__xludf.DUMMYFUNCTION("""COMPUTED_VALUE"""),"L2")</f>
        <v>L2</v>
      </c>
    </row>
    <row r="6442" ht="15.75" customHeight="1">
      <c r="A6442" s="1" t="str">
        <f>IFERROR(__xludf.DUMMYFUNCTION("""COMPUTED_VALUE"""),"Elizabeth Troy")</f>
        <v>Elizabeth Troy</v>
      </c>
      <c r="B6442" s="1" t="str">
        <f>IFERROR(__xludf.DUMMYFUNCTION("""COMPUTED_VALUE"""),"L2")</f>
        <v>L2</v>
      </c>
    </row>
    <row r="6443" ht="15.75" customHeight="1">
      <c r="A6443" s="1" t="str">
        <f>IFERROR(__xludf.DUMMYFUNCTION("""COMPUTED_VALUE"""),"Higgins Troy")</f>
        <v>Higgins Troy</v>
      </c>
      <c r="B6443" s="1" t="str">
        <f>IFERROR(__xludf.DUMMYFUNCTION("""COMPUTED_VALUE"""),"L2")</f>
        <v>L2</v>
      </c>
    </row>
    <row r="6444" ht="15.75" customHeight="1">
      <c r="A6444" s="1" t="str">
        <f>IFERROR(__xludf.DUMMYFUNCTION("""COMPUTED_VALUE"""),"Kolby Warren")</f>
        <v>Kolby Warren</v>
      </c>
      <c r="B6444" s="1" t="str">
        <f>IFERROR(__xludf.DUMMYFUNCTION("""COMPUTED_VALUE"""),"L2")</f>
        <v>L2</v>
      </c>
    </row>
    <row r="6445" ht="15.75" customHeight="1">
      <c r="A6445" s="1" t="str">
        <f>IFERROR(__xludf.DUMMYFUNCTION("""COMPUTED_VALUE"""),"Madden Webster")</f>
        <v>Madden Webster</v>
      </c>
      <c r="B6445" s="1" t="str">
        <f>IFERROR(__xludf.DUMMYFUNCTION("""COMPUTED_VALUE"""),"L2")</f>
        <v>L2</v>
      </c>
    </row>
    <row r="6446" ht="15.75" customHeight="1">
      <c r="A6446" s="1" t="str">
        <f>IFERROR(__xludf.DUMMYFUNCTION("""COMPUTED_VALUE"""),"Harlow White")</f>
        <v>Harlow White</v>
      </c>
      <c r="B6446" s="1" t="str">
        <f>IFERROR(__xludf.DUMMYFUNCTION("""COMPUTED_VALUE"""),"L2")</f>
        <v>L2</v>
      </c>
    </row>
    <row r="6447" ht="15.75" customHeight="1">
      <c r="A6447" s="1" t="str">
        <f>IFERROR(__xludf.DUMMYFUNCTION("""COMPUTED_VALUE"""),"Everett Wimmer")</f>
        <v>Everett Wimmer</v>
      </c>
      <c r="B6447" s="1" t="str">
        <f>IFERROR(__xludf.DUMMYFUNCTION("""COMPUTED_VALUE"""),"L2")</f>
        <v>L2</v>
      </c>
    </row>
    <row r="6448" ht="15.75" customHeight="1">
      <c r="A6448" s="1" t="str">
        <f>IFERROR(__xludf.DUMMYFUNCTION("""COMPUTED_VALUE"""),"Reese Winsor")</f>
        <v>Reese Winsor</v>
      </c>
      <c r="B6448" s="1" t="str">
        <f>IFERROR(__xludf.DUMMYFUNCTION("""COMPUTED_VALUE"""),"L2")</f>
        <v>L2</v>
      </c>
    </row>
    <row r="6449" ht="15.75" customHeight="1">
      <c r="A6449" s="1" t="str">
        <f>IFERROR(__xludf.DUMMYFUNCTION("""COMPUTED_VALUE"""),"Deegan Wright")</f>
        <v>Deegan Wright</v>
      </c>
      <c r="B6449" s="1" t="str">
        <f>IFERROR(__xludf.DUMMYFUNCTION("""COMPUTED_VALUE"""),"L2")</f>
        <v>L2</v>
      </c>
    </row>
    <row r="6450" ht="15.75" customHeight="1">
      <c r="A6450" s="1" t="str">
        <f>IFERROR(__xludf.DUMMYFUNCTION("""COMPUTED_VALUE"""),"Cruzely Altamirano")</f>
        <v>Cruzely Altamirano</v>
      </c>
      <c r="B6450" s="1" t="str">
        <f>IFERROR(__xludf.DUMMYFUNCTION("""COMPUTED_VALUE"""),"HS")</f>
        <v>HS</v>
      </c>
    </row>
    <row r="6451" ht="15.75" customHeight="1">
      <c r="A6451" s="1" t="str">
        <f>IFERROR(__xludf.DUMMYFUNCTION("""COMPUTED_VALUE"""),"Jonathyn Brownfield")</f>
        <v>Jonathyn Brownfield</v>
      </c>
      <c r="B6451" s="1" t="str">
        <f>IFERROR(__xludf.DUMMYFUNCTION("""COMPUTED_VALUE"""),"HS")</f>
        <v>HS</v>
      </c>
    </row>
    <row r="6452" ht="15.75" customHeight="1">
      <c r="A6452" s="1" t="str">
        <f>IFERROR(__xludf.DUMMYFUNCTION("""COMPUTED_VALUE"""),"Maximillian Burke")</f>
        <v>Maximillian Burke</v>
      </c>
      <c r="B6452" s="1" t="str">
        <f>IFERROR(__xludf.DUMMYFUNCTION("""COMPUTED_VALUE"""),"HS")</f>
        <v>HS</v>
      </c>
    </row>
    <row r="6453" ht="15.75" customHeight="1">
      <c r="A6453" s="1" t="str">
        <f>IFERROR(__xludf.DUMMYFUNCTION("""COMPUTED_VALUE"""),"Savvy Christy")</f>
        <v>Savvy Christy</v>
      </c>
      <c r="B6453" s="1" t="str">
        <f>IFERROR(__xludf.DUMMYFUNCTION("""COMPUTED_VALUE"""),"HS")</f>
        <v>HS</v>
      </c>
    </row>
    <row r="6454" ht="15.75" customHeight="1">
      <c r="A6454" s="1" t="str">
        <f>IFERROR(__xludf.DUMMYFUNCTION("""COMPUTED_VALUE"""),"Maxx DeVet")</f>
        <v>Maxx DeVet</v>
      </c>
      <c r="B6454" s="1" t="str">
        <f>IFERROR(__xludf.DUMMYFUNCTION("""COMPUTED_VALUE"""),"HS")</f>
        <v>HS</v>
      </c>
    </row>
    <row r="6455" ht="15.75" customHeight="1">
      <c r="A6455" s="1" t="str">
        <f>IFERROR(__xludf.DUMMYFUNCTION("""COMPUTED_VALUE"""),"Jocelyn Elias Molina")</f>
        <v>Jocelyn Elias Molina</v>
      </c>
      <c r="B6455" s="1" t="str">
        <f>IFERROR(__xludf.DUMMYFUNCTION("""COMPUTED_VALUE"""),"HS")</f>
        <v>HS</v>
      </c>
    </row>
    <row r="6456" ht="15.75" customHeight="1">
      <c r="A6456" s="1" t="str">
        <f>IFERROR(__xludf.DUMMYFUNCTION("""COMPUTED_VALUE"""),"Braxston Faria")</f>
        <v>Braxston Faria</v>
      </c>
      <c r="B6456" s="1" t="str">
        <f>IFERROR(__xludf.DUMMYFUNCTION("""COMPUTED_VALUE"""),"HS")</f>
        <v>HS</v>
      </c>
    </row>
    <row r="6457" ht="15.75" customHeight="1">
      <c r="A6457" s="1" t="str">
        <f>IFERROR(__xludf.DUMMYFUNCTION("""COMPUTED_VALUE"""),"Carson Firestine")</f>
        <v>Carson Firestine</v>
      </c>
      <c r="B6457" s="1" t="str">
        <f>IFERROR(__xludf.DUMMYFUNCTION("""COMPUTED_VALUE"""),"HS")</f>
        <v>HS</v>
      </c>
    </row>
    <row r="6458" ht="15.75" customHeight="1">
      <c r="A6458" s="1" t="str">
        <f>IFERROR(__xludf.DUMMYFUNCTION("""COMPUTED_VALUE"""),"William Lacey")</f>
        <v>William Lacey</v>
      </c>
      <c r="B6458" s="1" t="str">
        <f>IFERROR(__xludf.DUMMYFUNCTION("""COMPUTED_VALUE"""),"HS")</f>
        <v>HS</v>
      </c>
    </row>
    <row r="6459" ht="15.75" customHeight="1">
      <c r="A6459" s="1" t="str">
        <f>IFERROR(__xludf.DUMMYFUNCTION("""COMPUTED_VALUE"""),"Ruslan Levitskiy")</f>
        <v>Ruslan Levitskiy</v>
      </c>
      <c r="B6459" s="1" t="str">
        <f>IFERROR(__xludf.DUMMYFUNCTION("""COMPUTED_VALUE"""),"HS")</f>
        <v>HS</v>
      </c>
    </row>
    <row r="6460" ht="15.75" customHeight="1">
      <c r="A6460" s="1" t="str">
        <f>IFERROR(__xludf.DUMMYFUNCTION("""COMPUTED_VALUE"""),"Jack Miles")</f>
        <v>Jack Miles</v>
      </c>
      <c r="B6460" s="1" t="str">
        <f>IFERROR(__xludf.DUMMYFUNCTION("""COMPUTED_VALUE"""),"HS")</f>
        <v>HS</v>
      </c>
    </row>
    <row r="6461" ht="15.75" customHeight="1">
      <c r="A6461" s="1" t="str">
        <f>IFERROR(__xludf.DUMMYFUNCTION("""COMPUTED_VALUE"""),"Daniel Oglevie")</f>
        <v>Daniel Oglevie</v>
      </c>
      <c r="B6461" s="1" t="str">
        <f>IFERROR(__xludf.DUMMYFUNCTION("""COMPUTED_VALUE"""),"HS")</f>
        <v>HS</v>
      </c>
    </row>
    <row r="6462" ht="15.75" customHeight="1">
      <c r="A6462" s="1" t="str">
        <f>IFERROR(__xludf.DUMMYFUNCTION("""COMPUTED_VALUE"""),"Torrin Parker")</f>
        <v>Torrin Parker</v>
      </c>
      <c r="B6462" s="1" t="str">
        <f>IFERROR(__xludf.DUMMYFUNCTION("""COMPUTED_VALUE"""),"HS")</f>
        <v>HS</v>
      </c>
    </row>
    <row r="6463" ht="15.75" customHeight="1">
      <c r="A6463" s="1" t="str">
        <f>IFERROR(__xludf.DUMMYFUNCTION("""COMPUTED_VALUE"""),"Ryder Phillips")</f>
        <v>Ryder Phillips</v>
      </c>
      <c r="B6463" s="1" t="str">
        <f>IFERROR(__xludf.DUMMYFUNCTION("""COMPUTED_VALUE"""),"HS")</f>
        <v>HS</v>
      </c>
    </row>
    <row r="6464" ht="15.75" customHeight="1">
      <c r="A6464" s="1" t="str">
        <f>IFERROR(__xludf.DUMMYFUNCTION("""COMPUTED_VALUE"""),"Austin Richardson")</f>
        <v>Austin Richardson</v>
      </c>
      <c r="B6464" s="1" t="str">
        <f>IFERROR(__xludf.DUMMYFUNCTION("""COMPUTED_VALUE"""),"HS")</f>
        <v>HS</v>
      </c>
    </row>
    <row r="6465" ht="15.75" customHeight="1">
      <c r="A6465" s="1" t="str">
        <f>IFERROR(__xludf.DUMMYFUNCTION("""COMPUTED_VALUE"""),"Zak Roberts")</f>
        <v>Zak Roberts</v>
      </c>
      <c r="B6465" s="1" t="str">
        <f>IFERROR(__xludf.DUMMYFUNCTION("""COMPUTED_VALUE"""),"HS")</f>
        <v>HS</v>
      </c>
    </row>
    <row r="6466" ht="15.75" customHeight="1">
      <c r="A6466" s="1" t="str">
        <f>IFERROR(__xludf.DUMMYFUNCTION("""COMPUTED_VALUE"""),"Jackson Rohrbough")</f>
        <v>Jackson Rohrbough</v>
      </c>
      <c r="B6466" s="1" t="str">
        <f>IFERROR(__xludf.DUMMYFUNCTION("""COMPUTED_VALUE"""),"HS")</f>
        <v>HS</v>
      </c>
    </row>
    <row r="6467" ht="15.75" customHeight="1">
      <c r="A6467" s="1" t="str">
        <f>IFERROR(__xludf.DUMMYFUNCTION("""COMPUTED_VALUE"""),"Jamisen Rozell")</f>
        <v>Jamisen Rozell</v>
      </c>
      <c r="B6467" s="1" t="str">
        <f>IFERROR(__xludf.DUMMYFUNCTION("""COMPUTED_VALUE"""),"HS")</f>
        <v>HS</v>
      </c>
    </row>
    <row r="6468" ht="15.75" customHeight="1">
      <c r="A6468" s="1" t="str">
        <f>IFERROR(__xludf.DUMMYFUNCTION("""COMPUTED_VALUE"""),"Brody Rundell")</f>
        <v>Brody Rundell</v>
      </c>
      <c r="B6468" s="1" t="str">
        <f>IFERROR(__xludf.DUMMYFUNCTION("""COMPUTED_VALUE"""),"HS")</f>
        <v>HS</v>
      </c>
    </row>
    <row r="6469" ht="15.75" customHeight="1">
      <c r="A6469" s="1" t="str">
        <f>IFERROR(__xludf.DUMMYFUNCTION("""COMPUTED_VALUE"""),"Raymond Saranchuk")</f>
        <v>Raymond Saranchuk</v>
      </c>
      <c r="B6469" s="1" t="str">
        <f>IFERROR(__xludf.DUMMYFUNCTION("""COMPUTED_VALUE"""),"HS")</f>
        <v>HS</v>
      </c>
    </row>
    <row r="6470" ht="15.75" customHeight="1">
      <c r="A6470" s="1" t="str">
        <f>IFERROR(__xludf.DUMMYFUNCTION("""COMPUTED_VALUE"""),"Skylar Shirley")</f>
        <v>Skylar Shirley</v>
      </c>
      <c r="B6470" s="1" t="str">
        <f>IFERROR(__xludf.DUMMYFUNCTION("""COMPUTED_VALUE"""),"HS")</f>
        <v>HS</v>
      </c>
    </row>
    <row r="6471" ht="15.75" customHeight="1">
      <c r="A6471" s="1" t="str">
        <f>IFERROR(__xludf.DUMMYFUNCTION("""COMPUTED_VALUE"""),"Dominic Smouse")</f>
        <v>Dominic Smouse</v>
      </c>
      <c r="B6471" s="1" t="str">
        <f>IFERROR(__xludf.DUMMYFUNCTION("""COMPUTED_VALUE"""),"HS")</f>
        <v>HS</v>
      </c>
    </row>
    <row r="6472" ht="15.75" customHeight="1">
      <c r="A6472" s="1" t="str">
        <f>IFERROR(__xludf.DUMMYFUNCTION("""COMPUTED_VALUE"""),"Sawyer Solso")</f>
        <v>Sawyer Solso</v>
      </c>
      <c r="B6472" s="1" t="str">
        <f>IFERROR(__xludf.DUMMYFUNCTION("""COMPUTED_VALUE"""),"HS")</f>
        <v>HS</v>
      </c>
    </row>
    <row r="6473" ht="15.75" customHeight="1">
      <c r="A6473" s="1" t="str">
        <f>IFERROR(__xludf.DUMMYFUNCTION("""COMPUTED_VALUE"""),"Garrett Vogel")</f>
        <v>Garrett Vogel</v>
      </c>
      <c r="B6473" s="1" t="str">
        <f>IFERROR(__xludf.DUMMYFUNCTION("""COMPUTED_VALUE"""),"HS")</f>
        <v>HS</v>
      </c>
    </row>
    <row r="6474" ht="15.75" customHeight="1">
      <c r="A6474" s="1" t="str">
        <f>IFERROR(__xludf.DUMMYFUNCTION("""COMPUTED_VALUE"""),"Ella Wagner")</f>
        <v>Ella Wagner</v>
      </c>
      <c r="B6474" s="1" t="str">
        <f>IFERROR(__xludf.DUMMYFUNCTION("""COMPUTED_VALUE"""),"HS")</f>
        <v>HS</v>
      </c>
    </row>
    <row r="6475" ht="15.75" customHeight="1">
      <c r="A6475" s="1" t="str">
        <f>IFERROR(__xludf.DUMMYFUNCTION("""COMPUTED_VALUE"""),"Ella Akins")</f>
        <v>Ella Akins</v>
      </c>
      <c r="B6475" s="1" t="str">
        <f>IFERROR(__xludf.DUMMYFUNCTION("""COMPUTED_VALUE"""),"HS")</f>
        <v>HS</v>
      </c>
    </row>
    <row r="6476" ht="15.75" customHeight="1">
      <c r="A6476" s="1" t="str">
        <f>IFERROR(__xludf.DUMMYFUNCTION("""COMPUTED_VALUE"""),"Rylee Bowers")</f>
        <v>Rylee Bowers</v>
      </c>
      <c r="B6476" s="1" t="str">
        <f>IFERROR(__xludf.DUMMYFUNCTION("""COMPUTED_VALUE"""),"HS")</f>
        <v>HS</v>
      </c>
    </row>
    <row r="6477" ht="15.75" customHeight="1">
      <c r="A6477" s="1" t="str">
        <f>IFERROR(__xludf.DUMMYFUNCTION("""COMPUTED_VALUE"""),"Finn Goers")</f>
        <v>Finn Goers</v>
      </c>
      <c r="B6477" s="1" t="str">
        <f>IFERROR(__xludf.DUMMYFUNCTION("""COMPUTED_VALUE"""),"HS")</f>
        <v>HS</v>
      </c>
    </row>
    <row r="6478" ht="15.75" customHeight="1">
      <c r="A6478" s="1" t="str">
        <f>IFERROR(__xludf.DUMMYFUNCTION("""COMPUTED_VALUE"""),"Waylon Green")</f>
        <v>Waylon Green</v>
      </c>
      <c r="B6478" s="1" t="str">
        <f>IFERROR(__xludf.DUMMYFUNCTION("""COMPUTED_VALUE"""),"HS")</f>
        <v>HS</v>
      </c>
    </row>
    <row r="6479" ht="15.75" customHeight="1">
      <c r="A6479" s="1" t="str">
        <f>IFERROR(__xludf.DUMMYFUNCTION("""COMPUTED_VALUE"""),"Lillie Hulett")</f>
        <v>Lillie Hulett</v>
      </c>
      <c r="B6479" s="1" t="str">
        <f>IFERROR(__xludf.DUMMYFUNCTION("""COMPUTED_VALUE"""),"HS")</f>
        <v>HS</v>
      </c>
    </row>
    <row r="6480" ht="15.75" customHeight="1">
      <c r="A6480" s="1" t="str">
        <f>IFERROR(__xludf.DUMMYFUNCTION("""COMPUTED_VALUE"""),"Travis McWilliams")</f>
        <v>Travis McWilliams</v>
      </c>
      <c r="B6480" s="1" t="str">
        <f>IFERROR(__xludf.DUMMYFUNCTION("""COMPUTED_VALUE"""),"HS")</f>
        <v>HS</v>
      </c>
    </row>
    <row r="6481" ht="15.75" customHeight="1">
      <c r="A6481" s="1" t="str">
        <f>IFERROR(__xludf.DUMMYFUNCTION("""COMPUTED_VALUE"""),"Cooper Namba")</f>
        <v>Cooper Namba</v>
      </c>
      <c r="B6481" s="1" t="str">
        <f>IFERROR(__xludf.DUMMYFUNCTION("""COMPUTED_VALUE"""),"HS")</f>
        <v>HS</v>
      </c>
    </row>
    <row r="6482" ht="15.75" customHeight="1">
      <c r="A6482" s="1" t="str">
        <f>IFERROR(__xludf.DUMMYFUNCTION("""COMPUTED_VALUE"""),"Kimberly Ramos Ramirez")</f>
        <v>Kimberly Ramos Ramirez</v>
      </c>
      <c r="B6482" s="1" t="str">
        <f>IFERROR(__xludf.DUMMYFUNCTION("""COMPUTED_VALUE"""),"HS")</f>
        <v>HS</v>
      </c>
    </row>
    <row r="6483" ht="15.75" customHeight="1">
      <c r="A6483" s="1" t="str">
        <f>IFERROR(__xludf.DUMMYFUNCTION("""COMPUTED_VALUE"""),"Gracie Suver")</f>
        <v>Gracie Suver</v>
      </c>
      <c r="B6483" s="1" t="str">
        <f>IFERROR(__xludf.DUMMYFUNCTION("""COMPUTED_VALUE"""),"HS")</f>
        <v>HS</v>
      </c>
    </row>
    <row r="6484" ht="15.75" customHeight="1">
      <c r="A6484" s="1" t="str">
        <f>IFERROR(__xludf.DUMMYFUNCTION("""COMPUTED_VALUE"""),"Hematullah Azimi")</f>
        <v>Hematullah Azimi</v>
      </c>
      <c r="B6484" s="1" t="str">
        <f>IFERROR(__xludf.DUMMYFUNCTION("""COMPUTED_VALUE"""),"HS")</f>
        <v>HS</v>
      </c>
    </row>
    <row r="6485" ht="15.75" customHeight="1">
      <c r="A6485" s="1" t="str">
        <f>IFERROR(__xludf.DUMMYFUNCTION("""COMPUTED_VALUE"""),"Maria Carrazco Chavez")</f>
        <v>Maria Carrazco Chavez</v>
      </c>
      <c r="B6485" s="1" t="str">
        <f>IFERROR(__xludf.DUMMYFUNCTION("""COMPUTED_VALUE"""),"HS")</f>
        <v>HS</v>
      </c>
    </row>
    <row r="6486" ht="15.75" customHeight="1">
      <c r="A6486" s="1" t="str">
        <f>IFERROR(__xludf.DUMMYFUNCTION("""COMPUTED_VALUE"""),"Daniel Diaz")</f>
        <v>Daniel Diaz</v>
      </c>
      <c r="B6486" s="1" t="str">
        <f>IFERROR(__xludf.DUMMYFUNCTION("""COMPUTED_VALUE"""),"HS")</f>
        <v>HS</v>
      </c>
    </row>
    <row r="6487" ht="15.75" customHeight="1">
      <c r="A6487" s="1" t="str">
        <f>IFERROR(__xludf.DUMMYFUNCTION("""COMPUTED_VALUE"""),"Francisco Gallegos Marin")</f>
        <v>Francisco Gallegos Marin</v>
      </c>
      <c r="B6487" s="1" t="str">
        <f>IFERROR(__xludf.DUMMYFUNCTION("""COMPUTED_VALUE"""),"HS")</f>
        <v>HS</v>
      </c>
    </row>
    <row r="6488" ht="15.75" customHeight="1">
      <c r="A6488" s="1" t="str">
        <f>IFERROR(__xludf.DUMMYFUNCTION("""COMPUTED_VALUE"""),"Mariana Garcia Von Steinberg")</f>
        <v>Mariana Garcia Von Steinberg</v>
      </c>
      <c r="B6488" s="1" t="str">
        <f>IFERROR(__xludf.DUMMYFUNCTION("""COMPUTED_VALUE"""),"HS")</f>
        <v>HS</v>
      </c>
    </row>
    <row r="6489" ht="15.75" customHeight="1">
      <c r="A6489" s="1" t="str">
        <f>IFERROR(__xludf.DUMMYFUNCTION("""COMPUTED_VALUE"""),"Lesli Gutierrez")</f>
        <v>Lesli Gutierrez</v>
      </c>
      <c r="B6489" s="1" t="str">
        <f>IFERROR(__xludf.DUMMYFUNCTION("""COMPUTED_VALUE"""),"HS")</f>
        <v>HS</v>
      </c>
    </row>
    <row r="6490" ht="15.75" customHeight="1">
      <c r="A6490" s="1" t="str">
        <f>IFERROR(__xludf.DUMMYFUNCTION("""COMPUTED_VALUE"""),"Antonio Lopez Andrade")</f>
        <v>Antonio Lopez Andrade</v>
      </c>
      <c r="B6490" s="1" t="str">
        <f>IFERROR(__xludf.DUMMYFUNCTION("""COMPUTED_VALUE"""),"HS")</f>
        <v>HS</v>
      </c>
    </row>
    <row r="6491" ht="15.75" customHeight="1">
      <c r="A6491" s="1" t="str">
        <f>IFERROR(__xludf.DUMMYFUNCTION("""COMPUTED_VALUE"""),"Jeanitha Malivanh")</f>
        <v>Jeanitha Malivanh</v>
      </c>
      <c r="B6491" s="1" t="str">
        <f>IFERROR(__xludf.DUMMYFUNCTION("""COMPUTED_VALUE"""),"HS")</f>
        <v>HS</v>
      </c>
    </row>
    <row r="6492" ht="15.75" customHeight="1">
      <c r="A6492" s="1" t="str">
        <f>IFERROR(__xludf.DUMMYFUNCTION("""COMPUTED_VALUE"""),"Eulalia Miguel Pedro")</f>
        <v>Eulalia Miguel Pedro</v>
      </c>
      <c r="B6492" s="1" t="str">
        <f>IFERROR(__xludf.DUMMYFUNCTION("""COMPUTED_VALUE"""),"HS")</f>
        <v>HS</v>
      </c>
    </row>
    <row r="6493" ht="15.75" customHeight="1">
      <c r="A6493" s="1" t="str">
        <f>IFERROR(__xludf.DUMMYFUNCTION("""COMPUTED_VALUE"""),"Juan Paz Damian")</f>
        <v>Juan Paz Damian</v>
      </c>
      <c r="B6493" s="1" t="str">
        <f>IFERROR(__xludf.DUMMYFUNCTION("""COMPUTED_VALUE"""),"HS")</f>
        <v>HS</v>
      </c>
    </row>
    <row r="6494" ht="15.75" customHeight="1">
      <c r="A6494" s="1" t="str">
        <f>IFERROR(__xludf.DUMMYFUNCTION("""COMPUTED_VALUE"""),"Juana Pedro Juan")</f>
        <v>Juana Pedro Juan</v>
      </c>
      <c r="B6494" s="1" t="str">
        <f>IFERROR(__xludf.DUMMYFUNCTION("""COMPUTED_VALUE"""),"HS")</f>
        <v>HS</v>
      </c>
    </row>
    <row r="6495" ht="15.75" customHeight="1">
      <c r="A6495" s="1" t="str">
        <f>IFERROR(__xludf.DUMMYFUNCTION("""COMPUTED_VALUE"""),"Maria Pedro Juan")</f>
        <v>Maria Pedro Juan</v>
      </c>
      <c r="B6495" s="1" t="str">
        <f>IFERROR(__xludf.DUMMYFUNCTION("""COMPUTED_VALUE"""),"HS")</f>
        <v>HS</v>
      </c>
    </row>
    <row r="6496" ht="15.75" customHeight="1">
      <c r="A6496" s="1" t="str">
        <f>IFERROR(__xludf.DUMMYFUNCTION("""COMPUTED_VALUE"""),"Jacob Salas")</f>
        <v>Jacob Salas</v>
      </c>
      <c r="B6496" s="1" t="str">
        <f>IFERROR(__xludf.DUMMYFUNCTION("""COMPUTED_VALUE"""),"HS")</f>
        <v>HS</v>
      </c>
    </row>
    <row r="6497" ht="15.75" customHeight="1">
      <c r="A6497" s="1" t="str">
        <f>IFERROR(__xludf.DUMMYFUNCTION("""COMPUTED_VALUE"""),"Landon Brown")</f>
        <v>Landon Brown</v>
      </c>
      <c r="B6497" s="1" t="str">
        <f>IFERROR(__xludf.DUMMYFUNCTION("""COMPUTED_VALUE"""),"HS")</f>
        <v>HS</v>
      </c>
    </row>
    <row r="6498" ht="15.75" customHeight="1">
      <c r="A6498" s="1" t="str">
        <f>IFERROR(__xludf.DUMMYFUNCTION("""COMPUTED_VALUE"""),"Junieliz Castro Matias")</f>
        <v>Junieliz Castro Matias</v>
      </c>
      <c r="B6498" s="1" t="str">
        <f>IFERROR(__xludf.DUMMYFUNCTION("""COMPUTED_VALUE"""),"HS")</f>
        <v>HS</v>
      </c>
    </row>
    <row r="6499" ht="15.75" customHeight="1">
      <c r="A6499" s="1" t="str">
        <f>IFERROR(__xludf.DUMMYFUNCTION("""COMPUTED_VALUE"""),"Aidan Charbonneau")</f>
        <v>Aidan Charbonneau</v>
      </c>
      <c r="B6499" s="1" t="str">
        <f>IFERROR(__xludf.DUMMYFUNCTION("""COMPUTED_VALUE"""),"HS")</f>
        <v>HS</v>
      </c>
    </row>
    <row r="6500" ht="15.75" customHeight="1">
      <c r="A6500" s="1" t="str">
        <f>IFERROR(__xludf.DUMMYFUNCTION("""COMPUTED_VALUE"""),"Jaxon Chase")</f>
        <v>Jaxon Chase</v>
      </c>
      <c r="B6500" s="1" t="str">
        <f>IFERROR(__xludf.DUMMYFUNCTION("""COMPUTED_VALUE"""),"HS")</f>
        <v>HS</v>
      </c>
    </row>
    <row r="6501" ht="15.75" customHeight="1">
      <c r="A6501" s="1" t="str">
        <f>IFERROR(__xludf.DUMMYFUNCTION("""COMPUTED_VALUE"""),"Ellie Connealy")</f>
        <v>Ellie Connealy</v>
      </c>
      <c r="B6501" s="1" t="str">
        <f>IFERROR(__xludf.DUMMYFUNCTION("""COMPUTED_VALUE"""),"HS")</f>
        <v>HS</v>
      </c>
    </row>
    <row r="6502" ht="15.75" customHeight="1">
      <c r="A6502" s="1" t="str">
        <f>IFERROR(__xludf.DUMMYFUNCTION("""COMPUTED_VALUE"""),"Holden Cook")</f>
        <v>Holden Cook</v>
      </c>
      <c r="B6502" s="1" t="str">
        <f>IFERROR(__xludf.DUMMYFUNCTION("""COMPUTED_VALUE"""),"HS")</f>
        <v>HS</v>
      </c>
    </row>
    <row r="6503" ht="15.75" customHeight="1">
      <c r="A6503" s="1" t="str">
        <f>IFERROR(__xludf.DUMMYFUNCTION("""COMPUTED_VALUE"""),"Kane Eichorst")</f>
        <v>Kane Eichorst</v>
      </c>
      <c r="B6503" s="1" t="str">
        <f>IFERROR(__xludf.DUMMYFUNCTION("""COMPUTED_VALUE"""),"HS")</f>
        <v>HS</v>
      </c>
    </row>
    <row r="6504" ht="15.75" customHeight="1">
      <c r="A6504" s="1" t="str">
        <f>IFERROR(__xludf.DUMMYFUNCTION("""COMPUTED_VALUE"""),"Anthony Elias")</f>
        <v>Anthony Elias</v>
      </c>
      <c r="B6504" s="1" t="str">
        <f>IFERROR(__xludf.DUMMYFUNCTION("""COMPUTED_VALUE"""),"HS")</f>
        <v>HS</v>
      </c>
    </row>
    <row r="6505" ht="15.75" customHeight="1">
      <c r="A6505" s="1" t="str">
        <f>IFERROR(__xludf.DUMMYFUNCTION("""COMPUTED_VALUE"""),"Marco Elias Molina")</f>
        <v>Marco Elias Molina</v>
      </c>
      <c r="B6505" s="1" t="str">
        <f>IFERROR(__xludf.DUMMYFUNCTION("""COMPUTED_VALUE"""),"HS")</f>
        <v>HS</v>
      </c>
    </row>
    <row r="6506" ht="15.75" customHeight="1">
      <c r="A6506" s="1" t="str">
        <f>IFERROR(__xludf.DUMMYFUNCTION("""COMPUTED_VALUE"""),"Evelyn Gallardo Soto")</f>
        <v>Evelyn Gallardo Soto</v>
      </c>
      <c r="B6506" s="1" t="str">
        <f>IFERROR(__xludf.DUMMYFUNCTION("""COMPUTED_VALUE"""),"HS")</f>
        <v>HS</v>
      </c>
    </row>
    <row r="6507" ht="15.75" customHeight="1">
      <c r="A6507" s="1" t="str">
        <f>IFERROR(__xludf.DUMMYFUNCTION("""COMPUTED_VALUE"""),"Morgan Griffith")</f>
        <v>Morgan Griffith</v>
      </c>
      <c r="B6507" s="1" t="str">
        <f>IFERROR(__xludf.DUMMYFUNCTION("""COMPUTED_VALUE"""),"HS")</f>
        <v>HS</v>
      </c>
    </row>
    <row r="6508" ht="15.75" customHeight="1">
      <c r="A6508" s="1" t="str">
        <f>IFERROR(__xludf.DUMMYFUNCTION("""COMPUTED_VALUE"""),"Adan Herrera")</f>
        <v>Adan Herrera</v>
      </c>
      <c r="B6508" s="1" t="str">
        <f>IFERROR(__xludf.DUMMYFUNCTION("""COMPUTED_VALUE"""),"HS")</f>
        <v>HS</v>
      </c>
    </row>
    <row r="6509" ht="15.75" customHeight="1">
      <c r="A6509" s="1" t="str">
        <f>IFERROR(__xludf.DUMMYFUNCTION("""COMPUTED_VALUE"""),"Shane Hock")</f>
        <v>Shane Hock</v>
      </c>
      <c r="B6509" s="1" t="str">
        <f>IFERROR(__xludf.DUMMYFUNCTION("""COMPUTED_VALUE"""),"HS")</f>
        <v>HS</v>
      </c>
    </row>
    <row r="6510" ht="15.75" customHeight="1">
      <c r="A6510" s="1" t="str">
        <f>IFERROR(__xludf.DUMMYFUNCTION("""COMPUTED_VALUE"""),"Connor Jurgens")</f>
        <v>Connor Jurgens</v>
      </c>
      <c r="B6510" s="1" t="str">
        <f>IFERROR(__xludf.DUMMYFUNCTION("""COMPUTED_VALUE"""),"HS")</f>
        <v>HS</v>
      </c>
    </row>
    <row r="6511" ht="15.75" customHeight="1">
      <c r="A6511" s="1" t="str">
        <f>IFERROR(__xludf.DUMMYFUNCTION("""COMPUTED_VALUE"""),"Brooke Kettner")</f>
        <v>Brooke Kettner</v>
      </c>
      <c r="B6511" s="1" t="str">
        <f>IFERROR(__xludf.DUMMYFUNCTION("""COMPUTED_VALUE"""),"HS")</f>
        <v>HS</v>
      </c>
    </row>
    <row r="6512" ht="15.75" customHeight="1">
      <c r="A6512" s="1" t="str">
        <f>IFERROR(__xludf.DUMMYFUNCTION("""COMPUTED_VALUE"""),"Jesus Mendez Garcia")</f>
        <v>Jesus Mendez Garcia</v>
      </c>
      <c r="B6512" s="1" t="str">
        <f>IFERROR(__xludf.DUMMYFUNCTION("""COMPUTED_VALUE"""),"HS")</f>
        <v>HS</v>
      </c>
    </row>
    <row r="6513" ht="15.75" customHeight="1">
      <c r="A6513" s="1" t="str">
        <f>IFERROR(__xludf.DUMMYFUNCTION("""COMPUTED_VALUE"""),"Evan Miranda")</f>
        <v>Evan Miranda</v>
      </c>
      <c r="B6513" s="1" t="str">
        <f>IFERROR(__xludf.DUMMYFUNCTION("""COMPUTED_VALUE"""),"HS")</f>
        <v>HS</v>
      </c>
    </row>
    <row r="6514" ht="15.75" customHeight="1">
      <c r="A6514" s="1" t="str">
        <f>IFERROR(__xludf.DUMMYFUNCTION("""COMPUTED_VALUE"""),"Halona Odell")</f>
        <v>Halona Odell</v>
      </c>
      <c r="B6514" s="1" t="str">
        <f>IFERROR(__xludf.DUMMYFUNCTION("""COMPUTED_VALUE"""),"HS")</f>
        <v>HS</v>
      </c>
    </row>
    <row r="6515" ht="15.75" customHeight="1">
      <c r="A6515" s="1" t="str">
        <f>IFERROR(__xludf.DUMMYFUNCTION("""COMPUTED_VALUE"""),"Averie Paschelke")</f>
        <v>Averie Paschelke</v>
      </c>
      <c r="B6515" s="1" t="str">
        <f>IFERROR(__xludf.DUMMYFUNCTION("""COMPUTED_VALUE"""),"HS")</f>
        <v>HS</v>
      </c>
    </row>
    <row r="6516" ht="15.75" customHeight="1">
      <c r="A6516" s="1" t="str">
        <f>IFERROR(__xludf.DUMMYFUNCTION("""COMPUTED_VALUE"""),"Logan Pickens")</f>
        <v>Logan Pickens</v>
      </c>
      <c r="B6516" s="1" t="str">
        <f>IFERROR(__xludf.DUMMYFUNCTION("""COMPUTED_VALUE"""),"HS")</f>
        <v>HS</v>
      </c>
    </row>
    <row r="6517" ht="15.75" customHeight="1">
      <c r="A6517" s="1" t="str">
        <f>IFERROR(__xludf.DUMMYFUNCTION("""COMPUTED_VALUE"""),"Jett Priest")</f>
        <v>Jett Priest</v>
      </c>
      <c r="B6517" s="1" t="str">
        <f>IFERROR(__xludf.DUMMYFUNCTION("""COMPUTED_VALUE"""),"HS")</f>
        <v>HS</v>
      </c>
    </row>
    <row r="6518" ht="15.75" customHeight="1">
      <c r="A6518" s="1" t="str">
        <f>IFERROR(__xludf.DUMMYFUNCTION("""COMPUTED_VALUE"""),"Michael Quintero")</f>
        <v>Michael Quintero</v>
      </c>
      <c r="B6518" s="1" t="str">
        <f>IFERROR(__xludf.DUMMYFUNCTION("""COMPUTED_VALUE"""),"HS")</f>
        <v>HS</v>
      </c>
    </row>
    <row r="6519" ht="15.75" customHeight="1">
      <c r="A6519" s="1" t="str">
        <f>IFERROR(__xludf.DUMMYFUNCTION("""COMPUTED_VALUE"""),"Luis Saucedo")</f>
        <v>Luis Saucedo</v>
      </c>
      <c r="B6519" s="1" t="str">
        <f>IFERROR(__xludf.DUMMYFUNCTION("""COMPUTED_VALUE"""),"HS")</f>
        <v>HS</v>
      </c>
    </row>
    <row r="6520" ht="15.75" customHeight="1">
      <c r="A6520" s="1" t="str">
        <f>IFERROR(__xludf.DUMMYFUNCTION("""COMPUTED_VALUE"""),"Alyvia Soll")</f>
        <v>Alyvia Soll</v>
      </c>
      <c r="B6520" s="1" t="str">
        <f>IFERROR(__xludf.DUMMYFUNCTION("""COMPUTED_VALUE"""),"HS")</f>
        <v>HS</v>
      </c>
    </row>
    <row r="6521" ht="15.75" customHeight="1">
      <c r="A6521" s="1" t="str">
        <f>IFERROR(__xludf.DUMMYFUNCTION("""COMPUTED_VALUE"""),"Charlotte Thomas")</f>
        <v>Charlotte Thomas</v>
      </c>
      <c r="B6521" s="1" t="str">
        <f>IFERROR(__xludf.DUMMYFUNCTION("""COMPUTED_VALUE"""),"HS")</f>
        <v>HS</v>
      </c>
    </row>
    <row r="6522" ht="15.75" customHeight="1">
      <c r="A6522" s="1" t="str">
        <f>IFERROR(__xludf.DUMMYFUNCTION("""COMPUTED_VALUE"""),"Jonathan Tremblay")</f>
        <v>Jonathan Tremblay</v>
      </c>
      <c r="B6522" s="1" t="str">
        <f>IFERROR(__xludf.DUMMYFUNCTION("""COMPUTED_VALUE"""),"HS")</f>
        <v>HS</v>
      </c>
    </row>
    <row r="6523" ht="15.75" customHeight="1">
      <c r="A6523" s="1" t="str">
        <f>IFERROR(__xludf.DUMMYFUNCTION("""COMPUTED_VALUE"""),"Isabella Arroyo")</f>
        <v>Isabella Arroyo</v>
      </c>
      <c r="B6523" s="1" t="str">
        <f>IFERROR(__xludf.DUMMYFUNCTION("""COMPUTED_VALUE"""),"HS")</f>
        <v>HS</v>
      </c>
    </row>
    <row r="6524" ht="15.75" customHeight="1">
      <c r="A6524" s="1" t="str">
        <f>IFERROR(__xludf.DUMMYFUNCTION("""COMPUTED_VALUE"""),"Connor Carey")</f>
        <v>Connor Carey</v>
      </c>
      <c r="B6524" s="1" t="str">
        <f>IFERROR(__xludf.DUMMYFUNCTION("""COMPUTED_VALUE"""),"HS")</f>
        <v>HS</v>
      </c>
    </row>
    <row r="6525" ht="15.75" customHeight="1">
      <c r="A6525" s="1" t="str">
        <f>IFERROR(__xludf.DUMMYFUNCTION("""COMPUTED_VALUE"""),"Payton Cornett")</f>
        <v>Payton Cornett</v>
      </c>
      <c r="B6525" s="1" t="str">
        <f>IFERROR(__xludf.DUMMYFUNCTION("""COMPUTED_VALUE"""),"HS")</f>
        <v>HS</v>
      </c>
    </row>
    <row r="6526" ht="15.75" customHeight="1">
      <c r="A6526" s="1" t="str">
        <f>IFERROR(__xludf.DUMMYFUNCTION("""COMPUTED_VALUE"""),"Wyatt Feldhacker")</f>
        <v>Wyatt Feldhacker</v>
      </c>
      <c r="B6526" s="1" t="str">
        <f>IFERROR(__xludf.DUMMYFUNCTION("""COMPUTED_VALUE"""),"HS")</f>
        <v>HS</v>
      </c>
    </row>
    <row r="6527" ht="15.75" customHeight="1">
      <c r="A6527" s="1" t="str">
        <f>IFERROR(__xludf.DUMMYFUNCTION("""COMPUTED_VALUE"""),"Jacob Flikkema")</f>
        <v>Jacob Flikkema</v>
      </c>
      <c r="B6527" s="1" t="str">
        <f>IFERROR(__xludf.DUMMYFUNCTION("""COMPUTED_VALUE"""),"HS")</f>
        <v>HS</v>
      </c>
    </row>
    <row r="6528" ht="15.75" customHeight="1">
      <c r="A6528" s="1" t="str">
        <f>IFERROR(__xludf.DUMMYFUNCTION("""COMPUTED_VALUE"""),"Ariela Guerrero")</f>
        <v>Ariela Guerrero</v>
      </c>
      <c r="B6528" s="1" t="str">
        <f>IFERROR(__xludf.DUMMYFUNCTION("""COMPUTED_VALUE"""),"HS")</f>
        <v>HS</v>
      </c>
    </row>
    <row r="6529" ht="15.75" customHeight="1">
      <c r="A6529" s="1" t="str">
        <f>IFERROR(__xludf.DUMMYFUNCTION("""COMPUTED_VALUE"""),"Olivia Litehiser")</f>
        <v>Olivia Litehiser</v>
      </c>
      <c r="B6529" s="1" t="str">
        <f>IFERROR(__xludf.DUMMYFUNCTION("""COMPUTED_VALUE"""),"HS")</f>
        <v>HS</v>
      </c>
    </row>
    <row r="6530" ht="15.75" customHeight="1">
      <c r="A6530" s="1" t="str">
        <f>IFERROR(__xludf.DUMMYFUNCTION("""COMPUTED_VALUE"""),"Aaron McCarty")</f>
        <v>Aaron McCarty</v>
      </c>
      <c r="B6530" s="1" t="str">
        <f>IFERROR(__xludf.DUMMYFUNCTION("""COMPUTED_VALUE"""),"HS")</f>
        <v>HS</v>
      </c>
    </row>
    <row r="6531" ht="15.75" customHeight="1">
      <c r="A6531" s="1" t="str">
        <f>IFERROR(__xludf.DUMMYFUNCTION("""COMPUTED_VALUE"""),"Bradley Nelson")</f>
        <v>Bradley Nelson</v>
      </c>
      <c r="B6531" s="1" t="str">
        <f>IFERROR(__xludf.DUMMYFUNCTION("""COMPUTED_VALUE"""),"HS")</f>
        <v>HS</v>
      </c>
    </row>
    <row r="6532" ht="15.75" customHeight="1">
      <c r="A6532" s="1" t="str">
        <f>IFERROR(__xludf.DUMMYFUNCTION("""COMPUTED_VALUE"""),"Brooklyn Papenfuss")</f>
        <v>Brooklyn Papenfuss</v>
      </c>
      <c r="B6532" s="1" t="str">
        <f>IFERROR(__xludf.DUMMYFUNCTION("""COMPUTED_VALUE"""),"HS")</f>
        <v>HS</v>
      </c>
    </row>
    <row r="6533" ht="15.75" customHeight="1">
      <c r="A6533" s="1" t="str">
        <f>IFERROR(__xludf.DUMMYFUNCTION("""COMPUTED_VALUE"""),"Kanai Pennebaker")</f>
        <v>Kanai Pennebaker</v>
      </c>
      <c r="B6533" s="1" t="str">
        <f>IFERROR(__xludf.DUMMYFUNCTION("""COMPUTED_VALUE"""),"HS")</f>
        <v>HS</v>
      </c>
    </row>
    <row r="6534" ht="15.75" customHeight="1">
      <c r="A6534" s="1" t="str">
        <f>IFERROR(__xludf.DUMMYFUNCTION("""COMPUTED_VALUE"""),"Mia Ramirez-Lira")</f>
        <v>Mia Ramirez-Lira</v>
      </c>
      <c r="B6534" s="1" t="str">
        <f>IFERROR(__xludf.DUMMYFUNCTION("""COMPUTED_VALUE"""),"HS")</f>
        <v>HS</v>
      </c>
    </row>
    <row r="6535" ht="15.75" customHeight="1">
      <c r="A6535" s="1" t="str">
        <f>IFERROR(__xludf.DUMMYFUNCTION("""COMPUTED_VALUE"""),"Tate Ridgway")</f>
        <v>Tate Ridgway</v>
      </c>
      <c r="B6535" s="1" t="str">
        <f>IFERROR(__xludf.DUMMYFUNCTION("""COMPUTED_VALUE"""),"HS")</f>
        <v>HS</v>
      </c>
    </row>
    <row r="6536" ht="15.75" customHeight="1">
      <c r="A6536" s="1" t="str">
        <f>IFERROR(__xludf.DUMMYFUNCTION("""COMPUTED_VALUE"""),"Kaitlyn Smit")</f>
        <v>Kaitlyn Smit</v>
      </c>
      <c r="B6536" s="1" t="str">
        <f>IFERROR(__xludf.DUMMYFUNCTION("""COMPUTED_VALUE"""),"HS")</f>
        <v>HS</v>
      </c>
    </row>
    <row r="6537" ht="15.75" customHeight="1">
      <c r="A6537" s="1" t="str">
        <f>IFERROR(__xludf.DUMMYFUNCTION("""COMPUTED_VALUE"""),"Ember Urias")</f>
        <v>Ember Urias</v>
      </c>
      <c r="B6537" s="1" t="str">
        <f>IFERROR(__xludf.DUMMYFUNCTION("""COMPUTED_VALUE"""),"HS")</f>
        <v>HS</v>
      </c>
    </row>
    <row r="6538" ht="15.75" customHeight="1">
      <c r="A6538" s="1" t="str">
        <f>IFERROR(__xludf.DUMMYFUNCTION("""COMPUTED_VALUE"""),"Emilia Wilson")</f>
        <v>Emilia Wilson</v>
      </c>
      <c r="B6538" s="1" t="str">
        <f>IFERROR(__xludf.DUMMYFUNCTION("""COMPUTED_VALUE"""),"HS")</f>
        <v>HS</v>
      </c>
    </row>
    <row r="6539" ht="15.75" customHeight="1">
      <c r="A6539" s="1" t="str">
        <f>IFERROR(__xludf.DUMMYFUNCTION("""COMPUTED_VALUE"""),"Elijah Wortz")</f>
        <v>Elijah Wortz</v>
      </c>
      <c r="B6539" s="1" t="str">
        <f>IFERROR(__xludf.DUMMYFUNCTION("""COMPUTED_VALUE"""),"HS")</f>
        <v>HS</v>
      </c>
    </row>
    <row r="6540" ht="15.75" customHeight="1">
      <c r="A6540" s="1" t="str">
        <f>IFERROR(__xludf.DUMMYFUNCTION("""COMPUTED_VALUE"""),"Stella Andresen")</f>
        <v>Stella Andresen</v>
      </c>
      <c r="B6540" s="1" t="str">
        <f>IFERROR(__xludf.DUMMYFUNCTION("""COMPUTED_VALUE"""),"HS")</f>
        <v>HS</v>
      </c>
    </row>
    <row r="6541" ht="15.75" customHeight="1">
      <c r="A6541" s="1" t="str">
        <f>IFERROR(__xludf.DUMMYFUNCTION("""COMPUTED_VALUE"""),"Elijah Becerra")</f>
        <v>Elijah Becerra</v>
      </c>
      <c r="B6541" s="1" t="str">
        <f>IFERROR(__xludf.DUMMYFUNCTION("""COMPUTED_VALUE"""),"HS")</f>
        <v>HS</v>
      </c>
    </row>
    <row r="6542" ht="15.75" customHeight="1">
      <c r="A6542" s="1" t="str">
        <f>IFERROR(__xludf.DUMMYFUNCTION("""COMPUTED_VALUE"""),"Finn Born")</f>
        <v>Finn Born</v>
      </c>
      <c r="B6542" s="1" t="str">
        <f>IFERROR(__xludf.DUMMYFUNCTION("""COMPUTED_VALUE"""),"HS")</f>
        <v>HS</v>
      </c>
    </row>
    <row r="6543" ht="15.75" customHeight="1">
      <c r="A6543" s="1" t="str">
        <f>IFERROR(__xludf.DUMMYFUNCTION("""COMPUTED_VALUE"""),"Jaycee Burdick")</f>
        <v>Jaycee Burdick</v>
      </c>
      <c r="B6543" s="1" t="str">
        <f>IFERROR(__xludf.DUMMYFUNCTION("""COMPUTED_VALUE"""),"HS")</f>
        <v>HS</v>
      </c>
    </row>
    <row r="6544" ht="15.75" customHeight="1">
      <c r="A6544" s="1" t="str">
        <f>IFERROR(__xludf.DUMMYFUNCTION("""COMPUTED_VALUE"""),"Cameron Caruso")</f>
        <v>Cameron Caruso</v>
      </c>
      <c r="B6544" s="1" t="str">
        <f>IFERROR(__xludf.DUMMYFUNCTION("""COMPUTED_VALUE"""),"HS")</f>
        <v>HS</v>
      </c>
    </row>
    <row r="6545" ht="15.75" customHeight="1">
      <c r="A6545" s="1" t="str">
        <f>IFERROR(__xludf.DUMMYFUNCTION("""COMPUTED_VALUE"""),"Kayla Copeland")</f>
        <v>Kayla Copeland</v>
      </c>
      <c r="B6545" s="1" t="str">
        <f>IFERROR(__xludf.DUMMYFUNCTION("""COMPUTED_VALUE"""),"HS")</f>
        <v>HS</v>
      </c>
    </row>
    <row r="6546" ht="15.75" customHeight="1">
      <c r="A6546" s="1" t="str">
        <f>IFERROR(__xludf.DUMMYFUNCTION("""COMPUTED_VALUE"""),"Brian Eufracio Perez")</f>
        <v>Brian Eufracio Perez</v>
      </c>
      <c r="B6546" s="1" t="str">
        <f>IFERROR(__xludf.DUMMYFUNCTION("""COMPUTED_VALUE"""),"HS")</f>
        <v>HS</v>
      </c>
    </row>
    <row r="6547" ht="15.75" customHeight="1">
      <c r="A6547" s="1" t="str">
        <f>IFERROR(__xludf.DUMMYFUNCTION("""COMPUTED_VALUE"""),"Payton Haney")</f>
        <v>Payton Haney</v>
      </c>
      <c r="B6547" s="1" t="str">
        <f>IFERROR(__xludf.DUMMYFUNCTION("""COMPUTED_VALUE"""),"HS")</f>
        <v>HS</v>
      </c>
    </row>
    <row r="6548" ht="15.75" customHeight="1">
      <c r="A6548" s="1" t="str">
        <f>IFERROR(__xludf.DUMMYFUNCTION("""COMPUTED_VALUE"""),"Avery Hawkins")</f>
        <v>Avery Hawkins</v>
      </c>
      <c r="B6548" s="1" t="str">
        <f>IFERROR(__xludf.DUMMYFUNCTION("""COMPUTED_VALUE"""),"HS")</f>
        <v>HS</v>
      </c>
    </row>
    <row r="6549" ht="15.75" customHeight="1">
      <c r="A6549" s="1" t="str">
        <f>IFERROR(__xludf.DUMMYFUNCTION("""COMPUTED_VALUE"""),"Evelyn Helmink")</f>
        <v>Evelyn Helmink</v>
      </c>
      <c r="B6549" s="1" t="str">
        <f>IFERROR(__xludf.DUMMYFUNCTION("""COMPUTED_VALUE"""),"HS")</f>
        <v>HS</v>
      </c>
    </row>
    <row r="6550" ht="15.75" customHeight="1">
      <c r="A6550" s="1" t="str">
        <f>IFERROR(__xludf.DUMMYFUNCTION("""COMPUTED_VALUE"""),"Graham Henry")</f>
        <v>Graham Henry</v>
      </c>
      <c r="B6550" s="1" t="str">
        <f>IFERROR(__xludf.DUMMYFUNCTION("""COMPUTED_VALUE"""),"HS")</f>
        <v>HS</v>
      </c>
    </row>
    <row r="6551" ht="15.75" customHeight="1">
      <c r="A6551" s="1" t="str">
        <f>IFERROR(__xludf.DUMMYFUNCTION("""COMPUTED_VALUE"""),"James Kim")</f>
        <v>James Kim</v>
      </c>
      <c r="B6551" s="1" t="str">
        <f>IFERROR(__xludf.DUMMYFUNCTION("""COMPUTED_VALUE"""),"HS")</f>
        <v>HS</v>
      </c>
    </row>
    <row r="6552" ht="15.75" customHeight="1">
      <c r="A6552" s="1" t="str">
        <f>IFERROR(__xludf.DUMMYFUNCTION("""COMPUTED_VALUE"""),"Anderson Kimble")</f>
        <v>Anderson Kimble</v>
      </c>
      <c r="B6552" s="1" t="str">
        <f>IFERROR(__xludf.DUMMYFUNCTION("""COMPUTED_VALUE"""),"HS")</f>
        <v>HS</v>
      </c>
    </row>
    <row r="6553" ht="15.75" customHeight="1">
      <c r="A6553" s="1" t="str">
        <f>IFERROR(__xludf.DUMMYFUNCTION("""COMPUTED_VALUE"""),"Harley Leathers")</f>
        <v>Harley Leathers</v>
      </c>
      <c r="B6553" s="1" t="str">
        <f>IFERROR(__xludf.DUMMYFUNCTION("""COMPUTED_VALUE"""),"HS")</f>
        <v>HS</v>
      </c>
    </row>
    <row r="6554" ht="15.75" customHeight="1">
      <c r="A6554" s="1" t="str">
        <f>IFERROR(__xludf.DUMMYFUNCTION("""COMPUTED_VALUE"""),"Marli McGarrah")</f>
        <v>Marli McGarrah</v>
      </c>
      <c r="B6554" s="1" t="str">
        <f>IFERROR(__xludf.DUMMYFUNCTION("""COMPUTED_VALUE"""),"HS")</f>
        <v>HS</v>
      </c>
    </row>
    <row r="6555" ht="15.75" customHeight="1">
      <c r="A6555" s="1" t="str">
        <f>IFERROR(__xludf.DUMMYFUNCTION("""COMPUTED_VALUE"""),"MaggieLee Moore")</f>
        <v>MaggieLee Moore</v>
      </c>
      <c r="B6555" s="1" t="str">
        <f>IFERROR(__xludf.DUMMYFUNCTION("""COMPUTED_VALUE"""),"HS")</f>
        <v>HS</v>
      </c>
    </row>
    <row r="6556" ht="15.75" customHeight="1">
      <c r="A6556" s="1" t="str">
        <f>IFERROR(__xludf.DUMMYFUNCTION("""COMPUTED_VALUE"""),"Noah Nyseth")</f>
        <v>Noah Nyseth</v>
      </c>
      <c r="B6556" s="1" t="str">
        <f>IFERROR(__xludf.DUMMYFUNCTION("""COMPUTED_VALUE"""),"HS")</f>
        <v>HS</v>
      </c>
    </row>
    <row r="6557" ht="15.75" customHeight="1">
      <c r="A6557" s="1" t="str">
        <f>IFERROR(__xludf.DUMMYFUNCTION("""COMPUTED_VALUE"""),"Nathan Pacheco")</f>
        <v>Nathan Pacheco</v>
      </c>
      <c r="B6557" s="1" t="str">
        <f>IFERROR(__xludf.DUMMYFUNCTION("""COMPUTED_VALUE"""),"HS")</f>
        <v>HS</v>
      </c>
    </row>
    <row r="6558" ht="15.75" customHeight="1">
      <c r="A6558" s="1" t="str">
        <f>IFERROR(__xludf.DUMMYFUNCTION("""COMPUTED_VALUE"""),"Patrick Potter")</f>
        <v>Patrick Potter</v>
      </c>
      <c r="B6558" s="1" t="str">
        <f>IFERROR(__xludf.DUMMYFUNCTION("""COMPUTED_VALUE"""),"HS")</f>
        <v>HS</v>
      </c>
    </row>
    <row r="6559" ht="15.75" customHeight="1">
      <c r="A6559" s="1" t="str">
        <f>IFERROR(__xludf.DUMMYFUNCTION("""COMPUTED_VALUE"""),"Cody Price")</f>
        <v>Cody Price</v>
      </c>
      <c r="B6559" s="1" t="str">
        <f>IFERROR(__xludf.DUMMYFUNCTION("""COMPUTED_VALUE"""),"HS")</f>
        <v>HS</v>
      </c>
    </row>
    <row r="6560" ht="15.75" customHeight="1">
      <c r="A6560" s="1" t="str">
        <f>IFERROR(__xludf.DUMMYFUNCTION("""COMPUTED_VALUE"""),"Lucille Pulliam")</f>
        <v>Lucille Pulliam</v>
      </c>
      <c r="B6560" s="1" t="str">
        <f>IFERROR(__xludf.DUMMYFUNCTION("""COMPUTED_VALUE"""),"HS")</f>
        <v>HS</v>
      </c>
    </row>
    <row r="6561" ht="15.75" customHeight="1">
      <c r="A6561" s="1" t="str">
        <f>IFERROR(__xludf.DUMMYFUNCTION("""COMPUTED_VALUE"""),"Taryn Reardon")</f>
        <v>Taryn Reardon</v>
      </c>
      <c r="B6561" s="1" t="str">
        <f>IFERROR(__xludf.DUMMYFUNCTION("""COMPUTED_VALUE"""),"HS")</f>
        <v>HS</v>
      </c>
    </row>
    <row r="6562" ht="15.75" customHeight="1">
      <c r="A6562" s="1" t="str">
        <f>IFERROR(__xludf.DUMMYFUNCTION("""COMPUTED_VALUE"""),"Cody Rinard")</f>
        <v>Cody Rinard</v>
      </c>
      <c r="B6562" s="1" t="str">
        <f>IFERROR(__xludf.DUMMYFUNCTION("""COMPUTED_VALUE"""),"HS")</f>
        <v>HS</v>
      </c>
    </row>
    <row r="6563" ht="15.75" customHeight="1">
      <c r="A6563" s="1" t="str">
        <f>IFERROR(__xludf.DUMMYFUNCTION("""COMPUTED_VALUE"""),"Caden Seulean")</f>
        <v>Caden Seulean</v>
      </c>
      <c r="B6563" s="1" t="str">
        <f>IFERROR(__xludf.DUMMYFUNCTION("""COMPUTED_VALUE"""),"HS")</f>
        <v>HS</v>
      </c>
    </row>
    <row r="6564" ht="15.75" customHeight="1">
      <c r="A6564" s="1" t="str">
        <f>IFERROR(__xludf.DUMMYFUNCTION("""COMPUTED_VALUE"""),"Colton Taylor")</f>
        <v>Colton Taylor</v>
      </c>
      <c r="B6564" s="1" t="str">
        <f>IFERROR(__xludf.DUMMYFUNCTION("""COMPUTED_VALUE"""),"HS")</f>
        <v>HS</v>
      </c>
    </row>
    <row r="6565" ht="15.75" customHeight="1">
      <c r="A6565" s="1" t="str">
        <f>IFERROR(__xludf.DUMMYFUNCTION("""COMPUTED_VALUE"""),"Xavier Torres")</f>
        <v>Xavier Torres</v>
      </c>
      <c r="B6565" s="1" t="str">
        <f>IFERROR(__xludf.DUMMYFUNCTION("""COMPUTED_VALUE"""),"HS")</f>
        <v>HS</v>
      </c>
    </row>
    <row r="6566" ht="15.75" customHeight="1">
      <c r="A6566" s="1" t="str">
        <f>IFERROR(__xludf.DUMMYFUNCTION("""COMPUTED_VALUE"""),"Elijua Valdez Orozco")</f>
        <v>Elijua Valdez Orozco</v>
      </c>
      <c r="B6566" s="1" t="str">
        <f>IFERROR(__xludf.DUMMYFUNCTION("""COMPUTED_VALUE"""),"HS")</f>
        <v>HS</v>
      </c>
    </row>
    <row r="6567" ht="15.75" customHeight="1">
      <c r="A6567" s="1" t="str">
        <f>IFERROR(__xludf.DUMMYFUNCTION("""COMPUTED_VALUE"""),"Gage Williams")</f>
        <v>Gage Williams</v>
      </c>
      <c r="B6567" s="1" t="str">
        <f>IFERROR(__xludf.DUMMYFUNCTION("""COMPUTED_VALUE"""),"HS")</f>
        <v>HS</v>
      </c>
    </row>
    <row r="6568" ht="15.75" customHeight="1">
      <c r="A6568" s="1" t="str">
        <f>IFERROR(__xludf.DUMMYFUNCTION("""COMPUTED_VALUE"""),"Blake Zook")</f>
        <v>Blake Zook</v>
      </c>
      <c r="B6568" s="1" t="str">
        <f>IFERROR(__xludf.DUMMYFUNCTION("""COMPUTED_VALUE"""),"HS")</f>
        <v>HS</v>
      </c>
    </row>
    <row r="6569" ht="15.75" customHeight="1">
      <c r="A6569" s="1" t="str">
        <f>IFERROR(__xludf.DUMMYFUNCTION("""COMPUTED_VALUE"""),"Wesley Adams")</f>
        <v>Wesley Adams</v>
      </c>
      <c r="B6569" s="1" t="str">
        <f>IFERROR(__xludf.DUMMYFUNCTION("""COMPUTED_VALUE"""),"HS")</f>
        <v>HS</v>
      </c>
    </row>
    <row r="6570" ht="15.75" customHeight="1">
      <c r="A6570" s="1" t="str">
        <f>IFERROR(__xludf.DUMMYFUNCTION("""COMPUTED_VALUE"""),"Henry Bird")</f>
        <v>Henry Bird</v>
      </c>
      <c r="B6570" s="1" t="str">
        <f>IFERROR(__xludf.DUMMYFUNCTION("""COMPUTED_VALUE"""),"HS")</f>
        <v>HS</v>
      </c>
    </row>
    <row r="6571" ht="15.75" customHeight="1">
      <c r="A6571" s="1" t="str">
        <f>IFERROR(__xludf.DUMMYFUNCTION("""COMPUTED_VALUE"""),"Camdyn Cubic")</f>
        <v>Camdyn Cubic</v>
      </c>
      <c r="B6571" s="1" t="str">
        <f>IFERROR(__xludf.DUMMYFUNCTION("""COMPUTED_VALUE"""),"HS")</f>
        <v>HS</v>
      </c>
    </row>
    <row r="6572" ht="15.75" customHeight="1">
      <c r="A6572" s="1" t="str">
        <f>IFERROR(__xludf.DUMMYFUNCTION("""COMPUTED_VALUE"""),"Alberto De La Cruz Carrillo")</f>
        <v>Alberto De La Cruz Carrillo</v>
      </c>
      <c r="B6572" s="1" t="str">
        <f>IFERROR(__xludf.DUMMYFUNCTION("""COMPUTED_VALUE"""),"HS")</f>
        <v>HS</v>
      </c>
    </row>
    <row r="6573" ht="15.75" customHeight="1">
      <c r="A6573" s="1" t="str">
        <f>IFERROR(__xludf.DUMMYFUNCTION("""COMPUTED_VALUE"""),"Jordan Lewis")</f>
        <v>Jordan Lewis</v>
      </c>
      <c r="B6573" s="1" t="str">
        <f>IFERROR(__xludf.DUMMYFUNCTION("""COMPUTED_VALUE"""),"HS")</f>
        <v>HS</v>
      </c>
    </row>
    <row r="6574" ht="15.75" customHeight="1">
      <c r="A6574" s="1" t="str">
        <f>IFERROR(__xludf.DUMMYFUNCTION("""COMPUTED_VALUE"""),"Anthony McElheran")</f>
        <v>Anthony McElheran</v>
      </c>
      <c r="B6574" s="1" t="str">
        <f>IFERROR(__xludf.DUMMYFUNCTION("""COMPUTED_VALUE"""),"HS")</f>
        <v>HS</v>
      </c>
    </row>
    <row r="6575" ht="15.75" customHeight="1">
      <c r="A6575" s="1" t="str">
        <f>IFERROR(__xludf.DUMMYFUNCTION("""COMPUTED_VALUE"""),"Luis Mendoza Zurita")</f>
        <v>Luis Mendoza Zurita</v>
      </c>
      <c r="B6575" s="1" t="str">
        <f>IFERROR(__xludf.DUMMYFUNCTION("""COMPUTED_VALUE"""),"HS")</f>
        <v>HS</v>
      </c>
    </row>
    <row r="6576" ht="15.75" customHeight="1">
      <c r="A6576" s="1" t="str">
        <f>IFERROR(__xludf.DUMMYFUNCTION("""COMPUTED_VALUE"""),"Brayden Niiranen")</f>
        <v>Brayden Niiranen</v>
      </c>
      <c r="B6576" s="1" t="str">
        <f>IFERROR(__xludf.DUMMYFUNCTION("""COMPUTED_VALUE"""),"HS")</f>
        <v>HS</v>
      </c>
    </row>
    <row r="6577" ht="15.75" customHeight="1">
      <c r="A6577" s="1" t="str">
        <f>IFERROR(__xludf.DUMMYFUNCTION("""COMPUTED_VALUE"""),"Evelyn Page")</f>
        <v>Evelyn Page</v>
      </c>
      <c r="B6577" s="1" t="str">
        <f>IFERROR(__xludf.DUMMYFUNCTION("""COMPUTED_VALUE"""),"HS")</f>
        <v>HS</v>
      </c>
    </row>
    <row r="6578" ht="15.75" customHeight="1">
      <c r="A6578" s="1" t="str">
        <f>IFERROR(__xludf.DUMMYFUNCTION("""COMPUTED_VALUE"""),"Francisco Reyes Zavala")</f>
        <v>Francisco Reyes Zavala</v>
      </c>
      <c r="B6578" s="1" t="str">
        <f>IFERROR(__xludf.DUMMYFUNCTION("""COMPUTED_VALUE"""),"HS")</f>
        <v>HS</v>
      </c>
    </row>
    <row r="6579" ht="15.75" customHeight="1">
      <c r="A6579" s="1" t="str">
        <f>IFERROR(__xludf.DUMMYFUNCTION("""COMPUTED_VALUE"""),"Eliya Beeson")</f>
        <v>Eliya Beeson</v>
      </c>
      <c r="B6579" s="1" t="str">
        <f>IFERROR(__xludf.DUMMYFUNCTION("""COMPUTED_VALUE"""),"HS")</f>
        <v>HS</v>
      </c>
    </row>
    <row r="6580" ht="15.75" customHeight="1">
      <c r="A6580" s="1" t="str">
        <f>IFERROR(__xludf.DUMMYFUNCTION("""COMPUTED_VALUE"""),"Josephine Bird")</f>
        <v>Josephine Bird</v>
      </c>
      <c r="B6580" s="1" t="str">
        <f>IFERROR(__xludf.DUMMYFUNCTION("""COMPUTED_VALUE"""),"HS")</f>
        <v>HS</v>
      </c>
    </row>
    <row r="6581" ht="15.75" customHeight="1">
      <c r="A6581" s="1" t="str">
        <f>IFERROR(__xludf.DUMMYFUNCTION("""COMPUTED_VALUE"""),"Vinz Bisnan")</f>
        <v>Vinz Bisnan</v>
      </c>
      <c r="B6581" s="1" t="str">
        <f>IFERROR(__xludf.DUMMYFUNCTION("""COMPUTED_VALUE"""),"HS")</f>
        <v>HS</v>
      </c>
    </row>
    <row r="6582" ht="15.75" customHeight="1">
      <c r="A6582" s="1" t="str">
        <f>IFERROR(__xludf.DUMMYFUNCTION("""COMPUTED_VALUE"""),"Emma Burri")</f>
        <v>Emma Burri</v>
      </c>
      <c r="B6582" s="1" t="str">
        <f>IFERROR(__xludf.DUMMYFUNCTION("""COMPUTED_VALUE"""),"HS")</f>
        <v>HS</v>
      </c>
    </row>
    <row r="6583" ht="15.75" customHeight="1">
      <c r="A6583" s="1" t="str">
        <f>IFERROR(__xludf.DUMMYFUNCTION("""COMPUTED_VALUE"""),"Zackary Chatzigiannakos")</f>
        <v>Zackary Chatzigiannakos</v>
      </c>
      <c r="B6583" s="1" t="str">
        <f>IFERROR(__xludf.DUMMYFUNCTION("""COMPUTED_VALUE"""),"HS")</f>
        <v>HS</v>
      </c>
    </row>
    <row r="6584" ht="15.75" customHeight="1">
      <c r="A6584" s="1" t="str">
        <f>IFERROR(__xludf.DUMMYFUNCTION("""COMPUTED_VALUE"""),"Sarina Clemens")</f>
        <v>Sarina Clemens</v>
      </c>
      <c r="B6584" s="1" t="str">
        <f>IFERROR(__xludf.DUMMYFUNCTION("""COMPUTED_VALUE"""),"HS")</f>
        <v>HS</v>
      </c>
    </row>
    <row r="6585" ht="15.75" customHeight="1">
      <c r="A6585" s="1" t="str">
        <f>IFERROR(__xludf.DUMMYFUNCTION("""COMPUTED_VALUE"""),"Lukus Corpron")</f>
        <v>Lukus Corpron</v>
      </c>
      <c r="B6585" s="1" t="str">
        <f>IFERROR(__xludf.DUMMYFUNCTION("""COMPUTED_VALUE"""),"HS")</f>
        <v>HS</v>
      </c>
    </row>
    <row r="6586" ht="15.75" customHeight="1">
      <c r="A6586" s="1" t="str">
        <f>IFERROR(__xludf.DUMMYFUNCTION("""COMPUTED_VALUE"""),"Jesee Cox")</f>
        <v>Jesee Cox</v>
      </c>
      <c r="B6586" s="1" t="str">
        <f>IFERROR(__xludf.DUMMYFUNCTION("""COMPUTED_VALUE"""),"HS")</f>
        <v>HS</v>
      </c>
    </row>
    <row r="6587" ht="15.75" customHeight="1">
      <c r="A6587" s="1" t="str">
        <f>IFERROR(__xludf.DUMMYFUNCTION("""COMPUTED_VALUE"""),"Mari Cummings")</f>
        <v>Mari Cummings</v>
      </c>
      <c r="B6587" s="1" t="str">
        <f>IFERROR(__xludf.DUMMYFUNCTION("""COMPUTED_VALUE"""),"HS")</f>
        <v>HS</v>
      </c>
    </row>
    <row r="6588" ht="15.75" customHeight="1">
      <c r="A6588" s="1" t="str">
        <f>IFERROR(__xludf.DUMMYFUNCTION("""COMPUTED_VALUE"""),"Peyton Dodd")</f>
        <v>Peyton Dodd</v>
      </c>
      <c r="B6588" s="1" t="str">
        <f>IFERROR(__xludf.DUMMYFUNCTION("""COMPUTED_VALUE"""),"HS")</f>
        <v>HS</v>
      </c>
    </row>
    <row r="6589" ht="15.75" customHeight="1">
      <c r="A6589" s="1" t="str">
        <f>IFERROR(__xludf.DUMMYFUNCTION("""COMPUTED_VALUE"""),"Jordan Donovan")</f>
        <v>Jordan Donovan</v>
      </c>
      <c r="B6589" s="1" t="str">
        <f>IFERROR(__xludf.DUMMYFUNCTION("""COMPUTED_VALUE"""),"HS")</f>
        <v>HS</v>
      </c>
    </row>
    <row r="6590" ht="15.75" customHeight="1">
      <c r="A6590" s="1" t="str">
        <f>IFERROR(__xludf.DUMMYFUNCTION("""COMPUTED_VALUE"""),"Gisselle Espino-Ramirez")</f>
        <v>Gisselle Espino-Ramirez</v>
      </c>
      <c r="B6590" s="1" t="str">
        <f>IFERROR(__xludf.DUMMYFUNCTION("""COMPUTED_VALUE"""),"HS")</f>
        <v>HS</v>
      </c>
    </row>
    <row r="6591" ht="15.75" customHeight="1">
      <c r="A6591" s="1" t="str">
        <f>IFERROR(__xludf.DUMMYFUNCTION("""COMPUTED_VALUE"""),"Cristal Eufracio Perez")</f>
        <v>Cristal Eufracio Perez</v>
      </c>
      <c r="B6591" s="1" t="str">
        <f>IFERROR(__xludf.DUMMYFUNCTION("""COMPUTED_VALUE"""),"HS")</f>
        <v>HS</v>
      </c>
    </row>
    <row r="6592" ht="15.75" customHeight="1">
      <c r="A6592" s="1" t="str">
        <f>IFERROR(__xludf.DUMMYFUNCTION("""COMPUTED_VALUE"""),"Ocean Gable")</f>
        <v>Ocean Gable</v>
      </c>
      <c r="B6592" s="1" t="str">
        <f>IFERROR(__xludf.DUMMYFUNCTION("""COMPUTED_VALUE"""),"HS")</f>
        <v>HS</v>
      </c>
    </row>
    <row r="6593" ht="15.75" customHeight="1">
      <c r="A6593" s="1" t="str">
        <f>IFERROR(__xludf.DUMMYFUNCTION("""COMPUTED_VALUE"""),"Joshua Gallardo")</f>
        <v>Joshua Gallardo</v>
      </c>
      <c r="B6593" s="1" t="str">
        <f>IFERROR(__xludf.DUMMYFUNCTION("""COMPUTED_VALUE"""),"HS")</f>
        <v>HS</v>
      </c>
    </row>
    <row r="6594" ht="15.75" customHeight="1">
      <c r="A6594" s="1" t="str">
        <f>IFERROR(__xludf.DUMMYFUNCTION("""COMPUTED_VALUE"""),"Calvin Goggil")</f>
        <v>Calvin Goggil</v>
      </c>
      <c r="B6594" s="1" t="str">
        <f>IFERROR(__xludf.DUMMYFUNCTION("""COMPUTED_VALUE"""),"HS")</f>
        <v>HS</v>
      </c>
    </row>
    <row r="6595" ht="15.75" customHeight="1">
      <c r="A6595" s="1" t="str">
        <f>IFERROR(__xludf.DUMMYFUNCTION("""COMPUTED_VALUE"""),"Callum Green")</f>
        <v>Callum Green</v>
      </c>
      <c r="B6595" s="1" t="str">
        <f>IFERROR(__xludf.DUMMYFUNCTION("""COMPUTED_VALUE"""),"HS")</f>
        <v>HS</v>
      </c>
    </row>
    <row r="6596" ht="15.75" customHeight="1">
      <c r="A6596" s="1" t="str">
        <f>IFERROR(__xludf.DUMMYFUNCTION("""COMPUTED_VALUE"""),"Andres Gutierrez")</f>
        <v>Andres Gutierrez</v>
      </c>
      <c r="B6596" s="1" t="str">
        <f>IFERROR(__xludf.DUMMYFUNCTION("""COMPUTED_VALUE"""),"HS")</f>
        <v>HS</v>
      </c>
    </row>
    <row r="6597" ht="15.75" customHeight="1">
      <c r="A6597" s="1" t="str">
        <f>IFERROR(__xludf.DUMMYFUNCTION("""COMPUTED_VALUE"""),"Cass Hamilton")</f>
        <v>Cass Hamilton</v>
      </c>
      <c r="B6597" s="1" t="str">
        <f>IFERROR(__xludf.DUMMYFUNCTION("""COMPUTED_VALUE"""),"HS")</f>
        <v>HS</v>
      </c>
    </row>
    <row r="6598" ht="15.75" customHeight="1">
      <c r="A6598" s="1" t="str">
        <f>IFERROR(__xludf.DUMMYFUNCTION("""COMPUTED_VALUE"""),"Makenzie Hibbs")</f>
        <v>Makenzie Hibbs</v>
      </c>
      <c r="B6598" s="1" t="str">
        <f>IFERROR(__xludf.DUMMYFUNCTION("""COMPUTED_VALUE"""),"HS")</f>
        <v>HS</v>
      </c>
    </row>
    <row r="6599" ht="15.75" customHeight="1">
      <c r="A6599" s="1" t="str">
        <f>IFERROR(__xludf.DUMMYFUNCTION("""COMPUTED_VALUE"""),"Miyan Jacinto")</f>
        <v>Miyan Jacinto</v>
      </c>
      <c r="B6599" s="1" t="str">
        <f>IFERROR(__xludf.DUMMYFUNCTION("""COMPUTED_VALUE"""),"HS")</f>
        <v>HS</v>
      </c>
    </row>
    <row r="6600" ht="15.75" customHeight="1">
      <c r="A6600" s="1" t="str">
        <f>IFERROR(__xludf.DUMMYFUNCTION("""COMPUTED_VALUE"""),"Mason Jensen Baker")</f>
        <v>Mason Jensen Baker</v>
      </c>
      <c r="B6600" s="1" t="str">
        <f>IFERROR(__xludf.DUMMYFUNCTION("""COMPUTED_VALUE"""),"HS")</f>
        <v>HS</v>
      </c>
    </row>
    <row r="6601" ht="15.75" customHeight="1">
      <c r="A6601" s="1" t="str">
        <f>IFERROR(__xludf.DUMMYFUNCTION("""COMPUTED_VALUE"""),"Audrey Jimenez")</f>
        <v>Audrey Jimenez</v>
      </c>
      <c r="B6601" s="1" t="str">
        <f>IFERROR(__xludf.DUMMYFUNCTION("""COMPUTED_VALUE"""),"HS")</f>
        <v>HS</v>
      </c>
    </row>
    <row r="6602" ht="15.75" customHeight="1">
      <c r="A6602" s="1" t="str">
        <f>IFERROR(__xludf.DUMMYFUNCTION("""COMPUTED_VALUE"""),"Mya Koehn")</f>
        <v>Mya Koehn</v>
      </c>
      <c r="B6602" s="1" t="str">
        <f>IFERROR(__xludf.DUMMYFUNCTION("""COMPUTED_VALUE"""),"HS")</f>
        <v>HS</v>
      </c>
    </row>
    <row r="6603" ht="15.75" customHeight="1">
      <c r="A6603" s="1" t="str">
        <f>IFERROR(__xludf.DUMMYFUNCTION("""COMPUTED_VALUE"""),"Zakary Lane")</f>
        <v>Zakary Lane</v>
      </c>
      <c r="B6603" s="1" t="str">
        <f>IFERROR(__xludf.DUMMYFUNCTION("""COMPUTED_VALUE"""),"HS")</f>
        <v>HS</v>
      </c>
    </row>
    <row r="6604" ht="15.75" customHeight="1">
      <c r="A6604" s="1" t="str">
        <f>IFERROR(__xludf.DUMMYFUNCTION("""COMPUTED_VALUE"""),"Isla Lerch")</f>
        <v>Isla Lerch</v>
      </c>
      <c r="B6604" s="1" t="str">
        <f>IFERROR(__xludf.DUMMYFUNCTION("""COMPUTED_VALUE"""),"HS")</f>
        <v>HS</v>
      </c>
    </row>
    <row r="6605" ht="15.75" customHeight="1">
      <c r="A6605" s="1" t="str">
        <f>IFERROR(__xludf.DUMMYFUNCTION("""COMPUTED_VALUE"""),"Oliver Lewis")</f>
        <v>Oliver Lewis</v>
      </c>
      <c r="B6605" s="1" t="str">
        <f>IFERROR(__xludf.DUMMYFUNCTION("""COMPUTED_VALUE"""),"HS")</f>
        <v>HS</v>
      </c>
    </row>
    <row r="6606" ht="15.75" customHeight="1">
      <c r="A6606" s="1" t="str">
        <f>IFERROR(__xludf.DUMMYFUNCTION("""COMPUTED_VALUE"""),"Addison McGinley")</f>
        <v>Addison McGinley</v>
      </c>
      <c r="B6606" s="1" t="str">
        <f>IFERROR(__xludf.DUMMYFUNCTION("""COMPUTED_VALUE"""),"HS")</f>
        <v>HS</v>
      </c>
    </row>
    <row r="6607" ht="15.75" customHeight="1">
      <c r="A6607" s="1" t="str">
        <f>IFERROR(__xludf.DUMMYFUNCTION("""COMPUTED_VALUE"""),"Peyton Menting")</f>
        <v>Peyton Menting</v>
      </c>
      <c r="B6607" s="1" t="str">
        <f>IFERROR(__xludf.DUMMYFUNCTION("""COMPUTED_VALUE"""),"HS")</f>
        <v>HS</v>
      </c>
    </row>
    <row r="6608" ht="15.75" customHeight="1">
      <c r="A6608" s="1" t="str">
        <f>IFERROR(__xludf.DUMMYFUNCTION("""COMPUTED_VALUE"""),"Sierra Milbradt")</f>
        <v>Sierra Milbradt</v>
      </c>
      <c r="B6608" s="1" t="str">
        <f>IFERROR(__xludf.DUMMYFUNCTION("""COMPUTED_VALUE"""),"HS")</f>
        <v>HS</v>
      </c>
    </row>
    <row r="6609" ht="15.75" customHeight="1">
      <c r="A6609" s="1" t="str">
        <f>IFERROR(__xludf.DUMMYFUNCTION("""COMPUTED_VALUE"""),"Ryder Nielsen")</f>
        <v>Ryder Nielsen</v>
      </c>
      <c r="B6609" s="1" t="str">
        <f>IFERROR(__xludf.DUMMYFUNCTION("""COMPUTED_VALUE"""),"HS")</f>
        <v>HS</v>
      </c>
    </row>
    <row r="6610" ht="15.75" customHeight="1">
      <c r="A6610" s="1" t="str">
        <f>IFERROR(__xludf.DUMMYFUNCTION("""COMPUTED_VALUE"""),"Bruno Olmos")</f>
        <v>Bruno Olmos</v>
      </c>
      <c r="B6610" s="1" t="str">
        <f>IFERROR(__xludf.DUMMYFUNCTION("""COMPUTED_VALUE"""),"HS")</f>
        <v>HS</v>
      </c>
    </row>
    <row r="6611" ht="15.75" customHeight="1">
      <c r="A6611" s="1" t="str">
        <f>IFERROR(__xludf.DUMMYFUNCTION("""COMPUTED_VALUE"""),"Jeremiah Pachucki")</f>
        <v>Jeremiah Pachucki</v>
      </c>
      <c r="B6611" s="1" t="str">
        <f>IFERROR(__xludf.DUMMYFUNCTION("""COMPUTED_VALUE"""),"HS")</f>
        <v>HS</v>
      </c>
    </row>
    <row r="6612" ht="15.75" customHeight="1">
      <c r="A6612" s="1" t="str">
        <f>IFERROR(__xludf.DUMMYFUNCTION("""COMPUTED_VALUE"""),"Audrina Powell")</f>
        <v>Audrina Powell</v>
      </c>
      <c r="B6612" s="1" t="str">
        <f>IFERROR(__xludf.DUMMYFUNCTION("""COMPUTED_VALUE"""),"HS")</f>
        <v>HS</v>
      </c>
    </row>
    <row r="6613" ht="15.75" customHeight="1">
      <c r="A6613" s="1" t="str">
        <f>IFERROR(__xludf.DUMMYFUNCTION("""COMPUTED_VALUE"""),"Anjalina Radulescu")</f>
        <v>Anjalina Radulescu</v>
      </c>
      <c r="B6613" s="1" t="str">
        <f>IFERROR(__xludf.DUMMYFUNCTION("""COMPUTED_VALUE"""),"HS")</f>
        <v>HS</v>
      </c>
    </row>
    <row r="6614" ht="15.75" customHeight="1">
      <c r="A6614" s="1" t="str">
        <f>IFERROR(__xludf.DUMMYFUNCTION("""COMPUTED_VALUE"""),"Mireya Rosales DeJesus")</f>
        <v>Mireya Rosales DeJesus</v>
      </c>
      <c r="B6614" s="1" t="str">
        <f>IFERROR(__xludf.DUMMYFUNCTION("""COMPUTED_VALUE"""),"HS")</f>
        <v>HS</v>
      </c>
    </row>
    <row r="6615" ht="15.75" customHeight="1">
      <c r="A6615" s="1" t="str">
        <f>IFERROR(__xludf.DUMMYFUNCTION("""COMPUTED_VALUE"""),"Aleksandria Rubio")</f>
        <v>Aleksandria Rubio</v>
      </c>
      <c r="B6615" s="1" t="str">
        <f>IFERROR(__xludf.DUMMYFUNCTION("""COMPUTED_VALUE"""),"HS")</f>
        <v>HS</v>
      </c>
    </row>
    <row r="6616" ht="15.75" customHeight="1">
      <c r="A6616" s="1" t="str">
        <f>IFERROR(__xludf.DUMMYFUNCTION("""COMPUTED_VALUE"""),"Ximena Ruiz Marron")</f>
        <v>Ximena Ruiz Marron</v>
      </c>
      <c r="B6616" s="1" t="str">
        <f>IFERROR(__xludf.DUMMYFUNCTION("""COMPUTED_VALUE"""),"HS")</f>
        <v>HS</v>
      </c>
    </row>
    <row r="6617" ht="15.75" customHeight="1">
      <c r="A6617" s="1" t="str">
        <f>IFERROR(__xludf.DUMMYFUNCTION("""COMPUTED_VALUE"""),"Paisley Shannon")</f>
        <v>Paisley Shannon</v>
      </c>
      <c r="B6617" s="1" t="str">
        <f>IFERROR(__xludf.DUMMYFUNCTION("""COMPUTED_VALUE"""),"HS")</f>
        <v>HS</v>
      </c>
    </row>
    <row r="6618" ht="15.75" customHeight="1">
      <c r="A6618" s="1" t="str">
        <f>IFERROR(__xludf.DUMMYFUNCTION("""COMPUTED_VALUE"""),"Caleb Sheehan")</f>
        <v>Caleb Sheehan</v>
      </c>
      <c r="B6618" s="1" t="str">
        <f>IFERROR(__xludf.DUMMYFUNCTION("""COMPUTED_VALUE"""),"HS")</f>
        <v>HS</v>
      </c>
    </row>
    <row r="6619" ht="15.75" customHeight="1">
      <c r="A6619" s="1" t="str">
        <f>IFERROR(__xludf.DUMMYFUNCTION("""COMPUTED_VALUE"""),"Hope Smead")</f>
        <v>Hope Smead</v>
      </c>
      <c r="B6619" s="1" t="str">
        <f>IFERROR(__xludf.DUMMYFUNCTION("""COMPUTED_VALUE"""),"HS")</f>
        <v>HS</v>
      </c>
    </row>
    <row r="6620" ht="15.75" customHeight="1">
      <c r="A6620" s="1" t="str">
        <f>IFERROR(__xludf.DUMMYFUNCTION("""COMPUTED_VALUE"""),"Jacob Totton")</f>
        <v>Jacob Totton</v>
      </c>
      <c r="B6620" s="1" t="str">
        <f>IFERROR(__xludf.DUMMYFUNCTION("""COMPUTED_VALUE"""),"HS")</f>
        <v>HS</v>
      </c>
    </row>
    <row r="6621" ht="15.75" customHeight="1">
      <c r="A6621" s="1" t="str">
        <f>IFERROR(__xludf.DUMMYFUNCTION("""COMPUTED_VALUE"""),"Kourtney Walker")</f>
        <v>Kourtney Walker</v>
      </c>
      <c r="B6621" s="1" t="str">
        <f>IFERROR(__xludf.DUMMYFUNCTION("""COMPUTED_VALUE"""),"HS")</f>
        <v>HS</v>
      </c>
    </row>
    <row r="6622" ht="15.75" customHeight="1">
      <c r="A6622" s="1" t="str">
        <f>IFERROR(__xludf.DUMMYFUNCTION("""COMPUTED_VALUE"""),"Gavin Warner")</f>
        <v>Gavin Warner</v>
      </c>
      <c r="B6622" s="1" t="str">
        <f>IFERROR(__xludf.DUMMYFUNCTION("""COMPUTED_VALUE"""),"HS")</f>
        <v>HS</v>
      </c>
    </row>
    <row r="6623" ht="15.75" customHeight="1">
      <c r="A6623" s="1" t="str">
        <f>IFERROR(__xludf.DUMMYFUNCTION("""COMPUTED_VALUE"""),"Caira West")</f>
        <v>Caira West</v>
      </c>
      <c r="B6623" s="1" t="str">
        <f>IFERROR(__xludf.DUMMYFUNCTION("""COMPUTED_VALUE"""),"HS")</f>
        <v>HS</v>
      </c>
    </row>
    <row r="6624" ht="15.75" customHeight="1">
      <c r="A6624" s="1" t="str">
        <f>IFERROR(__xludf.DUMMYFUNCTION("""COMPUTED_VALUE"""),"Joshua Wicker")</f>
        <v>Joshua Wicker</v>
      </c>
      <c r="B6624" s="1" t="str">
        <f>IFERROR(__xludf.DUMMYFUNCTION("""COMPUTED_VALUE"""),"HS")</f>
        <v>HS</v>
      </c>
    </row>
    <row r="6625" ht="15.75" customHeight="1">
      <c r="A6625" s="1" t="str">
        <f>IFERROR(__xludf.DUMMYFUNCTION("""COMPUTED_VALUE"""),"Henley Witten")</f>
        <v>Henley Witten</v>
      </c>
      <c r="B6625" s="1" t="str">
        <f>IFERROR(__xludf.DUMMYFUNCTION("""COMPUTED_VALUE"""),"HS")</f>
        <v>HS</v>
      </c>
    </row>
    <row r="6626" ht="15.75" customHeight="1">
      <c r="A6626" s="1" t="str">
        <f>IFERROR(__xludf.DUMMYFUNCTION("""COMPUTED_VALUE"""),"Gabrielle Wrede")</f>
        <v>Gabrielle Wrede</v>
      </c>
      <c r="B6626" s="1" t="str">
        <f>IFERROR(__xludf.DUMMYFUNCTION("""COMPUTED_VALUE"""),"HS")</f>
        <v>HS</v>
      </c>
    </row>
    <row r="6627" ht="15.75" customHeight="1">
      <c r="A6627" s="1" t="str">
        <f>IFERROR(__xludf.DUMMYFUNCTION("""COMPUTED_VALUE"""),"Amerie Barber")</f>
        <v>Amerie Barber</v>
      </c>
      <c r="B6627" s="1" t="str">
        <f>IFERROR(__xludf.DUMMYFUNCTION("""COMPUTED_VALUE"""),"HS")</f>
        <v>HS</v>
      </c>
    </row>
    <row r="6628" ht="15.75" customHeight="1">
      <c r="A6628" s="1" t="str">
        <f>IFERROR(__xludf.DUMMYFUNCTION("""COMPUTED_VALUE"""),"Callahan Brune")</f>
        <v>Callahan Brune</v>
      </c>
      <c r="B6628" s="1" t="str">
        <f>IFERROR(__xludf.DUMMYFUNCTION("""COMPUTED_VALUE"""),"HS")</f>
        <v>HS</v>
      </c>
    </row>
    <row r="6629" ht="15.75" customHeight="1">
      <c r="A6629" s="1" t="str">
        <f>IFERROR(__xludf.DUMMYFUNCTION("""COMPUTED_VALUE"""),"Julia Callahan")</f>
        <v>Julia Callahan</v>
      </c>
      <c r="B6629" s="1" t="str">
        <f>IFERROR(__xludf.DUMMYFUNCTION("""COMPUTED_VALUE"""),"HS")</f>
        <v>HS</v>
      </c>
    </row>
    <row r="6630" ht="15.75" customHeight="1">
      <c r="A6630" s="1" t="str">
        <f>IFERROR(__xludf.DUMMYFUNCTION("""COMPUTED_VALUE"""),"Kacey Dieringer")</f>
        <v>Kacey Dieringer</v>
      </c>
      <c r="B6630" s="1" t="str">
        <f>IFERROR(__xludf.DUMMYFUNCTION("""COMPUTED_VALUE"""),"HS")</f>
        <v>HS</v>
      </c>
    </row>
    <row r="6631" ht="15.75" customHeight="1">
      <c r="A6631" s="1" t="str">
        <f>IFERROR(__xludf.DUMMYFUNCTION("""COMPUTED_VALUE"""),"Bradyn Givens")</f>
        <v>Bradyn Givens</v>
      </c>
      <c r="B6631" s="1" t="str">
        <f>IFERROR(__xludf.DUMMYFUNCTION("""COMPUTED_VALUE"""),"HS")</f>
        <v>HS</v>
      </c>
    </row>
    <row r="6632" ht="15.75" customHeight="1">
      <c r="A6632" s="1" t="str">
        <f>IFERROR(__xludf.DUMMYFUNCTION("""COMPUTED_VALUE"""),"Bailey Griffiths")</f>
        <v>Bailey Griffiths</v>
      </c>
      <c r="B6632" s="1" t="str">
        <f>IFERROR(__xludf.DUMMYFUNCTION("""COMPUTED_VALUE"""),"HS")</f>
        <v>HS</v>
      </c>
    </row>
    <row r="6633" ht="15.75" customHeight="1">
      <c r="A6633" s="1" t="str">
        <f>IFERROR(__xludf.DUMMYFUNCTION("""COMPUTED_VALUE"""),"Makayla Howze")</f>
        <v>Makayla Howze</v>
      </c>
      <c r="B6633" s="1" t="str">
        <f>IFERROR(__xludf.DUMMYFUNCTION("""COMPUTED_VALUE"""),"HS")</f>
        <v>HS</v>
      </c>
    </row>
    <row r="6634" ht="15.75" customHeight="1">
      <c r="A6634" s="1" t="str">
        <f>IFERROR(__xludf.DUMMYFUNCTION("""COMPUTED_VALUE"""),"Chloe Hutchison")</f>
        <v>Chloe Hutchison</v>
      </c>
      <c r="B6634" s="1" t="str">
        <f>IFERROR(__xludf.DUMMYFUNCTION("""COMPUTED_VALUE"""),"HS")</f>
        <v>HS</v>
      </c>
    </row>
    <row r="6635" ht="15.75" customHeight="1">
      <c r="A6635" s="1" t="str">
        <f>IFERROR(__xludf.DUMMYFUNCTION("""COMPUTED_VALUE"""),"Alexander Kornblum")</f>
        <v>Alexander Kornblum</v>
      </c>
      <c r="B6635" s="1" t="str">
        <f>IFERROR(__xludf.DUMMYFUNCTION("""COMPUTED_VALUE"""),"HS")</f>
        <v>HS</v>
      </c>
    </row>
    <row r="6636" ht="15.75" customHeight="1">
      <c r="A6636" s="1" t="str">
        <f>IFERROR(__xludf.DUMMYFUNCTION("""COMPUTED_VALUE"""),"Rocio Lara")</f>
        <v>Rocio Lara</v>
      </c>
      <c r="B6636" s="1" t="str">
        <f>IFERROR(__xludf.DUMMYFUNCTION("""COMPUTED_VALUE"""),"HS")</f>
        <v>HS</v>
      </c>
    </row>
    <row r="6637" ht="15.75" customHeight="1">
      <c r="A6637" s="1" t="str">
        <f>IFERROR(__xludf.DUMMYFUNCTION("""COMPUTED_VALUE"""),"Armanni Lopez-Felix")</f>
        <v>Armanni Lopez-Felix</v>
      </c>
      <c r="B6637" s="1" t="str">
        <f>IFERROR(__xludf.DUMMYFUNCTION("""COMPUTED_VALUE"""),"HS")</f>
        <v>HS</v>
      </c>
    </row>
    <row r="6638" ht="15.75" customHeight="1">
      <c r="A6638" s="1" t="str">
        <f>IFERROR(__xludf.DUMMYFUNCTION("""COMPUTED_VALUE"""),"Sydney Martin")</f>
        <v>Sydney Martin</v>
      </c>
      <c r="B6638" s="1" t="str">
        <f>IFERROR(__xludf.DUMMYFUNCTION("""COMPUTED_VALUE"""),"HS")</f>
        <v>HS</v>
      </c>
    </row>
    <row r="6639" ht="15.75" customHeight="1">
      <c r="A6639" s="1" t="str">
        <f>IFERROR(__xludf.DUMMYFUNCTION("""COMPUTED_VALUE"""),"Liam McMillion")</f>
        <v>Liam McMillion</v>
      </c>
      <c r="B6639" s="1" t="str">
        <f>IFERROR(__xludf.DUMMYFUNCTION("""COMPUTED_VALUE"""),"HS")</f>
        <v>HS</v>
      </c>
    </row>
    <row r="6640" ht="15.75" customHeight="1">
      <c r="A6640" s="1" t="str">
        <f>IFERROR(__xludf.DUMMYFUNCTION("""COMPUTED_VALUE"""),"Mackenzie Mick")</f>
        <v>Mackenzie Mick</v>
      </c>
      <c r="B6640" s="1" t="str">
        <f>IFERROR(__xludf.DUMMYFUNCTION("""COMPUTED_VALUE"""),"HS")</f>
        <v>HS</v>
      </c>
    </row>
    <row r="6641" ht="15.75" customHeight="1">
      <c r="A6641" s="1" t="str">
        <f>IFERROR(__xludf.DUMMYFUNCTION("""COMPUTED_VALUE"""),"Savannah Montiel")</f>
        <v>Savannah Montiel</v>
      </c>
      <c r="B6641" s="1" t="str">
        <f>IFERROR(__xludf.DUMMYFUNCTION("""COMPUTED_VALUE"""),"HS")</f>
        <v>HS</v>
      </c>
    </row>
    <row r="6642" ht="15.75" customHeight="1">
      <c r="A6642" s="1" t="str">
        <f>IFERROR(__xludf.DUMMYFUNCTION("""COMPUTED_VALUE"""),"Ella Nguyen")</f>
        <v>Ella Nguyen</v>
      </c>
      <c r="B6642" s="1" t="str">
        <f>IFERROR(__xludf.DUMMYFUNCTION("""COMPUTED_VALUE"""),"HS")</f>
        <v>HS</v>
      </c>
    </row>
    <row r="6643" ht="15.75" customHeight="1">
      <c r="A6643" s="1" t="str">
        <f>IFERROR(__xludf.DUMMYFUNCTION("""COMPUTED_VALUE"""),"Gunner Ober")</f>
        <v>Gunner Ober</v>
      </c>
      <c r="B6643" s="1" t="str">
        <f>IFERROR(__xludf.DUMMYFUNCTION("""COMPUTED_VALUE"""),"HS")</f>
        <v>HS</v>
      </c>
    </row>
    <row r="6644" ht="15.75" customHeight="1">
      <c r="A6644" s="1" t="str">
        <f>IFERROR(__xludf.DUMMYFUNCTION("""COMPUTED_VALUE"""),"Noah Parham")</f>
        <v>Noah Parham</v>
      </c>
      <c r="B6644" s="1" t="str">
        <f>IFERROR(__xludf.DUMMYFUNCTION("""COMPUTED_VALUE"""),"HS")</f>
        <v>HS</v>
      </c>
    </row>
    <row r="6645" ht="15.75" customHeight="1">
      <c r="A6645" s="1" t="str">
        <f>IFERROR(__xludf.DUMMYFUNCTION("""COMPUTED_VALUE"""),"Isaac Paz Ayala")</f>
        <v>Isaac Paz Ayala</v>
      </c>
      <c r="B6645" s="1" t="str">
        <f>IFERROR(__xludf.DUMMYFUNCTION("""COMPUTED_VALUE"""),"HS")</f>
        <v>HS</v>
      </c>
    </row>
    <row r="6646" ht="15.75" customHeight="1">
      <c r="A6646" s="1" t="str">
        <f>IFERROR(__xludf.DUMMYFUNCTION("""COMPUTED_VALUE"""),"Aspen Ruegger")</f>
        <v>Aspen Ruegger</v>
      </c>
      <c r="B6646" s="1" t="str">
        <f>IFERROR(__xludf.DUMMYFUNCTION("""COMPUTED_VALUE"""),"HS")</f>
        <v>HS</v>
      </c>
    </row>
    <row r="6647" ht="15.75" customHeight="1">
      <c r="A6647" s="1" t="str">
        <f>IFERROR(__xludf.DUMMYFUNCTION("""COMPUTED_VALUE"""),"Alice Schroeder")</f>
        <v>Alice Schroeder</v>
      </c>
      <c r="B6647" s="1" t="str">
        <f>IFERROR(__xludf.DUMMYFUNCTION("""COMPUTED_VALUE"""),"HS")</f>
        <v>HS</v>
      </c>
    </row>
    <row r="6648" ht="15.75" customHeight="1">
      <c r="A6648" s="1" t="str">
        <f>IFERROR(__xludf.DUMMYFUNCTION("""COMPUTED_VALUE"""),"Charles Sperr")</f>
        <v>Charles Sperr</v>
      </c>
      <c r="B6648" s="1" t="str">
        <f>IFERROR(__xludf.DUMMYFUNCTION("""COMPUTED_VALUE"""),"HS")</f>
        <v>HS</v>
      </c>
    </row>
    <row r="6649" ht="15.75" customHeight="1">
      <c r="A6649" s="1" t="str">
        <f>IFERROR(__xludf.DUMMYFUNCTION("""COMPUTED_VALUE"""),"Mace Sweeney")</f>
        <v>Mace Sweeney</v>
      </c>
      <c r="B6649" s="1" t="str">
        <f>IFERROR(__xludf.DUMMYFUNCTION("""COMPUTED_VALUE"""),"HS")</f>
        <v>HS</v>
      </c>
    </row>
    <row r="6650" ht="15.75" customHeight="1">
      <c r="A6650" s="1" t="str">
        <f>IFERROR(__xludf.DUMMYFUNCTION("""COMPUTED_VALUE"""),"Anthony Wickizer")</f>
        <v>Anthony Wickizer</v>
      </c>
      <c r="B6650" s="1" t="str">
        <f>IFERROR(__xludf.DUMMYFUNCTION("""COMPUTED_VALUE"""),"HS")</f>
        <v>HS</v>
      </c>
    </row>
    <row r="6651" ht="15.75" customHeight="1">
      <c r="A6651" s="1" t="str">
        <f>IFERROR(__xludf.DUMMYFUNCTION("""COMPUTED_VALUE"""),"Brighton Wilson")</f>
        <v>Brighton Wilson</v>
      </c>
      <c r="B6651" s="1" t="str">
        <f>IFERROR(__xludf.DUMMYFUNCTION("""COMPUTED_VALUE"""),"HS")</f>
        <v>HS</v>
      </c>
    </row>
    <row r="6652" ht="15.75" customHeight="1">
      <c r="A6652" s="1" t="str">
        <f>IFERROR(__xludf.DUMMYFUNCTION("""COMPUTED_VALUE"""),"Easton Wood")</f>
        <v>Easton Wood</v>
      </c>
      <c r="B6652" s="1" t="str">
        <f>IFERROR(__xludf.DUMMYFUNCTION("""COMPUTED_VALUE"""),"HS")</f>
        <v>HS</v>
      </c>
    </row>
    <row r="6653" ht="15.75" customHeight="1">
      <c r="A6653" s="1" t="str">
        <f>IFERROR(__xludf.DUMMYFUNCTION("""COMPUTED_VALUE"""),"Ethan Breeding")</f>
        <v>Ethan Breeding</v>
      </c>
      <c r="B6653" s="1" t="str">
        <f>IFERROR(__xludf.DUMMYFUNCTION("""COMPUTED_VALUE"""),"HS")</f>
        <v>HS</v>
      </c>
    </row>
    <row r="6654" ht="15.75" customHeight="1">
      <c r="A6654" s="1" t="str">
        <f>IFERROR(__xludf.DUMMYFUNCTION("""COMPUTED_VALUE"""),"Zoey Bush")</f>
        <v>Zoey Bush</v>
      </c>
      <c r="B6654" s="1" t="str">
        <f>IFERROR(__xludf.DUMMYFUNCTION("""COMPUTED_VALUE"""),"HS")</f>
        <v>HS</v>
      </c>
    </row>
    <row r="6655" ht="15.75" customHeight="1">
      <c r="A6655" s="1" t="str">
        <f>IFERROR(__xludf.DUMMYFUNCTION("""COMPUTED_VALUE"""),"Kendric Cereghino")</f>
        <v>Kendric Cereghino</v>
      </c>
      <c r="B6655" s="1" t="str">
        <f>IFERROR(__xludf.DUMMYFUNCTION("""COMPUTED_VALUE"""),"HS")</f>
        <v>HS</v>
      </c>
    </row>
    <row r="6656" ht="15.75" customHeight="1">
      <c r="A6656" s="1" t="str">
        <f>IFERROR(__xludf.DUMMYFUNCTION("""COMPUTED_VALUE"""),"Makaylah Cupp")</f>
        <v>Makaylah Cupp</v>
      </c>
      <c r="B6656" s="1" t="str">
        <f>IFERROR(__xludf.DUMMYFUNCTION("""COMPUTED_VALUE"""),"HS")</f>
        <v>HS</v>
      </c>
    </row>
    <row r="6657" ht="15.75" customHeight="1">
      <c r="A6657" s="1" t="str">
        <f>IFERROR(__xludf.DUMMYFUNCTION("""COMPUTED_VALUE"""),"Emanuel Diaz Mendez")</f>
        <v>Emanuel Diaz Mendez</v>
      </c>
      <c r="B6657" s="1" t="str">
        <f>IFERROR(__xludf.DUMMYFUNCTION("""COMPUTED_VALUE"""),"HS")</f>
        <v>HS</v>
      </c>
    </row>
    <row r="6658" ht="15.75" customHeight="1">
      <c r="A6658" s="1" t="str">
        <f>IFERROR(__xludf.DUMMYFUNCTION("""COMPUTED_VALUE"""),"Harry Evans")</f>
        <v>Harry Evans</v>
      </c>
      <c r="B6658" s="1" t="str">
        <f>IFERROR(__xludf.DUMMYFUNCTION("""COMPUTED_VALUE"""),"HS")</f>
        <v>HS</v>
      </c>
    </row>
    <row r="6659" ht="15.75" customHeight="1">
      <c r="A6659" s="1" t="str">
        <f>IFERROR(__xludf.DUMMYFUNCTION("""COMPUTED_VALUE"""),"Kaybree Garrett")</f>
        <v>Kaybree Garrett</v>
      </c>
      <c r="B6659" s="1" t="str">
        <f>IFERROR(__xludf.DUMMYFUNCTION("""COMPUTED_VALUE"""),"HS")</f>
        <v>HS</v>
      </c>
    </row>
    <row r="6660" ht="15.75" customHeight="1">
      <c r="A6660" s="1" t="str">
        <f>IFERROR(__xludf.DUMMYFUNCTION("""COMPUTED_VALUE"""),"Elizabeth Moya-Alcocer")</f>
        <v>Elizabeth Moya-Alcocer</v>
      </c>
      <c r="B6660" s="1" t="str">
        <f>IFERROR(__xludf.DUMMYFUNCTION("""COMPUTED_VALUE"""),"HS")</f>
        <v>HS</v>
      </c>
    </row>
    <row r="6661" ht="15.75" customHeight="1">
      <c r="A6661" s="1" t="str">
        <f>IFERROR(__xludf.DUMMYFUNCTION("""COMPUTED_VALUE"""),"Tanner Randall")</f>
        <v>Tanner Randall</v>
      </c>
      <c r="B6661" s="1" t="str">
        <f>IFERROR(__xludf.DUMMYFUNCTION("""COMPUTED_VALUE"""),"HS")</f>
        <v>HS</v>
      </c>
    </row>
    <row r="6662" ht="15.75" customHeight="1">
      <c r="A6662" s="1" t="str">
        <f>IFERROR(__xludf.DUMMYFUNCTION("""COMPUTED_VALUE"""),"Logan Speckman")</f>
        <v>Logan Speckman</v>
      </c>
      <c r="B6662" s="1" t="str">
        <f>IFERROR(__xludf.DUMMYFUNCTION("""COMPUTED_VALUE"""),"HS")</f>
        <v>HS</v>
      </c>
    </row>
    <row r="6663" ht="15.75" customHeight="1">
      <c r="A6663" s="1" t="str">
        <f>IFERROR(__xludf.DUMMYFUNCTION("""COMPUTED_VALUE"""),"Kailey Elias")</f>
        <v>Kailey Elias</v>
      </c>
      <c r="B6663" s="1" t="str">
        <f>IFERROR(__xludf.DUMMYFUNCTION("""COMPUTED_VALUE"""),"HS")</f>
        <v>HS</v>
      </c>
    </row>
    <row r="6664" ht="15.75" customHeight="1">
      <c r="A6664" s="1" t="str">
        <f>IFERROR(__xludf.DUMMYFUNCTION("""COMPUTED_VALUE"""),"Nathan Gianni")</f>
        <v>Nathan Gianni</v>
      </c>
      <c r="B6664" s="1" t="str">
        <f>IFERROR(__xludf.DUMMYFUNCTION("""COMPUTED_VALUE"""),"HS")</f>
        <v>HS</v>
      </c>
    </row>
    <row r="6665" ht="15.75" customHeight="1">
      <c r="A6665" s="1" t="str">
        <f>IFERROR(__xludf.DUMMYFUNCTION("""COMPUTED_VALUE"""),"Aidyn Harshman")</f>
        <v>Aidyn Harshman</v>
      </c>
      <c r="B6665" s="1" t="str">
        <f>IFERROR(__xludf.DUMMYFUNCTION("""COMPUTED_VALUE"""),"HS")</f>
        <v>HS</v>
      </c>
    </row>
    <row r="6666" ht="15.75" customHeight="1">
      <c r="A6666" s="1" t="str">
        <f>IFERROR(__xludf.DUMMYFUNCTION("""COMPUTED_VALUE"""),"Sarah Jaxheimer")</f>
        <v>Sarah Jaxheimer</v>
      </c>
      <c r="B6666" s="1" t="str">
        <f>IFERROR(__xludf.DUMMYFUNCTION("""COMPUTED_VALUE"""),"HS")</f>
        <v>HS</v>
      </c>
    </row>
    <row r="6667" ht="15.75" customHeight="1">
      <c r="A6667" s="1" t="str">
        <f>IFERROR(__xludf.DUMMYFUNCTION("""COMPUTED_VALUE"""),"Conner Kilburn")</f>
        <v>Conner Kilburn</v>
      </c>
      <c r="B6667" s="1" t="str">
        <f>IFERROR(__xludf.DUMMYFUNCTION("""COMPUTED_VALUE"""),"HS")</f>
        <v>HS</v>
      </c>
    </row>
    <row r="6668" ht="15.75" customHeight="1">
      <c r="A6668" s="1" t="str">
        <f>IFERROR(__xludf.DUMMYFUNCTION("""COMPUTED_VALUE"""),"Nathanole Newberry")</f>
        <v>Nathanole Newberry</v>
      </c>
      <c r="B6668" s="1" t="str">
        <f>IFERROR(__xludf.DUMMYFUNCTION("""COMPUTED_VALUE"""),"HS")</f>
        <v>HS</v>
      </c>
    </row>
    <row r="6669" ht="15.75" customHeight="1">
      <c r="A6669" s="1" t="str">
        <f>IFERROR(__xludf.DUMMYFUNCTION("""COMPUTED_VALUE"""),"Austin Wilson")</f>
        <v>Austin Wilson</v>
      </c>
      <c r="B6669" s="1" t="str">
        <f>IFERROR(__xludf.DUMMYFUNCTION("""COMPUTED_VALUE"""),"HS")</f>
        <v>HS</v>
      </c>
    </row>
    <row r="6670" ht="15.75" customHeight="1">
      <c r="A6670" s="1" t="str">
        <f>IFERROR(__xludf.DUMMYFUNCTION("""COMPUTED_VALUE"""),"Mason Anderson Sulffridge")</f>
        <v>Mason Anderson Sulffridge</v>
      </c>
      <c r="B6670" s="1" t="str">
        <f>IFERROR(__xludf.DUMMYFUNCTION("""COMPUTED_VALUE"""),"HS")</f>
        <v>HS</v>
      </c>
    </row>
    <row r="6671" ht="15.75" customHeight="1">
      <c r="A6671" s="1" t="str">
        <f>IFERROR(__xludf.DUMMYFUNCTION("""COMPUTED_VALUE"""),"Annabella Bennett")</f>
        <v>Annabella Bennett</v>
      </c>
      <c r="B6671" s="1" t="str">
        <f>IFERROR(__xludf.DUMMYFUNCTION("""COMPUTED_VALUE"""),"HS")</f>
        <v>HS</v>
      </c>
    </row>
    <row r="6672" ht="15.75" customHeight="1">
      <c r="A6672" s="1" t="str">
        <f>IFERROR(__xludf.DUMMYFUNCTION("""COMPUTED_VALUE"""),"Madeline Farr")</f>
        <v>Madeline Farr</v>
      </c>
      <c r="B6672" s="1" t="str">
        <f>IFERROR(__xludf.DUMMYFUNCTION("""COMPUTED_VALUE"""),"HS")</f>
        <v>HS</v>
      </c>
    </row>
    <row r="6673" ht="15.75" customHeight="1">
      <c r="A6673" s="1" t="str">
        <f>IFERROR(__xludf.DUMMYFUNCTION("""COMPUTED_VALUE"""),"Treyson Hunt")</f>
        <v>Treyson Hunt</v>
      </c>
      <c r="B6673" s="1" t="str">
        <f>IFERROR(__xludf.DUMMYFUNCTION("""COMPUTED_VALUE"""),"HS")</f>
        <v>HS</v>
      </c>
    </row>
    <row r="6674" ht="15.75" customHeight="1">
      <c r="A6674" s="1" t="str">
        <f>IFERROR(__xludf.DUMMYFUNCTION("""COMPUTED_VALUE"""),"Liam McBroom")</f>
        <v>Liam McBroom</v>
      </c>
      <c r="B6674" s="1" t="str">
        <f>IFERROR(__xludf.DUMMYFUNCTION("""COMPUTED_VALUE"""),"HS")</f>
        <v>HS</v>
      </c>
    </row>
    <row r="6675" ht="15.75" customHeight="1">
      <c r="A6675" s="1" t="str">
        <f>IFERROR(__xludf.DUMMYFUNCTION("""COMPUTED_VALUE"""),"Dayton Melcher")</f>
        <v>Dayton Melcher</v>
      </c>
      <c r="B6675" s="1" t="str">
        <f>IFERROR(__xludf.DUMMYFUNCTION("""COMPUTED_VALUE"""),"HS")</f>
        <v>HS</v>
      </c>
    </row>
    <row r="6676" ht="15.75" customHeight="1">
      <c r="A6676" s="1" t="str">
        <f>IFERROR(__xludf.DUMMYFUNCTION("""COMPUTED_VALUE"""),"Adelynn Nutting")</f>
        <v>Adelynn Nutting</v>
      </c>
      <c r="B6676" s="1" t="str">
        <f>IFERROR(__xludf.DUMMYFUNCTION("""COMPUTED_VALUE"""),"HS")</f>
        <v>HS</v>
      </c>
    </row>
    <row r="6677" ht="15.75" customHeight="1">
      <c r="A6677" s="1" t="str">
        <f>IFERROR(__xludf.DUMMYFUNCTION("""COMPUTED_VALUE"""),"Mari Peterson")</f>
        <v>Mari Peterson</v>
      </c>
      <c r="B6677" s="1" t="str">
        <f>IFERROR(__xludf.DUMMYFUNCTION("""COMPUTED_VALUE"""),"HS")</f>
        <v>HS</v>
      </c>
    </row>
    <row r="6678" ht="15.75" customHeight="1">
      <c r="A6678" s="1" t="str">
        <f>IFERROR(__xludf.DUMMYFUNCTION("""COMPUTED_VALUE"""),"Rosealena Reid")</f>
        <v>Rosealena Reid</v>
      </c>
      <c r="B6678" s="1" t="str">
        <f>IFERROR(__xludf.DUMMYFUNCTION("""COMPUTED_VALUE"""),"HS")</f>
        <v>HS</v>
      </c>
    </row>
    <row r="6679" ht="15.75" customHeight="1">
      <c r="A6679" s="1" t="str">
        <f>IFERROR(__xludf.DUMMYFUNCTION("""COMPUTED_VALUE"""),"Trenton Richardson")</f>
        <v>Trenton Richardson</v>
      </c>
      <c r="B6679" s="1" t="str">
        <f>IFERROR(__xludf.DUMMYFUNCTION("""COMPUTED_VALUE"""),"HS")</f>
        <v>HS</v>
      </c>
    </row>
    <row r="6680" ht="15.75" customHeight="1">
      <c r="A6680" s="1" t="str">
        <f>IFERROR(__xludf.DUMMYFUNCTION("""COMPUTED_VALUE"""),"Ashton Tuma")</f>
        <v>Ashton Tuma</v>
      </c>
      <c r="B6680" s="1" t="str">
        <f>IFERROR(__xludf.DUMMYFUNCTION("""COMPUTED_VALUE"""),"HS")</f>
        <v>HS</v>
      </c>
    </row>
    <row r="6681" ht="15.75" customHeight="1">
      <c r="A6681" s="1" t="str">
        <f>IFERROR(__xludf.DUMMYFUNCTION("""COMPUTED_VALUE"""),"Jayden Woodward-Schaffer")</f>
        <v>Jayden Woodward-Schaffer</v>
      </c>
      <c r="B6681" s="1" t="str">
        <f>IFERROR(__xludf.DUMMYFUNCTION("""COMPUTED_VALUE"""),"HS")</f>
        <v>HS</v>
      </c>
    </row>
    <row r="6682" ht="15.75" customHeight="1">
      <c r="A6682" s="1" t="str">
        <f>IFERROR(__xludf.DUMMYFUNCTION("""COMPUTED_VALUE"""),"Andre Aadland")</f>
        <v>Andre Aadland</v>
      </c>
      <c r="B6682" s="1" t="str">
        <f>IFERROR(__xludf.DUMMYFUNCTION("""COMPUTED_VALUE"""),"HS")</f>
        <v>HS</v>
      </c>
    </row>
    <row r="6683" ht="15.75" customHeight="1">
      <c r="A6683" s="1" t="str">
        <f>IFERROR(__xludf.DUMMYFUNCTION("""COMPUTED_VALUE"""),"Emma Helbling")</f>
        <v>Emma Helbling</v>
      </c>
      <c r="B6683" s="1" t="str">
        <f>IFERROR(__xludf.DUMMYFUNCTION("""COMPUTED_VALUE"""),"HS")</f>
        <v>HS</v>
      </c>
    </row>
    <row r="6684" ht="15.75" customHeight="1">
      <c r="A6684" s="1" t="str">
        <f>IFERROR(__xludf.DUMMYFUNCTION("""COMPUTED_VALUE"""),"Aspen Kidwell")</f>
        <v>Aspen Kidwell</v>
      </c>
      <c r="B6684" s="1" t="str">
        <f>IFERROR(__xludf.DUMMYFUNCTION("""COMPUTED_VALUE"""),"HS")</f>
        <v>HS</v>
      </c>
    </row>
    <row r="6685" ht="15.75" customHeight="1">
      <c r="A6685" s="1" t="str">
        <f>IFERROR(__xludf.DUMMYFUNCTION("""COMPUTED_VALUE"""),"Eliseo Leon")</f>
        <v>Eliseo Leon</v>
      </c>
      <c r="B6685" s="1" t="str">
        <f>IFERROR(__xludf.DUMMYFUNCTION("""COMPUTED_VALUE"""),"HS")</f>
        <v>HS</v>
      </c>
    </row>
    <row r="6686" ht="15.75" customHeight="1">
      <c r="A6686" s="1" t="str">
        <f>IFERROR(__xludf.DUMMYFUNCTION("""COMPUTED_VALUE"""),"Caden Reigert")</f>
        <v>Caden Reigert</v>
      </c>
      <c r="B6686" s="1" t="str">
        <f>IFERROR(__xludf.DUMMYFUNCTION("""COMPUTED_VALUE"""),"HS")</f>
        <v>HS</v>
      </c>
    </row>
    <row r="6687" ht="15.75" customHeight="1">
      <c r="A6687" s="1" t="str">
        <f>IFERROR(__xludf.DUMMYFUNCTION("""COMPUTED_VALUE"""),"Aidan Rodriguez")</f>
        <v>Aidan Rodriguez</v>
      </c>
      <c r="B6687" s="1" t="str">
        <f>IFERROR(__xludf.DUMMYFUNCTION("""COMPUTED_VALUE"""),"HS")</f>
        <v>HS</v>
      </c>
    </row>
    <row r="6688" ht="15.75" customHeight="1">
      <c r="A6688" s="1" t="str">
        <f>IFERROR(__xludf.DUMMYFUNCTION("""COMPUTED_VALUE"""),"Gavien Rodriguez")</f>
        <v>Gavien Rodriguez</v>
      </c>
      <c r="B6688" s="1" t="str">
        <f>IFERROR(__xludf.DUMMYFUNCTION("""COMPUTED_VALUE"""),"HS")</f>
        <v>HS</v>
      </c>
    </row>
    <row r="6689" ht="15.75" customHeight="1">
      <c r="A6689" s="1" t="str">
        <f>IFERROR(__xludf.DUMMYFUNCTION("""COMPUTED_VALUE"""),"Zackary Stofiel")</f>
        <v>Zackary Stofiel</v>
      </c>
      <c r="B6689" s="1" t="str">
        <f>IFERROR(__xludf.DUMMYFUNCTION("""COMPUTED_VALUE"""),"HS")</f>
        <v>HS</v>
      </c>
    </row>
    <row r="6690" ht="15.75" customHeight="1">
      <c r="A6690" s="1" t="str">
        <f>IFERROR(__xludf.DUMMYFUNCTION("""COMPUTED_VALUE"""),"Lane Culp")</f>
        <v>Lane Culp</v>
      </c>
      <c r="B6690" s="1" t="str">
        <f>IFERROR(__xludf.DUMMYFUNCTION("""COMPUTED_VALUE"""),"HS")</f>
        <v>HS</v>
      </c>
    </row>
    <row r="6691" ht="15.75" customHeight="1">
      <c r="A6691" s="1" t="str">
        <f>IFERROR(__xludf.DUMMYFUNCTION("""COMPUTED_VALUE"""),"Ezequiel Gutierez Gonzalez")</f>
        <v>Ezequiel Gutierez Gonzalez</v>
      </c>
      <c r="B6691" s="1" t="str">
        <f>IFERROR(__xludf.DUMMYFUNCTION("""COMPUTED_VALUE"""),"HS")</f>
        <v>HS</v>
      </c>
    </row>
    <row r="6692" ht="15.75" customHeight="1">
      <c r="A6692" s="1" t="str">
        <f>IFERROR(__xludf.DUMMYFUNCTION("""COMPUTED_VALUE"""),"Kamilee Kent")</f>
        <v>Kamilee Kent</v>
      </c>
      <c r="B6692" s="1" t="str">
        <f>IFERROR(__xludf.DUMMYFUNCTION("""COMPUTED_VALUE"""),"HS")</f>
        <v>HS</v>
      </c>
    </row>
    <row r="6693" ht="15.75" customHeight="1">
      <c r="A6693" s="1" t="str">
        <f>IFERROR(__xludf.DUMMYFUNCTION("""COMPUTED_VALUE"""),"Otto Russell")</f>
        <v>Otto Russell</v>
      </c>
      <c r="B6693" s="1" t="str">
        <f>IFERROR(__xludf.DUMMYFUNCTION("""COMPUTED_VALUE"""),"HS")</f>
        <v>HS</v>
      </c>
    </row>
    <row r="6694" ht="15.75" customHeight="1">
      <c r="A6694" s="1" t="str">
        <f>IFERROR(__xludf.DUMMYFUNCTION("""COMPUTED_VALUE"""),"Cody Allsop")</f>
        <v>Cody Allsop</v>
      </c>
      <c r="B6694" s="1" t="str">
        <f>IFERROR(__xludf.DUMMYFUNCTION("""COMPUTED_VALUE"""),"HS")</f>
        <v>HS</v>
      </c>
    </row>
    <row r="6695" ht="15.75" customHeight="1">
      <c r="A6695" s="1" t="str">
        <f>IFERROR(__xludf.DUMMYFUNCTION("""COMPUTED_VALUE"""),"Christopher Arcos")</f>
        <v>Christopher Arcos</v>
      </c>
      <c r="B6695" s="1" t="str">
        <f>IFERROR(__xludf.DUMMYFUNCTION("""COMPUTED_VALUE"""),"HS")</f>
        <v>HS</v>
      </c>
    </row>
    <row r="6696" ht="15.75" customHeight="1">
      <c r="A6696" s="1" t="str">
        <f>IFERROR(__xludf.DUMMYFUNCTION("""COMPUTED_VALUE"""),"Sidney Bacon")</f>
        <v>Sidney Bacon</v>
      </c>
      <c r="B6696" s="1" t="str">
        <f>IFERROR(__xludf.DUMMYFUNCTION("""COMPUTED_VALUE"""),"HS")</f>
        <v>HS</v>
      </c>
    </row>
    <row r="6697" ht="15.75" customHeight="1">
      <c r="A6697" s="1" t="str">
        <f>IFERROR(__xludf.DUMMYFUNCTION("""COMPUTED_VALUE"""),"Peyton Barnard")</f>
        <v>Peyton Barnard</v>
      </c>
      <c r="B6697" s="1" t="str">
        <f>IFERROR(__xludf.DUMMYFUNCTION("""COMPUTED_VALUE"""),"HS")</f>
        <v>HS</v>
      </c>
    </row>
    <row r="6698" ht="15.75" customHeight="1">
      <c r="A6698" s="1" t="str">
        <f>IFERROR(__xludf.DUMMYFUNCTION("""COMPUTED_VALUE"""),"Braylon Bell")</f>
        <v>Braylon Bell</v>
      </c>
      <c r="B6698" s="1" t="str">
        <f>IFERROR(__xludf.DUMMYFUNCTION("""COMPUTED_VALUE"""),"HS")</f>
        <v>HS</v>
      </c>
    </row>
    <row r="6699" ht="15.75" customHeight="1">
      <c r="A6699" s="1" t="str">
        <f>IFERROR(__xludf.DUMMYFUNCTION("""COMPUTED_VALUE"""),"Adam Bray")</f>
        <v>Adam Bray</v>
      </c>
      <c r="B6699" s="1" t="str">
        <f>IFERROR(__xludf.DUMMYFUNCTION("""COMPUTED_VALUE"""),"HS")</f>
        <v>HS</v>
      </c>
    </row>
    <row r="6700" ht="15.75" customHeight="1">
      <c r="A6700" s="1" t="str">
        <f>IFERROR(__xludf.DUMMYFUNCTION("""COMPUTED_VALUE"""),"Sophie Brow")</f>
        <v>Sophie Brow</v>
      </c>
      <c r="B6700" s="1" t="str">
        <f>IFERROR(__xludf.DUMMYFUNCTION("""COMPUTED_VALUE"""),"HS")</f>
        <v>HS</v>
      </c>
    </row>
    <row r="6701" ht="15.75" customHeight="1">
      <c r="A6701" s="1" t="str">
        <f>IFERROR(__xludf.DUMMYFUNCTION("""COMPUTED_VALUE"""),"Zake Canham")</f>
        <v>Zake Canham</v>
      </c>
      <c r="B6701" s="1" t="str">
        <f>IFERROR(__xludf.DUMMYFUNCTION("""COMPUTED_VALUE"""),"HS")</f>
        <v>HS</v>
      </c>
    </row>
    <row r="6702" ht="15.75" customHeight="1">
      <c r="A6702" s="1" t="str">
        <f>IFERROR(__xludf.DUMMYFUNCTION("""COMPUTED_VALUE"""),"Isaac Castro")</f>
        <v>Isaac Castro</v>
      </c>
      <c r="B6702" s="1" t="str">
        <f>IFERROR(__xludf.DUMMYFUNCTION("""COMPUTED_VALUE"""),"HS")</f>
        <v>HS</v>
      </c>
    </row>
    <row r="6703" ht="15.75" customHeight="1">
      <c r="A6703" s="1" t="str">
        <f>IFERROR(__xludf.DUMMYFUNCTION("""COMPUTED_VALUE"""),"Rhiley Cox")</f>
        <v>Rhiley Cox</v>
      </c>
      <c r="B6703" s="1" t="str">
        <f>IFERROR(__xludf.DUMMYFUNCTION("""COMPUTED_VALUE"""),"HS")</f>
        <v>HS</v>
      </c>
    </row>
    <row r="6704" ht="15.75" customHeight="1">
      <c r="A6704" s="1" t="str">
        <f>IFERROR(__xludf.DUMMYFUNCTION("""COMPUTED_VALUE"""),"Jayden Curl")</f>
        <v>Jayden Curl</v>
      </c>
      <c r="B6704" s="1" t="str">
        <f>IFERROR(__xludf.DUMMYFUNCTION("""COMPUTED_VALUE"""),"HS")</f>
        <v>HS</v>
      </c>
    </row>
    <row r="6705" ht="15.75" customHeight="1">
      <c r="A6705" s="1" t="str">
        <f>IFERROR(__xludf.DUMMYFUNCTION("""COMPUTED_VALUE"""),"Lindsey Dees")</f>
        <v>Lindsey Dees</v>
      </c>
      <c r="B6705" s="1" t="str">
        <f>IFERROR(__xludf.DUMMYFUNCTION("""COMPUTED_VALUE"""),"HS")</f>
        <v>HS</v>
      </c>
    </row>
    <row r="6706" ht="15.75" customHeight="1">
      <c r="A6706" s="1" t="str">
        <f>IFERROR(__xludf.DUMMYFUNCTION("""COMPUTED_VALUE"""),"Kellen Dill")</f>
        <v>Kellen Dill</v>
      </c>
      <c r="B6706" s="1" t="str">
        <f>IFERROR(__xludf.DUMMYFUNCTION("""COMPUTED_VALUE"""),"HS")</f>
        <v>HS</v>
      </c>
    </row>
    <row r="6707" ht="15.75" customHeight="1">
      <c r="A6707" s="1" t="str">
        <f>IFERROR(__xludf.DUMMYFUNCTION("""COMPUTED_VALUE"""),"Hayden Ferschweiler")</f>
        <v>Hayden Ferschweiler</v>
      </c>
      <c r="B6707" s="1" t="str">
        <f>IFERROR(__xludf.DUMMYFUNCTION("""COMPUTED_VALUE"""),"HS")</f>
        <v>HS</v>
      </c>
    </row>
    <row r="6708" ht="15.75" customHeight="1">
      <c r="A6708" s="1" t="str">
        <f>IFERROR(__xludf.DUMMYFUNCTION("""COMPUTED_VALUE"""),"Aaliyah Fisher")</f>
        <v>Aaliyah Fisher</v>
      </c>
      <c r="B6708" s="1" t="str">
        <f>IFERROR(__xludf.DUMMYFUNCTION("""COMPUTED_VALUE"""),"HS")</f>
        <v>HS</v>
      </c>
    </row>
    <row r="6709" ht="15.75" customHeight="1">
      <c r="A6709" s="1" t="str">
        <f>IFERROR(__xludf.DUMMYFUNCTION("""COMPUTED_VALUE"""),"Zachery Flock")</f>
        <v>Zachery Flock</v>
      </c>
      <c r="B6709" s="1" t="str">
        <f>IFERROR(__xludf.DUMMYFUNCTION("""COMPUTED_VALUE"""),"HS")</f>
        <v>HS</v>
      </c>
    </row>
    <row r="6710" ht="15.75" customHeight="1">
      <c r="A6710" s="1" t="str">
        <f>IFERROR(__xludf.DUMMYFUNCTION("""COMPUTED_VALUE"""),"Tyler Foley")</f>
        <v>Tyler Foley</v>
      </c>
      <c r="B6710" s="1" t="str">
        <f>IFERROR(__xludf.DUMMYFUNCTION("""COMPUTED_VALUE"""),"HS")</f>
        <v>HS</v>
      </c>
    </row>
    <row r="6711" ht="15.75" customHeight="1">
      <c r="A6711" s="1" t="str">
        <f>IFERROR(__xludf.DUMMYFUNCTION("""COMPUTED_VALUE"""),"Guillermo Guerrero Gonzalez")</f>
        <v>Guillermo Guerrero Gonzalez</v>
      </c>
      <c r="B6711" s="1" t="str">
        <f>IFERROR(__xludf.DUMMYFUNCTION("""COMPUTED_VALUE"""),"HS")</f>
        <v>HS</v>
      </c>
    </row>
    <row r="6712" ht="15.75" customHeight="1">
      <c r="A6712" s="1" t="str">
        <f>IFERROR(__xludf.DUMMYFUNCTION("""COMPUTED_VALUE"""),"Isabel Gutierrez Olmos")</f>
        <v>Isabel Gutierrez Olmos</v>
      </c>
      <c r="B6712" s="1" t="str">
        <f>IFERROR(__xludf.DUMMYFUNCTION("""COMPUTED_VALUE"""),"HS")</f>
        <v>HS</v>
      </c>
    </row>
    <row r="6713" ht="15.75" customHeight="1">
      <c r="A6713" s="1" t="str">
        <f>IFERROR(__xludf.DUMMYFUNCTION("""COMPUTED_VALUE"""),"Tationna Harshman")</f>
        <v>Tationna Harshman</v>
      </c>
      <c r="B6713" s="1" t="str">
        <f>IFERROR(__xludf.DUMMYFUNCTION("""COMPUTED_VALUE"""),"HS")</f>
        <v>HS</v>
      </c>
    </row>
    <row r="6714" ht="15.75" customHeight="1">
      <c r="A6714" s="1" t="str">
        <f>IFERROR(__xludf.DUMMYFUNCTION("""COMPUTED_VALUE"""),"Cody Hart")</f>
        <v>Cody Hart</v>
      </c>
      <c r="B6714" s="1" t="str">
        <f>IFERROR(__xludf.DUMMYFUNCTION("""COMPUTED_VALUE"""),"HS")</f>
        <v>HS</v>
      </c>
    </row>
    <row r="6715" ht="15.75" customHeight="1">
      <c r="A6715" s="1" t="str">
        <f>IFERROR(__xludf.DUMMYFUNCTION("""COMPUTED_VALUE"""),"Preston Hooper")</f>
        <v>Preston Hooper</v>
      </c>
      <c r="B6715" s="1" t="str">
        <f>IFERROR(__xludf.DUMMYFUNCTION("""COMPUTED_VALUE"""),"HS")</f>
        <v>HS</v>
      </c>
    </row>
    <row r="6716" ht="15.75" customHeight="1">
      <c r="A6716" s="1" t="str">
        <f>IFERROR(__xludf.DUMMYFUNCTION("""COMPUTED_VALUE"""),"Tripp Horton")</f>
        <v>Tripp Horton</v>
      </c>
      <c r="B6716" s="1" t="str">
        <f>IFERROR(__xludf.DUMMYFUNCTION("""COMPUTED_VALUE"""),"HS")</f>
        <v>HS</v>
      </c>
    </row>
    <row r="6717" ht="15.75" customHeight="1">
      <c r="A6717" s="1" t="str">
        <f>IFERROR(__xludf.DUMMYFUNCTION("""COMPUTED_VALUE"""),"Faith Hottman")</f>
        <v>Faith Hottman</v>
      </c>
      <c r="B6717" s="1" t="str">
        <f>IFERROR(__xludf.DUMMYFUNCTION("""COMPUTED_VALUE"""),"HS")</f>
        <v>HS</v>
      </c>
    </row>
    <row r="6718" ht="15.75" customHeight="1">
      <c r="A6718" s="1" t="str">
        <f>IFERROR(__xludf.DUMMYFUNCTION("""COMPUTED_VALUE"""),"Averie Howard")</f>
        <v>Averie Howard</v>
      </c>
      <c r="B6718" s="1" t="str">
        <f>IFERROR(__xludf.DUMMYFUNCTION("""COMPUTED_VALUE"""),"HS")</f>
        <v>HS</v>
      </c>
    </row>
    <row r="6719" ht="15.75" customHeight="1">
      <c r="A6719" s="1" t="str">
        <f>IFERROR(__xludf.DUMMYFUNCTION("""COMPUTED_VALUE"""),"Zane Hughes")</f>
        <v>Zane Hughes</v>
      </c>
      <c r="B6719" s="1" t="str">
        <f>IFERROR(__xludf.DUMMYFUNCTION("""COMPUTED_VALUE"""),"HS")</f>
        <v>HS</v>
      </c>
    </row>
    <row r="6720" ht="15.75" customHeight="1">
      <c r="A6720" s="1" t="str">
        <f>IFERROR(__xludf.DUMMYFUNCTION("""COMPUTED_VALUE"""),"Aliesia Hutsul")</f>
        <v>Aliesia Hutsul</v>
      </c>
      <c r="B6720" s="1" t="str">
        <f>IFERROR(__xludf.DUMMYFUNCTION("""COMPUTED_VALUE"""),"HS")</f>
        <v>HS</v>
      </c>
    </row>
    <row r="6721" ht="15.75" customHeight="1">
      <c r="A6721" s="1" t="str">
        <f>IFERROR(__xludf.DUMMYFUNCTION("""COMPUTED_VALUE"""),"Ashley James")</f>
        <v>Ashley James</v>
      </c>
      <c r="B6721" s="1" t="str">
        <f>IFERROR(__xludf.DUMMYFUNCTION("""COMPUTED_VALUE"""),"HS")</f>
        <v>HS</v>
      </c>
    </row>
    <row r="6722" ht="15.75" customHeight="1">
      <c r="A6722" s="1" t="str">
        <f>IFERROR(__xludf.DUMMYFUNCTION("""COMPUTED_VALUE"""),"Eric Knox")</f>
        <v>Eric Knox</v>
      </c>
      <c r="B6722" s="1" t="str">
        <f>IFERROR(__xludf.DUMMYFUNCTION("""COMPUTED_VALUE"""),"HS")</f>
        <v>HS</v>
      </c>
    </row>
    <row r="6723" ht="15.75" customHeight="1">
      <c r="A6723" s="1" t="str">
        <f>IFERROR(__xludf.DUMMYFUNCTION("""COMPUTED_VALUE"""),"Ava Lenon")</f>
        <v>Ava Lenon</v>
      </c>
      <c r="B6723" s="1" t="str">
        <f>IFERROR(__xludf.DUMMYFUNCTION("""COMPUTED_VALUE"""),"HS")</f>
        <v>HS</v>
      </c>
    </row>
    <row r="6724" ht="15.75" customHeight="1">
      <c r="A6724" s="1" t="str">
        <f>IFERROR(__xludf.DUMMYFUNCTION("""COMPUTED_VALUE"""),"Carter Little")</f>
        <v>Carter Little</v>
      </c>
      <c r="B6724" s="1" t="str">
        <f>IFERROR(__xludf.DUMMYFUNCTION("""COMPUTED_VALUE"""),"HS")</f>
        <v>HS</v>
      </c>
    </row>
    <row r="6725" ht="15.75" customHeight="1">
      <c r="A6725" s="1" t="str">
        <f>IFERROR(__xludf.DUMMYFUNCTION("""COMPUTED_VALUE"""),"Diego Nauat Holzner")</f>
        <v>Diego Nauat Holzner</v>
      </c>
      <c r="B6725" s="1" t="str">
        <f>IFERROR(__xludf.DUMMYFUNCTION("""COMPUTED_VALUE"""),"HS")</f>
        <v>HS</v>
      </c>
    </row>
    <row r="6726" ht="15.75" customHeight="1">
      <c r="A6726" s="1" t="str">
        <f>IFERROR(__xludf.DUMMYFUNCTION("""COMPUTED_VALUE"""),"Lilly Prater")</f>
        <v>Lilly Prater</v>
      </c>
      <c r="B6726" s="1" t="str">
        <f>IFERROR(__xludf.DUMMYFUNCTION("""COMPUTED_VALUE"""),"HS")</f>
        <v>HS</v>
      </c>
    </row>
    <row r="6727" ht="15.75" customHeight="1">
      <c r="A6727" s="1" t="str">
        <f>IFERROR(__xludf.DUMMYFUNCTION("""COMPUTED_VALUE"""),"John Raitano")</f>
        <v>John Raitano</v>
      </c>
      <c r="B6727" s="1" t="str">
        <f>IFERROR(__xludf.DUMMYFUNCTION("""COMPUTED_VALUE"""),"HS")</f>
        <v>HS</v>
      </c>
    </row>
    <row r="6728" ht="15.75" customHeight="1">
      <c r="A6728" s="1" t="str">
        <f>IFERROR(__xludf.DUMMYFUNCTION("""COMPUTED_VALUE"""),"Jackson Rose")</f>
        <v>Jackson Rose</v>
      </c>
      <c r="B6728" s="1" t="str">
        <f>IFERROR(__xludf.DUMMYFUNCTION("""COMPUTED_VALUE"""),"HS")</f>
        <v>HS</v>
      </c>
    </row>
    <row r="6729" ht="15.75" customHeight="1">
      <c r="A6729" s="1" t="str">
        <f>IFERROR(__xludf.DUMMYFUNCTION("""COMPUTED_VALUE"""),"Natalie Salazar Vasquez")</f>
        <v>Natalie Salazar Vasquez</v>
      </c>
      <c r="B6729" s="1" t="str">
        <f>IFERROR(__xludf.DUMMYFUNCTION("""COMPUTED_VALUE"""),"HS")</f>
        <v>HS</v>
      </c>
    </row>
    <row r="6730" ht="15.75" customHeight="1">
      <c r="A6730" s="1" t="str">
        <f>IFERROR(__xludf.DUMMYFUNCTION("""COMPUTED_VALUE"""),"Kaysin Silvis")</f>
        <v>Kaysin Silvis</v>
      </c>
      <c r="B6730" s="1" t="str">
        <f>IFERROR(__xludf.DUMMYFUNCTION("""COMPUTED_VALUE"""),"HS")</f>
        <v>HS</v>
      </c>
    </row>
    <row r="6731" ht="15.75" customHeight="1">
      <c r="A6731" s="1" t="str">
        <f>IFERROR(__xludf.DUMMYFUNCTION("""COMPUTED_VALUE"""),"Zander Smith")</f>
        <v>Zander Smith</v>
      </c>
      <c r="B6731" s="1" t="str">
        <f>IFERROR(__xludf.DUMMYFUNCTION("""COMPUTED_VALUE"""),"HS")</f>
        <v>HS</v>
      </c>
    </row>
    <row r="6732" ht="15.75" customHeight="1">
      <c r="A6732" s="1" t="str">
        <f>IFERROR(__xludf.DUMMYFUNCTION("""COMPUTED_VALUE"""),"Lylian Starkovich")</f>
        <v>Lylian Starkovich</v>
      </c>
      <c r="B6732" s="1" t="str">
        <f>IFERROR(__xludf.DUMMYFUNCTION("""COMPUTED_VALUE"""),"HS")</f>
        <v>HS</v>
      </c>
    </row>
    <row r="6733" ht="15.75" customHeight="1">
      <c r="A6733" s="1" t="str">
        <f>IFERROR(__xludf.DUMMYFUNCTION("""COMPUTED_VALUE"""),"Jax Stephens")</f>
        <v>Jax Stephens</v>
      </c>
      <c r="B6733" s="1" t="str">
        <f>IFERROR(__xludf.DUMMYFUNCTION("""COMPUTED_VALUE"""),"HS")</f>
        <v>HS</v>
      </c>
    </row>
    <row r="6734" ht="15.75" customHeight="1">
      <c r="A6734" s="1" t="str">
        <f>IFERROR(__xludf.DUMMYFUNCTION("""COMPUTED_VALUE"""),"Ethan Sullivan")</f>
        <v>Ethan Sullivan</v>
      </c>
      <c r="B6734" s="1" t="str">
        <f>IFERROR(__xludf.DUMMYFUNCTION("""COMPUTED_VALUE"""),"HS")</f>
        <v>HS</v>
      </c>
    </row>
    <row r="6735" ht="15.75" customHeight="1">
      <c r="A6735" s="1" t="str">
        <f>IFERROR(__xludf.DUMMYFUNCTION("""COMPUTED_VALUE"""),"Shaelise Turley")</f>
        <v>Shaelise Turley</v>
      </c>
      <c r="B6735" s="1" t="str">
        <f>IFERROR(__xludf.DUMMYFUNCTION("""COMPUTED_VALUE"""),"HS")</f>
        <v>HS</v>
      </c>
    </row>
    <row r="6736" ht="15.75" customHeight="1">
      <c r="A6736" s="1" t="str">
        <f>IFERROR(__xludf.DUMMYFUNCTION("""COMPUTED_VALUE"""),"Dalton U'Ren")</f>
        <v>Dalton U'Ren</v>
      </c>
      <c r="B6736" s="1" t="str">
        <f>IFERROR(__xludf.DUMMYFUNCTION("""COMPUTED_VALUE"""),"HS")</f>
        <v>HS</v>
      </c>
    </row>
    <row r="6737" ht="15.75" customHeight="1">
      <c r="A6737" s="1" t="str">
        <f>IFERROR(__xludf.DUMMYFUNCTION("""COMPUTED_VALUE"""),"Macayla Van horn")</f>
        <v>Macayla Van horn</v>
      </c>
      <c r="B6737" s="1" t="str">
        <f>IFERROR(__xludf.DUMMYFUNCTION("""COMPUTED_VALUE"""),"HS")</f>
        <v>HS</v>
      </c>
    </row>
    <row r="6738" ht="15.75" customHeight="1">
      <c r="A6738" s="1" t="str">
        <f>IFERROR(__xludf.DUMMYFUNCTION("""COMPUTED_VALUE"""),"Brooke Wilson")</f>
        <v>Brooke Wilson</v>
      </c>
      <c r="B6738" s="1" t="str">
        <f>IFERROR(__xludf.DUMMYFUNCTION("""COMPUTED_VALUE"""),"HS")</f>
        <v>HS</v>
      </c>
    </row>
    <row r="6739" ht="15.75" customHeight="1">
      <c r="A6739" s="1" t="str">
        <f>IFERROR(__xludf.DUMMYFUNCTION("""COMPUTED_VALUE"""),"Lucas Yung")</f>
        <v>Lucas Yung</v>
      </c>
      <c r="B6739" s="1" t="str">
        <f>IFERROR(__xludf.DUMMYFUNCTION("""COMPUTED_VALUE"""),"HS")</f>
        <v>HS</v>
      </c>
    </row>
    <row r="6740" ht="15.75" customHeight="1">
      <c r="A6740" s="1" t="str">
        <f>IFERROR(__xludf.DUMMYFUNCTION("""COMPUTED_VALUE"""),"Eli Charbonneau")</f>
        <v>Eli Charbonneau</v>
      </c>
      <c r="B6740" s="1" t="str">
        <f>IFERROR(__xludf.DUMMYFUNCTION("""COMPUTED_VALUE"""),"HS")</f>
        <v>HS</v>
      </c>
    </row>
    <row r="6741" ht="15.75" customHeight="1">
      <c r="A6741" s="1" t="str">
        <f>IFERROR(__xludf.DUMMYFUNCTION("""COMPUTED_VALUE"""),"Eliana Coulter")</f>
        <v>Eliana Coulter</v>
      </c>
      <c r="B6741" s="1" t="str">
        <f>IFERROR(__xludf.DUMMYFUNCTION("""COMPUTED_VALUE"""),"HS")</f>
        <v>HS</v>
      </c>
    </row>
    <row r="6742" ht="15.75" customHeight="1">
      <c r="A6742" s="1" t="str">
        <f>IFERROR(__xludf.DUMMYFUNCTION("""COMPUTED_VALUE"""),"Cameron Kozina")</f>
        <v>Cameron Kozina</v>
      </c>
      <c r="B6742" s="1" t="str">
        <f>IFERROR(__xludf.DUMMYFUNCTION("""COMPUTED_VALUE"""),"HS")</f>
        <v>HS</v>
      </c>
    </row>
    <row r="6743" ht="15.75" customHeight="1">
      <c r="A6743" s="1" t="str">
        <f>IFERROR(__xludf.DUMMYFUNCTION("""COMPUTED_VALUE"""),"Mario Lampkin")</f>
        <v>Mario Lampkin</v>
      </c>
      <c r="B6743" s="1" t="str">
        <f>IFERROR(__xludf.DUMMYFUNCTION("""COMPUTED_VALUE"""),"HS")</f>
        <v>HS</v>
      </c>
    </row>
    <row r="6744" ht="15.75" customHeight="1">
      <c r="A6744" s="1" t="str">
        <f>IFERROR(__xludf.DUMMYFUNCTION("""COMPUTED_VALUE"""),"Liam Lindell")</f>
        <v>Liam Lindell</v>
      </c>
      <c r="B6744" s="1" t="str">
        <f>IFERROR(__xludf.DUMMYFUNCTION("""COMPUTED_VALUE"""),"HS")</f>
        <v>HS</v>
      </c>
    </row>
    <row r="6745" ht="15.75" customHeight="1">
      <c r="A6745" s="1" t="str">
        <f>IFERROR(__xludf.DUMMYFUNCTION("""COMPUTED_VALUE"""),"Alexander Mondragon")</f>
        <v>Alexander Mondragon</v>
      </c>
      <c r="B6745" s="1" t="str">
        <f>IFERROR(__xludf.DUMMYFUNCTION("""COMPUTED_VALUE"""),"HS")</f>
        <v>HS</v>
      </c>
    </row>
    <row r="6746" ht="15.75" customHeight="1">
      <c r="A6746" s="1" t="str">
        <f>IFERROR(__xludf.DUMMYFUNCTION("""COMPUTED_VALUE"""),"Jacob Smith")</f>
        <v>Jacob Smith</v>
      </c>
      <c r="B6746" s="1" t="str">
        <f>IFERROR(__xludf.DUMMYFUNCTION("""COMPUTED_VALUE"""),"HS")</f>
        <v>HS</v>
      </c>
    </row>
    <row r="6747" ht="15.75" customHeight="1">
      <c r="A6747" s="1" t="str">
        <f>IFERROR(__xludf.DUMMYFUNCTION("""COMPUTED_VALUE"""),"Ian Solorio")</f>
        <v>Ian Solorio</v>
      </c>
      <c r="B6747" s="1" t="str">
        <f>IFERROR(__xludf.DUMMYFUNCTION("""COMPUTED_VALUE"""),"HS")</f>
        <v>HS</v>
      </c>
    </row>
    <row r="6748" ht="15.75" customHeight="1">
      <c r="A6748" s="1" t="str">
        <f>IFERROR(__xludf.DUMMYFUNCTION("""COMPUTED_VALUE"""),"Ronan Willoughby")</f>
        <v>Ronan Willoughby</v>
      </c>
      <c r="B6748" s="1" t="str">
        <f>IFERROR(__xludf.DUMMYFUNCTION("""COMPUTED_VALUE"""),"HS")</f>
        <v>HS</v>
      </c>
    </row>
    <row r="6749" ht="15.75" customHeight="1">
      <c r="A6749" s="1" t="str">
        <f>IFERROR(__xludf.DUMMYFUNCTION("""COMPUTED_VALUE"""),"Damian Aguilera")</f>
        <v>Damian Aguilera</v>
      </c>
      <c r="B6749" s="1" t="str">
        <f>IFERROR(__xludf.DUMMYFUNCTION("""COMPUTED_VALUE"""),"HS")</f>
        <v>HS</v>
      </c>
    </row>
    <row r="6750" ht="15.75" customHeight="1">
      <c r="A6750" s="1" t="str">
        <f>IFERROR(__xludf.DUMMYFUNCTION("""COMPUTED_VALUE"""),"Aiden Bagge")</f>
        <v>Aiden Bagge</v>
      </c>
      <c r="B6750" s="1" t="str">
        <f>IFERROR(__xludf.DUMMYFUNCTION("""COMPUTED_VALUE"""),"HS")</f>
        <v>HS</v>
      </c>
    </row>
    <row r="6751" ht="15.75" customHeight="1">
      <c r="A6751" s="1" t="str">
        <f>IFERROR(__xludf.DUMMYFUNCTION("""COMPUTED_VALUE"""),"Evelynn Bone")</f>
        <v>Evelynn Bone</v>
      </c>
      <c r="B6751" s="1" t="str">
        <f>IFERROR(__xludf.DUMMYFUNCTION("""COMPUTED_VALUE"""),"HS")</f>
        <v>HS</v>
      </c>
    </row>
    <row r="6752" ht="15.75" customHeight="1">
      <c r="A6752" s="1" t="str">
        <f>IFERROR(__xludf.DUMMYFUNCTION("""COMPUTED_VALUE"""),"Dayamy Castro-Rose")</f>
        <v>Dayamy Castro-Rose</v>
      </c>
      <c r="B6752" s="1" t="str">
        <f>IFERROR(__xludf.DUMMYFUNCTION("""COMPUTED_VALUE"""),"HS")</f>
        <v>HS</v>
      </c>
    </row>
    <row r="6753" ht="15.75" customHeight="1">
      <c r="A6753" s="1" t="str">
        <f>IFERROR(__xludf.DUMMYFUNCTION("""COMPUTED_VALUE"""),"Teagen Claus")</f>
        <v>Teagen Claus</v>
      </c>
      <c r="B6753" s="1" t="str">
        <f>IFERROR(__xludf.DUMMYFUNCTION("""COMPUTED_VALUE"""),"HS")</f>
        <v>HS</v>
      </c>
    </row>
    <row r="6754" ht="15.75" customHeight="1">
      <c r="A6754" s="1" t="str">
        <f>IFERROR(__xludf.DUMMYFUNCTION("""COMPUTED_VALUE"""),"Scott Flom")</f>
        <v>Scott Flom</v>
      </c>
      <c r="B6754" s="1" t="str">
        <f>IFERROR(__xludf.DUMMYFUNCTION("""COMPUTED_VALUE"""),"HS")</f>
        <v>HS</v>
      </c>
    </row>
    <row r="6755" ht="15.75" customHeight="1">
      <c r="A6755" s="1" t="str">
        <f>IFERROR(__xludf.DUMMYFUNCTION("""COMPUTED_VALUE"""),"Zoey Glenn")</f>
        <v>Zoey Glenn</v>
      </c>
      <c r="B6755" s="1" t="str">
        <f>IFERROR(__xludf.DUMMYFUNCTION("""COMPUTED_VALUE"""),"HS")</f>
        <v>HS</v>
      </c>
    </row>
    <row r="6756" ht="15.75" customHeight="1">
      <c r="A6756" s="1" t="str">
        <f>IFERROR(__xludf.DUMMYFUNCTION("""COMPUTED_VALUE"""),"Madison Goodrick")</f>
        <v>Madison Goodrick</v>
      </c>
      <c r="B6756" s="1" t="str">
        <f>IFERROR(__xludf.DUMMYFUNCTION("""COMPUTED_VALUE"""),"HS")</f>
        <v>HS</v>
      </c>
    </row>
    <row r="6757" ht="15.75" customHeight="1">
      <c r="A6757" s="1" t="str">
        <f>IFERROR(__xludf.DUMMYFUNCTION("""COMPUTED_VALUE"""),"Aiden Gray")</f>
        <v>Aiden Gray</v>
      </c>
      <c r="B6757" s="1" t="str">
        <f>IFERROR(__xludf.DUMMYFUNCTION("""COMPUTED_VALUE"""),"HS")</f>
        <v>HS</v>
      </c>
    </row>
    <row r="6758" ht="15.75" customHeight="1">
      <c r="A6758" s="1" t="str">
        <f>IFERROR(__xludf.DUMMYFUNCTION("""COMPUTED_VALUE"""),"Andrew Heininge")</f>
        <v>Andrew Heininge</v>
      </c>
      <c r="B6758" s="1" t="str">
        <f>IFERROR(__xludf.DUMMYFUNCTION("""COMPUTED_VALUE"""),"HS")</f>
        <v>HS</v>
      </c>
    </row>
    <row r="6759" ht="15.75" customHeight="1">
      <c r="A6759" s="1" t="str">
        <f>IFERROR(__xludf.DUMMYFUNCTION("""COMPUTED_VALUE"""),"Lonathon Hollenbeck")</f>
        <v>Lonathon Hollenbeck</v>
      </c>
      <c r="B6759" s="1" t="str">
        <f>IFERROR(__xludf.DUMMYFUNCTION("""COMPUTED_VALUE"""),"HS")</f>
        <v>HS</v>
      </c>
    </row>
    <row r="6760" ht="15.75" customHeight="1">
      <c r="A6760" s="1" t="str">
        <f>IFERROR(__xludf.DUMMYFUNCTION("""COMPUTED_VALUE"""),"Hayden Johnson")</f>
        <v>Hayden Johnson</v>
      </c>
      <c r="B6760" s="1" t="str">
        <f>IFERROR(__xludf.DUMMYFUNCTION("""COMPUTED_VALUE"""),"HS")</f>
        <v>HS</v>
      </c>
    </row>
    <row r="6761" ht="15.75" customHeight="1">
      <c r="A6761" s="1" t="str">
        <f>IFERROR(__xludf.DUMMYFUNCTION("""COMPUTED_VALUE"""),"Ethan Kime")</f>
        <v>Ethan Kime</v>
      </c>
      <c r="B6761" s="1" t="str">
        <f>IFERROR(__xludf.DUMMYFUNCTION("""COMPUTED_VALUE"""),"HS")</f>
        <v>HS</v>
      </c>
    </row>
    <row r="6762" ht="15.75" customHeight="1">
      <c r="A6762" s="1" t="str">
        <f>IFERROR(__xludf.DUMMYFUNCTION("""COMPUTED_VALUE"""),"Jackson Kultala")</f>
        <v>Jackson Kultala</v>
      </c>
      <c r="B6762" s="1" t="str">
        <f>IFERROR(__xludf.DUMMYFUNCTION("""COMPUTED_VALUE"""),"HS")</f>
        <v>HS</v>
      </c>
    </row>
    <row r="6763" ht="15.75" customHeight="1">
      <c r="A6763" s="1" t="str">
        <f>IFERROR(__xludf.DUMMYFUNCTION("""COMPUTED_VALUE"""),"Jonathon Martin")</f>
        <v>Jonathon Martin</v>
      </c>
      <c r="B6763" s="1" t="str">
        <f>IFERROR(__xludf.DUMMYFUNCTION("""COMPUTED_VALUE"""),"HS")</f>
        <v>HS</v>
      </c>
    </row>
    <row r="6764" ht="15.75" customHeight="1">
      <c r="A6764" s="1" t="str">
        <f>IFERROR(__xludf.DUMMYFUNCTION("""COMPUTED_VALUE"""),"Landon Matheny")</f>
        <v>Landon Matheny</v>
      </c>
      <c r="B6764" s="1" t="str">
        <f>IFERROR(__xludf.DUMMYFUNCTION("""COMPUTED_VALUE"""),"HS")</f>
        <v>HS</v>
      </c>
    </row>
    <row r="6765" ht="15.75" customHeight="1">
      <c r="A6765" s="1" t="str">
        <f>IFERROR(__xludf.DUMMYFUNCTION("""COMPUTED_VALUE"""),"Keeleigh McClure")</f>
        <v>Keeleigh McClure</v>
      </c>
      <c r="B6765" s="1" t="str">
        <f>IFERROR(__xludf.DUMMYFUNCTION("""COMPUTED_VALUE"""),"HS")</f>
        <v>HS</v>
      </c>
    </row>
    <row r="6766" ht="15.75" customHeight="1">
      <c r="A6766" s="1" t="str">
        <f>IFERROR(__xludf.DUMMYFUNCTION("""COMPUTED_VALUE"""),"Christopher Miller")</f>
        <v>Christopher Miller</v>
      </c>
      <c r="B6766" s="1" t="str">
        <f>IFERROR(__xludf.DUMMYFUNCTION("""COMPUTED_VALUE"""),"HS")</f>
        <v>HS</v>
      </c>
    </row>
    <row r="6767" ht="15.75" customHeight="1">
      <c r="A6767" s="1" t="str">
        <f>IFERROR(__xludf.DUMMYFUNCTION("""COMPUTED_VALUE"""),"Mason Mixon")</f>
        <v>Mason Mixon</v>
      </c>
      <c r="B6767" s="1" t="str">
        <f>IFERROR(__xludf.DUMMYFUNCTION("""COMPUTED_VALUE"""),"HS")</f>
        <v>HS</v>
      </c>
    </row>
    <row r="6768" ht="15.75" customHeight="1">
      <c r="A6768" s="1" t="str">
        <f>IFERROR(__xludf.DUMMYFUNCTION("""COMPUTED_VALUE"""),"Noble Moore")</f>
        <v>Noble Moore</v>
      </c>
      <c r="B6768" s="1" t="str">
        <f>IFERROR(__xludf.DUMMYFUNCTION("""COMPUTED_VALUE"""),"HS")</f>
        <v>HS</v>
      </c>
    </row>
    <row r="6769" ht="15.75" customHeight="1">
      <c r="A6769" s="1" t="str">
        <f>IFERROR(__xludf.DUMMYFUNCTION("""COMPUTED_VALUE"""),"Marcus Nelson")</f>
        <v>Marcus Nelson</v>
      </c>
      <c r="B6769" s="1" t="str">
        <f>IFERROR(__xludf.DUMMYFUNCTION("""COMPUTED_VALUE"""),"HS")</f>
        <v>HS</v>
      </c>
    </row>
    <row r="6770" ht="15.75" customHeight="1">
      <c r="A6770" s="1" t="str">
        <f>IFERROR(__xludf.DUMMYFUNCTION("""COMPUTED_VALUE"""),"Arianna Nolen")</f>
        <v>Arianna Nolen</v>
      </c>
      <c r="B6770" s="1" t="str">
        <f>IFERROR(__xludf.DUMMYFUNCTION("""COMPUTED_VALUE"""),"HS")</f>
        <v>HS</v>
      </c>
    </row>
    <row r="6771" ht="15.75" customHeight="1">
      <c r="A6771" s="1" t="str">
        <f>IFERROR(__xludf.DUMMYFUNCTION("""COMPUTED_VALUE"""),"Jayson Pierce")</f>
        <v>Jayson Pierce</v>
      </c>
      <c r="B6771" s="1" t="str">
        <f>IFERROR(__xludf.DUMMYFUNCTION("""COMPUTED_VALUE"""),"HS")</f>
        <v>HS</v>
      </c>
    </row>
    <row r="6772" ht="15.75" customHeight="1">
      <c r="A6772" s="1" t="str">
        <f>IFERROR(__xludf.DUMMYFUNCTION("""COMPUTED_VALUE"""),"Warren Pruett")</f>
        <v>Warren Pruett</v>
      </c>
      <c r="B6772" s="1" t="str">
        <f>IFERROR(__xludf.DUMMYFUNCTION("""COMPUTED_VALUE"""),"HS")</f>
        <v>HS</v>
      </c>
    </row>
    <row r="6773" ht="15.75" customHeight="1">
      <c r="A6773" s="1" t="str">
        <f>IFERROR(__xludf.DUMMYFUNCTION("""COMPUTED_VALUE"""),"Jonah Reynosa-Rice")</f>
        <v>Jonah Reynosa-Rice</v>
      </c>
      <c r="B6773" s="1" t="str">
        <f>IFERROR(__xludf.DUMMYFUNCTION("""COMPUTED_VALUE"""),"HS")</f>
        <v>HS</v>
      </c>
    </row>
    <row r="6774" ht="15.75" customHeight="1">
      <c r="A6774" s="1" t="str">
        <f>IFERROR(__xludf.DUMMYFUNCTION("""COMPUTED_VALUE"""),"Tysen Rippey")</f>
        <v>Tysen Rippey</v>
      </c>
      <c r="B6774" s="1" t="str">
        <f>IFERROR(__xludf.DUMMYFUNCTION("""COMPUTED_VALUE"""),"HS")</f>
        <v>HS</v>
      </c>
    </row>
    <row r="6775" ht="15.75" customHeight="1">
      <c r="A6775" s="1" t="str">
        <f>IFERROR(__xludf.DUMMYFUNCTION("""COMPUTED_VALUE"""),"Warrick Romey")</f>
        <v>Warrick Romey</v>
      </c>
      <c r="B6775" s="1" t="str">
        <f>IFERROR(__xludf.DUMMYFUNCTION("""COMPUTED_VALUE"""),"HS")</f>
        <v>HS</v>
      </c>
    </row>
    <row r="6776" ht="15.75" customHeight="1">
      <c r="A6776" s="1" t="str">
        <f>IFERROR(__xludf.DUMMYFUNCTION("""COMPUTED_VALUE"""),"Aiden Routh")</f>
        <v>Aiden Routh</v>
      </c>
      <c r="B6776" s="1" t="str">
        <f>IFERROR(__xludf.DUMMYFUNCTION("""COMPUTED_VALUE"""),"HS")</f>
        <v>HS</v>
      </c>
    </row>
    <row r="6777" ht="15.75" customHeight="1">
      <c r="A6777" s="1" t="str">
        <f>IFERROR(__xludf.DUMMYFUNCTION("""COMPUTED_VALUE"""),"Jackson Scribner")</f>
        <v>Jackson Scribner</v>
      </c>
      <c r="B6777" s="1" t="str">
        <f>IFERROR(__xludf.DUMMYFUNCTION("""COMPUTED_VALUE"""),"HS")</f>
        <v>HS</v>
      </c>
    </row>
    <row r="6778" ht="15.75" customHeight="1">
      <c r="A6778" s="1" t="str">
        <f>IFERROR(__xludf.DUMMYFUNCTION("""COMPUTED_VALUE"""),"Zachariah Selby")</f>
        <v>Zachariah Selby</v>
      </c>
      <c r="B6778" s="1" t="str">
        <f>IFERROR(__xludf.DUMMYFUNCTION("""COMPUTED_VALUE"""),"HS")</f>
        <v>HS</v>
      </c>
    </row>
    <row r="6779" ht="15.75" customHeight="1">
      <c r="A6779" s="1" t="str">
        <f>IFERROR(__xludf.DUMMYFUNCTION("""COMPUTED_VALUE"""),"Delaney Smith")</f>
        <v>Delaney Smith</v>
      </c>
      <c r="B6779" s="1" t="str">
        <f>IFERROR(__xludf.DUMMYFUNCTION("""COMPUTED_VALUE"""),"HS")</f>
        <v>HS</v>
      </c>
    </row>
    <row r="6780" ht="15.75" customHeight="1">
      <c r="A6780" s="1" t="str">
        <f>IFERROR(__xludf.DUMMYFUNCTION("""COMPUTED_VALUE"""),"Brandis Stencil")</f>
        <v>Brandis Stencil</v>
      </c>
      <c r="B6780" s="1" t="str">
        <f>IFERROR(__xludf.DUMMYFUNCTION("""COMPUTED_VALUE"""),"HS")</f>
        <v>HS</v>
      </c>
    </row>
    <row r="6781" ht="15.75" customHeight="1">
      <c r="A6781" s="1" t="str">
        <f>IFERROR(__xludf.DUMMYFUNCTION("""COMPUTED_VALUE"""),"Evelyn Strand")</f>
        <v>Evelyn Strand</v>
      </c>
      <c r="B6781" s="1" t="str">
        <f>IFERROR(__xludf.DUMMYFUNCTION("""COMPUTED_VALUE"""),"HS")</f>
        <v>HS</v>
      </c>
    </row>
    <row r="6782" ht="15.75" customHeight="1">
      <c r="A6782" s="1" t="str">
        <f>IFERROR(__xludf.DUMMYFUNCTION("""COMPUTED_VALUE"""),"Julian Thompson")</f>
        <v>Julian Thompson</v>
      </c>
      <c r="B6782" s="1" t="str">
        <f>IFERROR(__xludf.DUMMYFUNCTION("""COMPUTED_VALUE"""),"HS")</f>
        <v>HS</v>
      </c>
    </row>
    <row r="6783" ht="15.75" customHeight="1">
      <c r="A6783" s="1" t="str">
        <f>IFERROR(__xludf.DUMMYFUNCTION("""COMPUTED_VALUE"""),"Meadow Thorp")</f>
        <v>Meadow Thorp</v>
      </c>
      <c r="B6783" s="1" t="str">
        <f>IFERROR(__xludf.DUMMYFUNCTION("""COMPUTED_VALUE"""),"HS")</f>
        <v>HS</v>
      </c>
    </row>
    <row r="6784" ht="15.75" customHeight="1">
      <c r="A6784" s="1" t="str">
        <f>IFERROR(__xludf.DUMMYFUNCTION("""COMPUTED_VALUE"""),"Corbin Verley")</f>
        <v>Corbin Verley</v>
      </c>
      <c r="B6784" s="1" t="str">
        <f>IFERROR(__xludf.DUMMYFUNCTION("""COMPUTED_VALUE"""),"HS")</f>
        <v>HS</v>
      </c>
    </row>
    <row r="6785" ht="15.75" customHeight="1">
      <c r="A6785" s="1" t="str">
        <f>IFERROR(__xludf.DUMMYFUNCTION("""COMPUTED_VALUE"""),"Jax Weisend")</f>
        <v>Jax Weisend</v>
      </c>
      <c r="B6785" s="1" t="str">
        <f>IFERROR(__xludf.DUMMYFUNCTION("""COMPUTED_VALUE"""),"HS")</f>
        <v>HS</v>
      </c>
    </row>
    <row r="6786" ht="15.75" customHeight="1">
      <c r="A6786" s="1" t="str">
        <f>IFERROR(__xludf.DUMMYFUNCTION("""COMPUTED_VALUE"""),"Luis Castillo")</f>
        <v>Luis Castillo</v>
      </c>
      <c r="B6786" s="1" t="str">
        <f>IFERROR(__xludf.DUMMYFUNCTION("""COMPUTED_VALUE"""),"HS")</f>
        <v>HS</v>
      </c>
    </row>
    <row r="6787" ht="15.75" customHeight="1">
      <c r="A6787" s="1" t="str">
        <f>IFERROR(__xludf.DUMMYFUNCTION("""COMPUTED_VALUE"""),"Paxton Higuera")</f>
        <v>Paxton Higuera</v>
      </c>
      <c r="B6787" s="1" t="str">
        <f>IFERROR(__xludf.DUMMYFUNCTION("""COMPUTED_VALUE"""),"HS")</f>
        <v>HS</v>
      </c>
    </row>
    <row r="6788" ht="15.75" customHeight="1">
      <c r="A6788" s="1" t="str">
        <f>IFERROR(__xludf.DUMMYFUNCTION("""COMPUTED_VALUE"""),"Lilly Kyle")</f>
        <v>Lilly Kyle</v>
      </c>
      <c r="B6788" s="1" t="str">
        <f>IFERROR(__xludf.DUMMYFUNCTION("""COMPUTED_VALUE"""),"HS")</f>
        <v>HS</v>
      </c>
    </row>
    <row r="6789" ht="15.75" customHeight="1">
      <c r="A6789" s="1" t="str">
        <f>IFERROR(__xludf.DUMMYFUNCTION("""COMPUTED_VALUE"""),"Deyvon Lampkin")</f>
        <v>Deyvon Lampkin</v>
      </c>
      <c r="B6789" s="1" t="str">
        <f>IFERROR(__xludf.DUMMYFUNCTION("""COMPUTED_VALUE"""),"HS")</f>
        <v>HS</v>
      </c>
    </row>
    <row r="6790" ht="15.75" customHeight="1">
      <c r="A6790" s="1" t="str">
        <f>IFERROR(__xludf.DUMMYFUNCTION("""COMPUTED_VALUE"""),"Joseph Linfoot")</f>
        <v>Joseph Linfoot</v>
      </c>
      <c r="B6790" s="1" t="str">
        <f>IFERROR(__xludf.DUMMYFUNCTION("""COMPUTED_VALUE"""),"HS")</f>
        <v>HS</v>
      </c>
    </row>
    <row r="6791" ht="15.75" customHeight="1">
      <c r="A6791" s="1" t="str">
        <f>IFERROR(__xludf.DUMMYFUNCTION("""COMPUTED_VALUE"""),"Owen Mundlin")</f>
        <v>Owen Mundlin</v>
      </c>
      <c r="B6791" s="1" t="str">
        <f>IFERROR(__xludf.DUMMYFUNCTION("""COMPUTED_VALUE"""),"HS")</f>
        <v>HS</v>
      </c>
    </row>
    <row r="6792" ht="15.75" customHeight="1">
      <c r="A6792" s="1" t="str">
        <f>IFERROR(__xludf.DUMMYFUNCTION("""COMPUTED_VALUE"""),"Michael Niemeier")</f>
        <v>Michael Niemeier</v>
      </c>
      <c r="B6792" s="1" t="str">
        <f>IFERROR(__xludf.DUMMYFUNCTION("""COMPUTED_VALUE"""),"HS")</f>
        <v>HS</v>
      </c>
    </row>
    <row r="6793" ht="15.75" customHeight="1">
      <c r="A6793" s="1" t="str">
        <f>IFERROR(__xludf.DUMMYFUNCTION("""COMPUTED_VALUE"""),"Sofia Rotar")</f>
        <v>Sofia Rotar</v>
      </c>
      <c r="B6793" s="1" t="str">
        <f>IFERROR(__xludf.DUMMYFUNCTION("""COMPUTED_VALUE"""),"HS")</f>
        <v>HS</v>
      </c>
    </row>
    <row r="6794" ht="15.75" customHeight="1">
      <c r="A6794" s="1" t="str">
        <f>IFERROR(__xludf.DUMMYFUNCTION("""COMPUTED_VALUE"""),"Sarah Rubin")</f>
        <v>Sarah Rubin</v>
      </c>
      <c r="B6794" s="1" t="str">
        <f>IFERROR(__xludf.DUMMYFUNCTION("""COMPUTED_VALUE"""),"HS")</f>
        <v>HS</v>
      </c>
    </row>
    <row r="6795" ht="15.75" customHeight="1">
      <c r="A6795" s="1" t="str">
        <f>IFERROR(__xludf.DUMMYFUNCTION("""COMPUTED_VALUE"""),"Branden VanWagner")</f>
        <v>Branden VanWagner</v>
      </c>
      <c r="B6795" s="1" t="str">
        <f>IFERROR(__xludf.DUMMYFUNCTION("""COMPUTED_VALUE"""),"HS")</f>
        <v>HS</v>
      </c>
    </row>
    <row r="6796" ht="15.75" customHeight="1">
      <c r="A6796" s="1" t="str">
        <f>IFERROR(__xludf.DUMMYFUNCTION("""COMPUTED_VALUE"""),"Nicollette Roberts")</f>
        <v>Nicollette Roberts</v>
      </c>
      <c r="B6796" s="1" t="str">
        <f>IFERROR(__xludf.DUMMYFUNCTION("""COMPUTED_VALUE"""),"MS")</f>
        <v>MS</v>
      </c>
    </row>
    <row r="6797" ht="15.75" customHeight="1">
      <c r="A6797" s="1" t="str">
        <f>IFERROR(__xludf.DUMMYFUNCTION("""COMPUTED_VALUE"""),"Alex Chilton")</f>
        <v>Alex Chilton</v>
      </c>
      <c r="B6797" s="1" t="str">
        <f>IFERROR(__xludf.DUMMYFUNCTION("""COMPUTED_VALUE"""),"MS")</f>
        <v>MS</v>
      </c>
    </row>
    <row r="6798" ht="15.75" customHeight="1">
      <c r="A6798" s="1" t="str">
        <f>IFERROR(__xludf.DUMMYFUNCTION("""COMPUTED_VALUE"""),"Faith Fearing")</f>
        <v>Faith Fearing</v>
      </c>
      <c r="B6798" s="1" t="str">
        <f>IFERROR(__xludf.DUMMYFUNCTION("""COMPUTED_VALUE"""),"L1")</f>
        <v>L1</v>
      </c>
    </row>
    <row r="6799" ht="15.75" customHeight="1">
      <c r="A6799" s="1" t="str">
        <f>IFERROR(__xludf.DUMMYFUNCTION("""COMPUTED_VALUE"""),"Sydney McConkey")</f>
        <v>Sydney McConkey</v>
      </c>
      <c r="B6799" s="1" t="str">
        <f>IFERROR(__xludf.DUMMYFUNCTION("""COMPUTED_VALUE"""),"L1")</f>
        <v>L1</v>
      </c>
    </row>
    <row r="6800" ht="15.75" customHeight="1">
      <c r="A6800" s="1" t="str">
        <f>IFERROR(__xludf.DUMMYFUNCTION("""COMPUTED_VALUE"""),"Javier Lamance")</f>
        <v>Javier Lamance</v>
      </c>
      <c r="B6800" s="1" t="str">
        <f>IFERROR(__xludf.DUMMYFUNCTION("""COMPUTED_VALUE"""),"L1")</f>
        <v>L1</v>
      </c>
    </row>
    <row r="6801" ht="15.75" customHeight="1">
      <c r="A6801" s="1" t="str">
        <f>IFERROR(__xludf.DUMMYFUNCTION("""COMPUTED_VALUE"""),"Jordyn Linfoot")</f>
        <v>Jordyn Linfoot</v>
      </c>
      <c r="B6801" s="1" t="str">
        <f>IFERROR(__xludf.DUMMYFUNCTION("""COMPUTED_VALUE"""),"L1")</f>
        <v>L1</v>
      </c>
    </row>
    <row r="6802" ht="15.75" customHeight="1">
      <c r="A6802" s="1" t="str">
        <f>IFERROR(__xludf.DUMMYFUNCTION("""COMPUTED_VALUE"""),"Lucas Roberts")</f>
        <v>Lucas Roberts</v>
      </c>
      <c r="B6802" s="1" t="str">
        <f>IFERROR(__xludf.DUMMYFUNCTION("""COMPUTED_VALUE"""),"L1")</f>
        <v>L1</v>
      </c>
    </row>
    <row r="6803" ht="15.75" customHeight="1">
      <c r="A6803" s="1" t="str">
        <f>IFERROR(__xludf.DUMMYFUNCTION("""COMPUTED_VALUE"""),"Jack Sloss")</f>
        <v>Jack Sloss</v>
      </c>
      <c r="B6803" s="1" t="str">
        <f>IFERROR(__xludf.DUMMYFUNCTION("""COMPUTED_VALUE"""),"L1")</f>
        <v>L1</v>
      </c>
    </row>
    <row r="6804" ht="15.75" customHeight="1">
      <c r="A6804" s="1" t="str">
        <f>IFERROR(__xludf.DUMMYFUNCTION("""COMPUTED_VALUE"""),"Gracie Orton")</f>
        <v>Gracie Orton</v>
      </c>
      <c r="B6804" s="1" t="str">
        <f>IFERROR(__xludf.DUMMYFUNCTION("""COMPUTED_VALUE"""),"L1")</f>
        <v>L1</v>
      </c>
    </row>
    <row r="6805" ht="15.75" customHeight="1">
      <c r="A6805" s="1" t="str">
        <f>IFERROR(__xludf.DUMMYFUNCTION("""COMPUTED_VALUE"""),"William Bergeson")</f>
        <v>William Bergeson</v>
      </c>
      <c r="B6805" s="1" t="str">
        <f>IFERROR(__xludf.DUMMYFUNCTION("""COMPUTED_VALUE"""),"L1")</f>
        <v>L1</v>
      </c>
    </row>
    <row r="6806" ht="15.75" customHeight="1">
      <c r="A6806" s="1" t="str">
        <f>IFERROR(__xludf.DUMMYFUNCTION("""COMPUTED_VALUE"""),"Neveah Lutz")</f>
        <v>Neveah Lutz</v>
      </c>
      <c r="B6806" s="1" t="str">
        <f>IFERROR(__xludf.DUMMYFUNCTION("""COMPUTED_VALUE"""),"L1")</f>
        <v>L1</v>
      </c>
    </row>
    <row r="6807" ht="15.75" customHeight="1">
      <c r="A6807" s="1" t="str">
        <f>IFERROR(__xludf.DUMMYFUNCTION("""COMPUTED_VALUE"""),"Rowdi Bodrero")</f>
        <v>Rowdi Bodrero</v>
      </c>
      <c r="B6807" s="1" t="str">
        <f>IFERROR(__xludf.DUMMYFUNCTION("""COMPUTED_VALUE"""),"L2")</f>
        <v>L2</v>
      </c>
    </row>
    <row r="6808" ht="15.75" customHeight="1">
      <c r="A6808" s="1" t="str">
        <f>IFERROR(__xludf.DUMMYFUNCTION("""COMPUTED_VALUE"""),"Jaxon Arnell")</f>
        <v>Jaxon Arnell</v>
      </c>
      <c r="B6808" s="1" t="str">
        <f>IFERROR(__xludf.DUMMYFUNCTION("""COMPUTED_VALUE"""),"L2")</f>
        <v>L2</v>
      </c>
    </row>
    <row r="6809" ht="15.75" customHeight="1">
      <c r="A6809" s="1" t="str">
        <f>IFERROR(__xludf.DUMMYFUNCTION("""COMPUTED_VALUE"""),"Evan Skaggs")</f>
        <v>Evan Skaggs</v>
      </c>
      <c r="B6809" s="1" t="str">
        <f>IFERROR(__xludf.DUMMYFUNCTION("""COMPUTED_VALUE"""),"L2")</f>
        <v>L2</v>
      </c>
    </row>
    <row r="6810" ht="15.75" customHeight="1">
      <c r="A6810" s="1" t="str">
        <f>IFERROR(__xludf.DUMMYFUNCTION("""COMPUTED_VALUE"""),"Chandler Burke")</f>
        <v>Chandler Burke</v>
      </c>
      <c r="B6810" s="1" t="str">
        <f>IFERROR(__xludf.DUMMYFUNCTION("""COMPUTED_VALUE"""),"L2")</f>
        <v>L2</v>
      </c>
    </row>
    <row r="6811" ht="15.75" customHeight="1">
      <c r="A6811" s="1" t="str">
        <f>IFERROR(__xludf.DUMMYFUNCTION("""COMPUTED_VALUE"""),"Vyolet Billingsley")</f>
        <v>Vyolet Billingsley</v>
      </c>
      <c r="B6811" s="1" t="str">
        <f>IFERROR(__xludf.DUMMYFUNCTION("""COMPUTED_VALUE"""),"L2")</f>
        <v>L2</v>
      </c>
    </row>
    <row r="6812" ht="15.75" customHeight="1">
      <c r="A6812" s="1" t="str">
        <f>IFERROR(__xludf.DUMMYFUNCTION("""COMPUTED_VALUE"""),"Madisyn Streuver")</f>
        <v>Madisyn Streuver</v>
      </c>
      <c r="B6812" s="1" t="str">
        <f>IFERROR(__xludf.DUMMYFUNCTION("""COMPUTED_VALUE"""),"L2")</f>
        <v>L2</v>
      </c>
    </row>
    <row r="6813" ht="15.75" customHeight="1">
      <c r="A6813" s="1" t="str">
        <f>IFERROR(__xludf.DUMMYFUNCTION("""COMPUTED_VALUE"""),"Isabella Villarreal")</f>
        <v>Isabella Villarreal</v>
      </c>
      <c r="B6813" s="1" t="str">
        <f>IFERROR(__xludf.DUMMYFUNCTION("""COMPUTED_VALUE"""),"L2")</f>
        <v>L2</v>
      </c>
    </row>
    <row r="6814" ht="15.75" customHeight="1">
      <c r="A6814" s="1" t="str">
        <f>IFERROR(__xludf.DUMMYFUNCTION("""COMPUTED_VALUE"""),"Adelyn Chilton")</f>
        <v>Adelyn Chilton</v>
      </c>
      <c r="B6814" s="1" t="str">
        <f>IFERROR(__xludf.DUMMYFUNCTION("""COMPUTED_VALUE"""),"L2")</f>
        <v>L2</v>
      </c>
    </row>
    <row r="6815" ht="15.75" customHeight="1">
      <c r="A6815" s="1" t="str">
        <f>IFERROR(__xludf.DUMMYFUNCTION("""COMPUTED_VALUE"""),"Iris Wilson")</f>
        <v>Iris Wilson</v>
      </c>
      <c r="B6815" s="1" t="str">
        <f>IFERROR(__xludf.DUMMYFUNCTION("""COMPUTED_VALUE"""),"L2")</f>
        <v>L2</v>
      </c>
    </row>
    <row r="6816" ht="15.75" customHeight="1">
      <c r="A6816" s="1" t="str">
        <f>IFERROR(__xludf.DUMMYFUNCTION("""COMPUTED_VALUE"""),"Ruby Johnson")</f>
        <v>Ruby Johnson</v>
      </c>
      <c r="B6816" s="1" t="str">
        <f>IFERROR(__xludf.DUMMYFUNCTION("""COMPUTED_VALUE"""),"L2")</f>
        <v>L2</v>
      </c>
    </row>
    <row r="6817" ht="15.75" customHeight="1">
      <c r="A6817" s="1" t="str">
        <f>IFERROR(__xludf.DUMMYFUNCTION("""COMPUTED_VALUE"""),"Aurora Hayes")</f>
        <v>Aurora Hayes</v>
      </c>
      <c r="B6817" s="1" t="str">
        <f>IFERROR(__xludf.DUMMYFUNCTION("""COMPUTED_VALUE"""),"L2")</f>
        <v>L2</v>
      </c>
    </row>
    <row r="6818" ht="15.75" customHeight="1">
      <c r="A6818" s="1" t="str">
        <f>IFERROR(__xludf.DUMMYFUNCTION("""COMPUTED_VALUE"""),"Arby Lamance")</f>
        <v>Arby Lamance</v>
      </c>
      <c r="B6818" s="1" t="str">
        <f>IFERROR(__xludf.DUMMYFUNCTION("""COMPUTED_VALUE"""),"L2")</f>
        <v>L2</v>
      </c>
    </row>
    <row r="6819" ht="15.75" customHeight="1">
      <c r="A6819" s="1" t="str">
        <f>IFERROR(__xludf.DUMMYFUNCTION("""COMPUTED_VALUE"""),"Greg Burke")</f>
        <v>Greg Burke</v>
      </c>
      <c r="B6819" s="1" t="str">
        <f>IFERROR(__xludf.DUMMYFUNCTION("""COMPUTED_VALUE"""),"L2")</f>
        <v>L2</v>
      </c>
    </row>
    <row r="6820" ht="15.75" customHeight="1">
      <c r="A6820" s="1" t="str">
        <f>IFERROR(__xludf.DUMMYFUNCTION("""COMPUTED_VALUE"""),"Michael Martinez-Olmos")</f>
        <v>Michael Martinez-Olmos</v>
      </c>
      <c r="B6820" s="1" t="str">
        <f>IFERROR(__xludf.DUMMYFUNCTION("""COMPUTED_VALUE"""),"L2")</f>
        <v>L2</v>
      </c>
    </row>
    <row r="6821" ht="15.75" customHeight="1">
      <c r="A6821" s="1" t="str">
        <f>IFERROR(__xludf.DUMMYFUNCTION("""COMPUTED_VALUE"""),"Shade Snail")</f>
        <v>Shade Snail</v>
      </c>
      <c r="B6821" s="1" t="str">
        <f>IFERROR(__xludf.DUMMYFUNCTION("""COMPUTED_VALUE"""),"L2")</f>
        <v>L2</v>
      </c>
    </row>
    <row r="6822" ht="15.75" customHeight="1">
      <c r="A6822" s="1" t="str">
        <f>IFERROR(__xludf.DUMMYFUNCTION("""COMPUTED_VALUE"""),"Xavier Rosoury")</f>
        <v>Xavier Rosoury</v>
      </c>
      <c r="B6822" s="1" t="str">
        <f>IFERROR(__xludf.DUMMYFUNCTION("""COMPUTED_VALUE"""),"L2")</f>
        <v>L2</v>
      </c>
    </row>
    <row r="6823" ht="15.75" customHeight="1">
      <c r="A6823" s="1" t="str">
        <f>IFERROR(__xludf.DUMMYFUNCTION("""COMPUTED_VALUE"""),"Landon Ray")</f>
        <v>Landon Ray</v>
      </c>
      <c r="B6823" s="1" t="str">
        <f>IFERROR(__xludf.DUMMYFUNCTION("""COMPUTED_VALUE"""),"L2")</f>
        <v>L2</v>
      </c>
    </row>
    <row r="6824" ht="15.75" customHeight="1">
      <c r="A6824" s="1" t="str">
        <f>IFERROR(__xludf.DUMMYFUNCTION("""COMPUTED_VALUE"""),"Isaac Gallardo-Ruiz")</f>
        <v>Isaac Gallardo-Ruiz</v>
      </c>
      <c r="B6824" s="1" t="str">
        <f>IFERROR(__xludf.DUMMYFUNCTION("""COMPUTED_VALUE"""),"L2")</f>
        <v>L2</v>
      </c>
    </row>
    <row r="6825" ht="15.75" customHeight="1">
      <c r="A6825" s="1" t="str">
        <f>IFERROR(__xludf.DUMMYFUNCTION("""COMPUTED_VALUE"""),"Lucas Olmos-Vazquez")</f>
        <v>Lucas Olmos-Vazquez</v>
      </c>
      <c r="B6825" s="1" t="str">
        <f>IFERROR(__xludf.DUMMYFUNCTION("""COMPUTED_VALUE"""),"L2")</f>
        <v>L2</v>
      </c>
    </row>
    <row r="6826" ht="15.75" customHeight="1">
      <c r="A6826" s="1" t="str">
        <f>IFERROR(__xludf.DUMMYFUNCTION("""COMPUTED_VALUE"""),"James Ortiz")</f>
        <v>James Ortiz</v>
      </c>
      <c r="B6826" s="1" t="str">
        <f>IFERROR(__xludf.DUMMYFUNCTION("""COMPUTED_VALUE"""),"L2")</f>
        <v>L2</v>
      </c>
    </row>
    <row r="6827" ht="15.75" customHeight="1">
      <c r="A6827" s="1" t="str">
        <f>IFERROR(__xludf.DUMMYFUNCTION("""COMPUTED_VALUE"""),"Alli Bayne")</f>
        <v>Alli Bayne</v>
      </c>
      <c r="B6827" s="1" t="str">
        <f>IFERROR(__xludf.DUMMYFUNCTION("""COMPUTED_VALUE"""),"L2")</f>
        <v>L2</v>
      </c>
    </row>
    <row r="6828" ht="15.75" customHeight="1">
      <c r="A6828" s="1" t="str">
        <f>IFERROR(__xludf.DUMMYFUNCTION("""COMPUTED_VALUE"""),"Kennedy Morrow")</f>
        <v>Kennedy Morrow</v>
      </c>
      <c r="B6828" s="1" t="str">
        <f>IFERROR(__xludf.DUMMYFUNCTION("""COMPUTED_VALUE"""),"L2")</f>
        <v>L2</v>
      </c>
    </row>
    <row r="6829" ht="15.75" customHeight="1">
      <c r="A6829" s="1" t="str">
        <f>IFERROR(__xludf.DUMMYFUNCTION("""COMPUTED_VALUE"""),"Abel McConkey")</f>
        <v>Abel McConkey</v>
      </c>
      <c r="B6829" s="1" t="str">
        <f>IFERROR(__xludf.DUMMYFUNCTION("""COMPUTED_VALUE"""),"L2")</f>
        <v>L2</v>
      </c>
    </row>
    <row r="6830" ht="15.75" customHeight="1">
      <c r="A6830" s="1" t="str">
        <f>IFERROR(__xludf.DUMMYFUNCTION("""COMPUTED_VALUE"""),"Lilly Gunderman")</f>
        <v>Lilly Gunderman</v>
      </c>
      <c r="B6830" s="1" t="str">
        <f>IFERROR(__xludf.DUMMYFUNCTION("""COMPUTED_VALUE"""),"L2")</f>
        <v>L2</v>
      </c>
    </row>
    <row r="6831" ht="15.75" customHeight="1">
      <c r="A6831" s="1" t="str">
        <f>IFERROR(__xludf.DUMMYFUNCTION("""COMPUTED_VALUE"""),"Ava Roberts")</f>
        <v>Ava Roberts</v>
      </c>
      <c r="B6831" s="1" t="str">
        <f>IFERROR(__xludf.DUMMYFUNCTION("""COMPUTED_VALUE"""),"L2")</f>
        <v>L2</v>
      </c>
    </row>
    <row r="6832" ht="15.75" customHeight="1">
      <c r="A6832" s="1" t="str">
        <f>IFERROR(__xludf.DUMMYFUNCTION("""COMPUTED_VALUE"""),"Oliver Covelle")</f>
        <v>Oliver Covelle</v>
      </c>
      <c r="B6832" s="1" t="str">
        <f>IFERROR(__xludf.DUMMYFUNCTION("""COMPUTED_VALUE"""),"L1")</f>
        <v>L1</v>
      </c>
    </row>
    <row r="6833" ht="15.75" customHeight="1">
      <c r="A6833" s="1" t="str">
        <f>IFERROR(__xludf.DUMMYFUNCTION("""COMPUTED_VALUE"""),"Avery Gallagher")</f>
        <v>Avery Gallagher</v>
      </c>
      <c r="B6833" s="1" t="str">
        <f>IFERROR(__xludf.DUMMYFUNCTION("""COMPUTED_VALUE"""),"L1")</f>
        <v>L1</v>
      </c>
    </row>
    <row r="6834" ht="15.75" customHeight="1">
      <c r="A6834" s="1" t="str">
        <f>IFERROR(__xludf.DUMMYFUNCTION("""COMPUTED_VALUE"""),"Sauvianna Garrity")</f>
        <v>Sauvianna Garrity</v>
      </c>
      <c r="B6834" s="1" t="str">
        <f>IFERROR(__xludf.DUMMYFUNCTION("""COMPUTED_VALUE"""),"L1")</f>
        <v>L1</v>
      </c>
    </row>
    <row r="6835" ht="15.75" customHeight="1">
      <c r="A6835" s="1" t="str">
        <f>IFERROR(__xludf.DUMMYFUNCTION("""COMPUTED_VALUE"""),"Jadon Hornor")</f>
        <v>Jadon Hornor</v>
      </c>
      <c r="B6835" s="1" t="str">
        <f>IFERROR(__xludf.DUMMYFUNCTION("""COMPUTED_VALUE"""),"L1")</f>
        <v>L1</v>
      </c>
    </row>
    <row r="6836" ht="15.75" customHeight="1">
      <c r="A6836" s="1" t="str">
        <f>IFERROR(__xludf.DUMMYFUNCTION("""COMPUTED_VALUE"""),"Juniper Hufford")</f>
        <v>Juniper Hufford</v>
      </c>
      <c r="B6836" s="1" t="str">
        <f>IFERROR(__xludf.DUMMYFUNCTION("""COMPUTED_VALUE"""),"L1")</f>
        <v>L1</v>
      </c>
    </row>
    <row r="6837" ht="15.75" customHeight="1">
      <c r="A6837" s="1" t="str">
        <f>IFERROR(__xludf.DUMMYFUNCTION("""COMPUTED_VALUE"""),"Layla Lynch")</f>
        <v>Layla Lynch</v>
      </c>
      <c r="B6837" s="1" t="str">
        <f>IFERROR(__xludf.DUMMYFUNCTION("""COMPUTED_VALUE"""),"L1")</f>
        <v>L1</v>
      </c>
    </row>
    <row r="6838" ht="15.75" customHeight="1">
      <c r="A6838" s="1" t="str">
        <f>IFERROR(__xludf.DUMMYFUNCTION("""COMPUTED_VALUE"""),"Alidalyn MacDonald")</f>
        <v>Alidalyn MacDonald</v>
      </c>
      <c r="B6838" s="1" t="str">
        <f>IFERROR(__xludf.DUMMYFUNCTION("""COMPUTED_VALUE"""),"L1")</f>
        <v>L1</v>
      </c>
    </row>
    <row r="6839" ht="15.75" customHeight="1">
      <c r="A6839" s="1" t="str">
        <f>IFERROR(__xludf.DUMMYFUNCTION("""COMPUTED_VALUE"""),"Jacoby Martin")</f>
        <v>Jacoby Martin</v>
      </c>
      <c r="B6839" s="1" t="str">
        <f>IFERROR(__xludf.DUMMYFUNCTION("""COMPUTED_VALUE"""),"L1")</f>
        <v>L1</v>
      </c>
    </row>
    <row r="6840" ht="15.75" customHeight="1">
      <c r="A6840" s="1" t="str">
        <f>IFERROR(__xludf.DUMMYFUNCTION("""COMPUTED_VALUE"""),"Daniel Martinez-Olmos")</f>
        <v>Daniel Martinez-Olmos</v>
      </c>
      <c r="B6840" s="1" t="str">
        <f>IFERROR(__xludf.DUMMYFUNCTION("""COMPUTED_VALUE"""),"L1")</f>
        <v>L1</v>
      </c>
    </row>
    <row r="6841" ht="15.75" customHeight="1">
      <c r="A6841" s="1" t="str">
        <f>IFERROR(__xludf.DUMMYFUNCTION("""COMPUTED_VALUE"""),"Cedar McCaslin")</f>
        <v>Cedar McCaslin</v>
      </c>
      <c r="B6841" s="1" t="str">
        <f>IFERROR(__xludf.DUMMYFUNCTION("""COMPUTED_VALUE"""),"L1")</f>
        <v>L1</v>
      </c>
    </row>
    <row r="6842" ht="15.75" customHeight="1">
      <c r="A6842" s="1" t="str">
        <f>IFERROR(__xludf.DUMMYFUNCTION("""COMPUTED_VALUE"""),"Asher Nygren")</f>
        <v>Asher Nygren</v>
      </c>
      <c r="B6842" s="1" t="str">
        <f>IFERROR(__xludf.DUMMYFUNCTION("""COMPUTED_VALUE"""),"L1")</f>
        <v>L1</v>
      </c>
    </row>
    <row r="6843" ht="15.75" customHeight="1">
      <c r="A6843" s="1" t="str">
        <f>IFERROR(__xludf.DUMMYFUNCTION("""COMPUTED_VALUE"""),"Darrell Rosen")</f>
        <v>Darrell Rosen</v>
      </c>
      <c r="B6843" s="1" t="str">
        <f>IFERROR(__xludf.DUMMYFUNCTION("""COMPUTED_VALUE"""),"L1")</f>
        <v>L1</v>
      </c>
    </row>
    <row r="6844" ht="15.75" customHeight="1">
      <c r="A6844" s="1" t="str">
        <f>IFERROR(__xludf.DUMMYFUNCTION("""COMPUTED_VALUE"""),"Cora Spicer")</f>
        <v>Cora Spicer</v>
      </c>
      <c r="B6844" s="1" t="str">
        <f>IFERROR(__xludf.DUMMYFUNCTION("""COMPUTED_VALUE"""),"L1")</f>
        <v>L1</v>
      </c>
    </row>
    <row r="6845" ht="15.75" customHeight="1">
      <c r="A6845" s="1" t="str">
        <f>IFERROR(__xludf.DUMMYFUNCTION("""COMPUTED_VALUE"""),"Owen Clemmer")</f>
        <v>Owen Clemmer</v>
      </c>
      <c r="B6845" s="1" t="str">
        <f>IFERROR(__xludf.DUMMYFUNCTION("""COMPUTED_VALUE"""),"L2")</f>
        <v>L2</v>
      </c>
    </row>
    <row r="6846" ht="15.75" customHeight="1">
      <c r="A6846" s="1" t="str">
        <f>IFERROR(__xludf.DUMMYFUNCTION("""COMPUTED_VALUE"""),"Valeria Cruz Martinez")</f>
        <v>Valeria Cruz Martinez</v>
      </c>
      <c r="B6846" s="1" t="str">
        <f>IFERROR(__xludf.DUMMYFUNCTION("""COMPUTED_VALUE"""),"L2")</f>
        <v>L2</v>
      </c>
    </row>
    <row r="6847" ht="15.75" customHeight="1">
      <c r="A6847" s="1" t="str">
        <f>IFERROR(__xludf.DUMMYFUNCTION("""COMPUTED_VALUE"""),"Avery Day")</f>
        <v>Avery Day</v>
      </c>
      <c r="B6847" s="1" t="str">
        <f>IFERROR(__xludf.DUMMYFUNCTION("""COMPUTED_VALUE"""),"L2")</f>
        <v>L2</v>
      </c>
    </row>
    <row r="6848" ht="15.75" customHeight="1">
      <c r="A6848" s="1" t="str">
        <f>IFERROR(__xludf.DUMMYFUNCTION("""COMPUTED_VALUE"""),"Addison Dieter")</f>
        <v>Addison Dieter</v>
      </c>
      <c r="B6848" s="1" t="str">
        <f>IFERROR(__xludf.DUMMYFUNCTION("""COMPUTED_VALUE"""),"L2")</f>
        <v>L2</v>
      </c>
    </row>
    <row r="6849" ht="15.75" customHeight="1">
      <c r="A6849" s="1" t="str">
        <f>IFERROR(__xludf.DUMMYFUNCTION("""COMPUTED_VALUE"""),"Theodore Egging")</f>
        <v>Theodore Egging</v>
      </c>
      <c r="B6849" s="1" t="str">
        <f>IFERROR(__xludf.DUMMYFUNCTION("""COMPUTED_VALUE"""),"L2")</f>
        <v>L2</v>
      </c>
    </row>
    <row r="6850" ht="15.75" customHeight="1">
      <c r="A6850" s="1" t="str">
        <f>IFERROR(__xludf.DUMMYFUNCTION("""COMPUTED_VALUE"""),"Onyx Eng-Nagels")</f>
        <v>Onyx Eng-Nagels</v>
      </c>
      <c r="B6850" s="1" t="str">
        <f>IFERROR(__xludf.DUMMYFUNCTION("""COMPUTED_VALUE"""),"L2")</f>
        <v>L2</v>
      </c>
    </row>
    <row r="6851" ht="15.75" customHeight="1">
      <c r="A6851" s="1" t="str">
        <f>IFERROR(__xludf.DUMMYFUNCTION("""COMPUTED_VALUE"""),"McKenzie Evans")</f>
        <v>McKenzie Evans</v>
      </c>
      <c r="B6851" s="1" t="str">
        <f>IFERROR(__xludf.DUMMYFUNCTION("""COMPUTED_VALUE"""),"L2")</f>
        <v>L2</v>
      </c>
    </row>
    <row r="6852" ht="15.75" customHeight="1">
      <c r="A6852" s="1" t="str">
        <f>IFERROR(__xludf.DUMMYFUNCTION("""COMPUTED_VALUE"""),"Brynn Fischer")</f>
        <v>Brynn Fischer</v>
      </c>
      <c r="B6852" s="1" t="str">
        <f>IFERROR(__xludf.DUMMYFUNCTION("""COMPUTED_VALUE"""),"L2")</f>
        <v>L2</v>
      </c>
    </row>
    <row r="6853" ht="15.75" customHeight="1">
      <c r="A6853" s="1" t="str">
        <f>IFERROR(__xludf.DUMMYFUNCTION("""COMPUTED_VALUE"""),"Ryder Fleischmann")</f>
        <v>Ryder Fleischmann</v>
      </c>
      <c r="B6853" s="1" t="str">
        <f>IFERROR(__xludf.DUMMYFUNCTION("""COMPUTED_VALUE"""),"L2")</f>
        <v>L2</v>
      </c>
    </row>
    <row r="6854" ht="15.75" customHeight="1">
      <c r="A6854" s="1" t="str">
        <f>IFERROR(__xludf.DUMMYFUNCTION("""COMPUTED_VALUE"""),"Soleil Freeman")</f>
        <v>Soleil Freeman</v>
      </c>
      <c r="B6854" s="1" t="str">
        <f>IFERROR(__xludf.DUMMYFUNCTION("""COMPUTED_VALUE"""),"L2")</f>
        <v>L2</v>
      </c>
    </row>
    <row r="6855" ht="15.75" customHeight="1">
      <c r="A6855" s="1" t="str">
        <f>IFERROR(__xludf.DUMMYFUNCTION("""COMPUTED_VALUE"""),"Jackson Jennings")</f>
        <v>Jackson Jennings</v>
      </c>
      <c r="B6855" s="1" t="str">
        <f>IFERROR(__xludf.DUMMYFUNCTION("""COMPUTED_VALUE"""),"L2")</f>
        <v>L2</v>
      </c>
    </row>
    <row r="6856" ht="15.75" customHeight="1">
      <c r="A6856" s="1" t="str">
        <f>IFERROR(__xludf.DUMMYFUNCTION("""COMPUTED_VALUE"""),"Graham Kanable")</f>
        <v>Graham Kanable</v>
      </c>
      <c r="B6856" s="1" t="str">
        <f>IFERROR(__xludf.DUMMYFUNCTION("""COMPUTED_VALUE"""),"L2")</f>
        <v>L2</v>
      </c>
    </row>
    <row r="6857" ht="15.75" customHeight="1">
      <c r="A6857" s="1" t="str">
        <f>IFERROR(__xludf.DUMMYFUNCTION("""COMPUTED_VALUE"""),"Calum Kayser")</f>
        <v>Calum Kayser</v>
      </c>
      <c r="B6857" s="1" t="str">
        <f>IFERROR(__xludf.DUMMYFUNCTION("""COMPUTED_VALUE"""),"L2")</f>
        <v>L2</v>
      </c>
    </row>
    <row r="6858" ht="15.75" customHeight="1">
      <c r="A6858" s="1" t="str">
        <f>IFERROR(__xludf.DUMMYFUNCTION("""COMPUTED_VALUE"""),"Orion Kobek")</f>
        <v>Orion Kobek</v>
      </c>
      <c r="B6858" s="1" t="str">
        <f>IFERROR(__xludf.DUMMYFUNCTION("""COMPUTED_VALUE"""),"L2")</f>
        <v>L2</v>
      </c>
    </row>
    <row r="6859" ht="15.75" customHeight="1">
      <c r="A6859" s="1" t="str">
        <f>IFERROR(__xludf.DUMMYFUNCTION("""COMPUTED_VALUE"""),"Ember MacInnis")</f>
        <v>Ember MacInnis</v>
      </c>
      <c r="B6859" s="1" t="str">
        <f>IFERROR(__xludf.DUMMYFUNCTION("""COMPUTED_VALUE"""),"L2")</f>
        <v>L2</v>
      </c>
    </row>
    <row r="6860" ht="15.75" customHeight="1">
      <c r="A6860" s="1" t="str">
        <f>IFERROR(__xludf.DUMMYFUNCTION("""COMPUTED_VALUE"""),"Grayson Mckamey")</f>
        <v>Grayson Mckamey</v>
      </c>
      <c r="B6860" s="1" t="str">
        <f>IFERROR(__xludf.DUMMYFUNCTION("""COMPUTED_VALUE"""),"L2")</f>
        <v>L2</v>
      </c>
    </row>
    <row r="6861" ht="15.75" customHeight="1">
      <c r="A6861" s="1" t="str">
        <f>IFERROR(__xludf.DUMMYFUNCTION("""COMPUTED_VALUE"""),"Emerson Moreno")</f>
        <v>Emerson Moreno</v>
      </c>
      <c r="B6861" s="1" t="str">
        <f>IFERROR(__xludf.DUMMYFUNCTION("""COMPUTED_VALUE"""),"L2")</f>
        <v>L2</v>
      </c>
    </row>
    <row r="6862" ht="15.75" customHeight="1">
      <c r="A6862" s="1" t="str">
        <f>IFERROR(__xludf.DUMMYFUNCTION("""COMPUTED_VALUE"""),"Oliver Ostrander")</f>
        <v>Oliver Ostrander</v>
      </c>
      <c r="B6862" s="1" t="str">
        <f>IFERROR(__xludf.DUMMYFUNCTION("""COMPUTED_VALUE"""),"L2")</f>
        <v>L2</v>
      </c>
    </row>
    <row r="6863" ht="15.75" customHeight="1">
      <c r="A6863" s="1" t="str">
        <f>IFERROR(__xludf.DUMMYFUNCTION("""COMPUTED_VALUE"""),"Lane Park")</f>
        <v>Lane Park</v>
      </c>
      <c r="B6863" s="1" t="str">
        <f>IFERROR(__xludf.DUMMYFUNCTION("""COMPUTED_VALUE"""),"L2")</f>
        <v>L2</v>
      </c>
    </row>
    <row r="6864" ht="15.75" customHeight="1">
      <c r="A6864" s="1" t="str">
        <f>IFERROR(__xludf.DUMMYFUNCTION("""COMPUTED_VALUE"""),"Abel Pfeiler")</f>
        <v>Abel Pfeiler</v>
      </c>
      <c r="B6864" s="1" t="str">
        <f>IFERROR(__xludf.DUMMYFUNCTION("""COMPUTED_VALUE"""),"L2")</f>
        <v>L2</v>
      </c>
    </row>
    <row r="6865" ht="15.75" customHeight="1">
      <c r="A6865" s="1" t="str">
        <f>IFERROR(__xludf.DUMMYFUNCTION("""COMPUTED_VALUE"""),"Rose Rogers")</f>
        <v>Rose Rogers</v>
      </c>
      <c r="B6865" s="1" t="str">
        <f>IFERROR(__xludf.DUMMYFUNCTION("""COMPUTED_VALUE"""),"L2")</f>
        <v>L2</v>
      </c>
    </row>
    <row r="6866" ht="15.75" customHeight="1">
      <c r="A6866" s="1" t="str">
        <f>IFERROR(__xludf.DUMMYFUNCTION("""COMPUTED_VALUE"""),"Isabella Ross")</f>
        <v>Isabella Ross</v>
      </c>
      <c r="B6866" s="1" t="str">
        <f>IFERROR(__xludf.DUMMYFUNCTION("""COMPUTED_VALUE"""),"L2")</f>
        <v>L2</v>
      </c>
    </row>
    <row r="6867" ht="15.75" customHeight="1">
      <c r="A6867" s="1" t="str">
        <f>IFERROR(__xludf.DUMMYFUNCTION("""COMPUTED_VALUE"""),"Eli Stearns")</f>
        <v>Eli Stearns</v>
      </c>
      <c r="B6867" s="1" t="str">
        <f>IFERROR(__xludf.DUMMYFUNCTION("""COMPUTED_VALUE"""),"L2")</f>
        <v>L2</v>
      </c>
    </row>
    <row r="6868" ht="15.75" customHeight="1">
      <c r="A6868" s="1" t="str">
        <f>IFERROR(__xludf.DUMMYFUNCTION("""COMPUTED_VALUE"""),"Newton Williams")</f>
        <v>Newton Williams</v>
      </c>
      <c r="B6868" s="1" t="str">
        <f>IFERROR(__xludf.DUMMYFUNCTION("""COMPUTED_VALUE"""),"L2")</f>
        <v>L2</v>
      </c>
    </row>
    <row r="6869" ht="15.75" customHeight="1">
      <c r="A6869" s="1" t="str">
        <f>IFERROR(__xludf.DUMMYFUNCTION("""COMPUTED_VALUE"""),"Aspen Adkins")</f>
        <v>Aspen Adkins</v>
      </c>
      <c r="B6869" s="1" t="str">
        <f>IFERROR(__xludf.DUMMYFUNCTION("""COMPUTED_VALUE"""),"L2")</f>
        <v>L2</v>
      </c>
    </row>
    <row r="6870" ht="15.75" customHeight="1">
      <c r="A6870" s="1" t="str">
        <f>IFERROR(__xludf.DUMMYFUNCTION("""COMPUTED_VALUE"""),"Jason Brown")</f>
        <v>Jason Brown</v>
      </c>
      <c r="B6870" s="1" t="str">
        <f>IFERROR(__xludf.DUMMYFUNCTION("""COMPUTED_VALUE"""),"L2")</f>
        <v>L2</v>
      </c>
    </row>
    <row r="6871" ht="15.75" customHeight="1">
      <c r="A6871" s="1" t="str">
        <f>IFERROR(__xludf.DUMMYFUNCTION("""COMPUTED_VALUE"""),"Mazzy Carrier")</f>
        <v>Mazzy Carrier</v>
      </c>
      <c r="B6871" s="1" t="str">
        <f>IFERROR(__xludf.DUMMYFUNCTION("""COMPUTED_VALUE"""),"L2")</f>
        <v>L2</v>
      </c>
    </row>
    <row r="6872" ht="15.75" customHeight="1">
      <c r="A6872" s="1" t="str">
        <f>IFERROR(__xludf.DUMMYFUNCTION("""COMPUTED_VALUE"""),"Charlotte Fondersmith")</f>
        <v>Charlotte Fondersmith</v>
      </c>
      <c r="B6872" s="1" t="str">
        <f>IFERROR(__xludf.DUMMYFUNCTION("""COMPUTED_VALUE"""),"L2")</f>
        <v>L2</v>
      </c>
    </row>
    <row r="6873" ht="15.75" customHeight="1">
      <c r="A6873" s="1" t="str">
        <f>IFERROR(__xludf.DUMMYFUNCTION("""COMPUTED_VALUE"""),"Kingston Glenn")</f>
        <v>Kingston Glenn</v>
      </c>
      <c r="B6873" s="1" t="str">
        <f>IFERROR(__xludf.DUMMYFUNCTION("""COMPUTED_VALUE"""),"L2")</f>
        <v>L2</v>
      </c>
    </row>
    <row r="6874" ht="15.75" customHeight="1">
      <c r="A6874" s="1" t="str">
        <f>IFERROR(__xludf.DUMMYFUNCTION("""COMPUTED_VALUE"""),"Brooklyn Grandy")</f>
        <v>Brooklyn Grandy</v>
      </c>
      <c r="B6874" s="1" t="str">
        <f>IFERROR(__xludf.DUMMYFUNCTION("""COMPUTED_VALUE"""),"L2")</f>
        <v>L2</v>
      </c>
    </row>
    <row r="6875" ht="15.75" customHeight="1">
      <c r="A6875" s="1" t="str">
        <f>IFERROR(__xludf.DUMMYFUNCTION("""COMPUTED_VALUE"""),"Jonathan Harrell")</f>
        <v>Jonathan Harrell</v>
      </c>
      <c r="B6875" s="1" t="str">
        <f>IFERROR(__xludf.DUMMYFUNCTION("""COMPUTED_VALUE"""),"L2")</f>
        <v>L2</v>
      </c>
    </row>
    <row r="6876" ht="15.75" customHeight="1">
      <c r="A6876" s="1" t="str">
        <f>IFERROR(__xludf.DUMMYFUNCTION("""COMPUTED_VALUE"""),"Ferryn Hoopes")</f>
        <v>Ferryn Hoopes</v>
      </c>
      <c r="B6876" s="1" t="str">
        <f>IFERROR(__xludf.DUMMYFUNCTION("""COMPUTED_VALUE"""),"L2")</f>
        <v>L2</v>
      </c>
    </row>
    <row r="6877" ht="15.75" customHeight="1">
      <c r="A6877" s="1" t="str">
        <f>IFERROR(__xludf.DUMMYFUNCTION("""COMPUTED_VALUE"""),"Caleb Kaiser")</f>
        <v>Caleb Kaiser</v>
      </c>
      <c r="B6877" s="1" t="str">
        <f>IFERROR(__xludf.DUMMYFUNCTION("""COMPUTED_VALUE"""),"L2")</f>
        <v>L2</v>
      </c>
    </row>
    <row r="6878" ht="15.75" customHeight="1">
      <c r="A6878" s="1" t="str">
        <f>IFERROR(__xludf.DUMMYFUNCTION("""COMPUTED_VALUE"""),"Kainoa Kindle")</f>
        <v>Kainoa Kindle</v>
      </c>
      <c r="B6878" s="1" t="str">
        <f>IFERROR(__xludf.DUMMYFUNCTION("""COMPUTED_VALUE"""),"L2")</f>
        <v>L2</v>
      </c>
    </row>
    <row r="6879" ht="15.75" customHeight="1">
      <c r="A6879" s="1" t="str">
        <f>IFERROR(__xludf.DUMMYFUNCTION("""COMPUTED_VALUE"""),"Finley Lampkin")</f>
        <v>Finley Lampkin</v>
      </c>
      <c r="B6879" s="1" t="str">
        <f>IFERROR(__xludf.DUMMYFUNCTION("""COMPUTED_VALUE"""),"L2")</f>
        <v>L2</v>
      </c>
    </row>
    <row r="6880" ht="15.75" customHeight="1">
      <c r="A6880" s="1" t="str">
        <f>IFERROR(__xludf.DUMMYFUNCTION("""COMPUTED_VALUE"""),"Tiko Moreno")</f>
        <v>Tiko Moreno</v>
      </c>
      <c r="B6880" s="1" t="str">
        <f>IFERROR(__xludf.DUMMYFUNCTION("""COMPUTED_VALUE"""),"L2")</f>
        <v>L2</v>
      </c>
    </row>
    <row r="6881" ht="15.75" customHeight="1">
      <c r="A6881" s="1" t="str">
        <f>IFERROR(__xludf.DUMMYFUNCTION("""COMPUTED_VALUE"""),"Uriah Nygren")</f>
        <v>Uriah Nygren</v>
      </c>
      <c r="B6881" s="1" t="str">
        <f>IFERROR(__xludf.DUMMYFUNCTION("""COMPUTED_VALUE"""),"L2")</f>
        <v>L2</v>
      </c>
    </row>
    <row r="6882" ht="15.75" customHeight="1">
      <c r="A6882" s="1" t="str">
        <f>IFERROR(__xludf.DUMMYFUNCTION("""COMPUTED_VALUE"""),"Alexander Pavilionis-Vucinich")</f>
        <v>Alexander Pavilionis-Vucinich</v>
      </c>
      <c r="B6882" s="1" t="str">
        <f>IFERROR(__xludf.DUMMYFUNCTION("""COMPUTED_VALUE"""),"L2")</f>
        <v>L2</v>
      </c>
    </row>
    <row r="6883" ht="15.75" customHeight="1">
      <c r="A6883" s="1" t="str">
        <f>IFERROR(__xludf.DUMMYFUNCTION("""COMPUTED_VALUE"""),"Maddox Prudence")</f>
        <v>Maddox Prudence</v>
      </c>
      <c r="B6883" s="1" t="str">
        <f>IFERROR(__xludf.DUMMYFUNCTION("""COMPUTED_VALUE"""),"L2")</f>
        <v>L2</v>
      </c>
    </row>
    <row r="6884" ht="15.75" customHeight="1">
      <c r="A6884" s="1" t="str">
        <f>IFERROR(__xludf.DUMMYFUNCTION("""COMPUTED_VALUE"""),"Austin Rundell")</f>
        <v>Austin Rundell</v>
      </c>
      <c r="B6884" s="1" t="str">
        <f>IFERROR(__xludf.DUMMYFUNCTION("""COMPUTED_VALUE"""),"L2")</f>
        <v>L2</v>
      </c>
    </row>
    <row r="6885" ht="15.75" customHeight="1">
      <c r="A6885" s="1" t="str">
        <f>IFERROR(__xludf.DUMMYFUNCTION("""COMPUTED_VALUE"""),"Adrien Sloyka")</f>
        <v>Adrien Sloyka</v>
      </c>
      <c r="B6885" s="1" t="str">
        <f>IFERROR(__xludf.DUMMYFUNCTION("""COMPUTED_VALUE"""),"L2")</f>
        <v>L2</v>
      </c>
    </row>
    <row r="6886" ht="15.75" customHeight="1">
      <c r="A6886" s="1" t="str">
        <f>IFERROR(__xludf.DUMMYFUNCTION("""COMPUTED_VALUE"""),"Reya Thomason")</f>
        <v>Reya Thomason</v>
      </c>
      <c r="B6886" s="1" t="str">
        <f>IFERROR(__xludf.DUMMYFUNCTION("""COMPUTED_VALUE"""),"L2")</f>
        <v>L2</v>
      </c>
    </row>
    <row r="6887" ht="15.75" customHeight="1">
      <c r="A6887" s="1" t="str">
        <f>IFERROR(__xludf.DUMMYFUNCTION("""COMPUTED_VALUE"""),"Finley Tull")</f>
        <v>Finley Tull</v>
      </c>
      <c r="B6887" s="1" t="str">
        <f>IFERROR(__xludf.DUMMYFUNCTION("""COMPUTED_VALUE"""),"L2")</f>
        <v>L2</v>
      </c>
    </row>
    <row r="6888" ht="15.75" customHeight="1">
      <c r="A6888" s="1" t="str">
        <f>IFERROR(__xludf.DUMMYFUNCTION("""COMPUTED_VALUE"""),"Brayden Bailey")</f>
        <v>Brayden Bailey</v>
      </c>
      <c r="B6888" s="1" t="str">
        <f>IFERROR(__xludf.DUMMYFUNCTION("""COMPUTED_VALUE"""),"MS")</f>
        <v>MS</v>
      </c>
    </row>
    <row r="6889" ht="15.75" customHeight="1">
      <c r="A6889" s="1" t="str">
        <f>IFERROR(__xludf.DUMMYFUNCTION("""COMPUTED_VALUE"""),"Aaden Gavic")</f>
        <v>Aaden Gavic</v>
      </c>
      <c r="B6889" s="1" t="str">
        <f>IFERROR(__xludf.DUMMYFUNCTION("""COMPUTED_VALUE"""),"MS")</f>
        <v>MS</v>
      </c>
    </row>
    <row r="6890" ht="15.75" customHeight="1">
      <c r="A6890" s="1" t="str">
        <f>IFERROR(__xludf.DUMMYFUNCTION("""COMPUTED_VALUE"""),"Holden Moody")</f>
        <v>Holden Moody</v>
      </c>
      <c r="B6890" s="1" t="str">
        <f>IFERROR(__xludf.DUMMYFUNCTION("""COMPUTED_VALUE"""),"MS")</f>
        <v>MS</v>
      </c>
    </row>
    <row r="6891" ht="15.75" customHeight="1">
      <c r="A6891" s="1" t="str">
        <f>IFERROR(__xludf.DUMMYFUNCTION("""COMPUTED_VALUE"""),"Bentley Bailey")</f>
        <v>Bentley Bailey</v>
      </c>
      <c r="B6891" s="1" t="str">
        <f>IFERROR(__xludf.DUMMYFUNCTION("""COMPUTED_VALUE"""),"L2")</f>
        <v>L2</v>
      </c>
    </row>
    <row r="6892" ht="15.75" customHeight="1">
      <c r="A6892" s="1" t="str">
        <f>IFERROR(__xludf.DUMMYFUNCTION("""COMPUTED_VALUE"""),"Guillaume Attiogbe")</f>
        <v>Guillaume Attiogbe</v>
      </c>
      <c r="B6892" s="1" t="str">
        <f>IFERROR(__xludf.DUMMYFUNCTION("""COMPUTED_VALUE"""),"MS")</f>
        <v>MS</v>
      </c>
    </row>
    <row r="6893" ht="15.75" customHeight="1">
      <c r="A6893" s="1" t="str">
        <f>IFERROR(__xludf.DUMMYFUNCTION("""COMPUTED_VALUE"""),"Wendy Pelaez")</f>
        <v>Wendy Pelaez</v>
      </c>
      <c r="B6893" s="1" t="str">
        <f>IFERROR(__xludf.DUMMYFUNCTION("""COMPUTED_VALUE"""),"MS")</f>
        <v>MS</v>
      </c>
    </row>
    <row r="6894" ht="15.75" customHeight="1">
      <c r="A6894" s="1" t="str">
        <f>IFERROR(__xludf.DUMMYFUNCTION("""COMPUTED_VALUE"""),"Lily Noblin")</f>
        <v>Lily Noblin</v>
      </c>
      <c r="B6894" s="1" t="str">
        <f>IFERROR(__xludf.DUMMYFUNCTION("""COMPUTED_VALUE"""),"MS")</f>
        <v>MS</v>
      </c>
    </row>
    <row r="6895" ht="15.75" customHeight="1">
      <c r="A6895" s="1" t="str">
        <f>IFERROR(__xludf.DUMMYFUNCTION("""COMPUTED_VALUE"""),"Aiden Gaul")</f>
        <v>Aiden Gaul</v>
      </c>
      <c r="B6895" s="1" t="str">
        <f>IFERROR(__xludf.DUMMYFUNCTION("""COMPUTED_VALUE"""),"MS")</f>
        <v>MS</v>
      </c>
    </row>
    <row r="6896" ht="15.75" customHeight="1">
      <c r="A6896" s="1" t="str">
        <f>IFERROR(__xludf.DUMMYFUNCTION("""COMPUTED_VALUE"""),"Skylar Welker")</f>
        <v>Skylar Welker</v>
      </c>
      <c r="B6896" s="1" t="str">
        <f>IFERROR(__xludf.DUMMYFUNCTION("""COMPUTED_VALUE"""),"MS")</f>
        <v>MS</v>
      </c>
    </row>
    <row r="6897" ht="15.75" customHeight="1">
      <c r="A6897" s="1" t="str">
        <f>IFERROR(__xludf.DUMMYFUNCTION("""COMPUTED_VALUE"""),"Giselle Gomez Ruelas")</f>
        <v>Giselle Gomez Ruelas</v>
      </c>
      <c r="B6897" s="1" t="str">
        <f>IFERROR(__xludf.DUMMYFUNCTION("""COMPUTED_VALUE"""),"MS")</f>
        <v>MS</v>
      </c>
    </row>
    <row r="6898" ht="15.75" customHeight="1">
      <c r="A6898" s="1" t="str">
        <f>IFERROR(__xludf.DUMMYFUNCTION("""COMPUTED_VALUE"""),"Axel Ramos Ramirez")</f>
        <v>Axel Ramos Ramirez</v>
      </c>
      <c r="B6898" s="1" t="str">
        <f>IFERROR(__xludf.DUMMYFUNCTION("""COMPUTED_VALUE"""),"MS")</f>
        <v>MS</v>
      </c>
    </row>
    <row r="6899" ht="15.75" customHeight="1">
      <c r="A6899" s="1" t="str">
        <f>IFERROR(__xludf.DUMMYFUNCTION("""COMPUTED_VALUE"""),"Skylar Kettner")</f>
        <v>Skylar Kettner</v>
      </c>
      <c r="B6899" s="1" t="str">
        <f>IFERROR(__xludf.DUMMYFUNCTION("""COMPUTED_VALUE"""),"MS")</f>
        <v>MS</v>
      </c>
    </row>
    <row r="6900" ht="15.75" customHeight="1">
      <c r="A6900" s="1" t="str">
        <f>IFERROR(__xludf.DUMMYFUNCTION("""COMPUTED_VALUE"""),"Axel Castaneda Barragan")</f>
        <v>Axel Castaneda Barragan</v>
      </c>
      <c r="B6900" s="1" t="str">
        <f>IFERROR(__xludf.DUMMYFUNCTION("""COMPUTED_VALUE"""),"MS")</f>
        <v>MS</v>
      </c>
    </row>
    <row r="6901" ht="15.75" customHeight="1">
      <c r="A6901" s="1" t="str">
        <f>IFERROR(__xludf.DUMMYFUNCTION("""COMPUTED_VALUE"""),"Maddox Welch")</f>
        <v>Maddox Welch</v>
      </c>
      <c r="B6901" s="1" t="str">
        <f>IFERROR(__xludf.DUMMYFUNCTION("""COMPUTED_VALUE"""),"HS")</f>
        <v>HS</v>
      </c>
    </row>
    <row r="6902" ht="15.75" customHeight="1">
      <c r="A6902" s="1" t="str">
        <f>IFERROR(__xludf.DUMMYFUNCTION("""COMPUTED_VALUE"""),"Cooper Allen Hood")</f>
        <v>Cooper Allen Hood</v>
      </c>
      <c r="B6902" s="1" t="str">
        <f>IFERROR(__xludf.DUMMYFUNCTION("""COMPUTED_VALUE"""),"HS")</f>
        <v>HS</v>
      </c>
    </row>
    <row r="6903" ht="15.75" customHeight="1">
      <c r="A6903" s="1" t="str">
        <f>IFERROR(__xludf.DUMMYFUNCTION("""COMPUTED_VALUE"""),"William Austin")</f>
        <v>William Austin</v>
      </c>
      <c r="B6903" s="1" t="str">
        <f>IFERROR(__xludf.DUMMYFUNCTION("""COMPUTED_VALUE"""),"HS")</f>
        <v>HS</v>
      </c>
    </row>
    <row r="6904" ht="15.75" customHeight="1">
      <c r="A6904" s="1" t="str">
        <f>IFERROR(__xludf.DUMMYFUNCTION("""COMPUTED_VALUE"""),"Michael Baez")</f>
        <v>Michael Baez</v>
      </c>
      <c r="B6904" s="1" t="str">
        <f>IFERROR(__xludf.DUMMYFUNCTION("""COMPUTED_VALUE"""),"HS")</f>
        <v>HS</v>
      </c>
    </row>
    <row r="6905" ht="15.75" customHeight="1">
      <c r="A6905" s="1" t="str">
        <f>IFERROR(__xludf.DUMMYFUNCTION("""COMPUTED_VALUE"""),"Eddie Chable Gasser")</f>
        <v>Eddie Chable Gasser</v>
      </c>
      <c r="B6905" s="1" t="str">
        <f>IFERROR(__xludf.DUMMYFUNCTION("""COMPUTED_VALUE"""),"HS")</f>
        <v>HS</v>
      </c>
    </row>
    <row r="6906" ht="15.75" customHeight="1">
      <c r="A6906" s="1" t="str">
        <f>IFERROR(__xludf.DUMMYFUNCTION("""COMPUTED_VALUE"""),"Julian Gribben")</f>
        <v>Julian Gribben</v>
      </c>
      <c r="B6906" s="1" t="str">
        <f>IFERROR(__xludf.DUMMYFUNCTION("""COMPUTED_VALUE"""),"HS")</f>
        <v>HS</v>
      </c>
    </row>
    <row r="6907" ht="15.75" customHeight="1">
      <c r="A6907" s="1" t="str">
        <f>IFERROR(__xludf.DUMMYFUNCTION("""COMPUTED_VALUE"""),"Annabella Hall")</f>
        <v>Annabella Hall</v>
      </c>
      <c r="B6907" s="1" t="str">
        <f>IFERROR(__xludf.DUMMYFUNCTION("""COMPUTED_VALUE"""),"HS")</f>
        <v>HS</v>
      </c>
    </row>
    <row r="6908" ht="15.75" customHeight="1">
      <c r="A6908" s="1" t="str">
        <f>IFERROR(__xludf.DUMMYFUNCTION("""COMPUTED_VALUE"""),"Mirella Gomez")</f>
        <v>Mirella Gomez</v>
      </c>
      <c r="B6908" s="1" t="str">
        <f>IFERROR(__xludf.DUMMYFUNCTION("""COMPUTED_VALUE"""),"HS")</f>
        <v>HS</v>
      </c>
    </row>
    <row r="6909" ht="15.75" customHeight="1">
      <c r="A6909" s="1" t="str">
        <f>IFERROR(__xludf.DUMMYFUNCTION("""COMPUTED_VALUE"""),"Sebastian Avila Zabala")</f>
        <v>Sebastian Avila Zabala</v>
      </c>
      <c r="B6909" s="1" t="str">
        <f>IFERROR(__xludf.DUMMYFUNCTION("""COMPUTED_VALUE"""),"HS")</f>
        <v>HS</v>
      </c>
    </row>
    <row r="6910" ht="15.75" customHeight="1">
      <c r="A6910" s="1" t="str">
        <f>IFERROR(__xludf.DUMMYFUNCTION("""COMPUTED_VALUE"""),"Ryder Griffith")</f>
        <v>Ryder Griffith</v>
      </c>
      <c r="B6910" s="1" t="str">
        <f>IFERROR(__xludf.DUMMYFUNCTION("""COMPUTED_VALUE"""),"HS")</f>
        <v>HS</v>
      </c>
    </row>
    <row r="6911" ht="15.75" customHeight="1">
      <c r="A6911" s="1" t="str">
        <f>IFERROR(__xludf.DUMMYFUNCTION("""COMPUTED_VALUE"""),"Aaniyah Stanfill")</f>
        <v>Aaniyah Stanfill</v>
      </c>
      <c r="B6911" s="1" t="str">
        <f>IFERROR(__xludf.DUMMYFUNCTION("""COMPUTED_VALUE"""),"HS")</f>
        <v>HS</v>
      </c>
    </row>
    <row r="6912" ht="15.75" customHeight="1">
      <c r="A6912" s="1" t="str">
        <f>IFERROR(__xludf.DUMMYFUNCTION("""COMPUTED_VALUE"""),"Luke Summers")</f>
        <v>Luke Summers</v>
      </c>
      <c r="B6912" s="1" t="str">
        <f>IFERROR(__xludf.DUMMYFUNCTION("""COMPUTED_VALUE"""),"HS")</f>
        <v>HS</v>
      </c>
    </row>
    <row r="6913" ht="15.75" customHeight="1">
      <c r="A6913" s="1" t="str">
        <f>IFERROR(__xludf.DUMMYFUNCTION("""COMPUTED_VALUE"""),"Braydon Daugherty")</f>
        <v>Braydon Daugherty</v>
      </c>
      <c r="B6913" s="1" t="str">
        <f>IFERROR(__xludf.DUMMYFUNCTION("""COMPUTED_VALUE"""),"HS")</f>
        <v>HS</v>
      </c>
    </row>
    <row r="6914" ht="15.75" customHeight="1">
      <c r="A6914" s="1" t="str">
        <f>IFERROR(__xludf.DUMMYFUNCTION("""COMPUTED_VALUE"""),"Uriel Hernandez Aldana")</f>
        <v>Uriel Hernandez Aldana</v>
      </c>
      <c r="B6914" s="1" t="str">
        <f>IFERROR(__xludf.DUMMYFUNCTION("""COMPUTED_VALUE"""),"HS")</f>
        <v>HS</v>
      </c>
    </row>
    <row r="6915" ht="15.75" customHeight="1">
      <c r="A6915" s="1" t="str">
        <f>IFERROR(__xludf.DUMMYFUNCTION("""COMPUTED_VALUE"""),"Aaron Burke")</f>
        <v>Aaron Burke</v>
      </c>
      <c r="B6915" s="1" t="str">
        <f>IFERROR(__xludf.DUMMYFUNCTION("""COMPUTED_VALUE"""),"HS")</f>
        <v>HS</v>
      </c>
    </row>
    <row r="6916" ht="15.75" customHeight="1">
      <c r="A6916" s="1" t="str">
        <f>IFERROR(__xludf.DUMMYFUNCTION("""COMPUTED_VALUE"""),"Jordan Daugherty")</f>
        <v>Jordan Daugherty</v>
      </c>
      <c r="B6916" s="1" t="str">
        <f>IFERROR(__xludf.DUMMYFUNCTION("""COMPUTED_VALUE"""),"HS")</f>
        <v>HS</v>
      </c>
    </row>
    <row r="6917" ht="15.75" customHeight="1">
      <c r="A6917" s="1" t="str">
        <f>IFERROR(__xludf.DUMMYFUNCTION("""COMPUTED_VALUE"""),"Alexandra Duncan")</f>
        <v>Alexandra Duncan</v>
      </c>
      <c r="B6917" s="1" t="str">
        <f>IFERROR(__xludf.DUMMYFUNCTION("""COMPUTED_VALUE"""),"HS")</f>
        <v>HS</v>
      </c>
    </row>
    <row r="6918" ht="15.75" customHeight="1">
      <c r="A6918" s="1" t="str">
        <f>IFERROR(__xludf.DUMMYFUNCTION("""COMPUTED_VALUE"""),"Jaxon Plov")</f>
        <v>Jaxon Plov</v>
      </c>
      <c r="B6918" s="1" t="str">
        <f>IFERROR(__xludf.DUMMYFUNCTION("""COMPUTED_VALUE"""),"HS")</f>
        <v>HS</v>
      </c>
    </row>
    <row r="6919" ht="15.75" customHeight="1">
      <c r="A6919" s="1" t="str">
        <f>IFERROR(__xludf.DUMMYFUNCTION("""COMPUTED_VALUE"""),"Rome Riganetti")</f>
        <v>Rome Riganetti</v>
      </c>
      <c r="B6919" s="1" t="str">
        <f>IFERROR(__xludf.DUMMYFUNCTION("""COMPUTED_VALUE"""),"HS")</f>
        <v>HS</v>
      </c>
    </row>
    <row r="6920" ht="15.75" customHeight="1">
      <c r="A6920" s="1" t="str">
        <f>IFERROR(__xludf.DUMMYFUNCTION("""COMPUTED_VALUE"""),"Riley Tran")</f>
        <v>Riley Tran</v>
      </c>
      <c r="B6920" s="1" t="str">
        <f>IFERROR(__xludf.DUMMYFUNCTION("""COMPUTED_VALUE"""),"HS")</f>
        <v>HS</v>
      </c>
    </row>
    <row r="6921" ht="15.75" customHeight="1">
      <c r="A6921" s="1" t="str">
        <f>IFERROR(__xludf.DUMMYFUNCTION("""COMPUTED_VALUE"""),"Jonathan Wood")</f>
        <v>Jonathan Wood</v>
      </c>
      <c r="B6921" s="1" t="str">
        <f>IFERROR(__xludf.DUMMYFUNCTION("""COMPUTED_VALUE"""),"HS")</f>
        <v>HS</v>
      </c>
    </row>
    <row r="6922" ht="15.75" customHeight="1">
      <c r="A6922" s="1" t="str">
        <f>IFERROR(__xludf.DUMMYFUNCTION("""COMPUTED_VALUE"""),"Sydney Flabetich")</f>
        <v>Sydney Flabetich</v>
      </c>
      <c r="B6922" s="1" t="str">
        <f>IFERROR(__xludf.DUMMYFUNCTION("""COMPUTED_VALUE"""),"HS")</f>
        <v>HS</v>
      </c>
    </row>
    <row r="6923" ht="15.75" customHeight="1">
      <c r="A6923" s="1" t="str">
        <f>IFERROR(__xludf.DUMMYFUNCTION("""COMPUTED_VALUE"""),"Parker Sands")</f>
        <v>Parker Sands</v>
      </c>
      <c r="B6923" s="1" t="str">
        <f>IFERROR(__xludf.DUMMYFUNCTION("""COMPUTED_VALUE"""),"HS")</f>
        <v>HS</v>
      </c>
    </row>
    <row r="6924" ht="15.75" customHeight="1">
      <c r="A6924" s="1" t="str">
        <f>IFERROR(__xludf.DUMMYFUNCTION("""COMPUTED_VALUE"""),"Miguel De Leon")</f>
        <v>Miguel De Leon</v>
      </c>
      <c r="B6924" s="1" t="str">
        <f>IFERROR(__xludf.DUMMYFUNCTION("""COMPUTED_VALUE"""),"HS")</f>
        <v>HS</v>
      </c>
    </row>
    <row r="6925" ht="15.75" customHeight="1">
      <c r="A6925" s="1" t="str">
        <f>IFERROR(__xludf.DUMMYFUNCTION("""COMPUTED_VALUE"""),"Fara Fouts")</f>
        <v>Fara Fouts</v>
      </c>
      <c r="B6925" s="1" t="str">
        <f>IFERROR(__xludf.DUMMYFUNCTION("""COMPUTED_VALUE"""),"HS")</f>
        <v>HS</v>
      </c>
    </row>
    <row r="6926" ht="15.75" customHeight="1">
      <c r="A6926" s="1" t="str">
        <f>IFERROR(__xludf.DUMMYFUNCTION("""COMPUTED_VALUE"""),"Javan Gibbens")</f>
        <v>Javan Gibbens</v>
      </c>
      <c r="B6926" s="1" t="str">
        <f>IFERROR(__xludf.DUMMYFUNCTION("""COMPUTED_VALUE"""),"HS")</f>
        <v>HS</v>
      </c>
    </row>
    <row r="6927" ht="15.75" customHeight="1">
      <c r="A6927" s="1" t="str">
        <f>IFERROR(__xludf.DUMMYFUNCTION("""COMPUTED_VALUE"""),"Skyler Allen")</f>
        <v>Skyler Allen</v>
      </c>
      <c r="B6927" s="1" t="str">
        <f>IFERROR(__xludf.DUMMYFUNCTION("""COMPUTED_VALUE"""),"HS")</f>
        <v>HS</v>
      </c>
    </row>
    <row r="6928" ht="15.75" customHeight="1">
      <c r="A6928" s="1" t="str">
        <f>IFERROR(__xludf.DUMMYFUNCTION("""COMPUTED_VALUE"""),"Jamari Anderson")</f>
        <v>Jamari Anderson</v>
      </c>
      <c r="B6928" s="1" t="str">
        <f>IFERROR(__xludf.DUMMYFUNCTION("""COMPUTED_VALUE"""),"HS")</f>
        <v>HS</v>
      </c>
    </row>
    <row r="6929" ht="15.75" customHeight="1">
      <c r="A6929" s="1" t="str">
        <f>IFERROR(__xludf.DUMMYFUNCTION("""COMPUTED_VALUE"""),"David Aguirre-Moya")</f>
        <v>David Aguirre-Moya</v>
      </c>
      <c r="B6929" s="1" t="str">
        <f>IFERROR(__xludf.DUMMYFUNCTION("""COMPUTED_VALUE"""),"HS")</f>
        <v>HS</v>
      </c>
    </row>
    <row r="6930" ht="15.75" customHeight="1">
      <c r="A6930" s="1" t="str">
        <f>IFERROR(__xludf.DUMMYFUNCTION("""COMPUTED_VALUE"""),"Melany Anguiano")</f>
        <v>Melany Anguiano</v>
      </c>
      <c r="B6930" s="1" t="str">
        <f>IFERROR(__xludf.DUMMYFUNCTION("""COMPUTED_VALUE"""),"HS")</f>
        <v>HS</v>
      </c>
    </row>
    <row r="6931" ht="15.75" customHeight="1">
      <c r="A6931" s="1" t="str">
        <f>IFERROR(__xludf.DUMMYFUNCTION("""COMPUTED_VALUE"""),"Gianna Camara")</f>
        <v>Gianna Camara</v>
      </c>
      <c r="B6931" s="1" t="str">
        <f>IFERROR(__xludf.DUMMYFUNCTION("""COMPUTED_VALUE"""),"HS")</f>
        <v>HS</v>
      </c>
    </row>
    <row r="6932" ht="15.75" customHeight="1">
      <c r="A6932" s="1" t="str">
        <f>IFERROR(__xludf.DUMMYFUNCTION("""COMPUTED_VALUE"""),"Mayren Carrillo Maximo")</f>
        <v>Mayren Carrillo Maximo</v>
      </c>
      <c r="B6932" s="1" t="str">
        <f>IFERROR(__xludf.DUMMYFUNCTION("""COMPUTED_VALUE"""),"HS")</f>
        <v>HS</v>
      </c>
    </row>
    <row r="6933" ht="15.75" customHeight="1">
      <c r="A6933" s="1" t="str">
        <f>IFERROR(__xludf.DUMMYFUNCTION("""COMPUTED_VALUE"""),"Larry Chavez Gallardo")</f>
        <v>Larry Chavez Gallardo</v>
      </c>
      <c r="B6933" s="1" t="str">
        <f>IFERROR(__xludf.DUMMYFUNCTION("""COMPUTED_VALUE"""),"HS")</f>
        <v>HS</v>
      </c>
    </row>
    <row r="6934" ht="15.75" customHeight="1">
      <c r="A6934" s="1" t="str">
        <f>IFERROR(__xludf.DUMMYFUNCTION("""COMPUTED_VALUE"""),"Alexandra Chavez Reynaga")</f>
        <v>Alexandra Chavez Reynaga</v>
      </c>
      <c r="B6934" s="1" t="str">
        <f>IFERROR(__xludf.DUMMYFUNCTION("""COMPUTED_VALUE"""),"HS")</f>
        <v>HS</v>
      </c>
    </row>
    <row r="6935" ht="15.75" customHeight="1">
      <c r="A6935" s="1" t="str">
        <f>IFERROR(__xludf.DUMMYFUNCTION("""COMPUTED_VALUE"""),"Julissa Duran Chacon")</f>
        <v>Julissa Duran Chacon</v>
      </c>
      <c r="B6935" s="1" t="str">
        <f>IFERROR(__xludf.DUMMYFUNCTION("""COMPUTED_VALUE"""),"HS")</f>
        <v>HS</v>
      </c>
    </row>
    <row r="6936" ht="15.75" customHeight="1">
      <c r="A6936" s="1" t="str">
        <f>IFERROR(__xludf.DUMMYFUNCTION("""COMPUTED_VALUE"""),"Bryan Elias Ascencio")</f>
        <v>Bryan Elias Ascencio</v>
      </c>
      <c r="B6936" s="1" t="str">
        <f>IFERROR(__xludf.DUMMYFUNCTION("""COMPUTED_VALUE"""),"HS")</f>
        <v>HS</v>
      </c>
    </row>
    <row r="6937" ht="15.75" customHeight="1">
      <c r="A6937" s="1" t="str">
        <f>IFERROR(__xludf.DUMMYFUNCTION("""COMPUTED_VALUE"""),"Leslie Galindo Gonzalez")</f>
        <v>Leslie Galindo Gonzalez</v>
      </c>
      <c r="B6937" s="1" t="str">
        <f>IFERROR(__xludf.DUMMYFUNCTION("""COMPUTED_VALUE"""),"HS")</f>
        <v>HS</v>
      </c>
    </row>
    <row r="6938" ht="15.75" customHeight="1">
      <c r="A6938" s="1" t="str">
        <f>IFERROR(__xludf.DUMMYFUNCTION("""COMPUTED_VALUE"""),"Aaron Gallardo Ruiz")</f>
        <v>Aaron Gallardo Ruiz</v>
      </c>
      <c r="B6938" s="1" t="str">
        <f>IFERROR(__xludf.DUMMYFUNCTION("""COMPUTED_VALUE"""),"HS")</f>
        <v>HS</v>
      </c>
    </row>
    <row r="6939" ht="15.75" customHeight="1">
      <c r="A6939" s="1" t="str">
        <f>IFERROR(__xludf.DUMMYFUNCTION("""COMPUTED_VALUE"""),"Karen Garcia")</f>
        <v>Karen Garcia</v>
      </c>
      <c r="B6939" s="1" t="str">
        <f>IFERROR(__xludf.DUMMYFUNCTION("""COMPUTED_VALUE"""),"HS")</f>
        <v>HS</v>
      </c>
    </row>
    <row r="6940" ht="15.75" customHeight="1">
      <c r="A6940" s="1" t="str">
        <f>IFERROR(__xludf.DUMMYFUNCTION("""COMPUTED_VALUE"""),"Gerardo Garcia Melesio")</f>
        <v>Gerardo Garcia Melesio</v>
      </c>
      <c r="B6940" s="1" t="str">
        <f>IFERROR(__xludf.DUMMYFUNCTION("""COMPUTED_VALUE"""),"HS")</f>
        <v>HS</v>
      </c>
    </row>
    <row r="6941" ht="15.75" customHeight="1">
      <c r="A6941" s="1" t="str">
        <f>IFERROR(__xludf.DUMMYFUNCTION("""COMPUTED_VALUE"""),"Alonso Gonzalez Paz")</f>
        <v>Alonso Gonzalez Paz</v>
      </c>
      <c r="B6941" s="1" t="str">
        <f>IFERROR(__xludf.DUMMYFUNCTION("""COMPUTED_VALUE"""),"HS")</f>
        <v>HS</v>
      </c>
    </row>
    <row r="6942" ht="15.75" customHeight="1">
      <c r="A6942" s="1" t="str">
        <f>IFERROR(__xludf.DUMMYFUNCTION("""COMPUTED_VALUE"""),"Kevin Hernandez Hernandez")</f>
        <v>Kevin Hernandez Hernandez</v>
      </c>
      <c r="B6942" s="1" t="str">
        <f>IFERROR(__xludf.DUMMYFUNCTION("""COMPUTED_VALUE"""),"HS")</f>
        <v>HS</v>
      </c>
    </row>
    <row r="6943" ht="15.75" customHeight="1">
      <c r="A6943" s="1" t="str">
        <f>IFERROR(__xludf.DUMMYFUNCTION("""COMPUTED_VALUE"""),"Nayomie Montiel")</f>
        <v>Nayomie Montiel</v>
      </c>
      <c r="B6943" s="1" t="str">
        <f>IFERROR(__xludf.DUMMYFUNCTION("""COMPUTED_VALUE"""),"HS")</f>
        <v>HS</v>
      </c>
    </row>
    <row r="6944" ht="15.75" customHeight="1">
      <c r="A6944" s="1" t="str">
        <f>IFERROR(__xludf.DUMMYFUNCTION("""COMPUTED_VALUE"""),"Renata Moreno Rodriguez")</f>
        <v>Renata Moreno Rodriguez</v>
      </c>
      <c r="B6944" s="1" t="str">
        <f>IFERROR(__xludf.DUMMYFUNCTION("""COMPUTED_VALUE"""),"HS")</f>
        <v>HS</v>
      </c>
    </row>
    <row r="6945" ht="15.75" customHeight="1">
      <c r="A6945" s="1" t="str">
        <f>IFERROR(__xludf.DUMMYFUNCTION("""COMPUTED_VALUE"""),"Roselyn Pacheco Tello")</f>
        <v>Roselyn Pacheco Tello</v>
      </c>
      <c r="B6945" s="1" t="str">
        <f>IFERROR(__xludf.DUMMYFUNCTION("""COMPUTED_VALUE"""),"HS")</f>
        <v>HS</v>
      </c>
    </row>
    <row r="6946" ht="15.75" customHeight="1">
      <c r="A6946" s="1" t="str">
        <f>IFERROR(__xludf.DUMMYFUNCTION("""COMPUTED_VALUE"""),"Denise Pelaez Salazar")</f>
        <v>Denise Pelaez Salazar</v>
      </c>
      <c r="B6946" s="1" t="str">
        <f>IFERROR(__xludf.DUMMYFUNCTION("""COMPUTED_VALUE"""),"HS")</f>
        <v>HS</v>
      </c>
    </row>
    <row r="6947" ht="15.75" customHeight="1">
      <c r="A6947" s="1" t="str">
        <f>IFERROR(__xludf.DUMMYFUNCTION("""COMPUTED_VALUE"""),"Danisha Perez")</f>
        <v>Danisha Perez</v>
      </c>
      <c r="B6947" s="1" t="str">
        <f>IFERROR(__xludf.DUMMYFUNCTION("""COMPUTED_VALUE"""),"HS")</f>
        <v>HS</v>
      </c>
    </row>
    <row r="6948" ht="15.75" customHeight="1">
      <c r="A6948" s="1" t="str">
        <f>IFERROR(__xludf.DUMMYFUNCTION("""COMPUTED_VALUE"""),"Aileen Roldan Argueta")</f>
        <v>Aileen Roldan Argueta</v>
      </c>
      <c r="B6948" s="1" t="str">
        <f>IFERROR(__xludf.DUMMYFUNCTION("""COMPUTED_VALUE"""),"HS")</f>
        <v>HS</v>
      </c>
    </row>
    <row r="6949" ht="15.75" customHeight="1">
      <c r="A6949" s="1" t="str">
        <f>IFERROR(__xludf.DUMMYFUNCTION("""COMPUTED_VALUE"""),"Brian Trevizo-Corona")</f>
        <v>Brian Trevizo-Corona</v>
      </c>
      <c r="B6949" s="1" t="str">
        <f>IFERROR(__xludf.DUMMYFUNCTION("""COMPUTED_VALUE"""),"HS")</f>
        <v>HS</v>
      </c>
    </row>
    <row r="6950" ht="15.75" customHeight="1">
      <c r="A6950" s="1" t="str">
        <f>IFERROR(__xludf.DUMMYFUNCTION("""COMPUTED_VALUE"""),"Joban Trevizo-Perez")</f>
        <v>Joban Trevizo-Perez</v>
      </c>
      <c r="B6950" s="1" t="str">
        <f>IFERROR(__xludf.DUMMYFUNCTION("""COMPUTED_VALUE"""),"HS")</f>
        <v>HS</v>
      </c>
    </row>
    <row r="6951" ht="15.75" customHeight="1">
      <c r="A6951" s="1" t="str">
        <f>IFERROR(__xludf.DUMMYFUNCTION("""COMPUTED_VALUE"""),"Victor Vasquez Flores")</f>
        <v>Victor Vasquez Flores</v>
      </c>
      <c r="B6951" s="1" t="str">
        <f>IFERROR(__xludf.DUMMYFUNCTION("""COMPUTED_VALUE"""),"HS")</f>
        <v>HS</v>
      </c>
    </row>
    <row r="6952" ht="15.75" customHeight="1">
      <c r="A6952" s="1" t="str">
        <f>IFERROR(__xludf.DUMMYFUNCTION("""COMPUTED_VALUE"""),"Jacob Macias")</f>
        <v>Jacob Macias</v>
      </c>
      <c r="B6952" s="1" t="str">
        <f>IFERROR(__xludf.DUMMYFUNCTION("""COMPUTED_VALUE"""),"MS")</f>
        <v>MS</v>
      </c>
    </row>
    <row r="6953" ht="15.75" customHeight="1">
      <c r="A6953" s="1" t="str">
        <f>IFERROR(__xludf.DUMMYFUNCTION("""COMPUTED_VALUE"""),"Ella Root")</f>
        <v>Ella Root</v>
      </c>
      <c r="B6953" s="1" t="str">
        <f>IFERROR(__xludf.DUMMYFUNCTION("""COMPUTED_VALUE"""),"MS")</f>
        <v>MS</v>
      </c>
    </row>
    <row r="6954" ht="15.75" customHeight="1">
      <c r="A6954" s="1" t="str">
        <f>IFERROR(__xludf.DUMMYFUNCTION("""COMPUTED_VALUE"""),"Mack M. Mclarty")</f>
        <v>Mack M. Mclarty</v>
      </c>
      <c r="B6954" s="1" t="str">
        <f>IFERROR(__xludf.DUMMYFUNCTION("""COMPUTED_VALUE"""),"MS")</f>
        <v>MS</v>
      </c>
    </row>
    <row r="6955" ht="15.75" customHeight="1">
      <c r="A6955" s="1" t="str">
        <f>IFERROR(__xludf.DUMMYFUNCTION("""COMPUTED_VALUE"""),"Ashleey Campos Anguiano")</f>
        <v>Ashleey Campos Anguiano</v>
      </c>
      <c r="B6955" s="1" t="str">
        <f>IFERROR(__xludf.DUMMYFUNCTION("""COMPUTED_VALUE"""),"HS")</f>
        <v>HS</v>
      </c>
    </row>
    <row r="6956" ht="15.75" customHeight="1">
      <c r="A6956" s="1" t="str">
        <f>IFERROR(__xludf.DUMMYFUNCTION("""COMPUTED_VALUE"""),"Tanner Stutz")</f>
        <v>Tanner Stutz</v>
      </c>
      <c r="B6956" s="1" t="str">
        <f>IFERROR(__xludf.DUMMYFUNCTION("""COMPUTED_VALUE"""),"HS")</f>
        <v>HS</v>
      </c>
    </row>
    <row r="6957" ht="15.75" customHeight="1">
      <c r="A6957" s="1" t="str">
        <f>IFERROR(__xludf.DUMMYFUNCTION("""COMPUTED_VALUE"""),"Juan Romero Perez")</f>
        <v>Juan Romero Perez</v>
      </c>
      <c r="B6957" s="1" t="str">
        <f>IFERROR(__xludf.DUMMYFUNCTION("""COMPUTED_VALUE"""),"HS")</f>
        <v>HS</v>
      </c>
    </row>
    <row r="6958" ht="15.75" customHeight="1">
      <c r="A6958" s="1" t="str">
        <f>IFERROR(__xludf.DUMMYFUNCTION("""COMPUTED_VALUE"""),"Rylynn Damm")</f>
        <v>Rylynn Damm</v>
      </c>
      <c r="B6958" s="1" t="str">
        <f>IFERROR(__xludf.DUMMYFUNCTION("""COMPUTED_VALUE"""),"MS")</f>
        <v>MS</v>
      </c>
    </row>
    <row r="6959" ht="15.75" customHeight="1">
      <c r="A6959" s="1" t="str">
        <f>IFERROR(__xludf.DUMMYFUNCTION("""COMPUTED_VALUE"""),"Rylie Walters")</f>
        <v>Rylie Walters</v>
      </c>
      <c r="B6959" s="1" t="str">
        <f>IFERROR(__xludf.DUMMYFUNCTION("""COMPUTED_VALUE"""),"HS")</f>
        <v>HS</v>
      </c>
    </row>
    <row r="6960" ht="15.75" customHeight="1">
      <c r="A6960" s="1" t="str">
        <f>IFERROR(__xludf.DUMMYFUNCTION("""COMPUTED_VALUE"""),"Zackery Willard")</f>
        <v>Zackery Willard</v>
      </c>
      <c r="B6960" s="1" t="str">
        <f>IFERROR(__xludf.DUMMYFUNCTION("""COMPUTED_VALUE"""),"HS")</f>
        <v>HS</v>
      </c>
    </row>
    <row r="6961" ht="15.75" customHeight="1">
      <c r="A6961" s="1" t="str">
        <f>IFERROR(__xludf.DUMMYFUNCTION("""COMPUTED_VALUE"""),"Matthew Fleming")</f>
        <v>Matthew Fleming</v>
      </c>
      <c r="B6961" s="1" t="str">
        <f>IFERROR(__xludf.DUMMYFUNCTION("""COMPUTED_VALUE"""),"HS")</f>
        <v>HS</v>
      </c>
    </row>
    <row r="6962" ht="15.75" customHeight="1">
      <c r="A6962" s="1" t="str">
        <f>IFERROR(__xludf.DUMMYFUNCTION("""COMPUTED_VALUE"""),"Julian Patton")</f>
        <v>Julian Patton</v>
      </c>
      <c r="B6962" s="1" t="str">
        <f>IFERROR(__xludf.DUMMYFUNCTION("""COMPUTED_VALUE"""),"HS")</f>
        <v>HS</v>
      </c>
    </row>
    <row r="6963" ht="15.75" customHeight="1">
      <c r="A6963" s="1" t="str">
        <f>IFERROR(__xludf.DUMMYFUNCTION("""COMPUTED_VALUE"""),"Davien Kent")</f>
        <v>Davien Kent</v>
      </c>
      <c r="B6963" s="1" t="str">
        <f>IFERROR(__xludf.DUMMYFUNCTION("""COMPUTED_VALUE"""),"HS")</f>
        <v>HS</v>
      </c>
    </row>
    <row r="6964" ht="15.75" customHeight="1">
      <c r="A6964" s="1" t="str">
        <f>IFERROR(__xludf.DUMMYFUNCTION("""COMPUTED_VALUE"""),"Isabel Morones")</f>
        <v>Isabel Morones</v>
      </c>
      <c r="B6964" s="1" t="str">
        <f>IFERROR(__xludf.DUMMYFUNCTION("""COMPUTED_VALUE"""),"HS")</f>
        <v>HS</v>
      </c>
    </row>
    <row r="6965" ht="15.75" customHeight="1">
      <c r="A6965" s="1" t="str">
        <f>IFERROR(__xludf.DUMMYFUNCTION("""COMPUTED_VALUE"""),"Izaya White")</f>
        <v>Izaya White</v>
      </c>
      <c r="B6965" s="1" t="str">
        <f>IFERROR(__xludf.DUMMYFUNCTION("""COMPUTED_VALUE"""),"HS")</f>
        <v>HS</v>
      </c>
    </row>
    <row r="6966" ht="15.75" customHeight="1">
      <c r="A6966" s="1" t="str">
        <f>IFERROR(__xludf.DUMMYFUNCTION("""COMPUTED_VALUE"""),"Ethan Fast")</f>
        <v>Ethan Fast</v>
      </c>
      <c r="B6966" s="1" t="str">
        <f>IFERROR(__xludf.DUMMYFUNCTION("""COMPUTED_VALUE"""),"HS")</f>
        <v>HS</v>
      </c>
    </row>
    <row r="6967" ht="15.75" customHeight="1">
      <c r="A6967" s="1" t="str">
        <f>IFERROR(__xludf.DUMMYFUNCTION("""COMPUTED_VALUE"""),"Robert Golden")</f>
        <v>Robert Golden</v>
      </c>
      <c r="B6967" s="1" t="str">
        <f>IFERROR(__xludf.DUMMYFUNCTION("""COMPUTED_VALUE"""),"HS")</f>
        <v>HS</v>
      </c>
    </row>
    <row r="6968" ht="15.75" customHeight="1">
      <c r="A6968" s="1" t="str">
        <f>IFERROR(__xludf.DUMMYFUNCTION("""COMPUTED_VALUE"""),"Riley Stark")</f>
        <v>Riley Stark</v>
      </c>
      <c r="B6968" s="1" t="str">
        <f>IFERROR(__xludf.DUMMYFUNCTION("""COMPUTED_VALUE"""),"MS")</f>
        <v>MS</v>
      </c>
    </row>
    <row r="6969" ht="15.75" customHeight="1">
      <c r="A6969" s="1" t="str">
        <f>IFERROR(__xludf.DUMMYFUNCTION("""COMPUTED_VALUE"""),"Kobyn McClure")</f>
        <v>Kobyn McClure</v>
      </c>
      <c r="B6969" s="1" t="str">
        <f>IFERROR(__xludf.DUMMYFUNCTION("""COMPUTED_VALUE"""),"HS")</f>
        <v>HS</v>
      </c>
    </row>
    <row r="6970" ht="15.75" customHeight="1">
      <c r="A6970" s="1" t="str">
        <f>IFERROR(__xludf.DUMMYFUNCTION("""COMPUTED_VALUE"""),"Alexis Blasdell")</f>
        <v>Alexis Blasdell</v>
      </c>
      <c r="B6970" s="1" t="str">
        <f>IFERROR(__xludf.DUMMYFUNCTION("""COMPUTED_VALUE"""),"HS")</f>
        <v>HS</v>
      </c>
    </row>
    <row r="6971" ht="15.75" customHeight="1">
      <c r="A6971" s="1" t="str">
        <f>IFERROR(__xludf.DUMMYFUNCTION("""COMPUTED_VALUE"""),"Noah Rogers")</f>
        <v>Noah Rogers</v>
      </c>
      <c r="B6971" s="1" t="str">
        <f>IFERROR(__xludf.DUMMYFUNCTION("""COMPUTED_VALUE"""),"MS")</f>
        <v>MS</v>
      </c>
    </row>
    <row r="6972" ht="15.75" customHeight="1">
      <c r="A6972" s="1" t="str">
        <f>IFERROR(__xludf.DUMMYFUNCTION("""COMPUTED_VALUE"""),"Karter Lawrence")</f>
        <v>Karter Lawrence</v>
      </c>
      <c r="B6972" s="1" t="str">
        <f>IFERROR(__xludf.DUMMYFUNCTION("""COMPUTED_VALUE"""),"L2")</f>
        <v>L2</v>
      </c>
    </row>
    <row r="6973" ht="15.75" customHeight="1">
      <c r="A6973" s="1" t="str">
        <f>IFERROR(__xludf.DUMMYFUNCTION("""COMPUTED_VALUE"""),"Kyrie Lawrence")</f>
        <v>Kyrie Lawrence</v>
      </c>
      <c r="B6973" s="1" t="str">
        <f>IFERROR(__xludf.DUMMYFUNCTION("""COMPUTED_VALUE"""),"L2")</f>
        <v>L2</v>
      </c>
    </row>
    <row r="6974" ht="15.75" customHeight="1">
      <c r="A6974" s="1" t="str">
        <f>IFERROR(__xludf.DUMMYFUNCTION("""COMPUTED_VALUE"""),"Paislee Gantenbein")</f>
        <v>Paislee Gantenbein</v>
      </c>
      <c r="B6974" s="1" t="str">
        <f>IFERROR(__xludf.DUMMYFUNCTION("""COMPUTED_VALUE"""),"L2")</f>
        <v>L2</v>
      </c>
    </row>
    <row r="6975" ht="15.75" customHeight="1">
      <c r="A6975" s="1" t="str">
        <f>IFERROR(__xludf.DUMMYFUNCTION("""COMPUTED_VALUE"""),"Oscar Martinez Reyes")</f>
        <v>Oscar Martinez Reyes</v>
      </c>
      <c r="B6975" s="1" t="str">
        <f>IFERROR(__xludf.DUMMYFUNCTION("""COMPUTED_VALUE"""),"L1")</f>
        <v>L1</v>
      </c>
    </row>
    <row r="6976" ht="15.75" customHeight="1">
      <c r="A6976" s="1" t="str">
        <f>IFERROR(__xludf.DUMMYFUNCTION("""COMPUTED_VALUE"""),"Kaiden Green")</f>
        <v>Kaiden Green</v>
      </c>
      <c r="B6976" s="1" t="str">
        <f>IFERROR(__xludf.DUMMYFUNCTION("""COMPUTED_VALUE"""),"MS")</f>
        <v>MS</v>
      </c>
    </row>
    <row r="6977" ht="15.75" customHeight="1">
      <c r="A6977" s="1" t="str">
        <f>IFERROR(__xludf.DUMMYFUNCTION("""COMPUTED_VALUE"""),"Aubury Gregory")</f>
        <v>Aubury Gregory</v>
      </c>
      <c r="B6977" s="1" t="str">
        <f>IFERROR(__xludf.DUMMYFUNCTION("""COMPUTED_VALUE"""),"MS")</f>
        <v>MS</v>
      </c>
    </row>
    <row r="6978" ht="15.75" customHeight="1">
      <c r="A6978" s="1" t="str">
        <f>IFERROR(__xludf.DUMMYFUNCTION("""COMPUTED_VALUE"""),"Autumn Gregory")</f>
        <v>Autumn Gregory</v>
      </c>
      <c r="B6978" s="1" t="str">
        <f>IFERROR(__xludf.DUMMYFUNCTION("""COMPUTED_VALUE"""),"MS")</f>
        <v>MS</v>
      </c>
    </row>
    <row r="6979" ht="15.75" customHeight="1">
      <c r="A6979" s="1" t="str">
        <f>IFERROR(__xludf.DUMMYFUNCTION("""COMPUTED_VALUE"""),"Paige Gregory")</f>
        <v>Paige Gregory</v>
      </c>
      <c r="B6979" s="1" t="str">
        <f>IFERROR(__xludf.DUMMYFUNCTION("""COMPUTED_VALUE"""),"MS")</f>
        <v>MS</v>
      </c>
    </row>
    <row r="6980" ht="15.75" customHeight="1">
      <c r="A6980" s="1" t="str">
        <f>IFERROR(__xludf.DUMMYFUNCTION("""COMPUTED_VALUE"""),"Sky Wolf")</f>
        <v>Sky Wolf</v>
      </c>
      <c r="B6980" s="1" t="str">
        <f>IFERROR(__xludf.DUMMYFUNCTION("""COMPUTED_VALUE"""),"MS")</f>
        <v>MS</v>
      </c>
    </row>
    <row r="6981" ht="15.75" customHeight="1">
      <c r="A6981" s="1" t="str">
        <f>IFERROR(__xludf.DUMMYFUNCTION("""COMPUTED_VALUE"""),"Amelia Ireland")</f>
        <v>Amelia Ireland</v>
      </c>
      <c r="B6981" s="1" t="str">
        <f>IFERROR(__xludf.DUMMYFUNCTION("""COMPUTED_VALUE"""),"MS")</f>
        <v>MS</v>
      </c>
    </row>
    <row r="6982" ht="15.75" customHeight="1">
      <c r="A6982" s="1" t="str">
        <f>IFERROR(__xludf.DUMMYFUNCTION("""COMPUTED_VALUE"""),"Joseph Bernard")</f>
        <v>Joseph Bernard</v>
      </c>
      <c r="B6982" s="1" t="str">
        <f>IFERROR(__xludf.DUMMYFUNCTION("""COMPUTED_VALUE"""),"MS")</f>
        <v>MS</v>
      </c>
    </row>
    <row r="6983" ht="15.75" customHeight="1">
      <c r="A6983" s="1" t="str">
        <f>IFERROR(__xludf.DUMMYFUNCTION("""COMPUTED_VALUE"""),"Aaron Daugherty")</f>
        <v>Aaron Daugherty</v>
      </c>
      <c r="B6983" s="1" t="str">
        <f>IFERROR(__xludf.DUMMYFUNCTION("""COMPUTED_VALUE"""),"HS")</f>
        <v>HS</v>
      </c>
    </row>
    <row r="6984" ht="15.75" customHeight="1">
      <c r="A6984" s="1" t="str">
        <f>IFERROR(__xludf.DUMMYFUNCTION("""COMPUTED_VALUE"""),"Melany Nicole Anguiano Naranjo")</f>
        <v>Melany Nicole Anguiano Naranjo</v>
      </c>
      <c r="B6984" s="1" t="str">
        <f>IFERROR(__xludf.DUMMYFUNCTION("""COMPUTED_VALUE"""),"HS")</f>
        <v>HS</v>
      </c>
    </row>
    <row r="6985" ht="15.75" customHeight="1">
      <c r="A6985" s="1" t="str">
        <f>IFERROR(__xludf.DUMMYFUNCTION("""COMPUTED_VALUE"""),"Kade Linhart")</f>
        <v>Kade Linhart</v>
      </c>
      <c r="B6985" s="1" t="str">
        <f>IFERROR(__xludf.DUMMYFUNCTION("""COMPUTED_VALUE"""),"MS")</f>
        <v>MS</v>
      </c>
    </row>
    <row r="6986" ht="15.75" customHeight="1">
      <c r="A6986" s="1" t="str">
        <f>IFERROR(__xludf.DUMMYFUNCTION("""COMPUTED_VALUE"""),"Sam Diaz")</f>
        <v>Sam Diaz</v>
      </c>
      <c r="B6986" s="1" t="str">
        <f>IFERROR(__xludf.DUMMYFUNCTION("""COMPUTED_VALUE"""),"MS")</f>
        <v>MS</v>
      </c>
    </row>
    <row r="6987" ht="15.75" customHeight="1">
      <c r="A6987" s="1" t="str">
        <f>IFERROR(__xludf.DUMMYFUNCTION("""COMPUTED_VALUE"""),"Austin Perkins")</f>
        <v>Austin Perkins</v>
      </c>
      <c r="B6987" s="1" t="str">
        <f>IFERROR(__xludf.DUMMYFUNCTION("""COMPUTED_VALUE"""),"HS")</f>
        <v>HS</v>
      </c>
    </row>
    <row r="6988" ht="15.75" customHeight="1">
      <c r="A6988" s="1" t="str">
        <f>IFERROR(__xludf.DUMMYFUNCTION("""COMPUTED_VALUE"""),"Ashleey Campos")</f>
        <v>Ashleey Campos</v>
      </c>
      <c r="B6988" s="1" t="str">
        <f>IFERROR(__xludf.DUMMYFUNCTION("""COMPUTED_VALUE"""),"HS")</f>
        <v>HS</v>
      </c>
    </row>
    <row r="6989" ht="15.75" customHeight="1">
      <c r="A6989" s="1" t="str">
        <f>IFERROR(__xludf.DUMMYFUNCTION("""COMPUTED_VALUE"""),"Marco Elias Molina")</f>
        <v>Marco Elias Molina</v>
      </c>
      <c r="B6989" s="1" t="str">
        <f>IFERROR(__xludf.DUMMYFUNCTION("""COMPUTED_VALUE"""),"HS")</f>
        <v>HS</v>
      </c>
    </row>
    <row r="6990" ht="15.75" customHeight="1">
      <c r="A6990" s="1" t="str">
        <f>IFERROR(__xludf.DUMMYFUNCTION("""COMPUTED_VALUE"""),"Robert Golden")</f>
        <v>Robert Golden</v>
      </c>
      <c r="B6990" s="1" t="str">
        <f>IFERROR(__xludf.DUMMYFUNCTION("""COMPUTED_VALUE"""),"HS")</f>
        <v>HS</v>
      </c>
    </row>
    <row r="6991" ht="15.75" customHeight="1">
      <c r="A6991" s="1" t="str">
        <f>IFERROR(__xludf.DUMMYFUNCTION("""COMPUTED_VALUE"""),"Joseph Bernard")</f>
        <v>Joseph Bernard</v>
      </c>
      <c r="B6991" s="1" t="str">
        <f>IFERROR(__xludf.DUMMYFUNCTION("""COMPUTED_VALUE"""),"MS")</f>
        <v>MS</v>
      </c>
    </row>
    <row r="6992" ht="15.75" customHeight="1">
      <c r="A6992" s="1" t="str">
        <f>IFERROR(__xludf.DUMMYFUNCTION("""COMPUTED_VALUE"""),"Karter Lawrence")</f>
        <v>Karter Lawrence</v>
      </c>
      <c r="B6992" s="1" t="str">
        <f>IFERROR(__xludf.DUMMYFUNCTION("""COMPUTED_VALUE"""),"L2")</f>
        <v>L2</v>
      </c>
    </row>
    <row r="6993" ht="15.75" customHeight="1">
      <c r="A6993" s="1" t="str">
        <f>IFERROR(__xludf.DUMMYFUNCTION("""COMPUTED_VALUE"""),"Kyrie Lawrence")</f>
        <v>Kyrie Lawrence</v>
      </c>
      <c r="B6993" s="1" t="str">
        <f>IFERROR(__xludf.DUMMYFUNCTION("""COMPUTED_VALUE"""),"L2")</f>
        <v>L2</v>
      </c>
    </row>
    <row r="6994" ht="15.75" customHeight="1">
      <c r="A6994" s="1" t="str">
        <f>IFERROR(__xludf.DUMMYFUNCTION("""COMPUTED_VALUE"""),"Manny Jalos")</f>
        <v>Manny Jalos</v>
      </c>
      <c r="B6994" s="1" t="str">
        <f>IFERROR(__xludf.DUMMYFUNCTION("""COMPUTED_VALUE"""),"MS")</f>
        <v>MS</v>
      </c>
    </row>
    <row r="6995" ht="15.75" customHeight="1">
      <c r="A6995" s="1" t="str">
        <f>IFERROR(__xludf.DUMMYFUNCTION("""COMPUTED_VALUE"""),"Brody Girtz")</f>
        <v>Brody Girtz</v>
      </c>
      <c r="B6995" s="1" t="str">
        <f>IFERROR(__xludf.DUMMYFUNCTION("""COMPUTED_VALUE"""),"MS")</f>
        <v>MS</v>
      </c>
    </row>
    <row r="6996" ht="15.75" customHeight="1">
      <c r="A6996" s="1" t="str">
        <f>IFERROR(__xludf.DUMMYFUNCTION("""COMPUTED_VALUE"""),"Emily Dowler")</f>
        <v>Emily Dowler</v>
      </c>
      <c r="B6996" s="1" t="str">
        <f>IFERROR(__xludf.DUMMYFUNCTION("""COMPUTED_VALUE"""),"MS")</f>
        <v>MS</v>
      </c>
    </row>
    <row r="6997" ht="15.75" customHeight="1">
      <c r="A6997" s="1" t="str">
        <f>IFERROR(__xludf.DUMMYFUNCTION("""COMPUTED_VALUE"""),"Bentley Newstrom")</f>
        <v>Bentley Newstrom</v>
      </c>
      <c r="B6997" s="1" t="str">
        <f>IFERROR(__xludf.DUMMYFUNCTION("""COMPUTED_VALUE"""),"MS")</f>
        <v>MS</v>
      </c>
    </row>
    <row r="6998" ht="15.75" customHeight="1">
      <c r="A6998" s="1" t="str">
        <f>IFERROR(__xludf.DUMMYFUNCTION("""COMPUTED_VALUE"""),"Adams Ziyaar")</f>
        <v>Adams Ziyaar</v>
      </c>
      <c r="B6998" s="1" t="str">
        <f>IFERROR(__xludf.DUMMYFUNCTION("""COMPUTED_VALUE"""),"MS")</f>
        <v>MS</v>
      </c>
    </row>
    <row r="6999" ht="15.75" customHeight="1">
      <c r="A6999" s="1" t="str">
        <f>IFERROR(__xludf.DUMMYFUNCTION("""COMPUTED_VALUE"""),"Jasmine Mudreiko-Morozova")</f>
        <v>Jasmine Mudreiko-Morozova</v>
      </c>
      <c r="B6999" s="1" t="str">
        <f>IFERROR(__xludf.DUMMYFUNCTION("""COMPUTED_VALUE"""),"MS")</f>
        <v>MS</v>
      </c>
    </row>
    <row r="7000" ht="15.75" customHeight="1">
      <c r="A7000" s="1" t="str">
        <f>IFERROR(__xludf.DUMMYFUNCTION("""COMPUTED_VALUE"""),"Thomas Wall")</f>
        <v>Thomas Wall</v>
      </c>
      <c r="B7000" s="1" t="str">
        <f>IFERROR(__xludf.DUMMYFUNCTION("""COMPUTED_VALUE"""),"MS")</f>
        <v>MS</v>
      </c>
    </row>
    <row r="7001" ht="15.75" customHeight="1">
      <c r="A7001" s="1" t="str">
        <f>IFERROR(__xludf.DUMMYFUNCTION("""COMPUTED_VALUE"""),"Oliver Lawry")</f>
        <v>Oliver Lawry</v>
      </c>
      <c r="B7001" s="1" t="str">
        <f>IFERROR(__xludf.DUMMYFUNCTION("""COMPUTED_VALUE"""),"L2")</f>
        <v>L2</v>
      </c>
    </row>
    <row r="7002" ht="15.75" customHeight="1">
      <c r="A7002" s="1" t="str">
        <f>IFERROR(__xludf.DUMMYFUNCTION("""COMPUTED_VALUE"""),"Edwin Alstat")</f>
        <v>Edwin Alstat</v>
      </c>
      <c r="B7002" s="1" t="str">
        <f>IFERROR(__xludf.DUMMYFUNCTION("""COMPUTED_VALUE"""),"HS")</f>
        <v>HS</v>
      </c>
    </row>
    <row r="7003" ht="15.75" customHeight="1">
      <c r="A7003" s="1" t="str">
        <f>IFERROR(__xludf.DUMMYFUNCTION("""COMPUTED_VALUE"""),"Kyana Lopez")</f>
        <v>Kyana Lopez</v>
      </c>
      <c r="B7003" s="1" t="str">
        <f>IFERROR(__xludf.DUMMYFUNCTION("""COMPUTED_VALUE"""),"HS")</f>
        <v>HS</v>
      </c>
    </row>
    <row r="7004" ht="15.75" customHeight="1">
      <c r="A7004" s="1" t="str">
        <f>IFERROR(__xludf.DUMMYFUNCTION("""COMPUTED_VALUE"""),"Quintin Buck")</f>
        <v>Quintin Buck</v>
      </c>
      <c r="B7004" s="1" t="str">
        <f>IFERROR(__xludf.DUMMYFUNCTION("""COMPUTED_VALUE"""),"MS")</f>
        <v>MS</v>
      </c>
    </row>
    <row r="7005" ht="15.75" customHeight="1">
      <c r="A7005" s="1" t="str">
        <f>IFERROR(__xludf.DUMMYFUNCTION("""COMPUTED_VALUE"""),"Claire Moss")</f>
        <v>Claire Moss</v>
      </c>
      <c r="B7005" s="1" t="str">
        <f>IFERROR(__xludf.DUMMYFUNCTION("""COMPUTED_VALUE"""),"L2")</f>
        <v>L2</v>
      </c>
    </row>
    <row r="7006" ht="15.75" customHeight="1">
      <c r="A7006" s="1" t="str">
        <f>IFERROR(__xludf.DUMMYFUNCTION("""COMPUTED_VALUE"""),"Cali Lopez")</f>
        <v>Cali Lopez</v>
      </c>
      <c r="B7006" s="1" t="str">
        <f>IFERROR(__xludf.DUMMYFUNCTION("""COMPUTED_VALUE"""),"L1")</f>
        <v>L1</v>
      </c>
    </row>
    <row r="7007" ht="15.75" customHeight="1">
      <c r="A7007" s="1" t="str">
        <f>IFERROR(__xludf.DUMMYFUNCTION("""COMPUTED_VALUE"""),"Allison Nolen")</f>
        <v>Allison Nolen</v>
      </c>
      <c r="B7007" s="1" t="str">
        <f>IFERROR(__xludf.DUMMYFUNCTION("""COMPUTED_VALUE"""),"MS")</f>
        <v>MS</v>
      </c>
    </row>
    <row r="7008" ht="15.75" customHeight="1">
      <c r="A7008" s="1" t="str">
        <f>IFERROR(__xludf.DUMMYFUNCTION("""COMPUTED_VALUE"""),"Jude Brooks")</f>
        <v>Jude Brooks</v>
      </c>
      <c r="B7008" s="1" t="str">
        <f>IFERROR(__xludf.DUMMYFUNCTION("""COMPUTED_VALUE"""),"MS")</f>
        <v>MS</v>
      </c>
    </row>
    <row r="7009" ht="15.75" customHeight="1">
      <c r="A7009" s="1" t="str">
        <f>IFERROR(__xludf.DUMMYFUNCTION("""COMPUTED_VALUE"""),"Ezechiel Achim")</f>
        <v>Ezechiel Achim</v>
      </c>
      <c r="B7009" s="1" t="str">
        <f>IFERROR(__xludf.DUMMYFUNCTION("""COMPUTED_VALUE"""),"MS")</f>
        <v>MS</v>
      </c>
    </row>
    <row r="7010" ht="15.75" customHeight="1">
      <c r="A7010" s="1" t="str">
        <f>IFERROR(__xludf.DUMMYFUNCTION("""COMPUTED_VALUE"""),"Avery Baker")</f>
        <v>Avery Baker</v>
      </c>
      <c r="B7010" s="1" t="str">
        <f>IFERROR(__xludf.DUMMYFUNCTION("""COMPUTED_VALUE"""),"MS")</f>
        <v>MS</v>
      </c>
    </row>
    <row r="7011" ht="15.75" customHeight="1">
      <c r="A7011" s="1" t="str">
        <f>IFERROR(__xludf.DUMMYFUNCTION("""COMPUTED_VALUE"""),"Damian Abdel-Malak")</f>
        <v>Damian Abdel-Malak</v>
      </c>
      <c r="B7011" s="1" t="str">
        <f>IFERROR(__xludf.DUMMYFUNCTION("""COMPUTED_VALUE"""),"LL")</f>
        <v>LL</v>
      </c>
    </row>
    <row r="7012" ht="15.75" customHeight="1">
      <c r="A7012" s="1" t="str">
        <f>IFERROR(__xludf.DUMMYFUNCTION("""COMPUTED_VALUE"""),"Julian Abdel-Malak")</f>
        <v>Julian Abdel-Malak</v>
      </c>
      <c r="B7012" s="1" t="str">
        <f>IFERROR(__xludf.DUMMYFUNCTION("""COMPUTED_VALUE"""),"MS")</f>
        <v>MS</v>
      </c>
    </row>
    <row r="7013" ht="15.75" customHeight="1">
      <c r="A7013" s="1" t="str">
        <f>IFERROR(__xludf.DUMMYFUNCTION("""COMPUTED_VALUE"""),"Kayley Jaeger")</f>
        <v>Kayley Jaeger</v>
      </c>
      <c r="B7013" s="1" t="str">
        <f>IFERROR(__xludf.DUMMYFUNCTION("""COMPUTED_VALUE"""),"L1")</f>
        <v>L1</v>
      </c>
    </row>
    <row r="7014" ht="15.75" customHeight="1">
      <c r="A7014" s="1" t="str">
        <f>IFERROR(__xludf.DUMMYFUNCTION("""COMPUTED_VALUE"""),"Emiliano Reyes")</f>
        <v>Emiliano Reyes</v>
      </c>
      <c r="B7014" s="1" t="str">
        <f>IFERROR(__xludf.DUMMYFUNCTION("""COMPUTED_VALUE"""),"MS")</f>
        <v>MS</v>
      </c>
    </row>
    <row r="7015" ht="15.75" customHeight="1">
      <c r="A7015" s="1" t="str">
        <f>IFERROR(__xludf.DUMMYFUNCTION("""COMPUTED_VALUE"""),"Thiago Reyes")</f>
        <v>Thiago Reyes</v>
      </c>
      <c r="B7015" s="1" t="str">
        <f>IFERROR(__xludf.DUMMYFUNCTION("""COMPUTED_VALUE"""),"MS")</f>
        <v>MS</v>
      </c>
    </row>
    <row r="7016" ht="15.75" customHeight="1">
      <c r="A7016" s="1" t="str">
        <f>IFERROR(__xludf.DUMMYFUNCTION("""COMPUTED_VALUE"""),"Tessa Rogers")</f>
        <v>Tessa Rogers</v>
      </c>
      <c r="B7016" s="1" t="str">
        <f>IFERROR(__xludf.DUMMYFUNCTION("""COMPUTED_VALUE"""),"L1")</f>
        <v>L1</v>
      </c>
    </row>
    <row r="7017" ht="15.75" customHeight="1">
      <c r="A7017" s="1" t="str">
        <f>IFERROR(__xludf.DUMMYFUNCTION("""COMPUTED_VALUE"""),"Antonio Spano")</f>
        <v>Antonio Spano</v>
      </c>
      <c r="B7017" s="1" t="str">
        <f>IFERROR(__xludf.DUMMYFUNCTION("""COMPUTED_VALUE"""),"MS")</f>
        <v>MS</v>
      </c>
    </row>
    <row r="7018" ht="15.75" customHeight="1">
      <c r="A7018" s="1" t="str">
        <f>IFERROR(__xludf.DUMMYFUNCTION("""COMPUTED_VALUE"""),"Enzo Spano")</f>
        <v>Enzo Spano</v>
      </c>
      <c r="B7018" s="1" t="str">
        <f>IFERROR(__xludf.DUMMYFUNCTION("""COMPUTED_VALUE"""),"LL")</f>
        <v>LL</v>
      </c>
    </row>
    <row r="7019" ht="15.75" customHeight="1">
      <c r="A7019" s="1" t="str">
        <f>IFERROR(__xludf.DUMMYFUNCTION("""COMPUTED_VALUE"""),"Ellie Valladares")</f>
        <v>Ellie Valladares</v>
      </c>
      <c r="B7019" s="1" t="str">
        <f>IFERROR(__xludf.DUMMYFUNCTION("""COMPUTED_VALUE"""),"LL")</f>
        <v>LL</v>
      </c>
    </row>
    <row r="7020" ht="15.75" customHeight="1">
      <c r="A7020" s="1" t="str">
        <f>IFERROR(__xludf.DUMMYFUNCTION("""COMPUTED_VALUE"""),"Brittany Demo")</f>
        <v>Brittany Demo</v>
      </c>
      <c r="B7020" s="1" t="str">
        <f>IFERROR(__xludf.DUMMYFUNCTION("""COMPUTED_VALUE"""),"LL")</f>
        <v>LL</v>
      </c>
    </row>
    <row r="7021" ht="15.75" customHeight="1">
      <c r="A7021" s="1" t="str">
        <f>IFERROR(__xludf.DUMMYFUNCTION("""COMPUTED_VALUE"""),"HS Demo")</f>
        <v>HS Demo</v>
      </c>
      <c r="B7021" s="1" t="str">
        <f>IFERROR(__xludf.DUMMYFUNCTION("""COMPUTED_VALUE"""),"HS")</f>
        <v>HS</v>
      </c>
    </row>
    <row r="7022" ht="15.75" customHeight="1">
      <c r="A7022" s="1" t="str">
        <f>IFERROR(__xludf.DUMMYFUNCTION("""COMPUTED_VALUE"""),"Talia Braithwaite")</f>
        <v>Talia Braithwaite</v>
      </c>
      <c r="B7022" s="1" t="str">
        <f>IFERROR(__xludf.DUMMYFUNCTION("""COMPUTED_VALUE"""),"L2")</f>
        <v>L2</v>
      </c>
    </row>
    <row r="7023" ht="15.75" customHeight="1">
      <c r="A7023" s="1" t="str">
        <f>IFERROR(__xludf.DUMMYFUNCTION("""COMPUTED_VALUE"""),"Kennedi Bruning")</f>
        <v>Kennedi Bruning</v>
      </c>
      <c r="B7023" s="1" t="str">
        <f>IFERROR(__xludf.DUMMYFUNCTION("""COMPUTED_VALUE"""),"L2")</f>
        <v>L2</v>
      </c>
    </row>
    <row r="7024" ht="15.75" customHeight="1">
      <c r="A7024" s="1" t="str">
        <f>IFERROR(__xludf.DUMMYFUNCTION("""COMPUTED_VALUE"""),"Rozariah Coney")</f>
        <v>Rozariah Coney</v>
      </c>
      <c r="B7024" s="1" t="str">
        <f>IFERROR(__xludf.DUMMYFUNCTION("""COMPUTED_VALUE"""),"L2")</f>
        <v>L2</v>
      </c>
    </row>
    <row r="7025" ht="15.75" customHeight="1">
      <c r="A7025" s="1" t="str">
        <f>IFERROR(__xludf.DUMMYFUNCTION("""COMPUTED_VALUE"""),"Mackenzie Crum")</f>
        <v>Mackenzie Crum</v>
      </c>
      <c r="B7025" s="1" t="str">
        <f>IFERROR(__xludf.DUMMYFUNCTION("""COMPUTED_VALUE"""),"L2")</f>
        <v>L2</v>
      </c>
    </row>
    <row r="7026" ht="15.75" customHeight="1">
      <c r="A7026" s="1" t="str">
        <f>IFERROR(__xludf.DUMMYFUNCTION("""COMPUTED_VALUE"""),"Jaedyn-Lee Daniels")</f>
        <v>Jaedyn-Lee Daniels</v>
      </c>
      <c r="B7026" s="1" t="str">
        <f>IFERROR(__xludf.DUMMYFUNCTION("""COMPUTED_VALUE"""),"MS")</f>
        <v>MS</v>
      </c>
    </row>
    <row r="7027" ht="15.75" customHeight="1">
      <c r="A7027" s="1" t="str">
        <f>IFERROR(__xludf.DUMMYFUNCTION("""COMPUTED_VALUE"""),"Malaya Dove")</f>
        <v>Malaya Dove</v>
      </c>
      <c r="B7027" s="1" t="str">
        <f>IFERROR(__xludf.DUMMYFUNCTION("""COMPUTED_VALUE"""),"MS")</f>
        <v>MS</v>
      </c>
    </row>
    <row r="7028" ht="15.75" customHeight="1">
      <c r="A7028" s="1" t="str">
        <f>IFERROR(__xludf.DUMMYFUNCTION("""COMPUTED_VALUE"""),"Noelle Fedele")</f>
        <v>Noelle Fedele</v>
      </c>
      <c r="B7028" s="1" t="str">
        <f>IFERROR(__xludf.DUMMYFUNCTION("""COMPUTED_VALUE"""),"MS")</f>
        <v>MS</v>
      </c>
    </row>
    <row r="7029" ht="15.75" customHeight="1">
      <c r="A7029" s="1" t="str">
        <f>IFERROR(__xludf.DUMMYFUNCTION("""COMPUTED_VALUE"""),"Charlotte Fedele")</f>
        <v>Charlotte Fedele</v>
      </c>
      <c r="B7029" s="1" t="str">
        <f>IFERROR(__xludf.DUMMYFUNCTION("""COMPUTED_VALUE"""),"L1")</f>
        <v>L1</v>
      </c>
    </row>
    <row r="7030" ht="15.75" customHeight="1">
      <c r="A7030" s="1" t="str">
        <f>IFERROR(__xludf.DUMMYFUNCTION("""COMPUTED_VALUE"""),"Abbie Gale")</f>
        <v>Abbie Gale</v>
      </c>
      <c r="B7030" s="1" t="str">
        <f>IFERROR(__xludf.DUMMYFUNCTION("""COMPUTED_VALUE"""),"L1")</f>
        <v>L1</v>
      </c>
    </row>
    <row r="7031" ht="15.75" customHeight="1">
      <c r="A7031" s="1" t="str">
        <f>IFERROR(__xludf.DUMMYFUNCTION("""COMPUTED_VALUE"""),"Ava Glover")</f>
        <v>Ava Glover</v>
      </c>
      <c r="B7031" s="1" t="str">
        <f>IFERROR(__xludf.DUMMYFUNCTION("""COMPUTED_VALUE"""),"L2")</f>
        <v>L2</v>
      </c>
    </row>
    <row r="7032" ht="15.75" customHeight="1">
      <c r="A7032" s="1" t="str">
        <f>IFERROR(__xludf.DUMMYFUNCTION("""COMPUTED_VALUE"""),"June Hardy")</f>
        <v>June Hardy</v>
      </c>
      <c r="B7032" s="1" t="str">
        <f>IFERROR(__xludf.DUMMYFUNCTION("""COMPUTED_VALUE"""),"L1")</f>
        <v>L1</v>
      </c>
    </row>
    <row r="7033" ht="15.75" customHeight="1">
      <c r="A7033" s="1" t="str">
        <f>IFERROR(__xludf.DUMMYFUNCTION("""COMPUTED_VALUE"""),"Aneila Harris")</f>
        <v>Aneila Harris</v>
      </c>
      <c r="B7033" s="1" t="str">
        <f>IFERROR(__xludf.DUMMYFUNCTION("""COMPUTED_VALUE"""),"L1")</f>
        <v>L1</v>
      </c>
    </row>
    <row r="7034" ht="15.75" customHeight="1">
      <c r="A7034" s="1" t="str">
        <f>IFERROR(__xludf.DUMMYFUNCTION("""COMPUTED_VALUE"""),"Hannah Holifield")</f>
        <v>Hannah Holifield</v>
      </c>
      <c r="B7034" s="1" t="str">
        <f>IFERROR(__xludf.DUMMYFUNCTION("""COMPUTED_VALUE"""),"MS")</f>
        <v>MS</v>
      </c>
    </row>
    <row r="7035" ht="15.75" customHeight="1">
      <c r="A7035" s="1" t="str">
        <f>IFERROR(__xludf.DUMMYFUNCTION("""COMPUTED_VALUE"""),"Peyton Holsey")</f>
        <v>Peyton Holsey</v>
      </c>
      <c r="B7035" s="1" t="str">
        <f>IFERROR(__xludf.DUMMYFUNCTION("""COMPUTED_VALUE"""),"L1")</f>
        <v>L1</v>
      </c>
    </row>
    <row r="7036" ht="15.75" customHeight="1">
      <c r="A7036" s="1" t="str">
        <f>IFERROR(__xludf.DUMMYFUNCTION("""COMPUTED_VALUE"""),"Moriah Johnson")</f>
        <v>Moriah Johnson</v>
      </c>
      <c r="B7036" s="1" t="str">
        <f>IFERROR(__xludf.DUMMYFUNCTION("""COMPUTED_VALUE"""),"L2")</f>
        <v>L2</v>
      </c>
    </row>
    <row r="7037" ht="15.75" customHeight="1">
      <c r="A7037" s="1" t="str">
        <f>IFERROR(__xludf.DUMMYFUNCTION("""COMPUTED_VALUE"""),"Kayla Johnson")</f>
        <v>Kayla Johnson</v>
      </c>
      <c r="B7037" s="1" t="str">
        <f>IFERROR(__xludf.DUMMYFUNCTION("""COMPUTED_VALUE"""),"L1")</f>
        <v>L1</v>
      </c>
    </row>
    <row r="7038" ht="15.75" customHeight="1">
      <c r="A7038" s="1" t="str">
        <f>IFERROR(__xludf.DUMMYFUNCTION("""COMPUTED_VALUE"""),"Kennedi Jones Parsons")</f>
        <v>Kennedi Jones Parsons</v>
      </c>
      <c r="B7038" s="1" t="str">
        <f>IFERROR(__xludf.DUMMYFUNCTION("""COMPUTED_VALUE"""),"L1")</f>
        <v>L1</v>
      </c>
    </row>
    <row r="7039" ht="15.75" customHeight="1">
      <c r="A7039" s="1" t="str">
        <f>IFERROR(__xludf.DUMMYFUNCTION("""COMPUTED_VALUE"""),"Keziah Joseph")</f>
        <v>Keziah Joseph</v>
      </c>
      <c r="B7039" s="1" t="str">
        <f>IFERROR(__xludf.DUMMYFUNCTION("""COMPUTED_VALUE"""),"L2")</f>
        <v>L2</v>
      </c>
    </row>
    <row r="7040" ht="15.75" customHeight="1">
      <c r="A7040" s="1" t="str">
        <f>IFERROR(__xludf.DUMMYFUNCTION("""COMPUTED_VALUE"""),"Paija Kemp")</f>
        <v>Paija Kemp</v>
      </c>
      <c r="B7040" s="1" t="str">
        <f>IFERROR(__xludf.DUMMYFUNCTION("""COMPUTED_VALUE"""),"MS")</f>
        <v>MS</v>
      </c>
    </row>
    <row r="7041" ht="15.75" customHeight="1">
      <c r="A7041" s="1" t="str">
        <f>IFERROR(__xludf.DUMMYFUNCTION("""COMPUTED_VALUE"""),"Mia Miller")</f>
        <v>Mia Miller</v>
      </c>
      <c r="B7041" s="1" t="str">
        <f>IFERROR(__xludf.DUMMYFUNCTION("""COMPUTED_VALUE"""),"L1")</f>
        <v>L1</v>
      </c>
    </row>
    <row r="7042" ht="15.75" customHeight="1">
      <c r="A7042" s="1" t="str">
        <f>IFERROR(__xludf.DUMMYFUNCTION("""COMPUTED_VALUE"""),"Ataijah Mitchell")</f>
        <v>Ataijah Mitchell</v>
      </c>
      <c r="B7042" s="1" t="str">
        <f>IFERROR(__xludf.DUMMYFUNCTION("""COMPUTED_VALUE"""),"L2")</f>
        <v>L2</v>
      </c>
    </row>
    <row r="7043" ht="15.75" customHeight="1">
      <c r="A7043" s="1" t="str">
        <f>IFERROR(__xludf.DUMMYFUNCTION("""COMPUTED_VALUE"""),"Armoni Nelson")</f>
        <v>Armoni Nelson</v>
      </c>
      <c r="B7043" s="1" t="str">
        <f>IFERROR(__xludf.DUMMYFUNCTION("""COMPUTED_VALUE"""),"L2")</f>
        <v>L2</v>
      </c>
    </row>
    <row r="7044" ht="15.75" customHeight="1">
      <c r="A7044" s="1" t="str">
        <f>IFERROR(__xludf.DUMMYFUNCTION("""COMPUTED_VALUE"""),"Trinity Peoples")</f>
        <v>Trinity Peoples</v>
      </c>
      <c r="B7044" s="1" t="str">
        <f>IFERROR(__xludf.DUMMYFUNCTION("""COMPUTED_VALUE"""),"L1")</f>
        <v>L1</v>
      </c>
    </row>
    <row r="7045" ht="15.75" customHeight="1">
      <c r="A7045" s="1" t="str">
        <f>IFERROR(__xludf.DUMMYFUNCTION("""COMPUTED_VALUE"""),"Jermanee Perry")</f>
        <v>Jermanee Perry</v>
      </c>
      <c r="B7045" s="1" t="str">
        <f>IFERROR(__xludf.DUMMYFUNCTION("""COMPUTED_VALUE"""),"L2")</f>
        <v>L2</v>
      </c>
    </row>
    <row r="7046" ht="15.75" customHeight="1">
      <c r="A7046" s="1" t="str">
        <f>IFERROR(__xludf.DUMMYFUNCTION("""COMPUTED_VALUE"""),"Amelia Taylor")</f>
        <v>Amelia Taylor</v>
      </c>
      <c r="B7046" s="1" t="str">
        <f>IFERROR(__xludf.DUMMYFUNCTION("""COMPUTED_VALUE"""),"L2")</f>
        <v>L2</v>
      </c>
    </row>
    <row r="7047" ht="15.75" customHeight="1">
      <c r="A7047" s="1" t="str">
        <f>IFERROR(__xludf.DUMMYFUNCTION("""COMPUTED_VALUE"""),"Taylan Watkins")</f>
        <v>Taylan Watkins</v>
      </c>
      <c r="B7047" s="1" t="str">
        <f>IFERROR(__xludf.DUMMYFUNCTION("""COMPUTED_VALUE"""),"L2")</f>
        <v>L2</v>
      </c>
    </row>
    <row r="7048" ht="15.75" customHeight="1">
      <c r="A7048" s="1" t="str">
        <f>IFERROR(__xludf.DUMMYFUNCTION("""COMPUTED_VALUE"""),"Tionne Watts")</f>
        <v>Tionne Watts</v>
      </c>
      <c r="B7048" s="1" t="str">
        <f>IFERROR(__xludf.DUMMYFUNCTION("""COMPUTED_VALUE"""),"L2")</f>
        <v>L2</v>
      </c>
    </row>
    <row r="7049" ht="15.75" customHeight="1">
      <c r="A7049" s="1" t="str">
        <f>IFERROR(__xludf.DUMMYFUNCTION("""COMPUTED_VALUE"""),"Lauren Whitty")</f>
        <v>Lauren Whitty</v>
      </c>
      <c r="B7049" s="1" t="str">
        <f>IFERROR(__xludf.DUMMYFUNCTION("""COMPUTED_VALUE"""),"L2")</f>
        <v>L2</v>
      </c>
    </row>
    <row r="7050" ht="15.75" customHeight="1">
      <c r="A7050" s="1" t="str">
        <f>IFERROR(__xludf.DUMMYFUNCTION("""COMPUTED_VALUE"""),"Cobie Willie")</f>
        <v>Cobie Willie</v>
      </c>
      <c r="B7050" s="1" t="str">
        <f>IFERROR(__xludf.DUMMYFUNCTION("""COMPUTED_VALUE"""),"L1")</f>
        <v>L1</v>
      </c>
    </row>
    <row r="7051" ht="15.75" customHeight="1">
      <c r="A7051" s="1" t="str">
        <f>IFERROR(__xludf.DUMMYFUNCTION("""COMPUTED_VALUE"""),"Berkeley Willie")</f>
        <v>Berkeley Willie</v>
      </c>
      <c r="B7051" s="1" t="str">
        <f>IFERROR(__xludf.DUMMYFUNCTION("""COMPUTED_VALUE"""),"L2")</f>
        <v>L2</v>
      </c>
    </row>
    <row r="7052" ht="15.75" customHeight="1">
      <c r="A7052" s="1" t="str">
        <f>IFERROR(__xludf.DUMMYFUNCTION("""COMPUTED_VALUE"""),"Angelina Willie")</f>
        <v>Angelina Willie</v>
      </c>
      <c r="B7052" s="1" t="str">
        <f>IFERROR(__xludf.DUMMYFUNCTION("""COMPUTED_VALUE"""),"MS")</f>
        <v>MS</v>
      </c>
    </row>
    <row r="7053" ht="15.75" customHeight="1">
      <c r="A7053" s="1" t="str">
        <f>IFERROR(__xludf.DUMMYFUNCTION("""COMPUTED_VALUE"""),"Adaline Wright")</f>
        <v>Adaline Wright</v>
      </c>
      <c r="B7053" s="1" t="str">
        <f>IFERROR(__xludf.DUMMYFUNCTION("""COMPUTED_VALUE"""),"L1")</f>
        <v>L1</v>
      </c>
    </row>
    <row r="7054" ht="15.75" customHeight="1">
      <c r="A7054" s="1" t="str">
        <f>IFERROR(__xludf.DUMMYFUNCTION("""COMPUTED_VALUE"""),"Bailee Westbrook")</f>
        <v>Bailee Westbrook</v>
      </c>
      <c r="B7054" s="1" t="str">
        <f>IFERROR(__xludf.DUMMYFUNCTION("""COMPUTED_VALUE"""),"L1")</f>
        <v>L1</v>
      </c>
    </row>
    <row r="7055" ht="15.75" customHeight="1">
      <c r="A7055" s="1" t="str">
        <f>IFERROR(__xludf.DUMMYFUNCTION("""COMPUTED_VALUE"""),"E’Niyah Manuel")</f>
        <v>E’Niyah Manuel</v>
      </c>
      <c r="B7055" s="1" t="str">
        <f>IFERROR(__xludf.DUMMYFUNCTION("""COMPUTED_VALUE"""),"L2")</f>
        <v>L2</v>
      </c>
    </row>
    <row r="7056" ht="15.75" customHeight="1">
      <c r="A7056" s="1" t="str">
        <f>IFERROR(__xludf.DUMMYFUNCTION("""COMPUTED_VALUE"""),"Alana Fowler")</f>
        <v>Alana Fowler</v>
      </c>
      <c r="B7056" s="1" t="str">
        <f>IFERROR(__xludf.DUMMYFUNCTION("""COMPUTED_VALUE"""),"L1")</f>
        <v>L1</v>
      </c>
    </row>
    <row r="7057" ht="15.75" customHeight="1">
      <c r="A7057" s="1" t="str">
        <f>IFERROR(__xludf.DUMMYFUNCTION("""COMPUTED_VALUE"""),"Layla Elsayed")</f>
        <v>Layla Elsayed</v>
      </c>
      <c r="B7057" s="1" t="str">
        <f>IFERROR(__xludf.DUMMYFUNCTION("""COMPUTED_VALUE"""),"L2")</f>
        <v>L2</v>
      </c>
    </row>
    <row r="7058" ht="15.75" customHeight="1">
      <c r="A7058" s="1" t="str">
        <f>IFERROR(__xludf.DUMMYFUNCTION("""COMPUTED_VALUE"""),"Zoe Smith")</f>
        <v>Zoe Smith</v>
      </c>
      <c r="B7058" s="1" t="str">
        <f>IFERROR(__xludf.DUMMYFUNCTION("""COMPUTED_VALUE"""),"L1")</f>
        <v>L1</v>
      </c>
    </row>
    <row r="7059" ht="15.75" customHeight="1">
      <c r="A7059" s="1" t="str">
        <f>IFERROR(__xludf.DUMMYFUNCTION("""COMPUTED_VALUE"""),"Sydnea Baker")</f>
        <v>Sydnea Baker</v>
      </c>
      <c r="B7059" s="1" t="str">
        <f>IFERROR(__xludf.DUMMYFUNCTION("""COMPUTED_VALUE"""),"L1")</f>
        <v>L1</v>
      </c>
    </row>
    <row r="7060" ht="15.75" customHeight="1">
      <c r="A7060" s="1" t="str">
        <f>IFERROR(__xludf.DUMMYFUNCTION("""COMPUTED_VALUE"""),"Savannah Astacio")</f>
        <v>Savannah Astacio</v>
      </c>
      <c r="B7060" s="1" t="str">
        <f>IFERROR(__xludf.DUMMYFUNCTION("""COMPUTED_VALUE"""),"LL")</f>
        <v>LL</v>
      </c>
    </row>
    <row r="7061" ht="15.75" customHeight="1">
      <c r="A7061" s="1" t="str">
        <f>IFERROR(__xludf.DUMMYFUNCTION("""COMPUTED_VALUE"""),"Jude Tencer")</f>
        <v>Jude Tencer</v>
      </c>
      <c r="B7061" s="1" t="str">
        <f>IFERROR(__xludf.DUMMYFUNCTION("""COMPUTED_VALUE"""),"L2")</f>
        <v>L2</v>
      </c>
    </row>
    <row r="7062" ht="15.75" customHeight="1">
      <c r="A7062" s="1" t="str">
        <f>IFERROR(__xludf.DUMMYFUNCTION("""COMPUTED_VALUE"""),"Ariella Smith")</f>
        <v>Ariella Smith</v>
      </c>
      <c r="B7062" s="1" t="str">
        <f>IFERROR(__xludf.DUMMYFUNCTION("""COMPUTED_VALUE"""),"MS")</f>
        <v>MS</v>
      </c>
    </row>
    <row r="7063" ht="15.75" customHeight="1">
      <c r="A7063" s="1" t="str">
        <f>IFERROR(__xludf.DUMMYFUNCTION("""COMPUTED_VALUE"""),"Aaron Smith")</f>
        <v>Aaron Smith</v>
      </c>
      <c r="B7063" s="1" t="str">
        <f>IFERROR(__xludf.DUMMYFUNCTION("""COMPUTED_VALUE"""),"L2")</f>
        <v>L2</v>
      </c>
    </row>
    <row r="7064" ht="15.75" customHeight="1">
      <c r="A7064" s="1" t="str">
        <f>IFERROR(__xludf.DUMMYFUNCTION("""COMPUTED_VALUE"""),"Staten Brimhall")</f>
        <v>Staten Brimhall</v>
      </c>
      <c r="B7064" s="1" t="str">
        <f>IFERROR(__xludf.DUMMYFUNCTION("""COMPUTED_VALUE"""),"L1")</f>
        <v>L1</v>
      </c>
    </row>
    <row r="7065" ht="15.75" customHeight="1">
      <c r="A7065" s="1" t="str">
        <f>IFERROR(__xludf.DUMMYFUNCTION("""COMPUTED_VALUE"""),"Rowan Brimhall")</f>
        <v>Rowan Brimhall</v>
      </c>
      <c r="B7065" s="1" t="str">
        <f>IFERROR(__xludf.DUMMYFUNCTION("""COMPUTED_VALUE"""),"LL")</f>
        <v>LL</v>
      </c>
    </row>
    <row r="7066" ht="15.75" customHeight="1">
      <c r="A7066" s="1" t="str">
        <f>IFERROR(__xludf.DUMMYFUNCTION("""COMPUTED_VALUE"""),"Anna Lobanov")</f>
        <v>Anna Lobanov</v>
      </c>
      <c r="B7066" s="1" t="str">
        <f>IFERROR(__xludf.DUMMYFUNCTION("""COMPUTED_VALUE"""),"L1")</f>
        <v>L1</v>
      </c>
    </row>
    <row r="7067" ht="15.75" customHeight="1">
      <c r="A7067" s="1" t="str">
        <f>IFERROR(__xludf.DUMMYFUNCTION("""COMPUTED_VALUE"""),"Zack Sumpter- Ghandehari")</f>
        <v>Zack Sumpter- Ghandehari</v>
      </c>
      <c r="B7067" s="1" t="str">
        <f>IFERROR(__xludf.DUMMYFUNCTION("""COMPUTED_VALUE"""),"L2")</f>
        <v>L2</v>
      </c>
    </row>
    <row r="7068" ht="15.75" customHeight="1">
      <c r="A7068" s="1" t="str">
        <f>IFERROR(__xludf.DUMMYFUNCTION("""COMPUTED_VALUE"""),"Gabriel Ettinger")</f>
        <v>Gabriel Ettinger</v>
      </c>
      <c r="B7068" s="1" t="str">
        <f>IFERROR(__xludf.DUMMYFUNCTION("""COMPUTED_VALUE"""),"L2")</f>
        <v>L2</v>
      </c>
    </row>
    <row r="7069" ht="15.75" customHeight="1">
      <c r="A7069" s="1" t="str">
        <f>IFERROR(__xludf.DUMMYFUNCTION("""COMPUTED_VALUE"""),"Dylan Mikhov")</f>
        <v>Dylan Mikhov</v>
      </c>
      <c r="B7069" s="1" t="str">
        <f>IFERROR(__xludf.DUMMYFUNCTION("""COMPUTED_VALUE"""),"L1")</f>
        <v>L1</v>
      </c>
    </row>
    <row r="7070" ht="15.75" customHeight="1">
      <c r="A7070" s="1" t="str">
        <f>IFERROR(__xludf.DUMMYFUNCTION("""COMPUTED_VALUE"""),"Test 3 _test_")</f>
        <v>Test 3 _test_</v>
      </c>
      <c r="B7070" s="1" t="str">
        <f>IFERROR(__xludf.DUMMYFUNCTION("""COMPUTED_VALUE"""),"L1")</f>
        <v>L1</v>
      </c>
    </row>
    <row r="7071" ht="15.75" customHeight="1">
      <c r="A7071" s="1" t="str">
        <f>IFERROR(__xludf.DUMMYFUNCTION("""COMPUTED_VALUE"""),"Ryder Davis")</f>
        <v>Ryder Davis</v>
      </c>
      <c r="B7071" s="1" t="str">
        <f>IFERROR(__xludf.DUMMYFUNCTION("""COMPUTED_VALUE"""),"MS")</f>
        <v>MS</v>
      </c>
    </row>
    <row r="7072" ht="15.75" customHeight="1">
      <c r="A7072" s="1" t="str">
        <f>IFERROR(__xludf.DUMMYFUNCTION("""COMPUTED_VALUE"""),"Alejandra Grace Kao Quema")</f>
        <v>Alejandra Grace Kao Quema</v>
      </c>
      <c r="B7072" s="1" t="str">
        <f>IFERROR(__xludf.DUMMYFUNCTION("""COMPUTED_VALUE"""),"WL")</f>
        <v>WL</v>
      </c>
    </row>
    <row r="7073" ht="15.75" customHeight="1">
      <c r="A7073" s="1" t="str">
        <f>IFERROR(__xludf.DUMMYFUNCTION("""COMPUTED_VALUE"""),"Alistair Flanders")</f>
        <v>Alistair Flanders</v>
      </c>
      <c r="B7073" s="1" t="str">
        <f>IFERROR(__xludf.DUMMYFUNCTION("""COMPUTED_VALUE"""),"WL")</f>
        <v>WL</v>
      </c>
    </row>
    <row r="7074" ht="15.75" customHeight="1">
      <c r="A7074" s="1" t="str">
        <f>IFERROR(__xludf.DUMMYFUNCTION("""COMPUTED_VALUE"""),"Ethan Weibel")</f>
        <v>Ethan Weibel</v>
      </c>
      <c r="B7074" s="1" t="str">
        <f>IFERROR(__xludf.DUMMYFUNCTION("""COMPUTED_VALUE"""),"WL")</f>
        <v>WL</v>
      </c>
    </row>
    <row r="7075" ht="15.75" customHeight="1">
      <c r="A7075" s="1" t="str">
        <f>IFERROR(__xludf.DUMMYFUNCTION("""COMPUTED_VALUE"""),"Harlow Gordon")</f>
        <v>Harlow Gordon</v>
      </c>
      <c r="B7075" s="1" t="str">
        <f>IFERROR(__xludf.DUMMYFUNCTION("""COMPUTED_VALUE"""),"WL")</f>
        <v>WL</v>
      </c>
    </row>
    <row r="7076" ht="15.75" customHeight="1">
      <c r="A7076" s="1" t="str">
        <f>IFERROR(__xludf.DUMMYFUNCTION("""COMPUTED_VALUE"""),"Lorenzo VanNewkirk")</f>
        <v>Lorenzo VanNewkirk</v>
      </c>
      <c r="B7076" s="1" t="str">
        <f>IFERROR(__xludf.DUMMYFUNCTION("""COMPUTED_VALUE"""),"WL")</f>
        <v>WL</v>
      </c>
    </row>
    <row r="7077" ht="15.75" customHeight="1">
      <c r="A7077" s="1" t="str">
        <f>IFERROR(__xludf.DUMMYFUNCTION("""COMPUTED_VALUE"""),"William Alexander")</f>
        <v>William Alexander</v>
      </c>
      <c r="B7077" s="1" t="str">
        <f>IFERROR(__xludf.DUMMYFUNCTION("""COMPUTED_VALUE"""),"LL")</f>
        <v>LL</v>
      </c>
    </row>
    <row r="7078" ht="15.75" customHeight="1">
      <c r="A7078" s="1" t="str">
        <f>IFERROR(__xludf.DUMMYFUNCTION("""COMPUTED_VALUE"""),"Callan Schoenfeld")</f>
        <v>Callan Schoenfeld</v>
      </c>
      <c r="B7078" s="1" t="str">
        <f>IFERROR(__xludf.DUMMYFUNCTION("""COMPUTED_VALUE"""),"LL")</f>
        <v>LL</v>
      </c>
    </row>
    <row r="7079" ht="15.75" customHeight="1">
      <c r="A7079" s="1" t="str">
        <f>IFERROR(__xludf.DUMMYFUNCTION("""COMPUTED_VALUE"""),"Catherine Grover")</f>
        <v>Catherine Grover</v>
      </c>
      <c r="B7079" s="1" t="str">
        <f>IFERROR(__xludf.DUMMYFUNCTION("""COMPUTED_VALUE"""),"LL")</f>
        <v>LL</v>
      </c>
    </row>
    <row r="7080" ht="15.75" customHeight="1">
      <c r="A7080" s="1" t="str">
        <f>IFERROR(__xludf.DUMMYFUNCTION("""COMPUTED_VALUE"""),"James Flanders")</f>
        <v>James Flanders</v>
      </c>
      <c r="B7080" s="1" t="str">
        <f>IFERROR(__xludf.DUMMYFUNCTION("""COMPUTED_VALUE"""),"L1")</f>
        <v>L1</v>
      </c>
    </row>
    <row r="7081" ht="15.75" customHeight="1">
      <c r="A7081" s="1" t="str">
        <f>IFERROR(__xludf.DUMMYFUNCTION("""COMPUTED_VALUE"""),"Penelope Flanders")</f>
        <v>Penelope Flanders</v>
      </c>
      <c r="B7081" s="1" t="str">
        <f>IFERROR(__xludf.DUMMYFUNCTION("""COMPUTED_VALUE"""),"LL")</f>
        <v>LL</v>
      </c>
    </row>
    <row r="7082" ht="15.75" customHeight="1">
      <c r="A7082" s="1" t="str">
        <f>IFERROR(__xludf.DUMMYFUNCTION("""COMPUTED_VALUE"""),"Ryka Afshar")</f>
        <v>Ryka Afshar</v>
      </c>
      <c r="B7082" s="1" t="str">
        <f>IFERROR(__xludf.DUMMYFUNCTION("""COMPUTED_VALUE"""),"L2")</f>
        <v>L2</v>
      </c>
    </row>
    <row r="7083" ht="15.75" customHeight="1">
      <c r="A7083" s="1" t="str">
        <f>IFERROR(__xludf.DUMMYFUNCTION("""COMPUTED_VALUE"""),"Fila Afshar")</f>
        <v>Fila Afshar</v>
      </c>
      <c r="B7083" s="1" t="str">
        <f>IFERROR(__xludf.DUMMYFUNCTION("""COMPUTED_VALUE"""),"L1")</f>
        <v>L1</v>
      </c>
    </row>
    <row r="7084" ht="15.75" customHeight="1">
      <c r="A7084" s="1" t="str">
        <f>IFERROR(__xludf.DUMMYFUNCTION("""COMPUTED_VALUE"""),"Rem Janmaat")</f>
        <v>Rem Janmaat</v>
      </c>
      <c r="B7084" s="1" t="str">
        <f>IFERROR(__xludf.DUMMYFUNCTION("""COMPUTED_VALUE"""),"LL")</f>
        <v>LL</v>
      </c>
    </row>
    <row r="7085" ht="15.75" customHeight="1">
      <c r="A7085" s="1" t="str">
        <f>IFERROR(__xludf.DUMMYFUNCTION("""COMPUTED_VALUE"""),"Logan Alexander")</f>
        <v>Logan Alexander</v>
      </c>
      <c r="B7085" s="1" t="str">
        <f>IFERROR(__xludf.DUMMYFUNCTION("""COMPUTED_VALUE"""),"MS")</f>
        <v>MS</v>
      </c>
    </row>
    <row r="7086" ht="15.75" customHeight="1">
      <c r="A7086" s="1" t="str">
        <f>IFERROR(__xludf.DUMMYFUNCTION("""COMPUTED_VALUE"""),"Rokoko Slazas")</f>
        <v>Rokoko Slazas</v>
      </c>
      <c r="B7086" s="1" t="str">
        <f>IFERROR(__xludf.DUMMYFUNCTION("""COMPUTED_VALUE"""),"LL")</f>
        <v>LL</v>
      </c>
    </row>
    <row r="7087" ht="15.75" customHeight="1">
      <c r="A7087" s="1" t="str">
        <f>IFERROR(__xludf.DUMMYFUNCTION("""COMPUTED_VALUE"""),"Sophia Elisa Schoonover")</f>
        <v>Sophia Elisa Schoonover</v>
      </c>
      <c r="B7087" s="1" t="str">
        <f>IFERROR(__xludf.DUMMYFUNCTION("""COMPUTED_VALUE"""),"L1")</f>
        <v>L1</v>
      </c>
    </row>
    <row r="7088" ht="15.75" customHeight="1">
      <c r="A7088" s="1" t="str">
        <f>IFERROR(__xludf.DUMMYFUNCTION("""COMPUTED_VALUE"""),"Isabella Schoonover")</f>
        <v>Isabella Schoonover</v>
      </c>
      <c r="B7088" s="1" t="str">
        <f>IFERROR(__xludf.DUMMYFUNCTION("""COMPUTED_VALUE"""),"LL")</f>
        <v>LL</v>
      </c>
    </row>
    <row r="7089" ht="15.75" customHeight="1">
      <c r="A7089" s="1" t="str">
        <f>IFERROR(__xludf.DUMMYFUNCTION("""COMPUTED_VALUE"""),"Harlyn Hendershott")</f>
        <v>Harlyn Hendershott</v>
      </c>
      <c r="B7089" s="1" t="str">
        <f>IFERROR(__xludf.DUMMYFUNCTION("""COMPUTED_VALUE"""),"L2")</f>
        <v>L2</v>
      </c>
    </row>
    <row r="7090" ht="15.75" customHeight="1">
      <c r="A7090" s="1" t="str">
        <f>IFERROR(__xludf.DUMMYFUNCTION("""COMPUTED_VALUE"""),"Mario Samsa Ramos")</f>
        <v>Mario Samsa Ramos</v>
      </c>
      <c r="B7090" s="1" t="str">
        <f>IFERROR(__xludf.DUMMYFUNCTION("""COMPUTED_VALUE"""),"LL")</f>
        <v>LL</v>
      </c>
    </row>
    <row r="7091" ht="15.75" customHeight="1">
      <c r="A7091" s="1" t="str">
        <f>IFERROR(__xludf.DUMMYFUNCTION("""COMPUTED_VALUE"""),"Vienna Weaver")</f>
        <v>Vienna Weaver</v>
      </c>
      <c r="B7091" s="1" t="str">
        <f>IFERROR(__xludf.DUMMYFUNCTION("""COMPUTED_VALUE"""),"L2")</f>
        <v>L2</v>
      </c>
    </row>
    <row r="7092" ht="15.75" customHeight="1">
      <c r="A7092" s="1" t="str">
        <f>IFERROR(__xludf.DUMMYFUNCTION("""COMPUTED_VALUE"""),"Vera Weaver")</f>
        <v>Vera Weaver</v>
      </c>
      <c r="B7092" s="1" t="str">
        <f>IFERROR(__xludf.DUMMYFUNCTION("""COMPUTED_VALUE"""),"L1")</f>
        <v>L1</v>
      </c>
    </row>
    <row r="7093" ht="15.75" customHeight="1">
      <c r="A7093" s="1" t="str">
        <f>IFERROR(__xludf.DUMMYFUNCTION("""COMPUTED_VALUE"""),"Reba Mehta")</f>
        <v>Reba Mehta</v>
      </c>
      <c r="B7093" s="1" t="str">
        <f>IFERROR(__xludf.DUMMYFUNCTION("""COMPUTED_VALUE"""),"L2")</f>
        <v>L2</v>
      </c>
    </row>
    <row r="7094" ht="15.75" customHeight="1">
      <c r="A7094" s="1" t="str">
        <f>IFERROR(__xludf.DUMMYFUNCTION("""COMPUTED_VALUE"""),"MOX Carter")</f>
        <v>MOX Carter</v>
      </c>
      <c r="B7094" s="1" t="str">
        <f>IFERROR(__xludf.DUMMYFUNCTION("""COMPUTED_VALUE"""),"LL")</f>
        <v>LL</v>
      </c>
    </row>
    <row r="7095" ht="15.75" customHeight="1">
      <c r="A7095" s="1" t="str">
        <f>IFERROR(__xludf.DUMMYFUNCTION("""COMPUTED_VALUE"""),"Sage Jensen")</f>
        <v>Sage Jensen</v>
      </c>
      <c r="B7095" s="1" t="str">
        <f>IFERROR(__xludf.DUMMYFUNCTION("""COMPUTED_VALUE"""),"L2")</f>
        <v>L2</v>
      </c>
    </row>
    <row r="7096" ht="15.75" customHeight="1">
      <c r="A7096" s="1" t="str">
        <f>IFERROR(__xludf.DUMMYFUNCTION("""COMPUTED_VALUE"""),"Roman Swanson")</f>
        <v>Roman Swanson</v>
      </c>
      <c r="B7096" s="1" t="str">
        <f>IFERROR(__xludf.DUMMYFUNCTION("""COMPUTED_VALUE"""),"LL")</f>
        <v>LL</v>
      </c>
    </row>
    <row r="7097" ht="15.75" customHeight="1">
      <c r="A7097" s="1" t="str">
        <f>IFERROR(__xludf.DUMMYFUNCTION("""COMPUTED_VALUE"""),"Krrish Agarwal")</f>
        <v>Krrish Agarwal</v>
      </c>
      <c r="B7097" s="1" t="str">
        <f>IFERROR(__xludf.DUMMYFUNCTION("""COMPUTED_VALUE"""),"MS")</f>
        <v>MS</v>
      </c>
    </row>
    <row r="7098" ht="15.75" customHeight="1">
      <c r="A7098" s="1" t="str">
        <f>IFERROR(__xludf.DUMMYFUNCTION("""COMPUTED_VALUE"""),"Amaya Higgs")</f>
        <v>Amaya Higgs</v>
      </c>
      <c r="B7098" s="1" t="str">
        <f>IFERROR(__xludf.DUMMYFUNCTION("""COMPUTED_VALUE"""),"L1")</f>
        <v>L1</v>
      </c>
    </row>
    <row r="7099" ht="15.75" customHeight="1">
      <c r="A7099" s="1" t="str">
        <f>IFERROR(__xludf.DUMMYFUNCTION("""COMPUTED_VALUE"""),"Brunel Grosz")</f>
        <v>Brunel Grosz</v>
      </c>
      <c r="B7099" s="1" t="str">
        <f>IFERROR(__xludf.DUMMYFUNCTION("""COMPUTED_VALUE"""),"WL")</f>
        <v>WL</v>
      </c>
    </row>
    <row r="7100" ht="15.75" customHeight="1">
      <c r="A7100" s="1" t="str">
        <f>IFERROR(__xludf.DUMMYFUNCTION("""COMPUTED_VALUE"""),"Mason Fuller")</f>
        <v>Mason Fuller</v>
      </c>
      <c r="B7100" s="1" t="str">
        <f>IFERROR(__xludf.DUMMYFUNCTION("""COMPUTED_VALUE"""),"L1")</f>
        <v>L1</v>
      </c>
    </row>
    <row r="7101" ht="15.75" customHeight="1">
      <c r="A7101" s="1" t="str">
        <f>IFERROR(__xludf.DUMMYFUNCTION("""COMPUTED_VALUE"""),"Maverick Patton")</f>
        <v>Maverick Patton</v>
      </c>
      <c r="B7101" s="1" t="str">
        <f>IFERROR(__xludf.DUMMYFUNCTION("""COMPUTED_VALUE"""),"L1")</f>
        <v>L1</v>
      </c>
    </row>
    <row r="7102" ht="15.75" customHeight="1">
      <c r="A7102" s="1" t="str">
        <f>IFERROR(__xludf.DUMMYFUNCTION("""COMPUTED_VALUE"""),"Jack Scott")</f>
        <v>Jack Scott</v>
      </c>
      <c r="B7102" s="1" t="str">
        <f>IFERROR(__xludf.DUMMYFUNCTION("""COMPUTED_VALUE"""),"MS")</f>
        <v>MS</v>
      </c>
    </row>
    <row r="7103" ht="15.75" customHeight="1">
      <c r="A7103" s="1" t="str">
        <f>IFERROR(__xludf.DUMMYFUNCTION("""COMPUTED_VALUE"""),"Ella Scott")</f>
        <v>Ella Scott</v>
      </c>
      <c r="B7103" s="1" t="str">
        <f>IFERROR(__xludf.DUMMYFUNCTION("""COMPUTED_VALUE"""),"MS")</f>
        <v>MS</v>
      </c>
    </row>
    <row r="7104" ht="15.75" customHeight="1">
      <c r="A7104" s="1" t="str">
        <f>IFERROR(__xludf.DUMMYFUNCTION("""COMPUTED_VALUE"""),"Eli Rodeski")</f>
        <v>Eli Rodeski</v>
      </c>
      <c r="B7104" s="1" t="str">
        <f>IFERROR(__xludf.DUMMYFUNCTION("""COMPUTED_VALUE"""),"LL")</f>
        <v>LL</v>
      </c>
    </row>
    <row r="7105" ht="15.75" customHeight="1">
      <c r="A7105" s="1" t="str">
        <f>IFERROR(__xludf.DUMMYFUNCTION("""COMPUTED_VALUE"""),"Leonardo Ceneri")</f>
        <v>Leonardo Ceneri</v>
      </c>
      <c r="B7105" s="1" t="str">
        <f>IFERROR(__xludf.DUMMYFUNCTION("""COMPUTED_VALUE"""),"LL")</f>
        <v>LL</v>
      </c>
    </row>
    <row r="7106" ht="15.75" customHeight="1">
      <c r="A7106" s="1" t="str">
        <f>IFERROR(__xludf.DUMMYFUNCTION("""COMPUTED_VALUE"""),"Vivian Powel")</f>
        <v>Vivian Powel</v>
      </c>
      <c r="B7106" s="1" t="str">
        <f>IFERROR(__xludf.DUMMYFUNCTION("""COMPUTED_VALUE"""),"WL")</f>
        <v>WL</v>
      </c>
    </row>
    <row r="7107" ht="15.75" customHeight="1">
      <c r="A7107" s="1" t="str">
        <f>IFERROR(__xludf.DUMMYFUNCTION("""COMPUTED_VALUE"""),"Ellis Powel")</f>
        <v>Ellis Powel</v>
      </c>
      <c r="B7107" s="1" t="str">
        <f>IFERROR(__xludf.DUMMYFUNCTION("""COMPUTED_VALUE"""),"L1")</f>
        <v>L1</v>
      </c>
    </row>
    <row r="7108" ht="15.75" customHeight="1">
      <c r="A7108" s="1" t="str">
        <f>IFERROR(__xludf.DUMMYFUNCTION("""COMPUTED_VALUE"""),"Sage Jensen Tallon")</f>
        <v>Sage Jensen Tallon</v>
      </c>
      <c r="B7108" s="1" t="str">
        <f>IFERROR(__xludf.DUMMYFUNCTION("""COMPUTED_VALUE"""),"L2")</f>
        <v>L2</v>
      </c>
    </row>
    <row r="7109" ht="15.75" customHeight="1">
      <c r="A7109" s="1" t="str">
        <f>IFERROR(__xludf.DUMMYFUNCTION("""COMPUTED_VALUE"""),"Benjamin Grunberg")</f>
        <v>Benjamin Grunberg</v>
      </c>
      <c r="B7109" s="1" t="str">
        <f>IFERROR(__xludf.DUMMYFUNCTION("""COMPUTED_VALUE"""),"MS")</f>
        <v>MS</v>
      </c>
    </row>
    <row r="7110" ht="15.75" customHeight="1">
      <c r="A7110" s="1" t="str">
        <f>IFERROR(__xludf.DUMMYFUNCTION("""COMPUTED_VALUE"""),"Olivia Fiorelli")</f>
        <v>Olivia Fiorelli</v>
      </c>
      <c r="B7110" s="1" t="str">
        <f>IFERROR(__xludf.DUMMYFUNCTION("""COMPUTED_VALUE"""),"WL")</f>
        <v>WL</v>
      </c>
    </row>
    <row r="7111" ht="15.75" customHeight="1">
      <c r="A7111" s="1" t="str">
        <f>IFERROR(__xludf.DUMMYFUNCTION("""COMPUTED_VALUE"""),"Madison A. Mikhov")</f>
        <v>Madison A. Mikhov</v>
      </c>
      <c r="B7111" s="1" t="str">
        <f>IFERROR(__xludf.DUMMYFUNCTION("""COMPUTED_VALUE"""),"MS")</f>
        <v>MS</v>
      </c>
    </row>
    <row r="7112" ht="15.75" customHeight="1">
      <c r="A7112" s="1" t="str">
        <f>IFERROR(__xludf.DUMMYFUNCTION("""COMPUTED_VALUE"""),"Dylan H Mikhov")</f>
        <v>Dylan H Mikhov</v>
      </c>
      <c r="B7112" s="1" t="str">
        <f>IFERROR(__xludf.DUMMYFUNCTION("""COMPUTED_VALUE"""),"L1")</f>
        <v>L1</v>
      </c>
    </row>
    <row r="7113" ht="15.75" customHeight="1">
      <c r="A7113" s="1" t="str">
        <f>IFERROR(__xludf.DUMMYFUNCTION("""COMPUTED_VALUE"""),"Leo Tencer")</f>
        <v>Leo Tencer</v>
      </c>
      <c r="B7113" s="1" t="str">
        <f>IFERROR(__xludf.DUMMYFUNCTION("""COMPUTED_VALUE"""),"L2")</f>
        <v>L2</v>
      </c>
    </row>
    <row r="7114" ht="15.75" customHeight="1">
      <c r="A7114" s="1" t="str">
        <f>IFERROR(__xludf.DUMMYFUNCTION("""COMPUTED_VALUE"""),"Eiden Abidos")</f>
        <v>Eiden Abidos</v>
      </c>
      <c r="B7114" s="1" t="str">
        <f>IFERROR(__xludf.DUMMYFUNCTION("""COMPUTED_VALUE"""),"HS")</f>
        <v>HS</v>
      </c>
    </row>
    <row r="7115" ht="15.75" customHeight="1">
      <c r="A7115" s="1" t="str">
        <f>IFERROR(__xludf.DUMMYFUNCTION("""COMPUTED_VALUE"""),"Hoor Alkarain")</f>
        <v>Hoor Alkarain</v>
      </c>
      <c r="B7115" s="1" t="str">
        <f>IFERROR(__xludf.DUMMYFUNCTION("""COMPUTED_VALUE"""),"HS")</f>
        <v>HS</v>
      </c>
    </row>
    <row r="7116" ht="15.75" customHeight="1">
      <c r="A7116" s="1" t="str">
        <f>IFERROR(__xludf.DUMMYFUNCTION("""COMPUTED_VALUE"""),"Helena Alvarez de Arcaya Kikeeva")</f>
        <v>Helena Alvarez de Arcaya Kikeeva</v>
      </c>
      <c r="B7116" s="1" t="str">
        <f>IFERROR(__xludf.DUMMYFUNCTION("""COMPUTED_VALUE"""),"HS")</f>
        <v>HS</v>
      </c>
    </row>
    <row r="7117" ht="15.75" customHeight="1">
      <c r="A7117" s="1" t="str">
        <f>IFERROR(__xludf.DUMMYFUNCTION("""COMPUTED_VALUE"""),"Carlos Gabriel Franca Varejao De Angelo")</f>
        <v>Carlos Gabriel Franca Varejao De Angelo</v>
      </c>
      <c r="B7117" s="1" t="str">
        <f>IFERROR(__xludf.DUMMYFUNCTION("""COMPUTED_VALUE"""),"HS")</f>
        <v>HS</v>
      </c>
    </row>
    <row r="7118" ht="15.75" customHeight="1">
      <c r="A7118" s="1" t="str">
        <f>IFERROR(__xludf.DUMMYFUNCTION("""COMPUTED_VALUE"""),"Amirlangui Ariunsukh")</f>
        <v>Amirlangui Ariunsukh</v>
      </c>
      <c r="B7118" s="1" t="str">
        <f>IFERROR(__xludf.DUMMYFUNCTION("""COMPUTED_VALUE"""),"HS")</f>
        <v>HS</v>
      </c>
    </row>
    <row r="7119" ht="15.75" customHeight="1">
      <c r="A7119" s="1" t="str">
        <f>IFERROR(__xludf.DUMMYFUNCTION("""COMPUTED_VALUE"""),"Yalguun Ariunsukh")</f>
        <v>Yalguun Ariunsukh</v>
      </c>
      <c r="B7119" s="1" t="str">
        <f>IFERROR(__xludf.DUMMYFUNCTION("""COMPUTED_VALUE"""),"HS")</f>
        <v>HS</v>
      </c>
    </row>
    <row r="7120" ht="15.75" customHeight="1">
      <c r="A7120" s="1" t="str">
        <f>IFERROR(__xludf.DUMMYFUNCTION("""COMPUTED_VALUE"""),"Aitor Ausin Pascua")</f>
        <v>Aitor Ausin Pascua</v>
      </c>
      <c r="B7120" s="1" t="str">
        <f>IFERROR(__xludf.DUMMYFUNCTION("""COMPUTED_VALUE"""),"HS")</f>
        <v>HS</v>
      </c>
    </row>
    <row r="7121" ht="15.75" customHeight="1">
      <c r="A7121" s="1" t="str">
        <f>IFERROR(__xludf.DUMMYFUNCTION("""COMPUTED_VALUE"""),"Ana Lara Azevedo")</f>
        <v>Ana Lara Azevedo</v>
      </c>
      <c r="B7121" s="1" t="str">
        <f>IFERROR(__xludf.DUMMYFUNCTION("""COMPUTED_VALUE"""),"HS")</f>
        <v>HS</v>
      </c>
    </row>
    <row r="7122" ht="15.75" customHeight="1">
      <c r="A7122" s="1" t="str">
        <f>IFERROR(__xludf.DUMMYFUNCTION("""COMPUTED_VALUE"""),"Swan Bailly")</f>
        <v>Swan Bailly</v>
      </c>
      <c r="B7122" s="1" t="str">
        <f>IFERROR(__xludf.DUMMYFUNCTION("""COMPUTED_VALUE"""),"HS")</f>
        <v>HS</v>
      </c>
    </row>
    <row r="7123" ht="15.75" customHeight="1">
      <c r="A7123" s="1" t="str">
        <f>IFERROR(__xludf.DUMMYFUNCTION("""COMPUTED_VALUE"""),"Joe Baldwin")</f>
        <v>Joe Baldwin</v>
      </c>
      <c r="B7123" s="1" t="str">
        <f>IFERROR(__xludf.DUMMYFUNCTION("""COMPUTED_VALUE"""),"HS")</f>
        <v>HS</v>
      </c>
    </row>
    <row r="7124" ht="15.75" customHeight="1">
      <c r="A7124" s="1" t="str">
        <f>IFERROR(__xludf.DUMMYFUNCTION("""COMPUTED_VALUE"""),"Theo Bartels")</f>
        <v>Theo Bartels</v>
      </c>
      <c r="B7124" s="1" t="str">
        <f>IFERROR(__xludf.DUMMYFUNCTION("""COMPUTED_VALUE"""),"HS")</f>
        <v>HS</v>
      </c>
    </row>
    <row r="7125" ht="15.75" customHeight="1">
      <c r="A7125" s="1" t="str">
        <f>IFERROR(__xludf.DUMMYFUNCTION("""COMPUTED_VALUE"""),"Yeva Baygot")</f>
        <v>Yeva Baygot</v>
      </c>
      <c r="B7125" s="1" t="str">
        <f>IFERROR(__xludf.DUMMYFUNCTION("""COMPUTED_VALUE"""),"HS")</f>
        <v>HS</v>
      </c>
    </row>
    <row r="7126" ht="15.75" customHeight="1">
      <c r="A7126" s="1" t="str">
        <f>IFERROR(__xludf.DUMMYFUNCTION("""COMPUTED_VALUE"""),"Nathanael Beyene")</f>
        <v>Nathanael Beyene</v>
      </c>
      <c r="B7126" s="1" t="str">
        <f>IFERROR(__xludf.DUMMYFUNCTION("""COMPUTED_VALUE"""),"HS")</f>
        <v>HS</v>
      </c>
    </row>
    <row r="7127" ht="15.75" customHeight="1">
      <c r="A7127" s="1" t="str">
        <f>IFERROR(__xludf.DUMMYFUNCTION("""COMPUTED_VALUE"""),"Tarris Bouie")</f>
        <v>Tarris Bouie</v>
      </c>
      <c r="B7127" s="1" t="str">
        <f>IFERROR(__xludf.DUMMYFUNCTION("""COMPUTED_VALUE"""),"HS")</f>
        <v>HS</v>
      </c>
    </row>
    <row r="7128" ht="15.75" customHeight="1">
      <c r="A7128" s="1" t="str">
        <f>IFERROR(__xludf.DUMMYFUNCTION("""COMPUTED_VALUE"""),"Hunter Botting")</f>
        <v>Hunter Botting</v>
      </c>
      <c r="B7128" s="1" t="str">
        <f>IFERROR(__xludf.DUMMYFUNCTION("""COMPUTED_VALUE"""),"HS")</f>
        <v>HS</v>
      </c>
    </row>
    <row r="7129" ht="15.75" customHeight="1">
      <c r="A7129" s="1" t="str">
        <f>IFERROR(__xludf.DUMMYFUNCTION("""COMPUTED_VALUE"""),"Isabella Boyd")</f>
        <v>Isabella Boyd</v>
      </c>
      <c r="B7129" s="1" t="str">
        <f>IFERROR(__xludf.DUMMYFUNCTION("""COMPUTED_VALUE"""),"HS")</f>
        <v>HS</v>
      </c>
    </row>
    <row r="7130" ht="15.75" customHeight="1">
      <c r="A7130" s="1" t="str">
        <f>IFERROR(__xludf.DUMMYFUNCTION("""COMPUTED_VALUE"""),"Ella Brodrick")</f>
        <v>Ella Brodrick</v>
      </c>
      <c r="B7130" s="1" t="str">
        <f>IFERROR(__xludf.DUMMYFUNCTION("""COMPUTED_VALUE"""),"HS")</f>
        <v>HS</v>
      </c>
    </row>
    <row r="7131" ht="15.75" customHeight="1">
      <c r="A7131" s="1" t="str">
        <f>IFERROR(__xludf.DUMMYFUNCTION("""COMPUTED_VALUE"""),"Lucca Brito Signorini")</f>
        <v>Lucca Brito Signorini</v>
      </c>
      <c r="B7131" s="1" t="str">
        <f>IFERROR(__xludf.DUMMYFUNCTION("""COMPUTED_VALUE"""),"HS")</f>
        <v>HS</v>
      </c>
    </row>
    <row r="7132" ht="15.75" customHeight="1">
      <c r="A7132" s="1" t="str">
        <f>IFERROR(__xludf.DUMMYFUNCTION("""COMPUTED_VALUE"""),"Zachery Brown")</f>
        <v>Zachery Brown</v>
      </c>
      <c r="B7132" s="1" t="str">
        <f>IFERROR(__xludf.DUMMYFUNCTION("""COMPUTED_VALUE"""),"HS")</f>
        <v>HS</v>
      </c>
    </row>
    <row r="7133" ht="15.75" customHeight="1">
      <c r="A7133" s="1" t="str">
        <f>IFERROR(__xludf.DUMMYFUNCTION("""COMPUTED_VALUE"""),"Enguun Buren")</f>
        <v>Enguun Buren</v>
      </c>
      <c r="B7133" s="1" t="str">
        <f>IFERROR(__xludf.DUMMYFUNCTION("""COMPUTED_VALUE"""),"HS")</f>
        <v>HS</v>
      </c>
    </row>
    <row r="7134" ht="15.75" customHeight="1">
      <c r="A7134" s="1" t="str">
        <f>IFERROR(__xludf.DUMMYFUNCTION("""COMPUTED_VALUE"""),"Abigail Buzza")</f>
        <v>Abigail Buzza</v>
      </c>
      <c r="B7134" s="1" t="str">
        <f>IFERROR(__xludf.DUMMYFUNCTION("""COMPUTED_VALUE"""),"HS")</f>
        <v>HS</v>
      </c>
    </row>
    <row r="7135" ht="15.75" customHeight="1">
      <c r="A7135" s="1" t="str">
        <f>IFERROR(__xludf.DUMMYFUNCTION("""COMPUTED_VALUE"""),"Elizabeth Campbell")</f>
        <v>Elizabeth Campbell</v>
      </c>
      <c r="B7135" s="1" t="str">
        <f>IFERROR(__xludf.DUMMYFUNCTION("""COMPUTED_VALUE"""),"HS")</f>
        <v>HS</v>
      </c>
    </row>
    <row r="7136" ht="15.75" customHeight="1">
      <c r="A7136" s="1" t="str">
        <f>IFERROR(__xludf.DUMMYFUNCTION("""COMPUTED_VALUE"""),"Kyhanna Campbell")</f>
        <v>Kyhanna Campbell</v>
      </c>
      <c r="B7136" s="1" t="str">
        <f>IFERROR(__xludf.DUMMYFUNCTION("""COMPUTED_VALUE"""),"HS")</f>
        <v>HS</v>
      </c>
    </row>
    <row r="7137" ht="15.75" customHeight="1">
      <c r="A7137" s="1" t="str">
        <f>IFERROR(__xludf.DUMMYFUNCTION("""COMPUTED_VALUE"""),"Colton Carrick")</f>
        <v>Colton Carrick</v>
      </c>
      <c r="B7137" s="1" t="str">
        <f>IFERROR(__xludf.DUMMYFUNCTION("""COMPUTED_VALUE"""),"HS")</f>
        <v>HS</v>
      </c>
    </row>
    <row r="7138" ht="15.75" customHeight="1">
      <c r="A7138" s="1" t="str">
        <f>IFERROR(__xludf.DUMMYFUNCTION("""COMPUTED_VALUE"""),"Sofia Casares Herrasti")</f>
        <v>Sofia Casares Herrasti</v>
      </c>
      <c r="B7138" s="1" t="str">
        <f>IFERROR(__xludf.DUMMYFUNCTION("""COMPUTED_VALUE"""),"HS")</f>
        <v>HS</v>
      </c>
    </row>
    <row r="7139" ht="15.75" customHeight="1">
      <c r="A7139" s="1" t="str">
        <f>IFERROR(__xludf.DUMMYFUNCTION("""COMPUTED_VALUE"""),"Vivianna Cellini")</f>
        <v>Vivianna Cellini</v>
      </c>
      <c r="B7139" s="1" t="str">
        <f>IFERROR(__xludf.DUMMYFUNCTION("""COMPUTED_VALUE"""),"HS")</f>
        <v>HS</v>
      </c>
    </row>
    <row r="7140" ht="15.75" customHeight="1">
      <c r="A7140" s="1" t="str">
        <f>IFERROR(__xludf.DUMMYFUNCTION("""COMPUTED_VALUE"""),"Akarshit Chawla")</f>
        <v>Akarshit Chawla</v>
      </c>
      <c r="B7140" s="1" t="str">
        <f>IFERROR(__xludf.DUMMYFUNCTION("""COMPUTED_VALUE"""),"HS")</f>
        <v>HS</v>
      </c>
    </row>
    <row r="7141" ht="15.75" customHeight="1">
      <c r="A7141" s="1" t="str">
        <f>IFERROR(__xludf.DUMMYFUNCTION("""COMPUTED_VALUE"""),"Hailey Chiddle")</f>
        <v>Hailey Chiddle</v>
      </c>
      <c r="B7141" s="1" t="str">
        <f>IFERROR(__xludf.DUMMYFUNCTION("""COMPUTED_VALUE"""),"HS")</f>
        <v>HS</v>
      </c>
    </row>
    <row r="7142" ht="15.75" customHeight="1">
      <c r="A7142" s="1" t="str">
        <f>IFERROR(__xludf.DUMMYFUNCTION("""COMPUTED_VALUE"""),"Charles Chienggan Pur")</f>
        <v>Charles Chienggan Pur</v>
      </c>
      <c r="B7142" s="1" t="str">
        <f>IFERROR(__xludf.DUMMYFUNCTION("""COMPUTED_VALUE"""),"HS")</f>
        <v>HS</v>
      </c>
    </row>
    <row r="7143" ht="15.75" customHeight="1">
      <c r="A7143" s="1" t="str">
        <f>IFERROR(__xludf.DUMMYFUNCTION("""COMPUTED_VALUE"""),"Pimnard Chuleekorn")</f>
        <v>Pimnard Chuleekorn</v>
      </c>
      <c r="B7143" s="1" t="str">
        <f>IFERROR(__xludf.DUMMYFUNCTION("""COMPUTED_VALUE"""),"HS")</f>
        <v>HS</v>
      </c>
    </row>
    <row r="7144" ht="15.75" customHeight="1">
      <c r="A7144" s="1" t="str">
        <f>IFERROR(__xludf.DUMMYFUNCTION("""COMPUTED_VALUE"""),"Ulises Cordoba")</f>
        <v>Ulises Cordoba</v>
      </c>
      <c r="B7144" s="1" t="str">
        <f>IFERROR(__xludf.DUMMYFUNCTION("""COMPUTED_VALUE"""),"HS")</f>
        <v>HS</v>
      </c>
    </row>
    <row r="7145" ht="15.75" customHeight="1">
      <c r="A7145" s="1" t="str">
        <f>IFERROR(__xludf.DUMMYFUNCTION("""COMPUTED_VALUE"""),"Luca Contadini")</f>
        <v>Luca Contadini</v>
      </c>
      <c r="B7145" s="1" t="str">
        <f>IFERROR(__xludf.DUMMYFUNCTION("""COMPUTED_VALUE"""),"HS")</f>
        <v>HS</v>
      </c>
    </row>
    <row r="7146" ht="15.75" customHeight="1">
      <c r="A7146" s="1" t="str">
        <f>IFERROR(__xludf.DUMMYFUNCTION("""COMPUTED_VALUE"""),"Ariyana Cradle")</f>
        <v>Ariyana Cradle</v>
      </c>
      <c r="B7146" s="1" t="str">
        <f>IFERROR(__xludf.DUMMYFUNCTION("""COMPUTED_VALUE"""),"HS")</f>
        <v>HS</v>
      </c>
    </row>
    <row r="7147" ht="15.75" customHeight="1">
      <c r="A7147" s="1" t="str">
        <f>IFERROR(__xludf.DUMMYFUNCTION("""COMPUTED_VALUE"""),"Darrell Davis")</f>
        <v>Darrell Davis</v>
      </c>
      <c r="B7147" s="1" t="str">
        <f>IFERROR(__xludf.DUMMYFUNCTION("""COMPUTED_VALUE"""),"HS")</f>
        <v>HS</v>
      </c>
    </row>
    <row r="7148" ht="15.75" customHeight="1">
      <c r="A7148" s="1" t="str">
        <f>IFERROR(__xludf.DUMMYFUNCTION("""COMPUTED_VALUE"""),"George Dayco Green")</f>
        <v>George Dayco Green</v>
      </c>
      <c r="B7148" s="1" t="str">
        <f>IFERROR(__xludf.DUMMYFUNCTION("""COMPUTED_VALUE"""),"HS")</f>
        <v>HS</v>
      </c>
    </row>
    <row r="7149" ht="15.75" customHeight="1">
      <c r="A7149" s="1" t="str">
        <f>IFERROR(__xludf.DUMMYFUNCTION("""COMPUTED_VALUE"""),"Giovanna De Grazia")</f>
        <v>Giovanna De Grazia</v>
      </c>
      <c r="B7149" s="1" t="str">
        <f>IFERROR(__xludf.DUMMYFUNCTION("""COMPUTED_VALUE"""),"HS")</f>
        <v>HS</v>
      </c>
    </row>
    <row r="7150" ht="15.75" customHeight="1">
      <c r="A7150" s="1" t="str">
        <f>IFERROR(__xludf.DUMMYFUNCTION("""COMPUTED_VALUE"""),"Sofia De Grazia")</f>
        <v>Sofia De Grazia</v>
      </c>
      <c r="B7150" s="1" t="str">
        <f>IFERROR(__xludf.DUMMYFUNCTION("""COMPUTED_VALUE"""),"HS")</f>
        <v>HS</v>
      </c>
    </row>
    <row r="7151" ht="15.75" customHeight="1">
      <c r="A7151" s="1" t="str">
        <f>IFERROR(__xludf.DUMMYFUNCTION("""COMPUTED_VALUE"""),"Daniel De la Fuente")</f>
        <v>Daniel De la Fuente</v>
      </c>
      <c r="B7151" s="1" t="str">
        <f>IFERROR(__xludf.DUMMYFUNCTION("""COMPUTED_VALUE"""),"HS")</f>
        <v>HS</v>
      </c>
    </row>
    <row r="7152" ht="15.75" customHeight="1">
      <c r="A7152" s="1" t="str">
        <f>IFERROR(__xludf.DUMMYFUNCTION("""COMPUTED_VALUE"""),"Jimena De Lucas Gomez")</f>
        <v>Jimena De Lucas Gomez</v>
      </c>
      <c r="B7152" s="1" t="str">
        <f>IFERROR(__xludf.DUMMYFUNCTION("""COMPUTED_VALUE"""),"HS")</f>
        <v>HS</v>
      </c>
    </row>
    <row r="7153" ht="15.75" customHeight="1">
      <c r="A7153" s="1" t="str">
        <f>IFERROR(__xludf.DUMMYFUNCTION("""COMPUTED_VALUE"""),"Joseph DeLaGarza")</f>
        <v>Joseph DeLaGarza</v>
      </c>
      <c r="B7153" s="1" t="str">
        <f>IFERROR(__xludf.DUMMYFUNCTION("""COMPUTED_VALUE"""),"HS")</f>
        <v>HS</v>
      </c>
    </row>
    <row r="7154" ht="15.75" customHeight="1">
      <c r="A7154" s="1" t="str">
        <f>IFERROR(__xludf.DUMMYFUNCTION("""COMPUTED_VALUE"""),"John Denton")</f>
        <v>John Denton</v>
      </c>
      <c r="B7154" s="1" t="str">
        <f>IFERROR(__xludf.DUMMYFUNCTION("""COMPUTED_VALUE"""),"HS")</f>
        <v>HS</v>
      </c>
    </row>
    <row r="7155" ht="15.75" customHeight="1">
      <c r="A7155" s="1" t="str">
        <f>IFERROR(__xludf.DUMMYFUNCTION("""COMPUTED_VALUE"""),"Diego Diaz Franco")</f>
        <v>Diego Diaz Franco</v>
      </c>
      <c r="B7155" s="1" t="str">
        <f>IFERROR(__xludf.DUMMYFUNCTION("""COMPUTED_VALUE"""),"HS")</f>
        <v>HS</v>
      </c>
    </row>
    <row r="7156" ht="15.75" customHeight="1">
      <c r="A7156" s="1" t="str">
        <f>IFERROR(__xludf.DUMMYFUNCTION("""COMPUTED_VALUE"""),"Jason Dube")</f>
        <v>Jason Dube</v>
      </c>
      <c r="B7156" s="1" t="str">
        <f>IFERROR(__xludf.DUMMYFUNCTION("""COMPUTED_VALUE"""),"HS")</f>
        <v>HS</v>
      </c>
    </row>
    <row r="7157" ht="15.75" customHeight="1">
      <c r="A7157" s="1" t="str">
        <f>IFERROR(__xludf.DUMMYFUNCTION("""COMPUTED_VALUE"""),"Robert Dunne")</f>
        <v>Robert Dunne</v>
      </c>
      <c r="B7157" s="1" t="str">
        <f>IFERROR(__xludf.DUMMYFUNCTION("""COMPUTED_VALUE"""),"HS")</f>
        <v>HS</v>
      </c>
    </row>
    <row r="7158" ht="15.75" customHeight="1">
      <c r="A7158" s="1" t="str">
        <f>IFERROR(__xludf.DUMMYFUNCTION("""COMPUTED_VALUE"""),"Tobechi Ejezie")</f>
        <v>Tobechi Ejezie</v>
      </c>
      <c r="B7158" s="1" t="str">
        <f>IFERROR(__xludf.DUMMYFUNCTION("""COMPUTED_VALUE"""),"HS")</f>
        <v>HS</v>
      </c>
    </row>
    <row r="7159" ht="15.75" customHeight="1">
      <c r="A7159" s="1" t="str">
        <f>IFERROR(__xludf.DUMMYFUNCTION("""COMPUTED_VALUE"""),"Sophie Erbsloh")</f>
        <v>Sophie Erbsloh</v>
      </c>
      <c r="B7159" s="1" t="str">
        <f>IFERROR(__xludf.DUMMYFUNCTION("""COMPUTED_VALUE"""),"HS")</f>
        <v>HS</v>
      </c>
    </row>
    <row r="7160" ht="15.75" customHeight="1">
      <c r="A7160" s="1" t="str">
        <f>IFERROR(__xludf.DUMMYFUNCTION("""COMPUTED_VALUE"""),"Itgel Erkhembayar")</f>
        <v>Itgel Erkhembayar</v>
      </c>
      <c r="B7160" s="1" t="str">
        <f>IFERROR(__xludf.DUMMYFUNCTION("""COMPUTED_VALUE"""),"HS")</f>
        <v>HS</v>
      </c>
    </row>
    <row r="7161" ht="15.75" customHeight="1">
      <c r="A7161" s="1" t="str">
        <f>IFERROR(__xludf.DUMMYFUNCTION("""COMPUTED_VALUE"""),"Ximena Escutia Juarez")</f>
        <v>Ximena Escutia Juarez</v>
      </c>
      <c r="B7161" s="1" t="str">
        <f>IFERROR(__xludf.DUMMYFUNCTION("""COMPUTED_VALUE"""),"HS")</f>
        <v>HS</v>
      </c>
    </row>
    <row r="7162" ht="15.75" customHeight="1">
      <c r="A7162" s="1" t="str">
        <f>IFERROR(__xludf.DUMMYFUNCTION("""COMPUTED_VALUE"""),"Jillian Evans")</f>
        <v>Jillian Evans</v>
      </c>
      <c r="B7162" s="1" t="str">
        <f>IFERROR(__xludf.DUMMYFUNCTION("""COMPUTED_VALUE"""),"HS")</f>
        <v>HS</v>
      </c>
    </row>
    <row r="7163" ht="15.75" customHeight="1">
      <c r="A7163" s="1" t="str">
        <f>IFERROR(__xludf.DUMMYFUNCTION("""COMPUTED_VALUE"""),"Charles Felde")</f>
        <v>Charles Felde</v>
      </c>
      <c r="B7163" s="1" t="str">
        <f>IFERROR(__xludf.DUMMYFUNCTION("""COMPUTED_VALUE"""),"HS")</f>
        <v>HS</v>
      </c>
    </row>
    <row r="7164" ht="15.75" customHeight="1">
      <c r="A7164" s="1" t="str">
        <f>IFERROR(__xludf.DUMMYFUNCTION("""COMPUTED_VALUE"""),"Adalaina Fender")</f>
        <v>Adalaina Fender</v>
      </c>
      <c r="B7164" s="1" t="str">
        <f>IFERROR(__xludf.DUMMYFUNCTION("""COMPUTED_VALUE"""),"HS")</f>
        <v>HS</v>
      </c>
    </row>
    <row r="7165" ht="15.75" customHeight="1">
      <c r="A7165" s="1" t="str">
        <f>IFERROR(__xludf.DUMMYFUNCTION("""COMPUTED_VALUE"""),"Rebecca Flores")</f>
        <v>Rebecca Flores</v>
      </c>
      <c r="B7165" s="1" t="str">
        <f>IFERROR(__xludf.DUMMYFUNCTION("""COMPUTED_VALUE"""),"HS")</f>
        <v>HS</v>
      </c>
    </row>
    <row r="7166" ht="15.75" customHeight="1">
      <c r="A7166" s="1" t="str">
        <f>IFERROR(__xludf.DUMMYFUNCTION("""COMPUTED_VALUE"""),"Liam Ford Ramoon")</f>
        <v>Liam Ford Ramoon</v>
      </c>
      <c r="B7166" s="1" t="str">
        <f>IFERROR(__xludf.DUMMYFUNCTION("""COMPUTED_VALUE"""),"HS")</f>
        <v>HS</v>
      </c>
    </row>
    <row r="7167" ht="15.75" customHeight="1">
      <c r="A7167" s="1" t="str">
        <f>IFERROR(__xludf.DUMMYFUNCTION("""COMPUTED_VALUE"""),"Phillip Ford")</f>
        <v>Phillip Ford</v>
      </c>
      <c r="B7167" s="1" t="str">
        <f>IFERROR(__xludf.DUMMYFUNCTION("""COMPUTED_VALUE"""),"HS")</f>
        <v>HS</v>
      </c>
    </row>
    <row r="7168" ht="15.75" customHeight="1">
      <c r="A7168" s="1" t="str">
        <f>IFERROR(__xludf.DUMMYFUNCTION("""COMPUTED_VALUE"""),"Murilo Franco")</f>
        <v>Murilo Franco</v>
      </c>
      <c r="B7168" s="1" t="str">
        <f>IFERROR(__xludf.DUMMYFUNCTION("""COMPUTED_VALUE"""),"HS")</f>
        <v>HS</v>
      </c>
    </row>
    <row r="7169" ht="15.75" customHeight="1">
      <c r="A7169" s="1" t="str">
        <f>IFERROR(__xludf.DUMMYFUNCTION("""COMPUTED_VALUE"""),"Ezekiel Fue")</f>
        <v>Ezekiel Fue</v>
      </c>
      <c r="B7169" s="1" t="str">
        <f>IFERROR(__xludf.DUMMYFUNCTION("""COMPUTED_VALUE"""),"HS")</f>
        <v>HS</v>
      </c>
    </row>
    <row r="7170" ht="15.75" customHeight="1">
      <c r="A7170" s="1" t="str">
        <f>IFERROR(__xludf.DUMMYFUNCTION("""COMPUTED_VALUE"""),"John Fue")</f>
        <v>John Fue</v>
      </c>
      <c r="B7170" s="1" t="str">
        <f>IFERROR(__xludf.DUMMYFUNCTION("""COMPUTED_VALUE"""),"HS")</f>
        <v>HS</v>
      </c>
    </row>
    <row r="7171" ht="15.75" customHeight="1">
      <c r="A7171" s="1" t="str">
        <f>IFERROR(__xludf.DUMMYFUNCTION("""COMPUTED_VALUE"""),"Ethan Gaynor")</f>
        <v>Ethan Gaynor</v>
      </c>
      <c r="B7171" s="1" t="str">
        <f>IFERROR(__xludf.DUMMYFUNCTION("""COMPUTED_VALUE"""),"HS")</f>
        <v>HS</v>
      </c>
    </row>
    <row r="7172" ht="15.75" customHeight="1">
      <c r="A7172" s="1" t="str">
        <f>IFERROR(__xludf.DUMMYFUNCTION("""COMPUTED_VALUE"""),"King Gibson")</f>
        <v>King Gibson</v>
      </c>
      <c r="B7172" s="1" t="str">
        <f>IFERROR(__xludf.DUMMYFUNCTION("""COMPUTED_VALUE"""),"HS")</f>
        <v>HS</v>
      </c>
    </row>
    <row r="7173" ht="15.75" customHeight="1">
      <c r="A7173" s="1" t="str">
        <f>IFERROR(__xludf.DUMMYFUNCTION("""COMPUTED_VALUE"""),"Aryan Gomes")</f>
        <v>Aryan Gomes</v>
      </c>
      <c r="B7173" s="1" t="str">
        <f>IFERROR(__xludf.DUMMYFUNCTION("""COMPUTED_VALUE"""),"HS")</f>
        <v>HS</v>
      </c>
    </row>
    <row r="7174" ht="15.75" customHeight="1">
      <c r="A7174" s="1" t="str">
        <f>IFERROR(__xludf.DUMMYFUNCTION("""COMPUTED_VALUE"""),"Julianie Gonzague")</f>
        <v>Julianie Gonzague</v>
      </c>
      <c r="B7174" s="1" t="str">
        <f>IFERROR(__xludf.DUMMYFUNCTION("""COMPUTED_VALUE"""),"HS")</f>
        <v>HS</v>
      </c>
    </row>
    <row r="7175" ht="15.75" customHeight="1">
      <c r="A7175" s="1" t="str">
        <f>IFERROR(__xludf.DUMMYFUNCTION("""COMPUTED_VALUE"""),"Mateo Gonzalo German")</f>
        <v>Mateo Gonzalo German</v>
      </c>
      <c r="B7175" s="1" t="str">
        <f>IFERROR(__xludf.DUMMYFUNCTION("""COMPUTED_VALUE"""),"HS")</f>
        <v>HS</v>
      </c>
    </row>
    <row r="7176" ht="15.75" customHeight="1">
      <c r="A7176" s="1" t="str">
        <f>IFERROR(__xludf.DUMMYFUNCTION("""COMPUTED_VALUE"""),"Anthony Goring")</f>
        <v>Anthony Goring</v>
      </c>
      <c r="B7176" s="1" t="str">
        <f>IFERROR(__xludf.DUMMYFUNCTION("""COMPUTED_VALUE"""),"HS")</f>
        <v>HS</v>
      </c>
    </row>
    <row r="7177" ht="15.75" customHeight="1">
      <c r="A7177" s="1" t="str">
        <f>IFERROR(__xludf.DUMMYFUNCTION("""COMPUTED_VALUE"""),"Clarence Gourreau")</f>
        <v>Clarence Gourreau</v>
      </c>
      <c r="B7177" s="1" t="str">
        <f>IFERROR(__xludf.DUMMYFUNCTION("""COMPUTED_VALUE"""),"HS")</f>
        <v>HS</v>
      </c>
    </row>
    <row r="7178" ht="15.75" customHeight="1">
      <c r="A7178" s="1" t="str">
        <f>IFERROR(__xludf.DUMMYFUNCTION("""COMPUTED_VALUE"""),"Benicio Gouvea Tagliaferro Lopes")</f>
        <v>Benicio Gouvea Tagliaferro Lopes</v>
      </c>
      <c r="B7178" s="1" t="str">
        <f>IFERROR(__xludf.DUMMYFUNCTION("""COMPUTED_VALUE"""),"HS")</f>
        <v>HS</v>
      </c>
    </row>
    <row r="7179" ht="15.75" customHeight="1">
      <c r="A7179" s="1" t="str">
        <f>IFERROR(__xludf.DUMMYFUNCTION("""COMPUTED_VALUE"""),"Elena Guggemoos")</f>
        <v>Elena Guggemoos</v>
      </c>
      <c r="B7179" s="1" t="str">
        <f>IFERROR(__xludf.DUMMYFUNCTION("""COMPUTED_VALUE"""),"HS")</f>
        <v>HS</v>
      </c>
    </row>
    <row r="7180" ht="15.75" customHeight="1">
      <c r="A7180" s="1" t="str">
        <f>IFERROR(__xludf.DUMMYFUNCTION("""COMPUTED_VALUE"""),"Dakota Guidry")</f>
        <v>Dakota Guidry</v>
      </c>
      <c r="B7180" s="1" t="str">
        <f>IFERROR(__xludf.DUMMYFUNCTION("""COMPUTED_VALUE"""),"HS")</f>
        <v>HS</v>
      </c>
    </row>
    <row r="7181" ht="15.75" customHeight="1">
      <c r="A7181" s="1" t="str">
        <f>IFERROR(__xludf.DUMMYFUNCTION("""COMPUTED_VALUE"""),"Abigail Haden")</f>
        <v>Abigail Haden</v>
      </c>
      <c r="B7181" s="1" t="str">
        <f>IFERROR(__xludf.DUMMYFUNCTION("""COMPUTED_VALUE"""),"HS")</f>
        <v>HS</v>
      </c>
    </row>
    <row r="7182" ht="15.75" customHeight="1">
      <c r="A7182" s="1" t="str">
        <f>IFERROR(__xludf.DUMMYFUNCTION("""COMPUTED_VALUE"""),"Harmon Hailemichael")</f>
        <v>Harmon Hailemichael</v>
      </c>
      <c r="B7182" s="1" t="str">
        <f>IFERROR(__xludf.DUMMYFUNCTION("""COMPUTED_VALUE"""),"HS")</f>
        <v>HS</v>
      </c>
    </row>
    <row r="7183" ht="15.75" customHeight="1">
      <c r="A7183" s="1" t="str">
        <f>IFERROR(__xludf.DUMMYFUNCTION("""COMPUTED_VALUE"""),"Samuel Harvey")</f>
        <v>Samuel Harvey</v>
      </c>
      <c r="B7183" s="1" t="str">
        <f>IFERROR(__xludf.DUMMYFUNCTION("""COMPUTED_VALUE"""),"HS")</f>
        <v>HS</v>
      </c>
    </row>
    <row r="7184" ht="15.75" customHeight="1">
      <c r="A7184" s="1" t="str">
        <f>IFERROR(__xludf.DUMMYFUNCTION("""COMPUTED_VALUE"""),"Saleem Hassoun")</f>
        <v>Saleem Hassoun</v>
      </c>
      <c r="B7184" s="1" t="str">
        <f>IFERROR(__xludf.DUMMYFUNCTION("""COMPUTED_VALUE"""),"HS")</f>
        <v>HS</v>
      </c>
    </row>
    <row r="7185" ht="15.75" customHeight="1">
      <c r="A7185" s="1" t="str">
        <f>IFERROR(__xludf.DUMMYFUNCTION("""COMPUTED_VALUE"""),"Taressa Hennes")</f>
        <v>Taressa Hennes</v>
      </c>
      <c r="B7185" s="1" t="str">
        <f>IFERROR(__xludf.DUMMYFUNCTION("""COMPUTED_VALUE"""),"HS")</f>
        <v>HS</v>
      </c>
    </row>
    <row r="7186" ht="15.75" customHeight="1">
      <c r="A7186" s="1" t="str">
        <f>IFERROR(__xludf.DUMMYFUNCTION("""COMPUTED_VALUE"""),"DaQuana Howell")</f>
        <v>DaQuana Howell</v>
      </c>
      <c r="B7186" s="1" t="str">
        <f>IFERROR(__xludf.DUMMYFUNCTION("""COMPUTED_VALUE"""),"HS")</f>
        <v>HS</v>
      </c>
    </row>
    <row r="7187" ht="15.75" customHeight="1">
      <c r="A7187" s="1" t="str">
        <f>IFERROR(__xludf.DUMMYFUNCTION("""COMPUTED_VALUE"""),"Daniel Humphrey")</f>
        <v>Daniel Humphrey</v>
      </c>
      <c r="B7187" s="1" t="str">
        <f>IFERROR(__xludf.DUMMYFUNCTION("""COMPUTED_VALUE"""),"HS")</f>
        <v>HS</v>
      </c>
    </row>
    <row r="7188" ht="15.75" customHeight="1">
      <c r="A7188" s="1" t="str">
        <f>IFERROR(__xludf.DUMMYFUNCTION("""COMPUTED_VALUE"""),"Cohen Hyatt")</f>
        <v>Cohen Hyatt</v>
      </c>
      <c r="B7188" s="1" t="str">
        <f>IFERROR(__xludf.DUMMYFUNCTION("""COMPUTED_VALUE"""),"HS")</f>
        <v>HS</v>
      </c>
    </row>
    <row r="7189" ht="15.75" customHeight="1">
      <c r="A7189" s="1" t="str">
        <f>IFERROR(__xludf.DUMMYFUNCTION("""COMPUTED_VALUE"""),"Galder Idiakez San Jose")</f>
        <v>Galder Idiakez San Jose</v>
      </c>
      <c r="B7189" s="1" t="str">
        <f>IFERROR(__xludf.DUMMYFUNCTION("""COMPUTED_VALUE"""),"HS")</f>
        <v>HS</v>
      </c>
    </row>
    <row r="7190" ht="15.75" customHeight="1">
      <c r="A7190" s="1" t="str">
        <f>IFERROR(__xludf.DUMMYFUNCTION("""COMPUTED_VALUE"""),"Maelie Jantzem")</f>
        <v>Maelie Jantzem</v>
      </c>
      <c r="B7190" s="1" t="str">
        <f>IFERROR(__xludf.DUMMYFUNCTION("""COMPUTED_VALUE"""),"HS")</f>
        <v>HS</v>
      </c>
    </row>
    <row r="7191" ht="15.75" customHeight="1">
      <c r="A7191" s="1" t="str">
        <f>IFERROR(__xludf.DUMMYFUNCTION("""COMPUTED_VALUE"""),"Zion John Baptiste")</f>
        <v>Zion John Baptiste</v>
      </c>
      <c r="B7191" s="1" t="str">
        <f>IFERROR(__xludf.DUMMYFUNCTION("""COMPUTED_VALUE"""),"HS")</f>
        <v>HS</v>
      </c>
    </row>
    <row r="7192" ht="15.75" customHeight="1">
      <c r="A7192" s="1" t="str">
        <f>IFERROR(__xludf.DUMMYFUNCTION("""COMPUTED_VALUE"""),"Lucas Josephine")</f>
        <v>Lucas Josephine</v>
      </c>
      <c r="B7192" s="1" t="str">
        <f>IFERROR(__xludf.DUMMYFUNCTION("""COMPUTED_VALUE"""),"HS")</f>
        <v>HS</v>
      </c>
    </row>
    <row r="7193" ht="15.75" customHeight="1">
      <c r="A7193" s="1" t="str">
        <f>IFERROR(__xludf.DUMMYFUNCTION("""COMPUTED_VALUE"""),"Coline Jung")</f>
        <v>Coline Jung</v>
      </c>
      <c r="B7193" s="1" t="str">
        <f>IFERROR(__xludf.DUMMYFUNCTION("""COMPUTED_VALUE"""),"HS")</f>
        <v>HS</v>
      </c>
    </row>
    <row r="7194" ht="15.75" customHeight="1">
      <c r="A7194" s="1" t="str">
        <f>IFERROR(__xludf.DUMMYFUNCTION("""COMPUTED_VALUE"""),"David Kagirwa")</f>
        <v>David Kagirwa</v>
      </c>
      <c r="B7194" s="1" t="str">
        <f>IFERROR(__xludf.DUMMYFUNCTION("""COMPUTED_VALUE"""),"HS")</f>
        <v>HS</v>
      </c>
    </row>
    <row r="7195" ht="15.75" customHeight="1">
      <c r="A7195" s="1" t="str">
        <f>IFERROR(__xludf.DUMMYFUNCTION("""COMPUTED_VALUE"""),"John Kariuki")</f>
        <v>John Kariuki</v>
      </c>
      <c r="B7195" s="1" t="str">
        <f>IFERROR(__xludf.DUMMYFUNCTION("""COMPUTED_VALUE"""),"HS")</f>
        <v>HS</v>
      </c>
    </row>
    <row r="7196" ht="15.75" customHeight="1">
      <c r="A7196" s="1" t="str">
        <f>IFERROR(__xludf.DUMMYFUNCTION("""COMPUTED_VALUE"""),"Sophia Kereky")</f>
        <v>Sophia Kereky</v>
      </c>
      <c r="B7196" s="1" t="str">
        <f>IFERROR(__xludf.DUMMYFUNCTION("""COMPUTED_VALUE"""),"HS")</f>
        <v>HS</v>
      </c>
    </row>
    <row r="7197" ht="15.75" customHeight="1">
      <c r="A7197" s="1" t="str">
        <f>IFERROR(__xludf.DUMMYFUNCTION("""COMPUTED_VALUE"""),"Aiden Kim")</f>
        <v>Aiden Kim</v>
      </c>
      <c r="B7197" s="1" t="str">
        <f>IFERROR(__xludf.DUMMYFUNCTION("""COMPUTED_VALUE"""),"HS")</f>
        <v>HS</v>
      </c>
    </row>
    <row r="7198" ht="15.75" customHeight="1">
      <c r="A7198" s="1" t="str">
        <f>IFERROR(__xludf.DUMMYFUNCTION("""COMPUTED_VALUE"""),"Berta Kondrataite")</f>
        <v>Berta Kondrataite</v>
      </c>
      <c r="B7198" s="1" t="str">
        <f>IFERROR(__xludf.DUMMYFUNCTION("""COMPUTED_VALUE"""),"HS")</f>
        <v>HS</v>
      </c>
    </row>
    <row r="7199" ht="15.75" customHeight="1">
      <c r="A7199" s="1" t="str">
        <f>IFERROR(__xludf.DUMMYFUNCTION("""COMPUTED_VALUE"""),"Rodrigo Labrador Vega")</f>
        <v>Rodrigo Labrador Vega</v>
      </c>
      <c r="B7199" s="1" t="str">
        <f>IFERROR(__xludf.DUMMYFUNCTION("""COMPUTED_VALUE"""),"HS")</f>
        <v>HS</v>
      </c>
    </row>
    <row r="7200" ht="15.75" customHeight="1">
      <c r="A7200" s="1" t="str">
        <f>IFERROR(__xludf.DUMMYFUNCTION("""COMPUTED_VALUE"""),"Paul Laskibar")</f>
        <v>Paul Laskibar</v>
      </c>
      <c r="B7200" s="1" t="str">
        <f>IFERROR(__xludf.DUMMYFUNCTION("""COMPUTED_VALUE"""),"HS")</f>
        <v>HS</v>
      </c>
    </row>
    <row r="7201" ht="15.75" customHeight="1">
      <c r="A7201" s="1" t="str">
        <f>IFERROR(__xludf.DUMMYFUNCTION("""COMPUTED_VALUE"""),"Mateo Lazo")</f>
        <v>Mateo Lazo</v>
      </c>
      <c r="B7201" s="1" t="str">
        <f>IFERROR(__xludf.DUMMYFUNCTION("""COMPUTED_VALUE"""),"HS")</f>
        <v>HS</v>
      </c>
    </row>
    <row r="7202" ht="15.75" customHeight="1">
      <c r="A7202" s="1" t="str">
        <f>IFERROR(__xludf.DUMMYFUNCTION("""COMPUTED_VALUE"""),"Kim Leon")</f>
        <v>Kim Leon</v>
      </c>
      <c r="B7202" s="1" t="str">
        <f>IFERROR(__xludf.DUMMYFUNCTION("""COMPUTED_VALUE"""),"HS")</f>
        <v>HS</v>
      </c>
    </row>
    <row r="7203" ht="15.75" customHeight="1">
      <c r="A7203" s="1" t="str">
        <f>IFERROR(__xludf.DUMMYFUNCTION("""COMPUTED_VALUE"""),"Yasmin Lotfallya")</f>
        <v>Yasmin Lotfallya</v>
      </c>
      <c r="B7203" s="1" t="str">
        <f>IFERROR(__xludf.DUMMYFUNCTION("""COMPUTED_VALUE"""),"HS")</f>
        <v>HS</v>
      </c>
    </row>
    <row r="7204" ht="15.75" customHeight="1">
      <c r="A7204" s="1" t="str">
        <f>IFERROR(__xludf.DUMMYFUNCTION("""COMPUTED_VALUE"""),"Rocco Luciano")</f>
        <v>Rocco Luciano</v>
      </c>
      <c r="B7204" s="1" t="str">
        <f>IFERROR(__xludf.DUMMYFUNCTION("""COMPUTED_VALUE"""),"HS")</f>
        <v>HS</v>
      </c>
    </row>
    <row r="7205" ht="15.75" customHeight="1">
      <c r="A7205" s="1" t="str">
        <f>IFERROR(__xludf.DUMMYFUNCTION("""COMPUTED_VALUE"""),"Maxwell Machum")</f>
        <v>Maxwell Machum</v>
      </c>
      <c r="B7205" s="1" t="str">
        <f>IFERROR(__xludf.DUMMYFUNCTION("""COMPUTED_VALUE"""),"HS")</f>
        <v>HS</v>
      </c>
    </row>
    <row r="7206" ht="15.75" customHeight="1">
      <c r="A7206" s="1" t="str">
        <f>IFERROR(__xludf.DUMMYFUNCTION("""COMPUTED_VALUE"""),"Ikhlas Makhremov")</f>
        <v>Ikhlas Makhremov</v>
      </c>
      <c r="B7206" s="1" t="str">
        <f>IFERROR(__xludf.DUMMYFUNCTION("""COMPUTED_VALUE"""),"HS")</f>
        <v>HS</v>
      </c>
    </row>
    <row r="7207" ht="15.75" customHeight="1">
      <c r="A7207" s="1" t="str">
        <f>IFERROR(__xludf.DUMMYFUNCTION("""COMPUTED_VALUE"""),"Evan Marchand")</f>
        <v>Evan Marchand</v>
      </c>
      <c r="B7207" s="1" t="str">
        <f>IFERROR(__xludf.DUMMYFUNCTION("""COMPUTED_VALUE"""),"HS")</f>
        <v>HS</v>
      </c>
    </row>
    <row r="7208" ht="15.75" customHeight="1">
      <c r="A7208" s="1" t="str">
        <f>IFERROR(__xludf.DUMMYFUNCTION("""COMPUTED_VALUE"""),"Cain Martin")</f>
        <v>Cain Martin</v>
      </c>
      <c r="B7208" s="1" t="str">
        <f>IFERROR(__xludf.DUMMYFUNCTION("""COMPUTED_VALUE"""),"HS")</f>
        <v>HS</v>
      </c>
    </row>
    <row r="7209" ht="15.75" customHeight="1">
      <c r="A7209" s="1" t="str">
        <f>IFERROR(__xludf.DUMMYFUNCTION("""COMPUTED_VALUE"""),"Balma Matellanes Garcia")</f>
        <v>Balma Matellanes Garcia</v>
      </c>
      <c r="B7209" s="1" t="str">
        <f>IFERROR(__xludf.DUMMYFUNCTION("""COMPUTED_VALUE"""),"HS")</f>
        <v>HS</v>
      </c>
    </row>
    <row r="7210" ht="15.75" customHeight="1">
      <c r="A7210" s="1" t="str">
        <f>IFERROR(__xludf.DUMMYFUNCTION("""COMPUTED_VALUE"""),"Kaylee McIntyre")</f>
        <v>Kaylee McIntyre</v>
      </c>
      <c r="B7210" s="1" t="str">
        <f>IFERROR(__xludf.DUMMYFUNCTION("""COMPUTED_VALUE"""),"HS")</f>
        <v>HS</v>
      </c>
    </row>
    <row r="7211" ht="15.75" customHeight="1">
      <c r="A7211" s="1" t="str">
        <f>IFERROR(__xludf.DUMMYFUNCTION("""COMPUTED_VALUE"""),"James Meinke")</f>
        <v>James Meinke</v>
      </c>
      <c r="B7211" s="1" t="str">
        <f>IFERROR(__xludf.DUMMYFUNCTION("""COMPUTED_VALUE"""),"HS")</f>
        <v>HS</v>
      </c>
    </row>
    <row r="7212" ht="15.75" customHeight="1">
      <c r="A7212" s="1" t="str">
        <f>IFERROR(__xludf.DUMMYFUNCTION("""COMPUTED_VALUE"""),"Giannis Michelidakis")</f>
        <v>Giannis Michelidakis</v>
      </c>
      <c r="B7212" s="1" t="str">
        <f>IFERROR(__xludf.DUMMYFUNCTION("""COMPUTED_VALUE"""),"HS")</f>
        <v>HS</v>
      </c>
    </row>
    <row r="7213" ht="15.75" customHeight="1">
      <c r="A7213" s="1" t="str">
        <f>IFERROR(__xludf.DUMMYFUNCTION("""COMPUTED_VALUE"""),"Olivia Miranda Melia")</f>
        <v>Olivia Miranda Melia</v>
      </c>
      <c r="B7213" s="1" t="str">
        <f>IFERROR(__xludf.DUMMYFUNCTION("""COMPUTED_VALUE"""),"HS")</f>
        <v>HS</v>
      </c>
    </row>
    <row r="7214" ht="15.75" customHeight="1">
      <c r="A7214" s="1" t="str">
        <f>IFERROR(__xludf.DUMMYFUNCTION("""COMPUTED_VALUE"""),"Jaylan Mitchell")</f>
        <v>Jaylan Mitchell</v>
      </c>
      <c r="B7214" s="1" t="str">
        <f>IFERROR(__xludf.DUMMYFUNCTION("""COMPUTED_VALUE"""),"HS")</f>
        <v>HS</v>
      </c>
    </row>
    <row r="7215" ht="15.75" customHeight="1">
      <c r="A7215" s="1" t="str">
        <f>IFERROR(__xludf.DUMMYFUNCTION("""COMPUTED_VALUE"""),"Maeline Monet")</f>
        <v>Maeline Monet</v>
      </c>
      <c r="B7215" s="1" t="str">
        <f>IFERROR(__xludf.DUMMYFUNCTION("""COMPUTED_VALUE"""),"HS")</f>
        <v>HS</v>
      </c>
    </row>
    <row r="7216" ht="15.75" customHeight="1">
      <c r="A7216" s="1" t="str">
        <f>IFERROR(__xludf.DUMMYFUNCTION("""COMPUTED_VALUE"""),"Jon Musser")</f>
        <v>Jon Musser</v>
      </c>
      <c r="B7216" s="1" t="str">
        <f>IFERROR(__xludf.DUMMYFUNCTION("""COMPUTED_VALUE"""),"HS")</f>
        <v>HS</v>
      </c>
    </row>
    <row r="7217" ht="15.75" customHeight="1">
      <c r="A7217" s="1" t="str">
        <f>IFERROR(__xludf.DUMMYFUNCTION("""COMPUTED_VALUE"""),"Roy Mutimba")</f>
        <v>Roy Mutimba</v>
      </c>
      <c r="B7217" s="1" t="str">
        <f>IFERROR(__xludf.DUMMYFUNCTION("""COMPUTED_VALUE"""),"HS")</f>
        <v>HS</v>
      </c>
    </row>
    <row r="7218" ht="15.75" customHeight="1">
      <c r="A7218" s="1" t="str">
        <f>IFERROR(__xludf.DUMMYFUNCTION("""COMPUTED_VALUE"""),"Jack Narens")</f>
        <v>Jack Narens</v>
      </c>
      <c r="B7218" s="1" t="str">
        <f>IFERROR(__xludf.DUMMYFUNCTION("""COMPUTED_VALUE"""),"HS")</f>
        <v>HS</v>
      </c>
    </row>
    <row r="7219" ht="15.75" customHeight="1">
      <c r="A7219" s="1" t="str">
        <f>IFERROR(__xludf.DUMMYFUNCTION("""COMPUTED_VALUE"""),"Nil Narros")</f>
        <v>Nil Narros</v>
      </c>
      <c r="B7219" s="1" t="str">
        <f>IFERROR(__xludf.DUMMYFUNCTION("""COMPUTED_VALUE"""),"HS")</f>
        <v>HS</v>
      </c>
    </row>
    <row r="7220" ht="15.75" customHeight="1">
      <c r="A7220" s="1" t="str">
        <f>IFERROR(__xludf.DUMMYFUNCTION("""COMPUTED_VALUE"""),"Nolan Nelson")</f>
        <v>Nolan Nelson</v>
      </c>
      <c r="B7220" s="1" t="str">
        <f>IFERROR(__xludf.DUMMYFUNCTION("""COMPUTED_VALUE"""),"HS")</f>
        <v>HS</v>
      </c>
    </row>
    <row r="7221" ht="15.75" customHeight="1">
      <c r="A7221" s="1" t="str">
        <f>IFERROR(__xludf.DUMMYFUNCTION("""COMPUTED_VALUE"""),"Prachaya Ngamboonsin")</f>
        <v>Prachaya Ngamboonsin</v>
      </c>
      <c r="B7221" s="1" t="str">
        <f>IFERROR(__xludf.DUMMYFUNCTION("""COMPUTED_VALUE"""),"HS")</f>
        <v>HS</v>
      </c>
    </row>
    <row r="7222" ht="15.75" customHeight="1">
      <c r="A7222" s="1" t="str">
        <f>IFERROR(__xludf.DUMMYFUNCTION("""COMPUTED_VALUE"""),"Harrison Norman")</f>
        <v>Harrison Norman</v>
      </c>
      <c r="B7222" s="1" t="str">
        <f>IFERROR(__xludf.DUMMYFUNCTION("""COMPUTED_VALUE"""),"HS")</f>
        <v>HS</v>
      </c>
    </row>
    <row r="7223" ht="15.75" customHeight="1">
      <c r="A7223" s="1" t="str">
        <f>IFERROR(__xludf.DUMMYFUNCTION("""COMPUTED_VALUE"""),"Charles Nye")</f>
        <v>Charles Nye</v>
      </c>
      <c r="B7223" s="1" t="str">
        <f>IFERROR(__xludf.DUMMYFUNCTION("""COMPUTED_VALUE"""),"HS")</f>
        <v>HS</v>
      </c>
    </row>
    <row r="7224" ht="15.75" customHeight="1">
      <c r="A7224" s="1" t="str">
        <f>IFERROR(__xludf.DUMMYFUNCTION("""COMPUTED_VALUE"""),"Ethan Ostrander")</f>
        <v>Ethan Ostrander</v>
      </c>
      <c r="B7224" s="1" t="str">
        <f>IFERROR(__xludf.DUMMYFUNCTION("""COMPUTED_VALUE"""),"HS")</f>
        <v>HS</v>
      </c>
    </row>
    <row r="7225" ht="15.75" customHeight="1">
      <c r="A7225" s="1" t="str">
        <f>IFERROR(__xludf.DUMMYFUNCTION("""COMPUTED_VALUE"""),"Emin Oganesyan")</f>
        <v>Emin Oganesyan</v>
      </c>
      <c r="B7225" s="1" t="str">
        <f>IFERROR(__xludf.DUMMYFUNCTION("""COMPUTED_VALUE"""),"HS")</f>
        <v>HS</v>
      </c>
    </row>
    <row r="7226" ht="15.75" customHeight="1">
      <c r="A7226" s="1" t="str">
        <f>IFERROR(__xludf.DUMMYFUNCTION("""COMPUTED_VALUE"""),"Yair Olano Barrero")</f>
        <v>Yair Olano Barrero</v>
      </c>
      <c r="B7226" s="1" t="str">
        <f>IFERROR(__xludf.DUMMYFUNCTION("""COMPUTED_VALUE"""),"HS")</f>
        <v>HS</v>
      </c>
    </row>
    <row r="7227" ht="15.75" customHeight="1">
      <c r="A7227" s="1" t="str">
        <f>IFERROR(__xludf.DUMMYFUNCTION("""COMPUTED_VALUE"""),"Rafael Oliveira")</f>
        <v>Rafael Oliveira</v>
      </c>
      <c r="B7227" s="1" t="str">
        <f>IFERROR(__xludf.DUMMYFUNCTION("""COMPUTED_VALUE"""),"HS")</f>
        <v>HS</v>
      </c>
    </row>
    <row r="7228" ht="15.75" customHeight="1">
      <c r="A7228" s="1" t="str">
        <f>IFERROR(__xludf.DUMMYFUNCTION("""COMPUTED_VALUE"""),"Nicolas Olesen")</f>
        <v>Nicolas Olesen</v>
      </c>
      <c r="B7228" s="1" t="str">
        <f>IFERROR(__xludf.DUMMYFUNCTION("""COMPUTED_VALUE"""),"HS")</f>
        <v>HS</v>
      </c>
    </row>
    <row r="7229" ht="15.75" customHeight="1">
      <c r="A7229" s="1" t="str">
        <f>IFERROR(__xludf.DUMMYFUNCTION("""COMPUTED_VALUE"""),"Chukwuemeka Oranu")</f>
        <v>Chukwuemeka Oranu</v>
      </c>
      <c r="B7229" s="1" t="str">
        <f>IFERROR(__xludf.DUMMYFUNCTION("""COMPUTED_VALUE"""),"HS")</f>
        <v>HS</v>
      </c>
    </row>
    <row r="7230" ht="15.75" customHeight="1">
      <c r="A7230" s="1" t="str">
        <f>IFERROR(__xludf.DUMMYFUNCTION("""COMPUTED_VALUE"""),"Hugo Palacios")</f>
        <v>Hugo Palacios</v>
      </c>
      <c r="B7230" s="1" t="str">
        <f>IFERROR(__xludf.DUMMYFUNCTION("""COMPUTED_VALUE"""),"HS")</f>
        <v>HS</v>
      </c>
    </row>
    <row r="7231" ht="15.75" customHeight="1">
      <c r="A7231" s="1" t="str">
        <f>IFERROR(__xludf.DUMMYFUNCTION("""COMPUTED_VALUE"""),"Aiden Palinkas")</f>
        <v>Aiden Palinkas</v>
      </c>
      <c r="B7231" s="1" t="str">
        <f>IFERROR(__xludf.DUMMYFUNCTION("""COMPUTED_VALUE"""),"HS")</f>
        <v>HS</v>
      </c>
    </row>
    <row r="7232" ht="15.75" customHeight="1">
      <c r="A7232" s="1" t="str">
        <f>IFERROR(__xludf.DUMMYFUNCTION("""COMPUTED_VALUE"""),"Jalen Parker")</f>
        <v>Jalen Parker</v>
      </c>
      <c r="B7232" s="1" t="str">
        <f>IFERROR(__xludf.DUMMYFUNCTION("""COMPUTED_VALUE"""),"HS")</f>
        <v>HS</v>
      </c>
    </row>
    <row r="7233" ht="15.75" customHeight="1">
      <c r="A7233" s="1" t="str">
        <f>IFERROR(__xludf.DUMMYFUNCTION("""COMPUTED_VALUE"""),"Elizaveta Pazukha")</f>
        <v>Elizaveta Pazukha</v>
      </c>
      <c r="B7233" s="1" t="str">
        <f>IFERROR(__xludf.DUMMYFUNCTION("""COMPUTED_VALUE"""),"HS")</f>
        <v>HS</v>
      </c>
    </row>
    <row r="7234" ht="15.75" customHeight="1">
      <c r="A7234" s="1" t="str">
        <f>IFERROR(__xludf.DUMMYFUNCTION("""COMPUTED_VALUE"""),"Joseph Pecore")</f>
        <v>Joseph Pecore</v>
      </c>
      <c r="B7234" s="1" t="str">
        <f>IFERROR(__xludf.DUMMYFUNCTION("""COMPUTED_VALUE"""),"HS")</f>
        <v>HS</v>
      </c>
    </row>
    <row r="7235" ht="15.75" customHeight="1">
      <c r="A7235" s="1" t="str">
        <f>IFERROR(__xludf.DUMMYFUNCTION("""COMPUTED_VALUE"""),"Ariadna Perello")</f>
        <v>Ariadna Perello</v>
      </c>
      <c r="B7235" s="1" t="str">
        <f>IFERROR(__xludf.DUMMYFUNCTION("""COMPUTED_VALUE"""),"HS")</f>
        <v>HS</v>
      </c>
    </row>
    <row r="7236" ht="15.75" customHeight="1">
      <c r="A7236" s="1" t="str">
        <f>IFERROR(__xludf.DUMMYFUNCTION("""COMPUTED_VALUE"""),"Ellis Perry")</f>
        <v>Ellis Perry</v>
      </c>
      <c r="B7236" s="1" t="str">
        <f>IFERROR(__xludf.DUMMYFUNCTION("""COMPUTED_VALUE"""),"HS")</f>
        <v>HS</v>
      </c>
    </row>
    <row r="7237" ht="15.75" customHeight="1">
      <c r="A7237" s="1" t="str">
        <f>IFERROR(__xludf.DUMMYFUNCTION("""COMPUTED_VALUE"""),"Emalee Poff")</f>
        <v>Emalee Poff</v>
      </c>
      <c r="B7237" s="1" t="str">
        <f>IFERROR(__xludf.DUMMYFUNCTION("""COMPUTED_VALUE"""),"HS")</f>
        <v>HS</v>
      </c>
    </row>
    <row r="7238" ht="15.75" customHeight="1">
      <c r="A7238" s="1" t="str">
        <f>IFERROR(__xludf.DUMMYFUNCTION("""COMPUTED_VALUE"""),"Jean Gabriel Ponte")</f>
        <v>Jean Gabriel Ponte</v>
      </c>
      <c r="B7238" s="1" t="str">
        <f>IFERROR(__xludf.DUMMYFUNCTION("""COMPUTED_VALUE"""),"HS")</f>
        <v>HS</v>
      </c>
    </row>
    <row r="7239" ht="15.75" customHeight="1">
      <c r="A7239" s="1" t="str">
        <f>IFERROR(__xludf.DUMMYFUNCTION("""COMPUTED_VALUE"""),"Huia Pollock")</f>
        <v>Huia Pollock</v>
      </c>
      <c r="B7239" s="1" t="str">
        <f>IFERROR(__xludf.DUMMYFUNCTION("""COMPUTED_VALUE"""),"HS")</f>
        <v>HS</v>
      </c>
    </row>
    <row r="7240" ht="15.75" customHeight="1">
      <c r="A7240" s="1" t="str">
        <f>IFERROR(__xludf.DUMMYFUNCTION("""COMPUTED_VALUE"""),"Aminah Prasad")</f>
        <v>Aminah Prasad</v>
      </c>
      <c r="B7240" s="1" t="str">
        <f>IFERROR(__xludf.DUMMYFUNCTION("""COMPUTED_VALUE"""),"HS")</f>
        <v>HS</v>
      </c>
    </row>
    <row r="7241" ht="15.75" customHeight="1">
      <c r="A7241" s="1" t="str">
        <f>IFERROR(__xludf.DUMMYFUNCTION("""COMPUTED_VALUE"""),"Safiya Prasad")</f>
        <v>Safiya Prasad</v>
      </c>
      <c r="B7241" s="1" t="str">
        <f>IFERROR(__xludf.DUMMYFUNCTION("""COMPUTED_VALUE"""),"HS")</f>
        <v>HS</v>
      </c>
    </row>
    <row r="7242" ht="15.75" customHeight="1">
      <c r="A7242" s="1" t="str">
        <f>IFERROR(__xludf.DUMMYFUNCTION("""COMPUTED_VALUE"""),"Arik Rahman")</f>
        <v>Arik Rahman</v>
      </c>
      <c r="B7242" s="1" t="str">
        <f>IFERROR(__xludf.DUMMYFUNCTION("""COMPUTED_VALUE"""),"HS")</f>
        <v>HS</v>
      </c>
    </row>
    <row r="7243" ht="15.75" customHeight="1">
      <c r="A7243" s="1" t="str">
        <f>IFERROR(__xludf.DUMMYFUNCTION("""COMPUTED_VALUE"""),"Izabella Rasmussen")</f>
        <v>Izabella Rasmussen</v>
      </c>
      <c r="B7243" s="1" t="str">
        <f>IFERROR(__xludf.DUMMYFUNCTION("""COMPUTED_VALUE"""),"HS")</f>
        <v>HS</v>
      </c>
    </row>
    <row r="7244" ht="15.75" customHeight="1">
      <c r="A7244" s="1" t="str">
        <f>IFERROR(__xludf.DUMMYFUNCTION("""COMPUTED_VALUE"""),"Jesse Reijans")</f>
        <v>Jesse Reijans</v>
      </c>
      <c r="B7244" s="1" t="str">
        <f>IFERROR(__xludf.DUMMYFUNCTION("""COMPUTED_VALUE"""),"HS")</f>
        <v>HS</v>
      </c>
    </row>
    <row r="7245" ht="15.75" customHeight="1">
      <c r="A7245" s="1" t="str">
        <f>IFERROR(__xludf.DUMMYFUNCTION("""COMPUTED_VALUE"""),"Jeffrey Reynolds")</f>
        <v>Jeffrey Reynolds</v>
      </c>
      <c r="B7245" s="1" t="str">
        <f>IFERROR(__xludf.DUMMYFUNCTION("""COMPUTED_VALUE"""),"HS")</f>
        <v>HS</v>
      </c>
    </row>
    <row r="7246" ht="15.75" customHeight="1">
      <c r="A7246" s="1" t="str">
        <f>IFERROR(__xludf.DUMMYFUNCTION("""COMPUTED_VALUE"""),"Claire Restad")</f>
        <v>Claire Restad</v>
      </c>
      <c r="B7246" s="1" t="str">
        <f>IFERROR(__xludf.DUMMYFUNCTION("""COMPUTED_VALUE"""),"HS")</f>
        <v>HS</v>
      </c>
    </row>
    <row r="7247" ht="15.75" customHeight="1">
      <c r="A7247" s="1" t="str">
        <f>IFERROR(__xludf.DUMMYFUNCTION("""COMPUTED_VALUE"""),"Manuel Angel Rico Leitao")</f>
        <v>Manuel A_x0081_ngel Rico Leitao</v>
      </c>
      <c r="B7247" s="1" t="str">
        <f>IFERROR(__xludf.DUMMYFUNCTION("""COMPUTED_VALUE"""),"HS")</f>
        <v>HS</v>
      </c>
    </row>
    <row r="7248" ht="15.75" customHeight="1">
      <c r="A7248" s="1" t="str">
        <f>IFERROR(__xludf.DUMMYFUNCTION("""COMPUTED_VALUE"""),"Dorian Rinaldo Komlan")</f>
        <v>Dorian Rinaldo Komlan</v>
      </c>
      <c r="B7248" s="1" t="str">
        <f>IFERROR(__xludf.DUMMYFUNCTION("""COMPUTED_VALUE"""),"HS")</f>
        <v>HS</v>
      </c>
    </row>
    <row r="7249" ht="15.75" customHeight="1">
      <c r="A7249" s="1" t="str">
        <f>IFERROR(__xludf.DUMMYFUNCTION("""COMPUTED_VALUE"""),"Kadia Rock")</f>
        <v>Kadia Rock</v>
      </c>
      <c r="B7249" s="1" t="str">
        <f>IFERROR(__xludf.DUMMYFUNCTION("""COMPUTED_VALUE"""),"HS")</f>
        <v>HS</v>
      </c>
    </row>
    <row r="7250" ht="15.75" customHeight="1">
      <c r="A7250" s="1" t="str">
        <f>IFERROR(__xludf.DUMMYFUNCTION("""COMPUTED_VALUE"""),"Edurne Rocafull Hinojosa")</f>
        <v>Edurne Rocafull Hinojosa</v>
      </c>
      <c r="B7250" s="1" t="str">
        <f>IFERROR(__xludf.DUMMYFUNCTION("""COMPUTED_VALUE"""),"HS")</f>
        <v>HS</v>
      </c>
    </row>
    <row r="7251" ht="15.75" customHeight="1">
      <c r="A7251" s="1" t="str">
        <f>IFERROR(__xludf.DUMMYFUNCTION("""COMPUTED_VALUE"""),"John Robertson")</f>
        <v>John Robertson</v>
      </c>
      <c r="B7251" s="1" t="str">
        <f>IFERROR(__xludf.DUMMYFUNCTION("""COMPUTED_VALUE"""),"HS")</f>
        <v>HS</v>
      </c>
    </row>
    <row r="7252" ht="15.75" customHeight="1">
      <c r="A7252" s="1" t="str">
        <f>IFERROR(__xludf.DUMMYFUNCTION("""COMPUTED_VALUE"""),"Carla Rodriguez Esparza")</f>
        <v>Carla Rodriguez Esparza</v>
      </c>
      <c r="B7252" s="1" t="str">
        <f>IFERROR(__xludf.DUMMYFUNCTION("""COMPUTED_VALUE"""),"HS")</f>
        <v>HS</v>
      </c>
    </row>
    <row r="7253" ht="15.75" customHeight="1">
      <c r="A7253" s="1" t="str">
        <f>IFERROR(__xludf.DUMMYFUNCTION("""COMPUTED_VALUE"""),"Madison Roush")</f>
        <v>Madison Roush</v>
      </c>
      <c r="B7253" s="1" t="str">
        <f>IFERROR(__xludf.DUMMYFUNCTION("""COMPUTED_VALUE"""),"HS")</f>
        <v>HS</v>
      </c>
    </row>
    <row r="7254" ht="15.75" customHeight="1">
      <c r="A7254" s="1" t="str">
        <f>IFERROR(__xludf.DUMMYFUNCTION("""COMPUTED_VALUE"""),"Ivan Royo Ruiz")</f>
        <v>Ivan Royo Ruiz</v>
      </c>
      <c r="B7254" s="1" t="str">
        <f>IFERROR(__xludf.DUMMYFUNCTION("""COMPUTED_VALUE"""),"HS")</f>
        <v>HS</v>
      </c>
    </row>
    <row r="7255" ht="15.75" customHeight="1">
      <c r="A7255" s="1" t="str">
        <f>IFERROR(__xludf.DUMMYFUNCTION("""COMPUTED_VALUE"""),"Laurel Ruck")</f>
        <v>Laurel Ruck</v>
      </c>
      <c r="B7255" s="1" t="str">
        <f>IFERROR(__xludf.DUMMYFUNCTION("""COMPUTED_VALUE"""),"HS")</f>
        <v>HS</v>
      </c>
    </row>
    <row r="7256" ht="15.75" customHeight="1">
      <c r="A7256" s="1" t="str">
        <f>IFERROR(__xludf.DUMMYFUNCTION("""COMPUTED_VALUE"""),"Taylor Schiemann")</f>
        <v>Taylor Schiemann</v>
      </c>
      <c r="B7256" s="1" t="str">
        <f>IFERROR(__xludf.DUMMYFUNCTION("""COMPUTED_VALUE"""),"HS")</f>
        <v>HS</v>
      </c>
    </row>
    <row r="7257" ht="15.75" customHeight="1">
      <c r="A7257" s="1" t="str">
        <f>IFERROR(__xludf.DUMMYFUNCTION("""COMPUTED_VALUE"""),"Felipe Schuler")</f>
        <v>Felipe Schuler</v>
      </c>
      <c r="B7257" s="1" t="str">
        <f>IFERROR(__xludf.DUMMYFUNCTION("""COMPUTED_VALUE"""),"HS")</f>
        <v>HS</v>
      </c>
    </row>
    <row r="7258" ht="15.75" customHeight="1">
      <c r="A7258" s="1" t="str">
        <f>IFERROR(__xludf.DUMMYFUNCTION("""COMPUTED_VALUE"""),"Heidi Schultz")</f>
        <v>Heidi Schultz</v>
      </c>
      <c r="B7258" s="1" t="str">
        <f>IFERROR(__xludf.DUMMYFUNCTION("""COMPUTED_VALUE"""),"HS")</f>
        <v>HS</v>
      </c>
    </row>
    <row r="7259" ht="15.75" customHeight="1">
      <c r="A7259" s="1" t="str">
        <f>IFERROR(__xludf.DUMMYFUNCTION("""COMPUTED_VALUE"""),"Henrik Schultz")</f>
        <v>Henrik Schultz</v>
      </c>
      <c r="B7259" s="1" t="str">
        <f>IFERROR(__xludf.DUMMYFUNCTION("""COMPUTED_VALUE"""),"HS")</f>
        <v>HS</v>
      </c>
    </row>
    <row r="7260" ht="15.75" customHeight="1">
      <c r="A7260" s="1" t="str">
        <f>IFERROR(__xludf.DUMMYFUNCTION("""COMPUTED_VALUE"""),"Rafael Schwartze")</f>
        <v>Rafael Schwartze</v>
      </c>
      <c r="B7260" s="1" t="str">
        <f>IFERROR(__xludf.DUMMYFUNCTION("""COMPUTED_VALUE"""),"HS")</f>
        <v>HS</v>
      </c>
    </row>
    <row r="7261" ht="15.75" customHeight="1">
      <c r="A7261" s="1" t="str">
        <f>IFERROR(__xludf.DUMMYFUNCTION("""COMPUTED_VALUE"""),"Noor Segarra Guillen")</f>
        <v>Noor Segarra Guillen</v>
      </c>
      <c r="B7261" s="1" t="str">
        <f>IFERROR(__xludf.DUMMYFUNCTION("""COMPUTED_VALUE"""),"HS")</f>
        <v>HS</v>
      </c>
    </row>
    <row r="7262" ht="15.75" customHeight="1">
      <c r="A7262" s="1" t="str">
        <f>IFERROR(__xludf.DUMMYFUNCTION("""COMPUTED_VALUE"""),"Dario Sielva")</f>
        <v>Dario Sielva</v>
      </c>
      <c r="B7262" s="1" t="str">
        <f>IFERROR(__xludf.DUMMYFUNCTION("""COMPUTED_VALUE"""),"HS")</f>
        <v>HS</v>
      </c>
    </row>
    <row r="7263" ht="15.75" customHeight="1">
      <c r="A7263" s="1" t="str">
        <f>IFERROR(__xludf.DUMMYFUNCTION("""COMPUTED_VALUE"""),"Lawson Sparks")</f>
        <v>Lawson Sparks</v>
      </c>
      <c r="B7263" s="1" t="str">
        <f>IFERROR(__xludf.DUMMYFUNCTION("""COMPUTED_VALUE"""),"HS")</f>
        <v>HS</v>
      </c>
    </row>
    <row r="7264" ht="15.75" customHeight="1">
      <c r="A7264" s="1" t="str">
        <f>IFERROR(__xludf.DUMMYFUNCTION("""COMPUTED_VALUE"""),"Dustin Sparkes")</f>
        <v>Dustin Sparkes</v>
      </c>
      <c r="B7264" s="1" t="str">
        <f>IFERROR(__xludf.DUMMYFUNCTION("""COMPUTED_VALUE"""),"HS")</f>
        <v>HS</v>
      </c>
    </row>
    <row r="7265" ht="15.75" customHeight="1">
      <c r="A7265" s="1" t="str">
        <f>IFERROR(__xludf.DUMMYFUNCTION("""COMPUTED_VALUE"""),"Michai Smith")</f>
        <v>Michai Smith</v>
      </c>
      <c r="B7265" s="1" t="str">
        <f>IFERROR(__xludf.DUMMYFUNCTION("""COMPUTED_VALUE"""),"HS")</f>
        <v>HS</v>
      </c>
    </row>
    <row r="7266" ht="15.75" customHeight="1">
      <c r="A7266" s="1" t="str">
        <f>IFERROR(__xludf.DUMMYFUNCTION("""COMPUTED_VALUE"""),"Cameron Steele")</f>
        <v>Cameron Steele</v>
      </c>
      <c r="B7266" s="1" t="str">
        <f>IFERROR(__xludf.DUMMYFUNCTION("""COMPUTED_VALUE"""),"HS")</f>
        <v>HS</v>
      </c>
    </row>
    <row r="7267" ht="15.75" customHeight="1">
      <c r="A7267" s="1" t="str">
        <f>IFERROR(__xludf.DUMMYFUNCTION("""COMPUTED_VALUE"""),"Umika Suzuki")</f>
        <v>Umika Suzuki</v>
      </c>
      <c r="B7267" s="1" t="str">
        <f>IFERROR(__xludf.DUMMYFUNCTION("""COMPUTED_VALUE"""),"HS")</f>
        <v>HS</v>
      </c>
    </row>
    <row r="7268" ht="15.75" customHeight="1">
      <c r="A7268" s="1" t="str">
        <f>IFERROR(__xludf.DUMMYFUNCTION("""COMPUTED_VALUE"""),"Laszlo Szatmari")</f>
        <v>Laszlo Szatmari</v>
      </c>
      <c r="B7268" s="1" t="str">
        <f>IFERROR(__xludf.DUMMYFUNCTION("""COMPUTED_VALUE"""),"HS")</f>
        <v>HS</v>
      </c>
    </row>
    <row r="7269" ht="15.75" customHeight="1">
      <c r="A7269" s="1" t="str">
        <f>IFERROR(__xludf.DUMMYFUNCTION("""COMPUTED_VALUE"""),"Noa Tena Lopez")</f>
        <v>Noa Tena Lopez</v>
      </c>
      <c r="B7269" s="1" t="str">
        <f>IFERROR(__xludf.DUMMYFUNCTION("""COMPUTED_VALUE"""),"HS")</f>
        <v>HS</v>
      </c>
    </row>
    <row r="7270" ht="15.75" customHeight="1">
      <c r="A7270" s="1" t="str">
        <f>IFERROR(__xludf.DUMMYFUNCTION("""COMPUTED_VALUE"""),"Jenna Marie Thomas")</f>
        <v>Jenna Marie Thomas</v>
      </c>
      <c r="B7270" s="1" t="str">
        <f>IFERROR(__xludf.DUMMYFUNCTION("""COMPUTED_VALUE"""),"HS")</f>
        <v>HS</v>
      </c>
    </row>
    <row r="7271" ht="15.75" customHeight="1">
      <c r="A7271" s="1" t="str">
        <f>IFERROR(__xludf.DUMMYFUNCTION("""COMPUTED_VALUE"""),"Asier Tubio")</f>
        <v>Asier Tubio</v>
      </c>
      <c r="B7271" s="1" t="str">
        <f>IFERROR(__xludf.DUMMYFUNCTION("""COMPUTED_VALUE"""),"HS")</f>
        <v>HS</v>
      </c>
    </row>
    <row r="7272" ht="15.75" customHeight="1">
      <c r="A7272" s="1" t="str">
        <f>IFERROR(__xludf.DUMMYFUNCTION("""COMPUTED_VALUE"""),"Kevin VanBuskirk")</f>
        <v>Kevin VanBuskirk</v>
      </c>
      <c r="B7272" s="1" t="str">
        <f>IFERROR(__xludf.DUMMYFUNCTION("""COMPUTED_VALUE"""),"HS")</f>
        <v>HS</v>
      </c>
    </row>
    <row r="7273" ht="15.75" customHeight="1">
      <c r="A7273" s="1" t="str">
        <f>IFERROR(__xludf.DUMMYFUNCTION("""COMPUTED_VALUE"""),"Nacho Varon")</f>
        <v>Nacho Varon</v>
      </c>
      <c r="B7273" s="1" t="str">
        <f>IFERROR(__xludf.DUMMYFUNCTION("""COMPUTED_VALUE"""),"HS")</f>
        <v>HS</v>
      </c>
    </row>
    <row r="7274" ht="15.75" customHeight="1">
      <c r="A7274" s="1" t="str">
        <f>IFERROR(__xludf.DUMMYFUNCTION("""COMPUTED_VALUE"""),"Daniel Verebi")</f>
        <v>Daniel Verebi</v>
      </c>
      <c r="B7274" s="1" t="str">
        <f>IFERROR(__xludf.DUMMYFUNCTION("""COMPUTED_VALUE"""),"HS")</f>
        <v>HS</v>
      </c>
    </row>
    <row r="7275" ht="15.75" customHeight="1">
      <c r="A7275" s="1" t="str">
        <f>IFERROR(__xludf.DUMMYFUNCTION("""COMPUTED_VALUE"""),"Samuel Viera")</f>
        <v>Samuel Viera</v>
      </c>
      <c r="B7275" s="1" t="str">
        <f>IFERROR(__xludf.DUMMYFUNCTION("""COMPUTED_VALUE"""),"HS")</f>
        <v>HS</v>
      </c>
    </row>
    <row r="7276" ht="15.75" customHeight="1">
      <c r="A7276" s="1" t="str">
        <f>IFERROR(__xludf.DUMMYFUNCTION("""COMPUTED_VALUE"""),"Fernanda Villa Valdes")</f>
        <v>Fernanda Villa Valdes</v>
      </c>
      <c r="B7276" s="1" t="str">
        <f>IFERROR(__xludf.DUMMYFUNCTION("""COMPUTED_VALUE"""),"HS")</f>
        <v>HS</v>
      </c>
    </row>
    <row r="7277" ht="15.75" customHeight="1">
      <c r="A7277" s="1" t="str">
        <f>IFERROR(__xludf.DUMMYFUNCTION("""COMPUTED_VALUE"""),"Eric Vivolo")</f>
        <v>Eric Vivolo</v>
      </c>
      <c r="B7277" s="1" t="str">
        <f>IFERROR(__xludf.DUMMYFUNCTION("""COMPUTED_VALUE"""),"HS")</f>
        <v>HS</v>
      </c>
    </row>
    <row r="7278" ht="15.75" customHeight="1">
      <c r="A7278" s="1" t="str">
        <f>IFERROR(__xludf.DUMMYFUNCTION("""COMPUTED_VALUE"""),"Michael White")</f>
        <v>Michael White</v>
      </c>
      <c r="B7278" s="1" t="str">
        <f>IFERROR(__xludf.DUMMYFUNCTION("""COMPUTED_VALUE"""),"HS")</f>
        <v>HS</v>
      </c>
    </row>
    <row r="7279" ht="15.75" customHeight="1">
      <c r="A7279" s="1" t="str">
        <f>IFERROR(__xludf.DUMMYFUNCTION("""COMPUTED_VALUE"""),"Isaiah Williams")</f>
        <v>Isaiah Williams</v>
      </c>
      <c r="B7279" s="1" t="str">
        <f>IFERROR(__xludf.DUMMYFUNCTION("""COMPUTED_VALUE"""),"HS")</f>
        <v>HS</v>
      </c>
    </row>
    <row r="7280" ht="15.75" customHeight="1">
      <c r="A7280" s="1" t="str">
        <f>IFERROR(__xludf.DUMMYFUNCTION("""COMPUTED_VALUE"""),"Kobe Williams")</f>
        <v>Kobe Williams</v>
      </c>
      <c r="B7280" s="1" t="str">
        <f>IFERROR(__xludf.DUMMYFUNCTION("""COMPUTED_VALUE"""),"HS")</f>
        <v>HS</v>
      </c>
    </row>
    <row r="7281" ht="15.75" customHeight="1">
      <c r="A7281" s="1" t="str">
        <f>IFERROR(__xludf.DUMMYFUNCTION("""COMPUTED_VALUE"""),"Timothy Windfelder")</f>
        <v>Timothy Windfelder</v>
      </c>
      <c r="B7281" s="1" t="str">
        <f>IFERROR(__xludf.DUMMYFUNCTION("""COMPUTED_VALUE"""),"HS")</f>
        <v>HS</v>
      </c>
    </row>
    <row r="7282" ht="15.75" customHeight="1">
      <c r="A7282" s="1" t="str">
        <f>IFERROR(__xludf.DUMMYFUNCTION("""COMPUTED_VALUE"""),"Alexandria Young")</f>
        <v>Alexandria Young</v>
      </c>
      <c r="B7282" s="1" t="str">
        <f>IFERROR(__xludf.DUMMYFUNCTION("""COMPUTED_VALUE"""),"HS")</f>
        <v>HS</v>
      </c>
    </row>
    <row r="7283" ht="15.75" customHeight="1">
      <c r="A7283" s="1" t="str">
        <f>IFERROR(__xludf.DUMMYFUNCTION("""COMPUTED_VALUE"""),"Riccardo Zago")</f>
        <v>Riccardo Zago</v>
      </c>
      <c r="B7283" s="1" t="str">
        <f>IFERROR(__xludf.DUMMYFUNCTION("""COMPUTED_VALUE"""),"HS")</f>
        <v>HS</v>
      </c>
    </row>
    <row r="7284" ht="15.75" customHeight="1">
      <c r="A7284" s="1" t="str">
        <f>IFERROR(__xludf.DUMMYFUNCTION("""COMPUTED_VALUE"""),"Madelyn Zingg")</f>
        <v>Madelyn Zingg</v>
      </c>
      <c r="B7284" s="1" t="str">
        <f>IFERROR(__xludf.DUMMYFUNCTION("""COMPUTED_VALUE"""),"HS")</f>
        <v>HS</v>
      </c>
    </row>
    <row r="7285" ht="15.75" customHeight="1">
      <c r="A7285" s="1" t="str">
        <f>IFERROR(__xludf.DUMMYFUNCTION("""COMPUTED_VALUE"""),"Ja'Yon Alexander")</f>
        <v>Ja'Yon Alexander</v>
      </c>
      <c r="B7285" s="1" t="str">
        <f>IFERROR(__xludf.DUMMYFUNCTION("""COMPUTED_VALUE"""),"HS")</f>
        <v>HS</v>
      </c>
    </row>
    <row r="7286" ht="15.75" customHeight="1">
      <c r="A7286" s="1" t="str">
        <f>IFERROR(__xludf.DUMMYFUNCTION("""COMPUTED_VALUE"""),"Maral Batsanal")</f>
        <v>Maral Batsanal</v>
      </c>
      <c r="B7286" s="1" t="str">
        <f>IFERROR(__xludf.DUMMYFUNCTION("""COMPUTED_VALUE"""),"HS")</f>
        <v>HS</v>
      </c>
    </row>
    <row r="7287" ht="15.75" customHeight="1">
      <c r="A7287" s="1" t="str">
        <f>IFERROR(__xludf.DUMMYFUNCTION("""COMPUTED_VALUE"""),"Gabriel Bosler-Kilmer")</f>
        <v>Gabriel Bosler-Kilmer</v>
      </c>
      <c r="B7287" s="1" t="str">
        <f>IFERROR(__xludf.DUMMYFUNCTION("""COMPUTED_VALUE"""),"HS")</f>
        <v>HS</v>
      </c>
    </row>
    <row r="7288" ht="15.75" customHeight="1">
      <c r="A7288" s="1" t="str">
        <f>IFERROR(__xludf.DUMMYFUNCTION("""COMPUTED_VALUE"""),"Soccoro Bowen")</f>
        <v>Soccoro Bowen</v>
      </c>
      <c r="B7288" s="1" t="str">
        <f>IFERROR(__xludf.DUMMYFUNCTION("""COMPUTED_VALUE"""),"HS")</f>
        <v>HS</v>
      </c>
    </row>
    <row r="7289" ht="15.75" customHeight="1">
      <c r="A7289" s="1" t="str">
        <f>IFERROR(__xludf.DUMMYFUNCTION("""COMPUTED_VALUE"""),"Hannah Campbell")</f>
        <v>Hannah Campbell</v>
      </c>
      <c r="B7289" s="1" t="str">
        <f>IFERROR(__xludf.DUMMYFUNCTION("""COMPUTED_VALUE"""),"HS")</f>
        <v>HS</v>
      </c>
    </row>
    <row r="7290" ht="15.75" customHeight="1">
      <c r="A7290" s="1" t="str">
        <f>IFERROR(__xludf.DUMMYFUNCTION("""COMPUTED_VALUE"""),"Reed Cotton")</f>
        <v>Reed Cotton</v>
      </c>
      <c r="B7290" s="1" t="str">
        <f>IFERROR(__xludf.DUMMYFUNCTION("""COMPUTED_VALUE"""),"HS")</f>
        <v>HS</v>
      </c>
    </row>
    <row r="7291" ht="15.75" customHeight="1">
      <c r="A7291" s="1" t="str">
        <f>IFERROR(__xludf.DUMMYFUNCTION("""COMPUTED_VALUE"""),"Erkhes Enkhtur")</f>
        <v>Erkhes Enkhtur</v>
      </c>
      <c r="B7291" s="1" t="str">
        <f>IFERROR(__xludf.DUMMYFUNCTION("""COMPUTED_VALUE"""),"HS")</f>
        <v>HS</v>
      </c>
    </row>
    <row r="7292" ht="15.75" customHeight="1">
      <c r="A7292" s="1" t="str">
        <f>IFERROR(__xludf.DUMMYFUNCTION("""COMPUTED_VALUE"""),"Ronald Ford")</f>
        <v>Ronald Ford</v>
      </c>
      <c r="B7292" s="1" t="str">
        <f>IFERROR(__xludf.DUMMYFUNCTION("""COMPUTED_VALUE"""),"HS")</f>
        <v>HS</v>
      </c>
    </row>
    <row r="7293" ht="15.75" customHeight="1">
      <c r="A7293" s="1" t="str">
        <f>IFERROR(__xludf.DUMMYFUNCTION("""COMPUTED_VALUE"""),"Minh Hoang")</f>
        <v>Minh Hoang</v>
      </c>
      <c r="B7293" s="1" t="str">
        <f>IFERROR(__xludf.DUMMYFUNCTION("""COMPUTED_VALUE"""),"HS")</f>
        <v>HS</v>
      </c>
    </row>
    <row r="7294" ht="15.75" customHeight="1">
      <c r="A7294" s="1" t="str">
        <f>IFERROR(__xludf.DUMMYFUNCTION("""COMPUTED_VALUE"""),"Alex Irons")</f>
        <v>Alex Irons</v>
      </c>
      <c r="B7294" s="1" t="str">
        <f>IFERROR(__xludf.DUMMYFUNCTION("""COMPUTED_VALUE"""),"HS")</f>
        <v>HS</v>
      </c>
    </row>
    <row r="7295" ht="15.75" customHeight="1">
      <c r="A7295" s="1" t="str">
        <f>IFERROR(__xludf.DUMMYFUNCTION("""COMPUTED_VALUE"""),"José Leal Sosa")</f>
        <v>José Leal Sosa</v>
      </c>
      <c r="B7295" s="1" t="str">
        <f>IFERROR(__xludf.DUMMYFUNCTION("""COMPUTED_VALUE"""),"HS")</f>
        <v>HS</v>
      </c>
    </row>
    <row r="7296" ht="15.75" customHeight="1">
      <c r="A7296" s="1" t="str">
        <f>IFERROR(__xludf.DUMMYFUNCTION("""COMPUTED_VALUE"""),"Bernardo Lopes")</f>
        <v>Bernardo Lopes</v>
      </c>
      <c r="B7296" s="1" t="str">
        <f>IFERROR(__xludf.DUMMYFUNCTION("""COMPUTED_VALUE"""),"HS")</f>
        <v>HS</v>
      </c>
    </row>
    <row r="7297" ht="15.75" customHeight="1">
      <c r="A7297" s="1" t="str">
        <f>IFERROR(__xludf.DUMMYFUNCTION("""COMPUTED_VALUE"""),"Taya Mack")</f>
        <v>Taya Mack</v>
      </c>
      <c r="B7297" s="1" t="str">
        <f>IFERROR(__xludf.DUMMYFUNCTION("""COMPUTED_VALUE"""),"HS")</f>
        <v>HS</v>
      </c>
    </row>
    <row r="7298" ht="15.75" customHeight="1">
      <c r="A7298" s="1" t="str">
        <f>IFERROR(__xludf.DUMMYFUNCTION("""COMPUTED_VALUE"""),"Pablo Martinez")</f>
        <v>Pablo Martinez</v>
      </c>
      <c r="B7298" s="1" t="str">
        <f>IFERROR(__xludf.DUMMYFUNCTION("""COMPUTED_VALUE"""),"HS")</f>
        <v>HS</v>
      </c>
    </row>
    <row r="7299" ht="15.75" customHeight="1">
      <c r="A7299" s="1" t="str">
        <f>IFERROR(__xludf.DUMMYFUNCTION("""COMPUTED_VALUE"""),"Maya Peilet")</f>
        <v>Maya Peilet</v>
      </c>
      <c r="B7299" s="1" t="str">
        <f>IFERROR(__xludf.DUMMYFUNCTION("""COMPUTED_VALUE"""),"HS")</f>
        <v>HS</v>
      </c>
    </row>
    <row r="7300" ht="15.75" customHeight="1">
      <c r="A7300" s="1" t="str">
        <f>IFERROR(__xludf.DUMMYFUNCTION("""COMPUTED_VALUE"""),"Alain Peña Oleaga")</f>
        <v>Alain Peña Oleaga</v>
      </c>
      <c r="B7300" s="1" t="str">
        <f>IFERROR(__xludf.DUMMYFUNCTION("""COMPUTED_VALUE"""),"HS")</f>
        <v>HS</v>
      </c>
    </row>
    <row r="7301" ht="15.75" customHeight="1">
      <c r="A7301" s="1" t="str">
        <f>IFERROR(__xludf.DUMMYFUNCTION("""COMPUTED_VALUE"""),"Lena Rossetti")</f>
        <v>Lena Rossetti</v>
      </c>
      <c r="B7301" s="1" t="str">
        <f>IFERROR(__xludf.DUMMYFUNCTION("""COMPUTED_VALUE"""),"HS")</f>
        <v>HS</v>
      </c>
    </row>
    <row r="7302" ht="15.75" customHeight="1">
      <c r="A7302" s="1" t="str">
        <f>IFERROR(__xludf.DUMMYFUNCTION("""COMPUTED_VALUE"""),"Ohunayo Shogaolu")</f>
        <v>Ohunayo Shogaolu</v>
      </c>
      <c r="B7302" s="1" t="str">
        <f>IFERROR(__xludf.DUMMYFUNCTION("""COMPUTED_VALUE"""),"HS")</f>
        <v>HS</v>
      </c>
    </row>
    <row r="7303" ht="15.75" customHeight="1">
      <c r="A7303" s="1" t="str">
        <f>IFERROR(__xludf.DUMMYFUNCTION("""COMPUTED_VALUE"""),"Giulia Sironi")</f>
        <v>Giulia Sironi</v>
      </c>
      <c r="B7303" s="1" t="str">
        <f>IFERROR(__xludf.DUMMYFUNCTION("""COMPUTED_VALUE"""),"HS")</f>
        <v>HS</v>
      </c>
    </row>
    <row r="7304" ht="15.75" customHeight="1">
      <c r="A7304" s="1" t="str">
        <f>IFERROR(__xludf.DUMMYFUNCTION("""COMPUTED_VALUE"""),"Imala Smith-Edwards")</f>
        <v>Imala Smith-Edwards</v>
      </c>
      <c r="B7304" s="1" t="str">
        <f>IFERROR(__xludf.DUMMYFUNCTION("""COMPUTED_VALUE"""),"HS")</f>
        <v>HS</v>
      </c>
    </row>
    <row r="7305" ht="15.75" customHeight="1">
      <c r="A7305" s="1" t="str">
        <f>IFERROR(__xludf.DUMMYFUNCTION("""COMPUTED_VALUE"""),"Owen Willaman")</f>
        <v>Owen Willaman</v>
      </c>
      <c r="B7305" s="1" t="str">
        <f>IFERROR(__xludf.DUMMYFUNCTION("""COMPUTED_VALUE"""),"HS")</f>
        <v>HS</v>
      </c>
    </row>
    <row r="7306" ht="15.75" customHeight="1">
      <c r="A7306" s="1" t="str">
        <f>IFERROR(__xludf.DUMMYFUNCTION("""COMPUTED_VALUE"""),"Jackson Williams")</f>
        <v>Jackson Williams</v>
      </c>
      <c r="B7306" s="1" t="str">
        <f>IFERROR(__xludf.DUMMYFUNCTION("""COMPUTED_VALUE"""),"HS")</f>
        <v>HS</v>
      </c>
    </row>
    <row r="7307" ht="15.75" customHeight="1">
      <c r="A7307" s="1" t="str">
        <f>IFERROR(__xludf.DUMMYFUNCTION("""COMPUTED_VALUE"""),"Bosiaki Nathan")</f>
        <v>Bosiaki Nathan</v>
      </c>
      <c r="B7307" s="1" t="str">
        <f>IFERROR(__xludf.DUMMYFUNCTION("""COMPUTED_VALUE"""),"HS")</f>
        <v>HS</v>
      </c>
    </row>
    <row r="7308" ht="15.75" customHeight="1">
      <c r="A7308" s="1" t="str">
        <f>IFERROR(__xludf.DUMMYFUNCTION("""COMPUTED_VALUE"""),"Busch Bray")</f>
        <v>Busch Bray</v>
      </c>
      <c r="B7308" s="1" t="str">
        <f>IFERROR(__xludf.DUMMYFUNCTION("""COMPUTED_VALUE"""),"HS")</f>
        <v>HS</v>
      </c>
    </row>
    <row r="7309" ht="15.75" customHeight="1">
      <c r="A7309" s="1" t="str">
        <f>IFERROR(__xludf.DUMMYFUNCTION("""COMPUTED_VALUE"""),"Srapman Maria")</f>
        <v>Srapman Maria</v>
      </c>
      <c r="B7309" s="1" t="str">
        <f>IFERROR(__xludf.DUMMYFUNCTION("""COMPUTED_VALUE"""),"HS")</f>
        <v>HS</v>
      </c>
    </row>
    <row r="7310" ht="15.75" customHeight="1">
      <c r="A7310" s="1" t="str">
        <f>IFERROR(__xludf.DUMMYFUNCTION("""COMPUTED_VALUE"""),"Buckingham Ian")</f>
        <v>Buckingham Ian</v>
      </c>
      <c r="B7310" s="1" t="str">
        <f>IFERROR(__xludf.DUMMYFUNCTION("""COMPUTED_VALUE"""),"HS")</f>
        <v>HS</v>
      </c>
    </row>
    <row r="7311" ht="15.75" customHeight="1">
      <c r="A7311" s="1" t="str">
        <f>IFERROR(__xludf.DUMMYFUNCTION("""COMPUTED_VALUE"""),"Naomi Berens")</f>
        <v>Naomi Berens</v>
      </c>
      <c r="B7311" s="1" t="str">
        <f>IFERROR(__xludf.DUMMYFUNCTION("""COMPUTED_VALUE"""),"L2")</f>
        <v>L2</v>
      </c>
    </row>
    <row r="7312" ht="15.75" customHeight="1">
      <c r="A7312" s="1" t="str">
        <f>IFERROR(__xludf.DUMMYFUNCTION("""COMPUTED_VALUE"""),"Zara Berens")</f>
        <v>Zara Berens</v>
      </c>
      <c r="B7312" s="1" t="str">
        <f>IFERROR(__xludf.DUMMYFUNCTION("""COMPUTED_VALUE"""),"L1")</f>
        <v>L1</v>
      </c>
    </row>
    <row r="7313" ht="15.75" customHeight="1">
      <c r="A7313" s="1" t="str">
        <f>IFERROR(__xludf.DUMMYFUNCTION("""COMPUTED_VALUE"""),"Manvik Visvanathan")</f>
        <v>Manvik Visvanathan</v>
      </c>
      <c r="B7313" s="1" t="str">
        <f>IFERROR(__xludf.DUMMYFUNCTION("""COMPUTED_VALUE"""),"WL")</f>
        <v>WL</v>
      </c>
    </row>
    <row r="7314" ht="15.75" customHeight="1">
      <c r="A7314" s="1" t="str">
        <f>IFERROR(__xludf.DUMMYFUNCTION("""COMPUTED_VALUE"""),"Alessia Steele")</f>
        <v>Alessia Steele</v>
      </c>
      <c r="B7314" s="1" t="str">
        <f>IFERROR(__xludf.DUMMYFUNCTION("""COMPUTED_VALUE"""),"L1")</f>
        <v>L1</v>
      </c>
    </row>
    <row r="7315" ht="15.75" customHeight="1">
      <c r="A7315" s="1" t="str">
        <f>IFERROR(__xludf.DUMMYFUNCTION("""COMPUTED_VALUE"""),"Gaia Gottlib")</f>
        <v>Gaia Gottlib</v>
      </c>
      <c r="B7315" s="1" t="str">
        <f>IFERROR(__xludf.DUMMYFUNCTION("""COMPUTED_VALUE"""),"WL")</f>
        <v>WL</v>
      </c>
    </row>
    <row r="7316" ht="15.75" customHeight="1">
      <c r="A7316" s="1" t="str">
        <f>IFERROR(__xludf.DUMMYFUNCTION("""COMPUTED_VALUE"""),"Jaan Moitra")</f>
        <v>Jaan Moitra</v>
      </c>
      <c r="B7316" s="1" t="str">
        <f>IFERROR(__xludf.DUMMYFUNCTION("""COMPUTED_VALUE"""),"L1")</f>
        <v>L1</v>
      </c>
    </row>
    <row r="7317" ht="15.75" customHeight="1">
      <c r="A7317" s="1" t="str">
        <f>IFERROR(__xludf.DUMMYFUNCTION("""COMPUTED_VALUE"""),"Deyar Ghanayem")</f>
        <v>Deyar Ghanayem</v>
      </c>
      <c r="B7317" s="1" t="str">
        <f>IFERROR(__xludf.DUMMYFUNCTION("""COMPUTED_VALUE"""),"L1")</f>
        <v>L1</v>
      </c>
    </row>
    <row r="7318" ht="15.75" customHeight="1">
      <c r="A7318" s="1" t="str">
        <f>IFERROR(__xludf.DUMMYFUNCTION("""COMPUTED_VALUE"""),"Keena Ghanayem")</f>
        <v>Keena Ghanayem</v>
      </c>
      <c r="B7318" s="1" t="str">
        <f>IFERROR(__xludf.DUMMYFUNCTION("""COMPUTED_VALUE"""),"WL")</f>
        <v>WL</v>
      </c>
    </row>
    <row r="7319" ht="15.75" customHeight="1">
      <c r="A7319" s="1" t="str">
        <f>IFERROR(__xludf.DUMMYFUNCTION("""COMPUTED_VALUE"""),"Ellis Rebek")</f>
        <v>Ellis Rebek</v>
      </c>
      <c r="B7319" s="1" t="str">
        <f>IFERROR(__xludf.DUMMYFUNCTION("""COMPUTED_VALUE"""),"WL")</f>
        <v>WL</v>
      </c>
    </row>
    <row r="7320" ht="15.75" customHeight="1">
      <c r="A7320" s="1" t="str">
        <f>IFERROR(__xludf.DUMMYFUNCTION("""COMPUTED_VALUE"""),"Julian Naseralavi")</f>
        <v>Julian Naseralavi</v>
      </c>
      <c r="B7320" s="1" t="str">
        <f>IFERROR(__xludf.DUMMYFUNCTION("""COMPUTED_VALUE"""),"L2")</f>
        <v>L2</v>
      </c>
    </row>
    <row r="7321" ht="15.75" customHeight="1">
      <c r="A7321" s="1" t="str">
        <f>IFERROR(__xludf.DUMMYFUNCTION("""COMPUTED_VALUE"""),"Asher Heller")</f>
        <v>Asher Heller</v>
      </c>
      <c r="B7321" s="1" t="str">
        <f>IFERROR(__xludf.DUMMYFUNCTION("""COMPUTED_VALUE"""),"LL")</f>
        <v>LL</v>
      </c>
    </row>
    <row r="7322" ht="15.75" customHeight="1">
      <c r="A7322" s="1" t="str">
        <f>IFERROR(__xludf.DUMMYFUNCTION("""COMPUTED_VALUE"""),"Mika Wang")</f>
        <v>Mika Wang</v>
      </c>
      <c r="B7322" s="1" t="str">
        <f>IFERROR(__xludf.DUMMYFUNCTION("""COMPUTED_VALUE"""),"WL")</f>
        <v>WL</v>
      </c>
    </row>
    <row r="7323" ht="15.75" customHeight="1">
      <c r="A7323" s="1" t="str">
        <f>IFERROR(__xludf.DUMMYFUNCTION("""COMPUTED_VALUE"""),"Arthur Johan Stabell")</f>
        <v>Arthur Johan Stabell</v>
      </c>
      <c r="B7323" s="1" t="str">
        <f>IFERROR(__xludf.DUMMYFUNCTION("""COMPUTED_VALUE"""),"WL")</f>
        <v>WL</v>
      </c>
    </row>
    <row r="7324" ht="15.75" customHeight="1">
      <c r="A7324" s="1" t="str">
        <f>IFERROR(__xludf.DUMMYFUNCTION("""COMPUTED_VALUE"""),"Mahi Shah")</f>
        <v>Mahi Shah</v>
      </c>
      <c r="B7324" s="1" t="str">
        <f>IFERROR(__xludf.DUMMYFUNCTION("""COMPUTED_VALUE"""),"L1")</f>
        <v>L1</v>
      </c>
    </row>
    <row r="7325" ht="15.75" customHeight="1">
      <c r="A7325" s="1" t="str">
        <f>IFERROR(__xludf.DUMMYFUNCTION("""COMPUTED_VALUE"""),"Kelly Duan")</f>
        <v>Kelly Duan</v>
      </c>
      <c r="B7325" s="1" t="str">
        <f>IFERROR(__xludf.DUMMYFUNCTION("""COMPUTED_VALUE"""),"WL")</f>
        <v>WL</v>
      </c>
    </row>
    <row r="7326" ht="15.75" customHeight="1">
      <c r="A7326" s="1" t="str">
        <f>IFERROR(__xludf.DUMMYFUNCTION("""COMPUTED_VALUE"""),"Luke Murray")</f>
        <v>Luke Murray</v>
      </c>
      <c r="B7326" s="1" t="str">
        <f>IFERROR(__xludf.DUMMYFUNCTION("""COMPUTED_VALUE"""),"L2")</f>
        <v>L2</v>
      </c>
    </row>
    <row r="7327" ht="15.75" customHeight="1">
      <c r="A7327" s="1" t="str">
        <f>IFERROR(__xludf.DUMMYFUNCTION("""COMPUTED_VALUE"""),"Luke Siroker")</f>
        <v>Luke Siroker</v>
      </c>
      <c r="B7327" s="1" t="str">
        <f>IFERROR(__xludf.DUMMYFUNCTION("""COMPUTED_VALUE"""),"L1")</f>
        <v>L1</v>
      </c>
    </row>
    <row r="7328" ht="15.75" customHeight="1">
      <c r="A7328" s="1" t="str">
        <f>IFERROR(__xludf.DUMMYFUNCTION("""COMPUTED_VALUE"""),"Alex Siroker")</f>
        <v>Alex Siroker</v>
      </c>
      <c r="B7328" s="1" t="str">
        <f>IFERROR(__xludf.DUMMYFUNCTION("""COMPUTED_VALUE"""),"WL")</f>
        <v>WL</v>
      </c>
    </row>
    <row r="7329" ht="15.75" customHeight="1">
      <c r="A7329" s="1" t="str">
        <f>IFERROR(__xludf.DUMMYFUNCTION("""COMPUTED_VALUE"""),"Alexandra Tsao")</f>
        <v>Alexandra Tsao</v>
      </c>
      <c r="B7329" s="1" t="str">
        <f>IFERROR(__xludf.DUMMYFUNCTION("""COMPUTED_VALUE"""),"LL")</f>
        <v>LL</v>
      </c>
    </row>
    <row r="7330" ht="15.75" customHeight="1">
      <c r="A7330" s="1" t="str">
        <f>IFERROR(__xludf.DUMMYFUNCTION("""COMPUTED_VALUE"""),"Emilia Arison")</f>
        <v>Emilia Arison</v>
      </c>
      <c r="B7330" s="1" t="str">
        <f>IFERROR(__xludf.DUMMYFUNCTION("""COMPUTED_VALUE"""),"LL")</f>
        <v>LL</v>
      </c>
    </row>
    <row r="7331" ht="15.75" customHeight="1">
      <c r="A7331" s="1" t="str">
        <f>IFERROR(__xludf.DUMMYFUNCTION("""COMPUTED_VALUE"""),"Luka Arison")</f>
        <v>Luka Arison</v>
      </c>
      <c r="B7331" s="1" t="str">
        <f>IFERROR(__xludf.DUMMYFUNCTION("""COMPUTED_VALUE"""),"LL")</f>
        <v>LL</v>
      </c>
    </row>
    <row r="7332" ht="15.75" customHeight="1">
      <c r="A7332" s="1" t="str">
        <f>IFERROR(__xludf.DUMMYFUNCTION("""COMPUTED_VALUE"""),"Rydeen Medri")</f>
        <v>Rydeen Medri</v>
      </c>
      <c r="B7332" s="1" t="str">
        <f>IFERROR(__xludf.DUMMYFUNCTION("""COMPUTED_VALUE"""),"WL")</f>
        <v>WL</v>
      </c>
    </row>
    <row r="7333" ht="15.75" customHeight="1">
      <c r="A7333" s="1" t="str">
        <f>IFERROR(__xludf.DUMMYFUNCTION("""COMPUTED_VALUE"""),"Arjan Tyagi")</f>
        <v>Arjan Tyagi</v>
      </c>
      <c r="B7333" s="1" t="str">
        <f>IFERROR(__xludf.DUMMYFUNCTION("""COMPUTED_VALUE"""),"L2")</f>
        <v>L2</v>
      </c>
    </row>
    <row r="7334" ht="15.75" customHeight="1">
      <c r="A7334" s="1" t="str">
        <f>IFERROR(__xludf.DUMMYFUNCTION("""COMPUTED_VALUE"""),"Dashel Ludwick")</f>
        <v>Dashel Ludwick</v>
      </c>
      <c r="B7334" s="1" t="str">
        <f>IFERROR(__xludf.DUMMYFUNCTION("""COMPUTED_VALUE"""),"L2")</f>
        <v>L2</v>
      </c>
    </row>
    <row r="7335" ht="15.75" customHeight="1">
      <c r="A7335" s="1" t="str">
        <f>IFERROR(__xludf.DUMMYFUNCTION("""COMPUTED_VALUE"""),"Graham Ludwick")</f>
        <v>Graham Ludwick</v>
      </c>
      <c r="B7335" s="1" t="str">
        <f>IFERROR(__xludf.DUMMYFUNCTION("""COMPUTED_VALUE"""),"L1")</f>
        <v>L1</v>
      </c>
    </row>
    <row r="7336" ht="15.75" customHeight="1">
      <c r="A7336" s="1" t="str">
        <f>IFERROR(__xludf.DUMMYFUNCTION("""COMPUTED_VALUE"""),"Raphaelle Angelos")</f>
        <v>Raphaelle Angelos</v>
      </c>
      <c r="B7336" s="1" t="str">
        <f>IFERROR(__xludf.DUMMYFUNCTION("""COMPUTED_VALUE"""),"MS")</f>
        <v>MS</v>
      </c>
    </row>
    <row r="7337" ht="15.75" customHeight="1">
      <c r="A7337" s="1" t="str">
        <f>IFERROR(__xludf.DUMMYFUNCTION("""COMPUTED_VALUE"""),"Josephine Angelos")</f>
        <v>Josephine Angelos</v>
      </c>
      <c r="B7337" s="1" t="str">
        <f>IFERROR(__xludf.DUMMYFUNCTION("""COMPUTED_VALUE"""),"L2")</f>
        <v>L2</v>
      </c>
    </row>
    <row r="7338" ht="15.75" customHeight="1">
      <c r="A7338" s="1" t="str">
        <f>IFERROR(__xludf.DUMMYFUNCTION("""COMPUTED_VALUE"""),"Aurelien Angelos")</f>
        <v>Aurelien Angelos</v>
      </c>
      <c r="B7338" s="1" t="str">
        <f>IFERROR(__xludf.DUMMYFUNCTION("""COMPUTED_VALUE"""),"LL")</f>
        <v>LL</v>
      </c>
    </row>
    <row r="7339" ht="15.75" customHeight="1">
      <c r="A7339" s="1" t="str">
        <f>IFERROR(__xludf.DUMMYFUNCTION("""COMPUTED_VALUE"""),"Kalia Brunelle")</f>
        <v>Kalia Brunelle</v>
      </c>
      <c r="B7339" s="1" t="str">
        <f>IFERROR(__xludf.DUMMYFUNCTION("""COMPUTED_VALUE"""),"L1")</f>
        <v>L1</v>
      </c>
    </row>
    <row r="7340" ht="15.75" customHeight="1">
      <c r="A7340" s="1" t="str">
        <f>IFERROR(__xludf.DUMMYFUNCTION("""COMPUTED_VALUE"""),"Keanna Brunelle")</f>
        <v>Keanna Brunelle</v>
      </c>
      <c r="B7340" s="1" t="str">
        <f>IFERROR(__xludf.DUMMYFUNCTION("""COMPUTED_VALUE"""),"L2")</f>
        <v>L2</v>
      </c>
    </row>
    <row r="7341" ht="15.75" customHeight="1">
      <c r="A7341" s="1" t="str">
        <f>IFERROR(__xludf.DUMMYFUNCTION("""COMPUTED_VALUE"""),"Katherine Ludwick")</f>
        <v>Katherine Ludwick</v>
      </c>
      <c r="B7341" s="1" t="str">
        <f>IFERROR(__xludf.DUMMYFUNCTION("""COMPUTED_VALUE"""),"MS")</f>
        <v>MS</v>
      </c>
    </row>
    <row r="7342" ht="15.75" customHeight="1">
      <c r="A7342" s="1" t="str">
        <f>IFERROR(__xludf.DUMMYFUNCTION("""COMPUTED_VALUE"""),"Leonardo Moura")</f>
        <v>Leonardo Moura</v>
      </c>
      <c r="B7342" s="1" t="str">
        <f>IFERROR(__xludf.DUMMYFUNCTION("""COMPUTED_VALUE"""),"MS")</f>
        <v>MS</v>
      </c>
    </row>
    <row r="7343" ht="15.75" customHeight="1">
      <c r="A7343" s="1" t="str">
        <f>IFERROR(__xludf.DUMMYFUNCTION("""COMPUTED_VALUE"""),"Leonardo Rocha")</f>
        <v>Leonardo Rocha</v>
      </c>
      <c r="B7343" s="1" t="str">
        <f>IFERROR(__xludf.DUMMYFUNCTION("""COMPUTED_VALUE"""),"L1")</f>
        <v>L1</v>
      </c>
    </row>
    <row r="7344" ht="15.75" customHeight="1">
      <c r="A7344" s="1" t="str">
        <f>IFERROR(__xludf.DUMMYFUNCTION("""COMPUTED_VALUE"""),"AdamLev Student")</f>
        <v>AdamLev Student</v>
      </c>
      <c r="B7344" s="1" t="str">
        <f>IFERROR(__xludf.DUMMYFUNCTION("""COMPUTED_VALUE"""),"HS")</f>
        <v>HS</v>
      </c>
    </row>
    <row r="7345" ht="15.75" customHeight="1">
      <c r="A7345" s="1" t="str">
        <f>IFERROR(__xludf.DUMMYFUNCTION("""COMPUTED_VALUE"""),"Stephanie Test")</f>
        <v>Stephanie Test</v>
      </c>
      <c r="B7345" s="1" t="str">
        <f>IFERROR(__xludf.DUMMYFUNCTION("""COMPUTED_VALUE"""),"MS")</f>
        <v>MS</v>
      </c>
    </row>
    <row r="7346" ht="15.75" customHeight="1">
      <c r="A7346" s="1" t="str">
        <f>IFERROR(__xludf.DUMMYFUNCTION("""COMPUTED_VALUE"""),"Zara Williams")</f>
        <v>Zara Williams</v>
      </c>
      <c r="B7346" s="1" t="str">
        <f>IFERROR(__xludf.DUMMYFUNCTION("""COMPUTED_VALUE"""),"HS")</f>
        <v>HS</v>
      </c>
    </row>
    <row r="7347" ht="15.75" customHeight="1">
      <c r="A7347" s="1" t="str">
        <f>IFERROR(__xludf.DUMMYFUNCTION("""COMPUTED_VALUE"""),"Test Malawi")</f>
        <v>Test Malawi</v>
      </c>
      <c r="B7347" s="1" t="str">
        <f>IFERROR(__xludf.DUMMYFUNCTION("""COMPUTED_VALUE"""),"MS")</f>
        <v>MS</v>
      </c>
    </row>
    <row r="7348" ht="15.75" customHeight="1">
      <c r="A7348" s="1" t="str">
        <f>IFERROR(__xludf.DUMMYFUNCTION("""COMPUTED_VALUE"""),"TwoHour Student")</f>
        <v>TwoHour Student</v>
      </c>
      <c r="B7348" s="1" t="str">
        <f>IFERROR(__xludf.DUMMYFUNCTION("""COMPUTED_VALUE"""),"L2")</f>
        <v>L2</v>
      </c>
    </row>
    <row r="7349" ht="15.75" customHeight="1">
      <c r="A7349" s="1" t="str">
        <f>IFERROR(__xludf.DUMMYFUNCTION("""COMPUTED_VALUE"""),"Test Testing01")</f>
        <v>Test Testing01</v>
      </c>
      <c r="B7349" s="1" t="str">
        <f>IFERROR(__xludf.DUMMYFUNCTION("""COMPUTED_VALUE"""),"MS")</f>
        <v>MS</v>
      </c>
    </row>
    <row r="7350" ht="15.75" customHeight="1">
      <c r="A7350" s="1" t="str">
        <f>IFERROR(__xludf.DUMMYFUNCTION("""COMPUTED_VALUE"""),"Test Testing02")</f>
        <v>Test Testing02</v>
      </c>
      <c r="B7350" s="1" t="str">
        <f>IFERROR(__xludf.DUMMYFUNCTION("""COMPUTED_VALUE"""),"MS")</f>
        <v>MS</v>
      </c>
    </row>
    <row r="7351" ht="15.75" customHeight="1">
      <c r="A7351" s="1" t="str">
        <f>IFERROR(__xludf.DUMMYFUNCTION("""COMPUTED_VALUE"""),"Maria Edison")</f>
        <v>Maria Edison</v>
      </c>
      <c r="B7351" s="1" t="str">
        <f>IFERROR(__xludf.DUMMYFUNCTION("""COMPUTED_VALUE"""),"HS")</f>
        <v>HS</v>
      </c>
    </row>
    <row r="7352" ht="15.75" customHeight="1">
      <c r="A7352" s="1" t="str">
        <f>IFERROR(__xludf.DUMMYFUNCTION("""COMPUTED_VALUE"""),"Hayley Wade")</f>
        <v>Hayley Wade</v>
      </c>
      <c r="B7352" s="1" t="str">
        <f>IFERROR(__xludf.DUMMYFUNCTION("""COMPUTED_VALUE"""),"L2")</f>
        <v>L2</v>
      </c>
    </row>
    <row r="7353" ht="15.75" customHeight="1">
      <c r="A7353" s="1" t="str">
        <f>IFERROR(__xludf.DUMMYFUNCTION("""COMPUTED_VALUE"""),"Spartan Student")</f>
        <v>Spartan Student</v>
      </c>
      <c r="B7353" s="1" t="str">
        <f>IFERROR(__xludf.DUMMYFUNCTION("""COMPUTED_VALUE"""),"HS")</f>
        <v>HS</v>
      </c>
    </row>
    <row r="7354" ht="15.75" customHeight="1">
      <c r="A7354" s="1" t="str">
        <f>IFERROR(__xludf.DUMMYFUNCTION("""COMPUTED_VALUE"""),"Hayley2 Wade2")</f>
        <v>Hayley2 Wade2</v>
      </c>
      <c r="B7354" s="1" t="str">
        <f>IFERROR(__xludf.DUMMYFUNCTION("""COMPUTED_VALUE"""),"L2")</f>
        <v>L2</v>
      </c>
    </row>
    <row r="7355" ht="15.75" customHeight="1">
      <c r="A7355" s="1" t="str">
        <f>IFERROR(__xludf.DUMMYFUNCTION("""COMPUTED_VALUE"""),"Millie Church")</f>
        <v>Millie Church</v>
      </c>
      <c r="B7355" s="1" t="str">
        <f>IFERROR(__xludf.DUMMYFUNCTION("""COMPUTED_VALUE"""),"LL")</f>
        <v>LL</v>
      </c>
    </row>
    <row r="7356" ht="15.75" customHeight="1">
      <c r="A7356" s="1" t="str">
        <f>IFERROR(__xludf.DUMMYFUNCTION("""COMPUTED_VALUE"""),"Giada Sabatini")</f>
        <v>Giada Sabatini</v>
      </c>
      <c r="B7356" s="1" t="str">
        <f>IFERROR(__xludf.DUMMYFUNCTION("""COMPUTED_VALUE"""),"HS")</f>
        <v>HS</v>
      </c>
    </row>
    <row r="7357" ht="15.75" customHeight="1">
      <c r="A7357" s="1" t="str">
        <f>IFERROR(__xludf.DUMMYFUNCTION("""COMPUTED_VALUE"""),"Kensington Moore")</f>
        <v>Kensington Moore</v>
      </c>
      <c r="B7357" s="1" t="str">
        <f>IFERROR(__xludf.DUMMYFUNCTION("""COMPUTED_VALUE"""),"HS")</f>
        <v>HS</v>
      </c>
    </row>
    <row r="7358" ht="15.75" customHeight="1">
      <c r="A7358" s="1" t="str">
        <f>IFERROR(__xludf.DUMMYFUNCTION("""COMPUTED_VALUE"""),"Test idospartan")</f>
        <v>Test idospartan</v>
      </c>
      <c r="B7358" s="1" t="str">
        <f>IFERROR(__xludf.DUMMYFUNCTION("""COMPUTED_VALUE"""),"MS")</f>
        <v>MS</v>
      </c>
    </row>
    <row r="7359" ht="15.75" customHeight="1">
      <c r="A7359" s="1" t="str">
        <f>IFERROR(__xludf.DUMMYFUNCTION("""COMPUTED_VALUE"""),"Alexandra De Sena")</f>
        <v>Alexandra De Sena</v>
      </c>
      <c r="B7359" s="1" t="str">
        <f>IFERROR(__xludf.DUMMYFUNCTION("""COMPUTED_VALUE"""),"MS")</f>
        <v>MS</v>
      </c>
    </row>
    <row r="7360" ht="15.75" customHeight="1">
      <c r="A7360" s="1" t="str">
        <f>IFERROR(__xludf.DUMMYFUNCTION("""COMPUTED_VALUE"""),"Charlie De Sena")</f>
        <v>Charlie De Sena</v>
      </c>
      <c r="B7360" s="1" t="str">
        <f>IFERROR(__xludf.DUMMYFUNCTION("""COMPUTED_VALUE"""),"HS")</f>
        <v>HS</v>
      </c>
    </row>
    <row r="7361" ht="15.75" customHeight="1">
      <c r="A7361" s="1" t="str">
        <f>IFERROR(__xludf.DUMMYFUNCTION("""COMPUTED_VALUE"""),"Liam Davis")</f>
        <v>Liam Davis</v>
      </c>
      <c r="B7361" s="1" t="str">
        <f>IFERROR(__xludf.DUMMYFUNCTION("""COMPUTED_VALUE"""),"HS")</f>
        <v>HS</v>
      </c>
    </row>
    <row r="7362" ht="15.75" customHeight="1">
      <c r="A7362" s="1" t="str">
        <f>IFERROR(__xludf.DUMMYFUNCTION("""COMPUTED_VALUE"""),"Catherine De Sena")</f>
        <v>Catherine De Sena</v>
      </c>
      <c r="B7362" s="1" t="str">
        <f>IFERROR(__xludf.DUMMYFUNCTION("""COMPUTED_VALUE"""),"HS")</f>
        <v>HS</v>
      </c>
    </row>
    <row r="7363" ht="15.75" customHeight="1">
      <c r="A7363" s="1" t="str">
        <f>IFERROR(__xludf.DUMMYFUNCTION("""COMPUTED_VALUE"""),"Test2 idospartan2")</f>
        <v>Test2 idospartan2</v>
      </c>
      <c r="B7363" s="1" t="str">
        <f>IFERROR(__xludf.DUMMYFUNCTION("""COMPUTED_VALUE"""),"MS")</f>
        <v>MS</v>
      </c>
    </row>
    <row r="7364" ht="15.75" customHeight="1">
      <c r="A7364" s="1" t="str">
        <f>IFERROR(__xludf.DUMMYFUNCTION("""COMPUTED_VALUE"""),"Arianna Calderon")</f>
        <v>Arianna Calderon</v>
      </c>
      <c r="B7364" s="1" t="str">
        <f>IFERROR(__xludf.DUMMYFUNCTION("""COMPUTED_VALUE"""),"MS")</f>
        <v>MS</v>
      </c>
    </row>
    <row r="7365" ht="15.75" customHeight="1">
      <c r="A7365" s="1" t="str">
        <f>IFERROR(__xludf.DUMMYFUNCTION("""COMPUTED_VALUE"""),"Mikey Nuques")</f>
        <v>Mikey Nuques</v>
      </c>
      <c r="B7365" s="1" t="str">
        <f>IFERROR(__xludf.DUMMYFUNCTION("""COMPUTED_VALUE"""),"MS")</f>
        <v>MS</v>
      </c>
    </row>
    <row r="7366" ht="15.75" customHeight="1">
      <c r="A7366" s="1" t="str">
        <f>IFERROR(__xludf.DUMMYFUNCTION("""COMPUTED_VALUE"""),"Nicholas Pellagrini")</f>
        <v>Nicholas Pellagrini</v>
      </c>
      <c r="B7366" s="1" t="str">
        <f>IFERROR(__xludf.DUMMYFUNCTION("""COMPUTED_VALUE"""),"HS")</f>
        <v>HS</v>
      </c>
    </row>
    <row r="7367" ht="15.75" customHeight="1">
      <c r="A7367" s="1" t="str">
        <f>IFERROR(__xludf.DUMMYFUNCTION("""COMPUTED_VALUE"""),"Patrick Months")</f>
        <v>Patrick Months</v>
      </c>
      <c r="B7367" s="1" t="str">
        <f>IFERROR(__xludf.DUMMYFUNCTION("""COMPUTED_VALUE"""),"L2")</f>
        <v>L2</v>
      </c>
    </row>
    <row r="7368" ht="15.75" customHeight="1">
      <c r="A7368" s="1" t="str">
        <f>IFERROR(__xludf.DUMMYFUNCTION("""COMPUTED_VALUE"""),"Peter days")</f>
        <v>Peter days</v>
      </c>
      <c r="B7368" s="1" t="str">
        <f>IFERROR(__xludf.DUMMYFUNCTION("""COMPUTED_VALUE"""),"L2")</f>
        <v>L2</v>
      </c>
    </row>
    <row r="7369" ht="15.75" customHeight="1">
      <c r="A7369" s="1" t="str">
        <f>IFERROR(__xludf.DUMMYFUNCTION("""COMPUTED_VALUE"""),"Guilherme Colombo")</f>
        <v>Guilherme Colombo</v>
      </c>
      <c r="B7369" s="1" t="str">
        <f>IFERROR(__xludf.DUMMYFUNCTION("""COMPUTED_VALUE"""),"MS")</f>
        <v>MS</v>
      </c>
    </row>
    <row r="7370" ht="15.75" customHeight="1">
      <c r="A7370" s="1" t="str">
        <f>IFERROR(__xludf.DUMMYFUNCTION("""COMPUTED_VALUE"""),"Payton DiSario")</f>
        <v>Payton DiSario</v>
      </c>
      <c r="B7370" s="1" t="str">
        <f>IFERROR(__xludf.DUMMYFUNCTION("""COMPUTED_VALUE"""),"L1")</f>
        <v>L1</v>
      </c>
    </row>
    <row r="7371" ht="15.75" customHeight="1">
      <c r="A7371" s="1" t="str">
        <f>IFERROR(__xludf.DUMMYFUNCTION("""COMPUTED_VALUE"""),"Jerren Nabors")</f>
        <v>Jerren Nabors</v>
      </c>
      <c r="B7371" s="1" t="str">
        <f>IFERROR(__xludf.DUMMYFUNCTION("""COMPUTED_VALUE"""),"MS")</f>
        <v>MS</v>
      </c>
    </row>
    <row r="7372" ht="15.75" customHeight="1">
      <c r="A7372" s="1" t="str">
        <f>IFERROR(__xludf.DUMMYFUNCTION("""COMPUTED_VALUE"""),"Test 4 _test_")</f>
        <v>Test 4 _test_</v>
      </c>
      <c r="B7372" s="1" t="str">
        <f>IFERROR(__xludf.DUMMYFUNCTION("""COMPUTED_VALUE"""),"HS")</f>
        <v>HS</v>
      </c>
    </row>
    <row r="7373" ht="15.75" customHeight="1">
      <c r="A7373" s="1" t="str">
        <f>IFERROR(__xludf.DUMMYFUNCTION("""COMPUTED_VALUE"""),"Bruna Rodrigues")</f>
        <v>Bruna Rodrigues</v>
      </c>
      <c r="B7373" s="1" t="str">
        <f>IFERROR(__xludf.DUMMYFUNCTION("""COMPUTED_VALUE"""),"HS")</f>
        <v>HS</v>
      </c>
    </row>
    <row r="7374" ht="15.75" customHeight="1">
      <c r="A7374" s="1" t="str">
        <f>IFERROR(__xludf.DUMMYFUNCTION("""COMPUTED_VALUE"""),"Canberk Yuksel")</f>
        <v>Canberk Yuksel</v>
      </c>
      <c r="B7374" s="1" t="str">
        <f>IFERROR(__xludf.DUMMYFUNCTION("""COMPUTED_VALUE"""),"L2")</f>
        <v>L2</v>
      </c>
    </row>
    <row r="7375" ht="15.75" customHeight="1">
      <c r="A7375" s="1" t="str">
        <f>IFERROR(__xludf.DUMMYFUNCTION("""COMPUTED_VALUE"""),"Daniela Guarin")</f>
        <v>Daniela Guarin</v>
      </c>
      <c r="B7375" s="1" t="str">
        <f>IFERROR(__xludf.DUMMYFUNCTION("""COMPUTED_VALUE"""),"L1")</f>
        <v>L1</v>
      </c>
    </row>
    <row r="7376" ht="15.75" customHeight="1">
      <c r="A7376" s="1" t="str">
        <f>IFERROR(__xludf.DUMMYFUNCTION("""COMPUTED_VALUE"""),"David Babagbale")</f>
        <v>David Babagbale</v>
      </c>
      <c r="B7376" s="1" t="str">
        <f>IFERROR(__xludf.DUMMYFUNCTION("""COMPUTED_VALUE"""),"HS")</f>
        <v>HS</v>
      </c>
    </row>
    <row r="7377" ht="15.75" customHeight="1">
      <c r="A7377" s="1" t="str">
        <f>IFERROR(__xludf.DUMMYFUNCTION("""COMPUTED_VALUE"""),"Filipe Barcellos")</f>
        <v>Filipe Barcellos</v>
      </c>
      <c r="B7377" s="1" t="str">
        <f>IFERROR(__xludf.DUMMYFUNCTION("""COMPUTED_VALUE"""),"MS")</f>
        <v>MS</v>
      </c>
    </row>
    <row r="7378" ht="15.75" customHeight="1">
      <c r="A7378" s="1" t="str">
        <f>IFERROR(__xludf.DUMMYFUNCTION("""COMPUTED_VALUE"""),"Javier Rodriguez")</f>
        <v>Javier Rodriguez</v>
      </c>
      <c r="B7378" s="1" t="str">
        <f>IFERROR(__xludf.DUMMYFUNCTION("""COMPUTED_VALUE"""),"MS")</f>
        <v>MS</v>
      </c>
    </row>
    <row r="7379" ht="15.75" customHeight="1">
      <c r="A7379" s="1" t="str">
        <f>IFERROR(__xludf.DUMMYFUNCTION("""COMPUTED_VALUE"""),"Joshua Albar")</f>
        <v>Joshua Albar</v>
      </c>
      <c r="B7379" s="1" t="str">
        <f>IFERROR(__xludf.DUMMYFUNCTION("""COMPUTED_VALUE"""),"MS")</f>
        <v>MS</v>
      </c>
    </row>
    <row r="7380" ht="15.75" customHeight="1">
      <c r="A7380" s="1" t="str">
        <f>IFERROR(__xludf.DUMMYFUNCTION("""COMPUTED_VALUE"""),"Laura Mejia")</f>
        <v>Laura Mejia</v>
      </c>
      <c r="B7380" s="1" t="str">
        <f>IFERROR(__xludf.DUMMYFUNCTION("""COMPUTED_VALUE"""),"L2")</f>
        <v>L2</v>
      </c>
    </row>
    <row r="7381" ht="15.75" customHeight="1">
      <c r="A7381" s="1" t="str">
        <f>IFERROR(__xludf.DUMMYFUNCTION("""COMPUTED_VALUE"""),"Nishal Nandwani")</f>
        <v>Nishal Nandwani</v>
      </c>
      <c r="B7381" s="1" t="str">
        <f>IFERROR(__xludf.DUMMYFUNCTION("""COMPUTED_VALUE"""),"L1")</f>
        <v>L1</v>
      </c>
    </row>
    <row r="7382" ht="15.75" customHeight="1">
      <c r="A7382" s="1" t="str">
        <f>IFERROR(__xludf.DUMMYFUNCTION("""COMPUTED_VALUE"""),"Piriyanga Janakarajan")</f>
        <v>Piriyanga Janakarajan</v>
      </c>
      <c r="B7382" s="1" t="str">
        <f>IFERROR(__xludf.DUMMYFUNCTION("""COMPUTED_VALUE"""),"HS")</f>
        <v>HS</v>
      </c>
    </row>
    <row r="7383" ht="15.75" customHeight="1">
      <c r="A7383" s="1" t="str">
        <f>IFERROR(__xludf.DUMMYFUNCTION("""COMPUTED_VALUE"""),"Raditya Dwiprasta")</f>
        <v>Raditya Dwiprasta</v>
      </c>
      <c r="B7383" s="1" t="str">
        <f>IFERROR(__xludf.DUMMYFUNCTION("""COMPUTED_VALUE"""),"MS")</f>
        <v>MS</v>
      </c>
    </row>
    <row r="7384" ht="15.75" customHeight="1">
      <c r="A7384" s="1" t="str">
        <f>IFERROR(__xludf.DUMMYFUNCTION("""COMPUTED_VALUE"""),"Ruchi Baid")</f>
        <v>Ruchi Baid</v>
      </c>
      <c r="B7384" s="1" t="str">
        <f>IFERROR(__xludf.DUMMYFUNCTION("""COMPUTED_VALUE"""),"MS")</f>
        <v>MS</v>
      </c>
    </row>
    <row r="7385" ht="15.75" customHeight="1">
      <c r="A7385" s="1" t="str">
        <f>IFERROR(__xludf.DUMMYFUNCTION("""COMPUTED_VALUE"""),"Vidhi Vashishth")</f>
        <v>Vidhi Vashishth</v>
      </c>
      <c r="B7385" s="1" t="str">
        <f>IFERROR(__xludf.DUMMYFUNCTION("""COMPUTED_VALUE"""),"HS")</f>
        <v>HS</v>
      </c>
    </row>
    <row r="7386" ht="15.75" customHeight="1">
      <c r="A7386" s="1" t="str">
        <f>IFERROR(__xludf.DUMMYFUNCTION("""COMPUTED_VALUE"""),"Tripti Khetan")</f>
        <v>Tripti Khetan</v>
      </c>
      <c r="B7386" s="1" t="str">
        <f>IFERROR(__xludf.DUMMYFUNCTION("""COMPUTED_VALUE"""),"L1")</f>
        <v>L1</v>
      </c>
    </row>
    <row r="7387" ht="15.75" customHeight="1">
      <c r="A7387" s="1" t="str">
        <f>IFERROR(__xludf.DUMMYFUNCTION("""COMPUTED_VALUE"""),"Danny Aranda")</f>
        <v>Danny Aranda</v>
      </c>
      <c r="B7387" s="1" t="str">
        <f>IFERROR(__xludf.DUMMYFUNCTION("""COMPUTED_VALUE"""),"HS")</f>
        <v>HS</v>
      </c>
    </row>
    <row r="7388" ht="15.75" customHeight="1">
      <c r="A7388" s="1" t="str">
        <f>IFERROR(__xludf.DUMMYFUNCTION("""COMPUTED_VALUE"""),"Noah Sarabia")</f>
        <v>Noah Sarabia</v>
      </c>
      <c r="B7388" s="1" t="str">
        <f>IFERROR(__xludf.DUMMYFUNCTION("""COMPUTED_VALUE"""),"HS")</f>
        <v>HS</v>
      </c>
    </row>
    <row r="7389" ht="15.75" customHeight="1">
      <c r="A7389" s="1" t="str">
        <f>IFERROR(__xludf.DUMMYFUNCTION("""COMPUTED_VALUE"""),"Johnny Smith")</f>
        <v>Johnny Smith</v>
      </c>
      <c r="B7389" s="1" t="str">
        <f>IFERROR(__xludf.DUMMYFUNCTION("""COMPUTED_VALUE"""),"L1")</f>
        <v>L1</v>
      </c>
    </row>
    <row r="7390" ht="15.75" customHeight="1">
      <c r="A7390" s="1" t="str">
        <f>IFERROR(__xludf.DUMMYFUNCTION("""COMPUTED_VALUE"""),"JaneX Doe")</f>
        <v>JaneX Doe</v>
      </c>
      <c r="B7390" s="1" t="str">
        <f>IFERROR(__xludf.DUMMYFUNCTION("""COMPUTED_VALUE"""),"LL")</f>
        <v>LL</v>
      </c>
    </row>
    <row r="7391" ht="15.75" customHeight="1">
      <c r="A7391" s="1" t="str">
        <f>IFERROR(__xludf.DUMMYFUNCTION("""COMPUTED_VALUE"""),"Emma Turvund")</f>
        <v>Emma Turvund</v>
      </c>
      <c r="B7391" s="1" t="str">
        <f>IFERROR(__xludf.DUMMYFUNCTION("""COMPUTED_VALUE"""),"L2")</f>
        <v>L2</v>
      </c>
    </row>
    <row r="7392" ht="15.75" customHeight="1">
      <c r="A7392" s="1" t="str">
        <f>IFERROR(__xludf.DUMMYFUNCTION("""COMPUTED_VALUE"""),"Malekai Mischke")</f>
        <v>Malekai Mischke</v>
      </c>
      <c r="B7392" s="1" t="str">
        <f>IFERROR(__xludf.DUMMYFUNCTION("""COMPUTED_VALUE"""),"L2")</f>
        <v>L2</v>
      </c>
    </row>
    <row r="7393" ht="15.75" customHeight="1">
      <c r="A7393" s="1" t="str">
        <f>IFERROR(__xludf.DUMMYFUNCTION("""COMPUTED_VALUE"""),"Giacomo Atterbury")</f>
        <v>Giacomo Atterbury</v>
      </c>
      <c r="B7393" s="1" t="str">
        <f>IFERROR(__xludf.DUMMYFUNCTION("""COMPUTED_VALUE"""),"MS")</f>
        <v>MS</v>
      </c>
    </row>
    <row r="7394" ht="15.75" customHeight="1">
      <c r="A7394" s="1" t="str">
        <f>IFERROR(__xludf.DUMMYFUNCTION("""COMPUTED_VALUE"""),"Andrew Hall")</f>
        <v>Andrew Hall</v>
      </c>
      <c r="B7394" s="1" t="str">
        <f>IFERROR(__xludf.DUMMYFUNCTION("""COMPUTED_VALUE"""),"L2")</f>
        <v>L2</v>
      </c>
    </row>
    <row r="7395" ht="15.75" customHeight="1">
      <c r="A7395" s="1" t="str">
        <f>IFERROR(__xludf.DUMMYFUNCTION("""COMPUTED_VALUE"""),"Lucas Hall")</f>
        <v>Lucas Hall</v>
      </c>
      <c r="B7395" s="1" t="str">
        <f>IFERROR(__xludf.DUMMYFUNCTION("""COMPUTED_VALUE"""),"L1")</f>
        <v>L1</v>
      </c>
    </row>
    <row r="7396" ht="15.75" customHeight="1">
      <c r="A7396" s="1" t="str">
        <f>IFERROR(__xludf.DUMMYFUNCTION("""COMPUTED_VALUE"""),"Aiden De Paz")</f>
        <v>Aiden De Paz</v>
      </c>
      <c r="B7396" s="1" t="str">
        <f>IFERROR(__xludf.DUMMYFUNCTION("""COMPUTED_VALUE"""),"L2")</f>
        <v>L2</v>
      </c>
    </row>
    <row r="7397" ht="15.75" customHeight="1">
      <c r="A7397" s="1" t="str">
        <f>IFERROR(__xludf.DUMMYFUNCTION("""COMPUTED_VALUE"""),"Antonella Perez")</f>
        <v>Antonella Perez</v>
      </c>
      <c r="B7397" s="1" t="str">
        <f>IFERROR(__xludf.DUMMYFUNCTION("""COMPUTED_VALUE"""),"LL")</f>
        <v>LL</v>
      </c>
    </row>
    <row r="7398" ht="15.75" customHeight="1">
      <c r="A7398" s="1" t="str">
        <f>IFERROR(__xludf.DUMMYFUNCTION("""COMPUTED_VALUE"""),"Winifred Noodlethorpe")</f>
        <v>Winifred Noodlethorpe</v>
      </c>
      <c r="B7398" s="1" t="str">
        <f>IFERROR(__xludf.DUMMYFUNCTION("""COMPUTED_VALUE"""),"L1")</f>
        <v>L1</v>
      </c>
    </row>
    <row r="7399" ht="15.75" customHeight="1">
      <c r="A7399" s="1" t="str">
        <f>IFERROR(__xludf.DUMMYFUNCTION("""COMPUTED_VALUE"""),"Bernditt Cucumberstarch")</f>
        <v>Bernditt Cucumberstarch</v>
      </c>
      <c r="B7399" s="1" t="str">
        <f>IFERROR(__xludf.DUMMYFUNCTION("""COMPUTED_VALUE"""),"MS")</f>
        <v>MS</v>
      </c>
    </row>
    <row r="7400" ht="15.75" customHeight="1">
      <c r="A7400" s="1" t="str">
        <f>IFERROR(__xludf.DUMMYFUNCTION("""COMPUTED_VALUE"""),"Russell Williams")</f>
        <v>Russell Williams</v>
      </c>
      <c r="B7400" s="1" t="str">
        <f>IFERROR(__xludf.DUMMYFUNCTION("""COMPUTED_VALUE"""),"MS")</f>
        <v>MS</v>
      </c>
    </row>
    <row r="7401" ht="15.75" customHeight="1">
      <c r="A7401" s="1" t="str">
        <f>IFERROR(__xludf.DUMMYFUNCTION("""COMPUTED_VALUE"""),"Mattie Delatore")</f>
        <v>Mattie Delatore</v>
      </c>
      <c r="B7401" s="1" t="str">
        <f>IFERROR(__xludf.DUMMYFUNCTION("""COMPUTED_VALUE"""),"L2")</f>
        <v>L2</v>
      </c>
    </row>
    <row r="7402" ht="15.75" customHeight="1">
      <c r="A7402" s="1" t="str">
        <f>IFERROR(__xludf.DUMMYFUNCTION("""COMPUTED_VALUE"""),"Test AnyWhere1")</f>
        <v>Test AnyWhere1</v>
      </c>
      <c r="B7402" s="1" t="str">
        <f>IFERROR(__xludf.DUMMYFUNCTION("""COMPUTED_VALUE"""),"MS")</f>
        <v>MS</v>
      </c>
    </row>
    <row r="7403" ht="15.75" customHeight="1">
      <c r="A7403" s="1" t="str">
        <f>IFERROR(__xludf.DUMMYFUNCTION("""COMPUTED_VALUE"""),"Kayley Buehler")</f>
        <v>Kayley Buehler</v>
      </c>
      <c r="B7403" s="1" t="str">
        <f>IFERROR(__xludf.DUMMYFUNCTION("""COMPUTED_VALUE"""),"L2")</f>
        <v>L2</v>
      </c>
    </row>
    <row r="7404" ht="15.75" customHeight="1">
      <c r="A7404" s="1" t="str">
        <f>IFERROR(__xludf.DUMMYFUNCTION("""COMPUTED_VALUE"""),"Nicole Buehler")</f>
        <v>Nicole Buehler</v>
      </c>
      <c r="B7404" s="1" t="str">
        <f>IFERROR(__xludf.DUMMYFUNCTION("""COMPUTED_VALUE"""),"L1")</f>
        <v>L1</v>
      </c>
    </row>
    <row r="7405" ht="15.75" customHeight="1">
      <c r="A7405" s="1" t="str">
        <f>IFERROR(__xludf.DUMMYFUNCTION("""COMPUTED_VALUE"""),"Nikki Buehler")</f>
        <v>Nikki Buehler</v>
      </c>
      <c r="B7405" s="1" t="str">
        <f>IFERROR(__xludf.DUMMYFUNCTION("""COMPUTED_VALUE"""),"L2")</f>
        <v>L2</v>
      </c>
    </row>
    <row r="7406" ht="15.75" customHeight="1">
      <c r="A7406" s="1" t="str">
        <f>IFERROR(__xludf.DUMMYFUNCTION("""COMPUTED_VALUE"""),"Oscar Davis")</f>
        <v>Oscar Davis</v>
      </c>
      <c r="B7406" s="1" t="str">
        <f>IFERROR(__xludf.DUMMYFUNCTION("""COMPUTED_VALUE"""),"L2")</f>
        <v>L2</v>
      </c>
    </row>
    <row r="7407" ht="15.75" customHeight="1">
      <c r="A7407" s="1" t="str">
        <f>IFERROR(__xludf.DUMMYFUNCTION("""COMPUTED_VALUE"""),"AK M")</f>
        <v>AK M</v>
      </c>
      <c r="B7407" s="1" t="str">
        <f>IFERROR(__xludf.DUMMYFUNCTION("""COMPUTED_VALUE"""),"L1")</f>
        <v>L1</v>
      </c>
    </row>
    <row r="7408" ht="15.75" customHeight="1">
      <c r="A7408" s="1" t="str">
        <f>IFERROR(__xludf.DUMMYFUNCTION("""COMPUTED_VALUE"""),"optio Student Laste")</f>
        <v>optio Student Laste</v>
      </c>
      <c r="B7408" s="1" t="str">
        <f>IFERROR(__xludf.DUMMYFUNCTION("""COMPUTED_VALUE"""),"L2")</f>
        <v>L2</v>
      </c>
    </row>
    <row r="7409" ht="15.75" customHeight="1">
      <c r="A7409" s="1" t="str">
        <f>IFERROR(__xludf.DUMMYFUNCTION("""COMPUTED_VALUE"""),"Test Subject")</f>
        <v>Test Subject</v>
      </c>
      <c r="B7409" s="1" t="str">
        <f>IFERROR(__xludf.DUMMYFUNCTION("""COMPUTED_VALUE"""),"L1")</f>
        <v>L1</v>
      </c>
    </row>
    <row r="7410" ht="15.75" customHeight="1">
      <c r="A7410" s="1" t="str">
        <f>IFERROR(__xludf.DUMMYFUNCTION("""COMPUTED_VALUE"""),"Ernie Kirk-Gushowaty")</f>
        <v>Ernie Kirk-Gushowaty</v>
      </c>
      <c r="B7410" s="1" t="str">
        <f>IFERROR(__xludf.DUMMYFUNCTION("""COMPUTED_VALUE"""),"L2")</f>
        <v>L2</v>
      </c>
    </row>
    <row r="7411" ht="15.75" customHeight="1">
      <c r="A7411" s="1" t="str">
        <f>IFERROR(__xludf.DUMMYFUNCTION("""COMPUTED_VALUE"""),"Ziggy Kirk-Gushowaty")</f>
        <v>Ziggy Kirk-Gushowaty</v>
      </c>
      <c r="B7411" s="1" t="str">
        <f>IFERROR(__xludf.DUMMYFUNCTION("""COMPUTED_VALUE"""),"L1")</f>
        <v>L1</v>
      </c>
    </row>
    <row r="7412" ht="15.75" customHeight="1">
      <c r="A7412" s="1" t="str">
        <f>IFERROR(__xludf.DUMMYFUNCTION("""COMPUTED_VALUE"""),"Test Child")</f>
        <v>Test Child</v>
      </c>
      <c r="B7412" s="1" t="str">
        <f>IFERROR(__xludf.DUMMYFUNCTION("""COMPUTED_VALUE"""),"MS")</f>
        <v>MS</v>
      </c>
    </row>
    <row r="7413" ht="15.75" customHeight="1">
      <c r="A7413" s="1" t="str">
        <f>IFERROR(__xludf.DUMMYFUNCTION("""COMPUTED_VALUE"""),"Test Nene")</f>
        <v>Test Nene</v>
      </c>
      <c r="B7413" s="1" t="str">
        <f>IFERROR(__xludf.DUMMYFUNCTION("""COMPUTED_VALUE"""),"L2")</f>
        <v>L2</v>
      </c>
    </row>
    <row r="7414" ht="15.75" customHeight="1">
      <c r="A7414" s="1" t="str">
        <f>IFERROR(__xludf.DUMMYFUNCTION("""COMPUTED_VALUE"""),"Mackenzie So")</f>
        <v>Mackenzie So</v>
      </c>
      <c r="B7414" s="1" t="str">
        <f>IFERROR(__xludf.DUMMYFUNCTION("""COMPUTED_VALUE"""),"MS")</f>
        <v>MS</v>
      </c>
    </row>
    <row r="7415" ht="15.75" customHeight="1">
      <c r="A7415" s="1" t="str">
        <f>IFERROR(__xludf.DUMMYFUNCTION("""COMPUTED_VALUE"""),"Oliver So")</f>
        <v>Oliver So</v>
      </c>
      <c r="B7415" s="1" t="str">
        <f>IFERROR(__xludf.DUMMYFUNCTION("""COMPUTED_VALUE"""),"L2")</f>
        <v>L2</v>
      </c>
    </row>
    <row r="7416" ht="15.75" customHeight="1">
      <c r="A7416" s="1" t="str">
        <f>IFERROR(__xludf.DUMMYFUNCTION("""COMPUTED_VALUE"""),"Nolan So")</f>
        <v>Nolan So</v>
      </c>
      <c r="B7416" s="1" t="str">
        <f>IFERROR(__xludf.DUMMYFUNCTION("""COMPUTED_VALUE"""),"LL")</f>
        <v>LL</v>
      </c>
    </row>
    <row r="7417" ht="15.75" customHeight="1">
      <c r="A7417" s="1" t="str">
        <f>IFERROR(__xludf.DUMMYFUNCTION("""COMPUTED_VALUE"""),"Sawyer Sample")</f>
        <v>Sawyer Sample</v>
      </c>
      <c r="B7417" s="1" t="str">
        <f>IFERROR(__xludf.DUMMYFUNCTION("""COMPUTED_VALUE"""),"WL")</f>
        <v>WL</v>
      </c>
    </row>
    <row r="7418" ht="15.75" customHeight="1">
      <c r="A7418" s="1" t="str">
        <f>IFERROR(__xludf.DUMMYFUNCTION("""COMPUTED_VALUE"""),"Harris Meyer")</f>
        <v>Harris Meyer</v>
      </c>
      <c r="B7418" s="1" t="str">
        <f>IFERROR(__xludf.DUMMYFUNCTION("""COMPUTED_VALUE"""),"LL")</f>
        <v>LL</v>
      </c>
    </row>
    <row r="7419" ht="15.75" customHeight="1">
      <c r="A7419" s="1" t="str">
        <f>IFERROR(__xludf.DUMMYFUNCTION("""COMPUTED_VALUE"""),"Boson Lu")</f>
        <v>Boson Lu</v>
      </c>
      <c r="B7419" s="1" t="str">
        <f>IFERROR(__xludf.DUMMYFUNCTION("""COMPUTED_VALUE"""),"L1")</f>
        <v>L1</v>
      </c>
    </row>
    <row r="7420" ht="15.75" customHeight="1">
      <c r="A7420" s="1" t="str">
        <f>IFERROR(__xludf.DUMMYFUNCTION("""COMPUTED_VALUE"""),"Zoya Lebherz")</f>
        <v>Zoya Lebherz</v>
      </c>
      <c r="B7420" s="1" t="str">
        <f>IFERROR(__xludf.DUMMYFUNCTION("""COMPUTED_VALUE"""),"L2")</f>
        <v>L2</v>
      </c>
    </row>
    <row r="7421" ht="15.75" customHeight="1">
      <c r="A7421" s="1" t="str">
        <f>IFERROR(__xludf.DUMMYFUNCTION("""COMPUTED_VALUE"""),"John Heywood")</f>
        <v>John Heywood</v>
      </c>
      <c r="B7421" s="1" t="str">
        <f>IFERROR(__xludf.DUMMYFUNCTION("""COMPUTED_VALUE"""),"L2")</f>
        <v>L2</v>
      </c>
    </row>
    <row r="7422" ht="15.75" customHeight="1">
      <c r="A7422" s="1" t="str">
        <f>IFERROR(__xludf.DUMMYFUNCTION("""COMPUTED_VALUE"""),"GTAnywhere _test_")</f>
        <v>GTAnywhere _test_</v>
      </c>
      <c r="B7422" s="1" t="str">
        <f>IFERROR(__xludf.DUMMYFUNCTION("""COMPUTED_VALUE"""),"LL")</f>
        <v>LL</v>
      </c>
    </row>
    <row r="7423" ht="15.75" customHeight="1">
      <c r="A7423" s="1" t="str">
        <f>IFERROR(__xludf.DUMMYFUNCTION("""COMPUTED_VALUE"""),"Jessica Jorgenson")</f>
        <v>Jessica Jorgenson</v>
      </c>
      <c r="B7423" s="1" t="str">
        <f>IFERROR(__xludf.DUMMYFUNCTION("""COMPUTED_VALUE"""),"MS")</f>
        <v>MS</v>
      </c>
    </row>
    <row r="7424" ht="15.75" customHeight="1">
      <c r="A7424" s="1" t="str">
        <f>IFERROR(__xludf.DUMMYFUNCTION("""COMPUTED_VALUE"""),"R’Hylee Scott")</f>
        <v>R’Hylee Scott</v>
      </c>
      <c r="B7424" s="1" t="str">
        <f>IFERROR(__xludf.DUMMYFUNCTION("""COMPUTED_VALUE"""),"MS")</f>
        <v>MS</v>
      </c>
    </row>
    <row r="7425" ht="15.75" customHeight="1">
      <c r="A7425" s="1" t="str">
        <f>IFERROR(__xludf.DUMMYFUNCTION("""COMPUTED_VALUE"""),"Kern Timoteo")</f>
        <v>Kern Timoteo</v>
      </c>
      <c r="B7425" s="1" t="str">
        <f>IFERROR(__xludf.DUMMYFUNCTION("""COMPUTED_VALUE"""),"LL")</f>
        <v>LL</v>
      </c>
    </row>
    <row r="7426" ht="15.75" customHeight="1">
      <c r="A7426" s="1" t="str">
        <f>IFERROR(__xludf.DUMMYFUNCTION("""COMPUTED_VALUE"""),"Na Hornewilliams")</f>
        <v>Na Hornewilliams</v>
      </c>
      <c r="B7426" s="1" t="str">
        <f>IFERROR(__xludf.DUMMYFUNCTION("""COMPUTED_VALUE"""),"HS")</f>
        <v>HS</v>
      </c>
    </row>
    <row r="7427" ht="15.75" customHeight="1">
      <c r="A7427" s="1" t="str">
        <f>IFERROR(__xludf.DUMMYFUNCTION("""COMPUTED_VALUE"""),"Vyhra-Blu Njumentoko")</f>
        <v>Vyhra-Blu Njumentoko</v>
      </c>
      <c r="B7427" s="1" t="str">
        <f>IFERROR(__xludf.DUMMYFUNCTION("""COMPUTED_VALUE"""),"MS")</f>
        <v>MS</v>
      </c>
    </row>
    <row r="7428" ht="15.75" customHeight="1">
      <c r="A7428" s="1" t="str">
        <f>IFERROR(__xludf.DUMMYFUNCTION("""COMPUTED_VALUE"""),"Kazuhira-Seraph Deas")</f>
        <v>Kazuhira-Seraph Deas</v>
      </c>
      <c r="B7428" s="1" t="str">
        <f>IFERROR(__xludf.DUMMYFUNCTION("""COMPUTED_VALUE"""),"MS")</f>
        <v>MS</v>
      </c>
    </row>
    <row r="7429" ht="15.75" customHeight="1">
      <c r="A7429" s="1" t="str">
        <f>IFERROR(__xludf.DUMMYFUNCTION("""COMPUTED_VALUE"""),"Parker Williams")</f>
        <v>Parker Williams</v>
      </c>
      <c r="B7429" s="1" t="str">
        <f>IFERROR(__xludf.DUMMYFUNCTION("""COMPUTED_VALUE"""),"L2")</f>
        <v>L2</v>
      </c>
    </row>
    <row r="7430" ht="15.75" customHeight="1">
      <c r="A7430" s="1" t="str">
        <f>IFERROR(__xludf.DUMMYFUNCTION("""COMPUTED_VALUE"""),"Nuananong Gilbert")</f>
        <v>Nuananong Gilbert</v>
      </c>
      <c r="B7430" s="1" t="str">
        <f>IFERROR(__xludf.DUMMYFUNCTION("""COMPUTED_VALUE"""),"LL")</f>
        <v>LL</v>
      </c>
    </row>
    <row r="7431" ht="15.75" customHeight="1">
      <c r="A7431" s="1" t="str">
        <f>IFERROR(__xludf.DUMMYFUNCTION("""COMPUTED_VALUE"""),"Raedyn Deleon")</f>
        <v>Raedyn Deleon</v>
      </c>
      <c r="B7431" s="1" t="str">
        <f>IFERROR(__xludf.DUMMYFUNCTION("""COMPUTED_VALUE"""),"HS")</f>
        <v>HS</v>
      </c>
    </row>
    <row r="7432" ht="15.75" customHeight="1">
      <c r="A7432" s="1" t="str">
        <f>IFERROR(__xludf.DUMMYFUNCTION("""COMPUTED_VALUE"""),"Levi Williams")</f>
        <v>Levi Williams</v>
      </c>
      <c r="B7432" s="1" t="str">
        <f>IFERROR(__xludf.DUMMYFUNCTION("""COMPUTED_VALUE"""),"MS")</f>
        <v>MS</v>
      </c>
    </row>
    <row r="7433" ht="15.75" customHeight="1">
      <c r="A7433" s="1" t="str">
        <f>IFERROR(__xludf.DUMMYFUNCTION("""COMPUTED_VALUE"""),"Jayden Allison")</f>
        <v>Jayden Allison</v>
      </c>
      <c r="B7433" s="1" t="str">
        <f>IFERROR(__xludf.DUMMYFUNCTION("""COMPUTED_VALUE"""),"MS")</f>
        <v>MS</v>
      </c>
    </row>
    <row r="7434" ht="15.75" customHeight="1">
      <c r="A7434" s="1" t="str">
        <f>IFERROR(__xludf.DUMMYFUNCTION("""COMPUTED_VALUE"""),"Jimmy Test")</f>
        <v>Jimmy Test</v>
      </c>
      <c r="B7434" s="1" t="str">
        <f>IFERROR(__xludf.DUMMYFUNCTION("""COMPUTED_VALUE"""),"L1")</f>
        <v>L1</v>
      </c>
    </row>
    <row r="7435" ht="15.75" customHeight="1">
      <c r="A7435" s="1" t="str">
        <f>IFERROR(__xludf.DUMMYFUNCTION("""COMPUTED_VALUE"""),"Katelynn Wimberly")</f>
        <v>Katelynn Wimberly</v>
      </c>
      <c r="B7435" s="1" t="str">
        <f>IFERROR(__xludf.DUMMYFUNCTION("""COMPUTED_VALUE"""),"MS")</f>
        <v>MS</v>
      </c>
    </row>
    <row r="7436" ht="15.75" customHeight="1">
      <c r="A7436" s="1" t="str">
        <f>IFERROR(__xludf.DUMMYFUNCTION("""COMPUTED_VALUE"""),"Teasean Buckner")</f>
        <v>Teasean Buckner</v>
      </c>
      <c r="B7436" s="1" t="str">
        <f>IFERROR(__xludf.DUMMYFUNCTION("""COMPUTED_VALUE"""),"WL")</f>
        <v>WL</v>
      </c>
    </row>
    <row r="7437" ht="15.75" customHeight="1">
      <c r="A7437" s="1" t="str">
        <f>IFERROR(__xludf.DUMMYFUNCTION("""COMPUTED_VALUE"""),"Ceiana Brown")</f>
        <v>Ceiana Brown</v>
      </c>
      <c r="B7437" s="1" t="str">
        <f>IFERROR(__xludf.DUMMYFUNCTION("""COMPUTED_VALUE"""),"L1")</f>
        <v>L1</v>
      </c>
    </row>
    <row r="7438" ht="15.75" customHeight="1">
      <c r="A7438" s="1" t="str">
        <f>IFERROR(__xludf.DUMMYFUNCTION("""COMPUTED_VALUE"""),"Yusuf Abdillahi")</f>
        <v>Yusuf Abdillahi</v>
      </c>
      <c r="B7438" s="1" t="str">
        <f>IFERROR(__xludf.DUMMYFUNCTION("""COMPUTED_VALUE"""),"MS")</f>
        <v>MS</v>
      </c>
    </row>
    <row r="7439" ht="15.75" customHeight="1">
      <c r="A7439" s="1" t="str">
        <f>IFERROR(__xludf.DUMMYFUNCTION("""COMPUTED_VALUE"""),"Leyla Abdirahman")</f>
        <v>Leyla Abdirahman</v>
      </c>
      <c r="B7439" s="1" t="str">
        <f>IFERROR(__xludf.DUMMYFUNCTION("""COMPUTED_VALUE"""),"L2")</f>
        <v>L2</v>
      </c>
    </row>
    <row r="7440" ht="15.75" customHeight="1">
      <c r="A7440" s="1" t="str">
        <f>IFERROR(__xludf.DUMMYFUNCTION("""COMPUTED_VALUE"""),"Adam Abdulkadir")</f>
        <v>Adam Abdulkadir</v>
      </c>
      <c r="B7440" s="1" t="str">
        <f>IFERROR(__xludf.DUMMYFUNCTION("""COMPUTED_VALUE"""),"HS")</f>
        <v>HS</v>
      </c>
    </row>
    <row r="7441" ht="15.75" customHeight="1">
      <c r="A7441" s="1" t="str">
        <f>IFERROR(__xludf.DUMMYFUNCTION("""COMPUTED_VALUE"""),"Wadha Abumaike")</f>
        <v>Wadha Abumaike</v>
      </c>
      <c r="B7441" s="1" t="str">
        <f>IFERROR(__xludf.DUMMYFUNCTION("""COMPUTED_VALUE"""),"MS")</f>
        <v>MS</v>
      </c>
    </row>
    <row r="7442" ht="15.75" customHeight="1">
      <c r="A7442" s="1" t="str">
        <f>IFERROR(__xludf.DUMMYFUNCTION("""COMPUTED_VALUE"""),"Khadar Ahmed")</f>
        <v>Khadar Ahmed</v>
      </c>
      <c r="B7442" s="1" t="str">
        <f>IFERROR(__xludf.DUMMYFUNCTION("""COMPUTED_VALUE"""),"HS")</f>
        <v>HS</v>
      </c>
    </row>
    <row r="7443" ht="15.75" customHeight="1">
      <c r="A7443" s="1" t="str">
        <f>IFERROR(__xludf.DUMMYFUNCTION("""COMPUTED_VALUE"""),"Kaleb Allmon")</f>
        <v>Kaleb Allmon</v>
      </c>
      <c r="B7443" s="1" t="str">
        <f>IFERROR(__xludf.DUMMYFUNCTION("""COMPUTED_VALUE"""),"MS")</f>
        <v>MS</v>
      </c>
    </row>
    <row r="7444" ht="15.75" customHeight="1">
      <c r="A7444" s="1" t="str">
        <f>IFERROR(__xludf.DUMMYFUNCTION("""COMPUTED_VALUE"""),"Setareh Asgarinejad-Lawrence")</f>
        <v>Setareh Asgarinejad-Lawrence</v>
      </c>
      <c r="B7444" s="1" t="str">
        <f>IFERROR(__xludf.DUMMYFUNCTION("""COMPUTED_VALUE"""),"MS")</f>
        <v>MS</v>
      </c>
    </row>
    <row r="7445" ht="15.75" customHeight="1">
      <c r="A7445" s="1" t="str">
        <f>IFERROR(__xludf.DUMMYFUNCTION("""COMPUTED_VALUE"""),"Adway Atorsah")</f>
        <v>Adway Atorsah</v>
      </c>
      <c r="B7445" s="1" t="str">
        <f>IFERROR(__xludf.DUMMYFUNCTION("""COMPUTED_VALUE"""),"MS")</f>
        <v>MS</v>
      </c>
    </row>
    <row r="7446" ht="15.75" customHeight="1">
      <c r="A7446" s="1" t="str">
        <f>IFERROR(__xludf.DUMMYFUNCTION("""COMPUTED_VALUE"""),"Aminata Ba")</f>
        <v>Aminata Ba</v>
      </c>
      <c r="B7446" s="1" t="str">
        <f>IFERROR(__xludf.DUMMYFUNCTION("""COMPUTED_VALUE"""),"MS")</f>
        <v>MS</v>
      </c>
    </row>
    <row r="7447" ht="15.75" customHeight="1">
      <c r="A7447" s="1" t="str">
        <f>IFERROR(__xludf.DUMMYFUNCTION("""COMPUTED_VALUE"""),"Khadiatou Ba")</f>
        <v>Khadiatou Ba</v>
      </c>
      <c r="B7447" s="1" t="str">
        <f>IFERROR(__xludf.DUMMYFUNCTION("""COMPUTED_VALUE"""),"HS")</f>
        <v>HS</v>
      </c>
    </row>
    <row r="7448" ht="15.75" customHeight="1">
      <c r="A7448" s="1" t="str">
        <f>IFERROR(__xludf.DUMMYFUNCTION("""COMPUTED_VALUE"""),"Taryanouba Baira")</f>
        <v>Taryanouba Baira</v>
      </c>
      <c r="B7448" s="1" t="str">
        <f>IFERROR(__xludf.DUMMYFUNCTION("""COMPUTED_VALUE"""),"L2")</f>
        <v>L2</v>
      </c>
    </row>
    <row r="7449" ht="15.75" customHeight="1">
      <c r="A7449" s="1" t="str">
        <f>IFERROR(__xludf.DUMMYFUNCTION("""COMPUTED_VALUE"""),"Erianna Baker")</f>
        <v>Erianna Baker</v>
      </c>
      <c r="B7449" s="1" t="str">
        <f>IFERROR(__xludf.DUMMYFUNCTION("""COMPUTED_VALUE"""),"MS")</f>
        <v>MS</v>
      </c>
    </row>
    <row r="7450" ht="15.75" customHeight="1">
      <c r="A7450" s="1" t="str">
        <f>IFERROR(__xludf.DUMMYFUNCTION("""COMPUTED_VALUE"""),"Desiree Bautista-Padilla")</f>
        <v>Desiree Bautista-Padilla</v>
      </c>
      <c r="B7450" s="1" t="str">
        <f>IFERROR(__xludf.DUMMYFUNCTION("""COMPUTED_VALUE"""),"HS")</f>
        <v>HS</v>
      </c>
    </row>
    <row r="7451" ht="15.75" customHeight="1">
      <c r="A7451" s="1" t="str">
        <f>IFERROR(__xludf.DUMMYFUNCTION("""COMPUTED_VALUE"""),"Ryan Belcher")</f>
        <v>Ryan Belcher</v>
      </c>
      <c r="B7451" s="1" t="str">
        <f>IFERROR(__xludf.DUMMYFUNCTION("""COMPUTED_VALUE"""),"HS")</f>
        <v>HS</v>
      </c>
    </row>
    <row r="7452" ht="15.75" customHeight="1">
      <c r="A7452" s="1" t="str">
        <f>IFERROR(__xludf.DUMMYFUNCTION("""COMPUTED_VALUE"""),"Riley Boone")</f>
        <v>Riley Boone</v>
      </c>
      <c r="B7452" s="1" t="str">
        <f>IFERROR(__xludf.DUMMYFUNCTION("""COMPUTED_VALUE"""),"HS")</f>
        <v>HS</v>
      </c>
    </row>
    <row r="7453" ht="15.75" customHeight="1">
      <c r="A7453" s="1" t="str">
        <f>IFERROR(__xludf.DUMMYFUNCTION("""COMPUTED_VALUE"""),"Lillian Brandon")</f>
        <v>Lillian Brandon</v>
      </c>
      <c r="B7453" s="1" t="str">
        <f>IFERROR(__xludf.DUMMYFUNCTION("""COMPUTED_VALUE"""),"MS")</f>
        <v>MS</v>
      </c>
    </row>
    <row r="7454" ht="15.75" customHeight="1">
      <c r="A7454" s="1" t="str">
        <f>IFERROR(__xludf.DUMMYFUNCTION("""COMPUTED_VALUE"""),"Gael Carrillo Ordonez")</f>
        <v>Gael Carrillo Ordonez</v>
      </c>
      <c r="B7454" s="1" t="str">
        <f>IFERROR(__xludf.DUMMYFUNCTION("""COMPUTED_VALUE"""),"MS")</f>
        <v>MS</v>
      </c>
    </row>
    <row r="7455" ht="15.75" customHeight="1">
      <c r="A7455" s="1" t="str">
        <f>IFERROR(__xludf.DUMMYFUNCTION("""COMPUTED_VALUE"""),"Renato Caudillo")</f>
        <v>Renato Caudillo</v>
      </c>
      <c r="B7455" s="1" t="str">
        <f>IFERROR(__xludf.DUMMYFUNCTION("""COMPUTED_VALUE"""),"MS")</f>
        <v>MS</v>
      </c>
    </row>
    <row r="7456" ht="15.75" customHeight="1">
      <c r="A7456" s="1" t="str">
        <f>IFERROR(__xludf.DUMMYFUNCTION("""COMPUTED_VALUE"""),"Chiazam Chudi-Nwankwor")</f>
        <v>Chiazam Chudi-Nwankwor</v>
      </c>
      <c r="B7456" s="1" t="str">
        <f>IFERROR(__xludf.DUMMYFUNCTION("""COMPUTED_VALUE"""),"L2")</f>
        <v>L2</v>
      </c>
    </row>
    <row r="7457" ht="15.75" customHeight="1">
      <c r="A7457" s="1" t="str">
        <f>IFERROR(__xludf.DUMMYFUNCTION("""COMPUTED_VALUE"""),"Ashley Chun Mejia")</f>
        <v>Ashley Chun Mejia</v>
      </c>
      <c r="B7457" s="1" t="str">
        <f>IFERROR(__xludf.DUMMYFUNCTION("""COMPUTED_VALUE"""),"MS")</f>
        <v>MS</v>
      </c>
    </row>
    <row r="7458" ht="15.75" customHeight="1">
      <c r="A7458" s="1" t="str">
        <f>IFERROR(__xludf.DUMMYFUNCTION("""COMPUTED_VALUE"""),"Anthony Cremeans")</f>
        <v>Anthony Cremeans</v>
      </c>
      <c r="B7458" s="1" t="str">
        <f>IFERROR(__xludf.DUMMYFUNCTION("""COMPUTED_VALUE"""),"MS")</f>
        <v>MS</v>
      </c>
    </row>
    <row r="7459" ht="15.75" customHeight="1">
      <c r="A7459" s="1" t="str">
        <f>IFERROR(__xludf.DUMMYFUNCTION("""COMPUTED_VALUE"""),"Deka Dahir")</f>
        <v>Deka Dahir</v>
      </c>
      <c r="B7459" s="1" t="str">
        <f>IFERROR(__xludf.DUMMYFUNCTION("""COMPUTED_VALUE"""),"MS")</f>
        <v>MS</v>
      </c>
    </row>
    <row r="7460" ht="15.75" customHeight="1">
      <c r="A7460" s="1" t="str">
        <f>IFERROR(__xludf.DUMMYFUNCTION("""COMPUTED_VALUE"""),"William Darko")</f>
        <v>William Darko</v>
      </c>
      <c r="B7460" s="1" t="str">
        <f>IFERROR(__xludf.DUMMYFUNCTION("""COMPUTED_VALUE"""),"HS")</f>
        <v>HS</v>
      </c>
    </row>
    <row r="7461" ht="15.75" customHeight="1">
      <c r="A7461" s="1" t="str">
        <f>IFERROR(__xludf.DUMMYFUNCTION("""COMPUTED_VALUE"""),"Paris Dean")</f>
        <v>Paris Dean</v>
      </c>
      <c r="B7461" s="1" t="str">
        <f>IFERROR(__xludf.DUMMYFUNCTION("""COMPUTED_VALUE"""),"L2")</f>
        <v>L2</v>
      </c>
    </row>
    <row r="7462" ht="15.75" customHeight="1">
      <c r="A7462" s="1" t="str">
        <f>IFERROR(__xludf.DUMMYFUNCTION("""COMPUTED_VALUE"""),"Aisha Docho")</f>
        <v>Aisha Docho</v>
      </c>
      <c r="B7462" s="1" t="str">
        <f>IFERROR(__xludf.DUMMYFUNCTION("""COMPUTED_VALUE"""),"L2")</f>
        <v>L2</v>
      </c>
    </row>
    <row r="7463" ht="15.75" customHeight="1">
      <c r="A7463" s="1" t="str">
        <f>IFERROR(__xludf.DUMMYFUNCTION("""COMPUTED_VALUE"""),"Rayan Ezzine")</f>
        <v>Rayan Ezzine</v>
      </c>
      <c r="B7463" s="1" t="str">
        <f>IFERROR(__xludf.DUMMYFUNCTION("""COMPUTED_VALUE"""),"MS")</f>
        <v>MS</v>
      </c>
    </row>
    <row r="7464" ht="15.75" customHeight="1">
      <c r="A7464" s="1" t="str">
        <f>IFERROR(__xludf.DUMMYFUNCTION("""COMPUTED_VALUE"""),"Floyd Fairow")</f>
        <v>Floyd Fairow</v>
      </c>
      <c r="B7464" s="1" t="str">
        <f>IFERROR(__xludf.DUMMYFUNCTION("""COMPUTED_VALUE"""),"MS")</f>
        <v>MS</v>
      </c>
    </row>
    <row r="7465" ht="15.75" customHeight="1">
      <c r="A7465" s="1" t="str">
        <f>IFERROR(__xludf.DUMMYFUNCTION("""COMPUTED_VALUE"""),"King Ferguson")</f>
        <v>King Ferguson</v>
      </c>
      <c r="B7465" s="1" t="str">
        <f>IFERROR(__xludf.DUMMYFUNCTION("""COMPUTED_VALUE"""),"MS")</f>
        <v>MS</v>
      </c>
    </row>
    <row r="7466" ht="15.75" customHeight="1">
      <c r="A7466" s="1" t="str">
        <f>IFERROR(__xludf.DUMMYFUNCTION("""COMPUTED_VALUE"""),"Adil Garad")</f>
        <v>Adil Garad</v>
      </c>
      <c r="B7466" s="1" t="str">
        <f>IFERROR(__xludf.DUMMYFUNCTION("""COMPUTED_VALUE"""),"L2")</f>
        <v>L2</v>
      </c>
    </row>
    <row r="7467" ht="15.75" customHeight="1">
      <c r="A7467" s="1" t="str">
        <f>IFERROR(__xludf.DUMMYFUNCTION("""COMPUTED_VALUE"""),"Breon Glover")</f>
        <v>Breon Glover</v>
      </c>
      <c r="B7467" s="1" t="str">
        <f>IFERROR(__xludf.DUMMYFUNCTION("""COMPUTED_VALUE"""),"HS")</f>
        <v>HS</v>
      </c>
    </row>
    <row r="7468" ht="15.75" customHeight="1">
      <c r="A7468" s="1" t="str">
        <f>IFERROR(__xludf.DUMMYFUNCTION("""COMPUTED_VALUE"""),"Demetris Gravely")</f>
        <v>Demetris Gravely</v>
      </c>
      <c r="B7468" s="1" t="str">
        <f>IFERROR(__xludf.DUMMYFUNCTION("""COMPUTED_VALUE"""),"MS")</f>
        <v>MS</v>
      </c>
    </row>
    <row r="7469" ht="15.75" customHeight="1">
      <c r="A7469" s="1" t="str">
        <f>IFERROR(__xludf.DUMMYFUNCTION("""COMPUTED_VALUE"""),"Trinity Gresson")</f>
        <v>Trinity Gresson</v>
      </c>
      <c r="B7469" s="1" t="str">
        <f>IFERROR(__xludf.DUMMYFUNCTION("""COMPUTED_VALUE"""),"HS")</f>
        <v>HS</v>
      </c>
    </row>
    <row r="7470" ht="15.75" customHeight="1">
      <c r="A7470" s="1" t="str">
        <f>IFERROR(__xludf.DUMMYFUNCTION("""COMPUTED_VALUE"""),"Hayam Guerrou")</f>
        <v>Hayam Guerrou</v>
      </c>
      <c r="B7470" s="1" t="str">
        <f>IFERROR(__xludf.DUMMYFUNCTION("""COMPUTED_VALUE"""),"MS")</f>
        <v>MS</v>
      </c>
    </row>
    <row r="7471" ht="15.75" customHeight="1">
      <c r="A7471" s="1" t="str">
        <f>IFERROR(__xludf.DUMMYFUNCTION("""COMPUTED_VALUE"""),"Bobby Harbour")</f>
        <v>Bobby Harbour</v>
      </c>
      <c r="B7471" s="1" t="str">
        <f>IFERROR(__xludf.DUMMYFUNCTION("""COMPUTED_VALUE"""),"HS")</f>
        <v>HS</v>
      </c>
    </row>
    <row r="7472" ht="15.75" customHeight="1">
      <c r="A7472" s="1" t="str">
        <f>IFERROR(__xludf.DUMMYFUNCTION("""COMPUTED_VALUE"""),"Zavier Harris")</f>
        <v>Zavier Harris</v>
      </c>
      <c r="B7472" s="1" t="str">
        <f>IFERROR(__xludf.DUMMYFUNCTION("""COMPUTED_VALUE"""),"MS")</f>
        <v>MS</v>
      </c>
    </row>
    <row r="7473" ht="15.75" customHeight="1">
      <c r="A7473" s="1" t="str">
        <f>IFERROR(__xludf.DUMMYFUNCTION("""COMPUTED_VALUE"""),"Sahra Hashi")</f>
        <v>Sahra Hashi</v>
      </c>
      <c r="B7473" s="1" t="str">
        <f>IFERROR(__xludf.DUMMYFUNCTION("""COMPUTED_VALUE"""),"L2")</f>
        <v>L2</v>
      </c>
    </row>
    <row r="7474" ht="15.75" customHeight="1">
      <c r="A7474" s="1" t="str">
        <f>IFERROR(__xludf.DUMMYFUNCTION("""COMPUTED_VALUE"""),"Mariam Hassan")</f>
        <v>Mariam Hassan</v>
      </c>
      <c r="B7474" s="1" t="str">
        <f>IFERROR(__xludf.DUMMYFUNCTION("""COMPUTED_VALUE"""),"HS")</f>
        <v>HS</v>
      </c>
    </row>
    <row r="7475" ht="15.75" customHeight="1">
      <c r="A7475" s="1" t="str">
        <f>IFERROR(__xludf.DUMMYFUNCTION("""COMPUTED_VALUE"""),"Umayr Hassan")</f>
        <v>Umayr Hassan</v>
      </c>
      <c r="B7475" s="1" t="str">
        <f>IFERROR(__xludf.DUMMYFUNCTION("""COMPUTED_VALUE"""),"HS")</f>
        <v>HS</v>
      </c>
    </row>
    <row r="7476" ht="15.75" customHeight="1">
      <c r="A7476" s="1" t="str">
        <f>IFERROR(__xludf.DUMMYFUNCTION("""COMPUTED_VALUE"""),"Daphne Hickey")</f>
        <v>Daphne Hickey</v>
      </c>
      <c r="B7476" s="1" t="str">
        <f>IFERROR(__xludf.DUMMYFUNCTION("""COMPUTED_VALUE"""),"MS")</f>
        <v>MS</v>
      </c>
    </row>
    <row r="7477" ht="15.75" customHeight="1">
      <c r="A7477" s="1" t="str">
        <f>IFERROR(__xludf.DUMMYFUNCTION("""COMPUTED_VALUE"""),"Jashya Hutchinson")</f>
        <v>Jashya Hutchinson</v>
      </c>
      <c r="B7477" s="1" t="str">
        <f>IFERROR(__xludf.DUMMYFUNCTION("""COMPUTED_VALUE"""),"HS")</f>
        <v>HS</v>
      </c>
    </row>
    <row r="7478" ht="15.75" customHeight="1">
      <c r="A7478" s="1" t="str">
        <f>IFERROR(__xludf.DUMMYFUNCTION("""COMPUTED_VALUE"""),"Sawda Ibrahim")</f>
        <v>Sawda Ibrahim</v>
      </c>
      <c r="B7478" s="1" t="str">
        <f>IFERROR(__xludf.DUMMYFUNCTION("""COMPUTED_VALUE"""),"L2")</f>
        <v>L2</v>
      </c>
    </row>
    <row r="7479" ht="15.75" customHeight="1">
      <c r="A7479" s="1" t="str">
        <f>IFERROR(__xludf.DUMMYFUNCTION("""COMPUTED_VALUE"""),"Riyaq Ismail")</f>
        <v>Riyaq Ismail</v>
      </c>
      <c r="B7479" s="1" t="str">
        <f>IFERROR(__xludf.DUMMYFUNCTION("""COMPUTED_VALUE"""),"HS")</f>
        <v>HS</v>
      </c>
    </row>
    <row r="7480" ht="15.75" customHeight="1">
      <c r="A7480" s="1" t="str">
        <f>IFERROR(__xludf.DUMMYFUNCTION("""COMPUTED_VALUE"""),"Vivian Jarvis")</f>
        <v>Vivian Jarvis</v>
      </c>
      <c r="B7480" s="1" t="str">
        <f>IFERROR(__xludf.DUMMYFUNCTION("""COMPUTED_VALUE"""),"MS")</f>
        <v>MS</v>
      </c>
    </row>
    <row r="7481" ht="15.75" customHeight="1">
      <c r="A7481" s="1" t="str">
        <f>IFERROR(__xludf.DUMMYFUNCTION("""COMPUTED_VALUE"""),"Belal Jemal")</f>
        <v>Belal Jemal</v>
      </c>
      <c r="B7481" s="1" t="str">
        <f>IFERROR(__xludf.DUMMYFUNCTION("""COMPUTED_VALUE"""),"L2")</f>
        <v>L2</v>
      </c>
    </row>
    <row r="7482" ht="15.75" customHeight="1">
      <c r="A7482" s="1" t="str">
        <f>IFERROR(__xludf.DUMMYFUNCTION("""COMPUTED_VALUE"""),"Juney Johnson")</f>
        <v>Juney Johnson</v>
      </c>
      <c r="B7482" s="1" t="str">
        <f>IFERROR(__xludf.DUMMYFUNCTION("""COMPUTED_VALUE"""),"MS")</f>
        <v>MS</v>
      </c>
    </row>
    <row r="7483" ht="15.75" customHeight="1">
      <c r="A7483" s="1" t="str">
        <f>IFERROR(__xludf.DUMMYFUNCTION("""COMPUTED_VALUE"""),"Kendrea Johnson")</f>
        <v>Kendrea Johnson</v>
      </c>
      <c r="B7483" s="1" t="str">
        <f>IFERROR(__xludf.DUMMYFUNCTION("""COMPUTED_VALUE"""),"L2")</f>
        <v>L2</v>
      </c>
    </row>
    <row r="7484" ht="15.75" customHeight="1">
      <c r="A7484" s="1" t="str">
        <f>IFERROR(__xludf.DUMMYFUNCTION("""COMPUTED_VALUE"""),"Leanel Jones")</f>
        <v>Leanel Jones</v>
      </c>
      <c r="B7484" s="1" t="str">
        <f>IFERROR(__xludf.DUMMYFUNCTION("""COMPUTED_VALUE"""),"HS")</f>
        <v>HS</v>
      </c>
    </row>
    <row r="7485" ht="15.75" customHeight="1">
      <c r="A7485" s="1" t="str">
        <f>IFERROR(__xludf.DUMMYFUNCTION("""COMPUTED_VALUE"""),"Zaida Jones")</f>
        <v>Zaida Jones</v>
      </c>
      <c r="B7485" s="1" t="str">
        <f>IFERROR(__xludf.DUMMYFUNCTION("""COMPUTED_VALUE"""),"MS")</f>
        <v>MS</v>
      </c>
    </row>
    <row r="7486" ht="15.75" customHeight="1">
      <c r="A7486" s="1" t="str">
        <f>IFERROR(__xludf.DUMMYFUNCTION("""COMPUTED_VALUE"""),"Abdul Kane")</f>
        <v>Abdul Kane</v>
      </c>
      <c r="B7486" s="1" t="str">
        <f>IFERROR(__xludf.DUMMYFUNCTION("""COMPUTED_VALUE"""),"MS")</f>
        <v>MS</v>
      </c>
    </row>
    <row r="7487" ht="15.75" customHeight="1">
      <c r="A7487" s="1" t="str">
        <f>IFERROR(__xludf.DUMMYFUNCTION("""COMPUTED_VALUE"""),"Ahmed Kheyr")</f>
        <v>Ahmed Kheyr</v>
      </c>
      <c r="B7487" s="1" t="str">
        <f>IFERROR(__xludf.DUMMYFUNCTION("""COMPUTED_VALUE"""),"MS")</f>
        <v>MS</v>
      </c>
    </row>
    <row r="7488" ht="15.75" customHeight="1">
      <c r="A7488" s="1" t="str">
        <f>IFERROR(__xludf.DUMMYFUNCTION("""COMPUTED_VALUE"""),"Kaiden Layton")</f>
        <v>Kaiden Layton</v>
      </c>
      <c r="B7488" s="1" t="str">
        <f>IFERROR(__xludf.DUMMYFUNCTION("""COMPUTED_VALUE"""),"HS")</f>
        <v>HS</v>
      </c>
    </row>
    <row r="7489" ht="15.75" customHeight="1">
      <c r="A7489" s="1" t="str">
        <f>IFERROR(__xludf.DUMMYFUNCTION("""COMPUTED_VALUE"""),"Auni Long")</f>
        <v>Auni Long</v>
      </c>
      <c r="B7489" s="1" t="str">
        <f>IFERROR(__xludf.DUMMYFUNCTION("""COMPUTED_VALUE"""),"L2")</f>
        <v>L2</v>
      </c>
    </row>
    <row r="7490" ht="15.75" customHeight="1">
      <c r="A7490" s="1" t="str">
        <f>IFERROR(__xludf.DUMMYFUNCTION("""COMPUTED_VALUE"""),"King Long")</f>
        <v>King Long</v>
      </c>
      <c r="B7490" s="1" t="str">
        <f>IFERROR(__xludf.DUMMYFUNCTION("""COMPUTED_VALUE"""),"MS")</f>
        <v>MS</v>
      </c>
    </row>
    <row r="7491" ht="15.75" customHeight="1">
      <c r="A7491" s="1" t="str">
        <f>IFERROR(__xludf.DUMMYFUNCTION("""COMPUTED_VALUE"""),"Maddox Long")</f>
        <v>Maddox Long</v>
      </c>
      <c r="B7491" s="1" t="str">
        <f>IFERROR(__xludf.DUMMYFUNCTION("""COMPUTED_VALUE"""),"HS")</f>
        <v>HS</v>
      </c>
    </row>
    <row r="7492" ht="15.75" customHeight="1">
      <c r="A7492" s="1" t="str">
        <f>IFERROR(__xludf.DUMMYFUNCTION("""COMPUTED_VALUE"""),"Abdiqani Mahad")</f>
        <v>Abdiqani Mahad</v>
      </c>
      <c r="B7492" s="1" t="str">
        <f>IFERROR(__xludf.DUMMYFUNCTION("""COMPUTED_VALUE"""),"MS")</f>
        <v>MS</v>
      </c>
    </row>
    <row r="7493" ht="15.75" customHeight="1">
      <c r="A7493" s="1" t="str">
        <f>IFERROR(__xludf.DUMMYFUNCTION("""COMPUTED_VALUE"""),"Sariyah Mapp")</f>
        <v>Sariyah Mapp</v>
      </c>
      <c r="B7493" s="1" t="str">
        <f>IFERROR(__xludf.DUMMYFUNCTION("""COMPUTED_VALUE"""),"MS")</f>
        <v>MS</v>
      </c>
    </row>
    <row r="7494" ht="15.75" customHeight="1">
      <c r="A7494" s="1" t="str">
        <f>IFERROR(__xludf.DUMMYFUNCTION("""COMPUTED_VALUE"""),"Shymel Mapp")</f>
        <v>Shymel Mapp</v>
      </c>
      <c r="B7494" s="1" t="str">
        <f>IFERROR(__xludf.DUMMYFUNCTION("""COMPUTED_VALUE"""),"HS")</f>
        <v>HS</v>
      </c>
    </row>
    <row r="7495" ht="15.75" customHeight="1">
      <c r="A7495" s="1" t="str">
        <f>IFERROR(__xludf.DUMMYFUNCTION("""COMPUTED_VALUE"""),"Merida Marquis")</f>
        <v>Merida Marquis</v>
      </c>
      <c r="B7495" s="1" t="str">
        <f>IFERROR(__xludf.DUMMYFUNCTION("""COMPUTED_VALUE"""),"MS")</f>
        <v>MS</v>
      </c>
    </row>
    <row r="7496" ht="15.75" customHeight="1">
      <c r="A7496" s="1" t="str">
        <f>IFERROR(__xludf.DUMMYFUNCTION("""COMPUTED_VALUE"""),"Jacob Mason")</f>
        <v>Jacob Mason</v>
      </c>
      <c r="B7496" s="1" t="str">
        <f>IFERROR(__xludf.DUMMYFUNCTION("""COMPUTED_VALUE"""),"L2")</f>
        <v>L2</v>
      </c>
    </row>
    <row r="7497" ht="15.75" customHeight="1">
      <c r="A7497" s="1" t="str">
        <f>IFERROR(__xludf.DUMMYFUNCTION("""COMPUTED_VALUE"""),"Aaron Maxwell")</f>
        <v>Aaron Maxwell</v>
      </c>
      <c r="B7497" s="1" t="str">
        <f>IFERROR(__xludf.DUMMYFUNCTION("""COMPUTED_VALUE"""),"MS")</f>
        <v>MS</v>
      </c>
    </row>
    <row r="7498" ht="15.75" customHeight="1">
      <c r="A7498" s="1" t="str">
        <f>IFERROR(__xludf.DUMMYFUNCTION("""COMPUTED_VALUE"""),"Graziella Maxwell")</f>
        <v>Graziella Maxwell</v>
      </c>
      <c r="B7498" s="1" t="str">
        <f>IFERROR(__xludf.DUMMYFUNCTION("""COMPUTED_VALUE"""),"L2")</f>
        <v>L2</v>
      </c>
    </row>
    <row r="7499" ht="15.75" customHeight="1">
      <c r="A7499" s="1" t="str">
        <f>IFERROR(__xludf.DUMMYFUNCTION("""COMPUTED_VALUE"""),"Tobias Maxwell")</f>
        <v>Tobias Maxwell</v>
      </c>
      <c r="B7499" s="1" t="str">
        <f>IFERROR(__xludf.DUMMYFUNCTION("""COMPUTED_VALUE"""),"HS")</f>
        <v>HS</v>
      </c>
    </row>
    <row r="7500" ht="15.75" customHeight="1">
      <c r="A7500" s="1" t="str">
        <f>IFERROR(__xludf.DUMMYFUNCTION("""COMPUTED_VALUE"""),"Maurice Mcgrapth")</f>
        <v>Maurice Mcgrapth</v>
      </c>
      <c r="B7500" s="1" t="str">
        <f>IFERROR(__xludf.DUMMYFUNCTION("""COMPUTED_VALUE"""),"HS")</f>
        <v>HS</v>
      </c>
    </row>
    <row r="7501" ht="15.75" customHeight="1">
      <c r="A7501" s="1" t="str">
        <f>IFERROR(__xludf.DUMMYFUNCTION("""COMPUTED_VALUE"""),"Havana Menefield")</f>
        <v>Havana Menefield</v>
      </c>
      <c r="B7501" s="1" t="str">
        <f>IFERROR(__xludf.DUMMYFUNCTION("""COMPUTED_VALUE"""),"L2")</f>
        <v>L2</v>
      </c>
    </row>
    <row r="7502" ht="15.75" customHeight="1">
      <c r="A7502" s="1" t="str">
        <f>IFERROR(__xludf.DUMMYFUNCTION("""COMPUTED_VALUE"""),"Michael Mensah")</f>
        <v>Michael Mensah</v>
      </c>
      <c r="B7502" s="1" t="str">
        <f>IFERROR(__xludf.DUMMYFUNCTION("""COMPUTED_VALUE"""),"L2")</f>
        <v>L2</v>
      </c>
    </row>
    <row r="7503" ht="15.75" customHeight="1">
      <c r="A7503" s="1" t="str">
        <f>IFERROR(__xludf.DUMMYFUNCTION("""COMPUTED_VALUE"""),"Salvatore Migliozzi")</f>
        <v>Salvatore Migliozzi</v>
      </c>
      <c r="B7503" s="1" t="str">
        <f>IFERROR(__xludf.DUMMYFUNCTION("""COMPUTED_VALUE"""),"MS")</f>
        <v>MS</v>
      </c>
    </row>
    <row r="7504" ht="15.75" customHeight="1">
      <c r="A7504" s="1" t="str">
        <f>IFERROR(__xludf.DUMMYFUNCTION("""COMPUTED_VALUE"""),"Ahlam Mohamed")</f>
        <v>Ahlam Mohamed</v>
      </c>
      <c r="B7504" s="1" t="str">
        <f>IFERROR(__xludf.DUMMYFUNCTION("""COMPUTED_VALUE"""),"L2")</f>
        <v>L2</v>
      </c>
    </row>
    <row r="7505" ht="15.75" customHeight="1">
      <c r="A7505" s="1" t="str">
        <f>IFERROR(__xludf.DUMMYFUNCTION("""COMPUTED_VALUE"""),"Braxton Nave")</f>
        <v>Braxton Nave</v>
      </c>
      <c r="B7505" s="1" t="str">
        <f>IFERROR(__xludf.DUMMYFUNCTION("""COMPUTED_VALUE"""),"MS")</f>
        <v>MS</v>
      </c>
    </row>
    <row r="7506" ht="15.75" customHeight="1">
      <c r="A7506" s="1" t="str">
        <f>IFERROR(__xludf.DUMMYFUNCTION("""COMPUTED_VALUE"""),"Devan Nichols")</f>
        <v>Devan Nichols</v>
      </c>
      <c r="B7506" s="1" t="str">
        <f>IFERROR(__xludf.DUMMYFUNCTION("""COMPUTED_VALUE"""),"L2")</f>
        <v>L2</v>
      </c>
    </row>
    <row r="7507" ht="15.75" customHeight="1">
      <c r="A7507" s="1" t="str">
        <f>IFERROR(__xludf.DUMMYFUNCTION("""COMPUTED_VALUE"""),"Omar Nimer")</f>
        <v>Omar Nimer</v>
      </c>
      <c r="B7507" s="1" t="str">
        <f>IFERROR(__xludf.DUMMYFUNCTION("""COMPUTED_VALUE"""),"L2")</f>
        <v>L2</v>
      </c>
    </row>
    <row r="7508" ht="15.75" customHeight="1">
      <c r="A7508" s="1" t="str">
        <f>IFERROR(__xludf.DUMMYFUNCTION("""COMPUTED_VALUE"""),"Zuhayra Osman")</f>
        <v>Zuhayra Osman</v>
      </c>
      <c r="B7508" s="1" t="str">
        <f>IFERROR(__xludf.DUMMYFUNCTION("""COMPUTED_VALUE"""),"HS")</f>
        <v>HS</v>
      </c>
    </row>
    <row r="7509" ht="15.75" customHeight="1">
      <c r="A7509" s="1" t="str">
        <f>IFERROR(__xludf.DUMMYFUNCTION("""COMPUTED_VALUE"""),"Jihane Ouchaou")</f>
        <v>Jihane Ouchaou</v>
      </c>
      <c r="B7509" s="1" t="str">
        <f>IFERROR(__xludf.DUMMYFUNCTION("""COMPUTED_VALUE"""),"HS")</f>
        <v>HS</v>
      </c>
    </row>
    <row r="7510" ht="15.75" customHeight="1">
      <c r="A7510" s="1" t="str">
        <f>IFERROR(__xludf.DUMMYFUNCTION("""COMPUTED_VALUE"""),"Fardosa Ousman")</f>
        <v>Fardosa Ousman</v>
      </c>
      <c r="B7510" s="1" t="str">
        <f>IFERROR(__xludf.DUMMYFUNCTION("""COMPUTED_VALUE"""),"L2")</f>
        <v>L2</v>
      </c>
    </row>
    <row r="7511" ht="15.75" customHeight="1">
      <c r="A7511" s="1" t="str">
        <f>IFERROR(__xludf.DUMMYFUNCTION("""COMPUTED_VALUE"""),"Houston Ovivion")</f>
        <v>Houston Ovivion</v>
      </c>
      <c r="B7511" s="1" t="str">
        <f>IFERROR(__xludf.DUMMYFUNCTION("""COMPUTED_VALUE"""),"MS")</f>
        <v>MS</v>
      </c>
    </row>
    <row r="7512" ht="15.75" customHeight="1">
      <c r="A7512" s="1" t="str">
        <f>IFERROR(__xludf.DUMMYFUNCTION("""COMPUTED_VALUE"""),"Jordan Ovivion")</f>
        <v>Jordan Ovivion</v>
      </c>
      <c r="B7512" s="1" t="str">
        <f>IFERROR(__xludf.DUMMYFUNCTION("""COMPUTED_VALUE"""),"MS")</f>
        <v>MS</v>
      </c>
    </row>
    <row r="7513" ht="15.75" customHeight="1">
      <c r="A7513" s="1" t="str">
        <f>IFERROR(__xludf.DUMMYFUNCTION("""COMPUTED_VALUE"""),"Olivia Penn")</f>
        <v>Olivia Penn</v>
      </c>
      <c r="B7513" s="1" t="str">
        <f>IFERROR(__xludf.DUMMYFUNCTION("""COMPUTED_VALUE"""),"MS")</f>
        <v>MS</v>
      </c>
    </row>
    <row r="7514" ht="15.75" customHeight="1">
      <c r="A7514" s="1" t="str">
        <f>IFERROR(__xludf.DUMMYFUNCTION("""COMPUTED_VALUE"""),"Solomon Penn")</f>
        <v>Solomon Penn</v>
      </c>
      <c r="B7514" s="1" t="str">
        <f>IFERROR(__xludf.DUMMYFUNCTION("""COMPUTED_VALUE"""),"L2")</f>
        <v>L2</v>
      </c>
    </row>
    <row r="7515" ht="15.75" customHeight="1">
      <c r="A7515" s="1" t="str">
        <f>IFERROR(__xludf.DUMMYFUNCTION("""COMPUTED_VALUE"""),"Sofian Piracha")</f>
        <v>Sofian Piracha</v>
      </c>
      <c r="B7515" s="1" t="str">
        <f>IFERROR(__xludf.DUMMYFUNCTION("""COMPUTED_VALUE"""),"HS")</f>
        <v>HS</v>
      </c>
    </row>
    <row r="7516" ht="15.75" customHeight="1">
      <c r="A7516" s="1" t="str">
        <f>IFERROR(__xludf.DUMMYFUNCTION("""COMPUTED_VALUE"""),"Jordan Porter")</f>
        <v>Jordan Porter</v>
      </c>
      <c r="B7516" s="1" t="str">
        <f>IFERROR(__xludf.DUMMYFUNCTION("""COMPUTED_VALUE"""),"L2")</f>
        <v>L2</v>
      </c>
    </row>
    <row r="7517" ht="15.75" customHeight="1">
      <c r="A7517" s="1" t="str">
        <f>IFERROR(__xludf.DUMMYFUNCTION("""COMPUTED_VALUE"""),"Monroe Potts")</f>
        <v>Monroe Potts</v>
      </c>
      <c r="B7517" s="1" t="str">
        <f>IFERROR(__xludf.DUMMYFUNCTION("""COMPUTED_VALUE"""),"L2")</f>
        <v>L2</v>
      </c>
    </row>
    <row r="7518" ht="15.75" customHeight="1">
      <c r="A7518" s="1" t="str">
        <f>IFERROR(__xludf.DUMMYFUNCTION("""COMPUTED_VALUE"""),"Gabrielle Quachey")</f>
        <v>Gabrielle Quachey</v>
      </c>
      <c r="B7518" s="1" t="str">
        <f>IFERROR(__xludf.DUMMYFUNCTION("""COMPUTED_VALUE"""),"MS")</f>
        <v>MS</v>
      </c>
    </row>
    <row r="7519" ht="15.75" customHeight="1">
      <c r="A7519" s="1" t="str">
        <f>IFERROR(__xludf.DUMMYFUNCTION("""COMPUTED_VALUE"""),"Shem Rabati")</f>
        <v>Shem Rabati</v>
      </c>
      <c r="B7519" s="1" t="str">
        <f>IFERROR(__xludf.DUMMYFUNCTION("""COMPUTED_VALUE"""),"MS")</f>
        <v>MS</v>
      </c>
    </row>
    <row r="7520" ht="15.75" customHeight="1">
      <c r="A7520" s="1" t="str">
        <f>IFERROR(__xludf.DUMMYFUNCTION("""COMPUTED_VALUE"""),"Zahraa Rahim")</f>
        <v>Zahraa Rahim</v>
      </c>
      <c r="B7520" s="1" t="str">
        <f>IFERROR(__xludf.DUMMYFUNCTION("""COMPUTED_VALUE"""),"L2")</f>
        <v>L2</v>
      </c>
    </row>
    <row r="7521" ht="15.75" customHeight="1">
      <c r="A7521" s="1" t="str">
        <f>IFERROR(__xludf.DUMMYFUNCTION("""COMPUTED_VALUE"""),"Reina Reid")</f>
        <v>Reina Reid</v>
      </c>
      <c r="B7521" s="1" t="str">
        <f>IFERROR(__xludf.DUMMYFUNCTION("""COMPUTED_VALUE"""),"L2")</f>
        <v>L2</v>
      </c>
    </row>
    <row r="7522" ht="15.75" customHeight="1">
      <c r="A7522" s="1" t="str">
        <f>IFERROR(__xludf.DUMMYFUNCTION("""COMPUTED_VALUE"""),"Ella Rezin")</f>
        <v>Ella Rezin</v>
      </c>
      <c r="B7522" s="1" t="str">
        <f>IFERROR(__xludf.DUMMYFUNCTION("""COMPUTED_VALUE"""),"MS")</f>
        <v>MS</v>
      </c>
    </row>
    <row r="7523" ht="15.75" customHeight="1">
      <c r="A7523" s="1" t="str">
        <f>IFERROR(__xludf.DUMMYFUNCTION("""COMPUTED_VALUE"""),"Ishawna Rose")</f>
        <v>Ishawna Rose</v>
      </c>
      <c r="B7523" s="1" t="str">
        <f>IFERROR(__xludf.DUMMYFUNCTION("""COMPUTED_VALUE"""),"HS")</f>
        <v>HS</v>
      </c>
    </row>
    <row r="7524" ht="15.75" customHeight="1">
      <c r="A7524" s="1" t="str">
        <f>IFERROR(__xludf.DUMMYFUNCTION("""COMPUTED_VALUE"""),"Taiden Rose")</f>
        <v>Taiden Rose</v>
      </c>
      <c r="B7524" s="1" t="str">
        <f>IFERROR(__xludf.DUMMYFUNCTION("""COMPUTED_VALUE"""),"L2")</f>
        <v>L2</v>
      </c>
    </row>
    <row r="7525" ht="15.75" customHeight="1">
      <c r="A7525" s="1" t="str">
        <f>IFERROR(__xludf.DUMMYFUNCTION("""COMPUTED_VALUE"""),"Ahmed Salad")</f>
        <v>Ahmed Salad</v>
      </c>
      <c r="B7525" s="1" t="str">
        <f>IFERROR(__xludf.DUMMYFUNCTION("""COMPUTED_VALUE"""),"MS")</f>
        <v>MS</v>
      </c>
    </row>
    <row r="7526" ht="15.75" customHeight="1">
      <c r="A7526" s="1" t="str">
        <f>IFERROR(__xludf.DUMMYFUNCTION("""COMPUTED_VALUE"""),"Ayub Salad")</f>
        <v>Ayub Salad</v>
      </c>
      <c r="B7526" s="1" t="str">
        <f>IFERROR(__xludf.DUMMYFUNCTION("""COMPUTED_VALUE"""),"MS")</f>
        <v>MS</v>
      </c>
    </row>
    <row r="7527" ht="15.75" customHeight="1">
      <c r="A7527" s="1" t="str">
        <f>IFERROR(__xludf.DUMMYFUNCTION("""COMPUTED_VALUE"""),"Manal Salad")</f>
        <v>Manal Salad</v>
      </c>
      <c r="B7527" s="1" t="str">
        <f>IFERROR(__xludf.DUMMYFUNCTION("""COMPUTED_VALUE"""),"L2")</f>
        <v>L2</v>
      </c>
    </row>
    <row r="7528" ht="15.75" customHeight="1">
      <c r="A7528" s="1" t="str">
        <f>IFERROR(__xludf.DUMMYFUNCTION("""COMPUTED_VALUE"""),"Muna Salad")</f>
        <v>Muna Salad</v>
      </c>
      <c r="B7528" s="1" t="str">
        <f>IFERROR(__xludf.DUMMYFUNCTION("""COMPUTED_VALUE"""),"MS")</f>
        <v>MS</v>
      </c>
    </row>
    <row r="7529" ht="15.75" customHeight="1">
      <c r="A7529" s="1" t="str">
        <f>IFERROR(__xludf.DUMMYFUNCTION("""COMPUTED_VALUE"""),"Bader Sammoud")</f>
        <v>Bader Sammoud</v>
      </c>
      <c r="B7529" s="1" t="str">
        <f>IFERROR(__xludf.DUMMYFUNCTION("""COMPUTED_VALUE"""),"MS")</f>
        <v>MS</v>
      </c>
    </row>
    <row r="7530" ht="15.75" customHeight="1">
      <c r="A7530" s="1" t="str">
        <f>IFERROR(__xludf.DUMMYFUNCTION("""COMPUTED_VALUE"""),"Hibaaq Sheikh")</f>
        <v>Hibaaq Sheikh</v>
      </c>
      <c r="B7530" s="1" t="str">
        <f>IFERROR(__xludf.DUMMYFUNCTION("""COMPUTED_VALUE"""),"MS")</f>
        <v>MS</v>
      </c>
    </row>
    <row r="7531" ht="15.75" customHeight="1">
      <c r="A7531" s="1" t="str">
        <f>IFERROR(__xludf.DUMMYFUNCTION("""COMPUTED_VALUE"""),"Ibtisam Siyad")</f>
        <v>Ibtisam Siyad</v>
      </c>
      <c r="B7531" s="1" t="str">
        <f>IFERROR(__xludf.DUMMYFUNCTION("""COMPUTED_VALUE"""),"HS")</f>
        <v>HS</v>
      </c>
    </row>
    <row r="7532" ht="15.75" customHeight="1">
      <c r="A7532" s="1" t="str">
        <f>IFERROR(__xludf.DUMMYFUNCTION("""COMPUTED_VALUE"""),"Zoey Skinner")</f>
        <v>Zoey Skinner</v>
      </c>
      <c r="B7532" s="1" t="str">
        <f>IFERROR(__xludf.DUMMYFUNCTION("""COMPUTED_VALUE"""),"MS")</f>
        <v>MS</v>
      </c>
    </row>
    <row r="7533" ht="15.75" customHeight="1">
      <c r="A7533" s="1" t="str">
        <f>IFERROR(__xludf.DUMMYFUNCTION("""COMPUTED_VALUE"""),"Oliver Speakman-Elchert")</f>
        <v>Oliver Speakman-Elchert</v>
      </c>
      <c r="B7533" s="1" t="str">
        <f>IFERROR(__xludf.DUMMYFUNCTION("""COMPUTED_VALUE"""),"L2")</f>
        <v>L2</v>
      </c>
    </row>
    <row r="7534" ht="15.75" customHeight="1">
      <c r="A7534" s="1" t="str">
        <f>IFERROR(__xludf.DUMMYFUNCTION("""COMPUTED_VALUE"""),"Oscar Speakman-Elchert")</f>
        <v>Oscar Speakman-Elchert</v>
      </c>
      <c r="B7534" s="1" t="str">
        <f>IFERROR(__xludf.DUMMYFUNCTION("""COMPUTED_VALUE"""),"L2")</f>
        <v>L2</v>
      </c>
    </row>
    <row r="7535" ht="15.75" customHeight="1">
      <c r="A7535" s="1" t="str">
        <f>IFERROR(__xludf.DUMMYFUNCTION("""COMPUTED_VALUE"""),"Joseph Thomas")</f>
        <v>Joseph Thomas</v>
      </c>
      <c r="B7535" s="1" t="str">
        <f>IFERROR(__xludf.DUMMYFUNCTION("""COMPUTED_VALUE"""),"HS")</f>
        <v>HS</v>
      </c>
    </row>
    <row r="7536" ht="15.75" customHeight="1">
      <c r="A7536" s="1" t="str">
        <f>IFERROR(__xludf.DUMMYFUNCTION("""COMPUTED_VALUE"""),"Brandon Walker")</f>
        <v>Brandon Walker</v>
      </c>
      <c r="B7536" s="1" t="str">
        <f>IFERROR(__xludf.DUMMYFUNCTION("""COMPUTED_VALUE"""),"HS")</f>
        <v>HS</v>
      </c>
    </row>
    <row r="7537" ht="15.75" customHeight="1">
      <c r="A7537" s="1" t="str">
        <f>IFERROR(__xludf.DUMMYFUNCTION("""COMPUTED_VALUE"""),"Denzel Walker")</f>
        <v>Denzel Walker</v>
      </c>
      <c r="B7537" s="1" t="str">
        <f>IFERROR(__xludf.DUMMYFUNCTION("""COMPUTED_VALUE"""),"L2")</f>
        <v>L2</v>
      </c>
    </row>
    <row r="7538" ht="15.75" customHeight="1">
      <c r="A7538" s="1" t="str">
        <f>IFERROR(__xludf.DUMMYFUNCTION("""COMPUTED_VALUE"""),"Zavion White-Hickman")</f>
        <v>Zavion White-Hickman</v>
      </c>
      <c r="B7538" s="1" t="str">
        <f>IFERROR(__xludf.DUMMYFUNCTION("""COMPUTED_VALUE"""),"HS")</f>
        <v>HS</v>
      </c>
    </row>
    <row r="7539" ht="15.75" customHeight="1">
      <c r="A7539" s="1" t="str">
        <f>IFERROR(__xludf.DUMMYFUNCTION("""COMPUTED_VALUE"""),"Knox Williams")</f>
        <v>Knox Williams</v>
      </c>
      <c r="B7539" s="1" t="str">
        <f>IFERROR(__xludf.DUMMYFUNCTION("""COMPUTED_VALUE"""),"L2")</f>
        <v>L2</v>
      </c>
    </row>
    <row r="7540" ht="15.75" customHeight="1">
      <c r="A7540" s="1" t="str">
        <f>IFERROR(__xludf.DUMMYFUNCTION("""COMPUTED_VALUE"""),"Abrar Ali")</f>
        <v>Abrar Ali</v>
      </c>
      <c r="B7540" s="1" t="str">
        <f>IFERROR(__xludf.DUMMYFUNCTION("""COMPUTED_VALUE"""),"MS")</f>
        <v>MS</v>
      </c>
    </row>
    <row r="7541" ht="15.75" customHeight="1">
      <c r="A7541" s="1" t="str">
        <f>IFERROR(__xludf.DUMMYFUNCTION("""COMPUTED_VALUE"""),"Miles Clark")</f>
        <v>Miles Clark</v>
      </c>
      <c r="B7541" s="1" t="str">
        <f>IFERROR(__xludf.DUMMYFUNCTION("""COMPUTED_VALUE"""),"MS")</f>
        <v>MS</v>
      </c>
    </row>
    <row r="7542" ht="15.75" customHeight="1">
      <c r="A7542" s="1" t="str">
        <f>IFERROR(__xludf.DUMMYFUNCTION("""COMPUTED_VALUE"""),"Enola Diaz Flores")</f>
        <v>Enola Diaz Flores</v>
      </c>
      <c r="B7542" s="1" t="str">
        <f>IFERROR(__xludf.DUMMYFUNCTION("""COMPUTED_VALUE"""),"MS")</f>
        <v>MS</v>
      </c>
    </row>
    <row r="7543" ht="15.75" customHeight="1">
      <c r="A7543" s="1" t="str">
        <f>IFERROR(__xludf.DUMMYFUNCTION("""COMPUTED_VALUE"""),"Luqman Farah")</f>
        <v>Luqman Farah</v>
      </c>
      <c r="B7543" s="1" t="str">
        <f>IFERROR(__xludf.DUMMYFUNCTION("""COMPUTED_VALUE"""),"MS")</f>
        <v>MS</v>
      </c>
    </row>
    <row r="7544" ht="15.75" customHeight="1">
      <c r="A7544" s="1" t="str">
        <f>IFERROR(__xludf.DUMMYFUNCTION("""COMPUTED_VALUE"""),"Priya Garrett")</f>
        <v>Priya Garrett</v>
      </c>
      <c r="B7544" s="1" t="str">
        <f>IFERROR(__xludf.DUMMYFUNCTION("""COMPUTED_VALUE"""),"MS")</f>
        <v>MS</v>
      </c>
    </row>
    <row r="7545" ht="15.75" customHeight="1">
      <c r="A7545" s="1" t="str">
        <f>IFERROR(__xludf.DUMMYFUNCTION("""COMPUTED_VALUE"""),"Demarkis Gravely")</f>
        <v>Demarkis Gravely</v>
      </c>
      <c r="B7545" s="1" t="str">
        <f>IFERROR(__xludf.DUMMYFUNCTION("""COMPUTED_VALUE"""),"MS")</f>
        <v>MS</v>
      </c>
    </row>
    <row r="7546" ht="15.75" customHeight="1">
      <c r="A7546" s="1" t="str">
        <f>IFERROR(__xludf.DUMMYFUNCTION("""COMPUTED_VALUE"""),"Sylas Holsey")</f>
        <v>Sylas Holsey</v>
      </c>
      <c r="B7546" s="1" t="str">
        <f>IFERROR(__xludf.DUMMYFUNCTION("""COMPUTED_VALUE"""),"MS")</f>
        <v>MS</v>
      </c>
    </row>
    <row r="7547" ht="15.75" customHeight="1">
      <c r="A7547" s="1" t="str">
        <f>IFERROR(__xludf.DUMMYFUNCTION("""COMPUTED_VALUE"""),"Ahmed Nimer")</f>
        <v>Ahmed Nimer</v>
      </c>
      <c r="B7547" s="1" t="str">
        <f>IFERROR(__xludf.DUMMYFUNCTION("""COMPUTED_VALUE"""),"MS")</f>
        <v>MS</v>
      </c>
    </row>
    <row r="7548" ht="15.75" customHeight="1">
      <c r="A7548" s="1" t="str">
        <f>IFERROR(__xludf.DUMMYFUNCTION("""COMPUTED_VALUE"""),"Aliyah Stevens Brandon")</f>
        <v>Aliyah Stevens Brandon</v>
      </c>
      <c r="B7548" s="1" t="str">
        <f>IFERROR(__xludf.DUMMYFUNCTION("""COMPUTED_VALUE"""),"MS")</f>
        <v>MS</v>
      </c>
    </row>
    <row r="7549" ht="15.75" customHeight="1">
      <c r="A7549" s="1" t="str">
        <f>IFERROR(__xludf.DUMMYFUNCTION("""COMPUTED_VALUE"""),"Joshua Delgado Garcia")</f>
        <v>Joshua Delgado Garcia</v>
      </c>
      <c r="B7549" s="1" t="str">
        <f>IFERROR(__xludf.DUMMYFUNCTION("""COMPUTED_VALUE"""),"MS")</f>
        <v>MS</v>
      </c>
    </row>
    <row r="7550" ht="15.75" customHeight="1">
      <c r="A7550" s="1" t="str">
        <f>IFERROR(__xludf.DUMMYFUNCTION("""COMPUTED_VALUE"""),"Mikaylah Gaines")</f>
        <v>Mikaylah Gaines</v>
      </c>
      <c r="B7550" s="1" t="str">
        <f>IFERROR(__xludf.DUMMYFUNCTION("""COMPUTED_VALUE"""),"MS")</f>
        <v>MS</v>
      </c>
    </row>
    <row r="7551" ht="15.75" customHeight="1">
      <c r="A7551" s="1" t="str">
        <f>IFERROR(__xludf.DUMMYFUNCTION("""COMPUTED_VALUE"""),"Camille Pope")</f>
        <v>Camille Pope</v>
      </c>
      <c r="B7551" s="1" t="str">
        <f>IFERROR(__xludf.DUMMYFUNCTION("""COMPUTED_VALUE"""),"MS")</f>
        <v>MS</v>
      </c>
    </row>
    <row r="7552" ht="15.75" customHeight="1">
      <c r="A7552" s="1" t="str">
        <f>IFERROR(__xludf.DUMMYFUNCTION("""COMPUTED_VALUE"""),"Vanessa Estrada Llata")</f>
        <v>Vanessa Estrada Llata</v>
      </c>
      <c r="B7552" s="1" t="str">
        <f>IFERROR(__xludf.DUMMYFUNCTION("""COMPUTED_VALUE"""),"MS")</f>
        <v>MS</v>
      </c>
    </row>
    <row r="7553" ht="15.75" customHeight="1">
      <c r="A7553" s="1" t="str">
        <f>IFERROR(__xludf.DUMMYFUNCTION("""COMPUTED_VALUE"""),"Rashawn Graham")</f>
        <v>Rashawn Graham</v>
      </c>
      <c r="B7553" s="1" t="str">
        <f>IFERROR(__xludf.DUMMYFUNCTION("""COMPUTED_VALUE"""),"MS")</f>
        <v>MS</v>
      </c>
    </row>
    <row r="7554" ht="15.75" customHeight="1">
      <c r="A7554" s="1" t="str">
        <f>IFERROR(__xludf.DUMMYFUNCTION("""COMPUTED_VALUE"""),"Heavens Menlah")</f>
        <v>Heavens Menlah</v>
      </c>
      <c r="B7554" s="1" t="str">
        <f>IFERROR(__xludf.DUMMYFUNCTION("""COMPUTED_VALUE"""),"MS")</f>
        <v>MS</v>
      </c>
    </row>
    <row r="7555" ht="15.75" customHeight="1">
      <c r="A7555" s="1" t="str">
        <f>IFERROR(__xludf.DUMMYFUNCTION("""COMPUTED_VALUE"""),"Nagina Osman")</f>
        <v>Nagina Osman</v>
      </c>
      <c r="B7555" s="1" t="str">
        <f>IFERROR(__xludf.DUMMYFUNCTION("""COMPUTED_VALUE"""),"MS")</f>
        <v>MS</v>
      </c>
    </row>
    <row r="7556" ht="15.75" customHeight="1">
      <c r="A7556" s="1" t="str">
        <f>IFERROR(__xludf.DUMMYFUNCTION("""COMPUTED_VALUE"""),"Marvin Robertson")</f>
        <v>Marvin Robertson</v>
      </c>
      <c r="B7556" s="1" t="str">
        <f>IFERROR(__xludf.DUMMYFUNCTION("""COMPUTED_VALUE"""),"MS")</f>
        <v>MS</v>
      </c>
    </row>
    <row r="7557" ht="15.75" customHeight="1">
      <c r="A7557" s="1" t="str">
        <f>IFERROR(__xludf.DUMMYFUNCTION("""COMPUTED_VALUE"""),"Ty'Juan Thomas")</f>
        <v>Ty'Juan Thomas</v>
      </c>
      <c r="B7557" s="1" t="str">
        <f>IFERROR(__xludf.DUMMYFUNCTION("""COMPUTED_VALUE"""),"MS")</f>
        <v>MS</v>
      </c>
    </row>
    <row r="7558" ht="15.75" customHeight="1">
      <c r="A7558" s="1" t="str">
        <f>IFERROR(__xludf.DUMMYFUNCTION("""COMPUTED_VALUE"""),"Kalum Waters")</f>
        <v>Kalum Waters</v>
      </c>
      <c r="B7558" s="1" t="str">
        <f>IFERROR(__xludf.DUMMYFUNCTION("""COMPUTED_VALUE"""),"MS")</f>
        <v>MS</v>
      </c>
    </row>
    <row r="7559" ht="15.75" customHeight="1">
      <c r="A7559" s="1" t="str">
        <f>IFERROR(__xludf.DUMMYFUNCTION("""COMPUTED_VALUE"""),"Janye Williams")</f>
        <v>Janye Williams</v>
      </c>
      <c r="B7559" s="1" t="str">
        <f>IFERROR(__xludf.DUMMYFUNCTION("""COMPUTED_VALUE"""),"MS")</f>
        <v>MS</v>
      </c>
    </row>
    <row r="7560" ht="15.75" customHeight="1">
      <c r="A7560" s="1" t="str">
        <f>IFERROR(__xludf.DUMMYFUNCTION("""COMPUTED_VALUE"""),"Caden Garin")</f>
        <v>Caden Garin</v>
      </c>
      <c r="B7560" s="1" t="str">
        <f>IFERROR(__xludf.DUMMYFUNCTION("""COMPUTED_VALUE"""),"MS")</f>
        <v>MS</v>
      </c>
    </row>
    <row r="7561" ht="15.75" customHeight="1">
      <c r="A7561" s="1" t="str">
        <f>IFERROR(__xludf.DUMMYFUNCTION("""COMPUTED_VALUE"""),"Vivan Jarvis")</f>
        <v>Vivan Jarvis</v>
      </c>
      <c r="B7561" s="1" t="str">
        <f>IFERROR(__xludf.DUMMYFUNCTION("""COMPUTED_VALUE"""),"MS")</f>
        <v>MS</v>
      </c>
    </row>
    <row r="7562" ht="15.75" customHeight="1">
      <c r="A7562" s="1" t="str">
        <f>IFERROR(__xludf.DUMMYFUNCTION("""COMPUTED_VALUE"""),"Jorden Gaines")</f>
        <v>Jorden Gaines</v>
      </c>
      <c r="B7562" s="1" t="str">
        <f>IFERROR(__xludf.DUMMYFUNCTION("""COMPUTED_VALUE"""),"MS")</f>
        <v>MS</v>
      </c>
    </row>
    <row r="7563" ht="15.75" customHeight="1">
      <c r="A7563" s="1" t="str">
        <f>IFERROR(__xludf.DUMMYFUNCTION("""COMPUTED_VALUE"""),"Elias Jackson")</f>
        <v>Elias Jackson</v>
      </c>
      <c r="B7563" s="1" t="str">
        <f>IFERROR(__xludf.DUMMYFUNCTION("""COMPUTED_VALUE"""),"MS")</f>
        <v>MS</v>
      </c>
    </row>
    <row r="7564" ht="15.75" customHeight="1">
      <c r="A7564" s="1" t="str">
        <f>IFERROR(__xludf.DUMMYFUNCTION("""COMPUTED_VALUE"""),"Shamiya West")</f>
        <v>Shamiya West</v>
      </c>
      <c r="B7564" s="1" t="str">
        <f>IFERROR(__xludf.DUMMYFUNCTION("""COMPUTED_VALUE"""),"MS")</f>
        <v>MS</v>
      </c>
    </row>
    <row r="7565" ht="15.75" customHeight="1">
      <c r="A7565" s="1" t="str">
        <f>IFERROR(__xludf.DUMMYFUNCTION("""COMPUTED_VALUE"""),"Mohammad Siddiqui")</f>
        <v>Mohammad Siddiqui</v>
      </c>
      <c r="B7565" s="1" t="str">
        <f>IFERROR(__xludf.DUMMYFUNCTION("""COMPUTED_VALUE"""),"MS")</f>
        <v>MS</v>
      </c>
    </row>
    <row r="7566" ht="15.75" customHeight="1">
      <c r="A7566" s="1" t="str">
        <f>IFERROR(__xludf.DUMMYFUNCTION("""COMPUTED_VALUE"""),"Ijal Siyad")</f>
        <v>Ijal Siyad</v>
      </c>
      <c r="B7566" s="1" t="str">
        <f>IFERROR(__xludf.DUMMYFUNCTION("""COMPUTED_VALUE"""),"MS")</f>
        <v>MS</v>
      </c>
    </row>
    <row r="7567" ht="15.75" customHeight="1">
      <c r="A7567" s="1" t="str">
        <f>IFERROR(__xludf.DUMMYFUNCTION("""COMPUTED_VALUE"""),"Yusuf Abdel-Rahman")</f>
        <v>Yusuf Abdel-Rahman</v>
      </c>
      <c r="B7567" s="1" t="str">
        <f>IFERROR(__xludf.DUMMYFUNCTION("""COMPUTED_VALUE"""),"MS")</f>
        <v>MS</v>
      </c>
    </row>
    <row r="7568" ht="15.75" customHeight="1">
      <c r="A7568" s="1" t="str">
        <f>IFERROR(__xludf.DUMMYFUNCTION("""COMPUTED_VALUE"""),"Aammr Dahche")</f>
        <v>Aammr Dahche</v>
      </c>
      <c r="B7568" s="1" t="str">
        <f>IFERROR(__xludf.DUMMYFUNCTION("""COMPUTED_VALUE"""),"WL")</f>
        <v>WL</v>
      </c>
    </row>
    <row r="7569" ht="15.75" customHeight="1">
      <c r="A7569" s="1" t="str">
        <f>IFERROR(__xludf.DUMMYFUNCTION("""COMPUTED_VALUE"""),"Maia Malachowski")</f>
        <v>Maia Malachowski</v>
      </c>
      <c r="B7569" s="1" t="str">
        <f>IFERROR(__xludf.DUMMYFUNCTION("""COMPUTED_VALUE"""),"WL")</f>
        <v>WL</v>
      </c>
    </row>
    <row r="7570" ht="15.75" customHeight="1">
      <c r="A7570" s="1" t="str">
        <f>IFERROR(__xludf.DUMMYFUNCTION("""COMPUTED_VALUE"""),"Remee Poonja")</f>
        <v>Remee Poonja</v>
      </c>
      <c r="B7570" s="1" t="str">
        <f>IFERROR(__xludf.DUMMYFUNCTION("""COMPUTED_VALUE"""),"WL")</f>
        <v>WL</v>
      </c>
    </row>
    <row r="7571" ht="15.75" customHeight="1">
      <c r="A7571" s="1" t="str">
        <f>IFERROR(__xludf.DUMMYFUNCTION("""COMPUTED_VALUE"""),"Zara Saab")</f>
        <v>Zara Saab</v>
      </c>
      <c r="B7571" s="1" t="str">
        <f>IFERROR(__xludf.DUMMYFUNCTION("""COMPUTED_VALUE"""),"WL")</f>
        <v>WL</v>
      </c>
    </row>
    <row r="7572" ht="15.75" customHeight="1">
      <c r="A7572" s="1" t="str">
        <f>IFERROR(__xludf.DUMMYFUNCTION("""COMPUTED_VALUE"""),"Julian Lopez Cordon")</f>
        <v>Julian Lopez Cordon</v>
      </c>
      <c r="B7572" s="1" t="str">
        <f>IFERROR(__xludf.DUMMYFUNCTION("""COMPUTED_VALUE"""),"L2")</f>
        <v>L2</v>
      </c>
    </row>
    <row r="7573" ht="15.75" customHeight="1">
      <c r="A7573" s="1" t="str">
        <f>IFERROR(__xludf.DUMMYFUNCTION("""COMPUTED_VALUE"""),"Dawson Engel")</f>
        <v>Dawson Engel</v>
      </c>
      <c r="B7573" s="1" t="str">
        <f>IFERROR(__xludf.DUMMYFUNCTION("""COMPUTED_VALUE"""),"L2")</f>
        <v>L2</v>
      </c>
    </row>
    <row r="7574" ht="15.75" customHeight="1">
      <c r="A7574" s="1" t="str">
        <f>IFERROR(__xludf.DUMMYFUNCTION("""COMPUTED_VALUE"""),"Elizabeth Reynolds")</f>
        <v>Elizabeth Reynolds</v>
      </c>
      <c r="B7574" s="1" t="str">
        <f>IFERROR(__xludf.DUMMYFUNCTION("""COMPUTED_VALUE"""),"L2")</f>
        <v>L2</v>
      </c>
    </row>
    <row r="7575" ht="15.75" customHeight="1">
      <c r="A7575" s="1" t="str">
        <f>IFERROR(__xludf.DUMMYFUNCTION("""COMPUTED_VALUE"""),"Luigi Romano")</f>
        <v>Luigi Romano</v>
      </c>
      <c r="B7575" s="1" t="str">
        <f>IFERROR(__xludf.DUMMYFUNCTION("""COMPUTED_VALUE"""),"L1")</f>
        <v>L1</v>
      </c>
    </row>
    <row r="7576" ht="15.75" customHeight="1">
      <c r="A7576" s="1" t="str">
        <f>IFERROR(__xludf.DUMMYFUNCTION("""COMPUTED_VALUE"""),"Archer Morro")</f>
        <v>Archer Morro</v>
      </c>
      <c r="B7576" s="1" t="str">
        <f>IFERROR(__xludf.DUMMYFUNCTION("""COMPUTED_VALUE"""),"WL")</f>
        <v>WL</v>
      </c>
    </row>
    <row r="7577" ht="15.75" customHeight="1">
      <c r="A7577" s="1" t="str">
        <f>IFERROR(__xludf.DUMMYFUNCTION("""COMPUTED_VALUE"""),"Jude Morro")</f>
        <v>Jude Morro</v>
      </c>
      <c r="B7577" s="1" t="str">
        <f>IFERROR(__xludf.DUMMYFUNCTION("""COMPUTED_VALUE"""),"WL")</f>
        <v>WL</v>
      </c>
    </row>
    <row r="7578" ht="15.75" customHeight="1">
      <c r="A7578" s="1" t="str">
        <f>IFERROR(__xludf.DUMMYFUNCTION("""COMPUTED_VALUE"""),"Logan Marshall")</f>
        <v>Logan Marshall</v>
      </c>
      <c r="B7578" s="1" t="str">
        <f>IFERROR(__xludf.DUMMYFUNCTION("""COMPUTED_VALUE"""),"LL")</f>
        <v>LL</v>
      </c>
    </row>
    <row r="7579" ht="15.75" customHeight="1">
      <c r="A7579" s="1" t="str">
        <f>IFERROR(__xludf.DUMMYFUNCTION("""COMPUTED_VALUE"""),"Everett Holdren")</f>
        <v>Everett Holdren</v>
      </c>
      <c r="B7579" s="1" t="str">
        <f>IFERROR(__xludf.DUMMYFUNCTION("""COMPUTED_VALUE"""),"L2")</f>
        <v>L2</v>
      </c>
    </row>
    <row r="7580" ht="15.75" customHeight="1">
      <c r="A7580" s="1" t="str">
        <f>IFERROR(__xludf.DUMMYFUNCTION("""COMPUTED_VALUE"""),"Owen Holdren")</f>
        <v>Owen Holdren</v>
      </c>
      <c r="B7580" s="1" t="str">
        <f>IFERROR(__xludf.DUMMYFUNCTION("""COMPUTED_VALUE"""),"L1")</f>
        <v>L1</v>
      </c>
    </row>
    <row r="7581" ht="15.75" customHeight="1">
      <c r="A7581" s="1" t="str">
        <f>IFERROR(__xludf.DUMMYFUNCTION("""COMPUTED_VALUE"""),"Student Acton")</f>
        <v>Student Acton</v>
      </c>
      <c r="B7581" s="1" t="str">
        <f>IFERROR(__xludf.DUMMYFUNCTION("""COMPUTED_VALUE"""),"MS")</f>
        <v>MS</v>
      </c>
    </row>
    <row r="7582" ht="15.75" customHeight="1">
      <c r="A7582" s="1" t="str">
        <f>IFERROR(__xludf.DUMMYFUNCTION("""COMPUTED_VALUE"""),"Student German")</f>
        <v>Student German</v>
      </c>
      <c r="B7582" s="1" t="str">
        <f>IFERROR(__xludf.DUMMYFUNCTION("""COMPUTED_VALUE"""),"MS")</f>
        <v>MS</v>
      </c>
    </row>
    <row r="7583" ht="15.75" customHeight="1">
      <c r="A7583" s="1" t="str">
        <f>IFERROR(__xludf.DUMMYFUNCTION("""COMPUTED_VALUE"""),"Student Hills")</f>
        <v>Student Hills</v>
      </c>
      <c r="B7583" s="1" t="str">
        <f>IFERROR(__xludf.DUMMYFUNCTION("""COMPUTED_VALUE"""),"MS")</f>
        <v>MS</v>
      </c>
    </row>
    <row r="7584" ht="15.75" customHeight="1">
      <c r="A7584" s="1" t="str">
        <f>IFERROR(__xludf.DUMMYFUNCTION("""COMPUTED_VALUE"""),"Thiago Magellan")</f>
        <v>Thiago Magellan</v>
      </c>
      <c r="B7584" s="1" t="str">
        <f>IFERROR(__xludf.DUMMYFUNCTION("""COMPUTED_VALUE"""),"MS")</f>
        <v>MS</v>
      </c>
    </row>
    <row r="7585" ht="15.75" customHeight="1">
      <c r="A7585" s="1" t="str">
        <f>IFERROR(__xludf.DUMMYFUNCTION("""COMPUTED_VALUE"""),"Athena Lonsdale")</f>
        <v>Athena Lonsdale</v>
      </c>
      <c r="B7585" s="1" t="str">
        <f>IFERROR(__xludf.DUMMYFUNCTION("""COMPUTED_VALUE"""),"L1")</f>
        <v>L1</v>
      </c>
    </row>
    <row r="7586" ht="15.75" customHeight="1">
      <c r="A7586" s="1" t="str">
        <f>IFERROR(__xludf.DUMMYFUNCTION("""COMPUTED_VALUE"""),"Aurelia Lonsdale")</f>
        <v>Aurelia Lonsdale</v>
      </c>
      <c r="B7586" s="1" t="str">
        <f>IFERROR(__xludf.DUMMYFUNCTION("""COMPUTED_VALUE"""),"LL")</f>
        <v>LL</v>
      </c>
    </row>
    <row r="7587" ht="15.75" customHeight="1">
      <c r="A7587" s="1" t="str">
        <f>IFERROR(__xludf.DUMMYFUNCTION("""COMPUTED_VALUE"""),"Test Lincstudent1")</f>
        <v>Test Lincstudent1</v>
      </c>
      <c r="B7587" s="1" t="str">
        <f>IFERROR(__xludf.DUMMYFUNCTION("""COMPUTED_VALUE"""),"MS")</f>
        <v>MS</v>
      </c>
    </row>
    <row r="7588" ht="15.75" customHeight="1">
      <c r="A7588" s="1" t="str">
        <f>IFERROR(__xludf.DUMMYFUNCTION("""COMPUTED_VALUE"""),"Test LLstudent1")</f>
        <v>Test LLstudent1</v>
      </c>
      <c r="B7588" s="1" t="str">
        <f>IFERROR(__xludf.DUMMYFUNCTION("""COMPUTED_VALUE"""),"L1")</f>
        <v>L1</v>
      </c>
    </row>
    <row r="7589" ht="15.75" customHeight="1">
      <c r="A7589" s="1"/>
      <c r="B7589" s="1"/>
    </row>
    <row r="7590" ht="15.75" customHeight="1">
      <c r="A7590" s="1"/>
      <c r="B7590" s="1"/>
    </row>
    <row r="7591" ht="15.75" customHeight="1">
      <c r="A7591" s="1"/>
      <c r="B7591" s="1"/>
    </row>
    <row r="7592" ht="15.75" customHeight="1">
      <c r="A7592" s="1"/>
      <c r="B7592" s="1"/>
    </row>
    <row r="7593" ht="15.75" customHeight="1">
      <c r="A7593" s="1"/>
      <c r="B7593" s="1"/>
    </row>
    <row r="7594" ht="15.75" customHeight="1">
      <c r="A7594" s="1"/>
      <c r="B7594" s="1"/>
    </row>
    <row r="7595" ht="15.75" customHeight="1">
      <c r="A7595" s="1"/>
      <c r="B7595" s="1"/>
    </row>
    <row r="7596" ht="15.75" customHeight="1">
      <c r="A7596" s="1"/>
      <c r="B7596" s="1"/>
    </row>
    <row r="7597" ht="15.75" customHeight="1">
      <c r="A7597" s="1"/>
      <c r="B7597" s="1"/>
    </row>
    <row r="7598" ht="15.75" customHeight="1">
      <c r="A7598" s="1"/>
      <c r="B7598" s="1"/>
    </row>
    <row r="7599" ht="15.75" customHeight="1">
      <c r="A7599" s="1"/>
      <c r="B7599" s="1"/>
    </row>
    <row r="7600" ht="15.75" customHeight="1">
      <c r="A7600" s="1"/>
      <c r="B7600" s="1"/>
    </row>
    <row r="7601" ht="15.75" customHeight="1">
      <c r="A7601" s="1"/>
      <c r="B7601" s="1"/>
    </row>
    <row r="7602" ht="15.75" customHeight="1">
      <c r="A7602" s="1"/>
      <c r="B7602" s="1"/>
    </row>
    <row r="7603" ht="15.75" customHeight="1">
      <c r="A7603" s="1"/>
      <c r="B7603" s="1"/>
    </row>
    <row r="7604" ht="15.75" customHeight="1">
      <c r="A7604" s="1"/>
      <c r="B7604" s="1"/>
    </row>
    <row r="7605" ht="15.75" customHeight="1">
      <c r="A7605" s="1"/>
      <c r="B7605" s="1"/>
    </row>
    <row r="7606" ht="15.75" customHeight="1">
      <c r="A7606" s="1"/>
      <c r="B7606" s="1"/>
    </row>
    <row r="7607" ht="15.75" customHeight="1">
      <c r="A7607" s="1"/>
      <c r="B7607" s="1"/>
    </row>
    <row r="7608" ht="15.75" customHeight="1">
      <c r="A7608" s="1"/>
      <c r="B7608" s="1"/>
    </row>
    <row r="7609" ht="15.75" customHeight="1">
      <c r="A7609" s="1"/>
      <c r="B7609" s="1"/>
    </row>
    <row r="7610" ht="15.75" customHeight="1">
      <c r="A7610" s="1"/>
      <c r="B7610" s="1"/>
    </row>
    <row r="7611" ht="15.75" customHeight="1">
      <c r="A7611" s="1"/>
      <c r="B7611" s="1"/>
    </row>
    <row r="7612" ht="15.75" customHeight="1">
      <c r="A7612" s="1"/>
      <c r="B7612" s="1"/>
    </row>
    <row r="7613" ht="15.75" customHeight="1">
      <c r="A7613" s="1"/>
      <c r="B7613" s="1"/>
    </row>
    <row r="7614" ht="15.75" customHeight="1">
      <c r="A7614" s="1"/>
      <c r="B7614" s="1"/>
    </row>
    <row r="7615" ht="15.75" customHeight="1">
      <c r="A7615" s="1"/>
      <c r="B7615" s="1"/>
    </row>
    <row r="7616" ht="15.75" customHeight="1">
      <c r="A7616" s="1"/>
      <c r="B7616" s="1"/>
    </row>
    <row r="7617" ht="15.75" customHeight="1">
      <c r="A7617" s="1"/>
      <c r="B7617" s="1"/>
    </row>
    <row r="7618" ht="15.75" customHeight="1">
      <c r="A7618" s="1"/>
      <c r="B7618" s="1"/>
    </row>
    <row r="7619" ht="15.75" customHeight="1">
      <c r="A7619" s="1"/>
      <c r="B7619" s="1"/>
    </row>
    <row r="7620" ht="15.75" customHeight="1">
      <c r="A7620" s="1"/>
      <c r="B7620" s="1"/>
    </row>
    <row r="7621" ht="15.75" customHeight="1">
      <c r="A7621" s="1"/>
      <c r="B7621" s="1"/>
    </row>
    <row r="7622" ht="15.75" customHeight="1">
      <c r="A7622" s="1"/>
      <c r="B7622" s="1"/>
    </row>
    <row r="7623" ht="15.75" customHeight="1">
      <c r="A7623" s="1"/>
      <c r="B7623" s="1"/>
    </row>
    <row r="7624" ht="15.75" customHeight="1">
      <c r="A7624" s="1"/>
      <c r="B7624" s="1"/>
    </row>
    <row r="7625" ht="15.75" customHeight="1">
      <c r="A7625" s="1"/>
      <c r="B7625" s="1"/>
    </row>
    <row r="7626" ht="15.75" customHeight="1">
      <c r="A7626" s="1"/>
      <c r="B7626" s="1"/>
    </row>
    <row r="7627" ht="15.75" customHeight="1">
      <c r="A7627" s="1"/>
      <c r="B7627" s="1"/>
    </row>
    <row r="7628" ht="15.75" customHeight="1">
      <c r="A7628" s="1"/>
      <c r="B7628" s="1"/>
    </row>
    <row r="7629" ht="15.75" customHeight="1">
      <c r="A7629" s="1"/>
      <c r="B7629" s="1"/>
    </row>
    <row r="7630" ht="15.75" customHeight="1">
      <c r="A7630" s="1"/>
      <c r="B7630" s="1"/>
    </row>
    <row r="7631" ht="15.75" customHeight="1">
      <c r="A7631" s="1"/>
      <c r="B7631" s="1"/>
    </row>
    <row r="7632" ht="15.75" customHeight="1">
      <c r="A7632" s="1"/>
      <c r="B7632" s="1"/>
    </row>
    <row r="7633" ht="15.75" customHeight="1">
      <c r="A7633" s="1"/>
      <c r="B7633" s="1"/>
    </row>
    <row r="7634" ht="15.75" customHeight="1">
      <c r="A7634" s="1"/>
      <c r="B7634" s="1"/>
    </row>
    <row r="7635" ht="15.75" customHeight="1">
      <c r="A7635" s="1"/>
      <c r="B7635" s="1"/>
    </row>
    <row r="7636" ht="15.75" customHeight="1">
      <c r="A7636" s="1"/>
      <c r="B7636" s="1"/>
    </row>
    <row r="7637" ht="15.75" customHeight="1">
      <c r="A7637" s="1"/>
      <c r="B7637" s="1"/>
    </row>
    <row r="7638" ht="15.75" customHeight="1">
      <c r="A7638" s="1"/>
      <c r="B7638" s="1"/>
    </row>
    <row r="7639" ht="15.75" customHeight="1">
      <c r="A7639" s="1"/>
      <c r="B7639" s="1"/>
    </row>
    <row r="7640" ht="15.75" customHeight="1">
      <c r="A7640" s="1"/>
      <c r="B7640" s="1"/>
    </row>
    <row r="7641" ht="15.75" customHeight="1">
      <c r="A7641" s="1"/>
      <c r="B7641" s="1"/>
    </row>
    <row r="7642" ht="15.75" customHeight="1">
      <c r="A7642" s="1"/>
      <c r="B7642" s="1"/>
    </row>
    <row r="7643" ht="15.75" customHeight="1">
      <c r="A7643" s="1"/>
      <c r="B7643" s="1"/>
    </row>
    <row r="7644" ht="15.75" customHeight="1">
      <c r="A7644" s="1"/>
      <c r="B7644" s="1"/>
    </row>
    <row r="7645" ht="15.75" customHeight="1">
      <c r="A7645" s="1"/>
      <c r="B7645" s="1"/>
    </row>
    <row r="7646" ht="15.75" customHeight="1">
      <c r="A7646" s="1"/>
      <c r="B7646" s="1"/>
    </row>
    <row r="7647" ht="15.75" customHeight="1">
      <c r="A7647" s="1"/>
      <c r="B7647" s="1"/>
    </row>
    <row r="7648" ht="15.75" customHeight="1">
      <c r="A7648" s="1"/>
      <c r="B7648" s="1"/>
    </row>
    <row r="7649" ht="15.75" customHeight="1">
      <c r="A7649" s="1"/>
      <c r="B7649" s="1"/>
    </row>
    <row r="7650" ht="15.75" customHeight="1">
      <c r="A7650" s="1"/>
      <c r="B7650" s="1"/>
    </row>
    <row r="7651" ht="15.75" customHeight="1">
      <c r="A7651" s="1"/>
      <c r="B7651" s="1"/>
    </row>
    <row r="7652" ht="15.75" customHeight="1">
      <c r="A7652" s="1"/>
      <c r="B7652" s="1"/>
    </row>
    <row r="7653" ht="15.75" customHeight="1">
      <c r="A7653" s="1"/>
      <c r="B7653" s="1"/>
    </row>
    <row r="7654" ht="15.75" customHeight="1">
      <c r="A7654" s="1"/>
      <c r="B7654" s="1"/>
    </row>
    <row r="7655" ht="15.75" customHeight="1">
      <c r="A7655" s="1"/>
      <c r="B7655" s="1"/>
    </row>
    <row r="7656" ht="15.75" customHeight="1">
      <c r="A7656" s="1"/>
      <c r="B7656" s="1"/>
    </row>
    <row r="7657" ht="15.75" customHeight="1">
      <c r="A7657" s="1"/>
      <c r="B7657" s="1"/>
    </row>
    <row r="7658" ht="15.75" customHeight="1">
      <c r="A7658" s="1"/>
      <c r="B7658" s="1"/>
    </row>
    <row r="7659" ht="15.75" customHeight="1">
      <c r="A7659" s="1"/>
      <c r="B7659" s="1"/>
    </row>
    <row r="7660" ht="15.75" customHeight="1">
      <c r="A7660" s="1"/>
      <c r="B7660" s="1"/>
    </row>
    <row r="7661" ht="15.75" customHeight="1">
      <c r="A7661" s="1"/>
      <c r="B7661" s="1"/>
    </row>
    <row r="7662" ht="15.75" customHeight="1">
      <c r="A7662" s="1"/>
      <c r="B7662" s="1"/>
    </row>
    <row r="7663" ht="15.75" customHeight="1">
      <c r="A7663" s="1"/>
      <c r="B7663" s="1"/>
    </row>
    <row r="7664" ht="15.75" customHeight="1">
      <c r="A7664" s="1"/>
      <c r="B7664" s="1"/>
    </row>
    <row r="7665" ht="15.75" customHeight="1">
      <c r="A7665" s="1"/>
      <c r="B7665" s="1"/>
    </row>
    <row r="7666" ht="15.75" customHeight="1">
      <c r="A7666" s="1"/>
      <c r="B7666" s="1"/>
    </row>
    <row r="7667" ht="15.75" customHeight="1">
      <c r="A7667" s="1"/>
      <c r="B7667" s="1"/>
    </row>
    <row r="7668" ht="15.75" customHeight="1">
      <c r="A7668" s="1"/>
      <c r="B7668" s="1"/>
    </row>
    <row r="7669" ht="15.75" customHeight="1">
      <c r="A7669" s="1"/>
      <c r="B7669" s="1"/>
    </row>
    <row r="7670" ht="15.75" customHeight="1">
      <c r="A7670" s="1"/>
      <c r="B7670" s="1"/>
    </row>
    <row r="7671" ht="15.75" customHeight="1">
      <c r="A7671" s="1"/>
      <c r="B7671" s="1"/>
    </row>
    <row r="7672" ht="15.75" customHeight="1">
      <c r="A7672" s="1"/>
      <c r="B7672" s="1"/>
    </row>
    <row r="7673" ht="15.75" customHeight="1">
      <c r="A7673" s="1"/>
      <c r="B7673" s="1"/>
    </row>
    <row r="7674" ht="15.75" customHeight="1">
      <c r="A7674" s="1"/>
      <c r="B7674" s="1"/>
    </row>
    <row r="7675" ht="15.75" customHeight="1">
      <c r="A7675" s="1"/>
      <c r="B7675" s="1"/>
    </row>
    <row r="7676" ht="15.75" customHeight="1">
      <c r="A7676" s="1"/>
      <c r="B7676" s="1"/>
    </row>
    <row r="7677" ht="15.75" customHeight="1">
      <c r="A7677" s="1"/>
      <c r="B7677" s="1"/>
    </row>
    <row r="7678" ht="15.75" customHeight="1">
      <c r="A7678" s="1"/>
      <c r="B7678" s="1"/>
    </row>
    <row r="7679" ht="15.75" customHeight="1">
      <c r="A7679" s="1"/>
      <c r="B7679" s="1"/>
    </row>
    <row r="7680" ht="15.75" customHeight="1">
      <c r="A7680" s="1"/>
      <c r="B7680" s="1"/>
    </row>
    <row r="7681" ht="15.75" customHeight="1">
      <c r="A7681" s="1"/>
      <c r="B7681" s="1"/>
    </row>
    <row r="7682" ht="15.75" customHeight="1">
      <c r="A7682" s="1"/>
      <c r="B7682" s="1"/>
    </row>
    <row r="7683" ht="15.75" customHeight="1">
      <c r="A7683" s="1"/>
      <c r="B7683" s="1"/>
    </row>
    <row r="7684" ht="15.75" customHeight="1">
      <c r="A7684" s="1"/>
      <c r="B7684" s="1"/>
    </row>
    <row r="7685" ht="15.75" customHeight="1">
      <c r="A7685" s="1"/>
      <c r="B7685" s="1"/>
    </row>
    <row r="7686" ht="15.75" customHeight="1">
      <c r="A7686" s="1"/>
      <c r="B7686" s="1"/>
    </row>
    <row r="7687" ht="15.75" customHeight="1">
      <c r="A7687" s="1"/>
      <c r="B7687" s="1"/>
    </row>
    <row r="7688" ht="15.75" customHeight="1">
      <c r="A7688" s="1"/>
      <c r="B7688" s="1"/>
    </row>
    <row r="7689" ht="15.75" customHeight="1">
      <c r="A7689" s="1"/>
      <c r="B7689" s="1"/>
    </row>
    <row r="7690" ht="15.75" customHeight="1">
      <c r="A7690" s="1"/>
      <c r="B7690" s="1"/>
    </row>
    <row r="7691" ht="15.75" customHeight="1">
      <c r="A7691" s="1"/>
      <c r="B7691" s="1"/>
    </row>
    <row r="7692" ht="15.75" customHeight="1">
      <c r="A7692" s="1"/>
      <c r="B7692" s="1"/>
    </row>
    <row r="7693" ht="15.75" customHeight="1">
      <c r="A7693" s="1"/>
      <c r="B7693" s="1"/>
    </row>
    <row r="7694" ht="15.75" customHeight="1">
      <c r="A7694" s="1"/>
      <c r="B7694" s="1"/>
    </row>
    <row r="7695" ht="15.75" customHeight="1">
      <c r="A7695" s="1"/>
      <c r="B7695" s="1"/>
    </row>
    <row r="7696" ht="15.75" customHeight="1">
      <c r="A7696" s="1"/>
      <c r="B7696" s="1"/>
    </row>
    <row r="7697" ht="15.75" customHeight="1">
      <c r="A7697" s="1"/>
      <c r="B7697" s="1"/>
    </row>
    <row r="7698" ht="15.75" customHeight="1">
      <c r="A7698" s="1"/>
      <c r="B7698" s="1"/>
    </row>
    <row r="7699" ht="15.75" customHeight="1">
      <c r="A7699" s="1"/>
      <c r="B7699" s="1"/>
    </row>
    <row r="7700" ht="15.75" customHeight="1">
      <c r="A7700" s="1"/>
      <c r="B7700" s="1"/>
    </row>
    <row r="7701" ht="15.75" customHeight="1">
      <c r="A7701" s="1"/>
      <c r="B7701" s="1"/>
    </row>
    <row r="7702" ht="15.75" customHeight="1">
      <c r="A7702" s="1"/>
      <c r="B7702" s="1"/>
    </row>
    <row r="7703" ht="15.75" customHeight="1">
      <c r="A7703" s="1"/>
      <c r="B7703" s="1"/>
    </row>
    <row r="7704" ht="15.75" customHeight="1">
      <c r="A7704" s="1"/>
      <c r="B7704" s="1"/>
    </row>
    <row r="7705" ht="15.75" customHeight="1">
      <c r="A7705" s="1"/>
      <c r="B7705" s="1"/>
    </row>
    <row r="7706" ht="15.75" customHeight="1">
      <c r="A7706" s="1"/>
      <c r="B7706" s="1"/>
    </row>
    <row r="7707" ht="15.75" customHeight="1">
      <c r="A7707" s="1"/>
      <c r="B7707" s="1"/>
    </row>
    <row r="7708" ht="15.75" customHeight="1">
      <c r="A7708" s="1"/>
      <c r="B7708" s="1"/>
    </row>
    <row r="7709" ht="15.75" customHeight="1">
      <c r="A7709" s="1"/>
      <c r="B7709" s="1"/>
    </row>
    <row r="7710" ht="15.75" customHeight="1">
      <c r="A7710" s="1"/>
      <c r="B7710" s="1"/>
    </row>
    <row r="7711" ht="15.75" customHeight="1">
      <c r="A7711" s="1"/>
      <c r="B7711" s="1"/>
    </row>
    <row r="7712" ht="15.75" customHeight="1">
      <c r="A7712" s="1"/>
      <c r="B7712" s="1"/>
    </row>
    <row r="7713" ht="15.75" customHeight="1">
      <c r="A7713" s="1"/>
      <c r="B7713" s="1"/>
    </row>
    <row r="7714" ht="15.75" customHeight="1">
      <c r="A7714" s="1"/>
      <c r="B7714" s="1"/>
    </row>
    <row r="7715" ht="15.75" customHeight="1">
      <c r="A7715" s="1"/>
      <c r="B7715" s="1"/>
    </row>
    <row r="7716" ht="15.75" customHeight="1">
      <c r="A7716" s="1"/>
      <c r="B7716" s="1"/>
    </row>
    <row r="7717" ht="15.75" customHeight="1">
      <c r="A7717" s="1"/>
      <c r="B7717" s="1"/>
    </row>
    <row r="7718" ht="15.75" customHeight="1">
      <c r="A7718" s="1"/>
      <c r="B7718" s="1"/>
    </row>
    <row r="7719" ht="15.75" customHeight="1">
      <c r="A7719" s="1"/>
      <c r="B7719" s="1"/>
    </row>
    <row r="7720" ht="15.75" customHeight="1">
      <c r="A7720" s="1"/>
      <c r="B7720" s="1"/>
    </row>
    <row r="7721" ht="15.75" customHeight="1">
      <c r="A7721" s="1"/>
      <c r="B7721" s="1"/>
    </row>
    <row r="7722" ht="15.75" customHeight="1">
      <c r="A7722" s="1"/>
      <c r="B7722" s="1"/>
    </row>
    <row r="7723" ht="15.75" customHeight="1">
      <c r="A7723" s="1"/>
      <c r="B7723" s="1"/>
    </row>
    <row r="7724" ht="15.75" customHeight="1">
      <c r="A7724" s="1"/>
      <c r="B7724" s="1"/>
    </row>
    <row r="7725" ht="15.75" customHeight="1">
      <c r="A7725" s="1"/>
      <c r="B7725" s="1"/>
    </row>
    <row r="7726" ht="15.75" customHeight="1">
      <c r="A7726" s="1"/>
      <c r="B7726" s="1"/>
    </row>
    <row r="7727" ht="15.75" customHeight="1">
      <c r="A7727" s="1"/>
      <c r="B7727" s="1"/>
    </row>
    <row r="7728" ht="15.75" customHeight="1">
      <c r="A7728" s="1"/>
      <c r="B7728" s="1"/>
    </row>
    <row r="7729" ht="15.75" customHeight="1">
      <c r="A7729" s="1"/>
      <c r="B7729" s="1"/>
    </row>
    <row r="7730" ht="15.75" customHeight="1">
      <c r="A7730" s="1"/>
      <c r="B7730" s="1"/>
    </row>
    <row r="7731" ht="15.75" customHeight="1">
      <c r="A7731" s="1"/>
      <c r="B7731" s="1"/>
    </row>
    <row r="7732" ht="15.75" customHeight="1">
      <c r="A7732" s="1"/>
      <c r="B7732" s="1"/>
    </row>
    <row r="7733" ht="15.75" customHeight="1">
      <c r="A7733" s="1"/>
      <c r="B7733" s="1"/>
    </row>
    <row r="7734" ht="15.75" customHeight="1">
      <c r="A7734" s="1"/>
      <c r="B7734" s="1"/>
    </row>
    <row r="7735" ht="15.75" customHeight="1">
      <c r="A7735" s="1"/>
      <c r="B7735" s="1"/>
    </row>
    <row r="7736" ht="15.75" customHeight="1">
      <c r="A7736" s="1"/>
      <c r="B7736" s="1"/>
    </row>
    <row r="7737" ht="15.75" customHeight="1">
      <c r="A7737" s="1"/>
      <c r="B7737" s="1"/>
    </row>
    <row r="7738" ht="15.75" customHeight="1">
      <c r="A7738" s="1"/>
      <c r="B7738" s="1"/>
    </row>
    <row r="7739" ht="15.75" customHeight="1">
      <c r="A7739" s="1"/>
      <c r="B7739" s="1"/>
    </row>
    <row r="7740" ht="15.75" customHeight="1">
      <c r="A7740" s="1"/>
      <c r="B7740" s="1"/>
    </row>
    <row r="7741" ht="15.75" customHeight="1">
      <c r="A7741" s="1"/>
      <c r="B7741" s="1"/>
    </row>
    <row r="7742" ht="15.75" customHeight="1">
      <c r="A7742" s="1"/>
      <c r="B7742" s="1"/>
    </row>
    <row r="7743" ht="15.75" customHeight="1">
      <c r="A7743" s="1"/>
      <c r="B7743" s="1"/>
    </row>
    <row r="7744" ht="15.75" customHeight="1">
      <c r="A7744" s="1"/>
      <c r="B7744" s="1"/>
    </row>
    <row r="7745" ht="15.75" customHeight="1">
      <c r="A7745" s="1"/>
      <c r="B7745" s="1"/>
    </row>
    <row r="7746" ht="15.75" customHeight="1">
      <c r="A7746" s="1"/>
      <c r="B7746" s="1"/>
    </row>
    <row r="7747" ht="15.75" customHeight="1">
      <c r="A7747" s="1"/>
      <c r="B7747" s="1"/>
    </row>
    <row r="7748" ht="15.75" customHeight="1">
      <c r="A7748" s="1"/>
      <c r="B7748" s="1"/>
    </row>
    <row r="7749" ht="15.75" customHeight="1">
      <c r="A7749" s="1"/>
      <c r="B7749" s="1"/>
    </row>
    <row r="7750" ht="15.75" customHeight="1">
      <c r="A7750" s="1"/>
      <c r="B7750" s="1"/>
    </row>
    <row r="7751" ht="15.75" customHeight="1">
      <c r="A7751" s="1"/>
      <c r="B7751" s="1"/>
    </row>
    <row r="7752" ht="15.75" customHeight="1">
      <c r="A7752" s="1"/>
      <c r="B7752" s="1"/>
    </row>
    <row r="7753" ht="15.75" customHeight="1">
      <c r="A7753" s="1"/>
      <c r="B7753" s="1"/>
    </row>
    <row r="7754" ht="15.75" customHeight="1">
      <c r="A7754" s="1"/>
      <c r="B7754" s="1"/>
    </row>
    <row r="7755" ht="15.75" customHeight="1">
      <c r="A7755" s="1"/>
      <c r="B7755" s="1"/>
    </row>
    <row r="7756" ht="15.75" customHeight="1">
      <c r="A7756" s="1"/>
      <c r="B7756" s="1"/>
    </row>
    <row r="7757" ht="15.75" customHeight="1">
      <c r="A7757" s="1"/>
      <c r="B7757" s="1"/>
    </row>
    <row r="7758" ht="15.75" customHeight="1">
      <c r="A7758" s="1"/>
      <c r="B7758" s="1"/>
    </row>
    <row r="7759" ht="15.75" customHeight="1">
      <c r="A7759" s="1"/>
      <c r="B7759" s="1"/>
    </row>
    <row r="7760" ht="15.75" customHeight="1">
      <c r="A7760" s="1"/>
      <c r="B7760" s="1"/>
    </row>
    <row r="7761" ht="15.75" customHeight="1">
      <c r="A7761" s="1"/>
      <c r="B7761" s="1"/>
    </row>
    <row r="7762" ht="15.75" customHeight="1">
      <c r="A7762" s="1"/>
      <c r="B7762" s="1"/>
    </row>
    <row r="7763" ht="15.75" customHeight="1">
      <c r="A7763" s="1"/>
      <c r="B7763" s="1"/>
    </row>
    <row r="7764" ht="15.75" customHeight="1">
      <c r="A7764" s="1"/>
      <c r="B7764" s="1"/>
    </row>
    <row r="7765" ht="15.75" customHeight="1">
      <c r="A7765" s="1"/>
      <c r="B7765" s="1"/>
    </row>
    <row r="7766" ht="15.75" customHeight="1">
      <c r="A7766" s="1"/>
      <c r="B7766" s="1"/>
    </row>
    <row r="7767" ht="15.75" customHeight="1">
      <c r="A7767" s="1"/>
      <c r="B7767" s="1"/>
    </row>
    <row r="7768" ht="15.75" customHeight="1">
      <c r="A7768" s="1"/>
      <c r="B7768" s="1"/>
    </row>
    <row r="7769" ht="15.75" customHeight="1">
      <c r="A7769" s="1"/>
      <c r="B7769" s="1"/>
    </row>
    <row r="7770" ht="15.75" customHeight="1">
      <c r="A7770" s="1"/>
      <c r="B7770" s="1"/>
    </row>
    <row r="7771" ht="15.75" customHeight="1">
      <c r="A7771" s="1"/>
      <c r="B7771" s="1"/>
    </row>
    <row r="7772" ht="15.75" customHeight="1">
      <c r="A7772" s="1"/>
      <c r="B7772" s="1"/>
    </row>
    <row r="7773" ht="15.75" customHeight="1">
      <c r="A7773" s="1"/>
      <c r="B7773" s="1"/>
    </row>
    <row r="7774" ht="15.75" customHeight="1">
      <c r="A7774" s="1"/>
      <c r="B7774" s="1"/>
    </row>
    <row r="7775" ht="15.75" customHeight="1">
      <c r="A7775" s="1"/>
      <c r="B7775" s="1"/>
    </row>
    <row r="7776" ht="15.75" customHeight="1">
      <c r="A7776" s="1"/>
      <c r="B7776" s="1"/>
    </row>
    <row r="7777" ht="15.75" customHeight="1">
      <c r="A7777" s="1"/>
      <c r="B7777" s="1"/>
    </row>
    <row r="7778" ht="15.75" customHeight="1">
      <c r="A7778" s="1"/>
      <c r="B7778" s="1"/>
    </row>
    <row r="7779" ht="15.75" customHeight="1">
      <c r="A7779" s="1"/>
      <c r="B7779" s="1"/>
    </row>
    <row r="7780" ht="15.75" customHeight="1">
      <c r="A7780" s="1"/>
      <c r="B7780" s="1"/>
    </row>
    <row r="7781" ht="15.75" customHeight="1">
      <c r="A7781" s="1"/>
      <c r="B7781" s="1"/>
    </row>
    <row r="7782" ht="15.75" customHeight="1">
      <c r="A7782" s="1"/>
      <c r="B7782" s="1"/>
    </row>
    <row r="7783" ht="15.75" customHeight="1">
      <c r="A7783" s="1"/>
      <c r="B7783" s="1"/>
    </row>
    <row r="7784" ht="15.75" customHeight="1">
      <c r="A7784" s="1"/>
      <c r="B7784" s="1"/>
    </row>
    <row r="7785" ht="15.75" customHeight="1">
      <c r="A7785" s="1"/>
      <c r="B7785" s="1"/>
    </row>
    <row r="7786" ht="15.75" customHeight="1">
      <c r="A7786" s="1"/>
      <c r="B7786" s="1"/>
    </row>
    <row r="7787" ht="15.75" customHeight="1">
      <c r="A7787" s="1"/>
      <c r="B7787" s="1"/>
    </row>
    <row r="7788" ht="15.75" customHeight="1">
      <c r="A7788" s="1"/>
      <c r="B7788" s="1"/>
    </row>
    <row r="7789" ht="15.75" customHeight="1">
      <c r="A7789" s="1"/>
      <c r="B7789" s="1"/>
    </row>
    <row r="7790" ht="15.75" customHeight="1">
      <c r="A7790" s="1"/>
      <c r="B7790" s="1"/>
    </row>
    <row r="7791" ht="15.75" customHeight="1">
      <c r="A7791" s="1"/>
      <c r="B7791" s="1"/>
    </row>
    <row r="7792" ht="15.75" customHeight="1">
      <c r="A7792" s="1"/>
      <c r="B7792" s="1"/>
    </row>
    <row r="7793" ht="15.75" customHeight="1">
      <c r="A7793" s="1"/>
      <c r="B7793" s="1"/>
    </row>
    <row r="7794" ht="15.75" customHeight="1">
      <c r="A7794" s="1"/>
      <c r="B7794" s="1"/>
    </row>
    <row r="7795" ht="15.75" customHeight="1">
      <c r="A7795" s="1"/>
      <c r="B7795" s="1"/>
    </row>
    <row r="7796" ht="15.75" customHeight="1">
      <c r="A7796" s="1"/>
      <c r="B7796" s="1"/>
    </row>
    <row r="7797" ht="15.75" customHeight="1">
      <c r="A7797" s="1"/>
      <c r="B7797" s="1"/>
    </row>
    <row r="7798" ht="15.75" customHeight="1">
      <c r="A7798" s="1"/>
      <c r="B7798" s="1"/>
    </row>
    <row r="7799" ht="15.75" customHeight="1">
      <c r="A7799" s="1"/>
      <c r="B7799" s="1"/>
    </row>
    <row r="7800" ht="15.75" customHeight="1">
      <c r="A7800" s="1"/>
      <c r="B7800" s="1"/>
    </row>
    <row r="7801" ht="15.75" customHeight="1">
      <c r="A7801" s="1"/>
      <c r="B7801" s="1"/>
    </row>
    <row r="7802" ht="15.75" customHeight="1">
      <c r="A7802" s="1"/>
      <c r="B7802" s="1"/>
    </row>
    <row r="7803" ht="15.75" customHeight="1">
      <c r="A7803" s="1"/>
      <c r="B7803" s="1"/>
    </row>
    <row r="7804" ht="15.75" customHeight="1">
      <c r="A7804" s="1"/>
      <c r="B7804" s="1"/>
    </row>
    <row r="7805" ht="15.75" customHeight="1">
      <c r="A7805" s="1"/>
      <c r="B7805" s="1"/>
    </row>
    <row r="7806" ht="15.75" customHeight="1">
      <c r="A7806" s="1"/>
      <c r="B7806" s="1"/>
    </row>
    <row r="7807" ht="15.75" customHeight="1">
      <c r="A7807" s="1"/>
      <c r="B7807" s="1"/>
    </row>
    <row r="7808" ht="15.75" customHeight="1">
      <c r="A7808" s="1"/>
      <c r="B7808" s="1"/>
    </row>
    <row r="7809" ht="15.75" customHeight="1">
      <c r="A7809" s="1"/>
      <c r="B7809" s="1"/>
    </row>
    <row r="7810" ht="15.75" customHeight="1">
      <c r="A7810" s="1"/>
      <c r="B7810" s="1"/>
    </row>
    <row r="7811" ht="15.75" customHeight="1">
      <c r="A7811" s="1"/>
      <c r="B7811" s="1"/>
    </row>
    <row r="7812" ht="15.75" customHeight="1">
      <c r="A7812" s="1"/>
      <c r="B7812" s="1"/>
    </row>
    <row r="7813" ht="15.75" customHeight="1">
      <c r="A7813" s="1"/>
      <c r="B7813" s="1"/>
    </row>
    <row r="7814" ht="15.75" customHeight="1">
      <c r="A7814" s="1"/>
      <c r="B7814" s="1"/>
    </row>
    <row r="7815" ht="15.75" customHeight="1">
      <c r="A7815" s="1"/>
      <c r="B7815" s="1"/>
    </row>
    <row r="7816" ht="15.75" customHeight="1">
      <c r="A7816" s="1"/>
      <c r="B7816" s="1"/>
    </row>
    <row r="7817" ht="15.75" customHeight="1">
      <c r="A7817" s="1"/>
      <c r="B7817" s="1"/>
    </row>
    <row r="7818" ht="15.75" customHeight="1">
      <c r="A7818" s="1"/>
      <c r="B7818" s="1"/>
    </row>
    <row r="7819" ht="15.75" customHeight="1">
      <c r="A7819" s="1"/>
      <c r="B7819" s="1"/>
    </row>
    <row r="7820" ht="15.75" customHeight="1">
      <c r="A7820" s="1"/>
      <c r="B7820" s="1"/>
    </row>
    <row r="7821" ht="15.75" customHeight="1">
      <c r="A7821" s="1"/>
      <c r="B7821" s="1"/>
    </row>
    <row r="7822" ht="15.75" customHeight="1">
      <c r="A7822" s="1"/>
      <c r="B7822" s="1"/>
    </row>
    <row r="7823" ht="15.75" customHeight="1">
      <c r="A7823" s="1"/>
      <c r="B7823" s="1"/>
    </row>
    <row r="7824" ht="15.75" customHeight="1">
      <c r="A7824" s="1"/>
      <c r="B7824" s="1"/>
    </row>
    <row r="7825" ht="15.75" customHeight="1">
      <c r="A7825" s="1"/>
      <c r="B7825" s="1"/>
    </row>
    <row r="7826" ht="15.75" customHeight="1">
      <c r="A7826" s="1"/>
      <c r="B7826" s="1"/>
    </row>
    <row r="7827" ht="15.75" customHeight="1">
      <c r="A7827" s="1"/>
      <c r="B7827" s="1"/>
    </row>
    <row r="7828" ht="15.75" customHeight="1">
      <c r="A7828" s="1"/>
      <c r="B7828" s="1"/>
    </row>
    <row r="7829" ht="15.75" customHeight="1">
      <c r="A7829" s="1"/>
      <c r="B7829" s="1"/>
    </row>
    <row r="7830" ht="15.75" customHeight="1">
      <c r="A7830" s="1"/>
      <c r="B7830" s="1"/>
    </row>
    <row r="7831" ht="15.75" customHeight="1">
      <c r="A7831" s="1"/>
      <c r="B7831" s="1"/>
    </row>
    <row r="7832" ht="15.75" customHeight="1">
      <c r="A7832" s="1"/>
      <c r="B7832" s="1"/>
    </row>
    <row r="7833" ht="15.75" customHeight="1">
      <c r="A7833" s="1"/>
      <c r="B7833" s="1"/>
    </row>
    <row r="7834" ht="15.75" customHeight="1">
      <c r="A7834" s="1"/>
      <c r="B7834" s="1"/>
    </row>
    <row r="7835" ht="15.75" customHeight="1">
      <c r="A7835" s="1"/>
      <c r="B7835" s="1"/>
    </row>
    <row r="7836" ht="15.75" customHeight="1">
      <c r="A7836" s="1"/>
      <c r="B7836" s="1"/>
    </row>
    <row r="7837" ht="15.75" customHeight="1">
      <c r="A7837" s="1"/>
      <c r="B7837" s="1"/>
    </row>
    <row r="7838" ht="15.75" customHeight="1">
      <c r="A7838" s="1"/>
      <c r="B7838" s="1"/>
    </row>
    <row r="7839" ht="15.75" customHeight="1">
      <c r="A7839" s="1"/>
      <c r="B7839" s="1"/>
    </row>
    <row r="7840" ht="15.75" customHeight="1">
      <c r="A7840" s="1"/>
      <c r="B7840" s="1"/>
    </row>
    <row r="7841" ht="15.75" customHeight="1">
      <c r="A7841" s="1"/>
      <c r="B7841" s="1"/>
    </row>
    <row r="7842" ht="15.75" customHeight="1">
      <c r="A7842" s="1"/>
      <c r="B7842" s="1"/>
    </row>
    <row r="7843" ht="15.75" customHeight="1">
      <c r="A7843" s="1"/>
      <c r="B7843" s="1"/>
    </row>
    <row r="7844" ht="15.75" customHeight="1">
      <c r="A7844" s="1"/>
      <c r="B7844" s="1"/>
    </row>
    <row r="7845" ht="15.75" customHeight="1">
      <c r="A7845" s="1"/>
      <c r="B7845" s="1"/>
    </row>
    <row r="7846" ht="15.75" customHeight="1">
      <c r="A7846" s="1"/>
      <c r="B7846" s="1"/>
    </row>
    <row r="7847" ht="15.75" customHeight="1">
      <c r="A7847" s="1"/>
      <c r="B7847" s="1"/>
    </row>
    <row r="7848" ht="15.75" customHeight="1">
      <c r="A7848" s="1"/>
      <c r="B7848" s="1"/>
    </row>
    <row r="7849" ht="15.75" customHeight="1">
      <c r="A7849" s="1"/>
      <c r="B7849" s="1"/>
    </row>
    <row r="7850" ht="15.75" customHeight="1">
      <c r="A7850" s="1"/>
      <c r="B7850" s="1"/>
    </row>
    <row r="7851" ht="15.75" customHeight="1">
      <c r="A7851" s="1"/>
      <c r="B7851" s="1"/>
    </row>
    <row r="7852" ht="15.75" customHeight="1">
      <c r="A7852" s="1"/>
      <c r="B7852" s="1"/>
    </row>
    <row r="7853" ht="15.75" customHeight="1">
      <c r="A7853" s="1"/>
      <c r="B7853" s="1"/>
    </row>
    <row r="7854" ht="15.75" customHeight="1">
      <c r="A7854" s="1"/>
      <c r="B7854" s="1"/>
    </row>
    <row r="7855" ht="15.75" customHeight="1">
      <c r="A7855" s="1"/>
      <c r="B7855" s="1"/>
    </row>
    <row r="7856" ht="15.75" customHeight="1">
      <c r="A7856" s="1"/>
      <c r="B7856" s="1"/>
    </row>
    <row r="7857" ht="15.75" customHeight="1">
      <c r="A7857" s="1"/>
      <c r="B7857" s="1"/>
    </row>
    <row r="7858" ht="15.75" customHeight="1">
      <c r="A7858" s="1"/>
      <c r="B7858" s="1"/>
    </row>
    <row r="7859" ht="15.75" customHeight="1">
      <c r="A7859" s="1"/>
      <c r="B7859" s="1"/>
    </row>
    <row r="7860" ht="15.75" customHeight="1">
      <c r="A7860" s="1"/>
      <c r="B7860" s="1"/>
    </row>
    <row r="7861" ht="15.75" customHeight="1">
      <c r="A7861" s="1"/>
      <c r="B7861" s="1"/>
    </row>
    <row r="7862" ht="15.75" customHeight="1">
      <c r="A7862" s="1"/>
      <c r="B7862" s="1"/>
    </row>
    <row r="7863" ht="15.75" customHeight="1">
      <c r="A7863" s="1"/>
      <c r="B7863" s="1"/>
    </row>
    <row r="7864" ht="15.75" customHeight="1">
      <c r="A7864" s="1"/>
      <c r="B7864" s="1"/>
    </row>
    <row r="7865" ht="15.75" customHeight="1">
      <c r="A7865" s="1"/>
      <c r="B7865" s="1"/>
    </row>
    <row r="7866" ht="15.75" customHeight="1">
      <c r="A7866" s="1"/>
      <c r="B7866" s="1"/>
    </row>
    <row r="7867" ht="15.75" customHeight="1">
      <c r="A7867" s="1"/>
      <c r="B7867" s="1"/>
    </row>
    <row r="7868" ht="15.75" customHeight="1">
      <c r="A7868" s="1"/>
      <c r="B7868" s="1"/>
    </row>
    <row r="7869" ht="15.75" customHeight="1">
      <c r="A7869" s="1"/>
      <c r="B7869" s="1"/>
    </row>
    <row r="7870" ht="15.75" customHeight="1">
      <c r="A7870" s="1"/>
      <c r="B7870" s="1"/>
    </row>
    <row r="7871" ht="15.75" customHeight="1">
      <c r="A7871" s="1"/>
      <c r="B7871" s="1"/>
    </row>
    <row r="7872" ht="15.75" customHeight="1">
      <c r="A7872" s="1"/>
      <c r="B7872" s="1"/>
    </row>
    <row r="7873" ht="15.75" customHeight="1">
      <c r="A7873" s="1"/>
      <c r="B7873" s="1"/>
    </row>
    <row r="7874" ht="15.75" customHeight="1">
      <c r="A7874" s="1"/>
      <c r="B7874" s="1"/>
    </row>
    <row r="7875" ht="15.75" customHeight="1">
      <c r="A7875" s="1"/>
      <c r="B7875" s="1"/>
    </row>
    <row r="7876" ht="15.75" customHeight="1">
      <c r="A7876" s="1"/>
      <c r="B7876" s="1"/>
    </row>
    <row r="7877" ht="15.75" customHeight="1">
      <c r="A7877" s="1"/>
      <c r="B7877" s="1"/>
    </row>
    <row r="7878" ht="15.75" customHeight="1">
      <c r="A7878" s="1"/>
      <c r="B7878" s="1"/>
    </row>
    <row r="7879" ht="15.75" customHeight="1">
      <c r="A7879" s="1"/>
      <c r="B7879" s="1"/>
    </row>
    <row r="7880" ht="15.75" customHeight="1">
      <c r="A7880" s="1"/>
      <c r="B7880" s="1"/>
    </row>
    <row r="7881" ht="15.75" customHeight="1">
      <c r="A7881" s="1"/>
      <c r="B7881" s="1"/>
    </row>
    <row r="7882" ht="15.75" customHeight="1">
      <c r="A7882" s="1"/>
      <c r="B7882" s="1"/>
    </row>
    <row r="7883" ht="15.75" customHeight="1">
      <c r="A7883" s="1"/>
      <c r="B7883" s="1"/>
    </row>
    <row r="7884" ht="15.75" customHeight="1">
      <c r="A7884" s="1"/>
      <c r="B7884" s="1"/>
    </row>
    <row r="7885" ht="15.75" customHeight="1">
      <c r="A7885" s="1"/>
      <c r="B7885" s="1"/>
    </row>
    <row r="7886" ht="15.75" customHeight="1">
      <c r="A7886" s="1"/>
      <c r="B7886" s="1"/>
    </row>
    <row r="7887" ht="15.75" customHeight="1">
      <c r="A7887" s="1"/>
      <c r="B7887" s="1"/>
    </row>
    <row r="7888" ht="15.75" customHeight="1">
      <c r="A7888" s="1"/>
      <c r="B7888" s="1"/>
    </row>
    <row r="7889" ht="15.75" customHeight="1">
      <c r="A7889" s="1"/>
      <c r="B7889" s="1"/>
    </row>
    <row r="7890" ht="15.75" customHeight="1">
      <c r="A7890" s="1"/>
      <c r="B7890" s="1"/>
    </row>
    <row r="7891" ht="15.75" customHeight="1">
      <c r="A7891" s="1"/>
      <c r="B7891" s="1"/>
    </row>
    <row r="7892" ht="15.75" customHeight="1">
      <c r="A7892" s="1"/>
      <c r="B7892" s="1"/>
    </row>
    <row r="7893" ht="15.75" customHeight="1">
      <c r="A7893" s="1"/>
      <c r="B7893" s="1"/>
    </row>
    <row r="7894" ht="15.75" customHeight="1">
      <c r="A7894" s="1"/>
      <c r="B7894" s="1"/>
    </row>
    <row r="7895" ht="15.75" customHeight="1">
      <c r="A7895" s="1"/>
      <c r="B7895" s="1"/>
    </row>
    <row r="7896" ht="15.75" customHeight="1">
      <c r="A7896" s="1"/>
      <c r="B7896" s="1"/>
    </row>
    <row r="7897" ht="15.75" customHeight="1">
      <c r="A7897" s="1"/>
      <c r="B7897" s="1"/>
    </row>
    <row r="7898" ht="15.75" customHeight="1">
      <c r="A7898" s="1"/>
      <c r="B7898" s="1"/>
    </row>
    <row r="7899" ht="15.75" customHeight="1">
      <c r="A7899" s="1"/>
      <c r="B7899" s="1"/>
    </row>
    <row r="7900" ht="15.75" customHeight="1">
      <c r="A7900" s="1"/>
      <c r="B7900" s="1"/>
    </row>
    <row r="7901" ht="15.75" customHeight="1">
      <c r="A7901" s="1"/>
      <c r="B7901" s="1"/>
    </row>
    <row r="7902" ht="15.75" customHeight="1">
      <c r="A7902" s="1"/>
      <c r="B7902" s="1"/>
    </row>
    <row r="7903" ht="15.75" customHeight="1">
      <c r="A7903" s="1"/>
      <c r="B7903" s="1"/>
    </row>
    <row r="7904" ht="15.75" customHeight="1">
      <c r="A7904" s="1"/>
      <c r="B7904" s="1"/>
    </row>
    <row r="7905" ht="15.75" customHeight="1">
      <c r="A7905" s="1"/>
      <c r="B7905" s="1"/>
    </row>
    <row r="7906" ht="15.75" customHeight="1">
      <c r="A7906" s="1"/>
      <c r="B7906" s="1"/>
    </row>
    <row r="7907" ht="15.75" customHeight="1">
      <c r="A7907" s="1"/>
      <c r="B7907" s="1"/>
    </row>
    <row r="7908" ht="15.75" customHeight="1">
      <c r="A7908" s="1"/>
      <c r="B7908" s="1"/>
    </row>
    <row r="7909" ht="15.75" customHeight="1">
      <c r="A7909" s="1"/>
      <c r="B7909" s="1"/>
    </row>
    <row r="7910" ht="15.75" customHeight="1">
      <c r="A7910" s="1"/>
      <c r="B7910" s="1"/>
    </row>
    <row r="7911" ht="15.75" customHeight="1">
      <c r="A7911" s="1"/>
      <c r="B7911" s="1"/>
    </row>
    <row r="7912" ht="15.75" customHeight="1">
      <c r="A7912" s="1"/>
      <c r="B7912" s="1"/>
    </row>
    <row r="7913" ht="15.75" customHeight="1">
      <c r="A7913" s="1"/>
      <c r="B7913" s="1"/>
    </row>
    <row r="7914" ht="15.75" customHeight="1">
      <c r="A7914" s="1"/>
      <c r="B7914" s="1"/>
    </row>
    <row r="7915" ht="15.75" customHeight="1">
      <c r="A7915" s="1"/>
      <c r="B7915" s="1"/>
    </row>
    <row r="7916" ht="15.75" customHeight="1">
      <c r="A7916" s="1"/>
      <c r="B7916" s="1"/>
    </row>
    <row r="7917" ht="15.75" customHeight="1">
      <c r="A7917" s="1"/>
      <c r="B7917" s="1"/>
    </row>
    <row r="7918" ht="15.75" customHeight="1">
      <c r="A7918" s="1"/>
      <c r="B7918" s="1"/>
    </row>
    <row r="7919" ht="15.75" customHeight="1">
      <c r="A7919" s="1"/>
      <c r="B7919" s="1"/>
    </row>
    <row r="7920" ht="15.75" customHeight="1">
      <c r="A7920" s="1"/>
      <c r="B7920" s="1"/>
    </row>
    <row r="7921" ht="15.75" customHeight="1">
      <c r="A7921" s="1"/>
      <c r="B7921" s="1"/>
    </row>
    <row r="7922" ht="15.75" customHeight="1">
      <c r="A7922" s="1"/>
      <c r="B7922" s="1"/>
    </row>
    <row r="7923" ht="15.75" customHeight="1">
      <c r="A7923" s="1"/>
      <c r="B7923" s="1"/>
    </row>
    <row r="7924" ht="15.75" customHeight="1">
      <c r="A7924" s="1"/>
      <c r="B7924" s="1"/>
    </row>
    <row r="7925" ht="15.75" customHeight="1">
      <c r="A7925" s="1"/>
      <c r="B7925" s="1"/>
    </row>
    <row r="7926" ht="15.75" customHeight="1">
      <c r="A7926" s="1"/>
      <c r="B7926" s="1"/>
    </row>
    <row r="7927" ht="15.75" customHeight="1">
      <c r="A7927" s="1"/>
      <c r="B7927" s="1"/>
    </row>
    <row r="7928" ht="15.75" customHeight="1">
      <c r="A7928" s="1"/>
      <c r="B7928" s="1"/>
    </row>
    <row r="7929" ht="15.75" customHeight="1">
      <c r="A7929" s="1"/>
      <c r="B7929" s="1"/>
    </row>
    <row r="7930" ht="15.75" customHeight="1">
      <c r="A7930" s="1"/>
      <c r="B7930" s="1"/>
    </row>
    <row r="7931" ht="15.75" customHeight="1">
      <c r="A7931" s="1"/>
      <c r="B7931" s="1"/>
    </row>
    <row r="7932" ht="15.75" customHeight="1">
      <c r="A7932" s="1"/>
      <c r="B7932" s="1"/>
    </row>
    <row r="7933" ht="15.75" customHeight="1">
      <c r="A7933" s="1"/>
      <c r="B7933" s="1"/>
    </row>
    <row r="7934" ht="15.75" customHeight="1">
      <c r="A7934" s="1"/>
      <c r="B7934" s="1"/>
    </row>
    <row r="7935" ht="15.75" customHeight="1">
      <c r="A7935" s="1"/>
      <c r="B7935" s="1"/>
    </row>
    <row r="7936" ht="15.75" customHeight="1">
      <c r="A7936" s="1"/>
      <c r="B7936" s="1"/>
    </row>
    <row r="7937" ht="15.75" customHeight="1">
      <c r="A7937" s="1"/>
      <c r="B7937" s="1"/>
    </row>
    <row r="7938" ht="15.75" customHeight="1">
      <c r="A7938" s="1"/>
      <c r="B7938" s="1"/>
    </row>
    <row r="7939" ht="15.75" customHeight="1">
      <c r="A7939" s="1"/>
      <c r="B7939" s="1"/>
    </row>
    <row r="7940" ht="15.75" customHeight="1">
      <c r="A7940" s="1"/>
      <c r="B7940" s="1"/>
    </row>
    <row r="7941" ht="15.75" customHeight="1">
      <c r="A7941" s="1"/>
      <c r="B7941" s="1"/>
    </row>
    <row r="7942" ht="15.75" customHeight="1">
      <c r="A7942" s="1"/>
      <c r="B7942" s="1"/>
    </row>
    <row r="7943" ht="15.75" customHeight="1">
      <c r="A7943" s="1"/>
      <c r="B7943" s="1"/>
    </row>
    <row r="7944" ht="15.75" customHeight="1">
      <c r="A7944" s="1"/>
      <c r="B7944" s="1"/>
    </row>
    <row r="7945" ht="15.75" customHeight="1">
      <c r="A7945" s="1"/>
      <c r="B7945" s="1"/>
    </row>
    <row r="7946" ht="15.75" customHeight="1">
      <c r="A7946" s="1"/>
      <c r="B7946" s="1"/>
    </row>
    <row r="7947" ht="15.75" customHeight="1">
      <c r="A7947" s="1"/>
      <c r="B7947" s="1"/>
    </row>
    <row r="7948" ht="15.75" customHeight="1">
      <c r="A7948" s="1"/>
      <c r="B7948" s="1"/>
    </row>
    <row r="7949" ht="15.75" customHeight="1">
      <c r="A7949" s="1"/>
      <c r="B7949" s="1"/>
    </row>
    <row r="7950" ht="15.75" customHeight="1">
      <c r="A7950" s="1"/>
      <c r="B7950" s="1"/>
    </row>
    <row r="7951" ht="15.75" customHeight="1">
      <c r="A7951" s="1"/>
      <c r="B7951" s="1"/>
    </row>
    <row r="7952" ht="15.75" customHeight="1">
      <c r="A7952" s="1"/>
      <c r="B7952" s="1"/>
    </row>
    <row r="7953" ht="15.75" customHeight="1">
      <c r="A7953" s="1"/>
      <c r="B7953" s="1"/>
    </row>
    <row r="7954" ht="15.75" customHeight="1">
      <c r="A7954" s="1"/>
      <c r="B7954" s="1"/>
    </row>
    <row r="7955" ht="15.75" customHeight="1">
      <c r="A7955" s="1"/>
      <c r="B7955" s="1"/>
    </row>
    <row r="7956" ht="15.75" customHeight="1">
      <c r="A7956" s="1"/>
      <c r="B7956" s="1"/>
    </row>
    <row r="7957" ht="15.75" customHeight="1">
      <c r="A7957" s="1"/>
      <c r="B7957" s="1"/>
    </row>
    <row r="7958" ht="15.75" customHeight="1">
      <c r="A7958" s="1"/>
      <c r="B7958" s="1"/>
    </row>
    <row r="7959" ht="15.75" customHeight="1">
      <c r="A7959" s="1"/>
      <c r="B7959" s="1"/>
    </row>
    <row r="7960" ht="15.75" customHeight="1">
      <c r="A7960" s="1"/>
      <c r="B7960" s="1"/>
    </row>
    <row r="7961" ht="15.75" customHeight="1">
      <c r="A7961" s="1"/>
      <c r="B7961" s="1"/>
    </row>
    <row r="7962" ht="15.75" customHeight="1">
      <c r="A7962" s="1"/>
      <c r="B7962" s="1"/>
    </row>
    <row r="7963" ht="15.75" customHeight="1">
      <c r="A7963" s="1"/>
      <c r="B7963" s="1"/>
    </row>
    <row r="7964" ht="15.75" customHeight="1">
      <c r="A7964" s="1"/>
      <c r="B7964" s="1"/>
    </row>
    <row r="7965" ht="15.75" customHeight="1">
      <c r="A7965" s="1"/>
      <c r="B7965" s="1"/>
    </row>
    <row r="7966" ht="15.75" customHeight="1">
      <c r="A7966" s="1"/>
      <c r="B7966" s="1"/>
    </row>
    <row r="7967" ht="15.75" customHeight="1">
      <c r="A7967" s="1"/>
      <c r="B7967" s="1"/>
    </row>
    <row r="7968" ht="15.75" customHeight="1">
      <c r="A7968" s="1"/>
      <c r="B7968" s="1"/>
    </row>
    <row r="7969" ht="15.75" customHeight="1">
      <c r="A7969" s="1"/>
      <c r="B7969" s="1"/>
    </row>
    <row r="7970" ht="15.75" customHeight="1">
      <c r="A7970" s="1"/>
      <c r="B7970" s="1"/>
    </row>
    <row r="7971" ht="15.75" customHeight="1">
      <c r="A7971" s="1"/>
      <c r="B7971" s="1"/>
    </row>
    <row r="7972" ht="15.75" customHeight="1">
      <c r="A7972" s="1"/>
      <c r="B7972" s="1"/>
    </row>
    <row r="7973" ht="15.75" customHeight="1">
      <c r="A7973" s="1"/>
      <c r="B7973" s="1"/>
    </row>
    <row r="7974" ht="15.75" customHeight="1">
      <c r="A7974" s="1"/>
      <c r="B7974" s="1"/>
    </row>
    <row r="7975" ht="15.75" customHeight="1">
      <c r="A7975" s="1"/>
      <c r="B7975" s="1"/>
    </row>
    <row r="7976" ht="15.75" customHeight="1">
      <c r="A7976" s="1"/>
      <c r="B7976" s="1"/>
    </row>
    <row r="7977" ht="15.75" customHeight="1">
      <c r="A7977" s="1"/>
      <c r="B7977" s="1"/>
    </row>
    <row r="7978" ht="15.75" customHeight="1">
      <c r="A7978" s="1"/>
      <c r="B7978" s="1"/>
    </row>
    <row r="7979" ht="15.75" customHeight="1">
      <c r="A7979" s="1"/>
      <c r="B7979" s="1"/>
    </row>
    <row r="7980" ht="15.75" customHeight="1">
      <c r="A7980" s="1"/>
      <c r="B7980" s="1"/>
    </row>
    <row r="7981" ht="15.75" customHeight="1">
      <c r="A7981" s="1"/>
      <c r="B7981" s="1"/>
    </row>
    <row r="7982" ht="15.75" customHeight="1">
      <c r="A7982" s="1"/>
      <c r="B7982" s="1"/>
    </row>
    <row r="7983" ht="15.75" customHeight="1">
      <c r="A7983" s="1"/>
      <c r="B7983" s="1"/>
    </row>
    <row r="7984" ht="15.75" customHeight="1">
      <c r="A7984" s="1"/>
      <c r="B7984" s="1"/>
    </row>
    <row r="7985" ht="15.75" customHeight="1">
      <c r="A7985" s="1"/>
      <c r="B7985" s="1"/>
    </row>
    <row r="7986" ht="15.75" customHeight="1">
      <c r="A7986" s="1"/>
      <c r="B7986" s="1"/>
    </row>
    <row r="7987" ht="15.75" customHeight="1">
      <c r="A7987" s="1"/>
      <c r="B7987" s="1"/>
    </row>
    <row r="7988" ht="15.75" customHeight="1">
      <c r="A7988" s="1"/>
      <c r="B7988" s="1"/>
    </row>
    <row r="7989" ht="15.75" customHeight="1">
      <c r="A7989" s="1"/>
      <c r="B7989" s="1"/>
    </row>
    <row r="7990" ht="15.75" customHeight="1">
      <c r="A7990" s="1"/>
      <c r="B7990" s="1"/>
    </row>
    <row r="7991" ht="15.75" customHeight="1">
      <c r="A7991" s="1"/>
      <c r="B7991" s="1"/>
    </row>
    <row r="7992" ht="15.75" customHeight="1">
      <c r="A7992" s="1"/>
      <c r="B7992" s="1"/>
    </row>
    <row r="7993" ht="15.75" customHeight="1">
      <c r="A7993" s="1"/>
      <c r="B7993" s="1"/>
    </row>
    <row r="7994" ht="15.75" customHeight="1">
      <c r="A7994" s="1"/>
      <c r="B7994" s="1"/>
    </row>
    <row r="7995" ht="15.75" customHeight="1">
      <c r="A7995" s="1"/>
      <c r="B7995" s="1"/>
    </row>
    <row r="7996" ht="15.75" customHeight="1">
      <c r="A7996" s="1"/>
      <c r="B7996" s="1"/>
    </row>
    <row r="7997" ht="15.75" customHeight="1">
      <c r="A7997" s="1"/>
      <c r="B7997" s="1"/>
    </row>
    <row r="7998" ht="15.75" customHeight="1">
      <c r="A7998" s="1"/>
      <c r="B7998" s="1"/>
    </row>
    <row r="7999" ht="15.75" customHeight="1">
      <c r="A7999" s="1"/>
      <c r="B7999" s="1"/>
    </row>
    <row r="8000" ht="15.75" customHeight="1">
      <c r="A8000" s="1"/>
      <c r="B8000" s="1"/>
    </row>
    <row r="8001" ht="15.75" customHeight="1">
      <c r="A8001" s="1"/>
      <c r="B8001" s="1"/>
    </row>
    <row r="8002" ht="15.75" customHeight="1">
      <c r="A8002" s="1"/>
      <c r="B8002" s="1"/>
    </row>
    <row r="8003" ht="15.75" customHeight="1">
      <c r="A8003" s="1"/>
      <c r="B8003" s="1"/>
    </row>
    <row r="8004" ht="15.75" customHeight="1">
      <c r="A8004" s="1"/>
      <c r="B8004" s="1"/>
    </row>
    <row r="8005" ht="15.75" customHeight="1">
      <c r="A8005" s="1"/>
      <c r="B8005" s="1"/>
    </row>
    <row r="8006" ht="15.75" customHeight="1">
      <c r="A8006" s="1"/>
      <c r="B8006" s="1"/>
    </row>
    <row r="8007" ht="15.75" customHeight="1">
      <c r="A8007" s="1"/>
      <c r="B8007" s="1"/>
    </row>
    <row r="8008" ht="15.75" customHeight="1">
      <c r="A8008" s="1"/>
      <c r="B8008" s="1"/>
    </row>
    <row r="8009" ht="15.75" customHeight="1">
      <c r="A8009" s="1"/>
      <c r="B8009" s="1"/>
    </row>
    <row r="8010" ht="15.75" customHeight="1">
      <c r="A8010" s="1"/>
      <c r="B8010" s="1"/>
    </row>
    <row r="8011" ht="15.75" customHeight="1">
      <c r="A8011" s="1"/>
      <c r="B8011" s="1"/>
    </row>
    <row r="8012" ht="15.75" customHeight="1">
      <c r="A8012" s="1"/>
      <c r="B8012" s="1"/>
    </row>
    <row r="8013" ht="15.75" customHeight="1">
      <c r="A8013" s="1"/>
      <c r="B8013" s="1"/>
    </row>
    <row r="8014" ht="15.75" customHeight="1">
      <c r="A8014" s="1"/>
      <c r="B8014" s="1"/>
    </row>
    <row r="8015" ht="15.75" customHeight="1">
      <c r="A8015" s="1"/>
      <c r="B8015" s="1"/>
    </row>
    <row r="8016" ht="15.75" customHeight="1">
      <c r="A8016" s="1"/>
      <c r="B8016" s="1"/>
    </row>
    <row r="8017" ht="15.75" customHeight="1">
      <c r="A8017" s="1"/>
      <c r="B8017" s="1"/>
    </row>
    <row r="8018" ht="15.75" customHeight="1">
      <c r="A8018" s="1"/>
      <c r="B8018" s="1"/>
    </row>
    <row r="8019" ht="15.75" customHeight="1">
      <c r="A8019" s="1"/>
      <c r="B8019" s="1"/>
    </row>
    <row r="8020" ht="15.75" customHeight="1">
      <c r="A8020" s="1"/>
      <c r="B8020" s="1"/>
    </row>
    <row r="8021" ht="15.75" customHeight="1">
      <c r="A8021" s="1"/>
      <c r="B8021" s="1"/>
    </row>
    <row r="8022" ht="15.75" customHeight="1">
      <c r="A8022" s="1"/>
      <c r="B8022" s="1"/>
    </row>
    <row r="8023" ht="15.75" customHeight="1">
      <c r="A8023" s="1"/>
      <c r="B8023" s="1"/>
    </row>
    <row r="8024" ht="15.75" customHeight="1">
      <c r="A8024" s="1"/>
      <c r="B8024" s="1"/>
    </row>
    <row r="8025" ht="15.75" customHeight="1">
      <c r="A8025" s="1"/>
      <c r="B8025" s="1"/>
    </row>
    <row r="8026" ht="15.75" customHeight="1">
      <c r="A8026" s="1"/>
      <c r="B8026" s="1"/>
    </row>
    <row r="8027" ht="15.75" customHeight="1">
      <c r="A8027" s="1"/>
      <c r="B8027" s="1"/>
    </row>
    <row r="8028" ht="15.75" customHeight="1">
      <c r="A8028" s="1"/>
      <c r="B8028" s="1"/>
    </row>
    <row r="8029" ht="15.75" customHeight="1">
      <c r="A8029" s="1"/>
      <c r="B8029" s="1"/>
    </row>
    <row r="8030" ht="15.75" customHeight="1">
      <c r="A8030" s="1"/>
      <c r="B8030" s="1"/>
    </row>
    <row r="8031" ht="15.75" customHeight="1">
      <c r="A8031" s="1"/>
      <c r="B8031" s="1"/>
    </row>
    <row r="8032" ht="15.75" customHeight="1">
      <c r="A8032" s="1"/>
      <c r="B8032" s="1"/>
    </row>
    <row r="8033" ht="15.75" customHeight="1">
      <c r="A8033" s="1"/>
      <c r="B8033" s="1"/>
    </row>
    <row r="8034" ht="15.75" customHeight="1">
      <c r="A8034" s="1"/>
      <c r="B8034" s="1"/>
    </row>
    <row r="8035" ht="15.75" customHeight="1">
      <c r="A8035" s="1"/>
      <c r="B8035" s="1"/>
    </row>
    <row r="8036" ht="15.75" customHeight="1">
      <c r="A8036" s="1"/>
      <c r="B8036" s="1"/>
    </row>
    <row r="8037" ht="15.75" customHeight="1">
      <c r="A8037" s="1"/>
      <c r="B8037" s="1"/>
    </row>
    <row r="8038" ht="15.75" customHeight="1">
      <c r="A8038" s="1"/>
      <c r="B8038" s="1"/>
    </row>
    <row r="8039" ht="15.75" customHeight="1">
      <c r="A8039" s="1"/>
      <c r="B8039" s="1"/>
    </row>
    <row r="8040" ht="15.75" customHeight="1">
      <c r="A8040" s="1"/>
      <c r="B8040" s="1"/>
    </row>
    <row r="8041" ht="15.75" customHeight="1">
      <c r="A8041" s="1"/>
      <c r="B8041" s="1"/>
    </row>
    <row r="8042" ht="15.75" customHeight="1">
      <c r="A8042" s="1"/>
      <c r="B8042" s="1"/>
    </row>
    <row r="8043" ht="15.75" customHeight="1">
      <c r="A8043" s="1"/>
      <c r="B8043" s="1"/>
    </row>
    <row r="8044" ht="15.75" customHeight="1">
      <c r="A8044" s="1"/>
      <c r="B8044" s="1"/>
    </row>
    <row r="8045" ht="15.75" customHeight="1">
      <c r="A8045" s="1"/>
      <c r="B8045" s="1"/>
    </row>
    <row r="8046" ht="15.75" customHeight="1">
      <c r="A8046" s="1"/>
      <c r="B8046" s="1"/>
    </row>
    <row r="8047" ht="15.75" customHeight="1">
      <c r="A8047" s="1"/>
      <c r="B8047" s="1"/>
    </row>
    <row r="8048" ht="15.75" customHeight="1">
      <c r="A8048" s="1"/>
      <c r="B8048" s="1"/>
    </row>
    <row r="8049" ht="15.75" customHeight="1">
      <c r="A8049" s="1"/>
      <c r="B8049" s="1"/>
    </row>
    <row r="8050" ht="15.75" customHeight="1">
      <c r="A8050" s="1"/>
      <c r="B8050" s="1"/>
    </row>
    <row r="8051" ht="15.75" customHeight="1">
      <c r="A8051" s="1"/>
      <c r="B8051" s="1"/>
    </row>
    <row r="8052" ht="15.75" customHeight="1">
      <c r="A8052" s="1"/>
      <c r="B8052" s="1"/>
    </row>
    <row r="8053" ht="15.75" customHeight="1">
      <c r="A8053" s="1"/>
      <c r="B8053" s="1"/>
    </row>
    <row r="8054" ht="15.75" customHeight="1">
      <c r="A8054" s="1"/>
      <c r="B8054" s="1"/>
    </row>
    <row r="8055" ht="15.75" customHeight="1">
      <c r="A8055" s="1"/>
      <c r="B8055" s="1"/>
    </row>
    <row r="8056" ht="15.75" customHeight="1">
      <c r="A8056" s="1"/>
      <c r="B8056" s="1"/>
    </row>
    <row r="8057" ht="15.75" customHeight="1">
      <c r="A8057" s="1"/>
      <c r="B8057" s="1"/>
    </row>
    <row r="8058" ht="15.75" customHeight="1">
      <c r="A8058" s="1"/>
      <c r="B8058" s="1"/>
    </row>
    <row r="8059" ht="15.75" customHeight="1">
      <c r="A8059" s="1"/>
      <c r="B8059" s="1"/>
    </row>
    <row r="8060" ht="15.75" customHeight="1">
      <c r="A8060" s="1"/>
      <c r="B8060" s="1"/>
    </row>
    <row r="8061" ht="15.75" customHeight="1">
      <c r="A8061" s="1"/>
      <c r="B8061" s="1"/>
    </row>
    <row r="8062" ht="15.75" customHeight="1">
      <c r="A8062" s="1"/>
      <c r="B8062" s="1"/>
    </row>
    <row r="8063" ht="15.75" customHeight="1">
      <c r="A8063" s="1"/>
      <c r="B8063" s="1"/>
    </row>
    <row r="8064" ht="15.75" customHeight="1">
      <c r="A8064" s="1"/>
      <c r="B8064" s="1"/>
    </row>
    <row r="8065" ht="15.75" customHeight="1">
      <c r="A8065" s="1"/>
      <c r="B8065" s="1"/>
    </row>
    <row r="8066" ht="15.75" customHeight="1">
      <c r="A8066" s="1"/>
      <c r="B8066" s="1"/>
    </row>
    <row r="8067" ht="15.75" customHeight="1">
      <c r="A8067" s="1"/>
      <c r="B8067" s="1"/>
    </row>
    <row r="8068" ht="15.75" customHeight="1">
      <c r="A8068" s="1"/>
      <c r="B8068" s="1"/>
    </row>
    <row r="8069" ht="15.75" customHeight="1">
      <c r="A8069" s="1"/>
      <c r="B8069" s="1"/>
    </row>
    <row r="8070" ht="15.75" customHeight="1">
      <c r="A8070" s="1"/>
      <c r="B8070" s="1"/>
    </row>
    <row r="8071" ht="15.75" customHeight="1">
      <c r="A8071" s="1"/>
      <c r="B8071" s="1"/>
    </row>
    <row r="8072" ht="15.75" customHeight="1">
      <c r="A8072" s="1"/>
      <c r="B8072" s="1"/>
    </row>
    <row r="8073" ht="15.75" customHeight="1">
      <c r="A8073" s="1"/>
      <c r="B8073" s="1"/>
    </row>
    <row r="8074" ht="15.75" customHeight="1">
      <c r="A8074" s="1"/>
      <c r="B8074" s="1"/>
    </row>
    <row r="8075" ht="15.75" customHeight="1">
      <c r="A8075" s="1"/>
      <c r="B8075" s="1"/>
    </row>
    <row r="8076" ht="15.75" customHeight="1">
      <c r="A8076" s="1"/>
      <c r="B8076" s="1"/>
    </row>
    <row r="8077" ht="15.75" customHeight="1">
      <c r="A8077" s="1"/>
      <c r="B8077" s="1"/>
    </row>
    <row r="8078" ht="15.75" customHeight="1">
      <c r="A8078" s="1"/>
      <c r="B8078" s="1"/>
    </row>
    <row r="8079" ht="15.75" customHeight="1">
      <c r="A8079" s="1"/>
      <c r="B8079" s="1"/>
    </row>
    <row r="8080" ht="15.75" customHeight="1">
      <c r="A8080" s="1"/>
      <c r="B8080" s="1"/>
    </row>
    <row r="8081" ht="15.75" customHeight="1">
      <c r="A8081" s="1"/>
      <c r="B8081" s="1"/>
    </row>
    <row r="8082" ht="15.75" customHeight="1">
      <c r="A8082" s="1"/>
      <c r="B8082" s="1"/>
    </row>
    <row r="8083" ht="15.75" customHeight="1">
      <c r="A8083" s="1"/>
      <c r="B8083" s="1"/>
    </row>
    <row r="8084" ht="15.75" customHeight="1">
      <c r="A8084" s="1"/>
      <c r="B8084" s="1"/>
    </row>
    <row r="8085" ht="15.75" customHeight="1">
      <c r="A8085" s="1"/>
      <c r="B8085" s="1"/>
    </row>
    <row r="8086" ht="15.75" customHeight="1">
      <c r="A8086" s="1"/>
      <c r="B8086" s="1"/>
    </row>
    <row r="8087" ht="15.75" customHeight="1">
      <c r="A8087" s="1"/>
      <c r="B8087" s="1"/>
    </row>
    <row r="8088" ht="15.75" customHeight="1">
      <c r="A8088" s="1"/>
      <c r="B8088" s="1"/>
    </row>
    <row r="8089" ht="15.75" customHeight="1">
      <c r="A8089" s="1"/>
      <c r="B8089" s="1"/>
    </row>
    <row r="8090" ht="15.75" customHeight="1">
      <c r="A8090" s="1"/>
      <c r="B8090" s="1"/>
    </row>
    <row r="8091" ht="15.75" customHeight="1">
      <c r="A8091" s="1"/>
      <c r="B8091" s="1"/>
    </row>
    <row r="8092" ht="15.75" customHeight="1">
      <c r="A8092" s="1"/>
      <c r="B8092" s="1"/>
    </row>
    <row r="8093" ht="15.75" customHeight="1">
      <c r="A8093" s="1"/>
      <c r="B8093" s="1"/>
    </row>
    <row r="8094" ht="15.75" customHeight="1">
      <c r="A8094" s="1"/>
      <c r="B8094" s="1"/>
    </row>
    <row r="8095" ht="15.75" customHeight="1">
      <c r="A8095" s="1"/>
      <c r="B8095" s="1"/>
    </row>
    <row r="8096" ht="15.75" customHeight="1">
      <c r="A8096" s="1"/>
      <c r="B8096" s="1"/>
    </row>
    <row r="8097" ht="15.75" customHeight="1">
      <c r="A8097" s="1"/>
      <c r="B8097" s="1"/>
    </row>
    <row r="8098" ht="15.75" customHeight="1">
      <c r="A8098" s="1"/>
      <c r="B8098" s="1"/>
    </row>
    <row r="8099" ht="15.75" customHeight="1">
      <c r="A8099" s="1"/>
      <c r="B8099" s="1"/>
    </row>
    <row r="8100" ht="15.75" customHeight="1">
      <c r="A8100" s="1"/>
      <c r="B8100" s="1"/>
    </row>
    <row r="8101" ht="15.75" customHeight="1">
      <c r="A8101" s="1"/>
      <c r="B8101" s="1"/>
    </row>
    <row r="8102" ht="15.75" customHeight="1">
      <c r="A8102" s="1"/>
      <c r="B8102" s="1"/>
    </row>
    <row r="8103" ht="15.75" customHeight="1">
      <c r="A8103" s="1"/>
      <c r="B8103" s="1"/>
    </row>
    <row r="8104" ht="15.75" customHeight="1">
      <c r="A8104" s="1"/>
      <c r="B8104" s="1"/>
    </row>
    <row r="8105" ht="15.75" customHeight="1">
      <c r="A8105" s="1"/>
      <c r="B8105" s="1"/>
    </row>
    <row r="8106" ht="15.75" customHeight="1">
      <c r="A8106" s="1"/>
      <c r="B8106" s="1"/>
    </row>
    <row r="8107" ht="15.75" customHeight="1">
      <c r="A8107" s="1"/>
      <c r="B8107" s="1"/>
    </row>
    <row r="8108" ht="15.75" customHeight="1">
      <c r="A8108" s="1"/>
      <c r="B8108" s="1"/>
    </row>
    <row r="8109" ht="15.75" customHeight="1">
      <c r="A8109" s="1"/>
      <c r="B8109" s="1"/>
    </row>
    <row r="8110" ht="15.75" customHeight="1">
      <c r="A8110" s="1"/>
      <c r="B8110" s="1"/>
    </row>
    <row r="8111" ht="15.75" customHeight="1">
      <c r="A8111" s="1"/>
      <c r="B8111" s="1"/>
    </row>
    <row r="8112" ht="15.75" customHeight="1">
      <c r="A8112" s="1"/>
      <c r="B8112" s="1"/>
    </row>
    <row r="8113" ht="15.75" customHeight="1">
      <c r="A8113" s="1"/>
      <c r="B8113" s="1"/>
    </row>
    <row r="8114" ht="15.75" customHeight="1">
      <c r="A8114" s="1"/>
      <c r="B8114" s="1"/>
    </row>
    <row r="8115" ht="15.75" customHeight="1">
      <c r="A8115" s="1"/>
      <c r="B8115" s="1"/>
    </row>
    <row r="8116" ht="15.75" customHeight="1">
      <c r="A8116" s="1"/>
      <c r="B8116" s="1"/>
    </row>
    <row r="8117" ht="15.75" customHeight="1">
      <c r="A8117" s="1"/>
      <c r="B8117" s="1"/>
    </row>
    <row r="8118" ht="15.75" customHeight="1">
      <c r="A8118" s="1"/>
      <c r="B8118" s="1"/>
    </row>
    <row r="8119" ht="15.75" customHeight="1">
      <c r="A8119" s="1"/>
      <c r="B8119" s="1"/>
    </row>
    <row r="8120" ht="15.75" customHeight="1">
      <c r="A8120" s="1"/>
      <c r="B8120" s="1"/>
    </row>
    <row r="8121" ht="15.75" customHeight="1">
      <c r="A8121" s="1"/>
      <c r="B8121" s="1"/>
    </row>
  </sheetData>
  <autoFilter ref="$A$1:$D$1456"/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" t="s">
        <v>146</v>
      </c>
      <c r="B1" s="15" t="s">
        <v>147</v>
      </c>
      <c r="C1" s="15" t="s">
        <v>148</v>
      </c>
      <c r="D1" s="15" t="s">
        <v>149</v>
      </c>
      <c r="E1" s="15" t="s">
        <v>150</v>
      </c>
      <c r="F1" s="15" t="s">
        <v>151</v>
      </c>
      <c r="G1" s="15" t="s">
        <v>152</v>
      </c>
      <c r="H1" s="15" t="s">
        <v>153</v>
      </c>
      <c r="I1" s="15" t="s">
        <v>154</v>
      </c>
      <c r="J1" s="15" t="s">
        <v>155</v>
      </c>
      <c r="K1" s="15" t="s">
        <v>156</v>
      </c>
      <c r="L1" s="15" t="s">
        <v>157</v>
      </c>
      <c r="M1" s="15" t="s">
        <v>158</v>
      </c>
      <c r="N1" s="15" t="s">
        <v>159</v>
      </c>
    </row>
    <row r="2" ht="15.75" customHeight="1">
      <c r="A2" s="1" t="s">
        <v>160</v>
      </c>
      <c r="B2" s="1" t="s">
        <v>65</v>
      </c>
      <c r="C2" s="5">
        <v>45723.0</v>
      </c>
      <c r="D2" s="1" t="s">
        <v>161</v>
      </c>
      <c r="E2" s="1" t="s">
        <v>11</v>
      </c>
      <c r="H2" s="1">
        <v>0.0</v>
      </c>
      <c r="J2" s="1">
        <v>0.0</v>
      </c>
      <c r="N2" s="1">
        <v>0.029999999</v>
      </c>
    </row>
    <row r="3" ht="15.75" customHeight="1">
      <c r="A3" s="1" t="s">
        <v>160</v>
      </c>
      <c r="B3" s="1" t="s">
        <v>101</v>
      </c>
      <c r="C3" s="5">
        <v>45723.0</v>
      </c>
      <c r="D3" s="1" t="s">
        <v>161</v>
      </c>
      <c r="E3" s="1" t="s">
        <v>11</v>
      </c>
      <c r="F3" s="1" t="s">
        <v>162</v>
      </c>
      <c r="G3" s="1" t="s">
        <v>163</v>
      </c>
      <c r="H3" s="1">
        <v>1.0</v>
      </c>
      <c r="I3" s="1">
        <v>0.0</v>
      </c>
      <c r="J3" s="1">
        <v>0.0</v>
      </c>
      <c r="K3" s="1">
        <v>16.0</v>
      </c>
      <c r="L3" s="1">
        <v>29.0</v>
      </c>
      <c r="M3" s="1">
        <v>0.551724138</v>
      </c>
      <c r="N3" s="1">
        <v>36.27000046</v>
      </c>
    </row>
    <row r="4" ht="15.75" customHeight="1">
      <c r="A4" s="1" t="s">
        <v>164</v>
      </c>
      <c r="B4" s="1" t="s">
        <v>24</v>
      </c>
      <c r="C4" s="5">
        <v>45723.0</v>
      </c>
      <c r="D4" s="1" t="s">
        <v>161</v>
      </c>
      <c r="E4" s="1" t="s">
        <v>11</v>
      </c>
      <c r="H4" s="1">
        <v>0.0</v>
      </c>
      <c r="J4" s="1">
        <v>0.0</v>
      </c>
      <c r="N4" s="1">
        <v>3.49000001</v>
      </c>
    </row>
    <row r="5" ht="15.75" customHeight="1">
      <c r="A5" s="1" t="s">
        <v>164</v>
      </c>
      <c r="B5" s="1" t="s">
        <v>52</v>
      </c>
      <c r="C5" s="5">
        <v>45723.0</v>
      </c>
      <c r="D5" s="1" t="s">
        <v>161</v>
      </c>
      <c r="E5" s="1" t="s">
        <v>11</v>
      </c>
      <c r="F5" s="1" t="s">
        <v>165</v>
      </c>
      <c r="G5" s="1" t="s">
        <v>163</v>
      </c>
      <c r="H5" s="1">
        <v>1.0</v>
      </c>
      <c r="I5" s="1">
        <v>0.0</v>
      </c>
      <c r="J5" s="1">
        <v>0.0</v>
      </c>
      <c r="K5" s="1">
        <v>6.0</v>
      </c>
      <c r="L5" s="1">
        <v>13.0</v>
      </c>
      <c r="M5" s="1">
        <v>0.461538462</v>
      </c>
      <c r="N5" s="1">
        <v>16.64999962</v>
      </c>
    </row>
    <row r="6" ht="15.75" customHeight="1">
      <c r="A6" s="1" t="s">
        <v>164</v>
      </c>
      <c r="B6" s="1" t="s">
        <v>64</v>
      </c>
      <c r="C6" s="5">
        <v>45723.0</v>
      </c>
      <c r="D6" s="1" t="s">
        <v>161</v>
      </c>
      <c r="E6" s="1" t="s">
        <v>11</v>
      </c>
      <c r="F6" s="1" t="s">
        <v>166</v>
      </c>
      <c r="G6" s="1" t="s">
        <v>163</v>
      </c>
      <c r="H6" s="1">
        <v>1.0</v>
      </c>
      <c r="I6" s="1">
        <v>0.0</v>
      </c>
      <c r="J6" s="1">
        <v>0.0</v>
      </c>
      <c r="K6" s="1">
        <v>2.0</v>
      </c>
      <c r="L6" s="1">
        <v>4.0</v>
      </c>
      <c r="M6" s="1">
        <v>0.5</v>
      </c>
      <c r="N6" s="1">
        <v>8.18999958</v>
      </c>
    </row>
    <row r="7" ht="15.75" customHeight="1">
      <c r="A7" s="1" t="s">
        <v>164</v>
      </c>
      <c r="B7" s="1" t="s">
        <v>81</v>
      </c>
      <c r="C7" s="5">
        <v>45723.0</v>
      </c>
      <c r="D7" s="1" t="s">
        <v>161</v>
      </c>
      <c r="E7" s="1" t="s">
        <v>11</v>
      </c>
      <c r="F7" s="1" t="s">
        <v>167</v>
      </c>
      <c r="G7" s="1" t="s">
        <v>163</v>
      </c>
      <c r="H7" s="1">
        <v>1.0</v>
      </c>
      <c r="I7" s="1">
        <v>0.0</v>
      </c>
      <c r="J7" s="1">
        <v>0.0</v>
      </c>
      <c r="K7" s="1">
        <v>7.0</v>
      </c>
      <c r="L7" s="1">
        <v>7.0</v>
      </c>
      <c r="M7" s="1">
        <v>1.0</v>
      </c>
      <c r="N7" s="1">
        <v>3.930000067</v>
      </c>
    </row>
    <row r="8" ht="15.75" customHeight="1">
      <c r="A8" s="1" t="s">
        <v>164</v>
      </c>
      <c r="B8" s="1" t="s">
        <v>81</v>
      </c>
      <c r="C8" s="5">
        <v>45723.0</v>
      </c>
      <c r="D8" s="1" t="s">
        <v>161</v>
      </c>
      <c r="E8" s="1" t="s">
        <v>11</v>
      </c>
      <c r="F8" s="1" t="s">
        <v>168</v>
      </c>
      <c r="G8" s="1" t="s">
        <v>163</v>
      </c>
      <c r="H8" s="1">
        <v>1.0</v>
      </c>
      <c r="I8" s="1">
        <v>0.0</v>
      </c>
      <c r="J8" s="1">
        <v>0.0</v>
      </c>
      <c r="K8" s="1">
        <v>0.0</v>
      </c>
      <c r="L8" s="1">
        <v>0.0</v>
      </c>
      <c r="N8" s="1">
        <v>0.0</v>
      </c>
    </row>
    <row r="9" ht="15.75" customHeight="1">
      <c r="A9" s="1" t="s">
        <v>164</v>
      </c>
      <c r="B9" s="1" t="s">
        <v>81</v>
      </c>
      <c r="C9" s="5">
        <v>45723.0</v>
      </c>
      <c r="D9" s="1" t="s">
        <v>161</v>
      </c>
      <c r="E9" s="1" t="s">
        <v>11</v>
      </c>
      <c r="F9" s="1" t="s">
        <v>169</v>
      </c>
      <c r="G9" s="1" t="s">
        <v>163</v>
      </c>
      <c r="H9" s="1">
        <v>1.0</v>
      </c>
      <c r="I9" s="1">
        <v>0.0</v>
      </c>
      <c r="J9" s="1">
        <v>0.0</v>
      </c>
      <c r="K9" s="1">
        <v>0.0</v>
      </c>
      <c r="L9" s="1">
        <v>0.0</v>
      </c>
      <c r="N9" s="1">
        <v>0.0</v>
      </c>
    </row>
    <row r="10" ht="15.75" customHeight="1">
      <c r="A10" s="1" t="s">
        <v>164</v>
      </c>
      <c r="B10" s="1" t="s">
        <v>75</v>
      </c>
      <c r="C10" s="5">
        <v>45723.0</v>
      </c>
      <c r="D10" s="1" t="s">
        <v>161</v>
      </c>
      <c r="E10" s="1" t="s">
        <v>11</v>
      </c>
      <c r="H10" s="1">
        <v>0.0</v>
      </c>
      <c r="J10" s="1">
        <v>0.0</v>
      </c>
      <c r="N10" s="1">
        <v>0.02</v>
      </c>
    </row>
    <row r="11" ht="15.75" customHeight="1">
      <c r="A11" s="1" t="s">
        <v>164</v>
      </c>
      <c r="B11" s="1" t="s">
        <v>82</v>
      </c>
      <c r="C11" s="5">
        <v>45723.0</v>
      </c>
      <c r="D11" s="1" t="s">
        <v>161</v>
      </c>
      <c r="E11" s="1" t="s">
        <v>11</v>
      </c>
      <c r="F11" s="1" t="s">
        <v>170</v>
      </c>
      <c r="G11" s="1" t="s">
        <v>163</v>
      </c>
      <c r="H11" s="1">
        <v>1.0</v>
      </c>
      <c r="I11" s="1">
        <v>0.0</v>
      </c>
      <c r="J11" s="1">
        <v>0.0</v>
      </c>
      <c r="K11" s="1">
        <v>0.0</v>
      </c>
      <c r="L11" s="1">
        <v>2.0</v>
      </c>
      <c r="M11" s="1">
        <v>0.0</v>
      </c>
      <c r="N11" s="1">
        <v>18.60000038</v>
      </c>
    </row>
    <row r="12" ht="15.75" customHeight="1">
      <c r="A12" s="1" t="s">
        <v>164</v>
      </c>
      <c r="B12" s="1" t="s">
        <v>82</v>
      </c>
      <c r="C12" s="5">
        <v>45723.0</v>
      </c>
      <c r="D12" s="1" t="s">
        <v>161</v>
      </c>
      <c r="E12" s="1" t="s">
        <v>11</v>
      </c>
      <c r="F12" s="1" t="s">
        <v>166</v>
      </c>
      <c r="G12" s="1" t="s">
        <v>163</v>
      </c>
      <c r="H12" s="1">
        <v>1.0</v>
      </c>
      <c r="I12" s="1">
        <v>0.0</v>
      </c>
      <c r="J12" s="1">
        <v>0.0</v>
      </c>
      <c r="K12" s="1">
        <v>1.0</v>
      </c>
      <c r="L12" s="1">
        <v>1.0</v>
      </c>
      <c r="M12" s="1">
        <v>1.0</v>
      </c>
      <c r="N12" s="1">
        <v>0.0</v>
      </c>
    </row>
    <row r="13" ht="15.75" customHeight="1">
      <c r="A13" s="1" t="s">
        <v>164</v>
      </c>
      <c r="B13" s="1" t="s">
        <v>82</v>
      </c>
      <c r="C13" s="5">
        <v>45723.0</v>
      </c>
      <c r="D13" s="1" t="s">
        <v>161</v>
      </c>
      <c r="E13" s="1" t="s">
        <v>11</v>
      </c>
      <c r="F13" s="1" t="s">
        <v>171</v>
      </c>
      <c r="G13" s="1" t="s">
        <v>163</v>
      </c>
      <c r="H13" s="1">
        <v>1.0</v>
      </c>
      <c r="I13" s="1">
        <v>0.0</v>
      </c>
      <c r="J13" s="1">
        <v>0.0</v>
      </c>
      <c r="K13" s="1">
        <v>0.0</v>
      </c>
      <c r="L13" s="1">
        <v>1.0</v>
      </c>
      <c r="M13" s="1">
        <v>0.0</v>
      </c>
      <c r="N13" s="1">
        <v>0.0</v>
      </c>
    </row>
    <row r="14" ht="15.75" customHeight="1">
      <c r="A14" s="1" t="s">
        <v>164</v>
      </c>
      <c r="B14" s="1" t="s">
        <v>82</v>
      </c>
      <c r="C14" s="5">
        <v>45723.0</v>
      </c>
      <c r="D14" s="1" t="s">
        <v>161</v>
      </c>
      <c r="E14" s="1" t="s">
        <v>11</v>
      </c>
      <c r="F14" s="1" t="s">
        <v>169</v>
      </c>
      <c r="G14" s="1" t="s">
        <v>163</v>
      </c>
      <c r="H14" s="1">
        <v>1.0</v>
      </c>
      <c r="I14" s="1">
        <v>0.0</v>
      </c>
      <c r="J14" s="1">
        <v>0.0</v>
      </c>
      <c r="K14" s="1">
        <v>0.0</v>
      </c>
      <c r="L14" s="1">
        <v>1.0</v>
      </c>
      <c r="M14" s="1">
        <v>0.0</v>
      </c>
      <c r="N14" s="1">
        <v>0.0</v>
      </c>
    </row>
    <row r="15" ht="15.75" customHeight="1">
      <c r="A15" s="1" t="s">
        <v>160</v>
      </c>
      <c r="B15" s="1" t="s">
        <v>18</v>
      </c>
      <c r="C15" s="5">
        <v>45722.0</v>
      </c>
      <c r="D15" s="1" t="s">
        <v>161</v>
      </c>
      <c r="E15" s="1" t="s">
        <v>11</v>
      </c>
      <c r="F15" s="1" t="s">
        <v>162</v>
      </c>
      <c r="H15" s="1">
        <v>0.0</v>
      </c>
      <c r="I15" s="1">
        <v>0.0</v>
      </c>
      <c r="J15" s="1">
        <v>0.0</v>
      </c>
      <c r="K15" s="1">
        <v>1.0</v>
      </c>
      <c r="L15" s="1">
        <v>3.0</v>
      </c>
      <c r="M15" s="1">
        <v>0.333333333</v>
      </c>
      <c r="N15" s="1">
        <v>3.549999952</v>
      </c>
    </row>
    <row r="16" ht="15.75" customHeight="1">
      <c r="A16" s="1" t="s">
        <v>160</v>
      </c>
      <c r="B16" s="1" t="s">
        <v>39</v>
      </c>
      <c r="C16" s="5">
        <v>45722.0</v>
      </c>
      <c r="D16" s="1" t="s">
        <v>161</v>
      </c>
      <c r="E16" s="1" t="s">
        <v>11</v>
      </c>
      <c r="F16" s="1" t="s">
        <v>162</v>
      </c>
      <c r="H16" s="1">
        <v>0.0</v>
      </c>
      <c r="I16" s="1">
        <v>0.0</v>
      </c>
      <c r="J16" s="1">
        <v>0.0</v>
      </c>
      <c r="K16" s="1">
        <v>1.0</v>
      </c>
      <c r="L16" s="1">
        <v>3.0</v>
      </c>
      <c r="M16" s="1">
        <v>0.333333333</v>
      </c>
      <c r="N16" s="1">
        <v>15.06999969</v>
      </c>
    </row>
    <row r="17" ht="15.75" customHeight="1">
      <c r="A17" s="1" t="s">
        <v>160</v>
      </c>
      <c r="B17" s="1" t="s">
        <v>65</v>
      </c>
      <c r="C17" s="5">
        <v>45722.0</v>
      </c>
      <c r="D17" s="1" t="s">
        <v>161</v>
      </c>
      <c r="E17" s="1" t="s">
        <v>11</v>
      </c>
      <c r="F17" s="1" t="s">
        <v>162</v>
      </c>
      <c r="H17" s="1">
        <v>0.0</v>
      </c>
      <c r="I17" s="1">
        <v>0.0</v>
      </c>
      <c r="J17" s="1">
        <v>0.0</v>
      </c>
      <c r="K17" s="1">
        <v>1.0</v>
      </c>
      <c r="L17" s="1">
        <v>1.0</v>
      </c>
      <c r="M17" s="1">
        <v>1.0</v>
      </c>
      <c r="N17" s="1">
        <v>4.0</v>
      </c>
    </row>
    <row r="18" ht="15.75" customHeight="1">
      <c r="A18" s="1" t="s">
        <v>160</v>
      </c>
      <c r="B18" s="1" t="s">
        <v>77</v>
      </c>
      <c r="C18" s="5">
        <v>45722.0</v>
      </c>
      <c r="D18" s="1" t="s">
        <v>161</v>
      </c>
      <c r="E18" s="1" t="s">
        <v>11</v>
      </c>
      <c r="F18" s="1" t="s">
        <v>162</v>
      </c>
      <c r="G18" s="1" t="s">
        <v>163</v>
      </c>
      <c r="H18" s="1">
        <v>1.0</v>
      </c>
      <c r="I18" s="1">
        <v>0.0</v>
      </c>
      <c r="J18" s="1">
        <v>0.0</v>
      </c>
      <c r="K18" s="1">
        <v>2.0</v>
      </c>
      <c r="L18" s="1">
        <v>2.0</v>
      </c>
      <c r="M18" s="1">
        <v>1.0</v>
      </c>
      <c r="N18" s="1">
        <v>9.289999962</v>
      </c>
    </row>
    <row r="19" ht="15.75" customHeight="1">
      <c r="A19" s="1" t="s">
        <v>160</v>
      </c>
      <c r="B19" s="1" t="s">
        <v>90</v>
      </c>
      <c r="C19" s="5">
        <v>45722.0</v>
      </c>
      <c r="D19" s="1" t="s">
        <v>161</v>
      </c>
      <c r="E19" s="1" t="s">
        <v>11</v>
      </c>
      <c r="F19" s="1" t="s">
        <v>165</v>
      </c>
      <c r="G19" s="1" t="s">
        <v>172</v>
      </c>
      <c r="H19" s="1">
        <v>1.0</v>
      </c>
      <c r="I19" s="1">
        <v>0.0</v>
      </c>
      <c r="J19" s="1">
        <v>0.0</v>
      </c>
      <c r="K19" s="1">
        <v>11.0</v>
      </c>
      <c r="L19" s="1">
        <v>16.0</v>
      </c>
      <c r="M19" s="1">
        <v>0.6875</v>
      </c>
      <c r="N19" s="1">
        <v>15.52000046</v>
      </c>
    </row>
    <row r="20" ht="15.75" customHeight="1">
      <c r="A20" s="1" t="s">
        <v>164</v>
      </c>
      <c r="B20" s="1" t="s">
        <v>24</v>
      </c>
      <c r="C20" s="5">
        <v>45722.0</v>
      </c>
      <c r="D20" s="1" t="s">
        <v>161</v>
      </c>
      <c r="E20" s="1" t="s">
        <v>11</v>
      </c>
      <c r="F20" s="1" t="s">
        <v>166</v>
      </c>
      <c r="G20" s="1" t="s">
        <v>163</v>
      </c>
      <c r="H20" s="1">
        <v>1.0</v>
      </c>
      <c r="I20" s="1">
        <v>0.0</v>
      </c>
      <c r="J20" s="1">
        <v>0.0</v>
      </c>
      <c r="K20" s="1">
        <v>1.0</v>
      </c>
      <c r="L20" s="1">
        <v>4.0</v>
      </c>
      <c r="M20" s="1">
        <v>0.25</v>
      </c>
      <c r="N20" s="1">
        <v>7.800000191</v>
      </c>
    </row>
    <row r="21" ht="15.75" customHeight="1">
      <c r="A21" s="1" t="s">
        <v>164</v>
      </c>
      <c r="B21" s="1" t="s">
        <v>64</v>
      </c>
      <c r="C21" s="5">
        <v>45722.0</v>
      </c>
      <c r="D21" s="1" t="s">
        <v>161</v>
      </c>
      <c r="E21" s="1" t="s">
        <v>11</v>
      </c>
      <c r="F21" s="1" t="s">
        <v>166</v>
      </c>
      <c r="G21" s="1" t="s">
        <v>163</v>
      </c>
      <c r="H21" s="1">
        <v>1.0</v>
      </c>
      <c r="I21" s="1">
        <v>0.0</v>
      </c>
      <c r="J21" s="1">
        <v>0.0</v>
      </c>
      <c r="K21" s="1">
        <v>1.0</v>
      </c>
      <c r="L21" s="1">
        <v>10.0</v>
      </c>
      <c r="M21" s="1">
        <v>0.1</v>
      </c>
      <c r="N21" s="1">
        <v>13.18999958</v>
      </c>
    </row>
    <row r="22" ht="15.75" customHeight="1">
      <c r="A22" s="1" t="s">
        <v>164</v>
      </c>
      <c r="B22" s="1" t="s">
        <v>60</v>
      </c>
      <c r="C22" s="5">
        <v>45722.0</v>
      </c>
      <c r="D22" s="1" t="s">
        <v>161</v>
      </c>
      <c r="E22" s="1" t="s">
        <v>11</v>
      </c>
      <c r="F22" s="1" t="s">
        <v>166</v>
      </c>
      <c r="H22" s="1">
        <v>0.0</v>
      </c>
      <c r="I22" s="1">
        <v>0.0</v>
      </c>
      <c r="J22" s="1">
        <v>0.0</v>
      </c>
      <c r="K22" s="1">
        <v>0.0</v>
      </c>
      <c r="L22" s="1">
        <v>4.0</v>
      </c>
      <c r="M22" s="1">
        <v>0.0</v>
      </c>
      <c r="N22" s="1">
        <v>11.34000015</v>
      </c>
    </row>
    <row r="23" ht="15.75" customHeight="1">
      <c r="A23" s="1" t="s">
        <v>164</v>
      </c>
      <c r="B23" s="1" t="s">
        <v>63</v>
      </c>
      <c r="C23" s="5">
        <v>45722.0</v>
      </c>
      <c r="D23" s="1" t="s">
        <v>161</v>
      </c>
      <c r="E23" s="1" t="s">
        <v>11</v>
      </c>
      <c r="H23" s="1">
        <v>0.0</v>
      </c>
      <c r="J23" s="1">
        <v>0.0</v>
      </c>
      <c r="N23" s="1">
        <v>18.44000053</v>
      </c>
    </row>
    <row r="24" ht="15.75" customHeight="1">
      <c r="A24" s="1" t="s">
        <v>164</v>
      </c>
      <c r="B24" s="1" t="s">
        <v>68</v>
      </c>
      <c r="C24" s="5">
        <v>45722.0</v>
      </c>
      <c r="D24" s="1" t="s">
        <v>161</v>
      </c>
      <c r="E24" s="1" t="s">
        <v>11</v>
      </c>
      <c r="F24" s="1" t="s">
        <v>165</v>
      </c>
      <c r="H24" s="1">
        <v>0.0</v>
      </c>
      <c r="I24" s="1">
        <v>0.0</v>
      </c>
      <c r="J24" s="1">
        <v>0.0</v>
      </c>
      <c r="K24" s="1">
        <v>5.0</v>
      </c>
      <c r="L24" s="1">
        <v>7.0</v>
      </c>
      <c r="M24" s="1">
        <v>0.714285714</v>
      </c>
      <c r="N24" s="1">
        <v>13.60999966</v>
      </c>
    </row>
    <row r="25" ht="15.75" customHeight="1">
      <c r="A25" s="1" t="s">
        <v>164</v>
      </c>
      <c r="B25" s="1" t="s">
        <v>74</v>
      </c>
      <c r="C25" s="5">
        <v>45722.0</v>
      </c>
      <c r="D25" s="1" t="s">
        <v>161</v>
      </c>
      <c r="E25" s="1" t="s">
        <v>11</v>
      </c>
      <c r="H25" s="1">
        <v>0.0</v>
      </c>
      <c r="J25" s="1">
        <v>0.0</v>
      </c>
      <c r="N25" s="1">
        <v>5.900000095</v>
      </c>
    </row>
    <row r="26" ht="15.75" customHeight="1">
      <c r="A26" s="1" t="s">
        <v>164</v>
      </c>
      <c r="B26" s="1" t="s">
        <v>75</v>
      </c>
      <c r="C26" s="5">
        <v>45722.0</v>
      </c>
      <c r="D26" s="1" t="s">
        <v>161</v>
      </c>
      <c r="E26" s="1" t="s">
        <v>11</v>
      </c>
      <c r="F26" s="1" t="s">
        <v>165</v>
      </c>
      <c r="H26" s="1">
        <v>0.0</v>
      </c>
      <c r="I26" s="1">
        <v>0.0</v>
      </c>
      <c r="J26" s="1">
        <v>0.0</v>
      </c>
      <c r="K26" s="1">
        <v>0.0</v>
      </c>
      <c r="L26" s="1">
        <v>9.0</v>
      </c>
      <c r="M26" s="1">
        <v>0.0</v>
      </c>
      <c r="N26" s="1">
        <v>16.12999916</v>
      </c>
    </row>
    <row r="27" ht="15.75" customHeight="1">
      <c r="A27" s="1" t="s">
        <v>164</v>
      </c>
      <c r="B27" s="1" t="s">
        <v>82</v>
      </c>
      <c r="C27" s="5">
        <v>45722.0</v>
      </c>
      <c r="D27" s="1" t="s">
        <v>161</v>
      </c>
      <c r="E27" s="1" t="s">
        <v>11</v>
      </c>
      <c r="F27" s="1" t="s">
        <v>173</v>
      </c>
      <c r="G27" s="1" t="s">
        <v>163</v>
      </c>
      <c r="H27" s="1">
        <v>1.0</v>
      </c>
      <c r="I27" s="1">
        <v>0.0</v>
      </c>
      <c r="J27" s="1">
        <v>0.0</v>
      </c>
      <c r="K27" s="1">
        <v>0.0</v>
      </c>
      <c r="L27" s="1">
        <v>0.0</v>
      </c>
      <c r="N27" s="1">
        <v>0.0</v>
      </c>
    </row>
    <row r="28" ht="15.75" customHeight="1">
      <c r="A28" s="1" t="s">
        <v>164</v>
      </c>
      <c r="B28" s="1" t="s">
        <v>82</v>
      </c>
      <c r="C28" s="5">
        <v>45722.0</v>
      </c>
      <c r="D28" s="1" t="s">
        <v>161</v>
      </c>
      <c r="E28" s="1" t="s">
        <v>11</v>
      </c>
      <c r="F28" s="1" t="s">
        <v>170</v>
      </c>
      <c r="G28" s="1" t="s">
        <v>163</v>
      </c>
      <c r="H28" s="1">
        <v>1.0</v>
      </c>
      <c r="I28" s="1">
        <v>0.0</v>
      </c>
      <c r="J28" s="1">
        <v>0.0</v>
      </c>
      <c r="K28" s="1">
        <v>2.0</v>
      </c>
      <c r="L28" s="1">
        <v>3.0</v>
      </c>
      <c r="M28" s="1">
        <v>0.666666667</v>
      </c>
      <c r="N28" s="1">
        <v>0.0</v>
      </c>
    </row>
    <row r="29" ht="15.75" customHeight="1">
      <c r="A29" s="1" t="s">
        <v>164</v>
      </c>
      <c r="B29" s="1" t="s">
        <v>82</v>
      </c>
      <c r="C29" s="5">
        <v>45722.0</v>
      </c>
      <c r="D29" s="1" t="s">
        <v>161</v>
      </c>
      <c r="E29" s="1" t="s">
        <v>11</v>
      </c>
      <c r="F29" s="1" t="s">
        <v>166</v>
      </c>
      <c r="G29" s="1" t="s">
        <v>163</v>
      </c>
      <c r="H29" s="1">
        <v>1.0</v>
      </c>
      <c r="I29" s="1">
        <v>1.0</v>
      </c>
      <c r="J29" s="1">
        <v>0.0</v>
      </c>
      <c r="K29" s="1">
        <v>18.0</v>
      </c>
      <c r="L29" s="1">
        <v>25.0</v>
      </c>
      <c r="M29" s="1">
        <v>0.72</v>
      </c>
      <c r="N29" s="1">
        <v>27.04999924</v>
      </c>
    </row>
    <row r="30" ht="15.75" customHeight="1">
      <c r="A30" s="1" t="s">
        <v>160</v>
      </c>
      <c r="B30" s="1" t="s">
        <v>20</v>
      </c>
      <c r="C30" s="5">
        <v>45721.0</v>
      </c>
      <c r="D30" s="1" t="s">
        <v>161</v>
      </c>
      <c r="E30" s="1" t="s">
        <v>11</v>
      </c>
      <c r="F30" s="1" t="s">
        <v>162</v>
      </c>
      <c r="G30" s="1" t="s">
        <v>163</v>
      </c>
      <c r="H30" s="1">
        <v>1.0</v>
      </c>
      <c r="I30" s="1">
        <v>0.0</v>
      </c>
      <c r="J30" s="1">
        <v>0.0</v>
      </c>
      <c r="K30" s="1">
        <v>7.0</v>
      </c>
      <c r="L30" s="1">
        <v>17.0</v>
      </c>
      <c r="M30" s="1">
        <v>0.411764706</v>
      </c>
      <c r="N30" s="1">
        <v>13.25</v>
      </c>
    </row>
    <row r="31" ht="15.75" customHeight="1">
      <c r="A31" s="1" t="s">
        <v>160</v>
      </c>
      <c r="B31" s="1" t="s">
        <v>27</v>
      </c>
      <c r="C31" s="5">
        <v>45721.0</v>
      </c>
      <c r="D31" s="1" t="s">
        <v>161</v>
      </c>
      <c r="E31" s="1" t="s">
        <v>11</v>
      </c>
      <c r="H31" s="1">
        <v>0.0</v>
      </c>
      <c r="J31" s="1">
        <v>0.0</v>
      </c>
      <c r="N31" s="1">
        <v>0.460000008</v>
      </c>
    </row>
    <row r="32" ht="15.75" customHeight="1">
      <c r="A32" s="1" t="s">
        <v>160</v>
      </c>
      <c r="B32" s="1" t="s">
        <v>32</v>
      </c>
      <c r="C32" s="5">
        <v>45721.0</v>
      </c>
      <c r="D32" s="1" t="s">
        <v>161</v>
      </c>
      <c r="E32" s="1" t="s">
        <v>11</v>
      </c>
      <c r="H32" s="1">
        <v>0.0</v>
      </c>
      <c r="J32" s="1">
        <v>0.0</v>
      </c>
      <c r="N32" s="1">
        <v>0.25</v>
      </c>
    </row>
    <row r="33" ht="15.75" customHeight="1">
      <c r="A33" s="1" t="s">
        <v>160</v>
      </c>
      <c r="B33" s="1" t="s">
        <v>56</v>
      </c>
      <c r="C33" s="5">
        <v>45721.0</v>
      </c>
      <c r="D33" s="1" t="s">
        <v>161</v>
      </c>
      <c r="E33" s="1" t="s">
        <v>11</v>
      </c>
      <c r="H33" s="1">
        <v>0.0</v>
      </c>
      <c r="J33" s="1">
        <v>0.0</v>
      </c>
      <c r="N33" s="1">
        <v>0.430000007</v>
      </c>
    </row>
    <row r="34" ht="15.75" customHeight="1">
      <c r="A34" s="1" t="s">
        <v>160</v>
      </c>
      <c r="B34" s="1" t="s">
        <v>174</v>
      </c>
      <c r="C34" s="5">
        <v>45721.0</v>
      </c>
      <c r="D34" s="1" t="s">
        <v>161</v>
      </c>
      <c r="E34" s="1" t="s">
        <v>11</v>
      </c>
      <c r="F34" s="1" t="s">
        <v>165</v>
      </c>
      <c r="H34" s="1">
        <v>0.0</v>
      </c>
      <c r="I34" s="1">
        <v>0.0</v>
      </c>
      <c r="J34" s="1">
        <v>0.0</v>
      </c>
      <c r="K34" s="1">
        <v>6.0</v>
      </c>
      <c r="L34" s="1">
        <v>8.0</v>
      </c>
      <c r="M34" s="1">
        <v>0.75</v>
      </c>
      <c r="N34" s="1">
        <v>13.10999966</v>
      </c>
    </row>
    <row r="35" ht="15.75" customHeight="1">
      <c r="A35" s="1" t="s">
        <v>160</v>
      </c>
      <c r="B35" s="1" t="s">
        <v>109</v>
      </c>
      <c r="C35" s="5">
        <v>45721.0</v>
      </c>
      <c r="D35" s="1" t="s">
        <v>161</v>
      </c>
      <c r="E35" s="1" t="s">
        <v>11</v>
      </c>
      <c r="F35" s="1" t="s">
        <v>162</v>
      </c>
      <c r="H35" s="1">
        <v>0.0</v>
      </c>
      <c r="I35" s="1">
        <v>0.0</v>
      </c>
      <c r="J35" s="1">
        <v>0.0</v>
      </c>
      <c r="K35" s="1">
        <v>0.0</v>
      </c>
      <c r="L35" s="1">
        <v>0.0</v>
      </c>
      <c r="N35" s="1">
        <v>0.0</v>
      </c>
    </row>
    <row r="36" ht="15.75" customHeight="1">
      <c r="A36" s="1" t="s">
        <v>164</v>
      </c>
      <c r="B36" s="1" t="s">
        <v>175</v>
      </c>
      <c r="C36" s="5">
        <v>45721.0</v>
      </c>
      <c r="D36" s="1" t="s">
        <v>161</v>
      </c>
      <c r="E36" s="1" t="s">
        <v>11</v>
      </c>
      <c r="F36" s="1" t="s">
        <v>166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N36" s="1">
        <v>0.579999983</v>
      </c>
    </row>
    <row r="37" ht="15.75" customHeight="1">
      <c r="A37" s="1" t="s">
        <v>164</v>
      </c>
      <c r="B37" s="1" t="s">
        <v>24</v>
      </c>
      <c r="C37" s="5">
        <v>45721.0</v>
      </c>
      <c r="D37" s="1" t="s">
        <v>161</v>
      </c>
      <c r="E37" s="1" t="s">
        <v>11</v>
      </c>
      <c r="F37" s="1" t="s">
        <v>166</v>
      </c>
      <c r="H37" s="1">
        <v>0.0</v>
      </c>
      <c r="I37" s="1">
        <v>0.0</v>
      </c>
      <c r="J37" s="1">
        <v>0.0</v>
      </c>
      <c r="K37" s="1">
        <v>0.0</v>
      </c>
      <c r="L37" s="1">
        <v>1.0</v>
      </c>
      <c r="M37" s="1">
        <v>0.0</v>
      </c>
      <c r="N37" s="1">
        <v>3.200000048</v>
      </c>
    </row>
    <row r="38" ht="15.75" customHeight="1">
      <c r="A38" s="1" t="s">
        <v>164</v>
      </c>
      <c r="B38" s="1" t="s">
        <v>64</v>
      </c>
      <c r="C38" s="5">
        <v>45721.0</v>
      </c>
      <c r="D38" s="1" t="s">
        <v>161</v>
      </c>
      <c r="E38" s="1" t="s">
        <v>11</v>
      </c>
      <c r="F38" s="1" t="s">
        <v>166</v>
      </c>
      <c r="G38" s="1" t="s">
        <v>163</v>
      </c>
      <c r="H38" s="1">
        <v>1.0</v>
      </c>
      <c r="I38" s="1">
        <v>0.0</v>
      </c>
      <c r="J38" s="1">
        <v>0.0</v>
      </c>
      <c r="K38" s="1">
        <v>2.0</v>
      </c>
      <c r="L38" s="1">
        <v>4.0</v>
      </c>
      <c r="M38" s="1">
        <v>0.5</v>
      </c>
      <c r="N38" s="1">
        <v>8.760000229</v>
      </c>
    </row>
    <row r="39" ht="15.75" customHeight="1">
      <c r="A39" s="1" t="s">
        <v>164</v>
      </c>
      <c r="B39" s="1" t="s">
        <v>81</v>
      </c>
      <c r="C39" s="5">
        <v>45721.0</v>
      </c>
      <c r="D39" s="1" t="s">
        <v>161</v>
      </c>
      <c r="E39" s="1" t="s">
        <v>11</v>
      </c>
      <c r="F39" s="1" t="s">
        <v>176</v>
      </c>
      <c r="G39" s="1" t="s">
        <v>163</v>
      </c>
      <c r="H39" s="1">
        <v>1.0</v>
      </c>
      <c r="I39" s="1">
        <v>0.0</v>
      </c>
      <c r="J39" s="1">
        <v>0.0</v>
      </c>
      <c r="K39" s="1">
        <v>0.0</v>
      </c>
      <c r="L39" s="1">
        <v>1.0</v>
      </c>
      <c r="M39" s="1">
        <v>0.0</v>
      </c>
      <c r="N39" s="1">
        <v>0.0</v>
      </c>
    </row>
    <row r="40" ht="15.75" customHeight="1">
      <c r="A40" s="1" t="s">
        <v>164</v>
      </c>
      <c r="B40" s="1" t="s">
        <v>81</v>
      </c>
      <c r="C40" s="5">
        <v>45721.0</v>
      </c>
      <c r="D40" s="1" t="s">
        <v>161</v>
      </c>
      <c r="E40" s="1" t="s">
        <v>11</v>
      </c>
      <c r="F40" s="1" t="s">
        <v>177</v>
      </c>
      <c r="G40" s="1" t="s">
        <v>163</v>
      </c>
      <c r="H40" s="1">
        <v>1.0</v>
      </c>
      <c r="I40" s="1">
        <v>0.0</v>
      </c>
      <c r="J40" s="1">
        <v>0.0</v>
      </c>
      <c r="K40" s="1">
        <v>0.0</v>
      </c>
      <c r="L40" s="1">
        <v>1.0</v>
      </c>
      <c r="M40" s="1">
        <v>0.0</v>
      </c>
      <c r="N40" s="1">
        <v>0.0</v>
      </c>
    </row>
    <row r="41" ht="15.75" customHeight="1">
      <c r="A41" s="1" t="s">
        <v>164</v>
      </c>
      <c r="B41" s="1" t="s">
        <v>81</v>
      </c>
      <c r="C41" s="5">
        <v>45721.0</v>
      </c>
      <c r="D41" s="1" t="s">
        <v>161</v>
      </c>
      <c r="E41" s="1" t="s">
        <v>11</v>
      </c>
      <c r="F41" s="1" t="s">
        <v>166</v>
      </c>
      <c r="G41" s="1" t="s">
        <v>163</v>
      </c>
      <c r="H41" s="1">
        <v>1.0</v>
      </c>
      <c r="I41" s="1">
        <v>0.0</v>
      </c>
      <c r="J41" s="1">
        <v>0.0</v>
      </c>
      <c r="K41" s="1">
        <v>16.0</v>
      </c>
      <c r="L41" s="1">
        <v>27.0</v>
      </c>
      <c r="M41" s="1">
        <v>0.592592593</v>
      </c>
      <c r="N41" s="1">
        <v>18.88999939</v>
      </c>
    </row>
    <row r="42" ht="15.75" customHeight="1">
      <c r="A42" s="1" t="s">
        <v>164</v>
      </c>
      <c r="B42" s="1" t="s">
        <v>82</v>
      </c>
      <c r="C42" s="5">
        <v>45721.0</v>
      </c>
      <c r="D42" s="1" t="s">
        <v>161</v>
      </c>
      <c r="E42" s="1" t="s">
        <v>11</v>
      </c>
      <c r="F42" s="1" t="s">
        <v>176</v>
      </c>
      <c r="G42" s="1" t="s">
        <v>163</v>
      </c>
      <c r="H42" s="1">
        <v>1.0</v>
      </c>
      <c r="I42" s="1">
        <v>0.0</v>
      </c>
      <c r="J42" s="1">
        <v>0.0</v>
      </c>
      <c r="K42" s="1">
        <v>0.0</v>
      </c>
      <c r="L42" s="1">
        <v>0.0</v>
      </c>
      <c r="N42" s="1">
        <v>0.0</v>
      </c>
    </row>
    <row r="43" ht="15.75" customHeight="1">
      <c r="A43" s="1" t="s">
        <v>164</v>
      </c>
      <c r="B43" s="1" t="s">
        <v>82</v>
      </c>
      <c r="C43" s="5">
        <v>45721.0</v>
      </c>
      <c r="D43" s="1" t="s">
        <v>161</v>
      </c>
      <c r="E43" s="1" t="s">
        <v>11</v>
      </c>
      <c r="F43" s="1" t="s">
        <v>173</v>
      </c>
      <c r="G43" s="1" t="s">
        <v>163</v>
      </c>
      <c r="H43" s="1">
        <v>1.0</v>
      </c>
      <c r="I43" s="1">
        <v>0.0</v>
      </c>
      <c r="J43" s="1">
        <v>0.0</v>
      </c>
      <c r="K43" s="1">
        <v>0.0</v>
      </c>
      <c r="L43" s="1">
        <v>0.0</v>
      </c>
      <c r="N43" s="1">
        <v>0.0</v>
      </c>
    </row>
    <row r="44" ht="15.75" customHeight="1">
      <c r="A44" s="1" t="s">
        <v>164</v>
      </c>
      <c r="B44" s="1" t="s">
        <v>82</v>
      </c>
      <c r="C44" s="5">
        <v>45721.0</v>
      </c>
      <c r="D44" s="1" t="s">
        <v>161</v>
      </c>
      <c r="E44" s="1" t="s">
        <v>11</v>
      </c>
      <c r="F44" s="1" t="s">
        <v>170</v>
      </c>
      <c r="G44" s="1" t="s">
        <v>163</v>
      </c>
      <c r="H44" s="1">
        <v>1.0</v>
      </c>
      <c r="I44" s="1">
        <v>0.0</v>
      </c>
      <c r="J44" s="1">
        <v>0.0</v>
      </c>
      <c r="K44" s="1">
        <v>4.0</v>
      </c>
      <c r="L44" s="1">
        <v>11.0</v>
      </c>
      <c r="M44" s="1">
        <v>0.363636364</v>
      </c>
      <c r="N44" s="1">
        <v>24.42000008</v>
      </c>
    </row>
    <row r="45" ht="15.75" customHeight="1">
      <c r="A45" s="1" t="s">
        <v>164</v>
      </c>
      <c r="B45" s="1" t="s">
        <v>82</v>
      </c>
      <c r="C45" s="5">
        <v>45721.0</v>
      </c>
      <c r="D45" s="1" t="s">
        <v>161</v>
      </c>
      <c r="E45" s="1" t="s">
        <v>11</v>
      </c>
      <c r="F45" s="1" t="s">
        <v>162</v>
      </c>
      <c r="G45" s="1" t="s">
        <v>163</v>
      </c>
      <c r="H45" s="1">
        <v>1.0</v>
      </c>
      <c r="I45" s="1">
        <v>0.0</v>
      </c>
      <c r="J45" s="1">
        <v>0.0</v>
      </c>
      <c r="K45" s="1">
        <v>0.0</v>
      </c>
      <c r="L45" s="1">
        <v>1.0</v>
      </c>
      <c r="M45" s="1">
        <v>0.0</v>
      </c>
      <c r="N45" s="1">
        <v>0.0</v>
      </c>
    </row>
    <row r="46" ht="15.75" customHeight="1">
      <c r="A46" s="1" t="s">
        <v>160</v>
      </c>
      <c r="B46" s="1" t="s">
        <v>18</v>
      </c>
      <c r="C46" s="5">
        <v>45720.0</v>
      </c>
      <c r="D46" s="1" t="s">
        <v>161</v>
      </c>
      <c r="E46" s="1" t="s">
        <v>11</v>
      </c>
      <c r="F46" s="1" t="s">
        <v>162</v>
      </c>
      <c r="G46" s="1" t="s">
        <v>163</v>
      </c>
      <c r="H46" s="1">
        <v>1.0</v>
      </c>
      <c r="I46" s="1">
        <v>0.0</v>
      </c>
      <c r="J46" s="1">
        <v>0.0</v>
      </c>
      <c r="K46" s="1">
        <v>1.0</v>
      </c>
      <c r="L46" s="1">
        <v>4.0</v>
      </c>
      <c r="M46" s="1">
        <v>0.25</v>
      </c>
      <c r="N46" s="1">
        <v>5.760000229</v>
      </c>
    </row>
    <row r="47" ht="15.75" customHeight="1">
      <c r="A47" s="1" t="s">
        <v>160</v>
      </c>
      <c r="B47" s="1" t="s">
        <v>20</v>
      </c>
      <c r="C47" s="5">
        <v>45720.0</v>
      </c>
      <c r="D47" s="1" t="s">
        <v>161</v>
      </c>
      <c r="E47" s="1" t="s">
        <v>11</v>
      </c>
      <c r="F47" s="1" t="s">
        <v>162</v>
      </c>
      <c r="G47" s="1" t="s">
        <v>163</v>
      </c>
      <c r="H47" s="1">
        <v>1.0</v>
      </c>
      <c r="I47" s="1">
        <v>1.0</v>
      </c>
      <c r="J47" s="1">
        <v>0.0</v>
      </c>
      <c r="K47" s="1">
        <v>24.0</v>
      </c>
      <c r="L47" s="1">
        <v>40.0</v>
      </c>
      <c r="M47" s="1">
        <v>0.6</v>
      </c>
      <c r="N47" s="1">
        <v>12.35000038</v>
      </c>
    </row>
    <row r="48" ht="15.75" customHeight="1">
      <c r="A48" s="1" t="s">
        <v>160</v>
      </c>
      <c r="B48" s="1" t="s">
        <v>178</v>
      </c>
      <c r="C48" s="5">
        <v>45720.0</v>
      </c>
      <c r="D48" s="1" t="s">
        <v>161</v>
      </c>
      <c r="E48" s="1" t="s">
        <v>11</v>
      </c>
      <c r="H48" s="1">
        <v>0.0</v>
      </c>
      <c r="J48" s="1">
        <v>0.0</v>
      </c>
      <c r="N48" s="1">
        <v>1.299999952</v>
      </c>
    </row>
    <row r="49" ht="15.75" customHeight="1">
      <c r="A49" s="1" t="s">
        <v>160</v>
      </c>
      <c r="B49" s="1" t="s">
        <v>39</v>
      </c>
      <c r="C49" s="5">
        <v>45720.0</v>
      </c>
      <c r="D49" s="1" t="s">
        <v>161</v>
      </c>
      <c r="E49" s="1" t="s">
        <v>11</v>
      </c>
      <c r="F49" s="1" t="s">
        <v>162</v>
      </c>
      <c r="H49" s="1">
        <v>0.0</v>
      </c>
      <c r="I49" s="1">
        <v>0.0</v>
      </c>
      <c r="J49" s="1">
        <v>0.0</v>
      </c>
      <c r="K49" s="1">
        <v>5.0</v>
      </c>
      <c r="L49" s="1">
        <v>9.0</v>
      </c>
      <c r="M49" s="1">
        <v>0.555555556</v>
      </c>
      <c r="N49" s="1">
        <v>6.900000095</v>
      </c>
    </row>
    <row r="50" ht="15.75" customHeight="1">
      <c r="A50" s="1" t="s">
        <v>160</v>
      </c>
      <c r="B50" s="1" t="s">
        <v>39</v>
      </c>
      <c r="C50" s="5">
        <v>45720.0</v>
      </c>
      <c r="D50" s="1" t="s">
        <v>161</v>
      </c>
      <c r="E50" s="1" t="s">
        <v>11</v>
      </c>
      <c r="F50" s="1" t="s">
        <v>166</v>
      </c>
      <c r="H50" s="1">
        <v>0.0</v>
      </c>
      <c r="I50" s="1">
        <v>0.0</v>
      </c>
      <c r="J50" s="1">
        <v>0.0</v>
      </c>
      <c r="K50" s="1">
        <v>0.0</v>
      </c>
      <c r="L50" s="1">
        <v>0.0</v>
      </c>
      <c r="N50" s="1">
        <v>0.0</v>
      </c>
    </row>
    <row r="51" ht="15.75" customHeight="1">
      <c r="A51" s="1" t="s">
        <v>160</v>
      </c>
      <c r="B51" s="1" t="s">
        <v>46</v>
      </c>
      <c r="C51" s="5">
        <v>45720.0</v>
      </c>
      <c r="D51" s="1" t="s">
        <v>161</v>
      </c>
      <c r="E51" s="1" t="s">
        <v>11</v>
      </c>
      <c r="F51" s="1" t="s">
        <v>162</v>
      </c>
      <c r="H51" s="1">
        <v>0.0</v>
      </c>
      <c r="I51" s="1">
        <v>0.0</v>
      </c>
      <c r="J51" s="1">
        <v>0.0</v>
      </c>
      <c r="K51" s="1">
        <v>15.0</v>
      </c>
      <c r="L51" s="1">
        <v>22.0</v>
      </c>
      <c r="M51" s="1">
        <v>0.681818182</v>
      </c>
      <c r="N51" s="1">
        <v>26.75</v>
      </c>
    </row>
    <row r="52" ht="15.75" customHeight="1">
      <c r="A52" s="1" t="s">
        <v>160</v>
      </c>
      <c r="B52" s="1" t="s">
        <v>65</v>
      </c>
      <c r="C52" s="5">
        <v>45720.0</v>
      </c>
      <c r="D52" s="1" t="s">
        <v>161</v>
      </c>
      <c r="E52" s="1" t="s">
        <v>11</v>
      </c>
      <c r="F52" s="1" t="s">
        <v>162</v>
      </c>
      <c r="H52" s="1">
        <v>0.0</v>
      </c>
      <c r="I52" s="1">
        <v>0.0</v>
      </c>
      <c r="J52" s="1">
        <v>0.0</v>
      </c>
      <c r="K52" s="1">
        <v>1.0</v>
      </c>
      <c r="L52" s="1">
        <v>6.0</v>
      </c>
      <c r="M52" s="1">
        <v>0.166666667</v>
      </c>
      <c r="N52" s="1">
        <v>10.18999958</v>
      </c>
    </row>
    <row r="53" ht="15.75" customHeight="1">
      <c r="A53" s="1" t="s">
        <v>160</v>
      </c>
      <c r="B53" s="1" t="s">
        <v>77</v>
      </c>
      <c r="C53" s="5">
        <v>45720.0</v>
      </c>
      <c r="D53" s="1" t="s">
        <v>161</v>
      </c>
      <c r="E53" s="1" t="s">
        <v>11</v>
      </c>
      <c r="F53" s="1" t="s">
        <v>162</v>
      </c>
      <c r="H53" s="1">
        <v>0.0</v>
      </c>
      <c r="I53" s="1">
        <v>0.0</v>
      </c>
      <c r="J53" s="1">
        <v>0.0</v>
      </c>
      <c r="K53" s="1">
        <v>4.0</v>
      </c>
      <c r="L53" s="1">
        <v>5.0</v>
      </c>
      <c r="M53" s="1">
        <v>0.8</v>
      </c>
      <c r="N53" s="1">
        <v>5.590000153</v>
      </c>
    </row>
    <row r="54" ht="15.75" customHeight="1">
      <c r="A54" s="1" t="s">
        <v>160</v>
      </c>
      <c r="B54" s="1" t="s">
        <v>90</v>
      </c>
      <c r="C54" s="5">
        <v>45720.0</v>
      </c>
      <c r="D54" s="1" t="s">
        <v>161</v>
      </c>
      <c r="E54" s="1" t="s">
        <v>11</v>
      </c>
      <c r="F54" s="1" t="s">
        <v>165</v>
      </c>
      <c r="G54" s="1" t="s">
        <v>163</v>
      </c>
      <c r="H54" s="1">
        <v>1.0</v>
      </c>
      <c r="I54" s="1">
        <v>0.0</v>
      </c>
      <c r="J54" s="1">
        <v>0.0</v>
      </c>
      <c r="K54" s="1">
        <v>2.0</v>
      </c>
      <c r="L54" s="1">
        <v>4.0</v>
      </c>
      <c r="M54" s="1">
        <v>0.5</v>
      </c>
      <c r="N54" s="1">
        <v>4.900000095</v>
      </c>
    </row>
    <row r="55" ht="15.75" customHeight="1">
      <c r="A55" s="1" t="s">
        <v>164</v>
      </c>
      <c r="B55" s="1" t="s">
        <v>24</v>
      </c>
      <c r="C55" s="5">
        <v>45720.0</v>
      </c>
      <c r="D55" s="1" t="s">
        <v>161</v>
      </c>
      <c r="E55" s="1" t="s">
        <v>11</v>
      </c>
      <c r="F55" s="1" t="s">
        <v>166</v>
      </c>
      <c r="G55" s="1" t="s">
        <v>163</v>
      </c>
      <c r="H55" s="1">
        <v>1.0</v>
      </c>
      <c r="I55" s="1">
        <v>0.0</v>
      </c>
      <c r="J55" s="1">
        <v>0.0</v>
      </c>
      <c r="K55" s="1">
        <v>3.0</v>
      </c>
      <c r="L55" s="1">
        <v>8.0</v>
      </c>
      <c r="M55" s="1">
        <v>0.375</v>
      </c>
      <c r="N55" s="1">
        <v>9.319999695</v>
      </c>
    </row>
    <row r="56" ht="15.75" customHeight="1">
      <c r="A56" s="1" t="s">
        <v>164</v>
      </c>
      <c r="B56" s="1" t="s">
        <v>64</v>
      </c>
      <c r="C56" s="5">
        <v>45720.0</v>
      </c>
      <c r="D56" s="1" t="s">
        <v>161</v>
      </c>
      <c r="E56" s="1" t="s">
        <v>11</v>
      </c>
      <c r="F56" s="1" t="s">
        <v>166</v>
      </c>
      <c r="G56" s="1" t="s">
        <v>163</v>
      </c>
      <c r="H56" s="1">
        <v>1.0</v>
      </c>
      <c r="I56" s="1">
        <v>0.0</v>
      </c>
      <c r="J56" s="1">
        <v>0.0</v>
      </c>
      <c r="K56" s="1">
        <v>4.0</v>
      </c>
      <c r="L56" s="1">
        <v>6.0</v>
      </c>
      <c r="M56" s="1">
        <v>0.666666667</v>
      </c>
      <c r="N56" s="1">
        <v>12.35000038</v>
      </c>
    </row>
    <row r="57" ht="15.75" customHeight="1">
      <c r="A57" s="1" t="s">
        <v>164</v>
      </c>
      <c r="B57" s="1" t="s">
        <v>81</v>
      </c>
      <c r="C57" s="5">
        <v>45720.0</v>
      </c>
      <c r="D57" s="1" t="s">
        <v>161</v>
      </c>
      <c r="E57" s="1" t="s">
        <v>11</v>
      </c>
      <c r="F57" s="1" t="s">
        <v>162</v>
      </c>
      <c r="G57" s="1" t="s">
        <v>163</v>
      </c>
      <c r="H57" s="1">
        <v>1.0</v>
      </c>
      <c r="I57" s="1">
        <v>0.0</v>
      </c>
      <c r="J57" s="1">
        <v>0.0</v>
      </c>
      <c r="K57" s="1">
        <v>8.0</v>
      </c>
      <c r="L57" s="1">
        <v>8.0</v>
      </c>
      <c r="M57" s="1">
        <v>1.0</v>
      </c>
      <c r="N57" s="1">
        <v>0.0</v>
      </c>
    </row>
    <row r="58" ht="15.75" customHeight="1">
      <c r="A58" s="1" t="s">
        <v>164</v>
      </c>
      <c r="B58" s="1" t="s">
        <v>81</v>
      </c>
      <c r="C58" s="5">
        <v>45720.0</v>
      </c>
      <c r="D58" s="1" t="s">
        <v>161</v>
      </c>
      <c r="E58" s="1" t="s">
        <v>11</v>
      </c>
      <c r="F58" s="1" t="s">
        <v>168</v>
      </c>
      <c r="G58" s="1" t="s">
        <v>163</v>
      </c>
      <c r="H58" s="1">
        <v>1.0</v>
      </c>
      <c r="I58" s="1">
        <v>0.0</v>
      </c>
      <c r="J58" s="1">
        <v>0.0</v>
      </c>
      <c r="K58" s="1">
        <v>1.0</v>
      </c>
      <c r="L58" s="1">
        <v>8.0</v>
      </c>
      <c r="M58" s="1">
        <v>0.125</v>
      </c>
      <c r="N58" s="1">
        <v>10.11999989</v>
      </c>
    </row>
    <row r="59" ht="15.75" customHeight="1">
      <c r="A59" s="1" t="s">
        <v>164</v>
      </c>
      <c r="B59" s="1" t="s">
        <v>179</v>
      </c>
      <c r="C59" s="5">
        <v>45720.0</v>
      </c>
      <c r="D59" s="1" t="s">
        <v>161</v>
      </c>
      <c r="E59" s="1" t="s">
        <v>11</v>
      </c>
      <c r="F59" s="1" t="s">
        <v>166</v>
      </c>
      <c r="G59" s="1" t="s">
        <v>163</v>
      </c>
      <c r="H59" s="1">
        <v>1.0</v>
      </c>
      <c r="I59" s="1">
        <v>0.0</v>
      </c>
      <c r="J59" s="1">
        <v>0.0</v>
      </c>
      <c r="K59" s="1">
        <v>1.0</v>
      </c>
      <c r="L59" s="1">
        <v>3.0</v>
      </c>
      <c r="M59" s="1">
        <v>0.333333333</v>
      </c>
      <c r="N59" s="1">
        <v>1.789999962</v>
      </c>
    </row>
    <row r="60" ht="15.75" customHeight="1">
      <c r="A60" s="1" t="s">
        <v>164</v>
      </c>
      <c r="B60" s="1" t="s">
        <v>60</v>
      </c>
      <c r="C60" s="5">
        <v>45720.0</v>
      </c>
      <c r="D60" s="1" t="s">
        <v>161</v>
      </c>
      <c r="E60" s="1" t="s">
        <v>11</v>
      </c>
      <c r="F60" s="1" t="s">
        <v>166</v>
      </c>
      <c r="G60" s="1" t="s">
        <v>163</v>
      </c>
      <c r="H60" s="1">
        <v>1.0</v>
      </c>
      <c r="I60" s="1">
        <v>0.0</v>
      </c>
      <c r="J60" s="1">
        <v>0.0</v>
      </c>
      <c r="K60" s="1">
        <v>3.0</v>
      </c>
      <c r="L60" s="1">
        <v>5.0</v>
      </c>
      <c r="M60" s="1">
        <v>0.6</v>
      </c>
      <c r="N60" s="1">
        <v>6.590000153</v>
      </c>
    </row>
    <row r="61" ht="15.75" customHeight="1">
      <c r="A61" s="1" t="s">
        <v>164</v>
      </c>
      <c r="B61" s="1" t="s">
        <v>63</v>
      </c>
      <c r="C61" s="5">
        <v>45720.0</v>
      </c>
      <c r="D61" s="1" t="s">
        <v>161</v>
      </c>
      <c r="E61" s="1" t="s">
        <v>11</v>
      </c>
      <c r="F61" s="1" t="s">
        <v>166</v>
      </c>
      <c r="G61" s="1" t="s">
        <v>163</v>
      </c>
      <c r="H61" s="1">
        <v>1.0</v>
      </c>
      <c r="I61" s="1">
        <v>0.0</v>
      </c>
      <c r="J61" s="1">
        <v>0.0</v>
      </c>
      <c r="K61" s="1">
        <v>4.0</v>
      </c>
      <c r="L61" s="1">
        <v>8.0</v>
      </c>
      <c r="M61" s="1">
        <v>0.5</v>
      </c>
      <c r="N61" s="1">
        <v>7.010000229</v>
      </c>
    </row>
    <row r="62" ht="15.75" customHeight="1">
      <c r="A62" s="1" t="s">
        <v>164</v>
      </c>
      <c r="B62" s="1" t="s">
        <v>68</v>
      </c>
      <c r="C62" s="5">
        <v>45720.0</v>
      </c>
      <c r="D62" s="1" t="s">
        <v>161</v>
      </c>
      <c r="E62" s="1" t="s">
        <v>11</v>
      </c>
      <c r="F62" s="1" t="s">
        <v>165</v>
      </c>
      <c r="G62" s="1" t="s">
        <v>163</v>
      </c>
      <c r="H62" s="1">
        <v>1.0</v>
      </c>
      <c r="I62" s="1">
        <v>0.0</v>
      </c>
      <c r="J62" s="1">
        <v>0.0</v>
      </c>
      <c r="K62" s="1">
        <v>9.0</v>
      </c>
      <c r="L62" s="1">
        <v>12.0</v>
      </c>
      <c r="M62" s="1">
        <v>0.75</v>
      </c>
      <c r="N62" s="1">
        <v>7.53000021</v>
      </c>
    </row>
    <row r="63" ht="15.75" customHeight="1">
      <c r="A63" s="1" t="s">
        <v>164</v>
      </c>
      <c r="B63" s="1" t="s">
        <v>74</v>
      </c>
      <c r="C63" s="5">
        <v>45720.0</v>
      </c>
      <c r="D63" s="1" t="s">
        <v>161</v>
      </c>
      <c r="E63" s="1" t="s">
        <v>11</v>
      </c>
      <c r="H63" s="1">
        <v>0.0</v>
      </c>
      <c r="J63" s="1">
        <v>0.0</v>
      </c>
      <c r="N63" s="1">
        <v>8.659999847</v>
      </c>
    </row>
    <row r="64" ht="15.75" customHeight="1">
      <c r="A64" s="1" t="s">
        <v>164</v>
      </c>
      <c r="B64" s="1" t="s">
        <v>75</v>
      </c>
      <c r="C64" s="5">
        <v>45720.0</v>
      </c>
      <c r="D64" s="1" t="s">
        <v>161</v>
      </c>
      <c r="E64" s="1" t="s">
        <v>11</v>
      </c>
      <c r="F64" s="1" t="s">
        <v>165</v>
      </c>
      <c r="H64" s="1">
        <v>0.0</v>
      </c>
      <c r="I64" s="1">
        <v>0.0</v>
      </c>
      <c r="J64" s="1">
        <v>0.0</v>
      </c>
      <c r="K64" s="1">
        <v>0.0</v>
      </c>
      <c r="L64" s="1">
        <v>1.0</v>
      </c>
      <c r="M64" s="1">
        <v>0.0</v>
      </c>
      <c r="N64" s="1">
        <v>6.75</v>
      </c>
    </row>
    <row r="65" ht="15.75" customHeight="1">
      <c r="A65" s="1" t="s">
        <v>164</v>
      </c>
      <c r="B65" s="1" t="s">
        <v>82</v>
      </c>
      <c r="C65" s="5">
        <v>45720.0</v>
      </c>
      <c r="D65" s="1" t="s">
        <v>161</v>
      </c>
      <c r="E65" s="1" t="s">
        <v>11</v>
      </c>
      <c r="F65" s="1" t="s">
        <v>176</v>
      </c>
      <c r="G65" s="1" t="s">
        <v>163</v>
      </c>
      <c r="H65" s="1">
        <v>1.0</v>
      </c>
      <c r="I65" s="1">
        <v>1.0</v>
      </c>
      <c r="J65" s="1">
        <v>0.0</v>
      </c>
      <c r="K65" s="1">
        <v>34.0</v>
      </c>
      <c r="L65" s="1">
        <v>43.0</v>
      </c>
      <c r="M65" s="1">
        <v>0.790697674</v>
      </c>
      <c r="N65" s="1">
        <v>24.65999985</v>
      </c>
    </row>
    <row r="66" ht="15.75" customHeight="1">
      <c r="A66" s="1" t="s">
        <v>164</v>
      </c>
      <c r="B66" s="1" t="s">
        <v>82</v>
      </c>
      <c r="C66" s="5">
        <v>45720.0</v>
      </c>
      <c r="D66" s="1" t="s">
        <v>161</v>
      </c>
      <c r="E66" s="1" t="s">
        <v>11</v>
      </c>
      <c r="F66" s="1" t="s">
        <v>165</v>
      </c>
      <c r="G66" s="1" t="s">
        <v>163</v>
      </c>
      <c r="H66" s="1">
        <v>1.0</v>
      </c>
      <c r="I66" s="1">
        <v>0.0</v>
      </c>
      <c r="J66" s="1">
        <v>0.0</v>
      </c>
      <c r="K66" s="1">
        <v>0.0</v>
      </c>
      <c r="L66" s="1">
        <v>0.0</v>
      </c>
      <c r="N66" s="1">
        <v>0.0</v>
      </c>
    </row>
    <row r="67" ht="15.75" customHeight="1">
      <c r="A67" s="1" t="s">
        <v>164</v>
      </c>
      <c r="B67" s="1" t="s">
        <v>82</v>
      </c>
      <c r="C67" s="5">
        <v>45720.0</v>
      </c>
      <c r="D67" s="1" t="s">
        <v>161</v>
      </c>
      <c r="E67" s="1" t="s">
        <v>11</v>
      </c>
      <c r="F67" s="1" t="s">
        <v>166</v>
      </c>
      <c r="G67" s="1" t="s">
        <v>163</v>
      </c>
      <c r="H67" s="1">
        <v>1.0</v>
      </c>
      <c r="I67" s="1">
        <v>0.0</v>
      </c>
      <c r="J67" s="1">
        <v>0.0</v>
      </c>
      <c r="K67" s="1">
        <v>0.0</v>
      </c>
      <c r="L67" s="1">
        <v>1.0</v>
      </c>
      <c r="M67" s="1">
        <v>0.0</v>
      </c>
      <c r="N67" s="1">
        <v>0.0</v>
      </c>
    </row>
    <row r="68" ht="15.75" customHeight="1">
      <c r="A68" s="1" t="s">
        <v>180</v>
      </c>
      <c r="B68" s="1" t="s">
        <v>181</v>
      </c>
      <c r="C68" s="5">
        <v>45720.0</v>
      </c>
      <c r="D68" s="1" t="s">
        <v>161</v>
      </c>
      <c r="E68" s="1" t="s">
        <v>11</v>
      </c>
      <c r="F68" s="1" t="s">
        <v>166</v>
      </c>
      <c r="G68" s="1" t="s">
        <v>182</v>
      </c>
      <c r="H68" s="1">
        <v>2.0</v>
      </c>
      <c r="I68" s="1">
        <v>0.0</v>
      </c>
      <c r="J68" s="1">
        <v>0.0</v>
      </c>
      <c r="K68" s="1">
        <v>11.0</v>
      </c>
      <c r="L68" s="1">
        <v>21.0</v>
      </c>
      <c r="M68" s="1">
        <v>0.523809524</v>
      </c>
      <c r="N68" s="1">
        <v>20.62999916</v>
      </c>
    </row>
    <row r="69" ht="15.75" customHeight="1">
      <c r="A69" s="1" t="s">
        <v>160</v>
      </c>
      <c r="B69" s="1" t="s">
        <v>29</v>
      </c>
      <c r="C69" s="5">
        <v>45719.0</v>
      </c>
      <c r="D69" s="1" t="s">
        <v>161</v>
      </c>
      <c r="E69" s="1" t="s">
        <v>11</v>
      </c>
      <c r="F69" s="1" t="s">
        <v>165</v>
      </c>
      <c r="H69" s="1">
        <v>0.0</v>
      </c>
      <c r="I69" s="1">
        <v>0.0</v>
      </c>
      <c r="J69" s="1">
        <v>0.0</v>
      </c>
      <c r="K69" s="1">
        <v>0.0</v>
      </c>
      <c r="L69" s="1">
        <v>2.0</v>
      </c>
      <c r="M69" s="1">
        <v>0.0</v>
      </c>
      <c r="N69" s="1">
        <v>6.900000095</v>
      </c>
    </row>
    <row r="70" ht="15.75" customHeight="1">
      <c r="A70" s="1" t="s">
        <v>164</v>
      </c>
      <c r="B70" s="1" t="s">
        <v>60</v>
      </c>
      <c r="C70" s="5">
        <v>45719.0</v>
      </c>
      <c r="D70" s="1" t="s">
        <v>161</v>
      </c>
      <c r="E70" s="1" t="s">
        <v>11</v>
      </c>
      <c r="F70" s="1" t="s">
        <v>166</v>
      </c>
      <c r="H70" s="1">
        <v>0.0</v>
      </c>
      <c r="I70" s="1">
        <v>0.0</v>
      </c>
      <c r="J70" s="1">
        <v>0.0</v>
      </c>
      <c r="K70" s="1">
        <v>0.0</v>
      </c>
      <c r="L70" s="1">
        <v>0.0</v>
      </c>
      <c r="N70" s="1">
        <v>0.800000012</v>
      </c>
    </row>
    <row r="71" ht="15.75" customHeight="1">
      <c r="A71" s="1" t="s">
        <v>164</v>
      </c>
      <c r="B71" s="1" t="s">
        <v>183</v>
      </c>
      <c r="C71" s="5">
        <v>45719.0</v>
      </c>
      <c r="D71" s="1" t="s">
        <v>161</v>
      </c>
      <c r="E71" s="1" t="s">
        <v>11</v>
      </c>
      <c r="F71" s="1" t="s">
        <v>166</v>
      </c>
      <c r="G71" s="1" t="s">
        <v>163</v>
      </c>
      <c r="H71" s="1">
        <v>1.0</v>
      </c>
      <c r="I71" s="1">
        <v>0.0</v>
      </c>
      <c r="J71" s="1">
        <v>0.0</v>
      </c>
      <c r="K71" s="1">
        <v>0.0</v>
      </c>
      <c r="L71" s="1">
        <v>1.0</v>
      </c>
      <c r="M71" s="1">
        <v>0.0</v>
      </c>
      <c r="N71" s="1">
        <v>1.120000005</v>
      </c>
    </row>
    <row r="72" ht="15.75" customHeight="1">
      <c r="A72" s="1" t="s">
        <v>164</v>
      </c>
      <c r="B72" s="1" t="s">
        <v>68</v>
      </c>
      <c r="C72" s="5">
        <v>45719.0</v>
      </c>
      <c r="D72" s="1" t="s">
        <v>161</v>
      </c>
      <c r="E72" s="1" t="s">
        <v>11</v>
      </c>
      <c r="H72" s="1">
        <v>0.0</v>
      </c>
      <c r="J72" s="1">
        <v>0.0</v>
      </c>
      <c r="N72" s="1">
        <v>2.869999886</v>
      </c>
    </row>
    <row r="73" ht="15.75" customHeight="1">
      <c r="A73" s="1" t="s">
        <v>164</v>
      </c>
      <c r="B73" s="1" t="s">
        <v>75</v>
      </c>
      <c r="C73" s="5">
        <v>45719.0</v>
      </c>
      <c r="D73" s="1" t="s">
        <v>161</v>
      </c>
      <c r="E73" s="1" t="s">
        <v>11</v>
      </c>
      <c r="H73" s="1">
        <v>0.0</v>
      </c>
      <c r="J73" s="1">
        <v>0.0</v>
      </c>
      <c r="N73" s="1">
        <v>2.3099999430000002</v>
      </c>
    </row>
    <row r="74" ht="15.75" customHeight="1">
      <c r="A74" s="1" t="s">
        <v>164</v>
      </c>
      <c r="B74" s="1" t="s">
        <v>82</v>
      </c>
      <c r="C74" s="5">
        <v>45719.0</v>
      </c>
      <c r="D74" s="1" t="s">
        <v>161</v>
      </c>
      <c r="E74" s="1" t="s">
        <v>11</v>
      </c>
      <c r="H74" s="1">
        <v>0.0</v>
      </c>
      <c r="J74" s="1">
        <v>0.0</v>
      </c>
      <c r="N74" s="1">
        <v>0.670000017</v>
      </c>
    </row>
    <row r="75" ht="15.75" customHeight="1">
      <c r="A75" s="1" t="s">
        <v>160</v>
      </c>
      <c r="B75" s="1" t="s">
        <v>80</v>
      </c>
      <c r="C75" s="5">
        <v>45718.0</v>
      </c>
      <c r="D75" s="1" t="s">
        <v>161</v>
      </c>
      <c r="E75" s="1" t="s">
        <v>11</v>
      </c>
      <c r="H75" s="1">
        <v>0.0</v>
      </c>
      <c r="J75" s="1">
        <v>0.0</v>
      </c>
      <c r="N75" s="1">
        <v>0.170000002</v>
      </c>
    </row>
    <row r="76" ht="15.75" customHeight="1">
      <c r="A76" s="1" t="s">
        <v>160</v>
      </c>
      <c r="B76" s="1" t="s">
        <v>29</v>
      </c>
      <c r="C76" s="5">
        <v>45716.0</v>
      </c>
      <c r="D76" s="1" t="s">
        <v>161</v>
      </c>
      <c r="E76" s="1" t="s">
        <v>11</v>
      </c>
      <c r="H76" s="1">
        <v>0.0</v>
      </c>
      <c r="J76" s="1">
        <v>0.0</v>
      </c>
      <c r="N76" s="1">
        <v>0.720000029</v>
      </c>
    </row>
    <row r="77" ht="15.75" customHeight="1">
      <c r="A77" s="1" t="s">
        <v>160</v>
      </c>
      <c r="B77" s="1" t="s">
        <v>29</v>
      </c>
      <c r="C77" s="5">
        <v>45715.0</v>
      </c>
      <c r="D77" s="1" t="s">
        <v>161</v>
      </c>
      <c r="E77" s="1" t="s">
        <v>11</v>
      </c>
      <c r="F77" s="1" t="s">
        <v>165</v>
      </c>
      <c r="H77" s="1">
        <v>0.0</v>
      </c>
      <c r="I77" s="1">
        <v>0.0</v>
      </c>
      <c r="J77" s="1">
        <v>0.0</v>
      </c>
      <c r="K77" s="1">
        <v>1.0</v>
      </c>
      <c r="L77" s="1">
        <v>2.0</v>
      </c>
      <c r="M77" s="1">
        <v>0.5</v>
      </c>
      <c r="N77" s="1">
        <v>3.369999886</v>
      </c>
    </row>
    <row r="78" ht="15.75" customHeight="1">
      <c r="A78" s="1" t="s">
        <v>160</v>
      </c>
      <c r="B78" s="1" t="s">
        <v>29</v>
      </c>
      <c r="C78" s="5">
        <v>45714.0</v>
      </c>
      <c r="D78" s="1" t="s">
        <v>161</v>
      </c>
      <c r="E78" s="1" t="s">
        <v>11</v>
      </c>
      <c r="F78" s="1" t="s">
        <v>165</v>
      </c>
      <c r="H78" s="1">
        <v>0.0</v>
      </c>
      <c r="I78" s="1">
        <v>1.0</v>
      </c>
      <c r="J78" s="1">
        <v>0.0</v>
      </c>
      <c r="K78" s="1">
        <v>15.0</v>
      </c>
      <c r="L78" s="1">
        <v>19.0</v>
      </c>
      <c r="M78" s="1">
        <v>0.789473684</v>
      </c>
      <c r="N78" s="1">
        <v>12.02999973</v>
      </c>
    </row>
    <row r="79" ht="15.75" customHeight="1">
      <c r="A79" s="1" t="s">
        <v>160</v>
      </c>
      <c r="B79" s="1" t="s">
        <v>29</v>
      </c>
      <c r="C79" s="5">
        <v>45713.0</v>
      </c>
      <c r="D79" s="1" t="s">
        <v>161</v>
      </c>
      <c r="E79" s="1" t="s">
        <v>11</v>
      </c>
      <c r="F79" s="1" t="s">
        <v>165</v>
      </c>
      <c r="H79" s="1">
        <v>0.0</v>
      </c>
      <c r="I79" s="1">
        <v>0.0</v>
      </c>
      <c r="J79" s="1">
        <v>0.0</v>
      </c>
      <c r="K79" s="1">
        <v>5.0</v>
      </c>
      <c r="L79" s="1">
        <v>9.0</v>
      </c>
      <c r="M79" s="1">
        <v>0.555555556</v>
      </c>
      <c r="N79" s="1">
        <v>6.8699998860000004</v>
      </c>
    </row>
    <row r="80" ht="15.75" customHeight="1">
      <c r="A80" s="1" t="s">
        <v>160</v>
      </c>
      <c r="B80" s="1" t="s">
        <v>101</v>
      </c>
      <c r="C80" s="5">
        <v>45712.0</v>
      </c>
      <c r="D80" s="1" t="s">
        <v>161</v>
      </c>
      <c r="E80" s="1" t="s">
        <v>11</v>
      </c>
      <c r="F80" s="1" t="s">
        <v>162</v>
      </c>
      <c r="G80" s="1" t="s">
        <v>163</v>
      </c>
      <c r="H80" s="1">
        <v>1.0</v>
      </c>
      <c r="I80" s="1">
        <v>0.0</v>
      </c>
      <c r="J80" s="1">
        <v>0.0</v>
      </c>
      <c r="K80" s="1">
        <v>0.0</v>
      </c>
      <c r="L80" s="1">
        <v>2.0</v>
      </c>
      <c r="M80" s="1">
        <v>0.0</v>
      </c>
      <c r="N80" s="1">
        <v>3.420000076</v>
      </c>
    </row>
    <row r="81" ht="15.75" customHeight="1">
      <c r="A81" s="1" t="s">
        <v>160</v>
      </c>
      <c r="B81" s="1" t="s">
        <v>29</v>
      </c>
      <c r="C81" s="5">
        <v>45711.0</v>
      </c>
      <c r="D81" s="1" t="s">
        <v>161</v>
      </c>
      <c r="E81" s="1" t="s">
        <v>11</v>
      </c>
      <c r="F81" s="1" t="s">
        <v>165</v>
      </c>
      <c r="H81" s="1">
        <v>0.0</v>
      </c>
      <c r="I81" s="1">
        <v>0.0</v>
      </c>
      <c r="J81" s="1">
        <v>0.0</v>
      </c>
      <c r="K81" s="1">
        <v>0.0</v>
      </c>
      <c r="L81" s="1">
        <v>0.0</v>
      </c>
      <c r="N81" s="1">
        <v>2.25999999</v>
      </c>
    </row>
    <row r="82" ht="15.75" customHeight="1">
      <c r="A82" s="1" t="s">
        <v>160</v>
      </c>
      <c r="B82" s="1" t="s">
        <v>29</v>
      </c>
      <c r="C82" s="5">
        <v>45709.0</v>
      </c>
      <c r="D82" s="1" t="s">
        <v>161</v>
      </c>
      <c r="E82" s="1" t="s">
        <v>11</v>
      </c>
      <c r="F82" s="1" t="s">
        <v>165</v>
      </c>
      <c r="H82" s="1">
        <v>0.0</v>
      </c>
      <c r="I82" s="1">
        <v>0.0</v>
      </c>
      <c r="J82" s="1">
        <v>0.0</v>
      </c>
      <c r="K82" s="1">
        <v>0.0</v>
      </c>
      <c r="L82" s="1">
        <v>8.0</v>
      </c>
      <c r="M82" s="1">
        <v>0.0</v>
      </c>
      <c r="N82" s="1">
        <v>3.019999981</v>
      </c>
    </row>
    <row r="83" ht="15.75" customHeight="1">
      <c r="A83" s="1" t="s">
        <v>160</v>
      </c>
      <c r="B83" s="1" t="s">
        <v>184</v>
      </c>
      <c r="C83" s="5">
        <v>45709.0</v>
      </c>
      <c r="D83" s="1" t="s">
        <v>161</v>
      </c>
      <c r="E83" s="1" t="s">
        <v>11</v>
      </c>
      <c r="H83" s="1">
        <v>0.0</v>
      </c>
      <c r="J83" s="1">
        <v>0.0</v>
      </c>
      <c r="N83" s="1">
        <v>0.07</v>
      </c>
    </row>
    <row r="84" ht="15.75" customHeight="1">
      <c r="A84" s="1" t="s">
        <v>164</v>
      </c>
      <c r="B84" s="1" t="s">
        <v>179</v>
      </c>
      <c r="C84" s="5">
        <v>45709.0</v>
      </c>
      <c r="D84" s="1" t="s">
        <v>161</v>
      </c>
      <c r="E84" s="1" t="s">
        <v>11</v>
      </c>
      <c r="F84" s="1" t="s">
        <v>166</v>
      </c>
      <c r="G84" s="1" t="s">
        <v>163</v>
      </c>
      <c r="H84" s="1">
        <v>1.0</v>
      </c>
      <c r="I84" s="1">
        <v>0.0</v>
      </c>
      <c r="J84" s="1">
        <v>0.0</v>
      </c>
      <c r="K84" s="1">
        <v>0.0</v>
      </c>
      <c r="L84" s="1">
        <v>4.0</v>
      </c>
      <c r="M84" s="1">
        <v>0.0</v>
      </c>
      <c r="N84" s="1">
        <v>6.090000153</v>
      </c>
    </row>
    <row r="85" ht="15.75" customHeight="1">
      <c r="A85" s="1" t="s">
        <v>164</v>
      </c>
      <c r="B85" s="1" t="s">
        <v>100</v>
      </c>
      <c r="C85" s="5">
        <v>45709.0</v>
      </c>
      <c r="D85" s="1" t="s">
        <v>161</v>
      </c>
      <c r="E85" s="1" t="s">
        <v>11</v>
      </c>
      <c r="F85" s="1" t="s">
        <v>171</v>
      </c>
      <c r="H85" s="1">
        <v>0.0</v>
      </c>
      <c r="I85" s="1">
        <v>0.0</v>
      </c>
      <c r="J85" s="1">
        <v>0.0</v>
      </c>
      <c r="K85" s="1">
        <v>0.0</v>
      </c>
      <c r="L85" s="1">
        <v>0.0</v>
      </c>
      <c r="N85" s="1">
        <v>2.900000095</v>
      </c>
    </row>
    <row r="86" ht="15.75" customHeight="1">
      <c r="A86" s="1" t="s">
        <v>180</v>
      </c>
      <c r="B86" s="1" t="s">
        <v>185</v>
      </c>
      <c r="C86" s="5">
        <v>45709.0</v>
      </c>
      <c r="D86" s="1" t="s">
        <v>161</v>
      </c>
      <c r="E86" s="1" t="s">
        <v>11</v>
      </c>
      <c r="H86" s="1">
        <v>0.0</v>
      </c>
      <c r="J86" s="1">
        <v>0.0</v>
      </c>
      <c r="N86" s="1">
        <v>0.439999998</v>
      </c>
    </row>
    <row r="87" ht="15.75" customHeight="1">
      <c r="A87" s="1" t="s">
        <v>160</v>
      </c>
      <c r="B87" s="1" t="s">
        <v>26</v>
      </c>
      <c r="C87" s="5">
        <v>45708.0</v>
      </c>
      <c r="D87" s="1" t="s">
        <v>161</v>
      </c>
      <c r="E87" s="1" t="s">
        <v>11</v>
      </c>
      <c r="F87" s="1" t="s">
        <v>162</v>
      </c>
      <c r="H87" s="1">
        <v>0.0</v>
      </c>
      <c r="I87" s="1">
        <v>0.0</v>
      </c>
      <c r="J87" s="1">
        <v>0.0</v>
      </c>
      <c r="K87" s="1">
        <v>5.0</v>
      </c>
      <c r="L87" s="1">
        <v>9.0</v>
      </c>
      <c r="M87" s="1">
        <v>0.555555556</v>
      </c>
      <c r="N87" s="1">
        <v>10.97000027</v>
      </c>
    </row>
    <row r="88" ht="15.75" customHeight="1">
      <c r="A88" s="1" t="s">
        <v>160</v>
      </c>
      <c r="B88" s="1" t="s">
        <v>29</v>
      </c>
      <c r="C88" s="5">
        <v>45708.0</v>
      </c>
      <c r="D88" s="1" t="s">
        <v>161</v>
      </c>
      <c r="E88" s="1" t="s">
        <v>11</v>
      </c>
      <c r="F88" s="1" t="s">
        <v>165</v>
      </c>
      <c r="G88" s="1" t="s">
        <v>172</v>
      </c>
      <c r="H88" s="1">
        <v>1.0</v>
      </c>
      <c r="I88" s="1">
        <v>2.0</v>
      </c>
      <c r="J88" s="1">
        <v>0.0</v>
      </c>
      <c r="K88" s="1">
        <v>24.0</v>
      </c>
      <c r="L88" s="1">
        <v>25.0</v>
      </c>
      <c r="M88" s="1">
        <v>0.96</v>
      </c>
      <c r="N88" s="1">
        <v>4.349999905</v>
      </c>
    </row>
    <row r="89" ht="15.75" customHeight="1">
      <c r="A89" s="1" t="s">
        <v>160</v>
      </c>
      <c r="B89" s="1" t="s">
        <v>95</v>
      </c>
      <c r="C89" s="5">
        <v>45708.0</v>
      </c>
      <c r="D89" s="1" t="s">
        <v>161</v>
      </c>
      <c r="E89" s="1" t="s">
        <v>11</v>
      </c>
      <c r="F89" s="1" t="s">
        <v>165</v>
      </c>
      <c r="G89" s="1" t="s">
        <v>163</v>
      </c>
      <c r="H89" s="1">
        <v>1.0</v>
      </c>
      <c r="I89" s="1">
        <v>0.0</v>
      </c>
      <c r="J89" s="1">
        <v>0.0</v>
      </c>
      <c r="K89" s="1">
        <v>1.0</v>
      </c>
      <c r="L89" s="1">
        <v>3.0</v>
      </c>
      <c r="M89" s="1">
        <v>0.333333333</v>
      </c>
      <c r="N89" s="1">
        <v>3.460000038</v>
      </c>
    </row>
    <row r="90" ht="15.75" customHeight="1">
      <c r="A90" s="1" t="s">
        <v>160</v>
      </c>
      <c r="B90" s="1" t="s">
        <v>101</v>
      </c>
      <c r="C90" s="5">
        <v>45708.0</v>
      </c>
      <c r="D90" s="1" t="s">
        <v>161</v>
      </c>
      <c r="E90" s="1" t="s">
        <v>11</v>
      </c>
      <c r="F90" s="1" t="s">
        <v>162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N90" s="1">
        <v>0.779999971</v>
      </c>
    </row>
    <row r="91" ht="15.75" customHeight="1">
      <c r="A91" s="1" t="s">
        <v>164</v>
      </c>
      <c r="B91" s="1" t="s">
        <v>64</v>
      </c>
      <c r="C91" s="5">
        <v>45708.0</v>
      </c>
      <c r="D91" s="1" t="s">
        <v>161</v>
      </c>
      <c r="E91" s="1" t="s">
        <v>11</v>
      </c>
      <c r="F91" s="1" t="s">
        <v>166</v>
      </c>
      <c r="G91" s="1" t="s">
        <v>163</v>
      </c>
      <c r="H91" s="1">
        <v>1.0</v>
      </c>
      <c r="I91" s="1">
        <v>0.0</v>
      </c>
      <c r="J91" s="1">
        <v>0.0</v>
      </c>
      <c r="K91" s="1">
        <v>1.0</v>
      </c>
      <c r="L91" s="1">
        <v>1.0</v>
      </c>
      <c r="M91" s="1">
        <v>1.0</v>
      </c>
      <c r="N91" s="1">
        <v>6.550000191</v>
      </c>
    </row>
    <row r="92" ht="15.75" customHeight="1">
      <c r="A92" s="1" t="s">
        <v>164</v>
      </c>
      <c r="B92" s="1" t="s">
        <v>60</v>
      </c>
      <c r="C92" s="5">
        <v>45708.0</v>
      </c>
      <c r="D92" s="1" t="s">
        <v>161</v>
      </c>
      <c r="E92" s="1" t="s">
        <v>11</v>
      </c>
      <c r="H92" s="1">
        <v>0.0</v>
      </c>
      <c r="J92" s="1">
        <v>0.0</v>
      </c>
      <c r="N92" s="1">
        <v>0.02</v>
      </c>
    </row>
    <row r="93" ht="15.75" customHeight="1">
      <c r="A93" s="1" t="s">
        <v>164</v>
      </c>
      <c r="B93" s="1" t="s">
        <v>100</v>
      </c>
      <c r="C93" s="5">
        <v>45708.0</v>
      </c>
      <c r="D93" s="1" t="s">
        <v>161</v>
      </c>
      <c r="E93" s="1" t="s">
        <v>11</v>
      </c>
      <c r="F93" s="1" t="s">
        <v>171</v>
      </c>
      <c r="G93" s="1" t="s">
        <v>163</v>
      </c>
      <c r="H93" s="1">
        <v>1.0</v>
      </c>
      <c r="I93" s="1">
        <v>0.0</v>
      </c>
      <c r="J93" s="1">
        <v>0.0</v>
      </c>
      <c r="K93" s="1">
        <v>0.0</v>
      </c>
      <c r="L93" s="1">
        <v>1.0</v>
      </c>
      <c r="M93" s="1">
        <v>0.0</v>
      </c>
      <c r="N93" s="1">
        <v>2.5599999430000002</v>
      </c>
    </row>
    <row r="94" ht="15.75" customHeight="1">
      <c r="A94" s="1" t="s">
        <v>160</v>
      </c>
      <c r="B94" s="1" t="s">
        <v>29</v>
      </c>
      <c r="C94" s="5">
        <v>45707.0</v>
      </c>
      <c r="D94" s="1" t="s">
        <v>161</v>
      </c>
      <c r="E94" s="1" t="s">
        <v>11</v>
      </c>
      <c r="F94" s="1" t="s">
        <v>165</v>
      </c>
      <c r="G94" s="1" t="s">
        <v>172</v>
      </c>
      <c r="H94" s="1">
        <v>1.0</v>
      </c>
      <c r="I94" s="1">
        <v>0.0</v>
      </c>
      <c r="J94" s="1">
        <v>0.0</v>
      </c>
      <c r="K94" s="1">
        <v>2.0</v>
      </c>
      <c r="L94" s="1">
        <v>8.0</v>
      </c>
      <c r="M94" s="1">
        <v>0.25</v>
      </c>
      <c r="N94" s="1">
        <v>33.45999908</v>
      </c>
    </row>
    <row r="95" ht="15.75" customHeight="1">
      <c r="A95" s="1" t="s">
        <v>160</v>
      </c>
      <c r="B95" s="1" t="s">
        <v>65</v>
      </c>
      <c r="C95" s="5">
        <v>45707.0</v>
      </c>
      <c r="D95" s="1" t="s">
        <v>161</v>
      </c>
      <c r="E95" s="1" t="s">
        <v>11</v>
      </c>
      <c r="F95" s="1" t="s">
        <v>162</v>
      </c>
      <c r="G95" s="1" t="s">
        <v>163</v>
      </c>
      <c r="H95" s="1">
        <v>1.0</v>
      </c>
      <c r="I95" s="1">
        <v>0.0</v>
      </c>
      <c r="J95" s="1">
        <v>0.0</v>
      </c>
      <c r="K95" s="1">
        <v>1.0</v>
      </c>
      <c r="L95" s="1">
        <v>4.0</v>
      </c>
      <c r="M95" s="1">
        <v>0.25</v>
      </c>
      <c r="N95" s="1">
        <v>17.36000061</v>
      </c>
    </row>
    <row r="96" ht="15.75" customHeight="1">
      <c r="A96" s="1" t="s">
        <v>160</v>
      </c>
      <c r="B96" s="1" t="s">
        <v>77</v>
      </c>
      <c r="C96" s="5">
        <v>45707.0</v>
      </c>
      <c r="D96" s="1" t="s">
        <v>161</v>
      </c>
      <c r="E96" s="1" t="s">
        <v>11</v>
      </c>
      <c r="F96" s="1" t="s">
        <v>162</v>
      </c>
      <c r="H96" s="1">
        <v>0.0</v>
      </c>
      <c r="I96" s="1">
        <v>0.0</v>
      </c>
      <c r="J96" s="1">
        <v>0.0</v>
      </c>
      <c r="K96" s="1">
        <v>1.0</v>
      </c>
      <c r="L96" s="1">
        <v>2.0</v>
      </c>
      <c r="M96" s="1">
        <v>0.5</v>
      </c>
      <c r="N96" s="1">
        <v>18.95999908</v>
      </c>
    </row>
    <row r="97" ht="15.75" customHeight="1">
      <c r="A97" s="1" t="s">
        <v>160</v>
      </c>
      <c r="B97" s="1" t="s">
        <v>90</v>
      </c>
      <c r="C97" s="5">
        <v>45707.0</v>
      </c>
      <c r="D97" s="1" t="s">
        <v>161</v>
      </c>
      <c r="E97" s="1" t="s">
        <v>11</v>
      </c>
      <c r="F97" s="1" t="s">
        <v>165</v>
      </c>
      <c r="H97" s="1">
        <v>0.0</v>
      </c>
      <c r="I97" s="1">
        <v>0.0</v>
      </c>
      <c r="J97" s="1">
        <v>0.0</v>
      </c>
      <c r="K97" s="1">
        <v>1.0</v>
      </c>
      <c r="L97" s="1">
        <v>3.0</v>
      </c>
      <c r="M97" s="1">
        <v>0.333333333</v>
      </c>
      <c r="N97" s="1">
        <v>0.119999997</v>
      </c>
    </row>
    <row r="98" ht="15.75" customHeight="1">
      <c r="A98" s="1" t="s">
        <v>164</v>
      </c>
      <c r="B98" s="1" t="s">
        <v>60</v>
      </c>
      <c r="C98" s="5">
        <v>45707.0</v>
      </c>
      <c r="D98" s="1" t="s">
        <v>161</v>
      </c>
      <c r="E98" s="1" t="s">
        <v>11</v>
      </c>
      <c r="F98" s="1" t="s">
        <v>166</v>
      </c>
      <c r="H98" s="1">
        <v>0.0</v>
      </c>
      <c r="I98" s="1">
        <v>0.0</v>
      </c>
      <c r="J98" s="1">
        <v>0.0</v>
      </c>
      <c r="K98" s="1">
        <v>1.0</v>
      </c>
      <c r="L98" s="1">
        <v>3.0</v>
      </c>
      <c r="M98" s="1">
        <v>0.333333333</v>
      </c>
      <c r="N98" s="1">
        <v>16.92000008</v>
      </c>
    </row>
    <row r="99" ht="15.75" customHeight="1">
      <c r="A99" s="1" t="s">
        <v>164</v>
      </c>
      <c r="B99" s="1" t="s">
        <v>63</v>
      </c>
      <c r="C99" s="5">
        <v>45707.0</v>
      </c>
      <c r="D99" s="1" t="s">
        <v>161</v>
      </c>
      <c r="E99" s="1" t="s">
        <v>11</v>
      </c>
      <c r="F99" s="1" t="s">
        <v>166</v>
      </c>
      <c r="H99" s="1">
        <v>0.0</v>
      </c>
      <c r="I99" s="1">
        <v>0.0</v>
      </c>
      <c r="J99" s="1">
        <v>0.0</v>
      </c>
      <c r="K99" s="1">
        <v>0.0</v>
      </c>
      <c r="L99" s="1">
        <v>1.0</v>
      </c>
      <c r="M99" s="1">
        <v>0.0</v>
      </c>
      <c r="N99" s="1">
        <v>19.15999985</v>
      </c>
    </row>
    <row r="100" ht="15.75" customHeight="1">
      <c r="A100" s="1" t="s">
        <v>164</v>
      </c>
      <c r="B100" s="1" t="s">
        <v>68</v>
      </c>
      <c r="C100" s="5">
        <v>45707.0</v>
      </c>
      <c r="D100" s="1" t="s">
        <v>161</v>
      </c>
      <c r="E100" s="1" t="s">
        <v>11</v>
      </c>
      <c r="F100" s="1" t="s">
        <v>165</v>
      </c>
      <c r="H100" s="1">
        <v>0.0</v>
      </c>
      <c r="I100" s="1">
        <v>0.0</v>
      </c>
      <c r="J100" s="1">
        <v>0.0</v>
      </c>
      <c r="K100" s="1">
        <v>2.0</v>
      </c>
      <c r="L100" s="1">
        <v>2.0</v>
      </c>
      <c r="M100" s="1">
        <v>1.0</v>
      </c>
      <c r="N100" s="1">
        <v>10.11999989</v>
      </c>
    </row>
    <row r="101" ht="15.75" customHeight="1">
      <c r="A101" s="1" t="s">
        <v>164</v>
      </c>
      <c r="B101" s="1" t="s">
        <v>74</v>
      </c>
      <c r="C101" s="5">
        <v>45707.0</v>
      </c>
      <c r="D101" s="1" t="s">
        <v>161</v>
      </c>
      <c r="E101" s="1" t="s">
        <v>11</v>
      </c>
      <c r="F101" s="1" t="s">
        <v>166</v>
      </c>
      <c r="G101" s="1" t="s">
        <v>163</v>
      </c>
      <c r="H101" s="1">
        <v>1.0</v>
      </c>
      <c r="I101" s="1">
        <v>0.0</v>
      </c>
      <c r="J101" s="1">
        <v>0.0</v>
      </c>
      <c r="K101" s="1">
        <v>1.0</v>
      </c>
      <c r="L101" s="1">
        <v>3.0</v>
      </c>
      <c r="M101" s="1">
        <v>0.333333333</v>
      </c>
      <c r="N101" s="1">
        <v>0.0</v>
      </c>
    </row>
    <row r="102" ht="15.75" customHeight="1">
      <c r="A102" s="1" t="s">
        <v>164</v>
      </c>
      <c r="B102" s="1" t="s">
        <v>74</v>
      </c>
      <c r="C102" s="5">
        <v>45707.0</v>
      </c>
      <c r="D102" s="1" t="s">
        <v>161</v>
      </c>
      <c r="E102" s="1" t="s">
        <v>11</v>
      </c>
      <c r="F102" s="1" t="s">
        <v>171</v>
      </c>
      <c r="G102" s="1" t="s">
        <v>163</v>
      </c>
      <c r="H102" s="1">
        <v>1.0</v>
      </c>
      <c r="I102" s="1">
        <v>0.0</v>
      </c>
      <c r="J102" s="1">
        <v>0.0</v>
      </c>
      <c r="K102" s="1">
        <v>11.0</v>
      </c>
      <c r="L102" s="1">
        <v>20.0</v>
      </c>
      <c r="M102" s="1">
        <v>0.55</v>
      </c>
      <c r="N102" s="1">
        <v>34.20000076</v>
      </c>
    </row>
    <row r="103" ht="15.75" customHeight="1">
      <c r="A103" s="1" t="s">
        <v>164</v>
      </c>
      <c r="B103" s="1" t="s">
        <v>75</v>
      </c>
      <c r="C103" s="5">
        <v>45707.0</v>
      </c>
      <c r="D103" s="1" t="s">
        <v>161</v>
      </c>
      <c r="E103" s="1" t="s">
        <v>11</v>
      </c>
      <c r="F103" s="1" t="s">
        <v>165</v>
      </c>
      <c r="G103" s="1" t="s">
        <v>163</v>
      </c>
      <c r="H103" s="1">
        <v>1.0</v>
      </c>
      <c r="I103" s="1">
        <v>0.0</v>
      </c>
      <c r="J103" s="1">
        <v>0.0</v>
      </c>
      <c r="K103" s="1">
        <v>0.0</v>
      </c>
      <c r="L103" s="1">
        <v>2.0</v>
      </c>
      <c r="M103" s="1">
        <v>0.0</v>
      </c>
      <c r="N103" s="1">
        <v>21.57999992</v>
      </c>
    </row>
    <row r="104" ht="15.75" customHeight="1">
      <c r="A104" s="1" t="s">
        <v>160</v>
      </c>
      <c r="B104" s="1" t="s">
        <v>29</v>
      </c>
      <c r="C104" s="5">
        <v>45706.0</v>
      </c>
      <c r="D104" s="1" t="s">
        <v>161</v>
      </c>
      <c r="E104" s="1" t="s">
        <v>11</v>
      </c>
      <c r="F104" s="1" t="s">
        <v>165</v>
      </c>
      <c r="H104" s="1">
        <v>0.0</v>
      </c>
      <c r="I104" s="1">
        <v>1.0</v>
      </c>
      <c r="J104" s="1">
        <v>0.0</v>
      </c>
      <c r="K104" s="1">
        <v>20.0</v>
      </c>
      <c r="L104" s="1">
        <v>25.0</v>
      </c>
      <c r="M104" s="1">
        <v>0.8</v>
      </c>
      <c r="N104" s="1">
        <v>17.59000015</v>
      </c>
    </row>
    <row r="105" ht="15.75" customHeight="1">
      <c r="A105" s="1" t="s">
        <v>160</v>
      </c>
      <c r="B105" s="1" t="s">
        <v>39</v>
      </c>
      <c r="C105" s="5">
        <v>45706.0</v>
      </c>
      <c r="D105" s="1" t="s">
        <v>161</v>
      </c>
      <c r="E105" s="1" t="s">
        <v>11</v>
      </c>
      <c r="F105" s="1" t="s">
        <v>166</v>
      </c>
      <c r="H105" s="1">
        <v>0.0</v>
      </c>
      <c r="I105" s="1">
        <v>0.0</v>
      </c>
      <c r="J105" s="1">
        <v>0.0</v>
      </c>
      <c r="K105" s="1">
        <v>0.0</v>
      </c>
      <c r="L105" s="1">
        <v>0.0</v>
      </c>
      <c r="N105" s="1">
        <v>2.339999914</v>
      </c>
    </row>
    <row r="106" ht="15.75" customHeight="1">
      <c r="A106" s="1" t="s">
        <v>160</v>
      </c>
      <c r="B106" s="1" t="s">
        <v>77</v>
      </c>
      <c r="C106" s="5">
        <v>45706.0</v>
      </c>
      <c r="D106" s="1" t="s">
        <v>161</v>
      </c>
      <c r="E106" s="1" t="s">
        <v>11</v>
      </c>
      <c r="F106" s="1" t="s">
        <v>162</v>
      </c>
      <c r="G106" s="1" t="s">
        <v>163</v>
      </c>
      <c r="H106" s="1">
        <v>1.0</v>
      </c>
      <c r="I106" s="1">
        <v>0.0</v>
      </c>
      <c r="J106" s="1">
        <v>0.0</v>
      </c>
      <c r="K106" s="1">
        <v>2.0</v>
      </c>
      <c r="L106" s="1">
        <v>2.0</v>
      </c>
      <c r="M106" s="1">
        <v>1.0</v>
      </c>
      <c r="N106" s="1">
        <v>4.1199998860000004</v>
      </c>
    </row>
    <row r="107" ht="15.75" customHeight="1">
      <c r="A107" s="1" t="s">
        <v>160</v>
      </c>
      <c r="B107" s="1" t="s">
        <v>90</v>
      </c>
      <c r="C107" s="5">
        <v>45706.0</v>
      </c>
      <c r="D107" s="1" t="s">
        <v>161</v>
      </c>
      <c r="E107" s="1" t="s">
        <v>11</v>
      </c>
      <c r="H107" s="1">
        <v>0.0</v>
      </c>
      <c r="J107" s="1">
        <v>0.0</v>
      </c>
      <c r="N107" s="1">
        <v>4.28000021</v>
      </c>
    </row>
    <row r="108" ht="15.75" customHeight="1">
      <c r="A108" s="1" t="s">
        <v>164</v>
      </c>
      <c r="B108" s="1" t="s">
        <v>60</v>
      </c>
      <c r="C108" s="5">
        <v>45706.0</v>
      </c>
      <c r="D108" s="1" t="s">
        <v>161</v>
      </c>
      <c r="E108" s="1" t="s">
        <v>11</v>
      </c>
      <c r="F108" s="1" t="s">
        <v>166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N108" s="1">
        <v>2.640000105</v>
      </c>
    </row>
    <row r="109" ht="15.75" customHeight="1">
      <c r="A109" s="1" t="s">
        <v>164</v>
      </c>
      <c r="B109" s="1" t="s">
        <v>63</v>
      </c>
      <c r="C109" s="5">
        <v>45706.0</v>
      </c>
      <c r="D109" s="1" t="s">
        <v>161</v>
      </c>
      <c r="E109" s="1" t="s">
        <v>11</v>
      </c>
      <c r="H109" s="1">
        <v>0.0</v>
      </c>
      <c r="J109" s="1">
        <v>0.0</v>
      </c>
      <c r="N109" s="1">
        <v>2.519999981</v>
      </c>
    </row>
    <row r="110" ht="15.75" customHeight="1">
      <c r="A110" s="1" t="s">
        <v>164</v>
      </c>
      <c r="B110" s="1" t="s">
        <v>68</v>
      </c>
      <c r="C110" s="5">
        <v>45706.0</v>
      </c>
      <c r="D110" s="1" t="s">
        <v>161</v>
      </c>
      <c r="E110" s="1" t="s">
        <v>11</v>
      </c>
      <c r="F110" s="1" t="s">
        <v>165</v>
      </c>
      <c r="G110" s="1" t="s">
        <v>163</v>
      </c>
      <c r="H110" s="1">
        <v>1.0</v>
      </c>
      <c r="I110" s="1">
        <v>0.0</v>
      </c>
      <c r="J110" s="1">
        <v>0.0</v>
      </c>
      <c r="K110" s="1">
        <v>1.0</v>
      </c>
      <c r="L110" s="1">
        <v>1.0</v>
      </c>
      <c r="M110" s="1">
        <v>1.0</v>
      </c>
      <c r="N110" s="1">
        <v>0.079999998</v>
      </c>
    </row>
    <row r="111" ht="15.75" customHeight="1">
      <c r="A111" s="1" t="s">
        <v>164</v>
      </c>
      <c r="B111" s="1" t="s">
        <v>74</v>
      </c>
      <c r="C111" s="5">
        <v>45706.0</v>
      </c>
      <c r="D111" s="1" t="s">
        <v>161</v>
      </c>
      <c r="E111" s="1" t="s">
        <v>11</v>
      </c>
      <c r="H111" s="1">
        <v>0.0</v>
      </c>
      <c r="J111" s="1">
        <v>0.0</v>
      </c>
      <c r="N111" s="1">
        <v>2.470000029</v>
      </c>
    </row>
    <row r="112" ht="15.75" customHeight="1">
      <c r="A112" s="1" t="s">
        <v>164</v>
      </c>
      <c r="B112" s="1" t="s">
        <v>75</v>
      </c>
      <c r="C112" s="5">
        <v>45706.0</v>
      </c>
      <c r="D112" s="1" t="s">
        <v>161</v>
      </c>
      <c r="E112" s="1" t="s">
        <v>11</v>
      </c>
      <c r="F112" s="1" t="s">
        <v>165</v>
      </c>
      <c r="G112" s="1" t="s">
        <v>163</v>
      </c>
      <c r="H112" s="1">
        <v>1.0</v>
      </c>
      <c r="I112" s="1">
        <v>1.0</v>
      </c>
      <c r="J112" s="1">
        <v>0.0</v>
      </c>
      <c r="K112" s="1">
        <v>643.0</v>
      </c>
      <c r="L112" s="1">
        <v>664.0</v>
      </c>
      <c r="M112" s="1">
        <v>0.968373494</v>
      </c>
      <c r="N112" s="1">
        <v>93.86000061</v>
      </c>
    </row>
    <row r="113" ht="15.75" customHeight="1">
      <c r="A113" s="1" t="s">
        <v>164</v>
      </c>
      <c r="B113" s="1" t="s">
        <v>100</v>
      </c>
      <c r="C113" s="5">
        <v>45706.0</v>
      </c>
      <c r="D113" s="1" t="s">
        <v>161</v>
      </c>
      <c r="E113" s="1" t="s">
        <v>11</v>
      </c>
      <c r="F113" s="1" t="s">
        <v>171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N113" s="1">
        <v>0.99000001</v>
      </c>
    </row>
    <row r="114" ht="15.75" customHeight="1">
      <c r="A114" s="1" t="s">
        <v>164</v>
      </c>
      <c r="B114" s="1" t="s">
        <v>24</v>
      </c>
      <c r="C114" s="5">
        <v>45705.0</v>
      </c>
      <c r="D114" s="1" t="s">
        <v>161</v>
      </c>
      <c r="E114" s="1" t="s">
        <v>11</v>
      </c>
      <c r="F114" s="1" t="s">
        <v>166</v>
      </c>
      <c r="G114" s="1" t="s">
        <v>163</v>
      </c>
      <c r="H114" s="1">
        <v>1.0</v>
      </c>
      <c r="I114" s="1">
        <v>0.0</v>
      </c>
      <c r="J114" s="1">
        <v>0.0</v>
      </c>
      <c r="K114" s="1">
        <v>1.0</v>
      </c>
      <c r="L114" s="1">
        <v>1.0</v>
      </c>
      <c r="M114" s="1">
        <v>1.0</v>
      </c>
      <c r="N114" s="1">
        <v>3.109999895</v>
      </c>
    </row>
    <row r="115" ht="15.75" customHeight="1">
      <c r="A115" s="1" t="s">
        <v>164</v>
      </c>
      <c r="B115" s="1" t="s">
        <v>52</v>
      </c>
      <c r="C115" s="5">
        <v>45705.0</v>
      </c>
      <c r="D115" s="1" t="s">
        <v>161</v>
      </c>
      <c r="E115" s="1" t="s">
        <v>11</v>
      </c>
      <c r="H115" s="1">
        <v>0.0</v>
      </c>
      <c r="J115" s="1">
        <v>0.0</v>
      </c>
      <c r="N115" s="1">
        <v>0.050000001</v>
      </c>
    </row>
    <row r="116" ht="15.75" customHeight="1">
      <c r="A116" s="1" t="s">
        <v>164</v>
      </c>
      <c r="B116" s="1" t="s">
        <v>68</v>
      </c>
      <c r="C116" s="5">
        <v>45705.0</v>
      </c>
      <c r="D116" s="1" t="s">
        <v>161</v>
      </c>
      <c r="E116" s="1" t="s">
        <v>11</v>
      </c>
      <c r="H116" s="1">
        <v>0.0</v>
      </c>
      <c r="J116" s="1">
        <v>0.0</v>
      </c>
      <c r="N116" s="1">
        <v>0.02</v>
      </c>
    </row>
    <row r="117" ht="15.75" customHeight="1">
      <c r="A117" s="1" t="s">
        <v>164</v>
      </c>
      <c r="B117" s="1" t="s">
        <v>100</v>
      </c>
      <c r="C117" s="5">
        <v>45705.0</v>
      </c>
      <c r="D117" s="1" t="s">
        <v>161</v>
      </c>
      <c r="E117" s="1" t="s">
        <v>11</v>
      </c>
      <c r="F117" s="1" t="s">
        <v>171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N117" s="1">
        <v>0.170000002</v>
      </c>
    </row>
    <row r="118" ht="15.75" customHeight="1">
      <c r="A118" s="1" t="s">
        <v>164</v>
      </c>
      <c r="B118" s="1" t="s">
        <v>82</v>
      </c>
      <c r="C118" s="5">
        <v>45705.0</v>
      </c>
      <c r="D118" s="1" t="s">
        <v>161</v>
      </c>
      <c r="E118" s="1" t="s">
        <v>11</v>
      </c>
      <c r="F118" s="1" t="s">
        <v>166</v>
      </c>
      <c r="G118" s="1" t="s">
        <v>163</v>
      </c>
      <c r="H118" s="1">
        <v>1.0</v>
      </c>
      <c r="I118" s="1">
        <v>0.0</v>
      </c>
      <c r="J118" s="1">
        <v>0.0</v>
      </c>
      <c r="K118" s="1">
        <v>2.0</v>
      </c>
      <c r="L118" s="1">
        <v>6.0</v>
      </c>
      <c r="M118" s="1">
        <v>0.333333333</v>
      </c>
      <c r="N118" s="1">
        <v>5.8800001139999996</v>
      </c>
    </row>
    <row r="119" ht="15.75" customHeight="1">
      <c r="A119" s="1" t="s">
        <v>160</v>
      </c>
      <c r="B119" s="1" t="s">
        <v>46</v>
      </c>
      <c r="C119" s="5">
        <v>45703.0</v>
      </c>
      <c r="D119" s="1" t="s">
        <v>161</v>
      </c>
      <c r="E119" s="1" t="s">
        <v>11</v>
      </c>
      <c r="F119" s="1" t="s">
        <v>162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N119" s="1">
        <v>0.860000014</v>
      </c>
    </row>
    <row r="120" ht="15.75" customHeight="1">
      <c r="A120" s="1" t="s">
        <v>160</v>
      </c>
      <c r="B120" s="1" t="s">
        <v>109</v>
      </c>
      <c r="C120" s="5">
        <v>45703.0</v>
      </c>
      <c r="D120" s="1" t="s">
        <v>161</v>
      </c>
      <c r="E120" s="1" t="s">
        <v>11</v>
      </c>
      <c r="F120" s="1" t="s">
        <v>162</v>
      </c>
      <c r="H120" s="1">
        <v>0.0</v>
      </c>
      <c r="I120" s="1">
        <v>0.0</v>
      </c>
      <c r="J120" s="1">
        <v>0.0</v>
      </c>
      <c r="K120" s="1">
        <v>3.0</v>
      </c>
      <c r="L120" s="1">
        <v>5.0</v>
      </c>
      <c r="M120" s="1">
        <v>0.6</v>
      </c>
      <c r="N120" s="1">
        <v>14.97000027</v>
      </c>
    </row>
    <row r="121" ht="15.75" customHeight="1">
      <c r="A121" s="1" t="s">
        <v>164</v>
      </c>
      <c r="B121" s="1" t="s">
        <v>183</v>
      </c>
      <c r="C121" s="5">
        <v>45703.0</v>
      </c>
      <c r="D121" s="1" t="s">
        <v>161</v>
      </c>
      <c r="E121" s="1" t="s">
        <v>11</v>
      </c>
      <c r="F121" s="1" t="s">
        <v>166</v>
      </c>
      <c r="G121" s="1" t="s">
        <v>163</v>
      </c>
      <c r="H121" s="1">
        <v>1.0</v>
      </c>
      <c r="I121" s="1">
        <v>0.0</v>
      </c>
      <c r="J121" s="1">
        <v>0.0</v>
      </c>
      <c r="K121" s="1">
        <v>3.0</v>
      </c>
      <c r="L121" s="1">
        <v>7.0</v>
      </c>
      <c r="M121" s="1">
        <v>0.428571429</v>
      </c>
      <c r="N121" s="1">
        <v>5.570000172</v>
      </c>
    </row>
    <row r="122" ht="15.75" customHeight="1">
      <c r="A122" s="1" t="s">
        <v>160</v>
      </c>
      <c r="B122" s="1" t="s">
        <v>20</v>
      </c>
      <c r="C122" s="5">
        <v>45702.0</v>
      </c>
      <c r="D122" s="1" t="s">
        <v>161</v>
      </c>
      <c r="E122" s="1" t="s">
        <v>11</v>
      </c>
      <c r="H122" s="1">
        <v>0.0</v>
      </c>
      <c r="J122" s="1">
        <v>0.0</v>
      </c>
      <c r="N122" s="1">
        <v>0.25</v>
      </c>
    </row>
    <row r="123" ht="15.75" customHeight="1">
      <c r="A123" s="1" t="s">
        <v>160</v>
      </c>
      <c r="B123" s="1" t="s">
        <v>53</v>
      </c>
      <c r="C123" s="5">
        <v>45702.0</v>
      </c>
      <c r="D123" s="1" t="s">
        <v>161</v>
      </c>
      <c r="E123" s="1" t="s">
        <v>11</v>
      </c>
      <c r="F123" s="1" t="s">
        <v>165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N123" s="1">
        <v>1.25</v>
      </c>
    </row>
    <row r="124" ht="15.75" customHeight="1">
      <c r="A124" s="1" t="s">
        <v>160</v>
      </c>
      <c r="B124" s="1" t="s">
        <v>186</v>
      </c>
      <c r="C124" s="5">
        <v>45702.0</v>
      </c>
      <c r="D124" s="1" t="s">
        <v>161</v>
      </c>
      <c r="E124" s="1" t="s">
        <v>11</v>
      </c>
      <c r="F124" s="1" t="s">
        <v>162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N124" s="1">
        <v>0.0</v>
      </c>
    </row>
    <row r="125" ht="15.75" customHeight="1">
      <c r="A125" s="1" t="s">
        <v>160</v>
      </c>
      <c r="B125" s="1" t="s">
        <v>186</v>
      </c>
      <c r="C125" s="5">
        <v>45702.0</v>
      </c>
      <c r="D125" s="1" t="s">
        <v>161</v>
      </c>
      <c r="E125" s="1" t="s">
        <v>11</v>
      </c>
      <c r="F125" s="1" t="s">
        <v>166</v>
      </c>
      <c r="H125" s="1">
        <v>0.0</v>
      </c>
      <c r="I125" s="1">
        <v>1.0</v>
      </c>
      <c r="J125" s="1">
        <v>0.0</v>
      </c>
      <c r="K125" s="1">
        <v>13.0</v>
      </c>
      <c r="L125" s="1">
        <v>18.0</v>
      </c>
      <c r="M125" s="1">
        <v>0.722222222</v>
      </c>
      <c r="N125" s="1">
        <v>77.41999817</v>
      </c>
    </row>
    <row r="126" ht="15.75" customHeight="1">
      <c r="A126" s="1" t="s">
        <v>160</v>
      </c>
      <c r="B126" s="1" t="s">
        <v>109</v>
      </c>
      <c r="C126" s="5">
        <v>45702.0</v>
      </c>
      <c r="D126" s="1" t="s">
        <v>161</v>
      </c>
      <c r="E126" s="1" t="s">
        <v>11</v>
      </c>
      <c r="F126" s="1" t="s">
        <v>162</v>
      </c>
      <c r="H126" s="1">
        <v>0.0</v>
      </c>
      <c r="I126" s="1">
        <v>0.0</v>
      </c>
      <c r="J126" s="1">
        <v>0.0</v>
      </c>
      <c r="K126" s="1">
        <v>1.0</v>
      </c>
      <c r="L126" s="1">
        <v>5.0</v>
      </c>
      <c r="M126" s="1">
        <v>0.2</v>
      </c>
      <c r="N126" s="1">
        <v>23.04999924</v>
      </c>
    </row>
    <row r="127" ht="15.75" customHeight="1">
      <c r="A127" s="1" t="s">
        <v>164</v>
      </c>
      <c r="B127" s="1" t="s">
        <v>62</v>
      </c>
      <c r="C127" s="5">
        <v>45702.0</v>
      </c>
      <c r="D127" s="1" t="s">
        <v>161</v>
      </c>
      <c r="E127" s="1" t="s">
        <v>11</v>
      </c>
      <c r="H127" s="1">
        <v>0.0</v>
      </c>
      <c r="J127" s="1">
        <v>0.0</v>
      </c>
      <c r="N127" s="1">
        <v>0.230000004</v>
      </c>
    </row>
    <row r="128" ht="15.75" customHeight="1">
      <c r="A128" s="1" t="s">
        <v>164</v>
      </c>
      <c r="B128" s="1" t="s">
        <v>187</v>
      </c>
      <c r="C128" s="5">
        <v>45702.0</v>
      </c>
      <c r="D128" s="1" t="s">
        <v>161</v>
      </c>
      <c r="E128" s="1" t="s">
        <v>11</v>
      </c>
      <c r="H128" s="1">
        <v>0.0</v>
      </c>
      <c r="J128" s="1">
        <v>0.0</v>
      </c>
      <c r="N128" s="1">
        <v>1.440000057</v>
      </c>
    </row>
    <row r="129" ht="15.75" customHeight="1">
      <c r="A129" s="1" t="s">
        <v>164</v>
      </c>
      <c r="B129" s="1" t="s">
        <v>60</v>
      </c>
      <c r="C129" s="5">
        <v>45702.0</v>
      </c>
      <c r="D129" s="1" t="s">
        <v>161</v>
      </c>
      <c r="E129" s="1" t="s">
        <v>11</v>
      </c>
      <c r="F129" s="1" t="s">
        <v>166</v>
      </c>
      <c r="H129" s="1">
        <v>0.0</v>
      </c>
      <c r="I129" s="1">
        <v>0.0</v>
      </c>
      <c r="J129" s="1">
        <v>0.0</v>
      </c>
      <c r="K129" s="1">
        <v>1.0</v>
      </c>
      <c r="L129" s="1">
        <v>4.0</v>
      </c>
      <c r="M129" s="1">
        <v>0.25</v>
      </c>
      <c r="N129" s="1">
        <v>9.300000191</v>
      </c>
    </row>
    <row r="130" ht="15.75" customHeight="1">
      <c r="A130" s="1" t="s">
        <v>164</v>
      </c>
      <c r="B130" s="1" t="s">
        <v>63</v>
      </c>
      <c r="C130" s="5">
        <v>45702.0</v>
      </c>
      <c r="D130" s="1" t="s">
        <v>161</v>
      </c>
      <c r="E130" s="1" t="s">
        <v>11</v>
      </c>
      <c r="F130" s="1" t="s">
        <v>166</v>
      </c>
      <c r="H130" s="1">
        <v>0.0</v>
      </c>
      <c r="I130" s="1">
        <v>0.0</v>
      </c>
      <c r="J130" s="1">
        <v>0.0</v>
      </c>
      <c r="K130" s="1">
        <v>2.0</v>
      </c>
      <c r="L130" s="1">
        <v>4.0</v>
      </c>
      <c r="M130" s="1">
        <v>0.5</v>
      </c>
      <c r="N130" s="1">
        <v>4.659999847</v>
      </c>
    </row>
    <row r="131" ht="15.75" customHeight="1">
      <c r="A131" s="1" t="s">
        <v>164</v>
      </c>
      <c r="B131" s="1" t="s">
        <v>68</v>
      </c>
      <c r="C131" s="5">
        <v>45702.0</v>
      </c>
      <c r="D131" s="1" t="s">
        <v>161</v>
      </c>
      <c r="E131" s="1" t="s">
        <v>11</v>
      </c>
      <c r="F131" s="1" t="s">
        <v>165</v>
      </c>
      <c r="G131" s="1" t="s">
        <v>163</v>
      </c>
      <c r="H131" s="1">
        <v>1.0</v>
      </c>
      <c r="I131" s="1">
        <v>0.0</v>
      </c>
      <c r="J131" s="1">
        <v>0.0</v>
      </c>
      <c r="K131" s="1">
        <v>3.0</v>
      </c>
      <c r="L131" s="1">
        <v>6.0</v>
      </c>
      <c r="M131" s="1">
        <v>0.5</v>
      </c>
      <c r="N131" s="1">
        <v>8.340000153</v>
      </c>
    </row>
    <row r="132" ht="15.75" customHeight="1">
      <c r="A132" s="1" t="s">
        <v>164</v>
      </c>
      <c r="B132" s="1" t="s">
        <v>75</v>
      </c>
      <c r="C132" s="5">
        <v>45702.0</v>
      </c>
      <c r="D132" s="1" t="s">
        <v>161</v>
      </c>
      <c r="E132" s="1" t="s">
        <v>11</v>
      </c>
      <c r="F132" s="1" t="s">
        <v>165</v>
      </c>
      <c r="H132" s="1">
        <v>0.0</v>
      </c>
      <c r="I132" s="1">
        <v>0.0</v>
      </c>
      <c r="J132" s="1">
        <v>0.0</v>
      </c>
      <c r="K132" s="1">
        <v>0.0</v>
      </c>
      <c r="L132" s="1">
        <v>2.0</v>
      </c>
      <c r="M132" s="1">
        <v>0.0</v>
      </c>
      <c r="N132" s="1">
        <v>11.67000008</v>
      </c>
    </row>
    <row r="133" ht="15.75" customHeight="1">
      <c r="A133" s="1" t="s">
        <v>164</v>
      </c>
      <c r="B133" s="1" t="s">
        <v>100</v>
      </c>
      <c r="C133" s="5">
        <v>45702.0</v>
      </c>
      <c r="D133" s="1" t="s">
        <v>161</v>
      </c>
      <c r="E133" s="1" t="s">
        <v>11</v>
      </c>
      <c r="F133" s="1" t="s">
        <v>171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N133" s="1">
        <v>0.349999994</v>
      </c>
    </row>
    <row r="134" ht="15.75" customHeight="1">
      <c r="A134" s="1" t="s">
        <v>160</v>
      </c>
      <c r="B134" s="1" t="s">
        <v>39</v>
      </c>
      <c r="C134" s="5">
        <v>45701.0</v>
      </c>
      <c r="D134" s="1" t="s">
        <v>161</v>
      </c>
      <c r="E134" s="1" t="s">
        <v>11</v>
      </c>
      <c r="F134" s="1" t="s">
        <v>162</v>
      </c>
      <c r="H134" s="1">
        <v>0.0</v>
      </c>
      <c r="I134" s="1">
        <v>0.0</v>
      </c>
      <c r="J134" s="1">
        <v>0.0</v>
      </c>
      <c r="K134" s="1">
        <v>2.0</v>
      </c>
      <c r="L134" s="1">
        <v>6.0</v>
      </c>
      <c r="M134" s="1">
        <v>0.333333333</v>
      </c>
      <c r="N134" s="1">
        <v>9.600000381</v>
      </c>
    </row>
    <row r="135" ht="15.75" customHeight="1">
      <c r="A135" s="1" t="s">
        <v>160</v>
      </c>
      <c r="B135" s="1" t="s">
        <v>39</v>
      </c>
      <c r="C135" s="5">
        <v>45701.0</v>
      </c>
      <c r="D135" s="1" t="s">
        <v>161</v>
      </c>
      <c r="E135" s="1" t="s">
        <v>11</v>
      </c>
      <c r="F135" s="1" t="s">
        <v>166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N135" s="1">
        <v>0.0</v>
      </c>
    </row>
    <row r="136" ht="15.75" customHeight="1">
      <c r="A136" s="1" t="s">
        <v>160</v>
      </c>
      <c r="B136" s="1" t="s">
        <v>53</v>
      </c>
      <c r="C136" s="5">
        <v>45701.0</v>
      </c>
      <c r="D136" s="1" t="s">
        <v>161</v>
      </c>
      <c r="E136" s="1" t="s">
        <v>11</v>
      </c>
      <c r="F136" s="1" t="s">
        <v>165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N136" s="1">
        <v>0.980000019</v>
      </c>
    </row>
    <row r="137" ht="15.75" customHeight="1">
      <c r="A137" s="1" t="s">
        <v>160</v>
      </c>
      <c r="B137" s="1" t="s">
        <v>90</v>
      </c>
      <c r="C137" s="5">
        <v>45701.0</v>
      </c>
      <c r="D137" s="1" t="s">
        <v>161</v>
      </c>
      <c r="E137" s="1" t="s">
        <v>11</v>
      </c>
      <c r="F137" s="1" t="s">
        <v>165</v>
      </c>
      <c r="H137" s="1">
        <v>0.0</v>
      </c>
      <c r="I137" s="1">
        <v>0.0</v>
      </c>
      <c r="J137" s="1">
        <v>0.0</v>
      </c>
      <c r="K137" s="1">
        <v>5.0</v>
      </c>
      <c r="L137" s="1">
        <v>12.0</v>
      </c>
      <c r="M137" s="1">
        <v>0.416666667</v>
      </c>
      <c r="N137" s="1">
        <v>9.920000076</v>
      </c>
    </row>
    <row r="138" ht="15.75" customHeight="1">
      <c r="A138" s="1" t="s">
        <v>160</v>
      </c>
      <c r="B138" s="1" t="s">
        <v>109</v>
      </c>
      <c r="C138" s="5">
        <v>45701.0</v>
      </c>
      <c r="D138" s="1" t="s">
        <v>161</v>
      </c>
      <c r="E138" s="1" t="s">
        <v>11</v>
      </c>
      <c r="F138" s="1" t="s">
        <v>162</v>
      </c>
      <c r="H138" s="1">
        <v>0.0</v>
      </c>
      <c r="I138" s="1">
        <v>1.0</v>
      </c>
      <c r="J138" s="1">
        <v>0.0</v>
      </c>
      <c r="K138" s="1">
        <v>34.0</v>
      </c>
      <c r="L138" s="1">
        <v>62.0</v>
      </c>
      <c r="M138" s="1">
        <v>0.548387097</v>
      </c>
      <c r="N138" s="1">
        <v>84.26999664</v>
      </c>
    </row>
    <row r="139" ht="15.75" customHeight="1">
      <c r="A139" s="1" t="s">
        <v>164</v>
      </c>
      <c r="B139" s="1" t="s">
        <v>52</v>
      </c>
      <c r="C139" s="5">
        <v>45701.0</v>
      </c>
      <c r="D139" s="1" t="s">
        <v>161</v>
      </c>
      <c r="E139" s="1" t="s">
        <v>11</v>
      </c>
      <c r="F139" s="1" t="s">
        <v>165</v>
      </c>
      <c r="G139" s="1" t="s">
        <v>163</v>
      </c>
      <c r="H139" s="1">
        <v>1.0</v>
      </c>
      <c r="I139" s="1">
        <v>0.0</v>
      </c>
      <c r="J139" s="1">
        <v>0.0</v>
      </c>
      <c r="K139" s="1">
        <v>0.0</v>
      </c>
      <c r="L139" s="1">
        <v>1.0</v>
      </c>
      <c r="M139" s="1">
        <v>0.0</v>
      </c>
      <c r="N139" s="1">
        <v>5.329999924</v>
      </c>
    </row>
    <row r="140" ht="15.75" customHeight="1">
      <c r="A140" s="1" t="s">
        <v>164</v>
      </c>
      <c r="B140" s="1" t="s">
        <v>62</v>
      </c>
      <c r="C140" s="5">
        <v>45701.0</v>
      </c>
      <c r="D140" s="1" t="s">
        <v>161</v>
      </c>
      <c r="E140" s="1" t="s">
        <v>11</v>
      </c>
      <c r="F140" s="1" t="s">
        <v>166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N140" s="1">
        <v>0.589999974</v>
      </c>
    </row>
    <row r="141" ht="15.75" customHeight="1">
      <c r="A141" s="1" t="s">
        <v>164</v>
      </c>
      <c r="B141" s="1" t="s">
        <v>64</v>
      </c>
      <c r="C141" s="5">
        <v>45701.0</v>
      </c>
      <c r="D141" s="1" t="s">
        <v>161</v>
      </c>
      <c r="E141" s="1" t="s">
        <v>11</v>
      </c>
      <c r="F141" s="1" t="s">
        <v>166</v>
      </c>
      <c r="G141" s="1" t="s">
        <v>163</v>
      </c>
      <c r="H141" s="1">
        <v>1.0</v>
      </c>
      <c r="I141" s="1">
        <v>0.0</v>
      </c>
      <c r="J141" s="1">
        <v>0.0</v>
      </c>
      <c r="K141" s="1">
        <v>1.0</v>
      </c>
      <c r="L141" s="1">
        <v>2.0</v>
      </c>
      <c r="M141" s="1">
        <v>0.5</v>
      </c>
      <c r="N141" s="1">
        <v>3.200000048</v>
      </c>
    </row>
    <row r="142" ht="15.75" customHeight="1">
      <c r="A142" s="1" t="s">
        <v>164</v>
      </c>
      <c r="B142" s="1" t="s">
        <v>70</v>
      </c>
      <c r="C142" s="5">
        <v>45701.0</v>
      </c>
      <c r="D142" s="1" t="s">
        <v>161</v>
      </c>
      <c r="E142" s="1" t="s">
        <v>11</v>
      </c>
      <c r="H142" s="1">
        <v>0.0</v>
      </c>
      <c r="J142" s="1">
        <v>0.0</v>
      </c>
      <c r="N142" s="1">
        <v>0.479999989</v>
      </c>
    </row>
    <row r="143" ht="15.75" customHeight="1">
      <c r="A143" s="1" t="s">
        <v>164</v>
      </c>
      <c r="B143" s="1" t="s">
        <v>63</v>
      </c>
      <c r="C143" s="5">
        <v>45701.0</v>
      </c>
      <c r="D143" s="1" t="s">
        <v>161</v>
      </c>
      <c r="E143" s="1" t="s">
        <v>11</v>
      </c>
      <c r="F143" s="1" t="s">
        <v>166</v>
      </c>
      <c r="H143" s="1">
        <v>0.0</v>
      </c>
      <c r="I143" s="1">
        <v>0.0</v>
      </c>
      <c r="J143" s="1">
        <v>0.0</v>
      </c>
      <c r="K143" s="1">
        <v>2.0</v>
      </c>
      <c r="L143" s="1">
        <v>16.0</v>
      </c>
      <c r="M143" s="1">
        <v>0.125</v>
      </c>
      <c r="N143" s="1">
        <v>14.02999973</v>
      </c>
    </row>
    <row r="144" ht="15.75" customHeight="1">
      <c r="A144" s="1" t="s">
        <v>164</v>
      </c>
      <c r="B144" s="1" t="s">
        <v>68</v>
      </c>
      <c r="C144" s="5">
        <v>45701.0</v>
      </c>
      <c r="D144" s="1" t="s">
        <v>161</v>
      </c>
      <c r="E144" s="1" t="s">
        <v>11</v>
      </c>
      <c r="F144" s="1" t="s">
        <v>165</v>
      </c>
      <c r="G144" s="1" t="s">
        <v>163</v>
      </c>
      <c r="H144" s="1">
        <v>1.0</v>
      </c>
      <c r="I144" s="1">
        <v>0.0</v>
      </c>
      <c r="J144" s="1">
        <v>0.0</v>
      </c>
      <c r="K144" s="1">
        <v>1.0</v>
      </c>
      <c r="L144" s="1">
        <v>3.0</v>
      </c>
      <c r="M144" s="1">
        <v>0.333333333</v>
      </c>
      <c r="N144" s="1">
        <v>7.789999962</v>
      </c>
    </row>
    <row r="145" ht="15.75" customHeight="1">
      <c r="A145" s="1" t="s">
        <v>164</v>
      </c>
      <c r="B145" s="1" t="s">
        <v>188</v>
      </c>
      <c r="C145" s="5">
        <v>45701.0</v>
      </c>
      <c r="D145" s="1" t="s">
        <v>161</v>
      </c>
      <c r="E145" s="1" t="s">
        <v>11</v>
      </c>
      <c r="F145" s="1" t="s">
        <v>162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N145" s="1">
        <v>0.689999998</v>
      </c>
    </row>
    <row r="146" ht="15.75" customHeight="1">
      <c r="A146" s="1" t="s">
        <v>164</v>
      </c>
      <c r="B146" s="1" t="s">
        <v>74</v>
      </c>
      <c r="C146" s="5">
        <v>45701.0</v>
      </c>
      <c r="D146" s="1" t="s">
        <v>161</v>
      </c>
      <c r="E146" s="1" t="s">
        <v>11</v>
      </c>
      <c r="F146" s="1" t="s">
        <v>166</v>
      </c>
      <c r="G146" s="1" t="s">
        <v>163</v>
      </c>
      <c r="H146" s="1">
        <v>1.0</v>
      </c>
      <c r="I146" s="1">
        <v>0.0</v>
      </c>
      <c r="J146" s="1">
        <v>0.0</v>
      </c>
      <c r="K146" s="1">
        <v>5.0</v>
      </c>
      <c r="L146" s="1">
        <v>10.0</v>
      </c>
      <c r="M146" s="1">
        <v>0.5</v>
      </c>
      <c r="N146" s="1">
        <v>10.14000034</v>
      </c>
    </row>
    <row r="147" ht="15.75" customHeight="1">
      <c r="A147" s="1" t="s">
        <v>164</v>
      </c>
      <c r="B147" s="1" t="s">
        <v>74</v>
      </c>
      <c r="C147" s="5">
        <v>45701.0</v>
      </c>
      <c r="D147" s="1" t="s">
        <v>161</v>
      </c>
      <c r="E147" s="1" t="s">
        <v>11</v>
      </c>
      <c r="F147" s="1" t="s">
        <v>171</v>
      </c>
      <c r="G147" s="1" t="s">
        <v>163</v>
      </c>
      <c r="H147" s="1">
        <v>1.0</v>
      </c>
      <c r="I147" s="1">
        <v>0.0</v>
      </c>
      <c r="J147" s="1">
        <v>0.0</v>
      </c>
      <c r="K147" s="1">
        <v>3.0</v>
      </c>
      <c r="L147" s="1">
        <v>5.0</v>
      </c>
      <c r="M147" s="1">
        <v>0.6</v>
      </c>
      <c r="N147" s="1">
        <v>0.0</v>
      </c>
    </row>
    <row r="148" ht="15.75" customHeight="1">
      <c r="A148" s="1" t="s">
        <v>164</v>
      </c>
      <c r="B148" s="1" t="s">
        <v>75</v>
      </c>
      <c r="C148" s="5">
        <v>45701.0</v>
      </c>
      <c r="D148" s="1" t="s">
        <v>161</v>
      </c>
      <c r="E148" s="1" t="s">
        <v>11</v>
      </c>
      <c r="F148" s="1" t="s">
        <v>165</v>
      </c>
      <c r="H148" s="1">
        <v>0.0</v>
      </c>
      <c r="I148" s="1">
        <v>0.0</v>
      </c>
      <c r="J148" s="1">
        <v>0.0</v>
      </c>
      <c r="K148" s="1">
        <v>1.0</v>
      </c>
      <c r="L148" s="1">
        <v>6.0</v>
      </c>
      <c r="M148" s="1">
        <v>0.166666667</v>
      </c>
      <c r="N148" s="1">
        <v>12.93000031</v>
      </c>
    </row>
    <row r="149" ht="15.75" customHeight="1">
      <c r="A149" s="1" t="s">
        <v>160</v>
      </c>
      <c r="B149" s="1" t="s">
        <v>189</v>
      </c>
      <c r="C149" s="5">
        <v>45700.0</v>
      </c>
      <c r="D149" s="1" t="s">
        <v>161</v>
      </c>
      <c r="E149" s="1" t="s">
        <v>11</v>
      </c>
      <c r="F149" s="1" t="s">
        <v>162</v>
      </c>
      <c r="G149" s="1" t="s">
        <v>163</v>
      </c>
      <c r="H149" s="1">
        <v>1.0</v>
      </c>
      <c r="I149" s="1">
        <v>0.0</v>
      </c>
      <c r="J149" s="1">
        <v>0.0</v>
      </c>
      <c r="K149" s="1">
        <v>0.0</v>
      </c>
      <c r="L149" s="1">
        <v>1.0</v>
      </c>
      <c r="M149" s="1">
        <v>0.0</v>
      </c>
      <c r="N149" s="1">
        <v>1.360000014</v>
      </c>
    </row>
    <row r="150" ht="15.75" customHeight="1">
      <c r="A150" s="1" t="s">
        <v>160</v>
      </c>
      <c r="B150" s="1" t="s">
        <v>18</v>
      </c>
      <c r="C150" s="5">
        <v>45700.0</v>
      </c>
      <c r="D150" s="1" t="s">
        <v>161</v>
      </c>
      <c r="E150" s="1" t="s">
        <v>11</v>
      </c>
      <c r="F150" s="1" t="s">
        <v>162</v>
      </c>
      <c r="G150" s="1" t="s">
        <v>163</v>
      </c>
      <c r="H150" s="1">
        <v>1.0</v>
      </c>
      <c r="I150" s="1">
        <v>0.0</v>
      </c>
      <c r="J150" s="1">
        <v>0.0</v>
      </c>
      <c r="K150" s="1">
        <v>1.0</v>
      </c>
      <c r="L150" s="1">
        <v>3.0</v>
      </c>
      <c r="M150" s="1">
        <v>0.333333333</v>
      </c>
      <c r="N150" s="1">
        <v>2.0599999430000002</v>
      </c>
    </row>
    <row r="151" ht="15.75" customHeight="1">
      <c r="A151" s="1" t="s">
        <v>160</v>
      </c>
      <c r="B151" s="1" t="s">
        <v>94</v>
      </c>
      <c r="C151" s="5">
        <v>45700.0</v>
      </c>
      <c r="D151" s="1" t="s">
        <v>161</v>
      </c>
      <c r="E151" s="1" t="s">
        <v>190</v>
      </c>
      <c r="H151" s="1">
        <v>0.0</v>
      </c>
      <c r="J151" s="1">
        <v>0.0</v>
      </c>
      <c r="N151" s="1">
        <v>1.480000019</v>
      </c>
    </row>
    <row r="152" ht="15.75" customHeight="1">
      <c r="A152" s="1" t="s">
        <v>160</v>
      </c>
      <c r="B152" s="1" t="s">
        <v>109</v>
      </c>
      <c r="C152" s="5">
        <v>45700.0</v>
      </c>
      <c r="D152" s="1" t="s">
        <v>161</v>
      </c>
      <c r="E152" s="1" t="s">
        <v>11</v>
      </c>
      <c r="F152" s="1" t="s">
        <v>162</v>
      </c>
      <c r="H152" s="1">
        <v>0.0</v>
      </c>
      <c r="I152" s="1">
        <v>1.0</v>
      </c>
      <c r="J152" s="1">
        <v>0.0</v>
      </c>
      <c r="K152" s="1">
        <v>6.0</v>
      </c>
      <c r="L152" s="1">
        <v>6.0</v>
      </c>
      <c r="M152" s="1">
        <v>1.0</v>
      </c>
      <c r="N152" s="1">
        <v>7.570000172</v>
      </c>
    </row>
    <row r="153" ht="15.75" customHeight="1">
      <c r="A153" s="1" t="s">
        <v>164</v>
      </c>
      <c r="B153" s="1" t="s">
        <v>49</v>
      </c>
      <c r="C153" s="5">
        <v>45700.0</v>
      </c>
      <c r="D153" s="1" t="s">
        <v>161</v>
      </c>
      <c r="E153" s="1" t="s">
        <v>11</v>
      </c>
      <c r="F153" s="1" t="s">
        <v>162</v>
      </c>
      <c r="G153" s="1" t="s">
        <v>163</v>
      </c>
      <c r="H153" s="1">
        <v>1.0</v>
      </c>
      <c r="I153" s="1">
        <v>0.0</v>
      </c>
      <c r="J153" s="1">
        <v>0.0</v>
      </c>
      <c r="K153" s="1">
        <v>5.0</v>
      </c>
      <c r="L153" s="1">
        <v>9.0</v>
      </c>
      <c r="M153" s="1">
        <v>0.555555556</v>
      </c>
      <c r="N153" s="1">
        <v>7.5</v>
      </c>
    </row>
    <row r="154" ht="15.75" customHeight="1">
      <c r="A154" s="1" t="s">
        <v>164</v>
      </c>
      <c r="B154" s="1" t="s">
        <v>64</v>
      </c>
      <c r="C154" s="5">
        <v>45700.0</v>
      </c>
      <c r="D154" s="1" t="s">
        <v>161</v>
      </c>
      <c r="E154" s="1" t="s">
        <v>11</v>
      </c>
      <c r="F154" s="1" t="s">
        <v>166</v>
      </c>
      <c r="G154" s="1" t="s">
        <v>163</v>
      </c>
      <c r="H154" s="1">
        <v>1.0</v>
      </c>
      <c r="I154" s="1">
        <v>0.0</v>
      </c>
      <c r="J154" s="1">
        <v>0.0</v>
      </c>
      <c r="K154" s="1">
        <v>2.0</v>
      </c>
      <c r="L154" s="1">
        <v>5.0</v>
      </c>
      <c r="M154" s="1">
        <v>0.4</v>
      </c>
      <c r="N154" s="1">
        <v>9.109999657</v>
      </c>
    </row>
    <row r="155" ht="15.75" customHeight="1">
      <c r="A155" s="1" t="s">
        <v>164</v>
      </c>
      <c r="B155" s="1" t="s">
        <v>75</v>
      </c>
      <c r="C155" s="5">
        <v>45700.0</v>
      </c>
      <c r="D155" s="1" t="s">
        <v>161</v>
      </c>
      <c r="E155" s="1" t="s">
        <v>11</v>
      </c>
      <c r="H155" s="1">
        <v>0.0</v>
      </c>
      <c r="J155" s="1">
        <v>0.0</v>
      </c>
      <c r="N155" s="1">
        <v>0.02</v>
      </c>
    </row>
    <row r="156" ht="15.75" customHeight="1">
      <c r="A156" s="1" t="s">
        <v>164</v>
      </c>
      <c r="B156" s="1" t="s">
        <v>100</v>
      </c>
      <c r="C156" s="5">
        <v>45700.0</v>
      </c>
      <c r="D156" s="1" t="s">
        <v>161</v>
      </c>
      <c r="E156" s="1" t="s">
        <v>11</v>
      </c>
      <c r="F156" s="1" t="s">
        <v>171</v>
      </c>
      <c r="G156" s="1" t="s">
        <v>163</v>
      </c>
      <c r="H156" s="1">
        <v>1.0</v>
      </c>
      <c r="I156" s="1">
        <v>0.0</v>
      </c>
      <c r="J156" s="1">
        <v>0.0</v>
      </c>
      <c r="K156" s="1">
        <v>3.0</v>
      </c>
      <c r="L156" s="1">
        <v>9.0</v>
      </c>
      <c r="M156" s="1">
        <v>0.333333333</v>
      </c>
      <c r="N156" s="1">
        <v>8.659999847</v>
      </c>
    </row>
    <row r="157" ht="15.75" customHeight="1">
      <c r="A157" s="1" t="s">
        <v>164</v>
      </c>
      <c r="B157" s="1" t="s">
        <v>82</v>
      </c>
      <c r="C157" s="5">
        <v>45700.0</v>
      </c>
      <c r="D157" s="1" t="s">
        <v>161</v>
      </c>
      <c r="E157" s="1" t="s">
        <v>11</v>
      </c>
      <c r="F157" s="1" t="s">
        <v>176</v>
      </c>
      <c r="G157" s="1" t="s">
        <v>163</v>
      </c>
      <c r="H157" s="1">
        <v>1.0</v>
      </c>
      <c r="I157" s="1">
        <v>0.0</v>
      </c>
      <c r="J157" s="1">
        <v>0.0</v>
      </c>
      <c r="K157" s="1">
        <v>0.0</v>
      </c>
      <c r="L157" s="1">
        <v>0.0</v>
      </c>
      <c r="N157" s="1">
        <v>0.0</v>
      </c>
    </row>
    <row r="158" ht="15.75" customHeight="1">
      <c r="A158" s="1" t="s">
        <v>164</v>
      </c>
      <c r="B158" s="1" t="s">
        <v>82</v>
      </c>
      <c r="C158" s="5">
        <v>45700.0</v>
      </c>
      <c r="D158" s="1" t="s">
        <v>161</v>
      </c>
      <c r="E158" s="1" t="s">
        <v>11</v>
      </c>
      <c r="F158" s="1" t="s">
        <v>173</v>
      </c>
      <c r="G158" s="1" t="s">
        <v>163</v>
      </c>
      <c r="H158" s="1">
        <v>1.0</v>
      </c>
      <c r="I158" s="1">
        <v>0.0</v>
      </c>
      <c r="J158" s="1">
        <v>0.0</v>
      </c>
      <c r="K158" s="1">
        <v>2.0</v>
      </c>
      <c r="L158" s="1">
        <v>5.0</v>
      </c>
      <c r="M158" s="1">
        <v>0.4</v>
      </c>
      <c r="N158" s="1">
        <v>12.09000015</v>
      </c>
    </row>
    <row r="159" ht="15.75" customHeight="1">
      <c r="A159" s="1" t="s">
        <v>164</v>
      </c>
      <c r="B159" s="1" t="s">
        <v>82</v>
      </c>
      <c r="C159" s="5">
        <v>45700.0</v>
      </c>
      <c r="D159" s="1" t="s">
        <v>161</v>
      </c>
      <c r="E159" s="1" t="s">
        <v>11</v>
      </c>
      <c r="F159" s="1" t="s">
        <v>162</v>
      </c>
      <c r="G159" s="1" t="s">
        <v>163</v>
      </c>
      <c r="H159" s="1">
        <v>1.0</v>
      </c>
      <c r="I159" s="1">
        <v>0.0</v>
      </c>
      <c r="J159" s="1">
        <v>0.0</v>
      </c>
      <c r="K159" s="1">
        <v>0.0</v>
      </c>
      <c r="L159" s="1">
        <v>1.0</v>
      </c>
      <c r="M159" s="1">
        <v>0.0</v>
      </c>
      <c r="N159" s="1">
        <v>0.0</v>
      </c>
    </row>
    <row r="160" ht="15.75" customHeight="1">
      <c r="A160" s="1" t="s">
        <v>164</v>
      </c>
      <c r="B160" s="1" t="s">
        <v>82</v>
      </c>
      <c r="C160" s="5">
        <v>45700.0</v>
      </c>
      <c r="D160" s="1" t="s">
        <v>161</v>
      </c>
      <c r="E160" s="1" t="s">
        <v>11</v>
      </c>
      <c r="F160" s="1" t="s">
        <v>166</v>
      </c>
      <c r="G160" s="1" t="s">
        <v>163</v>
      </c>
      <c r="H160" s="1">
        <v>1.0</v>
      </c>
      <c r="I160" s="1">
        <v>0.0</v>
      </c>
      <c r="J160" s="1">
        <v>0.0</v>
      </c>
      <c r="K160" s="1">
        <v>2.0</v>
      </c>
      <c r="L160" s="1">
        <v>3.0</v>
      </c>
      <c r="M160" s="1">
        <v>0.666666667</v>
      </c>
      <c r="N160" s="1">
        <v>0.0</v>
      </c>
    </row>
    <row r="161" ht="15.75" customHeight="1">
      <c r="A161" s="1" t="s">
        <v>164</v>
      </c>
      <c r="B161" s="1" t="s">
        <v>82</v>
      </c>
      <c r="C161" s="5">
        <v>45700.0</v>
      </c>
      <c r="D161" s="1" t="s">
        <v>161</v>
      </c>
      <c r="E161" s="1" t="s">
        <v>11</v>
      </c>
      <c r="F161" s="1" t="s">
        <v>171</v>
      </c>
      <c r="G161" s="1" t="s">
        <v>163</v>
      </c>
      <c r="H161" s="1">
        <v>1.0</v>
      </c>
      <c r="I161" s="1">
        <v>0.0</v>
      </c>
      <c r="J161" s="1">
        <v>0.0</v>
      </c>
      <c r="K161" s="1">
        <v>0.0</v>
      </c>
      <c r="L161" s="1">
        <v>0.0</v>
      </c>
      <c r="N161" s="1">
        <v>0.0</v>
      </c>
    </row>
    <row r="162" ht="15.75" customHeight="1">
      <c r="A162" s="1" t="s">
        <v>164</v>
      </c>
      <c r="B162" s="1" t="s">
        <v>82</v>
      </c>
      <c r="C162" s="5">
        <v>45700.0</v>
      </c>
      <c r="D162" s="1" t="s">
        <v>161</v>
      </c>
      <c r="E162" s="1" t="s">
        <v>11</v>
      </c>
      <c r="F162" s="1" t="s">
        <v>169</v>
      </c>
      <c r="G162" s="1" t="s">
        <v>163</v>
      </c>
      <c r="H162" s="1">
        <v>1.0</v>
      </c>
      <c r="I162" s="1">
        <v>0.0</v>
      </c>
      <c r="J162" s="1">
        <v>0.0</v>
      </c>
      <c r="K162" s="1">
        <v>0.0</v>
      </c>
      <c r="L162" s="1">
        <v>0.0</v>
      </c>
      <c r="N162" s="1">
        <v>0.0</v>
      </c>
    </row>
    <row r="163" ht="15.75" customHeight="1">
      <c r="A163" s="1" t="s">
        <v>180</v>
      </c>
      <c r="B163" s="1" t="s">
        <v>181</v>
      </c>
      <c r="C163" s="5">
        <v>45700.0</v>
      </c>
      <c r="D163" s="1" t="s">
        <v>161</v>
      </c>
      <c r="E163" s="1" t="s">
        <v>11</v>
      </c>
      <c r="H163" s="1">
        <v>0.0</v>
      </c>
      <c r="J163" s="1">
        <v>0.0</v>
      </c>
      <c r="N163" s="1">
        <v>0.079999998</v>
      </c>
    </row>
    <row r="164" ht="15.75" customHeight="1">
      <c r="A164" s="1" t="s">
        <v>160</v>
      </c>
      <c r="B164" s="1" t="s">
        <v>39</v>
      </c>
      <c r="C164" s="5">
        <v>45699.0</v>
      </c>
      <c r="D164" s="1" t="s">
        <v>161</v>
      </c>
      <c r="E164" s="1" t="s">
        <v>11</v>
      </c>
      <c r="F164" s="1" t="s">
        <v>162</v>
      </c>
      <c r="H164" s="1">
        <v>0.0</v>
      </c>
      <c r="I164" s="1">
        <v>0.0</v>
      </c>
      <c r="J164" s="1">
        <v>0.0</v>
      </c>
      <c r="K164" s="1">
        <v>1.0</v>
      </c>
      <c r="L164" s="1">
        <v>2.0</v>
      </c>
      <c r="M164" s="1">
        <v>0.5</v>
      </c>
      <c r="N164" s="1">
        <v>5.559999943</v>
      </c>
    </row>
    <row r="165" ht="15.75" customHeight="1">
      <c r="A165" s="1" t="s">
        <v>160</v>
      </c>
      <c r="B165" s="1" t="s">
        <v>39</v>
      </c>
      <c r="C165" s="5">
        <v>45699.0</v>
      </c>
      <c r="D165" s="1" t="s">
        <v>161</v>
      </c>
      <c r="E165" s="1" t="s">
        <v>11</v>
      </c>
      <c r="F165" s="1" t="s">
        <v>166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N165" s="1">
        <v>0.0</v>
      </c>
    </row>
    <row r="166" ht="15.75" customHeight="1">
      <c r="A166" s="1" t="s">
        <v>160</v>
      </c>
      <c r="B166" s="1" t="s">
        <v>65</v>
      </c>
      <c r="C166" s="5">
        <v>45699.0</v>
      </c>
      <c r="D166" s="1" t="s">
        <v>161</v>
      </c>
      <c r="E166" s="1" t="s">
        <v>11</v>
      </c>
      <c r="F166" s="1" t="s">
        <v>162</v>
      </c>
      <c r="G166" s="1" t="s">
        <v>172</v>
      </c>
      <c r="H166" s="1">
        <v>1.0</v>
      </c>
      <c r="I166" s="1">
        <v>0.0</v>
      </c>
      <c r="J166" s="1">
        <v>0.0</v>
      </c>
      <c r="K166" s="1">
        <v>2.0</v>
      </c>
      <c r="L166" s="1">
        <v>3.0</v>
      </c>
      <c r="M166" s="1">
        <v>0.666666667</v>
      </c>
      <c r="N166" s="1">
        <v>6.510000229</v>
      </c>
    </row>
    <row r="167" ht="15.75" customHeight="1">
      <c r="A167" s="1" t="s">
        <v>160</v>
      </c>
      <c r="B167" s="1" t="s">
        <v>191</v>
      </c>
      <c r="C167" s="5">
        <v>45699.0</v>
      </c>
      <c r="D167" s="1" t="s">
        <v>161</v>
      </c>
      <c r="E167" s="1" t="s">
        <v>11</v>
      </c>
      <c r="F167" s="1" t="s">
        <v>162</v>
      </c>
      <c r="H167" s="1">
        <v>0.0</v>
      </c>
      <c r="I167" s="1">
        <v>0.0</v>
      </c>
      <c r="J167" s="1">
        <v>0.0</v>
      </c>
      <c r="K167" s="1">
        <v>0.0</v>
      </c>
      <c r="L167" s="1">
        <v>0.0</v>
      </c>
      <c r="N167" s="1">
        <v>0.649999976</v>
      </c>
    </row>
    <row r="168" ht="15.75" customHeight="1">
      <c r="A168" s="1" t="s">
        <v>160</v>
      </c>
      <c r="B168" s="1" t="s">
        <v>77</v>
      </c>
      <c r="C168" s="5">
        <v>45699.0</v>
      </c>
      <c r="D168" s="1" t="s">
        <v>161</v>
      </c>
      <c r="E168" s="1" t="s">
        <v>11</v>
      </c>
      <c r="F168" s="1" t="s">
        <v>162</v>
      </c>
      <c r="G168" s="1" t="s">
        <v>163</v>
      </c>
      <c r="H168" s="1">
        <v>1.0</v>
      </c>
      <c r="I168" s="1">
        <v>0.0</v>
      </c>
      <c r="J168" s="1">
        <v>0.0</v>
      </c>
      <c r="K168" s="1">
        <v>0.0</v>
      </c>
      <c r="L168" s="1">
        <v>2.0</v>
      </c>
      <c r="M168" s="1">
        <v>0.0</v>
      </c>
      <c r="N168" s="1">
        <v>5.050000191</v>
      </c>
    </row>
    <row r="169" ht="15.75" customHeight="1">
      <c r="A169" s="1" t="s">
        <v>160</v>
      </c>
      <c r="B169" s="1" t="s">
        <v>90</v>
      </c>
      <c r="C169" s="5">
        <v>45699.0</v>
      </c>
      <c r="D169" s="1" t="s">
        <v>161</v>
      </c>
      <c r="E169" s="1" t="s">
        <v>11</v>
      </c>
      <c r="F169" s="1" t="s">
        <v>165</v>
      </c>
      <c r="G169" s="1" t="s">
        <v>172</v>
      </c>
      <c r="H169" s="1">
        <v>1.0</v>
      </c>
      <c r="I169" s="1">
        <v>0.0</v>
      </c>
      <c r="J169" s="1">
        <v>0.0</v>
      </c>
      <c r="K169" s="1">
        <v>5.0</v>
      </c>
      <c r="L169" s="1">
        <v>8.0</v>
      </c>
      <c r="M169" s="1">
        <v>0.625</v>
      </c>
      <c r="N169" s="1">
        <v>6.400000095</v>
      </c>
    </row>
    <row r="170" ht="15.75" customHeight="1">
      <c r="A170" s="1" t="s">
        <v>160</v>
      </c>
      <c r="B170" s="1" t="s">
        <v>109</v>
      </c>
      <c r="C170" s="5">
        <v>45699.0</v>
      </c>
      <c r="D170" s="1" t="s">
        <v>161</v>
      </c>
      <c r="E170" s="1" t="s">
        <v>11</v>
      </c>
      <c r="F170" s="1" t="s">
        <v>162</v>
      </c>
      <c r="H170" s="1">
        <v>0.0</v>
      </c>
      <c r="I170" s="1">
        <v>0.0</v>
      </c>
      <c r="J170" s="1">
        <v>0.0</v>
      </c>
      <c r="K170" s="1">
        <v>36.0</v>
      </c>
      <c r="L170" s="1">
        <v>78.0</v>
      </c>
      <c r="M170" s="1">
        <v>0.461538462</v>
      </c>
      <c r="N170" s="1">
        <v>104.6500015</v>
      </c>
    </row>
    <row r="171" ht="15.75" customHeight="1">
      <c r="A171" s="1" t="s">
        <v>164</v>
      </c>
      <c r="B171" s="1" t="s">
        <v>24</v>
      </c>
      <c r="C171" s="5">
        <v>45699.0</v>
      </c>
      <c r="D171" s="1" t="s">
        <v>161</v>
      </c>
      <c r="E171" s="1" t="s">
        <v>11</v>
      </c>
      <c r="F171" s="1" t="s">
        <v>166</v>
      </c>
      <c r="G171" s="1" t="s">
        <v>163</v>
      </c>
      <c r="H171" s="1">
        <v>1.0</v>
      </c>
      <c r="I171" s="1">
        <v>0.0</v>
      </c>
      <c r="J171" s="1">
        <v>0.0</v>
      </c>
      <c r="K171" s="1">
        <v>1.0</v>
      </c>
      <c r="L171" s="1">
        <v>1.0</v>
      </c>
      <c r="M171" s="1">
        <v>1.0</v>
      </c>
      <c r="N171" s="1">
        <v>6.909999847</v>
      </c>
    </row>
    <row r="172" ht="15.75" customHeight="1">
      <c r="A172" s="1" t="s">
        <v>164</v>
      </c>
      <c r="B172" s="1" t="s">
        <v>49</v>
      </c>
      <c r="C172" s="5">
        <v>45699.0</v>
      </c>
      <c r="D172" s="1" t="s">
        <v>161</v>
      </c>
      <c r="E172" s="1" t="s">
        <v>11</v>
      </c>
      <c r="F172" s="1" t="s">
        <v>162</v>
      </c>
      <c r="G172" s="1" t="s">
        <v>163</v>
      </c>
      <c r="H172" s="1">
        <v>1.0</v>
      </c>
      <c r="I172" s="1">
        <v>0.0</v>
      </c>
      <c r="J172" s="1">
        <v>0.0</v>
      </c>
      <c r="K172" s="1">
        <v>4.0</v>
      </c>
      <c r="L172" s="1">
        <v>6.0</v>
      </c>
      <c r="M172" s="1">
        <v>0.666666667</v>
      </c>
      <c r="N172" s="1">
        <v>5.039999962</v>
      </c>
    </row>
    <row r="173" ht="15.75" customHeight="1">
      <c r="A173" s="1" t="s">
        <v>164</v>
      </c>
      <c r="B173" s="1" t="s">
        <v>64</v>
      </c>
      <c r="C173" s="5">
        <v>45699.0</v>
      </c>
      <c r="D173" s="1" t="s">
        <v>161</v>
      </c>
      <c r="E173" s="1" t="s">
        <v>11</v>
      </c>
      <c r="F173" s="1" t="s">
        <v>166</v>
      </c>
      <c r="G173" s="1" t="s">
        <v>163</v>
      </c>
      <c r="H173" s="1">
        <v>1.0</v>
      </c>
      <c r="I173" s="1">
        <v>0.0</v>
      </c>
      <c r="J173" s="1">
        <v>0.0</v>
      </c>
      <c r="K173" s="1">
        <v>1.0</v>
      </c>
      <c r="L173" s="1">
        <v>1.0</v>
      </c>
      <c r="M173" s="1">
        <v>1.0</v>
      </c>
      <c r="N173" s="1">
        <v>2.220000029</v>
      </c>
    </row>
    <row r="174" ht="15.75" customHeight="1">
      <c r="A174" s="1" t="s">
        <v>164</v>
      </c>
      <c r="B174" s="1" t="s">
        <v>179</v>
      </c>
      <c r="C174" s="5">
        <v>45699.0</v>
      </c>
      <c r="D174" s="1" t="s">
        <v>161</v>
      </c>
      <c r="E174" s="1" t="s">
        <v>11</v>
      </c>
      <c r="F174" s="1" t="s">
        <v>166</v>
      </c>
      <c r="H174" s="1">
        <v>0.0</v>
      </c>
      <c r="I174" s="1">
        <v>0.0</v>
      </c>
      <c r="J174" s="1">
        <v>0.0</v>
      </c>
      <c r="K174" s="1">
        <v>3.0</v>
      </c>
      <c r="L174" s="1">
        <v>5.0</v>
      </c>
      <c r="M174" s="1">
        <v>0.6</v>
      </c>
      <c r="N174" s="1">
        <v>4.039999962</v>
      </c>
    </row>
    <row r="175" ht="15.75" customHeight="1">
      <c r="A175" s="1" t="s">
        <v>164</v>
      </c>
      <c r="B175" s="1" t="s">
        <v>60</v>
      </c>
      <c r="C175" s="5">
        <v>45699.0</v>
      </c>
      <c r="D175" s="1" t="s">
        <v>161</v>
      </c>
      <c r="E175" s="1" t="s">
        <v>11</v>
      </c>
      <c r="F175" s="1" t="s">
        <v>166</v>
      </c>
      <c r="H175" s="1">
        <v>0.0</v>
      </c>
      <c r="I175" s="1">
        <v>0.0</v>
      </c>
      <c r="J175" s="1">
        <v>0.0</v>
      </c>
      <c r="K175" s="1">
        <v>0.0</v>
      </c>
      <c r="L175" s="1">
        <v>0.0</v>
      </c>
      <c r="N175" s="1">
        <v>4.46999979</v>
      </c>
    </row>
    <row r="176" ht="15.75" customHeight="1">
      <c r="A176" s="1" t="s">
        <v>164</v>
      </c>
      <c r="B176" s="1" t="s">
        <v>63</v>
      </c>
      <c r="C176" s="5">
        <v>45699.0</v>
      </c>
      <c r="D176" s="1" t="s">
        <v>161</v>
      </c>
      <c r="E176" s="1" t="s">
        <v>11</v>
      </c>
      <c r="F176" s="1" t="s">
        <v>166</v>
      </c>
      <c r="H176" s="1">
        <v>0.0</v>
      </c>
      <c r="I176" s="1">
        <v>0.0</v>
      </c>
      <c r="J176" s="1">
        <v>0.0</v>
      </c>
      <c r="K176" s="1">
        <v>1.0</v>
      </c>
      <c r="L176" s="1">
        <v>2.0</v>
      </c>
      <c r="M176" s="1">
        <v>0.5</v>
      </c>
      <c r="N176" s="1">
        <v>5.389999866</v>
      </c>
    </row>
    <row r="177" ht="15.75" customHeight="1">
      <c r="A177" s="1" t="s">
        <v>164</v>
      </c>
      <c r="B177" s="1" t="s">
        <v>68</v>
      </c>
      <c r="C177" s="5">
        <v>45699.0</v>
      </c>
      <c r="D177" s="1" t="s">
        <v>161</v>
      </c>
      <c r="E177" s="1" t="s">
        <v>11</v>
      </c>
      <c r="H177" s="1">
        <v>0.0</v>
      </c>
      <c r="J177" s="1">
        <v>0.0</v>
      </c>
      <c r="N177" s="1">
        <v>0.850000024</v>
      </c>
    </row>
    <row r="178" ht="15.75" customHeight="1">
      <c r="A178" s="1" t="s">
        <v>164</v>
      </c>
      <c r="B178" s="1" t="s">
        <v>74</v>
      </c>
      <c r="C178" s="5">
        <v>45699.0</v>
      </c>
      <c r="D178" s="1" t="s">
        <v>161</v>
      </c>
      <c r="E178" s="1" t="s">
        <v>11</v>
      </c>
      <c r="F178" s="1" t="s">
        <v>166</v>
      </c>
      <c r="H178" s="1">
        <v>0.0</v>
      </c>
      <c r="I178" s="1">
        <v>0.0</v>
      </c>
      <c r="J178" s="1">
        <v>0.0</v>
      </c>
      <c r="K178" s="1">
        <v>0.0</v>
      </c>
      <c r="L178" s="1">
        <v>0.0</v>
      </c>
      <c r="N178" s="1">
        <v>1.299999952</v>
      </c>
    </row>
    <row r="179" ht="15.75" customHeight="1">
      <c r="A179" s="1" t="s">
        <v>164</v>
      </c>
      <c r="B179" s="1" t="s">
        <v>75</v>
      </c>
      <c r="C179" s="5">
        <v>45699.0</v>
      </c>
      <c r="D179" s="1" t="s">
        <v>161</v>
      </c>
      <c r="E179" s="1" t="s">
        <v>11</v>
      </c>
      <c r="F179" s="1" t="s">
        <v>165</v>
      </c>
      <c r="H179" s="1">
        <v>0.0</v>
      </c>
      <c r="I179" s="1">
        <v>0.0</v>
      </c>
      <c r="J179" s="1">
        <v>0.0</v>
      </c>
      <c r="K179" s="1">
        <v>0.0</v>
      </c>
      <c r="L179" s="1">
        <v>1.0</v>
      </c>
      <c r="M179" s="1">
        <v>0.0</v>
      </c>
      <c r="N179" s="1">
        <v>3.8099999430000002</v>
      </c>
    </row>
    <row r="180" ht="15.75" customHeight="1">
      <c r="A180" s="1" t="s">
        <v>164</v>
      </c>
      <c r="B180" s="1" t="s">
        <v>82</v>
      </c>
      <c r="C180" s="5">
        <v>45699.0</v>
      </c>
      <c r="D180" s="1" t="s">
        <v>161</v>
      </c>
      <c r="E180" s="1" t="s">
        <v>11</v>
      </c>
      <c r="F180" s="1" t="s">
        <v>176</v>
      </c>
      <c r="G180" s="1" t="s">
        <v>163</v>
      </c>
      <c r="H180" s="1">
        <v>1.0</v>
      </c>
      <c r="I180" s="1">
        <v>0.0</v>
      </c>
      <c r="J180" s="1">
        <v>0.0</v>
      </c>
      <c r="K180" s="1">
        <v>0.0</v>
      </c>
      <c r="L180" s="1">
        <v>0.0</v>
      </c>
      <c r="N180" s="1">
        <v>0.0</v>
      </c>
    </row>
    <row r="181" ht="15.75" customHeight="1">
      <c r="A181" s="1" t="s">
        <v>164</v>
      </c>
      <c r="B181" s="1" t="s">
        <v>82</v>
      </c>
      <c r="C181" s="5">
        <v>45699.0</v>
      </c>
      <c r="D181" s="1" t="s">
        <v>161</v>
      </c>
      <c r="E181" s="1" t="s">
        <v>11</v>
      </c>
      <c r="F181" s="1" t="s">
        <v>166</v>
      </c>
      <c r="G181" s="1" t="s">
        <v>163</v>
      </c>
      <c r="H181" s="1">
        <v>1.0</v>
      </c>
      <c r="I181" s="1">
        <v>0.0</v>
      </c>
      <c r="J181" s="1">
        <v>0.0</v>
      </c>
      <c r="K181" s="1">
        <v>2.0</v>
      </c>
      <c r="L181" s="1">
        <v>4.0</v>
      </c>
      <c r="M181" s="1">
        <v>0.5</v>
      </c>
      <c r="N181" s="1">
        <v>13.30000019</v>
      </c>
    </row>
    <row r="182" ht="15.75" customHeight="1">
      <c r="A182" s="1" t="s">
        <v>164</v>
      </c>
      <c r="B182" s="1" t="s">
        <v>82</v>
      </c>
      <c r="C182" s="5">
        <v>45699.0</v>
      </c>
      <c r="D182" s="1" t="s">
        <v>161</v>
      </c>
      <c r="E182" s="1" t="s">
        <v>11</v>
      </c>
      <c r="F182" s="1" t="s">
        <v>169</v>
      </c>
      <c r="G182" s="1" t="s">
        <v>163</v>
      </c>
      <c r="H182" s="1">
        <v>1.0</v>
      </c>
      <c r="I182" s="1">
        <v>0.0</v>
      </c>
      <c r="J182" s="1">
        <v>0.0</v>
      </c>
      <c r="K182" s="1">
        <v>0.0</v>
      </c>
      <c r="L182" s="1">
        <v>1.0</v>
      </c>
      <c r="M182" s="1">
        <v>0.0</v>
      </c>
      <c r="N182" s="1">
        <v>0.0</v>
      </c>
    </row>
    <row r="183" ht="15.75" customHeight="1">
      <c r="A183" s="1" t="s">
        <v>160</v>
      </c>
      <c r="B183" s="1" t="s">
        <v>26</v>
      </c>
      <c r="C183" s="5">
        <v>45698.0</v>
      </c>
      <c r="D183" s="1" t="s">
        <v>161</v>
      </c>
      <c r="E183" s="1" t="s">
        <v>11</v>
      </c>
      <c r="H183" s="1">
        <v>0.0</v>
      </c>
      <c r="J183" s="1">
        <v>0.0</v>
      </c>
      <c r="N183" s="1">
        <v>0.569999993</v>
      </c>
    </row>
    <row r="184" ht="15.75" customHeight="1">
      <c r="A184" s="1" t="s">
        <v>160</v>
      </c>
      <c r="B184" s="1" t="s">
        <v>186</v>
      </c>
      <c r="C184" s="5">
        <v>45698.0</v>
      </c>
      <c r="D184" s="1" t="s">
        <v>161</v>
      </c>
      <c r="E184" s="1" t="s">
        <v>11</v>
      </c>
      <c r="F184" s="1" t="s">
        <v>166</v>
      </c>
      <c r="H184" s="1">
        <v>0.0</v>
      </c>
      <c r="I184" s="1">
        <v>0.0</v>
      </c>
      <c r="J184" s="1">
        <v>0.0</v>
      </c>
      <c r="K184" s="1">
        <v>4.0</v>
      </c>
      <c r="L184" s="1">
        <v>16.0</v>
      </c>
      <c r="M184" s="1">
        <v>0.25</v>
      </c>
      <c r="N184" s="1">
        <v>42.97999954</v>
      </c>
    </row>
    <row r="185" ht="15.75" customHeight="1">
      <c r="A185" s="1" t="s">
        <v>160</v>
      </c>
      <c r="B185" s="1" t="s">
        <v>192</v>
      </c>
      <c r="C185" s="5">
        <v>45698.0</v>
      </c>
      <c r="D185" s="1" t="s">
        <v>161</v>
      </c>
      <c r="E185" s="1" t="s">
        <v>11</v>
      </c>
      <c r="F185" s="1" t="s">
        <v>165</v>
      </c>
      <c r="G185" s="1" t="s">
        <v>163</v>
      </c>
      <c r="H185" s="1">
        <v>1.0</v>
      </c>
      <c r="I185" s="1">
        <v>0.0</v>
      </c>
      <c r="J185" s="1">
        <v>0.0</v>
      </c>
      <c r="K185" s="1">
        <v>3.0</v>
      </c>
      <c r="L185" s="1">
        <v>3.0</v>
      </c>
      <c r="M185" s="1">
        <v>1.0</v>
      </c>
      <c r="N185" s="1">
        <v>2.180000067</v>
      </c>
    </row>
    <row r="186" ht="15.75" customHeight="1">
      <c r="A186" s="1" t="s">
        <v>160</v>
      </c>
      <c r="B186" s="1" t="s">
        <v>73</v>
      </c>
      <c r="C186" s="5">
        <v>45698.0</v>
      </c>
      <c r="D186" s="1" t="s">
        <v>161</v>
      </c>
      <c r="E186" s="1" t="s">
        <v>11</v>
      </c>
      <c r="F186" s="1" t="s">
        <v>162</v>
      </c>
      <c r="H186" s="1">
        <v>0.0</v>
      </c>
      <c r="I186" s="1">
        <v>0.0</v>
      </c>
      <c r="J186" s="1">
        <v>0.0</v>
      </c>
      <c r="K186" s="1">
        <v>0.0</v>
      </c>
      <c r="L186" s="1">
        <v>0.0</v>
      </c>
      <c r="N186" s="1">
        <v>0.540000021</v>
      </c>
    </row>
    <row r="187" ht="15.75" customHeight="1">
      <c r="A187" s="1" t="s">
        <v>160</v>
      </c>
      <c r="B187" s="1" t="s">
        <v>109</v>
      </c>
      <c r="C187" s="5">
        <v>45698.0</v>
      </c>
      <c r="D187" s="1" t="s">
        <v>161</v>
      </c>
      <c r="E187" s="1" t="s">
        <v>11</v>
      </c>
      <c r="F187" s="1" t="s">
        <v>162</v>
      </c>
      <c r="H187" s="1">
        <v>0.0</v>
      </c>
      <c r="I187" s="1">
        <v>1.0</v>
      </c>
      <c r="J187" s="1">
        <v>0.0</v>
      </c>
      <c r="K187" s="1">
        <v>15.0</v>
      </c>
      <c r="L187" s="1">
        <v>23.0</v>
      </c>
      <c r="M187" s="1">
        <v>0.652173913</v>
      </c>
      <c r="N187" s="1">
        <v>47.13000107</v>
      </c>
    </row>
    <row r="188" ht="15.75" customHeight="1">
      <c r="A188" s="1" t="s">
        <v>160</v>
      </c>
      <c r="B188" s="1" t="s">
        <v>193</v>
      </c>
      <c r="C188" s="5">
        <v>45698.0</v>
      </c>
      <c r="D188" s="1" t="s">
        <v>161</v>
      </c>
      <c r="E188" s="1" t="s">
        <v>11</v>
      </c>
      <c r="F188" s="1" t="s">
        <v>165</v>
      </c>
      <c r="H188" s="1">
        <v>0.0</v>
      </c>
      <c r="I188" s="1">
        <v>0.0</v>
      </c>
      <c r="J188" s="1">
        <v>0.0</v>
      </c>
      <c r="K188" s="1">
        <v>0.0</v>
      </c>
      <c r="L188" s="1">
        <v>0.0</v>
      </c>
      <c r="N188" s="1">
        <v>0.800000012</v>
      </c>
    </row>
    <row r="189" ht="15.75" customHeight="1">
      <c r="A189" s="1" t="s">
        <v>164</v>
      </c>
      <c r="B189" s="1" t="s">
        <v>49</v>
      </c>
      <c r="C189" s="5">
        <v>45698.0</v>
      </c>
      <c r="D189" s="1" t="s">
        <v>161</v>
      </c>
      <c r="E189" s="1" t="s">
        <v>11</v>
      </c>
      <c r="F189" s="1" t="s">
        <v>162</v>
      </c>
      <c r="G189" s="1" t="s">
        <v>163</v>
      </c>
      <c r="H189" s="1">
        <v>1.0</v>
      </c>
      <c r="I189" s="1">
        <v>1.0</v>
      </c>
      <c r="J189" s="1">
        <v>0.0</v>
      </c>
      <c r="K189" s="1">
        <v>12.0</v>
      </c>
      <c r="L189" s="1">
        <v>14.0</v>
      </c>
      <c r="M189" s="1">
        <v>0.857142857</v>
      </c>
      <c r="N189" s="1">
        <v>37.13999939</v>
      </c>
    </row>
    <row r="190" ht="15.75" customHeight="1">
      <c r="A190" s="1" t="s">
        <v>164</v>
      </c>
      <c r="B190" s="1" t="s">
        <v>49</v>
      </c>
      <c r="C190" s="5">
        <v>45698.0</v>
      </c>
      <c r="D190" s="1" t="s">
        <v>161</v>
      </c>
      <c r="E190" s="1" t="s">
        <v>11</v>
      </c>
      <c r="F190" s="1" t="s">
        <v>177</v>
      </c>
      <c r="G190" s="1" t="s">
        <v>163</v>
      </c>
      <c r="H190" s="1">
        <v>1.0</v>
      </c>
      <c r="I190" s="1">
        <v>0.0</v>
      </c>
      <c r="J190" s="1">
        <v>0.0</v>
      </c>
      <c r="K190" s="1">
        <v>0.0</v>
      </c>
      <c r="L190" s="1">
        <v>3.0</v>
      </c>
      <c r="M190" s="1">
        <v>0.0</v>
      </c>
      <c r="N190" s="1">
        <v>0.0</v>
      </c>
    </row>
    <row r="191" ht="15.75" customHeight="1">
      <c r="A191" s="1" t="s">
        <v>164</v>
      </c>
      <c r="B191" s="1" t="s">
        <v>64</v>
      </c>
      <c r="C191" s="5">
        <v>45698.0</v>
      </c>
      <c r="D191" s="1" t="s">
        <v>161</v>
      </c>
      <c r="E191" s="1" t="s">
        <v>11</v>
      </c>
      <c r="F191" s="1" t="s">
        <v>166</v>
      </c>
      <c r="G191" s="1" t="s">
        <v>163</v>
      </c>
      <c r="H191" s="1">
        <v>1.0</v>
      </c>
      <c r="I191" s="1">
        <v>0.0</v>
      </c>
      <c r="J191" s="1">
        <v>0.0</v>
      </c>
      <c r="K191" s="1">
        <v>2.0</v>
      </c>
      <c r="L191" s="1">
        <v>4.0</v>
      </c>
      <c r="M191" s="1">
        <v>0.5</v>
      </c>
      <c r="N191" s="1">
        <v>7.110000134</v>
      </c>
    </row>
    <row r="192" ht="15.75" customHeight="1">
      <c r="A192" s="1" t="s">
        <v>164</v>
      </c>
      <c r="B192" s="1" t="s">
        <v>179</v>
      </c>
      <c r="C192" s="5">
        <v>45698.0</v>
      </c>
      <c r="D192" s="1" t="s">
        <v>161</v>
      </c>
      <c r="E192" s="1" t="s">
        <v>11</v>
      </c>
      <c r="F192" s="1" t="s">
        <v>166</v>
      </c>
      <c r="H192" s="1">
        <v>0.0</v>
      </c>
      <c r="I192" s="1">
        <v>0.0</v>
      </c>
      <c r="J192" s="1">
        <v>0.0</v>
      </c>
      <c r="K192" s="1">
        <v>8.0</v>
      </c>
      <c r="L192" s="1">
        <v>20.0</v>
      </c>
      <c r="M192" s="1">
        <v>0.4</v>
      </c>
      <c r="N192" s="1">
        <v>6.789999962</v>
      </c>
    </row>
    <row r="193" ht="15.75" customHeight="1">
      <c r="A193" s="1" t="s">
        <v>164</v>
      </c>
      <c r="B193" s="1" t="s">
        <v>63</v>
      </c>
      <c r="C193" s="5">
        <v>45698.0</v>
      </c>
      <c r="D193" s="1" t="s">
        <v>161</v>
      </c>
      <c r="E193" s="1" t="s">
        <v>11</v>
      </c>
      <c r="F193" s="1" t="s">
        <v>166</v>
      </c>
      <c r="H193" s="1">
        <v>0.0</v>
      </c>
      <c r="I193" s="1">
        <v>0.0</v>
      </c>
      <c r="J193" s="1">
        <v>0.0</v>
      </c>
      <c r="K193" s="1">
        <v>7.0</v>
      </c>
      <c r="L193" s="1">
        <v>15.0</v>
      </c>
      <c r="M193" s="1">
        <v>0.466666667</v>
      </c>
      <c r="N193" s="1">
        <v>10.60999966</v>
      </c>
    </row>
    <row r="194" ht="15.75" customHeight="1">
      <c r="A194" s="1" t="s">
        <v>164</v>
      </c>
      <c r="B194" s="1" t="s">
        <v>68</v>
      </c>
      <c r="C194" s="5">
        <v>45698.0</v>
      </c>
      <c r="D194" s="1" t="s">
        <v>161</v>
      </c>
      <c r="E194" s="1" t="s">
        <v>11</v>
      </c>
      <c r="F194" s="1" t="s">
        <v>165</v>
      </c>
      <c r="H194" s="1">
        <v>0.0</v>
      </c>
      <c r="I194" s="1">
        <v>0.0</v>
      </c>
      <c r="J194" s="1">
        <v>0.0</v>
      </c>
      <c r="K194" s="1">
        <v>3.0</v>
      </c>
      <c r="L194" s="1">
        <v>9.0</v>
      </c>
      <c r="M194" s="1">
        <v>0.333333333</v>
      </c>
      <c r="N194" s="1">
        <v>7.099999905</v>
      </c>
    </row>
    <row r="195" ht="15.75" customHeight="1">
      <c r="A195" s="1" t="s">
        <v>164</v>
      </c>
      <c r="B195" s="1" t="s">
        <v>74</v>
      </c>
      <c r="C195" s="5">
        <v>45698.0</v>
      </c>
      <c r="D195" s="1" t="s">
        <v>161</v>
      </c>
      <c r="E195" s="1" t="s">
        <v>11</v>
      </c>
      <c r="F195" s="1" t="s">
        <v>166</v>
      </c>
      <c r="H195" s="1">
        <v>0.0</v>
      </c>
      <c r="I195" s="1">
        <v>0.0</v>
      </c>
      <c r="J195" s="1">
        <v>0.0</v>
      </c>
      <c r="K195" s="1">
        <v>0.0</v>
      </c>
      <c r="L195" s="1">
        <v>0.0</v>
      </c>
      <c r="N195" s="1">
        <v>4.389999866</v>
      </c>
    </row>
    <row r="196" ht="15.75" customHeight="1">
      <c r="A196" s="1" t="s">
        <v>164</v>
      </c>
      <c r="B196" s="1" t="s">
        <v>75</v>
      </c>
      <c r="C196" s="5">
        <v>45698.0</v>
      </c>
      <c r="D196" s="1" t="s">
        <v>161</v>
      </c>
      <c r="E196" s="1" t="s">
        <v>11</v>
      </c>
      <c r="F196" s="1" t="s">
        <v>165</v>
      </c>
      <c r="H196" s="1">
        <v>0.0</v>
      </c>
      <c r="I196" s="1">
        <v>0.0</v>
      </c>
      <c r="J196" s="1">
        <v>0.0</v>
      </c>
      <c r="K196" s="1">
        <v>0.0</v>
      </c>
      <c r="L196" s="1">
        <v>1.0</v>
      </c>
      <c r="M196" s="1">
        <v>0.0</v>
      </c>
      <c r="N196" s="1">
        <v>9.430000305</v>
      </c>
    </row>
    <row r="197" ht="15.75" customHeight="1">
      <c r="A197" s="1" t="s">
        <v>164</v>
      </c>
      <c r="B197" s="1" t="s">
        <v>82</v>
      </c>
      <c r="C197" s="5">
        <v>45698.0</v>
      </c>
      <c r="D197" s="1" t="s">
        <v>161</v>
      </c>
      <c r="E197" s="1" t="s">
        <v>11</v>
      </c>
      <c r="F197" s="1" t="s">
        <v>166</v>
      </c>
      <c r="G197" s="1" t="s">
        <v>182</v>
      </c>
      <c r="H197" s="1">
        <v>2.0</v>
      </c>
      <c r="I197" s="1">
        <v>0.0</v>
      </c>
      <c r="J197" s="1">
        <v>0.0</v>
      </c>
      <c r="K197" s="1">
        <v>3.0</v>
      </c>
      <c r="L197" s="1">
        <v>7.0</v>
      </c>
      <c r="M197" s="1">
        <v>0.428571429</v>
      </c>
      <c r="N197" s="1">
        <v>8.800000191</v>
      </c>
    </row>
    <row r="198" ht="15.75" customHeight="1">
      <c r="A198" s="1" t="s">
        <v>164</v>
      </c>
      <c r="B198" s="1" t="s">
        <v>82</v>
      </c>
      <c r="C198" s="5">
        <v>45698.0</v>
      </c>
      <c r="D198" s="1" t="s">
        <v>161</v>
      </c>
      <c r="E198" s="1" t="s">
        <v>11</v>
      </c>
      <c r="F198" s="1" t="s">
        <v>169</v>
      </c>
      <c r="G198" s="1" t="s">
        <v>182</v>
      </c>
      <c r="H198" s="1">
        <v>2.0</v>
      </c>
      <c r="I198" s="1">
        <v>0.0</v>
      </c>
      <c r="J198" s="1">
        <v>0.0</v>
      </c>
      <c r="K198" s="1">
        <v>0.0</v>
      </c>
      <c r="L198" s="1">
        <v>1.0</v>
      </c>
      <c r="M198" s="1">
        <v>0.0</v>
      </c>
      <c r="N198" s="1">
        <v>0.0</v>
      </c>
    </row>
    <row r="199" ht="15.75" customHeight="1">
      <c r="A199" s="1" t="s">
        <v>160</v>
      </c>
      <c r="B199" s="1" t="s">
        <v>29</v>
      </c>
      <c r="C199" s="5">
        <v>45695.0</v>
      </c>
      <c r="D199" s="1" t="s">
        <v>161</v>
      </c>
      <c r="E199" s="1" t="s">
        <v>11</v>
      </c>
      <c r="F199" s="1" t="s">
        <v>165</v>
      </c>
      <c r="H199" s="1">
        <v>0.0</v>
      </c>
      <c r="I199" s="1">
        <v>1.0</v>
      </c>
      <c r="J199" s="1">
        <v>0.0</v>
      </c>
      <c r="K199" s="1">
        <v>12.0</v>
      </c>
      <c r="L199" s="1">
        <v>12.0</v>
      </c>
      <c r="M199" s="1">
        <v>1.0</v>
      </c>
      <c r="N199" s="1">
        <v>6.6199998860000004</v>
      </c>
    </row>
    <row r="200" ht="15.75" customHeight="1">
      <c r="A200" s="1" t="s">
        <v>160</v>
      </c>
      <c r="B200" s="1" t="s">
        <v>65</v>
      </c>
      <c r="C200" s="5">
        <v>45695.0</v>
      </c>
      <c r="D200" s="1" t="s">
        <v>161</v>
      </c>
      <c r="E200" s="1" t="s">
        <v>11</v>
      </c>
      <c r="H200" s="1">
        <v>0.0</v>
      </c>
      <c r="J200" s="1">
        <v>0.0</v>
      </c>
      <c r="N200" s="1">
        <v>0.02</v>
      </c>
    </row>
    <row r="201" ht="15.75" customHeight="1">
      <c r="A201" s="1" t="s">
        <v>160</v>
      </c>
      <c r="B201" s="1" t="s">
        <v>192</v>
      </c>
      <c r="C201" s="5">
        <v>45695.0</v>
      </c>
      <c r="D201" s="1" t="s">
        <v>161</v>
      </c>
      <c r="E201" s="1" t="s">
        <v>11</v>
      </c>
      <c r="F201" s="1" t="s">
        <v>165</v>
      </c>
      <c r="H201" s="1">
        <v>0.0</v>
      </c>
      <c r="I201" s="1">
        <v>2.0</v>
      </c>
      <c r="J201" s="1">
        <v>0.0</v>
      </c>
      <c r="K201" s="1">
        <v>64.0</v>
      </c>
      <c r="L201" s="1">
        <v>84.0</v>
      </c>
      <c r="M201" s="1">
        <v>0.761904762</v>
      </c>
      <c r="N201" s="1">
        <v>39.34000015</v>
      </c>
    </row>
    <row r="202" ht="15.75" customHeight="1">
      <c r="A202" s="1" t="s">
        <v>164</v>
      </c>
      <c r="B202" s="1" t="s">
        <v>24</v>
      </c>
      <c r="C202" s="5">
        <v>45695.0</v>
      </c>
      <c r="D202" s="1" t="s">
        <v>161</v>
      </c>
      <c r="E202" s="1" t="s">
        <v>11</v>
      </c>
      <c r="H202" s="1">
        <v>0.0</v>
      </c>
      <c r="J202" s="1">
        <v>0.0</v>
      </c>
      <c r="N202" s="1">
        <v>4.849999905</v>
      </c>
    </row>
    <row r="203" ht="15.75" customHeight="1">
      <c r="A203" s="1" t="s">
        <v>164</v>
      </c>
      <c r="B203" s="1" t="s">
        <v>49</v>
      </c>
      <c r="C203" s="5">
        <v>45695.0</v>
      </c>
      <c r="D203" s="1" t="s">
        <v>161</v>
      </c>
      <c r="E203" s="1" t="s">
        <v>11</v>
      </c>
      <c r="F203" s="1" t="s">
        <v>162</v>
      </c>
      <c r="G203" s="1" t="s">
        <v>163</v>
      </c>
      <c r="H203" s="1">
        <v>1.0</v>
      </c>
      <c r="I203" s="1">
        <v>0.0</v>
      </c>
      <c r="J203" s="1">
        <v>0.0</v>
      </c>
      <c r="K203" s="1">
        <v>20.0</v>
      </c>
      <c r="L203" s="1">
        <v>43.0</v>
      </c>
      <c r="M203" s="1">
        <v>0.465116279</v>
      </c>
      <c r="N203" s="1">
        <v>42.5</v>
      </c>
    </row>
    <row r="204" ht="15.75" customHeight="1">
      <c r="A204" s="1" t="s">
        <v>164</v>
      </c>
      <c r="B204" s="1" t="s">
        <v>64</v>
      </c>
      <c r="C204" s="5">
        <v>45695.0</v>
      </c>
      <c r="D204" s="1" t="s">
        <v>161</v>
      </c>
      <c r="E204" s="1" t="s">
        <v>11</v>
      </c>
      <c r="F204" s="1" t="s">
        <v>166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N204" s="1">
        <v>2.630000114</v>
      </c>
    </row>
    <row r="205" ht="15.75" customHeight="1">
      <c r="A205" s="1" t="s">
        <v>164</v>
      </c>
      <c r="B205" s="1" t="s">
        <v>81</v>
      </c>
      <c r="C205" s="5">
        <v>45695.0</v>
      </c>
      <c r="D205" s="1" t="s">
        <v>161</v>
      </c>
      <c r="E205" s="1" t="s">
        <v>11</v>
      </c>
      <c r="F205" s="1" t="s">
        <v>168</v>
      </c>
      <c r="H205" s="1">
        <v>0.0</v>
      </c>
      <c r="I205" s="1">
        <v>0.0</v>
      </c>
      <c r="J205" s="1">
        <v>0.0</v>
      </c>
      <c r="K205" s="1">
        <v>0.0</v>
      </c>
      <c r="L205" s="1">
        <v>0.0</v>
      </c>
      <c r="N205" s="1">
        <v>2.859999895</v>
      </c>
    </row>
    <row r="206" ht="15.75" customHeight="1">
      <c r="A206" s="1" t="s">
        <v>164</v>
      </c>
      <c r="B206" s="1" t="s">
        <v>63</v>
      </c>
      <c r="C206" s="5">
        <v>45695.0</v>
      </c>
      <c r="D206" s="1" t="s">
        <v>161</v>
      </c>
      <c r="E206" s="1" t="s">
        <v>11</v>
      </c>
      <c r="F206" s="1" t="s">
        <v>166</v>
      </c>
      <c r="H206" s="1">
        <v>0.0</v>
      </c>
      <c r="I206" s="1">
        <v>0.0</v>
      </c>
      <c r="J206" s="1">
        <v>0.0</v>
      </c>
      <c r="K206" s="1">
        <v>0.0</v>
      </c>
      <c r="L206" s="1">
        <v>0.0</v>
      </c>
      <c r="N206" s="1">
        <v>0.050000001</v>
      </c>
    </row>
    <row r="207" ht="15.75" customHeight="1">
      <c r="A207" s="1" t="s">
        <v>164</v>
      </c>
      <c r="B207" s="1" t="s">
        <v>82</v>
      </c>
      <c r="C207" s="5">
        <v>45695.0</v>
      </c>
      <c r="D207" s="1" t="s">
        <v>161</v>
      </c>
      <c r="E207" s="1" t="s">
        <v>11</v>
      </c>
      <c r="H207" s="1">
        <v>0.0</v>
      </c>
      <c r="J207" s="1">
        <v>0.0</v>
      </c>
      <c r="N207" s="1">
        <v>1.639999986</v>
      </c>
    </row>
    <row r="208" ht="15.75" customHeight="1">
      <c r="A208" s="1" t="s">
        <v>160</v>
      </c>
      <c r="B208" s="1" t="s">
        <v>29</v>
      </c>
      <c r="C208" s="5">
        <v>45694.0</v>
      </c>
      <c r="D208" s="1" t="s">
        <v>161</v>
      </c>
      <c r="E208" s="1" t="s">
        <v>11</v>
      </c>
      <c r="F208" s="1" t="s">
        <v>165</v>
      </c>
      <c r="H208" s="1">
        <v>0.0</v>
      </c>
      <c r="I208" s="1">
        <v>2.0</v>
      </c>
      <c r="J208" s="1">
        <v>0.0</v>
      </c>
      <c r="K208" s="1">
        <v>30.0</v>
      </c>
      <c r="L208" s="1">
        <v>39.0</v>
      </c>
      <c r="M208" s="1">
        <v>0.769230769</v>
      </c>
      <c r="N208" s="1">
        <v>54.54000092</v>
      </c>
    </row>
    <row r="209" ht="15.75" customHeight="1">
      <c r="A209" s="1" t="s">
        <v>160</v>
      </c>
      <c r="B209" s="1" t="s">
        <v>39</v>
      </c>
      <c r="C209" s="5">
        <v>45694.0</v>
      </c>
      <c r="D209" s="1" t="s">
        <v>161</v>
      </c>
      <c r="E209" s="1" t="s">
        <v>11</v>
      </c>
      <c r="F209" s="1" t="s">
        <v>162</v>
      </c>
      <c r="H209" s="1">
        <v>0.0</v>
      </c>
      <c r="I209" s="1">
        <v>0.0</v>
      </c>
      <c r="J209" s="1">
        <v>0.0</v>
      </c>
      <c r="K209" s="1">
        <v>3.0</v>
      </c>
      <c r="L209" s="1">
        <v>10.0</v>
      </c>
      <c r="M209" s="1">
        <v>0.3</v>
      </c>
      <c r="N209" s="1">
        <v>11.40999985</v>
      </c>
    </row>
    <row r="210" ht="15.75" customHeight="1">
      <c r="A210" s="1" t="s">
        <v>160</v>
      </c>
      <c r="B210" s="1" t="s">
        <v>39</v>
      </c>
      <c r="C210" s="5">
        <v>45694.0</v>
      </c>
      <c r="D210" s="1" t="s">
        <v>161</v>
      </c>
      <c r="E210" s="1" t="s">
        <v>11</v>
      </c>
      <c r="F210" s="1" t="s">
        <v>166</v>
      </c>
      <c r="H210" s="1">
        <v>0.0</v>
      </c>
      <c r="I210" s="1">
        <v>0.0</v>
      </c>
      <c r="J210" s="1">
        <v>0.0</v>
      </c>
      <c r="K210" s="1">
        <v>0.0</v>
      </c>
      <c r="L210" s="1">
        <v>0.0</v>
      </c>
      <c r="N210" s="1">
        <v>0.0</v>
      </c>
    </row>
    <row r="211" ht="15.75" customHeight="1">
      <c r="A211" s="1" t="s">
        <v>160</v>
      </c>
      <c r="B211" s="1" t="s">
        <v>65</v>
      </c>
      <c r="C211" s="5">
        <v>45694.0</v>
      </c>
      <c r="D211" s="1" t="s">
        <v>161</v>
      </c>
      <c r="E211" s="1" t="s">
        <v>11</v>
      </c>
      <c r="F211" s="1" t="s">
        <v>162</v>
      </c>
      <c r="H211" s="1">
        <v>0.0</v>
      </c>
      <c r="I211" s="1">
        <v>0.0</v>
      </c>
      <c r="J211" s="1">
        <v>0.0</v>
      </c>
      <c r="K211" s="1">
        <v>5.0</v>
      </c>
      <c r="L211" s="1">
        <v>6.0</v>
      </c>
      <c r="M211" s="1">
        <v>0.833333333</v>
      </c>
      <c r="N211" s="1">
        <v>11.93000031</v>
      </c>
    </row>
    <row r="212" ht="15.75" customHeight="1">
      <c r="A212" s="1" t="s">
        <v>160</v>
      </c>
      <c r="B212" s="1" t="s">
        <v>77</v>
      </c>
      <c r="C212" s="5">
        <v>45694.0</v>
      </c>
      <c r="D212" s="1" t="s">
        <v>161</v>
      </c>
      <c r="E212" s="1" t="s">
        <v>11</v>
      </c>
      <c r="F212" s="1" t="s">
        <v>162</v>
      </c>
      <c r="G212" s="1" t="s">
        <v>163</v>
      </c>
      <c r="H212" s="1">
        <v>1.0</v>
      </c>
      <c r="I212" s="1">
        <v>0.0</v>
      </c>
      <c r="J212" s="1">
        <v>0.0</v>
      </c>
      <c r="K212" s="1">
        <v>6.0</v>
      </c>
      <c r="L212" s="1">
        <v>8.0</v>
      </c>
      <c r="M212" s="1">
        <v>0.75</v>
      </c>
      <c r="N212" s="1">
        <v>12.14000034</v>
      </c>
    </row>
    <row r="213" ht="15.75" customHeight="1">
      <c r="A213" s="1" t="s">
        <v>160</v>
      </c>
      <c r="B213" s="1" t="s">
        <v>90</v>
      </c>
      <c r="C213" s="5">
        <v>45694.0</v>
      </c>
      <c r="D213" s="1" t="s">
        <v>161</v>
      </c>
      <c r="E213" s="1" t="s">
        <v>11</v>
      </c>
      <c r="F213" s="1" t="s">
        <v>165</v>
      </c>
      <c r="H213" s="1">
        <v>0.0</v>
      </c>
      <c r="I213" s="1">
        <v>0.0</v>
      </c>
      <c r="J213" s="1">
        <v>0.0</v>
      </c>
      <c r="K213" s="1">
        <v>6.0</v>
      </c>
      <c r="L213" s="1">
        <v>10.0</v>
      </c>
      <c r="M213" s="1">
        <v>0.6</v>
      </c>
      <c r="N213" s="1">
        <v>11.97000027</v>
      </c>
    </row>
    <row r="214" ht="15.75" customHeight="1">
      <c r="A214" s="1" t="s">
        <v>164</v>
      </c>
      <c r="B214" s="1" t="s">
        <v>49</v>
      </c>
      <c r="C214" s="5">
        <v>45694.0</v>
      </c>
      <c r="D214" s="1" t="s">
        <v>161</v>
      </c>
      <c r="E214" s="1" t="s">
        <v>11</v>
      </c>
      <c r="F214" s="1" t="s">
        <v>162</v>
      </c>
      <c r="G214" s="1" t="s">
        <v>163</v>
      </c>
      <c r="H214" s="1">
        <v>1.0</v>
      </c>
      <c r="I214" s="1">
        <v>0.0</v>
      </c>
      <c r="J214" s="1">
        <v>0.0</v>
      </c>
      <c r="K214" s="1">
        <v>4.0</v>
      </c>
      <c r="L214" s="1">
        <v>9.0</v>
      </c>
      <c r="M214" s="1">
        <v>0.444444444</v>
      </c>
      <c r="N214" s="1">
        <v>18.48999977</v>
      </c>
    </row>
    <row r="215" ht="15.75" customHeight="1">
      <c r="A215" s="1" t="s">
        <v>164</v>
      </c>
      <c r="B215" s="1" t="s">
        <v>76</v>
      </c>
      <c r="C215" s="5">
        <v>45694.0</v>
      </c>
      <c r="D215" s="1" t="s">
        <v>161</v>
      </c>
      <c r="E215" s="1" t="s">
        <v>11</v>
      </c>
      <c r="F215" s="1" t="s">
        <v>162</v>
      </c>
      <c r="H215" s="1">
        <v>0.0</v>
      </c>
      <c r="I215" s="1">
        <v>0.0</v>
      </c>
      <c r="J215" s="1">
        <v>0.0</v>
      </c>
      <c r="K215" s="1">
        <v>0.0</v>
      </c>
      <c r="L215" s="1">
        <v>0.0</v>
      </c>
      <c r="N215" s="1">
        <v>0.920000017</v>
      </c>
    </row>
    <row r="216" ht="15.75" customHeight="1">
      <c r="A216" s="1" t="s">
        <v>164</v>
      </c>
      <c r="B216" s="1" t="s">
        <v>82</v>
      </c>
      <c r="C216" s="5">
        <v>45694.0</v>
      </c>
      <c r="D216" s="1" t="s">
        <v>161</v>
      </c>
      <c r="E216" s="1" t="s">
        <v>11</v>
      </c>
      <c r="H216" s="1">
        <v>0.0</v>
      </c>
      <c r="J216" s="1">
        <v>0.0</v>
      </c>
      <c r="N216" s="1">
        <v>0.119999997</v>
      </c>
    </row>
    <row r="217" ht="15.75" customHeight="1">
      <c r="A217" s="1" t="s">
        <v>160</v>
      </c>
      <c r="B217" s="1" t="s">
        <v>29</v>
      </c>
      <c r="C217" s="5">
        <v>45693.0</v>
      </c>
      <c r="D217" s="1" t="s">
        <v>161</v>
      </c>
      <c r="E217" s="1" t="s">
        <v>11</v>
      </c>
      <c r="F217" s="1" t="s">
        <v>165</v>
      </c>
      <c r="G217" s="1" t="s">
        <v>194</v>
      </c>
      <c r="H217" s="1">
        <v>1.0</v>
      </c>
      <c r="I217" s="1">
        <v>1.0</v>
      </c>
      <c r="J217" s="1">
        <v>0.0</v>
      </c>
      <c r="K217" s="1">
        <v>17.0</v>
      </c>
      <c r="L217" s="1">
        <v>20.0</v>
      </c>
      <c r="M217" s="1">
        <v>0.85</v>
      </c>
      <c r="N217" s="1">
        <v>7.199999809</v>
      </c>
    </row>
    <row r="218" ht="15.75" customHeight="1">
      <c r="A218" s="1" t="s">
        <v>160</v>
      </c>
      <c r="B218" s="1" t="s">
        <v>18</v>
      </c>
      <c r="C218" s="5">
        <v>45693.0</v>
      </c>
      <c r="D218" s="1" t="s">
        <v>161</v>
      </c>
      <c r="E218" s="1" t="s">
        <v>11</v>
      </c>
      <c r="F218" s="1" t="s">
        <v>162</v>
      </c>
      <c r="G218" s="1" t="s">
        <v>163</v>
      </c>
      <c r="H218" s="1">
        <v>1.0</v>
      </c>
      <c r="I218" s="1">
        <v>0.0</v>
      </c>
      <c r="J218" s="1">
        <v>0.0</v>
      </c>
      <c r="K218" s="1">
        <v>4.0</v>
      </c>
      <c r="L218" s="1">
        <v>6.0</v>
      </c>
      <c r="M218" s="1">
        <v>0.666666667</v>
      </c>
      <c r="N218" s="1">
        <v>5.139999866</v>
      </c>
    </row>
    <row r="219" ht="15.75" customHeight="1">
      <c r="A219" s="1" t="s">
        <v>160</v>
      </c>
      <c r="B219" s="1" t="s">
        <v>195</v>
      </c>
      <c r="C219" s="5">
        <v>45693.0</v>
      </c>
      <c r="D219" s="1" t="s">
        <v>161</v>
      </c>
      <c r="E219" s="1" t="s">
        <v>11</v>
      </c>
      <c r="F219" s="1" t="s">
        <v>165</v>
      </c>
      <c r="G219" s="1" t="s">
        <v>163</v>
      </c>
      <c r="H219" s="1">
        <v>1.0</v>
      </c>
      <c r="I219" s="1">
        <v>1.0</v>
      </c>
      <c r="J219" s="1">
        <v>0.0</v>
      </c>
      <c r="K219" s="1">
        <v>36.0</v>
      </c>
      <c r="L219" s="1">
        <v>55.0</v>
      </c>
      <c r="M219" s="1">
        <v>0.654545455</v>
      </c>
      <c r="N219" s="1">
        <v>0.99000001</v>
      </c>
    </row>
    <row r="220" ht="15.75" customHeight="1">
      <c r="A220" s="1" t="s">
        <v>160</v>
      </c>
      <c r="B220" s="1" t="s">
        <v>109</v>
      </c>
      <c r="C220" s="5">
        <v>45693.0</v>
      </c>
      <c r="D220" s="1" t="s">
        <v>161</v>
      </c>
      <c r="E220" s="1" t="s">
        <v>11</v>
      </c>
      <c r="F220" s="1" t="s">
        <v>162</v>
      </c>
      <c r="H220" s="1">
        <v>0.0</v>
      </c>
      <c r="I220" s="1">
        <v>0.0</v>
      </c>
      <c r="J220" s="1">
        <v>0.0</v>
      </c>
      <c r="K220" s="1">
        <v>4.0</v>
      </c>
      <c r="L220" s="1">
        <v>12.0</v>
      </c>
      <c r="M220" s="1">
        <v>0.333333333</v>
      </c>
      <c r="N220" s="1">
        <v>24.35000038</v>
      </c>
    </row>
    <row r="221" ht="15.75" customHeight="1">
      <c r="A221" s="1" t="s">
        <v>164</v>
      </c>
      <c r="B221" s="1" t="s">
        <v>24</v>
      </c>
      <c r="C221" s="5">
        <v>45693.0</v>
      </c>
      <c r="D221" s="1" t="s">
        <v>161</v>
      </c>
      <c r="E221" s="1" t="s">
        <v>11</v>
      </c>
      <c r="F221" s="1" t="s">
        <v>166</v>
      </c>
      <c r="G221" s="1" t="s">
        <v>163</v>
      </c>
      <c r="H221" s="1">
        <v>1.0</v>
      </c>
      <c r="I221" s="1">
        <v>0.0</v>
      </c>
      <c r="J221" s="1">
        <v>0.0</v>
      </c>
      <c r="K221" s="1">
        <v>0.0</v>
      </c>
      <c r="L221" s="1">
        <v>2.0</v>
      </c>
      <c r="M221" s="1">
        <v>0.0</v>
      </c>
      <c r="N221" s="1">
        <v>6.21999979</v>
      </c>
    </row>
    <row r="222" ht="15.75" customHeight="1">
      <c r="A222" s="1" t="s">
        <v>164</v>
      </c>
      <c r="B222" s="1" t="s">
        <v>49</v>
      </c>
      <c r="C222" s="5">
        <v>45693.0</v>
      </c>
      <c r="D222" s="1" t="s">
        <v>161</v>
      </c>
      <c r="E222" s="1" t="s">
        <v>11</v>
      </c>
      <c r="F222" s="1" t="s">
        <v>162</v>
      </c>
      <c r="G222" s="1" t="s">
        <v>163</v>
      </c>
      <c r="H222" s="1">
        <v>1.0</v>
      </c>
      <c r="I222" s="1">
        <v>0.0</v>
      </c>
      <c r="J222" s="1">
        <v>0.0</v>
      </c>
      <c r="K222" s="1">
        <v>17.0</v>
      </c>
      <c r="L222" s="1">
        <v>45.0</v>
      </c>
      <c r="M222" s="1">
        <v>0.377777778</v>
      </c>
      <c r="N222" s="1">
        <v>48.34999847</v>
      </c>
    </row>
    <row r="223" ht="15.75" customHeight="1">
      <c r="A223" s="1" t="s">
        <v>164</v>
      </c>
      <c r="B223" s="1" t="s">
        <v>64</v>
      </c>
      <c r="C223" s="5">
        <v>45693.0</v>
      </c>
      <c r="D223" s="1" t="s">
        <v>161</v>
      </c>
      <c r="E223" s="1" t="s">
        <v>11</v>
      </c>
      <c r="F223" s="1" t="s">
        <v>166</v>
      </c>
      <c r="G223" s="1" t="s">
        <v>163</v>
      </c>
      <c r="H223" s="1">
        <v>1.0</v>
      </c>
      <c r="I223" s="1">
        <v>0.0</v>
      </c>
      <c r="J223" s="1">
        <v>0.0</v>
      </c>
      <c r="K223" s="1">
        <v>2.0</v>
      </c>
      <c r="L223" s="1">
        <v>10.0</v>
      </c>
      <c r="M223" s="1">
        <v>0.2</v>
      </c>
      <c r="N223" s="1">
        <v>8.050000191</v>
      </c>
    </row>
    <row r="224" ht="15.75" customHeight="1">
      <c r="A224" s="1" t="s">
        <v>164</v>
      </c>
      <c r="B224" s="1" t="s">
        <v>51</v>
      </c>
      <c r="C224" s="5">
        <v>45693.0</v>
      </c>
      <c r="D224" s="1" t="s">
        <v>161</v>
      </c>
      <c r="E224" s="1" t="s">
        <v>11</v>
      </c>
      <c r="F224" s="1" t="s">
        <v>162</v>
      </c>
      <c r="G224" s="1" t="s">
        <v>163</v>
      </c>
      <c r="H224" s="1">
        <v>1.0</v>
      </c>
      <c r="I224" s="1">
        <v>0.0</v>
      </c>
      <c r="J224" s="1">
        <v>0.0</v>
      </c>
      <c r="K224" s="1">
        <v>0.0</v>
      </c>
      <c r="L224" s="1">
        <v>1.0</v>
      </c>
      <c r="M224" s="1">
        <v>0.0</v>
      </c>
      <c r="N224" s="1">
        <v>1.50999999</v>
      </c>
    </row>
    <row r="225" ht="15.75" customHeight="1">
      <c r="A225" s="1" t="s">
        <v>164</v>
      </c>
      <c r="B225" s="1" t="s">
        <v>74</v>
      </c>
      <c r="C225" s="5">
        <v>45693.0</v>
      </c>
      <c r="D225" s="1" t="s">
        <v>161</v>
      </c>
      <c r="E225" s="1" t="s">
        <v>11</v>
      </c>
      <c r="H225" s="1">
        <v>0.0</v>
      </c>
      <c r="J225" s="1">
        <v>0.0</v>
      </c>
      <c r="N225" s="1">
        <v>0.029999999</v>
      </c>
    </row>
    <row r="226" ht="15.75" customHeight="1">
      <c r="A226" s="1" t="s">
        <v>164</v>
      </c>
      <c r="B226" s="1" t="s">
        <v>75</v>
      </c>
      <c r="C226" s="5">
        <v>45693.0</v>
      </c>
      <c r="D226" s="1" t="s">
        <v>161</v>
      </c>
      <c r="E226" s="1" t="s">
        <v>11</v>
      </c>
      <c r="H226" s="1">
        <v>0.0</v>
      </c>
      <c r="J226" s="1">
        <v>0.0</v>
      </c>
      <c r="N226" s="1">
        <v>0.02</v>
      </c>
    </row>
    <row r="227" ht="15.75" customHeight="1">
      <c r="A227" s="1" t="s">
        <v>164</v>
      </c>
      <c r="B227" s="1" t="s">
        <v>82</v>
      </c>
      <c r="C227" s="5">
        <v>45693.0</v>
      </c>
      <c r="D227" s="1" t="s">
        <v>161</v>
      </c>
      <c r="E227" s="1" t="s">
        <v>11</v>
      </c>
      <c r="F227" s="1" t="s">
        <v>166</v>
      </c>
      <c r="G227" s="1" t="s">
        <v>163</v>
      </c>
      <c r="H227" s="1">
        <v>1.0</v>
      </c>
      <c r="I227" s="1">
        <v>1.0</v>
      </c>
      <c r="J227" s="1">
        <v>0.0</v>
      </c>
      <c r="K227" s="1">
        <v>5.0</v>
      </c>
      <c r="L227" s="1">
        <v>8.0</v>
      </c>
      <c r="M227" s="1">
        <v>0.625</v>
      </c>
      <c r="N227" s="1">
        <v>13.78999996</v>
      </c>
    </row>
    <row r="228" ht="15.75" customHeight="1">
      <c r="A228" s="1" t="s">
        <v>164</v>
      </c>
      <c r="B228" s="1" t="s">
        <v>82</v>
      </c>
      <c r="C228" s="5">
        <v>45693.0</v>
      </c>
      <c r="D228" s="1" t="s">
        <v>161</v>
      </c>
      <c r="E228" s="1" t="s">
        <v>11</v>
      </c>
      <c r="F228" s="1" t="s">
        <v>169</v>
      </c>
      <c r="G228" s="1" t="s">
        <v>163</v>
      </c>
      <c r="H228" s="1">
        <v>1.0</v>
      </c>
      <c r="I228" s="1">
        <v>0.0</v>
      </c>
      <c r="J228" s="1">
        <v>0.0</v>
      </c>
      <c r="K228" s="1">
        <v>3.0</v>
      </c>
      <c r="L228" s="1">
        <v>5.0</v>
      </c>
      <c r="M228" s="1">
        <v>0.6</v>
      </c>
      <c r="N228" s="1">
        <v>0.0</v>
      </c>
    </row>
    <row r="229" ht="15.75" customHeight="1">
      <c r="A229" s="1" t="s">
        <v>160</v>
      </c>
      <c r="B229" s="1" t="s">
        <v>29</v>
      </c>
      <c r="C229" s="5">
        <v>45692.0</v>
      </c>
      <c r="D229" s="1" t="s">
        <v>161</v>
      </c>
      <c r="E229" s="1" t="s">
        <v>11</v>
      </c>
      <c r="F229" s="1" t="s">
        <v>165</v>
      </c>
      <c r="H229" s="1">
        <v>0.0</v>
      </c>
      <c r="I229" s="1">
        <v>1.0</v>
      </c>
      <c r="J229" s="1">
        <v>0.0</v>
      </c>
      <c r="K229" s="1">
        <v>12.0</v>
      </c>
      <c r="L229" s="1">
        <v>12.0</v>
      </c>
      <c r="M229" s="1">
        <v>1.0</v>
      </c>
      <c r="N229" s="1">
        <v>18.29000092</v>
      </c>
    </row>
    <row r="230" ht="15.75" customHeight="1">
      <c r="A230" s="1" t="s">
        <v>160</v>
      </c>
      <c r="B230" s="1" t="s">
        <v>39</v>
      </c>
      <c r="C230" s="5">
        <v>45692.0</v>
      </c>
      <c r="D230" s="1" t="s">
        <v>161</v>
      </c>
      <c r="E230" s="1" t="s">
        <v>11</v>
      </c>
      <c r="F230" s="1" t="s">
        <v>162</v>
      </c>
      <c r="H230" s="1">
        <v>0.0</v>
      </c>
      <c r="I230" s="1">
        <v>0.0</v>
      </c>
      <c r="J230" s="1">
        <v>0.0</v>
      </c>
      <c r="K230" s="1">
        <v>0.0</v>
      </c>
      <c r="L230" s="1">
        <v>4.0</v>
      </c>
      <c r="M230" s="1">
        <v>0.0</v>
      </c>
      <c r="N230" s="1">
        <v>6.989999771</v>
      </c>
    </row>
    <row r="231" ht="15.75" customHeight="1">
      <c r="A231" s="1" t="s">
        <v>160</v>
      </c>
      <c r="B231" s="1" t="s">
        <v>39</v>
      </c>
      <c r="C231" s="5">
        <v>45692.0</v>
      </c>
      <c r="D231" s="1" t="s">
        <v>161</v>
      </c>
      <c r="E231" s="1" t="s">
        <v>11</v>
      </c>
      <c r="F231" s="1" t="s">
        <v>166</v>
      </c>
      <c r="H231" s="1">
        <v>0.0</v>
      </c>
      <c r="I231" s="1">
        <v>0.0</v>
      </c>
      <c r="J231" s="1">
        <v>0.0</v>
      </c>
      <c r="K231" s="1">
        <v>0.0</v>
      </c>
      <c r="L231" s="1">
        <v>0.0</v>
      </c>
      <c r="N231" s="1">
        <v>0.0</v>
      </c>
    </row>
    <row r="232" ht="15.75" customHeight="1">
      <c r="A232" s="1" t="s">
        <v>160</v>
      </c>
      <c r="B232" s="1" t="s">
        <v>65</v>
      </c>
      <c r="C232" s="5">
        <v>45692.0</v>
      </c>
      <c r="D232" s="1" t="s">
        <v>161</v>
      </c>
      <c r="E232" s="1" t="s">
        <v>11</v>
      </c>
      <c r="F232" s="1" t="s">
        <v>162</v>
      </c>
      <c r="G232" s="1" t="s">
        <v>182</v>
      </c>
      <c r="H232" s="1">
        <v>2.0</v>
      </c>
      <c r="I232" s="1">
        <v>0.0</v>
      </c>
      <c r="J232" s="1">
        <v>0.0</v>
      </c>
      <c r="K232" s="1">
        <v>2.0</v>
      </c>
      <c r="L232" s="1">
        <v>4.0</v>
      </c>
      <c r="M232" s="1">
        <v>0.5</v>
      </c>
      <c r="N232" s="1">
        <v>7.320000172</v>
      </c>
    </row>
    <row r="233" ht="15.75" customHeight="1">
      <c r="A233" s="1" t="s">
        <v>160</v>
      </c>
      <c r="B233" s="1" t="s">
        <v>77</v>
      </c>
      <c r="C233" s="5">
        <v>45692.0</v>
      </c>
      <c r="D233" s="1" t="s">
        <v>161</v>
      </c>
      <c r="E233" s="1" t="s">
        <v>11</v>
      </c>
      <c r="F233" s="1" t="s">
        <v>162</v>
      </c>
      <c r="G233" s="1" t="s">
        <v>182</v>
      </c>
      <c r="H233" s="1">
        <v>2.0</v>
      </c>
      <c r="I233" s="1">
        <v>0.0</v>
      </c>
      <c r="J233" s="1">
        <v>0.0</v>
      </c>
      <c r="K233" s="1">
        <v>4.0</v>
      </c>
      <c r="L233" s="1">
        <v>6.0</v>
      </c>
      <c r="M233" s="1">
        <v>0.666666667</v>
      </c>
      <c r="N233" s="1">
        <v>7.989999771</v>
      </c>
    </row>
    <row r="234" ht="15.75" customHeight="1">
      <c r="A234" s="1" t="s">
        <v>160</v>
      </c>
      <c r="B234" s="1" t="s">
        <v>90</v>
      </c>
      <c r="C234" s="5">
        <v>45692.0</v>
      </c>
      <c r="D234" s="1" t="s">
        <v>161</v>
      </c>
      <c r="E234" s="1" t="s">
        <v>11</v>
      </c>
      <c r="F234" s="1" t="s">
        <v>165</v>
      </c>
      <c r="G234" s="1" t="s">
        <v>182</v>
      </c>
      <c r="H234" s="1">
        <v>2.0</v>
      </c>
      <c r="I234" s="1">
        <v>0.0</v>
      </c>
      <c r="J234" s="1">
        <v>0.0</v>
      </c>
      <c r="K234" s="1">
        <v>4.0</v>
      </c>
      <c r="L234" s="1">
        <v>7.0</v>
      </c>
      <c r="M234" s="1">
        <v>0.571428571</v>
      </c>
      <c r="N234" s="1">
        <v>5.03000021</v>
      </c>
    </row>
    <row r="235" ht="15.75" customHeight="1">
      <c r="A235" s="1" t="s">
        <v>164</v>
      </c>
      <c r="B235" s="1" t="s">
        <v>24</v>
      </c>
      <c r="C235" s="5">
        <v>45692.0</v>
      </c>
      <c r="D235" s="1" t="s">
        <v>161</v>
      </c>
      <c r="E235" s="1" t="s">
        <v>11</v>
      </c>
      <c r="F235" s="1" t="s">
        <v>166</v>
      </c>
      <c r="G235" s="1" t="s">
        <v>163</v>
      </c>
      <c r="H235" s="1">
        <v>1.0</v>
      </c>
      <c r="I235" s="1">
        <v>0.0</v>
      </c>
      <c r="J235" s="1">
        <v>0.0</v>
      </c>
      <c r="K235" s="1">
        <v>1.0</v>
      </c>
      <c r="L235" s="1">
        <v>1.0</v>
      </c>
      <c r="M235" s="1">
        <v>1.0</v>
      </c>
      <c r="N235" s="1">
        <v>3.710000038</v>
      </c>
    </row>
    <row r="236" ht="15.75" customHeight="1">
      <c r="A236" s="1" t="s">
        <v>164</v>
      </c>
      <c r="B236" s="1" t="s">
        <v>49</v>
      </c>
      <c r="C236" s="5">
        <v>45692.0</v>
      </c>
      <c r="D236" s="1" t="s">
        <v>161</v>
      </c>
      <c r="E236" s="1" t="s">
        <v>11</v>
      </c>
      <c r="F236" s="1" t="s">
        <v>162</v>
      </c>
      <c r="G236" s="1" t="s">
        <v>163</v>
      </c>
      <c r="H236" s="1">
        <v>1.0</v>
      </c>
      <c r="I236" s="1">
        <v>0.0</v>
      </c>
      <c r="J236" s="1">
        <v>0.0</v>
      </c>
      <c r="K236" s="1">
        <v>7.0</v>
      </c>
      <c r="L236" s="1">
        <v>14.0</v>
      </c>
      <c r="M236" s="1">
        <v>0.5</v>
      </c>
      <c r="N236" s="1">
        <v>23.37000084</v>
      </c>
    </row>
    <row r="237" ht="15.75" customHeight="1">
      <c r="A237" s="1" t="s">
        <v>164</v>
      </c>
      <c r="B237" s="1" t="s">
        <v>64</v>
      </c>
      <c r="C237" s="5">
        <v>45692.0</v>
      </c>
      <c r="D237" s="1" t="s">
        <v>161</v>
      </c>
      <c r="E237" s="1" t="s">
        <v>11</v>
      </c>
      <c r="F237" s="1" t="s">
        <v>166</v>
      </c>
      <c r="H237" s="1">
        <v>0.0</v>
      </c>
      <c r="I237" s="1">
        <v>0.0</v>
      </c>
      <c r="J237" s="1">
        <v>0.0</v>
      </c>
      <c r="K237" s="1">
        <v>0.0</v>
      </c>
      <c r="L237" s="1">
        <v>0.0</v>
      </c>
      <c r="N237" s="1">
        <v>6.269999981</v>
      </c>
    </row>
    <row r="238" ht="15.75" customHeight="1">
      <c r="A238" s="1" t="s">
        <v>164</v>
      </c>
      <c r="B238" s="1" t="s">
        <v>60</v>
      </c>
      <c r="C238" s="5">
        <v>45692.0</v>
      </c>
      <c r="D238" s="1" t="s">
        <v>161</v>
      </c>
      <c r="E238" s="1" t="s">
        <v>11</v>
      </c>
      <c r="F238" s="1" t="s">
        <v>166</v>
      </c>
      <c r="H238" s="1">
        <v>0.0</v>
      </c>
      <c r="I238" s="1">
        <v>0.0</v>
      </c>
      <c r="J238" s="1">
        <v>0.0</v>
      </c>
      <c r="K238" s="1">
        <v>0.0</v>
      </c>
      <c r="L238" s="1">
        <v>0.0</v>
      </c>
      <c r="N238" s="1">
        <v>3.099999905</v>
      </c>
    </row>
    <row r="239" ht="15.75" customHeight="1">
      <c r="A239" s="1" t="s">
        <v>164</v>
      </c>
      <c r="B239" s="1" t="s">
        <v>63</v>
      </c>
      <c r="C239" s="5">
        <v>45692.0</v>
      </c>
      <c r="D239" s="1" t="s">
        <v>161</v>
      </c>
      <c r="E239" s="1" t="s">
        <v>11</v>
      </c>
      <c r="F239" s="1" t="s">
        <v>166</v>
      </c>
      <c r="H239" s="1">
        <v>0.0</v>
      </c>
      <c r="I239" s="1">
        <v>0.0</v>
      </c>
      <c r="J239" s="1">
        <v>0.0</v>
      </c>
      <c r="K239" s="1">
        <v>2.0</v>
      </c>
      <c r="L239" s="1">
        <v>3.0</v>
      </c>
      <c r="M239" s="1">
        <v>0.666666667</v>
      </c>
      <c r="N239" s="1">
        <v>3.849999905</v>
      </c>
    </row>
    <row r="240" ht="15.75" customHeight="1">
      <c r="A240" s="1" t="s">
        <v>164</v>
      </c>
      <c r="B240" s="1" t="s">
        <v>68</v>
      </c>
      <c r="C240" s="5">
        <v>45692.0</v>
      </c>
      <c r="D240" s="1" t="s">
        <v>161</v>
      </c>
      <c r="E240" s="1" t="s">
        <v>11</v>
      </c>
      <c r="F240" s="1" t="s">
        <v>165</v>
      </c>
      <c r="H240" s="1">
        <v>0.0</v>
      </c>
      <c r="I240" s="1">
        <v>0.0</v>
      </c>
      <c r="J240" s="1">
        <v>0.0</v>
      </c>
      <c r="K240" s="1">
        <v>3.0</v>
      </c>
      <c r="L240" s="1">
        <v>3.0</v>
      </c>
      <c r="M240" s="1">
        <v>1.0</v>
      </c>
      <c r="N240" s="1">
        <v>3.859999895</v>
      </c>
    </row>
    <row r="241" ht="15.75" customHeight="1">
      <c r="A241" s="1" t="s">
        <v>164</v>
      </c>
      <c r="B241" s="1" t="s">
        <v>74</v>
      </c>
      <c r="C241" s="5">
        <v>45692.0</v>
      </c>
      <c r="D241" s="1" t="s">
        <v>161</v>
      </c>
      <c r="E241" s="1" t="s">
        <v>11</v>
      </c>
      <c r="H241" s="1">
        <v>0.0</v>
      </c>
      <c r="J241" s="1">
        <v>0.0</v>
      </c>
      <c r="N241" s="1">
        <v>6.349999905</v>
      </c>
    </row>
    <row r="242" ht="15.75" customHeight="1">
      <c r="A242" s="1" t="s">
        <v>164</v>
      </c>
      <c r="B242" s="1" t="s">
        <v>75</v>
      </c>
      <c r="C242" s="5">
        <v>45692.0</v>
      </c>
      <c r="D242" s="1" t="s">
        <v>161</v>
      </c>
      <c r="E242" s="1" t="s">
        <v>11</v>
      </c>
      <c r="F242" s="1" t="s">
        <v>165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N242" s="1">
        <v>4.849999905</v>
      </c>
    </row>
    <row r="243" ht="15.75" customHeight="1">
      <c r="A243" s="1" t="s">
        <v>164</v>
      </c>
      <c r="B243" s="1" t="s">
        <v>100</v>
      </c>
      <c r="C243" s="5">
        <v>45692.0</v>
      </c>
      <c r="D243" s="1" t="s">
        <v>161</v>
      </c>
      <c r="E243" s="1" t="s">
        <v>11</v>
      </c>
      <c r="F243" s="1" t="s">
        <v>171</v>
      </c>
      <c r="H243" s="1">
        <v>0.0</v>
      </c>
      <c r="I243" s="1">
        <v>0.0</v>
      </c>
      <c r="J243" s="1">
        <v>0.0</v>
      </c>
      <c r="K243" s="1">
        <v>0.0</v>
      </c>
      <c r="L243" s="1">
        <v>0.0</v>
      </c>
      <c r="N243" s="1">
        <v>0.419999987</v>
      </c>
    </row>
    <row r="244" ht="15.75" customHeight="1">
      <c r="A244" s="1" t="s">
        <v>164</v>
      </c>
      <c r="B244" s="1" t="s">
        <v>82</v>
      </c>
      <c r="C244" s="5">
        <v>45692.0</v>
      </c>
      <c r="D244" s="1" t="s">
        <v>161</v>
      </c>
      <c r="E244" s="1" t="s">
        <v>11</v>
      </c>
      <c r="F244" s="1" t="s">
        <v>166</v>
      </c>
      <c r="G244" s="1" t="s">
        <v>163</v>
      </c>
      <c r="H244" s="1">
        <v>1.0</v>
      </c>
      <c r="I244" s="1">
        <v>0.0</v>
      </c>
      <c r="J244" s="1">
        <v>0.0</v>
      </c>
      <c r="K244" s="1">
        <v>12.0</v>
      </c>
      <c r="L244" s="1">
        <v>14.0</v>
      </c>
      <c r="M244" s="1">
        <v>0.857142857</v>
      </c>
      <c r="N244" s="1">
        <v>13.22999954</v>
      </c>
    </row>
    <row r="245" ht="15.75" customHeight="1">
      <c r="A245" s="1" t="s">
        <v>164</v>
      </c>
      <c r="B245" s="1" t="s">
        <v>64</v>
      </c>
      <c r="C245" s="5">
        <v>45691.0</v>
      </c>
      <c r="D245" s="1" t="s">
        <v>161</v>
      </c>
      <c r="E245" s="1" t="s">
        <v>11</v>
      </c>
      <c r="F245" s="1" t="s">
        <v>166</v>
      </c>
      <c r="G245" s="1" t="s">
        <v>163</v>
      </c>
      <c r="H245" s="1">
        <v>1.0</v>
      </c>
      <c r="I245" s="1">
        <v>0.0</v>
      </c>
      <c r="J245" s="1">
        <v>0.0</v>
      </c>
      <c r="K245" s="1">
        <v>0.0</v>
      </c>
      <c r="L245" s="1">
        <v>10.0</v>
      </c>
      <c r="M245" s="1">
        <v>0.0</v>
      </c>
      <c r="N245" s="1">
        <v>8.539999962</v>
      </c>
    </row>
    <row r="246" ht="15.75" customHeight="1">
      <c r="A246" s="1" t="s">
        <v>164</v>
      </c>
      <c r="B246" s="1" t="s">
        <v>82</v>
      </c>
      <c r="C246" s="5">
        <v>45691.0</v>
      </c>
      <c r="D246" s="1" t="s">
        <v>161</v>
      </c>
      <c r="E246" s="1" t="s">
        <v>11</v>
      </c>
      <c r="F246" s="1" t="s">
        <v>166</v>
      </c>
      <c r="G246" s="1" t="s">
        <v>163</v>
      </c>
      <c r="H246" s="1">
        <v>1.0</v>
      </c>
      <c r="I246" s="1">
        <v>0.0</v>
      </c>
      <c r="J246" s="1">
        <v>0.0</v>
      </c>
      <c r="K246" s="1">
        <v>5.0</v>
      </c>
      <c r="L246" s="1">
        <v>6.0</v>
      </c>
      <c r="M246" s="1">
        <v>0.833333333</v>
      </c>
      <c r="N246" s="1">
        <v>6.28000021</v>
      </c>
    </row>
    <row r="247" ht="15.75" customHeight="1">
      <c r="A247" s="1" t="s">
        <v>160</v>
      </c>
      <c r="B247" s="1" t="s">
        <v>186</v>
      </c>
      <c r="C247" s="5">
        <v>45690.0</v>
      </c>
      <c r="D247" s="1" t="s">
        <v>161</v>
      </c>
      <c r="E247" s="1" t="s">
        <v>11</v>
      </c>
      <c r="F247" s="1" t="s">
        <v>166</v>
      </c>
      <c r="H247" s="1">
        <v>0.0</v>
      </c>
      <c r="I247" s="1">
        <v>0.0</v>
      </c>
      <c r="J247" s="1">
        <v>0.0</v>
      </c>
      <c r="K247" s="1">
        <v>3.0</v>
      </c>
      <c r="L247" s="1">
        <v>12.0</v>
      </c>
      <c r="M247" s="1">
        <v>0.25</v>
      </c>
      <c r="N247" s="1">
        <v>29.95000076</v>
      </c>
    </row>
    <row r="248" ht="15.75" customHeight="1">
      <c r="A248" s="1" t="s">
        <v>160</v>
      </c>
      <c r="B248" s="1" t="s">
        <v>90</v>
      </c>
      <c r="C248" s="5">
        <v>45689.0</v>
      </c>
      <c r="D248" s="1" t="s">
        <v>161</v>
      </c>
      <c r="E248" s="1" t="s">
        <v>11</v>
      </c>
      <c r="F248" s="1" t="s">
        <v>165</v>
      </c>
      <c r="H248" s="1">
        <v>0.0</v>
      </c>
      <c r="I248" s="1">
        <v>0.0</v>
      </c>
      <c r="J248" s="1">
        <v>0.0</v>
      </c>
      <c r="K248" s="1">
        <v>0.0</v>
      </c>
      <c r="L248" s="1">
        <v>0.0</v>
      </c>
      <c r="N248" s="1">
        <v>0.730000019</v>
      </c>
    </row>
    <row r="249" ht="15.75" customHeight="1">
      <c r="A249" s="1" t="s">
        <v>160</v>
      </c>
      <c r="B249" s="1" t="s">
        <v>18</v>
      </c>
      <c r="C249" s="5">
        <v>45688.0</v>
      </c>
      <c r="D249" s="1" t="s">
        <v>161</v>
      </c>
      <c r="E249" s="1" t="s">
        <v>11</v>
      </c>
      <c r="F249" s="1" t="s">
        <v>162</v>
      </c>
      <c r="G249" s="1" t="s">
        <v>163</v>
      </c>
      <c r="H249" s="1">
        <v>1.0</v>
      </c>
      <c r="I249" s="1">
        <v>0.0</v>
      </c>
      <c r="J249" s="1">
        <v>0.0</v>
      </c>
      <c r="K249" s="1">
        <v>9.0</v>
      </c>
      <c r="L249" s="1">
        <v>13.0</v>
      </c>
      <c r="M249" s="1">
        <v>0.692307692</v>
      </c>
      <c r="N249" s="1">
        <v>7.210000038</v>
      </c>
    </row>
    <row r="250" ht="15.75" customHeight="1">
      <c r="A250" s="1" t="s">
        <v>160</v>
      </c>
      <c r="B250" s="1" t="s">
        <v>20</v>
      </c>
      <c r="C250" s="5">
        <v>45688.0</v>
      </c>
      <c r="D250" s="1" t="s">
        <v>161</v>
      </c>
      <c r="E250" s="1" t="s">
        <v>11</v>
      </c>
      <c r="F250" s="1" t="s">
        <v>162</v>
      </c>
      <c r="G250" s="1" t="s">
        <v>163</v>
      </c>
      <c r="H250" s="1">
        <v>1.0</v>
      </c>
      <c r="I250" s="1">
        <v>0.0</v>
      </c>
      <c r="J250" s="1">
        <v>0.0</v>
      </c>
      <c r="K250" s="1">
        <v>16.0</v>
      </c>
      <c r="L250" s="1">
        <v>33.0</v>
      </c>
      <c r="M250" s="1">
        <v>0.484848485</v>
      </c>
      <c r="N250" s="1">
        <v>10.40999985</v>
      </c>
    </row>
    <row r="251" ht="15.75" customHeight="1">
      <c r="A251" s="1" t="s">
        <v>160</v>
      </c>
      <c r="B251" s="1" t="s">
        <v>59</v>
      </c>
      <c r="C251" s="5">
        <v>45688.0</v>
      </c>
      <c r="D251" s="1" t="s">
        <v>161</v>
      </c>
      <c r="E251" s="1" t="s">
        <v>11</v>
      </c>
      <c r="F251" s="1" t="s">
        <v>165</v>
      </c>
      <c r="G251" s="1" t="s">
        <v>163</v>
      </c>
      <c r="H251" s="1">
        <v>1.0</v>
      </c>
      <c r="I251" s="1">
        <v>0.0</v>
      </c>
      <c r="J251" s="1">
        <v>0.0</v>
      </c>
      <c r="K251" s="1">
        <v>0.0</v>
      </c>
      <c r="L251" s="1">
        <v>4.0</v>
      </c>
      <c r="M251" s="1">
        <v>0.0</v>
      </c>
      <c r="N251" s="1">
        <v>1.769999981</v>
      </c>
    </row>
    <row r="252" ht="15.75" customHeight="1">
      <c r="A252" s="1" t="s">
        <v>164</v>
      </c>
      <c r="B252" s="1" t="s">
        <v>24</v>
      </c>
      <c r="C252" s="5">
        <v>45688.0</v>
      </c>
      <c r="D252" s="1" t="s">
        <v>161</v>
      </c>
      <c r="E252" s="1" t="s">
        <v>11</v>
      </c>
      <c r="F252" s="1" t="s">
        <v>166</v>
      </c>
      <c r="G252" s="1" t="s">
        <v>163</v>
      </c>
      <c r="H252" s="1">
        <v>1.0</v>
      </c>
      <c r="I252" s="1">
        <v>0.0</v>
      </c>
      <c r="J252" s="1">
        <v>0.0</v>
      </c>
      <c r="K252" s="1">
        <v>2.0</v>
      </c>
      <c r="L252" s="1">
        <v>5.0</v>
      </c>
      <c r="M252" s="1">
        <v>0.4</v>
      </c>
      <c r="N252" s="1">
        <v>8.949999809</v>
      </c>
    </row>
    <row r="253" ht="15.75" customHeight="1">
      <c r="A253" s="1" t="s">
        <v>164</v>
      </c>
      <c r="B253" s="1" t="s">
        <v>64</v>
      </c>
      <c r="C253" s="5">
        <v>45688.0</v>
      </c>
      <c r="D253" s="1" t="s">
        <v>161</v>
      </c>
      <c r="E253" s="1" t="s">
        <v>11</v>
      </c>
      <c r="F253" s="1" t="s">
        <v>166</v>
      </c>
      <c r="G253" s="1" t="s">
        <v>163</v>
      </c>
      <c r="H253" s="1">
        <v>1.0</v>
      </c>
      <c r="I253" s="1">
        <v>0.0</v>
      </c>
      <c r="J253" s="1">
        <v>0.0</v>
      </c>
      <c r="K253" s="1">
        <v>0.0</v>
      </c>
      <c r="L253" s="1">
        <v>12.0</v>
      </c>
      <c r="M253" s="1">
        <v>0.0</v>
      </c>
      <c r="N253" s="1">
        <v>22.46999931</v>
      </c>
    </row>
    <row r="254" ht="15.75" customHeight="1">
      <c r="A254" s="1" t="s">
        <v>164</v>
      </c>
      <c r="B254" s="1" t="s">
        <v>100</v>
      </c>
      <c r="C254" s="5">
        <v>45688.0</v>
      </c>
      <c r="D254" s="1" t="s">
        <v>161</v>
      </c>
      <c r="E254" s="1" t="s">
        <v>11</v>
      </c>
      <c r="F254" s="1" t="s">
        <v>171</v>
      </c>
      <c r="G254" s="1" t="s">
        <v>163</v>
      </c>
      <c r="H254" s="1">
        <v>1.0</v>
      </c>
      <c r="I254" s="1">
        <v>0.0</v>
      </c>
      <c r="J254" s="1">
        <v>0.0</v>
      </c>
      <c r="K254" s="1">
        <v>0.0</v>
      </c>
      <c r="L254" s="1">
        <v>1.0</v>
      </c>
      <c r="M254" s="1">
        <v>0.0</v>
      </c>
      <c r="N254" s="1">
        <v>1.980000019</v>
      </c>
    </row>
    <row r="255" ht="15.75" customHeight="1">
      <c r="A255" s="1" t="s">
        <v>164</v>
      </c>
      <c r="B255" s="1" t="s">
        <v>82</v>
      </c>
      <c r="C255" s="5">
        <v>45688.0</v>
      </c>
      <c r="D255" s="1" t="s">
        <v>161</v>
      </c>
      <c r="E255" s="1" t="s">
        <v>11</v>
      </c>
      <c r="F255" s="1" t="s">
        <v>166</v>
      </c>
      <c r="G255" s="1" t="s">
        <v>182</v>
      </c>
      <c r="H255" s="1">
        <v>2.0</v>
      </c>
      <c r="I255" s="1">
        <v>0.0</v>
      </c>
      <c r="J255" s="1">
        <v>0.0</v>
      </c>
      <c r="K255" s="1">
        <v>25.0</v>
      </c>
      <c r="L255" s="1">
        <v>40.0</v>
      </c>
      <c r="M255" s="1">
        <v>0.625</v>
      </c>
      <c r="N255" s="1">
        <v>33.93999863</v>
      </c>
    </row>
    <row r="256" ht="15.75" customHeight="1">
      <c r="A256" s="1" t="s">
        <v>160</v>
      </c>
      <c r="B256" s="1" t="s">
        <v>26</v>
      </c>
      <c r="C256" s="5">
        <v>45687.0</v>
      </c>
      <c r="D256" s="1" t="s">
        <v>161</v>
      </c>
      <c r="E256" s="1" t="s">
        <v>11</v>
      </c>
      <c r="F256" s="1" t="s">
        <v>162</v>
      </c>
      <c r="H256" s="1">
        <v>0.0</v>
      </c>
      <c r="I256" s="1">
        <v>0.0</v>
      </c>
      <c r="J256" s="1">
        <v>0.0</v>
      </c>
      <c r="K256" s="1">
        <v>7.0</v>
      </c>
      <c r="L256" s="1">
        <v>17.0</v>
      </c>
      <c r="M256" s="1">
        <v>0.411764706</v>
      </c>
      <c r="N256" s="1">
        <v>27.37999916</v>
      </c>
    </row>
    <row r="257" ht="15.75" customHeight="1">
      <c r="A257" s="1" t="s">
        <v>164</v>
      </c>
      <c r="B257" s="1" t="s">
        <v>22</v>
      </c>
      <c r="C257" s="5">
        <v>45687.0</v>
      </c>
      <c r="D257" s="1" t="s">
        <v>161</v>
      </c>
      <c r="E257" s="1" t="s">
        <v>11</v>
      </c>
      <c r="F257" s="1" t="s">
        <v>166</v>
      </c>
      <c r="G257" s="1" t="s">
        <v>163</v>
      </c>
      <c r="H257" s="1">
        <v>1.0</v>
      </c>
      <c r="I257" s="1">
        <v>0.0</v>
      </c>
      <c r="J257" s="1">
        <v>0.0</v>
      </c>
      <c r="K257" s="1">
        <v>1.0</v>
      </c>
      <c r="L257" s="1">
        <v>1.0</v>
      </c>
      <c r="M257" s="1">
        <v>1.0</v>
      </c>
      <c r="N257" s="1">
        <v>3.359999895</v>
      </c>
    </row>
    <row r="258" ht="15.75" customHeight="1">
      <c r="A258" s="1" t="s">
        <v>164</v>
      </c>
      <c r="B258" s="1" t="s">
        <v>24</v>
      </c>
      <c r="C258" s="5">
        <v>45687.0</v>
      </c>
      <c r="D258" s="1" t="s">
        <v>161</v>
      </c>
      <c r="E258" s="1" t="s">
        <v>11</v>
      </c>
      <c r="F258" s="1" t="s">
        <v>166</v>
      </c>
      <c r="G258" s="1" t="s">
        <v>163</v>
      </c>
      <c r="H258" s="1">
        <v>1.0</v>
      </c>
      <c r="I258" s="1">
        <v>0.0</v>
      </c>
      <c r="J258" s="1">
        <v>0.0</v>
      </c>
      <c r="K258" s="1">
        <v>0.0</v>
      </c>
      <c r="L258" s="1">
        <v>1.0</v>
      </c>
      <c r="M258" s="1">
        <v>0.0</v>
      </c>
      <c r="N258" s="1">
        <v>4.960000038</v>
      </c>
    </row>
    <row r="259" ht="15.75" customHeight="1">
      <c r="A259" s="1" t="s">
        <v>164</v>
      </c>
      <c r="B259" s="1" t="s">
        <v>52</v>
      </c>
      <c r="C259" s="5">
        <v>45687.0</v>
      </c>
      <c r="D259" s="1" t="s">
        <v>161</v>
      </c>
      <c r="E259" s="1" t="s">
        <v>11</v>
      </c>
      <c r="F259" s="1" t="s">
        <v>165</v>
      </c>
      <c r="H259" s="1">
        <v>0.0</v>
      </c>
      <c r="I259" s="1">
        <v>0.0</v>
      </c>
      <c r="J259" s="1">
        <v>0.0</v>
      </c>
      <c r="K259" s="1">
        <v>0.0</v>
      </c>
      <c r="L259" s="1">
        <v>0.0</v>
      </c>
      <c r="N259" s="1">
        <v>1.159999967</v>
      </c>
    </row>
    <row r="260" ht="15.75" customHeight="1">
      <c r="A260" s="1" t="s">
        <v>164</v>
      </c>
      <c r="B260" s="1" t="s">
        <v>64</v>
      </c>
      <c r="C260" s="5">
        <v>45687.0</v>
      </c>
      <c r="D260" s="1" t="s">
        <v>161</v>
      </c>
      <c r="E260" s="1" t="s">
        <v>11</v>
      </c>
      <c r="F260" s="1" t="s">
        <v>166</v>
      </c>
      <c r="H260" s="1">
        <v>0.0</v>
      </c>
      <c r="I260" s="1">
        <v>0.0</v>
      </c>
      <c r="J260" s="1">
        <v>0.0</v>
      </c>
      <c r="K260" s="1">
        <v>5.0</v>
      </c>
      <c r="L260" s="1">
        <v>8.0</v>
      </c>
      <c r="M260" s="1">
        <v>0.625</v>
      </c>
      <c r="N260" s="1">
        <v>17.78000069</v>
      </c>
    </row>
    <row r="261" ht="15.75" customHeight="1">
      <c r="A261" s="1" t="s">
        <v>164</v>
      </c>
      <c r="B261" s="1" t="s">
        <v>100</v>
      </c>
      <c r="C261" s="5">
        <v>45687.0</v>
      </c>
      <c r="D261" s="1" t="s">
        <v>161</v>
      </c>
      <c r="E261" s="1" t="s">
        <v>11</v>
      </c>
      <c r="F261" s="1" t="s">
        <v>171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N261" s="1">
        <v>1.919999957</v>
      </c>
    </row>
    <row r="262" ht="15.75" customHeight="1">
      <c r="A262" s="1" t="s">
        <v>164</v>
      </c>
      <c r="B262" s="1" t="s">
        <v>82</v>
      </c>
      <c r="C262" s="5">
        <v>45687.0</v>
      </c>
      <c r="D262" s="1" t="s">
        <v>161</v>
      </c>
      <c r="E262" s="1" t="s">
        <v>11</v>
      </c>
      <c r="F262" s="1" t="s">
        <v>166</v>
      </c>
      <c r="H262" s="1">
        <v>0.0</v>
      </c>
      <c r="I262" s="1">
        <v>0.0</v>
      </c>
      <c r="J262" s="1">
        <v>0.0</v>
      </c>
      <c r="K262" s="1">
        <v>1.0</v>
      </c>
      <c r="L262" s="1">
        <v>4.0</v>
      </c>
      <c r="M262" s="1">
        <v>0.25</v>
      </c>
      <c r="N262" s="1">
        <v>7.429999828</v>
      </c>
    </row>
    <row r="263" ht="15.75" customHeight="1">
      <c r="A263" s="1" t="s">
        <v>160</v>
      </c>
      <c r="B263" s="1" t="s">
        <v>89</v>
      </c>
      <c r="C263" s="5">
        <v>45686.0</v>
      </c>
      <c r="D263" s="1" t="s">
        <v>161</v>
      </c>
      <c r="E263" s="1" t="s">
        <v>11</v>
      </c>
      <c r="H263" s="1">
        <v>0.0</v>
      </c>
      <c r="J263" s="1">
        <v>0.0</v>
      </c>
      <c r="N263" s="1">
        <v>0.389999986</v>
      </c>
    </row>
    <row r="264" ht="15.75" customHeight="1">
      <c r="A264" s="1" t="s">
        <v>164</v>
      </c>
      <c r="B264" s="1" t="s">
        <v>49</v>
      </c>
      <c r="C264" s="5">
        <v>45686.0</v>
      </c>
      <c r="D264" s="1" t="s">
        <v>161</v>
      </c>
      <c r="E264" s="1" t="s">
        <v>11</v>
      </c>
      <c r="H264" s="1">
        <v>0.0</v>
      </c>
      <c r="J264" s="1">
        <v>0.0</v>
      </c>
      <c r="N264" s="1">
        <v>0.569999993</v>
      </c>
    </row>
    <row r="265" ht="15.75" customHeight="1">
      <c r="A265" s="1" t="s">
        <v>164</v>
      </c>
      <c r="B265" s="1" t="s">
        <v>64</v>
      </c>
      <c r="C265" s="5">
        <v>45686.0</v>
      </c>
      <c r="D265" s="1" t="s">
        <v>161</v>
      </c>
      <c r="E265" s="1" t="s">
        <v>11</v>
      </c>
      <c r="F265" s="1" t="s">
        <v>166</v>
      </c>
      <c r="H265" s="1">
        <v>0.0</v>
      </c>
      <c r="I265" s="1">
        <v>0.0</v>
      </c>
      <c r="J265" s="1">
        <v>0.0</v>
      </c>
      <c r="K265" s="1">
        <v>2.0</v>
      </c>
      <c r="L265" s="1">
        <v>6.0</v>
      </c>
      <c r="M265" s="1">
        <v>0.333333333</v>
      </c>
      <c r="N265" s="1">
        <v>8.479999542</v>
      </c>
    </row>
    <row r="266" ht="15.75" customHeight="1">
      <c r="A266" s="1" t="s">
        <v>164</v>
      </c>
      <c r="B266" s="1" t="s">
        <v>74</v>
      </c>
      <c r="C266" s="5">
        <v>45686.0</v>
      </c>
      <c r="D266" s="1" t="s">
        <v>161</v>
      </c>
      <c r="E266" s="1" t="s">
        <v>11</v>
      </c>
      <c r="F266" s="1" t="s">
        <v>166</v>
      </c>
      <c r="H266" s="1">
        <v>0.0</v>
      </c>
      <c r="I266" s="1">
        <v>0.0</v>
      </c>
      <c r="J266" s="1">
        <v>0.0</v>
      </c>
      <c r="K266" s="1">
        <v>0.0</v>
      </c>
      <c r="L266" s="1">
        <v>0.0</v>
      </c>
      <c r="N266" s="1">
        <v>0.0</v>
      </c>
    </row>
    <row r="267" ht="15.75" customHeight="1">
      <c r="A267" s="1" t="s">
        <v>164</v>
      </c>
      <c r="B267" s="1" t="s">
        <v>74</v>
      </c>
      <c r="C267" s="5">
        <v>45686.0</v>
      </c>
      <c r="D267" s="1" t="s">
        <v>161</v>
      </c>
      <c r="E267" s="1" t="s">
        <v>11</v>
      </c>
      <c r="F267" s="1" t="s">
        <v>171</v>
      </c>
      <c r="H267" s="1">
        <v>0.0</v>
      </c>
      <c r="I267" s="1">
        <v>0.0</v>
      </c>
      <c r="J267" s="1">
        <v>0.0</v>
      </c>
      <c r="K267" s="1">
        <v>0.0</v>
      </c>
      <c r="L267" s="1">
        <v>1.0</v>
      </c>
      <c r="M267" s="1">
        <v>0.0</v>
      </c>
      <c r="N267" s="1">
        <v>24.01000023</v>
      </c>
    </row>
    <row r="268" ht="15.75" customHeight="1">
      <c r="A268" s="1" t="s">
        <v>164</v>
      </c>
      <c r="B268" s="1" t="s">
        <v>82</v>
      </c>
      <c r="C268" s="5">
        <v>45686.0</v>
      </c>
      <c r="D268" s="1" t="s">
        <v>161</v>
      </c>
      <c r="E268" s="1" t="s">
        <v>11</v>
      </c>
      <c r="F268" s="1" t="s">
        <v>166</v>
      </c>
      <c r="G268" s="1" t="s">
        <v>163</v>
      </c>
      <c r="H268" s="1">
        <v>1.0</v>
      </c>
      <c r="I268" s="1">
        <v>0.0</v>
      </c>
      <c r="J268" s="1">
        <v>0.0</v>
      </c>
      <c r="K268" s="1">
        <v>5.0</v>
      </c>
      <c r="L268" s="1">
        <v>9.0</v>
      </c>
      <c r="M268" s="1">
        <v>0.555555556</v>
      </c>
      <c r="N268" s="1">
        <v>11.59000015</v>
      </c>
    </row>
    <row r="269" ht="15.75" customHeight="1">
      <c r="A269" s="1" t="s">
        <v>160</v>
      </c>
      <c r="B269" s="1" t="s">
        <v>18</v>
      </c>
      <c r="C269" s="5">
        <v>45685.0</v>
      </c>
      <c r="D269" s="1" t="s">
        <v>161</v>
      </c>
      <c r="E269" s="1" t="s">
        <v>11</v>
      </c>
      <c r="F269" s="1" t="s">
        <v>162</v>
      </c>
      <c r="H269" s="1">
        <v>0.0</v>
      </c>
      <c r="I269" s="1">
        <v>0.0</v>
      </c>
      <c r="J269" s="1">
        <v>0.0</v>
      </c>
      <c r="K269" s="1">
        <v>0.0</v>
      </c>
      <c r="L269" s="1">
        <v>0.0</v>
      </c>
      <c r="N269" s="1">
        <v>2.200000048</v>
      </c>
    </row>
    <row r="270" ht="15.75" customHeight="1">
      <c r="A270" s="1" t="s">
        <v>160</v>
      </c>
      <c r="B270" s="1" t="s">
        <v>189</v>
      </c>
      <c r="C270" s="5">
        <v>45684.0</v>
      </c>
      <c r="D270" s="1" t="s">
        <v>161</v>
      </c>
      <c r="E270" s="1" t="s">
        <v>11</v>
      </c>
      <c r="H270" s="1">
        <v>0.0</v>
      </c>
      <c r="J270" s="1">
        <v>0.0</v>
      </c>
      <c r="N270" s="1">
        <v>0.07</v>
      </c>
    </row>
    <row r="271" ht="15.75" customHeight="1">
      <c r="A271" s="1" t="s">
        <v>160</v>
      </c>
      <c r="B271" s="1" t="s">
        <v>18</v>
      </c>
      <c r="C271" s="5">
        <v>45684.0</v>
      </c>
      <c r="D271" s="1" t="s">
        <v>161</v>
      </c>
      <c r="E271" s="1" t="s">
        <v>11</v>
      </c>
      <c r="F271" s="1" t="s">
        <v>162</v>
      </c>
      <c r="H271" s="1">
        <v>0.0</v>
      </c>
      <c r="I271" s="1">
        <v>0.0</v>
      </c>
      <c r="J271" s="1">
        <v>0.0</v>
      </c>
      <c r="K271" s="1">
        <v>10.0</v>
      </c>
      <c r="L271" s="1">
        <v>17.0</v>
      </c>
      <c r="M271" s="1">
        <v>0.588235294</v>
      </c>
      <c r="N271" s="1">
        <v>10.39000034</v>
      </c>
    </row>
    <row r="272" ht="15.75" customHeight="1">
      <c r="A272" s="1" t="s">
        <v>160</v>
      </c>
      <c r="B272" s="1" t="s">
        <v>89</v>
      </c>
      <c r="C272" s="5">
        <v>45684.0</v>
      </c>
      <c r="D272" s="1" t="s">
        <v>161</v>
      </c>
      <c r="E272" s="1" t="s">
        <v>11</v>
      </c>
      <c r="F272" s="1" t="s">
        <v>165</v>
      </c>
      <c r="H272" s="1">
        <v>0.0</v>
      </c>
      <c r="I272" s="1">
        <v>0.0</v>
      </c>
      <c r="J272" s="1">
        <v>0.0</v>
      </c>
      <c r="K272" s="1">
        <v>3.0</v>
      </c>
      <c r="L272" s="1">
        <v>7.0</v>
      </c>
      <c r="M272" s="1">
        <v>0.428571429</v>
      </c>
      <c r="N272" s="1">
        <v>5.179999828</v>
      </c>
    </row>
    <row r="273" ht="15.75" customHeight="1">
      <c r="A273" s="1" t="s">
        <v>164</v>
      </c>
      <c r="B273" s="1" t="s">
        <v>64</v>
      </c>
      <c r="C273" s="5">
        <v>45684.0</v>
      </c>
      <c r="D273" s="1" t="s">
        <v>161</v>
      </c>
      <c r="E273" s="1" t="s">
        <v>11</v>
      </c>
      <c r="F273" s="1" t="s">
        <v>166</v>
      </c>
      <c r="H273" s="1">
        <v>0.0</v>
      </c>
      <c r="I273" s="1">
        <v>0.0</v>
      </c>
      <c r="J273" s="1">
        <v>0.0</v>
      </c>
      <c r="K273" s="1">
        <v>4.0</v>
      </c>
      <c r="L273" s="1">
        <v>6.0</v>
      </c>
      <c r="M273" s="1">
        <v>0.666666667</v>
      </c>
      <c r="N273" s="1">
        <v>10.0</v>
      </c>
    </row>
    <row r="274" ht="15.75" customHeight="1">
      <c r="A274" s="1" t="s">
        <v>164</v>
      </c>
      <c r="B274" s="1" t="s">
        <v>24</v>
      </c>
      <c r="C274" s="5">
        <v>45681.0</v>
      </c>
      <c r="D274" s="1" t="s">
        <v>161</v>
      </c>
      <c r="E274" s="1" t="s">
        <v>11</v>
      </c>
      <c r="F274" s="1" t="s">
        <v>166</v>
      </c>
      <c r="H274" s="1">
        <v>0.0</v>
      </c>
      <c r="I274" s="1">
        <v>0.0</v>
      </c>
      <c r="J274" s="1">
        <v>0.0</v>
      </c>
      <c r="K274" s="1">
        <v>2.0</v>
      </c>
      <c r="L274" s="1">
        <v>5.0</v>
      </c>
      <c r="M274" s="1">
        <v>0.4</v>
      </c>
      <c r="N274" s="1">
        <v>16.27000046</v>
      </c>
    </row>
    <row r="275" ht="15.75" customHeight="1">
      <c r="A275" s="1" t="s">
        <v>164</v>
      </c>
      <c r="B275" s="1" t="s">
        <v>49</v>
      </c>
      <c r="C275" s="5">
        <v>45681.0</v>
      </c>
      <c r="D275" s="1" t="s">
        <v>161</v>
      </c>
      <c r="E275" s="1" t="s">
        <v>11</v>
      </c>
      <c r="F275" s="1" t="s">
        <v>162</v>
      </c>
      <c r="H275" s="1">
        <v>0.0</v>
      </c>
      <c r="I275" s="1">
        <v>0.0</v>
      </c>
      <c r="J275" s="1">
        <v>0.0</v>
      </c>
      <c r="K275" s="1">
        <v>6.0</v>
      </c>
      <c r="L275" s="1">
        <v>15.0</v>
      </c>
      <c r="M275" s="1">
        <v>0.4</v>
      </c>
      <c r="N275" s="1">
        <v>25.40999985</v>
      </c>
    </row>
    <row r="276" ht="15.75" customHeight="1">
      <c r="A276" s="1" t="s">
        <v>164</v>
      </c>
      <c r="B276" s="1" t="s">
        <v>64</v>
      </c>
      <c r="C276" s="5">
        <v>45681.0</v>
      </c>
      <c r="D276" s="1" t="s">
        <v>161</v>
      </c>
      <c r="E276" s="1" t="s">
        <v>11</v>
      </c>
      <c r="F276" s="1" t="s">
        <v>166</v>
      </c>
      <c r="H276" s="1">
        <v>0.0</v>
      </c>
      <c r="I276" s="1">
        <v>0.0</v>
      </c>
      <c r="J276" s="1">
        <v>0.0</v>
      </c>
      <c r="K276" s="1">
        <v>1.0</v>
      </c>
      <c r="L276" s="1">
        <v>1.0</v>
      </c>
      <c r="M276" s="1">
        <v>1.0</v>
      </c>
      <c r="N276" s="1">
        <v>4.3800001139999996</v>
      </c>
    </row>
    <row r="277" ht="15.75" customHeight="1">
      <c r="A277" s="1" t="s">
        <v>164</v>
      </c>
      <c r="B277" s="1" t="s">
        <v>81</v>
      </c>
      <c r="C277" s="5">
        <v>45681.0</v>
      </c>
      <c r="D277" s="1" t="s">
        <v>161</v>
      </c>
      <c r="E277" s="1" t="s">
        <v>11</v>
      </c>
      <c r="F277" s="1" t="s">
        <v>168</v>
      </c>
      <c r="G277" s="1" t="s">
        <v>163</v>
      </c>
      <c r="H277" s="1">
        <v>1.0</v>
      </c>
      <c r="I277" s="1">
        <v>0.0</v>
      </c>
      <c r="J277" s="1">
        <v>0.0</v>
      </c>
      <c r="K277" s="1">
        <v>0.0</v>
      </c>
      <c r="L277" s="1">
        <v>2.0</v>
      </c>
      <c r="M277" s="1">
        <v>0.0</v>
      </c>
      <c r="N277" s="1">
        <v>2.390000105</v>
      </c>
    </row>
    <row r="278" ht="15.75" customHeight="1">
      <c r="A278" s="1" t="s">
        <v>164</v>
      </c>
      <c r="B278" s="1" t="s">
        <v>183</v>
      </c>
      <c r="C278" s="5">
        <v>45681.0</v>
      </c>
      <c r="D278" s="1" t="s">
        <v>161</v>
      </c>
      <c r="E278" s="1" t="s">
        <v>11</v>
      </c>
      <c r="F278" s="1" t="s">
        <v>166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N278" s="1">
        <v>5.3699998860000004</v>
      </c>
    </row>
    <row r="279" ht="15.75" customHeight="1">
      <c r="A279" s="1" t="s">
        <v>164</v>
      </c>
      <c r="B279" s="1" t="s">
        <v>75</v>
      </c>
      <c r="C279" s="5">
        <v>45681.0</v>
      </c>
      <c r="D279" s="1" t="s">
        <v>161</v>
      </c>
      <c r="E279" s="1" t="s">
        <v>11</v>
      </c>
      <c r="F279" s="1" t="s">
        <v>165</v>
      </c>
      <c r="H279" s="1">
        <v>0.0</v>
      </c>
      <c r="I279" s="1">
        <v>0.0</v>
      </c>
      <c r="J279" s="1">
        <v>0.0</v>
      </c>
      <c r="K279" s="1">
        <v>0.0</v>
      </c>
      <c r="L279" s="1">
        <v>0.0</v>
      </c>
      <c r="N279" s="1">
        <v>0.850000024</v>
      </c>
    </row>
    <row r="280" ht="15.75" customHeight="1">
      <c r="A280" s="1" t="s">
        <v>164</v>
      </c>
      <c r="B280" s="1" t="s">
        <v>82</v>
      </c>
      <c r="C280" s="5">
        <v>45681.0</v>
      </c>
      <c r="D280" s="1" t="s">
        <v>161</v>
      </c>
      <c r="E280" s="1" t="s">
        <v>11</v>
      </c>
      <c r="F280" s="1" t="s">
        <v>166</v>
      </c>
      <c r="H280" s="1">
        <v>0.0</v>
      </c>
      <c r="I280" s="1">
        <v>0.0</v>
      </c>
      <c r="J280" s="1">
        <v>0.0</v>
      </c>
      <c r="K280" s="1">
        <v>1.0</v>
      </c>
      <c r="L280" s="1">
        <v>3.0</v>
      </c>
      <c r="M280" s="1">
        <v>0.333333333</v>
      </c>
      <c r="N280" s="1">
        <v>5.650000095</v>
      </c>
    </row>
    <row r="281" ht="15.75" customHeight="1">
      <c r="A281" s="1" t="s">
        <v>180</v>
      </c>
      <c r="B281" s="1" t="s">
        <v>185</v>
      </c>
      <c r="C281" s="5">
        <v>45681.0</v>
      </c>
      <c r="D281" s="1" t="s">
        <v>161</v>
      </c>
      <c r="E281" s="1" t="s">
        <v>11</v>
      </c>
      <c r="F281" s="1" t="s">
        <v>166</v>
      </c>
      <c r="H281" s="1">
        <v>0.0</v>
      </c>
      <c r="I281" s="1">
        <v>0.0</v>
      </c>
      <c r="J281" s="1">
        <v>0.0</v>
      </c>
      <c r="K281" s="1">
        <v>0.0</v>
      </c>
      <c r="L281" s="1">
        <v>1.0</v>
      </c>
      <c r="M281" s="1">
        <v>0.0</v>
      </c>
      <c r="N281" s="1">
        <v>1.25</v>
      </c>
    </row>
    <row r="282" ht="15.75" customHeight="1">
      <c r="A282" s="1" t="s">
        <v>160</v>
      </c>
      <c r="B282" s="1" t="s">
        <v>29</v>
      </c>
      <c r="C282" s="5">
        <v>45680.0</v>
      </c>
      <c r="D282" s="1" t="s">
        <v>161</v>
      </c>
      <c r="E282" s="1" t="s">
        <v>11</v>
      </c>
      <c r="F282" s="1" t="s">
        <v>165</v>
      </c>
      <c r="H282" s="1">
        <v>0.0</v>
      </c>
      <c r="I282" s="1">
        <v>0.0</v>
      </c>
      <c r="J282" s="1">
        <v>0.0</v>
      </c>
      <c r="K282" s="1">
        <v>19.0</v>
      </c>
      <c r="L282" s="1">
        <v>26.0</v>
      </c>
      <c r="M282" s="1">
        <v>0.730769231</v>
      </c>
      <c r="N282" s="1">
        <v>29.62000084</v>
      </c>
    </row>
    <row r="283" ht="15.75" customHeight="1">
      <c r="A283" s="1" t="s">
        <v>160</v>
      </c>
      <c r="B283" s="1" t="s">
        <v>101</v>
      </c>
      <c r="C283" s="5">
        <v>45680.0</v>
      </c>
      <c r="D283" s="1" t="s">
        <v>161</v>
      </c>
      <c r="E283" s="1" t="s">
        <v>11</v>
      </c>
      <c r="F283" s="1" t="s">
        <v>162</v>
      </c>
      <c r="H283" s="1">
        <v>0.0</v>
      </c>
      <c r="I283" s="1">
        <v>0.0</v>
      </c>
      <c r="J283" s="1">
        <v>0.0</v>
      </c>
      <c r="K283" s="1">
        <v>19.0</v>
      </c>
      <c r="L283" s="1">
        <v>43.0</v>
      </c>
      <c r="M283" s="1">
        <v>0.441860465</v>
      </c>
      <c r="N283" s="1">
        <v>72.33999634</v>
      </c>
    </row>
    <row r="284" ht="15.75" customHeight="1">
      <c r="A284" s="1" t="s">
        <v>164</v>
      </c>
      <c r="B284" s="1" t="s">
        <v>52</v>
      </c>
      <c r="C284" s="5">
        <v>45680.0</v>
      </c>
      <c r="D284" s="1" t="s">
        <v>161</v>
      </c>
      <c r="E284" s="1" t="s">
        <v>11</v>
      </c>
      <c r="H284" s="1">
        <v>0.0</v>
      </c>
      <c r="J284" s="1">
        <v>0.0</v>
      </c>
      <c r="N284" s="1">
        <v>1.210000038</v>
      </c>
    </row>
    <row r="285" ht="15.75" customHeight="1">
      <c r="A285" s="1" t="s">
        <v>164</v>
      </c>
      <c r="B285" s="1" t="s">
        <v>64</v>
      </c>
      <c r="C285" s="5">
        <v>45680.0</v>
      </c>
      <c r="D285" s="1" t="s">
        <v>161</v>
      </c>
      <c r="E285" s="1" t="s">
        <v>11</v>
      </c>
      <c r="F285" s="1" t="s">
        <v>166</v>
      </c>
      <c r="H285" s="1">
        <v>0.0</v>
      </c>
      <c r="I285" s="1">
        <v>0.0</v>
      </c>
      <c r="J285" s="1">
        <v>0.0</v>
      </c>
      <c r="K285" s="1">
        <v>2.0</v>
      </c>
      <c r="L285" s="1">
        <v>2.0</v>
      </c>
      <c r="M285" s="1">
        <v>1.0</v>
      </c>
      <c r="N285" s="1">
        <v>9.0</v>
      </c>
    </row>
    <row r="286" ht="15.75" customHeight="1">
      <c r="A286" s="1" t="s">
        <v>164</v>
      </c>
      <c r="B286" s="1" t="s">
        <v>82</v>
      </c>
      <c r="C286" s="5">
        <v>45680.0</v>
      </c>
      <c r="D286" s="1" t="s">
        <v>161</v>
      </c>
      <c r="E286" s="1" t="s">
        <v>11</v>
      </c>
      <c r="F286" s="1" t="s">
        <v>165</v>
      </c>
      <c r="H286" s="1">
        <v>0.0</v>
      </c>
      <c r="I286" s="1">
        <v>0.0</v>
      </c>
      <c r="J286" s="1">
        <v>0.0</v>
      </c>
      <c r="K286" s="1">
        <v>1.0</v>
      </c>
      <c r="L286" s="1">
        <v>2.0</v>
      </c>
      <c r="M286" s="1">
        <v>0.5</v>
      </c>
      <c r="N286" s="1">
        <v>13.71000004</v>
      </c>
    </row>
    <row r="287" ht="15.75" customHeight="1">
      <c r="A287" s="1" t="s">
        <v>164</v>
      </c>
      <c r="B287" s="1" t="s">
        <v>82</v>
      </c>
      <c r="C287" s="5">
        <v>45680.0</v>
      </c>
      <c r="D287" s="1" t="s">
        <v>161</v>
      </c>
      <c r="E287" s="1" t="s">
        <v>11</v>
      </c>
      <c r="F287" s="1" t="s">
        <v>166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N287" s="1">
        <v>0.0</v>
      </c>
    </row>
    <row r="288" ht="15.75" customHeight="1">
      <c r="A288" s="1" t="s">
        <v>160</v>
      </c>
      <c r="B288" s="1" t="s">
        <v>29</v>
      </c>
      <c r="C288" s="5">
        <v>45679.0</v>
      </c>
      <c r="D288" s="1" t="s">
        <v>161</v>
      </c>
      <c r="E288" s="1" t="s">
        <v>11</v>
      </c>
      <c r="F288" s="1" t="s">
        <v>165</v>
      </c>
      <c r="H288" s="1">
        <v>0.0</v>
      </c>
      <c r="I288" s="1">
        <v>0.0</v>
      </c>
      <c r="J288" s="1">
        <v>0.0</v>
      </c>
      <c r="K288" s="1">
        <v>2.0</v>
      </c>
      <c r="L288" s="1">
        <v>12.0</v>
      </c>
      <c r="M288" s="1">
        <v>0.166666667</v>
      </c>
      <c r="N288" s="1">
        <v>15.98999977</v>
      </c>
    </row>
    <row r="289" ht="15.75" customHeight="1">
      <c r="A289" s="1" t="s">
        <v>160</v>
      </c>
      <c r="B289" s="1" t="s">
        <v>189</v>
      </c>
      <c r="C289" s="5">
        <v>45679.0</v>
      </c>
      <c r="D289" s="1" t="s">
        <v>161</v>
      </c>
      <c r="E289" s="1" t="s">
        <v>11</v>
      </c>
      <c r="F289" s="1" t="s">
        <v>162</v>
      </c>
      <c r="H289" s="1">
        <v>0.0</v>
      </c>
      <c r="I289" s="1">
        <v>0.0</v>
      </c>
      <c r="J289" s="1">
        <v>0.0</v>
      </c>
      <c r="K289" s="1">
        <v>0.0</v>
      </c>
      <c r="L289" s="1">
        <v>0.0</v>
      </c>
      <c r="N289" s="1">
        <v>0.800000012</v>
      </c>
    </row>
    <row r="290" ht="15.75" customHeight="1">
      <c r="A290" s="1" t="s">
        <v>164</v>
      </c>
      <c r="B290" s="1" t="s">
        <v>24</v>
      </c>
      <c r="C290" s="5">
        <v>45679.0</v>
      </c>
      <c r="D290" s="1" t="s">
        <v>161</v>
      </c>
      <c r="E290" s="1" t="s">
        <v>11</v>
      </c>
      <c r="F290" s="1" t="s">
        <v>166</v>
      </c>
      <c r="H290" s="1">
        <v>0.0</v>
      </c>
      <c r="I290" s="1">
        <v>0.0</v>
      </c>
      <c r="J290" s="1">
        <v>0.0</v>
      </c>
      <c r="K290" s="1">
        <v>1.0</v>
      </c>
      <c r="L290" s="1">
        <v>4.0</v>
      </c>
      <c r="M290" s="1">
        <v>0.25</v>
      </c>
      <c r="N290" s="1">
        <v>6.550000191</v>
      </c>
    </row>
    <row r="291" ht="15.75" customHeight="1">
      <c r="A291" s="1" t="s">
        <v>164</v>
      </c>
      <c r="B291" s="1" t="s">
        <v>64</v>
      </c>
      <c r="C291" s="5">
        <v>45679.0</v>
      </c>
      <c r="D291" s="1" t="s">
        <v>161</v>
      </c>
      <c r="E291" s="1" t="s">
        <v>11</v>
      </c>
      <c r="F291" s="1" t="s">
        <v>166</v>
      </c>
      <c r="H291" s="1">
        <v>0.0</v>
      </c>
      <c r="I291" s="1">
        <v>0.0</v>
      </c>
      <c r="J291" s="1">
        <v>0.0</v>
      </c>
      <c r="K291" s="1">
        <v>0.0</v>
      </c>
      <c r="L291" s="1">
        <v>0.0</v>
      </c>
      <c r="N291" s="1">
        <v>9.739999771</v>
      </c>
    </row>
    <row r="292" ht="15.75" customHeight="1">
      <c r="A292" s="1" t="s">
        <v>164</v>
      </c>
      <c r="B292" s="1" t="s">
        <v>100</v>
      </c>
      <c r="C292" s="5">
        <v>45679.0</v>
      </c>
      <c r="D292" s="1" t="s">
        <v>161</v>
      </c>
      <c r="E292" s="1" t="s">
        <v>11</v>
      </c>
      <c r="F292" s="1" t="s">
        <v>171</v>
      </c>
      <c r="H292" s="1">
        <v>0.0</v>
      </c>
      <c r="I292" s="1">
        <v>0.0</v>
      </c>
      <c r="J292" s="1">
        <v>0.0</v>
      </c>
      <c r="K292" s="1">
        <v>0.0</v>
      </c>
      <c r="L292" s="1">
        <v>0.0</v>
      </c>
      <c r="N292" s="1">
        <v>0.680000007</v>
      </c>
    </row>
    <row r="293" ht="15.75" customHeight="1">
      <c r="A293" s="1" t="s">
        <v>164</v>
      </c>
      <c r="B293" s="1" t="s">
        <v>82</v>
      </c>
      <c r="C293" s="5">
        <v>45679.0</v>
      </c>
      <c r="D293" s="1" t="s">
        <v>161</v>
      </c>
      <c r="E293" s="1" t="s">
        <v>11</v>
      </c>
      <c r="F293" s="1" t="s">
        <v>165</v>
      </c>
      <c r="G293" s="1" t="s">
        <v>163</v>
      </c>
      <c r="H293" s="1">
        <v>1.0</v>
      </c>
      <c r="I293" s="1">
        <v>0.0</v>
      </c>
      <c r="J293" s="1">
        <v>0.0</v>
      </c>
      <c r="K293" s="1">
        <v>1.0</v>
      </c>
      <c r="L293" s="1">
        <v>2.0</v>
      </c>
      <c r="M293" s="1">
        <v>0.5</v>
      </c>
      <c r="N293" s="1">
        <v>0.0</v>
      </c>
    </row>
    <row r="294" ht="15.75" customHeight="1">
      <c r="A294" s="1" t="s">
        <v>164</v>
      </c>
      <c r="B294" s="1" t="s">
        <v>82</v>
      </c>
      <c r="C294" s="5">
        <v>45679.0</v>
      </c>
      <c r="D294" s="1" t="s">
        <v>161</v>
      </c>
      <c r="E294" s="1" t="s">
        <v>11</v>
      </c>
      <c r="F294" s="1" t="s">
        <v>166</v>
      </c>
      <c r="G294" s="1" t="s">
        <v>163</v>
      </c>
      <c r="H294" s="1">
        <v>1.0</v>
      </c>
      <c r="I294" s="1">
        <v>0.0</v>
      </c>
      <c r="J294" s="1">
        <v>0.0</v>
      </c>
      <c r="K294" s="1">
        <v>2.0</v>
      </c>
      <c r="L294" s="1">
        <v>3.0</v>
      </c>
      <c r="M294" s="1">
        <v>0.666666667</v>
      </c>
      <c r="N294" s="1">
        <v>14.76000023</v>
      </c>
    </row>
    <row r="295" ht="15.75" customHeight="1">
      <c r="A295" s="1" t="s">
        <v>160</v>
      </c>
      <c r="B295" s="1" t="s">
        <v>29</v>
      </c>
      <c r="C295" s="5">
        <v>45678.0</v>
      </c>
      <c r="D295" s="1" t="s">
        <v>161</v>
      </c>
      <c r="E295" s="1" t="s">
        <v>11</v>
      </c>
      <c r="F295" s="1" t="s">
        <v>165</v>
      </c>
      <c r="H295" s="1">
        <v>0.0</v>
      </c>
      <c r="I295" s="1">
        <v>2.0</v>
      </c>
      <c r="J295" s="1">
        <v>0.0</v>
      </c>
      <c r="K295" s="1">
        <v>33.0</v>
      </c>
      <c r="L295" s="1">
        <v>51.0</v>
      </c>
      <c r="M295" s="1">
        <v>0.647058824</v>
      </c>
      <c r="N295" s="1">
        <v>45.86999893</v>
      </c>
    </row>
    <row r="296" ht="15.75" customHeight="1">
      <c r="A296" s="1" t="s">
        <v>160</v>
      </c>
      <c r="B296" s="1" t="s">
        <v>189</v>
      </c>
      <c r="C296" s="5">
        <v>45678.0</v>
      </c>
      <c r="D296" s="1" t="s">
        <v>161</v>
      </c>
      <c r="E296" s="1" t="s">
        <v>11</v>
      </c>
      <c r="H296" s="1">
        <v>0.0</v>
      </c>
      <c r="J296" s="1">
        <v>0.0</v>
      </c>
      <c r="N296" s="1">
        <v>0.589999974</v>
      </c>
    </row>
    <row r="297" ht="15.75" customHeight="1">
      <c r="A297" s="1" t="s">
        <v>160</v>
      </c>
      <c r="B297" s="1" t="s">
        <v>39</v>
      </c>
      <c r="C297" s="5">
        <v>45678.0</v>
      </c>
      <c r="D297" s="1" t="s">
        <v>161</v>
      </c>
      <c r="E297" s="1" t="s">
        <v>11</v>
      </c>
      <c r="F297" s="1" t="s">
        <v>162</v>
      </c>
      <c r="H297" s="1">
        <v>0.0</v>
      </c>
      <c r="I297" s="1">
        <v>0.0</v>
      </c>
      <c r="J297" s="1">
        <v>0.0</v>
      </c>
      <c r="K297" s="1">
        <v>5.0</v>
      </c>
      <c r="L297" s="1">
        <v>17.0</v>
      </c>
      <c r="M297" s="1">
        <v>0.294117647</v>
      </c>
      <c r="N297" s="1">
        <v>24.95000076</v>
      </c>
    </row>
    <row r="298" ht="15.75" customHeight="1">
      <c r="A298" s="1" t="s">
        <v>160</v>
      </c>
      <c r="B298" s="1" t="s">
        <v>77</v>
      </c>
      <c r="C298" s="5">
        <v>45678.0</v>
      </c>
      <c r="D298" s="1" t="s">
        <v>161</v>
      </c>
      <c r="E298" s="1" t="s">
        <v>11</v>
      </c>
      <c r="F298" s="1" t="s">
        <v>162</v>
      </c>
      <c r="G298" s="1" t="s">
        <v>172</v>
      </c>
      <c r="H298" s="1">
        <v>1.0</v>
      </c>
      <c r="I298" s="1">
        <v>0.0</v>
      </c>
      <c r="J298" s="1">
        <v>0.0</v>
      </c>
      <c r="K298" s="1">
        <v>14.0</v>
      </c>
      <c r="L298" s="1">
        <v>21.0</v>
      </c>
      <c r="M298" s="1">
        <v>0.666666667</v>
      </c>
      <c r="N298" s="1">
        <v>22.95000076</v>
      </c>
    </row>
    <row r="299" ht="15.75" customHeight="1">
      <c r="A299" s="1" t="s">
        <v>164</v>
      </c>
      <c r="B299" s="1" t="s">
        <v>196</v>
      </c>
      <c r="C299" s="5">
        <v>45678.0</v>
      </c>
      <c r="D299" s="1" t="s">
        <v>161</v>
      </c>
      <c r="E299" s="1" t="s">
        <v>11</v>
      </c>
      <c r="F299" s="1" t="s">
        <v>165</v>
      </c>
      <c r="H299" s="1">
        <v>0.0</v>
      </c>
      <c r="I299" s="1">
        <v>0.0</v>
      </c>
      <c r="J299" s="1">
        <v>0.0</v>
      </c>
      <c r="K299" s="1">
        <v>10.0</v>
      </c>
      <c r="L299" s="1">
        <v>16.0</v>
      </c>
      <c r="M299" s="1">
        <v>0.625</v>
      </c>
      <c r="N299" s="1">
        <v>30.05999947</v>
      </c>
    </row>
    <row r="300" ht="15.75" customHeight="1">
      <c r="A300" s="1" t="s">
        <v>164</v>
      </c>
      <c r="B300" s="1" t="s">
        <v>60</v>
      </c>
      <c r="C300" s="5">
        <v>45678.0</v>
      </c>
      <c r="D300" s="1" t="s">
        <v>161</v>
      </c>
      <c r="E300" s="1" t="s">
        <v>11</v>
      </c>
      <c r="F300" s="1" t="s">
        <v>166</v>
      </c>
      <c r="H300" s="1">
        <v>0.0</v>
      </c>
      <c r="I300" s="1">
        <v>0.0</v>
      </c>
      <c r="J300" s="1">
        <v>0.0</v>
      </c>
      <c r="K300" s="1">
        <v>1.0</v>
      </c>
      <c r="L300" s="1">
        <v>3.0</v>
      </c>
      <c r="M300" s="1">
        <v>0.333333333</v>
      </c>
      <c r="N300" s="1">
        <v>2.890000105</v>
      </c>
    </row>
    <row r="301" ht="15.75" customHeight="1">
      <c r="A301" s="1" t="s">
        <v>160</v>
      </c>
      <c r="B301" s="1" t="s">
        <v>186</v>
      </c>
      <c r="C301" s="5">
        <v>45677.0</v>
      </c>
      <c r="D301" s="1" t="s">
        <v>161</v>
      </c>
      <c r="E301" s="1" t="s">
        <v>11</v>
      </c>
      <c r="F301" s="1" t="s">
        <v>166</v>
      </c>
      <c r="H301" s="1">
        <v>0.0</v>
      </c>
      <c r="I301" s="1">
        <v>0.0</v>
      </c>
      <c r="J301" s="1">
        <v>0.0</v>
      </c>
      <c r="K301" s="1">
        <v>22.0</v>
      </c>
      <c r="L301" s="1">
        <v>91.0</v>
      </c>
      <c r="M301" s="1">
        <v>0.241758242</v>
      </c>
      <c r="N301" s="1">
        <v>234.6300049</v>
      </c>
    </row>
    <row r="302" ht="15.75" customHeight="1">
      <c r="A302" s="1" t="s">
        <v>164</v>
      </c>
      <c r="B302" s="1" t="s">
        <v>196</v>
      </c>
      <c r="C302" s="5">
        <v>45677.0</v>
      </c>
      <c r="D302" s="1" t="s">
        <v>161</v>
      </c>
      <c r="E302" s="1" t="s">
        <v>11</v>
      </c>
      <c r="F302" s="1" t="s">
        <v>165</v>
      </c>
      <c r="H302" s="1">
        <v>0.0</v>
      </c>
      <c r="I302" s="1">
        <v>0.0</v>
      </c>
      <c r="J302" s="1">
        <v>0.0</v>
      </c>
      <c r="K302" s="1">
        <v>5.0</v>
      </c>
      <c r="L302" s="1">
        <v>14.0</v>
      </c>
      <c r="M302" s="1">
        <v>0.357142857</v>
      </c>
      <c r="N302" s="1">
        <v>25.88999939</v>
      </c>
    </row>
    <row r="303" ht="15.75" customHeight="1">
      <c r="A303" s="1" t="s">
        <v>164</v>
      </c>
      <c r="B303" s="1" t="s">
        <v>75</v>
      </c>
      <c r="C303" s="5">
        <v>45677.0</v>
      </c>
      <c r="D303" s="1" t="s">
        <v>161</v>
      </c>
      <c r="E303" s="1" t="s">
        <v>11</v>
      </c>
      <c r="H303" s="1">
        <v>0.0</v>
      </c>
      <c r="J303" s="1">
        <v>0.0</v>
      </c>
      <c r="N303" s="1">
        <v>0.02</v>
      </c>
    </row>
    <row r="304" ht="15.75" customHeight="1">
      <c r="A304" s="1" t="s">
        <v>164</v>
      </c>
      <c r="B304" s="1" t="s">
        <v>100</v>
      </c>
      <c r="C304" s="5">
        <v>45677.0</v>
      </c>
      <c r="D304" s="1" t="s">
        <v>161</v>
      </c>
      <c r="E304" s="1" t="s">
        <v>11</v>
      </c>
      <c r="F304" s="1" t="s">
        <v>171</v>
      </c>
      <c r="H304" s="1">
        <v>0.0</v>
      </c>
      <c r="I304" s="1">
        <v>0.0</v>
      </c>
      <c r="J304" s="1">
        <v>0.0</v>
      </c>
      <c r="K304" s="1">
        <v>0.0</v>
      </c>
      <c r="L304" s="1">
        <v>1.0</v>
      </c>
      <c r="M304" s="1">
        <v>0.0</v>
      </c>
      <c r="N304" s="1">
        <v>2.720000029</v>
      </c>
    </row>
    <row r="305" ht="15.75" customHeight="1">
      <c r="A305" s="1" t="s">
        <v>164</v>
      </c>
      <c r="B305" s="1" t="s">
        <v>82</v>
      </c>
      <c r="C305" s="5">
        <v>45677.0</v>
      </c>
      <c r="D305" s="1" t="s">
        <v>161</v>
      </c>
      <c r="E305" s="1" t="s">
        <v>11</v>
      </c>
      <c r="F305" s="1" t="s">
        <v>166</v>
      </c>
      <c r="G305" s="1" t="s">
        <v>163</v>
      </c>
      <c r="H305" s="1">
        <v>1.0</v>
      </c>
      <c r="I305" s="1">
        <v>0.0</v>
      </c>
      <c r="J305" s="1">
        <v>0.0</v>
      </c>
      <c r="K305" s="1">
        <v>2.0</v>
      </c>
      <c r="L305" s="1">
        <v>4.0</v>
      </c>
      <c r="M305" s="1">
        <v>0.5</v>
      </c>
      <c r="N305" s="1">
        <v>3.480000019</v>
      </c>
    </row>
    <row r="306" ht="15.75" customHeight="1">
      <c r="A306" s="1" t="s">
        <v>160</v>
      </c>
      <c r="B306" s="1" t="s">
        <v>186</v>
      </c>
      <c r="C306" s="5">
        <v>45676.0</v>
      </c>
      <c r="D306" s="1" t="s">
        <v>161</v>
      </c>
      <c r="E306" s="1" t="s">
        <v>11</v>
      </c>
      <c r="F306" s="1" t="s">
        <v>166</v>
      </c>
      <c r="H306" s="1">
        <v>0.0</v>
      </c>
      <c r="I306" s="1">
        <v>0.0</v>
      </c>
      <c r="J306" s="1">
        <v>0.0</v>
      </c>
      <c r="K306" s="1">
        <v>2.0</v>
      </c>
      <c r="L306" s="1">
        <v>15.0</v>
      </c>
      <c r="M306" s="1">
        <v>0.133333333</v>
      </c>
      <c r="N306" s="1">
        <v>52.13999939</v>
      </c>
    </row>
    <row r="307" ht="15.75" customHeight="1">
      <c r="A307" s="1" t="s">
        <v>164</v>
      </c>
      <c r="B307" s="1" t="s">
        <v>60</v>
      </c>
      <c r="C307" s="5">
        <v>45675.0</v>
      </c>
      <c r="D307" s="1" t="s">
        <v>161</v>
      </c>
      <c r="E307" s="1" t="s">
        <v>11</v>
      </c>
      <c r="H307" s="1">
        <v>0.0</v>
      </c>
      <c r="J307" s="1">
        <v>0.0</v>
      </c>
      <c r="N307" s="1">
        <v>0.200000003</v>
      </c>
    </row>
    <row r="308" ht="15.75" customHeight="1">
      <c r="A308" s="1" t="s">
        <v>164</v>
      </c>
      <c r="B308" s="1" t="s">
        <v>74</v>
      </c>
      <c r="C308" s="5">
        <v>45675.0</v>
      </c>
      <c r="D308" s="1" t="s">
        <v>161</v>
      </c>
      <c r="E308" s="1" t="s">
        <v>11</v>
      </c>
      <c r="H308" s="1">
        <v>0.0</v>
      </c>
      <c r="J308" s="1">
        <v>0.0</v>
      </c>
      <c r="N308" s="1">
        <v>0.029999999</v>
      </c>
    </row>
    <row r="309" ht="15.75" customHeight="1">
      <c r="A309" s="1" t="s">
        <v>164</v>
      </c>
      <c r="B309" s="1" t="s">
        <v>24</v>
      </c>
      <c r="C309" s="5">
        <v>45674.0</v>
      </c>
      <c r="D309" s="1" t="s">
        <v>161</v>
      </c>
      <c r="E309" s="1" t="s">
        <v>11</v>
      </c>
      <c r="F309" s="1" t="s">
        <v>166</v>
      </c>
      <c r="H309" s="1">
        <v>0.0</v>
      </c>
      <c r="I309" s="1">
        <v>0.0</v>
      </c>
      <c r="J309" s="1">
        <v>0.0</v>
      </c>
      <c r="K309" s="1">
        <v>1.0</v>
      </c>
      <c r="L309" s="1">
        <v>8.0</v>
      </c>
      <c r="M309" s="1">
        <v>0.125</v>
      </c>
      <c r="N309" s="1">
        <v>9.829999924</v>
      </c>
    </row>
    <row r="310" ht="15.75" customHeight="1">
      <c r="A310" s="1" t="s">
        <v>164</v>
      </c>
      <c r="B310" s="1" t="s">
        <v>55</v>
      </c>
      <c r="C310" s="5">
        <v>45674.0</v>
      </c>
      <c r="D310" s="1" t="s">
        <v>161</v>
      </c>
      <c r="E310" s="1" t="s">
        <v>11</v>
      </c>
      <c r="F310" s="1" t="s">
        <v>166</v>
      </c>
      <c r="H310" s="1">
        <v>0.0</v>
      </c>
      <c r="I310" s="1">
        <v>0.0</v>
      </c>
      <c r="J310" s="1">
        <v>0.0</v>
      </c>
      <c r="K310" s="1">
        <v>2.0</v>
      </c>
      <c r="L310" s="1">
        <v>3.0</v>
      </c>
      <c r="M310" s="1">
        <v>0.666666667</v>
      </c>
      <c r="N310" s="1">
        <v>4.71999979</v>
      </c>
    </row>
    <row r="311" ht="15.75" customHeight="1">
      <c r="A311" s="1" t="s">
        <v>164</v>
      </c>
      <c r="B311" s="1" t="s">
        <v>64</v>
      </c>
      <c r="C311" s="5">
        <v>45674.0</v>
      </c>
      <c r="D311" s="1" t="s">
        <v>161</v>
      </c>
      <c r="E311" s="1" t="s">
        <v>11</v>
      </c>
      <c r="F311" s="1" t="s">
        <v>166</v>
      </c>
      <c r="H311" s="1">
        <v>0.0</v>
      </c>
      <c r="I311" s="1">
        <v>0.0</v>
      </c>
      <c r="J311" s="1">
        <v>0.0</v>
      </c>
      <c r="K311" s="1">
        <v>0.0</v>
      </c>
      <c r="L311" s="1">
        <v>5.0</v>
      </c>
      <c r="M311" s="1">
        <v>0.0</v>
      </c>
      <c r="N311" s="1">
        <v>6.579999924</v>
      </c>
    </row>
    <row r="312" ht="15.75" customHeight="1">
      <c r="A312" s="1" t="s">
        <v>164</v>
      </c>
      <c r="B312" s="1" t="s">
        <v>60</v>
      </c>
      <c r="C312" s="5">
        <v>45674.0</v>
      </c>
      <c r="D312" s="1" t="s">
        <v>161</v>
      </c>
      <c r="E312" s="1" t="s">
        <v>11</v>
      </c>
      <c r="F312" s="1" t="s">
        <v>166</v>
      </c>
      <c r="H312" s="1">
        <v>0.0</v>
      </c>
      <c r="I312" s="1">
        <v>0.0</v>
      </c>
      <c r="J312" s="1">
        <v>0.0</v>
      </c>
      <c r="K312" s="1">
        <v>2.0</v>
      </c>
      <c r="L312" s="1">
        <v>6.0</v>
      </c>
      <c r="M312" s="1">
        <v>0.333333333</v>
      </c>
      <c r="N312" s="1">
        <v>9.039999962</v>
      </c>
    </row>
    <row r="313" ht="15.75" customHeight="1">
      <c r="A313" s="1" t="s">
        <v>164</v>
      </c>
      <c r="B313" s="1" t="s">
        <v>63</v>
      </c>
      <c r="C313" s="5">
        <v>45674.0</v>
      </c>
      <c r="D313" s="1" t="s">
        <v>161</v>
      </c>
      <c r="E313" s="1" t="s">
        <v>11</v>
      </c>
      <c r="F313" s="1" t="s">
        <v>166</v>
      </c>
      <c r="H313" s="1">
        <v>0.0</v>
      </c>
      <c r="I313" s="1">
        <v>0.0</v>
      </c>
      <c r="J313" s="1">
        <v>0.0</v>
      </c>
      <c r="K313" s="1">
        <v>4.0</v>
      </c>
      <c r="L313" s="1">
        <v>5.0</v>
      </c>
      <c r="M313" s="1">
        <v>0.8</v>
      </c>
      <c r="N313" s="1">
        <v>9.390000343</v>
      </c>
    </row>
    <row r="314" ht="15.75" customHeight="1">
      <c r="A314" s="1" t="s">
        <v>164</v>
      </c>
      <c r="B314" s="1" t="s">
        <v>68</v>
      </c>
      <c r="C314" s="5">
        <v>45674.0</v>
      </c>
      <c r="D314" s="1" t="s">
        <v>161</v>
      </c>
      <c r="E314" s="1" t="s">
        <v>11</v>
      </c>
      <c r="F314" s="1" t="s">
        <v>165</v>
      </c>
      <c r="H314" s="1">
        <v>0.0</v>
      </c>
      <c r="I314" s="1">
        <v>0.0</v>
      </c>
      <c r="J314" s="1">
        <v>0.0</v>
      </c>
      <c r="K314" s="1">
        <v>10.0</v>
      </c>
      <c r="L314" s="1">
        <v>13.0</v>
      </c>
      <c r="M314" s="1">
        <v>0.769230769</v>
      </c>
      <c r="N314" s="1">
        <v>7.239999771</v>
      </c>
    </row>
    <row r="315" ht="15.75" customHeight="1">
      <c r="A315" s="1" t="s">
        <v>164</v>
      </c>
      <c r="B315" s="1" t="s">
        <v>197</v>
      </c>
      <c r="C315" s="5">
        <v>45674.0</v>
      </c>
      <c r="D315" s="1" t="s">
        <v>161</v>
      </c>
      <c r="E315" s="1" t="s">
        <v>11</v>
      </c>
      <c r="F315" s="1" t="s">
        <v>177</v>
      </c>
      <c r="H315" s="1">
        <v>0.0</v>
      </c>
      <c r="I315" s="1">
        <v>0.0</v>
      </c>
      <c r="J315" s="1">
        <v>0.0</v>
      </c>
      <c r="K315" s="1">
        <v>2.0</v>
      </c>
      <c r="L315" s="1">
        <v>7.0</v>
      </c>
      <c r="M315" s="1">
        <v>0.285714286</v>
      </c>
      <c r="N315" s="1">
        <v>17.80999947</v>
      </c>
    </row>
    <row r="316" ht="15.75" customHeight="1">
      <c r="A316" s="1" t="s">
        <v>164</v>
      </c>
      <c r="B316" s="1" t="s">
        <v>74</v>
      </c>
      <c r="C316" s="5">
        <v>45674.0</v>
      </c>
      <c r="D316" s="1" t="s">
        <v>161</v>
      </c>
      <c r="E316" s="1" t="s">
        <v>11</v>
      </c>
      <c r="F316" s="1" t="s">
        <v>166</v>
      </c>
      <c r="H316" s="1">
        <v>0.0</v>
      </c>
      <c r="I316" s="1">
        <v>0.0</v>
      </c>
      <c r="J316" s="1">
        <v>0.0</v>
      </c>
      <c r="K316" s="1">
        <v>0.0</v>
      </c>
      <c r="L316" s="1">
        <v>0.0</v>
      </c>
      <c r="N316" s="1">
        <v>0.0</v>
      </c>
    </row>
    <row r="317" ht="15.75" customHeight="1">
      <c r="A317" s="1" t="s">
        <v>164</v>
      </c>
      <c r="B317" s="1" t="s">
        <v>74</v>
      </c>
      <c r="C317" s="5">
        <v>45674.0</v>
      </c>
      <c r="D317" s="1" t="s">
        <v>161</v>
      </c>
      <c r="E317" s="1" t="s">
        <v>11</v>
      </c>
      <c r="F317" s="1" t="s">
        <v>171</v>
      </c>
      <c r="H317" s="1">
        <v>0.0</v>
      </c>
      <c r="I317" s="1">
        <v>0.0</v>
      </c>
      <c r="J317" s="1">
        <v>0.0</v>
      </c>
      <c r="K317" s="1">
        <v>3.0</v>
      </c>
      <c r="L317" s="1">
        <v>8.0</v>
      </c>
      <c r="M317" s="1">
        <v>0.375</v>
      </c>
      <c r="N317" s="1">
        <v>7.75</v>
      </c>
    </row>
    <row r="318" ht="15.75" customHeight="1">
      <c r="A318" s="1" t="s">
        <v>164</v>
      </c>
      <c r="B318" s="1" t="s">
        <v>75</v>
      </c>
      <c r="C318" s="5">
        <v>45674.0</v>
      </c>
      <c r="D318" s="1" t="s">
        <v>161</v>
      </c>
      <c r="E318" s="1" t="s">
        <v>11</v>
      </c>
      <c r="F318" s="1" t="s">
        <v>165</v>
      </c>
      <c r="H318" s="1">
        <v>0.0</v>
      </c>
      <c r="I318" s="1">
        <v>0.0</v>
      </c>
      <c r="J318" s="1">
        <v>0.0</v>
      </c>
      <c r="K318" s="1">
        <v>0.0</v>
      </c>
      <c r="L318" s="1">
        <v>1.0</v>
      </c>
      <c r="M318" s="1">
        <v>0.0</v>
      </c>
      <c r="N318" s="1">
        <v>13.07999992</v>
      </c>
    </row>
    <row r="319" ht="15.75" customHeight="1">
      <c r="A319" s="1" t="s">
        <v>164</v>
      </c>
      <c r="B319" s="1" t="s">
        <v>82</v>
      </c>
      <c r="C319" s="5">
        <v>45674.0</v>
      </c>
      <c r="D319" s="1" t="s">
        <v>161</v>
      </c>
      <c r="E319" s="1" t="s">
        <v>11</v>
      </c>
      <c r="F319" s="1" t="s">
        <v>165</v>
      </c>
      <c r="G319" s="1" t="s">
        <v>163</v>
      </c>
      <c r="H319" s="1">
        <v>1.0</v>
      </c>
      <c r="I319" s="1">
        <v>0.0</v>
      </c>
      <c r="J319" s="1">
        <v>0.0</v>
      </c>
      <c r="K319" s="1">
        <v>1.0</v>
      </c>
      <c r="L319" s="1">
        <v>6.0</v>
      </c>
      <c r="M319" s="1">
        <v>0.166666667</v>
      </c>
      <c r="N319" s="1">
        <v>0.0</v>
      </c>
    </row>
    <row r="320" ht="15.75" customHeight="1">
      <c r="A320" s="1" t="s">
        <v>164</v>
      </c>
      <c r="B320" s="1" t="s">
        <v>82</v>
      </c>
      <c r="C320" s="5">
        <v>45674.0</v>
      </c>
      <c r="D320" s="1" t="s">
        <v>161</v>
      </c>
      <c r="E320" s="1" t="s">
        <v>11</v>
      </c>
      <c r="F320" s="1" t="s">
        <v>166</v>
      </c>
      <c r="G320" s="1" t="s">
        <v>163</v>
      </c>
      <c r="H320" s="1">
        <v>1.0</v>
      </c>
      <c r="I320" s="1">
        <v>0.0</v>
      </c>
      <c r="J320" s="1">
        <v>0.0</v>
      </c>
      <c r="K320" s="1">
        <v>0.0</v>
      </c>
      <c r="L320" s="1">
        <v>3.0</v>
      </c>
      <c r="M320" s="1">
        <v>0.0</v>
      </c>
      <c r="N320" s="1">
        <v>0.0</v>
      </c>
    </row>
    <row r="321" ht="15.75" customHeight="1">
      <c r="A321" s="1" t="s">
        <v>164</v>
      </c>
      <c r="B321" s="1" t="s">
        <v>82</v>
      </c>
      <c r="C321" s="5">
        <v>45674.0</v>
      </c>
      <c r="D321" s="1" t="s">
        <v>161</v>
      </c>
      <c r="E321" s="1" t="s">
        <v>11</v>
      </c>
      <c r="F321" s="1" t="s">
        <v>171</v>
      </c>
      <c r="G321" s="1" t="s">
        <v>163</v>
      </c>
      <c r="H321" s="1">
        <v>1.0</v>
      </c>
      <c r="I321" s="1">
        <v>0.0</v>
      </c>
      <c r="J321" s="1">
        <v>0.0</v>
      </c>
      <c r="K321" s="1">
        <v>9.0</v>
      </c>
      <c r="L321" s="1">
        <v>10.0</v>
      </c>
      <c r="M321" s="1">
        <v>0.9</v>
      </c>
      <c r="N321" s="1">
        <v>19.68000031</v>
      </c>
    </row>
    <row r="322" ht="15.75" customHeight="1">
      <c r="A322" s="1" t="s">
        <v>164</v>
      </c>
      <c r="B322" s="1" t="s">
        <v>82</v>
      </c>
      <c r="C322" s="5">
        <v>45674.0</v>
      </c>
      <c r="D322" s="1" t="s">
        <v>161</v>
      </c>
      <c r="E322" s="1" t="s">
        <v>11</v>
      </c>
      <c r="F322" s="1" t="s">
        <v>169</v>
      </c>
      <c r="G322" s="1" t="s">
        <v>163</v>
      </c>
      <c r="H322" s="1">
        <v>1.0</v>
      </c>
      <c r="I322" s="1">
        <v>0.0</v>
      </c>
      <c r="J322" s="1">
        <v>0.0</v>
      </c>
      <c r="K322" s="1">
        <v>0.0</v>
      </c>
      <c r="L322" s="1">
        <v>1.0</v>
      </c>
      <c r="M322" s="1">
        <v>0.0</v>
      </c>
      <c r="N322" s="1">
        <v>0.0</v>
      </c>
    </row>
    <row r="323" ht="15.75" customHeight="1">
      <c r="A323" s="1" t="s">
        <v>160</v>
      </c>
      <c r="B323" s="1" t="s">
        <v>29</v>
      </c>
      <c r="C323" s="5">
        <v>45673.0</v>
      </c>
      <c r="D323" s="1" t="s">
        <v>161</v>
      </c>
      <c r="E323" s="1" t="s">
        <v>11</v>
      </c>
      <c r="F323" s="1" t="s">
        <v>165</v>
      </c>
      <c r="G323" s="1" t="s">
        <v>172</v>
      </c>
      <c r="H323" s="1">
        <v>1.0</v>
      </c>
      <c r="I323" s="1">
        <v>1.0</v>
      </c>
      <c r="J323" s="1">
        <v>0.0</v>
      </c>
      <c r="K323" s="1">
        <v>25.0</v>
      </c>
      <c r="L323" s="1">
        <v>40.0</v>
      </c>
      <c r="M323" s="1">
        <v>0.625</v>
      </c>
      <c r="N323" s="1">
        <v>15.03999996</v>
      </c>
    </row>
    <row r="324" ht="15.75" customHeight="1">
      <c r="A324" s="1" t="s">
        <v>160</v>
      </c>
      <c r="B324" s="1" t="s">
        <v>39</v>
      </c>
      <c r="C324" s="5">
        <v>45673.0</v>
      </c>
      <c r="D324" s="1" t="s">
        <v>161</v>
      </c>
      <c r="E324" s="1" t="s">
        <v>11</v>
      </c>
      <c r="F324" s="1" t="s">
        <v>162</v>
      </c>
      <c r="G324" s="1" t="s">
        <v>182</v>
      </c>
      <c r="H324" s="1">
        <v>2.0</v>
      </c>
      <c r="I324" s="1">
        <v>1.0</v>
      </c>
      <c r="J324" s="1">
        <v>0.0</v>
      </c>
      <c r="K324" s="1">
        <v>14.0</v>
      </c>
      <c r="L324" s="1">
        <v>16.0</v>
      </c>
      <c r="M324" s="1">
        <v>0.875</v>
      </c>
      <c r="N324" s="1">
        <v>28.86000061</v>
      </c>
    </row>
    <row r="325" ht="15.75" customHeight="1">
      <c r="A325" s="1" t="s">
        <v>160</v>
      </c>
      <c r="B325" s="1" t="s">
        <v>39</v>
      </c>
      <c r="C325" s="5">
        <v>45673.0</v>
      </c>
      <c r="D325" s="1" t="s">
        <v>161</v>
      </c>
      <c r="E325" s="1" t="s">
        <v>11</v>
      </c>
      <c r="F325" s="1" t="s">
        <v>166</v>
      </c>
      <c r="G325" s="1" t="s">
        <v>182</v>
      </c>
      <c r="H325" s="1">
        <v>2.0</v>
      </c>
      <c r="I325" s="1">
        <v>0.0</v>
      </c>
      <c r="J325" s="1">
        <v>0.0</v>
      </c>
      <c r="K325" s="1">
        <v>0.0</v>
      </c>
      <c r="L325" s="1">
        <v>0.0</v>
      </c>
      <c r="N325" s="1">
        <v>0.0</v>
      </c>
    </row>
    <row r="326" ht="15.75" customHeight="1">
      <c r="A326" s="1" t="s">
        <v>160</v>
      </c>
      <c r="B326" s="1" t="s">
        <v>65</v>
      </c>
      <c r="C326" s="5">
        <v>45673.0</v>
      </c>
      <c r="D326" s="1" t="s">
        <v>161</v>
      </c>
      <c r="E326" s="1" t="s">
        <v>11</v>
      </c>
      <c r="F326" s="1" t="s">
        <v>162</v>
      </c>
      <c r="H326" s="1">
        <v>0.0</v>
      </c>
      <c r="I326" s="1">
        <v>1.0</v>
      </c>
      <c r="J326" s="1">
        <v>0.0</v>
      </c>
      <c r="K326" s="1">
        <v>13.0</v>
      </c>
      <c r="L326" s="1">
        <v>15.0</v>
      </c>
      <c r="M326" s="1">
        <v>0.866666667</v>
      </c>
      <c r="N326" s="1">
        <v>19.70000076</v>
      </c>
    </row>
    <row r="327" ht="15.75" customHeight="1">
      <c r="A327" s="1" t="s">
        <v>160</v>
      </c>
      <c r="B327" s="1" t="s">
        <v>198</v>
      </c>
      <c r="C327" s="5">
        <v>45673.0</v>
      </c>
      <c r="D327" s="1" t="s">
        <v>161</v>
      </c>
      <c r="E327" s="1" t="s">
        <v>11</v>
      </c>
      <c r="H327" s="1">
        <v>0.0</v>
      </c>
      <c r="J327" s="1">
        <v>0.0</v>
      </c>
      <c r="N327" s="1">
        <v>0.280000001</v>
      </c>
    </row>
    <row r="328" ht="15.75" customHeight="1">
      <c r="A328" s="1" t="s">
        <v>160</v>
      </c>
      <c r="B328" s="1" t="s">
        <v>90</v>
      </c>
      <c r="C328" s="5">
        <v>45673.0</v>
      </c>
      <c r="D328" s="1" t="s">
        <v>161</v>
      </c>
      <c r="E328" s="1" t="s">
        <v>11</v>
      </c>
      <c r="F328" s="1" t="s">
        <v>165</v>
      </c>
      <c r="G328" s="1" t="s">
        <v>172</v>
      </c>
      <c r="H328" s="1">
        <v>1.0</v>
      </c>
      <c r="I328" s="1">
        <v>0.0</v>
      </c>
      <c r="J328" s="1">
        <v>0.0</v>
      </c>
      <c r="K328" s="1">
        <v>10.0</v>
      </c>
      <c r="L328" s="1">
        <v>22.0</v>
      </c>
      <c r="M328" s="1">
        <v>0.454545455</v>
      </c>
      <c r="N328" s="1">
        <v>29.28000069</v>
      </c>
    </row>
    <row r="329" ht="15.75" customHeight="1">
      <c r="A329" s="1" t="s">
        <v>164</v>
      </c>
      <c r="B329" s="1" t="s">
        <v>24</v>
      </c>
      <c r="C329" s="5">
        <v>45673.0</v>
      </c>
      <c r="D329" s="1" t="s">
        <v>161</v>
      </c>
      <c r="E329" s="1" t="s">
        <v>11</v>
      </c>
      <c r="F329" s="1" t="s">
        <v>166</v>
      </c>
      <c r="H329" s="1">
        <v>0.0</v>
      </c>
      <c r="I329" s="1">
        <v>0.0</v>
      </c>
      <c r="J329" s="1">
        <v>0.0</v>
      </c>
      <c r="K329" s="1">
        <v>0.0</v>
      </c>
      <c r="L329" s="1">
        <v>1.0</v>
      </c>
      <c r="M329" s="1">
        <v>0.0</v>
      </c>
      <c r="N329" s="1">
        <v>7.639999866</v>
      </c>
    </row>
    <row r="330" ht="15.75" customHeight="1">
      <c r="A330" s="1" t="s">
        <v>164</v>
      </c>
      <c r="B330" s="1" t="s">
        <v>64</v>
      </c>
      <c r="C330" s="5">
        <v>45673.0</v>
      </c>
      <c r="D330" s="1" t="s">
        <v>161</v>
      </c>
      <c r="E330" s="1" t="s">
        <v>11</v>
      </c>
      <c r="F330" s="1" t="s">
        <v>166</v>
      </c>
      <c r="H330" s="1">
        <v>0.0</v>
      </c>
      <c r="I330" s="1">
        <v>0.0</v>
      </c>
      <c r="J330" s="1">
        <v>0.0</v>
      </c>
      <c r="K330" s="1">
        <v>2.0</v>
      </c>
      <c r="L330" s="1">
        <v>4.0</v>
      </c>
      <c r="M330" s="1">
        <v>0.5</v>
      </c>
      <c r="N330" s="1">
        <v>7.769999981</v>
      </c>
    </row>
    <row r="331" ht="15.75" customHeight="1">
      <c r="A331" s="1" t="s">
        <v>164</v>
      </c>
      <c r="B331" s="1" t="s">
        <v>60</v>
      </c>
      <c r="C331" s="5">
        <v>45673.0</v>
      </c>
      <c r="D331" s="1" t="s">
        <v>161</v>
      </c>
      <c r="E331" s="1" t="s">
        <v>11</v>
      </c>
      <c r="H331" s="1">
        <v>0.0</v>
      </c>
      <c r="J331" s="1">
        <v>0.0</v>
      </c>
      <c r="N331" s="1">
        <v>0.100000001</v>
      </c>
    </row>
    <row r="332" ht="15.75" customHeight="1">
      <c r="A332" s="1" t="s">
        <v>164</v>
      </c>
      <c r="B332" s="1" t="s">
        <v>63</v>
      </c>
      <c r="C332" s="5">
        <v>45673.0</v>
      </c>
      <c r="D332" s="1" t="s">
        <v>161</v>
      </c>
      <c r="E332" s="1" t="s">
        <v>11</v>
      </c>
      <c r="F332" s="1" t="s">
        <v>166</v>
      </c>
      <c r="H332" s="1">
        <v>0.0</v>
      </c>
      <c r="I332" s="1">
        <v>0.0</v>
      </c>
      <c r="J332" s="1">
        <v>0.0</v>
      </c>
      <c r="K332" s="1">
        <v>3.0</v>
      </c>
      <c r="L332" s="1">
        <v>4.0</v>
      </c>
      <c r="M332" s="1">
        <v>0.75</v>
      </c>
      <c r="N332" s="1">
        <v>8.819999695</v>
      </c>
    </row>
    <row r="333" ht="15.75" customHeight="1">
      <c r="A333" s="1" t="s">
        <v>164</v>
      </c>
      <c r="B333" s="1" t="s">
        <v>68</v>
      </c>
      <c r="C333" s="5">
        <v>45673.0</v>
      </c>
      <c r="D333" s="1" t="s">
        <v>161</v>
      </c>
      <c r="E333" s="1" t="s">
        <v>11</v>
      </c>
      <c r="F333" s="1" t="s">
        <v>165</v>
      </c>
      <c r="H333" s="1">
        <v>0.0</v>
      </c>
      <c r="I333" s="1">
        <v>0.0</v>
      </c>
      <c r="J333" s="1">
        <v>0.0</v>
      </c>
      <c r="K333" s="1">
        <v>5.0</v>
      </c>
      <c r="L333" s="1">
        <v>9.0</v>
      </c>
      <c r="M333" s="1">
        <v>0.555555556</v>
      </c>
      <c r="N333" s="1">
        <v>7.710000038</v>
      </c>
    </row>
    <row r="334" ht="15.75" customHeight="1">
      <c r="A334" s="1" t="s">
        <v>164</v>
      </c>
      <c r="B334" s="1" t="s">
        <v>74</v>
      </c>
      <c r="C334" s="5">
        <v>45673.0</v>
      </c>
      <c r="D334" s="1" t="s">
        <v>161</v>
      </c>
      <c r="E334" s="1" t="s">
        <v>11</v>
      </c>
      <c r="F334" s="1" t="s">
        <v>167</v>
      </c>
      <c r="G334" s="1" t="s">
        <v>163</v>
      </c>
      <c r="H334" s="1">
        <v>1.0</v>
      </c>
      <c r="I334" s="1">
        <v>0.0</v>
      </c>
      <c r="J334" s="1">
        <v>0.0</v>
      </c>
      <c r="K334" s="1">
        <v>6.0</v>
      </c>
      <c r="L334" s="1">
        <v>8.0</v>
      </c>
      <c r="M334" s="1">
        <v>0.75</v>
      </c>
      <c r="N334" s="1">
        <v>18.70999908</v>
      </c>
    </row>
    <row r="335" ht="15.75" customHeight="1">
      <c r="A335" s="1" t="s">
        <v>164</v>
      </c>
      <c r="B335" s="1" t="s">
        <v>74</v>
      </c>
      <c r="C335" s="5">
        <v>45673.0</v>
      </c>
      <c r="D335" s="1" t="s">
        <v>161</v>
      </c>
      <c r="E335" s="1" t="s">
        <v>11</v>
      </c>
      <c r="F335" s="1" t="s">
        <v>166</v>
      </c>
      <c r="G335" s="1" t="s">
        <v>163</v>
      </c>
      <c r="H335" s="1">
        <v>1.0</v>
      </c>
      <c r="I335" s="1">
        <v>0.0</v>
      </c>
      <c r="J335" s="1">
        <v>0.0</v>
      </c>
      <c r="K335" s="1">
        <v>0.0</v>
      </c>
      <c r="L335" s="1">
        <v>0.0</v>
      </c>
      <c r="N335" s="1">
        <v>0.0</v>
      </c>
    </row>
    <row r="336" ht="15.75" customHeight="1">
      <c r="A336" s="1" t="s">
        <v>164</v>
      </c>
      <c r="B336" s="1" t="s">
        <v>74</v>
      </c>
      <c r="C336" s="5">
        <v>45673.0</v>
      </c>
      <c r="D336" s="1" t="s">
        <v>161</v>
      </c>
      <c r="E336" s="1" t="s">
        <v>11</v>
      </c>
      <c r="F336" s="1" t="s">
        <v>171</v>
      </c>
      <c r="G336" s="1" t="s">
        <v>163</v>
      </c>
      <c r="H336" s="1">
        <v>1.0</v>
      </c>
      <c r="I336" s="1">
        <v>0.0</v>
      </c>
      <c r="J336" s="1">
        <v>0.0</v>
      </c>
      <c r="K336" s="1">
        <v>0.0</v>
      </c>
      <c r="L336" s="1">
        <v>0.0</v>
      </c>
      <c r="N336" s="1">
        <v>0.0</v>
      </c>
    </row>
    <row r="337" ht="15.75" customHeight="1">
      <c r="A337" s="1" t="s">
        <v>164</v>
      </c>
      <c r="B337" s="1" t="s">
        <v>75</v>
      </c>
      <c r="C337" s="5">
        <v>45673.0</v>
      </c>
      <c r="D337" s="1" t="s">
        <v>161</v>
      </c>
      <c r="E337" s="1" t="s">
        <v>11</v>
      </c>
      <c r="F337" s="1" t="s">
        <v>165</v>
      </c>
      <c r="H337" s="1">
        <v>0.0</v>
      </c>
      <c r="I337" s="1">
        <v>0.0</v>
      </c>
      <c r="J337" s="1">
        <v>0.0</v>
      </c>
      <c r="K337" s="1">
        <v>0.0</v>
      </c>
      <c r="L337" s="1">
        <v>2.0</v>
      </c>
      <c r="M337" s="1">
        <v>0.0</v>
      </c>
      <c r="N337" s="1">
        <v>9.909999847</v>
      </c>
    </row>
    <row r="338" ht="15.75" customHeight="1">
      <c r="A338" s="1" t="s">
        <v>164</v>
      </c>
      <c r="B338" s="1" t="s">
        <v>100</v>
      </c>
      <c r="C338" s="5">
        <v>45673.0</v>
      </c>
      <c r="D338" s="1" t="s">
        <v>161</v>
      </c>
      <c r="E338" s="1" t="s">
        <v>11</v>
      </c>
      <c r="F338" s="1" t="s">
        <v>171</v>
      </c>
      <c r="H338" s="1">
        <v>0.0</v>
      </c>
      <c r="I338" s="1">
        <v>0.0</v>
      </c>
      <c r="J338" s="1">
        <v>0.0</v>
      </c>
      <c r="K338" s="1">
        <v>0.0</v>
      </c>
      <c r="L338" s="1">
        <v>3.0</v>
      </c>
      <c r="M338" s="1">
        <v>0.0</v>
      </c>
      <c r="N338" s="1">
        <v>7.920000076</v>
      </c>
    </row>
    <row r="339" ht="15.75" customHeight="1">
      <c r="A339" s="1" t="s">
        <v>164</v>
      </c>
      <c r="B339" s="1" t="s">
        <v>82</v>
      </c>
      <c r="C339" s="5">
        <v>45673.0</v>
      </c>
      <c r="D339" s="1" t="s">
        <v>161</v>
      </c>
      <c r="E339" s="1" t="s">
        <v>11</v>
      </c>
      <c r="F339" s="1" t="s">
        <v>166</v>
      </c>
      <c r="G339" s="1" t="s">
        <v>163</v>
      </c>
      <c r="H339" s="1">
        <v>1.0</v>
      </c>
      <c r="I339" s="1">
        <v>1.0</v>
      </c>
      <c r="J339" s="1">
        <v>0.0</v>
      </c>
      <c r="K339" s="1">
        <v>7.0</v>
      </c>
      <c r="L339" s="1">
        <v>9.0</v>
      </c>
      <c r="M339" s="1">
        <v>0.777777778</v>
      </c>
      <c r="N339" s="1">
        <v>16.07999992</v>
      </c>
    </row>
    <row r="340" ht="15.75" customHeight="1">
      <c r="A340" s="1" t="s">
        <v>164</v>
      </c>
      <c r="B340" s="1" t="s">
        <v>82</v>
      </c>
      <c r="C340" s="5">
        <v>45673.0</v>
      </c>
      <c r="D340" s="1" t="s">
        <v>161</v>
      </c>
      <c r="E340" s="1" t="s">
        <v>11</v>
      </c>
      <c r="F340" s="1" t="s">
        <v>171</v>
      </c>
      <c r="G340" s="1" t="s">
        <v>163</v>
      </c>
      <c r="H340" s="1">
        <v>1.0</v>
      </c>
      <c r="I340" s="1">
        <v>0.0</v>
      </c>
      <c r="J340" s="1">
        <v>0.0</v>
      </c>
      <c r="K340" s="1">
        <v>4.0</v>
      </c>
      <c r="L340" s="1">
        <v>5.0</v>
      </c>
      <c r="M340" s="1">
        <v>0.8</v>
      </c>
      <c r="N340" s="1">
        <v>0.0</v>
      </c>
    </row>
    <row r="341" ht="15.75" customHeight="1">
      <c r="A341" s="1" t="s">
        <v>160</v>
      </c>
      <c r="B341" s="1" t="s">
        <v>29</v>
      </c>
      <c r="C341" s="5">
        <v>45672.0</v>
      </c>
      <c r="D341" s="1" t="s">
        <v>161</v>
      </c>
      <c r="E341" s="1" t="s">
        <v>11</v>
      </c>
      <c r="F341" s="1" t="s">
        <v>165</v>
      </c>
      <c r="H341" s="1">
        <v>0.0</v>
      </c>
      <c r="I341" s="1">
        <v>1.0</v>
      </c>
      <c r="J341" s="1">
        <v>0.0</v>
      </c>
      <c r="K341" s="1">
        <v>12.0</v>
      </c>
      <c r="L341" s="1">
        <v>12.0</v>
      </c>
      <c r="M341" s="1">
        <v>1.0</v>
      </c>
      <c r="N341" s="1">
        <v>4.860000134</v>
      </c>
    </row>
    <row r="342" ht="15.75" customHeight="1">
      <c r="A342" s="1" t="s">
        <v>160</v>
      </c>
      <c r="B342" s="1" t="s">
        <v>80</v>
      </c>
      <c r="C342" s="5">
        <v>45672.0</v>
      </c>
      <c r="D342" s="1" t="s">
        <v>161</v>
      </c>
      <c r="E342" s="1" t="s">
        <v>11</v>
      </c>
      <c r="F342" s="1" t="s">
        <v>162</v>
      </c>
      <c r="H342" s="1">
        <v>0.0</v>
      </c>
      <c r="I342" s="1">
        <v>0.0</v>
      </c>
      <c r="J342" s="1">
        <v>0.0</v>
      </c>
      <c r="K342" s="1">
        <v>2.0</v>
      </c>
      <c r="L342" s="1">
        <v>8.0</v>
      </c>
      <c r="M342" s="1">
        <v>0.25</v>
      </c>
      <c r="N342" s="1">
        <v>10.17000008</v>
      </c>
    </row>
    <row r="343" ht="15.75" customHeight="1">
      <c r="A343" s="1" t="s">
        <v>164</v>
      </c>
      <c r="B343" s="1" t="s">
        <v>24</v>
      </c>
      <c r="C343" s="5">
        <v>45672.0</v>
      </c>
      <c r="D343" s="1" t="s">
        <v>161</v>
      </c>
      <c r="E343" s="1" t="s">
        <v>11</v>
      </c>
      <c r="F343" s="1" t="s">
        <v>166</v>
      </c>
      <c r="H343" s="1">
        <v>0.0</v>
      </c>
      <c r="I343" s="1">
        <v>0.0</v>
      </c>
      <c r="J343" s="1">
        <v>0.0</v>
      </c>
      <c r="K343" s="1">
        <v>1.0</v>
      </c>
      <c r="L343" s="1">
        <v>2.0</v>
      </c>
      <c r="M343" s="1">
        <v>0.5</v>
      </c>
      <c r="N343" s="1">
        <v>4.1199998860000004</v>
      </c>
    </row>
    <row r="344" ht="15.75" customHeight="1">
      <c r="A344" s="1" t="s">
        <v>164</v>
      </c>
      <c r="B344" s="1" t="s">
        <v>64</v>
      </c>
      <c r="C344" s="5">
        <v>45672.0</v>
      </c>
      <c r="D344" s="1" t="s">
        <v>161</v>
      </c>
      <c r="E344" s="1" t="s">
        <v>11</v>
      </c>
      <c r="F344" s="1" t="s">
        <v>166</v>
      </c>
      <c r="H344" s="1">
        <v>0.0</v>
      </c>
      <c r="I344" s="1">
        <v>0.0</v>
      </c>
      <c r="J344" s="1">
        <v>0.0</v>
      </c>
      <c r="K344" s="1">
        <v>1.0</v>
      </c>
      <c r="L344" s="1">
        <v>2.0</v>
      </c>
      <c r="M344" s="1">
        <v>0.5</v>
      </c>
      <c r="N344" s="1">
        <v>10.25</v>
      </c>
    </row>
    <row r="345" ht="15.75" customHeight="1">
      <c r="A345" s="1" t="s">
        <v>164</v>
      </c>
      <c r="B345" s="1" t="s">
        <v>60</v>
      </c>
      <c r="C345" s="5">
        <v>45672.0</v>
      </c>
      <c r="D345" s="1" t="s">
        <v>161</v>
      </c>
      <c r="E345" s="1" t="s">
        <v>11</v>
      </c>
      <c r="F345" s="1" t="s">
        <v>166</v>
      </c>
      <c r="H345" s="1">
        <v>0.0</v>
      </c>
      <c r="I345" s="1">
        <v>0.0</v>
      </c>
      <c r="J345" s="1">
        <v>0.0</v>
      </c>
      <c r="K345" s="1">
        <v>2.0</v>
      </c>
      <c r="L345" s="1">
        <v>3.0</v>
      </c>
      <c r="M345" s="1">
        <v>0.666666667</v>
      </c>
      <c r="N345" s="1">
        <v>13.02999973</v>
      </c>
    </row>
    <row r="346" ht="15.75" customHeight="1">
      <c r="A346" s="1" t="s">
        <v>164</v>
      </c>
      <c r="B346" s="1" t="s">
        <v>63</v>
      </c>
      <c r="C346" s="5">
        <v>45672.0</v>
      </c>
      <c r="D346" s="1" t="s">
        <v>161</v>
      </c>
      <c r="E346" s="1" t="s">
        <v>11</v>
      </c>
      <c r="F346" s="1" t="s">
        <v>166</v>
      </c>
      <c r="H346" s="1">
        <v>0.0</v>
      </c>
      <c r="I346" s="1">
        <v>0.0</v>
      </c>
      <c r="J346" s="1">
        <v>0.0</v>
      </c>
      <c r="K346" s="1">
        <v>1.0</v>
      </c>
      <c r="L346" s="1">
        <v>2.0</v>
      </c>
      <c r="M346" s="1">
        <v>0.5</v>
      </c>
      <c r="N346" s="1">
        <v>6.429999828</v>
      </c>
    </row>
    <row r="347" ht="15.75" customHeight="1">
      <c r="A347" s="1" t="s">
        <v>164</v>
      </c>
      <c r="B347" s="1" t="s">
        <v>183</v>
      </c>
      <c r="C347" s="5">
        <v>45672.0</v>
      </c>
      <c r="D347" s="1" t="s">
        <v>161</v>
      </c>
      <c r="E347" s="1" t="s">
        <v>11</v>
      </c>
      <c r="H347" s="1">
        <v>0.0</v>
      </c>
      <c r="J347" s="1">
        <v>0.0</v>
      </c>
      <c r="N347" s="1">
        <v>0.479999989</v>
      </c>
    </row>
    <row r="348" ht="15.75" customHeight="1">
      <c r="A348" s="1" t="s">
        <v>164</v>
      </c>
      <c r="B348" s="1" t="s">
        <v>68</v>
      </c>
      <c r="C348" s="5">
        <v>45672.0</v>
      </c>
      <c r="D348" s="1" t="s">
        <v>161</v>
      </c>
      <c r="E348" s="1" t="s">
        <v>11</v>
      </c>
      <c r="F348" s="1" t="s">
        <v>165</v>
      </c>
      <c r="H348" s="1">
        <v>0.0</v>
      </c>
      <c r="I348" s="1">
        <v>0.0</v>
      </c>
      <c r="J348" s="1">
        <v>0.0</v>
      </c>
      <c r="K348" s="1">
        <v>3.0</v>
      </c>
      <c r="L348" s="1">
        <v>6.0</v>
      </c>
      <c r="M348" s="1">
        <v>0.5</v>
      </c>
      <c r="N348" s="1">
        <v>6.75</v>
      </c>
    </row>
    <row r="349" ht="15.75" customHeight="1">
      <c r="A349" s="1" t="s">
        <v>164</v>
      </c>
      <c r="B349" s="1" t="s">
        <v>74</v>
      </c>
      <c r="C349" s="5">
        <v>45672.0</v>
      </c>
      <c r="D349" s="1" t="s">
        <v>161</v>
      </c>
      <c r="E349" s="1" t="s">
        <v>11</v>
      </c>
      <c r="F349" s="1" t="s">
        <v>162</v>
      </c>
      <c r="H349" s="1">
        <v>0.0</v>
      </c>
      <c r="I349" s="1">
        <v>1.0</v>
      </c>
      <c r="J349" s="1">
        <v>0.0</v>
      </c>
      <c r="K349" s="1">
        <v>14.0</v>
      </c>
      <c r="L349" s="1">
        <v>15.0</v>
      </c>
      <c r="M349" s="1">
        <v>0.933333333</v>
      </c>
      <c r="N349" s="1">
        <v>8.619999886</v>
      </c>
    </row>
    <row r="350" ht="15.75" customHeight="1">
      <c r="A350" s="1" t="s">
        <v>164</v>
      </c>
      <c r="B350" s="1" t="s">
        <v>74</v>
      </c>
      <c r="C350" s="5">
        <v>45672.0</v>
      </c>
      <c r="D350" s="1" t="s">
        <v>161</v>
      </c>
      <c r="E350" s="1" t="s">
        <v>11</v>
      </c>
      <c r="F350" s="1" t="s">
        <v>166</v>
      </c>
      <c r="H350" s="1">
        <v>0.0</v>
      </c>
      <c r="I350" s="1">
        <v>0.0</v>
      </c>
      <c r="J350" s="1">
        <v>0.0</v>
      </c>
      <c r="K350" s="1">
        <v>0.0</v>
      </c>
      <c r="L350" s="1">
        <v>0.0</v>
      </c>
      <c r="N350" s="1">
        <v>0.0</v>
      </c>
    </row>
    <row r="351" ht="15.75" customHeight="1">
      <c r="A351" s="1" t="s">
        <v>164</v>
      </c>
      <c r="B351" s="1" t="s">
        <v>75</v>
      </c>
      <c r="C351" s="5">
        <v>45672.0</v>
      </c>
      <c r="D351" s="1" t="s">
        <v>161</v>
      </c>
      <c r="E351" s="1" t="s">
        <v>11</v>
      </c>
      <c r="F351" s="1" t="s">
        <v>165</v>
      </c>
      <c r="H351" s="1">
        <v>0.0</v>
      </c>
      <c r="I351" s="1">
        <v>0.0</v>
      </c>
      <c r="J351" s="1">
        <v>0.0</v>
      </c>
      <c r="K351" s="1">
        <v>0.0</v>
      </c>
      <c r="L351" s="1">
        <v>4.0</v>
      </c>
      <c r="M351" s="1">
        <v>0.0</v>
      </c>
      <c r="N351" s="1">
        <v>9.789999962</v>
      </c>
    </row>
    <row r="352" ht="15.75" customHeight="1">
      <c r="A352" s="1" t="s">
        <v>164</v>
      </c>
      <c r="B352" s="1" t="s">
        <v>100</v>
      </c>
      <c r="C352" s="5">
        <v>45672.0</v>
      </c>
      <c r="D352" s="1" t="s">
        <v>161</v>
      </c>
      <c r="E352" s="1" t="s">
        <v>11</v>
      </c>
      <c r="F352" s="1" t="s">
        <v>171</v>
      </c>
      <c r="H352" s="1">
        <v>0.0</v>
      </c>
      <c r="I352" s="1">
        <v>0.0</v>
      </c>
      <c r="J352" s="1">
        <v>0.0</v>
      </c>
      <c r="K352" s="1">
        <v>0.0</v>
      </c>
      <c r="L352" s="1">
        <v>6.0</v>
      </c>
      <c r="M352" s="1">
        <v>0.0</v>
      </c>
      <c r="N352" s="1">
        <v>6.429999828</v>
      </c>
    </row>
    <row r="353" ht="15.75" customHeight="1">
      <c r="A353" s="1" t="s">
        <v>164</v>
      </c>
      <c r="B353" s="1" t="s">
        <v>82</v>
      </c>
      <c r="C353" s="5">
        <v>45672.0</v>
      </c>
      <c r="D353" s="1" t="s">
        <v>161</v>
      </c>
      <c r="E353" s="1" t="s">
        <v>11</v>
      </c>
      <c r="F353" s="1" t="s">
        <v>166</v>
      </c>
      <c r="G353" s="1" t="s">
        <v>163</v>
      </c>
      <c r="H353" s="1">
        <v>1.0</v>
      </c>
      <c r="I353" s="1">
        <v>0.0</v>
      </c>
      <c r="J353" s="1">
        <v>0.0</v>
      </c>
      <c r="K353" s="1">
        <v>3.0</v>
      </c>
      <c r="L353" s="1">
        <v>4.0</v>
      </c>
      <c r="M353" s="1">
        <v>0.75</v>
      </c>
      <c r="N353" s="1">
        <v>6.230000019</v>
      </c>
    </row>
    <row r="354" ht="15.75" customHeight="1">
      <c r="A354" s="1" t="s">
        <v>160</v>
      </c>
      <c r="B354" s="1" t="s">
        <v>29</v>
      </c>
      <c r="C354" s="5">
        <v>45671.0</v>
      </c>
      <c r="D354" s="1" t="s">
        <v>161</v>
      </c>
      <c r="E354" s="1" t="s">
        <v>11</v>
      </c>
      <c r="F354" s="1" t="s">
        <v>165</v>
      </c>
      <c r="G354" s="1" t="s">
        <v>172</v>
      </c>
      <c r="H354" s="1">
        <v>1.0</v>
      </c>
      <c r="I354" s="1">
        <v>2.0</v>
      </c>
      <c r="J354" s="1">
        <v>0.0</v>
      </c>
      <c r="K354" s="1">
        <v>32.0</v>
      </c>
      <c r="L354" s="1">
        <v>35.0</v>
      </c>
      <c r="M354" s="1">
        <v>0.914285714</v>
      </c>
      <c r="N354" s="1">
        <v>21.69000053</v>
      </c>
    </row>
    <row r="355" ht="15.75" customHeight="1">
      <c r="A355" s="1" t="s">
        <v>160</v>
      </c>
      <c r="B355" s="1" t="s">
        <v>39</v>
      </c>
      <c r="C355" s="5">
        <v>45671.0</v>
      </c>
      <c r="D355" s="1" t="s">
        <v>161</v>
      </c>
      <c r="E355" s="1" t="s">
        <v>11</v>
      </c>
      <c r="F355" s="1" t="s">
        <v>162</v>
      </c>
      <c r="G355" s="1" t="s">
        <v>172</v>
      </c>
      <c r="H355" s="1">
        <v>1.0</v>
      </c>
      <c r="I355" s="1">
        <v>0.0</v>
      </c>
      <c r="J355" s="1">
        <v>0.0</v>
      </c>
      <c r="K355" s="1">
        <v>2.0</v>
      </c>
      <c r="L355" s="1">
        <v>5.0</v>
      </c>
      <c r="M355" s="1">
        <v>0.4</v>
      </c>
      <c r="N355" s="1">
        <v>11.52999973</v>
      </c>
    </row>
    <row r="356" ht="15.75" customHeight="1">
      <c r="A356" s="1" t="s">
        <v>160</v>
      </c>
      <c r="B356" s="1" t="s">
        <v>184</v>
      </c>
      <c r="C356" s="5">
        <v>45671.0</v>
      </c>
      <c r="D356" s="1" t="s">
        <v>161</v>
      </c>
      <c r="E356" s="1" t="s">
        <v>11</v>
      </c>
      <c r="F356" s="1" t="s">
        <v>165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N356" s="1">
        <v>0.310000002</v>
      </c>
    </row>
    <row r="357" ht="15.75" customHeight="1">
      <c r="A357" s="1" t="s">
        <v>160</v>
      </c>
      <c r="B357" s="1" t="s">
        <v>77</v>
      </c>
      <c r="C357" s="5">
        <v>45671.0</v>
      </c>
      <c r="D357" s="1" t="s">
        <v>161</v>
      </c>
      <c r="E357" s="1" t="s">
        <v>11</v>
      </c>
      <c r="F357" s="1" t="s">
        <v>162</v>
      </c>
      <c r="G357" s="1" t="s">
        <v>172</v>
      </c>
      <c r="H357" s="1">
        <v>1.0</v>
      </c>
      <c r="I357" s="1">
        <v>0.0</v>
      </c>
      <c r="J357" s="1">
        <v>0.0</v>
      </c>
      <c r="K357" s="1">
        <v>8.0</v>
      </c>
      <c r="L357" s="1">
        <v>10.0</v>
      </c>
      <c r="M357" s="1">
        <v>0.8</v>
      </c>
      <c r="N357" s="1">
        <v>10.35999966</v>
      </c>
    </row>
    <row r="358" ht="15.75" customHeight="1">
      <c r="A358" s="1" t="s">
        <v>160</v>
      </c>
      <c r="B358" s="1" t="s">
        <v>90</v>
      </c>
      <c r="C358" s="5">
        <v>45671.0</v>
      </c>
      <c r="D358" s="1" t="s">
        <v>161</v>
      </c>
      <c r="E358" s="1" t="s">
        <v>11</v>
      </c>
      <c r="F358" s="1" t="s">
        <v>165</v>
      </c>
      <c r="H358" s="1">
        <v>0.0</v>
      </c>
      <c r="I358" s="1">
        <v>0.0</v>
      </c>
      <c r="J358" s="1">
        <v>0.0</v>
      </c>
      <c r="K358" s="1">
        <v>2.0</v>
      </c>
      <c r="L358" s="1">
        <v>8.0</v>
      </c>
      <c r="M358" s="1">
        <v>0.25</v>
      </c>
      <c r="N358" s="1">
        <v>11.21000004</v>
      </c>
    </row>
    <row r="359" ht="15.75" customHeight="1">
      <c r="A359" s="1" t="s">
        <v>164</v>
      </c>
      <c r="B359" s="1" t="s">
        <v>199</v>
      </c>
      <c r="C359" s="5">
        <v>45671.0</v>
      </c>
      <c r="D359" s="1" t="s">
        <v>161</v>
      </c>
      <c r="E359" s="1" t="s">
        <v>11</v>
      </c>
      <c r="H359" s="1">
        <v>0.0</v>
      </c>
      <c r="J359" s="1">
        <v>0.0</v>
      </c>
      <c r="N359" s="1">
        <v>0.930000007</v>
      </c>
    </row>
    <row r="360" ht="15.75" customHeight="1">
      <c r="A360" s="1" t="s">
        <v>164</v>
      </c>
      <c r="B360" s="1" t="s">
        <v>64</v>
      </c>
      <c r="C360" s="5">
        <v>45671.0</v>
      </c>
      <c r="D360" s="1" t="s">
        <v>161</v>
      </c>
      <c r="E360" s="1" t="s">
        <v>11</v>
      </c>
      <c r="F360" s="1" t="s">
        <v>166</v>
      </c>
      <c r="H360" s="1">
        <v>0.0</v>
      </c>
      <c r="I360" s="1">
        <v>1.0</v>
      </c>
      <c r="J360" s="1">
        <v>0.0</v>
      </c>
      <c r="K360" s="1">
        <v>11.0</v>
      </c>
      <c r="L360" s="1">
        <v>19.0</v>
      </c>
      <c r="M360" s="1">
        <v>0.578947368</v>
      </c>
      <c r="N360" s="1">
        <v>24.25</v>
      </c>
    </row>
    <row r="361" ht="15.75" customHeight="1">
      <c r="A361" s="1" t="s">
        <v>164</v>
      </c>
      <c r="B361" s="1" t="s">
        <v>179</v>
      </c>
      <c r="C361" s="5">
        <v>45671.0</v>
      </c>
      <c r="D361" s="1" t="s">
        <v>161</v>
      </c>
      <c r="E361" s="1" t="s">
        <v>11</v>
      </c>
      <c r="F361" s="1" t="s">
        <v>166</v>
      </c>
      <c r="H361" s="1">
        <v>0.0</v>
      </c>
      <c r="I361" s="1">
        <v>0.0</v>
      </c>
      <c r="J361" s="1">
        <v>0.0</v>
      </c>
      <c r="K361" s="1">
        <v>5.0</v>
      </c>
      <c r="L361" s="1">
        <v>14.0</v>
      </c>
      <c r="M361" s="1">
        <v>0.357142857</v>
      </c>
      <c r="N361" s="1">
        <v>8.539999962</v>
      </c>
    </row>
    <row r="362" ht="15.75" customHeight="1">
      <c r="A362" s="1" t="s">
        <v>164</v>
      </c>
      <c r="B362" s="1" t="s">
        <v>60</v>
      </c>
      <c r="C362" s="5">
        <v>45671.0</v>
      </c>
      <c r="D362" s="1" t="s">
        <v>161</v>
      </c>
      <c r="E362" s="1" t="s">
        <v>11</v>
      </c>
      <c r="F362" s="1" t="s">
        <v>166</v>
      </c>
      <c r="H362" s="1">
        <v>0.0</v>
      </c>
      <c r="I362" s="1">
        <v>0.0</v>
      </c>
      <c r="J362" s="1">
        <v>0.0</v>
      </c>
      <c r="K362" s="1">
        <v>2.0</v>
      </c>
      <c r="L362" s="1">
        <v>2.0</v>
      </c>
      <c r="M362" s="1">
        <v>1.0</v>
      </c>
      <c r="N362" s="1">
        <v>11.31000042</v>
      </c>
    </row>
    <row r="363" ht="15.75" customHeight="1">
      <c r="A363" s="1" t="s">
        <v>164</v>
      </c>
      <c r="B363" s="1" t="s">
        <v>63</v>
      </c>
      <c r="C363" s="5">
        <v>45671.0</v>
      </c>
      <c r="D363" s="1" t="s">
        <v>161</v>
      </c>
      <c r="E363" s="1" t="s">
        <v>11</v>
      </c>
      <c r="F363" s="1" t="s">
        <v>166</v>
      </c>
      <c r="H363" s="1">
        <v>0.0</v>
      </c>
      <c r="I363" s="1">
        <v>0.0</v>
      </c>
      <c r="J363" s="1">
        <v>0.0</v>
      </c>
      <c r="K363" s="1">
        <v>1.0</v>
      </c>
      <c r="L363" s="1">
        <v>8.0</v>
      </c>
      <c r="M363" s="1">
        <v>0.125</v>
      </c>
      <c r="N363" s="1">
        <v>9.630000114</v>
      </c>
    </row>
    <row r="364" ht="15.75" customHeight="1">
      <c r="A364" s="1" t="s">
        <v>164</v>
      </c>
      <c r="B364" s="1" t="s">
        <v>68</v>
      </c>
      <c r="C364" s="5">
        <v>45671.0</v>
      </c>
      <c r="D364" s="1" t="s">
        <v>161</v>
      </c>
      <c r="E364" s="1" t="s">
        <v>11</v>
      </c>
      <c r="F364" s="1" t="s">
        <v>165</v>
      </c>
      <c r="H364" s="1">
        <v>0.0</v>
      </c>
      <c r="I364" s="1">
        <v>0.0</v>
      </c>
      <c r="J364" s="1">
        <v>0.0</v>
      </c>
      <c r="K364" s="1">
        <v>5.0</v>
      </c>
      <c r="L364" s="1">
        <v>8.0</v>
      </c>
      <c r="M364" s="1">
        <v>0.625</v>
      </c>
      <c r="N364" s="1">
        <v>10.28999996</v>
      </c>
    </row>
    <row r="365" ht="15.75" customHeight="1">
      <c r="A365" s="1" t="s">
        <v>164</v>
      </c>
      <c r="B365" s="1" t="s">
        <v>75</v>
      </c>
      <c r="C365" s="5">
        <v>45671.0</v>
      </c>
      <c r="D365" s="1" t="s">
        <v>161</v>
      </c>
      <c r="E365" s="1" t="s">
        <v>11</v>
      </c>
      <c r="F365" s="1" t="s">
        <v>165</v>
      </c>
      <c r="H365" s="1">
        <v>0.0</v>
      </c>
      <c r="I365" s="1">
        <v>1.0</v>
      </c>
      <c r="J365" s="1">
        <v>0.0</v>
      </c>
      <c r="K365" s="1">
        <v>6.0</v>
      </c>
      <c r="L365" s="1">
        <v>6.0</v>
      </c>
      <c r="M365" s="1">
        <v>1.0</v>
      </c>
      <c r="N365" s="1">
        <v>5.3699998860000004</v>
      </c>
    </row>
    <row r="366" ht="15.75" customHeight="1">
      <c r="A366" s="1" t="s">
        <v>164</v>
      </c>
      <c r="B366" s="1" t="s">
        <v>100</v>
      </c>
      <c r="C366" s="5">
        <v>45671.0</v>
      </c>
      <c r="D366" s="1" t="s">
        <v>161</v>
      </c>
      <c r="E366" s="1" t="s">
        <v>11</v>
      </c>
      <c r="F366" s="1" t="s">
        <v>171</v>
      </c>
      <c r="H366" s="1">
        <v>0.0</v>
      </c>
      <c r="I366" s="1">
        <v>1.0</v>
      </c>
      <c r="J366" s="1">
        <v>0.0</v>
      </c>
      <c r="K366" s="1">
        <v>16.0</v>
      </c>
      <c r="L366" s="1">
        <v>17.0</v>
      </c>
      <c r="M366" s="1">
        <v>0.941176471</v>
      </c>
      <c r="N366" s="1">
        <v>9.409999847</v>
      </c>
    </row>
    <row r="367" ht="15.75" customHeight="1">
      <c r="A367" s="1" t="s">
        <v>164</v>
      </c>
      <c r="B367" s="1" t="s">
        <v>82</v>
      </c>
      <c r="C367" s="5">
        <v>45671.0</v>
      </c>
      <c r="D367" s="1" t="s">
        <v>161</v>
      </c>
      <c r="E367" s="1" t="s">
        <v>11</v>
      </c>
      <c r="F367" s="1" t="s">
        <v>166</v>
      </c>
      <c r="H367" s="1">
        <v>0.0</v>
      </c>
      <c r="I367" s="1">
        <v>0.0</v>
      </c>
      <c r="J367" s="1">
        <v>0.0</v>
      </c>
      <c r="K367" s="1">
        <v>2.0</v>
      </c>
      <c r="L367" s="1">
        <v>7.0</v>
      </c>
      <c r="M367" s="1">
        <v>0.285714286</v>
      </c>
      <c r="N367" s="1">
        <v>11.01000023</v>
      </c>
    </row>
    <row r="368" ht="15.75" customHeight="1">
      <c r="A368" s="1" t="s">
        <v>160</v>
      </c>
      <c r="B368" s="1" t="s">
        <v>29</v>
      </c>
      <c r="C368" s="5">
        <v>45670.0</v>
      </c>
      <c r="D368" s="1" t="s">
        <v>161</v>
      </c>
      <c r="E368" s="1" t="s">
        <v>11</v>
      </c>
      <c r="F368" s="1" t="s">
        <v>165</v>
      </c>
      <c r="G368" s="1" t="s">
        <v>200</v>
      </c>
      <c r="H368" s="1">
        <v>2.0</v>
      </c>
      <c r="I368" s="1">
        <v>1.0</v>
      </c>
      <c r="J368" s="1">
        <v>0.0</v>
      </c>
      <c r="K368" s="1">
        <v>32.0</v>
      </c>
      <c r="L368" s="1">
        <v>42.0</v>
      </c>
      <c r="M368" s="1">
        <v>0.761904762</v>
      </c>
      <c r="N368" s="1">
        <v>26.14999962</v>
      </c>
    </row>
    <row r="369" ht="15.75" customHeight="1">
      <c r="A369" s="1" t="s">
        <v>160</v>
      </c>
      <c r="B369" s="1" t="s">
        <v>39</v>
      </c>
      <c r="C369" s="5">
        <v>45670.0</v>
      </c>
      <c r="D369" s="1" t="s">
        <v>161</v>
      </c>
      <c r="E369" s="1" t="s">
        <v>11</v>
      </c>
      <c r="F369" s="1" t="s">
        <v>162</v>
      </c>
      <c r="H369" s="1">
        <v>0.0</v>
      </c>
      <c r="I369" s="1">
        <v>0.0</v>
      </c>
      <c r="J369" s="1">
        <v>0.0</v>
      </c>
      <c r="K369" s="1">
        <v>8.0</v>
      </c>
      <c r="L369" s="1">
        <v>16.0</v>
      </c>
      <c r="M369" s="1">
        <v>0.5</v>
      </c>
      <c r="N369" s="1">
        <v>16.21999931</v>
      </c>
    </row>
    <row r="370" ht="15.75" customHeight="1">
      <c r="A370" s="1" t="s">
        <v>160</v>
      </c>
      <c r="B370" s="1" t="s">
        <v>39</v>
      </c>
      <c r="C370" s="5">
        <v>45670.0</v>
      </c>
      <c r="D370" s="1" t="s">
        <v>161</v>
      </c>
      <c r="E370" s="1" t="s">
        <v>11</v>
      </c>
      <c r="F370" s="1" t="s">
        <v>166</v>
      </c>
      <c r="H370" s="1">
        <v>0.0</v>
      </c>
      <c r="I370" s="1">
        <v>0.0</v>
      </c>
      <c r="J370" s="1">
        <v>0.0</v>
      </c>
      <c r="K370" s="1">
        <v>0.0</v>
      </c>
      <c r="L370" s="1">
        <v>0.0</v>
      </c>
      <c r="N370" s="1">
        <v>0.0</v>
      </c>
    </row>
    <row r="371" ht="15.75" customHeight="1">
      <c r="A371" s="1" t="s">
        <v>160</v>
      </c>
      <c r="B371" s="1" t="s">
        <v>80</v>
      </c>
      <c r="C371" s="5">
        <v>45670.0</v>
      </c>
      <c r="D371" s="1" t="s">
        <v>161</v>
      </c>
      <c r="E371" s="1" t="s">
        <v>11</v>
      </c>
      <c r="H371" s="1">
        <v>0.0</v>
      </c>
      <c r="J371" s="1">
        <v>0.0</v>
      </c>
      <c r="N371" s="1">
        <v>0.529999971</v>
      </c>
    </row>
    <row r="372" ht="15.75" customHeight="1">
      <c r="A372" s="1" t="s">
        <v>160</v>
      </c>
      <c r="B372" s="1" t="s">
        <v>65</v>
      </c>
      <c r="C372" s="5">
        <v>45670.0</v>
      </c>
      <c r="D372" s="1" t="s">
        <v>161</v>
      </c>
      <c r="E372" s="1" t="s">
        <v>11</v>
      </c>
      <c r="F372" s="1" t="s">
        <v>162</v>
      </c>
      <c r="H372" s="1">
        <v>0.0</v>
      </c>
      <c r="I372" s="1">
        <v>0.0</v>
      </c>
      <c r="J372" s="1">
        <v>0.0</v>
      </c>
      <c r="K372" s="1">
        <v>9.0</v>
      </c>
      <c r="L372" s="1">
        <v>15.0</v>
      </c>
      <c r="M372" s="1">
        <v>0.6</v>
      </c>
      <c r="N372" s="1">
        <v>12.90999985</v>
      </c>
    </row>
    <row r="373" ht="15.75" customHeight="1">
      <c r="A373" s="1" t="s">
        <v>160</v>
      </c>
      <c r="B373" s="1" t="s">
        <v>77</v>
      </c>
      <c r="C373" s="5">
        <v>45670.0</v>
      </c>
      <c r="D373" s="1" t="s">
        <v>161</v>
      </c>
      <c r="E373" s="1" t="s">
        <v>11</v>
      </c>
      <c r="F373" s="1" t="s">
        <v>162</v>
      </c>
      <c r="G373" s="1" t="s">
        <v>201</v>
      </c>
      <c r="H373" s="1">
        <v>1.0</v>
      </c>
      <c r="I373" s="1">
        <v>0.0</v>
      </c>
      <c r="J373" s="1">
        <v>0.0</v>
      </c>
      <c r="K373" s="1">
        <v>9.0</v>
      </c>
      <c r="L373" s="1">
        <v>11.0</v>
      </c>
      <c r="M373" s="1">
        <v>0.818181818</v>
      </c>
      <c r="N373" s="1">
        <v>13.97999954</v>
      </c>
    </row>
    <row r="374" ht="15.75" customHeight="1">
      <c r="A374" s="1" t="s">
        <v>160</v>
      </c>
      <c r="B374" s="1" t="s">
        <v>90</v>
      </c>
      <c r="C374" s="5">
        <v>45670.0</v>
      </c>
      <c r="D374" s="1" t="s">
        <v>161</v>
      </c>
      <c r="E374" s="1" t="s">
        <v>11</v>
      </c>
      <c r="F374" s="1" t="s">
        <v>165</v>
      </c>
      <c r="H374" s="1">
        <v>0.0</v>
      </c>
      <c r="I374" s="1">
        <v>0.0</v>
      </c>
      <c r="J374" s="1">
        <v>0.0</v>
      </c>
      <c r="K374" s="1">
        <v>10.0</v>
      </c>
      <c r="L374" s="1">
        <v>12.0</v>
      </c>
      <c r="M374" s="1">
        <v>0.833333333</v>
      </c>
      <c r="N374" s="1">
        <v>14.27999973</v>
      </c>
    </row>
    <row r="375" ht="15.75" customHeight="1">
      <c r="A375" s="1" t="s">
        <v>164</v>
      </c>
      <c r="B375" s="1" t="s">
        <v>35</v>
      </c>
      <c r="C375" s="5">
        <v>45670.0</v>
      </c>
      <c r="D375" s="1" t="s">
        <v>161</v>
      </c>
      <c r="E375" s="1" t="s">
        <v>11</v>
      </c>
      <c r="H375" s="1">
        <v>0.0</v>
      </c>
      <c r="J375" s="1">
        <v>0.0</v>
      </c>
      <c r="N375" s="1">
        <v>0.409999996</v>
      </c>
    </row>
    <row r="376" ht="15.75" customHeight="1">
      <c r="A376" s="1" t="s">
        <v>164</v>
      </c>
      <c r="B376" s="1" t="s">
        <v>24</v>
      </c>
      <c r="C376" s="5">
        <v>45670.0</v>
      </c>
      <c r="D376" s="1" t="s">
        <v>161</v>
      </c>
      <c r="E376" s="1" t="s">
        <v>11</v>
      </c>
      <c r="F376" s="1" t="s">
        <v>166</v>
      </c>
      <c r="H376" s="1">
        <v>0.0</v>
      </c>
      <c r="I376" s="1">
        <v>0.0</v>
      </c>
      <c r="J376" s="1">
        <v>0.0</v>
      </c>
      <c r="K376" s="1">
        <v>2.0</v>
      </c>
      <c r="L376" s="1">
        <v>9.0</v>
      </c>
      <c r="M376" s="1">
        <v>0.222222222</v>
      </c>
      <c r="N376" s="1">
        <v>10.97000027</v>
      </c>
    </row>
    <row r="377" ht="15.75" customHeight="1">
      <c r="A377" s="1" t="s">
        <v>164</v>
      </c>
      <c r="B377" s="1" t="s">
        <v>64</v>
      </c>
      <c r="C377" s="5">
        <v>45670.0</v>
      </c>
      <c r="D377" s="1" t="s">
        <v>161</v>
      </c>
      <c r="E377" s="1" t="s">
        <v>11</v>
      </c>
      <c r="F377" s="1" t="s">
        <v>166</v>
      </c>
      <c r="H377" s="1">
        <v>0.0</v>
      </c>
      <c r="I377" s="1">
        <v>0.0</v>
      </c>
      <c r="J377" s="1">
        <v>0.0</v>
      </c>
      <c r="K377" s="1">
        <v>8.0</v>
      </c>
      <c r="L377" s="1">
        <v>14.0</v>
      </c>
      <c r="M377" s="1">
        <v>0.571428571</v>
      </c>
      <c r="N377" s="1">
        <v>24.30999947</v>
      </c>
    </row>
    <row r="378" ht="15.75" customHeight="1">
      <c r="A378" s="1" t="s">
        <v>164</v>
      </c>
      <c r="B378" s="1" t="s">
        <v>60</v>
      </c>
      <c r="C378" s="5">
        <v>45670.0</v>
      </c>
      <c r="D378" s="1" t="s">
        <v>161</v>
      </c>
      <c r="E378" s="1" t="s">
        <v>11</v>
      </c>
      <c r="F378" s="1" t="s">
        <v>166</v>
      </c>
      <c r="H378" s="1">
        <v>0.0</v>
      </c>
      <c r="I378" s="1">
        <v>0.0</v>
      </c>
      <c r="J378" s="1">
        <v>0.0</v>
      </c>
      <c r="K378" s="1">
        <v>2.0</v>
      </c>
      <c r="L378" s="1">
        <v>5.0</v>
      </c>
      <c r="M378" s="1">
        <v>0.4</v>
      </c>
      <c r="N378" s="1">
        <v>9.029999733</v>
      </c>
    </row>
    <row r="379" ht="15.75" customHeight="1">
      <c r="A379" s="1" t="s">
        <v>164</v>
      </c>
      <c r="B379" s="1" t="s">
        <v>63</v>
      </c>
      <c r="C379" s="5">
        <v>45670.0</v>
      </c>
      <c r="D379" s="1" t="s">
        <v>161</v>
      </c>
      <c r="E379" s="1" t="s">
        <v>11</v>
      </c>
      <c r="F379" s="1" t="s">
        <v>166</v>
      </c>
      <c r="H379" s="1">
        <v>0.0</v>
      </c>
      <c r="I379" s="1">
        <v>0.0</v>
      </c>
      <c r="J379" s="1">
        <v>0.0</v>
      </c>
      <c r="K379" s="1">
        <v>10.0</v>
      </c>
      <c r="L379" s="1">
        <v>17.0</v>
      </c>
      <c r="M379" s="1">
        <v>0.588235294</v>
      </c>
      <c r="N379" s="1">
        <v>14.76000023</v>
      </c>
    </row>
    <row r="380" ht="15.75" customHeight="1">
      <c r="A380" s="1" t="s">
        <v>164</v>
      </c>
      <c r="B380" s="1" t="s">
        <v>68</v>
      </c>
      <c r="C380" s="5">
        <v>45670.0</v>
      </c>
      <c r="D380" s="1" t="s">
        <v>161</v>
      </c>
      <c r="E380" s="1" t="s">
        <v>11</v>
      </c>
      <c r="F380" s="1" t="s">
        <v>165</v>
      </c>
      <c r="H380" s="1">
        <v>0.0</v>
      </c>
      <c r="I380" s="1">
        <v>0.0</v>
      </c>
      <c r="J380" s="1">
        <v>0.0</v>
      </c>
      <c r="K380" s="1">
        <v>3.0</v>
      </c>
      <c r="L380" s="1">
        <v>4.0</v>
      </c>
      <c r="M380" s="1">
        <v>0.75</v>
      </c>
      <c r="N380" s="1">
        <v>6.949999809</v>
      </c>
    </row>
    <row r="381" ht="15.75" customHeight="1">
      <c r="A381" s="1" t="s">
        <v>164</v>
      </c>
      <c r="B381" s="1" t="s">
        <v>74</v>
      </c>
      <c r="C381" s="5">
        <v>45670.0</v>
      </c>
      <c r="D381" s="1" t="s">
        <v>161</v>
      </c>
      <c r="E381" s="1" t="s">
        <v>11</v>
      </c>
      <c r="F381" s="1" t="s">
        <v>165</v>
      </c>
      <c r="H381" s="1">
        <v>0.0</v>
      </c>
      <c r="I381" s="1">
        <v>0.0</v>
      </c>
      <c r="J381" s="1">
        <v>0.0</v>
      </c>
      <c r="K381" s="1">
        <v>10.0</v>
      </c>
      <c r="L381" s="1">
        <v>21.0</v>
      </c>
      <c r="M381" s="1">
        <v>0.476190476</v>
      </c>
      <c r="N381" s="1">
        <v>17.53000069</v>
      </c>
    </row>
    <row r="382" ht="15.75" customHeight="1">
      <c r="A382" s="1" t="s">
        <v>164</v>
      </c>
      <c r="B382" s="1" t="s">
        <v>75</v>
      </c>
      <c r="C382" s="5">
        <v>45670.0</v>
      </c>
      <c r="D382" s="1" t="s">
        <v>161</v>
      </c>
      <c r="E382" s="1" t="s">
        <v>11</v>
      </c>
      <c r="F382" s="1" t="s">
        <v>165</v>
      </c>
      <c r="H382" s="1">
        <v>0.0</v>
      </c>
      <c r="I382" s="1">
        <v>0.0</v>
      </c>
      <c r="J382" s="1">
        <v>0.0</v>
      </c>
      <c r="K382" s="1">
        <v>11.0</v>
      </c>
      <c r="L382" s="1">
        <v>21.0</v>
      </c>
      <c r="M382" s="1">
        <v>0.523809524</v>
      </c>
      <c r="N382" s="1">
        <v>11.10000038</v>
      </c>
    </row>
    <row r="383" ht="15.75" customHeight="1">
      <c r="A383" s="1" t="s">
        <v>164</v>
      </c>
      <c r="B383" s="1" t="s">
        <v>100</v>
      </c>
      <c r="C383" s="5">
        <v>45670.0</v>
      </c>
      <c r="D383" s="1" t="s">
        <v>161</v>
      </c>
      <c r="E383" s="1" t="s">
        <v>11</v>
      </c>
      <c r="F383" s="1" t="s">
        <v>171</v>
      </c>
      <c r="G383" s="1" t="s">
        <v>172</v>
      </c>
      <c r="H383" s="1">
        <v>1.0</v>
      </c>
      <c r="I383" s="1">
        <v>1.0</v>
      </c>
      <c r="J383" s="1">
        <v>0.0</v>
      </c>
      <c r="K383" s="1">
        <v>14.0</v>
      </c>
      <c r="L383" s="1">
        <v>17.0</v>
      </c>
      <c r="M383" s="1">
        <v>0.823529412</v>
      </c>
      <c r="N383" s="1">
        <v>16.30999947</v>
      </c>
    </row>
    <row r="384" ht="15.75" customHeight="1">
      <c r="A384" s="1" t="s">
        <v>164</v>
      </c>
      <c r="B384" s="1" t="s">
        <v>82</v>
      </c>
      <c r="C384" s="5">
        <v>45670.0</v>
      </c>
      <c r="D384" s="1" t="s">
        <v>161</v>
      </c>
      <c r="E384" s="1" t="s">
        <v>11</v>
      </c>
      <c r="F384" s="1" t="s">
        <v>165</v>
      </c>
      <c r="H384" s="1">
        <v>0.0</v>
      </c>
      <c r="I384" s="1">
        <v>0.0</v>
      </c>
      <c r="J384" s="1">
        <v>0.0</v>
      </c>
      <c r="K384" s="1">
        <v>0.0</v>
      </c>
      <c r="L384" s="1">
        <v>2.0</v>
      </c>
      <c r="M384" s="1">
        <v>0.0</v>
      </c>
      <c r="N384" s="1">
        <v>0.0</v>
      </c>
    </row>
    <row r="385" ht="15.75" customHeight="1">
      <c r="A385" s="1" t="s">
        <v>164</v>
      </c>
      <c r="B385" s="1" t="s">
        <v>82</v>
      </c>
      <c r="C385" s="5">
        <v>45670.0</v>
      </c>
      <c r="D385" s="1" t="s">
        <v>161</v>
      </c>
      <c r="E385" s="1" t="s">
        <v>11</v>
      </c>
      <c r="F385" s="1" t="s">
        <v>166</v>
      </c>
      <c r="H385" s="1">
        <v>0.0</v>
      </c>
      <c r="I385" s="1">
        <v>0.0</v>
      </c>
      <c r="J385" s="1">
        <v>0.0</v>
      </c>
      <c r="K385" s="1">
        <v>2.0</v>
      </c>
      <c r="L385" s="1">
        <v>3.0</v>
      </c>
      <c r="M385" s="1">
        <v>0.666666667</v>
      </c>
      <c r="N385" s="1">
        <v>11.39999962</v>
      </c>
    </row>
    <row r="386" ht="15.75" customHeight="1">
      <c r="A386" s="1" t="s">
        <v>164</v>
      </c>
      <c r="B386" s="1" t="s">
        <v>202</v>
      </c>
      <c r="C386" s="5">
        <v>45670.0</v>
      </c>
      <c r="D386" s="1" t="s">
        <v>161</v>
      </c>
      <c r="E386" s="1" t="s">
        <v>11</v>
      </c>
      <c r="F386" s="1" t="s">
        <v>166</v>
      </c>
      <c r="H386" s="1">
        <v>0.0</v>
      </c>
      <c r="I386" s="1">
        <v>0.0</v>
      </c>
      <c r="J386" s="1">
        <v>0.0</v>
      </c>
      <c r="K386" s="1">
        <v>0.0</v>
      </c>
      <c r="L386" s="1">
        <v>3.0</v>
      </c>
      <c r="M386" s="1">
        <v>0.0</v>
      </c>
      <c r="N386" s="1">
        <v>5.900000095</v>
      </c>
    </row>
    <row r="387" ht="15.75" customHeight="1">
      <c r="A387" s="1" t="s">
        <v>160</v>
      </c>
      <c r="B387" s="1" t="s">
        <v>29</v>
      </c>
      <c r="C387" s="5">
        <v>45667.0</v>
      </c>
      <c r="D387" s="1" t="s">
        <v>161</v>
      </c>
      <c r="E387" s="1" t="s">
        <v>11</v>
      </c>
      <c r="F387" s="1" t="s">
        <v>165</v>
      </c>
      <c r="H387" s="1">
        <v>0.0</v>
      </c>
      <c r="I387" s="1">
        <v>1.0</v>
      </c>
      <c r="J387" s="1">
        <v>0.0</v>
      </c>
      <c r="K387" s="1">
        <v>16.0</v>
      </c>
      <c r="L387" s="1">
        <v>18.0</v>
      </c>
      <c r="M387" s="1">
        <v>0.888888889</v>
      </c>
      <c r="N387" s="1">
        <v>11.22000027</v>
      </c>
    </row>
    <row r="388" ht="15.75" customHeight="1">
      <c r="A388" s="1" t="s">
        <v>160</v>
      </c>
      <c r="B388" s="1" t="s">
        <v>18</v>
      </c>
      <c r="C388" s="5">
        <v>45667.0</v>
      </c>
      <c r="D388" s="1" t="s">
        <v>161</v>
      </c>
      <c r="E388" s="1" t="s">
        <v>11</v>
      </c>
      <c r="F388" s="1" t="s">
        <v>162</v>
      </c>
      <c r="H388" s="1">
        <v>0.0</v>
      </c>
      <c r="I388" s="1">
        <v>0.0</v>
      </c>
      <c r="J388" s="1">
        <v>0.0</v>
      </c>
      <c r="K388" s="1">
        <v>0.0</v>
      </c>
      <c r="L388" s="1">
        <v>7.0</v>
      </c>
      <c r="M388" s="1">
        <v>0.0</v>
      </c>
      <c r="N388" s="1">
        <v>7.340000153</v>
      </c>
    </row>
    <row r="389" ht="15.75" customHeight="1">
      <c r="A389" s="1" t="s">
        <v>164</v>
      </c>
      <c r="B389" s="1" t="s">
        <v>64</v>
      </c>
      <c r="C389" s="5">
        <v>45667.0</v>
      </c>
      <c r="D389" s="1" t="s">
        <v>161</v>
      </c>
      <c r="E389" s="1" t="s">
        <v>11</v>
      </c>
      <c r="F389" s="1" t="s">
        <v>166</v>
      </c>
      <c r="H389" s="1">
        <v>0.0</v>
      </c>
      <c r="I389" s="1">
        <v>0.0</v>
      </c>
      <c r="J389" s="1">
        <v>0.0</v>
      </c>
      <c r="K389" s="1">
        <v>6.0</v>
      </c>
      <c r="L389" s="1">
        <v>9.0</v>
      </c>
      <c r="M389" s="1">
        <v>0.666666667</v>
      </c>
      <c r="N389" s="1">
        <v>12.19999981</v>
      </c>
    </row>
    <row r="390" ht="15.75" customHeight="1">
      <c r="A390" s="1" t="s">
        <v>164</v>
      </c>
      <c r="B390" s="1" t="s">
        <v>100</v>
      </c>
      <c r="C390" s="5">
        <v>45667.0</v>
      </c>
      <c r="D390" s="1" t="s">
        <v>161</v>
      </c>
      <c r="E390" s="1" t="s">
        <v>11</v>
      </c>
      <c r="F390" s="1" t="s">
        <v>171</v>
      </c>
      <c r="H390" s="1">
        <v>0.0</v>
      </c>
      <c r="I390" s="1">
        <v>0.0</v>
      </c>
      <c r="J390" s="1">
        <v>0.0</v>
      </c>
      <c r="K390" s="1">
        <v>0.0</v>
      </c>
      <c r="L390" s="1">
        <v>5.0</v>
      </c>
      <c r="M390" s="1">
        <v>0.0</v>
      </c>
      <c r="N390" s="1">
        <v>6.960000038</v>
      </c>
    </row>
    <row r="391" ht="15.75" customHeight="1">
      <c r="A391" s="1" t="s">
        <v>164</v>
      </c>
      <c r="B391" s="1" t="s">
        <v>82</v>
      </c>
      <c r="C391" s="5">
        <v>45667.0</v>
      </c>
      <c r="D391" s="1" t="s">
        <v>161</v>
      </c>
      <c r="E391" s="1" t="s">
        <v>11</v>
      </c>
      <c r="F391" s="1" t="s">
        <v>166</v>
      </c>
      <c r="G391" s="1" t="s">
        <v>163</v>
      </c>
      <c r="H391" s="1">
        <v>1.0</v>
      </c>
      <c r="I391" s="1">
        <v>0.0</v>
      </c>
      <c r="J391" s="1">
        <v>0.0</v>
      </c>
      <c r="K391" s="1">
        <v>1.0</v>
      </c>
      <c r="L391" s="1">
        <v>5.0</v>
      </c>
      <c r="M391" s="1">
        <v>0.2</v>
      </c>
      <c r="N391" s="1">
        <v>14.28999996</v>
      </c>
    </row>
    <row r="392" ht="15.75" customHeight="1">
      <c r="A392" s="1" t="s">
        <v>160</v>
      </c>
      <c r="B392" s="1" t="s">
        <v>29</v>
      </c>
      <c r="C392" s="5">
        <v>45666.0</v>
      </c>
      <c r="D392" s="1" t="s">
        <v>161</v>
      </c>
      <c r="E392" s="1" t="s">
        <v>11</v>
      </c>
      <c r="F392" s="1" t="s">
        <v>165</v>
      </c>
      <c r="H392" s="1">
        <v>0.0</v>
      </c>
      <c r="I392" s="1">
        <v>1.0</v>
      </c>
      <c r="J392" s="1">
        <v>0.0</v>
      </c>
      <c r="K392" s="1">
        <v>19.0</v>
      </c>
      <c r="L392" s="1">
        <v>22.0</v>
      </c>
      <c r="M392" s="1">
        <v>0.863636364</v>
      </c>
      <c r="N392" s="1">
        <v>31.97999954</v>
      </c>
    </row>
    <row r="393" ht="15.75" customHeight="1">
      <c r="A393" s="1" t="s">
        <v>164</v>
      </c>
      <c r="B393" s="1" t="s">
        <v>24</v>
      </c>
      <c r="C393" s="5">
        <v>45666.0</v>
      </c>
      <c r="D393" s="1" t="s">
        <v>161</v>
      </c>
      <c r="E393" s="1" t="s">
        <v>11</v>
      </c>
      <c r="F393" s="1" t="s">
        <v>166</v>
      </c>
      <c r="H393" s="1">
        <v>0.0</v>
      </c>
      <c r="I393" s="1">
        <v>0.0</v>
      </c>
      <c r="J393" s="1">
        <v>0.0</v>
      </c>
      <c r="K393" s="1">
        <v>1.0</v>
      </c>
      <c r="L393" s="1">
        <v>5.0</v>
      </c>
      <c r="M393" s="1">
        <v>0.2</v>
      </c>
      <c r="N393" s="1">
        <v>0.0</v>
      </c>
    </row>
    <row r="394" ht="15.75" customHeight="1">
      <c r="A394" s="1" t="s">
        <v>164</v>
      </c>
      <c r="B394" s="1" t="s">
        <v>52</v>
      </c>
      <c r="C394" s="5">
        <v>45666.0</v>
      </c>
      <c r="D394" s="1" t="s">
        <v>161</v>
      </c>
      <c r="E394" s="1" t="s">
        <v>11</v>
      </c>
      <c r="F394" s="1" t="s">
        <v>165</v>
      </c>
      <c r="H394" s="1">
        <v>0.0</v>
      </c>
      <c r="I394" s="1">
        <v>0.0</v>
      </c>
      <c r="J394" s="1">
        <v>0.0</v>
      </c>
      <c r="K394" s="1">
        <v>0.0</v>
      </c>
      <c r="L394" s="1">
        <v>0.0</v>
      </c>
      <c r="N394" s="1">
        <v>0.07</v>
      </c>
    </row>
    <row r="395" ht="15.75" customHeight="1">
      <c r="A395" s="1" t="s">
        <v>164</v>
      </c>
      <c r="B395" s="1" t="s">
        <v>100</v>
      </c>
      <c r="C395" s="5">
        <v>45666.0</v>
      </c>
      <c r="D395" s="1" t="s">
        <v>161</v>
      </c>
      <c r="E395" s="1" t="s">
        <v>11</v>
      </c>
      <c r="F395" s="1" t="s">
        <v>171</v>
      </c>
      <c r="H395" s="1">
        <v>0.0</v>
      </c>
      <c r="I395" s="1">
        <v>0.0</v>
      </c>
      <c r="J395" s="1">
        <v>0.0</v>
      </c>
      <c r="K395" s="1">
        <v>0.0</v>
      </c>
      <c r="L395" s="1">
        <v>1.0</v>
      </c>
      <c r="M395" s="1">
        <v>0.0</v>
      </c>
      <c r="N395" s="1">
        <v>1.25999999</v>
      </c>
    </row>
    <row r="396" ht="15.75" customHeight="1">
      <c r="A396" s="1" t="s">
        <v>164</v>
      </c>
      <c r="B396" s="1" t="s">
        <v>82</v>
      </c>
      <c r="C396" s="5">
        <v>45666.0</v>
      </c>
      <c r="D396" s="1" t="s">
        <v>161</v>
      </c>
      <c r="E396" s="1" t="s">
        <v>11</v>
      </c>
      <c r="F396" s="1" t="s">
        <v>165</v>
      </c>
      <c r="H396" s="1">
        <v>0.0</v>
      </c>
      <c r="I396" s="1">
        <v>0.0</v>
      </c>
      <c r="J396" s="1">
        <v>0.0</v>
      </c>
      <c r="K396" s="1">
        <v>0.0</v>
      </c>
      <c r="L396" s="1">
        <v>10.0</v>
      </c>
      <c r="M396" s="1">
        <v>0.0</v>
      </c>
      <c r="N396" s="1">
        <v>10.46000004</v>
      </c>
    </row>
    <row r="397" ht="15.75" customHeight="1">
      <c r="A397" s="1" t="s">
        <v>164</v>
      </c>
      <c r="B397" s="1" t="s">
        <v>202</v>
      </c>
      <c r="C397" s="5">
        <v>45666.0</v>
      </c>
      <c r="D397" s="1" t="s">
        <v>161</v>
      </c>
      <c r="E397" s="1" t="s">
        <v>11</v>
      </c>
      <c r="F397" s="1" t="s">
        <v>166</v>
      </c>
      <c r="H397" s="1">
        <v>0.0</v>
      </c>
      <c r="I397" s="1">
        <v>0.0</v>
      </c>
      <c r="J397" s="1">
        <v>0.0</v>
      </c>
      <c r="K397" s="1">
        <v>0.0</v>
      </c>
      <c r="L397" s="1">
        <v>0.0</v>
      </c>
      <c r="N397" s="1">
        <v>0.649999976</v>
      </c>
    </row>
    <row r="398" ht="15.75" customHeight="1">
      <c r="A398" s="1" t="s">
        <v>160</v>
      </c>
      <c r="B398" s="1" t="s">
        <v>29</v>
      </c>
      <c r="C398" s="5">
        <v>45665.0</v>
      </c>
      <c r="D398" s="1" t="s">
        <v>161</v>
      </c>
      <c r="E398" s="1" t="s">
        <v>11</v>
      </c>
      <c r="F398" s="1" t="s">
        <v>165</v>
      </c>
      <c r="H398" s="1">
        <v>0.0</v>
      </c>
      <c r="I398" s="1">
        <v>1.0</v>
      </c>
      <c r="J398" s="1">
        <v>0.0</v>
      </c>
      <c r="K398" s="1">
        <v>14.0</v>
      </c>
      <c r="L398" s="1">
        <v>16.0</v>
      </c>
      <c r="M398" s="1">
        <v>0.875</v>
      </c>
      <c r="N398" s="1">
        <v>18.07999992</v>
      </c>
    </row>
    <row r="399" ht="15.75" customHeight="1">
      <c r="A399" s="1" t="s">
        <v>160</v>
      </c>
      <c r="B399" s="1" t="s">
        <v>39</v>
      </c>
      <c r="C399" s="5">
        <v>45665.0</v>
      </c>
      <c r="D399" s="1" t="s">
        <v>161</v>
      </c>
      <c r="E399" s="1" t="s">
        <v>11</v>
      </c>
      <c r="F399" s="1" t="s">
        <v>162</v>
      </c>
      <c r="H399" s="1">
        <v>0.0</v>
      </c>
      <c r="I399" s="1">
        <v>0.0</v>
      </c>
      <c r="J399" s="1">
        <v>0.0</v>
      </c>
      <c r="K399" s="1">
        <v>7.0</v>
      </c>
      <c r="L399" s="1">
        <v>14.0</v>
      </c>
      <c r="M399" s="1">
        <v>0.5</v>
      </c>
      <c r="N399" s="1">
        <v>13.02999973</v>
      </c>
    </row>
    <row r="400" ht="15.75" customHeight="1">
      <c r="A400" s="1" t="s">
        <v>160</v>
      </c>
      <c r="B400" s="1" t="s">
        <v>39</v>
      </c>
      <c r="C400" s="5">
        <v>45665.0</v>
      </c>
      <c r="D400" s="1" t="s">
        <v>161</v>
      </c>
      <c r="E400" s="1" t="s">
        <v>11</v>
      </c>
      <c r="F400" s="1" t="s">
        <v>166</v>
      </c>
      <c r="H400" s="1">
        <v>0.0</v>
      </c>
      <c r="I400" s="1">
        <v>0.0</v>
      </c>
      <c r="J400" s="1">
        <v>0.0</v>
      </c>
      <c r="K400" s="1">
        <v>0.0</v>
      </c>
      <c r="L400" s="1">
        <v>0.0</v>
      </c>
      <c r="N400" s="1">
        <v>0.0</v>
      </c>
    </row>
    <row r="401" ht="15.75" customHeight="1">
      <c r="A401" s="1" t="s">
        <v>160</v>
      </c>
      <c r="B401" s="1" t="s">
        <v>65</v>
      </c>
      <c r="C401" s="5">
        <v>45665.0</v>
      </c>
      <c r="D401" s="1" t="s">
        <v>161</v>
      </c>
      <c r="E401" s="1" t="s">
        <v>11</v>
      </c>
      <c r="F401" s="1" t="s">
        <v>162</v>
      </c>
      <c r="H401" s="1">
        <v>0.0</v>
      </c>
      <c r="I401" s="1">
        <v>0.0</v>
      </c>
      <c r="J401" s="1">
        <v>0.0</v>
      </c>
      <c r="K401" s="1">
        <v>10.0</v>
      </c>
      <c r="L401" s="1">
        <v>16.0</v>
      </c>
      <c r="M401" s="1">
        <v>0.625</v>
      </c>
      <c r="N401" s="1">
        <v>11.76000023</v>
      </c>
    </row>
    <row r="402" ht="15.75" customHeight="1">
      <c r="A402" s="1" t="s">
        <v>160</v>
      </c>
      <c r="B402" s="1" t="s">
        <v>186</v>
      </c>
      <c r="C402" s="5">
        <v>45665.0</v>
      </c>
      <c r="D402" s="1" t="s">
        <v>161</v>
      </c>
      <c r="E402" s="1" t="s">
        <v>11</v>
      </c>
      <c r="H402" s="1">
        <v>0.0</v>
      </c>
      <c r="J402" s="1">
        <v>0.0</v>
      </c>
      <c r="N402" s="1">
        <v>1.169999957</v>
      </c>
    </row>
    <row r="403" ht="15.75" customHeight="1">
      <c r="A403" s="1" t="s">
        <v>160</v>
      </c>
      <c r="B403" s="1" t="s">
        <v>77</v>
      </c>
      <c r="C403" s="5">
        <v>45665.0</v>
      </c>
      <c r="D403" s="1" t="s">
        <v>161</v>
      </c>
      <c r="E403" s="1" t="s">
        <v>11</v>
      </c>
      <c r="F403" s="1" t="s">
        <v>162</v>
      </c>
      <c r="H403" s="1">
        <v>0.0</v>
      </c>
      <c r="I403" s="1">
        <v>0.0</v>
      </c>
      <c r="J403" s="1">
        <v>0.0</v>
      </c>
      <c r="K403" s="1">
        <v>11.0</v>
      </c>
      <c r="L403" s="1">
        <v>14.0</v>
      </c>
      <c r="M403" s="1">
        <v>0.785714286</v>
      </c>
      <c r="N403" s="1">
        <v>10.02000046</v>
      </c>
    </row>
    <row r="404" ht="15.75" customHeight="1">
      <c r="A404" s="1" t="s">
        <v>160</v>
      </c>
      <c r="B404" s="1" t="s">
        <v>90</v>
      </c>
      <c r="C404" s="5">
        <v>45665.0</v>
      </c>
      <c r="D404" s="1" t="s">
        <v>161</v>
      </c>
      <c r="E404" s="1" t="s">
        <v>11</v>
      </c>
      <c r="F404" s="1" t="s">
        <v>165</v>
      </c>
      <c r="G404" s="1" t="s">
        <v>172</v>
      </c>
      <c r="H404" s="1">
        <v>1.0</v>
      </c>
      <c r="I404" s="1">
        <v>0.0</v>
      </c>
      <c r="J404" s="1">
        <v>0.0</v>
      </c>
      <c r="K404" s="1">
        <v>7.0</v>
      </c>
      <c r="L404" s="1">
        <v>10.0</v>
      </c>
      <c r="M404" s="1">
        <v>0.7</v>
      </c>
      <c r="N404" s="1">
        <v>13.10000038</v>
      </c>
    </row>
    <row r="405" ht="15.75" customHeight="1">
      <c r="A405" s="1" t="s">
        <v>160</v>
      </c>
      <c r="B405" s="1" t="s">
        <v>101</v>
      </c>
      <c r="C405" s="5">
        <v>45665.0</v>
      </c>
      <c r="D405" s="1" t="s">
        <v>161</v>
      </c>
      <c r="E405" s="1" t="s">
        <v>11</v>
      </c>
      <c r="F405" s="1" t="s">
        <v>162</v>
      </c>
      <c r="H405" s="1">
        <v>0.0</v>
      </c>
      <c r="I405" s="1">
        <v>0.0</v>
      </c>
      <c r="J405" s="1">
        <v>0.0</v>
      </c>
      <c r="K405" s="1">
        <v>43.0</v>
      </c>
      <c r="L405" s="1">
        <v>91.0</v>
      </c>
      <c r="M405" s="1">
        <v>0.472527473</v>
      </c>
      <c r="N405" s="1">
        <v>47.75999832</v>
      </c>
    </row>
    <row r="406" ht="15.75" customHeight="1">
      <c r="A406" s="1" t="s">
        <v>164</v>
      </c>
      <c r="B406" s="1" t="s">
        <v>52</v>
      </c>
      <c r="C406" s="5">
        <v>45665.0</v>
      </c>
      <c r="D406" s="1" t="s">
        <v>161</v>
      </c>
      <c r="E406" s="1" t="s">
        <v>11</v>
      </c>
      <c r="H406" s="1">
        <v>0.0</v>
      </c>
      <c r="J406" s="1">
        <v>0.0</v>
      </c>
      <c r="N406" s="1">
        <v>0.360000014</v>
      </c>
    </row>
    <row r="407" ht="15.75" customHeight="1">
      <c r="A407" s="1" t="s">
        <v>164</v>
      </c>
      <c r="B407" s="1" t="s">
        <v>64</v>
      </c>
      <c r="C407" s="5">
        <v>45665.0</v>
      </c>
      <c r="D407" s="1" t="s">
        <v>161</v>
      </c>
      <c r="E407" s="1" t="s">
        <v>11</v>
      </c>
      <c r="F407" s="1" t="s">
        <v>166</v>
      </c>
      <c r="H407" s="1">
        <v>0.0</v>
      </c>
      <c r="I407" s="1">
        <v>0.0</v>
      </c>
      <c r="J407" s="1">
        <v>0.0</v>
      </c>
      <c r="K407" s="1">
        <v>1.0</v>
      </c>
      <c r="L407" s="1">
        <v>2.0</v>
      </c>
      <c r="M407" s="1">
        <v>0.5</v>
      </c>
      <c r="N407" s="1">
        <v>6.539999962</v>
      </c>
    </row>
    <row r="408" ht="15.75" customHeight="1">
      <c r="A408" s="1" t="s">
        <v>164</v>
      </c>
      <c r="B408" s="1" t="s">
        <v>60</v>
      </c>
      <c r="C408" s="5">
        <v>45665.0</v>
      </c>
      <c r="D408" s="1" t="s">
        <v>161</v>
      </c>
      <c r="E408" s="1" t="s">
        <v>11</v>
      </c>
      <c r="F408" s="1" t="s">
        <v>166</v>
      </c>
      <c r="H408" s="1">
        <v>0.0</v>
      </c>
      <c r="I408" s="1">
        <v>0.0</v>
      </c>
      <c r="J408" s="1">
        <v>0.0</v>
      </c>
      <c r="K408" s="1">
        <v>7.0</v>
      </c>
      <c r="L408" s="1">
        <v>9.0</v>
      </c>
      <c r="M408" s="1">
        <v>0.777777778</v>
      </c>
      <c r="N408" s="1">
        <v>14.06000042</v>
      </c>
    </row>
    <row r="409" ht="15.75" customHeight="1">
      <c r="A409" s="1" t="s">
        <v>164</v>
      </c>
      <c r="B409" s="1" t="s">
        <v>63</v>
      </c>
      <c r="C409" s="5">
        <v>45665.0</v>
      </c>
      <c r="D409" s="1" t="s">
        <v>161</v>
      </c>
      <c r="E409" s="1" t="s">
        <v>11</v>
      </c>
      <c r="F409" s="1" t="s">
        <v>166</v>
      </c>
      <c r="H409" s="1">
        <v>0.0</v>
      </c>
      <c r="I409" s="1">
        <v>0.0</v>
      </c>
      <c r="J409" s="1">
        <v>0.0</v>
      </c>
      <c r="K409" s="1">
        <v>7.0</v>
      </c>
      <c r="L409" s="1">
        <v>14.0</v>
      </c>
      <c r="M409" s="1">
        <v>0.5</v>
      </c>
      <c r="N409" s="1">
        <v>16.40999985</v>
      </c>
    </row>
    <row r="410" ht="15.75" customHeight="1">
      <c r="A410" s="1" t="s">
        <v>164</v>
      </c>
      <c r="B410" s="1" t="s">
        <v>183</v>
      </c>
      <c r="C410" s="5">
        <v>45665.0</v>
      </c>
      <c r="D410" s="1" t="s">
        <v>161</v>
      </c>
      <c r="E410" s="1" t="s">
        <v>11</v>
      </c>
      <c r="F410" s="1" t="s">
        <v>166</v>
      </c>
      <c r="H410" s="1">
        <v>0.0</v>
      </c>
      <c r="I410" s="1">
        <v>0.0</v>
      </c>
      <c r="J410" s="1">
        <v>0.0</v>
      </c>
      <c r="K410" s="1">
        <v>0.0</v>
      </c>
      <c r="L410" s="1">
        <v>0.0</v>
      </c>
      <c r="N410" s="1">
        <v>1.74000001</v>
      </c>
    </row>
    <row r="411" ht="15.75" customHeight="1">
      <c r="A411" s="1" t="s">
        <v>164</v>
      </c>
      <c r="B411" s="1" t="s">
        <v>68</v>
      </c>
      <c r="C411" s="5">
        <v>45665.0</v>
      </c>
      <c r="D411" s="1" t="s">
        <v>161</v>
      </c>
      <c r="E411" s="1" t="s">
        <v>11</v>
      </c>
      <c r="F411" s="1" t="s">
        <v>165</v>
      </c>
      <c r="H411" s="1">
        <v>0.0</v>
      </c>
      <c r="I411" s="1">
        <v>0.0</v>
      </c>
      <c r="J411" s="1">
        <v>0.0</v>
      </c>
      <c r="K411" s="1">
        <v>3.0</v>
      </c>
      <c r="L411" s="1">
        <v>14.0</v>
      </c>
      <c r="M411" s="1">
        <v>0.214285714</v>
      </c>
      <c r="N411" s="1">
        <v>14.38000011</v>
      </c>
    </row>
    <row r="412" ht="15.75" customHeight="1">
      <c r="A412" s="1" t="s">
        <v>164</v>
      </c>
      <c r="B412" s="1" t="s">
        <v>74</v>
      </c>
      <c r="C412" s="5">
        <v>45665.0</v>
      </c>
      <c r="D412" s="1" t="s">
        <v>161</v>
      </c>
      <c r="E412" s="1" t="s">
        <v>11</v>
      </c>
      <c r="F412" s="1" t="s">
        <v>165</v>
      </c>
      <c r="G412" s="1" t="s">
        <v>163</v>
      </c>
      <c r="H412" s="1">
        <v>1.0</v>
      </c>
      <c r="I412" s="1">
        <v>1.0</v>
      </c>
      <c r="J412" s="1">
        <v>0.0</v>
      </c>
      <c r="K412" s="1">
        <v>14.0</v>
      </c>
      <c r="L412" s="1">
        <v>21.0</v>
      </c>
      <c r="M412" s="1">
        <v>0.666666667</v>
      </c>
      <c r="N412" s="1">
        <v>7.829999924</v>
      </c>
    </row>
    <row r="413" ht="15.75" customHeight="1">
      <c r="A413" s="1" t="s">
        <v>164</v>
      </c>
      <c r="B413" s="1" t="s">
        <v>74</v>
      </c>
      <c r="C413" s="5">
        <v>45665.0</v>
      </c>
      <c r="D413" s="1" t="s">
        <v>161</v>
      </c>
      <c r="E413" s="1" t="s">
        <v>11</v>
      </c>
      <c r="F413" s="1" t="s">
        <v>166</v>
      </c>
      <c r="G413" s="1" t="s">
        <v>163</v>
      </c>
      <c r="H413" s="1">
        <v>1.0</v>
      </c>
      <c r="I413" s="1">
        <v>0.0</v>
      </c>
      <c r="J413" s="1">
        <v>0.0</v>
      </c>
      <c r="K413" s="1">
        <v>0.0</v>
      </c>
      <c r="L413" s="1">
        <v>0.0</v>
      </c>
      <c r="N413" s="1">
        <v>0.0</v>
      </c>
    </row>
    <row r="414" ht="15.75" customHeight="1">
      <c r="A414" s="1" t="s">
        <v>164</v>
      </c>
      <c r="B414" s="1" t="s">
        <v>75</v>
      </c>
      <c r="C414" s="5">
        <v>45665.0</v>
      </c>
      <c r="D414" s="1" t="s">
        <v>161</v>
      </c>
      <c r="E414" s="1" t="s">
        <v>11</v>
      </c>
      <c r="F414" s="1" t="s">
        <v>165</v>
      </c>
      <c r="H414" s="1">
        <v>0.0</v>
      </c>
      <c r="I414" s="1">
        <v>0.0</v>
      </c>
      <c r="J414" s="1">
        <v>0.0</v>
      </c>
      <c r="K414" s="1">
        <v>10.0</v>
      </c>
      <c r="L414" s="1">
        <v>16.0</v>
      </c>
      <c r="M414" s="1">
        <v>0.625</v>
      </c>
      <c r="N414" s="1">
        <v>12.5</v>
      </c>
    </row>
    <row r="415" ht="15.75" customHeight="1">
      <c r="A415" s="1" t="s">
        <v>164</v>
      </c>
      <c r="B415" s="1" t="s">
        <v>100</v>
      </c>
      <c r="C415" s="5">
        <v>45665.0</v>
      </c>
      <c r="D415" s="1" t="s">
        <v>161</v>
      </c>
      <c r="E415" s="1" t="s">
        <v>11</v>
      </c>
      <c r="F415" s="1" t="s">
        <v>171</v>
      </c>
      <c r="H415" s="1">
        <v>0.0</v>
      </c>
      <c r="I415" s="1">
        <v>0.0</v>
      </c>
      <c r="J415" s="1">
        <v>0.0</v>
      </c>
      <c r="K415" s="1">
        <v>1.0</v>
      </c>
      <c r="L415" s="1">
        <v>7.0</v>
      </c>
      <c r="M415" s="1">
        <v>0.142857143</v>
      </c>
      <c r="N415" s="1">
        <v>8.329999924</v>
      </c>
    </row>
    <row r="416" ht="15.75" customHeight="1">
      <c r="A416" s="1" t="s">
        <v>164</v>
      </c>
      <c r="B416" s="1" t="s">
        <v>82</v>
      </c>
      <c r="C416" s="5">
        <v>45665.0</v>
      </c>
      <c r="D416" s="1" t="s">
        <v>161</v>
      </c>
      <c r="E416" s="1" t="s">
        <v>11</v>
      </c>
      <c r="F416" s="1" t="s">
        <v>165</v>
      </c>
      <c r="H416" s="1">
        <v>0.0</v>
      </c>
      <c r="I416" s="1">
        <v>0.0</v>
      </c>
      <c r="J416" s="1">
        <v>0.0</v>
      </c>
      <c r="K416" s="1">
        <v>0.0</v>
      </c>
      <c r="L416" s="1">
        <v>4.0</v>
      </c>
      <c r="M416" s="1">
        <v>0.0</v>
      </c>
      <c r="N416" s="1">
        <v>13.18999958</v>
      </c>
    </row>
    <row r="417" ht="15.75" customHeight="1">
      <c r="A417" s="1" t="s">
        <v>180</v>
      </c>
      <c r="B417" s="1" t="s">
        <v>203</v>
      </c>
      <c r="C417" s="5">
        <v>45665.0</v>
      </c>
      <c r="D417" s="1" t="s">
        <v>161</v>
      </c>
      <c r="E417" s="1" t="s">
        <v>11</v>
      </c>
      <c r="H417" s="1">
        <v>0.0</v>
      </c>
      <c r="J417" s="1">
        <v>0.0</v>
      </c>
      <c r="N417" s="1">
        <v>0.029999999</v>
      </c>
    </row>
    <row r="418" ht="15.75" customHeight="1">
      <c r="A418" s="1" t="s">
        <v>160</v>
      </c>
      <c r="B418" s="1" t="s">
        <v>29</v>
      </c>
      <c r="C418" s="5">
        <v>45664.0</v>
      </c>
      <c r="D418" s="1" t="s">
        <v>161</v>
      </c>
      <c r="E418" s="1" t="s">
        <v>11</v>
      </c>
      <c r="F418" s="1" t="s">
        <v>165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N418" s="1">
        <v>4.039999962</v>
      </c>
    </row>
    <row r="419" ht="15.75" customHeight="1">
      <c r="A419" s="1" t="s">
        <v>160</v>
      </c>
      <c r="B419" s="1" t="s">
        <v>101</v>
      </c>
      <c r="C419" s="5">
        <v>45664.0</v>
      </c>
      <c r="D419" s="1" t="s">
        <v>161</v>
      </c>
      <c r="E419" s="1" t="s">
        <v>11</v>
      </c>
      <c r="F419" s="1" t="s">
        <v>162</v>
      </c>
      <c r="H419" s="1">
        <v>0.0</v>
      </c>
      <c r="I419" s="1">
        <v>0.0</v>
      </c>
      <c r="J419" s="1">
        <v>0.0</v>
      </c>
      <c r="K419" s="1">
        <v>26.0</v>
      </c>
      <c r="L419" s="1">
        <v>78.0</v>
      </c>
      <c r="M419" s="1">
        <v>0.333333333</v>
      </c>
      <c r="N419" s="1">
        <v>130.2200012</v>
      </c>
    </row>
    <row r="420" ht="15.75" customHeight="1">
      <c r="A420" s="1" t="s">
        <v>164</v>
      </c>
      <c r="B420" s="1" t="s">
        <v>64</v>
      </c>
      <c r="C420" s="5">
        <v>45664.0</v>
      </c>
      <c r="D420" s="1" t="s">
        <v>161</v>
      </c>
      <c r="E420" s="1" t="s">
        <v>11</v>
      </c>
      <c r="F420" s="1" t="s">
        <v>166</v>
      </c>
      <c r="H420" s="1">
        <v>0.0</v>
      </c>
      <c r="I420" s="1">
        <v>0.0</v>
      </c>
      <c r="J420" s="1">
        <v>0.0</v>
      </c>
      <c r="K420" s="1">
        <v>0.0</v>
      </c>
      <c r="L420" s="1">
        <v>1.0</v>
      </c>
      <c r="M420" s="1">
        <v>0.0</v>
      </c>
      <c r="N420" s="1">
        <v>3.0599999430000002</v>
      </c>
    </row>
    <row r="421" ht="15.75" customHeight="1">
      <c r="A421" s="1" t="s">
        <v>164</v>
      </c>
      <c r="B421" s="1" t="s">
        <v>82</v>
      </c>
      <c r="C421" s="5">
        <v>45664.0</v>
      </c>
      <c r="D421" s="1" t="s">
        <v>161</v>
      </c>
      <c r="E421" s="1" t="s">
        <v>11</v>
      </c>
      <c r="H421" s="1">
        <v>0.0</v>
      </c>
      <c r="J421" s="1">
        <v>0.0</v>
      </c>
      <c r="N421" s="1">
        <v>2.019999981</v>
      </c>
    </row>
    <row r="422" ht="15.75" customHeight="1">
      <c r="A422" s="1" t="s">
        <v>180</v>
      </c>
      <c r="B422" s="1" t="s">
        <v>203</v>
      </c>
      <c r="C422" s="5">
        <v>45664.0</v>
      </c>
      <c r="D422" s="1" t="s">
        <v>161</v>
      </c>
      <c r="E422" s="1" t="s">
        <v>11</v>
      </c>
      <c r="H422" s="1">
        <v>0.0</v>
      </c>
      <c r="J422" s="1">
        <v>0.0</v>
      </c>
      <c r="N422" s="1">
        <v>0.050000001</v>
      </c>
    </row>
    <row r="423" ht="15.75" customHeight="1">
      <c r="A423" s="1" t="s">
        <v>164</v>
      </c>
      <c r="B423" s="1" t="s">
        <v>64</v>
      </c>
      <c r="C423" s="5">
        <v>45663.0</v>
      </c>
      <c r="D423" s="1" t="s">
        <v>161</v>
      </c>
      <c r="E423" s="1" t="s">
        <v>11</v>
      </c>
      <c r="F423" s="1" t="s">
        <v>166</v>
      </c>
      <c r="H423" s="1">
        <v>0.0</v>
      </c>
      <c r="I423" s="1">
        <v>0.0</v>
      </c>
      <c r="J423" s="1">
        <v>0.0</v>
      </c>
      <c r="K423" s="1">
        <v>0.0</v>
      </c>
      <c r="L423" s="1">
        <v>0.0</v>
      </c>
      <c r="N423" s="1">
        <v>0.579999983</v>
      </c>
    </row>
    <row r="424" ht="15.75" customHeight="1">
      <c r="A424" s="1" t="s">
        <v>164</v>
      </c>
      <c r="B424" s="1" t="s">
        <v>76</v>
      </c>
      <c r="C424" s="5">
        <v>45661.0</v>
      </c>
      <c r="D424" s="1" t="s">
        <v>161</v>
      </c>
      <c r="E424" s="1" t="s">
        <v>11</v>
      </c>
      <c r="F424" s="1" t="s">
        <v>162</v>
      </c>
      <c r="H424" s="1">
        <v>0.0</v>
      </c>
      <c r="I424" s="1">
        <v>0.0</v>
      </c>
      <c r="J424" s="1">
        <v>0.0</v>
      </c>
      <c r="K424" s="1">
        <v>0.0</v>
      </c>
      <c r="L424" s="1">
        <v>0.0</v>
      </c>
      <c r="N424" s="1">
        <v>0.529999971</v>
      </c>
    </row>
    <row r="425" ht="15.75" customHeight="1">
      <c r="A425" s="1" t="s">
        <v>164</v>
      </c>
      <c r="B425" s="1" t="s">
        <v>76</v>
      </c>
      <c r="C425" s="5">
        <v>45653.0</v>
      </c>
      <c r="D425" s="1" t="s">
        <v>161</v>
      </c>
      <c r="E425" s="1" t="s">
        <v>11</v>
      </c>
      <c r="F425" s="1" t="s">
        <v>162</v>
      </c>
      <c r="H425" s="1">
        <v>0.0</v>
      </c>
      <c r="I425" s="1">
        <v>0.0</v>
      </c>
      <c r="J425" s="1">
        <v>0.0</v>
      </c>
      <c r="K425" s="1">
        <v>0.0</v>
      </c>
      <c r="L425" s="1">
        <v>0.0</v>
      </c>
      <c r="N425" s="1">
        <v>0.569999993</v>
      </c>
    </row>
    <row r="426" ht="15.75" customHeight="1">
      <c r="A426" s="1" t="s">
        <v>160</v>
      </c>
      <c r="B426" s="1" t="s">
        <v>65</v>
      </c>
      <c r="C426" s="5">
        <v>45652.0</v>
      </c>
      <c r="D426" s="1" t="s">
        <v>161</v>
      </c>
      <c r="E426" s="1" t="s">
        <v>11</v>
      </c>
      <c r="H426" s="1">
        <v>0.0</v>
      </c>
      <c r="J426" s="1">
        <v>0.0</v>
      </c>
      <c r="N426" s="1">
        <v>0.170000002</v>
      </c>
    </row>
    <row r="427" ht="15.75" customHeight="1">
      <c r="A427" s="1" t="s">
        <v>160</v>
      </c>
      <c r="B427" s="1" t="s">
        <v>77</v>
      </c>
      <c r="C427" s="5">
        <v>45645.0</v>
      </c>
      <c r="D427" s="1" t="s">
        <v>161</v>
      </c>
      <c r="E427" s="1" t="s">
        <v>11</v>
      </c>
      <c r="H427" s="1">
        <v>0.0</v>
      </c>
      <c r="J427" s="1">
        <v>0.0</v>
      </c>
      <c r="N427" s="1">
        <v>1.279999971</v>
      </c>
    </row>
    <row r="428" ht="15.75" customHeight="1">
      <c r="A428" s="1" t="s">
        <v>164</v>
      </c>
      <c r="B428" s="1" t="s">
        <v>52</v>
      </c>
      <c r="C428" s="5">
        <v>45645.0</v>
      </c>
      <c r="D428" s="1" t="s">
        <v>161</v>
      </c>
      <c r="E428" s="1" t="s">
        <v>11</v>
      </c>
      <c r="F428" s="1" t="s">
        <v>165</v>
      </c>
      <c r="H428" s="1">
        <v>0.0</v>
      </c>
      <c r="I428" s="1">
        <v>0.0</v>
      </c>
      <c r="J428" s="1">
        <v>0.0</v>
      </c>
      <c r="K428" s="1">
        <v>0.0</v>
      </c>
      <c r="L428" s="1">
        <v>0.0</v>
      </c>
      <c r="N428" s="1">
        <v>1.50999999</v>
      </c>
    </row>
    <row r="429" ht="15.75" customHeight="1">
      <c r="A429" s="1" t="s">
        <v>164</v>
      </c>
      <c r="B429" s="1" t="s">
        <v>60</v>
      </c>
      <c r="C429" s="5">
        <v>45645.0</v>
      </c>
      <c r="D429" s="1" t="s">
        <v>161</v>
      </c>
      <c r="E429" s="1" t="s">
        <v>11</v>
      </c>
      <c r="H429" s="1">
        <v>0.0</v>
      </c>
      <c r="J429" s="1">
        <v>0.0</v>
      </c>
      <c r="N429" s="1">
        <v>0.119999997</v>
      </c>
    </row>
    <row r="430" ht="15.75" customHeight="1">
      <c r="A430" s="1" t="s">
        <v>164</v>
      </c>
      <c r="B430" s="1" t="s">
        <v>68</v>
      </c>
      <c r="C430" s="5">
        <v>45645.0</v>
      </c>
      <c r="D430" s="1" t="s">
        <v>161</v>
      </c>
      <c r="E430" s="1" t="s">
        <v>11</v>
      </c>
      <c r="F430" s="1" t="s">
        <v>165</v>
      </c>
      <c r="H430" s="1">
        <v>0.0</v>
      </c>
      <c r="I430" s="1">
        <v>0.0</v>
      </c>
      <c r="J430" s="1">
        <v>0.0</v>
      </c>
      <c r="K430" s="1">
        <v>2.0</v>
      </c>
      <c r="L430" s="1">
        <v>2.0</v>
      </c>
      <c r="M430" s="1">
        <v>1.0</v>
      </c>
      <c r="N430" s="1">
        <v>8.350000381</v>
      </c>
    </row>
    <row r="431" ht="15.75" customHeight="1">
      <c r="A431" s="1" t="s">
        <v>164</v>
      </c>
      <c r="B431" s="1" t="s">
        <v>74</v>
      </c>
      <c r="C431" s="5">
        <v>45645.0</v>
      </c>
      <c r="D431" s="1" t="s">
        <v>161</v>
      </c>
      <c r="E431" s="1" t="s">
        <v>11</v>
      </c>
      <c r="F431" s="1" t="s">
        <v>166</v>
      </c>
      <c r="H431" s="1">
        <v>0.0</v>
      </c>
      <c r="I431" s="1">
        <v>0.0</v>
      </c>
      <c r="J431" s="1">
        <v>0.0</v>
      </c>
      <c r="K431" s="1">
        <v>0.0</v>
      </c>
      <c r="L431" s="1">
        <v>0.0</v>
      </c>
      <c r="N431" s="1">
        <v>9.779999733</v>
      </c>
    </row>
    <row r="432" ht="15.75" customHeight="1">
      <c r="A432" s="1" t="s">
        <v>164</v>
      </c>
      <c r="B432" s="1" t="s">
        <v>82</v>
      </c>
      <c r="C432" s="5">
        <v>45645.0</v>
      </c>
      <c r="D432" s="1" t="s">
        <v>161</v>
      </c>
      <c r="E432" s="1" t="s">
        <v>11</v>
      </c>
      <c r="F432" s="1" t="s">
        <v>165</v>
      </c>
      <c r="H432" s="1">
        <v>0.0</v>
      </c>
      <c r="I432" s="1">
        <v>0.0</v>
      </c>
      <c r="J432" s="1">
        <v>0.0</v>
      </c>
      <c r="K432" s="1">
        <v>0.0</v>
      </c>
      <c r="L432" s="1">
        <v>1.0</v>
      </c>
      <c r="M432" s="1">
        <v>0.0</v>
      </c>
      <c r="N432" s="1">
        <v>2.329999924</v>
      </c>
    </row>
    <row r="433" ht="15.75" customHeight="1">
      <c r="A433" s="1" t="s">
        <v>160</v>
      </c>
      <c r="B433" s="1" t="s">
        <v>65</v>
      </c>
      <c r="C433" s="5">
        <v>45644.0</v>
      </c>
      <c r="D433" s="1" t="s">
        <v>161</v>
      </c>
      <c r="E433" s="1" t="s">
        <v>11</v>
      </c>
      <c r="F433" s="1" t="s">
        <v>162</v>
      </c>
      <c r="H433" s="1">
        <v>0.0</v>
      </c>
      <c r="I433" s="1">
        <v>1.0</v>
      </c>
      <c r="J433" s="1">
        <v>0.0</v>
      </c>
      <c r="K433" s="1">
        <v>17.0</v>
      </c>
      <c r="L433" s="1">
        <v>24.0</v>
      </c>
      <c r="M433" s="1">
        <v>0.708333333</v>
      </c>
      <c r="N433" s="1">
        <v>13.59000015</v>
      </c>
    </row>
    <row r="434" ht="15.75" customHeight="1">
      <c r="A434" s="1" t="s">
        <v>160</v>
      </c>
      <c r="B434" s="1" t="s">
        <v>77</v>
      </c>
      <c r="C434" s="5">
        <v>45644.0</v>
      </c>
      <c r="D434" s="1" t="s">
        <v>161</v>
      </c>
      <c r="E434" s="1" t="s">
        <v>11</v>
      </c>
      <c r="F434" s="1" t="s">
        <v>162</v>
      </c>
      <c r="H434" s="1">
        <v>0.0</v>
      </c>
      <c r="I434" s="1">
        <v>0.0</v>
      </c>
      <c r="J434" s="1">
        <v>0.0</v>
      </c>
      <c r="K434" s="1">
        <v>2.0</v>
      </c>
      <c r="L434" s="1">
        <v>3.0</v>
      </c>
      <c r="M434" s="1">
        <v>0.666666667</v>
      </c>
      <c r="N434" s="1">
        <v>6.460000038</v>
      </c>
    </row>
    <row r="435" ht="15.75" customHeight="1">
      <c r="A435" s="1" t="s">
        <v>164</v>
      </c>
      <c r="B435" s="1" t="s">
        <v>52</v>
      </c>
      <c r="C435" s="5">
        <v>45644.0</v>
      </c>
      <c r="D435" s="1" t="s">
        <v>161</v>
      </c>
      <c r="E435" s="1" t="s">
        <v>11</v>
      </c>
      <c r="H435" s="1">
        <v>0.0</v>
      </c>
      <c r="J435" s="1">
        <v>0.0</v>
      </c>
      <c r="N435" s="1">
        <v>0.02</v>
      </c>
    </row>
    <row r="436" ht="15.75" customHeight="1">
      <c r="A436" s="1" t="s">
        <v>164</v>
      </c>
      <c r="B436" s="1" t="s">
        <v>179</v>
      </c>
      <c r="C436" s="5">
        <v>45644.0</v>
      </c>
      <c r="D436" s="1" t="s">
        <v>161</v>
      </c>
      <c r="E436" s="1" t="s">
        <v>11</v>
      </c>
      <c r="F436" s="1" t="s">
        <v>166</v>
      </c>
      <c r="H436" s="1">
        <v>0.0</v>
      </c>
      <c r="I436" s="1">
        <v>0.0</v>
      </c>
      <c r="J436" s="1">
        <v>0.0</v>
      </c>
      <c r="K436" s="1">
        <v>3.0</v>
      </c>
      <c r="L436" s="1">
        <v>12.0</v>
      </c>
      <c r="M436" s="1">
        <v>0.25</v>
      </c>
      <c r="N436" s="1">
        <v>7.239999771</v>
      </c>
    </row>
    <row r="437" ht="15.75" customHeight="1">
      <c r="A437" s="1" t="s">
        <v>164</v>
      </c>
      <c r="B437" s="1" t="s">
        <v>63</v>
      </c>
      <c r="C437" s="5">
        <v>45644.0</v>
      </c>
      <c r="D437" s="1" t="s">
        <v>161</v>
      </c>
      <c r="E437" s="1" t="s">
        <v>11</v>
      </c>
      <c r="F437" s="1" t="s">
        <v>166</v>
      </c>
      <c r="H437" s="1">
        <v>0.0</v>
      </c>
      <c r="I437" s="1">
        <v>0.0</v>
      </c>
      <c r="J437" s="1">
        <v>0.0</v>
      </c>
      <c r="K437" s="1">
        <v>1.0</v>
      </c>
      <c r="L437" s="1">
        <v>5.0</v>
      </c>
      <c r="M437" s="1">
        <v>0.2</v>
      </c>
      <c r="N437" s="1">
        <v>5.070000172</v>
      </c>
    </row>
    <row r="438" ht="15.75" customHeight="1">
      <c r="A438" s="1" t="s">
        <v>164</v>
      </c>
      <c r="B438" s="1" t="s">
        <v>74</v>
      </c>
      <c r="C438" s="5">
        <v>45644.0</v>
      </c>
      <c r="D438" s="1" t="s">
        <v>161</v>
      </c>
      <c r="E438" s="1" t="s">
        <v>11</v>
      </c>
      <c r="F438" s="1" t="s">
        <v>166</v>
      </c>
      <c r="H438" s="1">
        <v>0.0</v>
      </c>
      <c r="I438" s="1">
        <v>0.0</v>
      </c>
      <c r="J438" s="1">
        <v>0.0</v>
      </c>
      <c r="K438" s="1">
        <v>0.0</v>
      </c>
      <c r="L438" s="1">
        <v>0.0</v>
      </c>
      <c r="N438" s="1">
        <v>0.620000005</v>
      </c>
    </row>
    <row r="439" ht="15.75" customHeight="1">
      <c r="A439" s="1" t="s">
        <v>164</v>
      </c>
      <c r="B439" s="1" t="s">
        <v>75</v>
      </c>
      <c r="C439" s="5">
        <v>45644.0</v>
      </c>
      <c r="D439" s="1" t="s">
        <v>161</v>
      </c>
      <c r="E439" s="1" t="s">
        <v>11</v>
      </c>
      <c r="F439" s="1" t="s">
        <v>165</v>
      </c>
      <c r="G439" s="1" t="s">
        <v>172</v>
      </c>
      <c r="H439" s="1">
        <v>1.0</v>
      </c>
      <c r="I439" s="1">
        <v>1.0</v>
      </c>
      <c r="J439" s="1">
        <v>0.0</v>
      </c>
      <c r="K439" s="1">
        <v>9.0</v>
      </c>
      <c r="L439" s="1">
        <v>9.0</v>
      </c>
      <c r="M439" s="1">
        <v>1.0</v>
      </c>
      <c r="N439" s="1">
        <v>6.019999981</v>
      </c>
    </row>
    <row r="440" ht="15.75" customHeight="1">
      <c r="A440" s="1" t="s">
        <v>160</v>
      </c>
      <c r="B440" s="1" t="s">
        <v>65</v>
      </c>
      <c r="C440" s="5">
        <v>45643.0</v>
      </c>
      <c r="D440" s="1" t="s">
        <v>161</v>
      </c>
      <c r="E440" s="1" t="s">
        <v>11</v>
      </c>
      <c r="F440" s="1" t="s">
        <v>162</v>
      </c>
      <c r="H440" s="1">
        <v>0.0</v>
      </c>
      <c r="I440" s="1">
        <v>1.0</v>
      </c>
      <c r="J440" s="1">
        <v>0.0</v>
      </c>
      <c r="K440" s="1">
        <v>13.0</v>
      </c>
      <c r="L440" s="1">
        <v>16.0</v>
      </c>
      <c r="M440" s="1">
        <v>0.8125</v>
      </c>
      <c r="N440" s="1">
        <v>15.06000042</v>
      </c>
    </row>
    <row r="441" ht="15.75" customHeight="1">
      <c r="A441" s="1" t="s">
        <v>160</v>
      </c>
      <c r="B441" s="1" t="s">
        <v>77</v>
      </c>
      <c r="C441" s="5">
        <v>45643.0</v>
      </c>
      <c r="D441" s="1" t="s">
        <v>161</v>
      </c>
      <c r="E441" s="1" t="s">
        <v>11</v>
      </c>
      <c r="F441" s="1" t="s">
        <v>162</v>
      </c>
      <c r="H441" s="1">
        <v>0.0</v>
      </c>
      <c r="I441" s="1">
        <v>0.0</v>
      </c>
      <c r="J441" s="1">
        <v>0.0</v>
      </c>
      <c r="K441" s="1">
        <v>8.0</v>
      </c>
      <c r="L441" s="1">
        <v>10.0</v>
      </c>
      <c r="M441" s="1">
        <v>0.8</v>
      </c>
      <c r="N441" s="1">
        <v>13.36999989</v>
      </c>
    </row>
    <row r="442" ht="15.75" customHeight="1">
      <c r="A442" s="1" t="s">
        <v>164</v>
      </c>
      <c r="B442" s="1" t="s">
        <v>63</v>
      </c>
      <c r="C442" s="5">
        <v>45643.0</v>
      </c>
      <c r="D442" s="1" t="s">
        <v>161</v>
      </c>
      <c r="E442" s="1" t="s">
        <v>11</v>
      </c>
      <c r="F442" s="1" t="s">
        <v>166</v>
      </c>
      <c r="H442" s="1">
        <v>0.0</v>
      </c>
      <c r="I442" s="1">
        <v>0.0</v>
      </c>
      <c r="J442" s="1">
        <v>0.0</v>
      </c>
      <c r="K442" s="1">
        <v>4.0</v>
      </c>
      <c r="L442" s="1">
        <v>9.0</v>
      </c>
      <c r="M442" s="1">
        <v>0.444444444</v>
      </c>
      <c r="N442" s="1">
        <v>13.97999954</v>
      </c>
    </row>
    <row r="443" ht="15.75" customHeight="1">
      <c r="A443" s="1" t="s">
        <v>164</v>
      </c>
      <c r="B443" s="1" t="s">
        <v>74</v>
      </c>
      <c r="C443" s="5">
        <v>45643.0</v>
      </c>
      <c r="D443" s="1" t="s">
        <v>161</v>
      </c>
      <c r="E443" s="1" t="s">
        <v>11</v>
      </c>
      <c r="F443" s="1" t="s">
        <v>166</v>
      </c>
      <c r="G443" s="1" t="s">
        <v>194</v>
      </c>
      <c r="H443" s="1">
        <v>1.0</v>
      </c>
      <c r="I443" s="1">
        <v>0.0</v>
      </c>
      <c r="J443" s="1">
        <v>0.0</v>
      </c>
      <c r="K443" s="1">
        <v>5.0</v>
      </c>
      <c r="L443" s="1">
        <v>7.0</v>
      </c>
      <c r="M443" s="1">
        <v>0.714285714</v>
      </c>
      <c r="N443" s="1">
        <v>8.119999886</v>
      </c>
    </row>
    <row r="444" ht="15.75" customHeight="1">
      <c r="A444" s="1" t="s">
        <v>160</v>
      </c>
      <c r="B444" s="1" t="s">
        <v>204</v>
      </c>
      <c r="C444" s="5">
        <v>45642.0</v>
      </c>
      <c r="D444" s="1" t="s">
        <v>161</v>
      </c>
      <c r="E444" s="1" t="s">
        <v>11</v>
      </c>
      <c r="F444" s="1" t="s">
        <v>162</v>
      </c>
      <c r="H444" s="1">
        <v>0.0</v>
      </c>
      <c r="I444" s="1">
        <v>0.0</v>
      </c>
      <c r="J444" s="1">
        <v>0.0</v>
      </c>
      <c r="K444" s="1">
        <v>0.0</v>
      </c>
      <c r="L444" s="1">
        <v>2.0</v>
      </c>
      <c r="M444" s="1">
        <v>0.0</v>
      </c>
      <c r="N444" s="1">
        <v>2.170000076</v>
      </c>
    </row>
    <row r="445" ht="15.75" customHeight="1">
      <c r="A445" s="1" t="s">
        <v>160</v>
      </c>
      <c r="B445" s="1" t="s">
        <v>198</v>
      </c>
      <c r="C445" s="5">
        <v>45642.0</v>
      </c>
      <c r="D445" s="1" t="s">
        <v>161</v>
      </c>
      <c r="E445" s="1" t="s">
        <v>11</v>
      </c>
      <c r="H445" s="1">
        <v>0.0</v>
      </c>
      <c r="J445" s="1">
        <v>0.0</v>
      </c>
      <c r="N445" s="1">
        <v>0.02</v>
      </c>
    </row>
    <row r="446" ht="15.75" customHeight="1">
      <c r="A446" s="1" t="s">
        <v>160</v>
      </c>
      <c r="B446" s="1" t="s">
        <v>77</v>
      </c>
      <c r="C446" s="5">
        <v>45642.0</v>
      </c>
      <c r="D446" s="1" t="s">
        <v>161</v>
      </c>
      <c r="E446" s="1" t="s">
        <v>11</v>
      </c>
      <c r="F446" s="1" t="s">
        <v>162</v>
      </c>
      <c r="H446" s="1">
        <v>0.0</v>
      </c>
      <c r="I446" s="1">
        <v>0.0</v>
      </c>
      <c r="J446" s="1">
        <v>0.0</v>
      </c>
      <c r="K446" s="1">
        <v>0.0</v>
      </c>
      <c r="L446" s="1">
        <v>1.0</v>
      </c>
      <c r="M446" s="1">
        <v>0.0</v>
      </c>
      <c r="N446" s="1">
        <v>6.199999809</v>
      </c>
    </row>
    <row r="447" ht="15.75" customHeight="1">
      <c r="A447" s="1" t="s">
        <v>164</v>
      </c>
      <c r="B447" s="1" t="s">
        <v>63</v>
      </c>
      <c r="C447" s="5">
        <v>45642.0</v>
      </c>
      <c r="D447" s="1" t="s">
        <v>161</v>
      </c>
      <c r="E447" s="1" t="s">
        <v>11</v>
      </c>
      <c r="F447" s="1" t="s">
        <v>166</v>
      </c>
      <c r="H447" s="1">
        <v>0.0</v>
      </c>
      <c r="I447" s="1">
        <v>0.0</v>
      </c>
      <c r="J447" s="1">
        <v>0.0</v>
      </c>
      <c r="K447" s="1">
        <v>3.0</v>
      </c>
      <c r="L447" s="1">
        <v>4.0</v>
      </c>
      <c r="M447" s="1">
        <v>0.75</v>
      </c>
      <c r="N447" s="1">
        <v>5.28000021</v>
      </c>
    </row>
    <row r="448" ht="15.75" customHeight="1">
      <c r="A448" s="1" t="s">
        <v>164</v>
      </c>
      <c r="B448" s="1" t="s">
        <v>74</v>
      </c>
      <c r="C448" s="5">
        <v>45642.0</v>
      </c>
      <c r="D448" s="1" t="s">
        <v>161</v>
      </c>
      <c r="E448" s="1" t="s">
        <v>11</v>
      </c>
      <c r="F448" s="1" t="s">
        <v>166</v>
      </c>
      <c r="H448" s="1">
        <v>0.0</v>
      </c>
      <c r="I448" s="1">
        <v>0.0</v>
      </c>
      <c r="J448" s="1">
        <v>0.0</v>
      </c>
      <c r="K448" s="1">
        <v>1.0</v>
      </c>
      <c r="L448" s="1">
        <v>3.0</v>
      </c>
      <c r="M448" s="1">
        <v>0.333333333</v>
      </c>
      <c r="N448" s="1">
        <v>6.920000076</v>
      </c>
    </row>
    <row r="449" ht="15.75" customHeight="1">
      <c r="A449" s="1" t="s">
        <v>164</v>
      </c>
      <c r="B449" s="1" t="s">
        <v>75</v>
      </c>
      <c r="C449" s="5">
        <v>45642.0</v>
      </c>
      <c r="D449" s="1" t="s">
        <v>161</v>
      </c>
      <c r="E449" s="1" t="s">
        <v>11</v>
      </c>
      <c r="F449" s="1" t="s">
        <v>165</v>
      </c>
      <c r="G449" s="1" t="s">
        <v>172</v>
      </c>
      <c r="H449" s="1">
        <v>1.0</v>
      </c>
      <c r="I449" s="1">
        <v>0.0</v>
      </c>
      <c r="J449" s="1">
        <v>0.0</v>
      </c>
      <c r="K449" s="1">
        <v>13.0</v>
      </c>
      <c r="L449" s="1">
        <v>19.0</v>
      </c>
      <c r="M449" s="1">
        <v>0.684210526</v>
      </c>
      <c r="N449" s="1">
        <v>12.71000004</v>
      </c>
    </row>
    <row r="450" ht="15.75" customHeight="1">
      <c r="A450" s="1" t="s">
        <v>164</v>
      </c>
      <c r="B450" s="1" t="s">
        <v>100</v>
      </c>
      <c r="C450" s="5">
        <v>45642.0</v>
      </c>
      <c r="D450" s="1" t="s">
        <v>161</v>
      </c>
      <c r="E450" s="1" t="s">
        <v>11</v>
      </c>
      <c r="F450" s="1" t="s">
        <v>171</v>
      </c>
      <c r="H450" s="1">
        <v>0.0</v>
      </c>
      <c r="I450" s="1">
        <v>0.0</v>
      </c>
      <c r="J450" s="1">
        <v>0.0</v>
      </c>
      <c r="K450" s="1">
        <v>1.0</v>
      </c>
      <c r="L450" s="1">
        <v>3.0</v>
      </c>
      <c r="M450" s="1">
        <v>0.333333333</v>
      </c>
      <c r="N450" s="1">
        <v>4.449999809</v>
      </c>
    </row>
    <row r="451" ht="15.75" customHeight="1">
      <c r="A451" s="1" t="s">
        <v>164</v>
      </c>
      <c r="B451" s="1" t="s">
        <v>52</v>
      </c>
      <c r="C451" s="5">
        <v>45641.0</v>
      </c>
      <c r="D451" s="1" t="s">
        <v>161</v>
      </c>
      <c r="E451" s="1" t="s">
        <v>11</v>
      </c>
      <c r="H451" s="1">
        <v>0.0</v>
      </c>
      <c r="J451" s="1">
        <v>0.0</v>
      </c>
      <c r="N451" s="1">
        <v>0.280000001</v>
      </c>
    </row>
    <row r="452" ht="15.75" customHeight="1">
      <c r="A452" s="1" t="s">
        <v>164</v>
      </c>
      <c r="B452" s="1" t="s">
        <v>183</v>
      </c>
      <c r="C452" s="5">
        <v>45641.0</v>
      </c>
      <c r="D452" s="1" t="s">
        <v>161</v>
      </c>
      <c r="E452" s="1" t="s">
        <v>11</v>
      </c>
      <c r="F452" s="1" t="s">
        <v>166</v>
      </c>
      <c r="H452" s="1">
        <v>0.0</v>
      </c>
      <c r="I452" s="1">
        <v>0.0</v>
      </c>
      <c r="J452" s="1">
        <v>0.0</v>
      </c>
      <c r="K452" s="1">
        <v>1.0</v>
      </c>
      <c r="L452" s="1">
        <v>3.0</v>
      </c>
      <c r="M452" s="1">
        <v>0.333333333</v>
      </c>
      <c r="N452" s="1">
        <v>2.0599999430000002</v>
      </c>
    </row>
    <row r="453" ht="15.75" customHeight="1">
      <c r="A453" s="1" t="s">
        <v>160</v>
      </c>
      <c r="B453" s="1" t="s">
        <v>18</v>
      </c>
      <c r="C453" s="5">
        <v>45639.0</v>
      </c>
      <c r="D453" s="1" t="s">
        <v>161</v>
      </c>
      <c r="E453" s="1" t="s">
        <v>11</v>
      </c>
      <c r="F453" s="1" t="s">
        <v>162</v>
      </c>
      <c r="H453" s="1">
        <v>0.0</v>
      </c>
      <c r="I453" s="1">
        <v>0.0</v>
      </c>
      <c r="J453" s="1">
        <v>0.0</v>
      </c>
      <c r="K453" s="1">
        <v>5.0</v>
      </c>
      <c r="L453" s="1">
        <v>8.0</v>
      </c>
      <c r="M453" s="1">
        <v>0.625</v>
      </c>
      <c r="N453" s="1">
        <v>8.380000114</v>
      </c>
    </row>
    <row r="454" ht="15.75" customHeight="1">
      <c r="A454" s="1" t="s">
        <v>160</v>
      </c>
      <c r="B454" s="1" t="s">
        <v>65</v>
      </c>
      <c r="C454" s="5">
        <v>45639.0</v>
      </c>
      <c r="D454" s="1" t="s">
        <v>161</v>
      </c>
      <c r="E454" s="1" t="s">
        <v>11</v>
      </c>
      <c r="F454" s="1" t="s">
        <v>162</v>
      </c>
      <c r="H454" s="1">
        <v>0.0</v>
      </c>
      <c r="I454" s="1">
        <v>0.0</v>
      </c>
      <c r="J454" s="1">
        <v>0.0</v>
      </c>
      <c r="K454" s="1">
        <v>5.0</v>
      </c>
      <c r="L454" s="1">
        <v>5.0</v>
      </c>
      <c r="M454" s="1">
        <v>1.0</v>
      </c>
      <c r="N454" s="1">
        <v>11.02999973</v>
      </c>
    </row>
    <row r="455" ht="15.75" customHeight="1">
      <c r="A455" s="1" t="s">
        <v>160</v>
      </c>
      <c r="B455" s="1" t="s">
        <v>198</v>
      </c>
      <c r="C455" s="5">
        <v>45639.0</v>
      </c>
      <c r="D455" s="1" t="s">
        <v>161</v>
      </c>
      <c r="E455" s="1" t="s">
        <v>11</v>
      </c>
      <c r="H455" s="1">
        <v>0.0</v>
      </c>
      <c r="J455" s="1">
        <v>0.0</v>
      </c>
      <c r="N455" s="1">
        <v>0.239999995</v>
      </c>
    </row>
    <row r="456" ht="15.75" customHeight="1">
      <c r="A456" s="1" t="s">
        <v>160</v>
      </c>
      <c r="B456" s="1" t="s">
        <v>77</v>
      </c>
      <c r="C456" s="5">
        <v>45639.0</v>
      </c>
      <c r="D456" s="1" t="s">
        <v>161</v>
      </c>
      <c r="E456" s="1" t="s">
        <v>11</v>
      </c>
      <c r="H456" s="1">
        <v>0.0</v>
      </c>
      <c r="J456" s="1">
        <v>0.0</v>
      </c>
      <c r="N456" s="1">
        <v>13.27999973</v>
      </c>
    </row>
    <row r="457" ht="15.75" customHeight="1">
      <c r="A457" s="1" t="s">
        <v>160</v>
      </c>
      <c r="B457" s="1" t="s">
        <v>93</v>
      </c>
      <c r="C457" s="5">
        <v>45639.0</v>
      </c>
      <c r="D457" s="1" t="s">
        <v>161</v>
      </c>
      <c r="E457" s="1" t="s">
        <v>11</v>
      </c>
      <c r="F457" s="1" t="s">
        <v>166</v>
      </c>
      <c r="H457" s="1">
        <v>0.0</v>
      </c>
      <c r="I457" s="1">
        <v>1.0</v>
      </c>
      <c r="J457" s="1">
        <v>0.0</v>
      </c>
      <c r="K457" s="1">
        <v>13.0</v>
      </c>
      <c r="L457" s="1">
        <v>19.0</v>
      </c>
      <c r="M457" s="1">
        <v>0.684210526</v>
      </c>
      <c r="N457" s="1">
        <v>20.27000046</v>
      </c>
    </row>
    <row r="458" ht="15.75" customHeight="1">
      <c r="A458" s="1" t="s">
        <v>164</v>
      </c>
      <c r="B458" s="1" t="s">
        <v>63</v>
      </c>
      <c r="C458" s="5">
        <v>45639.0</v>
      </c>
      <c r="D458" s="1" t="s">
        <v>161</v>
      </c>
      <c r="E458" s="1" t="s">
        <v>11</v>
      </c>
      <c r="F458" s="1" t="s">
        <v>166</v>
      </c>
      <c r="H458" s="1">
        <v>0.0</v>
      </c>
      <c r="I458" s="1">
        <v>0.0</v>
      </c>
      <c r="J458" s="1">
        <v>0.0</v>
      </c>
      <c r="K458" s="1">
        <v>0.0</v>
      </c>
      <c r="L458" s="1">
        <v>0.0</v>
      </c>
      <c r="N458" s="1">
        <v>0.330000013</v>
      </c>
    </row>
    <row r="459" ht="15.75" customHeight="1">
      <c r="A459" s="1" t="s">
        <v>164</v>
      </c>
      <c r="B459" s="1" t="s">
        <v>183</v>
      </c>
      <c r="C459" s="5">
        <v>45639.0</v>
      </c>
      <c r="D459" s="1" t="s">
        <v>161</v>
      </c>
      <c r="E459" s="1" t="s">
        <v>11</v>
      </c>
      <c r="F459" s="1" t="s">
        <v>166</v>
      </c>
      <c r="H459" s="1">
        <v>0.0</v>
      </c>
      <c r="I459" s="1">
        <v>0.0</v>
      </c>
      <c r="J459" s="1">
        <v>0.0</v>
      </c>
      <c r="K459" s="1">
        <v>4.0</v>
      </c>
      <c r="L459" s="1">
        <v>15.0</v>
      </c>
      <c r="M459" s="1">
        <v>0.266666667</v>
      </c>
      <c r="N459" s="1">
        <v>10.10999966</v>
      </c>
    </row>
    <row r="460" ht="15.75" customHeight="1">
      <c r="A460" s="1" t="s">
        <v>164</v>
      </c>
      <c r="B460" s="1" t="s">
        <v>68</v>
      </c>
      <c r="C460" s="5">
        <v>45639.0</v>
      </c>
      <c r="D460" s="1" t="s">
        <v>161</v>
      </c>
      <c r="E460" s="1" t="s">
        <v>11</v>
      </c>
      <c r="H460" s="1">
        <v>0.0</v>
      </c>
      <c r="J460" s="1">
        <v>0.0</v>
      </c>
      <c r="N460" s="1">
        <v>2.779999971</v>
      </c>
    </row>
    <row r="461" ht="15.75" customHeight="1">
      <c r="A461" s="1" t="s">
        <v>164</v>
      </c>
      <c r="B461" s="1" t="s">
        <v>74</v>
      </c>
      <c r="C461" s="5">
        <v>45639.0</v>
      </c>
      <c r="D461" s="1" t="s">
        <v>161</v>
      </c>
      <c r="E461" s="1" t="s">
        <v>11</v>
      </c>
      <c r="F461" s="1" t="s">
        <v>165</v>
      </c>
      <c r="H461" s="1">
        <v>0.0</v>
      </c>
      <c r="I461" s="1">
        <v>1.0</v>
      </c>
      <c r="J461" s="1">
        <v>0.0</v>
      </c>
      <c r="K461" s="1">
        <v>13.0</v>
      </c>
      <c r="L461" s="1">
        <v>15.0</v>
      </c>
      <c r="M461" s="1">
        <v>0.866666667</v>
      </c>
      <c r="N461" s="1">
        <v>7.099999905</v>
      </c>
    </row>
    <row r="462" ht="15.75" customHeight="1">
      <c r="A462" s="1" t="s">
        <v>164</v>
      </c>
      <c r="B462" s="1" t="s">
        <v>205</v>
      </c>
      <c r="C462" s="5">
        <v>45639.0</v>
      </c>
      <c r="D462" s="1" t="s">
        <v>161</v>
      </c>
      <c r="E462" s="1" t="s">
        <v>11</v>
      </c>
      <c r="F462" s="1" t="s">
        <v>166</v>
      </c>
      <c r="H462" s="1">
        <v>0.0</v>
      </c>
      <c r="I462" s="1">
        <v>0.0</v>
      </c>
      <c r="J462" s="1">
        <v>0.0</v>
      </c>
      <c r="K462" s="1">
        <v>1.0</v>
      </c>
      <c r="L462" s="1">
        <v>2.0</v>
      </c>
      <c r="M462" s="1">
        <v>0.5</v>
      </c>
      <c r="N462" s="1">
        <v>4.889999866</v>
      </c>
    </row>
    <row r="463" ht="15.75" customHeight="1">
      <c r="A463" s="1" t="s">
        <v>164</v>
      </c>
      <c r="B463" s="1" t="s">
        <v>75</v>
      </c>
      <c r="C463" s="5">
        <v>45639.0</v>
      </c>
      <c r="D463" s="1" t="s">
        <v>161</v>
      </c>
      <c r="E463" s="1" t="s">
        <v>11</v>
      </c>
      <c r="F463" s="1" t="s">
        <v>165</v>
      </c>
      <c r="H463" s="1">
        <v>0.0</v>
      </c>
      <c r="I463" s="1">
        <v>0.0</v>
      </c>
      <c r="J463" s="1">
        <v>0.0</v>
      </c>
      <c r="K463" s="1">
        <v>5.0</v>
      </c>
      <c r="L463" s="1">
        <v>17.0</v>
      </c>
      <c r="M463" s="1">
        <v>0.294117647</v>
      </c>
      <c r="N463" s="1">
        <v>12.85000038</v>
      </c>
    </row>
    <row r="464" ht="15.75" customHeight="1">
      <c r="A464" s="1" t="s">
        <v>164</v>
      </c>
      <c r="B464" s="1" t="s">
        <v>100</v>
      </c>
      <c r="C464" s="5">
        <v>45639.0</v>
      </c>
      <c r="D464" s="1" t="s">
        <v>161</v>
      </c>
      <c r="E464" s="1" t="s">
        <v>11</v>
      </c>
      <c r="F464" s="1" t="s">
        <v>171</v>
      </c>
      <c r="H464" s="1">
        <v>0.0</v>
      </c>
      <c r="I464" s="1">
        <v>0.0</v>
      </c>
      <c r="J464" s="1">
        <v>0.0</v>
      </c>
      <c r="K464" s="1">
        <v>0.0</v>
      </c>
      <c r="L464" s="1">
        <v>0.0</v>
      </c>
      <c r="N464" s="1">
        <v>4.900000095</v>
      </c>
    </row>
    <row r="465" ht="15.75" customHeight="1">
      <c r="A465" s="1" t="s">
        <v>164</v>
      </c>
      <c r="B465" s="1" t="s">
        <v>82</v>
      </c>
      <c r="C465" s="5">
        <v>45639.0</v>
      </c>
      <c r="D465" s="1" t="s">
        <v>161</v>
      </c>
      <c r="E465" s="1" t="s">
        <v>11</v>
      </c>
      <c r="H465" s="1">
        <v>0.0</v>
      </c>
      <c r="J465" s="1">
        <v>0.0</v>
      </c>
      <c r="N465" s="1">
        <v>1.929999948</v>
      </c>
    </row>
    <row r="466" ht="15.75" customHeight="1">
      <c r="A466" s="1" t="s">
        <v>160</v>
      </c>
      <c r="B466" s="1" t="s">
        <v>204</v>
      </c>
      <c r="C466" s="5">
        <v>45638.0</v>
      </c>
      <c r="D466" s="1" t="s">
        <v>161</v>
      </c>
      <c r="E466" s="1" t="s">
        <v>11</v>
      </c>
      <c r="F466" s="1" t="s">
        <v>162</v>
      </c>
      <c r="H466" s="1">
        <v>0.0</v>
      </c>
      <c r="I466" s="1">
        <v>0.0</v>
      </c>
      <c r="J466" s="1">
        <v>0.0</v>
      </c>
      <c r="K466" s="1">
        <v>1.0</v>
      </c>
      <c r="L466" s="1">
        <v>4.0</v>
      </c>
      <c r="M466" s="1">
        <v>0.25</v>
      </c>
      <c r="N466" s="1">
        <v>3.529999971</v>
      </c>
    </row>
    <row r="467" ht="15.75" customHeight="1">
      <c r="A467" s="1" t="s">
        <v>164</v>
      </c>
      <c r="B467" s="1" t="s">
        <v>24</v>
      </c>
      <c r="C467" s="5">
        <v>45638.0</v>
      </c>
      <c r="D467" s="1" t="s">
        <v>161</v>
      </c>
      <c r="E467" s="1" t="s">
        <v>11</v>
      </c>
      <c r="F467" s="1" t="s">
        <v>166</v>
      </c>
      <c r="H467" s="1">
        <v>0.0</v>
      </c>
      <c r="I467" s="1">
        <v>0.0</v>
      </c>
      <c r="J467" s="1">
        <v>0.0</v>
      </c>
      <c r="K467" s="1">
        <v>0.0</v>
      </c>
      <c r="L467" s="1">
        <v>1.0</v>
      </c>
      <c r="M467" s="1">
        <v>0.0</v>
      </c>
      <c r="N467" s="1">
        <v>2.900000095</v>
      </c>
    </row>
    <row r="468" ht="15.75" customHeight="1">
      <c r="A468" s="1" t="s">
        <v>164</v>
      </c>
      <c r="B468" s="1" t="s">
        <v>52</v>
      </c>
      <c r="C468" s="5">
        <v>45638.0</v>
      </c>
      <c r="D468" s="1" t="s">
        <v>161</v>
      </c>
      <c r="E468" s="1" t="s">
        <v>11</v>
      </c>
      <c r="F468" s="1" t="s">
        <v>165</v>
      </c>
      <c r="H468" s="1">
        <v>0.0</v>
      </c>
      <c r="I468" s="1">
        <v>0.0</v>
      </c>
      <c r="J468" s="1">
        <v>0.0</v>
      </c>
      <c r="K468" s="1">
        <v>4.0</v>
      </c>
      <c r="L468" s="1">
        <v>6.0</v>
      </c>
      <c r="M468" s="1">
        <v>0.666666667</v>
      </c>
      <c r="N468" s="1">
        <v>5.639999866</v>
      </c>
    </row>
    <row r="469" ht="15.75" customHeight="1">
      <c r="A469" s="1" t="s">
        <v>164</v>
      </c>
      <c r="B469" s="1" t="s">
        <v>196</v>
      </c>
      <c r="C469" s="5">
        <v>45638.0</v>
      </c>
      <c r="D469" s="1" t="s">
        <v>161</v>
      </c>
      <c r="E469" s="1" t="s">
        <v>11</v>
      </c>
      <c r="H469" s="1">
        <v>0.0</v>
      </c>
      <c r="J469" s="1">
        <v>0.0</v>
      </c>
      <c r="N469" s="1">
        <v>0.140000001</v>
      </c>
    </row>
    <row r="470" ht="15.75" customHeight="1">
      <c r="A470" s="1" t="s">
        <v>164</v>
      </c>
      <c r="B470" s="1" t="s">
        <v>179</v>
      </c>
      <c r="C470" s="5">
        <v>45638.0</v>
      </c>
      <c r="D470" s="1" t="s">
        <v>161</v>
      </c>
      <c r="E470" s="1" t="s">
        <v>206</v>
      </c>
      <c r="H470" s="1">
        <v>0.0</v>
      </c>
      <c r="J470" s="1">
        <v>0.0</v>
      </c>
      <c r="N470" s="1">
        <v>0.5</v>
      </c>
    </row>
    <row r="471" ht="15.75" customHeight="1">
      <c r="A471" s="1" t="s">
        <v>164</v>
      </c>
      <c r="B471" s="1" t="s">
        <v>63</v>
      </c>
      <c r="C471" s="5">
        <v>45638.0</v>
      </c>
      <c r="D471" s="1" t="s">
        <v>161</v>
      </c>
      <c r="E471" s="1" t="s">
        <v>11</v>
      </c>
      <c r="F471" s="1" t="s">
        <v>166</v>
      </c>
      <c r="H471" s="1">
        <v>0.0</v>
      </c>
      <c r="I471" s="1">
        <v>0.0</v>
      </c>
      <c r="J471" s="1">
        <v>0.0</v>
      </c>
      <c r="K471" s="1">
        <v>1.0</v>
      </c>
      <c r="L471" s="1">
        <v>2.0</v>
      </c>
      <c r="M471" s="1">
        <v>0.5</v>
      </c>
      <c r="N471" s="1">
        <v>5.429999828</v>
      </c>
    </row>
    <row r="472" ht="15.75" customHeight="1">
      <c r="A472" s="1" t="s">
        <v>164</v>
      </c>
      <c r="B472" s="1" t="s">
        <v>74</v>
      </c>
      <c r="C472" s="5">
        <v>45638.0</v>
      </c>
      <c r="D472" s="1" t="s">
        <v>161</v>
      </c>
      <c r="E472" s="1" t="s">
        <v>11</v>
      </c>
      <c r="F472" s="1" t="s">
        <v>165</v>
      </c>
      <c r="H472" s="1">
        <v>0.0</v>
      </c>
      <c r="I472" s="1">
        <v>0.0</v>
      </c>
      <c r="J472" s="1">
        <v>0.0</v>
      </c>
      <c r="K472" s="1">
        <v>6.0</v>
      </c>
      <c r="L472" s="1">
        <v>15.0</v>
      </c>
      <c r="M472" s="1">
        <v>0.4</v>
      </c>
      <c r="N472" s="1">
        <v>11.78999996</v>
      </c>
    </row>
    <row r="473" ht="15.75" customHeight="1">
      <c r="A473" s="1" t="s">
        <v>164</v>
      </c>
      <c r="B473" s="1" t="s">
        <v>75</v>
      </c>
      <c r="C473" s="5">
        <v>45638.0</v>
      </c>
      <c r="D473" s="1" t="s">
        <v>161</v>
      </c>
      <c r="E473" s="1" t="s">
        <v>11</v>
      </c>
      <c r="F473" s="1" t="s">
        <v>165</v>
      </c>
      <c r="G473" s="1" t="s">
        <v>172</v>
      </c>
      <c r="H473" s="1">
        <v>1.0</v>
      </c>
      <c r="I473" s="1">
        <v>1.0</v>
      </c>
      <c r="J473" s="1">
        <v>0.0</v>
      </c>
      <c r="K473" s="1">
        <v>5.0</v>
      </c>
      <c r="L473" s="1">
        <v>7.0</v>
      </c>
      <c r="M473" s="1">
        <v>0.714285714</v>
      </c>
      <c r="N473" s="1">
        <v>5.309999943</v>
      </c>
    </row>
    <row r="474" ht="15.75" customHeight="1">
      <c r="A474" s="1" t="s">
        <v>164</v>
      </c>
      <c r="B474" s="1" t="s">
        <v>82</v>
      </c>
      <c r="C474" s="5">
        <v>45638.0</v>
      </c>
      <c r="D474" s="1" t="s">
        <v>161</v>
      </c>
      <c r="E474" s="1" t="s">
        <v>11</v>
      </c>
      <c r="H474" s="1">
        <v>0.0</v>
      </c>
      <c r="J474" s="1">
        <v>0.0</v>
      </c>
      <c r="N474" s="1">
        <v>8.25</v>
      </c>
    </row>
    <row r="475" ht="15.75" customHeight="1">
      <c r="A475" s="1" t="s">
        <v>160</v>
      </c>
      <c r="B475" s="1" t="s">
        <v>20</v>
      </c>
      <c r="C475" s="5">
        <v>45637.0</v>
      </c>
      <c r="D475" s="1" t="s">
        <v>161</v>
      </c>
      <c r="E475" s="1" t="s">
        <v>11</v>
      </c>
      <c r="F475" s="1" t="s">
        <v>162</v>
      </c>
      <c r="H475" s="1">
        <v>0.0</v>
      </c>
      <c r="I475" s="1">
        <v>0.0</v>
      </c>
      <c r="J475" s="1">
        <v>0.0</v>
      </c>
      <c r="K475" s="1">
        <v>1.0</v>
      </c>
      <c r="L475" s="1">
        <v>5.0</v>
      </c>
      <c r="M475" s="1">
        <v>0.2</v>
      </c>
      <c r="N475" s="1">
        <v>2.519999981</v>
      </c>
    </row>
    <row r="476" ht="15.75" customHeight="1">
      <c r="A476" s="1" t="s">
        <v>160</v>
      </c>
      <c r="B476" s="1" t="s">
        <v>65</v>
      </c>
      <c r="C476" s="5">
        <v>45637.0</v>
      </c>
      <c r="D476" s="1" t="s">
        <v>161</v>
      </c>
      <c r="E476" s="1" t="s">
        <v>11</v>
      </c>
      <c r="F476" s="1" t="s">
        <v>162</v>
      </c>
      <c r="H476" s="1">
        <v>0.0</v>
      </c>
      <c r="I476" s="1">
        <v>1.0</v>
      </c>
      <c r="J476" s="1">
        <v>0.0</v>
      </c>
      <c r="K476" s="1">
        <v>11.0</v>
      </c>
      <c r="L476" s="1">
        <v>16.0</v>
      </c>
      <c r="M476" s="1">
        <v>0.6875</v>
      </c>
      <c r="N476" s="1">
        <v>15.69999981</v>
      </c>
    </row>
    <row r="477" ht="15.75" customHeight="1">
      <c r="A477" s="1" t="s">
        <v>160</v>
      </c>
      <c r="B477" s="1" t="s">
        <v>198</v>
      </c>
      <c r="C477" s="5">
        <v>45637.0</v>
      </c>
      <c r="D477" s="1" t="s">
        <v>161</v>
      </c>
      <c r="E477" s="1" t="s">
        <v>11</v>
      </c>
      <c r="F477" s="1" t="s">
        <v>162</v>
      </c>
      <c r="H477" s="1">
        <v>0.0</v>
      </c>
      <c r="I477" s="1">
        <v>0.0</v>
      </c>
      <c r="J477" s="1">
        <v>0.0</v>
      </c>
      <c r="K477" s="1">
        <v>0.0</v>
      </c>
      <c r="L477" s="1">
        <v>0.0</v>
      </c>
      <c r="N477" s="1">
        <v>0.100000001</v>
      </c>
    </row>
    <row r="478" ht="15.75" customHeight="1">
      <c r="A478" s="1" t="s">
        <v>160</v>
      </c>
      <c r="B478" s="1" t="s">
        <v>77</v>
      </c>
      <c r="C478" s="5">
        <v>45637.0</v>
      </c>
      <c r="D478" s="1" t="s">
        <v>161</v>
      </c>
      <c r="E478" s="1" t="s">
        <v>11</v>
      </c>
      <c r="F478" s="1" t="s">
        <v>162</v>
      </c>
      <c r="H478" s="1">
        <v>0.0</v>
      </c>
      <c r="I478" s="1">
        <v>0.0</v>
      </c>
      <c r="J478" s="1">
        <v>0.0</v>
      </c>
      <c r="K478" s="1">
        <v>1.0</v>
      </c>
      <c r="L478" s="1">
        <v>2.0</v>
      </c>
      <c r="M478" s="1">
        <v>0.5</v>
      </c>
      <c r="N478" s="1">
        <v>13.92000008</v>
      </c>
    </row>
    <row r="479" ht="15.75" customHeight="1">
      <c r="A479" s="1" t="s">
        <v>164</v>
      </c>
      <c r="B479" s="1" t="s">
        <v>22</v>
      </c>
      <c r="C479" s="5">
        <v>45637.0</v>
      </c>
      <c r="D479" s="1" t="s">
        <v>161</v>
      </c>
      <c r="E479" s="1" t="s">
        <v>11</v>
      </c>
      <c r="F479" s="1" t="s">
        <v>166</v>
      </c>
      <c r="H479" s="1">
        <v>0.0</v>
      </c>
      <c r="I479" s="1">
        <v>0.0</v>
      </c>
      <c r="J479" s="1">
        <v>0.0</v>
      </c>
      <c r="K479" s="1">
        <v>8.0</v>
      </c>
      <c r="L479" s="1">
        <v>15.0</v>
      </c>
      <c r="M479" s="1">
        <v>0.533333333</v>
      </c>
      <c r="N479" s="1">
        <v>15.14000034</v>
      </c>
    </row>
    <row r="480" ht="15.75" customHeight="1">
      <c r="A480" s="1" t="s">
        <v>164</v>
      </c>
      <c r="B480" s="1" t="s">
        <v>207</v>
      </c>
      <c r="C480" s="5">
        <v>45637.0</v>
      </c>
      <c r="D480" s="1" t="s">
        <v>161</v>
      </c>
      <c r="E480" s="1" t="s">
        <v>11</v>
      </c>
      <c r="F480" s="1" t="s">
        <v>166</v>
      </c>
      <c r="H480" s="1">
        <v>0.0</v>
      </c>
      <c r="I480" s="1">
        <v>0.0</v>
      </c>
      <c r="J480" s="1">
        <v>0.0</v>
      </c>
      <c r="K480" s="1">
        <v>1.0</v>
      </c>
      <c r="L480" s="1">
        <v>6.0</v>
      </c>
      <c r="M480" s="1">
        <v>0.166666667</v>
      </c>
      <c r="N480" s="1">
        <v>3.359999895</v>
      </c>
    </row>
    <row r="481" ht="15.75" customHeight="1">
      <c r="A481" s="1" t="s">
        <v>164</v>
      </c>
      <c r="B481" s="1" t="s">
        <v>52</v>
      </c>
      <c r="C481" s="5">
        <v>45637.0</v>
      </c>
      <c r="D481" s="1" t="s">
        <v>161</v>
      </c>
      <c r="E481" s="1" t="s">
        <v>11</v>
      </c>
      <c r="H481" s="1">
        <v>0.0</v>
      </c>
      <c r="J481" s="1">
        <v>0.0</v>
      </c>
      <c r="N481" s="1">
        <v>0.99000001</v>
      </c>
    </row>
    <row r="482" ht="15.75" customHeight="1">
      <c r="A482" s="1" t="s">
        <v>164</v>
      </c>
      <c r="B482" s="1" t="s">
        <v>196</v>
      </c>
      <c r="C482" s="5">
        <v>45637.0</v>
      </c>
      <c r="D482" s="1" t="s">
        <v>161</v>
      </c>
      <c r="E482" s="1" t="s">
        <v>11</v>
      </c>
      <c r="H482" s="1">
        <v>0.0</v>
      </c>
      <c r="J482" s="1">
        <v>0.0</v>
      </c>
      <c r="N482" s="1">
        <v>0.100000001</v>
      </c>
    </row>
    <row r="483" ht="15.75" customHeight="1">
      <c r="A483" s="1" t="s">
        <v>164</v>
      </c>
      <c r="B483" s="1" t="s">
        <v>63</v>
      </c>
      <c r="C483" s="5">
        <v>45637.0</v>
      </c>
      <c r="D483" s="1" t="s">
        <v>161</v>
      </c>
      <c r="E483" s="1" t="s">
        <v>11</v>
      </c>
      <c r="F483" s="1" t="s">
        <v>166</v>
      </c>
      <c r="H483" s="1">
        <v>0.0</v>
      </c>
      <c r="I483" s="1">
        <v>0.0</v>
      </c>
      <c r="J483" s="1">
        <v>0.0</v>
      </c>
      <c r="K483" s="1">
        <v>0.0</v>
      </c>
      <c r="L483" s="1">
        <v>0.0</v>
      </c>
      <c r="N483" s="1">
        <v>4.199999809</v>
      </c>
    </row>
    <row r="484" ht="15.75" customHeight="1">
      <c r="A484" s="1" t="s">
        <v>164</v>
      </c>
      <c r="B484" s="1" t="s">
        <v>183</v>
      </c>
      <c r="C484" s="5">
        <v>45637.0</v>
      </c>
      <c r="D484" s="1" t="s">
        <v>161</v>
      </c>
      <c r="E484" s="1" t="s">
        <v>11</v>
      </c>
      <c r="H484" s="1">
        <v>0.0</v>
      </c>
      <c r="J484" s="1">
        <v>0.0</v>
      </c>
      <c r="N484" s="1">
        <v>0.319999993</v>
      </c>
    </row>
    <row r="485" ht="15.75" customHeight="1">
      <c r="A485" s="1" t="s">
        <v>164</v>
      </c>
      <c r="B485" s="1" t="s">
        <v>74</v>
      </c>
      <c r="C485" s="5">
        <v>45637.0</v>
      </c>
      <c r="D485" s="1" t="s">
        <v>161</v>
      </c>
      <c r="E485" s="1" t="s">
        <v>11</v>
      </c>
      <c r="F485" s="1" t="s">
        <v>166</v>
      </c>
      <c r="H485" s="1">
        <v>0.0</v>
      </c>
      <c r="I485" s="1">
        <v>0.0</v>
      </c>
      <c r="J485" s="1">
        <v>0.0</v>
      </c>
      <c r="K485" s="1">
        <v>3.0</v>
      </c>
      <c r="L485" s="1">
        <v>9.0</v>
      </c>
      <c r="M485" s="1">
        <v>0.333333333</v>
      </c>
      <c r="N485" s="1">
        <v>15.14000034</v>
      </c>
    </row>
    <row r="486" ht="15.75" customHeight="1">
      <c r="A486" s="1" t="s">
        <v>164</v>
      </c>
      <c r="B486" s="1" t="s">
        <v>75</v>
      </c>
      <c r="C486" s="5">
        <v>45637.0</v>
      </c>
      <c r="D486" s="1" t="s">
        <v>161</v>
      </c>
      <c r="E486" s="1" t="s">
        <v>11</v>
      </c>
      <c r="F486" s="1" t="s">
        <v>165</v>
      </c>
      <c r="H486" s="1">
        <v>0.0</v>
      </c>
      <c r="I486" s="1">
        <v>0.0</v>
      </c>
      <c r="J486" s="1">
        <v>0.0</v>
      </c>
      <c r="K486" s="1">
        <v>8.0</v>
      </c>
      <c r="L486" s="1">
        <v>13.0</v>
      </c>
      <c r="M486" s="1">
        <v>0.615384615</v>
      </c>
      <c r="N486" s="1">
        <v>15.01000023</v>
      </c>
    </row>
    <row r="487" ht="15.75" customHeight="1">
      <c r="A487" s="1" t="s">
        <v>164</v>
      </c>
      <c r="B487" s="1" t="s">
        <v>82</v>
      </c>
      <c r="C487" s="5">
        <v>45637.0</v>
      </c>
      <c r="D487" s="1" t="s">
        <v>161</v>
      </c>
      <c r="E487" s="1" t="s">
        <v>11</v>
      </c>
      <c r="H487" s="1">
        <v>0.0</v>
      </c>
      <c r="J487" s="1">
        <v>0.0</v>
      </c>
      <c r="N487" s="1">
        <v>1.379999995</v>
      </c>
    </row>
    <row r="488" ht="15.75" customHeight="1">
      <c r="A488" s="1" t="s">
        <v>160</v>
      </c>
      <c r="B488" s="1" t="s">
        <v>65</v>
      </c>
      <c r="C488" s="5">
        <v>45636.0</v>
      </c>
      <c r="D488" s="1" t="s">
        <v>161</v>
      </c>
      <c r="E488" s="1" t="s">
        <v>11</v>
      </c>
      <c r="F488" s="1" t="s">
        <v>162</v>
      </c>
      <c r="H488" s="1">
        <v>0.0</v>
      </c>
      <c r="I488" s="1">
        <v>0.0</v>
      </c>
      <c r="J488" s="1">
        <v>0.0</v>
      </c>
      <c r="K488" s="1">
        <v>9.0</v>
      </c>
      <c r="L488" s="1">
        <v>13.0</v>
      </c>
      <c r="M488" s="1">
        <v>0.692307692</v>
      </c>
      <c r="N488" s="1">
        <v>18.23999977</v>
      </c>
    </row>
    <row r="489" ht="15.75" customHeight="1">
      <c r="A489" s="1" t="s">
        <v>160</v>
      </c>
      <c r="B489" s="1" t="s">
        <v>77</v>
      </c>
      <c r="C489" s="5">
        <v>45636.0</v>
      </c>
      <c r="D489" s="1" t="s">
        <v>161</v>
      </c>
      <c r="E489" s="1" t="s">
        <v>11</v>
      </c>
      <c r="F489" s="1" t="s">
        <v>162</v>
      </c>
      <c r="G489" s="1" t="s">
        <v>172</v>
      </c>
      <c r="H489" s="1">
        <v>1.0</v>
      </c>
      <c r="I489" s="1">
        <v>0.0</v>
      </c>
      <c r="J489" s="1">
        <v>0.0</v>
      </c>
      <c r="K489" s="1">
        <v>5.0</v>
      </c>
      <c r="L489" s="1">
        <v>7.0</v>
      </c>
      <c r="M489" s="1">
        <v>0.714285714</v>
      </c>
      <c r="N489" s="1">
        <v>15.56000042</v>
      </c>
    </row>
    <row r="490" ht="15.75" customHeight="1">
      <c r="A490" s="1" t="s">
        <v>164</v>
      </c>
      <c r="B490" s="1" t="s">
        <v>187</v>
      </c>
      <c r="C490" s="5">
        <v>45636.0</v>
      </c>
      <c r="D490" s="1" t="s">
        <v>161</v>
      </c>
      <c r="E490" s="1" t="s">
        <v>11</v>
      </c>
      <c r="H490" s="1">
        <v>0.0</v>
      </c>
      <c r="J490" s="1">
        <v>0.0</v>
      </c>
      <c r="N490" s="1">
        <v>0.430000007</v>
      </c>
    </row>
    <row r="491" ht="15.75" customHeight="1">
      <c r="A491" s="1" t="s">
        <v>164</v>
      </c>
      <c r="B491" s="1" t="s">
        <v>63</v>
      </c>
      <c r="C491" s="5">
        <v>45636.0</v>
      </c>
      <c r="D491" s="1" t="s">
        <v>161</v>
      </c>
      <c r="E491" s="1" t="s">
        <v>11</v>
      </c>
      <c r="F491" s="1" t="s">
        <v>166</v>
      </c>
      <c r="H491" s="1">
        <v>0.0</v>
      </c>
      <c r="I491" s="1">
        <v>0.0</v>
      </c>
      <c r="J491" s="1">
        <v>0.0</v>
      </c>
      <c r="K491" s="1">
        <v>5.0</v>
      </c>
      <c r="L491" s="1">
        <v>10.0</v>
      </c>
      <c r="M491" s="1">
        <v>0.5</v>
      </c>
      <c r="N491" s="1">
        <v>13.32999992</v>
      </c>
    </row>
    <row r="492" ht="15.75" customHeight="1">
      <c r="A492" s="1" t="s">
        <v>164</v>
      </c>
      <c r="B492" s="1" t="s">
        <v>74</v>
      </c>
      <c r="C492" s="5">
        <v>45636.0</v>
      </c>
      <c r="D492" s="1" t="s">
        <v>161</v>
      </c>
      <c r="E492" s="1" t="s">
        <v>11</v>
      </c>
      <c r="F492" s="1" t="s">
        <v>162</v>
      </c>
      <c r="H492" s="1">
        <v>0.0</v>
      </c>
      <c r="I492" s="1">
        <v>0.0</v>
      </c>
      <c r="J492" s="1">
        <v>0.0</v>
      </c>
      <c r="K492" s="1">
        <v>10.0</v>
      </c>
      <c r="L492" s="1">
        <v>21.0</v>
      </c>
      <c r="M492" s="1">
        <v>0.476190476</v>
      </c>
      <c r="N492" s="1">
        <v>21.86000061</v>
      </c>
    </row>
    <row r="493" ht="15.75" customHeight="1">
      <c r="A493" s="1" t="s">
        <v>164</v>
      </c>
      <c r="B493" s="1" t="s">
        <v>82</v>
      </c>
      <c r="C493" s="5">
        <v>45636.0</v>
      </c>
      <c r="D493" s="1" t="s">
        <v>161</v>
      </c>
      <c r="E493" s="1" t="s">
        <v>11</v>
      </c>
      <c r="F493" s="1" t="s">
        <v>165</v>
      </c>
      <c r="H493" s="1">
        <v>0.0</v>
      </c>
      <c r="I493" s="1">
        <v>0.0</v>
      </c>
      <c r="J493" s="1">
        <v>0.0</v>
      </c>
      <c r="K493" s="1">
        <v>0.0</v>
      </c>
      <c r="L493" s="1">
        <v>2.0</v>
      </c>
      <c r="M493" s="1">
        <v>0.0</v>
      </c>
      <c r="N493" s="1">
        <v>2.589999914</v>
      </c>
    </row>
    <row r="494" ht="15.75" customHeight="1">
      <c r="A494" s="1" t="s">
        <v>160</v>
      </c>
      <c r="B494" s="1" t="s">
        <v>65</v>
      </c>
      <c r="C494" s="5">
        <v>45635.0</v>
      </c>
      <c r="D494" s="1" t="s">
        <v>161</v>
      </c>
      <c r="E494" s="1" t="s">
        <v>11</v>
      </c>
      <c r="F494" s="1" t="s">
        <v>162</v>
      </c>
      <c r="H494" s="1">
        <v>0.0</v>
      </c>
      <c r="I494" s="1">
        <v>0.0</v>
      </c>
      <c r="J494" s="1">
        <v>0.0</v>
      </c>
      <c r="K494" s="1">
        <v>2.0</v>
      </c>
      <c r="L494" s="1">
        <v>5.0</v>
      </c>
      <c r="M494" s="1">
        <v>0.4</v>
      </c>
      <c r="N494" s="1">
        <v>12.5</v>
      </c>
    </row>
    <row r="495" ht="15.75" customHeight="1">
      <c r="A495" s="1" t="s">
        <v>160</v>
      </c>
      <c r="B495" s="1" t="s">
        <v>69</v>
      </c>
      <c r="C495" s="5">
        <v>45635.0</v>
      </c>
      <c r="D495" s="1" t="s">
        <v>161</v>
      </c>
      <c r="E495" s="1" t="s">
        <v>11</v>
      </c>
      <c r="F495" s="1" t="s">
        <v>165</v>
      </c>
      <c r="H495" s="1">
        <v>0.0</v>
      </c>
      <c r="I495" s="1">
        <v>0.0</v>
      </c>
      <c r="J495" s="1">
        <v>0.0</v>
      </c>
      <c r="K495" s="1">
        <v>8.0</v>
      </c>
      <c r="L495" s="1">
        <v>14.0</v>
      </c>
      <c r="M495" s="1">
        <v>0.571428571</v>
      </c>
      <c r="N495" s="1">
        <v>10.14000034</v>
      </c>
    </row>
    <row r="496" ht="15.75" customHeight="1">
      <c r="A496" s="1" t="s">
        <v>160</v>
      </c>
      <c r="B496" s="1" t="s">
        <v>77</v>
      </c>
      <c r="C496" s="5">
        <v>45635.0</v>
      </c>
      <c r="D496" s="1" t="s">
        <v>161</v>
      </c>
      <c r="E496" s="1" t="s">
        <v>11</v>
      </c>
      <c r="F496" s="1" t="s">
        <v>162</v>
      </c>
      <c r="H496" s="1">
        <v>0.0</v>
      </c>
      <c r="I496" s="1">
        <v>0.0</v>
      </c>
      <c r="J496" s="1">
        <v>0.0</v>
      </c>
      <c r="K496" s="1">
        <v>0.0</v>
      </c>
      <c r="L496" s="1">
        <v>1.0</v>
      </c>
      <c r="M496" s="1">
        <v>0.0</v>
      </c>
      <c r="N496" s="1">
        <v>10.43000031</v>
      </c>
    </row>
    <row r="497" ht="15.75" customHeight="1">
      <c r="A497" s="1" t="s">
        <v>164</v>
      </c>
      <c r="B497" s="1" t="s">
        <v>22</v>
      </c>
      <c r="C497" s="5">
        <v>45635.0</v>
      </c>
      <c r="D497" s="1" t="s">
        <v>161</v>
      </c>
      <c r="E497" s="1" t="s">
        <v>11</v>
      </c>
      <c r="F497" s="1" t="s">
        <v>166</v>
      </c>
      <c r="H497" s="1">
        <v>0.0</v>
      </c>
      <c r="I497" s="1">
        <v>0.0</v>
      </c>
      <c r="J497" s="1">
        <v>0.0</v>
      </c>
      <c r="K497" s="1">
        <v>2.0</v>
      </c>
      <c r="L497" s="1">
        <v>3.0</v>
      </c>
      <c r="M497" s="1">
        <v>0.666666667</v>
      </c>
      <c r="N497" s="1">
        <v>3.5</v>
      </c>
    </row>
    <row r="498" ht="15.75" customHeight="1">
      <c r="A498" s="1" t="s">
        <v>164</v>
      </c>
      <c r="B498" s="1" t="s">
        <v>63</v>
      </c>
      <c r="C498" s="5">
        <v>45635.0</v>
      </c>
      <c r="D498" s="1" t="s">
        <v>161</v>
      </c>
      <c r="E498" s="1" t="s">
        <v>11</v>
      </c>
      <c r="F498" s="1" t="s">
        <v>166</v>
      </c>
      <c r="H498" s="1">
        <v>0.0</v>
      </c>
      <c r="I498" s="1">
        <v>0.0</v>
      </c>
      <c r="J498" s="1">
        <v>0.0</v>
      </c>
      <c r="K498" s="1">
        <v>2.0</v>
      </c>
      <c r="L498" s="1">
        <v>3.0</v>
      </c>
      <c r="M498" s="1">
        <v>0.666666667</v>
      </c>
      <c r="N498" s="1">
        <v>3.859999895</v>
      </c>
    </row>
    <row r="499" ht="15.75" customHeight="1">
      <c r="A499" s="1" t="s">
        <v>164</v>
      </c>
      <c r="B499" s="1" t="s">
        <v>183</v>
      </c>
      <c r="C499" s="5">
        <v>45635.0</v>
      </c>
      <c r="D499" s="1" t="s">
        <v>161</v>
      </c>
      <c r="E499" s="1" t="s">
        <v>11</v>
      </c>
      <c r="F499" s="1" t="s">
        <v>166</v>
      </c>
      <c r="H499" s="1">
        <v>0.0</v>
      </c>
      <c r="I499" s="1">
        <v>1.0</v>
      </c>
      <c r="J499" s="1">
        <v>0.0</v>
      </c>
      <c r="K499" s="1">
        <v>2.0</v>
      </c>
      <c r="L499" s="1">
        <v>7.0</v>
      </c>
      <c r="M499" s="1">
        <v>0.285714286</v>
      </c>
      <c r="N499" s="1">
        <v>6.239999771</v>
      </c>
    </row>
    <row r="500" ht="15.75" customHeight="1">
      <c r="A500" s="1" t="s">
        <v>164</v>
      </c>
      <c r="B500" s="1" t="s">
        <v>74</v>
      </c>
      <c r="C500" s="5">
        <v>45635.0</v>
      </c>
      <c r="D500" s="1" t="s">
        <v>161</v>
      </c>
      <c r="E500" s="1" t="s">
        <v>11</v>
      </c>
      <c r="F500" s="1" t="s">
        <v>166</v>
      </c>
      <c r="H500" s="1">
        <v>0.0</v>
      </c>
      <c r="I500" s="1">
        <v>0.0</v>
      </c>
      <c r="J500" s="1">
        <v>0.0</v>
      </c>
      <c r="K500" s="1">
        <v>0.0</v>
      </c>
      <c r="L500" s="1">
        <v>4.0</v>
      </c>
      <c r="M500" s="1">
        <v>0.0</v>
      </c>
      <c r="N500" s="1">
        <v>7.25</v>
      </c>
    </row>
    <row r="501" ht="15.75" customHeight="1">
      <c r="A501" s="1" t="s">
        <v>164</v>
      </c>
      <c r="B501" s="1" t="s">
        <v>75</v>
      </c>
      <c r="C501" s="5">
        <v>45635.0</v>
      </c>
      <c r="D501" s="1" t="s">
        <v>161</v>
      </c>
      <c r="E501" s="1" t="s">
        <v>11</v>
      </c>
      <c r="F501" s="1" t="s">
        <v>165</v>
      </c>
      <c r="H501" s="1">
        <v>0.0</v>
      </c>
      <c r="I501" s="1">
        <v>0.0</v>
      </c>
      <c r="J501" s="1">
        <v>0.0</v>
      </c>
      <c r="K501" s="1">
        <v>12.0</v>
      </c>
      <c r="L501" s="1">
        <v>21.0</v>
      </c>
      <c r="M501" s="1">
        <v>0.571428571</v>
      </c>
      <c r="N501" s="1">
        <v>10.34000015</v>
      </c>
    </row>
    <row r="502" ht="15.75" customHeight="1">
      <c r="A502" s="1" t="s">
        <v>164</v>
      </c>
      <c r="B502" s="1" t="s">
        <v>82</v>
      </c>
      <c r="C502" s="5">
        <v>45635.0</v>
      </c>
      <c r="D502" s="1" t="s">
        <v>161</v>
      </c>
      <c r="E502" s="1" t="s">
        <v>11</v>
      </c>
      <c r="H502" s="1">
        <v>0.0</v>
      </c>
      <c r="J502" s="1">
        <v>0.0</v>
      </c>
      <c r="N502" s="1">
        <v>4.539999962</v>
      </c>
    </row>
    <row r="503" ht="15.75" customHeight="1">
      <c r="A503" s="1" t="s">
        <v>160</v>
      </c>
      <c r="B503" s="1" t="s">
        <v>39</v>
      </c>
      <c r="C503" s="5">
        <v>45632.0</v>
      </c>
      <c r="D503" s="1" t="s">
        <v>161</v>
      </c>
      <c r="E503" s="1" t="s">
        <v>11</v>
      </c>
      <c r="F503" s="1" t="s">
        <v>162</v>
      </c>
      <c r="H503" s="1">
        <v>0.0</v>
      </c>
      <c r="I503" s="1">
        <v>0.0</v>
      </c>
      <c r="J503" s="1">
        <v>0.0</v>
      </c>
      <c r="K503" s="1">
        <v>5.0</v>
      </c>
      <c r="L503" s="1">
        <v>8.0</v>
      </c>
      <c r="M503" s="1">
        <v>0.625</v>
      </c>
      <c r="N503" s="1">
        <v>9.479999542</v>
      </c>
    </row>
    <row r="504" ht="15.75" customHeight="1">
      <c r="A504" s="1" t="s">
        <v>160</v>
      </c>
      <c r="B504" s="1" t="s">
        <v>65</v>
      </c>
      <c r="C504" s="5">
        <v>45632.0</v>
      </c>
      <c r="D504" s="1" t="s">
        <v>161</v>
      </c>
      <c r="E504" s="1" t="s">
        <v>11</v>
      </c>
      <c r="F504" s="1" t="s">
        <v>162</v>
      </c>
      <c r="H504" s="1">
        <v>0.0</v>
      </c>
      <c r="I504" s="1">
        <v>0.0</v>
      </c>
      <c r="J504" s="1">
        <v>0.0</v>
      </c>
      <c r="K504" s="1">
        <v>1.0</v>
      </c>
      <c r="L504" s="1">
        <v>2.0</v>
      </c>
      <c r="M504" s="1">
        <v>0.5</v>
      </c>
      <c r="N504" s="1">
        <v>9.579999924</v>
      </c>
    </row>
    <row r="505" ht="15.75" customHeight="1">
      <c r="A505" s="1" t="s">
        <v>160</v>
      </c>
      <c r="B505" s="1" t="s">
        <v>198</v>
      </c>
      <c r="C505" s="5">
        <v>45632.0</v>
      </c>
      <c r="D505" s="1" t="s">
        <v>161</v>
      </c>
      <c r="E505" s="1" t="s">
        <v>11</v>
      </c>
      <c r="F505" s="1" t="s">
        <v>162</v>
      </c>
      <c r="H505" s="1">
        <v>0.0</v>
      </c>
      <c r="I505" s="1">
        <v>0.0</v>
      </c>
      <c r="J505" s="1">
        <v>0.0</v>
      </c>
      <c r="K505" s="1">
        <v>1.0</v>
      </c>
      <c r="L505" s="1">
        <v>1.0</v>
      </c>
      <c r="M505" s="1">
        <v>1.0</v>
      </c>
      <c r="N505" s="1">
        <v>3.0</v>
      </c>
    </row>
    <row r="506" ht="15.75" customHeight="1">
      <c r="A506" s="1" t="s">
        <v>160</v>
      </c>
      <c r="B506" s="1" t="s">
        <v>77</v>
      </c>
      <c r="C506" s="5">
        <v>45632.0</v>
      </c>
      <c r="D506" s="1" t="s">
        <v>161</v>
      </c>
      <c r="E506" s="1" t="s">
        <v>11</v>
      </c>
      <c r="F506" s="1" t="s">
        <v>162</v>
      </c>
      <c r="H506" s="1">
        <v>0.0</v>
      </c>
      <c r="I506" s="1">
        <v>0.0</v>
      </c>
      <c r="J506" s="1">
        <v>0.0</v>
      </c>
      <c r="K506" s="1">
        <v>5.0</v>
      </c>
      <c r="L506" s="1">
        <v>8.0</v>
      </c>
      <c r="M506" s="1">
        <v>0.625</v>
      </c>
      <c r="N506" s="1">
        <v>7.429999828</v>
      </c>
    </row>
    <row r="507" ht="15.75" customHeight="1">
      <c r="A507" s="1" t="s">
        <v>164</v>
      </c>
      <c r="B507" s="1" t="s">
        <v>60</v>
      </c>
      <c r="C507" s="5">
        <v>45632.0</v>
      </c>
      <c r="D507" s="1" t="s">
        <v>161</v>
      </c>
      <c r="E507" s="1" t="s">
        <v>11</v>
      </c>
      <c r="F507" s="1" t="s">
        <v>166</v>
      </c>
      <c r="H507" s="1">
        <v>0.0</v>
      </c>
      <c r="I507" s="1">
        <v>0.0</v>
      </c>
      <c r="J507" s="1">
        <v>0.0</v>
      </c>
      <c r="K507" s="1">
        <v>4.0</v>
      </c>
      <c r="L507" s="1">
        <v>7.0</v>
      </c>
      <c r="M507" s="1">
        <v>0.571428571</v>
      </c>
      <c r="N507" s="1">
        <v>7.909999847</v>
      </c>
    </row>
    <row r="508" ht="15.75" customHeight="1">
      <c r="A508" s="1" t="s">
        <v>164</v>
      </c>
      <c r="B508" s="1" t="s">
        <v>63</v>
      </c>
      <c r="C508" s="5">
        <v>45632.0</v>
      </c>
      <c r="D508" s="1" t="s">
        <v>161</v>
      </c>
      <c r="E508" s="1" t="s">
        <v>11</v>
      </c>
      <c r="F508" s="1" t="s">
        <v>166</v>
      </c>
      <c r="H508" s="1">
        <v>0.0</v>
      </c>
      <c r="I508" s="1">
        <v>0.0</v>
      </c>
      <c r="J508" s="1">
        <v>0.0</v>
      </c>
      <c r="K508" s="1">
        <v>1.0</v>
      </c>
      <c r="L508" s="1">
        <v>2.0</v>
      </c>
      <c r="M508" s="1">
        <v>0.5</v>
      </c>
      <c r="N508" s="1">
        <v>10.26000023</v>
      </c>
    </row>
    <row r="509" ht="15.75" customHeight="1">
      <c r="A509" s="1" t="s">
        <v>164</v>
      </c>
      <c r="B509" s="1" t="s">
        <v>68</v>
      </c>
      <c r="C509" s="5">
        <v>45632.0</v>
      </c>
      <c r="D509" s="1" t="s">
        <v>161</v>
      </c>
      <c r="E509" s="1" t="s">
        <v>11</v>
      </c>
      <c r="F509" s="1" t="s">
        <v>165</v>
      </c>
      <c r="H509" s="1">
        <v>0.0</v>
      </c>
      <c r="I509" s="1">
        <v>0.0</v>
      </c>
      <c r="J509" s="1">
        <v>0.0</v>
      </c>
      <c r="K509" s="1">
        <v>1.0</v>
      </c>
      <c r="L509" s="1">
        <v>4.0</v>
      </c>
      <c r="M509" s="1">
        <v>0.25</v>
      </c>
      <c r="N509" s="1">
        <v>5.929999828</v>
      </c>
    </row>
    <row r="510" ht="15.75" customHeight="1">
      <c r="A510" s="1" t="s">
        <v>164</v>
      </c>
      <c r="B510" s="1" t="s">
        <v>75</v>
      </c>
      <c r="C510" s="5">
        <v>45632.0</v>
      </c>
      <c r="D510" s="1" t="s">
        <v>161</v>
      </c>
      <c r="E510" s="1" t="s">
        <v>11</v>
      </c>
      <c r="F510" s="1" t="s">
        <v>165</v>
      </c>
      <c r="H510" s="1">
        <v>0.0</v>
      </c>
      <c r="I510" s="1">
        <v>0.0</v>
      </c>
      <c r="J510" s="1">
        <v>0.0</v>
      </c>
      <c r="K510" s="1">
        <v>5.0</v>
      </c>
      <c r="L510" s="1">
        <v>9.0</v>
      </c>
      <c r="M510" s="1">
        <v>0.555555556</v>
      </c>
      <c r="N510" s="1">
        <v>5.849999905</v>
      </c>
    </row>
    <row r="511" ht="15.75" customHeight="1">
      <c r="A511" s="1" t="s">
        <v>180</v>
      </c>
      <c r="B511" s="1" t="s">
        <v>208</v>
      </c>
      <c r="C511" s="5">
        <v>45632.0</v>
      </c>
      <c r="D511" s="1" t="s">
        <v>161</v>
      </c>
      <c r="E511" s="1" t="s">
        <v>11</v>
      </c>
      <c r="H511" s="1">
        <v>0.0</v>
      </c>
      <c r="J511" s="1">
        <v>0.0</v>
      </c>
      <c r="N511" s="1">
        <v>0.090000004</v>
      </c>
    </row>
    <row r="512" ht="15.75" customHeight="1">
      <c r="A512" s="1" t="s">
        <v>160</v>
      </c>
      <c r="B512" s="1" t="s">
        <v>18</v>
      </c>
      <c r="C512" s="5">
        <v>45631.0</v>
      </c>
      <c r="D512" s="1" t="s">
        <v>161</v>
      </c>
      <c r="E512" s="1" t="s">
        <v>11</v>
      </c>
      <c r="F512" s="1" t="s">
        <v>162</v>
      </c>
      <c r="H512" s="1">
        <v>0.0</v>
      </c>
      <c r="I512" s="1">
        <v>0.0</v>
      </c>
      <c r="J512" s="1">
        <v>0.0</v>
      </c>
      <c r="K512" s="1">
        <v>5.0</v>
      </c>
      <c r="L512" s="1">
        <v>11.0</v>
      </c>
      <c r="M512" s="1">
        <v>0.454545455</v>
      </c>
      <c r="N512" s="1">
        <v>10.13000011</v>
      </c>
    </row>
    <row r="513" ht="15.75" customHeight="1">
      <c r="A513" s="1" t="s">
        <v>160</v>
      </c>
      <c r="B513" s="1" t="s">
        <v>39</v>
      </c>
      <c r="C513" s="5">
        <v>45631.0</v>
      </c>
      <c r="D513" s="1" t="s">
        <v>161</v>
      </c>
      <c r="E513" s="1" t="s">
        <v>11</v>
      </c>
      <c r="F513" s="1" t="s">
        <v>162</v>
      </c>
      <c r="H513" s="1">
        <v>0.0</v>
      </c>
      <c r="I513" s="1">
        <v>0.0</v>
      </c>
      <c r="J513" s="1">
        <v>0.0</v>
      </c>
      <c r="K513" s="1">
        <v>1.0</v>
      </c>
      <c r="L513" s="1">
        <v>4.0</v>
      </c>
      <c r="M513" s="1">
        <v>0.25</v>
      </c>
      <c r="N513" s="1">
        <v>8.619999886</v>
      </c>
    </row>
    <row r="514" ht="15.75" customHeight="1">
      <c r="A514" s="1" t="s">
        <v>160</v>
      </c>
      <c r="B514" s="1" t="s">
        <v>39</v>
      </c>
      <c r="C514" s="5">
        <v>45631.0</v>
      </c>
      <c r="D514" s="1" t="s">
        <v>161</v>
      </c>
      <c r="E514" s="1" t="s">
        <v>11</v>
      </c>
      <c r="F514" s="1" t="s">
        <v>166</v>
      </c>
      <c r="H514" s="1">
        <v>0.0</v>
      </c>
      <c r="I514" s="1">
        <v>0.0</v>
      </c>
      <c r="J514" s="1">
        <v>0.0</v>
      </c>
      <c r="K514" s="1">
        <v>0.0</v>
      </c>
      <c r="L514" s="1">
        <v>0.0</v>
      </c>
      <c r="N514" s="1">
        <v>0.0</v>
      </c>
    </row>
    <row r="515" ht="15.75" customHeight="1">
      <c r="A515" s="1" t="s">
        <v>160</v>
      </c>
      <c r="B515" s="1" t="s">
        <v>65</v>
      </c>
      <c r="C515" s="5">
        <v>45631.0</v>
      </c>
      <c r="D515" s="1" t="s">
        <v>161</v>
      </c>
      <c r="E515" s="1" t="s">
        <v>11</v>
      </c>
      <c r="F515" s="1" t="s">
        <v>162</v>
      </c>
      <c r="H515" s="1">
        <v>0.0</v>
      </c>
      <c r="I515" s="1">
        <v>0.0</v>
      </c>
      <c r="J515" s="1">
        <v>0.0</v>
      </c>
      <c r="K515" s="1">
        <v>1.0</v>
      </c>
      <c r="L515" s="1">
        <v>2.0</v>
      </c>
      <c r="M515" s="1">
        <v>0.5</v>
      </c>
      <c r="N515" s="1">
        <v>6.6300001139999996</v>
      </c>
    </row>
    <row r="516" ht="15.75" customHeight="1">
      <c r="A516" s="1" t="s">
        <v>160</v>
      </c>
      <c r="B516" s="1" t="s">
        <v>198</v>
      </c>
      <c r="C516" s="5">
        <v>45631.0</v>
      </c>
      <c r="D516" s="1" t="s">
        <v>161</v>
      </c>
      <c r="E516" s="1" t="s">
        <v>11</v>
      </c>
      <c r="F516" s="1" t="s">
        <v>162</v>
      </c>
      <c r="H516" s="1">
        <v>0.0</v>
      </c>
      <c r="I516" s="1">
        <v>0.0</v>
      </c>
      <c r="J516" s="1">
        <v>0.0</v>
      </c>
      <c r="K516" s="1">
        <v>1.0</v>
      </c>
      <c r="L516" s="1">
        <v>2.0</v>
      </c>
      <c r="M516" s="1">
        <v>0.5</v>
      </c>
      <c r="N516" s="1">
        <v>1.899999976</v>
      </c>
    </row>
    <row r="517" ht="15.75" customHeight="1">
      <c r="A517" s="1" t="s">
        <v>160</v>
      </c>
      <c r="B517" s="1" t="s">
        <v>77</v>
      </c>
      <c r="C517" s="5">
        <v>45631.0</v>
      </c>
      <c r="D517" s="1" t="s">
        <v>161</v>
      </c>
      <c r="E517" s="1" t="s">
        <v>11</v>
      </c>
      <c r="F517" s="1" t="s">
        <v>162</v>
      </c>
      <c r="H517" s="1">
        <v>0.0</v>
      </c>
      <c r="I517" s="1">
        <v>0.0</v>
      </c>
      <c r="J517" s="1">
        <v>0.0</v>
      </c>
      <c r="K517" s="1">
        <v>0.0</v>
      </c>
      <c r="L517" s="1">
        <v>2.0</v>
      </c>
      <c r="M517" s="1">
        <v>0.0</v>
      </c>
      <c r="N517" s="1">
        <v>9.829999924</v>
      </c>
    </row>
    <row r="518" ht="15.75" customHeight="1">
      <c r="A518" s="1" t="s">
        <v>160</v>
      </c>
      <c r="B518" s="1" t="s">
        <v>90</v>
      </c>
      <c r="C518" s="5">
        <v>45631.0</v>
      </c>
      <c r="D518" s="1" t="s">
        <v>161</v>
      </c>
      <c r="E518" s="1" t="s">
        <v>11</v>
      </c>
      <c r="F518" s="1" t="s">
        <v>165</v>
      </c>
      <c r="H518" s="1">
        <v>0.0</v>
      </c>
      <c r="I518" s="1">
        <v>0.0</v>
      </c>
      <c r="J518" s="1">
        <v>0.0</v>
      </c>
      <c r="K518" s="1">
        <v>2.0</v>
      </c>
      <c r="L518" s="1">
        <v>5.0</v>
      </c>
      <c r="M518" s="1">
        <v>0.4</v>
      </c>
      <c r="N518" s="1">
        <v>6.710000038</v>
      </c>
    </row>
    <row r="519" ht="15.75" customHeight="1">
      <c r="A519" s="1" t="s">
        <v>164</v>
      </c>
      <c r="B519" s="1" t="s">
        <v>60</v>
      </c>
      <c r="C519" s="5">
        <v>45631.0</v>
      </c>
      <c r="D519" s="1" t="s">
        <v>161</v>
      </c>
      <c r="E519" s="1" t="s">
        <v>11</v>
      </c>
      <c r="F519" s="1" t="s">
        <v>166</v>
      </c>
      <c r="H519" s="1">
        <v>0.0</v>
      </c>
      <c r="I519" s="1">
        <v>0.0</v>
      </c>
      <c r="J519" s="1">
        <v>0.0</v>
      </c>
      <c r="K519" s="1">
        <v>0.0</v>
      </c>
      <c r="L519" s="1">
        <v>0.0</v>
      </c>
      <c r="N519" s="1">
        <v>5.03000021</v>
      </c>
    </row>
    <row r="520" ht="15.75" customHeight="1">
      <c r="A520" s="1" t="s">
        <v>164</v>
      </c>
      <c r="B520" s="1" t="s">
        <v>63</v>
      </c>
      <c r="C520" s="5">
        <v>45631.0</v>
      </c>
      <c r="D520" s="1" t="s">
        <v>161</v>
      </c>
      <c r="E520" s="1" t="s">
        <v>11</v>
      </c>
      <c r="F520" s="1" t="s">
        <v>166</v>
      </c>
      <c r="H520" s="1">
        <v>0.0</v>
      </c>
      <c r="I520" s="1">
        <v>0.0</v>
      </c>
      <c r="J520" s="1">
        <v>0.0</v>
      </c>
      <c r="K520" s="1">
        <v>0.0</v>
      </c>
      <c r="L520" s="1">
        <v>2.0</v>
      </c>
      <c r="M520" s="1">
        <v>0.0</v>
      </c>
      <c r="N520" s="1">
        <v>9.300000191</v>
      </c>
    </row>
    <row r="521" ht="15.75" customHeight="1">
      <c r="A521" s="1" t="s">
        <v>164</v>
      </c>
      <c r="B521" s="1" t="s">
        <v>183</v>
      </c>
      <c r="C521" s="5">
        <v>45631.0</v>
      </c>
      <c r="D521" s="1" t="s">
        <v>161</v>
      </c>
      <c r="E521" s="1" t="s">
        <v>11</v>
      </c>
      <c r="F521" s="1" t="s">
        <v>166</v>
      </c>
      <c r="H521" s="1">
        <v>0.0</v>
      </c>
      <c r="I521" s="1">
        <v>0.0</v>
      </c>
      <c r="J521" s="1">
        <v>0.0</v>
      </c>
      <c r="K521" s="1">
        <v>17.0</v>
      </c>
      <c r="L521" s="1">
        <v>24.0</v>
      </c>
      <c r="M521" s="1">
        <v>0.708333333</v>
      </c>
      <c r="N521" s="1">
        <v>9.359999657</v>
      </c>
    </row>
    <row r="522" ht="15.75" customHeight="1">
      <c r="A522" s="1" t="s">
        <v>164</v>
      </c>
      <c r="B522" s="1" t="s">
        <v>68</v>
      </c>
      <c r="C522" s="5">
        <v>45631.0</v>
      </c>
      <c r="D522" s="1" t="s">
        <v>161</v>
      </c>
      <c r="E522" s="1" t="s">
        <v>11</v>
      </c>
      <c r="F522" s="1" t="s">
        <v>165</v>
      </c>
      <c r="H522" s="1">
        <v>0.0</v>
      </c>
      <c r="I522" s="1">
        <v>0.0</v>
      </c>
      <c r="J522" s="1">
        <v>0.0</v>
      </c>
      <c r="K522" s="1">
        <v>3.0</v>
      </c>
      <c r="L522" s="1">
        <v>6.0</v>
      </c>
      <c r="M522" s="1">
        <v>0.5</v>
      </c>
      <c r="N522" s="1">
        <v>8.130000114</v>
      </c>
    </row>
    <row r="523" ht="15.75" customHeight="1">
      <c r="A523" s="1" t="s">
        <v>164</v>
      </c>
      <c r="B523" s="1" t="s">
        <v>74</v>
      </c>
      <c r="C523" s="5">
        <v>45631.0</v>
      </c>
      <c r="D523" s="1" t="s">
        <v>161</v>
      </c>
      <c r="E523" s="1" t="s">
        <v>11</v>
      </c>
      <c r="F523" s="1" t="s">
        <v>166</v>
      </c>
      <c r="H523" s="1">
        <v>0.0</v>
      </c>
      <c r="I523" s="1">
        <v>0.0</v>
      </c>
      <c r="J523" s="1">
        <v>0.0</v>
      </c>
      <c r="K523" s="1">
        <v>0.0</v>
      </c>
      <c r="L523" s="1">
        <v>0.0</v>
      </c>
      <c r="N523" s="1">
        <v>4.949999809</v>
      </c>
    </row>
    <row r="524" ht="15.75" customHeight="1">
      <c r="A524" s="1" t="s">
        <v>164</v>
      </c>
      <c r="B524" s="1" t="s">
        <v>75</v>
      </c>
      <c r="C524" s="5">
        <v>45631.0</v>
      </c>
      <c r="D524" s="1" t="s">
        <v>161</v>
      </c>
      <c r="E524" s="1" t="s">
        <v>11</v>
      </c>
      <c r="F524" s="1" t="s">
        <v>165</v>
      </c>
      <c r="H524" s="1">
        <v>0.0</v>
      </c>
      <c r="I524" s="1">
        <v>0.0</v>
      </c>
      <c r="J524" s="1">
        <v>0.0</v>
      </c>
      <c r="K524" s="1">
        <v>7.0</v>
      </c>
      <c r="L524" s="1">
        <v>11.0</v>
      </c>
      <c r="M524" s="1">
        <v>0.636363636</v>
      </c>
      <c r="N524" s="1">
        <v>10.89000034</v>
      </c>
    </row>
    <row r="525" ht="15.75" customHeight="1">
      <c r="A525" s="1" t="s">
        <v>164</v>
      </c>
      <c r="B525" s="1" t="s">
        <v>100</v>
      </c>
      <c r="C525" s="5">
        <v>45631.0</v>
      </c>
      <c r="D525" s="1" t="s">
        <v>161</v>
      </c>
      <c r="E525" s="1" t="s">
        <v>11</v>
      </c>
      <c r="F525" s="1" t="s">
        <v>171</v>
      </c>
      <c r="H525" s="1">
        <v>0.0</v>
      </c>
      <c r="I525" s="1">
        <v>0.0</v>
      </c>
      <c r="J525" s="1">
        <v>0.0</v>
      </c>
      <c r="K525" s="1">
        <v>1.0</v>
      </c>
      <c r="L525" s="1">
        <v>4.0</v>
      </c>
      <c r="M525" s="1">
        <v>0.25</v>
      </c>
      <c r="N525" s="1">
        <v>7.079999924</v>
      </c>
    </row>
    <row r="526" ht="15.75" customHeight="1">
      <c r="A526" s="1" t="s">
        <v>180</v>
      </c>
      <c r="B526" s="1" t="s">
        <v>208</v>
      </c>
      <c r="C526" s="5">
        <v>45631.0</v>
      </c>
      <c r="D526" s="1" t="s">
        <v>161</v>
      </c>
      <c r="E526" s="1" t="s">
        <v>11</v>
      </c>
      <c r="F526" s="1" t="s">
        <v>171</v>
      </c>
      <c r="H526" s="1">
        <v>0.0</v>
      </c>
      <c r="I526" s="1">
        <v>0.0</v>
      </c>
      <c r="J526" s="1">
        <v>0.0</v>
      </c>
      <c r="K526" s="1">
        <v>0.0</v>
      </c>
      <c r="L526" s="1">
        <v>18.0</v>
      </c>
      <c r="M526" s="1">
        <v>0.0</v>
      </c>
      <c r="N526" s="1">
        <v>61.88999939</v>
      </c>
    </row>
    <row r="527" ht="15.75" customHeight="1">
      <c r="A527" s="1" t="s">
        <v>180</v>
      </c>
      <c r="B527" s="1" t="s">
        <v>203</v>
      </c>
      <c r="C527" s="5">
        <v>45631.0</v>
      </c>
      <c r="D527" s="1" t="s">
        <v>161</v>
      </c>
      <c r="E527" s="1" t="s">
        <v>11</v>
      </c>
      <c r="F527" s="1" t="s">
        <v>171</v>
      </c>
      <c r="H527" s="1">
        <v>0.0</v>
      </c>
      <c r="I527" s="1">
        <v>0.0</v>
      </c>
      <c r="J527" s="1">
        <v>0.0</v>
      </c>
      <c r="K527" s="1">
        <v>0.0</v>
      </c>
      <c r="L527" s="1">
        <v>12.0</v>
      </c>
      <c r="M527" s="1">
        <v>0.0</v>
      </c>
      <c r="N527" s="1">
        <v>49.50999832</v>
      </c>
    </row>
    <row r="528" ht="15.75" customHeight="1">
      <c r="A528" s="1" t="s">
        <v>180</v>
      </c>
      <c r="B528" s="1" t="s">
        <v>209</v>
      </c>
      <c r="C528" s="5">
        <v>45631.0</v>
      </c>
      <c r="D528" s="1" t="s">
        <v>161</v>
      </c>
      <c r="E528" s="1" t="s">
        <v>11</v>
      </c>
      <c r="F528" s="1" t="s">
        <v>171</v>
      </c>
      <c r="H528" s="1">
        <v>0.0</v>
      </c>
      <c r="I528" s="1">
        <v>0.0</v>
      </c>
      <c r="J528" s="1">
        <v>0.0</v>
      </c>
      <c r="K528" s="1">
        <v>0.0</v>
      </c>
      <c r="L528" s="1">
        <v>9.0</v>
      </c>
      <c r="M528" s="1">
        <v>0.0</v>
      </c>
      <c r="N528" s="1">
        <v>55.93999863</v>
      </c>
    </row>
    <row r="529" ht="15.75" customHeight="1">
      <c r="A529" s="1" t="s">
        <v>160</v>
      </c>
      <c r="B529" s="1" t="s">
        <v>18</v>
      </c>
      <c r="C529" s="5">
        <v>45630.0</v>
      </c>
      <c r="D529" s="1" t="s">
        <v>161</v>
      </c>
      <c r="E529" s="1" t="s">
        <v>11</v>
      </c>
      <c r="F529" s="1" t="s">
        <v>162</v>
      </c>
      <c r="H529" s="1">
        <v>0.0</v>
      </c>
      <c r="I529" s="1">
        <v>0.0</v>
      </c>
      <c r="J529" s="1">
        <v>0.0</v>
      </c>
      <c r="K529" s="1">
        <v>1.0</v>
      </c>
      <c r="L529" s="1">
        <v>2.0</v>
      </c>
      <c r="M529" s="1">
        <v>0.5</v>
      </c>
      <c r="N529" s="1">
        <v>0.170000002</v>
      </c>
    </row>
    <row r="530" ht="15.75" customHeight="1">
      <c r="A530" s="1" t="s">
        <v>160</v>
      </c>
      <c r="B530" s="1" t="s">
        <v>39</v>
      </c>
      <c r="C530" s="5">
        <v>45630.0</v>
      </c>
      <c r="D530" s="1" t="s">
        <v>161</v>
      </c>
      <c r="E530" s="1" t="s">
        <v>11</v>
      </c>
      <c r="F530" s="1" t="s">
        <v>162</v>
      </c>
      <c r="H530" s="1">
        <v>0.0</v>
      </c>
      <c r="I530" s="1">
        <v>0.0</v>
      </c>
      <c r="J530" s="1">
        <v>0.0</v>
      </c>
      <c r="K530" s="1">
        <v>5.0</v>
      </c>
      <c r="L530" s="1">
        <v>12.0</v>
      </c>
      <c r="M530" s="1">
        <v>0.416666667</v>
      </c>
      <c r="N530" s="1">
        <v>9.739999771</v>
      </c>
    </row>
    <row r="531" ht="15.75" customHeight="1">
      <c r="A531" s="1" t="s">
        <v>160</v>
      </c>
      <c r="B531" s="1" t="s">
        <v>39</v>
      </c>
      <c r="C531" s="5">
        <v>45630.0</v>
      </c>
      <c r="D531" s="1" t="s">
        <v>161</v>
      </c>
      <c r="E531" s="1" t="s">
        <v>11</v>
      </c>
      <c r="F531" s="1" t="s">
        <v>166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N531" s="1">
        <v>0.0</v>
      </c>
    </row>
    <row r="532" ht="15.75" customHeight="1">
      <c r="A532" s="1" t="s">
        <v>160</v>
      </c>
      <c r="B532" s="1" t="s">
        <v>65</v>
      </c>
      <c r="C532" s="5">
        <v>45630.0</v>
      </c>
      <c r="D532" s="1" t="s">
        <v>161</v>
      </c>
      <c r="E532" s="1" t="s">
        <v>11</v>
      </c>
      <c r="F532" s="1" t="s">
        <v>162</v>
      </c>
      <c r="H532" s="1">
        <v>0.0</v>
      </c>
      <c r="I532" s="1">
        <v>0.0</v>
      </c>
      <c r="J532" s="1">
        <v>0.0</v>
      </c>
      <c r="K532" s="1">
        <v>3.0</v>
      </c>
      <c r="L532" s="1">
        <v>4.0</v>
      </c>
      <c r="M532" s="1">
        <v>0.75</v>
      </c>
      <c r="N532" s="1">
        <v>7.340000153</v>
      </c>
    </row>
    <row r="533" ht="15.75" customHeight="1">
      <c r="A533" s="1" t="s">
        <v>160</v>
      </c>
      <c r="B533" s="1" t="s">
        <v>77</v>
      </c>
      <c r="C533" s="5">
        <v>45630.0</v>
      </c>
      <c r="D533" s="1" t="s">
        <v>161</v>
      </c>
      <c r="E533" s="1" t="s">
        <v>11</v>
      </c>
      <c r="H533" s="1">
        <v>0.0</v>
      </c>
      <c r="J533" s="1">
        <v>0.0</v>
      </c>
      <c r="N533" s="1">
        <v>12.77999973</v>
      </c>
    </row>
    <row r="534" ht="15.75" customHeight="1">
      <c r="A534" s="1" t="s">
        <v>164</v>
      </c>
      <c r="B534" s="1" t="s">
        <v>179</v>
      </c>
      <c r="C534" s="5">
        <v>45630.0</v>
      </c>
      <c r="D534" s="1" t="s">
        <v>161</v>
      </c>
      <c r="E534" s="1" t="s">
        <v>11</v>
      </c>
      <c r="F534" s="1" t="s">
        <v>166</v>
      </c>
      <c r="H534" s="1">
        <v>0.0</v>
      </c>
      <c r="I534" s="1">
        <v>0.0</v>
      </c>
      <c r="J534" s="1">
        <v>0.0</v>
      </c>
      <c r="K534" s="1">
        <v>7.0</v>
      </c>
      <c r="L534" s="1">
        <v>14.0</v>
      </c>
      <c r="M534" s="1">
        <v>0.5</v>
      </c>
      <c r="N534" s="1">
        <v>13.07999992</v>
      </c>
    </row>
    <row r="535" ht="15.75" customHeight="1">
      <c r="A535" s="1" t="s">
        <v>164</v>
      </c>
      <c r="B535" s="1" t="s">
        <v>60</v>
      </c>
      <c r="C535" s="5">
        <v>45630.0</v>
      </c>
      <c r="D535" s="1" t="s">
        <v>161</v>
      </c>
      <c r="E535" s="1" t="s">
        <v>11</v>
      </c>
      <c r="F535" s="1" t="s">
        <v>166</v>
      </c>
      <c r="H535" s="1">
        <v>0.0</v>
      </c>
      <c r="I535" s="1">
        <v>0.0</v>
      </c>
      <c r="J535" s="1">
        <v>0.0</v>
      </c>
      <c r="K535" s="1">
        <v>1.0</v>
      </c>
      <c r="L535" s="1">
        <v>1.0</v>
      </c>
      <c r="M535" s="1">
        <v>1.0</v>
      </c>
      <c r="N535" s="1">
        <v>6.409999847</v>
      </c>
    </row>
    <row r="536" ht="15.75" customHeight="1">
      <c r="A536" s="1" t="s">
        <v>164</v>
      </c>
      <c r="B536" s="1" t="s">
        <v>63</v>
      </c>
      <c r="C536" s="5">
        <v>45630.0</v>
      </c>
      <c r="D536" s="1" t="s">
        <v>161</v>
      </c>
      <c r="E536" s="1" t="s">
        <v>11</v>
      </c>
      <c r="F536" s="1" t="s">
        <v>166</v>
      </c>
      <c r="H536" s="1">
        <v>0.0</v>
      </c>
      <c r="I536" s="1">
        <v>0.0</v>
      </c>
      <c r="J536" s="1">
        <v>0.0</v>
      </c>
      <c r="K536" s="1">
        <v>2.0</v>
      </c>
      <c r="L536" s="1">
        <v>6.0</v>
      </c>
      <c r="M536" s="1">
        <v>0.333333333</v>
      </c>
      <c r="N536" s="1">
        <v>7.329999924</v>
      </c>
    </row>
    <row r="537" ht="15.75" customHeight="1">
      <c r="A537" s="1" t="s">
        <v>164</v>
      </c>
      <c r="B537" s="1" t="s">
        <v>183</v>
      </c>
      <c r="C537" s="5">
        <v>45630.0</v>
      </c>
      <c r="D537" s="1" t="s">
        <v>161</v>
      </c>
      <c r="E537" s="1" t="s">
        <v>11</v>
      </c>
      <c r="F537" s="1" t="s">
        <v>166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N537" s="1">
        <v>0.629999995</v>
      </c>
    </row>
    <row r="538" ht="15.75" customHeight="1">
      <c r="A538" s="1" t="s">
        <v>164</v>
      </c>
      <c r="B538" s="1" t="s">
        <v>68</v>
      </c>
      <c r="C538" s="5">
        <v>45630.0</v>
      </c>
      <c r="D538" s="1" t="s">
        <v>161</v>
      </c>
      <c r="E538" s="1" t="s">
        <v>11</v>
      </c>
      <c r="F538" s="1" t="s">
        <v>165</v>
      </c>
      <c r="H538" s="1">
        <v>0.0</v>
      </c>
      <c r="I538" s="1">
        <v>0.0</v>
      </c>
      <c r="J538" s="1">
        <v>0.0</v>
      </c>
      <c r="K538" s="1">
        <v>4.0</v>
      </c>
      <c r="L538" s="1">
        <v>8.0</v>
      </c>
      <c r="M538" s="1">
        <v>0.5</v>
      </c>
      <c r="N538" s="1">
        <v>7.940000057</v>
      </c>
    </row>
    <row r="539" ht="15.75" customHeight="1">
      <c r="A539" s="1" t="s">
        <v>164</v>
      </c>
      <c r="B539" s="1" t="s">
        <v>74</v>
      </c>
      <c r="C539" s="5">
        <v>45630.0</v>
      </c>
      <c r="D539" s="1" t="s">
        <v>161</v>
      </c>
      <c r="E539" s="1" t="s">
        <v>11</v>
      </c>
      <c r="F539" s="1" t="s">
        <v>166</v>
      </c>
      <c r="H539" s="1">
        <v>0.0</v>
      </c>
      <c r="I539" s="1">
        <v>0.0</v>
      </c>
      <c r="J539" s="1">
        <v>0.0</v>
      </c>
      <c r="K539" s="1">
        <v>0.0</v>
      </c>
      <c r="L539" s="1">
        <v>0.0</v>
      </c>
      <c r="N539" s="1">
        <v>0.0</v>
      </c>
    </row>
    <row r="540" ht="15.75" customHeight="1">
      <c r="A540" s="1" t="s">
        <v>164</v>
      </c>
      <c r="B540" s="1" t="s">
        <v>74</v>
      </c>
      <c r="C540" s="5">
        <v>45630.0</v>
      </c>
      <c r="D540" s="1" t="s">
        <v>161</v>
      </c>
      <c r="E540" s="1" t="s">
        <v>11</v>
      </c>
      <c r="F540" s="1" t="s">
        <v>169</v>
      </c>
      <c r="H540" s="1">
        <v>0.0</v>
      </c>
      <c r="I540" s="1">
        <v>0.0</v>
      </c>
      <c r="J540" s="1">
        <v>0.0</v>
      </c>
      <c r="K540" s="1">
        <v>2.0</v>
      </c>
      <c r="L540" s="1">
        <v>3.0</v>
      </c>
      <c r="M540" s="1">
        <v>0.666666667</v>
      </c>
      <c r="N540" s="1">
        <v>7.78000021</v>
      </c>
    </row>
    <row r="541" ht="15.75" customHeight="1">
      <c r="A541" s="1" t="s">
        <v>164</v>
      </c>
      <c r="B541" s="1" t="s">
        <v>75</v>
      </c>
      <c r="C541" s="5">
        <v>45630.0</v>
      </c>
      <c r="D541" s="1" t="s">
        <v>161</v>
      </c>
      <c r="E541" s="1" t="s">
        <v>11</v>
      </c>
      <c r="F541" s="1" t="s">
        <v>165</v>
      </c>
      <c r="H541" s="1">
        <v>0.0</v>
      </c>
      <c r="I541" s="1">
        <v>0.0</v>
      </c>
      <c r="J541" s="1">
        <v>0.0</v>
      </c>
      <c r="K541" s="1">
        <v>6.0</v>
      </c>
      <c r="L541" s="1">
        <v>15.0</v>
      </c>
      <c r="M541" s="1">
        <v>0.4</v>
      </c>
      <c r="N541" s="1">
        <v>11.10999966</v>
      </c>
    </row>
    <row r="542" ht="15.75" customHeight="1">
      <c r="A542" s="1" t="s">
        <v>164</v>
      </c>
      <c r="B542" s="1" t="s">
        <v>82</v>
      </c>
      <c r="C542" s="5">
        <v>45630.0</v>
      </c>
      <c r="D542" s="1" t="s">
        <v>161</v>
      </c>
      <c r="E542" s="1" t="s">
        <v>11</v>
      </c>
      <c r="F542" s="1" t="s">
        <v>165</v>
      </c>
      <c r="H542" s="1">
        <v>0.0</v>
      </c>
      <c r="I542" s="1">
        <v>0.0</v>
      </c>
      <c r="J542" s="1">
        <v>0.0</v>
      </c>
      <c r="K542" s="1">
        <v>1.0</v>
      </c>
      <c r="L542" s="1">
        <v>14.0</v>
      </c>
      <c r="M542" s="1">
        <v>0.071428571</v>
      </c>
      <c r="N542" s="1">
        <v>13.97000027</v>
      </c>
    </row>
    <row r="543" ht="15.75" customHeight="1">
      <c r="A543" s="1" t="s">
        <v>160</v>
      </c>
      <c r="B543" s="1" t="s">
        <v>39</v>
      </c>
      <c r="C543" s="5">
        <v>45629.0</v>
      </c>
      <c r="D543" s="1" t="s">
        <v>161</v>
      </c>
      <c r="E543" s="1" t="s">
        <v>11</v>
      </c>
      <c r="F543" s="1" t="s">
        <v>162</v>
      </c>
      <c r="H543" s="1">
        <v>0.0</v>
      </c>
      <c r="I543" s="1">
        <v>0.0</v>
      </c>
      <c r="J543" s="1">
        <v>0.0</v>
      </c>
      <c r="K543" s="1">
        <v>7.0</v>
      </c>
      <c r="L543" s="1">
        <v>10.0</v>
      </c>
      <c r="M543" s="1">
        <v>0.7</v>
      </c>
      <c r="N543" s="1">
        <v>13.26000023</v>
      </c>
    </row>
    <row r="544" ht="15.75" customHeight="1">
      <c r="A544" s="1" t="s">
        <v>160</v>
      </c>
      <c r="B544" s="1" t="s">
        <v>39</v>
      </c>
      <c r="C544" s="5">
        <v>45629.0</v>
      </c>
      <c r="D544" s="1" t="s">
        <v>161</v>
      </c>
      <c r="E544" s="1" t="s">
        <v>11</v>
      </c>
      <c r="F544" s="1" t="s">
        <v>166</v>
      </c>
      <c r="H544" s="1">
        <v>0.0</v>
      </c>
      <c r="I544" s="1">
        <v>0.0</v>
      </c>
      <c r="J544" s="1">
        <v>0.0</v>
      </c>
      <c r="K544" s="1">
        <v>0.0</v>
      </c>
      <c r="L544" s="1">
        <v>0.0</v>
      </c>
      <c r="N544" s="1">
        <v>0.0</v>
      </c>
    </row>
    <row r="545" ht="15.75" customHeight="1">
      <c r="A545" s="1" t="s">
        <v>160</v>
      </c>
      <c r="B545" s="1" t="s">
        <v>65</v>
      </c>
      <c r="C545" s="5">
        <v>45629.0</v>
      </c>
      <c r="D545" s="1" t="s">
        <v>161</v>
      </c>
      <c r="E545" s="1" t="s">
        <v>11</v>
      </c>
      <c r="F545" s="1" t="s">
        <v>162</v>
      </c>
      <c r="H545" s="1">
        <v>0.0</v>
      </c>
      <c r="I545" s="1">
        <v>0.0</v>
      </c>
      <c r="J545" s="1">
        <v>0.0</v>
      </c>
      <c r="K545" s="1">
        <v>2.0</v>
      </c>
      <c r="L545" s="1">
        <v>2.0</v>
      </c>
      <c r="M545" s="1">
        <v>1.0</v>
      </c>
      <c r="N545" s="1">
        <v>11.26000023</v>
      </c>
    </row>
    <row r="546" ht="15.75" customHeight="1">
      <c r="A546" s="1" t="s">
        <v>160</v>
      </c>
      <c r="B546" s="1" t="s">
        <v>77</v>
      </c>
      <c r="C546" s="5">
        <v>45629.0</v>
      </c>
      <c r="D546" s="1" t="s">
        <v>161</v>
      </c>
      <c r="E546" s="1" t="s">
        <v>11</v>
      </c>
      <c r="F546" s="1" t="s">
        <v>162</v>
      </c>
      <c r="H546" s="1">
        <v>0.0</v>
      </c>
      <c r="I546" s="1">
        <v>0.0</v>
      </c>
      <c r="J546" s="1">
        <v>0.0</v>
      </c>
      <c r="K546" s="1">
        <v>0.0</v>
      </c>
      <c r="L546" s="1">
        <v>3.0</v>
      </c>
      <c r="M546" s="1">
        <v>0.0</v>
      </c>
      <c r="N546" s="1">
        <v>10.68000031</v>
      </c>
    </row>
    <row r="547" ht="15.75" customHeight="1">
      <c r="A547" s="1" t="s">
        <v>160</v>
      </c>
      <c r="B547" s="1" t="s">
        <v>93</v>
      </c>
      <c r="C547" s="5">
        <v>45629.0</v>
      </c>
      <c r="D547" s="1" t="s">
        <v>161</v>
      </c>
      <c r="E547" s="1" t="s">
        <v>11</v>
      </c>
      <c r="F547" s="1" t="s">
        <v>165</v>
      </c>
      <c r="H547" s="1">
        <v>0.0</v>
      </c>
      <c r="I547" s="1">
        <v>0.0</v>
      </c>
      <c r="J547" s="1">
        <v>0.0</v>
      </c>
      <c r="K547" s="1">
        <v>6.0</v>
      </c>
      <c r="L547" s="1">
        <v>7.0</v>
      </c>
      <c r="M547" s="1">
        <v>0.857142857</v>
      </c>
      <c r="N547" s="1">
        <v>0.0</v>
      </c>
    </row>
    <row r="548" ht="15.75" customHeight="1">
      <c r="A548" s="1" t="s">
        <v>160</v>
      </c>
      <c r="B548" s="1" t="s">
        <v>93</v>
      </c>
      <c r="C548" s="5">
        <v>45629.0</v>
      </c>
      <c r="D548" s="1" t="s">
        <v>161</v>
      </c>
      <c r="E548" s="1" t="s">
        <v>11</v>
      </c>
      <c r="F548" s="1" t="s">
        <v>177</v>
      </c>
      <c r="H548" s="1">
        <v>0.0</v>
      </c>
      <c r="I548" s="1">
        <v>0.0</v>
      </c>
      <c r="J548" s="1">
        <v>0.0</v>
      </c>
      <c r="K548" s="1">
        <v>0.0</v>
      </c>
      <c r="L548" s="1">
        <v>0.0</v>
      </c>
      <c r="N548" s="1">
        <v>0.0</v>
      </c>
    </row>
    <row r="549" ht="15.75" customHeight="1">
      <c r="A549" s="1" t="s">
        <v>160</v>
      </c>
      <c r="B549" s="1" t="s">
        <v>93</v>
      </c>
      <c r="C549" s="5">
        <v>45629.0</v>
      </c>
      <c r="D549" s="1" t="s">
        <v>161</v>
      </c>
      <c r="E549" s="1" t="s">
        <v>11</v>
      </c>
      <c r="F549" s="1" t="s">
        <v>166</v>
      </c>
      <c r="H549" s="1">
        <v>0.0</v>
      </c>
      <c r="I549" s="1">
        <v>0.0</v>
      </c>
      <c r="J549" s="1">
        <v>0.0</v>
      </c>
      <c r="K549" s="1">
        <v>3.0</v>
      </c>
      <c r="L549" s="1">
        <v>8.0</v>
      </c>
      <c r="M549" s="1">
        <v>0.375</v>
      </c>
      <c r="N549" s="1">
        <v>24.20000076</v>
      </c>
    </row>
    <row r="550" ht="15.75" customHeight="1">
      <c r="A550" s="1" t="s">
        <v>164</v>
      </c>
      <c r="B550" s="1" t="s">
        <v>24</v>
      </c>
      <c r="C550" s="5">
        <v>45629.0</v>
      </c>
      <c r="D550" s="1" t="s">
        <v>161</v>
      </c>
      <c r="E550" s="1" t="s">
        <v>11</v>
      </c>
      <c r="H550" s="1">
        <v>0.0</v>
      </c>
      <c r="J550" s="1">
        <v>0.0</v>
      </c>
      <c r="N550" s="1">
        <v>2.079999924</v>
      </c>
    </row>
    <row r="551" ht="15.75" customHeight="1">
      <c r="A551" s="1" t="s">
        <v>164</v>
      </c>
      <c r="B551" s="1" t="s">
        <v>60</v>
      </c>
      <c r="C551" s="5">
        <v>45629.0</v>
      </c>
      <c r="D551" s="1" t="s">
        <v>161</v>
      </c>
      <c r="E551" s="1" t="s">
        <v>11</v>
      </c>
      <c r="F551" s="1" t="s">
        <v>166</v>
      </c>
      <c r="H551" s="1">
        <v>0.0</v>
      </c>
      <c r="I551" s="1">
        <v>0.0</v>
      </c>
      <c r="J551" s="1">
        <v>0.0</v>
      </c>
      <c r="K551" s="1">
        <v>6.0</v>
      </c>
      <c r="L551" s="1">
        <v>8.0</v>
      </c>
      <c r="M551" s="1">
        <v>0.75</v>
      </c>
      <c r="N551" s="1">
        <v>11.97000027</v>
      </c>
    </row>
    <row r="552" ht="15.75" customHeight="1">
      <c r="A552" s="1" t="s">
        <v>164</v>
      </c>
      <c r="B552" s="1" t="s">
        <v>63</v>
      </c>
      <c r="C552" s="5">
        <v>45629.0</v>
      </c>
      <c r="D552" s="1" t="s">
        <v>161</v>
      </c>
      <c r="E552" s="1" t="s">
        <v>11</v>
      </c>
      <c r="F552" s="1" t="s">
        <v>166</v>
      </c>
      <c r="H552" s="1">
        <v>0.0</v>
      </c>
      <c r="I552" s="1">
        <v>0.0</v>
      </c>
      <c r="J552" s="1">
        <v>0.0</v>
      </c>
      <c r="K552" s="1">
        <v>2.0</v>
      </c>
      <c r="L552" s="1">
        <v>6.0</v>
      </c>
      <c r="M552" s="1">
        <v>0.333333333</v>
      </c>
      <c r="N552" s="1">
        <v>12.93000031</v>
      </c>
    </row>
    <row r="553" ht="15.75" customHeight="1">
      <c r="A553" s="1" t="s">
        <v>164</v>
      </c>
      <c r="B553" s="1" t="s">
        <v>183</v>
      </c>
      <c r="C553" s="5">
        <v>45629.0</v>
      </c>
      <c r="D553" s="1" t="s">
        <v>161</v>
      </c>
      <c r="E553" s="1" t="s">
        <v>11</v>
      </c>
      <c r="F553" s="1" t="s">
        <v>166</v>
      </c>
      <c r="H553" s="1">
        <v>0.0</v>
      </c>
      <c r="I553" s="1">
        <v>0.0</v>
      </c>
      <c r="J553" s="1">
        <v>0.0</v>
      </c>
      <c r="K553" s="1">
        <v>2.0</v>
      </c>
      <c r="L553" s="1">
        <v>3.0</v>
      </c>
      <c r="M553" s="1">
        <v>0.666666667</v>
      </c>
      <c r="N553" s="1">
        <v>3.5599999430000002</v>
      </c>
    </row>
    <row r="554" ht="15.75" customHeight="1">
      <c r="A554" s="1" t="s">
        <v>164</v>
      </c>
      <c r="B554" s="1" t="s">
        <v>68</v>
      </c>
      <c r="C554" s="5">
        <v>45629.0</v>
      </c>
      <c r="D554" s="1" t="s">
        <v>161</v>
      </c>
      <c r="E554" s="1" t="s">
        <v>11</v>
      </c>
      <c r="F554" s="1" t="s">
        <v>165</v>
      </c>
      <c r="H554" s="1">
        <v>0.0</v>
      </c>
      <c r="I554" s="1">
        <v>0.0</v>
      </c>
      <c r="J554" s="1">
        <v>0.0</v>
      </c>
      <c r="K554" s="1">
        <v>5.0</v>
      </c>
      <c r="L554" s="1">
        <v>12.0</v>
      </c>
      <c r="M554" s="1">
        <v>0.416666667</v>
      </c>
      <c r="N554" s="1">
        <v>8.5</v>
      </c>
    </row>
    <row r="555" ht="15.75" customHeight="1">
      <c r="A555" s="1" t="s">
        <v>164</v>
      </c>
      <c r="B555" s="1" t="s">
        <v>74</v>
      </c>
      <c r="C555" s="5">
        <v>45629.0</v>
      </c>
      <c r="D555" s="1" t="s">
        <v>161</v>
      </c>
      <c r="E555" s="1" t="s">
        <v>11</v>
      </c>
      <c r="F555" s="1" t="s">
        <v>166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N555" s="1">
        <v>3.400000095</v>
      </c>
    </row>
    <row r="556" ht="15.75" customHeight="1">
      <c r="A556" s="1" t="s">
        <v>164</v>
      </c>
      <c r="B556" s="1" t="s">
        <v>75</v>
      </c>
      <c r="C556" s="5">
        <v>45629.0</v>
      </c>
      <c r="D556" s="1" t="s">
        <v>161</v>
      </c>
      <c r="E556" s="1" t="s">
        <v>11</v>
      </c>
      <c r="F556" s="1" t="s">
        <v>165</v>
      </c>
      <c r="H556" s="1">
        <v>0.0</v>
      </c>
      <c r="I556" s="1">
        <v>0.0</v>
      </c>
      <c r="J556" s="1">
        <v>0.0</v>
      </c>
      <c r="K556" s="1">
        <v>6.0</v>
      </c>
      <c r="L556" s="1">
        <v>15.0</v>
      </c>
      <c r="M556" s="1">
        <v>0.4</v>
      </c>
      <c r="N556" s="1">
        <v>9.760000229</v>
      </c>
    </row>
    <row r="557" ht="15.75" customHeight="1">
      <c r="A557" s="1" t="s">
        <v>164</v>
      </c>
      <c r="B557" s="1" t="s">
        <v>100</v>
      </c>
      <c r="C557" s="5">
        <v>45629.0</v>
      </c>
      <c r="D557" s="1" t="s">
        <v>161</v>
      </c>
      <c r="E557" s="1" t="s">
        <v>11</v>
      </c>
      <c r="F557" s="1" t="s">
        <v>171</v>
      </c>
      <c r="H557" s="1">
        <v>0.0</v>
      </c>
      <c r="I557" s="1">
        <v>0.0</v>
      </c>
      <c r="J557" s="1">
        <v>0.0</v>
      </c>
      <c r="K557" s="1">
        <v>0.0</v>
      </c>
      <c r="L557" s="1">
        <v>5.0</v>
      </c>
      <c r="M557" s="1">
        <v>0.0</v>
      </c>
      <c r="N557" s="1">
        <v>6.550000191</v>
      </c>
    </row>
    <row r="558" ht="15.75" customHeight="1">
      <c r="A558" s="1" t="s">
        <v>160</v>
      </c>
      <c r="B558" s="1" t="s">
        <v>18</v>
      </c>
      <c r="C558" s="5">
        <v>45628.0</v>
      </c>
      <c r="D558" s="1" t="s">
        <v>161</v>
      </c>
      <c r="E558" s="1" t="s">
        <v>11</v>
      </c>
      <c r="F558" s="1" t="s">
        <v>162</v>
      </c>
      <c r="H558" s="1">
        <v>0.0</v>
      </c>
      <c r="I558" s="1">
        <v>0.0</v>
      </c>
      <c r="J558" s="1">
        <v>0.0</v>
      </c>
      <c r="K558" s="1">
        <v>2.0</v>
      </c>
      <c r="L558" s="1">
        <v>11.0</v>
      </c>
      <c r="M558" s="1">
        <v>0.181818182</v>
      </c>
      <c r="N558" s="1">
        <v>11.31999969</v>
      </c>
    </row>
    <row r="559" ht="15.75" customHeight="1">
      <c r="A559" s="1" t="s">
        <v>160</v>
      </c>
      <c r="B559" s="1" t="s">
        <v>39</v>
      </c>
      <c r="C559" s="5">
        <v>45628.0</v>
      </c>
      <c r="D559" s="1" t="s">
        <v>161</v>
      </c>
      <c r="E559" s="1" t="s">
        <v>11</v>
      </c>
      <c r="F559" s="1" t="s">
        <v>162</v>
      </c>
      <c r="H559" s="1">
        <v>0.0</v>
      </c>
      <c r="I559" s="1">
        <v>1.0</v>
      </c>
      <c r="J559" s="1">
        <v>0.0</v>
      </c>
      <c r="K559" s="1">
        <v>16.0</v>
      </c>
      <c r="L559" s="1">
        <v>22.0</v>
      </c>
      <c r="M559" s="1">
        <v>0.727272727</v>
      </c>
      <c r="N559" s="1">
        <v>10.10999966</v>
      </c>
    </row>
    <row r="560" ht="15.75" customHeight="1">
      <c r="A560" s="1" t="s">
        <v>160</v>
      </c>
      <c r="B560" s="1" t="s">
        <v>65</v>
      </c>
      <c r="C560" s="5">
        <v>45628.0</v>
      </c>
      <c r="D560" s="1" t="s">
        <v>161</v>
      </c>
      <c r="E560" s="1" t="s">
        <v>11</v>
      </c>
      <c r="H560" s="1">
        <v>0.0</v>
      </c>
      <c r="J560" s="1">
        <v>0.0</v>
      </c>
      <c r="N560" s="1">
        <v>1.850000024</v>
      </c>
    </row>
    <row r="561" ht="15.75" customHeight="1">
      <c r="A561" s="1" t="s">
        <v>160</v>
      </c>
      <c r="B561" s="1" t="s">
        <v>77</v>
      </c>
      <c r="C561" s="5">
        <v>45628.0</v>
      </c>
      <c r="D561" s="1" t="s">
        <v>161</v>
      </c>
      <c r="E561" s="1" t="s">
        <v>11</v>
      </c>
      <c r="F561" s="1" t="s">
        <v>162</v>
      </c>
      <c r="H561" s="1">
        <v>0.0</v>
      </c>
      <c r="I561" s="1">
        <v>0.0</v>
      </c>
      <c r="J561" s="1">
        <v>0.0</v>
      </c>
      <c r="K561" s="1">
        <v>11.0</v>
      </c>
      <c r="L561" s="1">
        <v>25.0</v>
      </c>
      <c r="M561" s="1">
        <v>0.44</v>
      </c>
      <c r="N561" s="1">
        <v>30.67000008</v>
      </c>
    </row>
    <row r="562" ht="15.75" customHeight="1">
      <c r="A562" s="1" t="s">
        <v>160</v>
      </c>
      <c r="B562" s="1" t="s">
        <v>93</v>
      </c>
      <c r="C562" s="5">
        <v>45628.0</v>
      </c>
      <c r="D562" s="1" t="s">
        <v>161</v>
      </c>
      <c r="E562" s="1" t="s">
        <v>11</v>
      </c>
      <c r="F562" s="1" t="s">
        <v>166</v>
      </c>
      <c r="H562" s="1">
        <v>0.0</v>
      </c>
      <c r="I562" s="1">
        <v>0.0</v>
      </c>
      <c r="J562" s="1">
        <v>0.0</v>
      </c>
      <c r="K562" s="1">
        <v>11.0</v>
      </c>
      <c r="L562" s="1">
        <v>17.0</v>
      </c>
      <c r="M562" s="1">
        <v>0.647058824</v>
      </c>
      <c r="N562" s="1">
        <v>30.62999916</v>
      </c>
    </row>
    <row r="563" ht="15.75" customHeight="1">
      <c r="A563" s="1" t="s">
        <v>164</v>
      </c>
      <c r="B563" s="1" t="s">
        <v>52</v>
      </c>
      <c r="C563" s="5">
        <v>45628.0</v>
      </c>
      <c r="D563" s="1" t="s">
        <v>161</v>
      </c>
      <c r="E563" s="1" t="s">
        <v>11</v>
      </c>
      <c r="F563" s="1" t="s">
        <v>165</v>
      </c>
      <c r="H563" s="1">
        <v>0.0</v>
      </c>
      <c r="I563" s="1">
        <v>0.0</v>
      </c>
      <c r="J563" s="1">
        <v>0.0</v>
      </c>
      <c r="K563" s="1">
        <v>6.0</v>
      </c>
      <c r="L563" s="1">
        <v>8.0</v>
      </c>
      <c r="M563" s="1">
        <v>0.75</v>
      </c>
      <c r="N563" s="1">
        <v>10.81999969</v>
      </c>
    </row>
    <row r="564" ht="15.75" customHeight="1">
      <c r="A564" s="1" t="s">
        <v>164</v>
      </c>
      <c r="B564" s="1" t="s">
        <v>179</v>
      </c>
      <c r="C564" s="5">
        <v>45628.0</v>
      </c>
      <c r="D564" s="1" t="s">
        <v>161</v>
      </c>
      <c r="E564" s="1" t="s">
        <v>11</v>
      </c>
      <c r="F564" s="1" t="s">
        <v>166</v>
      </c>
      <c r="H564" s="1">
        <v>0.0</v>
      </c>
      <c r="I564" s="1">
        <v>0.0</v>
      </c>
      <c r="J564" s="1">
        <v>0.0</v>
      </c>
      <c r="K564" s="1">
        <v>5.0</v>
      </c>
      <c r="L564" s="1">
        <v>7.0</v>
      </c>
      <c r="M564" s="1">
        <v>0.714285714</v>
      </c>
      <c r="N564" s="1">
        <v>11.89000034</v>
      </c>
    </row>
    <row r="565" ht="15.75" customHeight="1">
      <c r="A565" s="1" t="s">
        <v>164</v>
      </c>
      <c r="B565" s="1" t="s">
        <v>63</v>
      </c>
      <c r="C565" s="5">
        <v>45628.0</v>
      </c>
      <c r="D565" s="1" t="s">
        <v>161</v>
      </c>
      <c r="E565" s="1" t="s">
        <v>11</v>
      </c>
      <c r="F565" s="1" t="s">
        <v>166</v>
      </c>
      <c r="H565" s="1">
        <v>0.0</v>
      </c>
      <c r="I565" s="1">
        <v>0.0</v>
      </c>
      <c r="J565" s="1">
        <v>0.0</v>
      </c>
      <c r="K565" s="1">
        <v>0.0</v>
      </c>
      <c r="L565" s="1">
        <v>3.0</v>
      </c>
      <c r="M565" s="1">
        <v>0.0</v>
      </c>
      <c r="N565" s="1">
        <v>6.849999905</v>
      </c>
    </row>
    <row r="566" ht="15.75" customHeight="1">
      <c r="A566" s="1" t="s">
        <v>164</v>
      </c>
      <c r="B566" s="1" t="s">
        <v>68</v>
      </c>
      <c r="C566" s="5">
        <v>45628.0</v>
      </c>
      <c r="D566" s="1" t="s">
        <v>161</v>
      </c>
      <c r="E566" s="1" t="s">
        <v>11</v>
      </c>
      <c r="F566" s="1" t="s">
        <v>165</v>
      </c>
      <c r="H566" s="1">
        <v>0.0</v>
      </c>
      <c r="I566" s="1">
        <v>0.0</v>
      </c>
      <c r="J566" s="1">
        <v>0.0</v>
      </c>
      <c r="K566" s="1">
        <v>4.0</v>
      </c>
      <c r="L566" s="1">
        <v>9.0</v>
      </c>
      <c r="M566" s="1">
        <v>0.444444444</v>
      </c>
      <c r="N566" s="1">
        <v>9.760000229</v>
      </c>
    </row>
    <row r="567" ht="15.75" customHeight="1">
      <c r="A567" s="1" t="s">
        <v>164</v>
      </c>
      <c r="B567" s="1" t="s">
        <v>74</v>
      </c>
      <c r="C567" s="5">
        <v>45628.0</v>
      </c>
      <c r="D567" s="1" t="s">
        <v>161</v>
      </c>
      <c r="E567" s="1" t="s">
        <v>11</v>
      </c>
      <c r="F567" s="1" t="s">
        <v>166</v>
      </c>
      <c r="H567" s="1">
        <v>0.0</v>
      </c>
      <c r="I567" s="1">
        <v>0.0</v>
      </c>
      <c r="J567" s="1">
        <v>0.0</v>
      </c>
      <c r="K567" s="1">
        <v>2.0</v>
      </c>
      <c r="L567" s="1">
        <v>5.0</v>
      </c>
      <c r="M567" s="1">
        <v>0.4</v>
      </c>
      <c r="N567" s="1">
        <v>4.900000095</v>
      </c>
    </row>
    <row r="568" ht="15.75" customHeight="1">
      <c r="A568" s="1" t="s">
        <v>164</v>
      </c>
      <c r="B568" s="1" t="s">
        <v>75</v>
      </c>
      <c r="C568" s="5">
        <v>45628.0</v>
      </c>
      <c r="D568" s="1" t="s">
        <v>161</v>
      </c>
      <c r="E568" s="1" t="s">
        <v>11</v>
      </c>
      <c r="F568" s="1" t="s">
        <v>165</v>
      </c>
      <c r="H568" s="1">
        <v>0.0</v>
      </c>
      <c r="I568" s="1">
        <v>0.0</v>
      </c>
      <c r="J568" s="1">
        <v>0.0</v>
      </c>
      <c r="K568" s="1">
        <v>4.0</v>
      </c>
      <c r="L568" s="1">
        <v>5.0</v>
      </c>
      <c r="M568" s="1">
        <v>0.8</v>
      </c>
      <c r="N568" s="1">
        <v>6.539999962</v>
      </c>
    </row>
    <row r="569" ht="15.75" customHeight="1">
      <c r="A569" s="1" t="s">
        <v>164</v>
      </c>
      <c r="B569" s="1" t="s">
        <v>100</v>
      </c>
      <c r="C569" s="5">
        <v>45628.0</v>
      </c>
      <c r="D569" s="1" t="s">
        <v>161</v>
      </c>
      <c r="E569" s="1" t="s">
        <v>11</v>
      </c>
      <c r="F569" s="1" t="s">
        <v>171</v>
      </c>
      <c r="H569" s="1">
        <v>0.0</v>
      </c>
      <c r="I569" s="1">
        <v>0.0</v>
      </c>
      <c r="J569" s="1">
        <v>0.0</v>
      </c>
      <c r="K569" s="1">
        <v>0.0</v>
      </c>
      <c r="L569" s="1">
        <v>1.0</v>
      </c>
      <c r="M569" s="1">
        <v>0.0</v>
      </c>
      <c r="N569" s="1">
        <v>1.389999986</v>
      </c>
    </row>
    <row r="570" ht="15.75" customHeight="1">
      <c r="A570" s="1" t="s">
        <v>164</v>
      </c>
      <c r="B570" s="1" t="s">
        <v>82</v>
      </c>
      <c r="C570" s="5">
        <v>45628.0</v>
      </c>
      <c r="D570" s="1" t="s">
        <v>161</v>
      </c>
      <c r="E570" s="1" t="s">
        <v>11</v>
      </c>
      <c r="F570" s="1" t="s">
        <v>165</v>
      </c>
      <c r="H570" s="1">
        <v>0.0</v>
      </c>
      <c r="I570" s="1">
        <v>0.0</v>
      </c>
      <c r="J570" s="1">
        <v>0.0</v>
      </c>
      <c r="K570" s="1">
        <v>0.0</v>
      </c>
      <c r="L570" s="1">
        <v>4.0</v>
      </c>
      <c r="M570" s="1">
        <v>0.0</v>
      </c>
      <c r="N570" s="1">
        <v>9.390000343</v>
      </c>
    </row>
    <row r="571" ht="15.75" customHeight="1">
      <c r="A571" s="1" t="s">
        <v>164</v>
      </c>
      <c r="B571" s="1" t="s">
        <v>52</v>
      </c>
      <c r="C571" s="5">
        <v>45622.0</v>
      </c>
      <c r="D571" s="1" t="s">
        <v>161</v>
      </c>
      <c r="E571" s="1" t="s">
        <v>11</v>
      </c>
      <c r="H571" s="1">
        <v>0.0</v>
      </c>
      <c r="J571" s="1">
        <v>0.0</v>
      </c>
      <c r="N571" s="1">
        <v>0.560000002</v>
      </c>
    </row>
    <row r="572" ht="15.75" customHeight="1">
      <c r="A572" s="1" t="s">
        <v>164</v>
      </c>
      <c r="B572" s="1" t="s">
        <v>52</v>
      </c>
      <c r="C572" s="5">
        <v>45620.0</v>
      </c>
      <c r="D572" s="1" t="s">
        <v>161</v>
      </c>
      <c r="E572" s="1" t="s">
        <v>11</v>
      </c>
      <c r="F572" s="1" t="s">
        <v>165</v>
      </c>
      <c r="H572" s="1">
        <v>0.0</v>
      </c>
      <c r="I572" s="1">
        <v>0.0</v>
      </c>
      <c r="J572" s="1">
        <v>0.0</v>
      </c>
      <c r="K572" s="1">
        <v>0.0</v>
      </c>
      <c r="L572" s="1">
        <v>1.0</v>
      </c>
      <c r="M572" s="1">
        <v>0.0</v>
      </c>
      <c r="N572" s="1">
        <v>1.210000038</v>
      </c>
    </row>
    <row r="573" ht="15.75" customHeight="1">
      <c r="A573" s="1" t="s">
        <v>160</v>
      </c>
      <c r="B573" s="1" t="s">
        <v>90</v>
      </c>
      <c r="C573" s="5">
        <v>45619.0</v>
      </c>
      <c r="D573" s="1" t="s">
        <v>161</v>
      </c>
      <c r="E573" s="1" t="s">
        <v>11</v>
      </c>
      <c r="F573" s="1" t="s">
        <v>165</v>
      </c>
      <c r="H573" s="1">
        <v>0.0</v>
      </c>
      <c r="I573" s="1">
        <v>0.0</v>
      </c>
      <c r="J573" s="1">
        <v>0.0</v>
      </c>
      <c r="K573" s="1">
        <v>0.0</v>
      </c>
      <c r="L573" s="1">
        <v>1.0</v>
      </c>
      <c r="M573" s="1">
        <v>0.0</v>
      </c>
      <c r="N573" s="1">
        <v>1.460000038</v>
      </c>
    </row>
    <row r="574" ht="15.75" customHeight="1">
      <c r="A574" s="1" t="s">
        <v>164</v>
      </c>
      <c r="B574" s="1" t="s">
        <v>183</v>
      </c>
      <c r="C574" s="5">
        <v>45618.0</v>
      </c>
      <c r="D574" s="1" t="s">
        <v>161</v>
      </c>
      <c r="E574" s="1" t="s">
        <v>11</v>
      </c>
      <c r="F574" s="1" t="s">
        <v>166</v>
      </c>
      <c r="H574" s="1">
        <v>0.0</v>
      </c>
      <c r="I574" s="1">
        <v>0.0</v>
      </c>
      <c r="J574" s="1">
        <v>0.0</v>
      </c>
      <c r="K574" s="1">
        <v>2.0</v>
      </c>
      <c r="L574" s="1">
        <v>5.0</v>
      </c>
      <c r="M574" s="1">
        <v>0.4</v>
      </c>
      <c r="N574" s="1">
        <v>0.75</v>
      </c>
    </row>
    <row r="575" ht="15.75" customHeight="1">
      <c r="A575" s="1" t="s">
        <v>164</v>
      </c>
      <c r="B575" s="1" t="s">
        <v>74</v>
      </c>
      <c r="C575" s="5">
        <v>45618.0</v>
      </c>
      <c r="D575" s="1" t="s">
        <v>161</v>
      </c>
      <c r="E575" s="1" t="s">
        <v>11</v>
      </c>
      <c r="F575" s="1" t="s">
        <v>166</v>
      </c>
      <c r="H575" s="1">
        <v>0.0</v>
      </c>
      <c r="I575" s="1">
        <v>0.0</v>
      </c>
      <c r="J575" s="1">
        <v>0.0</v>
      </c>
      <c r="K575" s="1">
        <v>0.0</v>
      </c>
      <c r="L575" s="1">
        <v>0.0</v>
      </c>
      <c r="N575" s="1">
        <v>1.049999952</v>
      </c>
    </row>
    <row r="576" ht="15.75" customHeight="1">
      <c r="A576" s="1" t="s">
        <v>164</v>
      </c>
      <c r="B576" s="1" t="s">
        <v>82</v>
      </c>
      <c r="C576" s="5">
        <v>45618.0</v>
      </c>
      <c r="D576" s="1" t="s">
        <v>161</v>
      </c>
      <c r="E576" s="1" t="s">
        <v>11</v>
      </c>
      <c r="F576" s="1" t="s">
        <v>165</v>
      </c>
      <c r="H576" s="1">
        <v>0.0</v>
      </c>
      <c r="I576" s="1">
        <v>0.0</v>
      </c>
      <c r="J576" s="1">
        <v>0.0</v>
      </c>
      <c r="K576" s="1">
        <v>0.0</v>
      </c>
      <c r="L576" s="1">
        <v>1.0</v>
      </c>
      <c r="M576" s="1">
        <v>0.0</v>
      </c>
      <c r="N576" s="1">
        <v>4.079999924</v>
      </c>
    </row>
    <row r="577" ht="15.75" customHeight="1">
      <c r="A577" s="1" t="s">
        <v>160</v>
      </c>
      <c r="B577" s="1" t="s">
        <v>210</v>
      </c>
      <c r="C577" s="5">
        <v>45617.0</v>
      </c>
      <c r="D577" s="1" t="s">
        <v>161</v>
      </c>
      <c r="E577" s="1" t="s">
        <v>11</v>
      </c>
      <c r="F577" s="1" t="s">
        <v>162</v>
      </c>
      <c r="H577" s="1">
        <v>0.0</v>
      </c>
      <c r="I577" s="1">
        <v>0.0</v>
      </c>
      <c r="J577" s="1">
        <v>0.0</v>
      </c>
      <c r="K577" s="1">
        <v>0.0</v>
      </c>
      <c r="L577" s="1">
        <v>3.0</v>
      </c>
      <c r="M577" s="1">
        <v>0.0</v>
      </c>
      <c r="N577" s="1">
        <v>3.910000086</v>
      </c>
    </row>
    <row r="578" ht="15.75" customHeight="1">
      <c r="A578" s="1" t="s">
        <v>160</v>
      </c>
      <c r="B578" s="1" t="s">
        <v>56</v>
      </c>
      <c r="C578" s="5">
        <v>45617.0</v>
      </c>
      <c r="D578" s="1" t="s">
        <v>161</v>
      </c>
      <c r="E578" s="1" t="s">
        <v>11</v>
      </c>
      <c r="H578" s="1">
        <v>0.0</v>
      </c>
      <c r="J578" s="1">
        <v>0.0</v>
      </c>
      <c r="N578" s="1">
        <v>0.49000001</v>
      </c>
    </row>
    <row r="579" ht="15.75" customHeight="1">
      <c r="A579" s="1" t="s">
        <v>160</v>
      </c>
      <c r="B579" s="1" t="s">
        <v>211</v>
      </c>
      <c r="C579" s="5">
        <v>45617.0</v>
      </c>
      <c r="D579" s="1" t="s">
        <v>161</v>
      </c>
      <c r="E579" s="1" t="s">
        <v>11</v>
      </c>
      <c r="H579" s="1">
        <v>0.0</v>
      </c>
      <c r="J579" s="1">
        <v>0.0</v>
      </c>
      <c r="N579" s="1">
        <v>0.409999996</v>
      </c>
    </row>
    <row r="580" ht="15.75" customHeight="1">
      <c r="A580" s="1" t="s">
        <v>164</v>
      </c>
      <c r="B580" s="1" t="s">
        <v>60</v>
      </c>
      <c r="C580" s="5">
        <v>45617.0</v>
      </c>
      <c r="D580" s="1" t="s">
        <v>161</v>
      </c>
      <c r="E580" s="1" t="s">
        <v>11</v>
      </c>
      <c r="F580" s="1" t="s">
        <v>166</v>
      </c>
      <c r="H580" s="1">
        <v>0.0</v>
      </c>
      <c r="I580" s="1">
        <v>0.0</v>
      </c>
      <c r="J580" s="1">
        <v>0.0</v>
      </c>
      <c r="K580" s="1">
        <v>1.0</v>
      </c>
      <c r="L580" s="1">
        <v>2.0</v>
      </c>
      <c r="M580" s="1">
        <v>0.5</v>
      </c>
      <c r="N580" s="1">
        <v>5.1199998860000004</v>
      </c>
    </row>
    <row r="581" ht="15.75" customHeight="1">
      <c r="A581" s="1" t="s">
        <v>164</v>
      </c>
      <c r="B581" s="1" t="s">
        <v>63</v>
      </c>
      <c r="C581" s="5">
        <v>45617.0</v>
      </c>
      <c r="D581" s="1" t="s">
        <v>161</v>
      </c>
      <c r="E581" s="1" t="s">
        <v>11</v>
      </c>
      <c r="F581" s="1" t="s">
        <v>166</v>
      </c>
      <c r="G581" s="1" t="s">
        <v>172</v>
      </c>
      <c r="H581" s="1">
        <v>1.0</v>
      </c>
      <c r="I581" s="1">
        <v>1.0</v>
      </c>
      <c r="J581" s="1">
        <v>0.0</v>
      </c>
      <c r="K581" s="1">
        <v>8.0</v>
      </c>
      <c r="L581" s="1">
        <v>8.0</v>
      </c>
      <c r="M581" s="1">
        <v>1.0</v>
      </c>
      <c r="N581" s="1">
        <v>6.6199998860000004</v>
      </c>
    </row>
    <row r="582" ht="15.75" customHeight="1">
      <c r="A582" s="1" t="s">
        <v>164</v>
      </c>
      <c r="B582" s="1" t="s">
        <v>183</v>
      </c>
      <c r="C582" s="5">
        <v>45617.0</v>
      </c>
      <c r="D582" s="1" t="s">
        <v>161</v>
      </c>
      <c r="E582" s="1" t="s">
        <v>11</v>
      </c>
      <c r="F582" s="1" t="s">
        <v>166</v>
      </c>
      <c r="H582" s="1">
        <v>0.0</v>
      </c>
      <c r="I582" s="1">
        <v>0.0</v>
      </c>
      <c r="J582" s="1">
        <v>0.0</v>
      </c>
      <c r="K582" s="1">
        <v>4.0</v>
      </c>
      <c r="L582" s="1">
        <v>4.0</v>
      </c>
      <c r="M582" s="1">
        <v>1.0</v>
      </c>
      <c r="N582" s="1">
        <v>5.480000019</v>
      </c>
    </row>
    <row r="583" ht="15.75" customHeight="1">
      <c r="A583" s="1" t="s">
        <v>164</v>
      </c>
      <c r="B583" s="1" t="s">
        <v>205</v>
      </c>
      <c r="C583" s="5">
        <v>45617.0</v>
      </c>
      <c r="D583" s="1" t="s">
        <v>161</v>
      </c>
      <c r="E583" s="1" t="s">
        <v>11</v>
      </c>
      <c r="F583" s="1" t="s">
        <v>166</v>
      </c>
      <c r="H583" s="1">
        <v>0.0</v>
      </c>
      <c r="I583" s="1">
        <v>0.0</v>
      </c>
      <c r="J583" s="1">
        <v>0.0</v>
      </c>
      <c r="K583" s="1">
        <v>0.0</v>
      </c>
      <c r="L583" s="1">
        <v>1.0</v>
      </c>
      <c r="M583" s="1">
        <v>0.0</v>
      </c>
      <c r="N583" s="1">
        <v>4.699999809</v>
      </c>
    </row>
    <row r="584" ht="15.75" customHeight="1">
      <c r="A584" s="1" t="s">
        <v>164</v>
      </c>
      <c r="B584" s="1" t="s">
        <v>75</v>
      </c>
      <c r="C584" s="5">
        <v>45617.0</v>
      </c>
      <c r="D584" s="1" t="s">
        <v>161</v>
      </c>
      <c r="E584" s="1" t="s">
        <v>11</v>
      </c>
      <c r="F584" s="1" t="s">
        <v>165</v>
      </c>
      <c r="H584" s="1">
        <v>0.0</v>
      </c>
      <c r="I584" s="1">
        <v>0.0</v>
      </c>
      <c r="J584" s="1">
        <v>0.0</v>
      </c>
      <c r="K584" s="1">
        <v>5.0</v>
      </c>
      <c r="L584" s="1">
        <v>8.0</v>
      </c>
      <c r="M584" s="1">
        <v>0.625</v>
      </c>
      <c r="N584" s="1">
        <v>7.099999905</v>
      </c>
    </row>
    <row r="585" ht="15.75" customHeight="1">
      <c r="A585" s="1" t="s">
        <v>164</v>
      </c>
      <c r="B585" s="1" t="s">
        <v>82</v>
      </c>
      <c r="C585" s="5">
        <v>45617.0</v>
      </c>
      <c r="D585" s="1" t="s">
        <v>161</v>
      </c>
      <c r="E585" s="1" t="s">
        <v>11</v>
      </c>
      <c r="F585" s="1" t="s">
        <v>165</v>
      </c>
      <c r="H585" s="1">
        <v>0.0</v>
      </c>
      <c r="I585" s="1">
        <v>0.0</v>
      </c>
      <c r="J585" s="1">
        <v>0.0</v>
      </c>
      <c r="K585" s="1">
        <v>0.0</v>
      </c>
      <c r="L585" s="1">
        <v>1.0</v>
      </c>
      <c r="M585" s="1">
        <v>0.0</v>
      </c>
      <c r="N585" s="1">
        <v>6.940000057</v>
      </c>
    </row>
    <row r="586" ht="15.75" customHeight="1">
      <c r="A586" s="1" t="s">
        <v>160</v>
      </c>
      <c r="B586" s="1" t="s">
        <v>41</v>
      </c>
      <c r="C586" s="5">
        <v>45616.0</v>
      </c>
      <c r="D586" s="1" t="s">
        <v>161</v>
      </c>
      <c r="E586" s="1" t="s">
        <v>11</v>
      </c>
      <c r="F586" s="1" t="s">
        <v>162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N586" s="1">
        <v>0.730000019</v>
      </c>
    </row>
    <row r="587" ht="15.75" customHeight="1">
      <c r="A587" s="1" t="s">
        <v>160</v>
      </c>
      <c r="B587" s="1" t="s">
        <v>89</v>
      </c>
      <c r="C587" s="5">
        <v>45616.0</v>
      </c>
      <c r="D587" s="1" t="s">
        <v>161</v>
      </c>
      <c r="E587" s="1" t="s">
        <v>11</v>
      </c>
      <c r="H587" s="1">
        <v>0.0</v>
      </c>
      <c r="J587" s="1">
        <v>0.0</v>
      </c>
      <c r="N587" s="1">
        <v>0.360000014</v>
      </c>
    </row>
    <row r="588" ht="15.75" customHeight="1">
      <c r="A588" s="1" t="s">
        <v>160</v>
      </c>
      <c r="B588" s="1" t="s">
        <v>101</v>
      </c>
      <c r="C588" s="5">
        <v>45616.0</v>
      </c>
      <c r="D588" s="1" t="s">
        <v>161</v>
      </c>
      <c r="E588" s="1" t="s">
        <v>11</v>
      </c>
      <c r="H588" s="1">
        <v>0.0</v>
      </c>
      <c r="J588" s="1">
        <v>0.0</v>
      </c>
      <c r="N588" s="1">
        <v>0.5</v>
      </c>
    </row>
    <row r="589" ht="15.75" customHeight="1">
      <c r="A589" s="1" t="s">
        <v>164</v>
      </c>
      <c r="B589" s="1" t="s">
        <v>24</v>
      </c>
      <c r="C589" s="5">
        <v>45616.0</v>
      </c>
      <c r="D589" s="1" t="s">
        <v>161</v>
      </c>
      <c r="E589" s="1" t="s">
        <v>11</v>
      </c>
      <c r="F589" s="1" t="s">
        <v>166</v>
      </c>
      <c r="H589" s="1">
        <v>0.0</v>
      </c>
      <c r="I589" s="1">
        <v>0.0</v>
      </c>
      <c r="J589" s="1">
        <v>0.0</v>
      </c>
      <c r="K589" s="1">
        <v>0.0</v>
      </c>
      <c r="L589" s="1">
        <v>2.0</v>
      </c>
      <c r="M589" s="1">
        <v>0.0</v>
      </c>
      <c r="N589" s="1">
        <v>4.940000057</v>
      </c>
    </row>
    <row r="590" ht="15.75" customHeight="1">
      <c r="A590" s="1" t="s">
        <v>164</v>
      </c>
      <c r="B590" s="1" t="s">
        <v>52</v>
      </c>
      <c r="C590" s="5">
        <v>45616.0</v>
      </c>
      <c r="D590" s="1" t="s">
        <v>161</v>
      </c>
      <c r="E590" s="1" t="s">
        <v>11</v>
      </c>
      <c r="F590" s="1" t="s">
        <v>165</v>
      </c>
      <c r="H590" s="1">
        <v>0.0</v>
      </c>
      <c r="I590" s="1">
        <v>0.0</v>
      </c>
      <c r="J590" s="1">
        <v>0.0</v>
      </c>
      <c r="K590" s="1">
        <v>0.0</v>
      </c>
      <c r="L590" s="1">
        <v>0.0</v>
      </c>
      <c r="N590" s="1">
        <v>0.460000008</v>
      </c>
    </row>
    <row r="591" ht="15.75" customHeight="1">
      <c r="A591" s="1" t="s">
        <v>164</v>
      </c>
      <c r="B591" s="1" t="s">
        <v>60</v>
      </c>
      <c r="C591" s="5">
        <v>45616.0</v>
      </c>
      <c r="D591" s="1" t="s">
        <v>161</v>
      </c>
      <c r="E591" s="1" t="s">
        <v>11</v>
      </c>
      <c r="F591" s="1" t="s">
        <v>166</v>
      </c>
      <c r="H591" s="1">
        <v>0.0</v>
      </c>
      <c r="I591" s="1">
        <v>0.0</v>
      </c>
      <c r="J591" s="1">
        <v>0.0</v>
      </c>
      <c r="K591" s="1">
        <v>0.0</v>
      </c>
      <c r="L591" s="1">
        <v>0.0</v>
      </c>
      <c r="N591" s="1">
        <v>1.779999971</v>
      </c>
    </row>
    <row r="592" ht="15.75" customHeight="1">
      <c r="A592" s="1" t="s">
        <v>164</v>
      </c>
      <c r="B592" s="1" t="s">
        <v>63</v>
      </c>
      <c r="C592" s="5">
        <v>45616.0</v>
      </c>
      <c r="D592" s="1" t="s">
        <v>161</v>
      </c>
      <c r="E592" s="1" t="s">
        <v>11</v>
      </c>
      <c r="F592" s="1" t="s">
        <v>166</v>
      </c>
      <c r="H592" s="1">
        <v>0.0</v>
      </c>
      <c r="I592" s="1">
        <v>0.0</v>
      </c>
      <c r="J592" s="1">
        <v>0.0</v>
      </c>
      <c r="K592" s="1">
        <v>3.0</v>
      </c>
      <c r="L592" s="1">
        <v>4.0</v>
      </c>
      <c r="M592" s="1">
        <v>0.75</v>
      </c>
      <c r="N592" s="1">
        <v>8.170000076</v>
      </c>
    </row>
    <row r="593" ht="15.75" customHeight="1">
      <c r="A593" s="1" t="s">
        <v>164</v>
      </c>
      <c r="B593" s="1" t="s">
        <v>183</v>
      </c>
      <c r="C593" s="5">
        <v>45616.0</v>
      </c>
      <c r="D593" s="1" t="s">
        <v>161</v>
      </c>
      <c r="E593" s="1" t="s">
        <v>11</v>
      </c>
      <c r="F593" s="1" t="s">
        <v>166</v>
      </c>
      <c r="H593" s="1">
        <v>0.0</v>
      </c>
      <c r="I593" s="1">
        <v>0.0</v>
      </c>
      <c r="J593" s="1">
        <v>0.0</v>
      </c>
      <c r="K593" s="1">
        <v>3.0</v>
      </c>
      <c r="L593" s="1">
        <v>5.0</v>
      </c>
      <c r="M593" s="1">
        <v>0.6</v>
      </c>
      <c r="N593" s="1">
        <v>4.3800001139999996</v>
      </c>
    </row>
    <row r="594" ht="15.75" customHeight="1">
      <c r="A594" s="1" t="s">
        <v>164</v>
      </c>
      <c r="B594" s="1" t="s">
        <v>68</v>
      </c>
      <c r="C594" s="5">
        <v>45616.0</v>
      </c>
      <c r="D594" s="1" t="s">
        <v>161</v>
      </c>
      <c r="E594" s="1" t="s">
        <v>11</v>
      </c>
      <c r="F594" s="1" t="s">
        <v>165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N594" s="1">
        <v>4.079999924</v>
      </c>
    </row>
    <row r="595" ht="15.75" customHeight="1">
      <c r="A595" s="1" t="s">
        <v>164</v>
      </c>
      <c r="B595" s="1" t="s">
        <v>75</v>
      </c>
      <c r="C595" s="5">
        <v>45616.0</v>
      </c>
      <c r="D595" s="1" t="s">
        <v>161</v>
      </c>
      <c r="E595" s="1" t="s">
        <v>11</v>
      </c>
      <c r="F595" s="1" t="s">
        <v>165</v>
      </c>
      <c r="H595" s="1">
        <v>0.0</v>
      </c>
      <c r="I595" s="1">
        <v>0.0</v>
      </c>
      <c r="J595" s="1">
        <v>0.0</v>
      </c>
      <c r="K595" s="1">
        <v>1.0</v>
      </c>
      <c r="L595" s="1">
        <v>1.0</v>
      </c>
      <c r="M595" s="1">
        <v>1.0</v>
      </c>
      <c r="N595" s="1">
        <v>3.640000105</v>
      </c>
    </row>
    <row r="596" ht="15.75" customHeight="1">
      <c r="A596" s="1" t="s">
        <v>164</v>
      </c>
      <c r="B596" s="1" t="s">
        <v>100</v>
      </c>
      <c r="C596" s="5">
        <v>45616.0</v>
      </c>
      <c r="D596" s="1" t="s">
        <v>161</v>
      </c>
      <c r="E596" s="1" t="s">
        <v>11</v>
      </c>
      <c r="F596" s="1" t="s">
        <v>171</v>
      </c>
      <c r="H596" s="1">
        <v>0.0</v>
      </c>
      <c r="I596" s="1">
        <v>0.0</v>
      </c>
      <c r="J596" s="1">
        <v>0.0</v>
      </c>
      <c r="K596" s="1">
        <v>1.0</v>
      </c>
      <c r="L596" s="1">
        <v>1.0</v>
      </c>
      <c r="M596" s="1">
        <v>1.0</v>
      </c>
      <c r="N596" s="1">
        <v>1.029999971</v>
      </c>
    </row>
    <row r="597" ht="15.75" customHeight="1">
      <c r="A597" s="1" t="s">
        <v>164</v>
      </c>
      <c r="B597" s="1" t="s">
        <v>82</v>
      </c>
      <c r="C597" s="5">
        <v>45616.0</v>
      </c>
      <c r="D597" s="1" t="s">
        <v>161</v>
      </c>
      <c r="E597" s="1" t="s">
        <v>11</v>
      </c>
      <c r="F597" s="1" t="s">
        <v>165</v>
      </c>
      <c r="H597" s="1">
        <v>0.0</v>
      </c>
      <c r="I597" s="1">
        <v>0.0</v>
      </c>
      <c r="J597" s="1">
        <v>0.0</v>
      </c>
      <c r="K597" s="1">
        <v>0.0</v>
      </c>
      <c r="L597" s="1">
        <v>6.0</v>
      </c>
      <c r="M597" s="1">
        <v>0.0</v>
      </c>
      <c r="N597" s="1">
        <v>8.489999771</v>
      </c>
    </row>
    <row r="598" ht="15.75" customHeight="1">
      <c r="A598" s="1" t="s">
        <v>160</v>
      </c>
      <c r="B598" s="1" t="s">
        <v>212</v>
      </c>
      <c r="C598" s="5">
        <v>45615.0</v>
      </c>
      <c r="D598" s="1" t="s">
        <v>161</v>
      </c>
      <c r="E598" s="1" t="s">
        <v>11</v>
      </c>
      <c r="H598" s="1">
        <v>0.0</v>
      </c>
      <c r="J598" s="1">
        <v>0.0</v>
      </c>
      <c r="N598" s="1">
        <v>0.330000013</v>
      </c>
    </row>
    <row r="599" ht="15.75" customHeight="1">
      <c r="A599" s="1" t="s">
        <v>160</v>
      </c>
      <c r="B599" s="1" t="s">
        <v>18</v>
      </c>
      <c r="C599" s="5">
        <v>45615.0</v>
      </c>
      <c r="D599" s="1" t="s">
        <v>161</v>
      </c>
      <c r="E599" s="1" t="s">
        <v>11</v>
      </c>
      <c r="F599" s="1" t="s">
        <v>162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N599" s="1">
        <v>0.07</v>
      </c>
    </row>
    <row r="600" ht="15.75" customHeight="1">
      <c r="A600" s="1" t="s">
        <v>160</v>
      </c>
      <c r="B600" s="1" t="s">
        <v>20</v>
      </c>
      <c r="C600" s="5">
        <v>45615.0</v>
      </c>
      <c r="D600" s="1" t="s">
        <v>161</v>
      </c>
      <c r="E600" s="1" t="s">
        <v>11</v>
      </c>
      <c r="H600" s="1">
        <v>0.0</v>
      </c>
      <c r="J600" s="1">
        <v>0.0</v>
      </c>
      <c r="N600" s="1">
        <v>0.479999989</v>
      </c>
    </row>
    <row r="601" ht="15.75" customHeight="1">
      <c r="A601" s="1" t="s">
        <v>160</v>
      </c>
      <c r="B601" s="1" t="s">
        <v>54</v>
      </c>
      <c r="C601" s="5">
        <v>45615.0</v>
      </c>
      <c r="D601" s="1" t="s">
        <v>161</v>
      </c>
      <c r="E601" s="1" t="s">
        <v>11</v>
      </c>
      <c r="H601" s="1">
        <v>0.0</v>
      </c>
      <c r="J601" s="1">
        <v>0.0</v>
      </c>
      <c r="N601" s="1">
        <v>0.150000006</v>
      </c>
    </row>
    <row r="602" ht="15.75" customHeight="1">
      <c r="A602" s="1" t="s">
        <v>160</v>
      </c>
      <c r="B602" s="1" t="s">
        <v>32</v>
      </c>
      <c r="C602" s="5">
        <v>45615.0</v>
      </c>
      <c r="D602" s="1" t="s">
        <v>161</v>
      </c>
      <c r="E602" s="1" t="s">
        <v>11</v>
      </c>
      <c r="F602" s="1" t="s">
        <v>165</v>
      </c>
      <c r="H602" s="1">
        <v>0.0</v>
      </c>
      <c r="I602" s="1">
        <v>0.0</v>
      </c>
      <c r="J602" s="1">
        <v>0.0</v>
      </c>
      <c r="K602" s="1">
        <v>0.0</v>
      </c>
      <c r="L602" s="1">
        <v>0.0</v>
      </c>
      <c r="N602" s="1">
        <v>0.059999999</v>
      </c>
    </row>
    <row r="603" ht="15.75" customHeight="1">
      <c r="A603" s="1" t="s">
        <v>160</v>
      </c>
      <c r="B603" s="1" t="s">
        <v>69</v>
      </c>
      <c r="C603" s="5">
        <v>45615.0</v>
      </c>
      <c r="D603" s="1" t="s">
        <v>161</v>
      </c>
      <c r="E603" s="1" t="s">
        <v>11</v>
      </c>
      <c r="H603" s="1">
        <v>0.0</v>
      </c>
      <c r="J603" s="1">
        <v>0.0</v>
      </c>
      <c r="N603" s="1">
        <v>0.75</v>
      </c>
    </row>
    <row r="604" ht="15.75" customHeight="1">
      <c r="A604" s="1" t="s">
        <v>160</v>
      </c>
      <c r="B604" s="1" t="s">
        <v>94</v>
      </c>
      <c r="C604" s="5">
        <v>45615.0</v>
      </c>
      <c r="D604" s="1" t="s">
        <v>161</v>
      </c>
      <c r="E604" s="1" t="s">
        <v>11</v>
      </c>
      <c r="H604" s="1">
        <v>0.0</v>
      </c>
      <c r="J604" s="1">
        <v>0.0</v>
      </c>
      <c r="N604" s="1">
        <v>0.100000001</v>
      </c>
    </row>
    <row r="605" ht="15.75" customHeight="1">
      <c r="A605" s="1" t="s">
        <v>164</v>
      </c>
      <c r="B605" s="1" t="s">
        <v>22</v>
      </c>
      <c r="C605" s="5">
        <v>45615.0</v>
      </c>
      <c r="D605" s="1" t="s">
        <v>161</v>
      </c>
      <c r="E605" s="1" t="s">
        <v>11</v>
      </c>
      <c r="F605" s="1" t="s">
        <v>166</v>
      </c>
      <c r="H605" s="1">
        <v>0.0</v>
      </c>
      <c r="I605" s="1">
        <v>0.0</v>
      </c>
      <c r="J605" s="1">
        <v>0.0</v>
      </c>
      <c r="K605" s="1">
        <v>2.0</v>
      </c>
      <c r="L605" s="1">
        <v>5.0</v>
      </c>
      <c r="M605" s="1">
        <v>0.4</v>
      </c>
      <c r="N605" s="1">
        <v>11.23999977</v>
      </c>
    </row>
    <row r="606" ht="15.75" customHeight="1">
      <c r="A606" s="1" t="s">
        <v>164</v>
      </c>
      <c r="B606" s="1" t="s">
        <v>35</v>
      </c>
      <c r="C606" s="5">
        <v>45615.0</v>
      </c>
      <c r="D606" s="1" t="s">
        <v>161</v>
      </c>
      <c r="E606" s="1" t="s">
        <v>11</v>
      </c>
      <c r="H606" s="1">
        <v>0.0</v>
      </c>
      <c r="J606" s="1">
        <v>0.0</v>
      </c>
      <c r="N606" s="1">
        <v>0.150000006</v>
      </c>
    </row>
    <row r="607" ht="15.75" customHeight="1">
      <c r="A607" s="1" t="s">
        <v>164</v>
      </c>
      <c r="B607" s="1" t="s">
        <v>24</v>
      </c>
      <c r="C607" s="5">
        <v>45615.0</v>
      </c>
      <c r="D607" s="1" t="s">
        <v>161</v>
      </c>
      <c r="E607" s="1" t="s">
        <v>11</v>
      </c>
      <c r="H607" s="1">
        <v>0.0</v>
      </c>
      <c r="J607" s="1">
        <v>0.0</v>
      </c>
      <c r="N607" s="1">
        <v>0.119999997</v>
      </c>
    </row>
    <row r="608" ht="15.75" customHeight="1">
      <c r="A608" s="1" t="s">
        <v>164</v>
      </c>
      <c r="B608" s="1" t="s">
        <v>52</v>
      </c>
      <c r="C608" s="5">
        <v>45615.0</v>
      </c>
      <c r="D608" s="1" t="s">
        <v>161</v>
      </c>
      <c r="E608" s="1" t="s">
        <v>11</v>
      </c>
      <c r="F608" s="1" t="s">
        <v>165</v>
      </c>
      <c r="H608" s="1">
        <v>0.0</v>
      </c>
      <c r="I608" s="1">
        <v>0.0</v>
      </c>
      <c r="J608" s="1">
        <v>0.0</v>
      </c>
      <c r="K608" s="1">
        <v>6.0</v>
      </c>
      <c r="L608" s="1">
        <v>10.0</v>
      </c>
      <c r="M608" s="1">
        <v>0.6</v>
      </c>
      <c r="N608" s="1">
        <v>8.619999886</v>
      </c>
    </row>
    <row r="609" ht="15.75" customHeight="1">
      <c r="A609" s="1" t="s">
        <v>164</v>
      </c>
      <c r="B609" s="1" t="s">
        <v>55</v>
      </c>
      <c r="C609" s="5">
        <v>45615.0</v>
      </c>
      <c r="D609" s="1" t="s">
        <v>161</v>
      </c>
      <c r="E609" s="1" t="s">
        <v>11</v>
      </c>
      <c r="H609" s="1">
        <v>0.0</v>
      </c>
      <c r="J609" s="1">
        <v>0.0</v>
      </c>
      <c r="N609" s="1">
        <v>0.270000011</v>
      </c>
    </row>
    <row r="610" ht="15.75" customHeight="1">
      <c r="A610" s="1" t="s">
        <v>164</v>
      </c>
      <c r="B610" s="1" t="s">
        <v>213</v>
      </c>
      <c r="C610" s="5">
        <v>45615.0</v>
      </c>
      <c r="D610" s="1" t="s">
        <v>161</v>
      </c>
      <c r="E610" s="1" t="s">
        <v>11</v>
      </c>
      <c r="H610" s="1">
        <v>0.0</v>
      </c>
      <c r="J610" s="1">
        <v>0.0</v>
      </c>
      <c r="N610" s="1">
        <v>0.219999999</v>
      </c>
    </row>
    <row r="611" ht="15.75" customHeight="1">
      <c r="A611" s="1" t="s">
        <v>164</v>
      </c>
      <c r="B611" s="1" t="s">
        <v>60</v>
      </c>
      <c r="C611" s="5">
        <v>45615.0</v>
      </c>
      <c r="D611" s="1" t="s">
        <v>161</v>
      </c>
      <c r="E611" s="1" t="s">
        <v>11</v>
      </c>
      <c r="F611" s="1" t="s">
        <v>166</v>
      </c>
      <c r="H611" s="1">
        <v>0.0</v>
      </c>
      <c r="I611" s="1">
        <v>0.0</v>
      </c>
      <c r="J611" s="1">
        <v>0.0</v>
      </c>
      <c r="K611" s="1">
        <v>2.0</v>
      </c>
      <c r="L611" s="1">
        <v>5.0</v>
      </c>
      <c r="M611" s="1">
        <v>0.4</v>
      </c>
      <c r="N611" s="1">
        <v>4.519999981</v>
      </c>
    </row>
    <row r="612" ht="15.75" customHeight="1">
      <c r="A612" s="1" t="s">
        <v>164</v>
      </c>
      <c r="B612" s="1" t="s">
        <v>63</v>
      </c>
      <c r="C612" s="5">
        <v>45615.0</v>
      </c>
      <c r="D612" s="1" t="s">
        <v>161</v>
      </c>
      <c r="E612" s="1" t="s">
        <v>11</v>
      </c>
      <c r="F612" s="1" t="s">
        <v>166</v>
      </c>
      <c r="G612" s="1" t="s">
        <v>172</v>
      </c>
      <c r="H612" s="1">
        <v>1.0</v>
      </c>
      <c r="I612" s="1">
        <v>0.0</v>
      </c>
      <c r="J612" s="1">
        <v>0.0</v>
      </c>
      <c r="K612" s="1">
        <v>5.0</v>
      </c>
      <c r="L612" s="1">
        <v>7.0</v>
      </c>
      <c r="M612" s="1">
        <v>0.714285714</v>
      </c>
      <c r="N612" s="1">
        <v>5.269999981</v>
      </c>
    </row>
    <row r="613" ht="15.75" customHeight="1">
      <c r="A613" s="1" t="s">
        <v>164</v>
      </c>
      <c r="B613" s="1" t="s">
        <v>183</v>
      </c>
      <c r="C613" s="5">
        <v>45615.0</v>
      </c>
      <c r="D613" s="1" t="s">
        <v>161</v>
      </c>
      <c r="E613" s="1" t="s">
        <v>11</v>
      </c>
      <c r="F613" s="1" t="s">
        <v>166</v>
      </c>
      <c r="H613" s="1">
        <v>0.0</v>
      </c>
      <c r="I613" s="1">
        <v>1.0</v>
      </c>
      <c r="J613" s="1">
        <v>0.0</v>
      </c>
      <c r="K613" s="1">
        <v>6.0</v>
      </c>
      <c r="L613" s="1">
        <v>8.0</v>
      </c>
      <c r="M613" s="1">
        <v>0.75</v>
      </c>
      <c r="N613" s="1">
        <v>2.5599999430000002</v>
      </c>
    </row>
    <row r="614" ht="15.75" customHeight="1">
      <c r="A614" s="1" t="s">
        <v>164</v>
      </c>
      <c r="B614" s="1" t="s">
        <v>74</v>
      </c>
      <c r="C614" s="5">
        <v>45615.0</v>
      </c>
      <c r="D614" s="1" t="s">
        <v>161</v>
      </c>
      <c r="E614" s="1" t="s">
        <v>11</v>
      </c>
      <c r="F614" s="1" t="s">
        <v>166</v>
      </c>
      <c r="H614" s="1">
        <v>0.0</v>
      </c>
      <c r="I614" s="1">
        <v>0.0</v>
      </c>
      <c r="J614" s="1">
        <v>0.0</v>
      </c>
      <c r="K614" s="1">
        <v>0.0</v>
      </c>
      <c r="L614" s="1">
        <v>0.0</v>
      </c>
      <c r="N614" s="1">
        <v>1.149999976</v>
      </c>
    </row>
    <row r="615" ht="15.75" customHeight="1">
      <c r="A615" s="1" t="s">
        <v>164</v>
      </c>
      <c r="B615" s="1" t="s">
        <v>205</v>
      </c>
      <c r="C615" s="5">
        <v>45615.0</v>
      </c>
      <c r="D615" s="1" t="s">
        <v>161</v>
      </c>
      <c r="E615" s="1" t="s">
        <v>11</v>
      </c>
      <c r="F615" s="1" t="s">
        <v>166</v>
      </c>
      <c r="H615" s="1">
        <v>0.0</v>
      </c>
      <c r="I615" s="1">
        <v>0.0</v>
      </c>
      <c r="J615" s="1">
        <v>0.0</v>
      </c>
      <c r="K615" s="1">
        <v>3.0</v>
      </c>
      <c r="L615" s="1">
        <v>4.0</v>
      </c>
      <c r="M615" s="1">
        <v>0.75</v>
      </c>
      <c r="N615" s="1">
        <v>5.199999809</v>
      </c>
    </row>
    <row r="616" ht="15.75" customHeight="1">
      <c r="A616" s="1" t="s">
        <v>164</v>
      </c>
      <c r="B616" s="1" t="s">
        <v>75</v>
      </c>
      <c r="C616" s="5">
        <v>45615.0</v>
      </c>
      <c r="D616" s="1" t="s">
        <v>161</v>
      </c>
      <c r="E616" s="1" t="s">
        <v>11</v>
      </c>
      <c r="F616" s="1" t="s">
        <v>165</v>
      </c>
      <c r="H616" s="1">
        <v>0.0</v>
      </c>
      <c r="I616" s="1">
        <v>0.0</v>
      </c>
      <c r="J616" s="1">
        <v>0.0</v>
      </c>
      <c r="K616" s="1">
        <v>2.0</v>
      </c>
      <c r="L616" s="1">
        <v>11.0</v>
      </c>
      <c r="M616" s="1">
        <v>0.181818182</v>
      </c>
      <c r="N616" s="1">
        <v>5.3800001139999996</v>
      </c>
    </row>
    <row r="617" ht="15.75" customHeight="1">
      <c r="A617" s="1" t="s">
        <v>164</v>
      </c>
      <c r="B617" s="1" t="s">
        <v>82</v>
      </c>
      <c r="C617" s="5">
        <v>45615.0</v>
      </c>
      <c r="D617" s="1" t="s">
        <v>161</v>
      </c>
      <c r="E617" s="1" t="s">
        <v>11</v>
      </c>
      <c r="H617" s="1">
        <v>0.0</v>
      </c>
      <c r="J617" s="1">
        <v>0.0</v>
      </c>
      <c r="N617" s="1">
        <v>0.050000001</v>
      </c>
    </row>
    <row r="618" ht="15.75" customHeight="1">
      <c r="A618" s="1" t="s">
        <v>180</v>
      </c>
      <c r="B618" s="1" t="s">
        <v>214</v>
      </c>
      <c r="C618" s="5">
        <v>45615.0</v>
      </c>
      <c r="D618" s="1" t="s">
        <v>161</v>
      </c>
      <c r="E618" s="1" t="s">
        <v>11</v>
      </c>
      <c r="H618" s="1">
        <v>0.0</v>
      </c>
      <c r="J618" s="1">
        <v>0.0</v>
      </c>
      <c r="N618" s="1">
        <v>3.950000048</v>
      </c>
    </row>
    <row r="619" ht="15.75" customHeight="1">
      <c r="A619" s="1" t="s">
        <v>160</v>
      </c>
      <c r="B619" s="1" t="s">
        <v>95</v>
      </c>
      <c r="C619" s="5">
        <v>45614.0</v>
      </c>
      <c r="D619" s="1" t="s">
        <v>161</v>
      </c>
      <c r="E619" s="1" t="s">
        <v>11</v>
      </c>
      <c r="F619" s="1" t="s">
        <v>165</v>
      </c>
      <c r="H619" s="1">
        <v>0.0</v>
      </c>
      <c r="I619" s="1">
        <v>0.0</v>
      </c>
      <c r="J619" s="1">
        <v>0.0</v>
      </c>
      <c r="K619" s="1">
        <v>0.0</v>
      </c>
      <c r="L619" s="1">
        <v>0.0</v>
      </c>
      <c r="N619" s="1">
        <v>0.589999974</v>
      </c>
    </row>
    <row r="620" ht="15.75" customHeight="1">
      <c r="A620" s="1" t="s">
        <v>164</v>
      </c>
      <c r="B620" s="1" t="s">
        <v>22</v>
      </c>
      <c r="C620" s="5">
        <v>45614.0</v>
      </c>
      <c r="D620" s="1" t="s">
        <v>161</v>
      </c>
      <c r="E620" s="1" t="s">
        <v>11</v>
      </c>
      <c r="F620" s="1" t="s">
        <v>166</v>
      </c>
      <c r="H620" s="1">
        <v>0.0</v>
      </c>
      <c r="I620" s="1">
        <v>0.0</v>
      </c>
      <c r="J620" s="1">
        <v>0.0</v>
      </c>
      <c r="K620" s="1">
        <v>3.0</v>
      </c>
      <c r="L620" s="1">
        <v>5.0</v>
      </c>
      <c r="M620" s="1">
        <v>0.6</v>
      </c>
      <c r="N620" s="1">
        <v>12.64000034</v>
      </c>
    </row>
    <row r="621" ht="15.75" customHeight="1">
      <c r="A621" s="1" t="s">
        <v>164</v>
      </c>
      <c r="B621" s="1" t="s">
        <v>24</v>
      </c>
      <c r="C621" s="5">
        <v>45614.0</v>
      </c>
      <c r="D621" s="1" t="s">
        <v>161</v>
      </c>
      <c r="E621" s="1" t="s">
        <v>11</v>
      </c>
      <c r="F621" s="1" t="s">
        <v>166</v>
      </c>
      <c r="H621" s="1">
        <v>0.0</v>
      </c>
      <c r="I621" s="1">
        <v>0.0</v>
      </c>
      <c r="J621" s="1">
        <v>0.0</v>
      </c>
      <c r="K621" s="1">
        <v>1.0</v>
      </c>
      <c r="L621" s="1">
        <v>4.0</v>
      </c>
      <c r="M621" s="1">
        <v>0.25</v>
      </c>
      <c r="N621" s="1">
        <v>9.960000038</v>
      </c>
    </row>
    <row r="622" ht="15.75" customHeight="1">
      <c r="A622" s="1" t="s">
        <v>164</v>
      </c>
      <c r="B622" s="1" t="s">
        <v>52</v>
      </c>
      <c r="C622" s="5">
        <v>45614.0</v>
      </c>
      <c r="D622" s="1" t="s">
        <v>161</v>
      </c>
      <c r="E622" s="1" t="s">
        <v>11</v>
      </c>
      <c r="F622" s="1" t="s">
        <v>165</v>
      </c>
      <c r="H622" s="1">
        <v>0.0</v>
      </c>
      <c r="I622" s="1">
        <v>0.0</v>
      </c>
      <c r="J622" s="1">
        <v>0.0</v>
      </c>
      <c r="K622" s="1">
        <v>5.0</v>
      </c>
      <c r="L622" s="1">
        <v>6.0</v>
      </c>
      <c r="M622" s="1">
        <v>0.833333333</v>
      </c>
      <c r="N622" s="1">
        <v>6.510000229</v>
      </c>
    </row>
    <row r="623" ht="15.75" customHeight="1">
      <c r="A623" s="1" t="s">
        <v>164</v>
      </c>
      <c r="B623" s="1" t="s">
        <v>63</v>
      </c>
      <c r="C623" s="5">
        <v>45614.0</v>
      </c>
      <c r="D623" s="1" t="s">
        <v>161</v>
      </c>
      <c r="E623" s="1" t="s">
        <v>11</v>
      </c>
      <c r="F623" s="1" t="s">
        <v>166</v>
      </c>
      <c r="G623" s="1" t="s">
        <v>172</v>
      </c>
      <c r="H623" s="1">
        <v>1.0</v>
      </c>
      <c r="I623" s="1">
        <v>0.0</v>
      </c>
      <c r="J623" s="1">
        <v>0.0</v>
      </c>
      <c r="K623" s="1">
        <v>8.0</v>
      </c>
      <c r="L623" s="1">
        <v>11.0</v>
      </c>
      <c r="M623" s="1">
        <v>0.727272727</v>
      </c>
      <c r="N623" s="1">
        <v>5.449999809</v>
      </c>
    </row>
    <row r="624" ht="15.75" customHeight="1">
      <c r="A624" s="1" t="s">
        <v>164</v>
      </c>
      <c r="B624" s="1" t="s">
        <v>183</v>
      </c>
      <c r="C624" s="5">
        <v>45614.0</v>
      </c>
      <c r="D624" s="1" t="s">
        <v>161</v>
      </c>
      <c r="E624" s="1" t="s">
        <v>11</v>
      </c>
      <c r="F624" s="1" t="s">
        <v>166</v>
      </c>
      <c r="H624" s="1">
        <v>0.0</v>
      </c>
      <c r="I624" s="1">
        <v>1.0</v>
      </c>
      <c r="J624" s="1">
        <v>0.0</v>
      </c>
      <c r="K624" s="1">
        <v>11.0</v>
      </c>
      <c r="L624" s="1">
        <v>14.0</v>
      </c>
      <c r="M624" s="1">
        <v>0.785714286</v>
      </c>
      <c r="N624" s="1">
        <v>7.659999847</v>
      </c>
    </row>
    <row r="625" ht="15.75" customHeight="1">
      <c r="A625" s="1" t="s">
        <v>164</v>
      </c>
      <c r="B625" s="1" t="s">
        <v>68</v>
      </c>
      <c r="C625" s="5">
        <v>45614.0</v>
      </c>
      <c r="D625" s="1" t="s">
        <v>161</v>
      </c>
      <c r="E625" s="1" t="s">
        <v>11</v>
      </c>
      <c r="F625" s="1" t="s">
        <v>165</v>
      </c>
      <c r="H625" s="1">
        <v>0.0</v>
      </c>
      <c r="I625" s="1">
        <v>1.0</v>
      </c>
      <c r="J625" s="1">
        <v>0.0</v>
      </c>
      <c r="K625" s="1">
        <v>6.0</v>
      </c>
      <c r="L625" s="1">
        <v>7.0</v>
      </c>
      <c r="M625" s="1">
        <v>0.857142857</v>
      </c>
      <c r="N625" s="1">
        <v>5.059999943</v>
      </c>
    </row>
    <row r="626" ht="15.75" customHeight="1">
      <c r="A626" s="1" t="s">
        <v>164</v>
      </c>
      <c r="B626" s="1" t="s">
        <v>75</v>
      </c>
      <c r="C626" s="5">
        <v>45614.0</v>
      </c>
      <c r="D626" s="1" t="s">
        <v>161</v>
      </c>
      <c r="E626" s="1" t="s">
        <v>11</v>
      </c>
      <c r="F626" s="1" t="s">
        <v>165</v>
      </c>
      <c r="H626" s="1">
        <v>0.0</v>
      </c>
      <c r="I626" s="1">
        <v>0.0</v>
      </c>
      <c r="J626" s="1">
        <v>0.0</v>
      </c>
      <c r="K626" s="1">
        <v>7.0</v>
      </c>
      <c r="L626" s="1">
        <v>9.0</v>
      </c>
      <c r="M626" s="1">
        <v>0.777777778</v>
      </c>
      <c r="N626" s="1">
        <v>8.659999847</v>
      </c>
    </row>
    <row r="627" ht="15.75" customHeight="1">
      <c r="A627" s="1" t="s">
        <v>164</v>
      </c>
      <c r="B627" s="1" t="s">
        <v>100</v>
      </c>
      <c r="C627" s="5">
        <v>45614.0</v>
      </c>
      <c r="D627" s="1" t="s">
        <v>161</v>
      </c>
      <c r="E627" s="1" t="s">
        <v>11</v>
      </c>
      <c r="F627" s="1" t="s">
        <v>171</v>
      </c>
      <c r="G627" s="1" t="s">
        <v>172</v>
      </c>
      <c r="H627" s="1">
        <v>1.0</v>
      </c>
      <c r="I627" s="1">
        <v>0.0</v>
      </c>
      <c r="J627" s="1">
        <v>0.0</v>
      </c>
      <c r="K627" s="1">
        <v>3.0</v>
      </c>
      <c r="L627" s="1">
        <v>6.0</v>
      </c>
      <c r="M627" s="1">
        <v>0.5</v>
      </c>
      <c r="N627" s="1">
        <v>5.03000021</v>
      </c>
    </row>
    <row r="628" ht="15.75" customHeight="1">
      <c r="A628" s="1" t="s">
        <v>164</v>
      </c>
      <c r="B628" s="1" t="s">
        <v>82</v>
      </c>
      <c r="C628" s="5">
        <v>45614.0</v>
      </c>
      <c r="D628" s="1" t="s">
        <v>161</v>
      </c>
      <c r="E628" s="1" t="s">
        <v>11</v>
      </c>
      <c r="F628" s="1" t="s">
        <v>165</v>
      </c>
      <c r="H628" s="1">
        <v>0.0</v>
      </c>
      <c r="I628" s="1">
        <v>0.0</v>
      </c>
      <c r="J628" s="1">
        <v>0.0</v>
      </c>
      <c r="K628" s="1">
        <v>0.0</v>
      </c>
      <c r="L628" s="1">
        <v>3.0</v>
      </c>
      <c r="M628" s="1">
        <v>0.0</v>
      </c>
      <c r="N628" s="1">
        <v>9.260000229</v>
      </c>
    </row>
    <row r="629" ht="15.75" customHeight="1">
      <c r="A629" s="1" t="s">
        <v>164</v>
      </c>
      <c r="B629" s="1" t="s">
        <v>60</v>
      </c>
      <c r="C629" s="5">
        <v>45613.0</v>
      </c>
      <c r="D629" s="1" t="s">
        <v>161</v>
      </c>
      <c r="E629" s="1" t="s">
        <v>11</v>
      </c>
      <c r="H629" s="1">
        <v>0.0</v>
      </c>
      <c r="J629" s="1">
        <v>0.0</v>
      </c>
      <c r="N629" s="1">
        <v>0.029999999</v>
      </c>
    </row>
    <row r="630" ht="15.75" customHeight="1">
      <c r="A630" s="1" t="s">
        <v>164</v>
      </c>
      <c r="B630" s="1" t="s">
        <v>183</v>
      </c>
      <c r="C630" s="5">
        <v>45612.0</v>
      </c>
      <c r="D630" s="1" t="s">
        <v>161</v>
      </c>
      <c r="E630" s="1" t="s">
        <v>11</v>
      </c>
      <c r="F630" s="1" t="s">
        <v>166</v>
      </c>
      <c r="H630" s="1">
        <v>0.0</v>
      </c>
      <c r="I630" s="1">
        <v>0.0</v>
      </c>
      <c r="J630" s="1">
        <v>0.0</v>
      </c>
      <c r="K630" s="1">
        <v>5.0</v>
      </c>
      <c r="L630" s="1">
        <v>5.0</v>
      </c>
      <c r="M630" s="1">
        <v>1.0</v>
      </c>
      <c r="N630" s="1">
        <v>7.150000095</v>
      </c>
    </row>
    <row r="631" ht="15.75" customHeight="1">
      <c r="A631" s="1" t="s">
        <v>164</v>
      </c>
      <c r="B631" s="1" t="s">
        <v>75</v>
      </c>
      <c r="C631" s="5">
        <v>45612.0</v>
      </c>
      <c r="D631" s="1" t="s">
        <v>161</v>
      </c>
      <c r="E631" s="1" t="s">
        <v>11</v>
      </c>
      <c r="H631" s="1">
        <v>0.0</v>
      </c>
      <c r="J631" s="1">
        <v>0.0</v>
      </c>
      <c r="N631" s="1">
        <v>0.02</v>
      </c>
    </row>
    <row r="632" ht="15.75" customHeight="1">
      <c r="A632" s="1" t="s">
        <v>164</v>
      </c>
      <c r="B632" s="1" t="s">
        <v>60</v>
      </c>
      <c r="C632" s="5">
        <v>45611.0</v>
      </c>
      <c r="D632" s="1" t="s">
        <v>161</v>
      </c>
      <c r="E632" s="1" t="s">
        <v>11</v>
      </c>
      <c r="F632" s="1" t="s">
        <v>166</v>
      </c>
      <c r="H632" s="1">
        <v>0.0</v>
      </c>
      <c r="I632" s="1">
        <v>0.0</v>
      </c>
      <c r="J632" s="1">
        <v>0.0</v>
      </c>
      <c r="K632" s="1">
        <v>1.0</v>
      </c>
      <c r="L632" s="1">
        <v>1.0</v>
      </c>
      <c r="M632" s="1">
        <v>1.0</v>
      </c>
      <c r="N632" s="1">
        <v>3.829999924</v>
      </c>
    </row>
    <row r="633" ht="15.75" customHeight="1">
      <c r="A633" s="1" t="s">
        <v>164</v>
      </c>
      <c r="B633" s="1" t="s">
        <v>63</v>
      </c>
      <c r="C633" s="5">
        <v>45611.0</v>
      </c>
      <c r="D633" s="1" t="s">
        <v>161</v>
      </c>
      <c r="E633" s="1" t="s">
        <v>11</v>
      </c>
      <c r="F633" s="1" t="s">
        <v>166</v>
      </c>
      <c r="H633" s="1">
        <v>0.0</v>
      </c>
      <c r="I633" s="1">
        <v>0.0</v>
      </c>
      <c r="J633" s="1">
        <v>0.0</v>
      </c>
      <c r="K633" s="1">
        <v>1.0</v>
      </c>
      <c r="L633" s="1">
        <v>2.0</v>
      </c>
      <c r="M633" s="1">
        <v>0.5</v>
      </c>
      <c r="N633" s="1">
        <v>7.6300001139999996</v>
      </c>
    </row>
    <row r="634" ht="15.75" customHeight="1">
      <c r="A634" s="1" t="s">
        <v>164</v>
      </c>
      <c r="B634" s="1" t="s">
        <v>74</v>
      </c>
      <c r="C634" s="5">
        <v>45611.0</v>
      </c>
      <c r="D634" s="1" t="s">
        <v>161</v>
      </c>
      <c r="E634" s="1" t="s">
        <v>11</v>
      </c>
      <c r="F634" s="1" t="s">
        <v>166</v>
      </c>
      <c r="H634" s="1">
        <v>0.0</v>
      </c>
      <c r="I634" s="1">
        <v>0.0</v>
      </c>
      <c r="J634" s="1">
        <v>0.0</v>
      </c>
      <c r="K634" s="1">
        <v>0.0</v>
      </c>
      <c r="L634" s="1">
        <v>4.0</v>
      </c>
      <c r="M634" s="1">
        <v>0.0</v>
      </c>
      <c r="N634" s="1">
        <v>4.96999979</v>
      </c>
    </row>
    <row r="635" ht="15.75" customHeight="1">
      <c r="A635" s="1" t="s">
        <v>164</v>
      </c>
      <c r="B635" s="1" t="s">
        <v>75</v>
      </c>
      <c r="C635" s="5">
        <v>45611.0</v>
      </c>
      <c r="D635" s="1" t="s">
        <v>161</v>
      </c>
      <c r="E635" s="1" t="s">
        <v>11</v>
      </c>
      <c r="F635" s="1" t="s">
        <v>165</v>
      </c>
      <c r="H635" s="1">
        <v>0.0</v>
      </c>
      <c r="I635" s="1">
        <v>0.0</v>
      </c>
      <c r="J635" s="1">
        <v>0.0</v>
      </c>
      <c r="K635" s="1">
        <v>0.0</v>
      </c>
      <c r="L635" s="1">
        <v>0.0</v>
      </c>
      <c r="N635" s="1">
        <v>4.46999979</v>
      </c>
    </row>
    <row r="636" ht="15.75" customHeight="1">
      <c r="A636" s="1" t="s">
        <v>164</v>
      </c>
      <c r="B636" s="1" t="s">
        <v>82</v>
      </c>
      <c r="C636" s="5">
        <v>45611.0</v>
      </c>
      <c r="D636" s="1" t="s">
        <v>161</v>
      </c>
      <c r="E636" s="1" t="s">
        <v>11</v>
      </c>
      <c r="F636" s="1" t="s">
        <v>165</v>
      </c>
      <c r="H636" s="1">
        <v>0.0</v>
      </c>
      <c r="I636" s="1">
        <v>0.0</v>
      </c>
      <c r="J636" s="1">
        <v>0.0</v>
      </c>
      <c r="K636" s="1">
        <v>0.0</v>
      </c>
      <c r="L636" s="1">
        <v>5.0</v>
      </c>
      <c r="M636" s="1">
        <v>0.0</v>
      </c>
      <c r="N636" s="1">
        <v>7.659999847</v>
      </c>
    </row>
    <row r="637" ht="15.75" customHeight="1">
      <c r="A637" s="1" t="s">
        <v>180</v>
      </c>
      <c r="B637" s="1" t="s">
        <v>214</v>
      </c>
      <c r="C637" s="5">
        <v>45611.0</v>
      </c>
      <c r="D637" s="1" t="s">
        <v>161</v>
      </c>
      <c r="E637" s="1" t="s">
        <v>11</v>
      </c>
      <c r="F637" s="1" t="s">
        <v>166</v>
      </c>
      <c r="H637" s="1">
        <v>0.0</v>
      </c>
      <c r="I637" s="1">
        <v>1.0</v>
      </c>
      <c r="J637" s="1">
        <v>0.0</v>
      </c>
      <c r="K637" s="1">
        <v>9.0</v>
      </c>
      <c r="L637" s="1">
        <v>9.0</v>
      </c>
      <c r="M637" s="1">
        <v>1.0</v>
      </c>
      <c r="N637" s="1">
        <v>10.43000031</v>
      </c>
    </row>
    <row r="638" ht="15.75" customHeight="1">
      <c r="A638" s="1" t="s">
        <v>164</v>
      </c>
      <c r="B638" s="1" t="s">
        <v>24</v>
      </c>
      <c r="C638" s="5">
        <v>45610.0</v>
      </c>
      <c r="D638" s="1" t="s">
        <v>161</v>
      </c>
      <c r="E638" s="1" t="s">
        <v>11</v>
      </c>
      <c r="F638" s="1" t="s">
        <v>166</v>
      </c>
      <c r="H638" s="1">
        <v>0.0</v>
      </c>
      <c r="I638" s="1">
        <v>0.0</v>
      </c>
      <c r="J638" s="1">
        <v>0.0</v>
      </c>
      <c r="K638" s="1">
        <v>1.0</v>
      </c>
      <c r="L638" s="1">
        <v>2.0</v>
      </c>
      <c r="M638" s="1">
        <v>0.5</v>
      </c>
      <c r="N638" s="1">
        <v>9.220000267</v>
      </c>
    </row>
    <row r="639" ht="15.75" customHeight="1">
      <c r="A639" s="1" t="s">
        <v>164</v>
      </c>
      <c r="B639" s="1" t="s">
        <v>60</v>
      </c>
      <c r="C639" s="5">
        <v>45610.0</v>
      </c>
      <c r="D639" s="1" t="s">
        <v>161</v>
      </c>
      <c r="E639" s="1" t="s">
        <v>11</v>
      </c>
      <c r="F639" s="1" t="s">
        <v>166</v>
      </c>
      <c r="H639" s="1">
        <v>0.0</v>
      </c>
      <c r="I639" s="1">
        <v>0.0</v>
      </c>
      <c r="J639" s="1">
        <v>0.0</v>
      </c>
      <c r="K639" s="1">
        <v>6.0</v>
      </c>
      <c r="L639" s="1">
        <v>13.0</v>
      </c>
      <c r="M639" s="1">
        <v>0.461538462</v>
      </c>
      <c r="N639" s="1">
        <v>12.52999973</v>
      </c>
    </row>
    <row r="640" ht="15.75" customHeight="1">
      <c r="A640" s="1" t="s">
        <v>164</v>
      </c>
      <c r="B640" s="1" t="s">
        <v>63</v>
      </c>
      <c r="C640" s="5">
        <v>45610.0</v>
      </c>
      <c r="D640" s="1" t="s">
        <v>161</v>
      </c>
      <c r="E640" s="1" t="s">
        <v>11</v>
      </c>
      <c r="F640" s="1" t="s">
        <v>166</v>
      </c>
      <c r="G640" s="1" t="s">
        <v>172</v>
      </c>
      <c r="H640" s="1">
        <v>1.0</v>
      </c>
      <c r="I640" s="1">
        <v>0.0</v>
      </c>
      <c r="J640" s="1">
        <v>0.0</v>
      </c>
      <c r="K640" s="1">
        <v>14.0</v>
      </c>
      <c r="L640" s="1">
        <v>25.0</v>
      </c>
      <c r="M640" s="1">
        <v>0.56</v>
      </c>
      <c r="N640" s="1">
        <v>11.93000031</v>
      </c>
    </row>
    <row r="641" ht="15.75" customHeight="1">
      <c r="A641" s="1" t="s">
        <v>164</v>
      </c>
      <c r="B641" s="1" t="s">
        <v>68</v>
      </c>
      <c r="C641" s="5">
        <v>45610.0</v>
      </c>
      <c r="D641" s="1" t="s">
        <v>161</v>
      </c>
      <c r="E641" s="1" t="s">
        <v>11</v>
      </c>
      <c r="F641" s="1" t="s">
        <v>165</v>
      </c>
      <c r="G641" s="1" t="s">
        <v>172</v>
      </c>
      <c r="H641" s="1">
        <v>1.0</v>
      </c>
      <c r="I641" s="1">
        <v>0.0</v>
      </c>
      <c r="J641" s="1">
        <v>0.0</v>
      </c>
      <c r="K641" s="1">
        <v>7.0</v>
      </c>
      <c r="L641" s="1">
        <v>10.0</v>
      </c>
      <c r="M641" s="1">
        <v>0.7</v>
      </c>
      <c r="N641" s="1">
        <v>10.5</v>
      </c>
    </row>
    <row r="642" ht="15.75" customHeight="1">
      <c r="A642" s="1" t="s">
        <v>164</v>
      </c>
      <c r="B642" s="1" t="s">
        <v>74</v>
      </c>
      <c r="C642" s="5">
        <v>45610.0</v>
      </c>
      <c r="D642" s="1" t="s">
        <v>161</v>
      </c>
      <c r="E642" s="1" t="s">
        <v>11</v>
      </c>
      <c r="F642" s="1" t="s">
        <v>166</v>
      </c>
      <c r="H642" s="1">
        <v>0.0</v>
      </c>
      <c r="I642" s="1">
        <v>0.0</v>
      </c>
      <c r="J642" s="1">
        <v>0.0</v>
      </c>
      <c r="K642" s="1">
        <v>2.0</v>
      </c>
      <c r="L642" s="1">
        <v>6.0</v>
      </c>
      <c r="M642" s="1">
        <v>0.333333333</v>
      </c>
      <c r="N642" s="1">
        <v>14.30000019</v>
      </c>
    </row>
    <row r="643" ht="15.75" customHeight="1">
      <c r="A643" s="1" t="s">
        <v>164</v>
      </c>
      <c r="B643" s="1" t="s">
        <v>75</v>
      </c>
      <c r="C643" s="5">
        <v>45610.0</v>
      </c>
      <c r="D643" s="1" t="s">
        <v>161</v>
      </c>
      <c r="E643" s="1" t="s">
        <v>11</v>
      </c>
      <c r="F643" s="1" t="s">
        <v>165</v>
      </c>
      <c r="H643" s="1">
        <v>0.0</v>
      </c>
      <c r="I643" s="1">
        <v>0.0</v>
      </c>
      <c r="J643" s="1">
        <v>0.0</v>
      </c>
      <c r="K643" s="1">
        <v>11.0</v>
      </c>
      <c r="L643" s="1">
        <v>21.0</v>
      </c>
      <c r="M643" s="1">
        <v>0.523809524</v>
      </c>
      <c r="N643" s="1">
        <v>11.64000034</v>
      </c>
    </row>
    <row r="644" ht="15.75" customHeight="1">
      <c r="A644" s="1" t="s">
        <v>164</v>
      </c>
      <c r="B644" s="1" t="s">
        <v>82</v>
      </c>
      <c r="C644" s="5">
        <v>45610.0</v>
      </c>
      <c r="D644" s="1" t="s">
        <v>161</v>
      </c>
      <c r="E644" s="1" t="s">
        <v>11</v>
      </c>
      <c r="F644" s="1" t="s">
        <v>165</v>
      </c>
      <c r="H644" s="1">
        <v>0.0</v>
      </c>
      <c r="I644" s="1">
        <v>0.0</v>
      </c>
      <c r="J644" s="1">
        <v>0.0</v>
      </c>
      <c r="K644" s="1">
        <v>0.0</v>
      </c>
      <c r="L644" s="1">
        <v>4.0</v>
      </c>
      <c r="M644" s="1">
        <v>0.0</v>
      </c>
      <c r="N644" s="1">
        <v>9.609999657</v>
      </c>
    </row>
    <row r="645" ht="15.75" customHeight="1">
      <c r="A645" s="1" t="s">
        <v>160</v>
      </c>
      <c r="B645" s="1" t="s">
        <v>50</v>
      </c>
      <c r="C645" s="5">
        <v>45609.0</v>
      </c>
      <c r="D645" s="1" t="s">
        <v>161</v>
      </c>
      <c r="E645" s="1" t="s">
        <v>11</v>
      </c>
      <c r="F645" s="1" t="s">
        <v>166</v>
      </c>
      <c r="H645" s="1">
        <v>0.0</v>
      </c>
      <c r="I645" s="1">
        <v>0.0</v>
      </c>
      <c r="J645" s="1">
        <v>0.0</v>
      </c>
      <c r="K645" s="1">
        <v>0.0</v>
      </c>
      <c r="L645" s="1">
        <v>0.0</v>
      </c>
      <c r="N645" s="1">
        <v>1.299999952</v>
      </c>
    </row>
    <row r="646" ht="15.75" customHeight="1">
      <c r="A646" s="1" t="s">
        <v>164</v>
      </c>
      <c r="B646" s="1" t="s">
        <v>24</v>
      </c>
      <c r="C646" s="5">
        <v>45609.0</v>
      </c>
      <c r="D646" s="1" t="s">
        <v>161</v>
      </c>
      <c r="E646" s="1" t="s">
        <v>11</v>
      </c>
      <c r="F646" s="1" t="s">
        <v>166</v>
      </c>
      <c r="H646" s="1">
        <v>0.0</v>
      </c>
      <c r="I646" s="1">
        <v>0.0</v>
      </c>
      <c r="J646" s="1">
        <v>0.0</v>
      </c>
      <c r="K646" s="1">
        <v>2.0</v>
      </c>
      <c r="L646" s="1">
        <v>7.0</v>
      </c>
      <c r="M646" s="1">
        <v>0.285714286</v>
      </c>
      <c r="N646" s="1">
        <v>9.090000153</v>
      </c>
    </row>
    <row r="647" ht="15.75" customHeight="1">
      <c r="A647" s="1" t="s">
        <v>164</v>
      </c>
      <c r="B647" s="1" t="s">
        <v>52</v>
      </c>
      <c r="C647" s="5">
        <v>45609.0</v>
      </c>
      <c r="D647" s="1" t="s">
        <v>161</v>
      </c>
      <c r="E647" s="1" t="s">
        <v>11</v>
      </c>
      <c r="F647" s="1" t="s">
        <v>165</v>
      </c>
      <c r="H647" s="1">
        <v>0.0</v>
      </c>
      <c r="I647" s="1">
        <v>0.0</v>
      </c>
      <c r="J647" s="1">
        <v>0.0</v>
      </c>
      <c r="K647" s="1">
        <v>3.0</v>
      </c>
      <c r="L647" s="1">
        <v>7.0</v>
      </c>
      <c r="M647" s="1">
        <v>0.428571429</v>
      </c>
      <c r="N647" s="1">
        <v>9.260000229</v>
      </c>
    </row>
    <row r="648" ht="15.75" customHeight="1">
      <c r="A648" s="1" t="s">
        <v>164</v>
      </c>
      <c r="B648" s="1" t="s">
        <v>60</v>
      </c>
      <c r="C648" s="5">
        <v>45609.0</v>
      </c>
      <c r="D648" s="1" t="s">
        <v>161</v>
      </c>
      <c r="E648" s="1" t="s">
        <v>11</v>
      </c>
      <c r="F648" s="1" t="s">
        <v>166</v>
      </c>
      <c r="H648" s="1">
        <v>0.0</v>
      </c>
      <c r="I648" s="1">
        <v>0.0</v>
      </c>
      <c r="J648" s="1">
        <v>0.0</v>
      </c>
      <c r="K648" s="1">
        <v>2.0</v>
      </c>
      <c r="L648" s="1">
        <v>6.0</v>
      </c>
      <c r="M648" s="1">
        <v>0.333333333</v>
      </c>
      <c r="N648" s="1">
        <v>10.56000042</v>
      </c>
    </row>
    <row r="649" ht="15.75" customHeight="1">
      <c r="A649" s="1" t="s">
        <v>164</v>
      </c>
      <c r="B649" s="1" t="s">
        <v>63</v>
      </c>
      <c r="C649" s="5">
        <v>45609.0</v>
      </c>
      <c r="D649" s="1" t="s">
        <v>161</v>
      </c>
      <c r="E649" s="1" t="s">
        <v>11</v>
      </c>
      <c r="F649" s="1" t="s">
        <v>166</v>
      </c>
      <c r="G649" s="1" t="s">
        <v>172</v>
      </c>
      <c r="H649" s="1">
        <v>1.0</v>
      </c>
      <c r="I649" s="1">
        <v>0.0</v>
      </c>
      <c r="J649" s="1">
        <v>0.0</v>
      </c>
      <c r="K649" s="1">
        <v>9.0</v>
      </c>
      <c r="L649" s="1">
        <v>14.0</v>
      </c>
      <c r="M649" s="1">
        <v>0.642857143</v>
      </c>
      <c r="N649" s="1">
        <v>11.06000042</v>
      </c>
    </row>
    <row r="650" ht="15.75" customHeight="1">
      <c r="A650" s="1" t="s">
        <v>164</v>
      </c>
      <c r="B650" s="1" t="s">
        <v>68</v>
      </c>
      <c r="C650" s="5">
        <v>45609.0</v>
      </c>
      <c r="D650" s="1" t="s">
        <v>161</v>
      </c>
      <c r="E650" s="1" t="s">
        <v>11</v>
      </c>
      <c r="F650" s="1" t="s">
        <v>165</v>
      </c>
      <c r="G650" s="1" t="s">
        <v>172</v>
      </c>
      <c r="H650" s="1">
        <v>1.0</v>
      </c>
      <c r="I650" s="1">
        <v>0.0</v>
      </c>
      <c r="J650" s="1">
        <v>0.0</v>
      </c>
      <c r="K650" s="1">
        <v>5.0</v>
      </c>
      <c r="L650" s="1">
        <v>8.0</v>
      </c>
      <c r="M650" s="1">
        <v>0.625</v>
      </c>
      <c r="N650" s="1">
        <v>8.300000191</v>
      </c>
    </row>
    <row r="651" ht="15.75" customHeight="1">
      <c r="A651" s="1" t="s">
        <v>164</v>
      </c>
      <c r="B651" s="1" t="s">
        <v>74</v>
      </c>
      <c r="C651" s="5">
        <v>45609.0</v>
      </c>
      <c r="D651" s="1" t="s">
        <v>161</v>
      </c>
      <c r="E651" s="1" t="s">
        <v>11</v>
      </c>
      <c r="F651" s="1" t="s">
        <v>166</v>
      </c>
      <c r="G651" s="1" t="s">
        <v>215</v>
      </c>
      <c r="H651" s="1">
        <v>2.0</v>
      </c>
      <c r="I651" s="1">
        <v>0.0</v>
      </c>
      <c r="J651" s="1">
        <v>0.0</v>
      </c>
      <c r="K651" s="1">
        <v>2.0</v>
      </c>
      <c r="L651" s="1">
        <v>9.0</v>
      </c>
      <c r="M651" s="1">
        <v>0.222222222</v>
      </c>
      <c r="N651" s="1">
        <v>13.82999992</v>
      </c>
    </row>
    <row r="652" ht="15.75" customHeight="1">
      <c r="A652" s="1" t="s">
        <v>164</v>
      </c>
      <c r="B652" s="1" t="s">
        <v>75</v>
      </c>
      <c r="C652" s="5">
        <v>45609.0</v>
      </c>
      <c r="D652" s="1" t="s">
        <v>161</v>
      </c>
      <c r="E652" s="1" t="s">
        <v>11</v>
      </c>
      <c r="F652" s="1" t="s">
        <v>165</v>
      </c>
      <c r="H652" s="1">
        <v>0.0</v>
      </c>
      <c r="I652" s="1">
        <v>0.0</v>
      </c>
      <c r="J652" s="1">
        <v>0.0</v>
      </c>
      <c r="K652" s="1">
        <v>4.0</v>
      </c>
      <c r="L652" s="1">
        <v>10.0</v>
      </c>
      <c r="M652" s="1">
        <v>0.4</v>
      </c>
      <c r="N652" s="1">
        <v>10.30000019</v>
      </c>
    </row>
    <row r="653" ht="15.75" customHeight="1">
      <c r="A653" s="1" t="s">
        <v>180</v>
      </c>
      <c r="B653" s="1" t="s">
        <v>214</v>
      </c>
      <c r="C653" s="5">
        <v>45609.0</v>
      </c>
      <c r="D653" s="1" t="s">
        <v>161</v>
      </c>
      <c r="E653" s="1" t="s">
        <v>11</v>
      </c>
      <c r="F653" s="1" t="s">
        <v>166</v>
      </c>
      <c r="H653" s="1">
        <v>0.0</v>
      </c>
      <c r="I653" s="1">
        <v>0.0</v>
      </c>
      <c r="J653" s="1">
        <v>0.0</v>
      </c>
      <c r="K653" s="1">
        <v>6.0</v>
      </c>
      <c r="L653" s="1">
        <v>7.0</v>
      </c>
      <c r="M653" s="1">
        <v>0.857142857</v>
      </c>
      <c r="N653" s="1">
        <v>6.989999771</v>
      </c>
    </row>
    <row r="654" ht="15.75" customHeight="1">
      <c r="A654" s="1" t="s">
        <v>160</v>
      </c>
      <c r="B654" s="1" t="s">
        <v>18</v>
      </c>
      <c r="C654" s="5">
        <v>45608.0</v>
      </c>
      <c r="D654" s="1" t="s">
        <v>161</v>
      </c>
      <c r="E654" s="1" t="s">
        <v>11</v>
      </c>
      <c r="F654" s="1" t="s">
        <v>162</v>
      </c>
      <c r="H654" s="1">
        <v>0.0</v>
      </c>
      <c r="I654" s="1">
        <v>0.0</v>
      </c>
      <c r="J654" s="1">
        <v>0.0</v>
      </c>
      <c r="K654" s="1">
        <v>0.0</v>
      </c>
      <c r="L654" s="1">
        <v>1.0</v>
      </c>
      <c r="M654" s="1">
        <v>0.0</v>
      </c>
      <c r="N654" s="1">
        <v>1.49000001</v>
      </c>
    </row>
    <row r="655" ht="15.75" customHeight="1">
      <c r="A655" s="1" t="s">
        <v>164</v>
      </c>
      <c r="B655" s="1" t="s">
        <v>24</v>
      </c>
      <c r="C655" s="5">
        <v>45608.0</v>
      </c>
      <c r="D655" s="1" t="s">
        <v>161</v>
      </c>
      <c r="E655" s="1" t="s">
        <v>11</v>
      </c>
      <c r="H655" s="1">
        <v>0.0</v>
      </c>
      <c r="J655" s="1">
        <v>0.0</v>
      </c>
      <c r="N655" s="1">
        <v>2.200000048</v>
      </c>
    </row>
    <row r="656" ht="15.75" customHeight="1">
      <c r="A656" s="1" t="s">
        <v>164</v>
      </c>
      <c r="B656" s="1" t="s">
        <v>52</v>
      </c>
      <c r="C656" s="5">
        <v>45608.0</v>
      </c>
      <c r="D656" s="1" t="s">
        <v>161</v>
      </c>
      <c r="E656" s="1" t="s">
        <v>11</v>
      </c>
      <c r="F656" s="1" t="s">
        <v>165</v>
      </c>
      <c r="H656" s="1">
        <v>0.0</v>
      </c>
      <c r="I656" s="1">
        <v>0.0</v>
      </c>
      <c r="J656" s="1">
        <v>0.0</v>
      </c>
      <c r="K656" s="1">
        <v>2.0</v>
      </c>
      <c r="L656" s="1">
        <v>8.0</v>
      </c>
      <c r="M656" s="1">
        <v>0.25</v>
      </c>
      <c r="N656" s="1">
        <v>9.180000305</v>
      </c>
    </row>
    <row r="657" ht="15.75" customHeight="1">
      <c r="A657" s="1" t="s">
        <v>164</v>
      </c>
      <c r="B657" s="1" t="s">
        <v>60</v>
      </c>
      <c r="C657" s="5">
        <v>45608.0</v>
      </c>
      <c r="D657" s="1" t="s">
        <v>161</v>
      </c>
      <c r="E657" s="1" t="s">
        <v>11</v>
      </c>
      <c r="F657" s="1" t="s">
        <v>166</v>
      </c>
      <c r="H657" s="1">
        <v>0.0</v>
      </c>
      <c r="I657" s="1">
        <v>0.0</v>
      </c>
      <c r="J657" s="1">
        <v>0.0</v>
      </c>
      <c r="K657" s="1">
        <v>4.0</v>
      </c>
      <c r="L657" s="1">
        <v>7.0</v>
      </c>
      <c r="M657" s="1">
        <v>0.571428571</v>
      </c>
      <c r="N657" s="1">
        <v>13.53999996</v>
      </c>
    </row>
    <row r="658" ht="15.75" customHeight="1">
      <c r="A658" s="1" t="s">
        <v>164</v>
      </c>
      <c r="B658" s="1" t="s">
        <v>63</v>
      </c>
      <c r="C658" s="5">
        <v>45608.0</v>
      </c>
      <c r="D658" s="1" t="s">
        <v>161</v>
      </c>
      <c r="E658" s="1" t="s">
        <v>11</v>
      </c>
      <c r="F658" s="1" t="s">
        <v>166</v>
      </c>
      <c r="G658" s="1" t="s">
        <v>172</v>
      </c>
      <c r="H658" s="1">
        <v>1.0</v>
      </c>
      <c r="I658" s="1">
        <v>0.0</v>
      </c>
      <c r="J658" s="1">
        <v>0.0</v>
      </c>
      <c r="K658" s="1">
        <v>4.0</v>
      </c>
      <c r="L658" s="1">
        <v>15.0</v>
      </c>
      <c r="M658" s="1">
        <v>0.266666667</v>
      </c>
      <c r="N658" s="1">
        <v>14.18000031</v>
      </c>
    </row>
    <row r="659" ht="15.75" customHeight="1">
      <c r="A659" s="1" t="s">
        <v>164</v>
      </c>
      <c r="B659" s="1" t="s">
        <v>68</v>
      </c>
      <c r="C659" s="5">
        <v>45608.0</v>
      </c>
      <c r="D659" s="1" t="s">
        <v>161</v>
      </c>
      <c r="E659" s="1" t="s">
        <v>11</v>
      </c>
      <c r="F659" s="1" t="s">
        <v>165</v>
      </c>
      <c r="H659" s="1">
        <v>0.0</v>
      </c>
      <c r="I659" s="1">
        <v>0.0</v>
      </c>
      <c r="J659" s="1">
        <v>0.0</v>
      </c>
      <c r="K659" s="1">
        <v>1.0</v>
      </c>
      <c r="L659" s="1">
        <v>5.0</v>
      </c>
      <c r="M659" s="1">
        <v>0.2</v>
      </c>
      <c r="N659" s="1">
        <v>11.05000019</v>
      </c>
    </row>
    <row r="660" ht="15.75" customHeight="1">
      <c r="A660" s="1" t="s">
        <v>164</v>
      </c>
      <c r="B660" s="1" t="s">
        <v>74</v>
      </c>
      <c r="C660" s="5">
        <v>45608.0</v>
      </c>
      <c r="D660" s="1" t="s">
        <v>161</v>
      </c>
      <c r="E660" s="1" t="s">
        <v>11</v>
      </c>
      <c r="F660" s="1" t="s">
        <v>166</v>
      </c>
      <c r="H660" s="1">
        <v>0.0</v>
      </c>
      <c r="I660" s="1">
        <v>0.0</v>
      </c>
      <c r="J660" s="1">
        <v>0.0</v>
      </c>
      <c r="K660" s="1">
        <v>1.0</v>
      </c>
      <c r="L660" s="1">
        <v>3.0</v>
      </c>
      <c r="M660" s="1">
        <v>0.333333333</v>
      </c>
      <c r="N660" s="1">
        <v>8.890000343</v>
      </c>
    </row>
    <row r="661" ht="15.75" customHeight="1">
      <c r="A661" s="1" t="s">
        <v>164</v>
      </c>
      <c r="B661" s="1" t="s">
        <v>75</v>
      </c>
      <c r="C661" s="5">
        <v>45608.0</v>
      </c>
      <c r="D661" s="1" t="s">
        <v>161</v>
      </c>
      <c r="E661" s="1" t="s">
        <v>11</v>
      </c>
      <c r="F661" s="1" t="s">
        <v>165</v>
      </c>
      <c r="H661" s="1">
        <v>0.0</v>
      </c>
      <c r="I661" s="1">
        <v>1.0</v>
      </c>
      <c r="J661" s="1">
        <v>0.0</v>
      </c>
      <c r="K661" s="1">
        <v>16.0</v>
      </c>
      <c r="L661" s="1">
        <v>19.0</v>
      </c>
      <c r="M661" s="1">
        <v>0.842105263</v>
      </c>
      <c r="N661" s="1">
        <v>2.75</v>
      </c>
    </row>
    <row r="662" ht="15.75" customHeight="1">
      <c r="A662" s="1" t="s">
        <v>164</v>
      </c>
      <c r="B662" s="1" t="s">
        <v>82</v>
      </c>
      <c r="C662" s="5">
        <v>45608.0</v>
      </c>
      <c r="D662" s="1" t="s">
        <v>161</v>
      </c>
      <c r="E662" s="1" t="s">
        <v>11</v>
      </c>
      <c r="F662" s="1" t="s">
        <v>165</v>
      </c>
      <c r="H662" s="1">
        <v>0.0</v>
      </c>
      <c r="I662" s="1">
        <v>0.0</v>
      </c>
      <c r="J662" s="1">
        <v>0.0</v>
      </c>
      <c r="K662" s="1">
        <v>0.0</v>
      </c>
      <c r="L662" s="1">
        <v>3.0</v>
      </c>
      <c r="M662" s="1">
        <v>0.0</v>
      </c>
      <c r="N662" s="1">
        <v>7.8699998860000004</v>
      </c>
    </row>
    <row r="663" ht="15.75" customHeight="1">
      <c r="A663" s="1" t="s">
        <v>160</v>
      </c>
      <c r="B663" s="1" t="s">
        <v>94</v>
      </c>
      <c r="C663" s="5">
        <v>45607.0</v>
      </c>
      <c r="D663" s="1" t="s">
        <v>161</v>
      </c>
      <c r="E663" s="1" t="s">
        <v>190</v>
      </c>
      <c r="H663" s="1">
        <v>0.0</v>
      </c>
      <c r="J663" s="1">
        <v>0.0</v>
      </c>
      <c r="N663" s="1">
        <v>1.309999943</v>
      </c>
    </row>
    <row r="664" ht="15.75" customHeight="1">
      <c r="A664" s="1" t="s">
        <v>164</v>
      </c>
      <c r="B664" s="1" t="s">
        <v>216</v>
      </c>
      <c r="C664" s="5">
        <v>45607.0</v>
      </c>
      <c r="D664" s="1" t="s">
        <v>161</v>
      </c>
      <c r="E664" s="1" t="s">
        <v>11</v>
      </c>
      <c r="F664" s="1" t="s">
        <v>166</v>
      </c>
      <c r="H664" s="1">
        <v>0.0</v>
      </c>
      <c r="I664" s="1">
        <v>0.0</v>
      </c>
      <c r="J664" s="1">
        <v>0.0</v>
      </c>
      <c r="K664" s="1">
        <v>0.0</v>
      </c>
      <c r="L664" s="1">
        <v>1.0</v>
      </c>
      <c r="M664" s="1">
        <v>0.0</v>
      </c>
      <c r="N664" s="1">
        <v>3.319999933</v>
      </c>
    </row>
    <row r="665" ht="15.75" customHeight="1">
      <c r="A665" s="1" t="s">
        <v>164</v>
      </c>
      <c r="B665" s="1" t="s">
        <v>196</v>
      </c>
      <c r="C665" s="5">
        <v>45607.0</v>
      </c>
      <c r="D665" s="1" t="s">
        <v>161</v>
      </c>
      <c r="E665" s="1" t="s">
        <v>11</v>
      </c>
      <c r="F665" s="1" t="s">
        <v>165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N665" s="1">
        <v>0.680000007</v>
      </c>
    </row>
    <row r="666" ht="15.75" customHeight="1">
      <c r="A666" s="1" t="s">
        <v>164</v>
      </c>
      <c r="B666" s="1" t="s">
        <v>60</v>
      </c>
      <c r="C666" s="5">
        <v>45607.0</v>
      </c>
      <c r="D666" s="1" t="s">
        <v>161</v>
      </c>
      <c r="E666" s="1" t="s">
        <v>11</v>
      </c>
      <c r="F666" s="1" t="s">
        <v>166</v>
      </c>
      <c r="H666" s="1">
        <v>0.0</v>
      </c>
      <c r="I666" s="1">
        <v>0.0</v>
      </c>
      <c r="J666" s="1">
        <v>0.0</v>
      </c>
      <c r="K666" s="1">
        <v>3.0</v>
      </c>
      <c r="L666" s="1">
        <v>6.0</v>
      </c>
      <c r="M666" s="1">
        <v>0.5</v>
      </c>
      <c r="N666" s="1">
        <v>6.860000134</v>
      </c>
    </row>
    <row r="667" ht="15.75" customHeight="1">
      <c r="A667" s="1" t="s">
        <v>164</v>
      </c>
      <c r="B667" s="1" t="s">
        <v>63</v>
      </c>
      <c r="C667" s="5">
        <v>45607.0</v>
      </c>
      <c r="D667" s="1" t="s">
        <v>161</v>
      </c>
      <c r="E667" s="1" t="s">
        <v>11</v>
      </c>
      <c r="H667" s="1">
        <v>0.0</v>
      </c>
      <c r="J667" s="1">
        <v>0.0</v>
      </c>
      <c r="N667" s="1">
        <v>9.449999809</v>
      </c>
    </row>
    <row r="668" ht="15.75" customHeight="1">
      <c r="A668" s="1" t="s">
        <v>164</v>
      </c>
      <c r="B668" s="1" t="s">
        <v>183</v>
      </c>
      <c r="C668" s="5">
        <v>45607.0</v>
      </c>
      <c r="D668" s="1" t="s">
        <v>161</v>
      </c>
      <c r="E668" s="1" t="s">
        <v>11</v>
      </c>
      <c r="F668" s="1" t="s">
        <v>166</v>
      </c>
      <c r="H668" s="1">
        <v>0.0</v>
      </c>
      <c r="I668" s="1">
        <v>0.0</v>
      </c>
      <c r="J668" s="1">
        <v>0.0</v>
      </c>
      <c r="K668" s="1">
        <v>3.0</v>
      </c>
      <c r="L668" s="1">
        <v>4.0</v>
      </c>
      <c r="M668" s="1">
        <v>0.75</v>
      </c>
      <c r="N668" s="1">
        <v>7.329999924</v>
      </c>
    </row>
    <row r="669" ht="15.75" customHeight="1">
      <c r="A669" s="1" t="s">
        <v>164</v>
      </c>
      <c r="B669" s="1" t="s">
        <v>68</v>
      </c>
      <c r="C669" s="5">
        <v>45607.0</v>
      </c>
      <c r="D669" s="1" t="s">
        <v>161</v>
      </c>
      <c r="E669" s="1" t="s">
        <v>11</v>
      </c>
      <c r="F669" s="1" t="s">
        <v>165</v>
      </c>
      <c r="H669" s="1">
        <v>0.0</v>
      </c>
      <c r="I669" s="1">
        <v>0.0</v>
      </c>
      <c r="J669" s="1">
        <v>0.0</v>
      </c>
      <c r="K669" s="1">
        <v>4.0</v>
      </c>
      <c r="L669" s="1">
        <v>6.0</v>
      </c>
      <c r="M669" s="1">
        <v>0.666666667</v>
      </c>
      <c r="N669" s="1">
        <v>11.31999969</v>
      </c>
    </row>
    <row r="670" ht="15.75" customHeight="1">
      <c r="A670" s="1" t="s">
        <v>164</v>
      </c>
      <c r="B670" s="1" t="s">
        <v>75</v>
      </c>
      <c r="C670" s="5">
        <v>45607.0</v>
      </c>
      <c r="D670" s="1" t="s">
        <v>161</v>
      </c>
      <c r="E670" s="1" t="s">
        <v>11</v>
      </c>
      <c r="F670" s="1" t="s">
        <v>165</v>
      </c>
      <c r="H670" s="1">
        <v>0.0</v>
      </c>
      <c r="I670" s="1">
        <v>1.0</v>
      </c>
      <c r="J670" s="1">
        <v>0.0</v>
      </c>
      <c r="K670" s="1">
        <v>6.0</v>
      </c>
      <c r="L670" s="1">
        <v>7.0</v>
      </c>
      <c r="M670" s="1">
        <v>0.857142857</v>
      </c>
      <c r="N670" s="1">
        <v>7.360000134</v>
      </c>
    </row>
    <row r="671" ht="15.75" customHeight="1">
      <c r="A671" s="1" t="s">
        <v>160</v>
      </c>
      <c r="B671" s="1" t="s">
        <v>20</v>
      </c>
      <c r="C671" s="5">
        <v>45604.0</v>
      </c>
      <c r="D671" s="1" t="s">
        <v>161</v>
      </c>
      <c r="E671" s="1" t="s">
        <v>11</v>
      </c>
      <c r="H671" s="1">
        <v>0.0</v>
      </c>
      <c r="J671" s="1">
        <v>0.0</v>
      </c>
      <c r="N671" s="1">
        <v>0.839999974</v>
      </c>
    </row>
    <row r="672" ht="15.75" customHeight="1">
      <c r="A672" s="1" t="s">
        <v>160</v>
      </c>
      <c r="B672" s="1" t="s">
        <v>101</v>
      </c>
      <c r="C672" s="5">
        <v>45604.0</v>
      </c>
      <c r="D672" s="1" t="s">
        <v>161</v>
      </c>
      <c r="E672" s="1" t="s">
        <v>11</v>
      </c>
      <c r="F672" s="1" t="s">
        <v>162</v>
      </c>
      <c r="H672" s="1">
        <v>0.0</v>
      </c>
      <c r="I672" s="1">
        <v>0.0</v>
      </c>
      <c r="J672" s="1">
        <v>0.0</v>
      </c>
      <c r="K672" s="1">
        <v>4.0</v>
      </c>
      <c r="L672" s="1">
        <v>13.0</v>
      </c>
      <c r="M672" s="1">
        <v>0.307692308</v>
      </c>
      <c r="N672" s="1">
        <v>11.5</v>
      </c>
    </row>
    <row r="673" ht="15.75" customHeight="1">
      <c r="A673" s="1" t="s">
        <v>160</v>
      </c>
      <c r="B673" s="1" t="s">
        <v>94</v>
      </c>
      <c r="C673" s="5">
        <v>45604.0</v>
      </c>
      <c r="D673" s="1" t="s">
        <v>161</v>
      </c>
      <c r="E673" s="1" t="s">
        <v>190</v>
      </c>
      <c r="H673" s="1">
        <v>0.0</v>
      </c>
      <c r="J673" s="1">
        <v>0.0</v>
      </c>
      <c r="N673" s="1">
        <v>0.230000004</v>
      </c>
    </row>
    <row r="674" ht="15.75" customHeight="1">
      <c r="A674" s="1" t="s">
        <v>164</v>
      </c>
      <c r="B674" s="1" t="s">
        <v>24</v>
      </c>
      <c r="C674" s="5">
        <v>45604.0</v>
      </c>
      <c r="D674" s="1" t="s">
        <v>161</v>
      </c>
      <c r="E674" s="1" t="s">
        <v>11</v>
      </c>
      <c r="H674" s="1">
        <v>0.0</v>
      </c>
      <c r="J674" s="1">
        <v>0.0</v>
      </c>
      <c r="N674" s="1">
        <v>1.190000057</v>
      </c>
    </row>
    <row r="675" ht="15.75" customHeight="1">
      <c r="A675" s="1" t="s">
        <v>164</v>
      </c>
      <c r="B675" s="1" t="s">
        <v>207</v>
      </c>
      <c r="C675" s="5">
        <v>45604.0</v>
      </c>
      <c r="D675" s="1" t="s">
        <v>161</v>
      </c>
      <c r="E675" s="1" t="s">
        <v>11</v>
      </c>
      <c r="F675" s="1" t="s">
        <v>166</v>
      </c>
      <c r="H675" s="1">
        <v>0.0</v>
      </c>
      <c r="I675" s="1">
        <v>0.0</v>
      </c>
      <c r="J675" s="1">
        <v>0.0</v>
      </c>
      <c r="K675" s="1">
        <v>0.0</v>
      </c>
      <c r="L675" s="1">
        <v>16.0</v>
      </c>
      <c r="M675" s="1">
        <v>0.0</v>
      </c>
      <c r="N675" s="1">
        <v>2.9400000569999998</v>
      </c>
    </row>
    <row r="676" ht="15.75" customHeight="1">
      <c r="A676" s="1" t="s">
        <v>164</v>
      </c>
      <c r="B676" s="1" t="s">
        <v>55</v>
      </c>
      <c r="C676" s="5">
        <v>45604.0</v>
      </c>
      <c r="D676" s="1" t="s">
        <v>161</v>
      </c>
      <c r="E676" s="1" t="s">
        <v>11</v>
      </c>
      <c r="H676" s="1">
        <v>0.0</v>
      </c>
      <c r="J676" s="1">
        <v>0.0</v>
      </c>
      <c r="N676" s="1">
        <v>2.670000076</v>
      </c>
    </row>
    <row r="677" ht="15.75" customHeight="1">
      <c r="A677" s="1" t="s">
        <v>164</v>
      </c>
      <c r="B677" s="1" t="s">
        <v>60</v>
      </c>
      <c r="C677" s="5">
        <v>45604.0</v>
      </c>
      <c r="D677" s="1" t="s">
        <v>161</v>
      </c>
      <c r="E677" s="1" t="s">
        <v>11</v>
      </c>
      <c r="F677" s="1" t="s">
        <v>166</v>
      </c>
      <c r="H677" s="1">
        <v>0.0</v>
      </c>
      <c r="I677" s="1">
        <v>0.0</v>
      </c>
      <c r="J677" s="1">
        <v>0.0</v>
      </c>
      <c r="K677" s="1">
        <v>0.0</v>
      </c>
      <c r="L677" s="1">
        <v>0.0</v>
      </c>
      <c r="N677" s="1">
        <v>2.049999952</v>
      </c>
    </row>
    <row r="678" ht="15.75" customHeight="1">
      <c r="A678" s="1" t="s">
        <v>164</v>
      </c>
      <c r="B678" s="1" t="s">
        <v>63</v>
      </c>
      <c r="C678" s="5">
        <v>45604.0</v>
      </c>
      <c r="D678" s="1" t="s">
        <v>161</v>
      </c>
      <c r="E678" s="1" t="s">
        <v>11</v>
      </c>
      <c r="H678" s="1">
        <v>0.0</v>
      </c>
      <c r="J678" s="1">
        <v>0.0</v>
      </c>
      <c r="N678" s="1">
        <v>0.74000001</v>
      </c>
    </row>
    <row r="679" ht="15.75" customHeight="1">
      <c r="A679" s="1" t="s">
        <v>164</v>
      </c>
      <c r="B679" s="1" t="s">
        <v>183</v>
      </c>
      <c r="C679" s="5">
        <v>45604.0</v>
      </c>
      <c r="D679" s="1" t="s">
        <v>161</v>
      </c>
      <c r="E679" s="1" t="s">
        <v>11</v>
      </c>
      <c r="F679" s="1" t="s">
        <v>166</v>
      </c>
      <c r="H679" s="1">
        <v>0.0</v>
      </c>
      <c r="I679" s="1">
        <v>0.0</v>
      </c>
      <c r="J679" s="1">
        <v>0.0</v>
      </c>
      <c r="K679" s="1">
        <v>4.0</v>
      </c>
      <c r="L679" s="1">
        <v>5.0</v>
      </c>
      <c r="M679" s="1">
        <v>0.8</v>
      </c>
      <c r="N679" s="1">
        <v>7.1199998860000004</v>
      </c>
    </row>
    <row r="680" ht="15.75" customHeight="1">
      <c r="A680" s="1" t="s">
        <v>164</v>
      </c>
      <c r="B680" s="1" t="s">
        <v>74</v>
      </c>
      <c r="C680" s="5">
        <v>45604.0</v>
      </c>
      <c r="D680" s="1" t="s">
        <v>161</v>
      </c>
      <c r="E680" s="1" t="s">
        <v>11</v>
      </c>
      <c r="F680" s="1" t="s">
        <v>166</v>
      </c>
      <c r="H680" s="1">
        <v>0.0</v>
      </c>
      <c r="I680" s="1">
        <v>0.0</v>
      </c>
      <c r="J680" s="1">
        <v>0.0</v>
      </c>
      <c r="K680" s="1">
        <v>0.0</v>
      </c>
      <c r="L680" s="1">
        <v>0.0</v>
      </c>
      <c r="N680" s="1">
        <v>1.399999976</v>
      </c>
    </row>
    <row r="681" ht="15.75" customHeight="1">
      <c r="A681" s="1" t="s">
        <v>164</v>
      </c>
      <c r="B681" s="1" t="s">
        <v>75</v>
      </c>
      <c r="C681" s="5">
        <v>45604.0</v>
      </c>
      <c r="D681" s="1" t="s">
        <v>161</v>
      </c>
      <c r="E681" s="1" t="s">
        <v>11</v>
      </c>
      <c r="F681" s="1" t="s">
        <v>165</v>
      </c>
      <c r="H681" s="1">
        <v>0.0</v>
      </c>
      <c r="I681" s="1">
        <v>0.0</v>
      </c>
      <c r="J681" s="1">
        <v>0.0</v>
      </c>
      <c r="K681" s="1">
        <v>0.0</v>
      </c>
      <c r="L681" s="1">
        <v>0.0</v>
      </c>
      <c r="N681" s="1">
        <v>4.050000191</v>
      </c>
    </row>
    <row r="682" ht="15.75" customHeight="1">
      <c r="A682" s="1" t="s">
        <v>164</v>
      </c>
      <c r="B682" s="1" t="s">
        <v>24</v>
      </c>
      <c r="C682" s="5">
        <v>45603.0</v>
      </c>
      <c r="D682" s="1" t="s">
        <v>161</v>
      </c>
      <c r="E682" s="1" t="s">
        <v>11</v>
      </c>
      <c r="F682" s="1" t="s">
        <v>166</v>
      </c>
      <c r="H682" s="1">
        <v>0.0</v>
      </c>
      <c r="I682" s="1">
        <v>0.0</v>
      </c>
      <c r="J682" s="1">
        <v>0.0</v>
      </c>
      <c r="K682" s="1">
        <v>0.0</v>
      </c>
      <c r="L682" s="1">
        <v>1.0</v>
      </c>
      <c r="M682" s="1">
        <v>0.0</v>
      </c>
      <c r="N682" s="1">
        <v>7.449999809</v>
      </c>
    </row>
    <row r="683" ht="15.75" customHeight="1">
      <c r="A683" s="1" t="s">
        <v>164</v>
      </c>
      <c r="B683" s="1" t="s">
        <v>60</v>
      </c>
      <c r="C683" s="5">
        <v>45603.0</v>
      </c>
      <c r="D683" s="1" t="s">
        <v>161</v>
      </c>
      <c r="E683" s="1" t="s">
        <v>11</v>
      </c>
      <c r="F683" s="1" t="s">
        <v>166</v>
      </c>
      <c r="H683" s="1">
        <v>0.0</v>
      </c>
      <c r="I683" s="1">
        <v>0.0</v>
      </c>
      <c r="J683" s="1">
        <v>0.0</v>
      </c>
      <c r="K683" s="1">
        <v>3.0</v>
      </c>
      <c r="L683" s="1">
        <v>6.0</v>
      </c>
      <c r="M683" s="1">
        <v>0.5</v>
      </c>
      <c r="N683" s="1">
        <v>8.710000038</v>
      </c>
    </row>
    <row r="684" ht="15.75" customHeight="1">
      <c r="A684" s="1" t="s">
        <v>164</v>
      </c>
      <c r="B684" s="1" t="s">
        <v>63</v>
      </c>
      <c r="C684" s="5">
        <v>45603.0</v>
      </c>
      <c r="D684" s="1" t="s">
        <v>161</v>
      </c>
      <c r="E684" s="1" t="s">
        <v>11</v>
      </c>
      <c r="F684" s="1" t="s">
        <v>166</v>
      </c>
      <c r="H684" s="1">
        <v>0.0</v>
      </c>
      <c r="I684" s="1">
        <v>0.0</v>
      </c>
      <c r="J684" s="1">
        <v>0.0</v>
      </c>
      <c r="K684" s="1">
        <v>0.0</v>
      </c>
      <c r="L684" s="1">
        <v>5.0</v>
      </c>
      <c r="M684" s="1">
        <v>0.0</v>
      </c>
      <c r="N684" s="1">
        <v>6.710000038</v>
      </c>
    </row>
    <row r="685" ht="15.75" customHeight="1">
      <c r="A685" s="1" t="s">
        <v>164</v>
      </c>
      <c r="B685" s="1" t="s">
        <v>74</v>
      </c>
      <c r="C685" s="5">
        <v>45603.0</v>
      </c>
      <c r="D685" s="1" t="s">
        <v>161</v>
      </c>
      <c r="E685" s="1" t="s">
        <v>11</v>
      </c>
      <c r="F685" s="1" t="s">
        <v>166</v>
      </c>
      <c r="H685" s="1">
        <v>0.0</v>
      </c>
      <c r="I685" s="1">
        <v>1.0</v>
      </c>
      <c r="J685" s="1">
        <v>0.0</v>
      </c>
      <c r="K685" s="1">
        <v>5.0</v>
      </c>
      <c r="L685" s="1">
        <v>8.0</v>
      </c>
      <c r="M685" s="1">
        <v>0.625</v>
      </c>
      <c r="N685" s="1">
        <v>17.10000038</v>
      </c>
    </row>
    <row r="686" ht="15.75" customHeight="1">
      <c r="A686" s="1" t="s">
        <v>164</v>
      </c>
      <c r="B686" s="1" t="s">
        <v>75</v>
      </c>
      <c r="C686" s="5">
        <v>45603.0</v>
      </c>
      <c r="D686" s="1" t="s">
        <v>161</v>
      </c>
      <c r="E686" s="1" t="s">
        <v>11</v>
      </c>
      <c r="F686" s="1" t="s">
        <v>165</v>
      </c>
      <c r="H686" s="1">
        <v>0.0</v>
      </c>
      <c r="I686" s="1">
        <v>0.0</v>
      </c>
      <c r="J686" s="1">
        <v>0.0</v>
      </c>
      <c r="K686" s="1">
        <v>7.0</v>
      </c>
      <c r="L686" s="1">
        <v>10.0</v>
      </c>
      <c r="M686" s="1">
        <v>0.7</v>
      </c>
      <c r="N686" s="1">
        <v>14.84000015</v>
      </c>
    </row>
    <row r="687" ht="15.75" customHeight="1">
      <c r="A687" s="1" t="s">
        <v>164</v>
      </c>
      <c r="B687" s="1" t="s">
        <v>100</v>
      </c>
      <c r="C687" s="5">
        <v>45603.0</v>
      </c>
      <c r="D687" s="1" t="s">
        <v>161</v>
      </c>
      <c r="E687" s="1" t="s">
        <v>11</v>
      </c>
      <c r="F687" s="1" t="s">
        <v>171</v>
      </c>
      <c r="H687" s="1">
        <v>0.0</v>
      </c>
      <c r="I687" s="1">
        <v>1.0</v>
      </c>
      <c r="J687" s="1">
        <v>0.0</v>
      </c>
      <c r="K687" s="1">
        <v>20.0</v>
      </c>
      <c r="L687" s="1">
        <v>30.0</v>
      </c>
      <c r="M687" s="1">
        <v>0.666666667</v>
      </c>
      <c r="N687" s="1">
        <v>14.25</v>
      </c>
    </row>
    <row r="688" ht="15.75" customHeight="1">
      <c r="A688" s="1" t="s">
        <v>164</v>
      </c>
      <c r="B688" s="1" t="s">
        <v>82</v>
      </c>
      <c r="C688" s="5">
        <v>45603.0</v>
      </c>
      <c r="D688" s="1" t="s">
        <v>161</v>
      </c>
      <c r="E688" s="1" t="s">
        <v>11</v>
      </c>
      <c r="F688" s="1" t="s">
        <v>165</v>
      </c>
      <c r="H688" s="1">
        <v>0.0</v>
      </c>
      <c r="I688" s="1">
        <v>0.0</v>
      </c>
      <c r="J688" s="1">
        <v>0.0</v>
      </c>
      <c r="K688" s="1">
        <v>0.0</v>
      </c>
      <c r="L688" s="1">
        <v>8.0</v>
      </c>
      <c r="M688" s="1">
        <v>0.0</v>
      </c>
      <c r="N688" s="1">
        <v>12.85999966</v>
      </c>
    </row>
    <row r="689" ht="15.75" customHeight="1">
      <c r="A689" s="1" t="s">
        <v>160</v>
      </c>
      <c r="B689" s="1" t="s">
        <v>69</v>
      </c>
      <c r="C689" s="5">
        <v>45602.0</v>
      </c>
      <c r="D689" s="1" t="s">
        <v>161</v>
      </c>
      <c r="E689" s="1" t="s">
        <v>11</v>
      </c>
      <c r="F689" s="1" t="s">
        <v>165</v>
      </c>
      <c r="H689" s="1">
        <v>0.0</v>
      </c>
      <c r="I689" s="1">
        <v>0.0</v>
      </c>
      <c r="J689" s="1">
        <v>0.0</v>
      </c>
      <c r="K689" s="1">
        <v>0.0</v>
      </c>
      <c r="L689" s="1">
        <v>0.0</v>
      </c>
      <c r="N689" s="1">
        <v>0.939999998</v>
      </c>
    </row>
    <row r="690" ht="15.75" customHeight="1">
      <c r="A690" s="1" t="s">
        <v>164</v>
      </c>
      <c r="B690" s="1" t="s">
        <v>24</v>
      </c>
      <c r="C690" s="5">
        <v>45602.0</v>
      </c>
      <c r="D690" s="1" t="s">
        <v>161</v>
      </c>
      <c r="E690" s="1" t="s">
        <v>11</v>
      </c>
      <c r="F690" s="1" t="s">
        <v>166</v>
      </c>
      <c r="H690" s="1">
        <v>0.0</v>
      </c>
      <c r="I690" s="1">
        <v>0.0</v>
      </c>
      <c r="J690" s="1">
        <v>0.0</v>
      </c>
      <c r="K690" s="1">
        <v>0.0</v>
      </c>
      <c r="L690" s="1">
        <v>1.0</v>
      </c>
      <c r="M690" s="1">
        <v>0.0</v>
      </c>
      <c r="N690" s="1">
        <v>2.549999952</v>
      </c>
    </row>
    <row r="691" ht="15.75" customHeight="1">
      <c r="A691" s="1" t="s">
        <v>164</v>
      </c>
      <c r="B691" s="1" t="s">
        <v>52</v>
      </c>
      <c r="C691" s="5">
        <v>45602.0</v>
      </c>
      <c r="D691" s="1" t="s">
        <v>161</v>
      </c>
      <c r="E691" s="1" t="s">
        <v>11</v>
      </c>
      <c r="F691" s="1" t="s">
        <v>165</v>
      </c>
      <c r="H691" s="1">
        <v>0.0</v>
      </c>
      <c r="I691" s="1">
        <v>0.0</v>
      </c>
      <c r="J691" s="1">
        <v>0.0</v>
      </c>
      <c r="K691" s="1">
        <v>1.0</v>
      </c>
      <c r="L691" s="1">
        <v>4.0</v>
      </c>
      <c r="M691" s="1">
        <v>0.25</v>
      </c>
      <c r="N691" s="1">
        <v>5.650000095</v>
      </c>
    </row>
    <row r="692" ht="15.75" customHeight="1">
      <c r="A692" s="1" t="s">
        <v>164</v>
      </c>
      <c r="B692" s="1" t="s">
        <v>60</v>
      </c>
      <c r="C692" s="5">
        <v>45602.0</v>
      </c>
      <c r="D692" s="1" t="s">
        <v>161</v>
      </c>
      <c r="E692" s="1" t="s">
        <v>11</v>
      </c>
      <c r="F692" s="1" t="s">
        <v>166</v>
      </c>
      <c r="H692" s="1">
        <v>0.0</v>
      </c>
      <c r="I692" s="1">
        <v>0.0</v>
      </c>
      <c r="J692" s="1">
        <v>0.0</v>
      </c>
      <c r="K692" s="1">
        <v>4.0</v>
      </c>
      <c r="L692" s="1">
        <v>4.0</v>
      </c>
      <c r="M692" s="1">
        <v>1.0</v>
      </c>
      <c r="N692" s="1">
        <v>6.309999943</v>
      </c>
    </row>
    <row r="693" ht="15.75" customHeight="1">
      <c r="A693" s="1" t="s">
        <v>164</v>
      </c>
      <c r="B693" s="1" t="s">
        <v>63</v>
      </c>
      <c r="C693" s="5">
        <v>45602.0</v>
      </c>
      <c r="D693" s="1" t="s">
        <v>161</v>
      </c>
      <c r="E693" s="1" t="s">
        <v>11</v>
      </c>
      <c r="F693" s="1" t="s">
        <v>166</v>
      </c>
      <c r="H693" s="1">
        <v>0.0</v>
      </c>
      <c r="I693" s="1">
        <v>0.0</v>
      </c>
      <c r="J693" s="1">
        <v>0.0</v>
      </c>
      <c r="K693" s="1">
        <v>0.0</v>
      </c>
      <c r="L693" s="1">
        <v>11.0</v>
      </c>
      <c r="M693" s="1">
        <v>0.0</v>
      </c>
      <c r="N693" s="1">
        <v>6.079999924</v>
      </c>
    </row>
    <row r="694" ht="15.75" customHeight="1">
      <c r="A694" s="1" t="s">
        <v>164</v>
      </c>
      <c r="B694" s="1" t="s">
        <v>183</v>
      </c>
      <c r="C694" s="5">
        <v>45602.0</v>
      </c>
      <c r="D694" s="1" t="s">
        <v>161</v>
      </c>
      <c r="E694" s="1" t="s">
        <v>11</v>
      </c>
      <c r="F694" s="1" t="s">
        <v>166</v>
      </c>
      <c r="H694" s="1">
        <v>0.0</v>
      </c>
      <c r="I694" s="1">
        <v>0.0</v>
      </c>
      <c r="J694" s="1">
        <v>0.0</v>
      </c>
      <c r="K694" s="1">
        <v>1.0</v>
      </c>
      <c r="L694" s="1">
        <v>2.0</v>
      </c>
      <c r="M694" s="1">
        <v>0.5</v>
      </c>
      <c r="N694" s="1">
        <v>2.430000067</v>
      </c>
    </row>
    <row r="695" ht="15.75" customHeight="1">
      <c r="A695" s="1" t="s">
        <v>164</v>
      </c>
      <c r="B695" s="1" t="s">
        <v>68</v>
      </c>
      <c r="C695" s="5">
        <v>45602.0</v>
      </c>
      <c r="D695" s="1" t="s">
        <v>161</v>
      </c>
      <c r="E695" s="1" t="s">
        <v>11</v>
      </c>
      <c r="F695" s="1" t="s">
        <v>165</v>
      </c>
      <c r="G695" s="1" t="s">
        <v>172</v>
      </c>
      <c r="H695" s="1">
        <v>1.0</v>
      </c>
      <c r="I695" s="1">
        <v>0.0</v>
      </c>
      <c r="J695" s="1">
        <v>0.0</v>
      </c>
      <c r="K695" s="1">
        <v>6.0</v>
      </c>
      <c r="L695" s="1">
        <v>8.0</v>
      </c>
      <c r="M695" s="1">
        <v>0.75</v>
      </c>
      <c r="N695" s="1">
        <v>9.460000038</v>
      </c>
    </row>
    <row r="696" ht="15.75" customHeight="1">
      <c r="A696" s="1" t="s">
        <v>164</v>
      </c>
      <c r="B696" s="1" t="s">
        <v>74</v>
      </c>
      <c r="C696" s="5">
        <v>45602.0</v>
      </c>
      <c r="D696" s="1" t="s">
        <v>161</v>
      </c>
      <c r="E696" s="1" t="s">
        <v>11</v>
      </c>
      <c r="F696" s="1" t="s">
        <v>166</v>
      </c>
      <c r="H696" s="1">
        <v>0.0</v>
      </c>
      <c r="I696" s="1">
        <v>0.0</v>
      </c>
      <c r="J696" s="1">
        <v>0.0</v>
      </c>
      <c r="K696" s="1">
        <v>3.0</v>
      </c>
      <c r="L696" s="1">
        <v>13.0</v>
      </c>
      <c r="M696" s="1">
        <v>0.230769231</v>
      </c>
      <c r="N696" s="1">
        <v>15.40999985</v>
      </c>
    </row>
    <row r="697" ht="15.75" customHeight="1">
      <c r="A697" s="1" t="s">
        <v>164</v>
      </c>
      <c r="B697" s="1" t="s">
        <v>75</v>
      </c>
      <c r="C697" s="5">
        <v>45602.0</v>
      </c>
      <c r="D697" s="1" t="s">
        <v>161</v>
      </c>
      <c r="E697" s="1" t="s">
        <v>11</v>
      </c>
      <c r="F697" s="1" t="s">
        <v>165</v>
      </c>
      <c r="H697" s="1">
        <v>0.0</v>
      </c>
      <c r="I697" s="1">
        <v>0.0</v>
      </c>
      <c r="J697" s="1">
        <v>0.0</v>
      </c>
      <c r="K697" s="1">
        <v>6.0</v>
      </c>
      <c r="L697" s="1">
        <v>9.0</v>
      </c>
      <c r="M697" s="1">
        <v>0.666666667</v>
      </c>
      <c r="N697" s="1">
        <v>15.77999973</v>
      </c>
    </row>
    <row r="698" ht="15.75" customHeight="1">
      <c r="A698" s="1" t="s">
        <v>164</v>
      </c>
      <c r="B698" s="1" t="s">
        <v>100</v>
      </c>
      <c r="C698" s="5">
        <v>45602.0</v>
      </c>
      <c r="D698" s="1" t="s">
        <v>161</v>
      </c>
      <c r="E698" s="1" t="s">
        <v>11</v>
      </c>
      <c r="H698" s="1">
        <v>0.0</v>
      </c>
      <c r="J698" s="1">
        <v>0.0</v>
      </c>
      <c r="N698" s="1">
        <v>0.200000003</v>
      </c>
    </row>
    <row r="699" ht="15.75" customHeight="1">
      <c r="A699" s="1" t="s">
        <v>164</v>
      </c>
      <c r="B699" s="1" t="s">
        <v>82</v>
      </c>
      <c r="C699" s="5">
        <v>45602.0</v>
      </c>
      <c r="D699" s="1" t="s">
        <v>161</v>
      </c>
      <c r="E699" s="1" t="s">
        <v>11</v>
      </c>
      <c r="F699" s="1" t="s">
        <v>165</v>
      </c>
      <c r="H699" s="1">
        <v>0.0</v>
      </c>
      <c r="I699" s="1">
        <v>0.0</v>
      </c>
      <c r="J699" s="1">
        <v>0.0</v>
      </c>
      <c r="K699" s="1">
        <v>0.0</v>
      </c>
      <c r="L699" s="1">
        <v>2.0</v>
      </c>
      <c r="M699" s="1">
        <v>0.0</v>
      </c>
      <c r="N699" s="1">
        <v>9.130000114</v>
      </c>
    </row>
    <row r="700" ht="15.75" customHeight="1">
      <c r="A700" s="1" t="s">
        <v>180</v>
      </c>
      <c r="B700" s="1" t="s">
        <v>214</v>
      </c>
      <c r="C700" s="5">
        <v>45602.0</v>
      </c>
      <c r="D700" s="1" t="s">
        <v>161</v>
      </c>
      <c r="E700" s="1" t="s">
        <v>11</v>
      </c>
      <c r="F700" s="1" t="s">
        <v>166</v>
      </c>
      <c r="H700" s="1">
        <v>0.0</v>
      </c>
      <c r="I700" s="1">
        <v>0.0</v>
      </c>
      <c r="J700" s="1">
        <v>0.0</v>
      </c>
      <c r="K700" s="1">
        <v>0.0</v>
      </c>
      <c r="L700" s="1">
        <v>1.0</v>
      </c>
      <c r="M700" s="1">
        <v>0.0</v>
      </c>
      <c r="N700" s="1">
        <v>2.339999914</v>
      </c>
    </row>
    <row r="701" ht="15.75" customHeight="1">
      <c r="A701" s="1" t="s">
        <v>160</v>
      </c>
      <c r="B701" s="1" t="s">
        <v>94</v>
      </c>
      <c r="C701" s="5">
        <v>45601.0</v>
      </c>
      <c r="D701" s="1" t="s">
        <v>161</v>
      </c>
      <c r="E701" s="1" t="s">
        <v>190</v>
      </c>
      <c r="H701" s="1">
        <v>0.0</v>
      </c>
      <c r="J701" s="1">
        <v>0.0</v>
      </c>
      <c r="N701" s="1">
        <v>0.310000002</v>
      </c>
    </row>
    <row r="702" ht="15.75" customHeight="1">
      <c r="A702" s="1" t="s">
        <v>164</v>
      </c>
      <c r="B702" s="1" t="s">
        <v>24</v>
      </c>
      <c r="C702" s="5">
        <v>45601.0</v>
      </c>
      <c r="D702" s="1" t="s">
        <v>161</v>
      </c>
      <c r="E702" s="1" t="s">
        <v>11</v>
      </c>
      <c r="F702" s="1" t="s">
        <v>166</v>
      </c>
      <c r="H702" s="1">
        <v>0.0</v>
      </c>
      <c r="I702" s="1">
        <v>0.0</v>
      </c>
      <c r="J702" s="1">
        <v>0.0</v>
      </c>
      <c r="K702" s="1">
        <v>0.0</v>
      </c>
      <c r="L702" s="1">
        <v>3.0</v>
      </c>
      <c r="M702" s="1">
        <v>0.0</v>
      </c>
      <c r="N702" s="1">
        <v>10.86999989</v>
      </c>
    </row>
    <row r="703" ht="15.75" customHeight="1">
      <c r="A703" s="1" t="s">
        <v>164</v>
      </c>
      <c r="B703" s="1" t="s">
        <v>52</v>
      </c>
      <c r="C703" s="5">
        <v>45601.0</v>
      </c>
      <c r="D703" s="1" t="s">
        <v>161</v>
      </c>
      <c r="E703" s="1" t="s">
        <v>11</v>
      </c>
      <c r="F703" s="1" t="s">
        <v>165</v>
      </c>
      <c r="H703" s="1">
        <v>0.0</v>
      </c>
      <c r="I703" s="1">
        <v>0.0</v>
      </c>
      <c r="J703" s="1">
        <v>0.0</v>
      </c>
      <c r="K703" s="1">
        <v>0.0</v>
      </c>
      <c r="L703" s="1">
        <v>1.0</v>
      </c>
      <c r="M703" s="1">
        <v>0.0</v>
      </c>
      <c r="N703" s="1">
        <v>2.00999999</v>
      </c>
    </row>
    <row r="704" ht="15.75" customHeight="1">
      <c r="A704" s="1" t="s">
        <v>164</v>
      </c>
      <c r="B704" s="1" t="s">
        <v>81</v>
      </c>
      <c r="C704" s="5">
        <v>45601.0</v>
      </c>
      <c r="D704" s="1" t="s">
        <v>161</v>
      </c>
      <c r="E704" s="1" t="s">
        <v>11</v>
      </c>
      <c r="F704" s="1" t="s">
        <v>162</v>
      </c>
      <c r="H704" s="1">
        <v>0.0</v>
      </c>
      <c r="I704" s="1">
        <v>0.0</v>
      </c>
      <c r="J704" s="1">
        <v>0.0</v>
      </c>
      <c r="K704" s="1">
        <v>0.0</v>
      </c>
      <c r="L704" s="1">
        <v>2.0</v>
      </c>
      <c r="M704" s="1">
        <v>0.0</v>
      </c>
      <c r="N704" s="1">
        <v>3.170000076</v>
      </c>
    </row>
    <row r="705" ht="15.75" customHeight="1">
      <c r="A705" s="1" t="s">
        <v>164</v>
      </c>
      <c r="B705" s="1" t="s">
        <v>63</v>
      </c>
      <c r="C705" s="5">
        <v>45601.0</v>
      </c>
      <c r="D705" s="1" t="s">
        <v>161</v>
      </c>
      <c r="E705" s="1" t="s">
        <v>11</v>
      </c>
      <c r="F705" s="1" t="s">
        <v>166</v>
      </c>
      <c r="H705" s="1">
        <v>0.0</v>
      </c>
      <c r="I705" s="1">
        <v>0.0</v>
      </c>
      <c r="J705" s="1">
        <v>0.0</v>
      </c>
      <c r="K705" s="1">
        <v>0.0</v>
      </c>
      <c r="L705" s="1">
        <v>9.0</v>
      </c>
      <c r="M705" s="1">
        <v>0.0</v>
      </c>
      <c r="N705" s="1">
        <v>8.090000153</v>
      </c>
    </row>
    <row r="706" ht="15.75" customHeight="1">
      <c r="A706" s="1" t="s">
        <v>164</v>
      </c>
      <c r="B706" s="1" t="s">
        <v>68</v>
      </c>
      <c r="C706" s="5">
        <v>45601.0</v>
      </c>
      <c r="D706" s="1" t="s">
        <v>161</v>
      </c>
      <c r="E706" s="1" t="s">
        <v>11</v>
      </c>
      <c r="F706" s="1" t="s">
        <v>165</v>
      </c>
      <c r="G706" s="1" t="s">
        <v>172</v>
      </c>
      <c r="H706" s="1">
        <v>1.0</v>
      </c>
      <c r="I706" s="1">
        <v>0.0</v>
      </c>
      <c r="J706" s="1">
        <v>0.0</v>
      </c>
      <c r="K706" s="1">
        <v>8.0</v>
      </c>
      <c r="L706" s="1">
        <v>12.0</v>
      </c>
      <c r="M706" s="1">
        <v>0.666666667</v>
      </c>
      <c r="N706" s="1">
        <v>15.39000034</v>
      </c>
    </row>
    <row r="707" ht="15.75" customHeight="1">
      <c r="A707" s="1" t="s">
        <v>164</v>
      </c>
      <c r="B707" s="1" t="s">
        <v>74</v>
      </c>
      <c r="C707" s="5">
        <v>45601.0</v>
      </c>
      <c r="D707" s="1" t="s">
        <v>161</v>
      </c>
      <c r="E707" s="1" t="s">
        <v>11</v>
      </c>
      <c r="F707" s="1" t="s">
        <v>166</v>
      </c>
      <c r="H707" s="1">
        <v>0.0</v>
      </c>
      <c r="I707" s="1">
        <v>0.0</v>
      </c>
      <c r="J707" s="1">
        <v>0.0</v>
      </c>
      <c r="K707" s="1">
        <v>1.0</v>
      </c>
      <c r="L707" s="1">
        <v>1.0</v>
      </c>
      <c r="M707" s="1">
        <v>1.0</v>
      </c>
      <c r="N707" s="1">
        <v>3.589999914</v>
      </c>
    </row>
    <row r="708" ht="15.75" customHeight="1">
      <c r="A708" s="1" t="s">
        <v>164</v>
      </c>
      <c r="B708" s="1" t="s">
        <v>75</v>
      </c>
      <c r="C708" s="5">
        <v>45601.0</v>
      </c>
      <c r="D708" s="1" t="s">
        <v>161</v>
      </c>
      <c r="E708" s="1" t="s">
        <v>11</v>
      </c>
      <c r="F708" s="1" t="s">
        <v>165</v>
      </c>
      <c r="H708" s="1">
        <v>0.0</v>
      </c>
      <c r="I708" s="1">
        <v>0.0</v>
      </c>
      <c r="J708" s="1">
        <v>0.0</v>
      </c>
      <c r="K708" s="1">
        <v>5.0</v>
      </c>
      <c r="L708" s="1">
        <v>6.0</v>
      </c>
      <c r="M708" s="1">
        <v>0.833333333</v>
      </c>
      <c r="N708" s="1">
        <v>13.5</v>
      </c>
    </row>
    <row r="709" ht="15.75" customHeight="1">
      <c r="A709" s="1" t="s">
        <v>164</v>
      </c>
      <c r="B709" s="1" t="s">
        <v>82</v>
      </c>
      <c r="C709" s="5">
        <v>45601.0</v>
      </c>
      <c r="D709" s="1" t="s">
        <v>161</v>
      </c>
      <c r="E709" s="1" t="s">
        <v>11</v>
      </c>
      <c r="F709" s="1" t="s">
        <v>165</v>
      </c>
      <c r="H709" s="1">
        <v>0.0</v>
      </c>
      <c r="I709" s="1">
        <v>0.0</v>
      </c>
      <c r="J709" s="1">
        <v>0.0</v>
      </c>
      <c r="K709" s="1">
        <v>0.0</v>
      </c>
      <c r="L709" s="1">
        <v>3.0</v>
      </c>
      <c r="M709" s="1">
        <v>0.0</v>
      </c>
      <c r="N709" s="1">
        <v>9.449999809</v>
      </c>
    </row>
    <row r="710" ht="15.75" customHeight="1">
      <c r="A710" s="1" t="s">
        <v>180</v>
      </c>
      <c r="B710" s="1" t="s">
        <v>214</v>
      </c>
      <c r="C710" s="5">
        <v>45601.0</v>
      </c>
      <c r="D710" s="1" t="s">
        <v>161</v>
      </c>
      <c r="E710" s="1" t="s">
        <v>11</v>
      </c>
      <c r="F710" s="1" t="s">
        <v>166</v>
      </c>
      <c r="H710" s="1">
        <v>0.0</v>
      </c>
      <c r="I710" s="1">
        <v>1.0</v>
      </c>
      <c r="J710" s="1">
        <v>0.0</v>
      </c>
      <c r="K710" s="1">
        <v>13.0</v>
      </c>
      <c r="L710" s="1">
        <v>14.0</v>
      </c>
      <c r="M710" s="1">
        <v>0.928571429</v>
      </c>
      <c r="N710" s="1">
        <v>11.23999977</v>
      </c>
    </row>
    <row r="711" ht="15.75" customHeight="1">
      <c r="A711" s="1" t="s">
        <v>160</v>
      </c>
      <c r="B711" s="1" t="s">
        <v>217</v>
      </c>
      <c r="C711" s="5">
        <v>45600.0</v>
      </c>
      <c r="D711" s="1" t="s">
        <v>161</v>
      </c>
      <c r="E711" s="1" t="s">
        <v>11</v>
      </c>
      <c r="H711" s="1">
        <v>0.0</v>
      </c>
      <c r="J711" s="1">
        <v>0.0</v>
      </c>
      <c r="N711" s="1">
        <v>0.730000019</v>
      </c>
    </row>
    <row r="712" ht="15.75" customHeight="1">
      <c r="A712" s="1" t="s">
        <v>160</v>
      </c>
      <c r="B712" s="1" t="s">
        <v>218</v>
      </c>
      <c r="C712" s="5">
        <v>45600.0</v>
      </c>
      <c r="D712" s="1" t="s">
        <v>161</v>
      </c>
      <c r="E712" s="1" t="s">
        <v>11</v>
      </c>
      <c r="H712" s="1">
        <v>0.0</v>
      </c>
      <c r="J712" s="1">
        <v>0.0</v>
      </c>
      <c r="N712" s="1">
        <v>0.119999997</v>
      </c>
    </row>
    <row r="713" ht="15.75" customHeight="1">
      <c r="A713" s="1" t="s">
        <v>160</v>
      </c>
      <c r="B713" s="1" t="s">
        <v>198</v>
      </c>
      <c r="C713" s="5">
        <v>45600.0</v>
      </c>
      <c r="D713" s="1" t="s">
        <v>161</v>
      </c>
      <c r="E713" s="1" t="s">
        <v>11</v>
      </c>
      <c r="F713" s="1" t="s">
        <v>162</v>
      </c>
      <c r="H713" s="1">
        <v>0.0</v>
      </c>
      <c r="I713" s="1">
        <v>0.0</v>
      </c>
      <c r="J713" s="1">
        <v>0.0</v>
      </c>
      <c r="K713" s="1">
        <v>1.0</v>
      </c>
      <c r="L713" s="1">
        <v>2.0</v>
      </c>
      <c r="M713" s="1">
        <v>0.5</v>
      </c>
      <c r="N713" s="1">
        <v>5.199999809</v>
      </c>
    </row>
    <row r="714" ht="15.75" customHeight="1">
      <c r="A714" s="1" t="s">
        <v>164</v>
      </c>
      <c r="B714" s="1" t="s">
        <v>24</v>
      </c>
      <c r="C714" s="5">
        <v>45600.0</v>
      </c>
      <c r="D714" s="1" t="s">
        <v>161</v>
      </c>
      <c r="E714" s="1" t="s">
        <v>11</v>
      </c>
      <c r="F714" s="1" t="s">
        <v>166</v>
      </c>
      <c r="H714" s="1">
        <v>0.0</v>
      </c>
      <c r="I714" s="1">
        <v>0.0</v>
      </c>
      <c r="J714" s="1">
        <v>0.0</v>
      </c>
      <c r="K714" s="1">
        <v>0.0</v>
      </c>
      <c r="L714" s="1">
        <v>3.0</v>
      </c>
      <c r="M714" s="1">
        <v>0.0</v>
      </c>
      <c r="N714" s="1">
        <v>2.859999895</v>
      </c>
    </row>
    <row r="715" ht="15.75" customHeight="1">
      <c r="A715" s="1" t="s">
        <v>164</v>
      </c>
      <c r="B715" s="1" t="s">
        <v>63</v>
      </c>
      <c r="C715" s="5">
        <v>45600.0</v>
      </c>
      <c r="D715" s="1" t="s">
        <v>161</v>
      </c>
      <c r="E715" s="1" t="s">
        <v>11</v>
      </c>
      <c r="F715" s="1" t="s">
        <v>166</v>
      </c>
      <c r="H715" s="1">
        <v>0.0</v>
      </c>
      <c r="I715" s="1">
        <v>0.0</v>
      </c>
      <c r="J715" s="1">
        <v>0.0</v>
      </c>
      <c r="K715" s="1">
        <v>0.0</v>
      </c>
      <c r="L715" s="1">
        <v>1.0</v>
      </c>
      <c r="M715" s="1">
        <v>0.0</v>
      </c>
      <c r="N715" s="1">
        <v>9.630000114</v>
      </c>
    </row>
    <row r="716" ht="15.75" customHeight="1">
      <c r="A716" s="1" t="s">
        <v>164</v>
      </c>
      <c r="B716" s="1" t="s">
        <v>183</v>
      </c>
      <c r="C716" s="5">
        <v>45600.0</v>
      </c>
      <c r="D716" s="1" t="s">
        <v>161</v>
      </c>
      <c r="E716" s="1" t="s">
        <v>11</v>
      </c>
      <c r="F716" s="1" t="s">
        <v>166</v>
      </c>
      <c r="H716" s="1">
        <v>0.0</v>
      </c>
      <c r="I716" s="1">
        <v>0.0</v>
      </c>
      <c r="J716" s="1">
        <v>0.0</v>
      </c>
      <c r="K716" s="1">
        <v>3.0</v>
      </c>
      <c r="L716" s="1">
        <v>5.0</v>
      </c>
      <c r="M716" s="1">
        <v>0.6</v>
      </c>
      <c r="N716" s="1">
        <v>8.319999695</v>
      </c>
    </row>
    <row r="717" ht="15.75" customHeight="1">
      <c r="A717" s="1" t="s">
        <v>164</v>
      </c>
      <c r="B717" s="1" t="s">
        <v>68</v>
      </c>
      <c r="C717" s="5">
        <v>45600.0</v>
      </c>
      <c r="D717" s="1" t="s">
        <v>161</v>
      </c>
      <c r="E717" s="1" t="s">
        <v>11</v>
      </c>
      <c r="F717" s="1" t="s">
        <v>165</v>
      </c>
      <c r="G717" s="1" t="s">
        <v>172</v>
      </c>
      <c r="H717" s="1">
        <v>1.0</v>
      </c>
      <c r="I717" s="1">
        <v>0.0</v>
      </c>
      <c r="J717" s="1">
        <v>0.0</v>
      </c>
      <c r="K717" s="1">
        <v>3.0</v>
      </c>
      <c r="L717" s="1">
        <v>5.0</v>
      </c>
      <c r="M717" s="1">
        <v>0.6</v>
      </c>
      <c r="N717" s="1">
        <v>6.170000076</v>
      </c>
    </row>
    <row r="718" ht="15.75" customHeight="1">
      <c r="A718" s="1" t="s">
        <v>164</v>
      </c>
      <c r="B718" s="1" t="s">
        <v>74</v>
      </c>
      <c r="C718" s="5">
        <v>45600.0</v>
      </c>
      <c r="D718" s="1" t="s">
        <v>161</v>
      </c>
      <c r="E718" s="1" t="s">
        <v>11</v>
      </c>
      <c r="F718" s="1" t="s">
        <v>166</v>
      </c>
      <c r="H718" s="1">
        <v>0.0</v>
      </c>
      <c r="I718" s="1">
        <v>0.0</v>
      </c>
      <c r="J718" s="1">
        <v>0.0</v>
      </c>
      <c r="K718" s="1">
        <v>1.0</v>
      </c>
      <c r="L718" s="1">
        <v>1.0</v>
      </c>
      <c r="M718" s="1">
        <v>1.0</v>
      </c>
      <c r="N718" s="1">
        <v>5.349999905</v>
      </c>
    </row>
    <row r="719" ht="15.75" customHeight="1">
      <c r="A719" s="1" t="s">
        <v>164</v>
      </c>
      <c r="B719" s="1" t="s">
        <v>75</v>
      </c>
      <c r="C719" s="5">
        <v>45600.0</v>
      </c>
      <c r="D719" s="1" t="s">
        <v>161</v>
      </c>
      <c r="E719" s="1" t="s">
        <v>11</v>
      </c>
      <c r="F719" s="1" t="s">
        <v>165</v>
      </c>
      <c r="H719" s="1">
        <v>0.0</v>
      </c>
      <c r="I719" s="1">
        <v>0.0</v>
      </c>
      <c r="J719" s="1">
        <v>0.0</v>
      </c>
      <c r="K719" s="1">
        <v>2.0</v>
      </c>
      <c r="L719" s="1">
        <v>8.0</v>
      </c>
      <c r="M719" s="1">
        <v>0.25</v>
      </c>
      <c r="N719" s="1">
        <v>9.819999695</v>
      </c>
    </row>
    <row r="720" ht="15.75" customHeight="1">
      <c r="A720" s="1" t="s">
        <v>164</v>
      </c>
      <c r="B720" s="1" t="s">
        <v>100</v>
      </c>
      <c r="C720" s="5">
        <v>45600.0</v>
      </c>
      <c r="D720" s="1" t="s">
        <v>161</v>
      </c>
      <c r="E720" s="1" t="s">
        <v>11</v>
      </c>
      <c r="F720" s="1" t="s">
        <v>171</v>
      </c>
      <c r="H720" s="1">
        <v>0.0</v>
      </c>
      <c r="I720" s="1">
        <v>0.0</v>
      </c>
      <c r="J720" s="1">
        <v>0.0</v>
      </c>
      <c r="K720" s="1">
        <v>2.0</v>
      </c>
      <c r="L720" s="1">
        <v>2.0</v>
      </c>
      <c r="M720" s="1">
        <v>1.0</v>
      </c>
      <c r="N720" s="1">
        <v>5.420000076</v>
      </c>
    </row>
    <row r="721" ht="15.75" customHeight="1">
      <c r="A721" s="1" t="s">
        <v>164</v>
      </c>
      <c r="B721" s="1" t="s">
        <v>82</v>
      </c>
      <c r="C721" s="5">
        <v>45600.0</v>
      </c>
      <c r="D721" s="1" t="s">
        <v>161</v>
      </c>
      <c r="E721" s="1" t="s">
        <v>11</v>
      </c>
      <c r="F721" s="1" t="s">
        <v>165</v>
      </c>
      <c r="H721" s="1">
        <v>0.0</v>
      </c>
      <c r="I721" s="1">
        <v>0.0</v>
      </c>
      <c r="J721" s="1">
        <v>0.0</v>
      </c>
      <c r="K721" s="1">
        <v>0.0</v>
      </c>
      <c r="L721" s="1">
        <v>2.0</v>
      </c>
      <c r="M721" s="1">
        <v>0.0</v>
      </c>
      <c r="N721" s="1">
        <v>11.47000027</v>
      </c>
    </row>
    <row r="722" ht="15.75" customHeight="1">
      <c r="A722" s="1" t="s">
        <v>164</v>
      </c>
      <c r="B722" s="1" t="s">
        <v>219</v>
      </c>
      <c r="C722" s="5">
        <v>45600.0</v>
      </c>
      <c r="D722" s="1" t="s">
        <v>161</v>
      </c>
      <c r="E722" s="1" t="s">
        <v>11</v>
      </c>
      <c r="F722" s="1" t="s">
        <v>165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N722" s="1">
        <v>0.330000013</v>
      </c>
    </row>
    <row r="723" ht="15.75" customHeight="1">
      <c r="A723" s="1" t="s">
        <v>180</v>
      </c>
      <c r="B723" s="1" t="s">
        <v>220</v>
      </c>
      <c r="C723" s="5">
        <v>45600.0</v>
      </c>
      <c r="D723" s="1" t="s">
        <v>161</v>
      </c>
      <c r="E723" s="1" t="s">
        <v>11</v>
      </c>
      <c r="F723" s="1" t="s">
        <v>165</v>
      </c>
      <c r="H723" s="1">
        <v>0.0</v>
      </c>
      <c r="I723" s="1">
        <v>0.0</v>
      </c>
      <c r="J723" s="1">
        <v>0.0</v>
      </c>
      <c r="K723" s="1">
        <v>0.0</v>
      </c>
      <c r="L723" s="1">
        <v>0.0</v>
      </c>
      <c r="N723" s="1">
        <v>0.0</v>
      </c>
    </row>
    <row r="724" ht="15.75" customHeight="1">
      <c r="A724" s="1" t="s">
        <v>180</v>
      </c>
      <c r="B724" s="1" t="s">
        <v>220</v>
      </c>
      <c r="C724" s="5">
        <v>45600.0</v>
      </c>
      <c r="D724" s="1" t="s">
        <v>161</v>
      </c>
      <c r="E724" s="1" t="s">
        <v>11</v>
      </c>
      <c r="F724" s="1" t="s">
        <v>166</v>
      </c>
      <c r="H724" s="1">
        <v>0.0</v>
      </c>
      <c r="I724" s="1">
        <v>0.0</v>
      </c>
      <c r="J724" s="1">
        <v>0.0</v>
      </c>
      <c r="K724" s="1">
        <v>0.0</v>
      </c>
      <c r="L724" s="1">
        <v>0.0</v>
      </c>
      <c r="N724" s="1">
        <v>0.0</v>
      </c>
    </row>
    <row r="725" ht="15.75" customHeight="1">
      <c r="A725" s="1" t="s">
        <v>180</v>
      </c>
      <c r="B725" s="1" t="s">
        <v>220</v>
      </c>
      <c r="C725" s="5">
        <v>45600.0</v>
      </c>
      <c r="D725" s="1" t="s">
        <v>161</v>
      </c>
      <c r="E725" s="1" t="s">
        <v>11</v>
      </c>
      <c r="F725" s="1" t="s">
        <v>169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N725" s="1">
        <v>7.289999962</v>
      </c>
    </row>
    <row r="726" ht="15.75" customHeight="1">
      <c r="A726" s="1" t="s">
        <v>180</v>
      </c>
      <c r="B726" s="1" t="s">
        <v>214</v>
      </c>
      <c r="C726" s="5">
        <v>45600.0</v>
      </c>
      <c r="D726" s="1" t="s">
        <v>161</v>
      </c>
      <c r="E726" s="1" t="s">
        <v>11</v>
      </c>
      <c r="F726" s="1" t="s">
        <v>166</v>
      </c>
      <c r="H726" s="1">
        <v>0.0</v>
      </c>
      <c r="I726" s="1">
        <v>0.0</v>
      </c>
      <c r="J726" s="1">
        <v>0.0</v>
      </c>
      <c r="K726" s="1">
        <v>0.0</v>
      </c>
      <c r="L726" s="1">
        <v>0.0</v>
      </c>
      <c r="N726" s="1">
        <v>0.970000029</v>
      </c>
    </row>
    <row r="727" ht="15.75" customHeight="1">
      <c r="A727" s="1" t="s">
        <v>160</v>
      </c>
      <c r="B727" s="1" t="s">
        <v>217</v>
      </c>
      <c r="C727" s="5">
        <v>45597.0</v>
      </c>
      <c r="D727" s="1" t="s">
        <v>161</v>
      </c>
      <c r="E727" s="1" t="s">
        <v>11</v>
      </c>
      <c r="H727" s="1">
        <v>0.0</v>
      </c>
      <c r="J727" s="1">
        <v>0.0</v>
      </c>
      <c r="N727" s="1">
        <v>0.930000007</v>
      </c>
    </row>
    <row r="728" ht="15.75" customHeight="1">
      <c r="A728" s="1" t="s">
        <v>160</v>
      </c>
      <c r="B728" s="1" t="s">
        <v>198</v>
      </c>
      <c r="C728" s="5">
        <v>45597.0</v>
      </c>
      <c r="D728" s="1" t="s">
        <v>161</v>
      </c>
      <c r="E728" s="1" t="s">
        <v>11</v>
      </c>
      <c r="F728" s="1" t="s">
        <v>162</v>
      </c>
      <c r="H728" s="1">
        <v>0.0</v>
      </c>
      <c r="I728" s="1">
        <v>1.0</v>
      </c>
      <c r="J728" s="1">
        <v>0.0</v>
      </c>
      <c r="K728" s="1">
        <v>5.0</v>
      </c>
      <c r="L728" s="1">
        <v>6.0</v>
      </c>
      <c r="M728" s="1">
        <v>0.833333333</v>
      </c>
      <c r="N728" s="1">
        <v>3.460000038</v>
      </c>
    </row>
    <row r="729" ht="15.75" customHeight="1">
      <c r="A729" s="1" t="s">
        <v>164</v>
      </c>
      <c r="B729" s="1" t="s">
        <v>24</v>
      </c>
      <c r="C729" s="5">
        <v>45597.0</v>
      </c>
      <c r="D729" s="1" t="s">
        <v>161</v>
      </c>
      <c r="E729" s="1" t="s">
        <v>11</v>
      </c>
      <c r="H729" s="1">
        <v>0.0</v>
      </c>
      <c r="J729" s="1">
        <v>0.0</v>
      </c>
      <c r="N729" s="1">
        <v>2.319999933</v>
      </c>
    </row>
    <row r="730" ht="15.75" customHeight="1">
      <c r="A730" s="1" t="s">
        <v>164</v>
      </c>
      <c r="B730" s="1" t="s">
        <v>63</v>
      </c>
      <c r="C730" s="5">
        <v>45597.0</v>
      </c>
      <c r="D730" s="1" t="s">
        <v>161</v>
      </c>
      <c r="E730" s="1" t="s">
        <v>11</v>
      </c>
      <c r="F730" s="1" t="s">
        <v>166</v>
      </c>
      <c r="H730" s="1">
        <v>0.0</v>
      </c>
      <c r="I730" s="1">
        <v>0.0</v>
      </c>
      <c r="J730" s="1">
        <v>0.0</v>
      </c>
      <c r="K730" s="1">
        <v>0.0</v>
      </c>
      <c r="L730" s="1">
        <v>5.0</v>
      </c>
      <c r="M730" s="1">
        <v>0.0</v>
      </c>
      <c r="N730" s="1">
        <v>9.729999542</v>
      </c>
    </row>
    <row r="731" ht="15.75" customHeight="1">
      <c r="A731" s="1" t="s">
        <v>164</v>
      </c>
      <c r="B731" s="1" t="s">
        <v>183</v>
      </c>
      <c r="C731" s="5">
        <v>45597.0</v>
      </c>
      <c r="D731" s="1" t="s">
        <v>161</v>
      </c>
      <c r="E731" s="1" t="s">
        <v>11</v>
      </c>
      <c r="F731" s="1" t="s">
        <v>166</v>
      </c>
      <c r="H731" s="1">
        <v>0.0</v>
      </c>
      <c r="I731" s="1">
        <v>0.0</v>
      </c>
      <c r="J731" s="1">
        <v>0.0</v>
      </c>
      <c r="K731" s="1">
        <v>3.0</v>
      </c>
      <c r="L731" s="1">
        <v>3.0</v>
      </c>
      <c r="M731" s="1">
        <v>1.0</v>
      </c>
      <c r="N731" s="1">
        <v>4.929999828</v>
      </c>
    </row>
    <row r="732" ht="15.75" customHeight="1">
      <c r="A732" s="1" t="s">
        <v>164</v>
      </c>
      <c r="B732" s="1" t="s">
        <v>75</v>
      </c>
      <c r="C732" s="5">
        <v>45597.0</v>
      </c>
      <c r="D732" s="1" t="s">
        <v>161</v>
      </c>
      <c r="E732" s="1" t="s">
        <v>11</v>
      </c>
      <c r="F732" s="1" t="s">
        <v>165</v>
      </c>
      <c r="H732" s="1">
        <v>0.0</v>
      </c>
      <c r="I732" s="1">
        <v>0.0</v>
      </c>
      <c r="J732" s="1">
        <v>0.0</v>
      </c>
      <c r="K732" s="1">
        <v>4.0</v>
      </c>
      <c r="L732" s="1">
        <v>4.0</v>
      </c>
      <c r="M732" s="1">
        <v>1.0</v>
      </c>
      <c r="N732" s="1">
        <v>8.680000305</v>
      </c>
    </row>
    <row r="733" ht="15.75" customHeight="1">
      <c r="A733" s="1" t="s">
        <v>164</v>
      </c>
      <c r="B733" s="1" t="s">
        <v>82</v>
      </c>
      <c r="C733" s="5">
        <v>45597.0</v>
      </c>
      <c r="D733" s="1" t="s">
        <v>161</v>
      </c>
      <c r="E733" s="1" t="s">
        <v>11</v>
      </c>
      <c r="F733" s="1" t="s">
        <v>165</v>
      </c>
      <c r="H733" s="1">
        <v>0.0</v>
      </c>
      <c r="I733" s="1">
        <v>0.0</v>
      </c>
      <c r="J733" s="1">
        <v>0.0</v>
      </c>
      <c r="K733" s="1">
        <v>0.0</v>
      </c>
      <c r="L733" s="1">
        <v>2.0</v>
      </c>
      <c r="M733" s="1">
        <v>0.0</v>
      </c>
      <c r="N733" s="1">
        <v>8.149999619</v>
      </c>
    </row>
    <row r="734" ht="15.75" customHeight="1">
      <c r="A734" s="1" t="s">
        <v>180</v>
      </c>
      <c r="B734" s="1" t="s">
        <v>220</v>
      </c>
      <c r="C734" s="5">
        <v>45597.0</v>
      </c>
      <c r="D734" s="1" t="s">
        <v>161</v>
      </c>
      <c r="E734" s="1" t="s">
        <v>11</v>
      </c>
      <c r="F734" s="1" t="s">
        <v>166</v>
      </c>
      <c r="H734" s="1">
        <v>0.0</v>
      </c>
      <c r="I734" s="1">
        <v>0.0</v>
      </c>
      <c r="J734" s="1">
        <v>0.0</v>
      </c>
      <c r="K734" s="1">
        <v>0.0</v>
      </c>
      <c r="L734" s="1">
        <v>0.0</v>
      </c>
      <c r="N734" s="1">
        <v>2.900000095</v>
      </c>
    </row>
    <row r="735" ht="15.75" customHeight="1">
      <c r="A735" s="1" t="s">
        <v>180</v>
      </c>
      <c r="B735" s="1" t="s">
        <v>214</v>
      </c>
      <c r="C735" s="5">
        <v>45597.0</v>
      </c>
      <c r="D735" s="1" t="s">
        <v>161</v>
      </c>
      <c r="E735" s="1" t="s">
        <v>11</v>
      </c>
      <c r="F735" s="1" t="s">
        <v>166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N735" s="1">
        <v>0.0</v>
      </c>
    </row>
    <row r="736" ht="15.75" customHeight="1">
      <c r="A736" s="1" t="s">
        <v>180</v>
      </c>
      <c r="B736" s="1" t="s">
        <v>214</v>
      </c>
      <c r="C736" s="5">
        <v>45597.0</v>
      </c>
      <c r="D736" s="1" t="s">
        <v>161</v>
      </c>
      <c r="E736" s="1" t="s">
        <v>11</v>
      </c>
      <c r="F736" s="1" t="s">
        <v>171</v>
      </c>
      <c r="H736" s="1">
        <v>0.0</v>
      </c>
      <c r="I736" s="1">
        <v>1.0</v>
      </c>
      <c r="J736" s="1">
        <v>0.0</v>
      </c>
      <c r="K736" s="1">
        <v>25.0</v>
      </c>
      <c r="L736" s="1">
        <v>33.0</v>
      </c>
      <c r="M736" s="1">
        <v>0.757575758</v>
      </c>
      <c r="N736" s="1">
        <v>9.18999958</v>
      </c>
    </row>
    <row r="737" ht="15.75" customHeight="1">
      <c r="A737" s="1" t="s">
        <v>164</v>
      </c>
      <c r="B737" s="1" t="s">
        <v>24</v>
      </c>
      <c r="C737" s="5">
        <v>45596.0</v>
      </c>
      <c r="D737" s="1" t="s">
        <v>161</v>
      </c>
      <c r="E737" s="1" t="s">
        <v>11</v>
      </c>
      <c r="F737" s="1" t="s">
        <v>166</v>
      </c>
      <c r="H737" s="1">
        <v>0.0</v>
      </c>
      <c r="I737" s="1">
        <v>0.0</v>
      </c>
      <c r="J737" s="1">
        <v>0.0</v>
      </c>
      <c r="K737" s="1">
        <v>0.0</v>
      </c>
      <c r="L737" s="1">
        <v>1.0</v>
      </c>
      <c r="M737" s="1">
        <v>0.0</v>
      </c>
      <c r="N737" s="1">
        <v>3.630000114</v>
      </c>
    </row>
    <row r="738" ht="15.75" customHeight="1">
      <c r="A738" s="1" t="s">
        <v>164</v>
      </c>
      <c r="B738" s="1" t="s">
        <v>52</v>
      </c>
      <c r="C738" s="5">
        <v>45596.0</v>
      </c>
      <c r="D738" s="1" t="s">
        <v>161</v>
      </c>
      <c r="E738" s="1" t="s">
        <v>11</v>
      </c>
      <c r="F738" s="1" t="s">
        <v>165</v>
      </c>
      <c r="H738" s="1">
        <v>0.0</v>
      </c>
      <c r="I738" s="1">
        <v>0.0</v>
      </c>
      <c r="J738" s="1">
        <v>0.0</v>
      </c>
      <c r="K738" s="1">
        <v>1.0</v>
      </c>
      <c r="L738" s="1">
        <v>3.0</v>
      </c>
      <c r="M738" s="1">
        <v>0.333333333</v>
      </c>
      <c r="N738" s="1">
        <v>6.269999981</v>
      </c>
    </row>
    <row r="739" ht="15.75" customHeight="1">
      <c r="A739" s="1" t="s">
        <v>164</v>
      </c>
      <c r="B739" s="1" t="s">
        <v>63</v>
      </c>
      <c r="C739" s="5">
        <v>45596.0</v>
      </c>
      <c r="D739" s="1" t="s">
        <v>161</v>
      </c>
      <c r="E739" s="1" t="s">
        <v>11</v>
      </c>
      <c r="F739" s="1" t="s">
        <v>166</v>
      </c>
      <c r="H739" s="1">
        <v>0.0</v>
      </c>
      <c r="I739" s="1">
        <v>0.0</v>
      </c>
      <c r="J739" s="1">
        <v>0.0</v>
      </c>
      <c r="K739" s="1">
        <v>1.0</v>
      </c>
      <c r="L739" s="1">
        <v>10.0</v>
      </c>
      <c r="M739" s="1">
        <v>0.1</v>
      </c>
      <c r="N739" s="1">
        <v>9.029999733</v>
      </c>
    </row>
    <row r="740" ht="15.75" customHeight="1">
      <c r="A740" s="1" t="s">
        <v>164</v>
      </c>
      <c r="B740" s="1" t="s">
        <v>68</v>
      </c>
      <c r="C740" s="5">
        <v>45596.0</v>
      </c>
      <c r="D740" s="1" t="s">
        <v>161</v>
      </c>
      <c r="E740" s="1" t="s">
        <v>11</v>
      </c>
      <c r="F740" s="1" t="s">
        <v>165</v>
      </c>
      <c r="H740" s="1">
        <v>0.0</v>
      </c>
      <c r="I740" s="1">
        <v>0.0</v>
      </c>
      <c r="J740" s="1">
        <v>0.0</v>
      </c>
      <c r="K740" s="1">
        <v>10.0</v>
      </c>
      <c r="L740" s="1">
        <v>16.0</v>
      </c>
      <c r="M740" s="1">
        <v>0.625</v>
      </c>
      <c r="N740" s="1">
        <v>11.39000034</v>
      </c>
    </row>
    <row r="741" ht="15.75" customHeight="1">
      <c r="A741" s="1" t="s">
        <v>164</v>
      </c>
      <c r="B741" s="1" t="s">
        <v>74</v>
      </c>
      <c r="C741" s="5">
        <v>45596.0</v>
      </c>
      <c r="D741" s="1" t="s">
        <v>161</v>
      </c>
      <c r="E741" s="1" t="s">
        <v>11</v>
      </c>
      <c r="F741" s="1" t="s">
        <v>162</v>
      </c>
      <c r="G741" s="1" t="s">
        <v>163</v>
      </c>
      <c r="H741" s="1">
        <v>1.0</v>
      </c>
      <c r="I741" s="1">
        <v>1.0</v>
      </c>
      <c r="J741" s="1">
        <v>0.0</v>
      </c>
      <c r="K741" s="1">
        <v>14.0</v>
      </c>
      <c r="L741" s="1">
        <v>16.0</v>
      </c>
      <c r="M741" s="1">
        <v>0.875</v>
      </c>
      <c r="N741" s="1">
        <v>6.75</v>
      </c>
    </row>
    <row r="742" ht="15.75" customHeight="1">
      <c r="A742" s="1" t="s">
        <v>164</v>
      </c>
      <c r="B742" s="1" t="s">
        <v>74</v>
      </c>
      <c r="C742" s="5">
        <v>45596.0</v>
      </c>
      <c r="D742" s="1" t="s">
        <v>161</v>
      </c>
      <c r="E742" s="1" t="s">
        <v>11</v>
      </c>
      <c r="F742" s="1" t="s">
        <v>166</v>
      </c>
      <c r="G742" s="1" t="s">
        <v>163</v>
      </c>
      <c r="H742" s="1">
        <v>1.0</v>
      </c>
      <c r="I742" s="1">
        <v>0.0</v>
      </c>
      <c r="J742" s="1">
        <v>0.0</v>
      </c>
      <c r="K742" s="1">
        <v>0.0</v>
      </c>
      <c r="L742" s="1">
        <v>0.0</v>
      </c>
      <c r="N742" s="1">
        <v>0.0</v>
      </c>
    </row>
    <row r="743" ht="15.75" customHeight="1">
      <c r="A743" s="1" t="s">
        <v>164</v>
      </c>
      <c r="B743" s="1" t="s">
        <v>75</v>
      </c>
      <c r="C743" s="5">
        <v>45596.0</v>
      </c>
      <c r="D743" s="1" t="s">
        <v>161</v>
      </c>
      <c r="E743" s="1" t="s">
        <v>11</v>
      </c>
      <c r="F743" s="1" t="s">
        <v>165</v>
      </c>
      <c r="H743" s="1">
        <v>0.0</v>
      </c>
      <c r="I743" s="1">
        <v>1.0</v>
      </c>
      <c r="J743" s="1">
        <v>0.0</v>
      </c>
      <c r="K743" s="1">
        <v>19.0</v>
      </c>
      <c r="L743" s="1">
        <v>25.0</v>
      </c>
      <c r="M743" s="1">
        <v>0.76</v>
      </c>
      <c r="N743" s="1">
        <v>12.10000038</v>
      </c>
    </row>
    <row r="744" ht="15.75" customHeight="1">
      <c r="A744" s="1" t="s">
        <v>164</v>
      </c>
      <c r="B744" s="1" t="s">
        <v>100</v>
      </c>
      <c r="C744" s="5">
        <v>45596.0</v>
      </c>
      <c r="D744" s="1" t="s">
        <v>161</v>
      </c>
      <c r="E744" s="1" t="s">
        <v>11</v>
      </c>
      <c r="F744" s="1" t="s">
        <v>171</v>
      </c>
      <c r="H744" s="1">
        <v>0.0</v>
      </c>
      <c r="I744" s="1">
        <v>0.0</v>
      </c>
      <c r="J744" s="1">
        <v>0.0</v>
      </c>
      <c r="K744" s="1">
        <v>0.0</v>
      </c>
      <c r="L744" s="1">
        <v>1.0</v>
      </c>
      <c r="M744" s="1">
        <v>0.0</v>
      </c>
      <c r="N744" s="1">
        <v>2.420000076</v>
      </c>
    </row>
    <row r="745" ht="15.75" customHeight="1">
      <c r="A745" s="1" t="s">
        <v>164</v>
      </c>
      <c r="B745" s="1" t="s">
        <v>82</v>
      </c>
      <c r="C745" s="5">
        <v>45596.0</v>
      </c>
      <c r="D745" s="1" t="s">
        <v>161</v>
      </c>
      <c r="E745" s="1" t="s">
        <v>11</v>
      </c>
      <c r="F745" s="1" t="s">
        <v>165</v>
      </c>
      <c r="H745" s="1">
        <v>0.0</v>
      </c>
      <c r="I745" s="1">
        <v>0.0</v>
      </c>
      <c r="J745" s="1">
        <v>0.0</v>
      </c>
      <c r="K745" s="1">
        <v>1.0</v>
      </c>
      <c r="L745" s="1">
        <v>6.0</v>
      </c>
      <c r="M745" s="1">
        <v>0.166666667</v>
      </c>
      <c r="N745" s="1">
        <v>8.600000381</v>
      </c>
    </row>
    <row r="746" ht="15.75" customHeight="1">
      <c r="A746" s="1" t="s">
        <v>164</v>
      </c>
      <c r="B746" s="1" t="s">
        <v>219</v>
      </c>
      <c r="C746" s="5">
        <v>45596.0</v>
      </c>
      <c r="D746" s="1" t="s">
        <v>161</v>
      </c>
      <c r="E746" s="1" t="s">
        <v>11</v>
      </c>
      <c r="F746" s="1" t="s">
        <v>165</v>
      </c>
      <c r="H746" s="1">
        <v>0.0</v>
      </c>
      <c r="I746" s="1">
        <v>0.0</v>
      </c>
      <c r="J746" s="1">
        <v>0.0</v>
      </c>
      <c r="K746" s="1">
        <v>1.0</v>
      </c>
      <c r="L746" s="1">
        <v>4.0</v>
      </c>
      <c r="M746" s="1">
        <v>0.25</v>
      </c>
      <c r="N746" s="1">
        <v>0.930000007</v>
      </c>
    </row>
    <row r="747" ht="15.75" customHeight="1">
      <c r="A747" s="1" t="s">
        <v>180</v>
      </c>
      <c r="B747" s="1" t="s">
        <v>220</v>
      </c>
      <c r="C747" s="5">
        <v>45596.0</v>
      </c>
      <c r="D747" s="1" t="s">
        <v>161</v>
      </c>
      <c r="E747" s="1" t="s">
        <v>11</v>
      </c>
      <c r="F747" s="1" t="s">
        <v>165</v>
      </c>
      <c r="H747" s="1">
        <v>0.0</v>
      </c>
      <c r="I747" s="1">
        <v>0.0</v>
      </c>
      <c r="J747" s="1">
        <v>0.0</v>
      </c>
      <c r="K747" s="1">
        <v>0.0</v>
      </c>
      <c r="L747" s="1">
        <v>0.0</v>
      </c>
      <c r="N747" s="1">
        <v>0.0</v>
      </c>
    </row>
    <row r="748" ht="15.75" customHeight="1">
      <c r="A748" s="1" t="s">
        <v>180</v>
      </c>
      <c r="B748" s="1" t="s">
        <v>220</v>
      </c>
      <c r="C748" s="5">
        <v>45596.0</v>
      </c>
      <c r="D748" s="1" t="s">
        <v>161</v>
      </c>
      <c r="E748" s="1" t="s">
        <v>11</v>
      </c>
      <c r="F748" s="1" t="s">
        <v>221</v>
      </c>
      <c r="H748" s="1">
        <v>0.0</v>
      </c>
      <c r="I748" s="1">
        <v>0.0</v>
      </c>
      <c r="J748" s="1">
        <v>0.0</v>
      </c>
      <c r="K748" s="1">
        <v>3.0</v>
      </c>
      <c r="L748" s="1">
        <v>6.0</v>
      </c>
      <c r="M748" s="1">
        <v>0.5</v>
      </c>
      <c r="N748" s="1">
        <v>0.0</v>
      </c>
    </row>
    <row r="749" ht="15.75" customHeight="1">
      <c r="A749" s="1" t="s">
        <v>180</v>
      </c>
      <c r="B749" s="1" t="s">
        <v>220</v>
      </c>
      <c r="C749" s="5">
        <v>45596.0</v>
      </c>
      <c r="D749" s="1" t="s">
        <v>161</v>
      </c>
      <c r="E749" s="1" t="s">
        <v>11</v>
      </c>
      <c r="F749" s="1" t="s">
        <v>168</v>
      </c>
      <c r="H749" s="1">
        <v>0.0</v>
      </c>
      <c r="I749" s="1">
        <v>0.0</v>
      </c>
      <c r="J749" s="1">
        <v>0.0</v>
      </c>
      <c r="K749" s="1">
        <v>4.0</v>
      </c>
      <c r="L749" s="1">
        <v>6.0</v>
      </c>
      <c r="M749" s="1">
        <v>0.666666667</v>
      </c>
      <c r="N749" s="1">
        <v>10.65999985</v>
      </c>
    </row>
    <row r="750" ht="15.75" customHeight="1">
      <c r="A750" s="1" t="s">
        <v>180</v>
      </c>
      <c r="B750" s="1" t="s">
        <v>214</v>
      </c>
      <c r="C750" s="5">
        <v>45596.0</v>
      </c>
      <c r="D750" s="1" t="s">
        <v>161</v>
      </c>
      <c r="E750" s="1" t="s">
        <v>11</v>
      </c>
      <c r="F750" s="1" t="s">
        <v>177</v>
      </c>
      <c r="G750" s="1" t="s">
        <v>163</v>
      </c>
      <c r="H750" s="1">
        <v>1.0</v>
      </c>
      <c r="I750" s="1">
        <v>1.0</v>
      </c>
      <c r="J750" s="1">
        <v>0.0</v>
      </c>
      <c r="K750" s="1">
        <v>21.0</v>
      </c>
      <c r="L750" s="1">
        <v>24.0</v>
      </c>
      <c r="M750" s="1">
        <v>0.875</v>
      </c>
      <c r="N750" s="1">
        <v>23.04000092</v>
      </c>
    </row>
    <row r="751" ht="15.75" customHeight="1">
      <c r="A751" s="1" t="s">
        <v>160</v>
      </c>
      <c r="B751" s="1" t="s">
        <v>217</v>
      </c>
      <c r="C751" s="5">
        <v>45595.0</v>
      </c>
      <c r="D751" s="1" t="s">
        <v>161</v>
      </c>
      <c r="E751" s="1" t="s">
        <v>11</v>
      </c>
      <c r="H751" s="1">
        <v>0.0</v>
      </c>
      <c r="J751" s="1">
        <v>0.0</v>
      </c>
      <c r="N751" s="1">
        <v>1.269999981</v>
      </c>
    </row>
    <row r="752" ht="15.75" customHeight="1">
      <c r="A752" s="1" t="s">
        <v>160</v>
      </c>
      <c r="B752" s="1" t="s">
        <v>69</v>
      </c>
      <c r="C752" s="5">
        <v>45595.0</v>
      </c>
      <c r="D752" s="1" t="s">
        <v>161</v>
      </c>
      <c r="E752" s="1" t="s">
        <v>11</v>
      </c>
      <c r="F752" s="1" t="s">
        <v>165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N752" s="1">
        <v>0.0</v>
      </c>
    </row>
    <row r="753" ht="15.75" customHeight="1">
      <c r="A753" s="1" t="s">
        <v>164</v>
      </c>
      <c r="B753" s="1" t="s">
        <v>216</v>
      </c>
      <c r="C753" s="5">
        <v>45595.0</v>
      </c>
      <c r="D753" s="1" t="s">
        <v>161</v>
      </c>
      <c r="E753" s="1" t="s">
        <v>11</v>
      </c>
      <c r="F753" s="1" t="s">
        <v>166</v>
      </c>
      <c r="H753" s="1">
        <v>0.0</v>
      </c>
      <c r="I753" s="1">
        <v>0.0</v>
      </c>
      <c r="J753" s="1">
        <v>0.0</v>
      </c>
      <c r="K753" s="1">
        <v>0.0</v>
      </c>
      <c r="L753" s="1">
        <v>0.0</v>
      </c>
      <c r="N753" s="1">
        <v>2.8099999430000002</v>
      </c>
    </row>
    <row r="754" ht="15.75" customHeight="1">
      <c r="A754" s="1" t="s">
        <v>164</v>
      </c>
      <c r="B754" s="1" t="s">
        <v>24</v>
      </c>
      <c r="C754" s="5">
        <v>45595.0</v>
      </c>
      <c r="D754" s="1" t="s">
        <v>161</v>
      </c>
      <c r="E754" s="1" t="s">
        <v>11</v>
      </c>
      <c r="F754" s="1" t="s">
        <v>166</v>
      </c>
      <c r="H754" s="1">
        <v>0.0</v>
      </c>
      <c r="I754" s="1">
        <v>0.0</v>
      </c>
      <c r="J754" s="1">
        <v>0.0</v>
      </c>
      <c r="K754" s="1">
        <v>0.0</v>
      </c>
      <c r="L754" s="1">
        <v>1.0</v>
      </c>
      <c r="M754" s="1">
        <v>0.0</v>
      </c>
      <c r="N754" s="1">
        <v>6.28000021</v>
      </c>
    </row>
    <row r="755" ht="15.75" customHeight="1">
      <c r="A755" s="1" t="s">
        <v>164</v>
      </c>
      <c r="B755" s="1" t="s">
        <v>52</v>
      </c>
      <c r="C755" s="5">
        <v>45595.0</v>
      </c>
      <c r="D755" s="1" t="s">
        <v>161</v>
      </c>
      <c r="E755" s="1" t="s">
        <v>11</v>
      </c>
      <c r="F755" s="1" t="s">
        <v>165</v>
      </c>
      <c r="G755" s="1" t="s">
        <v>172</v>
      </c>
      <c r="H755" s="1">
        <v>1.0</v>
      </c>
      <c r="I755" s="1">
        <v>0.0</v>
      </c>
      <c r="J755" s="1">
        <v>0.0</v>
      </c>
      <c r="K755" s="1">
        <v>4.0</v>
      </c>
      <c r="L755" s="1">
        <v>5.0</v>
      </c>
      <c r="M755" s="1">
        <v>0.8</v>
      </c>
      <c r="N755" s="1">
        <v>10.14000034</v>
      </c>
    </row>
    <row r="756" ht="15.75" customHeight="1">
      <c r="A756" s="1" t="s">
        <v>164</v>
      </c>
      <c r="B756" s="1" t="s">
        <v>183</v>
      </c>
      <c r="C756" s="5">
        <v>45595.0</v>
      </c>
      <c r="D756" s="1" t="s">
        <v>161</v>
      </c>
      <c r="E756" s="1" t="s">
        <v>11</v>
      </c>
      <c r="F756" s="1" t="s">
        <v>166</v>
      </c>
      <c r="H756" s="1">
        <v>0.0</v>
      </c>
      <c r="I756" s="1">
        <v>0.0</v>
      </c>
      <c r="J756" s="1">
        <v>0.0</v>
      </c>
      <c r="K756" s="1">
        <v>1.0</v>
      </c>
      <c r="L756" s="1">
        <v>2.0</v>
      </c>
      <c r="M756" s="1">
        <v>0.5</v>
      </c>
      <c r="N756" s="1">
        <v>1.679999948</v>
      </c>
    </row>
    <row r="757" ht="15.75" customHeight="1">
      <c r="A757" s="1" t="s">
        <v>164</v>
      </c>
      <c r="B757" s="1" t="s">
        <v>75</v>
      </c>
      <c r="C757" s="5">
        <v>45595.0</v>
      </c>
      <c r="D757" s="1" t="s">
        <v>161</v>
      </c>
      <c r="E757" s="1" t="s">
        <v>11</v>
      </c>
      <c r="F757" s="1" t="s">
        <v>165</v>
      </c>
      <c r="H757" s="1">
        <v>0.0</v>
      </c>
      <c r="I757" s="1">
        <v>1.0</v>
      </c>
      <c r="J757" s="1">
        <v>0.0</v>
      </c>
      <c r="K757" s="1">
        <v>19.0</v>
      </c>
      <c r="L757" s="1">
        <v>25.0</v>
      </c>
      <c r="M757" s="1">
        <v>0.76</v>
      </c>
      <c r="N757" s="1">
        <v>8.590000153</v>
      </c>
    </row>
    <row r="758" ht="15.75" customHeight="1">
      <c r="A758" s="1" t="s">
        <v>164</v>
      </c>
      <c r="B758" s="1" t="s">
        <v>100</v>
      </c>
      <c r="C758" s="5">
        <v>45595.0</v>
      </c>
      <c r="D758" s="1" t="s">
        <v>161</v>
      </c>
      <c r="E758" s="1" t="s">
        <v>11</v>
      </c>
      <c r="F758" s="1" t="s">
        <v>171</v>
      </c>
      <c r="H758" s="1">
        <v>0.0</v>
      </c>
      <c r="I758" s="1">
        <v>0.0</v>
      </c>
      <c r="J758" s="1">
        <v>0.0</v>
      </c>
      <c r="K758" s="1">
        <v>2.0</v>
      </c>
      <c r="L758" s="1">
        <v>3.0</v>
      </c>
      <c r="M758" s="1">
        <v>0.666666667</v>
      </c>
      <c r="N758" s="1">
        <v>1.460000038</v>
      </c>
    </row>
    <row r="759" ht="15.75" customHeight="1">
      <c r="A759" s="1" t="s">
        <v>164</v>
      </c>
      <c r="B759" s="1" t="s">
        <v>82</v>
      </c>
      <c r="C759" s="5">
        <v>45595.0</v>
      </c>
      <c r="D759" s="1" t="s">
        <v>161</v>
      </c>
      <c r="E759" s="1" t="s">
        <v>11</v>
      </c>
      <c r="F759" s="1" t="s">
        <v>165</v>
      </c>
      <c r="H759" s="1">
        <v>0.0</v>
      </c>
      <c r="I759" s="1">
        <v>0.0</v>
      </c>
      <c r="J759" s="1">
        <v>0.0</v>
      </c>
      <c r="K759" s="1">
        <v>0.0</v>
      </c>
      <c r="L759" s="1">
        <v>8.0</v>
      </c>
      <c r="M759" s="1">
        <v>0.0</v>
      </c>
      <c r="N759" s="1">
        <v>10.80000019</v>
      </c>
    </row>
    <row r="760" ht="15.75" customHeight="1">
      <c r="A760" s="1" t="s">
        <v>180</v>
      </c>
      <c r="B760" s="1" t="s">
        <v>220</v>
      </c>
      <c r="C760" s="5">
        <v>45595.0</v>
      </c>
      <c r="D760" s="1" t="s">
        <v>161</v>
      </c>
      <c r="E760" s="1" t="s">
        <v>11</v>
      </c>
      <c r="H760" s="1">
        <v>0.0</v>
      </c>
      <c r="J760" s="1">
        <v>0.0</v>
      </c>
      <c r="N760" s="1">
        <v>9.81000042</v>
      </c>
    </row>
    <row r="761" ht="15.75" customHeight="1">
      <c r="A761" s="1" t="s">
        <v>180</v>
      </c>
      <c r="B761" s="1" t="s">
        <v>214</v>
      </c>
      <c r="C761" s="5">
        <v>45595.0</v>
      </c>
      <c r="D761" s="1" t="s">
        <v>161</v>
      </c>
      <c r="E761" s="1" t="s">
        <v>11</v>
      </c>
      <c r="F761" s="1" t="s">
        <v>221</v>
      </c>
      <c r="H761" s="1">
        <v>0.0</v>
      </c>
      <c r="I761" s="1">
        <v>0.0</v>
      </c>
      <c r="J761" s="1">
        <v>0.0</v>
      </c>
      <c r="K761" s="1">
        <v>3.0</v>
      </c>
      <c r="L761" s="1">
        <v>5.0</v>
      </c>
      <c r="M761" s="1">
        <v>0.6</v>
      </c>
      <c r="N761" s="1">
        <v>0.0</v>
      </c>
    </row>
    <row r="762" ht="15.75" customHeight="1">
      <c r="A762" s="1" t="s">
        <v>180</v>
      </c>
      <c r="B762" s="1" t="s">
        <v>214</v>
      </c>
      <c r="C762" s="5">
        <v>45595.0</v>
      </c>
      <c r="D762" s="1" t="s">
        <v>161</v>
      </c>
      <c r="E762" s="1" t="s">
        <v>11</v>
      </c>
      <c r="F762" s="1" t="s">
        <v>168</v>
      </c>
      <c r="H762" s="1">
        <v>0.0</v>
      </c>
      <c r="I762" s="1">
        <v>1.0</v>
      </c>
      <c r="J762" s="1">
        <v>0.0</v>
      </c>
      <c r="K762" s="1">
        <v>12.0</v>
      </c>
      <c r="L762" s="1">
        <v>12.0</v>
      </c>
      <c r="M762" s="1">
        <v>1.0</v>
      </c>
      <c r="N762" s="1">
        <v>6.579999924</v>
      </c>
    </row>
    <row r="763" ht="15.75" customHeight="1">
      <c r="A763" s="1" t="s">
        <v>160</v>
      </c>
      <c r="B763" s="1" t="s">
        <v>20</v>
      </c>
      <c r="C763" s="5">
        <v>45594.0</v>
      </c>
      <c r="D763" s="1" t="s">
        <v>161</v>
      </c>
      <c r="E763" s="1" t="s">
        <v>11</v>
      </c>
      <c r="H763" s="1">
        <v>0.0</v>
      </c>
      <c r="J763" s="1">
        <v>0.0</v>
      </c>
      <c r="N763" s="1">
        <v>0.569999993</v>
      </c>
    </row>
    <row r="764" ht="15.75" customHeight="1">
      <c r="A764" s="1" t="s">
        <v>160</v>
      </c>
      <c r="B764" s="1" t="s">
        <v>217</v>
      </c>
      <c r="C764" s="5">
        <v>45594.0</v>
      </c>
      <c r="D764" s="1" t="s">
        <v>161</v>
      </c>
      <c r="E764" s="1" t="s">
        <v>11</v>
      </c>
      <c r="H764" s="1">
        <v>0.0</v>
      </c>
      <c r="J764" s="1">
        <v>0.0</v>
      </c>
      <c r="N764" s="1">
        <v>3.049999952</v>
      </c>
    </row>
    <row r="765" ht="15.75" customHeight="1">
      <c r="A765" s="1" t="s">
        <v>160</v>
      </c>
      <c r="B765" s="1" t="s">
        <v>69</v>
      </c>
      <c r="C765" s="5">
        <v>45594.0</v>
      </c>
      <c r="D765" s="1" t="s">
        <v>161</v>
      </c>
      <c r="E765" s="1" t="s">
        <v>11</v>
      </c>
      <c r="F765" s="1" t="s">
        <v>165</v>
      </c>
      <c r="H765" s="1">
        <v>0.0</v>
      </c>
      <c r="I765" s="1">
        <v>0.0</v>
      </c>
      <c r="J765" s="1">
        <v>0.0</v>
      </c>
      <c r="K765" s="1">
        <v>4.0</v>
      </c>
      <c r="L765" s="1">
        <v>6.0</v>
      </c>
      <c r="M765" s="1">
        <v>0.666666667</v>
      </c>
      <c r="N765" s="1">
        <v>13.44999981</v>
      </c>
    </row>
    <row r="766" ht="15.75" customHeight="1">
      <c r="A766" s="1" t="s">
        <v>164</v>
      </c>
      <c r="B766" s="1" t="s">
        <v>22</v>
      </c>
      <c r="C766" s="5">
        <v>45594.0</v>
      </c>
      <c r="D766" s="1" t="s">
        <v>161</v>
      </c>
      <c r="E766" s="1" t="s">
        <v>11</v>
      </c>
      <c r="F766" s="1" t="s">
        <v>166</v>
      </c>
      <c r="H766" s="1">
        <v>0.0</v>
      </c>
      <c r="I766" s="1">
        <v>0.0</v>
      </c>
      <c r="J766" s="1">
        <v>0.0</v>
      </c>
      <c r="K766" s="1">
        <v>0.0</v>
      </c>
      <c r="L766" s="1">
        <v>0.0</v>
      </c>
      <c r="N766" s="1">
        <v>2.549999952</v>
      </c>
    </row>
    <row r="767" ht="15.75" customHeight="1">
      <c r="A767" s="1" t="s">
        <v>164</v>
      </c>
      <c r="B767" s="1" t="s">
        <v>24</v>
      </c>
      <c r="C767" s="5">
        <v>45594.0</v>
      </c>
      <c r="D767" s="1" t="s">
        <v>161</v>
      </c>
      <c r="E767" s="1" t="s">
        <v>11</v>
      </c>
      <c r="F767" s="1" t="s">
        <v>166</v>
      </c>
      <c r="H767" s="1">
        <v>0.0</v>
      </c>
      <c r="I767" s="1">
        <v>0.0</v>
      </c>
      <c r="J767" s="1">
        <v>0.0</v>
      </c>
      <c r="K767" s="1">
        <v>0.0</v>
      </c>
      <c r="L767" s="1">
        <v>2.0</v>
      </c>
      <c r="M767" s="1">
        <v>0.0</v>
      </c>
      <c r="N767" s="1">
        <v>7.920000076</v>
      </c>
    </row>
    <row r="768" ht="15.75" customHeight="1">
      <c r="A768" s="1" t="s">
        <v>164</v>
      </c>
      <c r="B768" s="1" t="s">
        <v>52</v>
      </c>
      <c r="C768" s="5">
        <v>45594.0</v>
      </c>
      <c r="D768" s="1" t="s">
        <v>161</v>
      </c>
      <c r="E768" s="1" t="s">
        <v>11</v>
      </c>
      <c r="F768" s="1" t="s">
        <v>165</v>
      </c>
      <c r="H768" s="1">
        <v>0.0</v>
      </c>
      <c r="I768" s="1">
        <v>0.0</v>
      </c>
      <c r="J768" s="1">
        <v>0.0</v>
      </c>
      <c r="K768" s="1">
        <v>4.0</v>
      </c>
      <c r="L768" s="1">
        <v>7.0</v>
      </c>
      <c r="M768" s="1">
        <v>0.571428571</v>
      </c>
      <c r="N768" s="1">
        <v>8.739999771</v>
      </c>
    </row>
    <row r="769" ht="15.75" customHeight="1">
      <c r="A769" s="1" t="s">
        <v>164</v>
      </c>
      <c r="B769" s="1" t="s">
        <v>63</v>
      </c>
      <c r="C769" s="5">
        <v>45594.0</v>
      </c>
      <c r="D769" s="1" t="s">
        <v>161</v>
      </c>
      <c r="E769" s="1" t="s">
        <v>11</v>
      </c>
      <c r="F769" s="1" t="s">
        <v>166</v>
      </c>
      <c r="H769" s="1">
        <v>0.0</v>
      </c>
      <c r="I769" s="1">
        <v>0.0</v>
      </c>
      <c r="J769" s="1">
        <v>0.0</v>
      </c>
      <c r="K769" s="1">
        <v>0.0</v>
      </c>
      <c r="L769" s="1">
        <v>12.0</v>
      </c>
      <c r="M769" s="1">
        <v>0.0</v>
      </c>
      <c r="N769" s="1">
        <v>14.21000004</v>
      </c>
    </row>
    <row r="770" ht="15.75" customHeight="1">
      <c r="A770" s="1" t="s">
        <v>164</v>
      </c>
      <c r="B770" s="1" t="s">
        <v>68</v>
      </c>
      <c r="C770" s="5">
        <v>45594.0</v>
      </c>
      <c r="D770" s="1" t="s">
        <v>161</v>
      </c>
      <c r="E770" s="1" t="s">
        <v>11</v>
      </c>
      <c r="F770" s="1" t="s">
        <v>165</v>
      </c>
      <c r="H770" s="1">
        <v>0.0</v>
      </c>
      <c r="I770" s="1">
        <v>0.0</v>
      </c>
      <c r="J770" s="1">
        <v>0.0</v>
      </c>
      <c r="K770" s="1">
        <v>14.0</v>
      </c>
      <c r="L770" s="1">
        <v>23.0</v>
      </c>
      <c r="M770" s="1">
        <v>0.608695652</v>
      </c>
      <c r="N770" s="1">
        <v>14.40999985</v>
      </c>
    </row>
    <row r="771" ht="15.75" customHeight="1">
      <c r="A771" s="1" t="s">
        <v>164</v>
      </c>
      <c r="B771" s="1" t="s">
        <v>74</v>
      </c>
      <c r="C771" s="5">
        <v>45594.0</v>
      </c>
      <c r="D771" s="1" t="s">
        <v>161</v>
      </c>
      <c r="E771" s="1" t="s">
        <v>11</v>
      </c>
      <c r="F771" s="1" t="s">
        <v>166</v>
      </c>
      <c r="H771" s="1">
        <v>0.0</v>
      </c>
      <c r="I771" s="1">
        <v>1.0</v>
      </c>
      <c r="J771" s="1">
        <v>0.0</v>
      </c>
      <c r="K771" s="1">
        <v>10.0</v>
      </c>
      <c r="L771" s="1">
        <v>11.0</v>
      </c>
      <c r="M771" s="1">
        <v>0.909090909</v>
      </c>
      <c r="N771" s="1">
        <v>5.559999943</v>
      </c>
    </row>
    <row r="772" ht="15.75" customHeight="1">
      <c r="A772" s="1" t="s">
        <v>164</v>
      </c>
      <c r="B772" s="1" t="s">
        <v>75</v>
      </c>
      <c r="C772" s="5">
        <v>45594.0</v>
      </c>
      <c r="D772" s="1" t="s">
        <v>161</v>
      </c>
      <c r="E772" s="1" t="s">
        <v>11</v>
      </c>
      <c r="F772" s="1" t="s">
        <v>165</v>
      </c>
      <c r="H772" s="1">
        <v>0.0</v>
      </c>
      <c r="I772" s="1">
        <v>0.0</v>
      </c>
      <c r="J772" s="1">
        <v>0.0</v>
      </c>
      <c r="K772" s="1">
        <v>13.0</v>
      </c>
      <c r="L772" s="1">
        <v>24.0</v>
      </c>
      <c r="M772" s="1">
        <v>0.541666667</v>
      </c>
      <c r="N772" s="1">
        <v>15.22000027</v>
      </c>
    </row>
    <row r="773" ht="15.75" customHeight="1">
      <c r="A773" s="1" t="s">
        <v>164</v>
      </c>
      <c r="B773" s="1" t="s">
        <v>100</v>
      </c>
      <c r="C773" s="5">
        <v>45594.0</v>
      </c>
      <c r="D773" s="1" t="s">
        <v>161</v>
      </c>
      <c r="E773" s="1" t="s">
        <v>11</v>
      </c>
      <c r="F773" s="1" t="s">
        <v>171</v>
      </c>
      <c r="H773" s="1">
        <v>0.0</v>
      </c>
      <c r="I773" s="1">
        <v>0.0</v>
      </c>
      <c r="J773" s="1">
        <v>0.0</v>
      </c>
      <c r="K773" s="1">
        <v>4.0</v>
      </c>
      <c r="L773" s="1">
        <v>6.0</v>
      </c>
      <c r="M773" s="1">
        <v>0.666666667</v>
      </c>
      <c r="N773" s="1">
        <v>3.5</v>
      </c>
    </row>
    <row r="774" ht="15.75" customHeight="1">
      <c r="A774" s="1" t="s">
        <v>164</v>
      </c>
      <c r="B774" s="1" t="s">
        <v>82</v>
      </c>
      <c r="C774" s="5">
        <v>45594.0</v>
      </c>
      <c r="D774" s="1" t="s">
        <v>161</v>
      </c>
      <c r="E774" s="1" t="s">
        <v>11</v>
      </c>
      <c r="F774" s="1" t="s">
        <v>165</v>
      </c>
      <c r="H774" s="1">
        <v>0.0</v>
      </c>
      <c r="I774" s="1">
        <v>0.0</v>
      </c>
      <c r="J774" s="1">
        <v>0.0</v>
      </c>
      <c r="K774" s="1">
        <v>0.0</v>
      </c>
      <c r="L774" s="1">
        <v>0.0</v>
      </c>
      <c r="N774" s="1">
        <v>8.699999809</v>
      </c>
    </row>
    <row r="775" ht="15.75" customHeight="1">
      <c r="A775" s="1" t="s">
        <v>180</v>
      </c>
      <c r="B775" s="1" t="s">
        <v>220</v>
      </c>
      <c r="C775" s="5">
        <v>45594.0</v>
      </c>
      <c r="D775" s="1" t="s">
        <v>161</v>
      </c>
      <c r="E775" s="1" t="s">
        <v>11</v>
      </c>
      <c r="F775" s="1" t="s">
        <v>165</v>
      </c>
      <c r="H775" s="1">
        <v>0.0</v>
      </c>
      <c r="I775" s="1">
        <v>1.0</v>
      </c>
      <c r="J775" s="1">
        <v>0.0</v>
      </c>
      <c r="K775" s="1">
        <v>17.0</v>
      </c>
      <c r="L775" s="1">
        <v>20.0</v>
      </c>
      <c r="M775" s="1">
        <v>0.85</v>
      </c>
      <c r="N775" s="1">
        <v>18.22999954</v>
      </c>
    </row>
    <row r="776" ht="15.75" customHeight="1">
      <c r="A776" s="1" t="s">
        <v>180</v>
      </c>
      <c r="B776" s="1" t="s">
        <v>214</v>
      </c>
      <c r="C776" s="5">
        <v>45594.0</v>
      </c>
      <c r="D776" s="1" t="s">
        <v>161</v>
      </c>
      <c r="E776" s="1" t="s">
        <v>11</v>
      </c>
      <c r="F776" s="1" t="s">
        <v>165</v>
      </c>
      <c r="G776" s="1" t="s">
        <v>163</v>
      </c>
      <c r="H776" s="1">
        <v>1.0</v>
      </c>
      <c r="I776" s="1">
        <v>0.0</v>
      </c>
      <c r="J776" s="1">
        <v>0.0</v>
      </c>
      <c r="K776" s="1">
        <v>5.0</v>
      </c>
      <c r="L776" s="1">
        <v>9.0</v>
      </c>
      <c r="M776" s="1">
        <v>0.555555556</v>
      </c>
      <c r="N776" s="1">
        <v>0.0</v>
      </c>
    </row>
    <row r="777" ht="15.75" customHeight="1">
      <c r="A777" s="1" t="s">
        <v>180</v>
      </c>
      <c r="B777" s="1" t="s">
        <v>214</v>
      </c>
      <c r="C777" s="5">
        <v>45594.0</v>
      </c>
      <c r="D777" s="1" t="s">
        <v>161</v>
      </c>
      <c r="E777" s="1" t="s">
        <v>11</v>
      </c>
      <c r="F777" s="1" t="s">
        <v>221</v>
      </c>
      <c r="G777" s="1" t="s">
        <v>163</v>
      </c>
      <c r="H777" s="1">
        <v>1.0</v>
      </c>
      <c r="I777" s="1">
        <v>0.0</v>
      </c>
      <c r="J777" s="1">
        <v>0.0</v>
      </c>
      <c r="K777" s="1">
        <v>12.0</v>
      </c>
      <c r="L777" s="1">
        <v>15.0</v>
      </c>
      <c r="M777" s="1">
        <v>0.8</v>
      </c>
      <c r="N777" s="1">
        <v>0.0</v>
      </c>
    </row>
    <row r="778" ht="15.75" customHeight="1">
      <c r="A778" s="1" t="s">
        <v>180</v>
      </c>
      <c r="B778" s="1" t="s">
        <v>214</v>
      </c>
      <c r="C778" s="5">
        <v>45594.0</v>
      </c>
      <c r="D778" s="1" t="s">
        <v>161</v>
      </c>
      <c r="E778" s="1" t="s">
        <v>11</v>
      </c>
      <c r="F778" s="1" t="s">
        <v>167</v>
      </c>
      <c r="G778" s="1" t="s">
        <v>163</v>
      </c>
      <c r="H778" s="1">
        <v>1.0</v>
      </c>
      <c r="I778" s="1">
        <v>2.0</v>
      </c>
      <c r="J778" s="1">
        <v>0.0</v>
      </c>
      <c r="K778" s="1">
        <v>34.0</v>
      </c>
      <c r="L778" s="1">
        <v>43.0</v>
      </c>
      <c r="M778" s="1">
        <v>0.790697674</v>
      </c>
      <c r="N778" s="1">
        <v>31.32999992</v>
      </c>
    </row>
    <row r="779" ht="15.75" customHeight="1">
      <c r="A779" s="1" t="s">
        <v>180</v>
      </c>
      <c r="B779" s="1" t="s">
        <v>214</v>
      </c>
      <c r="C779" s="5">
        <v>45594.0</v>
      </c>
      <c r="D779" s="1" t="s">
        <v>161</v>
      </c>
      <c r="E779" s="1" t="s">
        <v>11</v>
      </c>
      <c r="F779" s="1" t="s">
        <v>166</v>
      </c>
      <c r="G779" s="1" t="s">
        <v>163</v>
      </c>
      <c r="H779" s="1">
        <v>1.0</v>
      </c>
      <c r="I779" s="1">
        <v>0.0</v>
      </c>
      <c r="J779" s="1">
        <v>0.0</v>
      </c>
      <c r="K779" s="1">
        <v>0.0</v>
      </c>
      <c r="L779" s="1">
        <v>0.0</v>
      </c>
      <c r="N779" s="1">
        <v>0.0</v>
      </c>
    </row>
    <row r="780" ht="15.75" customHeight="1">
      <c r="A780" s="1" t="s">
        <v>180</v>
      </c>
      <c r="B780" s="1" t="s">
        <v>214</v>
      </c>
      <c r="C780" s="5">
        <v>45594.0</v>
      </c>
      <c r="D780" s="1" t="s">
        <v>161</v>
      </c>
      <c r="E780" s="1" t="s">
        <v>11</v>
      </c>
      <c r="F780" s="1" t="s">
        <v>171</v>
      </c>
      <c r="G780" s="1" t="s">
        <v>163</v>
      </c>
      <c r="H780" s="1">
        <v>1.0</v>
      </c>
      <c r="I780" s="1">
        <v>0.0</v>
      </c>
      <c r="J780" s="1">
        <v>0.0</v>
      </c>
      <c r="K780" s="1">
        <v>3.0</v>
      </c>
      <c r="L780" s="1">
        <v>5.0</v>
      </c>
      <c r="M780" s="1">
        <v>0.6</v>
      </c>
      <c r="N780" s="1">
        <v>0.0</v>
      </c>
    </row>
    <row r="781" ht="15.75" customHeight="1">
      <c r="A781" s="1" t="s">
        <v>160</v>
      </c>
      <c r="B781" s="1" t="s">
        <v>20</v>
      </c>
      <c r="C781" s="5">
        <v>45593.0</v>
      </c>
      <c r="D781" s="1" t="s">
        <v>161</v>
      </c>
      <c r="E781" s="1" t="s">
        <v>11</v>
      </c>
      <c r="F781" s="1" t="s">
        <v>162</v>
      </c>
      <c r="H781" s="1">
        <v>0.0</v>
      </c>
      <c r="I781" s="1">
        <v>1.0</v>
      </c>
      <c r="J781" s="1">
        <v>0.0</v>
      </c>
      <c r="K781" s="1">
        <v>29.0</v>
      </c>
      <c r="L781" s="1">
        <v>40.0</v>
      </c>
      <c r="M781" s="1">
        <v>0.725</v>
      </c>
      <c r="N781" s="1">
        <v>25.20000076</v>
      </c>
    </row>
    <row r="782" ht="15.75" customHeight="1">
      <c r="A782" s="1" t="s">
        <v>160</v>
      </c>
      <c r="B782" s="1" t="s">
        <v>217</v>
      </c>
      <c r="C782" s="5">
        <v>45593.0</v>
      </c>
      <c r="D782" s="1" t="s">
        <v>161</v>
      </c>
      <c r="E782" s="1" t="s">
        <v>11</v>
      </c>
      <c r="H782" s="1">
        <v>0.0</v>
      </c>
      <c r="J782" s="1">
        <v>0.0</v>
      </c>
      <c r="N782" s="1">
        <v>0.860000014</v>
      </c>
    </row>
    <row r="783" ht="15.75" customHeight="1">
      <c r="A783" s="1" t="s">
        <v>160</v>
      </c>
      <c r="B783" s="1" t="s">
        <v>69</v>
      </c>
      <c r="C783" s="5">
        <v>45593.0</v>
      </c>
      <c r="D783" s="1" t="s">
        <v>161</v>
      </c>
      <c r="E783" s="1" t="s">
        <v>11</v>
      </c>
      <c r="F783" s="1" t="s">
        <v>165</v>
      </c>
      <c r="H783" s="1">
        <v>0.0</v>
      </c>
      <c r="I783" s="1">
        <v>0.0</v>
      </c>
      <c r="J783" s="1">
        <v>0.0</v>
      </c>
      <c r="K783" s="1">
        <v>4.0</v>
      </c>
      <c r="L783" s="1">
        <v>7.0</v>
      </c>
      <c r="M783" s="1">
        <v>0.571428571</v>
      </c>
      <c r="N783" s="1">
        <v>9.109999657</v>
      </c>
    </row>
    <row r="784" ht="15.75" customHeight="1">
      <c r="A784" s="1" t="s">
        <v>164</v>
      </c>
      <c r="B784" s="1" t="s">
        <v>216</v>
      </c>
      <c r="C784" s="5">
        <v>45593.0</v>
      </c>
      <c r="D784" s="1" t="s">
        <v>161</v>
      </c>
      <c r="E784" s="1" t="s">
        <v>11</v>
      </c>
      <c r="H784" s="1">
        <v>0.0</v>
      </c>
      <c r="J784" s="1">
        <v>0.0</v>
      </c>
      <c r="N784" s="1">
        <v>0.180000007</v>
      </c>
    </row>
    <row r="785" ht="15.75" customHeight="1">
      <c r="A785" s="1" t="s">
        <v>164</v>
      </c>
      <c r="B785" s="1" t="s">
        <v>24</v>
      </c>
      <c r="C785" s="5">
        <v>45593.0</v>
      </c>
      <c r="D785" s="1" t="s">
        <v>161</v>
      </c>
      <c r="E785" s="1" t="s">
        <v>11</v>
      </c>
      <c r="F785" s="1" t="s">
        <v>166</v>
      </c>
      <c r="H785" s="1">
        <v>0.0</v>
      </c>
      <c r="I785" s="1">
        <v>0.0</v>
      </c>
      <c r="J785" s="1">
        <v>0.0</v>
      </c>
      <c r="K785" s="1">
        <v>0.0</v>
      </c>
      <c r="L785" s="1">
        <v>0.0</v>
      </c>
      <c r="N785" s="1">
        <v>3.75</v>
      </c>
    </row>
    <row r="786" ht="15.75" customHeight="1">
      <c r="A786" s="1" t="s">
        <v>164</v>
      </c>
      <c r="B786" s="1" t="s">
        <v>52</v>
      </c>
      <c r="C786" s="5">
        <v>45593.0</v>
      </c>
      <c r="D786" s="1" t="s">
        <v>161</v>
      </c>
      <c r="E786" s="1" t="s">
        <v>11</v>
      </c>
      <c r="F786" s="1" t="s">
        <v>165</v>
      </c>
      <c r="H786" s="1">
        <v>0.0</v>
      </c>
      <c r="I786" s="1">
        <v>0.0</v>
      </c>
      <c r="J786" s="1">
        <v>0.0</v>
      </c>
      <c r="K786" s="1">
        <v>4.0</v>
      </c>
      <c r="L786" s="1">
        <v>7.0</v>
      </c>
      <c r="M786" s="1">
        <v>0.571428571</v>
      </c>
      <c r="N786" s="1">
        <v>6.8699998860000004</v>
      </c>
    </row>
    <row r="787" ht="15.75" customHeight="1">
      <c r="A787" s="1" t="s">
        <v>164</v>
      </c>
      <c r="B787" s="1" t="s">
        <v>199</v>
      </c>
      <c r="C787" s="5">
        <v>45593.0</v>
      </c>
      <c r="D787" s="1" t="s">
        <v>161</v>
      </c>
      <c r="E787" s="1" t="s">
        <v>11</v>
      </c>
      <c r="F787" s="1" t="s">
        <v>162</v>
      </c>
      <c r="H787" s="1">
        <v>0.0</v>
      </c>
      <c r="I787" s="1">
        <v>0.0</v>
      </c>
      <c r="J787" s="1">
        <v>0.0</v>
      </c>
      <c r="K787" s="1">
        <v>3.0</v>
      </c>
      <c r="L787" s="1">
        <v>4.0</v>
      </c>
      <c r="M787" s="1">
        <v>0.75</v>
      </c>
      <c r="N787" s="1">
        <v>5.929999828</v>
      </c>
    </row>
    <row r="788" ht="15.75" customHeight="1">
      <c r="A788" s="1" t="s">
        <v>164</v>
      </c>
      <c r="B788" s="1" t="s">
        <v>222</v>
      </c>
      <c r="C788" s="5">
        <v>45593.0</v>
      </c>
      <c r="D788" s="1" t="s">
        <v>161</v>
      </c>
      <c r="E788" s="1" t="s">
        <v>11</v>
      </c>
      <c r="H788" s="1">
        <v>0.0</v>
      </c>
      <c r="J788" s="1">
        <v>0.0</v>
      </c>
      <c r="N788" s="1">
        <v>7.079999924</v>
      </c>
    </row>
    <row r="789" ht="15.75" customHeight="1">
      <c r="A789" s="1" t="s">
        <v>164</v>
      </c>
      <c r="B789" s="1" t="s">
        <v>63</v>
      </c>
      <c r="C789" s="5">
        <v>45593.0</v>
      </c>
      <c r="D789" s="1" t="s">
        <v>161</v>
      </c>
      <c r="E789" s="1" t="s">
        <v>11</v>
      </c>
      <c r="F789" s="1" t="s">
        <v>166</v>
      </c>
      <c r="H789" s="1">
        <v>0.0</v>
      </c>
      <c r="I789" s="1">
        <v>0.0</v>
      </c>
      <c r="J789" s="1">
        <v>0.0</v>
      </c>
      <c r="K789" s="1">
        <v>0.0</v>
      </c>
      <c r="L789" s="1">
        <v>6.0</v>
      </c>
      <c r="M789" s="1">
        <v>0.0</v>
      </c>
      <c r="N789" s="1">
        <v>6.28000021</v>
      </c>
    </row>
    <row r="790" ht="15.75" customHeight="1">
      <c r="A790" s="1" t="s">
        <v>164</v>
      </c>
      <c r="B790" s="1" t="s">
        <v>183</v>
      </c>
      <c r="C790" s="5">
        <v>45593.0</v>
      </c>
      <c r="D790" s="1" t="s">
        <v>161</v>
      </c>
      <c r="E790" s="1" t="s">
        <v>11</v>
      </c>
      <c r="F790" s="1" t="s">
        <v>166</v>
      </c>
      <c r="H790" s="1">
        <v>0.0</v>
      </c>
      <c r="I790" s="1">
        <v>0.0</v>
      </c>
      <c r="J790" s="1">
        <v>0.0</v>
      </c>
      <c r="K790" s="1">
        <v>0.0</v>
      </c>
      <c r="L790" s="1">
        <v>0.0</v>
      </c>
      <c r="N790" s="1">
        <v>0.370000005</v>
      </c>
    </row>
    <row r="791" ht="15.75" customHeight="1">
      <c r="A791" s="1" t="s">
        <v>164</v>
      </c>
      <c r="B791" s="1" t="s">
        <v>68</v>
      </c>
      <c r="C791" s="5">
        <v>45593.0</v>
      </c>
      <c r="D791" s="1" t="s">
        <v>161</v>
      </c>
      <c r="E791" s="1" t="s">
        <v>11</v>
      </c>
      <c r="F791" s="1" t="s">
        <v>165</v>
      </c>
      <c r="G791" s="1" t="s">
        <v>172</v>
      </c>
      <c r="H791" s="1">
        <v>1.0</v>
      </c>
      <c r="I791" s="1">
        <v>0.0</v>
      </c>
      <c r="J791" s="1">
        <v>0.0</v>
      </c>
      <c r="K791" s="1">
        <v>6.0</v>
      </c>
      <c r="L791" s="1">
        <v>12.0</v>
      </c>
      <c r="M791" s="1">
        <v>0.5</v>
      </c>
      <c r="N791" s="1">
        <v>11.10000038</v>
      </c>
    </row>
    <row r="792" ht="15.75" customHeight="1">
      <c r="A792" s="1" t="s">
        <v>164</v>
      </c>
      <c r="B792" s="1" t="s">
        <v>74</v>
      </c>
      <c r="C792" s="5">
        <v>45593.0</v>
      </c>
      <c r="D792" s="1" t="s">
        <v>161</v>
      </c>
      <c r="E792" s="1" t="s">
        <v>11</v>
      </c>
      <c r="F792" s="1" t="s">
        <v>166</v>
      </c>
      <c r="H792" s="1">
        <v>0.0</v>
      </c>
      <c r="I792" s="1">
        <v>0.0</v>
      </c>
      <c r="J792" s="1">
        <v>0.0</v>
      </c>
      <c r="K792" s="1">
        <v>0.0</v>
      </c>
      <c r="L792" s="1">
        <v>2.0</v>
      </c>
      <c r="M792" s="1">
        <v>0.0</v>
      </c>
      <c r="N792" s="1">
        <v>10.23999977</v>
      </c>
    </row>
    <row r="793" ht="15.75" customHeight="1">
      <c r="A793" s="1" t="s">
        <v>164</v>
      </c>
      <c r="B793" s="1" t="s">
        <v>75</v>
      </c>
      <c r="C793" s="5">
        <v>45593.0</v>
      </c>
      <c r="D793" s="1" t="s">
        <v>161</v>
      </c>
      <c r="E793" s="1" t="s">
        <v>11</v>
      </c>
      <c r="F793" s="1" t="s">
        <v>165</v>
      </c>
      <c r="H793" s="1">
        <v>0.0</v>
      </c>
      <c r="I793" s="1">
        <v>1.0</v>
      </c>
      <c r="J793" s="1">
        <v>0.0</v>
      </c>
      <c r="K793" s="1">
        <v>10.0</v>
      </c>
      <c r="L793" s="1">
        <v>14.0</v>
      </c>
      <c r="M793" s="1">
        <v>0.714285714</v>
      </c>
      <c r="N793" s="1">
        <v>13.30000019</v>
      </c>
    </row>
    <row r="794" ht="15.75" customHeight="1">
      <c r="A794" s="1" t="s">
        <v>164</v>
      </c>
      <c r="B794" s="1" t="s">
        <v>100</v>
      </c>
      <c r="C794" s="5">
        <v>45593.0</v>
      </c>
      <c r="D794" s="1" t="s">
        <v>161</v>
      </c>
      <c r="E794" s="1" t="s">
        <v>11</v>
      </c>
      <c r="F794" s="1" t="s">
        <v>171</v>
      </c>
      <c r="H794" s="1">
        <v>0.0</v>
      </c>
      <c r="I794" s="1">
        <v>0.0</v>
      </c>
      <c r="J794" s="1">
        <v>0.0</v>
      </c>
      <c r="K794" s="1">
        <v>2.0</v>
      </c>
      <c r="L794" s="1">
        <v>5.0</v>
      </c>
      <c r="M794" s="1">
        <v>0.4</v>
      </c>
      <c r="N794" s="1">
        <v>4.420000076</v>
      </c>
    </row>
    <row r="795" ht="15.75" customHeight="1">
      <c r="A795" s="1" t="s">
        <v>164</v>
      </c>
      <c r="B795" s="1" t="s">
        <v>82</v>
      </c>
      <c r="C795" s="5">
        <v>45593.0</v>
      </c>
      <c r="D795" s="1" t="s">
        <v>161</v>
      </c>
      <c r="E795" s="1" t="s">
        <v>11</v>
      </c>
      <c r="F795" s="1" t="s">
        <v>165</v>
      </c>
      <c r="H795" s="1">
        <v>0.0</v>
      </c>
      <c r="I795" s="1">
        <v>0.0</v>
      </c>
      <c r="J795" s="1">
        <v>0.0</v>
      </c>
      <c r="K795" s="1">
        <v>0.0</v>
      </c>
      <c r="L795" s="1">
        <v>1.0</v>
      </c>
      <c r="M795" s="1">
        <v>0.0</v>
      </c>
      <c r="N795" s="1">
        <v>12.67000008</v>
      </c>
    </row>
    <row r="796" ht="15.75" customHeight="1">
      <c r="A796" s="1" t="s">
        <v>180</v>
      </c>
      <c r="B796" s="1" t="s">
        <v>220</v>
      </c>
      <c r="C796" s="5">
        <v>45593.0</v>
      </c>
      <c r="D796" s="1" t="s">
        <v>161</v>
      </c>
      <c r="E796" s="1" t="s">
        <v>11</v>
      </c>
      <c r="F796" s="1" t="s">
        <v>166</v>
      </c>
      <c r="H796" s="1">
        <v>0.0</v>
      </c>
      <c r="I796" s="1">
        <v>1.0</v>
      </c>
      <c r="J796" s="1">
        <v>0.0</v>
      </c>
      <c r="K796" s="1">
        <v>1.0</v>
      </c>
      <c r="L796" s="1">
        <v>1.0</v>
      </c>
      <c r="M796" s="1">
        <v>1.0</v>
      </c>
      <c r="N796" s="1">
        <v>1.929999948</v>
      </c>
    </row>
    <row r="797" ht="15.75" customHeight="1">
      <c r="A797" s="1" t="s">
        <v>180</v>
      </c>
      <c r="B797" s="1" t="s">
        <v>214</v>
      </c>
      <c r="C797" s="5">
        <v>45593.0</v>
      </c>
      <c r="D797" s="1" t="s">
        <v>161</v>
      </c>
      <c r="E797" s="1" t="s">
        <v>11</v>
      </c>
      <c r="F797" s="1" t="s">
        <v>221</v>
      </c>
      <c r="G797" s="1" t="s">
        <v>163</v>
      </c>
      <c r="H797" s="1">
        <v>1.0</v>
      </c>
      <c r="I797" s="1">
        <v>1.0</v>
      </c>
      <c r="J797" s="1">
        <v>0.0</v>
      </c>
      <c r="K797" s="1">
        <v>12.0</v>
      </c>
      <c r="L797" s="1">
        <v>12.0</v>
      </c>
      <c r="M797" s="1">
        <v>1.0</v>
      </c>
      <c r="N797" s="1">
        <v>4.400000095</v>
      </c>
    </row>
    <row r="798" ht="15.75" customHeight="1">
      <c r="A798" s="1" t="s">
        <v>180</v>
      </c>
      <c r="B798" s="1" t="s">
        <v>214</v>
      </c>
      <c r="C798" s="5">
        <v>45593.0</v>
      </c>
      <c r="D798" s="1" t="s">
        <v>161</v>
      </c>
      <c r="E798" s="1" t="s">
        <v>11</v>
      </c>
      <c r="F798" s="1" t="s">
        <v>166</v>
      </c>
      <c r="G798" s="1" t="s">
        <v>163</v>
      </c>
      <c r="H798" s="1">
        <v>1.0</v>
      </c>
      <c r="I798" s="1">
        <v>0.0</v>
      </c>
      <c r="J798" s="1">
        <v>0.0</v>
      </c>
      <c r="K798" s="1">
        <v>0.0</v>
      </c>
      <c r="L798" s="1">
        <v>0.0</v>
      </c>
      <c r="N798" s="1">
        <v>0.0</v>
      </c>
    </row>
    <row r="799" ht="15.75" customHeight="1">
      <c r="A799" s="1" t="s">
        <v>180</v>
      </c>
      <c r="B799" s="1" t="s">
        <v>214</v>
      </c>
      <c r="C799" s="5">
        <v>45593.0</v>
      </c>
      <c r="D799" s="1" t="s">
        <v>161</v>
      </c>
      <c r="E799" s="1" t="s">
        <v>11</v>
      </c>
      <c r="F799" s="1" t="s">
        <v>169</v>
      </c>
      <c r="G799" s="1" t="s">
        <v>163</v>
      </c>
      <c r="H799" s="1">
        <v>1.0</v>
      </c>
      <c r="I799" s="1">
        <v>0.0</v>
      </c>
      <c r="J799" s="1">
        <v>0.0</v>
      </c>
      <c r="K799" s="1">
        <v>0.0</v>
      </c>
      <c r="L799" s="1">
        <v>0.0</v>
      </c>
      <c r="N799" s="1">
        <v>0.0</v>
      </c>
    </row>
    <row r="800" ht="15.75" customHeight="1">
      <c r="A800" s="1" t="s">
        <v>164</v>
      </c>
      <c r="B800" s="1" t="s">
        <v>52</v>
      </c>
      <c r="C800" s="5">
        <v>45591.0</v>
      </c>
      <c r="D800" s="1" t="s">
        <v>161</v>
      </c>
      <c r="E800" s="1" t="s">
        <v>11</v>
      </c>
      <c r="F800" s="1" t="s">
        <v>165</v>
      </c>
      <c r="H800" s="1">
        <v>0.0</v>
      </c>
      <c r="I800" s="1">
        <v>0.0</v>
      </c>
      <c r="J800" s="1">
        <v>0.0</v>
      </c>
      <c r="K800" s="1">
        <v>5.0</v>
      </c>
      <c r="L800" s="1">
        <v>6.0</v>
      </c>
      <c r="M800" s="1">
        <v>0.833333333</v>
      </c>
      <c r="N800" s="1">
        <v>11.51000023</v>
      </c>
    </row>
    <row r="801" ht="15.75" customHeight="1">
      <c r="A801" s="1" t="s">
        <v>160</v>
      </c>
      <c r="B801" s="1" t="s">
        <v>20</v>
      </c>
      <c r="C801" s="5">
        <v>45590.0</v>
      </c>
      <c r="D801" s="1" t="s">
        <v>161</v>
      </c>
      <c r="E801" s="1" t="s">
        <v>11</v>
      </c>
      <c r="F801" s="1" t="s">
        <v>162</v>
      </c>
      <c r="H801" s="1">
        <v>0.0</v>
      </c>
      <c r="I801" s="1">
        <v>0.0</v>
      </c>
      <c r="J801" s="1">
        <v>0.0</v>
      </c>
      <c r="K801" s="1">
        <v>4.0</v>
      </c>
      <c r="L801" s="1">
        <v>5.0</v>
      </c>
      <c r="M801" s="1">
        <v>0.8</v>
      </c>
      <c r="N801" s="1">
        <v>8.090000153</v>
      </c>
    </row>
    <row r="802" ht="15.75" customHeight="1">
      <c r="A802" s="1" t="s">
        <v>164</v>
      </c>
      <c r="B802" s="1" t="s">
        <v>24</v>
      </c>
      <c r="C802" s="5">
        <v>45590.0</v>
      </c>
      <c r="D802" s="1" t="s">
        <v>161</v>
      </c>
      <c r="E802" s="1" t="s">
        <v>11</v>
      </c>
      <c r="F802" s="1" t="s">
        <v>166</v>
      </c>
      <c r="H802" s="1">
        <v>0.0</v>
      </c>
      <c r="I802" s="1">
        <v>0.0</v>
      </c>
      <c r="J802" s="1">
        <v>0.0</v>
      </c>
      <c r="K802" s="1">
        <v>0.0</v>
      </c>
      <c r="L802" s="1">
        <v>0.0</v>
      </c>
      <c r="N802" s="1">
        <v>1.289999962</v>
      </c>
    </row>
    <row r="803" ht="15.75" customHeight="1">
      <c r="A803" s="1" t="s">
        <v>164</v>
      </c>
      <c r="B803" s="1" t="s">
        <v>183</v>
      </c>
      <c r="C803" s="5">
        <v>45590.0</v>
      </c>
      <c r="D803" s="1" t="s">
        <v>161</v>
      </c>
      <c r="E803" s="1" t="s">
        <v>11</v>
      </c>
      <c r="F803" s="1" t="s">
        <v>166</v>
      </c>
      <c r="H803" s="1">
        <v>0.0</v>
      </c>
      <c r="I803" s="1">
        <v>0.0</v>
      </c>
      <c r="J803" s="1">
        <v>0.0</v>
      </c>
      <c r="K803" s="1">
        <v>5.0</v>
      </c>
      <c r="L803" s="1">
        <v>9.0</v>
      </c>
      <c r="M803" s="1">
        <v>0.555555556</v>
      </c>
      <c r="N803" s="1">
        <v>6.690000057</v>
      </c>
    </row>
    <row r="804" ht="15.75" customHeight="1">
      <c r="A804" s="1" t="s">
        <v>164</v>
      </c>
      <c r="B804" s="1" t="s">
        <v>68</v>
      </c>
      <c r="C804" s="5">
        <v>45590.0</v>
      </c>
      <c r="D804" s="1" t="s">
        <v>161</v>
      </c>
      <c r="E804" s="1" t="s">
        <v>11</v>
      </c>
      <c r="F804" s="1" t="s">
        <v>165</v>
      </c>
      <c r="H804" s="1">
        <v>0.0</v>
      </c>
      <c r="I804" s="1">
        <v>0.0</v>
      </c>
      <c r="J804" s="1">
        <v>0.0</v>
      </c>
      <c r="K804" s="1">
        <v>2.0</v>
      </c>
      <c r="L804" s="1">
        <v>4.0</v>
      </c>
      <c r="M804" s="1">
        <v>0.5</v>
      </c>
      <c r="N804" s="1">
        <v>5.599999905</v>
      </c>
    </row>
    <row r="805" ht="15.75" customHeight="1">
      <c r="A805" s="1" t="s">
        <v>164</v>
      </c>
      <c r="B805" s="1" t="s">
        <v>197</v>
      </c>
      <c r="C805" s="5">
        <v>45590.0</v>
      </c>
      <c r="D805" s="1" t="s">
        <v>161</v>
      </c>
      <c r="E805" s="1" t="s">
        <v>11</v>
      </c>
      <c r="F805" s="1" t="s">
        <v>168</v>
      </c>
      <c r="H805" s="1">
        <v>0.0</v>
      </c>
      <c r="I805" s="1">
        <v>0.0</v>
      </c>
      <c r="J805" s="1">
        <v>0.0</v>
      </c>
      <c r="K805" s="1">
        <v>0.0</v>
      </c>
      <c r="L805" s="1">
        <v>0.0</v>
      </c>
      <c r="N805" s="1">
        <v>0.379999995</v>
      </c>
    </row>
    <row r="806" ht="15.75" customHeight="1">
      <c r="A806" s="1" t="s">
        <v>164</v>
      </c>
      <c r="B806" s="1" t="s">
        <v>74</v>
      </c>
      <c r="C806" s="5">
        <v>45590.0</v>
      </c>
      <c r="D806" s="1" t="s">
        <v>161</v>
      </c>
      <c r="E806" s="1" t="s">
        <v>11</v>
      </c>
      <c r="F806" s="1" t="s">
        <v>165</v>
      </c>
      <c r="G806" s="1" t="s">
        <v>163</v>
      </c>
      <c r="H806" s="1">
        <v>1.0</v>
      </c>
      <c r="I806" s="1">
        <v>0.0</v>
      </c>
      <c r="J806" s="1">
        <v>0.0</v>
      </c>
      <c r="K806" s="1">
        <v>0.0</v>
      </c>
      <c r="L806" s="1">
        <v>0.0</v>
      </c>
      <c r="N806" s="1">
        <v>0.0</v>
      </c>
    </row>
    <row r="807" ht="15.75" customHeight="1">
      <c r="A807" s="1" t="s">
        <v>164</v>
      </c>
      <c r="B807" s="1" t="s">
        <v>74</v>
      </c>
      <c r="C807" s="5">
        <v>45590.0</v>
      </c>
      <c r="D807" s="1" t="s">
        <v>161</v>
      </c>
      <c r="E807" s="1" t="s">
        <v>11</v>
      </c>
      <c r="F807" s="1" t="s">
        <v>166</v>
      </c>
      <c r="G807" s="1" t="s">
        <v>163</v>
      </c>
      <c r="H807" s="1">
        <v>1.0</v>
      </c>
      <c r="I807" s="1">
        <v>0.0</v>
      </c>
      <c r="J807" s="1">
        <v>0.0</v>
      </c>
      <c r="K807" s="1">
        <v>4.0</v>
      </c>
      <c r="L807" s="1">
        <v>9.0</v>
      </c>
      <c r="M807" s="1">
        <v>0.444444444</v>
      </c>
      <c r="N807" s="1">
        <v>11.36999989</v>
      </c>
    </row>
    <row r="808" ht="15.75" customHeight="1">
      <c r="A808" s="1" t="s">
        <v>164</v>
      </c>
      <c r="B808" s="1" t="s">
        <v>75</v>
      </c>
      <c r="C808" s="5">
        <v>45590.0</v>
      </c>
      <c r="D808" s="1" t="s">
        <v>161</v>
      </c>
      <c r="E808" s="1" t="s">
        <v>11</v>
      </c>
      <c r="F808" s="1" t="s">
        <v>165</v>
      </c>
      <c r="H808" s="1">
        <v>0.0</v>
      </c>
      <c r="I808" s="1">
        <v>0.0</v>
      </c>
      <c r="J808" s="1">
        <v>0.0</v>
      </c>
      <c r="K808" s="1">
        <v>9.0</v>
      </c>
      <c r="L808" s="1">
        <v>10.0</v>
      </c>
      <c r="M808" s="1">
        <v>0.9</v>
      </c>
      <c r="N808" s="1">
        <v>11.35000038</v>
      </c>
    </row>
    <row r="809" ht="15.75" customHeight="1">
      <c r="A809" s="1" t="s">
        <v>164</v>
      </c>
      <c r="B809" s="1" t="s">
        <v>100</v>
      </c>
      <c r="C809" s="5">
        <v>45590.0</v>
      </c>
      <c r="D809" s="1" t="s">
        <v>161</v>
      </c>
      <c r="E809" s="1" t="s">
        <v>11</v>
      </c>
      <c r="F809" s="1" t="s">
        <v>171</v>
      </c>
      <c r="H809" s="1">
        <v>0.0</v>
      </c>
      <c r="I809" s="1">
        <v>0.0</v>
      </c>
      <c r="J809" s="1">
        <v>0.0</v>
      </c>
      <c r="K809" s="1">
        <v>1.0</v>
      </c>
      <c r="L809" s="1">
        <v>1.0</v>
      </c>
      <c r="M809" s="1">
        <v>1.0</v>
      </c>
      <c r="N809" s="1">
        <v>0.939999998</v>
      </c>
    </row>
    <row r="810" ht="15.75" customHeight="1">
      <c r="A810" s="1" t="s">
        <v>164</v>
      </c>
      <c r="B810" s="1" t="s">
        <v>82</v>
      </c>
      <c r="C810" s="5">
        <v>45590.0</v>
      </c>
      <c r="D810" s="1" t="s">
        <v>161</v>
      </c>
      <c r="E810" s="1" t="s">
        <v>11</v>
      </c>
      <c r="F810" s="1" t="s">
        <v>165</v>
      </c>
      <c r="H810" s="1">
        <v>0.0</v>
      </c>
      <c r="I810" s="1">
        <v>0.0</v>
      </c>
      <c r="J810" s="1">
        <v>0.0</v>
      </c>
      <c r="K810" s="1">
        <v>0.0</v>
      </c>
      <c r="L810" s="1">
        <v>2.0</v>
      </c>
      <c r="M810" s="1">
        <v>0.0</v>
      </c>
      <c r="N810" s="1">
        <v>7.400000095</v>
      </c>
    </row>
    <row r="811" ht="15.75" customHeight="1">
      <c r="A811" s="1" t="s">
        <v>164</v>
      </c>
      <c r="B811" s="1" t="s">
        <v>219</v>
      </c>
      <c r="C811" s="5">
        <v>45590.0</v>
      </c>
      <c r="D811" s="1" t="s">
        <v>161</v>
      </c>
      <c r="E811" s="1" t="s">
        <v>11</v>
      </c>
      <c r="F811" s="1" t="s">
        <v>165</v>
      </c>
      <c r="H811" s="1">
        <v>0.0</v>
      </c>
      <c r="I811" s="1">
        <v>0.0</v>
      </c>
      <c r="J811" s="1">
        <v>0.0</v>
      </c>
      <c r="K811" s="1">
        <v>2.0</v>
      </c>
      <c r="L811" s="1">
        <v>3.0</v>
      </c>
      <c r="M811" s="1">
        <v>0.666666667</v>
      </c>
      <c r="N811" s="1">
        <v>2.640000105</v>
      </c>
    </row>
    <row r="812" ht="15.75" customHeight="1">
      <c r="A812" s="1" t="s">
        <v>180</v>
      </c>
      <c r="B812" s="1" t="s">
        <v>214</v>
      </c>
      <c r="C812" s="5">
        <v>45590.0</v>
      </c>
      <c r="D812" s="1" t="s">
        <v>161</v>
      </c>
      <c r="E812" s="1" t="s">
        <v>11</v>
      </c>
      <c r="F812" s="1" t="s">
        <v>166</v>
      </c>
      <c r="G812" s="1" t="s">
        <v>163</v>
      </c>
      <c r="H812" s="1">
        <v>1.0</v>
      </c>
      <c r="I812" s="1">
        <v>1.0</v>
      </c>
      <c r="J812" s="1">
        <v>0.0</v>
      </c>
      <c r="K812" s="1">
        <v>13.0</v>
      </c>
      <c r="L812" s="1">
        <v>16.0</v>
      </c>
      <c r="M812" s="1">
        <v>0.8125</v>
      </c>
      <c r="N812" s="1">
        <v>0.0</v>
      </c>
    </row>
    <row r="813" ht="15.75" customHeight="1">
      <c r="A813" s="1" t="s">
        <v>180</v>
      </c>
      <c r="B813" s="1" t="s">
        <v>214</v>
      </c>
      <c r="C813" s="5">
        <v>45590.0</v>
      </c>
      <c r="D813" s="1" t="s">
        <v>161</v>
      </c>
      <c r="E813" s="1" t="s">
        <v>11</v>
      </c>
      <c r="F813" s="1" t="s">
        <v>171</v>
      </c>
      <c r="G813" s="1" t="s">
        <v>163</v>
      </c>
      <c r="H813" s="1">
        <v>1.0</v>
      </c>
      <c r="I813" s="1">
        <v>1.0</v>
      </c>
      <c r="J813" s="1">
        <v>0.0</v>
      </c>
      <c r="K813" s="1">
        <v>21.0</v>
      </c>
      <c r="L813" s="1">
        <v>25.0</v>
      </c>
      <c r="M813" s="1">
        <v>0.84</v>
      </c>
      <c r="N813" s="1">
        <v>36.29999924</v>
      </c>
    </row>
    <row r="814" ht="15.75" customHeight="1">
      <c r="A814" s="1" t="s">
        <v>180</v>
      </c>
      <c r="B814" s="1" t="s">
        <v>214</v>
      </c>
      <c r="C814" s="5">
        <v>45590.0</v>
      </c>
      <c r="D814" s="1" t="s">
        <v>161</v>
      </c>
      <c r="E814" s="1" t="s">
        <v>11</v>
      </c>
      <c r="F814" s="1" t="s">
        <v>169</v>
      </c>
      <c r="G814" s="1" t="s">
        <v>163</v>
      </c>
      <c r="H814" s="1">
        <v>1.0</v>
      </c>
      <c r="I814" s="1">
        <v>1.0</v>
      </c>
      <c r="J814" s="1">
        <v>0.0</v>
      </c>
      <c r="K814" s="1">
        <v>14.0</v>
      </c>
      <c r="L814" s="1">
        <v>15.0</v>
      </c>
      <c r="M814" s="1">
        <v>0.933333333</v>
      </c>
      <c r="N814" s="1">
        <v>0.0</v>
      </c>
    </row>
    <row r="815" ht="15.75" customHeight="1">
      <c r="A815" s="1" t="s">
        <v>160</v>
      </c>
      <c r="B815" s="1" t="s">
        <v>20</v>
      </c>
      <c r="C815" s="5">
        <v>45589.0</v>
      </c>
      <c r="D815" s="1" t="s">
        <v>161</v>
      </c>
      <c r="E815" s="1" t="s">
        <v>11</v>
      </c>
      <c r="F815" s="1" t="s">
        <v>162</v>
      </c>
      <c r="H815" s="1">
        <v>0.0</v>
      </c>
      <c r="I815" s="1">
        <v>0.0</v>
      </c>
      <c r="J815" s="1">
        <v>0.0</v>
      </c>
      <c r="K815" s="1">
        <v>3.0</v>
      </c>
      <c r="L815" s="1">
        <v>7.0</v>
      </c>
      <c r="M815" s="1">
        <v>0.428571429</v>
      </c>
      <c r="N815" s="1">
        <v>3.289999962</v>
      </c>
    </row>
    <row r="816" ht="15.75" customHeight="1">
      <c r="A816" s="1" t="s">
        <v>160</v>
      </c>
      <c r="B816" s="1" t="s">
        <v>223</v>
      </c>
      <c r="C816" s="5">
        <v>45589.0</v>
      </c>
      <c r="D816" s="1" t="s">
        <v>161</v>
      </c>
      <c r="E816" s="1" t="s">
        <v>11</v>
      </c>
      <c r="H816" s="1">
        <v>0.0</v>
      </c>
      <c r="J816" s="1">
        <v>0.0</v>
      </c>
      <c r="N816" s="1">
        <v>0.310000002</v>
      </c>
    </row>
    <row r="817" ht="15.75" customHeight="1">
      <c r="A817" s="1" t="s">
        <v>160</v>
      </c>
      <c r="B817" s="1" t="s">
        <v>217</v>
      </c>
      <c r="C817" s="5">
        <v>45589.0</v>
      </c>
      <c r="D817" s="1" t="s">
        <v>161</v>
      </c>
      <c r="E817" s="1" t="s">
        <v>11</v>
      </c>
      <c r="H817" s="1">
        <v>0.0</v>
      </c>
      <c r="J817" s="1">
        <v>0.0</v>
      </c>
      <c r="N817" s="1">
        <v>0.819999993</v>
      </c>
    </row>
    <row r="818" ht="15.75" customHeight="1">
      <c r="A818" s="1" t="s">
        <v>160</v>
      </c>
      <c r="B818" s="1" t="s">
        <v>218</v>
      </c>
      <c r="C818" s="5">
        <v>45589.0</v>
      </c>
      <c r="D818" s="1" t="s">
        <v>161</v>
      </c>
      <c r="E818" s="1" t="s">
        <v>11</v>
      </c>
      <c r="H818" s="1">
        <v>0.0</v>
      </c>
      <c r="J818" s="1">
        <v>0.0</v>
      </c>
      <c r="N818" s="1">
        <v>2.1900000569999998</v>
      </c>
    </row>
    <row r="819" ht="15.75" customHeight="1">
      <c r="A819" s="1" t="s">
        <v>164</v>
      </c>
      <c r="B819" s="1" t="s">
        <v>24</v>
      </c>
      <c r="C819" s="5">
        <v>45589.0</v>
      </c>
      <c r="D819" s="1" t="s">
        <v>161</v>
      </c>
      <c r="E819" s="1" t="s">
        <v>11</v>
      </c>
      <c r="F819" s="1" t="s">
        <v>166</v>
      </c>
      <c r="H819" s="1">
        <v>0.0</v>
      </c>
      <c r="I819" s="1">
        <v>0.0</v>
      </c>
      <c r="J819" s="1">
        <v>0.0</v>
      </c>
      <c r="K819" s="1">
        <v>1.0</v>
      </c>
      <c r="L819" s="1">
        <v>1.0</v>
      </c>
      <c r="M819" s="1">
        <v>1.0</v>
      </c>
      <c r="N819" s="1">
        <v>8.729999542</v>
      </c>
    </row>
    <row r="820" ht="15.75" customHeight="1">
      <c r="A820" s="1" t="s">
        <v>164</v>
      </c>
      <c r="B820" s="1" t="s">
        <v>52</v>
      </c>
      <c r="C820" s="5">
        <v>45589.0</v>
      </c>
      <c r="D820" s="1" t="s">
        <v>161</v>
      </c>
      <c r="E820" s="1" t="s">
        <v>11</v>
      </c>
      <c r="F820" s="1" t="s">
        <v>165</v>
      </c>
      <c r="H820" s="1">
        <v>0.0</v>
      </c>
      <c r="I820" s="1">
        <v>0.0</v>
      </c>
      <c r="J820" s="1">
        <v>0.0</v>
      </c>
      <c r="K820" s="1">
        <v>4.0</v>
      </c>
      <c r="L820" s="1">
        <v>7.0</v>
      </c>
      <c r="M820" s="1">
        <v>0.571428571</v>
      </c>
      <c r="N820" s="1">
        <v>6.5</v>
      </c>
    </row>
    <row r="821" ht="15.75" customHeight="1">
      <c r="A821" s="1" t="s">
        <v>164</v>
      </c>
      <c r="B821" s="1" t="s">
        <v>199</v>
      </c>
      <c r="C821" s="5">
        <v>45589.0</v>
      </c>
      <c r="D821" s="1" t="s">
        <v>161</v>
      </c>
      <c r="E821" s="1" t="s">
        <v>11</v>
      </c>
      <c r="F821" s="1" t="s">
        <v>162</v>
      </c>
      <c r="H821" s="1">
        <v>0.0</v>
      </c>
      <c r="I821" s="1">
        <v>0.0</v>
      </c>
      <c r="J821" s="1">
        <v>0.0</v>
      </c>
      <c r="K821" s="1">
        <v>4.0</v>
      </c>
      <c r="L821" s="1">
        <v>7.0</v>
      </c>
      <c r="M821" s="1">
        <v>0.571428571</v>
      </c>
      <c r="N821" s="1">
        <v>5.809999943</v>
      </c>
    </row>
    <row r="822" ht="15.75" customHeight="1">
      <c r="A822" s="1" t="s">
        <v>164</v>
      </c>
      <c r="B822" s="1" t="s">
        <v>63</v>
      </c>
      <c r="C822" s="5">
        <v>45589.0</v>
      </c>
      <c r="D822" s="1" t="s">
        <v>161</v>
      </c>
      <c r="E822" s="1" t="s">
        <v>11</v>
      </c>
      <c r="F822" s="1" t="s">
        <v>166</v>
      </c>
      <c r="H822" s="1">
        <v>0.0</v>
      </c>
      <c r="I822" s="1">
        <v>0.0</v>
      </c>
      <c r="J822" s="1">
        <v>0.0</v>
      </c>
      <c r="K822" s="1">
        <v>0.0</v>
      </c>
      <c r="L822" s="1">
        <v>0.0</v>
      </c>
      <c r="N822" s="1">
        <v>0.99000001</v>
      </c>
    </row>
    <row r="823" ht="15.75" customHeight="1">
      <c r="A823" s="1" t="s">
        <v>164</v>
      </c>
      <c r="B823" s="1" t="s">
        <v>197</v>
      </c>
      <c r="C823" s="5">
        <v>45589.0</v>
      </c>
      <c r="D823" s="1" t="s">
        <v>161</v>
      </c>
      <c r="E823" s="1" t="s">
        <v>11</v>
      </c>
      <c r="F823" s="1" t="s">
        <v>162</v>
      </c>
      <c r="H823" s="1">
        <v>0.0</v>
      </c>
      <c r="I823" s="1">
        <v>0.0</v>
      </c>
      <c r="J823" s="1">
        <v>0.0</v>
      </c>
      <c r="K823" s="1">
        <v>1.0</v>
      </c>
      <c r="L823" s="1">
        <v>1.0</v>
      </c>
      <c r="M823" s="1">
        <v>1.0</v>
      </c>
      <c r="N823" s="1">
        <v>2.130000114</v>
      </c>
    </row>
    <row r="824" ht="15.75" customHeight="1">
      <c r="A824" s="1" t="s">
        <v>164</v>
      </c>
      <c r="B824" s="1" t="s">
        <v>197</v>
      </c>
      <c r="C824" s="5">
        <v>45589.0</v>
      </c>
      <c r="D824" s="1" t="s">
        <v>161</v>
      </c>
      <c r="E824" s="1" t="s">
        <v>11</v>
      </c>
      <c r="F824" s="1" t="s">
        <v>177</v>
      </c>
      <c r="H824" s="1">
        <v>0.0</v>
      </c>
      <c r="I824" s="1">
        <v>0.0</v>
      </c>
      <c r="J824" s="1">
        <v>0.0</v>
      </c>
      <c r="K824" s="1">
        <v>0.0</v>
      </c>
      <c r="L824" s="1">
        <v>0.0</v>
      </c>
      <c r="N824" s="1">
        <v>0.0</v>
      </c>
    </row>
    <row r="825" ht="15.75" customHeight="1">
      <c r="A825" s="1" t="s">
        <v>164</v>
      </c>
      <c r="B825" s="1" t="s">
        <v>74</v>
      </c>
      <c r="C825" s="5">
        <v>45589.0</v>
      </c>
      <c r="D825" s="1" t="s">
        <v>161</v>
      </c>
      <c r="E825" s="1" t="s">
        <v>11</v>
      </c>
      <c r="F825" s="1" t="s">
        <v>165</v>
      </c>
      <c r="G825" s="1" t="s">
        <v>163</v>
      </c>
      <c r="H825" s="1">
        <v>1.0</v>
      </c>
      <c r="I825" s="1">
        <v>0.0</v>
      </c>
      <c r="J825" s="1">
        <v>0.0</v>
      </c>
      <c r="K825" s="1">
        <v>5.0</v>
      </c>
      <c r="L825" s="1">
        <v>5.0</v>
      </c>
      <c r="M825" s="1">
        <v>1.0</v>
      </c>
      <c r="N825" s="1">
        <v>9.760000229</v>
      </c>
    </row>
    <row r="826" ht="15.75" customHeight="1">
      <c r="A826" s="1" t="s">
        <v>164</v>
      </c>
      <c r="B826" s="1" t="s">
        <v>75</v>
      </c>
      <c r="C826" s="5">
        <v>45589.0</v>
      </c>
      <c r="D826" s="1" t="s">
        <v>161</v>
      </c>
      <c r="E826" s="1" t="s">
        <v>11</v>
      </c>
      <c r="F826" s="1" t="s">
        <v>165</v>
      </c>
      <c r="H826" s="1">
        <v>0.0</v>
      </c>
      <c r="I826" s="1">
        <v>0.0</v>
      </c>
      <c r="J826" s="1">
        <v>0.0</v>
      </c>
      <c r="K826" s="1">
        <v>2.0</v>
      </c>
      <c r="L826" s="1">
        <v>4.0</v>
      </c>
      <c r="M826" s="1">
        <v>0.5</v>
      </c>
      <c r="N826" s="1">
        <v>10.22000027</v>
      </c>
    </row>
    <row r="827" ht="15.75" customHeight="1">
      <c r="A827" s="1" t="s">
        <v>164</v>
      </c>
      <c r="B827" s="1" t="s">
        <v>100</v>
      </c>
      <c r="C827" s="5">
        <v>45589.0</v>
      </c>
      <c r="D827" s="1" t="s">
        <v>161</v>
      </c>
      <c r="E827" s="1" t="s">
        <v>11</v>
      </c>
      <c r="F827" s="1" t="s">
        <v>171</v>
      </c>
      <c r="H827" s="1">
        <v>0.0</v>
      </c>
      <c r="I827" s="1">
        <v>0.0</v>
      </c>
      <c r="J827" s="1">
        <v>0.0</v>
      </c>
      <c r="K827" s="1">
        <v>6.0</v>
      </c>
      <c r="L827" s="1">
        <v>12.0</v>
      </c>
      <c r="M827" s="1">
        <v>0.5</v>
      </c>
      <c r="N827" s="1">
        <v>8.970000267</v>
      </c>
    </row>
    <row r="828" ht="15.75" customHeight="1">
      <c r="A828" s="1" t="s">
        <v>164</v>
      </c>
      <c r="B828" s="1" t="s">
        <v>82</v>
      </c>
      <c r="C828" s="5">
        <v>45589.0</v>
      </c>
      <c r="D828" s="1" t="s">
        <v>161</v>
      </c>
      <c r="E828" s="1" t="s">
        <v>11</v>
      </c>
      <c r="H828" s="1">
        <v>0.0</v>
      </c>
      <c r="J828" s="1">
        <v>0.0</v>
      </c>
      <c r="N828" s="1">
        <v>5.599999905</v>
      </c>
    </row>
    <row r="829" ht="15.75" customHeight="1">
      <c r="A829" s="1" t="s">
        <v>164</v>
      </c>
      <c r="B829" s="1" t="s">
        <v>219</v>
      </c>
      <c r="C829" s="5">
        <v>45589.0</v>
      </c>
      <c r="D829" s="1" t="s">
        <v>161</v>
      </c>
      <c r="E829" s="1" t="s">
        <v>11</v>
      </c>
      <c r="F829" s="1" t="s">
        <v>165</v>
      </c>
      <c r="H829" s="1">
        <v>0.0</v>
      </c>
      <c r="I829" s="1">
        <v>0.0</v>
      </c>
      <c r="J829" s="1">
        <v>0.0</v>
      </c>
      <c r="K829" s="1">
        <v>4.0</v>
      </c>
      <c r="L829" s="1">
        <v>7.0</v>
      </c>
      <c r="M829" s="1">
        <v>0.571428571</v>
      </c>
      <c r="N829" s="1">
        <v>5.96999979</v>
      </c>
    </row>
    <row r="830" ht="15.75" customHeight="1">
      <c r="A830" s="1" t="s">
        <v>180</v>
      </c>
      <c r="B830" s="1" t="s">
        <v>220</v>
      </c>
      <c r="C830" s="5">
        <v>45589.0</v>
      </c>
      <c r="D830" s="1" t="s">
        <v>161</v>
      </c>
      <c r="E830" s="1" t="s">
        <v>11</v>
      </c>
      <c r="F830" s="1" t="s">
        <v>221</v>
      </c>
      <c r="H830" s="1">
        <v>0.0</v>
      </c>
      <c r="I830" s="1">
        <v>0.0</v>
      </c>
      <c r="J830" s="1">
        <v>0.0</v>
      </c>
      <c r="K830" s="1">
        <v>0.0</v>
      </c>
      <c r="L830" s="1">
        <v>0.0</v>
      </c>
      <c r="N830" s="1">
        <v>0.0</v>
      </c>
    </row>
    <row r="831" ht="15.75" customHeight="1">
      <c r="A831" s="1" t="s">
        <v>180</v>
      </c>
      <c r="B831" s="1" t="s">
        <v>220</v>
      </c>
      <c r="C831" s="5">
        <v>45589.0</v>
      </c>
      <c r="D831" s="1" t="s">
        <v>161</v>
      </c>
      <c r="E831" s="1" t="s">
        <v>11</v>
      </c>
      <c r="F831" s="1" t="s">
        <v>177</v>
      </c>
      <c r="H831" s="1">
        <v>0.0</v>
      </c>
      <c r="I831" s="1">
        <v>1.0</v>
      </c>
      <c r="J831" s="1">
        <v>0.0</v>
      </c>
      <c r="K831" s="1">
        <v>5.0</v>
      </c>
      <c r="L831" s="1">
        <v>6.0</v>
      </c>
      <c r="M831" s="1">
        <v>0.833333333</v>
      </c>
      <c r="N831" s="1">
        <v>1.429999948</v>
      </c>
    </row>
    <row r="832" ht="15.75" customHeight="1">
      <c r="A832" s="1" t="s">
        <v>180</v>
      </c>
      <c r="B832" s="1" t="s">
        <v>214</v>
      </c>
      <c r="C832" s="5">
        <v>45589.0</v>
      </c>
      <c r="D832" s="1" t="s">
        <v>161</v>
      </c>
      <c r="E832" s="1" t="s">
        <v>11</v>
      </c>
      <c r="F832" s="1" t="s">
        <v>166</v>
      </c>
      <c r="H832" s="1">
        <v>0.0</v>
      </c>
      <c r="I832" s="1">
        <v>0.0</v>
      </c>
      <c r="J832" s="1">
        <v>0.0</v>
      </c>
      <c r="K832" s="1">
        <v>1.0</v>
      </c>
      <c r="L832" s="1">
        <v>1.0</v>
      </c>
      <c r="M832" s="1">
        <v>1.0</v>
      </c>
      <c r="N832" s="1">
        <v>5.420000076</v>
      </c>
    </row>
    <row r="833" ht="15.75" customHeight="1">
      <c r="A833" s="1" t="s">
        <v>160</v>
      </c>
      <c r="B833" s="1" t="s">
        <v>224</v>
      </c>
      <c r="C833" s="5">
        <v>45588.0</v>
      </c>
      <c r="D833" s="1" t="s">
        <v>161</v>
      </c>
      <c r="E833" s="1" t="s">
        <v>11</v>
      </c>
      <c r="F833" s="1" t="s">
        <v>162</v>
      </c>
      <c r="G833" s="1" t="s">
        <v>172</v>
      </c>
      <c r="H833" s="1">
        <v>1.0</v>
      </c>
      <c r="I833" s="1">
        <v>0.0</v>
      </c>
      <c r="J833" s="1">
        <v>0.0</v>
      </c>
      <c r="K833" s="1">
        <v>3.0</v>
      </c>
      <c r="L833" s="1">
        <v>12.0</v>
      </c>
      <c r="M833" s="1">
        <v>0.25</v>
      </c>
      <c r="N833" s="1">
        <v>22.61000061</v>
      </c>
    </row>
    <row r="834" ht="15.75" customHeight="1">
      <c r="A834" s="1" t="s">
        <v>160</v>
      </c>
      <c r="B834" s="1" t="s">
        <v>65</v>
      </c>
      <c r="C834" s="5">
        <v>45588.0</v>
      </c>
      <c r="D834" s="1" t="s">
        <v>161</v>
      </c>
      <c r="E834" s="1" t="s">
        <v>11</v>
      </c>
      <c r="F834" s="1" t="s">
        <v>162</v>
      </c>
      <c r="H834" s="1">
        <v>0.0</v>
      </c>
      <c r="I834" s="1">
        <v>0.0</v>
      </c>
      <c r="J834" s="1">
        <v>0.0</v>
      </c>
      <c r="K834" s="1">
        <v>1.0</v>
      </c>
      <c r="L834" s="1">
        <v>2.0</v>
      </c>
      <c r="M834" s="1">
        <v>0.5</v>
      </c>
      <c r="N834" s="1">
        <v>1.0</v>
      </c>
    </row>
    <row r="835" ht="15.75" customHeight="1">
      <c r="A835" s="1" t="s">
        <v>160</v>
      </c>
      <c r="B835" s="1" t="s">
        <v>77</v>
      </c>
      <c r="C835" s="5">
        <v>45588.0</v>
      </c>
      <c r="D835" s="1" t="s">
        <v>161</v>
      </c>
      <c r="E835" s="1" t="s">
        <v>11</v>
      </c>
      <c r="H835" s="1">
        <v>0.0</v>
      </c>
      <c r="J835" s="1">
        <v>0.0</v>
      </c>
      <c r="N835" s="1">
        <v>0.74000001</v>
      </c>
    </row>
    <row r="836" ht="15.75" customHeight="1">
      <c r="A836" s="1" t="s">
        <v>160</v>
      </c>
      <c r="B836" s="1" t="s">
        <v>90</v>
      </c>
      <c r="C836" s="5">
        <v>45588.0</v>
      </c>
      <c r="D836" s="1" t="s">
        <v>161</v>
      </c>
      <c r="E836" s="1" t="s">
        <v>11</v>
      </c>
      <c r="F836" s="1" t="s">
        <v>165</v>
      </c>
      <c r="H836" s="1">
        <v>0.0</v>
      </c>
      <c r="I836" s="1">
        <v>0.0</v>
      </c>
      <c r="J836" s="1">
        <v>0.0</v>
      </c>
      <c r="K836" s="1">
        <v>0.0</v>
      </c>
      <c r="L836" s="1">
        <v>0.0</v>
      </c>
      <c r="N836" s="1">
        <v>0.07</v>
      </c>
    </row>
    <row r="837" ht="15.75" customHeight="1">
      <c r="A837" s="1" t="s">
        <v>164</v>
      </c>
      <c r="B837" s="1" t="s">
        <v>216</v>
      </c>
      <c r="C837" s="5">
        <v>45588.0</v>
      </c>
      <c r="D837" s="1" t="s">
        <v>161</v>
      </c>
      <c r="E837" s="1" t="s">
        <v>11</v>
      </c>
      <c r="F837" s="1" t="s">
        <v>166</v>
      </c>
      <c r="H837" s="1">
        <v>0.0</v>
      </c>
      <c r="I837" s="1">
        <v>0.0</v>
      </c>
      <c r="J837" s="1">
        <v>0.0</v>
      </c>
      <c r="K837" s="1">
        <v>2.0</v>
      </c>
      <c r="L837" s="1">
        <v>3.0</v>
      </c>
      <c r="M837" s="1">
        <v>0.666666667</v>
      </c>
      <c r="N837" s="1">
        <v>9.579999924</v>
      </c>
    </row>
    <row r="838" ht="15.75" customHeight="1">
      <c r="A838" s="1" t="s">
        <v>164</v>
      </c>
      <c r="B838" s="1" t="s">
        <v>24</v>
      </c>
      <c r="C838" s="5">
        <v>45588.0</v>
      </c>
      <c r="D838" s="1" t="s">
        <v>161</v>
      </c>
      <c r="E838" s="1" t="s">
        <v>11</v>
      </c>
      <c r="F838" s="1" t="s">
        <v>166</v>
      </c>
      <c r="H838" s="1">
        <v>0.0</v>
      </c>
      <c r="I838" s="1">
        <v>0.0</v>
      </c>
      <c r="J838" s="1">
        <v>0.0</v>
      </c>
      <c r="K838" s="1">
        <v>2.0</v>
      </c>
      <c r="L838" s="1">
        <v>5.0</v>
      </c>
      <c r="M838" s="1">
        <v>0.4</v>
      </c>
      <c r="N838" s="1">
        <v>7.230000019</v>
      </c>
    </row>
    <row r="839" ht="15.75" customHeight="1">
      <c r="A839" s="1" t="s">
        <v>164</v>
      </c>
      <c r="B839" s="1" t="s">
        <v>52</v>
      </c>
      <c r="C839" s="5">
        <v>45588.0</v>
      </c>
      <c r="D839" s="1" t="s">
        <v>161</v>
      </c>
      <c r="E839" s="1" t="s">
        <v>11</v>
      </c>
      <c r="F839" s="1" t="s">
        <v>165</v>
      </c>
      <c r="H839" s="1">
        <v>0.0</v>
      </c>
      <c r="I839" s="1">
        <v>0.0</v>
      </c>
      <c r="J839" s="1">
        <v>0.0</v>
      </c>
      <c r="K839" s="1">
        <v>7.0</v>
      </c>
      <c r="L839" s="1">
        <v>8.0</v>
      </c>
      <c r="M839" s="1">
        <v>0.875</v>
      </c>
      <c r="N839" s="1">
        <v>6.429999828</v>
      </c>
    </row>
    <row r="840" ht="15.75" customHeight="1">
      <c r="A840" s="1" t="s">
        <v>164</v>
      </c>
      <c r="B840" s="1" t="s">
        <v>196</v>
      </c>
      <c r="C840" s="5">
        <v>45588.0</v>
      </c>
      <c r="D840" s="1" t="s">
        <v>161</v>
      </c>
      <c r="E840" s="1" t="s">
        <v>11</v>
      </c>
      <c r="H840" s="1">
        <v>0.0</v>
      </c>
      <c r="J840" s="1">
        <v>0.0</v>
      </c>
      <c r="N840" s="1">
        <v>0.720000029</v>
      </c>
    </row>
    <row r="841" ht="15.75" customHeight="1">
      <c r="A841" s="1" t="s">
        <v>164</v>
      </c>
      <c r="B841" s="1" t="s">
        <v>60</v>
      </c>
      <c r="C841" s="5">
        <v>45588.0</v>
      </c>
      <c r="D841" s="1" t="s">
        <v>161</v>
      </c>
      <c r="E841" s="1" t="s">
        <v>11</v>
      </c>
      <c r="F841" s="1" t="s">
        <v>166</v>
      </c>
      <c r="H841" s="1">
        <v>0.0</v>
      </c>
      <c r="I841" s="1">
        <v>0.0</v>
      </c>
      <c r="J841" s="1">
        <v>0.0</v>
      </c>
      <c r="K841" s="1">
        <v>1.0</v>
      </c>
      <c r="L841" s="1">
        <v>1.0</v>
      </c>
      <c r="M841" s="1">
        <v>1.0</v>
      </c>
      <c r="N841" s="1">
        <v>0.829999983</v>
      </c>
    </row>
    <row r="842" ht="15.75" customHeight="1">
      <c r="A842" s="1" t="s">
        <v>164</v>
      </c>
      <c r="B842" s="1" t="s">
        <v>63</v>
      </c>
      <c r="C842" s="5">
        <v>45588.0</v>
      </c>
      <c r="D842" s="1" t="s">
        <v>161</v>
      </c>
      <c r="E842" s="1" t="s">
        <v>11</v>
      </c>
      <c r="F842" s="1" t="s">
        <v>166</v>
      </c>
      <c r="H842" s="1">
        <v>0.0</v>
      </c>
      <c r="I842" s="1">
        <v>0.0</v>
      </c>
      <c r="J842" s="1">
        <v>0.0</v>
      </c>
      <c r="K842" s="1">
        <v>0.0</v>
      </c>
      <c r="L842" s="1">
        <v>7.0</v>
      </c>
      <c r="M842" s="1">
        <v>0.0</v>
      </c>
      <c r="N842" s="1">
        <v>7.1199998860000004</v>
      </c>
    </row>
    <row r="843" ht="15.75" customHeight="1">
      <c r="A843" s="1" t="s">
        <v>164</v>
      </c>
      <c r="B843" s="1" t="s">
        <v>68</v>
      </c>
      <c r="C843" s="5">
        <v>45588.0</v>
      </c>
      <c r="D843" s="1" t="s">
        <v>161</v>
      </c>
      <c r="E843" s="1" t="s">
        <v>11</v>
      </c>
      <c r="F843" s="1" t="s">
        <v>165</v>
      </c>
      <c r="H843" s="1">
        <v>0.0</v>
      </c>
      <c r="I843" s="1">
        <v>0.0</v>
      </c>
      <c r="J843" s="1">
        <v>0.0</v>
      </c>
      <c r="K843" s="1">
        <v>2.0</v>
      </c>
      <c r="L843" s="1">
        <v>3.0</v>
      </c>
      <c r="M843" s="1">
        <v>0.666666667</v>
      </c>
      <c r="N843" s="1">
        <v>8.210000038</v>
      </c>
    </row>
    <row r="844" ht="15.75" customHeight="1">
      <c r="A844" s="1" t="s">
        <v>164</v>
      </c>
      <c r="B844" s="1" t="s">
        <v>197</v>
      </c>
      <c r="C844" s="5">
        <v>45588.0</v>
      </c>
      <c r="D844" s="1" t="s">
        <v>161</v>
      </c>
      <c r="E844" s="1" t="s">
        <v>11</v>
      </c>
      <c r="F844" s="1" t="s">
        <v>162</v>
      </c>
      <c r="G844" s="1" t="s">
        <v>182</v>
      </c>
      <c r="H844" s="1">
        <v>2.0</v>
      </c>
      <c r="I844" s="1">
        <v>0.0</v>
      </c>
      <c r="J844" s="1">
        <v>0.0</v>
      </c>
      <c r="K844" s="1">
        <v>11.0</v>
      </c>
      <c r="L844" s="1">
        <v>16.0</v>
      </c>
      <c r="M844" s="1">
        <v>0.6875</v>
      </c>
      <c r="N844" s="1">
        <v>8.630000114</v>
      </c>
    </row>
    <row r="845" ht="15.75" customHeight="1">
      <c r="A845" s="1" t="s">
        <v>164</v>
      </c>
      <c r="B845" s="1" t="s">
        <v>197</v>
      </c>
      <c r="C845" s="5">
        <v>45588.0</v>
      </c>
      <c r="D845" s="1" t="s">
        <v>161</v>
      </c>
      <c r="E845" s="1" t="s">
        <v>11</v>
      </c>
      <c r="F845" s="1" t="s">
        <v>177</v>
      </c>
      <c r="G845" s="1" t="s">
        <v>182</v>
      </c>
      <c r="H845" s="1">
        <v>2.0</v>
      </c>
      <c r="I845" s="1">
        <v>0.0</v>
      </c>
      <c r="J845" s="1">
        <v>0.0</v>
      </c>
      <c r="K845" s="1">
        <v>0.0</v>
      </c>
      <c r="L845" s="1">
        <v>0.0</v>
      </c>
      <c r="N845" s="1">
        <v>0.0</v>
      </c>
    </row>
    <row r="846" ht="15.75" customHeight="1">
      <c r="A846" s="1" t="s">
        <v>164</v>
      </c>
      <c r="B846" s="1" t="s">
        <v>74</v>
      </c>
      <c r="C846" s="5">
        <v>45588.0</v>
      </c>
      <c r="D846" s="1" t="s">
        <v>161</v>
      </c>
      <c r="E846" s="1" t="s">
        <v>11</v>
      </c>
      <c r="F846" s="1" t="s">
        <v>165</v>
      </c>
      <c r="G846" s="1" t="s">
        <v>163</v>
      </c>
      <c r="H846" s="1">
        <v>1.0</v>
      </c>
      <c r="I846" s="1">
        <v>0.0</v>
      </c>
      <c r="J846" s="1">
        <v>0.0</v>
      </c>
      <c r="K846" s="1">
        <v>0.0</v>
      </c>
      <c r="L846" s="1">
        <v>2.0</v>
      </c>
      <c r="M846" s="1">
        <v>0.0</v>
      </c>
      <c r="N846" s="1">
        <v>6.739999771</v>
      </c>
    </row>
    <row r="847" ht="15.75" customHeight="1">
      <c r="A847" s="1" t="s">
        <v>164</v>
      </c>
      <c r="B847" s="1" t="s">
        <v>74</v>
      </c>
      <c r="C847" s="5">
        <v>45588.0</v>
      </c>
      <c r="D847" s="1" t="s">
        <v>161</v>
      </c>
      <c r="E847" s="1" t="s">
        <v>11</v>
      </c>
      <c r="F847" s="1" t="s">
        <v>166</v>
      </c>
      <c r="G847" s="1" t="s">
        <v>163</v>
      </c>
      <c r="H847" s="1">
        <v>1.0</v>
      </c>
      <c r="I847" s="1">
        <v>0.0</v>
      </c>
      <c r="J847" s="1">
        <v>0.0</v>
      </c>
      <c r="K847" s="1">
        <v>0.0</v>
      </c>
      <c r="L847" s="1">
        <v>0.0</v>
      </c>
      <c r="N847" s="1">
        <v>0.0</v>
      </c>
    </row>
    <row r="848" ht="15.75" customHeight="1">
      <c r="A848" s="1" t="s">
        <v>164</v>
      </c>
      <c r="B848" s="1" t="s">
        <v>75</v>
      </c>
      <c r="C848" s="5">
        <v>45588.0</v>
      </c>
      <c r="D848" s="1" t="s">
        <v>161</v>
      </c>
      <c r="E848" s="1" t="s">
        <v>11</v>
      </c>
      <c r="F848" s="1" t="s">
        <v>165</v>
      </c>
      <c r="H848" s="1">
        <v>0.0</v>
      </c>
      <c r="I848" s="1">
        <v>0.0</v>
      </c>
      <c r="J848" s="1">
        <v>0.0</v>
      </c>
      <c r="K848" s="1">
        <v>0.0</v>
      </c>
      <c r="L848" s="1">
        <v>1.0</v>
      </c>
      <c r="M848" s="1">
        <v>0.0</v>
      </c>
      <c r="N848" s="1">
        <v>4.159999847</v>
      </c>
    </row>
    <row r="849" ht="15.75" customHeight="1">
      <c r="A849" s="1" t="s">
        <v>164</v>
      </c>
      <c r="B849" s="1" t="s">
        <v>100</v>
      </c>
      <c r="C849" s="5">
        <v>45588.0</v>
      </c>
      <c r="D849" s="1" t="s">
        <v>161</v>
      </c>
      <c r="E849" s="1" t="s">
        <v>11</v>
      </c>
      <c r="F849" s="1" t="s">
        <v>171</v>
      </c>
      <c r="H849" s="1">
        <v>0.0</v>
      </c>
      <c r="I849" s="1">
        <v>1.0</v>
      </c>
      <c r="J849" s="1">
        <v>0.0</v>
      </c>
      <c r="K849" s="1">
        <v>23.0</v>
      </c>
      <c r="L849" s="1">
        <v>32.0</v>
      </c>
      <c r="M849" s="1">
        <v>0.71875</v>
      </c>
      <c r="N849" s="1">
        <v>15.71000004</v>
      </c>
    </row>
    <row r="850" ht="15.75" customHeight="1">
      <c r="A850" s="1" t="s">
        <v>164</v>
      </c>
      <c r="B850" s="1" t="s">
        <v>82</v>
      </c>
      <c r="C850" s="5">
        <v>45588.0</v>
      </c>
      <c r="D850" s="1" t="s">
        <v>161</v>
      </c>
      <c r="E850" s="1" t="s">
        <v>11</v>
      </c>
      <c r="F850" s="1" t="s">
        <v>165</v>
      </c>
      <c r="H850" s="1">
        <v>0.0</v>
      </c>
      <c r="I850" s="1">
        <v>0.0</v>
      </c>
      <c r="J850" s="1">
        <v>0.0</v>
      </c>
      <c r="K850" s="1">
        <v>1.0</v>
      </c>
      <c r="L850" s="1">
        <v>3.0</v>
      </c>
      <c r="M850" s="1">
        <v>0.333333333</v>
      </c>
      <c r="N850" s="1">
        <v>13.85000038</v>
      </c>
    </row>
    <row r="851" ht="15.75" customHeight="1">
      <c r="A851" s="1" t="s">
        <v>180</v>
      </c>
      <c r="B851" s="1" t="s">
        <v>220</v>
      </c>
      <c r="C851" s="5">
        <v>45588.0</v>
      </c>
      <c r="D851" s="1" t="s">
        <v>161</v>
      </c>
      <c r="E851" s="1" t="s">
        <v>11</v>
      </c>
      <c r="F851" s="1" t="s">
        <v>162</v>
      </c>
      <c r="H851" s="1">
        <v>0.0</v>
      </c>
      <c r="I851" s="1">
        <v>1.0</v>
      </c>
      <c r="J851" s="1">
        <v>0.0</v>
      </c>
      <c r="K851" s="1">
        <v>1.0</v>
      </c>
      <c r="L851" s="1">
        <v>1.0</v>
      </c>
      <c r="M851" s="1">
        <v>1.0</v>
      </c>
      <c r="N851" s="1">
        <v>1.389999986</v>
      </c>
    </row>
    <row r="852" ht="15.75" customHeight="1">
      <c r="A852" s="1" t="s">
        <v>180</v>
      </c>
      <c r="B852" s="1" t="s">
        <v>214</v>
      </c>
      <c r="C852" s="5">
        <v>45588.0</v>
      </c>
      <c r="D852" s="1" t="s">
        <v>161</v>
      </c>
      <c r="E852" s="1" t="s">
        <v>11</v>
      </c>
      <c r="F852" s="1" t="s">
        <v>166</v>
      </c>
      <c r="H852" s="1">
        <v>0.0</v>
      </c>
      <c r="I852" s="1">
        <v>0.0</v>
      </c>
      <c r="J852" s="1">
        <v>0.0</v>
      </c>
      <c r="K852" s="1">
        <v>2.0</v>
      </c>
      <c r="L852" s="1">
        <v>3.0</v>
      </c>
      <c r="M852" s="1">
        <v>0.666666667</v>
      </c>
      <c r="N852" s="1">
        <v>10.14999962</v>
      </c>
    </row>
    <row r="853" ht="15.75" customHeight="1">
      <c r="A853" s="1" t="s">
        <v>160</v>
      </c>
      <c r="B853" s="1" t="s">
        <v>20</v>
      </c>
      <c r="C853" s="5">
        <v>45587.0</v>
      </c>
      <c r="D853" s="1" t="s">
        <v>161</v>
      </c>
      <c r="E853" s="1" t="s">
        <v>11</v>
      </c>
      <c r="F853" s="1" t="s">
        <v>162</v>
      </c>
      <c r="H853" s="1">
        <v>0.0</v>
      </c>
      <c r="I853" s="1">
        <v>0.0</v>
      </c>
      <c r="J853" s="1">
        <v>0.0</v>
      </c>
      <c r="K853" s="1">
        <v>5.0</v>
      </c>
      <c r="L853" s="1">
        <v>17.0</v>
      </c>
      <c r="M853" s="1">
        <v>0.294117647</v>
      </c>
      <c r="N853" s="1">
        <v>14.51000023</v>
      </c>
    </row>
    <row r="854" ht="15.75" customHeight="1">
      <c r="A854" s="1" t="s">
        <v>164</v>
      </c>
      <c r="B854" s="1" t="s">
        <v>216</v>
      </c>
      <c r="C854" s="5">
        <v>45587.0</v>
      </c>
      <c r="D854" s="1" t="s">
        <v>161</v>
      </c>
      <c r="E854" s="1" t="s">
        <v>11</v>
      </c>
      <c r="F854" s="1" t="s">
        <v>166</v>
      </c>
      <c r="H854" s="1">
        <v>0.0</v>
      </c>
      <c r="I854" s="1">
        <v>0.0</v>
      </c>
      <c r="J854" s="1">
        <v>0.0</v>
      </c>
      <c r="K854" s="1">
        <v>1.0</v>
      </c>
      <c r="L854" s="1">
        <v>3.0</v>
      </c>
      <c r="M854" s="1">
        <v>0.333333333</v>
      </c>
      <c r="N854" s="1">
        <v>7.210000038</v>
      </c>
    </row>
    <row r="855" ht="15.75" customHeight="1">
      <c r="A855" s="1" t="s">
        <v>164</v>
      </c>
      <c r="B855" s="1" t="s">
        <v>24</v>
      </c>
      <c r="C855" s="5">
        <v>45587.0</v>
      </c>
      <c r="D855" s="1" t="s">
        <v>161</v>
      </c>
      <c r="E855" s="1" t="s">
        <v>11</v>
      </c>
      <c r="F855" s="1" t="s">
        <v>166</v>
      </c>
      <c r="H855" s="1">
        <v>0.0</v>
      </c>
      <c r="I855" s="1">
        <v>0.0</v>
      </c>
      <c r="J855" s="1">
        <v>0.0</v>
      </c>
      <c r="K855" s="1">
        <v>1.0</v>
      </c>
      <c r="L855" s="1">
        <v>4.0</v>
      </c>
      <c r="M855" s="1">
        <v>0.25</v>
      </c>
      <c r="N855" s="1">
        <v>7.510000229</v>
      </c>
    </row>
    <row r="856" ht="15.75" customHeight="1">
      <c r="A856" s="1" t="s">
        <v>164</v>
      </c>
      <c r="B856" s="1" t="s">
        <v>207</v>
      </c>
      <c r="C856" s="5">
        <v>45587.0</v>
      </c>
      <c r="D856" s="1" t="s">
        <v>161</v>
      </c>
      <c r="E856" s="1" t="s">
        <v>11</v>
      </c>
      <c r="F856" s="1" t="s">
        <v>166</v>
      </c>
      <c r="H856" s="1">
        <v>0.0</v>
      </c>
      <c r="I856" s="1">
        <v>0.0</v>
      </c>
      <c r="J856" s="1">
        <v>0.0</v>
      </c>
      <c r="K856" s="1">
        <v>5.0</v>
      </c>
      <c r="L856" s="1">
        <v>37.0</v>
      </c>
      <c r="M856" s="1">
        <v>0.135135135</v>
      </c>
      <c r="N856" s="1">
        <v>11.93999958</v>
      </c>
    </row>
    <row r="857" ht="15.75" customHeight="1">
      <c r="A857" s="1" t="s">
        <v>164</v>
      </c>
      <c r="B857" s="1" t="s">
        <v>199</v>
      </c>
      <c r="C857" s="5">
        <v>45587.0</v>
      </c>
      <c r="D857" s="1" t="s">
        <v>161</v>
      </c>
      <c r="E857" s="1" t="s">
        <v>11</v>
      </c>
      <c r="F857" s="1" t="s">
        <v>162</v>
      </c>
      <c r="H857" s="1">
        <v>0.0</v>
      </c>
      <c r="I857" s="1">
        <v>0.0</v>
      </c>
      <c r="J857" s="1">
        <v>0.0</v>
      </c>
      <c r="K857" s="1">
        <v>2.0</v>
      </c>
      <c r="L857" s="1">
        <v>5.0</v>
      </c>
      <c r="M857" s="1">
        <v>0.4</v>
      </c>
      <c r="N857" s="1">
        <v>6.829999924</v>
      </c>
    </row>
    <row r="858" ht="15.75" customHeight="1">
      <c r="A858" s="1" t="s">
        <v>164</v>
      </c>
      <c r="B858" s="1" t="s">
        <v>63</v>
      </c>
      <c r="C858" s="5">
        <v>45587.0</v>
      </c>
      <c r="D858" s="1" t="s">
        <v>161</v>
      </c>
      <c r="E858" s="1" t="s">
        <v>11</v>
      </c>
      <c r="F858" s="1" t="s">
        <v>166</v>
      </c>
      <c r="H858" s="1">
        <v>0.0</v>
      </c>
      <c r="I858" s="1">
        <v>1.0</v>
      </c>
      <c r="J858" s="1">
        <v>0.0</v>
      </c>
      <c r="K858" s="1">
        <v>31.0</v>
      </c>
      <c r="L858" s="1">
        <v>56.0</v>
      </c>
      <c r="M858" s="1">
        <v>0.553571429</v>
      </c>
      <c r="N858" s="1">
        <v>10.39999962</v>
      </c>
    </row>
    <row r="859" ht="15.75" customHeight="1">
      <c r="A859" s="1" t="s">
        <v>164</v>
      </c>
      <c r="B859" s="1" t="s">
        <v>183</v>
      </c>
      <c r="C859" s="5">
        <v>45587.0</v>
      </c>
      <c r="D859" s="1" t="s">
        <v>161</v>
      </c>
      <c r="E859" s="1" t="s">
        <v>11</v>
      </c>
      <c r="F859" s="1" t="s">
        <v>166</v>
      </c>
      <c r="H859" s="1">
        <v>0.0</v>
      </c>
      <c r="I859" s="1">
        <v>0.0</v>
      </c>
      <c r="J859" s="1">
        <v>0.0</v>
      </c>
      <c r="K859" s="1">
        <v>3.0</v>
      </c>
      <c r="L859" s="1">
        <v>5.0</v>
      </c>
      <c r="M859" s="1">
        <v>0.6</v>
      </c>
      <c r="N859" s="1">
        <v>7.320000172</v>
      </c>
    </row>
    <row r="860" ht="15.75" customHeight="1">
      <c r="A860" s="1" t="s">
        <v>164</v>
      </c>
      <c r="B860" s="1" t="s">
        <v>68</v>
      </c>
      <c r="C860" s="5">
        <v>45587.0</v>
      </c>
      <c r="D860" s="1" t="s">
        <v>161</v>
      </c>
      <c r="E860" s="1" t="s">
        <v>11</v>
      </c>
      <c r="F860" s="1" t="s">
        <v>165</v>
      </c>
      <c r="H860" s="1">
        <v>0.0</v>
      </c>
      <c r="I860" s="1">
        <v>0.0</v>
      </c>
      <c r="J860" s="1">
        <v>0.0</v>
      </c>
      <c r="K860" s="1">
        <v>2.0</v>
      </c>
      <c r="L860" s="1">
        <v>4.0</v>
      </c>
      <c r="M860" s="1">
        <v>0.5</v>
      </c>
      <c r="N860" s="1">
        <v>3.609999895</v>
      </c>
    </row>
    <row r="861" ht="15.75" customHeight="1">
      <c r="A861" s="1" t="s">
        <v>164</v>
      </c>
      <c r="B861" s="1" t="s">
        <v>197</v>
      </c>
      <c r="C861" s="5">
        <v>45587.0</v>
      </c>
      <c r="D861" s="1" t="s">
        <v>161</v>
      </c>
      <c r="E861" s="1" t="s">
        <v>11</v>
      </c>
      <c r="F861" s="1" t="s">
        <v>177</v>
      </c>
      <c r="G861" s="1" t="s">
        <v>163</v>
      </c>
      <c r="H861" s="1">
        <v>1.0</v>
      </c>
      <c r="I861" s="1">
        <v>1.0</v>
      </c>
      <c r="J861" s="1">
        <v>0.0</v>
      </c>
      <c r="K861" s="1">
        <v>14.0</v>
      </c>
      <c r="L861" s="1">
        <v>20.0</v>
      </c>
      <c r="M861" s="1">
        <v>0.7</v>
      </c>
      <c r="N861" s="1">
        <v>16.38999939</v>
      </c>
    </row>
    <row r="862" ht="15.75" customHeight="1">
      <c r="A862" s="1" t="s">
        <v>164</v>
      </c>
      <c r="B862" s="1" t="s">
        <v>74</v>
      </c>
      <c r="C862" s="5">
        <v>45587.0</v>
      </c>
      <c r="D862" s="1" t="s">
        <v>161</v>
      </c>
      <c r="E862" s="1" t="s">
        <v>11</v>
      </c>
      <c r="F862" s="1" t="s">
        <v>165</v>
      </c>
      <c r="G862" s="1" t="s">
        <v>163</v>
      </c>
      <c r="H862" s="1">
        <v>1.0</v>
      </c>
      <c r="I862" s="1">
        <v>1.0</v>
      </c>
      <c r="J862" s="1">
        <v>0.0</v>
      </c>
      <c r="K862" s="1">
        <v>2.0</v>
      </c>
      <c r="L862" s="1">
        <v>2.0</v>
      </c>
      <c r="M862" s="1">
        <v>1.0</v>
      </c>
      <c r="N862" s="1">
        <v>0.0</v>
      </c>
    </row>
    <row r="863" ht="15.75" customHeight="1">
      <c r="A863" s="1" t="s">
        <v>164</v>
      </c>
      <c r="B863" s="1" t="s">
        <v>74</v>
      </c>
      <c r="C863" s="5">
        <v>45587.0</v>
      </c>
      <c r="D863" s="1" t="s">
        <v>161</v>
      </c>
      <c r="E863" s="1" t="s">
        <v>11</v>
      </c>
      <c r="F863" s="1" t="s">
        <v>166</v>
      </c>
      <c r="G863" s="1" t="s">
        <v>163</v>
      </c>
      <c r="H863" s="1">
        <v>1.0</v>
      </c>
      <c r="I863" s="1">
        <v>0.0</v>
      </c>
      <c r="J863" s="1">
        <v>0.0</v>
      </c>
      <c r="K863" s="1">
        <v>3.0</v>
      </c>
      <c r="L863" s="1">
        <v>4.0</v>
      </c>
      <c r="M863" s="1">
        <v>0.75</v>
      </c>
      <c r="N863" s="1">
        <v>10.57999992</v>
      </c>
    </row>
    <row r="864" ht="15.75" customHeight="1">
      <c r="A864" s="1" t="s">
        <v>164</v>
      </c>
      <c r="B864" s="1" t="s">
        <v>100</v>
      </c>
      <c r="C864" s="5">
        <v>45587.0</v>
      </c>
      <c r="D864" s="1" t="s">
        <v>161</v>
      </c>
      <c r="E864" s="1" t="s">
        <v>11</v>
      </c>
      <c r="F864" s="1" t="s">
        <v>171</v>
      </c>
      <c r="H864" s="1">
        <v>0.0</v>
      </c>
      <c r="I864" s="1">
        <v>1.0</v>
      </c>
      <c r="J864" s="1">
        <v>0.0</v>
      </c>
      <c r="K864" s="1">
        <v>209.0</v>
      </c>
      <c r="L864" s="1">
        <v>268.0</v>
      </c>
      <c r="M864" s="1">
        <v>0.779850746</v>
      </c>
      <c r="N864" s="1">
        <v>19.81999969</v>
      </c>
    </row>
    <row r="865" ht="15.75" customHeight="1">
      <c r="A865" s="1" t="s">
        <v>164</v>
      </c>
      <c r="B865" s="1" t="s">
        <v>82</v>
      </c>
      <c r="C865" s="5">
        <v>45587.0</v>
      </c>
      <c r="D865" s="1" t="s">
        <v>161</v>
      </c>
      <c r="E865" s="1" t="s">
        <v>11</v>
      </c>
      <c r="F865" s="1" t="s">
        <v>165</v>
      </c>
      <c r="H865" s="1">
        <v>0.0</v>
      </c>
      <c r="I865" s="1">
        <v>0.0</v>
      </c>
      <c r="J865" s="1">
        <v>0.0</v>
      </c>
      <c r="K865" s="1">
        <v>1.0</v>
      </c>
      <c r="L865" s="1">
        <v>2.0</v>
      </c>
      <c r="M865" s="1">
        <v>0.5</v>
      </c>
      <c r="N865" s="1">
        <v>11.94999981</v>
      </c>
    </row>
    <row r="866" ht="15.75" customHeight="1">
      <c r="A866" s="1" t="s">
        <v>164</v>
      </c>
      <c r="B866" s="1" t="s">
        <v>219</v>
      </c>
      <c r="C866" s="5">
        <v>45587.0</v>
      </c>
      <c r="D866" s="1" t="s">
        <v>161</v>
      </c>
      <c r="E866" s="1" t="s">
        <v>11</v>
      </c>
      <c r="F866" s="1" t="s">
        <v>165</v>
      </c>
      <c r="H866" s="1">
        <v>0.0</v>
      </c>
      <c r="I866" s="1">
        <v>0.0</v>
      </c>
      <c r="J866" s="1">
        <v>0.0</v>
      </c>
      <c r="K866" s="1">
        <v>12.0</v>
      </c>
      <c r="L866" s="1">
        <v>28.0</v>
      </c>
      <c r="M866" s="1">
        <v>0.428571429</v>
      </c>
      <c r="N866" s="1">
        <v>15.02999973</v>
      </c>
    </row>
    <row r="867" ht="15.75" customHeight="1">
      <c r="A867" s="1" t="s">
        <v>164</v>
      </c>
      <c r="B867" s="1" t="s">
        <v>225</v>
      </c>
      <c r="C867" s="5">
        <v>45587.0</v>
      </c>
      <c r="D867" s="1" t="s">
        <v>161</v>
      </c>
      <c r="E867" s="1" t="s">
        <v>11</v>
      </c>
      <c r="F867" s="1" t="s">
        <v>166</v>
      </c>
      <c r="H867" s="1">
        <v>0.0</v>
      </c>
      <c r="I867" s="1">
        <v>0.0</v>
      </c>
      <c r="J867" s="1">
        <v>0.0</v>
      </c>
      <c r="K867" s="1">
        <v>1.0</v>
      </c>
      <c r="L867" s="1">
        <v>3.0</v>
      </c>
      <c r="M867" s="1">
        <v>0.333333333</v>
      </c>
      <c r="N867" s="1">
        <v>6.900000095</v>
      </c>
    </row>
    <row r="868" ht="15.75" customHeight="1">
      <c r="A868" s="1" t="s">
        <v>180</v>
      </c>
      <c r="B868" s="1" t="s">
        <v>220</v>
      </c>
      <c r="C868" s="5">
        <v>45587.0</v>
      </c>
      <c r="D868" s="1" t="s">
        <v>161</v>
      </c>
      <c r="E868" s="1" t="s">
        <v>11</v>
      </c>
      <c r="F868" s="1" t="s">
        <v>167</v>
      </c>
      <c r="H868" s="1">
        <v>0.0</v>
      </c>
      <c r="I868" s="1">
        <v>1.0</v>
      </c>
      <c r="J868" s="1">
        <v>0.0</v>
      </c>
      <c r="K868" s="1">
        <v>1.0</v>
      </c>
      <c r="L868" s="1">
        <v>1.0</v>
      </c>
      <c r="M868" s="1">
        <v>1.0</v>
      </c>
      <c r="N868" s="1">
        <v>1.639999986</v>
      </c>
    </row>
    <row r="869" ht="15.75" customHeight="1">
      <c r="A869" s="1" t="s">
        <v>180</v>
      </c>
      <c r="B869" s="1" t="s">
        <v>220</v>
      </c>
      <c r="C869" s="5">
        <v>45587.0</v>
      </c>
      <c r="D869" s="1" t="s">
        <v>161</v>
      </c>
      <c r="E869" s="1" t="s">
        <v>11</v>
      </c>
      <c r="F869" s="1" t="s">
        <v>166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N869" s="1">
        <v>0.0</v>
      </c>
    </row>
    <row r="870" ht="15.75" customHeight="1">
      <c r="A870" s="1" t="s">
        <v>180</v>
      </c>
      <c r="B870" s="1" t="s">
        <v>214</v>
      </c>
      <c r="C870" s="5">
        <v>45587.0</v>
      </c>
      <c r="D870" s="1" t="s">
        <v>161</v>
      </c>
      <c r="E870" s="1" t="s">
        <v>11</v>
      </c>
      <c r="F870" s="1" t="s">
        <v>162</v>
      </c>
      <c r="G870" s="1" t="s">
        <v>163</v>
      </c>
      <c r="H870" s="1">
        <v>1.0</v>
      </c>
      <c r="I870" s="1">
        <v>1.0</v>
      </c>
      <c r="J870" s="1">
        <v>0.0</v>
      </c>
      <c r="K870" s="1">
        <v>15.0</v>
      </c>
      <c r="L870" s="1">
        <v>16.0</v>
      </c>
      <c r="M870" s="1">
        <v>0.9375</v>
      </c>
      <c r="N870" s="1">
        <v>22.40999985</v>
      </c>
    </row>
    <row r="871" ht="15.75" customHeight="1">
      <c r="A871" s="1" t="s">
        <v>180</v>
      </c>
      <c r="B871" s="1" t="s">
        <v>214</v>
      </c>
      <c r="C871" s="5">
        <v>45587.0</v>
      </c>
      <c r="D871" s="1" t="s">
        <v>161</v>
      </c>
      <c r="E871" s="1" t="s">
        <v>11</v>
      </c>
      <c r="F871" s="1" t="s">
        <v>166</v>
      </c>
      <c r="G871" s="1" t="s">
        <v>163</v>
      </c>
      <c r="H871" s="1">
        <v>1.0</v>
      </c>
      <c r="I871" s="1">
        <v>0.0</v>
      </c>
      <c r="J871" s="1">
        <v>0.0</v>
      </c>
      <c r="K871" s="1">
        <v>0.0</v>
      </c>
      <c r="L871" s="1">
        <v>0.0</v>
      </c>
      <c r="N871" s="1">
        <v>0.0</v>
      </c>
    </row>
    <row r="872" ht="15.75" customHeight="1">
      <c r="A872" s="1" t="s">
        <v>160</v>
      </c>
      <c r="B872" s="1" t="s">
        <v>20</v>
      </c>
      <c r="C872" s="5">
        <v>45586.0</v>
      </c>
      <c r="D872" s="1" t="s">
        <v>161</v>
      </c>
      <c r="E872" s="1" t="s">
        <v>11</v>
      </c>
      <c r="F872" s="1" t="s">
        <v>162</v>
      </c>
      <c r="H872" s="1">
        <v>0.0</v>
      </c>
      <c r="I872" s="1">
        <v>0.0</v>
      </c>
      <c r="J872" s="1">
        <v>0.0</v>
      </c>
      <c r="K872" s="1">
        <v>0.0</v>
      </c>
      <c r="L872" s="1">
        <v>2.0</v>
      </c>
      <c r="M872" s="1">
        <v>0.0</v>
      </c>
      <c r="N872" s="1">
        <v>2.930000067</v>
      </c>
    </row>
    <row r="873" ht="15.75" customHeight="1">
      <c r="A873" s="1" t="s">
        <v>160</v>
      </c>
      <c r="B873" s="1" t="s">
        <v>77</v>
      </c>
      <c r="C873" s="5">
        <v>45586.0</v>
      </c>
      <c r="D873" s="1" t="s">
        <v>161</v>
      </c>
      <c r="E873" s="1" t="s">
        <v>11</v>
      </c>
      <c r="F873" s="1" t="s">
        <v>162</v>
      </c>
      <c r="H873" s="1">
        <v>0.0</v>
      </c>
      <c r="I873" s="1">
        <v>0.0</v>
      </c>
      <c r="J873" s="1">
        <v>0.0</v>
      </c>
      <c r="K873" s="1">
        <v>0.0</v>
      </c>
      <c r="L873" s="1">
        <v>1.0</v>
      </c>
      <c r="M873" s="1">
        <v>0.0</v>
      </c>
      <c r="N873" s="1">
        <v>1.700000048</v>
      </c>
    </row>
    <row r="874" ht="15.75" customHeight="1">
      <c r="A874" s="1" t="s">
        <v>160</v>
      </c>
      <c r="B874" s="1" t="s">
        <v>94</v>
      </c>
      <c r="C874" s="5">
        <v>45586.0</v>
      </c>
      <c r="D874" s="1" t="s">
        <v>161</v>
      </c>
      <c r="E874" s="1" t="s">
        <v>190</v>
      </c>
      <c r="H874" s="1">
        <v>0.0</v>
      </c>
      <c r="J874" s="1">
        <v>0.0</v>
      </c>
      <c r="N874" s="1">
        <v>0.670000017</v>
      </c>
    </row>
    <row r="875" ht="15.75" customHeight="1">
      <c r="A875" s="1" t="s">
        <v>164</v>
      </c>
      <c r="B875" s="1" t="s">
        <v>35</v>
      </c>
      <c r="C875" s="5">
        <v>45586.0</v>
      </c>
      <c r="D875" s="1" t="s">
        <v>161</v>
      </c>
      <c r="E875" s="1" t="s">
        <v>11</v>
      </c>
      <c r="F875" s="1" t="s">
        <v>166</v>
      </c>
      <c r="H875" s="1">
        <v>0.0</v>
      </c>
      <c r="I875" s="1">
        <v>0.0</v>
      </c>
      <c r="J875" s="1">
        <v>0.0</v>
      </c>
      <c r="K875" s="1">
        <v>0.0</v>
      </c>
      <c r="L875" s="1">
        <v>0.0</v>
      </c>
      <c r="N875" s="1">
        <v>1.600000024</v>
      </c>
    </row>
    <row r="876" ht="15.75" customHeight="1">
      <c r="A876" s="1" t="s">
        <v>164</v>
      </c>
      <c r="B876" s="1" t="s">
        <v>24</v>
      </c>
      <c r="C876" s="5">
        <v>45586.0</v>
      </c>
      <c r="D876" s="1" t="s">
        <v>161</v>
      </c>
      <c r="E876" s="1" t="s">
        <v>11</v>
      </c>
      <c r="F876" s="1" t="s">
        <v>166</v>
      </c>
      <c r="H876" s="1">
        <v>0.0</v>
      </c>
      <c r="I876" s="1">
        <v>0.0</v>
      </c>
      <c r="J876" s="1">
        <v>0.0</v>
      </c>
      <c r="K876" s="1">
        <v>1.0</v>
      </c>
      <c r="L876" s="1">
        <v>4.0</v>
      </c>
      <c r="M876" s="1">
        <v>0.25</v>
      </c>
      <c r="N876" s="1">
        <v>8.850000381</v>
      </c>
    </row>
    <row r="877" ht="15.75" customHeight="1">
      <c r="A877" s="1" t="s">
        <v>164</v>
      </c>
      <c r="B877" s="1" t="s">
        <v>207</v>
      </c>
      <c r="C877" s="5">
        <v>45586.0</v>
      </c>
      <c r="D877" s="1" t="s">
        <v>161</v>
      </c>
      <c r="E877" s="1" t="s">
        <v>11</v>
      </c>
      <c r="F877" s="1" t="s">
        <v>166</v>
      </c>
      <c r="H877" s="1">
        <v>0.0</v>
      </c>
      <c r="I877" s="1">
        <v>0.0</v>
      </c>
      <c r="J877" s="1">
        <v>0.0</v>
      </c>
      <c r="K877" s="1">
        <v>3.0</v>
      </c>
      <c r="L877" s="1">
        <v>5.0</v>
      </c>
      <c r="M877" s="1">
        <v>0.6</v>
      </c>
      <c r="N877" s="1">
        <v>9.210000038</v>
      </c>
    </row>
    <row r="878" ht="15.75" customHeight="1">
      <c r="A878" s="1" t="s">
        <v>164</v>
      </c>
      <c r="B878" s="1" t="s">
        <v>52</v>
      </c>
      <c r="C878" s="5">
        <v>45586.0</v>
      </c>
      <c r="D878" s="1" t="s">
        <v>161</v>
      </c>
      <c r="E878" s="1" t="s">
        <v>11</v>
      </c>
      <c r="F878" s="1" t="s">
        <v>165</v>
      </c>
      <c r="H878" s="1">
        <v>0.0</v>
      </c>
      <c r="I878" s="1">
        <v>0.0</v>
      </c>
      <c r="J878" s="1">
        <v>0.0</v>
      </c>
      <c r="K878" s="1">
        <v>0.0</v>
      </c>
      <c r="L878" s="1">
        <v>2.0</v>
      </c>
      <c r="M878" s="1">
        <v>0.0</v>
      </c>
      <c r="N878" s="1">
        <v>8.170000076</v>
      </c>
    </row>
    <row r="879" ht="15.75" customHeight="1">
      <c r="A879" s="1" t="s">
        <v>164</v>
      </c>
      <c r="B879" s="1" t="s">
        <v>55</v>
      </c>
      <c r="C879" s="5">
        <v>45586.0</v>
      </c>
      <c r="D879" s="1" t="s">
        <v>161</v>
      </c>
      <c r="E879" s="1" t="s">
        <v>11</v>
      </c>
      <c r="H879" s="1">
        <v>0.0</v>
      </c>
      <c r="J879" s="1">
        <v>0.0</v>
      </c>
      <c r="N879" s="1">
        <v>1.519999981</v>
      </c>
    </row>
    <row r="880" ht="15.75" customHeight="1">
      <c r="A880" s="1" t="s">
        <v>164</v>
      </c>
      <c r="B880" s="1" t="s">
        <v>199</v>
      </c>
      <c r="C880" s="5">
        <v>45586.0</v>
      </c>
      <c r="D880" s="1" t="s">
        <v>161</v>
      </c>
      <c r="E880" s="1" t="s">
        <v>11</v>
      </c>
      <c r="F880" s="1" t="s">
        <v>162</v>
      </c>
      <c r="H880" s="1">
        <v>0.0</v>
      </c>
      <c r="I880" s="1">
        <v>0.0</v>
      </c>
      <c r="J880" s="1">
        <v>0.0</v>
      </c>
      <c r="K880" s="1">
        <v>3.0</v>
      </c>
      <c r="L880" s="1">
        <v>9.0</v>
      </c>
      <c r="M880" s="1">
        <v>0.333333333</v>
      </c>
      <c r="N880" s="1">
        <v>8.569999695</v>
      </c>
    </row>
    <row r="881" ht="15.75" customHeight="1">
      <c r="A881" s="1" t="s">
        <v>164</v>
      </c>
      <c r="B881" s="1" t="s">
        <v>63</v>
      </c>
      <c r="C881" s="5">
        <v>45586.0</v>
      </c>
      <c r="D881" s="1" t="s">
        <v>161</v>
      </c>
      <c r="E881" s="1" t="s">
        <v>11</v>
      </c>
      <c r="F881" s="1" t="s">
        <v>166</v>
      </c>
      <c r="H881" s="1">
        <v>0.0</v>
      </c>
      <c r="I881" s="1">
        <v>1.0</v>
      </c>
      <c r="J881" s="1">
        <v>0.0</v>
      </c>
      <c r="K881" s="1">
        <v>7.0</v>
      </c>
      <c r="L881" s="1">
        <v>14.0</v>
      </c>
      <c r="M881" s="1">
        <v>0.5</v>
      </c>
      <c r="N881" s="1">
        <v>10.26000023</v>
      </c>
    </row>
    <row r="882" ht="15.75" customHeight="1">
      <c r="A882" s="1" t="s">
        <v>164</v>
      </c>
      <c r="B882" s="1" t="s">
        <v>183</v>
      </c>
      <c r="C882" s="5">
        <v>45586.0</v>
      </c>
      <c r="D882" s="1" t="s">
        <v>161</v>
      </c>
      <c r="E882" s="1" t="s">
        <v>11</v>
      </c>
      <c r="F882" s="1" t="s">
        <v>166</v>
      </c>
      <c r="H882" s="1">
        <v>0.0</v>
      </c>
      <c r="I882" s="1">
        <v>0.0</v>
      </c>
      <c r="J882" s="1">
        <v>0.0</v>
      </c>
      <c r="K882" s="1">
        <v>4.0</v>
      </c>
      <c r="L882" s="1">
        <v>6.0</v>
      </c>
      <c r="M882" s="1">
        <v>0.666666667</v>
      </c>
      <c r="N882" s="1">
        <v>9.180000305</v>
      </c>
    </row>
    <row r="883" ht="15.75" customHeight="1">
      <c r="A883" s="1" t="s">
        <v>164</v>
      </c>
      <c r="B883" s="1" t="s">
        <v>68</v>
      </c>
      <c r="C883" s="5">
        <v>45586.0</v>
      </c>
      <c r="D883" s="1" t="s">
        <v>161</v>
      </c>
      <c r="E883" s="1" t="s">
        <v>11</v>
      </c>
      <c r="F883" s="1" t="s">
        <v>165</v>
      </c>
      <c r="G883" s="1" t="s">
        <v>172</v>
      </c>
      <c r="H883" s="1">
        <v>1.0</v>
      </c>
      <c r="I883" s="1">
        <v>1.0</v>
      </c>
      <c r="J883" s="1">
        <v>0.0</v>
      </c>
      <c r="K883" s="1">
        <v>12.0</v>
      </c>
      <c r="L883" s="1">
        <v>18.0</v>
      </c>
      <c r="M883" s="1">
        <v>0.666666667</v>
      </c>
      <c r="N883" s="1">
        <v>14.44999981</v>
      </c>
    </row>
    <row r="884" ht="15.75" customHeight="1">
      <c r="A884" s="1" t="s">
        <v>164</v>
      </c>
      <c r="B884" s="1" t="s">
        <v>197</v>
      </c>
      <c r="C884" s="5">
        <v>45586.0</v>
      </c>
      <c r="D884" s="1" t="s">
        <v>161</v>
      </c>
      <c r="E884" s="1" t="s">
        <v>11</v>
      </c>
      <c r="F884" s="1" t="s">
        <v>162</v>
      </c>
      <c r="H884" s="1">
        <v>0.0</v>
      </c>
      <c r="I884" s="1">
        <v>0.0</v>
      </c>
      <c r="J884" s="1">
        <v>0.0</v>
      </c>
      <c r="K884" s="1">
        <v>0.0</v>
      </c>
      <c r="L884" s="1">
        <v>7.0</v>
      </c>
      <c r="M884" s="1">
        <v>0.0</v>
      </c>
      <c r="N884" s="1">
        <v>8.130000114</v>
      </c>
    </row>
    <row r="885" ht="15.75" customHeight="1">
      <c r="A885" s="1" t="s">
        <v>164</v>
      </c>
      <c r="B885" s="1" t="s">
        <v>74</v>
      </c>
      <c r="C885" s="5">
        <v>45586.0</v>
      </c>
      <c r="D885" s="1" t="s">
        <v>161</v>
      </c>
      <c r="E885" s="1" t="s">
        <v>11</v>
      </c>
      <c r="F885" s="1" t="s">
        <v>165</v>
      </c>
      <c r="G885" s="1" t="s">
        <v>163</v>
      </c>
      <c r="H885" s="1">
        <v>1.0</v>
      </c>
      <c r="I885" s="1">
        <v>0.0</v>
      </c>
      <c r="J885" s="1">
        <v>0.0</v>
      </c>
      <c r="K885" s="1">
        <v>11.0</v>
      </c>
      <c r="L885" s="1">
        <v>12.0</v>
      </c>
      <c r="M885" s="1">
        <v>0.916666667</v>
      </c>
      <c r="N885" s="1">
        <v>14.81999969</v>
      </c>
    </row>
    <row r="886" ht="15.75" customHeight="1">
      <c r="A886" s="1" t="s">
        <v>164</v>
      </c>
      <c r="B886" s="1" t="s">
        <v>74</v>
      </c>
      <c r="C886" s="5">
        <v>45586.0</v>
      </c>
      <c r="D886" s="1" t="s">
        <v>161</v>
      </c>
      <c r="E886" s="1" t="s">
        <v>11</v>
      </c>
      <c r="F886" s="1" t="s">
        <v>166</v>
      </c>
      <c r="G886" s="1" t="s">
        <v>163</v>
      </c>
      <c r="H886" s="1">
        <v>1.0</v>
      </c>
      <c r="I886" s="1">
        <v>0.0</v>
      </c>
      <c r="J886" s="1">
        <v>0.0</v>
      </c>
      <c r="K886" s="1">
        <v>1.0</v>
      </c>
      <c r="L886" s="1">
        <v>5.0</v>
      </c>
      <c r="M886" s="1">
        <v>0.2</v>
      </c>
      <c r="N886" s="1">
        <v>0.0</v>
      </c>
    </row>
    <row r="887" ht="15.75" customHeight="1">
      <c r="A887" s="1" t="s">
        <v>164</v>
      </c>
      <c r="B887" s="1" t="s">
        <v>205</v>
      </c>
      <c r="C887" s="5">
        <v>45586.0</v>
      </c>
      <c r="D887" s="1" t="s">
        <v>161</v>
      </c>
      <c r="E887" s="1" t="s">
        <v>11</v>
      </c>
      <c r="F887" s="1" t="s">
        <v>166</v>
      </c>
      <c r="H887" s="1">
        <v>0.0</v>
      </c>
      <c r="I887" s="1">
        <v>0.0</v>
      </c>
      <c r="J887" s="1">
        <v>0.0</v>
      </c>
      <c r="K887" s="1">
        <v>2.0</v>
      </c>
      <c r="L887" s="1">
        <v>7.0</v>
      </c>
      <c r="M887" s="1">
        <v>0.285714286</v>
      </c>
      <c r="N887" s="1">
        <v>8.979999542</v>
      </c>
    </row>
    <row r="888" ht="15.75" customHeight="1">
      <c r="A888" s="1" t="s">
        <v>164</v>
      </c>
      <c r="B888" s="1" t="s">
        <v>75</v>
      </c>
      <c r="C888" s="5">
        <v>45586.0</v>
      </c>
      <c r="D888" s="1" t="s">
        <v>161</v>
      </c>
      <c r="E888" s="1" t="s">
        <v>11</v>
      </c>
      <c r="F888" s="1" t="s">
        <v>165</v>
      </c>
      <c r="H888" s="1">
        <v>0.0</v>
      </c>
      <c r="I888" s="1">
        <v>1.0</v>
      </c>
      <c r="J888" s="1">
        <v>0.0</v>
      </c>
      <c r="K888" s="1">
        <v>4.0</v>
      </c>
      <c r="L888" s="1">
        <v>8.0</v>
      </c>
      <c r="M888" s="1">
        <v>0.5</v>
      </c>
      <c r="N888" s="1">
        <v>14.96000004</v>
      </c>
    </row>
    <row r="889" ht="15.75" customHeight="1">
      <c r="A889" s="1" t="s">
        <v>164</v>
      </c>
      <c r="B889" s="1" t="s">
        <v>100</v>
      </c>
      <c r="C889" s="5">
        <v>45586.0</v>
      </c>
      <c r="D889" s="1" t="s">
        <v>161</v>
      </c>
      <c r="E889" s="1" t="s">
        <v>11</v>
      </c>
      <c r="F889" s="1" t="s">
        <v>171</v>
      </c>
      <c r="H889" s="1">
        <v>0.0</v>
      </c>
      <c r="I889" s="1">
        <v>0.0</v>
      </c>
      <c r="J889" s="1">
        <v>0.0</v>
      </c>
      <c r="K889" s="1">
        <v>24.0</v>
      </c>
      <c r="L889" s="1">
        <v>30.0</v>
      </c>
      <c r="M889" s="1">
        <v>0.8</v>
      </c>
      <c r="N889" s="1">
        <v>33.56000137</v>
      </c>
    </row>
    <row r="890" ht="15.75" customHeight="1">
      <c r="A890" s="1" t="s">
        <v>164</v>
      </c>
      <c r="B890" s="1" t="s">
        <v>82</v>
      </c>
      <c r="C890" s="5">
        <v>45586.0</v>
      </c>
      <c r="D890" s="1" t="s">
        <v>161</v>
      </c>
      <c r="E890" s="1" t="s">
        <v>11</v>
      </c>
      <c r="F890" s="1" t="s">
        <v>165</v>
      </c>
      <c r="H890" s="1">
        <v>0.0</v>
      </c>
      <c r="I890" s="1">
        <v>0.0</v>
      </c>
      <c r="J890" s="1">
        <v>0.0</v>
      </c>
      <c r="K890" s="1">
        <v>0.0</v>
      </c>
      <c r="L890" s="1">
        <v>0.0</v>
      </c>
      <c r="N890" s="1">
        <v>3.150000095</v>
      </c>
    </row>
    <row r="891" ht="15.75" customHeight="1">
      <c r="A891" s="1" t="s">
        <v>180</v>
      </c>
      <c r="B891" s="1" t="s">
        <v>220</v>
      </c>
      <c r="C891" s="5">
        <v>45586.0</v>
      </c>
      <c r="D891" s="1" t="s">
        <v>161</v>
      </c>
      <c r="E891" s="1" t="s">
        <v>11</v>
      </c>
      <c r="F891" s="1" t="s">
        <v>165</v>
      </c>
      <c r="H891" s="1">
        <v>0.0</v>
      </c>
      <c r="I891" s="1">
        <v>1.0</v>
      </c>
      <c r="J891" s="1">
        <v>0.0</v>
      </c>
      <c r="K891" s="1">
        <v>1.0</v>
      </c>
      <c r="L891" s="1">
        <v>1.0</v>
      </c>
      <c r="M891" s="1">
        <v>1.0</v>
      </c>
      <c r="N891" s="1">
        <v>0.0</v>
      </c>
    </row>
    <row r="892" ht="15.75" customHeight="1">
      <c r="A892" s="1" t="s">
        <v>164</v>
      </c>
      <c r="B892" s="1" t="s">
        <v>52</v>
      </c>
      <c r="C892" s="5">
        <v>45583.0</v>
      </c>
      <c r="D892" s="1" t="s">
        <v>161</v>
      </c>
      <c r="E892" s="1" t="s">
        <v>11</v>
      </c>
      <c r="F892" s="1" t="s">
        <v>162</v>
      </c>
      <c r="G892" s="1" t="s">
        <v>163</v>
      </c>
      <c r="H892" s="1">
        <v>1.0</v>
      </c>
      <c r="I892" s="1">
        <v>0.0</v>
      </c>
      <c r="J892" s="1">
        <v>0.0</v>
      </c>
      <c r="K892" s="1">
        <v>5.0</v>
      </c>
      <c r="L892" s="1">
        <v>8.0</v>
      </c>
      <c r="M892" s="1">
        <v>0.625</v>
      </c>
      <c r="N892" s="1">
        <v>12.31999969</v>
      </c>
    </row>
    <row r="893" ht="15.75" customHeight="1">
      <c r="A893" s="1" t="s">
        <v>164</v>
      </c>
      <c r="B893" s="1" t="s">
        <v>52</v>
      </c>
      <c r="C893" s="5">
        <v>45583.0</v>
      </c>
      <c r="D893" s="1" t="s">
        <v>161</v>
      </c>
      <c r="E893" s="1" t="s">
        <v>11</v>
      </c>
      <c r="F893" s="1" t="s">
        <v>177</v>
      </c>
      <c r="G893" s="1" t="s">
        <v>163</v>
      </c>
      <c r="H893" s="1">
        <v>1.0</v>
      </c>
      <c r="I893" s="1">
        <v>0.0</v>
      </c>
      <c r="J893" s="1">
        <v>0.0</v>
      </c>
      <c r="K893" s="1">
        <v>0.0</v>
      </c>
      <c r="L893" s="1">
        <v>0.0</v>
      </c>
      <c r="N893" s="1">
        <v>0.0</v>
      </c>
    </row>
    <row r="894" ht="15.75" customHeight="1">
      <c r="A894" s="1" t="s">
        <v>164</v>
      </c>
      <c r="B894" s="1" t="s">
        <v>52</v>
      </c>
      <c r="C894" s="5">
        <v>45583.0</v>
      </c>
      <c r="D894" s="1" t="s">
        <v>161</v>
      </c>
      <c r="E894" s="1" t="s">
        <v>11</v>
      </c>
      <c r="F894" s="1" t="s">
        <v>168</v>
      </c>
      <c r="G894" s="1" t="s">
        <v>163</v>
      </c>
      <c r="H894" s="1">
        <v>1.0</v>
      </c>
      <c r="I894" s="1">
        <v>0.0</v>
      </c>
      <c r="J894" s="1">
        <v>0.0</v>
      </c>
      <c r="K894" s="1">
        <v>0.0</v>
      </c>
      <c r="L894" s="1">
        <v>0.0</v>
      </c>
      <c r="N894" s="1">
        <v>0.0</v>
      </c>
    </row>
    <row r="895" ht="15.75" customHeight="1">
      <c r="A895" s="1" t="s">
        <v>164</v>
      </c>
      <c r="B895" s="1" t="s">
        <v>68</v>
      </c>
      <c r="C895" s="5">
        <v>45583.0</v>
      </c>
      <c r="D895" s="1" t="s">
        <v>161</v>
      </c>
      <c r="E895" s="1" t="s">
        <v>11</v>
      </c>
      <c r="F895" s="1" t="s">
        <v>165</v>
      </c>
      <c r="H895" s="1">
        <v>0.0</v>
      </c>
      <c r="I895" s="1">
        <v>0.0</v>
      </c>
      <c r="J895" s="1">
        <v>0.0</v>
      </c>
      <c r="K895" s="1">
        <v>5.0</v>
      </c>
      <c r="L895" s="1">
        <v>7.0</v>
      </c>
      <c r="M895" s="1">
        <v>0.714285714</v>
      </c>
      <c r="N895" s="1">
        <v>10.28999996</v>
      </c>
    </row>
    <row r="896" ht="15.75" customHeight="1">
      <c r="A896" s="1" t="s">
        <v>164</v>
      </c>
      <c r="B896" s="1" t="s">
        <v>74</v>
      </c>
      <c r="C896" s="5">
        <v>45583.0</v>
      </c>
      <c r="D896" s="1" t="s">
        <v>161</v>
      </c>
      <c r="E896" s="1" t="s">
        <v>11</v>
      </c>
      <c r="F896" s="1" t="s">
        <v>166</v>
      </c>
      <c r="H896" s="1">
        <v>0.0</v>
      </c>
      <c r="I896" s="1">
        <v>0.0</v>
      </c>
      <c r="J896" s="1">
        <v>0.0</v>
      </c>
      <c r="K896" s="1">
        <v>4.0</v>
      </c>
      <c r="L896" s="1">
        <v>5.0</v>
      </c>
      <c r="M896" s="1">
        <v>0.8</v>
      </c>
      <c r="N896" s="1">
        <v>13.60000038</v>
      </c>
    </row>
    <row r="897" ht="15.75" customHeight="1">
      <c r="A897" s="1" t="s">
        <v>164</v>
      </c>
      <c r="B897" s="1" t="s">
        <v>75</v>
      </c>
      <c r="C897" s="5">
        <v>45583.0</v>
      </c>
      <c r="D897" s="1" t="s">
        <v>161</v>
      </c>
      <c r="E897" s="1" t="s">
        <v>11</v>
      </c>
      <c r="F897" s="1" t="s">
        <v>165</v>
      </c>
      <c r="H897" s="1">
        <v>0.0</v>
      </c>
      <c r="I897" s="1">
        <v>0.0</v>
      </c>
      <c r="J897" s="1">
        <v>0.0</v>
      </c>
      <c r="K897" s="1">
        <v>1.0</v>
      </c>
      <c r="L897" s="1">
        <v>4.0</v>
      </c>
      <c r="M897" s="1">
        <v>0.25</v>
      </c>
      <c r="N897" s="1">
        <v>8.600000381</v>
      </c>
    </row>
    <row r="898" ht="15.75" customHeight="1">
      <c r="A898" s="1" t="s">
        <v>164</v>
      </c>
      <c r="B898" s="1" t="s">
        <v>63</v>
      </c>
      <c r="C898" s="5">
        <v>45582.0</v>
      </c>
      <c r="D898" s="1" t="s">
        <v>161</v>
      </c>
      <c r="E898" s="1" t="s">
        <v>11</v>
      </c>
      <c r="F898" s="1" t="s">
        <v>166</v>
      </c>
      <c r="H898" s="1">
        <v>0.0</v>
      </c>
      <c r="I898" s="1">
        <v>0.0</v>
      </c>
      <c r="J898" s="1">
        <v>0.0</v>
      </c>
      <c r="K898" s="1">
        <v>3.0</v>
      </c>
      <c r="L898" s="1">
        <v>5.0</v>
      </c>
      <c r="M898" s="1">
        <v>0.6</v>
      </c>
      <c r="N898" s="1">
        <v>2.930000067</v>
      </c>
    </row>
    <row r="899" ht="15.75" customHeight="1">
      <c r="A899" s="1" t="s">
        <v>164</v>
      </c>
      <c r="B899" s="1" t="s">
        <v>68</v>
      </c>
      <c r="C899" s="5">
        <v>45582.0</v>
      </c>
      <c r="D899" s="1" t="s">
        <v>161</v>
      </c>
      <c r="E899" s="1" t="s">
        <v>11</v>
      </c>
      <c r="F899" s="1" t="s">
        <v>165</v>
      </c>
      <c r="H899" s="1">
        <v>0.0</v>
      </c>
      <c r="I899" s="1">
        <v>0.0</v>
      </c>
      <c r="J899" s="1">
        <v>0.0</v>
      </c>
      <c r="K899" s="1">
        <v>16.0</v>
      </c>
      <c r="L899" s="1">
        <v>19.0</v>
      </c>
      <c r="M899" s="1">
        <v>0.842105263</v>
      </c>
      <c r="N899" s="1">
        <v>16.71999931</v>
      </c>
    </row>
    <row r="900" ht="15.75" customHeight="1">
      <c r="A900" s="1" t="s">
        <v>164</v>
      </c>
      <c r="B900" s="1" t="s">
        <v>74</v>
      </c>
      <c r="C900" s="5">
        <v>45582.0</v>
      </c>
      <c r="D900" s="1" t="s">
        <v>161</v>
      </c>
      <c r="E900" s="1" t="s">
        <v>11</v>
      </c>
      <c r="F900" s="1" t="s">
        <v>166</v>
      </c>
      <c r="H900" s="1">
        <v>0.0</v>
      </c>
      <c r="I900" s="1">
        <v>0.0</v>
      </c>
      <c r="J900" s="1">
        <v>0.0</v>
      </c>
      <c r="K900" s="1">
        <v>4.0</v>
      </c>
      <c r="L900" s="1">
        <v>9.0</v>
      </c>
      <c r="M900" s="1">
        <v>0.444444444</v>
      </c>
      <c r="N900" s="1">
        <v>10.77000046</v>
      </c>
    </row>
    <row r="901" ht="15.75" customHeight="1">
      <c r="A901" s="1" t="s">
        <v>164</v>
      </c>
      <c r="B901" s="1" t="s">
        <v>75</v>
      </c>
      <c r="C901" s="5">
        <v>45582.0</v>
      </c>
      <c r="D901" s="1" t="s">
        <v>161</v>
      </c>
      <c r="E901" s="1" t="s">
        <v>11</v>
      </c>
      <c r="F901" s="1" t="s">
        <v>165</v>
      </c>
      <c r="H901" s="1">
        <v>0.0</v>
      </c>
      <c r="I901" s="1">
        <v>0.0</v>
      </c>
      <c r="J901" s="1">
        <v>0.0</v>
      </c>
      <c r="K901" s="1">
        <v>4.0</v>
      </c>
      <c r="L901" s="1">
        <v>8.0</v>
      </c>
      <c r="M901" s="1">
        <v>0.5</v>
      </c>
      <c r="N901" s="1">
        <v>9.170000076</v>
      </c>
    </row>
    <row r="902" ht="15.75" customHeight="1">
      <c r="A902" s="1" t="s">
        <v>180</v>
      </c>
      <c r="B902" s="1" t="s">
        <v>214</v>
      </c>
      <c r="C902" s="5">
        <v>45582.0</v>
      </c>
      <c r="D902" s="1" t="s">
        <v>161</v>
      </c>
      <c r="E902" s="1" t="s">
        <v>11</v>
      </c>
      <c r="F902" s="1" t="s">
        <v>167</v>
      </c>
      <c r="G902" s="1" t="s">
        <v>163</v>
      </c>
      <c r="H902" s="1">
        <v>1.0</v>
      </c>
      <c r="I902" s="1">
        <v>1.0</v>
      </c>
      <c r="J902" s="1">
        <v>0.0</v>
      </c>
      <c r="K902" s="1">
        <v>13.0</v>
      </c>
      <c r="L902" s="1">
        <v>13.0</v>
      </c>
      <c r="M902" s="1">
        <v>1.0</v>
      </c>
      <c r="N902" s="1">
        <v>3.569999933</v>
      </c>
    </row>
    <row r="903" ht="15.75" customHeight="1">
      <c r="A903" s="1" t="s">
        <v>180</v>
      </c>
      <c r="B903" s="1" t="s">
        <v>226</v>
      </c>
      <c r="C903" s="5">
        <v>45582.0</v>
      </c>
      <c r="D903" s="1" t="s">
        <v>161</v>
      </c>
      <c r="E903" s="1" t="s">
        <v>11</v>
      </c>
      <c r="H903" s="1">
        <v>0.0</v>
      </c>
      <c r="J903" s="1">
        <v>0.0</v>
      </c>
      <c r="N903" s="1">
        <v>0.699999988</v>
      </c>
    </row>
    <row r="904" ht="15.75" customHeight="1">
      <c r="A904" s="1" t="s">
        <v>160</v>
      </c>
      <c r="B904" s="1" t="s">
        <v>101</v>
      </c>
      <c r="C904" s="5">
        <v>45581.0</v>
      </c>
      <c r="D904" s="1" t="s">
        <v>161</v>
      </c>
      <c r="E904" s="1" t="s">
        <v>11</v>
      </c>
      <c r="F904" s="1" t="s">
        <v>162</v>
      </c>
      <c r="H904" s="1">
        <v>0.0</v>
      </c>
      <c r="I904" s="1">
        <v>0.0</v>
      </c>
      <c r="J904" s="1">
        <v>0.0</v>
      </c>
      <c r="K904" s="1">
        <v>2.0</v>
      </c>
      <c r="L904" s="1">
        <v>16.0</v>
      </c>
      <c r="M904" s="1">
        <v>0.125</v>
      </c>
      <c r="N904" s="1">
        <v>14.97000027</v>
      </c>
    </row>
    <row r="905" ht="15.75" customHeight="1">
      <c r="A905" s="1" t="s">
        <v>160</v>
      </c>
      <c r="B905" s="1" t="s">
        <v>94</v>
      </c>
      <c r="C905" s="5">
        <v>45581.0</v>
      </c>
      <c r="D905" s="1" t="s">
        <v>161</v>
      </c>
      <c r="E905" s="1" t="s">
        <v>11</v>
      </c>
      <c r="F905" s="1" t="s">
        <v>166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N905" s="1">
        <v>0.0</v>
      </c>
    </row>
    <row r="906" ht="15.75" customHeight="1">
      <c r="A906" s="1" t="s">
        <v>164</v>
      </c>
      <c r="B906" s="1" t="s">
        <v>52</v>
      </c>
      <c r="C906" s="5">
        <v>45581.0</v>
      </c>
      <c r="D906" s="1" t="s">
        <v>161</v>
      </c>
      <c r="E906" s="1" t="s">
        <v>11</v>
      </c>
      <c r="F906" s="1" t="s">
        <v>165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N906" s="1">
        <v>0.460000008</v>
      </c>
    </row>
    <row r="907" ht="15.75" customHeight="1">
      <c r="A907" s="1" t="s">
        <v>164</v>
      </c>
      <c r="B907" s="1" t="s">
        <v>179</v>
      </c>
      <c r="C907" s="5">
        <v>45581.0</v>
      </c>
      <c r="D907" s="1" t="s">
        <v>161</v>
      </c>
      <c r="E907" s="1" t="s">
        <v>11</v>
      </c>
      <c r="F907" s="1" t="s">
        <v>166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N907" s="1">
        <v>2.789999962</v>
      </c>
    </row>
    <row r="908" ht="15.75" customHeight="1">
      <c r="A908" s="1" t="s">
        <v>164</v>
      </c>
      <c r="B908" s="1" t="s">
        <v>63</v>
      </c>
      <c r="C908" s="5">
        <v>45581.0</v>
      </c>
      <c r="D908" s="1" t="s">
        <v>161</v>
      </c>
      <c r="E908" s="1" t="s">
        <v>11</v>
      </c>
      <c r="F908" s="1" t="s">
        <v>166</v>
      </c>
      <c r="H908" s="1">
        <v>0.0</v>
      </c>
      <c r="I908" s="1">
        <v>0.0</v>
      </c>
      <c r="J908" s="1">
        <v>0.0</v>
      </c>
      <c r="K908" s="1">
        <v>1.0</v>
      </c>
      <c r="L908" s="1">
        <v>3.0</v>
      </c>
      <c r="M908" s="1">
        <v>0.333333333</v>
      </c>
      <c r="N908" s="1">
        <v>4.730000019</v>
      </c>
    </row>
    <row r="909" ht="15.75" customHeight="1">
      <c r="A909" s="1" t="s">
        <v>164</v>
      </c>
      <c r="B909" s="1" t="s">
        <v>183</v>
      </c>
      <c r="C909" s="5">
        <v>45581.0</v>
      </c>
      <c r="D909" s="1" t="s">
        <v>161</v>
      </c>
      <c r="E909" s="1" t="s">
        <v>11</v>
      </c>
      <c r="H909" s="1">
        <v>0.0</v>
      </c>
      <c r="J909" s="1">
        <v>0.0</v>
      </c>
      <c r="N909" s="1">
        <v>0.119999997</v>
      </c>
    </row>
    <row r="910" ht="15.75" customHeight="1">
      <c r="A910" s="1" t="s">
        <v>164</v>
      </c>
      <c r="B910" s="1" t="s">
        <v>68</v>
      </c>
      <c r="C910" s="5">
        <v>45581.0</v>
      </c>
      <c r="D910" s="1" t="s">
        <v>161</v>
      </c>
      <c r="E910" s="1" t="s">
        <v>11</v>
      </c>
      <c r="F910" s="1" t="s">
        <v>165</v>
      </c>
      <c r="H910" s="1">
        <v>0.0</v>
      </c>
      <c r="I910" s="1">
        <v>0.0</v>
      </c>
      <c r="J910" s="1">
        <v>0.0</v>
      </c>
      <c r="K910" s="1">
        <v>0.0</v>
      </c>
      <c r="L910" s="1">
        <v>2.0</v>
      </c>
      <c r="M910" s="1">
        <v>0.0</v>
      </c>
      <c r="N910" s="1">
        <v>6.590000153</v>
      </c>
    </row>
    <row r="911" ht="15.75" customHeight="1">
      <c r="A911" s="1" t="s">
        <v>164</v>
      </c>
      <c r="B911" s="1" t="s">
        <v>75</v>
      </c>
      <c r="C911" s="5">
        <v>45581.0</v>
      </c>
      <c r="D911" s="1" t="s">
        <v>161</v>
      </c>
      <c r="E911" s="1" t="s">
        <v>11</v>
      </c>
      <c r="F911" s="1" t="s">
        <v>165</v>
      </c>
      <c r="H911" s="1">
        <v>0.0</v>
      </c>
      <c r="I911" s="1">
        <v>0.0</v>
      </c>
      <c r="J911" s="1">
        <v>0.0</v>
      </c>
      <c r="K911" s="1">
        <v>4.0</v>
      </c>
      <c r="L911" s="1">
        <v>8.0</v>
      </c>
      <c r="M911" s="1">
        <v>0.5</v>
      </c>
      <c r="N911" s="1">
        <v>17.68000031</v>
      </c>
    </row>
    <row r="912" ht="15.75" customHeight="1">
      <c r="A912" s="1" t="s">
        <v>180</v>
      </c>
      <c r="B912" s="1" t="s">
        <v>220</v>
      </c>
      <c r="C912" s="5">
        <v>45581.0</v>
      </c>
      <c r="D912" s="1" t="s">
        <v>161</v>
      </c>
      <c r="E912" s="1" t="s">
        <v>11</v>
      </c>
      <c r="F912" s="1" t="s">
        <v>165</v>
      </c>
      <c r="G912" s="1" t="s">
        <v>163</v>
      </c>
      <c r="H912" s="1">
        <v>1.0</v>
      </c>
      <c r="I912" s="1">
        <v>0.0</v>
      </c>
      <c r="J912" s="1">
        <v>0.0</v>
      </c>
      <c r="K912" s="1">
        <v>11.0</v>
      </c>
      <c r="L912" s="1">
        <v>11.0</v>
      </c>
      <c r="M912" s="1">
        <v>1.0</v>
      </c>
      <c r="N912" s="1">
        <v>0.0</v>
      </c>
    </row>
    <row r="913" ht="15.75" customHeight="1">
      <c r="A913" s="1" t="s">
        <v>180</v>
      </c>
      <c r="B913" s="1" t="s">
        <v>220</v>
      </c>
      <c r="C913" s="5">
        <v>45581.0</v>
      </c>
      <c r="D913" s="1" t="s">
        <v>161</v>
      </c>
      <c r="E913" s="1" t="s">
        <v>11</v>
      </c>
      <c r="F913" s="1" t="s">
        <v>221</v>
      </c>
      <c r="G913" s="1" t="s">
        <v>163</v>
      </c>
      <c r="H913" s="1">
        <v>1.0</v>
      </c>
      <c r="I913" s="1">
        <v>1.0</v>
      </c>
      <c r="J913" s="1">
        <v>0.0</v>
      </c>
      <c r="K913" s="1">
        <v>13.0</v>
      </c>
      <c r="L913" s="1">
        <v>15.0</v>
      </c>
      <c r="M913" s="1">
        <v>0.866666667</v>
      </c>
      <c r="N913" s="1">
        <v>0.0</v>
      </c>
    </row>
    <row r="914" ht="15.75" customHeight="1">
      <c r="A914" s="1" t="s">
        <v>180</v>
      </c>
      <c r="B914" s="1" t="s">
        <v>220</v>
      </c>
      <c r="C914" s="5">
        <v>45581.0</v>
      </c>
      <c r="D914" s="1" t="s">
        <v>161</v>
      </c>
      <c r="E914" s="1" t="s">
        <v>11</v>
      </c>
      <c r="F914" s="1" t="s">
        <v>167</v>
      </c>
      <c r="G914" s="1" t="s">
        <v>163</v>
      </c>
      <c r="H914" s="1">
        <v>1.0</v>
      </c>
      <c r="I914" s="1">
        <v>0.0</v>
      </c>
      <c r="J914" s="1">
        <v>0.0</v>
      </c>
      <c r="K914" s="1">
        <v>12.0</v>
      </c>
      <c r="L914" s="1">
        <v>14.0</v>
      </c>
      <c r="M914" s="1">
        <v>0.857142857</v>
      </c>
      <c r="N914" s="1">
        <v>0.0</v>
      </c>
    </row>
    <row r="915" ht="15.75" customHeight="1">
      <c r="A915" s="1" t="s">
        <v>180</v>
      </c>
      <c r="B915" s="1" t="s">
        <v>220</v>
      </c>
      <c r="C915" s="5">
        <v>45581.0</v>
      </c>
      <c r="D915" s="1" t="s">
        <v>161</v>
      </c>
      <c r="E915" s="1" t="s">
        <v>11</v>
      </c>
      <c r="F915" s="1" t="s">
        <v>162</v>
      </c>
      <c r="G915" s="1" t="s">
        <v>163</v>
      </c>
      <c r="H915" s="1">
        <v>1.0</v>
      </c>
      <c r="I915" s="1">
        <v>0.0</v>
      </c>
      <c r="J915" s="1">
        <v>0.0</v>
      </c>
      <c r="K915" s="1">
        <v>11.0</v>
      </c>
      <c r="L915" s="1">
        <v>11.0</v>
      </c>
      <c r="M915" s="1">
        <v>1.0</v>
      </c>
      <c r="N915" s="1">
        <v>0.0</v>
      </c>
    </row>
    <row r="916" ht="15.75" customHeight="1">
      <c r="A916" s="1" t="s">
        <v>180</v>
      </c>
      <c r="B916" s="1" t="s">
        <v>220</v>
      </c>
      <c r="C916" s="5">
        <v>45581.0</v>
      </c>
      <c r="D916" s="1" t="s">
        <v>161</v>
      </c>
      <c r="E916" s="1" t="s">
        <v>11</v>
      </c>
      <c r="F916" s="1" t="s">
        <v>177</v>
      </c>
      <c r="G916" s="1" t="s">
        <v>163</v>
      </c>
      <c r="H916" s="1">
        <v>1.0</v>
      </c>
      <c r="I916" s="1">
        <v>0.0</v>
      </c>
      <c r="J916" s="1">
        <v>0.0</v>
      </c>
      <c r="K916" s="1">
        <v>13.0</v>
      </c>
      <c r="L916" s="1">
        <v>14.0</v>
      </c>
      <c r="M916" s="1">
        <v>0.928571429</v>
      </c>
      <c r="N916" s="1">
        <v>0.0</v>
      </c>
    </row>
    <row r="917" ht="15.75" customHeight="1">
      <c r="A917" s="1" t="s">
        <v>180</v>
      </c>
      <c r="B917" s="1" t="s">
        <v>220</v>
      </c>
      <c r="C917" s="5">
        <v>45581.0</v>
      </c>
      <c r="D917" s="1" t="s">
        <v>161</v>
      </c>
      <c r="E917" s="1" t="s">
        <v>11</v>
      </c>
      <c r="F917" s="1" t="s">
        <v>168</v>
      </c>
      <c r="G917" s="1" t="s">
        <v>163</v>
      </c>
      <c r="H917" s="1">
        <v>1.0</v>
      </c>
      <c r="I917" s="1">
        <v>2.0</v>
      </c>
      <c r="J917" s="1">
        <v>0.0</v>
      </c>
      <c r="K917" s="1">
        <v>26.0</v>
      </c>
      <c r="L917" s="1">
        <v>28.0</v>
      </c>
      <c r="M917" s="1">
        <v>0.928571429</v>
      </c>
      <c r="N917" s="1">
        <v>28.37999916</v>
      </c>
    </row>
    <row r="918" ht="15.75" customHeight="1">
      <c r="A918" s="1" t="s">
        <v>180</v>
      </c>
      <c r="B918" s="1" t="s">
        <v>220</v>
      </c>
      <c r="C918" s="5">
        <v>45581.0</v>
      </c>
      <c r="D918" s="1" t="s">
        <v>161</v>
      </c>
      <c r="E918" s="1" t="s">
        <v>11</v>
      </c>
      <c r="F918" s="1" t="s">
        <v>166</v>
      </c>
      <c r="G918" s="1" t="s">
        <v>163</v>
      </c>
      <c r="H918" s="1">
        <v>1.0</v>
      </c>
      <c r="I918" s="1">
        <v>0.0</v>
      </c>
      <c r="J918" s="1">
        <v>0.0</v>
      </c>
      <c r="K918" s="1">
        <v>8.0</v>
      </c>
      <c r="L918" s="1">
        <v>8.0</v>
      </c>
      <c r="M918" s="1">
        <v>1.0</v>
      </c>
      <c r="N918" s="1">
        <v>0.0</v>
      </c>
    </row>
    <row r="919" ht="15.75" customHeight="1">
      <c r="A919" s="1" t="s">
        <v>180</v>
      </c>
      <c r="B919" s="1" t="s">
        <v>220</v>
      </c>
      <c r="C919" s="5">
        <v>45581.0</v>
      </c>
      <c r="D919" s="1" t="s">
        <v>161</v>
      </c>
      <c r="E919" s="1" t="s">
        <v>11</v>
      </c>
      <c r="F919" s="1" t="s">
        <v>171</v>
      </c>
      <c r="G919" s="1" t="s">
        <v>163</v>
      </c>
      <c r="H919" s="1">
        <v>1.0</v>
      </c>
      <c r="I919" s="1">
        <v>1.0</v>
      </c>
      <c r="J919" s="1">
        <v>0.0</v>
      </c>
      <c r="K919" s="1">
        <v>12.0</v>
      </c>
      <c r="L919" s="1">
        <v>12.0</v>
      </c>
      <c r="M919" s="1">
        <v>1.0</v>
      </c>
      <c r="N919" s="1">
        <v>0.0</v>
      </c>
    </row>
    <row r="920" ht="15.75" customHeight="1">
      <c r="A920" s="1" t="s">
        <v>180</v>
      </c>
      <c r="B920" s="1" t="s">
        <v>220</v>
      </c>
      <c r="C920" s="5">
        <v>45581.0</v>
      </c>
      <c r="D920" s="1" t="s">
        <v>161</v>
      </c>
      <c r="E920" s="1" t="s">
        <v>11</v>
      </c>
      <c r="F920" s="1" t="s">
        <v>169</v>
      </c>
      <c r="G920" s="1" t="s">
        <v>163</v>
      </c>
      <c r="H920" s="1">
        <v>1.0</v>
      </c>
      <c r="I920" s="1">
        <v>1.0</v>
      </c>
      <c r="J920" s="1">
        <v>0.0</v>
      </c>
      <c r="K920" s="1">
        <v>12.0</v>
      </c>
      <c r="L920" s="1">
        <v>12.0</v>
      </c>
      <c r="M920" s="1">
        <v>1.0</v>
      </c>
      <c r="N920" s="1">
        <v>0.0</v>
      </c>
    </row>
    <row r="921" ht="15.75" customHeight="1">
      <c r="A921" s="1" t="s">
        <v>180</v>
      </c>
      <c r="B921" s="1" t="s">
        <v>214</v>
      </c>
      <c r="C921" s="5">
        <v>45581.0</v>
      </c>
      <c r="D921" s="1" t="s">
        <v>161</v>
      </c>
      <c r="E921" s="1" t="s">
        <v>11</v>
      </c>
      <c r="F921" s="1" t="s">
        <v>165</v>
      </c>
      <c r="H921" s="1">
        <v>0.0</v>
      </c>
      <c r="I921" s="1">
        <v>1.0</v>
      </c>
      <c r="J921" s="1">
        <v>0.0</v>
      </c>
      <c r="K921" s="1">
        <v>12.0</v>
      </c>
      <c r="L921" s="1">
        <v>12.0</v>
      </c>
      <c r="M921" s="1">
        <v>1.0</v>
      </c>
      <c r="N921" s="1">
        <v>4.610000134</v>
      </c>
    </row>
    <row r="922" ht="15.75" customHeight="1">
      <c r="A922" s="1" t="s">
        <v>180</v>
      </c>
      <c r="B922" s="1" t="s">
        <v>214</v>
      </c>
      <c r="C922" s="5">
        <v>45581.0</v>
      </c>
      <c r="D922" s="1" t="s">
        <v>161</v>
      </c>
      <c r="E922" s="1" t="s">
        <v>11</v>
      </c>
      <c r="F922" s="1" t="s">
        <v>166</v>
      </c>
      <c r="H922" s="1">
        <v>0.0</v>
      </c>
      <c r="I922" s="1">
        <v>0.0</v>
      </c>
      <c r="J922" s="1">
        <v>0.0</v>
      </c>
      <c r="K922" s="1">
        <v>0.0</v>
      </c>
      <c r="L922" s="1">
        <v>1.0</v>
      </c>
      <c r="M922" s="1">
        <v>0.0</v>
      </c>
      <c r="N922" s="1">
        <v>0.0</v>
      </c>
    </row>
    <row r="923" ht="15.75" customHeight="1">
      <c r="A923" s="1" t="s">
        <v>180</v>
      </c>
      <c r="B923" s="1" t="s">
        <v>226</v>
      </c>
      <c r="C923" s="5">
        <v>45581.0</v>
      </c>
      <c r="D923" s="1" t="s">
        <v>161</v>
      </c>
      <c r="E923" s="1" t="s">
        <v>11</v>
      </c>
      <c r="F923" s="1" t="s">
        <v>166</v>
      </c>
      <c r="H923" s="1">
        <v>0.0</v>
      </c>
      <c r="I923" s="1">
        <v>0.0</v>
      </c>
      <c r="J923" s="1">
        <v>0.0</v>
      </c>
      <c r="K923" s="1">
        <v>2.0</v>
      </c>
      <c r="L923" s="1">
        <v>4.0</v>
      </c>
      <c r="M923" s="1">
        <v>0.5</v>
      </c>
      <c r="N923" s="1">
        <v>11.11999989</v>
      </c>
    </row>
    <row r="924" ht="15.75" customHeight="1">
      <c r="A924" s="1" t="s">
        <v>160</v>
      </c>
      <c r="B924" s="1" t="s">
        <v>101</v>
      </c>
      <c r="C924" s="5">
        <v>45580.0</v>
      </c>
      <c r="D924" s="1" t="s">
        <v>161</v>
      </c>
      <c r="E924" s="1" t="s">
        <v>11</v>
      </c>
      <c r="F924" s="1" t="s">
        <v>162</v>
      </c>
      <c r="H924" s="1">
        <v>0.0</v>
      </c>
      <c r="I924" s="1">
        <v>0.0</v>
      </c>
      <c r="J924" s="1">
        <v>0.0</v>
      </c>
      <c r="K924" s="1">
        <v>0.0</v>
      </c>
      <c r="L924" s="1">
        <v>0.0</v>
      </c>
      <c r="N924" s="1">
        <v>0.400000006</v>
      </c>
    </row>
    <row r="925" ht="15.75" customHeight="1">
      <c r="A925" s="1" t="s">
        <v>164</v>
      </c>
      <c r="B925" s="1" t="s">
        <v>24</v>
      </c>
      <c r="C925" s="5">
        <v>45580.0</v>
      </c>
      <c r="D925" s="1" t="s">
        <v>161</v>
      </c>
      <c r="E925" s="1" t="s">
        <v>11</v>
      </c>
      <c r="F925" s="1" t="s">
        <v>166</v>
      </c>
      <c r="H925" s="1">
        <v>0.0</v>
      </c>
      <c r="I925" s="1">
        <v>0.0</v>
      </c>
      <c r="J925" s="1">
        <v>0.0</v>
      </c>
      <c r="K925" s="1">
        <v>0.0</v>
      </c>
      <c r="L925" s="1">
        <v>0.0</v>
      </c>
      <c r="N925" s="1">
        <v>2.869999886</v>
      </c>
    </row>
    <row r="926" ht="15.75" customHeight="1">
      <c r="A926" s="1" t="s">
        <v>164</v>
      </c>
      <c r="B926" s="1" t="s">
        <v>52</v>
      </c>
      <c r="C926" s="5">
        <v>45580.0</v>
      </c>
      <c r="D926" s="1" t="s">
        <v>161</v>
      </c>
      <c r="E926" s="1" t="s">
        <v>11</v>
      </c>
      <c r="F926" s="1" t="s">
        <v>165</v>
      </c>
      <c r="H926" s="1">
        <v>0.0</v>
      </c>
      <c r="I926" s="1">
        <v>0.0</v>
      </c>
      <c r="J926" s="1">
        <v>0.0</v>
      </c>
      <c r="K926" s="1">
        <v>1.0</v>
      </c>
      <c r="L926" s="1">
        <v>6.0</v>
      </c>
      <c r="M926" s="1">
        <v>0.166666667</v>
      </c>
      <c r="N926" s="1">
        <v>8.670000076</v>
      </c>
    </row>
    <row r="927" ht="15.75" customHeight="1">
      <c r="A927" s="1" t="s">
        <v>164</v>
      </c>
      <c r="B927" s="1" t="s">
        <v>63</v>
      </c>
      <c r="C927" s="5">
        <v>45580.0</v>
      </c>
      <c r="D927" s="1" t="s">
        <v>161</v>
      </c>
      <c r="E927" s="1" t="s">
        <v>11</v>
      </c>
      <c r="F927" s="1" t="s">
        <v>166</v>
      </c>
      <c r="H927" s="1">
        <v>0.0</v>
      </c>
      <c r="I927" s="1">
        <v>0.0</v>
      </c>
      <c r="J927" s="1">
        <v>0.0</v>
      </c>
      <c r="K927" s="1">
        <v>3.0</v>
      </c>
      <c r="L927" s="1">
        <v>4.0</v>
      </c>
      <c r="M927" s="1">
        <v>0.75</v>
      </c>
      <c r="N927" s="1">
        <v>2.470000029</v>
      </c>
    </row>
    <row r="928" ht="15.75" customHeight="1">
      <c r="A928" s="1" t="s">
        <v>164</v>
      </c>
      <c r="B928" s="1" t="s">
        <v>68</v>
      </c>
      <c r="C928" s="5">
        <v>45580.0</v>
      </c>
      <c r="D928" s="1" t="s">
        <v>161</v>
      </c>
      <c r="E928" s="1" t="s">
        <v>11</v>
      </c>
      <c r="F928" s="1" t="s">
        <v>165</v>
      </c>
      <c r="G928" s="1" t="s">
        <v>172</v>
      </c>
      <c r="H928" s="1">
        <v>1.0</v>
      </c>
      <c r="I928" s="1">
        <v>0.0</v>
      </c>
      <c r="J928" s="1">
        <v>0.0</v>
      </c>
      <c r="K928" s="1">
        <v>4.0</v>
      </c>
      <c r="L928" s="1">
        <v>8.0</v>
      </c>
      <c r="M928" s="1">
        <v>0.5</v>
      </c>
      <c r="N928" s="1">
        <v>11.02000046</v>
      </c>
    </row>
    <row r="929" ht="15.75" customHeight="1">
      <c r="A929" s="1" t="s">
        <v>164</v>
      </c>
      <c r="B929" s="1" t="s">
        <v>74</v>
      </c>
      <c r="C929" s="5">
        <v>45580.0</v>
      </c>
      <c r="D929" s="1" t="s">
        <v>161</v>
      </c>
      <c r="E929" s="1" t="s">
        <v>11</v>
      </c>
      <c r="F929" s="1" t="s">
        <v>166</v>
      </c>
      <c r="H929" s="1">
        <v>0.0</v>
      </c>
      <c r="I929" s="1">
        <v>0.0</v>
      </c>
      <c r="J929" s="1">
        <v>0.0</v>
      </c>
      <c r="K929" s="1">
        <v>1.0</v>
      </c>
      <c r="L929" s="1">
        <v>1.0</v>
      </c>
      <c r="M929" s="1">
        <v>1.0</v>
      </c>
      <c r="N929" s="1">
        <v>3.970000029</v>
      </c>
    </row>
    <row r="930" ht="15.75" customHeight="1">
      <c r="A930" s="1" t="s">
        <v>164</v>
      </c>
      <c r="B930" s="1" t="s">
        <v>205</v>
      </c>
      <c r="C930" s="5">
        <v>45580.0</v>
      </c>
      <c r="D930" s="1" t="s">
        <v>161</v>
      </c>
      <c r="E930" s="1" t="s">
        <v>11</v>
      </c>
      <c r="F930" s="1" t="s">
        <v>166</v>
      </c>
      <c r="H930" s="1">
        <v>0.0</v>
      </c>
      <c r="I930" s="1">
        <v>0.0</v>
      </c>
      <c r="J930" s="1">
        <v>0.0</v>
      </c>
      <c r="K930" s="1">
        <v>0.0</v>
      </c>
      <c r="L930" s="1">
        <v>2.0</v>
      </c>
      <c r="M930" s="1">
        <v>0.0</v>
      </c>
      <c r="N930" s="1">
        <v>4.059999943</v>
      </c>
    </row>
    <row r="931" ht="15.75" customHeight="1">
      <c r="A931" s="1" t="s">
        <v>164</v>
      </c>
      <c r="B931" s="1" t="s">
        <v>75</v>
      </c>
      <c r="C931" s="5">
        <v>45580.0</v>
      </c>
      <c r="D931" s="1" t="s">
        <v>161</v>
      </c>
      <c r="E931" s="1" t="s">
        <v>11</v>
      </c>
      <c r="F931" s="1" t="s">
        <v>165</v>
      </c>
      <c r="H931" s="1">
        <v>0.0</v>
      </c>
      <c r="I931" s="1">
        <v>0.0</v>
      </c>
      <c r="J931" s="1">
        <v>0.0</v>
      </c>
      <c r="K931" s="1">
        <v>0.0</v>
      </c>
      <c r="L931" s="1">
        <v>0.0</v>
      </c>
      <c r="N931" s="1">
        <v>2.069999933</v>
      </c>
    </row>
    <row r="932" ht="15.75" customHeight="1">
      <c r="A932" s="1" t="s">
        <v>180</v>
      </c>
      <c r="B932" s="1" t="s">
        <v>220</v>
      </c>
      <c r="C932" s="5">
        <v>45580.0</v>
      </c>
      <c r="D932" s="1" t="s">
        <v>161</v>
      </c>
      <c r="E932" s="1" t="s">
        <v>11</v>
      </c>
      <c r="F932" s="1" t="s">
        <v>162</v>
      </c>
      <c r="H932" s="1">
        <v>0.0</v>
      </c>
      <c r="I932" s="1">
        <v>1.0</v>
      </c>
      <c r="J932" s="1">
        <v>0.0</v>
      </c>
      <c r="K932" s="1">
        <v>1.0</v>
      </c>
      <c r="L932" s="1">
        <v>1.0</v>
      </c>
      <c r="M932" s="1">
        <v>1.0</v>
      </c>
      <c r="N932" s="1">
        <v>1.559999943</v>
      </c>
    </row>
    <row r="933" ht="15.75" customHeight="1">
      <c r="A933" s="1" t="s">
        <v>180</v>
      </c>
      <c r="B933" s="1" t="s">
        <v>220</v>
      </c>
      <c r="C933" s="5">
        <v>45580.0</v>
      </c>
      <c r="D933" s="1" t="s">
        <v>161</v>
      </c>
      <c r="E933" s="1" t="s">
        <v>11</v>
      </c>
      <c r="F933" s="1" t="s">
        <v>166</v>
      </c>
      <c r="H933" s="1">
        <v>0.0</v>
      </c>
      <c r="I933" s="1">
        <v>0.0</v>
      </c>
      <c r="J933" s="1">
        <v>0.0</v>
      </c>
      <c r="K933" s="1">
        <v>0.0</v>
      </c>
      <c r="L933" s="1">
        <v>0.0</v>
      </c>
      <c r="N933" s="1">
        <v>0.0</v>
      </c>
    </row>
    <row r="934" ht="15.75" customHeight="1">
      <c r="A934" s="1" t="s">
        <v>180</v>
      </c>
      <c r="B934" s="1" t="s">
        <v>214</v>
      </c>
      <c r="C934" s="5">
        <v>45580.0</v>
      </c>
      <c r="D934" s="1" t="s">
        <v>161</v>
      </c>
      <c r="E934" s="1" t="s">
        <v>11</v>
      </c>
      <c r="F934" s="1" t="s">
        <v>166</v>
      </c>
      <c r="H934" s="1">
        <v>0.0</v>
      </c>
      <c r="I934" s="1">
        <v>1.0</v>
      </c>
      <c r="J934" s="1">
        <v>0.0</v>
      </c>
      <c r="K934" s="1">
        <v>10.0</v>
      </c>
      <c r="L934" s="1">
        <v>10.0</v>
      </c>
      <c r="M934" s="1">
        <v>1.0</v>
      </c>
      <c r="N934" s="1">
        <v>4.789999962</v>
      </c>
    </row>
    <row r="935" ht="15.75" customHeight="1">
      <c r="A935" s="1" t="s">
        <v>180</v>
      </c>
      <c r="B935" s="1" t="s">
        <v>226</v>
      </c>
      <c r="C935" s="5">
        <v>45580.0</v>
      </c>
      <c r="D935" s="1" t="s">
        <v>161</v>
      </c>
      <c r="E935" s="1" t="s">
        <v>11</v>
      </c>
      <c r="F935" s="1" t="s">
        <v>166</v>
      </c>
      <c r="H935" s="1">
        <v>0.0</v>
      </c>
      <c r="I935" s="1">
        <v>0.0</v>
      </c>
      <c r="J935" s="1">
        <v>0.0</v>
      </c>
      <c r="K935" s="1">
        <v>2.0</v>
      </c>
      <c r="L935" s="1">
        <v>4.0</v>
      </c>
      <c r="M935" s="1">
        <v>0.5</v>
      </c>
      <c r="N935" s="1">
        <v>16.25</v>
      </c>
    </row>
    <row r="936" ht="15.75" customHeight="1">
      <c r="A936" s="1" t="s">
        <v>160</v>
      </c>
      <c r="B936" s="1" t="s">
        <v>212</v>
      </c>
      <c r="C936" s="5">
        <v>45579.0</v>
      </c>
      <c r="D936" s="1" t="s">
        <v>161</v>
      </c>
      <c r="E936" s="1" t="s">
        <v>11</v>
      </c>
      <c r="F936" s="1" t="s">
        <v>165</v>
      </c>
      <c r="H936" s="1">
        <v>0.0</v>
      </c>
      <c r="I936" s="1">
        <v>0.0</v>
      </c>
      <c r="J936" s="1">
        <v>0.0</v>
      </c>
      <c r="K936" s="1">
        <v>36.0</v>
      </c>
      <c r="L936" s="1">
        <v>62.0</v>
      </c>
      <c r="M936" s="1">
        <v>0.580645161</v>
      </c>
      <c r="N936" s="1">
        <v>32.95999908</v>
      </c>
    </row>
    <row r="937" ht="15.75" customHeight="1">
      <c r="A937" s="1" t="s">
        <v>160</v>
      </c>
      <c r="B937" s="1" t="s">
        <v>39</v>
      </c>
      <c r="C937" s="5">
        <v>45579.0</v>
      </c>
      <c r="D937" s="1" t="s">
        <v>161</v>
      </c>
      <c r="E937" s="1" t="s">
        <v>11</v>
      </c>
      <c r="F937" s="1" t="s">
        <v>162</v>
      </c>
      <c r="H937" s="1">
        <v>0.0</v>
      </c>
      <c r="I937" s="1">
        <v>1.0</v>
      </c>
      <c r="J937" s="1">
        <v>0.0</v>
      </c>
      <c r="K937" s="1">
        <v>7.0</v>
      </c>
      <c r="L937" s="1">
        <v>12.0</v>
      </c>
      <c r="M937" s="1">
        <v>0.583333333</v>
      </c>
      <c r="N937" s="1">
        <v>8.170000076</v>
      </c>
    </row>
    <row r="938" ht="15.75" customHeight="1">
      <c r="A938" s="1" t="s">
        <v>160</v>
      </c>
      <c r="B938" s="1" t="s">
        <v>39</v>
      </c>
      <c r="C938" s="5">
        <v>45579.0</v>
      </c>
      <c r="D938" s="1" t="s">
        <v>161</v>
      </c>
      <c r="E938" s="1" t="s">
        <v>11</v>
      </c>
      <c r="F938" s="1" t="s">
        <v>166</v>
      </c>
      <c r="H938" s="1">
        <v>0.0</v>
      </c>
      <c r="I938" s="1">
        <v>0.0</v>
      </c>
      <c r="J938" s="1">
        <v>0.0</v>
      </c>
      <c r="K938" s="1">
        <v>0.0</v>
      </c>
      <c r="L938" s="1">
        <v>0.0</v>
      </c>
      <c r="N938" s="1">
        <v>0.0</v>
      </c>
    </row>
    <row r="939" ht="15.75" customHeight="1">
      <c r="A939" s="1" t="s">
        <v>160</v>
      </c>
      <c r="B939" s="1" t="s">
        <v>65</v>
      </c>
      <c r="C939" s="5">
        <v>45579.0</v>
      </c>
      <c r="D939" s="1" t="s">
        <v>161</v>
      </c>
      <c r="E939" s="1" t="s">
        <v>11</v>
      </c>
      <c r="F939" s="1" t="s">
        <v>162</v>
      </c>
      <c r="H939" s="1">
        <v>0.0</v>
      </c>
      <c r="I939" s="1">
        <v>0.0</v>
      </c>
      <c r="J939" s="1">
        <v>0.0</v>
      </c>
      <c r="K939" s="1">
        <v>2.0</v>
      </c>
      <c r="L939" s="1">
        <v>7.0</v>
      </c>
      <c r="M939" s="1">
        <v>0.285714286</v>
      </c>
      <c r="N939" s="1">
        <v>6.760000229</v>
      </c>
    </row>
    <row r="940" ht="15.75" customHeight="1">
      <c r="A940" s="1" t="s">
        <v>160</v>
      </c>
      <c r="B940" s="1" t="s">
        <v>95</v>
      </c>
      <c r="C940" s="5">
        <v>45579.0</v>
      </c>
      <c r="D940" s="1" t="s">
        <v>161</v>
      </c>
      <c r="E940" s="1" t="s">
        <v>11</v>
      </c>
      <c r="F940" s="1" t="s">
        <v>165</v>
      </c>
      <c r="H940" s="1">
        <v>0.0</v>
      </c>
      <c r="I940" s="1">
        <v>0.0</v>
      </c>
      <c r="J940" s="1">
        <v>0.0</v>
      </c>
      <c r="K940" s="1">
        <v>0.0</v>
      </c>
      <c r="L940" s="1">
        <v>3.0</v>
      </c>
      <c r="M940" s="1">
        <v>0.0</v>
      </c>
      <c r="N940" s="1">
        <v>11.97999954</v>
      </c>
    </row>
    <row r="941" ht="15.75" customHeight="1">
      <c r="A941" s="1" t="s">
        <v>164</v>
      </c>
      <c r="B941" s="1" t="s">
        <v>22</v>
      </c>
      <c r="C941" s="5">
        <v>45579.0</v>
      </c>
      <c r="D941" s="1" t="s">
        <v>161</v>
      </c>
      <c r="E941" s="1" t="s">
        <v>11</v>
      </c>
      <c r="F941" s="1" t="s">
        <v>166</v>
      </c>
      <c r="H941" s="1">
        <v>0.0</v>
      </c>
      <c r="I941" s="1">
        <v>0.0</v>
      </c>
      <c r="J941" s="1">
        <v>0.0</v>
      </c>
      <c r="K941" s="1">
        <v>3.0</v>
      </c>
      <c r="L941" s="1">
        <v>7.0</v>
      </c>
      <c r="M941" s="1">
        <v>0.428571429</v>
      </c>
      <c r="N941" s="1">
        <v>20.87000084</v>
      </c>
    </row>
    <row r="942" ht="15.75" customHeight="1">
      <c r="A942" s="1" t="s">
        <v>164</v>
      </c>
      <c r="B942" s="1" t="s">
        <v>43</v>
      </c>
      <c r="C942" s="5">
        <v>45579.0</v>
      </c>
      <c r="D942" s="1" t="s">
        <v>161</v>
      </c>
      <c r="E942" s="1" t="s">
        <v>11</v>
      </c>
      <c r="F942" s="1" t="s">
        <v>166</v>
      </c>
      <c r="H942" s="1">
        <v>0.0</v>
      </c>
      <c r="I942" s="1">
        <v>0.0</v>
      </c>
      <c r="J942" s="1">
        <v>0.0</v>
      </c>
      <c r="K942" s="1">
        <v>5.0</v>
      </c>
      <c r="L942" s="1">
        <v>15.0</v>
      </c>
      <c r="M942" s="1">
        <v>0.333333333</v>
      </c>
      <c r="N942" s="1">
        <v>14.48999977</v>
      </c>
    </row>
    <row r="943" ht="15.75" customHeight="1">
      <c r="A943" s="1" t="s">
        <v>164</v>
      </c>
      <c r="B943" s="1" t="s">
        <v>24</v>
      </c>
      <c r="C943" s="5">
        <v>45579.0</v>
      </c>
      <c r="D943" s="1" t="s">
        <v>161</v>
      </c>
      <c r="E943" s="1" t="s">
        <v>11</v>
      </c>
      <c r="F943" s="1" t="s">
        <v>166</v>
      </c>
      <c r="H943" s="1">
        <v>0.0</v>
      </c>
      <c r="I943" s="1">
        <v>0.0</v>
      </c>
      <c r="J943" s="1">
        <v>0.0</v>
      </c>
      <c r="K943" s="1">
        <v>2.0</v>
      </c>
      <c r="L943" s="1">
        <v>3.0</v>
      </c>
      <c r="M943" s="1">
        <v>0.666666667</v>
      </c>
      <c r="N943" s="1">
        <v>9.18999958</v>
      </c>
    </row>
    <row r="944" ht="15.75" customHeight="1">
      <c r="A944" s="1" t="s">
        <v>164</v>
      </c>
      <c r="B944" s="1" t="s">
        <v>196</v>
      </c>
      <c r="C944" s="5">
        <v>45579.0</v>
      </c>
      <c r="D944" s="1" t="s">
        <v>161</v>
      </c>
      <c r="E944" s="1" t="s">
        <v>11</v>
      </c>
      <c r="H944" s="1">
        <v>0.0</v>
      </c>
      <c r="J944" s="1">
        <v>0.0</v>
      </c>
      <c r="N944" s="1">
        <v>0.079999998</v>
      </c>
    </row>
    <row r="945" ht="15.75" customHeight="1">
      <c r="A945" s="1" t="s">
        <v>164</v>
      </c>
      <c r="B945" s="1" t="s">
        <v>63</v>
      </c>
      <c r="C945" s="5">
        <v>45579.0</v>
      </c>
      <c r="D945" s="1" t="s">
        <v>161</v>
      </c>
      <c r="E945" s="1" t="s">
        <v>11</v>
      </c>
      <c r="F945" s="1" t="s">
        <v>166</v>
      </c>
      <c r="H945" s="1">
        <v>0.0</v>
      </c>
      <c r="I945" s="1">
        <v>0.0</v>
      </c>
      <c r="J945" s="1">
        <v>0.0</v>
      </c>
      <c r="K945" s="1">
        <v>8.0</v>
      </c>
      <c r="L945" s="1">
        <v>17.0</v>
      </c>
      <c r="M945" s="1">
        <v>0.470588235</v>
      </c>
      <c r="N945" s="1">
        <v>9.75</v>
      </c>
    </row>
    <row r="946" ht="15.75" customHeight="1">
      <c r="A946" s="1" t="s">
        <v>164</v>
      </c>
      <c r="B946" s="1" t="s">
        <v>68</v>
      </c>
      <c r="C946" s="5">
        <v>45579.0</v>
      </c>
      <c r="D946" s="1" t="s">
        <v>161</v>
      </c>
      <c r="E946" s="1" t="s">
        <v>11</v>
      </c>
      <c r="F946" s="1" t="s">
        <v>165</v>
      </c>
      <c r="G946" s="1" t="s">
        <v>172</v>
      </c>
      <c r="H946" s="1">
        <v>1.0</v>
      </c>
      <c r="I946" s="1">
        <v>0.0</v>
      </c>
      <c r="J946" s="1">
        <v>0.0</v>
      </c>
      <c r="K946" s="1">
        <v>12.0</v>
      </c>
      <c r="L946" s="1">
        <v>24.0</v>
      </c>
      <c r="M946" s="1">
        <v>0.5</v>
      </c>
      <c r="N946" s="1">
        <v>16.92000008</v>
      </c>
    </row>
    <row r="947" ht="15.75" customHeight="1">
      <c r="A947" s="1" t="s">
        <v>164</v>
      </c>
      <c r="B947" s="1" t="s">
        <v>74</v>
      </c>
      <c r="C947" s="5">
        <v>45579.0</v>
      </c>
      <c r="D947" s="1" t="s">
        <v>161</v>
      </c>
      <c r="E947" s="1" t="s">
        <v>11</v>
      </c>
      <c r="F947" s="1" t="s">
        <v>166</v>
      </c>
      <c r="H947" s="1">
        <v>0.0</v>
      </c>
      <c r="I947" s="1">
        <v>0.0</v>
      </c>
      <c r="J947" s="1">
        <v>0.0</v>
      </c>
      <c r="K947" s="1">
        <v>0.0</v>
      </c>
      <c r="L947" s="1">
        <v>3.0</v>
      </c>
      <c r="M947" s="1">
        <v>0.0</v>
      </c>
      <c r="N947" s="1">
        <v>12.28999996</v>
      </c>
    </row>
    <row r="948" ht="15.75" customHeight="1">
      <c r="A948" s="1" t="s">
        <v>164</v>
      </c>
      <c r="B948" s="1" t="s">
        <v>75</v>
      </c>
      <c r="C948" s="5">
        <v>45579.0</v>
      </c>
      <c r="D948" s="1" t="s">
        <v>161</v>
      </c>
      <c r="E948" s="1" t="s">
        <v>11</v>
      </c>
      <c r="F948" s="1" t="s">
        <v>165</v>
      </c>
      <c r="H948" s="1">
        <v>0.0</v>
      </c>
      <c r="I948" s="1">
        <v>0.0</v>
      </c>
      <c r="J948" s="1">
        <v>0.0</v>
      </c>
      <c r="K948" s="1">
        <v>3.0</v>
      </c>
      <c r="L948" s="1">
        <v>5.0</v>
      </c>
      <c r="M948" s="1">
        <v>0.6</v>
      </c>
      <c r="N948" s="1">
        <v>11.76000023</v>
      </c>
    </row>
    <row r="949" ht="15.75" customHeight="1">
      <c r="A949" s="1" t="s">
        <v>164</v>
      </c>
      <c r="B949" s="1" t="s">
        <v>82</v>
      </c>
      <c r="C949" s="5">
        <v>45579.0</v>
      </c>
      <c r="D949" s="1" t="s">
        <v>161</v>
      </c>
      <c r="E949" s="1" t="s">
        <v>11</v>
      </c>
      <c r="F949" s="1" t="s">
        <v>165</v>
      </c>
      <c r="H949" s="1">
        <v>0.0</v>
      </c>
      <c r="I949" s="1">
        <v>0.0</v>
      </c>
      <c r="J949" s="1">
        <v>0.0</v>
      </c>
      <c r="K949" s="1">
        <v>1.0</v>
      </c>
      <c r="L949" s="1">
        <v>1.0</v>
      </c>
      <c r="M949" s="1">
        <v>1.0</v>
      </c>
      <c r="N949" s="1">
        <v>8.170000076</v>
      </c>
    </row>
    <row r="950" ht="15.75" customHeight="1">
      <c r="A950" s="1" t="s">
        <v>180</v>
      </c>
      <c r="B950" s="1" t="s">
        <v>220</v>
      </c>
      <c r="C950" s="5">
        <v>45579.0</v>
      </c>
      <c r="D950" s="1" t="s">
        <v>161</v>
      </c>
      <c r="E950" s="1" t="s">
        <v>11</v>
      </c>
      <c r="F950" s="1" t="s">
        <v>221</v>
      </c>
      <c r="G950" s="1" t="s">
        <v>163</v>
      </c>
      <c r="H950" s="1">
        <v>1.0</v>
      </c>
      <c r="I950" s="1">
        <v>0.0</v>
      </c>
      <c r="J950" s="1">
        <v>0.0</v>
      </c>
      <c r="K950" s="1">
        <v>0.0</v>
      </c>
      <c r="L950" s="1">
        <v>1.0</v>
      </c>
      <c r="M950" s="1">
        <v>0.0</v>
      </c>
      <c r="N950" s="1">
        <v>0.0</v>
      </c>
    </row>
    <row r="951" ht="15.75" customHeight="1">
      <c r="A951" s="1" t="s">
        <v>180</v>
      </c>
      <c r="B951" s="1" t="s">
        <v>220</v>
      </c>
      <c r="C951" s="5">
        <v>45579.0</v>
      </c>
      <c r="D951" s="1" t="s">
        <v>161</v>
      </c>
      <c r="E951" s="1" t="s">
        <v>11</v>
      </c>
      <c r="F951" s="1" t="s">
        <v>162</v>
      </c>
      <c r="G951" s="1" t="s">
        <v>163</v>
      </c>
      <c r="H951" s="1">
        <v>1.0</v>
      </c>
      <c r="I951" s="1">
        <v>0.0</v>
      </c>
      <c r="J951" s="1">
        <v>0.0</v>
      </c>
      <c r="K951" s="1">
        <v>20.0</v>
      </c>
      <c r="L951" s="1">
        <v>27.0</v>
      </c>
      <c r="M951" s="1">
        <v>0.740740741</v>
      </c>
      <c r="N951" s="1">
        <v>28.01000023</v>
      </c>
    </row>
    <row r="952" ht="15.75" customHeight="1">
      <c r="A952" s="1" t="s">
        <v>180</v>
      </c>
      <c r="B952" s="1" t="s">
        <v>220</v>
      </c>
      <c r="C952" s="5">
        <v>45579.0</v>
      </c>
      <c r="D952" s="1" t="s">
        <v>161</v>
      </c>
      <c r="E952" s="1" t="s">
        <v>11</v>
      </c>
      <c r="F952" s="1" t="s">
        <v>177</v>
      </c>
      <c r="G952" s="1" t="s">
        <v>163</v>
      </c>
      <c r="H952" s="1">
        <v>1.0</v>
      </c>
      <c r="I952" s="1">
        <v>0.0</v>
      </c>
      <c r="J952" s="1">
        <v>0.0</v>
      </c>
      <c r="K952" s="1">
        <v>1.0</v>
      </c>
      <c r="L952" s="1">
        <v>2.0</v>
      </c>
      <c r="M952" s="1">
        <v>0.5</v>
      </c>
      <c r="N952" s="1">
        <v>0.0</v>
      </c>
    </row>
    <row r="953" ht="15.75" customHeight="1">
      <c r="A953" s="1" t="s">
        <v>180</v>
      </c>
      <c r="B953" s="1" t="s">
        <v>220</v>
      </c>
      <c r="C953" s="5">
        <v>45579.0</v>
      </c>
      <c r="D953" s="1" t="s">
        <v>161</v>
      </c>
      <c r="E953" s="1" t="s">
        <v>11</v>
      </c>
      <c r="F953" s="1" t="s">
        <v>168</v>
      </c>
      <c r="G953" s="1" t="s">
        <v>163</v>
      </c>
      <c r="H953" s="1">
        <v>1.0</v>
      </c>
      <c r="I953" s="1">
        <v>1.0</v>
      </c>
      <c r="J953" s="1">
        <v>0.0</v>
      </c>
      <c r="K953" s="1">
        <v>19.0</v>
      </c>
      <c r="L953" s="1">
        <v>22.0</v>
      </c>
      <c r="M953" s="1">
        <v>0.863636364</v>
      </c>
      <c r="N953" s="1">
        <v>0.0</v>
      </c>
    </row>
    <row r="954" ht="15.75" customHeight="1">
      <c r="A954" s="1" t="s">
        <v>180</v>
      </c>
      <c r="B954" s="1" t="s">
        <v>220</v>
      </c>
      <c r="C954" s="5">
        <v>45579.0</v>
      </c>
      <c r="D954" s="1" t="s">
        <v>161</v>
      </c>
      <c r="E954" s="1" t="s">
        <v>11</v>
      </c>
      <c r="F954" s="1" t="s">
        <v>166</v>
      </c>
      <c r="G954" s="1" t="s">
        <v>163</v>
      </c>
      <c r="H954" s="1">
        <v>1.0</v>
      </c>
      <c r="I954" s="1">
        <v>0.0</v>
      </c>
      <c r="J954" s="1">
        <v>0.0</v>
      </c>
      <c r="K954" s="1">
        <v>0.0</v>
      </c>
      <c r="L954" s="1">
        <v>0.0</v>
      </c>
      <c r="N954" s="1">
        <v>0.0</v>
      </c>
    </row>
    <row r="955" ht="15.75" customHeight="1">
      <c r="A955" s="1" t="s">
        <v>180</v>
      </c>
      <c r="B955" s="1" t="s">
        <v>185</v>
      </c>
      <c r="C955" s="5">
        <v>45579.0</v>
      </c>
      <c r="D955" s="1" t="s">
        <v>161</v>
      </c>
      <c r="E955" s="1" t="s">
        <v>11</v>
      </c>
      <c r="F955" s="1" t="s">
        <v>166</v>
      </c>
      <c r="H955" s="1">
        <v>0.0</v>
      </c>
      <c r="I955" s="1">
        <v>0.0</v>
      </c>
      <c r="J955" s="1">
        <v>0.0</v>
      </c>
      <c r="K955" s="1">
        <v>1.0</v>
      </c>
      <c r="L955" s="1">
        <v>4.0</v>
      </c>
      <c r="M955" s="1">
        <v>0.25</v>
      </c>
      <c r="N955" s="1">
        <v>3.5</v>
      </c>
    </row>
    <row r="956" ht="15.75" customHeight="1">
      <c r="A956" s="1" t="s">
        <v>180</v>
      </c>
      <c r="B956" s="1" t="s">
        <v>226</v>
      </c>
      <c r="C956" s="5">
        <v>45579.0</v>
      </c>
      <c r="D956" s="1" t="s">
        <v>161</v>
      </c>
      <c r="E956" s="1" t="s">
        <v>11</v>
      </c>
      <c r="F956" s="1" t="s">
        <v>166</v>
      </c>
      <c r="H956" s="1">
        <v>0.0</v>
      </c>
      <c r="I956" s="1">
        <v>0.0</v>
      </c>
      <c r="J956" s="1">
        <v>0.0</v>
      </c>
      <c r="K956" s="1">
        <v>3.0</v>
      </c>
      <c r="L956" s="1">
        <v>4.0</v>
      </c>
      <c r="M956" s="1">
        <v>0.75</v>
      </c>
      <c r="N956" s="1">
        <v>13.43999958</v>
      </c>
    </row>
    <row r="957" ht="15.75" customHeight="1">
      <c r="A957" s="1" t="s">
        <v>164</v>
      </c>
      <c r="B957" s="1" t="s">
        <v>35</v>
      </c>
      <c r="C957" s="5">
        <v>45575.0</v>
      </c>
      <c r="D957" s="1" t="s">
        <v>161</v>
      </c>
      <c r="E957" s="1" t="s">
        <v>11</v>
      </c>
      <c r="F957" s="1" t="s">
        <v>166</v>
      </c>
      <c r="H957" s="1">
        <v>0.0</v>
      </c>
      <c r="I957" s="1">
        <v>0.0</v>
      </c>
      <c r="J957" s="1">
        <v>0.0</v>
      </c>
      <c r="K957" s="1">
        <v>0.0</v>
      </c>
      <c r="L957" s="1">
        <v>0.0</v>
      </c>
      <c r="N957" s="1">
        <v>0.0</v>
      </c>
    </row>
    <row r="958" ht="15.75" customHeight="1">
      <c r="A958" s="1" t="s">
        <v>164</v>
      </c>
      <c r="B958" s="1" t="s">
        <v>24</v>
      </c>
      <c r="C958" s="5">
        <v>45575.0</v>
      </c>
      <c r="D958" s="1" t="s">
        <v>161</v>
      </c>
      <c r="E958" s="1" t="s">
        <v>11</v>
      </c>
      <c r="F958" s="1" t="s">
        <v>166</v>
      </c>
      <c r="H958" s="1">
        <v>0.0</v>
      </c>
      <c r="I958" s="1">
        <v>0.0</v>
      </c>
      <c r="J958" s="1">
        <v>0.0</v>
      </c>
      <c r="K958" s="1">
        <v>0.0</v>
      </c>
      <c r="L958" s="1">
        <v>0.0</v>
      </c>
      <c r="N958" s="1">
        <v>0.02</v>
      </c>
    </row>
    <row r="959" ht="15.75" customHeight="1">
      <c r="A959" s="1" t="s">
        <v>164</v>
      </c>
      <c r="B959" s="1" t="s">
        <v>197</v>
      </c>
      <c r="C959" s="5">
        <v>45575.0</v>
      </c>
      <c r="D959" s="1" t="s">
        <v>161</v>
      </c>
      <c r="E959" s="1" t="s">
        <v>11</v>
      </c>
      <c r="H959" s="1">
        <v>0.0</v>
      </c>
      <c r="J959" s="1">
        <v>0.0</v>
      </c>
      <c r="N959" s="1">
        <v>0.129999995</v>
      </c>
    </row>
    <row r="960" ht="15.75" customHeight="1">
      <c r="A960" s="1" t="s">
        <v>164</v>
      </c>
      <c r="B960" s="1" t="s">
        <v>205</v>
      </c>
      <c r="C960" s="5">
        <v>45575.0</v>
      </c>
      <c r="D960" s="1" t="s">
        <v>161</v>
      </c>
      <c r="E960" s="1" t="s">
        <v>11</v>
      </c>
      <c r="F960" s="1" t="s">
        <v>166</v>
      </c>
      <c r="H960" s="1">
        <v>0.0</v>
      </c>
      <c r="I960" s="1">
        <v>0.0</v>
      </c>
      <c r="J960" s="1">
        <v>0.0</v>
      </c>
      <c r="K960" s="1">
        <v>0.0</v>
      </c>
      <c r="L960" s="1">
        <v>0.0</v>
      </c>
      <c r="N960" s="1">
        <v>0.349999994</v>
      </c>
    </row>
    <row r="961" ht="15.75" customHeight="1">
      <c r="A961" s="1" t="s">
        <v>164</v>
      </c>
      <c r="B961" s="1" t="s">
        <v>225</v>
      </c>
      <c r="C961" s="5">
        <v>45575.0</v>
      </c>
      <c r="D961" s="1" t="s">
        <v>161</v>
      </c>
      <c r="E961" s="1" t="s">
        <v>11</v>
      </c>
      <c r="H961" s="1">
        <v>0.0</v>
      </c>
      <c r="J961" s="1">
        <v>0.0</v>
      </c>
      <c r="N961" s="1">
        <v>0.07</v>
      </c>
    </row>
    <row r="962" ht="15.75" customHeight="1">
      <c r="A962" s="1" t="s">
        <v>180</v>
      </c>
      <c r="B962" s="1" t="s">
        <v>45</v>
      </c>
      <c r="C962" s="5">
        <v>45575.0</v>
      </c>
      <c r="D962" s="1" t="s">
        <v>161</v>
      </c>
      <c r="E962" s="1" t="s">
        <v>11</v>
      </c>
      <c r="F962" s="1" t="s">
        <v>166</v>
      </c>
      <c r="H962" s="1">
        <v>0.0</v>
      </c>
      <c r="I962" s="1">
        <v>0.0</v>
      </c>
      <c r="J962" s="1">
        <v>0.0</v>
      </c>
      <c r="K962" s="1">
        <v>0.0</v>
      </c>
      <c r="L962" s="1">
        <v>0.0</v>
      </c>
      <c r="N962" s="1">
        <v>0.0</v>
      </c>
    </row>
    <row r="963" ht="15.75" customHeight="1">
      <c r="A963" s="1" t="s">
        <v>160</v>
      </c>
      <c r="B963" s="1" t="s">
        <v>204</v>
      </c>
      <c r="C963" s="5">
        <v>45574.0</v>
      </c>
      <c r="D963" s="1" t="s">
        <v>161</v>
      </c>
      <c r="E963" s="1" t="s">
        <v>11</v>
      </c>
      <c r="H963" s="1">
        <v>0.0</v>
      </c>
      <c r="J963" s="1">
        <v>0.0</v>
      </c>
      <c r="N963" s="1">
        <v>0.25</v>
      </c>
    </row>
    <row r="964" ht="15.75" customHeight="1">
      <c r="A964" s="1" t="s">
        <v>160</v>
      </c>
      <c r="B964" s="1" t="s">
        <v>198</v>
      </c>
      <c r="C964" s="5">
        <v>45574.0</v>
      </c>
      <c r="D964" s="1" t="s">
        <v>161</v>
      </c>
      <c r="E964" s="1" t="s">
        <v>11</v>
      </c>
      <c r="F964" s="1" t="s">
        <v>162</v>
      </c>
      <c r="H964" s="1">
        <v>0.0</v>
      </c>
      <c r="I964" s="1">
        <v>0.0</v>
      </c>
      <c r="J964" s="1">
        <v>0.0</v>
      </c>
      <c r="K964" s="1">
        <v>0.0</v>
      </c>
      <c r="L964" s="1">
        <v>0.0</v>
      </c>
      <c r="N964" s="1">
        <v>0.180000007</v>
      </c>
    </row>
    <row r="965" ht="15.75" customHeight="1">
      <c r="A965" s="1" t="s">
        <v>164</v>
      </c>
      <c r="B965" s="1" t="s">
        <v>22</v>
      </c>
      <c r="C965" s="5">
        <v>45574.0</v>
      </c>
      <c r="D965" s="1" t="s">
        <v>161</v>
      </c>
      <c r="E965" s="1" t="s">
        <v>11</v>
      </c>
      <c r="H965" s="1">
        <v>0.0</v>
      </c>
      <c r="J965" s="1">
        <v>0.0</v>
      </c>
      <c r="N965" s="1">
        <v>0.219999999</v>
      </c>
    </row>
    <row r="966" ht="15.75" customHeight="1">
      <c r="A966" s="1" t="s">
        <v>164</v>
      </c>
      <c r="B966" s="1" t="s">
        <v>35</v>
      </c>
      <c r="C966" s="5">
        <v>45574.0</v>
      </c>
      <c r="D966" s="1" t="s">
        <v>161</v>
      </c>
      <c r="E966" s="1" t="s">
        <v>11</v>
      </c>
      <c r="H966" s="1">
        <v>0.0</v>
      </c>
      <c r="J966" s="1">
        <v>0.0</v>
      </c>
      <c r="N966" s="1">
        <v>0.550000012</v>
      </c>
    </row>
    <row r="967" ht="15.75" customHeight="1">
      <c r="A967" s="1" t="s">
        <v>164</v>
      </c>
      <c r="B967" s="1" t="s">
        <v>24</v>
      </c>
      <c r="C967" s="5">
        <v>45574.0</v>
      </c>
      <c r="D967" s="1" t="s">
        <v>161</v>
      </c>
      <c r="E967" s="1" t="s">
        <v>11</v>
      </c>
      <c r="H967" s="1">
        <v>0.0</v>
      </c>
      <c r="J967" s="1">
        <v>0.0</v>
      </c>
      <c r="N967" s="1">
        <v>0.230000004</v>
      </c>
    </row>
    <row r="968" ht="15.75" customHeight="1">
      <c r="A968" s="1" t="s">
        <v>164</v>
      </c>
      <c r="B968" s="1" t="s">
        <v>207</v>
      </c>
      <c r="C968" s="5">
        <v>45574.0</v>
      </c>
      <c r="D968" s="1" t="s">
        <v>161</v>
      </c>
      <c r="E968" s="1" t="s">
        <v>11</v>
      </c>
      <c r="H968" s="1">
        <v>0.0</v>
      </c>
      <c r="J968" s="1">
        <v>0.0</v>
      </c>
      <c r="N968" s="1">
        <v>0.180000007</v>
      </c>
    </row>
    <row r="969" ht="15.75" customHeight="1">
      <c r="A969" s="1" t="s">
        <v>164</v>
      </c>
      <c r="B969" s="1" t="s">
        <v>52</v>
      </c>
      <c r="C969" s="5">
        <v>45574.0</v>
      </c>
      <c r="D969" s="1" t="s">
        <v>161</v>
      </c>
      <c r="E969" s="1" t="s">
        <v>11</v>
      </c>
      <c r="H969" s="1">
        <v>0.0</v>
      </c>
      <c r="J969" s="1">
        <v>0.0</v>
      </c>
      <c r="N969" s="1">
        <v>0.330000013</v>
      </c>
    </row>
    <row r="970" ht="15.75" customHeight="1">
      <c r="A970" s="1" t="s">
        <v>164</v>
      </c>
      <c r="B970" s="1" t="s">
        <v>55</v>
      </c>
      <c r="C970" s="5">
        <v>45574.0</v>
      </c>
      <c r="D970" s="1" t="s">
        <v>161</v>
      </c>
      <c r="E970" s="1" t="s">
        <v>11</v>
      </c>
      <c r="H970" s="1">
        <v>0.0</v>
      </c>
      <c r="J970" s="1">
        <v>0.0</v>
      </c>
      <c r="N970" s="1">
        <v>0.159999996</v>
      </c>
    </row>
    <row r="971" ht="15.75" customHeight="1">
      <c r="A971" s="1" t="s">
        <v>164</v>
      </c>
      <c r="B971" s="1" t="s">
        <v>70</v>
      </c>
      <c r="C971" s="5">
        <v>45574.0</v>
      </c>
      <c r="D971" s="1" t="s">
        <v>161</v>
      </c>
      <c r="E971" s="1" t="s">
        <v>11</v>
      </c>
      <c r="H971" s="1">
        <v>0.0</v>
      </c>
      <c r="J971" s="1">
        <v>0.0</v>
      </c>
      <c r="N971" s="1">
        <v>0.25</v>
      </c>
    </row>
    <row r="972" ht="15.75" customHeight="1">
      <c r="A972" s="1" t="s">
        <v>164</v>
      </c>
      <c r="B972" s="1" t="s">
        <v>196</v>
      </c>
      <c r="C972" s="5">
        <v>45574.0</v>
      </c>
      <c r="D972" s="1" t="s">
        <v>161</v>
      </c>
      <c r="E972" s="1" t="s">
        <v>11</v>
      </c>
      <c r="H972" s="1">
        <v>0.0</v>
      </c>
      <c r="J972" s="1">
        <v>0.0</v>
      </c>
      <c r="N972" s="1">
        <v>0.219999999</v>
      </c>
    </row>
    <row r="973" ht="15.75" customHeight="1">
      <c r="A973" s="1" t="s">
        <v>164</v>
      </c>
      <c r="B973" s="1" t="s">
        <v>179</v>
      </c>
      <c r="C973" s="5">
        <v>45574.0</v>
      </c>
      <c r="D973" s="1" t="s">
        <v>161</v>
      </c>
      <c r="E973" s="1" t="s">
        <v>11</v>
      </c>
      <c r="H973" s="1">
        <v>0.0</v>
      </c>
      <c r="J973" s="1">
        <v>0.0</v>
      </c>
      <c r="N973" s="1">
        <v>0.469999999</v>
      </c>
    </row>
    <row r="974" ht="15.75" customHeight="1">
      <c r="A974" s="1" t="s">
        <v>164</v>
      </c>
      <c r="B974" s="1" t="s">
        <v>219</v>
      </c>
      <c r="C974" s="5">
        <v>45574.0</v>
      </c>
      <c r="D974" s="1" t="s">
        <v>161</v>
      </c>
      <c r="E974" s="1" t="s">
        <v>11</v>
      </c>
      <c r="H974" s="1">
        <v>0.0</v>
      </c>
      <c r="J974" s="1">
        <v>0.0</v>
      </c>
      <c r="N974" s="1">
        <v>0.300000012</v>
      </c>
    </row>
    <row r="975" ht="15.75" customHeight="1">
      <c r="A975" s="1" t="s">
        <v>164</v>
      </c>
      <c r="B975" s="1" t="s">
        <v>225</v>
      </c>
      <c r="C975" s="5">
        <v>45574.0</v>
      </c>
      <c r="D975" s="1" t="s">
        <v>161</v>
      </c>
      <c r="E975" s="1" t="s">
        <v>11</v>
      </c>
      <c r="H975" s="1">
        <v>0.0</v>
      </c>
      <c r="J975" s="1">
        <v>0.0</v>
      </c>
      <c r="N975" s="1">
        <v>0.270000011</v>
      </c>
    </row>
    <row r="976" ht="15.75" customHeight="1">
      <c r="A976" s="1" t="s">
        <v>180</v>
      </c>
      <c r="B976" s="1" t="s">
        <v>45</v>
      </c>
      <c r="C976" s="5">
        <v>45574.0</v>
      </c>
      <c r="D976" s="1" t="s">
        <v>161</v>
      </c>
      <c r="E976" s="1" t="s">
        <v>11</v>
      </c>
      <c r="H976" s="1">
        <v>0.0</v>
      </c>
      <c r="J976" s="1">
        <v>0.0</v>
      </c>
      <c r="N976" s="1">
        <v>0.330000013</v>
      </c>
    </row>
    <row r="977" ht="15.75" customHeight="1">
      <c r="A977" s="1" t="s">
        <v>180</v>
      </c>
      <c r="B977" s="1" t="s">
        <v>185</v>
      </c>
      <c r="C977" s="5">
        <v>45574.0</v>
      </c>
      <c r="D977" s="1" t="s">
        <v>161</v>
      </c>
      <c r="E977" s="1" t="s">
        <v>11</v>
      </c>
      <c r="H977" s="1">
        <v>0.0</v>
      </c>
      <c r="J977" s="1">
        <v>0.0</v>
      </c>
      <c r="N977" s="1">
        <v>0.270000011</v>
      </c>
    </row>
    <row r="978" ht="15.75" customHeight="1">
      <c r="A978" s="1" t="s">
        <v>160</v>
      </c>
      <c r="B978" s="1" t="s">
        <v>212</v>
      </c>
      <c r="C978" s="5">
        <v>45573.0</v>
      </c>
      <c r="D978" s="1" t="s">
        <v>161</v>
      </c>
      <c r="E978" s="1" t="s">
        <v>11</v>
      </c>
      <c r="H978" s="1">
        <v>0.0</v>
      </c>
      <c r="J978" s="1">
        <v>0.0</v>
      </c>
      <c r="N978" s="1">
        <v>0.170000002</v>
      </c>
    </row>
    <row r="979" ht="15.75" customHeight="1">
      <c r="A979" s="1" t="s">
        <v>160</v>
      </c>
      <c r="B979" s="1" t="s">
        <v>31</v>
      </c>
      <c r="C979" s="5">
        <v>45573.0</v>
      </c>
      <c r="D979" s="1" t="s">
        <v>161</v>
      </c>
      <c r="E979" s="1" t="s">
        <v>11</v>
      </c>
      <c r="H979" s="1">
        <v>0.0</v>
      </c>
      <c r="J979" s="1">
        <v>0.0</v>
      </c>
      <c r="N979" s="1">
        <v>0.439999998</v>
      </c>
    </row>
    <row r="980" ht="15.75" customHeight="1">
      <c r="A980" s="1" t="s">
        <v>160</v>
      </c>
      <c r="B980" s="1" t="s">
        <v>18</v>
      </c>
      <c r="C980" s="5">
        <v>45573.0</v>
      </c>
      <c r="D980" s="1" t="s">
        <v>161</v>
      </c>
      <c r="E980" s="1" t="s">
        <v>11</v>
      </c>
      <c r="H980" s="1">
        <v>0.0</v>
      </c>
      <c r="J980" s="1">
        <v>0.0</v>
      </c>
      <c r="N980" s="1">
        <v>0.289999992</v>
      </c>
    </row>
    <row r="981" ht="15.75" customHeight="1">
      <c r="A981" s="1" t="s">
        <v>160</v>
      </c>
      <c r="B981" s="1" t="s">
        <v>20</v>
      </c>
      <c r="C981" s="5">
        <v>45573.0</v>
      </c>
      <c r="D981" s="1" t="s">
        <v>161</v>
      </c>
      <c r="E981" s="1" t="s">
        <v>11</v>
      </c>
      <c r="H981" s="1">
        <v>0.0</v>
      </c>
      <c r="J981" s="1">
        <v>0.0</v>
      </c>
      <c r="N981" s="1">
        <v>0.129999995</v>
      </c>
    </row>
    <row r="982" ht="15.75" customHeight="1">
      <c r="A982" s="1" t="s">
        <v>160</v>
      </c>
      <c r="B982" s="1" t="s">
        <v>41</v>
      </c>
      <c r="C982" s="5">
        <v>45573.0</v>
      </c>
      <c r="D982" s="1" t="s">
        <v>161</v>
      </c>
      <c r="E982" s="1" t="s">
        <v>11</v>
      </c>
      <c r="H982" s="1">
        <v>0.0</v>
      </c>
      <c r="J982" s="1">
        <v>0.0</v>
      </c>
      <c r="N982" s="1">
        <v>0.100000001</v>
      </c>
    </row>
    <row r="983" ht="15.75" customHeight="1">
      <c r="A983" s="1" t="s">
        <v>160</v>
      </c>
      <c r="B983" s="1" t="s">
        <v>50</v>
      </c>
      <c r="C983" s="5">
        <v>45573.0</v>
      </c>
      <c r="D983" s="1" t="s">
        <v>161</v>
      </c>
      <c r="E983" s="1" t="s">
        <v>11</v>
      </c>
      <c r="H983" s="1">
        <v>0.0</v>
      </c>
      <c r="J983" s="1">
        <v>0.0</v>
      </c>
      <c r="N983" s="1">
        <v>0.119999997</v>
      </c>
    </row>
    <row r="984" ht="15.75" customHeight="1">
      <c r="A984" s="1" t="s">
        <v>160</v>
      </c>
      <c r="B984" s="1" t="s">
        <v>54</v>
      </c>
      <c r="C984" s="5">
        <v>45573.0</v>
      </c>
      <c r="D984" s="1" t="s">
        <v>161</v>
      </c>
      <c r="E984" s="1" t="s">
        <v>11</v>
      </c>
      <c r="H984" s="1">
        <v>0.0</v>
      </c>
      <c r="J984" s="1">
        <v>0.0</v>
      </c>
      <c r="N984" s="1">
        <v>0.239999995</v>
      </c>
    </row>
    <row r="985" ht="15.75" customHeight="1">
      <c r="A985" s="1" t="s">
        <v>160</v>
      </c>
      <c r="B985" s="1" t="s">
        <v>32</v>
      </c>
      <c r="C985" s="5">
        <v>45573.0</v>
      </c>
      <c r="D985" s="1" t="s">
        <v>161</v>
      </c>
      <c r="E985" s="1" t="s">
        <v>11</v>
      </c>
      <c r="H985" s="1">
        <v>0.0</v>
      </c>
      <c r="J985" s="1">
        <v>0.0</v>
      </c>
      <c r="N985" s="1">
        <v>0.439999998</v>
      </c>
    </row>
    <row r="986" ht="15.75" customHeight="1">
      <c r="A986" s="1" t="s">
        <v>160</v>
      </c>
      <c r="B986" s="1" t="s">
        <v>59</v>
      </c>
      <c r="C986" s="5">
        <v>45573.0</v>
      </c>
      <c r="D986" s="1" t="s">
        <v>161</v>
      </c>
      <c r="E986" s="1" t="s">
        <v>11</v>
      </c>
      <c r="H986" s="1">
        <v>0.0</v>
      </c>
      <c r="J986" s="1">
        <v>0.0</v>
      </c>
      <c r="N986" s="1">
        <v>1.00999999</v>
      </c>
    </row>
    <row r="987" ht="15.75" customHeight="1">
      <c r="A987" s="1" t="s">
        <v>160</v>
      </c>
      <c r="B987" s="1" t="s">
        <v>36</v>
      </c>
      <c r="C987" s="5">
        <v>45573.0</v>
      </c>
      <c r="D987" s="1" t="s">
        <v>161</v>
      </c>
      <c r="E987" s="1" t="s">
        <v>11</v>
      </c>
      <c r="H987" s="1">
        <v>0.0</v>
      </c>
      <c r="J987" s="1">
        <v>0.0</v>
      </c>
      <c r="N987" s="1">
        <v>0.75</v>
      </c>
    </row>
    <row r="988" ht="15.75" customHeight="1">
      <c r="A988" s="1" t="s">
        <v>160</v>
      </c>
      <c r="B988" s="1" t="s">
        <v>46</v>
      </c>
      <c r="C988" s="5">
        <v>45573.0</v>
      </c>
      <c r="D988" s="1" t="s">
        <v>161</v>
      </c>
      <c r="E988" s="1" t="s">
        <v>11</v>
      </c>
      <c r="F988" s="1" t="s">
        <v>162</v>
      </c>
      <c r="H988" s="1">
        <v>0.0</v>
      </c>
      <c r="I988" s="1">
        <v>0.0</v>
      </c>
      <c r="J988" s="1">
        <v>0.0</v>
      </c>
      <c r="K988" s="1">
        <v>0.0</v>
      </c>
      <c r="L988" s="1">
        <v>3.0</v>
      </c>
      <c r="M988" s="1">
        <v>0.0</v>
      </c>
      <c r="N988" s="1">
        <v>4.579999924</v>
      </c>
    </row>
    <row r="989" ht="15.75" customHeight="1">
      <c r="A989" s="1" t="s">
        <v>160</v>
      </c>
      <c r="B989" s="1" t="s">
        <v>210</v>
      </c>
      <c r="C989" s="5">
        <v>45573.0</v>
      </c>
      <c r="D989" s="1" t="s">
        <v>161</v>
      </c>
      <c r="E989" s="1" t="s">
        <v>11</v>
      </c>
      <c r="H989" s="1">
        <v>0.0</v>
      </c>
      <c r="J989" s="1">
        <v>0.0</v>
      </c>
      <c r="N989" s="1">
        <v>0.07</v>
      </c>
    </row>
    <row r="990" ht="15.75" customHeight="1">
      <c r="A990" s="1" t="s">
        <v>160</v>
      </c>
      <c r="B990" s="1" t="s">
        <v>56</v>
      </c>
      <c r="C990" s="5">
        <v>45573.0</v>
      </c>
      <c r="D990" s="1" t="s">
        <v>161</v>
      </c>
      <c r="E990" s="1" t="s">
        <v>11</v>
      </c>
      <c r="H990" s="1">
        <v>0.0</v>
      </c>
      <c r="J990" s="1">
        <v>0.0</v>
      </c>
      <c r="N990" s="1">
        <v>0.230000004</v>
      </c>
    </row>
    <row r="991" ht="15.75" customHeight="1">
      <c r="A991" s="1" t="s">
        <v>160</v>
      </c>
      <c r="B991" s="1" t="s">
        <v>89</v>
      </c>
      <c r="C991" s="5">
        <v>45573.0</v>
      </c>
      <c r="D991" s="1" t="s">
        <v>161</v>
      </c>
      <c r="E991" s="1" t="s">
        <v>11</v>
      </c>
      <c r="H991" s="1">
        <v>0.0</v>
      </c>
      <c r="J991" s="1">
        <v>0.0</v>
      </c>
      <c r="N991" s="1">
        <v>0.310000002</v>
      </c>
    </row>
    <row r="992" ht="15.75" customHeight="1">
      <c r="A992" s="1" t="s">
        <v>160</v>
      </c>
      <c r="B992" s="1" t="s">
        <v>93</v>
      </c>
      <c r="C992" s="5">
        <v>45573.0</v>
      </c>
      <c r="D992" s="1" t="s">
        <v>161</v>
      </c>
      <c r="E992" s="1" t="s">
        <v>11</v>
      </c>
      <c r="H992" s="1">
        <v>0.0</v>
      </c>
      <c r="J992" s="1">
        <v>0.0</v>
      </c>
      <c r="N992" s="1">
        <v>0.319999993</v>
      </c>
    </row>
    <row r="993" ht="15.75" customHeight="1">
      <c r="A993" s="1" t="s">
        <v>160</v>
      </c>
      <c r="B993" s="1" t="s">
        <v>94</v>
      </c>
      <c r="C993" s="5">
        <v>45573.0</v>
      </c>
      <c r="D993" s="1" t="s">
        <v>161</v>
      </c>
      <c r="E993" s="1" t="s">
        <v>11</v>
      </c>
      <c r="H993" s="1">
        <v>0.0</v>
      </c>
      <c r="J993" s="1">
        <v>0.0</v>
      </c>
      <c r="N993" s="1">
        <v>0.469999999</v>
      </c>
    </row>
    <row r="994" ht="15.75" customHeight="1">
      <c r="A994" s="1" t="s">
        <v>164</v>
      </c>
      <c r="B994" s="1" t="s">
        <v>216</v>
      </c>
      <c r="C994" s="5">
        <v>45573.0</v>
      </c>
      <c r="D994" s="1" t="s">
        <v>161</v>
      </c>
      <c r="E994" s="1" t="s">
        <v>11</v>
      </c>
      <c r="F994" s="1" t="s">
        <v>166</v>
      </c>
      <c r="H994" s="1">
        <v>0.0</v>
      </c>
      <c r="I994" s="1">
        <v>0.0</v>
      </c>
      <c r="J994" s="1">
        <v>0.0</v>
      </c>
      <c r="K994" s="1">
        <v>0.0</v>
      </c>
      <c r="L994" s="1">
        <v>0.0</v>
      </c>
      <c r="N994" s="1">
        <v>0.340000004</v>
      </c>
    </row>
    <row r="995" ht="15.75" customHeight="1">
      <c r="A995" s="1" t="s">
        <v>164</v>
      </c>
      <c r="B995" s="1" t="s">
        <v>52</v>
      </c>
      <c r="C995" s="5">
        <v>45573.0</v>
      </c>
      <c r="D995" s="1" t="s">
        <v>161</v>
      </c>
      <c r="E995" s="1" t="s">
        <v>11</v>
      </c>
      <c r="H995" s="1">
        <v>0.0</v>
      </c>
      <c r="J995" s="1">
        <v>0.0</v>
      </c>
      <c r="N995" s="1">
        <v>0.119999997</v>
      </c>
    </row>
    <row r="996" ht="15.75" customHeight="1">
      <c r="A996" s="1" t="s">
        <v>164</v>
      </c>
      <c r="B996" s="1" t="s">
        <v>213</v>
      </c>
      <c r="C996" s="5">
        <v>45573.0</v>
      </c>
      <c r="D996" s="1" t="s">
        <v>161</v>
      </c>
      <c r="E996" s="1" t="s">
        <v>11</v>
      </c>
      <c r="H996" s="1">
        <v>0.0</v>
      </c>
      <c r="J996" s="1">
        <v>0.0</v>
      </c>
      <c r="N996" s="1">
        <v>0.25</v>
      </c>
    </row>
    <row r="997" ht="15.75" customHeight="1">
      <c r="A997" s="1" t="s">
        <v>164</v>
      </c>
      <c r="B997" s="1" t="s">
        <v>183</v>
      </c>
      <c r="C997" s="5">
        <v>45573.0</v>
      </c>
      <c r="D997" s="1" t="s">
        <v>161</v>
      </c>
      <c r="E997" s="1" t="s">
        <v>11</v>
      </c>
      <c r="H997" s="1">
        <v>0.0</v>
      </c>
      <c r="J997" s="1">
        <v>0.0</v>
      </c>
      <c r="N997" s="1">
        <v>0.25999999</v>
      </c>
    </row>
    <row r="998" ht="15.75" customHeight="1">
      <c r="A998" s="1" t="s">
        <v>164</v>
      </c>
      <c r="B998" s="1" t="s">
        <v>197</v>
      </c>
      <c r="C998" s="5">
        <v>45573.0</v>
      </c>
      <c r="D998" s="1" t="s">
        <v>161</v>
      </c>
      <c r="E998" s="1" t="s">
        <v>11</v>
      </c>
      <c r="H998" s="1">
        <v>0.0</v>
      </c>
      <c r="J998" s="1">
        <v>0.0</v>
      </c>
      <c r="N998" s="1">
        <v>0.479999989</v>
      </c>
    </row>
    <row r="999" ht="15.75" customHeight="1">
      <c r="A999" s="1" t="s">
        <v>164</v>
      </c>
      <c r="B999" s="1" t="s">
        <v>205</v>
      </c>
      <c r="C999" s="5">
        <v>45573.0</v>
      </c>
      <c r="D999" s="1" t="s">
        <v>161</v>
      </c>
      <c r="E999" s="1" t="s">
        <v>11</v>
      </c>
      <c r="H999" s="1">
        <v>0.0</v>
      </c>
      <c r="J999" s="1">
        <v>0.0</v>
      </c>
      <c r="N999" s="1">
        <v>0.379999995</v>
      </c>
    </row>
    <row r="1000" ht="15.75" customHeight="1">
      <c r="A1000" s="1" t="s">
        <v>164</v>
      </c>
      <c r="B1000" s="1" t="s">
        <v>100</v>
      </c>
      <c r="C1000" s="5">
        <v>45573.0</v>
      </c>
      <c r="D1000" s="1" t="s">
        <v>161</v>
      </c>
      <c r="E1000" s="1" t="s">
        <v>11</v>
      </c>
      <c r="H1000" s="1">
        <v>0.0</v>
      </c>
      <c r="J1000" s="1">
        <v>0.0</v>
      </c>
      <c r="N1000" s="1">
        <v>0.109999999</v>
      </c>
    </row>
    <row r="1001" ht="15.75" customHeight="1">
      <c r="A1001" s="1" t="s">
        <v>164</v>
      </c>
      <c r="B1001" s="1" t="s">
        <v>82</v>
      </c>
      <c r="C1001" s="5">
        <v>45573.0</v>
      </c>
      <c r="D1001" s="1" t="s">
        <v>161</v>
      </c>
      <c r="E1001" s="1" t="s">
        <v>11</v>
      </c>
      <c r="H1001" s="1">
        <v>0.0</v>
      </c>
      <c r="J1001" s="1">
        <v>0.0</v>
      </c>
      <c r="N1001" s="1">
        <v>0.219999999</v>
      </c>
    </row>
    <row r="1002" ht="15.75" customHeight="1">
      <c r="A1002" s="1" t="s">
        <v>164</v>
      </c>
      <c r="B1002" s="1" t="s">
        <v>82</v>
      </c>
      <c r="C1002" s="5">
        <v>45572.0</v>
      </c>
      <c r="D1002" s="1" t="s">
        <v>161</v>
      </c>
      <c r="E1002" s="1" t="s">
        <v>11</v>
      </c>
      <c r="F1002" s="1" t="s">
        <v>165</v>
      </c>
      <c r="H1002" s="1">
        <v>0.0</v>
      </c>
      <c r="I1002" s="1">
        <v>0.0</v>
      </c>
      <c r="J1002" s="1">
        <v>0.0</v>
      </c>
      <c r="K1002" s="1">
        <v>0.0</v>
      </c>
      <c r="L1002" s="1">
        <v>0.0</v>
      </c>
      <c r="N1002" s="1">
        <v>0.0</v>
      </c>
    </row>
    <row r="1003" ht="15.75" customHeight="1">
      <c r="A1003" s="1" t="s">
        <v>164</v>
      </c>
      <c r="B1003" s="1" t="s">
        <v>82</v>
      </c>
      <c r="C1003" s="5">
        <v>45572.0</v>
      </c>
      <c r="D1003" s="1" t="s">
        <v>161</v>
      </c>
      <c r="E1003" s="1" t="s">
        <v>11</v>
      </c>
      <c r="F1003" s="1" t="s">
        <v>169</v>
      </c>
      <c r="H1003" s="1">
        <v>0.0</v>
      </c>
      <c r="I1003" s="1">
        <v>0.0</v>
      </c>
      <c r="J1003" s="1">
        <v>0.0</v>
      </c>
      <c r="K1003" s="1">
        <v>13.0</v>
      </c>
      <c r="L1003" s="1">
        <v>21.0</v>
      </c>
      <c r="M1003" s="1">
        <v>0.619047619</v>
      </c>
      <c r="N1003" s="1">
        <v>24.93000031</v>
      </c>
    </row>
    <row r="1004" ht="15.75" customHeight="1">
      <c r="A1004" s="1" t="s">
        <v>164</v>
      </c>
      <c r="B1004" s="1" t="s">
        <v>22</v>
      </c>
      <c r="C1004" s="5">
        <v>45569.0</v>
      </c>
      <c r="D1004" s="1" t="s">
        <v>161</v>
      </c>
      <c r="E1004" s="1" t="s">
        <v>11</v>
      </c>
      <c r="F1004" s="1" t="s">
        <v>166</v>
      </c>
      <c r="H1004" s="1">
        <v>0.0</v>
      </c>
      <c r="I1004" s="1">
        <v>0.0</v>
      </c>
      <c r="J1004" s="1">
        <v>0.0</v>
      </c>
      <c r="K1004" s="1">
        <v>0.0</v>
      </c>
      <c r="L1004" s="1">
        <v>0.0</v>
      </c>
      <c r="N1004" s="1">
        <v>1.690000057</v>
      </c>
    </row>
    <row r="1005" ht="15.75" customHeight="1">
      <c r="A1005" s="1" t="s">
        <v>164</v>
      </c>
      <c r="B1005" s="1" t="s">
        <v>52</v>
      </c>
      <c r="C1005" s="5">
        <v>45569.0</v>
      </c>
      <c r="D1005" s="1" t="s">
        <v>161</v>
      </c>
      <c r="E1005" s="1" t="s">
        <v>11</v>
      </c>
      <c r="F1005" s="1" t="s">
        <v>165</v>
      </c>
      <c r="G1005" s="1" t="s">
        <v>201</v>
      </c>
      <c r="H1005" s="1">
        <v>1.0</v>
      </c>
      <c r="I1005" s="1">
        <v>0.0</v>
      </c>
      <c r="J1005" s="1">
        <v>0.0</v>
      </c>
      <c r="K1005" s="1">
        <v>7.0</v>
      </c>
      <c r="L1005" s="1">
        <v>10.0</v>
      </c>
      <c r="M1005" s="1">
        <v>0.7</v>
      </c>
      <c r="N1005" s="1">
        <v>12.38000011</v>
      </c>
    </row>
    <row r="1006" ht="15.75" customHeight="1">
      <c r="A1006" s="1" t="s">
        <v>164</v>
      </c>
      <c r="B1006" s="1" t="s">
        <v>197</v>
      </c>
      <c r="C1006" s="5">
        <v>45569.0</v>
      </c>
      <c r="D1006" s="1" t="s">
        <v>161</v>
      </c>
      <c r="E1006" s="1" t="s">
        <v>11</v>
      </c>
      <c r="F1006" s="1" t="s">
        <v>168</v>
      </c>
      <c r="H1006" s="1">
        <v>0.0</v>
      </c>
      <c r="I1006" s="1">
        <v>0.0</v>
      </c>
      <c r="J1006" s="1">
        <v>0.0</v>
      </c>
      <c r="K1006" s="1">
        <v>0.0</v>
      </c>
      <c r="L1006" s="1">
        <v>2.0</v>
      </c>
      <c r="M1006" s="1">
        <v>0.0</v>
      </c>
      <c r="N1006" s="1">
        <v>3.25</v>
      </c>
    </row>
    <row r="1007" ht="15.75" customHeight="1">
      <c r="A1007" s="1" t="s">
        <v>164</v>
      </c>
      <c r="B1007" s="1" t="s">
        <v>24</v>
      </c>
      <c r="C1007" s="5">
        <v>45568.0</v>
      </c>
      <c r="D1007" s="1" t="s">
        <v>161</v>
      </c>
      <c r="E1007" s="1" t="s">
        <v>11</v>
      </c>
      <c r="F1007" s="1" t="s">
        <v>166</v>
      </c>
      <c r="H1007" s="1">
        <v>0.0</v>
      </c>
      <c r="I1007" s="1">
        <v>0.0</v>
      </c>
      <c r="J1007" s="1">
        <v>0.0</v>
      </c>
      <c r="K1007" s="1">
        <v>0.0</v>
      </c>
      <c r="L1007" s="1">
        <v>0.0</v>
      </c>
      <c r="N1007" s="1">
        <v>2.579999924</v>
      </c>
    </row>
    <row r="1008" ht="15.75" customHeight="1">
      <c r="A1008" s="1" t="s">
        <v>164</v>
      </c>
      <c r="B1008" s="1" t="s">
        <v>52</v>
      </c>
      <c r="C1008" s="5">
        <v>45568.0</v>
      </c>
      <c r="D1008" s="1" t="s">
        <v>161</v>
      </c>
      <c r="E1008" s="1" t="s">
        <v>11</v>
      </c>
      <c r="F1008" s="1" t="s">
        <v>165</v>
      </c>
      <c r="H1008" s="1">
        <v>0.0</v>
      </c>
      <c r="I1008" s="1">
        <v>0.0</v>
      </c>
      <c r="J1008" s="1">
        <v>0.0</v>
      </c>
      <c r="K1008" s="1">
        <v>2.0</v>
      </c>
      <c r="L1008" s="1">
        <v>5.0</v>
      </c>
      <c r="M1008" s="1">
        <v>0.4</v>
      </c>
      <c r="N1008" s="1">
        <v>5.75</v>
      </c>
    </row>
    <row r="1009" ht="15.75" customHeight="1">
      <c r="A1009" s="1" t="s">
        <v>164</v>
      </c>
      <c r="B1009" s="1" t="s">
        <v>63</v>
      </c>
      <c r="C1009" s="5">
        <v>45568.0</v>
      </c>
      <c r="D1009" s="1" t="s">
        <v>161</v>
      </c>
      <c r="E1009" s="1" t="s">
        <v>11</v>
      </c>
      <c r="F1009" s="1" t="s">
        <v>166</v>
      </c>
      <c r="H1009" s="1">
        <v>0.0</v>
      </c>
      <c r="I1009" s="1">
        <v>0.0</v>
      </c>
      <c r="J1009" s="1">
        <v>0.0</v>
      </c>
      <c r="K1009" s="1">
        <v>5.0</v>
      </c>
      <c r="L1009" s="1">
        <v>8.0</v>
      </c>
      <c r="M1009" s="1">
        <v>0.625</v>
      </c>
      <c r="N1009" s="1">
        <v>6.090000153</v>
      </c>
    </row>
    <row r="1010" ht="15.75" customHeight="1">
      <c r="A1010" s="1" t="s">
        <v>164</v>
      </c>
      <c r="B1010" s="1" t="s">
        <v>183</v>
      </c>
      <c r="C1010" s="5">
        <v>45568.0</v>
      </c>
      <c r="D1010" s="1" t="s">
        <v>161</v>
      </c>
      <c r="E1010" s="1" t="s">
        <v>11</v>
      </c>
      <c r="F1010" s="1" t="s">
        <v>166</v>
      </c>
      <c r="H1010" s="1">
        <v>0.0</v>
      </c>
      <c r="I1010" s="1">
        <v>0.0</v>
      </c>
      <c r="J1010" s="1">
        <v>0.0</v>
      </c>
      <c r="K1010" s="1">
        <v>3.0</v>
      </c>
      <c r="L1010" s="1">
        <v>6.0</v>
      </c>
      <c r="M1010" s="1">
        <v>0.5</v>
      </c>
      <c r="N1010" s="1">
        <v>8.130000114</v>
      </c>
    </row>
    <row r="1011" ht="15.75" customHeight="1">
      <c r="A1011" s="1" t="s">
        <v>164</v>
      </c>
      <c r="B1011" s="1" t="s">
        <v>197</v>
      </c>
      <c r="C1011" s="5">
        <v>45568.0</v>
      </c>
      <c r="D1011" s="1" t="s">
        <v>161</v>
      </c>
      <c r="E1011" s="1" t="s">
        <v>11</v>
      </c>
      <c r="F1011" s="1" t="s">
        <v>162</v>
      </c>
      <c r="H1011" s="1">
        <v>0.0</v>
      </c>
      <c r="I1011" s="1">
        <v>0.0</v>
      </c>
      <c r="J1011" s="1">
        <v>0.0</v>
      </c>
      <c r="K1011" s="1">
        <v>0.0</v>
      </c>
      <c r="L1011" s="1">
        <v>0.0</v>
      </c>
      <c r="N1011" s="1">
        <v>0.0</v>
      </c>
    </row>
    <row r="1012" ht="15.75" customHeight="1">
      <c r="A1012" s="1" t="s">
        <v>164</v>
      </c>
      <c r="B1012" s="1" t="s">
        <v>197</v>
      </c>
      <c r="C1012" s="5">
        <v>45568.0</v>
      </c>
      <c r="D1012" s="1" t="s">
        <v>161</v>
      </c>
      <c r="E1012" s="1" t="s">
        <v>11</v>
      </c>
      <c r="F1012" s="1" t="s">
        <v>168</v>
      </c>
      <c r="H1012" s="1">
        <v>0.0</v>
      </c>
      <c r="I1012" s="1">
        <v>0.0</v>
      </c>
      <c r="J1012" s="1">
        <v>0.0</v>
      </c>
      <c r="K1012" s="1">
        <v>3.0</v>
      </c>
      <c r="L1012" s="1">
        <v>5.0</v>
      </c>
      <c r="M1012" s="1">
        <v>0.6</v>
      </c>
      <c r="N1012" s="1">
        <v>9.789999962</v>
      </c>
    </row>
    <row r="1013" ht="15.75" customHeight="1">
      <c r="A1013" s="1" t="s">
        <v>164</v>
      </c>
      <c r="B1013" s="1" t="s">
        <v>74</v>
      </c>
      <c r="C1013" s="5">
        <v>45568.0</v>
      </c>
      <c r="D1013" s="1" t="s">
        <v>161</v>
      </c>
      <c r="E1013" s="1" t="s">
        <v>11</v>
      </c>
      <c r="F1013" s="1" t="s">
        <v>166</v>
      </c>
      <c r="H1013" s="1">
        <v>0.0</v>
      </c>
      <c r="I1013" s="1">
        <v>0.0</v>
      </c>
      <c r="J1013" s="1">
        <v>0.0</v>
      </c>
      <c r="K1013" s="1">
        <v>1.0</v>
      </c>
      <c r="L1013" s="1">
        <v>2.0</v>
      </c>
      <c r="M1013" s="1">
        <v>0.5</v>
      </c>
      <c r="N1013" s="1">
        <v>8.010000229</v>
      </c>
    </row>
    <row r="1014" ht="15.75" customHeight="1">
      <c r="A1014" s="1" t="s">
        <v>164</v>
      </c>
      <c r="B1014" s="1" t="s">
        <v>75</v>
      </c>
      <c r="C1014" s="5">
        <v>45568.0</v>
      </c>
      <c r="D1014" s="1" t="s">
        <v>161</v>
      </c>
      <c r="E1014" s="1" t="s">
        <v>11</v>
      </c>
      <c r="F1014" s="1" t="s">
        <v>165</v>
      </c>
      <c r="H1014" s="1">
        <v>0.0</v>
      </c>
      <c r="I1014" s="1">
        <v>0.0</v>
      </c>
      <c r="J1014" s="1">
        <v>0.0</v>
      </c>
      <c r="K1014" s="1">
        <v>0.0</v>
      </c>
      <c r="L1014" s="1">
        <v>1.0</v>
      </c>
      <c r="M1014" s="1">
        <v>0.0</v>
      </c>
      <c r="N1014" s="1">
        <v>10.07999992</v>
      </c>
    </row>
    <row r="1015" ht="15.75" customHeight="1">
      <c r="A1015" s="1" t="s">
        <v>164</v>
      </c>
      <c r="B1015" s="1" t="s">
        <v>82</v>
      </c>
      <c r="C1015" s="5">
        <v>45568.0</v>
      </c>
      <c r="D1015" s="1" t="s">
        <v>161</v>
      </c>
      <c r="E1015" s="1" t="s">
        <v>11</v>
      </c>
      <c r="F1015" s="1" t="s">
        <v>165</v>
      </c>
      <c r="H1015" s="1">
        <v>0.0</v>
      </c>
      <c r="I1015" s="1">
        <v>0.0</v>
      </c>
      <c r="J1015" s="1">
        <v>0.0</v>
      </c>
      <c r="K1015" s="1">
        <v>3.0</v>
      </c>
      <c r="L1015" s="1">
        <v>8.0</v>
      </c>
      <c r="M1015" s="1">
        <v>0.375</v>
      </c>
      <c r="N1015" s="1">
        <v>26.87000084</v>
      </c>
    </row>
    <row r="1016" ht="15.75" customHeight="1">
      <c r="A1016" s="1" t="s">
        <v>180</v>
      </c>
      <c r="B1016" s="1" t="s">
        <v>214</v>
      </c>
      <c r="C1016" s="5">
        <v>45568.0</v>
      </c>
      <c r="D1016" s="1" t="s">
        <v>161</v>
      </c>
      <c r="E1016" s="1" t="s">
        <v>11</v>
      </c>
      <c r="F1016" s="1" t="s">
        <v>221</v>
      </c>
      <c r="G1016" s="1" t="s">
        <v>163</v>
      </c>
      <c r="H1016" s="1">
        <v>1.0</v>
      </c>
      <c r="I1016" s="1">
        <v>2.0</v>
      </c>
      <c r="J1016" s="1">
        <v>0.0</v>
      </c>
      <c r="K1016" s="1">
        <v>28.0</v>
      </c>
      <c r="L1016" s="1">
        <v>32.0</v>
      </c>
      <c r="M1016" s="1">
        <v>0.875</v>
      </c>
      <c r="N1016" s="1">
        <v>43.43000031</v>
      </c>
    </row>
    <row r="1017" ht="15.75" customHeight="1">
      <c r="A1017" s="1" t="s">
        <v>180</v>
      </c>
      <c r="B1017" s="1" t="s">
        <v>214</v>
      </c>
      <c r="C1017" s="5">
        <v>45568.0</v>
      </c>
      <c r="D1017" s="1" t="s">
        <v>161</v>
      </c>
      <c r="E1017" s="1" t="s">
        <v>11</v>
      </c>
      <c r="F1017" s="1" t="s">
        <v>167</v>
      </c>
      <c r="G1017" s="1" t="s">
        <v>163</v>
      </c>
      <c r="H1017" s="1">
        <v>1.0</v>
      </c>
      <c r="I1017" s="1">
        <v>1.0</v>
      </c>
      <c r="J1017" s="1">
        <v>0.0</v>
      </c>
      <c r="K1017" s="1">
        <v>14.0</v>
      </c>
      <c r="L1017" s="1">
        <v>15.0</v>
      </c>
      <c r="M1017" s="1">
        <v>0.933333333</v>
      </c>
      <c r="N1017" s="1">
        <v>0.0</v>
      </c>
    </row>
    <row r="1018" ht="15.75" customHeight="1">
      <c r="A1018" s="1" t="s">
        <v>180</v>
      </c>
      <c r="B1018" s="1" t="s">
        <v>214</v>
      </c>
      <c r="C1018" s="5">
        <v>45568.0</v>
      </c>
      <c r="D1018" s="1" t="s">
        <v>161</v>
      </c>
      <c r="E1018" s="1" t="s">
        <v>11</v>
      </c>
      <c r="F1018" s="1" t="s">
        <v>166</v>
      </c>
      <c r="G1018" s="1" t="s">
        <v>163</v>
      </c>
      <c r="H1018" s="1">
        <v>1.0</v>
      </c>
      <c r="I1018" s="1">
        <v>0.0</v>
      </c>
      <c r="J1018" s="1">
        <v>0.0</v>
      </c>
      <c r="K1018" s="1">
        <v>0.0</v>
      </c>
      <c r="L1018" s="1">
        <v>0.0</v>
      </c>
      <c r="N1018" s="1">
        <v>0.0</v>
      </c>
    </row>
    <row r="1019" ht="15.75" customHeight="1">
      <c r="A1019" s="1" t="s">
        <v>160</v>
      </c>
      <c r="B1019" s="1" t="s">
        <v>101</v>
      </c>
      <c r="C1019" s="5">
        <v>45567.0</v>
      </c>
      <c r="D1019" s="1" t="s">
        <v>161</v>
      </c>
      <c r="E1019" s="1" t="s">
        <v>11</v>
      </c>
      <c r="F1019" s="1" t="s">
        <v>162</v>
      </c>
      <c r="H1019" s="1">
        <v>0.0</v>
      </c>
      <c r="I1019" s="1">
        <v>0.0</v>
      </c>
      <c r="J1019" s="1">
        <v>0.0</v>
      </c>
      <c r="K1019" s="1">
        <v>4.0</v>
      </c>
      <c r="L1019" s="1">
        <v>21.0</v>
      </c>
      <c r="M1019" s="1">
        <v>0.19047619</v>
      </c>
      <c r="N1019" s="1">
        <v>19.39999962</v>
      </c>
    </row>
    <row r="1020" ht="15.75" customHeight="1">
      <c r="A1020" s="1" t="s">
        <v>164</v>
      </c>
      <c r="B1020" s="1" t="s">
        <v>35</v>
      </c>
      <c r="C1020" s="5">
        <v>45567.0</v>
      </c>
      <c r="D1020" s="1" t="s">
        <v>161</v>
      </c>
      <c r="E1020" s="1" t="s">
        <v>11</v>
      </c>
      <c r="F1020" s="1" t="s">
        <v>221</v>
      </c>
      <c r="G1020" s="1" t="s">
        <v>163</v>
      </c>
      <c r="H1020" s="1">
        <v>1.0</v>
      </c>
      <c r="I1020" s="1">
        <v>1.0</v>
      </c>
      <c r="J1020" s="1">
        <v>0.0</v>
      </c>
      <c r="K1020" s="1">
        <v>23.0</v>
      </c>
      <c r="L1020" s="1">
        <v>28.0</v>
      </c>
      <c r="M1020" s="1">
        <v>0.821428571</v>
      </c>
      <c r="N1020" s="1">
        <v>24.61000061</v>
      </c>
    </row>
    <row r="1021" ht="15.75" customHeight="1">
      <c r="A1021" s="1" t="s">
        <v>164</v>
      </c>
      <c r="B1021" s="1" t="s">
        <v>35</v>
      </c>
      <c r="C1021" s="5">
        <v>45567.0</v>
      </c>
      <c r="D1021" s="1" t="s">
        <v>161</v>
      </c>
      <c r="E1021" s="1" t="s">
        <v>11</v>
      </c>
      <c r="F1021" s="1" t="s">
        <v>167</v>
      </c>
      <c r="G1021" s="1" t="s">
        <v>163</v>
      </c>
      <c r="H1021" s="1">
        <v>1.0</v>
      </c>
      <c r="I1021" s="1">
        <v>1.0</v>
      </c>
      <c r="J1021" s="1">
        <v>0.0</v>
      </c>
      <c r="K1021" s="1">
        <v>18.0</v>
      </c>
      <c r="L1021" s="1">
        <v>21.0</v>
      </c>
      <c r="M1021" s="1">
        <v>0.857142857</v>
      </c>
      <c r="N1021" s="1">
        <v>0.0</v>
      </c>
    </row>
    <row r="1022" ht="15.75" customHeight="1">
      <c r="A1022" s="1" t="s">
        <v>164</v>
      </c>
      <c r="B1022" s="1" t="s">
        <v>35</v>
      </c>
      <c r="C1022" s="5">
        <v>45567.0</v>
      </c>
      <c r="D1022" s="1" t="s">
        <v>161</v>
      </c>
      <c r="E1022" s="1" t="s">
        <v>11</v>
      </c>
      <c r="F1022" s="1" t="s">
        <v>166</v>
      </c>
      <c r="G1022" s="1" t="s">
        <v>163</v>
      </c>
      <c r="H1022" s="1">
        <v>1.0</v>
      </c>
      <c r="I1022" s="1">
        <v>0.0</v>
      </c>
      <c r="J1022" s="1">
        <v>0.0</v>
      </c>
      <c r="K1022" s="1">
        <v>0.0</v>
      </c>
      <c r="L1022" s="1">
        <v>0.0</v>
      </c>
      <c r="N1022" s="1">
        <v>0.0</v>
      </c>
    </row>
    <row r="1023" ht="15.75" customHeight="1">
      <c r="A1023" s="1" t="s">
        <v>164</v>
      </c>
      <c r="B1023" s="1" t="s">
        <v>35</v>
      </c>
      <c r="C1023" s="5">
        <v>45567.0</v>
      </c>
      <c r="D1023" s="1" t="s">
        <v>161</v>
      </c>
      <c r="E1023" s="1" t="s">
        <v>11</v>
      </c>
      <c r="F1023" s="1" t="s">
        <v>171</v>
      </c>
      <c r="G1023" s="1" t="s">
        <v>163</v>
      </c>
      <c r="H1023" s="1">
        <v>1.0</v>
      </c>
      <c r="I1023" s="1">
        <v>1.0</v>
      </c>
      <c r="J1023" s="1">
        <v>0.0</v>
      </c>
      <c r="K1023" s="1">
        <v>20.0</v>
      </c>
      <c r="L1023" s="1">
        <v>25.0</v>
      </c>
      <c r="M1023" s="1">
        <v>0.8</v>
      </c>
      <c r="N1023" s="1">
        <v>0.0</v>
      </c>
    </row>
    <row r="1024" ht="15.75" customHeight="1">
      <c r="A1024" s="1" t="s">
        <v>164</v>
      </c>
      <c r="B1024" s="1" t="s">
        <v>35</v>
      </c>
      <c r="C1024" s="5">
        <v>45567.0</v>
      </c>
      <c r="D1024" s="1" t="s">
        <v>161</v>
      </c>
      <c r="E1024" s="1" t="s">
        <v>11</v>
      </c>
      <c r="F1024" s="1" t="s">
        <v>169</v>
      </c>
      <c r="G1024" s="1" t="s">
        <v>163</v>
      </c>
      <c r="H1024" s="1">
        <v>1.0</v>
      </c>
      <c r="I1024" s="1">
        <v>1.0</v>
      </c>
      <c r="J1024" s="1">
        <v>0.0</v>
      </c>
      <c r="K1024" s="1">
        <v>15.0</v>
      </c>
      <c r="L1024" s="1">
        <v>18.0</v>
      </c>
      <c r="M1024" s="1">
        <v>0.833333333</v>
      </c>
      <c r="N1024" s="1">
        <v>0.0</v>
      </c>
    </row>
    <row r="1025" ht="15.75" customHeight="1">
      <c r="A1025" s="1" t="s">
        <v>164</v>
      </c>
      <c r="B1025" s="1" t="s">
        <v>24</v>
      </c>
      <c r="C1025" s="5">
        <v>45567.0</v>
      </c>
      <c r="D1025" s="1" t="s">
        <v>161</v>
      </c>
      <c r="E1025" s="1" t="s">
        <v>11</v>
      </c>
      <c r="F1025" s="1" t="s">
        <v>166</v>
      </c>
      <c r="H1025" s="1">
        <v>0.0</v>
      </c>
      <c r="I1025" s="1">
        <v>0.0</v>
      </c>
      <c r="J1025" s="1">
        <v>0.0</v>
      </c>
      <c r="K1025" s="1">
        <v>2.0</v>
      </c>
      <c r="L1025" s="1">
        <v>3.0</v>
      </c>
      <c r="M1025" s="1">
        <v>0.666666667</v>
      </c>
      <c r="N1025" s="1">
        <v>5.590000153</v>
      </c>
    </row>
    <row r="1026" ht="15.75" customHeight="1">
      <c r="A1026" s="1" t="s">
        <v>164</v>
      </c>
      <c r="B1026" s="1" t="s">
        <v>52</v>
      </c>
      <c r="C1026" s="5">
        <v>45567.0</v>
      </c>
      <c r="D1026" s="1" t="s">
        <v>161</v>
      </c>
      <c r="E1026" s="1" t="s">
        <v>11</v>
      </c>
      <c r="F1026" s="1" t="s">
        <v>165</v>
      </c>
      <c r="H1026" s="1">
        <v>0.0</v>
      </c>
      <c r="I1026" s="1">
        <v>0.0</v>
      </c>
      <c r="J1026" s="1">
        <v>0.0</v>
      </c>
      <c r="K1026" s="1">
        <v>6.0</v>
      </c>
      <c r="L1026" s="1">
        <v>12.0</v>
      </c>
      <c r="M1026" s="1">
        <v>0.5</v>
      </c>
      <c r="N1026" s="1">
        <v>10.35999966</v>
      </c>
    </row>
    <row r="1027" ht="15.75" customHeight="1">
      <c r="A1027" s="1" t="s">
        <v>164</v>
      </c>
      <c r="B1027" s="1" t="s">
        <v>213</v>
      </c>
      <c r="C1027" s="5">
        <v>45567.0</v>
      </c>
      <c r="D1027" s="1" t="s">
        <v>161</v>
      </c>
      <c r="E1027" s="1" t="s">
        <v>11</v>
      </c>
      <c r="F1027" s="1" t="s">
        <v>162</v>
      </c>
      <c r="H1027" s="1">
        <v>0.0</v>
      </c>
      <c r="I1027" s="1">
        <v>0.0</v>
      </c>
      <c r="J1027" s="1">
        <v>0.0</v>
      </c>
      <c r="K1027" s="1">
        <v>0.0</v>
      </c>
      <c r="L1027" s="1">
        <v>0.0</v>
      </c>
      <c r="N1027" s="1">
        <v>2.49000001</v>
      </c>
    </row>
    <row r="1028" ht="15.75" customHeight="1">
      <c r="A1028" s="1" t="s">
        <v>164</v>
      </c>
      <c r="B1028" s="1" t="s">
        <v>179</v>
      </c>
      <c r="C1028" s="5">
        <v>45567.0</v>
      </c>
      <c r="D1028" s="1" t="s">
        <v>161</v>
      </c>
      <c r="E1028" s="1" t="s">
        <v>11</v>
      </c>
      <c r="F1028" s="1" t="s">
        <v>166</v>
      </c>
      <c r="H1028" s="1">
        <v>0.0</v>
      </c>
      <c r="I1028" s="1">
        <v>0.0</v>
      </c>
      <c r="J1028" s="1">
        <v>0.0</v>
      </c>
      <c r="K1028" s="1">
        <v>1.0</v>
      </c>
      <c r="L1028" s="1">
        <v>5.0</v>
      </c>
      <c r="M1028" s="1">
        <v>0.2</v>
      </c>
      <c r="N1028" s="1">
        <v>2.25</v>
      </c>
    </row>
    <row r="1029" ht="15.75" customHeight="1">
      <c r="A1029" s="1" t="s">
        <v>164</v>
      </c>
      <c r="B1029" s="1" t="s">
        <v>63</v>
      </c>
      <c r="C1029" s="5">
        <v>45567.0</v>
      </c>
      <c r="D1029" s="1" t="s">
        <v>161</v>
      </c>
      <c r="E1029" s="1" t="s">
        <v>11</v>
      </c>
      <c r="F1029" s="1" t="s">
        <v>166</v>
      </c>
      <c r="H1029" s="1">
        <v>0.0</v>
      </c>
      <c r="I1029" s="1">
        <v>0.0</v>
      </c>
      <c r="J1029" s="1">
        <v>0.0</v>
      </c>
      <c r="K1029" s="1">
        <v>12.0</v>
      </c>
      <c r="L1029" s="1">
        <v>20.0</v>
      </c>
      <c r="M1029" s="1">
        <v>0.6</v>
      </c>
      <c r="N1029" s="1">
        <v>8.210000038</v>
      </c>
    </row>
    <row r="1030" ht="15.75" customHeight="1">
      <c r="A1030" s="1" t="s">
        <v>164</v>
      </c>
      <c r="B1030" s="1" t="s">
        <v>68</v>
      </c>
      <c r="C1030" s="5">
        <v>45567.0</v>
      </c>
      <c r="D1030" s="1" t="s">
        <v>161</v>
      </c>
      <c r="E1030" s="1" t="s">
        <v>11</v>
      </c>
      <c r="F1030" s="1" t="s">
        <v>165</v>
      </c>
      <c r="G1030" s="1" t="s">
        <v>172</v>
      </c>
      <c r="H1030" s="1">
        <v>1.0</v>
      </c>
      <c r="I1030" s="1">
        <v>0.0</v>
      </c>
      <c r="J1030" s="1">
        <v>0.0</v>
      </c>
      <c r="K1030" s="1">
        <v>14.0</v>
      </c>
      <c r="L1030" s="1">
        <v>28.0</v>
      </c>
      <c r="M1030" s="1">
        <v>0.5</v>
      </c>
      <c r="N1030" s="1">
        <v>35.54000092</v>
      </c>
    </row>
    <row r="1031" ht="15.75" customHeight="1">
      <c r="A1031" s="1" t="s">
        <v>164</v>
      </c>
      <c r="B1031" s="1" t="s">
        <v>197</v>
      </c>
      <c r="C1031" s="5">
        <v>45567.0</v>
      </c>
      <c r="D1031" s="1" t="s">
        <v>161</v>
      </c>
      <c r="E1031" s="1" t="s">
        <v>11</v>
      </c>
      <c r="F1031" s="1" t="s">
        <v>162</v>
      </c>
      <c r="G1031" s="1" t="s">
        <v>227</v>
      </c>
      <c r="H1031" s="1">
        <v>3.0</v>
      </c>
      <c r="I1031" s="1">
        <v>0.0</v>
      </c>
      <c r="J1031" s="1">
        <v>0.0</v>
      </c>
      <c r="K1031" s="1">
        <v>2.0</v>
      </c>
      <c r="L1031" s="1">
        <v>7.0</v>
      </c>
      <c r="M1031" s="1">
        <v>0.285714286</v>
      </c>
      <c r="N1031" s="1">
        <v>0.0</v>
      </c>
    </row>
    <row r="1032" ht="15.75" customHeight="1">
      <c r="A1032" s="1" t="s">
        <v>164</v>
      </c>
      <c r="B1032" s="1" t="s">
        <v>197</v>
      </c>
      <c r="C1032" s="5">
        <v>45567.0</v>
      </c>
      <c r="D1032" s="1" t="s">
        <v>161</v>
      </c>
      <c r="E1032" s="1" t="s">
        <v>11</v>
      </c>
      <c r="F1032" s="1" t="s">
        <v>177</v>
      </c>
      <c r="G1032" s="1" t="s">
        <v>227</v>
      </c>
      <c r="H1032" s="1">
        <v>3.0</v>
      </c>
      <c r="I1032" s="1">
        <v>4.0</v>
      </c>
      <c r="J1032" s="1">
        <v>0.0</v>
      </c>
      <c r="K1032" s="1">
        <v>63.0</v>
      </c>
      <c r="L1032" s="1">
        <v>78.0</v>
      </c>
      <c r="M1032" s="1">
        <v>0.807692308</v>
      </c>
      <c r="N1032" s="1">
        <v>118.3300018</v>
      </c>
    </row>
    <row r="1033" ht="15.75" customHeight="1">
      <c r="A1033" s="1" t="s">
        <v>164</v>
      </c>
      <c r="B1033" s="1" t="s">
        <v>197</v>
      </c>
      <c r="C1033" s="5">
        <v>45567.0</v>
      </c>
      <c r="D1033" s="1" t="s">
        <v>161</v>
      </c>
      <c r="E1033" s="1" t="s">
        <v>11</v>
      </c>
      <c r="F1033" s="1" t="s">
        <v>168</v>
      </c>
      <c r="G1033" s="1" t="s">
        <v>227</v>
      </c>
      <c r="H1033" s="1">
        <v>3.0</v>
      </c>
      <c r="I1033" s="1">
        <v>0.0</v>
      </c>
      <c r="J1033" s="1">
        <v>0.0</v>
      </c>
      <c r="K1033" s="1">
        <v>22.0</v>
      </c>
      <c r="L1033" s="1">
        <v>34.0</v>
      </c>
      <c r="M1033" s="1">
        <v>0.647058824</v>
      </c>
      <c r="N1033" s="1">
        <v>0.0</v>
      </c>
    </row>
    <row r="1034" ht="15.75" customHeight="1">
      <c r="A1034" s="1" t="s">
        <v>164</v>
      </c>
      <c r="B1034" s="1" t="s">
        <v>197</v>
      </c>
      <c r="C1034" s="5">
        <v>45567.0</v>
      </c>
      <c r="D1034" s="1" t="s">
        <v>161</v>
      </c>
      <c r="E1034" s="1" t="s">
        <v>11</v>
      </c>
      <c r="F1034" s="1" t="s">
        <v>166</v>
      </c>
      <c r="G1034" s="1" t="s">
        <v>227</v>
      </c>
      <c r="H1034" s="1">
        <v>3.0</v>
      </c>
      <c r="I1034" s="1">
        <v>0.0</v>
      </c>
      <c r="J1034" s="1">
        <v>0.0</v>
      </c>
      <c r="K1034" s="1">
        <v>1.0</v>
      </c>
      <c r="L1034" s="1">
        <v>3.0</v>
      </c>
      <c r="M1034" s="1">
        <v>0.333333333</v>
      </c>
      <c r="N1034" s="1">
        <v>0.0</v>
      </c>
    </row>
    <row r="1035" ht="15.75" customHeight="1">
      <c r="A1035" s="1" t="s">
        <v>164</v>
      </c>
      <c r="B1035" s="1" t="s">
        <v>74</v>
      </c>
      <c r="C1035" s="5">
        <v>45567.0</v>
      </c>
      <c r="D1035" s="1" t="s">
        <v>161</v>
      </c>
      <c r="E1035" s="1" t="s">
        <v>11</v>
      </c>
      <c r="H1035" s="1">
        <v>0.0</v>
      </c>
      <c r="J1035" s="1">
        <v>0.0</v>
      </c>
      <c r="N1035" s="1">
        <v>0.050000001</v>
      </c>
    </row>
    <row r="1036" ht="15.75" customHeight="1">
      <c r="A1036" s="1" t="s">
        <v>164</v>
      </c>
      <c r="B1036" s="1" t="s">
        <v>205</v>
      </c>
      <c r="C1036" s="5">
        <v>45567.0</v>
      </c>
      <c r="D1036" s="1" t="s">
        <v>161</v>
      </c>
      <c r="E1036" s="1" t="s">
        <v>11</v>
      </c>
      <c r="F1036" s="1" t="s">
        <v>166</v>
      </c>
      <c r="H1036" s="1">
        <v>0.0</v>
      </c>
      <c r="I1036" s="1">
        <v>0.0</v>
      </c>
      <c r="J1036" s="1">
        <v>0.0</v>
      </c>
      <c r="K1036" s="1">
        <v>3.0</v>
      </c>
      <c r="L1036" s="1">
        <v>5.0</v>
      </c>
      <c r="M1036" s="1">
        <v>0.6</v>
      </c>
      <c r="N1036" s="1">
        <v>7.300000191</v>
      </c>
    </row>
    <row r="1037" ht="15.75" customHeight="1">
      <c r="A1037" s="1" t="s">
        <v>164</v>
      </c>
      <c r="B1037" s="1" t="s">
        <v>82</v>
      </c>
      <c r="C1037" s="5">
        <v>45567.0</v>
      </c>
      <c r="D1037" s="1" t="s">
        <v>161</v>
      </c>
      <c r="E1037" s="1" t="s">
        <v>11</v>
      </c>
      <c r="F1037" s="1" t="s">
        <v>165</v>
      </c>
      <c r="H1037" s="1">
        <v>0.0</v>
      </c>
      <c r="I1037" s="1">
        <v>0.0</v>
      </c>
      <c r="J1037" s="1">
        <v>0.0</v>
      </c>
      <c r="K1037" s="1">
        <v>0.0</v>
      </c>
      <c r="L1037" s="1">
        <v>1.0</v>
      </c>
      <c r="M1037" s="1">
        <v>0.0</v>
      </c>
      <c r="N1037" s="1">
        <v>6.170000076</v>
      </c>
    </row>
    <row r="1038" ht="15.75" customHeight="1">
      <c r="A1038" s="1" t="s">
        <v>180</v>
      </c>
      <c r="B1038" s="1" t="s">
        <v>220</v>
      </c>
      <c r="C1038" s="5">
        <v>45567.0</v>
      </c>
      <c r="D1038" s="1" t="s">
        <v>161</v>
      </c>
      <c r="E1038" s="1" t="s">
        <v>11</v>
      </c>
      <c r="F1038" s="1" t="s">
        <v>221</v>
      </c>
      <c r="G1038" s="1" t="s">
        <v>228</v>
      </c>
      <c r="H1038" s="1">
        <v>3.0</v>
      </c>
      <c r="I1038" s="1">
        <v>1.0</v>
      </c>
      <c r="J1038" s="1">
        <v>0.0</v>
      </c>
      <c r="K1038" s="1">
        <v>13.0</v>
      </c>
      <c r="L1038" s="1">
        <v>15.0</v>
      </c>
      <c r="M1038" s="1">
        <v>0.866666667</v>
      </c>
      <c r="N1038" s="1">
        <v>0.0</v>
      </c>
    </row>
    <row r="1039" ht="15.75" customHeight="1">
      <c r="A1039" s="1" t="s">
        <v>180</v>
      </c>
      <c r="B1039" s="1" t="s">
        <v>220</v>
      </c>
      <c r="C1039" s="5">
        <v>45567.0</v>
      </c>
      <c r="D1039" s="1" t="s">
        <v>161</v>
      </c>
      <c r="E1039" s="1" t="s">
        <v>11</v>
      </c>
      <c r="F1039" s="1" t="s">
        <v>162</v>
      </c>
      <c r="G1039" s="1" t="s">
        <v>228</v>
      </c>
      <c r="H1039" s="1">
        <v>3.0</v>
      </c>
      <c r="I1039" s="1">
        <v>0.0</v>
      </c>
      <c r="J1039" s="1">
        <v>0.0</v>
      </c>
      <c r="K1039" s="1">
        <v>14.0</v>
      </c>
      <c r="L1039" s="1">
        <v>19.0</v>
      </c>
      <c r="M1039" s="1">
        <v>0.736842105</v>
      </c>
      <c r="N1039" s="1">
        <v>23.75</v>
      </c>
    </row>
    <row r="1040" ht="15.75" customHeight="1">
      <c r="A1040" s="1" t="s">
        <v>180</v>
      </c>
      <c r="B1040" s="1" t="s">
        <v>220</v>
      </c>
      <c r="C1040" s="5">
        <v>45567.0</v>
      </c>
      <c r="D1040" s="1" t="s">
        <v>161</v>
      </c>
      <c r="E1040" s="1" t="s">
        <v>11</v>
      </c>
      <c r="F1040" s="1" t="s">
        <v>168</v>
      </c>
      <c r="G1040" s="1" t="s">
        <v>228</v>
      </c>
      <c r="H1040" s="1">
        <v>3.0</v>
      </c>
      <c r="I1040" s="1">
        <v>0.0</v>
      </c>
      <c r="J1040" s="1">
        <v>0.0</v>
      </c>
      <c r="K1040" s="1">
        <v>6.0</v>
      </c>
      <c r="L1040" s="1">
        <v>6.0</v>
      </c>
      <c r="M1040" s="1">
        <v>1.0</v>
      </c>
      <c r="N1040" s="1">
        <v>0.0</v>
      </c>
    </row>
    <row r="1041" ht="15.75" customHeight="1">
      <c r="A1041" s="1" t="s">
        <v>180</v>
      </c>
      <c r="B1041" s="1" t="s">
        <v>220</v>
      </c>
      <c r="C1041" s="5">
        <v>45567.0</v>
      </c>
      <c r="D1041" s="1" t="s">
        <v>161</v>
      </c>
      <c r="E1041" s="1" t="s">
        <v>11</v>
      </c>
      <c r="F1041" s="1" t="s">
        <v>166</v>
      </c>
      <c r="G1041" s="1" t="s">
        <v>228</v>
      </c>
      <c r="H1041" s="1">
        <v>3.0</v>
      </c>
      <c r="I1041" s="1">
        <v>0.0</v>
      </c>
      <c r="J1041" s="1">
        <v>0.0</v>
      </c>
      <c r="K1041" s="1">
        <v>0.0</v>
      </c>
      <c r="L1041" s="1">
        <v>1.0</v>
      </c>
      <c r="M1041" s="1">
        <v>0.0</v>
      </c>
      <c r="N1041" s="1">
        <v>0.0</v>
      </c>
    </row>
    <row r="1042" ht="15.75" customHeight="1">
      <c r="A1042" s="1" t="s">
        <v>180</v>
      </c>
      <c r="B1042" s="1" t="s">
        <v>185</v>
      </c>
      <c r="C1042" s="5">
        <v>45567.0</v>
      </c>
      <c r="D1042" s="1" t="s">
        <v>161</v>
      </c>
      <c r="E1042" s="1" t="s">
        <v>11</v>
      </c>
      <c r="F1042" s="1" t="s">
        <v>166</v>
      </c>
      <c r="H1042" s="1">
        <v>0.0</v>
      </c>
      <c r="I1042" s="1">
        <v>0.0</v>
      </c>
      <c r="J1042" s="1">
        <v>0.0</v>
      </c>
      <c r="K1042" s="1">
        <v>8.0</v>
      </c>
      <c r="L1042" s="1">
        <v>14.0</v>
      </c>
      <c r="M1042" s="1">
        <v>0.571428571</v>
      </c>
      <c r="N1042" s="1">
        <v>17.70999908</v>
      </c>
    </row>
    <row r="1043" ht="15.75" customHeight="1">
      <c r="A1043" s="1" t="s">
        <v>180</v>
      </c>
      <c r="B1043" s="1" t="s">
        <v>214</v>
      </c>
      <c r="C1043" s="5">
        <v>45567.0</v>
      </c>
      <c r="D1043" s="1" t="s">
        <v>161</v>
      </c>
      <c r="E1043" s="1" t="s">
        <v>11</v>
      </c>
      <c r="F1043" s="1" t="s">
        <v>167</v>
      </c>
      <c r="G1043" s="1" t="s">
        <v>163</v>
      </c>
      <c r="H1043" s="1">
        <v>1.0</v>
      </c>
      <c r="I1043" s="1">
        <v>1.0</v>
      </c>
      <c r="J1043" s="1">
        <v>0.0</v>
      </c>
      <c r="K1043" s="1">
        <v>13.0</v>
      </c>
      <c r="L1043" s="1">
        <v>16.0</v>
      </c>
      <c r="M1043" s="1">
        <v>0.8125</v>
      </c>
      <c r="N1043" s="1">
        <v>21.70999908</v>
      </c>
    </row>
    <row r="1044" ht="15.75" customHeight="1">
      <c r="A1044" s="1" t="s">
        <v>180</v>
      </c>
      <c r="B1044" s="1" t="s">
        <v>214</v>
      </c>
      <c r="C1044" s="5">
        <v>45567.0</v>
      </c>
      <c r="D1044" s="1" t="s">
        <v>161</v>
      </c>
      <c r="E1044" s="1" t="s">
        <v>11</v>
      </c>
      <c r="F1044" s="1" t="s">
        <v>166</v>
      </c>
      <c r="G1044" s="1" t="s">
        <v>163</v>
      </c>
      <c r="H1044" s="1">
        <v>1.0</v>
      </c>
      <c r="I1044" s="1">
        <v>0.0</v>
      </c>
      <c r="J1044" s="1">
        <v>0.0</v>
      </c>
      <c r="K1044" s="1">
        <v>1.0</v>
      </c>
      <c r="L1044" s="1">
        <v>1.0</v>
      </c>
      <c r="M1044" s="1">
        <v>1.0</v>
      </c>
      <c r="N1044" s="1">
        <v>0.0</v>
      </c>
    </row>
    <row r="1045" ht="15.75" customHeight="1">
      <c r="A1045" s="1" t="s">
        <v>164</v>
      </c>
      <c r="B1045" s="1" t="s">
        <v>24</v>
      </c>
      <c r="C1045" s="5">
        <v>45566.0</v>
      </c>
      <c r="D1045" s="1" t="s">
        <v>161</v>
      </c>
      <c r="E1045" s="1" t="s">
        <v>11</v>
      </c>
      <c r="F1045" s="1" t="s">
        <v>166</v>
      </c>
      <c r="H1045" s="1">
        <v>0.0</v>
      </c>
      <c r="I1045" s="1">
        <v>0.0</v>
      </c>
      <c r="J1045" s="1">
        <v>0.0</v>
      </c>
      <c r="K1045" s="1">
        <v>1.0</v>
      </c>
      <c r="L1045" s="1">
        <v>2.0</v>
      </c>
      <c r="M1045" s="1">
        <v>0.5</v>
      </c>
      <c r="N1045" s="1">
        <v>3.049999952</v>
      </c>
    </row>
    <row r="1046" ht="15.75" customHeight="1">
      <c r="A1046" s="1" t="s">
        <v>164</v>
      </c>
      <c r="B1046" s="1" t="s">
        <v>55</v>
      </c>
      <c r="C1046" s="5">
        <v>45566.0</v>
      </c>
      <c r="D1046" s="1" t="s">
        <v>161</v>
      </c>
      <c r="E1046" s="1" t="s">
        <v>11</v>
      </c>
      <c r="F1046" s="1" t="s">
        <v>166</v>
      </c>
      <c r="H1046" s="1">
        <v>0.0</v>
      </c>
      <c r="I1046" s="1">
        <v>0.0</v>
      </c>
      <c r="J1046" s="1">
        <v>0.0</v>
      </c>
      <c r="K1046" s="1">
        <v>1.0</v>
      </c>
      <c r="L1046" s="1">
        <v>1.0</v>
      </c>
      <c r="M1046" s="1">
        <v>1.0</v>
      </c>
      <c r="N1046" s="1">
        <v>2.220000029</v>
      </c>
    </row>
    <row r="1047" ht="15.75" customHeight="1">
      <c r="A1047" s="1" t="s">
        <v>164</v>
      </c>
      <c r="B1047" s="1" t="s">
        <v>213</v>
      </c>
      <c r="C1047" s="5">
        <v>45566.0</v>
      </c>
      <c r="D1047" s="1" t="s">
        <v>161</v>
      </c>
      <c r="E1047" s="1" t="s">
        <v>11</v>
      </c>
      <c r="F1047" s="1" t="s">
        <v>162</v>
      </c>
      <c r="H1047" s="1">
        <v>0.0</v>
      </c>
      <c r="I1047" s="1">
        <v>0.0</v>
      </c>
      <c r="J1047" s="1">
        <v>0.0</v>
      </c>
      <c r="K1047" s="1">
        <v>7.0</v>
      </c>
      <c r="L1047" s="1">
        <v>16.0</v>
      </c>
      <c r="M1047" s="1">
        <v>0.4375</v>
      </c>
      <c r="N1047" s="1">
        <v>17.31999969</v>
      </c>
    </row>
    <row r="1048" ht="15.75" customHeight="1">
      <c r="A1048" s="1" t="s">
        <v>164</v>
      </c>
      <c r="B1048" s="1" t="s">
        <v>63</v>
      </c>
      <c r="C1048" s="5">
        <v>45566.0</v>
      </c>
      <c r="D1048" s="1" t="s">
        <v>161</v>
      </c>
      <c r="E1048" s="1" t="s">
        <v>11</v>
      </c>
      <c r="F1048" s="1" t="s">
        <v>166</v>
      </c>
      <c r="H1048" s="1">
        <v>0.0</v>
      </c>
      <c r="I1048" s="1">
        <v>0.0</v>
      </c>
      <c r="J1048" s="1">
        <v>0.0</v>
      </c>
      <c r="K1048" s="1">
        <v>5.0</v>
      </c>
      <c r="L1048" s="1">
        <v>13.0</v>
      </c>
      <c r="M1048" s="1">
        <v>0.384615385</v>
      </c>
      <c r="N1048" s="1">
        <v>6.1199998860000004</v>
      </c>
    </row>
    <row r="1049" ht="15.75" customHeight="1">
      <c r="A1049" s="1" t="s">
        <v>164</v>
      </c>
      <c r="B1049" s="1" t="s">
        <v>68</v>
      </c>
      <c r="C1049" s="5">
        <v>45566.0</v>
      </c>
      <c r="D1049" s="1" t="s">
        <v>161</v>
      </c>
      <c r="E1049" s="1" t="s">
        <v>11</v>
      </c>
      <c r="F1049" s="1" t="s">
        <v>165</v>
      </c>
      <c r="H1049" s="1">
        <v>0.0</v>
      </c>
      <c r="I1049" s="1">
        <v>0.0</v>
      </c>
      <c r="J1049" s="1">
        <v>0.0</v>
      </c>
      <c r="K1049" s="1">
        <v>3.0</v>
      </c>
      <c r="L1049" s="1">
        <v>8.0</v>
      </c>
      <c r="M1049" s="1">
        <v>0.375</v>
      </c>
      <c r="N1049" s="1">
        <v>8.890000343</v>
      </c>
    </row>
    <row r="1050" ht="15.75" customHeight="1">
      <c r="A1050" s="1" t="s">
        <v>164</v>
      </c>
      <c r="B1050" s="1" t="s">
        <v>74</v>
      </c>
      <c r="C1050" s="5">
        <v>45566.0</v>
      </c>
      <c r="D1050" s="1" t="s">
        <v>161</v>
      </c>
      <c r="E1050" s="1" t="s">
        <v>11</v>
      </c>
      <c r="F1050" s="1" t="s">
        <v>166</v>
      </c>
      <c r="H1050" s="1">
        <v>0.0</v>
      </c>
      <c r="I1050" s="1">
        <v>0.0</v>
      </c>
      <c r="J1050" s="1">
        <v>0.0</v>
      </c>
      <c r="K1050" s="1">
        <v>0.0</v>
      </c>
      <c r="L1050" s="1">
        <v>2.0</v>
      </c>
      <c r="M1050" s="1">
        <v>0.0</v>
      </c>
      <c r="N1050" s="1">
        <v>8.760000229</v>
      </c>
    </row>
    <row r="1051" ht="15.75" customHeight="1">
      <c r="A1051" s="1" t="s">
        <v>164</v>
      </c>
      <c r="B1051" s="1" t="s">
        <v>75</v>
      </c>
      <c r="C1051" s="5">
        <v>45566.0</v>
      </c>
      <c r="D1051" s="1" t="s">
        <v>161</v>
      </c>
      <c r="E1051" s="1" t="s">
        <v>11</v>
      </c>
      <c r="F1051" s="1" t="s">
        <v>165</v>
      </c>
      <c r="H1051" s="1">
        <v>0.0</v>
      </c>
      <c r="I1051" s="1">
        <v>0.0</v>
      </c>
      <c r="J1051" s="1">
        <v>0.0</v>
      </c>
      <c r="K1051" s="1">
        <v>0.0</v>
      </c>
      <c r="L1051" s="1">
        <v>3.0</v>
      </c>
      <c r="M1051" s="1">
        <v>0.0</v>
      </c>
      <c r="N1051" s="1">
        <v>8.470000267</v>
      </c>
    </row>
    <row r="1052" ht="15.75" customHeight="1">
      <c r="A1052" s="1" t="s">
        <v>164</v>
      </c>
      <c r="B1052" s="1" t="s">
        <v>82</v>
      </c>
      <c r="C1052" s="5">
        <v>45566.0</v>
      </c>
      <c r="D1052" s="1" t="s">
        <v>161</v>
      </c>
      <c r="E1052" s="1" t="s">
        <v>11</v>
      </c>
      <c r="F1052" s="1" t="s">
        <v>165</v>
      </c>
      <c r="H1052" s="1">
        <v>0.0</v>
      </c>
      <c r="I1052" s="1">
        <v>0.0</v>
      </c>
      <c r="J1052" s="1">
        <v>0.0</v>
      </c>
      <c r="K1052" s="1">
        <v>1.0</v>
      </c>
      <c r="L1052" s="1">
        <v>8.0</v>
      </c>
      <c r="M1052" s="1">
        <v>0.125</v>
      </c>
      <c r="N1052" s="1">
        <v>26.59000015</v>
      </c>
    </row>
    <row r="1053" ht="15.75" customHeight="1">
      <c r="A1053" s="1" t="s">
        <v>180</v>
      </c>
      <c r="B1053" s="1" t="s">
        <v>220</v>
      </c>
      <c r="C1053" s="5">
        <v>45566.0</v>
      </c>
      <c r="D1053" s="1" t="s">
        <v>161</v>
      </c>
      <c r="E1053" s="1" t="s">
        <v>11</v>
      </c>
      <c r="F1053" s="1" t="s">
        <v>165</v>
      </c>
      <c r="H1053" s="1">
        <v>0.0</v>
      </c>
      <c r="I1053" s="1">
        <v>0.0</v>
      </c>
      <c r="J1053" s="1">
        <v>0.0</v>
      </c>
      <c r="K1053" s="1">
        <v>0.0</v>
      </c>
      <c r="L1053" s="1">
        <v>0.0</v>
      </c>
      <c r="N1053" s="1">
        <v>0.0</v>
      </c>
    </row>
    <row r="1054" ht="15.75" customHeight="1">
      <c r="A1054" s="1" t="s">
        <v>180</v>
      </c>
      <c r="B1054" s="1" t="s">
        <v>220</v>
      </c>
      <c r="C1054" s="5">
        <v>45566.0</v>
      </c>
      <c r="D1054" s="1" t="s">
        <v>161</v>
      </c>
      <c r="E1054" s="1" t="s">
        <v>11</v>
      </c>
      <c r="F1054" s="1" t="s">
        <v>167</v>
      </c>
      <c r="H1054" s="1">
        <v>0.0</v>
      </c>
      <c r="I1054" s="1">
        <v>1.0</v>
      </c>
      <c r="J1054" s="1">
        <v>0.0</v>
      </c>
      <c r="K1054" s="1">
        <v>9.0</v>
      </c>
      <c r="L1054" s="1">
        <v>9.0</v>
      </c>
      <c r="M1054" s="1">
        <v>1.0</v>
      </c>
      <c r="N1054" s="1">
        <v>6.900000095</v>
      </c>
    </row>
    <row r="1055" ht="15.75" customHeight="1">
      <c r="A1055" s="1" t="s">
        <v>180</v>
      </c>
      <c r="B1055" s="1" t="s">
        <v>220</v>
      </c>
      <c r="C1055" s="5">
        <v>45566.0</v>
      </c>
      <c r="D1055" s="1" t="s">
        <v>161</v>
      </c>
      <c r="E1055" s="1" t="s">
        <v>11</v>
      </c>
      <c r="F1055" s="1" t="s">
        <v>166</v>
      </c>
      <c r="H1055" s="1">
        <v>0.0</v>
      </c>
      <c r="I1055" s="1">
        <v>0.0</v>
      </c>
      <c r="J1055" s="1">
        <v>0.0</v>
      </c>
      <c r="K1055" s="1">
        <v>0.0</v>
      </c>
      <c r="L1055" s="1">
        <v>0.0</v>
      </c>
      <c r="N1055" s="1">
        <v>0.0</v>
      </c>
    </row>
    <row r="1056" ht="15.75" customHeight="1">
      <c r="A1056" s="1" t="s">
        <v>180</v>
      </c>
      <c r="B1056" s="1" t="s">
        <v>220</v>
      </c>
      <c r="C1056" s="5">
        <v>45566.0</v>
      </c>
      <c r="D1056" s="1" t="s">
        <v>161</v>
      </c>
      <c r="E1056" s="1" t="s">
        <v>11</v>
      </c>
      <c r="F1056" s="1" t="s">
        <v>171</v>
      </c>
      <c r="H1056" s="1">
        <v>0.0</v>
      </c>
      <c r="I1056" s="1">
        <v>0.0</v>
      </c>
      <c r="J1056" s="1">
        <v>0.0</v>
      </c>
      <c r="K1056" s="1">
        <v>0.0</v>
      </c>
      <c r="L1056" s="1">
        <v>0.0</v>
      </c>
      <c r="N1056" s="1">
        <v>0.0</v>
      </c>
    </row>
    <row r="1057" ht="15.75" customHeight="1">
      <c r="A1057" s="1" t="s">
        <v>180</v>
      </c>
      <c r="B1057" s="1" t="s">
        <v>214</v>
      </c>
      <c r="C1057" s="5">
        <v>45566.0</v>
      </c>
      <c r="D1057" s="1" t="s">
        <v>161</v>
      </c>
      <c r="E1057" s="1" t="s">
        <v>11</v>
      </c>
      <c r="F1057" s="1" t="s">
        <v>165</v>
      </c>
      <c r="H1057" s="1">
        <v>0.0</v>
      </c>
      <c r="I1057" s="1">
        <v>1.0</v>
      </c>
      <c r="J1057" s="1">
        <v>0.0</v>
      </c>
      <c r="K1057" s="1">
        <v>13.0</v>
      </c>
      <c r="L1057" s="1">
        <v>14.0</v>
      </c>
      <c r="M1057" s="1">
        <v>0.928571429</v>
      </c>
      <c r="N1057" s="1">
        <v>5.019999981</v>
      </c>
    </row>
    <row r="1058" ht="15.75" customHeight="1">
      <c r="A1058" s="1" t="s">
        <v>180</v>
      </c>
      <c r="B1058" s="1" t="s">
        <v>214</v>
      </c>
      <c r="C1058" s="5">
        <v>45566.0</v>
      </c>
      <c r="D1058" s="1" t="s">
        <v>161</v>
      </c>
      <c r="E1058" s="1" t="s">
        <v>11</v>
      </c>
      <c r="F1058" s="1" t="s">
        <v>166</v>
      </c>
      <c r="H1058" s="1">
        <v>0.0</v>
      </c>
      <c r="I1058" s="1">
        <v>0.0</v>
      </c>
      <c r="J1058" s="1">
        <v>0.0</v>
      </c>
      <c r="K1058" s="1">
        <v>0.0</v>
      </c>
      <c r="L1058" s="1">
        <v>0.0</v>
      </c>
      <c r="N1058" s="1">
        <v>0.0</v>
      </c>
    </row>
    <row r="1059" ht="15.75" customHeight="1">
      <c r="A1059" s="1" t="s">
        <v>180</v>
      </c>
      <c r="B1059" s="1" t="s">
        <v>226</v>
      </c>
      <c r="C1059" s="5">
        <v>45566.0</v>
      </c>
      <c r="D1059" s="1" t="s">
        <v>161</v>
      </c>
      <c r="E1059" s="1" t="s">
        <v>11</v>
      </c>
      <c r="F1059" s="1" t="s">
        <v>166</v>
      </c>
      <c r="H1059" s="1">
        <v>0.0</v>
      </c>
      <c r="I1059" s="1">
        <v>0.0</v>
      </c>
      <c r="J1059" s="1">
        <v>0.0</v>
      </c>
      <c r="K1059" s="1">
        <v>0.0</v>
      </c>
      <c r="L1059" s="1">
        <v>0.0</v>
      </c>
      <c r="N1059" s="1">
        <v>0.600000024</v>
      </c>
    </row>
    <row r="1060" ht="15.75" customHeight="1">
      <c r="A1060" s="1" t="s">
        <v>164</v>
      </c>
      <c r="B1060" s="1" t="s">
        <v>35</v>
      </c>
      <c r="C1060" s="5">
        <v>45565.0</v>
      </c>
      <c r="D1060" s="1" t="s">
        <v>161</v>
      </c>
      <c r="E1060" s="1" t="s">
        <v>11</v>
      </c>
      <c r="F1060" s="1" t="s">
        <v>165</v>
      </c>
      <c r="G1060" s="1" t="s">
        <v>163</v>
      </c>
      <c r="H1060" s="1">
        <v>1.0</v>
      </c>
      <c r="I1060" s="1">
        <v>1.0</v>
      </c>
      <c r="J1060" s="1">
        <v>0.0</v>
      </c>
      <c r="K1060" s="1">
        <v>12.0</v>
      </c>
      <c r="L1060" s="1">
        <v>12.0</v>
      </c>
      <c r="M1060" s="1">
        <v>1.0</v>
      </c>
      <c r="N1060" s="1">
        <v>3.660000086</v>
      </c>
    </row>
    <row r="1061" ht="15.75" customHeight="1">
      <c r="A1061" s="1" t="s">
        <v>164</v>
      </c>
      <c r="B1061" s="1" t="s">
        <v>35</v>
      </c>
      <c r="C1061" s="5">
        <v>45565.0</v>
      </c>
      <c r="D1061" s="1" t="s">
        <v>161</v>
      </c>
      <c r="E1061" s="1" t="s">
        <v>11</v>
      </c>
      <c r="F1061" s="1" t="s">
        <v>166</v>
      </c>
      <c r="G1061" s="1" t="s">
        <v>163</v>
      </c>
      <c r="H1061" s="1">
        <v>1.0</v>
      </c>
      <c r="I1061" s="1">
        <v>0.0</v>
      </c>
      <c r="J1061" s="1">
        <v>0.0</v>
      </c>
      <c r="K1061" s="1">
        <v>0.0</v>
      </c>
      <c r="L1061" s="1">
        <v>0.0</v>
      </c>
      <c r="N1061" s="1">
        <v>0.0</v>
      </c>
    </row>
    <row r="1062" ht="15.75" customHeight="1">
      <c r="A1062" s="1" t="s">
        <v>164</v>
      </c>
      <c r="B1062" s="1" t="s">
        <v>24</v>
      </c>
      <c r="C1062" s="5">
        <v>45565.0</v>
      </c>
      <c r="D1062" s="1" t="s">
        <v>161</v>
      </c>
      <c r="E1062" s="1" t="s">
        <v>11</v>
      </c>
      <c r="F1062" s="1" t="s">
        <v>166</v>
      </c>
      <c r="G1062" s="1" t="s">
        <v>194</v>
      </c>
      <c r="H1062" s="1">
        <v>1.0</v>
      </c>
      <c r="I1062" s="1">
        <v>0.0</v>
      </c>
      <c r="J1062" s="1">
        <v>0.0</v>
      </c>
      <c r="K1062" s="1">
        <v>1.0</v>
      </c>
      <c r="L1062" s="1">
        <v>2.0</v>
      </c>
      <c r="M1062" s="1">
        <v>0.5</v>
      </c>
      <c r="N1062" s="1">
        <v>7.21999979</v>
      </c>
    </row>
    <row r="1063" ht="15.75" customHeight="1">
      <c r="A1063" s="1" t="s">
        <v>164</v>
      </c>
      <c r="B1063" s="1" t="s">
        <v>52</v>
      </c>
      <c r="C1063" s="5">
        <v>45565.0</v>
      </c>
      <c r="D1063" s="1" t="s">
        <v>161</v>
      </c>
      <c r="E1063" s="1" t="s">
        <v>11</v>
      </c>
      <c r="F1063" s="1" t="s">
        <v>165</v>
      </c>
      <c r="H1063" s="1">
        <v>0.0</v>
      </c>
      <c r="I1063" s="1">
        <v>0.0</v>
      </c>
      <c r="J1063" s="1">
        <v>0.0</v>
      </c>
      <c r="K1063" s="1">
        <v>6.0</v>
      </c>
      <c r="L1063" s="1">
        <v>7.0</v>
      </c>
      <c r="M1063" s="1">
        <v>0.857142857</v>
      </c>
      <c r="N1063" s="1">
        <v>10.13000011</v>
      </c>
    </row>
    <row r="1064" ht="15.75" customHeight="1">
      <c r="A1064" s="1" t="s">
        <v>164</v>
      </c>
      <c r="B1064" s="1" t="s">
        <v>55</v>
      </c>
      <c r="C1064" s="5">
        <v>45565.0</v>
      </c>
      <c r="D1064" s="1" t="s">
        <v>161</v>
      </c>
      <c r="E1064" s="1" t="s">
        <v>11</v>
      </c>
      <c r="F1064" s="1" t="s">
        <v>166</v>
      </c>
      <c r="H1064" s="1">
        <v>0.0</v>
      </c>
      <c r="I1064" s="1">
        <v>0.0</v>
      </c>
      <c r="J1064" s="1">
        <v>0.0</v>
      </c>
      <c r="K1064" s="1">
        <v>1.0</v>
      </c>
      <c r="L1064" s="1">
        <v>3.0</v>
      </c>
      <c r="M1064" s="1">
        <v>0.333333333</v>
      </c>
      <c r="N1064" s="1">
        <v>3.5</v>
      </c>
    </row>
    <row r="1065" ht="15.75" customHeight="1">
      <c r="A1065" s="1" t="s">
        <v>164</v>
      </c>
      <c r="B1065" s="1" t="s">
        <v>179</v>
      </c>
      <c r="C1065" s="5">
        <v>45565.0</v>
      </c>
      <c r="D1065" s="1" t="s">
        <v>161</v>
      </c>
      <c r="E1065" s="1" t="s">
        <v>11</v>
      </c>
      <c r="H1065" s="1">
        <v>0.0</v>
      </c>
      <c r="J1065" s="1">
        <v>0.0</v>
      </c>
      <c r="N1065" s="1">
        <v>23.40999985</v>
      </c>
    </row>
    <row r="1066" ht="15.75" customHeight="1">
      <c r="A1066" s="1" t="s">
        <v>164</v>
      </c>
      <c r="B1066" s="1" t="s">
        <v>63</v>
      </c>
      <c r="C1066" s="5">
        <v>45565.0</v>
      </c>
      <c r="D1066" s="1" t="s">
        <v>161</v>
      </c>
      <c r="E1066" s="1" t="s">
        <v>11</v>
      </c>
      <c r="F1066" s="1" t="s">
        <v>166</v>
      </c>
      <c r="G1066" s="1" t="s">
        <v>200</v>
      </c>
      <c r="H1066" s="1">
        <v>2.0</v>
      </c>
      <c r="I1066" s="1">
        <v>2.0</v>
      </c>
      <c r="J1066" s="1">
        <v>0.0</v>
      </c>
      <c r="K1066" s="1">
        <v>36.0</v>
      </c>
      <c r="L1066" s="1">
        <v>52.0</v>
      </c>
      <c r="M1066" s="1">
        <v>0.692307692</v>
      </c>
      <c r="N1066" s="1">
        <v>23.07999992</v>
      </c>
    </row>
    <row r="1067" ht="15.75" customHeight="1">
      <c r="A1067" s="1" t="s">
        <v>164</v>
      </c>
      <c r="B1067" s="1" t="s">
        <v>183</v>
      </c>
      <c r="C1067" s="5">
        <v>45565.0</v>
      </c>
      <c r="D1067" s="1" t="s">
        <v>161</v>
      </c>
      <c r="E1067" s="1" t="s">
        <v>11</v>
      </c>
      <c r="F1067" s="1" t="s">
        <v>166</v>
      </c>
      <c r="H1067" s="1">
        <v>0.0</v>
      </c>
      <c r="I1067" s="1">
        <v>0.0</v>
      </c>
      <c r="J1067" s="1">
        <v>0.0</v>
      </c>
      <c r="K1067" s="1">
        <v>1.0</v>
      </c>
      <c r="L1067" s="1">
        <v>3.0</v>
      </c>
      <c r="M1067" s="1">
        <v>0.333333333</v>
      </c>
      <c r="N1067" s="1">
        <v>5.739999771</v>
      </c>
    </row>
    <row r="1068" ht="15.75" customHeight="1">
      <c r="A1068" s="1" t="s">
        <v>164</v>
      </c>
      <c r="B1068" s="1" t="s">
        <v>68</v>
      </c>
      <c r="C1068" s="5">
        <v>45565.0</v>
      </c>
      <c r="D1068" s="1" t="s">
        <v>161</v>
      </c>
      <c r="E1068" s="1" t="s">
        <v>11</v>
      </c>
      <c r="F1068" s="1" t="s">
        <v>165</v>
      </c>
      <c r="G1068" s="1" t="s">
        <v>172</v>
      </c>
      <c r="H1068" s="1">
        <v>1.0</v>
      </c>
      <c r="I1068" s="1">
        <v>0.0</v>
      </c>
      <c r="J1068" s="1">
        <v>0.0</v>
      </c>
      <c r="K1068" s="1">
        <v>3.0</v>
      </c>
      <c r="L1068" s="1">
        <v>5.0</v>
      </c>
      <c r="M1068" s="1">
        <v>0.6</v>
      </c>
      <c r="N1068" s="1">
        <v>10.40999985</v>
      </c>
    </row>
    <row r="1069" ht="15.75" customHeight="1">
      <c r="A1069" s="1" t="s">
        <v>164</v>
      </c>
      <c r="B1069" s="1" t="s">
        <v>205</v>
      </c>
      <c r="C1069" s="5">
        <v>45565.0</v>
      </c>
      <c r="D1069" s="1" t="s">
        <v>161</v>
      </c>
      <c r="E1069" s="1" t="s">
        <v>11</v>
      </c>
      <c r="F1069" s="1" t="s">
        <v>166</v>
      </c>
      <c r="H1069" s="1">
        <v>0.0</v>
      </c>
      <c r="I1069" s="1">
        <v>0.0</v>
      </c>
      <c r="J1069" s="1">
        <v>0.0</v>
      </c>
      <c r="K1069" s="1">
        <v>2.0</v>
      </c>
      <c r="L1069" s="1">
        <v>4.0</v>
      </c>
      <c r="M1069" s="1">
        <v>0.5</v>
      </c>
      <c r="N1069" s="1">
        <v>6.389999866</v>
      </c>
    </row>
    <row r="1070" ht="15.75" customHeight="1">
      <c r="A1070" s="1" t="s">
        <v>164</v>
      </c>
      <c r="B1070" s="1" t="s">
        <v>75</v>
      </c>
      <c r="C1070" s="5">
        <v>45565.0</v>
      </c>
      <c r="D1070" s="1" t="s">
        <v>161</v>
      </c>
      <c r="E1070" s="1" t="s">
        <v>11</v>
      </c>
      <c r="F1070" s="1" t="s">
        <v>165</v>
      </c>
      <c r="H1070" s="1">
        <v>0.0</v>
      </c>
      <c r="I1070" s="1">
        <v>0.0</v>
      </c>
      <c r="J1070" s="1">
        <v>0.0</v>
      </c>
      <c r="K1070" s="1">
        <v>2.0</v>
      </c>
      <c r="L1070" s="1">
        <v>6.0</v>
      </c>
      <c r="M1070" s="1">
        <v>0.333333333</v>
      </c>
      <c r="N1070" s="1">
        <v>12.40999985</v>
      </c>
    </row>
    <row r="1071" ht="15.75" customHeight="1">
      <c r="A1071" s="1" t="s">
        <v>164</v>
      </c>
      <c r="B1071" s="1" t="s">
        <v>82</v>
      </c>
      <c r="C1071" s="5">
        <v>45565.0</v>
      </c>
      <c r="D1071" s="1" t="s">
        <v>161</v>
      </c>
      <c r="E1071" s="1" t="s">
        <v>11</v>
      </c>
      <c r="F1071" s="1" t="s">
        <v>165</v>
      </c>
      <c r="H1071" s="1">
        <v>0.0</v>
      </c>
      <c r="I1071" s="1">
        <v>0.0</v>
      </c>
      <c r="J1071" s="1">
        <v>0.0</v>
      </c>
      <c r="K1071" s="1">
        <v>1.0</v>
      </c>
      <c r="L1071" s="1">
        <v>5.0</v>
      </c>
      <c r="M1071" s="1">
        <v>0.2</v>
      </c>
      <c r="N1071" s="1">
        <v>22.32999992</v>
      </c>
    </row>
    <row r="1072" ht="15.75" customHeight="1">
      <c r="A1072" s="1" t="s">
        <v>180</v>
      </c>
      <c r="B1072" s="1" t="s">
        <v>220</v>
      </c>
      <c r="C1072" s="5">
        <v>45565.0</v>
      </c>
      <c r="D1072" s="1" t="s">
        <v>161</v>
      </c>
      <c r="E1072" s="1" t="s">
        <v>11</v>
      </c>
      <c r="F1072" s="1" t="s">
        <v>162</v>
      </c>
      <c r="H1072" s="1">
        <v>0.0</v>
      </c>
      <c r="I1072" s="1">
        <v>1.0</v>
      </c>
      <c r="J1072" s="1">
        <v>0.0</v>
      </c>
      <c r="K1072" s="1">
        <v>6.0</v>
      </c>
      <c r="L1072" s="1">
        <v>6.0</v>
      </c>
      <c r="M1072" s="1">
        <v>1.0</v>
      </c>
      <c r="N1072" s="1">
        <v>4.25</v>
      </c>
    </row>
    <row r="1073" ht="15.75" customHeight="1">
      <c r="A1073" s="1" t="s">
        <v>180</v>
      </c>
      <c r="B1073" s="1" t="s">
        <v>185</v>
      </c>
      <c r="C1073" s="5">
        <v>45565.0</v>
      </c>
      <c r="D1073" s="1" t="s">
        <v>161</v>
      </c>
      <c r="E1073" s="1" t="s">
        <v>11</v>
      </c>
      <c r="F1073" s="1" t="s">
        <v>166</v>
      </c>
      <c r="G1073" s="1" t="s">
        <v>172</v>
      </c>
      <c r="H1073" s="1">
        <v>1.0</v>
      </c>
      <c r="I1073" s="1">
        <v>2.0</v>
      </c>
      <c r="J1073" s="1">
        <v>0.0</v>
      </c>
      <c r="K1073" s="1">
        <v>28.0</v>
      </c>
      <c r="L1073" s="1">
        <v>34.0</v>
      </c>
      <c r="M1073" s="1">
        <v>0.823529412</v>
      </c>
      <c r="N1073" s="1">
        <v>18.17000008</v>
      </c>
    </row>
    <row r="1074" ht="15.75" customHeight="1">
      <c r="A1074" s="1" t="s">
        <v>180</v>
      </c>
      <c r="B1074" s="1" t="s">
        <v>214</v>
      </c>
      <c r="C1074" s="5">
        <v>45565.0</v>
      </c>
      <c r="D1074" s="1" t="s">
        <v>161</v>
      </c>
      <c r="E1074" s="1" t="s">
        <v>11</v>
      </c>
      <c r="F1074" s="1" t="s">
        <v>166</v>
      </c>
      <c r="G1074" s="1" t="s">
        <v>201</v>
      </c>
      <c r="H1074" s="1">
        <v>1.0</v>
      </c>
      <c r="I1074" s="1">
        <v>0.0</v>
      </c>
      <c r="J1074" s="1">
        <v>0.0</v>
      </c>
      <c r="K1074" s="1">
        <v>12.0</v>
      </c>
      <c r="L1074" s="1">
        <v>24.0</v>
      </c>
      <c r="M1074" s="1">
        <v>0.5</v>
      </c>
      <c r="N1074" s="1">
        <v>15.06999969</v>
      </c>
    </row>
    <row r="1075" ht="15.75" customHeight="1">
      <c r="A1075" s="1" t="s">
        <v>180</v>
      </c>
      <c r="B1075" s="1" t="s">
        <v>214</v>
      </c>
      <c r="C1075" s="5">
        <v>45564.0</v>
      </c>
      <c r="D1075" s="1" t="s">
        <v>161</v>
      </c>
      <c r="E1075" s="1" t="s">
        <v>11</v>
      </c>
      <c r="F1075" s="1" t="s">
        <v>166</v>
      </c>
      <c r="H1075" s="1">
        <v>0.0</v>
      </c>
      <c r="I1075" s="1">
        <v>2.0</v>
      </c>
      <c r="J1075" s="1">
        <v>0.0</v>
      </c>
      <c r="K1075" s="1">
        <v>29.0</v>
      </c>
      <c r="L1075" s="1">
        <v>34.0</v>
      </c>
      <c r="M1075" s="1">
        <v>0.852941176</v>
      </c>
      <c r="N1075" s="1">
        <v>76.80999756</v>
      </c>
    </row>
    <row r="1076" ht="15.75" customHeight="1">
      <c r="A1076" s="1" t="s">
        <v>160</v>
      </c>
      <c r="B1076" s="1" t="s">
        <v>212</v>
      </c>
      <c r="C1076" s="5">
        <v>45563.0</v>
      </c>
      <c r="D1076" s="1" t="s">
        <v>161</v>
      </c>
      <c r="E1076" s="1" t="s">
        <v>11</v>
      </c>
      <c r="F1076" s="1" t="s">
        <v>165</v>
      </c>
      <c r="H1076" s="1">
        <v>0.0</v>
      </c>
      <c r="I1076" s="1">
        <v>1.0</v>
      </c>
      <c r="J1076" s="1">
        <v>0.0</v>
      </c>
      <c r="K1076" s="1">
        <v>42.0</v>
      </c>
      <c r="L1076" s="1">
        <v>61.0</v>
      </c>
      <c r="M1076" s="1">
        <v>0.68852459</v>
      </c>
      <c r="N1076" s="1">
        <v>55.95000076</v>
      </c>
    </row>
    <row r="1077" ht="15.75" customHeight="1">
      <c r="A1077" s="1" t="s">
        <v>164</v>
      </c>
      <c r="B1077" s="1" t="s">
        <v>35</v>
      </c>
      <c r="C1077" s="5">
        <v>45563.0</v>
      </c>
      <c r="D1077" s="1" t="s">
        <v>161</v>
      </c>
      <c r="E1077" s="1" t="s">
        <v>11</v>
      </c>
      <c r="F1077" s="1" t="s">
        <v>165</v>
      </c>
      <c r="G1077" s="1" t="s">
        <v>163</v>
      </c>
      <c r="H1077" s="1">
        <v>1.0</v>
      </c>
      <c r="I1077" s="1">
        <v>1.0</v>
      </c>
      <c r="J1077" s="1">
        <v>0.0</v>
      </c>
      <c r="K1077" s="1">
        <v>4.0</v>
      </c>
      <c r="L1077" s="1">
        <v>4.0</v>
      </c>
      <c r="M1077" s="1">
        <v>1.0</v>
      </c>
      <c r="N1077" s="1">
        <v>0.0</v>
      </c>
    </row>
    <row r="1078" ht="15.75" customHeight="1">
      <c r="A1078" s="1" t="s">
        <v>164</v>
      </c>
      <c r="B1078" s="1" t="s">
        <v>35</v>
      </c>
      <c r="C1078" s="5">
        <v>45563.0</v>
      </c>
      <c r="D1078" s="1" t="s">
        <v>161</v>
      </c>
      <c r="E1078" s="1" t="s">
        <v>11</v>
      </c>
      <c r="F1078" s="1" t="s">
        <v>221</v>
      </c>
      <c r="G1078" s="1" t="s">
        <v>163</v>
      </c>
      <c r="H1078" s="1">
        <v>1.0</v>
      </c>
      <c r="I1078" s="1">
        <v>1.0</v>
      </c>
      <c r="J1078" s="1">
        <v>0.0</v>
      </c>
      <c r="K1078" s="1">
        <v>18.0</v>
      </c>
      <c r="L1078" s="1">
        <v>25.0</v>
      </c>
      <c r="M1078" s="1">
        <v>0.72</v>
      </c>
      <c r="N1078" s="1">
        <v>23.0</v>
      </c>
    </row>
    <row r="1079" ht="15.75" customHeight="1">
      <c r="A1079" s="1" t="s">
        <v>164</v>
      </c>
      <c r="B1079" s="1" t="s">
        <v>35</v>
      </c>
      <c r="C1079" s="5">
        <v>45563.0</v>
      </c>
      <c r="D1079" s="1" t="s">
        <v>161</v>
      </c>
      <c r="E1079" s="1" t="s">
        <v>11</v>
      </c>
      <c r="F1079" s="1" t="s">
        <v>167</v>
      </c>
      <c r="G1079" s="1" t="s">
        <v>163</v>
      </c>
      <c r="H1079" s="1">
        <v>1.0</v>
      </c>
      <c r="I1079" s="1">
        <v>1.0</v>
      </c>
      <c r="J1079" s="1">
        <v>0.0</v>
      </c>
      <c r="K1079" s="1">
        <v>13.0</v>
      </c>
      <c r="L1079" s="1">
        <v>15.0</v>
      </c>
      <c r="M1079" s="1">
        <v>0.866666667</v>
      </c>
      <c r="N1079" s="1">
        <v>0.0</v>
      </c>
    </row>
    <row r="1080" ht="15.75" customHeight="1">
      <c r="A1080" s="1" t="s">
        <v>180</v>
      </c>
      <c r="B1080" s="1" t="s">
        <v>214</v>
      </c>
      <c r="C1080" s="5">
        <v>45563.0</v>
      </c>
      <c r="D1080" s="1" t="s">
        <v>161</v>
      </c>
      <c r="E1080" s="1" t="s">
        <v>11</v>
      </c>
      <c r="F1080" s="1" t="s">
        <v>166</v>
      </c>
      <c r="H1080" s="1">
        <v>0.0</v>
      </c>
      <c r="I1080" s="1">
        <v>1.0</v>
      </c>
      <c r="J1080" s="1">
        <v>0.0</v>
      </c>
      <c r="K1080" s="1">
        <v>8.0</v>
      </c>
      <c r="L1080" s="1">
        <v>8.0</v>
      </c>
      <c r="M1080" s="1">
        <v>1.0</v>
      </c>
      <c r="N1080" s="1">
        <v>37.91999817</v>
      </c>
    </row>
    <row r="1081" ht="15.75" customHeight="1">
      <c r="A1081" s="1" t="s">
        <v>160</v>
      </c>
      <c r="B1081" s="1" t="s">
        <v>39</v>
      </c>
      <c r="C1081" s="5">
        <v>45562.0</v>
      </c>
      <c r="D1081" s="1" t="s">
        <v>161</v>
      </c>
      <c r="E1081" s="1" t="s">
        <v>11</v>
      </c>
      <c r="F1081" s="1" t="s">
        <v>162</v>
      </c>
      <c r="H1081" s="1">
        <v>0.0</v>
      </c>
      <c r="I1081" s="1">
        <v>0.0</v>
      </c>
      <c r="J1081" s="1">
        <v>0.0</v>
      </c>
      <c r="K1081" s="1">
        <v>3.0</v>
      </c>
      <c r="L1081" s="1">
        <v>5.0</v>
      </c>
      <c r="M1081" s="1">
        <v>0.6</v>
      </c>
      <c r="N1081" s="1">
        <v>10.68000031</v>
      </c>
    </row>
    <row r="1082" ht="15.75" customHeight="1">
      <c r="A1082" s="1" t="s">
        <v>160</v>
      </c>
      <c r="B1082" s="1" t="s">
        <v>39</v>
      </c>
      <c r="C1082" s="5">
        <v>45562.0</v>
      </c>
      <c r="D1082" s="1" t="s">
        <v>161</v>
      </c>
      <c r="E1082" s="1" t="s">
        <v>11</v>
      </c>
      <c r="F1082" s="1" t="s">
        <v>166</v>
      </c>
      <c r="H1082" s="1">
        <v>0.0</v>
      </c>
      <c r="I1082" s="1">
        <v>0.0</v>
      </c>
      <c r="J1082" s="1">
        <v>0.0</v>
      </c>
      <c r="K1082" s="1">
        <v>0.0</v>
      </c>
      <c r="L1082" s="1">
        <v>0.0</v>
      </c>
      <c r="N1082" s="1">
        <v>0.0</v>
      </c>
    </row>
    <row r="1083" ht="15.75" customHeight="1">
      <c r="A1083" s="1" t="s">
        <v>164</v>
      </c>
      <c r="B1083" s="1" t="s">
        <v>24</v>
      </c>
      <c r="C1083" s="5">
        <v>45562.0</v>
      </c>
      <c r="D1083" s="1" t="s">
        <v>161</v>
      </c>
      <c r="E1083" s="1" t="s">
        <v>11</v>
      </c>
      <c r="F1083" s="1" t="s">
        <v>166</v>
      </c>
      <c r="H1083" s="1">
        <v>0.0</v>
      </c>
      <c r="I1083" s="1">
        <v>0.0</v>
      </c>
      <c r="J1083" s="1">
        <v>0.0</v>
      </c>
      <c r="K1083" s="1">
        <v>0.0</v>
      </c>
      <c r="L1083" s="1">
        <v>3.0</v>
      </c>
      <c r="M1083" s="1">
        <v>0.0</v>
      </c>
      <c r="N1083" s="1">
        <v>5.559999943</v>
      </c>
    </row>
    <row r="1084" ht="15.75" customHeight="1">
      <c r="A1084" s="1" t="s">
        <v>164</v>
      </c>
      <c r="B1084" s="1" t="s">
        <v>207</v>
      </c>
      <c r="C1084" s="5">
        <v>45562.0</v>
      </c>
      <c r="D1084" s="1" t="s">
        <v>161</v>
      </c>
      <c r="E1084" s="1" t="s">
        <v>11</v>
      </c>
      <c r="F1084" s="1" t="s">
        <v>166</v>
      </c>
      <c r="H1084" s="1">
        <v>0.0</v>
      </c>
      <c r="I1084" s="1">
        <v>1.0</v>
      </c>
      <c r="J1084" s="1">
        <v>0.0</v>
      </c>
      <c r="K1084" s="1">
        <v>1.0</v>
      </c>
      <c r="L1084" s="1">
        <v>1.0</v>
      </c>
      <c r="M1084" s="1">
        <v>1.0</v>
      </c>
      <c r="N1084" s="1">
        <v>2.130000114</v>
      </c>
    </row>
    <row r="1085" ht="15.75" customHeight="1">
      <c r="A1085" s="1" t="s">
        <v>164</v>
      </c>
      <c r="B1085" s="1" t="s">
        <v>52</v>
      </c>
      <c r="C1085" s="5">
        <v>45562.0</v>
      </c>
      <c r="D1085" s="1" t="s">
        <v>161</v>
      </c>
      <c r="E1085" s="1" t="s">
        <v>11</v>
      </c>
      <c r="F1085" s="1" t="s">
        <v>165</v>
      </c>
      <c r="H1085" s="1">
        <v>0.0</v>
      </c>
      <c r="I1085" s="1">
        <v>0.0</v>
      </c>
      <c r="J1085" s="1">
        <v>0.0</v>
      </c>
      <c r="K1085" s="1">
        <v>2.0</v>
      </c>
      <c r="L1085" s="1">
        <v>4.0</v>
      </c>
      <c r="M1085" s="1">
        <v>0.5</v>
      </c>
      <c r="N1085" s="1">
        <v>4.289999962</v>
      </c>
    </row>
    <row r="1086" ht="15.75" customHeight="1">
      <c r="A1086" s="1" t="s">
        <v>164</v>
      </c>
      <c r="B1086" s="1" t="s">
        <v>55</v>
      </c>
      <c r="C1086" s="5">
        <v>45562.0</v>
      </c>
      <c r="D1086" s="1" t="s">
        <v>161</v>
      </c>
      <c r="E1086" s="1" t="s">
        <v>11</v>
      </c>
      <c r="F1086" s="1" t="s">
        <v>166</v>
      </c>
      <c r="H1086" s="1">
        <v>0.0</v>
      </c>
      <c r="I1086" s="1">
        <v>0.0</v>
      </c>
      <c r="J1086" s="1">
        <v>0.0</v>
      </c>
      <c r="K1086" s="1">
        <v>0.0</v>
      </c>
      <c r="L1086" s="1">
        <v>0.0</v>
      </c>
      <c r="N1086" s="1">
        <v>0.0</v>
      </c>
    </row>
    <row r="1087" ht="15.75" customHeight="1">
      <c r="A1087" s="1" t="s">
        <v>164</v>
      </c>
      <c r="B1087" s="1" t="s">
        <v>60</v>
      </c>
      <c r="C1087" s="5">
        <v>45562.0</v>
      </c>
      <c r="D1087" s="1" t="s">
        <v>161</v>
      </c>
      <c r="E1087" s="1" t="s">
        <v>11</v>
      </c>
      <c r="F1087" s="1" t="s">
        <v>166</v>
      </c>
      <c r="H1087" s="1">
        <v>0.0</v>
      </c>
      <c r="I1087" s="1">
        <v>0.0</v>
      </c>
      <c r="J1087" s="1">
        <v>0.0</v>
      </c>
      <c r="K1087" s="1">
        <v>2.0</v>
      </c>
      <c r="L1087" s="1">
        <v>4.0</v>
      </c>
      <c r="M1087" s="1">
        <v>0.5</v>
      </c>
      <c r="N1087" s="1">
        <v>7.989999771</v>
      </c>
    </row>
    <row r="1088" ht="15.75" customHeight="1">
      <c r="A1088" s="1" t="s">
        <v>164</v>
      </c>
      <c r="B1088" s="1" t="s">
        <v>63</v>
      </c>
      <c r="C1088" s="5">
        <v>45562.0</v>
      </c>
      <c r="D1088" s="1" t="s">
        <v>161</v>
      </c>
      <c r="E1088" s="1" t="s">
        <v>11</v>
      </c>
      <c r="F1088" s="1" t="s">
        <v>166</v>
      </c>
      <c r="G1088" s="1" t="s">
        <v>172</v>
      </c>
      <c r="H1088" s="1">
        <v>1.0</v>
      </c>
      <c r="I1088" s="1">
        <v>0.0</v>
      </c>
      <c r="J1088" s="1">
        <v>0.0</v>
      </c>
      <c r="K1088" s="1">
        <v>19.0</v>
      </c>
      <c r="L1088" s="1">
        <v>25.0</v>
      </c>
      <c r="M1088" s="1">
        <v>0.76</v>
      </c>
      <c r="N1088" s="1">
        <v>15.07999992</v>
      </c>
    </row>
    <row r="1089" ht="15.75" customHeight="1">
      <c r="A1089" s="1" t="s">
        <v>164</v>
      </c>
      <c r="B1089" s="1" t="s">
        <v>68</v>
      </c>
      <c r="C1089" s="5">
        <v>45562.0</v>
      </c>
      <c r="D1089" s="1" t="s">
        <v>161</v>
      </c>
      <c r="E1089" s="1" t="s">
        <v>11</v>
      </c>
      <c r="F1089" s="1" t="s">
        <v>165</v>
      </c>
      <c r="G1089" s="1" t="s">
        <v>172</v>
      </c>
      <c r="H1089" s="1">
        <v>1.0</v>
      </c>
      <c r="I1089" s="1">
        <v>0.0</v>
      </c>
      <c r="J1089" s="1">
        <v>0.0</v>
      </c>
      <c r="K1089" s="1">
        <v>13.0</v>
      </c>
      <c r="L1089" s="1">
        <v>19.0</v>
      </c>
      <c r="M1089" s="1">
        <v>0.684210526</v>
      </c>
      <c r="N1089" s="1">
        <v>13.14999962</v>
      </c>
    </row>
    <row r="1090" ht="15.75" customHeight="1">
      <c r="A1090" s="1" t="s">
        <v>164</v>
      </c>
      <c r="B1090" s="1" t="s">
        <v>205</v>
      </c>
      <c r="C1090" s="5">
        <v>45562.0</v>
      </c>
      <c r="D1090" s="1" t="s">
        <v>161</v>
      </c>
      <c r="E1090" s="1" t="s">
        <v>11</v>
      </c>
      <c r="F1090" s="1" t="s">
        <v>166</v>
      </c>
      <c r="H1090" s="1">
        <v>0.0</v>
      </c>
      <c r="I1090" s="1">
        <v>0.0</v>
      </c>
      <c r="J1090" s="1">
        <v>0.0</v>
      </c>
      <c r="K1090" s="1">
        <v>18.0</v>
      </c>
      <c r="L1090" s="1">
        <v>32.0</v>
      </c>
      <c r="M1090" s="1">
        <v>0.5625</v>
      </c>
      <c r="N1090" s="1">
        <v>44.27000046</v>
      </c>
    </row>
    <row r="1091" ht="15.75" customHeight="1">
      <c r="A1091" s="1" t="s">
        <v>164</v>
      </c>
      <c r="B1091" s="1" t="s">
        <v>75</v>
      </c>
      <c r="C1091" s="5">
        <v>45562.0</v>
      </c>
      <c r="D1091" s="1" t="s">
        <v>161</v>
      </c>
      <c r="E1091" s="1" t="s">
        <v>11</v>
      </c>
      <c r="F1091" s="1" t="s">
        <v>165</v>
      </c>
      <c r="H1091" s="1">
        <v>0.0</v>
      </c>
      <c r="I1091" s="1">
        <v>0.0</v>
      </c>
      <c r="J1091" s="1">
        <v>0.0</v>
      </c>
      <c r="K1091" s="1">
        <v>4.0</v>
      </c>
      <c r="L1091" s="1">
        <v>13.0</v>
      </c>
      <c r="M1091" s="1">
        <v>0.307692308</v>
      </c>
      <c r="N1091" s="1">
        <v>21.0</v>
      </c>
    </row>
    <row r="1092" ht="15.75" customHeight="1">
      <c r="A1092" s="1" t="s">
        <v>164</v>
      </c>
      <c r="B1092" s="1" t="s">
        <v>100</v>
      </c>
      <c r="C1092" s="5">
        <v>45562.0</v>
      </c>
      <c r="D1092" s="1" t="s">
        <v>161</v>
      </c>
      <c r="E1092" s="1" t="s">
        <v>11</v>
      </c>
      <c r="F1092" s="1" t="s">
        <v>171</v>
      </c>
      <c r="H1092" s="1">
        <v>0.0</v>
      </c>
      <c r="I1092" s="1">
        <v>0.0</v>
      </c>
      <c r="J1092" s="1">
        <v>0.0</v>
      </c>
      <c r="K1092" s="1">
        <v>13.0</v>
      </c>
      <c r="L1092" s="1">
        <v>51.0</v>
      </c>
      <c r="M1092" s="1">
        <v>0.254901961</v>
      </c>
      <c r="N1092" s="1">
        <v>59.22000122</v>
      </c>
    </row>
    <row r="1093" ht="15.75" customHeight="1">
      <c r="A1093" s="1" t="s">
        <v>164</v>
      </c>
      <c r="B1093" s="1" t="s">
        <v>82</v>
      </c>
      <c r="C1093" s="5">
        <v>45562.0</v>
      </c>
      <c r="D1093" s="1" t="s">
        <v>161</v>
      </c>
      <c r="E1093" s="1" t="s">
        <v>11</v>
      </c>
      <c r="F1093" s="1" t="s">
        <v>165</v>
      </c>
      <c r="H1093" s="1">
        <v>0.0</v>
      </c>
      <c r="I1093" s="1">
        <v>2.0</v>
      </c>
      <c r="J1093" s="1">
        <v>0.0</v>
      </c>
      <c r="K1093" s="1">
        <v>43.0</v>
      </c>
      <c r="L1093" s="1">
        <v>70.0</v>
      </c>
      <c r="M1093" s="1">
        <v>0.614285714</v>
      </c>
      <c r="N1093" s="1">
        <v>36.63999939</v>
      </c>
    </row>
    <row r="1094" ht="15.75" customHeight="1">
      <c r="A1094" s="1" t="s">
        <v>180</v>
      </c>
      <c r="B1094" s="1" t="s">
        <v>214</v>
      </c>
      <c r="C1094" s="5">
        <v>45562.0</v>
      </c>
      <c r="D1094" s="1" t="s">
        <v>161</v>
      </c>
      <c r="E1094" s="1" t="s">
        <v>11</v>
      </c>
      <c r="F1094" s="1" t="s">
        <v>166</v>
      </c>
      <c r="H1094" s="1">
        <v>0.0</v>
      </c>
      <c r="I1094" s="1">
        <v>0.0</v>
      </c>
      <c r="J1094" s="1">
        <v>0.0</v>
      </c>
      <c r="K1094" s="1">
        <v>0.0</v>
      </c>
      <c r="L1094" s="1">
        <v>0.0</v>
      </c>
      <c r="N1094" s="1">
        <v>2.720000029</v>
      </c>
    </row>
    <row r="1095" ht="15.75" customHeight="1">
      <c r="A1095" s="1" t="s">
        <v>160</v>
      </c>
      <c r="B1095" s="1" t="s">
        <v>18</v>
      </c>
      <c r="C1095" s="5">
        <v>45561.0</v>
      </c>
      <c r="D1095" s="1" t="s">
        <v>161</v>
      </c>
      <c r="E1095" s="1" t="s">
        <v>11</v>
      </c>
      <c r="F1095" s="1" t="s">
        <v>162</v>
      </c>
      <c r="H1095" s="1">
        <v>0.0</v>
      </c>
      <c r="I1095" s="1">
        <v>0.0</v>
      </c>
      <c r="J1095" s="1">
        <v>0.0</v>
      </c>
      <c r="K1095" s="1">
        <v>0.0</v>
      </c>
      <c r="L1095" s="1">
        <v>1.0</v>
      </c>
      <c r="M1095" s="1">
        <v>0.0</v>
      </c>
      <c r="N1095" s="1">
        <v>1.389999986</v>
      </c>
    </row>
    <row r="1096" ht="15.75" customHeight="1">
      <c r="A1096" s="1" t="s">
        <v>164</v>
      </c>
      <c r="B1096" s="1" t="s">
        <v>35</v>
      </c>
      <c r="C1096" s="5">
        <v>45561.0</v>
      </c>
      <c r="D1096" s="1" t="s">
        <v>161</v>
      </c>
      <c r="E1096" s="1" t="s">
        <v>11</v>
      </c>
      <c r="F1096" s="1" t="s">
        <v>166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N1096" s="1">
        <v>0.649999976</v>
      </c>
    </row>
    <row r="1097" ht="15.75" customHeight="1">
      <c r="A1097" s="1" t="s">
        <v>164</v>
      </c>
      <c r="B1097" s="1" t="s">
        <v>24</v>
      </c>
      <c r="C1097" s="5">
        <v>45561.0</v>
      </c>
      <c r="D1097" s="1" t="s">
        <v>161</v>
      </c>
      <c r="E1097" s="1" t="s">
        <v>11</v>
      </c>
      <c r="F1097" s="1" t="s">
        <v>166</v>
      </c>
      <c r="H1097" s="1">
        <v>0.0</v>
      </c>
      <c r="I1097" s="1">
        <v>0.0</v>
      </c>
      <c r="J1097" s="1">
        <v>0.0</v>
      </c>
      <c r="K1097" s="1">
        <v>2.0</v>
      </c>
      <c r="L1097" s="1">
        <v>5.0</v>
      </c>
      <c r="M1097" s="1">
        <v>0.4</v>
      </c>
      <c r="N1097" s="1">
        <v>26.55999947</v>
      </c>
    </row>
    <row r="1098" ht="15.75" customHeight="1">
      <c r="A1098" s="1" t="s">
        <v>164</v>
      </c>
      <c r="B1098" s="1" t="s">
        <v>52</v>
      </c>
      <c r="C1098" s="5">
        <v>45561.0</v>
      </c>
      <c r="D1098" s="1" t="s">
        <v>161</v>
      </c>
      <c r="E1098" s="1" t="s">
        <v>11</v>
      </c>
      <c r="F1098" s="1" t="s">
        <v>165</v>
      </c>
      <c r="H1098" s="1">
        <v>0.0</v>
      </c>
      <c r="I1098" s="1">
        <v>0.0</v>
      </c>
      <c r="J1098" s="1">
        <v>0.0</v>
      </c>
      <c r="K1098" s="1">
        <v>1.0</v>
      </c>
      <c r="L1098" s="1">
        <v>2.0</v>
      </c>
      <c r="M1098" s="1">
        <v>0.5</v>
      </c>
      <c r="N1098" s="1">
        <v>4.579999924</v>
      </c>
    </row>
    <row r="1099" ht="15.75" customHeight="1">
      <c r="A1099" s="1" t="s">
        <v>164</v>
      </c>
      <c r="B1099" s="1" t="s">
        <v>68</v>
      </c>
      <c r="C1099" s="5">
        <v>45561.0</v>
      </c>
      <c r="D1099" s="1" t="s">
        <v>161</v>
      </c>
      <c r="E1099" s="1" t="s">
        <v>11</v>
      </c>
      <c r="F1099" s="1" t="s">
        <v>165</v>
      </c>
      <c r="H1099" s="1">
        <v>0.0</v>
      </c>
      <c r="I1099" s="1">
        <v>0.0</v>
      </c>
      <c r="J1099" s="1">
        <v>0.0</v>
      </c>
      <c r="K1099" s="1">
        <v>3.0</v>
      </c>
      <c r="L1099" s="1">
        <v>10.0</v>
      </c>
      <c r="M1099" s="1">
        <v>0.3</v>
      </c>
      <c r="N1099" s="1">
        <v>10.36999989</v>
      </c>
    </row>
    <row r="1100" ht="15.75" customHeight="1">
      <c r="A1100" s="1" t="s">
        <v>164</v>
      </c>
      <c r="B1100" s="1" t="s">
        <v>205</v>
      </c>
      <c r="C1100" s="5">
        <v>45561.0</v>
      </c>
      <c r="D1100" s="1" t="s">
        <v>161</v>
      </c>
      <c r="E1100" s="1" t="s">
        <v>11</v>
      </c>
      <c r="F1100" s="1" t="s">
        <v>166</v>
      </c>
      <c r="G1100" s="1" t="s">
        <v>172</v>
      </c>
      <c r="H1100" s="1">
        <v>1.0</v>
      </c>
      <c r="I1100" s="1">
        <v>1.0</v>
      </c>
      <c r="J1100" s="1">
        <v>0.0</v>
      </c>
      <c r="K1100" s="1">
        <v>33.0</v>
      </c>
      <c r="L1100" s="1">
        <v>40.0</v>
      </c>
      <c r="M1100" s="1">
        <v>0.825</v>
      </c>
      <c r="N1100" s="1">
        <v>65.95999908</v>
      </c>
    </row>
    <row r="1101" ht="15.75" customHeight="1">
      <c r="A1101" s="1" t="s">
        <v>164</v>
      </c>
      <c r="B1101" s="1" t="s">
        <v>75</v>
      </c>
      <c r="C1101" s="5">
        <v>45561.0</v>
      </c>
      <c r="D1101" s="1" t="s">
        <v>161</v>
      </c>
      <c r="E1101" s="1" t="s">
        <v>11</v>
      </c>
      <c r="F1101" s="1" t="s">
        <v>165</v>
      </c>
      <c r="H1101" s="1">
        <v>0.0</v>
      </c>
      <c r="I1101" s="1">
        <v>0.0</v>
      </c>
      <c r="J1101" s="1">
        <v>0.0</v>
      </c>
      <c r="K1101" s="1">
        <v>1.0</v>
      </c>
      <c r="L1101" s="1">
        <v>5.0</v>
      </c>
      <c r="M1101" s="1">
        <v>0.2</v>
      </c>
      <c r="N1101" s="1">
        <v>9.0</v>
      </c>
    </row>
    <row r="1102" ht="15.75" customHeight="1">
      <c r="A1102" s="1" t="s">
        <v>164</v>
      </c>
      <c r="B1102" s="1" t="s">
        <v>100</v>
      </c>
      <c r="C1102" s="5">
        <v>45561.0</v>
      </c>
      <c r="D1102" s="1" t="s">
        <v>161</v>
      </c>
      <c r="E1102" s="1" t="s">
        <v>11</v>
      </c>
      <c r="F1102" s="1" t="s">
        <v>171</v>
      </c>
      <c r="G1102" s="1" t="s">
        <v>200</v>
      </c>
      <c r="H1102" s="1">
        <v>2.0</v>
      </c>
      <c r="I1102" s="1">
        <v>3.0</v>
      </c>
      <c r="J1102" s="1">
        <v>0.0</v>
      </c>
      <c r="K1102" s="1">
        <v>114.0</v>
      </c>
      <c r="L1102" s="1">
        <v>209.0</v>
      </c>
      <c r="M1102" s="1">
        <v>0.545454545</v>
      </c>
      <c r="N1102" s="1">
        <v>87.62000275</v>
      </c>
    </row>
    <row r="1103" ht="15.75" customHeight="1">
      <c r="A1103" s="1" t="s">
        <v>164</v>
      </c>
      <c r="B1103" s="1" t="s">
        <v>82</v>
      </c>
      <c r="C1103" s="5">
        <v>45561.0</v>
      </c>
      <c r="D1103" s="1" t="s">
        <v>161</v>
      </c>
      <c r="E1103" s="1" t="s">
        <v>11</v>
      </c>
      <c r="F1103" s="1" t="s">
        <v>165</v>
      </c>
      <c r="H1103" s="1">
        <v>0.0</v>
      </c>
      <c r="I1103" s="1">
        <v>2.0</v>
      </c>
      <c r="J1103" s="1">
        <v>0.0</v>
      </c>
      <c r="K1103" s="1">
        <v>45.0</v>
      </c>
      <c r="L1103" s="1">
        <v>79.0</v>
      </c>
      <c r="M1103" s="1">
        <v>0.569620253</v>
      </c>
      <c r="N1103" s="1">
        <v>35.20000076</v>
      </c>
    </row>
    <row r="1104" ht="15.75" customHeight="1">
      <c r="A1104" s="1" t="s">
        <v>180</v>
      </c>
      <c r="B1104" s="1" t="s">
        <v>220</v>
      </c>
      <c r="C1104" s="5">
        <v>45561.0</v>
      </c>
      <c r="D1104" s="1" t="s">
        <v>161</v>
      </c>
      <c r="E1104" s="1" t="s">
        <v>11</v>
      </c>
      <c r="F1104" s="1" t="s">
        <v>165</v>
      </c>
      <c r="H1104" s="1">
        <v>0.0</v>
      </c>
      <c r="I1104" s="1">
        <v>1.0</v>
      </c>
      <c r="J1104" s="1">
        <v>0.0</v>
      </c>
      <c r="K1104" s="1">
        <v>12.0</v>
      </c>
      <c r="L1104" s="1">
        <v>12.0</v>
      </c>
      <c r="M1104" s="1">
        <v>1.0</v>
      </c>
      <c r="N1104" s="1">
        <v>0.0</v>
      </c>
    </row>
    <row r="1105" ht="15.75" customHeight="1">
      <c r="A1105" s="1" t="s">
        <v>180</v>
      </c>
      <c r="B1105" s="1" t="s">
        <v>220</v>
      </c>
      <c r="C1105" s="5">
        <v>45561.0</v>
      </c>
      <c r="D1105" s="1" t="s">
        <v>161</v>
      </c>
      <c r="E1105" s="1" t="s">
        <v>11</v>
      </c>
      <c r="F1105" s="1" t="s">
        <v>167</v>
      </c>
      <c r="H1105" s="1">
        <v>0.0</v>
      </c>
      <c r="I1105" s="1">
        <v>0.0</v>
      </c>
      <c r="J1105" s="1">
        <v>0.0</v>
      </c>
      <c r="K1105" s="1">
        <v>7.0</v>
      </c>
      <c r="L1105" s="1">
        <v>14.0</v>
      </c>
      <c r="M1105" s="1">
        <v>0.5</v>
      </c>
      <c r="N1105" s="1">
        <v>16.65999985</v>
      </c>
    </row>
    <row r="1106" ht="15.75" customHeight="1">
      <c r="A1106" s="1" t="s">
        <v>180</v>
      </c>
      <c r="B1106" s="1" t="s">
        <v>220</v>
      </c>
      <c r="C1106" s="5">
        <v>45561.0</v>
      </c>
      <c r="D1106" s="1" t="s">
        <v>161</v>
      </c>
      <c r="E1106" s="1" t="s">
        <v>11</v>
      </c>
      <c r="F1106" s="1" t="s">
        <v>162</v>
      </c>
      <c r="H1106" s="1">
        <v>0.0</v>
      </c>
      <c r="I1106" s="1">
        <v>0.0</v>
      </c>
      <c r="J1106" s="1">
        <v>0.0</v>
      </c>
      <c r="K1106" s="1">
        <v>7.0</v>
      </c>
      <c r="L1106" s="1">
        <v>9.0</v>
      </c>
      <c r="M1106" s="1">
        <v>0.777777778</v>
      </c>
      <c r="N1106" s="1">
        <v>0.0</v>
      </c>
    </row>
    <row r="1107" ht="15.75" customHeight="1">
      <c r="A1107" s="1" t="s">
        <v>180</v>
      </c>
      <c r="B1107" s="1" t="s">
        <v>220</v>
      </c>
      <c r="C1107" s="5">
        <v>45561.0</v>
      </c>
      <c r="D1107" s="1" t="s">
        <v>161</v>
      </c>
      <c r="E1107" s="1" t="s">
        <v>11</v>
      </c>
      <c r="F1107" s="1" t="s">
        <v>166</v>
      </c>
      <c r="H1107" s="1">
        <v>0.0</v>
      </c>
      <c r="I1107" s="1">
        <v>0.0</v>
      </c>
      <c r="J1107" s="1">
        <v>0.0</v>
      </c>
      <c r="K1107" s="1">
        <v>0.0</v>
      </c>
      <c r="L1107" s="1">
        <v>0.0</v>
      </c>
      <c r="N1107" s="1">
        <v>0.0</v>
      </c>
    </row>
    <row r="1108" ht="15.75" customHeight="1">
      <c r="A1108" s="1" t="s">
        <v>180</v>
      </c>
      <c r="B1108" s="1" t="s">
        <v>220</v>
      </c>
      <c r="C1108" s="5">
        <v>45561.0</v>
      </c>
      <c r="D1108" s="1" t="s">
        <v>161</v>
      </c>
      <c r="E1108" s="1" t="s">
        <v>11</v>
      </c>
      <c r="F1108" s="1" t="s">
        <v>171</v>
      </c>
      <c r="H1108" s="1">
        <v>0.0</v>
      </c>
      <c r="I1108" s="1">
        <v>0.0</v>
      </c>
      <c r="J1108" s="1">
        <v>0.0</v>
      </c>
      <c r="K1108" s="1">
        <v>1.0</v>
      </c>
      <c r="L1108" s="1">
        <v>2.0</v>
      </c>
      <c r="M1108" s="1">
        <v>0.5</v>
      </c>
      <c r="N1108" s="1">
        <v>0.0</v>
      </c>
    </row>
    <row r="1109" ht="15.75" customHeight="1">
      <c r="A1109" s="1" t="s">
        <v>180</v>
      </c>
      <c r="B1109" s="1" t="s">
        <v>214</v>
      </c>
      <c r="C1109" s="5">
        <v>45561.0</v>
      </c>
      <c r="D1109" s="1" t="s">
        <v>161</v>
      </c>
      <c r="E1109" s="1" t="s">
        <v>11</v>
      </c>
      <c r="F1109" s="1" t="s">
        <v>166</v>
      </c>
      <c r="H1109" s="1">
        <v>0.0</v>
      </c>
      <c r="I1109" s="1">
        <v>1.0</v>
      </c>
      <c r="J1109" s="1">
        <v>0.0</v>
      </c>
      <c r="K1109" s="1">
        <v>24.0</v>
      </c>
      <c r="L1109" s="1">
        <v>33.0</v>
      </c>
      <c r="M1109" s="1">
        <v>0.727272727</v>
      </c>
      <c r="N1109" s="1">
        <v>36.77000046</v>
      </c>
    </row>
    <row r="1110" ht="15.75" customHeight="1">
      <c r="A1110" s="1" t="s">
        <v>180</v>
      </c>
      <c r="B1110" s="1" t="s">
        <v>226</v>
      </c>
      <c r="C1110" s="5">
        <v>45561.0</v>
      </c>
      <c r="D1110" s="1" t="s">
        <v>161</v>
      </c>
      <c r="E1110" s="1" t="s">
        <v>11</v>
      </c>
      <c r="F1110" s="1" t="s">
        <v>166</v>
      </c>
      <c r="H1110" s="1">
        <v>0.0</v>
      </c>
      <c r="I1110" s="1">
        <v>0.0</v>
      </c>
      <c r="J1110" s="1">
        <v>0.0</v>
      </c>
      <c r="K1110" s="1">
        <v>0.0</v>
      </c>
      <c r="L1110" s="1">
        <v>3.0</v>
      </c>
      <c r="M1110" s="1">
        <v>0.0</v>
      </c>
      <c r="N1110" s="1">
        <v>6.340000153</v>
      </c>
    </row>
    <row r="1111" ht="15.75" customHeight="1">
      <c r="A1111" s="1" t="s">
        <v>160</v>
      </c>
      <c r="B1111" s="1" t="s">
        <v>20</v>
      </c>
      <c r="C1111" s="5">
        <v>45560.0</v>
      </c>
      <c r="D1111" s="1" t="s">
        <v>161</v>
      </c>
      <c r="E1111" s="1" t="s">
        <v>11</v>
      </c>
      <c r="F1111" s="1" t="s">
        <v>162</v>
      </c>
      <c r="H1111" s="1">
        <v>0.0</v>
      </c>
      <c r="I1111" s="1">
        <v>0.0</v>
      </c>
      <c r="J1111" s="1">
        <v>0.0</v>
      </c>
      <c r="K1111" s="1">
        <v>14.0</v>
      </c>
      <c r="L1111" s="1">
        <v>24.0</v>
      </c>
      <c r="M1111" s="1">
        <v>0.583333333</v>
      </c>
      <c r="N1111" s="1">
        <v>16.56999969</v>
      </c>
    </row>
    <row r="1112" ht="15.75" customHeight="1">
      <c r="A1112" s="1" t="s">
        <v>160</v>
      </c>
      <c r="B1112" s="1" t="s">
        <v>54</v>
      </c>
      <c r="C1112" s="5">
        <v>45560.0</v>
      </c>
      <c r="D1112" s="1" t="s">
        <v>161</v>
      </c>
      <c r="E1112" s="1" t="s">
        <v>11</v>
      </c>
      <c r="H1112" s="1">
        <v>0.0</v>
      </c>
      <c r="J1112" s="1">
        <v>0.0</v>
      </c>
      <c r="N1112" s="1">
        <v>0.550000012</v>
      </c>
    </row>
    <row r="1113" ht="15.75" customHeight="1">
      <c r="A1113" s="1" t="s">
        <v>160</v>
      </c>
      <c r="B1113" s="1" t="s">
        <v>32</v>
      </c>
      <c r="C1113" s="5">
        <v>45560.0</v>
      </c>
      <c r="D1113" s="1" t="s">
        <v>161</v>
      </c>
      <c r="E1113" s="1" t="s">
        <v>11</v>
      </c>
      <c r="H1113" s="1">
        <v>0.0</v>
      </c>
      <c r="J1113" s="1">
        <v>0.0</v>
      </c>
      <c r="N1113" s="1">
        <v>0.050000001</v>
      </c>
    </row>
    <row r="1114" ht="15.75" customHeight="1">
      <c r="A1114" s="1" t="s">
        <v>160</v>
      </c>
      <c r="B1114" s="1" t="s">
        <v>39</v>
      </c>
      <c r="C1114" s="5">
        <v>45560.0</v>
      </c>
      <c r="D1114" s="1" t="s">
        <v>161</v>
      </c>
      <c r="E1114" s="1" t="s">
        <v>11</v>
      </c>
      <c r="F1114" s="1" t="s">
        <v>162</v>
      </c>
      <c r="G1114" s="1" t="s">
        <v>163</v>
      </c>
      <c r="H1114" s="1">
        <v>1.0</v>
      </c>
      <c r="I1114" s="1">
        <v>1.0</v>
      </c>
      <c r="J1114" s="1">
        <v>0.0</v>
      </c>
      <c r="K1114" s="1">
        <v>16.0</v>
      </c>
      <c r="L1114" s="1">
        <v>18.0</v>
      </c>
      <c r="M1114" s="1">
        <v>0.888888889</v>
      </c>
      <c r="N1114" s="1">
        <v>12.64000034</v>
      </c>
    </row>
    <row r="1115" ht="15.75" customHeight="1">
      <c r="A1115" s="1" t="s">
        <v>160</v>
      </c>
      <c r="B1115" s="1" t="s">
        <v>39</v>
      </c>
      <c r="C1115" s="5">
        <v>45560.0</v>
      </c>
      <c r="D1115" s="1" t="s">
        <v>161</v>
      </c>
      <c r="E1115" s="1" t="s">
        <v>11</v>
      </c>
      <c r="F1115" s="1" t="s">
        <v>166</v>
      </c>
      <c r="G1115" s="1" t="s">
        <v>163</v>
      </c>
      <c r="H1115" s="1">
        <v>1.0</v>
      </c>
      <c r="I1115" s="1">
        <v>0.0</v>
      </c>
      <c r="J1115" s="1">
        <v>0.0</v>
      </c>
      <c r="K1115" s="1">
        <v>0.0</v>
      </c>
      <c r="L1115" s="1">
        <v>0.0</v>
      </c>
      <c r="N1115" s="1">
        <v>0.0</v>
      </c>
    </row>
    <row r="1116" ht="15.75" customHeight="1">
      <c r="A1116" s="1" t="s">
        <v>160</v>
      </c>
      <c r="B1116" s="1" t="s">
        <v>224</v>
      </c>
      <c r="C1116" s="5">
        <v>45560.0</v>
      </c>
      <c r="D1116" s="1" t="s">
        <v>161</v>
      </c>
      <c r="E1116" s="1" t="s">
        <v>11</v>
      </c>
      <c r="H1116" s="1">
        <v>0.0</v>
      </c>
      <c r="J1116" s="1">
        <v>0.0</v>
      </c>
      <c r="N1116" s="1">
        <v>0.649999976</v>
      </c>
    </row>
    <row r="1117" ht="15.75" customHeight="1">
      <c r="A1117" s="1" t="s">
        <v>160</v>
      </c>
      <c r="B1117" s="1" t="s">
        <v>77</v>
      </c>
      <c r="C1117" s="5">
        <v>45560.0</v>
      </c>
      <c r="D1117" s="1" t="s">
        <v>161</v>
      </c>
      <c r="E1117" s="1" t="s">
        <v>11</v>
      </c>
      <c r="F1117" s="1" t="s">
        <v>162</v>
      </c>
      <c r="G1117" s="1" t="s">
        <v>229</v>
      </c>
      <c r="H1117" s="1">
        <v>1.0</v>
      </c>
      <c r="I1117" s="1">
        <v>0.0</v>
      </c>
      <c r="J1117" s="1">
        <v>0.0</v>
      </c>
      <c r="K1117" s="1">
        <v>6.0</v>
      </c>
      <c r="L1117" s="1">
        <v>10.0</v>
      </c>
      <c r="M1117" s="1">
        <v>0.6</v>
      </c>
      <c r="N1117" s="1">
        <v>12.5</v>
      </c>
    </row>
    <row r="1118" ht="15.75" customHeight="1">
      <c r="A1118" s="1" t="s">
        <v>164</v>
      </c>
      <c r="B1118" s="1" t="s">
        <v>22</v>
      </c>
      <c r="C1118" s="5">
        <v>45560.0</v>
      </c>
      <c r="D1118" s="1" t="s">
        <v>161</v>
      </c>
      <c r="E1118" s="1" t="s">
        <v>11</v>
      </c>
      <c r="F1118" s="1" t="s">
        <v>166</v>
      </c>
      <c r="H1118" s="1">
        <v>0.0</v>
      </c>
      <c r="I1118" s="1">
        <v>0.0</v>
      </c>
      <c r="J1118" s="1">
        <v>0.0</v>
      </c>
      <c r="K1118" s="1">
        <v>3.0</v>
      </c>
      <c r="L1118" s="1">
        <v>7.0</v>
      </c>
      <c r="M1118" s="1">
        <v>0.428571429</v>
      </c>
      <c r="N1118" s="1">
        <v>9.050000191</v>
      </c>
    </row>
    <row r="1119" ht="15.75" customHeight="1">
      <c r="A1119" s="1" t="s">
        <v>164</v>
      </c>
      <c r="B1119" s="1" t="s">
        <v>35</v>
      </c>
      <c r="C1119" s="5">
        <v>45560.0</v>
      </c>
      <c r="D1119" s="1" t="s">
        <v>161</v>
      </c>
      <c r="E1119" s="1" t="s">
        <v>11</v>
      </c>
      <c r="F1119" s="1" t="s">
        <v>165</v>
      </c>
      <c r="G1119" s="1" t="s">
        <v>163</v>
      </c>
      <c r="H1119" s="1">
        <v>1.0</v>
      </c>
      <c r="I1119" s="1">
        <v>0.0</v>
      </c>
      <c r="J1119" s="1">
        <v>0.0</v>
      </c>
      <c r="K1119" s="1">
        <v>11.0</v>
      </c>
      <c r="L1119" s="1">
        <v>13.0</v>
      </c>
      <c r="M1119" s="1">
        <v>0.846153846</v>
      </c>
      <c r="N1119" s="1">
        <v>0.0</v>
      </c>
    </row>
    <row r="1120" ht="15.75" customHeight="1">
      <c r="A1120" s="1" t="s">
        <v>164</v>
      </c>
      <c r="B1120" s="1" t="s">
        <v>35</v>
      </c>
      <c r="C1120" s="5">
        <v>45560.0</v>
      </c>
      <c r="D1120" s="1" t="s">
        <v>161</v>
      </c>
      <c r="E1120" s="1" t="s">
        <v>11</v>
      </c>
      <c r="F1120" s="1" t="s">
        <v>162</v>
      </c>
      <c r="G1120" s="1" t="s">
        <v>163</v>
      </c>
      <c r="H1120" s="1">
        <v>1.0</v>
      </c>
      <c r="I1120" s="1">
        <v>0.0</v>
      </c>
      <c r="J1120" s="1">
        <v>0.0</v>
      </c>
      <c r="K1120" s="1">
        <v>1.0</v>
      </c>
      <c r="L1120" s="1">
        <v>3.0</v>
      </c>
      <c r="M1120" s="1">
        <v>0.333333333</v>
      </c>
      <c r="N1120" s="1">
        <v>0.0</v>
      </c>
    </row>
    <row r="1121" ht="15.75" customHeight="1">
      <c r="A1121" s="1" t="s">
        <v>164</v>
      </c>
      <c r="B1121" s="1" t="s">
        <v>35</v>
      </c>
      <c r="C1121" s="5">
        <v>45560.0</v>
      </c>
      <c r="D1121" s="1" t="s">
        <v>161</v>
      </c>
      <c r="E1121" s="1" t="s">
        <v>11</v>
      </c>
      <c r="F1121" s="1" t="s">
        <v>168</v>
      </c>
      <c r="G1121" s="1" t="s">
        <v>163</v>
      </c>
      <c r="H1121" s="1">
        <v>1.0</v>
      </c>
      <c r="I1121" s="1">
        <v>0.0</v>
      </c>
      <c r="J1121" s="1">
        <v>0.0</v>
      </c>
      <c r="K1121" s="1">
        <v>1.0</v>
      </c>
      <c r="L1121" s="1">
        <v>1.0</v>
      </c>
      <c r="M1121" s="1">
        <v>1.0</v>
      </c>
      <c r="N1121" s="1">
        <v>0.0</v>
      </c>
    </row>
    <row r="1122" ht="15.75" customHeight="1">
      <c r="A1122" s="1" t="s">
        <v>164</v>
      </c>
      <c r="B1122" s="1" t="s">
        <v>35</v>
      </c>
      <c r="C1122" s="5">
        <v>45560.0</v>
      </c>
      <c r="D1122" s="1" t="s">
        <v>161</v>
      </c>
      <c r="E1122" s="1" t="s">
        <v>11</v>
      </c>
      <c r="F1122" s="1" t="s">
        <v>166</v>
      </c>
      <c r="G1122" s="1" t="s">
        <v>163</v>
      </c>
      <c r="H1122" s="1">
        <v>1.0</v>
      </c>
      <c r="I1122" s="1">
        <v>1.0</v>
      </c>
      <c r="J1122" s="1">
        <v>0.0</v>
      </c>
      <c r="K1122" s="1">
        <v>19.0</v>
      </c>
      <c r="L1122" s="1">
        <v>25.0</v>
      </c>
      <c r="M1122" s="1">
        <v>0.76</v>
      </c>
      <c r="N1122" s="1">
        <v>22.04000092</v>
      </c>
    </row>
    <row r="1123" ht="15.75" customHeight="1">
      <c r="A1123" s="1" t="s">
        <v>164</v>
      </c>
      <c r="B1123" s="1" t="s">
        <v>24</v>
      </c>
      <c r="C1123" s="5">
        <v>45560.0</v>
      </c>
      <c r="D1123" s="1" t="s">
        <v>161</v>
      </c>
      <c r="E1123" s="1" t="s">
        <v>11</v>
      </c>
      <c r="F1123" s="1" t="s">
        <v>166</v>
      </c>
      <c r="H1123" s="1">
        <v>0.0</v>
      </c>
      <c r="I1123" s="1">
        <v>0.0</v>
      </c>
      <c r="J1123" s="1">
        <v>0.0</v>
      </c>
      <c r="K1123" s="1">
        <v>4.0</v>
      </c>
      <c r="L1123" s="1">
        <v>10.0</v>
      </c>
      <c r="M1123" s="1">
        <v>0.4</v>
      </c>
      <c r="N1123" s="1">
        <v>31.40999985</v>
      </c>
    </row>
    <row r="1124" ht="15.75" customHeight="1">
      <c r="A1124" s="1" t="s">
        <v>164</v>
      </c>
      <c r="B1124" s="1" t="s">
        <v>52</v>
      </c>
      <c r="C1124" s="5">
        <v>45560.0</v>
      </c>
      <c r="D1124" s="1" t="s">
        <v>161</v>
      </c>
      <c r="E1124" s="1" t="s">
        <v>11</v>
      </c>
      <c r="F1124" s="1" t="s">
        <v>165</v>
      </c>
      <c r="H1124" s="1">
        <v>0.0</v>
      </c>
      <c r="I1124" s="1">
        <v>0.0</v>
      </c>
      <c r="J1124" s="1">
        <v>0.0</v>
      </c>
      <c r="K1124" s="1">
        <v>4.0</v>
      </c>
      <c r="L1124" s="1">
        <v>13.0</v>
      </c>
      <c r="M1124" s="1">
        <v>0.307692308</v>
      </c>
      <c r="N1124" s="1">
        <v>15.57999992</v>
      </c>
    </row>
    <row r="1125" ht="15.75" customHeight="1">
      <c r="A1125" s="1" t="s">
        <v>164</v>
      </c>
      <c r="B1125" s="1" t="s">
        <v>60</v>
      </c>
      <c r="C1125" s="5">
        <v>45560.0</v>
      </c>
      <c r="D1125" s="1" t="s">
        <v>161</v>
      </c>
      <c r="E1125" s="1" t="s">
        <v>11</v>
      </c>
      <c r="F1125" s="1" t="s">
        <v>166</v>
      </c>
      <c r="H1125" s="1">
        <v>0.0</v>
      </c>
      <c r="I1125" s="1">
        <v>0.0</v>
      </c>
      <c r="J1125" s="1">
        <v>0.0</v>
      </c>
      <c r="K1125" s="1">
        <v>4.0</v>
      </c>
      <c r="L1125" s="1">
        <v>6.0</v>
      </c>
      <c r="M1125" s="1">
        <v>0.666666667</v>
      </c>
      <c r="N1125" s="1">
        <v>13.42000008</v>
      </c>
    </row>
    <row r="1126" ht="15.75" customHeight="1">
      <c r="A1126" s="1" t="s">
        <v>164</v>
      </c>
      <c r="B1126" s="1" t="s">
        <v>63</v>
      </c>
      <c r="C1126" s="5">
        <v>45560.0</v>
      </c>
      <c r="D1126" s="1" t="s">
        <v>161</v>
      </c>
      <c r="E1126" s="1" t="s">
        <v>11</v>
      </c>
      <c r="F1126" s="1" t="s">
        <v>166</v>
      </c>
      <c r="H1126" s="1">
        <v>0.0</v>
      </c>
      <c r="I1126" s="1">
        <v>1.0</v>
      </c>
      <c r="J1126" s="1">
        <v>0.0</v>
      </c>
      <c r="K1126" s="1">
        <v>12.0</v>
      </c>
      <c r="L1126" s="1">
        <v>14.0</v>
      </c>
      <c r="M1126" s="1">
        <v>0.857142857</v>
      </c>
      <c r="N1126" s="1">
        <v>7.0</v>
      </c>
    </row>
    <row r="1127" ht="15.75" customHeight="1">
      <c r="A1127" s="1" t="s">
        <v>164</v>
      </c>
      <c r="B1127" s="1" t="s">
        <v>183</v>
      </c>
      <c r="C1127" s="5">
        <v>45560.0</v>
      </c>
      <c r="D1127" s="1" t="s">
        <v>161</v>
      </c>
      <c r="E1127" s="1" t="s">
        <v>11</v>
      </c>
      <c r="F1127" s="1" t="s">
        <v>166</v>
      </c>
      <c r="H1127" s="1">
        <v>0.0</v>
      </c>
      <c r="I1127" s="1">
        <v>0.0</v>
      </c>
      <c r="J1127" s="1">
        <v>0.0</v>
      </c>
      <c r="K1127" s="1">
        <v>1.0</v>
      </c>
      <c r="L1127" s="1">
        <v>3.0</v>
      </c>
      <c r="M1127" s="1">
        <v>0.333333333</v>
      </c>
      <c r="N1127" s="1">
        <v>9.989999771</v>
      </c>
    </row>
    <row r="1128" ht="15.75" customHeight="1">
      <c r="A1128" s="1" t="s">
        <v>164</v>
      </c>
      <c r="B1128" s="1" t="s">
        <v>68</v>
      </c>
      <c r="C1128" s="5">
        <v>45560.0</v>
      </c>
      <c r="D1128" s="1" t="s">
        <v>161</v>
      </c>
      <c r="E1128" s="1" t="s">
        <v>11</v>
      </c>
      <c r="F1128" s="1" t="s">
        <v>165</v>
      </c>
      <c r="H1128" s="1">
        <v>0.0</v>
      </c>
      <c r="I1128" s="1">
        <v>1.0</v>
      </c>
      <c r="J1128" s="1">
        <v>0.0</v>
      </c>
      <c r="K1128" s="1">
        <v>5.0</v>
      </c>
      <c r="L1128" s="1">
        <v>6.0</v>
      </c>
      <c r="M1128" s="1">
        <v>0.833333333</v>
      </c>
      <c r="N1128" s="1">
        <v>3.819999933</v>
      </c>
    </row>
    <row r="1129" ht="15.75" customHeight="1">
      <c r="A1129" s="1" t="s">
        <v>164</v>
      </c>
      <c r="B1129" s="1" t="s">
        <v>205</v>
      </c>
      <c r="C1129" s="5">
        <v>45560.0</v>
      </c>
      <c r="D1129" s="1" t="s">
        <v>161</v>
      </c>
      <c r="E1129" s="1" t="s">
        <v>11</v>
      </c>
      <c r="F1129" s="1" t="s">
        <v>166</v>
      </c>
      <c r="H1129" s="1">
        <v>0.0</v>
      </c>
      <c r="I1129" s="1">
        <v>0.0</v>
      </c>
      <c r="J1129" s="1">
        <v>0.0</v>
      </c>
      <c r="K1129" s="1">
        <v>0.0</v>
      </c>
      <c r="L1129" s="1">
        <v>3.0</v>
      </c>
      <c r="M1129" s="1">
        <v>0.0</v>
      </c>
      <c r="N1129" s="1">
        <v>21.29000092</v>
      </c>
    </row>
    <row r="1130" ht="15.75" customHeight="1">
      <c r="A1130" s="1" t="s">
        <v>164</v>
      </c>
      <c r="B1130" s="1" t="s">
        <v>75</v>
      </c>
      <c r="C1130" s="5">
        <v>45560.0</v>
      </c>
      <c r="D1130" s="1" t="s">
        <v>161</v>
      </c>
      <c r="E1130" s="1" t="s">
        <v>11</v>
      </c>
      <c r="F1130" s="1" t="s">
        <v>165</v>
      </c>
      <c r="H1130" s="1">
        <v>0.0</v>
      </c>
      <c r="I1130" s="1">
        <v>0.0</v>
      </c>
      <c r="J1130" s="1">
        <v>0.0</v>
      </c>
      <c r="K1130" s="1">
        <v>4.0</v>
      </c>
      <c r="L1130" s="1">
        <v>8.0</v>
      </c>
      <c r="M1130" s="1">
        <v>0.5</v>
      </c>
      <c r="N1130" s="1">
        <v>14.19999981</v>
      </c>
    </row>
    <row r="1131" ht="15.75" customHeight="1">
      <c r="A1131" s="1" t="s">
        <v>164</v>
      </c>
      <c r="B1131" s="1" t="s">
        <v>100</v>
      </c>
      <c r="C1131" s="5">
        <v>45560.0</v>
      </c>
      <c r="D1131" s="1" t="s">
        <v>161</v>
      </c>
      <c r="E1131" s="1" t="s">
        <v>11</v>
      </c>
      <c r="F1131" s="1" t="s">
        <v>171</v>
      </c>
      <c r="H1131" s="1">
        <v>0.0</v>
      </c>
      <c r="I1131" s="1">
        <v>2.0</v>
      </c>
      <c r="J1131" s="1">
        <v>0.0</v>
      </c>
      <c r="K1131" s="1">
        <v>49.0</v>
      </c>
      <c r="L1131" s="1">
        <v>98.0</v>
      </c>
      <c r="M1131" s="1">
        <v>0.5</v>
      </c>
      <c r="N1131" s="1">
        <v>74.97000122</v>
      </c>
    </row>
    <row r="1132" ht="15.75" customHeight="1">
      <c r="A1132" s="1" t="s">
        <v>164</v>
      </c>
      <c r="B1132" s="1" t="s">
        <v>82</v>
      </c>
      <c r="C1132" s="5">
        <v>45560.0</v>
      </c>
      <c r="D1132" s="1" t="s">
        <v>161</v>
      </c>
      <c r="E1132" s="1" t="s">
        <v>11</v>
      </c>
      <c r="F1132" s="1" t="s">
        <v>165</v>
      </c>
      <c r="H1132" s="1">
        <v>0.0</v>
      </c>
      <c r="I1132" s="1">
        <v>1.0</v>
      </c>
      <c r="J1132" s="1">
        <v>0.0</v>
      </c>
      <c r="K1132" s="1">
        <v>2.0</v>
      </c>
      <c r="L1132" s="1">
        <v>2.0</v>
      </c>
      <c r="M1132" s="1">
        <v>1.0</v>
      </c>
      <c r="N1132" s="1">
        <v>1.850000024</v>
      </c>
    </row>
    <row r="1133" ht="15.75" customHeight="1">
      <c r="A1133" s="1" t="s">
        <v>180</v>
      </c>
      <c r="B1133" s="1" t="s">
        <v>220</v>
      </c>
      <c r="C1133" s="5">
        <v>45560.0</v>
      </c>
      <c r="D1133" s="1" t="s">
        <v>161</v>
      </c>
      <c r="E1133" s="1" t="s">
        <v>11</v>
      </c>
      <c r="F1133" s="1" t="s">
        <v>166</v>
      </c>
      <c r="G1133" s="1" t="s">
        <v>163</v>
      </c>
      <c r="H1133" s="1">
        <v>1.0</v>
      </c>
      <c r="I1133" s="1">
        <v>1.0</v>
      </c>
      <c r="J1133" s="1">
        <v>0.0</v>
      </c>
      <c r="K1133" s="1">
        <v>12.0</v>
      </c>
      <c r="L1133" s="1">
        <v>12.0</v>
      </c>
      <c r="M1133" s="1">
        <v>1.0</v>
      </c>
      <c r="N1133" s="1">
        <v>4.1300001139999996</v>
      </c>
    </row>
    <row r="1134" ht="15.75" customHeight="1">
      <c r="A1134" s="1" t="s">
        <v>180</v>
      </c>
      <c r="B1134" s="1" t="s">
        <v>214</v>
      </c>
      <c r="C1134" s="5">
        <v>45560.0</v>
      </c>
      <c r="D1134" s="1" t="s">
        <v>161</v>
      </c>
      <c r="E1134" s="1" t="s">
        <v>11</v>
      </c>
      <c r="F1134" s="1" t="s">
        <v>166</v>
      </c>
      <c r="G1134" s="1" t="s">
        <v>172</v>
      </c>
      <c r="H1134" s="1">
        <v>1.0</v>
      </c>
      <c r="I1134" s="1">
        <v>1.0</v>
      </c>
      <c r="J1134" s="1">
        <v>0.0</v>
      </c>
      <c r="K1134" s="1">
        <v>34.0</v>
      </c>
      <c r="L1134" s="1">
        <v>61.0</v>
      </c>
      <c r="M1134" s="1">
        <v>0.557377049</v>
      </c>
      <c r="N1134" s="1">
        <v>91.88999939</v>
      </c>
    </row>
    <row r="1135" ht="15.75" customHeight="1">
      <c r="A1135" s="1" t="s">
        <v>180</v>
      </c>
      <c r="B1135" s="1" t="s">
        <v>226</v>
      </c>
      <c r="C1135" s="5">
        <v>45560.0</v>
      </c>
      <c r="D1135" s="1" t="s">
        <v>161</v>
      </c>
      <c r="E1135" s="1" t="s">
        <v>11</v>
      </c>
      <c r="F1135" s="1" t="s">
        <v>166</v>
      </c>
      <c r="H1135" s="1">
        <v>0.0</v>
      </c>
      <c r="I1135" s="1">
        <v>0.0</v>
      </c>
      <c r="J1135" s="1">
        <v>0.0</v>
      </c>
      <c r="K1135" s="1">
        <v>3.0</v>
      </c>
      <c r="L1135" s="1">
        <v>14.0</v>
      </c>
      <c r="M1135" s="1">
        <v>0.214285714</v>
      </c>
      <c r="N1135" s="1">
        <v>32.22000122</v>
      </c>
    </row>
    <row r="1136" ht="15.75" customHeight="1">
      <c r="A1136" s="1" t="s">
        <v>160</v>
      </c>
      <c r="B1136" s="1" t="s">
        <v>39</v>
      </c>
      <c r="C1136" s="5">
        <v>45559.0</v>
      </c>
      <c r="D1136" s="1" t="s">
        <v>161</v>
      </c>
      <c r="E1136" s="1" t="s">
        <v>11</v>
      </c>
      <c r="F1136" s="1" t="s">
        <v>162</v>
      </c>
      <c r="G1136" s="1" t="s">
        <v>163</v>
      </c>
      <c r="H1136" s="1">
        <v>1.0</v>
      </c>
      <c r="I1136" s="1">
        <v>0.0</v>
      </c>
      <c r="J1136" s="1">
        <v>0.0</v>
      </c>
      <c r="K1136" s="1">
        <v>3.0</v>
      </c>
      <c r="L1136" s="1">
        <v>5.0</v>
      </c>
      <c r="M1136" s="1">
        <v>0.6</v>
      </c>
      <c r="N1136" s="1">
        <v>12.10000038</v>
      </c>
    </row>
    <row r="1137" ht="15.75" customHeight="1">
      <c r="A1137" s="1" t="s">
        <v>160</v>
      </c>
      <c r="B1137" s="1" t="s">
        <v>39</v>
      </c>
      <c r="C1137" s="5">
        <v>45559.0</v>
      </c>
      <c r="D1137" s="1" t="s">
        <v>161</v>
      </c>
      <c r="E1137" s="1" t="s">
        <v>11</v>
      </c>
      <c r="F1137" s="1" t="s">
        <v>166</v>
      </c>
      <c r="G1137" s="1" t="s">
        <v>163</v>
      </c>
      <c r="H1137" s="1">
        <v>1.0</v>
      </c>
      <c r="I1137" s="1">
        <v>0.0</v>
      </c>
      <c r="J1137" s="1">
        <v>0.0</v>
      </c>
      <c r="K1137" s="1">
        <v>0.0</v>
      </c>
      <c r="L1137" s="1">
        <v>0.0</v>
      </c>
      <c r="N1137" s="1">
        <v>0.0</v>
      </c>
    </row>
    <row r="1138" ht="15.75" customHeight="1">
      <c r="A1138" s="1" t="s">
        <v>160</v>
      </c>
      <c r="B1138" s="1" t="s">
        <v>230</v>
      </c>
      <c r="C1138" s="5">
        <v>45559.0</v>
      </c>
      <c r="D1138" s="1" t="s">
        <v>161</v>
      </c>
      <c r="E1138" s="1" t="s">
        <v>11</v>
      </c>
      <c r="F1138" s="1" t="s">
        <v>165</v>
      </c>
      <c r="H1138" s="1">
        <v>0.0</v>
      </c>
      <c r="I1138" s="1">
        <v>0.0</v>
      </c>
      <c r="J1138" s="1">
        <v>0.0</v>
      </c>
      <c r="K1138" s="1">
        <v>1.0</v>
      </c>
      <c r="L1138" s="1">
        <v>12.0</v>
      </c>
      <c r="M1138" s="1">
        <v>0.083333333</v>
      </c>
      <c r="N1138" s="1">
        <v>48.75999832</v>
      </c>
    </row>
    <row r="1139" ht="15.75" customHeight="1">
      <c r="A1139" s="1" t="s">
        <v>160</v>
      </c>
      <c r="B1139" s="1" t="s">
        <v>77</v>
      </c>
      <c r="C1139" s="5">
        <v>45559.0</v>
      </c>
      <c r="D1139" s="1" t="s">
        <v>161</v>
      </c>
      <c r="E1139" s="1" t="s">
        <v>11</v>
      </c>
      <c r="F1139" s="1" t="s">
        <v>162</v>
      </c>
      <c r="G1139" s="1" t="s">
        <v>229</v>
      </c>
      <c r="H1139" s="1">
        <v>1.0</v>
      </c>
      <c r="I1139" s="1">
        <v>1.0</v>
      </c>
      <c r="J1139" s="1">
        <v>0.0</v>
      </c>
      <c r="K1139" s="1">
        <v>8.0</v>
      </c>
      <c r="L1139" s="1">
        <v>12.0</v>
      </c>
      <c r="M1139" s="1">
        <v>0.666666667</v>
      </c>
      <c r="N1139" s="1">
        <v>13.75</v>
      </c>
    </row>
    <row r="1140" ht="15.75" customHeight="1">
      <c r="A1140" s="1" t="s">
        <v>164</v>
      </c>
      <c r="B1140" s="1" t="s">
        <v>22</v>
      </c>
      <c r="C1140" s="5">
        <v>45559.0</v>
      </c>
      <c r="D1140" s="1" t="s">
        <v>161</v>
      </c>
      <c r="E1140" s="1" t="s">
        <v>11</v>
      </c>
      <c r="F1140" s="1" t="s">
        <v>166</v>
      </c>
      <c r="H1140" s="1">
        <v>0.0</v>
      </c>
      <c r="I1140" s="1">
        <v>0.0</v>
      </c>
      <c r="J1140" s="1">
        <v>0.0</v>
      </c>
      <c r="K1140" s="1">
        <v>10.0</v>
      </c>
      <c r="L1140" s="1">
        <v>20.0</v>
      </c>
      <c r="M1140" s="1">
        <v>0.5</v>
      </c>
      <c r="N1140" s="1">
        <v>19.82999992</v>
      </c>
    </row>
    <row r="1141" ht="15.75" customHeight="1">
      <c r="A1141" s="1" t="s">
        <v>164</v>
      </c>
      <c r="B1141" s="1" t="s">
        <v>35</v>
      </c>
      <c r="C1141" s="5">
        <v>45559.0</v>
      </c>
      <c r="D1141" s="1" t="s">
        <v>161</v>
      </c>
      <c r="E1141" s="1" t="s">
        <v>11</v>
      </c>
      <c r="F1141" s="1" t="s">
        <v>177</v>
      </c>
      <c r="H1141" s="1">
        <v>0.0</v>
      </c>
      <c r="I1141" s="1">
        <v>1.0</v>
      </c>
      <c r="J1141" s="1">
        <v>0.0</v>
      </c>
      <c r="K1141" s="1">
        <v>13.0</v>
      </c>
      <c r="L1141" s="1">
        <v>16.0</v>
      </c>
      <c r="M1141" s="1">
        <v>0.8125</v>
      </c>
      <c r="N1141" s="1">
        <v>10.44999981</v>
      </c>
    </row>
    <row r="1142" ht="15.75" customHeight="1">
      <c r="A1142" s="1" t="s">
        <v>164</v>
      </c>
      <c r="B1142" s="1" t="s">
        <v>35</v>
      </c>
      <c r="C1142" s="5">
        <v>45559.0</v>
      </c>
      <c r="D1142" s="1" t="s">
        <v>161</v>
      </c>
      <c r="E1142" s="1" t="s">
        <v>11</v>
      </c>
      <c r="F1142" s="1" t="s">
        <v>166</v>
      </c>
      <c r="H1142" s="1">
        <v>0.0</v>
      </c>
      <c r="I1142" s="1">
        <v>0.0</v>
      </c>
      <c r="J1142" s="1">
        <v>0.0</v>
      </c>
      <c r="K1142" s="1">
        <v>0.0</v>
      </c>
      <c r="L1142" s="1">
        <v>0.0</v>
      </c>
      <c r="N1142" s="1">
        <v>0.0</v>
      </c>
    </row>
    <row r="1143" ht="15.75" customHeight="1">
      <c r="A1143" s="1" t="s">
        <v>164</v>
      </c>
      <c r="B1143" s="1" t="s">
        <v>52</v>
      </c>
      <c r="C1143" s="5">
        <v>45559.0</v>
      </c>
      <c r="D1143" s="1" t="s">
        <v>161</v>
      </c>
      <c r="E1143" s="1" t="s">
        <v>11</v>
      </c>
      <c r="F1143" s="1" t="s">
        <v>165</v>
      </c>
      <c r="H1143" s="1">
        <v>0.0</v>
      </c>
      <c r="I1143" s="1">
        <v>0.0</v>
      </c>
      <c r="J1143" s="1">
        <v>0.0</v>
      </c>
      <c r="K1143" s="1">
        <v>2.0</v>
      </c>
      <c r="L1143" s="1">
        <v>3.0</v>
      </c>
      <c r="M1143" s="1">
        <v>0.666666667</v>
      </c>
      <c r="N1143" s="1">
        <v>2.859999895</v>
      </c>
    </row>
    <row r="1144" ht="15.75" customHeight="1">
      <c r="A1144" s="1" t="s">
        <v>164</v>
      </c>
      <c r="B1144" s="1" t="s">
        <v>55</v>
      </c>
      <c r="C1144" s="5">
        <v>45559.0</v>
      </c>
      <c r="D1144" s="1" t="s">
        <v>161</v>
      </c>
      <c r="E1144" s="1" t="s">
        <v>11</v>
      </c>
      <c r="F1144" s="1" t="s">
        <v>166</v>
      </c>
      <c r="H1144" s="1">
        <v>0.0</v>
      </c>
      <c r="I1144" s="1">
        <v>0.0</v>
      </c>
      <c r="J1144" s="1">
        <v>0.0</v>
      </c>
      <c r="K1144" s="1">
        <v>3.0</v>
      </c>
      <c r="L1144" s="1">
        <v>8.0</v>
      </c>
      <c r="M1144" s="1">
        <v>0.375</v>
      </c>
      <c r="N1144" s="1">
        <v>12.32999992</v>
      </c>
    </row>
    <row r="1145" ht="15.75" customHeight="1">
      <c r="A1145" s="1" t="s">
        <v>164</v>
      </c>
      <c r="B1145" s="1" t="s">
        <v>60</v>
      </c>
      <c r="C1145" s="5">
        <v>45559.0</v>
      </c>
      <c r="D1145" s="1" t="s">
        <v>161</v>
      </c>
      <c r="E1145" s="1" t="s">
        <v>11</v>
      </c>
      <c r="F1145" s="1" t="s">
        <v>166</v>
      </c>
      <c r="H1145" s="1">
        <v>0.0</v>
      </c>
      <c r="I1145" s="1">
        <v>0.0</v>
      </c>
      <c r="J1145" s="1">
        <v>0.0</v>
      </c>
      <c r="K1145" s="1">
        <v>3.0</v>
      </c>
      <c r="L1145" s="1">
        <v>5.0</v>
      </c>
      <c r="M1145" s="1">
        <v>0.6</v>
      </c>
      <c r="N1145" s="1">
        <v>13.21000004</v>
      </c>
    </row>
    <row r="1146" ht="15.75" customHeight="1">
      <c r="A1146" s="1" t="s">
        <v>164</v>
      </c>
      <c r="B1146" s="1" t="s">
        <v>63</v>
      </c>
      <c r="C1146" s="5">
        <v>45559.0</v>
      </c>
      <c r="D1146" s="1" t="s">
        <v>161</v>
      </c>
      <c r="E1146" s="1" t="s">
        <v>11</v>
      </c>
      <c r="F1146" s="1" t="s">
        <v>166</v>
      </c>
      <c r="H1146" s="1">
        <v>0.0</v>
      </c>
      <c r="I1146" s="1">
        <v>1.0</v>
      </c>
      <c r="J1146" s="1">
        <v>0.0</v>
      </c>
      <c r="K1146" s="1">
        <v>12.0</v>
      </c>
      <c r="L1146" s="1">
        <v>14.0</v>
      </c>
      <c r="M1146" s="1">
        <v>0.857142857</v>
      </c>
      <c r="N1146" s="1">
        <v>15.0</v>
      </c>
    </row>
    <row r="1147" ht="15.75" customHeight="1">
      <c r="A1147" s="1" t="s">
        <v>164</v>
      </c>
      <c r="B1147" s="1" t="s">
        <v>183</v>
      </c>
      <c r="C1147" s="5">
        <v>45559.0</v>
      </c>
      <c r="D1147" s="1" t="s">
        <v>161</v>
      </c>
      <c r="E1147" s="1" t="s">
        <v>11</v>
      </c>
      <c r="F1147" s="1" t="s">
        <v>166</v>
      </c>
      <c r="G1147" s="1" t="s">
        <v>201</v>
      </c>
      <c r="H1147" s="1">
        <v>1.0</v>
      </c>
      <c r="I1147" s="1">
        <v>1.0</v>
      </c>
      <c r="J1147" s="1">
        <v>0.0</v>
      </c>
      <c r="K1147" s="1">
        <v>30.0</v>
      </c>
      <c r="L1147" s="1">
        <v>43.0</v>
      </c>
      <c r="M1147" s="1">
        <v>0.697674419</v>
      </c>
      <c r="N1147" s="1">
        <v>22.25</v>
      </c>
    </row>
    <row r="1148" ht="15.75" customHeight="1">
      <c r="A1148" s="1" t="s">
        <v>164</v>
      </c>
      <c r="B1148" s="1" t="s">
        <v>68</v>
      </c>
      <c r="C1148" s="5">
        <v>45559.0</v>
      </c>
      <c r="D1148" s="1" t="s">
        <v>161</v>
      </c>
      <c r="E1148" s="1" t="s">
        <v>11</v>
      </c>
      <c r="F1148" s="1" t="s">
        <v>165</v>
      </c>
      <c r="H1148" s="1">
        <v>0.0</v>
      </c>
      <c r="I1148" s="1">
        <v>1.0</v>
      </c>
      <c r="J1148" s="1">
        <v>0.0</v>
      </c>
      <c r="K1148" s="1">
        <v>11.0</v>
      </c>
      <c r="L1148" s="1">
        <v>25.0</v>
      </c>
      <c r="M1148" s="1">
        <v>0.44</v>
      </c>
      <c r="N1148" s="1">
        <v>17.52000046</v>
      </c>
    </row>
    <row r="1149" ht="15.75" customHeight="1">
      <c r="A1149" s="1" t="s">
        <v>164</v>
      </c>
      <c r="B1149" s="1" t="s">
        <v>205</v>
      </c>
      <c r="C1149" s="5">
        <v>45559.0</v>
      </c>
      <c r="D1149" s="1" t="s">
        <v>161</v>
      </c>
      <c r="E1149" s="1" t="s">
        <v>11</v>
      </c>
      <c r="F1149" s="1" t="s">
        <v>166</v>
      </c>
      <c r="G1149" s="1" t="s">
        <v>172</v>
      </c>
      <c r="H1149" s="1">
        <v>1.0</v>
      </c>
      <c r="I1149" s="1">
        <v>0.0</v>
      </c>
      <c r="J1149" s="1">
        <v>0.0</v>
      </c>
      <c r="K1149" s="1">
        <v>2.0</v>
      </c>
      <c r="L1149" s="1">
        <v>8.0</v>
      </c>
      <c r="M1149" s="1">
        <v>0.25</v>
      </c>
      <c r="N1149" s="1">
        <v>13.44999981</v>
      </c>
    </row>
    <row r="1150" ht="15.75" customHeight="1">
      <c r="A1150" s="1" t="s">
        <v>164</v>
      </c>
      <c r="B1150" s="1" t="s">
        <v>75</v>
      </c>
      <c r="C1150" s="5">
        <v>45559.0</v>
      </c>
      <c r="D1150" s="1" t="s">
        <v>161</v>
      </c>
      <c r="E1150" s="1" t="s">
        <v>11</v>
      </c>
      <c r="F1150" s="1" t="s">
        <v>165</v>
      </c>
      <c r="H1150" s="1">
        <v>0.0</v>
      </c>
      <c r="I1150" s="1">
        <v>0.0</v>
      </c>
      <c r="J1150" s="1">
        <v>0.0</v>
      </c>
      <c r="K1150" s="1">
        <v>2.0</v>
      </c>
      <c r="L1150" s="1">
        <v>10.0</v>
      </c>
      <c r="M1150" s="1">
        <v>0.2</v>
      </c>
      <c r="N1150" s="1">
        <v>20.35000038</v>
      </c>
    </row>
    <row r="1151" ht="15.75" customHeight="1">
      <c r="A1151" s="1" t="s">
        <v>164</v>
      </c>
      <c r="B1151" s="1" t="s">
        <v>100</v>
      </c>
      <c r="C1151" s="5">
        <v>45559.0</v>
      </c>
      <c r="D1151" s="1" t="s">
        <v>161</v>
      </c>
      <c r="E1151" s="1" t="s">
        <v>11</v>
      </c>
      <c r="F1151" s="1" t="s">
        <v>171</v>
      </c>
      <c r="H1151" s="1">
        <v>0.0</v>
      </c>
      <c r="I1151" s="1">
        <v>2.0</v>
      </c>
      <c r="J1151" s="1">
        <v>0.0</v>
      </c>
      <c r="K1151" s="1">
        <v>45.0</v>
      </c>
      <c r="L1151" s="1">
        <v>63.0</v>
      </c>
      <c r="M1151" s="1">
        <v>0.714285714</v>
      </c>
      <c r="N1151" s="1">
        <v>39.20999908</v>
      </c>
    </row>
    <row r="1152" ht="15.75" customHeight="1">
      <c r="A1152" s="1" t="s">
        <v>164</v>
      </c>
      <c r="B1152" s="1" t="s">
        <v>82</v>
      </c>
      <c r="C1152" s="5">
        <v>45559.0</v>
      </c>
      <c r="D1152" s="1" t="s">
        <v>161</v>
      </c>
      <c r="E1152" s="1" t="s">
        <v>11</v>
      </c>
      <c r="F1152" s="1" t="s">
        <v>165</v>
      </c>
      <c r="H1152" s="1">
        <v>0.0</v>
      </c>
      <c r="I1152" s="1">
        <v>0.0</v>
      </c>
      <c r="J1152" s="1">
        <v>0.0</v>
      </c>
      <c r="K1152" s="1">
        <v>10.0</v>
      </c>
      <c r="L1152" s="1">
        <v>10.0</v>
      </c>
      <c r="M1152" s="1">
        <v>1.0</v>
      </c>
      <c r="N1152" s="1">
        <v>6.550000191</v>
      </c>
    </row>
    <row r="1153" ht="15.75" customHeight="1">
      <c r="A1153" s="1" t="s">
        <v>180</v>
      </c>
      <c r="B1153" s="1" t="s">
        <v>220</v>
      </c>
      <c r="C1153" s="5">
        <v>45559.0</v>
      </c>
      <c r="D1153" s="1" t="s">
        <v>161</v>
      </c>
      <c r="E1153" s="1" t="s">
        <v>11</v>
      </c>
      <c r="F1153" s="1" t="s">
        <v>166</v>
      </c>
      <c r="H1153" s="1">
        <v>0.0</v>
      </c>
      <c r="I1153" s="1">
        <v>0.0</v>
      </c>
      <c r="J1153" s="1">
        <v>0.0</v>
      </c>
      <c r="K1153" s="1">
        <v>0.0</v>
      </c>
      <c r="L1153" s="1">
        <v>0.0</v>
      </c>
      <c r="N1153" s="1">
        <v>0.0</v>
      </c>
    </row>
    <row r="1154" ht="15.75" customHeight="1">
      <c r="A1154" s="1" t="s">
        <v>180</v>
      </c>
      <c r="B1154" s="1" t="s">
        <v>220</v>
      </c>
      <c r="C1154" s="5">
        <v>45559.0</v>
      </c>
      <c r="D1154" s="1" t="s">
        <v>161</v>
      </c>
      <c r="E1154" s="1" t="s">
        <v>11</v>
      </c>
      <c r="F1154" s="1" t="s">
        <v>169</v>
      </c>
      <c r="H1154" s="1">
        <v>0.0</v>
      </c>
      <c r="I1154" s="1">
        <v>1.0</v>
      </c>
      <c r="J1154" s="1">
        <v>0.0</v>
      </c>
      <c r="K1154" s="1">
        <v>14.0</v>
      </c>
      <c r="L1154" s="1">
        <v>17.0</v>
      </c>
      <c r="M1154" s="1">
        <v>0.823529412</v>
      </c>
      <c r="N1154" s="1">
        <v>11.81000042</v>
      </c>
    </row>
    <row r="1155" ht="15.75" customHeight="1">
      <c r="A1155" s="1" t="s">
        <v>180</v>
      </c>
      <c r="B1155" s="1" t="s">
        <v>214</v>
      </c>
      <c r="C1155" s="5">
        <v>45559.0</v>
      </c>
      <c r="D1155" s="1" t="s">
        <v>161</v>
      </c>
      <c r="E1155" s="1" t="s">
        <v>11</v>
      </c>
      <c r="F1155" s="1" t="s">
        <v>166</v>
      </c>
      <c r="G1155" s="1" t="s">
        <v>172</v>
      </c>
      <c r="H1155" s="1">
        <v>1.0</v>
      </c>
      <c r="I1155" s="1">
        <v>0.0</v>
      </c>
      <c r="J1155" s="1">
        <v>0.0</v>
      </c>
      <c r="K1155" s="1">
        <v>2.0</v>
      </c>
      <c r="L1155" s="1">
        <v>12.0</v>
      </c>
      <c r="M1155" s="1">
        <v>0.166666667</v>
      </c>
      <c r="N1155" s="1">
        <v>16.15999985</v>
      </c>
    </row>
    <row r="1156" ht="15.75" customHeight="1">
      <c r="A1156" s="1" t="s">
        <v>180</v>
      </c>
      <c r="B1156" s="1" t="s">
        <v>226</v>
      </c>
      <c r="C1156" s="5">
        <v>45559.0</v>
      </c>
      <c r="D1156" s="1" t="s">
        <v>161</v>
      </c>
      <c r="E1156" s="1" t="s">
        <v>11</v>
      </c>
      <c r="F1156" s="1" t="s">
        <v>166</v>
      </c>
      <c r="H1156" s="1">
        <v>0.0</v>
      </c>
      <c r="I1156" s="1">
        <v>1.0</v>
      </c>
      <c r="J1156" s="1">
        <v>0.0</v>
      </c>
      <c r="K1156" s="1">
        <v>20.0</v>
      </c>
      <c r="L1156" s="1">
        <v>26.0</v>
      </c>
      <c r="M1156" s="1">
        <v>0.769230769</v>
      </c>
      <c r="N1156" s="1">
        <v>27.47999954</v>
      </c>
    </row>
    <row r="1157" ht="15.75" customHeight="1">
      <c r="A1157" s="1" t="s">
        <v>160</v>
      </c>
      <c r="B1157" s="1" t="s">
        <v>20</v>
      </c>
      <c r="C1157" s="5">
        <v>45558.0</v>
      </c>
      <c r="D1157" s="1" t="s">
        <v>161</v>
      </c>
      <c r="E1157" s="1" t="s">
        <v>11</v>
      </c>
      <c r="F1157" s="1" t="s">
        <v>162</v>
      </c>
      <c r="H1157" s="1">
        <v>0.0</v>
      </c>
      <c r="I1157" s="1">
        <v>0.0</v>
      </c>
      <c r="J1157" s="1">
        <v>0.0</v>
      </c>
      <c r="K1157" s="1">
        <v>10.0</v>
      </c>
      <c r="L1157" s="1">
        <v>21.0</v>
      </c>
      <c r="M1157" s="1">
        <v>0.476190476</v>
      </c>
      <c r="N1157" s="1">
        <v>16.89999962</v>
      </c>
    </row>
    <row r="1158" ht="15.75" customHeight="1">
      <c r="A1158" s="1" t="s">
        <v>160</v>
      </c>
      <c r="B1158" s="1" t="s">
        <v>95</v>
      </c>
      <c r="C1158" s="5">
        <v>45558.0</v>
      </c>
      <c r="D1158" s="1" t="s">
        <v>161</v>
      </c>
      <c r="E1158" s="1" t="s">
        <v>11</v>
      </c>
      <c r="H1158" s="1">
        <v>0.0</v>
      </c>
      <c r="J1158" s="1">
        <v>0.0</v>
      </c>
      <c r="N1158" s="1">
        <v>5.480000019</v>
      </c>
    </row>
    <row r="1159" ht="15.75" customHeight="1">
      <c r="A1159" s="1" t="s">
        <v>164</v>
      </c>
      <c r="B1159" s="1" t="s">
        <v>22</v>
      </c>
      <c r="C1159" s="5">
        <v>45558.0</v>
      </c>
      <c r="D1159" s="1" t="s">
        <v>161</v>
      </c>
      <c r="E1159" s="1" t="s">
        <v>11</v>
      </c>
      <c r="F1159" s="1" t="s">
        <v>166</v>
      </c>
      <c r="H1159" s="1">
        <v>0.0</v>
      </c>
      <c r="I1159" s="1">
        <v>0.0</v>
      </c>
      <c r="J1159" s="1">
        <v>0.0</v>
      </c>
      <c r="K1159" s="1">
        <v>5.0</v>
      </c>
      <c r="L1159" s="1">
        <v>14.0</v>
      </c>
      <c r="M1159" s="1">
        <v>0.357142857</v>
      </c>
      <c r="N1159" s="1">
        <v>28.84000015</v>
      </c>
    </row>
    <row r="1160" ht="15.75" customHeight="1">
      <c r="A1160" s="1" t="s">
        <v>164</v>
      </c>
      <c r="B1160" s="1" t="s">
        <v>207</v>
      </c>
      <c r="C1160" s="5">
        <v>45558.0</v>
      </c>
      <c r="D1160" s="1" t="s">
        <v>161</v>
      </c>
      <c r="E1160" s="1" t="s">
        <v>11</v>
      </c>
      <c r="F1160" s="1" t="s">
        <v>166</v>
      </c>
      <c r="G1160" s="1" t="s">
        <v>172</v>
      </c>
      <c r="H1160" s="1">
        <v>1.0</v>
      </c>
      <c r="I1160" s="1">
        <v>3.0</v>
      </c>
      <c r="J1160" s="1">
        <v>0.0</v>
      </c>
      <c r="K1160" s="1">
        <v>47.0</v>
      </c>
      <c r="L1160" s="1">
        <v>60.0</v>
      </c>
      <c r="M1160" s="1">
        <v>0.783333333</v>
      </c>
      <c r="N1160" s="1">
        <v>59.95999908</v>
      </c>
    </row>
    <row r="1161" ht="15.75" customHeight="1">
      <c r="A1161" s="1" t="s">
        <v>164</v>
      </c>
      <c r="B1161" s="1" t="s">
        <v>52</v>
      </c>
      <c r="C1161" s="5">
        <v>45558.0</v>
      </c>
      <c r="D1161" s="1" t="s">
        <v>161</v>
      </c>
      <c r="E1161" s="1" t="s">
        <v>11</v>
      </c>
      <c r="F1161" s="1" t="s">
        <v>165</v>
      </c>
      <c r="H1161" s="1">
        <v>0.0</v>
      </c>
      <c r="I1161" s="1">
        <v>0.0</v>
      </c>
      <c r="J1161" s="1">
        <v>0.0</v>
      </c>
      <c r="K1161" s="1">
        <v>1.0</v>
      </c>
      <c r="L1161" s="1">
        <v>4.0</v>
      </c>
      <c r="M1161" s="1">
        <v>0.25</v>
      </c>
      <c r="N1161" s="1">
        <v>5.690000057</v>
      </c>
    </row>
    <row r="1162" ht="15.75" customHeight="1">
      <c r="A1162" s="1" t="s">
        <v>164</v>
      </c>
      <c r="B1162" s="1" t="s">
        <v>196</v>
      </c>
      <c r="C1162" s="5">
        <v>45558.0</v>
      </c>
      <c r="D1162" s="1" t="s">
        <v>161</v>
      </c>
      <c r="E1162" s="1" t="s">
        <v>11</v>
      </c>
      <c r="H1162" s="1">
        <v>0.0</v>
      </c>
      <c r="J1162" s="1">
        <v>0.0</v>
      </c>
      <c r="N1162" s="1">
        <v>0.07</v>
      </c>
    </row>
    <row r="1163" ht="15.75" customHeight="1">
      <c r="A1163" s="1" t="s">
        <v>164</v>
      </c>
      <c r="B1163" s="1" t="s">
        <v>63</v>
      </c>
      <c r="C1163" s="5">
        <v>45558.0</v>
      </c>
      <c r="D1163" s="1" t="s">
        <v>161</v>
      </c>
      <c r="E1163" s="1" t="s">
        <v>11</v>
      </c>
      <c r="F1163" s="1" t="s">
        <v>166</v>
      </c>
      <c r="H1163" s="1">
        <v>0.0</v>
      </c>
      <c r="I1163" s="1">
        <v>0.0</v>
      </c>
      <c r="J1163" s="1">
        <v>0.0</v>
      </c>
      <c r="K1163" s="1">
        <v>4.0</v>
      </c>
      <c r="L1163" s="1">
        <v>10.0</v>
      </c>
      <c r="M1163" s="1">
        <v>0.4</v>
      </c>
      <c r="N1163" s="1">
        <v>10.39000034</v>
      </c>
    </row>
    <row r="1164" ht="15.75" customHeight="1">
      <c r="A1164" s="1" t="s">
        <v>164</v>
      </c>
      <c r="B1164" s="1" t="s">
        <v>183</v>
      </c>
      <c r="C1164" s="5">
        <v>45558.0</v>
      </c>
      <c r="D1164" s="1" t="s">
        <v>161</v>
      </c>
      <c r="E1164" s="1" t="s">
        <v>11</v>
      </c>
      <c r="F1164" s="1" t="s">
        <v>166</v>
      </c>
      <c r="H1164" s="1">
        <v>0.0</v>
      </c>
      <c r="I1164" s="1">
        <v>1.0</v>
      </c>
      <c r="J1164" s="1">
        <v>0.0</v>
      </c>
      <c r="K1164" s="1">
        <v>4.0</v>
      </c>
      <c r="L1164" s="1">
        <v>5.0</v>
      </c>
      <c r="M1164" s="1">
        <v>0.8</v>
      </c>
      <c r="N1164" s="1">
        <v>14.03999996</v>
      </c>
    </row>
    <row r="1165" ht="15.75" customHeight="1">
      <c r="A1165" s="1" t="s">
        <v>164</v>
      </c>
      <c r="B1165" s="1" t="s">
        <v>68</v>
      </c>
      <c r="C1165" s="5">
        <v>45558.0</v>
      </c>
      <c r="D1165" s="1" t="s">
        <v>161</v>
      </c>
      <c r="E1165" s="1" t="s">
        <v>11</v>
      </c>
      <c r="F1165" s="1" t="s">
        <v>165</v>
      </c>
      <c r="H1165" s="1">
        <v>0.0</v>
      </c>
      <c r="I1165" s="1">
        <v>0.0</v>
      </c>
      <c r="J1165" s="1">
        <v>0.0</v>
      </c>
      <c r="K1165" s="1">
        <v>17.0</v>
      </c>
      <c r="L1165" s="1">
        <v>23.0</v>
      </c>
      <c r="M1165" s="1">
        <v>0.739130435</v>
      </c>
      <c r="N1165" s="1">
        <v>13.30000019</v>
      </c>
    </row>
    <row r="1166" ht="15.75" customHeight="1">
      <c r="A1166" s="1" t="s">
        <v>164</v>
      </c>
      <c r="B1166" s="1" t="s">
        <v>197</v>
      </c>
      <c r="C1166" s="5">
        <v>45558.0</v>
      </c>
      <c r="D1166" s="1" t="s">
        <v>161</v>
      </c>
      <c r="E1166" s="1" t="s">
        <v>11</v>
      </c>
      <c r="F1166" s="1" t="s">
        <v>166</v>
      </c>
      <c r="H1166" s="1">
        <v>0.0</v>
      </c>
      <c r="I1166" s="1">
        <v>0.0</v>
      </c>
      <c r="J1166" s="1">
        <v>0.0</v>
      </c>
      <c r="K1166" s="1">
        <v>0.0</v>
      </c>
      <c r="L1166" s="1">
        <v>1.0</v>
      </c>
      <c r="M1166" s="1">
        <v>0.0</v>
      </c>
      <c r="N1166" s="1">
        <v>5.210000038</v>
      </c>
    </row>
    <row r="1167" ht="15.75" customHeight="1">
      <c r="A1167" s="1" t="s">
        <v>164</v>
      </c>
      <c r="B1167" s="1" t="s">
        <v>205</v>
      </c>
      <c r="C1167" s="5">
        <v>45558.0</v>
      </c>
      <c r="D1167" s="1" t="s">
        <v>161</v>
      </c>
      <c r="E1167" s="1" t="s">
        <v>11</v>
      </c>
      <c r="F1167" s="1" t="s">
        <v>166</v>
      </c>
      <c r="H1167" s="1">
        <v>0.0</v>
      </c>
      <c r="I1167" s="1">
        <v>1.0</v>
      </c>
      <c r="J1167" s="1">
        <v>0.0</v>
      </c>
      <c r="K1167" s="1">
        <v>20.0</v>
      </c>
      <c r="L1167" s="1">
        <v>38.0</v>
      </c>
      <c r="M1167" s="1">
        <v>0.526315789</v>
      </c>
      <c r="N1167" s="1">
        <v>42.52000046</v>
      </c>
    </row>
    <row r="1168" ht="15.75" customHeight="1">
      <c r="A1168" s="1" t="s">
        <v>164</v>
      </c>
      <c r="B1168" s="1" t="s">
        <v>75</v>
      </c>
      <c r="C1168" s="5">
        <v>45558.0</v>
      </c>
      <c r="D1168" s="1" t="s">
        <v>161</v>
      </c>
      <c r="E1168" s="1" t="s">
        <v>11</v>
      </c>
      <c r="F1168" s="1" t="s">
        <v>165</v>
      </c>
      <c r="H1168" s="1">
        <v>0.0</v>
      </c>
      <c r="I1168" s="1">
        <v>0.0</v>
      </c>
      <c r="J1168" s="1">
        <v>0.0</v>
      </c>
      <c r="K1168" s="1">
        <v>1.0</v>
      </c>
      <c r="L1168" s="1">
        <v>2.0</v>
      </c>
      <c r="M1168" s="1">
        <v>0.5</v>
      </c>
      <c r="N1168" s="1">
        <v>9.010000229</v>
      </c>
    </row>
    <row r="1169" ht="15.75" customHeight="1">
      <c r="A1169" s="1" t="s">
        <v>164</v>
      </c>
      <c r="B1169" s="1" t="s">
        <v>100</v>
      </c>
      <c r="C1169" s="5">
        <v>45558.0</v>
      </c>
      <c r="D1169" s="1" t="s">
        <v>161</v>
      </c>
      <c r="E1169" s="1" t="s">
        <v>11</v>
      </c>
      <c r="F1169" s="1" t="s">
        <v>171</v>
      </c>
      <c r="G1169" s="1" t="s">
        <v>172</v>
      </c>
      <c r="H1169" s="1">
        <v>1.0</v>
      </c>
      <c r="I1169" s="1">
        <v>2.0</v>
      </c>
      <c r="J1169" s="1">
        <v>0.0</v>
      </c>
      <c r="K1169" s="1">
        <v>45.0</v>
      </c>
      <c r="L1169" s="1">
        <v>65.0</v>
      </c>
      <c r="M1169" s="1">
        <v>0.692307692</v>
      </c>
      <c r="N1169" s="1">
        <v>36.20999908</v>
      </c>
    </row>
    <row r="1170" ht="15.75" customHeight="1">
      <c r="A1170" s="1" t="s">
        <v>164</v>
      </c>
      <c r="B1170" s="1" t="s">
        <v>82</v>
      </c>
      <c r="C1170" s="5">
        <v>45558.0</v>
      </c>
      <c r="D1170" s="1" t="s">
        <v>161</v>
      </c>
      <c r="E1170" s="1" t="s">
        <v>11</v>
      </c>
      <c r="F1170" s="1" t="s">
        <v>165</v>
      </c>
      <c r="H1170" s="1">
        <v>0.0</v>
      </c>
      <c r="I1170" s="1">
        <v>1.0</v>
      </c>
      <c r="J1170" s="1">
        <v>0.0</v>
      </c>
      <c r="K1170" s="1">
        <v>17.0</v>
      </c>
      <c r="L1170" s="1">
        <v>22.0</v>
      </c>
      <c r="M1170" s="1">
        <v>0.772727273</v>
      </c>
      <c r="N1170" s="1">
        <v>13.51000023</v>
      </c>
    </row>
    <row r="1171" ht="15.75" customHeight="1">
      <c r="A1171" s="1" t="s">
        <v>180</v>
      </c>
      <c r="B1171" s="1" t="s">
        <v>214</v>
      </c>
      <c r="C1171" s="5">
        <v>45558.0</v>
      </c>
      <c r="D1171" s="1" t="s">
        <v>161</v>
      </c>
      <c r="E1171" s="1" t="s">
        <v>11</v>
      </c>
      <c r="F1171" s="1" t="s">
        <v>166</v>
      </c>
      <c r="H1171" s="1">
        <v>0.0</v>
      </c>
      <c r="I1171" s="1">
        <v>1.0</v>
      </c>
      <c r="J1171" s="1">
        <v>0.0</v>
      </c>
      <c r="K1171" s="1">
        <v>13.0</v>
      </c>
      <c r="L1171" s="1">
        <v>16.0</v>
      </c>
      <c r="M1171" s="1">
        <v>0.8125</v>
      </c>
      <c r="N1171" s="1">
        <v>8.5</v>
      </c>
    </row>
    <row r="1172" ht="15.75" customHeight="1">
      <c r="A1172" s="1" t="s">
        <v>180</v>
      </c>
      <c r="B1172" s="1" t="s">
        <v>226</v>
      </c>
      <c r="C1172" s="5">
        <v>45558.0</v>
      </c>
      <c r="D1172" s="1" t="s">
        <v>161</v>
      </c>
      <c r="E1172" s="1" t="s">
        <v>11</v>
      </c>
      <c r="F1172" s="1" t="s">
        <v>166</v>
      </c>
      <c r="G1172" s="1" t="s">
        <v>172</v>
      </c>
      <c r="H1172" s="1">
        <v>1.0</v>
      </c>
      <c r="I1172" s="1">
        <v>1.0</v>
      </c>
      <c r="J1172" s="1">
        <v>0.0</v>
      </c>
      <c r="K1172" s="1">
        <v>18.0</v>
      </c>
      <c r="L1172" s="1">
        <v>29.0</v>
      </c>
      <c r="M1172" s="1">
        <v>0.620689655</v>
      </c>
      <c r="N1172" s="1">
        <v>45.72999954</v>
      </c>
    </row>
    <row r="1173" ht="15.75" customHeight="1">
      <c r="A1173" s="1" t="s">
        <v>164</v>
      </c>
      <c r="B1173" s="1" t="s">
        <v>24</v>
      </c>
      <c r="C1173" s="5">
        <v>45557.0</v>
      </c>
      <c r="D1173" s="1" t="s">
        <v>161</v>
      </c>
      <c r="E1173" s="1" t="s">
        <v>11</v>
      </c>
      <c r="F1173" s="1" t="s">
        <v>166</v>
      </c>
      <c r="H1173" s="1">
        <v>0.0</v>
      </c>
      <c r="I1173" s="1">
        <v>2.0</v>
      </c>
      <c r="J1173" s="1">
        <v>0.0</v>
      </c>
      <c r="K1173" s="1">
        <v>32.0</v>
      </c>
      <c r="L1173" s="1">
        <v>46.0</v>
      </c>
      <c r="M1173" s="1">
        <v>0.695652174</v>
      </c>
      <c r="N1173" s="1">
        <v>80.36000061</v>
      </c>
    </row>
    <row r="1174" ht="15.75" customHeight="1">
      <c r="A1174" s="1" t="s">
        <v>180</v>
      </c>
      <c r="B1174" s="1" t="s">
        <v>214</v>
      </c>
      <c r="C1174" s="5">
        <v>45557.0</v>
      </c>
      <c r="D1174" s="1" t="s">
        <v>161</v>
      </c>
      <c r="E1174" s="1" t="s">
        <v>11</v>
      </c>
      <c r="F1174" s="1" t="s">
        <v>166</v>
      </c>
      <c r="H1174" s="1">
        <v>0.0</v>
      </c>
      <c r="I1174" s="1">
        <v>1.0</v>
      </c>
      <c r="J1174" s="1">
        <v>0.0</v>
      </c>
      <c r="K1174" s="1">
        <v>16.0</v>
      </c>
      <c r="L1174" s="1">
        <v>19.0</v>
      </c>
      <c r="M1174" s="1">
        <v>0.842105263</v>
      </c>
      <c r="N1174" s="1">
        <v>11.42000008</v>
      </c>
    </row>
    <row r="1175" ht="15.75" customHeight="1">
      <c r="A1175" s="1" t="s">
        <v>180</v>
      </c>
      <c r="B1175" s="1" t="s">
        <v>226</v>
      </c>
      <c r="C1175" s="5">
        <v>45557.0</v>
      </c>
      <c r="D1175" s="1" t="s">
        <v>161</v>
      </c>
      <c r="E1175" s="1" t="s">
        <v>11</v>
      </c>
      <c r="F1175" s="1" t="s">
        <v>166</v>
      </c>
      <c r="H1175" s="1">
        <v>0.0</v>
      </c>
      <c r="I1175" s="1">
        <v>0.0</v>
      </c>
      <c r="J1175" s="1">
        <v>0.0</v>
      </c>
      <c r="K1175" s="1">
        <v>3.0</v>
      </c>
      <c r="L1175" s="1">
        <v>5.0</v>
      </c>
      <c r="M1175" s="1">
        <v>0.6</v>
      </c>
      <c r="N1175" s="1">
        <v>21.10000038</v>
      </c>
    </row>
    <row r="1176" ht="15.75" customHeight="1">
      <c r="A1176" s="1" t="s">
        <v>164</v>
      </c>
      <c r="B1176" s="1" t="s">
        <v>35</v>
      </c>
      <c r="C1176" s="5">
        <v>45556.0</v>
      </c>
      <c r="D1176" s="1" t="s">
        <v>161</v>
      </c>
      <c r="E1176" s="1" t="s">
        <v>11</v>
      </c>
      <c r="F1176" s="1" t="s">
        <v>168</v>
      </c>
      <c r="G1176" s="1" t="s">
        <v>163</v>
      </c>
      <c r="H1176" s="1">
        <v>1.0</v>
      </c>
      <c r="I1176" s="1">
        <v>1.0</v>
      </c>
      <c r="J1176" s="1">
        <v>0.0</v>
      </c>
      <c r="K1176" s="1">
        <v>26.0</v>
      </c>
      <c r="L1176" s="1">
        <v>37.0</v>
      </c>
      <c r="M1176" s="1">
        <v>0.702702703</v>
      </c>
      <c r="N1176" s="1">
        <v>18.37000084</v>
      </c>
    </row>
    <row r="1177" ht="15.75" customHeight="1">
      <c r="A1177" s="1" t="s">
        <v>164</v>
      </c>
      <c r="B1177" s="1" t="s">
        <v>35</v>
      </c>
      <c r="C1177" s="5">
        <v>45556.0</v>
      </c>
      <c r="D1177" s="1" t="s">
        <v>161</v>
      </c>
      <c r="E1177" s="1" t="s">
        <v>11</v>
      </c>
      <c r="F1177" s="1" t="s">
        <v>166</v>
      </c>
      <c r="G1177" s="1" t="s">
        <v>163</v>
      </c>
      <c r="H1177" s="1">
        <v>1.0</v>
      </c>
      <c r="I1177" s="1">
        <v>0.0</v>
      </c>
      <c r="J1177" s="1">
        <v>0.0</v>
      </c>
      <c r="K1177" s="1">
        <v>0.0</v>
      </c>
      <c r="L1177" s="1">
        <v>0.0</v>
      </c>
      <c r="N1177" s="1">
        <v>0.0</v>
      </c>
    </row>
    <row r="1178" ht="15.75" customHeight="1">
      <c r="A1178" s="1" t="s">
        <v>164</v>
      </c>
      <c r="B1178" s="1" t="s">
        <v>24</v>
      </c>
      <c r="C1178" s="5">
        <v>45556.0</v>
      </c>
      <c r="D1178" s="1" t="s">
        <v>161</v>
      </c>
      <c r="E1178" s="1" t="s">
        <v>11</v>
      </c>
      <c r="F1178" s="1" t="s">
        <v>166</v>
      </c>
      <c r="G1178" s="1" t="s">
        <v>172</v>
      </c>
      <c r="H1178" s="1">
        <v>1.0</v>
      </c>
      <c r="I1178" s="1">
        <v>1.0</v>
      </c>
      <c r="J1178" s="1">
        <v>0.0</v>
      </c>
      <c r="K1178" s="1">
        <v>36.0</v>
      </c>
      <c r="L1178" s="1">
        <v>79.0</v>
      </c>
      <c r="M1178" s="1">
        <v>0.455696203</v>
      </c>
      <c r="N1178" s="1">
        <v>76.36000061</v>
      </c>
    </row>
    <row r="1179" ht="15.75" customHeight="1">
      <c r="A1179" s="1" t="s">
        <v>180</v>
      </c>
      <c r="B1179" s="1" t="s">
        <v>214</v>
      </c>
      <c r="C1179" s="5">
        <v>45556.0</v>
      </c>
      <c r="D1179" s="1" t="s">
        <v>161</v>
      </c>
      <c r="E1179" s="1" t="s">
        <v>11</v>
      </c>
      <c r="F1179" s="1" t="s">
        <v>166</v>
      </c>
      <c r="G1179" s="1" t="s">
        <v>172</v>
      </c>
      <c r="H1179" s="1">
        <v>1.0</v>
      </c>
      <c r="I1179" s="1">
        <v>1.0</v>
      </c>
      <c r="J1179" s="1">
        <v>0.0</v>
      </c>
      <c r="K1179" s="1">
        <v>13.0</v>
      </c>
      <c r="L1179" s="1">
        <v>14.0</v>
      </c>
      <c r="M1179" s="1">
        <v>0.928571429</v>
      </c>
      <c r="N1179" s="1">
        <v>11.39999962</v>
      </c>
    </row>
    <row r="1180" ht="15.75" customHeight="1">
      <c r="A1180" s="1" t="s">
        <v>180</v>
      </c>
      <c r="B1180" s="1" t="s">
        <v>226</v>
      </c>
      <c r="C1180" s="5">
        <v>45556.0</v>
      </c>
      <c r="D1180" s="1" t="s">
        <v>161</v>
      </c>
      <c r="E1180" s="1" t="s">
        <v>11</v>
      </c>
      <c r="H1180" s="1">
        <v>0.0</v>
      </c>
      <c r="J1180" s="1">
        <v>0.0</v>
      </c>
      <c r="N1180" s="1">
        <v>1.149999976</v>
      </c>
    </row>
    <row r="1181" ht="15.75" customHeight="1">
      <c r="A1181" s="1" t="s">
        <v>160</v>
      </c>
      <c r="B1181" s="1" t="s">
        <v>36</v>
      </c>
      <c r="C1181" s="5">
        <v>45555.0</v>
      </c>
      <c r="D1181" s="1" t="s">
        <v>161</v>
      </c>
      <c r="E1181" s="1" t="s">
        <v>11</v>
      </c>
      <c r="H1181" s="1">
        <v>0.0</v>
      </c>
      <c r="J1181" s="1">
        <v>0.0</v>
      </c>
      <c r="N1181" s="1">
        <v>0.449999988</v>
      </c>
    </row>
    <row r="1182" ht="15.75" customHeight="1">
      <c r="A1182" s="1" t="s">
        <v>160</v>
      </c>
      <c r="B1182" s="1" t="s">
        <v>95</v>
      </c>
      <c r="C1182" s="5">
        <v>45555.0</v>
      </c>
      <c r="D1182" s="1" t="s">
        <v>161</v>
      </c>
      <c r="E1182" s="1" t="s">
        <v>11</v>
      </c>
      <c r="H1182" s="1">
        <v>0.0</v>
      </c>
      <c r="J1182" s="1">
        <v>0.0</v>
      </c>
      <c r="N1182" s="1">
        <v>1.779999971</v>
      </c>
    </row>
    <row r="1183" ht="15.75" customHeight="1">
      <c r="A1183" s="1" t="s">
        <v>164</v>
      </c>
      <c r="B1183" s="1" t="s">
        <v>22</v>
      </c>
      <c r="C1183" s="5">
        <v>45555.0</v>
      </c>
      <c r="D1183" s="1" t="s">
        <v>161</v>
      </c>
      <c r="E1183" s="1" t="s">
        <v>11</v>
      </c>
      <c r="F1183" s="1" t="s">
        <v>166</v>
      </c>
      <c r="H1183" s="1">
        <v>0.0</v>
      </c>
      <c r="I1183" s="1">
        <v>0.0</v>
      </c>
      <c r="J1183" s="1">
        <v>0.0</v>
      </c>
      <c r="K1183" s="1">
        <v>1.0</v>
      </c>
      <c r="L1183" s="1">
        <v>4.0</v>
      </c>
      <c r="M1183" s="1">
        <v>0.25</v>
      </c>
      <c r="N1183" s="1">
        <v>5.980000019</v>
      </c>
    </row>
    <row r="1184" ht="15.75" customHeight="1">
      <c r="A1184" s="1" t="s">
        <v>164</v>
      </c>
      <c r="B1184" s="1" t="s">
        <v>35</v>
      </c>
      <c r="C1184" s="5">
        <v>45555.0</v>
      </c>
      <c r="D1184" s="1" t="s">
        <v>161</v>
      </c>
      <c r="E1184" s="1" t="s">
        <v>11</v>
      </c>
      <c r="H1184" s="1">
        <v>0.0</v>
      </c>
      <c r="J1184" s="1">
        <v>0.0</v>
      </c>
      <c r="N1184" s="1">
        <v>0.949999988</v>
      </c>
    </row>
    <row r="1185" ht="15.75" customHeight="1">
      <c r="A1185" s="1" t="s">
        <v>164</v>
      </c>
      <c r="B1185" s="1" t="s">
        <v>24</v>
      </c>
      <c r="C1185" s="5">
        <v>45555.0</v>
      </c>
      <c r="D1185" s="1" t="s">
        <v>161</v>
      </c>
      <c r="E1185" s="1" t="s">
        <v>11</v>
      </c>
      <c r="F1185" s="1" t="s">
        <v>166</v>
      </c>
      <c r="H1185" s="1">
        <v>0.0</v>
      </c>
      <c r="I1185" s="1">
        <v>0.0</v>
      </c>
      <c r="J1185" s="1">
        <v>0.0</v>
      </c>
      <c r="K1185" s="1">
        <v>1.0</v>
      </c>
      <c r="L1185" s="1">
        <v>3.0</v>
      </c>
      <c r="M1185" s="1">
        <v>0.333333333</v>
      </c>
      <c r="N1185" s="1">
        <v>2.099999905</v>
      </c>
    </row>
    <row r="1186" ht="15.75" customHeight="1">
      <c r="A1186" s="1" t="s">
        <v>164</v>
      </c>
      <c r="B1186" s="1" t="s">
        <v>207</v>
      </c>
      <c r="C1186" s="5">
        <v>45555.0</v>
      </c>
      <c r="D1186" s="1" t="s">
        <v>161</v>
      </c>
      <c r="E1186" s="1" t="s">
        <v>11</v>
      </c>
      <c r="F1186" s="1" t="s">
        <v>166</v>
      </c>
      <c r="G1186" s="1" t="s">
        <v>172</v>
      </c>
      <c r="H1186" s="1">
        <v>1.0</v>
      </c>
      <c r="I1186" s="1">
        <v>0.0</v>
      </c>
      <c r="J1186" s="1">
        <v>0.0</v>
      </c>
      <c r="K1186" s="1">
        <v>12.0</v>
      </c>
      <c r="L1186" s="1">
        <v>18.0</v>
      </c>
      <c r="M1186" s="1">
        <v>0.666666667</v>
      </c>
      <c r="N1186" s="1">
        <v>12.72999954</v>
      </c>
    </row>
    <row r="1187" ht="15.75" customHeight="1">
      <c r="A1187" s="1" t="s">
        <v>164</v>
      </c>
      <c r="B1187" s="1" t="s">
        <v>199</v>
      </c>
      <c r="C1187" s="5">
        <v>45555.0</v>
      </c>
      <c r="D1187" s="1" t="s">
        <v>161</v>
      </c>
      <c r="E1187" s="1" t="s">
        <v>11</v>
      </c>
      <c r="F1187" s="1" t="s">
        <v>162</v>
      </c>
      <c r="G1187" s="1" t="s">
        <v>194</v>
      </c>
      <c r="H1187" s="1">
        <v>1.0</v>
      </c>
      <c r="I1187" s="1">
        <v>0.0</v>
      </c>
      <c r="J1187" s="1">
        <v>0.0</v>
      </c>
      <c r="K1187" s="1">
        <v>66.0</v>
      </c>
      <c r="L1187" s="1">
        <v>118.0</v>
      </c>
      <c r="M1187" s="1">
        <v>0.559322034</v>
      </c>
      <c r="N1187" s="1">
        <v>78.16000366</v>
      </c>
    </row>
    <row r="1188" ht="15.75" customHeight="1">
      <c r="A1188" s="1" t="s">
        <v>164</v>
      </c>
      <c r="B1188" s="1" t="s">
        <v>196</v>
      </c>
      <c r="C1188" s="5">
        <v>45555.0</v>
      </c>
      <c r="D1188" s="1" t="s">
        <v>161</v>
      </c>
      <c r="E1188" s="1" t="s">
        <v>11</v>
      </c>
      <c r="F1188" s="1" t="s">
        <v>165</v>
      </c>
      <c r="H1188" s="1">
        <v>0.0</v>
      </c>
      <c r="I1188" s="1">
        <v>0.0</v>
      </c>
      <c r="J1188" s="1">
        <v>0.0</v>
      </c>
      <c r="K1188" s="1">
        <v>10.0</v>
      </c>
      <c r="L1188" s="1">
        <v>18.0</v>
      </c>
      <c r="M1188" s="1">
        <v>0.555555556</v>
      </c>
      <c r="N1188" s="1">
        <v>42.33000183</v>
      </c>
    </row>
    <row r="1189" ht="15.75" customHeight="1">
      <c r="A1189" s="1" t="s">
        <v>164</v>
      </c>
      <c r="B1189" s="1" t="s">
        <v>231</v>
      </c>
      <c r="C1189" s="5">
        <v>45555.0</v>
      </c>
      <c r="D1189" s="1" t="s">
        <v>161</v>
      </c>
      <c r="E1189" s="1" t="s">
        <v>11</v>
      </c>
      <c r="F1189" s="1" t="s">
        <v>166</v>
      </c>
      <c r="H1189" s="1">
        <v>0.0</v>
      </c>
      <c r="I1189" s="1">
        <v>0.0</v>
      </c>
      <c r="J1189" s="1">
        <v>0.0</v>
      </c>
      <c r="K1189" s="1">
        <v>6.0</v>
      </c>
      <c r="L1189" s="1">
        <v>17.0</v>
      </c>
      <c r="M1189" s="1">
        <v>0.352941176</v>
      </c>
      <c r="N1189" s="1">
        <v>50.61999893</v>
      </c>
    </row>
    <row r="1190" ht="15.75" customHeight="1">
      <c r="A1190" s="1" t="s">
        <v>164</v>
      </c>
      <c r="B1190" s="1" t="s">
        <v>179</v>
      </c>
      <c r="C1190" s="5">
        <v>45555.0</v>
      </c>
      <c r="D1190" s="1" t="s">
        <v>161</v>
      </c>
      <c r="E1190" s="1" t="s">
        <v>11</v>
      </c>
      <c r="F1190" s="1" t="s">
        <v>166</v>
      </c>
      <c r="H1190" s="1">
        <v>0.0</v>
      </c>
      <c r="I1190" s="1">
        <v>1.0</v>
      </c>
      <c r="J1190" s="1">
        <v>0.0</v>
      </c>
      <c r="K1190" s="1">
        <v>2.0</v>
      </c>
      <c r="L1190" s="1">
        <v>3.0</v>
      </c>
      <c r="M1190" s="1">
        <v>0.666666667</v>
      </c>
      <c r="N1190" s="1">
        <v>1.75</v>
      </c>
    </row>
    <row r="1191" ht="15.75" customHeight="1">
      <c r="A1191" s="1" t="s">
        <v>164</v>
      </c>
      <c r="B1191" s="1" t="s">
        <v>63</v>
      </c>
      <c r="C1191" s="5">
        <v>45555.0</v>
      </c>
      <c r="D1191" s="1" t="s">
        <v>161</v>
      </c>
      <c r="E1191" s="1" t="s">
        <v>11</v>
      </c>
      <c r="F1191" s="1" t="s">
        <v>166</v>
      </c>
      <c r="H1191" s="1">
        <v>0.0</v>
      </c>
      <c r="I1191" s="1">
        <v>0.0</v>
      </c>
      <c r="J1191" s="1">
        <v>0.0</v>
      </c>
      <c r="K1191" s="1">
        <v>8.0</v>
      </c>
      <c r="L1191" s="1">
        <v>9.0</v>
      </c>
      <c r="M1191" s="1">
        <v>0.888888889</v>
      </c>
      <c r="N1191" s="1">
        <v>14.85999966</v>
      </c>
    </row>
    <row r="1192" ht="15.75" customHeight="1">
      <c r="A1192" s="1" t="s">
        <v>164</v>
      </c>
      <c r="B1192" s="1" t="s">
        <v>75</v>
      </c>
      <c r="C1192" s="5">
        <v>45555.0</v>
      </c>
      <c r="D1192" s="1" t="s">
        <v>161</v>
      </c>
      <c r="E1192" s="1" t="s">
        <v>11</v>
      </c>
      <c r="F1192" s="1" t="s">
        <v>165</v>
      </c>
      <c r="H1192" s="1">
        <v>0.0</v>
      </c>
      <c r="I1192" s="1">
        <v>0.0</v>
      </c>
      <c r="J1192" s="1">
        <v>0.0</v>
      </c>
      <c r="K1192" s="1">
        <v>0.0</v>
      </c>
      <c r="L1192" s="1">
        <v>10.0</v>
      </c>
      <c r="M1192" s="1">
        <v>0.0</v>
      </c>
      <c r="N1192" s="1">
        <v>14.11999989</v>
      </c>
    </row>
    <row r="1193" ht="15.75" customHeight="1">
      <c r="A1193" s="1" t="s">
        <v>164</v>
      </c>
      <c r="B1193" s="1" t="s">
        <v>100</v>
      </c>
      <c r="C1193" s="5">
        <v>45555.0</v>
      </c>
      <c r="D1193" s="1" t="s">
        <v>161</v>
      </c>
      <c r="E1193" s="1" t="s">
        <v>11</v>
      </c>
      <c r="F1193" s="1" t="s">
        <v>171</v>
      </c>
      <c r="G1193" s="1" t="s">
        <v>200</v>
      </c>
      <c r="H1193" s="1">
        <v>2.0</v>
      </c>
      <c r="I1193" s="1">
        <v>2.0</v>
      </c>
      <c r="J1193" s="1">
        <v>0.0</v>
      </c>
      <c r="K1193" s="1">
        <v>48.0</v>
      </c>
      <c r="L1193" s="1">
        <v>61.0</v>
      </c>
      <c r="M1193" s="1">
        <v>0.786885246</v>
      </c>
      <c r="N1193" s="1">
        <v>27.05999947</v>
      </c>
    </row>
    <row r="1194" ht="15.75" customHeight="1">
      <c r="A1194" s="1" t="s">
        <v>180</v>
      </c>
      <c r="B1194" s="1" t="s">
        <v>181</v>
      </c>
      <c r="C1194" s="5">
        <v>45555.0</v>
      </c>
      <c r="D1194" s="1" t="s">
        <v>161</v>
      </c>
      <c r="E1194" s="1" t="s">
        <v>11</v>
      </c>
      <c r="F1194" s="1" t="s">
        <v>166</v>
      </c>
      <c r="H1194" s="1">
        <v>0.0</v>
      </c>
      <c r="I1194" s="1">
        <v>0.0</v>
      </c>
      <c r="J1194" s="1">
        <v>0.0</v>
      </c>
      <c r="K1194" s="1">
        <v>12.0</v>
      </c>
      <c r="L1194" s="1">
        <v>19.0</v>
      </c>
      <c r="M1194" s="1">
        <v>0.631578947</v>
      </c>
      <c r="N1194" s="1">
        <v>13.60999966</v>
      </c>
    </row>
    <row r="1195" ht="15.75" customHeight="1">
      <c r="A1195" s="1" t="s">
        <v>180</v>
      </c>
      <c r="B1195" s="1" t="s">
        <v>226</v>
      </c>
      <c r="C1195" s="5">
        <v>45555.0</v>
      </c>
      <c r="D1195" s="1" t="s">
        <v>161</v>
      </c>
      <c r="E1195" s="1" t="s">
        <v>11</v>
      </c>
      <c r="F1195" s="1" t="s">
        <v>166</v>
      </c>
      <c r="G1195" s="1" t="s">
        <v>172</v>
      </c>
      <c r="H1195" s="1">
        <v>1.0</v>
      </c>
      <c r="I1195" s="1">
        <v>0.0</v>
      </c>
      <c r="J1195" s="1">
        <v>0.0</v>
      </c>
      <c r="K1195" s="1">
        <v>13.0</v>
      </c>
      <c r="L1195" s="1">
        <v>18.0</v>
      </c>
      <c r="M1195" s="1">
        <v>0.722222222</v>
      </c>
      <c r="N1195" s="1">
        <v>45.79999924</v>
      </c>
    </row>
    <row r="1196" ht="15.75" customHeight="1">
      <c r="A1196" s="1" t="s">
        <v>160</v>
      </c>
      <c r="B1196" s="1" t="s">
        <v>224</v>
      </c>
      <c r="C1196" s="5">
        <v>45554.0</v>
      </c>
      <c r="D1196" s="1" t="s">
        <v>161</v>
      </c>
      <c r="E1196" s="1" t="s">
        <v>11</v>
      </c>
      <c r="F1196" s="1" t="s">
        <v>162</v>
      </c>
      <c r="H1196" s="1">
        <v>0.0</v>
      </c>
      <c r="I1196" s="1">
        <v>0.0</v>
      </c>
      <c r="J1196" s="1">
        <v>0.0</v>
      </c>
      <c r="K1196" s="1">
        <v>1.0</v>
      </c>
      <c r="L1196" s="1">
        <v>2.0</v>
      </c>
      <c r="M1196" s="1">
        <v>0.5</v>
      </c>
      <c r="N1196" s="1">
        <v>3.420000076</v>
      </c>
    </row>
    <row r="1197" ht="15.75" customHeight="1">
      <c r="A1197" s="1" t="s">
        <v>164</v>
      </c>
      <c r="B1197" s="1" t="s">
        <v>35</v>
      </c>
      <c r="C1197" s="5">
        <v>45554.0</v>
      </c>
      <c r="D1197" s="1" t="s">
        <v>161</v>
      </c>
      <c r="E1197" s="1" t="s">
        <v>11</v>
      </c>
      <c r="F1197" s="1" t="s">
        <v>177</v>
      </c>
      <c r="G1197" s="1" t="s">
        <v>163</v>
      </c>
      <c r="H1197" s="1">
        <v>1.0</v>
      </c>
      <c r="I1197" s="1">
        <v>1.0</v>
      </c>
      <c r="J1197" s="1">
        <v>0.0</v>
      </c>
      <c r="K1197" s="1">
        <v>12.0</v>
      </c>
      <c r="L1197" s="1">
        <v>12.0</v>
      </c>
      <c r="M1197" s="1">
        <v>1.0</v>
      </c>
      <c r="N1197" s="1">
        <v>0.0</v>
      </c>
    </row>
    <row r="1198" ht="15.75" customHeight="1">
      <c r="A1198" s="1" t="s">
        <v>164</v>
      </c>
      <c r="B1198" s="1" t="s">
        <v>35</v>
      </c>
      <c r="C1198" s="5">
        <v>45554.0</v>
      </c>
      <c r="D1198" s="1" t="s">
        <v>161</v>
      </c>
      <c r="E1198" s="1" t="s">
        <v>11</v>
      </c>
      <c r="F1198" s="1" t="s">
        <v>168</v>
      </c>
      <c r="G1198" s="1" t="s">
        <v>163</v>
      </c>
      <c r="H1198" s="1">
        <v>1.0</v>
      </c>
      <c r="I1198" s="1">
        <v>1.0</v>
      </c>
      <c r="J1198" s="1">
        <v>0.0</v>
      </c>
      <c r="K1198" s="1">
        <v>15.0</v>
      </c>
      <c r="L1198" s="1">
        <v>17.0</v>
      </c>
      <c r="M1198" s="1">
        <v>0.882352941</v>
      </c>
      <c r="N1198" s="1">
        <v>9.680000305</v>
      </c>
    </row>
    <row r="1199" ht="15.75" customHeight="1">
      <c r="A1199" s="1" t="s">
        <v>164</v>
      </c>
      <c r="B1199" s="1" t="s">
        <v>35</v>
      </c>
      <c r="C1199" s="5">
        <v>45554.0</v>
      </c>
      <c r="D1199" s="1" t="s">
        <v>161</v>
      </c>
      <c r="E1199" s="1" t="s">
        <v>11</v>
      </c>
      <c r="F1199" s="1" t="s">
        <v>166</v>
      </c>
      <c r="G1199" s="1" t="s">
        <v>163</v>
      </c>
      <c r="H1199" s="1">
        <v>1.0</v>
      </c>
      <c r="I1199" s="1">
        <v>0.0</v>
      </c>
      <c r="J1199" s="1">
        <v>0.0</v>
      </c>
      <c r="K1199" s="1">
        <v>0.0</v>
      </c>
      <c r="L1199" s="1">
        <v>0.0</v>
      </c>
      <c r="N1199" s="1">
        <v>0.0</v>
      </c>
    </row>
    <row r="1200" ht="15.75" customHeight="1">
      <c r="A1200" s="1" t="s">
        <v>164</v>
      </c>
      <c r="B1200" s="1" t="s">
        <v>24</v>
      </c>
      <c r="C1200" s="5">
        <v>45554.0</v>
      </c>
      <c r="D1200" s="1" t="s">
        <v>161</v>
      </c>
      <c r="E1200" s="1" t="s">
        <v>11</v>
      </c>
      <c r="F1200" s="1" t="s">
        <v>166</v>
      </c>
      <c r="G1200" s="1" t="s">
        <v>194</v>
      </c>
      <c r="H1200" s="1">
        <v>1.0</v>
      </c>
      <c r="I1200" s="1">
        <v>2.0</v>
      </c>
      <c r="J1200" s="1">
        <v>0.0</v>
      </c>
      <c r="K1200" s="1">
        <v>36.0</v>
      </c>
      <c r="L1200" s="1">
        <v>66.0</v>
      </c>
      <c r="M1200" s="1">
        <v>0.545454545</v>
      </c>
      <c r="N1200" s="1">
        <v>19.73999977</v>
      </c>
    </row>
    <row r="1201" ht="15.75" customHeight="1">
      <c r="A1201" s="1" t="s">
        <v>164</v>
      </c>
      <c r="B1201" s="1" t="s">
        <v>52</v>
      </c>
      <c r="C1201" s="5">
        <v>45554.0</v>
      </c>
      <c r="D1201" s="1" t="s">
        <v>161</v>
      </c>
      <c r="E1201" s="1" t="s">
        <v>11</v>
      </c>
      <c r="F1201" s="1" t="s">
        <v>165</v>
      </c>
      <c r="H1201" s="1">
        <v>0.0</v>
      </c>
      <c r="I1201" s="1">
        <v>0.0</v>
      </c>
      <c r="J1201" s="1">
        <v>0.0</v>
      </c>
      <c r="K1201" s="1">
        <v>4.0</v>
      </c>
      <c r="L1201" s="1">
        <v>9.0</v>
      </c>
      <c r="M1201" s="1">
        <v>0.444444444</v>
      </c>
      <c r="N1201" s="1">
        <v>13.72000027</v>
      </c>
    </row>
    <row r="1202" ht="15.75" customHeight="1">
      <c r="A1202" s="1" t="s">
        <v>164</v>
      </c>
      <c r="B1202" s="1" t="s">
        <v>199</v>
      </c>
      <c r="C1202" s="5">
        <v>45554.0</v>
      </c>
      <c r="D1202" s="1" t="s">
        <v>161</v>
      </c>
      <c r="E1202" s="1" t="s">
        <v>11</v>
      </c>
      <c r="F1202" s="1" t="s">
        <v>162</v>
      </c>
      <c r="H1202" s="1">
        <v>0.0</v>
      </c>
      <c r="I1202" s="1">
        <v>0.0</v>
      </c>
      <c r="J1202" s="1">
        <v>0.0</v>
      </c>
      <c r="K1202" s="1">
        <v>9.0</v>
      </c>
      <c r="L1202" s="1">
        <v>28.0</v>
      </c>
      <c r="M1202" s="1">
        <v>0.321428571</v>
      </c>
      <c r="N1202" s="1">
        <v>22.5</v>
      </c>
    </row>
    <row r="1203" ht="15.75" customHeight="1">
      <c r="A1203" s="1" t="s">
        <v>164</v>
      </c>
      <c r="B1203" s="1" t="s">
        <v>231</v>
      </c>
      <c r="C1203" s="5">
        <v>45554.0</v>
      </c>
      <c r="D1203" s="1" t="s">
        <v>161</v>
      </c>
      <c r="E1203" s="1" t="s">
        <v>11</v>
      </c>
      <c r="F1203" s="1" t="s">
        <v>166</v>
      </c>
      <c r="H1203" s="1">
        <v>0.0</v>
      </c>
      <c r="I1203" s="1">
        <v>0.0</v>
      </c>
      <c r="J1203" s="1">
        <v>0.0</v>
      </c>
      <c r="K1203" s="1">
        <v>9.0</v>
      </c>
      <c r="L1203" s="1">
        <v>13.0</v>
      </c>
      <c r="M1203" s="1">
        <v>0.692307692</v>
      </c>
      <c r="N1203" s="1">
        <v>107.9800034</v>
      </c>
    </row>
    <row r="1204" ht="15.75" customHeight="1">
      <c r="A1204" s="1" t="s">
        <v>164</v>
      </c>
      <c r="B1204" s="1" t="s">
        <v>63</v>
      </c>
      <c r="C1204" s="5">
        <v>45554.0</v>
      </c>
      <c r="D1204" s="1" t="s">
        <v>161</v>
      </c>
      <c r="E1204" s="1" t="s">
        <v>11</v>
      </c>
      <c r="F1204" s="1" t="s">
        <v>166</v>
      </c>
      <c r="H1204" s="1">
        <v>0.0</v>
      </c>
      <c r="I1204" s="1">
        <v>0.0</v>
      </c>
      <c r="J1204" s="1">
        <v>0.0</v>
      </c>
      <c r="K1204" s="1">
        <v>4.0</v>
      </c>
      <c r="L1204" s="1">
        <v>9.0</v>
      </c>
      <c r="M1204" s="1">
        <v>0.444444444</v>
      </c>
      <c r="N1204" s="1">
        <v>12.98999977</v>
      </c>
    </row>
    <row r="1205" ht="15.75" customHeight="1">
      <c r="A1205" s="1" t="s">
        <v>164</v>
      </c>
      <c r="B1205" s="1" t="s">
        <v>183</v>
      </c>
      <c r="C1205" s="5">
        <v>45554.0</v>
      </c>
      <c r="D1205" s="1" t="s">
        <v>161</v>
      </c>
      <c r="E1205" s="1" t="s">
        <v>11</v>
      </c>
      <c r="F1205" s="1" t="s">
        <v>166</v>
      </c>
      <c r="H1205" s="1">
        <v>0.0</v>
      </c>
      <c r="I1205" s="1">
        <v>0.0</v>
      </c>
      <c r="J1205" s="1">
        <v>0.0</v>
      </c>
      <c r="K1205" s="1">
        <v>2.0</v>
      </c>
      <c r="L1205" s="1">
        <v>4.0</v>
      </c>
      <c r="M1205" s="1">
        <v>0.5</v>
      </c>
      <c r="N1205" s="1">
        <v>6.650000095</v>
      </c>
    </row>
    <row r="1206" ht="15.75" customHeight="1">
      <c r="A1206" s="1" t="s">
        <v>164</v>
      </c>
      <c r="B1206" s="1" t="s">
        <v>68</v>
      </c>
      <c r="C1206" s="5">
        <v>45554.0</v>
      </c>
      <c r="D1206" s="1" t="s">
        <v>161</v>
      </c>
      <c r="E1206" s="1" t="s">
        <v>11</v>
      </c>
      <c r="F1206" s="1" t="s">
        <v>165</v>
      </c>
      <c r="H1206" s="1">
        <v>0.0</v>
      </c>
      <c r="I1206" s="1">
        <v>1.0</v>
      </c>
      <c r="J1206" s="1">
        <v>0.0</v>
      </c>
      <c r="K1206" s="1">
        <v>10.0</v>
      </c>
      <c r="L1206" s="1">
        <v>12.0</v>
      </c>
      <c r="M1206" s="1">
        <v>0.833333333</v>
      </c>
      <c r="N1206" s="1">
        <v>15.52000046</v>
      </c>
    </row>
    <row r="1207" ht="15.75" customHeight="1">
      <c r="A1207" s="1" t="s">
        <v>164</v>
      </c>
      <c r="B1207" s="1" t="s">
        <v>74</v>
      </c>
      <c r="C1207" s="5">
        <v>45554.0</v>
      </c>
      <c r="D1207" s="1" t="s">
        <v>161</v>
      </c>
      <c r="E1207" s="1" t="s">
        <v>11</v>
      </c>
      <c r="F1207" s="1" t="s">
        <v>166</v>
      </c>
      <c r="H1207" s="1">
        <v>0.0</v>
      </c>
      <c r="I1207" s="1">
        <v>0.0</v>
      </c>
      <c r="J1207" s="1">
        <v>0.0</v>
      </c>
      <c r="K1207" s="1">
        <v>0.0</v>
      </c>
      <c r="L1207" s="1">
        <v>0.0</v>
      </c>
      <c r="N1207" s="1">
        <v>0.660000026</v>
      </c>
    </row>
    <row r="1208" ht="15.75" customHeight="1">
      <c r="A1208" s="1" t="s">
        <v>164</v>
      </c>
      <c r="B1208" s="1" t="s">
        <v>205</v>
      </c>
      <c r="C1208" s="5">
        <v>45554.0</v>
      </c>
      <c r="D1208" s="1" t="s">
        <v>161</v>
      </c>
      <c r="E1208" s="1" t="s">
        <v>11</v>
      </c>
      <c r="F1208" s="1" t="s">
        <v>165</v>
      </c>
      <c r="G1208" s="1" t="s">
        <v>163</v>
      </c>
      <c r="H1208" s="1">
        <v>1.0</v>
      </c>
      <c r="I1208" s="1">
        <v>1.0</v>
      </c>
      <c r="J1208" s="1">
        <v>0.0</v>
      </c>
      <c r="K1208" s="1">
        <v>12.0</v>
      </c>
      <c r="L1208" s="1">
        <v>13.0</v>
      </c>
      <c r="M1208" s="1">
        <v>0.923076923</v>
      </c>
      <c r="N1208" s="1">
        <v>0.0</v>
      </c>
    </row>
    <row r="1209" ht="15.75" customHeight="1">
      <c r="A1209" s="1" t="s">
        <v>164</v>
      </c>
      <c r="B1209" s="1" t="s">
        <v>205</v>
      </c>
      <c r="C1209" s="5">
        <v>45554.0</v>
      </c>
      <c r="D1209" s="1" t="s">
        <v>161</v>
      </c>
      <c r="E1209" s="1" t="s">
        <v>11</v>
      </c>
      <c r="F1209" s="1" t="s">
        <v>166</v>
      </c>
      <c r="G1209" s="1" t="s">
        <v>163</v>
      </c>
      <c r="H1209" s="1">
        <v>1.0</v>
      </c>
      <c r="I1209" s="1">
        <v>1.0</v>
      </c>
      <c r="J1209" s="1">
        <v>0.0</v>
      </c>
      <c r="K1209" s="1">
        <v>16.0</v>
      </c>
      <c r="L1209" s="1">
        <v>21.0</v>
      </c>
      <c r="M1209" s="1">
        <v>0.761904762</v>
      </c>
      <c r="N1209" s="1">
        <v>36.91999817</v>
      </c>
    </row>
    <row r="1210" ht="15.75" customHeight="1">
      <c r="A1210" s="1" t="s">
        <v>164</v>
      </c>
      <c r="B1210" s="1" t="s">
        <v>75</v>
      </c>
      <c r="C1210" s="5">
        <v>45554.0</v>
      </c>
      <c r="D1210" s="1" t="s">
        <v>161</v>
      </c>
      <c r="E1210" s="1" t="s">
        <v>11</v>
      </c>
      <c r="F1210" s="1" t="s">
        <v>165</v>
      </c>
      <c r="H1210" s="1">
        <v>0.0</v>
      </c>
      <c r="I1210" s="1">
        <v>0.0</v>
      </c>
      <c r="J1210" s="1">
        <v>0.0</v>
      </c>
      <c r="K1210" s="1">
        <v>0.0</v>
      </c>
      <c r="L1210" s="1">
        <v>13.0</v>
      </c>
      <c r="M1210" s="1">
        <v>0.0</v>
      </c>
      <c r="N1210" s="1">
        <v>15.0</v>
      </c>
    </row>
    <row r="1211" ht="15.75" customHeight="1">
      <c r="A1211" s="1" t="s">
        <v>164</v>
      </c>
      <c r="B1211" s="1" t="s">
        <v>100</v>
      </c>
      <c r="C1211" s="5">
        <v>45554.0</v>
      </c>
      <c r="D1211" s="1" t="s">
        <v>161</v>
      </c>
      <c r="E1211" s="1" t="s">
        <v>11</v>
      </c>
      <c r="F1211" s="1" t="s">
        <v>171</v>
      </c>
      <c r="H1211" s="1">
        <v>0.0</v>
      </c>
      <c r="I1211" s="1">
        <v>1.0</v>
      </c>
      <c r="J1211" s="1">
        <v>0.0</v>
      </c>
      <c r="K1211" s="1">
        <v>25.0</v>
      </c>
      <c r="L1211" s="1">
        <v>31.0</v>
      </c>
      <c r="M1211" s="1">
        <v>0.806451613</v>
      </c>
      <c r="N1211" s="1">
        <v>10.86999989</v>
      </c>
    </row>
    <row r="1212" ht="15.75" customHeight="1">
      <c r="A1212" s="1" t="s">
        <v>164</v>
      </c>
      <c r="B1212" s="1" t="s">
        <v>82</v>
      </c>
      <c r="C1212" s="5">
        <v>45554.0</v>
      </c>
      <c r="D1212" s="1" t="s">
        <v>161</v>
      </c>
      <c r="E1212" s="1" t="s">
        <v>11</v>
      </c>
      <c r="F1212" s="1" t="s">
        <v>165</v>
      </c>
      <c r="H1212" s="1">
        <v>0.0</v>
      </c>
      <c r="I1212" s="1">
        <v>0.0</v>
      </c>
      <c r="J1212" s="1">
        <v>0.0</v>
      </c>
      <c r="K1212" s="1">
        <v>16.0</v>
      </c>
      <c r="L1212" s="1">
        <v>33.0</v>
      </c>
      <c r="M1212" s="1">
        <v>0.484848485</v>
      </c>
      <c r="N1212" s="1">
        <v>18.90999985</v>
      </c>
    </row>
    <row r="1213" ht="15.75" customHeight="1">
      <c r="A1213" s="1" t="s">
        <v>164</v>
      </c>
      <c r="B1213" s="1" t="s">
        <v>225</v>
      </c>
      <c r="C1213" s="5">
        <v>45554.0</v>
      </c>
      <c r="D1213" s="1" t="s">
        <v>161</v>
      </c>
      <c r="E1213" s="1" t="s">
        <v>11</v>
      </c>
      <c r="F1213" s="1" t="s">
        <v>162</v>
      </c>
      <c r="G1213" s="1" t="s">
        <v>163</v>
      </c>
      <c r="H1213" s="1">
        <v>1.0</v>
      </c>
      <c r="I1213" s="1">
        <v>0.0</v>
      </c>
      <c r="J1213" s="1">
        <v>0.0</v>
      </c>
      <c r="K1213" s="1">
        <v>26.0</v>
      </c>
      <c r="L1213" s="1">
        <v>40.0</v>
      </c>
      <c r="M1213" s="1">
        <v>0.65</v>
      </c>
      <c r="N1213" s="1">
        <v>39.45000076</v>
      </c>
    </row>
    <row r="1214" ht="15.75" customHeight="1">
      <c r="A1214" s="1" t="s">
        <v>164</v>
      </c>
      <c r="B1214" s="1" t="s">
        <v>225</v>
      </c>
      <c r="C1214" s="5">
        <v>45554.0</v>
      </c>
      <c r="D1214" s="1" t="s">
        <v>161</v>
      </c>
      <c r="E1214" s="1" t="s">
        <v>11</v>
      </c>
      <c r="F1214" s="1" t="s">
        <v>166</v>
      </c>
      <c r="G1214" s="1" t="s">
        <v>163</v>
      </c>
      <c r="H1214" s="1">
        <v>1.0</v>
      </c>
      <c r="I1214" s="1">
        <v>0.0</v>
      </c>
      <c r="J1214" s="1">
        <v>0.0</v>
      </c>
      <c r="K1214" s="1">
        <v>8.0</v>
      </c>
      <c r="L1214" s="1">
        <v>25.0</v>
      </c>
      <c r="M1214" s="1">
        <v>0.32</v>
      </c>
      <c r="N1214" s="1">
        <v>0.0</v>
      </c>
    </row>
    <row r="1215" ht="15.75" customHeight="1">
      <c r="A1215" s="1" t="s">
        <v>180</v>
      </c>
      <c r="B1215" s="1" t="s">
        <v>220</v>
      </c>
      <c r="C1215" s="5">
        <v>45554.0</v>
      </c>
      <c r="D1215" s="1" t="s">
        <v>161</v>
      </c>
      <c r="E1215" s="1" t="s">
        <v>11</v>
      </c>
      <c r="F1215" s="1" t="s">
        <v>166</v>
      </c>
      <c r="G1215" s="1" t="s">
        <v>232</v>
      </c>
      <c r="H1215" s="1">
        <v>3.0</v>
      </c>
      <c r="I1215" s="1">
        <v>1.0</v>
      </c>
      <c r="J1215" s="1">
        <v>0.0</v>
      </c>
      <c r="K1215" s="1">
        <v>13.0</v>
      </c>
      <c r="L1215" s="1">
        <v>19.0</v>
      </c>
      <c r="M1215" s="1">
        <v>0.684210526</v>
      </c>
      <c r="N1215" s="1">
        <v>13.42000008</v>
      </c>
    </row>
    <row r="1216" ht="15.75" customHeight="1">
      <c r="A1216" s="1" t="s">
        <v>180</v>
      </c>
      <c r="B1216" s="1" t="s">
        <v>214</v>
      </c>
      <c r="C1216" s="5">
        <v>45554.0</v>
      </c>
      <c r="D1216" s="1" t="s">
        <v>161</v>
      </c>
      <c r="E1216" s="1" t="s">
        <v>11</v>
      </c>
      <c r="F1216" s="1" t="s">
        <v>166</v>
      </c>
      <c r="H1216" s="1">
        <v>0.0</v>
      </c>
      <c r="I1216" s="1">
        <v>1.0</v>
      </c>
      <c r="J1216" s="1">
        <v>0.0</v>
      </c>
      <c r="K1216" s="1">
        <v>18.0</v>
      </c>
      <c r="L1216" s="1">
        <v>27.0</v>
      </c>
      <c r="M1216" s="1">
        <v>0.666666667</v>
      </c>
      <c r="N1216" s="1">
        <v>25.54000092</v>
      </c>
    </row>
    <row r="1217" ht="15.75" customHeight="1">
      <c r="A1217" s="1" t="s">
        <v>180</v>
      </c>
      <c r="B1217" s="1" t="s">
        <v>226</v>
      </c>
      <c r="C1217" s="5">
        <v>45554.0</v>
      </c>
      <c r="D1217" s="1" t="s">
        <v>161</v>
      </c>
      <c r="E1217" s="1" t="s">
        <v>11</v>
      </c>
      <c r="F1217" s="1" t="s">
        <v>166</v>
      </c>
      <c r="H1217" s="1">
        <v>0.0</v>
      </c>
      <c r="I1217" s="1">
        <v>0.0</v>
      </c>
      <c r="J1217" s="1">
        <v>0.0</v>
      </c>
      <c r="K1217" s="1">
        <v>9.0</v>
      </c>
      <c r="L1217" s="1">
        <v>30.0</v>
      </c>
      <c r="M1217" s="1">
        <v>0.3</v>
      </c>
      <c r="N1217" s="1">
        <v>73.65000153</v>
      </c>
    </row>
    <row r="1218" ht="15.75" customHeight="1">
      <c r="A1218" s="1" t="s">
        <v>160</v>
      </c>
      <c r="B1218" s="1" t="s">
        <v>39</v>
      </c>
      <c r="C1218" s="5">
        <v>45553.0</v>
      </c>
      <c r="D1218" s="1" t="s">
        <v>161</v>
      </c>
      <c r="E1218" s="1" t="s">
        <v>11</v>
      </c>
      <c r="F1218" s="1" t="s">
        <v>162</v>
      </c>
      <c r="G1218" s="1" t="s">
        <v>182</v>
      </c>
      <c r="H1218" s="1">
        <v>2.0</v>
      </c>
      <c r="I1218" s="1">
        <v>1.0</v>
      </c>
      <c r="J1218" s="1">
        <v>0.0</v>
      </c>
      <c r="K1218" s="1">
        <v>14.0</v>
      </c>
      <c r="L1218" s="1">
        <v>16.0</v>
      </c>
      <c r="M1218" s="1">
        <v>0.875</v>
      </c>
      <c r="N1218" s="1">
        <v>13.42000008</v>
      </c>
    </row>
    <row r="1219" ht="15.75" customHeight="1">
      <c r="A1219" s="1" t="s">
        <v>160</v>
      </c>
      <c r="B1219" s="1" t="s">
        <v>39</v>
      </c>
      <c r="C1219" s="5">
        <v>45553.0</v>
      </c>
      <c r="D1219" s="1" t="s">
        <v>161</v>
      </c>
      <c r="E1219" s="1" t="s">
        <v>11</v>
      </c>
      <c r="F1219" s="1" t="s">
        <v>166</v>
      </c>
      <c r="G1219" s="1" t="s">
        <v>182</v>
      </c>
      <c r="H1219" s="1">
        <v>2.0</v>
      </c>
      <c r="I1219" s="1">
        <v>0.0</v>
      </c>
      <c r="J1219" s="1">
        <v>0.0</v>
      </c>
      <c r="K1219" s="1">
        <v>0.0</v>
      </c>
      <c r="L1219" s="1">
        <v>0.0</v>
      </c>
      <c r="N1219" s="1">
        <v>0.0</v>
      </c>
    </row>
    <row r="1220" ht="15.75" customHeight="1">
      <c r="A1220" s="1" t="s">
        <v>160</v>
      </c>
      <c r="B1220" s="1" t="s">
        <v>224</v>
      </c>
      <c r="C1220" s="5">
        <v>45553.0</v>
      </c>
      <c r="D1220" s="1" t="s">
        <v>161</v>
      </c>
      <c r="E1220" s="1" t="s">
        <v>11</v>
      </c>
      <c r="F1220" s="1" t="s">
        <v>162</v>
      </c>
      <c r="H1220" s="1">
        <v>0.0</v>
      </c>
      <c r="I1220" s="1">
        <v>1.0</v>
      </c>
      <c r="J1220" s="1">
        <v>0.0</v>
      </c>
      <c r="K1220" s="1">
        <v>14.0</v>
      </c>
      <c r="L1220" s="1">
        <v>23.0</v>
      </c>
      <c r="M1220" s="1">
        <v>0.608695652</v>
      </c>
      <c r="N1220" s="1">
        <v>37.04999924</v>
      </c>
    </row>
    <row r="1221" ht="15.75" customHeight="1">
      <c r="A1221" s="1" t="s">
        <v>160</v>
      </c>
      <c r="B1221" s="1" t="s">
        <v>230</v>
      </c>
      <c r="C1221" s="5">
        <v>45553.0</v>
      </c>
      <c r="D1221" s="1" t="s">
        <v>161</v>
      </c>
      <c r="E1221" s="1" t="s">
        <v>11</v>
      </c>
      <c r="F1221" s="1" t="s">
        <v>165</v>
      </c>
      <c r="H1221" s="1">
        <v>0.0</v>
      </c>
      <c r="I1221" s="1">
        <v>0.0</v>
      </c>
      <c r="J1221" s="1">
        <v>0.0</v>
      </c>
      <c r="K1221" s="1">
        <v>0.0</v>
      </c>
      <c r="L1221" s="1">
        <v>1.0</v>
      </c>
      <c r="M1221" s="1">
        <v>0.0</v>
      </c>
      <c r="N1221" s="1">
        <v>0.0</v>
      </c>
    </row>
    <row r="1222" ht="15.75" customHeight="1">
      <c r="A1222" s="1" t="s">
        <v>160</v>
      </c>
      <c r="B1222" s="1" t="s">
        <v>77</v>
      </c>
      <c r="C1222" s="5">
        <v>45553.0</v>
      </c>
      <c r="D1222" s="1" t="s">
        <v>161</v>
      </c>
      <c r="E1222" s="1" t="s">
        <v>11</v>
      </c>
      <c r="F1222" s="1" t="s">
        <v>162</v>
      </c>
      <c r="H1222" s="1">
        <v>0.0</v>
      </c>
      <c r="I1222" s="1">
        <v>0.0</v>
      </c>
      <c r="J1222" s="1">
        <v>0.0</v>
      </c>
      <c r="K1222" s="1">
        <v>9.0</v>
      </c>
      <c r="L1222" s="1">
        <v>11.0</v>
      </c>
      <c r="M1222" s="1">
        <v>0.818181818</v>
      </c>
      <c r="N1222" s="1">
        <v>11.34000015</v>
      </c>
    </row>
    <row r="1223" ht="15.75" customHeight="1">
      <c r="A1223" s="1" t="s">
        <v>164</v>
      </c>
      <c r="B1223" s="1" t="s">
        <v>22</v>
      </c>
      <c r="C1223" s="5">
        <v>45553.0</v>
      </c>
      <c r="D1223" s="1" t="s">
        <v>161</v>
      </c>
      <c r="E1223" s="1" t="s">
        <v>11</v>
      </c>
      <c r="F1223" s="1" t="s">
        <v>166</v>
      </c>
      <c r="H1223" s="1">
        <v>0.0</v>
      </c>
      <c r="I1223" s="1">
        <v>0.0</v>
      </c>
      <c r="J1223" s="1">
        <v>0.0</v>
      </c>
      <c r="K1223" s="1">
        <v>9.0</v>
      </c>
      <c r="L1223" s="1">
        <v>20.0</v>
      </c>
      <c r="M1223" s="1">
        <v>0.45</v>
      </c>
      <c r="N1223" s="1">
        <v>26.04000092</v>
      </c>
    </row>
    <row r="1224" ht="15.75" customHeight="1">
      <c r="A1224" s="1" t="s">
        <v>164</v>
      </c>
      <c r="B1224" s="1" t="s">
        <v>35</v>
      </c>
      <c r="C1224" s="5">
        <v>45553.0</v>
      </c>
      <c r="D1224" s="1" t="s">
        <v>161</v>
      </c>
      <c r="E1224" s="1" t="s">
        <v>11</v>
      </c>
      <c r="F1224" s="1" t="s">
        <v>166</v>
      </c>
      <c r="H1224" s="1">
        <v>0.0</v>
      </c>
      <c r="I1224" s="1">
        <v>0.0</v>
      </c>
      <c r="J1224" s="1">
        <v>0.0</v>
      </c>
      <c r="K1224" s="1">
        <v>0.0</v>
      </c>
      <c r="L1224" s="1">
        <v>0.0</v>
      </c>
      <c r="N1224" s="1">
        <v>1.090000033</v>
      </c>
    </row>
    <row r="1225" ht="15.75" customHeight="1">
      <c r="A1225" s="1" t="s">
        <v>164</v>
      </c>
      <c r="B1225" s="1" t="s">
        <v>24</v>
      </c>
      <c r="C1225" s="5">
        <v>45553.0</v>
      </c>
      <c r="D1225" s="1" t="s">
        <v>161</v>
      </c>
      <c r="E1225" s="1" t="s">
        <v>11</v>
      </c>
      <c r="F1225" s="1" t="s">
        <v>166</v>
      </c>
      <c r="H1225" s="1">
        <v>0.0</v>
      </c>
      <c r="I1225" s="1">
        <v>0.0</v>
      </c>
      <c r="J1225" s="1">
        <v>0.0</v>
      </c>
      <c r="K1225" s="1">
        <v>8.0</v>
      </c>
      <c r="L1225" s="1">
        <v>15.0</v>
      </c>
      <c r="M1225" s="1">
        <v>0.533333333</v>
      </c>
      <c r="N1225" s="1">
        <v>6.889999866</v>
      </c>
    </row>
    <row r="1226" ht="15.75" customHeight="1">
      <c r="A1226" s="1" t="s">
        <v>164</v>
      </c>
      <c r="B1226" s="1" t="s">
        <v>52</v>
      </c>
      <c r="C1226" s="5">
        <v>45553.0</v>
      </c>
      <c r="D1226" s="1" t="s">
        <v>161</v>
      </c>
      <c r="E1226" s="1" t="s">
        <v>11</v>
      </c>
      <c r="F1226" s="1" t="s">
        <v>165</v>
      </c>
      <c r="H1226" s="1">
        <v>0.0</v>
      </c>
      <c r="I1226" s="1">
        <v>0.0</v>
      </c>
      <c r="J1226" s="1">
        <v>0.0</v>
      </c>
      <c r="K1226" s="1">
        <v>6.0</v>
      </c>
      <c r="L1226" s="1">
        <v>10.0</v>
      </c>
      <c r="M1226" s="1">
        <v>0.6</v>
      </c>
      <c r="N1226" s="1">
        <v>11.47999954</v>
      </c>
    </row>
    <row r="1227" ht="15.75" customHeight="1">
      <c r="A1227" s="1" t="s">
        <v>164</v>
      </c>
      <c r="B1227" s="1" t="s">
        <v>199</v>
      </c>
      <c r="C1227" s="5">
        <v>45553.0</v>
      </c>
      <c r="D1227" s="1" t="s">
        <v>161</v>
      </c>
      <c r="E1227" s="1" t="s">
        <v>11</v>
      </c>
      <c r="F1227" s="1" t="s">
        <v>162</v>
      </c>
      <c r="H1227" s="1">
        <v>0.0</v>
      </c>
      <c r="I1227" s="1">
        <v>0.0</v>
      </c>
      <c r="J1227" s="1">
        <v>0.0</v>
      </c>
      <c r="K1227" s="1">
        <v>2.0</v>
      </c>
      <c r="L1227" s="1">
        <v>9.0</v>
      </c>
      <c r="M1227" s="1">
        <v>0.222222222</v>
      </c>
      <c r="N1227" s="1">
        <v>9.380000114</v>
      </c>
    </row>
    <row r="1228" ht="15.75" customHeight="1">
      <c r="A1228" s="1" t="s">
        <v>164</v>
      </c>
      <c r="B1228" s="1" t="s">
        <v>231</v>
      </c>
      <c r="C1228" s="5">
        <v>45553.0</v>
      </c>
      <c r="D1228" s="1" t="s">
        <v>161</v>
      </c>
      <c r="E1228" s="1" t="s">
        <v>11</v>
      </c>
      <c r="F1228" s="1" t="s">
        <v>166</v>
      </c>
      <c r="H1228" s="1">
        <v>0.0</v>
      </c>
      <c r="I1228" s="1">
        <v>0.0</v>
      </c>
      <c r="J1228" s="1">
        <v>0.0</v>
      </c>
      <c r="K1228" s="1">
        <v>22.0</v>
      </c>
      <c r="L1228" s="1">
        <v>32.0</v>
      </c>
      <c r="M1228" s="1">
        <v>0.6875</v>
      </c>
      <c r="N1228" s="1">
        <v>114.6299973</v>
      </c>
    </row>
    <row r="1229" ht="15.75" customHeight="1">
      <c r="A1229" s="1" t="s">
        <v>164</v>
      </c>
      <c r="B1229" s="1" t="s">
        <v>63</v>
      </c>
      <c r="C1229" s="5">
        <v>45553.0</v>
      </c>
      <c r="D1229" s="1" t="s">
        <v>161</v>
      </c>
      <c r="E1229" s="1" t="s">
        <v>11</v>
      </c>
      <c r="F1229" s="1" t="s">
        <v>166</v>
      </c>
      <c r="H1229" s="1">
        <v>0.0</v>
      </c>
      <c r="I1229" s="1">
        <v>0.0</v>
      </c>
      <c r="J1229" s="1">
        <v>0.0</v>
      </c>
      <c r="K1229" s="1">
        <v>5.0</v>
      </c>
      <c r="L1229" s="1">
        <v>13.0</v>
      </c>
      <c r="M1229" s="1">
        <v>0.384615385</v>
      </c>
      <c r="N1229" s="1">
        <v>10.25</v>
      </c>
    </row>
    <row r="1230" ht="15.75" customHeight="1">
      <c r="A1230" s="1" t="s">
        <v>164</v>
      </c>
      <c r="B1230" s="1" t="s">
        <v>183</v>
      </c>
      <c r="C1230" s="5">
        <v>45553.0</v>
      </c>
      <c r="D1230" s="1" t="s">
        <v>161</v>
      </c>
      <c r="E1230" s="1" t="s">
        <v>11</v>
      </c>
      <c r="F1230" s="1" t="s">
        <v>166</v>
      </c>
      <c r="H1230" s="1">
        <v>0.0</v>
      </c>
      <c r="I1230" s="1">
        <v>0.0</v>
      </c>
      <c r="J1230" s="1">
        <v>0.0</v>
      </c>
      <c r="K1230" s="1">
        <v>2.0</v>
      </c>
      <c r="L1230" s="1">
        <v>4.0</v>
      </c>
      <c r="M1230" s="1">
        <v>0.5</v>
      </c>
      <c r="N1230" s="1">
        <v>12.18000031</v>
      </c>
    </row>
    <row r="1231" ht="15.75" customHeight="1">
      <c r="A1231" s="1" t="s">
        <v>164</v>
      </c>
      <c r="B1231" s="1" t="s">
        <v>68</v>
      </c>
      <c r="C1231" s="5">
        <v>45553.0</v>
      </c>
      <c r="D1231" s="1" t="s">
        <v>161</v>
      </c>
      <c r="E1231" s="1" t="s">
        <v>11</v>
      </c>
      <c r="F1231" s="1" t="s">
        <v>165</v>
      </c>
      <c r="H1231" s="1">
        <v>0.0</v>
      </c>
      <c r="I1231" s="1">
        <v>0.0</v>
      </c>
      <c r="J1231" s="1">
        <v>0.0</v>
      </c>
      <c r="K1231" s="1">
        <v>0.0</v>
      </c>
      <c r="L1231" s="1">
        <v>0.0</v>
      </c>
      <c r="N1231" s="1">
        <v>5.349999905</v>
      </c>
    </row>
    <row r="1232" ht="15.75" customHeight="1">
      <c r="A1232" s="1" t="s">
        <v>164</v>
      </c>
      <c r="B1232" s="1" t="s">
        <v>74</v>
      </c>
      <c r="C1232" s="5">
        <v>45553.0</v>
      </c>
      <c r="D1232" s="1" t="s">
        <v>161</v>
      </c>
      <c r="E1232" s="1" t="s">
        <v>11</v>
      </c>
      <c r="F1232" s="1" t="s">
        <v>166</v>
      </c>
      <c r="H1232" s="1">
        <v>0.0</v>
      </c>
      <c r="I1232" s="1">
        <v>0.0</v>
      </c>
      <c r="J1232" s="1">
        <v>0.0</v>
      </c>
      <c r="K1232" s="1">
        <v>0.0</v>
      </c>
      <c r="L1232" s="1">
        <v>3.0</v>
      </c>
      <c r="M1232" s="1">
        <v>0.0</v>
      </c>
      <c r="N1232" s="1">
        <v>14.22999954</v>
      </c>
    </row>
    <row r="1233" ht="15.75" customHeight="1">
      <c r="A1233" s="1" t="s">
        <v>164</v>
      </c>
      <c r="B1233" s="1" t="s">
        <v>205</v>
      </c>
      <c r="C1233" s="5">
        <v>45553.0</v>
      </c>
      <c r="D1233" s="1" t="s">
        <v>161</v>
      </c>
      <c r="E1233" s="1" t="s">
        <v>11</v>
      </c>
      <c r="F1233" s="1" t="s">
        <v>165</v>
      </c>
      <c r="H1233" s="1">
        <v>0.0</v>
      </c>
      <c r="I1233" s="1">
        <v>1.0</v>
      </c>
      <c r="J1233" s="1">
        <v>0.0</v>
      </c>
      <c r="K1233" s="1">
        <v>12.0</v>
      </c>
      <c r="L1233" s="1">
        <v>12.0</v>
      </c>
      <c r="M1233" s="1">
        <v>1.0</v>
      </c>
      <c r="N1233" s="1">
        <v>0.0</v>
      </c>
    </row>
    <row r="1234" ht="15.75" customHeight="1">
      <c r="A1234" s="1" t="s">
        <v>164</v>
      </c>
      <c r="B1234" s="1" t="s">
        <v>205</v>
      </c>
      <c r="C1234" s="5">
        <v>45553.0</v>
      </c>
      <c r="D1234" s="1" t="s">
        <v>161</v>
      </c>
      <c r="E1234" s="1" t="s">
        <v>11</v>
      </c>
      <c r="F1234" s="1" t="s">
        <v>166</v>
      </c>
      <c r="H1234" s="1">
        <v>0.0</v>
      </c>
      <c r="I1234" s="1">
        <v>1.0</v>
      </c>
      <c r="J1234" s="1">
        <v>0.0</v>
      </c>
      <c r="K1234" s="1">
        <v>19.0</v>
      </c>
      <c r="L1234" s="1">
        <v>24.0</v>
      </c>
      <c r="M1234" s="1">
        <v>0.791666667</v>
      </c>
      <c r="N1234" s="1">
        <v>48.70000076</v>
      </c>
    </row>
    <row r="1235" ht="15.75" customHeight="1">
      <c r="A1235" s="1" t="s">
        <v>164</v>
      </c>
      <c r="B1235" s="1" t="s">
        <v>75</v>
      </c>
      <c r="C1235" s="5">
        <v>45553.0</v>
      </c>
      <c r="D1235" s="1" t="s">
        <v>161</v>
      </c>
      <c r="E1235" s="1" t="s">
        <v>11</v>
      </c>
      <c r="F1235" s="1" t="s">
        <v>165</v>
      </c>
      <c r="H1235" s="1">
        <v>0.0</v>
      </c>
      <c r="I1235" s="1">
        <v>1.0</v>
      </c>
      <c r="J1235" s="1">
        <v>0.0</v>
      </c>
      <c r="K1235" s="1">
        <v>13.0</v>
      </c>
      <c r="L1235" s="1">
        <v>19.0</v>
      </c>
      <c r="M1235" s="1">
        <v>0.684210526</v>
      </c>
      <c r="N1235" s="1">
        <v>17.31999969</v>
      </c>
    </row>
    <row r="1236" ht="15.75" customHeight="1">
      <c r="A1236" s="1" t="s">
        <v>164</v>
      </c>
      <c r="B1236" s="1" t="s">
        <v>100</v>
      </c>
      <c r="C1236" s="5">
        <v>45553.0</v>
      </c>
      <c r="D1236" s="1" t="s">
        <v>161</v>
      </c>
      <c r="E1236" s="1" t="s">
        <v>11</v>
      </c>
      <c r="F1236" s="1" t="s">
        <v>171</v>
      </c>
      <c r="H1236" s="1">
        <v>0.0</v>
      </c>
      <c r="I1236" s="1">
        <v>0.0</v>
      </c>
      <c r="J1236" s="1">
        <v>0.0</v>
      </c>
      <c r="K1236" s="1">
        <v>0.0</v>
      </c>
      <c r="L1236" s="1">
        <v>0.0</v>
      </c>
      <c r="N1236" s="1">
        <v>0.270000011</v>
      </c>
    </row>
    <row r="1237" ht="15.75" customHeight="1">
      <c r="A1237" s="1" t="s">
        <v>164</v>
      </c>
      <c r="B1237" s="1" t="s">
        <v>82</v>
      </c>
      <c r="C1237" s="5">
        <v>45553.0</v>
      </c>
      <c r="D1237" s="1" t="s">
        <v>161</v>
      </c>
      <c r="E1237" s="1" t="s">
        <v>11</v>
      </c>
      <c r="F1237" s="1" t="s">
        <v>165</v>
      </c>
      <c r="H1237" s="1">
        <v>0.0</v>
      </c>
      <c r="I1237" s="1">
        <v>1.0</v>
      </c>
      <c r="J1237" s="1">
        <v>0.0</v>
      </c>
      <c r="K1237" s="1">
        <v>21.0</v>
      </c>
      <c r="L1237" s="1">
        <v>29.0</v>
      </c>
      <c r="M1237" s="1">
        <v>0.724137931</v>
      </c>
      <c r="N1237" s="1">
        <v>13.43000031</v>
      </c>
    </row>
    <row r="1238" ht="15.75" customHeight="1">
      <c r="A1238" s="1" t="s">
        <v>164</v>
      </c>
      <c r="B1238" s="1" t="s">
        <v>219</v>
      </c>
      <c r="C1238" s="5">
        <v>45553.0</v>
      </c>
      <c r="D1238" s="1" t="s">
        <v>161</v>
      </c>
      <c r="E1238" s="1" t="s">
        <v>11</v>
      </c>
      <c r="F1238" s="1" t="s">
        <v>165</v>
      </c>
      <c r="H1238" s="1">
        <v>0.0</v>
      </c>
      <c r="I1238" s="1">
        <v>0.0</v>
      </c>
      <c r="J1238" s="1">
        <v>0.0</v>
      </c>
      <c r="K1238" s="1">
        <v>2.0</v>
      </c>
      <c r="L1238" s="1">
        <v>7.0</v>
      </c>
      <c r="M1238" s="1">
        <v>0.285714286</v>
      </c>
      <c r="N1238" s="1">
        <v>5.949999809</v>
      </c>
    </row>
    <row r="1239" ht="15.75" customHeight="1">
      <c r="A1239" s="1" t="s">
        <v>180</v>
      </c>
      <c r="B1239" s="1" t="s">
        <v>220</v>
      </c>
      <c r="C1239" s="5">
        <v>45553.0</v>
      </c>
      <c r="D1239" s="1" t="s">
        <v>161</v>
      </c>
      <c r="E1239" s="1" t="s">
        <v>11</v>
      </c>
      <c r="F1239" s="1" t="s">
        <v>166</v>
      </c>
      <c r="G1239" s="1" t="s">
        <v>233</v>
      </c>
      <c r="H1239" s="1">
        <v>4.0</v>
      </c>
      <c r="I1239" s="1">
        <v>1.0</v>
      </c>
      <c r="J1239" s="1">
        <v>0.0</v>
      </c>
      <c r="K1239" s="1">
        <v>28.0</v>
      </c>
      <c r="L1239" s="1">
        <v>45.0</v>
      </c>
      <c r="M1239" s="1">
        <v>0.622222222</v>
      </c>
      <c r="N1239" s="1">
        <v>32.15999985</v>
      </c>
    </row>
    <row r="1240" ht="15.75" customHeight="1">
      <c r="A1240" s="1" t="s">
        <v>180</v>
      </c>
      <c r="B1240" s="1" t="s">
        <v>214</v>
      </c>
      <c r="C1240" s="5">
        <v>45553.0</v>
      </c>
      <c r="D1240" s="1" t="s">
        <v>161</v>
      </c>
      <c r="E1240" s="1" t="s">
        <v>11</v>
      </c>
      <c r="F1240" s="1" t="s">
        <v>166</v>
      </c>
      <c r="H1240" s="1">
        <v>0.0</v>
      </c>
      <c r="I1240" s="1">
        <v>0.0</v>
      </c>
      <c r="J1240" s="1">
        <v>0.0</v>
      </c>
      <c r="K1240" s="1">
        <v>2.0</v>
      </c>
      <c r="L1240" s="1">
        <v>3.0</v>
      </c>
      <c r="M1240" s="1">
        <v>0.666666667</v>
      </c>
      <c r="N1240" s="1">
        <v>2.430000067</v>
      </c>
    </row>
    <row r="1241" ht="15.75" customHeight="1">
      <c r="A1241" s="1" t="s">
        <v>180</v>
      </c>
      <c r="B1241" s="1" t="s">
        <v>226</v>
      </c>
      <c r="C1241" s="5">
        <v>45553.0</v>
      </c>
      <c r="D1241" s="1" t="s">
        <v>161</v>
      </c>
      <c r="E1241" s="1" t="s">
        <v>11</v>
      </c>
      <c r="F1241" s="1" t="s">
        <v>166</v>
      </c>
      <c r="H1241" s="1">
        <v>0.0</v>
      </c>
      <c r="I1241" s="1">
        <v>1.0</v>
      </c>
      <c r="J1241" s="1">
        <v>0.0</v>
      </c>
      <c r="K1241" s="1">
        <v>20.0</v>
      </c>
      <c r="L1241" s="1">
        <v>47.0</v>
      </c>
      <c r="M1241" s="1">
        <v>0.425531915</v>
      </c>
      <c r="N1241" s="1">
        <v>16.89999962</v>
      </c>
    </row>
    <row r="1242" ht="15.75" customHeight="1">
      <c r="A1242" s="1" t="s">
        <v>160</v>
      </c>
      <c r="B1242" s="1" t="s">
        <v>224</v>
      </c>
      <c r="C1242" s="5">
        <v>45552.0</v>
      </c>
      <c r="D1242" s="1" t="s">
        <v>161</v>
      </c>
      <c r="E1242" s="1" t="s">
        <v>11</v>
      </c>
      <c r="F1242" s="1" t="s">
        <v>162</v>
      </c>
      <c r="H1242" s="1">
        <v>0.0</v>
      </c>
      <c r="I1242" s="1">
        <v>1.0</v>
      </c>
      <c r="J1242" s="1">
        <v>0.0</v>
      </c>
      <c r="K1242" s="1">
        <v>12.0</v>
      </c>
      <c r="L1242" s="1">
        <v>13.0</v>
      </c>
      <c r="M1242" s="1">
        <v>0.923076923</v>
      </c>
      <c r="N1242" s="1">
        <v>14.34000015</v>
      </c>
    </row>
    <row r="1243" ht="15.75" customHeight="1">
      <c r="A1243" s="1" t="s">
        <v>160</v>
      </c>
      <c r="B1243" s="1" t="s">
        <v>230</v>
      </c>
      <c r="C1243" s="5">
        <v>45552.0</v>
      </c>
      <c r="D1243" s="1" t="s">
        <v>161</v>
      </c>
      <c r="E1243" s="1" t="s">
        <v>11</v>
      </c>
      <c r="F1243" s="1" t="s">
        <v>165</v>
      </c>
      <c r="H1243" s="1">
        <v>0.0</v>
      </c>
      <c r="I1243" s="1">
        <v>1.0</v>
      </c>
      <c r="J1243" s="1">
        <v>0.0</v>
      </c>
      <c r="K1243" s="1">
        <v>22.0</v>
      </c>
      <c r="L1243" s="1">
        <v>43.0</v>
      </c>
      <c r="M1243" s="1">
        <v>0.511627907</v>
      </c>
      <c r="N1243" s="1">
        <v>0.0</v>
      </c>
    </row>
    <row r="1244" ht="15.75" customHeight="1">
      <c r="A1244" s="1" t="s">
        <v>160</v>
      </c>
      <c r="B1244" s="1" t="s">
        <v>95</v>
      </c>
      <c r="C1244" s="5">
        <v>45552.0</v>
      </c>
      <c r="D1244" s="1" t="s">
        <v>161</v>
      </c>
      <c r="E1244" s="1" t="s">
        <v>11</v>
      </c>
      <c r="F1244" s="1" t="s">
        <v>165</v>
      </c>
      <c r="H1244" s="1">
        <v>0.0</v>
      </c>
      <c r="I1244" s="1">
        <v>0.0</v>
      </c>
      <c r="J1244" s="1">
        <v>0.0</v>
      </c>
      <c r="K1244" s="1">
        <v>1.0</v>
      </c>
      <c r="L1244" s="1">
        <v>3.0</v>
      </c>
      <c r="M1244" s="1">
        <v>0.333333333</v>
      </c>
      <c r="N1244" s="1">
        <v>4.730000019</v>
      </c>
    </row>
    <row r="1245" ht="15.75" customHeight="1">
      <c r="A1245" s="1" t="s">
        <v>160</v>
      </c>
      <c r="B1245" s="1" t="s">
        <v>77</v>
      </c>
      <c r="C1245" s="5">
        <v>45552.0</v>
      </c>
      <c r="D1245" s="1" t="s">
        <v>161</v>
      </c>
      <c r="E1245" s="1" t="s">
        <v>11</v>
      </c>
      <c r="F1245" s="1" t="s">
        <v>162</v>
      </c>
      <c r="H1245" s="1">
        <v>0.0</v>
      </c>
      <c r="I1245" s="1">
        <v>0.0</v>
      </c>
      <c r="J1245" s="1">
        <v>0.0</v>
      </c>
      <c r="K1245" s="1">
        <v>0.0</v>
      </c>
      <c r="L1245" s="1">
        <v>0.0</v>
      </c>
      <c r="N1245" s="1">
        <v>0.439999998</v>
      </c>
    </row>
    <row r="1246" ht="15.75" customHeight="1">
      <c r="A1246" s="1" t="s">
        <v>164</v>
      </c>
      <c r="B1246" s="1" t="s">
        <v>22</v>
      </c>
      <c r="C1246" s="5">
        <v>45552.0</v>
      </c>
      <c r="D1246" s="1" t="s">
        <v>161</v>
      </c>
      <c r="E1246" s="1" t="s">
        <v>11</v>
      </c>
      <c r="F1246" s="1" t="s">
        <v>166</v>
      </c>
      <c r="H1246" s="1">
        <v>0.0</v>
      </c>
      <c r="I1246" s="1">
        <v>0.0</v>
      </c>
      <c r="J1246" s="1">
        <v>0.0</v>
      </c>
      <c r="K1246" s="1">
        <v>5.0</v>
      </c>
      <c r="L1246" s="1">
        <v>15.0</v>
      </c>
      <c r="M1246" s="1">
        <v>0.333333333</v>
      </c>
      <c r="N1246" s="1">
        <v>13.89000034</v>
      </c>
    </row>
    <row r="1247" ht="15.75" customHeight="1">
      <c r="A1247" s="1" t="s">
        <v>164</v>
      </c>
      <c r="B1247" s="1" t="s">
        <v>35</v>
      </c>
      <c r="C1247" s="5">
        <v>45552.0</v>
      </c>
      <c r="D1247" s="1" t="s">
        <v>161</v>
      </c>
      <c r="E1247" s="1" t="s">
        <v>11</v>
      </c>
      <c r="F1247" s="1" t="s">
        <v>177</v>
      </c>
      <c r="G1247" s="1" t="s">
        <v>163</v>
      </c>
      <c r="H1247" s="1">
        <v>1.0</v>
      </c>
      <c r="I1247" s="1">
        <v>1.0</v>
      </c>
      <c r="J1247" s="1">
        <v>0.0</v>
      </c>
      <c r="K1247" s="1">
        <v>12.0</v>
      </c>
      <c r="L1247" s="1">
        <v>12.0</v>
      </c>
      <c r="M1247" s="1">
        <v>1.0</v>
      </c>
      <c r="N1247" s="1">
        <v>4.699999809</v>
      </c>
    </row>
    <row r="1248" ht="15.75" customHeight="1">
      <c r="A1248" s="1" t="s">
        <v>164</v>
      </c>
      <c r="B1248" s="1" t="s">
        <v>35</v>
      </c>
      <c r="C1248" s="5">
        <v>45552.0</v>
      </c>
      <c r="D1248" s="1" t="s">
        <v>161</v>
      </c>
      <c r="E1248" s="1" t="s">
        <v>11</v>
      </c>
      <c r="F1248" s="1" t="s">
        <v>166</v>
      </c>
      <c r="G1248" s="1" t="s">
        <v>163</v>
      </c>
      <c r="H1248" s="1">
        <v>1.0</v>
      </c>
      <c r="I1248" s="1">
        <v>0.0</v>
      </c>
      <c r="J1248" s="1">
        <v>0.0</v>
      </c>
      <c r="K1248" s="1">
        <v>0.0</v>
      </c>
      <c r="L1248" s="1">
        <v>0.0</v>
      </c>
      <c r="N1248" s="1">
        <v>0.0</v>
      </c>
    </row>
    <row r="1249" ht="15.75" customHeight="1">
      <c r="A1249" s="1" t="s">
        <v>164</v>
      </c>
      <c r="B1249" s="1" t="s">
        <v>24</v>
      </c>
      <c r="C1249" s="5">
        <v>45552.0</v>
      </c>
      <c r="D1249" s="1" t="s">
        <v>161</v>
      </c>
      <c r="E1249" s="1" t="s">
        <v>11</v>
      </c>
      <c r="F1249" s="1" t="s">
        <v>166</v>
      </c>
      <c r="H1249" s="1">
        <v>0.0</v>
      </c>
      <c r="I1249" s="1">
        <v>0.0</v>
      </c>
      <c r="J1249" s="1">
        <v>0.0</v>
      </c>
      <c r="K1249" s="1">
        <v>15.0</v>
      </c>
      <c r="L1249" s="1">
        <v>30.0</v>
      </c>
      <c r="M1249" s="1">
        <v>0.5</v>
      </c>
      <c r="N1249" s="1">
        <v>15.39999962</v>
      </c>
    </row>
    <row r="1250" ht="15.75" customHeight="1">
      <c r="A1250" s="1" t="s">
        <v>164</v>
      </c>
      <c r="B1250" s="1" t="s">
        <v>207</v>
      </c>
      <c r="C1250" s="5">
        <v>45552.0</v>
      </c>
      <c r="D1250" s="1" t="s">
        <v>161</v>
      </c>
      <c r="E1250" s="1" t="s">
        <v>11</v>
      </c>
      <c r="F1250" s="1" t="s">
        <v>166</v>
      </c>
      <c r="G1250" s="1" t="s">
        <v>172</v>
      </c>
      <c r="H1250" s="1">
        <v>1.0</v>
      </c>
      <c r="I1250" s="1">
        <v>0.0</v>
      </c>
      <c r="J1250" s="1">
        <v>0.0</v>
      </c>
      <c r="K1250" s="1">
        <v>20.0</v>
      </c>
      <c r="L1250" s="1">
        <v>27.0</v>
      </c>
      <c r="M1250" s="1">
        <v>0.740740741</v>
      </c>
      <c r="N1250" s="1">
        <v>11.06000042</v>
      </c>
    </row>
    <row r="1251" ht="15.75" customHeight="1">
      <c r="A1251" s="1" t="s">
        <v>164</v>
      </c>
      <c r="B1251" s="1" t="s">
        <v>52</v>
      </c>
      <c r="C1251" s="5">
        <v>45552.0</v>
      </c>
      <c r="D1251" s="1" t="s">
        <v>161</v>
      </c>
      <c r="E1251" s="1" t="s">
        <v>11</v>
      </c>
      <c r="F1251" s="1" t="s">
        <v>165</v>
      </c>
      <c r="H1251" s="1">
        <v>0.0</v>
      </c>
      <c r="I1251" s="1">
        <v>1.0</v>
      </c>
      <c r="J1251" s="1">
        <v>0.0</v>
      </c>
      <c r="K1251" s="1">
        <v>15.0</v>
      </c>
      <c r="L1251" s="1">
        <v>19.0</v>
      </c>
      <c r="M1251" s="1">
        <v>0.789473684</v>
      </c>
      <c r="N1251" s="1">
        <v>9.43999958</v>
      </c>
    </row>
    <row r="1252" ht="15.75" customHeight="1">
      <c r="A1252" s="1" t="s">
        <v>164</v>
      </c>
      <c r="B1252" s="1" t="s">
        <v>213</v>
      </c>
      <c r="C1252" s="5">
        <v>45552.0</v>
      </c>
      <c r="D1252" s="1" t="s">
        <v>161</v>
      </c>
      <c r="E1252" s="1" t="s">
        <v>11</v>
      </c>
      <c r="F1252" s="1" t="s">
        <v>162</v>
      </c>
      <c r="H1252" s="1">
        <v>0.0</v>
      </c>
      <c r="I1252" s="1">
        <v>0.0</v>
      </c>
      <c r="J1252" s="1">
        <v>0.0</v>
      </c>
      <c r="K1252" s="1">
        <v>3.0</v>
      </c>
      <c r="L1252" s="1">
        <v>5.0</v>
      </c>
      <c r="M1252" s="1">
        <v>0.6</v>
      </c>
      <c r="N1252" s="1">
        <v>4.409999847</v>
      </c>
    </row>
    <row r="1253" ht="15.75" customHeight="1">
      <c r="A1253" s="1" t="s">
        <v>164</v>
      </c>
      <c r="B1253" s="1" t="s">
        <v>199</v>
      </c>
      <c r="C1253" s="5">
        <v>45552.0</v>
      </c>
      <c r="D1253" s="1" t="s">
        <v>161</v>
      </c>
      <c r="E1253" s="1" t="s">
        <v>11</v>
      </c>
      <c r="F1253" s="1" t="s">
        <v>162</v>
      </c>
      <c r="H1253" s="1">
        <v>0.0</v>
      </c>
      <c r="I1253" s="1">
        <v>0.0</v>
      </c>
      <c r="J1253" s="1">
        <v>0.0</v>
      </c>
      <c r="K1253" s="1">
        <v>5.0</v>
      </c>
      <c r="L1253" s="1">
        <v>22.0</v>
      </c>
      <c r="M1253" s="1">
        <v>0.227272727</v>
      </c>
      <c r="N1253" s="1">
        <v>20.61000061</v>
      </c>
    </row>
    <row r="1254" ht="15.75" customHeight="1">
      <c r="A1254" s="1" t="s">
        <v>164</v>
      </c>
      <c r="B1254" s="1" t="s">
        <v>196</v>
      </c>
      <c r="C1254" s="5">
        <v>45552.0</v>
      </c>
      <c r="D1254" s="1" t="s">
        <v>161</v>
      </c>
      <c r="E1254" s="1" t="s">
        <v>11</v>
      </c>
      <c r="F1254" s="1" t="s">
        <v>165</v>
      </c>
      <c r="H1254" s="1">
        <v>0.0</v>
      </c>
      <c r="I1254" s="1">
        <v>0.0</v>
      </c>
      <c r="J1254" s="1">
        <v>0.0</v>
      </c>
      <c r="K1254" s="1">
        <v>3.0</v>
      </c>
      <c r="L1254" s="1">
        <v>3.0</v>
      </c>
      <c r="M1254" s="1">
        <v>1.0</v>
      </c>
      <c r="N1254" s="1">
        <v>0.579999983</v>
      </c>
    </row>
    <row r="1255" ht="15.75" customHeight="1">
      <c r="A1255" s="1" t="s">
        <v>164</v>
      </c>
      <c r="B1255" s="1" t="s">
        <v>231</v>
      </c>
      <c r="C1255" s="5">
        <v>45552.0</v>
      </c>
      <c r="D1255" s="1" t="s">
        <v>161</v>
      </c>
      <c r="E1255" s="1" t="s">
        <v>11</v>
      </c>
      <c r="H1255" s="1">
        <v>0.0</v>
      </c>
      <c r="J1255" s="1">
        <v>0.0</v>
      </c>
      <c r="N1255" s="1">
        <v>1.370000005</v>
      </c>
    </row>
    <row r="1256" ht="15.75" customHeight="1">
      <c r="A1256" s="1" t="s">
        <v>164</v>
      </c>
      <c r="B1256" s="1" t="s">
        <v>63</v>
      </c>
      <c r="C1256" s="5">
        <v>45552.0</v>
      </c>
      <c r="D1256" s="1" t="s">
        <v>161</v>
      </c>
      <c r="E1256" s="1" t="s">
        <v>11</v>
      </c>
      <c r="F1256" s="1" t="s">
        <v>166</v>
      </c>
      <c r="H1256" s="1">
        <v>0.0</v>
      </c>
      <c r="I1256" s="1">
        <v>0.0</v>
      </c>
      <c r="J1256" s="1">
        <v>0.0</v>
      </c>
      <c r="K1256" s="1">
        <v>6.0</v>
      </c>
      <c r="L1256" s="1">
        <v>11.0</v>
      </c>
      <c r="M1256" s="1">
        <v>0.545454545</v>
      </c>
      <c r="N1256" s="1">
        <v>8.100000381</v>
      </c>
    </row>
    <row r="1257" ht="15.75" customHeight="1">
      <c r="A1257" s="1" t="s">
        <v>164</v>
      </c>
      <c r="B1257" s="1" t="s">
        <v>68</v>
      </c>
      <c r="C1257" s="5">
        <v>45552.0</v>
      </c>
      <c r="D1257" s="1" t="s">
        <v>161</v>
      </c>
      <c r="E1257" s="1" t="s">
        <v>11</v>
      </c>
      <c r="F1257" s="1" t="s">
        <v>165</v>
      </c>
      <c r="H1257" s="1">
        <v>0.0</v>
      </c>
      <c r="I1257" s="1">
        <v>0.0</v>
      </c>
      <c r="J1257" s="1">
        <v>0.0</v>
      </c>
      <c r="K1257" s="1">
        <v>6.0</v>
      </c>
      <c r="L1257" s="1">
        <v>10.0</v>
      </c>
      <c r="M1257" s="1">
        <v>0.6</v>
      </c>
      <c r="N1257" s="1">
        <v>10.52999973</v>
      </c>
    </row>
    <row r="1258" ht="15.75" customHeight="1">
      <c r="A1258" s="1" t="s">
        <v>164</v>
      </c>
      <c r="B1258" s="1" t="s">
        <v>197</v>
      </c>
      <c r="C1258" s="5">
        <v>45552.0</v>
      </c>
      <c r="D1258" s="1" t="s">
        <v>161</v>
      </c>
      <c r="E1258" s="1" t="s">
        <v>11</v>
      </c>
      <c r="F1258" s="1" t="s">
        <v>166</v>
      </c>
      <c r="H1258" s="1">
        <v>0.0</v>
      </c>
      <c r="I1258" s="1">
        <v>0.0</v>
      </c>
      <c r="J1258" s="1">
        <v>0.0</v>
      </c>
      <c r="K1258" s="1">
        <v>0.0</v>
      </c>
      <c r="L1258" s="1">
        <v>1.0</v>
      </c>
      <c r="M1258" s="1">
        <v>0.0</v>
      </c>
      <c r="N1258" s="1">
        <v>2.869999886</v>
      </c>
    </row>
    <row r="1259" ht="15.75" customHeight="1">
      <c r="A1259" s="1" t="s">
        <v>164</v>
      </c>
      <c r="B1259" s="1" t="s">
        <v>74</v>
      </c>
      <c r="C1259" s="5">
        <v>45552.0</v>
      </c>
      <c r="D1259" s="1" t="s">
        <v>161</v>
      </c>
      <c r="E1259" s="1" t="s">
        <v>11</v>
      </c>
      <c r="F1259" s="1" t="s">
        <v>166</v>
      </c>
      <c r="H1259" s="1">
        <v>0.0</v>
      </c>
      <c r="I1259" s="1">
        <v>0.0</v>
      </c>
      <c r="J1259" s="1">
        <v>0.0</v>
      </c>
      <c r="K1259" s="1">
        <v>2.0</v>
      </c>
      <c r="L1259" s="1">
        <v>4.0</v>
      </c>
      <c r="M1259" s="1">
        <v>0.5</v>
      </c>
      <c r="N1259" s="1">
        <v>8.699999809</v>
      </c>
    </row>
    <row r="1260" ht="15.75" customHeight="1">
      <c r="A1260" s="1" t="s">
        <v>164</v>
      </c>
      <c r="B1260" s="1" t="s">
        <v>205</v>
      </c>
      <c r="C1260" s="5">
        <v>45552.0</v>
      </c>
      <c r="D1260" s="1" t="s">
        <v>161</v>
      </c>
      <c r="E1260" s="1" t="s">
        <v>11</v>
      </c>
      <c r="F1260" s="1" t="s">
        <v>166</v>
      </c>
      <c r="G1260" s="1" t="s">
        <v>172</v>
      </c>
      <c r="H1260" s="1">
        <v>1.0</v>
      </c>
      <c r="I1260" s="1">
        <v>1.0</v>
      </c>
      <c r="J1260" s="1">
        <v>0.0</v>
      </c>
      <c r="K1260" s="1">
        <v>12.0</v>
      </c>
      <c r="L1260" s="1">
        <v>12.0</v>
      </c>
      <c r="M1260" s="1">
        <v>1.0</v>
      </c>
      <c r="N1260" s="1">
        <v>16.89999962</v>
      </c>
    </row>
    <row r="1261" ht="15.75" customHeight="1">
      <c r="A1261" s="1" t="s">
        <v>164</v>
      </c>
      <c r="B1261" s="1" t="s">
        <v>75</v>
      </c>
      <c r="C1261" s="5">
        <v>45552.0</v>
      </c>
      <c r="D1261" s="1" t="s">
        <v>161</v>
      </c>
      <c r="E1261" s="1" t="s">
        <v>11</v>
      </c>
      <c r="F1261" s="1" t="s">
        <v>165</v>
      </c>
      <c r="H1261" s="1">
        <v>0.0</v>
      </c>
      <c r="I1261" s="1">
        <v>0.0</v>
      </c>
      <c r="J1261" s="1">
        <v>0.0</v>
      </c>
      <c r="K1261" s="1">
        <v>5.0</v>
      </c>
      <c r="L1261" s="1">
        <v>13.0</v>
      </c>
      <c r="M1261" s="1">
        <v>0.384615385</v>
      </c>
      <c r="N1261" s="1">
        <v>9.890000343</v>
      </c>
    </row>
    <row r="1262" ht="15.75" customHeight="1">
      <c r="A1262" s="1" t="s">
        <v>164</v>
      </c>
      <c r="B1262" s="1" t="s">
        <v>100</v>
      </c>
      <c r="C1262" s="5">
        <v>45552.0</v>
      </c>
      <c r="D1262" s="1" t="s">
        <v>161</v>
      </c>
      <c r="E1262" s="1" t="s">
        <v>11</v>
      </c>
      <c r="F1262" s="1" t="s">
        <v>171</v>
      </c>
      <c r="H1262" s="1">
        <v>0.0</v>
      </c>
      <c r="I1262" s="1">
        <v>1.0</v>
      </c>
      <c r="J1262" s="1">
        <v>0.0</v>
      </c>
      <c r="K1262" s="1">
        <v>32.0</v>
      </c>
      <c r="L1262" s="1">
        <v>53.0</v>
      </c>
      <c r="M1262" s="1">
        <v>0.603773585</v>
      </c>
      <c r="N1262" s="1">
        <v>23.75</v>
      </c>
    </row>
    <row r="1263" ht="15.75" customHeight="1">
      <c r="A1263" s="1" t="s">
        <v>164</v>
      </c>
      <c r="B1263" s="1" t="s">
        <v>82</v>
      </c>
      <c r="C1263" s="5">
        <v>45552.0</v>
      </c>
      <c r="D1263" s="1" t="s">
        <v>161</v>
      </c>
      <c r="E1263" s="1" t="s">
        <v>11</v>
      </c>
      <c r="F1263" s="1" t="s">
        <v>165</v>
      </c>
      <c r="H1263" s="1">
        <v>0.0</v>
      </c>
      <c r="I1263" s="1">
        <v>1.0</v>
      </c>
      <c r="J1263" s="1">
        <v>0.0</v>
      </c>
      <c r="K1263" s="1">
        <v>16.0</v>
      </c>
      <c r="L1263" s="1">
        <v>33.0</v>
      </c>
      <c r="M1263" s="1">
        <v>0.484848485</v>
      </c>
      <c r="N1263" s="1">
        <v>25.42000008</v>
      </c>
    </row>
    <row r="1264" ht="15.75" customHeight="1">
      <c r="A1264" s="1" t="s">
        <v>164</v>
      </c>
      <c r="B1264" s="1" t="s">
        <v>82</v>
      </c>
      <c r="C1264" s="5">
        <v>45552.0</v>
      </c>
      <c r="D1264" s="1" t="s">
        <v>161</v>
      </c>
      <c r="E1264" s="1" t="s">
        <v>11</v>
      </c>
      <c r="F1264" s="1" t="s">
        <v>166</v>
      </c>
      <c r="H1264" s="1">
        <v>0.0</v>
      </c>
      <c r="I1264" s="1">
        <v>0.0</v>
      </c>
      <c r="J1264" s="1">
        <v>0.0</v>
      </c>
      <c r="K1264" s="1">
        <v>2.0</v>
      </c>
      <c r="L1264" s="1">
        <v>5.0</v>
      </c>
      <c r="M1264" s="1">
        <v>0.4</v>
      </c>
      <c r="N1264" s="1">
        <v>0.0</v>
      </c>
    </row>
    <row r="1265" ht="15.75" customHeight="1">
      <c r="A1265" s="1" t="s">
        <v>164</v>
      </c>
      <c r="B1265" s="1" t="s">
        <v>225</v>
      </c>
      <c r="C1265" s="5">
        <v>45552.0</v>
      </c>
      <c r="D1265" s="1" t="s">
        <v>161</v>
      </c>
      <c r="E1265" s="1" t="s">
        <v>11</v>
      </c>
      <c r="F1265" s="1" t="s">
        <v>166</v>
      </c>
      <c r="H1265" s="1">
        <v>0.0</v>
      </c>
      <c r="I1265" s="1">
        <v>0.0</v>
      </c>
      <c r="J1265" s="1">
        <v>0.0</v>
      </c>
      <c r="K1265" s="1">
        <v>0.0</v>
      </c>
      <c r="L1265" s="1">
        <v>2.0</v>
      </c>
      <c r="M1265" s="1">
        <v>0.0</v>
      </c>
      <c r="N1265" s="1">
        <v>4.0</v>
      </c>
    </row>
    <row r="1266" ht="15.75" customHeight="1">
      <c r="A1266" s="1" t="s">
        <v>180</v>
      </c>
      <c r="B1266" s="1" t="s">
        <v>220</v>
      </c>
      <c r="C1266" s="5">
        <v>45552.0</v>
      </c>
      <c r="D1266" s="1" t="s">
        <v>161</v>
      </c>
      <c r="E1266" s="1" t="s">
        <v>11</v>
      </c>
      <c r="F1266" s="1" t="s">
        <v>166</v>
      </c>
      <c r="G1266" s="1" t="s">
        <v>234</v>
      </c>
      <c r="H1266" s="1">
        <v>2.0</v>
      </c>
      <c r="I1266" s="1">
        <v>0.0</v>
      </c>
      <c r="J1266" s="1">
        <v>0.0</v>
      </c>
      <c r="K1266" s="1">
        <v>9.0</v>
      </c>
      <c r="L1266" s="1">
        <v>16.0</v>
      </c>
      <c r="M1266" s="1">
        <v>0.5625</v>
      </c>
      <c r="N1266" s="1">
        <v>11.86999989</v>
      </c>
    </row>
    <row r="1267" ht="15.75" customHeight="1">
      <c r="A1267" s="1" t="s">
        <v>180</v>
      </c>
      <c r="B1267" s="1" t="s">
        <v>214</v>
      </c>
      <c r="C1267" s="5">
        <v>45552.0</v>
      </c>
      <c r="D1267" s="1" t="s">
        <v>161</v>
      </c>
      <c r="E1267" s="1" t="s">
        <v>11</v>
      </c>
      <c r="F1267" s="1" t="s">
        <v>166</v>
      </c>
      <c r="H1267" s="1">
        <v>0.0</v>
      </c>
      <c r="I1267" s="1">
        <v>1.0</v>
      </c>
      <c r="J1267" s="1">
        <v>0.0</v>
      </c>
      <c r="K1267" s="1">
        <v>12.0</v>
      </c>
      <c r="L1267" s="1">
        <v>12.0</v>
      </c>
      <c r="M1267" s="1">
        <v>1.0</v>
      </c>
      <c r="N1267" s="1">
        <v>3.970000029</v>
      </c>
    </row>
    <row r="1268" ht="15.75" customHeight="1">
      <c r="A1268" s="1" t="s">
        <v>180</v>
      </c>
      <c r="B1268" s="1" t="s">
        <v>226</v>
      </c>
      <c r="C1268" s="5">
        <v>45552.0</v>
      </c>
      <c r="D1268" s="1" t="s">
        <v>161</v>
      </c>
      <c r="E1268" s="1" t="s">
        <v>11</v>
      </c>
      <c r="F1268" s="1" t="s">
        <v>166</v>
      </c>
      <c r="H1268" s="1">
        <v>0.0</v>
      </c>
      <c r="I1268" s="1">
        <v>1.0</v>
      </c>
      <c r="J1268" s="1">
        <v>0.0</v>
      </c>
      <c r="K1268" s="1">
        <v>11.0</v>
      </c>
      <c r="L1268" s="1">
        <v>15.0</v>
      </c>
      <c r="M1268" s="1">
        <v>0.733333333</v>
      </c>
      <c r="N1268" s="1">
        <v>14.71000004</v>
      </c>
    </row>
    <row r="1269" ht="15.75" customHeight="1">
      <c r="A1269" s="1" t="s">
        <v>160</v>
      </c>
      <c r="B1269" s="1" t="s">
        <v>224</v>
      </c>
      <c r="C1269" s="5">
        <v>45551.0</v>
      </c>
      <c r="D1269" s="1" t="s">
        <v>161</v>
      </c>
      <c r="E1269" s="1" t="s">
        <v>11</v>
      </c>
      <c r="F1269" s="1" t="s">
        <v>162</v>
      </c>
      <c r="H1269" s="1">
        <v>0.0</v>
      </c>
      <c r="I1269" s="1">
        <v>1.0</v>
      </c>
      <c r="J1269" s="1">
        <v>0.0</v>
      </c>
      <c r="K1269" s="1">
        <v>16.0</v>
      </c>
      <c r="L1269" s="1">
        <v>19.0</v>
      </c>
      <c r="M1269" s="1">
        <v>0.842105263</v>
      </c>
      <c r="N1269" s="1">
        <v>20.96999931</v>
      </c>
    </row>
    <row r="1270" ht="15.75" customHeight="1">
      <c r="A1270" s="1" t="s">
        <v>160</v>
      </c>
      <c r="B1270" s="1" t="s">
        <v>230</v>
      </c>
      <c r="C1270" s="5">
        <v>45551.0</v>
      </c>
      <c r="D1270" s="1" t="s">
        <v>161</v>
      </c>
      <c r="E1270" s="1" t="s">
        <v>11</v>
      </c>
      <c r="F1270" s="1" t="s">
        <v>165</v>
      </c>
      <c r="H1270" s="1">
        <v>0.0</v>
      </c>
      <c r="I1270" s="1">
        <v>2.0</v>
      </c>
      <c r="J1270" s="1">
        <v>0.0</v>
      </c>
      <c r="K1270" s="1">
        <v>28.0</v>
      </c>
      <c r="L1270" s="1">
        <v>33.0</v>
      </c>
      <c r="M1270" s="1">
        <v>0.848484848</v>
      </c>
      <c r="N1270" s="1">
        <v>0.0</v>
      </c>
    </row>
    <row r="1271" ht="15.75" customHeight="1">
      <c r="A1271" s="1" t="s">
        <v>160</v>
      </c>
      <c r="B1271" s="1" t="s">
        <v>95</v>
      </c>
      <c r="C1271" s="5">
        <v>45551.0</v>
      </c>
      <c r="D1271" s="1" t="s">
        <v>161</v>
      </c>
      <c r="E1271" s="1" t="s">
        <v>11</v>
      </c>
      <c r="F1271" s="1" t="s">
        <v>165</v>
      </c>
      <c r="G1271" s="1" t="s">
        <v>172</v>
      </c>
      <c r="H1271" s="1">
        <v>1.0</v>
      </c>
      <c r="I1271" s="1">
        <v>0.0</v>
      </c>
      <c r="J1271" s="1">
        <v>0.0</v>
      </c>
      <c r="K1271" s="1">
        <v>7.0</v>
      </c>
      <c r="L1271" s="1">
        <v>24.0</v>
      </c>
      <c r="M1271" s="1">
        <v>0.291666667</v>
      </c>
      <c r="N1271" s="1">
        <v>31.43000031</v>
      </c>
    </row>
    <row r="1272" ht="15.75" customHeight="1">
      <c r="A1272" s="1" t="s">
        <v>164</v>
      </c>
      <c r="B1272" s="1" t="s">
        <v>35</v>
      </c>
      <c r="C1272" s="5">
        <v>45551.0</v>
      </c>
      <c r="D1272" s="1" t="s">
        <v>161</v>
      </c>
      <c r="E1272" s="1" t="s">
        <v>11</v>
      </c>
      <c r="F1272" s="1" t="s">
        <v>162</v>
      </c>
      <c r="G1272" s="1" t="s">
        <v>163</v>
      </c>
      <c r="H1272" s="1">
        <v>1.0</v>
      </c>
      <c r="I1272" s="1">
        <v>0.0</v>
      </c>
      <c r="J1272" s="1">
        <v>0.0</v>
      </c>
      <c r="K1272" s="1">
        <v>0.0</v>
      </c>
      <c r="L1272" s="1">
        <v>0.0</v>
      </c>
      <c r="N1272" s="1">
        <v>0.0</v>
      </c>
    </row>
    <row r="1273" ht="15.75" customHeight="1">
      <c r="A1273" s="1" t="s">
        <v>164</v>
      </c>
      <c r="B1273" s="1" t="s">
        <v>35</v>
      </c>
      <c r="C1273" s="5">
        <v>45551.0</v>
      </c>
      <c r="D1273" s="1" t="s">
        <v>161</v>
      </c>
      <c r="E1273" s="1" t="s">
        <v>11</v>
      </c>
      <c r="F1273" s="1" t="s">
        <v>168</v>
      </c>
      <c r="G1273" s="1" t="s">
        <v>163</v>
      </c>
      <c r="H1273" s="1">
        <v>1.0</v>
      </c>
      <c r="I1273" s="1">
        <v>1.0</v>
      </c>
      <c r="J1273" s="1">
        <v>0.0</v>
      </c>
      <c r="K1273" s="1">
        <v>13.0</v>
      </c>
      <c r="L1273" s="1">
        <v>14.0</v>
      </c>
      <c r="M1273" s="1">
        <v>0.928571429</v>
      </c>
      <c r="N1273" s="1">
        <v>28.27000046</v>
      </c>
    </row>
    <row r="1274" ht="15.75" customHeight="1">
      <c r="A1274" s="1" t="s">
        <v>164</v>
      </c>
      <c r="B1274" s="1" t="s">
        <v>35</v>
      </c>
      <c r="C1274" s="5">
        <v>45551.0</v>
      </c>
      <c r="D1274" s="1" t="s">
        <v>161</v>
      </c>
      <c r="E1274" s="1" t="s">
        <v>11</v>
      </c>
      <c r="F1274" s="1" t="s">
        <v>166</v>
      </c>
      <c r="G1274" s="1" t="s">
        <v>163</v>
      </c>
      <c r="H1274" s="1">
        <v>1.0</v>
      </c>
      <c r="I1274" s="1">
        <v>0.0</v>
      </c>
      <c r="J1274" s="1">
        <v>0.0</v>
      </c>
      <c r="K1274" s="1">
        <v>1.0</v>
      </c>
      <c r="L1274" s="1">
        <v>7.0</v>
      </c>
      <c r="M1274" s="1">
        <v>0.142857143</v>
      </c>
      <c r="N1274" s="1">
        <v>0.0</v>
      </c>
    </row>
    <row r="1275" ht="15.75" customHeight="1">
      <c r="A1275" s="1" t="s">
        <v>164</v>
      </c>
      <c r="B1275" s="1" t="s">
        <v>24</v>
      </c>
      <c r="C1275" s="5">
        <v>45551.0</v>
      </c>
      <c r="D1275" s="1" t="s">
        <v>161</v>
      </c>
      <c r="E1275" s="1" t="s">
        <v>11</v>
      </c>
      <c r="F1275" s="1" t="s">
        <v>166</v>
      </c>
      <c r="G1275" s="1" t="s">
        <v>172</v>
      </c>
      <c r="H1275" s="1">
        <v>1.0</v>
      </c>
      <c r="I1275" s="1">
        <v>3.0</v>
      </c>
      <c r="J1275" s="1">
        <v>0.0</v>
      </c>
      <c r="K1275" s="1">
        <v>78.0</v>
      </c>
      <c r="L1275" s="1">
        <v>126.0</v>
      </c>
      <c r="M1275" s="1">
        <v>0.619047619</v>
      </c>
      <c r="N1275" s="1">
        <v>108.5699997</v>
      </c>
    </row>
    <row r="1276" ht="15.75" customHeight="1">
      <c r="A1276" s="1" t="s">
        <v>164</v>
      </c>
      <c r="B1276" s="1" t="s">
        <v>52</v>
      </c>
      <c r="C1276" s="5">
        <v>45551.0</v>
      </c>
      <c r="D1276" s="1" t="s">
        <v>161</v>
      </c>
      <c r="E1276" s="1" t="s">
        <v>11</v>
      </c>
      <c r="F1276" s="1" t="s">
        <v>165</v>
      </c>
      <c r="H1276" s="1">
        <v>0.0</v>
      </c>
      <c r="I1276" s="1">
        <v>1.0</v>
      </c>
      <c r="J1276" s="1">
        <v>0.0</v>
      </c>
      <c r="K1276" s="1">
        <v>7.0</v>
      </c>
      <c r="L1276" s="1">
        <v>7.0</v>
      </c>
      <c r="M1276" s="1">
        <v>1.0</v>
      </c>
      <c r="N1276" s="1">
        <v>9.090000153</v>
      </c>
    </row>
    <row r="1277" ht="15.75" customHeight="1">
      <c r="A1277" s="1" t="s">
        <v>164</v>
      </c>
      <c r="B1277" s="1" t="s">
        <v>199</v>
      </c>
      <c r="C1277" s="5">
        <v>45551.0</v>
      </c>
      <c r="D1277" s="1" t="s">
        <v>161</v>
      </c>
      <c r="E1277" s="1" t="s">
        <v>11</v>
      </c>
      <c r="F1277" s="1" t="s">
        <v>162</v>
      </c>
      <c r="H1277" s="1">
        <v>0.0</v>
      </c>
      <c r="I1277" s="1">
        <v>0.0</v>
      </c>
      <c r="J1277" s="1">
        <v>0.0</v>
      </c>
      <c r="K1277" s="1">
        <v>0.0</v>
      </c>
      <c r="L1277" s="1">
        <v>5.0</v>
      </c>
      <c r="M1277" s="1">
        <v>0.0</v>
      </c>
      <c r="N1277" s="1">
        <v>6.420000076</v>
      </c>
    </row>
    <row r="1278" ht="15.75" customHeight="1">
      <c r="A1278" s="1" t="s">
        <v>164</v>
      </c>
      <c r="B1278" s="1" t="s">
        <v>196</v>
      </c>
      <c r="C1278" s="5">
        <v>45551.0</v>
      </c>
      <c r="D1278" s="1" t="s">
        <v>161</v>
      </c>
      <c r="E1278" s="1" t="s">
        <v>11</v>
      </c>
      <c r="F1278" s="1" t="s">
        <v>165</v>
      </c>
      <c r="H1278" s="1">
        <v>0.0</v>
      </c>
      <c r="I1278" s="1">
        <v>1.0</v>
      </c>
      <c r="J1278" s="1">
        <v>0.0</v>
      </c>
      <c r="K1278" s="1">
        <v>13.0</v>
      </c>
      <c r="L1278" s="1">
        <v>27.0</v>
      </c>
      <c r="M1278" s="1">
        <v>0.481481481</v>
      </c>
      <c r="N1278" s="1">
        <v>28.37999916</v>
      </c>
    </row>
    <row r="1279" ht="15.75" customHeight="1">
      <c r="A1279" s="1" t="s">
        <v>164</v>
      </c>
      <c r="B1279" s="1" t="s">
        <v>231</v>
      </c>
      <c r="C1279" s="5">
        <v>45551.0</v>
      </c>
      <c r="D1279" s="1" t="s">
        <v>161</v>
      </c>
      <c r="E1279" s="1" t="s">
        <v>11</v>
      </c>
      <c r="F1279" s="1" t="s">
        <v>166</v>
      </c>
      <c r="H1279" s="1">
        <v>0.0</v>
      </c>
      <c r="I1279" s="1">
        <v>0.0</v>
      </c>
      <c r="J1279" s="1">
        <v>0.0</v>
      </c>
      <c r="K1279" s="1">
        <v>9.0</v>
      </c>
      <c r="L1279" s="1">
        <v>17.0</v>
      </c>
      <c r="M1279" s="1">
        <v>0.529411765</v>
      </c>
      <c r="N1279" s="1">
        <v>74.98000336</v>
      </c>
    </row>
    <row r="1280" ht="15.75" customHeight="1">
      <c r="A1280" s="1" t="s">
        <v>164</v>
      </c>
      <c r="B1280" s="1" t="s">
        <v>63</v>
      </c>
      <c r="C1280" s="5">
        <v>45551.0</v>
      </c>
      <c r="D1280" s="1" t="s">
        <v>161</v>
      </c>
      <c r="E1280" s="1" t="s">
        <v>11</v>
      </c>
      <c r="H1280" s="1">
        <v>0.0</v>
      </c>
      <c r="J1280" s="1">
        <v>0.0</v>
      </c>
      <c r="N1280" s="1">
        <v>13.19999981</v>
      </c>
    </row>
    <row r="1281" ht="15.75" customHeight="1">
      <c r="A1281" s="1" t="s">
        <v>164</v>
      </c>
      <c r="B1281" s="1" t="s">
        <v>68</v>
      </c>
      <c r="C1281" s="5">
        <v>45551.0</v>
      </c>
      <c r="D1281" s="1" t="s">
        <v>161</v>
      </c>
      <c r="E1281" s="1" t="s">
        <v>11</v>
      </c>
      <c r="F1281" s="1" t="s">
        <v>165</v>
      </c>
      <c r="H1281" s="1">
        <v>0.0</v>
      </c>
      <c r="I1281" s="1">
        <v>0.0</v>
      </c>
      <c r="J1281" s="1">
        <v>0.0</v>
      </c>
      <c r="K1281" s="1">
        <v>2.0</v>
      </c>
      <c r="L1281" s="1">
        <v>4.0</v>
      </c>
      <c r="M1281" s="1">
        <v>0.5</v>
      </c>
      <c r="N1281" s="1">
        <v>10.78999996</v>
      </c>
    </row>
    <row r="1282" ht="15.75" customHeight="1">
      <c r="A1282" s="1" t="s">
        <v>164</v>
      </c>
      <c r="B1282" s="1" t="s">
        <v>197</v>
      </c>
      <c r="C1282" s="5">
        <v>45551.0</v>
      </c>
      <c r="D1282" s="1" t="s">
        <v>161</v>
      </c>
      <c r="E1282" s="1" t="s">
        <v>11</v>
      </c>
      <c r="F1282" s="1" t="s">
        <v>166</v>
      </c>
      <c r="H1282" s="1">
        <v>0.0</v>
      </c>
      <c r="I1282" s="1">
        <v>0.0</v>
      </c>
      <c r="J1282" s="1">
        <v>0.0</v>
      </c>
      <c r="K1282" s="1">
        <v>3.0</v>
      </c>
      <c r="L1282" s="1">
        <v>8.0</v>
      </c>
      <c r="M1282" s="1">
        <v>0.375</v>
      </c>
      <c r="N1282" s="1">
        <v>15.18000031</v>
      </c>
    </row>
    <row r="1283" ht="15.75" customHeight="1">
      <c r="A1283" s="1" t="s">
        <v>164</v>
      </c>
      <c r="B1283" s="1" t="s">
        <v>74</v>
      </c>
      <c r="C1283" s="5">
        <v>45551.0</v>
      </c>
      <c r="D1283" s="1" t="s">
        <v>161</v>
      </c>
      <c r="E1283" s="1" t="s">
        <v>11</v>
      </c>
      <c r="F1283" s="1" t="s">
        <v>166</v>
      </c>
      <c r="H1283" s="1">
        <v>0.0</v>
      </c>
      <c r="I1283" s="1">
        <v>0.0</v>
      </c>
      <c r="J1283" s="1">
        <v>0.0</v>
      </c>
      <c r="K1283" s="1">
        <v>0.0</v>
      </c>
      <c r="L1283" s="1">
        <v>4.0</v>
      </c>
      <c r="M1283" s="1">
        <v>0.0</v>
      </c>
      <c r="N1283" s="1">
        <v>9.710000038</v>
      </c>
    </row>
    <row r="1284" ht="15.75" customHeight="1">
      <c r="A1284" s="1" t="s">
        <v>164</v>
      </c>
      <c r="B1284" s="1" t="s">
        <v>205</v>
      </c>
      <c r="C1284" s="5">
        <v>45551.0</v>
      </c>
      <c r="D1284" s="1" t="s">
        <v>161</v>
      </c>
      <c r="E1284" s="1" t="s">
        <v>11</v>
      </c>
      <c r="F1284" s="1" t="s">
        <v>166</v>
      </c>
      <c r="H1284" s="1">
        <v>0.0</v>
      </c>
      <c r="I1284" s="1">
        <v>1.0</v>
      </c>
      <c r="J1284" s="1">
        <v>0.0</v>
      </c>
      <c r="K1284" s="1">
        <v>12.0</v>
      </c>
      <c r="L1284" s="1">
        <v>15.0</v>
      </c>
      <c r="M1284" s="1">
        <v>0.8</v>
      </c>
      <c r="N1284" s="1">
        <v>9.520000458</v>
      </c>
    </row>
    <row r="1285" ht="15.75" customHeight="1">
      <c r="A1285" s="1" t="s">
        <v>164</v>
      </c>
      <c r="B1285" s="1" t="s">
        <v>75</v>
      </c>
      <c r="C1285" s="5">
        <v>45551.0</v>
      </c>
      <c r="D1285" s="1" t="s">
        <v>161</v>
      </c>
      <c r="E1285" s="1" t="s">
        <v>11</v>
      </c>
      <c r="F1285" s="1" t="s">
        <v>165</v>
      </c>
      <c r="H1285" s="1">
        <v>0.0</v>
      </c>
      <c r="I1285" s="1">
        <v>0.0</v>
      </c>
      <c r="J1285" s="1">
        <v>0.0</v>
      </c>
      <c r="K1285" s="1">
        <v>8.0</v>
      </c>
      <c r="L1285" s="1">
        <v>16.0</v>
      </c>
      <c r="M1285" s="1">
        <v>0.5</v>
      </c>
      <c r="N1285" s="1">
        <v>12.38000011</v>
      </c>
    </row>
    <row r="1286" ht="15.75" customHeight="1">
      <c r="A1286" s="1" t="s">
        <v>164</v>
      </c>
      <c r="B1286" s="1" t="s">
        <v>100</v>
      </c>
      <c r="C1286" s="5">
        <v>45551.0</v>
      </c>
      <c r="D1286" s="1" t="s">
        <v>161</v>
      </c>
      <c r="E1286" s="1" t="s">
        <v>11</v>
      </c>
      <c r="F1286" s="1" t="s">
        <v>171</v>
      </c>
      <c r="H1286" s="1">
        <v>0.0</v>
      </c>
      <c r="I1286" s="1">
        <v>0.0</v>
      </c>
      <c r="J1286" s="1">
        <v>0.0</v>
      </c>
      <c r="K1286" s="1">
        <v>2.0</v>
      </c>
      <c r="L1286" s="1">
        <v>2.0</v>
      </c>
      <c r="M1286" s="1">
        <v>1.0</v>
      </c>
      <c r="N1286" s="1">
        <v>2.799999952</v>
      </c>
    </row>
    <row r="1287" ht="15.75" customHeight="1">
      <c r="A1287" s="1" t="s">
        <v>164</v>
      </c>
      <c r="B1287" s="1" t="s">
        <v>225</v>
      </c>
      <c r="C1287" s="5">
        <v>45551.0</v>
      </c>
      <c r="D1287" s="1" t="s">
        <v>161</v>
      </c>
      <c r="E1287" s="1" t="s">
        <v>11</v>
      </c>
      <c r="F1287" s="1" t="s">
        <v>166</v>
      </c>
      <c r="H1287" s="1">
        <v>0.0</v>
      </c>
      <c r="I1287" s="1">
        <v>0.0</v>
      </c>
      <c r="J1287" s="1">
        <v>0.0</v>
      </c>
      <c r="K1287" s="1">
        <v>0.0</v>
      </c>
      <c r="L1287" s="1">
        <v>0.0</v>
      </c>
      <c r="N1287" s="1">
        <v>5.179999828</v>
      </c>
    </row>
    <row r="1288" ht="15.75" customHeight="1">
      <c r="A1288" s="1" t="s">
        <v>180</v>
      </c>
      <c r="B1288" s="1" t="s">
        <v>220</v>
      </c>
      <c r="C1288" s="5">
        <v>45551.0</v>
      </c>
      <c r="D1288" s="1" t="s">
        <v>161</v>
      </c>
      <c r="E1288" s="1" t="s">
        <v>11</v>
      </c>
      <c r="F1288" s="1" t="s">
        <v>166</v>
      </c>
      <c r="G1288" s="1" t="s">
        <v>234</v>
      </c>
      <c r="H1288" s="1">
        <v>2.0</v>
      </c>
      <c r="I1288" s="1">
        <v>2.0</v>
      </c>
      <c r="J1288" s="1">
        <v>0.0</v>
      </c>
      <c r="K1288" s="1">
        <v>32.0</v>
      </c>
      <c r="L1288" s="1">
        <v>40.0</v>
      </c>
      <c r="M1288" s="1">
        <v>0.8</v>
      </c>
      <c r="N1288" s="1">
        <v>36.97000122</v>
      </c>
    </row>
    <row r="1289" ht="15.75" customHeight="1">
      <c r="A1289" s="1" t="s">
        <v>180</v>
      </c>
      <c r="B1289" s="1" t="s">
        <v>214</v>
      </c>
      <c r="C1289" s="5">
        <v>45551.0</v>
      </c>
      <c r="D1289" s="1" t="s">
        <v>161</v>
      </c>
      <c r="E1289" s="1" t="s">
        <v>11</v>
      </c>
      <c r="F1289" s="1" t="s">
        <v>166</v>
      </c>
      <c r="H1289" s="1">
        <v>0.0</v>
      </c>
      <c r="I1289" s="1">
        <v>1.0</v>
      </c>
      <c r="J1289" s="1">
        <v>0.0</v>
      </c>
      <c r="K1289" s="1">
        <v>14.0</v>
      </c>
      <c r="L1289" s="1">
        <v>17.0</v>
      </c>
      <c r="M1289" s="1">
        <v>0.823529412</v>
      </c>
      <c r="N1289" s="1">
        <v>11.80000019</v>
      </c>
    </row>
    <row r="1290" ht="15.75" customHeight="1">
      <c r="A1290" s="1" t="s">
        <v>180</v>
      </c>
      <c r="B1290" s="1" t="s">
        <v>181</v>
      </c>
      <c r="C1290" s="5">
        <v>45551.0</v>
      </c>
      <c r="D1290" s="1" t="s">
        <v>161</v>
      </c>
      <c r="E1290" s="1" t="s">
        <v>11</v>
      </c>
      <c r="F1290" s="1" t="s">
        <v>166</v>
      </c>
      <c r="H1290" s="1">
        <v>0.0</v>
      </c>
      <c r="I1290" s="1">
        <v>0.0</v>
      </c>
      <c r="J1290" s="1">
        <v>0.0</v>
      </c>
      <c r="K1290" s="1">
        <v>0.0</v>
      </c>
      <c r="L1290" s="1">
        <v>0.0</v>
      </c>
      <c r="N1290" s="1">
        <v>0.170000002</v>
      </c>
    </row>
    <row r="1291" ht="15.75" customHeight="1">
      <c r="A1291" s="1" t="s">
        <v>180</v>
      </c>
      <c r="B1291" s="1" t="s">
        <v>226</v>
      </c>
      <c r="C1291" s="5">
        <v>45551.0</v>
      </c>
      <c r="D1291" s="1" t="s">
        <v>161</v>
      </c>
      <c r="E1291" s="1" t="s">
        <v>11</v>
      </c>
      <c r="F1291" s="1" t="s">
        <v>166</v>
      </c>
      <c r="H1291" s="1">
        <v>0.0</v>
      </c>
      <c r="I1291" s="1">
        <v>0.0</v>
      </c>
      <c r="J1291" s="1">
        <v>0.0</v>
      </c>
      <c r="K1291" s="1">
        <v>0.0</v>
      </c>
      <c r="L1291" s="1">
        <v>0.0</v>
      </c>
      <c r="N1291" s="1">
        <v>1.580000043</v>
      </c>
    </row>
    <row r="1292" ht="15.75" customHeight="1">
      <c r="A1292" s="1" t="s">
        <v>164</v>
      </c>
      <c r="B1292" s="1" t="s">
        <v>35</v>
      </c>
      <c r="C1292" s="5">
        <v>45550.0</v>
      </c>
      <c r="D1292" s="1" t="s">
        <v>161</v>
      </c>
      <c r="E1292" s="1" t="s">
        <v>11</v>
      </c>
      <c r="F1292" s="1" t="s">
        <v>162</v>
      </c>
      <c r="G1292" s="1" t="s">
        <v>227</v>
      </c>
      <c r="H1292" s="1">
        <v>3.0</v>
      </c>
      <c r="I1292" s="1">
        <v>2.0</v>
      </c>
      <c r="J1292" s="1">
        <v>0.0</v>
      </c>
      <c r="K1292" s="1">
        <v>46.0</v>
      </c>
      <c r="L1292" s="1">
        <v>63.0</v>
      </c>
      <c r="M1292" s="1">
        <v>0.73015873</v>
      </c>
      <c r="N1292" s="1">
        <v>139.3399963</v>
      </c>
    </row>
    <row r="1293" ht="15.75" customHeight="1">
      <c r="A1293" s="1" t="s">
        <v>164</v>
      </c>
      <c r="B1293" s="1" t="s">
        <v>35</v>
      </c>
      <c r="C1293" s="5">
        <v>45550.0</v>
      </c>
      <c r="D1293" s="1" t="s">
        <v>161</v>
      </c>
      <c r="E1293" s="1" t="s">
        <v>11</v>
      </c>
      <c r="F1293" s="1" t="s">
        <v>166</v>
      </c>
      <c r="G1293" s="1" t="s">
        <v>227</v>
      </c>
      <c r="H1293" s="1">
        <v>3.0</v>
      </c>
      <c r="I1293" s="1">
        <v>0.0</v>
      </c>
      <c r="J1293" s="1">
        <v>0.0</v>
      </c>
      <c r="K1293" s="1">
        <v>9.0</v>
      </c>
      <c r="L1293" s="1">
        <v>19.0</v>
      </c>
      <c r="M1293" s="1">
        <v>0.473684211</v>
      </c>
      <c r="N1293" s="1">
        <v>0.0</v>
      </c>
    </row>
    <row r="1294" ht="15.75" customHeight="1">
      <c r="A1294" s="1" t="s">
        <v>164</v>
      </c>
      <c r="B1294" s="1" t="s">
        <v>183</v>
      </c>
      <c r="C1294" s="5">
        <v>45550.0</v>
      </c>
      <c r="D1294" s="1" t="s">
        <v>161</v>
      </c>
      <c r="E1294" s="1" t="s">
        <v>11</v>
      </c>
      <c r="F1294" s="1" t="s">
        <v>166</v>
      </c>
      <c r="H1294" s="1">
        <v>0.0</v>
      </c>
      <c r="I1294" s="1">
        <v>0.0</v>
      </c>
      <c r="J1294" s="1">
        <v>0.0</v>
      </c>
      <c r="K1294" s="1">
        <v>0.0</v>
      </c>
      <c r="L1294" s="1">
        <v>0.0</v>
      </c>
      <c r="N1294" s="1">
        <v>0.129999995</v>
      </c>
    </row>
    <row r="1295" ht="15.75" customHeight="1">
      <c r="A1295" s="1" t="s">
        <v>164</v>
      </c>
      <c r="B1295" s="1" t="s">
        <v>205</v>
      </c>
      <c r="C1295" s="5">
        <v>45550.0</v>
      </c>
      <c r="D1295" s="1" t="s">
        <v>161</v>
      </c>
      <c r="E1295" s="1" t="s">
        <v>11</v>
      </c>
      <c r="F1295" s="1" t="s">
        <v>166</v>
      </c>
      <c r="H1295" s="1">
        <v>0.0</v>
      </c>
      <c r="I1295" s="1">
        <v>2.0</v>
      </c>
      <c r="J1295" s="1">
        <v>0.0</v>
      </c>
      <c r="K1295" s="1">
        <v>28.0</v>
      </c>
      <c r="L1295" s="1">
        <v>35.0</v>
      </c>
      <c r="M1295" s="1">
        <v>0.8</v>
      </c>
      <c r="N1295" s="1">
        <v>79.30999756</v>
      </c>
    </row>
    <row r="1296" ht="15.75" customHeight="1">
      <c r="A1296" s="1" t="s">
        <v>164</v>
      </c>
      <c r="B1296" s="1" t="s">
        <v>35</v>
      </c>
      <c r="C1296" s="5">
        <v>45549.0</v>
      </c>
      <c r="D1296" s="1" t="s">
        <v>161</v>
      </c>
      <c r="E1296" s="1" t="s">
        <v>11</v>
      </c>
      <c r="F1296" s="1" t="s">
        <v>166</v>
      </c>
      <c r="H1296" s="1">
        <v>0.0</v>
      </c>
      <c r="I1296" s="1">
        <v>0.0</v>
      </c>
      <c r="J1296" s="1">
        <v>0.0</v>
      </c>
      <c r="K1296" s="1">
        <v>0.0</v>
      </c>
      <c r="L1296" s="1">
        <v>1.0</v>
      </c>
      <c r="M1296" s="1">
        <v>0.0</v>
      </c>
      <c r="N1296" s="1">
        <v>2.079999924</v>
      </c>
    </row>
    <row r="1297" ht="15.75" customHeight="1">
      <c r="A1297" s="1" t="s">
        <v>160</v>
      </c>
      <c r="B1297" s="1" t="s">
        <v>39</v>
      </c>
      <c r="C1297" s="5">
        <v>45548.0</v>
      </c>
      <c r="D1297" s="1" t="s">
        <v>161</v>
      </c>
      <c r="E1297" s="1" t="s">
        <v>11</v>
      </c>
      <c r="F1297" s="1" t="s">
        <v>162</v>
      </c>
      <c r="H1297" s="1">
        <v>0.0</v>
      </c>
      <c r="I1297" s="1">
        <v>0.0</v>
      </c>
      <c r="J1297" s="1">
        <v>0.0</v>
      </c>
      <c r="K1297" s="1">
        <v>0.0</v>
      </c>
      <c r="L1297" s="1">
        <v>1.0</v>
      </c>
      <c r="M1297" s="1">
        <v>0.0</v>
      </c>
      <c r="N1297" s="1">
        <v>8.369999886</v>
      </c>
    </row>
    <row r="1298" ht="15.75" customHeight="1">
      <c r="A1298" s="1" t="s">
        <v>160</v>
      </c>
      <c r="B1298" s="1" t="s">
        <v>224</v>
      </c>
      <c r="C1298" s="5">
        <v>45548.0</v>
      </c>
      <c r="D1298" s="1" t="s">
        <v>161</v>
      </c>
      <c r="E1298" s="1" t="s">
        <v>11</v>
      </c>
      <c r="F1298" s="1" t="s">
        <v>162</v>
      </c>
      <c r="H1298" s="1">
        <v>0.0</v>
      </c>
      <c r="I1298" s="1">
        <v>1.0</v>
      </c>
      <c r="J1298" s="1">
        <v>0.0</v>
      </c>
      <c r="K1298" s="1">
        <v>20.0</v>
      </c>
      <c r="L1298" s="1">
        <v>25.0</v>
      </c>
      <c r="M1298" s="1">
        <v>0.8</v>
      </c>
      <c r="N1298" s="1">
        <v>34.95000076</v>
      </c>
    </row>
    <row r="1299" ht="15.75" customHeight="1">
      <c r="A1299" s="1" t="s">
        <v>160</v>
      </c>
      <c r="B1299" s="1" t="s">
        <v>230</v>
      </c>
      <c r="C1299" s="5">
        <v>45548.0</v>
      </c>
      <c r="D1299" s="1" t="s">
        <v>161</v>
      </c>
      <c r="E1299" s="1" t="s">
        <v>11</v>
      </c>
      <c r="F1299" s="1" t="s">
        <v>165</v>
      </c>
      <c r="H1299" s="1">
        <v>0.0</v>
      </c>
      <c r="I1299" s="1">
        <v>0.0</v>
      </c>
      <c r="J1299" s="1">
        <v>0.0</v>
      </c>
      <c r="K1299" s="1">
        <v>4.0</v>
      </c>
      <c r="L1299" s="1">
        <v>14.0</v>
      </c>
      <c r="M1299" s="1">
        <v>0.285714286</v>
      </c>
      <c r="N1299" s="1">
        <v>9.399999619</v>
      </c>
    </row>
    <row r="1300" ht="15.75" customHeight="1">
      <c r="A1300" s="1" t="s">
        <v>160</v>
      </c>
      <c r="B1300" s="1" t="s">
        <v>95</v>
      </c>
      <c r="C1300" s="5">
        <v>45548.0</v>
      </c>
      <c r="D1300" s="1" t="s">
        <v>161</v>
      </c>
      <c r="E1300" s="1" t="s">
        <v>11</v>
      </c>
      <c r="F1300" s="1" t="s">
        <v>165</v>
      </c>
      <c r="H1300" s="1">
        <v>0.0</v>
      </c>
      <c r="I1300" s="1">
        <v>0.0</v>
      </c>
      <c r="J1300" s="1">
        <v>0.0</v>
      </c>
      <c r="K1300" s="1">
        <v>8.0</v>
      </c>
      <c r="L1300" s="1">
        <v>15.0</v>
      </c>
      <c r="M1300" s="1">
        <v>0.533333333</v>
      </c>
      <c r="N1300" s="1">
        <v>0.0</v>
      </c>
    </row>
    <row r="1301" ht="15.75" customHeight="1">
      <c r="A1301" s="1" t="s">
        <v>164</v>
      </c>
      <c r="B1301" s="1" t="s">
        <v>22</v>
      </c>
      <c r="C1301" s="5">
        <v>45548.0</v>
      </c>
      <c r="D1301" s="1" t="s">
        <v>161</v>
      </c>
      <c r="E1301" s="1" t="s">
        <v>11</v>
      </c>
      <c r="F1301" s="1" t="s">
        <v>166</v>
      </c>
      <c r="H1301" s="1">
        <v>0.0</v>
      </c>
      <c r="I1301" s="1">
        <v>0.0</v>
      </c>
      <c r="J1301" s="1">
        <v>0.0</v>
      </c>
      <c r="K1301" s="1">
        <v>4.0</v>
      </c>
      <c r="L1301" s="1">
        <v>6.0</v>
      </c>
      <c r="M1301" s="1">
        <v>0.666666667</v>
      </c>
      <c r="N1301" s="1">
        <v>19.38999939</v>
      </c>
    </row>
    <row r="1302" ht="15.75" customHeight="1">
      <c r="A1302" s="1" t="s">
        <v>164</v>
      </c>
      <c r="B1302" s="1" t="s">
        <v>35</v>
      </c>
      <c r="C1302" s="5">
        <v>45548.0</v>
      </c>
      <c r="D1302" s="1" t="s">
        <v>161</v>
      </c>
      <c r="E1302" s="1" t="s">
        <v>11</v>
      </c>
      <c r="F1302" s="1" t="s">
        <v>166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N1302" s="1">
        <v>1.610000014</v>
      </c>
    </row>
    <row r="1303" ht="15.75" customHeight="1">
      <c r="A1303" s="1" t="s">
        <v>164</v>
      </c>
      <c r="B1303" s="1" t="s">
        <v>24</v>
      </c>
      <c r="C1303" s="5">
        <v>45548.0</v>
      </c>
      <c r="D1303" s="1" t="s">
        <v>161</v>
      </c>
      <c r="E1303" s="1" t="s">
        <v>11</v>
      </c>
      <c r="F1303" s="1" t="s">
        <v>166</v>
      </c>
      <c r="H1303" s="1">
        <v>0.0</v>
      </c>
      <c r="I1303" s="1">
        <v>0.0</v>
      </c>
      <c r="J1303" s="1">
        <v>0.0</v>
      </c>
      <c r="K1303" s="1">
        <v>1.0</v>
      </c>
      <c r="L1303" s="1">
        <v>1.0</v>
      </c>
      <c r="M1303" s="1">
        <v>1.0</v>
      </c>
      <c r="N1303" s="1">
        <v>2.150000095</v>
      </c>
    </row>
    <row r="1304" ht="15.75" customHeight="1">
      <c r="A1304" s="1" t="s">
        <v>164</v>
      </c>
      <c r="B1304" s="1" t="s">
        <v>207</v>
      </c>
      <c r="C1304" s="5">
        <v>45548.0</v>
      </c>
      <c r="D1304" s="1" t="s">
        <v>161</v>
      </c>
      <c r="E1304" s="1" t="s">
        <v>11</v>
      </c>
      <c r="F1304" s="1" t="s">
        <v>166</v>
      </c>
      <c r="H1304" s="1">
        <v>0.0</v>
      </c>
      <c r="I1304" s="1">
        <v>1.0</v>
      </c>
      <c r="J1304" s="1">
        <v>0.0</v>
      </c>
      <c r="K1304" s="1">
        <v>6.0</v>
      </c>
      <c r="L1304" s="1">
        <v>6.0</v>
      </c>
      <c r="M1304" s="1">
        <v>1.0</v>
      </c>
      <c r="N1304" s="1">
        <v>4.960000038</v>
      </c>
    </row>
    <row r="1305" ht="15.75" customHeight="1">
      <c r="A1305" s="1" t="s">
        <v>164</v>
      </c>
      <c r="B1305" s="1" t="s">
        <v>52</v>
      </c>
      <c r="C1305" s="5">
        <v>45548.0</v>
      </c>
      <c r="D1305" s="1" t="s">
        <v>161</v>
      </c>
      <c r="E1305" s="1" t="s">
        <v>11</v>
      </c>
      <c r="F1305" s="1" t="s">
        <v>165</v>
      </c>
      <c r="H1305" s="1">
        <v>0.0</v>
      </c>
      <c r="I1305" s="1">
        <v>0.0</v>
      </c>
      <c r="J1305" s="1">
        <v>0.0</v>
      </c>
      <c r="K1305" s="1">
        <v>1.0</v>
      </c>
      <c r="L1305" s="1">
        <v>2.0</v>
      </c>
      <c r="M1305" s="1">
        <v>0.5</v>
      </c>
      <c r="N1305" s="1">
        <v>6.6300001139999996</v>
      </c>
    </row>
    <row r="1306" ht="15.75" customHeight="1">
      <c r="A1306" s="1" t="s">
        <v>164</v>
      </c>
      <c r="B1306" s="1" t="s">
        <v>199</v>
      </c>
      <c r="C1306" s="5">
        <v>45548.0</v>
      </c>
      <c r="D1306" s="1" t="s">
        <v>161</v>
      </c>
      <c r="E1306" s="1" t="s">
        <v>11</v>
      </c>
      <c r="F1306" s="1" t="s">
        <v>162</v>
      </c>
      <c r="H1306" s="1">
        <v>0.0</v>
      </c>
      <c r="I1306" s="1">
        <v>0.0</v>
      </c>
      <c r="J1306" s="1">
        <v>0.0</v>
      </c>
      <c r="K1306" s="1">
        <v>0.0</v>
      </c>
      <c r="L1306" s="1">
        <v>3.0</v>
      </c>
      <c r="M1306" s="1">
        <v>0.0</v>
      </c>
      <c r="N1306" s="1">
        <v>5.110000134</v>
      </c>
    </row>
    <row r="1307" ht="15.75" customHeight="1">
      <c r="A1307" s="1" t="s">
        <v>164</v>
      </c>
      <c r="B1307" s="1" t="s">
        <v>196</v>
      </c>
      <c r="C1307" s="5">
        <v>45548.0</v>
      </c>
      <c r="D1307" s="1" t="s">
        <v>161</v>
      </c>
      <c r="E1307" s="1" t="s">
        <v>11</v>
      </c>
      <c r="F1307" s="1" t="s">
        <v>165</v>
      </c>
      <c r="H1307" s="1">
        <v>0.0</v>
      </c>
      <c r="I1307" s="1">
        <v>0.0</v>
      </c>
      <c r="J1307" s="1">
        <v>0.0</v>
      </c>
      <c r="K1307" s="1">
        <v>7.0</v>
      </c>
      <c r="L1307" s="1">
        <v>11.0</v>
      </c>
      <c r="M1307" s="1">
        <v>0.636363636</v>
      </c>
      <c r="N1307" s="1">
        <v>1.840000033</v>
      </c>
    </row>
    <row r="1308" ht="15.75" customHeight="1">
      <c r="A1308" s="1" t="s">
        <v>164</v>
      </c>
      <c r="B1308" s="1" t="s">
        <v>231</v>
      </c>
      <c r="C1308" s="5">
        <v>45548.0</v>
      </c>
      <c r="D1308" s="1" t="s">
        <v>161</v>
      </c>
      <c r="E1308" s="1" t="s">
        <v>11</v>
      </c>
      <c r="F1308" s="1" t="s">
        <v>166</v>
      </c>
      <c r="H1308" s="1">
        <v>0.0</v>
      </c>
      <c r="I1308" s="1">
        <v>2.0</v>
      </c>
      <c r="J1308" s="1">
        <v>0.0</v>
      </c>
      <c r="K1308" s="1">
        <v>37.0</v>
      </c>
      <c r="L1308" s="1">
        <v>51.0</v>
      </c>
      <c r="M1308" s="1">
        <v>0.725490196</v>
      </c>
      <c r="N1308" s="1">
        <v>18.87999916</v>
      </c>
    </row>
    <row r="1309" ht="15.75" customHeight="1">
      <c r="A1309" s="1" t="s">
        <v>164</v>
      </c>
      <c r="B1309" s="1" t="s">
        <v>68</v>
      </c>
      <c r="C1309" s="5">
        <v>45548.0</v>
      </c>
      <c r="D1309" s="1" t="s">
        <v>161</v>
      </c>
      <c r="E1309" s="1" t="s">
        <v>11</v>
      </c>
      <c r="F1309" s="1" t="s">
        <v>165</v>
      </c>
      <c r="H1309" s="1">
        <v>0.0</v>
      </c>
      <c r="I1309" s="1">
        <v>0.0</v>
      </c>
      <c r="J1309" s="1">
        <v>0.0</v>
      </c>
      <c r="K1309" s="1">
        <v>10.0</v>
      </c>
      <c r="L1309" s="1">
        <v>17.0</v>
      </c>
      <c r="M1309" s="1">
        <v>0.588235294</v>
      </c>
      <c r="N1309" s="1">
        <v>15.06000042</v>
      </c>
    </row>
    <row r="1310" ht="15.75" customHeight="1">
      <c r="A1310" s="1" t="s">
        <v>164</v>
      </c>
      <c r="B1310" s="1" t="s">
        <v>197</v>
      </c>
      <c r="C1310" s="5">
        <v>45548.0</v>
      </c>
      <c r="D1310" s="1" t="s">
        <v>161</v>
      </c>
      <c r="E1310" s="1" t="s">
        <v>11</v>
      </c>
      <c r="F1310" s="1" t="s">
        <v>166</v>
      </c>
      <c r="H1310" s="1">
        <v>0.0</v>
      </c>
      <c r="I1310" s="1">
        <v>0.0</v>
      </c>
      <c r="J1310" s="1">
        <v>0.0</v>
      </c>
      <c r="K1310" s="1">
        <v>0.0</v>
      </c>
      <c r="L1310" s="1">
        <v>2.0</v>
      </c>
      <c r="M1310" s="1">
        <v>0.0</v>
      </c>
      <c r="N1310" s="1">
        <v>1.75999999</v>
      </c>
    </row>
    <row r="1311" ht="15.75" customHeight="1">
      <c r="A1311" s="1" t="s">
        <v>164</v>
      </c>
      <c r="B1311" s="1" t="s">
        <v>74</v>
      </c>
      <c r="C1311" s="5">
        <v>45548.0</v>
      </c>
      <c r="D1311" s="1" t="s">
        <v>161</v>
      </c>
      <c r="E1311" s="1" t="s">
        <v>11</v>
      </c>
      <c r="F1311" s="1" t="s">
        <v>166</v>
      </c>
      <c r="H1311" s="1">
        <v>0.0</v>
      </c>
      <c r="I1311" s="1">
        <v>0.0</v>
      </c>
      <c r="J1311" s="1">
        <v>0.0</v>
      </c>
      <c r="K1311" s="1">
        <v>1.0</v>
      </c>
      <c r="L1311" s="1">
        <v>6.0</v>
      </c>
      <c r="M1311" s="1">
        <v>0.166666667</v>
      </c>
      <c r="N1311" s="1">
        <v>17.01000023</v>
      </c>
    </row>
    <row r="1312" ht="15.75" customHeight="1">
      <c r="A1312" s="1" t="s">
        <v>164</v>
      </c>
      <c r="B1312" s="1" t="s">
        <v>75</v>
      </c>
      <c r="C1312" s="5">
        <v>45548.0</v>
      </c>
      <c r="D1312" s="1" t="s">
        <v>161</v>
      </c>
      <c r="E1312" s="1" t="s">
        <v>11</v>
      </c>
      <c r="F1312" s="1" t="s">
        <v>165</v>
      </c>
      <c r="H1312" s="1">
        <v>0.0</v>
      </c>
      <c r="I1312" s="1">
        <v>1.0</v>
      </c>
      <c r="J1312" s="1">
        <v>0.0</v>
      </c>
      <c r="K1312" s="1">
        <v>10.0</v>
      </c>
      <c r="L1312" s="1">
        <v>10.0</v>
      </c>
      <c r="M1312" s="1">
        <v>1.0</v>
      </c>
      <c r="N1312" s="1">
        <v>4.03000021</v>
      </c>
    </row>
    <row r="1313" ht="15.75" customHeight="1">
      <c r="A1313" s="1" t="s">
        <v>180</v>
      </c>
      <c r="B1313" s="1" t="s">
        <v>214</v>
      </c>
      <c r="C1313" s="5">
        <v>45548.0</v>
      </c>
      <c r="D1313" s="1" t="s">
        <v>161</v>
      </c>
      <c r="E1313" s="1" t="s">
        <v>11</v>
      </c>
      <c r="F1313" s="1" t="s">
        <v>166</v>
      </c>
      <c r="H1313" s="1">
        <v>0.0</v>
      </c>
      <c r="I1313" s="1">
        <v>0.0</v>
      </c>
      <c r="J1313" s="1">
        <v>0.0</v>
      </c>
      <c r="K1313" s="1">
        <v>2.0</v>
      </c>
      <c r="L1313" s="1">
        <v>4.0</v>
      </c>
      <c r="M1313" s="1">
        <v>0.5</v>
      </c>
      <c r="N1313" s="1">
        <v>3.279999971</v>
      </c>
    </row>
    <row r="1314" ht="15.75" customHeight="1">
      <c r="A1314" s="1" t="s">
        <v>180</v>
      </c>
      <c r="B1314" s="1" t="s">
        <v>181</v>
      </c>
      <c r="C1314" s="5">
        <v>45548.0</v>
      </c>
      <c r="D1314" s="1" t="s">
        <v>161</v>
      </c>
      <c r="E1314" s="1" t="s">
        <v>11</v>
      </c>
      <c r="F1314" s="1" t="s">
        <v>166</v>
      </c>
      <c r="H1314" s="1">
        <v>0.0</v>
      </c>
      <c r="I1314" s="1">
        <v>2.0</v>
      </c>
      <c r="J1314" s="1">
        <v>0.0</v>
      </c>
      <c r="K1314" s="1">
        <v>21.0</v>
      </c>
      <c r="L1314" s="1">
        <v>29.0</v>
      </c>
      <c r="M1314" s="1">
        <v>0.724137931</v>
      </c>
      <c r="N1314" s="1">
        <v>15.81999969</v>
      </c>
    </row>
    <row r="1315" ht="15.75" customHeight="1">
      <c r="A1315" s="1" t="s">
        <v>180</v>
      </c>
      <c r="B1315" s="1" t="s">
        <v>235</v>
      </c>
      <c r="C1315" s="5">
        <v>45548.0</v>
      </c>
      <c r="D1315" s="1" t="s">
        <v>161</v>
      </c>
      <c r="E1315" s="1" t="s">
        <v>11</v>
      </c>
      <c r="F1315" s="1" t="s">
        <v>166</v>
      </c>
      <c r="H1315" s="1">
        <v>0.0</v>
      </c>
      <c r="I1315" s="1">
        <v>1.0</v>
      </c>
      <c r="J1315" s="1">
        <v>0.0</v>
      </c>
      <c r="K1315" s="1">
        <v>17.0</v>
      </c>
      <c r="L1315" s="1">
        <v>30.0</v>
      </c>
      <c r="M1315" s="1">
        <v>0.566666667</v>
      </c>
      <c r="N1315" s="1">
        <v>29.69000053</v>
      </c>
    </row>
    <row r="1316" ht="15.75" customHeight="1">
      <c r="A1316" s="1" t="s">
        <v>180</v>
      </c>
      <c r="B1316" s="1" t="s">
        <v>226</v>
      </c>
      <c r="C1316" s="5">
        <v>45548.0</v>
      </c>
      <c r="D1316" s="1" t="s">
        <v>161</v>
      </c>
      <c r="E1316" s="1" t="s">
        <v>11</v>
      </c>
      <c r="H1316" s="1">
        <v>0.0</v>
      </c>
      <c r="J1316" s="1">
        <v>0.0</v>
      </c>
      <c r="N1316" s="1">
        <v>11.52000046</v>
      </c>
    </row>
    <row r="1317" ht="15.75" customHeight="1">
      <c r="A1317" s="1" t="s">
        <v>160</v>
      </c>
      <c r="B1317" s="1" t="s">
        <v>224</v>
      </c>
      <c r="C1317" s="5">
        <v>45547.0</v>
      </c>
      <c r="D1317" s="1" t="s">
        <v>161</v>
      </c>
      <c r="E1317" s="1" t="s">
        <v>11</v>
      </c>
      <c r="F1317" s="1" t="s">
        <v>162</v>
      </c>
      <c r="G1317" s="1" t="s">
        <v>172</v>
      </c>
      <c r="H1317" s="1">
        <v>1.0</v>
      </c>
      <c r="I1317" s="1">
        <v>1.0</v>
      </c>
      <c r="J1317" s="1">
        <v>0.0</v>
      </c>
      <c r="K1317" s="1">
        <v>24.0</v>
      </c>
      <c r="L1317" s="1">
        <v>32.0</v>
      </c>
      <c r="M1317" s="1">
        <v>0.75</v>
      </c>
      <c r="N1317" s="1">
        <v>45.70000076</v>
      </c>
    </row>
    <row r="1318" ht="15.75" customHeight="1">
      <c r="A1318" s="1" t="s">
        <v>160</v>
      </c>
      <c r="B1318" s="1" t="s">
        <v>230</v>
      </c>
      <c r="C1318" s="5">
        <v>45547.0</v>
      </c>
      <c r="D1318" s="1" t="s">
        <v>161</v>
      </c>
      <c r="E1318" s="1" t="s">
        <v>11</v>
      </c>
      <c r="F1318" s="1" t="s">
        <v>165</v>
      </c>
      <c r="H1318" s="1">
        <v>0.0</v>
      </c>
      <c r="I1318" s="1">
        <v>0.0</v>
      </c>
      <c r="J1318" s="1">
        <v>0.0</v>
      </c>
      <c r="K1318" s="1">
        <v>2.0</v>
      </c>
      <c r="L1318" s="1">
        <v>4.0</v>
      </c>
      <c r="M1318" s="1">
        <v>0.5</v>
      </c>
      <c r="N1318" s="1">
        <v>3.329999924</v>
      </c>
    </row>
    <row r="1319" ht="15.75" customHeight="1">
      <c r="A1319" s="1" t="s">
        <v>160</v>
      </c>
      <c r="B1319" s="1" t="s">
        <v>95</v>
      </c>
      <c r="C1319" s="5">
        <v>45547.0</v>
      </c>
      <c r="D1319" s="1" t="s">
        <v>161</v>
      </c>
      <c r="E1319" s="1" t="s">
        <v>11</v>
      </c>
      <c r="H1319" s="1">
        <v>0.0</v>
      </c>
      <c r="J1319" s="1">
        <v>0.0</v>
      </c>
      <c r="N1319" s="1">
        <v>0.670000017</v>
      </c>
    </row>
    <row r="1320" ht="15.75" customHeight="1">
      <c r="A1320" s="1" t="s">
        <v>164</v>
      </c>
      <c r="B1320" s="1" t="s">
        <v>35</v>
      </c>
      <c r="C1320" s="5">
        <v>45547.0</v>
      </c>
      <c r="D1320" s="1" t="s">
        <v>161</v>
      </c>
      <c r="E1320" s="1" t="s">
        <v>11</v>
      </c>
      <c r="F1320" s="1" t="s">
        <v>166</v>
      </c>
      <c r="H1320" s="1">
        <v>0.0</v>
      </c>
      <c r="I1320" s="1">
        <v>0.0</v>
      </c>
      <c r="J1320" s="1">
        <v>0.0</v>
      </c>
      <c r="K1320" s="1">
        <v>4.0</v>
      </c>
      <c r="L1320" s="1">
        <v>9.0</v>
      </c>
      <c r="M1320" s="1">
        <v>0.444444444</v>
      </c>
      <c r="N1320" s="1">
        <v>24.20999908</v>
      </c>
    </row>
    <row r="1321" ht="15.75" customHeight="1">
      <c r="A1321" s="1" t="s">
        <v>164</v>
      </c>
      <c r="B1321" s="1" t="s">
        <v>24</v>
      </c>
      <c r="C1321" s="5">
        <v>45547.0</v>
      </c>
      <c r="D1321" s="1" t="s">
        <v>161</v>
      </c>
      <c r="E1321" s="1" t="s">
        <v>11</v>
      </c>
      <c r="F1321" s="1" t="s">
        <v>166</v>
      </c>
      <c r="H1321" s="1">
        <v>0.0</v>
      </c>
      <c r="I1321" s="1">
        <v>0.0</v>
      </c>
      <c r="J1321" s="1">
        <v>0.0</v>
      </c>
      <c r="K1321" s="1">
        <v>2.0</v>
      </c>
      <c r="L1321" s="1">
        <v>7.0</v>
      </c>
      <c r="M1321" s="1">
        <v>0.285714286</v>
      </c>
      <c r="N1321" s="1">
        <v>8.149999619</v>
      </c>
    </row>
    <row r="1322" ht="15.75" customHeight="1">
      <c r="A1322" s="1" t="s">
        <v>164</v>
      </c>
      <c r="B1322" s="1" t="s">
        <v>52</v>
      </c>
      <c r="C1322" s="5">
        <v>45547.0</v>
      </c>
      <c r="D1322" s="1" t="s">
        <v>161</v>
      </c>
      <c r="E1322" s="1" t="s">
        <v>11</v>
      </c>
      <c r="F1322" s="1" t="s">
        <v>165</v>
      </c>
      <c r="H1322" s="1">
        <v>0.0</v>
      </c>
      <c r="I1322" s="1">
        <v>0.0</v>
      </c>
      <c r="J1322" s="1">
        <v>0.0</v>
      </c>
      <c r="K1322" s="1">
        <v>1.0</v>
      </c>
      <c r="L1322" s="1">
        <v>3.0</v>
      </c>
      <c r="M1322" s="1">
        <v>0.333333333</v>
      </c>
      <c r="N1322" s="1">
        <v>2.029999971</v>
      </c>
    </row>
    <row r="1323" ht="15.75" customHeight="1">
      <c r="A1323" s="1" t="s">
        <v>164</v>
      </c>
      <c r="B1323" s="1" t="s">
        <v>55</v>
      </c>
      <c r="C1323" s="5">
        <v>45547.0</v>
      </c>
      <c r="D1323" s="1" t="s">
        <v>161</v>
      </c>
      <c r="E1323" s="1" t="s">
        <v>11</v>
      </c>
      <c r="F1323" s="1" t="s">
        <v>166</v>
      </c>
      <c r="H1323" s="1">
        <v>0.0</v>
      </c>
      <c r="I1323" s="1">
        <v>0.0</v>
      </c>
      <c r="J1323" s="1">
        <v>0.0</v>
      </c>
      <c r="K1323" s="1">
        <v>3.0</v>
      </c>
      <c r="L1323" s="1">
        <v>3.0</v>
      </c>
      <c r="M1323" s="1">
        <v>1.0</v>
      </c>
      <c r="N1323" s="1">
        <v>8.739999771</v>
      </c>
    </row>
    <row r="1324" ht="15.75" customHeight="1">
      <c r="A1324" s="1" t="s">
        <v>164</v>
      </c>
      <c r="B1324" s="1" t="s">
        <v>199</v>
      </c>
      <c r="C1324" s="5">
        <v>45547.0</v>
      </c>
      <c r="D1324" s="1" t="s">
        <v>161</v>
      </c>
      <c r="E1324" s="1" t="s">
        <v>11</v>
      </c>
      <c r="F1324" s="1" t="s">
        <v>162</v>
      </c>
      <c r="H1324" s="1">
        <v>0.0</v>
      </c>
      <c r="I1324" s="1">
        <v>2.0</v>
      </c>
      <c r="J1324" s="1">
        <v>0.0</v>
      </c>
      <c r="K1324" s="1">
        <v>43.0</v>
      </c>
      <c r="L1324" s="1">
        <v>62.0</v>
      </c>
      <c r="M1324" s="1">
        <v>0.693548387</v>
      </c>
      <c r="N1324" s="1">
        <v>14.84000015</v>
      </c>
    </row>
    <row r="1325" ht="15.75" customHeight="1">
      <c r="A1325" s="1" t="s">
        <v>164</v>
      </c>
      <c r="B1325" s="1" t="s">
        <v>231</v>
      </c>
      <c r="C1325" s="5">
        <v>45547.0</v>
      </c>
      <c r="D1325" s="1" t="s">
        <v>161</v>
      </c>
      <c r="E1325" s="1" t="s">
        <v>11</v>
      </c>
      <c r="F1325" s="1" t="s">
        <v>166</v>
      </c>
      <c r="H1325" s="1">
        <v>0.0</v>
      </c>
      <c r="I1325" s="1">
        <v>0.0</v>
      </c>
      <c r="J1325" s="1">
        <v>0.0</v>
      </c>
      <c r="K1325" s="1">
        <v>16.0</v>
      </c>
      <c r="L1325" s="1">
        <v>28.0</v>
      </c>
      <c r="M1325" s="1">
        <v>0.571428571</v>
      </c>
      <c r="N1325" s="1">
        <v>34.56000137</v>
      </c>
    </row>
    <row r="1326" ht="15.75" customHeight="1">
      <c r="A1326" s="1" t="s">
        <v>164</v>
      </c>
      <c r="B1326" s="1" t="s">
        <v>179</v>
      </c>
      <c r="C1326" s="5">
        <v>45547.0</v>
      </c>
      <c r="D1326" s="1" t="s">
        <v>161</v>
      </c>
      <c r="E1326" s="1" t="s">
        <v>11</v>
      </c>
      <c r="H1326" s="1">
        <v>0.0</v>
      </c>
      <c r="J1326" s="1">
        <v>0.0</v>
      </c>
      <c r="N1326" s="1">
        <v>0.02</v>
      </c>
    </row>
    <row r="1327" ht="15.75" customHeight="1">
      <c r="A1327" s="1" t="s">
        <v>164</v>
      </c>
      <c r="B1327" s="1" t="s">
        <v>183</v>
      </c>
      <c r="C1327" s="5">
        <v>45547.0</v>
      </c>
      <c r="D1327" s="1" t="s">
        <v>161</v>
      </c>
      <c r="E1327" s="1" t="s">
        <v>11</v>
      </c>
      <c r="F1327" s="1" t="s">
        <v>166</v>
      </c>
      <c r="H1327" s="1">
        <v>0.0</v>
      </c>
      <c r="I1327" s="1">
        <v>2.0</v>
      </c>
      <c r="J1327" s="1">
        <v>0.0</v>
      </c>
      <c r="K1327" s="1">
        <v>39.0</v>
      </c>
      <c r="L1327" s="1">
        <v>63.0</v>
      </c>
      <c r="M1327" s="1">
        <v>0.619047619</v>
      </c>
      <c r="N1327" s="1">
        <v>87.18000031</v>
      </c>
    </row>
    <row r="1328" ht="15.75" customHeight="1">
      <c r="A1328" s="1" t="s">
        <v>164</v>
      </c>
      <c r="B1328" s="1" t="s">
        <v>68</v>
      </c>
      <c r="C1328" s="5">
        <v>45547.0</v>
      </c>
      <c r="D1328" s="1" t="s">
        <v>161</v>
      </c>
      <c r="E1328" s="1" t="s">
        <v>11</v>
      </c>
      <c r="F1328" s="1" t="s">
        <v>165</v>
      </c>
      <c r="H1328" s="1">
        <v>0.0</v>
      </c>
      <c r="I1328" s="1">
        <v>0.0</v>
      </c>
      <c r="J1328" s="1">
        <v>0.0</v>
      </c>
      <c r="K1328" s="1">
        <v>9.0</v>
      </c>
      <c r="L1328" s="1">
        <v>21.0</v>
      </c>
      <c r="M1328" s="1">
        <v>0.428571429</v>
      </c>
      <c r="N1328" s="1">
        <v>19.21999931</v>
      </c>
    </row>
    <row r="1329" ht="15.75" customHeight="1">
      <c r="A1329" s="1" t="s">
        <v>164</v>
      </c>
      <c r="B1329" s="1" t="s">
        <v>197</v>
      </c>
      <c r="C1329" s="5">
        <v>45547.0</v>
      </c>
      <c r="D1329" s="1" t="s">
        <v>161</v>
      </c>
      <c r="E1329" s="1" t="s">
        <v>11</v>
      </c>
      <c r="F1329" s="1" t="s">
        <v>166</v>
      </c>
      <c r="H1329" s="1">
        <v>0.0</v>
      </c>
      <c r="I1329" s="1">
        <v>0.0</v>
      </c>
      <c r="J1329" s="1">
        <v>0.0</v>
      </c>
      <c r="K1329" s="1">
        <v>0.0</v>
      </c>
      <c r="L1329" s="1">
        <v>1.0</v>
      </c>
      <c r="M1329" s="1">
        <v>0.0</v>
      </c>
      <c r="N1329" s="1">
        <v>2.799999952</v>
      </c>
    </row>
    <row r="1330" ht="15.75" customHeight="1">
      <c r="A1330" s="1" t="s">
        <v>164</v>
      </c>
      <c r="B1330" s="1" t="s">
        <v>74</v>
      </c>
      <c r="C1330" s="5">
        <v>45547.0</v>
      </c>
      <c r="D1330" s="1" t="s">
        <v>161</v>
      </c>
      <c r="E1330" s="1" t="s">
        <v>11</v>
      </c>
      <c r="F1330" s="1" t="s">
        <v>166</v>
      </c>
      <c r="H1330" s="1">
        <v>0.0</v>
      </c>
      <c r="I1330" s="1">
        <v>0.0</v>
      </c>
      <c r="J1330" s="1">
        <v>0.0</v>
      </c>
      <c r="K1330" s="1">
        <v>3.0</v>
      </c>
      <c r="L1330" s="1">
        <v>9.0</v>
      </c>
      <c r="M1330" s="1">
        <v>0.333333333</v>
      </c>
      <c r="N1330" s="1">
        <v>17.84000015</v>
      </c>
    </row>
    <row r="1331" ht="15.75" customHeight="1">
      <c r="A1331" s="1" t="s">
        <v>164</v>
      </c>
      <c r="B1331" s="1" t="s">
        <v>205</v>
      </c>
      <c r="C1331" s="5">
        <v>45547.0</v>
      </c>
      <c r="D1331" s="1" t="s">
        <v>161</v>
      </c>
      <c r="E1331" s="1" t="s">
        <v>11</v>
      </c>
      <c r="F1331" s="1" t="s">
        <v>166</v>
      </c>
      <c r="H1331" s="1">
        <v>0.0</v>
      </c>
      <c r="I1331" s="1">
        <v>0.0</v>
      </c>
      <c r="J1331" s="1">
        <v>0.0</v>
      </c>
      <c r="K1331" s="1">
        <v>11.0</v>
      </c>
      <c r="L1331" s="1">
        <v>21.0</v>
      </c>
      <c r="M1331" s="1">
        <v>0.523809524</v>
      </c>
      <c r="N1331" s="1">
        <v>50.59000015</v>
      </c>
    </row>
    <row r="1332" ht="15.75" customHeight="1">
      <c r="A1332" s="1" t="s">
        <v>164</v>
      </c>
      <c r="B1332" s="1" t="s">
        <v>75</v>
      </c>
      <c r="C1332" s="5">
        <v>45547.0</v>
      </c>
      <c r="D1332" s="1" t="s">
        <v>161</v>
      </c>
      <c r="E1332" s="1" t="s">
        <v>11</v>
      </c>
      <c r="F1332" s="1" t="s">
        <v>165</v>
      </c>
      <c r="H1332" s="1">
        <v>0.0</v>
      </c>
      <c r="I1332" s="1">
        <v>0.0</v>
      </c>
      <c r="J1332" s="1">
        <v>0.0</v>
      </c>
      <c r="K1332" s="1">
        <v>1.0</v>
      </c>
      <c r="L1332" s="1">
        <v>4.0</v>
      </c>
      <c r="M1332" s="1">
        <v>0.25</v>
      </c>
      <c r="N1332" s="1">
        <v>5.690000057</v>
      </c>
    </row>
    <row r="1333" ht="15.75" customHeight="1">
      <c r="A1333" s="1" t="s">
        <v>164</v>
      </c>
      <c r="B1333" s="1" t="s">
        <v>225</v>
      </c>
      <c r="C1333" s="5">
        <v>45547.0</v>
      </c>
      <c r="D1333" s="1" t="s">
        <v>161</v>
      </c>
      <c r="E1333" s="1" t="s">
        <v>11</v>
      </c>
      <c r="F1333" s="1" t="s">
        <v>166</v>
      </c>
      <c r="H1333" s="1">
        <v>0.0</v>
      </c>
      <c r="I1333" s="1">
        <v>0.0</v>
      </c>
      <c r="J1333" s="1">
        <v>0.0</v>
      </c>
      <c r="K1333" s="1">
        <v>1.0</v>
      </c>
      <c r="L1333" s="1">
        <v>10.0</v>
      </c>
      <c r="M1333" s="1">
        <v>0.1</v>
      </c>
      <c r="N1333" s="1">
        <v>16.01000023</v>
      </c>
    </row>
    <row r="1334" ht="15.75" customHeight="1">
      <c r="A1334" s="1" t="s">
        <v>180</v>
      </c>
      <c r="B1334" s="1" t="s">
        <v>220</v>
      </c>
      <c r="C1334" s="5">
        <v>45547.0</v>
      </c>
      <c r="D1334" s="1" t="s">
        <v>161</v>
      </c>
      <c r="E1334" s="1" t="s">
        <v>11</v>
      </c>
      <c r="H1334" s="1">
        <v>0.0</v>
      </c>
      <c r="J1334" s="1">
        <v>0.0</v>
      </c>
      <c r="N1334" s="1">
        <v>1.070000052</v>
      </c>
    </row>
    <row r="1335" ht="15.75" customHeight="1">
      <c r="A1335" s="1" t="s">
        <v>180</v>
      </c>
      <c r="B1335" s="1" t="s">
        <v>214</v>
      </c>
      <c r="C1335" s="5">
        <v>45547.0</v>
      </c>
      <c r="D1335" s="1" t="s">
        <v>161</v>
      </c>
      <c r="E1335" s="1" t="s">
        <v>11</v>
      </c>
      <c r="F1335" s="1" t="s">
        <v>166</v>
      </c>
      <c r="H1335" s="1">
        <v>0.0</v>
      </c>
      <c r="I1335" s="1">
        <v>1.0</v>
      </c>
      <c r="J1335" s="1">
        <v>0.0</v>
      </c>
      <c r="K1335" s="1">
        <v>17.0</v>
      </c>
      <c r="L1335" s="1">
        <v>28.0</v>
      </c>
      <c r="M1335" s="1">
        <v>0.607142857</v>
      </c>
      <c r="N1335" s="1">
        <v>37.49000168</v>
      </c>
    </row>
    <row r="1336" ht="15.75" customHeight="1">
      <c r="A1336" s="1" t="s">
        <v>180</v>
      </c>
      <c r="B1336" s="1" t="s">
        <v>235</v>
      </c>
      <c r="C1336" s="5">
        <v>45547.0</v>
      </c>
      <c r="D1336" s="1" t="s">
        <v>161</v>
      </c>
      <c r="E1336" s="1" t="s">
        <v>11</v>
      </c>
      <c r="F1336" s="1" t="s">
        <v>166</v>
      </c>
      <c r="H1336" s="1">
        <v>0.0</v>
      </c>
      <c r="I1336" s="1">
        <v>1.0</v>
      </c>
      <c r="J1336" s="1">
        <v>0.0</v>
      </c>
      <c r="K1336" s="1">
        <v>9.0</v>
      </c>
      <c r="L1336" s="1">
        <v>11.0</v>
      </c>
      <c r="M1336" s="1">
        <v>0.818181818</v>
      </c>
      <c r="N1336" s="1">
        <v>14.14000034</v>
      </c>
    </row>
    <row r="1337" ht="15.75" customHeight="1">
      <c r="A1337" s="1" t="s">
        <v>180</v>
      </c>
      <c r="B1337" s="1" t="s">
        <v>226</v>
      </c>
      <c r="C1337" s="5">
        <v>45547.0</v>
      </c>
      <c r="D1337" s="1" t="s">
        <v>161</v>
      </c>
      <c r="E1337" s="1" t="s">
        <v>11</v>
      </c>
      <c r="H1337" s="1">
        <v>0.0</v>
      </c>
      <c r="J1337" s="1">
        <v>0.0</v>
      </c>
      <c r="N1337" s="1">
        <v>43.91999817</v>
      </c>
    </row>
    <row r="1338" ht="15.75" customHeight="1">
      <c r="A1338" s="1" t="s">
        <v>160</v>
      </c>
      <c r="B1338" s="1" t="s">
        <v>39</v>
      </c>
      <c r="C1338" s="5">
        <v>45546.0</v>
      </c>
      <c r="D1338" s="1" t="s">
        <v>161</v>
      </c>
      <c r="E1338" s="1" t="s">
        <v>11</v>
      </c>
      <c r="F1338" s="1" t="s">
        <v>162</v>
      </c>
      <c r="G1338" s="1" t="s">
        <v>236</v>
      </c>
      <c r="H1338" s="1">
        <v>2.0</v>
      </c>
      <c r="I1338" s="1">
        <v>0.0</v>
      </c>
      <c r="J1338" s="1">
        <v>0.0</v>
      </c>
      <c r="K1338" s="1">
        <v>11.0</v>
      </c>
      <c r="L1338" s="1">
        <v>14.0</v>
      </c>
      <c r="M1338" s="1">
        <v>0.785714286</v>
      </c>
      <c r="N1338" s="1">
        <v>10.90999985</v>
      </c>
    </row>
    <row r="1339" ht="15.75" customHeight="1">
      <c r="A1339" s="1" t="s">
        <v>160</v>
      </c>
      <c r="B1339" s="1" t="s">
        <v>224</v>
      </c>
      <c r="C1339" s="5">
        <v>45546.0</v>
      </c>
      <c r="D1339" s="1" t="s">
        <v>161</v>
      </c>
      <c r="E1339" s="1" t="s">
        <v>11</v>
      </c>
      <c r="F1339" s="1" t="s">
        <v>162</v>
      </c>
      <c r="H1339" s="1">
        <v>0.0</v>
      </c>
      <c r="I1339" s="1">
        <v>1.0</v>
      </c>
      <c r="J1339" s="1">
        <v>0.0</v>
      </c>
      <c r="K1339" s="1">
        <v>13.0</v>
      </c>
      <c r="L1339" s="1">
        <v>17.0</v>
      </c>
      <c r="M1339" s="1">
        <v>0.764705882</v>
      </c>
      <c r="N1339" s="1">
        <v>22.37999916</v>
      </c>
    </row>
    <row r="1340" ht="15.75" customHeight="1">
      <c r="A1340" s="1" t="s">
        <v>160</v>
      </c>
      <c r="B1340" s="1" t="s">
        <v>230</v>
      </c>
      <c r="C1340" s="5">
        <v>45546.0</v>
      </c>
      <c r="D1340" s="1" t="s">
        <v>161</v>
      </c>
      <c r="E1340" s="1" t="s">
        <v>11</v>
      </c>
      <c r="F1340" s="1" t="s">
        <v>165</v>
      </c>
      <c r="G1340" s="1" t="s">
        <v>163</v>
      </c>
      <c r="H1340" s="1">
        <v>1.0</v>
      </c>
      <c r="I1340" s="1">
        <v>0.0</v>
      </c>
      <c r="J1340" s="1">
        <v>0.0</v>
      </c>
      <c r="K1340" s="1">
        <v>8.0</v>
      </c>
      <c r="L1340" s="1">
        <v>13.0</v>
      </c>
      <c r="M1340" s="1">
        <v>0.615384615</v>
      </c>
      <c r="N1340" s="1">
        <v>11.85000038</v>
      </c>
    </row>
    <row r="1341" ht="15.75" customHeight="1">
      <c r="A1341" s="1" t="s">
        <v>160</v>
      </c>
      <c r="B1341" s="1" t="s">
        <v>95</v>
      </c>
      <c r="C1341" s="5">
        <v>45546.0</v>
      </c>
      <c r="D1341" s="1" t="s">
        <v>161</v>
      </c>
      <c r="E1341" s="1" t="s">
        <v>11</v>
      </c>
      <c r="F1341" s="1" t="s">
        <v>165</v>
      </c>
      <c r="H1341" s="1">
        <v>0.0</v>
      </c>
      <c r="I1341" s="1">
        <v>0.0</v>
      </c>
      <c r="J1341" s="1">
        <v>0.0</v>
      </c>
      <c r="K1341" s="1">
        <v>4.0</v>
      </c>
      <c r="L1341" s="1">
        <v>15.0</v>
      </c>
      <c r="M1341" s="1">
        <v>0.266666667</v>
      </c>
      <c r="N1341" s="1">
        <v>16.29999924</v>
      </c>
    </row>
    <row r="1342" ht="15.75" customHeight="1">
      <c r="A1342" s="1" t="s">
        <v>160</v>
      </c>
      <c r="B1342" s="1" t="s">
        <v>77</v>
      </c>
      <c r="C1342" s="5">
        <v>45546.0</v>
      </c>
      <c r="D1342" s="1" t="s">
        <v>161</v>
      </c>
      <c r="E1342" s="1" t="s">
        <v>11</v>
      </c>
      <c r="F1342" s="1" t="s">
        <v>162</v>
      </c>
      <c r="H1342" s="1">
        <v>0.0</v>
      </c>
      <c r="I1342" s="1">
        <v>0.0</v>
      </c>
      <c r="J1342" s="1">
        <v>0.0</v>
      </c>
      <c r="K1342" s="1">
        <v>0.0</v>
      </c>
      <c r="L1342" s="1">
        <v>1.0</v>
      </c>
      <c r="M1342" s="1">
        <v>0.0</v>
      </c>
      <c r="N1342" s="1">
        <v>7.5</v>
      </c>
    </row>
    <row r="1343" ht="15.75" customHeight="1">
      <c r="A1343" s="1" t="s">
        <v>160</v>
      </c>
      <c r="B1343" s="1" t="s">
        <v>77</v>
      </c>
      <c r="C1343" s="5">
        <v>45546.0</v>
      </c>
      <c r="D1343" s="1" t="s">
        <v>161</v>
      </c>
      <c r="E1343" s="1" t="s">
        <v>11</v>
      </c>
      <c r="F1343" s="1" t="s">
        <v>168</v>
      </c>
      <c r="H1343" s="1">
        <v>0.0</v>
      </c>
      <c r="I1343" s="1">
        <v>0.0</v>
      </c>
      <c r="J1343" s="1">
        <v>0.0</v>
      </c>
      <c r="K1343" s="1">
        <v>0.0</v>
      </c>
      <c r="L1343" s="1">
        <v>0.0</v>
      </c>
      <c r="N1343" s="1">
        <v>0.0</v>
      </c>
    </row>
    <row r="1344" ht="15.75" customHeight="1">
      <c r="A1344" s="1" t="s">
        <v>164</v>
      </c>
      <c r="B1344" s="1" t="s">
        <v>22</v>
      </c>
      <c r="C1344" s="5">
        <v>45546.0</v>
      </c>
      <c r="D1344" s="1" t="s">
        <v>161</v>
      </c>
      <c r="E1344" s="1" t="s">
        <v>11</v>
      </c>
      <c r="F1344" s="1" t="s">
        <v>166</v>
      </c>
      <c r="H1344" s="1">
        <v>0.0</v>
      </c>
      <c r="I1344" s="1">
        <v>0.0</v>
      </c>
      <c r="J1344" s="1">
        <v>0.0</v>
      </c>
      <c r="K1344" s="1">
        <v>0.0</v>
      </c>
      <c r="L1344" s="1">
        <v>3.0</v>
      </c>
      <c r="M1344" s="1">
        <v>0.0</v>
      </c>
      <c r="N1344" s="1">
        <v>9.239999771</v>
      </c>
    </row>
    <row r="1345" ht="15.75" customHeight="1">
      <c r="A1345" s="1" t="s">
        <v>164</v>
      </c>
      <c r="B1345" s="1" t="s">
        <v>35</v>
      </c>
      <c r="C1345" s="5">
        <v>45546.0</v>
      </c>
      <c r="D1345" s="1" t="s">
        <v>161</v>
      </c>
      <c r="E1345" s="1" t="s">
        <v>11</v>
      </c>
      <c r="F1345" s="1" t="s">
        <v>166</v>
      </c>
      <c r="H1345" s="1">
        <v>0.0</v>
      </c>
      <c r="I1345" s="1">
        <v>1.0</v>
      </c>
      <c r="J1345" s="1">
        <v>0.0</v>
      </c>
      <c r="K1345" s="1">
        <v>23.0</v>
      </c>
      <c r="L1345" s="1">
        <v>35.0</v>
      </c>
      <c r="M1345" s="1">
        <v>0.657142857</v>
      </c>
      <c r="N1345" s="1">
        <v>60.45000076</v>
      </c>
    </row>
    <row r="1346" ht="15.75" customHeight="1">
      <c r="A1346" s="1" t="s">
        <v>164</v>
      </c>
      <c r="B1346" s="1" t="s">
        <v>52</v>
      </c>
      <c r="C1346" s="5">
        <v>45546.0</v>
      </c>
      <c r="D1346" s="1" t="s">
        <v>161</v>
      </c>
      <c r="E1346" s="1" t="s">
        <v>11</v>
      </c>
      <c r="F1346" s="1" t="s">
        <v>165</v>
      </c>
      <c r="H1346" s="1">
        <v>0.0</v>
      </c>
      <c r="I1346" s="1">
        <v>0.0</v>
      </c>
      <c r="J1346" s="1">
        <v>0.0</v>
      </c>
      <c r="K1346" s="1">
        <v>3.0</v>
      </c>
      <c r="L1346" s="1">
        <v>5.0</v>
      </c>
      <c r="M1346" s="1">
        <v>0.6</v>
      </c>
      <c r="N1346" s="1">
        <v>3.150000095</v>
      </c>
    </row>
    <row r="1347" ht="15.75" customHeight="1">
      <c r="A1347" s="1" t="s">
        <v>164</v>
      </c>
      <c r="B1347" s="1" t="s">
        <v>55</v>
      </c>
      <c r="C1347" s="5">
        <v>45546.0</v>
      </c>
      <c r="D1347" s="1" t="s">
        <v>161</v>
      </c>
      <c r="E1347" s="1" t="s">
        <v>11</v>
      </c>
      <c r="F1347" s="1" t="s">
        <v>166</v>
      </c>
      <c r="H1347" s="1">
        <v>0.0</v>
      </c>
      <c r="I1347" s="1">
        <v>0.0</v>
      </c>
      <c r="J1347" s="1">
        <v>0.0</v>
      </c>
      <c r="K1347" s="1">
        <v>1.0</v>
      </c>
      <c r="L1347" s="1">
        <v>1.0</v>
      </c>
      <c r="M1347" s="1">
        <v>1.0</v>
      </c>
      <c r="N1347" s="1">
        <v>8.229999542</v>
      </c>
    </row>
    <row r="1348" ht="15.75" customHeight="1">
      <c r="A1348" s="1" t="s">
        <v>164</v>
      </c>
      <c r="B1348" s="1" t="s">
        <v>213</v>
      </c>
      <c r="C1348" s="5">
        <v>45546.0</v>
      </c>
      <c r="D1348" s="1" t="s">
        <v>161</v>
      </c>
      <c r="E1348" s="1" t="s">
        <v>11</v>
      </c>
      <c r="H1348" s="1">
        <v>0.0</v>
      </c>
      <c r="J1348" s="1">
        <v>0.0</v>
      </c>
      <c r="N1348" s="1">
        <v>1.0</v>
      </c>
    </row>
    <row r="1349" ht="15.75" customHeight="1">
      <c r="A1349" s="1" t="s">
        <v>164</v>
      </c>
      <c r="B1349" s="1" t="s">
        <v>199</v>
      </c>
      <c r="C1349" s="5">
        <v>45546.0</v>
      </c>
      <c r="D1349" s="1" t="s">
        <v>161</v>
      </c>
      <c r="E1349" s="1" t="s">
        <v>11</v>
      </c>
      <c r="F1349" s="1" t="s">
        <v>162</v>
      </c>
      <c r="H1349" s="1">
        <v>0.0</v>
      </c>
      <c r="I1349" s="1">
        <v>1.0</v>
      </c>
      <c r="J1349" s="1">
        <v>0.0</v>
      </c>
      <c r="K1349" s="1">
        <v>37.0</v>
      </c>
      <c r="L1349" s="1">
        <v>43.0</v>
      </c>
      <c r="M1349" s="1">
        <v>0.860465116</v>
      </c>
      <c r="N1349" s="1">
        <v>10.46000004</v>
      </c>
    </row>
    <row r="1350" ht="15.75" customHeight="1">
      <c r="A1350" s="1" t="s">
        <v>164</v>
      </c>
      <c r="B1350" s="1" t="s">
        <v>196</v>
      </c>
      <c r="C1350" s="5">
        <v>45546.0</v>
      </c>
      <c r="D1350" s="1" t="s">
        <v>161</v>
      </c>
      <c r="E1350" s="1" t="s">
        <v>11</v>
      </c>
      <c r="F1350" s="1" t="s">
        <v>165</v>
      </c>
      <c r="H1350" s="1">
        <v>0.0</v>
      </c>
      <c r="I1350" s="1">
        <v>1.0</v>
      </c>
      <c r="J1350" s="1">
        <v>0.0</v>
      </c>
      <c r="K1350" s="1">
        <v>12.0</v>
      </c>
      <c r="L1350" s="1">
        <v>15.0</v>
      </c>
      <c r="M1350" s="1">
        <v>0.8</v>
      </c>
      <c r="N1350" s="1">
        <v>17.47999954</v>
      </c>
    </row>
    <row r="1351" ht="15.75" customHeight="1">
      <c r="A1351" s="1" t="s">
        <v>164</v>
      </c>
      <c r="B1351" s="1" t="s">
        <v>231</v>
      </c>
      <c r="C1351" s="5">
        <v>45546.0</v>
      </c>
      <c r="D1351" s="1" t="s">
        <v>161</v>
      </c>
      <c r="E1351" s="1" t="s">
        <v>11</v>
      </c>
      <c r="F1351" s="1" t="s">
        <v>166</v>
      </c>
      <c r="H1351" s="1">
        <v>0.0</v>
      </c>
      <c r="I1351" s="1">
        <v>1.0</v>
      </c>
      <c r="J1351" s="1">
        <v>0.0</v>
      </c>
      <c r="K1351" s="1">
        <v>21.0</v>
      </c>
      <c r="L1351" s="1">
        <v>27.0</v>
      </c>
      <c r="M1351" s="1">
        <v>0.777777778</v>
      </c>
      <c r="N1351" s="1">
        <v>65.58000183</v>
      </c>
    </row>
    <row r="1352" ht="15.75" customHeight="1">
      <c r="A1352" s="1" t="s">
        <v>164</v>
      </c>
      <c r="B1352" s="1" t="s">
        <v>179</v>
      </c>
      <c r="C1352" s="5">
        <v>45546.0</v>
      </c>
      <c r="D1352" s="1" t="s">
        <v>161</v>
      </c>
      <c r="E1352" s="1" t="s">
        <v>11</v>
      </c>
      <c r="F1352" s="1" t="s">
        <v>166</v>
      </c>
      <c r="H1352" s="1">
        <v>0.0</v>
      </c>
      <c r="I1352" s="1">
        <v>0.0</v>
      </c>
      <c r="J1352" s="1">
        <v>0.0</v>
      </c>
      <c r="K1352" s="1">
        <v>1.0</v>
      </c>
      <c r="L1352" s="1">
        <v>1.0</v>
      </c>
      <c r="M1352" s="1">
        <v>1.0</v>
      </c>
      <c r="N1352" s="1">
        <v>16.95999908</v>
      </c>
    </row>
    <row r="1353" ht="15.75" customHeight="1">
      <c r="A1353" s="1" t="s">
        <v>164</v>
      </c>
      <c r="B1353" s="1" t="s">
        <v>60</v>
      </c>
      <c r="C1353" s="5">
        <v>45546.0</v>
      </c>
      <c r="D1353" s="1" t="s">
        <v>161</v>
      </c>
      <c r="E1353" s="1" t="s">
        <v>11</v>
      </c>
      <c r="F1353" s="1" t="s">
        <v>166</v>
      </c>
      <c r="H1353" s="1">
        <v>0.0</v>
      </c>
      <c r="I1353" s="1">
        <v>0.0</v>
      </c>
      <c r="J1353" s="1">
        <v>0.0</v>
      </c>
      <c r="K1353" s="1">
        <v>9.0</v>
      </c>
      <c r="L1353" s="1">
        <v>17.0</v>
      </c>
      <c r="M1353" s="1">
        <v>0.529411765</v>
      </c>
      <c r="N1353" s="1">
        <v>13.17000008</v>
      </c>
    </row>
    <row r="1354" ht="15.75" customHeight="1">
      <c r="A1354" s="1" t="s">
        <v>164</v>
      </c>
      <c r="B1354" s="1" t="s">
        <v>183</v>
      </c>
      <c r="C1354" s="5">
        <v>45546.0</v>
      </c>
      <c r="D1354" s="1" t="s">
        <v>161</v>
      </c>
      <c r="E1354" s="1" t="s">
        <v>11</v>
      </c>
      <c r="F1354" s="1" t="s">
        <v>166</v>
      </c>
      <c r="H1354" s="1">
        <v>0.0</v>
      </c>
      <c r="I1354" s="1">
        <v>0.0</v>
      </c>
      <c r="J1354" s="1">
        <v>0.0</v>
      </c>
      <c r="K1354" s="1">
        <v>11.0</v>
      </c>
      <c r="L1354" s="1">
        <v>32.0</v>
      </c>
      <c r="M1354" s="1">
        <v>0.34375</v>
      </c>
      <c r="N1354" s="1">
        <v>56.16999817</v>
      </c>
    </row>
    <row r="1355" ht="15.75" customHeight="1">
      <c r="A1355" s="1" t="s">
        <v>164</v>
      </c>
      <c r="B1355" s="1" t="s">
        <v>197</v>
      </c>
      <c r="C1355" s="5">
        <v>45546.0</v>
      </c>
      <c r="D1355" s="1" t="s">
        <v>161</v>
      </c>
      <c r="E1355" s="1" t="s">
        <v>11</v>
      </c>
      <c r="F1355" s="1" t="s">
        <v>166</v>
      </c>
      <c r="H1355" s="1">
        <v>0.0</v>
      </c>
      <c r="I1355" s="1">
        <v>1.0</v>
      </c>
      <c r="J1355" s="1">
        <v>0.0</v>
      </c>
      <c r="K1355" s="1">
        <v>9.0</v>
      </c>
      <c r="L1355" s="1">
        <v>9.0</v>
      </c>
      <c r="M1355" s="1">
        <v>1.0</v>
      </c>
      <c r="N1355" s="1">
        <v>8.590000153</v>
      </c>
    </row>
    <row r="1356" ht="15.75" customHeight="1">
      <c r="A1356" s="1" t="s">
        <v>164</v>
      </c>
      <c r="B1356" s="1" t="s">
        <v>74</v>
      </c>
      <c r="C1356" s="5">
        <v>45546.0</v>
      </c>
      <c r="D1356" s="1" t="s">
        <v>161</v>
      </c>
      <c r="E1356" s="1" t="s">
        <v>11</v>
      </c>
      <c r="F1356" s="1" t="s">
        <v>166</v>
      </c>
      <c r="H1356" s="1">
        <v>0.0</v>
      </c>
      <c r="I1356" s="1">
        <v>0.0</v>
      </c>
      <c r="J1356" s="1">
        <v>0.0</v>
      </c>
      <c r="K1356" s="1">
        <v>2.0</v>
      </c>
      <c r="L1356" s="1">
        <v>8.0</v>
      </c>
      <c r="M1356" s="1">
        <v>0.25</v>
      </c>
      <c r="N1356" s="1">
        <v>15.5</v>
      </c>
    </row>
    <row r="1357" ht="15.75" customHeight="1">
      <c r="A1357" s="1" t="s">
        <v>164</v>
      </c>
      <c r="B1357" s="1" t="s">
        <v>205</v>
      </c>
      <c r="C1357" s="5">
        <v>45546.0</v>
      </c>
      <c r="D1357" s="1" t="s">
        <v>161</v>
      </c>
      <c r="E1357" s="1" t="s">
        <v>11</v>
      </c>
      <c r="F1357" s="1" t="s">
        <v>166</v>
      </c>
      <c r="H1357" s="1">
        <v>0.0</v>
      </c>
      <c r="I1357" s="1">
        <v>0.0</v>
      </c>
      <c r="J1357" s="1">
        <v>0.0</v>
      </c>
      <c r="K1357" s="1">
        <v>4.0</v>
      </c>
      <c r="L1357" s="1">
        <v>12.0</v>
      </c>
      <c r="M1357" s="1">
        <v>0.333333333</v>
      </c>
      <c r="N1357" s="1">
        <v>32.95000076</v>
      </c>
    </row>
    <row r="1358" ht="15.75" customHeight="1">
      <c r="A1358" s="1" t="s">
        <v>164</v>
      </c>
      <c r="B1358" s="1" t="s">
        <v>75</v>
      </c>
      <c r="C1358" s="5">
        <v>45546.0</v>
      </c>
      <c r="D1358" s="1" t="s">
        <v>161</v>
      </c>
      <c r="E1358" s="1" t="s">
        <v>11</v>
      </c>
      <c r="F1358" s="1" t="s">
        <v>165</v>
      </c>
      <c r="G1358" s="1" t="s">
        <v>172</v>
      </c>
      <c r="H1358" s="1">
        <v>1.0</v>
      </c>
      <c r="I1358" s="1">
        <v>0.0</v>
      </c>
      <c r="J1358" s="1">
        <v>0.0</v>
      </c>
      <c r="K1358" s="1">
        <v>9.0</v>
      </c>
      <c r="L1358" s="1">
        <v>20.0</v>
      </c>
      <c r="M1358" s="1">
        <v>0.45</v>
      </c>
      <c r="N1358" s="1">
        <v>11.25</v>
      </c>
    </row>
    <row r="1359" ht="15.75" customHeight="1">
      <c r="A1359" s="1" t="s">
        <v>164</v>
      </c>
      <c r="B1359" s="1" t="s">
        <v>100</v>
      </c>
      <c r="C1359" s="5">
        <v>45546.0</v>
      </c>
      <c r="D1359" s="1" t="s">
        <v>161</v>
      </c>
      <c r="E1359" s="1" t="s">
        <v>11</v>
      </c>
      <c r="H1359" s="1">
        <v>0.0</v>
      </c>
      <c r="J1359" s="1">
        <v>0.0</v>
      </c>
      <c r="N1359" s="1">
        <v>0.07</v>
      </c>
    </row>
    <row r="1360" ht="15.75" customHeight="1">
      <c r="A1360" s="1" t="s">
        <v>164</v>
      </c>
      <c r="B1360" s="1" t="s">
        <v>225</v>
      </c>
      <c r="C1360" s="5">
        <v>45546.0</v>
      </c>
      <c r="D1360" s="1" t="s">
        <v>161</v>
      </c>
      <c r="E1360" s="1" t="s">
        <v>11</v>
      </c>
      <c r="F1360" s="1" t="s">
        <v>166</v>
      </c>
      <c r="H1360" s="1">
        <v>0.0</v>
      </c>
      <c r="I1360" s="1">
        <v>1.0</v>
      </c>
      <c r="J1360" s="1">
        <v>0.0</v>
      </c>
      <c r="K1360" s="1">
        <v>21.0</v>
      </c>
      <c r="L1360" s="1">
        <v>36.0</v>
      </c>
      <c r="M1360" s="1">
        <v>0.583333333</v>
      </c>
      <c r="N1360" s="1">
        <v>41.38000107</v>
      </c>
    </row>
    <row r="1361" ht="15.75" customHeight="1">
      <c r="A1361" s="1" t="s">
        <v>180</v>
      </c>
      <c r="B1361" s="1" t="s">
        <v>220</v>
      </c>
      <c r="C1361" s="5">
        <v>45546.0</v>
      </c>
      <c r="D1361" s="1" t="s">
        <v>161</v>
      </c>
      <c r="E1361" s="1" t="s">
        <v>11</v>
      </c>
      <c r="F1361" s="1" t="s">
        <v>167</v>
      </c>
      <c r="G1361" s="1" t="s">
        <v>234</v>
      </c>
      <c r="H1361" s="1">
        <v>2.0</v>
      </c>
      <c r="I1361" s="1">
        <v>0.0</v>
      </c>
      <c r="J1361" s="1">
        <v>0.0</v>
      </c>
      <c r="K1361" s="1">
        <v>0.0</v>
      </c>
      <c r="L1361" s="1">
        <v>0.0</v>
      </c>
      <c r="N1361" s="1">
        <v>0.0</v>
      </c>
    </row>
    <row r="1362" ht="15.75" customHeight="1">
      <c r="A1362" s="1" t="s">
        <v>180</v>
      </c>
      <c r="B1362" s="1" t="s">
        <v>220</v>
      </c>
      <c r="C1362" s="5">
        <v>45546.0</v>
      </c>
      <c r="D1362" s="1" t="s">
        <v>161</v>
      </c>
      <c r="E1362" s="1" t="s">
        <v>11</v>
      </c>
      <c r="F1362" s="1" t="s">
        <v>166</v>
      </c>
      <c r="G1362" s="1" t="s">
        <v>234</v>
      </c>
      <c r="H1362" s="1">
        <v>2.0</v>
      </c>
      <c r="I1362" s="1">
        <v>1.0</v>
      </c>
      <c r="J1362" s="1">
        <v>0.0</v>
      </c>
      <c r="K1362" s="1">
        <v>13.0</v>
      </c>
      <c r="L1362" s="1">
        <v>16.0</v>
      </c>
      <c r="M1362" s="1">
        <v>0.8125</v>
      </c>
      <c r="N1362" s="1">
        <v>15.14000034</v>
      </c>
    </row>
    <row r="1363" ht="15.75" customHeight="1">
      <c r="A1363" s="1" t="s">
        <v>180</v>
      </c>
      <c r="B1363" s="1" t="s">
        <v>237</v>
      </c>
      <c r="C1363" s="5">
        <v>45546.0</v>
      </c>
      <c r="D1363" s="1" t="s">
        <v>161</v>
      </c>
      <c r="E1363" s="1" t="s">
        <v>11</v>
      </c>
      <c r="F1363" s="1" t="s">
        <v>166</v>
      </c>
      <c r="H1363" s="1">
        <v>0.0</v>
      </c>
      <c r="I1363" s="1">
        <v>0.0</v>
      </c>
      <c r="J1363" s="1">
        <v>0.0</v>
      </c>
      <c r="K1363" s="1">
        <v>10.0</v>
      </c>
      <c r="L1363" s="1">
        <v>16.0</v>
      </c>
      <c r="M1363" s="1">
        <v>0.625</v>
      </c>
      <c r="N1363" s="1">
        <v>35.34999847</v>
      </c>
    </row>
    <row r="1364" ht="15.75" customHeight="1">
      <c r="A1364" s="1" t="s">
        <v>180</v>
      </c>
      <c r="B1364" s="1" t="s">
        <v>238</v>
      </c>
      <c r="C1364" s="5">
        <v>45546.0</v>
      </c>
      <c r="D1364" s="1" t="s">
        <v>161</v>
      </c>
      <c r="E1364" s="1" t="s">
        <v>11</v>
      </c>
      <c r="H1364" s="1">
        <v>0.0</v>
      </c>
      <c r="J1364" s="1">
        <v>0.0</v>
      </c>
      <c r="N1364" s="1">
        <v>0.02</v>
      </c>
    </row>
    <row r="1365" ht="15.75" customHeight="1">
      <c r="A1365" s="1" t="s">
        <v>180</v>
      </c>
      <c r="B1365" s="1" t="s">
        <v>185</v>
      </c>
      <c r="C1365" s="5">
        <v>45546.0</v>
      </c>
      <c r="D1365" s="1" t="s">
        <v>161</v>
      </c>
      <c r="E1365" s="1" t="s">
        <v>11</v>
      </c>
      <c r="F1365" s="1" t="s">
        <v>166</v>
      </c>
      <c r="H1365" s="1">
        <v>0.0</v>
      </c>
      <c r="I1365" s="1">
        <v>0.0</v>
      </c>
      <c r="J1365" s="1">
        <v>0.0</v>
      </c>
      <c r="K1365" s="1">
        <v>2.0</v>
      </c>
      <c r="L1365" s="1">
        <v>6.0</v>
      </c>
      <c r="M1365" s="1">
        <v>0.333333333</v>
      </c>
      <c r="N1365" s="1">
        <v>4.199999809</v>
      </c>
    </row>
    <row r="1366" ht="15.75" customHeight="1">
      <c r="A1366" s="1" t="s">
        <v>180</v>
      </c>
      <c r="B1366" s="1" t="s">
        <v>214</v>
      </c>
      <c r="C1366" s="5">
        <v>45546.0</v>
      </c>
      <c r="D1366" s="1" t="s">
        <v>161</v>
      </c>
      <c r="E1366" s="1" t="s">
        <v>11</v>
      </c>
      <c r="H1366" s="1">
        <v>0.0</v>
      </c>
      <c r="J1366" s="1">
        <v>0.0</v>
      </c>
      <c r="N1366" s="1">
        <v>0.170000002</v>
      </c>
    </row>
    <row r="1367" ht="15.75" customHeight="1">
      <c r="A1367" s="1" t="s">
        <v>180</v>
      </c>
      <c r="B1367" s="1" t="s">
        <v>181</v>
      </c>
      <c r="C1367" s="5">
        <v>45546.0</v>
      </c>
      <c r="D1367" s="1" t="s">
        <v>161</v>
      </c>
      <c r="E1367" s="1" t="s">
        <v>11</v>
      </c>
      <c r="F1367" s="1" t="s">
        <v>166</v>
      </c>
      <c r="H1367" s="1">
        <v>0.0</v>
      </c>
      <c r="I1367" s="1">
        <v>1.0</v>
      </c>
      <c r="J1367" s="1">
        <v>0.0</v>
      </c>
      <c r="K1367" s="1">
        <v>35.0</v>
      </c>
      <c r="L1367" s="1">
        <v>56.0</v>
      </c>
      <c r="M1367" s="1">
        <v>0.625</v>
      </c>
      <c r="N1367" s="1">
        <v>40.93000031</v>
      </c>
    </row>
    <row r="1368" ht="15.75" customHeight="1">
      <c r="A1368" s="1" t="s">
        <v>180</v>
      </c>
      <c r="B1368" s="1" t="s">
        <v>226</v>
      </c>
      <c r="C1368" s="5">
        <v>45546.0</v>
      </c>
      <c r="D1368" s="1" t="s">
        <v>161</v>
      </c>
      <c r="E1368" s="1" t="s">
        <v>11</v>
      </c>
      <c r="H1368" s="1">
        <v>0.0</v>
      </c>
      <c r="J1368" s="1">
        <v>0.0</v>
      </c>
      <c r="N1368" s="1">
        <v>0.800000012</v>
      </c>
    </row>
    <row r="1369" ht="15.75" customHeight="1">
      <c r="A1369" s="1" t="s">
        <v>160</v>
      </c>
      <c r="B1369" s="1" t="s">
        <v>39</v>
      </c>
      <c r="C1369" s="5">
        <v>45545.0</v>
      </c>
      <c r="D1369" s="1" t="s">
        <v>161</v>
      </c>
      <c r="E1369" s="1" t="s">
        <v>11</v>
      </c>
      <c r="F1369" s="1" t="s">
        <v>162</v>
      </c>
      <c r="G1369" s="1" t="s">
        <v>182</v>
      </c>
      <c r="H1369" s="1">
        <v>2.0</v>
      </c>
      <c r="I1369" s="1">
        <v>0.0</v>
      </c>
      <c r="J1369" s="1">
        <v>0.0</v>
      </c>
      <c r="K1369" s="1">
        <v>6.0</v>
      </c>
      <c r="L1369" s="1">
        <v>8.0</v>
      </c>
      <c r="M1369" s="1">
        <v>0.75</v>
      </c>
      <c r="N1369" s="1">
        <v>18.79000092</v>
      </c>
    </row>
    <row r="1370" ht="15.75" customHeight="1">
      <c r="A1370" s="1" t="s">
        <v>160</v>
      </c>
      <c r="B1370" s="1" t="s">
        <v>39</v>
      </c>
      <c r="C1370" s="5">
        <v>45545.0</v>
      </c>
      <c r="D1370" s="1" t="s">
        <v>161</v>
      </c>
      <c r="E1370" s="1" t="s">
        <v>11</v>
      </c>
      <c r="F1370" s="1" t="s">
        <v>166</v>
      </c>
      <c r="G1370" s="1" t="s">
        <v>182</v>
      </c>
      <c r="H1370" s="1">
        <v>2.0</v>
      </c>
      <c r="I1370" s="1">
        <v>0.0</v>
      </c>
      <c r="J1370" s="1">
        <v>0.0</v>
      </c>
      <c r="K1370" s="1">
        <v>0.0</v>
      </c>
      <c r="L1370" s="1">
        <v>0.0</v>
      </c>
      <c r="N1370" s="1">
        <v>0.0</v>
      </c>
    </row>
    <row r="1371" ht="15.75" customHeight="1">
      <c r="A1371" s="1" t="s">
        <v>160</v>
      </c>
      <c r="B1371" s="1" t="s">
        <v>224</v>
      </c>
      <c r="C1371" s="5">
        <v>45545.0</v>
      </c>
      <c r="D1371" s="1" t="s">
        <v>161</v>
      </c>
      <c r="E1371" s="1" t="s">
        <v>11</v>
      </c>
      <c r="F1371" s="1" t="s">
        <v>162</v>
      </c>
      <c r="H1371" s="1">
        <v>0.0</v>
      </c>
      <c r="I1371" s="1">
        <v>2.0</v>
      </c>
      <c r="J1371" s="1">
        <v>0.0</v>
      </c>
      <c r="K1371" s="1">
        <v>32.0</v>
      </c>
      <c r="L1371" s="1">
        <v>49.0</v>
      </c>
      <c r="M1371" s="1">
        <v>0.653061224</v>
      </c>
      <c r="N1371" s="1">
        <v>54.54999924</v>
      </c>
    </row>
    <row r="1372" ht="15.75" customHeight="1">
      <c r="A1372" s="1" t="s">
        <v>160</v>
      </c>
      <c r="B1372" s="1" t="s">
        <v>230</v>
      </c>
      <c r="C1372" s="5">
        <v>45545.0</v>
      </c>
      <c r="D1372" s="1" t="s">
        <v>161</v>
      </c>
      <c r="E1372" s="1" t="s">
        <v>11</v>
      </c>
      <c r="F1372" s="1" t="s">
        <v>165</v>
      </c>
      <c r="H1372" s="1">
        <v>0.0</v>
      </c>
      <c r="I1372" s="1">
        <v>0.0</v>
      </c>
      <c r="J1372" s="1">
        <v>0.0</v>
      </c>
      <c r="K1372" s="1">
        <v>0.0</v>
      </c>
      <c r="L1372" s="1">
        <v>0.0</v>
      </c>
      <c r="N1372" s="1">
        <v>1.549999952</v>
      </c>
    </row>
    <row r="1373" ht="15.75" customHeight="1">
      <c r="A1373" s="1" t="s">
        <v>160</v>
      </c>
      <c r="B1373" s="1" t="s">
        <v>95</v>
      </c>
      <c r="C1373" s="5">
        <v>45545.0</v>
      </c>
      <c r="D1373" s="1" t="s">
        <v>161</v>
      </c>
      <c r="E1373" s="1" t="s">
        <v>11</v>
      </c>
      <c r="F1373" s="1" t="s">
        <v>165</v>
      </c>
      <c r="G1373" s="1" t="s">
        <v>172</v>
      </c>
      <c r="H1373" s="1">
        <v>1.0</v>
      </c>
      <c r="I1373" s="1">
        <v>0.0</v>
      </c>
      <c r="J1373" s="1">
        <v>0.0</v>
      </c>
      <c r="K1373" s="1">
        <v>2.0</v>
      </c>
      <c r="L1373" s="1">
        <v>4.0</v>
      </c>
      <c r="M1373" s="1">
        <v>0.5</v>
      </c>
      <c r="N1373" s="1">
        <v>4.829999924</v>
      </c>
    </row>
    <row r="1374" ht="15.75" customHeight="1">
      <c r="A1374" s="1" t="s">
        <v>164</v>
      </c>
      <c r="B1374" s="1" t="s">
        <v>35</v>
      </c>
      <c r="C1374" s="5">
        <v>45545.0</v>
      </c>
      <c r="D1374" s="1" t="s">
        <v>161</v>
      </c>
      <c r="E1374" s="1" t="s">
        <v>11</v>
      </c>
      <c r="F1374" s="1" t="s">
        <v>166</v>
      </c>
      <c r="H1374" s="1">
        <v>0.0</v>
      </c>
      <c r="I1374" s="1">
        <v>1.0</v>
      </c>
      <c r="J1374" s="1">
        <v>0.0</v>
      </c>
      <c r="K1374" s="1">
        <v>20.0</v>
      </c>
      <c r="L1374" s="1">
        <v>29.0</v>
      </c>
      <c r="M1374" s="1">
        <v>0.689655172</v>
      </c>
      <c r="N1374" s="1">
        <v>30.15999985</v>
      </c>
    </row>
    <row r="1375" ht="15.75" customHeight="1">
      <c r="A1375" s="1" t="s">
        <v>164</v>
      </c>
      <c r="B1375" s="1" t="s">
        <v>24</v>
      </c>
      <c r="C1375" s="5">
        <v>45545.0</v>
      </c>
      <c r="D1375" s="1" t="s">
        <v>161</v>
      </c>
      <c r="E1375" s="1" t="s">
        <v>11</v>
      </c>
      <c r="F1375" s="1" t="s">
        <v>166</v>
      </c>
      <c r="H1375" s="1">
        <v>0.0</v>
      </c>
      <c r="I1375" s="1">
        <v>0.0</v>
      </c>
      <c r="J1375" s="1">
        <v>0.0</v>
      </c>
      <c r="K1375" s="1">
        <v>0.0</v>
      </c>
      <c r="L1375" s="1">
        <v>5.0</v>
      </c>
      <c r="M1375" s="1">
        <v>0.0</v>
      </c>
      <c r="N1375" s="1">
        <v>4.329999924</v>
      </c>
    </row>
    <row r="1376" ht="15.75" customHeight="1">
      <c r="A1376" s="1" t="s">
        <v>164</v>
      </c>
      <c r="B1376" s="1" t="s">
        <v>207</v>
      </c>
      <c r="C1376" s="5">
        <v>45545.0</v>
      </c>
      <c r="D1376" s="1" t="s">
        <v>161</v>
      </c>
      <c r="E1376" s="1" t="s">
        <v>11</v>
      </c>
      <c r="F1376" s="1" t="s">
        <v>166</v>
      </c>
      <c r="G1376" s="1" t="s">
        <v>172</v>
      </c>
      <c r="H1376" s="1">
        <v>1.0</v>
      </c>
      <c r="I1376" s="1">
        <v>0.0</v>
      </c>
      <c r="J1376" s="1">
        <v>0.0</v>
      </c>
      <c r="K1376" s="1">
        <v>6.0</v>
      </c>
      <c r="L1376" s="1">
        <v>8.0</v>
      </c>
      <c r="M1376" s="1">
        <v>0.75</v>
      </c>
      <c r="N1376" s="1">
        <v>8.539999962</v>
      </c>
    </row>
    <row r="1377" ht="15.75" customHeight="1">
      <c r="A1377" s="1" t="s">
        <v>164</v>
      </c>
      <c r="B1377" s="1" t="s">
        <v>52</v>
      </c>
      <c r="C1377" s="5">
        <v>45545.0</v>
      </c>
      <c r="D1377" s="1" t="s">
        <v>161</v>
      </c>
      <c r="E1377" s="1" t="s">
        <v>11</v>
      </c>
      <c r="F1377" s="1" t="s">
        <v>165</v>
      </c>
      <c r="H1377" s="1">
        <v>0.0</v>
      </c>
      <c r="I1377" s="1">
        <v>0.0</v>
      </c>
      <c r="J1377" s="1">
        <v>0.0</v>
      </c>
      <c r="K1377" s="1">
        <v>0.0</v>
      </c>
      <c r="L1377" s="1">
        <v>3.0</v>
      </c>
      <c r="M1377" s="1">
        <v>0.0</v>
      </c>
      <c r="N1377" s="1">
        <v>1.980000019</v>
      </c>
    </row>
    <row r="1378" ht="15.75" customHeight="1">
      <c r="A1378" s="1" t="s">
        <v>164</v>
      </c>
      <c r="B1378" s="1" t="s">
        <v>199</v>
      </c>
      <c r="C1378" s="5">
        <v>45545.0</v>
      </c>
      <c r="D1378" s="1" t="s">
        <v>161</v>
      </c>
      <c r="E1378" s="1" t="s">
        <v>11</v>
      </c>
      <c r="F1378" s="1" t="s">
        <v>162</v>
      </c>
      <c r="H1378" s="1">
        <v>0.0</v>
      </c>
      <c r="I1378" s="1">
        <v>1.0</v>
      </c>
      <c r="J1378" s="1">
        <v>0.0</v>
      </c>
      <c r="K1378" s="1">
        <v>25.0</v>
      </c>
      <c r="L1378" s="1">
        <v>33.0</v>
      </c>
      <c r="M1378" s="1">
        <v>0.757575758</v>
      </c>
      <c r="N1378" s="1">
        <v>19.23999977</v>
      </c>
    </row>
    <row r="1379" ht="15.75" customHeight="1">
      <c r="A1379" s="1" t="s">
        <v>164</v>
      </c>
      <c r="B1379" s="1" t="s">
        <v>196</v>
      </c>
      <c r="C1379" s="5">
        <v>45545.0</v>
      </c>
      <c r="D1379" s="1" t="s">
        <v>161</v>
      </c>
      <c r="E1379" s="1" t="s">
        <v>11</v>
      </c>
      <c r="F1379" s="1" t="s">
        <v>165</v>
      </c>
      <c r="H1379" s="1">
        <v>0.0</v>
      </c>
      <c r="I1379" s="1">
        <v>1.0</v>
      </c>
      <c r="J1379" s="1">
        <v>0.0</v>
      </c>
      <c r="K1379" s="1">
        <v>16.0</v>
      </c>
      <c r="L1379" s="1">
        <v>24.0</v>
      </c>
      <c r="M1379" s="1">
        <v>0.666666667</v>
      </c>
      <c r="N1379" s="1">
        <v>43.08000183</v>
      </c>
    </row>
    <row r="1380" ht="15.75" customHeight="1">
      <c r="A1380" s="1" t="s">
        <v>164</v>
      </c>
      <c r="B1380" s="1" t="s">
        <v>231</v>
      </c>
      <c r="C1380" s="5">
        <v>45545.0</v>
      </c>
      <c r="D1380" s="1" t="s">
        <v>161</v>
      </c>
      <c r="E1380" s="1" t="s">
        <v>11</v>
      </c>
      <c r="F1380" s="1" t="s">
        <v>166</v>
      </c>
      <c r="H1380" s="1">
        <v>0.0</v>
      </c>
      <c r="I1380" s="1">
        <v>2.0</v>
      </c>
      <c r="J1380" s="1">
        <v>0.0</v>
      </c>
      <c r="K1380" s="1">
        <v>29.0</v>
      </c>
      <c r="L1380" s="1">
        <v>37.0</v>
      </c>
      <c r="M1380" s="1">
        <v>0.783783784</v>
      </c>
      <c r="N1380" s="1">
        <v>32.50999832</v>
      </c>
    </row>
    <row r="1381" ht="15.75" customHeight="1">
      <c r="A1381" s="1" t="s">
        <v>164</v>
      </c>
      <c r="B1381" s="1" t="s">
        <v>179</v>
      </c>
      <c r="C1381" s="5">
        <v>45545.0</v>
      </c>
      <c r="D1381" s="1" t="s">
        <v>161</v>
      </c>
      <c r="E1381" s="1" t="s">
        <v>11</v>
      </c>
      <c r="F1381" s="1" t="s">
        <v>166</v>
      </c>
      <c r="H1381" s="1">
        <v>0.0</v>
      </c>
      <c r="I1381" s="1">
        <v>0.0</v>
      </c>
      <c r="J1381" s="1">
        <v>0.0</v>
      </c>
      <c r="K1381" s="1">
        <v>6.0</v>
      </c>
      <c r="L1381" s="1">
        <v>9.0</v>
      </c>
      <c r="M1381" s="1">
        <v>0.666666667</v>
      </c>
      <c r="N1381" s="1">
        <v>5.059999943</v>
      </c>
    </row>
    <row r="1382" ht="15.75" customHeight="1">
      <c r="A1382" s="1" t="s">
        <v>164</v>
      </c>
      <c r="B1382" s="1" t="s">
        <v>63</v>
      </c>
      <c r="C1382" s="5">
        <v>45545.0</v>
      </c>
      <c r="D1382" s="1" t="s">
        <v>161</v>
      </c>
      <c r="E1382" s="1" t="s">
        <v>11</v>
      </c>
      <c r="F1382" s="1" t="s">
        <v>166</v>
      </c>
      <c r="H1382" s="1">
        <v>0.0</v>
      </c>
      <c r="I1382" s="1">
        <v>0.0</v>
      </c>
      <c r="J1382" s="1">
        <v>0.0</v>
      </c>
      <c r="K1382" s="1">
        <v>16.0</v>
      </c>
      <c r="L1382" s="1">
        <v>23.0</v>
      </c>
      <c r="M1382" s="1">
        <v>0.695652174</v>
      </c>
      <c r="N1382" s="1">
        <v>17.39999962</v>
      </c>
    </row>
    <row r="1383" ht="15.75" customHeight="1">
      <c r="A1383" s="1" t="s">
        <v>164</v>
      </c>
      <c r="B1383" s="1" t="s">
        <v>183</v>
      </c>
      <c r="C1383" s="5">
        <v>45545.0</v>
      </c>
      <c r="D1383" s="1" t="s">
        <v>161</v>
      </c>
      <c r="E1383" s="1" t="s">
        <v>11</v>
      </c>
      <c r="F1383" s="1" t="s">
        <v>166</v>
      </c>
      <c r="H1383" s="1">
        <v>0.0</v>
      </c>
      <c r="I1383" s="1">
        <v>4.0</v>
      </c>
      <c r="J1383" s="1">
        <v>0.0</v>
      </c>
      <c r="K1383" s="1">
        <v>78.0</v>
      </c>
      <c r="L1383" s="1">
        <v>105.0</v>
      </c>
      <c r="M1383" s="1">
        <v>0.742857143</v>
      </c>
      <c r="N1383" s="1">
        <v>71.05000305</v>
      </c>
    </row>
    <row r="1384" ht="15.75" customHeight="1">
      <c r="A1384" s="1" t="s">
        <v>164</v>
      </c>
      <c r="B1384" s="1" t="s">
        <v>197</v>
      </c>
      <c r="C1384" s="5">
        <v>45545.0</v>
      </c>
      <c r="D1384" s="1" t="s">
        <v>161</v>
      </c>
      <c r="E1384" s="1" t="s">
        <v>11</v>
      </c>
      <c r="F1384" s="1" t="s">
        <v>166</v>
      </c>
      <c r="H1384" s="1">
        <v>0.0</v>
      </c>
      <c r="I1384" s="1">
        <v>0.0</v>
      </c>
      <c r="J1384" s="1">
        <v>0.0</v>
      </c>
      <c r="K1384" s="1">
        <v>4.0</v>
      </c>
      <c r="L1384" s="1">
        <v>7.0</v>
      </c>
      <c r="M1384" s="1">
        <v>0.571428571</v>
      </c>
      <c r="N1384" s="1">
        <v>9.779999733</v>
      </c>
    </row>
    <row r="1385" ht="15.75" customHeight="1">
      <c r="A1385" s="1" t="s">
        <v>164</v>
      </c>
      <c r="B1385" s="1" t="s">
        <v>74</v>
      </c>
      <c r="C1385" s="5">
        <v>45545.0</v>
      </c>
      <c r="D1385" s="1" t="s">
        <v>161</v>
      </c>
      <c r="E1385" s="1" t="s">
        <v>11</v>
      </c>
      <c r="F1385" s="1" t="s">
        <v>166</v>
      </c>
      <c r="H1385" s="1">
        <v>0.0</v>
      </c>
      <c r="I1385" s="1">
        <v>0.0</v>
      </c>
      <c r="J1385" s="1">
        <v>0.0</v>
      </c>
      <c r="K1385" s="1">
        <v>0.0</v>
      </c>
      <c r="L1385" s="1">
        <v>0.0</v>
      </c>
      <c r="N1385" s="1">
        <v>0.430000007</v>
      </c>
    </row>
    <row r="1386" ht="15.75" customHeight="1">
      <c r="A1386" s="1" t="s">
        <v>164</v>
      </c>
      <c r="B1386" s="1" t="s">
        <v>225</v>
      </c>
      <c r="C1386" s="5">
        <v>45545.0</v>
      </c>
      <c r="D1386" s="1" t="s">
        <v>161</v>
      </c>
      <c r="E1386" s="1" t="s">
        <v>11</v>
      </c>
      <c r="F1386" s="1" t="s">
        <v>166</v>
      </c>
      <c r="H1386" s="1">
        <v>0.0</v>
      </c>
      <c r="I1386" s="1">
        <v>0.0</v>
      </c>
      <c r="J1386" s="1">
        <v>0.0</v>
      </c>
      <c r="K1386" s="1">
        <v>6.0</v>
      </c>
      <c r="L1386" s="1">
        <v>12.0</v>
      </c>
      <c r="M1386" s="1">
        <v>0.5</v>
      </c>
      <c r="N1386" s="1">
        <v>7.170000076</v>
      </c>
    </row>
    <row r="1387" ht="15.75" customHeight="1">
      <c r="A1387" s="1" t="s">
        <v>180</v>
      </c>
      <c r="B1387" s="1" t="s">
        <v>220</v>
      </c>
      <c r="C1387" s="5">
        <v>45545.0</v>
      </c>
      <c r="D1387" s="1" t="s">
        <v>161</v>
      </c>
      <c r="E1387" s="1" t="s">
        <v>11</v>
      </c>
      <c r="F1387" s="1" t="s">
        <v>166</v>
      </c>
      <c r="H1387" s="1">
        <v>0.0</v>
      </c>
      <c r="I1387" s="1">
        <v>0.0</v>
      </c>
      <c r="J1387" s="1">
        <v>0.0</v>
      </c>
      <c r="K1387" s="1">
        <v>5.0</v>
      </c>
      <c r="L1387" s="1">
        <v>15.0</v>
      </c>
      <c r="M1387" s="1">
        <v>0.333333333</v>
      </c>
      <c r="N1387" s="1">
        <v>10.44999981</v>
      </c>
    </row>
    <row r="1388" ht="15.75" customHeight="1">
      <c r="A1388" s="1" t="s">
        <v>180</v>
      </c>
      <c r="B1388" s="1" t="s">
        <v>226</v>
      </c>
      <c r="C1388" s="5">
        <v>45545.0</v>
      </c>
      <c r="D1388" s="1" t="s">
        <v>161</v>
      </c>
      <c r="E1388" s="1" t="s">
        <v>11</v>
      </c>
      <c r="H1388" s="1">
        <v>0.0</v>
      </c>
      <c r="J1388" s="1">
        <v>0.0</v>
      </c>
      <c r="N1388" s="1">
        <v>13.06000042</v>
      </c>
    </row>
    <row r="1389" ht="15.75" customHeight="1">
      <c r="A1389" s="1" t="s">
        <v>160</v>
      </c>
      <c r="B1389" s="1" t="s">
        <v>39</v>
      </c>
      <c r="C1389" s="5">
        <v>45544.0</v>
      </c>
      <c r="D1389" s="1" t="s">
        <v>161</v>
      </c>
      <c r="E1389" s="1" t="s">
        <v>11</v>
      </c>
      <c r="F1389" s="1" t="s">
        <v>162</v>
      </c>
      <c r="G1389" s="1" t="s">
        <v>163</v>
      </c>
      <c r="H1389" s="1">
        <v>1.0</v>
      </c>
      <c r="I1389" s="1">
        <v>0.0</v>
      </c>
      <c r="J1389" s="1">
        <v>0.0</v>
      </c>
      <c r="K1389" s="1">
        <v>3.0</v>
      </c>
      <c r="L1389" s="1">
        <v>6.0</v>
      </c>
      <c r="M1389" s="1">
        <v>0.5</v>
      </c>
      <c r="N1389" s="1">
        <v>12.56999969</v>
      </c>
    </row>
    <row r="1390" ht="15.75" customHeight="1">
      <c r="A1390" s="1" t="s">
        <v>160</v>
      </c>
      <c r="B1390" s="1" t="s">
        <v>39</v>
      </c>
      <c r="C1390" s="5">
        <v>45544.0</v>
      </c>
      <c r="D1390" s="1" t="s">
        <v>161</v>
      </c>
      <c r="E1390" s="1" t="s">
        <v>11</v>
      </c>
      <c r="F1390" s="1" t="s">
        <v>166</v>
      </c>
      <c r="G1390" s="1" t="s">
        <v>163</v>
      </c>
      <c r="H1390" s="1">
        <v>1.0</v>
      </c>
      <c r="I1390" s="1">
        <v>0.0</v>
      </c>
      <c r="J1390" s="1">
        <v>0.0</v>
      </c>
      <c r="K1390" s="1">
        <v>0.0</v>
      </c>
      <c r="L1390" s="1">
        <v>0.0</v>
      </c>
      <c r="N1390" s="1">
        <v>0.0</v>
      </c>
    </row>
    <row r="1391" ht="15.75" customHeight="1">
      <c r="A1391" s="1" t="s">
        <v>160</v>
      </c>
      <c r="B1391" s="1" t="s">
        <v>230</v>
      </c>
      <c r="C1391" s="5">
        <v>45544.0</v>
      </c>
      <c r="D1391" s="1" t="s">
        <v>161</v>
      </c>
      <c r="E1391" s="1" t="s">
        <v>11</v>
      </c>
      <c r="F1391" s="1" t="s">
        <v>165</v>
      </c>
      <c r="H1391" s="1">
        <v>0.0</v>
      </c>
      <c r="I1391" s="1">
        <v>0.0</v>
      </c>
      <c r="J1391" s="1">
        <v>0.0</v>
      </c>
      <c r="K1391" s="1">
        <v>0.0</v>
      </c>
      <c r="L1391" s="1">
        <v>0.0</v>
      </c>
      <c r="N1391" s="1">
        <v>0.670000017</v>
      </c>
    </row>
    <row r="1392" ht="15.75" customHeight="1">
      <c r="A1392" s="1" t="s">
        <v>160</v>
      </c>
      <c r="B1392" s="1" t="s">
        <v>95</v>
      </c>
      <c r="C1392" s="5">
        <v>45544.0</v>
      </c>
      <c r="D1392" s="1" t="s">
        <v>161</v>
      </c>
      <c r="E1392" s="1" t="s">
        <v>11</v>
      </c>
      <c r="F1392" s="1" t="s">
        <v>165</v>
      </c>
      <c r="H1392" s="1">
        <v>0.0</v>
      </c>
      <c r="I1392" s="1">
        <v>0.0</v>
      </c>
      <c r="J1392" s="1">
        <v>0.0</v>
      </c>
      <c r="K1392" s="1">
        <v>0.0</v>
      </c>
      <c r="L1392" s="1">
        <v>0.0</v>
      </c>
      <c r="N1392" s="1">
        <v>3.400000095</v>
      </c>
    </row>
    <row r="1393" ht="15.75" customHeight="1">
      <c r="A1393" s="1" t="s">
        <v>160</v>
      </c>
      <c r="B1393" s="1" t="s">
        <v>77</v>
      </c>
      <c r="C1393" s="5">
        <v>45544.0</v>
      </c>
      <c r="D1393" s="1" t="s">
        <v>161</v>
      </c>
      <c r="E1393" s="1" t="s">
        <v>11</v>
      </c>
      <c r="F1393" s="1" t="s">
        <v>162</v>
      </c>
      <c r="H1393" s="1">
        <v>0.0</v>
      </c>
      <c r="I1393" s="1">
        <v>1.0</v>
      </c>
      <c r="J1393" s="1">
        <v>0.0</v>
      </c>
      <c r="K1393" s="1">
        <v>52.0</v>
      </c>
      <c r="L1393" s="1">
        <v>53.0</v>
      </c>
      <c r="M1393" s="1">
        <v>0.981132075</v>
      </c>
      <c r="N1393" s="1">
        <v>11.85999966</v>
      </c>
    </row>
    <row r="1394" ht="15.75" customHeight="1">
      <c r="A1394" s="1" t="s">
        <v>164</v>
      </c>
      <c r="B1394" s="1" t="s">
        <v>22</v>
      </c>
      <c r="C1394" s="5">
        <v>45544.0</v>
      </c>
      <c r="D1394" s="1" t="s">
        <v>161</v>
      </c>
      <c r="E1394" s="1" t="s">
        <v>11</v>
      </c>
      <c r="H1394" s="1">
        <v>0.0</v>
      </c>
      <c r="J1394" s="1">
        <v>0.0</v>
      </c>
      <c r="N1394" s="1">
        <v>0.07</v>
      </c>
    </row>
    <row r="1395" ht="15.75" customHeight="1">
      <c r="A1395" s="1" t="s">
        <v>164</v>
      </c>
      <c r="B1395" s="1" t="s">
        <v>35</v>
      </c>
      <c r="C1395" s="5">
        <v>45544.0</v>
      </c>
      <c r="D1395" s="1" t="s">
        <v>161</v>
      </c>
      <c r="E1395" s="1" t="s">
        <v>11</v>
      </c>
      <c r="F1395" s="1" t="s">
        <v>166</v>
      </c>
      <c r="H1395" s="1">
        <v>0.0</v>
      </c>
      <c r="I1395" s="1">
        <v>1.0</v>
      </c>
      <c r="J1395" s="1">
        <v>0.0</v>
      </c>
      <c r="K1395" s="1">
        <v>12.0</v>
      </c>
      <c r="L1395" s="1">
        <v>12.0</v>
      </c>
      <c r="M1395" s="1">
        <v>1.0</v>
      </c>
      <c r="N1395" s="1">
        <v>10.14000034</v>
      </c>
    </row>
    <row r="1396" ht="15.75" customHeight="1">
      <c r="A1396" s="1" t="s">
        <v>164</v>
      </c>
      <c r="B1396" s="1" t="s">
        <v>24</v>
      </c>
      <c r="C1396" s="5">
        <v>45544.0</v>
      </c>
      <c r="D1396" s="1" t="s">
        <v>161</v>
      </c>
      <c r="E1396" s="1" t="s">
        <v>11</v>
      </c>
      <c r="F1396" s="1" t="s">
        <v>166</v>
      </c>
      <c r="H1396" s="1">
        <v>0.0</v>
      </c>
      <c r="I1396" s="1">
        <v>0.0</v>
      </c>
      <c r="J1396" s="1">
        <v>0.0</v>
      </c>
      <c r="K1396" s="1">
        <v>0.0</v>
      </c>
      <c r="L1396" s="1">
        <v>0.0</v>
      </c>
      <c r="N1396" s="1">
        <v>1.190000057</v>
      </c>
    </row>
    <row r="1397" ht="15.75" customHeight="1">
      <c r="A1397" s="1" t="s">
        <v>164</v>
      </c>
      <c r="B1397" s="1" t="s">
        <v>207</v>
      </c>
      <c r="C1397" s="5">
        <v>45544.0</v>
      </c>
      <c r="D1397" s="1" t="s">
        <v>161</v>
      </c>
      <c r="E1397" s="1" t="s">
        <v>11</v>
      </c>
      <c r="F1397" s="1" t="s">
        <v>166</v>
      </c>
      <c r="H1397" s="1">
        <v>0.0</v>
      </c>
      <c r="I1397" s="1">
        <v>0.0</v>
      </c>
      <c r="J1397" s="1">
        <v>0.0</v>
      </c>
      <c r="K1397" s="1">
        <v>0.0</v>
      </c>
      <c r="L1397" s="1">
        <v>0.0</v>
      </c>
      <c r="N1397" s="1">
        <v>1.669999957</v>
      </c>
    </row>
    <row r="1398" ht="15.75" customHeight="1">
      <c r="A1398" s="1" t="s">
        <v>164</v>
      </c>
      <c r="B1398" s="1" t="s">
        <v>52</v>
      </c>
      <c r="C1398" s="5">
        <v>45544.0</v>
      </c>
      <c r="D1398" s="1" t="s">
        <v>161</v>
      </c>
      <c r="E1398" s="1" t="s">
        <v>11</v>
      </c>
      <c r="F1398" s="1" t="s">
        <v>165</v>
      </c>
      <c r="H1398" s="1">
        <v>0.0</v>
      </c>
      <c r="I1398" s="1">
        <v>0.0</v>
      </c>
      <c r="J1398" s="1">
        <v>0.0</v>
      </c>
      <c r="K1398" s="1">
        <v>0.0</v>
      </c>
      <c r="L1398" s="1">
        <v>0.0</v>
      </c>
      <c r="N1398" s="1">
        <v>5.349999905</v>
      </c>
    </row>
    <row r="1399" ht="15.75" customHeight="1">
      <c r="A1399" s="1" t="s">
        <v>164</v>
      </c>
      <c r="B1399" s="1" t="s">
        <v>55</v>
      </c>
      <c r="C1399" s="5">
        <v>45544.0</v>
      </c>
      <c r="D1399" s="1" t="s">
        <v>161</v>
      </c>
      <c r="E1399" s="1" t="s">
        <v>11</v>
      </c>
      <c r="F1399" s="1" t="s">
        <v>166</v>
      </c>
      <c r="H1399" s="1">
        <v>0.0</v>
      </c>
      <c r="I1399" s="1">
        <v>0.0</v>
      </c>
      <c r="J1399" s="1">
        <v>0.0</v>
      </c>
      <c r="K1399" s="1">
        <v>0.0</v>
      </c>
      <c r="L1399" s="1">
        <v>0.0</v>
      </c>
      <c r="N1399" s="1">
        <v>3.25999999</v>
      </c>
    </row>
    <row r="1400" ht="15.75" customHeight="1">
      <c r="A1400" s="1" t="s">
        <v>164</v>
      </c>
      <c r="B1400" s="1" t="s">
        <v>199</v>
      </c>
      <c r="C1400" s="5">
        <v>45544.0</v>
      </c>
      <c r="D1400" s="1" t="s">
        <v>161</v>
      </c>
      <c r="E1400" s="1" t="s">
        <v>11</v>
      </c>
      <c r="F1400" s="1" t="s">
        <v>162</v>
      </c>
      <c r="H1400" s="1">
        <v>0.0</v>
      </c>
      <c r="I1400" s="1">
        <v>0.0</v>
      </c>
      <c r="J1400" s="1">
        <v>0.0</v>
      </c>
      <c r="K1400" s="1">
        <v>0.0</v>
      </c>
      <c r="L1400" s="1">
        <v>0.0</v>
      </c>
      <c r="N1400" s="1">
        <v>3.359999895</v>
      </c>
    </row>
    <row r="1401" ht="15.75" customHeight="1">
      <c r="A1401" s="1" t="s">
        <v>164</v>
      </c>
      <c r="B1401" s="1" t="s">
        <v>76</v>
      </c>
      <c r="C1401" s="5">
        <v>45544.0</v>
      </c>
      <c r="D1401" s="1" t="s">
        <v>161</v>
      </c>
      <c r="E1401" s="1" t="s">
        <v>11</v>
      </c>
      <c r="F1401" s="1" t="s">
        <v>162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N1401" s="1">
        <v>0.769999981</v>
      </c>
    </row>
    <row r="1402" ht="15.75" customHeight="1">
      <c r="A1402" s="1" t="s">
        <v>164</v>
      </c>
      <c r="B1402" s="1" t="s">
        <v>196</v>
      </c>
      <c r="C1402" s="5">
        <v>45544.0</v>
      </c>
      <c r="D1402" s="1" t="s">
        <v>161</v>
      </c>
      <c r="E1402" s="1" t="s">
        <v>11</v>
      </c>
      <c r="F1402" s="1" t="s">
        <v>165</v>
      </c>
      <c r="H1402" s="1">
        <v>0.0</v>
      </c>
      <c r="I1402" s="1">
        <v>0.0</v>
      </c>
      <c r="J1402" s="1">
        <v>0.0</v>
      </c>
      <c r="K1402" s="1">
        <v>1.0</v>
      </c>
      <c r="L1402" s="1">
        <v>1.0</v>
      </c>
      <c r="M1402" s="1">
        <v>1.0</v>
      </c>
      <c r="N1402" s="1">
        <v>6.28000021</v>
      </c>
    </row>
    <row r="1403" ht="15.75" customHeight="1">
      <c r="A1403" s="1" t="s">
        <v>164</v>
      </c>
      <c r="B1403" s="1" t="s">
        <v>231</v>
      </c>
      <c r="C1403" s="5">
        <v>45544.0</v>
      </c>
      <c r="D1403" s="1" t="s">
        <v>161</v>
      </c>
      <c r="E1403" s="1" t="s">
        <v>11</v>
      </c>
      <c r="F1403" s="1" t="s">
        <v>166</v>
      </c>
      <c r="H1403" s="1">
        <v>0.0</v>
      </c>
      <c r="I1403" s="1">
        <v>0.0</v>
      </c>
      <c r="J1403" s="1">
        <v>0.0</v>
      </c>
      <c r="K1403" s="1">
        <v>4.0</v>
      </c>
      <c r="L1403" s="1">
        <v>4.0</v>
      </c>
      <c r="M1403" s="1">
        <v>1.0</v>
      </c>
      <c r="N1403" s="1">
        <v>10.47999954</v>
      </c>
    </row>
    <row r="1404" ht="15.75" customHeight="1">
      <c r="A1404" s="1" t="s">
        <v>164</v>
      </c>
      <c r="B1404" s="1" t="s">
        <v>179</v>
      </c>
      <c r="C1404" s="5">
        <v>45544.0</v>
      </c>
      <c r="D1404" s="1" t="s">
        <v>161</v>
      </c>
      <c r="E1404" s="1" t="s">
        <v>11</v>
      </c>
      <c r="F1404" s="1" t="s">
        <v>166</v>
      </c>
      <c r="H1404" s="1">
        <v>0.0</v>
      </c>
      <c r="I1404" s="1">
        <v>0.0</v>
      </c>
      <c r="J1404" s="1">
        <v>0.0</v>
      </c>
      <c r="K1404" s="1">
        <v>0.0</v>
      </c>
      <c r="L1404" s="1">
        <v>0.0</v>
      </c>
      <c r="N1404" s="1">
        <v>8.010000229</v>
      </c>
    </row>
    <row r="1405" ht="15.75" customHeight="1">
      <c r="A1405" s="1" t="s">
        <v>164</v>
      </c>
      <c r="B1405" s="1" t="s">
        <v>60</v>
      </c>
      <c r="C1405" s="5">
        <v>45544.0</v>
      </c>
      <c r="D1405" s="1" t="s">
        <v>161</v>
      </c>
      <c r="E1405" s="1" t="s">
        <v>11</v>
      </c>
      <c r="F1405" s="1" t="s">
        <v>166</v>
      </c>
      <c r="H1405" s="1">
        <v>0.0</v>
      </c>
      <c r="I1405" s="1">
        <v>0.0</v>
      </c>
      <c r="J1405" s="1">
        <v>0.0</v>
      </c>
      <c r="K1405" s="1">
        <v>3.0</v>
      </c>
      <c r="L1405" s="1">
        <v>8.0</v>
      </c>
      <c r="M1405" s="1">
        <v>0.375</v>
      </c>
      <c r="N1405" s="1">
        <v>9.489999771</v>
      </c>
    </row>
    <row r="1406" ht="15.75" customHeight="1">
      <c r="A1406" s="1" t="s">
        <v>164</v>
      </c>
      <c r="B1406" s="1" t="s">
        <v>63</v>
      </c>
      <c r="C1406" s="5">
        <v>45544.0</v>
      </c>
      <c r="D1406" s="1" t="s">
        <v>161</v>
      </c>
      <c r="E1406" s="1" t="s">
        <v>11</v>
      </c>
      <c r="F1406" s="1" t="s">
        <v>166</v>
      </c>
      <c r="H1406" s="1">
        <v>0.0</v>
      </c>
      <c r="I1406" s="1">
        <v>0.0</v>
      </c>
      <c r="J1406" s="1">
        <v>0.0</v>
      </c>
      <c r="K1406" s="1">
        <v>0.0</v>
      </c>
      <c r="L1406" s="1">
        <v>0.0</v>
      </c>
      <c r="N1406" s="1">
        <v>6.139999866</v>
      </c>
    </row>
    <row r="1407" ht="15.75" customHeight="1">
      <c r="A1407" s="1" t="s">
        <v>164</v>
      </c>
      <c r="B1407" s="1" t="s">
        <v>183</v>
      </c>
      <c r="C1407" s="5">
        <v>45544.0</v>
      </c>
      <c r="D1407" s="1" t="s">
        <v>161</v>
      </c>
      <c r="E1407" s="1" t="s">
        <v>11</v>
      </c>
      <c r="F1407" s="1" t="s">
        <v>166</v>
      </c>
      <c r="H1407" s="1">
        <v>0.0</v>
      </c>
      <c r="I1407" s="1">
        <v>0.0</v>
      </c>
      <c r="J1407" s="1">
        <v>0.0</v>
      </c>
      <c r="K1407" s="1">
        <v>0.0</v>
      </c>
      <c r="L1407" s="1">
        <v>0.0</v>
      </c>
      <c r="N1407" s="1">
        <v>4.360000134</v>
      </c>
    </row>
    <row r="1408" ht="15.75" customHeight="1">
      <c r="A1408" s="1" t="s">
        <v>164</v>
      </c>
      <c r="B1408" s="1" t="s">
        <v>197</v>
      </c>
      <c r="C1408" s="5">
        <v>45544.0</v>
      </c>
      <c r="D1408" s="1" t="s">
        <v>161</v>
      </c>
      <c r="E1408" s="1" t="s">
        <v>11</v>
      </c>
      <c r="F1408" s="1" t="s">
        <v>166</v>
      </c>
      <c r="H1408" s="1">
        <v>0.0</v>
      </c>
      <c r="I1408" s="1">
        <v>0.0</v>
      </c>
      <c r="J1408" s="1">
        <v>0.0</v>
      </c>
      <c r="K1408" s="1">
        <v>0.0</v>
      </c>
      <c r="L1408" s="1">
        <v>0.0</v>
      </c>
      <c r="N1408" s="1">
        <v>1.75999999</v>
      </c>
    </row>
    <row r="1409" ht="15.75" customHeight="1">
      <c r="A1409" s="1" t="s">
        <v>164</v>
      </c>
      <c r="B1409" s="1" t="s">
        <v>205</v>
      </c>
      <c r="C1409" s="5">
        <v>45544.0</v>
      </c>
      <c r="D1409" s="1" t="s">
        <v>161</v>
      </c>
      <c r="E1409" s="1" t="s">
        <v>11</v>
      </c>
      <c r="F1409" s="1" t="s">
        <v>166</v>
      </c>
      <c r="H1409" s="1">
        <v>0.0</v>
      </c>
      <c r="I1409" s="1">
        <v>0.0</v>
      </c>
      <c r="J1409" s="1">
        <v>0.0</v>
      </c>
      <c r="K1409" s="1">
        <v>0.0</v>
      </c>
      <c r="L1409" s="1">
        <v>0.0</v>
      </c>
      <c r="N1409" s="1">
        <v>0.680000007</v>
      </c>
    </row>
    <row r="1410" ht="15.75" customHeight="1">
      <c r="A1410" s="1" t="s">
        <v>164</v>
      </c>
      <c r="B1410" s="1" t="s">
        <v>75</v>
      </c>
      <c r="C1410" s="5">
        <v>45544.0</v>
      </c>
      <c r="D1410" s="1" t="s">
        <v>161</v>
      </c>
      <c r="E1410" s="1" t="s">
        <v>11</v>
      </c>
      <c r="F1410" s="1" t="s">
        <v>165</v>
      </c>
      <c r="H1410" s="1">
        <v>0.0</v>
      </c>
      <c r="I1410" s="1">
        <v>0.0</v>
      </c>
      <c r="J1410" s="1">
        <v>0.0</v>
      </c>
      <c r="K1410" s="1">
        <v>0.0</v>
      </c>
      <c r="L1410" s="1">
        <v>0.0</v>
      </c>
      <c r="N1410" s="1">
        <v>2.329999924</v>
      </c>
    </row>
    <row r="1411" ht="15.75" customHeight="1">
      <c r="A1411" s="1" t="s">
        <v>164</v>
      </c>
      <c r="B1411" s="1" t="s">
        <v>225</v>
      </c>
      <c r="C1411" s="5">
        <v>45544.0</v>
      </c>
      <c r="D1411" s="1" t="s">
        <v>161</v>
      </c>
      <c r="E1411" s="1" t="s">
        <v>11</v>
      </c>
      <c r="F1411" s="1" t="s">
        <v>166</v>
      </c>
      <c r="H1411" s="1">
        <v>0.0</v>
      </c>
      <c r="I1411" s="1">
        <v>0.0</v>
      </c>
      <c r="J1411" s="1">
        <v>0.0</v>
      </c>
      <c r="K1411" s="1">
        <v>0.0</v>
      </c>
      <c r="L1411" s="1">
        <v>0.0</v>
      </c>
      <c r="N1411" s="1">
        <v>6.449999809</v>
      </c>
    </row>
    <row r="1412" ht="15.75" customHeight="1">
      <c r="A1412" s="1" t="s">
        <v>180</v>
      </c>
      <c r="B1412" s="1" t="s">
        <v>239</v>
      </c>
      <c r="C1412" s="5">
        <v>45544.0</v>
      </c>
      <c r="D1412" s="1" t="s">
        <v>161</v>
      </c>
      <c r="E1412" s="1" t="s">
        <v>11</v>
      </c>
      <c r="F1412" s="1" t="s">
        <v>166</v>
      </c>
      <c r="H1412" s="1">
        <v>0.0</v>
      </c>
      <c r="I1412" s="1">
        <v>0.0</v>
      </c>
      <c r="J1412" s="1">
        <v>0.0</v>
      </c>
      <c r="K1412" s="1">
        <v>0.0</v>
      </c>
      <c r="L1412" s="1">
        <v>0.0</v>
      </c>
      <c r="N1412" s="1">
        <v>0.129999995</v>
      </c>
    </row>
    <row r="1413" ht="15.75" customHeight="1">
      <c r="A1413" s="1" t="s">
        <v>180</v>
      </c>
      <c r="B1413" s="1" t="s">
        <v>220</v>
      </c>
      <c r="C1413" s="5">
        <v>45544.0</v>
      </c>
      <c r="D1413" s="1" t="s">
        <v>161</v>
      </c>
      <c r="E1413" s="1" t="s">
        <v>11</v>
      </c>
      <c r="F1413" s="1" t="s">
        <v>166</v>
      </c>
      <c r="H1413" s="1">
        <v>0.0</v>
      </c>
      <c r="I1413" s="1">
        <v>0.0</v>
      </c>
      <c r="J1413" s="1">
        <v>0.0</v>
      </c>
      <c r="K1413" s="1">
        <v>0.0</v>
      </c>
      <c r="L1413" s="1">
        <v>0.0</v>
      </c>
      <c r="N1413" s="1">
        <v>1.019999981</v>
      </c>
    </row>
    <row r="1414" ht="15.75" customHeight="1">
      <c r="A1414" s="1" t="s">
        <v>180</v>
      </c>
      <c r="B1414" s="1" t="s">
        <v>238</v>
      </c>
      <c r="C1414" s="5">
        <v>45544.0</v>
      </c>
      <c r="D1414" s="1" t="s">
        <v>161</v>
      </c>
      <c r="E1414" s="1" t="s">
        <v>11</v>
      </c>
      <c r="F1414" s="1" t="s">
        <v>166</v>
      </c>
      <c r="H1414" s="1">
        <v>0.0</v>
      </c>
      <c r="I1414" s="1">
        <v>0.0</v>
      </c>
      <c r="J1414" s="1">
        <v>0.0</v>
      </c>
      <c r="K1414" s="1">
        <v>0.0</v>
      </c>
      <c r="L1414" s="1">
        <v>0.0</v>
      </c>
      <c r="N1414" s="1">
        <v>2.910000086</v>
      </c>
    </row>
    <row r="1415" ht="15.75" customHeight="1">
      <c r="A1415" s="1" t="s">
        <v>180</v>
      </c>
      <c r="B1415" s="1" t="s">
        <v>214</v>
      </c>
      <c r="C1415" s="5">
        <v>45544.0</v>
      </c>
      <c r="D1415" s="1" t="s">
        <v>161</v>
      </c>
      <c r="E1415" s="1" t="s">
        <v>11</v>
      </c>
      <c r="H1415" s="1">
        <v>0.0</v>
      </c>
      <c r="J1415" s="1">
        <v>0.0</v>
      </c>
      <c r="N1415" s="1">
        <v>1.440000057</v>
      </c>
    </row>
    <row r="1416" ht="15.75" customHeight="1">
      <c r="A1416" s="1" t="s">
        <v>180</v>
      </c>
      <c r="B1416" s="1" t="s">
        <v>181</v>
      </c>
      <c r="C1416" s="5">
        <v>45544.0</v>
      </c>
      <c r="D1416" s="1" t="s">
        <v>161</v>
      </c>
      <c r="E1416" s="1" t="s">
        <v>11</v>
      </c>
      <c r="F1416" s="1" t="s">
        <v>166</v>
      </c>
      <c r="H1416" s="1">
        <v>0.0</v>
      </c>
      <c r="I1416" s="1">
        <v>0.0</v>
      </c>
      <c r="J1416" s="1">
        <v>0.0</v>
      </c>
      <c r="K1416" s="1">
        <v>0.0</v>
      </c>
      <c r="L1416" s="1">
        <v>0.0</v>
      </c>
      <c r="N1416" s="1">
        <v>5.769999981</v>
      </c>
    </row>
    <row r="1417" ht="15.75" customHeight="1">
      <c r="A1417" s="1" t="s">
        <v>180</v>
      </c>
      <c r="B1417" s="1" t="s">
        <v>235</v>
      </c>
      <c r="C1417" s="5">
        <v>45544.0</v>
      </c>
      <c r="D1417" s="1" t="s">
        <v>161</v>
      </c>
      <c r="E1417" s="1" t="s">
        <v>11</v>
      </c>
      <c r="F1417" s="1" t="s">
        <v>166</v>
      </c>
      <c r="H1417" s="1">
        <v>0.0</v>
      </c>
      <c r="I1417" s="1">
        <v>0.0</v>
      </c>
      <c r="J1417" s="1">
        <v>0.0</v>
      </c>
      <c r="K1417" s="1">
        <v>0.0</v>
      </c>
      <c r="L1417" s="1">
        <v>0.0</v>
      </c>
      <c r="N1417" s="1">
        <v>4.730000019</v>
      </c>
    </row>
    <row r="1418" ht="15.75" customHeight="1">
      <c r="A1418" s="1" t="s">
        <v>180</v>
      </c>
      <c r="B1418" s="1" t="s">
        <v>226</v>
      </c>
      <c r="C1418" s="5">
        <v>45544.0</v>
      </c>
      <c r="D1418" s="1" t="s">
        <v>161</v>
      </c>
      <c r="E1418" s="1" t="s">
        <v>11</v>
      </c>
      <c r="F1418" s="1" t="s">
        <v>166</v>
      </c>
      <c r="H1418" s="1">
        <v>0.0</v>
      </c>
      <c r="I1418" s="1">
        <v>1.0</v>
      </c>
      <c r="J1418" s="1">
        <v>0.0</v>
      </c>
      <c r="K1418" s="1">
        <v>1.0</v>
      </c>
      <c r="L1418" s="1">
        <v>1.0</v>
      </c>
      <c r="M1418" s="1">
        <v>1.0</v>
      </c>
      <c r="N1418" s="1">
        <v>7.849999905</v>
      </c>
    </row>
    <row r="1419" ht="15.75" customHeight="1">
      <c r="A1419" s="1" t="s">
        <v>164</v>
      </c>
      <c r="B1419" s="1" t="s">
        <v>24</v>
      </c>
      <c r="C1419" s="5">
        <v>45543.0</v>
      </c>
      <c r="D1419" s="1" t="s">
        <v>161</v>
      </c>
      <c r="E1419" s="1" t="s">
        <v>11</v>
      </c>
      <c r="F1419" s="1" t="s">
        <v>166</v>
      </c>
      <c r="H1419" s="1">
        <v>0.0</v>
      </c>
      <c r="I1419" s="1">
        <v>0.0</v>
      </c>
      <c r="J1419" s="1">
        <v>0.0</v>
      </c>
      <c r="K1419" s="1">
        <v>0.0</v>
      </c>
      <c r="L1419" s="1">
        <v>0.0</v>
      </c>
      <c r="N1419" s="1">
        <v>18.37999916</v>
      </c>
    </row>
    <row r="1420" ht="15.75" customHeight="1">
      <c r="A1420" s="1" t="s">
        <v>164</v>
      </c>
      <c r="B1420" s="1" t="s">
        <v>52</v>
      </c>
      <c r="C1420" s="5">
        <v>45543.0</v>
      </c>
      <c r="D1420" s="1" t="s">
        <v>161</v>
      </c>
      <c r="E1420" s="1" t="s">
        <v>11</v>
      </c>
      <c r="F1420" s="1" t="s">
        <v>165</v>
      </c>
      <c r="H1420" s="1">
        <v>0.0</v>
      </c>
      <c r="I1420" s="1">
        <v>0.0</v>
      </c>
      <c r="J1420" s="1">
        <v>0.0</v>
      </c>
      <c r="K1420" s="1">
        <v>0.0</v>
      </c>
      <c r="L1420" s="1">
        <v>0.0</v>
      </c>
      <c r="N1420" s="1">
        <v>1.909999967</v>
      </c>
    </row>
    <row r="1421" ht="15.75" customHeight="1">
      <c r="A1421" s="1" t="s">
        <v>164</v>
      </c>
      <c r="B1421" s="1" t="s">
        <v>55</v>
      </c>
      <c r="C1421" s="5">
        <v>45543.0</v>
      </c>
      <c r="D1421" s="1" t="s">
        <v>161</v>
      </c>
      <c r="E1421" s="1" t="s">
        <v>11</v>
      </c>
      <c r="F1421" s="1" t="s">
        <v>166</v>
      </c>
      <c r="H1421" s="1">
        <v>0.0</v>
      </c>
      <c r="I1421" s="1">
        <v>0.0</v>
      </c>
      <c r="J1421" s="1">
        <v>0.0</v>
      </c>
      <c r="K1421" s="1">
        <v>0.0</v>
      </c>
      <c r="L1421" s="1">
        <v>0.0</v>
      </c>
      <c r="N1421" s="1">
        <v>0.569999993</v>
      </c>
    </row>
    <row r="1422" ht="15.75" customHeight="1">
      <c r="A1422" s="1" t="s">
        <v>180</v>
      </c>
      <c r="B1422" s="1" t="s">
        <v>239</v>
      </c>
      <c r="C1422" s="5">
        <v>45543.0</v>
      </c>
      <c r="D1422" s="1" t="s">
        <v>161</v>
      </c>
      <c r="E1422" s="1" t="s">
        <v>11</v>
      </c>
      <c r="F1422" s="1" t="s">
        <v>166</v>
      </c>
      <c r="H1422" s="1">
        <v>0.0</v>
      </c>
      <c r="I1422" s="1">
        <v>0.0</v>
      </c>
      <c r="J1422" s="1">
        <v>0.0</v>
      </c>
      <c r="K1422" s="1">
        <v>0.0</v>
      </c>
      <c r="L1422" s="1">
        <v>0.0</v>
      </c>
      <c r="N1422" s="1">
        <v>10.44999981</v>
      </c>
    </row>
    <row r="1423" ht="15.75" customHeight="1">
      <c r="A1423" s="1" t="s">
        <v>180</v>
      </c>
      <c r="B1423" s="1" t="s">
        <v>226</v>
      </c>
      <c r="C1423" s="5">
        <v>45543.0</v>
      </c>
      <c r="D1423" s="1" t="s">
        <v>161</v>
      </c>
      <c r="E1423" s="1" t="s">
        <v>11</v>
      </c>
      <c r="F1423" s="1" t="s">
        <v>166</v>
      </c>
      <c r="H1423" s="1">
        <v>0.0</v>
      </c>
      <c r="I1423" s="1">
        <v>0.0</v>
      </c>
      <c r="J1423" s="1">
        <v>0.0</v>
      </c>
      <c r="K1423" s="1">
        <v>11.0</v>
      </c>
      <c r="L1423" s="1">
        <v>11.0</v>
      </c>
      <c r="M1423" s="1">
        <v>1.0</v>
      </c>
      <c r="N1423" s="1">
        <v>14.13000011</v>
      </c>
    </row>
    <row r="1424" ht="15.75" customHeight="1">
      <c r="A1424" s="1" t="s">
        <v>164</v>
      </c>
      <c r="B1424" s="1" t="s">
        <v>24</v>
      </c>
      <c r="C1424" s="5">
        <v>45542.0</v>
      </c>
      <c r="D1424" s="1" t="s">
        <v>161</v>
      </c>
      <c r="E1424" s="1" t="s">
        <v>11</v>
      </c>
      <c r="F1424" s="1" t="s">
        <v>166</v>
      </c>
      <c r="H1424" s="1">
        <v>0.0</v>
      </c>
      <c r="I1424" s="1">
        <v>0.0</v>
      </c>
      <c r="J1424" s="1">
        <v>0.0</v>
      </c>
      <c r="K1424" s="1">
        <v>0.0</v>
      </c>
      <c r="L1424" s="1">
        <v>0.0</v>
      </c>
      <c r="N1424" s="1">
        <v>0.200000003</v>
      </c>
    </row>
    <row r="1425" ht="15.75" customHeight="1">
      <c r="A1425" s="1" t="s">
        <v>164</v>
      </c>
      <c r="B1425" s="1" t="s">
        <v>55</v>
      </c>
      <c r="C1425" s="5">
        <v>45542.0</v>
      </c>
      <c r="D1425" s="1" t="s">
        <v>161</v>
      </c>
      <c r="E1425" s="1" t="s">
        <v>11</v>
      </c>
      <c r="F1425" s="1" t="s">
        <v>166</v>
      </c>
      <c r="H1425" s="1">
        <v>0.0</v>
      </c>
      <c r="I1425" s="1">
        <v>0.0</v>
      </c>
      <c r="J1425" s="1">
        <v>0.0</v>
      </c>
      <c r="K1425" s="1">
        <v>17.0</v>
      </c>
      <c r="L1425" s="1">
        <v>82.0</v>
      </c>
      <c r="M1425" s="1">
        <v>0.207317073</v>
      </c>
      <c r="N1425" s="1">
        <v>90.01000214</v>
      </c>
    </row>
    <row r="1426" ht="15.75" customHeight="1">
      <c r="A1426" s="1" t="s">
        <v>160</v>
      </c>
      <c r="B1426" s="1" t="s">
        <v>39</v>
      </c>
      <c r="C1426" s="5">
        <v>45541.0</v>
      </c>
      <c r="D1426" s="1" t="s">
        <v>161</v>
      </c>
      <c r="E1426" s="1" t="s">
        <v>11</v>
      </c>
      <c r="F1426" s="1" t="s">
        <v>162</v>
      </c>
      <c r="G1426" s="1" t="s">
        <v>163</v>
      </c>
      <c r="H1426" s="1">
        <v>1.0</v>
      </c>
      <c r="I1426" s="1">
        <v>0.0</v>
      </c>
      <c r="J1426" s="1">
        <v>0.0</v>
      </c>
      <c r="K1426" s="1">
        <v>1.0</v>
      </c>
      <c r="L1426" s="1">
        <v>8.0</v>
      </c>
      <c r="M1426" s="1">
        <v>0.125</v>
      </c>
      <c r="N1426" s="1">
        <v>11.21000004</v>
      </c>
    </row>
    <row r="1427" ht="15.75" customHeight="1">
      <c r="A1427" s="1" t="s">
        <v>160</v>
      </c>
      <c r="B1427" s="1" t="s">
        <v>65</v>
      </c>
      <c r="C1427" s="5">
        <v>45541.0</v>
      </c>
      <c r="D1427" s="1" t="s">
        <v>161</v>
      </c>
      <c r="E1427" s="1" t="s">
        <v>11</v>
      </c>
      <c r="F1427" s="1" t="s">
        <v>162</v>
      </c>
      <c r="H1427" s="1">
        <v>0.0</v>
      </c>
      <c r="I1427" s="1">
        <v>0.0</v>
      </c>
      <c r="J1427" s="1">
        <v>0.0</v>
      </c>
      <c r="K1427" s="1">
        <v>0.0</v>
      </c>
      <c r="L1427" s="1">
        <v>0.0</v>
      </c>
      <c r="N1427" s="1">
        <v>5.440000057</v>
      </c>
    </row>
    <row r="1428" ht="15.75" customHeight="1">
      <c r="A1428" s="1" t="s">
        <v>160</v>
      </c>
      <c r="B1428" s="1" t="s">
        <v>95</v>
      </c>
      <c r="C1428" s="5">
        <v>45541.0</v>
      </c>
      <c r="D1428" s="1" t="s">
        <v>161</v>
      </c>
      <c r="E1428" s="1" t="s">
        <v>11</v>
      </c>
      <c r="F1428" s="1" t="s">
        <v>165</v>
      </c>
      <c r="H1428" s="1">
        <v>0.0</v>
      </c>
      <c r="I1428" s="1">
        <v>0.0</v>
      </c>
      <c r="J1428" s="1">
        <v>0.0</v>
      </c>
      <c r="K1428" s="1">
        <v>2.0</v>
      </c>
      <c r="L1428" s="1">
        <v>8.0</v>
      </c>
      <c r="M1428" s="1">
        <v>0.25</v>
      </c>
      <c r="N1428" s="1">
        <v>8.590000153</v>
      </c>
    </row>
    <row r="1429" ht="15.75" customHeight="1">
      <c r="A1429" s="1" t="s">
        <v>160</v>
      </c>
      <c r="B1429" s="1" t="s">
        <v>77</v>
      </c>
      <c r="C1429" s="5">
        <v>45541.0</v>
      </c>
      <c r="D1429" s="1" t="s">
        <v>161</v>
      </c>
      <c r="E1429" s="1" t="s">
        <v>11</v>
      </c>
      <c r="F1429" s="1" t="s">
        <v>162</v>
      </c>
      <c r="H1429" s="1">
        <v>0.0</v>
      </c>
      <c r="I1429" s="1">
        <v>1.0</v>
      </c>
      <c r="J1429" s="1">
        <v>0.0</v>
      </c>
      <c r="K1429" s="1">
        <v>9.0</v>
      </c>
      <c r="L1429" s="1">
        <v>10.0</v>
      </c>
      <c r="M1429" s="1">
        <v>0.9</v>
      </c>
      <c r="N1429" s="1">
        <v>13.02999973</v>
      </c>
    </row>
    <row r="1430" ht="15.75" customHeight="1">
      <c r="A1430" s="1" t="s">
        <v>164</v>
      </c>
      <c r="B1430" s="1" t="s">
        <v>22</v>
      </c>
      <c r="C1430" s="5">
        <v>45541.0</v>
      </c>
      <c r="D1430" s="1" t="s">
        <v>161</v>
      </c>
      <c r="E1430" s="1" t="s">
        <v>11</v>
      </c>
      <c r="F1430" s="1" t="s">
        <v>165</v>
      </c>
      <c r="H1430" s="1">
        <v>0.0</v>
      </c>
      <c r="I1430" s="1">
        <v>0.0</v>
      </c>
      <c r="J1430" s="1">
        <v>0.0</v>
      </c>
      <c r="K1430" s="1">
        <v>0.0</v>
      </c>
      <c r="L1430" s="1">
        <v>0.0</v>
      </c>
      <c r="N1430" s="1">
        <v>0.0</v>
      </c>
    </row>
    <row r="1431" ht="15.75" customHeight="1">
      <c r="A1431" s="1" t="s">
        <v>164</v>
      </c>
      <c r="B1431" s="1" t="s">
        <v>22</v>
      </c>
      <c r="C1431" s="5">
        <v>45541.0</v>
      </c>
      <c r="D1431" s="1" t="s">
        <v>161</v>
      </c>
      <c r="E1431" s="1" t="s">
        <v>11</v>
      </c>
      <c r="F1431" s="1" t="s">
        <v>166</v>
      </c>
      <c r="H1431" s="1">
        <v>0.0</v>
      </c>
      <c r="I1431" s="1">
        <v>0.0</v>
      </c>
      <c r="J1431" s="1">
        <v>0.0</v>
      </c>
      <c r="K1431" s="1">
        <v>1.0</v>
      </c>
      <c r="L1431" s="1">
        <v>3.0</v>
      </c>
      <c r="M1431" s="1">
        <v>0.333333333</v>
      </c>
      <c r="N1431" s="1">
        <v>25.12000084</v>
      </c>
    </row>
    <row r="1432" ht="15.75" customHeight="1">
      <c r="A1432" s="1" t="s">
        <v>164</v>
      </c>
      <c r="B1432" s="1" t="s">
        <v>35</v>
      </c>
      <c r="C1432" s="5">
        <v>45541.0</v>
      </c>
      <c r="D1432" s="1" t="s">
        <v>161</v>
      </c>
      <c r="E1432" s="1" t="s">
        <v>11</v>
      </c>
      <c r="F1432" s="1" t="s">
        <v>166</v>
      </c>
      <c r="H1432" s="1">
        <v>0.0</v>
      </c>
      <c r="I1432" s="1">
        <v>4.0</v>
      </c>
      <c r="J1432" s="1">
        <v>0.0</v>
      </c>
      <c r="K1432" s="1">
        <v>57.0</v>
      </c>
      <c r="L1432" s="1">
        <v>66.0</v>
      </c>
      <c r="M1432" s="1">
        <v>0.863636364</v>
      </c>
      <c r="N1432" s="1">
        <v>49.75999832</v>
      </c>
    </row>
    <row r="1433" ht="15.75" customHeight="1">
      <c r="A1433" s="1" t="s">
        <v>164</v>
      </c>
      <c r="B1433" s="1" t="s">
        <v>207</v>
      </c>
      <c r="C1433" s="5">
        <v>45541.0</v>
      </c>
      <c r="D1433" s="1" t="s">
        <v>161</v>
      </c>
      <c r="E1433" s="1" t="s">
        <v>11</v>
      </c>
      <c r="F1433" s="1" t="s">
        <v>166</v>
      </c>
      <c r="G1433" s="1" t="s">
        <v>172</v>
      </c>
      <c r="H1433" s="1">
        <v>1.0</v>
      </c>
      <c r="I1433" s="1">
        <v>0.0</v>
      </c>
      <c r="J1433" s="1">
        <v>0.0</v>
      </c>
      <c r="K1433" s="1">
        <v>3.0</v>
      </c>
      <c r="L1433" s="1">
        <v>8.0</v>
      </c>
      <c r="M1433" s="1">
        <v>0.375</v>
      </c>
      <c r="N1433" s="1">
        <v>5.809999943</v>
      </c>
    </row>
    <row r="1434" ht="15.75" customHeight="1">
      <c r="A1434" s="1" t="s">
        <v>164</v>
      </c>
      <c r="B1434" s="1" t="s">
        <v>55</v>
      </c>
      <c r="C1434" s="5">
        <v>45541.0</v>
      </c>
      <c r="D1434" s="1" t="s">
        <v>161</v>
      </c>
      <c r="E1434" s="1" t="s">
        <v>11</v>
      </c>
      <c r="F1434" s="1" t="s">
        <v>166</v>
      </c>
      <c r="H1434" s="1">
        <v>0.0</v>
      </c>
      <c r="I1434" s="1">
        <v>0.0</v>
      </c>
      <c r="J1434" s="1">
        <v>0.0</v>
      </c>
      <c r="K1434" s="1">
        <v>3.0</v>
      </c>
      <c r="L1434" s="1">
        <v>14.0</v>
      </c>
      <c r="M1434" s="1">
        <v>0.214285714</v>
      </c>
      <c r="N1434" s="1">
        <v>11.59000015</v>
      </c>
    </row>
    <row r="1435" ht="15.75" customHeight="1">
      <c r="A1435" s="1" t="s">
        <v>164</v>
      </c>
      <c r="B1435" s="1" t="s">
        <v>196</v>
      </c>
      <c r="C1435" s="5">
        <v>45541.0</v>
      </c>
      <c r="D1435" s="1" t="s">
        <v>161</v>
      </c>
      <c r="E1435" s="1" t="s">
        <v>11</v>
      </c>
      <c r="F1435" s="1" t="s">
        <v>165</v>
      </c>
      <c r="H1435" s="1">
        <v>0.0</v>
      </c>
      <c r="I1435" s="1">
        <v>0.0</v>
      </c>
      <c r="J1435" s="1">
        <v>0.0</v>
      </c>
      <c r="K1435" s="1">
        <v>13.0</v>
      </c>
      <c r="L1435" s="1">
        <v>21.0</v>
      </c>
      <c r="M1435" s="1">
        <v>0.619047619</v>
      </c>
      <c r="N1435" s="1">
        <v>25.19000053</v>
      </c>
    </row>
    <row r="1436" ht="15.75" customHeight="1">
      <c r="A1436" s="1" t="s">
        <v>164</v>
      </c>
      <c r="B1436" s="1" t="s">
        <v>231</v>
      </c>
      <c r="C1436" s="5">
        <v>45541.0</v>
      </c>
      <c r="D1436" s="1" t="s">
        <v>161</v>
      </c>
      <c r="E1436" s="1" t="s">
        <v>11</v>
      </c>
      <c r="F1436" s="1" t="s">
        <v>166</v>
      </c>
      <c r="H1436" s="1">
        <v>0.0</v>
      </c>
      <c r="I1436" s="1">
        <v>1.0</v>
      </c>
      <c r="J1436" s="1">
        <v>0.0</v>
      </c>
      <c r="K1436" s="1">
        <v>23.0</v>
      </c>
      <c r="L1436" s="1">
        <v>32.0</v>
      </c>
      <c r="M1436" s="1">
        <v>0.71875</v>
      </c>
      <c r="N1436" s="1">
        <v>49.34000015</v>
      </c>
    </row>
    <row r="1437" ht="15.75" customHeight="1">
      <c r="A1437" s="1" t="s">
        <v>164</v>
      </c>
      <c r="B1437" s="1" t="s">
        <v>60</v>
      </c>
      <c r="C1437" s="5">
        <v>45541.0</v>
      </c>
      <c r="D1437" s="1" t="s">
        <v>161</v>
      </c>
      <c r="E1437" s="1" t="s">
        <v>11</v>
      </c>
      <c r="F1437" s="1" t="s">
        <v>166</v>
      </c>
      <c r="H1437" s="1">
        <v>0.0</v>
      </c>
      <c r="I1437" s="1">
        <v>0.0</v>
      </c>
      <c r="J1437" s="1">
        <v>0.0</v>
      </c>
      <c r="K1437" s="1">
        <v>1.0</v>
      </c>
      <c r="L1437" s="1">
        <v>2.0</v>
      </c>
      <c r="M1437" s="1">
        <v>0.5</v>
      </c>
      <c r="N1437" s="1">
        <v>11.5</v>
      </c>
    </row>
    <row r="1438" ht="15.75" customHeight="1">
      <c r="A1438" s="1" t="s">
        <v>164</v>
      </c>
      <c r="B1438" s="1" t="s">
        <v>63</v>
      </c>
      <c r="C1438" s="5">
        <v>45541.0</v>
      </c>
      <c r="D1438" s="1" t="s">
        <v>161</v>
      </c>
      <c r="E1438" s="1" t="s">
        <v>11</v>
      </c>
      <c r="F1438" s="1" t="s">
        <v>166</v>
      </c>
      <c r="H1438" s="1">
        <v>0.0</v>
      </c>
      <c r="I1438" s="1">
        <v>1.0</v>
      </c>
      <c r="J1438" s="1">
        <v>0.0</v>
      </c>
      <c r="K1438" s="1">
        <v>6.0</v>
      </c>
      <c r="L1438" s="1">
        <v>8.0</v>
      </c>
      <c r="M1438" s="1">
        <v>0.75</v>
      </c>
      <c r="N1438" s="1">
        <v>5.480000019</v>
      </c>
    </row>
    <row r="1439" ht="15.75" customHeight="1">
      <c r="A1439" s="1" t="s">
        <v>164</v>
      </c>
      <c r="B1439" s="1" t="s">
        <v>183</v>
      </c>
      <c r="C1439" s="5">
        <v>45541.0</v>
      </c>
      <c r="D1439" s="1" t="s">
        <v>161</v>
      </c>
      <c r="E1439" s="1" t="s">
        <v>11</v>
      </c>
      <c r="F1439" s="1" t="s">
        <v>166</v>
      </c>
      <c r="G1439" s="1" t="s">
        <v>201</v>
      </c>
      <c r="H1439" s="1">
        <v>1.0</v>
      </c>
      <c r="I1439" s="1">
        <v>2.0</v>
      </c>
      <c r="J1439" s="1">
        <v>0.0</v>
      </c>
      <c r="K1439" s="1">
        <v>34.0</v>
      </c>
      <c r="L1439" s="1">
        <v>41.0</v>
      </c>
      <c r="M1439" s="1">
        <v>0.829268293</v>
      </c>
      <c r="N1439" s="1">
        <v>20.32999992</v>
      </c>
    </row>
    <row r="1440" ht="15.75" customHeight="1">
      <c r="A1440" s="1" t="s">
        <v>164</v>
      </c>
      <c r="B1440" s="1" t="s">
        <v>197</v>
      </c>
      <c r="C1440" s="5">
        <v>45541.0</v>
      </c>
      <c r="D1440" s="1" t="s">
        <v>161</v>
      </c>
      <c r="E1440" s="1" t="s">
        <v>11</v>
      </c>
      <c r="F1440" s="1" t="s">
        <v>166</v>
      </c>
      <c r="G1440" s="1" t="s">
        <v>172</v>
      </c>
      <c r="H1440" s="1">
        <v>1.0</v>
      </c>
      <c r="I1440" s="1">
        <v>1.0</v>
      </c>
      <c r="J1440" s="1">
        <v>0.0</v>
      </c>
      <c r="K1440" s="1">
        <v>15.0</v>
      </c>
      <c r="L1440" s="1">
        <v>20.0</v>
      </c>
      <c r="M1440" s="1">
        <v>0.75</v>
      </c>
      <c r="N1440" s="1">
        <v>15.03999996</v>
      </c>
    </row>
    <row r="1441" ht="15.75" customHeight="1">
      <c r="A1441" s="1" t="s">
        <v>164</v>
      </c>
      <c r="B1441" s="1" t="s">
        <v>74</v>
      </c>
      <c r="C1441" s="5">
        <v>45541.0</v>
      </c>
      <c r="D1441" s="1" t="s">
        <v>161</v>
      </c>
      <c r="E1441" s="1" t="s">
        <v>11</v>
      </c>
      <c r="F1441" s="1" t="s">
        <v>166</v>
      </c>
      <c r="H1441" s="1">
        <v>0.0</v>
      </c>
      <c r="I1441" s="1">
        <v>0.0</v>
      </c>
      <c r="J1441" s="1">
        <v>0.0</v>
      </c>
      <c r="K1441" s="1">
        <v>1.0</v>
      </c>
      <c r="L1441" s="1">
        <v>13.0</v>
      </c>
      <c r="M1441" s="1">
        <v>0.076923077</v>
      </c>
      <c r="N1441" s="1">
        <v>13.72000027</v>
      </c>
    </row>
    <row r="1442" ht="15.75" customHeight="1">
      <c r="A1442" s="1" t="s">
        <v>164</v>
      </c>
      <c r="B1442" s="1" t="s">
        <v>75</v>
      </c>
      <c r="C1442" s="5">
        <v>45541.0</v>
      </c>
      <c r="D1442" s="1" t="s">
        <v>161</v>
      </c>
      <c r="E1442" s="1" t="s">
        <v>11</v>
      </c>
      <c r="F1442" s="1" t="s">
        <v>165</v>
      </c>
      <c r="H1442" s="1">
        <v>0.0</v>
      </c>
      <c r="I1442" s="1">
        <v>1.0</v>
      </c>
      <c r="J1442" s="1">
        <v>0.0</v>
      </c>
      <c r="K1442" s="1">
        <v>21.0</v>
      </c>
      <c r="L1442" s="1">
        <v>31.0</v>
      </c>
      <c r="M1442" s="1">
        <v>0.677419355</v>
      </c>
      <c r="N1442" s="1">
        <v>6.980000019</v>
      </c>
    </row>
    <row r="1443" ht="15.75" customHeight="1">
      <c r="A1443" s="1" t="s">
        <v>164</v>
      </c>
      <c r="B1443" s="1" t="s">
        <v>225</v>
      </c>
      <c r="C1443" s="5">
        <v>45541.0</v>
      </c>
      <c r="D1443" s="1" t="s">
        <v>161</v>
      </c>
      <c r="E1443" s="1" t="s">
        <v>11</v>
      </c>
      <c r="F1443" s="1" t="s">
        <v>166</v>
      </c>
      <c r="G1443" s="1" t="s">
        <v>172</v>
      </c>
      <c r="H1443" s="1">
        <v>1.0</v>
      </c>
      <c r="I1443" s="1">
        <v>3.0</v>
      </c>
      <c r="J1443" s="1">
        <v>0.0</v>
      </c>
      <c r="K1443" s="1">
        <v>55.0</v>
      </c>
      <c r="L1443" s="1">
        <v>75.0</v>
      </c>
      <c r="M1443" s="1">
        <v>0.733333333</v>
      </c>
      <c r="N1443" s="1">
        <v>41.36999893</v>
      </c>
    </row>
    <row r="1444" ht="15.75" customHeight="1">
      <c r="A1444" s="1" t="s">
        <v>180</v>
      </c>
      <c r="B1444" s="1" t="s">
        <v>239</v>
      </c>
      <c r="C1444" s="5">
        <v>45541.0</v>
      </c>
      <c r="D1444" s="1" t="s">
        <v>161</v>
      </c>
      <c r="E1444" s="1" t="s">
        <v>11</v>
      </c>
      <c r="F1444" s="1" t="s">
        <v>166</v>
      </c>
      <c r="H1444" s="1">
        <v>0.0</v>
      </c>
      <c r="I1444" s="1">
        <v>1.0</v>
      </c>
      <c r="J1444" s="1">
        <v>0.0</v>
      </c>
      <c r="K1444" s="1">
        <v>50.0</v>
      </c>
      <c r="L1444" s="1">
        <v>81.0</v>
      </c>
      <c r="M1444" s="1">
        <v>0.617283951</v>
      </c>
      <c r="N1444" s="1">
        <v>68.40000153</v>
      </c>
    </row>
    <row r="1445" ht="15.75" customHeight="1">
      <c r="A1445" s="1" t="s">
        <v>180</v>
      </c>
      <c r="B1445" s="1" t="s">
        <v>185</v>
      </c>
      <c r="C1445" s="5">
        <v>45541.0</v>
      </c>
      <c r="D1445" s="1" t="s">
        <v>161</v>
      </c>
      <c r="E1445" s="1" t="s">
        <v>11</v>
      </c>
      <c r="F1445" s="1" t="s">
        <v>166</v>
      </c>
      <c r="H1445" s="1">
        <v>0.0</v>
      </c>
      <c r="I1445" s="1">
        <v>0.0</v>
      </c>
      <c r="J1445" s="1">
        <v>0.0</v>
      </c>
      <c r="K1445" s="1">
        <v>0.0</v>
      </c>
      <c r="L1445" s="1">
        <v>3.0</v>
      </c>
      <c r="M1445" s="1">
        <v>0.0</v>
      </c>
      <c r="N1445" s="1">
        <v>2.049999952</v>
      </c>
    </row>
    <row r="1446" ht="15.75" customHeight="1">
      <c r="A1446" s="1" t="s">
        <v>180</v>
      </c>
      <c r="B1446" s="1" t="s">
        <v>226</v>
      </c>
      <c r="C1446" s="5">
        <v>45541.0</v>
      </c>
      <c r="D1446" s="1" t="s">
        <v>161</v>
      </c>
      <c r="E1446" s="1" t="s">
        <v>11</v>
      </c>
      <c r="F1446" s="1" t="s">
        <v>166</v>
      </c>
      <c r="H1446" s="1">
        <v>0.0</v>
      </c>
      <c r="I1446" s="1">
        <v>1.0</v>
      </c>
      <c r="J1446" s="1">
        <v>0.0</v>
      </c>
      <c r="K1446" s="1">
        <v>9.0</v>
      </c>
      <c r="L1446" s="1">
        <v>10.0</v>
      </c>
      <c r="M1446" s="1">
        <v>0.9</v>
      </c>
      <c r="N1446" s="1">
        <v>21.19000053</v>
      </c>
    </row>
    <row r="1447" ht="15.75" customHeight="1">
      <c r="A1447" s="1" t="s">
        <v>160</v>
      </c>
      <c r="B1447" s="1" t="s">
        <v>65</v>
      </c>
      <c r="C1447" s="5">
        <v>45540.0</v>
      </c>
      <c r="D1447" s="1" t="s">
        <v>161</v>
      </c>
      <c r="E1447" s="1" t="s">
        <v>11</v>
      </c>
      <c r="F1447" s="1" t="s">
        <v>162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N1447" s="1">
        <v>1.049999952</v>
      </c>
    </row>
    <row r="1448" ht="15.75" customHeight="1">
      <c r="A1448" s="1" t="s">
        <v>160</v>
      </c>
      <c r="B1448" s="1" t="s">
        <v>77</v>
      </c>
      <c r="C1448" s="5">
        <v>45540.0</v>
      </c>
      <c r="D1448" s="1" t="s">
        <v>161</v>
      </c>
      <c r="E1448" s="1" t="s">
        <v>11</v>
      </c>
      <c r="F1448" s="1" t="s">
        <v>162</v>
      </c>
      <c r="H1448" s="1">
        <v>0.0</v>
      </c>
      <c r="I1448" s="1">
        <v>0.0</v>
      </c>
      <c r="J1448" s="1">
        <v>0.0</v>
      </c>
      <c r="K1448" s="1">
        <v>2.0</v>
      </c>
      <c r="L1448" s="1">
        <v>4.0</v>
      </c>
      <c r="M1448" s="1">
        <v>0.5</v>
      </c>
      <c r="N1448" s="1">
        <v>3.180000067</v>
      </c>
    </row>
    <row r="1449" ht="15.75" customHeight="1">
      <c r="A1449" s="1" t="s">
        <v>164</v>
      </c>
      <c r="B1449" s="1" t="s">
        <v>35</v>
      </c>
      <c r="C1449" s="5">
        <v>45540.0</v>
      </c>
      <c r="D1449" s="1" t="s">
        <v>161</v>
      </c>
      <c r="E1449" s="1" t="s">
        <v>11</v>
      </c>
      <c r="F1449" s="1" t="s">
        <v>166</v>
      </c>
      <c r="H1449" s="1">
        <v>0.0</v>
      </c>
      <c r="I1449" s="1">
        <v>1.0</v>
      </c>
      <c r="J1449" s="1">
        <v>0.0</v>
      </c>
      <c r="K1449" s="1">
        <v>32.0</v>
      </c>
      <c r="L1449" s="1">
        <v>42.0</v>
      </c>
      <c r="M1449" s="1">
        <v>0.761904762</v>
      </c>
      <c r="N1449" s="1">
        <v>79.81999969</v>
      </c>
    </row>
    <row r="1450" ht="15.75" customHeight="1">
      <c r="A1450" s="1" t="s">
        <v>164</v>
      </c>
      <c r="B1450" s="1" t="s">
        <v>24</v>
      </c>
      <c r="C1450" s="5">
        <v>45540.0</v>
      </c>
      <c r="D1450" s="1" t="s">
        <v>161</v>
      </c>
      <c r="E1450" s="1" t="s">
        <v>11</v>
      </c>
      <c r="F1450" s="1" t="s">
        <v>166</v>
      </c>
      <c r="H1450" s="1">
        <v>0.0</v>
      </c>
      <c r="I1450" s="1">
        <v>1.0</v>
      </c>
      <c r="J1450" s="1">
        <v>0.0</v>
      </c>
      <c r="K1450" s="1">
        <v>3.0</v>
      </c>
      <c r="L1450" s="1">
        <v>3.0</v>
      </c>
      <c r="M1450" s="1">
        <v>1.0</v>
      </c>
      <c r="N1450" s="1">
        <v>4.199999809</v>
      </c>
    </row>
    <row r="1451" ht="15.75" customHeight="1">
      <c r="A1451" s="1" t="s">
        <v>164</v>
      </c>
      <c r="B1451" s="1" t="s">
        <v>207</v>
      </c>
      <c r="C1451" s="5">
        <v>45540.0</v>
      </c>
      <c r="D1451" s="1" t="s">
        <v>161</v>
      </c>
      <c r="E1451" s="1" t="s">
        <v>11</v>
      </c>
      <c r="F1451" s="1" t="s">
        <v>166</v>
      </c>
      <c r="G1451" s="1" t="s">
        <v>172</v>
      </c>
      <c r="H1451" s="1">
        <v>1.0</v>
      </c>
      <c r="I1451" s="1">
        <v>0.0</v>
      </c>
      <c r="J1451" s="1">
        <v>0.0</v>
      </c>
      <c r="K1451" s="1">
        <v>5.0</v>
      </c>
      <c r="L1451" s="1">
        <v>14.0</v>
      </c>
      <c r="M1451" s="1">
        <v>0.357142857</v>
      </c>
      <c r="N1451" s="1">
        <v>5.78000021</v>
      </c>
    </row>
    <row r="1452" ht="15.75" customHeight="1">
      <c r="A1452" s="1" t="s">
        <v>164</v>
      </c>
      <c r="B1452" s="1" t="s">
        <v>52</v>
      </c>
      <c r="C1452" s="5">
        <v>45540.0</v>
      </c>
      <c r="D1452" s="1" t="s">
        <v>161</v>
      </c>
      <c r="E1452" s="1" t="s">
        <v>11</v>
      </c>
      <c r="F1452" s="1" t="s">
        <v>165</v>
      </c>
      <c r="G1452" s="1" t="s">
        <v>163</v>
      </c>
      <c r="H1452" s="1">
        <v>1.0</v>
      </c>
      <c r="I1452" s="1">
        <v>1.0</v>
      </c>
      <c r="J1452" s="1">
        <v>0.0</v>
      </c>
      <c r="K1452" s="1">
        <v>25.0</v>
      </c>
      <c r="L1452" s="1">
        <v>38.0</v>
      </c>
      <c r="M1452" s="1">
        <v>0.657894737</v>
      </c>
      <c r="N1452" s="1">
        <v>56.13999939</v>
      </c>
    </row>
    <row r="1453" ht="15.75" customHeight="1">
      <c r="A1453" s="1" t="s">
        <v>164</v>
      </c>
      <c r="B1453" s="1" t="s">
        <v>52</v>
      </c>
      <c r="C1453" s="5">
        <v>45540.0</v>
      </c>
      <c r="D1453" s="1" t="s">
        <v>161</v>
      </c>
      <c r="E1453" s="1" t="s">
        <v>11</v>
      </c>
      <c r="F1453" s="1" t="s">
        <v>162</v>
      </c>
      <c r="G1453" s="1" t="s">
        <v>163</v>
      </c>
      <c r="H1453" s="1">
        <v>1.0</v>
      </c>
      <c r="I1453" s="1">
        <v>0.0</v>
      </c>
      <c r="J1453" s="1">
        <v>0.0</v>
      </c>
      <c r="K1453" s="1">
        <v>2.0</v>
      </c>
      <c r="L1453" s="1">
        <v>3.0</v>
      </c>
      <c r="M1453" s="1">
        <v>0.666666667</v>
      </c>
      <c r="N1453" s="1">
        <v>0.0</v>
      </c>
    </row>
    <row r="1454" ht="15.75" customHeight="1">
      <c r="A1454" s="1" t="s">
        <v>164</v>
      </c>
      <c r="B1454" s="1" t="s">
        <v>55</v>
      </c>
      <c r="C1454" s="5">
        <v>45540.0</v>
      </c>
      <c r="D1454" s="1" t="s">
        <v>161</v>
      </c>
      <c r="E1454" s="1" t="s">
        <v>11</v>
      </c>
      <c r="F1454" s="1" t="s">
        <v>166</v>
      </c>
      <c r="H1454" s="1">
        <v>0.0</v>
      </c>
      <c r="I1454" s="1">
        <v>0.0</v>
      </c>
      <c r="J1454" s="1">
        <v>0.0</v>
      </c>
      <c r="K1454" s="1">
        <v>1.0</v>
      </c>
      <c r="L1454" s="1">
        <v>1.0</v>
      </c>
      <c r="M1454" s="1">
        <v>1.0</v>
      </c>
      <c r="N1454" s="1">
        <v>2.269999981</v>
      </c>
    </row>
    <row r="1455" ht="15.75" customHeight="1">
      <c r="A1455" s="1" t="s">
        <v>164</v>
      </c>
      <c r="B1455" s="1" t="s">
        <v>70</v>
      </c>
      <c r="C1455" s="5">
        <v>45540.0</v>
      </c>
      <c r="D1455" s="1" t="s">
        <v>161</v>
      </c>
      <c r="E1455" s="1" t="s">
        <v>11</v>
      </c>
      <c r="F1455" s="1" t="s">
        <v>166</v>
      </c>
      <c r="H1455" s="1">
        <v>0.0</v>
      </c>
      <c r="I1455" s="1">
        <v>0.0</v>
      </c>
      <c r="J1455" s="1">
        <v>0.0</v>
      </c>
      <c r="K1455" s="1">
        <v>1.0</v>
      </c>
      <c r="L1455" s="1">
        <v>2.0</v>
      </c>
      <c r="M1455" s="1">
        <v>0.5</v>
      </c>
      <c r="N1455" s="1">
        <v>5.110000134</v>
      </c>
    </row>
    <row r="1456" ht="15.75" customHeight="1">
      <c r="A1456" s="1" t="s">
        <v>164</v>
      </c>
      <c r="B1456" s="1" t="s">
        <v>231</v>
      </c>
      <c r="C1456" s="5">
        <v>45540.0</v>
      </c>
      <c r="D1456" s="1" t="s">
        <v>161</v>
      </c>
      <c r="E1456" s="1" t="s">
        <v>11</v>
      </c>
      <c r="F1456" s="1" t="s">
        <v>166</v>
      </c>
      <c r="H1456" s="1">
        <v>0.0</v>
      </c>
      <c r="I1456" s="1">
        <v>1.0</v>
      </c>
      <c r="J1456" s="1">
        <v>0.0</v>
      </c>
      <c r="K1456" s="1">
        <v>11.0</v>
      </c>
      <c r="L1456" s="1">
        <v>14.0</v>
      </c>
      <c r="M1456" s="1">
        <v>0.785714286</v>
      </c>
      <c r="N1456" s="1">
        <v>54.88000107</v>
      </c>
    </row>
    <row r="1457" ht="15.75" customHeight="1">
      <c r="A1457" s="1" t="s">
        <v>164</v>
      </c>
      <c r="B1457" s="1" t="s">
        <v>63</v>
      </c>
      <c r="C1457" s="5">
        <v>45540.0</v>
      </c>
      <c r="D1457" s="1" t="s">
        <v>161</v>
      </c>
      <c r="E1457" s="1" t="s">
        <v>11</v>
      </c>
      <c r="F1457" s="1" t="s">
        <v>166</v>
      </c>
      <c r="H1457" s="1">
        <v>0.0</v>
      </c>
      <c r="I1457" s="1">
        <v>0.0</v>
      </c>
      <c r="J1457" s="1">
        <v>0.0</v>
      </c>
      <c r="K1457" s="1">
        <v>8.0</v>
      </c>
      <c r="L1457" s="1">
        <v>12.0</v>
      </c>
      <c r="M1457" s="1">
        <v>0.666666667</v>
      </c>
      <c r="N1457" s="1">
        <v>12.56999969</v>
      </c>
    </row>
    <row r="1458" ht="15.75" customHeight="1">
      <c r="A1458" s="1" t="s">
        <v>164</v>
      </c>
      <c r="B1458" s="1" t="s">
        <v>183</v>
      </c>
      <c r="C1458" s="5">
        <v>45540.0</v>
      </c>
      <c r="D1458" s="1" t="s">
        <v>161</v>
      </c>
      <c r="E1458" s="1" t="s">
        <v>11</v>
      </c>
      <c r="F1458" s="1" t="s">
        <v>166</v>
      </c>
      <c r="H1458" s="1">
        <v>0.0</v>
      </c>
      <c r="I1458" s="1">
        <v>1.0</v>
      </c>
      <c r="J1458" s="1">
        <v>0.0</v>
      </c>
      <c r="K1458" s="1">
        <v>12.0</v>
      </c>
      <c r="L1458" s="1">
        <v>13.0</v>
      </c>
      <c r="M1458" s="1">
        <v>0.923076923</v>
      </c>
      <c r="N1458" s="1">
        <v>4.920000076</v>
      </c>
    </row>
    <row r="1459" ht="15.75" customHeight="1">
      <c r="A1459" s="1" t="s">
        <v>164</v>
      </c>
      <c r="B1459" s="1" t="s">
        <v>197</v>
      </c>
      <c r="C1459" s="5">
        <v>45540.0</v>
      </c>
      <c r="D1459" s="1" t="s">
        <v>161</v>
      </c>
      <c r="E1459" s="1" t="s">
        <v>11</v>
      </c>
      <c r="F1459" s="1" t="s">
        <v>166</v>
      </c>
      <c r="H1459" s="1">
        <v>0.0</v>
      </c>
      <c r="I1459" s="1">
        <v>1.0</v>
      </c>
      <c r="J1459" s="1">
        <v>0.0</v>
      </c>
      <c r="K1459" s="1">
        <v>17.0</v>
      </c>
      <c r="L1459" s="1">
        <v>21.0</v>
      </c>
      <c r="M1459" s="1">
        <v>0.80952381</v>
      </c>
      <c r="N1459" s="1">
        <v>5.210000038</v>
      </c>
    </row>
    <row r="1460" ht="15.75" customHeight="1">
      <c r="A1460" s="1" t="s">
        <v>164</v>
      </c>
      <c r="B1460" s="1" t="s">
        <v>74</v>
      </c>
      <c r="C1460" s="5">
        <v>45540.0</v>
      </c>
      <c r="D1460" s="1" t="s">
        <v>161</v>
      </c>
      <c r="E1460" s="1" t="s">
        <v>11</v>
      </c>
      <c r="F1460" s="1" t="s">
        <v>166</v>
      </c>
      <c r="H1460" s="1">
        <v>0.0</v>
      </c>
      <c r="I1460" s="1">
        <v>0.0</v>
      </c>
      <c r="J1460" s="1">
        <v>0.0</v>
      </c>
      <c r="K1460" s="1">
        <v>1.0</v>
      </c>
      <c r="L1460" s="1">
        <v>9.0</v>
      </c>
      <c r="M1460" s="1">
        <v>0.111111111</v>
      </c>
      <c r="N1460" s="1">
        <v>16.90999985</v>
      </c>
    </row>
    <row r="1461" ht="15.75" customHeight="1">
      <c r="A1461" s="1" t="s">
        <v>164</v>
      </c>
      <c r="B1461" s="1" t="s">
        <v>205</v>
      </c>
      <c r="C1461" s="5">
        <v>45540.0</v>
      </c>
      <c r="D1461" s="1" t="s">
        <v>161</v>
      </c>
      <c r="E1461" s="1" t="s">
        <v>11</v>
      </c>
      <c r="F1461" s="1" t="s">
        <v>166</v>
      </c>
      <c r="H1461" s="1">
        <v>0.0</v>
      </c>
      <c r="I1461" s="1">
        <v>0.0</v>
      </c>
      <c r="J1461" s="1">
        <v>0.0</v>
      </c>
      <c r="K1461" s="1">
        <v>2.0</v>
      </c>
      <c r="L1461" s="1">
        <v>9.0</v>
      </c>
      <c r="M1461" s="1">
        <v>0.222222222</v>
      </c>
      <c r="N1461" s="1">
        <v>9.569999695</v>
      </c>
    </row>
    <row r="1462" ht="15.75" customHeight="1">
      <c r="A1462" s="1" t="s">
        <v>164</v>
      </c>
      <c r="B1462" s="1" t="s">
        <v>75</v>
      </c>
      <c r="C1462" s="5">
        <v>45540.0</v>
      </c>
      <c r="D1462" s="1" t="s">
        <v>161</v>
      </c>
      <c r="E1462" s="1" t="s">
        <v>11</v>
      </c>
      <c r="F1462" s="1" t="s">
        <v>165</v>
      </c>
      <c r="G1462" s="1" t="s">
        <v>172</v>
      </c>
      <c r="H1462" s="1">
        <v>1.0</v>
      </c>
      <c r="I1462" s="1">
        <v>2.0</v>
      </c>
      <c r="J1462" s="1">
        <v>0.0</v>
      </c>
      <c r="K1462" s="1">
        <v>107.0</v>
      </c>
      <c r="L1462" s="1">
        <v>142.0</v>
      </c>
      <c r="M1462" s="1">
        <v>0.753521127</v>
      </c>
      <c r="N1462" s="1">
        <v>16.54999924</v>
      </c>
    </row>
    <row r="1463" ht="15.75" customHeight="1">
      <c r="A1463" s="1" t="s">
        <v>164</v>
      </c>
      <c r="B1463" s="1" t="s">
        <v>225</v>
      </c>
      <c r="C1463" s="5">
        <v>45540.0</v>
      </c>
      <c r="D1463" s="1" t="s">
        <v>161</v>
      </c>
      <c r="E1463" s="1" t="s">
        <v>11</v>
      </c>
      <c r="F1463" s="1" t="s">
        <v>166</v>
      </c>
      <c r="G1463" s="1" t="s">
        <v>200</v>
      </c>
      <c r="H1463" s="1">
        <v>2.0</v>
      </c>
      <c r="I1463" s="1">
        <v>1.0</v>
      </c>
      <c r="J1463" s="1">
        <v>0.0</v>
      </c>
      <c r="K1463" s="1">
        <v>17.0</v>
      </c>
      <c r="L1463" s="1">
        <v>21.0</v>
      </c>
      <c r="M1463" s="1">
        <v>0.80952381</v>
      </c>
      <c r="N1463" s="1">
        <v>8.050000191</v>
      </c>
    </row>
    <row r="1464" ht="15.75" customHeight="1">
      <c r="A1464" s="1" t="s">
        <v>180</v>
      </c>
      <c r="B1464" s="1" t="s">
        <v>239</v>
      </c>
      <c r="C1464" s="5">
        <v>45540.0</v>
      </c>
      <c r="D1464" s="1" t="s">
        <v>161</v>
      </c>
      <c r="E1464" s="1" t="s">
        <v>11</v>
      </c>
      <c r="F1464" s="1" t="s">
        <v>166</v>
      </c>
      <c r="G1464" s="1" t="s">
        <v>172</v>
      </c>
      <c r="H1464" s="1">
        <v>1.0</v>
      </c>
      <c r="I1464" s="1">
        <v>1.0</v>
      </c>
      <c r="J1464" s="1">
        <v>0.0</v>
      </c>
      <c r="K1464" s="1">
        <v>38.0</v>
      </c>
      <c r="L1464" s="1">
        <v>61.0</v>
      </c>
      <c r="M1464" s="1">
        <v>0.62295082</v>
      </c>
      <c r="N1464" s="1">
        <v>40.72999954</v>
      </c>
    </row>
    <row r="1465" ht="15.75" customHeight="1">
      <c r="A1465" s="1" t="s">
        <v>180</v>
      </c>
      <c r="B1465" s="1" t="s">
        <v>238</v>
      </c>
      <c r="C1465" s="5">
        <v>45540.0</v>
      </c>
      <c r="D1465" s="1" t="s">
        <v>161</v>
      </c>
      <c r="E1465" s="1" t="s">
        <v>11</v>
      </c>
      <c r="F1465" s="1" t="s">
        <v>166</v>
      </c>
      <c r="H1465" s="1">
        <v>0.0</v>
      </c>
      <c r="I1465" s="1">
        <v>0.0</v>
      </c>
      <c r="J1465" s="1">
        <v>0.0</v>
      </c>
      <c r="K1465" s="1">
        <v>9.0</v>
      </c>
      <c r="L1465" s="1">
        <v>16.0</v>
      </c>
      <c r="M1465" s="1">
        <v>0.5625</v>
      </c>
      <c r="N1465" s="1">
        <v>21.06999969</v>
      </c>
    </row>
    <row r="1466" ht="15.75" customHeight="1">
      <c r="A1466" s="1" t="s">
        <v>180</v>
      </c>
      <c r="B1466" s="1" t="s">
        <v>185</v>
      </c>
      <c r="C1466" s="5">
        <v>45540.0</v>
      </c>
      <c r="D1466" s="1" t="s">
        <v>161</v>
      </c>
      <c r="E1466" s="1" t="s">
        <v>11</v>
      </c>
      <c r="H1466" s="1">
        <v>0.0</v>
      </c>
      <c r="J1466" s="1">
        <v>0.0</v>
      </c>
      <c r="N1466" s="1">
        <v>0.050000001</v>
      </c>
    </row>
    <row r="1467" ht="15.75" customHeight="1">
      <c r="A1467" s="1" t="s">
        <v>180</v>
      </c>
      <c r="B1467" s="1" t="s">
        <v>235</v>
      </c>
      <c r="C1467" s="5">
        <v>45540.0</v>
      </c>
      <c r="D1467" s="1" t="s">
        <v>161</v>
      </c>
      <c r="E1467" s="1" t="s">
        <v>11</v>
      </c>
      <c r="F1467" s="1" t="s">
        <v>166</v>
      </c>
      <c r="H1467" s="1">
        <v>0.0</v>
      </c>
      <c r="I1467" s="1">
        <v>0.0</v>
      </c>
      <c r="J1467" s="1">
        <v>0.0</v>
      </c>
      <c r="K1467" s="1">
        <v>13.0</v>
      </c>
      <c r="L1467" s="1">
        <v>27.0</v>
      </c>
      <c r="M1467" s="1">
        <v>0.481481481</v>
      </c>
      <c r="N1467" s="1">
        <v>28.76000023</v>
      </c>
    </row>
    <row r="1468" ht="15.75" customHeight="1">
      <c r="A1468" s="1" t="s">
        <v>180</v>
      </c>
      <c r="B1468" s="1" t="s">
        <v>226</v>
      </c>
      <c r="C1468" s="5">
        <v>45540.0</v>
      </c>
      <c r="D1468" s="1" t="s">
        <v>161</v>
      </c>
      <c r="E1468" s="1" t="s">
        <v>11</v>
      </c>
      <c r="F1468" s="1" t="s">
        <v>166</v>
      </c>
      <c r="H1468" s="1">
        <v>0.0</v>
      </c>
      <c r="I1468" s="1">
        <v>0.0</v>
      </c>
      <c r="J1468" s="1">
        <v>0.0</v>
      </c>
      <c r="K1468" s="1">
        <v>13.0</v>
      </c>
      <c r="L1468" s="1">
        <v>25.0</v>
      </c>
      <c r="M1468" s="1">
        <v>0.52</v>
      </c>
      <c r="N1468" s="1">
        <v>54.18999863</v>
      </c>
    </row>
    <row r="1469" ht="15.75" customHeight="1">
      <c r="A1469" s="1" t="s">
        <v>160</v>
      </c>
      <c r="B1469" s="1" t="s">
        <v>39</v>
      </c>
      <c r="C1469" s="5">
        <v>45539.0</v>
      </c>
      <c r="D1469" s="1" t="s">
        <v>161</v>
      </c>
      <c r="E1469" s="1" t="s">
        <v>11</v>
      </c>
      <c r="H1469" s="1">
        <v>0.0</v>
      </c>
      <c r="J1469" s="1">
        <v>0.0</v>
      </c>
      <c r="N1469" s="1">
        <v>10.81000042</v>
      </c>
    </row>
    <row r="1470" ht="15.75" customHeight="1">
      <c r="A1470" s="1" t="s">
        <v>160</v>
      </c>
      <c r="B1470" s="1" t="s">
        <v>224</v>
      </c>
      <c r="C1470" s="5">
        <v>45539.0</v>
      </c>
      <c r="D1470" s="1" t="s">
        <v>161</v>
      </c>
      <c r="E1470" s="1" t="s">
        <v>11</v>
      </c>
      <c r="H1470" s="1">
        <v>0.0</v>
      </c>
      <c r="J1470" s="1">
        <v>0.0</v>
      </c>
      <c r="N1470" s="1">
        <v>0.029999999</v>
      </c>
    </row>
    <row r="1471" ht="15.75" customHeight="1">
      <c r="A1471" s="1" t="s">
        <v>160</v>
      </c>
      <c r="B1471" s="1" t="s">
        <v>65</v>
      </c>
      <c r="C1471" s="5">
        <v>45539.0</v>
      </c>
      <c r="D1471" s="1" t="s">
        <v>161</v>
      </c>
      <c r="E1471" s="1" t="s">
        <v>11</v>
      </c>
      <c r="F1471" s="1" t="s">
        <v>162</v>
      </c>
      <c r="H1471" s="1">
        <v>0.0</v>
      </c>
      <c r="I1471" s="1">
        <v>0.0</v>
      </c>
      <c r="J1471" s="1">
        <v>0.0</v>
      </c>
      <c r="K1471" s="1">
        <v>1.0</v>
      </c>
      <c r="L1471" s="1">
        <v>3.0</v>
      </c>
      <c r="M1471" s="1">
        <v>0.333333333</v>
      </c>
      <c r="N1471" s="1">
        <v>0.0</v>
      </c>
    </row>
    <row r="1472" ht="15.75" customHeight="1">
      <c r="A1472" s="1" t="s">
        <v>160</v>
      </c>
      <c r="B1472" s="1" t="s">
        <v>77</v>
      </c>
      <c r="C1472" s="5">
        <v>45539.0</v>
      </c>
      <c r="D1472" s="1" t="s">
        <v>161</v>
      </c>
      <c r="E1472" s="1" t="s">
        <v>11</v>
      </c>
      <c r="H1472" s="1">
        <v>0.0</v>
      </c>
      <c r="J1472" s="1">
        <v>0.0</v>
      </c>
      <c r="N1472" s="1">
        <v>8.119999886</v>
      </c>
    </row>
    <row r="1473" ht="15.75" customHeight="1">
      <c r="A1473" s="1" t="s">
        <v>164</v>
      </c>
      <c r="B1473" s="1" t="s">
        <v>35</v>
      </c>
      <c r="C1473" s="5">
        <v>45539.0</v>
      </c>
      <c r="D1473" s="1" t="s">
        <v>161</v>
      </c>
      <c r="E1473" s="1" t="s">
        <v>11</v>
      </c>
      <c r="F1473" s="1" t="s">
        <v>166</v>
      </c>
      <c r="H1473" s="1">
        <v>0.0</v>
      </c>
      <c r="I1473" s="1">
        <v>1.0</v>
      </c>
      <c r="J1473" s="1">
        <v>0.0</v>
      </c>
      <c r="K1473" s="1">
        <v>13.0</v>
      </c>
      <c r="L1473" s="1">
        <v>20.0</v>
      </c>
      <c r="M1473" s="1">
        <v>0.65</v>
      </c>
      <c r="N1473" s="1">
        <v>5.539999962</v>
      </c>
    </row>
    <row r="1474" ht="15.75" customHeight="1">
      <c r="A1474" s="1" t="s">
        <v>164</v>
      </c>
      <c r="B1474" s="1" t="s">
        <v>24</v>
      </c>
      <c r="C1474" s="5">
        <v>45539.0</v>
      </c>
      <c r="D1474" s="1" t="s">
        <v>161</v>
      </c>
      <c r="E1474" s="1" t="s">
        <v>11</v>
      </c>
      <c r="H1474" s="1">
        <v>0.0</v>
      </c>
      <c r="J1474" s="1">
        <v>0.0</v>
      </c>
      <c r="N1474" s="1">
        <v>7.909999847</v>
      </c>
    </row>
    <row r="1475" ht="15.75" customHeight="1">
      <c r="A1475" s="1" t="s">
        <v>164</v>
      </c>
      <c r="B1475" s="1" t="s">
        <v>207</v>
      </c>
      <c r="C1475" s="5">
        <v>45539.0</v>
      </c>
      <c r="D1475" s="1" t="s">
        <v>161</v>
      </c>
      <c r="E1475" s="1" t="s">
        <v>11</v>
      </c>
      <c r="H1475" s="1">
        <v>0.0</v>
      </c>
      <c r="J1475" s="1">
        <v>0.0</v>
      </c>
      <c r="N1475" s="1">
        <v>7.489999771</v>
      </c>
    </row>
    <row r="1476" ht="15.75" customHeight="1">
      <c r="A1476" s="1" t="s">
        <v>164</v>
      </c>
      <c r="B1476" s="1" t="s">
        <v>52</v>
      </c>
      <c r="C1476" s="5">
        <v>45539.0</v>
      </c>
      <c r="D1476" s="1" t="s">
        <v>161</v>
      </c>
      <c r="E1476" s="1" t="s">
        <v>11</v>
      </c>
      <c r="H1476" s="1">
        <v>0.0</v>
      </c>
      <c r="J1476" s="1">
        <v>0.0</v>
      </c>
      <c r="N1476" s="1">
        <v>7.889999866</v>
      </c>
    </row>
    <row r="1477" ht="15.75" customHeight="1">
      <c r="A1477" s="1" t="s">
        <v>164</v>
      </c>
      <c r="B1477" s="1" t="s">
        <v>55</v>
      </c>
      <c r="C1477" s="5">
        <v>45539.0</v>
      </c>
      <c r="D1477" s="1" t="s">
        <v>161</v>
      </c>
      <c r="E1477" s="1" t="s">
        <v>11</v>
      </c>
      <c r="H1477" s="1">
        <v>0.0</v>
      </c>
      <c r="J1477" s="1">
        <v>0.0</v>
      </c>
      <c r="N1477" s="1">
        <v>4.039999962</v>
      </c>
    </row>
    <row r="1478" ht="15.75" customHeight="1">
      <c r="A1478" s="1" t="s">
        <v>164</v>
      </c>
      <c r="B1478" s="1" t="s">
        <v>199</v>
      </c>
      <c r="C1478" s="5">
        <v>45539.0</v>
      </c>
      <c r="D1478" s="1" t="s">
        <v>161</v>
      </c>
      <c r="E1478" s="1" t="s">
        <v>11</v>
      </c>
      <c r="H1478" s="1">
        <v>0.0</v>
      </c>
      <c r="J1478" s="1">
        <v>0.0</v>
      </c>
      <c r="N1478" s="1">
        <v>7.659999847</v>
      </c>
    </row>
    <row r="1479" ht="15.75" customHeight="1">
      <c r="A1479" s="1" t="s">
        <v>164</v>
      </c>
      <c r="B1479" s="1" t="s">
        <v>76</v>
      </c>
      <c r="C1479" s="5">
        <v>45539.0</v>
      </c>
      <c r="D1479" s="1" t="s">
        <v>161</v>
      </c>
      <c r="E1479" s="1" t="s">
        <v>11</v>
      </c>
      <c r="H1479" s="1">
        <v>0.0</v>
      </c>
      <c r="J1479" s="1">
        <v>0.0</v>
      </c>
      <c r="N1479" s="1">
        <v>17.12999916</v>
      </c>
    </row>
    <row r="1480" ht="15.75" customHeight="1">
      <c r="A1480" s="1" t="s">
        <v>164</v>
      </c>
      <c r="B1480" s="1" t="s">
        <v>196</v>
      </c>
      <c r="C1480" s="5">
        <v>45539.0</v>
      </c>
      <c r="D1480" s="1" t="s">
        <v>161</v>
      </c>
      <c r="E1480" s="1" t="s">
        <v>11</v>
      </c>
      <c r="F1480" s="1" t="s">
        <v>165</v>
      </c>
      <c r="H1480" s="1">
        <v>0.0</v>
      </c>
      <c r="I1480" s="1">
        <v>0.0</v>
      </c>
      <c r="J1480" s="1">
        <v>0.0</v>
      </c>
      <c r="K1480" s="1">
        <v>2.0</v>
      </c>
      <c r="L1480" s="1">
        <v>13.0</v>
      </c>
      <c r="M1480" s="1">
        <v>0.153846154</v>
      </c>
      <c r="N1480" s="1">
        <v>0.0</v>
      </c>
    </row>
    <row r="1481" ht="15.75" customHeight="1">
      <c r="A1481" s="1" t="s">
        <v>164</v>
      </c>
      <c r="B1481" s="1" t="s">
        <v>81</v>
      </c>
      <c r="C1481" s="5">
        <v>45539.0</v>
      </c>
      <c r="D1481" s="1" t="s">
        <v>161</v>
      </c>
      <c r="E1481" s="1" t="s">
        <v>11</v>
      </c>
      <c r="H1481" s="1">
        <v>0.0</v>
      </c>
      <c r="J1481" s="1">
        <v>0.0</v>
      </c>
      <c r="N1481" s="1">
        <v>1.019999981</v>
      </c>
    </row>
    <row r="1482" ht="15.75" customHeight="1">
      <c r="A1482" s="1" t="s">
        <v>164</v>
      </c>
      <c r="B1482" s="1" t="s">
        <v>231</v>
      </c>
      <c r="C1482" s="5">
        <v>45539.0</v>
      </c>
      <c r="D1482" s="1" t="s">
        <v>161</v>
      </c>
      <c r="E1482" s="1" t="s">
        <v>11</v>
      </c>
      <c r="H1482" s="1">
        <v>0.0</v>
      </c>
      <c r="J1482" s="1">
        <v>0.0</v>
      </c>
      <c r="N1482" s="1">
        <v>103.7699966</v>
      </c>
    </row>
    <row r="1483" ht="15.75" customHeight="1">
      <c r="A1483" s="1" t="s">
        <v>164</v>
      </c>
      <c r="B1483" s="1" t="s">
        <v>183</v>
      </c>
      <c r="C1483" s="5">
        <v>45539.0</v>
      </c>
      <c r="D1483" s="1" t="s">
        <v>161</v>
      </c>
      <c r="E1483" s="1" t="s">
        <v>11</v>
      </c>
      <c r="H1483" s="1">
        <v>0.0</v>
      </c>
      <c r="J1483" s="1">
        <v>0.0</v>
      </c>
      <c r="N1483" s="1">
        <v>36.75</v>
      </c>
    </row>
    <row r="1484" ht="15.75" customHeight="1">
      <c r="A1484" s="1" t="s">
        <v>164</v>
      </c>
      <c r="B1484" s="1" t="s">
        <v>197</v>
      </c>
      <c r="C1484" s="5">
        <v>45539.0</v>
      </c>
      <c r="D1484" s="1" t="s">
        <v>161</v>
      </c>
      <c r="E1484" s="1" t="s">
        <v>11</v>
      </c>
      <c r="H1484" s="1">
        <v>0.0</v>
      </c>
      <c r="J1484" s="1">
        <v>0.0</v>
      </c>
      <c r="N1484" s="1">
        <v>4.289999962</v>
      </c>
    </row>
    <row r="1485" ht="15.75" customHeight="1">
      <c r="A1485" s="1" t="s">
        <v>164</v>
      </c>
      <c r="B1485" s="1" t="s">
        <v>74</v>
      </c>
      <c r="C1485" s="5">
        <v>45539.0</v>
      </c>
      <c r="D1485" s="1" t="s">
        <v>161</v>
      </c>
      <c r="E1485" s="1" t="s">
        <v>11</v>
      </c>
      <c r="H1485" s="1">
        <v>0.0</v>
      </c>
      <c r="J1485" s="1">
        <v>0.0</v>
      </c>
      <c r="N1485" s="1">
        <v>0.170000002</v>
      </c>
    </row>
    <row r="1486" ht="15.75" customHeight="1">
      <c r="A1486" s="1" t="s">
        <v>164</v>
      </c>
      <c r="B1486" s="1" t="s">
        <v>205</v>
      </c>
      <c r="C1486" s="5">
        <v>45539.0</v>
      </c>
      <c r="D1486" s="1" t="s">
        <v>161</v>
      </c>
      <c r="E1486" s="1" t="s">
        <v>11</v>
      </c>
      <c r="F1486" s="1" t="s">
        <v>165</v>
      </c>
      <c r="H1486" s="1">
        <v>0.0</v>
      </c>
      <c r="I1486" s="1">
        <v>1.0</v>
      </c>
      <c r="J1486" s="1">
        <v>0.0</v>
      </c>
      <c r="K1486" s="1">
        <v>12.0</v>
      </c>
      <c r="L1486" s="1">
        <v>12.0</v>
      </c>
      <c r="M1486" s="1">
        <v>1.0</v>
      </c>
      <c r="N1486" s="1">
        <v>0.0</v>
      </c>
    </row>
    <row r="1487" ht="15.75" customHeight="1">
      <c r="A1487" s="1" t="s">
        <v>164</v>
      </c>
      <c r="B1487" s="1" t="s">
        <v>75</v>
      </c>
      <c r="C1487" s="5">
        <v>45539.0</v>
      </c>
      <c r="D1487" s="1" t="s">
        <v>161</v>
      </c>
      <c r="E1487" s="1" t="s">
        <v>11</v>
      </c>
      <c r="H1487" s="1">
        <v>0.0</v>
      </c>
      <c r="J1487" s="1">
        <v>0.0</v>
      </c>
      <c r="N1487" s="1">
        <v>3.109999895</v>
      </c>
    </row>
    <row r="1488" ht="15.75" customHeight="1">
      <c r="A1488" s="1" t="s">
        <v>164</v>
      </c>
      <c r="B1488" s="1" t="s">
        <v>219</v>
      </c>
      <c r="C1488" s="5">
        <v>45539.0</v>
      </c>
      <c r="D1488" s="1" t="s">
        <v>161</v>
      </c>
      <c r="E1488" s="1" t="s">
        <v>11</v>
      </c>
      <c r="F1488" s="1" t="s">
        <v>165</v>
      </c>
      <c r="H1488" s="1">
        <v>0.0</v>
      </c>
      <c r="I1488" s="1">
        <v>0.0</v>
      </c>
      <c r="J1488" s="1">
        <v>0.0</v>
      </c>
      <c r="K1488" s="1">
        <v>11.0</v>
      </c>
      <c r="L1488" s="1">
        <v>21.0</v>
      </c>
      <c r="M1488" s="1">
        <v>0.523809524</v>
      </c>
      <c r="N1488" s="1">
        <v>5.6199998860000004</v>
      </c>
    </row>
    <row r="1489" ht="15.75" customHeight="1">
      <c r="A1489" s="1" t="s">
        <v>164</v>
      </c>
      <c r="B1489" s="1" t="s">
        <v>225</v>
      </c>
      <c r="C1489" s="5">
        <v>45539.0</v>
      </c>
      <c r="D1489" s="1" t="s">
        <v>161</v>
      </c>
      <c r="E1489" s="1" t="s">
        <v>11</v>
      </c>
      <c r="F1489" s="1" t="s">
        <v>166</v>
      </c>
      <c r="G1489" s="1" t="s">
        <v>172</v>
      </c>
      <c r="H1489" s="1">
        <v>1.0</v>
      </c>
      <c r="I1489" s="1">
        <v>1.0</v>
      </c>
      <c r="J1489" s="1">
        <v>0.0</v>
      </c>
      <c r="K1489" s="1">
        <v>12.0</v>
      </c>
      <c r="L1489" s="1">
        <v>13.0</v>
      </c>
      <c r="M1489" s="1">
        <v>0.923076923</v>
      </c>
      <c r="N1489" s="1">
        <v>12.11999989</v>
      </c>
    </row>
    <row r="1490" ht="15.75" customHeight="1">
      <c r="A1490" s="1" t="s">
        <v>180</v>
      </c>
      <c r="B1490" s="1" t="s">
        <v>239</v>
      </c>
      <c r="C1490" s="5">
        <v>45539.0</v>
      </c>
      <c r="D1490" s="1" t="s">
        <v>161</v>
      </c>
      <c r="E1490" s="1" t="s">
        <v>11</v>
      </c>
      <c r="H1490" s="1">
        <v>0.0</v>
      </c>
      <c r="J1490" s="1">
        <v>0.0</v>
      </c>
      <c r="N1490" s="1">
        <v>9.479999542</v>
      </c>
    </row>
    <row r="1491" ht="15.75" customHeight="1">
      <c r="A1491" s="1" t="s">
        <v>180</v>
      </c>
      <c r="B1491" s="1" t="s">
        <v>235</v>
      </c>
      <c r="C1491" s="5">
        <v>45539.0</v>
      </c>
      <c r="D1491" s="1" t="s">
        <v>161</v>
      </c>
      <c r="E1491" s="1" t="s">
        <v>11</v>
      </c>
      <c r="H1491" s="1">
        <v>0.0</v>
      </c>
      <c r="J1491" s="1">
        <v>0.0</v>
      </c>
      <c r="N1491" s="1">
        <v>24.0</v>
      </c>
    </row>
    <row r="1492" ht="15.75" customHeight="1">
      <c r="A1492" s="1" t="s">
        <v>180</v>
      </c>
      <c r="B1492" s="1" t="s">
        <v>226</v>
      </c>
      <c r="C1492" s="5">
        <v>45539.0</v>
      </c>
      <c r="D1492" s="1" t="s">
        <v>161</v>
      </c>
      <c r="E1492" s="1" t="s">
        <v>11</v>
      </c>
      <c r="H1492" s="1">
        <v>0.0</v>
      </c>
      <c r="J1492" s="1">
        <v>0.0</v>
      </c>
      <c r="N1492" s="1">
        <v>90.12000275</v>
      </c>
    </row>
    <row r="1493" ht="15.75" customHeight="1">
      <c r="A1493" s="1" t="s">
        <v>180</v>
      </c>
      <c r="B1493" s="1" t="s">
        <v>107</v>
      </c>
      <c r="C1493" s="5">
        <v>45539.0</v>
      </c>
      <c r="D1493" s="1" t="s">
        <v>161</v>
      </c>
      <c r="E1493" s="1" t="s">
        <v>11</v>
      </c>
      <c r="H1493" s="1">
        <v>0.0</v>
      </c>
      <c r="J1493" s="1">
        <v>0.0</v>
      </c>
      <c r="N1493" s="1">
        <v>19.64999962</v>
      </c>
    </row>
    <row r="1494" ht="15.75" customHeight="1">
      <c r="A1494" s="1" t="s">
        <v>160</v>
      </c>
      <c r="B1494" s="1" t="s">
        <v>20</v>
      </c>
      <c r="C1494" s="5">
        <v>45538.0</v>
      </c>
      <c r="D1494" s="1" t="s">
        <v>161</v>
      </c>
      <c r="E1494" s="1" t="s">
        <v>11</v>
      </c>
      <c r="F1494" s="1" t="s">
        <v>162</v>
      </c>
      <c r="H1494" s="1">
        <v>0.0</v>
      </c>
      <c r="I1494" s="1">
        <v>0.0</v>
      </c>
      <c r="J1494" s="1">
        <v>0.0</v>
      </c>
      <c r="K1494" s="1">
        <v>0.0</v>
      </c>
      <c r="L1494" s="1">
        <v>0.0</v>
      </c>
      <c r="N1494" s="1">
        <v>0.569999993</v>
      </c>
    </row>
    <row r="1495" ht="15.75" customHeight="1">
      <c r="A1495" s="1" t="s">
        <v>160</v>
      </c>
      <c r="B1495" s="1" t="s">
        <v>39</v>
      </c>
      <c r="C1495" s="5">
        <v>45538.0</v>
      </c>
      <c r="D1495" s="1" t="s">
        <v>161</v>
      </c>
      <c r="E1495" s="1" t="s">
        <v>11</v>
      </c>
      <c r="H1495" s="1">
        <v>0.0</v>
      </c>
      <c r="J1495" s="1">
        <v>0.0</v>
      </c>
      <c r="N1495" s="1">
        <v>2.859999895</v>
      </c>
    </row>
    <row r="1496" ht="15.75" customHeight="1">
      <c r="A1496" s="1" t="s">
        <v>160</v>
      </c>
      <c r="B1496" s="1" t="s">
        <v>65</v>
      </c>
      <c r="C1496" s="5">
        <v>45538.0</v>
      </c>
      <c r="D1496" s="1" t="s">
        <v>161</v>
      </c>
      <c r="E1496" s="1" t="s">
        <v>11</v>
      </c>
      <c r="H1496" s="1">
        <v>0.0</v>
      </c>
      <c r="J1496" s="1">
        <v>0.0</v>
      </c>
      <c r="N1496" s="1">
        <v>8.25</v>
      </c>
    </row>
    <row r="1497" ht="15.75" customHeight="1">
      <c r="A1497" s="1" t="s">
        <v>160</v>
      </c>
      <c r="B1497" s="1" t="s">
        <v>89</v>
      </c>
      <c r="C1497" s="5">
        <v>45538.0</v>
      </c>
      <c r="D1497" s="1" t="s">
        <v>161</v>
      </c>
      <c r="E1497" s="1" t="s">
        <v>11</v>
      </c>
      <c r="F1497" s="1" t="s">
        <v>165</v>
      </c>
      <c r="H1497" s="1">
        <v>0.0</v>
      </c>
      <c r="I1497" s="1">
        <v>0.0</v>
      </c>
      <c r="J1497" s="1">
        <v>0.0</v>
      </c>
      <c r="K1497" s="1">
        <v>2.0</v>
      </c>
      <c r="L1497" s="1">
        <v>12.0</v>
      </c>
      <c r="M1497" s="1">
        <v>0.166666667</v>
      </c>
      <c r="N1497" s="1">
        <v>9.300000191</v>
      </c>
    </row>
    <row r="1498" ht="15.75" customHeight="1">
      <c r="A1498" s="1" t="s">
        <v>160</v>
      </c>
      <c r="B1498" s="1" t="s">
        <v>198</v>
      </c>
      <c r="C1498" s="5">
        <v>45538.0</v>
      </c>
      <c r="D1498" s="1" t="s">
        <v>161</v>
      </c>
      <c r="E1498" s="1" t="s">
        <v>11</v>
      </c>
      <c r="F1498" s="1" t="s">
        <v>162</v>
      </c>
      <c r="H1498" s="1">
        <v>0.0</v>
      </c>
      <c r="I1498" s="1">
        <v>0.0</v>
      </c>
      <c r="J1498" s="1">
        <v>0.0</v>
      </c>
      <c r="K1498" s="1">
        <v>6.0</v>
      </c>
      <c r="L1498" s="1">
        <v>7.0</v>
      </c>
      <c r="M1498" s="1">
        <v>0.857142857</v>
      </c>
      <c r="N1498" s="1">
        <v>15.64999962</v>
      </c>
    </row>
    <row r="1499" ht="15.75" customHeight="1">
      <c r="A1499" s="1" t="s">
        <v>164</v>
      </c>
      <c r="B1499" s="1" t="s">
        <v>22</v>
      </c>
      <c r="C1499" s="5">
        <v>45538.0</v>
      </c>
      <c r="D1499" s="1" t="s">
        <v>161</v>
      </c>
      <c r="E1499" s="1" t="s">
        <v>11</v>
      </c>
      <c r="H1499" s="1">
        <v>0.0</v>
      </c>
      <c r="J1499" s="1">
        <v>0.0</v>
      </c>
      <c r="N1499" s="1">
        <v>0.419999987</v>
      </c>
    </row>
    <row r="1500" ht="15.75" customHeight="1">
      <c r="A1500" s="1" t="s">
        <v>164</v>
      </c>
      <c r="B1500" s="1" t="s">
        <v>35</v>
      </c>
      <c r="C1500" s="5">
        <v>45538.0</v>
      </c>
      <c r="D1500" s="1" t="s">
        <v>161</v>
      </c>
      <c r="E1500" s="1" t="s">
        <v>11</v>
      </c>
      <c r="H1500" s="1">
        <v>0.0</v>
      </c>
      <c r="J1500" s="1">
        <v>0.0</v>
      </c>
      <c r="N1500" s="1">
        <v>38.74000168</v>
      </c>
    </row>
    <row r="1501" ht="15.75" customHeight="1">
      <c r="A1501" s="1" t="s">
        <v>164</v>
      </c>
      <c r="B1501" s="1" t="s">
        <v>76</v>
      </c>
      <c r="C1501" s="5">
        <v>45538.0</v>
      </c>
      <c r="D1501" s="1" t="s">
        <v>161</v>
      </c>
      <c r="E1501" s="1" t="s">
        <v>11</v>
      </c>
      <c r="F1501" s="1" t="s">
        <v>162</v>
      </c>
      <c r="H1501" s="1">
        <v>0.0</v>
      </c>
      <c r="I1501" s="1">
        <v>0.0</v>
      </c>
      <c r="J1501" s="1">
        <v>0.0</v>
      </c>
      <c r="K1501" s="1">
        <v>8.0</v>
      </c>
      <c r="L1501" s="1">
        <v>16.0</v>
      </c>
      <c r="M1501" s="1">
        <v>0.5</v>
      </c>
      <c r="N1501" s="1">
        <v>9.920000076</v>
      </c>
    </row>
    <row r="1502" ht="15.75" customHeight="1">
      <c r="A1502" s="1" t="s">
        <v>164</v>
      </c>
      <c r="B1502" s="1" t="s">
        <v>196</v>
      </c>
      <c r="C1502" s="5">
        <v>45538.0</v>
      </c>
      <c r="D1502" s="1" t="s">
        <v>161</v>
      </c>
      <c r="E1502" s="1" t="s">
        <v>11</v>
      </c>
      <c r="H1502" s="1">
        <v>0.0</v>
      </c>
      <c r="J1502" s="1">
        <v>0.0</v>
      </c>
      <c r="N1502" s="1">
        <v>21.10000038</v>
      </c>
    </row>
    <row r="1503" ht="15.75" customHeight="1">
      <c r="A1503" s="1" t="s">
        <v>164</v>
      </c>
      <c r="B1503" s="1" t="s">
        <v>60</v>
      </c>
      <c r="C1503" s="5">
        <v>45538.0</v>
      </c>
      <c r="D1503" s="1" t="s">
        <v>161</v>
      </c>
      <c r="E1503" s="1" t="s">
        <v>11</v>
      </c>
      <c r="H1503" s="1">
        <v>0.0</v>
      </c>
      <c r="J1503" s="1">
        <v>0.0</v>
      </c>
      <c r="N1503" s="1">
        <v>4.980000019</v>
      </c>
    </row>
    <row r="1504" ht="15.75" customHeight="1">
      <c r="A1504" s="1" t="s">
        <v>164</v>
      </c>
      <c r="B1504" s="1" t="s">
        <v>63</v>
      </c>
      <c r="C1504" s="5">
        <v>45538.0</v>
      </c>
      <c r="D1504" s="1" t="s">
        <v>161</v>
      </c>
      <c r="E1504" s="1" t="s">
        <v>11</v>
      </c>
      <c r="F1504" s="1" t="s">
        <v>166</v>
      </c>
      <c r="H1504" s="1">
        <v>0.0</v>
      </c>
      <c r="I1504" s="1">
        <v>0.0</v>
      </c>
      <c r="J1504" s="1">
        <v>0.0</v>
      </c>
      <c r="K1504" s="1">
        <v>0.0</v>
      </c>
      <c r="L1504" s="1">
        <v>14.0</v>
      </c>
      <c r="M1504" s="1">
        <v>0.0</v>
      </c>
      <c r="N1504" s="1">
        <v>20.64999962</v>
      </c>
    </row>
    <row r="1505" ht="15.75" customHeight="1">
      <c r="A1505" s="1" t="s">
        <v>164</v>
      </c>
      <c r="B1505" s="1" t="s">
        <v>197</v>
      </c>
      <c r="C1505" s="5">
        <v>45538.0</v>
      </c>
      <c r="D1505" s="1" t="s">
        <v>161</v>
      </c>
      <c r="E1505" s="1" t="s">
        <v>11</v>
      </c>
      <c r="F1505" s="1" t="s">
        <v>166</v>
      </c>
      <c r="H1505" s="1">
        <v>0.0</v>
      </c>
      <c r="I1505" s="1">
        <v>0.0</v>
      </c>
      <c r="J1505" s="1">
        <v>0.0</v>
      </c>
      <c r="K1505" s="1">
        <v>1.0</v>
      </c>
      <c r="L1505" s="1">
        <v>3.0</v>
      </c>
      <c r="M1505" s="1">
        <v>0.333333333</v>
      </c>
      <c r="N1505" s="1">
        <v>4.579999924</v>
      </c>
    </row>
    <row r="1506" ht="15.75" customHeight="1">
      <c r="A1506" s="1" t="s">
        <v>164</v>
      </c>
      <c r="B1506" s="1" t="s">
        <v>74</v>
      </c>
      <c r="C1506" s="5">
        <v>45538.0</v>
      </c>
      <c r="D1506" s="1" t="s">
        <v>161</v>
      </c>
      <c r="E1506" s="1" t="s">
        <v>11</v>
      </c>
      <c r="F1506" s="1" t="s">
        <v>166</v>
      </c>
      <c r="G1506" s="1" t="s">
        <v>194</v>
      </c>
      <c r="H1506" s="1">
        <v>1.0</v>
      </c>
      <c r="I1506" s="1">
        <v>0.0</v>
      </c>
      <c r="J1506" s="1">
        <v>0.0</v>
      </c>
      <c r="K1506" s="1">
        <v>8.0</v>
      </c>
      <c r="L1506" s="1">
        <v>18.0</v>
      </c>
      <c r="M1506" s="1">
        <v>0.444444444</v>
      </c>
      <c r="N1506" s="1">
        <v>22.47999954</v>
      </c>
    </row>
    <row r="1507" ht="15.75" customHeight="1">
      <c r="A1507" s="1" t="s">
        <v>164</v>
      </c>
      <c r="B1507" s="1" t="s">
        <v>205</v>
      </c>
      <c r="C1507" s="5">
        <v>45538.0</v>
      </c>
      <c r="D1507" s="1" t="s">
        <v>161</v>
      </c>
      <c r="E1507" s="1" t="s">
        <v>11</v>
      </c>
      <c r="H1507" s="1">
        <v>0.0</v>
      </c>
      <c r="J1507" s="1">
        <v>0.0</v>
      </c>
      <c r="N1507" s="1">
        <v>15.26000023</v>
      </c>
    </row>
    <row r="1508" ht="15.75" customHeight="1">
      <c r="A1508" s="1" t="s">
        <v>164</v>
      </c>
      <c r="B1508" s="1" t="s">
        <v>75</v>
      </c>
      <c r="C1508" s="5">
        <v>45538.0</v>
      </c>
      <c r="D1508" s="1" t="s">
        <v>161</v>
      </c>
      <c r="E1508" s="1" t="s">
        <v>11</v>
      </c>
      <c r="F1508" s="1" t="s">
        <v>165</v>
      </c>
      <c r="G1508" s="1" t="s">
        <v>172</v>
      </c>
      <c r="H1508" s="1">
        <v>1.0</v>
      </c>
      <c r="I1508" s="1">
        <v>1.0</v>
      </c>
      <c r="J1508" s="1">
        <v>0.0</v>
      </c>
      <c r="K1508" s="1">
        <v>16.0</v>
      </c>
      <c r="L1508" s="1">
        <v>21.0</v>
      </c>
      <c r="M1508" s="1">
        <v>0.761904762</v>
      </c>
      <c r="N1508" s="1">
        <v>16.26000023</v>
      </c>
    </row>
    <row r="1509" ht="15.75" customHeight="1">
      <c r="A1509" s="1" t="s">
        <v>164</v>
      </c>
      <c r="B1509" s="1" t="s">
        <v>219</v>
      </c>
      <c r="C1509" s="5">
        <v>45538.0</v>
      </c>
      <c r="D1509" s="1" t="s">
        <v>161</v>
      </c>
      <c r="E1509" s="1" t="s">
        <v>11</v>
      </c>
      <c r="H1509" s="1">
        <v>0.0</v>
      </c>
      <c r="J1509" s="1">
        <v>0.0</v>
      </c>
      <c r="N1509" s="1">
        <v>20.68000031</v>
      </c>
    </row>
    <row r="1510" ht="15.75" customHeight="1">
      <c r="A1510" s="1" t="s">
        <v>164</v>
      </c>
      <c r="B1510" s="1" t="s">
        <v>225</v>
      </c>
      <c r="C1510" s="5">
        <v>45538.0</v>
      </c>
      <c r="D1510" s="1" t="s">
        <v>161</v>
      </c>
      <c r="E1510" s="1" t="s">
        <v>11</v>
      </c>
      <c r="H1510" s="1">
        <v>0.0</v>
      </c>
      <c r="J1510" s="1">
        <v>0.0</v>
      </c>
      <c r="N1510" s="1">
        <v>9.130000114</v>
      </c>
    </row>
    <row r="1511" ht="15.75" customHeight="1">
      <c r="A1511" s="1" t="s">
        <v>180</v>
      </c>
      <c r="B1511" s="1" t="s">
        <v>239</v>
      </c>
      <c r="C1511" s="5">
        <v>45538.0</v>
      </c>
      <c r="D1511" s="1" t="s">
        <v>161</v>
      </c>
      <c r="E1511" s="1" t="s">
        <v>11</v>
      </c>
      <c r="H1511" s="1">
        <v>0.0</v>
      </c>
      <c r="J1511" s="1">
        <v>0.0</v>
      </c>
      <c r="N1511" s="1">
        <v>0.620000005</v>
      </c>
    </row>
    <row r="1512" ht="15.75" customHeight="1">
      <c r="A1512" s="1" t="s">
        <v>180</v>
      </c>
      <c r="B1512" s="1" t="s">
        <v>185</v>
      </c>
      <c r="C1512" s="5">
        <v>45538.0</v>
      </c>
      <c r="D1512" s="1" t="s">
        <v>161</v>
      </c>
      <c r="E1512" s="1" t="s">
        <v>11</v>
      </c>
      <c r="H1512" s="1">
        <v>0.0</v>
      </c>
      <c r="J1512" s="1">
        <v>0.0</v>
      </c>
      <c r="N1512" s="1">
        <v>10.51000023</v>
      </c>
    </row>
    <row r="1513" ht="15.75" customHeight="1">
      <c r="A1513" s="1" t="s">
        <v>180</v>
      </c>
      <c r="B1513" s="1" t="s">
        <v>107</v>
      </c>
      <c r="C1513" s="5">
        <v>45538.0</v>
      </c>
      <c r="D1513" s="1" t="s">
        <v>161</v>
      </c>
      <c r="E1513" s="1" t="s">
        <v>11</v>
      </c>
      <c r="F1513" s="1" t="s">
        <v>166</v>
      </c>
      <c r="H1513" s="1">
        <v>0.0</v>
      </c>
      <c r="I1513" s="1">
        <v>0.0</v>
      </c>
      <c r="J1513" s="1">
        <v>0.0</v>
      </c>
      <c r="K1513" s="1">
        <v>1.0</v>
      </c>
      <c r="L1513" s="1">
        <v>4.0</v>
      </c>
      <c r="M1513" s="1">
        <v>0.25</v>
      </c>
      <c r="N1513" s="1">
        <v>4.1300001139999996</v>
      </c>
    </row>
    <row r="1514" ht="15.75" customHeight="1">
      <c r="A1514" s="1" t="s">
        <v>164</v>
      </c>
      <c r="B1514" s="1" t="s">
        <v>52</v>
      </c>
      <c r="C1514" s="5">
        <v>45537.0</v>
      </c>
      <c r="D1514" s="1" t="s">
        <v>161</v>
      </c>
      <c r="E1514" s="1" t="s">
        <v>11</v>
      </c>
      <c r="F1514" s="1" t="s">
        <v>162</v>
      </c>
      <c r="H1514" s="1">
        <v>0.0</v>
      </c>
      <c r="I1514" s="1">
        <v>0.0</v>
      </c>
      <c r="J1514" s="1">
        <v>0.0</v>
      </c>
      <c r="K1514" s="1">
        <v>0.0</v>
      </c>
      <c r="L1514" s="1">
        <v>0.0</v>
      </c>
      <c r="N1514" s="1">
        <v>0.209999993</v>
      </c>
    </row>
    <row r="1515" ht="15.75" customHeight="1">
      <c r="A1515" s="1" t="s">
        <v>160</v>
      </c>
      <c r="B1515" s="1" t="s">
        <v>230</v>
      </c>
      <c r="C1515" s="5">
        <v>45534.0</v>
      </c>
      <c r="D1515" s="1" t="s">
        <v>161</v>
      </c>
      <c r="E1515" s="1" t="s">
        <v>11</v>
      </c>
      <c r="F1515" s="1" t="s">
        <v>165</v>
      </c>
      <c r="H1515" s="1">
        <v>0.0</v>
      </c>
      <c r="I1515" s="1">
        <v>0.0</v>
      </c>
      <c r="J1515" s="1">
        <v>0.0</v>
      </c>
      <c r="K1515" s="1">
        <v>20.0</v>
      </c>
      <c r="L1515" s="1">
        <v>39.0</v>
      </c>
      <c r="M1515" s="1">
        <v>0.512820513</v>
      </c>
      <c r="N1515" s="1">
        <v>78.93000031</v>
      </c>
    </row>
    <row r="1516" ht="15.75" customHeight="1">
      <c r="A1516" s="1" t="s">
        <v>160</v>
      </c>
      <c r="B1516" s="1" t="s">
        <v>77</v>
      </c>
      <c r="C1516" s="5">
        <v>45534.0</v>
      </c>
      <c r="D1516" s="1" t="s">
        <v>161</v>
      </c>
      <c r="E1516" s="1" t="s">
        <v>11</v>
      </c>
      <c r="H1516" s="1">
        <v>0.0</v>
      </c>
      <c r="J1516" s="1">
        <v>0.0</v>
      </c>
      <c r="N1516" s="1">
        <v>0.029999999</v>
      </c>
    </row>
    <row r="1517" ht="15.75" customHeight="1">
      <c r="A1517" s="1" t="s">
        <v>160</v>
      </c>
      <c r="B1517" s="1" t="s">
        <v>240</v>
      </c>
      <c r="C1517" s="5">
        <v>45533.0</v>
      </c>
      <c r="D1517" s="1" t="s">
        <v>161</v>
      </c>
      <c r="E1517" s="1" t="s">
        <v>11</v>
      </c>
      <c r="H1517" s="1">
        <v>0.0</v>
      </c>
      <c r="J1517" s="1">
        <v>0.0</v>
      </c>
      <c r="N1517" s="1">
        <v>0.150000006</v>
      </c>
    </row>
    <row r="1518" ht="15.75" customHeight="1">
      <c r="A1518" s="1" t="s">
        <v>160</v>
      </c>
      <c r="B1518" s="1" t="s">
        <v>39</v>
      </c>
      <c r="C1518" s="5">
        <v>45533.0</v>
      </c>
      <c r="D1518" s="1" t="s">
        <v>161</v>
      </c>
      <c r="E1518" s="1" t="s">
        <v>11</v>
      </c>
      <c r="F1518" s="1" t="s">
        <v>162</v>
      </c>
      <c r="H1518" s="1">
        <v>0.0</v>
      </c>
      <c r="I1518" s="1">
        <v>0.0</v>
      </c>
      <c r="J1518" s="1">
        <v>0.0</v>
      </c>
      <c r="K1518" s="1">
        <v>8.0</v>
      </c>
      <c r="L1518" s="1">
        <v>11.0</v>
      </c>
      <c r="M1518" s="1">
        <v>0.727272727</v>
      </c>
      <c r="N1518" s="1">
        <v>11.10999966</v>
      </c>
    </row>
    <row r="1519" ht="15.75" customHeight="1">
      <c r="A1519" s="1" t="s">
        <v>160</v>
      </c>
      <c r="B1519" s="1" t="s">
        <v>39</v>
      </c>
      <c r="C1519" s="5">
        <v>45533.0</v>
      </c>
      <c r="D1519" s="1" t="s">
        <v>161</v>
      </c>
      <c r="E1519" s="1" t="s">
        <v>11</v>
      </c>
      <c r="F1519" s="1" t="s">
        <v>166</v>
      </c>
      <c r="H1519" s="1">
        <v>0.0</v>
      </c>
      <c r="I1519" s="1">
        <v>0.0</v>
      </c>
      <c r="J1519" s="1">
        <v>0.0</v>
      </c>
      <c r="K1519" s="1">
        <v>0.0</v>
      </c>
      <c r="L1519" s="1">
        <v>0.0</v>
      </c>
      <c r="N1519" s="1">
        <v>0.0</v>
      </c>
    </row>
    <row r="1520" ht="15.75" customHeight="1">
      <c r="A1520" s="1" t="s">
        <v>160</v>
      </c>
      <c r="B1520" s="1" t="s">
        <v>230</v>
      </c>
      <c r="C1520" s="5">
        <v>45533.0</v>
      </c>
      <c r="D1520" s="1" t="s">
        <v>161</v>
      </c>
      <c r="E1520" s="1" t="s">
        <v>11</v>
      </c>
      <c r="F1520" s="1" t="s">
        <v>165</v>
      </c>
      <c r="H1520" s="1">
        <v>0.0</v>
      </c>
      <c r="I1520" s="1">
        <v>1.0</v>
      </c>
      <c r="J1520" s="1">
        <v>0.0</v>
      </c>
      <c r="K1520" s="1">
        <v>12.0</v>
      </c>
      <c r="L1520" s="1">
        <v>22.0</v>
      </c>
      <c r="M1520" s="1">
        <v>0.545454545</v>
      </c>
      <c r="N1520" s="1">
        <v>25.92000008</v>
      </c>
    </row>
    <row r="1521" ht="15.75" customHeight="1">
      <c r="A1521" s="1" t="s">
        <v>160</v>
      </c>
      <c r="B1521" s="1" t="s">
        <v>65</v>
      </c>
      <c r="C1521" s="5">
        <v>45533.0</v>
      </c>
      <c r="D1521" s="1" t="s">
        <v>161</v>
      </c>
      <c r="E1521" s="1" t="s">
        <v>11</v>
      </c>
      <c r="F1521" s="1" t="s">
        <v>162</v>
      </c>
      <c r="H1521" s="1">
        <v>0.0</v>
      </c>
      <c r="I1521" s="1">
        <v>0.0</v>
      </c>
      <c r="J1521" s="1">
        <v>0.0</v>
      </c>
      <c r="K1521" s="1">
        <v>0.0</v>
      </c>
      <c r="L1521" s="1">
        <v>0.0</v>
      </c>
      <c r="N1521" s="1">
        <v>4.320000172</v>
      </c>
    </row>
    <row r="1522" ht="15.75" customHeight="1">
      <c r="A1522" s="1" t="s">
        <v>160</v>
      </c>
      <c r="B1522" s="1" t="s">
        <v>198</v>
      </c>
      <c r="C1522" s="5">
        <v>45533.0</v>
      </c>
      <c r="D1522" s="1" t="s">
        <v>161</v>
      </c>
      <c r="E1522" s="1" t="s">
        <v>11</v>
      </c>
      <c r="F1522" s="1" t="s">
        <v>162</v>
      </c>
      <c r="H1522" s="1">
        <v>0.0</v>
      </c>
      <c r="I1522" s="1">
        <v>0.0</v>
      </c>
      <c r="J1522" s="1">
        <v>0.0</v>
      </c>
      <c r="K1522" s="1">
        <v>5.0</v>
      </c>
      <c r="L1522" s="1">
        <v>8.0</v>
      </c>
      <c r="M1522" s="1">
        <v>0.625</v>
      </c>
      <c r="N1522" s="1">
        <v>14.02000046</v>
      </c>
    </row>
    <row r="1523" ht="15.75" customHeight="1">
      <c r="A1523" s="1" t="s">
        <v>160</v>
      </c>
      <c r="B1523" s="1" t="s">
        <v>77</v>
      </c>
      <c r="C1523" s="5">
        <v>45533.0</v>
      </c>
      <c r="D1523" s="1" t="s">
        <v>161</v>
      </c>
      <c r="E1523" s="1" t="s">
        <v>11</v>
      </c>
      <c r="F1523" s="1" t="s">
        <v>162</v>
      </c>
      <c r="H1523" s="1">
        <v>0.0</v>
      </c>
      <c r="I1523" s="1">
        <v>0.0</v>
      </c>
      <c r="J1523" s="1">
        <v>0.0</v>
      </c>
      <c r="K1523" s="1">
        <v>8.0</v>
      </c>
      <c r="L1523" s="1">
        <v>10.0</v>
      </c>
      <c r="M1523" s="1">
        <v>0.8</v>
      </c>
      <c r="N1523" s="1">
        <v>10.97999954</v>
      </c>
    </row>
    <row r="1524" ht="15.75" customHeight="1">
      <c r="A1524" s="1" t="s">
        <v>160</v>
      </c>
      <c r="B1524" s="1" t="s">
        <v>94</v>
      </c>
      <c r="C1524" s="5">
        <v>45533.0</v>
      </c>
      <c r="D1524" s="1" t="s">
        <v>161</v>
      </c>
      <c r="E1524" s="1" t="s">
        <v>190</v>
      </c>
      <c r="H1524" s="1">
        <v>0.0</v>
      </c>
      <c r="J1524" s="1">
        <v>0.0</v>
      </c>
      <c r="N1524" s="1">
        <v>0.519999981</v>
      </c>
    </row>
    <row r="1525" ht="15.75" customHeight="1">
      <c r="A1525" s="1" t="s">
        <v>164</v>
      </c>
      <c r="B1525" s="1" t="s">
        <v>22</v>
      </c>
      <c r="C1525" s="5">
        <v>45533.0</v>
      </c>
      <c r="D1525" s="1" t="s">
        <v>161</v>
      </c>
      <c r="E1525" s="1" t="s">
        <v>11</v>
      </c>
      <c r="F1525" s="1" t="s">
        <v>166</v>
      </c>
      <c r="H1525" s="1">
        <v>0.0</v>
      </c>
      <c r="I1525" s="1">
        <v>0.0</v>
      </c>
      <c r="J1525" s="1">
        <v>0.0</v>
      </c>
      <c r="K1525" s="1">
        <v>2.0</v>
      </c>
      <c r="L1525" s="1">
        <v>4.0</v>
      </c>
      <c r="M1525" s="1">
        <v>0.5</v>
      </c>
      <c r="N1525" s="1">
        <v>11.55000019</v>
      </c>
    </row>
    <row r="1526" ht="15.75" customHeight="1">
      <c r="A1526" s="1" t="s">
        <v>164</v>
      </c>
      <c r="B1526" s="1" t="s">
        <v>35</v>
      </c>
      <c r="C1526" s="5">
        <v>45533.0</v>
      </c>
      <c r="D1526" s="1" t="s">
        <v>161</v>
      </c>
      <c r="E1526" s="1" t="s">
        <v>11</v>
      </c>
      <c r="F1526" s="1" t="s">
        <v>166</v>
      </c>
      <c r="H1526" s="1">
        <v>0.0</v>
      </c>
      <c r="I1526" s="1">
        <v>0.0</v>
      </c>
      <c r="J1526" s="1">
        <v>0.0</v>
      </c>
      <c r="K1526" s="1">
        <v>4.0</v>
      </c>
      <c r="L1526" s="1">
        <v>6.0</v>
      </c>
      <c r="M1526" s="1">
        <v>0.666666667</v>
      </c>
      <c r="N1526" s="1">
        <v>8.720000267</v>
      </c>
    </row>
    <row r="1527" ht="15.75" customHeight="1">
      <c r="A1527" s="1" t="s">
        <v>164</v>
      </c>
      <c r="B1527" s="1" t="s">
        <v>24</v>
      </c>
      <c r="C1527" s="5">
        <v>45533.0</v>
      </c>
      <c r="D1527" s="1" t="s">
        <v>161</v>
      </c>
      <c r="E1527" s="1" t="s">
        <v>11</v>
      </c>
      <c r="F1527" s="1" t="s">
        <v>166</v>
      </c>
      <c r="H1527" s="1">
        <v>0.0</v>
      </c>
      <c r="I1527" s="1">
        <v>0.0</v>
      </c>
      <c r="J1527" s="1">
        <v>0.0</v>
      </c>
      <c r="K1527" s="1">
        <v>1.0</v>
      </c>
      <c r="L1527" s="1">
        <v>5.0</v>
      </c>
      <c r="M1527" s="1">
        <v>0.2</v>
      </c>
      <c r="N1527" s="1">
        <v>8.319999695</v>
      </c>
    </row>
    <row r="1528" ht="15.75" customHeight="1">
      <c r="A1528" s="1" t="s">
        <v>164</v>
      </c>
      <c r="B1528" s="1" t="s">
        <v>207</v>
      </c>
      <c r="C1528" s="5">
        <v>45533.0</v>
      </c>
      <c r="D1528" s="1" t="s">
        <v>161</v>
      </c>
      <c r="E1528" s="1" t="s">
        <v>11</v>
      </c>
      <c r="F1528" s="1" t="s">
        <v>166</v>
      </c>
      <c r="H1528" s="1">
        <v>0.0</v>
      </c>
      <c r="I1528" s="1">
        <v>1.0</v>
      </c>
      <c r="J1528" s="1">
        <v>0.0</v>
      </c>
      <c r="K1528" s="1">
        <v>13.0</v>
      </c>
      <c r="L1528" s="1">
        <v>16.0</v>
      </c>
      <c r="M1528" s="1">
        <v>0.8125</v>
      </c>
      <c r="N1528" s="1">
        <v>16.96999931</v>
      </c>
    </row>
    <row r="1529" ht="15.75" customHeight="1">
      <c r="A1529" s="1" t="s">
        <v>164</v>
      </c>
      <c r="B1529" s="1" t="s">
        <v>52</v>
      </c>
      <c r="C1529" s="5">
        <v>45533.0</v>
      </c>
      <c r="D1529" s="1" t="s">
        <v>161</v>
      </c>
      <c r="E1529" s="1" t="s">
        <v>11</v>
      </c>
      <c r="F1529" s="1" t="s">
        <v>165</v>
      </c>
      <c r="H1529" s="1">
        <v>0.0</v>
      </c>
      <c r="I1529" s="1">
        <v>0.0</v>
      </c>
      <c r="J1529" s="1">
        <v>0.0</v>
      </c>
      <c r="K1529" s="1">
        <v>0.0</v>
      </c>
      <c r="L1529" s="1">
        <v>1.0</v>
      </c>
      <c r="M1529" s="1">
        <v>0.0</v>
      </c>
      <c r="N1529" s="1">
        <v>5.340000153</v>
      </c>
    </row>
    <row r="1530" ht="15.75" customHeight="1">
      <c r="A1530" s="1" t="s">
        <v>164</v>
      </c>
      <c r="B1530" s="1" t="s">
        <v>55</v>
      </c>
      <c r="C1530" s="5">
        <v>45533.0</v>
      </c>
      <c r="D1530" s="1" t="s">
        <v>161</v>
      </c>
      <c r="E1530" s="1" t="s">
        <v>11</v>
      </c>
      <c r="F1530" s="1" t="s">
        <v>166</v>
      </c>
      <c r="H1530" s="1">
        <v>0.0</v>
      </c>
      <c r="I1530" s="1">
        <v>0.0</v>
      </c>
      <c r="J1530" s="1">
        <v>0.0</v>
      </c>
      <c r="K1530" s="1">
        <v>4.0</v>
      </c>
      <c r="L1530" s="1">
        <v>9.0</v>
      </c>
      <c r="M1530" s="1">
        <v>0.444444444</v>
      </c>
      <c r="N1530" s="1">
        <v>7.039999962</v>
      </c>
    </row>
    <row r="1531" ht="15.75" customHeight="1">
      <c r="A1531" s="1" t="s">
        <v>164</v>
      </c>
      <c r="B1531" s="1" t="s">
        <v>199</v>
      </c>
      <c r="C1531" s="5">
        <v>45533.0</v>
      </c>
      <c r="D1531" s="1" t="s">
        <v>161</v>
      </c>
      <c r="E1531" s="1" t="s">
        <v>11</v>
      </c>
      <c r="F1531" s="1" t="s">
        <v>162</v>
      </c>
      <c r="H1531" s="1">
        <v>0.0</v>
      </c>
      <c r="I1531" s="1">
        <v>1.0</v>
      </c>
      <c r="J1531" s="1">
        <v>0.0</v>
      </c>
      <c r="K1531" s="1">
        <v>11.0</v>
      </c>
      <c r="L1531" s="1">
        <v>13.0</v>
      </c>
      <c r="M1531" s="1">
        <v>0.846153846</v>
      </c>
      <c r="N1531" s="1">
        <v>12.44999981</v>
      </c>
    </row>
    <row r="1532" ht="15.75" customHeight="1">
      <c r="A1532" s="1" t="s">
        <v>164</v>
      </c>
      <c r="B1532" s="1" t="s">
        <v>76</v>
      </c>
      <c r="C1532" s="5">
        <v>45533.0</v>
      </c>
      <c r="D1532" s="1" t="s">
        <v>161</v>
      </c>
      <c r="E1532" s="1" t="s">
        <v>11</v>
      </c>
      <c r="F1532" s="1" t="s">
        <v>162</v>
      </c>
      <c r="H1532" s="1">
        <v>0.0</v>
      </c>
      <c r="I1532" s="1">
        <v>0.0</v>
      </c>
      <c r="J1532" s="1">
        <v>0.0</v>
      </c>
      <c r="K1532" s="1">
        <v>6.0</v>
      </c>
      <c r="L1532" s="1">
        <v>13.0</v>
      </c>
      <c r="M1532" s="1">
        <v>0.461538462</v>
      </c>
      <c r="N1532" s="1">
        <v>22.82999992</v>
      </c>
    </row>
    <row r="1533" ht="15.75" customHeight="1">
      <c r="A1533" s="1" t="s">
        <v>164</v>
      </c>
      <c r="B1533" s="1" t="s">
        <v>179</v>
      </c>
      <c r="C1533" s="5">
        <v>45533.0</v>
      </c>
      <c r="D1533" s="1" t="s">
        <v>161</v>
      </c>
      <c r="E1533" s="1" t="s">
        <v>11</v>
      </c>
      <c r="F1533" s="1" t="s">
        <v>166</v>
      </c>
      <c r="H1533" s="1">
        <v>0.0</v>
      </c>
      <c r="I1533" s="1">
        <v>0.0</v>
      </c>
      <c r="J1533" s="1">
        <v>0.0</v>
      </c>
      <c r="K1533" s="1">
        <v>4.0</v>
      </c>
      <c r="L1533" s="1">
        <v>7.0</v>
      </c>
      <c r="M1533" s="1">
        <v>0.571428571</v>
      </c>
      <c r="N1533" s="1">
        <v>14.35000038</v>
      </c>
    </row>
    <row r="1534" ht="15.75" customHeight="1">
      <c r="A1534" s="1" t="s">
        <v>164</v>
      </c>
      <c r="B1534" s="1" t="s">
        <v>60</v>
      </c>
      <c r="C1534" s="5">
        <v>45533.0</v>
      </c>
      <c r="D1534" s="1" t="s">
        <v>161</v>
      </c>
      <c r="E1534" s="1" t="s">
        <v>11</v>
      </c>
      <c r="F1534" s="1" t="s">
        <v>162</v>
      </c>
      <c r="H1534" s="1">
        <v>0.0</v>
      </c>
      <c r="I1534" s="1">
        <v>0.0</v>
      </c>
      <c r="J1534" s="1">
        <v>0.0</v>
      </c>
      <c r="K1534" s="1">
        <v>2.0</v>
      </c>
      <c r="L1534" s="1">
        <v>2.0</v>
      </c>
      <c r="M1534" s="1">
        <v>1.0</v>
      </c>
      <c r="N1534" s="1">
        <v>0.0</v>
      </c>
    </row>
    <row r="1535" ht="15.75" customHeight="1">
      <c r="A1535" s="1" t="s">
        <v>164</v>
      </c>
      <c r="B1535" s="1" t="s">
        <v>60</v>
      </c>
      <c r="C1535" s="5">
        <v>45533.0</v>
      </c>
      <c r="D1535" s="1" t="s">
        <v>161</v>
      </c>
      <c r="E1535" s="1" t="s">
        <v>11</v>
      </c>
      <c r="F1535" s="1" t="s">
        <v>166</v>
      </c>
      <c r="H1535" s="1">
        <v>0.0</v>
      </c>
      <c r="I1535" s="1">
        <v>1.0</v>
      </c>
      <c r="J1535" s="1">
        <v>0.0</v>
      </c>
      <c r="K1535" s="1">
        <v>6.0</v>
      </c>
      <c r="L1535" s="1">
        <v>8.0</v>
      </c>
      <c r="M1535" s="1">
        <v>0.75</v>
      </c>
      <c r="N1535" s="1">
        <v>11.06999969</v>
      </c>
    </row>
    <row r="1536" ht="15.75" customHeight="1">
      <c r="A1536" s="1" t="s">
        <v>164</v>
      </c>
      <c r="B1536" s="1" t="s">
        <v>63</v>
      </c>
      <c r="C1536" s="5">
        <v>45533.0</v>
      </c>
      <c r="D1536" s="1" t="s">
        <v>161</v>
      </c>
      <c r="E1536" s="1" t="s">
        <v>11</v>
      </c>
      <c r="F1536" s="1" t="s">
        <v>166</v>
      </c>
      <c r="H1536" s="1">
        <v>0.0</v>
      </c>
      <c r="I1536" s="1">
        <v>0.0</v>
      </c>
      <c r="J1536" s="1">
        <v>0.0</v>
      </c>
      <c r="K1536" s="1">
        <v>6.0</v>
      </c>
      <c r="L1536" s="1">
        <v>8.0</v>
      </c>
      <c r="M1536" s="1">
        <v>0.75</v>
      </c>
      <c r="N1536" s="1">
        <v>8.140000343</v>
      </c>
    </row>
    <row r="1537" ht="15.75" customHeight="1">
      <c r="A1537" s="1" t="s">
        <v>164</v>
      </c>
      <c r="B1537" s="1" t="s">
        <v>68</v>
      </c>
      <c r="C1537" s="5">
        <v>45533.0</v>
      </c>
      <c r="D1537" s="1" t="s">
        <v>161</v>
      </c>
      <c r="E1537" s="1" t="s">
        <v>11</v>
      </c>
      <c r="H1537" s="1">
        <v>0.0</v>
      </c>
      <c r="J1537" s="1">
        <v>0.0</v>
      </c>
      <c r="N1537" s="1">
        <v>1.179999948</v>
      </c>
    </row>
    <row r="1538" ht="15.75" customHeight="1">
      <c r="A1538" s="1" t="s">
        <v>164</v>
      </c>
      <c r="B1538" s="1" t="s">
        <v>197</v>
      </c>
      <c r="C1538" s="5">
        <v>45533.0</v>
      </c>
      <c r="D1538" s="1" t="s">
        <v>161</v>
      </c>
      <c r="E1538" s="1" t="s">
        <v>11</v>
      </c>
      <c r="F1538" s="1" t="s">
        <v>166</v>
      </c>
      <c r="H1538" s="1">
        <v>0.0</v>
      </c>
      <c r="I1538" s="1">
        <v>1.0</v>
      </c>
      <c r="J1538" s="1">
        <v>0.0</v>
      </c>
      <c r="K1538" s="1">
        <v>13.0</v>
      </c>
      <c r="L1538" s="1">
        <v>21.0</v>
      </c>
      <c r="M1538" s="1">
        <v>0.619047619</v>
      </c>
      <c r="N1538" s="1">
        <v>14.76000023</v>
      </c>
    </row>
    <row r="1539" ht="15.75" customHeight="1">
      <c r="A1539" s="1" t="s">
        <v>164</v>
      </c>
      <c r="B1539" s="1" t="s">
        <v>100</v>
      </c>
      <c r="C1539" s="5">
        <v>45533.0</v>
      </c>
      <c r="D1539" s="1" t="s">
        <v>161</v>
      </c>
      <c r="E1539" s="1" t="s">
        <v>11</v>
      </c>
      <c r="F1539" s="1" t="s">
        <v>166</v>
      </c>
      <c r="G1539" s="1" t="s">
        <v>172</v>
      </c>
      <c r="H1539" s="1">
        <v>1.0</v>
      </c>
      <c r="I1539" s="1">
        <v>2.0</v>
      </c>
      <c r="J1539" s="1">
        <v>0.0</v>
      </c>
      <c r="K1539" s="1">
        <v>39.0</v>
      </c>
      <c r="L1539" s="1">
        <v>55.0</v>
      </c>
      <c r="M1539" s="1">
        <v>0.709090909</v>
      </c>
      <c r="N1539" s="1">
        <v>25.86000061</v>
      </c>
    </row>
    <row r="1540" ht="15.75" customHeight="1">
      <c r="A1540" s="1" t="s">
        <v>164</v>
      </c>
      <c r="B1540" s="1" t="s">
        <v>219</v>
      </c>
      <c r="C1540" s="5">
        <v>45533.0</v>
      </c>
      <c r="D1540" s="1" t="s">
        <v>161</v>
      </c>
      <c r="E1540" s="1" t="s">
        <v>11</v>
      </c>
      <c r="F1540" s="1" t="s">
        <v>165</v>
      </c>
      <c r="H1540" s="1">
        <v>0.0</v>
      </c>
      <c r="I1540" s="1">
        <v>0.0</v>
      </c>
      <c r="J1540" s="1">
        <v>0.0</v>
      </c>
      <c r="K1540" s="1">
        <v>0.0</v>
      </c>
      <c r="L1540" s="1">
        <v>10.0</v>
      </c>
      <c r="M1540" s="1">
        <v>0.0</v>
      </c>
      <c r="N1540" s="1">
        <v>8.489999771</v>
      </c>
    </row>
    <row r="1541" ht="15.75" customHeight="1">
      <c r="A1541" s="1" t="s">
        <v>164</v>
      </c>
      <c r="B1541" s="1" t="s">
        <v>225</v>
      </c>
      <c r="C1541" s="5">
        <v>45533.0</v>
      </c>
      <c r="D1541" s="1" t="s">
        <v>161</v>
      </c>
      <c r="E1541" s="1" t="s">
        <v>11</v>
      </c>
      <c r="F1541" s="1" t="s">
        <v>166</v>
      </c>
      <c r="H1541" s="1">
        <v>0.0</v>
      </c>
      <c r="I1541" s="1">
        <v>1.0</v>
      </c>
      <c r="J1541" s="1">
        <v>0.0</v>
      </c>
      <c r="K1541" s="1">
        <v>12.0</v>
      </c>
      <c r="L1541" s="1">
        <v>16.0</v>
      </c>
      <c r="M1541" s="1">
        <v>0.75</v>
      </c>
      <c r="N1541" s="1">
        <v>13.72000027</v>
      </c>
    </row>
    <row r="1542" ht="15.75" customHeight="1">
      <c r="A1542" s="1" t="s">
        <v>180</v>
      </c>
      <c r="B1542" s="1" t="s">
        <v>239</v>
      </c>
      <c r="C1542" s="5">
        <v>45533.0</v>
      </c>
      <c r="D1542" s="1" t="s">
        <v>161</v>
      </c>
      <c r="E1542" s="1" t="s">
        <v>11</v>
      </c>
      <c r="H1542" s="1">
        <v>0.0</v>
      </c>
      <c r="J1542" s="1">
        <v>0.0</v>
      </c>
      <c r="N1542" s="1">
        <v>0.100000001</v>
      </c>
    </row>
    <row r="1543" ht="15.75" customHeight="1">
      <c r="A1543" s="1" t="s">
        <v>180</v>
      </c>
      <c r="B1543" s="1" t="s">
        <v>185</v>
      </c>
      <c r="C1543" s="5">
        <v>45533.0</v>
      </c>
      <c r="D1543" s="1" t="s">
        <v>161</v>
      </c>
      <c r="E1543" s="1" t="s">
        <v>11</v>
      </c>
      <c r="F1543" s="1" t="s">
        <v>166</v>
      </c>
      <c r="H1543" s="1">
        <v>0.0</v>
      </c>
      <c r="I1543" s="1">
        <v>0.0</v>
      </c>
      <c r="J1543" s="1">
        <v>0.0</v>
      </c>
      <c r="K1543" s="1">
        <v>1.0</v>
      </c>
      <c r="L1543" s="1">
        <v>13.0</v>
      </c>
      <c r="M1543" s="1">
        <v>0.076923077</v>
      </c>
      <c r="N1543" s="1">
        <v>13.69999981</v>
      </c>
    </row>
    <row r="1544" ht="15.75" customHeight="1">
      <c r="A1544" s="1" t="s">
        <v>180</v>
      </c>
      <c r="B1544" s="1" t="s">
        <v>181</v>
      </c>
      <c r="C1544" s="5">
        <v>45533.0</v>
      </c>
      <c r="D1544" s="1" t="s">
        <v>161</v>
      </c>
      <c r="E1544" s="1" t="s">
        <v>11</v>
      </c>
      <c r="F1544" s="1" t="s">
        <v>166</v>
      </c>
      <c r="H1544" s="1">
        <v>0.0</v>
      </c>
      <c r="I1544" s="1">
        <v>0.0</v>
      </c>
      <c r="J1544" s="1">
        <v>0.0</v>
      </c>
      <c r="K1544" s="1">
        <v>0.0</v>
      </c>
      <c r="L1544" s="1">
        <v>2.0</v>
      </c>
      <c r="M1544" s="1">
        <v>0.0</v>
      </c>
      <c r="N1544" s="1">
        <v>3.140000105</v>
      </c>
    </row>
    <row r="1545" ht="15.75" customHeight="1">
      <c r="A1545" s="1" t="s">
        <v>160</v>
      </c>
      <c r="B1545" s="1" t="s">
        <v>39</v>
      </c>
      <c r="C1545" s="5">
        <v>45532.0</v>
      </c>
      <c r="D1545" s="1" t="s">
        <v>161</v>
      </c>
      <c r="E1545" s="1" t="s">
        <v>11</v>
      </c>
      <c r="F1545" s="1" t="s">
        <v>162</v>
      </c>
      <c r="H1545" s="1">
        <v>0.0</v>
      </c>
      <c r="I1545" s="1">
        <v>0.0</v>
      </c>
      <c r="J1545" s="1">
        <v>0.0</v>
      </c>
      <c r="K1545" s="1">
        <v>9.0</v>
      </c>
      <c r="L1545" s="1">
        <v>11.0</v>
      </c>
      <c r="M1545" s="1">
        <v>0.818181818</v>
      </c>
      <c r="N1545" s="1">
        <v>12.23999977</v>
      </c>
    </row>
    <row r="1546" ht="15.75" customHeight="1">
      <c r="A1546" s="1" t="s">
        <v>160</v>
      </c>
      <c r="B1546" s="1" t="s">
        <v>65</v>
      </c>
      <c r="C1546" s="5">
        <v>45532.0</v>
      </c>
      <c r="D1546" s="1" t="s">
        <v>161</v>
      </c>
      <c r="E1546" s="1" t="s">
        <v>11</v>
      </c>
      <c r="F1546" s="1" t="s">
        <v>162</v>
      </c>
      <c r="H1546" s="1">
        <v>0.0</v>
      </c>
      <c r="I1546" s="1">
        <v>0.0</v>
      </c>
      <c r="J1546" s="1">
        <v>0.0</v>
      </c>
      <c r="K1546" s="1">
        <v>1.0</v>
      </c>
      <c r="L1546" s="1">
        <v>3.0</v>
      </c>
      <c r="M1546" s="1">
        <v>0.333333333</v>
      </c>
      <c r="N1546" s="1">
        <v>7.159999847</v>
      </c>
    </row>
    <row r="1547" ht="15.75" customHeight="1">
      <c r="A1547" s="1" t="s">
        <v>160</v>
      </c>
      <c r="B1547" s="1" t="s">
        <v>95</v>
      </c>
      <c r="C1547" s="5">
        <v>45532.0</v>
      </c>
      <c r="D1547" s="1" t="s">
        <v>161</v>
      </c>
      <c r="E1547" s="1" t="s">
        <v>11</v>
      </c>
      <c r="F1547" s="1" t="s">
        <v>165</v>
      </c>
      <c r="H1547" s="1">
        <v>0.0</v>
      </c>
      <c r="I1547" s="1">
        <v>0.0</v>
      </c>
      <c r="J1547" s="1">
        <v>0.0</v>
      </c>
      <c r="K1547" s="1">
        <v>1.0</v>
      </c>
      <c r="L1547" s="1">
        <v>7.0</v>
      </c>
      <c r="M1547" s="1">
        <v>0.142857143</v>
      </c>
      <c r="N1547" s="1">
        <v>10.02000046</v>
      </c>
    </row>
    <row r="1548" ht="15.75" customHeight="1">
      <c r="A1548" s="1" t="s">
        <v>160</v>
      </c>
      <c r="B1548" s="1" t="s">
        <v>198</v>
      </c>
      <c r="C1548" s="5">
        <v>45532.0</v>
      </c>
      <c r="D1548" s="1" t="s">
        <v>161</v>
      </c>
      <c r="E1548" s="1" t="s">
        <v>11</v>
      </c>
      <c r="F1548" s="1" t="s">
        <v>162</v>
      </c>
      <c r="H1548" s="1">
        <v>0.0</v>
      </c>
      <c r="I1548" s="1">
        <v>0.0</v>
      </c>
      <c r="J1548" s="1">
        <v>0.0</v>
      </c>
      <c r="K1548" s="1">
        <v>2.0</v>
      </c>
      <c r="L1548" s="1">
        <v>5.0</v>
      </c>
      <c r="M1548" s="1">
        <v>0.4</v>
      </c>
      <c r="N1548" s="1">
        <v>15.0</v>
      </c>
    </row>
    <row r="1549" ht="15.75" customHeight="1">
      <c r="A1549" s="1" t="s">
        <v>160</v>
      </c>
      <c r="B1549" s="1" t="s">
        <v>77</v>
      </c>
      <c r="C1549" s="5">
        <v>45532.0</v>
      </c>
      <c r="D1549" s="1" t="s">
        <v>161</v>
      </c>
      <c r="E1549" s="1" t="s">
        <v>11</v>
      </c>
      <c r="F1549" s="1" t="s">
        <v>162</v>
      </c>
      <c r="H1549" s="1">
        <v>0.0</v>
      </c>
      <c r="I1549" s="1">
        <v>1.0</v>
      </c>
      <c r="J1549" s="1">
        <v>0.0</v>
      </c>
      <c r="K1549" s="1">
        <v>10.0</v>
      </c>
      <c r="L1549" s="1">
        <v>12.0</v>
      </c>
      <c r="M1549" s="1">
        <v>0.833333333</v>
      </c>
      <c r="N1549" s="1">
        <v>13.81000042</v>
      </c>
    </row>
    <row r="1550" ht="15.75" customHeight="1">
      <c r="A1550" s="1" t="s">
        <v>160</v>
      </c>
      <c r="B1550" s="1" t="s">
        <v>241</v>
      </c>
      <c r="C1550" s="5">
        <v>45532.0</v>
      </c>
      <c r="D1550" s="1" t="s">
        <v>161</v>
      </c>
      <c r="E1550" s="1" t="s">
        <v>11</v>
      </c>
      <c r="H1550" s="1">
        <v>0.0</v>
      </c>
      <c r="J1550" s="1">
        <v>0.0</v>
      </c>
      <c r="N1550" s="1">
        <v>0.109999999</v>
      </c>
    </row>
    <row r="1551" ht="15.75" customHeight="1">
      <c r="A1551" s="1" t="s">
        <v>164</v>
      </c>
      <c r="B1551" s="1" t="s">
        <v>22</v>
      </c>
      <c r="C1551" s="5">
        <v>45532.0</v>
      </c>
      <c r="D1551" s="1" t="s">
        <v>161</v>
      </c>
      <c r="E1551" s="1" t="s">
        <v>11</v>
      </c>
      <c r="F1551" s="1" t="s">
        <v>165</v>
      </c>
      <c r="H1551" s="1">
        <v>0.0</v>
      </c>
      <c r="I1551" s="1">
        <v>0.0</v>
      </c>
      <c r="J1551" s="1">
        <v>0.0</v>
      </c>
      <c r="K1551" s="1">
        <v>0.0</v>
      </c>
      <c r="L1551" s="1">
        <v>0.0</v>
      </c>
      <c r="N1551" s="1">
        <v>0.0</v>
      </c>
    </row>
    <row r="1552" ht="15.75" customHeight="1">
      <c r="A1552" s="1" t="s">
        <v>164</v>
      </c>
      <c r="B1552" s="1" t="s">
        <v>22</v>
      </c>
      <c r="C1552" s="5">
        <v>45532.0</v>
      </c>
      <c r="D1552" s="1" t="s">
        <v>161</v>
      </c>
      <c r="E1552" s="1" t="s">
        <v>11</v>
      </c>
      <c r="F1552" s="1" t="s">
        <v>166</v>
      </c>
      <c r="H1552" s="1">
        <v>0.0</v>
      </c>
      <c r="I1552" s="1">
        <v>0.0</v>
      </c>
      <c r="J1552" s="1">
        <v>0.0</v>
      </c>
      <c r="K1552" s="1">
        <v>1.0</v>
      </c>
      <c r="L1552" s="1">
        <v>7.0</v>
      </c>
      <c r="M1552" s="1">
        <v>0.142857143</v>
      </c>
      <c r="N1552" s="1">
        <v>16.5</v>
      </c>
    </row>
    <row r="1553" ht="15.75" customHeight="1">
      <c r="A1553" s="1" t="s">
        <v>164</v>
      </c>
      <c r="B1553" s="1" t="s">
        <v>35</v>
      </c>
      <c r="C1553" s="5">
        <v>45532.0</v>
      </c>
      <c r="D1553" s="1" t="s">
        <v>161</v>
      </c>
      <c r="E1553" s="1" t="s">
        <v>11</v>
      </c>
      <c r="F1553" s="1" t="s">
        <v>166</v>
      </c>
      <c r="H1553" s="1">
        <v>0.0</v>
      </c>
      <c r="I1553" s="1">
        <v>0.0</v>
      </c>
      <c r="J1553" s="1">
        <v>0.0</v>
      </c>
      <c r="K1553" s="1">
        <v>2.0</v>
      </c>
      <c r="L1553" s="1">
        <v>2.0</v>
      </c>
      <c r="M1553" s="1">
        <v>1.0</v>
      </c>
      <c r="N1553" s="1">
        <v>5.760000229</v>
      </c>
    </row>
    <row r="1554" ht="15.75" customHeight="1">
      <c r="A1554" s="1" t="s">
        <v>164</v>
      </c>
      <c r="B1554" s="1" t="s">
        <v>207</v>
      </c>
      <c r="C1554" s="5">
        <v>45532.0</v>
      </c>
      <c r="D1554" s="1" t="s">
        <v>161</v>
      </c>
      <c r="E1554" s="1" t="s">
        <v>11</v>
      </c>
      <c r="F1554" s="1" t="s">
        <v>166</v>
      </c>
      <c r="H1554" s="1">
        <v>0.0</v>
      </c>
      <c r="I1554" s="1">
        <v>0.0</v>
      </c>
      <c r="J1554" s="1">
        <v>0.0</v>
      </c>
      <c r="K1554" s="1">
        <v>8.0</v>
      </c>
      <c r="L1554" s="1">
        <v>13.0</v>
      </c>
      <c r="M1554" s="1">
        <v>0.615384615</v>
      </c>
      <c r="N1554" s="1">
        <v>21.46999931</v>
      </c>
    </row>
    <row r="1555" ht="15.75" customHeight="1">
      <c r="A1555" s="1" t="s">
        <v>164</v>
      </c>
      <c r="B1555" s="1" t="s">
        <v>199</v>
      </c>
      <c r="C1555" s="5">
        <v>45532.0</v>
      </c>
      <c r="D1555" s="1" t="s">
        <v>161</v>
      </c>
      <c r="E1555" s="1" t="s">
        <v>11</v>
      </c>
      <c r="F1555" s="1" t="s">
        <v>162</v>
      </c>
      <c r="H1555" s="1">
        <v>0.0</v>
      </c>
      <c r="I1555" s="1">
        <v>0.0</v>
      </c>
      <c r="J1555" s="1">
        <v>0.0</v>
      </c>
      <c r="K1555" s="1">
        <v>4.0</v>
      </c>
      <c r="L1555" s="1">
        <v>5.0</v>
      </c>
      <c r="M1555" s="1">
        <v>0.8</v>
      </c>
      <c r="N1555" s="1">
        <v>5.989999771</v>
      </c>
    </row>
    <row r="1556" ht="15.75" customHeight="1">
      <c r="A1556" s="1" t="s">
        <v>164</v>
      </c>
      <c r="B1556" s="1" t="s">
        <v>242</v>
      </c>
      <c r="C1556" s="5">
        <v>45532.0</v>
      </c>
      <c r="D1556" s="1" t="s">
        <v>161</v>
      </c>
      <c r="E1556" s="1" t="s">
        <v>11</v>
      </c>
      <c r="H1556" s="1">
        <v>0.0</v>
      </c>
      <c r="J1556" s="1">
        <v>0.0</v>
      </c>
      <c r="N1556" s="1">
        <v>0.050000001</v>
      </c>
    </row>
    <row r="1557" ht="15.75" customHeight="1">
      <c r="A1557" s="1" t="s">
        <v>164</v>
      </c>
      <c r="B1557" s="1" t="s">
        <v>243</v>
      </c>
      <c r="C1557" s="5">
        <v>45532.0</v>
      </c>
      <c r="D1557" s="1" t="s">
        <v>161</v>
      </c>
      <c r="E1557" s="1" t="s">
        <v>11</v>
      </c>
      <c r="H1557" s="1">
        <v>0.0</v>
      </c>
      <c r="J1557" s="1">
        <v>0.0</v>
      </c>
      <c r="N1557" s="1">
        <v>0.370000005</v>
      </c>
    </row>
    <row r="1558" ht="15.75" customHeight="1">
      <c r="A1558" s="1" t="s">
        <v>164</v>
      </c>
      <c r="B1558" s="1" t="s">
        <v>244</v>
      </c>
      <c r="C1558" s="5">
        <v>45532.0</v>
      </c>
      <c r="D1558" s="1" t="s">
        <v>161</v>
      </c>
      <c r="E1558" s="1" t="s">
        <v>11</v>
      </c>
      <c r="H1558" s="1">
        <v>0.0</v>
      </c>
      <c r="J1558" s="1">
        <v>0.0</v>
      </c>
      <c r="N1558" s="1">
        <v>0.079999998</v>
      </c>
    </row>
    <row r="1559" ht="15.75" customHeight="1">
      <c r="A1559" s="1" t="s">
        <v>164</v>
      </c>
      <c r="B1559" s="1" t="s">
        <v>196</v>
      </c>
      <c r="C1559" s="5">
        <v>45532.0</v>
      </c>
      <c r="D1559" s="1" t="s">
        <v>161</v>
      </c>
      <c r="E1559" s="1" t="s">
        <v>11</v>
      </c>
      <c r="F1559" s="1" t="s">
        <v>165</v>
      </c>
      <c r="H1559" s="1">
        <v>0.0</v>
      </c>
      <c r="I1559" s="1">
        <v>0.0</v>
      </c>
      <c r="J1559" s="1">
        <v>0.0</v>
      </c>
      <c r="K1559" s="1">
        <v>16.0</v>
      </c>
      <c r="L1559" s="1">
        <v>28.0</v>
      </c>
      <c r="M1559" s="1">
        <v>0.571428571</v>
      </c>
      <c r="N1559" s="1">
        <v>44.74000168</v>
      </c>
    </row>
    <row r="1560" ht="15.75" customHeight="1">
      <c r="A1560" s="1" t="s">
        <v>164</v>
      </c>
      <c r="B1560" s="1" t="s">
        <v>179</v>
      </c>
      <c r="C1560" s="5">
        <v>45532.0</v>
      </c>
      <c r="D1560" s="1" t="s">
        <v>161</v>
      </c>
      <c r="E1560" s="1" t="s">
        <v>11</v>
      </c>
      <c r="H1560" s="1">
        <v>0.0</v>
      </c>
      <c r="J1560" s="1">
        <v>0.0</v>
      </c>
      <c r="N1560" s="1">
        <v>0.029999999</v>
      </c>
    </row>
    <row r="1561" ht="15.75" customHeight="1">
      <c r="A1561" s="1" t="s">
        <v>164</v>
      </c>
      <c r="B1561" s="1" t="s">
        <v>60</v>
      </c>
      <c r="C1561" s="5">
        <v>45532.0</v>
      </c>
      <c r="D1561" s="1" t="s">
        <v>161</v>
      </c>
      <c r="E1561" s="1" t="s">
        <v>11</v>
      </c>
      <c r="F1561" s="1" t="s">
        <v>166</v>
      </c>
      <c r="H1561" s="1">
        <v>0.0</v>
      </c>
      <c r="I1561" s="1">
        <v>0.0</v>
      </c>
      <c r="J1561" s="1">
        <v>0.0</v>
      </c>
      <c r="K1561" s="1">
        <v>5.0</v>
      </c>
      <c r="L1561" s="1">
        <v>10.0</v>
      </c>
      <c r="M1561" s="1">
        <v>0.5</v>
      </c>
      <c r="N1561" s="1">
        <v>12.61999989</v>
      </c>
    </row>
    <row r="1562" ht="15.75" customHeight="1">
      <c r="A1562" s="1" t="s">
        <v>164</v>
      </c>
      <c r="B1562" s="1" t="s">
        <v>197</v>
      </c>
      <c r="C1562" s="5">
        <v>45532.0</v>
      </c>
      <c r="D1562" s="1" t="s">
        <v>161</v>
      </c>
      <c r="E1562" s="1" t="s">
        <v>11</v>
      </c>
      <c r="F1562" s="1" t="s">
        <v>166</v>
      </c>
      <c r="G1562" s="1" t="s">
        <v>172</v>
      </c>
      <c r="H1562" s="1">
        <v>1.0</v>
      </c>
      <c r="I1562" s="1">
        <v>2.0</v>
      </c>
      <c r="J1562" s="1">
        <v>0.0</v>
      </c>
      <c r="K1562" s="1">
        <v>27.0</v>
      </c>
      <c r="L1562" s="1">
        <v>29.0</v>
      </c>
      <c r="M1562" s="1">
        <v>0.931034483</v>
      </c>
      <c r="N1562" s="1">
        <v>18.20999908</v>
      </c>
    </row>
    <row r="1563" ht="15.75" customHeight="1">
      <c r="A1563" s="1" t="s">
        <v>164</v>
      </c>
      <c r="B1563" s="1" t="s">
        <v>75</v>
      </c>
      <c r="C1563" s="5">
        <v>45532.0</v>
      </c>
      <c r="D1563" s="1" t="s">
        <v>161</v>
      </c>
      <c r="E1563" s="1" t="s">
        <v>11</v>
      </c>
      <c r="F1563" s="1" t="s">
        <v>165</v>
      </c>
      <c r="H1563" s="1">
        <v>0.0</v>
      </c>
      <c r="I1563" s="1">
        <v>0.0</v>
      </c>
      <c r="J1563" s="1">
        <v>0.0</v>
      </c>
      <c r="K1563" s="1">
        <v>0.0</v>
      </c>
      <c r="L1563" s="1">
        <v>0.0</v>
      </c>
      <c r="N1563" s="1">
        <v>0.100000001</v>
      </c>
    </row>
    <row r="1564" ht="15.75" customHeight="1">
      <c r="A1564" s="1" t="s">
        <v>164</v>
      </c>
      <c r="B1564" s="1" t="s">
        <v>100</v>
      </c>
      <c r="C1564" s="5">
        <v>45532.0</v>
      </c>
      <c r="D1564" s="1" t="s">
        <v>161</v>
      </c>
      <c r="E1564" s="1" t="s">
        <v>11</v>
      </c>
      <c r="F1564" s="1" t="s">
        <v>166</v>
      </c>
      <c r="H1564" s="1">
        <v>0.0</v>
      </c>
      <c r="I1564" s="1">
        <v>1.0</v>
      </c>
      <c r="J1564" s="1">
        <v>0.0</v>
      </c>
      <c r="K1564" s="1">
        <v>5.0</v>
      </c>
      <c r="L1564" s="1">
        <v>5.0</v>
      </c>
      <c r="M1564" s="1">
        <v>1.0</v>
      </c>
      <c r="N1564" s="1">
        <v>1.330000043</v>
      </c>
    </row>
    <row r="1565" ht="15.75" customHeight="1">
      <c r="A1565" s="1" t="s">
        <v>164</v>
      </c>
      <c r="B1565" s="1" t="s">
        <v>219</v>
      </c>
      <c r="C1565" s="5">
        <v>45532.0</v>
      </c>
      <c r="D1565" s="1" t="s">
        <v>161</v>
      </c>
      <c r="E1565" s="1" t="s">
        <v>11</v>
      </c>
      <c r="F1565" s="1" t="s">
        <v>165</v>
      </c>
      <c r="H1565" s="1">
        <v>0.0</v>
      </c>
      <c r="I1565" s="1">
        <v>0.0</v>
      </c>
      <c r="J1565" s="1">
        <v>0.0</v>
      </c>
      <c r="K1565" s="1">
        <v>8.0</v>
      </c>
      <c r="L1565" s="1">
        <v>29.0</v>
      </c>
      <c r="M1565" s="1">
        <v>0.275862069</v>
      </c>
      <c r="N1565" s="1">
        <v>9.819999695</v>
      </c>
    </row>
    <row r="1566" ht="15.75" customHeight="1">
      <c r="A1566" s="1" t="s">
        <v>164</v>
      </c>
      <c r="B1566" s="1" t="s">
        <v>225</v>
      </c>
      <c r="C1566" s="5">
        <v>45532.0</v>
      </c>
      <c r="D1566" s="1" t="s">
        <v>161</v>
      </c>
      <c r="E1566" s="1" t="s">
        <v>11</v>
      </c>
      <c r="F1566" s="1" t="s">
        <v>166</v>
      </c>
      <c r="H1566" s="1">
        <v>0.0</v>
      </c>
      <c r="I1566" s="1">
        <v>0.0</v>
      </c>
      <c r="J1566" s="1">
        <v>0.0</v>
      </c>
      <c r="K1566" s="1">
        <v>15.0</v>
      </c>
      <c r="L1566" s="1">
        <v>26.0</v>
      </c>
      <c r="M1566" s="1">
        <v>0.576923077</v>
      </c>
      <c r="N1566" s="1">
        <v>20.01000023</v>
      </c>
    </row>
    <row r="1567" ht="15.75" customHeight="1">
      <c r="A1567" s="1" t="s">
        <v>180</v>
      </c>
      <c r="B1567" s="1" t="s">
        <v>185</v>
      </c>
      <c r="C1567" s="5">
        <v>45532.0</v>
      </c>
      <c r="D1567" s="1" t="s">
        <v>161</v>
      </c>
      <c r="E1567" s="1" t="s">
        <v>11</v>
      </c>
      <c r="F1567" s="1" t="s">
        <v>166</v>
      </c>
      <c r="G1567" s="1" t="s">
        <v>172</v>
      </c>
      <c r="H1567" s="1">
        <v>1.0</v>
      </c>
      <c r="I1567" s="1">
        <v>0.0</v>
      </c>
      <c r="J1567" s="1">
        <v>0.0</v>
      </c>
      <c r="K1567" s="1">
        <v>21.0</v>
      </c>
      <c r="L1567" s="1">
        <v>38.0</v>
      </c>
      <c r="M1567" s="1">
        <v>0.552631579</v>
      </c>
      <c r="N1567" s="1">
        <v>32.36000061</v>
      </c>
    </row>
    <row r="1568" ht="15.75" customHeight="1">
      <c r="A1568" s="1" t="s">
        <v>160</v>
      </c>
      <c r="B1568" s="1" t="s">
        <v>18</v>
      </c>
      <c r="C1568" s="5">
        <v>45531.0</v>
      </c>
      <c r="D1568" s="1" t="s">
        <v>161</v>
      </c>
      <c r="E1568" s="1" t="s">
        <v>11</v>
      </c>
      <c r="H1568" s="1">
        <v>0.0</v>
      </c>
      <c r="J1568" s="1">
        <v>0.0</v>
      </c>
      <c r="N1568" s="1">
        <v>0.119999997</v>
      </c>
    </row>
    <row r="1569" ht="15.75" customHeight="1">
      <c r="A1569" s="1" t="s">
        <v>160</v>
      </c>
      <c r="B1569" s="1" t="s">
        <v>39</v>
      </c>
      <c r="C1569" s="5">
        <v>45531.0</v>
      </c>
      <c r="D1569" s="1" t="s">
        <v>161</v>
      </c>
      <c r="E1569" s="1" t="s">
        <v>11</v>
      </c>
      <c r="F1569" s="1" t="s">
        <v>162</v>
      </c>
      <c r="H1569" s="1">
        <v>0.0</v>
      </c>
      <c r="I1569" s="1">
        <v>1.0</v>
      </c>
      <c r="J1569" s="1">
        <v>0.0</v>
      </c>
      <c r="K1569" s="1">
        <v>7.0</v>
      </c>
      <c r="L1569" s="1">
        <v>8.0</v>
      </c>
      <c r="M1569" s="1">
        <v>0.875</v>
      </c>
      <c r="N1569" s="1">
        <v>13.27999973</v>
      </c>
    </row>
    <row r="1570" ht="15.75" customHeight="1">
      <c r="A1570" s="1" t="s">
        <v>160</v>
      </c>
      <c r="B1570" s="1" t="s">
        <v>230</v>
      </c>
      <c r="C1570" s="5">
        <v>45531.0</v>
      </c>
      <c r="D1570" s="1" t="s">
        <v>161</v>
      </c>
      <c r="E1570" s="1" t="s">
        <v>11</v>
      </c>
      <c r="F1570" s="1" t="s">
        <v>165</v>
      </c>
      <c r="H1570" s="1">
        <v>0.0</v>
      </c>
      <c r="I1570" s="1">
        <v>1.0</v>
      </c>
      <c r="J1570" s="1">
        <v>0.0</v>
      </c>
      <c r="K1570" s="1">
        <v>14.0</v>
      </c>
      <c r="L1570" s="1">
        <v>16.0</v>
      </c>
      <c r="M1570" s="1">
        <v>0.875</v>
      </c>
      <c r="N1570" s="1">
        <v>10.77999973</v>
      </c>
    </row>
    <row r="1571" ht="15.75" customHeight="1">
      <c r="A1571" s="1" t="s">
        <v>160</v>
      </c>
      <c r="B1571" s="1" t="s">
        <v>230</v>
      </c>
      <c r="C1571" s="5">
        <v>45531.0</v>
      </c>
      <c r="D1571" s="1" t="s">
        <v>161</v>
      </c>
      <c r="E1571" s="1" t="s">
        <v>11</v>
      </c>
      <c r="F1571" s="1" t="s">
        <v>167</v>
      </c>
      <c r="H1571" s="1">
        <v>0.0</v>
      </c>
      <c r="I1571" s="1">
        <v>0.0</v>
      </c>
      <c r="J1571" s="1">
        <v>0.0</v>
      </c>
      <c r="K1571" s="1">
        <v>0.0</v>
      </c>
      <c r="L1571" s="1">
        <v>2.0</v>
      </c>
      <c r="M1571" s="1">
        <v>0.0</v>
      </c>
      <c r="N1571" s="1">
        <v>0.0</v>
      </c>
    </row>
    <row r="1572" ht="15.75" customHeight="1">
      <c r="A1572" s="1" t="s">
        <v>160</v>
      </c>
      <c r="B1572" s="1" t="s">
        <v>65</v>
      </c>
      <c r="C1572" s="5">
        <v>45531.0</v>
      </c>
      <c r="D1572" s="1" t="s">
        <v>161</v>
      </c>
      <c r="E1572" s="1" t="s">
        <v>11</v>
      </c>
      <c r="F1572" s="1" t="s">
        <v>162</v>
      </c>
      <c r="H1572" s="1">
        <v>0.0</v>
      </c>
      <c r="I1572" s="1">
        <v>0.0</v>
      </c>
      <c r="J1572" s="1">
        <v>0.0</v>
      </c>
      <c r="K1572" s="1">
        <v>6.0</v>
      </c>
      <c r="L1572" s="1">
        <v>10.0</v>
      </c>
      <c r="M1572" s="1">
        <v>0.6</v>
      </c>
      <c r="N1572" s="1">
        <v>10.85000038</v>
      </c>
    </row>
    <row r="1573" ht="15.75" customHeight="1">
      <c r="A1573" s="1" t="s">
        <v>160</v>
      </c>
      <c r="B1573" s="1" t="s">
        <v>95</v>
      </c>
      <c r="C1573" s="5">
        <v>45531.0</v>
      </c>
      <c r="D1573" s="1" t="s">
        <v>161</v>
      </c>
      <c r="E1573" s="1" t="s">
        <v>11</v>
      </c>
      <c r="H1573" s="1">
        <v>0.0</v>
      </c>
      <c r="J1573" s="1">
        <v>0.0</v>
      </c>
      <c r="N1573" s="1">
        <v>0.180000007</v>
      </c>
    </row>
    <row r="1574" ht="15.75" customHeight="1">
      <c r="A1574" s="1" t="s">
        <v>160</v>
      </c>
      <c r="B1574" s="1" t="s">
        <v>198</v>
      </c>
      <c r="C1574" s="5">
        <v>45531.0</v>
      </c>
      <c r="D1574" s="1" t="s">
        <v>161</v>
      </c>
      <c r="E1574" s="1" t="s">
        <v>11</v>
      </c>
      <c r="F1574" s="1" t="s">
        <v>162</v>
      </c>
      <c r="H1574" s="1">
        <v>0.0</v>
      </c>
      <c r="I1574" s="1">
        <v>0.0</v>
      </c>
      <c r="J1574" s="1">
        <v>0.0</v>
      </c>
      <c r="K1574" s="1">
        <v>7.0</v>
      </c>
      <c r="L1574" s="1">
        <v>14.0</v>
      </c>
      <c r="M1574" s="1">
        <v>0.5</v>
      </c>
      <c r="N1574" s="1">
        <v>10.85000038</v>
      </c>
    </row>
    <row r="1575" ht="15.75" customHeight="1">
      <c r="A1575" s="1" t="s">
        <v>160</v>
      </c>
      <c r="B1575" s="1" t="s">
        <v>77</v>
      </c>
      <c r="C1575" s="5">
        <v>45531.0</v>
      </c>
      <c r="D1575" s="1" t="s">
        <v>161</v>
      </c>
      <c r="E1575" s="1" t="s">
        <v>11</v>
      </c>
      <c r="F1575" s="1" t="s">
        <v>162</v>
      </c>
      <c r="H1575" s="1">
        <v>0.0</v>
      </c>
      <c r="I1575" s="1">
        <v>0.0</v>
      </c>
      <c r="J1575" s="1">
        <v>0.0</v>
      </c>
      <c r="K1575" s="1">
        <v>5.0</v>
      </c>
      <c r="L1575" s="1">
        <v>9.0</v>
      </c>
      <c r="M1575" s="1">
        <v>0.555555556</v>
      </c>
      <c r="N1575" s="1">
        <v>19.98999977</v>
      </c>
    </row>
    <row r="1576" ht="15.75" customHeight="1">
      <c r="A1576" s="1" t="s">
        <v>160</v>
      </c>
      <c r="B1576" s="1" t="s">
        <v>94</v>
      </c>
      <c r="C1576" s="5">
        <v>45531.0</v>
      </c>
      <c r="D1576" s="1" t="s">
        <v>161</v>
      </c>
      <c r="E1576" s="1" t="s">
        <v>190</v>
      </c>
      <c r="H1576" s="1">
        <v>0.0</v>
      </c>
      <c r="J1576" s="1">
        <v>0.0</v>
      </c>
      <c r="N1576" s="1">
        <v>0.670000017</v>
      </c>
    </row>
    <row r="1577" ht="15.75" customHeight="1">
      <c r="A1577" s="1" t="s">
        <v>164</v>
      </c>
      <c r="B1577" s="1" t="s">
        <v>22</v>
      </c>
      <c r="C1577" s="5">
        <v>45531.0</v>
      </c>
      <c r="D1577" s="1" t="s">
        <v>161</v>
      </c>
      <c r="E1577" s="1" t="s">
        <v>11</v>
      </c>
      <c r="H1577" s="1">
        <v>0.0</v>
      </c>
      <c r="J1577" s="1">
        <v>0.0</v>
      </c>
      <c r="N1577" s="1">
        <v>0.819999993</v>
      </c>
    </row>
    <row r="1578" ht="15.75" customHeight="1">
      <c r="A1578" s="1" t="s">
        <v>164</v>
      </c>
      <c r="B1578" s="1" t="s">
        <v>207</v>
      </c>
      <c r="C1578" s="5">
        <v>45531.0</v>
      </c>
      <c r="D1578" s="1" t="s">
        <v>161</v>
      </c>
      <c r="E1578" s="1" t="s">
        <v>11</v>
      </c>
      <c r="F1578" s="1" t="s">
        <v>165</v>
      </c>
      <c r="H1578" s="1">
        <v>0.0</v>
      </c>
      <c r="I1578" s="1">
        <v>0.0</v>
      </c>
      <c r="J1578" s="1">
        <v>0.0</v>
      </c>
      <c r="K1578" s="1">
        <v>0.0</v>
      </c>
      <c r="L1578" s="1">
        <v>0.0</v>
      </c>
      <c r="N1578" s="1">
        <v>4.179999828</v>
      </c>
    </row>
    <row r="1579" ht="15.75" customHeight="1">
      <c r="A1579" s="1" t="s">
        <v>164</v>
      </c>
      <c r="B1579" s="1" t="s">
        <v>52</v>
      </c>
      <c r="C1579" s="5">
        <v>45531.0</v>
      </c>
      <c r="D1579" s="1" t="s">
        <v>161</v>
      </c>
      <c r="E1579" s="1" t="s">
        <v>11</v>
      </c>
      <c r="F1579" s="1" t="s">
        <v>165</v>
      </c>
      <c r="G1579" s="1" t="s">
        <v>163</v>
      </c>
      <c r="H1579" s="1">
        <v>1.0</v>
      </c>
      <c r="I1579" s="1">
        <v>0.0</v>
      </c>
      <c r="J1579" s="1">
        <v>0.0</v>
      </c>
      <c r="K1579" s="1">
        <v>0.0</v>
      </c>
      <c r="L1579" s="1">
        <v>0.0</v>
      </c>
      <c r="N1579" s="1">
        <v>0.0</v>
      </c>
    </row>
    <row r="1580" ht="15.75" customHeight="1">
      <c r="A1580" s="1" t="s">
        <v>164</v>
      </c>
      <c r="B1580" s="1" t="s">
        <v>52</v>
      </c>
      <c r="C1580" s="5">
        <v>45531.0</v>
      </c>
      <c r="D1580" s="1" t="s">
        <v>161</v>
      </c>
      <c r="E1580" s="1" t="s">
        <v>11</v>
      </c>
      <c r="F1580" s="1" t="s">
        <v>162</v>
      </c>
      <c r="G1580" s="1" t="s">
        <v>163</v>
      </c>
      <c r="H1580" s="1">
        <v>1.0</v>
      </c>
      <c r="I1580" s="1">
        <v>0.0</v>
      </c>
      <c r="J1580" s="1">
        <v>0.0</v>
      </c>
      <c r="K1580" s="1">
        <v>1.0</v>
      </c>
      <c r="L1580" s="1">
        <v>12.0</v>
      </c>
      <c r="M1580" s="1">
        <v>0.083333333</v>
      </c>
      <c r="N1580" s="1">
        <v>13.63000011</v>
      </c>
    </row>
    <row r="1581" ht="15.75" customHeight="1">
      <c r="A1581" s="1" t="s">
        <v>164</v>
      </c>
      <c r="B1581" s="1" t="s">
        <v>55</v>
      </c>
      <c r="C1581" s="5">
        <v>45531.0</v>
      </c>
      <c r="D1581" s="1" t="s">
        <v>161</v>
      </c>
      <c r="E1581" s="1" t="s">
        <v>11</v>
      </c>
      <c r="F1581" s="1" t="s">
        <v>165</v>
      </c>
      <c r="H1581" s="1">
        <v>0.0</v>
      </c>
      <c r="I1581" s="1">
        <v>0.0</v>
      </c>
      <c r="J1581" s="1">
        <v>0.0</v>
      </c>
      <c r="K1581" s="1">
        <v>4.0</v>
      </c>
      <c r="L1581" s="1">
        <v>11.0</v>
      </c>
      <c r="M1581" s="1">
        <v>0.363636364</v>
      </c>
      <c r="N1581" s="1">
        <v>7.400000095</v>
      </c>
    </row>
    <row r="1582" ht="15.75" customHeight="1">
      <c r="A1582" s="1" t="s">
        <v>164</v>
      </c>
      <c r="B1582" s="1" t="s">
        <v>213</v>
      </c>
      <c r="C1582" s="5">
        <v>45531.0</v>
      </c>
      <c r="D1582" s="1" t="s">
        <v>161</v>
      </c>
      <c r="E1582" s="1" t="s">
        <v>11</v>
      </c>
      <c r="F1582" s="1" t="s">
        <v>162</v>
      </c>
      <c r="H1582" s="1">
        <v>0.0</v>
      </c>
      <c r="I1582" s="1">
        <v>0.0</v>
      </c>
      <c r="J1582" s="1">
        <v>0.0</v>
      </c>
      <c r="K1582" s="1">
        <v>4.0</v>
      </c>
      <c r="L1582" s="1">
        <v>10.0</v>
      </c>
      <c r="M1582" s="1">
        <v>0.4</v>
      </c>
      <c r="N1582" s="1">
        <v>14.32999992</v>
      </c>
    </row>
    <row r="1583" ht="15.75" customHeight="1">
      <c r="A1583" s="1" t="s">
        <v>164</v>
      </c>
      <c r="B1583" s="1" t="s">
        <v>76</v>
      </c>
      <c r="C1583" s="5">
        <v>45531.0</v>
      </c>
      <c r="D1583" s="1" t="s">
        <v>161</v>
      </c>
      <c r="E1583" s="1" t="s">
        <v>11</v>
      </c>
      <c r="F1583" s="1" t="s">
        <v>162</v>
      </c>
      <c r="H1583" s="1">
        <v>0.0</v>
      </c>
      <c r="I1583" s="1">
        <v>0.0</v>
      </c>
      <c r="J1583" s="1">
        <v>0.0</v>
      </c>
      <c r="K1583" s="1">
        <v>6.0</v>
      </c>
      <c r="L1583" s="1">
        <v>9.0</v>
      </c>
      <c r="M1583" s="1">
        <v>0.666666667</v>
      </c>
      <c r="N1583" s="1">
        <v>13.38000011</v>
      </c>
    </row>
    <row r="1584" ht="15.75" customHeight="1">
      <c r="A1584" s="1" t="s">
        <v>164</v>
      </c>
      <c r="B1584" s="1" t="s">
        <v>196</v>
      </c>
      <c r="C1584" s="5">
        <v>45531.0</v>
      </c>
      <c r="D1584" s="1" t="s">
        <v>161</v>
      </c>
      <c r="E1584" s="1" t="s">
        <v>11</v>
      </c>
      <c r="F1584" s="1" t="s">
        <v>165</v>
      </c>
      <c r="H1584" s="1">
        <v>0.0</v>
      </c>
      <c r="I1584" s="1">
        <v>0.0</v>
      </c>
      <c r="J1584" s="1">
        <v>0.0</v>
      </c>
      <c r="K1584" s="1">
        <v>16.0</v>
      </c>
      <c r="L1584" s="1">
        <v>43.0</v>
      </c>
      <c r="M1584" s="1">
        <v>0.372093023</v>
      </c>
      <c r="N1584" s="1">
        <v>71.62000275</v>
      </c>
    </row>
    <row r="1585" ht="15.75" customHeight="1">
      <c r="A1585" s="1" t="s">
        <v>164</v>
      </c>
      <c r="B1585" s="1" t="s">
        <v>179</v>
      </c>
      <c r="C1585" s="5">
        <v>45531.0</v>
      </c>
      <c r="D1585" s="1" t="s">
        <v>161</v>
      </c>
      <c r="E1585" s="1" t="s">
        <v>11</v>
      </c>
      <c r="H1585" s="1">
        <v>0.0</v>
      </c>
      <c r="J1585" s="1">
        <v>0.0</v>
      </c>
      <c r="N1585" s="1">
        <v>7.210000038</v>
      </c>
    </row>
    <row r="1586" ht="15.75" customHeight="1">
      <c r="A1586" s="1" t="s">
        <v>164</v>
      </c>
      <c r="B1586" s="1" t="s">
        <v>60</v>
      </c>
      <c r="C1586" s="5">
        <v>45531.0</v>
      </c>
      <c r="D1586" s="1" t="s">
        <v>161</v>
      </c>
      <c r="E1586" s="1" t="s">
        <v>11</v>
      </c>
      <c r="F1586" s="1" t="s">
        <v>166</v>
      </c>
      <c r="H1586" s="1">
        <v>0.0</v>
      </c>
      <c r="I1586" s="1">
        <v>0.0</v>
      </c>
      <c r="J1586" s="1">
        <v>0.0</v>
      </c>
      <c r="K1586" s="1">
        <v>3.0</v>
      </c>
      <c r="L1586" s="1">
        <v>5.0</v>
      </c>
      <c r="M1586" s="1">
        <v>0.6</v>
      </c>
      <c r="N1586" s="1">
        <v>12.56999969</v>
      </c>
    </row>
    <row r="1587" ht="15.75" customHeight="1">
      <c r="A1587" s="1" t="s">
        <v>164</v>
      </c>
      <c r="B1587" s="1" t="s">
        <v>63</v>
      </c>
      <c r="C1587" s="5">
        <v>45531.0</v>
      </c>
      <c r="D1587" s="1" t="s">
        <v>161</v>
      </c>
      <c r="E1587" s="1" t="s">
        <v>11</v>
      </c>
      <c r="F1587" s="1" t="s">
        <v>166</v>
      </c>
      <c r="H1587" s="1">
        <v>0.0</v>
      </c>
      <c r="I1587" s="1">
        <v>0.0</v>
      </c>
      <c r="J1587" s="1">
        <v>0.0</v>
      </c>
      <c r="K1587" s="1">
        <v>4.0</v>
      </c>
      <c r="L1587" s="1">
        <v>6.0</v>
      </c>
      <c r="M1587" s="1">
        <v>0.666666667</v>
      </c>
      <c r="N1587" s="1">
        <v>13.48999977</v>
      </c>
    </row>
    <row r="1588" ht="15.75" customHeight="1">
      <c r="A1588" s="1" t="s">
        <v>164</v>
      </c>
      <c r="B1588" s="1" t="s">
        <v>68</v>
      </c>
      <c r="C1588" s="5">
        <v>45531.0</v>
      </c>
      <c r="D1588" s="1" t="s">
        <v>161</v>
      </c>
      <c r="E1588" s="1" t="s">
        <v>11</v>
      </c>
      <c r="F1588" s="1" t="s">
        <v>166</v>
      </c>
      <c r="H1588" s="1">
        <v>0.0</v>
      </c>
      <c r="I1588" s="1">
        <v>0.0</v>
      </c>
      <c r="J1588" s="1">
        <v>0.0</v>
      </c>
      <c r="K1588" s="1">
        <v>0.0</v>
      </c>
      <c r="L1588" s="1">
        <v>1.0</v>
      </c>
      <c r="M1588" s="1">
        <v>0.0</v>
      </c>
      <c r="N1588" s="1">
        <v>11.35999966</v>
      </c>
    </row>
    <row r="1589" ht="15.75" customHeight="1">
      <c r="A1589" s="1" t="s">
        <v>164</v>
      </c>
      <c r="B1589" s="1" t="s">
        <v>197</v>
      </c>
      <c r="C1589" s="5">
        <v>45531.0</v>
      </c>
      <c r="D1589" s="1" t="s">
        <v>161</v>
      </c>
      <c r="E1589" s="1" t="s">
        <v>11</v>
      </c>
      <c r="F1589" s="1" t="s">
        <v>166</v>
      </c>
      <c r="H1589" s="1">
        <v>0.0</v>
      </c>
      <c r="I1589" s="1">
        <v>1.0</v>
      </c>
      <c r="J1589" s="1">
        <v>0.0</v>
      </c>
      <c r="K1589" s="1">
        <v>12.0</v>
      </c>
      <c r="L1589" s="1">
        <v>13.0</v>
      </c>
      <c r="M1589" s="1">
        <v>0.923076923</v>
      </c>
      <c r="N1589" s="1">
        <v>4.960000038</v>
      </c>
    </row>
    <row r="1590" ht="15.75" customHeight="1">
      <c r="A1590" s="1" t="s">
        <v>164</v>
      </c>
      <c r="B1590" s="1" t="s">
        <v>205</v>
      </c>
      <c r="C1590" s="5">
        <v>45531.0</v>
      </c>
      <c r="D1590" s="1" t="s">
        <v>161</v>
      </c>
      <c r="E1590" s="1" t="s">
        <v>11</v>
      </c>
      <c r="F1590" s="1" t="s">
        <v>166</v>
      </c>
      <c r="H1590" s="1">
        <v>0.0</v>
      </c>
      <c r="I1590" s="1">
        <v>0.0</v>
      </c>
      <c r="J1590" s="1">
        <v>0.0</v>
      </c>
      <c r="K1590" s="1">
        <v>1.0</v>
      </c>
      <c r="L1590" s="1">
        <v>5.0</v>
      </c>
      <c r="M1590" s="1">
        <v>0.2</v>
      </c>
      <c r="N1590" s="1">
        <v>6.739999771</v>
      </c>
    </row>
    <row r="1591" ht="15.75" customHeight="1">
      <c r="A1591" s="1" t="s">
        <v>164</v>
      </c>
      <c r="B1591" s="1" t="s">
        <v>75</v>
      </c>
      <c r="C1591" s="5">
        <v>45531.0</v>
      </c>
      <c r="D1591" s="1" t="s">
        <v>161</v>
      </c>
      <c r="E1591" s="1" t="s">
        <v>11</v>
      </c>
      <c r="F1591" s="1" t="s">
        <v>165</v>
      </c>
      <c r="G1591" s="1" t="s">
        <v>163</v>
      </c>
      <c r="H1591" s="1">
        <v>1.0</v>
      </c>
      <c r="I1591" s="1">
        <v>1.0</v>
      </c>
      <c r="J1591" s="1">
        <v>0.0</v>
      </c>
      <c r="K1591" s="1">
        <v>11.0</v>
      </c>
      <c r="L1591" s="1">
        <v>16.0</v>
      </c>
      <c r="M1591" s="1">
        <v>0.6875</v>
      </c>
      <c r="N1591" s="1">
        <v>14.02000046</v>
      </c>
    </row>
    <row r="1592" ht="15.75" customHeight="1">
      <c r="A1592" s="1" t="s">
        <v>164</v>
      </c>
      <c r="B1592" s="1" t="s">
        <v>100</v>
      </c>
      <c r="C1592" s="5">
        <v>45531.0</v>
      </c>
      <c r="D1592" s="1" t="s">
        <v>161</v>
      </c>
      <c r="E1592" s="1" t="s">
        <v>11</v>
      </c>
      <c r="F1592" s="1" t="s">
        <v>166</v>
      </c>
      <c r="H1592" s="1">
        <v>0.0</v>
      </c>
      <c r="I1592" s="1">
        <v>0.0</v>
      </c>
      <c r="J1592" s="1">
        <v>0.0</v>
      </c>
      <c r="K1592" s="1">
        <v>8.0</v>
      </c>
      <c r="L1592" s="1">
        <v>8.0</v>
      </c>
      <c r="M1592" s="1">
        <v>1.0</v>
      </c>
      <c r="N1592" s="1">
        <v>11.85000038</v>
      </c>
    </row>
    <row r="1593" ht="15.75" customHeight="1">
      <c r="A1593" s="1" t="s">
        <v>164</v>
      </c>
      <c r="B1593" s="1" t="s">
        <v>219</v>
      </c>
      <c r="C1593" s="5">
        <v>45531.0</v>
      </c>
      <c r="D1593" s="1" t="s">
        <v>161</v>
      </c>
      <c r="E1593" s="1" t="s">
        <v>11</v>
      </c>
      <c r="F1593" s="1" t="s">
        <v>162</v>
      </c>
      <c r="H1593" s="1">
        <v>0.0</v>
      </c>
      <c r="I1593" s="1">
        <v>0.0</v>
      </c>
      <c r="J1593" s="1">
        <v>0.0</v>
      </c>
      <c r="K1593" s="1">
        <v>0.0</v>
      </c>
      <c r="L1593" s="1">
        <v>4.0</v>
      </c>
      <c r="M1593" s="1">
        <v>0.0</v>
      </c>
      <c r="N1593" s="1">
        <v>2.49000001</v>
      </c>
    </row>
    <row r="1594" ht="15.75" customHeight="1">
      <c r="A1594" s="1" t="s">
        <v>164</v>
      </c>
      <c r="B1594" s="1" t="s">
        <v>225</v>
      </c>
      <c r="C1594" s="5">
        <v>45531.0</v>
      </c>
      <c r="D1594" s="1" t="s">
        <v>161</v>
      </c>
      <c r="E1594" s="1" t="s">
        <v>11</v>
      </c>
      <c r="F1594" s="1" t="s">
        <v>166</v>
      </c>
      <c r="H1594" s="1">
        <v>0.0</v>
      </c>
      <c r="I1594" s="1">
        <v>0.0</v>
      </c>
      <c r="J1594" s="1">
        <v>0.0</v>
      </c>
      <c r="K1594" s="1">
        <v>5.0</v>
      </c>
      <c r="L1594" s="1">
        <v>9.0</v>
      </c>
      <c r="M1594" s="1">
        <v>0.555555556</v>
      </c>
      <c r="N1594" s="1">
        <v>11.69999981</v>
      </c>
    </row>
    <row r="1595" ht="15.75" customHeight="1">
      <c r="A1595" s="1" t="s">
        <v>180</v>
      </c>
      <c r="B1595" s="1" t="s">
        <v>239</v>
      </c>
      <c r="C1595" s="5">
        <v>45531.0</v>
      </c>
      <c r="D1595" s="1" t="s">
        <v>161</v>
      </c>
      <c r="E1595" s="1" t="s">
        <v>11</v>
      </c>
      <c r="F1595" s="1" t="s">
        <v>166</v>
      </c>
      <c r="H1595" s="1">
        <v>0.0</v>
      </c>
      <c r="I1595" s="1">
        <v>0.0</v>
      </c>
      <c r="J1595" s="1">
        <v>0.0</v>
      </c>
      <c r="K1595" s="1">
        <v>3.0</v>
      </c>
      <c r="L1595" s="1">
        <v>4.0</v>
      </c>
      <c r="M1595" s="1">
        <v>0.75</v>
      </c>
      <c r="N1595" s="1">
        <v>4.989999771</v>
      </c>
    </row>
    <row r="1596" ht="15.75" customHeight="1">
      <c r="A1596" s="1" t="s">
        <v>180</v>
      </c>
      <c r="B1596" s="1" t="s">
        <v>185</v>
      </c>
      <c r="C1596" s="5">
        <v>45531.0</v>
      </c>
      <c r="D1596" s="1" t="s">
        <v>161</v>
      </c>
      <c r="E1596" s="1" t="s">
        <v>11</v>
      </c>
      <c r="F1596" s="1" t="s">
        <v>166</v>
      </c>
      <c r="H1596" s="1">
        <v>0.0</v>
      </c>
      <c r="I1596" s="1">
        <v>1.0</v>
      </c>
      <c r="J1596" s="1">
        <v>0.0</v>
      </c>
      <c r="K1596" s="1">
        <v>12.0</v>
      </c>
      <c r="L1596" s="1">
        <v>13.0</v>
      </c>
      <c r="M1596" s="1">
        <v>0.923076923</v>
      </c>
      <c r="N1596" s="1">
        <v>5.3800001139999996</v>
      </c>
    </row>
    <row r="1597" ht="15.75" customHeight="1">
      <c r="A1597" s="1" t="s">
        <v>180</v>
      </c>
      <c r="B1597" s="1" t="s">
        <v>226</v>
      </c>
      <c r="C1597" s="5">
        <v>45531.0</v>
      </c>
      <c r="D1597" s="1" t="s">
        <v>161</v>
      </c>
      <c r="E1597" s="1" t="s">
        <v>11</v>
      </c>
      <c r="F1597" s="1" t="s">
        <v>166</v>
      </c>
      <c r="H1597" s="1">
        <v>0.0</v>
      </c>
      <c r="I1597" s="1">
        <v>0.0</v>
      </c>
      <c r="J1597" s="1">
        <v>0.0</v>
      </c>
      <c r="K1597" s="1">
        <v>5.0</v>
      </c>
      <c r="L1597" s="1">
        <v>17.0</v>
      </c>
      <c r="M1597" s="1">
        <v>0.294117647</v>
      </c>
      <c r="N1597" s="1">
        <v>28.73999977</v>
      </c>
    </row>
    <row r="1598" ht="15.75" customHeight="1">
      <c r="A1598" s="1" t="s">
        <v>160</v>
      </c>
      <c r="B1598" s="1" t="s">
        <v>212</v>
      </c>
      <c r="C1598" s="5">
        <v>45530.0</v>
      </c>
      <c r="D1598" s="1" t="s">
        <v>161</v>
      </c>
      <c r="E1598" s="1" t="s">
        <v>11</v>
      </c>
      <c r="F1598" s="1" t="s">
        <v>165</v>
      </c>
      <c r="H1598" s="1">
        <v>0.0</v>
      </c>
      <c r="I1598" s="1">
        <v>1.0</v>
      </c>
      <c r="J1598" s="1">
        <v>0.0</v>
      </c>
      <c r="K1598" s="1">
        <v>17.0</v>
      </c>
      <c r="L1598" s="1">
        <v>21.0</v>
      </c>
      <c r="M1598" s="1">
        <v>0.80952381</v>
      </c>
      <c r="N1598" s="1">
        <v>27.69000053</v>
      </c>
    </row>
    <row r="1599" ht="15.75" customHeight="1">
      <c r="A1599" s="1" t="s">
        <v>160</v>
      </c>
      <c r="B1599" s="1" t="s">
        <v>20</v>
      </c>
      <c r="C1599" s="5">
        <v>45530.0</v>
      </c>
      <c r="D1599" s="1" t="s">
        <v>161</v>
      </c>
      <c r="E1599" s="1" t="s">
        <v>11</v>
      </c>
      <c r="F1599" s="1" t="s">
        <v>162</v>
      </c>
      <c r="H1599" s="1">
        <v>0.0</v>
      </c>
      <c r="I1599" s="1">
        <v>0.0</v>
      </c>
      <c r="J1599" s="1">
        <v>0.0</v>
      </c>
      <c r="K1599" s="1">
        <v>0.0</v>
      </c>
      <c r="L1599" s="1">
        <v>3.0</v>
      </c>
      <c r="M1599" s="1">
        <v>0.0</v>
      </c>
      <c r="N1599" s="1">
        <v>0.0</v>
      </c>
    </row>
    <row r="1600" ht="15.75" customHeight="1">
      <c r="A1600" s="1" t="s">
        <v>160</v>
      </c>
      <c r="B1600" s="1" t="s">
        <v>39</v>
      </c>
      <c r="C1600" s="5">
        <v>45530.0</v>
      </c>
      <c r="D1600" s="1" t="s">
        <v>161</v>
      </c>
      <c r="E1600" s="1" t="s">
        <v>11</v>
      </c>
      <c r="H1600" s="1">
        <v>0.0</v>
      </c>
      <c r="J1600" s="1">
        <v>0.0</v>
      </c>
      <c r="N1600" s="1">
        <v>1.320000052</v>
      </c>
    </row>
    <row r="1601" ht="15.75" customHeight="1">
      <c r="A1601" s="1" t="s">
        <v>160</v>
      </c>
      <c r="B1601" s="1" t="s">
        <v>95</v>
      </c>
      <c r="C1601" s="5">
        <v>45530.0</v>
      </c>
      <c r="D1601" s="1" t="s">
        <v>161</v>
      </c>
      <c r="E1601" s="1" t="s">
        <v>11</v>
      </c>
      <c r="H1601" s="1">
        <v>0.0</v>
      </c>
      <c r="J1601" s="1">
        <v>0.0</v>
      </c>
      <c r="N1601" s="1">
        <v>4.230000019</v>
      </c>
    </row>
    <row r="1602" ht="15.75" customHeight="1">
      <c r="A1602" s="1" t="s">
        <v>160</v>
      </c>
      <c r="B1602" s="1" t="s">
        <v>198</v>
      </c>
      <c r="C1602" s="5">
        <v>45530.0</v>
      </c>
      <c r="D1602" s="1" t="s">
        <v>161</v>
      </c>
      <c r="E1602" s="1" t="s">
        <v>11</v>
      </c>
      <c r="F1602" s="1" t="s">
        <v>162</v>
      </c>
      <c r="H1602" s="1">
        <v>0.0</v>
      </c>
      <c r="I1602" s="1">
        <v>0.0</v>
      </c>
      <c r="J1602" s="1">
        <v>0.0</v>
      </c>
      <c r="K1602" s="1">
        <v>4.0</v>
      </c>
      <c r="L1602" s="1">
        <v>8.0</v>
      </c>
      <c r="M1602" s="1">
        <v>0.5</v>
      </c>
      <c r="N1602" s="1">
        <v>13.02999973</v>
      </c>
    </row>
    <row r="1603" ht="15.75" customHeight="1">
      <c r="A1603" s="1" t="s">
        <v>160</v>
      </c>
      <c r="B1603" s="1" t="s">
        <v>94</v>
      </c>
      <c r="C1603" s="5">
        <v>45530.0</v>
      </c>
      <c r="D1603" s="1" t="s">
        <v>161</v>
      </c>
      <c r="E1603" s="1" t="s">
        <v>190</v>
      </c>
      <c r="H1603" s="1">
        <v>0.0</v>
      </c>
      <c r="J1603" s="1">
        <v>0.0</v>
      </c>
      <c r="N1603" s="1">
        <v>5.420000076</v>
      </c>
    </row>
    <row r="1604" ht="15.75" customHeight="1">
      <c r="A1604" s="1" t="s">
        <v>164</v>
      </c>
      <c r="B1604" s="1" t="s">
        <v>22</v>
      </c>
      <c r="C1604" s="5">
        <v>45530.0</v>
      </c>
      <c r="D1604" s="1" t="s">
        <v>161</v>
      </c>
      <c r="E1604" s="1" t="s">
        <v>11</v>
      </c>
      <c r="H1604" s="1">
        <v>0.0</v>
      </c>
      <c r="J1604" s="1">
        <v>0.0</v>
      </c>
      <c r="N1604" s="1">
        <v>16.13999939</v>
      </c>
    </row>
    <row r="1605" ht="15.75" customHeight="1">
      <c r="A1605" s="1" t="s">
        <v>164</v>
      </c>
      <c r="B1605" s="1" t="s">
        <v>24</v>
      </c>
      <c r="C1605" s="5">
        <v>45530.0</v>
      </c>
      <c r="D1605" s="1" t="s">
        <v>161</v>
      </c>
      <c r="E1605" s="1" t="s">
        <v>11</v>
      </c>
      <c r="F1605" s="1" t="s">
        <v>166</v>
      </c>
      <c r="H1605" s="1">
        <v>0.0</v>
      </c>
      <c r="I1605" s="1">
        <v>0.0</v>
      </c>
      <c r="J1605" s="1">
        <v>0.0</v>
      </c>
      <c r="K1605" s="1">
        <v>4.0</v>
      </c>
      <c r="L1605" s="1">
        <v>5.0</v>
      </c>
      <c r="M1605" s="1">
        <v>0.8</v>
      </c>
      <c r="N1605" s="1">
        <v>6.829999924</v>
      </c>
    </row>
    <row r="1606" ht="15.75" customHeight="1">
      <c r="A1606" s="1" t="s">
        <v>164</v>
      </c>
      <c r="B1606" s="1" t="s">
        <v>52</v>
      </c>
      <c r="C1606" s="5">
        <v>45530.0</v>
      </c>
      <c r="D1606" s="1" t="s">
        <v>161</v>
      </c>
      <c r="E1606" s="1" t="s">
        <v>11</v>
      </c>
      <c r="H1606" s="1">
        <v>0.0</v>
      </c>
      <c r="J1606" s="1">
        <v>0.0</v>
      </c>
      <c r="N1606" s="1">
        <v>0.07</v>
      </c>
    </row>
    <row r="1607" ht="15.75" customHeight="1">
      <c r="A1607" s="1" t="s">
        <v>164</v>
      </c>
      <c r="B1607" s="1" t="s">
        <v>70</v>
      </c>
      <c r="C1607" s="5">
        <v>45530.0</v>
      </c>
      <c r="D1607" s="1" t="s">
        <v>161</v>
      </c>
      <c r="E1607" s="1" t="s">
        <v>11</v>
      </c>
      <c r="F1607" s="1" t="s">
        <v>166</v>
      </c>
      <c r="H1607" s="1">
        <v>0.0</v>
      </c>
      <c r="I1607" s="1">
        <v>0.0</v>
      </c>
      <c r="J1607" s="1">
        <v>0.0</v>
      </c>
      <c r="K1607" s="1">
        <v>5.0</v>
      </c>
      <c r="L1607" s="1">
        <v>35.0</v>
      </c>
      <c r="M1607" s="1">
        <v>0.142857143</v>
      </c>
      <c r="N1607" s="1">
        <v>8.329999924</v>
      </c>
    </row>
    <row r="1608" ht="15.75" customHeight="1">
      <c r="A1608" s="1" t="s">
        <v>164</v>
      </c>
      <c r="B1608" s="1" t="s">
        <v>242</v>
      </c>
      <c r="C1608" s="5">
        <v>45530.0</v>
      </c>
      <c r="D1608" s="1" t="s">
        <v>161</v>
      </c>
      <c r="E1608" s="1" t="s">
        <v>11</v>
      </c>
      <c r="H1608" s="1">
        <v>0.0</v>
      </c>
      <c r="J1608" s="1">
        <v>0.0</v>
      </c>
      <c r="N1608" s="1">
        <v>0.920000017</v>
      </c>
    </row>
    <row r="1609" ht="15.75" customHeight="1">
      <c r="A1609" s="1" t="s">
        <v>164</v>
      </c>
      <c r="B1609" s="1" t="s">
        <v>76</v>
      </c>
      <c r="C1609" s="5">
        <v>45530.0</v>
      </c>
      <c r="D1609" s="1" t="s">
        <v>161</v>
      </c>
      <c r="E1609" s="1" t="s">
        <v>11</v>
      </c>
      <c r="F1609" s="1" t="s">
        <v>162</v>
      </c>
      <c r="H1609" s="1">
        <v>0.0</v>
      </c>
      <c r="I1609" s="1">
        <v>0.0</v>
      </c>
      <c r="J1609" s="1">
        <v>0.0</v>
      </c>
      <c r="K1609" s="1">
        <v>7.0</v>
      </c>
      <c r="L1609" s="1">
        <v>16.0</v>
      </c>
      <c r="M1609" s="1">
        <v>0.4375</v>
      </c>
      <c r="N1609" s="1">
        <v>30.97999954</v>
      </c>
    </row>
    <row r="1610" ht="15.75" customHeight="1">
      <c r="A1610" s="1" t="s">
        <v>164</v>
      </c>
      <c r="B1610" s="1" t="s">
        <v>196</v>
      </c>
      <c r="C1610" s="5">
        <v>45530.0</v>
      </c>
      <c r="D1610" s="1" t="s">
        <v>161</v>
      </c>
      <c r="E1610" s="1" t="s">
        <v>11</v>
      </c>
      <c r="F1610" s="1" t="s">
        <v>165</v>
      </c>
      <c r="H1610" s="1">
        <v>0.0</v>
      </c>
      <c r="I1610" s="1">
        <v>0.0</v>
      </c>
      <c r="J1610" s="1">
        <v>0.0</v>
      </c>
      <c r="K1610" s="1">
        <v>1.0</v>
      </c>
      <c r="L1610" s="1">
        <v>4.0</v>
      </c>
      <c r="M1610" s="1">
        <v>0.25</v>
      </c>
      <c r="N1610" s="1">
        <v>4.449999809</v>
      </c>
    </row>
    <row r="1611" ht="15.75" customHeight="1">
      <c r="A1611" s="1" t="s">
        <v>164</v>
      </c>
      <c r="B1611" s="1" t="s">
        <v>60</v>
      </c>
      <c r="C1611" s="5">
        <v>45530.0</v>
      </c>
      <c r="D1611" s="1" t="s">
        <v>161</v>
      </c>
      <c r="E1611" s="1" t="s">
        <v>11</v>
      </c>
      <c r="F1611" s="1" t="s">
        <v>166</v>
      </c>
      <c r="H1611" s="1">
        <v>0.0</v>
      </c>
      <c r="I1611" s="1">
        <v>0.0</v>
      </c>
      <c r="J1611" s="1">
        <v>0.0</v>
      </c>
      <c r="K1611" s="1">
        <v>2.0</v>
      </c>
      <c r="L1611" s="1">
        <v>5.0</v>
      </c>
      <c r="M1611" s="1">
        <v>0.4</v>
      </c>
      <c r="N1611" s="1">
        <v>6.639999866</v>
      </c>
    </row>
    <row r="1612" ht="15.75" customHeight="1">
      <c r="A1612" s="1" t="s">
        <v>164</v>
      </c>
      <c r="B1612" s="1" t="s">
        <v>63</v>
      </c>
      <c r="C1612" s="5">
        <v>45530.0</v>
      </c>
      <c r="D1612" s="1" t="s">
        <v>161</v>
      </c>
      <c r="E1612" s="1" t="s">
        <v>11</v>
      </c>
      <c r="F1612" s="1" t="s">
        <v>166</v>
      </c>
      <c r="H1612" s="1">
        <v>0.0</v>
      </c>
      <c r="I1612" s="1">
        <v>0.0</v>
      </c>
      <c r="J1612" s="1">
        <v>0.0</v>
      </c>
      <c r="K1612" s="1">
        <v>6.0</v>
      </c>
      <c r="L1612" s="1">
        <v>15.0</v>
      </c>
      <c r="M1612" s="1">
        <v>0.4</v>
      </c>
      <c r="N1612" s="1">
        <v>10.25</v>
      </c>
    </row>
    <row r="1613" ht="15.75" customHeight="1">
      <c r="A1613" s="1" t="s">
        <v>164</v>
      </c>
      <c r="B1613" s="1" t="s">
        <v>68</v>
      </c>
      <c r="C1613" s="5">
        <v>45530.0</v>
      </c>
      <c r="D1613" s="1" t="s">
        <v>161</v>
      </c>
      <c r="E1613" s="1" t="s">
        <v>11</v>
      </c>
      <c r="F1613" s="1" t="s">
        <v>166</v>
      </c>
      <c r="H1613" s="1">
        <v>0.0</v>
      </c>
      <c r="I1613" s="1">
        <v>0.0</v>
      </c>
      <c r="J1613" s="1">
        <v>0.0</v>
      </c>
      <c r="K1613" s="1">
        <v>1.0</v>
      </c>
      <c r="L1613" s="1">
        <v>3.0</v>
      </c>
      <c r="M1613" s="1">
        <v>0.333333333</v>
      </c>
      <c r="N1613" s="1">
        <v>3.5599999430000002</v>
      </c>
    </row>
    <row r="1614" ht="15.75" customHeight="1">
      <c r="A1614" s="1" t="s">
        <v>164</v>
      </c>
      <c r="B1614" s="1" t="s">
        <v>197</v>
      </c>
      <c r="C1614" s="5">
        <v>45530.0</v>
      </c>
      <c r="D1614" s="1" t="s">
        <v>161</v>
      </c>
      <c r="E1614" s="1" t="s">
        <v>11</v>
      </c>
      <c r="F1614" s="1" t="s">
        <v>166</v>
      </c>
      <c r="H1614" s="1">
        <v>0.0</v>
      </c>
      <c r="I1614" s="1">
        <v>1.0</v>
      </c>
      <c r="J1614" s="1">
        <v>0.0</v>
      </c>
      <c r="K1614" s="1">
        <v>13.0</v>
      </c>
      <c r="L1614" s="1">
        <v>17.0</v>
      </c>
      <c r="M1614" s="1">
        <v>0.764705882</v>
      </c>
      <c r="N1614" s="1">
        <v>11.09000015</v>
      </c>
    </row>
    <row r="1615" ht="15.75" customHeight="1">
      <c r="A1615" s="1" t="s">
        <v>164</v>
      </c>
      <c r="B1615" s="1" t="s">
        <v>205</v>
      </c>
      <c r="C1615" s="5">
        <v>45530.0</v>
      </c>
      <c r="D1615" s="1" t="s">
        <v>161</v>
      </c>
      <c r="E1615" s="1" t="s">
        <v>11</v>
      </c>
      <c r="F1615" s="1" t="s">
        <v>165</v>
      </c>
      <c r="G1615" s="1" t="s">
        <v>163</v>
      </c>
      <c r="H1615" s="1">
        <v>1.0</v>
      </c>
      <c r="I1615" s="1">
        <v>1.0</v>
      </c>
      <c r="J1615" s="1">
        <v>0.0</v>
      </c>
      <c r="K1615" s="1">
        <v>13.0</v>
      </c>
      <c r="L1615" s="1">
        <v>17.0</v>
      </c>
      <c r="M1615" s="1">
        <v>0.764705882</v>
      </c>
      <c r="N1615" s="1">
        <v>15.56999969</v>
      </c>
    </row>
    <row r="1616" ht="15.75" customHeight="1">
      <c r="A1616" s="1" t="s">
        <v>164</v>
      </c>
      <c r="B1616" s="1" t="s">
        <v>75</v>
      </c>
      <c r="C1616" s="5">
        <v>45530.0</v>
      </c>
      <c r="D1616" s="1" t="s">
        <v>161</v>
      </c>
      <c r="E1616" s="1" t="s">
        <v>11</v>
      </c>
      <c r="F1616" s="1" t="s">
        <v>165</v>
      </c>
      <c r="H1616" s="1">
        <v>0.0</v>
      </c>
      <c r="I1616" s="1">
        <v>0.0</v>
      </c>
      <c r="J1616" s="1">
        <v>0.0</v>
      </c>
      <c r="K1616" s="1">
        <v>1.0</v>
      </c>
      <c r="L1616" s="1">
        <v>3.0</v>
      </c>
      <c r="M1616" s="1">
        <v>0.333333333</v>
      </c>
      <c r="N1616" s="1">
        <v>6.059999943</v>
      </c>
    </row>
    <row r="1617" ht="15.75" customHeight="1">
      <c r="A1617" s="1" t="s">
        <v>164</v>
      </c>
      <c r="B1617" s="1" t="s">
        <v>100</v>
      </c>
      <c r="C1617" s="5">
        <v>45530.0</v>
      </c>
      <c r="D1617" s="1" t="s">
        <v>161</v>
      </c>
      <c r="E1617" s="1" t="s">
        <v>11</v>
      </c>
      <c r="F1617" s="1" t="s">
        <v>165</v>
      </c>
      <c r="H1617" s="1">
        <v>0.0</v>
      </c>
      <c r="I1617" s="1">
        <v>1.0</v>
      </c>
      <c r="J1617" s="1">
        <v>0.0</v>
      </c>
      <c r="K1617" s="1">
        <v>27.0</v>
      </c>
      <c r="L1617" s="1">
        <v>42.0</v>
      </c>
      <c r="M1617" s="1">
        <v>0.642857143</v>
      </c>
      <c r="N1617" s="1">
        <v>29.43000031</v>
      </c>
    </row>
    <row r="1618" ht="15.75" customHeight="1">
      <c r="A1618" s="1" t="s">
        <v>164</v>
      </c>
      <c r="B1618" s="1" t="s">
        <v>100</v>
      </c>
      <c r="C1618" s="5">
        <v>45530.0</v>
      </c>
      <c r="D1618" s="1" t="s">
        <v>161</v>
      </c>
      <c r="E1618" s="1" t="s">
        <v>11</v>
      </c>
      <c r="F1618" s="1" t="s">
        <v>166</v>
      </c>
      <c r="H1618" s="1">
        <v>0.0</v>
      </c>
      <c r="I1618" s="1">
        <v>1.0</v>
      </c>
      <c r="J1618" s="1">
        <v>0.0</v>
      </c>
      <c r="K1618" s="1">
        <v>25.0</v>
      </c>
      <c r="L1618" s="1">
        <v>33.0</v>
      </c>
      <c r="M1618" s="1">
        <v>0.757575758</v>
      </c>
      <c r="N1618" s="1">
        <v>0.0</v>
      </c>
    </row>
    <row r="1619" ht="15.75" customHeight="1">
      <c r="A1619" s="1" t="s">
        <v>164</v>
      </c>
      <c r="B1619" s="1" t="s">
        <v>219</v>
      </c>
      <c r="C1619" s="5">
        <v>45530.0</v>
      </c>
      <c r="D1619" s="1" t="s">
        <v>161</v>
      </c>
      <c r="E1619" s="1" t="s">
        <v>11</v>
      </c>
      <c r="F1619" s="1" t="s">
        <v>165</v>
      </c>
      <c r="H1619" s="1">
        <v>0.0</v>
      </c>
      <c r="I1619" s="1">
        <v>0.0</v>
      </c>
      <c r="J1619" s="1">
        <v>0.0</v>
      </c>
      <c r="K1619" s="1">
        <v>1.0</v>
      </c>
      <c r="L1619" s="1">
        <v>6.0</v>
      </c>
      <c r="M1619" s="1">
        <v>0.166666667</v>
      </c>
      <c r="N1619" s="1">
        <v>3.960000038</v>
      </c>
    </row>
    <row r="1620" ht="15.75" customHeight="1">
      <c r="A1620" s="1" t="s">
        <v>164</v>
      </c>
      <c r="B1620" s="1" t="s">
        <v>225</v>
      </c>
      <c r="C1620" s="5">
        <v>45530.0</v>
      </c>
      <c r="D1620" s="1" t="s">
        <v>161</v>
      </c>
      <c r="E1620" s="1" t="s">
        <v>11</v>
      </c>
      <c r="F1620" s="1" t="s">
        <v>166</v>
      </c>
      <c r="H1620" s="1">
        <v>0.0</v>
      </c>
      <c r="I1620" s="1">
        <v>1.0</v>
      </c>
      <c r="J1620" s="1">
        <v>0.0</v>
      </c>
      <c r="K1620" s="1">
        <v>5.0</v>
      </c>
      <c r="L1620" s="1">
        <v>5.0</v>
      </c>
      <c r="M1620" s="1">
        <v>1.0</v>
      </c>
      <c r="N1620" s="1">
        <v>5.610000134</v>
      </c>
    </row>
    <row r="1621" ht="15.75" customHeight="1">
      <c r="A1621" s="1" t="s">
        <v>180</v>
      </c>
      <c r="B1621" s="1" t="s">
        <v>45</v>
      </c>
      <c r="C1621" s="5">
        <v>45530.0</v>
      </c>
      <c r="D1621" s="1" t="s">
        <v>161</v>
      </c>
      <c r="E1621" s="1" t="s">
        <v>11</v>
      </c>
      <c r="F1621" s="1" t="s">
        <v>166</v>
      </c>
      <c r="H1621" s="1">
        <v>0.0</v>
      </c>
      <c r="I1621" s="1">
        <v>1.0</v>
      </c>
      <c r="J1621" s="1">
        <v>0.0</v>
      </c>
      <c r="K1621" s="1">
        <v>12.0</v>
      </c>
      <c r="L1621" s="1">
        <v>17.0</v>
      </c>
      <c r="M1621" s="1">
        <v>0.705882353</v>
      </c>
      <c r="N1621" s="1">
        <v>0.879999995</v>
      </c>
    </row>
    <row r="1622" ht="15.75" customHeight="1">
      <c r="A1622" s="1" t="s">
        <v>180</v>
      </c>
      <c r="B1622" s="1" t="s">
        <v>237</v>
      </c>
      <c r="C1622" s="5">
        <v>45530.0</v>
      </c>
      <c r="D1622" s="1" t="s">
        <v>161</v>
      </c>
      <c r="E1622" s="1" t="s">
        <v>11</v>
      </c>
      <c r="F1622" s="1" t="s">
        <v>166</v>
      </c>
      <c r="H1622" s="1">
        <v>0.0</v>
      </c>
      <c r="I1622" s="1">
        <v>0.0</v>
      </c>
      <c r="J1622" s="1">
        <v>0.0</v>
      </c>
      <c r="K1622" s="1">
        <v>0.0</v>
      </c>
      <c r="L1622" s="1">
        <v>0.0</v>
      </c>
      <c r="N1622" s="1">
        <v>1.139999986</v>
      </c>
    </row>
    <row r="1623" ht="15.75" customHeight="1">
      <c r="A1623" s="1" t="s">
        <v>180</v>
      </c>
      <c r="B1623" s="1" t="s">
        <v>185</v>
      </c>
      <c r="C1623" s="5">
        <v>45530.0</v>
      </c>
      <c r="D1623" s="1" t="s">
        <v>161</v>
      </c>
      <c r="E1623" s="1" t="s">
        <v>11</v>
      </c>
      <c r="F1623" s="1" t="s">
        <v>166</v>
      </c>
      <c r="H1623" s="1">
        <v>0.0</v>
      </c>
      <c r="I1623" s="1">
        <v>1.0</v>
      </c>
      <c r="J1623" s="1">
        <v>0.0</v>
      </c>
      <c r="K1623" s="1">
        <v>31.0</v>
      </c>
      <c r="L1623" s="1">
        <v>45.0</v>
      </c>
      <c r="M1623" s="1">
        <v>0.688888889</v>
      </c>
      <c r="N1623" s="1">
        <v>48.59999847</v>
      </c>
    </row>
    <row r="1624" ht="15.75" customHeight="1">
      <c r="A1624" s="1" t="s">
        <v>180</v>
      </c>
      <c r="B1624" s="1" t="s">
        <v>226</v>
      </c>
      <c r="C1624" s="5">
        <v>45530.0</v>
      </c>
      <c r="D1624" s="1" t="s">
        <v>161</v>
      </c>
      <c r="E1624" s="1" t="s">
        <v>11</v>
      </c>
      <c r="F1624" s="1" t="s">
        <v>166</v>
      </c>
      <c r="H1624" s="1">
        <v>0.0</v>
      </c>
      <c r="I1624" s="1">
        <v>0.0</v>
      </c>
      <c r="J1624" s="1">
        <v>0.0</v>
      </c>
      <c r="K1624" s="1">
        <v>5.0</v>
      </c>
      <c r="L1624" s="1">
        <v>14.0</v>
      </c>
      <c r="M1624" s="1">
        <v>0.357142857</v>
      </c>
      <c r="N1624" s="1">
        <v>34.90000153</v>
      </c>
    </row>
    <row r="1625" ht="15.75" customHeight="1">
      <c r="A1625" s="1" t="s">
        <v>160</v>
      </c>
      <c r="B1625" s="1" t="s">
        <v>94</v>
      </c>
      <c r="C1625" s="5">
        <v>45528.0</v>
      </c>
      <c r="D1625" s="1" t="s">
        <v>161</v>
      </c>
      <c r="E1625" s="1" t="s">
        <v>190</v>
      </c>
      <c r="H1625" s="1">
        <v>0.0</v>
      </c>
      <c r="J1625" s="1">
        <v>0.0</v>
      </c>
      <c r="N1625" s="1">
        <v>2.279999971</v>
      </c>
    </row>
    <row r="1626" ht="15.75" customHeight="1">
      <c r="A1626" s="1" t="s">
        <v>160</v>
      </c>
      <c r="B1626" s="1" t="s">
        <v>212</v>
      </c>
      <c r="C1626" s="5">
        <v>45527.0</v>
      </c>
      <c r="D1626" s="1" t="s">
        <v>161</v>
      </c>
      <c r="E1626" s="1" t="s">
        <v>11</v>
      </c>
      <c r="F1626" s="1" t="s">
        <v>165</v>
      </c>
      <c r="H1626" s="1">
        <v>0.0</v>
      </c>
      <c r="I1626" s="1">
        <v>0.0</v>
      </c>
      <c r="J1626" s="1">
        <v>0.0</v>
      </c>
      <c r="K1626" s="1">
        <v>2.0</v>
      </c>
      <c r="L1626" s="1">
        <v>6.0</v>
      </c>
      <c r="M1626" s="1">
        <v>0.333333333</v>
      </c>
      <c r="N1626" s="1">
        <v>7.289999962</v>
      </c>
    </row>
    <row r="1627" ht="15.75" customHeight="1">
      <c r="A1627" s="1" t="s">
        <v>160</v>
      </c>
      <c r="B1627" s="1" t="s">
        <v>31</v>
      </c>
      <c r="C1627" s="5">
        <v>45527.0</v>
      </c>
      <c r="D1627" s="1" t="s">
        <v>161</v>
      </c>
      <c r="E1627" s="1" t="s">
        <v>11</v>
      </c>
      <c r="H1627" s="1">
        <v>0.0</v>
      </c>
      <c r="J1627" s="1">
        <v>0.0</v>
      </c>
      <c r="N1627" s="1">
        <v>0.230000004</v>
      </c>
    </row>
    <row r="1628" ht="15.75" customHeight="1">
      <c r="A1628" s="1" t="s">
        <v>160</v>
      </c>
      <c r="B1628" s="1" t="s">
        <v>20</v>
      </c>
      <c r="C1628" s="5">
        <v>45527.0</v>
      </c>
      <c r="D1628" s="1" t="s">
        <v>161</v>
      </c>
      <c r="E1628" s="1" t="s">
        <v>11</v>
      </c>
      <c r="F1628" s="1" t="s">
        <v>162</v>
      </c>
      <c r="H1628" s="1">
        <v>0.0</v>
      </c>
      <c r="I1628" s="1">
        <v>0.0</v>
      </c>
      <c r="J1628" s="1">
        <v>0.0</v>
      </c>
      <c r="K1628" s="1">
        <v>2.0</v>
      </c>
      <c r="L1628" s="1">
        <v>14.0</v>
      </c>
      <c r="M1628" s="1">
        <v>0.142857143</v>
      </c>
      <c r="N1628" s="1">
        <v>0.0</v>
      </c>
    </row>
    <row r="1629" ht="15.75" customHeight="1">
      <c r="A1629" s="1" t="s">
        <v>160</v>
      </c>
      <c r="B1629" s="1" t="s">
        <v>210</v>
      </c>
      <c r="C1629" s="5">
        <v>45527.0</v>
      </c>
      <c r="D1629" s="1" t="s">
        <v>161</v>
      </c>
      <c r="E1629" s="1" t="s">
        <v>11</v>
      </c>
      <c r="F1629" s="1" t="s">
        <v>162</v>
      </c>
      <c r="H1629" s="1">
        <v>0.0</v>
      </c>
      <c r="I1629" s="1">
        <v>0.0</v>
      </c>
      <c r="J1629" s="1">
        <v>0.0</v>
      </c>
      <c r="K1629" s="1">
        <v>0.0</v>
      </c>
      <c r="L1629" s="1">
        <v>0.0</v>
      </c>
      <c r="N1629" s="1">
        <v>0.209999993</v>
      </c>
    </row>
    <row r="1630" ht="15.75" customHeight="1">
      <c r="A1630" s="1" t="s">
        <v>160</v>
      </c>
      <c r="B1630" s="1" t="s">
        <v>89</v>
      </c>
      <c r="C1630" s="5">
        <v>45527.0</v>
      </c>
      <c r="D1630" s="1" t="s">
        <v>161</v>
      </c>
      <c r="E1630" s="1" t="s">
        <v>11</v>
      </c>
      <c r="F1630" s="1" t="s">
        <v>165</v>
      </c>
      <c r="H1630" s="1">
        <v>0.0</v>
      </c>
      <c r="I1630" s="1">
        <v>0.0</v>
      </c>
      <c r="J1630" s="1">
        <v>0.0</v>
      </c>
      <c r="K1630" s="1">
        <v>0.0</v>
      </c>
      <c r="L1630" s="1">
        <v>1.0</v>
      </c>
      <c r="M1630" s="1">
        <v>0.0</v>
      </c>
      <c r="N1630" s="1">
        <v>2.339999914</v>
      </c>
    </row>
    <row r="1631" ht="15.75" customHeight="1">
      <c r="A1631" s="1" t="s">
        <v>160</v>
      </c>
      <c r="B1631" s="1" t="s">
        <v>198</v>
      </c>
      <c r="C1631" s="5">
        <v>45527.0</v>
      </c>
      <c r="D1631" s="1" t="s">
        <v>161</v>
      </c>
      <c r="E1631" s="1" t="s">
        <v>11</v>
      </c>
      <c r="F1631" s="1" t="s">
        <v>162</v>
      </c>
      <c r="H1631" s="1">
        <v>0.0</v>
      </c>
      <c r="I1631" s="1">
        <v>0.0</v>
      </c>
      <c r="J1631" s="1">
        <v>0.0</v>
      </c>
      <c r="K1631" s="1">
        <v>0.0</v>
      </c>
      <c r="L1631" s="1">
        <v>16.0</v>
      </c>
      <c r="M1631" s="1">
        <v>0.0</v>
      </c>
      <c r="N1631" s="1">
        <v>15.32999992</v>
      </c>
    </row>
    <row r="1632" ht="15.75" customHeight="1">
      <c r="A1632" s="1" t="s">
        <v>164</v>
      </c>
      <c r="B1632" s="1" t="s">
        <v>22</v>
      </c>
      <c r="C1632" s="5">
        <v>45527.0</v>
      </c>
      <c r="D1632" s="1" t="s">
        <v>161</v>
      </c>
      <c r="E1632" s="1" t="s">
        <v>11</v>
      </c>
      <c r="F1632" s="1" t="s">
        <v>166</v>
      </c>
      <c r="H1632" s="1">
        <v>0.0</v>
      </c>
      <c r="I1632" s="1">
        <v>0.0</v>
      </c>
      <c r="J1632" s="1">
        <v>0.0</v>
      </c>
      <c r="K1632" s="1">
        <v>3.0</v>
      </c>
      <c r="L1632" s="1">
        <v>5.0</v>
      </c>
      <c r="M1632" s="1">
        <v>0.6</v>
      </c>
      <c r="N1632" s="1">
        <v>14.81000042</v>
      </c>
    </row>
    <row r="1633" ht="15.75" customHeight="1">
      <c r="A1633" s="1" t="s">
        <v>164</v>
      </c>
      <c r="B1633" s="1" t="s">
        <v>24</v>
      </c>
      <c r="C1633" s="5">
        <v>45527.0</v>
      </c>
      <c r="D1633" s="1" t="s">
        <v>161</v>
      </c>
      <c r="E1633" s="1" t="s">
        <v>11</v>
      </c>
      <c r="F1633" s="1" t="s">
        <v>166</v>
      </c>
      <c r="H1633" s="1">
        <v>0.0</v>
      </c>
      <c r="I1633" s="1">
        <v>0.0</v>
      </c>
      <c r="J1633" s="1">
        <v>0.0</v>
      </c>
      <c r="K1633" s="1">
        <v>0.0</v>
      </c>
      <c r="L1633" s="1">
        <v>1.0</v>
      </c>
      <c r="M1633" s="1">
        <v>0.0</v>
      </c>
      <c r="N1633" s="1">
        <v>1.029999971</v>
      </c>
    </row>
    <row r="1634" ht="15.75" customHeight="1">
      <c r="A1634" s="1" t="s">
        <v>164</v>
      </c>
      <c r="B1634" s="1" t="s">
        <v>199</v>
      </c>
      <c r="C1634" s="5">
        <v>45527.0</v>
      </c>
      <c r="D1634" s="1" t="s">
        <v>161</v>
      </c>
      <c r="E1634" s="1" t="s">
        <v>11</v>
      </c>
      <c r="H1634" s="1">
        <v>0.0</v>
      </c>
      <c r="J1634" s="1">
        <v>0.0</v>
      </c>
      <c r="N1634" s="1">
        <v>0.779999971</v>
      </c>
    </row>
    <row r="1635" ht="15.75" customHeight="1">
      <c r="A1635" s="1" t="s">
        <v>164</v>
      </c>
      <c r="B1635" s="1" t="s">
        <v>245</v>
      </c>
      <c r="C1635" s="5">
        <v>45527.0</v>
      </c>
      <c r="D1635" s="1" t="s">
        <v>161</v>
      </c>
      <c r="E1635" s="1" t="s">
        <v>11</v>
      </c>
      <c r="H1635" s="1">
        <v>0.0</v>
      </c>
      <c r="J1635" s="1">
        <v>0.0</v>
      </c>
      <c r="N1635" s="1">
        <v>0.119999997</v>
      </c>
    </row>
    <row r="1636" ht="15.75" customHeight="1">
      <c r="A1636" s="1" t="s">
        <v>164</v>
      </c>
      <c r="B1636" s="1" t="s">
        <v>76</v>
      </c>
      <c r="C1636" s="5">
        <v>45527.0</v>
      </c>
      <c r="D1636" s="1" t="s">
        <v>161</v>
      </c>
      <c r="E1636" s="1" t="s">
        <v>11</v>
      </c>
      <c r="H1636" s="1">
        <v>0.0</v>
      </c>
      <c r="J1636" s="1">
        <v>0.0</v>
      </c>
      <c r="N1636" s="1">
        <v>0.680000007</v>
      </c>
    </row>
    <row r="1637" ht="15.75" customHeight="1">
      <c r="A1637" s="1" t="s">
        <v>164</v>
      </c>
      <c r="B1637" s="1" t="s">
        <v>179</v>
      </c>
      <c r="C1637" s="5">
        <v>45527.0</v>
      </c>
      <c r="D1637" s="1" t="s">
        <v>161</v>
      </c>
      <c r="E1637" s="1" t="s">
        <v>11</v>
      </c>
      <c r="F1637" s="1" t="s">
        <v>166</v>
      </c>
      <c r="H1637" s="1">
        <v>0.0</v>
      </c>
      <c r="I1637" s="1">
        <v>0.0</v>
      </c>
      <c r="J1637" s="1">
        <v>0.0</v>
      </c>
      <c r="K1637" s="1">
        <v>4.0</v>
      </c>
      <c r="L1637" s="1">
        <v>15.0</v>
      </c>
      <c r="M1637" s="1">
        <v>0.266666667</v>
      </c>
      <c r="N1637" s="1">
        <v>32.59000015</v>
      </c>
    </row>
    <row r="1638" ht="15.75" customHeight="1">
      <c r="A1638" s="1" t="s">
        <v>164</v>
      </c>
      <c r="B1638" s="1" t="s">
        <v>197</v>
      </c>
      <c r="C1638" s="5">
        <v>45527.0</v>
      </c>
      <c r="D1638" s="1" t="s">
        <v>161</v>
      </c>
      <c r="E1638" s="1" t="s">
        <v>11</v>
      </c>
      <c r="F1638" s="1" t="s">
        <v>166</v>
      </c>
      <c r="H1638" s="1">
        <v>0.0</v>
      </c>
      <c r="I1638" s="1">
        <v>0.0</v>
      </c>
      <c r="J1638" s="1">
        <v>0.0</v>
      </c>
      <c r="K1638" s="1">
        <v>6.0</v>
      </c>
      <c r="L1638" s="1">
        <v>9.0</v>
      </c>
      <c r="M1638" s="1">
        <v>0.666666667</v>
      </c>
      <c r="N1638" s="1">
        <v>6.289999962</v>
      </c>
    </row>
    <row r="1639" ht="15.75" customHeight="1">
      <c r="A1639" s="1" t="s">
        <v>164</v>
      </c>
      <c r="B1639" s="1" t="s">
        <v>100</v>
      </c>
      <c r="C1639" s="5">
        <v>45527.0</v>
      </c>
      <c r="D1639" s="1" t="s">
        <v>161</v>
      </c>
      <c r="E1639" s="1" t="s">
        <v>11</v>
      </c>
      <c r="F1639" s="1" t="s">
        <v>166</v>
      </c>
      <c r="G1639" s="1" t="s">
        <v>172</v>
      </c>
      <c r="H1639" s="1">
        <v>1.0</v>
      </c>
      <c r="I1639" s="1">
        <v>1.0</v>
      </c>
      <c r="J1639" s="1">
        <v>0.0</v>
      </c>
      <c r="K1639" s="1">
        <v>10.0</v>
      </c>
      <c r="L1639" s="1">
        <v>12.0</v>
      </c>
      <c r="M1639" s="1">
        <v>0.833333333</v>
      </c>
      <c r="N1639" s="1">
        <v>5.699999809</v>
      </c>
    </row>
    <row r="1640" ht="15.75" customHeight="1">
      <c r="A1640" s="1" t="s">
        <v>164</v>
      </c>
      <c r="B1640" s="1" t="s">
        <v>246</v>
      </c>
      <c r="C1640" s="5">
        <v>45527.0</v>
      </c>
      <c r="D1640" s="1" t="s">
        <v>161</v>
      </c>
      <c r="E1640" s="1" t="s">
        <v>11</v>
      </c>
      <c r="F1640" s="1" t="s">
        <v>165</v>
      </c>
      <c r="H1640" s="1">
        <v>0.0</v>
      </c>
      <c r="I1640" s="1">
        <v>0.0</v>
      </c>
      <c r="J1640" s="1">
        <v>0.0</v>
      </c>
      <c r="K1640" s="1">
        <v>0.0</v>
      </c>
      <c r="L1640" s="1">
        <v>12.0</v>
      </c>
      <c r="M1640" s="1">
        <v>0.0</v>
      </c>
      <c r="N1640" s="1">
        <v>30.0</v>
      </c>
    </row>
    <row r="1641" ht="15.75" customHeight="1">
      <c r="A1641" s="1" t="s">
        <v>180</v>
      </c>
      <c r="B1641" s="1" t="s">
        <v>185</v>
      </c>
      <c r="C1641" s="5">
        <v>45527.0</v>
      </c>
      <c r="D1641" s="1" t="s">
        <v>161</v>
      </c>
      <c r="E1641" s="1" t="s">
        <v>11</v>
      </c>
      <c r="F1641" s="1" t="s">
        <v>166</v>
      </c>
      <c r="H1641" s="1">
        <v>0.0</v>
      </c>
      <c r="I1641" s="1">
        <v>1.0</v>
      </c>
      <c r="J1641" s="1">
        <v>0.0</v>
      </c>
      <c r="K1641" s="1">
        <v>10.0</v>
      </c>
      <c r="L1641" s="1">
        <v>15.0</v>
      </c>
      <c r="M1641" s="1">
        <v>0.666666667</v>
      </c>
      <c r="N1641" s="1">
        <v>12.47999954</v>
      </c>
    </row>
    <row r="1642" ht="15.75" customHeight="1">
      <c r="A1642" s="1" t="s">
        <v>160</v>
      </c>
      <c r="B1642" s="1" t="s">
        <v>212</v>
      </c>
      <c r="C1642" s="5">
        <v>45526.0</v>
      </c>
      <c r="D1642" s="1" t="s">
        <v>161</v>
      </c>
      <c r="E1642" s="1" t="s">
        <v>11</v>
      </c>
      <c r="F1642" s="1" t="s">
        <v>165</v>
      </c>
      <c r="H1642" s="1">
        <v>0.0</v>
      </c>
      <c r="I1642" s="1">
        <v>0.0</v>
      </c>
      <c r="J1642" s="1">
        <v>0.0</v>
      </c>
      <c r="K1642" s="1">
        <v>6.0</v>
      </c>
      <c r="L1642" s="1">
        <v>22.0</v>
      </c>
      <c r="M1642" s="1">
        <v>0.272727273</v>
      </c>
      <c r="N1642" s="1">
        <v>30.39999962</v>
      </c>
    </row>
    <row r="1643" ht="15.75" customHeight="1">
      <c r="A1643" s="1" t="s">
        <v>160</v>
      </c>
      <c r="B1643" s="1" t="s">
        <v>210</v>
      </c>
      <c r="C1643" s="5">
        <v>45526.0</v>
      </c>
      <c r="D1643" s="1" t="s">
        <v>161</v>
      </c>
      <c r="E1643" s="1" t="s">
        <v>11</v>
      </c>
      <c r="F1643" s="1" t="s">
        <v>162</v>
      </c>
      <c r="H1643" s="1">
        <v>0.0</v>
      </c>
      <c r="I1643" s="1">
        <v>0.0</v>
      </c>
      <c r="J1643" s="1">
        <v>0.0</v>
      </c>
      <c r="K1643" s="1">
        <v>1.0</v>
      </c>
      <c r="L1643" s="1">
        <v>4.0</v>
      </c>
      <c r="M1643" s="1">
        <v>0.25</v>
      </c>
      <c r="N1643" s="1">
        <v>7.360000134</v>
      </c>
    </row>
    <row r="1644" ht="15.75" customHeight="1">
      <c r="A1644" s="1" t="s">
        <v>160</v>
      </c>
      <c r="B1644" s="1" t="s">
        <v>95</v>
      </c>
      <c r="C1644" s="5">
        <v>45526.0</v>
      </c>
      <c r="D1644" s="1" t="s">
        <v>161</v>
      </c>
      <c r="E1644" s="1" t="s">
        <v>11</v>
      </c>
      <c r="H1644" s="1">
        <v>0.0</v>
      </c>
      <c r="J1644" s="1">
        <v>0.0</v>
      </c>
      <c r="N1644" s="1">
        <v>3.680000067</v>
      </c>
    </row>
    <row r="1645" ht="15.75" customHeight="1">
      <c r="A1645" s="1" t="s">
        <v>164</v>
      </c>
      <c r="B1645" s="1" t="s">
        <v>70</v>
      </c>
      <c r="C1645" s="5">
        <v>45526.0</v>
      </c>
      <c r="D1645" s="1" t="s">
        <v>161</v>
      </c>
      <c r="E1645" s="1" t="s">
        <v>11</v>
      </c>
      <c r="F1645" s="1" t="s">
        <v>166</v>
      </c>
      <c r="H1645" s="1">
        <v>0.0</v>
      </c>
      <c r="I1645" s="1">
        <v>0.0</v>
      </c>
      <c r="J1645" s="1">
        <v>0.0</v>
      </c>
      <c r="K1645" s="1">
        <v>0.0</v>
      </c>
      <c r="L1645" s="1">
        <v>2.0</v>
      </c>
      <c r="M1645" s="1">
        <v>0.0</v>
      </c>
      <c r="N1645" s="1">
        <v>1.309999943</v>
      </c>
    </row>
    <row r="1646" ht="15.75" customHeight="1">
      <c r="A1646" s="1" t="s">
        <v>164</v>
      </c>
      <c r="B1646" s="1" t="s">
        <v>247</v>
      </c>
      <c r="C1646" s="5">
        <v>45526.0</v>
      </c>
      <c r="D1646" s="1" t="s">
        <v>161</v>
      </c>
      <c r="E1646" s="1" t="s">
        <v>11</v>
      </c>
      <c r="H1646" s="1">
        <v>0.0</v>
      </c>
      <c r="J1646" s="1">
        <v>0.0</v>
      </c>
      <c r="N1646" s="1">
        <v>0.119999997</v>
      </c>
    </row>
    <row r="1647" ht="15.75" customHeight="1">
      <c r="A1647" s="1" t="s">
        <v>164</v>
      </c>
      <c r="B1647" s="1" t="s">
        <v>245</v>
      </c>
      <c r="C1647" s="5">
        <v>45526.0</v>
      </c>
      <c r="D1647" s="1" t="s">
        <v>161</v>
      </c>
      <c r="E1647" s="1" t="s">
        <v>11</v>
      </c>
      <c r="H1647" s="1">
        <v>0.0</v>
      </c>
      <c r="J1647" s="1">
        <v>0.0</v>
      </c>
      <c r="N1647" s="1">
        <v>0.059999999</v>
      </c>
    </row>
    <row r="1648" ht="15.75" customHeight="1">
      <c r="A1648" s="1" t="s">
        <v>164</v>
      </c>
      <c r="B1648" s="1" t="s">
        <v>196</v>
      </c>
      <c r="C1648" s="5">
        <v>45526.0</v>
      </c>
      <c r="D1648" s="1" t="s">
        <v>161</v>
      </c>
      <c r="E1648" s="1" t="s">
        <v>11</v>
      </c>
      <c r="H1648" s="1">
        <v>0.0</v>
      </c>
      <c r="J1648" s="1">
        <v>0.0</v>
      </c>
      <c r="N1648" s="1">
        <v>3.4400000569999998</v>
      </c>
    </row>
    <row r="1649" ht="15.75" customHeight="1">
      <c r="A1649" s="1" t="s">
        <v>164</v>
      </c>
      <c r="B1649" s="1" t="s">
        <v>179</v>
      </c>
      <c r="C1649" s="5">
        <v>45526.0</v>
      </c>
      <c r="D1649" s="1" t="s">
        <v>161</v>
      </c>
      <c r="E1649" s="1" t="s">
        <v>11</v>
      </c>
      <c r="F1649" s="1" t="s">
        <v>166</v>
      </c>
      <c r="H1649" s="1">
        <v>0.0</v>
      </c>
      <c r="I1649" s="1">
        <v>0.0</v>
      </c>
      <c r="J1649" s="1">
        <v>0.0</v>
      </c>
      <c r="K1649" s="1">
        <v>1.0</v>
      </c>
      <c r="L1649" s="1">
        <v>1.0</v>
      </c>
      <c r="M1649" s="1">
        <v>1.0</v>
      </c>
      <c r="N1649" s="1">
        <v>5.699999809</v>
      </c>
    </row>
    <row r="1650" ht="15.75" customHeight="1">
      <c r="A1650" s="1" t="s">
        <v>164</v>
      </c>
      <c r="B1650" s="1" t="s">
        <v>68</v>
      </c>
      <c r="C1650" s="5">
        <v>45526.0</v>
      </c>
      <c r="D1650" s="1" t="s">
        <v>161</v>
      </c>
      <c r="E1650" s="1" t="s">
        <v>11</v>
      </c>
      <c r="F1650" s="1" t="s">
        <v>166</v>
      </c>
      <c r="H1650" s="1">
        <v>0.0</v>
      </c>
      <c r="I1650" s="1">
        <v>0.0</v>
      </c>
      <c r="J1650" s="1">
        <v>0.0</v>
      </c>
      <c r="K1650" s="1">
        <v>3.0</v>
      </c>
      <c r="L1650" s="1">
        <v>13.0</v>
      </c>
      <c r="M1650" s="1">
        <v>0.230769231</v>
      </c>
      <c r="N1650" s="1">
        <v>15.59000015</v>
      </c>
    </row>
    <row r="1651" ht="15.75" customHeight="1">
      <c r="A1651" s="1" t="s">
        <v>164</v>
      </c>
      <c r="B1651" s="1" t="s">
        <v>197</v>
      </c>
      <c r="C1651" s="5">
        <v>45526.0</v>
      </c>
      <c r="D1651" s="1" t="s">
        <v>161</v>
      </c>
      <c r="E1651" s="1" t="s">
        <v>11</v>
      </c>
      <c r="F1651" s="1" t="s">
        <v>166</v>
      </c>
      <c r="H1651" s="1">
        <v>0.0</v>
      </c>
      <c r="I1651" s="1">
        <v>0.0</v>
      </c>
      <c r="J1651" s="1">
        <v>0.0</v>
      </c>
      <c r="K1651" s="1">
        <v>5.0</v>
      </c>
      <c r="L1651" s="1">
        <v>6.0</v>
      </c>
      <c r="M1651" s="1">
        <v>0.833333333</v>
      </c>
      <c r="N1651" s="1">
        <v>12.43999958</v>
      </c>
    </row>
    <row r="1652" ht="15.75" customHeight="1">
      <c r="A1652" s="1" t="s">
        <v>164</v>
      </c>
      <c r="B1652" s="1" t="s">
        <v>75</v>
      </c>
      <c r="C1652" s="5">
        <v>45526.0</v>
      </c>
      <c r="D1652" s="1" t="s">
        <v>161</v>
      </c>
      <c r="E1652" s="1" t="s">
        <v>11</v>
      </c>
      <c r="H1652" s="1">
        <v>0.0</v>
      </c>
      <c r="J1652" s="1">
        <v>0.0</v>
      </c>
      <c r="N1652" s="1">
        <v>0.949999988</v>
      </c>
    </row>
    <row r="1653" ht="15.75" customHeight="1">
      <c r="A1653" s="1" t="s">
        <v>164</v>
      </c>
      <c r="B1653" s="1" t="s">
        <v>248</v>
      </c>
      <c r="C1653" s="5">
        <v>45526.0</v>
      </c>
      <c r="D1653" s="1" t="s">
        <v>161</v>
      </c>
      <c r="E1653" s="1" t="s">
        <v>11</v>
      </c>
      <c r="H1653" s="1">
        <v>0.0</v>
      </c>
      <c r="J1653" s="1">
        <v>0.0</v>
      </c>
      <c r="N1653" s="1">
        <v>0.119999997</v>
      </c>
    </row>
    <row r="1654" ht="15.75" customHeight="1">
      <c r="A1654" s="1" t="s">
        <v>180</v>
      </c>
      <c r="B1654" s="1" t="s">
        <v>185</v>
      </c>
      <c r="C1654" s="5">
        <v>45526.0</v>
      </c>
      <c r="D1654" s="1" t="s">
        <v>161</v>
      </c>
      <c r="E1654" s="1" t="s">
        <v>11</v>
      </c>
      <c r="F1654" s="1" t="s">
        <v>166</v>
      </c>
      <c r="H1654" s="1">
        <v>0.0</v>
      </c>
      <c r="I1654" s="1">
        <v>0.0</v>
      </c>
      <c r="J1654" s="1">
        <v>0.0</v>
      </c>
      <c r="K1654" s="1">
        <v>4.0</v>
      </c>
      <c r="L1654" s="1">
        <v>7.0</v>
      </c>
      <c r="M1654" s="1">
        <v>0.571428571</v>
      </c>
      <c r="N1654" s="1">
        <v>9.590000153</v>
      </c>
    </row>
    <row r="1655" ht="15.75" customHeight="1">
      <c r="A1655" s="1" t="s">
        <v>160</v>
      </c>
      <c r="B1655" s="1" t="s">
        <v>210</v>
      </c>
      <c r="C1655" s="5">
        <v>45525.0</v>
      </c>
      <c r="D1655" s="1" t="s">
        <v>161</v>
      </c>
      <c r="E1655" s="1" t="s">
        <v>11</v>
      </c>
      <c r="F1655" s="1" t="s">
        <v>162</v>
      </c>
      <c r="H1655" s="1">
        <v>0.0</v>
      </c>
      <c r="I1655" s="1">
        <v>0.0</v>
      </c>
      <c r="J1655" s="1">
        <v>0.0</v>
      </c>
      <c r="K1655" s="1">
        <v>0.0</v>
      </c>
      <c r="L1655" s="1">
        <v>6.0</v>
      </c>
      <c r="M1655" s="1">
        <v>0.0</v>
      </c>
      <c r="N1655" s="1">
        <v>7.110000134</v>
      </c>
    </row>
    <row r="1656" ht="15.75" customHeight="1">
      <c r="A1656" s="1" t="s">
        <v>160</v>
      </c>
      <c r="B1656" s="1" t="s">
        <v>230</v>
      </c>
      <c r="C1656" s="5">
        <v>45525.0</v>
      </c>
      <c r="D1656" s="1" t="s">
        <v>161</v>
      </c>
      <c r="E1656" s="1" t="s">
        <v>11</v>
      </c>
      <c r="F1656" s="1" t="s">
        <v>165</v>
      </c>
      <c r="H1656" s="1">
        <v>0.0</v>
      </c>
      <c r="I1656" s="1">
        <v>1.0</v>
      </c>
      <c r="J1656" s="1">
        <v>0.0</v>
      </c>
      <c r="K1656" s="1">
        <v>4.0</v>
      </c>
      <c r="L1656" s="1">
        <v>4.0</v>
      </c>
      <c r="M1656" s="1">
        <v>1.0</v>
      </c>
      <c r="N1656" s="1">
        <v>0.0</v>
      </c>
    </row>
    <row r="1657" ht="15.75" customHeight="1">
      <c r="A1657" s="1" t="s">
        <v>160</v>
      </c>
      <c r="B1657" s="1" t="s">
        <v>230</v>
      </c>
      <c r="C1657" s="5">
        <v>45525.0</v>
      </c>
      <c r="D1657" s="1" t="s">
        <v>161</v>
      </c>
      <c r="E1657" s="1" t="s">
        <v>11</v>
      </c>
      <c r="F1657" s="1" t="s">
        <v>167</v>
      </c>
      <c r="H1657" s="1">
        <v>0.0</v>
      </c>
      <c r="I1657" s="1">
        <v>1.0</v>
      </c>
      <c r="J1657" s="1">
        <v>0.0</v>
      </c>
      <c r="K1657" s="1">
        <v>26.0</v>
      </c>
      <c r="L1657" s="1">
        <v>39.0</v>
      </c>
      <c r="M1657" s="1">
        <v>0.666666667</v>
      </c>
      <c r="N1657" s="1">
        <v>16.79000092</v>
      </c>
    </row>
    <row r="1658" ht="15.75" customHeight="1">
      <c r="A1658" s="1" t="s">
        <v>160</v>
      </c>
      <c r="B1658" s="1" t="s">
        <v>65</v>
      </c>
      <c r="C1658" s="5">
        <v>45525.0</v>
      </c>
      <c r="D1658" s="1" t="s">
        <v>161</v>
      </c>
      <c r="E1658" s="1" t="s">
        <v>11</v>
      </c>
      <c r="F1658" s="1" t="s">
        <v>162</v>
      </c>
      <c r="H1658" s="1">
        <v>0.0</v>
      </c>
      <c r="I1658" s="1">
        <v>0.0</v>
      </c>
      <c r="J1658" s="1">
        <v>0.0</v>
      </c>
      <c r="K1658" s="1">
        <v>13.0</v>
      </c>
      <c r="L1658" s="1">
        <v>29.0</v>
      </c>
      <c r="M1658" s="1">
        <v>0.448275862</v>
      </c>
      <c r="N1658" s="1">
        <v>48.27999878</v>
      </c>
    </row>
    <row r="1659" ht="15.75" customHeight="1">
      <c r="A1659" s="1" t="s">
        <v>160</v>
      </c>
      <c r="B1659" s="1" t="s">
        <v>95</v>
      </c>
      <c r="C1659" s="5">
        <v>45525.0</v>
      </c>
      <c r="D1659" s="1" t="s">
        <v>161</v>
      </c>
      <c r="E1659" s="1" t="s">
        <v>11</v>
      </c>
      <c r="F1659" s="1" t="s">
        <v>165</v>
      </c>
      <c r="H1659" s="1">
        <v>0.0</v>
      </c>
      <c r="I1659" s="1">
        <v>0.0</v>
      </c>
      <c r="J1659" s="1">
        <v>0.0</v>
      </c>
      <c r="K1659" s="1">
        <v>2.0</v>
      </c>
      <c r="L1659" s="1">
        <v>7.0</v>
      </c>
      <c r="M1659" s="1">
        <v>0.285714286</v>
      </c>
      <c r="N1659" s="1">
        <v>9.770000458</v>
      </c>
    </row>
    <row r="1660" ht="15.75" customHeight="1">
      <c r="A1660" s="1" t="s">
        <v>164</v>
      </c>
      <c r="B1660" s="1" t="s">
        <v>22</v>
      </c>
      <c r="C1660" s="5">
        <v>45525.0</v>
      </c>
      <c r="D1660" s="1" t="s">
        <v>161</v>
      </c>
      <c r="E1660" s="1" t="s">
        <v>11</v>
      </c>
      <c r="F1660" s="1" t="s">
        <v>166</v>
      </c>
      <c r="H1660" s="1">
        <v>0.0</v>
      </c>
      <c r="I1660" s="1">
        <v>0.0</v>
      </c>
      <c r="J1660" s="1">
        <v>0.0</v>
      </c>
      <c r="K1660" s="1">
        <v>0.0</v>
      </c>
      <c r="L1660" s="1">
        <v>1.0</v>
      </c>
      <c r="M1660" s="1">
        <v>0.0</v>
      </c>
      <c r="N1660" s="1">
        <v>2.619999886</v>
      </c>
    </row>
    <row r="1661" ht="15.75" customHeight="1">
      <c r="A1661" s="1" t="s">
        <v>164</v>
      </c>
      <c r="B1661" s="1" t="s">
        <v>249</v>
      </c>
      <c r="C1661" s="5">
        <v>45525.0</v>
      </c>
      <c r="D1661" s="1" t="s">
        <v>161</v>
      </c>
      <c r="E1661" s="1" t="s">
        <v>11</v>
      </c>
      <c r="F1661" s="1" t="s">
        <v>165</v>
      </c>
      <c r="H1661" s="1">
        <v>0.0</v>
      </c>
      <c r="I1661" s="1">
        <v>0.0</v>
      </c>
      <c r="J1661" s="1">
        <v>0.0</v>
      </c>
      <c r="K1661" s="1">
        <v>1.0</v>
      </c>
      <c r="L1661" s="1">
        <v>1.0</v>
      </c>
      <c r="M1661" s="1">
        <v>1.0</v>
      </c>
      <c r="N1661" s="1">
        <v>17.25</v>
      </c>
    </row>
    <row r="1662" ht="15.75" customHeight="1">
      <c r="A1662" s="1" t="s">
        <v>164</v>
      </c>
      <c r="B1662" s="1" t="s">
        <v>199</v>
      </c>
      <c r="C1662" s="5">
        <v>45525.0</v>
      </c>
      <c r="D1662" s="1" t="s">
        <v>161</v>
      </c>
      <c r="E1662" s="1" t="s">
        <v>11</v>
      </c>
      <c r="F1662" s="1" t="s">
        <v>162</v>
      </c>
      <c r="H1662" s="1">
        <v>0.0</v>
      </c>
      <c r="I1662" s="1">
        <v>1.0</v>
      </c>
      <c r="J1662" s="1">
        <v>0.0</v>
      </c>
      <c r="K1662" s="1">
        <v>4.0</v>
      </c>
      <c r="L1662" s="1">
        <v>4.0</v>
      </c>
      <c r="M1662" s="1">
        <v>1.0</v>
      </c>
      <c r="N1662" s="1">
        <v>2.8099999430000002</v>
      </c>
    </row>
    <row r="1663" ht="15.75" customHeight="1">
      <c r="A1663" s="1" t="s">
        <v>164</v>
      </c>
      <c r="B1663" s="1" t="s">
        <v>70</v>
      </c>
      <c r="C1663" s="5">
        <v>45525.0</v>
      </c>
      <c r="D1663" s="1" t="s">
        <v>161</v>
      </c>
      <c r="E1663" s="1" t="s">
        <v>11</v>
      </c>
      <c r="H1663" s="1">
        <v>0.0</v>
      </c>
      <c r="J1663" s="1">
        <v>0.0</v>
      </c>
      <c r="N1663" s="1">
        <v>0.07</v>
      </c>
    </row>
    <row r="1664" ht="15.75" customHeight="1">
      <c r="A1664" s="1" t="s">
        <v>164</v>
      </c>
      <c r="B1664" s="1" t="s">
        <v>196</v>
      </c>
      <c r="C1664" s="5">
        <v>45525.0</v>
      </c>
      <c r="D1664" s="1" t="s">
        <v>161</v>
      </c>
      <c r="E1664" s="1" t="s">
        <v>11</v>
      </c>
      <c r="F1664" s="1" t="s">
        <v>165</v>
      </c>
      <c r="H1664" s="1">
        <v>0.0</v>
      </c>
      <c r="I1664" s="1">
        <v>0.0</v>
      </c>
      <c r="J1664" s="1">
        <v>0.0</v>
      </c>
      <c r="K1664" s="1">
        <v>0.0</v>
      </c>
      <c r="L1664" s="1">
        <v>6.0</v>
      </c>
      <c r="M1664" s="1">
        <v>0.0</v>
      </c>
      <c r="N1664" s="1">
        <v>11.27000046</v>
      </c>
    </row>
    <row r="1665" ht="15.75" customHeight="1">
      <c r="A1665" s="1" t="s">
        <v>164</v>
      </c>
      <c r="B1665" s="1" t="s">
        <v>179</v>
      </c>
      <c r="C1665" s="5">
        <v>45525.0</v>
      </c>
      <c r="D1665" s="1" t="s">
        <v>161</v>
      </c>
      <c r="E1665" s="1" t="s">
        <v>11</v>
      </c>
      <c r="H1665" s="1">
        <v>0.0</v>
      </c>
      <c r="J1665" s="1">
        <v>0.0</v>
      </c>
      <c r="N1665" s="1">
        <v>3.319999933</v>
      </c>
    </row>
    <row r="1666" ht="15.75" customHeight="1">
      <c r="A1666" s="1" t="s">
        <v>164</v>
      </c>
      <c r="B1666" s="1" t="s">
        <v>63</v>
      </c>
      <c r="C1666" s="5">
        <v>45525.0</v>
      </c>
      <c r="D1666" s="1" t="s">
        <v>161</v>
      </c>
      <c r="E1666" s="1" t="s">
        <v>11</v>
      </c>
      <c r="F1666" s="1" t="s">
        <v>165</v>
      </c>
      <c r="H1666" s="1">
        <v>0.0</v>
      </c>
      <c r="I1666" s="1">
        <v>1.0</v>
      </c>
      <c r="J1666" s="1">
        <v>0.0</v>
      </c>
      <c r="K1666" s="1">
        <v>1.0</v>
      </c>
      <c r="L1666" s="1">
        <v>1.0</v>
      </c>
      <c r="M1666" s="1">
        <v>1.0</v>
      </c>
      <c r="N1666" s="1">
        <v>0.0</v>
      </c>
    </row>
    <row r="1667" ht="15.75" customHeight="1">
      <c r="A1667" s="1" t="s">
        <v>164</v>
      </c>
      <c r="B1667" s="1" t="s">
        <v>63</v>
      </c>
      <c r="C1667" s="5">
        <v>45525.0</v>
      </c>
      <c r="D1667" s="1" t="s">
        <v>161</v>
      </c>
      <c r="E1667" s="1" t="s">
        <v>11</v>
      </c>
      <c r="F1667" s="1" t="s">
        <v>166</v>
      </c>
      <c r="H1667" s="1">
        <v>0.0</v>
      </c>
      <c r="I1667" s="1">
        <v>0.0</v>
      </c>
      <c r="J1667" s="1">
        <v>0.0</v>
      </c>
      <c r="K1667" s="1">
        <v>1.0</v>
      </c>
      <c r="L1667" s="1">
        <v>11.0</v>
      </c>
      <c r="M1667" s="1">
        <v>0.090909091</v>
      </c>
      <c r="N1667" s="1">
        <v>19.67000008</v>
      </c>
    </row>
    <row r="1668" ht="15.75" customHeight="1">
      <c r="A1668" s="1" t="s">
        <v>164</v>
      </c>
      <c r="B1668" s="1" t="s">
        <v>68</v>
      </c>
      <c r="C1668" s="5">
        <v>45525.0</v>
      </c>
      <c r="D1668" s="1" t="s">
        <v>161</v>
      </c>
      <c r="E1668" s="1" t="s">
        <v>11</v>
      </c>
      <c r="F1668" s="1" t="s">
        <v>165</v>
      </c>
      <c r="G1668" s="1" t="s">
        <v>163</v>
      </c>
      <c r="H1668" s="1">
        <v>1.0</v>
      </c>
      <c r="I1668" s="1">
        <v>0.0</v>
      </c>
      <c r="J1668" s="1">
        <v>0.0</v>
      </c>
      <c r="K1668" s="1">
        <v>4.0</v>
      </c>
      <c r="L1668" s="1">
        <v>11.0</v>
      </c>
      <c r="M1668" s="1">
        <v>0.363636364</v>
      </c>
      <c r="N1668" s="1">
        <v>18.86000061</v>
      </c>
    </row>
    <row r="1669" ht="15.75" customHeight="1">
      <c r="A1669" s="1" t="s">
        <v>164</v>
      </c>
      <c r="B1669" s="1" t="s">
        <v>74</v>
      </c>
      <c r="C1669" s="5">
        <v>45525.0</v>
      </c>
      <c r="D1669" s="1" t="s">
        <v>161</v>
      </c>
      <c r="E1669" s="1" t="s">
        <v>11</v>
      </c>
      <c r="F1669" s="1" t="s">
        <v>166</v>
      </c>
      <c r="G1669" s="1" t="s">
        <v>194</v>
      </c>
      <c r="H1669" s="1">
        <v>1.0</v>
      </c>
      <c r="I1669" s="1">
        <v>0.0</v>
      </c>
      <c r="J1669" s="1">
        <v>0.0</v>
      </c>
      <c r="K1669" s="1">
        <v>1.0</v>
      </c>
      <c r="L1669" s="1">
        <v>2.0</v>
      </c>
      <c r="M1669" s="1">
        <v>0.5</v>
      </c>
      <c r="N1669" s="1">
        <v>6.269999981</v>
      </c>
    </row>
    <row r="1670" ht="15.75" customHeight="1">
      <c r="A1670" s="1" t="s">
        <v>164</v>
      </c>
      <c r="B1670" s="1" t="s">
        <v>75</v>
      </c>
      <c r="C1670" s="5">
        <v>45525.0</v>
      </c>
      <c r="D1670" s="1" t="s">
        <v>161</v>
      </c>
      <c r="E1670" s="1" t="s">
        <v>11</v>
      </c>
      <c r="F1670" s="1" t="s">
        <v>165</v>
      </c>
      <c r="H1670" s="1">
        <v>0.0</v>
      </c>
      <c r="I1670" s="1">
        <v>1.0</v>
      </c>
      <c r="J1670" s="1">
        <v>0.0</v>
      </c>
      <c r="K1670" s="1">
        <v>14.0</v>
      </c>
      <c r="L1670" s="1">
        <v>18.0</v>
      </c>
      <c r="M1670" s="1">
        <v>0.777777778</v>
      </c>
      <c r="N1670" s="1">
        <v>13.53999996</v>
      </c>
    </row>
    <row r="1671" ht="15.75" customHeight="1">
      <c r="A1671" s="1" t="s">
        <v>164</v>
      </c>
      <c r="B1671" s="1" t="s">
        <v>100</v>
      </c>
      <c r="C1671" s="5">
        <v>45525.0</v>
      </c>
      <c r="D1671" s="1" t="s">
        <v>161</v>
      </c>
      <c r="E1671" s="1" t="s">
        <v>11</v>
      </c>
      <c r="F1671" s="1" t="s">
        <v>166</v>
      </c>
      <c r="G1671" s="1" t="s">
        <v>172</v>
      </c>
      <c r="H1671" s="1">
        <v>1.0</v>
      </c>
      <c r="I1671" s="1">
        <v>1.0</v>
      </c>
      <c r="J1671" s="1">
        <v>0.0</v>
      </c>
      <c r="K1671" s="1">
        <v>24.0</v>
      </c>
      <c r="L1671" s="1">
        <v>30.0</v>
      </c>
      <c r="M1671" s="1">
        <v>0.8</v>
      </c>
      <c r="N1671" s="1">
        <v>20.45999908</v>
      </c>
    </row>
    <row r="1672" ht="15.75" customHeight="1">
      <c r="A1672" s="1" t="s">
        <v>164</v>
      </c>
      <c r="B1672" s="1" t="s">
        <v>219</v>
      </c>
      <c r="C1672" s="5">
        <v>45525.0</v>
      </c>
      <c r="D1672" s="1" t="s">
        <v>161</v>
      </c>
      <c r="E1672" s="1" t="s">
        <v>11</v>
      </c>
      <c r="F1672" s="1" t="s">
        <v>165</v>
      </c>
      <c r="H1672" s="1">
        <v>0.0</v>
      </c>
      <c r="I1672" s="1">
        <v>0.0</v>
      </c>
      <c r="J1672" s="1">
        <v>0.0</v>
      </c>
      <c r="K1672" s="1">
        <v>1.0</v>
      </c>
      <c r="L1672" s="1">
        <v>5.0</v>
      </c>
      <c r="M1672" s="1">
        <v>0.2</v>
      </c>
      <c r="N1672" s="1">
        <v>5.1199998860000004</v>
      </c>
    </row>
    <row r="1673" ht="15.75" customHeight="1">
      <c r="A1673" s="1" t="s">
        <v>164</v>
      </c>
      <c r="B1673" s="1" t="s">
        <v>225</v>
      </c>
      <c r="C1673" s="5">
        <v>45525.0</v>
      </c>
      <c r="D1673" s="1" t="s">
        <v>161</v>
      </c>
      <c r="E1673" s="1" t="s">
        <v>11</v>
      </c>
      <c r="F1673" s="1" t="s">
        <v>166</v>
      </c>
      <c r="H1673" s="1">
        <v>0.0</v>
      </c>
      <c r="I1673" s="1">
        <v>0.0</v>
      </c>
      <c r="J1673" s="1">
        <v>0.0</v>
      </c>
      <c r="K1673" s="1">
        <v>5.0</v>
      </c>
      <c r="L1673" s="1">
        <v>7.0</v>
      </c>
      <c r="M1673" s="1">
        <v>0.714285714</v>
      </c>
      <c r="N1673" s="1">
        <v>5.570000172</v>
      </c>
    </row>
    <row r="1674" ht="15.75" customHeight="1">
      <c r="A1674" s="1" t="s">
        <v>180</v>
      </c>
      <c r="B1674" s="1" t="s">
        <v>239</v>
      </c>
      <c r="C1674" s="5">
        <v>45525.0</v>
      </c>
      <c r="D1674" s="1" t="s">
        <v>161</v>
      </c>
      <c r="E1674" s="1" t="s">
        <v>11</v>
      </c>
      <c r="F1674" s="1" t="s">
        <v>166</v>
      </c>
      <c r="H1674" s="1">
        <v>0.0</v>
      </c>
      <c r="I1674" s="1">
        <v>2.0</v>
      </c>
      <c r="J1674" s="1">
        <v>0.0</v>
      </c>
      <c r="K1674" s="1">
        <v>24.0</v>
      </c>
      <c r="L1674" s="1">
        <v>25.0</v>
      </c>
      <c r="M1674" s="1">
        <v>0.96</v>
      </c>
      <c r="N1674" s="1">
        <v>15.56999969</v>
      </c>
    </row>
    <row r="1675" ht="15.75" customHeight="1">
      <c r="A1675" s="1" t="s">
        <v>180</v>
      </c>
      <c r="B1675" s="1" t="s">
        <v>237</v>
      </c>
      <c r="C1675" s="5">
        <v>45525.0</v>
      </c>
      <c r="D1675" s="1" t="s">
        <v>161</v>
      </c>
      <c r="E1675" s="1" t="s">
        <v>11</v>
      </c>
      <c r="H1675" s="1">
        <v>0.0</v>
      </c>
      <c r="J1675" s="1">
        <v>0.0</v>
      </c>
      <c r="N1675" s="1">
        <v>0.289999992</v>
      </c>
    </row>
    <row r="1676" ht="15.75" customHeight="1">
      <c r="A1676" s="1" t="s">
        <v>180</v>
      </c>
      <c r="B1676" s="1" t="s">
        <v>185</v>
      </c>
      <c r="C1676" s="5">
        <v>45525.0</v>
      </c>
      <c r="D1676" s="1" t="s">
        <v>161</v>
      </c>
      <c r="E1676" s="1" t="s">
        <v>11</v>
      </c>
      <c r="F1676" s="1" t="s">
        <v>166</v>
      </c>
      <c r="H1676" s="1">
        <v>0.0</v>
      </c>
      <c r="I1676" s="1">
        <v>0.0</v>
      </c>
      <c r="J1676" s="1">
        <v>0.0</v>
      </c>
      <c r="K1676" s="1">
        <v>6.0</v>
      </c>
      <c r="L1676" s="1">
        <v>11.0</v>
      </c>
      <c r="M1676" s="1">
        <v>0.545454545</v>
      </c>
      <c r="N1676" s="1">
        <v>9.350000381</v>
      </c>
    </row>
    <row r="1677" ht="15.75" customHeight="1">
      <c r="A1677" s="1" t="s">
        <v>160</v>
      </c>
      <c r="B1677" s="1" t="s">
        <v>250</v>
      </c>
      <c r="C1677" s="5">
        <v>45524.0</v>
      </c>
      <c r="D1677" s="1" t="s">
        <v>161</v>
      </c>
      <c r="E1677" s="1" t="s">
        <v>11</v>
      </c>
      <c r="H1677" s="1">
        <v>0.0</v>
      </c>
      <c r="J1677" s="1">
        <v>0.0</v>
      </c>
      <c r="N1677" s="1">
        <v>0.469999999</v>
      </c>
    </row>
    <row r="1678" ht="15.75" customHeight="1">
      <c r="A1678" s="1" t="s">
        <v>160</v>
      </c>
      <c r="B1678" s="1" t="s">
        <v>39</v>
      </c>
      <c r="C1678" s="5">
        <v>45524.0</v>
      </c>
      <c r="D1678" s="1" t="s">
        <v>161</v>
      </c>
      <c r="E1678" s="1" t="s">
        <v>11</v>
      </c>
      <c r="F1678" s="1" t="s">
        <v>166</v>
      </c>
      <c r="H1678" s="1">
        <v>0.0</v>
      </c>
      <c r="I1678" s="1">
        <v>0.0</v>
      </c>
      <c r="J1678" s="1">
        <v>0.0</v>
      </c>
      <c r="K1678" s="1">
        <v>3.0</v>
      </c>
      <c r="L1678" s="1">
        <v>5.0</v>
      </c>
      <c r="M1678" s="1">
        <v>0.6</v>
      </c>
      <c r="N1678" s="1">
        <v>9.300000191</v>
      </c>
    </row>
    <row r="1679" ht="15.75" customHeight="1">
      <c r="A1679" s="1" t="s">
        <v>160</v>
      </c>
      <c r="B1679" s="1" t="s">
        <v>230</v>
      </c>
      <c r="C1679" s="5">
        <v>45524.0</v>
      </c>
      <c r="D1679" s="1" t="s">
        <v>161</v>
      </c>
      <c r="E1679" s="1" t="s">
        <v>11</v>
      </c>
      <c r="F1679" s="1" t="s">
        <v>165</v>
      </c>
      <c r="G1679" s="1" t="s">
        <v>172</v>
      </c>
      <c r="H1679" s="1">
        <v>1.0</v>
      </c>
      <c r="I1679" s="1">
        <v>0.0</v>
      </c>
      <c r="J1679" s="1">
        <v>0.0</v>
      </c>
      <c r="K1679" s="1">
        <v>29.0</v>
      </c>
      <c r="L1679" s="1">
        <v>44.0</v>
      </c>
      <c r="M1679" s="1">
        <v>0.659090909</v>
      </c>
      <c r="N1679" s="1">
        <v>42.11000061</v>
      </c>
    </row>
    <row r="1680" ht="15.75" customHeight="1">
      <c r="A1680" s="1" t="s">
        <v>160</v>
      </c>
      <c r="B1680" s="1" t="s">
        <v>65</v>
      </c>
      <c r="C1680" s="5">
        <v>45524.0</v>
      </c>
      <c r="D1680" s="1" t="s">
        <v>161</v>
      </c>
      <c r="E1680" s="1" t="s">
        <v>11</v>
      </c>
      <c r="F1680" s="1" t="s">
        <v>162</v>
      </c>
      <c r="H1680" s="1">
        <v>0.0</v>
      </c>
      <c r="I1680" s="1">
        <v>0.0</v>
      </c>
      <c r="J1680" s="1">
        <v>0.0</v>
      </c>
      <c r="K1680" s="1">
        <v>9.0</v>
      </c>
      <c r="L1680" s="1">
        <v>19.0</v>
      </c>
      <c r="M1680" s="1">
        <v>0.473684211</v>
      </c>
      <c r="N1680" s="1">
        <v>14.03999996</v>
      </c>
    </row>
    <row r="1681" ht="15.75" customHeight="1">
      <c r="A1681" s="1" t="s">
        <v>160</v>
      </c>
      <c r="B1681" s="1" t="s">
        <v>77</v>
      </c>
      <c r="C1681" s="5">
        <v>45524.0</v>
      </c>
      <c r="D1681" s="1" t="s">
        <v>161</v>
      </c>
      <c r="E1681" s="1" t="s">
        <v>11</v>
      </c>
      <c r="F1681" s="1" t="s">
        <v>162</v>
      </c>
      <c r="H1681" s="1">
        <v>0.0</v>
      </c>
      <c r="I1681" s="1">
        <v>0.0</v>
      </c>
      <c r="J1681" s="1">
        <v>0.0</v>
      </c>
      <c r="K1681" s="1">
        <v>3.0</v>
      </c>
      <c r="L1681" s="1">
        <v>6.0</v>
      </c>
      <c r="M1681" s="1">
        <v>0.5</v>
      </c>
      <c r="N1681" s="1">
        <v>5.949999809</v>
      </c>
    </row>
    <row r="1682" ht="15.75" customHeight="1">
      <c r="A1682" s="1" t="s">
        <v>164</v>
      </c>
      <c r="B1682" s="1" t="s">
        <v>24</v>
      </c>
      <c r="C1682" s="5">
        <v>45524.0</v>
      </c>
      <c r="D1682" s="1" t="s">
        <v>161</v>
      </c>
      <c r="E1682" s="1" t="s">
        <v>11</v>
      </c>
      <c r="F1682" s="1" t="s">
        <v>166</v>
      </c>
      <c r="H1682" s="1">
        <v>0.0</v>
      </c>
      <c r="I1682" s="1">
        <v>0.0</v>
      </c>
      <c r="J1682" s="1">
        <v>0.0</v>
      </c>
      <c r="K1682" s="1">
        <v>3.0</v>
      </c>
      <c r="L1682" s="1">
        <v>7.0</v>
      </c>
      <c r="M1682" s="1">
        <v>0.428571429</v>
      </c>
      <c r="N1682" s="1">
        <v>11.13000011</v>
      </c>
    </row>
    <row r="1683" ht="15.75" customHeight="1">
      <c r="A1683" s="1" t="s">
        <v>164</v>
      </c>
      <c r="B1683" s="1" t="s">
        <v>52</v>
      </c>
      <c r="C1683" s="5">
        <v>45524.0</v>
      </c>
      <c r="D1683" s="1" t="s">
        <v>161</v>
      </c>
      <c r="E1683" s="1" t="s">
        <v>11</v>
      </c>
      <c r="F1683" s="1" t="s">
        <v>165</v>
      </c>
      <c r="H1683" s="1">
        <v>0.0</v>
      </c>
      <c r="I1683" s="1">
        <v>0.0</v>
      </c>
      <c r="J1683" s="1">
        <v>0.0</v>
      </c>
      <c r="K1683" s="1">
        <v>0.0</v>
      </c>
      <c r="L1683" s="1">
        <v>0.0</v>
      </c>
      <c r="N1683" s="1">
        <v>0.180000007</v>
      </c>
    </row>
    <row r="1684" ht="15.75" customHeight="1">
      <c r="A1684" s="1" t="s">
        <v>164</v>
      </c>
      <c r="B1684" s="1" t="s">
        <v>243</v>
      </c>
      <c r="C1684" s="5">
        <v>45524.0</v>
      </c>
      <c r="D1684" s="1" t="s">
        <v>161</v>
      </c>
      <c r="E1684" s="1" t="s">
        <v>11</v>
      </c>
      <c r="F1684" s="1" t="s">
        <v>166</v>
      </c>
      <c r="H1684" s="1">
        <v>0.0</v>
      </c>
      <c r="I1684" s="1">
        <v>0.0</v>
      </c>
      <c r="J1684" s="1">
        <v>0.0</v>
      </c>
      <c r="K1684" s="1">
        <v>1.0</v>
      </c>
      <c r="L1684" s="1">
        <v>13.0</v>
      </c>
      <c r="M1684" s="1">
        <v>0.076923077</v>
      </c>
      <c r="N1684" s="1">
        <v>28.21999931</v>
      </c>
    </row>
    <row r="1685" ht="15.75" customHeight="1">
      <c r="A1685" s="1" t="s">
        <v>164</v>
      </c>
      <c r="B1685" s="1" t="s">
        <v>81</v>
      </c>
      <c r="C1685" s="5">
        <v>45524.0</v>
      </c>
      <c r="D1685" s="1" t="s">
        <v>161</v>
      </c>
      <c r="E1685" s="1" t="s">
        <v>11</v>
      </c>
      <c r="F1685" s="1" t="s">
        <v>177</v>
      </c>
      <c r="G1685" s="1" t="s">
        <v>163</v>
      </c>
      <c r="H1685" s="1">
        <v>1.0</v>
      </c>
      <c r="I1685" s="1">
        <v>1.0</v>
      </c>
      <c r="J1685" s="1">
        <v>0.0</v>
      </c>
      <c r="K1685" s="1">
        <v>4.0</v>
      </c>
      <c r="L1685" s="1">
        <v>4.0</v>
      </c>
      <c r="M1685" s="1">
        <v>1.0</v>
      </c>
      <c r="N1685" s="1">
        <v>0.0</v>
      </c>
    </row>
    <row r="1686" ht="15.75" customHeight="1">
      <c r="A1686" s="1" t="s">
        <v>164</v>
      </c>
      <c r="B1686" s="1" t="s">
        <v>81</v>
      </c>
      <c r="C1686" s="5">
        <v>45524.0</v>
      </c>
      <c r="D1686" s="1" t="s">
        <v>161</v>
      </c>
      <c r="E1686" s="1" t="s">
        <v>11</v>
      </c>
      <c r="F1686" s="1" t="s">
        <v>168</v>
      </c>
      <c r="G1686" s="1" t="s">
        <v>163</v>
      </c>
      <c r="H1686" s="1">
        <v>1.0</v>
      </c>
      <c r="I1686" s="1">
        <v>0.0</v>
      </c>
      <c r="J1686" s="1">
        <v>0.0</v>
      </c>
      <c r="K1686" s="1">
        <v>6.0</v>
      </c>
      <c r="L1686" s="1">
        <v>7.0</v>
      </c>
      <c r="M1686" s="1">
        <v>0.857142857</v>
      </c>
      <c r="N1686" s="1">
        <v>9.600000381</v>
      </c>
    </row>
    <row r="1687" ht="15.75" customHeight="1">
      <c r="A1687" s="1" t="s">
        <v>164</v>
      </c>
      <c r="B1687" s="1" t="s">
        <v>179</v>
      </c>
      <c r="C1687" s="5">
        <v>45524.0</v>
      </c>
      <c r="D1687" s="1" t="s">
        <v>161</v>
      </c>
      <c r="E1687" s="1" t="s">
        <v>11</v>
      </c>
      <c r="F1687" s="1" t="s">
        <v>166</v>
      </c>
      <c r="G1687" s="1" t="s">
        <v>163</v>
      </c>
      <c r="H1687" s="1">
        <v>1.0</v>
      </c>
      <c r="I1687" s="1">
        <v>0.0</v>
      </c>
      <c r="J1687" s="1">
        <v>0.0</v>
      </c>
      <c r="K1687" s="1">
        <v>2.0</v>
      </c>
      <c r="L1687" s="1">
        <v>5.0</v>
      </c>
      <c r="M1687" s="1">
        <v>0.4</v>
      </c>
      <c r="N1687" s="1">
        <v>6.8699998860000004</v>
      </c>
    </row>
    <row r="1688" ht="15.75" customHeight="1">
      <c r="A1688" s="1" t="s">
        <v>164</v>
      </c>
      <c r="B1688" s="1" t="s">
        <v>60</v>
      </c>
      <c r="C1688" s="5">
        <v>45524.0</v>
      </c>
      <c r="D1688" s="1" t="s">
        <v>161</v>
      </c>
      <c r="E1688" s="1" t="s">
        <v>11</v>
      </c>
      <c r="F1688" s="1" t="s">
        <v>166</v>
      </c>
      <c r="H1688" s="1">
        <v>0.0</v>
      </c>
      <c r="I1688" s="1">
        <v>0.0</v>
      </c>
      <c r="J1688" s="1">
        <v>0.0</v>
      </c>
      <c r="K1688" s="1">
        <v>2.0</v>
      </c>
      <c r="L1688" s="1">
        <v>3.0</v>
      </c>
      <c r="M1688" s="1">
        <v>0.666666667</v>
      </c>
      <c r="N1688" s="1">
        <v>10.84000015</v>
      </c>
    </row>
    <row r="1689" ht="15.75" customHeight="1">
      <c r="A1689" s="1" t="s">
        <v>164</v>
      </c>
      <c r="B1689" s="1" t="s">
        <v>197</v>
      </c>
      <c r="C1689" s="5">
        <v>45524.0</v>
      </c>
      <c r="D1689" s="1" t="s">
        <v>161</v>
      </c>
      <c r="E1689" s="1" t="s">
        <v>11</v>
      </c>
      <c r="F1689" s="1" t="s">
        <v>166</v>
      </c>
      <c r="H1689" s="1">
        <v>0.0</v>
      </c>
      <c r="I1689" s="1">
        <v>1.0</v>
      </c>
      <c r="J1689" s="1">
        <v>0.0</v>
      </c>
      <c r="K1689" s="1">
        <v>9.0</v>
      </c>
      <c r="L1689" s="1">
        <v>11.0</v>
      </c>
      <c r="M1689" s="1">
        <v>0.818181818</v>
      </c>
      <c r="N1689" s="1">
        <v>21.56999969</v>
      </c>
    </row>
    <row r="1690" ht="15.75" customHeight="1">
      <c r="A1690" s="1" t="s">
        <v>164</v>
      </c>
      <c r="B1690" s="1" t="s">
        <v>100</v>
      </c>
      <c r="C1690" s="5">
        <v>45524.0</v>
      </c>
      <c r="D1690" s="1" t="s">
        <v>161</v>
      </c>
      <c r="E1690" s="1" t="s">
        <v>11</v>
      </c>
      <c r="F1690" s="1" t="s">
        <v>166</v>
      </c>
      <c r="H1690" s="1">
        <v>0.0</v>
      </c>
      <c r="I1690" s="1">
        <v>2.0</v>
      </c>
      <c r="J1690" s="1">
        <v>0.0</v>
      </c>
      <c r="K1690" s="1">
        <v>27.0</v>
      </c>
      <c r="L1690" s="1">
        <v>30.0</v>
      </c>
      <c r="M1690" s="1">
        <v>0.9</v>
      </c>
      <c r="N1690" s="1">
        <v>13.61999989</v>
      </c>
    </row>
    <row r="1691" ht="15.75" customHeight="1">
      <c r="A1691" s="1" t="s">
        <v>164</v>
      </c>
      <c r="B1691" s="1" t="s">
        <v>219</v>
      </c>
      <c r="C1691" s="5">
        <v>45524.0</v>
      </c>
      <c r="D1691" s="1" t="s">
        <v>161</v>
      </c>
      <c r="E1691" s="1" t="s">
        <v>11</v>
      </c>
      <c r="F1691" s="1" t="s">
        <v>165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N1691" s="1">
        <v>1.549999952</v>
      </c>
    </row>
    <row r="1692" ht="15.75" customHeight="1">
      <c r="A1692" s="1" t="s">
        <v>164</v>
      </c>
      <c r="B1692" s="1" t="s">
        <v>225</v>
      </c>
      <c r="C1692" s="5">
        <v>45524.0</v>
      </c>
      <c r="D1692" s="1" t="s">
        <v>161</v>
      </c>
      <c r="E1692" s="1" t="s">
        <v>11</v>
      </c>
      <c r="H1692" s="1">
        <v>0.0</v>
      </c>
      <c r="J1692" s="1">
        <v>0.0</v>
      </c>
      <c r="N1692" s="1">
        <v>0.079999998</v>
      </c>
    </row>
    <row r="1693" ht="15.75" customHeight="1">
      <c r="A1693" s="1" t="s">
        <v>180</v>
      </c>
      <c r="B1693" s="1" t="s">
        <v>45</v>
      </c>
      <c r="C1693" s="5">
        <v>45524.0</v>
      </c>
      <c r="D1693" s="1" t="s">
        <v>161</v>
      </c>
      <c r="E1693" s="1" t="s">
        <v>11</v>
      </c>
      <c r="F1693" s="1" t="s">
        <v>166</v>
      </c>
      <c r="H1693" s="1">
        <v>0.0</v>
      </c>
      <c r="I1693" s="1">
        <v>0.0</v>
      </c>
      <c r="J1693" s="1">
        <v>0.0</v>
      </c>
      <c r="K1693" s="1">
        <v>6.0</v>
      </c>
      <c r="L1693" s="1">
        <v>19.0</v>
      </c>
      <c r="M1693" s="1">
        <v>0.315789474</v>
      </c>
      <c r="N1693" s="1">
        <v>0.0</v>
      </c>
    </row>
    <row r="1694" ht="15.75" customHeight="1">
      <c r="A1694" s="1" t="s">
        <v>160</v>
      </c>
      <c r="B1694" s="1" t="s">
        <v>18</v>
      </c>
      <c r="C1694" s="5">
        <v>45523.0</v>
      </c>
      <c r="D1694" s="1" t="s">
        <v>161</v>
      </c>
      <c r="E1694" s="1" t="s">
        <v>11</v>
      </c>
      <c r="F1694" s="1" t="s">
        <v>162</v>
      </c>
      <c r="H1694" s="1">
        <v>0.0</v>
      </c>
      <c r="I1694" s="1">
        <v>0.0</v>
      </c>
      <c r="J1694" s="1">
        <v>0.0</v>
      </c>
      <c r="K1694" s="1">
        <v>7.0</v>
      </c>
      <c r="L1694" s="1">
        <v>25.0</v>
      </c>
      <c r="M1694" s="1">
        <v>0.28</v>
      </c>
      <c r="N1694" s="1">
        <v>47.36999893</v>
      </c>
    </row>
    <row r="1695" ht="15.75" customHeight="1">
      <c r="A1695" s="1" t="s">
        <v>160</v>
      </c>
      <c r="B1695" s="1" t="s">
        <v>20</v>
      </c>
      <c r="C1695" s="5">
        <v>45523.0</v>
      </c>
      <c r="D1695" s="1" t="s">
        <v>161</v>
      </c>
      <c r="E1695" s="1" t="s">
        <v>11</v>
      </c>
      <c r="F1695" s="1" t="s">
        <v>162</v>
      </c>
      <c r="H1695" s="1">
        <v>0.0</v>
      </c>
      <c r="I1695" s="1">
        <v>0.0</v>
      </c>
      <c r="J1695" s="1">
        <v>0.0</v>
      </c>
      <c r="K1695" s="1">
        <v>1.0</v>
      </c>
      <c r="L1695" s="1">
        <v>15.0</v>
      </c>
      <c r="M1695" s="1">
        <v>0.066666667</v>
      </c>
      <c r="N1695" s="1">
        <v>0.0</v>
      </c>
    </row>
    <row r="1696" ht="15.75" customHeight="1">
      <c r="A1696" s="1" t="s">
        <v>160</v>
      </c>
      <c r="B1696" s="1" t="s">
        <v>230</v>
      </c>
      <c r="C1696" s="5">
        <v>45523.0</v>
      </c>
      <c r="D1696" s="1" t="s">
        <v>161</v>
      </c>
      <c r="E1696" s="1" t="s">
        <v>11</v>
      </c>
      <c r="F1696" s="1" t="s">
        <v>165</v>
      </c>
      <c r="H1696" s="1">
        <v>0.0</v>
      </c>
      <c r="I1696" s="1">
        <v>0.0</v>
      </c>
      <c r="J1696" s="1">
        <v>0.0</v>
      </c>
      <c r="K1696" s="1">
        <v>6.0</v>
      </c>
      <c r="L1696" s="1">
        <v>11.0</v>
      </c>
      <c r="M1696" s="1">
        <v>0.545454545</v>
      </c>
      <c r="N1696" s="1">
        <v>16.86000061</v>
      </c>
    </row>
    <row r="1697" ht="15.75" customHeight="1">
      <c r="A1697" s="1" t="s">
        <v>160</v>
      </c>
      <c r="B1697" s="1" t="s">
        <v>95</v>
      </c>
      <c r="C1697" s="5">
        <v>45523.0</v>
      </c>
      <c r="D1697" s="1" t="s">
        <v>161</v>
      </c>
      <c r="E1697" s="1" t="s">
        <v>11</v>
      </c>
      <c r="F1697" s="1" t="s">
        <v>165</v>
      </c>
      <c r="H1697" s="1">
        <v>0.0</v>
      </c>
      <c r="I1697" s="1">
        <v>0.0</v>
      </c>
      <c r="J1697" s="1">
        <v>0.0</v>
      </c>
      <c r="K1697" s="1">
        <v>0.0</v>
      </c>
      <c r="L1697" s="1">
        <v>8.0</v>
      </c>
      <c r="M1697" s="1">
        <v>0.0</v>
      </c>
      <c r="N1697" s="1">
        <v>19.87999916</v>
      </c>
    </row>
    <row r="1698" ht="15.75" customHeight="1">
      <c r="A1698" s="1" t="s">
        <v>160</v>
      </c>
      <c r="B1698" s="1" t="s">
        <v>77</v>
      </c>
      <c r="C1698" s="5">
        <v>45523.0</v>
      </c>
      <c r="D1698" s="1" t="s">
        <v>161</v>
      </c>
      <c r="E1698" s="1" t="s">
        <v>11</v>
      </c>
      <c r="F1698" s="1" t="s">
        <v>162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N1698" s="1">
        <v>0.610000014</v>
      </c>
    </row>
    <row r="1699" ht="15.75" customHeight="1">
      <c r="A1699" s="1" t="s">
        <v>164</v>
      </c>
      <c r="B1699" s="1" t="s">
        <v>22</v>
      </c>
      <c r="C1699" s="5">
        <v>45523.0</v>
      </c>
      <c r="D1699" s="1" t="s">
        <v>161</v>
      </c>
      <c r="E1699" s="1" t="s">
        <v>11</v>
      </c>
      <c r="H1699" s="1">
        <v>0.0</v>
      </c>
      <c r="J1699" s="1">
        <v>0.0</v>
      </c>
      <c r="N1699" s="1">
        <v>0.720000029</v>
      </c>
    </row>
    <row r="1700" ht="15.75" customHeight="1">
      <c r="A1700" s="1" t="s">
        <v>164</v>
      </c>
      <c r="B1700" s="1" t="s">
        <v>35</v>
      </c>
      <c r="C1700" s="5">
        <v>45523.0</v>
      </c>
      <c r="D1700" s="1" t="s">
        <v>161</v>
      </c>
      <c r="E1700" s="1" t="s">
        <v>11</v>
      </c>
      <c r="F1700" s="1" t="s">
        <v>166</v>
      </c>
      <c r="H1700" s="1">
        <v>0.0</v>
      </c>
      <c r="I1700" s="1">
        <v>0.0</v>
      </c>
      <c r="J1700" s="1">
        <v>0.0</v>
      </c>
      <c r="K1700" s="1">
        <v>2.0</v>
      </c>
      <c r="L1700" s="1">
        <v>4.0</v>
      </c>
      <c r="M1700" s="1">
        <v>0.5</v>
      </c>
      <c r="N1700" s="1">
        <v>5.889999866</v>
      </c>
    </row>
    <row r="1701" ht="15.75" customHeight="1">
      <c r="A1701" s="1" t="s">
        <v>164</v>
      </c>
      <c r="B1701" s="1" t="s">
        <v>43</v>
      </c>
      <c r="C1701" s="5">
        <v>45523.0</v>
      </c>
      <c r="D1701" s="1" t="s">
        <v>161</v>
      </c>
      <c r="E1701" s="1" t="s">
        <v>11</v>
      </c>
      <c r="F1701" s="1" t="s">
        <v>166</v>
      </c>
      <c r="H1701" s="1">
        <v>0.0</v>
      </c>
      <c r="I1701" s="1">
        <v>0.0</v>
      </c>
      <c r="J1701" s="1">
        <v>0.0</v>
      </c>
      <c r="K1701" s="1">
        <v>2.0</v>
      </c>
      <c r="L1701" s="1">
        <v>6.0</v>
      </c>
      <c r="M1701" s="1">
        <v>0.333333333</v>
      </c>
      <c r="N1701" s="1">
        <v>0.0</v>
      </c>
    </row>
    <row r="1702" ht="15.75" customHeight="1">
      <c r="A1702" s="1" t="s">
        <v>164</v>
      </c>
      <c r="B1702" s="1" t="s">
        <v>24</v>
      </c>
      <c r="C1702" s="5">
        <v>45523.0</v>
      </c>
      <c r="D1702" s="1" t="s">
        <v>161</v>
      </c>
      <c r="E1702" s="1" t="s">
        <v>11</v>
      </c>
      <c r="F1702" s="1" t="s">
        <v>166</v>
      </c>
      <c r="H1702" s="1">
        <v>0.0</v>
      </c>
      <c r="I1702" s="1">
        <v>0.0</v>
      </c>
      <c r="J1702" s="1">
        <v>0.0</v>
      </c>
      <c r="K1702" s="1">
        <v>7.0</v>
      </c>
      <c r="L1702" s="1">
        <v>13.0</v>
      </c>
      <c r="M1702" s="1">
        <v>0.538461538</v>
      </c>
      <c r="N1702" s="1">
        <v>11.47000027</v>
      </c>
    </row>
    <row r="1703" ht="15.75" customHeight="1">
      <c r="A1703" s="1" t="s">
        <v>164</v>
      </c>
      <c r="B1703" s="1" t="s">
        <v>207</v>
      </c>
      <c r="C1703" s="5">
        <v>45523.0</v>
      </c>
      <c r="D1703" s="1" t="s">
        <v>161</v>
      </c>
      <c r="E1703" s="1" t="s">
        <v>11</v>
      </c>
      <c r="F1703" s="1" t="s">
        <v>166</v>
      </c>
      <c r="H1703" s="1">
        <v>0.0</v>
      </c>
      <c r="I1703" s="1">
        <v>0.0</v>
      </c>
      <c r="J1703" s="1">
        <v>0.0</v>
      </c>
      <c r="K1703" s="1">
        <v>1.0</v>
      </c>
      <c r="L1703" s="1">
        <v>3.0</v>
      </c>
      <c r="M1703" s="1">
        <v>0.333333333</v>
      </c>
      <c r="N1703" s="1">
        <v>3.769999981</v>
      </c>
    </row>
    <row r="1704" ht="15.75" customHeight="1">
      <c r="A1704" s="1" t="s">
        <v>164</v>
      </c>
      <c r="B1704" s="1" t="s">
        <v>52</v>
      </c>
      <c r="C1704" s="5">
        <v>45523.0</v>
      </c>
      <c r="D1704" s="1" t="s">
        <v>161</v>
      </c>
      <c r="E1704" s="1" t="s">
        <v>11</v>
      </c>
      <c r="H1704" s="1">
        <v>0.0</v>
      </c>
      <c r="J1704" s="1">
        <v>0.0</v>
      </c>
      <c r="N1704" s="1">
        <v>0.349999994</v>
      </c>
    </row>
    <row r="1705" ht="15.75" customHeight="1">
      <c r="A1705" s="1" t="s">
        <v>164</v>
      </c>
      <c r="B1705" s="1" t="s">
        <v>199</v>
      </c>
      <c r="C1705" s="5">
        <v>45523.0</v>
      </c>
      <c r="D1705" s="1" t="s">
        <v>161</v>
      </c>
      <c r="E1705" s="1" t="s">
        <v>11</v>
      </c>
      <c r="F1705" s="1" t="s">
        <v>162</v>
      </c>
      <c r="H1705" s="1">
        <v>0.0</v>
      </c>
      <c r="I1705" s="1">
        <v>0.0</v>
      </c>
      <c r="J1705" s="1">
        <v>0.0</v>
      </c>
      <c r="K1705" s="1">
        <v>8.0</v>
      </c>
      <c r="L1705" s="1">
        <v>12.0</v>
      </c>
      <c r="M1705" s="1">
        <v>0.666666667</v>
      </c>
      <c r="N1705" s="1">
        <v>12.26000023</v>
      </c>
    </row>
    <row r="1706" ht="15.75" customHeight="1">
      <c r="A1706" s="1" t="s">
        <v>164</v>
      </c>
      <c r="B1706" s="1" t="s">
        <v>81</v>
      </c>
      <c r="C1706" s="5">
        <v>45523.0</v>
      </c>
      <c r="D1706" s="1" t="s">
        <v>161</v>
      </c>
      <c r="E1706" s="1" t="s">
        <v>11</v>
      </c>
      <c r="F1706" s="1" t="s">
        <v>177</v>
      </c>
      <c r="G1706" s="1" t="s">
        <v>163</v>
      </c>
      <c r="H1706" s="1">
        <v>1.0</v>
      </c>
      <c r="I1706" s="1">
        <v>0.0</v>
      </c>
      <c r="J1706" s="1">
        <v>0.0</v>
      </c>
      <c r="K1706" s="1">
        <v>8.0</v>
      </c>
      <c r="L1706" s="1">
        <v>12.0</v>
      </c>
      <c r="M1706" s="1">
        <v>0.666666667</v>
      </c>
      <c r="N1706" s="1">
        <v>10.01000023</v>
      </c>
    </row>
    <row r="1707" ht="15.75" customHeight="1">
      <c r="A1707" s="1" t="s">
        <v>164</v>
      </c>
      <c r="B1707" s="1" t="s">
        <v>179</v>
      </c>
      <c r="C1707" s="5">
        <v>45523.0</v>
      </c>
      <c r="D1707" s="1" t="s">
        <v>161</v>
      </c>
      <c r="E1707" s="1" t="s">
        <v>11</v>
      </c>
      <c r="F1707" s="1" t="s">
        <v>166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N1707" s="1">
        <v>0.150000006</v>
      </c>
    </row>
    <row r="1708" ht="15.75" customHeight="1">
      <c r="A1708" s="1" t="s">
        <v>164</v>
      </c>
      <c r="B1708" s="1" t="s">
        <v>183</v>
      </c>
      <c r="C1708" s="5">
        <v>45523.0</v>
      </c>
      <c r="D1708" s="1" t="s">
        <v>161</v>
      </c>
      <c r="E1708" s="1" t="s">
        <v>11</v>
      </c>
      <c r="F1708" s="1" t="s">
        <v>166</v>
      </c>
      <c r="H1708" s="1">
        <v>0.0</v>
      </c>
      <c r="I1708" s="1">
        <v>1.0</v>
      </c>
      <c r="J1708" s="1">
        <v>0.0</v>
      </c>
      <c r="K1708" s="1">
        <v>8.0</v>
      </c>
      <c r="L1708" s="1">
        <v>11.0</v>
      </c>
      <c r="M1708" s="1">
        <v>0.727272727</v>
      </c>
      <c r="N1708" s="1">
        <v>11.72000027</v>
      </c>
    </row>
    <row r="1709" ht="15.75" customHeight="1">
      <c r="A1709" s="1" t="s">
        <v>164</v>
      </c>
      <c r="B1709" s="1" t="s">
        <v>68</v>
      </c>
      <c r="C1709" s="5">
        <v>45523.0</v>
      </c>
      <c r="D1709" s="1" t="s">
        <v>161</v>
      </c>
      <c r="E1709" s="1" t="s">
        <v>11</v>
      </c>
      <c r="H1709" s="1">
        <v>0.0</v>
      </c>
      <c r="J1709" s="1">
        <v>0.0</v>
      </c>
      <c r="N1709" s="1">
        <v>0.079999998</v>
      </c>
    </row>
    <row r="1710" ht="15.75" customHeight="1">
      <c r="A1710" s="1" t="s">
        <v>164</v>
      </c>
      <c r="B1710" s="1" t="s">
        <v>197</v>
      </c>
      <c r="C1710" s="5">
        <v>45523.0</v>
      </c>
      <c r="D1710" s="1" t="s">
        <v>161</v>
      </c>
      <c r="E1710" s="1" t="s">
        <v>11</v>
      </c>
      <c r="F1710" s="1" t="s">
        <v>166</v>
      </c>
      <c r="H1710" s="1">
        <v>0.0</v>
      </c>
      <c r="I1710" s="1">
        <v>0.0</v>
      </c>
      <c r="J1710" s="1">
        <v>0.0</v>
      </c>
      <c r="K1710" s="1">
        <v>3.0</v>
      </c>
      <c r="L1710" s="1">
        <v>4.0</v>
      </c>
      <c r="M1710" s="1">
        <v>0.75</v>
      </c>
      <c r="N1710" s="1">
        <v>7.449999809</v>
      </c>
    </row>
    <row r="1711" ht="15.75" customHeight="1">
      <c r="A1711" s="1" t="s">
        <v>164</v>
      </c>
      <c r="B1711" s="1" t="s">
        <v>74</v>
      </c>
      <c r="C1711" s="5">
        <v>45523.0</v>
      </c>
      <c r="D1711" s="1" t="s">
        <v>161</v>
      </c>
      <c r="E1711" s="1" t="s">
        <v>11</v>
      </c>
      <c r="F1711" s="1" t="s">
        <v>166</v>
      </c>
      <c r="H1711" s="1">
        <v>0.0</v>
      </c>
      <c r="I1711" s="1">
        <v>0.0</v>
      </c>
      <c r="J1711" s="1">
        <v>0.0</v>
      </c>
      <c r="K1711" s="1">
        <v>0.0</v>
      </c>
      <c r="L1711" s="1">
        <v>1.0</v>
      </c>
      <c r="M1711" s="1">
        <v>0.0</v>
      </c>
      <c r="N1711" s="1">
        <v>9.039999962</v>
      </c>
    </row>
    <row r="1712" ht="15.75" customHeight="1">
      <c r="A1712" s="1" t="s">
        <v>164</v>
      </c>
      <c r="B1712" s="1" t="s">
        <v>100</v>
      </c>
      <c r="C1712" s="5">
        <v>45523.0</v>
      </c>
      <c r="D1712" s="1" t="s">
        <v>161</v>
      </c>
      <c r="E1712" s="1" t="s">
        <v>11</v>
      </c>
      <c r="F1712" s="1" t="s">
        <v>166</v>
      </c>
      <c r="H1712" s="1">
        <v>0.0</v>
      </c>
      <c r="I1712" s="1">
        <v>0.0</v>
      </c>
      <c r="J1712" s="1">
        <v>0.0</v>
      </c>
      <c r="K1712" s="1">
        <v>30.0</v>
      </c>
      <c r="L1712" s="1">
        <v>80.0</v>
      </c>
      <c r="M1712" s="1">
        <v>0.375</v>
      </c>
      <c r="N1712" s="1">
        <v>54.79999924</v>
      </c>
    </row>
    <row r="1713" ht="15.75" customHeight="1">
      <c r="A1713" s="1" t="s">
        <v>164</v>
      </c>
      <c r="B1713" s="1" t="s">
        <v>82</v>
      </c>
      <c r="C1713" s="5">
        <v>45523.0</v>
      </c>
      <c r="D1713" s="1" t="s">
        <v>161</v>
      </c>
      <c r="E1713" s="1" t="s">
        <v>11</v>
      </c>
      <c r="F1713" s="1" t="s">
        <v>165</v>
      </c>
      <c r="H1713" s="1">
        <v>0.0</v>
      </c>
      <c r="I1713" s="1">
        <v>1.0</v>
      </c>
      <c r="J1713" s="1">
        <v>0.0</v>
      </c>
      <c r="K1713" s="1">
        <v>14.0</v>
      </c>
      <c r="L1713" s="1">
        <v>21.0</v>
      </c>
      <c r="M1713" s="1">
        <v>0.666666667</v>
      </c>
      <c r="N1713" s="1">
        <v>8.760000229</v>
      </c>
    </row>
    <row r="1714" ht="15.75" customHeight="1">
      <c r="A1714" s="1" t="s">
        <v>164</v>
      </c>
      <c r="B1714" s="1" t="s">
        <v>251</v>
      </c>
      <c r="C1714" s="5">
        <v>45523.0</v>
      </c>
      <c r="D1714" s="1" t="s">
        <v>161</v>
      </c>
      <c r="E1714" s="1" t="s">
        <v>11</v>
      </c>
      <c r="F1714" s="1" t="s">
        <v>166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N1714" s="1">
        <v>0.439999998</v>
      </c>
    </row>
    <row r="1715" ht="15.75" customHeight="1">
      <c r="A1715" s="1" t="s">
        <v>164</v>
      </c>
      <c r="B1715" s="1" t="s">
        <v>219</v>
      </c>
      <c r="C1715" s="5">
        <v>45523.0</v>
      </c>
      <c r="D1715" s="1" t="s">
        <v>161</v>
      </c>
      <c r="E1715" s="1" t="s">
        <v>11</v>
      </c>
      <c r="F1715" s="1" t="s">
        <v>162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N1715" s="1">
        <v>1.799999952</v>
      </c>
    </row>
    <row r="1716" ht="15.75" customHeight="1">
      <c r="A1716" s="1" t="s">
        <v>180</v>
      </c>
      <c r="B1716" s="1" t="s">
        <v>45</v>
      </c>
      <c r="C1716" s="5">
        <v>45523.0</v>
      </c>
      <c r="D1716" s="1" t="s">
        <v>161</v>
      </c>
      <c r="E1716" s="1" t="s">
        <v>11</v>
      </c>
      <c r="F1716" s="1" t="s">
        <v>166</v>
      </c>
      <c r="H1716" s="1">
        <v>0.0</v>
      </c>
      <c r="I1716" s="1">
        <v>0.0</v>
      </c>
      <c r="J1716" s="1">
        <v>0.0</v>
      </c>
      <c r="K1716" s="1">
        <v>2.0</v>
      </c>
      <c r="L1716" s="1">
        <v>29.0</v>
      </c>
      <c r="M1716" s="1">
        <v>0.068965517</v>
      </c>
      <c r="N1716" s="1">
        <v>2.339999914</v>
      </c>
    </row>
    <row r="1717" ht="15.75" customHeight="1">
      <c r="A1717" s="1" t="s">
        <v>180</v>
      </c>
      <c r="B1717" s="1" t="s">
        <v>239</v>
      </c>
      <c r="C1717" s="5">
        <v>45523.0</v>
      </c>
      <c r="D1717" s="1" t="s">
        <v>161</v>
      </c>
      <c r="E1717" s="1" t="s">
        <v>11</v>
      </c>
      <c r="F1717" s="1" t="s">
        <v>166</v>
      </c>
      <c r="G1717" s="1" t="s">
        <v>172</v>
      </c>
      <c r="H1717" s="1">
        <v>1.0</v>
      </c>
      <c r="I1717" s="1">
        <v>1.0</v>
      </c>
      <c r="J1717" s="1">
        <v>0.0</v>
      </c>
      <c r="K1717" s="1">
        <v>16.0</v>
      </c>
      <c r="L1717" s="1">
        <v>22.0</v>
      </c>
      <c r="M1717" s="1">
        <v>0.727272727</v>
      </c>
      <c r="N1717" s="1">
        <v>11.39000034</v>
      </c>
    </row>
    <row r="1718" ht="15.75" customHeight="1">
      <c r="A1718" s="1" t="s">
        <v>180</v>
      </c>
      <c r="B1718" s="1" t="s">
        <v>237</v>
      </c>
      <c r="C1718" s="5">
        <v>45523.0</v>
      </c>
      <c r="D1718" s="1" t="s">
        <v>161</v>
      </c>
      <c r="E1718" s="1" t="s">
        <v>11</v>
      </c>
      <c r="F1718" s="1" t="s">
        <v>166</v>
      </c>
      <c r="H1718" s="1">
        <v>0.0</v>
      </c>
      <c r="I1718" s="1">
        <v>0.0</v>
      </c>
      <c r="J1718" s="1">
        <v>0.0</v>
      </c>
      <c r="K1718" s="1">
        <v>0.0</v>
      </c>
      <c r="L1718" s="1">
        <v>2.0</v>
      </c>
      <c r="M1718" s="1">
        <v>0.0</v>
      </c>
      <c r="N1718" s="1">
        <v>5.909999847</v>
      </c>
    </row>
    <row r="1719" ht="15.75" customHeight="1">
      <c r="A1719" s="1" t="s">
        <v>180</v>
      </c>
      <c r="B1719" s="1" t="s">
        <v>185</v>
      </c>
      <c r="C1719" s="5">
        <v>45523.0</v>
      </c>
      <c r="D1719" s="1" t="s">
        <v>161</v>
      </c>
      <c r="E1719" s="1" t="s">
        <v>11</v>
      </c>
      <c r="F1719" s="1" t="s">
        <v>166</v>
      </c>
      <c r="H1719" s="1">
        <v>0.0</v>
      </c>
      <c r="I1719" s="1">
        <v>0.0</v>
      </c>
      <c r="J1719" s="1">
        <v>0.0</v>
      </c>
      <c r="K1719" s="1">
        <v>6.0</v>
      </c>
      <c r="L1719" s="1">
        <v>11.0</v>
      </c>
      <c r="M1719" s="1">
        <v>0.545454545</v>
      </c>
      <c r="N1719" s="1">
        <v>25.89999962</v>
      </c>
    </row>
    <row r="1720" ht="15.75" customHeight="1">
      <c r="A1720" s="1" t="s">
        <v>160</v>
      </c>
      <c r="B1720" s="1" t="s">
        <v>252</v>
      </c>
      <c r="C1720" s="5">
        <v>45522.0</v>
      </c>
      <c r="D1720" s="1" t="s">
        <v>161</v>
      </c>
      <c r="E1720" s="1" t="s">
        <v>11</v>
      </c>
      <c r="H1720" s="1">
        <v>0.0</v>
      </c>
      <c r="J1720" s="1">
        <v>0.0</v>
      </c>
      <c r="N1720" s="1">
        <v>0.150000006</v>
      </c>
    </row>
    <row r="1721" ht="15.75" customHeight="1">
      <c r="A1721" s="1" t="s">
        <v>160</v>
      </c>
      <c r="B1721" s="1" t="s">
        <v>253</v>
      </c>
      <c r="C1721" s="5">
        <v>45522.0</v>
      </c>
      <c r="D1721" s="1" t="s">
        <v>161</v>
      </c>
      <c r="E1721" s="1" t="s">
        <v>11</v>
      </c>
      <c r="H1721" s="1">
        <v>0.0</v>
      </c>
      <c r="J1721" s="1">
        <v>0.0</v>
      </c>
      <c r="N1721" s="1">
        <v>0.300000012</v>
      </c>
    </row>
    <row r="1722" ht="15.75" customHeight="1">
      <c r="A1722" s="1" t="s">
        <v>160</v>
      </c>
      <c r="B1722" s="1" t="s">
        <v>254</v>
      </c>
      <c r="C1722" s="5">
        <v>45522.0</v>
      </c>
      <c r="D1722" s="1" t="s">
        <v>161</v>
      </c>
      <c r="E1722" s="1" t="s">
        <v>11</v>
      </c>
      <c r="F1722" s="1" t="s">
        <v>162</v>
      </c>
      <c r="H1722" s="1">
        <v>0.0</v>
      </c>
      <c r="I1722" s="1">
        <v>1.0</v>
      </c>
      <c r="J1722" s="1">
        <v>0.0</v>
      </c>
      <c r="K1722" s="1">
        <v>12.0</v>
      </c>
      <c r="L1722" s="1">
        <v>14.0</v>
      </c>
      <c r="M1722" s="1">
        <v>0.857142857</v>
      </c>
      <c r="N1722" s="1">
        <v>6.409999847</v>
      </c>
    </row>
    <row r="1723" ht="15.75" customHeight="1">
      <c r="A1723" s="1" t="s">
        <v>160</v>
      </c>
      <c r="B1723" s="1" t="s">
        <v>240</v>
      </c>
      <c r="C1723" s="5">
        <v>45522.0</v>
      </c>
      <c r="D1723" s="1" t="s">
        <v>161</v>
      </c>
      <c r="E1723" s="1" t="s">
        <v>11</v>
      </c>
      <c r="H1723" s="1">
        <v>0.0</v>
      </c>
      <c r="J1723" s="1">
        <v>0.0</v>
      </c>
      <c r="N1723" s="1">
        <v>0.239999995</v>
      </c>
    </row>
    <row r="1724" ht="15.75" customHeight="1">
      <c r="A1724" s="1" t="s">
        <v>160</v>
      </c>
      <c r="B1724" s="1" t="s">
        <v>255</v>
      </c>
      <c r="C1724" s="5">
        <v>45522.0</v>
      </c>
      <c r="D1724" s="1" t="s">
        <v>161</v>
      </c>
      <c r="E1724" s="1" t="s">
        <v>11</v>
      </c>
      <c r="H1724" s="1">
        <v>0.0</v>
      </c>
      <c r="J1724" s="1">
        <v>0.0</v>
      </c>
      <c r="N1724" s="1">
        <v>0.25999999</v>
      </c>
    </row>
    <row r="1725" ht="15.75" customHeight="1">
      <c r="A1725" s="1" t="s">
        <v>160</v>
      </c>
      <c r="B1725" s="1" t="s">
        <v>256</v>
      </c>
      <c r="C1725" s="5">
        <v>45522.0</v>
      </c>
      <c r="D1725" s="1" t="s">
        <v>161</v>
      </c>
      <c r="E1725" s="1" t="s">
        <v>11</v>
      </c>
      <c r="F1725" s="1" t="s">
        <v>165</v>
      </c>
      <c r="H1725" s="1">
        <v>0.0</v>
      </c>
      <c r="I1725" s="1">
        <v>0.0</v>
      </c>
      <c r="J1725" s="1">
        <v>0.0</v>
      </c>
      <c r="K1725" s="1">
        <v>0.0</v>
      </c>
      <c r="L1725" s="1">
        <v>0.0</v>
      </c>
      <c r="N1725" s="1">
        <v>0.379999995</v>
      </c>
    </row>
    <row r="1726" ht="15.75" customHeight="1">
      <c r="A1726" s="1" t="s">
        <v>160</v>
      </c>
      <c r="B1726" s="1" t="s">
        <v>250</v>
      </c>
      <c r="C1726" s="5">
        <v>45522.0</v>
      </c>
      <c r="D1726" s="1" t="s">
        <v>161</v>
      </c>
      <c r="E1726" s="1" t="s">
        <v>11</v>
      </c>
      <c r="H1726" s="1">
        <v>0.0</v>
      </c>
      <c r="J1726" s="1">
        <v>0.0</v>
      </c>
      <c r="N1726" s="1">
        <v>0.360000014</v>
      </c>
    </row>
    <row r="1727" ht="15.75" customHeight="1">
      <c r="A1727" s="1" t="s">
        <v>160</v>
      </c>
      <c r="B1727" s="1" t="s">
        <v>257</v>
      </c>
      <c r="C1727" s="5">
        <v>45522.0</v>
      </c>
      <c r="D1727" s="1" t="s">
        <v>161</v>
      </c>
      <c r="E1727" s="1" t="s">
        <v>11</v>
      </c>
      <c r="H1727" s="1">
        <v>0.0</v>
      </c>
      <c r="J1727" s="1">
        <v>0.0</v>
      </c>
      <c r="N1727" s="1">
        <v>0.300000012</v>
      </c>
    </row>
    <row r="1728" ht="15.75" customHeight="1">
      <c r="A1728" s="1" t="s">
        <v>160</v>
      </c>
      <c r="B1728" s="1" t="s">
        <v>258</v>
      </c>
      <c r="C1728" s="5">
        <v>45522.0</v>
      </c>
      <c r="D1728" s="1" t="s">
        <v>161</v>
      </c>
      <c r="E1728" s="1" t="s">
        <v>11</v>
      </c>
      <c r="H1728" s="1">
        <v>0.0</v>
      </c>
      <c r="J1728" s="1">
        <v>0.0</v>
      </c>
      <c r="N1728" s="1">
        <v>0.300000012</v>
      </c>
    </row>
    <row r="1729" ht="15.75" customHeight="1">
      <c r="A1729" s="1" t="s">
        <v>160</v>
      </c>
      <c r="B1729" s="1" t="s">
        <v>259</v>
      </c>
      <c r="C1729" s="5">
        <v>45522.0</v>
      </c>
      <c r="D1729" s="1" t="s">
        <v>161</v>
      </c>
      <c r="E1729" s="1" t="s">
        <v>11</v>
      </c>
      <c r="H1729" s="1">
        <v>0.0</v>
      </c>
      <c r="J1729" s="1">
        <v>0.0</v>
      </c>
      <c r="N1729" s="1">
        <v>0.449999988</v>
      </c>
    </row>
    <row r="1730" ht="15.75" customHeight="1">
      <c r="A1730" s="1" t="s">
        <v>160</v>
      </c>
      <c r="B1730" s="1" t="s">
        <v>260</v>
      </c>
      <c r="C1730" s="5">
        <v>45522.0</v>
      </c>
      <c r="D1730" s="1" t="s">
        <v>161</v>
      </c>
      <c r="E1730" s="1" t="s">
        <v>11</v>
      </c>
      <c r="H1730" s="1">
        <v>0.0</v>
      </c>
      <c r="J1730" s="1">
        <v>0.0</v>
      </c>
      <c r="N1730" s="1">
        <v>0.289999992</v>
      </c>
    </row>
    <row r="1731" ht="15.75" customHeight="1">
      <c r="A1731" s="1" t="s">
        <v>160</v>
      </c>
      <c r="B1731" s="1" t="s">
        <v>261</v>
      </c>
      <c r="C1731" s="5">
        <v>45522.0</v>
      </c>
      <c r="D1731" s="1" t="s">
        <v>161</v>
      </c>
      <c r="E1731" s="1" t="s">
        <v>11</v>
      </c>
      <c r="F1731" s="1" t="s">
        <v>165</v>
      </c>
      <c r="H1731" s="1">
        <v>0.0</v>
      </c>
      <c r="I1731" s="1">
        <v>0.0</v>
      </c>
      <c r="J1731" s="1">
        <v>0.0</v>
      </c>
      <c r="K1731" s="1">
        <v>0.0</v>
      </c>
      <c r="L1731" s="1">
        <v>0.0</v>
      </c>
      <c r="N1731" s="1">
        <v>0.680000007</v>
      </c>
    </row>
    <row r="1732" ht="15.75" customHeight="1">
      <c r="A1732" s="1" t="s">
        <v>160</v>
      </c>
      <c r="B1732" s="1" t="s">
        <v>262</v>
      </c>
      <c r="C1732" s="5">
        <v>45522.0</v>
      </c>
      <c r="D1732" s="1" t="s">
        <v>161</v>
      </c>
      <c r="E1732" s="1" t="s">
        <v>11</v>
      </c>
      <c r="H1732" s="1">
        <v>0.0</v>
      </c>
      <c r="J1732" s="1">
        <v>0.0</v>
      </c>
      <c r="N1732" s="1">
        <v>1.059999943</v>
      </c>
    </row>
    <row r="1733" ht="15.75" customHeight="1">
      <c r="A1733" s="1" t="s">
        <v>160</v>
      </c>
      <c r="B1733" s="1" t="s">
        <v>241</v>
      </c>
      <c r="C1733" s="5">
        <v>45522.0</v>
      </c>
      <c r="D1733" s="1" t="s">
        <v>161</v>
      </c>
      <c r="E1733" s="1" t="s">
        <v>11</v>
      </c>
      <c r="F1733" s="1" t="s">
        <v>162</v>
      </c>
      <c r="H1733" s="1">
        <v>0.0</v>
      </c>
      <c r="I1733" s="1">
        <v>0.0</v>
      </c>
      <c r="J1733" s="1">
        <v>0.0</v>
      </c>
      <c r="K1733" s="1">
        <v>0.0</v>
      </c>
      <c r="L1733" s="1">
        <v>0.0</v>
      </c>
      <c r="N1733" s="1">
        <v>0.319999993</v>
      </c>
    </row>
    <row r="1734" ht="15.75" customHeight="1">
      <c r="A1734" s="1" t="s">
        <v>164</v>
      </c>
      <c r="B1734" s="1" t="s">
        <v>249</v>
      </c>
      <c r="C1734" s="5">
        <v>45522.0</v>
      </c>
      <c r="D1734" s="1" t="s">
        <v>161</v>
      </c>
      <c r="E1734" s="1" t="s">
        <v>11</v>
      </c>
      <c r="H1734" s="1">
        <v>0.0</v>
      </c>
      <c r="J1734" s="1">
        <v>0.0</v>
      </c>
      <c r="N1734" s="1">
        <v>0.419999987</v>
      </c>
    </row>
    <row r="1735" ht="15.75" customHeight="1">
      <c r="A1735" s="1" t="s">
        <v>164</v>
      </c>
      <c r="B1735" s="1" t="s">
        <v>247</v>
      </c>
      <c r="C1735" s="5">
        <v>45522.0</v>
      </c>
      <c r="D1735" s="1" t="s">
        <v>161</v>
      </c>
      <c r="E1735" s="1" t="s">
        <v>11</v>
      </c>
      <c r="H1735" s="1">
        <v>0.0</v>
      </c>
      <c r="J1735" s="1">
        <v>0.0</v>
      </c>
      <c r="N1735" s="1">
        <v>0.25</v>
      </c>
    </row>
    <row r="1736" ht="15.75" customHeight="1">
      <c r="A1736" s="1" t="s">
        <v>164</v>
      </c>
      <c r="B1736" s="1" t="s">
        <v>245</v>
      </c>
      <c r="C1736" s="5">
        <v>45522.0</v>
      </c>
      <c r="D1736" s="1" t="s">
        <v>161</v>
      </c>
      <c r="E1736" s="1" t="s">
        <v>11</v>
      </c>
      <c r="F1736" s="1" t="s">
        <v>166</v>
      </c>
      <c r="H1736" s="1">
        <v>0.0</v>
      </c>
      <c r="I1736" s="1">
        <v>0.0</v>
      </c>
      <c r="J1736" s="1">
        <v>0.0</v>
      </c>
      <c r="K1736" s="1">
        <v>0.0</v>
      </c>
      <c r="L1736" s="1">
        <v>0.0</v>
      </c>
      <c r="N1736" s="1">
        <v>0.280000001</v>
      </c>
    </row>
    <row r="1737" ht="15.75" customHeight="1">
      <c r="A1737" s="1" t="s">
        <v>164</v>
      </c>
      <c r="B1737" s="1" t="s">
        <v>242</v>
      </c>
      <c r="C1737" s="5">
        <v>45522.0</v>
      </c>
      <c r="D1737" s="1" t="s">
        <v>161</v>
      </c>
      <c r="E1737" s="1" t="s">
        <v>11</v>
      </c>
      <c r="H1737" s="1">
        <v>0.0</v>
      </c>
      <c r="J1737" s="1">
        <v>0.0</v>
      </c>
      <c r="N1737" s="1">
        <v>0.319999993</v>
      </c>
    </row>
    <row r="1738" ht="15.75" customHeight="1">
      <c r="A1738" s="1" t="s">
        <v>164</v>
      </c>
      <c r="B1738" s="1" t="s">
        <v>243</v>
      </c>
      <c r="C1738" s="5">
        <v>45522.0</v>
      </c>
      <c r="D1738" s="1" t="s">
        <v>161</v>
      </c>
      <c r="E1738" s="1" t="s">
        <v>11</v>
      </c>
      <c r="H1738" s="1">
        <v>0.0</v>
      </c>
      <c r="J1738" s="1">
        <v>0.0</v>
      </c>
      <c r="N1738" s="1">
        <v>0.550000012</v>
      </c>
    </row>
    <row r="1739" ht="15.75" customHeight="1">
      <c r="A1739" s="1" t="s">
        <v>164</v>
      </c>
      <c r="B1739" s="1" t="s">
        <v>244</v>
      </c>
      <c r="C1739" s="5">
        <v>45522.0</v>
      </c>
      <c r="D1739" s="1" t="s">
        <v>161</v>
      </c>
      <c r="E1739" s="1" t="s">
        <v>11</v>
      </c>
      <c r="F1739" s="1" t="s">
        <v>166</v>
      </c>
      <c r="H1739" s="1">
        <v>0.0</v>
      </c>
      <c r="I1739" s="1">
        <v>0.0</v>
      </c>
      <c r="J1739" s="1">
        <v>0.0</v>
      </c>
      <c r="K1739" s="1">
        <v>0.0</v>
      </c>
      <c r="L1739" s="1">
        <v>0.0</v>
      </c>
      <c r="N1739" s="1">
        <v>0.25999999</v>
      </c>
    </row>
    <row r="1740" ht="15.75" customHeight="1">
      <c r="A1740" s="1" t="s">
        <v>164</v>
      </c>
      <c r="B1740" s="1" t="s">
        <v>263</v>
      </c>
      <c r="C1740" s="5">
        <v>45522.0</v>
      </c>
      <c r="D1740" s="1" t="s">
        <v>161</v>
      </c>
      <c r="E1740" s="1" t="s">
        <v>11</v>
      </c>
      <c r="F1740" s="1" t="s">
        <v>166</v>
      </c>
      <c r="H1740" s="1">
        <v>0.0</v>
      </c>
      <c r="I1740" s="1">
        <v>0.0</v>
      </c>
      <c r="J1740" s="1">
        <v>0.0</v>
      </c>
      <c r="K1740" s="1">
        <v>0.0</v>
      </c>
      <c r="L1740" s="1">
        <v>0.0</v>
      </c>
      <c r="N1740" s="1">
        <v>0.270000011</v>
      </c>
    </row>
    <row r="1741" ht="15.75" customHeight="1">
      <c r="A1741" s="1" t="s">
        <v>164</v>
      </c>
      <c r="B1741" s="1" t="s">
        <v>264</v>
      </c>
      <c r="C1741" s="5">
        <v>45522.0</v>
      </c>
      <c r="D1741" s="1" t="s">
        <v>161</v>
      </c>
      <c r="E1741" s="1" t="s">
        <v>11</v>
      </c>
      <c r="H1741" s="1">
        <v>0.0</v>
      </c>
      <c r="J1741" s="1">
        <v>0.0</v>
      </c>
      <c r="N1741" s="1">
        <v>0.660000026</v>
      </c>
    </row>
    <row r="1742" ht="15.75" customHeight="1">
      <c r="A1742" s="1" t="s">
        <v>164</v>
      </c>
      <c r="B1742" s="1" t="s">
        <v>248</v>
      </c>
      <c r="C1742" s="5">
        <v>45522.0</v>
      </c>
      <c r="D1742" s="1" t="s">
        <v>161</v>
      </c>
      <c r="E1742" s="1" t="s">
        <v>11</v>
      </c>
      <c r="F1742" s="1" t="s">
        <v>166</v>
      </c>
      <c r="H1742" s="1">
        <v>0.0</v>
      </c>
      <c r="I1742" s="1">
        <v>0.0</v>
      </c>
      <c r="J1742" s="1">
        <v>0.0</v>
      </c>
      <c r="K1742" s="1">
        <v>0.0</v>
      </c>
      <c r="L1742" s="1">
        <v>0.0</v>
      </c>
      <c r="N1742" s="1">
        <v>0.800000012</v>
      </c>
    </row>
    <row r="1743" ht="15.75" customHeight="1">
      <c r="A1743" s="1" t="s">
        <v>164</v>
      </c>
      <c r="B1743" s="1" t="s">
        <v>246</v>
      </c>
      <c r="C1743" s="5">
        <v>45522.0</v>
      </c>
      <c r="D1743" s="1" t="s">
        <v>161</v>
      </c>
      <c r="E1743" s="1" t="s">
        <v>11</v>
      </c>
      <c r="F1743" s="1" t="s">
        <v>166</v>
      </c>
      <c r="H1743" s="1">
        <v>0.0</v>
      </c>
      <c r="I1743" s="1">
        <v>0.0</v>
      </c>
      <c r="J1743" s="1">
        <v>0.0</v>
      </c>
      <c r="K1743" s="1">
        <v>0.0</v>
      </c>
      <c r="L1743" s="1">
        <v>0.0</v>
      </c>
      <c r="N1743" s="1">
        <v>0.289999992</v>
      </c>
    </row>
    <row r="1744" ht="15.75" customHeight="1">
      <c r="A1744" s="1" t="s">
        <v>160</v>
      </c>
      <c r="B1744" s="1" t="s">
        <v>252</v>
      </c>
      <c r="C1744" s="5">
        <v>45521.0</v>
      </c>
      <c r="D1744" s="1" t="s">
        <v>161</v>
      </c>
      <c r="E1744" s="1" t="s">
        <v>11</v>
      </c>
      <c r="H1744" s="1">
        <v>0.0</v>
      </c>
      <c r="J1744" s="1">
        <v>0.0</v>
      </c>
      <c r="N1744" s="1">
        <v>6.0</v>
      </c>
    </row>
    <row r="1745" ht="15.75" customHeight="1">
      <c r="A1745" s="1" t="s">
        <v>160</v>
      </c>
      <c r="B1745" s="1" t="s">
        <v>254</v>
      </c>
      <c r="C1745" s="5">
        <v>45521.0</v>
      </c>
      <c r="D1745" s="1" t="s">
        <v>161</v>
      </c>
      <c r="E1745" s="1" t="s">
        <v>11</v>
      </c>
      <c r="F1745" s="1" t="s">
        <v>162</v>
      </c>
      <c r="H1745" s="1">
        <v>0.0</v>
      </c>
      <c r="I1745" s="1">
        <v>1.0</v>
      </c>
      <c r="J1745" s="1">
        <v>0.0</v>
      </c>
      <c r="K1745" s="1">
        <v>12.0</v>
      </c>
      <c r="L1745" s="1">
        <v>12.0</v>
      </c>
      <c r="M1745" s="1">
        <v>1.0</v>
      </c>
      <c r="N1745" s="1">
        <v>8.399999619</v>
      </c>
    </row>
    <row r="1746" ht="15.75" customHeight="1">
      <c r="A1746" s="1" t="s">
        <v>160</v>
      </c>
      <c r="B1746" s="1" t="s">
        <v>39</v>
      </c>
      <c r="C1746" s="5">
        <v>45521.0</v>
      </c>
      <c r="D1746" s="1" t="s">
        <v>161</v>
      </c>
      <c r="E1746" s="1" t="s">
        <v>11</v>
      </c>
      <c r="F1746" s="1" t="s">
        <v>166</v>
      </c>
      <c r="H1746" s="1">
        <v>0.0</v>
      </c>
      <c r="I1746" s="1">
        <v>0.0</v>
      </c>
      <c r="J1746" s="1">
        <v>0.0</v>
      </c>
      <c r="K1746" s="1">
        <v>1.0</v>
      </c>
      <c r="L1746" s="1">
        <v>3.0</v>
      </c>
      <c r="M1746" s="1">
        <v>0.333333333</v>
      </c>
      <c r="N1746" s="1">
        <v>0.0</v>
      </c>
    </row>
    <row r="1747" ht="15.75" customHeight="1">
      <c r="A1747" s="1" t="s">
        <v>160</v>
      </c>
      <c r="B1747" s="1" t="s">
        <v>230</v>
      </c>
      <c r="C1747" s="5">
        <v>45521.0</v>
      </c>
      <c r="D1747" s="1" t="s">
        <v>161</v>
      </c>
      <c r="E1747" s="1" t="s">
        <v>11</v>
      </c>
      <c r="F1747" s="1" t="s">
        <v>165</v>
      </c>
      <c r="H1747" s="1">
        <v>0.0</v>
      </c>
      <c r="I1747" s="1">
        <v>0.0</v>
      </c>
      <c r="J1747" s="1">
        <v>0.0</v>
      </c>
      <c r="K1747" s="1">
        <v>14.0</v>
      </c>
      <c r="L1747" s="1">
        <v>23.0</v>
      </c>
      <c r="M1747" s="1">
        <v>0.608695652</v>
      </c>
      <c r="N1747" s="1">
        <v>0.0</v>
      </c>
    </row>
    <row r="1748" ht="15.75" customHeight="1">
      <c r="A1748" s="1" t="s">
        <v>164</v>
      </c>
      <c r="B1748" s="1" t="s">
        <v>22</v>
      </c>
      <c r="C1748" s="5">
        <v>45521.0</v>
      </c>
      <c r="D1748" s="1" t="s">
        <v>161</v>
      </c>
      <c r="E1748" s="1" t="s">
        <v>11</v>
      </c>
      <c r="F1748" s="1" t="s">
        <v>166</v>
      </c>
      <c r="H1748" s="1">
        <v>0.0</v>
      </c>
      <c r="I1748" s="1">
        <v>0.0</v>
      </c>
      <c r="J1748" s="1">
        <v>0.0</v>
      </c>
      <c r="K1748" s="1">
        <v>1.0</v>
      </c>
      <c r="L1748" s="1">
        <v>4.0</v>
      </c>
      <c r="M1748" s="1">
        <v>0.25</v>
      </c>
      <c r="N1748" s="1">
        <v>0.0</v>
      </c>
    </row>
    <row r="1749" ht="15.75" customHeight="1">
      <c r="A1749" s="1" t="s">
        <v>164</v>
      </c>
      <c r="B1749" s="1" t="s">
        <v>35</v>
      </c>
      <c r="C1749" s="5">
        <v>45521.0</v>
      </c>
      <c r="D1749" s="1" t="s">
        <v>161</v>
      </c>
      <c r="E1749" s="1" t="s">
        <v>11</v>
      </c>
      <c r="F1749" s="1" t="s">
        <v>166</v>
      </c>
      <c r="H1749" s="1">
        <v>0.0</v>
      </c>
      <c r="I1749" s="1">
        <v>0.0</v>
      </c>
      <c r="J1749" s="1">
        <v>0.0</v>
      </c>
      <c r="K1749" s="1">
        <v>1.0</v>
      </c>
      <c r="L1749" s="1">
        <v>3.0</v>
      </c>
      <c r="M1749" s="1">
        <v>0.333333333</v>
      </c>
      <c r="N1749" s="1">
        <v>0.0</v>
      </c>
    </row>
    <row r="1750" ht="15.75" customHeight="1">
      <c r="A1750" s="1" t="s">
        <v>164</v>
      </c>
      <c r="B1750" s="1" t="s">
        <v>43</v>
      </c>
      <c r="C1750" s="5">
        <v>45521.0</v>
      </c>
      <c r="D1750" s="1" t="s">
        <v>161</v>
      </c>
      <c r="E1750" s="1" t="s">
        <v>11</v>
      </c>
      <c r="F1750" s="1" t="s">
        <v>166</v>
      </c>
      <c r="H1750" s="1">
        <v>0.0</v>
      </c>
      <c r="I1750" s="1">
        <v>0.0</v>
      </c>
      <c r="J1750" s="1">
        <v>0.0</v>
      </c>
      <c r="K1750" s="1">
        <v>5.0</v>
      </c>
      <c r="L1750" s="1">
        <v>11.0</v>
      </c>
      <c r="M1750" s="1">
        <v>0.454545455</v>
      </c>
      <c r="N1750" s="1">
        <v>0.0</v>
      </c>
    </row>
    <row r="1751" ht="15.75" customHeight="1">
      <c r="A1751" s="1" t="s">
        <v>164</v>
      </c>
      <c r="B1751" s="1" t="s">
        <v>24</v>
      </c>
      <c r="C1751" s="5">
        <v>45521.0</v>
      </c>
      <c r="D1751" s="1" t="s">
        <v>161</v>
      </c>
      <c r="E1751" s="1" t="s">
        <v>11</v>
      </c>
      <c r="F1751" s="1" t="s">
        <v>166</v>
      </c>
      <c r="H1751" s="1">
        <v>0.0</v>
      </c>
      <c r="I1751" s="1">
        <v>0.0</v>
      </c>
      <c r="J1751" s="1">
        <v>0.0</v>
      </c>
      <c r="K1751" s="1">
        <v>5.0</v>
      </c>
      <c r="L1751" s="1">
        <v>8.0</v>
      </c>
      <c r="M1751" s="1">
        <v>0.625</v>
      </c>
      <c r="N1751" s="1">
        <v>0.0</v>
      </c>
    </row>
    <row r="1752" ht="15.75" customHeight="1">
      <c r="A1752" s="1" t="s">
        <v>164</v>
      </c>
      <c r="B1752" s="1" t="s">
        <v>207</v>
      </c>
      <c r="C1752" s="5">
        <v>45521.0</v>
      </c>
      <c r="D1752" s="1" t="s">
        <v>161</v>
      </c>
      <c r="E1752" s="1" t="s">
        <v>11</v>
      </c>
      <c r="F1752" s="1" t="s">
        <v>166</v>
      </c>
      <c r="H1752" s="1">
        <v>0.0</v>
      </c>
      <c r="I1752" s="1">
        <v>0.0</v>
      </c>
      <c r="J1752" s="1">
        <v>0.0</v>
      </c>
      <c r="K1752" s="1">
        <v>42.0</v>
      </c>
      <c r="L1752" s="1">
        <v>53.0</v>
      </c>
      <c r="M1752" s="1">
        <v>0.79245283</v>
      </c>
      <c r="N1752" s="1">
        <v>0.0</v>
      </c>
    </row>
    <row r="1753" ht="15.75" customHeight="1">
      <c r="A1753" s="1" t="s">
        <v>160</v>
      </c>
      <c r="B1753" s="1" t="s">
        <v>39</v>
      </c>
      <c r="C1753" s="5">
        <v>45520.0</v>
      </c>
      <c r="D1753" s="1" t="s">
        <v>161</v>
      </c>
      <c r="E1753" s="1" t="s">
        <v>11</v>
      </c>
      <c r="F1753" s="1" t="s">
        <v>166</v>
      </c>
      <c r="H1753" s="1">
        <v>0.0</v>
      </c>
      <c r="I1753" s="1">
        <v>0.0</v>
      </c>
      <c r="J1753" s="1">
        <v>0.0</v>
      </c>
      <c r="K1753" s="1">
        <v>1.0</v>
      </c>
      <c r="L1753" s="1">
        <v>3.0</v>
      </c>
      <c r="M1753" s="1">
        <v>0.333333333</v>
      </c>
      <c r="N1753" s="1">
        <v>8.399999619</v>
      </c>
    </row>
    <row r="1754" ht="15.75" customHeight="1">
      <c r="A1754" s="1" t="s">
        <v>160</v>
      </c>
      <c r="B1754" s="1" t="s">
        <v>230</v>
      </c>
      <c r="C1754" s="5">
        <v>45520.0</v>
      </c>
      <c r="D1754" s="1" t="s">
        <v>161</v>
      </c>
      <c r="E1754" s="1" t="s">
        <v>11</v>
      </c>
      <c r="F1754" s="1" t="s">
        <v>165</v>
      </c>
      <c r="H1754" s="1">
        <v>0.0</v>
      </c>
      <c r="I1754" s="1">
        <v>0.0</v>
      </c>
      <c r="J1754" s="1">
        <v>0.0</v>
      </c>
      <c r="K1754" s="1">
        <v>14.0</v>
      </c>
      <c r="L1754" s="1">
        <v>23.0</v>
      </c>
      <c r="M1754" s="1">
        <v>0.608695652</v>
      </c>
      <c r="N1754" s="1">
        <v>32.22999954</v>
      </c>
    </row>
    <row r="1755" ht="15.75" customHeight="1">
      <c r="A1755" s="1" t="s">
        <v>160</v>
      </c>
      <c r="B1755" s="1" t="s">
        <v>65</v>
      </c>
      <c r="C1755" s="5">
        <v>45520.0</v>
      </c>
      <c r="D1755" s="1" t="s">
        <v>161</v>
      </c>
      <c r="E1755" s="1" t="s">
        <v>11</v>
      </c>
      <c r="F1755" s="1" t="s">
        <v>162</v>
      </c>
      <c r="H1755" s="1">
        <v>0.0</v>
      </c>
      <c r="I1755" s="1">
        <v>0.0</v>
      </c>
      <c r="J1755" s="1">
        <v>0.0</v>
      </c>
      <c r="K1755" s="1">
        <v>8.0</v>
      </c>
      <c r="L1755" s="1">
        <v>15.0</v>
      </c>
      <c r="M1755" s="1">
        <v>0.533333333</v>
      </c>
      <c r="N1755" s="1">
        <v>21.21999931</v>
      </c>
    </row>
    <row r="1756" ht="15.75" customHeight="1">
      <c r="A1756" s="1" t="s">
        <v>160</v>
      </c>
      <c r="B1756" s="1" t="s">
        <v>95</v>
      </c>
      <c r="C1756" s="5">
        <v>45520.0</v>
      </c>
      <c r="D1756" s="1" t="s">
        <v>161</v>
      </c>
      <c r="E1756" s="1" t="s">
        <v>11</v>
      </c>
      <c r="H1756" s="1">
        <v>0.0</v>
      </c>
      <c r="J1756" s="1">
        <v>0.0</v>
      </c>
      <c r="N1756" s="1">
        <v>1.720000029</v>
      </c>
    </row>
    <row r="1757" ht="15.75" customHeight="1">
      <c r="A1757" s="1" t="s">
        <v>160</v>
      </c>
      <c r="B1757" s="1" t="s">
        <v>77</v>
      </c>
      <c r="C1757" s="5">
        <v>45520.0</v>
      </c>
      <c r="D1757" s="1" t="s">
        <v>161</v>
      </c>
      <c r="E1757" s="1" t="s">
        <v>11</v>
      </c>
      <c r="F1757" s="1" t="s">
        <v>162</v>
      </c>
      <c r="H1757" s="1">
        <v>0.0</v>
      </c>
      <c r="I1757" s="1">
        <v>0.0</v>
      </c>
      <c r="J1757" s="1">
        <v>0.0</v>
      </c>
      <c r="K1757" s="1">
        <v>29.0</v>
      </c>
      <c r="L1757" s="1">
        <v>61.0</v>
      </c>
      <c r="M1757" s="1">
        <v>0.475409836</v>
      </c>
      <c r="N1757" s="1">
        <v>92.37000275</v>
      </c>
    </row>
    <row r="1758" ht="15.75" customHeight="1">
      <c r="A1758" s="1" t="s">
        <v>160</v>
      </c>
      <c r="B1758" s="1" t="s">
        <v>101</v>
      </c>
      <c r="C1758" s="5">
        <v>45520.0</v>
      </c>
      <c r="D1758" s="1" t="s">
        <v>161</v>
      </c>
      <c r="E1758" s="1" t="s">
        <v>11</v>
      </c>
      <c r="F1758" s="1" t="s">
        <v>162</v>
      </c>
      <c r="H1758" s="1">
        <v>0.0</v>
      </c>
      <c r="I1758" s="1">
        <v>0.0</v>
      </c>
      <c r="J1758" s="1">
        <v>0.0</v>
      </c>
      <c r="K1758" s="1">
        <v>1.0</v>
      </c>
      <c r="L1758" s="1">
        <v>17.0</v>
      </c>
      <c r="M1758" s="1">
        <v>0.058823529</v>
      </c>
      <c r="N1758" s="1">
        <v>16.31999969</v>
      </c>
    </row>
    <row r="1759" ht="15.75" customHeight="1">
      <c r="A1759" s="1" t="s">
        <v>164</v>
      </c>
      <c r="B1759" s="1" t="s">
        <v>22</v>
      </c>
      <c r="C1759" s="5">
        <v>45520.0</v>
      </c>
      <c r="D1759" s="1" t="s">
        <v>161</v>
      </c>
      <c r="E1759" s="1" t="s">
        <v>11</v>
      </c>
      <c r="F1759" s="1" t="s">
        <v>166</v>
      </c>
      <c r="H1759" s="1">
        <v>0.0</v>
      </c>
      <c r="I1759" s="1">
        <v>0.0</v>
      </c>
      <c r="J1759" s="1">
        <v>0.0</v>
      </c>
      <c r="K1759" s="1">
        <v>1.0</v>
      </c>
      <c r="L1759" s="1">
        <v>4.0</v>
      </c>
      <c r="M1759" s="1">
        <v>0.25</v>
      </c>
      <c r="N1759" s="1">
        <v>3.880000114</v>
      </c>
    </row>
    <row r="1760" ht="15.75" customHeight="1">
      <c r="A1760" s="1" t="s">
        <v>164</v>
      </c>
      <c r="B1760" s="1" t="s">
        <v>35</v>
      </c>
      <c r="C1760" s="5">
        <v>45520.0</v>
      </c>
      <c r="D1760" s="1" t="s">
        <v>161</v>
      </c>
      <c r="E1760" s="1" t="s">
        <v>11</v>
      </c>
      <c r="F1760" s="1" t="s">
        <v>166</v>
      </c>
      <c r="H1760" s="1">
        <v>0.0</v>
      </c>
      <c r="I1760" s="1">
        <v>0.0</v>
      </c>
      <c r="J1760" s="1">
        <v>0.0</v>
      </c>
      <c r="K1760" s="1">
        <v>0.0</v>
      </c>
      <c r="L1760" s="1">
        <v>1.0</v>
      </c>
      <c r="M1760" s="1">
        <v>0.0</v>
      </c>
      <c r="N1760" s="1">
        <v>6.510000229</v>
      </c>
    </row>
    <row r="1761" ht="15.75" customHeight="1">
      <c r="A1761" s="1" t="s">
        <v>164</v>
      </c>
      <c r="B1761" s="1" t="s">
        <v>43</v>
      </c>
      <c r="C1761" s="5">
        <v>45520.0</v>
      </c>
      <c r="D1761" s="1" t="s">
        <v>161</v>
      </c>
      <c r="E1761" s="1" t="s">
        <v>11</v>
      </c>
      <c r="F1761" s="1" t="s">
        <v>166</v>
      </c>
      <c r="H1761" s="1">
        <v>0.0</v>
      </c>
      <c r="I1761" s="1">
        <v>0.0</v>
      </c>
      <c r="J1761" s="1">
        <v>0.0</v>
      </c>
      <c r="K1761" s="1">
        <v>14.0</v>
      </c>
      <c r="L1761" s="1">
        <v>46.0</v>
      </c>
      <c r="M1761" s="1">
        <v>0.304347826</v>
      </c>
      <c r="N1761" s="1">
        <v>10.89999962</v>
      </c>
    </row>
    <row r="1762" ht="15.75" customHeight="1">
      <c r="A1762" s="1" t="s">
        <v>164</v>
      </c>
      <c r="B1762" s="1" t="s">
        <v>24</v>
      </c>
      <c r="C1762" s="5">
        <v>45520.0</v>
      </c>
      <c r="D1762" s="1" t="s">
        <v>161</v>
      </c>
      <c r="E1762" s="1" t="s">
        <v>11</v>
      </c>
      <c r="F1762" s="1" t="s">
        <v>162</v>
      </c>
      <c r="H1762" s="1">
        <v>0.0</v>
      </c>
      <c r="I1762" s="1">
        <v>0.0</v>
      </c>
      <c r="J1762" s="1">
        <v>0.0</v>
      </c>
      <c r="K1762" s="1">
        <v>2.0</v>
      </c>
      <c r="L1762" s="1">
        <v>9.0</v>
      </c>
      <c r="M1762" s="1">
        <v>0.222222222</v>
      </c>
      <c r="N1762" s="1">
        <v>10.17000008</v>
      </c>
    </row>
    <row r="1763" ht="15.75" customHeight="1">
      <c r="A1763" s="1" t="s">
        <v>164</v>
      </c>
      <c r="B1763" s="1" t="s">
        <v>24</v>
      </c>
      <c r="C1763" s="5">
        <v>45520.0</v>
      </c>
      <c r="D1763" s="1" t="s">
        <v>161</v>
      </c>
      <c r="E1763" s="1" t="s">
        <v>11</v>
      </c>
      <c r="F1763" s="1" t="s">
        <v>166</v>
      </c>
      <c r="H1763" s="1">
        <v>0.0</v>
      </c>
      <c r="I1763" s="1">
        <v>0.0</v>
      </c>
      <c r="J1763" s="1">
        <v>0.0</v>
      </c>
      <c r="K1763" s="1">
        <v>5.0</v>
      </c>
      <c r="L1763" s="1">
        <v>8.0</v>
      </c>
      <c r="M1763" s="1">
        <v>0.625</v>
      </c>
      <c r="N1763" s="1">
        <v>0.0</v>
      </c>
    </row>
    <row r="1764" ht="15.75" customHeight="1">
      <c r="A1764" s="1" t="s">
        <v>164</v>
      </c>
      <c r="B1764" s="1" t="s">
        <v>207</v>
      </c>
      <c r="C1764" s="5">
        <v>45520.0</v>
      </c>
      <c r="D1764" s="1" t="s">
        <v>161</v>
      </c>
      <c r="E1764" s="1" t="s">
        <v>11</v>
      </c>
      <c r="F1764" s="1" t="s">
        <v>166</v>
      </c>
      <c r="H1764" s="1">
        <v>0.0</v>
      </c>
      <c r="I1764" s="1">
        <v>0.0</v>
      </c>
      <c r="J1764" s="1">
        <v>0.0</v>
      </c>
      <c r="K1764" s="1">
        <v>42.0</v>
      </c>
      <c r="L1764" s="1">
        <v>54.0</v>
      </c>
      <c r="M1764" s="1">
        <v>0.777777778</v>
      </c>
      <c r="N1764" s="1">
        <v>42.93000031</v>
      </c>
    </row>
    <row r="1765" ht="15.75" customHeight="1">
      <c r="A1765" s="1" t="s">
        <v>164</v>
      </c>
      <c r="B1765" s="1" t="s">
        <v>76</v>
      </c>
      <c r="C1765" s="5">
        <v>45520.0</v>
      </c>
      <c r="D1765" s="1" t="s">
        <v>161</v>
      </c>
      <c r="E1765" s="1" t="s">
        <v>11</v>
      </c>
      <c r="H1765" s="1">
        <v>0.0</v>
      </c>
      <c r="J1765" s="1">
        <v>0.0</v>
      </c>
      <c r="N1765" s="1">
        <v>0.100000001</v>
      </c>
    </row>
    <row r="1766" ht="15.75" customHeight="1">
      <c r="A1766" s="1" t="s">
        <v>164</v>
      </c>
      <c r="B1766" s="1" t="s">
        <v>179</v>
      </c>
      <c r="C1766" s="5">
        <v>45520.0</v>
      </c>
      <c r="D1766" s="1" t="s">
        <v>161</v>
      </c>
      <c r="E1766" s="1" t="s">
        <v>11</v>
      </c>
      <c r="F1766" s="1" t="s">
        <v>166</v>
      </c>
      <c r="H1766" s="1">
        <v>0.0</v>
      </c>
      <c r="I1766" s="1">
        <v>0.0</v>
      </c>
      <c r="J1766" s="1">
        <v>0.0</v>
      </c>
      <c r="K1766" s="1">
        <v>8.0</v>
      </c>
      <c r="L1766" s="1">
        <v>24.0</v>
      </c>
      <c r="M1766" s="1">
        <v>0.333333333</v>
      </c>
      <c r="N1766" s="1">
        <v>26.84000015</v>
      </c>
    </row>
    <row r="1767" ht="15.75" customHeight="1">
      <c r="A1767" s="1" t="s">
        <v>164</v>
      </c>
      <c r="B1767" s="1" t="s">
        <v>60</v>
      </c>
      <c r="C1767" s="5">
        <v>45520.0</v>
      </c>
      <c r="D1767" s="1" t="s">
        <v>161</v>
      </c>
      <c r="E1767" s="1" t="s">
        <v>11</v>
      </c>
      <c r="F1767" s="1" t="s">
        <v>166</v>
      </c>
      <c r="H1767" s="1">
        <v>0.0</v>
      </c>
      <c r="I1767" s="1">
        <v>0.0</v>
      </c>
      <c r="J1767" s="1">
        <v>0.0</v>
      </c>
      <c r="K1767" s="1">
        <v>2.0</v>
      </c>
      <c r="L1767" s="1">
        <v>6.0</v>
      </c>
      <c r="M1767" s="1">
        <v>0.333333333</v>
      </c>
      <c r="N1767" s="1">
        <v>13.43000031</v>
      </c>
    </row>
    <row r="1768" ht="15.75" customHeight="1">
      <c r="A1768" s="1" t="s">
        <v>164</v>
      </c>
      <c r="B1768" s="1" t="s">
        <v>63</v>
      </c>
      <c r="C1768" s="5">
        <v>45520.0</v>
      </c>
      <c r="D1768" s="1" t="s">
        <v>161</v>
      </c>
      <c r="E1768" s="1" t="s">
        <v>11</v>
      </c>
      <c r="F1768" s="1" t="s">
        <v>165</v>
      </c>
      <c r="H1768" s="1">
        <v>0.0</v>
      </c>
      <c r="I1768" s="1">
        <v>0.0</v>
      </c>
      <c r="J1768" s="1">
        <v>0.0</v>
      </c>
      <c r="K1768" s="1">
        <v>16.0</v>
      </c>
      <c r="L1768" s="1">
        <v>23.0</v>
      </c>
      <c r="M1768" s="1">
        <v>0.695652174</v>
      </c>
      <c r="N1768" s="1">
        <v>14.76000023</v>
      </c>
    </row>
    <row r="1769" ht="15.75" customHeight="1">
      <c r="A1769" s="1" t="s">
        <v>164</v>
      </c>
      <c r="B1769" s="1" t="s">
        <v>63</v>
      </c>
      <c r="C1769" s="5">
        <v>45520.0</v>
      </c>
      <c r="D1769" s="1" t="s">
        <v>161</v>
      </c>
      <c r="E1769" s="1" t="s">
        <v>11</v>
      </c>
      <c r="F1769" s="1" t="s">
        <v>166</v>
      </c>
      <c r="H1769" s="1">
        <v>0.0</v>
      </c>
      <c r="I1769" s="1">
        <v>0.0</v>
      </c>
      <c r="J1769" s="1">
        <v>0.0</v>
      </c>
      <c r="K1769" s="1">
        <v>2.0</v>
      </c>
      <c r="L1769" s="1">
        <v>18.0</v>
      </c>
      <c r="M1769" s="1">
        <v>0.111111111</v>
      </c>
      <c r="N1769" s="1">
        <v>0.0</v>
      </c>
    </row>
    <row r="1770" ht="15.75" customHeight="1">
      <c r="A1770" s="1" t="s">
        <v>164</v>
      </c>
      <c r="B1770" s="1" t="s">
        <v>183</v>
      </c>
      <c r="C1770" s="5">
        <v>45520.0</v>
      </c>
      <c r="D1770" s="1" t="s">
        <v>161</v>
      </c>
      <c r="E1770" s="1" t="s">
        <v>11</v>
      </c>
      <c r="F1770" s="1" t="s">
        <v>166</v>
      </c>
      <c r="H1770" s="1">
        <v>0.0</v>
      </c>
      <c r="I1770" s="1">
        <v>0.0</v>
      </c>
      <c r="J1770" s="1">
        <v>0.0</v>
      </c>
      <c r="K1770" s="1">
        <v>2.0</v>
      </c>
      <c r="L1770" s="1">
        <v>9.0</v>
      </c>
      <c r="M1770" s="1">
        <v>0.222222222</v>
      </c>
      <c r="N1770" s="1">
        <v>5.6300001139999996</v>
      </c>
    </row>
    <row r="1771" ht="15.75" customHeight="1">
      <c r="A1771" s="1" t="s">
        <v>164</v>
      </c>
      <c r="B1771" s="1" t="s">
        <v>68</v>
      </c>
      <c r="C1771" s="5">
        <v>45520.0</v>
      </c>
      <c r="D1771" s="1" t="s">
        <v>161</v>
      </c>
      <c r="E1771" s="1" t="s">
        <v>11</v>
      </c>
      <c r="F1771" s="1" t="s">
        <v>165</v>
      </c>
      <c r="H1771" s="1">
        <v>0.0</v>
      </c>
      <c r="I1771" s="1">
        <v>0.0</v>
      </c>
      <c r="J1771" s="1">
        <v>0.0</v>
      </c>
      <c r="K1771" s="1">
        <v>1.0</v>
      </c>
      <c r="L1771" s="1">
        <v>9.0</v>
      </c>
      <c r="M1771" s="1">
        <v>0.111111111</v>
      </c>
      <c r="N1771" s="1">
        <v>0.0</v>
      </c>
    </row>
    <row r="1772" ht="15.75" customHeight="1">
      <c r="A1772" s="1" t="s">
        <v>164</v>
      </c>
      <c r="B1772" s="1" t="s">
        <v>68</v>
      </c>
      <c r="C1772" s="5">
        <v>45520.0</v>
      </c>
      <c r="D1772" s="1" t="s">
        <v>161</v>
      </c>
      <c r="E1772" s="1" t="s">
        <v>11</v>
      </c>
      <c r="F1772" s="1" t="s">
        <v>166</v>
      </c>
      <c r="H1772" s="1">
        <v>0.0</v>
      </c>
      <c r="I1772" s="1">
        <v>0.0</v>
      </c>
      <c r="J1772" s="1">
        <v>0.0</v>
      </c>
      <c r="K1772" s="1">
        <v>2.0</v>
      </c>
      <c r="L1772" s="1">
        <v>9.0</v>
      </c>
      <c r="M1772" s="1">
        <v>0.222222222</v>
      </c>
      <c r="N1772" s="1">
        <v>14.38000011</v>
      </c>
    </row>
    <row r="1773" ht="15.75" customHeight="1">
      <c r="A1773" s="1" t="s">
        <v>164</v>
      </c>
      <c r="B1773" s="1" t="s">
        <v>197</v>
      </c>
      <c r="C1773" s="5">
        <v>45520.0</v>
      </c>
      <c r="D1773" s="1" t="s">
        <v>161</v>
      </c>
      <c r="E1773" s="1" t="s">
        <v>11</v>
      </c>
      <c r="F1773" s="1" t="s">
        <v>166</v>
      </c>
      <c r="H1773" s="1">
        <v>0.0</v>
      </c>
      <c r="I1773" s="1">
        <v>0.0</v>
      </c>
      <c r="J1773" s="1">
        <v>0.0</v>
      </c>
      <c r="K1773" s="1">
        <v>2.0</v>
      </c>
      <c r="L1773" s="1">
        <v>3.0</v>
      </c>
      <c r="M1773" s="1">
        <v>0.666666667</v>
      </c>
      <c r="N1773" s="1">
        <v>3.150000095</v>
      </c>
    </row>
    <row r="1774" ht="15.75" customHeight="1">
      <c r="A1774" s="1" t="s">
        <v>164</v>
      </c>
      <c r="B1774" s="1" t="s">
        <v>74</v>
      </c>
      <c r="C1774" s="5">
        <v>45520.0</v>
      </c>
      <c r="D1774" s="1" t="s">
        <v>161</v>
      </c>
      <c r="E1774" s="1" t="s">
        <v>11</v>
      </c>
      <c r="F1774" s="1" t="s">
        <v>166</v>
      </c>
      <c r="H1774" s="1">
        <v>0.0</v>
      </c>
      <c r="I1774" s="1">
        <v>0.0</v>
      </c>
      <c r="J1774" s="1">
        <v>0.0</v>
      </c>
      <c r="K1774" s="1">
        <v>2.0</v>
      </c>
      <c r="L1774" s="1">
        <v>3.0</v>
      </c>
      <c r="M1774" s="1">
        <v>0.666666667</v>
      </c>
      <c r="N1774" s="1">
        <v>14.34000015</v>
      </c>
    </row>
    <row r="1775" ht="15.75" customHeight="1">
      <c r="A1775" s="1" t="s">
        <v>164</v>
      </c>
      <c r="B1775" s="1" t="s">
        <v>205</v>
      </c>
      <c r="C1775" s="5">
        <v>45520.0</v>
      </c>
      <c r="D1775" s="1" t="s">
        <v>161</v>
      </c>
      <c r="E1775" s="1" t="s">
        <v>11</v>
      </c>
      <c r="F1775" s="1" t="s">
        <v>166</v>
      </c>
      <c r="H1775" s="1">
        <v>0.0</v>
      </c>
      <c r="I1775" s="1">
        <v>0.0</v>
      </c>
      <c r="J1775" s="1">
        <v>0.0</v>
      </c>
      <c r="K1775" s="1">
        <v>1.0</v>
      </c>
      <c r="L1775" s="1">
        <v>11.0</v>
      </c>
      <c r="M1775" s="1">
        <v>0.090909091</v>
      </c>
      <c r="N1775" s="1">
        <v>0.0</v>
      </c>
    </row>
    <row r="1776" ht="15.75" customHeight="1">
      <c r="A1776" s="1" t="s">
        <v>164</v>
      </c>
      <c r="B1776" s="1" t="s">
        <v>75</v>
      </c>
      <c r="C1776" s="5">
        <v>45520.0</v>
      </c>
      <c r="D1776" s="1" t="s">
        <v>161</v>
      </c>
      <c r="E1776" s="1" t="s">
        <v>11</v>
      </c>
      <c r="F1776" s="1" t="s">
        <v>165</v>
      </c>
      <c r="H1776" s="1">
        <v>0.0</v>
      </c>
      <c r="I1776" s="1">
        <v>0.0</v>
      </c>
      <c r="J1776" s="1">
        <v>0.0</v>
      </c>
      <c r="K1776" s="1">
        <v>41.0</v>
      </c>
      <c r="L1776" s="1">
        <v>75.0</v>
      </c>
      <c r="M1776" s="1">
        <v>0.546666667</v>
      </c>
      <c r="N1776" s="1">
        <v>12.76000023</v>
      </c>
    </row>
    <row r="1777" ht="15.75" customHeight="1">
      <c r="A1777" s="1" t="s">
        <v>164</v>
      </c>
      <c r="B1777" s="1" t="s">
        <v>265</v>
      </c>
      <c r="C1777" s="5">
        <v>45520.0</v>
      </c>
      <c r="D1777" s="1" t="s">
        <v>161</v>
      </c>
      <c r="E1777" s="1" t="s">
        <v>11</v>
      </c>
      <c r="F1777" s="1" t="s">
        <v>166</v>
      </c>
      <c r="H1777" s="1">
        <v>0.0</v>
      </c>
      <c r="I1777" s="1">
        <v>1.0</v>
      </c>
      <c r="J1777" s="1">
        <v>0.0</v>
      </c>
      <c r="K1777" s="1">
        <v>13.0</v>
      </c>
      <c r="L1777" s="1">
        <v>14.0</v>
      </c>
      <c r="M1777" s="1">
        <v>0.928571429</v>
      </c>
      <c r="N1777" s="1">
        <v>0.0</v>
      </c>
    </row>
    <row r="1778" ht="15.75" customHeight="1">
      <c r="A1778" s="1" t="s">
        <v>164</v>
      </c>
      <c r="B1778" s="1" t="s">
        <v>102</v>
      </c>
      <c r="C1778" s="5">
        <v>45520.0</v>
      </c>
      <c r="D1778" s="1" t="s">
        <v>161</v>
      </c>
      <c r="E1778" s="1" t="s">
        <v>11</v>
      </c>
      <c r="F1778" s="1" t="s">
        <v>165</v>
      </c>
      <c r="H1778" s="1">
        <v>0.0</v>
      </c>
      <c r="I1778" s="1">
        <v>0.0</v>
      </c>
      <c r="J1778" s="1">
        <v>0.0</v>
      </c>
      <c r="K1778" s="1">
        <v>16.0</v>
      </c>
      <c r="L1778" s="1">
        <v>20.0</v>
      </c>
      <c r="M1778" s="1">
        <v>0.8</v>
      </c>
      <c r="N1778" s="1">
        <v>0.0</v>
      </c>
    </row>
    <row r="1779" ht="15.75" customHeight="1">
      <c r="A1779" s="1" t="s">
        <v>164</v>
      </c>
      <c r="B1779" s="1" t="s">
        <v>225</v>
      </c>
      <c r="C1779" s="5">
        <v>45520.0</v>
      </c>
      <c r="D1779" s="1" t="s">
        <v>161</v>
      </c>
      <c r="E1779" s="1" t="s">
        <v>11</v>
      </c>
      <c r="F1779" s="1" t="s">
        <v>166</v>
      </c>
      <c r="H1779" s="1">
        <v>0.0</v>
      </c>
      <c r="I1779" s="1">
        <v>0.0</v>
      </c>
      <c r="J1779" s="1">
        <v>0.0</v>
      </c>
      <c r="K1779" s="1">
        <v>5.0</v>
      </c>
      <c r="L1779" s="1">
        <v>11.0</v>
      </c>
      <c r="M1779" s="1">
        <v>0.454545455</v>
      </c>
      <c r="N1779" s="1">
        <v>0.0</v>
      </c>
    </row>
    <row r="1780" ht="15.75" customHeight="1">
      <c r="A1780" s="1" t="s">
        <v>180</v>
      </c>
      <c r="B1780" s="1" t="s">
        <v>266</v>
      </c>
      <c r="C1780" s="5">
        <v>45520.0</v>
      </c>
      <c r="D1780" s="1" t="s">
        <v>161</v>
      </c>
      <c r="E1780" s="1" t="s">
        <v>11</v>
      </c>
      <c r="F1780" s="1" t="s">
        <v>165</v>
      </c>
      <c r="H1780" s="1">
        <v>0.0</v>
      </c>
      <c r="I1780" s="1">
        <v>0.0</v>
      </c>
      <c r="J1780" s="1">
        <v>0.0</v>
      </c>
      <c r="K1780" s="1">
        <v>55.0</v>
      </c>
      <c r="L1780" s="1">
        <v>97.0</v>
      </c>
      <c r="M1780" s="1">
        <v>0.567010309</v>
      </c>
      <c r="N1780" s="1">
        <v>0.0</v>
      </c>
    </row>
    <row r="1781" ht="15.75" customHeight="1">
      <c r="A1781" s="1" t="s">
        <v>180</v>
      </c>
      <c r="B1781" s="1" t="s">
        <v>239</v>
      </c>
      <c r="C1781" s="5">
        <v>45520.0</v>
      </c>
      <c r="D1781" s="1" t="s">
        <v>161</v>
      </c>
      <c r="E1781" s="1" t="s">
        <v>11</v>
      </c>
      <c r="F1781" s="1" t="s">
        <v>166</v>
      </c>
      <c r="H1781" s="1">
        <v>0.0</v>
      </c>
      <c r="I1781" s="1">
        <v>3.0</v>
      </c>
      <c r="J1781" s="1">
        <v>0.0</v>
      </c>
      <c r="K1781" s="1">
        <v>37.0</v>
      </c>
      <c r="L1781" s="1">
        <v>41.0</v>
      </c>
      <c r="M1781" s="1">
        <v>0.902439024</v>
      </c>
      <c r="N1781" s="1">
        <v>0.0</v>
      </c>
    </row>
    <row r="1782" ht="15.75" customHeight="1">
      <c r="A1782" s="1" t="s">
        <v>180</v>
      </c>
      <c r="B1782" s="1" t="s">
        <v>237</v>
      </c>
      <c r="C1782" s="5">
        <v>45520.0</v>
      </c>
      <c r="D1782" s="1" t="s">
        <v>161</v>
      </c>
      <c r="E1782" s="1" t="s">
        <v>11</v>
      </c>
      <c r="F1782" s="1" t="s">
        <v>165</v>
      </c>
      <c r="H1782" s="1">
        <v>0.0</v>
      </c>
      <c r="I1782" s="1">
        <v>1.0</v>
      </c>
      <c r="J1782" s="1">
        <v>0.0</v>
      </c>
      <c r="K1782" s="1">
        <v>29.0</v>
      </c>
      <c r="L1782" s="1">
        <v>72.0</v>
      </c>
      <c r="M1782" s="1">
        <v>0.402777778</v>
      </c>
      <c r="N1782" s="1">
        <v>0.07</v>
      </c>
    </row>
    <row r="1783" ht="15.75" customHeight="1">
      <c r="A1783" s="1" t="s">
        <v>180</v>
      </c>
      <c r="B1783" s="1" t="s">
        <v>267</v>
      </c>
      <c r="C1783" s="5">
        <v>45520.0</v>
      </c>
      <c r="D1783" s="1" t="s">
        <v>161</v>
      </c>
      <c r="E1783" s="1" t="s">
        <v>11</v>
      </c>
      <c r="F1783" s="1" t="s">
        <v>166</v>
      </c>
      <c r="H1783" s="1">
        <v>0.0</v>
      </c>
      <c r="I1783" s="1">
        <v>0.0</v>
      </c>
      <c r="J1783" s="1">
        <v>0.0</v>
      </c>
      <c r="K1783" s="1">
        <v>15.0</v>
      </c>
      <c r="L1783" s="1">
        <v>19.0</v>
      </c>
      <c r="M1783" s="1">
        <v>0.789473684</v>
      </c>
      <c r="N1783" s="1">
        <v>0.0</v>
      </c>
    </row>
    <row r="1784" ht="15.75" customHeight="1">
      <c r="A1784" s="1" t="s">
        <v>180</v>
      </c>
      <c r="B1784" s="1" t="s">
        <v>268</v>
      </c>
      <c r="C1784" s="5">
        <v>45520.0</v>
      </c>
      <c r="D1784" s="1" t="s">
        <v>161</v>
      </c>
      <c r="E1784" s="1" t="s">
        <v>11</v>
      </c>
      <c r="F1784" s="1" t="s">
        <v>165</v>
      </c>
      <c r="H1784" s="1">
        <v>0.0</v>
      </c>
      <c r="I1784" s="1">
        <v>0.0</v>
      </c>
      <c r="J1784" s="1">
        <v>0.0</v>
      </c>
      <c r="K1784" s="1">
        <v>0.0</v>
      </c>
      <c r="L1784" s="1">
        <v>1.0</v>
      </c>
      <c r="M1784" s="1">
        <v>0.0</v>
      </c>
      <c r="N1784" s="1">
        <v>0.0</v>
      </c>
    </row>
    <row r="1785" ht="15.75" customHeight="1">
      <c r="A1785" s="1" t="s">
        <v>180</v>
      </c>
      <c r="B1785" s="1" t="s">
        <v>269</v>
      </c>
      <c r="C1785" s="5">
        <v>45520.0</v>
      </c>
      <c r="D1785" s="1" t="s">
        <v>161</v>
      </c>
      <c r="E1785" s="1" t="s">
        <v>11</v>
      </c>
      <c r="F1785" s="1" t="s">
        <v>165</v>
      </c>
      <c r="H1785" s="1">
        <v>0.0</v>
      </c>
      <c r="I1785" s="1">
        <v>0.0</v>
      </c>
      <c r="J1785" s="1">
        <v>0.0</v>
      </c>
      <c r="K1785" s="1">
        <v>5.0</v>
      </c>
      <c r="L1785" s="1">
        <v>9.0</v>
      </c>
      <c r="M1785" s="1">
        <v>0.555555556</v>
      </c>
      <c r="N1785" s="1">
        <v>0.0</v>
      </c>
    </row>
    <row r="1786" ht="15.75" customHeight="1">
      <c r="A1786" s="1" t="s">
        <v>160</v>
      </c>
      <c r="B1786" s="1" t="s">
        <v>54</v>
      </c>
      <c r="C1786" s="5">
        <v>45519.0</v>
      </c>
      <c r="D1786" s="1" t="s">
        <v>161</v>
      </c>
      <c r="E1786" s="1" t="s">
        <v>11</v>
      </c>
      <c r="H1786" s="1">
        <v>0.0</v>
      </c>
      <c r="J1786" s="1">
        <v>0.0</v>
      </c>
      <c r="N1786" s="1">
        <v>0.270000011</v>
      </c>
    </row>
    <row r="1787" ht="15.75" customHeight="1">
      <c r="A1787" s="1" t="s">
        <v>160</v>
      </c>
      <c r="B1787" s="1" t="s">
        <v>230</v>
      </c>
      <c r="C1787" s="5">
        <v>45519.0</v>
      </c>
      <c r="D1787" s="1" t="s">
        <v>161</v>
      </c>
      <c r="E1787" s="1" t="s">
        <v>11</v>
      </c>
      <c r="F1787" s="1" t="s">
        <v>165</v>
      </c>
      <c r="H1787" s="1">
        <v>0.0</v>
      </c>
      <c r="I1787" s="1">
        <v>0.0</v>
      </c>
      <c r="J1787" s="1">
        <v>0.0</v>
      </c>
      <c r="K1787" s="1">
        <v>36.0</v>
      </c>
      <c r="L1787" s="1">
        <v>63.0</v>
      </c>
      <c r="M1787" s="1">
        <v>0.571428571</v>
      </c>
      <c r="N1787" s="1">
        <v>73.22000122</v>
      </c>
    </row>
    <row r="1788" ht="15.75" customHeight="1">
      <c r="A1788" s="1" t="s">
        <v>160</v>
      </c>
      <c r="B1788" s="1" t="s">
        <v>65</v>
      </c>
      <c r="C1788" s="5">
        <v>45519.0</v>
      </c>
      <c r="D1788" s="1" t="s">
        <v>161</v>
      </c>
      <c r="E1788" s="1" t="s">
        <v>11</v>
      </c>
      <c r="F1788" s="1" t="s">
        <v>162</v>
      </c>
      <c r="H1788" s="1">
        <v>0.0</v>
      </c>
      <c r="I1788" s="1">
        <v>0.0</v>
      </c>
      <c r="J1788" s="1">
        <v>0.0</v>
      </c>
      <c r="K1788" s="1">
        <v>0.0</v>
      </c>
      <c r="L1788" s="1">
        <v>16.0</v>
      </c>
      <c r="M1788" s="1">
        <v>0.0</v>
      </c>
      <c r="N1788" s="1">
        <v>0.0</v>
      </c>
    </row>
    <row r="1789" ht="15.75" customHeight="1">
      <c r="A1789" s="1" t="s">
        <v>160</v>
      </c>
      <c r="B1789" s="1" t="s">
        <v>77</v>
      </c>
      <c r="C1789" s="5">
        <v>45519.0</v>
      </c>
      <c r="D1789" s="1" t="s">
        <v>161</v>
      </c>
      <c r="E1789" s="1" t="s">
        <v>11</v>
      </c>
      <c r="H1789" s="1">
        <v>0.0</v>
      </c>
      <c r="J1789" s="1">
        <v>0.0</v>
      </c>
      <c r="N1789" s="1">
        <v>0.349999994</v>
      </c>
    </row>
    <row r="1790" ht="15.75" customHeight="1">
      <c r="A1790" s="1" t="s">
        <v>164</v>
      </c>
      <c r="B1790" s="1" t="s">
        <v>35</v>
      </c>
      <c r="C1790" s="5">
        <v>45519.0</v>
      </c>
      <c r="D1790" s="1" t="s">
        <v>161</v>
      </c>
      <c r="E1790" s="1" t="s">
        <v>11</v>
      </c>
      <c r="F1790" s="1" t="s">
        <v>162</v>
      </c>
      <c r="H1790" s="1">
        <v>0.0</v>
      </c>
      <c r="I1790" s="1">
        <v>0.0</v>
      </c>
      <c r="J1790" s="1">
        <v>0.0</v>
      </c>
      <c r="K1790" s="1">
        <v>0.0</v>
      </c>
      <c r="L1790" s="1">
        <v>1.0</v>
      </c>
      <c r="M1790" s="1">
        <v>0.0</v>
      </c>
      <c r="N1790" s="1">
        <v>0.0</v>
      </c>
    </row>
    <row r="1791" ht="15.75" customHeight="1">
      <c r="A1791" s="1" t="s">
        <v>164</v>
      </c>
      <c r="B1791" s="1" t="s">
        <v>43</v>
      </c>
      <c r="C1791" s="5">
        <v>45519.0</v>
      </c>
      <c r="D1791" s="1" t="s">
        <v>161</v>
      </c>
      <c r="E1791" s="1" t="s">
        <v>11</v>
      </c>
      <c r="F1791" s="1" t="s">
        <v>165</v>
      </c>
      <c r="H1791" s="1">
        <v>0.0</v>
      </c>
      <c r="I1791" s="1">
        <v>0.0</v>
      </c>
      <c r="J1791" s="1">
        <v>0.0</v>
      </c>
      <c r="K1791" s="1">
        <v>0.0</v>
      </c>
      <c r="L1791" s="1">
        <v>0.0</v>
      </c>
      <c r="N1791" s="1">
        <v>0.0</v>
      </c>
    </row>
    <row r="1792" ht="15.75" customHeight="1">
      <c r="A1792" s="1" t="s">
        <v>164</v>
      </c>
      <c r="B1792" s="1" t="s">
        <v>43</v>
      </c>
      <c r="C1792" s="5">
        <v>45519.0</v>
      </c>
      <c r="D1792" s="1" t="s">
        <v>161</v>
      </c>
      <c r="E1792" s="1" t="s">
        <v>11</v>
      </c>
      <c r="F1792" s="1" t="s">
        <v>166</v>
      </c>
      <c r="H1792" s="1">
        <v>0.0</v>
      </c>
      <c r="I1792" s="1">
        <v>0.0</v>
      </c>
      <c r="J1792" s="1">
        <v>0.0</v>
      </c>
      <c r="K1792" s="1">
        <v>0.0</v>
      </c>
      <c r="L1792" s="1">
        <v>2.0</v>
      </c>
      <c r="M1792" s="1">
        <v>0.0</v>
      </c>
      <c r="N1792" s="1">
        <v>55.66999817</v>
      </c>
    </row>
    <row r="1793" ht="15.75" customHeight="1">
      <c r="A1793" s="1" t="s">
        <v>164</v>
      </c>
      <c r="B1793" s="1" t="s">
        <v>24</v>
      </c>
      <c r="C1793" s="5">
        <v>45519.0</v>
      </c>
      <c r="D1793" s="1" t="s">
        <v>161</v>
      </c>
      <c r="E1793" s="1" t="s">
        <v>11</v>
      </c>
      <c r="H1793" s="1">
        <v>0.0</v>
      </c>
      <c r="J1793" s="1">
        <v>0.0</v>
      </c>
      <c r="N1793" s="1">
        <v>11.48999977</v>
      </c>
    </row>
    <row r="1794" ht="15.75" customHeight="1">
      <c r="A1794" s="1" t="s">
        <v>164</v>
      </c>
      <c r="B1794" s="1" t="s">
        <v>207</v>
      </c>
      <c r="C1794" s="5">
        <v>45519.0</v>
      </c>
      <c r="D1794" s="1" t="s">
        <v>161</v>
      </c>
      <c r="E1794" s="1" t="s">
        <v>11</v>
      </c>
      <c r="F1794" s="1" t="s">
        <v>166</v>
      </c>
      <c r="H1794" s="1">
        <v>0.0</v>
      </c>
      <c r="I1794" s="1">
        <v>0.0</v>
      </c>
      <c r="J1794" s="1">
        <v>0.0</v>
      </c>
      <c r="K1794" s="1">
        <v>4.0</v>
      </c>
      <c r="L1794" s="1">
        <v>7.0</v>
      </c>
      <c r="M1794" s="1">
        <v>0.571428571</v>
      </c>
      <c r="N1794" s="1">
        <v>26.54999924</v>
      </c>
    </row>
    <row r="1795" ht="15.75" customHeight="1">
      <c r="A1795" s="1" t="s">
        <v>164</v>
      </c>
      <c r="B1795" s="1" t="s">
        <v>55</v>
      </c>
      <c r="C1795" s="5">
        <v>45519.0</v>
      </c>
      <c r="D1795" s="1" t="s">
        <v>161</v>
      </c>
      <c r="E1795" s="1" t="s">
        <v>11</v>
      </c>
      <c r="F1795" s="1" t="s">
        <v>165</v>
      </c>
      <c r="H1795" s="1">
        <v>0.0</v>
      </c>
      <c r="I1795" s="1">
        <v>0.0</v>
      </c>
      <c r="J1795" s="1">
        <v>0.0</v>
      </c>
      <c r="K1795" s="1">
        <v>13.0</v>
      </c>
      <c r="L1795" s="1">
        <v>18.0</v>
      </c>
      <c r="M1795" s="1">
        <v>0.722222222</v>
      </c>
      <c r="N1795" s="1">
        <v>0.0</v>
      </c>
    </row>
    <row r="1796" ht="15.75" customHeight="1">
      <c r="A1796" s="1" t="s">
        <v>164</v>
      </c>
      <c r="B1796" s="1" t="s">
        <v>55</v>
      </c>
      <c r="C1796" s="5">
        <v>45519.0</v>
      </c>
      <c r="D1796" s="1" t="s">
        <v>161</v>
      </c>
      <c r="E1796" s="1" t="s">
        <v>11</v>
      </c>
      <c r="F1796" s="1" t="s">
        <v>166</v>
      </c>
      <c r="H1796" s="1">
        <v>0.0</v>
      </c>
      <c r="I1796" s="1">
        <v>0.0</v>
      </c>
      <c r="J1796" s="1">
        <v>0.0</v>
      </c>
      <c r="K1796" s="1">
        <v>3.0</v>
      </c>
      <c r="L1796" s="1">
        <v>23.0</v>
      </c>
      <c r="M1796" s="1">
        <v>0.130434783</v>
      </c>
      <c r="N1796" s="1">
        <v>20.75</v>
      </c>
    </row>
    <row r="1797" ht="15.75" customHeight="1">
      <c r="A1797" s="1" t="s">
        <v>164</v>
      </c>
      <c r="B1797" s="1" t="s">
        <v>199</v>
      </c>
      <c r="C1797" s="5">
        <v>45519.0</v>
      </c>
      <c r="D1797" s="1" t="s">
        <v>161</v>
      </c>
      <c r="E1797" s="1" t="s">
        <v>11</v>
      </c>
      <c r="F1797" s="1" t="s">
        <v>162</v>
      </c>
      <c r="H1797" s="1">
        <v>0.0</v>
      </c>
      <c r="I1797" s="1">
        <v>0.0</v>
      </c>
      <c r="J1797" s="1">
        <v>0.0</v>
      </c>
      <c r="K1797" s="1">
        <v>7.0</v>
      </c>
      <c r="L1797" s="1">
        <v>11.0</v>
      </c>
      <c r="M1797" s="1">
        <v>0.636363636</v>
      </c>
      <c r="N1797" s="1">
        <v>15.81999969</v>
      </c>
    </row>
    <row r="1798" ht="15.75" customHeight="1">
      <c r="A1798" s="1" t="s">
        <v>164</v>
      </c>
      <c r="B1798" s="1" t="s">
        <v>76</v>
      </c>
      <c r="C1798" s="5">
        <v>45519.0</v>
      </c>
      <c r="D1798" s="1" t="s">
        <v>161</v>
      </c>
      <c r="E1798" s="1" t="s">
        <v>11</v>
      </c>
      <c r="H1798" s="1">
        <v>0.0</v>
      </c>
      <c r="J1798" s="1">
        <v>0.0</v>
      </c>
      <c r="N1798" s="1">
        <v>1.590000033</v>
      </c>
    </row>
    <row r="1799" ht="15.75" customHeight="1">
      <c r="A1799" s="1" t="s">
        <v>164</v>
      </c>
      <c r="B1799" s="1" t="s">
        <v>81</v>
      </c>
      <c r="C1799" s="5">
        <v>45519.0</v>
      </c>
      <c r="D1799" s="1" t="s">
        <v>161</v>
      </c>
      <c r="E1799" s="1" t="s">
        <v>11</v>
      </c>
      <c r="F1799" s="1" t="s">
        <v>162</v>
      </c>
      <c r="H1799" s="1">
        <v>0.0</v>
      </c>
      <c r="I1799" s="1">
        <v>0.0</v>
      </c>
      <c r="J1799" s="1">
        <v>0.0</v>
      </c>
      <c r="K1799" s="1">
        <v>0.0</v>
      </c>
      <c r="L1799" s="1">
        <v>0.0</v>
      </c>
      <c r="N1799" s="1">
        <v>0.0</v>
      </c>
    </row>
    <row r="1800" ht="15.75" customHeight="1">
      <c r="A1800" s="1" t="s">
        <v>164</v>
      </c>
      <c r="B1800" s="1" t="s">
        <v>179</v>
      </c>
      <c r="C1800" s="5">
        <v>45519.0</v>
      </c>
      <c r="D1800" s="1" t="s">
        <v>161</v>
      </c>
      <c r="E1800" s="1" t="s">
        <v>11</v>
      </c>
      <c r="H1800" s="1">
        <v>0.0</v>
      </c>
      <c r="J1800" s="1">
        <v>0.0</v>
      </c>
      <c r="N1800" s="1">
        <v>0.170000002</v>
      </c>
    </row>
    <row r="1801" ht="15.75" customHeight="1">
      <c r="A1801" s="1" t="s">
        <v>164</v>
      </c>
      <c r="B1801" s="1" t="s">
        <v>60</v>
      </c>
      <c r="C1801" s="5">
        <v>45519.0</v>
      </c>
      <c r="D1801" s="1" t="s">
        <v>161</v>
      </c>
      <c r="E1801" s="1" t="s">
        <v>11</v>
      </c>
      <c r="F1801" s="1" t="s">
        <v>162</v>
      </c>
      <c r="H1801" s="1">
        <v>0.0</v>
      </c>
      <c r="I1801" s="1">
        <v>0.0</v>
      </c>
      <c r="J1801" s="1">
        <v>0.0</v>
      </c>
      <c r="K1801" s="1">
        <v>2.0</v>
      </c>
      <c r="L1801" s="1">
        <v>4.0</v>
      </c>
      <c r="M1801" s="1">
        <v>0.5</v>
      </c>
      <c r="N1801" s="1">
        <v>0.0</v>
      </c>
    </row>
    <row r="1802" ht="15.75" customHeight="1">
      <c r="A1802" s="1" t="s">
        <v>164</v>
      </c>
      <c r="B1802" s="1" t="s">
        <v>63</v>
      </c>
      <c r="C1802" s="5">
        <v>45519.0</v>
      </c>
      <c r="D1802" s="1" t="s">
        <v>161</v>
      </c>
      <c r="E1802" s="1" t="s">
        <v>11</v>
      </c>
      <c r="F1802" s="1" t="s">
        <v>165</v>
      </c>
      <c r="H1802" s="1">
        <v>0.0</v>
      </c>
      <c r="I1802" s="1">
        <v>0.0</v>
      </c>
      <c r="J1802" s="1">
        <v>0.0</v>
      </c>
      <c r="K1802" s="1">
        <v>6.0</v>
      </c>
      <c r="L1802" s="1">
        <v>34.0</v>
      </c>
      <c r="M1802" s="1">
        <v>0.176470588</v>
      </c>
      <c r="N1802" s="1">
        <v>14.47999954</v>
      </c>
    </row>
    <row r="1803" ht="15.75" customHeight="1">
      <c r="A1803" s="1" t="s">
        <v>164</v>
      </c>
      <c r="B1803" s="1" t="s">
        <v>183</v>
      </c>
      <c r="C1803" s="5">
        <v>45519.0</v>
      </c>
      <c r="D1803" s="1" t="s">
        <v>161</v>
      </c>
      <c r="E1803" s="1" t="s">
        <v>11</v>
      </c>
      <c r="F1803" s="1" t="s">
        <v>165</v>
      </c>
      <c r="H1803" s="1">
        <v>0.0</v>
      </c>
      <c r="I1803" s="1">
        <v>1.0</v>
      </c>
      <c r="J1803" s="1">
        <v>0.0</v>
      </c>
      <c r="K1803" s="1">
        <v>12.0</v>
      </c>
      <c r="L1803" s="1">
        <v>12.0</v>
      </c>
      <c r="M1803" s="1">
        <v>1.0</v>
      </c>
      <c r="N1803" s="1">
        <v>12.64000034</v>
      </c>
    </row>
    <row r="1804" ht="15.75" customHeight="1">
      <c r="A1804" s="1" t="s">
        <v>164</v>
      </c>
      <c r="B1804" s="1" t="s">
        <v>183</v>
      </c>
      <c r="C1804" s="5">
        <v>45519.0</v>
      </c>
      <c r="D1804" s="1" t="s">
        <v>161</v>
      </c>
      <c r="E1804" s="1" t="s">
        <v>11</v>
      </c>
      <c r="F1804" s="1" t="s">
        <v>166</v>
      </c>
      <c r="H1804" s="1">
        <v>0.0</v>
      </c>
      <c r="I1804" s="1">
        <v>0.0</v>
      </c>
      <c r="J1804" s="1">
        <v>0.0</v>
      </c>
      <c r="K1804" s="1">
        <v>0.0</v>
      </c>
      <c r="L1804" s="1">
        <v>0.0</v>
      </c>
      <c r="N1804" s="1">
        <v>0.0</v>
      </c>
    </row>
    <row r="1805" ht="15.75" customHeight="1">
      <c r="A1805" s="1" t="s">
        <v>164</v>
      </c>
      <c r="B1805" s="1" t="s">
        <v>68</v>
      </c>
      <c r="C1805" s="5">
        <v>45519.0</v>
      </c>
      <c r="D1805" s="1" t="s">
        <v>161</v>
      </c>
      <c r="E1805" s="1" t="s">
        <v>11</v>
      </c>
      <c r="F1805" s="1" t="s">
        <v>165</v>
      </c>
      <c r="H1805" s="1">
        <v>0.0</v>
      </c>
      <c r="I1805" s="1">
        <v>0.0</v>
      </c>
      <c r="J1805" s="1">
        <v>0.0</v>
      </c>
      <c r="K1805" s="1">
        <v>1.0</v>
      </c>
      <c r="L1805" s="1">
        <v>6.0</v>
      </c>
      <c r="M1805" s="1">
        <v>0.166666667</v>
      </c>
      <c r="N1805" s="1">
        <v>13.17000008</v>
      </c>
    </row>
    <row r="1806" ht="15.75" customHeight="1">
      <c r="A1806" s="1" t="s">
        <v>164</v>
      </c>
      <c r="B1806" s="1" t="s">
        <v>197</v>
      </c>
      <c r="C1806" s="5">
        <v>45519.0</v>
      </c>
      <c r="D1806" s="1" t="s">
        <v>161</v>
      </c>
      <c r="E1806" s="1" t="s">
        <v>11</v>
      </c>
      <c r="F1806" s="1" t="s">
        <v>168</v>
      </c>
      <c r="H1806" s="1">
        <v>0.0</v>
      </c>
      <c r="I1806" s="1">
        <v>0.0</v>
      </c>
      <c r="J1806" s="1">
        <v>0.0</v>
      </c>
      <c r="K1806" s="1">
        <v>0.0</v>
      </c>
      <c r="L1806" s="1">
        <v>1.0</v>
      </c>
      <c r="M1806" s="1">
        <v>0.0</v>
      </c>
      <c r="N1806" s="1">
        <v>0.0</v>
      </c>
    </row>
    <row r="1807" ht="15.75" customHeight="1">
      <c r="A1807" s="1" t="s">
        <v>164</v>
      </c>
      <c r="B1807" s="1" t="s">
        <v>74</v>
      </c>
      <c r="C1807" s="5">
        <v>45519.0</v>
      </c>
      <c r="D1807" s="1" t="s">
        <v>161</v>
      </c>
      <c r="E1807" s="1" t="s">
        <v>11</v>
      </c>
      <c r="F1807" s="1" t="s">
        <v>166</v>
      </c>
      <c r="H1807" s="1">
        <v>0.0</v>
      </c>
      <c r="I1807" s="1">
        <v>0.0</v>
      </c>
      <c r="J1807" s="1">
        <v>0.0</v>
      </c>
      <c r="K1807" s="1">
        <v>3.0</v>
      </c>
      <c r="L1807" s="1">
        <v>6.0</v>
      </c>
      <c r="M1807" s="1">
        <v>0.5</v>
      </c>
      <c r="N1807" s="1">
        <v>12.53999996</v>
      </c>
    </row>
    <row r="1808" ht="15.75" customHeight="1">
      <c r="A1808" s="1" t="s">
        <v>164</v>
      </c>
      <c r="B1808" s="1" t="s">
        <v>205</v>
      </c>
      <c r="C1808" s="5">
        <v>45519.0</v>
      </c>
      <c r="D1808" s="1" t="s">
        <v>161</v>
      </c>
      <c r="E1808" s="1" t="s">
        <v>11</v>
      </c>
      <c r="F1808" s="1" t="s">
        <v>165</v>
      </c>
      <c r="H1808" s="1">
        <v>0.0</v>
      </c>
      <c r="I1808" s="1">
        <v>0.0</v>
      </c>
      <c r="J1808" s="1">
        <v>0.0</v>
      </c>
      <c r="K1808" s="1">
        <v>8.0</v>
      </c>
      <c r="L1808" s="1">
        <v>11.0</v>
      </c>
      <c r="M1808" s="1">
        <v>0.727272727</v>
      </c>
      <c r="N1808" s="1">
        <v>18.94000053</v>
      </c>
    </row>
    <row r="1809" ht="15.75" customHeight="1">
      <c r="A1809" s="1" t="s">
        <v>164</v>
      </c>
      <c r="B1809" s="1" t="s">
        <v>75</v>
      </c>
      <c r="C1809" s="5">
        <v>45519.0</v>
      </c>
      <c r="D1809" s="1" t="s">
        <v>161</v>
      </c>
      <c r="E1809" s="1" t="s">
        <v>11</v>
      </c>
      <c r="F1809" s="1" t="s">
        <v>165</v>
      </c>
      <c r="H1809" s="1">
        <v>0.0</v>
      </c>
      <c r="I1809" s="1">
        <v>0.0</v>
      </c>
      <c r="J1809" s="1">
        <v>0.0</v>
      </c>
      <c r="K1809" s="1">
        <v>9.0</v>
      </c>
      <c r="L1809" s="1">
        <v>20.0</v>
      </c>
      <c r="M1809" s="1">
        <v>0.45</v>
      </c>
      <c r="N1809" s="1">
        <v>16.42000008</v>
      </c>
    </row>
    <row r="1810" ht="15.75" customHeight="1">
      <c r="A1810" s="1" t="s">
        <v>164</v>
      </c>
      <c r="B1810" s="1" t="s">
        <v>265</v>
      </c>
      <c r="C1810" s="5">
        <v>45519.0</v>
      </c>
      <c r="D1810" s="1" t="s">
        <v>161</v>
      </c>
      <c r="E1810" s="1" t="s">
        <v>11</v>
      </c>
      <c r="F1810" s="1" t="s">
        <v>166</v>
      </c>
      <c r="H1810" s="1">
        <v>0.0</v>
      </c>
      <c r="I1810" s="1">
        <v>0.0</v>
      </c>
      <c r="J1810" s="1">
        <v>0.0</v>
      </c>
      <c r="K1810" s="1">
        <v>10.0</v>
      </c>
      <c r="L1810" s="1">
        <v>12.0</v>
      </c>
      <c r="M1810" s="1">
        <v>0.833333333</v>
      </c>
      <c r="N1810" s="1">
        <v>14.59000015</v>
      </c>
    </row>
    <row r="1811" ht="15.75" customHeight="1">
      <c r="A1811" s="1" t="s">
        <v>164</v>
      </c>
      <c r="B1811" s="1" t="s">
        <v>102</v>
      </c>
      <c r="C1811" s="5">
        <v>45519.0</v>
      </c>
      <c r="D1811" s="1" t="s">
        <v>161</v>
      </c>
      <c r="E1811" s="1" t="s">
        <v>11</v>
      </c>
      <c r="G1811" s="1" t="s">
        <v>172</v>
      </c>
      <c r="H1811" s="1">
        <v>1.0</v>
      </c>
      <c r="J1811" s="1">
        <v>0.0</v>
      </c>
      <c r="N1811" s="1">
        <v>9.289999962</v>
      </c>
    </row>
    <row r="1812" ht="15.75" customHeight="1">
      <c r="A1812" s="1" t="s">
        <v>164</v>
      </c>
      <c r="B1812" s="1" t="s">
        <v>225</v>
      </c>
      <c r="C1812" s="5">
        <v>45519.0</v>
      </c>
      <c r="D1812" s="1" t="s">
        <v>161</v>
      </c>
      <c r="E1812" s="1" t="s">
        <v>11</v>
      </c>
      <c r="H1812" s="1">
        <v>0.0</v>
      </c>
      <c r="J1812" s="1">
        <v>0.0</v>
      </c>
      <c r="N1812" s="1">
        <v>8.859999657</v>
      </c>
    </row>
    <row r="1813" ht="15.75" customHeight="1">
      <c r="A1813" s="1" t="s">
        <v>180</v>
      </c>
      <c r="B1813" s="1" t="s">
        <v>266</v>
      </c>
      <c r="C1813" s="5">
        <v>45519.0</v>
      </c>
      <c r="D1813" s="1" t="s">
        <v>161</v>
      </c>
      <c r="E1813" s="1" t="s">
        <v>11</v>
      </c>
      <c r="F1813" s="1" t="s">
        <v>165</v>
      </c>
      <c r="G1813" s="1" t="s">
        <v>270</v>
      </c>
      <c r="H1813" s="1">
        <v>3.0</v>
      </c>
      <c r="I1813" s="1">
        <v>0.0</v>
      </c>
      <c r="J1813" s="1">
        <v>0.0</v>
      </c>
      <c r="K1813" s="1">
        <v>18.0</v>
      </c>
      <c r="L1813" s="1">
        <v>23.0</v>
      </c>
      <c r="M1813" s="1">
        <v>0.782608696</v>
      </c>
      <c r="N1813" s="1">
        <v>34.31999969</v>
      </c>
    </row>
    <row r="1814" ht="15.75" customHeight="1">
      <c r="A1814" s="1" t="s">
        <v>180</v>
      </c>
      <c r="B1814" s="1" t="s">
        <v>208</v>
      </c>
      <c r="C1814" s="5">
        <v>45519.0</v>
      </c>
      <c r="D1814" s="1" t="s">
        <v>161</v>
      </c>
      <c r="E1814" s="1" t="s">
        <v>11</v>
      </c>
      <c r="F1814" s="1" t="s">
        <v>166</v>
      </c>
      <c r="H1814" s="1">
        <v>0.0</v>
      </c>
      <c r="I1814" s="1">
        <v>0.0</v>
      </c>
      <c r="J1814" s="1">
        <v>0.0</v>
      </c>
      <c r="K1814" s="1">
        <v>1.0</v>
      </c>
      <c r="L1814" s="1">
        <v>2.0</v>
      </c>
      <c r="M1814" s="1">
        <v>0.5</v>
      </c>
      <c r="N1814" s="1">
        <v>5.539999962</v>
      </c>
    </row>
    <row r="1815" ht="15.75" customHeight="1">
      <c r="A1815" s="1" t="s">
        <v>180</v>
      </c>
      <c r="B1815" s="1" t="s">
        <v>45</v>
      </c>
      <c r="C1815" s="5">
        <v>45519.0</v>
      </c>
      <c r="D1815" s="1" t="s">
        <v>161</v>
      </c>
      <c r="E1815" s="1" t="s">
        <v>11</v>
      </c>
      <c r="H1815" s="1">
        <v>0.0</v>
      </c>
      <c r="J1815" s="1">
        <v>0.0</v>
      </c>
      <c r="N1815" s="1">
        <v>0.569999993</v>
      </c>
    </row>
    <row r="1816" ht="15.75" customHeight="1">
      <c r="A1816" s="1" t="s">
        <v>180</v>
      </c>
      <c r="B1816" s="1" t="s">
        <v>271</v>
      </c>
      <c r="C1816" s="5">
        <v>45519.0</v>
      </c>
      <c r="D1816" s="1" t="s">
        <v>161</v>
      </c>
      <c r="E1816" s="1" t="s">
        <v>11</v>
      </c>
      <c r="F1816" s="1" t="s">
        <v>165</v>
      </c>
      <c r="G1816" s="1" t="s">
        <v>200</v>
      </c>
      <c r="H1816" s="1">
        <v>2.0</v>
      </c>
      <c r="I1816" s="1">
        <v>1.0</v>
      </c>
      <c r="J1816" s="1">
        <v>0.0</v>
      </c>
      <c r="K1816" s="1">
        <v>24.0</v>
      </c>
      <c r="L1816" s="1">
        <v>30.0</v>
      </c>
      <c r="M1816" s="1">
        <v>0.8</v>
      </c>
      <c r="N1816" s="1">
        <v>8.75</v>
      </c>
    </row>
    <row r="1817" ht="15.75" customHeight="1">
      <c r="A1817" s="1" t="s">
        <v>180</v>
      </c>
      <c r="B1817" s="1" t="s">
        <v>272</v>
      </c>
      <c r="C1817" s="5">
        <v>45519.0</v>
      </c>
      <c r="D1817" s="1" t="s">
        <v>161</v>
      </c>
      <c r="E1817" s="1" t="s">
        <v>11</v>
      </c>
      <c r="F1817" s="1" t="s">
        <v>165</v>
      </c>
      <c r="H1817" s="1">
        <v>0.0</v>
      </c>
      <c r="I1817" s="1">
        <v>2.0</v>
      </c>
      <c r="J1817" s="1">
        <v>0.0</v>
      </c>
      <c r="K1817" s="1">
        <v>41.0</v>
      </c>
      <c r="L1817" s="1">
        <v>53.0</v>
      </c>
      <c r="M1817" s="1">
        <v>0.773584906</v>
      </c>
      <c r="N1817" s="1">
        <v>9.119999886</v>
      </c>
    </row>
    <row r="1818" ht="15.75" customHeight="1">
      <c r="A1818" s="1" t="s">
        <v>180</v>
      </c>
      <c r="B1818" s="1" t="s">
        <v>273</v>
      </c>
      <c r="C1818" s="5">
        <v>45519.0</v>
      </c>
      <c r="D1818" s="1" t="s">
        <v>161</v>
      </c>
      <c r="E1818" s="1" t="s">
        <v>11</v>
      </c>
      <c r="F1818" s="1" t="s">
        <v>165</v>
      </c>
      <c r="H1818" s="1">
        <v>0.0</v>
      </c>
      <c r="I1818" s="1">
        <v>1.0</v>
      </c>
      <c r="J1818" s="1">
        <v>0.0</v>
      </c>
      <c r="K1818" s="1">
        <v>18.0</v>
      </c>
      <c r="L1818" s="1">
        <v>23.0</v>
      </c>
      <c r="M1818" s="1">
        <v>0.782608696</v>
      </c>
      <c r="N1818" s="1">
        <v>0.0</v>
      </c>
    </row>
    <row r="1819" ht="15.75" customHeight="1">
      <c r="A1819" s="1" t="s">
        <v>180</v>
      </c>
      <c r="B1819" s="1" t="s">
        <v>239</v>
      </c>
      <c r="C1819" s="5">
        <v>45519.0</v>
      </c>
      <c r="D1819" s="1" t="s">
        <v>161</v>
      </c>
      <c r="E1819" s="1" t="s">
        <v>11</v>
      </c>
      <c r="F1819" s="1" t="s">
        <v>165</v>
      </c>
      <c r="H1819" s="1">
        <v>0.0</v>
      </c>
      <c r="I1819" s="1">
        <v>2.0</v>
      </c>
      <c r="J1819" s="1">
        <v>0.0</v>
      </c>
      <c r="K1819" s="1">
        <v>31.0</v>
      </c>
      <c r="L1819" s="1">
        <v>35.0</v>
      </c>
      <c r="M1819" s="1">
        <v>0.885714286</v>
      </c>
      <c r="N1819" s="1">
        <v>37.65999985</v>
      </c>
    </row>
    <row r="1820" ht="15.75" customHeight="1">
      <c r="A1820" s="1" t="s">
        <v>180</v>
      </c>
      <c r="B1820" s="1" t="s">
        <v>239</v>
      </c>
      <c r="C1820" s="5">
        <v>45519.0</v>
      </c>
      <c r="D1820" s="1" t="s">
        <v>161</v>
      </c>
      <c r="E1820" s="1" t="s">
        <v>11</v>
      </c>
      <c r="F1820" s="1" t="s">
        <v>166</v>
      </c>
      <c r="H1820" s="1">
        <v>0.0</v>
      </c>
      <c r="I1820" s="1">
        <v>0.0</v>
      </c>
      <c r="J1820" s="1">
        <v>0.0</v>
      </c>
      <c r="K1820" s="1">
        <v>16.0</v>
      </c>
      <c r="L1820" s="1">
        <v>28.0</v>
      </c>
      <c r="M1820" s="1">
        <v>0.571428571</v>
      </c>
      <c r="N1820" s="1">
        <v>0.0</v>
      </c>
    </row>
    <row r="1821" ht="15.75" customHeight="1">
      <c r="A1821" s="1" t="s">
        <v>180</v>
      </c>
      <c r="B1821" s="1" t="s">
        <v>220</v>
      </c>
      <c r="C1821" s="5">
        <v>45519.0</v>
      </c>
      <c r="D1821" s="1" t="s">
        <v>161</v>
      </c>
      <c r="E1821" s="1" t="s">
        <v>11</v>
      </c>
      <c r="H1821" s="1">
        <v>0.0</v>
      </c>
      <c r="J1821" s="1">
        <v>0.0</v>
      </c>
      <c r="N1821" s="1">
        <v>1.570000052</v>
      </c>
    </row>
    <row r="1822" ht="15.75" customHeight="1">
      <c r="A1822" s="1" t="s">
        <v>180</v>
      </c>
      <c r="B1822" s="1" t="s">
        <v>237</v>
      </c>
      <c r="C1822" s="5">
        <v>45519.0</v>
      </c>
      <c r="D1822" s="1" t="s">
        <v>161</v>
      </c>
      <c r="E1822" s="1" t="s">
        <v>11</v>
      </c>
      <c r="F1822" s="1" t="s">
        <v>165</v>
      </c>
      <c r="G1822" s="1" t="s">
        <v>200</v>
      </c>
      <c r="H1822" s="1">
        <v>2.0</v>
      </c>
      <c r="I1822" s="1">
        <v>0.0</v>
      </c>
      <c r="J1822" s="1">
        <v>0.0</v>
      </c>
      <c r="K1822" s="1">
        <v>2.0</v>
      </c>
      <c r="L1822" s="1">
        <v>7.0</v>
      </c>
      <c r="M1822" s="1">
        <v>0.285714286</v>
      </c>
      <c r="N1822" s="1">
        <v>60.20999908</v>
      </c>
    </row>
    <row r="1823" ht="15.75" customHeight="1">
      <c r="A1823" s="1" t="s">
        <v>180</v>
      </c>
      <c r="B1823" s="1" t="s">
        <v>267</v>
      </c>
      <c r="C1823" s="5">
        <v>45519.0</v>
      </c>
      <c r="D1823" s="1" t="s">
        <v>161</v>
      </c>
      <c r="E1823" s="1" t="s">
        <v>11</v>
      </c>
      <c r="F1823" s="1" t="s">
        <v>166</v>
      </c>
      <c r="H1823" s="1">
        <v>0.0</v>
      </c>
      <c r="I1823" s="1">
        <v>0.0</v>
      </c>
      <c r="J1823" s="1">
        <v>0.0</v>
      </c>
      <c r="K1823" s="1">
        <v>16.0</v>
      </c>
      <c r="L1823" s="1">
        <v>22.0</v>
      </c>
      <c r="M1823" s="1">
        <v>0.727272727</v>
      </c>
      <c r="N1823" s="1">
        <v>52.83000183</v>
      </c>
    </row>
    <row r="1824" ht="15.75" customHeight="1">
      <c r="A1824" s="1" t="s">
        <v>180</v>
      </c>
      <c r="B1824" s="1" t="s">
        <v>238</v>
      </c>
      <c r="C1824" s="5">
        <v>45519.0</v>
      </c>
      <c r="D1824" s="1" t="s">
        <v>161</v>
      </c>
      <c r="E1824" s="1" t="s">
        <v>11</v>
      </c>
      <c r="F1824" s="1" t="s">
        <v>165</v>
      </c>
      <c r="H1824" s="1">
        <v>0.0</v>
      </c>
      <c r="I1824" s="1">
        <v>0.0</v>
      </c>
      <c r="J1824" s="1">
        <v>0.0</v>
      </c>
      <c r="K1824" s="1">
        <v>0.0</v>
      </c>
      <c r="L1824" s="1">
        <v>2.0</v>
      </c>
      <c r="M1824" s="1">
        <v>0.0</v>
      </c>
      <c r="N1824" s="1">
        <v>1.419999957</v>
      </c>
    </row>
    <row r="1825" ht="15.75" customHeight="1">
      <c r="A1825" s="1" t="s">
        <v>180</v>
      </c>
      <c r="B1825" s="1" t="s">
        <v>274</v>
      </c>
      <c r="C1825" s="5">
        <v>45519.0</v>
      </c>
      <c r="D1825" s="1" t="s">
        <v>161</v>
      </c>
      <c r="E1825" s="1" t="s">
        <v>11</v>
      </c>
      <c r="F1825" s="1" t="s">
        <v>166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N1825" s="1">
        <v>0.769999981</v>
      </c>
    </row>
    <row r="1826" ht="15.75" customHeight="1">
      <c r="A1826" s="1" t="s">
        <v>180</v>
      </c>
      <c r="B1826" s="1" t="s">
        <v>185</v>
      </c>
      <c r="C1826" s="5">
        <v>45519.0</v>
      </c>
      <c r="D1826" s="1" t="s">
        <v>161</v>
      </c>
      <c r="E1826" s="1" t="s">
        <v>11</v>
      </c>
      <c r="H1826" s="1">
        <v>0.0</v>
      </c>
      <c r="J1826" s="1">
        <v>0.0</v>
      </c>
      <c r="N1826" s="1">
        <v>0.730000019</v>
      </c>
    </row>
    <row r="1827" ht="15.75" customHeight="1">
      <c r="A1827" s="1" t="s">
        <v>180</v>
      </c>
      <c r="B1827" s="1" t="s">
        <v>275</v>
      </c>
      <c r="C1827" s="5">
        <v>45519.0</v>
      </c>
      <c r="D1827" s="1" t="s">
        <v>161</v>
      </c>
      <c r="E1827" s="1" t="s">
        <v>11</v>
      </c>
      <c r="F1827" s="1" t="s">
        <v>166</v>
      </c>
      <c r="H1827" s="1">
        <v>0.0</v>
      </c>
      <c r="I1827" s="1">
        <v>0.0</v>
      </c>
      <c r="J1827" s="1">
        <v>0.0</v>
      </c>
      <c r="K1827" s="1">
        <v>0.0</v>
      </c>
      <c r="L1827" s="1">
        <v>0.0</v>
      </c>
      <c r="N1827" s="1">
        <v>0.0</v>
      </c>
    </row>
    <row r="1828" ht="15.75" customHeight="1">
      <c r="A1828" s="1" t="s">
        <v>180</v>
      </c>
      <c r="B1828" s="1" t="s">
        <v>276</v>
      </c>
      <c r="C1828" s="5">
        <v>45519.0</v>
      </c>
      <c r="D1828" s="1" t="s">
        <v>161</v>
      </c>
      <c r="E1828" s="1" t="s">
        <v>11</v>
      </c>
      <c r="F1828" s="1" t="s">
        <v>166</v>
      </c>
      <c r="H1828" s="1">
        <v>0.0</v>
      </c>
      <c r="I1828" s="1">
        <v>0.0</v>
      </c>
      <c r="J1828" s="1">
        <v>0.0</v>
      </c>
      <c r="K1828" s="1">
        <v>0.0</v>
      </c>
      <c r="L1828" s="1">
        <v>0.0</v>
      </c>
      <c r="N1828" s="1">
        <v>0.0</v>
      </c>
    </row>
    <row r="1829" ht="15.75" customHeight="1">
      <c r="A1829" s="1" t="s">
        <v>180</v>
      </c>
      <c r="B1829" s="1" t="s">
        <v>203</v>
      </c>
      <c r="C1829" s="5">
        <v>45519.0</v>
      </c>
      <c r="D1829" s="1" t="s">
        <v>161</v>
      </c>
      <c r="E1829" s="1" t="s">
        <v>11</v>
      </c>
      <c r="H1829" s="1">
        <v>0.0</v>
      </c>
      <c r="J1829" s="1">
        <v>0.0</v>
      </c>
      <c r="N1829" s="1">
        <v>0.200000003</v>
      </c>
    </row>
    <row r="1830" ht="15.75" customHeight="1">
      <c r="A1830" s="1" t="s">
        <v>180</v>
      </c>
      <c r="B1830" s="1" t="s">
        <v>268</v>
      </c>
      <c r="C1830" s="5">
        <v>45519.0</v>
      </c>
      <c r="D1830" s="1" t="s">
        <v>161</v>
      </c>
      <c r="E1830" s="1" t="s">
        <v>11</v>
      </c>
      <c r="F1830" s="1" t="s">
        <v>165</v>
      </c>
      <c r="G1830" s="1" t="s">
        <v>172</v>
      </c>
      <c r="H1830" s="1">
        <v>1.0</v>
      </c>
      <c r="I1830" s="1">
        <v>1.0</v>
      </c>
      <c r="J1830" s="1">
        <v>0.0</v>
      </c>
      <c r="K1830" s="1">
        <v>28.0</v>
      </c>
      <c r="L1830" s="1">
        <v>43.0</v>
      </c>
      <c r="M1830" s="1">
        <v>0.651162791</v>
      </c>
      <c r="N1830" s="1">
        <v>10.05000019</v>
      </c>
    </row>
    <row r="1831" ht="15.75" customHeight="1">
      <c r="A1831" s="1" t="s">
        <v>180</v>
      </c>
      <c r="B1831" s="1" t="s">
        <v>209</v>
      </c>
      <c r="C1831" s="5">
        <v>45519.0</v>
      </c>
      <c r="D1831" s="1" t="s">
        <v>161</v>
      </c>
      <c r="E1831" s="1" t="s">
        <v>11</v>
      </c>
      <c r="F1831" s="1" t="s">
        <v>166</v>
      </c>
      <c r="H1831" s="1">
        <v>0.0</v>
      </c>
      <c r="I1831" s="1">
        <v>1.0</v>
      </c>
      <c r="J1831" s="1">
        <v>0.0</v>
      </c>
      <c r="K1831" s="1">
        <v>18.0</v>
      </c>
      <c r="L1831" s="1">
        <v>21.0</v>
      </c>
      <c r="M1831" s="1">
        <v>0.857142857</v>
      </c>
      <c r="N1831" s="1">
        <v>0.200000003</v>
      </c>
    </row>
    <row r="1832" ht="15.75" customHeight="1">
      <c r="A1832" s="1" t="s">
        <v>180</v>
      </c>
      <c r="B1832" s="1" t="s">
        <v>269</v>
      </c>
      <c r="C1832" s="5">
        <v>45519.0</v>
      </c>
      <c r="D1832" s="1" t="s">
        <v>161</v>
      </c>
      <c r="E1832" s="1" t="s">
        <v>11</v>
      </c>
      <c r="F1832" s="1" t="s">
        <v>165</v>
      </c>
      <c r="H1832" s="1">
        <v>0.0</v>
      </c>
      <c r="I1832" s="1">
        <v>0.0</v>
      </c>
      <c r="J1832" s="1">
        <v>0.0</v>
      </c>
      <c r="K1832" s="1">
        <v>4.0</v>
      </c>
      <c r="L1832" s="1">
        <v>6.0</v>
      </c>
      <c r="M1832" s="1">
        <v>0.666666667</v>
      </c>
      <c r="N1832" s="1">
        <v>41.29999924</v>
      </c>
    </row>
    <row r="1833" ht="15.75" customHeight="1">
      <c r="A1833" s="1" t="s">
        <v>180</v>
      </c>
      <c r="B1833" s="1" t="s">
        <v>226</v>
      </c>
      <c r="C1833" s="5">
        <v>45519.0</v>
      </c>
      <c r="D1833" s="1" t="s">
        <v>161</v>
      </c>
      <c r="E1833" s="1" t="s">
        <v>11</v>
      </c>
      <c r="F1833" s="1" t="s">
        <v>165</v>
      </c>
      <c r="H1833" s="1">
        <v>0.0</v>
      </c>
      <c r="I1833" s="1">
        <v>0.0</v>
      </c>
      <c r="J1833" s="1">
        <v>0.0</v>
      </c>
      <c r="K1833" s="1">
        <v>0.0</v>
      </c>
      <c r="L1833" s="1">
        <v>0.0</v>
      </c>
      <c r="N1833" s="1">
        <v>5.639999866</v>
      </c>
    </row>
    <row r="1834" ht="15.75" customHeight="1">
      <c r="A1834" s="1" t="s">
        <v>180</v>
      </c>
      <c r="B1834" s="1" t="s">
        <v>277</v>
      </c>
      <c r="C1834" s="5">
        <v>45519.0</v>
      </c>
      <c r="D1834" s="1" t="s">
        <v>161</v>
      </c>
      <c r="E1834" s="1" t="s">
        <v>11</v>
      </c>
      <c r="F1834" s="1" t="s">
        <v>166</v>
      </c>
      <c r="H1834" s="1">
        <v>0.0</v>
      </c>
      <c r="I1834" s="1">
        <v>0.0</v>
      </c>
      <c r="J1834" s="1">
        <v>0.0</v>
      </c>
      <c r="K1834" s="1">
        <v>0.0</v>
      </c>
      <c r="L1834" s="1">
        <v>7.0</v>
      </c>
      <c r="M1834" s="1">
        <v>0.0</v>
      </c>
      <c r="N1834" s="1">
        <v>0.02</v>
      </c>
    </row>
    <row r="1835" ht="15.75" customHeight="1">
      <c r="A1835" s="1" t="s">
        <v>180</v>
      </c>
      <c r="B1835" s="1" t="s">
        <v>278</v>
      </c>
      <c r="C1835" s="5">
        <v>45519.0</v>
      </c>
      <c r="D1835" s="1" t="s">
        <v>161</v>
      </c>
      <c r="E1835" s="1" t="s">
        <v>11</v>
      </c>
      <c r="H1835" s="1">
        <v>0.0</v>
      </c>
      <c r="J1835" s="1">
        <v>0.0</v>
      </c>
      <c r="N1835" s="1">
        <v>0.529999971</v>
      </c>
    </row>
    <row r="1836" ht="15.75" customHeight="1">
      <c r="A1836" s="1" t="s">
        <v>160</v>
      </c>
      <c r="B1836" s="1" t="s">
        <v>39</v>
      </c>
      <c r="C1836" s="5">
        <v>45518.0</v>
      </c>
      <c r="D1836" s="1" t="s">
        <v>161</v>
      </c>
      <c r="E1836" s="1" t="s">
        <v>11</v>
      </c>
      <c r="H1836" s="1">
        <v>0.0</v>
      </c>
      <c r="J1836" s="1">
        <v>0.0</v>
      </c>
      <c r="N1836" s="1">
        <v>17.37000084</v>
      </c>
    </row>
    <row r="1837" ht="15.75" customHeight="1">
      <c r="A1837" s="1" t="s">
        <v>160</v>
      </c>
      <c r="B1837" s="1" t="s">
        <v>65</v>
      </c>
      <c r="C1837" s="5">
        <v>45518.0</v>
      </c>
      <c r="D1837" s="1" t="s">
        <v>161</v>
      </c>
      <c r="E1837" s="1" t="s">
        <v>11</v>
      </c>
      <c r="H1837" s="1">
        <v>0.0</v>
      </c>
      <c r="J1837" s="1">
        <v>0.0</v>
      </c>
      <c r="N1837" s="1">
        <v>18.84000015</v>
      </c>
    </row>
    <row r="1838" ht="15.75" customHeight="1">
      <c r="A1838" s="1" t="s">
        <v>160</v>
      </c>
      <c r="B1838" s="1" t="s">
        <v>95</v>
      </c>
      <c r="C1838" s="5">
        <v>45518.0</v>
      </c>
      <c r="D1838" s="1" t="s">
        <v>161</v>
      </c>
      <c r="E1838" s="1" t="s">
        <v>11</v>
      </c>
      <c r="H1838" s="1">
        <v>0.0</v>
      </c>
      <c r="J1838" s="1">
        <v>0.0</v>
      </c>
      <c r="N1838" s="1">
        <v>1.25999999</v>
      </c>
    </row>
    <row r="1839" ht="15.75" customHeight="1">
      <c r="A1839" s="1" t="s">
        <v>160</v>
      </c>
      <c r="B1839" s="1" t="s">
        <v>77</v>
      </c>
      <c r="C1839" s="5">
        <v>45518.0</v>
      </c>
      <c r="D1839" s="1" t="s">
        <v>161</v>
      </c>
      <c r="E1839" s="1" t="s">
        <v>11</v>
      </c>
      <c r="H1839" s="1">
        <v>0.0</v>
      </c>
      <c r="J1839" s="1">
        <v>0.0</v>
      </c>
      <c r="N1839" s="1">
        <v>0.419999987</v>
      </c>
    </row>
    <row r="1840" ht="15.75" customHeight="1">
      <c r="A1840" s="1" t="s">
        <v>160</v>
      </c>
      <c r="B1840" s="1" t="s">
        <v>101</v>
      </c>
      <c r="C1840" s="5">
        <v>45518.0</v>
      </c>
      <c r="D1840" s="1" t="s">
        <v>161</v>
      </c>
      <c r="E1840" s="1" t="s">
        <v>11</v>
      </c>
      <c r="H1840" s="1">
        <v>0.0</v>
      </c>
      <c r="J1840" s="1">
        <v>0.0</v>
      </c>
      <c r="N1840" s="1">
        <v>0.899999976</v>
      </c>
    </row>
    <row r="1841" ht="15.75" customHeight="1">
      <c r="A1841" s="1" t="s">
        <v>164</v>
      </c>
      <c r="B1841" s="1" t="s">
        <v>22</v>
      </c>
      <c r="C1841" s="5">
        <v>45518.0</v>
      </c>
      <c r="D1841" s="1" t="s">
        <v>161</v>
      </c>
      <c r="E1841" s="1" t="s">
        <v>11</v>
      </c>
      <c r="H1841" s="1">
        <v>0.0</v>
      </c>
      <c r="J1841" s="1">
        <v>0.0</v>
      </c>
      <c r="N1841" s="1">
        <v>0.769999981</v>
      </c>
    </row>
    <row r="1842" ht="15.75" customHeight="1">
      <c r="A1842" s="1" t="s">
        <v>164</v>
      </c>
      <c r="B1842" s="1" t="s">
        <v>35</v>
      </c>
      <c r="C1842" s="5">
        <v>45518.0</v>
      </c>
      <c r="D1842" s="1" t="s">
        <v>161</v>
      </c>
      <c r="E1842" s="1" t="s">
        <v>11</v>
      </c>
      <c r="H1842" s="1">
        <v>0.0</v>
      </c>
      <c r="J1842" s="1">
        <v>0.0</v>
      </c>
      <c r="N1842" s="1">
        <v>3.230000019</v>
      </c>
    </row>
    <row r="1843" ht="15.75" customHeight="1">
      <c r="A1843" s="1" t="s">
        <v>164</v>
      </c>
      <c r="B1843" s="1" t="s">
        <v>55</v>
      </c>
      <c r="C1843" s="5">
        <v>45518.0</v>
      </c>
      <c r="D1843" s="1" t="s">
        <v>161</v>
      </c>
      <c r="E1843" s="1" t="s">
        <v>11</v>
      </c>
      <c r="H1843" s="1">
        <v>0.0</v>
      </c>
      <c r="J1843" s="1">
        <v>0.0</v>
      </c>
      <c r="N1843" s="1">
        <v>11.35000038</v>
      </c>
    </row>
    <row r="1844" ht="15.75" customHeight="1">
      <c r="A1844" s="1" t="s">
        <v>164</v>
      </c>
      <c r="B1844" s="1" t="s">
        <v>199</v>
      </c>
      <c r="C1844" s="5">
        <v>45518.0</v>
      </c>
      <c r="D1844" s="1" t="s">
        <v>161</v>
      </c>
      <c r="E1844" s="1" t="s">
        <v>11</v>
      </c>
      <c r="H1844" s="1">
        <v>0.0</v>
      </c>
      <c r="J1844" s="1">
        <v>0.0</v>
      </c>
      <c r="N1844" s="1">
        <v>2.25</v>
      </c>
    </row>
    <row r="1845" ht="15.75" customHeight="1">
      <c r="A1845" s="1" t="s">
        <v>164</v>
      </c>
      <c r="B1845" s="1" t="s">
        <v>81</v>
      </c>
      <c r="C1845" s="5">
        <v>45518.0</v>
      </c>
      <c r="D1845" s="1" t="s">
        <v>161</v>
      </c>
      <c r="E1845" s="1" t="s">
        <v>11</v>
      </c>
      <c r="H1845" s="1">
        <v>0.0</v>
      </c>
      <c r="J1845" s="1">
        <v>0.0</v>
      </c>
      <c r="N1845" s="1">
        <v>0.790000021</v>
      </c>
    </row>
    <row r="1846" ht="15.75" customHeight="1">
      <c r="A1846" s="1" t="s">
        <v>164</v>
      </c>
      <c r="B1846" s="1" t="s">
        <v>60</v>
      </c>
      <c r="C1846" s="5">
        <v>45518.0</v>
      </c>
      <c r="D1846" s="1" t="s">
        <v>161</v>
      </c>
      <c r="E1846" s="1" t="s">
        <v>11</v>
      </c>
      <c r="G1846" s="1" t="s">
        <v>279</v>
      </c>
      <c r="H1846" s="1">
        <v>2.0</v>
      </c>
      <c r="J1846" s="1">
        <v>0.0</v>
      </c>
      <c r="N1846" s="1">
        <v>16.34000015</v>
      </c>
    </row>
    <row r="1847" ht="15.75" customHeight="1">
      <c r="A1847" s="1" t="s">
        <v>164</v>
      </c>
      <c r="B1847" s="1" t="s">
        <v>63</v>
      </c>
      <c r="C1847" s="5">
        <v>45518.0</v>
      </c>
      <c r="D1847" s="1" t="s">
        <v>161</v>
      </c>
      <c r="E1847" s="1" t="s">
        <v>11</v>
      </c>
      <c r="H1847" s="1">
        <v>0.0</v>
      </c>
      <c r="J1847" s="1">
        <v>0.0</v>
      </c>
      <c r="N1847" s="1">
        <v>11.97999954</v>
      </c>
    </row>
    <row r="1848" ht="15.75" customHeight="1">
      <c r="A1848" s="1" t="s">
        <v>164</v>
      </c>
      <c r="B1848" s="1" t="s">
        <v>183</v>
      </c>
      <c r="C1848" s="5">
        <v>45518.0</v>
      </c>
      <c r="D1848" s="1" t="s">
        <v>161</v>
      </c>
      <c r="E1848" s="1" t="s">
        <v>11</v>
      </c>
      <c r="H1848" s="1">
        <v>0.0</v>
      </c>
      <c r="J1848" s="1">
        <v>0.0</v>
      </c>
      <c r="N1848" s="1">
        <v>6.0</v>
      </c>
    </row>
    <row r="1849" ht="15.75" customHeight="1">
      <c r="A1849" s="1" t="s">
        <v>164</v>
      </c>
      <c r="B1849" s="1" t="s">
        <v>68</v>
      </c>
      <c r="C1849" s="5">
        <v>45518.0</v>
      </c>
      <c r="D1849" s="1" t="s">
        <v>161</v>
      </c>
      <c r="E1849" s="1" t="s">
        <v>11</v>
      </c>
      <c r="H1849" s="1">
        <v>0.0</v>
      </c>
      <c r="J1849" s="1">
        <v>0.0</v>
      </c>
      <c r="N1849" s="1">
        <v>0.319999993</v>
      </c>
    </row>
    <row r="1850" ht="15.75" customHeight="1">
      <c r="A1850" s="1" t="s">
        <v>164</v>
      </c>
      <c r="B1850" s="1" t="s">
        <v>197</v>
      </c>
      <c r="C1850" s="5">
        <v>45518.0</v>
      </c>
      <c r="D1850" s="1" t="s">
        <v>161</v>
      </c>
      <c r="E1850" s="1" t="s">
        <v>11</v>
      </c>
      <c r="H1850" s="1">
        <v>0.0</v>
      </c>
      <c r="J1850" s="1">
        <v>0.0</v>
      </c>
      <c r="N1850" s="1">
        <v>5.019999981</v>
      </c>
    </row>
    <row r="1851" ht="15.75" customHeight="1">
      <c r="A1851" s="1" t="s">
        <v>164</v>
      </c>
      <c r="B1851" s="1" t="s">
        <v>74</v>
      </c>
      <c r="C1851" s="5">
        <v>45518.0</v>
      </c>
      <c r="D1851" s="1" t="s">
        <v>161</v>
      </c>
      <c r="E1851" s="1" t="s">
        <v>11</v>
      </c>
      <c r="H1851" s="1">
        <v>0.0</v>
      </c>
      <c r="J1851" s="1">
        <v>0.0</v>
      </c>
      <c r="N1851" s="1">
        <v>9.539999962</v>
      </c>
    </row>
    <row r="1852" ht="15.75" customHeight="1">
      <c r="A1852" s="1" t="s">
        <v>164</v>
      </c>
      <c r="B1852" s="1" t="s">
        <v>205</v>
      </c>
      <c r="C1852" s="5">
        <v>45518.0</v>
      </c>
      <c r="D1852" s="1" t="s">
        <v>161</v>
      </c>
      <c r="E1852" s="1" t="s">
        <v>11</v>
      </c>
      <c r="H1852" s="1">
        <v>0.0</v>
      </c>
      <c r="J1852" s="1">
        <v>0.0</v>
      </c>
      <c r="N1852" s="1">
        <v>11.85000038</v>
      </c>
    </row>
    <row r="1853" ht="15.75" customHeight="1">
      <c r="A1853" s="1" t="s">
        <v>164</v>
      </c>
      <c r="B1853" s="1" t="s">
        <v>75</v>
      </c>
      <c r="C1853" s="5">
        <v>45518.0</v>
      </c>
      <c r="D1853" s="1" t="s">
        <v>161</v>
      </c>
      <c r="E1853" s="1" t="s">
        <v>11</v>
      </c>
      <c r="H1853" s="1">
        <v>0.0</v>
      </c>
      <c r="J1853" s="1">
        <v>0.0</v>
      </c>
      <c r="N1853" s="1">
        <v>13.47999954</v>
      </c>
    </row>
    <row r="1854" ht="15.75" customHeight="1">
      <c r="A1854" s="1" t="s">
        <v>164</v>
      </c>
      <c r="B1854" s="1" t="s">
        <v>265</v>
      </c>
      <c r="C1854" s="5">
        <v>45518.0</v>
      </c>
      <c r="D1854" s="1" t="s">
        <v>161</v>
      </c>
      <c r="E1854" s="1" t="s">
        <v>11</v>
      </c>
      <c r="H1854" s="1">
        <v>0.0</v>
      </c>
      <c r="J1854" s="1">
        <v>0.0</v>
      </c>
      <c r="N1854" s="1">
        <v>13.93000031</v>
      </c>
    </row>
    <row r="1855" ht="15.75" customHeight="1">
      <c r="A1855" s="1" t="s">
        <v>180</v>
      </c>
      <c r="B1855" s="1" t="s">
        <v>280</v>
      </c>
      <c r="C1855" s="5">
        <v>45518.0</v>
      </c>
      <c r="D1855" s="1" t="s">
        <v>161</v>
      </c>
      <c r="E1855" s="1" t="s">
        <v>11</v>
      </c>
      <c r="H1855" s="1">
        <v>0.0</v>
      </c>
      <c r="J1855" s="1">
        <v>0.0</v>
      </c>
      <c r="N1855" s="1">
        <v>0.439999998</v>
      </c>
    </row>
    <row r="1856" ht="15.75" customHeight="1">
      <c r="A1856" s="1" t="s">
        <v>180</v>
      </c>
      <c r="B1856" s="1" t="s">
        <v>271</v>
      </c>
      <c r="C1856" s="5">
        <v>45518.0</v>
      </c>
      <c r="D1856" s="1" t="s">
        <v>161</v>
      </c>
      <c r="E1856" s="1" t="s">
        <v>11</v>
      </c>
      <c r="H1856" s="1">
        <v>0.0</v>
      </c>
      <c r="J1856" s="1">
        <v>0.0</v>
      </c>
      <c r="N1856" s="1">
        <v>2.220000029</v>
      </c>
    </row>
    <row r="1857" ht="15.75" customHeight="1">
      <c r="A1857" s="1" t="s">
        <v>180</v>
      </c>
      <c r="B1857" s="1" t="s">
        <v>272</v>
      </c>
      <c r="C1857" s="5">
        <v>45518.0</v>
      </c>
      <c r="D1857" s="1" t="s">
        <v>161</v>
      </c>
      <c r="E1857" s="1" t="s">
        <v>11</v>
      </c>
      <c r="H1857" s="1">
        <v>0.0</v>
      </c>
      <c r="J1857" s="1">
        <v>0.0</v>
      </c>
      <c r="N1857" s="1">
        <v>10.94999981</v>
      </c>
    </row>
    <row r="1858" ht="15.75" customHeight="1">
      <c r="A1858" s="1" t="s">
        <v>180</v>
      </c>
      <c r="B1858" s="1" t="s">
        <v>273</v>
      </c>
      <c r="C1858" s="5">
        <v>45518.0</v>
      </c>
      <c r="D1858" s="1" t="s">
        <v>161</v>
      </c>
      <c r="E1858" s="1" t="s">
        <v>11</v>
      </c>
      <c r="H1858" s="1">
        <v>0.0</v>
      </c>
      <c r="J1858" s="1">
        <v>0.0</v>
      </c>
      <c r="N1858" s="1">
        <v>10.35000038</v>
      </c>
    </row>
    <row r="1859" ht="15.75" customHeight="1">
      <c r="A1859" s="1" t="s">
        <v>180</v>
      </c>
      <c r="B1859" s="1" t="s">
        <v>239</v>
      </c>
      <c r="C1859" s="5">
        <v>45518.0</v>
      </c>
      <c r="D1859" s="1" t="s">
        <v>161</v>
      </c>
      <c r="E1859" s="1" t="s">
        <v>11</v>
      </c>
      <c r="H1859" s="1">
        <v>0.0</v>
      </c>
      <c r="J1859" s="1">
        <v>0.0</v>
      </c>
      <c r="N1859" s="1">
        <v>16.85000038</v>
      </c>
    </row>
    <row r="1860" ht="15.75" customHeight="1">
      <c r="A1860" s="1" t="s">
        <v>180</v>
      </c>
      <c r="B1860" s="1" t="s">
        <v>220</v>
      </c>
      <c r="C1860" s="5">
        <v>45518.0</v>
      </c>
      <c r="D1860" s="1" t="s">
        <v>161</v>
      </c>
      <c r="E1860" s="1" t="s">
        <v>11</v>
      </c>
      <c r="H1860" s="1">
        <v>0.0</v>
      </c>
      <c r="J1860" s="1">
        <v>0.0</v>
      </c>
      <c r="N1860" s="1">
        <v>3.210000038</v>
      </c>
    </row>
    <row r="1861" ht="15.75" customHeight="1">
      <c r="A1861" s="1" t="s">
        <v>180</v>
      </c>
      <c r="B1861" s="1" t="s">
        <v>237</v>
      </c>
      <c r="C1861" s="5">
        <v>45518.0</v>
      </c>
      <c r="D1861" s="1" t="s">
        <v>161</v>
      </c>
      <c r="E1861" s="1" t="s">
        <v>11</v>
      </c>
      <c r="H1861" s="1">
        <v>0.0</v>
      </c>
      <c r="J1861" s="1">
        <v>0.0</v>
      </c>
      <c r="N1861" s="1">
        <v>1.049999952</v>
      </c>
    </row>
    <row r="1862" ht="15.75" customHeight="1">
      <c r="A1862" s="1" t="s">
        <v>180</v>
      </c>
      <c r="B1862" s="1" t="s">
        <v>267</v>
      </c>
      <c r="C1862" s="5">
        <v>45518.0</v>
      </c>
      <c r="D1862" s="1" t="s">
        <v>161</v>
      </c>
      <c r="E1862" s="1" t="s">
        <v>11</v>
      </c>
      <c r="H1862" s="1">
        <v>0.0</v>
      </c>
      <c r="J1862" s="1">
        <v>0.0</v>
      </c>
      <c r="N1862" s="1">
        <v>39.81000137</v>
      </c>
    </row>
    <row r="1863" ht="15.75" customHeight="1">
      <c r="A1863" s="1" t="s">
        <v>180</v>
      </c>
      <c r="B1863" s="1" t="s">
        <v>274</v>
      </c>
      <c r="C1863" s="5">
        <v>45518.0</v>
      </c>
      <c r="D1863" s="1" t="s">
        <v>161</v>
      </c>
      <c r="E1863" s="1" t="s">
        <v>11</v>
      </c>
      <c r="H1863" s="1">
        <v>0.0</v>
      </c>
      <c r="J1863" s="1">
        <v>0.0</v>
      </c>
      <c r="N1863" s="1">
        <v>24.62000084</v>
      </c>
    </row>
    <row r="1864" ht="15.75" customHeight="1">
      <c r="A1864" s="1" t="s">
        <v>180</v>
      </c>
      <c r="B1864" s="1" t="s">
        <v>275</v>
      </c>
      <c r="C1864" s="5">
        <v>45518.0</v>
      </c>
      <c r="D1864" s="1" t="s">
        <v>161</v>
      </c>
      <c r="E1864" s="1" t="s">
        <v>11</v>
      </c>
      <c r="H1864" s="1">
        <v>0.0</v>
      </c>
      <c r="J1864" s="1">
        <v>0.0</v>
      </c>
      <c r="N1864" s="1">
        <v>7.980000019</v>
      </c>
    </row>
    <row r="1865" ht="15.75" customHeight="1">
      <c r="A1865" s="1" t="s">
        <v>180</v>
      </c>
      <c r="B1865" s="1" t="s">
        <v>276</v>
      </c>
      <c r="C1865" s="5">
        <v>45518.0</v>
      </c>
      <c r="D1865" s="1" t="s">
        <v>161</v>
      </c>
      <c r="E1865" s="1" t="s">
        <v>11</v>
      </c>
      <c r="F1865" s="1" t="s">
        <v>166</v>
      </c>
      <c r="G1865" s="1" t="s">
        <v>172</v>
      </c>
      <c r="H1865" s="1">
        <v>1.0</v>
      </c>
      <c r="I1865" s="1">
        <v>1.0</v>
      </c>
      <c r="J1865" s="1">
        <v>0.0</v>
      </c>
      <c r="K1865" s="1">
        <v>17.0</v>
      </c>
      <c r="L1865" s="1">
        <v>26.0</v>
      </c>
      <c r="M1865" s="1">
        <v>0.653846154</v>
      </c>
      <c r="N1865" s="1">
        <v>29.29000092</v>
      </c>
    </row>
    <row r="1866" ht="15.75" customHeight="1">
      <c r="A1866" s="1" t="s">
        <v>180</v>
      </c>
      <c r="B1866" s="1" t="s">
        <v>268</v>
      </c>
      <c r="C1866" s="5">
        <v>45518.0</v>
      </c>
      <c r="D1866" s="1" t="s">
        <v>161</v>
      </c>
      <c r="E1866" s="1" t="s">
        <v>11</v>
      </c>
      <c r="H1866" s="1">
        <v>0.0</v>
      </c>
      <c r="J1866" s="1">
        <v>0.0</v>
      </c>
      <c r="N1866" s="1">
        <v>20.25</v>
      </c>
    </row>
    <row r="1867" ht="15.75" customHeight="1">
      <c r="A1867" s="1" t="s">
        <v>180</v>
      </c>
      <c r="B1867" s="1" t="s">
        <v>209</v>
      </c>
      <c r="C1867" s="5">
        <v>45518.0</v>
      </c>
      <c r="D1867" s="1" t="s">
        <v>161</v>
      </c>
      <c r="E1867" s="1" t="s">
        <v>11</v>
      </c>
      <c r="G1867" s="1" t="s">
        <v>172</v>
      </c>
      <c r="H1867" s="1">
        <v>1.0</v>
      </c>
      <c r="J1867" s="1">
        <v>0.0</v>
      </c>
      <c r="N1867" s="1">
        <v>23.56999969</v>
      </c>
    </row>
    <row r="1868" ht="15.75" customHeight="1">
      <c r="A1868" s="1" t="s">
        <v>180</v>
      </c>
      <c r="B1868" s="1" t="s">
        <v>226</v>
      </c>
      <c r="C1868" s="5">
        <v>45518.0</v>
      </c>
      <c r="D1868" s="1" t="s">
        <v>161</v>
      </c>
      <c r="E1868" s="1" t="s">
        <v>11</v>
      </c>
      <c r="H1868" s="1">
        <v>0.0</v>
      </c>
      <c r="J1868" s="1">
        <v>0.0</v>
      </c>
      <c r="N1868" s="1">
        <v>0.07</v>
      </c>
    </row>
    <row r="1869" ht="15.75" customHeight="1">
      <c r="A1869" s="1" t="s">
        <v>180</v>
      </c>
      <c r="B1869" s="1" t="s">
        <v>277</v>
      </c>
      <c r="C1869" s="5">
        <v>45518.0</v>
      </c>
      <c r="D1869" s="1" t="s">
        <v>161</v>
      </c>
      <c r="E1869" s="1" t="s">
        <v>11</v>
      </c>
      <c r="H1869" s="1">
        <v>0.0</v>
      </c>
      <c r="J1869" s="1">
        <v>0.0</v>
      </c>
      <c r="N1869" s="1">
        <v>13.68000031</v>
      </c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" t="s">
        <v>146</v>
      </c>
      <c r="B1" s="15" t="s">
        <v>147</v>
      </c>
      <c r="C1" s="15" t="s">
        <v>148</v>
      </c>
      <c r="D1" s="15" t="s">
        <v>149</v>
      </c>
      <c r="E1" s="15" t="s">
        <v>150</v>
      </c>
      <c r="F1" s="15" t="s">
        <v>151</v>
      </c>
      <c r="G1" s="15" t="s">
        <v>152</v>
      </c>
      <c r="H1" s="15" t="s">
        <v>153</v>
      </c>
      <c r="I1" s="15" t="s">
        <v>154</v>
      </c>
      <c r="J1" s="15" t="s">
        <v>155</v>
      </c>
      <c r="K1" s="15" t="s">
        <v>156</v>
      </c>
      <c r="L1" s="15" t="s">
        <v>157</v>
      </c>
      <c r="M1" s="15" t="s">
        <v>158</v>
      </c>
      <c r="N1" s="15" t="s">
        <v>159</v>
      </c>
      <c r="O1" s="16" t="s">
        <v>281</v>
      </c>
      <c r="P1" s="16" t="s">
        <v>282</v>
      </c>
      <c r="Q1" s="16" t="s">
        <v>283</v>
      </c>
      <c r="R1" s="16" t="s">
        <v>284</v>
      </c>
      <c r="U1" s="17" t="s">
        <v>285</v>
      </c>
    </row>
    <row r="2" ht="15.75" customHeight="1">
      <c r="A2" s="1" t="s">
        <v>160</v>
      </c>
      <c r="B2" s="1" t="s">
        <v>9</v>
      </c>
      <c r="C2" s="5">
        <v>45742.0</v>
      </c>
      <c r="D2" s="1" t="s">
        <v>161</v>
      </c>
      <c r="E2" s="1" t="s">
        <v>11</v>
      </c>
      <c r="F2" s="1" t="s">
        <v>165</v>
      </c>
      <c r="H2" s="1">
        <v>0.0</v>
      </c>
      <c r="I2" s="1">
        <v>1.0</v>
      </c>
      <c r="J2" s="1">
        <v>0.0</v>
      </c>
      <c r="K2" s="1">
        <v>30.0</v>
      </c>
      <c r="L2" s="1">
        <v>38.0</v>
      </c>
      <c r="M2" s="1">
        <v>0.789473684</v>
      </c>
      <c r="N2" s="1">
        <v>17.25</v>
      </c>
      <c r="O2" s="1" t="str">
        <f t="shared" ref="O2:O331" si="1">IF(I2&gt;0,"Yes","No")</f>
        <v>Yes</v>
      </c>
      <c r="P2" s="1" t="str">
        <f t="shared" ref="P2:P331" si="2">IF(N2&gt;0,"Yes","No")</f>
        <v>Yes</v>
      </c>
      <c r="Q2" s="1" t="str">
        <f t="shared" ref="Q2:Q331" si="3">IF(N2&lt;=30,"Yes","No")</f>
        <v>Yes</v>
      </c>
      <c r="R2" s="1">
        <f t="shared" ref="R2:R331" si="4">N2/I2</f>
        <v>17.25</v>
      </c>
    </row>
    <row r="3" ht="15.75" customHeight="1">
      <c r="A3" s="1" t="s">
        <v>160</v>
      </c>
      <c r="B3" s="1" t="s">
        <v>31</v>
      </c>
      <c r="C3" s="5">
        <v>45742.0</v>
      </c>
      <c r="D3" s="1" t="s">
        <v>161</v>
      </c>
      <c r="E3" s="1" t="s">
        <v>11</v>
      </c>
      <c r="F3" s="1"/>
      <c r="H3" s="1">
        <v>0.0</v>
      </c>
      <c r="I3" s="1"/>
      <c r="J3" s="1">
        <v>0.0</v>
      </c>
      <c r="K3" s="1"/>
      <c r="L3" s="1"/>
      <c r="M3" s="1"/>
      <c r="N3" s="1">
        <v>0.02</v>
      </c>
      <c r="O3" s="1" t="str">
        <f t="shared" si="1"/>
        <v>No</v>
      </c>
      <c r="P3" s="1" t="str">
        <f t="shared" si="2"/>
        <v>Yes</v>
      </c>
      <c r="Q3" s="1" t="str">
        <f t="shared" si="3"/>
        <v>Yes</v>
      </c>
      <c r="R3" s="1" t="str">
        <f t="shared" si="4"/>
        <v>#DIV/0!</v>
      </c>
    </row>
    <row r="4" ht="15.75" customHeight="1">
      <c r="A4" s="1" t="s">
        <v>160</v>
      </c>
      <c r="B4" s="1" t="s">
        <v>18</v>
      </c>
      <c r="C4" s="5">
        <v>45742.0</v>
      </c>
      <c r="D4" s="1" t="s">
        <v>161</v>
      </c>
      <c r="E4" s="1" t="s">
        <v>11</v>
      </c>
      <c r="F4" s="1" t="s">
        <v>162</v>
      </c>
      <c r="H4" s="1">
        <v>0.0</v>
      </c>
      <c r="I4" s="1">
        <v>1.0</v>
      </c>
      <c r="J4" s="1">
        <v>0.0</v>
      </c>
      <c r="K4" s="1">
        <v>14.0</v>
      </c>
      <c r="L4" s="1">
        <v>20.0</v>
      </c>
      <c r="M4" s="1">
        <v>0.7</v>
      </c>
      <c r="N4" s="1">
        <v>7.769999981</v>
      </c>
      <c r="O4" s="1" t="str">
        <f t="shared" si="1"/>
        <v>Yes</v>
      </c>
      <c r="P4" s="1" t="str">
        <f t="shared" si="2"/>
        <v>Yes</v>
      </c>
      <c r="Q4" s="1" t="str">
        <f t="shared" si="3"/>
        <v>Yes</v>
      </c>
      <c r="R4" s="1">
        <f t="shared" si="4"/>
        <v>7.769999981</v>
      </c>
    </row>
    <row r="5" ht="15.75" customHeight="1">
      <c r="A5" s="1" t="s">
        <v>160</v>
      </c>
      <c r="B5" s="1" t="s">
        <v>20</v>
      </c>
      <c r="C5" s="5">
        <v>45742.0</v>
      </c>
      <c r="D5" s="1" t="s">
        <v>161</v>
      </c>
      <c r="E5" s="1" t="s">
        <v>11</v>
      </c>
      <c r="F5" s="1" t="s">
        <v>162</v>
      </c>
      <c r="H5" s="1">
        <v>0.0</v>
      </c>
      <c r="I5" s="1">
        <v>1.0</v>
      </c>
      <c r="J5" s="1">
        <v>0.0</v>
      </c>
      <c r="K5" s="1">
        <v>19.0</v>
      </c>
      <c r="L5" s="1">
        <v>19.0</v>
      </c>
      <c r="M5" s="1">
        <v>1.0</v>
      </c>
      <c r="N5" s="1">
        <v>12.51000023</v>
      </c>
      <c r="O5" s="1" t="str">
        <f t="shared" si="1"/>
        <v>Yes</v>
      </c>
      <c r="P5" s="1" t="str">
        <f t="shared" si="2"/>
        <v>Yes</v>
      </c>
      <c r="Q5" s="1" t="str">
        <f t="shared" si="3"/>
        <v>Yes</v>
      </c>
      <c r="R5" s="1">
        <f t="shared" si="4"/>
        <v>12.51000023</v>
      </c>
    </row>
    <row r="6" ht="15.75" customHeight="1">
      <c r="A6" s="1" t="s">
        <v>160</v>
      </c>
      <c r="B6" s="1" t="s">
        <v>27</v>
      </c>
      <c r="C6" s="5">
        <v>45742.0</v>
      </c>
      <c r="D6" s="1" t="s">
        <v>161</v>
      </c>
      <c r="E6" s="1" t="s">
        <v>11</v>
      </c>
      <c r="F6" s="1" t="s">
        <v>165</v>
      </c>
      <c r="H6" s="1">
        <v>0.0</v>
      </c>
      <c r="I6" s="1">
        <v>1.0</v>
      </c>
      <c r="J6" s="1">
        <v>0.0</v>
      </c>
      <c r="K6" s="1">
        <v>19.0</v>
      </c>
      <c r="L6" s="1">
        <v>27.0</v>
      </c>
      <c r="M6" s="1">
        <v>0.703703704</v>
      </c>
      <c r="N6" s="1">
        <v>12.46000004</v>
      </c>
      <c r="O6" s="1" t="str">
        <f t="shared" si="1"/>
        <v>Yes</v>
      </c>
      <c r="P6" s="1" t="str">
        <f t="shared" si="2"/>
        <v>Yes</v>
      </c>
      <c r="Q6" s="1" t="str">
        <f t="shared" si="3"/>
        <v>Yes</v>
      </c>
      <c r="R6" s="1">
        <f t="shared" si="4"/>
        <v>12.46000004</v>
      </c>
    </row>
    <row r="7" ht="15.75" customHeight="1">
      <c r="A7" s="1" t="s">
        <v>160</v>
      </c>
      <c r="B7" s="1" t="s">
        <v>32</v>
      </c>
      <c r="C7" s="5">
        <v>45742.0</v>
      </c>
      <c r="D7" s="1" t="s">
        <v>161</v>
      </c>
      <c r="E7" s="1" t="s">
        <v>11</v>
      </c>
      <c r="F7" s="1" t="s">
        <v>165</v>
      </c>
      <c r="H7" s="1">
        <v>0.0</v>
      </c>
      <c r="I7" s="1">
        <v>1.0</v>
      </c>
      <c r="J7" s="1">
        <v>0.0</v>
      </c>
      <c r="K7" s="1">
        <v>48.0</v>
      </c>
      <c r="L7" s="1">
        <v>77.0</v>
      </c>
      <c r="M7" s="1">
        <v>0.623376623</v>
      </c>
      <c r="N7" s="1">
        <v>49.11999893</v>
      </c>
      <c r="O7" s="1" t="str">
        <f t="shared" si="1"/>
        <v>Yes</v>
      </c>
      <c r="P7" s="1" t="str">
        <f t="shared" si="2"/>
        <v>Yes</v>
      </c>
      <c r="Q7" s="1" t="str">
        <f t="shared" si="3"/>
        <v>No</v>
      </c>
      <c r="R7" s="1">
        <f t="shared" si="4"/>
        <v>49.11999893</v>
      </c>
    </row>
    <row r="8" ht="15.75" customHeight="1">
      <c r="A8" s="1" t="s">
        <v>160</v>
      </c>
      <c r="B8" s="1" t="s">
        <v>32</v>
      </c>
      <c r="C8" s="5">
        <v>45742.0</v>
      </c>
      <c r="D8" s="1" t="s">
        <v>161</v>
      </c>
      <c r="E8" s="1" t="s">
        <v>11</v>
      </c>
      <c r="F8" s="1" t="s">
        <v>162</v>
      </c>
      <c r="H8" s="1">
        <v>0.0</v>
      </c>
      <c r="I8" s="1">
        <v>0.0</v>
      </c>
      <c r="J8" s="1">
        <v>0.0</v>
      </c>
      <c r="K8" s="1">
        <v>0.0</v>
      </c>
      <c r="L8" s="1">
        <v>2.0</v>
      </c>
      <c r="M8" s="1">
        <v>0.0</v>
      </c>
      <c r="N8" s="1">
        <v>0.0</v>
      </c>
      <c r="O8" s="1" t="str">
        <f t="shared" si="1"/>
        <v>No</v>
      </c>
      <c r="P8" s="1" t="str">
        <f t="shared" si="2"/>
        <v>No</v>
      </c>
      <c r="Q8" s="1" t="str">
        <f t="shared" si="3"/>
        <v>Yes</v>
      </c>
      <c r="R8" s="1" t="str">
        <f t="shared" si="4"/>
        <v>#DIV/0!</v>
      </c>
    </row>
    <row r="9" ht="15.75" customHeight="1">
      <c r="A9" s="1" t="s">
        <v>160</v>
      </c>
      <c r="B9" s="1" t="s">
        <v>36</v>
      </c>
      <c r="C9" s="5">
        <v>45742.0</v>
      </c>
      <c r="D9" s="1" t="s">
        <v>161</v>
      </c>
      <c r="E9" s="1" t="s">
        <v>11</v>
      </c>
      <c r="F9" s="1" t="s">
        <v>162</v>
      </c>
      <c r="H9" s="1">
        <v>0.0</v>
      </c>
      <c r="I9" s="1">
        <v>1.0</v>
      </c>
      <c r="J9" s="1">
        <v>0.0</v>
      </c>
      <c r="K9" s="1">
        <v>12.0</v>
      </c>
      <c r="L9" s="1">
        <v>13.0</v>
      </c>
      <c r="M9" s="1">
        <v>0.923076923</v>
      </c>
      <c r="N9" s="1">
        <v>0.0</v>
      </c>
      <c r="O9" s="1" t="str">
        <f t="shared" si="1"/>
        <v>Yes</v>
      </c>
      <c r="P9" s="1" t="str">
        <f t="shared" si="2"/>
        <v>No</v>
      </c>
      <c r="Q9" s="1" t="str">
        <f t="shared" si="3"/>
        <v>Yes</v>
      </c>
      <c r="R9" s="1">
        <f t="shared" si="4"/>
        <v>0</v>
      </c>
    </row>
    <row r="10" ht="15.75" customHeight="1">
      <c r="A10" s="1" t="s">
        <v>160</v>
      </c>
      <c r="B10" s="1" t="s">
        <v>39</v>
      </c>
      <c r="C10" s="5">
        <v>45742.0</v>
      </c>
      <c r="D10" s="1" t="s">
        <v>161</v>
      </c>
      <c r="E10" s="1" t="s">
        <v>11</v>
      </c>
      <c r="F10" s="1" t="s">
        <v>162</v>
      </c>
      <c r="H10" s="1">
        <v>0.0</v>
      </c>
      <c r="I10" s="1">
        <v>1.0</v>
      </c>
      <c r="J10" s="1">
        <v>0.0</v>
      </c>
      <c r="K10" s="1">
        <v>8.0</v>
      </c>
      <c r="L10" s="1">
        <v>8.0</v>
      </c>
      <c r="M10" s="1">
        <v>1.0</v>
      </c>
      <c r="N10" s="1">
        <v>8.010000229</v>
      </c>
      <c r="O10" s="1" t="str">
        <f t="shared" si="1"/>
        <v>Yes</v>
      </c>
      <c r="P10" s="1" t="str">
        <f t="shared" si="2"/>
        <v>Yes</v>
      </c>
      <c r="Q10" s="1" t="str">
        <f t="shared" si="3"/>
        <v>Yes</v>
      </c>
      <c r="R10" s="1">
        <f t="shared" si="4"/>
        <v>8.010000229</v>
      </c>
    </row>
    <row r="11" ht="15.75" customHeight="1">
      <c r="A11" s="1" t="s">
        <v>160</v>
      </c>
      <c r="B11" s="1" t="s">
        <v>39</v>
      </c>
      <c r="C11" s="5">
        <v>45742.0</v>
      </c>
      <c r="D11" s="1" t="s">
        <v>161</v>
      </c>
      <c r="E11" s="1" t="s">
        <v>11</v>
      </c>
      <c r="F11" s="1" t="s">
        <v>166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/>
      <c r="N11" s="1">
        <v>0.0</v>
      </c>
      <c r="O11" s="1" t="str">
        <f t="shared" si="1"/>
        <v>No</v>
      </c>
      <c r="P11" s="1" t="str">
        <f t="shared" si="2"/>
        <v>No</v>
      </c>
      <c r="Q11" s="1" t="str">
        <f t="shared" si="3"/>
        <v>Yes</v>
      </c>
      <c r="R11" s="1" t="str">
        <f t="shared" si="4"/>
        <v>#DIV/0!</v>
      </c>
    </row>
    <row r="12" ht="15.75" customHeight="1">
      <c r="A12" s="1" t="s">
        <v>160</v>
      </c>
      <c r="B12" s="1" t="s">
        <v>46</v>
      </c>
      <c r="C12" s="5">
        <v>45742.0</v>
      </c>
      <c r="D12" s="1" t="s">
        <v>161</v>
      </c>
      <c r="E12" s="1" t="s">
        <v>11</v>
      </c>
      <c r="F12" s="1" t="s">
        <v>165</v>
      </c>
      <c r="H12" s="1">
        <v>0.0</v>
      </c>
      <c r="I12" s="1">
        <v>0.0</v>
      </c>
      <c r="J12" s="1">
        <v>0.0</v>
      </c>
      <c r="K12" s="1">
        <v>18.0</v>
      </c>
      <c r="L12" s="1">
        <v>26.0</v>
      </c>
      <c r="M12" s="1">
        <v>0.692307692</v>
      </c>
      <c r="N12" s="1">
        <v>11.88000011</v>
      </c>
      <c r="O12" s="1" t="str">
        <f t="shared" si="1"/>
        <v>No</v>
      </c>
      <c r="P12" s="1" t="str">
        <f t="shared" si="2"/>
        <v>Yes</v>
      </c>
      <c r="Q12" s="1" t="str">
        <f t="shared" si="3"/>
        <v>Yes</v>
      </c>
      <c r="R12" s="1" t="str">
        <f t="shared" si="4"/>
        <v>#DIV/0!</v>
      </c>
      <c r="Y12" s="19" t="s">
        <v>291</v>
      </c>
    </row>
    <row r="13" ht="15.75" customHeight="1">
      <c r="A13" s="1" t="s">
        <v>160</v>
      </c>
      <c r="B13" s="1" t="s">
        <v>46</v>
      </c>
      <c r="C13" s="5">
        <v>45742.0</v>
      </c>
      <c r="D13" s="1" t="s">
        <v>161</v>
      </c>
      <c r="E13" s="1" t="s">
        <v>11</v>
      </c>
      <c r="F13" s="1" t="s">
        <v>162</v>
      </c>
      <c r="H13" s="1">
        <v>0.0</v>
      </c>
      <c r="I13" s="1">
        <v>0.0</v>
      </c>
      <c r="J13" s="1">
        <v>0.0</v>
      </c>
      <c r="K13" s="1">
        <v>0.0</v>
      </c>
      <c r="L13" s="1">
        <v>0.0</v>
      </c>
      <c r="M13" s="1"/>
      <c r="N13" s="1">
        <v>0.0</v>
      </c>
      <c r="O13" s="1" t="str">
        <f t="shared" si="1"/>
        <v>No</v>
      </c>
      <c r="P13" s="1" t="str">
        <f t="shared" si="2"/>
        <v>No</v>
      </c>
      <c r="Q13" s="1" t="str">
        <f t="shared" si="3"/>
        <v>Yes</v>
      </c>
      <c r="R13" s="1" t="str">
        <f t="shared" si="4"/>
        <v>#DIV/0!</v>
      </c>
    </row>
    <row r="14" ht="15.75" customHeight="1">
      <c r="A14" s="1" t="s">
        <v>160</v>
      </c>
      <c r="B14" s="1" t="s">
        <v>53</v>
      </c>
      <c r="C14" s="5">
        <v>45742.0</v>
      </c>
      <c r="D14" s="1" t="s">
        <v>161</v>
      </c>
      <c r="E14" s="1" t="s">
        <v>11</v>
      </c>
      <c r="F14" s="1" t="s">
        <v>165</v>
      </c>
      <c r="H14" s="1">
        <v>0.0</v>
      </c>
      <c r="I14" s="1">
        <v>1.0</v>
      </c>
      <c r="J14" s="1">
        <v>0.0</v>
      </c>
      <c r="K14" s="1">
        <v>14.0</v>
      </c>
      <c r="L14" s="1">
        <v>16.0</v>
      </c>
      <c r="M14" s="1">
        <v>0.875</v>
      </c>
      <c r="N14" s="1">
        <v>6.800000191</v>
      </c>
      <c r="O14" s="1" t="str">
        <f t="shared" si="1"/>
        <v>Yes</v>
      </c>
      <c r="P14" s="1" t="str">
        <f t="shared" si="2"/>
        <v>Yes</v>
      </c>
      <c r="Q14" s="1" t="str">
        <f t="shared" si="3"/>
        <v>Yes</v>
      </c>
      <c r="R14" s="1">
        <f t="shared" si="4"/>
        <v>6.800000191</v>
      </c>
    </row>
    <row r="15" ht="15.75" customHeight="1">
      <c r="A15" s="1" t="s">
        <v>160</v>
      </c>
      <c r="B15" s="1" t="s">
        <v>56</v>
      </c>
      <c r="C15" s="5">
        <v>45742.0</v>
      </c>
      <c r="D15" s="1" t="s">
        <v>161</v>
      </c>
      <c r="E15" s="1" t="s">
        <v>11</v>
      </c>
      <c r="F15" s="1" t="s">
        <v>165</v>
      </c>
      <c r="H15" s="1">
        <v>0.0</v>
      </c>
      <c r="I15" s="1">
        <v>2.0</v>
      </c>
      <c r="J15" s="1">
        <v>0.0</v>
      </c>
      <c r="K15" s="1">
        <v>36.0</v>
      </c>
      <c r="L15" s="1">
        <v>52.0</v>
      </c>
      <c r="M15" s="1">
        <v>0.692307692</v>
      </c>
      <c r="N15" s="1">
        <v>15.5</v>
      </c>
      <c r="O15" s="1" t="str">
        <f t="shared" si="1"/>
        <v>Yes</v>
      </c>
      <c r="P15" s="1" t="str">
        <f t="shared" si="2"/>
        <v>Yes</v>
      </c>
      <c r="Q15" s="1" t="str">
        <f t="shared" si="3"/>
        <v>Yes</v>
      </c>
      <c r="R15" s="1">
        <f t="shared" si="4"/>
        <v>7.75</v>
      </c>
    </row>
    <row r="16" ht="15.75" customHeight="1">
      <c r="A16" s="1" t="s">
        <v>160</v>
      </c>
      <c r="B16" s="1" t="s">
        <v>56</v>
      </c>
      <c r="C16" s="5">
        <v>45742.0</v>
      </c>
      <c r="D16" s="1" t="s">
        <v>161</v>
      </c>
      <c r="E16" s="1" t="s">
        <v>11</v>
      </c>
      <c r="F16" s="1" t="s">
        <v>162</v>
      </c>
      <c r="H16" s="1">
        <v>0.0</v>
      </c>
      <c r="I16" s="1">
        <v>0.0</v>
      </c>
      <c r="J16" s="1">
        <v>0.0</v>
      </c>
      <c r="K16" s="1">
        <v>0.0</v>
      </c>
      <c r="L16" s="1">
        <v>0.0</v>
      </c>
      <c r="M16" s="1"/>
      <c r="N16" s="1">
        <v>0.0</v>
      </c>
      <c r="O16" s="1" t="str">
        <f t="shared" si="1"/>
        <v>No</v>
      </c>
      <c r="P16" s="1" t="str">
        <f t="shared" si="2"/>
        <v>No</v>
      </c>
      <c r="Q16" s="1" t="str">
        <f t="shared" si="3"/>
        <v>Yes</v>
      </c>
      <c r="R16" s="1" t="str">
        <f t="shared" si="4"/>
        <v>#DIV/0!</v>
      </c>
    </row>
    <row r="17" ht="15.75" customHeight="1">
      <c r="A17" s="1" t="s">
        <v>160</v>
      </c>
      <c r="B17" s="1" t="s">
        <v>65</v>
      </c>
      <c r="C17" s="5">
        <v>45742.0</v>
      </c>
      <c r="D17" s="1" t="s">
        <v>161</v>
      </c>
      <c r="E17" s="1" t="s">
        <v>11</v>
      </c>
      <c r="F17" s="1" t="s">
        <v>162</v>
      </c>
      <c r="H17" s="1">
        <v>0.0</v>
      </c>
      <c r="I17" s="1">
        <v>0.0</v>
      </c>
      <c r="J17" s="1">
        <v>0.0</v>
      </c>
      <c r="K17" s="1">
        <v>0.0</v>
      </c>
      <c r="L17" s="1">
        <v>0.0</v>
      </c>
      <c r="M17" s="1"/>
      <c r="N17" s="1">
        <v>7.929999828</v>
      </c>
      <c r="O17" s="1" t="str">
        <f t="shared" si="1"/>
        <v>No</v>
      </c>
      <c r="P17" s="1" t="str">
        <f t="shared" si="2"/>
        <v>Yes</v>
      </c>
      <c r="Q17" s="1" t="str">
        <f t="shared" si="3"/>
        <v>Yes</v>
      </c>
      <c r="R17" s="1" t="str">
        <f t="shared" si="4"/>
        <v>#DIV/0!</v>
      </c>
    </row>
    <row r="18" ht="15.75" customHeight="1">
      <c r="A18" s="1" t="s">
        <v>160</v>
      </c>
      <c r="B18" s="1" t="s">
        <v>69</v>
      </c>
      <c r="C18" s="5">
        <v>45742.0</v>
      </c>
      <c r="D18" s="1" t="s">
        <v>161</v>
      </c>
      <c r="E18" s="1" t="s">
        <v>11</v>
      </c>
      <c r="F18" s="1" t="s">
        <v>165</v>
      </c>
      <c r="H18" s="1">
        <v>0.0</v>
      </c>
      <c r="I18" s="1">
        <v>1.0</v>
      </c>
      <c r="J18" s="1">
        <v>0.0</v>
      </c>
      <c r="K18" s="1">
        <v>12.0</v>
      </c>
      <c r="L18" s="1">
        <v>12.0</v>
      </c>
      <c r="M18" s="1">
        <v>1.0</v>
      </c>
      <c r="N18" s="1">
        <v>10.01000023</v>
      </c>
      <c r="O18" s="1" t="str">
        <f t="shared" si="1"/>
        <v>Yes</v>
      </c>
      <c r="P18" s="1" t="str">
        <f t="shared" si="2"/>
        <v>Yes</v>
      </c>
      <c r="Q18" s="1" t="str">
        <f t="shared" si="3"/>
        <v>Yes</v>
      </c>
      <c r="R18" s="1">
        <f t="shared" si="4"/>
        <v>10.01000023</v>
      </c>
      <c r="U18" s="17" t="s">
        <v>292</v>
      </c>
    </row>
    <row r="19" ht="15.75" customHeight="1">
      <c r="A19" s="1" t="s">
        <v>160</v>
      </c>
      <c r="B19" s="1" t="s">
        <v>73</v>
      </c>
      <c r="C19" s="5">
        <v>45742.0</v>
      </c>
      <c r="D19" s="1" t="s">
        <v>161</v>
      </c>
      <c r="E19" s="1" t="s">
        <v>11</v>
      </c>
      <c r="F19" s="1" t="s">
        <v>162</v>
      </c>
      <c r="H19" s="1">
        <v>0.0</v>
      </c>
      <c r="I19" s="1">
        <v>0.0</v>
      </c>
      <c r="J19" s="1">
        <v>0.0</v>
      </c>
      <c r="K19" s="1">
        <v>4.0</v>
      </c>
      <c r="L19" s="1">
        <v>10.0</v>
      </c>
      <c r="M19" s="1">
        <v>0.4</v>
      </c>
      <c r="N19" s="1">
        <v>9.56000042</v>
      </c>
      <c r="O19" s="1" t="str">
        <f t="shared" si="1"/>
        <v>No</v>
      </c>
      <c r="P19" s="1" t="str">
        <f t="shared" si="2"/>
        <v>Yes</v>
      </c>
      <c r="Q19" s="1" t="str">
        <f t="shared" si="3"/>
        <v>Yes</v>
      </c>
      <c r="R19" s="1" t="str">
        <f t="shared" si="4"/>
        <v>#DIV/0!</v>
      </c>
    </row>
    <row r="20" ht="15.75" customHeight="1">
      <c r="A20" s="1" t="s">
        <v>160</v>
      </c>
      <c r="B20" s="1" t="s">
        <v>77</v>
      </c>
      <c r="C20" s="5">
        <v>45742.0</v>
      </c>
      <c r="D20" s="1" t="s">
        <v>161</v>
      </c>
      <c r="E20" s="1" t="s">
        <v>11</v>
      </c>
      <c r="F20" s="1" t="s">
        <v>162</v>
      </c>
      <c r="H20" s="1">
        <v>0.0</v>
      </c>
      <c r="I20" s="1">
        <v>0.0</v>
      </c>
      <c r="J20" s="1">
        <v>0.0</v>
      </c>
      <c r="K20" s="1">
        <v>2.0</v>
      </c>
      <c r="L20" s="1">
        <v>4.0</v>
      </c>
      <c r="M20" s="1">
        <v>0.5</v>
      </c>
      <c r="N20" s="1">
        <v>7.360000134</v>
      </c>
      <c r="O20" s="1" t="str">
        <f t="shared" si="1"/>
        <v>No</v>
      </c>
      <c r="P20" s="1" t="str">
        <f t="shared" si="2"/>
        <v>Yes</v>
      </c>
      <c r="Q20" s="1" t="str">
        <f t="shared" si="3"/>
        <v>Yes</v>
      </c>
      <c r="R20" s="1" t="str">
        <f t="shared" si="4"/>
        <v>#DIV/0!</v>
      </c>
    </row>
    <row r="21" ht="15.75" customHeight="1">
      <c r="A21" s="1" t="s">
        <v>160</v>
      </c>
      <c r="B21" s="1" t="s">
        <v>90</v>
      </c>
      <c r="C21" s="5">
        <v>45742.0</v>
      </c>
      <c r="D21" s="1" t="s">
        <v>161</v>
      </c>
      <c r="E21" s="1" t="s">
        <v>11</v>
      </c>
      <c r="F21" s="1" t="s">
        <v>165</v>
      </c>
      <c r="H21" s="1">
        <v>0.0</v>
      </c>
      <c r="I21" s="1">
        <v>0.0</v>
      </c>
      <c r="J21" s="1">
        <v>0.0</v>
      </c>
      <c r="K21" s="1">
        <v>2.0</v>
      </c>
      <c r="L21" s="1">
        <v>4.0</v>
      </c>
      <c r="M21" s="1">
        <v>0.5</v>
      </c>
      <c r="N21" s="1">
        <v>3.779999971</v>
      </c>
      <c r="O21" s="1" t="str">
        <f t="shared" si="1"/>
        <v>No</v>
      </c>
      <c r="P21" s="1" t="str">
        <f t="shared" si="2"/>
        <v>Yes</v>
      </c>
      <c r="Q21" s="1" t="str">
        <f t="shared" si="3"/>
        <v>Yes</v>
      </c>
      <c r="R21" s="1" t="str">
        <f t="shared" si="4"/>
        <v>#DIV/0!</v>
      </c>
    </row>
    <row r="22" ht="15.75" customHeight="1">
      <c r="A22" s="1" t="s">
        <v>160</v>
      </c>
      <c r="B22" s="1" t="s">
        <v>93</v>
      </c>
      <c r="C22" s="5">
        <v>45742.0</v>
      </c>
      <c r="D22" s="1" t="s">
        <v>161</v>
      </c>
      <c r="E22" s="1" t="s">
        <v>11</v>
      </c>
      <c r="F22" s="1" t="s">
        <v>166</v>
      </c>
      <c r="H22" s="1">
        <v>0.0</v>
      </c>
      <c r="I22" s="1">
        <v>0.0</v>
      </c>
      <c r="J22" s="1">
        <v>0.0</v>
      </c>
      <c r="K22" s="1">
        <v>4.0</v>
      </c>
      <c r="L22" s="1">
        <v>4.0</v>
      </c>
      <c r="M22" s="1">
        <v>1.0</v>
      </c>
      <c r="N22" s="1">
        <v>0.0</v>
      </c>
      <c r="O22" s="1" t="str">
        <f t="shared" si="1"/>
        <v>No</v>
      </c>
      <c r="P22" s="1" t="str">
        <f t="shared" si="2"/>
        <v>No</v>
      </c>
      <c r="Q22" s="1" t="str">
        <f t="shared" si="3"/>
        <v>Yes</v>
      </c>
      <c r="R22" s="1" t="str">
        <f t="shared" si="4"/>
        <v>#DIV/0!</v>
      </c>
    </row>
    <row r="23" ht="15.75" customHeight="1">
      <c r="A23" s="1" t="s">
        <v>160</v>
      </c>
      <c r="B23" s="1" t="s">
        <v>94</v>
      </c>
      <c r="C23" s="5">
        <v>45742.0</v>
      </c>
      <c r="D23" s="1" t="s">
        <v>161</v>
      </c>
      <c r="E23" s="1" t="s">
        <v>11</v>
      </c>
      <c r="F23" s="1" t="s">
        <v>165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/>
      <c r="N23" s="1">
        <v>0.0</v>
      </c>
      <c r="O23" s="1" t="str">
        <f t="shared" si="1"/>
        <v>No</v>
      </c>
      <c r="P23" s="1" t="str">
        <f t="shared" si="2"/>
        <v>No</v>
      </c>
      <c r="Q23" s="1" t="str">
        <f t="shared" si="3"/>
        <v>Yes</v>
      </c>
      <c r="R23" s="1" t="str">
        <f t="shared" si="4"/>
        <v>#DIV/0!</v>
      </c>
    </row>
    <row r="24" ht="15.75" customHeight="1">
      <c r="A24" s="1" t="s">
        <v>160</v>
      </c>
      <c r="B24" s="1" t="s">
        <v>94</v>
      </c>
      <c r="C24" s="5">
        <v>45742.0</v>
      </c>
      <c r="D24" s="1" t="s">
        <v>161</v>
      </c>
      <c r="E24" s="1" t="s">
        <v>11</v>
      </c>
      <c r="F24" s="1" t="s">
        <v>166</v>
      </c>
      <c r="H24" s="1">
        <v>0.0</v>
      </c>
      <c r="I24" s="1">
        <v>0.0</v>
      </c>
      <c r="J24" s="1">
        <v>0.0</v>
      </c>
      <c r="K24" s="1">
        <v>19.0</v>
      </c>
      <c r="L24" s="1">
        <v>29.0</v>
      </c>
      <c r="M24" s="1">
        <v>0.655172414</v>
      </c>
      <c r="N24" s="1">
        <v>7.230000019</v>
      </c>
      <c r="O24" s="1" t="str">
        <f t="shared" si="1"/>
        <v>No</v>
      </c>
      <c r="P24" s="1" t="str">
        <f t="shared" si="2"/>
        <v>Yes</v>
      </c>
      <c r="Q24" s="1" t="str">
        <f t="shared" si="3"/>
        <v>Yes</v>
      </c>
      <c r="R24" s="1" t="str">
        <f t="shared" si="4"/>
        <v>#DIV/0!</v>
      </c>
    </row>
    <row r="25" ht="15.75" customHeight="1">
      <c r="A25" s="1" t="s">
        <v>164</v>
      </c>
      <c r="B25" s="1" t="s">
        <v>24</v>
      </c>
      <c r="C25" s="5">
        <v>45742.0</v>
      </c>
      <c r="D25" s="1" t="s">
        <v>161</v>
      </c>
      <c r="E25" s="1" t="s">
        <v>11</v>
      </c>
      <c r="F25" s="1" t="s">
        <v>166</v>
      </c>
      <c r="H25" s="1">
        <v>0.0</v>
      </c>
      <c r="I25" s="1">
        <v>0.0</v>
      </c>
      <c r="J25" s="1">
        <v>0.0</v>
      </c>
      <c r="K25" s="1">
        <v>2.0</v>
      </c>
      <c r="L25" s="1">
        <v>6.0</v>
      </c>
      <c r="M25" s="1">
        <v>0.333333333</v>
      </c>
      <c r="N25" s="1">
        <v>8.449999809</v>
      </c>
      <c r="O25" s="1" t="str">
        <f t="shared" si="1"/>
        <v>No</v>
      </c>
      <c r="P25" s="1" t="str">
        <f t="shared" si="2"/>
        <v>Yes</v>
      </c>
      <c r="Q25" s="1" t="str">
        <f t="shared" si="3"/>
        <v>Yes</v>
      </c>
      <c r="R25" s="1" t="str">
        <f t="shared" si="4"/>
        <v>#DIV/0!</v>
      </c>
    </row>
    <row r="26" ht="15.75" customHeight="1">
      <c r="A26" s="1" t="s">
        <v>164</v>
      </c>
      <c r="B26" s="1" t="s">
        <v>52</v>
      </c>
      <c r="C26" s="5">
        <v>45742.0</v>
      </c>
      <c r="D26" s="1" t="s">
        <v>161</v>
      </c>
      <c r="E26" s="1" t="s">
        <v>11</v>
      </c>
      <c r="F26" s="1"/>
      <c r="H26" s="1">
        <v>0.0</v>
      </c>
      <c r="I26" s="1"/>
      <c r="J26" s="1">
        <v>0.0</v>
      </c>
      <c r="K26" s="1"/>
      <c r="L26" s="1"/>
      <c r="M26" s="1"/>
      <c r="N26" s="1">
        <v>0.920000017</v>
      </c>
      <c r="O26" s="1" t="str">
        <f t="shared" si="1"/>
        <v>No</v>
      </c>
      <c r="P26" s="1" t="str">
        <f t="shared" si="2"/>
        <v>Yes</v>
      </c>
      <c r="Q26" s="1" t="str">
        <f t="shared" si="3"/>
        <v>Yes</v>
      </c>
      <c r="R26" s="1" t="str">
        <f t="shared" si="4"/>
        <v>#DIV/0!</v>
      </c>
    </row>
    <row r="27" ht="15.75" customHeight="1">
      <c r="A27" s="1" t="s">
        <v>164</v>
      </c>
      <c r="B27" s="1" t="s">
        <v>51</v>
      </c>
      <c r="C27" s="5">
        <v>45742.0</v>
      </c>
      <c r="D27" s="1" t="s">
        <v>161</v>
      </c>
      <c r="E27" s="1" t="s">
        <v>11</v>
      </c>
      <c r="F27" s="1" t="s">
        <v>165</v>
      </c>
      <c r="H27" s="1">
        <v>0.0</v>
      </c>
      <c r="I27" s="1">
        <v>0.0</v>
      </c>
      <c r="J27" s="1">
        <v>0.0</v>
      </c>
      <c r="K27" s="1">
        <v>20.0</v>
      </c>
      <c r="L27" s="1">
        <v>49.0</v>
      </c>
      <c r="M27" s="1">
        <v>0.408163265</v>
      </c>
      <c r="N27" s="1">
        <v>42.18000031</v>
      </c>
      <c r="O27" s="1" t="str">
        <f t="shared" si="1"/>
        <v>No</v>
      </c>
      <c r="P27" s="1" t="str">
        <f t="shared" si="2"/>
        <v>Yes</v>
      </c>
      <c r="Q27" s="1" t="str">
        <f t="shared" si="3"/>
        <v>No</v>
      </c>
      <c r="R27" s="1" t="str">
        <f t="shared" si="4"/>
        <v>#DIV/0!</v>
      </c>
    </row>
    <row r="28" ht="15.75" customHeight="1">
      <c r="A28" s="1" t="s">
        <v>164</v>
      </c>
      <c r="B28" s="1" t="s">
        <v>294</v>
      </c>
      <c r="C28" s="5">
        <v>45742.0</v>
      </c>
      <c r="D28" s="1" t="s">
        <v>161</v>
      </c>
      <c r="E28" s="1" t="s">
        <v>11</v>
      </c>
      <c r="F28" s="1"/>
      <c r="H28" s="1">
        <v>0.0</v>
      </c>
      <c r="I28" s="1"/>
      <c r="J28" s="1">
        <v>0.0</v>
      </c>
      <c r="K28" s="1"/>
      <c r="L28" s="1"/>
      <c r="M28" s="1"/>
      <c r="N28" s="1">
        <v>0.02</v>
      </c>
      <c r="O28" s="1" t="str">
        <f t="shared" si="1"/>
        <v>No</v>
      </c>
      <c r="P28" s="1" t="str">
        <f t="shared" si="2"/>
        <v>Yes</v>
      </c>
      <c r="Q28" s="1" t="str">
        <f t="shared" si="3"/>
        <v>Yes</v>
      </c>
      <c r="R28" s="1" t="str">
        <f t="shared" si="4"/>
        <v>#DIV/0!</v>
      </c>
      <c r="Y28" s="19" t="s">
        <v>291</v>
      </c>
    </row>
    <row r="29" ht="15.75" customHeight="1">
      <c r="A29" s="1" t="s">
        <v>164</v>
      </c>
      <c r="B29" s="1" t="s">
        <v>295</v>
      </c>
      <c r="C29" s="5">
        <v>45742.0</v>
      </c>
      <c r="D29" s="1" t="s">
        <v>161</v>
      </c>
      <c r="E29" s="1" t="s">
        <v>11</v>
      </c>
      <c r="F29" s="1"/>
      <c r="H29" s="1">
        <v>0.0</v>
      </c>
      <c r="I29" s="1"/>
      <c r="J29" s="1">
        <v>0.0</v>
      </c>
      <c r="K29" s="1"/>
      <c r="L29" s="1"/>
      <c r="M29" s="1"/>
      <c r="N29" s="1">
        <v>2.279999971</v>
      </c>
      <c r="O29" s="1" t="str">
        <f t="shared" si="1"/>
        <v>No</v>
      </c>
      <c r="P29" s="1" t="str">
        <f t="shared" si="2"/>
        <v>Yes</v>
      </c>
      <c r="Q29" s="1" t="str">
        <f t="shared" si="3"/>
        <v>Yes</v>
      </c>
      <c r="R29" s="1" t="str">
        <f t="shared" si="4"/>
        <v>#DIV/0!</v>
      </c>
    </row>
    <row r="30" ht="15.75" customHeight="1">
      <c r="A30" s="1" t="s">
        <v>164</v>
      </c>
      <c r="B30" s="1" t="s">
        <v>60</v>
      </c>
      <c r="C30" s="5">
        <v>45742.0</v>
      </c>
      <c r="D30" s="1" t="s">
        <v>161</v>
      </c>
      <c r="E30" s="1" t="s">
        <v>11</v>
      </c>
      <c r="F30" s="1" t="s">
        <v>162</v>
      </c>
      <c r="H30" s="1">
        <v>0.0</v>
      </c>
      <c r="I30" s="1">
        <v>0.0</v>
      </c>
      <c r="J30" s="1">
        <v>0.0</v>
      </c>
      <c r="K30" s="1">
        <v>2.0</v>
      </c>
      <c r="L30" s="1">
        <v>6.0</v>
      </c>
      <c r="M30" s="1">
        <v>0.333333333</v>
      </c>
      <c r="N30" s="1">
        <v>7.03000021</v>
      </c>
      <c r="O30" s="1" t="str">
        <f t="shared" si="1"/>
        <v>No</v>
      </c>
      <c r="P30" s="1" t="str">
        <f t="shared" si="2"/>
        <v>Yes</v>
      </c>
      <c r="Q30" s="1" t="str">
        <f t="shared" si="3"/>
        <v>Yes</v>
      </c>
      <c r="R30" s="1" t="str">
        <f t="shared" si="4"/>
        <v>#DIV/0!</v>
      </c>
    </row>
    <row r="31" ht="15.75" customHeight="1">
      <c r="A31" s="1" t="s">
        <v>164</v>
      </c>
      <c r="B31" s="1" t="s">
        <v>63</v>
      </c>
      <c r="C31" s="5">
        <v>45742.0</v>
      </c>
      <c r="D31" s="1" t="s">
        <v>161</v>
      </c>
      <c r="E31" s="1" t="s">
        <v>11</v>
      </c>
      <c r="F31" s="1" t="s">
        <v>166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/>
      <c r="N31" s="1">
        <v>6.599999905</v>
      </c>
      <c r="O31" s="1" t="str">
        <f t="shared" si="1"/>
        <v>No</v>
      </c>
      <c r="P31" s="1" t="str">
        <f t="shared" si="2"/>
        <v>Yes</v>
      </c>
      <c r="Q31" s="1" t="str">
        <f t="shared" si="3"/>
        <v>Yes</v>
      </c>
      <c r="R31" s="1" t="str">
        <f t="shared" si="4"/>
        <v>#DIV/0!</v>
      </c>
    </row>
    <row r="32" ht="15.75" customHeight="1">
      <c r="A32" s="1" t="s">
        <v>164</v>
      </c>
      <c r="B32" s="1" t="s">
        <v>68</v>
      </c>
      <c r="C32" s="5">
        <v>45742.0</v>
      </c>
      <c r="D32" s="1" t="s">
        <v>161</v>
      </c>
      <c r="E32" s="1" t="s">
        <v>11</v>
      </c>
      <c r="F32" s="1" t="s">
        <v>165</v>
      </c>
      <c r="H32" s="1">
        <v>0.0</v>
      </c>
      <c r="I32" s="1">
        <v>1.0</v>
      </c>
      <c r="J32" s="1">
        <v>0.0</v>
      </c>
      <c r="K32" s="1">
        <v>13.0</v>
      </c>
      <c r="L32" s="1">
        <v>17.0</v>
      </c>
      <c r="M32" s="1">
        <v>0.764705882</v>
      </c>
      <c r="N32" s="1">
        <v>6.690000057</v>
      </c>
      <c r="O32" s="1" t="str">
        <f t="shared" si="1"/>
        <v>Yes</v>
      </c>
      <c r="P32" s="1" t="str">
        <f t="shared" si="2"/>
        <v>Yes</v>
      </c>
      <c r="Q32" s="1" t="str">
        <f t="shared" si="3"/>
        <v>Yes</v>
      </c>
      <c r="R32" s="1">
        <f t="shared" si="4"/>
        <v>6.690000057</v>
      </c>
    </row>
    <row r="33" ht="15.75" customHeight="1">
      <c r="A33" s="1" t="s">
        <v>164</v>
      </c>
      <c r="B33" s="1" t="s">
        <v>71</v>
      </c>
      <c r="C33" s="5">
        <v>45742.0</v>
      </c>
      <c r="D33" s="1" t="s">
        <v>161</v>
      </c>
      <c r="E33" s="1" t="s">
        <v>11</v>
      </c>
      <c r="F33" s="1" t="s">
        <v>166</v>
      </c>
      <c r="H33" s="1">
        <v>0.0</v>
      </c>
      <c r="I33" s="1">
        <v>0.0</v>
      </c>
      <c r="J33" s="1">
        <v>0.0</v>
      </c>
      <c r="K33" s="1">
        <v>16.0</v>
      </c>
      <c r="L33" s="1">
        <v>20.0</v>
      </c>
      <c r="M33" s="1">
        <v>0.8</v>
      </c>
      <c r="N33" s="1">
        <v>12.35999966</v>
      </c>
      <c r="O33" s="1" t="str">
        <f t="shared" si="1"/>
        <v>No</v>
      </c>
      <c r="P33" s="1" t="str">
        <f t="shared" si="2"/>
        <v>Yes</v>
      </c>
      <c r="Q33" s="1" t="str">
        <f t="shared" si="3"/>
        <v>Yes</v>
      </c>
      <c r="R33" s="1" t="str">
        <f t="shared" si="4"/>
        <v>#DIV/0!</v>
      </c>
    </row>
    <row r="34" ht="15.75" customHeight="1">
      <c r="A34" s="1" t="s">
        <v>164</v>
      </c>
      <c r="B34" s="1" t="s">
        <v>74</v>
      </c>
      <c r="C34" s="5">
        <v>45742.0</v>
      </c>
      <c r="D34" s="1" t="s">
        <v>161</v>
      </c>
      <c r="E34" s="1" t="s">
        <v>11</v>
      </c>
      <c r="F34" s="1" t="s">
        <v>166</v>
      </c>
      <c r="H34" s="1">
        <v>0.0</v>
      </c>
      <c r="I34" s="1">
        <v>0.0</v>
      </c>
      <c r="J34" s="1">
        <v>0.0</v>
      </c>
      <c r="K34" s="1">
        <v>0.0</v>
      </c>
      <c r="L34" s="1">
        <v>2.0</v>
      </c>
      <c r="M34" s="1">
        <v>0.0</v>
      </c>
      <c r="N34" s="1">
        <v>8.789999962</v>
      </c>
      <c r="O34" s="1" t="str">
        <f t="shared" si="1"/>
        <v>No</v>
      </c>
      <c r="P34" s="1" t="str">
        <f t="shared" si="2"/>
        <v>Yes</v>
      </c>
      <c r="Q34" s="1" t="str">
        <f t="shared" si="3"/>
        <v>Yes</v>
      </c>
      <c r="R34" s="1" t="str">
        <f t="shared" si="4"/>
        <v>#DIV/0!</v>
      </c>
    </row>
    <row r="35" ht="15.75" customHeight="1">
      <c r="A35" s="1" t="s">
        <v>164</v>
      </c>
      <c r="B35" s="1" t="s">
        <v>75</v>
      </c>
      <c r="C35" s="5">
        <v>45742.0</v>
      </c>
      <c r="D35" s="1" t="s">
        <v>161</v>
      </c>
      <c r="E35" s="1" t="s">
        <v>11</v>
      </c>
      <c r="F35" s="1" t="s">
        <v>165</v>
      </c>
      <c r="H35" s="1">
        <v>0.0</v>
      </c>
      <c r="I35" s="1">
        <v>0.0</v>
      </c>
      <c r="J35" s="1">
        <v>0.0</v>
      </c>
      <c r="K35" s="1">
        <v>26.0</v>
      </c>
      <c r="L35" s="1">
        <v>28.0</v>
      </c>
      <c r="M35" s="1">
        <v>0.928571429</v>
      </c>
      <c r="N35" s="1">
        <v>7.210000038</v>
      </c>
      <c r="O35" s="1" t="str">
        <f t="shared" si="1"/>
        <v>No</v>
      </c>
      <c r="P35" s="1" t="str">
        <f t="shared" si="2"/>
        <v>Yes</v>
      </c>
      <c r="Q35" s="1" t="str">
        <f t="shared" si="3"/>
        <v>Yes</v>
      </c>
      <c r="R35" s="1" t="str">
        <f t="shared" si="4"/>
        <v>#DIV/0!</v>
      </c>
    </row>
    <row r="36" ht="15.75" customHeight="1">
      <c r="A36" s="1" t="s">
        <v>164</v>
      </c>
      <c r="B36" s="1" t="s">
        <v>82</v>
      </c>
      <c r="C36" s="5">
        <v>45742.0</v>
      </c>
      <c r="D36" s="1" t="s">
        <v>161</v>
      </c>
      <c r="E36" s="1" t="s">
        <v>11</v>
      </c>
      <c r="F36" s="1" t="s">
        <v>166</v>
      </c>
      <c r="H36" s="1">
        <v>0.0</v>
      </c>
      <c r="I36" s="1">
        <v>2.0</v>
      </c>
      <c r="J36" s="1">
        <v>0.0</v>
      </c>
      <c r="K36" s="1">
        <v>47.0</v>
      </c>
      <c r="L36" s="1">
        <v>61.0</v>
      </c>
      <c r="M36" s="1">
        <v>0.770491803</v>
      </c>
      <c r="N36" s="1">
        <v>25.35000038</v>
      </c>
      <c r="O36" s="1" t="str">
        <f t="shared" si="1"/>
        <v>Yes</v>
      </c>
      <c r="P36" s="1" t="str">
        <f t="shared" si="2"/>
        <v>Yes</v>
      </c>
      <c r="Q36" s="1" t="str">
        <f t="shared" si="3"/>
        <v>Yes</v>
      </c>
      <c r="R36" s="1">
        <f t="shared" si="4"/>
        <v>12.67500019</v>
      </c>
    </row>
    <row r="37" ht="15.75" customHeight="1">
      <c r="A37" s="1" t="s">
        <v>164</v>
      </c>
      <c r="B37" s="1" t="s">
        <v>96</v>
      </c>
      <c r="C37" s="5">
        <v>45742.0</v>
      </c>
      <c r="D37" s="1" t="s">
        <v>161</v>
      </c>
      <c r="E37" s="1" t="s">
        <v>11</v>
      </c>
      <c r="F37" s="1" t="s">
        <v>165</v>
      </c>
      <c r="H37" s="1">
        <v>0.0</v>
      </c>
      <c r="I37" s="1">
        <v>0.0</v>
      </c>
      <c r="J37" s="1">
        <v>0.0</v>
      </c>
      <c r="K37" s="1">
        <v>23.0</v>
      </c>
      <c r="L37" s="1">
        <v>33.0</v>
      </c>
      <c r="M37" s="1">
        <v>0.696969697</v>
      </c>
      <c r="N37" s="1">
        <v>44.52999878</v>
      </c>
      <c r="O37" s="1" t="str">
        <f t="shared" si="1"/>
        <v>No</v>
      </c>
      <c r="P37" s="1" t="str">
        <f t="shared" si="2"/>
        <v>Yes</v>
      </c>
      <c r="Q37" s="1" t="str">
        <f t="shared" si="3"/>
        <v>No</v>
      </c>
      <c r="R37" s="1" t="str">
        <f t="shared" si="4"/>
        <v>#DIV/0!</v>
      </c>
    </row>
    <row r="38" ht="15.75" customHeight="1">
      <c r="A38" s="1" t="s">
        <v>160</v>
      </c>
      <c r="B38" s="1" t="s">
        <v>31</v>
      </c>
      <c r="C38" s="5">
        <v>45741.0</v>
      </c>
      <c r="D38" s="1" t="s">
        <v>161</v>
      </c>
      <c r="E38" s="1" t="s">
        <v>11</v>
      </c>
      <c r="F38" s="1" t="s">
        <v>162</v>
      </c>
      <c r="H38" s="1">
        <v>0.0</v>
      </c>
      <c r="I38" s="1">
        <v>1.0</v>
      </c>
      <c r="J38" s="1">
        <v>0.0</v>
      </c>
      <c r="K38" s="1">
        <v>16.0</v>
      </c>
      <c r="L38" s="1">
        <v>22.0</v>
      </c>
      <c r="M38" s="1">
        <v>0.727272727</v>
      </c>
      <c r="N38" s="1">
        <v>5.71999979</v>
      </c>
      <c r="O38" s="1" t="str">
        <f t="shared" si="1"/>
        <v>Yes</v>
      </c>
      <c r="P38" s="1" t="str">
        <f t="shared" si="2"/>
        <v>Yes</v>
      </c>
      <c r="Q38" s="1" t="str">
        <f t="shared" si="3"/>
        <v>Yes</v>
      </c>
      <c r="R38" s="1">
        <f t="shared" si="4"/>
        <v>5.71999979</v>
      </c>
    </row>
    <row r="39" ht="15.75" customHeight="1">
      <c r="A39" s="1" t="s">
        <v>160</v>
      </c>
      <c r="B39" s="1" t="s">
        <v>18</v>
      </c>
      <c r="C39" s="5">
        <v>45741.0</v>
      </c>
      <c r="D39" s="1" t="s">
        <v>161</v>
      </c>
      <c r="E39" s="1" t="s">
        <v>11</v>
      </c>
      <c r="F39" s="1" t="s">
        <v>162</v>
      </c>
      <c r="H39" s="1">
        <v>0.0</v>
      </c>
      <c r="I39" s="1">
        <v>1.0</v>
      </c>
      <c r="J39" s="1">
        <v>0.0</v>
      </c>
      <c r="K39" s="1">
        <v>13.0</v>
      </c>
      <c r="L39" s="1">
        <v>19.0</v>
      </c>
      <c r="M39" s="1">
        <v>0.684210526</v>
      </c>
      <c r="N39" s="1">
        <v>0.0</v>
      </c>
      <c r="O39" s="1" t="str">
        <f t="shared" si="1"/>
        <v>Yes</v>
      </c>
      <c r="P39" s="1" t="str">
        <f t="shared" si="2"/>
        <v>No</v>
      </c>
      <c r="Q39" s="1" t="str">
        <f t="shared" si="3"/>
        <v>Yes</v>
      </c>
      <c r="R39" s="1">
        <f t="shared" si="4"/>
        <v>0</v>
      </c>
    </row>
    <row r="40" ht="15.75" customHeight="1">
      <c r="A40" s="1" t="s">
        <v>160</v>
      </c>
      <c r="B40" s="1" t="s">
        <v>20</v>
      </c>
      <c r="C40" s="5">
        <v>45741.0</v>
      </c>
      <c r="D40" s="1" t="s">
        <v>161</v>
      </c>
      <c r="E40" s="1" t="s">
        <v>11</v>
      </c>
      <c r="F40" s="1" t="s">
        <v>162</v>
      </c>
      <c r="H40" s="1">
        <v>0.0</v>
      </c>
      <c r="I40" s="1">
        <v>1.0</v>
      </c>
      <c r="J40" s="1">
        <v>0.0</v>
      </c>
      <c r="K40" s="1">
        <v>24.0</v>
      </c>
      <c r="L40" s="1">
        <v>38.0</v>
      </c>
      <c r="M40" s="1">
        <v>0.631578947</v>
      </c>
      <c r="N40" s="1">
        <v>12.40999985</v>
      </c>
      <c r="O40" s="1" t="str">
        <f t="shared" si="1"/>
        <v>Yes</v>
      </c>
      <c r="P40" s="1" t="str">
        <f t="shared" si="2"/>
        <v>Yes</v>
      </c>
      <c r="Q40" s="1" t="str">
        <f t="shared" si="3"/>
        <v>Yes</v>
      </c>
      <c r="R40" s="1">
        <f t="shared" si="4"/>
        <v>12.40999985</v>
      </c>
    </row>
    <row r="41" ht="15.75" customHeight="1">
      <c r="A41" s="1" t="s">
        <v>160</v>
      </c>
      <c r="B41" s="1" t="s">
        <v>41</v>
      </c>
      <c r="C41" s="5">
        <v>45741.0</v>
      </c>
      <c r="D41" s="1" t="s">
        <v>161</v>
      </c>
      <c r="E41" s="1" t="s">
        <v>11</v>
      </c>
      <c r="F41" s="1" t="s">
        <v>162</v>
      </c>
      <c r="H41" s="1">
        <v>0.0</v>
      </c>
      <c r="I41" s="1">
        <v>1.0</v>
      </c>
      <c r="J41" s="1">
        <v>0.0</v>
      </c>
      <c r="K41" s="1">
        <v>15.0</v>
      </c>
      <c r="L41" s="1">
        <v>25.0</v>
      </c>
      <c r="M41" s="1">
        <v>0.6</v>
      </c>
      <c r="N41" s="1">
        <v>0.0</v>
      </c>
      <c r="O41" s="1" t="str">
        <f t="shared" si="1"/>
        <v>Yes</v>
      </c>
      <c r="P41" s="1" t="str">
        <f t="shared" si="2"/>
        <v>No</v>
      </c>
      <c r="Q41" s="1" t="str">
        <f t="shared" si="3"/>
        <v>Yes</v>
      </c>
      <c r="R41" s="1">
        <f t="shared" si="4"/>
        <v>0</v>
      </c>
    </row>
    <row r="42" ht="15.75" customHeight="1">
      <c r="A42" s="1" t="s">
        <v>160</v>
      </c>
      <c r="B42" s="1" t="s">
        <v>27</v>
      </c>
      <c r="C42" s="5">
        <v>45741.0</v>
      </c>
      <c r="D42" s="1" t="s">
        <v>161</v>
      </c>
      <c r="E42" s="1" t="s">
        <v>11</v>
      </c>
      <c r="F42" s="1" t="s">
        <v>165</v>
      </c>
      <c r="H42" s="1">
        <v>0.0</v>
      </c>
      <c r="I42" s="1">
        <v>1.0</v>
      </c>
      <c r="J42" s="1">
        <v>0.0</v>
      </c>
      <c r="K42" s="1">
        <v>15.0</v>
      </c>
      <c r="L42" s="1">
        <v>15.0</v>
      </c>
      <c r="M42" s="1">
        <v>1.0</v>
      </c>
      <c r="N42" s="1">
        <v>4.0</v>
      </c>
      <c r="O42" s="1" t="str">
        <f t="shared" si="1"/>
        <v>Yes</v>
      </c>
      <c r="P42" s="1" t="str">
        <f t="shared" si="2"/>
        <v>Yes</v>
      </c>
      <c r="Q42" s="1" t="str">
        <f t="shared" si="3"/>
        <v>Yes</v>
      </c>
      <c r="R42" s="1">
        <f t="shared" si="4"/>
        <v>4</v>
      </c>
    </row>
    <row r="43" ht="15.75" customHeight="1">
      <c r="A43" s="1" t="s">
        <v>160</v>
      </c>
      <c r="B43" s="1" t="s">
        <v>32</v>
      </c>
      <c r="C43" s="5">
        <v>45741.0</v>
      </c>
      <c r="D43" s="1" t="s">
        <v>161</v>
      </c>
      <c r="E43" s="1" t="s">
        <v>11</v>
      </c>
      <c r="F43" s="1" t="s">
        <v>165</v>
      </c>
      <c r="H43" s="1">
        <v>0.0</v>
      </c>
      <c r="I43" s="1">
        <v>1.0</v>
      </c>
      <c r="J43" s="1">
        <v>0.0</v>
      </c>
      <c r="K43" s="1">
        <v>34.0</v>
      </c>
      <c r="L43" s="1">
        <v>59.0</v>
      </c>
      <c r="M43" s="1">
        <v>0.576271186</v>
      </c>
      <c r="N43" s="1">
        <v>8.279999733</v>
      </c>
      <c r="O43" s="1" t="str">
        <f t="shared" si="1"/>
        <v>Yes</v>
      </c>
      <c r="P43" s="1" t="str">
        <f t="shared" si="2"/>
        <v>Yes</v>
      </c>
      <c r="Q43" s="1" t="str">
        <f t="shared" si="3"/>
        <v>Yes</v>
      </c>
      <c r="R43" s="1">
        <f t="shared" si="4"/>
        <v>8.279999733</v>
      </c>
    </row>
    <row r="44" ht="15.75" customHeight="1">
      <c r="A44" s="1" t="s">
        <v>160</v>
      </c>
      <c r="B44" s="1" t="s">
        <v>59</v>
      </c>
      <c r="C44" s="5">
        <v>45741.0</v>
      </c>
      <c r="D44" s="1" t="s">
        <v>161</v>
      </c>
      <c r="E44" s="1" t="s">
        <v>11</v>
      </c>
      <c r="F44" s="1" t="s">
        <v>165</v>
      </c>
      <c r="H44" s="1">
        <v>0.0</v>
      </c>
      <c r="I44" s="1">
        <v>1.0</v>
      </c>
      <c r="J44" s="1">
        <v>0.0</v>
      </c>
      <c r="K44" s="1">
        <v>16.0</v>
      </c>
      <c r="L44" s="1">
        <v>16.0</v>
      </c>
      <c r="M44" s="1">
        <v>1.0</v>
      </c>
      <c r="N44" s="1">
        <v>0.0</v>
      </c>
      <c r="O44" s="1" t="str">
        <f t="shared" si="1"/>
        <v>Yes</v>
      </c>
      <c r="P44" s="1" t="str">
        <f t="shared" si="2"/>
        <v>No</v>
      </c>
      <c r="Q44" s="1" t="str">
        <f t="shared" si="3"/>
        <v>Yes</v>
      </c>
      <c r="R44" s="1">
        <f t="shared" si="4"/>
        <v>0</v>
      </c>
    </row>
    <row r="45" ht="15.75" customHeight="1">
      <c r="A45" s="1" t="s">
        <v>160</v>
      </c>
      <c r="B45" s="1" t="s">
        <v>36</v>
      </c>
      <c r="C45" s="5">
        <v>45741.0</v>
      </c>
      <c r="D45" s="1" t="s">
        <v>161</v>
      </c>
      <c r="E45" s="1" t="s">
        <v>11</v>
      </c>
      <c r="F45" s="1" t="s">
        <v>162</v>
      </c>
      <c r="H45" s="1">
        <v>0.0</v>
      </c>
      <c r="I45" s="1">
        <v>1.0</v>
      </c>
      <c r="J45" s="1">
        <v>0.0</v>
      </c>
      <c r="K45" s="1">
        <v>58.0</v>
      </c>
      <c r="L45" s="1">
        <v>84.0</v>
      </c>
      <c r="M45" s="1">
        <v>0.69047619</v>
      </c>
      <c r="N45" s="1">
        <v>0.0</v>
      </c>
      <c r="O45" s="1" t="str">
        <f t="shared" si="1"/>
        <v>Yes</v>
      </c>
      <c r="P45" s="1" t="str">
        <f t="shared" si="2"/>
        <v>No</v>
      </c>
      <c r="Q45" s="1" t="str">
        <f t="shared" si="3"/>
        <v>Yes</v>
      </c>
      <c r="R45" s="1">
        <f t="shared" si="4"/>
        <v>0</v>
      </c>
    </row>
    <row r="46" ht="15.75" customHeight="1">
      <c r="A46" s="1" t="s">
        <v>160</v>
      </c>
      <c r="B46" s="1" t="s">
        <v>39</v>
      </c>
      <c r="C46" s="5">
        <v>45741.0</v>
      </c>
      <c r="D46" s="1" t="s">
        <v>161</v>
      </c>
      <c r="E46" s="1" t="s">
        <v>11</v>
      </c>
      <c r="F46" s="1" t="s">
        <v>162</v>
      </c>
      <c r="H46" s="1">
        <v>0.0</v>
      </c>
      <c r="I46" s="1">
        <v>1.0</v>
      </c>
      <c r="J46" s="1">
        <v>0.0</v>
      </c>
      <c r="K46" s="1">
        <v>50.0</v>
      </c>
      <c r="L46" s="1">
        <v>65.0</v>
      </c>
      <c r="M46" s="1">
        <v>0.769230769</v>
      </c>
      <c r="N46" s="1">
        <v>0.0</v>
      </c>
      <c r="O46" s="1" t="str">
        <f t="shared" si="1"/>
        <v>Yes</v>
      </c>
      <c r="P46" s="1" t="str">
        <f t="shared" si="2"/>
        <v>No</v>
      </c>
      <c r="Q46" s="1" t="str">
        <f t="shared" si="3"/>
        <v>Yes</v>
      </c>
      <c r="R46" s="1">
        <f t="shared" si="4"/>
        <v>0</v>
      </c>
    </row>
    <row r="47" ht="15.75" customHeight="1">
      <c r="A47" s="1" t="s">
        <v>160</v>
      </c>
      <c r="B47" s="1" t="s">
        <v>39</v>
      </c>
      <c r="C47" s="5">
        <v>45741.0</v>
      </c>
      <c r="D47" s="1" t="s">
        <v>161</v>
      </c>
      <c r="E47" s="1" t="s">
        <v>11</v>
      </c>
      <c r="F47" s="1" t="s">
        <v>166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N47" s="1">
        <v>0.0</v>
      </c>
      <c r="O47" s="1" t="str">
        <f t="shared" si="1"/>
        <v>No</v>
      </c>
      <c r="P47" s="1" t="str">
        <f t="shared" si="2"/>
        <v>No</v>
      </c>
      <c r="Q47" s="1" t="str">
        <f t="shared" si="3"/>
        <v>Yes</v>
      </c>
      <c r="R47" s="1" t="str">
        <f t="shared" si="4"/>
        <v>#DIV/0!</v>
      </c>
    </row>
    <row r="48" ht="15.75" customHeight="1">
      <c r="A48" s="1" t="s">
        <v>160</v>
      </c>
      <c r="B48" s="1" t="s">
        <v>46</v>
      </c>
      <c r="C48" s="5">
        <v>45741.0</v>
      </c>
      <c r="D48" s="1" t="s">
        <v>161</v>
      </c>
      <c r="E48" s="1" t="s">
        <v>11</v>
      </c>
      <c r="F48" s="1" t="s">
        <v>165</v>
      </c>
      <c r="H48" s="1">
        <v>0.0</v>
      </c>
      <c r="I48" s="1">
        <v>1.0</v>
      </c>
      <c r="J48" s="1">
        <v>0.0</v>
      </c>
      <c r="K48" s="1">
        <v>18.0</v>
      </c>
      <c r="L48" s="1">
        <v>36.0</v>
      </c>
      <c r="M48" s="1">
        <v>0.5</v>
      </c>
      <c r="N48" s="1">
        <v>0.0</v>
      </c>
      <c r="O48" s="1" t="str">
        <f t="shared" si="1"/>
        <v>Yes</v>
      </c>
      <c r="P48" s="1" t="str">
        <f t="shared" si="2"/>
        <v>No</v>
      </c>
      <c r="Q48" s="1" t="str">
        <f t="shared" si="3"/>
        <v>Yes</v>
      </c>
      <c r="R48" s="1">
        <f t="shared" si="4"/>
        <v>0</v>
      </c>
    </row>
    <row r="49" ht="15.75" customHeight="1">
      <c r="A49" s="1" t="s">
        <v>160</v>
      </c>
      <c r="B49" s="1" t="s">
        <v>46</v>
      </c>
      <c r="C49" s="5">
        <v>45741.0</v>
      </c>
      <c r="D49" s="1" t="s">
        <v>161</v>
      </c>
      <c r="E49" s="1" t="s">
        <v>11</v>
      </c>
      <c r="F49" s="1" t="s">
        <v>162</v>
      </c>
      <c r="H49" s="1">
        <v>0.0</v>
      </c>
      <c r="I49" s="1">
        <v>0.0</v>
      </c>
      <c r="J49" s="1">
        <v>0.0</v>
      </c>
      <c r="K49" s="1">
        <v>2.0</v>
      </c>
      <c r="L49" s="1">
        <v>4.0</v>
      </c>
      <c r="M49" s="1">
        <v>0.5</v>
      </c>
      <c r="N49" s="1">
        <v>0.0</v>
      </c>
      <c r="O49" s="1" t="str">
        <f t="shared" si="1"/>
        <v>No</v>
      </c>
      <c r="P49" s="1" t="str">
        <f t="shared" si="2"/>
        <v>No</v>
      </c>
      <c r="Q49" s="1" t="str">
        <f t="shared" si="3"/>
        <v>Yes</v>
      </c>
      <c r="R49" s="1" t="str">
        <f t="shared" si="4"/>
        <v>#DIV/0!</v>
      </c>
    </row>
    <row r="50" ht="15.75" customHeight="1">
      <c r="A50" s="1" t="s">
        <v>160</v>
      </c>
      <c r="B50" s="1" t="s">
        <v>53</v>
      </c>
      <c r="C50" s="5">
        <v>45741.0</v>
      </c>
      <c r="D50" s="1" t="s">
        <v>161</v>
      </c>
      <c r="E50" s="1" t="s">
        <v>11</v>
      </c>
      <c r="F50" s="1" t="s">
        <v>165</v>
      </c>
      <c r="H50" s="1">
        <v>0.0</v>
      </c>
      <c r="I50" s="1">
        <v>1.0</v>
      </c>
      <c r="J50" s="1">
        <v>0.0</v>
      </c>
      <c r="K50" s="1">
        <v>30.0</v>
      </c>
      <c r="L50" s="1">
        <v>40.0</v>
      </c>
      <c r="M50" s="1">
        <v>0.75</v>
      </c>
      <c r="N50" s="1">
        <v>17.40999985</v>
      </c>
      <c r="O50" s="1" t="str">
        <f t="shared" si="1"/>
        <v>Yes</v>
      </c>
      <c r="P50" s="1" t="str">
        <f t="shared" si="2"/>
        <v>Yes</v>
      </c>
      <c r="Q50" s="1" t="str">
        <f t="shared" si="3"/>
        <v>Yes</v>
      </c>
      <c r="R50" s="1">
        <f t="shared" si="4"/>
        <v>17.40999985</v>
      </c>
    </row>
    <row r="51" ht="15.75" customHeight="1">
      <c r="A51" s="1" t="s">
        <v>160</v>
      </c>
      <c r="B51" s="1" t="s">
        <v>56</v>
      </c>
      <c r="C51" s="5">
        <v>45741.0</v>
      </c>
      <c r="D51" s="1" t="s">
        <v>161</v>
      </c>
      <c r="E51" s="1" t="s">
        <v>11</v>
      </c>
      <c r="F51" s="1" t="s">
        <v>165</v>
      </c>
      <c r="H51" s="1">
        <v>0.0</v>
      </c>
      <c r="I51" s="1">
        <v>1.0</v>
      </c>
      <c r="J51" s="1">
        <v>0.0</v>
      </c>
      <c r="K51" s="1">
        <v>14.0</v>
      </c>
      <c r="L51" s="1">
        <v>18.0</v>
      </c>
      <c r="M51" s="1">
        <v>0.777777778</v>
      </c>
      <c r="N51" s="1">
        <v>25.79000092</v>
      </c>
      <c r="O51" s="1" t="str">
        <f t="shared" si="1"/>
        <v>Yes</v>
      </c>
      <c r="P51" s="1" t="str">
        <f t="shared" si="2"/>
        <v>Yes</v>
      </c>
      <c r="Q51" s="1" t="str">
        <f t="shared" si="3"/>
        <v>Yes</v>
      </c>
      <c r="R51" s="1">
        <f t="shared" si="4"/>
        <v>25.79000092</v>
      </c>
    </row>
    <row r="52" ht="15.75" customHeight="1">
      <c r="A52" s="1" t="s">
        <v>160</v>
      </c>
      <c r="B52" s="1" t="s">
        <v>56</v>
      </c>
      <c r="C52" s="5">
        <v>45741.0</v>
      </c>
      <c r="D52" s="1" t="s">
        <v>161</v>
      </c>
      <c r="E52" s="1" t="s">
        <v>11</v>
      </c>
      <c r="F52" s="1" t="s">
        <v>162</v>
      </c>
      <c r="H52" s="1">
        <v>0.0</v>
      </c>
      <c r="I52" s="1">
        <v>0.0</v>
      </c>
      <c r="J52" s="1">
        <v>0.0</v>
      </c>
      <c r="K52" s="1">
        <v>13.0</v>
      </c>
      <c r="L52" s="1">
        <v>17.0</v>
      </c>
      <c r="M52" s="1">
        <v>0.764705882</v>
      </c>
      <c r="N52" s="1">
        <v>0.0</v>
      </c>
      <c r="O52" s="1" t="str">
        <f t="shared" si="1"/>
        <v>No</v>
      </c>
      <c r="P52" s="1" t="str">
        <f t="shared" si="2"/>
        <v>No</v>
      </c>
      <c r="Q52" s="1" t="str">
        <f t="shared" si="3"/>
        <v>Yes</v>
      </c>
      <c r="R52" s="1" t="str">
        <f t="shared" si="4"/>
        <v>#DIV/0!</v>
      </c>
    </row>
    <row r="53" ht="15.75" customHeight="1">
      <c r="A53" s="1" t="s">
        <v>160</v>
      </c>
      <c r="B53" s="1" t="s">
        <v>80</v>
      </c>
      <c r="C53" s="5">
        <v>45741.0</v>
      </c>
      <c r="D53" s="1" t="s">
        <v>161</v>
      </c>
      <c r="E53" s="1" t="s">
        <v>11</v>
      </c>
      <c r="H53" s="1">
        <v>0.0</v>
      </c>
      <c r="J53" s="1">
        <v>0.0</v>
      </c>
      <c r="N53" s="1">
        <v>3.450000048</v>
      </c>
      <c r="O53" s="1" t="str">
        <f t="shared" si="1"/>
        <v>No</v>
      </c>
      <c r="P53" s="1" t="str">
        <f t="shared" si="2"/>
        <v>Yes</v>
      </c>
      <c r="Q53" s="1" t="str">
        <f t="shared" si="3"/>
        <v>Yes</v>
      </c>
      <c r="R53" s="1" t="str">
        <f t="shared" si="4"/>
        <v>#DIV/0!</v>
      </c>
    </row>
    <row r="54" ht="15.75" customHeight="1">
      <c r="A54" s="1" t="s">
        <v>160</v>
      </c>
      <c r="B54" s="1" t="s">
        <v>65</v>
      </c>
      <c r="C54" s="5">
        <v>45741.0</v>
      </c>
      <c r="D54" s="1" t="s">
        <v>161</v>
      </c>
      <c r="E54" s="1" t="s">
        <v>11</v>
      </c>
      <c r="F54" s="1" t="s">
        <v>162</v>
      </c>
      <c r="H54" s="1">
        <v>0.0</v>
      </c>
      <c r="I54" s="1">
        <v>0.0</v>
      </c>
      <c r="J54" s="1">
        <v>0.0</v>
      </c>
      <c r="K54" s="1">
        <v>4.0</v>
      </c>
      <c r="L54" s="1">
        <v>6.0</v>
      </c>
      <c r="M54" s="1">
        <v>0.666666667</v>
      </c>
      <c r="N54" s="1">
        <v>0.0</v>
      </c>
      <c r="O54" s="1" t="str">
        <f t="shared" si="1"/>
        <v>No</v>
      </c>
      <c r="P54" s="1" t="str">
        <f t="shared" si="2"/>
        <v>No</v>
      </c>
      <c r="Q54" s="1" t="str">
        <f t="shared" si="3"/>
        <v>Yes</v>
      </c>
      <c r="R54" s="1" t="str">
        <f t="shared" si="4"/>
        <v>#DIV/0!</v>
      </c>
    </row>
    <row r="55" ht="15.75" customHeight="1">
      <c r="A55" s="1" t="s">
        <v>160</v>
      </c>
      <c r="B55" s="1" t="s">
        <v>92</v>
      </c>
      <c r="C55" s="5">
        <v>45741.0</v>
      </c>
      <c r="D55" s="1" t="s">
        <v>161</v>
      </c>
      <c r="E55" s="1" t="s">
        <v>11</v>
      </c>
      <c r="F55" s="1" t="s">
        <v>165</v>
      </c>
      <c r="H55" s="1">
        <v>0.0</v>
      </c>
      <c r="I55" s="1">
        <v>0.0</v>
      </c>
      <c r="J55" s="1">
        <v>0.0</v>
      </c>
      <c r="K55" s="1">
        <v>4.0</v>
      </c>
      <c r="L55" s="1">
        <v>9.0</v>
      </c>
      <c r="M55" s="1">
        <v>0.444444444</v>
      </c>
      <c r="N55" s="1">
        <v>0.0</v>
      </c>
      <c r="O55" s="1" t="str">
        <f t="shared" si="1"/>
        <v>No</v>
      </c>
      <c r="P55" s="1" t="str">
        <f t="shared" si="2"/>
        <v>No</v>
      </c>
      <c r="Q55" s="1" t="str">
        <f t="shared" si="3"/>
        <v>Yes</v>
      </c>
      <c r="R55" s="1" t="str">
        <f t="shared" si="4"/>
        <v>#DIV/0!</v>
      </c>
    </row>
    <row r="56" ht="15.75" customHeight="1">
      <c r="A56" s="1" t="s">
        <v>160</v>
      </c>
      <c r="B56" s="1" t="s">
        <v>69</v>
      </c>
      <c r="C56" s="5">
        <v>45741.0</v>
      </c>
      <c r="D56" s="1" t="s">
        <v>161</v>
      </c>
      <c r="E56" s="1" t="s">
        <v>11</v>
      </c>
      <c r="F56" s="1" t="s">
        <v>165</v>
      </c>
      <c r="H56" s="1">
        <v>0.0</v>
      </c>
      <c r="I56" s="1">
        <v>0.0</v>
      </c>
      <c r="J56" s="1">
        <v>0.0</v>
      </c>
      <c r="K56" s="1">
        <v>0.0</v>
      </c>
      <c r="L56" s="1">
        <v>2.0</v>
      </c>
      <c r="M56" s="1">
        <v>0.0</v>
      </c>
      <c r="N56" s="1">
        <v>0.0</v>
      </c>
      <c r="O56" s="1" t="str">
        <f t="shared" si="1"/>
        <v>No</v>
      </c>
      <c r="P56" s="1" t="str">
        <f t="shared" si="2"/>
        <v>No</v>
      </c>
      <c r="Q56" s="1" t="str">
        <f t="shared" si="3"/>
        <v>Yes</v>
      </c>
      <c r="R56" s="1" t="str">
        <f t="shared" si="4"/>
        <v>#DIV/0!</v>
      </c>
    </row>
    <row r="57" ht="15.75" customHeight="1">
      <c r="A57" s="1" t="s">
        <v>160</v>
      </c>
      <c r="B57" s="1" t="s">
        <v>198</v>
      </c>
      <c r="C57" s="5">
        <v>45741.0</v>
      </c>
      <c r="D57" s="1" t="s">
        <v>161</v>
      </c>
      <c r="E57" s="1" t="s">
        <v>296</v>
      </c>
      <c r="H57" s="1">
        <v>0.0</v>
      </c>
      <c r="J57" s="1">
        <v>0.0</v>
      </c>
      <c r="N57" s="1">
        <v>34.5</v>
      </c>
      <c r="O57" s="1" t="str">
        <f t="shared" si="1"/>
        <v>No</v>
      </c>
      <c r="P57" s="1" t="str">
        <f t="shared" si="2"/>
        <v>Yes</v>
      </c>
      <c r="Q57" s="1" t="str">
        <f t="shared" si="3"/>
        <v>No</v>
      </c>
      <c r="R57" s="1" t="str">
        <f t="shared" si="4"/>
        <v>#DIV/0!</v>
      </c>
    </row>
    <row r="58" ht="15.75" customHeight="1">
      <c r="A58" s="1" t="s">
        <v>160</v>
      </c>
      <c r="B58" s="1" t="s">
        <v>77</v>
      </c>
      <c r="C58" s="5">
        <v>45741.0</v>
      </c>
      <c r="D58" s="1" t="s">
        <v>161</v>
      </c>
      <c r="E58" s="1" t="s">
        <v>11</v>
      </c>
      <c r="F58" s="1" t="s">
        <v>162</v>
      </c>
      <c r="H58" s="1">
        <v>0.0</v>
      </c>
      <c r="I58" s="1">
        <v>1.0</v>
      </c>
      <c r="J58" s="1">
        <v>0.0</v>
      </c>
      <c r="K58" s="1">
        <v>26.0</v>
      </c>
      <c r="L58" s="1">
        <v>29.0</v>
      </c>
      <c r="M58" s="1">
        <v>0.896551724</v>
      </c>
      <c r="N58" s="1">
        <v>0.0</v>
      </c>
      <c r="O58" s="1" t="str">
        <f t="shared" si="1"/>
        <v>Yes</v>
      </c>
      <c r="P58" s="1" t="str">
        <f t="shared" si="2"/>
        <v>No</v>
      </c>
      <c r="Q58" s="1" t="str">
        <f t="shared" si="3"/>
        <v>Yes</v>
      </c>
      <c r="R58" s="1">
        <f t="shared" si="4"/>
        <v>0</v>
      </c>
    </row>
    <row r="59" ht="15.75" customHeight="1">
      <c r="A59" s="1" t="s">
        <v>160</v>
      </c>
      <c r="B59" s="1" t="s">
        <v>90</v>
      </c>
      <c r="C59" s="5">
        <v>45741.0</v>
      </c>
      <c r="D59" s="1" t="s">
        <v>161</v>
      </c>
      <c r="E59" s="1" t="s">
        <v>11</v>
      </c>
      <c r="F59" s="1" t="s">
        <v>165</v>
      </c>
      <c r="H59" s="1">
        <v>0.0</v>
      </c>
      <c r="I59" s="1">
        <v>2.0</v>
      </c>
      <c r="J59" s="1">
        <v>0.0</v>
      </c>
      <c r="K59" s="1">
        <v>43.0</v>
      </c>
      <c r="L59" s="1">
        <v>51.0</v>
      </c>
      <c r="M59" s="1">
        <v>0.843137255</v>
      </c>
      <c r="N59" s="1">
        <v>0.0</v>
      </c>
      <c r="O59" s="1" t="str">
        <f t="shared" si="1"/>
        <v>Yes</v>
      </c>
      <c r="P59" s="1" t="str">
        <f t="shared" si="2"/>
        <v>No</v>
      </c>
      <c r="Q59" s="1" t="str">
        <f t="shared" si="3"/>
        <v>Yes</v>
      </c>
      <c r="R59" s="1">
        <f t="shared" si="4"/>
        <v>0</v>
      </c>
    </row>
    <row r="60" ht="15.75" customHeight="1">
      <c r="A60" s="1" t="s">
        <v>160</v>
      </c>
      <c r="B60" s="1" t="s">
        <v>93</v>
      </c>
      <c r="C60" s="5">
        <v>45741.0</v>
      </c>
      <c r="D60" s="1" t="s">
        <v>161</v>
      </c>
      <c r="E60" s="1" t="s">
        <v>11</v>
      </c>
      <c r="F60" s="1" t="s">
        <v>166</v>
      </c>
      <c r="H60" s="1">
        <v>0.0</v>
      </c>
      <c r="I60" s="1">
        <v>1.0</v>
      </c>
      <c r="J60" s="1">
        <v>0.0</v>
      </c>
      <c r="K60" s="1">
        <v>8.0</v>
      </c>
      <c r="L60" s="1">
        <v>10.0</v>
      </c>
      <c r="M60" s="1">
        <v>0.8</v>
      </c>
      <c r="N60" s="1">
        <v>2.869999886</v>
      </c>
      <c r="O60" s="1" t="str">
        <f t="shared" si="1"/>
        <v>Yes</v>
      </c>
      <c r="P60" s="1" t="str">
        <f t="shared" si="2"/>
        <v>Yes</v>
      </c>
      <c r="Q60" s="1" t="str">
        <f t="shared" si="3"/>
        <v>Yes</v>
      </c>
      <c r="R60" s="1">
        <f t="shared" si="4"/>
        <v>2.869999886</v>
      </c>
    </row>
    <row r="61" ht="15.75" customHeight="1">
      <c r="A61" s="1" t="s">
        <v>160</v>
      </c>
      <c r="B61" s="1" t="s">
        <v>94</v>
      </c>
      <c r="C61" s="5">
        <v>45741.0</v>
      </c>
      <c r="D61" s="1" t="s">
        <v>161</v>
      </c>
      <c r="E61" s="1" t="s">
        <v>11</v>
      </c>
      <c r="F61" s="1" t="s">
        <v>166</v>
      </c>
      <c r="H61" s="1">
        <v>0.0</v>
      </c>
      <c r="I61" s="1">
        <v>1.0</v>
      </c>
      <c r="J61" s="1">
        <v>0.0</v>
      </c>
      <c r="K61" s="1">
        <v>14.0</v>
      </c>
      <c r="L61" s="1">
        <v>14.0</v>
      </c>
      <c r="M61" s="1">
        <v>1.0</v>
      </c>
      <c r="N61" s="1">
        <v>0.0</v>
      </c>
      <c r="O61" s="1" t="str">
        <f t="shared" si="1"/>
        <v>Yes</v>
      </c>
      <c r="P61" s="1" t="str">
        <f t="shared" si="2"/>
        <v>No</v>
      </c>
      <c r="Q61" s="1" t="str">
        <f t="shared" si="3"/>
        <v>Yes</v>
      </c>
      <c r="R61" s="1">
        <f t="shared" si="4"/>
        <v>0</v>
      </c>
    </row>
    <row r="62" ht="15.75" customHeight="1">
      <c r="A62" s="1" t="s">
        <v>164</v>
      </c>
      <c r="B62" s="1" t="s">
        <v>22</v>
      </c>
      <c r="C62" s="5">
        <v>45741.0</v>
      </c>
      <c r="D62" s="1" t="s">
        <v>161</v>
      </c>
      <c r="E62" s="1" t="s">
        <v>11</v>
      </c>
      <c r="H62" s="1">
        <v>0.0</v>
      </c>
      <c r="J62" s="1">
        <v>0.0</v>
      </c>
      <c r="N62" s="1">
        <v>0.050000001</v>
      </c>
      <c r="O62" s="1" t="str">
        <f t="shared" si="1"/>
        <v>No</v>
      </c>
      <c r="P62" s="1" t="str">
        <f t="shared" si="2"/>
        <v>Yes</v>
      </c>
      <c r="Q62" s="1" t="str">
        <f t="shared" si="3"/>
        <v>Yes</v>
      </c>
      <c r="R62" s="1" t="str">
        <f t="shared" si="4"/>
        <v>#DIV/0!</v>
      </c>
    </row>
    <row r="63" ht="15.75" customHeight="1">
      <c r="A63" s="1" t="s">
        <v>164</v>
      </c>
      <c r="B63" s="1" t="s">
        <v>35</v>
      </c>
      <c r="C63" s="5">
        <v>45741.0</v>
      </c>
      <c r="D63" s="1" t="s">
        <v>161</v>
      </c>
      <c r="E63" s="1" t="s">
        <v>11</v>
      </c>
      <c r="F63" s="1" t="s">
        <v>166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N63" s="1">
        <v>1.379999995</v>
      </c>
      <c r="O63" s="1" t="str">
        <f t="shared" si="1"/>
        <v>No</v>
      </c>
      <c r="P63" s="1" t="str">
        <f t="shared" si="2"/>
        <v>Yes</v>
      </c>
      <c r="Q63" s="1" t="str">
        <f t="shared" si="3"/>
        <v>Yes</v>
      </c>
      <c r="R63" s="1" t="str">
        <f t="shared" si="4"/>
        <v>#DIV/0!</v>
      </c>
    </row>
    <row r="64" ht="15.75" customHeight="1">
      <c r="A64" s="1" t="s">
        <v>164</v>
      </c>
      <c r="B64" s="1" t="s">
        <v>43</v>
      </c>
      <c r="C64" s="5">
        <v>45741.0</v>
      </c>
      <c r="D64" s="1" t="s">
        <v>161</v>
      </c>
      <c r="E64" s="1" t="s">
        <v>11</v>
      </c>
      <c r="F64" s="1" t="s">
        <v>166</v>
      </c>
      <c r="H64" s="1">
        <v>0.0</v>
      </c>
      <c r="I64" s="1">
        <v>3.0</v>
      </c>
      <c r="J64" s="1">
        <v>0.0</v>
      </c>
      <c r="K64" s="1">
        <v>46.0</v>
      </c>
      <c r="L64" s="1">
        <v>64.0</v>
      </c>
      <c r="M64" s="1">
        <v>0.71875</v>
      </c>
      <c r="N64" s="1">
        <v>30.85000038</v>
      </c>
      <c r="O64" s="1" t="str">
        <f t="shared" si="1"/>
        <v>Yes</v>
      </c>
      <c r="P64" s="1" t="str">
        <f t="shared" si="2"/>
        <v>Yes</v>
      </c>
      <c r="Q64" s="1" t="str">
        <f t="shared" si="3"/>
        <v>No</v>
      </c>
      <c r="R64" s="1">
        <f t="shared" si="4"/>
        <v>10.28333346</v>
      </c>
    </row>
    <row r="65" ht="15.75" customHeight="1">
      <c r="A65" s="1" t="s">
        <v>164</v>
      </c>
      <c r="B65" s="1" t="s">
        <v>24</v>
      </c>
      <c r="C65" s="5">
        <v>45741.0</v>
      </c>
      <c r="D65" s="1" t="s">
        <v>161</v>
      </c>
      <c r="E65" s="1" t="s">
        <v>11</v>
      </c>
      <c r="F65" s="1" t="s">
        <v>162</v>
      </c>
      <c r="H65" s="1">
        <v>0.0</v>
      </c>
      <c r="I65" s="1">
        <v>0.0</v>
      </c>
      <c r="J65" s="1">
        <v>0.0</v>
      </c>
      <c r="K65" s="1">
        <v>0.0</v>
      </c>
      <c r="L65" s="1">
        <v>0.0</v>
      </c>
      <c r="N65" s="1">
        <v>0.0</v>
      </c>
      <c r="O65" s="1" t="str">
        <f t="shared" si="1"/>
        <v>No</v>
      </c>
      <c r="P65" s="1" t="str">
        <f t="shared" si="2"/>
        <v>No</v>
      </c>
      <c r="Q65" s="1" t="str">
        <f t="shared" si="3"/>
        <v>Yes</v>
      </c>
      <c r="R65" s="1" t="str">
        <f t="shared" si="4"/>
        <v>#DIV/0!</v>
      </c>
    </row>
    <row r="66" ht="15.75" customHeight="1">
      <c r="A66" s="1" t="s">
        <v>164</v>
      </c>
      <c r="B66" s="1" t="s">
        <v>24</v>
      </c>
      <c r="C66" s="5">
        <v>45741.0</v>
      </c>
      <c r="D66" s="1" t="s">
        <v>161</v>
      </c>
      <c r="E66" s="1" t="s">
        <v>11</v>
      </c>
      <c r="F66" s="1" t="s">
        <v>166</v>
      </c>
      <c r="H66" s="1">
        <v>0.0</v>
      </c>
      <c r="I66" s="1">
        <v>0.0</v>
      </c>
      <c r="J66" s="1">
        <v>0.0</v>
      </c>
      <c r="K66" s="1">
        <v>11.0</v>
      </c>
      <c r="L66" s="1">
        <v>13.0</v>
      </c>
      <c r="M66" s="1">
        <v>0.846153846</v>
      </c>
      <c r="N66" s="1">
        <v>0.0</v>
      </c>
      <c r="O66" s="1" t="str">
        <f t="shared" si="1"/>
        <v>No</v>
      </c>
      <c r="P66" s="1" t="str">
        <f t="shared" si="2"/>
        <v>No</v>
      </c>
      <c r="Q66" s="1" t="str">
        <f t="shared" si="3"/>
        <v>Yes</v>
      </c>
      <c r="R66" s="1" t="str">
        <f t="shared" si="4"/>
        <v>#DIV/0!</v>
      </c>
    </row>
    <row r="67" ht="15.75" customHeight="1">
      <c r="A67" s="1" t="s">
        <v>164</v>
      </c>
      <c r="B67" s="1" t="s">
        <v>49</v>
      </c>
      <c r="C67" s="5">
        <v>45741.0</v>
      </c>
      <c r="D67" s="1" t="s">
        <v>161</v>
      </c>
      <c r="E67" s="1" t="s">
        <v>11</v>
      </c>
      <c r="F67" s="1" t="s">
        <v>162</v>
      </c>
      <c r="H67" s="1">
        <v>0.0</v>
      </c>
      <c r="I67" s="1">
        <v>0.0</v>
      </c>
      <c r="J67" s="1">
        <v>0.0</v>
      </c>
      <c r="K67" s="1">
        <v>2.0</v>
      </c>
      <c r="L67" s="1">
        <v>4.0</v>
      </c>
      <c r="M67" s="1">
        <v>0.5</v>
      </c>
      <c r="N67" s="1">
        <v>2.50999999</v>
      </c>
      <c r="O67" s="1" t="str">
        <f t="shared" si="1"/>
        <v>No</v>
      </c>
      <c r="P67" s="1" t="str">
        <f t="shared" si="2"/>
        <v>Yes</v>
      </c>
      <c r="Q67" s="1" t="str">
        <f t="shared" si="3"/>
        <v>Yes</v>
      </c>
      <c r="R67" s="1" t="str">
        <f t="shared" si="4"/>
        <v>#DIV/0!</v>
      </c>
    </row>
    <row r="68" ht="15.75" customHeight="1">
      <c r="A68" s="1" t="s">
        <v>164</v>
      </c>
      <c r="B68" s="1" t="s">
        <v>52</v>
      </c>
      <c r="C68" s="5">
        <v>45741.0</v>
      </c>
      <c r="D68" s="1" t="s">
        <v>161</v>
      </c>
      <c r="E68" s="1" t="s">
        <v>11</v>
      </c>
      <c r="F68" s="1" t="s">
        <v>165</v>
      </c>
      <c r="H68" s="1">
        <v>0.0</v>
      </c>
      <c r="I68" s="1">
        <v>0.0</v>
      </c>
      <c r="J68" s="1">
        <v>0.0</v>
      </c>
      <c r="K68" s="1">
        <v>6.0</v>
      </c>
      <c r="L68" s="1">
        <v>6.0</v>
      </c>
      <c r="M68" s="1">
        <v>1.0</v>
      </c>
      <c r="N68" s="1">
        <v>6.610000134</v>
      </c>
      <c r="O68" s="1" t="str">
        <f t="shared" si="1"/>
        <v>No</v>
      </c>
      <c r="P68" s="1" t="str">
        <f t="shared" si="2"/>
        <v>Yes</v>
      </c>
      <c r="Q68" s="1" t="str">
        <f t="shared" si="3"/>
        <v>Yes</v>
      </c>
      <c r="R68" s="1" t="str">
        <f t="shared" si="4"/>
        <v>#DIV/0!</v>
      </c>
    </row>
    <row r="69" ht="15.75" customHeight="1">
      <c r="A69" s="1" t="s">
        <v>164</v>
      </c>
      <c r="B69" s="1" t="s">
        <v>52</v>
      </c>
      <c r="C69" s="5">
        <v>45741.0</v>
      </c>
      <c r="D69" s="1" t="s">
        <v>161</v>
      </c>
      <c r="E69" s="1" t="s">
        <v>11</v>
      </c>
      <c r="F69" s="1" t="s">
        <v>162</v>
      </c>
      <c r="H69" s="1">
        <v>0.0</v>
      </c>
      <c r="I69" s="1">
        <v>0.0</v>
      </c>
      <c r="J69" s="1">
        <v>0.0</v>
      </c>
      <c r="K69" s="1">
        <v>0.0</v>
      </c>
      <c r="L69" s="1">
        <v>0.0</v>
      </c>
      <c r="N69" s="1">
        <v>0.0</v>
      </c>
      <c r="O69" s="1" t="str">
        <f t="shared" si="1"/>
        <v>No</v>
      </c>
      <c r="P69" s="1" t="str">
        <f t="shared" si="2"/>
        <v>No</v>
      </c>
      <c r="Q69" s="1" t="str">
        <f t="shared" si="3"/>
        <v>Yes</v>
      </c>
      <c r="R69" s="1" t="str">
        <f t="shared" si="4"/>
        <v>#DIV/0!</v>
      </c>
    </row>
    <row r="70" ht="15.75" customHeight="1">
      <c r="A70" s="1" t="s">
        <v>164</v>
      </c>
      <c r="B70" s="1" t="s">
        <v>62</v>
      </c>
      <c r="C70" s="5">
        <v>45741.0</v>
      </c>
      <c r="D70" s="1" t="s">
        <v>161</v>
      </c>
      <c r="E70" s="1" t="s">
        <v>11</v>
      </c>
      <c r="F70" s="1" t="s">
        <v>165</v>
      </c>
      <c r="H70" s="1">
        <v>0.0</v>
      </c>
      <c r="I70" s="1">
        <v>0.0</v>
      </c>
      <c r="J70" s="1">
        <v>0.0</v>
      </c>
      <c r="K70" s="1">
        <v>6.0</v>
      </c>
      <c r="L70" s="1">
        <v>6.0</v>
      </c>
      <c r="M70" s="1">
        <v>1.0</v>
      </c>
      <c r="N70" s="1">
        <v>0.0</v>
      </c>
      <c r="O70" s="1" t="str">
        <f t="shared" si="1"/>
        <v>No</v>
      </c>
      <c r="P70" s="1" t="str">
        <f t="shared" si="2"/>
        <v>No</v>
      </c>
      <c r="Q70" s="1" t="str">
        <f t="shared" si="3"/>
        <v>Yes</v>
      </c>
      <c r="R70" s="1" t="str">
        <f t="shared" si="4"/>
        <v>#DIV/0!</v>
      </c>
    </row>
    <row r="71" ht="15.75" customHeight="1">
      <c r="A71" s="1" t="s">
        <v>164</v>
      </c>
      <c r="B71" s="1" t="s">
        <v>62</v>
      </c>
      <c r="C71" s="5">
        <v>45741.0</v>
      </c>
      <c r="D71" s="1" t="s">
        <v>161</v>
      </c>
      <c r="E71" s="1" t="s">
        <v>11</v>
      </c>
      <c r="F71" s="1" t="s">
        <v>166</v>
      </c>
      <c r="H71" s="1">
        <v>0.0</v>
      </c>
      <c r="I71" s="1">
        <v>2.0</v>
      </c>
      <c r="J71" s="1">
        <v>0.0</v>
      </c>
      <c r="K71" s="1">
        <v>36.0</v>
      </c>
      <c r="L71" s="1">
        <v>40.0</v>
      </c>
      <c r="M71" s="1">
        <v>0.9</v>
      </c>
      <c r="N71" s="1">
        <v>11.92000008</v>
      </c>
      <c r="O71" s="1" t="str">
        <f t="shared" si="1"/>
        <v>Yes</v>
      </c>
      <c r="P71" s="1" t="str">
        <f t="shared" si="2"/>
        <v>Yes</v>
      </c>
      <c r="Q71" s="1" t="str">
        <f t="shared" si="3"/>
        <v>Yes</v>
      </c>
      <c r="R71" s="1">
        <f t="shared" si="4"/>
        <v>5.96000004</v>
      </c>
    </row>
    <row r="72" ht="15.75" customHeight="1">
      <c r="A72" s="1" t="s">
        <v>164</v>
      </c>
      <c r="B72" s="1" t="s">
        <v>294</v>
      </c>
      <c r="C72" s="5">
        <v>45741.0</v>
      </c>
      <c r="D72" s="1" t="s">
        <v>161</v>
      </c>
      <c r="E72" s="1" t="s">
        <v>11</v>
      </c>
      <c r="H72" s="1">
        <v>0.0</v>
      </c>
      <c r="J72" s="1">
        <v>0.0</v>
      </c>
      <c r="N72" s="1">
        <v>0.560000002</v>
      </c>
      <c r="O72" s="1" t="str">
        <f t="shared" si="1"/>
        <v>No</v>
      </c>
      <c r="P72" s="1" t="str">
        <f t="shared" si="2"/>
        <v>Yes</v>
      </c>
      <c r="Q72" s="1" t="str">
        <f t="shared" si="3"/>
        <v>Yes</v>
      </c>
      <c r="R72" s="1" t="str">
        <f t="shared" si="4"/>
        <v>#DIV/0!</v>
      </c>
    </row>
    <row r="73" ht="15.75" customHeight="1">
      <c r="A73" s="1" t="s">
        <v>164</v>
      </c>
      <c r="B73" s="1" t="s">
        <v>76</v>
      </c>
      <c r="C73" s="5">
        <v>45741.0</v>
      </c>
      <c r="D73" s="1" t="s">
        <v>161</v>
      </c>
      <c r="E73" s="1" t="s">
        <v>11</v>
      </c>
      <c r="F73" s="1" t="s">
        <v>162</v>
      </c>
      <c r="H73" s="1">
        <v>0.0</v>
      </c>
      <c r="I73" s="1">
        <v>0.0</v>
      </c>
      <c r="J73" s="1">
        <v>0.0</v>
      </c>
      <c r="K73" s="1">
        <v>14.0</v>
      </c>
      <c r="L73" s="1">
        <v>28.0</v>
      </c>
      <c r="M73" s="1">
        <v>0.5</v>
      </c>
      <c r="N73" s="1">
        <v>30.5</v>
      </c>
      <c r="O73" s="1" t="str">
        <f t="shared" si="1"/>
        <v>No</v>
      </c>
      <c r="P73" s="1" t="str">
        <f t="shared" si="2"/>
        <v>Yes</v>
      </c>
      <c r="Q73" s="1" t="str">
        <f t="shared" si="3"/>
        <v>No</v>
      </c>
      <c r="R73" s="1" t="str">
        <f t="shared" si="4"/>
        <v>#DIV/0!</v>
      </c>
    </row>
    <row r="74" ht="15.75" customHeight="1">
      <c r="A74" s="1" t="s">
        <v>164</v>
      </c>
      <c r="B74" s="1" t="s">
        <v>81</v>
      </c>
      <c r="C74" s="5">
        <v>45741.0</v>
      </c>
      <c r="D74" s="1" t="s">
        <v>161</v>
      </c>
      <c r="E74" s="1" t="s">
        <v>11</v>
      </c>
      <c r="F74" s="1" t="s">
        <v>162</v>
      </c>
      <c r="H74" s="1">
        <v>0.0</v>
      </c>
      <c r="I74" s="1">
        <v>0.0</v>
      </c>
      <c r="J74" s="1">
        <v>0.0</v>
      </c>
      <c r="K74" s="1">
        <v>2.0</v>
      </c>
      <c r="L74" s="1">
        <v>2.0</v>
      </c>
      <c r="M74" s="1">
        <v>1.0</v>
      </c>
      <c r="N74" s="1">
        <v>0.0</v>
      </c>
      <c r="O74" s="1" t="str">
        <f t="shared" si="1"/>
        <v>No</v>
      </c>
      <c r="P74" s="1" t="str">
        <f t="shared" si="2"/>
        <v>No</v>
      </c>
      <c r="Q74" s="1" t="str">
        <f t="shared" si="3"/>
        <v>Yes</v>
      </c>
      <c r="R74" s="1" t="str">
        <f t="shared" si="4"/>
        <v>#DIV/0!</v>
      </c>
    </row>
    <row r="75" ht="15.75" customHeight="1">
      <c r="A75" s="1" t="s">
        <v>164</v>
      </c>
      <c r="B75" s="1" t="s">
        <v>81</v>
      </c>
      <c r="C75" s="5">
        <v>45741.0</v>
      </c>
      <c r="D75" s="1" t="s">
        <v>161</v>
      </c>
      <c r="E75" s="1" t="s">
        <v>11</v>
      </c>
      <c r="F75" s="1" t="s">
        <v>297</v>
      </c>
      <c r="H75" s="1">
        <v>0.0</v>
      </c>
      <c r="I75" s="1">
        <v>1.0</v>
      </c>
      <c r="J75" s="1">
        <v>0.0</v>
      </c>
      <c r="K75" s="1">
        <v>24.0</v>
      </c>
      <c r="L75" s="1">
        <v>28.0</v>
      </c>
      <c r="M75" s="1">
        <v>0.857142857</v>
      </c>
      <c r="N75" s="1">
        <v>0.0</v>
      </c>
      <c r="O75" s="1" t="str">
        <f t="shared" si="1"/>
        <v>Yes</v>
      </c>
      <c r="P75" s="1" t="str">
        <f t="shared" si="2"/>
        <v>No</v>
      </c>
      <c r="Q75" s="1" t="str">
        <f t="shared" si="3"/>
        <v>Yes</v>
      </c>
      <c r="R75" s="1">
        <f t="shared" si="4"/>
        <v>0</v>
      </c>
    </row>
    <row r="76" ht="15.75" customHeight="1">
      <c r="A76" s="1" t="s">
        <v>164</v>
      </c>
      <c r="B76" s="1" t="s">
        <v>179</v>
      </c>
      <c r="C76" s="5">
        <v>45741.0</v>
      </c>
      <c r="D76" s="1" t="s">
        <v>161</v>
      </c>
      <c r="E76" s="1" t="s">
        <v>11</v>
      </c>
      <c r="H76" s="1">
        <v>0.0</v>
      </c>
      <c r="J76" s="1">
        <v>0.0</v>
      </c>
      <c r="N76" s="1">
        <v>0.270000011</v>
      </c>
      <c r="O76" s="1" t="str">
        <f t="shared" si="1"/>
        <v>No</v>
      </c>
      <c r="P76" s="1" t="str">
        <f t="shared" si="2"/>
        <v>Yes</v>
      </c>
      <c r="Q76" s="1" t="str">
        <f t="shared" si="3"/>
        <v>Yes</v>
      </c>
      <c r="R76" s="1" t="str">
        <f t="shared" si="4"/>
        <v>#DIV/0!</v>
      </c>
    </row>
    <row r="77" ht="15.75" customHeight="1">
      <c r="A77" s="1" t="s">
        <v>164</v>
      </c>
      <c r="B77" s="1" t="s">
        <v>60</v>
      </c>
      <c r="C77" s="5">
        <v>45741.0</v>
      </c>
      <c r="D77" s="1" t="s">
        <v>161</v>
      </c>
      <c r="E77" s="1" t="s">
        <v>11</v>
      </c>
      <c r="F77" s="1" t="s">
        <v>162</v>
      </c>
      <c r="H77" s="1">
        <v>0.0</v>
      </c>
      <c r="I77" s="1">
        <v>0.0</v>
      </c>
      <c r="J77" s="1">
        <v>0.0</v>
      </c>
      <c r="K77" s="1">
        <v>4.0</v>
      </c>
      <c r="L77" s="1">
        <v>14.0</v>
      </c>
      <c r="M77" s="1">
        <v>0.285714286</v>
      </c>
      <c r="N77" s="1">
        <v>0.0</v>
      </c>
      <c r="O77" s="1" t="str">
        <f t="shared" si="1"/>
        <v>No</v>
      </c>
      <c r="P77" s="1" t="str">
        <f t="shared" si="2"/>
        <v>No</v>
      </c>
      <c r="Q77" s="1" t="str">
        <f t="shared" si="3"/>
        <v>Yes</v>
      </c>
      <c r="R77" s="1" t="str">
        <f t="shared" si="4"/>
        <v>#DIV/0!</v>
      </c>
    </row>
    <row r="78" ht="15.75" customHeight="1">
      <c r="A78" s="1" t="s">
        <v>164</v>
      </c>
      <c r="B78" s="1" t="s">
        <v>63</v>
      </c>
      <c r="C78" s="5">
        <v>45741.0</v>
      </c>
      <c r="D78" s="1" t="s">
        <v>161</v>
      </c>
      <c r="E78" s="1" t="s">
        <v>11</v>
      </c>
      <c r="F78" s="1" t="s">
        <v>166</v>
      </c>
      <c r="H78" s="1">
        <v>0.0</v>
      </c>
      <c r="I78" s="1">
        <v>0.0</v>
      </c>
      <c r="J78" s="1">
        <v>0.0</v>
      </c>
      <c r="K78" s="1">
        <v>2.0</v>
      </c>
      <c r="L78" s="1">
        <v>6.0</v>
      </c>
      <c r="M78" s="1">
        <v>0.333333333</v>
      </c>
      <c r="N78" s="1">
        <v>0.0</v>
      </c>
      <c r="O78" s="1" t="str">
        <f t="shared" si="1"/>
        <v>No</v>
      </c>
      <c r="P78" s="1" t="str">
        <f t="shared" si="2"/>
        <v>No</v>
      </c>
      <c r="Q78" s="1" t="str">
        <f t="shared" si="3"/>
        <v>Yes</v>
      </c>
      <c r="R78" s="1" t="str">
        <f t="shared" si="4"/>
        <v>#DIV/0!</v>
      </c>
    </row>
    <row r="79" ht="15.75" customHeight="1">
      <c r="A79" s="1" t="s">
        <v>164</v>
      </c>
      <c r="B79" s="1" t="s">
        <v>68</v>
      </c>
      <c r="C79" s="5">
        <v>45741.0</v>
      </c>
      <c r="D79" s="1" t="s">
        <v>161</v>
      </c>
      <c r="E79" s="1" t="s">
        <v>11</v>
      </c>
      <c r="F79" s="1" t="s">
        <v>165</v>
      </c>
      <c r="H79" s="1">
        <v>0.0</v>
      </c>
      <c r="I79" s="1">
        <v>0.0</v>
      </c>
      <c r="J79" s="1">
        <v>0.0</v>
      </c>
      <c r="K79" s="1">
        <v>0.0</v>
      </c>
      <c r="L79" s="1">
        <v>0.0</v>
      </c>
      <c r="N79" s="1">
        <v>0.0</v>
      </c>
      <c r="O79" s="1" t="str">
        <f t="shared" si="1"/>
        <v>No</v>
      </c>
      <c r="P79" s="1" t="str">
        <f t="shared" si="2"/>
        <v>No</v>
      </c>
      <c r="Q79" s="1" t="str">
        <f t="shared" si="3"/>
        <v>Yes</v>
      </c>
      <c r="R79" s="1" t="str">
        <f t="shared" si="4"/>
        <v>#DIV/0!</v>
      </c>
    </row>
    <row r="80" ht="15.75" customHeight="1">
      <c r="A80" s="1" t="s">
        <v>164</v>
      </c>
      <c r="B80" s="1" t="s">
        <v>71</v>
      </c>
      <c r="C80" s="5">
        <v>45741.0</v>
      </c>
      <c r="D80" s="1" t="s">
        <v>161</v>
      </c>
      <c r="E80" s="1" t="s">
        <v>11</v>
      </c>
      <c r="H80" s="1">
        <v>0.0</v>
      </c>
      <c r="J80" s="1">
        <v>0.0</v>
      </c>
      <c r="N80" s="1">
        <v>1.090000033</v>
      </c>
      <c r="O80" s="1" t="str">
        <f t="shared" si="1"/>
        <v>No</v>
      </c>
      <c r="P80" s="1" t="str">
        <f t="shared" si="2"/>
        <v>Yes</v>
      </c>
      <c r="Q80" s="1" t="str">
        <f t="shared" si="3"/>
        <v>Yes</v>
      </c>
      <c r="R80" s="1" t="str">
        <f t="shared" si="4"/>
        <v>#DIV/0!</v>
      </c>
    </row>
    <row r="81" ht="15.75" customHeight="1">
      <c r="A81" s="1" t="s">
        <v>164</v>
      </c>
      <c r="B81" s="1" t="s">
        <v>75</v>
      </c>
      <c r="C81" s="5">
        <v>45741.0</v>
      </c>
      <c r="D81" s="1" t="s">
        <v>161</v>
      </c>
      <c r="E81" s="1" t="s">
        <v>11</v>
      </c>
      <c r="F81" s="1" t="s">
        <v>165</v>
      </c>
      <c r="H81" s="1">
        <v>0.0</v>
      </c>
      <c r="I81" s="1">
        <v>0.0</v>
      </c>
      <c r="J81" s="1">
        <v>0.0</v>
      </c>
      <c r="K81" s="1">
        <v>22.0</v>
      </c>
      <c r="L81" s="1">
        <v>26.0</v>
      </c>
      <c r="M81" s="1">
        <v>0.846153846</v>
      </c>
      <c r="N81" s="1">
        <v>0.059999999</v>
      </c>
      <c r="O81" s="1" t="str">
        <f t="shared" si="1"/>
        <v>No</v>
      </c>
      <c r="P81" s="1" t="str">
        <f t="shared" si="2"/>
        <v>Yes</v>
      </c>
      <c r="Q81" s="1" t="str">
        <f t="shared" si="3"/>
        <v>Yes</v>
      </c>
      <c r="R81" s="1" t="str">
        <f t="shared" si="4"/>
        <v>#DIV/0!</v>
      </c>
    </row>
    <row r="82" ht="15.75" customHeight="1">
      <c r="A82" s="1" t="s">
        <v>164</v>
      </c>
      <c r="B82" s="1" t="s">
        <v>100</v>
      </c>
      <c r="C82" s="5">
        <v>45741.0</v>
      </c>
      <c r="D82" s="1" t="s">
        <v>161</v>
      </c>
      <c r="E82" s="1" t="s">
        <v>11</v>
      </c>
      <c r="F82" s="1" t="s">
        <v>166</v>
      </c>
      <c r="H82" s="1">
        <v>0.0</v>
      </c>
      <c r="I82" s="1">
        <v>0.0</v>
      </c>
      <c r="J82" s="1">
        <v>0.0</v>
      </c>
      <c r="K82" s="1">
        <v>4.0</v>
      </c>
      <c r="L82" s="1">
        <v>6.0</v>
      </c>
      <c r="M82" s="1">
        <v>0.666666667</v>
      </c>
      <c r="N82" s="1">
        <v>3.230000019</v>
      </c>
      <c r="O82" s="1" t="str">
        <f t="shared" si="1"/>
        <v>No</v>
      </c>
      <c r="P82" s="1" t="str">
        <f t="shared" si="2"/>
        <v>Yes</v>
      </c>
      <c r="Q82" s="1" t="str">
        <f t="shared" si="3"/>
        <v>Yes</v>
      </c>
      <c r="R82" s="1" t="str">
        <f t="shared" si="4"/>
        <v>#DIV/0!</v>
      </c>
    </row>
    <row r="83" ht="15.75" customHeight="1">
      <c r="A83" s="1" t="s">
        <v>164</v>
      </c>
      <c r="B83" s="1" t="s">
        <v>82</v>
      </c>
      <c r="C83" s="5">
        <v>45741.0</v>
      </c>
      <c r="D83" s="1" t="s">
        <v>161</v>
      </c>
      <c r="E83" s="1" t="s">
        <v>11</v>
      </c>
      <c r="F83" s="1" t="s">
        <v>165</v>
      </c>
      <c r="H83" s="1">
        <v>0.0</v>
      </c>
      <c r="I83" s="1">
        <v>0.0</v>
      </c>
      <c r="J83" s="1">
        <v>0.0</v>
      </c>
      <c r="K83" s="1">
        <v>14.0</v>
      </c>
      <c r="L83" s="1">
        <v>14.0</v>
      </c>
      <c r="M83" s="1">
        <v>1.0</v>
      </c>
      <c r="N83" s="1">
        <v>0.0</v>
      </c>
      <c r="O83" s="1" t="str">
        <f t="shared" si="1"/>
        <v>No</v>
      </c>
      <c r="P83" s="1" t="str">
        <f t="shared" si="2"/>
        <v>No</v>
      </c>
      <c r="Q83" s="1" t="str">
        <f t="shared" si="3"/>
        <v>Yes</v>
      </c>
      <c r="R83" s="1" t="str">
        <f t="shared" si="4"/>
        <v>#DIV/0!</v>
      </c>
    </row>
    <row r="84" ht="15.75" customHeight="1">
      <c r="A84" s="1" t="s">
        <v>164</v>
      </c>
      <c r="B84" s="1" t="s">
        <v>96</v>
      </c>
      <c r="C84" s="5">
        <v>45741.0</v>
      </c>
      <c r="D84" s="1" t="s">
        <v>161</v>
      </c>
      <c r="E84" s="1" t="s">
        <v>11</v>
      </c>
      <c r="F84" s="1" t="s">
        <v>165</v>
      </c>
      <c r="H84" s="1">
        <v>0.0</v>
      </c>
      <c r="I84" s="1">
        <v>0.0</v>
      </c>
      <c r="J84" s="1">
        <v>0.0</v>
      </c>
      <c r="K84" s="1">
        <v>16.0</v>
      </c>
      <c r="L84" s="1">
        <v>21.0</v>
      </c>
      <c r="M84" s="1">
        <v>0.761904762</v>
      </c>
      <c r="N84" s="1">
        <v>23.55999947</v>
      </c>
      <c r="O84" s="1" t="str">
        <f t="shared" si="1"/>
        <v>No</v>
      </c>
      <c r="P84" s="1" t="str">
        <f t="shared" si="2"/>
        <v>Yes</v>
      </c>
      <c r="Q84" s="1" t="str">
        <f t="shared" si="3"/>
        <v>Yes</v>
      </c>
      <c r="R84" s="1" t="str">
        <f t="shared" si="4"/>
        <v>#DIV/0!</v>
      </c>
    </row>
    <row r="85" ht="15.75" customHeight="1">
      <c r="A85" s="1" t="s">
        <v>180</v>
      </c>
      <c r="B85" s="1" t="s">
        <v>45</v>
      </c>
      <c r="C85" s="5">
        <v>45741.0</v>
      </c>
      <c r="D85" s="1" t="s">
        <v>161</v>
      </c>
      <c r="E85" s="1" t="s">
        <v>11</v>
      </c>
      <c r="F85" s="1" t="s">
        <v>166</v>
      </c>
      <c r="H85" s="1">
        <v>0.0</v>
      </c>
      <c r="I85" s="1">
        <v>1.0</v>
      </c>
      <c r="J85" s="1">
        <v>0.0</v>
      </c>
      <c r="K85" s="1">
        <v>32.0</v>
      </c>
      <c r="L85" s="1">
        <v>44.0</v>
      </c>
      <c r="M85" s="1">
        <v>0.727272727</v>
      </c>
      <c r="N85" s="1">
        <v>11.96000004</v>
      </c>
      <c r="O85" s="1" t="str">
        <f t="shared" si="1"/>
        <v>Yes</v>
      </c>
      <c r="P85" s="1" t="str">
        <f t="shared" si="2"/>
        <v>Yes</v>
      </c>
      <c r="Q85" s="1" t="str">
        <f t="shared" si="3"/>
        <v>Yes</v>
      </c>
      <c r="R85" s="1">
        <f t="shared" si="4"/>
        <v>11.96000004</v>
      </c>
    </row>
    <row r="86" ht="15.75" customHeight="1">
      <c r="A86" s="1" t="s">
        <v>180</v>
      </c>
      <c r="B86" s="1" t="s">
        <v>98</v>
      </c>
      <c r="C86" s="5">
        <v>45741.0</v>
      </c>
      <c r="D86" s="1" t="s">
        <v>161</v>
      </c>
      <c r="E86" s="1" t="s">
        <v>11</v>
      </c>
      <c r="F86" s="1" t="s">
        <v>165</v>
      </c>
      <c r="H86" s="1">
        <v>0.0</v>
      </c>
      <c r="I86" s="1">
        <v>2.0</v>
      </c>
      <c r="J86" s="1">
        <v>0.0</v>
      </c>
      <c r="K86" s="1">
        <v>36.0</v>
      </c>
      <c r="L86" s="1">
        <v>44.0</v>
      </c>
      <c r="M86" s="1">
        <v>0.818181818</v>
      </c>
      <c r="N86" s="1">
        <v>0.0</v>
      </c>
      <c r="O86" s="1" t="str">
        <f t="shared" si="1"/>
        <v>Yes</v>
      </c>
      <c r="P86" s="1" t="str">
        <f t="shared" si="2"/>
        <v>No</v>
      </c>
      <c r="Q86" s="1" t="str">
        <f t="shared" si="3"/>
        <v>Yes</v>
      </c>
      <c r="R86" s="1">
        <f t="shared" si="4"/>
        <v>0</v>
      </c>
    </row>
    <row r="87" ht="15.75" customHeight="1">
      <c r="A87" s="1" t="s">
        <v>180</v>
      </c>
      <c r="B87" s="1" t="s">
        <v>107</v>
      </c>
      <c r="C87" s="5">
        <v>45741.0</v>
      </c>
      <c r="D87" s="1" t="s">
        <v>161</v>
      </c>
      <c r="E87" s="1" t="s">
        <v>11</v>
      </c>
      <c r="F87" s="1" t="s">
        <v>166</v>
      </c>
      <c r="H87" s="1">
        <v>0.0</v>
      </c>
      <c r="I87" s="1">
        <v>1.0</v>
      </c>
      <c r="J87" s="1">
        <v>0.0</v>
      </c>
      <c r="K87" s="1">
        <v>8.0</v>
      </c>
      <c r="L87" s="1">
        <v>8.0</v>
      </c>
      <c r="M87" s="1">
        <v>1.0</v>
      </c>
      <c r="N87" s="1">
        <v>14.30000019</v>
      </c>
      <c r="O87" s="1" t="str">
        <f t="shared" si="1"/>
        <v>Yes</v>
      </c>
      <c r="P87" s="1" t="str">
        <f t="shared" si="2"/>
        <v>Yes</v>
      </c>
      <c r="Q87" s="1" t="str">
        <f t="shared" si="3"/>
        <v>Yes</v>
      </c>
      <c r="R87" s="1">
        <f t="shared" si="4"/>
        <v>14.30000019</v>
      </c>
    </row>
    <row r="88" ht="15.75" customHeight="1">
      <c r="A88" s="1" t="s">
        <v>160</v>
      </c>
      <c r="B88" s="1" t="s">
        <v>212</v>
      </c>
      <c r="C88" s="5">
        <v>45740.0</v>
      </c>
      <c r="D88" s="1" t="s">
        <v>161</v>
      </c>
      <c r="E88" s="1" t="s">
        <v>11</v>
      </c>
      <c r="H88" s="1">
        <v>0.0</v>
      </c>
      <c r="J88" s="1">
        <v>0.0</v>
      </c>
      <c r="N88" s="1">
        <v>13.51000023</v>
      </c>
      <c r="O88" s="1" t="str">
        <f t="shared" si="1"/>
        <v>No</v>
      </c>
      <c r="P88" s="1" t="str">
        <f t="shared" si="2"/>
        <v>Yes</v>
      </c>
      <c r="Q88" s="1" t="str">
        <f t="shared" si="3"/>
        <v>Yes</v>
      </c>
      <c r="R88" s="1" t="str">
        <f t="shared" si="4"/>
        <v>#DIV/0!</v>
      </c>
    </row>
    <row r="89" ht="15.75" customHeight="1">
      <c r="A89" s="1" t="s">
        <v>160</v>
      </c>
      <c r="B89" s="1" t="s">
        <v>26</v>
      </c>
      <c r="C89" s="5">
        <v>45740.0</v>
      </c>
      <c r="D89" s="1" t="s">
        <v>161</v>
      </c>
      <c r="E89" s="1" t="s">
        <v>11</v>
      </c>
      <c r="H89" s="1">
        <v>0.0</v>
      </c>
      <c r="J89" s="1">
        <v>0.0</v>
      </c>
      <c r="N89" s="1">
        <v>0.02</v>
      </c>
      <c r="O89" s="1" t="str">
        <f t="shared" si="1"/>
        <v>No</v>
      </c>
      <c r="P89" s="1" t="str">
        <f t="shared" si="2"/>
        <v>Yes</v>
      </c>
      <c r="Q89" s="1" t="str">
        <f t="shared" si="3"/>
        <v>Yes</v>
      </c>
      <c r="R89" s="1" t="str">
        <f t="shared" si="4"/>
        <v>#DIV/0!</v>
      </c>
    </row>
    <row r="90" ht="15.75" customHeight="1">
      <c r="A90" s="1" t="s">
        <v>160</v>
      </c>
      <c r="B90" s="1" t="s">
        <v>29</v>
      </c>
      <c r="C90" s="5">
        <v>45740.0</v>
      </c>
      <c r="D90" s="1" t="s">
        <v>161</v>
      </c>
      <c r="E90" s="1" t="s">
        <v>11</v>
      </c>
      <c r="F90" s="1" t="s">
        <v>165</v>
      </c>
      <c r="H90" s="1">
        <v>0.0</v>
      </c>
      <c r="I90" s="1">
        <v>0.0</v>
      </c>
      <c r="J90" s="1">
        <v>0.0</v>
      </c>
      <c r="K90" s="1">
        <v>2.0</v>
      </c>
      <c r="L90" s="1">
        <v>2.0</v>
      </c>
      <c r="M90" s="1">
        <v>1.0</v>
      </c>
      <c r="N90" s="1">
        <v>3.5</v>
      </c>
      <c r="O90" s="1" t="str">
        <f t="shared" si="1"/>
        <v>No</v>
      </c>
      <c r="P90" s="1" t="str">
        <f t="shared" si="2"/>
        <v>Yes</v>
      </c>
      <c r="Q90" s="1" t="str">
        <f t="shared" si="3"/>
        <v>Yes</v>
      </c>
      <c r="R90" s="1" t="str">
        <f t="shared" si="4"/>
        <v>#DIV/0!</v>
      </c>
    </row>
    <row r="91" ht="15.75" customHeight="1">
      <c r="A91" s="1" t="s">
        <v>160</v>
      </c>
      <c r="B91" s="1" t="s">
        <v>31</v>
      </c>
      <c r="C91" s="5">
        <v>45740.0</v>
      </c>
      <c r="D91" s="1" t="s">
        <v>161</v>
      </c>
      <c r="E91" s="1" t="s">
        <v>11</v>
      </c>
      <c r="F91" s="1" t="s">
        <v>165</v>
      </c>
      <c r="G91" s="1" t="s">
        <v>163</v>
      </c>
      <c r="H91" s="1">
        <v>1.0</v>
      </c>
      <c r="I91" s="1">
        <v>0.0</v>
      </c>
      <c r="J91" s="1">
        <v>0.0</v>
      </c>
      <c r="K91" s="1">
        <v>0.0</v>
      </c>
      <c r="L91" s="1">
        <v>0.0</v>
      </c>
      <c r="N91" s="1">
        <v>0.0</v>
      </c>
      <c r="O91" s="1" t="str">
        <f t="shared" si="1"/>
        <v>No</v>
      </c>
      <c r="P91" s="1" t="str">
        <f t="shared" si="2"/>
        <v>No</v>
      </c>
      <c r="Q91" s="1" t="str">
        <f t="shared" si="3"/>
        <v>Yes</v>
      </c>
      <c r="R91" s="1" t="str">
        <f t="shared" si="4"/>
        <v>#DIV/0!</v>
      </c>
    </row>
    <row r="92" ht="15.75" customHeight="1">
      <c r="A92" s="1" t="s">
        <v>160</v>
      </c>
      <c r="B92" s="1" t="s">
        <v>31</v>
      </c>
      <c r="C92" s="5">
        <v>45740.0</v>
      </c>
      <c r="D92" s="1" t="s">
        <v>161</v>
      </c>
      <c r="E92" s="1" t="s">
        <v>11</v>
      </c>
      <c r="F92" s="1" t="s">
        <v>162</v>
      </c>
      <c r="G92" s="1" t="s">
        <v>163</v>
      </c>
      <c r="H92" s="1">
        <v>1.0</v>
      </c>
      <c r="I92" s="1">
        <v>1.0</v>
      </c>
      <c r="J92" s="1">
        <v>0.0</v>
      </c>
      <c r="K92" s="1">
        <v>27.0</v>
      </c>
      <c r="L92" s="1">
        <v>42.0</v>
      </c>
      <c r="M92" s="1">
        <v>0.642857143</v>
      </c>
      <c r="N92" s="1">
        <v>97.02999878</v>
      </c>
      <c r="O92" s="1" t="str">
        <f t="shared" si="1"/>
        <v>Yes</v>
      </c>
      <c r="P92" s="1" t="str">
        <f t="shared" si="2"/>
        <v>Yes</v>
      </c>
      <c r="Q92" s="1" t="str">
        <f t="shared" si="3"/>
        <v>No</v>
      </c>
      <c r="R92" s="1">
        <f t="shared" si="4"/>
        <v>97.02999878</v>
      </c>
    </row>
    <row r="93" ht="15.75" customHeight="1">
      <c r="A93" s="1" t="s">
        <v>160</v>
      </c>
      <c r="B93" s="1" t="s">
        <v>18</v>
      </c>
      <c r="C93" s="5">
        <v>45740.0</v>
      </c>
      <c r="D93" s="1" t="s">
        <v>161</v>
      </c>
      <c r="E93" s="1" t="s">
        <v>11</v>
      </c>
      <c r="F93" s="1" t="s">
        <v>162</v>
      </c>
      <c r="G93" s="1" t="s">
        <v>163</v>
      </c>
      <c r="H93" s="1">
        <v>1.0</v>
      </c>
      <c r="I93" s="1">
        <v>0.0</v>
      </c>
      <c r="J93" s="1">
        <v>0.0</v>
      </c>
      <c r="K93" s="1">
        <v>16.0</v>
      </c>
      <c r="L93" s="1">
        <v>20.0</v>
      </c>
      <c r="M93" s="1">
        <v>0.8</v>
      </c>
      <c r="N93" s="1">
        <v>7.730000019</v>
      </c>
      <c r="O93" s="1" t="str">
        <f t="shared" si="1"/>
        <v>No</v>
      </c>
      <c r="P93" s="1" t="str">
        <f t="shared" si="2"/>
        <v>Yes</v>
      </c>
      <c r="Q93" s="1" t="str">
        <f t="shared" si="3"/>
        <v>Yes</v>
      </c>
      <c r="R93" s="1" t="str">
        <f t="shared" si="4"/>
        <v>#DIV/0!</v>
      </c>
    </row>
    <row r="94" ht="15.75" customHeight="1">
      <c r="A94" s="1" t="s">
        <v>160</v>
      </c>
      <c r="B94" s="1" t="s">
        <v>20</v>
      </c>
      <c r="C94" s="5">
        <v>45740.0</v>
      </c>
      <c r="D94" s="1" t="s">
        <v>161</v>
      </c>
      <c r="E94" s="1" t="s">
        <v>11</v>
      </c>
      <c r="F94" s="1" t="s">
        <v>162</v>
      </c>
      <c r="G94" s="1" t="s">
        <v>163</v>
      </c>
      <c r="H94" s="1">
        <v>1.0</v>
      </c>
      <c r="I94" s="1">
        <v>1.0</v>
      </c>
      <c r="J94" s="1">
        <v>0.0</v>
      </c>
      <c r="K94" s="1">
        <v>44.0</v>
      </c>
      <c r="L94" s="1">
        <v>66.0</v>
      </c>
      <c r="M94" s="1">
        <v>0.666666667</v>
      </c>
      <c r="N94" s="1">
        <v>33.88000107</v>
      </c>
      <c r="O94" s="1" t="str">
        <f t="shared" si="1"/>
        <v>Yes</v>
      </c>
      <c r="P94" s="1" t="str">
        <f t="shared" si="2"/>
        <v>Yes</v>
      </c>
      <c r="Q94" s="1" t="str">
        <f t="shared" si="3"/>
        <v>No</v>
      </c>
      <c r="R94" s="1">
        <f t="shared" si="4"/>
        <v>33.88000107</v>
      </c>
    </row>
    <row r="95" ht="15.75" customHeight="1">
      <c r="A95" s="1" t="s">
        <v>160</v>
      </c>
      <c r="B95" s="1" t="s">
        <v>41</v>
      </c>
      <c r="C95" s="5">
        <v>45740.0</v>
      </c>
      <c r="D95" s="1" t="s">
        <v>161</v>
      </c>
      <c r="E95" s="1" t="s">
        <v>11</v>
      </c>
      <c r="F95" s="1" t="s">
        <v>162</v>
      </c>
      <c r="G95" s="1" t="s">
        <v>163</v>
      </c>
      <c r="H95" s="1">
        <v>1.0</v>
      </c>
      <c r="I95" s="1">
        <v>0.0</v>
      </c>
      <c r="J95" s="1">
        <v>0.0</v>
      </c>
      <c r="K95" s="1">
        <v>6.0</v>
      </c>
      <c r="L95" s="1">
        <v>8.0</v>
      </c>
      <c r="M95" s="1">
        <v>0.75</v>
      </c>
      <c r="N95" s="1">
        <v>6.3699998860000004</v>
      </c>
      <c r="O95" s="1" t="str">
        <f t="shared" si="1"/>
        <v>No</v>
      </c>
      <c r="P95" s="1" t="str">
        <f t="shared" si="2"/>
        <v>Yes</v>
      </c>
      <c r="Q95" s="1" t="str">
        <f t="shared" si="3"/>
        <v>Yes</v>
      </c>
      <c r="R95" s="1" t="str">
        <f t="shared" si="4"/>
        <v>#DIV/0!</v>
      </c>
    </row>
    <row r="96" ht="15.75" customHeight="1">
      <c r="A96" s="1" t="s">
        <v>160</v>
      </c>
      <c r="B96" s="1" t="s">
        <v>27</v>
      </c>
      <c r="C96" s="5">
        <v>45740.0</v>
      </c>
      <c r="D96" s="1" t="s">
        <v>161</v>
      </c>
      <c r="E96" s="1" t="s">
        <v>11</v>
      </c>
      <c r="F96" s="1" t="s">
        <v>165</v>
      </c>
      <c r="G96" s="1" t="s">
        <v>163</v>
      </c>
      <c r="H96" s="1">
        <v>1.0</v>
      </c>
      <c r="I96" s="1">
        <v>1.0</v>
      </c>
      <c r="J96" s="1">
        <v>0.0</v>
      </c>
      <c r="K96" s="1">
        <v>30.0</v>
      </c>
      <c r="L96" s="1">
        <v>41.0</v>
      </c>
      <c r="M96" s="1">
        <v>0.731707317</v>
      </c>
      <c r="N96" s="1">
        <v>41.47999954</v>
      </c>
      <c r="O96" s="1" t="str">
        <f t="shared" si="1"/>
        <v>Yes</v>
      </c>
      <c r="P96" s="1" t="str">
        <f t="shared" si="2"/>
        <v>Yes</v>
      </c>
      <c r="Q96" s="1" t="str">
        <f t="shared" si="3"/>
        <v>No</v>
      </c>
      <c r="R96" s="1">
        <f t="shared" si="4"/>
        <v>41.47999954</v>
      </c>
    </row>
    <row r="97" ht="15.75" customHeight="1">
      <c r="A97" s="1" t="s">
        <v>160</v>
      </c>
      <c r="B97" s="1" t="s">
        <v>50</v>
      </c>
      <c r="C97" s="5">
        <v>45740.0</v>
      </c>
      <c r="D97" s="1" t="s">
        <v>161</v>
      </c>
      <c r="E97" s="1" t="s">
        <v>11</v>
      </c>
      <c r="F97" s="1" t="s">
        <v>166</v>
      </c>
      <c r="G97" s="1" t="s">
        <v>163</v>
      </c>
      <c r="H97" s="1">
        <v>1.0</v>
      </c>
      <c r="I97" s="1">
        <v>1.0</v>
      </c>
      <c r="J97" s="1">
        <v>0.0</v>
      </c>
      <c r="K97" s="1">
        <v>14.0</v>
      </c>
      <c r="L97" s="1">
        <v>17.0</v>
      </c>
      <c r="M97" s="1">
        <v>0.823529412</v>
      </c>
      <c r="N97" s="1">
        <v>9.829999924</v>
      </c>
      <c r="O97" s="1" t="str">
        <f t="shared" si="1"/>
        <v>Yes</v>
      </c>
      <c r="P97" s="1" t="str">
        <f t="shared" si="2"/>
        <v>Yes</v>
      </c>
      <c r="Q97" s="1" t="str">
        <f t="shared" si="3"/>
        <v>Yes</v>
      </c>
      <c r="R97" s="1">
        <f t="shared" si="4"/>
        <v>9.829999924</v>
      </c>
    </row>
    <row r="98" ht="15.75" customHeight="1">
      <c r="A98" s="1" t="s">
        <v>160</v>
      </c>
      <c r="B98" s="1" t="s">
        <v>32</v>
      </c>
      <c r="C98" s="5">
        <v>45740.0</v>
      </c>
      <c r="D98" s="1" t="s">
        <v>161</v>
      </c>
      <c r="E98" s="1" t="s">
        <v>11</v>
      </c>
      <c r="F98" s="1" t="s">
        <v>165</v>
      </c>
      <c r="G98" s="1" t="s">
        <v>163</v>
      </c>
      <c r="H98" s="1">
        <v>1.0</v>
      </c>
      <c r="I98" s="1">
        <v>1.0</v>
      </c>
      <c r="J98" s="1">
        <v>0.0</v>
      </c>
      <c r="K98" s="1">
        <v>34.0</v>
      </c>
      <c r="L98" s="1">
        <v>51.0</v>
      </c>
      <c r="M98" s="1">
        <v>0.666666667</v>
      </c>
      <c r="N98" s="1">
        <v>15.26000023</v>
      </c>
      <c r="O98" s="1" t="str">
        <f t="shared" si="1"/>
        <v>Yes</v>
      </c>
      <c r="P98" s="1" t="str">
        <f t="shared" si="2"/>
        <v>Yes</v>
      </c>
      <c r="Q98" s="1" t="str">
        <f t="shared" si="3"/>
        <v>Yes</v>
      </c>
      <c r="R98" s="1">
        <f t="shared" si="4"/>
        <v>15.26000023</v>
      </c>
    </row>
    <row r="99" ht="15.75" customHeight="1">
      <c r="A99" s="1" t="s">
        <v>160</v>
      </c>
      <c r="B99" s="1" t="s">
        <v>32</v>
      </c>
      <c r="C99" s="5">
        <v>45740.0</v>
      </c>
      <c r="D99" s="1" t="s">
        <v>161</v>
      </c>
      <c r="E99" s="1" t="s">
        <v>11</v>
      </c>
      <c r="F99" s="1" t="s">
        <v>298</v>
      </c>
      <c r="G99" s="1" t="s">
        <v>163</v>
      </c>
      <c r="H99" s="1">
        <v>1.0</v>
      </c>
      <c r="I99" s="1">
        <v>0.0</v>
      </c>
      <c r="J99" s="1">
        <v>0.0</v>
      </c>
      <c r="K99" s="1">
        <v>0.0</v>
      </c>
      <c r="L99" s="1">
        <v>0.0</v>
      </c>
      <c r="N99" s="1">
        <v>0.0</v>
      </c>
      <c r="O99" s="1" t="str">
        <f t="shared" si="1"/>
        <v>No</v>
      </c>
      <c r="P99" s="1" t="str">
        <f t="shared" si="2"/>
        <v>No</v>
      </c>
      <c r="Q99" s="1" t="str">
        <f t="shared" si="3"/>
        <v>Yes</v>
      </c>
      <c r="R99" s="1" t="str">
        <f t="shared" si="4"/>
        <v>#DIV/0!</v>
      </c>
    </row>
    <row r="100" ht="15.75" customHeight="1">
      <c r="A100" s="1" t="s">
        <v>160</v>
      </c>
      <c r="B100" s="1" t="s">
        <v>59</v>
      </c>
      <c r="C100" s="5">
        <v>45740.0</v>
      </c>
      <c r="D100" s="1" t="s">
        <v>161</v>
      </c>
      <c r="E100" s="1" t="s">
        <v>11</v>
      </c>
      <c r="F100" s="1" t="s">
        <v>165</v>
      </c>
      <c r="H100" s="1">
        <v>0.0</v>
      </c>
      <c r="I100" s="1">
        <v>1.0</v>
      </c>
      <c r="J100" s="1">
        <v>0.0</v>
      </c>
      <c r="K100" s="1">
        <v>24.0</v>
      </c>
      <c r="L100" s="1">
        <v>32.0</v>
      </c>
      <c r="M100" s="1">
        <v>0.75</v>
      </c>
      <c r="N100" s="1">
        <v>11.55000019</v>
      </c>
      <c r="O100" s="1" t="str">
        <f t="shared" si="1"/>
        <v>Yes</v>
      </c>
      <c r="P100" s="1" t="str">
        <f t="shared" si="2"/>
        <v>Yes</v>
      </c>
      <c r="Q100" s="1" t="str">
        <f t="shared" si="3"/>
        <v>Yes</v>
      </c>
      <c r="R100" s="1">
        <f t="shared" si="4"/>
        <v>11.55000019</v>
      </c>
    </row>
    <row r="101" ht="15.75" customHeight="1">
      <c r="A101" s="1" t="s">
        <v>160</v>
      </c>
      <c r="B101" s="1" t="s">
        <v>39</v>
      </c>
      <c r="C101" s="5">
        <v>45740.0</v>
      </c>
      <c r="D101" s="1" t="s">
        <v>161</v>
      </c>
      <c r="E101" s="1" t="s">
        <v>11</v>
      </c>
      <c r="F101" s="1" t="s">
        <v>162</v>
      </c>
      <c r="H101" s="1">
        <v>0.0</v>
      </c>
      <c r="I101" s="1">
        <v>0.0</v>
      </c>
      <c r="J101" s="1">
        <v>0.0</v>
      </c>
      <c r="K101" s="1">
        <v>18.0</v>
      </c>
      <c r="L101" s="1">
        <v>26.0</v>
      </c>
      <c r="M101" s="1">
        <v>0.692307692</v>
      </c>
      <c r="N101" s="1">
        <v>13.77999973</v>
      </c>
      <c r="O101" s="1" t="str">
        <f t="shared" si="1"/>
        <v>No</v>
      </c>
      <c r="P101" s="1" t="str">
        <f t="shared" si="2"/>
        <v>Yes</v>
      </c>
      <c r="Q101" s="1" t="str">
        <f t="shared" si="3"/>
        <v>Yes</v>
      </c>
      <c r="R101" s="1" t="str">
        <f t="shared" si="4"/>
        <v>#DIV/0!</v>
      </c>
    </row>
    <row r="102" ht="15.75" customHeight="1">
      <c r="A102" s="1" t="s">
        <v>160</v>
      </c>
      <c r="B102" s="1" t="s">
        <v>39</v>
      </c>
      <c r="C102" s="5">
        <v>45740.0</v>
      </c>
      <c r="D102" s="1" t="s">
        <v>161</v>
      </c>
      <c r="E102" s="1" t="s">
        <v>11</v>
      </c>
      <c r="F102" s="1" t="s">
        <v>166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N102" s="1">
        <v>0.0</v>
      </c>
      <c r="O102" s="1" t="str">
        <f t="shared" si="1"/>
        <v>No</v>
      </c>
      <c r="P102" s="1" t="str">
        <f t="shared" si="2"/>
        <v>No</v>
      </c>
      <c r="Q102" s="1" t="str">
        <f t="shared" si="3"/>
        <v>Yes</v>
      </c>
      <c r="R102" s="1" t="str">
        <f t="shared" si="4"/>
        <v>#DIV/0!</v>
      </c>
    </row>
    <row r="103" ht="15.75" customHeight="1">
      <c r="A103" s="1" t="s">
        <v>160</v>
      </c>
      <c r="B103" s="1" t="s">
        <v>46</v>
      </c>
      <c r="C103" s="5">
        <v>45740.0</v>
      </c>
      <c r="D103" s="1" t="s">
        <v>161</v>
      </c>
      <c r="E103" s="1" t="s">
        <v>11</v>
      </c>
      <c r="F103" s="1" t="s">
        <v>165</v>
      </c>
      <c r="H103" s="1">
        <v>0.0</v>
      </c>
      <c r="I103" s="1">
        <v>2.0</v>
      </c>
      <c r="J103" s="1">
        <v>0.0</v>
      </c>
      <c r="K103" s="1">
        <v>29.0</v>
      </c>
      <c r="L103" s="1">
        <v>33.0</v>
      </c>
      <c r="M103" s="1">
        <v>0.878787879</v>
      </c>
      <c r="N103" s="1">
        <v>0.0</v>
      </c>
      <c r="O103" s="1" t="str">
        <f t="shared" si="1"/>
        <v>Yes</v>
      </c>
      <c r="P103" s="1" t="str">
        <f t="shared" si="2"/>
        <v>No</v>
      </c>
      <c r="Q103" s="1" t="str">
        <f t="shared" si="3"/>
        <v>Yes</v>
      </c>
      <c r="R103" s="1">
        <f t="shared" si="4"/>
        <v>0</v>
      </c>
    </row>
    <row r="104" ht="15.75" customHeight="1">
      <c r="A104" s="1" t="s">
        <v>160</v>
      </c>
      <c r="B104" s="1" t="s">
        <v>46</v>
      </c>
      <c r="C104" s="5">
        <v>45740.0</v>
      </c>
      <c r="D104" s="1" t="s">
        <v>161</v>
      </c>
      <c r="E104" s="1" t="s">
        <v>11</v>
      </c>
      <c r="F104" s="1" t="s">
        <v>162</v>
      </c>
      <c r="H104" s="1">
        <v>0.0</v>
      </c>
      <c r="I104" s="1">
        <v>0.0</v>
      </c>
      <c r="J104" s="1">
        <v>0.0</v>
      </c>
      <c r="K104" s="1">
        <v>10.0</v>
      </c>
      <c r="L104" s="1">
        <v>22.0</v>
      </c>
      <c r="M104" s="1">
        <v>0.454545455</v>
      </c>
      <c r="N104" s="1">
        <v>0.0</v>
      </c>
      <c r="O104" s="1" t="str">
        <f t="shared" si="1"/>
        <v>No</v>
      </c>
      <c r="P104" s="1" t="str">
        <f t="shared" si="2"/>
        <v>No</v>
      </c>
      <c r="Q104" s="1" t="str">
        <f t="shared" si="3"/>
        <v>Yes</v>
      </c>
      <c r="R104" s="1" t="str">
        <f t="shared" si="4"/>
        <v>#DIV/0!</v>
      </c>
    </row>
    <row r="105" ht="15.75" customHeight="1">
      <c r="A105" s="1" t="s">
        <v>160</v>
      </c>
      <c r="B105" s="1" t="s">
        <v>53</v>
      </c>
      <c r="C105" s="5">
        <v>45740.0</v>
      </c>
      <c r="D105" s="1" t="s">
        <v>161</v>
      </c>
      <c r="E105" s="1" t="s">
        <v>11</v>
      </c>
      <c r="F105" s="1" t="s">
        <v>165</v>
      </c>
      <c r="G105" s="1" t="s">
        <v>163</v>
      </c>
      <c r="H105" s="1">
        <v>1.0</v>
      </c>
      <c r="I105" s="1">
        <v>3.0</v>
      </c>
      <c r="J105" s="1">
        <v>0.0</v>
      </c>
      <c r="K105" s="1">
        <v>58.0</v>
      </c>
      <c r="L105" s="1">
        <v>66.0</v>
      </c>
      <c r="M105" s="1">
        <v>0.878787879</v>
      </c>
      <c r="N105" s="1">
        <v>26.52000046</v>
      </c>
      <c r="O105" s="1" t="str">
        <f t="shared" si="1"/>
        <v>Yes</v>
      </c>
      <c r="P105" s="1" t="str">
        <f t="shared" si="2"/>
        <v>Yes</v>
      </c>
      <c r="Q105" s="1" t="str">
        <f t="shared" si="3"/>
        <v>Yes</v>
      </c>
      <c r="R105" s="1">
        <f t="shared" si="4"/>
        <v>8.840000153</v>
      </c>
    </row>
    <row r="106" ht="15.75" customHeight="1">
      <c r="A106" s="1" t="s">
        <v>160</v>
      </c>
      <c r="B106" s="1" t="s">
        <v>56</v>
      </c>
      <c r="C106" s="5">
        <v>45740.0</v>
      </c>
      <c r="D106" s="1" t="s">
        <v>161</v>
      </c>
      <c r="E106" s="1" t="s">
        <v>11</v>
      </c>
      <c r="F106" s="1" t="s">
        <v>165</v>
      </c>
      <c r="G106" s="1" t="s">
        <v>163</v>
      </c>
      <c r="H106" s="1">
        <v>1.0</v>
      </c>
      <c r="I106" s="1">
        <v>3.0</v>
      </c>
      <c r="J106" s="1">
        <v>0.0</v>
      </c>
      <c r="K106" s="1">
        <v>53.0</v>
      </c>
      <c r="L106" s="1">
        <v>73.0</v>
      </c>
      <c r="M106" s="1">
        <v>0.726027397</v>
      </c>
      <c r="N106" s="1">
        <v>28.87000084</v>
      </c>
      <c r="O106" s="1" t="str">
        <f t="shared" si="1"/>
        <v>Yes</v>
      </c>
      <c r="P106" s="1" t="str">
        <f t="shared" si="2"/>
        <v>Yes</v>
      </c>
      <c r="Q106" s="1" t="str">
        <f t="shared" si="3"/>
        <v>Yes</v>
      </c>
      <c r="R106" s="1">
        <f t="shared" si="4"/>
        <v>9.623333613</v>
      </c>
    </row>
    <row r="107" ht="15.75" customHeight="1">
      <c r="A107" s="1" t="s">
        <v>160</v>
      </c>
      <c r="B107" s="1" t="s">
        <v>56</v>
      </c>
      <c r="C107" s="5">
        <v>45740.0</v>
      </c>
      <c r="D107" s="1" t="s">
        <v>161</v>
      </c>
      <c r="E107" s="1" t="s">
        <v>11</v>
      </c>
      <c r="F107" s="1" t="s">
        <v>162</v>
      </c>
      <c r="G107" s="1" t="s">
        <v>163</v>
      </c>
      <c r="H107" s="1">
        <v>1.0</v>
      </c>
      <c r="I107" s="1">
        <v>0.0</v>
      </c>
      <c r="J107" s="1">
        <v>0.0</v>
      </c>
      <c r="K107" s="1">
        <v>2.0</v>
      </c>
      <c r="L107" s="1">
        <v>7.0</v>
      </c>
      <c r="M107" s="1">
        <v>0.285714286</v>
      </c>
      <c r="N107" s="1">
        <v>0.0</v>
      </c>
      <c r="O107" s="1" t="str">
        <f t="shared" si="1"/>
        <v>No</v>
      </c>
      <c r="P107" s="1" t="str">
        <f t="shared" si="2"/>
        <v>No</v>
      </c>
      <c r="Q107" s="1" t="str">
        <f t="shared" si="3"/>
        <v>Yes</v>
      </c>
      <c r="R107" s="1" t="str">
        <f t="shared" si="4"/>
        <v>#DIV/0!</v>
      </c>
    </row>
    <row r="108" ht="15.75" customHeight="1">
      <c r="A108" s="1" t="s">
        <v>160</v>
      </c>
      <c r="B108" s="1" t="s">
        <v>80</v>
      </c>
      <c r="C108" s="5">
        <v>45740.0</v>
      </c>
      <c r="D108" s="1" t="s">
        <v>161</v>
      </c>
      <c r="E108" s="1" t="s">
        <v>11</v>
      </c>
      <c r="H108" s="1">
        <v>0.0</v>
      </c>
      <c r="J108" s="1">
        <v>0.0</v>
      </c>
      <c r="N108" s="1">
        <v>0.079999998</v>
      </c>
      <c r="O108" s="1" t="str">
        <f t="shared" si="1"/>
        <v>No</v>
      </c>
      <c r="P108" s="1" t="str">
        <f t="shared" si="2"/>
        <v>Yes</v>
      </c>
      <c r="Q108" s="1" t="str">
        <f t="shared" si="3"/>
        <v>Yes</v>
      </c>
      <c r="R108" s="1" t="str">
        <f t="shared" si="4"/>
        <v>#DIV/0!</v>
      </c>
    </row>
    <row r="109" ht="15.75" customHeight="1">
      <c r="A109" s="1" t="s">
        <v>160</v>
      </c>
      <c r="B109" s="1" t="s">
        <v>65</v>
      </c>
      <c r="C109" s="5">
        <v>45740.0</v>
      </c>
      <c r="D109" s="1" t="s">
        <v>161</v>
      </c>
      <c r="E109" s="1" t="s">
        <v>11</v>
      </c>
      <c r="F109" s="1" t="s">
        <v>162</v>
      </c>
      <c r="G109" s="1" t="s">
        <v>163</v>
      </c>
      <c r="H109" s="1">
        <v>1.0</v>
      </c>
      <c r="I109" s="1">
        <v>0.0</v>
      </c>
      <c r="J109" s="1">
        <v>0.0</v>
      </c>
      <c r="K109" s="1">
        <v>8.0</v>
      </c>
      <c r="L109" s="1">
        <v>15.0</v>
      </c>
      <c r="M109" s="1">
        <v>0.533333333</v>
      </c>
      <c r="N109" s="1">
        <v>15.65999985</v>
      </c>
      <c r="O109" s="1" t="str">
        <f t="shared" si="1"/>
        <v>No</v>
      </c>
      <c r="P109" s="1" t="str">
        <f t="shared" si="2"/>
        <v>Yes</v>
      </c>
      <c r="Q109" s="1" t="str">
        <f t="shared" si="3"/>
        <v>Yes</v>
      </c>
      <c r="R109" s="1" t="str">
        <f t="shared" si="4"/>
        <v>#DIV/0!</v>
      </c>
    </row>
    <row r="110" ht="15.75" customHeight="1">
      <c r="A110" s="1" t="s">
        <v>160</v>
      </c>
      <c r="B110" s="1" t="s">
        <v>89</v>
      </c>
      <c r="C110" s="5">
        <v>45740.0</v>
      </c>
      <c r="D110" s="1" t="s">
        <v>161</v>
      </c>
      <c r="E110" s="1" t="s">
        <v>11</v>
      </c>
      <c r="F110" s="1" t="s">
        <v>165</v>
      </c>
      <c r="H110" s="1">
        <v>0.0</v>
      </c>
      <c r="I110" s="1">
        <v>0.0</v>
      </c>
      <c r="J110" s="1">
        <v>0.0</v>
      </c>
      <c r="K110" s="1">
        <v>1.0</v>
      </c>
      <c r="L110" s="1">
        <v>14.0</v>
      </c>
      <c r="M110" s="1">
        <v>0.071428571</v>
      </c>
      <c r="N110" s="1">
        <v>16.28000069</v>
      </c>
      <c r="O110" s="1" t="str">
        <f t="shared" si="1"/>
        <v>No</v>
      </c>
      <c r="P110" s="1" t="str">
        <f t="shared" si="2"/>
        <v>Yes</v>
      </c>
      <c r="Q110" s="1" t="str">
        <f t="shared" si="3"/>
        <v>Yes</v>
      </c>
      <c r="R110" s="1" t="str">
        <f t="shared" si="4"/>
        <v>#DIV/0!</v>
      </c>
    </row>
    <row r="111" ht="15.75" customHeight="1">
      <c r="A111" s="1" t="s">
        <v>160</v>
      </c>
      <c r="B111" s="1" t="s">
        <v>69</v>
      </c>
      <c r="C111" s="5">
        <v>45740.0</v>
      </c>
      <c r="D111" s="1" t="s">
        <v>161</v>
      </c>
      <c r="E111" s="1" t="s">
        <v>11</v>
      </c>
      <c r="F111" s="1" t="s">
        <v>165</v>
      </c>
      <c r="G111" s="1" t="s">
        <v>163</v>
      </c>
      <c r="H111" s="1">
        <v>1.0</v>
      </c>
      <c r="I111" s="1">
        <v>0.0</v>
      </c>
      <c r="J111" s="1">
        <v>0.0</v>
      </c>
      <c r="K111" s="1">
        <v>2.0</v>
      </c>
      <c r="L111" s="1">
        <v>2.0</v>
      </c>
      <c r="M111" s="1">
        <v>1.0</v>
      </c>
      <c r="N111" s="1">
        <v>9.470000267</v>
      </c>
      <c r="O111" s="1" t="str">
        <f t="shared" si="1"/>
        <v>No</v>
      </c>
      <c r="P111" s="1" t="str">
        <f t="shared" si="2"/>
        <v>Yes</v>
      </c>
      <c r="Q111" s="1" t="str">
        <f t="shared" si="3"/>
        <v>Yes</v>
      </c>
      <c r="R111" s="1" t="str">
        <f t="shared" si="4"/>
        <v>#DIV/0!</v>
      </c>
    </row>
    <row r="112" ht="15.75" customHeight="1">
      <c r="A112" s="1" t="s">
        <v>160</v>
      </c>
      <c r="B112" s="1" t="s">
        <v>90</v>
      </c>
      <c r="C112" s="5">
        <v>45740.0</v>
      </c>
      <c r="D112" s="1" t="s">
        <v>161</v>
      </c>
      <c r="E112" s="1" t="s">
        <v>11</v>
      </c>
      <c r="F112" s="1" t="s">
        <v>165</v>
      </c>
      <c r="G112" s="1" t="s">
        <v>163</v>
      </c>
      <c r="H112" s="1">
        <v>1.0</v>
      </c>
      <c r="I112" s="1">
        <v>1.0</v>
      </c>
      <c r="J112" s="1">
        <v>0.0</v>
      </c>
      <c r="K112" s="1">
        <v>26.0</v>
      </c>
      <c r="L112" s="1">
        <v>42.0</v>
      </c>
      <c r="M112" s="1">
        <v>0.619047619</v>
      </c>
      <c r="N112" s="1">
        <v>16.14999962</v>
      </c>
      <c r="O112" s="1" t="str">
        <f t="shared" si="1"/>
        <v>Yes</v>
      </c>
      <c r="P112" s="1" t="str">
        <f t="shared" si="2"/>
        <v>Yes</v>
      </c>
      <c r="Q112" s="1" t="str">
        <f t="shared" si="3"/>
        <v>Yes</v>
      </c>
      <c r="R112" s="1">
        <f t="shared" si="4"/>
        <v>16.14999962</v>
      </c>
    </row>
    <row r="113" ht="15.75" customHeight="1">
      <c r="A113" s="1" t="s">
        <v>160</v>
      </c>
      <c r="B113" s="1" t="s">
        <v>93</v>
      </c>
      <c r="C113" s="5">
        <v>45740.0</v>
      </c>
      <c r="D113" s="1" t="s">
        <v>161</v>
      </c>
      <c r="E113" s="1" t="s">
        <v>11</v>
      </c>
      <c r="F113" s="1" t="s">
        <v>166</v>
      </c>
      <c r="G113" s="1" t="s">
        <v>163</v>
      </c>
      <c r="H113" s="1">
        <v>1.0</v>
      </c>
      <c r="I113" s="1">
        <v>0.0</v>
      </c>
      <c r="J113" s="1">
        <v>0.0</v>
      </c>
      <c r="K113" s="1">
        <v>14.0</v>
      </c>
      <c r="L113" s="1">
        <v>16.0</v>
      </c>
      <c r="M113" s="1">
        <v>0.875</v>
      </c>
      <c r="N113" s="1">
        <v>23.77000046</v>
      </c>
      <c r="O113" s="1" t="str">
        <f t="shared" si="1"/>
        <v>No</v>
      </c>
      <c r="P113" s="1" t="str">
        <f t="shared" si="2"/>
        <v>Yes</v>
      </c>
      <c r="Q113" s="1" t="str">
        <f t="shared" si="3"/>
        <v>Yes</v>
      </c>
      <c r="R113" s="1" t="str">
        <f t="shared" si="4"/>
        <v>#DIV/0!</v>
      </c>
    </row>
    <row r="114" ht="15.75" customHeight="1">
      <c r="A114" s="1" t="s">
        <v>160</v>
      </c>
      <c r="B114" s="1" t="s">
        <v>94</v>
      </c>
      <c r="C114" s="5">
        <v>45740.0</v>
      </c>
      <c r="D114" s="1" t="s">
        <v>161</v>
      </c>
      <c r="E114" s="1" t="s">
        <v>11</v>
      </c>
      <c r="F114" s="1" t="s">
        <v>166</v>
      </c>
      <c r="G114" s="1" t="s">
        <v>163</v>
      </c>
      <c r="H114" s="1">
        <v>1.0</v>
      </c>
      <c r="I114" s="1">
        <v>1.0</v>
      </c>
      <c r="J114" s="1">
        <v>0.0</v>
      </c>
      <c r="K114" s="1">
        <v>26.0</v>
      </c>
      <c r="L114" s="1">
        <v>34.0</v>
      </c>
      <c r="M114" s="1">
        <v>0.764705882</v>
      </c>
      <c r="N114" s="1">
        <v>40.13999939</v>
      </c>
      <c r="O114" s="1" t="str">
        <f t="shared" si="1"/>
        <v>Yes</v>
      </c>
      <c r="P114" s="1" t="str">
        <f t="shared" si="2"/>
        <v>Yes</v>
      </c>
      <c r="Q114" s="1" t="str">
        <f t="shared" si="3"/>
        <v>No</v>
      </c>
      <c r="R114" s="1">
        <f t="shared" si="4"/>
        <v>40.13999939</v>
      </c>
    </row>
    <row r="115" ht="15.75" customHeight="1">
      <c r="A115" s="1" t="s">
        <v>160</v>
      </c>
      <c r="B115" s="1" t="s">
        <v>109</v>
      </c>
      <c r="C115" s="5">
        <v>45740.0</v>
      </c>
      <c r="D115" s="1" t="s">
        <v>161</v>
      </c>
      <c r="E115" s="1" t="s">
        <v>11</v>
      </c>
      <c r="F115" s="1" t="s">
        <v>162</v>
      </c>
      <c r="H115" s="1">
        <v>0.0</v>
      </c>
      <c r="I115" s="1">
        <v>0.0</v>
      </c>
      <c r="J115" s="1">
        <v>0.0</v>
      </c>
      <c r="K115" s="1">
        <v>0.0</v>
      </c>
      <c r="L115" s="1">
        <v>4.0</v>
      </c>
      <c r="M115" s="1">
        <v>0.0</v>
      </c>
      <c r="N115" s="1">
        <v>6.940000057</v>
      </c>
      <c r="O115" s="1" t="str">
        <f t="shared" si="1"/>
        <v>No</v>
      </c>
      <c r="P115" s="1" t="str">
        <f t="shared" si="2"/>
        <v>Yes</v>
      </c>
      <c r="Q115" s="1" t="str">
        <f t="shared" si="3"/>
        <v>Yes</v>
      </c>
      <c r="R115" s="1" t="str">
        <f t="shared" si="4"/>
        <v>#DIV/0!</v>
      </c>
    </row>
    <row r="116" ht="15.75" customHeight="1">
      <c r="A116" s="1" t="s">
        <v>164</v>
      </c>
      <c r="B116" s="1" t="s">
        <v>24</v>
      </c>
      <c r="C116" s="5">
        <v>45740.0</v>
      </c>
      <c r="D116" s="1" t="s">
        <v>161</v>
      </c>
      <c r="E116" s="1" t="s">
        <v>11</v>
      </c>
      <c r="F116" s="1" t="s">
        <v>166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N116" s="1">
        <v>3.849999905</v>
      </c>
      <c r="O116" s="1" t="str">
        <f t="shared" si="1"/>
        <v>No</v>
      </c>
      <c r="P116" s="1" t="str">
        <f t="shared" si="2"/>
        <v>Yes</v>
      </c>
      <c r="Q116" s="1" t="str">
        <f t="shared" si="3"/>
        <v>Yes</v>
      </c>
      <c r="R116" s="1" t="str">
        <f t="shared" si="4"/>
        <v>#DIV/0!</v>
      </c>
    </row>
    <row r="117" ht="15.75" customHeight="1">
      <c r="A117" s="1" t="s">
        <v>164</v>
      </c>
      <c r="B117" s="1" t="s">
        <v>49</v>
      </c>
      <c r="C117" s="5">
        <v>45740.0</v>
      </c>
      <c r="D117" s="1" t="s">
        <v>161</v>
      </c>
      <c r="E117" s="1" t="s">
        <v>11</v>
      </c>
      <c r="F117" s="1" t="s">
        <v>162</v>
      </c>
      <c r="G117" s="1" t="s">
        <v>163</v>
      </c>
      <c r="H117" s="1">
        <v>1.0</v>
      </c>
      <c r="I117" s="1">
        <v>0.0</v>
      </c>
      <c r="J117" s="1">
        <v>0.0</v>
      </c>
      <c r="K117" s="1">
        <v>16.0</v>
      </c>
      <c r="L117" s="1">
        <v>26.0</v>
      </c>
      <c r="M117" s="1">
        <v>0.615384615</v>
      </c>
      <c r="N117" s="1">
        <v>12.19999981</v>
      </c>
      <c r="O117" s="1" t="str">
        <f t="shared" si="1"/>
        <v>No</v>
      </c>
      <c r="P117" s="1" t="str">
        <f t="shared" si="2"/>
        <v>Yes</v>
      </c>
      <c r="Q117" s="1" t="str">
        <f t="shared" si="3"/>
        <v>Yes</v>
      </c>
      <c r="R117" s="1" t="str">
        <f t="shared" si="4"/>
        <v>#DIV/0!</v>
      </c>
    </row>
    <row r="118" ht="15.75" customHeight="1">
      <c r="A118" s="1" t="s">
        <v>164</v>
      </c>
      <c r="B118" s="1" t="s">
        <v>52</v>
      </c>
      <c r="C118" s="5">
        <v>45740.0</v>
      </c>
      <c r="D118" s="1" t="s">
        <v>161</v>
      </c>
      <c r="E118" s="1" t="s">
        <v>11</v>
      </c>
      <c r="F118" s="1" t="s">
        <v>165</v>
      </c>
      <c r="G118" s="1" t="s">
        <v>163</v>
      </c>
      <c r="H118" s="1">
        <v>1.0</v>
      </c>
      <c r="I118" s="1">
        <v>0.0</v>
      </c>
      <c r="J118" s="1">
        <v>0.0</v>
      </c>
      <c r="K118" s="1">
        <v>5.0</v>
      </c>
      <c r="L118" s="1">
        <v>15.0</v>
      </c>
      <c r="M118" s="1">
        <v>0.333333333</v>
      </c>
      <c r="N118" s="1">
        <v>19.87000084</v>
      </c>
      <c r="O118" s="1" t="str">
        <f t="shared" si="1"/>
        <v>No</v>
      </c>
      <c r="P118" s="1" t="str">
        <f t="shared" si="2"/>
        <v>Yes</v>
      </c>
      <c r="Q118" s="1" t="str">
        <f t="shared" si="3"/>
        <v>Yes</v>
      </c>
      <c r="R118" s="1" t="str">
        <f t="shared" si="4"/>
        <v>#DIV/0!</v>
      </c>
    </row>
    <row r="119" ht="15.75" customHeight="1">
      <c r="A119" s="1" t="s">
        <v>164</v>
      </c>
      <c r="B119" s="1" t="s">
        <v>52</v>
      </c>
      <c r="C119" s="5">
        <v>45740.0</v>
      </c>
      <c r="D119" s="1" t="s">
        <v>161</v>
      </c>
      <c r="E119" s="1" t="s">
        <v>11</v>
      </c>
      <c r="F119" s="1" t="s">
        <v>162</v>
      </c>
      <c r="G119" s="1" t="s">
        <v>163</v>
      </c>
      <c r="H119" s="1">
        <v>1.0</v>
      </c>
      <c r="I119" s="1">
        <v>0.0</v>
      </c>
      <c r="J119" s="1">
        <v>0.0</v>
      </c>
      <c r="K119" s="1">
        <v>4.0</v>
      </c>
      <c r="L119" s="1">
        <v>4.0</v>
      </c>
      <c r="M119" s="1">
        <v>1.0</v>
      </c>
      <c r="N119" s="1">
        <v>0.0</v>
      </c>
      <c r="O119" s="1" t="str">
        <f t="shared" si="1"/>
        <v>No</v>
      </c>
      <c r="P119" s="1" t="str">
        <f t="shared" si="2"/>
        <v>No</v>
      </c>
      <c r="Q119" s="1" t="str">
        <f t="shared" si="3"/>
        <v>Yes</v>
      </c>
      <c r="R119" s="1" t="str">
        <f t="shared" si="4"/>
        <v>#DIV/0!</v>
      </c>
    </row>
    <row r="120" ht="15.75" customHeight="1">
      <c r="A120" s="1" t="s">
        <v>164</v>
      </c>
      <c r="B120" s="1" t="s">
        <v>62</v>
      </c>
      <c r="C120" s="5">
        <v>45740.0</v>
      </c>
      <c r="D120" s="1" t="s">
        <v>161</v>
      </c>
      <c r="E120" s="1" t="s">
        <v>11</v>
      </c>
      <c r="F120" s="1" t="s">
        <v>165</v>
      </c>
      <c r="G120" s="1" t="s">
        <v>163</v>
      </c>
      <c r="H120" s="1">
        <v>1.0</v>
      </c>
      <c r="I120" s="1">
        <v>0.0</v>
      </c>
      <c r="J120" s="1">
        <v>0.0</v>
      </c>
      <c r="K120" s="1">
        <v>17.0</v>
      </c>
      <c r="L120" s="1">
        <v>21.0</v>
      </c>
      <c r="M120" s="1">
        <v>0.80952381</v>
      </c>
      <c r="N120" s="1">
        <v>11.85999966</v>
      </c>
      <c r="O120" s="1" t="str">
        <f t="shared" si="1"/>
        <v>No</v>
      </c>
      <c r="P120" s="1" t="str">
        <f t="shared" si="2"/>
        <v>Yes</v>
      </c>
      <c r="Q120" s="1" t="str">
        <f t="shared" si="3"/>
        <v>Yes</v>
      </c>
      <c r="R120" s="1" t="str">
        <f t="shared" si="4"/>
        <v>#DIV/0!</v>
      </c>
    </row>
    <row r="121" ht="15.75" customHeight="1">
      <c r="A121" s="1" t="s">
        <v>164</v>
      </c>
      <c r="B121" s="1" t="s">
        <v>64</v>
      </c>
      <c r="C121" s="5">
        <v>45740.0</v>
      </c>
      <c r="D121" s="1" t="s">
        <v>161</v>
      </c>
      <c r="E121" s="1" t="s">
        <v>296</v>
      </c>
      <c r="H121" s="1">
        <v>0.0</v>
      </c>
      <c r="J121" s="1">
        <v>0.0</v>
      </c>
      <c r="N121" s="1">
        <v>9.960000038</v>
      </c>
      <c r="O121" s="1" t="str">
        <f t="shared" si="1"/>
        <v>No</v>
      </c>
      <c r="P121" s="1" t="str">
        <f t="shared" si="2"/>
        <v>Yes</v>
      </c>
      <c r="Q121" s="1" t="str">
        <f t="shared" si="3"/>
        <v>Yes</v>
      </c>
      <c r="R121" s="1" t="str">
        <f t="shared" si="4"/>
        <v>#DIV/0!</v>
      </c>
    </row>
    <row r="122" ht="15.75" customHeight="1">
      <c r="A122" s="1" t="s">
        <v>164</v>
      </c>
      <c r="B122" s="1" t="s">
        <v>70</v>
      </c>
      <c r="C122" s="5">
        <v>45740.0</v>
      </c>
      <c r="D122" s="1" t="s">
        <v>161</v>
      </c>
      <c r="E122" s="1" t="s">
        <v>11</v>
      </c>
      <c r="F122" s="1" t="s">
        <v>166</v>
      </c>
      <c r="G122" s="1" t="s">
        <v>163</v>
      </c>
      <c r="H122" s="1">
        <v>1.0</v>
      </c>
      <c r="I122" s="1">
        <v>0.0</v>
      </c>
      <c r="J122" s="1">
        <v>0.0</v>
      </c>
      <c r="K122" s="1">
        <v>14.0</v>
      </c>
      <c r="L122" s="1">
        <v>22.0</v>
      </c>
      <c r="M122" s="1">
        <v>0.636363636</v>
      </c>
      <c r="N122" s="1">
        <v>30.89999962</v>
      </c>
      <c r="O122" s="1" t="str">
        <f t="shared" si="1"/>
        <v>No</v>
      </c>
      <c r="P122" s="1" t="str">
        <f t="shared" si="2"/>
        <v>Yes</v>
      </c>
      <c r="Q122" s="1" t="str">
        <f t="shared" si="3"/>
        <v>No</v>
      </c>
      <c r="R122" s="1" t="str">
        <f t="shared" si="4"/>
        <v>#DIV/0!</v>
      </c>
    </row>
    <row r="123" ht="15.75" customHeight="1">
      <c r="A123" s="1" t="s">
        <v>164</v>
      </c>
      <c r="B123" s="1" t="s">
        <v>51</v>
      </c>
      <c r="C123" s="5">
        <v>45740.0</v>
      </c>
      <c r="D123" s="1" t="s">
        <v>161</v>
      </c>
      <c r="E123" s="1" t="s">
        <v>11</v>
      </c>
      <c r="F123" s="1" t="s">
        <v>165</v>
      </c>
      <c r="G123" s="1" t="s">
        <v>163</v>
      </c>
      <c r="H123" s="1">
        <v>1.0</v>
      </c>
      <c r="I123" s="1">
        <v>0.0</v>
      </c>
      <c r="J123" s="1">
        <v>0.0</v>
      </c>
      <c r="K123" s="1">
        <v>4.0</v>
      </c>
      <c r="L123" s="1">
        <v>12.0</v>
      </c>
      <c r="M123" s="1">
        <v>0.333333333</v>
      </c>
      <c r="N123" s="1">
        <v>9.600000381</v>
      </c>
      <c r="O123" s="1" t="str">
        <f t="shared" si="1"/>
        <v>No</v>
      </c>
      <c r="P123" s="1" t="str">
        <f t="shared" si="2"/>
        <v>Yes</v>
      </c>
      <c r="Q123" s="1" t="str">
        <f t="shared" si="3"/>
        <v>Yes</v>
      </c>
      <c r="R123" s="1" t="str">
        <f t="shared" si="4"/>
        <v>#DIV/0!</v>
      </c>
    </row>
    <row r="124" ht="15.75" customHeight="1">
      <c r="A124" s="1" t="s">
        <v>164</v>
      </c>
      <c r="B124" s="1" t="s">
        <v>78</v>
      </c>
      <c r="C124" s="5">
        <v>45740.0</v>
      </c>
      <c r="D124" s="1" t="s">
        <v>161</v>
      </c>
      <c r="E124" s="1" t="s">
        <v>11</v>
      </c>
      <c r="F124" s="1" t="s">
        <v>165</v>
      </c>
      <c r="G124" s="1" t="s">
        <v>163</v>
      </c>
      <c r="H124" s="1">
        <v>1.0</v>
      </c>
      <c r="I124" s="1">
        <v>0.0</v>
      </c>
      <c r="J124" s="1">
        <v>0.0</v>
      </c>
      <c r="K124" s="1">
        <v>10.0</v>
      </c>
      <c r="L124" s="1">
        <v>12.0</v>
      </c>
      <c r="M124" s="1">
        <v>0.833333333</v>
      </c>
      <c r="N124" s="1">
        <v>3.619999886</v>
      </c>
      <c r="O124" s="1" t="str">
        <f t="shared" si="1"/>
        <v>No</v>
      </c>
      <c r="P124" s="1" t="str">
        <f t="shared" si="2"/>
        <v>Yes</v>
      </c>
      <c r="Q124" s="1" t="str">
        <f t="shared" si="3"/>
        <v>Yes</v>
      </c>
      <c r="R124" s="1" t="str">
        <f t="shared" si="4"/>
        <v>#DIV/0!</v>
      </c>
    </row>
    <row r="125" ht="15.75" customHeight="1">
      <c r="A125" s="1" t="s">
        <v>164</v>
      </c>
      <c r="B125" s="1" t="s">
        <v>187</v>
      </c>
      <c r="C125" s="5">
        <v>45740.0</v>
      </c>
      <c r="D125" s="1" t="s">
        <v>161</v>
      </c>
      <c r="E125" s="1" t="s">
        <v>11</v>
      </c>
      <c r="H125" s="1">
        <v>0.0</v>
      </c>
      <c r="J125" s="1">
        <v>0.0</v>
      </c>
      <c r="N125" s="1">
        <v>1.539999962</v>
      </c>
      <c r="O125" s="1" t="str">
        <f t="shared" si="1"/>
        <v>No</v>
      </c>
      <c r="P125" s="1" t="str">
        <f t="shared" si="2"/>
        <v>Yes</v>
      </c>
      <c r="Q125" s="1" t="str">
        <f t="shared" si="3"/>
        <v>Yes</v>
      </c>
      <c r="R125" s="1" t="str">
        <f t="shared" si="4"/>
        <v>#DIV/0!</v>
      </c>
    </row>
    <row r="126" ht="15.75" customHeight="1">
      <c r="A126" s="1" t="s">
        <v>164</v>
      </c>
      <c r="B126" s="1" t="s">
        <v>63</v>
      </c>
      <c r="C126" s="5">
        <v>45740.0</v>
      </c>
      <c r="D126" s="1" t="s">
        <v>161</v>
      </c>
      <c r="E126" s="1" t="s">
        <v>11</v>
      </c>
      <c r="F126" s="1" t="s">
        <v>166</v>
      </c>
      <c r="G126" s="1" t="s">
        <v>163</v>
      </c>
      <c r="H126" s="1">
        <v>1.0</v>
      </c>
      <c r="I126" s="1">
        <v>0.0</v>
      </c>
      <c r="J126" s="1">
        <v>0.0</v>
      </c>
      <c r="K126" s="1">
        <v>10.0</v>
      </c>
      <c r="L126" s="1">
        <v>19.0</v>
      </c>
      <c r="M126" s="1">
        <v>0.526315789</v>
      </c>
      <c r="N126" s="1">
        <v>14.80000019</v>
      </c>
      <c r="O126" s="1" t="str">
        <f t="shared" si="1"/>
        <v>No</v>
      </c>
      <c r="P126" s="1" t="str">
        <f t="shared" si="2"/>
        <v>Yes</v>
      </c>
      <c r="Q126" s="1" t="str">
        <f t="shared" si="3"/>
        <v>Yes</v>
      </c>
      <c r="R126" s="1" t="str">
        <f t="shared" si="4"/>
        <v>#DIV/0!</v>
      </c>
    </row>
    <row r="127" ht="15.75" customHeight="1">
      <c r="A127" s="1" t="s">
        <v>164</v>
      </c>
      <c r="B127" s="1" t="s">
        <v>68</v>
      </c>
      <c r="C127" s="5">
        <v>45740.0</v>
      </c>
      <c r="D127" s="1" t="s">
        <v>161</v>
      </c>
      <c r="E127" s="1" t="s">
        <v>11</v>
      </c>
      <c r="H127" s="1">
        <v>0.0</v>
      </c>
      <c r="J127" s="1">
        <v>0.0</v>
      </c>
      <c r="N127" s="1">
        <v>16.37999916</v>
      </c>
      <c r="O127" s="1" t="str">
        <f t="shared" si="1"/>
        <v>No</v>
      </c>
      <c r="P127" s="1" t="str">
        <f t="shared" si="2"/>
        <v>Yes</v>
      </c>
      <c r="Q127" s="1" t="str">
        <f t="shared" si="3"/>
        <v>Yes</v>
      </c>
      <c r="R127" s="1" t="str">
        <f t="shared" si="4"/>
        <v>#DIV/0!</v>
      </c>
    </row>
    <row r="128" ht="15.75" customHeight="1">
      <c r="A128" s="1" t="s">
        <v>164</v>
      </c>
      <c r="B128" s="1" t="s">
        <v>74</v>
      </c>
      <c r="C128" s="5">
        <v>45740.0</v>
      </c>
      <c r="D128" s="1" t="s">
        <v>161</v>
      </c>
      <c r="E128" s="1" t="s">
        <v>11</v>
      </c>
      <c r="F128" s="1" t="s">
        <v>166</v>
      </c>
      <c r="G128" s="1" t="s">
        <v>163</v>
      </c>
      <c r="H128" s="1">
        <v>1.0</v>
      </c>
      <c r="I128" s="1">
        <v>0.0</v>
      </c>
      <c r="J128" s="1">
        <v>0.0</v>
      </c>
      <c r="K128" s="1">
        <v>4.0</v>
      </c>
      <c r="L128" s="1">
        <v>7.0</v>
      </c>
      <c r="M128" s="1">
        <v>0.571428571</v>
      </c>
      <c r="N128" s="1">
        <v>18.04000092</v>
      </c>
      <c r="O128" s="1" t="str">
        <f t="shared" si="1"/>
        <v>No</v>
      </c>
      <c r="P128" s="1" t="str">
        <f t="shared" si="2"/>
        <v>Yes</v>
      </c>
      <c r="Q128" s="1" t="str">
        <f t="shared" si="3"/>
        <v>Yes</v>
      </c>
      <c r="R128" s="1" t="str">
        <f t="shared" si="4"/>
        <v>#DIV/0!</v>
      </c>
    </row>
    <row r="129" ht="15.75" customHeight="1">
      <c r="A129" s="1" t="s">
        <v>164</v>
      </c>
      <c r="B129" s="1" t="s">
        <v>75</v>
      </c>
      <c r="C129" s="5">
        <v>45740.0</v>
      </c>
      <c r="D129" s="1" t="s">
        <v>161</v>
      </c>
      <c r="E129" s="1" t="s">
        <v>11</v>
      </c>
      <c r="F129" s="1" t="s">
        <v>165</v>
      </c>
      <c r="H129" s="1">
        <v>0.0</v>
      </c>
      <c r="I129" s="1">
        <v>0.0</v>
      </c>
      <c r="J129" s="1">
        <v>0.0</v>
      </c>
      <c r="K129" s="1">
        <v>22.0</v>
      </c>
      <c r="L129" s="1">
        <v>29.0</v>
      </c>
      <c r="M129" s="1">
        <v>0.75862069</v>
      </c>
      <c r="N129" s="1">
        <v>16.92000008</v>
      </c>
      <c r="O129" s="1" t="str">
        <f t="shared" si="1"/>
        <v>No</v>
      </c>
      <c r="P129" s="1" t="str">
        <f t="shared" si="2"/>
        <v>Yes</v>
      </c>
      <c r="Q129" s="1" t="str">
        <f t="shared" si="3"/>
        <v>Yes</v>
      </c>
      <c r="R129" s="1" t="str">
        <f t="shared" si="4"/>
        <v>#DIV/0!</v>
      </c>
    </row>
    <row r="130" ht="15.75" customHeight="1">
      <c r="A130" s="1" t="s">
        <v>164</v>
      </c>
      <c r="B130" s="1" t="s">
        <v>82</v>
      </c>
      <c r="C130" s="5">
        <v>45740.0</v>
      </c>
      <c r="D130" s="1" t="s">
        <v>161</v>
      </c>
      <c r="E130" s="1" t="s">
        <v>11</v>
      </c>
      <c r="F130" s="1" t="s">
        <v>165</v>
      </c>
      <c r="G130" s="1" t="s">
        <v>163</v>
      </c>
      <c r="H130" s="1">
        <v>1.0</v>
      </c>
      <c r="I130" s="1">
        <v>0.0</v>
      </c>
      <c r="J130" s="1">
        <v>0.0</v>
      </c>
      <c r="K130" s="1">
        <v>4.0</v>
      </c>
      <c r="L130" s="1">
        <v>8.0</v>
      </c>
      <c r="M130" s="1">
        <v>0.5</v>
      </c>
      <c r="N130" s="1">
        <v>8.619999886</v>
      </c>
      <c r="O130" s="1" t="str">
        <f t="shared" si="1"/>
        <v>No</v>
      </c>
      <c r="P130" s="1" t="str">
        <f t="shared" si="2"/>
        <v>Yes</v>
      </c>
      <c r="Q130" s="1" t="str">
        <f t="shared" si="3"/>
        <v>Yes</v>
      </c>
      <c r="R130" s="1" t="str">
        <f t="shared" si="4"/>
        <v>#DIV/0!</v>
      </c>
    </row>
    <row r="131" ht="15.75" customHeight="1">
      <c r="A131" s="1" t="s">
        <v>164</v>
      </c>
      <c r="B131" s="1" t="s">
        <v>82</v>
      </c>
      <c r="C131" s="5">
        <v>45740.0</v>
      </c>
      <c r="D131" s="1" t="s">
        <v>161</v>
      </c>
      <c r="E131" s="1" t="s">
        <v>11</v>
      </c>
      <c r="F131" s="1" t="s">
        <v>166</v>
      </c>
      <c r="G131" s="1" t="s">
        <v>163</v>
      </c>
      <c r="H131" s="1">
        <v>1.0</v>
      </c>
      <c r="I131" s="1">
        <v>1.0</v>
      </c>
      <c r="J131" s="1">
        <v>0.0</v>
      </c>
      <c r="K131" s="1">
        <v>4.0</v>
      </c>
      <c r="L131" s="1">
        <v>4.0</v>
      </c>
      <c r="M131" s="1">
        <v>1.0</v>
      </c>
      <c r="N131" s="1">
        <v>0.0</v>
      </c>
      <c r="O131" s="1" t="str">
        <f t="shared" si="1"/>
        <v>Yes</v>
      </c>
      <c r="P131" s="1" t="str">
        <f t="shared" si="2"/>
        <v>No</v>
      </c>
      <c r="Q131" s="1" t="str">
        <f t="shared" si="3"/>
        <v>Yes</v>
      </c>
      <c r="R131" s="1">
        <f t="shared" si="4"/>
        <v>0</v>
      </c>
    </row>
    <row r="132" ht="15.75" customHeight="1">
      <c r="A132" s="1" t="s">
        <v>164</v>
      </c>
      <c r="B132" s="1" t="s">
        <v>96</v>
      </c>
      <c r="C132" s="5">
        <v>45740.0</v>
      </c>
      <c r="D132" s="1" t="s">
        <v>161</v>
      </c>
      <c r="E132" s="1" t="s">
        <v>11</v>
      </c>
      <c r="F132" s="1" t="s">
        <v>165</v>
      </c>
      <c r="G132" s="1" t="s">
        <v>163</v>
      </c>
      <c r="H132" s="1">
        <v>1.0</v>
      </c>
      <c r="I132" s="1">
        <v>0.0</v>
      </c>
      <c r="J132" s="1">
        <v>0.0</v>
      </c>
      <c r="K132" s="1">
        <v>36.0</v>
      </c>
      <c r="L132" s="1">
        <v>69.0</v>
      </c>
      <c r="M132" s="1">
        <v>0.52173913</v>
      </c>
      <c r="N132" s="1">
        <v>86.94999695</v>
      </c>
      <c r="O132" s="1" t="str">
        <f t="shared" si="1"/>
        <v>No</v>
      </c>
      <c r="P132" s="1" t="str">
        <f t="shared" si="2"/>
        <v>Yes</v>
      </c>
      <c r="Q132" s="1" t="str">
        <f t="shared" si="3"/>
        <v>No</v>
      </c>
      <c r="R132" s="1" t="str">
        <f t="shared" si="4"/>
        <v>#DIV/0!</v>
      </c>
    </row>
    <row r="133" ht="15.75" customHeight="1">
      <c r="A133" s="1" t="s">
        <v>180</v>
      </c>
      <c r="B133" s="1" t="s">
        <v>45</v>
      </c>
      <c r="C133" s="5">
        <v>45740.0</v>
      </c>
      <c r="D133" s="1" t="s">
        <v>161</v>
      </c>
      <c r="E133" s="1" t="s">
        <v>11</v>
      </c>
      <c r="F133" s="1" t="s">
        <v>166</v>
      </c>
      <c r="G133" s="1" t="s">
        <v>163</v>
      </c>
      <c r="H133" s="1">
        <v>1.0</v>
      </c>
      <c r="I133" s="1">
        <v>3.0</v>
      </c>
      <c r="J133" s="1">
        <v>0.0</v>
      </c>
      <c r="K133" s="1">
        <v>97.0</v>
      </c>
      <c r="L133" s="1">
        <v>127.0</v>
      </c>
      <c r="M133" s="1">
        <v>0.763779528</v>
      </c>
      <c r="N133" s="1">
        <v>43.75</v>
      </c>
      <c r="O133" s="1" t="str">
        <f t="shared" si="1"/>
        <v>Yes</v>
      </c>
      <c r="P133" s="1" t="str">
        <f t="shared" si="2"/>
        <v>Yes</v>
      </c>
      <c r="Q133" s="1" t="str">
        <f t="shared" si="3"/>
        <v>No</v>
      </c>
      <c r="R133" s="1">
        <f t="shared" si="4"/>
        <v>14.58333333</v>
      </c>
    </row>
    <row r="134" ht="15.75" customHeight="1">
      <c r="A134" s="1" t="s">
        <v>160</v>
      </c>
      <c r="B134" s="1" t="s">
        <v>65</v>
      </c>
      <c r="C134" s="5">
        <v>45739.0</v>
      </c>
      <c r="D134" s="1" t="s">
        <v>161</v>
      </c>
      <c r="E134" s="1" t="s">
        <v>11</v>
      </c>
      <c r="F134" s="1" t="s">
        <v>162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N134" s="1">
        <v>0.0</v>
      </c>
      <c r="O134" s="1" t="str">
        <f t="shared" si="1"/>
        <v>No</v>
      </c>
      <c r="P134" s="1" t="str">
        <f t="shared" si="2"/>
        <v>No</v>
      </c>
      <c r="Q134" s="1" t="str">
        <f t="shared" si="3"/>
        <v>Yes</v>
      </c>
      <c r="R134" s="1" t="str">
        <f t="shared" si="4"/>
        <v>#DIV/0!</v>
      </c>
    </row>
    <row r="135" ht="15.75" customHeight="1">
      <c r="A135" s="1" t="s">
        <v>164</v>
      </c>
      <c r="B135" s="1" t="s">
        <v>62</v>
      </c>
      <c r="C135" s="5">
        <v>45739.0</v>
      </c>
      <c r="D135" s="1" t="s">
        <v>161</v>
      </c>
      <c r="E135" s="1" t="s">
        <v>11</v>
      </c>
      <c r="F135" s="1" t="s">
        <v>165</v>
      </c>
      <c r="G135" s="1" t="s">
        <v>163</v>
      </c>
      <c r="H135" s="1">
        <v>1.0</v>
      </c>
      <c r="I135" s="1">
        <v>1.0</v>
      </c>
      <c r="J135" s="1">
        <v>0.0</v>
      </c>
      <c r="K135" s="1">
        <v>22.0</v>
      </c>
      <c r="L135" s="1">
        <v>28.0</v>
      </c>
      <c r="M135" s="1">
        <v>0.785714286</v>
      </c>
      <c r="N135" s="1">
        <v>9.850000381</v>
      </c>
      <c r="O135" s="1" t="str">
        <f t="shared" si="1"/>
        <v>Yes</v>
      </c>
      <c r="P135" s="1" t="str">
        <f t="shared" si="2"/>
        <v>Yes</v>
      </c>
      <c r="Q135" s="1" t="str">
        <f t="shared" si="3"/>
        <v>Yes</v>
      </c>
      <c r="R135" s="1">
        <f t="shared" si="4"/>
        <v>9.850000381</v>
      </c>
    </row>
    <row r="136" ht="15.75" customHeight="1">
      <c r="A136" s="1" t="s">
        <v>160</v>
      </c>
      <c r="B136" s="1" t="s">
        <v>26</v>
      </c>
      <c r="C136" s="5">
        <v>45737.0</v>
      </c>
      <c r="D136" s="1" t="s">
        <v>161</v>
      </c>
      <c r="E136" s="1" t="s">
        <v>11</v>
      </c>
      <c r="F136" s="1" t="s">
        <v>162</v>
      </c>
      <c r="H136" s="1">
        <v>0.0</v>
      </c>
      <c r="I136" s="1">
        <v>0.0</v>
      </c>
      <c r="J136" s="1">
        <v>0.0</v>
      </c>
      <c r="K136" s="1">
        <v>0.0</v>
      </c>
      <c r="L136" s="1">
        <v>0.0</v>
      </c>
      <c r="N136" s="1">
        <v>2.390000105</v>
      </c>
      <c r="O136" s="1" t="str">
        <f t="shared" si="1"/>
        <v>No</v>
      </c>
      <c r="P136" s="1" t="str">
        <f t="shared" si="2"/>
        <v>Yes</v>
      </c>
      <c r="Q136" s="1" t="str">
        <f t="shared" si="3"/>
        <v>Yes</v>
      </c>
      <c r="R136" s="1" t="str">
        <f t="shared" si="4"/>
        <v>#DIV/0!</v>
      </c>
    </row>
    <row r="137" ht="15.75" customHeight="1">
      <c r="A137" s="1" t="s">
        <v>160</v>
      </c>
      <c r="B137" s="1" t="s">
        <v>18</v>
      </c>
      <c r="C137" s="5">
        <v>45737.0</v>
      </c>
      <c r="D137" s="1" t="s">
        <v>161</v>
      </c>
      <c r="E137" s="1" t="s">
        <v>11</v>
      </c>
      <c r="H137" s="1">
        <v>0.0</v>
      </c>
      <c r="J137" s="1">
        <v>0.0</v>
      </c>
      <c r="N137" s="1">
        <v>0.519999981</v>
      </c>
      <c r="O137" s="1" t="str">
        <f t="shared" si="1"/>
        <v>No</v>
      </c>
      <c r="P137" s="1" t="str">
        <f t="shared" si="2"/>
        <v>Yes</v>
      </c>
      <c r="Q137" s="1" t="str">
        <f t="shared" si="3"/>
        <v>Yes</v>
      </c>
      <c r="R137" s="1" t="str">
        <f t="shared" si="4"/>
        <v>#DIV/0!</v>
      </c>
    </row>
    <row r="138" ht="15.75" customHeight="1">
      <c r="A138" s="1" t="s">
        <v>160</v>
      </c>
      <c r="B138" s="1" t="s">
        <v>38</v>
      </c>
      <c r="C138" s="5">
        <v>45737.0</v>
      </c>
      <c r="D138" s="1" t="s">
        <v>161</v>
      </c>
      <c r="E138" s="1" t="s">
        <v>11</v>
      </c>
      <c r="H138" s="1">
        <v>0.0</v>
      </c>
      <c r="J138" s="1">
        <v>0.0</v>
      </c>
      <c r="N138" s="1">
        <v>1.110000014</v>
      </c>
      <c r="O138" s="1" t="str">
        <f t="shared" si="1"/>
        <v>No</v>
      </c>
      <c r="P138" s="1" t="str">
        <f t="shared" si="2"/>
        <v>Yes</v>
      </c>
      <c r="Q138" s="1" t="str">
        <f t="shared" si="3"/>
        <v>Yes</v>
      </c>
      <c r="R138" s="1" t="str">
        <f t="shared" si="4"/>
        <v>#DIV/0!</v>
      </c>
    </row>
    <row r="139" ht="15.75" customHeight="1">
      <c r="A139" s="1" t="s">
        <v>160</v>
      </c>
      <c r="B139" s="1" t="s">
        <v>65</v>
      </c>
      <c r="C139" s="5">
        <v>45737.0</v>
      </c>
      <c r="D139" s="1" t="s">
        <v>161</v>
      </c>
      <c r="E139" s="1" t="s">
        <v>11</v>
      </c>
      <c r="F139" s="1" t="s">
        <v>162</v>
      </c>
      <c r="G139" s="1" t="s">
        <v>163</v>
      </c>
      <c r="H139" s="1">
        <v>1.0</v>
      </c>
      <c r="I139" s="1">
        <v>1.0</v>
      </c>
      <c r="J139" s="1">
        <v>0.0</v>
      </c>
      <c r="K139" s="1">
        <v>18.0</v>
      </c>
      <c r="L139" s="1">
        <v>26.0</v>
      </c>
      <c r="M139" s="1">
        <v>0.692307692</v>
      </c>
      <c r="N139" s="1">
        <v>19.03000069</v>
      </c>
      <c r="O139" s="1" t="str">
        <f t="shared" si="1"/>
        <v>Yes</v>
      </c>
      <c r="P139" s="1" t="str">
        <f t="shared" si="2"/>
        <v>Yes</v>
      </c>
      <c r="Q139" s="1" t="str">
        <f t="shared" si="3"/>
        <v>Yes</v>
      </c>
      <c r="R139" s="1">
        <f t="shared" si="4"/>
        <v>19.03000069</v>
      </c>
    </row>
    <row r="140" ht="15.75" customHeight="1">
      <c r="A140" s="1" t="s">
        <v>160</v>
      </c>
      <c r="B140" s="1" t="s">
        <v>92</v>
      </c>
      <c r="C140" s="5">
        <v>45737.0</v>
      </c>
      <c r="D140" s="1" t="s">
        <v>161</v>
      </c>
      <c r="E140" s="1" t="s">
        <v>11</v>
      </c>
      <c r="F140" s="1" t="s">
        <v>165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N140" s="1">
        <v>1.610000014</v>
      </c>
      <c r="O140" s="1" t="str">
        <f t="shared" si="1"/>
        <v>No</v>
      </c>
      <c r="P140" s="1" t="str">
        <f t="shared" si="2"/>
        <v>Yes</v>
      </c>
      <c r="Q140" s="1" t="str">
        <f t="shared" si="3"/>
        <v>Yes</v>
      </c>
      <c r="R140" s="1" t="str">
        <f t="shared" si="4"/>
        <v>#DIV/0!</v>
      </c>
    </row>
    <row r="141" ht="15.75" customHeight="1">
      <c r="A141" s="1" t="s">
        <v>160</v>
      </c>
      <c r="B141" s="1" t="s">
        <v>77</v>
      </c>
      <c r="C141" s="5">
        <v>45737.0</v>
      </c>
      <c r="D141" s="1" t="s">
        <v>161</v>
      </c>
      <c r="E141" s="1" t="s">
        <v>11</v>
      </c>
      <c r="F141" s="1" t="s">
        <v>162</v>
      </c>
      <c r="G141" s="1" t="s">
        <v>163</v>
      </c>
      <c r="H141" s="1">
        <v>1.0</v>
      </c>
      <c r="I141" s="1">
        <v>0.0</v>
      </c>
      <c r="J141" s="1">
        <v>0.0</v>
      </c>
      <c r="K141" s="1">
        <v>12.0</v>
      </c>
      <c r="L141" s="1">
        <v>16.0</v>
      </c>
      <c r="M141" s="1">
        <v>0.75</v>
      </c>
      <c r="N141" s="1">
        <v>11.21000004</v>
      </c>
      <c r="O141" s="1" t="str">
        <f t="shared" si="1"/>
        <v>No</v>
      </c>
      <c r="P141" s="1" t="str">
        <f t="shared" si="2"/>
        <v>Yes</v>
      </c>
      <c r="Q141" s="1" t="str">
        <f t="shared" si="3"/>
        <v>Yes</v>
      </c>
      <c r="R141" s="1" t="str">
        <f t="shared" si="4"/>
        <v>#DIV/0!</v>
      </c>
    </row>
    <row r="142" ht="15.75" customHeight="1">
      <c r="A142" s="1" t="s">
        <v>160</v>
      </c>
      <c r="B142" s="1" t="s">
        <v>90</v>
      </c>
      <c r="C142" s="5">
        <v>45737.0</v>
      </c>
      <c r="D142" s="1" t="s">
        <v>161</v>
      </c>
      <c r="E142" s="1" t="s">
        <v>11</v>
      </c>
      <c r="F142" s="1" t="s">
        <v>165</v>
      </c>
      <c r="G142" s="1" t="s">
        <v>163</v>
      </c>
      <c r="H142" s="1">
        <v>1.0</v>
      </c>
      <c r="I142" s="1">
        <v>2.0</v>
      </c>
      <c r="J142" s="1">
        <v>0.0</v>
      </c>
      <c r="K142" s="1">
        <v>28.0</v>
      </c>
      <c r="L142" s="1">
        <v>42.0</v>
      </c>
      <c r="M142" s="1">
        <v>0.666666667</v>
      </c>
      <c r="N142" s="1">
        <v>12.14999962</v>
      </c>
      <c r="O142" s="1" t="str">
        <f t="shared" si="1"/>
        <v>Yes</v>
      </c>
      <c r="P142" s="1" t="str">
        <f t="shared" si="2"/>
        <v>Yes</v>
      </c>
      <c r="Q142" s="1" t="str">
        <f t="shared" si="3"/>
        <v>Yes</v>
      </c>
      <c r="R142" s="1">
        <f t="shared" si="4"/>
        <v>6.07499981</v>
      </c>
    </row>
    <row r="143" ht="15.75" customHeight="1">
      <c r="A143" s="1" t="s">
        <v>164</v>
      </c>
      <c r="B143" s="1" t="s">
        <v>24</v>
      </c>
      <c r="C143" s="5">
        <v>45737.0</v>
      </c>
      <c r="D143" s="1" t="s">
        <v>161</v>
      </c>
      <c r="E143" s="1" t="s">
        <v>11</v>
      </c>
      <c r="F143" s="1" t="s">
        <v>162</v>
      </c>
      <c r="G143" s="1" t="s">
        <v>163</v>
      </c>
      <c r="H143" s="1">
        <v>1.0</v>
      </c>
      <c r="I143" s="1">
        <v>0.0</v>
      </c>
      <c r="J143" s="1">
        <v>0.0</v>
      </c>
      <c r="K143" s="1">
        <v>0.0</v>
      </c>
      <c r="L143" s="1">
        <v>0.0</v>
      </c>
      <c r="N143" s="1">
        <v>0.0</v>
      </c>
      <c r="O143" s="1" t="str">
        <f t="shared" si="1"/>
        <v>No</v>
      </c>
      <c r="P143" s="1" t="str">
        <f t="shared" si="2"/>
        <v>No</v>
      </c>
      <c r="Q143" s="1" t="str">
        <f t="shared" si="3"/>
        <v>Yes</v>
      </c>
      <c r="R143" s="1" t="str">
        <f t="shared" si="4"/>
        <v>#DIV/0!</v>
      </c>
    </row>
    <row r="144" ht="15.75" customHeight="1">
      <c r="A144" s="1" t="s">
        <v>164</v>
      </c>
      <c r="B144" s="1" t="s">
        <v>24</v>
      </c>
      <c r="C144" s="5">
        <v>45737.0</v>
      </c>
      <c r="D144" s="1" t="s">
        <v>161</v>
      </c>
      <c r="E144" s="1" t="s">
        <v>11</v>
      </c>
      <c r="F144" s="1" t="s">
        <v>166</v>
      </c>
      <c r="G144" s="1" t="s">
        <v>163</v>
      </c>
      <c r="H144" s="1">
        <v>1.0</v>
      </c>
      <c r="I144" s="1">
        <v>0.0</v>
      </c>
      <c r="J144" s="1">
        <v>0.0</v>
      </c>
      <c r="K144" s="1">
        <v>6.0</v>
      </c>
      <c r="L144" s="1">
        <v>10.0</v>
      </c>
      <c r="M144" s="1">
        <v>0.6</v>
      </c>
      <c r="N144" s="1">
        <v>6.260000229</v>
      </c>
      <c r="O144" s="1" t="str">
        <f t="shared" si="1"/>
        <v>No</v>
      </c>
      <c r="P144" s="1" t="str">
        <f t="shared" si="2"/>
        <v>Yes</v>
      </c>
      <c r="Q144" s="1" t="str">
        <f t="shared" si="3"/>
        <v>Yes</v>
      </c>
      <c r="R144" s="1" t="str">
        <f t="shared" si="4"/>
        <v>#DIV/0!</v>
      </c>
    </row>
    <row r="145" ht="15.75" customHeight="1">
      <c r="A145" s="1" t="s">
        <v>164</v>
      </c>
      <c r="B145" s="1" t="s">
        <v>49</v>
      </c>
      <c r="C145" s="5">
        <v>45737.0</v>
      </c>
      <c r="D145" s="1" t="s">
        <v>161</v>
      </c>
      <c r="E145" s="1" t="s">
        <v>11</v>
      </c>
      <c r="F145" s="1" t="s">
        <v>162</v>
      </c>
      <c r="G145" s="1" t="s">
        <v>163</v>
      </c>
      <c r="H145" s="1">
        <v>1.0</v>
      </c>
      <c r="I145" s="1">
        <v>0.0</v>
      </c>
      <c r="J145" s="1">
        <v>0.0</v>
      </c>
      <c r="K145" s="1">
        <v>35.0</v>
      </c>
      <c r="L145" s="1">
        <v>49.0</v>
      </c>
      <c r="M145" s="1">
        <v>0.714285714</v>
      </c>
      <c r="N145" s="1">
        <v>19.85000038</v>
      </c>
      <c r="O145" s="1" t="str">
        <f t="shared" si="1"/>
        <v>No</v>
      </c>
      <c r="P145" s="1" t="str">
        <f t="shared" si="2"/>
        <v>Yes</v>
      </c>
      <c r="Q145" s="1" t="str">
        <f t="shared" si="3"/>
        <v>Yes</v>
      </c>
      <c r="R145" s="1" t="str">
        <f t="shared" si="4"/>
        <v>#DIV/0!</v>
      </c>
    </row>
    <row r="146" ht="15.75" customHeight="1">
      <c r="A146" s="1" t="s">
        <v>164</v>
      </c>
      <c r="B146" s="1" t="s">
        <v>52</v>
      </c>
      <c r="C146" s="5">
        <v>45737.0</v>
      </c>
      <c r="D146" s="1" t="s">
        <v>161</v>
      </c>
      <c r="E146" s="1" t="s">
        <v>11</v>
      </c>
      <c r="F146" s="1" t="s">
        <v>165</v>
      </c>
      <c r="G146" s="1" t="s">
        <v>163</v>
      </c>
      <c r="H146" s="1">
        <v>1.0</v>
      </c>
      <c r="I146" s="1">
        <v>0.0</v>
      </c>
      <c r="J146" s="1">
        <v>0.0</v>
      </c>
      <c r="K146" s="1">
        <v>4.0</v>
      </c>
      <c r="L146" s="1">
        <v>4.0</v>
      </c>
      <c r="M146" s="1">
        <v>1.0</v>
      </c>
      <c r="N146" s="1">
        <v>2.880000114</v>
      </c>
      <c r="O146" s="1" t="str">
        <f t="shared" si="1"/>
        <v>No</v>
      </c>
      <c r="P146" s="1" t="str">
        <f t="shared" si="2"/>
        <v>Yes</v>
      </c>
      <c r="Q146" s="1" t="str">
        <f t="shared" si="3"/>
        <v>Yes</v>
      </c>
      <c r="R146" s="1" t="str">
        <f t="shared" si="4"/>
        <v>#DIV/0!</v>
      </c>
    </row>
    <row r="147" ht="15.75" customHeight="1">
      <c r="A147" s="1" t="s">
        <v>164</v>
      </c>
      <c r="B147" s="1" t="s">
        <v>62</v>
      </c>
      <c r="C147" s="5">
        <v>45737.0</v>
      </c>
      <c r="D147" s="1" t="s">
        <v>161</v>
      </c>
      <c r="E147" s="1" t="s">
        <v>11</v>
      </c>
      <c r="H147" s="1">
        <v>0.0</v>
      </c>
      <c r="J147" s="1">
        <v>0.0</v>
      </c>
      <c r="N147" s="1">
        <v>14.85999966</v>
      </c>
      <c r="O147" s="1" t="str">
        <f t="shared" si="1"/>
        <v>No</v>
      </c>
      <c r="P147" s="1" t="str">
        <f t="shared" si="2"/>
        <v>Yes</v>
      </c>
      <c r="Q147" s="1" t="str">
        <f t="shared" si="3"/>
        <v>Yes</v>
      </c>
      <c r="R147" s="1" t="str">
        <f t="shared" si="4"/>
        <v>#DIV/0!</v>
      </c>
    </row>
    <row r="148" ht="15.75" customHeight="1">
      <c r="A148" s="1" t="s">
        <v>164</v>
      </c>
      <c r="B148" s="1" t="s">
        <v>64</v>
      </c>
      <c r="C148" s="5">
        <v>45737.0</v>
      </c>
      <c r="D148" s="1" t="s">
        <v>161</v>
      </c>
      <c r="E148" s="1" t="s">
        <v>11</v>
      </c>
      <c r="H148" s="1">
        <v>0.0</v>
      </c>
      <c r="J148" s="1">
        <v>0.0</v>
      </c>
      <c r="N148" s="1">
        <v>0.02</v>
      </c>
      <c r="O148" s="1" t="str">
        <f t="shared" si="1"/>
        <v>No</v>
      </c>
      <c r="P148" s="1" t="str">
        <f t="shared" si="2"/>
        <v>Yes</v>
      </c>
      <c r="Q148" s="1" t="str">
        <f t="shared" si="3"/>
        <v>Yes</v>
      </c>
      <c r="R148" s="1" t="str">
        <f t="shared" si="4"/>
        <v>#DIV/0!</v>
      </c>
    </row>
    <row r="149" ht="15.75" customHeight="1">
      <c r="A149" s="1" t="s">
        <v>164</v>
      </c>
      <c r="B149" s="1" t="s">
        <v>51</v>
      </c>
      <c r="C149" s="5">
        <v>45737.0</v>
      </c>
      <c r="D149" s="1" t="s">
        <v>161</v>
      </c>
      <c r="E149" s="1" t="s">
        <v>11</v>
      </c>
      <c r="F149" s="1" t="s">
        <v>165</v>
      </c>
      <c r="G149" s="1" t="s">
        <v>163</v>
      </c>
      <c r="H149" s="1">
        <v>1.0</v>
      </c>
      <c r="I149" s="1">
        <v>0.0</v>
      </c>
      <c r="J149" s="1">
        <v>0.0</v>
      </c>
      <c r="K149" s="1">
        <v>8.0</v>
      </c>
      <c r="L149" s="1">
        <v>24.0</v>
      </c>
      <c r="M149" s="1">
        <v>0.333333333</v>
      </c>
      <c r="N149" s="1">
        <v>18.47999954</v>
      </c>
      <c r="O149" s="1" t="str">
        <f t="shared" si="1"/>
        <v>No</v>
      </c>
      <c r="P149" s="1" t="str">
        <f t="shared" si="2"/>
        <v>Yes</v>
      </c>
      <c r="Q149" s="1" t="str">
        <f t="shared" si="3"/>
        <v>Yes</v>
      </c>
      <c r="R149" s="1" t="str">
        <f t="shared" si="4"/>
        <v>#DIV/0!</v>
      </c>
    </row>
    <row r="150" ht="15.75" customHeight="1">
      <c r="A150" s="1" t="s">
        <v>164</v>
      </c>
      <c r="B150" s="1" t="s">
        <v>78</v>
      </c>
      <c r="C150" s="5">
        <v>45737.0</v>
      </c>
      <c r="D150" s="1" t="s">
        <v>161</v>
      </c>
      <c r="E150" s="1" t="s">
        <v>11</v>
      </c>
      <c r="F150" s="1" t="s">
        <v>165</v>
      </c>
      <c r="G150" s="1" t="s">
        <v>163</v>
      </c>
      <c r="H150" s="1">
        <v>1.0</v>
      </c>
      <c r="I150" s="1">
        <v>1.0</v>
      </c>
      <c r="J150" s="1">
        <v>0.0</v>
      </c>
      <c r="K150" s="1">
        <v>14.0</v>
      </c>
      <c r="L150" s="1">
        <v>17.0</v>
      </c>
      <c r="M150" s="1">
        <v>0.823529412</v>
      </c>
      <c r="N150" s="1">
        <v>10.56000042</v>
      </c>
      <c r="O150" s="1" t="str">
        <f t="shared" si="1"/>
        <v>Yes</v>
      </c>
      <c r="P150" s="1" t="str">
        <f t="shared" si="2"/>
        <v>Yes</v>
      </c>
      <c r="Q150" s="1" t="str">
        <f t="shared" si="3"/>
        <v>Yes</v>
      </c>
      <c r="R150" s="1">
        <f t="shared" si="4"/>
        <v>10.56000042</v>
      </c>
    </row>
    <row r="151" ht="15.75" customHeight="1">
      <c r="A151" s="1" t="s">
        <v>164</v>
      </c>
      <c r="B151" s="1" t="s">
        <v>60</v>
      </c>
      <c r="C151" s="5">
        <v>45737.0</v>
      </c>
      <c r="D151" s="1" t="s">
        <v>161</v>
      </c>
      <c r="E151" s="1" t="s">
        <v>11</v>
      </c>
      <c r="F151" s="1" t="s">
        <v>166</v>
      </c>
      <c r="G151" s="1" t="s">
        <v>163</v>
      </c>
      <c r="H151" s="1">
        <v>1.0</v>
      </c>
      <c r="I151" s="1">
        <v>1.0</v>
      </c>
      <c r="J151" s="1">
        <v>0.0</v>
      </c>
      <c r="K151" s="1">
        <v>14.0</v>
      </c>
      <c r="L151" s="1">
        <v>20.0</v>
      </c>
      <c r="M151" s="1">
        <v>0.7</v>
      </c>
      <c r="N151" s="1">
        <v>12.01000023</v>
      </c>
      <c r="O151" s="1" t="str">
        <f t="shared" si="1"/>
        <v>Yes</v>
      </c>
      <c r="P151" s="1" t="str">
        <f t="shared" si="2"/>
        <v>Yes</v>
      </c>
      <c r="Q151" s="1" t="str">
        <f t="shared" si="3"/>
        <v>Yes</v>
      </c>
      <c r="R151" s="1">
        <f t="shared" si="4"/>
        <v>12.01000023</v>
      </c>
    </row>
    <row r="152" ht="15.75" customHeight="1">
      <c r="A152" s="1" t="s">
        <v>164</v>
      </c>
      <c r="B152" s="1" t="s">
        <v>63</v>
      </c>
      <c r="C152" s="5">
        <v>45737.0</v>
      </c>
      <c r="D152" s="1" t="s">
        <v>161</v>
      </c>
      <c r="E152" s="1" t="s">
        <v>11</v>
      </c>
      <c r="F152" s="1" t="s">
        <v>166</v>
      </c>
      <c r="H152" s="1">
        <v>0.0</v>
      </c>
      <c r="I152" s="1">
        <v>0.0</v>
      </c>
      <c r="J152" s="1">
        <v>0.0</v>
      </c>
      <c r="K152" s="1">
        <v>16.0</v>
      </c>
      <c r="L152" s="1">
        <v>25.0</v>
      </c>
      <c r="M152" s="1">
        <v>0.64</v>
      </c>
      <c r="N152" s="1">
        <v>11.13000011</v>
      </c>
      <c r="O152" s="1" t="str">
        <f t="shared" si="1"/>
        <v>No</v>
      </c>
      <c r="P152" s="1" t="str">
        <f t="shared" si="2"/>
        <v>Yes</v>
      </c>
      <c r="Q152" s="1" t="str">
        <f t="shared" si="3"/>
        <v>Yes</v>
      </c>
      <c r="R152" s="1" t="str">
        <f t="shared" si="4"/>
        <v>#DIV/0!</v>
      </c>
    </row>
    <row r="153" ht="15.75" customHeight="1">
      <c r="A153" s="1" t="s">
        <v>164</v>
      </c>
      <c r="B153" s="1" t="s">
        <v>68</v>
      </c>
      <c r="C153" s="5">
        <v>45737.0</v>
      </c>
      <c r="D153" s="1" t="s">
        <v>161</v>
      </c>
      <c r="E153" s="1" t="s">
        <v>11</v>
      </c>
      <c r="F153" s="1" t="s">
        <v>165</v>
      </c>
      <c r="G153" s="1" t="s">
        <v>163</v>
      </c>
      <c r="H153" s="1">
        <v>1.0</v>
      </c>
      <c r="I153" s="1">
        <v>0.0</v>
      </c>
      <c r="J153" s="1">
        <v>0.0</v>
      </c>
      <c r="K153" s="1">
        <v>0.0</v>
      </c>
      <c r="L153" s="1">
        <v>4.0</v>
      </c>
      <c r="M153" s="1">
        <v>0.0</v>
      </c>
      <c r="N153" s="1">
        <v>9.489999771</v>
      </c>
      <c r="O153" s="1" t="str">
        <f t="shared" si="1"/>
        <v>No</v>
      </c>
      <c r="P153" s="1" t="str">
        <f t="shared" si="2"/>
        <v>Yes</v>
      </c>
      <c r="Q153" s="1" t="str">
        <f t="shared" si="3"/>
        <v>Yes</v>
      </c>
      <c r="R153" s="1" t="str">
        <f t="shared" si="4"/>
        <v>#DIV/0!</v>
      </c>
    </row>
    <row r="154" ht="15.75" customHeight="1">
      <c r="A154" s="1" t="s">
        <v>164</v>
      </c>
      <c r="B154" s="1" t="s">
        <v>74</v>
      </c>
      <c r="C154" s="5">
        <v>45737.0</v>
      </c>
      <c r="D154" s="1" t="s">
        <v>161</v>
      </c>
      <c r="E154" s="1" t="s">
        <v>11</v>
      </c>
      <c r="H154" s="1">
        <v>0.0</v>
      </c>
      <c r="J154" s="1">
        <v>0.0</v>
      </c>
      <c r="N154" s="1">
        <v>1.129999995</v>
      </c>
      <c r="O154" s="1" t="str">
        <f t="shared" si="1"/>
        <v>No</v>
      </c>
      <c r="P154" s="1" t="str">
        <f t="shared" si="2"/>
        <v>Yes</v>
      </c>
      <c r="Q154" s="1" t="str">
        <f t="shared" si="3"/>
        <v>Yes</v>
      </c>
      <c r="R154" s="1" t="str">
        <f t="shared" si="4"/>
        <v>#DIV/0!</v>
      </c>
    </row>
    <row r="155" ht="15.75" customHeight="1">
      <c r="A155" s="1" t="s">
        <v>164</v>
      </c>
      <c r="B155" s="1" t="s">
        <v>75</v>
      </c>
      <c r="C155" s="5">
        <v>45737.0</v>
      </c>
      <c r="D155" s="1" t="s">
        <v>161</v>
      </c>
      <c r="E155" s="1" t="s">
        <v>11</v>
      </c>
      <c r="F155" s="1" t="s">
        <v>165</v>
      </c>
      <c r="G155" s="1" t="s">
        <v>163</v>
      </c>
      <c r="H155" s="1">
        <v>1.0</v>
      </c>
      <c r="I155" s="1">
        <v>0.0</v>
      </c>
      <c r="J155" s="1">
        <v>0.0</v>
      </c>
      <c r="K155" s="1">
        <v>8.0</v>
      </c>
      <c r="L155" s="1">
        <v>12.0</v>
      </c>
      <c r="M155" s="1">
        <v>0.666666667</v>
      </c>
      <c r="N155" s="1">
        <v>12.31999969</v>
      </c>
      <c r="O155" s="1" t="str">
        <f t="shared" si="1"/>
        <v>No</v>
      </c>
      <c r="P155" s="1" t="str">
        <f t="shared" si="2"/>
        <v>Yes</v>
      </c>
      <c r="Q155" s="1" t="str">
        <f t="shared" si="3"/>
        <v>Yes</v>
      </c>
      <c r="R155" s="1" t="str">
        <f t="shared" si="4"/>
        <v>#DIV/0!</v>
      </c>
    </row>
    <row r="156" ht="15.75" customHeight="1">
      <c r="A156" s="1" t="s">
        <v>164</v>
      </c>
      <c r="B156" s="1" t="s">
        <v>100</v>
      </c>
      <c r="C156" s="5">
        <v>45737.0</v>
      </c>
      <c r="D156" s="1" t="s">
        <v>161</v>
      </c>
      <c r="E156" s="1" t="s">
        <v>11</v>
      </c>
      <c r="F156" s="1" t="s">
        <v>166</v>
      </c>
      <c r="G156" s="1" t="s">
        <v>163</v>
      </c>
      <c r="H156" s="1">
        <v>1.0</v>
      </c>
      <c r="I156" s="1">
        <v>0.0</v>
      </c>
      <c r="J156" s="1">
        <v>0.0</v>
      </c>
      <c r="K156" s="1">
        <v>14.0</v>
      </c>
      <c r="L156" s="1">
        <v>20.0</v>
      </c>
      <c r="M156" s="1">
        <v>0.7</v>
      </c>
      <c r="N156" s="1">
        <v>7.53000021</v>
      </c>
      <c r="O156" s="1" t="str">
        <f t="shared" si="1"/>
        <v>No</v>
      </c>
      <c r="P156" s="1" t="str">
        <f t="shared" si="2"/>
        <v>Yes</v>
      </c>
      <c r="Q156" s="1" t="str">
        <f t="shared" si="3"/>
        <v>Yes</v>
      </c>
      <c r="R156" s="1" t="str">
        <f t="shared" si="4"/>
        <v>#DIV/0!</v>
      </c>
    </row>
    <row r="157" ht="15.75" customHeight="1">
      <c r="A157" s="1" t="s">
        <v>164</v>
      </c>
      <c r="B157" s="1" t="s">
        <v>82</v>
      </c>
      <c r="C157" s="5">
        <v>45737.0</v>
      </c>
      <c r="D157" s="1" t="s">
        <v>161</v>
      </c>
      <c r="E157" s="1" t="s">
        <v>11</v>
      </c>
      <c r="F157" s="1" t="s">
        <v>165</v>
      </c>
      <c r="H157" s="1">
        <v>0.0</v>
      </c>
      <c r="I157" s="1">
        <v>0.0</v>
      </c>
      <c r="J157" s="1">
        <v>0.0</v>
      </c>
      <c r="K157" s="1">
        <v>0.0</v>
      </c>
      <c r="L157" s="1">
        <v>0.0</v>
      </c>
      <c r="N157" s="1">
        <v>0.0</v>
      </c>
      <c r="O157" s="1" t="str">
        <f t="shared" si="1"/>
        <v>No</v>
      </c>
      <c r="P157" s="1" t="str">
        <f t="shared" si="2"/>
        <v>No</v>
      </c>
      <c r="Q157" s="1" t="str">
        <f t="shared" si="3"/>
        <v>Yes</v>
      </c>
      <c r="R157" s="1" t="str">
        <f t="shared" si="4"/>
        <v>#DIV/0!</v>
      </c>
    </row>
    <row r="158" ht="15.75" customHeight="1">
      <c r="A158" s="1" t="s">
        <v>164</v>
      </c>
      <c r="B158" s="1" t="s">
        <v>82</v>
      </c>
      <c r="C158" s="5">
        <v>45737.0</v>
      </c>
      <c r="D158" s="1" t="s">
        <v>161</v>
      </c>
      <c r="E158" s="1" t="s">
        <v>11</v>
      </c>
      <c r="F158" s="1" t="s">
        <v>166</v>
      </c>
      <c r="H158" s="1">
        <v>0.0</v>
      </c>
      <c r="I158" s="1">
        <v>0.0</v>
      </c>
      <c r="J158" s="1">
        <v>0.0</v>
      </c>
      <c r="K158" s="1">
        <v>23.0</v>
      </c>
      <c r="L158" s="1">
        <v>27.0</v>
      </c>
      <c r="M158" s="1">
        <v>0.851851852</v>
      </c>
      <c r="N158" s="1">
        <v>22.05999947</v>
      </c>
      <c r="O158" s="1" t="str">
        <f t="shared" si="1"/>
        <v>No</v>
      </c>
      <c r="P158" s="1" t="str">
        <f t="shared" si="2"/>
        <v>Yes</v>
      </c>
      <c r="Q158" s="1" t="str">
        <f t="shared" si="3"/>
        <v>Yes</v>
      </c>
      <c r="R158" s="1" t="str">
        <f t="shared" si="4"/>
        <v>#DIV/0!</v>
      </c>
    </row>
    <row r="159" ht="15.75" customHeight="1">
      <c r="A159" s="1" t="s">
        <v>164</v>
      </c>
      <c r="B159" s="1" t="s">
        <v>102</v>
      </c>
      <c r="C159" s="5">
        <v>45737.0</v>
      </c>
      <c r="D159" s="1" t="s">
        <v>161</v>
      </c>
      <c r="E159" s="1" t="s">
        <v>11</v>
      </c>
      <c r="F159" s="1" t="s">
        <v>165</v>
      </c>
      <c r="H159" s="1">
        <v>0.0</v>
      </c>
      <c r="I159" s="1">
        <v>0.0</v>
      </c>
      <c r="J159" s="1">
        <v>0.0</v>
      </c>
      <c r="K159" s="1">
        <v>0.0</v>
      </c>
      <c r="L159" s="1">
        <v>0.0</v>
      </c>
      <c r="N159" s="1">
        <v>2.099999905</v>
      </c>
      <c r="O159" s="1" t="str">
        <f t="shared" si="1"/>
        <v>No</v>
      </c>
      <c r="P159" s="1" t="str">
        <f t="shared" si="2"/>
        <v>Yes</v>
      </c>
      <c r="Q159" s="1" t="str">
        <f t="shared" si="3"/>
        <v>Yes</v>
      </c>
      <c r="R159" s="1" t="str">
        <f t="shared" si="4"/>
        <v>#DIV/0!</v>
      </c>
    </row>
    <row r="160" ht="15.75" customHeight="1">
      <c r="A160" s="1" t="s">
        <v>160</v>
      </c>
      <c r="B160" s="1" t="s">
        <v>26</v>
      </c>
      <c r="C160" s="5">
        <v>45736.0</v>
      </c>
      <c r="D160" s="1" t="s">
        <v>161</v>
      </c>
      <c r="E160" s="1" t="s">
        <v>11</v>
      </c>
      <c r="F160" s="1" t="s">
        <v>162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N160" s="1">
        <v>2.289999962</v>
      </c>
      <c r="O160" s="1" t="str">
        <f t="shared" si="1"/>
        <v>No</v>
      </c>
      <c r="P160" s="1" t="str">
        <f t="shared" si="2"/>
        <v>Yes</v>
      </c>
      <c r="Q160" s="1" t="str">
        <f t="shared" si="3"/>
        <v>Yes</v>
      </c>
      <c r="R160" s="1" t="str">
        <f t="shared" si="4"/>
        <v>#DIV/0!</v>
      </c>
    </row>
    <row r="161" ht="15.75" customHeight="1">
      <c r="A161" s="1" t="s">
        <v>160</v>
      </c>
      <c r="B161" s="1" t="s">
        <v>18</v>
      </c>
      <c r="C161" s="5">
        <v>45736.0</v>
      </c>
      <c r="D161" s="1" t="s">
        <v>161</v>
      </c>
      <c r="E161" s="1" t="s">
        <v>11</v>
      </c>
      <c r="F161" s="1" t="s">
        <v>162</v>
      </c>
      <c r="G161" s="1" t="s">
        <v>163</v>
      </c>
      <c r="H161" s="1">
        <v>1.0</v>
      </c>
      <c r="I161" s="1">
        <v>1.0</v>
      </c>
      <c r="J161" s="1">
        <v>0.0</v>
      </c>
      <c r="K161" s="1">
        <v>25.0</v>
      </c>
      <c r="L161" s="1">
        <v>51.0</v>
      </c>
      <c r="M161" s="1">
        <v>0.490196078</v>
      </c>
      <c r="N161" s="1">
        <v>21.68000031</v>
      </c>
      <c r="O161" s="1" t="str">
        <f t="shared" si="1"/>
        <v>Yes</v>
      </c>
      <c r="P161" s="1" t="str">
        <f t="shared" si="2"/>
        <v>Yes</v>
      </c>
      <c r="Q161" s="1" t="str">
        <f t="shared" si="3"/>
        <v>Yes</v>
      </c>
      <c r="R161" s="1">
        <f t="shared" si="4"/>
        <v>21.68000031</v>
      </c>
    </row>
    <row r="162" ht="15.75" customHeight="1">
      <c r="A162" s="1" t="s">
        <v>160</v>
      </c>
      <c r="B162" s="1" t="s">
        <v>56</v>
      </c>
      <c r="C162" s="5">
        <v>45736.0</v>
      </c>
      <c r="D162" s="1" t="s">
        <v>161</v>
      </c>
      <c r="E162" s="1" t="s">
        <v>11</v>
      </c>
      <c r="F162" s="1" t="s">
        <v>162</v>
      </c>
      <c r="G162" s="1" t="s">
        <v>163</v>
      </c>
      <c r="H162" s="1">
        <v>1.0</v>
      </c>
      <c r="I162" s="1">
        <v>0.0</v>
      </c>
      <c r="J162" s="1">
        <v>0.0</v>
      </c>
      <c r="K162" s="1">
        <v>8.0</v>
      </c>
      <c r="L162" s="1">
        <v>16.0</v>
      </c>
      <c r="M162" s="1">
        <v>0.5</v>
      </c>
      <c r="N162" s="1">
        <v>17.12000084</v>
      </c>
      <c r="O162" s="1" t="str">
        <f t="shared" si="1"/>
        <v>No</v>
      </c>
      <c r="P162" s="1" t="str">
        <f t="shared" si="2"/>
        <v>Yes</v>
      </c>
      <c r="Q162" s="1" t="str">
        <f t="shared" si="3"/>
        <v>Yes</v>
      </c>
      <c r="R162" s="1" t="str">
        <f t="shared" si="4"/>
        <v>#DIV/0!</v>
      </c>
    </row>
    <row r="163" ht="15.75" customHeight="1">
      <c r="A163" s="1" t="s">
        <v>160</v>
      </c>
      <c r="B163" s="1" t="s">
        <v>80</v>
      </c>
      <c r="C163" s="5">
        <v>45736.0</v>
      </c>
      <c r="D163" s="1" t="s">
        <v>161</v>
      </c>
      <c r="E163" s="1" t="s">
        <v>11</v>
      </c>
      <c r="H163" s="1">
        <v>0.0</v>
      </c>
      <c r="J163" s="1">
        <v>0.0</v>
      </c>
      <c r="N163" s="1">
        <v>0.569999993</v>
      </c>
      <c r="O163" s="1" t="str">
        <f t="shared" si="1"/>
        <v>No</v>
      </c>
      <c r="P163" s="1" t="str">
        <f t="shared" si="2"/>
        <v>Yes</v>
      </c>
      <c r="Q163" s="1" t="str">
        <f t="shared" si="3"/>
        <v>Yes</v>
      </c>
      <c r="R163" s="1" t="str">
        <f t="shared" si="4"/>
        <v>#DIV/0!</v>
      </c>
    </row>
    <row r="164" ht="15.75" customHeight="1">
      <c r="A164" s="1" t="s">
        <v>160</v>
      </c>
      <c r="B164" s="1" t="s">
        <v>92</v>
      </c>
      <c r="C164" s="5">
        <v>45736.0</v>
      </c>
      <c r="D164" s="1" t="s">
        <v>161</v>
      </c>
      <c r="E164" s="1" t="s">
        <v>11</v>
      </c>
      <c r="F164" s="1" t="s">
        <v>165</v>
      </c>
      <c r="G164" s="1" t="s">
        <v>163</v>
      </c>
      <c r="H164" s="1">
        <v>1.0</v>
      </c>
      <c r="I164" s="1">
        <v>0.0</v>
      </c>
      <c r="J164" s="1">
        <v>0.0</v>
      </c>
      <c r="K164" s="1">
        <v>0.0</v>
      </c>
      <c r="L164" s="1">
        <v>4.0</v>
      </c>
      <c r="M164" s="1">
        <v>0.0</v>
      </c>
      <c r="N164" s="1">
        <v>3.339999914</v>
      </c>
      <c r="O164" s="1" t="str">
        <f t="shared" si="1"/>
        <v>No</v>
      </c>
      <c r="P164" s="1" t="str">
        <f t="shared" si="2"/>
        <v>Yes</v>
      </c>
      <c r="Q164" s="1" t="str">
        <f t="shared" si="3"/>
        <v>Yes</v>
      </c>
      <c r="R164" s="1" t="str">
        <f t="shared" si="4"/>
        <v>#DIV/0!</v>
      </c>
    </row>
    <row r="165" ht="15.75" customHeight="1">
      <c r="A165" s="1" t="s">
        <v>164</v>
      </c>
      <c r="B165" s="1" t="s">
        <v>52</v>
      </c>
      <c r="C165" s="5">
        <v>45736.0</v>
      </c>
      <c r="D165" s="1" t="s">
        <v>161</v>
      </c>
      <c r="E165" s="1" t="s">
        <v>11</v>
      </c>
      <c r="F165" s="1" t="s">
        <v>165</v>
      </c>
      <c r="G165" s="1" t="s">
        <v>163</v>
      </c>
      <c r="H165" s="1">
        <v>1.0</v>
      </c>
      <c r="I165" s="1">
        <v>0.0</v>
      </c>
      <c r="J165" s="1">
        <v>0.0</v>
      </c>
      <c r="K165" s="1">
        <v>2.0</v>
      </c>
      <c r="L165" s="1">
        <v>2.0</v>
      </c>
      <c r="M165" s="1">
        <v>1.0</v>
      </c>
      <c r="N165" s="1">
        <v>3.99000001</v>
      </c>
      <c r="O165" s="1" t="str">
        <f t="shared" si="1"/>
        <v>No</v>
      </c>
      <c r="P165" s="1" t="str">
        <f t="shared" si="2"/>
        <v>Yes</v>
      </c>
      <c r="Q165" s="1" t="str">
        <f t="shared" si="3"/>
        <v>Yes</v>
      </c>
      <c r="R165" s="1" t="str">
        <f t="shared" si="4"/>
        <v>#DIV/0!</v>
      </c>
    </row>
    <row r="166" ht="15.75" customHeight="1">
      <c r="A166" s="1" t="s">
        <v>164</v>
      </c>
      <c r="B166" s="1" t="s">
        <v>62</v>
      </c>
      <c r="C166" s="5">
        <v>45736.0</v>
      </c>
      <c r="D166" s="1" t="s">
        <v>161</v>
      </c>
      <c r="E166" s="1" t="s">
        <v>11</v>
      </c>
      <c r="H166" s="1">
        <v>0.0</v>
      </c>
      <c r="J166" s="1">
        <v>0.0</v>
      </c>
      <c r="N166" s="1">
        <v>17.97999954</v>
      </c>
      <c r="O166" s="1" t="str">
        <f t="shared" si="1"/>
        <v>No</v>
      </c>
      <c r="P166" s="1" t="str">
        <f t="shared" si="2"/>
        <v>Yes</v>
      </c>
      <c r="Q166" s="1" t="str">
        <f t="shared" si="3"/>
        <v>Yes</v>
      </c>
      <c r="R166" s="1" t="str">
        <f t="shared" si="4"/>
        <v>#DIV/0!</v>
      </c>
    </row>
    <row r="167" ht="15.75" customHeight="1">
      <c r="A167" s="1" t="s">
        <v>164</v>
      </c>
      <c r="B167" s="1" t="s">
        <v>64</v>
      </c>
      <c r="C167" s="5">
        <v>45736.0</v>
      </c>
      <c r="D167" s="1" t="s">
        <v>161</v>
      </c>
      <c r="E167" s="1" t="s">
        <v>11</v>
      </c>
      <c r="F167" s="1" t="s">
        <v>166</v>
      </c>
      <c r="G167" s="1" t="s">
        <v>163</v>
      </c>
      <c r="H167" s="1">
        <v>1.0</v>
      </c>
      <c r="I167" s="1">
        <v>0.0</v>
      </c>
      <c r="J167" s="1">
        <v>0.0</v>
      </c>
      <c r="K167" s="1">
        <v>12.0</v>
      </c>
      <c r="L167" s="1">
        <v>22.0</v>
      </c>
      <c r="M167" s="1">
        <v>0.545454545</v>
      </c>
      <c r="N167" s="1">
        <v>18.37999916</v>
      </c>
      <c r="O167" s="1" t="str">
        <f t="shared" si="1"/>
        <v>No</v>
      </c>
      <c r="P167" s="1" t="str">
        <f t="shared" si="2"/>
        <v>Yes</v>
      </c>
      <c r="Q167" s="1" t="str">
        <f t="shared" si="3"/>
        <v>Yes</v>
      </c>
      <c r="R167" s="1" t="str">
        <f t="shared" si="4"/>
        <v>#DIV/0!</v>
      </c>
    </row>
    <row r="168" ht="15.75" customHeight="1">
      <c r="A168" s="1" t="s">
        <v>164</v>
      </c>
      <c r="B168" s="1" t="s">
        <v>64</v>
      </c>
      <c r="C168" s="5">
        <v>45736.0</v>
      </c>
      <c r="D168" s="1" t="s">
        <v>161</v>
      </c>
      <c r="E168" s="1" t="s">
        <v>296</v>
      </c>
      <c r="H168" s="1">
        <v>0.0</v>
      </c>
      <c r="J168" s="1">
        <v>0.0</v>
      </c>
      <c r="N168" s="1">
        <v>2.170000076</v>
      </c>
      <c r="O168" s="1" t="str">
        <f t="shared" si="1"/>
        <v>No</v>
      </c>
      <c r="P168" s="1" t="str">
        <f t="shared" si="2"/>
        <v>Yes</v>
      </c>
      <c r="Q168" s="1" t="str">
        <f t="shared" si="3"/>
        <v>Yes</v>
      </c>
      <c r="R168" s="1" t="str">
        <f t="shared" si="4"/>
        <v>#DIV/0!</v>
      </c>
    </row>
    <row r="169" ht="15.75" customHeight="1">
      <c r="A169" s="1" t="s">
        <v>164</v>
      </c>
      <c r="B169" s="1" t="s">
        <v>51</v>
      </c>
      <c r="C169" s="5">
        <v>45736.0</v>
      </c>
      <c r="D169" s="1" t="s">
        <v>161</v>
      </c>
      <c r="E169" s="1" t="s">
        <v>11</v>
      </c>
      <c r="F169" s="1" t="s">
        <v>165</v>
      </c>
      <c r="G169" s="1" t="s">
        <v>163</v>
      </c>
      <c r="H169" s="1">
        <v>1.0</v>
      </c>
      <c r="I169" s="1">
        <v>0.0</v>
      </c>
      <c r="J169" s="1">
        <v>0.0</v>
      </c>
      <c r="K169" s="1">
        <v>4.0</v>
      </c>
      <c r="L169" s="1">
        <v>22.0</v>
      </c>
      <c r="M169" s="1">
        <v>0.181818182</v>
      </c>
      <c r="N169" s="1">
        <v>22.72999954</v>
      </c>
      <c r="O169" s="1" t="str">
        <f t="shared" si="1"/>
        <v>No</v>
      </c>
      <c r="P169" s="1" t="str">
        <f t="shared" si="2"/>
        <v>Yes</v>
      </c>
      <c r="Q169" s="1" t="str">
        <f t="shared" si="3"/>
        <v>Yes</v>
      </c>
      <c r="R169" s="1" t="str">
        <f t="shared" si="4"/>
        <v>#DIV/0!</v>
      </c>
    </row>
    <row r="170" ht="15.75" customHeight="1">
      <c r="A170" s="1" t="s">
        <v>164</v>
      </c>
      <c r="B170" s="1" t="s">
        <v>78</v>
      </c>
      <c r="C170" s="5">
        <v>45736.0</v>
      </c>
      <c r="D170" s="1" t="s">
        <v>161</v>
      </c>
      <c r="E170" s="1" t="s">
        <v>11</v>
      </c>
      <c r="F170" s="1" t="s">
        <v>165</v>
      </c>
      <c r="G170" s="1" t="s">
        <v>163</v>
      </c>
      <c r="H170" s="1">
        <v>1.0</v>
      </c>
      <c r="I170" s="1">
        <v>0.0</v>
      </c>
      <c r="J170" s="1">
        <v>0.0</v>
      </c>
      <c r="K170" s="1">
        <v>12.0</v>
      </c>
      <c r="L170" s="1">
        <v>16.0</v>
      </c>
      <c r="M170" s="1">
        <v>0.75</v>
      </c>
      <c r="N170" s="1">
        <v>6.760000229</v>
      </c>
      <c r="O170" s="1" t="str">
        <f t="shared" si="1"/>
        <v>No</v>
      </c>
      <c r="P170" s="1" t="str">
        <f t="shared" si="2"/>
        <v>Yes</v>
      </c>
      <c r="Q170" s="1" t="str">
        <f t="shared" si="3"/>
        <v>Yes</v>
      </c>
      <c r="R170" s="1" t="str">
        <f t="shared" si="4"/>
        <v>#DIV/0!</v>
      </c>
    </row>
    <row r="171" ht="15.75" customHeight="1">
      <c r="A171" s="1" t="s">
        <v>164</v>
      </c>
      <c r="B171" s="1" t="s">
        <v>81</v>
      </c>
      <c r="C171" s="5">
        <v>45736.0</v>
      </c>
      <c r="D171" s="1" t="s">
        <v>161</v>
      </c>
      <c r="E171" s="1" t="s">
        <v>11</v>
      </c>
      <c r="F171" s="1" t="s">
        <v>162</v>
      </c>
      <c r="G171" s="1" t="s">
        <v>163</v>
      </c>
      <c r="H171" s="1">
        <v>1.0</v>
      </c>
      <c r="I171" s="1">
        <v>0.0</v>
      </c>
      <c r="J171" s="1">
        <v>0.0</v>
      </c>
      <c r="K171" s="1">
        <v>5.0</v>
      </c>
      <c r="L171" s="1">
        <v>9.0</v>
      </c>
      <c r="M171" s="1">
        <v>0.555555556</v>
      </c>
      <c r="N171" s="1">
        <v>20.28000069</v>
      </c>
      <c r="O171" s="1" t="str">
        <f t="shared" si="1"/>
        <v>No</v>
      </c>
      <c r="P171" s="1" t="str">
        <f t="shared" si="2"/>
        <v>Yes</v>
      </c>
      <c r="Q171" s="1" t="str">
        <f t="shared" si="3"/>
        <v>Yes</v>
      </c>
      <c r="R171" s="1" t="str">
        <f t="shared" si="4"/>
        <v>#DIV/0!</v>
      </c>
    </row>
    <row r="172" ht="15.75" customHeight="1">
      <c r="A172" s="1" t="s">
        <v>164</v>
      </c>
      <c r="B172" s="1" t="s">
        <v>60</v>
      </c>
      <c r="C172" s="5">
        <v>45736.0</v>
      </c>
      <c r="D172" s="1" t="s">
        <v>161</v>
      </c>
      <c r="E172" s="1" t="s">
        <v>11</v>
      </c>
      <c r="F172" s="1" t="s">
        <v>166</v>
      </c>
      <c r="G172" s="1" t="s">
        <v>163</v>
      </c>
      <c r="H172" s="1">
        <v>1.0</v>
      </c>
      <c r="I172" s="1">
        <v>0.0</v>
      </c>
      <c r="J172" s="1">
        <v>0.0</v>
      </c>
      <c r="K172" s="1">
        <v>4.0</v>
      </c>
      <c r="L172" s="1">
        <v>8.0</v>
      </c>
      <c r="M172" s="1">
        <v>0.5</v>
      </c>
      <c r="N172" s="1">
        <v>10.43000031</v>
      </c>
      <c r="O172" s="1" t="str">
        <f t="shared" si="1"/>
        <v>No</v>
      </c>
      <c r="P172" s="1" t="str">
        <f t="shared" si="2"/>
        <v>Yes</v>
      </c>
      <c r="Q172" s="1" t="str">
        <f t="shared" si="3"/>
        <v>Yes</v>
      </c>
      <c r="R172" s="1" t="str">
        <f t="shared" si="4"/>
        <v>#DIV/0!</v>
      </c>
    </row>
    <row r="173" ht="15.75" customHeight="1">
      <c r="A173" s="1" t="s">
        <v>164</v>
      </c>
      <c r="B173" s="1" t="s">
        <v>68</v>
      </c>
      <c r="C173" s="5">
        <v>45736.0</v>
      </c>
      <c r="D173" s="1" t="s">
        <v>161</v>
      </c>
      <c r="E173" s="1" t="s">
        <v>11</v>
      </c>
      <c r="H173" s="1">
        <v>0.0</v>
      </c>
      <c r="J173" s="1">
        <v>0.0</v>
      </c>
      <c r="N173" s="1">
        <v>0.02</v>
      </c>
      <c r="O173" s="1" t="str">
        <f t="shared" si="1"/>
        <v>No</v>
      </c>
      <c r="P173" s="1" t="str">
        <f t="shared" si="2"/>
        <v>Yes</v>
      </c>
      <c r="Q173" s="1" t="str">
        <f t="shared" si="3"/>
        <v>Yes</v>
      </c>
      <c r="R173" s="1" t="str">
        <f t="shared" si="4"/>
        <v>#DIV/0!</v>
      </c>
    </row>
    <row r="174" ht="15.75" customHeight="1">
      <c r="A174" s="1" t="s">
        <v>164</v>
      </c>
      <c r="B174" s="1" t="s">
        <v>74</v>
      </c>
      <c r="C174" s="5">
        <v>45736.0</v>
      </c>
      <c r="D174" s="1" t="s">
        <v>161</v>
      </c>
      <c r="E174" s="1" t="s">
        <v>11</v>
      </c>
      <c r="H174" s="1">
        <v>0.0</v>
      </c>
      <c r="J174" s="1">
        <v>0.0</v>
      </c>
      <c r="N174" s="1">
        <v>4.8800001139999996</v>
      </c>
      <c r="O174" s="1" t="str">
        <f t="shared" si="1"/>
        <v>No</v>
      </c>
      <c r="P174" s="1" t="str">
        <f t="shared" si="2"/>
        <v>Yes</v>
      </c>
      <c r="Q174" s="1" t="str">
        <f t="shared" si="3"/>
        <v>Yes</v>
      </c>
      <c r="R174" s="1" t="str">
        <f t="shared" si="4"/>
        <v>#DIV/0!</v>
      </c>
    </row>
    <row r="175" ht="15.75" customHeight="1">
      <c r="A175" s="1" t="s">
        <v>164</v>
      </c>
      <c r="B175" s="1" t="s">
        <v>75</v>
      </c>
      <c r="C175" s="5">
        <v>45736.0</v>
      </c>
      <c r="D175" s="1" t="s">
        <v>161</v>
      </c>
      <c r="E175" s="1" t="s">
        <v>11</v>
      </c>
      <c r="F175" s="1" t="s">
        <v>165</v>
      </c>
      <c r="G175" s="1" t="s">
        <v>163</v>
      </c>
      <c r="H175" s="1">
        <v>1.0</v>
      </c>
      <c r="I175" s="1">
        <v>1.0</v>
      </c>
      <c r="J175" s="1">
        <v>0.0</v>
      </c>
      <c r="K175" s="1">
        <v>7.0</v>
      </c>
      <c r="L175" s="1">
        <v>7.0</v>
      </c>
      <c r="M175" s="1">
        <v>1.0</v>
      </c>
      <c r="N175" s="1">
        <v>6.659999847</v>
      </c>
      <c r="O175" s="1" t="str">
        <f t="shared" si="1"/>
        <v>Yes</v>
      </c>
      <c r="P175" s="1" t="str">
        <f t="shared" si="2"/>
        <v>Yes</v>
      </c>
      <c r="Q175" s="1" t="str">
        <f t="shared" si="3"/>
        <v>Yes</v>
      </c>
      <c r="R175" s="1">
        <f t="shared" si="4"/>
        <v>6.659999847</v>
      </c>
    </row>
    <row r="176" ht="15.75" customHeight="1">
      <c r="A176" s="1" t="s">
        <v>164</v>
      </c>
      <c r="B176" s="1" t="s">
        <v>82</v>
      </c>
      <c r="C176" s="5">
        <v>45736.0</v>
      </c>
      <c r="D176" s="1" t="s">
        <v>161</v>
      </c>
      <c r="E176" s="1" t="s">
        <v>11</v>
      </c>
      <c r="F176" s="1" t="s">
        <v>165</v>
      </c>
      <c r="G176" s="1" t="s">
        <v>163</v>
      </c>
      <c r="H176" s="1">
        <v>1.0</v>
      </c>
      <c r="I176" s="1">
        <v>0.0</v>
      </c>
      <c r="J176" s="1">
        <v>0.0</v>
      </c>
      <c r="K176" s="1">
        <v>10.0</v>
      </c>
      <c r="L176" s="1">
        <v>14.0</v>
      </c>
      <c r="M176" s="1">
        <v>0.714285714</v>
      </c>
      <c r="N176" s="1">
        <v>14.14000034</v>
      </c>
      <c r="O176" s="1" t="str">
        <f t="shared" si="1"/>
        <v>No</v>
      </c>
      <c r="P176" s="1" t="str">
        <f t="shared" si="2"/>
        <v>Yes</v>
      </c>
      <c r="Q176" s="1" t="str">
        <f t="shared" si="3"/>
        <v>Yes</v>
      </c>
      <c r="R176" s="1" t="str">
        <f t="shared" si="4"/>
        <v>#DIV/0!</v>
      </c>
    </row>
    <row r="177" ht="15.75" customHeight="1">
      <c r="A177" s="1" t="s">
        <v>164</v>
      </c>
      <c r="B177" s="1" t="s">
        <v>102</v>
      </c>
      <c r="C177" s="5">
        <v>45736.0</v>
      </c>
      <c r="D177" s="1" t="s">
        <v>161</v>
      </c>
      <c r="E177" s="1" t="s">
        <v>11</v>
      </c>
      <c r="F177" s="1" t="s">
        <v>165</v>
      </c>
      <c r="G177" s="1" t="s">
        <v>163</v>
      </c>
      <c r="H177" s="1">
        <v>1.0</v>
      </c>
      <c r="I177" s="1">
        <v>3.0</v>
      </c>
      <c r="J177" s="1">
        <v>0.0</v>
      </c>
      <c r="K177" s="1">
        <v>53.0</v>
      </c>
      <c r="L177" s="1">
        <v>71.0</v>
      </c>
      <c r="M177" s="1">
        <v>0.746478873</v>
      </c>
      <c r="N177" s="1">
        <v>26.25</v>
      </c>
      <c r="O177" s="1" t="str">
        <f t="shared" si="1"/>
        <v>Yes</v>
      </c>
      <c r="P177" s="1" t="str">
        <f t="shared" si="2"/>
        <v>Yes</v>
      </c>
      <c r="Q177" s="1" t="str">
        <f t="shared" si="3"/>
        <v>Yes</v>
      </c>
      <c r="R177" s="1">
        <f t="shared" si="4"/>
        <v>8.75</v>
      </c>
    </row>
    <row r="178" ht="15.75" customHeight="1">
      <c r="A178" s="1" t="s">
        <v>160</v>
      </c>
      <c r="B178" s="1" t="s">
        <v>26</v>
      </c>
      <c r="C178" s="5">
        <v>45735.0</v>
      </c>
      <c r="D178" s="1" t="s">
        <v>161</v>
      </c>
      <c r="E178" s="1" t="s">
        <v>11</v>
      </c>
      <c r="F178" s="1" t="s">
        <v>162</v>
      </c>
      <c r="G178" s="1" t="s">
        <v>163</v>
      </c>
      <c r="H178" s="1">
        <v>1.0</v>
      </c>
      <c r="I178" s="1">
        <v>0.0</v>
      </c>
      <c r="J178" s="1">
        <v>0.0</v>
      </c>
      <c r="K178" s="1">
        <v>6.0</v>
      </c>
      <c r="L178" s="1">
        <v>6.0</v>
      </c>
      <c r="M178" s="1">
        <v>1.0</v>
      </c>
      <c r="N178" s="1">
        <v>16.21999931</v>
      </c>
      <c r="O178" s="1" t="str">
        <f t="shared" si="1"/>
        <v>No</v>
      </c>
      <c r="P178" s="1" t="str">
        <f t="shared" si="2"/>
        <v>Yes</v>
      </c>
      <c r="Q178" s="1" t="str">
        <f t="shared" si="3"/>
        <v>Yes</v>
      </c>
      <c r="R178" s="1" t="str">
        <f t="shared" si="4"/>
        <v>#DIV/0!</v>
      </c>
    </row>
    <row r="179" ht="15.75" customHeight="1">
      <c r="A179" s="1" t="s">
        <v>160</v>
      </c>
      <c r="B179" s="1" t="s">
        <v>18</v>
      </c>
      <c r="C179" s="5">
        <v>45735.0</v>
      </c>
      <c r="D179" s="1" t="s">
        <v>161</v>
      </c>
      <c r="E179" s="1" t="s">
        <v>11</v>
      </c>
      <c r="F179" s="1" t="s">
        <v>162</v>
      </c>
      <c r="G179" s="1" t="s">
        <v>163</v>
      </c>
      <c r="H179" s="1">
        <v>1.0</v>
      </c>
      <c r="I179" s="1">
        <v>1.0</v>
      </c>
      <c r="J179" s="1">
        <v>0.0</v>
      </c>
      <c r="K179" s="1">
        <v>40.0</v>
      </c>
      <c r="L179" s="1">
        <v>57.0</v>
      </c>
      <c r="M179" s="1">
        <v>0.701754386</v>
      </c>
      <c r="N179" s="1">
        <v>25.34000015</v>
      </c>
      <c r="O179" s="1" t="str">
        <f t="shared" si="1"/>
        <v>Yes</v>
      </c>
      <c r="P179" s="1" t="str">
        <f t="shared" si="2"/>
        <v>Yes</v>
      </c>
      <c r="Q179" s="1" t="str">
        <f t="shared" si="3"/>
        <v>Yes</v>
      </c>
      <c r="R179" s="1">
        <f t="shared" si="4"/>
        <v>25.34000015</v>
      </c>
    </row>
    <row r="180" ht="15.75" customHeight="1">
      <c r="A180" s="1" t="s">
        <v>160</v>
      </c>
      <c r="B180" s="1" t="s">
        <v>39</v>
      </c>
      <c r="C180" s="5">
        <v>45735.0</v>
      </c>
      <c r="D180" s="1" t="s">
        <v>161</v>
      </c>
      <c r="E180" s="1" t="s">
        <v>11</v>
      </c>
      <c r="F180" s="1" t="s">
        <v>162</v>
      </c>
      <c r="H180" s="1">
        <v>0.0</v>
      </c>
      <c r="I180" s="1">
        <v>0.0</v>
      </c>
      <c r="J180" s="1">
        <v>0.0</v>
      </c>
      <c r="K180" s="1">
        <v>13.0</v>
      </c>
      <c r="L180" s="1">
        <v>17.0</v>
      </c>
      <c r="M180" s="1">
        <v>0.764705882</v>
      </c>
      <c r="N180" s="1">
        <v>13.35999966</v>
      </c>
      <c r="O180" s="1" t="str">
        <f t="shared" si="1"/>
        <v>No</v>
      </c>
      <c r="P180" s="1" t="str">
        <f t="shared" si="2"/>
        <v>Yes</v>
      </c>
      <c r="Q180" s="1" t="str">
        <f t="shared" si="3"/>
        <v>Yes</v>
      </c>
      <c r="R180" s="1" t="str">
        <f t="shared" si="4"/>
        <v>#DIV/0!</v>
      </c>
    </row>
    <row r="181" ht="15.75" customHeight="1">
      <c r="A181" s="1" t="s">
        <v>160</v>
      </c>
      <c r="B181" s="1" t="s">
        <v>39</v>
      </c>
      <c r="C181" s="5">
        <v>45735.0</v>
      </c>
      <c r="D181" s="1" t="s">
        <v>161</v>
      </c>
      <c r="E181" s="1" t="s">
        <v>11</v>
      </c>
      <c r="F181" s="1" t="s">
        <v>166</v>
      </c>
      <c r="H181" s="1">
        <v>0.0</v>
      </c>
      <c r="I181" s="1">
        <v>0.0</v>
      </c>
      <c r="J181" s="1">
        <v>0.0</v>
      </c>
      <c r="K181" s="1">
        <v>0.0</v>
      </c>
      <c r="L181" s="1">
        <v>0.0</v>
      </c>
      <c r="N181" s="1">
        <v>0.0</v>
      </c>
      <c r="O181" s="1" t="str">
        <f t="shared" si="1"/>
        <v>No</v>
      </c>
      <c r="P181" s="1" t="str">
        <f t="shared" si="2"/>
        <v>No</v>
      </c>
      <c r="Q181" s="1" t="str">
        <f t="shared" si="3"/>
        <v>Yes</v>
      </c>
      <c r="R181" s="1" t="str">
        <f t="shared" si="4"/>
        <v>#DIV/0!</v>
      </c>
    </row>
    <row r="182" ht="15.75" customHeight="1">
      <c r="A182" s="1" t="s">
        <v>160</v>
      </c>
      <c r="B182" s="1" t="s">
        <v>65</v>
      </c>
      <c r="C182" s="5">
        <v>45735.0</v>
      </c>
      <c r="D182" s="1" t="s">
        <v>161</v>
      </c>
      <c r="E182" s="1" t="s">
        <v>11</v>
      </c>
      <c r="F182" s="1" t="s">
        <v>162</v>
      </c>
      <c r="G182" s="1" t="s">
        <v>163</v>
      </c>
      <c r="H182" s="1">
        <v>1.0</v>
      </c>
      <c r="I182" s="1">
        <v>2.0</v>
      </c>
      <c r="J182" s="1">
        <v>0.0</v>
      </c>
      <c r="K182" s="1">
        <v>24.0</v>
      </c>
      <c r="L182" s="1">
        <v>32.0</v>
      </c>
      <c r="M182" s="1">
        <v>0.75</v>
      </c>
      <c r="N182" s="1">
        <v>14.93000031</v>
      </c>
      <c r="O182" s="1" t="str">
        <f t="shared" si="1"/>
        <v>Yes</v>
      </c>
      <c r="P182" s="1" t="str">
        <f t="shared" si="2"/>
        <v>Yes</v>
      </c>
      <c r="Q182" s="1" t="str">
        <f t="shared" si="3"/>
        <v>Yes</v>
      </c>
      <c r="R182" s="1">
        <f t="shared" si="4"/>
        <v>7.465000155</v>
      </c>
    </row>
    <row r="183" ht="15.75" customHeight="1">
      <c r="A183" s="1" t="s">
        <v>160</v>
      </c>
      <c r="B183" s="1" t="s">
        <v>89</v>
      </c>
      <c r="C183" s="5">
        <v>45735.0</v>
      </c>
      <c r="D183" s="1" t="s">
        <v>161</v>
      </c>
      <c r="E183" s="1" t="s">
        <v>11</v>
      </c>
      <c r="F183" s="1" t="s">
        <v>165</v>
      </c>
      <c r="H183" s="1">
        <v>0.0</v>
      </c>
      <c r="I183" s="1">
        <v>0.0</v>
      </c>
      <c r="J183" s="1">
        <v>0.0</v>
      </c>
      <c r="K183" s="1">
        <v>2.0</v>
      </c>
      <c r="L183" s="1">
        <v>12.0</v>
      </c>
      <c r="M183" s="1">
        <v>0.166666667</v>
      </c>
      <c r="N183" s="1">
        <v>18.20000076</v>
      </c>
      <c r="O183" s="1" t="str">
        <f t="shared" si="1"/>
        <v>No</v>
      </c>
      <c r="P183" s="1" t="str">
        <f t="shared" si="2"/>
        <v>Yes</v>
      </c>
      <c r="Q183" s="1" t="str">
        <f t="shared" si="3"/>
        <v>Yes</v>
      </c>
      <c r="R183" s="1" t="str">
        <f t="shared" si="4"/>
        <v>#DIV/0!</v>
      </c>
    </row>
    <row r="184" ht="15.75" customHeight="1">
      <c r="A184" s="1" t="s">
        <v>160</v>
      </c>
      <c r="B184" s="1" t="s">
        <v>69</v>
      </c>
      <c r="C184" s="5">
        <v>45735.0</v>
      </c>
      <c r="D184" s="1" t="s">
        <v>161</v>
      </c>
      <c r="E184" s="1" t="s">
        <v>11</v>
      </c>
      <c r="F184" s="1" t="s">
        <v>165</v>
      </c>
      <c r="G184" s="1" t="s">
        <v>163</v>
      </c>
      <c r="H184" s="1">
        <v>1.0</v>
      </c>
      <c r="I184" s="1">
        <v>0.0</v>
      </c>
      <c r="J184" s="1">
        <v>0.0</v>
      </c>
      <c r="K184" s="1">
        <v>21.0</v>
      </c>
      <c r="L184" s="1">
        <v>31.0</v>
      </c>
      <c r="M184" s="1">
        <v>0.677419355</v>
      </c>
      <c r="N184" s="1">
        <v>33.68000031</v>
      </c>
      <c r="O184" s="1" t="str">
        <f t="shared" si="1"/>
        <v>No</v>
      </c>
      <c r="P184" s="1" t="str">
        <f t="shared" si="2"/>
        <v>Yes</v>
      </c>
      <c r="Q184" s="1" t="str">
        <f t="shared" si="3"/>
        <v>No</v>
      </c>
      <c r="R184" s="1" t="str">
        <f t="shared" si="4"/>
        <v>#DIV/0!</v>
      </c>
    </row>
    <row r="185" ht="15.75" customHeight="1">
      <c r="A185" s="1" t="s">
        <v>160</v>
      </c>
      <c r="B185" s="1" t="s">
        <v>77</v>
      </c>
      <c r="C185" s="5">
        <v>45735.0</v>
      </c>
      <c r="D185" s="1" t="s">
        <v>161</v>
      </c>
      <c r="E185" s="1" t="s">
        <v>11</v>
      </c>
      <c r="F185" s="1" t="s">
        <v>162</v>
      </c>
      <c r="G185" s="1" t="s">
        <v>163</v>
      </c>
      <c r="H185" s="1">
        <v>1.0</v>
      </c>
      <c r="I185" s="1">
        <v>1.0</v>
      </c>
      <c r="J185" s="1">
        <v>0.0</v>
      </c>
      <c r="K185" s="1">
        <v>11.0</v>
      </c>
      <c r="L185" s="1">
        <v>11.0</v>
      </c>
      <c r="M185" s="1">
        <v>1.0</v>
      </c>
      <c r="N185" s="1">
        <v>13.34000015</v>
      </c>
      <c r="O185" s="1" t="str">
        <f t="shared" si="1"/>
        <v>Yes</v>
      </c>
      <c r="P185" s="1" t="str">
        <f t="shared" si="2"/>
        <v>Yes</v>
      </c>
      <c r="Q185" s="1" t="str">
        <f t="shared" si="3"/>
        <v>Yes</v>
      </c>
      <c r="R185" s="1">
        <f t="shared" si="4"/>
        <v>13.34000015</v>
      </c>
    </row>
    <row r="186" ht="15.75" customHeight="1">
      <c r="A186" s="1" t="s">
        <v>160</v>
      </c>
      <c r="B186" s="1" t="s">
        <v>90</v>
      </c>
      <c r="C186" s="5">
        <v>45735.0</v>
      </c>
      <c r="D186" s="1" t="s">
        <v>161</v>
      </c>
      <c r="E186" s="1" t="s">
        <v>11</v>
      </c>
      <c r="F186" s="1" t="s">
        <v>165</v>
      </c>
      <c r="G186" s="1" t="s">
        <v>163</v>
      </c>
      <c r="H186" s="1">
        <v>1.0</v>
      </c>
      <c r="I186" s="1">
        <v>0.0</v>
      </c>
      <c r="J186" s="1">
        <v>0.0</v>
      </c>
      <c r="K186" s="1">
        <v>14.0</v>
      </c>
      <c r="L186" s="1">
        <v>34.0</v>
      </c>
      <c r="M186" s="1">
        <v>0.411764706</v>
      </c>
      <c r="N186" s="1">
        <v>13.85999966</v>
      </c>
      <c r="O186" s="1" t="str">
        <f t="shared" si="1"/>
        <v>No</v>
      </c>
      <c r="P186" s="1" t="str">
        <f t="shared" si="2"/>
        <v>Yes</v>
      </c>
      <c r="Q186" s="1" t="str">
        <f t="shared" si="3"/>
        <v>Yes</v>
      </c>
      <c r="R186" s="1" t="str">
        <f t="shared" si="4"/>
        <v>#DIV/0!</v>
      </c>
    </row>
    <row r="187" ht="15.75" customHeight="1">
      <c r="A187" s="1" t="s">
        <v>160</v>
      </c>
      <c r="B187" s="1" t="s">
        <v>110</v>
      </c>
      <c r="C187" s="5">
        <v>45735.0</v>
      </c>
      <c r="D187" s="1" t="s">
        <v>161</v>
      </c>
      <c r="E187" s="1" t="s">
        <v>11</v>
      </c>
      <c r="F187" s="1" t="s">
        <v>165</v>
      </c>
      <c r="G187" s="1" t="s">
        <v>163</v>
      </c>
      <c r="H187" s="1">
        <v>1.0</v>
      </c>
      <c r="I187" s="1">
        <v>0.0</v>
      </c>
      <c r="J187" s="1">
        <v>0.0</v>
      </c>
      <c r="K187" s="1">
        <v>19.0</v>
      </c>
      <c r="L187" s="1">
        <v>69.0</v>
      </c>
      <c r="M187" s="1">
        <v>0.275362319</v>
      </c>
      <c r="N187" s="1">
        <v>45.97999954</v>
      </c>
      <c r="O187" s="1" t="str">
        <f t="shared" si="1"/>
        <v>No</v>
      </c>
      <c r="P187" s="1" t="str">
        <f t="shared" si="2"/>
        <v>Yes</v>
      </c>
      <c r="Q187" s="1" t="str">
        <f t="shared" si="3"/>
        <v>No</v>
      </c>
      <c r="R187" s="1" t="str">
        <f t="shared" si="4"/>
        <v>#DIV/0!</v>
      </c>
    </row>
    <row r="188" ht="15.75" customHeight="1">
      <c r="A188" s="1" t="s">
        <v>160</v>
      </c>
      <c r="B188" s="1" t="s">
        <v>110</v>
      </c>
      <c r="C188" s="5">
        <v>45735.0</v>
      </c>
      <c r="D188" s="1" t="s">
        <v>161</v>
      </c>
      <c r="E188" s="1" t="s">
        <v>11</v>
      </c>
      <c r="F188" s="1" t="s">
        <v>162</v>
      </c>
      <c r="G188" s="1" t="s">
        <v>163</v>
      </c>
      <c r="H188" s="1">
        <v>1.0</v>
      </c>
      <c r="I188" s="1">
        <v>0.0</v>
      </c>
      <c r="J188" s="1">
        <v>0.0</v>
      </c>
      <c r="K188" s="1">
        <v>0.0</v>
      </c>
      <c r="L188" s="1">
        <v>0.0</v>
      </c>
      <c r="N188" s="1">
        <v>0.0</v>
      </c>
      <c r="O188" s="1" t="str">
        <f t="shared" si="1"/>
        <v>No</v>
      </c>
      <c r="P188" s="1" t="str">
        <f t="shared" si="2"/>
        <v>No</v>
      </c>
      <c r="Q188" s="1" t="str">
        <f t="shared" si="3"/>
        <v>Yes</v>
      </c>
      <c r="R188" s="1" t="str">
        <f t="shared" si="4"/>
        <v>#DIV/0!</v>
      </c>
    </row>
    <row r="189" ht="15.75" customHeight="1">
      <c r="A189" s="1" t="s">
        <v>164</v>
      </c>
      <c r="B189" s="1" t="s">
        <v>62</v>
      </c>
      <c r="C189" s="5">
        <v>45735.0</v>
      </c>
      <c r="D189" s="1" t="s">
        <v>161</v>
      </c>
      <c r="E189" s="1" t="s">
        <v>11</v>
      </c>
      <c r="H189" s="1">
        <v>0.0</v>
      </c>
      <c r="J189" s="1">
        <v>0.0</v>
      </c>
      <c r="N189" s="1">
        <v>5.809999943</v>
      </c>
      <c r="O189" s="1" t="str">
        <f t="shared" si="1"/>
        <v>No</v>
      </c>
      <c r="P189" s="1" t="str">
        <f t="shared" si="2"/>
        <v>Yes</v>
      </c>
      <c r="Q189" s="1" t="str">
        <f t="shared" si="3"/>
        <v>Yes</v>
      </c>
      <c r="R189" s="1" t="str">
        <f t="shared" si="4"/>
        <v>#DIV/0!</v>
      </c>
    </row>
    <row r="190" ht="15.75" customHeight="1">
      <c r="A190" s="1" t="s">
        <v>164</v>
      </c>
      <c r="B190" s="1" t="s">
        <v>64</v>
      </c>
      <c r="C190" s="5">
        <v>45735.0</v>
      </c>
      <c r="D190" s="1" t="s">
        <v>161</v>
      </c>
      <c r="E190" s="1" t="s">
        <v>11</v>
      </c>
      <c r="F190" s="1" t="s">
        <v>166</v>
      </c>
      <c r="G190" s="1" t="s">
        <v>163</v>
      </c>
      <c r="H190" s="1">
        <v>1.0</v>
      </c>
      <c r="I190" s="1">
        <v>2.0</v>
      </c>
      <c r="J190" s="1">
        <v>0.0</v>
      </c>
      <c r="K190" s="1">
        <v>30.0</v>
      </c>
      <c r="L190" s="1">
        <v>41.0</v>
      </c>
      <c r="M190" s="1">
        <v>0.731707317</v>
      </c>
      <c r="N190" s="1">
        <v>21.43000031</v>
      </c>
      <c r="O190" s="1" t="str">
        <f t="shared" si="1"/>
        <v>Yes</v>
      </c>
      <c r="P190" s="1" t="str">
        <f t="shared" si="2"/>
        <v>Yes</v>
      </c>
      <c r="Q190" s="1" t="str">
        <f t="shared" si="3"/>
        <v>Yes</v>
      </c>
      <c r="R190" s="1">
        <f t="shared" si="4"/>
        <v>10.71500016</v>
      </c>
    </row>
    <row r="191" ht="15.75" customHeight="1">
      <c r="A191" s="1" t="s">
        <v>164</v>
      </c>
      <c r="B191" s="1" t="s">
        <v>51</v>
      </c>
      <c r="C191" s="5">
        <v>45735.0</v>
      </c>
      <c r="D191" s="1" t="s">
        <v>161</v>
      </c>
      <c r="E191" s="1" t="s">
        <v>11</v>
      </c>
      <c r="F191" s="1" t="s">
        <v>165</v>
      </c>
      <c r="G191" s="1" t="s">
        <v>163</v>
      </c>
      <c r="H191" s="1">
        <v>1.0</v>
      </c>
      <c r="I191" s="1">
        <v>0.0</v>
      </c>
      <c r="J191" s="1">
        <v>0.0</v>
      </c>
      <c r="K191" s="1">
        <v>2.0</v>
      </c>
      <c r="L191" s="1">
        <v>10.0</v>
      </c>
      <c r="M191" s="1">
        <v>0.2</v>
      </c>
      <c r="N191" s="1">
        <v>10.14999962</v>
      </c>
      <c r="O191" s="1" t="str">
        <f t="shared" si="1"/>
        <v>No</v>
      </c>
      <c r="P191" s="1" t="str">
        <f t="shared" si="2"/>
        <v>Yes</v>
      </c>
      <c r="Q191" s="1" t="str">
        <f t="shared" si="3"/>
        <v>Yes</v>
      </c>
      <c r="R191" s="1" t="str">
        <f t="shared" si="4"/>
        <v>#DIV/0!</v>
      </c>
    </row>
    <row r="192" ht="15.75" customHeight="1">
      <c r="A192" s="1" t="s">
        <v>164</v>
      </c>
      <c r="B192" s="1" t="s">
        <v>78</v>
      </c>
      <c r="C192" s="5">
        <v>45735.0</v>
      </c>
      <c r="D192" s="1" t="s">
        <v>161</v>
      </c>
      <c r="E192" s="1" t="s">
        <v>11</v>
      </c>
      <c r="F192" s="1" t="s">
        <v>165</v>
      </c>
      <c r="G192" s="1" t="s">
        <v>163</v>
      </c>
      <c r="H192" s="1">
        <v>1.0</v>
      </c>
      <c r="I192" s="1">
        <v>1.0</v>
      </c>
      <c r="J192" s="1">
        <v>0.0</v>
      </c>
      <c r="K192" s="1">
        <v>30.0</v>
      </c>
      <c r="L192" s="1">
        <v>38.0</v>
      </c>
      <c r="M192" s="1">
        <v>0.789473684</v>
      </c>
      <c r="N192" s="1">
        <v>17.86000061</v>
      </c>
      <c r="O192" s="1" t="str">
        <f t="shared" si="1"/>
        <v>Yes</v>
      </c>
      <c r="P192" s="1" t="str">
        <f t="shared" si="2"/>
        <v>Yes</v>
      </c>
      <c r="Q192" s="1" t="str">
        <f t="shared" si="3"/>
        <v>Yes</v>
      </c>
      <c r="R192" s="1">
        <f t="shared" si="4"/>
        <v>17.86000061</v>
      </c>
    </row>
    <row r="193" ht="15.75" customHeight="1">
      <c r="A193" s="1" t="s">
        <v>164</v>
      </c>
      <c r="B193" s="1" t="s">
        <v>81</v>
      </c>
      <c r="C193" s="5">
        <v>45735.0</v>
      </c>
      <c r="D193" s="1" t="s">
        <v>161</v>
      </c>
      <c r="E193" s="1" t="s">
        <v>11</v>
      </c>
      <c r="F193" s="1" t="s">
        <v>162</v>
      </c>
      <c r="G193" s="1" t="s">
        <v>163</v>
      </c>
      <c r="H193" s="1">
        <v>1.0</v>
      </c>
      <c r="I193" s="1">
        <v>1.0</v>
      </c>
      <c r="J193" s="1">
        <v>0.0</v>
      </c>
      <c r="K193" s="1">
        <v>9.0</v>
      </c>
      <c r="L193" s="1">
        <v>9.0</v>
      </c>
      <c r="M193" s="1">
        <v>1.0</v>
      </c>
      <c r="N193" s="1">
        <v>4.710000038</v>
      </c>
      <c r="O193" s="1" t="str">
        <f t="shared" si="1"/>
        <v>Yes</v>
      </c>
      <c r="P193" s="1" t="str">
        <f t="shared" si="2"/>
        <v>Yes</v>
      </c>
      <c r="Q193" s="1" t="str">
        <f t="shared" si="3"/>
        <v>Yes</v>
      </c>
      <c r="R193" s="1">
        <f t="shared" si="4"/>
        <v>4.710000038</v>
      </c>
    </row>
    <row r="194" ht="15.75" customHeight="1">
      <c r="A194" s="1" t="s">
        <v>164</v>
      </c>
      <c r="B194" s="1" t="s">
        <v>60</v>
      </c>
      <c r="C194" s="5">
        <v>45735.0</v>
      </c>
      <c r="D194" s="1" t="s">
        <v>161</v>
      </c>
      <c r="E194" s="1" t="s">
        <v>11</v>
      </c>
      <c r="F194" s="1" t="s">
        <v>162</v>
      </c>
      <c r="G194" s="1" t="s">
        <v>163</v>
      </c>
      <c r="H194" s="1">
        <v>1.0</v>
      </c>
      <c r="I194" s="1">
        <v>0.0</v>
      </c>
      <c r="J194" s="1">
        <v>0.0</v>
      </c>
      <c r="K194" s="1">
        <v>4.0</v>
      </c>
      <c r="L194" s="1">
        <v>6.0</v>
      </c>
      <c r="M194" s="1">
        <v>0.666666667</v>
      </c>
      <c r="N194" s="1">
        <v>11.06000042</v>
      </c>
      <c r="O194" s="1" t="str">
        <f t="shared" si="1"/>
        <v>No</v>
      </c>
      <c r="P194" s="1" t="str">
        <f t="shared" si="2"/>
        <v>Yes</v>
      </c>
      <c r="Q194" s="1" t="str">
        <f t="shared" si="3"/>
        <v>Yes</v>
      </c>
      <c r="R194" s="1" t="str">
        <f t="shared" si="4"/>
        <v>#DIV/0!</v>
      </c>
    </row>
    <row r="195" ht="15.75" customHeight="1">
      <c r="A195" s="1" t="s">
        <v>164</v>
      </c>
      <c r="B195" s="1" t="s">
        <v>60</v>
      </c>
      <c r="C195" s="5">
        <v>45735.0</v>
      </c>
      <c r="D195" s="1" t="s">
        <v>161</v>
      </c>
      <c r="E195" s="1" t="s">
        <v>11</v>
      </c>
      <c r="F195" s="1" t="s">
        <v>166</v>
      </c>
      <c r="G195" s="1" t="s">
        <v>163</v>
      </c>
      <c r="H195" s="1">
        <v>1.0</v>
      </c>
      <c r="I195" s="1">
        <v>0.0</v>
      </c>
      <c r="J195" s="1">
        <v>0.0</v>
      </c>
      <c r="K195" s="1">
        <v>0.0</v>
      </c>
      <c r="L195" s="1">
        <v>0.0</v>
      </c>
      <c r="N195" s="1">
        <v>0.0</v>
      </c>
      <c r="O195" s="1" t="str">
        <f t="shared" si="1"/>
        <v>No</v>
      </c>
      <c r="P195" s="1" t="str">
        <f t="shared" si="2"/>
        <v>No</v>
      </c>
      <c r="Q195" s="1" t="str">
        <f t="shared" si="3"/>
        <v>Yes</v>
      </c>
      <c r="R195" s="1" t="str">
        <f t="shared" si="4"/>
        <v>#DIV/0!</v>
      </c>
    </row>
    <row r="196" ht="15.75" customHeight="1">
      <c r="A196" s="1" t="s">
        <v>164</v>
      </c>
      <c r="B196" s="1" t="s">
        <v>63</v>
      </c>
      <c r="C196" s="5">
        <v>45735.0</v>
      </c>
      <c r="D196" s="1" t="s">
        <v>161</v>
      </c>
      <c r="E196" s="1" t="s">
        <v>11</v>
      </c>
      <c r="F196" s="1" t="s">
        <v>165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N196" s="1">
        <v>0.0</v>
      </c>
      <c r="O196" s="1" t="str">
        <f t="shared" si="1"/>
        <v>No</v>
      </c>
      <c r="P196" s="1" t="str">
        <f t="shared" si="2"/>
        <v>No</v>
      </c>
      <c r="Q196" s="1" t="str">
        <f t="shared" si="3"/>
        <v>Yes</v>
      </c>
      <c r="R196" s="1" t="str">
        <f t="shared" si="4"/>
        <v>#DIV/0!</v>
      </c>
    </row>
    <row r="197" ht="15.75" customHeight="1">
      <c r="A197" s="1" t="s">
        <v>164</v>
      </c>
      <c r="B197" s="1" t="s">
        <v>63</v>
      </c>
      <c r="C197" s="5">
        <v>45735.0</v>
      </c>
      <c r="D197" s="1" t="s">
        <v>161</v>
      </c>
      <c r="E197" s="1" t="s">
        <v>11</v>
      </c>
      <c r="F197" s="1" t="s">
        <v>166</v>
      </c>
      <c r="H197" s="1">
        <v>0.0</v>
      </c>
      <c r="I197" s="1">
        <v>0.0</v>
      </c>
      <c r="J197" s="1">
        <v>0.0</v>
      </c>
      <c r="K197" s="1">
        <v>0.0</v>
      </c>
      <c r="L197" s="1">
        <v>0.0</v>
      </c>
      <c r="N197" s="1">
        <v>4.28000021</v>
      </c>
      <c r="O197" s="1" t="str">
        <f t="shared" si="1"/>
        <v>No</v>
      </c>
      <c r="P197" s="1" t="str">
        <f t="shared" si="2"/>
        <v>Yes</v>
      </c>
      <c r="Q197" s="1" t="str">
        <f t="shared" si="3"/>
        <v>Yes</v>
      </c>
      <c r="R197" s="1" t="str">
        <f t="shared" si="4"/>
        <v>#DIV/0!</v>
      </c>
    </row>
    <row r="198" ht="15.75" customHeight="1">
      <c r="A198" s="1" t="s">
        <v>164</v>
      </c>
      <c r="B198" s="1" t="s">
        <v>68</v>
      </c>
      <c r="C198" s="5">
        <v>45735.0</v>
      </c>
      <c r="D198" s="1" t="s">
        <v>161</v>
      </c>
      <c r="E198" s="1" t="s">
        <v>11</v>
      </c>
      <c r="F198" s="1" t="s">
        <v>165</v>
      </c>
      <c r="G198" s="1" t="s">
        <v>163</v>
      </c>
      <c r="H198" s="1">
        <v>1.0</v>
      </c>
      <c r="I198" s="1">
        <v>2.0</v>
      </c>
      <c r="J198" s="1">
        <v>0.0</v>
      </c>
      <c r="K198" s="1">
        <v>34.0</v>
      </c>
      <c r="L198" s="1">
        <v>44.0</v>
      </c>
      <c r="M198" s="1">
        <v>0.772727273</v>
      </c>
      <c r="N198" s="1">
        <v>17.06999969</v>
      </c>
      <c r="O198" s="1" t="str">
        <f t="shared" si="1"/>
        <v>Yes</v>
      </c>
      <c r="P198" s="1" t="str">
        <f t="shared" si="2"/>
        <v>Yes</v>
      </c>
      <c r="Q198" s="1" t="str">
        <f t="shared" si="3"/>
        <v>Yes</v>
      </c>
      <c r="R198" s="1">
        <f t="shared" si="4"/>
        <v>8.534999845</v>
      </c>
    </row>
    <row r="199" ht="15.75" customHeight="1">
      <c r="A199" s="1" t="s">
        <v>164</v>
      </c>
      <c r="B199" s="1" t="s">
        <v>74</v>
      </c>
      <c r="C199" s="5">
        <v>45735.0</v>
      </c>
      <c r="D199" s="1" t="s">
        <v>161</v>
      </c>
      <c r="E199" s="1" t="s">
        <v>11</v>
      </c>
      <c r="H199" s="1">
        <v>0.0</v>
      </c>
      <c r="J199" s="1">
        <v>0.0</v>
      </c>
      <c r="N199" s="1">
        <v>2.339999914</v>
      </c>
      <c r="O199" s="1" t="str">
        <f t="shared" si="1"/>
        <v>No</v>
      </c>
      <c r="P199" s="1" t="str">
        <f t="shared" si="2"/>
        <v>Yes</v>
      </c>
      <c r="Q199" s="1" t="str">
        <f t="shared" si="3"/>
        <v>Yes</v>
      </c>
      <c r="R199" s="1" t="str">
        <f t="shared" si="4"/>
        <v>#DIV/0!</v>
      </c>
    </row>
    <row r="200" ht="15.75" customHeight="1">
      <c r="A200" s="1" t="s">
        <v>164</v>
      </c>
      <c r="B200" s="1" t="s">
        <v>75</v>
      </c>
      <c r="C200" s="5">
        <v>45735.0</v>
      </c>
      <c r="D200" s="1" t="s">
        <v>161</v>
      </c>
      <c r="E200" s="1" t="s">
        <v>11</v>
      </c>
      <c r="F200" s="1" t="s">
        <v>165</v>
      </c>
      <c r="G200" s="1" t="s">
        <v>163</v>
      </c>
      <c r="H200" s="1">
        <v>1.0</v>
      </c>
      <c r="I200" s="1">
        <v>1.0</v>
      </c>
      <c r="J200" s="1">
        <v>0.0</v>
      </c>
      <c r="K200" s="1">
        <v>19.0</v>
      </c>
      <c r="L200" s="1">
        <v>21.0</v>
      </c>
      <c r="M200" s="1">
        <v>0.904761905</v>
      </c>
      <c r="N200" s="1">
        <v>17.06999969</v>
      </c>
      <c r="O200" s="1" t="str">
        <f t="shared" si="1"/>
        <v>Yes</v>
      </c>
      <c r="P200" s="1" t="str">
        <f t="shared" si="2"/>
        <v>Yes</v>
      </c>
      <c r="Q200" s="1" t="str">
        <f t="shared" si="3"/>
        <v>Yes</v>
      </c>
      <c r="R200" s="1">
        <f t="shared" si="4"/>
        <v>17.06999969</v>
      </c>
    </row>
    <row r="201" ht="15.75" customHeight="1">
      <c r="A201" s="1" t="s">
        <v>164</v>
      </c>
      <c r="B201" s="1" t="s">
        <v>82</v>
      </c>
      <c r="C201" s="5">
        <v>45735.0</v>
      </c>
      <c r="D201" s="1" t="s">
        <v>161</v>
      </c>
      <c r="E201" s="1" t="s">
        <v>11</v>
      </c>
      <c r="F201" s="1" t="s">
        <v>165</v>
      </c>
      <c r="H201" s="1">
        <v>0.0</v>
      </c>
      <c r="I201" s="1">
        <v>0.0</v>
      </c>
      <c r="J201" s="1">
        <v>0.0</v>
      </c>
      <c r="K201" s="1">
        <v>0.0</v>
      </c>
      <c r="L201" s="1">
        <v>0.0</v>
      </c>
      <c r="N201" s="1">
        <v>0.0</v>
      </c>
      <c r="O201" s="1" t="str">
        <f t="shared" si="1"/>
        <v>No</v>
      </c>
      <c r="P201" s="1" t="str">
        <f t="shared" si="2"/>
        <v>No</v>
      </c>
      <c r="Q201" s="1" t="str">
        <f t="shared" si="3"/>
        <v>Yes</v>
      </c>
      <c r="R201" s="1" t="str">
        <f t="shared" si="4"/>
        <v>#DIV/0!</v>
      </c>
    </row>
    <row r="202" ht="15.75" customHeight="1">
      <c r="A202" s="1" t="s">
        <v>164</v>
      </c>
      <c r="B202" s="1" t="s">
        <v>82</v>
      </c>
      <c r="C202" s="5">
        <v>45735.0</v>
      </c>
      <c r="D202" s="1" t="s">
        <v>161</v>
      </c>
      <c r="E202" s="1" t="s">
        <v>11</v>
      </c>
      <c r="F202" s="1" t="s">
        <v>166</v>
      </c>
      <c r="H202" s="1">
        <v>0.0</v>
      </c>
      <c r="I202" s="1">
        <v>0.0</v>
      </c>
      <c r="J202" s="1">
        <v>0.0</v>
      </c>
      <c r="K202" s="1">
        <v>0.0</v>
      </c>
      <c r="L202" s="1">
        <v>0.0</v>
      </c>
      <c r="N202" s="1">
        <v>2.720000029</v>
      </c>
      <c r="O202" s="1" t="str">
        <f t="shared" si="1"/>
        <v>No</v>
      </c>
      <c r="P202" s="1" t="str">
        <f t="shared" si="2"/>
        <v>Yes</v>
      </c>
      <c r="Q202" s="1" t="str">
        <f t="shared" si="3"/>
        <v>Yes</v>
      </c>
      <c r="R202" s="1" t="str">
        <f t="shared" si="4"/>
        <v>#DIV/0!</v>
      </c>
    </row>
    <row r="203" ht="15.75" customHeight="1">
      <c r="A203" s="1" t="s">
        <v>160</v>
      </c>
      <c r="B203" s="1" t="s">
        <v>18</v>
      </c>
      <c r="C203" s="5">
        <v>45734.0</v>
      </c>
      <c r="D203" s="1" t="s">
        <v>161</v>
      </c>
      <c r="E203" s="1" t="s">
        <v>11</v>
      </c>
      <c r="F203" s="1" t="s">
        <v>162</v>
      </c>
      <c r="G203" s="1" t="s">
        <v>163</v>
      </c>
      <c r="H203" s="1">
        <v>1.0</v>
      </c>
      <c r="I203" s="1">
        <v>0.0</v>
      </c>
      <c r="J203" s="1">
        <v>0.0</v>
      </c>
      <c r="K203" s="1">
        <v>4.0</v>
      </c>
      <c r="L203" s="1">
        <v>6.0</v>
      </c>
      <c r="M203" s="1">
        <v>0.666666667</v>
      </c>
      <c r="N203" s="1">
        <v>4.070000172</v>
      </c>
      <c r="O203" s="1" t="str">
        <f t="shared" si="1"/>
        <v>No</v>
      </c>
      <c r="P203" s="1" t="str">
        <f t="shared" si="2"/>
        <v>Yes</v>
      </c>
      <c r="Q203" s="1" t="str">
        <f t="shared" si="3"/>
        <v>Yes</v>
      </c>
      <c r="R203" s="1" t="str">
        <f t="shared" si="4"/>
        <v>#DIV/0!</v>
      </c>
    </row>
    <row r="204" ht="15.75" customHeight="1">
      <c r="A204" s="1" t="s">
        <v>160</v>
      </c>
      <c r="B204" s="1" t="s">
        <v>20</v>
      </c>
      <c r="C204" s="5">
        <v>45734.0</v>
      </c>
      <c r="D204" s="1" t="s">
        <v>161</v>
      </c>
      <c r="E204" s="1" t="s">
        <v>11</v>
      </c>
      <c r="F204" s="1" t="s">
        <v>162</v>
      </c>
      <c r="H204" s="1">
        <v>0.0</v>
      </c>
      <c r="I204" s="1">
        <v>0.0</v>
      </c>
      <c r="J204" s="1">
        <v>0.0</v>
      </c>
      <c r="K204" s="1">
        <v>0.0</v>
      </c>
      <c r="L204" s="1">
        <v>0.0</v>
      </c>
      <c r="N204" s="1">
        <v>0.25</v>
      </c>
      <c r="O204" s="1" t="str">
        <f t="shared" si="1"/>
        <v>No</v>
      </c>
      <c r="P204" s="1" t="str">
        <f t="shared" si="2"/>
        <v>Yes</v>
      </c>
      <c r="Q204" s="1" t="str">
        <f t="shared" si="3"/>
        <v>Yes</v>
      </c>
      <c r="R204" s="1" t="str">
        <f t="shared" si="4"/>
        <v>#DIV/0!</v>
      </c>
    </row>
    <row r="205" ht="15.75" customHeight="1">
      <c r="A205" s="1" t="s">
        <v>160</v>
      </c>
      <c r="B205" s="1" t="s">
        <v>38</v>
      </c>
      <c r="C205" s="5">
        <v>45734.0</v>
      </c>
      <c r="D205" s="1" t="s">
        <v>161</v>
      </c>
      <c r="E205" s="1" t="s">
        <v>11</v>
      </c>
      <c r="F205" s="1" t="s">
        <v>165</v>
      </c>
      <c r="H205" s="1">
        <v>0.0</v>
      </c>
      <c r="I205" s="1">
        <v>1.0</v>
      </c>
      <c r="J205" s="1">
        <v>0.0</v>
      </c>
      <c r="K205" s="1">
        <v>12.0</v>
      </c>
      <c r="L205" s="1">
        <v>14.0</v>
      </c>
      <c r="M205" s="1">
        <v>0.857142857</v>
      </c>
      <c r="N205" s="1">
        <v>12.03999996</v>
      </c>
      <c r="O205" s="1" t="str">
        <f t="shared" si="1"/>
        <v>Yes</v>
      </c>
      <c r="P205" s="1" t="str">
        <f t="shared" si="2"/>
        <v>Yes</v>
      </c>
      <c r="Q205" s="1" t="str">
        <f t="shared" si="3"/>
        <v>Yes</v>
      </c>
      <c r="R205" s="1">
        <f t="shared" si="4"/>
        <v>12.03999996</v>
      </c>
    </row>
    <row r="206" ht="15.75" customHeight="1">
      <c r="A206" s="1" t="s">
        <v>160</v>
      </c>
      <c r="B206" s="1" t="s">
        <v>92</v>
      </c>
      <c r="C206" s="5">
        <v>45734.0</v>
      </c>
      <c r="D206" s="1" t="s">
        <v>161</v>
      </c>
      <c r="E206" s="1" t="s">
        <v>11</v>
      </c>
      <c r="F206" s="1" t="s">
        <v>165</v>
      </c>
      <c r="G206" s="1" t="s">
        <v>163</v>
      </c>
      <c r="H206" s="1">
        <v>1.0</v>
      </c>
      <c r="I206" s="1">
        <v>0.0</v>
      </c>
      <c r="J206" s="1">
        <v>0.0</v>
      </c>
      <c r="K206" s="1">
        <v>0.0</v>
      </c>
      <c r="L206" s="1">
        <v>10.0</v>
      </c>
      <c r="M206" s="1">
        <v>0.0</v>
      </c>
      <c r="N206" s="1">
        <v>11.51000023</v>
      </c>
      <c r="O206" s="1" t="str">
        <f t="shared" si="1"/>
        <v>No</v>
      </c>
      <c r="P206" s="1" t="str">
        <f t="shared" si="2"/>
        <v>Yes</v>
      </c>
      <c r="Q206" s="1" t="str">
        <f t="shared" si="3"/>
        <v>Yes</v>
      </c>
      <c r="R206" s="1" t="str">
        <f t="shared" si="4"/>
        <v>#DIV/0!</v>
      </c>
    </row>
    <row r="207" ht="15.75" customHeight="1">
      <c r="A207" s="1" t="s">
        <v>164</v>
      </c>
      <c r="B207" s="1" t="s">
        <v>62</v>
      </c>
      <c r="C207" s="5">
        <v>45734.0</v>
      </c>
      <c r="D207" s="1" t="s">
        <v>161</v>
      </c>
      <c r="E207" s="1" t="s">
        <v>11</v>
      </c>
      <c r="F207" s="1" t="s">
        <v>165</v>
      </c>
      <c r="H207" s="1">
        <v>0.0</v>
      </c>
      <c r="I207" s="1">
        <v>0.0</v>
      </c>
      <c r="J207" s="1">
        <v>0.0</v>
      </c>
      <c r="K207" s="1">
        <v>0.0</v>
      </c>
      <c r="L207" s="1">
        <v>0.0</v>
      </c>
      <c r="N207" s="1">
        <v>6.420000076</v>
      </c>
      <c r="O207" s="1" t="str">
        <f t="shared" si="1"/>
        <v>No</v>
      </c>
      <c r="P207" s="1" t="str">
        <f t="shared" si="2"/>
        <v>Yes</v>
      </c>
      <c r="Q207" s="1" t="str">
        <f t="shared" si="3"/>
        <v>Yes</v>
      </c>
      <c r="R207" s="1" t="str">
        <f t="shared" si="4"/>
        <v>#DIV/0!</v>
      </c>
    </row>
    <row r="208" ht="15.75" customHeight="1">
      <c r="A208" s="1" t="s">
        <v>164</v>
      </c>
      <c r="B208" s="1" t="s">
        <v>64</v>
      </c>
      <c r="C208" s="5">
        <v>45734.0</v>
      </c>
      <c r="D208" s="1" t="s">
        <v>161</v>
      </c>
      <c r="E208" s="1" t="s">
        <v>11</v>
      </c>
      <c r="F208" s="1" t="s">
        <v>166</v>
      </c>
      <c r="G208" s="1" t="s">
        <v>163</v>
      </c>
      <c r="H208" s="1">
        <v>1.0</v>
      </c>
      <c r="I208" s="1">
        <v>0.0</v>
      </c>
      <c r="J208" s="1">
        <v>0.0</v>
      </c>
      <c r="K208" s="1">
        <v>4.0</v>
      </c>
      <c r="L208" s="1">
        <v>8.0</v>
      </c>
      <c r="M208" s="1">
        <v>0.5</v>
      </c>
      <c r="N208" s="1">
        <v>13.34000015</v>
      </c>
      <c r="O208" s="1" t="str">
        <f t="shared" si="1"/>
        <v>No</v>
      </c>
      <c r="P208" s="1" t="str">
        <f t="shared" si="2"/>
        <v>Yes</v>
      </c>
      <c r="Q208" s="1" t="str">
        <f t="shared" si="3"/>
        <v>Yes</v>
      </c>
      <c r="R208" s="1" t="str">
        <f t="shared" si="4"/>
        <v>#DIV/0!</v>
      </c>
    </row>
    <row r="209" ht="15.75" customHeight="1">
      <c r="A209" s="1" t="s">
        <v>164</v>
      </c>
      <c r="B209" s="1" t="s">
        <v>100</v>
      </c>
      <c r="C209" s="5">
        <v>45734.0</v>
      </c>
      <c r="D209" s="1" t="s">
        <v>161</v>
      </c>
      <c r="E209" s="1" t="s">
        <v>11</v>
      </c>
      <c r="F209" s="1" t="s">
        <v>166</v>
      </c>
      <c r="H209" s="1">
        <v>0.0</v>
      </c>
      <c r="I209" s="1">
        <v>0.0</v>
      </c>
      <c r="J209" s="1">
        <v>0.0</v>
      </c>
      <c r="K209" s="1">
        <v>0.0</v>
      </c>
      <c r="L209" s="1">
        <v>0.0</v>
      </c>
      <c r="N209" s="1">
        <v>1.929999948</v>
      </c>
      <c r="O209" s="1" t="str">
        <f t="shared" si="1"/>
        <v>No</v>
      </c>
      <c r="P209" s="1" t="str">
        <f t="shared" si="2"/>
        <v>Yes</v>
      </c>
      <c r="Q209" s="1" t="str">
        <f t="shared" si="3"/>
        <v>Yes</v>
      </c>
      <c r="R209" s="1" t="str">
        <f t="shared" si="4"/>
        <v>#DIV/0!</v>
      </c>
    </row>
    <row r="210" ht="15.75" customHeight="1">
      <c r="A210" s="1" t="s">
        <v>164</v>
      </c>
      <c r="B210" s="1" t="s">
        <v>82</v>
      </c>
      <c r="C210" s="5">
        <v>45734.0</v>
      </c>
      <c r="D210" s="1" t="s">
        <v>161</v>
      </c>
      <c r="E210" s="1" t="s">
        <v>11</v>
      </c>
      <c r="F210" s="1" t="s">
        <v>165</v>
      </c>
      <c r="G210" s="1" t="s">
        <v>163</v>
      </c>
      <c r="H210" s="1">
        <v>1.0</v>
      </c>
      <c r="I210" s="1">
        <v>0.0</v>
      </c>
      <c r="J210" s="1">
        <v>0.0</v>
      </c>
      <c r="K210" s="1">
        <v>0.0</v>
      </c>
      <c r="L210" s="1">
        <v>0.0</v>
      </c>
      <c r="N210" s="1">
        <v>0.0</v>
      </c>
      <c r="O210" s="1" t="str">
        <f t="shared" si="1"/>
        <v>No</v>
      </c>
      <c r="P210" s="1" t="str">
        <f t="shared" si="2"/>
        <v>No</v>
      </c>
      <c r="Q210" s="1" t="str">
        <f t="shared" si="3"/>
        <v>Yes</v>
      </c>
      <c r="R210" s="1" t="str">
        <f t="shared" si="4"/>
        <v>#DIV/0!</v>
      </c>
    </row>
    <row r="211" ht="15.75" customHeight="1">
      <c r="A211" s="1" t="s">
        <v>164</v>
      </c>
      <c r="B211" s="1" t="s">
        <v>82</v>
      </c>
      <c r="C211" s="5">
        <v>45734.0</v>
      </c>
      <c r="D211" s="1" t="s">
        <v>161</v>
      </c>
      <c r="E211" s="1" t="s">
        <v>11</v>
      </c>
      <c r="F211" s="1" t="s">
        <v>166</v>
      </c>
      <c r="G211" s="1" t="s">
        <v>163</v>
      </c>
      <c r="H211" s="1">
        <v>1.0</v>
      </c>
      <c r="I211" s="1">
        <v>1.0</v>
      </c>
      <c r="J211" s="1">
        <v>0.0</v>
      </c>
      <c r="K211" s="1">
        <v>60.0</v>
      </c>
      <c r="L211" s="1">
        <v>78.0</v>
      </c>
      <c r="M211" s="1">
        <v>0.769230769</v>
      </c>
      <c r="N211" s="1">
        <v>25.57999992</v>
      </c>
      <c r="O211" s="1" t="str">
        <f t="shared" si="1"/>
        <v>Yes</v>
      </c>
      <c r="P211" s="1" t="str">
        <f t="shared" si="2"/>
        <v>Yes</v>
      </c>
      <c r="Q211" s="1" t="str">
        <f t="shared" si="3"/>
        <v>Yes</v>
      </c>
      <c r="R211" s="1">
        <f t="shared" si="4"/>
        <v>25.57999992</v>
      </c>
    </row>
    <row r="212" ht="15.75" customHeight="1">
      <c r="A212" s="1" t="s">
        <v>164</v>
      </c>
      <c r="B212" s="1" t="s">
        <v>105</v>
      </c>
      <c r="C212" s="5">
        <v>45734.0</v>
      </c>
      <c r="D212" s="1" t="s">
        <v>161</v>
      </c>
      <c r="E212" s="1" t="s">
        <v>11</v>
      </c>
      <c r="F212" s="1" t="s">
        <v>162</v>
      </c>
      <c r="H212" s="1">
        <v>0.0</v>
      </c>
      <c r="I212" s="1">
        <v>0.0</v>
      </c>
      <c r="J212" s="1">
        <v>0.0</v>
      </c>
      <c r="K212" s="1">
        <v>0.0</v>
      </c>
      <c r="L212" s="1">
        <v>0.0</v>
      </c>
      <c r="N212" s="1">
        <v>0.829999983</v>
      </c>
      <c r="O212" s="1" t="str">
        <f t="shared" si="1"/>
        <v>No</v>
      </c>
      <c r="P212" s="1" t="str">
        <f t="shared" si="2"/>
        <v>Yes</v>
      </c>
      <c r="Q212" s="1" t="str">
        <f t="shared" si="3"/>
        <v>Yes</v>
      </c>
      <c r="R212" s="1" t="str">
        <f t="shared" si="4"/>
        <v>#DIV/0!</v>
      </c>
    </row>
    <row r="213" ht="15.75" customHeight="1">
      <c r="A213" s="1" t="s">
        <v>180</v>
      </c>
      <c r="B213" s="1" t="s">
        <v>67</v>
      </c>
      <c r="C213" s="5">
        <v>45734.0</v>
      </c>
      <c r="D213" s="1" t="s">
        <v>161</v>
      </c>
      <c r="E213" s="1" t="s">
        <v>11</v>
      </c>
      <c r="F213" s="1" t="s">
        <v>165</v>
      </c>
      <c r="G213" s="1" t="s">
        <v>163</v>
      </c>
      <c r="H213" s="1">
        <v>1.0</v>
      </c>
      <c r="I213" s="1">
        <v>6.0</v>
      </c>
      <c r="J213" s="1">
        <v>0.0</v>
      </c>
      <c r="K213" s="1">
        <v>120.0</v>
      </c>
      <c r="L213" s="1">
        <v>174.0</v>
      </c>
      <c r="M213" s="1">
        <v>0.689655172</v>
      </c>
      <c r="N213" s="1">
        <v>55.95999908</v>
      </c>
      <c r="O213" s="1" t="str">
        <f t="shared" si="1"/>
        <v>Yes</v>
      </c>
      <c r="P213" s="1" t="str">
        <f t="shared" si="2"/>
        <v>Yes</v>
      </c>
      <c r="Q213" s="1" t="str">
        <f t="shared" si="3"/>
        <v>No</v>
      </c>
      <c r="R213" s="1">
        <f t="shared" si="4"/>
        <v>9.326666513</v>
      </c>
    </row>
    <row r="214" ht="15.75" customHeight="1">
      <c r="A214" s="1" t="s">
        <v>160</v>
      </c>
      <c r="B214" s="1" t="s">
        <v>18</v>
      </c>
      <c r="C214" s="5">
        <v>45733.0</v>
      </c>
      <c r="D214" s="1" t="s">
        <v>161</v>
      </c>
      <c r="E214" s="1" t="s">
        <v>11</v>
      </c>
      <c r="F214" s="1" t="s">
        <v>162</v>
      </c>
      <c r="G214" s="1" t="s">
        <v>163</v>
      </c>
      <c r="H214" s="1">
        <v>1.0</v>
      </c>
      <c r="I214" s="1">
        <v>3.0</v>
      </c>
      <c r="J214" s="1">
        <v>0.0</v>
      </c>
      <c r="K214" s="1">
        <v>24.0</v>
      </c>
      <c r="L214" s="1">
        <v>39.0</v>
      </c>
      <c r="M214" s="1">
        <v>0.615384615</v>
      </c>
      <c r="N214" s="1">
        <v>15.46000004</v>
      </c>
      <c r="O214" s="1" t="str">
        <f t="shared" si="1"/>
        <v>Yes</v>
      </c>
      <c r="P214" s="1" t="str">
        <f t="shared" si="2"/>
        <v>Yes</v>
      </c>
      <c r="Q214" s="1" t="str">
        <f t="shared" si="3"/>
        <v>Yes</v>
      </c>
      <c r="R214" s="1">
        <f t="shared" si="4"/>
        <v>5.153333347</v>
      </c>
    </row>
    <row r="215" ht="15.75" customHeight="1">
      <c r="A215" s="1" t="s">
        <v>160</v>
      </c>
      <c r="B215" s="1" t="s">
        <v>32</v>
      </c>
      <c r="C215" s="5">
        <v>45733.0</v>
      </c>
      <c r="D215" s="1" t="s">
        <v>161</v>
      </c>
      <c r="E215" s="1" t="s">
        <v>11</v>
      </c>
      <c r="F215" s="1" t="s">
        <v>165</v>
      </c>
      <c r="G215" s="1" t="s">
        <v>163</v>
      </c>
      <c r="H215" s="1">
        <v>1.0</v>
      </c>
      <c r="I215" s="1">
        <v>1.0</v>
      </c>
      <c r="J215" s="1">
        <v>0.0</v>
      </c>
      <c r="K215" s="1">
        <v>28.0</v>
      </c>
      <c r="L215" s="1">
        <v>35.0</v>
      </c>
      <c r="M215" s="1">
        <v>0.8</v>
      </c>
      <c r="N215" s="1">
        <v>22.18000031</v>
      </c>
      <c r="O215" s="1" t="str">
        <f t="shared" si="1"/>
        <v>Yes</v>
      </c>
      <c r="P215" s="1" t="str">
        <f t="shared" si="2"/>
        <v>Yes</v>
      </c>
      <c r="Q215" s="1" t="str">
        <f t="shared" si="3"/>
        <v>Yes</v>
      </c>
      <c r="R215" s="1">
        <f t="shared" si="4"/>
        <v>22.18000031</v>
      </c>
    </row>
    <row r="216" ht="15.75" customHeight="1">
      <c r="A216" s="1" t="s">
        <v>160</v>
      </c>
      <c r="B216" s="1" t="s">
        <v>73</v>
      </c>
      <c r="C216" s="5">
        <v>45733.0</v>
      </c>
      <c r="D216" s="1" t="s">
        <v>161</v>
      </c>
      <c r="E216" s="1" t="s">
        <v>11</v>
      </c>
      <c r="F216" s="1" t="s">
        <v>162</v>
      </c>
      <c r="G216" s="1" t="s">
        <v>163</v>
      </c>
      <c r="H216" s="1">
        <v>1.0</v>
      </c>
      <c r="I216" s="1">
        <v>0.0</v>
      </c>
      <c r="J216" s="1">
        <v>0.0</v>
      </c>
      <c r="K216" s="1">
        <v>4.0</v>
      </c>
      <c r="L216" s="1">
        <v>26.0</v>
      </c>
      <c r="M216" s="1">
        <v>0.153846154</v>
      </c>
      <c r="N216" s="1">
        <v>14.05000019</v>
      </c>
      <c r="O216" s="1" t="str">
        <f t="shared" si="1"/>
        <v>No</v>
      </c>
      <c r="P216" s="1" t="str">
        <f t="shared" si="2"/>
        <v>Yes</v>
      </c>
      <c r="Q216" s="1" t="str">
        <f t="shared" si="3"/>
        <v>Yes</v>
      </c>
      <c r="R216" s="1" t="str">
        <f t="shared" si="4"/>
        <v>#DIV/0!</v>
      </c>
    </row>
    <row r="217" ht="15.75" customHeight="1">
      <c r="A217" s="1" t="s">
        <v>164</v>
      </c>
      <c r="B217" s="1" t="s">
        <v>62</v>
      </c>
      <c r="C217" s="5">
        <v>45733.0</v>
      </c>
      <c r="D217" s="1" t="s">
        <v>161</v>
      </c>
      <c r="E217" s="1" t="s">
        <v>11</v>
      </c>
      <c r="F217" s="1" t="s">
        <v>165</v>
      </c>
      <c r="G217" s="1" t="s">
        <v>163</v>
      </c>
      <c r="H217" s="1">
        <v>1.0</v>
      </c>
      <c r="I217" s="1">
        <v>0.0</v>
      </c>
      <c r="J217" s="1">
        <v>0.0</v>
      </c>
      <c r="K217" s="1">
        <v>0.0</v>
      </c>
      <c r="L217" s="1">
        <v>0.0</v>
      </c>
      <c r="N217" s="1">
        <v>0.0</v>
      </c>
      <c r="O217" s="1" t="str">
        <f t="shared" si="1"/>
        <v>No</v>
      </c>
      <c r="P217" s="1" t="str">
        <f t="shared" si="2"/>
        <v>No</v>
      </c>
      <c r="Q217" s="1" t="str">
        <f t="shared" si="3"/>
        <v>Yes</v>
      </c>
      <c r="R217" s="1" t="str">
        <f t="shared" si="4"/>
        <v>#DIV/0!</v>
      </c>
    </row>
    <row r="218" ht="15.75" customHeight="1">
      <c r="A218" s="1" t="s">
        <v>164</v>
      </c>
      <c r="B218" s="1" t="s">
        <v>62</v>
      </c>
      <c r="C218" s="5">
        <v>45733.0</v>
      </c>
      <c r="D218" s="1" t="s">
        <v>161</v>
      </c>
      <c r="E218" s="1" t="s">
        <v>11</v>
      </c>
      <c r="F218" s="1" t="s">
        <v>166</v>
      </c>
      <c r="G218" s="1" t="s">
        <v>163</v>
      </c>
      <c r="H218" s="1">
        <v>1.0</v>
      </c>
      <c r="I218" s="1">
        <v>1.0</v>
      </c>
      <c r="J218" s="1">
        <v>0.0</v>
      </c>
      <c r="K218" s="1">
        <v>8.0</v>
      </c>
      <c r="L218" s="1">
        <v>16.0</v>
      </c>
      <c r="M218" s="1">
        <v>0.5</v>
      </c>
      <c r="N218" s="1">
        <v>7.639999866</v>
      </c>
      <c r="O218" s="1" t="str">
        <f t="shared" si="1"/>
        <v>Yes</v>
      </c>
      <c r="P218" s="1" t="str">
        <f t="shared" si="2"/>
        <v>Yes</v>
      </c>
      <c r="Q218" s="1" t="str">
        <f t="shared" si="3"/>
        <v>Yes</v>
      </c>
      <c r="R218" s="1">
        <f t="shared" si="4"/>
        <v>7.639999866</v>
      </c>
    </row>
    <row r="219" ht="15.75" customHeight="1">
      <c r="A219" s="1" t="s">
        <v>164</v>
      </c>
      <c r="B219" s="1" t="s">
        <v>64</v>
      </c>
      <c r="C219" s="5">
        <v>45733.0</v>
      </c>
      <c r="D219" s="1" t="s">
        <v>161</v>
      </c>
      <c r="E219" s="1" t="s">
        <v>11</v>
      </c>
      <c r="F219" s="1" t="s">
        <v>166</v>
      </c>
      <c r="G219" s="1" t="s">
        <v>163</v>
      </c>
      <c r="H219" s="1">
        <v>1.0</v>
      </c>
      <c r="I219" s="1">
        <v>0.0</v>
      </c>
      <c r="J219" s="1">
        <v>0.0</v>
      </c>
      <c r="K219" s="1">
        <v>4.0</v>
      </c>
      <c r="L219" s="1">
        <v>8.0</v>
      </c>
      <c r="M219" s="1">
        <v>0.5</v>
      </c>
      <c r="N219" s="1">
        <v>8.869999886</v>
      </c>
      <c r="O219" s="1" t="str">
        <f t="shared" si="1"/>
        <v>No</v>
      </c>
      <c r="P219" s="1" t="str">
        <f t="shared" si="2"/>
        <v>Yes</v>
      </c>
      <c r="Q219" s="1" t="str">
        <f t="shared" si="3"/>
        <v>Yes</v>
      </c>
      <c r="R219" s="1" t="str">
        <f t="shared" si="4"/>
        <v>#DIV/0!</v>
      </c>
    </row>
    <row r="220" ht="15.75" customHeight="1">
      <c r="A220" s="1" t="s">
        <v>164</v>
      </c>
      <c r="B220" s="1" t="s">
        <v>78</v>
      </c>
      <c r="C220" s="5">
        <v>45733.0</v>
      </c>
      <c r="D220" s="1" t="s">
        <v>161</v>
      </c>
      <c r="E220" s="1" t="s">
        <v>11</v>
      </c>
      <c r="F220" s="1" t="s">
        <v>165</v>
      </c>
      <c r="G220" s="1" t="s">
        <v>163</v>
      </c>
      <c r="H220" s="1">
        <v>1.0</v>
      </c>
      <c r="I220" s="1">
        <v>2.0</v>
      </c>
      <c r="J220" s="1">
        <v>0.0</v>
      </c>
      <c r="K220" s="1">
        <v>39.0</v>
      </c>
      <c r="L220" s="1">
        <v>45.0</v>
      </c>
      <c r="M220" s="1">
        <v>0.866666667</v>
      </c>
      <c r="N220" s="1">
        <v>18.04000092</v>
      </c>
      <c r="O220" s="1" t="str">
        <f t="shared" si="1"/>
        <v>Yes</v>
      </c>
      <c r="P220" s="1" t="str">
        <f t="shared" si="2"/>
        <v>Yes</v>
      </c>
      <c r="Q220" s="1" t="str">
        <f t="shared" si="3"/>
        <v>Yes</v>
      </c>
      <c r="R220" s="1">
        <f t="shared" si="4"/>
        <v>9.02000046</v>
      </c>
    </row>
    <row r="221" ht="15.75" customHeight="1">
      <c r="A221" s="1" t="s">
        <v>164</v>
      </c>
      <c r="B221" s="1" t="s">
        <v>81</v>
      </c>
      <c r="C221" s="5">
        <v>45733.0</v>
      </c>
      <c r="D221" s="1" t="s">
        <v>161</v>
      </c>
      <c r="E221" s="1" t="s">
        <v>11</v>
      </c>
      <c r="F221" s="1" t="s">
        <v>162</v>
      </c>
      <c r="G221" s="1" t="s">
        <v>163</v>
      </c>
      <c r="H221" s="1">
        <v>1.0</v>
      </c>
      <c r="I221" s="1">
        <v>0.0</v>
      </c>
      <c r="J221" s="1">
        <v>0.0</v>
      </c>
      <c r="K221" s="1">
        <v>6.0</v>
      </c>
      <c r="L221" s="1">
        <v>8.0</v>
      </c>
      <c r="M221" s="1">
        <v>0.75</v>
      </c>
      <c r="N221" s="1">
        <v>6.659999847</v>
      </c>
      <c r="O221" s="1" t="str">
        <f t="shared" si="1"/>
        <v>No</v>
      </c>
      <c r="P221" s="1" t="str">
        <f t="shared" si="2"/>
        <v>Yes</v>
      </c>
      <c r="Q221" s="1" t="str">
        <f t="shared" si="3"/>
        <v>Yes</v>
      </c>
      <c r="R221" s="1" t="str">
        <f t="shared" si="4"/>
        <v>#DIV/0!</v>
      </c>
    </row>
    <row r="222" ht="15.75" customHeight="1">
      <c r="A222" s="1" t="s">
        <v>164</v>
      </c>
      <c r="B222" s="1" t="s">
        <v>81</v>
      </c>
      <c r="C222" s="5">
        <v>45733.0</v>
      </c>
      <c r="D222" s="1" t="s">
        <v>161</v>
      </c>
      <c r="E222" s="1" t="s">
        <v>11</v>
      </c>
      <c r="F222" s="1" t="s">
        <v>299</v>
      </c>
      <c r="G222" s="1" t="s">
        <v>163</v>
      </c>
      <c r="H222" s="1">
        <v>1.0</v>
      </c>
      <c r="I222" s="1">
        <v>0.0</v>
      </c>
      <c r="J222" s="1">
        <v>0.0</v>
      </c>
      <c r="K222" s="1">
        <v>0.0</v>
      </c>
      <c r="L222" s="1">
        <v>2.0</v>
      </c>
      <c r="M222" s="1">
        <v>0.0</v>
      </c>
      <c r="N222" s="1">
        <v>0.0</v>
      </c>
      <c r="O222" s="1" t="str">
        <f t="shared" si="1"/>
        <v>No</v>
      </c>
      <c r="P222" s="1" t="str">
        <f t="shared" si="2"/>
        <v>No</v>
      </c>
      <c r="Q222" s="1" t="str">
        <f t="shared" si="3"/>
        <v>Yes</v>
      </c>
      <c r="R222" s="1" t="str">
        <f t="shared" si="4"/>
        <v>#DIV/0!</v>
      </c>
    </row>
    <row r="223" ht="15.75" customHeight="1">
      <c r="A223" s="1" t="s">
        <v>164</v>
      </c>
      <c r="B223" s="1" t="s">
        <v>82</v>
      </c>
      <c r="C223" s="5">
        <v>45733.0</v>
      </c>
      <c r="D223" s="1" t="s">
        <v>161</v>
      </c>
      <c r="E223" s="1" t="s">
        <v>11</v>
      </c>
      <c r="F223" s="1" t="s">
        <v>166</v>
      </c>
      <c r="G223" s="1" t="s">
        <v>163</v>
      </c>
      <c r="H223" s="1">
        <v>1.0</v>
      </c>
      <c r="I223" s="1">
        <v>1.0</v>
      </c>
      <c r="J223" s="1">
        <v>0.0</v>
      </c>
      <c r="K223" s="1">
        <v>10.0</v>
      </c>
      <c r="L223" s="1">
        <v>12.0</v>
      </c>
      <c r="M223" s="1">
        <v>0.833333333</v>
      </c>
      <c r="N223" s="1">
        <v>4.650000095</v>
      </c>
      <c r="O223" s="1" t="str">
        <f t="shared" si="1"/>
        <v>Yes</v>
      </c>
      <c r="P223" s="1" t="str">
        <f t="shared" si="2"/>
        <v>Yes</v>
      </c>
      <c r="Q223" s="1" t="str">
        <f t="shared" si="3"/>
        <v>Yes</v>
      </c>
      <c r="R223" s="1">
        <f t="shared" si="4"/>
        <v>4.650000095</v>
      </c>
    </row>
    <row r="224" ht="15.75" customHeight="1">
      <c r="A224" s="1" t="s">
        <v>164</v>
      </c>
      <c r="B224" s="1" t="s">
        <v>105</v>
      </c>
      <c r="C224" s="5">
        <v>45733.0</v>
      </c>
      <c r="D224" s="1" t="s">
        <v>161</v>
      </c>
      <c r="E224" s="1" t="s">
        <v>11</v>
      </c>
      <c r="H224" s="1">
        <v>0.0</v>
      </c>
      <c r="J224" s="1">
        <v>0.0</v>
      </c>
      <c r="N224" s="1">
        <v>0.589999974</v>
      </c>
      <c r="O224" s="1" t="str">
        <f t="shared" si="1"/>
        <v>No</v>
      </c>
      <c r="P224" s="1" t="str">
        <f t="shared" si="2"/>
        <v>Yes</v>
      </c>
      <c r="Q224" s="1" t="str">
        <f t="shared" si="3"/>
        <v>Yes</v>
      </c>
      <c r="R224" s="1" t="str">
        <f t="shared" si="4"/>
        <v>#DIV/0!</v>
      </c>
    </row>
    <row r="225" ht="15.75" customHeight="1">
      <c r="A225" s="1" t="s">
        <v>180</v>
      </c>
      <c r="B225" s="1" t="s">
        <v>67</v>
      </c>
      <c r="C225" s="5">
        <v>45733.0</v>
      </c>
      <c r="D225" s="1" t="s">
        <v>161</v>
      </c>
      <c r="E225" s="1" t="s">
        <v>11</v>
      </c>
      <c r="F225" s="1" t="s">
        <v>165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N225" s="1">
        <v>0.910000026</v>
      </c>
      <c r="O225" s="1" t="str">
        <f t="shared" si="1"/>
        <v>No</v>
      </c>
      <c r="P225" s="1" t="str">
        <f t="shared" si="2"/>
        <v>Yes</v>
      </c>
      <c r="Q225" s="1" t="str">
        <f t="shared" si="3"/>
        <v>Yes</v>
      </c>
      <c r="R225" s="1" t="str">
        <f t="shared" si="4"/>
        <v>#DIV/0!</v>
      </c>
    </row>
    <row r="226" ht="15.75" customHeight="1">
      <c r="A226" s="1" t="s">
        <v>160</v>
      </c>
      <c r="B226" s="1" t="s">
        <v>20</v>
      </c>
      <c r="C226" s="5">
        <v>45730.0</v>
      </c>
      <c r="D226" s="1" t="s">
        <v>161</v>
      </c>
      <c r="E226" s="1" t="s">
        <v>11</v>
      </c>
      <c r="F226" s="1" t="s">
        <v>162</v>
      </c>
      <c r="G226" s="1" t="s">
        <v>163</v>
      </c>
      <c r="H226" s="1">
        <v>1.0</v>
      </c>
      <c r="I226" s="1">
        <v>0.0</v>
      </c>
      <c r="J226" s="1">
        <v>0.0</v>
      </c>
      <c r="K226" s="1">
        <v>0.0</v>
      </c>
      <c r="L226" s="1">
        <v>4.0</v>
      </c>
      <c r="M226" s="1">
        <v>0.0</v>
      </c>
      <c r="N226" s="1">
        <v>2.930000067</v>
      </c>
      <c r="O226" s="1" t="str">
        <f t="shared" si="1"/>
        <v>No</v>
      </c>
      <c r="P226" s="1" t="str">
        <f t="shared" si="2"/>
        <v>Yes</v>
      </c>
      <c r="Q226" s="1" t="str">
        <f t="shared" si="3"/>
        <v>Yes</v>
      </c>
      <c r="R226" s="1" t="str">
        <f t="shared" si="4"/>
        <v>#DIV/0!</v>
      </c>
    </row>
    <row r="227" ht="15.75" customHeight="1">
      <c r="A227" s="1" t="s">
        <v>160</v>
      </c>
      <c r="B227" s="1" t="s">
        <v>32</v>
      </c>
      <c r="C227" s="5">
        <v>45730.0</v>
      </c>
      <c r="D227" s="1" t="s">
        <v>161</v>
      </c>
      <c r="E227" s="1" t="s">
        <v>11</v>
      </c>
      <c r="H227" s="1">
        <v>0.0</v>
      </c>
      <c r="J227" s="1">
        <v>0.0</v>
      </c>
      <c r="N227" s="1">
        <v>1.129999995</v>
      </c>
      <c r="O227" s="1" t="str">
        <f t="shared" si="1"/>
        <v>No</v>
      </c>
      <c r="P227" s="1" t="str">
        <f t="shared" si="2"/>
        <v>Yes</v>
      </c>
      <c r="Q227" s="1" t="str">
        <f t="shared" si="3"/>
        <v>Yes</v>
      </c>
      <c r="R227" s="1" t="str">
        <f t="shared" si="4"/>
        <v>#DIV/0!</v>
      </c>
    </row>
    <row r="228" ht="15.75" customHeight="1">
      <c r="A228" s="1" t="s">
        <v>160</v>
      </c>
      <c r="B228" s="1" t="s">
        <v>73</v>
      </c>
      <c r="C228" s="5">
        <v>45730.0</v>
      </c>
      <c r="D228" s="1" t="s">
        <v>161</v>
      </c>
      <c r="E228" s="1" t="s">
        <v>11</v>
      </c>
      <c r="F228" s="1" t="s">
        <v>162</v>
      </c>
      <c r="G228" s="1" t="s">
        <v>163</v>
      </c>
      <c r="H228" s="1">
        <v>1.0</v>
      </c>
      <c r="I228" s="1">
        <v>0.0</v>
      </c>
      <c r="J228" s="1">
        <v>0.0</v>
      </c>
      <c r="K228" s="1">
        <v>0.0</v>
      </c>
      <c r="L228" s="1">
        <v>6.0</v>
      </c>
      <c r="M228" s="1">
        <v>0.0</v>
      </c>
      <c r="N228" s="1">
        <v>5.809999943</v>
      </c>
      <c r="O228" s="1" t="str">
        <f t="shared" si="1"/>
        <v>No</v>
      </c>
      <c r="P228" s="1" t="str">
        <f t="shared" si="2"/>
        <v>Yes</v>
      </c>
      <c r="Q228" s="1" t="str">
        <f t="shared" si="3"/>
        <v>Yes</v>
      </c>
      <c r="R228" s="1" t="str">
        <f t="shared" si="4"/>
        <v>#DIV/0!</v>
      </c>
    </row>
    <row r="229" ht="15.75" customHeight="1">
      <c r="A229" s="1" t="s">
        <v>160</v>
      </c>
      <c r="B229" s="1" t="s">
        <v>300</v>
      </c>
      <c r="C229" s="5">
        <v>45730.0</v>
      </c>
      <c r="D229" s="1" t="s">
        <v>161</v>
      </c>
      <c r="E229" s="1" t="s">
        <v>11</v>
      </c>
      <c r="H229" s="1">
        <v>0.0</v>
      </c>
      <c r="J229" s="1">
        <v>0.0</v>
      </c>
      <c r="N229" s="1">
        <v>1.220000029</v>
      </c>
      <c r="O229" s="1" t="str">
        <f t="shared" si="1"/>
        <v>No</v>
      </c>
      <c r="P229" s="1" t="str">
        <f t="shared" si="2"/>
        <v>Yes</v>
      </c>
      <c r="Q229" s="1" t="str">
        <f t="shared" si="3"/>
        <v>Yes</v>
      </c>
      <c r="R229" s="1" t="str">
        <f t="shared" si="4"/>
        <v>#DIV/0!</v>
      </c>
    </row>
    <row r="230" ht="15.75" customHeight="1">
      <c r="A230" s="1" t="s">
        <v>160</v>
      </c>
      <c r="B230" s="1" t="s">
        <v>90</v>
      </c>
      <c r="C230" s="5">
        <v>45730.0</v>
      </c>
      <c r="D230" s="1" t="s">
        <v>161</v>
      </c>
      <c r="E230" s="1" t="s">
        <v>11</v>
      </c>
      <c r="F230" s="1" t="s">
        <v>165</v>
      </c>
      <c r="H230" s="1">
        <v>0.0</v>
      </c>
      <c r="I230" s="1">
        <v>0.0</v>
      </c>
      <c r="J230" s="1">
        <v>0.0</v>
      </c>
      <c r="K230" s="1">
        <v>0.0</v>
      </c>
      <c r="L230" s="1">
        <v>0.0</v>
      </c>
      <c r="N230" s="1">
        <v>0.0</v>
      </c>
      <c r="O230" s="1" t="str">
        <f t="shared" si="1"/>
        <v>No</v>
      </c>
      <c r="P230" s="1" t="str">
        <f t="shared" si="2"/>
        <v>No</v>
      </c>
      <c r="Q230" s="1" t="str">
        <f t="shared" si="3"/>
        <v>Yes</v>
      </c>
      <c r="R230" s="1" t="str">
        <f t="shared" si="4"/>
        <v>#DIV/0!</v>
      </c>
    </row>
    <row r="231" ht="15.75" customHeight="1">
      <c r="A231" s="1" t="s">
        <v>160</v>
      </c>
      <c r="B231" s="1" t="s">
        <v>101</v>
      </c>
      <c r="C231" s="5">
        <v>45730.0</v>
      </c>
      <c r="D231" s="1" t="s">
        <v>161</v>
      </c>
      <c r="E231" s="1" t="s">
        <v>11</v>
      </c>
      <c r="F231" s="1" t="s">
        <v>162</v>
      </c>
      <c r="G231" s="1" t="s">
        <v>163</v>
      </c>
      <c r="H231" s="1">
        <v>1.0</v>
      </c>
      <c r="I231" s="1">
        <v>0.0</v>
      </c>
      <c r="J231" s="1">
        <v>0.0</v>
      </c>
      <c r="K231" s="1">
        <v>4.0</v>
      </c>
      <c r="L231" s="1">
        <v>14.0</v>
      </c>
      <c r="M231" s="1">
        <v>0.285714286</v>
      </c>
      <c r="N231" s="1">
        <v>9.340000153</v>
      </c>
      <c r="O231" s="1" t="str">
        <f t="shared" si="1"/>
        <v>No</v>
      </c>
      <c r="P231" s="1" t="str">
        <f t="shared" si="2"/>
        <v>Yes</v>
      </c>
      <c r="Q231" s="1" t="str">
        <f t="shared" si="3"/>
        <v>Yes</v>
      </c>
      <c r="R231" s="1" t="str">
        <f t="shared" si="4"/>
        <v>#DIV/0!</v>
      </c>
    </row>
    <row r="232" ht="15.75" customHeight="1">
      <c r="A232" s="1" t="s">
        <v>164</v>
      </c>
      <c r="B232" s="1" t="s">
        <v>22</v>
      </c>
      <c r="C232" s="5">
        <v>45730.0</v>
      </c>
      <c r="D232" s="1" t="s">
        <v>161</v>
      </c>
      <c r="E232" s="1" t="s">
        <v>11</v>
      </c>
      <c r="F232" s="1" t="s">
        <v>165</v>
      </c>
      <c r="H232" s="1">
        <v>0.0</v>
      </c>
      <c r="I232" s="1">
        <v>0.0</v>
      </c>
      <c r="J232" s="1">
        <v>0.0</v>
      </c>
      <c r="K232" s="1">
        <v>0.0</v>
      </c>
      <c r="L232" s="1">
        <v>0.0</v>
      </c>
      <c r="N232" s="1">
        <v>0.0</v>
      </c>
      <c r="O232" s="1" t="str">
        <f t="shared" si="1"/>
        <v>No</v>
      </c>
      <c r="P232" s="1" t="str">
        <f t="shared" si="2"/>
        <v>No</v>
      </c>
      <c r="Q232" s="1" t="str">
        <f t="shared" si="3"/>
        <v>Yes</v>
      </c>
      <c r="R232" s="1" t="str">
        <f t="shared" si="4"/>
        <v>#DIV/0!</v>
      </c>
    </row>
    <row r="233" ht="15.75" customHeight="1">
      <c r="A233" s="1" t="s">
        <v>164</v>
      </c>
      <c r="B233" s="1" t="s">
        <v>22</v>
      </c>
      <c r="C233" s="5">
        <v>45730.0</v>
      </c>
      <c r="D233" s="1" t="s">
        <v>161</v>
      </c>
      <c r="E233" s="1" t="s">
        <v>11</v>
      </c>
      <c r="F233" s="1" t="s">
        <v>166</v>
      </c>
      <c r="H233" s="1">
        <v>0.0</v>
      </c>
      <c r="I233" s="1">
        <v>1.0</v>
      </c>
      <c r="J233" s="1">
        <v>0.0</v>
      </c>
      <c r="K233" s="1">
        <v>0.0</v>
      </c>
      <c r="L233" s="1">
        <v>0.0</v>
      </c>
      <c r="N233" s="1">
        <v>2.200000048</v>
      </c>
      <c r="O233" s="1" t="str">
        <f t="shared" si="1"/>
        <v>Yes</v>
      </c>
      <c r="P233" s="1" t="str">
        <f t="shared" si="2"/>
        <v>Yes</v>
      </c>
      <c r="Q233" s="1" t="str">
        <f t="shared" si="3"/>
        <v>Yes</v>
      </c>
      <c r="R233" s="1">
        <f t="shared" si="4"/>
        <v>2.200000048</v>
      </c>
    </row>
    <row r="234" ht="15.75" customHeight="1">
      <c r="A234" s="1" t="s">
        <v>164</v>
      </c>
      <c r="B234" s="1" t="s">
        <v>24</v>
      </c>
      <c r="C234" s="5">
        <v>45730.0</v>
      </c>
      <c r="D234" s="1" t="s">
        <v>161</v>
      </c>
      <c r="E234" s="1" t="s">
        <v>11</v>
      </c>
      <c r="F234" s="1" t="s">
        <v>162</v>
      </c>
      <c r="G234" s="1" t="s">
        <v>163</v>
      </c>
      <c r="H234" s="1">
        <v>1.0</v>
      </c>
      <c r="I234" s="1">
        <v>0.0</v>
      </c>
      <c r="J234" s="1">
        <v>0.0</v>
      </c>
      <c r="K234" s="1">
        <v>11.0</v>
      </c>
      <c r="L234" s="1">
        <v>19.0</v>
      </c>
      <c r="M234" s="1">
        <v>0.578947368</v>
      </c>
      <c r="N234" s="1">
        <v>11.22000027</v>
      </c>
      <c r="O234" s="1" t="str">
        <f t="shared" si="1"/>
        <v>No</v>
      </c>
      <c r="P234" s="1" t="str">
        <f t="shared" si="2"/>
        <v>Yes</v>
      </c>
      <c r="Q234" s="1" t="str">
        <f t="shared" si="3"/>
        <v>Yes</v>
      </c>
      <c r="R234" s="1" t="str">
        <f t="shared" si="4"/>
        <v>#DIV/0!</v>
      </c>
    </row>
    <row r="235" ht="15.75" customHeight="1">
      <c r="A235" s="1" t="s">
        <v>164</v>
      </c>
      <c r="B235" s="1" t="s">
        <v>24</v>
      </c>
      <c r="C235" s="5">
        <v>45730.0</v>
      </c>
      <c r="D235" s="1" t="s">
        <v>161</v>
      </c>
      <c r="E235" s="1" t="s">
        <v>11</v>
      </c>
      <c r="F235" s="1" t="s">
        <v>166</v>
      </c>
      <c r="G235" s="1" t="s">
        <v>163</v>
      </c>
      <c r="H235" s="1">
        <v>1.0</v>
      </c>
      <c r="I235" s="1">
        <v>0.0</v>
      </c>
      <c r="J235" s="1">
        <v>0.0</v>
      </c>
      <c r="K235" s="1">
        <v>0.0</v>
      </c>
      <c r="L235" s="1">
        <v>0.0</v>
      </c>
      <c r="N235" s="1">
        <v>0.0</v>
      </c>
      <c r="O235" s="1" t="str">
        <f t="shared" si="1"/>
        <v>No</v>
      </c>
      <c r="P235" s="1" t="str">
        <f t="shared" si="2"/>
        <v>No</v>
      </c>
      <c r="Q235" s="1" t="str">
        <f t="shared" si="3"/>
        <v>Yes</v>
      </c>
      <c r="R235" s="1" t="str">
        <f t="shared" si="4"/>
        <v>#DIV/0!</v>
      </c>
    </row>
    <row r="236" ht="15.75" customHeight="1">
      <c r="A236" s="1" t="s">
        <v>164</v>
      </c>
      <c r="B236" s="1" t="s">
        <v>52</v>
      </c>
      <c r="C236" s="5">
        <v>45730.0</v>
      </c>
      <c r="D236" s="1" t="s">
        <v>161</v>
      </c>
      <c r="E236" s="1" t="s">
        <v>11</v>
      </c>
      <c r="F236" s="1" t="s">
        <v>165</v>
      </c>
      <c r="G236" s="1" t="s">
        <v>163</v>
      </c>
      <c r="H236" s="1">
        <v>1.0</v>
      </c>
      <c r="I236" s="1">
        <v>0.0</v>
      </c>
      <c r="J236" s="1">
        <v>0.0</v>
      </c>
      <c r="K236" s="1">
        <v>10.0</v>
      </c>
      <c r="L236" s="1">
        <v>16.0</v>
      </c>
      <c r="M236" s="1">
        <v>0.625</v>
      </c>
      <c r="N236" s="1">
        <v>19.0</v>
      </c>
      <c r="O236" s="1" t="str">
        <f t="shared" si="1"/>
        <v>No</v>
      </c>
      <c r="P236" s="1" t="str">
        <f t="shared" si="2"/>
        <v>Yes</v>
      </c>
      <c r="Q236" s="1" t="str">
        <f t="shared" si="3"/>
        <v>Yes</v>
      </c>
      <c r="R236" s="1" t="str">
        <f t="shared" si="4"/>
        <v>#DIV/0!</v>
      </c>
    </row>
    <row r="237" ht="15.75" customHeight="1">
      <c r="A237" s="1" t="s">
        <v>164</v>
      </c>
      <c r="B237" s="1" t="s">
        <v>52</v>
      </c>
      <c r="C237" s="5">
        <v>45730.0</v>
      </c>
      <c r="D237" s="1" t="s">
        <v>161</v>
      </c>
      <c r="E237" s="1" t="s">
        <v>11</v>
      </c>
      <c r="F237" s="1" t="s">
        <v>162</v>
      </c>
      <c r="G237" s="1" t="s">
        <v>163</v>
      </c>
      <c r="H237" s="1">
        <v>1.0</v>
      </c>
      <c r="I237" s="1">
        <v>0.0</v>
      </c>
      <c r="J237" s="1">
        <v>0.0</v>
      </c>
      <c r="K237" s="1">
        <v>1.0</v>
      </c>
      <c r="L237" s="1">
        <v>3.0</v>
      </c>
      <c r="M237" s="1">
        <v>0.333333333</v>
      </c>
      <c r="N237" s="1">
        <v>0.0</v>
      </c>
      <c r="O237" s="1" t="str">
        <f t="shared" si="1"/>
        <v>No</v>
      </c>
      <c r="P237" s="1" t="str">
        <f t="shared" si="2"/>
        <v>No</v>
      </c>
      <c r="Q237" s="1" t="str">
        <f t="shared" si="3"/>
        <v>Yes</v>
      </c>
      <c r="R237" s="1" t="str">
        <f t="shared" si="4"/>
        <v>#DIV/0!</v>
      </c>
    </row>
    <row r="238" ht="15.75" customHeight="1">
      <c r="A238" s="1" t="s">
        <v>164</v>
      </c>
      <c r="B238" s="1" t="s">
        <v>55</v>
      </c>
      <c r="C238" s="5">
        <v>45730.0</v>
      </c>
      <c r="D238" s="1" t="s">
        <v>161</v>
      </c>
      <c r="E238" s="1" t="s">
        <v>11</v>
      </c>
      <c r="F238" s="1" t="s">
        <v>166</v>
      </c>
      <c r="G238" s="1" t="s">
        <v>163</v>
      </c>
      <c r="H238" s="1">
        <v>1.0</v>
      </c>
      <c r="I238" s="1">
        <v>0.0</v>
      </c>
      <c r="J238" s="1">
        <v>0.0</v>
      </c>
      <c r="K238" s="1">
        <v>0.0</v>
      </c>
      <c r="L238" s="1">
        <v>2.0</v>
      </c>
      <c r="M238" s="1">
        <v>0.0</v>
      </c>
      <c r="N238" s="1">
        <v>3.109999895</v>
      </c>
      <c r="O238" s="1" t="str">
        <f t="shared" si="1"/>
        <v>No</v>
      </c>
      <c r="P238" s="1" t="str">
        <f t="shared" si="2"/>
        <v>Yes</v>
      </c>
      <c r="Q238" s="1" t="str">
        <f t="shared" si="3"/>
        <v>Yes</v>
      </c>
      <c r="R238" s="1" t="str">
        <f t="shared" si="4"/>
        <v>#DIV/0!</v>
      </c>
    </row>
    <row r="239" ht="15.75" customHeight="1">
      <c r="A239" s="1" t="s">
        <v>164</v>
      </c>
      <c r="B239" s="1" t="s">
        <v>62</v>
      </c>
      <c r="C239" s="5">
        <v>45730.0</v>
      </c>
      <c r="D239" s="1" t="s">
        <v>161</v>
      </c>
      <c r="E239" s="1" t="s">
        <v>11</v>
      </c>
      <c r="F239" s="1" t="s">
        <v>165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N239" s="1">
        <v>2.569999933</v>
      </c>
      <c r="O239" s="1" t="str">
        <f t="shared" si="1"/>
        <v>No</v>
      </c>
      <c r="P239" s="1" t="str">
        <f t="shared" si="2"/>
        <v>Yes</v>
      </c>
      <c r="Q239" s="1" t="str">
        <f t="shared" si="3"/>
        <v>Yes</v>
      </c>
      <c r="R239" s="1" t="str">
        <f t="shared" si="4"/>
        <v>#DIV/0!</v>
      </c>
    </row>
    <row r="240" ht="15.75" customHeight="1">
      <c r="A240" s="1" t="s">
        <v>164</v>
      </c>
      <c r="B240" s="1" t="s">
        <v>64</v>
      </c>
      <c r="C240" s="5">
        <v>45730.0</v>
      </c>
      <c r="D240" s="1" t="s">
        <v>161</v>
      </c>
      <c r="E240" s="1" t="s">
        <v>11</v>
      </c>
      <c r="F240" s="1" t="s">
        <v>166</v>
      </c>
      <c r="H240" s="1">
        <v>0.0</v>
      </c>
      <c r="I240" s="1">
        <v>0.0</v>
      </c>
      <c r="J240" s="1">
        <v>0.0</v>
      </c>
      <c r="K240" s="1">
        <v>1.0</v>
      </c>
      <c r="L240" s="1">
        <v>2.0</v>
      </c>
      <c r="M240" s="1">
        <v>0.5</v>
      </c>
      <c r="N240" s="1">
        <v>6.059999943</v>
      </c>
      <c r="O240" s="1" t="str">
        <f t="shared" si="1"/>
        <v>No</v>
      </c>
      <c r="P240" s="1" t="str">
        <f t="shared" si="2"/>
        <v>Yes</v>
      </c>
      <c r="Q240" s="1" t="str">
        <f t="shared" si="3"/>
        <v>Yes</v>
      </c>
      <c r="R240" s="1" t="str">
        <f t="shared" si="4"/>
        <v>#DIV/0!</v>
      </c>
    </row>
    <row r="241" ht="15.75" customHeight="1">
      <c r="A241" s="1" t="s">
        <v>164</v>
      </c>
      <c r="B241" s="1" t="s">
        <v>82</v>
      </c>
      <c r="C241" s="5">
        <v>45730.0</v>
      </c>
      <c r="D241" s="1" t="s">
        <v>161</v>
      </c>
      <c r="E241" s="1" t="s">
        <v>11</v>
      </c>
      <c r="F241" s="1" t="s">
        <v>165</v>
      </c>
      <c r="G241" s="1" t="s">
        <v>163</v>
      </c>
      <c r="H241" s="1">
        <v>1.0</v>
      </c>
      <c r="I241" s="1">
        <v>0.0</v>
      </c>
      <c r="J241" s="1">
        <v>0.0</v>
      </c>
      <c r="K241" s="1">
        <v>0.0</v>
      </c>
      <c r="L241" s="1">
        <v>0.0</v>
      </c>
      <c r="N241" s="1">
        <v>0.0</v>
      </c>
      <c r="O241" s="1" t="str">
        <f t="shared" si="1"/>
        <v>No</v>
      </c>
      <c r="P241" s="1" t="str">
        <f t="shared" si="2"/>
        <v>No</v>
      </c>
      <c r="Q241" s="1" t="str">
        <f t="shared" si="3"/>
        <v>Yes</v>
      </c>
      <c r="R241" s="1" t="str">
        <f t="shared" si="4"/>
        <v>#DIV/0!</v>
      </c>
    </row>
    <row r="242" ht="15.75" customHeight="1">
      <c r="A242" s="1" t="s">
        <v>164</v>
      </c>
      <c r="B242" s="1" t="s">
        <v>82</v>
      </c>
      <c r="C242" s="5">
        <v>45730.0</v>
      </c>
      <c r="D242" s="1" t="s">
        <v>161</v>
      </c>
      <c r="E242" s="1" t="s">
        <v>11</v>
      </c>
      <c r="F242" s="1" t="s">
        <v>166</v>
      </c>
      <c r="G242" s="1" t="s">
        <v>163</v>
      </c>
      <c r="H242" s="1">
        <v>1.0</v>
      </c>
      <c r="I242" s="1">
        <v>0.0</v>
      </c>
      <c r="J242" s="1">
        <v>0.0</v>
      </c>
      <c r="K242" s="1">
        <v>5.0</v>
      </c>
      <c r="L242" s="1">
        <v>10.0</v>
      </c>
      <c r="M242" s="1">
        <v>0.5</v>
      </c>
      <c r="N242" s="1">
        <v>14.75</v>
      </c>
      <c r="O242" s="1" t="str">
        <f t="shared" si="1"/>
        <v>No</v>
      </c>
      <c r="P242" s="1" t="str">
        <f t="shared" si="2"/>
        <v>Yes</v>
      </c>
      <c r="Q242" s="1" t="str">
        <f t="shared" si="3"/>
        <v>Yes</v>
      </c>
      <c r="R242" s="1" t="str">
        <f t="shared" si="4"/>
        <v>#DIV/0!</v>
      </c>
    </row>
    <row r="243" ht="15.75" customHeight="1">
      <c r="A243" s="1" t="s">
        <v>160</v>
      </c>
      <c r="B243" s="1" t="s">
        <v>38</v>
      </c>
      <c r="C243" s="5">
        <v>45729.0</v>
      </c>
      <c r="D243" s="1" t="s">
        <v>161</v>
      </c>
      <c r="E243" s="1" t="s">
        <v>11</v>
      </c>
      <c r="F243" s="1" t="s">
        <v>165</v>
      </c>
      <c r="H243" s="1">
        <v>0.0</v>
      </c>
      <c r="I243" s="1">
        <v>0.0</v>
      </c>
      <c r="J243" s="1">
        <v>0.0</v>
      </c>
      <c r="K243" s="1">
        <v>0.0</v>
      </c>
      <c r="L243" s="1">
        <v>10.0</v>
      </c>
      <c r="M243" s="1">
        <v>0.0</v>
      </c>
      <c r="N243" s="1">
        <v>0.310000002</v>
      </c>
      <c r="O243" s="1" t="str">
        <f t="shared" si="1"/>
        <v>No</v>
      </c>
      <c r="P243" s="1" t="str">
        <f t="shared" si="2"/>
        <v>Yes</v>
      </c>
      <c r="Q243" s="1" t="str">
        <f t="shared" si="3"/>
        <v>Yes</v>
      </c>
      <c r="R243" s="1" t="str">
        <f t="shared" si="4"/>
        <v>#DIV/0!</v>
      </c>
    </row>
    <row r="244" ht="15.75" customHeight="1">
      <c r="A244" s="1" t="s">
        <v>160</v>
      </c>
      <c r="B244" s="1" t="s">
        <v>80</v>
      </c>
      <c r="C244" s="5">
        <v>45729.0</v>
      </c>
      <c r="D244" s="1" t="s">
        <v>161</v>
      </c>
      <c r="E244" s="1" t="s">
        <v>11</v>
      </c>
      <c r="F244" s="1" t="s">
        <v>162</v>
      </c>
      <c r="H244" s="1">
        <v>0.0</v>
      </c>
      <c r="I244" s="1">
        <v>0.0</v>
      </c>
      <c r="J244" s="1">
        <v>0.0</v>
      </c>
      <c r="K244" s="1">
        <v>0.0</v>
      </c>
      <c r="L244" s="1">
        <v>8.0</v>
      </c>
      <c r="M244" s="1">
        <v>0.0</v>
      </c>
      <c r="N244" s="1">
        <v>5.949999809</v>
      </c>
      <c r="O244" s="1" t="str">
        <f t="shared" si="1"/>
        <v>No</v>
      </c>
      <c r="P244" s="1" t="str">
        <f t="shared" si="2"/>
        <v>Yes</v>
      </c>
      <c r="Q244" s="1" t="str">
        <f t="shared" si="3"/>
        <v>Yes</v>
      </c>
      <c r="R244" s="1" t="str">
        <f t="shared" si="4"/>
        <v>#DIV/0!</v>
      </c>
    </row>
    <row r="245" ht="15.75" customHeight="1">
      <c r="A245" s="1" t="s">
        <v>160</v>
      </c>
      <c r="B245" s="1" t="s">
        <v>92</v>
      </c>
      <c r="C245" s="5">
        <v>45729.0</v>
      </c>
      <c r="D245" s="1" t="s">
        <v>161</v>
      </c>
      <c r="E245" s="1" t="s">
        <v>11</v>
      </c>
      <c r="F245" s="1" t="s">
        <v>165</v>
      </c>
      <c r="G245" s="1" t="s">
        <v>163</v>
      </c>
      <c r="H245" s="1">
        <v>1.0</v>
      </c>
      <c r="I245" s="1">
        <v>0.0</v>
      </c>
      <c r="J245" s="1">
        <v>0.0</v>
      </c>
      <c r="K245" s="1">
        <v>0.0</v>
      </c>
      <c r="L245" s="1">
        <v>16.0</v>
      </c>
      <c r="M245" s="1">
        <v>0.0</v>
      </c>
      <c r="N245" s="1">
        <v>21.65999985</v>
      </c>
      <c r="O245" s="1" t="str">
        <f t="shared" si="1"/>
        <v>No</v>
      </c>
      <c r="P245" s="1" t="str">
        <f t="shared" si="2"/>
        <v>Yes</v>
      </c>
      <c r="Q245" s="1" t="str">
        <f t="shared" si="3"/>
        <v>Yes</v>
      </c>
      <c r="R245" s="1" t="str">
        <f t="shared" si="4"/>
        <v>#DIV/0!</v>
      </c>
    </row>
    <row r="246" ht="15.75" customHeight="1">
      <c r="A246" s="1" t="s">
        <v>160</v>
      </c>
      <c r="B246" s="1" t="s">
        <v>73</v>
      </c>
      <c r="C246" s="5">
        <v>45729.0</v>
      </c>
      <c r="D246" s="1" t="s">
        <v>161</v>
      </c>
      <c r="E246" s="1" t="s">
        <v>11</v>
      </c>
      <c r="F246" s="1" t="s">
        <v>162</v>
      </c>
      <c r="G246" s="1" t="s">
        <v>163</v>
      </c>
      <c r="H246" s="1">
        <v>1.0</v>
      </c>
      <c r="I246" s="1">
        <v>0.0</v>
      </c>
      <c r="J246" s="1">
        <v>0.0</v>
      </c>
      <c r="K246" s="1">
        <v>0.0</v>
      </c>
      <c r="L246" s="1">
        <v>23.0</v>
      </c>
      <c r="M246" s="1">
        <v>0.0</v>
      </c>
      <c r="N246" s="1">
        <v>6.78000021</v>
      </c>
      <c r="O246" s="1" t="str">
        <f t="shared" si="1"/>
        <v>No</v>
      </c>
      <c r="P246" s="1" t="str">
        <f t="shared" si="2"/>
        <v>Yes</v>
      </c>
      <c r="Q246" s="1" t="str">
        <f t="shared" si="3"/>
        <v>Yes</v>
      </c>
      <c r="R246" s="1" t="str">
        <f t="shared" si="4"/>
        <v>#DIV/0!</v>
      </c>
    </row>
    <row r="247" ht="15.75" customHeight="1">
      <c r="A247" s="1" t="s">
        <v>160</v>
      </c>
      <c r="B247" s="1" t="s">
        <v>90</v>
      </c>
      <c r="C247" s="5">
        <v>45729.0</v>
      </c>
      <c r="D247" s="1" t="s">
        <v>161</v>
      </c>
      <c r="E247" s="1" t="s">
        <v>11</v>
      </c>
      <c r="F247" s="1" t="s">
        <v>165</v>
      </c>
      <c r="H247" s="1">
        <v>0.0</v>
      </c>
      <c r="I247" s="1">
        <v>0.0</v>
      </c>
      <c r="J247" s="1">
        <v>0.0</v>
      </c>
      <c r="K247" s="1">
        <v>0.0</v>
      </c>
      <c r="L247" s="1">
        <v>5.0</v>
      </c>
      <c r="M247" s="1">
        <v>0.0</v>
      </c>
      <c r="N247" s="1">
        <v>0.07</v>
      </c>
      <c r="O247" s="1" t="str">
        <f t="shared" si="1"/>
        <v>No</v>
      </c>
      <c r="P247" s="1" t="str">
        <f t="shared" si="2"/>
        <v>Yes</v>
      </c>
      <c r="Q247" s="1" t="str">
        <f t="shared" si="3"/>
        <v>Yes</v>
      </c>
      <c r="R247" s="1" t="str">
        <f t="shared" si="4"/>
        <v>#DIV/0!</v>
      </c>
    </row>
    <row r="248" ht="15.75" customHeight="1">
      <c r="A248" s="1" t="s">
        <v>160</v>
      </c>
      <c r="B248" s="1" t="s">
        <v>101</v>
      </c>
      <c r="C248" s="5">
        <v>45729.0</v>
      </c>
      <c r="D248" s="1" t="s">
        <v>161</v>
      </c>
      <c r="E248" s="1" t="s">
        <v>11</v>
      </c>
      <c r="F248" s="1" t="s">
        <v>162</v>
      </c>
      <c r="G248" s="1" t="s">
        <v>163</v>
      </c>
      <c r="H248" s="1">
        <v>1.0</v>
      </c>
      <c r="I248" s="1">
        <v>0.0</v>
      </c>
      <c r="J248" s="1">
        <v>0.0</v>
      </c>
      <c r="K248" s="1">
        <v>0.0</v>
      </c>
      <c r="L248" s="1">
        <v>2.0</v>
      </c>
      <c r="M248" s="1">
        <v>0.0</v>
      </c>
      <c r="N248" s="1">
        <v>2.74000001</v>
      </c>
      <c r="O248" s="1" t="str">
        <f t="shared" si="1"/>
        <v>No</v>
      </c>
      <c r="P248" s="1" t="str">
        <f t="shared" si="2"/>
        <v>Yes</v>
      </c>
      <c r="Q248" s="1" t="str">
        <f t="shared" si="3"/>
        <v>Yes</v>
      </c>
      <c r="R248" s="1" t="str">
        <f t="shared" si="4"/>
        <v>#DIV/0!</v>
      </c>
    </row>
    <row r="249" ht="15.75" customHeight="1">
      <c r="A249" s="1" t="s">
        <v>164</v>
      </c>
      <c r="B249" s="1" t="s">
        <v>24</v>
      </c>
      <c r="C249" s="5">
        <v>45729.0</v>
      </c>
      <c r="D249" s="1" t="s">
        <v>161</v>
      </c>
      <c r="E249" s="1" t="s">
        <v>11</v>
      </c>
      <c r="F249" s="1" t="s">
        <v>162</v>
      </c>
      <c r="G249" s="1" t="s">
        <v>163</v>
      </c>
      <c r="H249" s="1">
        <v>1.0</v>
      </c>
      <c r="I249" s="1">
        <v>0.0</v>
      </c>
      <c r="J249" s="1">
        <v>0.0</v>
      </c>
      <c r="K249" s="1">
        <v>0.0</v>
      </c>
      <c r="L249" s="1">
        <v>6.0</v>
      </c>
      <c r="M249" s="1">
        <v>0.0</v>
      </c>
      <c r="N249" s="1">
        <v>7.199999809</v>
      </c>
      <c r="O249" s="1" t="str">
        <f t="shared" si="1"/>
        <v>No</v>
      </c>
      <c r="P249" s="1" t="str">
        <f t="shared" si="2"/>
        <v>Yes</v>
      </c>
      <c r="Q249" s="1" t="str">
        <f t="shared" si="3"/>
        <v>Yes</v>
      </c>
      <c r="R249" s="1" t="str">
        <f t="shared" si="4"/>
        <v>#DIV/0!</v>
      </c>
    </row>
    <row r="250" ht="15.75" customHeight="1">
      <c r="A250" s="1" t="s">
        <v>164</v>
      </c>
      <c r="B250" s="1" t="s">
        <v>24</v>
      </c>
      <c r="C250" s="5">
        <v>45729.0</v>
      </c>
      <c r="D250" s="1" t="s">
        <v>161</v>
      </c>
      <c r="E250" s="1" t="s">
        <v>11</v>
      </c>
      <c r="F250" s="1" t="s">
        <v>166</v>
      </c>
      <c r="G250" s="1" t="s">
        <v>163</v>
      </c>
      <c r="H250" s="1">
        <v>1.0</v>
      </c>
      <c r="I250" s="1">
        <v>0.0</v>
      </c>
      <c r="J250" s="1">
        <v>0.0</v>
      </c>
      <c r="K250" s="1">
        <v>0.0</v>
      </c>
      <c r="L250" s="1">
        <v>0.0</v>
      </c>
      <c r="N250" s="1">
        <v>0.0</v>
      </c>
      <c r="O250" s="1" t="str">
        <f t="shared" si="1"/>
        <v>No</v>
      </c>
      <c r="P250" s="1" t="str">
        <f t="shared" si="2"/>
        <v>No</v>
      </c>
      <c r="Q250" s="1" t="str">
        <f t="shared" si="3"/>
        <v>Yes</v>
      </c>
      <c r="R250" s="1" t="str">
        <f t="shared" si="4"/>
        <v>#DIV/0!</v>
      </c>
    </row>
    <row r="251" ht="15.75" customHeight="1">
      <c r="A251" s="1" t="s">
        <v>164</v>
      </c>
      <c r="B251" s="1" t="s">
        <v>52</v>
      </c>
      <c r="C251" s="5">
        <v>45729.0</v>
      </c>
      <c r="D251" s="1" t="s">
        <v>161</v>
      </c>
      <c r="E251" s="1" t="s">
        <v>11</v>
      </c>
      <c r="F251" s="1" t="s">
        <v>165</v>
      </c>
      <c r="G251" s="1" t="s">
        <v>163</v>
      </c>
      <c r="H251" s="1">
        <v>1.0</v>
      </c>
      <c r="I251" s="1">
        <v>0.0</v>
      </c>
      <c r="J251" s="1">
        <v>0.0</v>
      </c>
      <c r="K251" s="1">
        <v>0.0</v>
      </c>
      <c r="L251" s="1">
        <v>0.0</v>
      </c>
      <c r="N251" s="1">
        <v>0.0</v>
      </c>
      <c r="O251" s="1" t="str">
        <f t="shared" si="1"/>
        <v>No</v>
      </c>
      <c r="P251" s="1" t="str">
        <f t="shared" si="2"/>
        <v>No</v>
      </c>
      <c r="Q251" s="1" t="str">
        <f t="shared" si="3"/>
        <v>Yes</v>
      </c>
      <c r="R251" s="1" t="str">
        <f t="shared" si="4"/>
        <v>#DIV/0!</v>
      </c>
    </row>
    <row r="252" ht="15.75" customHeight="1">
      <c r="A252" s="1" t="s">
        <v>164</v>
      </c>
      <c r="B252" s="1" t="s">
        <v>52</v>
      </c>
      <c r="C252" s="5">
        <v>45729.0</v>
      </c>
      <c r="D252" s="1" t="s">
        <v>161</v>
      </c>
      <c r="E252" s="1" t="s">
        <v>11</v>
      </c>
      <c r="F252" s="1" t="s">
        <v>162</v>
      </c>
      <c r="G252" s="1" t="s">
        <v>163</v>
      </c>
      <c r="H252" s="1">
        <v>1.0</v>
      </c>
      <c r="I252" s="1">
        <v>0.0</v>
      </c>
      <c r="J252" s="1">
        <v>0.0</v>
      </c>
      <c r="K252" s="1">
        <v>4.0</v>
      </c>
      <c r="L252" s="1">
        <v>14.0</v>
      </c>
      <c r="M252" s="1">
        <v>0.285714286</v>
      </c>
      <c r="N252" s="1">
        <v>7.980000019</v>
      </c>
      <c r="O252" s="1" t="str">
        <f t="shared" si="1"/>
        <v>No</v>
      </c>
      <c r="P252" s="1" t="str">
        <f t="shared" si="2"/>
        <v>Yes</v>
      </c>
      <c r="Q252" s="1" t="str">
        <f t="shared" si="3"/>
        <v>Yes</v>
      </c>
      <c r="R252" s="1" t="str">
        <f t="shared" si="4"/>
        <v>#DIV/0!</v>
      </c>
    </row>
    <row r="253" ht="15.75" customHeight="1">
      <c r="A253" s="1" t="s">
        <v>164</v>
      </c>
      <c r="B253" s="1" t="s">
        <v>55</v>
      </c>
      <c r="C253" s="5">
        <v>45729.0</v>
      </c>
      <c r="D253" s="1" t="s">
        <v>161</v>
      </c>
      <c r="E253" s="1" t="s">
        <v>11</v>
      </c>
      <c r="F253" s="1" t="s">
        <v>166</v>
      </c>
      <c r="G253" s="1" t="s">
        <v>163</v>
      </c>
      <c r="H253" s="1">
        <v>1.0</v>
      </c>
      <c r="I253" s="1">
        <v>0.0</v>
      </c>
      <c r="J253" s="1">
        <v>0.0</v>
      </c>
      <c r="K253" s="1">
        <v>0.0</v>
      </c>
      <c r="L253" s="1">
        <v>6.0</v>
      </c>
      <c r="M253" s="1">
        <v>0.0</v>
      </c>
      <c r="N253" s="1">
        <v>2.880000114</v>
      </c>
      <c r="O253" s="1" t="str">
        <f t="shared" si="1"/>
        <v>No</v>
      </c>
      <c r="P253" s="1" t="str">
        <f t="shared" si="2"/>
        <v>Yes</v>
      </c>
      <c r="Q253" s="1" t="str">
        <f t="shared" si="3"/>
        <v>Yes</v>
      </c>
      <c r="R253" s="1" t="str">
        <f t="shared" si="4"/>
        <v>#DIV/0!</v>
      </c>
    </row>
    <row r="254" ht="15.75" customHeight="1">
      <c r="A254" s="1" t="s">
        <v>164</v>
      </c>
      <c r="B254" s="1" t="s">
        <v>62</v>
      </c>
      <c r="C254" s="5">
        <v>45729.0</v>
      </c>
      <c r="D254" s="1" t="s">
        <v>161</v>
      </c>
      <c r="E254" s="1" t="s">
        <v>11</v>
      </c>
      <c r="F254" s="1" t="s">
        <v>165</v>
      </c>
      <c r="G254" s="1" t="s">
        <v>163</v>
      </c>
      <c r="H254" s="1">
        <v>1.0</v>
      </c>
      <c r="I254" s="1">
        <v>4.0</v>
      </c>
      <c r="J254" s="1">
        <v>0.0</v>
      </c>
      <c r="K254" s="1">
        <v>68.0</v>
      </c>
      <c r="L254" s="1">
        <v>92.0</v>
      </c>
      <c r="M254" s="1">
        <v>0.739130435</v>
      </c>
      <c r="N254" s="1">
        <v>19.25</v>
      </c>
      <c r="O254" s="1" t="str">
        <f t="shared" si="1"/>
        <v>Yes</v>
      </c>
      <c r="P254" s="1" t="str">
        <f t="shared" si="2"/>
        <v>Yes</v>
      </c>
      <c r="Q254" s="1" t="str">
        <f t="shared" si="3"/>
        <v>Yes</v>
      </c>
      <c r="R254" s="1">
        <f t="shared" si="4"/>
        <v>4.8125</v>
      </c>
    </row>
    <row r="255" ht="15.75" customHeight="1">
      <c r="A255" s="1" t="s">
        <v>164</v>
      </c>
      <c r="B255" s="1" t="s">
        <v>64</v>
      </c>
      <c r="C255" s="5">
        <v>45729.0</v>
      </c>
      <c r="D255" s="1" t="s">
        <v>161</v>
      </c>
      <c r="E255" s="1" t="s">
        <v>11</v>
      </c>
      <c r="F255" s="1" t="s">
        <v>166</v>
      </c>
      <c r="G255" s="1" t="s">
        <v>163</v>
      </c>
      <c r="H255" s="1">
        <v>1.0</v>
      </c>
      <c r="I255" s="1">
        <v>0.0</v>
      </c>
      <c r="J255" s="1">
        <v>0.0</v>
      </c>
      <c r="K255" s="1">
        <v>0.0</v>
      </c>
      <c r="L255" s="1">
        <v>4.0</v>
      </c>
      <c r="M255" s="1">
        <v>0.0</v>
      </c>
      <c r="N255" s="1">
        <v>8.350000381</v>
      </c>
      <c r="O255" s="1" t="str">
        <f t="shared" si="1"/>
        <v>No</v>
      </c>
      <c r="P255" s="1" t="str">
        <f t="shared" si="2"/>
        <v>Yes</v>
      </c>
      <c r="Q255" s="1" t="str">
        <f t="shared" si="3"/>
        <v>Yes</v>
      </c>
      <c r="R255" s="1" t="str">
        <f t="shared" si="4"/>
        <v>#DIV/0!</v>
      </c>
    </row>
    <row r="256" ht="15.75" customHeight="1">
      <c r="A256" s="1" t="s">
        <v>164</v>
      </c>
      <c r="B256" s="1" t="s">
        <v>76</v>
      </c>
      <c r="C256" s="5">
        <v>45729.0</v>
      </c>
      <c r="D256" s="1" t="s">
        <v>161</v>
      </c>
      <c r="E256" s="1" t="s">
        <v>11</v>
      </c>
      <c r="F256" s="1" t="s">
        <v>162</v>
      </c>
      <c r="H256" s="1">
        <v>0.0</v>
      </c>
      <c r="I256" s="1">
        <v>0.0</v>
      </c>
      <c r="J256" s="1">
        <v>0.0</v>
      </c>
      <c r="K256" s="1">
        <v>0.0</v>
      </c>
      <c r="L256" s="1">
        <v>10.0</v>
      </c>
      <c r="M256" s="1">
        <v>0.0</v>
      </c>
      <c r="N256" s="1">
        <v>0.600000024</v>
      </c>
      <c r="O256" s="1" t="str">
        <f t="shared" si="1"/>
        <v>No</v>
      </c>
      <c r="P256" s="1" t="str">
        <f t="shared" si="2"/>
        <v>Yes</v>
      </c>
      <c r="Q256" s="1" t="str">
        <f t="shared" si="3"/>
        <v>Yes</v>
      </c>
      <c r="R256" s="1" t="str">
        <f t="shared" si="4"/>
        <v>#DIV/0!</v>
      </c>
    </row>
    <row r="257" ht="15.75" customHeight="1">
      <c r="A257" s="1" t="s">
        <v>164</v>
      </c>
      <c r="B257" s="1" t="s">
        <v>81</v>
      </c>
      <c r="C257" s="5">
        <v>45729.0</v>
      </c>
      <c r="D257" s="1" t="s">
        <v>161</v>
      </c>
      <c r="E257" s="1" t="s">
        <v>11</v>
      </c>
      <c r="F257" s="1" t="s">
        <v>162</v>
      </c>
      <c r="G257" s="1" t="s">
        <v>163</v>
      </c>
      <c r="H257" s="1">
        <v>1.0</v>
      </c>
      <c r="I257" s="1">
        <v>1.0</v>
      </c>
      <c r="J257" s="1">
        <v>0.0</v>
      </c>
      <c r="K257" s="1">
        <v>10.0</v>
      </c>
      <c r="L257" s="1">
        <v>12.0</v>
      </c>
      <c r="M257" s="1">
        <v>0.833333333</v>
      </c>
      <c r="N257" s="1">
        <v>0.0</v>
      </c>
      <c r="O257" s="1" t="str">
        <f t="shared" si="1"/>
        <v>Yes</v>
      </c>
      <c r="P257" s="1" t="str">
        <f t="shared" si="2"/>
        <v>No</v>
      </c>
      <c r="Q257" s="1" t="str">
        <f t="shared" si="3"/>
        <v>Yes</v>
      </c>
      <c r="R257" s="1">
        <f t="shared" si="4"/>
        <v>0</v>
      </c>
    </row>
    <row r="258" ht="15.75" customHeight="1">
      <c r="A258" s="1" t="s">
        <v>164</v>
      </c>
      <c r="B258" s="1" t="s">
        <v>81</v>
      </c>
      <c r="C258" s="5">
        <v>45729.0</v>
      </c>
      <c r="D258" s="1" t="s">
        <v>161</v>
      </c>
      <c r="E258" s="1" t="s">
        <v>11</v>
      </c>
      <c r="F258" s="1" t="s">
        <v>166</v>
      </c>
      <c r="G258" s="1" t="s">
        <v>163</v>
      </c>
      <c r="H258" s="1">
        <v>1.0</v>
      </c>
      <c r="I258" s="1">
        <v>0.0</v>
      </c>
      <c r="J258" s="1">
        <v>0.0</v>
      </c>
      <c r="K258" s="1">
        <v>2.0</v>
      </c>
      <c r="L258" s="1">
        <v>14.0</v>
      </c>
      <c r="M258" s="1">
        <v>0.142857143</v>
      </c>
      <c r="N258" s="1">
        <v>12.03999996</v>
      </c>
      <c r="O258" s="1" t="str">
        <f t="shared" si="1"/>
        <v>No</v>
      </c>
      <c r="P258" s="1" t="str">
        <f t="shared" si="2"/>
        <v>Yes</v>
      </c>
      <c r="Q258" s="1" t="str">
        <f t="shared" si="3"/>
        <v>Yes</v>
      </c>
      <c r="R258" s="1" t="str">
        <f t="shared" si="4"/>
        <v>#DIV/0!</v>
      </c>
    </row>
    <row r="259" ht="15.75" customHeight="1">
      <c r="A259" s="1" t="s">
        <v>164</v>
      </c>
      <c r="B259" s="1" t="s">
        <v>82</v>
      </c>
      <c r="C259" s="5">
        <v>45729.0</v>
      </c>
      <c r="D259" s="1" t="s">
        <v>161</v>
      </c>
      <c r="E259" s="1" t="s">
        <v>11</v>
      </c>
      <c r="H259" s="1">
        <v>0.0</v>
      </c>
      <c r="J259" s="1">
        <v>0.0</v>
      </c>
      <c r="N259" s="1">
        <v>5.860000134</v>
      </c>
      <c r="O259" s="1" t="str">
        <f t="shared" si="1"/>
        <v>No</v>
      </c>
      <c r="P259" s="1" t="str">
        <f t="shared" si="2"/>
        <v>Yes</v>
      </c>
      <c r="Q259" s="1" t="str">
        <f t="shared" si="3"/>
        <v>Yes</v>
      </c>
      <c r="R259" s="1" t="str">
        <f t="shared" si="4"/>
        <v>#DIV/0!</v>
      </c>
    </row>
    <row r="260" ht="15.75" customHeight="1">
      <c r="A260" s="1" t="s">
        <v>160</v>
      </c>
      <c r="B260" s="1" t="s">
        <v>39</v>
      </c>
      <c r="C260" s="5">
        <v>45728.0</v>
      </c>
      <c r="D260" s="1" t="s">
        <v>161</v>
      </c>
      <c r="E260" s="1" t="s">
        <v>11</v>
      </c>
      <c r="F260" s="1" t="s">
        <v>162</v>
      </c>
      <c r="H260" s="1">
        <v>0.0</v>
      </c>
      <c r="I260" s="1">
        <v>0.0</v>
      </c>
      <c r="J260" s="1">
        <v>0.0</v>
      </c>
      <c r="K260" s="1">
        <v>6.0</v>
      </c>
      <c r="L260" s="1">
        <v>8.0</v>
      </c>
      <c r="M260" s="1">
        <v>0.75</v>
      </c>
      <c r="N260" s="1">
        <v>10.22000027</v>
      </c>
      <c r="O260" s="1" t="str">
        <f t="shared" si="1"/>
        <v>No</v>
      </c>
      <c r="P260" s="1" t="str">
        <f t="shared" si="2"/>
        <v>Yes</v>
      </c>
      <c r="Q260" s="1" t="str">
        <f t="shared" si="3"/>
        <v>Yes</v>
      </c>
      <c r="R260" s="1" t="str">
        <f t="shared" si="4"/>
        <v>#DIV/0!</v>
      </c>
    </row>
    <row r="261" ht="15.75" customHeight="1">
      <c r="A261" s="1" t="s">
        <v>160</v>
      </c>
      <c r="B261" s="1" t="s">
        <v>39</v>
      </c>
      <c r="C261" s="5">
        <v>45728.0</v>
      </c>
      <c r="D261" s="1" t="s">
        <v>161</v>
      </c>
      <c r="E261" s="1" t="s">
        <v>11</v>
      </c>
      <c r="F261" s="1" t="s">
        <v>166</v>
      </c>
      <c r="H261" s="1">
        <v>0.0</v>
      </c>
      <c r="I261" s="1">
        <v>0.0</v>
      </c>
      <c r="J261" s="1">
        <v>0.0</v>
      </c>
      <c r="K261" s="1">
        <v>0.0</v>
      </c>
      <c r="L261" s="1">
        <v>0.0</v>
      </c>
      <c r="N261" s="1">
        <v>0.0</v>
      </c>
      <c r="O261" s="1" t="str">
        <f t="shared" si="1"/>
        <v>No</v>
      </c>
      <c r="P261" s="1" t="str">
        <f t="shared" si="2"/>
        <v>No</v>
      </c>
      <c r="Q261" s="1" t="str">
        <f t="shared" si="3"/>
        <v>Yes</v>
      </c>
      <c r="R261" s="1" t="str">
        <f t="shared" si="4"/>
        <v>#DIV/0!</v>
      </c>
    </row>
    <row r="262" ht="15.75" customHeight="1">
      <c r="A262" s="1" t="s">
        <v>160</v>
      </c>
      <c r="B262" s="1" t="s">
        <v>65</v>
      </c>
      <c r="C262" s="5">
        <v>45728.0</v>
      </c>
      <c r="D262" s="1" t="s">
        <v>161</v>
      </c>
      <c r="E262" s="1" t="s">
        <v>11</v>
      </c>
      <c r="F262" s="1" t="s">
        <v>162</v>
      </c>
      <c r="G262" s="1" t="s">
        <v>163</v>
      </c>
      <c r="H262" s="1">
        <v>1.0</v>
      </c>
      <c r="I262" s="1">
        <v>0.0</v>
      </c>
      <c r="J262" s="1">
        <v>0.0</v>
      </c>
      <c r="K262" s="1">
        <v>18.0</v>
      </c>
      <c r="L262" s="1">
        <v>26.0</v>
      </c>
      <c r="M262" s="1">
        <v>0.692307692</v>
      </c>
      <c r="N262" s="1">
        <v>10.53999996</v>
      </c>
      <c r="O262" s="1" t="str">
        <f t="shared" si="1"/>
        <v>No</v>
      </c>
      <c r="P262" s="1" t="str">
        <f t="shared" si="2"/>
        <v>Yes</v>
      </c>
      <c r="Q262" s="1" t="str">
        <f t="shared" si="3"/>
        <v>Yes</v>
      </c>
      <c r="R262" s="1" t="str">
        <f t="shared" si="4"/>
        <v>#DIV/0!</v>
      </c>
    </row>
    <row r="263" ht="15.75" customHeight="1">
      <c r="A263" s="1" t="s">
        <v>160</v>
      </c>
      <c r="B263" s="1" t="s">
        <v>73</v>
      </c>
      <c r="C263" s="5">
        <v>45728.0</v>
      </c>
      <c r="D263" s="1" t="s">
        <v>161</v>
      </c>
      <c r="E263" s="1" t="s">
        <v>11</v>
      </c>
      <c r="F263" s="1" t="s">
        <v>162</v>
      </c>
      <c r="G263" s="1" t="s">
        <v>163</v>
      </c>
      <c r="H263" s="1">
        <v>1.0</v>
      </c>
      <c r="I263" s="1">
        <v>0.0</v>
      </c>
      <c r="J263" s="1">
        <v>0.0</v>
      </c>
      <c r="K263" s="1">
        <v>4.0</v>
      </c>
      <c r="L263" s="1">
        <v>22.0</v>
      </c>
      <c r="M263" s="1">
        <v>0.181818182</v>
      </c>
      <c r="N263" s="1">
        <v>21.90999985</v>
      </c>
      <c r="O263" s="1" t="str">
        <f t="shared" si="1"/>
        <v>No</v>
      </c>
      <c r="P263" s="1" t="str">
        <f t="shared" si="2"/>
        <v>Yes</v>
      </c>
      <c r="Q263" s="1" t="str">
        <f t="shared" si="3"/>
        <v>Yes</v>
      </c>
      <c r="R263" s="1" t="str">
        <f t="shared" si="4"/>
        <v>#DIV/0!</v>
      </c>
    </row>
    <row r="264" ht="15.75" customHeight="1">
      <c r="A264" s="1" t="s">
        <v>160</v>
      </c>
      <c r="B264" s="1" t="s">
        <v>77</v>
      </c>
      <c r="C264" s="5">
        <v>45728.0</v>
      </c>
      <c r="D264" s="1" t="s">
        <v>161</v>
      </c>
      <c r="E264" s="1" t="s">
        <v>11</v>
      </c>
      <c r="F264" s="1" t="s">
        <v>162</v>
      </c>
      <c r="H264" s="1">
        <v>0.0</v>
      </c>
      <c r="I264" s="1">
        <v>0.0</v>
      </c>
      <c r="J264" s="1">
        <v>0.0</v>
      </c>
      <c r="K264" s="1">
        <v>0.0</v>
      </c>
      <c r="L264" s="1">
        <v>2.0</v>
      </c>
      <c r="M264" s="1">
        <v>0.0</v>
      </c>
      <c r="N264" s="1">
        <v>5.170000076</v>
      </c>
      <c r="O264" s="1" t="str">
        <f t="shared" si="1"/>
        <v>No</v>
      </c>
      <c r="P264" s="1" t="str">
        <f t="shared" si="2"/>
        <v>Yes</v>
      </c>
      <c r="Q264" s="1" t="str">
        <f t="shared" si="3"/>
        <v>Yes</v>
      </c>
      <c r="R264" s="1" t="str">
        <f t="shared" si="4"/>
        <v>#DIV/0!</v>
      </c>
    </row>
    <row r="265" ht="15.75" customHeight="1">
      <c r="A265" s="1" t="s">
        <v>160</v>
      </c>
      <c r="B265" s="1" t="s">
        <v>90</v>
      </c>
      <c r="C265" s="5">
        <v>45728.0</v>
      </c>
      <c r="D265" s="1" t="s">
        <v>161</v>
      </c>
      <c r="E265" s="1" t="s">
        <v>11</v>
      </c>
      <c r="F265" s="1" t="s">
        <v>165</v>
      </c>
      <c r="G265" s="1" t="s">
        <v>163</v>
      </c>
      <c r="H265" s="1">
        <v>1.0</v>
      </c>
      <c r="I265" s="1">
        <v>1.0</v>
      </c>
      <c r="J265" s="1">
        <v>0.0</v>
      </c>
      <c r="K265" s="1">
        <v>12.0</v>
      </c>
      <c r="L265" s="1">
        <v>16.0</v>
      </c>
      <c r="M265" s="1">
        <v>0.75</v>
      </c>
      <c r="N265" s="1">
        <v>10.42000008</v>
      </c>
      <c r="O265" s="1" t="str">
        <f t="shared" si="1"/>
        <v>Yes</v>
      </c>
      <c r="P265" s="1" t="str">
        <f t="shared" si="2"/>
        <v>Yes</v>
      </c>
      <c r="Q265" s="1" t="str">
        <f t="shared" si="3"/>
        <v>Yes</v>
      </c>
      <c r="R265" s="1">
        <f t="shared" si="4"/>
        <v>10.42000008</v>
      </c>
    </row>
    <row r="266" ht="15.75" customHeight="1">
      <c r="A266" s="1" t="s">
        <v>160</v>
      </c>
      <c r="B266" s="1" t="s">
        <v>101</v>
      </c>
      <c r="C266" s="5">
        <v>45728.0</v>
      </c>
      <c r="D266" s="1" t="s">
        <v>161</v>
      </c>
      <c r="E266" s="1" t="s">
        <v>11</v>
      </c>
      <c r="F266" s="1" t="s">
        <v>165</v>
      </c>
      <c r="G266" s="1" t="s">
        <v>163</v>
      </c>
      <c r="H266" s="1">
        <v>1.0</v>
      </c>
      <c r="I266" s="1">
        <v>1.0</v>
      </c>
      <c r="J266" s="1">
        <v>0.0</v>
      </c>
      <c r="K266" s="1">
        <v>32.0</v>
      </c>
      <c r="L266" s="1">
        <v>36.0</v>
      </c>
      <c r="M266" s="1">
        <v>0.888888889</v>
      </c>
      <c r="N266" s="1">
        <v>22.56999969</v>
      </c>
      <c r="O266" s="1" t="str">
        <f t="shared" si="1"/>
        <v>Yes</v>
      </c>
      <c r="P266" s="1" t="str">
        <f t="shared" si="2"/>
        <v>Yes</v>
      </c>
      <c r="Q266" s="1" t="str">
        <f t="shared" si="3"/>
        <v>Yes</v>
      </c>
      <c r="R266" s="1">
        <f t="shared" si="4"/>
        <v>22.56999969</v>
      </c>
    </row>
    <row r="267" ht="15.75" customHeight="1">
      <c r="A267" s="1" t="s">
        <v>160</v>
      </c>
      <c r="B267" s="1" t="s">
        <v>101</v>
      </c>
      <c r="C267" s="5">
        <v>45728.0</v>
      </c>
      <c r="D267" s="1" t="s">
        <v>161</v>
      </c>
      <c r="E267" s="1" t="s">
        <v>11</v>
      </c>
      <c r="F267" s="1" t="s">
        <v>162</v>
      </c>
      <c r="G267" s="1" t="s">
        <v>163</v>
      </c>
      <c r="H267" s="1">
        <v>1.0</v>
      </c>
      <c r="I267" s="1">
        <v>0.0</v>
      </c>
      <c r="J267" s="1">
        <v>0.0</v>
      </c>
      <c r="K267" s="1">
        <v>2.0</v>
      </c>
      <c r="L267" s="1">
        <v>12.0</v>
      </c>
      <c r="M267" s="1">
        <v>0.166666667</v>
      </c>
      <c r="N267" s="1">
        <v>0.0</v>
      </c>
      <c r="O267" s="1" t="str">
        <f t="shared" si="1"/>
        <v>No</v>
      </c>
      <c r="P267" s="1" t="str">
        <f t="shared" si="2"/>
        <v>No</v>
      </c>
      <c r="Q267" s="1" t="str">
        <f t="shared" si="3"/>
        <v>Yes</v>
      </c>
      <c r="R267" s="1" t="str">
        <f t="shared" si="4"/>
        <v>#DIV/0!</v>
      </c>
    </row>
    <row r="268" ht="15.75" customHeight="1">
      <c r="A268" s="1" t="s">
        <v>164</v>
      </c>
      <c r="B268" s="1" t="s">
        <v>62</v>
      </c>
      <c r="C268" s="5">
        <v>45728.0</v>
      </c>
      <c r="D268" s="1" t="s">
        <v>161</v>
      </c>
      <c r="E268" s="1" t="s">
        <v>11</v>
      </c>
      <c r="F268" s="1" t="s">
        <v>165</v>
      </c>
      <c r="G268" s="1" t="s">
        <v>163</v>
      </c>
      <c r="H268" s="1">
        <v>1.0</v>
      </c>
      <c r="I268" s="1">
        <v>1.0</v>
      </c>
      <c r="J268" s="1">
        <v>0.0</v>
      </c>
      <c r="K268" s="1">
        <v>28.0</v>
      </c>
      <c r="L268" s="1">
        <v>36.0</v>
      </c>
      <c r="M268" s="1">
        <v>0.777777778</v>
      </c>
      <c r="N268" s="1">
        <v>7.860000134</v>
      </c>
      <c r="O268" s="1" t="str">
        <f t="shared" si="1"/>
        <v>Yes</v>
      </c>
      <c r="P268" s="1" t="str">
        <f t="shared" si="2"/>
        <v>Yes</v>
      </c>
      <c r="Q268" s="1" t="str">
        <f t="shared" si="3"/>
        <v>Yes</v>
      </c>
      <c r="R268" s="1">
        <f t="shared" si="4"/>
        <v>7.860000134</v>
      </c>
    </row>
    <row r="269" ht="15.75" customHeight="1">
      <c r="A269" s="1" t="s">
        <v>164</v>
      </c>
      <c r="B269" s="1" t="s">
        <v>64</v>
      </c>
      <c r="C269" s="5">
        <v>45728.0</v>
      </c>
      <c r="D269" s="1" t="s">
        <v>161</v>
      </c>
      <c r="E269" s="1" t="s">
        <v>11</v>
      </c>
      <c r="F269" s="1" t="s">
        <v>166</v>
      </c>
      <c r="G269" s="1" t="s">
        <v>163</v>
      </c>
      <c r="H269" s="1">
        <v>1.0</v>
      </c>
      <c r="I269" s="1">
        <v>0.0</v>
      </c>
      <c r="J269" s="1">
        <v>0.0</v>
      </c>
      <c r="K269" s="1">
        <v>2.0</v>
      </c>
      <c r="L269" s="1">
        <v>4.0</v>
      </c>
      <c r="M269" s="1">
        <v>0.5</v>
      </c>
      <c r="N269" s="1">
        <v>10.17000008</v>
      </c>
      <c r="O269" s="1" t="str">
        <f t="shared" si="1"/>
        <v>No</v>
      </c>
      <c r="P269" s="1" t="str">
        <f t="shared" si="2"/>
        <v>Yes</v>
      </c>
      <c r="Q269" s="1" t="str">
        <f t="shared" si="3"/>
        <v>Yes</v>
      </c>
      <c r="R269" s="1" t="str">
        <f t="shared" si="4"/>
        <v>#DIV/0!</v>
      </c>
    </row>
    <row r="270" ht="15.75" customHeight="1">
      <c r="A270" s="1" t="s">
        <v>164</v>
      </c>
      <c r="B270" s="1" t="s">
        <v>78</v>
      </c>
      <c r="C270" s="5">
        <v>45728.0</v>
      </c>
      <c r="D270" s="1" t="s">
        <v>161</v>
      </c>
      <c r="E270" s="1" t="s">
        <v>11</v>
      </c>
      <c r="F270" s="1" t="s">
        <v>165</v>
      </c>
      <c r="H270" s="1">
        <v>0.0</v>
      </c>
      <c r="I270" s="1">
        <v>0.0</v>
      </c>
      <c r="J270" s="1">
        <v>0.0</v>
      </c>
      <c r="K270" s="1">
        <v>0.0</v>
      </c>
      <c r="L270" s="1">
        <v>0.0</v>
      </c>
      <c r="N270" s="1">
        <v>1.100000024</v>
      </c>
      <c r="O270" s="1" t="str">
        <f t="shared" si="1"/>
        <v>No</v>
      </c>
      <c r="P270" s="1" t="str">
        <f t="shared" si="2"/>
        <v>Yes</v>
      </c>
      <c r="Q270" s="1" t="str">
        <f t="shared" si="3"/>
        <v>Yes</v>
      </c>
      <c r="R270" s="1" t="str">
        <f t="shared" si="4"/>
        <v>#DIV/0!</v>
      </c>
    </row>
    <row r="271" ht="15.75" customHeight="1">
      <c r="A271" s="1" t="s">
        <v>164</v>
      </c>
      <c r="B271" s="1" t="s">
        <v>60</v>
      </c>
      <c r="C271" s="5">
        <v>45728.0</v>
      </c>
      <c r="D271" s="1" t="s">
        <v>161</v>
      </c>
      <c r="E271" s="1" t="s">
        <v>11</v>
      </c>
      <c r="F271" s="1" t="s">
        <v>162</v>
      </c>
      <c r="G271" s="1" t="s">
        <v>163</v>
      </c>
      <c r="H271" s="1">
        <v>1.0</v>
      </c>
      <c r="I271" s="1">
        <v>0.0</v>
      </c>
      <c r="J271" s="1">
        <v>0.0</v>
      </c>
      <c r="K271" s="1">
        <v>4.0</v>
      </c>
      <c r="L271" s="1">
        <v>6.0</v>
      </c>
      <c r="M271" s="1">
        <v>0.666666667</v>
      </c>
      <c r="N271" s="1">
        <v>11.85000038</v>
      </c>
      <c r="O271" s="1" t="str">
        <f t="shared" si="1"/>
        <v>No</v>
      </c>
      <c r="P271" s="1" t="str">
        <f t="shared" si="2"/>
        <v>Yes</v>
      </c>
      <c r="Q271" s="1" t="str">
        <f t="shared" si="3"/>
        <v>Yes</v>
      </c>
      <c r="R271" s="1" t="str">
        <f t="shared" si="4"/>
        <v>#DIV/0!</v>
      </c>
    </row>
    <row r="272" ht="15.75" customHeight="1">
      <c r="A272" s="1" t="s">
        <v>164</v>
      </c>
      <c r="B272" s="1" t="s">
        <v>60</v>
      </c>
      <c r="C272" s="5">
        <v>45728.0</v>
      </c>
      <c r="D272" s="1" t="s">
        <v>161</v>
      </c>
      <c r="E272" s="1" t="s">
        <v>11</v>
      </c>
      <c r="F272" s="1" t="s">
        <v>166</v>
      </c>
      <c r="G272" s="1" t="s">
        <v>163</v>
      </c>
      <c r="H272" s="1">
        <v>1.0</v>
      </c>
      <c r="I272" s="1">
        <v>0.0</v>
      </c>
      <c r="J272" s="1">
        <v>0.0</v>
      </c>
      <c r="K272" s="1">
        <v>0.0</v>
      </c>
      <c r="L272" s="1">
        <v>0.0</v>
      </c>
      <c r="N272" s="1">
        <v>0.0</v>
      </c>
      <c r="O272" s="1" t="str">
        <f t="shared" si="1"/>
        <v>No</v>
      </c>
      <c r="P272" s="1" t="str">
        <f t="shared" si="2"/>
        <v>No</v>
      </c>
      <c r="Q272" s="1" t="str">
        <f t="shared" si="3"/>
        <v>Yes</v>
      </c>
      <c r="R272" s="1" t="str">
        <f t="shared" si="4"/>
        <v>#DIV/0!</v>
      </c>
    </row>
    <row r="273" ht="15.75" customHeight="1">
      <c r="A273" s="1" t="s">
        <v>164</v>
      </c>
      <c r="B273" s="1" t="s">
        <v>68</v>
      </c>
      <c r="C273" s="5">
        <v>45728.0</v>
      </c>
      <c r="D273" s="1" t="s">
        <v>161</v>
      </c>
      <c r="E273" s="1" t="s">
        <v>11</v>
      </c>
      <c r="F273" s="1" t="s">
        <v>165</v>
      </c>
      <c r="H273" s="1">
        <v>0.0</v>
      </c>
      <c r="I273" s="1">
        <v>0.0</v>
      </c>
      <c r="J273" s="1">
        <v>0.0</v>
      </c>
      <c r="K273" s="1">
        <v>0.0</v>
      </c>
      <c r="L273" s="1">
        <v>4.0</v>
      </c>
      <c r="M273" s="1">
        <v>0.0</v>
      </c>
      <c r="N273" s="1">
        <v>5.760000229</v>
      </c>
      <c r="O273" s="1" t="str">
        <f t="shared" si="1"/>
        <v>No</v>
      </c>
      <c r="P273" s="1" t="str">
        <f t="shared" si="2"/>
        <v>Yes</v>
      </c>
      <c r="Q273" s="1" t="str">
        <f t="shared" si="3"/>
        <v>Yes</v>
      </c>
      <c r="R273" s="1" t="str">
        <f t="shared" si="4"/>
        <v>#DIV/0!</v>
      </c>
    </row>
    <row r="274" ht="15.75" customHeight="1">
      <c r="A274" s="1" t="s">
        <v>164</v>
      </c>
      <c r="B274" s="1" t="s">
        <v>74</v>
      </c>
      <c r="C274" s="5">
        <v>45728.0</v>
      </c>
      <c r="D274" s="1" t="s">
        <v>161</v>
      </c>
      <c r="E274" s="1" t="s">
        <v>11</v>
      </c>
      <c r="H274" s="1">
        <v>0.0</v>
      </c>
      <c r="J274" s="1">
        <v>0.0</v>
      </c>
      <c r="N274" s="1">
        <v>0.870000005</v>
      </c>
      <c r="O274" s="1" t="str">
        <f t="shared" si="1"/>
        <v>No</v>
      </c>
      <c r="P274" s="1" t="str">
        <f t="shared" si="2"/>
        <v>Yes</v>
      </c>
      <c r="Q274" s="1" t="str">
        <f t="shared" si="3"/>
        <v>Yes</v>
      </c>
      <c r="R274" s="1" t="str">
        <f t="shared" si="4"/>
        <v>#DIV/0!</v>
      </c>
    </row>
    <row r="275" ht="15.75" customHeight="1">
      <c r="A275" s="1" t="s">
        <v>164</v>
      </c>
      <c r="B275" s="1" t="s">
        <v>82</v>
      </c>
      <c r="C275" s="5">
        <v>45728.0</v>
      </c>
      <c r="D275" s="1" t="s">
        <v>161</v>
      </c>
      <c r="E275" s="1" t="s">
        <v>11</v>
      </c>
      <c r="F275" s="1" t="s">
        <v>176</v>
      </c>
      <c r="H275" s="1">
        <v>0.0</v>
      </c>
      <c r="I275" s="1">
        <v>0.0</v>
      </c>
      <c r="J275" s="1">
        <v>0.0</v>
      </c>
      <c r="K275" s="1">
        <v>0.0</v>
      </c>
      <c r="L275" s="1">
        <v>0.0</v>
      </c>
      <c r="N275" s="1">
        <v>0.0</v>
      </c>
      <c r="O275" s="1" t="str">
        <f t="shared" si="1"/>
        <v>No</v>
      </c>
      <c r="P275" s="1" t="str">
        <f t="shared" si="2"/>
        <v>No</v>
      </c>
      <c r="Q275" s="1" t="str">
        <f t="shared" si="3"/>
        <v>Yes</v>
      </c>
      <c r="R275" s="1" t="str">
        <f t="shared" si="4"/>
        <v>#DIV/0!</v>
      </c>
    </row>
    <row r="276" ht="15.75" customHeight="1">
      <c r="A276" s="1" t="s">
        <v>164</v>
      </c>
      <c r="B276" s="1" t="s">
        <v>82</v>
      </c>
      <c r="C276" s="5">
        <v>45728.0</v>
      </c>
      <c r="D276" s="1" t="s">
        <v>161</v>
      </c>
      <c r="E276" s="1" t="s">
        <v>11</v>
      </c>
      <c r="F276" s="1" t="s">
        <v>165</v>
      </c>
      <c r="H276" s="1">
        <v>0.0</v>
      </c>
      <c r="I276" s="1">
        <v>0.0</v>
      </c>
      <c r="J276" s="1">
        <v>0.0</v>
      </c>
      <c r="K276" s="1">
        <v>0.0</v>
      </c>
      <c r="L276" s="1">
        <v>0.0</v>
      </c>
      <c r="N276" s="1">
        <v>0.0</v>
      </c>
      <c r="O276" s="1" t="str">
        <f t="shared" si="1"/>
        <v>No</v>
      </c>
      <c r="P276" s="1" t="str">
        <f t="shared" si="2"/>
        <v>No</v>
      </c>
      <c r="Q276" s="1" t="str">
        <f t="shared" si="3"/>
        <v>Yes</v>
      </c>
      <c r="R276" s="1" t="str">
        <f t="shared" si="4"/>
        <v>#DIV/0!</v>
      </c>
    </row>
    <row r="277" ht="15.75" customHeight="1">
      <c r="A277" s="1" t="s">
        <v>164</v>
      </c>
      <c r="B277" s="1" t="s">
        <v>82</v>
      </c>
      <c r="C277" s="5">
        <v>45728.0</v>
      </c>
      <c r="D277" s="1" t="s">
        <v>161</v>
      </c>
      <c r="E277" s="1" t="s">
        <v>11</v>
      </c>
      <c r="F277" s="1" t="s">
        <v>166</v>
      </c>
      <c r="H277" s="1">
        <v>0.0</v>
      </c>
      <c r="I277" s="1">
        <v>0.0</v>
      </c>
      <c r="J277" s="1">
        <v>0.0</v>
      </c>
      <c r="K277" s="1">
        <v>2.0</v>
      </c>
      <c r="L277" s="1">
        <v>3.0</v>
      </c>
      <c r="M277" s="1">
        <v>0.666666667</v>
      </c>
      <c r="N277" s="1">
        <v>11.31000042</v>
      </c>
      <c r="O277" s="1" t="str">
        <f t="shared" si="1"/>
        <v>No</v>
      </c>
      <c r="P277" s="1" t="str">
        <f t="shared" si="2"/>
        <v>Yes</v>
      </c>
      <c r="Q277" s="1" t="str">
        <f t="shared" si="3"/>
        <v>Yes</v>
      </c>
      <c r="R277" s="1" t="str">
        <f t="shared" si="4"/>
        <v>#DIV/0!</v>
      </c>
    </row>
    <row r="278" ht="15.75" customHeight="1">
      <c r="A278" s="1" t="s">
        <v>180</v>
      </c>
      <c r="B278" s="1" t="s">
        <v>67</v>
      </c>
      <c r="C278" s="5">
        <v>45728.0</v>
      </c>
      <c r="D278" s="1" t="s">
        <v>161</v>
      </c>
      <c r="E278" s="1" t="s">
        <v>11</v>
      </c>
      <c r="F278" s="1" t="s">
        <v>165</v>
      </c>
      <c r="H278" s="1">
        <v>0.0</v>
      </c>
      <c r="I278" s="1">
        <v>0.0</v>
      </c>
      <c r="J278" s="1">
        <v>0.0</v>
      </c>
      <c r="K278" s="1">
        <v>0.0</v>
      </c>
      <c r="L278" s="1">
        <v>0.0</v>
      </c>
      <c r="N278" s="1">
        <v>0.100000001</v>
      </c>
      <c r="O278" s="1" t="str">
        <f t="shared" si="1"/>
        <v>No</v>
      </c>
      <c r="P278" s="1" t="str">
        <f t="shared" si="2"/>
        <v>Yes</v>
      </c>
      <c r="Q278" s="1" t="str">
        <f t="shared" si="3"/>
        <v>Yes</v>
      </c>
      <c r="R278" s="1" t="str">
        <f t="shared" si="4"/>
        <v>#DIV/0!</v>
      </c>
    </row>
    <row r="279" ht="15.75" customHeight="1">
      <c r="A279" s="1" t="s">
        <v>160</v>
      </c>
      <c r="B279" s="1" t="s">
        <v>38</v>
      </c>
      <c r="C279" s="5">
        <v>45727.0</v>
      </c>
      <c r="D279" s="1" t="s">
        <v>161</v>
      </c>
      <c r="E279" s="1" t="s">
        <v>11</v>
      </c>
      <c r="F279" s="1" t="s">
        <v>165</v>
      </c>
      <c r="H279" s="1">
        <v>0.0</v>
      </c>
      <c r="I279" s="1">
        <v>1.0</v>
      </c>
      <c r="J279" s="1">
        <v>0.0</v>
      </c>
      <c r="K279" s="1">
        <v>32.0</v>
      </c>
      <c r="L279" s="1">
        <v>36.0</v>
      </c>
      <c r="M279" s="1">
        <v>0.888888889</v>
      </c>
      <c r="N279" s="1">
        <v>23.43000031</v>
      </c>
      <c r="O279" s="1" t="str">
        <f t="shared" si="1"/>
        <v>Yes</v>
      </c>
      <c r="P279" s="1" t="str">
        <f t="shared" si="2"/>
        <v>Yes</v>
      </c>
      <c r="Q279" s="1" t="str">
        <f t="shared" si="3"/>
        <v>Yes</v>
      </c>
      <c r="R279" s="1">
        <f t="shared" si="4"/>
        <v>23.43000031</v>
      </c>
    </row>
    <row r="280" ht="15.75" customHeight="1">
      <c r="A280" s="1" t="s">
        <v>160</v>
      </c>
      <c r="B280" s="1" t="s">
        <v>38</v>
      </c>
      <c r="C280" s="5">
        <v>45727.0</v>
      </c>
      <c r="D280" s="1" t="s">
        <v>161</v>
      </c>
      <c r="E280" s="1" t="s">
        <v>11</v>
      </c>
      <c r="F280" s="1" t="s">
        <v>162</v>
      </c>
      <c r="H280" s="1">
        <v>0.0</v>
      </c>
      <c r="I280" s="1">
        <v>0.0</v>
      </c>
      <c r="J280" s="1">
        <v>0.0</v>
      </c>
      <c r="K280" s="1">
        <v>2.0</v>
      </c>
      <c r="L280" s="1">
        <v>4.0</v>
      </c>
      <c r="M280" s="1">
        <v>0.5</v>
      </c>
      <c r="N280" s="1">
        <v>0.0</v>
      </c>
      <c r="O280" s="1" t="str">
        <f t="shared" si="1"/>
        <v>No</v>
      </c>
      <c r="P280" s="1" t="str">
        <f t="shared" si="2"/>
        <v>No</v>
      </c>
      <c r="Q280" s="1" t="str">
        <f t="shared" si="3"/>
        <v>Yes</v>
      </c>
      <c r="R280" s="1" t="str">
        <f t="shared" si="4"/>
        <v>#DIV/0!</v>
      </c>
    </row>
    <row r="281" ht="15.75" customHeight="1">
      <c r="A281" s="1" t="s">
        <v>160</v>
      </c>
      <c r="B281" s="1" t="s">
        <v>54</v>
      </c>
      <c r="C281" s="5">
        <v>45727.0</v>
      </c>
      <c r="D281" s="1" t="s">
        <v>161</v>
      </c>
      <c r="E281" s="1" t="s">
        <v>11</v>
      </c>
      <c r="F281" s="1" t="s">
        <v>162</v>
      </c>
      <c r="H281" s="1">
        <v>0.0</v>
      </c>
      <c r="I281" s="1">
        <v>0.0</v>
      </c>
      <c r="J281" s="1">
        <v>0.0</v>
      </c>
      <c r="K281" s="1">
        <v>0.0</v>
      </c>
      <c r="L281" s="1">
        <v>8.0</v>
      </c>
      <c r="M281" s="1">
        <v>0.0</v>
      </c>
      <c r="N281" s="1">
        <v>5.590000153</v>
      </c>
      <c r="O281" s="1" t="str">
        <f t="shared" si="1"/>
        <v>No</v>
      </c>
      <c r="P281" s="1" t="str">
        <f t="shared" si="2"/>
        <v>Yes</v>
      </c>
      <c r="Q281" s="1" t="str">
        <f t="shared" si="3"/>
        <v>Yes</v>
      </c>
      <c r="R281" s="1" t="str">
        <f t="shared" si="4"/>
        <v>#DIV/0!</v>
      </c>
    </row>
    <row r="282" ht="15.75" customHeight="1">
      <c r="A282" s="1" t="s">
        <v>160</v>
      </c>
      <c r="B282" s="1" t="s">
        <v>39</v>
      </c>
      <c r="C282" s="5">
        <v>45727.0</v>
      </c>
      <c r="D282" s="1" t="s">
        <v>161</v>
      </c>
      <c r="E282" s="1" t="s">
        <v>11</v>
      </c>
      <c r="F282" s="1" t="s">
        <v>162</v>
      </c>
      <c r="H282" s="1">
        <v>0.0</v>
      </c>
      <c r="I282" s="1">
        <v>0.0</v>
      </c>
      <c r="J282" s="1">
        <v>0.0</v>
      </c>
      <c r="K282" s="1">
        <v>0.0</v>
      </c>
      <c r="L282" s="1">
        <v>2.0</v>
      </c>
      <c r="M282" s="1">
        <v>0.0</v>
      </c>
      <c r="N282" s="1">
        <v>1.539999962</v>
      </c>
      <c r="O282" s="1" t="str">
        <f t="shared" si="1"/>
        <v>No</v>
      </c>
      <c r="P282" s="1" t="str">
        <f t="shared" si="2"/>
        <v>Yes</v>
      </c>
      <c r="Q282" s="1" t="str">
        <f t="shared" si="3"/>
        <v>Yes</v>
      </c>
      <c r="R282" s="1" t="str">
        <f t="shared" si="4"/>
        <v>#DIV/0!</v>
      </c>
    </row>
    <row r="283" ht="15.75" customHeight="1">
      <c r="A283" s="1" t="s">
        <v>160</v>
      </c>
      <c r="B283" s="1" t="s">
        <v>39</v>
      </c>
      <c r="C283" s="5">
        <v>45727.0</v>
      </c>
      <c r="D283" s="1" t="s">
        <v>161</v>
      </c>
      <c r="E283" s="1" t="s">
        <v>11</v>
      </c>
      <c r="F283" s="1" t="s">
        <v>166</v>
      </c>
      <c r="H283" s="1">
        <v>0.0</v>
      </c>
      <c r="I283" s="1">
        <v>0.0</v>
      </c>
      <c r="J283" s="1">
        <v>0.0</v>
      </c>
      <c r="K283" s="1">
        <v>0.0</v>
      </c>
      <c r="L283" s="1">
        <v>0.0</v>
      </c>
      <c r="N283" s="1">
        <v>0.0</v>
      </c>
      <c r="O283" s="1" t="str">
        <f t="shared" si="1"/>
        <v>No</v>
      </c>
      <c r="P283" s="1" t="str">
        <f t="shared" si="2"/>
        <v>No</v>
      </c>
      <c r="Q283" s="1" t="str">
        <f t="shared" si="3"/>
        <v>Yes</v>
      </c>
      <c r="R283" s="1" t="str">
        <f t="shared" si="4"/>
        <v>#DIV/0!</v>
      </c>
    </row>
    <row r="284" ht="15.75" customHeight="1">
      <c r="A284" s="1" t="s">
        <v>160</v>
      </c>
      <c r="B284" s="1" t="s">
        <v>72</v>
      </c>
      <c r="C284" s="5">
        <v>45727.0</v>
      </c>
      <c r="D284" s="1" t="s">
        <v>161</v>
      </c>
      <c r="E284" s="1" t="s">
        <v>11</v>
      </c>
      <c r="F284" s="1" t="s">
        <v>162</v>
      </c>
      <c r="H284" s="1">
        <v>0.0</v>
      </c>
      <c r="I284" s="1">
        <v>0.0</v>
      </c>
      <c r="J284" s="1">
        <v>0.0</v>
      </c>
      <c r="K284" s="1">
        <v>2.0</v>
      </c>
      <c r="L284" s="1">
        <v>31.0</v>
      </c>
      <c r="M284" s="1">
        <v>0.064516129</v>
      </c>
      <c r="N284" s="1">
        <v>23.94000053</v>
      </c>
      <c r="O284" s="1" t="str">
        <f t="shared" si="1"/>
        <v>No</v>
      </c>
      <c r="P284" s="1" t="str">
        <f t="shared" si="2"/>
        <v>Yes</v>
      </c>
      <c r="Q284" s="1" t="str">
        <f t="shared" si="3"/>
        <v>Yes</v>
      </c>
      <c r="R284" s="1" t="str">
        <f t="shared" si="4"/>
        <v>#DIV/0!</v>
      </c>
    </row>
    <row r="285" ht="15.75" customHeight="1">
      <c r="A285" s="1" t="s">
        <v>160</v>
      </c>
      <c r="B285" s="1" t="s">
        <v>56</v>
      </c>
      <c r="C285" s="5">
        <v>45727.0</v>
      </c>
      <c r="D285" s="1" t="s">
        <v>161</v>
      </c>
      <c r="E285" s="1" t="s">
        <v>11</v>
      </c>
      <c r="F285" s="1" t="s">
        <v>162</v>
      </c>
      <c r="G285" s="1" t="s">
        <v>163</v>
      </c>
      <c r="H285" s="1">
        <v>1.0</v>
      </c>
      <c r="I285" s="1">
        <v>0.0</v>
      </c>
      <c r="J285" s="1">
        <v>0.0</v>
      </c>
      <c r="K285" s="1">
        <v>6.0</v>
      </c>
      <c r="L285" s="1">
        <v>18.0</v>
      </c>
      <c r="M285" s="1">
        <v>0.333333333</v>
      </c>
      <c r="N285" s="1">
        <v>10.28999996</v>
      </c>
      <c r="O285" s="1" t="str">
        <f t="shared" si="1"/>
        <v>No</v>
      </c>
      <c r="P285" s="1" t="str">
        <f t="shared" si="2"/>
        <v>Yes</v>
      </c>
      <c r="Q285" s="1" t="str">
        <f t="shared" si="3"/>
        <v>Yes</v>
      </c>
      <c r="R285" s="1" t="str">
        <f t="shared" si="4"/>
        <v>#DIV/0!</v>
      </c>
    </row>
    <row r="286" ht="15.75" customHeight="1">
      <c r="A286" s="1" t="s">
        <v>160</v>
      </c>
      <c r="B286" s="1" t="s">
        <v>80</v>
      </c>
      <c r="C286" s="5">
        <v>45727.0</v>
      </c>
      <c r="D286" s="1" t="s">
        <v>161</v>
      </c>
      <c r="E286" s="1" t="s">
        <v>11</v>
      </c>
      <c r="H286" s="1">
        <v>0.0</v>
      </c>
      <c r="J286" s="1">
        <v>0.0</v>
      </c>
      <c r="N286" s="1">
        <v>0.340000004</v>
      </c>
      <c r="O286" s="1" t="str">
        <f t="shared" si="1"/>
        <v>No</v>
      </c>
      <c r="P286" s="1" t="str">
        <f t="shared" si="2"/>
        <v>Yes</v>
      </c>
      <c r="Q286" s="1" t="str">
        <f t="shared" si="3"/>
        <v>Yes</v>
      </c>
      <c r="R286" s="1" t="str">
        <f t="shared" si="4"/>
        <v>#DIV/0!</v>
      </c>
    </row>
    <row r="287" ht="15.75" customHeight="1">
      <c r="A287" s="1" t="s">
        <v>160</v>
      </c>
      <c r="B287" s="1" t="s">
        <v>65</v>
      </c>
      <c r="C287" s="5">
        <v>45727.0</v>
      </c>
      <c r="D287" s="1" t="s">
        <v>161</v>
      </c>
      <c r="E287" s="1" t="s">
        <v>11</v>
      </c>
      <c r="F287" s="1" t="s">
        <v>162</v>
      </c>
      <c r="H287" s="1">
        <v>0.0</v>
      </c>
      <c r="I287" s="1">
        <v>0.0</v>
      </c>
      <c r="J287" s="1">
        <v>0.0</v>
      </c>
      <c r="K287" s="1">
        <v>0.0</v>
      </c>
      <c r="L287" s="1">
        <v>0.0</v>
      </c>
      <c r="N287" s="1">
        <v>0.720000029</v>
      </c>
      <c r="O287" s="1" t="str">
        <f t="shared" si="1"/>
        <v>No</v>
      </c>
      <c r="P287" s="1" t="str">
        <f t="shared" si="2"/>
        <v>Yes</v>
      </c>
      <c r="Q287" s="1" t="str">
        <f t="shared" si="3"/>
        <v>Yes</v>
      </c>
      <c r="R287" s="1" t="str">
        <f t="shared" si="4"/>
        <v>#DIV/0!</v>
      </c>
    </row>
    <row r="288" ht="15.75" customHeight="1">
      <c r="A288" s="1" t="s">
        <v>160</v>
      </c>
      <c r="B288" s="1" t="s">
        <v>92</v>
      </c>
      <c r="C288" s="5">
        <v>45727.0</v>
      </c>
      <c r="D288" s="1" t="s">
        <v>161</v>
      </c>
      <c r="E288" s="1" t="s">
        <v>11</v>
      </c>
      <c r="F288" s="1" t="s">
        <v>165</v>
      </c>
      <c r="H288" s="1">
        <v>0.0</v>
      </c>
      <c r="I288" s="1">
        <v>0.0</v>
      </c>
      <c r="J288" s="1">
        <v>0.0</v>
      </c>
      <c r="K288" s="1">
        <v>17.0</v>
      </c>
      <c r="L288" s="1">
        <v>55.0</v>
      </c>
      <c r="M288" s="1">
        <v>0.309090909</v>
      </c>
      <c r="N288" s="1">
        <v>18.61000061</v>
      </c>
      <c r="O288" s="1" t="str">
        <f t="shared" si="1"/>
        <v>No</v>
      </c>
      <c r="P288" s="1" t="str">
        <f t="shared" si="2"/>
        <v>Yes</v>
      </c>
      <c r="Q288" s="1" t="str">
        <f t="shared" si="3"/>
        <v>Yes</v>
      </c>
      <c r="R288" s="1" t="str">
        <f t="shared" si="4"/>
        <v>#DIV/0!</v>
      </c>
    </row>
    <row r="289" ht="15.75" customHeight="1">
      <c r="A289" s="1" t="s">
        <v>160</v>
      </c>
      <c r="B289" s="1" t="s">
        <v>73</v>
      </c>
      <c r="C289" s="5">
        <v>45727.0</v>
      </c>
      <c r="D289" s="1" t="s">
        <v>161</v>
      </c>
      <c r="E289" s="1" t="s">
        <v>11</v>
      </c>
      <c r="F289" s="1" t="s">
        <v>162</v>
      </c>
      <c r="H289" s="1">
        <v>0.0</v>
      </c>
      <c r="I289" s="1">
        <v>0.0</v>
      </c>
      <c r="J289" s="1">
        <v>0.0</v>
      </c>
      <c r="K289" s="1">
        <v>0.0</v>
      </c>
      <c r="L289" s="1">
        <v>8.0</v>
      </c>
      <c r="M289" s="1">
        <v>0.0</v>
      </c>
      <c r="N289" s="1">
        <v>14.10000038</v>
      </c>
      <c r="O289" s="1" t="str">
        <f t="shared" si="1"/>
        <v>No</v>
      </c>
      <c r="P289" s="1" t="str">
        <f t="shared" si="2"/>
        <v>Yes</v>
      </c>
      <c r="Q289" s="1" t="str">
        <f t="shared" si="3"/>
        <v>Yes</v>
      </c>
      <c r="R289" s="1" t="str">
        <f t="shared" si="4"/>
        <v>#DIV/0!</v>
      </c>
    </row>
    <row r="290" ht="15.75" customHeight="1">
      <c r="A290" s="1" t="s">
        <v>160</v>
      </c>
      <c r="B290" s="1" t="s">
        <v>77</v>
      </c>
      <c r="C290" s="5">
        <v>45727.0</v>
      </c>
      <c r="D290" s="1" t="s">
        <v>161</v>
      </c>
      <c r="E290" s="1" t="s">
        <v>11</v>
      </c>
      <c r="F290" s="1" t="s">
        <v>162</v>
      </c>
      <c r="H290" s="1">
        <v>0.0</v>
      </c>
      <c r="I290" s="1">
        <v>0.0</v>
      </c>
      <c r="J290" s="1">
        <v>0.0</v>
      </c>
      <c r="K290" s="1">
        <v>0.0</v>
      </c>
      <c r="L290" s="1">
        <v>4.0</v>
      </c>
      <c r="M290" s="1">
        <v>0.0</v>
      </c>
      <c r="N290" s="1">
        <v>2.6900000569999998</v>
      </c>
      <c r="O290" s="1" t="str">
        <f t="shared" si="1"/>
        <v>No</v>
      </c>
      <c r="P290" s="1" t="str">
        <f t="shared" si="2"/>
        <v>Yes</v>
      </c>
      <c r="Q290" s="1" t="str">
        <f t="shared" si="3"/>
        <v>Yes</v>
      </c>
      <c r="R290" s="1" t="str">
        <f t="shared" si="4"/>
        <v>#DIV/0!</v>
      </c>
    </row>
    <row r="291" ht="15.75" customHeight="1">
      <c r="A291" s="1" t="s">
        <v>160</v>
      </c>
      <c r="B291" s="1" t="s">
        <v>90</v>
      </c>
      <c r="C291" s="5">
        <v>45727.0</v>
      </c>
      <c r="D291" s="1" t="s">
        <v>161</v>
      </c>
      <c r="E291" s="1" t="s">
        <v>11</v>
      </c>
      <c r="F291" s="1" t="s">
        <v>165</v>
      </c>
      <c r="G291" s="1" t="s">
        <v>163</v>
      </c>
      <c r="H291" s="1">
        <v>1.0</v>
      </c>
      <c r="I291" s="1">
        <v>0.0</v>
      </c>
      <c r="J291" s="1">
        <v>0.0</v>
      </c>
      <c r="K291" s="1">
        <v>2.0</v>
      </c>
      <c r="L291" s="1">
        <v>4.0</v>
      </c>
      <c r="M291" s="1">
        <v>0.5</v>
      </c>
      <c r="N291" s="1">
        <v>1.659999967</v>
      </c>
      <c r="O291" s="1" t="str">
        <f t="shared" si="1"/>
        <v>No</v>
      </c>
      <c r="P291" s="1" t="str">
        <f t="shared" si="2"/>
        <v>Yes</v>
      </c>
      <c r="Q291" s="1" t="str">
        <f t="shared" si="3"/>
        <v>Yes</v>
      </c>
      <c r="R291" s="1" t="str">
        <f t="shared" si="4"/>
        <v>#DIV/0!</v>
      </c>
    </row>
    <row r="292" ht="15.75" customHeight="1">
      <c r="A292" s="1" t="s">
        <v>164</v>
      </c>
      <c r="B292" s="1" t="s">
        <v>52</v>
      </c>
      <c r="C292" s="5">
        <v>45727.0</v>
      </c>
      <c r="D292" s="1" t="s">
        <v>161</v>
      </c>
      <c r="E292" s="1" t="s">
        <v>11</v>
      </c>
      <c r="F292" s="1" t="s">
        <v>165</v>
      </c>
      <c r="G292" s="1" t="s">
        <v>163</v>
      </c>
      <c r="H292" s="1">
        <v>1.0</v>
      </c>
      <c r="I292" s="1">
        <v>0.0</v>
      </c>
      <c r="J292" s="1">
        <v>0.0</v>
      </c>
      <c r="K292" s="1">
        <v>0.0</v>
      </c>
      <c r="L292" s="1">
        <v>0.0</v>
      </c>
      <c r="N292" s="1">
        <v>0.0</v>
      </c>
      <c r="O292" s="1" t="str">
        <f t="shared" si="1"/>
        <v>No</v>
      </c>
      <c r="P292" s="1" t="str">
        <f t="shared" si="2"/>
        <v>No</v>
      </c>
      <c r="Q292" s="1" t="str">
        <f t="shared" si="3"/>
        <v>Yes</v>
      </c>
      <c r="R292" s="1" t="str">
        <f t="shared" si="4"/>
        <v>#DIV/0!</v>
      </c>
    </row>
    <row r="293" ht="15.75" customHeight="1">
      <c r="A293" s="1" t="s">
        <v>164</v>
      </c>
      <c r="B293" s="1" t="s">
        <v>52</v>
      </c>
      <c r="C293" s="5">
        <v>45727.0</v>
      </c>
      <c r="D293" s="1" t="s">
        <v>161</v>
      </c>
      <c r="E293" s="1" t="s">
        <v>11</v>
      </c>
      <c r="F293" s="1" t="s">
        <v>162</v>
      </c>
      <c r="G293" s="1" t="s">
        <v>163</v>
      </c>
      <c r="H293" s="1">
        <v>1.0</v>
      </c>
      <c r="I293" s="1">
        <v>0.0</v>
      </c>
      <c r="J293" s="1">
        <v>0.0</v>
      </c>
      <c r="K293" s="1">
        <v>28.0</v>
      </c>
      <c r="L293" s="1">
        <v>36.0</v>
      </c>
      <c r="M293" s="1">
        <v>0.777777778</v>
      </c>
      <c r="N293" s="1">
        <v>25.32999992</v>
      </c>
      <c r="O293" s="1" t="str">
        <f t="shared" si="1"/>
        <v>No</v>
      </c>
      <c r="P293" s="1" t="str">
        <f t="shared" si="2"/>
        <v>Yes</v>
      </c>
      <c r="Q293" s="1" t="str">
        <f t="shared" si="3"/>
        <v>Yes</v>
      </c>
      <c r="R293" s="1" t="str">
        <f t="shared" si="4"/>
        <v>#DIV/0!</v>
      </c>
    </row>
    <row r="294" ht="15.75" customHeight="1">
      <c r="A294" s="1" t="s">
        <v>164</v>
      </c>
      <c r="B294" s="1" t="s">
        <v>64</v>
      </c>
      <c r="C294" s="5">
        <v>45727.0</v>
      </c>
      <c r="D294" s="1" t="s">
        <v>161</v>
      </c>
      <c r="E294" s="1" t="s">
        <v>11</v>
      </c>
      <c r="F294" s="1" t="s">
        <v>166</v>
      </c>
      <c r="H294" s="1">
        <v>0.0</v>
      </c>
      <c r="I294" s="1">
        <v>0.0</v>
      </c>
      <c r="J294" s="1">
        <v>0.0</v>
      </c>
      <c r="K294" s="1">
        <v>2.0</v>
      </c>
      <c r="L294" s="1">
        <v>4.0</v>
      </c>
      <c r="M294" s="1">
        <v>0.5</v>
      </c>
      <c r="N294" s="1">
        <v>7.8699998860000004</v>
      </c>
      <c r="O294" s="1" t="str">
        <f t="shared" si="1"/>
        <v>No</v>
      </c>
      <c r="P294" s="1" t="str">
        <f t="shared" si="2"/>
        <v>Yes</v>
      </c>
      <c r="Q294" s="1" t="str">
        <f t="shared" si="3"/>
        <v>Yes</v>
      </c>
      <c r="R294" s="1" t="str">
        <f t="shared" si="4"/>
        <v>#DIV/0!</v>
      </c>
    </row>
    <row r="295" ht="15.75" customHeight="1">
      <c r="A295" s="1" t="s">
        <v>164</v>
      </c>
      <c r="B295" s="1" t="s">
        <v>78</v>
      </c>
      <c r="C295" s="5">
        <v>45727.0</v>
      </c>
      <c r="D295" s="1" t="s">
        <v>161</v>
      </c>
      <c r="E295" s="1" t="s">
        <v>11</v>
      </c>
      <c r="F295" s="1" t="s">
        <v>165</v>
      </c>
      <c r="G295" s="1" t="s">
        <v>163</v>
      </c>
      <c r="H295" s="1">
        <v>1.0</v>
      </c>
      <c r="I295" s="1">
        <v>1.0</v>
      </c>
      <c r="J295" s="1">
        <v>0.0</v>
      </c>
      <c r="K295" s="1">
        <v>14.0</v>
      </c>
      <c r="L295" s="1">
        <v>16.0</v>
      </c>
      <c r="M295" s="1">
        <v>0.875</v>
      </c>
      <c r="N295" s="1">
        <v>6.519999981</v>
      </c>
      <c r="O295" s="1" t="str">
        <f t="shared" si="1"/>
        <v>Yes</v>
      </c>
      <c r="P295" s="1" t="str">
        <f t="shared" si="2"/>
        <v>Yes</v>
      </c>
      <c r="Q295" s="1" t="str">
        <f t="shared" si="3"/>
        <v>Yes</v>
      </c>
      <c r="R295" s="1">
        <f t="shared" si="4"/>
        <v>6.519999981</v>
      </c>
    </row>
    <row r="296" ht="15.75" customHeight="1">
      <c r="A296" s="1" t="s">
        <v>164</v>
      </c>
      <c r="B296" s="1" t="s">
        <v>81</v>
      </c>
      <c r="C296" s="5">
        <v>45727.0</v>
      </c>
      <c r="D296" s="1" t="s">
        <v>161</v>
      </c>
      <c r="E296" s="1" t="s">
        <v>11</v>
      </c>
      <c r="F296" s="1" t="s">
        <v>162</v>
      </c>
      <c r="G296" s="1" t="s">
        <v>163</v>
      </c>
      <c r="H296" s="1">
        <v>1.0</v>
      </c>
      <c r="I296" s="1">
        <v>0.0</v>
      </c>
      <c r="J296" s="1">
        <v>0.0</v>
      </c>
      <c r="K296" s="1">
        <v>6.0</v>
      </c>
      <c r="L296" s="1">
        <v>14.0</v>
      </c>
      <c r="M296" s="1">
        <v>0.428571429</v>
      </c>
      <c r="N296" s="1">
        <v>10.65999985</v>
      </c>
      <c r="O296" s="1" t="str">
        <f t="shared" si="1"/>
        <v>No</v>
      </c>
      <c r="P296" s="1" t="str">
        <f t="shared" si="2"/>
        <v>Yes</v>
      </c>
      <c r="Q296" s="1" t="str">
        <f t="shared" si="3"/>
        <v>Yes</v>
      </c>
      <c r="R296" s="1" t="str">
        <f t="shared" si="4"/>
        <v>#DIV/0!</v>
      </c>
    </row>
    <row r="297" ht="15.75" customHeight="1">
      <c r="A297" s="1" t="s">
        <v>164</v>
      </c>
      <c r="B297" s="1" t="s">
        <v>81</v>
      </c>
      <c r="C297" s="5">
        <v>45727.0</v>
      </c>
      <c r="D297" s="1" t="s">
        <v>161</v>
      </c>
      <c r="E297" s="1" t="s">
        <v>11</v>
      </c>
      <c r="F297" s="1" t="s">
        <v>301</v>
      </c>
      <c r="G297" s="1" t="s">
        <v>163</v>
      </c>
      <c r="H297" s="1">
        <v>1.0</v>
      </c>
      <c r="I297" s="1">
        <v>0.0</v>
      </c>
      <c r="J297" s="1">
        <v>0.0</v>
      </c>
      <c r="K297" s="1">
        <v>0.0</v>
      </c>
      <c r="L297" s="1">
        <v>2.0</v>
      </c>
      <c r="M297" s="1">
        <v>0.0</v>
      </c>
      <c r="N297" s="1">
        <v>0.0</v>
      </c>
      <c r="O297" s="1" t="str">
        <f t="shared" si="1"/>
        <v>No</v>
      </c>
      <c r="P297" s="1" t="str">
        <f t="shared" si="2"/>
        <v>No</v>
      </c>
      <c r="Q297" s="1" t="str">
        <f t="shared" si="3"/>
        <v>Yes</v>
      </c>
      <c r="R297" s="1" t="str">
        <f t="shared" si="4"/>
        <v>#DIV/0!</v>
      </c>
    </row>
    <row r="298" ht="15.75" customHeight="1">
      <c r="A298" s="1" t="s">
        <v>164</v>
      </c>
      <c r="B298" s="1" t="s">
        <v>60</v>
      </c>
      <c r="C298" s="5">
        <v>45727.0</v>
      </c>
      <c r="D298" s="1" t="s">
        <v>161</v>
      </c>
      <c r="E298" s="1" t="s">
        <v>11</v>
      </c>
      <c r="F298" s="1" t="s">
        <v>162</v>
      </c>
      <c r="H298" s="1">
        <v>0.0</v>
      </c>
      <c r="I298" s="1">
        <v>0.0</v>
      </c>
      <c r="J298" s="1">
        <v>0.0</v>
      </c>
      <c r="K298" s="1">
        <v>0.0</v>
      </c>
      <c r="L298" s="1">
        <v>0.0</v>
      </c>
      <c r="N298" s="1">
        <v>0.0</v>
      </c>
      <c r="O298" s="1" t="str">
        <f t="shared" si="1"/>
        <v>No</v>
      </c>
      <c r="P298" s="1" t="str">
        <f t="shared" si="2"/>
        <v>No</v>
      </c>
      <c r="Q298" s="1" t="str">
        <f t="shared" si="3"/>
        <v>Yes</v>
      </c>
      <c r="R298" s="1" t="str">
        <f t="shared" si="4"/>
        <v>#DIV/0!</v>
      </c>
    </row>
    <row r="299" ht="15.75" customHeight="1">
      <c r="A299" s="1" t="s">
        <v>164</v>
      </c>
      <c r="B299" s="1" t="s">
        <v>60</v>
      </c>
      <c r="C299" s="5">
        <v>45727.0</v>
      </c>
      <c r="D299" s="1" t="s">
        <v>161</v>
      </c>
      <c r="E299" s="1" t="s">
        <v>11</v>
      </c>
      <c r="F299" s="1" t="s">
        <v>166</v>
      </c>
      <c r="H299" s="1">
        <v>0.0</v>
      </c>
      <c r="I299" s="1">
        <v>0.0</v>
      </c>
      <c r="J299" s="1">
        <v>0.0</v>
      </c>
      <c r="K299" s="1">
        <v>0.0</v>
      </c>
      <c r="L299" s="1">
        <v>0.0</v>
      </c>
      <c r="N299" s="1">
        <v>1.919999957</v>
      </c>
      <c r="O299" s="1" t="str">
        <f t="shared" si="1"/>
        <v>No</v>
      </c>
      <c r="P299" s="1" t="str">
        <f t="shared" si="2"/>
        <v>Yes</v>
      </c>
      <c r="Q299" s="1" t="str">
        <f t="shared" si="3"/>
        <v>Yes</v>
      </c>
      <c r="R299" s="1" t="str">
        <f t="shared" si="4"/>
        <v>#DIV/0!</v>
      </c>
    </row>
    <row r="300" ht="15.75" customHeight="1">
      <c r="A300" s="1" t="s">
        <v>164</v>
      </c>
      <c r="B300" s="1" t="s">
        <v>63</v>
      </c>
      <c r="C300" s="5">
        <v>45727.0</v>
      </c>
      <c r="D300" s="1" t="s">
        <v>161</v>
      </c>
      <c r="E300" s="1" t="s">
        <v>11</v>
      </c>
      <c r="F300" s="1" t="s">
        <v>166</v>
      </c>
      <c r="H300" s="1">
        <v>0.0</v>
      </c>
      <c r="I300" s="1">
        <v>0.0</v>
      </c>
      <c r="J300" s="1">
        <v>0.0</v>
      </c>
      <c r="K300" s="1">
        <v>0.0</v>
      </c>
      <c r="L300" s="1">
        <v>0.0</v>
      </c>
      <c r="N300" s="1">
        <v>0.620000005</v>
      </c>
      <c r="O300" s="1" t="str">
        <f t="shared" si="1"/>
        <v>No</v>
      </c>
      <c r="P300" s="1" t="str">
        <f t="shared" si="2"/>
        <v>Yes</v>
      </c>
      <c r="Q300" s="1" t="str">
        <f t="shared" si="3"/>
        <v>Yes</v>
      </c>
      <c r="R300" s="1" t="str">
        <f t="shared" si="4"/>
        <v>#DIV/0!</v>
      </c>
    </row>
    <row r="301" ht="15.75" customHeight="1">
      <c r="A301" s="1" t="s">
        <v>164</v>
      </c>
      <c r="B301" s="1" t="s">
        <v>68</v>
      </c>
      <c r="C301" s="5">
        <v>45727.0</v>
      </c>
      <c r="D301" s="1" t="s">
        <v>161</v>
      </c>
      <c r="E301" s="1" t="s">
        <v>11</v>
      </c>
      <c r="H301" s="1">
        <v>0.0</v>
      </c>
      <c r="J301" s="1">
        <v>0.0</v>
      </c>
      <c r="N301" s="1">
        <v>1.110000014</v>
      </c>
      <c r="O301" s="1" t="str">
        <f t="shared" si="1"/>
        <v>No</v>
      </c>
      <c r="P301" s="1" t="str">
        <f t="shared" si="2"/>
        <v>Yes</v>
      </c>
      <c r="Q301" s="1" t="str">
        <f t="shared" si="3"/>
        <v>Yes</v>
      </c>
      <c r="R301" s="1" t="str">
        <f t="shared" si="4"/>
        <v>#DIV/0!</v>
      </c>
    </row>
    <row r="302" ht="15.75" customHeight="1">
      <c r="A302" s="1" t="s">
        <v>164</v>
      </c>
      <c r="B302" s="1" t="s">
        <v>74</v>
      </c>
      <c r="C302" s="5">
        <v>45727.0</v>
      </c>
      <c r="D302" s="1" t="s">
        <v>161</v>
      </c>
      <c r="E302" s="1" t="s">
        <v>11</v>
      </c>
      <c r="H302" s="1">
        <v>0.0</v>
      </c>
      <c r="J302" s="1">
        <v>0.0</v>
      </c>
      <c r="N302" s="1">
        <v>1.830000043</v>
      </c>
      <c r="O302" s="1" t="str">
        <f t="shared" si="1"/>
        <v>No</v>
      </c>
      <c r="P302" s="1" t="str">
        <f t="shared" si="2"/>
        <v>Yes</v>
      </c>
      <c r="Q302" s="1" t="str">
        <f t="shared" si="3"/>
        <v>Yes</v>
      </c>
      <c r="R302" s="1" t="str">
        <f t="shared" si="4"/>
        <v>#DIV/0!</v>
      </c>
    </row>
    <row r="303" ht="15.75" customHeight="1">
      <c r="A303" s="1" t="s">
        <v>164</v>
      </c>
      <c r="B303" s="1" t="s">
        <v>75</v>
      </c>
      <c r="C303" s="5">
        <v>45727.0</v>
      </c>
      <c r="D303" s="1" t="s">
        <v>161</v>
      </c>
      <c r="E303" s="1" t="s">
        <v>11</v>
      </c>
      <c r="F303" s="1" t="s">
        <v>165</v>
      </c>
      <c r="H303" s="1">
        <v>0.0</v>
      </c>
      <c r="I303" s="1">
        <v>0.0</v>
      </c>
      <c r="J303" s="1">
        <v>0.0</v>
      </c>
      <c r="K303" s="1">
        <v>0.0</v>
      </c>
      <c r="L303" s="1">
        <v>0.0</v>
      </c>
      <c r="N303" s="1">
        <v>1.039999962</v>
      </c>
      <c r="O303" s="1" t="str">
        <f t="shared" si="1"/>
        <v>No</v>
      </c>
      <c r="P303" s="1" t="str">
        <f t="shared" si="2"/>
        <v>Yes</v>
      </c>
      <c r="Q303" s="1" t="str">
        <f t="shared" si="3"/>
        <v>Yes</v>
      </c>
      <c r="R303" s="1" t="str">
        <f t="shared" si="4"/>
        <v>#DIV/0!</v>
      </c>
    </row>
    <row r="304" ht="15.75" customHeight="1">
      <c r="A304" s="1" t="s">
        <v>164</v>
      </c>
      <c r="B304" s="1" t="s">
        <v>82</v>
      </c>
      <c r="C304" s="5">
        <v>45727.0</v>
      </c>
      <c r="D304" s="1" t="s">
        <v>161</v>
      </c>
      <c r="E304" s="1" t="s">
        <v>11</v>
      </c>
      <c r="F304" s="1" t="s">
        <v>165</v>
      </c>
      <c r="G304" s="1" t="s">
        <v>163</v>
      </c>
      <c r="H304" s="1">
        <v>1.0</v>
      </c>
      <c r="I304" s="1">
        <v>0.0</v>
      </c>
      <c r="J304" s="1">
        <v>0.0</v>
      </c>
      <c r="K304" s="1">
        <v>0.0</v>
      </c>
      <c r="L304" s="1">
        <v>0.0</v>
      </c>
      <c r="N304" s="1">
        <v>0.0</v>
      </c>
      <c r="O304" s="1" t="str">
        <f t="shared" si="1"/>
        <v>No</v>
      </c>
      <c r="P304" s="1" t="str">
        <f t="shared" si="2"/>
        <v>No</v>
      </c>
      <c r="Q304" s="1" t="str">
        <f t="shared" si="3"/>
        <v>Yes</v>
      </c>
      <c r="R304" s="1" t="str">
        <f t="shared" si="4"/>
        <v>#DIV/0!</v>
      </c>
    </row>
    <row r="305" ht="15.75" customHeight="1">
      <c r="A305" s="1" t="s">
        <v>164</v>
      </c>
      <c r="B305" s="1" t="s">
        <v>82</v>
      </c>
      <c r="C305" s="5">
        <v>45727.0</v>
      </c>
      <c r="D305" s="1" t="s">
        <v>161</v>
      </c>
      <c r="E305" s="1" t="s">
        <v>11</v>
      </c>
      <c r="F305" s="1" t="s">
        <v>166</v>
      </c>
      <c r="G305" s="1" t="s">
        <v>163</v>
      </c>
      <c r="H305" s="1">
        <v>1.0</v>
      </c>
      <c r="I305" s="1">
        <v>0.0</v>
      </c>
      <c r="J305" s="1">
        <v>0.0</v>
      </c>
      <c r="K305" s="1">
        <v>0.0</v>
      </c>
      <c r="L305" s="1">
        <v>2.0</v>
      </c>
      <c r="M305" s="1">
        <v>0.0</v>
      </c>
      <c r="N305" s="1">
        <v>5.03000021</v>
      </c>
      <c r="O305" s="1" t="str">
        <f t="shared" si="1"/>
        <v>No</v>
      </c>
      <c r="P305" s="1" t="str">
        <f t="shared" si="2"/>
        <v>Yes</v>
      </c>
      <c r="Q305" s="1" t="str">
        <f t="shared" si="3"/>
        <v>Yes</v>
      </c>
      <c r="R305" s="1" t="str">
        <f t="shared" si="4"/>
        <v>#DIV/0!</v>
      </c>
    </row>
    <row r="306" ht="15.75" customHeight="1">
      <c r="A306" s="1" t="s">
        <v>164</v>
      </c>
      <c r="B306" s="1" t="s">
        <v>96</v>
      </c>
      <c r="C306" s="5">
        <v>45727.0</v>
      </c>
      <c r="D306" s="1" t="s">
        <v>161</v>
      </c>
      <c r="E306" s="1" t="s">
        <v>11</v>
      </c>
      <c r="H306" s="1">
        <v>0.0</v>
      </c>
      <c r="J306" s="1">
        <v>0.0</v>
      </c>
      <c r="N306" s="1">
        <v>0.239999995</v>
      </c>
      <c r="O306" s="1" t="str">
        <f t="shared" si="1"/>
        <v>No</v>
      </c>
      <c r="P306" s="1" t="str">
        <f t="shared" si="2"/>
        <v>Yes</v>
      </c>
      <c r="Q306" s="1" t="str">
        <f t="shared" si="3"/>
        <v>Yes</v>
      </c>
      <c r="R306" s="1" t="str">
        <f t="shared" si="4"/>
        <v>#DIV/0!</v>
      </c>
    </row>
    <row r="307" ht="15.75" customHeight="1">
      <c r="A307" s="1" t="s">
        <v>180</v>
      </c>
      <c r="B307" s="1" t="s">
        <v>208</v>
      </c>
      <c r="C307" s="5">
        <v>45727.0</v>
      </c>
      <c r="D307" s="1" t="s">
        <v>161</v>
      </c>
      <c r="E307" s="1" t="s">
        <v>206</v>
      </c>
      <c r="H307" s="1">
        <v>0.0</v>
      </c>
      <c r="J307" s="1">
        <v>0.0</v>
      </c>
      <c r="N307" s="1">
        <v>6.699999809</v>
      </c>
      <c r="O307" s="1" t="str">
        <f t="shared" si="1"/>
        <v>No</v>
      </c>
      <c r="P307" s="1" t="str">
        <f t="shared" si="2"/>
        <v>Yes</v>
      </c>
      <c r="Q307" s="1" t="str">
        <f t="shared" si="3"/>
        <v>Yes</v>
      </c>
      <c r="R307" s="1" t="str">
        <f t="shared" si="4"/>
        <v>#DIV/0!</v>
      </c>
    </row>
    <row r="308" ht="15.75" customHeight="1">
      <c r="A308" s="1" t="s">
        <v>160</v>
      </c>
      <c r="B308" s="1" t="s">
        <v>39</v>
      </c>
      <c r="C308" s="5">
        <v>45726.0</v>
      </c>
      <c r="D308" s="1" t="s">
        <v>161</v>
      </c>
      <c r="E308" s="1" t="s">
        <v>11</v>
      </c>
      <c r="F308" s="1" t="s">
        <v>162</v>
      </c>
      <c r="H308" s="1">
        <v>0.0</v>
      </c>
      <c r="I308" s="1">
        <v>0.0</v>
      </c>
      <c r="J308" s="1">
        <v>0.0</v>
      </c>
      <c r="K308" s="1">
        <v>11.0</v>
      </c>
      <c r="L308" s="1">
        <v>11.0</v>
      </c>
      <c r="M308" s="1">
        <v>1.0</v>
      </c>
      <c r="N308" s="1">
        <v>10.71000004</v>
      </c>
      <c r="O308" s="1" t="str">
        <f t="shared" si="1"/>
        <v>No</v>
      </c>
      <c r="P308" s="1" t="str">
        <f t="shared" si="2"/>
        <v>Yes</v>
      </c>
      <c r="Q308" s="1" t="str">
        <f t="shared" si="3"/>
        <v>Yes</v>
      </c>
      <c r="R308" s="1" t="str">
        <f t="shared" si="4"/>
        <v>#DIV/0!</v>
      </c>
    </row>
    <row r="309" ht="15.75" customHeight="1">
      <c r="A309" s="1" t="s">
        <v>160</v>
      </c>
      <c r="B309" s="1" t="s">
        <v>39</v>
      </c>
      <c r="C309" s="5">
        <v>45726.0</v>
      </c>
      <c r="D309" s="1" t="s">
        <v>161</v>
      </c>
      <c r="E309" s="1" t="s">
        <v>11</v>
      </c>
      <c r="F309" s="1" t="s">
        <v>166</v>
      </c>
      <c r="H309" s="1">
        <v>0.0</v>
      </c>
      <c r="I309" s="1">
        <v>0.0</v>
      </c>
      <c r="J309" s="1">
        <v>0.0</v>
      </c>
      <c r="K309" s="1">
        <v>0.0</v>
      </c>
      <c r="L309" s="1">
        <v>0.0</v>
      </c>
      <c r="N309" s="1">
        <v>0.0</v>
      </c>
      <c r="O309" s="1" t="str">
        <f t="shared" si="1"/>
        <v>No</v>
      </c>
      <c r="P309" s="1" t="str">
        <f t="shared" si="2"/>
        <v>No</v>
      </c>
      <c r="Q309" s="1" t="str">
        <f t="shared" si="3"/>
        <v>Yes</v>
      </c>
      <c r="R309" s="1" t="str">
        <f t="shared" si="4"/>
        <v>#DIV/0!</v>
      </c>
    </row>
    <row r="310" ht="15.75" customHeight="1">
      <c r="A310" s="1" t="s">
        <v>160</v>
      </c>
      <c r="B310" s="1" t="s">
        <v>53</v>
      </c>
      <c r="C310" s="5">
        <v>45726.0</v>
      </c>
      <c r="D310" s="1" t="s">
        <v>161</v>
      </c>
      <c r="E310" s="1" t="s">
        <v>11</v>
      </c>
      <c r="H310" s="1">
        <v>0.0</v>
      </c>
      <c r="J310" s="1">
        <v>0.0</v>
      </c>
      <c r="N310" s="1">
        <v>0.310000002</v>
      </c>
      <c r="O310" s="1" t="str">
        <f t="shared" si="1"/>
        <v>No</v>
      </c>
      <c r="P310" s="1" t="str">
        <f t="shared" si="2"/>
        <v>Yes</v>
      </c>
      <c r="Q310" s="1" t="str">
        <f t="shared" si="3"/>
        <v>Yes</v>
      </c>
      <c r="R310" s="1" t="str">
        <f t="shared" si="4"/>
        <v>#DIV/0!</v>
      </c>
    </row>
    <row r="311" ht="15.75" customHeight="1">
      <c r="A311" s="1" t="s">
        <v>160</v>
      </c>
      <c r="B311" s="1" t="s">
        <v>95</v>
      </c>
      <c r="C311" s="5">
        <v>45726.0</v>
      </c>
      <c r="D311" s="1" t="s">
        <v>161</v>
      </c>
      <c r="E311" s="1" t="s">
        <v>11</v>
      </c>
      <c r="F311" s="1" t="s">
        <v>165</v>
      </c>
      <c r="G311" s="1" t="s">
        <v>163</v>
      </c>
      <c r="H311" s="1">
        <v>1.0</v>
      </c>
      <c r="I311" s="1">
        <v>0.0</v>
      </c>
      <c r="J311" s="1">
        <v>0.0</v>
      </c>
      <c r="K311" s="1">
        <v>12.0</v>
      </c>
      <c r="L311" s="1">
        <v>16.0</v>
      </c>
      <c r="M311" s="1">
        <v>0.75</v>
      </c>
      <c r="N311" s="1">
        <v>12.07999992</v>
      </c>
      <c r="O311" s="1" t="str">
        <f t="shared" si="1"/>
        <v>No</v>
      </c>
      <c r="P311" s="1" t="str">
        <f t="shared" si="2"/>
        <v>Yes</v>
      </c>
      <c r="Q311" s="1" t="str">
        <f t="shared" si="3"/>
        <v>Yes</v>
      </c>
      <c r="R311" s="1" t="str">
        <f t="shared" si="4"/>
        <v>#DIV/0!</v>
      </c>
    </row>
    <row r="312" ht="15.75" customHeight="1">
      <c r="A312" s="1" t="s">
        <v>160</v>
      </c>
      <c r="B312" s="1" t="s">
        <v>73</v>
      </c>
      <c r="C312" s="5">
        <v>45726.0</v>
      </c>
      <c r="D312" s="1" t="s">
        <v>161</v>
      </c>
      <c r="E312" s="1" t="s">
        <v>11</v>
      </c>
      <c r="F312" s="1" t="s">
        <v>162</v>
      </c>
      <c r="H312" s="1">
        <v>0.0</v>
      </c>
      <c r="I312" s="1">
        <v>0.0</v>
      </c>
      <c r="J312" s="1">
        <v>0.0</v>
      </c>
      <c r="K312" s="1">
        <v>2.0</v>
      </c>
      <c r="L312" s="1">
        <v>16.0</v>
      </c>
      <c r="M312" s="1">
        <v>0.125</v>
      </c>
      <c r="N312" s="1">
        <v>27.80999947</v>
      </c>
      <c r="O312" s="1" t="str">
        <f t="shared" si="1"/>
        <v>No</v>
      </c>
      <c r="P312" s="1" t="str">
        <f t="shared" si="2"/>
        <v>Yes</v>
      </c>
      <c r="Q312" s="1" t="str">
        <f t="shared" si="3"/>
        <v>Yes</v>
      </c>
      <c r="R312" s="1" t="str">
        <f t="shared" si="4"/>
        <v>#DIV/0!</v>
      </c>
    </row>
    <row r="313" ht="15.75" customHeight="1">
      <c r="A313" s="1" t="s">
        <v>160</v>
      </c>
      <c r="B313" s="1" t="s">
        <v>77</v>
      </c>
      <c r="C313" s="5">
        <v>45726.0</v>
      </c>
      <c r="D313" s="1" t="s">
        <v>161</v>
      </c>
      <c r="E313" s="1" t="s">
        <v>11</v>
      </c>
      <c r="F313" s="1" t="s">
        <v>162</v>
      </c>
      <c r="H313" s="1">
        <v>0.0</v>
      </c>
      <c r="I313" s="1">
        <v>0.0</v>
      </c>
      <c r="J313" s="1">
        <v>0.0</v>
      </c>
      <c r="K313" s="1">
        <v>2.0</v>
      </c>
      <c r="L313" s="1">
        <v>8.0</v>
      </c>
      <c r="M313" s="1">
        <v>0.25</v>
      </c>
      <c r="N313" s="1">
        <v>6.420000076</v>
      </c>
      <c r="O313" s="1" t="str">
        <f t="shared" si="1"/>
        <v>No</v>
      </c>
      <c r="P313" s="1" t="str">
        <f t="shared" si="2"/>
        <v>Yes</v>
      </c>
      <c r="Q313" s="1" t="str">
        <f t="shared" si="3"/>
        <v>Yes</v>
      </c>
      <c r="R313" s="1" t="str">
        <f t="shared" si="4"/>
        <v>#DIV/0!</v>
      </c>
    </row>
    <row r="314" ht="15.75" customHeight="1">
      <c r="A314" s="1" t="s">
        <v>160</v>
      </c>
      <c r="B314" s="1" t="s">
        <v>90</v>
      </c>
      <c r="C314" s="5">
        <v>45726.0</v>
      </c>
      <c r="D314" s="1" t="s">
        <v>161</v>
      </c>
      <c r="E314" s="1" t="s">
        <v>11</v>
      </c>
      <c r="F314" s="1" t="s">
        <v>165</v>
      </c>
      <c r="G314" s="1" t="s">
        <v>163</v>
      </c>
      <c r="H314" s="1">
        <v>1.0</v>
      </c>
      <c r="I314" s="1">
        <v>1.0</v>
      </c>
      <c r="J314" s="1">
        <v>0.0</v>
      </c>
      <c r="K314" s="1">
        <v>22.0</v>
      </c>
      <c r="L314" s="1">
        <v>26.0</v>
      </c>
      <c r="M314" s="1">
        <v>0.846153846</v>
      </c>
      <c r="N314" s="1">
        <v>10.93999958</v>
      </c>
      <c r="O314" s="1" t="str">
        <f t="shared" si="1"/>
        <v>Yes</v>
      </c>
      <c r="P314" s="1" t="str">
        <f t="shared" si="2"/>
        <v>Yes</v>
      </c>
      <c r="Q314" s="1" t="str">
        <f t="shared" si="3"/>
        <v>Yes</v>
      </c>
      <c r="R314" s="1">
        <f t="shared" si="4"/>
        <v>10.93999958</v>
      </c>
    </row>
    <row r="315" ht="15.75" customHeight="1">
      <c r="A315" s="1" t="s">
        <v>160</v>
      </c>
      <c r="B315" s="1" t="s">
        <v>109</v>
      </c>
      <c r="C315" s="5">
        <v>45726.0</v>
      </c>
      <c r="D315" s="1" t="s">
        <v>161</v>
      </c>
      <c r="E315" s="1" t="s">
        <v>11</v>
      </c>
      <c r="F315" s="1" t="s">
        <v>162</v>
      </c>
      <c r="H315" s="1">
        <v>0.0</v>
      </c>
      <c r="I315" s="1">
        <v>0.0</v>
      </c>
      <c r="J315" s="1">
        <v>0.0</v>
      </c>
      <c r="K315" s="1">
        <v>4.0</v>
      </c>
      <c r="L315" s="1">
        <v>18.0</v>
      </c>
      <c r="M315" s="1">
        <v>0.222222222</v>
      </c>
      <c r="N315" s="1">
        <v>21.79999924</v>
      </c>
      <c r="O315" s="1" t="str">
        <f t="shared" si="1"/>
        <v>No</v>
      </c>
      <c r="P315" s="1" t="str">
        <f t="shared" si="2"/>
        <v>Yes</v>
      </c>
      <c r="Q315" s="1" t="str">
        <f t="shared" si="3"/>
        <v>Yes</v>
      </c>
      <c r="R315" s="1" t="str">
        <f t="shared" si="4"/>
        <v>#DIV/0!</v>
      </c>
    </row>
    <row r="316" ht="15.75" customHeight="1">
      <c r="A316" s="1" t="s">
        <v>164</v>
      </c>
      <c r="B316" s="1" t="s">
        <v>24</v>
      </c>
      <c r="C316" s="5">
        <v>45726.0</v>
      </c>
      <c r="D316" s="1" t="s">
        <v>161</v>
      </c>
      <c r="E316" s="1" t="s">
        <v>11</v>
      </c>
      <c r="F316" s="1" t="s">
        <v>162</v>
      </c>
      <c r="G316" s="1" t="s">
        <v>163</v>
      </c>
      <c r="H316" s="1">
        <v>1.0</v>
      </c>
      <c r="I316" s="1">
        <v>1.0</v>
      </c>
      <c r="J316" s="1">
        <v>0.0</v>
      </c>
      <c r="K316" s="1">
        <v>28.0</v>
      </c>
      <c r="L316" s="1">
        <v>40.0</v>
      </c>
      <c r="M316" s="1">
        <v>0.7</v>
      </c>
      <c r="N316" s="1">
        <v>4.059999943</v>
      </c>
      <c r="O316" s="1" t="str">
        <f t="shared" si="1"/>
        <v>Yes</v>
      </c>
      <c r="P316" s="1" t="str">
        <f t="shared" si="2"/>
        <v>Yes</v>
      </c>
      <c r="Q316" s="1" t="str">
        <f t="shared" si="3"/>
        <v>Yes</v>
      </c>
      <c r="R316" s="1">
        <f t="shared" si="4"/>
        <v>4.059999943</v>
      </c>
    </row>
    <row r="317" ht="15.75" customHeight="1">
      <c r="A317" s="1" t="s">
        <v>164</v>
      </c>
      <c r="B317" s="1" t="s">
        <v>24</v>
      </c>
      <c r="C317" s="5">
        <v>45726.0</v>
      </c>
      <c r="D317" s="1" t="s">
        <v>161</v>
      </c>
      <c r="E317" s="1" t="s">
        <v>11</v>
      </c>
      <c r="F317" s="1" t="s">
        <v>166</v>
      </c>
      <c r="G317" s="1" t="s">
        <v>163</v>
      </c>
      <c r="H317" s="1">
        <v>1.0</v>
      </c>
      <c r="I317" s="1">
        <v>0.0</v>
      </c>
      <c r="J317" s="1">
        <v>0.0</v>
      </c>
      <c r="K317" s="1">
        <v>0.0</v>
      </c>
      <c r="L317" s="1">
        <v>0.0</v>
      </c>
      <c r="N317" s="1">
        <v>0.0</v>
      </c>
      <c r="O317" s="1" t="str">
        <f t="shared" si="1"/>
        <v>No</v>
      </c>
      <c r="P317" s="1" t="str">
        <f t="shared" si="2"/>
        <v>No</v>
      </c>
      <c r="Q317" s="1" t="str">
        <f t="shared" si="3"/>
        <v>Yes</v>
      </c>
      <c r="R317" s="1" t="str">
        <f t="shared" si="4"/>
        <v>#DIV/0!</v>
      </c>
    </row>
    <row r="318" ht="15.75" customHeight="1">
      <c r="A318" s="1" t="s">
        <v>164</v>
      </c>
      <c r="B318" s="1" t="s">
        <v>52</v>
      </c>
      <c r="C318" s="5">
        <v>45726.0</v>
      </c>
      <c r="D318" s="1" t="s">
        <v>161</v>
      </c>
      <c r="E318" s="1" t="s">
        <v>11</v>
      </c>
      <c r="F318" s="1" t="s">
        <v>165</v>
      </c>
      <c r="G318" s="1" t="s">
        <v>163</v>
      </c>
      <c r="H318" s="1">
        <v>1.0</v>
      </c>
      <c r="I318" s="1">
        <v>0.0</v>
      </c>
      <c r="J318" s="1">
        <v>0.0</v>
      </c>
      <c r="K318" s="1">
        <v>0.0</v>
      </c>
      <c r="L318" s="1">
        <v>0.0</v>
      </c>
      <c r="N318" s="1">
        <v>0.0</v>
      </c>
      <c r="O318" s="1" t="str">
        <f t="shared" si="1"/>
        <v>No</v>
      </c>
      <c r="P318" s="1" t="str">
        <f t="shared" si="2"/>
        <v>No</v>
      </c>
      <c r="Q318" s="1" t="str">
        <f t="shared" si="3"/>
        <v>Yes</v>
      </c>
      <c r="R318" s="1" t="str">
        <f t="shared" si="4"/>
        <v>#DIV/0!</v>
      </c>
    </row>
    <row r="319" ht="15.75" customHeight="1">
      <c r="A319" s="1" t="s">
        <v>164</v>
      </c>
      <c r="B319" s="1" t="s">
        <v>52</v>
      </c>
      <c r="C319" s="5">
        <v>45726.0</v>
      </c>
      <c r="D319" s="1" t="s">
        <v>161</v>
      </c>
      <c r="E319" s="1" t="s">
        <v>11</v>
      </c>
      <c r="F319" s="1" t="s">
        <v>162</v>
      </c>
      <c r="G319" s="1" t="s">
        <v>163</v>
      </c>
      <c r="H319" s="1">
        <v>1.0</v>
      </c>
      <c r="I319" s="1">
        <v>2.0</v>
      </c>
      <c r="J319" s="1">
        <v>0.0</v>
      </c>
      <c r="K319" s="1">
        <v>38.0</v>
      </c>
      <c r="L319" s="1">
        <v>40.0</v>
      </c>
      <c r="M319" s="1">
        <v>0.95</v>
      </c>
      <c r="N319" s="1">
        <v>13.82999992</v>
      </c>
      <c r="O319" s="1" t="str">
        <f t="shared" si="1"/>
        <v>Yes</v>
      </c>
      <c r="P319" s="1" t="str">
        <f t="shared" si="2"/>
        <v>Yes</v>
      </c>
      <c r="Q319" s="1" t="str">
        <f t="shared" si="3"/>
        <v>Yes</v>
      </c>
      <c r="R319" s="1">
        <f t="shared" si="4"/>
        <v>6.91499996</v>
      </c>
    </row>
    <row r="320" ht="15.75" customHeight="1">
      <c r="A320" s="1" t="s">
        <v>164</v>
      </c>
      <c r="B320" s="1" t="s">
        <v>64</v>
      </c>
      <c r="C320" s="5">
        <v>45726.0</v>
      </c>
      <c r="D320" s="1" t="s">
        <v>161</v>
      </c>
      <c r="E320" s="1" t="s">
        <v>11</v>
      </c>
      <c r="F320" s="1" t="s">
        <v>166</v>
      </c>
      <c r="G320" s="1" t="s">
        <v>163</v>
      </c>
      <c r="H320" s="1">
        <v>1.0</v>
      </c>
      <c r="I320" s="1">
        <v>0.0</v>
      </c>
      <c r="J320" s="1">
        <v>0.0</v>
      </c>
      <c r="K320" s="1">
        <v>4.0</v>
      </c>
      <c r="L320" s="1">
        <v>4.0</v>
      </c>
      <c r="M320" s="1">
        <v>1.0</v>
      </c>
      <c r="N320" s="1">
        <v>5.96999979</v>
      </c>
      <c r="O320" s="1" t="str">
        <f t="shared" si="1"/>
        <v>No</v>
      </c>
      <c r="P320" s="1" t="str">
        <f t="shared" si="2"/>
        <v>Yes</v>
      </c>
      <c r="Q320" s="1" t="str">
        <f t="shared" si="3"/>
        <v>Yes</v>
      </c>
      <c r="R320" s="1" t="str">
        <f t="shared" si="4"/>
        <v>#DIV/0!</v>
      </c>
    </row>
    <row r="321" ht="15.75" customHeight="1">
      <c r="A321" s="1" t="s">
        <v>164</v>
      </c>
      <c r="B321" s="1" t="s">
        <v>78</v>
      </c>
      <c r="C321" s="5">
        <v>45726.0</v>
      </c>
      <c r="D321" s="1" t="s">
        <v>161</v>
      </c>
      <c r="E321" s="1" t="s">
        <v>11</v>
      </c>
      <c r="F321" s="1" t="s">
        <v>165</v>
      </c>
      <c r="G321" s="1" t="s">
        <v>163</v>
      </c>
      <c r="H321" s="1">
        <v>1.0</v>
      </c>
      <c r="I321" s="1">
        <v>0.0</v>
      </c>
      <c r="J321" s="1">
        <v>0.0</v>
      </c>
      <c r="K321" s="1">
        <v>94.0</v>
      </c>
      <c r="L321" s="1">
        <v>143.0</v>
      </c>
      <c r="M321" s="1">
        <v>0.657342657</v>
      </c>
      <c r="N321" s="1">
        <v>40.52000046</v>
      </c>
      <c r="O321" s="1" t="str">
        <f t="shared" si="1"/>
        <v>No</v>
      </c>
      <c r="P321" s="1" t="str">
        <f t="shared" si="2"/>
        <v>Yes</v>
      </c>
      <c r="Q321" s="1" t="str">
        <f t="shared" si="3"/>
        <v>No</v>
      </c>
      <c r="R321" s="1" t="str">
        <f t="shared" si="4"/>
        <v>#DIV/0!</v>
      </c>
    </row>
    <row r="322" ht="15.75" customHeight="1">
      <c r="A322" s="1" t="s">
        <v>164</v>
      </c>
      <c r="B322" s="1" t="s">
        <v>81</v>
      </c>
      <c r="C322" s="5">
        <v>45726.0</v>
      </c>
      <c r="D322" s="1" t="s">
        <v>161</v>
      </c>
      <c r="E322" s="1" t="s">
        <v>11</v>
      </c>
      <c r="F322" s="1" t="s">
        <v>162</v>
      </c>
      <c r="G322" s="1" t="s">
        <v>163</v>
      </c>
      <c r="H322" s="1">
        <v>1.0</v>
      </c>
      <c r="I322" s="1">
        <v>1.0</v>
      </c>
      <c r="J322" s="1">
        <v>0.0</v>
      </c>
      <c r="K322" s="1">
        <v>23.0</v>
      </c>
      <c r="L322" s="1">
        <v>25.0</v>
      </c>
      <c r="M322" s="1">
        <v>0.92</v>
      </c>
      <c r="N322" s="1">
        <v>11.89999962</v>
      </c>
      <c r="O322" s="1" t="str">
        <f t="shared" si="1"/>
        <v>Yes</v>
      </c>
      <c r="P322" s="1" t="str">
        <f t="shared" si="2"/>
        <v>Yes</v>
      </c>
      <c r="Q322" s="1" t="str">
        <f t="shared" si="3"/>
        <v>Yes</v>
      </c>
      <c r="R322" s="1">
        <f t="shared" si="4"/>
        <v>11.89999962</v>
      </c>
    </row>
    <row r="323" ht="15.75" customHeight="1">
      <c r="A323" s="1" t="s">
        <v>164</v>
      </c>
      <c r="B323" s="1" t="s">
        <v>81</v>
      </c>
      <c r="C323" s="5">
        <v>45726.0</v>
      </c>
      <c r="D323" s="1" t="s">
        <v>161</v>
      </c>
      <c r="E323" s="1" t="s">
        <v>11</v>
      </c>
      <c r="F323" s="1" t="s">
        <v>166</v>
      </c>
      <c r="G323" s="1" t="s">
        <v>163</v>
      </c>
      <c r="H323" s="1">
        <v>1.0</v>
      </c>
      <c r="I323" s="1">
        <v>0.0</v>
      </c>
      <c r="J323" s="1">
        <v>0.0</v>
      </c>
      <c r="K323" s="1">
        <v>8.0</v>
      </c>
      <c r="L323" s="1">
        <v>12.0</v>
      </c>
      <c r="M323" s="1">
        <v>0.666666667</v>
      </c>
      <c r="N323" s="1">
        <v>0.0</v>
      </c>
      <c r="O323" s="1" t="str">
        <f t="shared" si="1"/>
        <v>No</v>
      </c>
      <c r="P323" s="1" t="str">
        <f t="shared" si="2"/>
        <v>No</v>
      </c>
      <c r="Q323" s="1" t="str">
        <f t="shared" si="3"/>
        <v>Yes</v>
      </c>
      <c r="R323" s="1" t="str">
        <f t="shared" si="4"/>
        <v>#DIV/0!</v>
      </c>
    </row>
    <row r="324" ht="15.75" customHeight="1">
      <c r="A324" s="1" t="s">
        <v>164</v>
      </c>
      <c r="B324" s="1" t="s">
        <v>60</v>
      </c>
      <c r="C324" s="5">
        <v>45726.0</v>
      </c>
      <c r="D324" s="1" t="s">
        <v>161</v>
      </c>
      <c r="E324" s="1" t="s">
        <v>11</v>
      </c>
      <c r="F324" s="1" t="s">
        <v>162</v>
      </c>
      <c r="G324" s="1" t="s">
        <v>163</v>
      </c>
      <c r="H324" s="1">
        <v>1.0</v>
      </c>
      <c r="I324" s="1">
        <v>0.0</v>
      </c>
      <c r="J324" s="1">
        <v>0.0</v>
      </c>
      <c r="K324" s="1">
        <v>32.0</v>
      </c>
      <c r="L324" s="1">
        <v>54.0</v>
      </c>
      <c r="M324" s="1">
        <v>0.592592593</v>
      </c>
      <c r="N324" s="1">
        <v>25.43000031</v>
      </c>
      <c r="O324" s="1" t="str">
        <f t="shared" si="1"/>
        <v>No</v>
      </c>
      <c r="P324" s="1" t="str">
        <f t="shared" si="2"/>
        <v>Yes</v>
      </c>
      <c r="Q324" s="1" t="str">
        <f t="shared" si="3"/>
        <v>Yes</v>
      </c>
      <c r="R324" s="1" t="str">
        <f t="shared" si="4"/>
        <v>#DIV/0!</v>
      </c>
    </row>
    <row r="325" ht="15.75" customHeight="1">
      <c r="A325" s="1" t="s">
        <v>164</v>
      </c>
      <c r="B325" s="1" t="s">
        <v>60</v>
      </c>
      <c r="C325" s="5">
        <v>45726.0</v>
      </c>
      <c r="D325" s="1" t="s">
        <v>161</v>
      </c>
      <c r="E325" s="1" t="s">
        <v>11</v>
      </c>
      <c r="F325" s="1" t="s">
        <v>166</v>
      </c>
      <c r="G325" s="1" t="s">
        <v>163</v>
      </c>
      <c r="H325" s="1">
        <v>1.0</v>
      </c>
      <c r="I325" s="1">
        <v>0.0</v>
      </c>
      <c r="J325" s="1">
        <v>0.0</v>
      </c>
      <c r="K325" s="1">
        <v>0.0</v>
      </c>
      <c r="L325" s="1">
        <v>0.0</v>
      </c>
      <c r="N325" s="1">
        <v>0.0</v>
      </c>
      <c r="O325" s="1" t="str">
        <f t="shared" si="1"/>
        <v>No</v>
      </c>
      <c r="P325" s="1" t="str">
        <f t="shared" si="2"/>
        <v>No</v>
      </c>
      <c r="Q325" s="1" t="str">
        <f t="shared" si="3"/>
        <v>Yes</v>
      </c>
      <c r="R325" s="1" t="str">
        <f t="shared" si="4"/>
        <v>#DIV/0!</v>
      </c>
    </row>
    <row r="326" ht="15.75" customHeight="1">
      <c r="A326" s="1" t="s">
        <v>164</v>
      </c>
      <c r="B326" s="1" t="s">
        <v>86</v>
      </c>
      <c r="C326" s="5">
        <v>45726.0</v>
      </c>
      <c r="D326" s="1" t="s">
        <v>161</v>
      </c>
      <c r="E326" s="1" t="s">
        <v>11</v>
      </c>
      <c r="F326" s="1" t="s">
        <v>166</v>
      </c>
      <c r="H326" s="1">
        <v>0.0</v>
      </c>
      <c r="I326" s="1">
        <v>0.0</v>
      </c>
      <c r="J326" s="1">
        <v>0.0</v>
      </c>
      <c r="K326" s="1">
        <v>0.0</v>
      </c>
      <c r="L326" s="1">
        <v>0.0</v>
      </c>
      <c r="N326" s="1">
        <v>0.949999988</v>
      </c>
      <c r="O326" s="1" t="str">
        <f t="shared" si="1"/>
        <v>No</v>
      </c>
      <c r="P326" s="1" t="str">
        <f t="shared" si="2"/>
        <v>Yes</v>
      </c>
      <c r="Q326" s="1" t="str">
        <f t="shared" si="3"/>
        <v>Yes</v>
      </c>
      <c r="R326" s="1" t="str">
        <f t="shared" si="4"/>
        <v>#DIV/0!</v>
      </c>
    </row>
    <row r="327" ht="15.75" customHeight="1">
      <c r="A327" s="1" t="s">
        <v>164</v>
      </c>
      <c r="B327" s="1" t="s">
        <v>68</v>
      </c>
      <c r="C327" s="5">
        <v>45726.0</v>
      </c>
      <c r="D327" s="1" t="s">
        <v>161</v>
      </c>
      <c r="E327" s="1" t="s">
        <v>11</v>
      </c>
      <c r="H327" s="1">
        <v>0.0</v>
      </c>
      <c r="J327" s="1">
        <v>0.0</v>
      </c>
      <c r="N327" s="1">
        <v>24.63999939</v>
      </c>
      <c r="O327" s="1" t="str">
        <f t="shared" si="1"/>
        <v>No</v>
      </c>
      <c r="P327" s="1" t="str">
        <f t="shared" si="2"/>
        <v>Yes</v>
      </c>
      <c r="Q327" s="1" t="str">
        <f t="shared" si="3"/>
        <v>Yes</v>
      </c>
      <c r="R327" s="1" t="str">
        <f t="shared" si="4"/>
        <v>#DIV/0!</v>
      </c>
    </row>
    <row r="328" ht="15.75" customHeight="1">
      <c r="A328" s="1" t="s">
        <v>164</v>
      </c>
      <c r="B328" s="1" t="s">
        <v>74</v>
      </c>
      <c r="C328" s="5">
        <v>45726.0</v>
      </c>
      <c r="D328" s="1" t="s">
        <v>161</v>
      </c>
      <c r="E328" s="1" t="s">
        <v>11</v>
      </c>
      <c r="H328" s="1">
        <v>0.0</v>
      </c>
      <c r="J328" s="1">
        <v>0.0</v>
      </c>
      <c r="N328" s="1">
        <v>9.899999619</v>
      </c>
      <c r="O328" s="1" t="str">
        <f t="shared" si="1"/>
        <v>No</v>
      </c>
      <c r="P328" s="1" t="str">
        <f t="shared" si="2"/>
        <v>Yes</v>
      </c>
      <c r="Q328" s="1" t="str">
        <f t="shared" si="3"/>
        <v>Yes</v>
      </c>
      <c r="R328" s="1" t="str">
        <f t="shared" si="4"/>
        <v>#DIV/0!</v>
      </c>
    </row>
    <row r="329" ht="15.75" customHeight="1">
      <c r="A329" s="1" t="s">
        <v>164</v>
      </c>
      <c r="B329" s="1" t="s">
        <v>75</v>
      </c>
      <c r="C329" s="5">
        <v>45726.0</v>
      </c>
      <c r="D329" s="1" t="s">
        <v>161</v>
      </c>
      <c r="E329" s="1" t="s">
        <v>11</v>
      </c>
      <c r="F329" s="1" t="s">
        <v>165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N329" s="1">
        <v>6.179999828</v>
      </c>
      <c r="O329" s="1" t="str">
        <f t="shared" si="1"/>
        <v>No</v>
      </c>
      <c r="P329" s="1" t="str">
        <f t="shared" si="2"/>
        <v>Yes</v>
      </c>
      <c r="Q329" s="1" t="str">
        <f t="shared" si="3"/>
        <v>Yes</v>
      </c>
      <c r="R329" s="1" t="str">
        <f t="shared" si="4"/>
        <v>#DIV/0!</v>
      </c>
    </row>
    <row r="330" ht="15.75" customHeight="1">
      <c r="A330" s="1" t="s">
        <v>164</v>
      </c>
      <c r="B330" s="1" t="s">
        <v>82</v>
      </c>
      <c r="C330" s="5">
        <v>45726.0</v>
      </c>
      <c r="D330" s="1" t="s">
        <v>161</v>
      </c>
      <c r="E330" s="1" t="s">
        <v>11</v>
      </c>
      <c r="F330" s="1" t="s">
        <v>166</v>
      </c>
      <c r="G330" s="1" t="s">
        <v>163</v>
      </c>
      <c r="H330" s="1">
        <v>1.0</v>
      </c>
      <c r="I330" s="1">
        <v>0.0</v>
      </c>
      <c r="J330" s="1">
        <v>0.0</v>
      </c>
      <c r="K330" s="1">
        <v>2.0</v>
      </c>
      <c r="L330" s="1">
        <v>5.0</v>
      </c>
      <c r="M330" s="1">
        <v>0.4</v>
      </c>
      <c r="N330" s="1">
        <v>10.93000031</v>
      </c>
      <c r="O330" s="1" t="str">
        <f t="shared" si="1"/>
        <v>No</v>
      </c>
      <c r="P330" s="1" t="str">
        <f t="shared" si="2"/>
        <v>Yes</v>
      </c>
      <c r="Q330" s="1" t="str">
        <f t="shared" si="3"/>
        <v>Yes</v>
      </c>
      <c r="R330" s="1" t="str">
        <f t="shared" si="4"/>
        <v>#DIV/0!</v>
      </c>
    </row>
    <row r="331" ht="15.75" customHeight="1">
      <c r="A331" s="1" t="s">
        <v>180</v>
      </c>
      <c r="B331" s="1" t="s">
        <v>67</v>
      </c>
      <c r="C331" s="5">
        <v>45726.0</v>
      </c>
      <c r="D331" s="1" t="s">
        <v>161</v>
      </c>
      <c r="E331" s="1" t="s">
        <v>11</v>
      </c>
      <c r="F331" s="1" t="s">
        <v>165</v>
      </c>
      <c r="H331" s="1">
        <v>0.0</v>
      </c>
      <c r="I331" s="1">
        <v>2.0</v>
      </c>
      <c r="J331" s="1">
        <v>0.0</v>
      </c>
      <c r="K331" s="1">
        <v>75.0</v>
      </c>
      <c r="L331" s="1">
        <v>103.0</v>
      </c>
      <c r="M331" s="1">
        <v>0.72815534</v>
      </c>
      <c r="N331" s="1">
        <v>33.29999924</v>
      </c>
      <c r="O331" s="1" t="str">
        <f t="shared" si="1"/>
        <v>Yes</v>
      </c>
      <c r="P331" s="1" t="str">
        <f t="shared" si="2"/>
        <v>Yes</v>
      </c>
      <c r="Q331" s="1" t="str">
        <f t="shared" si="3"/>
        <v>No</v>
      </c>
      <c r="R331" s="1">
        <f t="shared" si="4"/>
        <v>16.64999962</v>
      </c>
    </row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5" t="s">
        <v>146</v>
      </c>
      <c r="B1" s="15" t="s">
        <v>147</v>
      </c>
      <c r="C1" s="15" t="s">
        <v>148</v>
      </c>
      <c r="D1" s="15" t="s">
        <v>149</v>
      </c>
      <c r="E1" s="15" t="s">
        <v>150</v>
      </c>
      <c r="F1" s="15" t="s">
        <v>151</v>
      </c>
      <c r="G1" s="15" t="s">
        <v>152</v>
      </c>
      <c r="H1" s="15" t="s">
        <v>153</v>
      </c>
      <c r="I1" s="15" t="s">
        <v>154</v>
      </c>
      <c r="J1" s="15" t="s">
        <v>155</v>
      </c>
      <c r="K1" s="15" t="s">
        <v>156</v>
      </c>
      <c r="L1" s="15" t="s">
        <v>157</v>
      </c>
      <c r="M1" s="15" t="s">
        <v>158</v>
      </c>
      <c r="N1" s="15" t="s">
        <v>159</v>
      </c>
    </row>
    <row r="2" ht="15.75" customHeight="1">
      <c r="A2" s="1" t="s">
        <v>160</v>
      </c>
      <c r="B2" s="1" t="s">
        <v>31</v>
      </c>
      <c r="C2" s="5">
        <v>45741.0</v>
      </c>
      <c r="D2" s="1" t="s">
        <v>161</v>
      </c>
      <c r="E2" s="1" t="s">
        <v>11</v>
      </c>
      <c r="F2" s="1" t="s">
        <v>162</v>
      </c>
      <c r="H2" s="1">
        <v>0.0</v>
      </c>
      <c r="I2" s="1">
        <v>1.0</v>
      </c>
      <c r="J2" s="1">
        <v>0.0</v>
      </c>
      <c r="K2" s="1">
        <v>16.0</v>
      </c>
      <c r="L2" s="1">
        <v>22.0</v>
      </c>
      <c r="M2" s="1">
        <v>0.727272727</v>
      </c>
      <c r="N2" s="1">
        <v>5.71999979</v>
      </c>
    </row>
    <row r="3" ht="15.75" customHeight="1">
      <c r="A3" s="1" t="s">
        <v>160</v>
      </c>
      <c r="B3" s="1" t="s">
        <v>18</v>
      </c>
      <c r="C3" s="5">
        <v>45741.0</v>
      </c>
      <c r="D3" s="1" t="s">
        <v>161</v>
      </c>
      <c r="E3" s="1" t="s">
        <v>11</v>
      </c>
      <c r="F3" s="1" t="s">
        <v>162</v>
      </c>
      <c r="H3" s="1">
        <v>0.0</v>
      </c>
      <c r="I3" s="1">
        <v>1.0</v>
      </c>
      <c r="J3" s="1">
        <v>0.0</v>
      </c>
      <c r="K3" s="1">
        <v>13.0</v>
      </c>
      <c r="L3" s="1">
        <v>19.0</v>
      </c>
      <c r="M3" s="1">
        <v>0.684210526</v>
      </c>
      <c r="N3" s="1">
        <v>0.0</v>
      </c>
    </row>
    <row r="4" ht="15.75" customHeight="1">
      <c r="A4" s="1" t="s">
        <v>160</v>
      </c>
      <c r="B4" s="1" t="s">
        <v>20</v>
      </c>
      <c r="C4" s="5">
        <v>45741.0</v>
      </c>
      <c r="D4" s="1" t="s">
        <v>161</v>
      </c>
      <c r="E4" s="1" t="s">
        <v>11</v>
      </c>
      <c r="F4" s="1" t="s">
        <v>162</v>
      </c>
      <c r="H4" s="1">
        <v>0.0</v>
      </c>
      <c r="I4" s="1">
        <v>1.0</v>
      </c>
      <c r="J4" s="1">
        <v>0.0</v>
      </c>
      <c r="K4" s="1">
        <v>24.0</v>
      </c>
      <c r="L4" s="1">
        <v>38.0</v>
      </c>
      <c r="M4" s="1">
        <v>0.631578947</v>
      </c>
      <c r="N4" s="1">
        <v>12.40999985</v>
      </c>
    </row>
    <row r="5" ht="15.75" customHeight="1">
      <c r="A5" s="1" t="s">
        <v>160</v>
      </c>
      <c r="B5" s="1" t="s">
        <v>41</v>
      </c>
      <c r="C5" s="5">
        <v>45741.0</v>
      </c>
      <c r="D5" s="1" t="s">
        <v>161</v>
      </c>
      <c r="E5" s="1" t="s">
        <v>11</v>
      </c>
      <c r="F5" s="1" t="s">
        <v>162</v>
      </c>
      <c r="H5" s="1">
        <v>0.0</v>
      </c>
      <c r="I5" s="1">
        <v>1.0</v>
      </c>
      <c r="J5" s="1">
        <v>0.0</v>
      </c>
      <c r="K5" s="1">
        <v>15.0</v>
      </c>
      <c r="L5" s="1">
        <v>25.0</v>
      </c>
      <c r="M5" s="1">
        <v>0.6</v>
      </c>
      <c r="N5" s="1">
        <v>0.0</v>
      </c>
    </row>
    <row r="6" ht="15.75" customHeight="1">
      <c r="A6" s="1" t="s">
        <v>160</v>
      </c>
      <c r="B6" s="1" t="s">
        <v>27</v>
      </c>
      <c r="C6" s="5">
        <v>45741.0</v>
      </c>
      <c r="D6" s="1" t="s">
        <v>161</v>
      </c>
      <c r="E6" s="1" t="s">
        <v>11</v>
      </c>
      <c r="F6" s="1" t="s">
        <v>165</v>
      </c>
      <c r="H6" s="1">
        <v>0.0</v>
      </c>
      <c r="I6" s="1">
        <v>1.0</v>
      </c>
      <c r="J6" s="1">
        <v>0.0</v>
      </c>
      <c r="K6" s="1">
        <v>15.0</v>
      </c>
      <c r="L6" s="1">
        <v>15.0</v>
      </c>
      <c r="M6" s="1">
        <v>1.0</v>
      </c>
      <c r="N6" s="1">
        <v>4.0</v>
      </c>
    </row>
    <row r="7" ht="15.75" customHeight="1">
      <c r="A7" s="1" t="s">
        <v>160</v>
      </c>
      <c r="B7" s="1" t="s">
        <v>32</v>
      </c>
      <c r="C7" s="5">
        <v>45741.0</v>
      </c>
      <c r="D7" s="1" t="s">
        <v>161</v>
      </c>
      <c r="E7" s="1" t="s">
        <v>11</v>
      </c>
      <c r="F7" s="1" t="s">
        <v>165</v>
      </c>
      <c r="H7" s="1">
        <v>0.0</v>
      </c>
      <c r="I7" s="1">
        <v>1.0</v>
      </c>
      <c r="J7" s="1">
        <v>0.0</v>
      </c>
      <c r="K7" s="1">
        <v>34.0</v>
      </c>
      <c r="L7" s="1">
        <v>59.0</v>
      </c>
      <c r="M7" s="1">
        <v>0.576271186</v>
      </c>
      <c r="N7" s="1">
        <v>8.279999733</v>
      </c>
    </row>
    <row r="8" ht="15.75" customHeight="1">
      <c r="A8" s="1" t="s">
        <v>160</v>
      </c>
      <c r="B8" s="1" t="s">
        <v>59</v>
      </c>
      <c r="C8" s="5">
        <v>45741.0</v>
      </c>
      <c r="D8" s="1" t="s">
        <v>161</v>
      </c>
      <c r="E8" s="1" t="s">
        <v>11</v>
      </c>
      <c r="F8" s="1" t="s">
        <v>165</v>
      </c>
      <c r="H8" s="1">
        <v>0.0</v>
      </c>
      <c r="I8" s="1">
        <v>1.0</v>
      </c>
      <c r="J8" s="1">
        <v>0.0</v>
      </c>
      <c r="K8" s="1">
        <v>16.0</v>
      </c>
      <c r="L8" s="1">
        <v>16.0</v>
      </c>
      <c r="M8" s="1">
        <v>1.0</v>
      </c>
      <c r="N8" s="1">
        <v>0.0</v>
      </c>
    </row>
    <row r="9" ht="15.75" customHeight="1">
      <c r="A9" s="1" t="s">
        <v>160</v>
      </c>
      <c r="B9" s="1" t="s">
        <v>36</v>
      </c>
      <c r="C9" s="5">
        <v>45741.0</v>
      </c>
      <c r="D9" s="1" t="s">
        <v>161</v>
      </c>
      <c r="E9" s="1" t="s">
        <v>11</v>
      </c>
      <c r="F9" s="1" t="s">
        <v>162</v>
      </c>
      <c r="H9" s="1">
        <v>0.0</v>
      </c>
      <c r="I9" s="1">
        <v>1.0</v>
      </c>
      <c r="J9" s="1">
        <v>0.0</v>
      </c>
      <c r="K9" s="1">
        <v>58.0</v>
      </c>
      <c r="L9" s="1">
        <v>84.0</v>
      </c>
      <c r="M9" s="1">
        <v>0.69047619</v>
      </c>
      <c r="N9" s="1">
        <v>0.0</v>
      </c>
    </row>
    <row r="10" ht="15.75" customHeight="1">
      <c r="A10" s="1" t="s">
        <v>160</v>
      </c>
      <c r="B10" s="1" t="s">
        <v>39</v>
      </c>
      <c r="C10" s="5">
        <v>45741.0</v>
      </c>
      <c r="D10" s="1" t="s">
        <v>161</v>
      </c>
      <c r="E10" s="1" t="s">
        <v>11</v>
      </c>
      <c r="F10" s="1" t="s">
        <v>162</v>
      </c>
      <c r="H10" s="1">
        <v>0.0</v>
      </c>
      <c r="I10" s="1">
        <v>1.0</v>
      </c>
      <c r="J10" s="1">
        <v>0.0</v>
      </c>
      <c r="K10" s="1">
        <v>50.0</v>
      </c>
      <c r="L10" s="1">
        <v>65.0</v>
      </c>
      <c r="M10" s="1">
        <v>0.769230769</v>
      </c>
      <c r="N10" s="1">
        <v>0.0</v>
      </c>
    </row>
    <row r="11" ht="15.75" customHeight="1">
      <c r="A11" s="1" t="s">
        <v>160</v>
      </c>
      <c r="B11" s="1" t="s">
        <v>39</v>
      </c>
      <c r="C11" s="5">
        <v>45741.0</v>
      </c>
      <c r="D11" s="1" t="s">
        <v>161</v>
      </c>
      <c r="E11" s="1" t="s">
        <v>11</v>
      </c>
      <c r="F11" s="1" t="s">
        <v>166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N11" s="1">
        <v>0.0</v>
      </c>
    </row>
    <row r="12" ht="15.75" customHeight="1">
      <c r="A12" s="1" t="s">
        <v>160</v>
      </c>
      <c r="B12" s="1" t="s">
        <v>46</v>
      </c>
      <c r="C12" s="5">
        <v>45741.0</v>
      </c>
      <c r="D12" s="1" t="s">
        <v>161</v>
      </c>
      <c r="E12" s="1" t="s">
        <v>11</v>
      </c>
      <c r="F12" s="1" t="s">
        <v>165</v>
      </c>
      <c r="H12" s="1">
        <v>0.0</v>
      </c>
      <c r="I12" s="1">
        <v>1.0</v>
      </c>
      <c r="J12" s="1">
        <v>0.0</v>
      </c>
      <c r="K12" s="1">
        <v>18.0</v>
      </c>
      <c r="L12" s="1">
        <v>36.0</v>
      </c>
      <c r="M12" s="1">
        <v>0.5</v>
      </c>
      <c r="N12" s="1">
        <v>0.0</v>
      </c>
    </row>
    <row r="13" ht="15.75" customHeight="1">
      <c r="A13" s="1" t="s">
        <v>160</v>
      </c>
      <c r="B13" s="1" t="s">
        <v>46</v>
      </c>
      <c r="C13" s="5">
        <v>45741.0</v>
      </c>
      <c r="D13" s="1" t="s">
        <v>161</v>
      </c>
      <c r="E13" s="1" t="s">
        <v>11</v>
      </c>
      <c r="F13" s="1" t="s">
        <v>162</v>
      </c>
      <c r="H13" s="1">
        <v>0.0</v>
      </c>
      <c r="I13" s="1">
        <v>0.0</v>
      </c>
      <c r="J13" s="1">
        <v>0.0</v>
      </c>
      <c r="K13" s="1">
        <v>2.0</v>
      </c>
      <c r="L13" s="1">
        <v>4.0</v>
      </c>
      <c r="M13" s="1">
        <v>0.5</v>
      </c>
      <c r="N13" s="1">
        <v>0.0</v>
      </c>
    </row>
    <row r="14" ht="15.75" customHeight="1">
      <c r="A14" s="1" t="s">
        <v>160</v>
      </c>
      <c r="B14" s="1" t="s">
        <v>53</v>
      </c>
      <c r="C14" s="5">
        <v>45741.0</v>
      </c>
      <c r="D14" s="1" t="s">
        <v>161</v>
      </c>
      <c r="E14" s="1" t="s">
        <v>11</v>
      </c>
      <c r="F14" s="1" t="s">
        <v>165</v>
      </c>
      <c r="H14" s="1">
        <v>0.0</v>
      </c>
      <c r="I14" s="1">
        <v>1.0</v>
      </c>
      <c r="J14" s="1">
        <v>0.0</v>
      </c>
      <c r="K14" s="1">
        <v>30.0</v>
      </c>
      <c r="L14" s="1">
        <v>40.0</v>
      </c>
      <c r="M14" s="1">
        <v>0.75</v>
      </c>
      <c r="N14" s="1">
        <v>17.40999985</v>
      </c>
    </row>
    <row r="15" ht="15.75" customHeight="1">
      <c r="A15" s="1" t="s">
        <v>160</v>
      </c>
      <c r="B15" s="1" t="s">
        <v>56</v>
      </c>
      <c r="C15" s="5">
        <v>45741.0</v>
      </c>
      <c r="D15" s="1" t="s">
        <v>161</v>
      </c>
      <c r="E15" s="1" t="s">
        <v>11</v>
      </c>
      <c r="F15" s="1" t="s">
        <v>165</v>
      </c>
      <c r="H15" s="1">
        <v>0.0</v>
      </c>
      <c r="I15" s="1">
        <v>1.0</v>
      </c>
      <c r="J15" s="1">
        <v>0.0</v>
      </c>
      <c r="K15" s="1">
        <v>14.0</v>
      </c>
      <c r="L15" s="1">
        <v>18.0</v>
      </c>
      <c r="M15" s="1">
        <v>0.777777778</v>
      </c>
      <c r="N15" s="1">
        <v>25.79000092</v>
      </c>
    </row>
    <row r="16" ht="15.75" customHeight="1">
      <c r="A16" s="1" t="s">
        <v>160</v>
      </c>
      <c r="B16" s="1" t="s">
        <v>56</v>
      </c>
      <c r="C16" s="5">
        <v>45741.0</v>
      </c>
      <c r="D16" s="1" t="s">
        <v>161</v>
      </c>
      <c r="E16" s="1" t="s">
        <v>11</v>
      </c>
      <c r="F16" s="1" t="s">
        <v>162</v>
      </c>
      <c r="H16" s="1">
        <v>0.0</v>
      </c>
      <c r="I16" s="1">
        <v>0.0</v>
      </c>
      <c r="J16" s="1">
        <v>0.0</v>
      </c>
      <c r="K16" s="1">
        <v>13.0</v>
      </c>
      <c r="L16" s="1">
        <v>17.0</v>
      </c>
      <c r="M16" s="1">
        <v>0.764705882</v>
      </c>
      <c r="N16" s="1">
        <v>0.0</v>
      </c>
    </row>
    <row r="17" ht="15.75" customHeight="1">
      <c r="A17" s="1" t="s">
        <v>160</v>
      </c>
      <c r="B17" s="1" t="s">
        <v>80</v>
      </c>
      <c r="C17" s="5">
        <v>45741.0</v>
      </c>
      <c r="D17" s="1" t="s">
        <v>161</v>
      </c>
      <c r="E17" s="1" t="s">
        <v>11</v>
      </c>
      <c r="H17" s="1">
        <v>0.0</v>
      </c>
      <c r="J17" s="1">
        <v>0.0</v>
      </c>
      <c r="N17" s="1">
        <v>3.450000048</v>
      </c>
    </row>
    <row r="18" ht="15.75" customHeight="1">
      <c r="A18" s="1" t="s">
        <v>160</v>
      </c>
      <c r="B18" s="1" t="s">
        <v>65</v>
      </c>
      <c r="C18" s="5">
        <v>45741.0</v>
      </c>
      <c r="D18" s="1" t="s">
        <v>161</v>
      </c>
      <c r="E18" s="1" t="s">
        <v>11</v>
      </c>
      <c r="F18" s="1" t="s">
        <v>162</v>
      </c>
      <c r="H18" s="1">
        <v>0.0</v>
      </c>
      <c r="I18" s="1">
        <v>0.0</v>
      </c>
      <c r="J18" s="1">
        <v>0.0</v>
      </c>
      <c r="K18" s="1">
        <v>4.0</v>
      </c>
      <c r="L18" s="1">
        <v>6.0</v>
      </c>
      <c r="M18" s="1">
        <v>0.666666667</v>
      </c>
      <c r="N18" s="1">
        <v>0.0</v>
      </c>
    </row>
    <row r="19" ht="15.75" customHeight="1">
      <c r="A19" s="1" t="s">
        <v>160</v>
      </c>
      <c r="B19" s="1" t="s">
        <v>92</v>
      </c>
      <c r="C19" s="5">
        <v>45741.0</v>
      </c>
      <c r="D19" s="1" t="s">
        <v>161</v>
      </c>
      <c r="E19" s="1" t="s">
        <v>11</v>
      </c>
      <c r="F19" s="1" t="s">
        <v>165</v>
      </c>
      <c r="H19" s="1">
        <v>0.0</v>
      </c>
      <c r="I19" s="1">
        <v>0.0</v>
      </c>
      <c r="J19" s="1">
        <v>0.0</v>
      </c>
      <c r="K19" s="1">
        <v>4.0</v>
      </c>
      <c r="L19" s="1">
        <v>9.0</v>
      </c>
      <c r="M19" s="1">
        <v>0.444444444</v>
      </c>
      <c r="N19" s="1">
        <v>0.0</v>
      </c>
    </row>
    <row r="20" ht="15.75" customHeight="1">
      <c r="A20" s="1" t="s">
        <v>160</v>
      </c>
      <c r="B20" s="1" t="s">
        <v>69</v>
      </c>
      <c r="C20" s="5">
        <v>45741.0</v>
      </c>
      <c r="D20" s="1" t="s">
        <v>161</v>
      </c>
      <c r="E20" s="1" t="s">
        <v>11</v>
      </c>
      <c r="F20" s="1" t="s">
        <v>165</v>
      </c>
      <c r="H20" s="1">
        <v>0.0</v>
      </c>
      <c r="I20" s="1">
        <v>0.0</v>
      </c>
      <c r="J20" s="1">
        <v>0.0</v>
      </c>
      <c r="K20" s="1">
        <v>0.0</v>
      </c>
      <c r="L20" s="1">
        <v>2.0</v>
      </c>
      <c r="M20" s="1">
        <v>0.0</v>
      </c>
      <c r="N20" s="1">
        <v>0.0</v>
      </c>
    </row>
    <row r="21" ht="15.75" customHeight="1">
      <c r="A21" s="1" t="s">
        <v>160</v>
      </c>
      <c r="B21" s="1" t="s">
        <v>198</v>
      </c>
      <c r="C21" s="5">
        <v>45741.0</v>
      </c>
      <c r="D21" s="1" t="s">
        <v>161</v>
      </c>
      <c r="E21" s="1" t="s">
        <v>296</v>
      </c>
      <c r="H21" s="1">
        <v>0.0</v>
      </c>
      <c r="J21" s="1">
        <v>0.0</v>
      </c>
      <c r="N21" s="1">
        <v>34.5</v>
      </c>
    </row>
    <row r="22" ht="15.75" customHeight="1">
      <c r="A22" s="1" t="s">
        <v>160</v>
      </c>
      <c r="B22" s="1" t="s">
        <v>77</v>
      </c>
      <c r="C22" s="5">
        <v>45741.0</v>
      </c>
      <c r="D22" s="1" t="s">
        <v>161</v>
      </c>
      <c r="E22" s="1" t="s">
        <v>11</v>
      </c>
      <c r="F22" s="1" t="s">
        <v>162</v>
      </c>
      <c r="H22" s="1">
        <v>0.0</v>
      </c>
      <c r="I22" s="1">
        <v>1.0</v>
      </c>
      <c r="J22" s="1">
        <v>0.0</v>
      </c>
      <c r="K22" s="1">
        <v>26.0</v>
      </c>
      <c r="L22" s="1">
        <v>29.0</v>
      </c>
      <c r="M22" s="1">
        <v>0.896551724</v>
      </c>
      <c r="N22" s="1">
        <v>0.0</v>
      </c>
    </row>
    <row r="23" ht="15.75" customHeight="1">
      <c r="A23" s="1" t="s">
        <v>160</v>
      </c>
      <c r="B23" s="1" t="s">
        <v>90</v>
      </c>
      <c r="C23" s="5">
        <v>45741.0</v>
      </c>
      <c r="D23" s="1" t="s">
        <v>161</v>
      </c>
      <c r="E23" s="1" t="s">
        <v>11</v>
      </c>
      <c r="F23" s="1" t="s">
        <v>165</v>
      </c>
      <c r="H23" s="1">
        <v>0.0</v>
      </c>
      <c r="I23" s="1">
        <v>2.0</v>
      </c>
      <c r="J23" s="1">
        <v>0.0</v>
      </c>
      <c r="K23" s="1">
        <v>43.0</v>
      </c>
      <c r="L23" s="1">
        <v>51.0</v>
      </c>
      <c r="M23" s="1">
        <v>0.843137255</v>
      </c>
      <c r="N23" s="1">
        <v>0.0</v>
      </c>
    </row>
    <row r="24" ht="15.75" customHeight="1">
      <c r="A24" s="1" t="s">
        <v>160</v>
      </c>
      <c r="B24" s="1" t="s">
        <v>93</v>
      </c>
      <c r="C24" s="5">
        <v>45741.0</v>
      </c>
      <c r="D24" s="1" t="s">
        <v>161</v>
      </c>
      <c r="E24" s="1" t="s">
        <v>11</v>
      </c>
      <c r="F24" s="1" t="s">
        <v>166</v>
      </c>
      <c r="H24" s="1">
        <v>0.0</v>
      </c>
      <c r="I24" s="1">
        <v>1.0</v>
      </c>
      <c r="J24" s="1">
        <v>0.0</v>
      </c>
      <c r="K24" s="1">
        <v>8.0</v>
      </c>
      <c r="L24" s="1">
        <v>10.0</v>
      </c>
      <c r="M24" s="1">
        <v>0.8</v>
      </c>
      <c r="N24" s="1">
        <v>2.869999886</v>
      </c>
    </row>
    <row r="25" ht="15.75" customHeight="1">
      <c r="A25" s="1" t="s">
        <v>160</v>
      </c>
      <c r="B25" s="1" t="s">
        <v>94</v>
      </c>
      <c r="C25" s="5">
        <v>45741.0</v>
      </c>
      <c r="D25" s="1" t="s">
        <v>161</v>
      </c>
      <c r="E25" s="1" t="s">
        <v>11</v>
      </c>
      <c r="F25" s="1" t="s">
        <v>166</v>
      </c>
      <c r="H25" s="1">
        <v>0.0</v>
      </c>
      <c r="I25" s="1">
        <v>1.0</v>
      </c>
      <c r="J25" s="1">
        <v>0.0</v>
      </c>
      <c r="K25" s="1">
        <v>14.0</v>
      </c>
      <c r="L25" s="1">
        <v>14.0</v>
      </c>
      <c r="M25" s="1">
        <v>1.0</v>
      </c>
      <c r="N25" s="1">
        <v>0.0</v>
      </c>
    </row>
    <row r="26" ht="15.75" customHeight="1">
      <c r="A26" s="1" t="s">
        <v>164</v>
      </c>
      <c r="B26" s="1" t="s">
        <v>22</v>
      </c>
      <c r="C26" s="5">
        <v>45741.0</v>
      </c>
      <c r="D26" s="1" t="s">
        <v>161</v>
      </c>
      <c r="E26" s="1" t="s">
        <v>11</v>
      </c>
      <c r="H26" s="1">
        <v>0.0</v>
      </c>
      <c r="J26" s="1">
        <v>0.0</v>
      </c>
      <c r="N26" s="1">
        <v>0.050000001</v>
      </c>
    </row>
    <row r="27" ht="15.75" customHeight="1">
      <c r="A27" s="1" t="s">
        <v>164</v>
      </c>
      <c r="B27" s="1" t="s">
        <v>35</v>
      </c>
      <c r="C27" s="5">
        <v>45741.0</v>
      </c>
      <c r="D27" s="1" t="s">
        <v>161</v>
      </c>
      <c r="E27" s="1" t="s">
        <v>11</v>
      </c>
      <c r="F27" s="1" t="s">
        <v>166</v>
      </c>
      <c r="H27" s="1">
        <v>0.0</v>
      </c>
      <c r="I27" s="1">
        <v>0.0</v>
      </c>
      <c r="J27" s="1">
        <v>0.0</v>
      </c>
      <c r="K27" s="1">
        <v>0.0</v>
      </c>
      <c r="L27" s="1">
        <v>0.0</v>
      </c>
      <c r="N27" s="1">
        <v>1.379999995</v>
      </c>
    </row>
    <row r="28" ht="15.75" customHeight="1">
      <c r="A28" s="1" t="s">
        <v>164</v>
      </c>
      <c r="B28" s="1" t="s">
        <v>43</v>
      </c>
      <c r="C28" s="5">
        <v>45741.0</v>
      </c>
      <c r="D28" s="1" t="s">
        <v>161</v>
      </c>
      <c r="E28" s="1" t="s">
        <v>11</v>
      </c>
      <c r="F28" s="1" t="s">
        <v>166</v>
      </c>
      <c r="H28" s="1">
        <v>0.0</v>
      </c>
      <c r="I28" s="1">
        <v>3.0</v>
      </c>
      <c r="J28" s="1">
        <v>0.0</v>
      </c>
      <c r="K28" s="1">
        <v>46.0</v>
      </c>
      <c r="L28" s="1">
        <v>64.0</v>
      </c>
      <c r="M28" s="1">
        <v>0.71875</v>
      </c>
      <c r="N28" s="1">
        <v>30.85000038</v>
      </c>
    </row>
    <row r="29" ht="15.75" customHeight="1">
      <c r="A29" s="1" t="s">
        <v>164</v>
      </c>
      <c r="B29" s="1" t="s">
        <v>24</v>
      </c>
      <c r="C29" s="5">
        <v>45741.0</v>
      </c>
      <c r="D29" s="1" t="s">
        <v>161</v>
      </c>
      <c r="E29" s="1" t="s">
        <v>11</v>
      </c>
      <c r="F29" s="1" t="s">
        <v>162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N29" s="1">
        <v>0.0</v>
      </c>
    </row>
    <row r="30" ht="15.75" customHeight="1">
      <c r="A30" s="1" t="s">
        <v>164</v>
      </c>
      <c r="B30" s="1" t="s">
        <v>24</v>
      </c>
      <c r="C30" s="5">
        <v>45741.0</v>
      </c>
      <c r="D30" s="1" t="s">
        <v>161</v>
      </c>
      <c r="E30" s="1" t="s">
        <v>11</v>
      </c>
      <c r="F30" s="1" t="s">
        <v>166</v>
      </c>
      <c r="H30" s="1">
        <v>0.0</v>
      </c>
      <c r="I30" s="1">
        <v>0.0</v>
      </c>
      <c r="J30" s="1">
        <v>0.0</v>
      </c>
      <c r="K30" s="1">
        <v>11.0</v>
      </c>
      <c r="L30" s="1">
        <v>13.0</v>
      </c>
      <c r="M30" s="1">
        <v>0.846153846</v>
      </c>
      <c r="N30" s="1">
        <v>0.0</v>
      </c>
    </row>
    <row r="31" ht="15.75" customHeight="1">
      <c r="A31" s="1" t="s">
        <v>164</v>
      </c>
      <c r="B31" s="1" t="s">
        <v>49</v>
      </c>
      <c r="C31" s="5">
        <v>45741.0</v>
      </c>
      <c r="D31" s="1" t="s">
        <v>161</v>
      </c>
      <c r="E31" s="1" t="s">
        <v>11</v>
      </c>
      <c r="F31" s="1" t="s">
        <v>162</v>
      </c>
      <c r="H31" s="1">
        <v>0.0</v>
      </c>
      <c r="I31" s="1">
        <v>0.0</v>
      </c>
      <c r="J31" s="1">
        <v>0.0</v>
      </c>
      <c r="K31" s="1">
        <v>2.0</v>
      </c>
      <c r="L31" s="1">
        <v>4.0</v>
      </c>
      <c r="M31" s="1">
        <v>0.5</v>
      </c>
      <c r="N31" s="1">
        <v>2.50999999</v>
      </c>
    </row>
    <row r="32" ht="15.75" customHeight="1">
      <c r="A32" s="1" t="s">
        <v>164</v>
      </c>
      <c r="B32" s="1" t="s">
        <v>52</v>
      </c>
      <c r="C32" s="5">
        <v>45741.0</v>
      </c>
      <c r="D32" s="1" t="s">
        <v>161</v>
      </c>
      <c r="E32" s="1" t="s">
        <v>11</v>
      </c>
      <c r="F32" s="1" t="s">
        <v>165</v>
      </c>
      <c r="H32" s="1">
        <v>0.0</v>
      </c>
      <c r="I32" s="1">
        <v>0.0</v>
      </c>
      <c r="J32" s="1">
        <v>0.0</v>
      </c>
      <c r="K32" s="1">
        <v>6.0</v>
      </c>
      <c r="L32" s="1">
        <v>6.0</v>
      </c>
      <c r="M32" s="1">
        <v>1.0</v>
      </c>
      <c r="N32" s="1">
        <v>6.610000134</v>
      </c>
    </row>
    <row r="33" ht="15.75" customHeight="1">
      <c r="A33" s="1" t="s">
        <v>164</v>
      </c>
      <c r="B33" s="1" t="s">
        <v>52</v>
      </c>
      <c r="C33" s="5">
        <v>45741.0</v>
      </c>
      <c r="D33" s="1" t="s">
        <v>161</v>
      </c>
      <c r="E33" s="1" t="s">
        <v>11</v>
      </c>
      <c r="F33" s="1" t="s">
        <v>162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N33" s="1">
        <v>0.0</v>
      </c>
    </row>
    <row r="34" ht="15.75" customHeight="1">
      <c r="A34" s="1" t="s">
        <v>164</v>
      </c>
      <c r="B34" s="1" t="s">
        <v>62</v>
      </c>
      <c r="C34" s="5">
        <v>45741.0</v>
      </c>
      <c r="D34" s="1" t="s">
        <v>161</v>
      </c>
      <c r="E34" s="1" t="s">
        <v>11</v>
      </c>
      <c r="F34" s="1" t="s">
        <v>165</v>
      </c>
      <c r="H34" s="1">
        <v>0.0</v>
      </c>
      <c r="I34" s="1">
        <v>0.0</v>
      </c>
      <c r="J34" s="1">
        <v>0.0</v>
      </c>
      <c r="K34" s="1">
        <v>6.0</v>
      </c>
      <c r="L34" s="1">
        <v>6.0</v>
      </c>
      <c r="M34" s="1">
        <v>1.0</v>
      </c>
      <c r="N34" s="1">
        <v>0.0</v>
      </c>
    </row>
    <row r="35" ht="15.75" customHeight="1">
      <c r="A35" s="1" t="s">
        <v>164</v>
      </c>
      <c r="B35" s="1" t="s">
        <v>62</v>
      </c>
      <c r="C35" s="5">
        <v>45741.0</v>
      </c>
      <c r="D35" s="1" t="s">
        <v>161</v>
      </c>
      <c r="E35" s="1" t="s">
        <v>11</v>
      </c>
      <c r="F35" s="1" t="s">
        <v>166</v>
      </c>
      <c r="H35" s="1">
        <v>0.0</v>
      </c>
      <c r="I35" s="1">
        <v>2.0</v>
      </c>
      <c r="J35" s="1">
        <v>0.0</v>
      </c>
      <c r="K35" s="1">
        <v>36.0</v>
      </c>
      <c r="L35" s="1">
        <v>40.0</v>
      </c>
      <c r="M35" s="1">
        <v>0.9</v>
      </c>
      <c r="N35" s="1">
        <v>11.92000008</v>
      </c>
    </row>
    <row r="36" ht="15.75" customHeight="1">
      <c r="A36" s="1" t="s">
        <v>164</v>
      </c>
      <c r="B36" s="1" t="s">
        <v>294</v>
      </c>
      <c r="C36" s="5">
        <v>45741.0</v>
      </c>
      <c r="D36" s="1" t="s">
        <v>161</v>
      </c>
      <c r="E36" s="1" t="s">
        <v>11</v>
      </c>
      <c r="H36" s="1">
        <v>0.0</v>
      </c>
      <c r="J36" s="1">
        <v>0.0</v>
      </c>
      <c r="N36" s="1">
        <v>0.560000002</v>
      </c>
    </row>
    <row r="37" ht="15.75" customHeight="1">
      <c r="A37" s="1" t="s">
        <v>164</v>
      </c>
      <c r="B37" s="1" t="s">
        <v>76</v>
      </c>
      <c r="C37" s="5">
        <v>45741.0</v>
      </c>
      <c r="D37" s="1" t="s">
        <v>161</v>
      </c>
      <c r="E37" s="1" t="s">
        <v>11</v>
      </c>
      <c r="F37" s="1" t="s">
        <v>162</v>
      </c>
      <c r="H37" s="1">
        <v>0.0</v>
      </c>
      <c r="I37" s="1">
        <v>0.0</v>
      </c>
      <c r="J37" s="1">
        <v>0.0</v>
      </c>
      <c r="K37" s="1">
        <v>14.0</v>
      </c>
      <c r="L37" s="1">
        <v>28.0</v>
      </c>
      <c r="M37" s="1">
        <v>0.5</v>
      </c>
      <c r="N37" s="1">
        <v>30.5</v>
      </c>
    </row>
    <row r="38" ht="15.75" customHeight="1">
      <c r="A38" s="1" t="s">
        <v>164</v>
      </c>
      <c r="B38" s="1" t="s">
        <v>81</v>
      </c>
      <c r="C38" s="5">
        <v>45741.0</v>
      </c>
      <c r="D38" s="1" t="s">
        <v>161</v>
      </c>
      <c r="E38" s="1" t="s">
        <v>11</v>
      </c>
      <c r="F38" s="1" t="s">
        <v>162</v>
      </c>
      <c r="H38" s="1">
        <v>0.0</v>
      </c>
      <c r="I38" s="1">
        <v>0.0</v>
      </c>
      <c r="J38" s="1">
        <v>0.0</v>
      </c>
      <c r="K38" s="1">
        <v>2.0</v>
      </c>
      <c r="L38" s="1">
        <v>2.0</v>
      </c>
      <c r="M38" s="1">
        <v>1.0</v>
      </c>
      <c r="N38" s="1">
        <v>0.0</v>
      </c>
    </row>
    <row r="39" ht="15.75" customHeight="1">
      <c r="A39" s="1" t="s">
        <v>164</v>
      </c>
      <c r="B39" s="1" t="s">
        <v>81</v>
      </c>
      <c r="C39" s="5">
        <v>45741.0</v>
      </c>
      <c r="D39" s="1" t="s">
        <v>161</v>
      </c>
      <c r="E39" s="1" t="s">
        <v>11</v>
      </c>
      <c r="F39" s="1" t="s">
        <v>297</v>
      </c>
      <c r="H39" s="1">
        <v>0.0</v>
      </c>
      <c r="I39" s="1">
        <v>1.0</v>
      </c>
      <c r="J39" s="1">
        <v>0.0</v>
      </c>
      <c r="K39" s="1">
        <v>24.0</v>
      </c>
      <c r="L39" s="1">
        <v>28.0</v>
      </c>
      <c r="M39" s="1">
        <v>0.857142857</v>
      </c>
      <c r="N39" s="1">
        <v>0.0</v>
      </c>
    </row>
    <row r="40" ht="15.75" customHeight="1">
      <c r="A40" s="1" t="s">
        <v>164</v>
      </c>
      <c r="B40" s="1" t="s">
        <v>179</v>
      </c>
      <c r="C40" s="5">
        <v>45741.0</v>
      </c>
      <c r="D40" s="1" t="s">
        <v>161</v>
      </c>
      <c r="E40" s="1" t="s">
        <v>11</v>
      </c>
      <c r="H40" s="1">
        <v>0.0</v>
      </c>
      <c r="J40" s="1">
        <v>0.0</v>
      </c>
      <c r="N40" s="1">
        <v>0.270000011</v>
      </c>
    </row>
    <row r="41" ht="15.75" customHeight="1">
      <c r="A41" s="1" t="s">
        <v>164</v>
      </c>
      <c r="B41" s="1" t="s">
        <v>60</v>
      </c>
      <c r="C41" s="5">
        <v>45741.0</v>
      </c>
      <c r="D41" s="1" t="s">
        <v>161</v>
      </c>
      <c r="E41" s="1" t="s">
        <v>11</v>
      </c>
      <c r="F41" s="1" t="s">
        <v>162</v>
      </c>
      <c r="H41" s="1">
        <v>0.0</v>
      </c>
      <c r="I41" s="1">
        <v>0.0</v>
      </c>
      <c r="J41" s="1">
        <v>0.0</v>
      </c>
      <c r="K41" s="1">
        <v>4.0</v>
      </c>
      <c r="L41" s="1">
        <v>14.0</v>
      </c>
      <c r="M41" s="1">
        <v>0.285714286</v>
      </c>
      <c r="N41" s="1">
        <v>0.0</v>
      </c>
    </row>
    <row r="42" ht="15.75" customHeight="1">
      <c r="A42" s="1" t="s">
        <v>164</v>
      </c>
      <c r="B42" s="1" t="s">
        <v>63</v>
      </c>
      <c r="C42" s="5">
        <v>45741.0</v>
      </c>
      <c r="D42" s="1" t="s">
        <v>161</v>
      </c>
      <c r="E42" s="1" t="s">
        <v>11</v>
      </c>
      <c r="F42" s="1" t="s">
        <v>166</v>
      </c>
      <c r="H42" s="1">
        <v>0.0</v>
      </c>
      <c r="I42" s="1">
        <v>0.0</v>
      </c>
      <c r="J42" s="1">
        <v>0.0</v>
      </c>
      <c r="K42" s="1">
        <v>2.0</v>
      </c>
      <c r="L42" s="1">
        <v>6.0</v>
      </c>
      <c r="M42" s="1">
        <v>0.333333333</v>
      </c>
      <c r="N42" s="1">
        <v>0.0</v>
      </c>
    </row>
    <row r="43" ht="15.75" customHeight="1">
      <c r="A43" s="1" t="s">
        <v>164</v>
      </c>
      <c r="B43" s="1" t="s">
        <v>68</v>
      </c>
      <c r="C43" s="5">
        <v>45741.0</v>
      </c>
      <c r="D43" s="1" t="s">
        <v>161</v>
      </c>
      <c r="E43" s="1" t="s">
        <v>11</v>
      </c>
      <c r="F43" s="1" t="s">
        <v>165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N43" s="1">
        <v>0.0</v>
      </c>
    </row>
    <row r="44" ht="15.75" customHeight="1">
      <c r="A44" s="1" t="s">
        <v>164</v>
      </c>
      <c r="B44" s="1" t="s">
        <v>71</v>
      </c>
      <c r="C44" s="5">
        <v>45741.0</v>
      </c>
      <c r="D44" s="1" t="s">
        <v>161</v>
      </c>
      <c r="E44" s="1" t="s">
        <v>11</v>
      </c>
      <c r="H44" s="1">
        <v>0.0</v>
      </c>
      <c r="J44" s="1">
        <v>0.0</v>
      </c>
      <c r="N44" s="1">
        <v>1.090000033</v>
      </c>
    </row>
    <row r="45" ht="15.75" customHeight="1">
      <c r="A45" s="1" t="s">
        <v>164</v>
      </c>
      <c r="B45" s="1" t="s">
        <v>75</v>
      </c>
      <c r="C45" s="5">
        <v>45741.0</v>
      </c>
      <c r="D45" s="1" t="s">
        <v>161</v>
      </c>
      <c r="E45" s="1" t="s">
        <v>11</v>
      </c>
      <c r="F45" s="1" t="s">
        <v>165</v>
      </c>
      <c r="H45" s="1">
        <v>0.0</v>
      </c>
      <c r="I45" s="1">
        <v>0.0</v>
      </c>
      <c r="J45" s="1">
        <v>0.0</v>
      </c>
      <c r="K45" s="1">
        <v>22.0</v>
      </c>
      <c r="L45" s="1">
        <v>26.0</v>
      </c>
      <c r="M45" s="1">
        <v>0.846153846</v>
      </c>
      <c r="N45" s="1">
        <v>0.059999999</v>
      </c>
    </row>
    <row r="46" ht="15.75" customHeight="1">
      <c r="A46" s="1" t="s">
        <v>164</v>
      </c>
      <c r="B46" s="1" t="s">
        <v>100</v>
      </c>
      <c r="C46" s="5">
        <v>45741.0</v>
      </c>
      <c r="D46" s="1" t="s">
        <v>161</v>
      </c>
      <c r="E46" s="1" t="s">
        <v>11</v>
      </c>
      <c r="F46" s="1" t="s">
        <v>166</v>
      </c>
      <c r="H46" s="1">
        <v>0.0</v>
      </c>
      <c r="I46" s="1">
        <v>0.0</v>
      </c>
      <c r="J46" s="1">
        <v>0.0</v>
      </c>
      <c r="K46" s="1">
        <v>4.0</v>
      </c>
      <c r="L46" s="1">
        <v>6.0</v>
      </c>
      <c r="M46" s="1">
        <v>0.666666667</v>
      </c>
      <c r="N46" s="1">
        <v>3.230000019</v>
      </c>
    </row>
    <row r="47" ht="15.75" customHeight="1">
      <c r="A47" s="1" t="s">
        <v>164</v>
      </c>
      <c r="B47" s="1" t="s">
        <v>82</v>
      </c>
      <c r="C47" s="5">
        <v>45741.0</v>
      </c>
      <c r="D47" s="1" t="s">
        <v>161</v>
      </c>
      <c r="E47" s="1" t="s">
        <v>11</v>
      </c>
      <c r="F47" s="1" t="s">
        <v>165</v>
      </c>
      <c r="H47" s="1">
        <v>0.0</v>
      </c>
      <c r="I47" s="1">
        <v>0.0</v>
      </c>
      <c r="J47" s="1">
        <v>0.0</v>
      </c>
      <c r="K47" s="1">
        <v>14.0</v>
      </c>
      <c r="L47" s="1">
        <v>14.0</v>
      </c>
      <c r="M47" s="1">
        <v>1.0</v>
      </c>
      <c r="N47" s="1">
        <v>0.0</v>
      </c>
    </row>
    <row r="48" ht="15.75" customHeight="1">
      <c r="A48" s="1" t="s">
        <v>164</v>
      </c>
      <c r="B48" s="1" t="s">
        <v>96</v>
      </c>
      <c r="C48" s="5">
        <v>45741.0</v>
      </c>
      <c r="D48" s="1" t="s">
        <v>161</v>
      </c>
      <c r="E48" s="1" t="s">
        <v>11</v>
      </c>
      <c r="F48" s="1" t="s">
        <v>165</v>
      </c>
      <c r="H48" s="1">
        <v>0.0</v>
      </c>
      <c r="I48" s="1">
        <v>0.0</v>
      </c>
      <c r="J48" s="1">
        <v>0.0</v>
      </c>
      <c r="K48" s="1">
        <v>16.0</v>
      </c>
      <c r="L48" s="1">
        <v>21.0</v>
      </c>
      <c r="M48" s="1">
        <v>0.761904762</v>
      </c>
      <c r="N48" s="1">
        <v>23.55999947</v>
      </c>
    </row>
    <row r="49" ht="15.75" customHeight="1">
      <c r="A49" s="1" t="s">
        <v>180</v>
      </c>
      <c r="B49" s="1" t="s">
        <v>45</v>
      </c>
      <c r="C49" s="5">
        <v>45741.0</v>
      </c>
      <c r="D49" s="1" t="s">
        <v>161</v>
      </c>
      <c r="E49" s="1" t="s">
        <v>11</v>
      </c>
      <c r="F49" s="1" t="s">
        <v>166</v>
      </c>
      <c r="H49" s="1">
        <v>0.0</v>
      </c>
      <c r="I49" s="1">
        <v>1.0</v>
      </c>
      <c r="J49" s="1">
        <v>0.0</v>
      </c>
      <c r="K49" s="1">
        <v>32.0</v>
      </c>
      <c r="L49" s="1">
        <v>44.0</v>
      </c>
      <c r="M49" s="1">
        <v>0.727272727</v>
      </c>
      <c r="N49" s="1">
        <v>11.96000004</v>
      </c>
    </row>
    <row r="50" ht="15.75" customHeight="1">
      <c r="A50" s="1" t="s">
        <v>180</v>
      </c>
      <c r="B50" s="1" t="s">
        <v>98</v>
      </c>
      <c r="C50" s="5">
        <v>45741.0</v>
      </c>
      <c r="D50" s="1" t="s">
        <v>161</v>
      </c>
      <c r="E50" s="1" t="s">
        <v>11</v>
      </c>
      <c r="F50" s="1" t="s">
        <v>165</v>
      </c>
      <c r="H50" s="1">
        <v>0.0</v>
      </c>
      <c r="I50" s="1">
        <v>2.0</v>
      </c>
      <c r="J50" s="1">
        <v>0.0</v>
      </c>
      <c r="K50" s="1">
        <v>36.0</v>
      </c>
      <c r="L50" s="1">
        <v>44.0</v>
      </c>
      <c r="M50" s="1">
        <v>0.818181818</v>
      </c>
      <c r="N50" s="1">
        <v>0.0</v>
      </c>
    </row>
    <row r="51" ht="15.75" customHeight="1">
      <c r="A51" s="1" t="s">
        <v>180</v>
      </c>
      <c r="B51" s="1" t="s">
        <v>107</v>
      </c>
      <c r="C51" s="5">
        <v>45741.0</v>
      </c>
      <c r="D51" s="1" t="s">
        <v>161</v>
      </c>
      <c r="E51" s="1" t="s">
        <v>11</v>
      </c>
      <c r="F51" s="1" t="s">
        <v>166</v>
      </c>
      <c r="H51" s="1">
        <v>0.0</v>
      </c>
      <c r="I51" s="1">
        <v>1.0</v>
      </c>
      <c r="J51" s="1">
        <v>0.0</v>
      </c>
      <c r="K51" s="1">
        <v>8.0</v>
      </c>
      <c r="L51" s="1">
        <v>8.0</v>
      </c>
      <c r="M51" s="1">
        <v>1.0</v>
      </c>
      <c r="N51" s="1">
        <v>14.30000019</v>
      </c>
    </row>
    <row r="52" ht="15.75" customHeight="1">
      <c r="A52" s="1" t="s">
        <v>160</v>
      </c>
      <c r="B52" s="1" t="s">
        <v>212</v>
      </c>
      <c r="C52" s="5">
        <v>45740.0</v>
      </c>
      <c r="D52" s="1" t="s">
        <v>161</v>
      </c>
      <c r="E52" s="1" t="s">
        <v>11</v>
      </c>
      <c r="H52" s="1">
        <v>0.0</v>
      </c>
      <c r="J52" s="1">
        <v>0.0</v>
      </c>
      <c r="N52" s="1">
        <v>13.51000023</v>
      </c>
    </row>
    <row r="53" ht="15.75" customHeight="1">
      <c r="A53" s="1" t="s">
        <v>160</v>
      </c>
      <c r="B53" s="1" t="s">
        <v>26</v>
      </c>
      <c r="C53" s="5">
        <v>45740.0</v>
      </c>
      <c r="D53" s="1" t="s">
        <v>161</v>
      </c>
      <c r="E53" s="1" t="s">
        <v>11</v>
      </c>
      <c r="H53" s="1">
        <v>0.0</v>
      </c>
      <c r="J53" s="1">
        <v>0.0</v>
      </c>
      <c r="N53" s="1">
        <v>0.02</v>
      </c>
    </row>
    <row r="54" ht="15.75" customHeight="1">
      <c r="A54" s="1" t="s">
        <v>160</v>
      </c>
      <c r="B54" s="1" t="s">
        <v>29</v>
      </c>
      <c r="C54" s="5">
        <v>45740.0</v>
      </c>
      <c r="D54" s="1" t="s">
        <v>161</v>
      </c>
      <c r="E54" s="1" t="s">
        <v>11</v>
      </c>
      <c r="F54" s="1" t="s">
        <v>165</v>
      </c>
      <c r="H54" s="1">
        <v>0.0</v>
      </c>
      <c r="I54" s="1">
        <v>0.0</v>
      </c>
      <c r="J54" s="1">
        <v>0.0</v>
      </c>
      <c r="K54" s="1">
        <v>2.0</v>
      </c>
      <c r="L54" s="1">
        <v>2.0</v>
      </c>
      <c r="M54" s="1">
        <v>1.0</v>
      </c>
      <c r="N54" s="1">
        <v>3.5</v>
      </c>
    </row>
    <row r="55" ht="15.75" customHeight="1">
      <c r="A55" s="1" t="s">
        <v>160</v>
      </c>
      <c r="B55" s="1" t="s">
        <v>31</v>
      </c>
      <c r="C55" s="5">
        <v>45740.0</v>
      </c>
      <c r="D55" s="1" t="s">
        <v>161</v>
      </c>
      <c r="E55" s="1" t="s">
        <v>11</v>
      </c>
      <c r="F55" s="1" t="s">
        <v>165</v>
      </c>
      <c r="G55" s="1" t="s">
        <v>163</v>
      </c>
      <c r="H55" s="1">
        <v>1.0</v>
      </c>
      <c r="I55" s="1">
        <v>0.0</v>
      </c>
      <c r="J55" s="1">
        <v>0.0</v>
      </c>
      <c r="K55" s="1">
        <v>0.0</v>
      </c>
      <c r="L55" s="1">
        <v>0.0</v>
      </c>
      <c r="N55" s="1">
        <v>0.0</v>
      </c>
    </row>
    <row r="56" ht="15.75" customHeight="1">
      <c r="A56" s="1" t="s">
        <v>160</v>
      </c>
      <c r="B56" s="1" t="s">
        <v>31</v>
      </c>
      <c r="C56" s="5">
        <v>45740.0</v>
      </c>
      <c r="D56" s="1" t="s">
        <v>161</v>
      </c>
      <c r="E56" s="1" t="s">
        <v>11</v>
      </c>
      <c r="F56" s="1" t="s">
        <v>162</v>
      </c>
      <c r="G56" s="1" t="s">
        <v>163</v>
      </c>
      <c r="H56" s="1">
        <v>1.0</v>
      </c>
      <c r="I56" s="1">
        <v>1.0</v>
      </c>
      <c r="J56" s="1">
        <v>0.0</v>
      </c>
      <c r="K56" s="1">
        <v>27.0</v>
      </c>
      <c r="L56" s="1">
        <v>42.0</v>
      </c>
      <c r="M56" s="1">
        <v>0.642857143</v>
      </c>
      <c r="N56" s="1">
        <v>97.02999878</v>
      </c>
    </row>
    <row r="57" ht="15.75" customHeight="1">
      <c r="A57" s="1" t="s">
        <v>160</v>
      </c>
      <c r="B57" s="1" t="s">
        <v>18</v>
      </c>
      <c r="C57" s="5">
        <v>45740.0</v>
      </c>
      <c r="D57" s="1" t="s">
        <v>161</v>
      </c>
      <c r="E57" s="1" t="s">
        <v>11</v>
      </c>
      <c r="F57" s="1" t="s">
        <v>162</v>
      </c>
      <c r="G57" s="1" t="s">
        <v>163</v>
      </c>
      <c r="H57" s="1">
        <v>1.0</v>
      </c>
      <c r="I57" s="1">
        <v>0.0</v>
      </c>
      <c r="J57" s="1">
        <v>0.0</v>
      </c>
      <c r="K57" s="1">
        <v>16.0</v>
      </c>
      <c r="L57" s="1">
        <v>20.0</v>
      </c>
      <c r="M57" s="1">
        <v>0.8</v>
      </c>
      <c r="N57" s="1">
        <v>7.730000019</v>
      </c>
    </row>
    <row r="58" ht="15.75" customHeight="1">
      <c r="A58" s="1" t="s">
        <v>160</v>
      </c>
      <c r="B58" s="1" t="s">
        <v>20</v>
      </c>
      <c r="C58" s="5">
        <v>45740.0</v>
      </c>
      <c r="D58" s="1" t="s">
        <v>161</v>
      </c>
      <c r="E58" s="1" t="s">
        <v>11</v>
      </c>
      <c r="F58" s="1" t="s">
        <v>162</v>
      </c>
      <c r="G58" s="1" t="s">
        <v>163</v>
      </c>
      <c r="H58" s="1">
        <v>1.0</v>
      </c>
      <c r="I58" s="1">
        <v>1.0</v>
      </c>
      <c r="J58" s="1">
        <v>0.0</v>
      </c>
      <c r="K58" s="1">
        <v>44.0</v>
      </c>
      <c r="L58" s="1">
        <v>66.0</v>
      </c>
      <c r="M58" s="1">
        <v>0.666666667</v>
      </c>
      <c r="N58" s="1">
        <v>33.88000107</v>
      </c>
    </row>
    <row r="59" ht="15.75" customHeight="1">
      <c r="A59" s="1" t="s">
        <v>160</v>
      </c>
      <c r="B59" s="1" t="s">
        <v>41</v>
      </c>
      <c r="C59" s="5">
        <v>45740.0</v>
      </c>
      <c r="D59" s="1" t="s">
        <v>161</v>
      </c>
      <c r="E59" s="1" t="s">
        <v>11</v>
      </c>
      <c r="F59" s="1" t="s">
        <v>162</v>
      </c>
      <c r="G59" s="1" t="s">
        <v>163</v>
      </c>
      <c r="H59" s="1">
        <v>1.0</v>
      </c>
      <c r="I59" s="1">
        <v>0.0</v>
      </c>
      <c r="J59" s="1">
        <v>0.0</v>
      </c>
      <c r="K59" s="1">
        <v>6.0</v>
      </c>
      <c r="L59" s="1">
        <v>8.0</v>
      </c>
      <c r="M59" s="1">
        <v>0.75</v>
      </c>
      <c r="N59" s="1">
        <v>6.3699998860000004</v>
      </c>
    </row>
    <row r="60" ht="15.75" customHeight="1">
      <c r="A60" s="1" t="s">
        <v>160</v>
      </c>
      <c r="B60" s="1" t="s">
        <v>27</v>
      </c>
      <c r="C60" s="5">
        <v>45740.0</v>
      </c>
      <c r="D60" s="1" t="s">
        <v>161</v>
      </c>
      <c r="E60" s="1" t="s">
        <v>11</v>
      </c>
      <c r="F60" s="1" t="s">
        <v>165</v>
      </c>
      <c r="G60" s="1" t="s">
        <v>163</v>
      </c>
      <c r="H60" s="1">
        <v>1.0</v>
      </c>
      <c r="I60" s="1">
        <v>1.0</v>
      </c>
      <c r="J60" s="1">
        <v>0.0</v>
      </c>
      <c r="K60" s="1">
        <v>30.0</v>
      </c>
      <c r="L60" s="1">
        <v>41.0</v>
      </c>
      <c r="M60" s="1">
        <v>0.731707317</v>
      </c>
      <c r="N60" s="1">
        <v>41.47999954</v>
      </c>
    </row>
    <row r="61" ht="15.75" customHeight="1">
      <c r="A61" s="1" t="s">
        <v>160</v>
      </c>
      <c r="B61" s="1" t="s">
        <v>50</v>
      </c>
      <c r="C61" s="5">
        <v>45740.0</v>
      </c>
      <c r="D61" s="1" t="s">
        <v>161</v>
      </c>
      <c r="E61" s="1" t="s">
        <v>11</v>
      </c>
      <c r="F61" s="1" t="s">
        <v>166</v>
      </c>
      <c r="G61" s="1" t="s">
        <v>163</v>
      </c>
      <c r="H61" s="1">
        <v>1.0</v>
      </c>
      <c r="I61" s="1">
        <v>1.0</v>
      </c>
      <c r="J61" s="1">
        <v>0.0</v>
      </c>
      <c r="K61" s="1">
        <v>14.0</v>
      </c>
      <c r="L61" s="1">
        <v>17.0</v>
      </c>
      <c r="M61" s="1">
        <v>0.823529412</v>
      </c>
      <c r="N61" s="1">
        <v>9.829999924</v>
      </c>
    </row>
    <row r="62" ht="15.75" customHeight="1">
      <c r="A62" s="1" t="s">
        <v>160</v>
      </c>
      <c r="B62" s="1" t="s">
        <v>32</v>
      </c>
      <c r="C62" s="5">
        <v>45740.0</v>
      </c>
      <c r="D62" s="1" t="s">
        <v>161</v>
      </c>
      <c r="E62" s="1" t="s">
        <v>11</v>
      </c>
      <c r="F62" s="1" t="s">
        <v>165</v>
      </c>
      <c r="G62" s="1" t="s">
        <v>163</v>
      </c>
      <c r="H62" s="1">
        <v>1.0</v>
      </c>
      <c r="I62" s="1">
        <v>1.0</v>
      </c>
      <c r="J62" s="1">
        <v>0.0</v>
      </c>
      <c r="K62" s="1">
        <v>34.0</v>
      </c>
      <c r="L62" s="1">
        <v>51.0</v>
      </c>
      <c r="M62" s="1">
        <v>0.666666667</v>
      </c>
      <c r="N62" s="1">
        <v>15.26000023</v>
      </c>
    </row>
    <row r="63" ht="15.75" customHeight="1">
      <c r="A63" s="1" t="s">
        <v>160</v>
      </c>
      <c r="B63" s="1" t="s">
        <v>32</v>
      </c>
      <c r="C63" s="5">
        <v>45740.0</v>
      </c>
      <c r="D63" s="1" t="s">
        <v>161</v>
      </c>
      <c r="E63" s="1" t="s">
        <v>11</v>
      </c>
      <c r="F63" s="1" t="s">
        <v>298</v>
      </c>
      <c r="G63" s="1" t="s">
        <v>163</v>
      </c>
      <c r="H63" s="1">
        <v>1.0</v>
      </c>
      <c r="I63" s="1">
        <v>0.0</v>
      </c>
      <c r="J63" s="1">
        <v>0.0</v>
      </c>
      <c r="K63" s="1">
        <v>0.0</v>
      </c>
      <c r="L63" s="1">
        <v>0.0</v>
      </c>
      <c r="N63" s="1">
        <v>0.0</v>
      </c>
    </row>
    <row r="64" ht="15.75" customHeight="1">
      <c r="A64" s="1" t="s">
        <v>160</v>
      </c>
      <c r="B64" s="1" t="s">
        <v>59</v>
      </c>
      <c r="C64" s="5">
        <v>45740.0</v>
      </c>
      <c r="D64" s="1" t="s">
        <v>161</v>
      </c>
      <c r="E64" s="1" t="s">
        <v>11</v>
      </c>
      <c r="F64" s="1" t="s">
        <v>165</v>
      </c>
      <c r="H64" s="1">
        <v>0.0</v>
      </c>
      <c r="I64" s="1">
        <v>1.0</v>
      </c>
      <c r="J64" s="1">
        <v>0.0</v>
      </c>
      <c r="K64" s="1">
        <v>24.0</v>
      </c>
      <c r="L64" s="1">
        <v>32.0</v>
      </c>
      <c r="M64" s="1">
        <v>0.75</v>
      </c>
      <c r="N64" s="1">
        <v>11.55000019</v>
      </c>
    </row>
    <row r="65" ht="15.75" customHeight="1">
      <c r="A65" s="1" t="s">
        <v>160</v>
      </c>
      <c r="B65" s="1" t="s">
        <v>39</v>
      </c>
      <c r="C65" s="5">
        <v>45740.0</v>
      </c>
      <c r="D65" s="1" t="s">
        <v>161</v>
      </c>
      <c r="E65" s="1" t="s">
        <v>11</v>
      </c>
      <c r="F65" s="1" t="s">
        <v>162</v>
      </c>
      <c r="H65" s="1">
        <v>0.0</v>
      </c>
      <c r="I65" s="1">
        <v>0.0</v>
      </c>
      <c r="J65" s="1">
        <v>0.0</v>
      </c>
      <c r="K65" s="1">
        <v>18.0</v>
      </c>
      <c r="L65" s="1">
        <v>26.0</v>
      </c>
      <c r="M65" s="1">
        <v>0.692307692</v>
      </c>
      <c r="N65" s="1">
        <v>13.77999973</v>
      </c>
    </row>
    <row r="66" ht="15.75" customHeight="1">
      <c r="A66" s="1" t="s">
        <v>160</v>
      </c>
      <c r="B66" s="1" t="s">
        <v>39</v>
      </c>
      <c r="C66" s="5">
        <v>45740.0</v>
      </c>
      <c r="D66" s="1" t="s">
        <v>161</v>
      </c>
      <c r="E66" s="1" t="s">
        <v>11</v>
      </c>
      <c r="F66" s="1" t="s">
        <v>166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N66" s="1">
        <v>0.0</v>
      </c>
    </row>
    <row r="67" ht="15.75" customHeight="1">
      <c r="A67" s="1" t="s">
        <v>160</v>
      </c>
      <c r="B67" s="1" t="s">
        <v>46</v>
      </c>
      <c r="C67" s="5">
        <v>45740.0</v>
      </c>
      <c r="D67" s="1" t="s">
        <v>161</v>
      </c>
      <c r="E67" s="1" t="s">
        <v>11</v>
      </c>
      <c r="F67" s="1" t="s">
        <v>165</v>
      </c>
      <c r="H67" s="1">
        <v>0.0</v>
      </c>
      <c r="I67" s="1">
        <v>2.0</v>
      </c>
      <c r="J67" s="1">
        <v>0.0</v>
      </c>
      <c r="K67" s="1">
        <v>29.0</v>
      </c>
      <c r="L67" s="1">
        <v>33.0</v>
      </c>
      <c r="M67" s="1">
        <v>0.878787879</v>
      </c>
      <c r="N67" s="1">
        <v>0.0</v>
      </c>
    </row>
    <row r="68" ht="15.75" customHeight="1">
      <c r="A68" s="1" t="s">
        <v>160</v>
      </c>
      <c r="B68" s="1" t="s">
        <v>46</v>
      </c>
      <c r="C68" s="5">
        <v>45740.0</v>
      </c>
      <c r="D68" s="1" t="s">
        <v>161</v>
      </c>
      <c r="E68" s="1" t="s">
        <v>11</v>
      </c>
      <c r="F68" s="1" t="s">
        <v>162</v>
      </c>
      <c r="H68" s="1">
        <v>0.0</v>
      </c>
      <c r="I68" s="1">
        <v>0.0</v>
      </c>
      <c r="J68" s="1">
        <v>0.0</v>
      </c>
      <c r="K68" s="1">
        <v>10.0</v>
      </c>
      <c r="L68" s="1">
        <v>22.0</v>
      </c>
      <c r="M68" s="1">
        <v>0.454545455</v>
      </c>
      <c r="N68" s="1">
        <v>0.0</v>
      </c>
    </row>
    <row r="69" ht="15.75" customHeight="1">
      <c r="A69" s="1" t="s">
        <v>160</v>
      </c>
      <c r="B69" s="1" t="s">
        <v>53</v>
      </c>
      <c r="C69" s="5">
        <v>45740.0</v>
      </c>
      <c r="D69" s="1" t="s">
        <v>161</v>
      </c>
      <c r="E69" s="1" t="s">
        <v>11</v>
      </c>
      <c r="F69" s="1" t="s">
        <v>165</v>
      </c>
      <c r="G69" s="1" t="s">
        <v>163</v>
      </c>
      <c r="H69" s="1">
        <v>1.0</v>
      </c>
      <c r="I69" s="1">
        <v>3.0</v>
      </c>
      <c r="J69" s="1">
        <v>0.0</v>
      </c>
      <c r="K69" s="1">
        <v>58.0</v>
      </c>
      <c r="L69" s="1">
        <v>66.0</v>
      </c>
      <c r="M69" s="1">
        <v>0.878787879</v>
      </c>
      <c r="N69" s="1">
        <v>26.52000046</v>
      </c>
    </row>
    <row r="70" ht="15.75" customHeight="1">
      <c r="A70" s="1" t="s">
        <v>160</v>
      </c>
      <c r="B70" s="1" t="s">
        <v>56</v>
      </c>
      <c r="C70" s="5">
        <v>45740.0</v>
      </c>
      <c r="D70" s="1" t="s">
        <v>161</v>
      </c>
      <c r="E70" s="1" t="s">
        <v>11</v>
      </c>
      <c r="F70" s="1" t="s">
        <v>165</v>
      </c>
      <c r="G70" s="1" t="s">
        <v>163</v>
      </c>
      <c r="H70" s="1">
        <v>1.0</v>
      </c>
      <c r="I70" s="1">
        <v>3.0</v>
      </c>
      <c r="J70" s="1">
        <v>0.0</v>
      </c>
      <c r="K70" s="1">
        <v>53.0</v>
      </c>
      <c r="L70" s="1">
        <v>73.0</v>
      </c>
      <c r="M70" s="1">
        <v>0.726027397</v>
      </c>
      <c r="N70" s="1">
        <v>28.87000084</v>
      </c>
    </row>
    <row r="71" ht="15.75" customHeight="1">
      <c r="A71" s="1" t="s">
        <v>160</v>
      </c>
      <c r="B71" s="1" t="s">
        <v>56</v>
      </c>
      <c r="C71" s="5">
        <v>45740.0</v>
      </c>
      <c r="D71" s="1" t="s">
        <v>161</v>
      </c>
      <c r="E71" s="1" t="s">
        <v>11</v>
      </c>
      <c r="F71" s="1" t="s">
        <v>162</v>
      </c>
      <c r="G71" s="1" t="s">
        <v>163</v>
      </c>
      <c r="H71" s="1">
        <v>1.0</v>
      </c>
      <c r="I71" s="1">
        <v>0.0</v>
      </c>
      <c r="J71" s="1">
        <v>0.0</v>
      </c>
      <c r="K71" s="1">
        <v>2.0</v>
      </c>
      <c r="L71" s="1">
        <v>7.0</v>
      </c>
      <c r="M71" s="1">
        <v>0.285714286</v>
      </c>
      <c r="N71" s="1">
        <v>0.0</v>
      </c>
    </row>
    <row r="72" ht="15.75" customHeight="1">
      <c r="A72" s="1" t="s">
        <v>160</v>
      </c>
      <c r="B72" s="1" t="s">
        <v>80</v>
      </c>
      <c r="C72" s="5">
        <v>45740.0</v>
      </c>
      <c r="D72" s="1" t="s">
        <v>161</v>
      </c>
      <c r="E72" s="1" t="s">
        <v>11</v>
      </c>
      <c r="H72" s="1">
        <v>0.0</v>
      </c>
      <c r="J72" s="1">
        <v>0.0</v>
      </c>
      <c r="N72" s="1">
        <v>0.079999998</v>
      </c>
    </row>
    <row r="73" ht="15.75" customHeight="1">
      <c r="A73" s="1" t="s">
        <v>160</v>
      </c>
      <c r="B73" s="1" t="s">
        <v>65</v>
      </c>
      <c r="C73" s="5">
        <v>45740.0</v>
      </c>
      <c r="D73" s="1" t="s">
        <v>161</v>
      </c>
      <c r="E73" s="1" t="s">
        <v>11</v>
      </c>
      <c r="F73" s="1" t="s">
        <v>162</v>
      </c>
      <c r="G73" s="1" t="s">
        <v>163</v>
      </c>
      <c r="H73" s="1">
        <v>1.0</v>
      </c>
      <c r="I73" s="1">
        <v>0.0</v>
      </c>
      <c r="J73" s="1">
        <v>0.0</v>
      </c>
      <c r="K73" s="1">
        <v>8.0</v>
      </c>
      <c r="L73" s="1">
        <v>15.0</v>
      </c>
      <c r="M73" s="1">
        <v>0.533333333</v>
      </c>
      <c r="N73" s="1">
        <v>15.65999985</v>
      </c>
    </row>
    <row r="74" ht="15.75" customHeight="1">
      <c r="A74" s="1" t="s">
        <v>160</v>
      </c>
      <c r="B74" s="1" t="s">
        <v>89</v>
      </c>
      <c r="C74" s="5">
        <v>45740.0</v>
      </c>
      <c r="D74" s="1" t="s">
        <v>161</v>
      </c>
      <c r="E74" s="1" t="s">
        <v>11</v>
      </c>
      <c r="F74" s="1" t="s">
        <v>165</v>
      </c>
      <c r="H74" s="1">
        <v>0.0</v>
      </c>
      <c r="I74" s="1">
        <v>0.0</v>
      </c>
      <c r="J74" s="1">
        <v>0.0</v>
      </c>
      <c r="K74" s="1">
        <v>1.0</v>
      </c>
      <c r="L74" s="1">
        <v>14.0</v>
      </c>
      <c r="M74" s="1">
        <v>0.071428571</v>
      </c>
      <c r="N74" s="1">
        <v>16.28000069</v>
      </c>
    </row>
    <row r="75" ht="15.75" customHeight="1">
      <c r="A75" s="1" t="s">
        <v>160</v>
      </c>
      <c r="B75" s="1" t="s">
        <v>69</v>
      </c>
      <c r="C75" s="5">
        <v>45740.0</v>
      </c>
      <c r="D75" s="1" t="s">
        <v>161</v>
      </c>
      <c r="E75" s="1" t="s">
        <v>11</v>
      </c>
      <c r="F75" s="1" t="s">
        <v>165</v>
      </c>
      <c r="G75" s="1" t="s">
        <v>163</v>
      </c>
      <c r="H75" s="1">
        <v>1.0</v>
      </c>
      <c r="I75" s="1">
        <v>0.0</v>
      </c>
      <c r="J75" s="1">
        <v>0.0</v>
      </c>
      <c r="K75" s="1">
        <v>2.0</v>
      </c>
      <c r="L75" s="1">
        <v>2.0</v>
      </c>
      <c r="M75" s="1">
        <v>1.0</v>
      </c>
      <c r="N75" s="1">
        <v>9.470000267</v>
      </c>
    </row>
    <row r="76" ht="15.75" customHeight="1">
      <c r="A76" s="1" t="s">
        <v>160</v>
      </c>
      <c r="B76" s="1" t="s">
        <v>90</v>
      </c>
      <c r="C76" s="5">
        <v>45740.0</v>
      </c>
      <c r="D76" s="1" t="s">
        <v>161</v>
      </c>
      <c r="E76" s="1" t="s">
        <v>11</v>
      </c>
      <c r="F76" s="1" t="s">
        <v>165</v>
      </c>
      <c r="G76" s="1" t="s">
        <v>163</v>
      </c>
      <c r="H76" s="1">
        <v>1.0</v>
      </c>
      <c r="I76" s="1">
        <v>1.0</v>
      </c>
      <c r="J76" s="1">
        <v>0.0</v>
      </c>
      <c r="K76" s="1">
        <v>26.0</v>
      </c>
      <c r="L76" s="1">
        <v>42.0</v>
      </c>
      <c r="M76" s="1">
        <v>0.619047619</v>
      </c>
      <c r="N76" s="1">
        <v>16.14999962</v>
      </c>
    </row>
    <row r="77" ht="15.75" customHeight="1">
      <c r="A77" s="1" t="s">
        <v>160</v>
      </c>
      <c r="B77" s="1" t="s">
        <v>93</v>
      </c>
      <c r="C77" s="5">
        <v>45740.0</v>
      </c>
      <c r="D77" s="1" t="s">
        <v>161</v>
      </c>
      <c r="E77" s="1" t="s">
        <v>11</v>
      </c>
      <c r="F77" s="1" t="s">
        <v>166</v>
      </c>
      <c r="G77" s="1" t="s">
        <v>163</v>
      </c>
      <c r="H77" s="1">
        <v>1.0</v>
      </c>
      <c r="I77" s="1">
        <v>0.0</v>
      </c>
      <c r="J77" s="1">
        <v>0.0</v>
      </c>
      <c r="K77" s="1">
        <v>14.0</v>
      </c>
      <c r="L77" s="1">
        <v>16.0</v>
      </c>
      <c r="M77" s="1">
        <v>0.875</v>
      </c>
      <c r="N77" s="1">
        <v>23.77000046</v>
      </c>
    </row>
    <row r="78" ht="15.75" customHeight="1">
      <c r="A78" s="1" t="s">
        <v>160</v>
      </c>
      <c r="B78" s="1" t="s">
        <v>94</v>
      </c>
      <c r="C78" s="5">
        <v>45740.0</v>
      </c>
      <c r="D78" s="1" t="s">
        <v>161</v>
      </c>
      <c r="E78" s="1" t="s">
        <v>11</v>
      </c>
      <c r="F78" s="1" t="s">
        <v>166</v>
      </c>
      <c r="G78" s="1" t="s">
        <v>163</v>
      </c>
      <c r="H78" s="1">
        <v>1.0</v>
      </c>
      <c r="I78" s="1">
        <v>1.0</v>
      </c>
      <c r="J78" s="1">
        <v>0.0</v>
      </c>
      <c r="K78" s="1">
        <v>26.0</v>
      </c>
      <c r="L78" s="1">
        <v>34.0</v>
      </c>
      <c r="M78" s="1">
        <v>0.764705882</v>
      </c>
      <c r="N78" s="1">
        <v>40.13999939</v>
      </c>
    </row>
    <row r="79" ht="15.75" customHeight="1">
      <c r="A79" s="1" t="s">
        <v>160</v>
      </c>
      <c r="B79" s="1" t="s">
        <v>109</v>
      </c>
      <c r="C79" s="5">
        <v>45740.0</v>
      </c>
      <c r="D79" s="1" t="s">
        <v>161</v>
      </c>
      <c r="E79" s="1" t="s">
        <v>11</v>
      </c>
      <c r="F79" s="1" t="s">
        <v>162</v>
      </c>
      <c r="H79" s="1">
        <v>0.0</v>
      </c>
      <c r="I79" s="1">
        <v>0.0</v>
      </c>
      <c r="J79" s="1">
        <v>0.0</v>
      </c>
      <c r="K79" s="1">
        <v>0.0</v>
      </c>
      <c r="L79" s="1">
        <v>4.0</v>
      </c>
      <c r="M79" s="1">
        <v>0.0</v>
      </c>
      <c r="N79" s="1">
        <v>6.940000057</v>
      </c>
    </row>
    <row r="80" ht="15.75" customHeight="1">
      <c r="A80" s="1" t="s">
        <v>164</v>
      </c>
      <c r="B80" s="1" t="s">
        <v>24</v>
      </c>
      <c r="C80" s="5">
        <v>45740.0</v>
      </c>
      <c r="D80" s="1" t="s">
        <v>161</v>
      </c>
      <c r="E80" s="1" t="s">
        <v>11</v>
      </c>
      <c r="F80" s="1" t="s">
        <v>166</v>
      </c>
      <c r="H80" s="1">
        <v>0.0</v>
      </c>
      <c r="I80" s="1">
        <v>0.0</v>
      </c>
      <c r="J80" s="1">
        <v>0.0</v>
      </c>
      <c r="K80" s="1">
        <v>0.0</v>
      </c>
      <c r="L80" s="1">
        <v>0.0</v>
      </c>
      <c r="N80" s="1">
        <v>3.849999905</v>
      </c>
    </row>
    <row r="81" ht="15.75" customHeight="1">
      <c r="A81" s="1" t="s">
        <v>164</v>
      </c>
      <c r="B81" s="1" t="s">
        <v>49</v>
      </c>
      <c r="C81" s="5">
        <v>45740.0</v>
      </c>
      <c r="D81" s="1" t="s">
        <v>161</v>
      </c>
      <c r="E81" s="1" t="s">
        <v>11</v>
      </c>
      <c r="F81" s="1" t="s">
        <v>162</v>
      </c>
      <c r="G81" s="1" t="s">
        <v>163</v>
      </c>
      <c r="H81" s="1">
        <v>1.0</v>
      </c>
      <c r="I81" s="1">
        <v>0.0</v>
      </c>
      <c r="J81" s="1">
        <v>0.0</v>
      </c>
      <c r="K81" s="1">
        <v>16.0</v>
      </c>
      <c r="L81" s="1">
        <v>26.0</v>
      </c>
      <c r="M81" s="1">
        <v>0.615384615</v>
      </c>
      <c r="N81" s="1">
        <v>12.19999981</v>
      </c>
    </row>
    <row r="82" ht="15.75" customHeight="1">
      <c r="A82" s="1" t="s">
        <v>164</v>
      </c>
      <c r="B82" s="1" t="s">
        <v>52</v>
      </c>
      <c r="C82" s="5">
        <v>45740.0</v>
      </c>
      <c r="D82" s="1" t="s">
        <v>161</v>
      </c>
      <c r="E82" s="1" t="s">
        <v>11</v>
      </c>
      <c r="F82" s="1" t="s">
        <v>165</v>
      </c>
      <c r="G82" s="1" t="s">
        <v>163</v>
      </c>
      <c r="H82" s="1">
        <v>1.0</v>
      </c>
      <c r="I82" s="1">
        <v>0.0</v>
      </c>
      <c r="J82" s="1">
        <v>0.0</v>
      </c>
      <c r="K82" s="1">
        <v>5.0</v>
      </c>
      <c r="L82" s="1">
        <v>15.0</v>
      </c>
      <c r="M82" s="1">
        <v>0.333333333</v>
      </c>
      <c r="N82" s="1">
        <v>19.87000084</v>
      </c>
    </row>
    <row r="83" ht="15.75" customHeight="1">
      <c r="A83" s="1" t="s">
        <v>164</v>
      </c>
      <c r="B83" s="1" t="s">
        <v>52</v>
      </c>
      <c r="C83" s="5">
        <v>45740.0</v>
      </c>
      <c r="D83" s="1" t="s">
        <v>161</v>
      </c>
      <c r="E83" s="1" t="s">
        <v>11</v>
      </c>
      <c r="F83" s="1" t="s">
        <v>162</v>
      </c>
      <c r="G83" s="1" t="s">
        <v>163</v>
      </c>
      <c r="H83" s="1">
        <v>1.0</v>
      </c>
      <c r="I83" s="1">
        <v>0.0</v>
      </c>
      <c r="J83" s="1">
        <v>0.0</v>
      </c>
      <c r="K83" s="1">
        <v>4.0</v>
      </c>
      <c r="L83" s="1">
        <v>4.0</v>
      </c>
      <c r="M83" s="1">
        <v>1.0</v>
      </c>
      <c r="N83" s="1">
        <v>0.0</v>
      </c>
    </row>
    <row r="84" ht="15.75" customHeight="1">
      <c r="A84" s="1" t="s">
        <v>164</v>
      </c>
      <c r="B84" s="1" t="s">
        <v>62</v>
      </c>
      <c r="C84" s="5">
        <v>45740.0</v>
      </c>
      <c r="D84" s="1" t="s">
        <v>161</v>
      </c>
      <c r="E84" s="1" t="s">
        <v>11</v>
      </c>
      <c r="F84" s="1" t="s">
        <v>165</v>
      </c>
      <c r="G84" s="1" t="s">
        <v>163</v>
      </c>
      <c r="H84" s="1">
        <v>1.0</v>
      </c>
      <c r="I84" s="1">
        <v>0.0</v>
      </c>
      <c r="J84" s="1">
        <v>0.0</v>
      </c>
      <c r="K84" s="1">
        <v>17.0</v>
      </c>
      <c r="L84" s="1">
        <v>21.0</v>
      </c>
      <c r="M84" s="1">
        <v>0.80952381</v>
      </c>
      <c r="N84" s="1">
        <v>11.85999966</v>
      </c>
    </row>
    <row r="85" ht="15.75" customHeight="1">
      <c r="A85" s="1" t="s">
        <v>164</v>
      </c>
      <c r="B85" s="1" t="s">
        <v>64</v>
      </c>
      <c r="C85" s="5">
        <v>45740.0</v>
      </c>
      <c r="D85" s="1" t="s">
        <v>161</v>
      </c>
      <c r="E85" s="1" t="s">
        <v>296</v>
      </c>
      <c r="H85" s="1">
        <v>0.0</v>
      </c>
      <c r="J85" s="1">
        <v>0.0</v>
      </c>
      <c r="N85" s="1">
        <v>9.960000038</v>
      </c>
    </row>
    <row r="86" ht="15.75" customHeight="1">
      <c r="A86" s="1" t="s">
        <v>164</v>
      </c>
      <c r="B86" s="1" t="s">
        <v>70</v>
      </c>
      <c r="C86" s="5">
        <v>45740.0</v>
      </c>
      <c r="D86" s="1" t="s">
        <v>161</v>
      </c>
      <c r="E86" s="1" t="s">
        <v>11</v>
      </c>
      <c r="F86" s="1" t="s">
        <v>166</v>
      </c>
      <c r="G86" s="1" t="s">
        <v>163</v>
      </c>
      <c r="H86" s="1">
        <v>1.0</v>
      </c>
      <c r="I86" s="1">
        <v>0.0</v>
      </c>
      <c r="J86" s="1">
        <v>0.0</v>
      </c>
      <c r="K86" s="1">
        <v>14.0</v>
      </c>
      <c r="L86" s="1">
        <v>22.0</v>
      </c>
      <c r="M86" s="1">
        <v>0.636363636</v>
      </c>
      <c r="N86" s="1">
        <v>30.89999962</v>
      </c>
    </row>
    <row r="87" ht="15.75" customHeight="1">
      <c r="A87" s="1" t="s">
        <v>164</v>
      </c>
      <c r="B87" s="1" t="s">
        <v>51</v>
      </c>
      <c r="C87" s="5">
        <v>45740.0</v>
      </c>
      <c r="D87" s="1" t="s">
        <v>161</v>
      </c>
      <c r="E87" s="1" t="s">
        <v>11</v>
      </c>
      <c r="F87" s="1" t="s">
        <v>165</v>
      </c>
      <c r="G87" s="1" t="s">
        <v>163</v>
      </c>
      <c r="H87" s="1">
        <v>1.0</v>
      </c>
      <c r="I87" s="1">
        <v>0.0</v>
      </c>
      <c r="J87" s="1">
        <v>0.0</v>
      </c>
      <c r="K87" s="1">
        <v>4.0</v>
      </c>
      <c r="L87" s="1">
        <v>12.0</v>
      </c>
      <c r="M87" s="1">
        <v>0.333333333</v>
      </c>
      <c r="N87" s="1">
        <v>9.600000381</v>
      </c>
    </row>
    <row r="88" ht="15.75" customHeight="1">
      <c r="A88" s="1" t="s">
        <v>164</v>
      </c>
      <c r="B88" s="1" t="s">
        <v>78</v>
      </c>
      <c r="C88" s="5">
        <v>45740.0</v>
      </c>
      <c r="D88" s="1" t="s">
        <v>161</v>
      </c>
      <c r="E88" s="1" t="s">
        <v>11</v>
      </c>
      <c r="F88" s="1" t="s">
        <v>165</v>
      </c>
      <c r="G88" s="1" t="s">
        <v>163</v>
      </c>
      <c r="H88" s="1">
        <v>1.0</v>
      </c>
      <c r="I88" s="1">
        <v>0.0</v>
      </c>
      <c r="J88" s="1">
        <v>0.0</v>
      </c>
      <c r="K88" s="1">
        <v>10.0</v>
      </c>
      <c r="L88" s="1">
        <v>12.0</v>
      </c>
      <c r="M88" s="1">
        <v>0.833333333</v>
      </c>
      <c r="N88" s="1">
        <v>3.619999886</v>
      </c>
    </row>
    <row r="89" ht="15.75" customHeight="1">
      <c r="A89" s="1" t="s">
        <v>164</v>
      </c>
      <c r="B89" s="1" t="s">
        <v>187</v>
      </c>
      <c r="C89" s="5">
        <v>45740.0</v>
      </c>
      <c r="D89" s="1" t="s">
        <v>161</v>
      </c>
      <c r="E89" s="1" t="s">
        <v>11</v>
      </c>
      <c r="H89" s="1">
        <v>0.0</v>
      </c>
      <c r="J89" s="1">
        <v>0.0</v>
      </c>
      <c r="N89" s="1">
        <v>1.539999962</v>
      </c>
    </row>
    <row r="90" ht="15.75" customHeight="1">
      <c r="A90" s="1" t="s">
        <v>164</v>
      </c>
      <c r="B90" s="1" t="s">
        <v>63</v>
      </c>
      <c r="C90" s="5">
        <v>45740.0</v>
      </c>
      <c r="D90" s="1" t="s">
        <v>161</v>
      </c>
      <c r="E90" s="1" t="s">
        <v>11</v>
      </c>
      <c r="F90" s="1" t="s">
        <v>166</v>
      </c>
      <c r="G90" s="1" t="s">
        <v>163</v>
      </c>
      <c r="H90" s="1">
        <v>1.0</v>
      </c>
      <c r="I90" s="1">
        <v>0.0</v>
      </c>
      <c r="J90" s="1">
        <v>0.0</v>
      </c>
      <c r="K90" s="1">
        <v>10.0</v>
      </c>
      <c r="L90" s="1">
        <v>19.0</v>
      </c>
      <c r="M90" s="1">
        <v>0.526315789</v>
      </c>
      <c r="N90" s="1">
        <v>14.80000019</v>
      </c>
    </row>
    <row r="91" ht="15.75" customHeight="1">
      <c r="A91" s="1" t="s">
        <v>164</v>
      </c>
      <c r="B91" s="1" t="s">
        <v>68</v>
      </c>
      <c r="C91" s="5">
        <v>45740.0</v>
      </c>
      <c r="D91" s="1" t="s">
        <v>161</v>
      </c>
      <c r="E91" s="1" t="s">
        <v>11</v>
      </c>
      <c r="H91" s="1">
        <v>0.0</v>
      </c>
      <c r="J91" s="1">
        <v>0.0</v>
      </c>
      <c r="N91" s="1">
        <v>16.37999916</v>
      </c>
    </row>
    <row r="92" ht="15.75" customHeight="1">
      <c r="A92" s="1" t="s">
        <v>164</v>
      </c>
      <c r="B92" s="1" t="s">
        <v>74</v>
      </c>
      <c r="C92" s="5">
        <v>45740.0</v>
      </c>
      <c r="D92" s="1" t="s">
        <v>161</v>
      </c>
      <c r="E92" s="1" t="s">
        <v>11</v>
      </c>
      <c r="F92" s="1" t="s">
        <v>166</v>
      </c>
      <c r="G92" s="1" t="s">
        <v>163</v>
      </c>
      <c r="H92" s="1">
        <v>1.0</v>
      </c>
      <c r="I92" s="1">
        <v>0.0</v>
      </c>
      <c r="J92" s="1">
        <v>0.0</v>
      </c>
      <c r="K92" s="1">
        <v>4.0</v>
      </c>
      <c r="L92" s="1">
        <v>7.0</v>
      </c>
      <c r="M92" s="1">
        <v>0.571428571</v>
      </c>
      <c r="N92" s="1">
        <v>18.04000092</v>
      </c>
    </row>
    <row r="93" ht="15.75" customHeight="1">
      <c r="A93" s="1" t="s">
        <v>164</v>
      </c>
      <c r="B93" s="1" t="s">
        <v>75</v>
      </c>
      <c r="C93" s="5">
        <v>45740.0</v>
      </c>
      <c r="D93" s="1" t="s">
        <v>161</v>
      </c>
      <c r="E93" s="1" t="s">
        <v>11</v>
      </c>
      <c r="F93" s="1" t="s">
        <v>165</v>
      </c>
      <c r="H93" s="1">
        <v>0.0</v>
      </c>
      <c r="I93" s="1">
        <v>0.0</v>
      </c>
      <c r="J93" s="1">
        <v>0.0</v>
      </c>
      <c r="K93" s="1">
        <v>22.0</v>
      </c>
      <c r="L93" s="1">
        <v>29.0</v>
      </c>
      <c r="M93" s="1">
        <v>0.75862069</v>
      </c>
      <c r="N93" s="1">
        <v>16.92000008</v>
      </c>
    </row>
    <row r="94" ht="15.75" customHeight="1">
      <c r="A94" s="1" t="s">
        <v>164</v>
      </c>
      <c r="B94" s="1" t="s">
        <v>82</v>
      </c>
      <c r="C94" s="5">
        <v>45740.0</v>
      </c>
      <c r="D94" s="1" t="s">
        <v>161</v>
      </c>
      <c r="E94" s="1" t="s">
        <v>11</v>
      </c>
      <c r="F94" s="1" t="s">
        <v>165</v>
      </c>
      <c r="G94" s="1" t="s">
        <v>163</v>
      </c>
      <c r="H94" s="1">
        <v>1.0</v>
      </c>
      <c r="I94" s="1">
        <v>0.0</v>
      </c>
      <c r="J94" s="1">
        <v>0.0</v>
      </c>
      <c r="K94" s="1">
        <v>4.0</v>
      </c>
      <c r="L94" s="1">
        <v>8.0</v>
      </c>
      <c r="M94" s="1">
        <v>0.5</v>
      </c>
      <c r="N94" s="1">
        <v>8.619999886</v>
      </c>
    </row>
    <row r="95" ht="15.75" customHeight="1">
      <c r="A95" s="1" t="s">
        <v>164</v>
      </c>
      <c r="B95" s="1" t="s">
        <v>82</v>
      </c>
      <c r="C95" s="5">
        <v>45740.0</v>
      </c>
      <c r="D95" s="1" t="s">
        <v>161</v>
      </c>
      <c r="E95" s="1" t="s">
        <v>11</v>
      </c>
      <c r="F95" s="1" t="s">
        <v>166</v>
      </c>
      <c r="G95" s="1" t="s">
        <v>163</v>
      </c>
      <c r="H95" s="1">
        <v>1.0</v>
      </c>
      <c r="I95" s="1">
        <v>1.0</v>
      </c>
      <c r="J95" s="1">
        <v>0.0</v>
      </c>
      <c r="K95" s="1">
        <v>4.0</v>
      </c>
      <c r="L95" s="1">
        <v>4.0</v>
      </c>
      <c r="M95" s="1">
        <v>1.0</v>
      </c>
      <c r="N95" s="1">
        <v>0.0</v>
      </c>
    </row>
    <row r="96" ht="15.75" customHeight="1">
      <c r="A96" s="1" t="s">
        <v>164</v>
      </c>
      <c r="B96" s="1" t="s">
        <v>96</v>
      </c>
      <c r="C96" s="5">
        <v>45740.0</v>
      </c>
      <c r="D96" s="1" t="s">
        <v>161</v>
      </c>
      <c r="E96" s="1" t="s">
        <v>11</v>
      </c>
      <c r="F96" s="1" t="s">
        <v>165</v>
      </c>
      <c r="G96" s="1" t="s">
        <v>163</v>
      </c>
      <c r="H96" s="1">
        <v>1.0</v>
      </c>
      <c r="I96" s="1">
        <v>0.0</v>
      </c>
      <c r="J96" s="1">
        <v>0.0</v>
      </c>
      <c r="K96" s="1">
        <v>36.0</v>
      </c>
      <c r="L96" s="1">
        <v>69.0</v>
      </c>
      <c r="M96" s="1">
        <v>0.52173913</v>
      </c>
      <c r="N96" s="1">
        <v>86.94999695</v>
      </c>
    </row>
    <row r="97" ht="15.75" customHeight="1">
      <c r="A97" s="1" t="s">
        <v>180</v>
      </c>
      <c r="B97" s="1" t="s">
        <v>45</v>
      </c>
      <c r="C97" s="5">
        <v>45740.0</v>
      </c>
      <c r="D97" s="1" t="s">
        <v>161</v>
      </c>
      <c r="E97" s="1" t="s">
        <v>11</v>
      </c>
      <c r="F97" s="1" t="s">
        <v>166</v>
      </c>
      <c r="G97" s="1" t="s">
        <v>163</v>
      </c>
      <c r="H97" s="1">
        <v>1.0</v>
      </c>
      <c r="I97" s="1">
        <v>3.0</v>
      </c>
      <c r="J97" s="1">
        <v>0.0</v>
      </c>
      <c r="K97" s="1">
        <v>97.0</v>
      </c>
      <c r="L97" s="1">
        <v>127.0</v>
      </c>
      <c r="M97" s="1">
        <v>0.763779528</v>
      </c>
      <c r="N97" s="1">
        <v>43.75</v>
      </c>
    </row>
    <row r="98" ht="15.75" customHeight="1">
      <c r="A98" s="1" t="s">
        <v>160</v>
      </c>
      <c r="B98" s="1" t="s">
        <v>65</v>
      </c>
      <c r="C98" s="5">
        <v>45739.0</v>
      </c>
      <c r="D98" s="1" t="s">
        <v>161</v>
      </c>
      <c r="E98" s="1" t="s">
        <v>11</v>
      </c>
      <c r="F98" s="1" t="s">
        <v>162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N98" s="1">
        <v>0.0</v>
      </c>
    </row>
    <row r="99" ht="15.75" customHeight="1">
      <c r="A99" s="1" t="s">
        <v>164</v>
      </c>
      <c r="B99" s="1" t="s">
        <v>62</v>
      </c>
      <c r="C99" s="5">
        <v>45739.0</v>
      </c>
      <c r="D99" s="1" t="s">
        <v>161</v>
      </c>
      <c r="E99" s="1" t="s">
        <v>11</v>
      </c>
      <c r="F99" s="1" t="s">
        <v>165</v>
      </c>
      <c r="G99" s="1" t="s">
        <v>163</v>
      </c>
      <c r="H99" s="1">
        <v>1.0</v>
      </c>
      <c r="I99" s="1">
        <v>1.0</v>
      </c>
      <c r="J99" s="1">
        <v>0.0</v>
      </c>
      <c r="K99" s="1">
        <v>22.0</v>
      </c>
      <c r="L99" s="1">
        <v>28.0</v>
      </c>
      <c r="M99" s="1">
        <v>0.785714286</v>
      </c>
      <c r="N99" s="1">
        <v>9.850000381</v>
      </c>
    </row>
    <row r="100" ht="15.75" customHeight="1">
      <c r="A100" s="1" t="s">
        <v>160</v>
      </c>
      <c r="B100" s="1" t="s">
        <v>26</v>
      </c>
      <c r="C100" s="5">
        <v>45737.0</v>
      </c>
      <c r="D100" s="1" t="s">
        <v>161</v>
      </c>
      <c r="E100" s="1" t="s">
        <v>11</v>
      </c>
      <c r="F100" s="1" t="s">
        <v>162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N100" s="1">
        <v>2.390000105</v>
      </c>
    </row>
    <row r="101" ht="15.75" customHeight="1">
      <c r="A101" s="1" t="s">
        <v>160</v>
      </c>
      <c r="B101" s="1" t="s">
        <v>18</v>
      </c>
      <c r="C101" s="5">
        <v>45737.0</v>
      </c>
      <c r="D101" s="1" t="s">
        <v>161</v>
      </c>
      <c r="E101" s="1" t="s">
        <v>11</v>
      </c>
      <c r="H101" s="1">
        <v>0.0</v>
      </c>
      <c r="J101" s="1">
        <v>0.0</v>
      </c>
      <c r="N101" s="1">
        <v>0.519999981</v>
      </c>
    </row>
    <row r="102" ht="15.75" customHeight="1">
      <c r="A102" s="1" t="s">
        <v>160</v>
      </c>
      <c r="B102" s="1" t="s">
        <v>38</v>
      </c>
      <c r="C102" s="5">
        <v>45737.0</v>
      </c>
      <c r="D102" s="1" t="s">
        <v>161</v>
      </c>
      <c r="E102" s="1" t="s">
        <v>11</v>
      </c>
      <c r="H102" s="1">
        <v>0.0</v>
      </c>
      <c r="J102" s="1">
        <v>0.0</v>
      </c>
      <c r="N102" s="1">
        <v>1.110000014</v>
      </c>
    </row>
    <row r="103" ht="15.75" customHeight="1">
      <c r="A103" s="1" t="s">
        <v>160</v>
      </c>
      <c r="B103" s="1" t="s">
        <v>65</v>
      </c>
      <c r="C103" s="5">
        <v>45737.0</v>
      </c>
      <c r="D103" s="1" t="s">
        <v>161</v>
      </c>
      <c r="E103" s="1" t="s">
        <v>11</v>
      </c>
      <c r="F103" s="1" t="s">
        <v>162</v>
      </c>
      <c r="G103" s="1" t="s">
        <v>163</v>
      </c>
      <c r="H103" s="1">
        <v>1.0</v>
      </c>
      <c r="I103" s="1">
        <v>1.0</v>
      </c>
      <c r="J103" s="1">
        <v>0.0</v>
      </c>
      <c r="K103" s="1">
        <v>18.0</v>
      </c>
      <c r="L103" s="1">
        <v>26.0</v>
      </c>
      <c r="M103" s="1">
        <v>0.692307692</v>
      </c>
      <c r="N103" s="1">
        <v>19.03000069</v>
      </c>
    </row>
    <row r="104" ht="15.75" customHeight="1">
      <c r="A104" s="1" t="s">
        <v>160</v>
      </c>
      <c r="B104" s="1" t="s">
        <v>92</v>
      </c>
      <c r="C104" s="5">
        <v>45737.0</v>
      </c>
      <c r="D104" s="1" t="s">
        <v>161</v>
      </c>
      <c r="E104" s="1" t="s">
        <v>11</v>
      </c>
      <c r="F104" s="1" t="s">
        <v>165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N104" s="1">
        <v>1.610000014</v>
      </c>
    </row>
    <row r="105" ht="15.75" customHeight="1">
      <c r="A105" s="1" t="s">
        <v>160</v>
      </c>
      <c r="B105" s="1" t="s">
        <v>77</v>
      </c>
      <c r="C105" s="5">
        <v>45737.0</v>
      </c>
      <c r="D105" s="1" t="s">
        <v>161</v>
      </c>
      <c r="E105" s="1" t="s">
        <v>11</v>
      </c>
      <c r="F105" s="1" t="s">
        <v>162</v>
      </c>
      <c r="G105" s="1" t="s">
        <v>163</v>
      </c>
      <c r="H105" s="1">
        <v>1.0</v>
      </c>
      <c r="I105" s="1">
        <v>0.0</v>
      </c>
      <c r="J105" s="1">
        <v>0.0</v>
      </c>
      <c r="K105" s="1">
        <v>12.0</v>
      </c>
      <c r="L105" s="1">
        <v>16.0</v>
      </c>
      <c r="M105" s="1">
        <v>0.75</v>
      </c>
      <c r="N105" s="1">
        <v>11.21000004</v>
      </c>
    </row>
    <row r="106" ht="15.75" customHeight="1">
      <c r="A106" s="1" t="s">
        <v>160</v>
      </c>
      <c r="B106" s="1" t="s">
        <v>90</v>
      </c>
      <c r="C106" s="5">
        <v>45737.0</v>
      </c>
      <c r="D106" s="1" t="s">
        <v>161</v>
      </c>
      <c r="E106" s="1" t="s">
        <v>11</v>
      </c>
      <c r="F106" s="1" t="s">
        <v>165</v>
      </c>
      <c r="G106" s="1" t="s">
        <v>163</v>
      </c>
      <c r="H106" s="1">
        <v>1.0</v>
      </c>
      <c r="I106" s="1">
        <v>2.0</v>
      </c>
      <c r="J106" s="1">
        <v>0.0</v>
      </c>
      <c r="K106" s="1">
        <v>28.0</v>
      </c>
      <c r="L106" s="1">
        <v>42.0</v>
      </c>
      <c r="M106" s="1">
        <v>0.666666667</v>
      </c>
      <c r="N106" s="1">
        <v>12.14999962</v>
      </c>
    </row>
    <row r="107" ht="15.75" customHeight="1">
      <c r="A107" s="1" t="s">
        <v>164</v>
      </c>
      <c r="B107" s="1" t="s">
        <v>24</v>
      </c>
      <c r="C107" s="5">
        <v>45737.0</v>
      </c>
      <c r="D107" s="1" t="s">
        <v>161</v>
      </c>
      <c r="E107" s="1" t="s">
        <v>11</v>
      </c>
      <c r="F107" s="1" t="s">
        <v>162</v>
      </c>
      <c r="G107" s="1" t="s">
        <v>163</v>
      </c>
      <c r="H107" s="1">
        <v>1.0</v>
      </c>
      <c r="I107" s="1">
        <v>0.0</v>
      </c>
      <c r="J107" s="1">
        <v>0.0</v>
      </c>
      <c r="K107" s="1">
        <v>0.0</v>
      </c>
      <c r="L107" s="1">
        <v>0.0</v>
      </c>
      <c r="N107" s="1">
        <v>0.0</v>
      </c>
    </row>
    <row r="108" ht="15.75" customHeight="1">
      <c r="A108" s="1" t="s">
        <v>164</v>
      </c>
      <c r="B108" s="1" t="s">
        <v>24</v>
      </c>
      <c r="C108" s="5">
        <v>45737.0</v>
      </c>
      <c r="D108" s="1" t="s">
        <v>161</v>
      </c>
      <c r="E108" s="1" t="s">
        <v>11</v>
      </c>
      <c r="F108" s="1" t="s">
        <v>166</v>
      </c>
      <c r="G108" s="1" t="s">
        <v>163</v>
      </c>
      <c r="H108" s="1">
        <v>1.0</v>
      </c>
      <c r="I108" s="1">
        <v>0.0</v>
      </c>
      <c r="J108" s="1">
        <v>0.0</v>
      </c>
      <c r="K108" s="1">
        <v>6.0</v>
      </c>
      <c r="L108" s="1">
        <v>10.0</v>
      </c>
      <c r="M108" s="1">
        <v>0.6</v>
      </c>
      <c r="N108" s="1">
        <v>6.260000229</v>
      </c>
    </row>
    <row r="109" ht="15.75" customHeight="1">
      <c r="A109" s="1" t="s">
        <v>164</v>
      </c>
      <c r="B109" s="1" t="s">
        <v>49</v>
      </c>
      <c r="C109" s="5">
        <v>45737.0</v>
      </c>
      <c r="D109" s="1" t="s">
        <v>161</v>
      </c>
      <c r="E109" s="1" t="s">
        <v>11</v>
      </c>
      <c r="F109" s="1" t="s">
        <v>162</v>
      </c>
      <c r="G109" s="1" t="s">
        <v>163</v>
      </c>
      <c r="H109" s="1">
        <v>1.0</v>
      </c>
      <c r="I109" s="1">
        <v>0.0</v>
      </c>
      <c r="J109" s="1">
        <v>0.0</v>
      </c>
      <c r="K109" s="1">
        <v>35.0</v>
      </c>
      <c r="L109" s="1">
        <v>49.0</v>
      </c>
      <c r="M109" s="1">
        <v>0.714285714</v>
      </c>
      <c r="N109" s="1">
        <v>19.85000038</v>
      </c>
    </row>
    <row r="110" ht="15.75" customHeight="1">
      <c r="A110" s="1" t="s">
        <v>164</v>
      </c>
      <c r="B110" s="1" t="s">
        <v>52</v>
      </c>
      <c r="C110" s="5">
        <v>45737.0</v>
      </c>
      <c r="D110" s="1" t="s">
        <v>161</v>
      </c>
      <c r="E110" s="1" t="s">
        <v>11</v>
      </c>
      <c r="F110" s="1" t="s">
        <v>165</v>
      </c>
      <c r="G110" s="1" t="s">
        <v>163</v>
      </c>
      <c r="H110" s="1">
        <v>1.0</v>
      </c>
      <c r="I110" s="1">
        <v>0.0</v>
      </c>
      <c r="J110" s="1">
        <v>0.0</v>
      </c>
      <c r="K110" s="1">
        <v>4.0</v>
      </c>
      <c r="L110" s="1">
        <v>4.0</v>
      </c>
      <c r="M110" s="1">
        <v>1.0</v>
      </c>
      <c r="N110" s="1">
        <v>2.880000114</v>
      </c>
    </row>
    <row r="111" ht="15.75" customHeight="1">
      <c r="A111" s="1" t="s">
        <v>164</v>
      </c>
      <c r="B111" s="1" t="s">
        <v>62</v>
      </c>
      <c r="C111" s="5">
        <v>45737.0</v>
      </c>
      <c r="D111" s="1" t="s">
        <v>161</v>
      </c>
      <c r="E111" s="1" t="s">
        <v>11</v>
      </c>
      <c r="H111" s="1">
        <v>0.0</v>
      </c>
      <c r="J111" s="1">
        <v>0.0</v>
      </c>
      <c r="N111" s="1">
        <v>14.85999966</v>
      </c>
    </row>
    <row r="112" ht="15.75" customHeight="1">
      <c r="A112" s="1" t="s">
        <v>164</v>
      </c>
      <c r="B112" s="1" t="s">
        <v>64</v>
      </c>
      <c r="C112" s="5">
        <v>45737.0</v>
      </c>
      <c r="D112" s="1" t="s">
        <v>161</v>
      </c>
      <c r="E112" s="1" t="s">
        <v>11</v>
      </c>
      <c r="H112" s="1">
        <v>0.0</v>
      </c>
      <c r="J112" s="1">
        <v>0.0</v>
      </c>
      <c r="N112" s="1">
        <v>0.02</v>
      </c>
    </row>
    <row r="113" ht="15.75" customHeight="1">
      <c r="A113" s="1" t="s">
        <v>164</v>
      </c>
      <c r="B113" s="1" t="s">
        <v>51</v>
      </c>
      <c r="C113" s="5">
        <v>45737.0</v>
      </c>
      <c r="D113" s="1" t="s">
        <v>161</v>
      </c>
      <c r="E113" s="1" t="s">
        <v>11</v>
      </c>
      <c r="F113" s="1" t="s">
        <v>165</v>
      </c>
      <c r="G113" s="1" t="s">
        <v>163</v>
      </c>
      <c r="H113" s="1">
        <v>1.0</v>
      </c>
      <c r="I113" s="1">
        <v>0.0</v>
      </c>
      <c r="J113" s="1">
        <v>0.0</v>
      </c>
      <c r="K113" s="1">
        <v>8.0</v>
      </c>
      <c r="L113" s="1">
        <v>24.0</v>
      </c>
      <c r="M113" s="1">
        <v>0.333333333</v>
      </c>
      <c r="N113" s="1">
        <v>18.47999954</v>
      </c>
    </row>
    <row r="114" ht="15.75" customHeight="1">
      <c r="A114" s="1" t="s">
        <v>164</v>
      </c>
      <c r="B114" s="1" t="s">
        <v>78</v>
      </c>
      <c r="C114" s="5">
        <v>45737.0</v>
      </c>
      <c r="D114" s="1" t="s">
        <v>161</v>
      </c>
      <c r="E114" s="1" t="s">
        <v>11</v>
      </c>
      <c r="F114" s="1" t="s">
        <v>165</v>
      </c>
      <c r="G114" s="1" t="s">
        <v>163</v>
      </c>
      <c r="H114" s="1">
        <v>1.0</v>
      </c>
      <c r="I114" s="1">
        <v>1.0</v>
      </c>
      <c r="J114" s="1">
        <v>0.0</v>
      </c>
      <c r="K114" s="1">
        <v>14.0</v>
      </c>
      <c r="L114" s="1">
        <v>17.0</v>
      </c>
      <c r="M114" s="1">
        <v>0.823529412</v>
      </c>
      <c r="N114" s="1">
        <v>10.56000042</v>
      </c>
    </row>
    <row r="115" ht="15.75" customHeight="1">
      <c r="A115" s="1" t="s">
        <v>164</v>
      </c>
      <c r="B115" s="1" t="s">
        <v>60</v>
      </c>
      <c r="C115" s="5">
        <v>45737.0</v>
      </c>
      <c r="D115" s="1" t="s">
        <v>161</v>
      </c>
      <c r="E115" s="1" t="s">
        <v>11</v>
      </c>
      <c r="F115" s="1" t="s">
        <v>166</v>
      </c>
      <c r="G115" s="1" t="s">
        <v>163</v>
      </c>
      <c r="H115" s="1">
        <v>1.0</v>
      </c>
      <c r="I115" s="1">
        <v>1.0</v>
      </c>
      <c r="J115" s="1">
        <v>0.0</v>
      </c>
      <c r="K115" s="1">
        <v>14.0</v>
      </c>
      <c r="L115" s="1">
        <v>20.0</v>
      </c>
      <c r="M115" s="1">
        <v>0.7</v>
      </c>
      <c r="N115" s="1">
        <v>12.01000023</v>
      </c>
    </row>
    <row r="116" ht="15.75" customHeight="1">
      <c r="A116" s="1" t="s">
        <v>164</v>
      </c>
      <c r="B116" s="1" t="s">
        <v>63</v>
      </c>
      <c r="C116" s="5">
        <v>45737.0</v>
      </c>
      <c r="D116" s="1" t="s">
        <v>161</v>
      </c>
      <c r="E116" s="1" t="s">
        <v>11</v>
      </c>
      <c r="F116" s="1" t="s">
        <v>166</v>
      </c>
      <c r="H116" s="1">
        <v>0.0</v>
      </c>
      <c r="I116" s="1">
        <v>0.0</v>
      </c>
      <c r="J116" s="1">
        <v>0.0</v>
      </c>
      <c r="K116" s="1">
        <v>16.0</v>
      </c>
      <c r="L116" s="1">
        <v>25.0</v>
      </c>
      <c r="M116" s="1">
        <v>0.64</v>
      </c>
      <c r="N116" s="1">
        <v>11.13000011</v>
      </c>
    </row>
    <row r="117" ht="15.75" customHeight="1">
      <c r="A117" s="1" t="s">
        <v>164</v>
      </c>
      <c r="B117" s="1" t="s">
        <v>68</v>
      </c>
      <c r="C117" s="5">
        <v>45737.0</v>
      </c>
      <c r="D117" s="1" t="s">
        <v>161</v>
      </c>
      <c r="E117" s="1" t="s">
        <v>11</v>
      </c>
      <c r="F117" s="1" t="s">
        <v>165</v>
      </c>
      <c r="G117" s="1" t="s">
        <v>163</v>
      </c>
      <c r="H117" s="1">
        <v>1.0</v>
      </c>
      <c r="I117" s="1">
        <v>0.0</v>
      </c>
      <c r="J117" s="1">
        <v>0.0</v>
      </c>
      <c r="K117" s="1">
        <v>0.0</v>
      </c>
      <c r="L117" s="1">
        <v>4.0</v>
      </c>
      <c r="M117" s="1">
        <v>0.0</v>
      </c>
      <c r="N117" s="1">
        <v>9.489999771</v>
      </c>
    </row>
    <row r="118" ht="15.75" customHeight="1">
      <c r="A118" s="1" t="s">
        <v>164</v>
      </c>
      <c r="B118" s="1" t="s">
        <v>74</v>
      </c>
      <c r="C118" s="5">
        <v>45737.0</v>
      </c>
      <c r="D118" s="1" t="s">
        <v>161</v>
      </c>
      <c r="E118" s="1" t="s">
        <v>11</v>
      </c>
      <c r="H118" s="1">
        <v>0.0</v>
      </c>
      <c r="J118" s="1">
        <v>0.0</v>
      </c>
      <c r="N118" s="1">
        <v>1.129999995</v>
      </c>
    </row>
    <row r="119" ht="15.75" customHeight="1">
      <c r="A119" s="1" t="s">
        <v>164</v>
      </c>
      <c r="B119" s="1" t="s">
        <v>75</v>
      </c>
      <c r="C119" s="5">
        <v>45737.0</v>
      </c>
      <c r="D119" s="1" t="s">
        <v>161</v>
      </c>
      <c r="E119" s="1" t="s">
        <v>11</v>
      </c>
      <c r="F119" s="1" t="s">
        <v>165</v>
      </c>
      <c r="G119" s="1" t="s">
        <v>163</v>
      </c>
      <c r="H119" s="1">
        <v>1.0</v>
      </c>
      <c r="I119" s="1">
        <v>0.0</v>
      </c>
      <c r="J119" s="1">
        <v>0.0</v>
      </c>
      <c r="K119" s="1">
        <v>8.0</v>
      </c>
      <c r="L119" s="1">
        <v>12.0</v>
      </c>
      <c r="M119" s="1">
        <v>0.666666667</v>
      </c>
      <c r="N119" s="1">
        <v>12.31999969</v>
      </c>
    </row>
    <row r="120" ht="15.75" customHeight="1">
      <c r="A120" s="1" t="s">
        <v>164</v>
      </c>
      <c r="B120" s="1" t="s">
        <v>100</v>
      </c>
      <c r="C120" s="5">
        <v>45737.0</v>
      </c>
      <c r="D120" s="1" t="s">
        <v>161</v>
      </c>
      <c r="E120" s="1" t="s">
        <v>11</v>
      </c>
      <c r="F120" s="1" t="s">
        <v>166</v>
      </c>
      <c r="G120" s="1" t="s">
        <v>163</v>
      </c>
      <c r="H120" s="1">
        <v>1.0</v>
      </c>
      <c r="I120" s="1">
        <v>0.0</v>
      </c>
      <c r="J120" s="1">
        <v>0.0</v>
      </c>
      <c r="K120" s="1">
        <v>14.0</v>
      </c>
      <c r="L120" s="1">
        <v>20.0</v>
      </c>
      <c r="M120" s="1">
        <v>0.7</v>
      </c>
      <c r="N120" s="1">
        <v>7.53000021</v>
      </c>
    </row>
    <row r="121" ht="15.75" customHeight="1">
      <c r="A121" s="1" t="s">
        <v>164</v>
      </c>
      <c r="B121" s="1" t="s">
        <v>82</v>
      </c>
      <c r="C121" s="5">
        <v>45737.0</v>
      </c>
      <c r="D121" s="1" t="s">
        <v>161</v>
      </c>
      <c r="E121" s="1" t="s">
        <v>11</v>
      </c>
      <c r="F121" s="1" t="s">
        <v>165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N121" s="1">
        <v>0.0</v>
      </c>
    </row>
    <row r="122" ht="15.75" customHeight="1">
      <c r="A122" s="1" t="s">
        <v>164</v>
      </c>
      <c r="B122" s="1" t="s">
        <v>82</v>
      </c>
      <c r="C122" s="5">
        <v>45737.0</v>
      </c>
      <c r="D122" s="1" t="s">
        <v>161</v>
      </c>
      <c r="E122" s="1" t="s">
        <v>11</v>
      </c>
      <c r="F122" s="1" t="s">
        <v>166</v>
      </c>
      <c r="H122" s="1">
        <v>0.0</v>
      </c>
      <c r="I122" s="1">
        <v>0.0</v>
      </c>
      <c r="J122" s="1">
        <v>0.0</v>
      </c>
      <c r="K122" s="1">
        <v>23.0</v>
      </c>
      <c r="L122" s="1">
        <v>27.0</v>
      </c>
      <c r="M122" s="1">
        <v>0.851851852</v>
      </c>
      <c r="N122" s="1">
        <v>22.05999947</v>
      </c>
    </row>
    <row r="123" ht="15.75" customHeight="1">
      <c r="A123" s="1" t="s">
        <v>164</v>
      </c>
      <c r="B123" s="1" t="s">
        <v>102</v>
      </c>
      <c r="C123" s="5">
        <v>45737.0</v>
      </c>
      <c r="D123" s="1" t="s">
        <v>161</v>
      </c>
      <c r="E123" s="1" t="s">
        <v>11</v>
      </c>
      <c r="F123" s="1" t="s">
        <v>165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N123" s="1">
        <v>2.099999905</v>
      </c>
    </row>
    <row r="124" ht="15.75" customHeight="1">
      <c r="A124" s="1" t="s">
        <v>160</v>
      </c>
      <c r="B124" s="1" t="s">
        <v>26</v>
      </c>
      <c r="C124" s="5">
        <v>45736.0</v>
      </c>
      <c r="D124" s="1" t="s">
        <v>161</v>
      </c>
      <c r="E124" s="1" t="s">
        <v>11</v>
      </c>
      <c r="F124" s="1" t="s">
        <v>162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N124" s="1">
        <v>2.289999962</v>
      </c>
    </row>
    <row r="125" ht="15.75" customHeight="1">
      <c r="A125" s="1" t="s">
        <v>160</v>
      </c>
      <c r="B125" s="1" t="s">
        <v>18</v>
      </c>
      <c r="C125" s="5">
        <v>45736.0</v>
      </c>
      <c r="D125" s="1" t="s">
        <v>161</v>
      </c>
      <c r="E125" s="1" t="s">
        <v>11</v>
      </c>
      <c r="F125" s="1" t="s">
        <v>162</v>
      </c>
      <c r="G125" s="1" t="s">
        <v>163</v>
      </c>
      <c r="H125" s="1">
        <v>1.0</v>
      </c>
      <c r="I125" s="1">
        <v>1.0</v>
      </c>
      <c r="J125" s="1">
        <v>0.0</v>
      </c>
      <c r="K125" s="1">
        <v>25.0</v>
      </c>
      <c r="L125" s="1">
        <v>51.0</v>
      </c>
      <c r="M125" s="1">
        <v>0.490196078</v>
      </c>
      <c r="N125" s="1">
        <v>21.68000031</v>
      </c>
    </row>
    <row r="126" ht="15.75" customHeight="1">
      <c r="A126" s="1" t="s">
        <v>160</v>
      </c>
      <c r="B126" s="1" t="s">
        <v>56</v>
      </c>
      <c r="C126" s="5">
        <v>45736.0</v>
      </c>
      <c r="D126" s="1" t="s">
        <v>161</v>
      </c>
      <c r="E126" s="1" t="s">
        <v>11</v>
      </c>
      <c r="F126" s="1" t="s">
        <v>162</v>
      </c>
      <c r="G126" s="1" t="s">
        <v>163</v>
      </c>
      <c r="H126" s="1">
        <v>1.0</v>
      </c>
      <c r="I126" s="1">
        <v>0.0</v>
      </c>
      <c r="J126" s="1">
        <v>0.0</v>
      </c>
      <c r="K126" s="1">
        <v>8.0</v>
      </c>
      <c r="L126" s="1">
        <v>16.0</v>
      </c>
      <c r="M126" s="1">
        <v>0.5</v>
      </c>
      <c r="N126" s="1">
        <v>17.12000084</v>
      </c>
    </row>
    <row r="127" ht="15.75" customHeight="1">
      <c r="A127" s="1" t="s">
        <v>160</v>
      </c>
      <c r="B127" s="1" t="s">
        <v>80</v>
      </c>
      <c r="C127" s="5">
        <v>45736.0</v>
      </c>
      <c r="D127" s="1" t="s">
        <v>161</v>
      </c>
      <c r="E127" s="1" t="s">
        <v>11</v>
      </c>
      <c r="H127" s="1">
        <v>0.0</v>
      </c>
      <c r="J127" s="1">
        <v>0.0</v>
      </c>
      <c r="N127" s="1">
        <v>0.569999993</v>
      </c>
    </row>
    <row r="128" ht="15.75" customHeight="1">
      <c r="A128" s="1" t="s">
        <v>160</v>
      </c>
      <c r="B128" s="1" t="s">
        <v>92</v>
      </c>
      <c r="C128" s="5">
        <v>45736.0</v>
      </c>
      <c r="D128" s="1" t="s">
        <v>161</v>
      </c>
      <c r="E128" s="1" t="s">
        <v>11</v>
      </c>
      <c r="F128" s="1" t="s">
        <v>165</v>
      </c>
      <c r="G128" s="1" t="s">
        <v>163</v>
      </c>
      <c r="H128" s="1">
        <v>1.0</v>
      </c>
      <c r="I128" s="1">
        <v>0.0</v>
      </c>
      <c r="J128" s="1">
        <v>0.0</v>
      </c>
      <c r="K128" s="1">
        <v>0.0</v>
      </c>
      <c r="L128" s="1">
        <v>4.0</v>
      </c>
      <c r="M128" s="1">
        <v>0.0</v>
      </c>
      <c r="N128" s="1">
        <v>3.339999914</v>
      </c>
    </row>
    <row r="129" ht="15.75" customHeight="1">
      <c r="A129" s="1" t="s">
        <v>164</v>
      </c>
      <c r="B129" s="1" t="s">
        <v>52</v>
      </c>
      <c r="C129" s="5">
        <v>45736.0</v>
      </c>
      <c r="D129" s="1" t="s">
        <v>161</v>
      </c>
      <c r="E129" s="1" t="s">
        <v>11</v>
      </c>
      <c r="F129" s="1" t="s">
        <v>165</v>
      </c>
      <c r="G129" s="1" t="s">
        <v>163</v>
      </c>
      <c r="H129" s="1">
        <v>1.0</v>
      </c>
      <c r="I129" s="1">
        <v>0.0</v>
      </c>
      <c r="J129" s="1">
        <v>0.0</v>
      </c>
      <c r="K129" s="1">
        <v>2.0</v>
      </c>
      <c r="L129" s="1">
        <v>2.0</v>
      </c>
      <c r="M129" s="1">
        <v>1.0</v>
      </c>
      <c r="N129" s="1">
        <v>3.99000001</v>
      </c>
    </row>
    <row r="130" ht="15.75" customHeight="1">
      <c r="A130" s="1" t="s">
        <v>164</v>
      </c>
      <c r="B130" s="1" t="s">
        <v>62</v>
      </c>
      <c r="C130" s="5">
        <v>45736.0</v>
      </c>
      <c r="D130" s="1" t="s">
        <v>161</v>
      </c>
      <c r="E130" s="1" t="s">
        <v>11</v>
      </c>
      <c r="H130" s="1">
        <v>0.0</v>
      </c>
      <c r="J130" s="1">
        <v>0.0</v>
      </c>
      <c r="N130" s="1">
        <v>17.97999954</v>
      </c>
    </row>
    <row r="131" ht="15.75" customHeight="1">
      <c r="A131" s="1" t="s">
        <v>164</v>
      </c>
      <c r="B131" s="1" t="s">
        <v>64</v>
      </c>
      <c r="C131" s="5">
        <v>45736.0</v>
      </c>
      <c r="D131" s="1" t="s">
        <v>161</v>
      </c>
      <c r="E131" s="1" t="s">
        <v>11</v>
      </c>
      <c r="F131" s="1" t="s">
        <v>166</v>
      </c>
      <c r="G131" s="1" t="s">
        <v>163</v>
      </c>
      <c r="H131" s="1">
        <v>1.0</v>
      </c>
      <c r="I131" s="1">
        <v>0.0</v>
      </c>
      <c r="J131" s="1">
        <v>0.0</v>
      </c>
      <c r="K131" s="1">
        <v>12.0</v>
      </c>
      <c r="L131" s="1">
        <v>22.0</v>
      </c>
      <c r="M131" s="1">
        <v>0.545454545</v>
      </c>
      <c r="N131" s="1">
        <v>18.37999916</v>
      </c>
    </row>
    <row r="132" ht="15.75" customHeight="1">
      <c r="A132" s="1" t="s">
        <v>164</v>
      </c>
      <c r="B132" s="1" t="s">
        <v>64</v>
      </c>
      <c r="C132" s="5">
        <v>45736.0</v>
      </c>
      <c r="D132" s="1" t="s">
        <v>161</v>
      </c>
      <c r="E132" s="1" t="s">
        <v>296</v>
      </c>
      <c r="H132" s="1">
        <v>0.0</v>
      </c>
      <c r="J132" s="1">
        <v>0.0</v>
      </c>
      <c r="N132" s="1">
        <v>2.170000076</v>
      </c>
    </row>
    <row r="133" ht="15.75" customHeight="1">
      <c r="A133" s="1" t="s">
        <v>164</v>
      </c>
      <c r="B133" s="1" t="s">
        <v>51</v>
      </c>
      <c r="C133" s="5">
        <v>45736.0</v>
      </c>
      <c r="D133" s="1" t="s">
        <v>161</v>
      </c>
      <c r="E133" s="1" t="s">
        <v>11</v>
      </c>
      <c r="F133" s="1" t="s">
        <v>165</v>
      </c>
      <c r="G133" s="1" t="s">
        <v>163</v>
      </c>
      <c r="H133" s="1">
        <v>1.0</v>
      </c>
      <c r="I133" s="1">
        <v>0.0</v>
      </c>
      <c r="J133" s="1">
        <v>0.0</v>
      </c>
      <c r="K133" s="1">
        <v>4.0</v>
      </c>
      <c r="L133" s="1">
        <v>22.0</v>
      </c>
      <c r="M133" s="1">
        <v>0.181818182</v>
      </c>
      <c r="N133" s="1">
        <v>22.72999954</v>
      </c>
    </row>
    <row r="134" ht="15.75" customHeight="1">
      <c r="A134" s="1" t="s">
        <v>164</v>
      </c>
      <c r="B134" s="1" t="s">
        <v>78</v>
      </c>
      <c r="C134" s="5">
        <v>45736.0</v>
      </c>
      <c r="D134" s="1" t="s">
        <v>161</v>
      </c>
      <c r="E134" s="1" t="s">
        <v>11</v>
      </c>
      <c r="F134" s="1" t="s">
        <v>165</v>
      </c>
      <c r="G134" s="1" t="s">
        <v>163</v>
      </c>
      <c r="H134" s="1">
        <v>1.0</v>
      </c>
      <c r="I134" s="1">
        <v>0.0</v>
      </c>
      <c r="J134" s="1">
        <v>0.0</v>
      </c>
      <c r="K134" s="1">
        <v>12.0</v>
      </c>
      <c r="L134" s="1">
        <v>16.0</v>
      </c>
      <c r="M134" s="1">
        <v>0.75</v>
      </c>
      <c r="N134" s="1">
        <v>6.760000229</v>
      </c>
    </row>
    <row r="135" ht="15.75" customHeight="1">
      <c r="A135" s="1" t="s">
        <v>164</v>
      </c>
      <c r="B135" s="1" t="s">
        <v>81</v>
      </c>
      <c r="C135" s="5">
        <v>45736.0</v>
      </c>
      <c r="D135" s="1" t="s">
        <v>161</v>
      </c>
      <c r="E135" s="1" t="s">
        <v>11</v>
      </c>
      <c r="F135" s="1" t="s">
        <v>162</v>
      </c>
      <c r="G135" s="1" t="s">
        <v>163</v>
      </c>
      <c r="H135" s="1">
        <v>1.0</v>
      </c>
      <c r="I135" s="1">
        <v>0.0</v>
      </c>
      <c r="J135" s="1">
        <v>0.0</v>
      </c>
      <c r="K135" s="1">
        <v>5.0</v>
      </c>
      <c r="L135" s="1">
        <v>9.0</v>
      </c>
      <c r="M135" s="1">
        <v>0.555555556</v>
      </c>
      <c r="N135" s="1">
        <v>20.28000069</v>
      </c>
    </row>
    <row r="136" ht="15.75" customHeight="1">
      <c r="A136" s="1" t="s">
        <v>164</v>
      </c>
      <c r="B136" s="1" t="s">
        <v>60</v>
      </c>
      <c r="C136" s="5">
        <v>45736.0</v>
      </c>
      <c r="D136" s="1" t="s">
        <v>161</v>
      </c>
      <c r="E136" s="1" t="s">
        <v>11</v>
      </c>
      <c r="F136" s="1" t="s">
        <v>166</v>
      </c>
      <c r="G136" s="1" t="s">
        <v>163</v>
      </c>
      <c r="H136" s="1">
        <v>1.0</v>
      </c>
      <c r="I136" s="1">
        <v>0.0</v>
      </c>
      <c r="J136" s="1">
        <v>0.0</v>
      </c>
      <c r="K136" s="1">
        <v>4.0</v>
      </c>
      <c r="L136" s="1">
        <v>8.0</v>
      </c>
      <c r="M136" s="1">
        <v>0.5</v>
      </c>
      <c r="N136" s="1">
        <v>10.43000031</v>
      </c>
    </row>
    <row r="137" ht="15.75" customHeight="1">
      <c r="A137" s="1" t="s">
        <v>164</v>
      </c>
      <c r="B137" s="1" t="s">
        <v>68</v>
      </c>
      <c r="C137" s="5">
        <v>45736.0</v>
      </c>
      <c r="D137" s="1" t="s">
        <v>161</v>
      </c>
      <c r="E137" s="1" t="s">
        <v>11</v>
      </c>
      <c r="H137" s="1">
        <v>0.0</v>
      </c>
      <c r="J137" s="1">
        <v>0.0</v>
      </c>
      <c r="N137" s="1">
        <v>0.02</v>
      </c>
    </row>
    <row r="138" ht="15.75" customHeight="1">
      <c r="A138" s="1" t="s">
        <v>164</v>
      </c>
      <c r="B138" s="1" t="s">
        <v>74</v>
      </c>
      <c r="C138" s="5">
        <v>45736.0</v>
      </c>
      <c r="D138" s="1" t="s">
        <v>161</v>
      </c>
      <c r="E138" s="1" t="s">
        <v>11</v>
      </c>
      <c r="H138" s="1">
        <v>0.0</v>
      </c>
      <c r="J138" s="1">
        <v>0.0</v>
      </c>
      <c r="N138" s="1">
        <v>4.8800001139999996</v>
      </c>
    </row>
    <row r="139" ht="15.75" customHeight="1">
      <c r="A139" s="1" t="s">
        <v>164</v>
      </c>
      <c r="B139" s="1" t="s">
        <v>75</v>
      </c>
      <c r="C139" s="5">
        <v>45736.0</v>
      </c>
      <c r="D139" s="1" t="s">
        <v>161</v>
      </c>
      <c r="E139" s="1" t="s">
        <v>11</v>
      </c>
      <c r="F139" s="1" t="s">
        <v>165</v>
      </c>
      <c r="G139" s="1" t="s">
        <v>163</v>
      </c>
      <c r="H139" s="1">
        <v>1.0</v>
      </c>
      <c r="I139" s="1">
        <v>1.0</v>
      </c>
      <c r="J139" s="1">
        <v>0.0</v>
      </c>
      <c r="K139" s="1">
        <v>7.0</v>
      </c>
      <c r="L139" s="1">
        <v>7.0</v>
      </c>
      <c r="M139" s="1">
        <v>1.0</v>
      </c>
      <c r="N139" s="1">
        <v>6.659999847</v>
      </c>
    </row>
    <row r="140" ht="15.75" customHeight="1">
      <c r="A140" s="1" t="s">
        <v>164</v>
      </c>
      <c r="B140" s="1" t="s">
        <v>82</v>
      </c>
      <c r="C140" s="5">
        <v>45736.0</v>
      </c>
      <c r="D140" s="1" t="s">
        <v>161</v>
      </c>
      <c r="E140" s="1" t="s">
        <v>11</v>
      </c>
      <c r="F140" s="1" t="s">
        <v>165</v>
      </c>
      <c r="G140" s="1" t="s">
        <v>163</v>
      </c>
      <c r="H140" s="1">
        <v>1.0</v>
      </c>
      <c r="I140" s="1">
        <v>0.0</v>
      </c>
      <c r="J140" s="1">
        <v>0.0</v>
      </c>
      <c r="K140" s="1">
        <v>10.0</v>
      </c>
      <c r="L140" s="1">
        <v>14.0</v>
      </c>
      <c r="M140" s="1">
        <v>0.714285714</v>
      </c>
      <c r="N140" s="1">
        <v>14.14000034</v>
      </c>
    </row>
    <row r="141" ht="15.75" customHeight="1">
      <c r="A141" s="1" t="s">
        <v>164</v>
      </c>
      <c r="B141" s="1" t="s">
        <v>102</v>
      </c>
      <c r="C141" s="5">
        <v>45736.0</v>
      </c>
      <c r="D141" s="1" t="s">
        <v>161</v>
      </c>
      <c r="E141" s="1" t="s">
        <v>11</v>
      </c>
      <c r="F141" s="1" t="s">
        <v>165</v>
      </c>
      <c r="G141" s="1" t="s">
        <v>163</v>
      </c>
      <c r="H141" s="1">
        <v>1.0</v>
      </c>
      <c r="I141" s="1">
        <v>3.0</v>
      </c>
      <c r="J141" s="1">
        <v>0.0</v>
      </c>
      <c r="K141" s="1">
        <v>53.0</v>
      </c>
      <c r="L141" s="1">
        <v>71.0</v>
      </c>
      <c r="M141" s="1">
        <v>0.746478873</v>
      </c>
      <c r="N141" s="1">
        <v>26.25</v>
      </c>
    </row>
    <row r="142" ht="15.75" customHeight="1">
      <c r="A142" s="1" t="s">
        <v>160</v>
      </c>
      <c r="B142" s="1" t="s">
        <v>26</v>
      </c>
      <c r="C142" s="5">
        <v>45735.0</v>
      </c>
      <c r="D142" s="1" t="s">
        <v>161</v>
      </c>
      <c r="E142" s="1" t="s">
        <v>11</v>
      </c>
      <c r="F142" s="1" t="s">
        <v>162</v>
      </c>
      <c r="G142" s="1" t="s">
        <v>163</v>
      </c>
      <c r="H142" s="1">
        <v>1.0</v>
      </c>
      <c r="I142" s="1">
        <v>0.0</v>
      </c>
      <c r="J142" s="1">
        <v>0.0</v>
      </c>
      <c r="K142" s="1">
        <v>6.0</v>
      </c>
      <c r="L142" s="1">
        <v>6.0</v>
      </c>
      <c r="M142" s="1">
        <v>1.0</v>
      </c>
      <c r="N142" s="1">
        <v>16.21999931</v>
      </c>
    </row>
    <row r="143" ht="15.75" customHeight="1">
      <c r="A143" s="1" t="s">
        <v>160</v>
      </c>
      <c r="B143" s="1" t="s">
        <v>18</v>
      </c>
      <c r="C143" s="5">
        <v>45735.0</v>
      </c>
      <c r="D143" s="1" t="s">
        <v>161</v>
      </c>
      <c r="E143" s="1" t="s">
        <v>11</v>
      </c>
      <c r="F143" s="1" t="s">
        <v>162</v>
      </c>
      <c r="G143" s="1" t="s">
        <v>163</v>
      </c>
      <c r="H143" s="1">
        <v>1.0</v>
      </c>
      <c r="I143" s="1">
        <v>1.0</v>
      </c>
      <c r="J143" s="1">
        <v>0.0</v>
      </c>
      <c r="K143" s="1">
        <v>40.0</v>
      </c>
      <c r="L143" s="1">
        <v>57.0</v>
      </c>
      <c r="M143" s="1">
        <v>0.701754386</v>
      </c>
      <c r="N143" s="1">
        <v>25.34000015</v>
      </c>
    </row>
    <row r="144" ht="15.75" customHeight="1">
      <c r="A144" s="1" t="s">
        <v>160</v>
      </c>
      <c r="B144" s="1" t="s">
        <v>39</v>
      </c>
      <c r="C144" s="5">
        <v>45735.0</v>
      </c>
      <c r="D144" s="1" t="s">
        <v>161</v>
      </c>
      <c r="E144" s="1" t="s">
        <v>11</v>
      </c>
      <c r="F144" s="1" t="s">
        <v>162</v>
      </c>
      <c r="H144" s="1">
        <v>0.0</v>
      </c>
      <c r="I144" s="1">
        <v>0.0</v>
      </c>
      <c r="J144" s="1">
        <v>0.0</v>
      </c>
      <c r="K144" s="1">
        <v>13.0</v>
      </c>
      <c r="L144" s="1">
        <v>17.0</v>
      </c>
      <c r="M144" s="1">
        <v>0.764705882</v>
      </c>
      <c r="N144" s="1">
        <v>13.35999966</v>
      </c>
    </row>
    <row r="145" ht="15.75" customHeight="1">
      <c r="A145" s="1" t="s">
        <v>160</v>
      </c>
      <c r="B145" s="1" t="s">
        <v>39</v>
      </c>
      <c r="C145" s="5">
        <v>45735.0</v>
      </c>
      <c r="D145" s="1" t="s">
        <v>161</v>
      </c>
      <c r="E145" s="1" t="s">
        <v>11</v>
      </c>
      <c r="F145" s="1" t="s">
        <v>166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N145" s="1">
        <v>0.0</v>
      </c>
    </row>
    <row r="146" ht="15.75" customHeight="1">
      <c r="A146" s="1" t="s">
        <v>160</v>
      </c>
      <c r="B146" s="1" t="s">
        <v>65</v>
      </c>
      <c r="C146" s="5">
        <v>45735.0</v>
      </c>
      <c r="D146" s="1" t="s">
        <v>161</v>
      </c>
      <c r="E146" s="1" t="s">
        <v>11</v>
      </c>
      <c r="F146" s="1" t="s">
        <v>162</v>
      </c>
      <c r="G146" s="1" t="s">
        <v>163</v>
      </c>
      <c r="H146" s="1">
        <v>1.0</v>
      </c>
      <c r="I146" s="1">
        <v>2.0</v>
      </c>
      <c r="J146" s="1">
        <v>0.0</v>
      </c>
      <c r="K146" s="1">
        <v>24.0</v>
      </c>
      <c r="L146" s="1">
        <v>32.0</v>
      </c>
      <c r="M146" s="1">
        <v>0.75</v>
      </c>
      <c r="N146" s="1">
        <v>14.93000031</v>
      </c>
    </row>
    <row r="147" ht="15.75" customHeight="1">
      <c r="A147" s="1" t="s">
        <v>160</v>
      </c>
      <c r="B147" s="1" t="s">
        <v>89</v>
      </c>
      <c r="C147" s="5">
        <v>45735.0</v>
      </c>
      <c r="D147" s="1" t="s">
        <v>161</v>
      </c>
      <c r="E147" s="1" t="s">
        <v>11</v>
      </c>
      <c r="F147" s="1" t="s">
        <v>165</v>
      </c>
      <c r="H147" s="1">
        <v>0.0</v>
      </c>
      <c r="I147" s="1">
        <v>0.0</v>
      </c>
      <c r="J147" s="1">
        <v>0.0</v>
      </c>
      <c r="K147" s="1">
        <v>2.0</v>
      </c>
      <c r="L147" s="1">
        <v>12.0</v>
      </c>
      <c r="M147" s="1">
        <v>0.166666667</v>
      </c>
      <c r="N147" s="1">
        <v>18.20000076</v>
      </c>
    </row>
    <row r="148" ht="15.75" customHeight="1">
      <c r="A148" s="1" t="s">
        <v>160</v>
      </c>
      <c r="B148" s="1" t="s">
        <v>69</v>
      </c>
      <c r="C148" s="5">
        <v>45735.0</v>
      </c>
      <c r="D148" s="1" t="s">
        <v>161</v>
      </c>
      <c r="E148" s="1" t="s">
        <v>11</v>
      </c>
      <c r="F148" s="1" t="s">
        <v>165</v>
      </c>
      <c r="G148" s="1" t="s">
        <v>163</v>
      </c>
      <c r="H148" s="1">
        <v>1.0</v>
      </c>
      <c r="I148" s="1">
        <v>0.0</v>
      </c>
      <c r="J148" s="1">
        <v>0.0</v>
      </c>
      <c r="K148" s="1">
        <v>21.0</v>
      </c>
      <c r="L148" s="1">
        <v>31.0</v>
      </c>
      <c r="M148" s="1">
        <v>0.677419355</v>
      </c>
      <c r="N148" s="1">
        <v>33.68000031</v>
      </c>
    </row>
    <row r="149" ht="15.75" customHeight="1">
      <c r="A149" s="1" t="s">
        <v>160</v>
      </c>
      <c r="B149" s="1" t="s">
        <v>77</v>
      </c>
      <c r="C149" s="5">
        <v>45735.0</v>
      </c>
      <c r="D149" s="1" t="s">
        <v>161</v>
      </c>
      <c r="E149" s="1" t="s">
        <v>11</v>
      </c>
      <c r="F149" s="1" t="s">
        <v>162</v>
      </c>
      <c r="G149" s="1" t="s">
        <v>163</v>
      </c>
      <c r="H149" s="1">
        <v>1.0</v>
      </c>
      <c r="I149" s="1">
        <v>1.0</v>
      </c>
      <c r="J149" s="1">
        <v>0.0</v>
      </c>
      <c r="K149" s="1">
        <v>11.0</v>
      </c>
      <c r="L149" s="1">
        <v>11.0</v>
      </c>
      <c r="M149" s="1">
        <v>1.0</v>
      </c>
      <c r="N149" s="1">
        <v>13.34000015</v>
      </c>
    </row>
    <row r="150" ht="15.75" customHeight="1">
      <c r="A150" s="1" t="s">
        <v>160</v>
      </c>
      <c r="B150" s="1" t="s">
        <v>90</v>
      </c>
      <c r="C150" s="5">
        <v>45735.0</v>
      </c>
      <c r="D150" s="1" t="s">
        <v>161</v>
      </c>
      <c r="E150" s="1" t="s">
        <v>11</v>
      </c>
      <c r="F150" s="1" t="s">
        <v>165</v>
      </c>
      <c r="G150" s="1" t="s">
        <v>163</v>
      </c>
      <c r="H150" s="1">
        <v>1.0</v>
      </c>
      <c r="I150" s="1">
        <v>0.0</v>
      </c>
      <c r="J150" s="1">
        <v>0.0</v>
      </c>
      <c r="K150" s="1">
        <v>14.0</v>
      </c>
      <c r="L150" s="1">
        <v>34.0</v>
      </c>
      <c r="M150" s="1">
        <v>0.411764706</v>
      </c>
      <c r="N150" s="1">
        <v>13.85999966</v>
      </c>
    </row>
    <row r="151" ht="15.75" customHeight="1">
      <c r="A151" s="1" t="s">
        <v>160</v>
      </c>
      <c r="B151" s="1" t="s">
        <v>110</v>
      </c>
      <c r="C151" s="5">
        <v>45735.0</v>
      </c>
      <c r="D151" s="1" t="s">
        <v>161</v>
      </c>
      <c r="E151" s="1" t="s">
        <v>11</v>
      </c>
      <c r="F151" s="1" t="s">
        <v>165</v>
      </c>
      <c r="G151" s="1" t="s">
        <v>163</v>
      </c>
      <c r="H151" s="1">
        <v>1.0</v>
      </c>
      <c r="I151" s="1">
        <v>0.0</v>
      </c>
      <c r="J151" s="1">
        <v>0.0</v>
      </c>
      <c r="K151" s="1">
        <v>19.0</v>
      </c>
      <c r="L151" s="1">
        <v>69.0</v>
      </c>
      <c r="M151" s="1">
        <v>0.275362319</v>
      </c>
      <c r="N151" s="1">
        <v>45.97999954</v>
      </c>
    </row>
    <row r="152" ht="15.75" customHeight="1">
      <c r="A152" s="1" t="s">
        <v>160</v>
      </c>
      <c r="B152" s="1" t="s">
        <v>110</v>
      </c>
      <c r="C152" s="5">
        <v>45735.0</v>
      </c>
      <c r="D152" s="1" t="s">
        <v>161</v>
      </c>
      <c r="E152" s="1" t="s">
        <v>11</v>
      </c>
      <c r="F152" s="1" t="s">
        <v>162</v>
      </c>
      <c r="G152" s="1" t="s">
        <v>163</v>
      </c>
      <c r="H152" s="1">
        <v>1.0</v>
      </c>
      <c r="I152" s="1">
        <v>0.0</v>
      </c>
      <c r="J152" s="1">
        <v>0.0</v>
      </c>
      <c r="K152" s="1">
        <v>0.0</v>
      </c>
      <c r="L152" s="1">
        <v>0.0</v>
      </c>
      <c r="N152" s="1">
        <v>0.0</v>
      </c>
    </row>
    <row r="153" ht="15.75" customHeight="1">
      <c r="A153" s="1" t="s">
        <v>164</v>
      </c>
      <c r="B153" s="1" t="s">
        <v>62</v>
      </c>
      <c r="C153" s="5">
        <v>45735.0</v>
      </c>
      <c r="D153" s="1" t="s">
        <v>161</v>
      </c>
      <c r="E153" s="1" t="s">
        <v>11</v>
      </c>
      <c r="H153" s="1">
        <v>0.0</v>
      </c>
      <c r="J153" s="1">
        <v>0.0</v>
      </c>
      <c r="N153" s="1">
        <v>5.809999943</v>
      </c>
    </row>
    <row r="154" ht="15.75" customHeight="1">
      <c r="A154" s="1" t="s">
        <v>164</v>
      </c>
      <c r="B154" s="1" t="s">
        <v>64</v>
      </c>
      <c r="C154" s="5">
        <v>45735.0</v>
      </c>
      <c r="D154" s="1" t="s">
        <v>161</v>
      </c>
      <c r="E154" s="1" t="s">
        <v>11</v>
      </c>
      <c r="F154" s="1" t="s">
        <v>166</v>
      </c>
      <c r="G154" s="1" t="s">
        <v>163</v>
      </c>
      <c r="H154" s="1">
        <v>1.0</v>
      </c>
      <c r="I154" s="1">
        <v>2.0</v>
      </c>
      <c r="J154" s="1">
        <v>0.0</v>
      </c>
      <c r="K154" s="1">
        <v>30.0</v>
      </c>
      <c r="L154" s="1">
        <v>41.0</v>
      </c>
      <c r="M154" s="1">
        <v>0.731707317</v>
      </c>
      <c r="N154" s="1">
        <v>21.43000031</v>
      </c>
    </row>
    <row r="155" ht="15.75" customHeight="1">
      <c r="A155" s="1" t="s">
        <v>164</v>
      </c>
      <c r="B155" s="1" t="s">
        <v>51</v>
      </c>
      <c r="C155" s="5">
        <v>45735.0</v>
      </c>
      <c r="D155" s="1" t="s">
        <v>161</v>
      </c>
      <c r="E155" s="1" t="s">
        <v>11</v>
      </c>
      <c r="F155" s="1" t="s">
        <v>165</v>
      </c>
      <c r="G155" s="1" t="s">
        <v>163</v>
      </c>
      <c r="H155" s="1">
        <v>1.0</v>
      </c>
      <c r="I155" s="1">
        <v>0.0</v>
      </c>
      <c r="J155" s="1">
        <v>0.0</v>
      </c>
      <c r="K155" s="1">
        <v>2.0</v>
      </c>
      <c r="L155" s="1">
        <v>10.0</v>
      </c>
      <c r="M155" s="1">
        <v>0.2</v>
      </c>
      <c r="N155" s="1">
        <v>10.14999962</v>
      </c>
    </row>
    <row r="156" ht="15.75" customHeight="1">
      <c r="A156" s="1" t="s">
        <v>164</v>
      </c>
      <c r="B156" s="1" t="s">
        <v>78</v>
      </c>
      <c r="C156" s="5">
        <v>45735.0</v>
      </c>
      <c r="D156" s="1" t="s">
        <v>161</v>
      </c>
      <c r="E156" s="1" t="s">
        <v>11</v>
      </c>
      <c r="F156" s="1" t="s">
        <v>165</v>
      </c>
      <c r="G156" s="1" t="s">
        <v>163</v>
      </c>
      <c r="H156" s="1">
        <v>1.0</v>
      </c>
      <c r="I156" s="1">
        <v>1.0</v>
      </c>
      <c r="J156" s="1">
        <v>0.0</v>
      </c>
      <c r="K156" s="1">
        <v>30.0</v>
      </c>
      <c r="L156" s="1">
        <v>38.0</v>
      </c>
      <c r="M156" s="1">
        <v>0.789473684</v>
      </c>
      <c r="N156" s="1">
        <v>17.86000061</v>
      </c>
    </row>
    <row r="157" ht="15.75" customHeight="1">
      <c r="A157" s="1" t="s">
        <v>164</v>
      </c>
      <c r="B157" s="1" t="s">
        <v>81</v>
      </c>
      <c r="C157" s="5">
        <v>45735.0</v>
      </c>
      <c r="D157" s="1" t="s">
        <v>161</v>
      </c>
      <c r="E157" s="1" t="s">
        <v>11</v>
      </c>
      <c r="F157" s="1" t="s">
        <v>162</v>
      </c>
      <c r="G157" s="1" t="s">
        <v>163</v>
      </c>
      <c r="H157" s="1">
        <v>1.0</v>
      </c>
      <c r="I157" s="1">
        <v>1.0</v>
      </c>
      <c r="J157" s="1">
        <v>0.0</v>
      </c>
      <c r="K157" s="1">
        <v>9.0</v>
      </c>
      <c r="L157" s="1">
        <v>9.0</v>
      </c>
      <c r="M157" s="1">
        <v>1.0</v>
      </c>
      <c r="N157" s="1">
        <v>4.710000038</v>
      </c>
    </row>
    <row r="158" ht="15.75" customHeight="1">
      <c r="A158" s="1" t="s">
        <v>164</v>
      </c>
      <c r="B158" s="1" t="s">
        <v>60</v>
      </c>
      <c r="C158" s="5">
        <v>45735.0</v>
      </c>
      <c r="D158" s="1" t="s">
        <v>161</v>
      </c>
      <c r="E158" s="1" t="s">
        <v>11</v>
      </c>
      <c r="F158" s="1" t="s">
        <v>162</v>
      </c>
      <c r="G158" s="1" t="s">
        <v>163</v>
      </c>
      <c r="H158" s="1">
        <v>1.0</v>
      </c>
      <c r="I158" s="1">
        <v>0.0</v>
      </c>
      <c r="J158" s="1">
        <v>0.0</v>
      </c>
      <c r="K158" s="1">
        <v>4.0</v>
      </c>
      <c r="L158" s="1">
        <v>6.0</v>
      </c>
      <c r="M158" s="1">
        <v>0.666666667</v>
      </c>
      <c r="N158" s="1">
        <v>11.06000042</v>
      </c>
    </row>
    <row r="159" ht="15.75" customHeight="1">
      <c r="A159" s="1" t="s">
        <v>164</v>
      </c>
      <c r="B159" s="1" t="s">
        <v>60</v>
      </c>
      <c r="C159" s="5">
        <v>45735.0</v>
      </c>
      <c r="D159" s="1" t="s">
        <v>161</v>
      </c>
      <c r="E159" s="1" t="s">
        <v>11</v>
      </c>
      <c r="F159" s="1" t="s">
        <v>166</v>
      </c>
      <c r="G159" s="1" t="s">
        <v>163</v>
      </c>
      <c r="H159" s="1">
        <v>1.0</v>
      </c>
      <c r="I159" s="1">
        <v>0.0</v>
      </c>
      <c r="J159" s="1">
        <v>0.0</v>
      </c>
      <c r="K159" s="1">
        <v>0.0</v>
      </c>
      <c r="L159" s="1">
        <v>0.0</v>
      </c>
      <c r="N159" s="1">
        <v>0.0</v>
      </c>
    </row>
    <row r="160" ht="15.75" customHeight="1">
      <c r="A160" s="1" t="s">
        <v>164</v>
      </c>
      <c r="B160" s="1" t="s">
        <v>63</v>
      </c>
      <c r="C160" s="5">
        <v>45735.0</v>
      </c>
      <c r="D160" s="1" t="s">
        <v>161</v>
      </c>
      <c r="E160" s="1" t="s">
        <v>11</v>
      </c>
      <c r="F160" s="1" t="s">
        <v>165</v>
      </c>
      <c r="H160" s="1">
        <v>0.0</v>
      </c>
      <c r="I160" s="1">
        <v>0.0</v>
      </c>
      <c r="J160" s="1">
        <v>0.0</v>
      </c>
      <c r="K160" s="1">
        <v>0.0</v>
      </c>
      <c r="L160" s="1">
        <v>0.0</v>
      </c>
      <c r="N160" s="1">
        <v>0.0</v>
      </c>
    </row>
    <row r="161" ht="15.75" customHeight="1">
      <c r="A161" s="1" t="s">
        <v>164</v>
      </c>
      <c r="B161" s="1" t="s">
        <v>63</v>
      </c>
      <c r="C161" s="5">
        <v>45735.0</v>
      </c>
      <c r="D161" s="1" t="s">
        <v>161</v>
      </c>
      <c r="E161" s="1" t="s">
        <v>11</v>
      </c>
      <c r="F161" s="1" t="s">
        <v>166</v>
      </c>
      <c r="H161" s="1">
        <v>0.0</v>
      </c>
      <c r="I161" s="1">
        <v>0.0</v>
      </c>
      <c r="J161" s="1">
        <v>0.0</v>
      </c>
      <c r="K161" s="1">
        <v>0.0</v>
      </c>
      <c r="L161" s="1">
        <v>0.0</v>
      </c>
      <c r="N161" s="1">
        <v>4.28000021</v>
      </c>
    </row>
    <row r="162" ht="15.75" customHeight="1">
      <c r="A162" s="1" t="s">
        <v>164</v>
      </c>
      <c r="B162" s="1" t="s">
        <v>68</v>
      </c>
      <c r="C162" s="5">
        <v>45735.0</v>
      </c>
      <c r="D162" s="1" t="s">
        <v>161</v>
      </c>
      <c r="E162" s="1" t="s">
        <v>11</v>
      </c>
      <c r="F162" s="1" t="s">
        <v>165</v>
      </c>
      <c r="G162" s="1" t="s">
        <v>163</v>
      </c>
      <c r="H162" s="1">
        <v>1.0</v>
      </c>
      <c r="I162" s="1">
        <v>2.0</v>
      </c>
      <c r="J162" s="1">
        <v>0.0</v>
      </c>
      <c r="K162" s="1">
        <v>34.0</v>
      </c>
      <c r="L162" s="1">
        <v>44.0</v>
      </c>
      <c r="M162" s="1">
        <v>0.772727273</v>
      </c>
      <c r="N162" s="1">
        <v>17.06999969</v>
      </c>
    </row>
    <row r="163" ht="15.75" customHeight="1">
      <c r="A163" s="1" t="s">
        <v>164</v>
      </c>
      <c r="B163" s="1" t="s">
        <v>74</v>
      </c>
      <c r="C163" s="5">
        <v>45735.0</v>
      </c>
      <c r="D163" s="1" t="s">
        <v>161</v>
      </c>
      <c r="E163" s="1" t="s">
        <v>11</v>
      </c>
      <c r="H163" s="1">
        <v>0.0</v>
      </c>
      <c r="J163" s="1">
        <v>0.0</v>
      </c>
      <c r="N163" s="1">
        <v>2.339999914</v>
      </c>
    </row>
    <row r="164" ht="15.75" customHeight="1">
      <c r="A164" s="1" t="s">
        <v>164</v>
      </c>
      <c r="B164" s="1" t="s">
        <v>75</v>
      </c>
      <c r="C164" s="5">
        <v>45735.0</v>
      </c>
      <c r="D164" s="1" t="s">
        <v>161</v>
      </c>
      <c r="E164" s="1" t="s">
        <v>11</v>
      </c>
      <c r="F164" s="1" t="s">
        <v>165</v>
      </c>
      <c r="G164" s="1" t="s">
        <v>163</v>
      </c>
      <c r="H164" s="1">
        <v>1.0</v>
      </c>
      <c r="I164" s="1">
        <v>1.0</v>
      </c>
      <c r="J164" s="1">
        <v>0.0</v>
      </c>
      <c r="K164" s="1">
        <v>19.0</v>
      </c>
      <c r="L164" s="1">
        <v>21.0</v>
      </c>
      <c r="M164" s="1">
        <v>0.904761905</v>
      </c>
      <c r="N164" s="1">
        <v>17.06999969</v>
      </c>
    </row>
    <row r="165" ht="15.75" customHeight="1">
      <c r="A165" s="1" t="s">
        <v>164</v>
      </c>
      <c r="B165" s="1" t="s">
        <v>82</v>
      </c>
      <c r="C165" s="5">
        <v>45735.0</v>
      </c>
      <c r="D165" s="1" t="s">
        <v>161</v>
      </c>
      <c r="E165" s="1" t="s">
        <v>11</v>
      </c>
      <c r="F165" s="1" t="s">
        <v>165</v>
      </c>
      <c r="H165" s="1">
        <v>0.0</v>
      </c>
      <c r="I165" s="1">
        <v>0.0</v>
      </c>
      <c r="J165" s="1">
        <v>0.0</v>
      </c>
      <c r="K165" s="1">
        <v>0.0</v>
      </c>
      <c r="L165" s="1">
        <v>0.0</v>
      </c>
      <c r="N165" s="1">
        <v>0.0</v>
      </c>
    </row>
    <row r="166" ht="15.75" customHeight="1">
      <c r="A166" s="1" t="s">
        <v>164</v>
      </c>
      <c r="B166" s="1" t="s">
        <v>82</v>
      </c>
      <c r="C166" s="5">
        <v>45735.0</v>
      </c>
      <c r="D166" s="1" t="s">
        <v>161</v>
      </c>
      <c r="E166" s="1" t="s">
        <v>11</v>
      </c>
      <c r="F166" s="1" t="s">
        <v>166</v>
      </c>
      <c r="H166" s="1">
        <v>0.0</v>
      </c>
      <c r="I166" s="1">
        <v>0.0</v>
      </c>
      <c r="J166" s="1">
        <v>0.0</v>
      </c>
      <c r="K166" s="1">
        <v>0.0</v>
      </c>
      <c r="L166" s="1">
        <v>0.0</v>
      </c>
      <c r="N166" s="1">
        <v>2.720000029</v>
      </c>
    </row>
    <row r="167" ht="15.75" customHeight="1">
      <c r="A167" s="1" t="s">
        <v>160</v>
      </c>
      <c r="B167" s="1" t="s">
        <v>18</v>
      </c>
      <c r="C167" s="5">
        <v>45734.0</v>
      </c>
      <c r="D167" s="1" t="s">
        <v>161</v>
      </c>
      <c r="E167" s="1" t="s">
        <v>11</v>
      </c>
      <c r="F167" s="1" t="s">
        <v>162</v>
      </c>
      <c r="G167" s="1" t="s">
        <v>163</v>
      </c>
      <c r="H167" s="1">
        <v>1.0</v>
      </c>
      <c r="I167" s="1">
        <v>0.0</v>
      </c>
      <c r="J167" s="1">
        <v>0.0</v>
      </c>
      <c r="K167" s="1">
        <v>4.0</v>
      </c>
      <c r="L167" s="1">
        <v>6.0</v>
      </c>
      <c r="M167" s="1">
        <v>0.666666667</v>
      </c>
      <c r="N167" s="1">
        <v>4.070000172</v>
      </c>
    </row>
    <row r="168" ht="15.75" customHeight="1">
      <c r="A168" s="1" t="s">
        <v>160</v>
      </c>
      <c r="B168" s="1" t="s">
        <v>20</v>
      </c>
      <c r="C168" s="5">
        <v>45734.0</v>
      </c>
      <c r="D168" s="1" t="s">
        <v>161</v>
      </c>
      <c r="E168" s="1" t="s">
        <v>11</v>
      </c>
      <c r="F168" s="1" t="s">
        <v>162</v>
      </c>
      <c r="H168" s="1">
        <v>0.0</v>
      </c>
      <c r="I168" s="1">
        <v>0.0</v>
      </c>
      <c r="J168" s="1">
        <v>0.0</v>
      </c>
      <c r="K168" s="1">
        <v>0.0</v>
      </c>
      <c r="L168" s="1">
        <v>0.0</v>
      </c>
      <c r="N168" s="1">
        <v>0.25</v>
      </c>
    </row>
    <row r="169" ht="15.75" customHeight="1">
      <c r="A169" s="1" t="s">
        <v>160</v>
      </c>
      <c r="B169" s="1" t="s">
        <v>38</v>
      </c>
      <c r="C169" s="5">
        <v>45734.0</v>
      </c>
      <c r="D169" s="1" t="s">
        <v>161</v>
      </c>
      <c r="E169" s="1" t="s">
        <v>11</v>
      </c>
      <c r="F169" s="1" t="s">
        <v>165</v>
      </c>
      <c r="H169" s="1">
        <v>0.0</v>
      </c>
      <c r="I169" s="1">
        <v>1.0</v>
      </c>
      <c r="J169" s="1">
        <v>0.0</v>
      </c>
      <c r="K169" s="1">
        <v>12.0</v>
      </c>
      <c r="L169" s="1">
        <v>14.0</v>
      </c>
      <c r="M169" s="1">
        <v>0.857142857</v>
      </c>
      <c r="N169" s="1">
        <v>12.03999996</v>
      </c>
    </row>
    <row r="170" ht="15.75" customHeight="1">
      <c r="A170" s="1" t="s">
        <v>160</v>
      </c>
      <c r="B170" s="1" t="s">
        <v>92</v>
      </c>
      <c r="C170" s="5">
        <v>45734.0</v>
      </c>
      <c r="D170" s="1" t="s">
        <v>161</v>
      </c>
      <c r="E170" s="1" t="s">
        <v>11</v>
      </c>
      <c r="F170" s="1" t="s">
        <v>165</v>
      </c>
      <c r="G170" s="1" t="s">
        <v>163</v>
      </c>
      <c r="H170" s="1">
        <v>1.0</v>
      </c>
      <c r="I170" s="1">
        <v>0.0</v>
      </c>
      <c r="J170" s="1">
        <v>0.0</v>
      </c>
      <c r="K170" s="1">
        <v>0.0</v>
      </c>
      <c r="L170" s="1">
        <v>10.0</v>
      </c>
      <c r="M170" s="1">
        <v>0.0</v>
      </c>
      <c r="N170" s="1">
        <v>11.51000023</v>
      </c>
    </row>
    <row r="171" ht="15.75" customHeight="1">
      <c r="A171" s="1" t="s">
        <v>164</v>
      </c>
      <c r="B171" s="1" t="s">
        <v>62</v>
      </c>
      <c r="C171" s="5">
        <v>45734.0</v>
      </c>
      <c r="D171" s="1" t="s">
        <v>161</v>
      </c>
      <c r="E171" s="1" t="s">
        <v>11</v>
      </c>
      <c r="F171" s="1" t="s">
        <v>165</v>
      </c>
      <c r="H171" s="1">
        <v>0.0</v>
      </c>
      <c r="I171" s="1">
        <v>0.0</v>
      </c>
      <c r="J171" s="1">
        <v>0.0</v>
      </c>
      <c r="K171" s="1">
        <v>0.0</v>
      </c>
      <c r="L171" s="1">
        <v>0.0</v>
      </c>
      <c r="N171" s="1">
        <v>6.420000076</v>
      </c>
    </row>
    <row r="172" ht="15.75" customHeight="1">
      <c r="A172" s="1" t="s">
        <v>164</v>
      </c>
      <c r="B172" s="1" t="s">
        <v>64</v>
      </c>
      <c r="C172" s="5">
        <v>45734.0</v>
      </c>
      <c r="D172" s="1" t="s">
        <v>161</v>
      </c>
      <c r="E172" s="1" t="s">
        <v>11</v>
      </c>
      <c r="F172" s="1" t="s">
        <v>166</v>
      </c>
      <c r="G172" s="1" t="s">
        <v>163</v>
      </c>
      <c r="H172" s="1">
        <v>1.0</v>
      </c>
      <c r="I172" s="1">
        <v>0.0</v>
      </c>
      <c r="J172" s="1">
        <v>0.0</v>
      </c>
      <c r="K172" s="1">
        <v>4.0</v>
      </c>
      <c r="L172" s="1">
        <v>8.0</v>
      </c>
      <c r="M172" s="1">
        <v>0.5</v>
      </c>
      <c r="N172" s="1">
        <v>13.34000015</v>
      </c>
    </row>
    <row r="173" ht="15.75" customHeight="1">
      <c r="A173" s="1" t="s">
        <v>164</v>
      </c>
      <c r="B173" s="1" t="s">
        <v>100</v>
      </c>
      <c r="C173" s="5">
        <v>45734.0</v>
      </c>
      <c r="D173" s="1" t="s">
        <v>161</v>
      </c>
      <c r="E173" s="1" t="s">
        <v>11</v>
      </c>
      <c r="F173" s="1" t="s">
        <v>166</v>
      </c>
      <c r="H173" s="1">
        <v>0.0</v>
      </c>
      <c r="I173" s="1">
        <v>0.0</v>
      </c>
      <c r="J173" s="1">
        <v>0.0</v>
      </c>
      <c r="K173" s="1">
        <v>0.0</v>
      </c>
      <c r="L173" s="1">
        <v>0.0</v>
      </c>
      <c r="N173" s="1">
        <v>1.929999948</v>
      </c>
    </row>
    <row r="174" ht="15.75" customHeight="1">
      <c r="A174" s="1" t="s">
        <v>164</v>
      </c>
      <c r="B174" s="1" t="s">
        <v>82</v>
      </c>
      <c r="C174" s="5">
        <v>45734.0</v>
      </c>
      <c r="D174" s="1" t="s">
        <v>161</v>
      </c>
      <c r="E174" s="1" t="s">
        <v>11</v>
      </c>
      <c r="F174" s="1" t="s">
        <v>165</v>
      </c>
      <c r="G174" s="1" t="s">
        <v>163</v>
      </c>
      <c r="H174" s="1">
        <v>1.0</v>
      </c>
      <c r="I174" s="1">
        <v>0.0</v>
      </c>
      <c r="J174" s="1">
        <v>0.0</v>
      </c>
      <c r="K174" s="1">
        <v>0.0</v>
      </c>
      <c r="L174" s="1">
        <v>0.0</v>
      </c>
      <c r="N174" s="1">
        <v>0.0</v>
      </c>
    </row>
    <row r="175" ht="15.75" customHeight="1">
      <c r="A175" s="1" t="s">
        <v>164</v>
      </c>
      <c r="B175" s="1" t="s">
        <v>82</v>
      </c>
      <c r="C175" s="5">
        <v>45734.0</v>
      </c>
      <c r="D175" s="1" t="s">
        <v>161</v>
      </c>
      <c r="E175" s="1" t="s">
        <v>11</v>
      </c>
      <c r="F175" s="1" t="s">
        <v>166</v>
      </c>
      <c r="G175" s="1" t="s">
        <v>163</v>
      </c>
      <c r="H175" s="1">
        <v>1.0</v>
      </c>
      <c r="I175" s="1">
        <v>1.0</v>
      </c>
      <c r="J175" s="1">
        <v>0.0</v>
      </c>
      <c r="K175" s="1">
        <v>60.0</v>
      </c>
      <c r="L175" s="1">
        <v>78.0</v>
      </c>
      <c r="M175" s="1">
        <v>0.769230769</v>
      </c>
      <c r="N175" s="1">
        <v>25.57999992</v>
      </c>
    </row>
    <row r="176" ht="15.75" customHeight="1">
      <c r="A176" s="1" t="s">
        <v>164</v>
      </c>
      <c r="B176" s="1" t="s">
        <v>105</v>
      </c>
      <c r="C176" s="5">
        <v>45734.0</v>
      </c>
      <c r="D176" s="1" t="s">
        <v>161</v>
      </c>
      <c r="E176" s="1" t="s">
        <v>11</v>
      </c>
      <c r="F176" s="1" t="s">
        <v>162</v>
      </c>
      <c r="H176" s="1">
        <v>0.0</v>
      </c>
      <c r="I176" s="1">
        <v>0.0</v>
      </c>
      <c r="J176" s="1">
        <v>0.0</v>
      </c>
      <c r="K176" s="1">
        <v>0.0</v>
      </c>
      <c r="L176" s="1">
        <v>0.0</v>
      </c>
      <c r="N176" s="1">
        <v>0.829999983</v>
      </c>
    </row>
    <row r="177" ht="15.75" customHeight="1">
      <c r="A177" s="1" t="s">
        <v>180</v>
      </c>
      <c r="B177" s="1" t="s">
        <v>67</v>
      </c>
      <c r="C177" s="5">
        <v>45734.0</v>
      </c>
      <c r="D177" s="1" t="s">
        <v>161</v>
      </c>
      <c r="E177" s="1" t="s">
        <v>11</v>
      </c>
      <c r="F177" s="1" t="s">
        <v>165</v>
      </c>
      <c r="G177" s="1" t="s">
        <v>163</v>
      </c>
      <c r="H177" s="1">
        <v>1.0</v>
      </c>
      <c r="I177" s="1">
        <v>6.0</v>
      </c>
      <c r="J177" s="1">
        <v>0.0</v>
      </c>
      <c r="K177" s="1">
        <v>120.0</v>
      </c>
      <c r="L177" s="1">
        <v>174.0</v>
      </c>
      <c r="M177" s="1">
        <v>0.689655172</v>
      </c>
      <c r="N177" s="1">
        <v>55.95999908</v>
      </c>
    </row>
    <row r="178" ht="15.75" customHeight="1">
      <c r="A178" s="1" t="s">
        <v>160</v>
      </c>
      <c r="B178" s="1" t="s">
        <v>18</v>
      </c>
      <c r="C178" s="5">
        <v>45733.0</v>
      </c>
      <c r="D178" s="1" t="s">
        <v>161</v>
      </c>
      <c r="E178" s="1" t="s">
        <v>11</v>
      </c>
      <c r="F178" s="1" t="s">
        <v>162</v>
      </c>
      <c r="G178" s="1" t="s">
        <v>163</v>
      </c>
      <c r="H178" s="1">
        <v>1.0</v>
      </c>
      <c r="I178" s="1">
        <v>3.0</v>
      </c>
      <c r="J178" s="1">
        <v>0.0</v>
      </c>
      <c r="K178" s="1">
        <v>24.0</v>
      </c>
      <c r="L178" s="1">
        <v>39.0</v>
      </c>
      <c r="M178" s="1">
        <v>0.615384615</v>
      </c>
      <c r="N178" s="1">
        <v>15.46000004</v>
      </c>
    </row>
    <row r="179" ht="15.75" customHeight="1">
      <c r="A179" s="1" t="s">
        <v>160</v>
      </c>
      <c r="B179" s="1" t="s">
        <v>32</v>
      </c>
      <c r="C179" s="5">
        <v>45733.0</v>
      </c>
      <c r="D179" s="1" t="s">
        <v>161</v>
      </c>
      <c r="E179" s="1" t="s">
        <v>11</v>
      </c>
      <c r="F179" s="1" t="s">
        <v>165</v>
      </c>
      <c r="G179" s="1" t="s">
        <v>163</v>
      </c>
      <c r="H179" s="1">
        <v>1.0</v>
      </c>
      <c r="I179" s="1">
        <v>1.0</v>
      </c>
      <c r="J179" s="1">
        <v>0.0</v>
      </c>
      <c r="K179" s="1">
        <v>28.0</v>
      </c>
      <c r="L179" s="1">
        <v>35.0</v>
      </c>
      <c r="M179" s="1">
        <v>0.8</v>
      </c>
      <c r="N179" s="1">
        <v>22.18000031</v>
      </c>
    </row>
    <row r="180" ht="15.75" customHeight="1">
      <c r="A180" s="1" t="s">
        <v>160</v>
      </c>
      <c r="B180" s="1" t="s">
        <v>73</v>
      </c>
      <c r="C180" s="5">
        <v>45733.0</v>
      </c>
      <c r="D180" s="1" t="s">
        <v>161</v>
      </c>
      <c r="E180" s="1" t="s">
        <v>11</v>
      </c>
      <c r="F180" s="1" t="s">
        <v>162</v>
      </c>
      <c r="G180" s="1" t="s">
        <v>163</v>
      </c>
      <c r="H180" s="1">
        <v>1.0</v>
      </c>
      <c r="I180" s="1">
        <v>0.0</v>
      </c>
      <c r="J180" s="1">
        <v>0.0</v>
      </c>
      <c r="K180" s="1">
        <v>4.0</v>
      </c>
      <c r="L180" s="1">
        <v>26.0</v>
      </c>
      <c r="M180" s="1">
        <v>0.153846154</v>
      </c>
      <c r="N180" s="1">
        <v>14.05000019</v>
      </c>
    </row>
    <row r="181" ht="15.75" customHeight="1">
      <c r="A181" s="1" t="s">
        <v>164</v>
      </c>
      <c r="B181" s="1" t="s">
        <v>62</v>
      </c>
      <c r="C181" s="5">
        <v>45733.0</v>
      </c>
      <c r="D181" s="1" t="s">
        <v>161</v>
      </c>
      <c r="E181" s="1" t="s">
        <v>11</v>
      </c>
      <c r="F181" s="1" t="s">
        <v>165</v>
      </c>
      <c r="G181" s="1" t="s">
        <v>163</v>
      </c>
      <c r="H181" s="1">
        <v>1.0</v>
      </c>
      <c r="I181" s="1">
        <v>0.0</v>
      </c>
      <c r="J181" s="1">
        <v>0.0</v>
      </c>
      <c r="K181" s="1">
        <v>0.0</v>
      </c>
      <c r="L181" s="1">
        <v>0.0</v>
      </c>
      <c r="N181" s="1">
        <v>0.0</v>
      </c>
    </row>
    <row r="182" ht="15.75" customHeight="1">
      <c r="A182" s="1" t="s">
        <v>164</v>
      </c>
      <c r="B182" s="1" t="s">
        <v>62</v>
      </c>
      <c r="C182" s="5">
        <v>45733.0</v>
      </c>
      <c r="D182" s="1" t="s">
        <v>161</v>
      </c>
      <c r="E182" s="1" t="s">
        <v>11</v>
      </c>
      <c r="F182" s="1" t="s">
        <v>166</v>
      </c>
      <c r="G182" s="1" t="s">
        <v>163</v>
      </c>
      <c r="H182" s="1">
        <v>1.0</v>
      </c>
      <c r="I182" s="1">
        <v>1.0</v>
      </c>
      <c r="J182" s="1">
        <v>0.0</v>
      </c>
      <c r="K182" s="1">
        <v>8.0</v>
      </c>
      <c r="L182" s="1">
        <v>16.0</v>
      </c>
      <c r="M182" s="1">
        <v>0.5</v>
      </c>
      <c r="N182" s="1">
        <v>7.639999866</v>
      </c>
    </row>
    <row r="183" ht="15.75" customHeight="1">
      <c r="A183" s="1" t="s">
        <v>164</v>
      </c>
      <c r="B183" s="1" t="s">
        <v>64</v>
      </c>
      <c r="C183" s="5">
        <v>45733.0</v>
      </c>
      <c r="D183" s="1" t="s">
        <v>161</v>
      </c>
      <c r="E183" s="1" t="s">
        <v>11</v>
      </c>
      <c r="F183" s="1" t="s">
        <v>166</v>
      </c>
      <c r="G183" s="1" t="s">
        <v>163</v>
      </c>
      <c r="H183" s="1">
        <v>1.0</v>
      </c>
      <c r="I183" s="1">
        <v>0.0</v>
      </c>
      <c r="J183" s="1">
        <v>0.0</v>
      </c>
      <c r="K183" s="1">
        <v>4.0</v>
      </c>
      <c r="L183" s="1">
        <v>8.0</v>
      </c>
      <c r="M183" s="1">
        <v>0.5</v>
      </c>
      <c r="N183" s="1">
        <v>8.869999886</v>
      </c>
    </row>
    <row r="184" ht="15.75" customHeight="1">
      <c r="A184" s="1" t="s">
        <v>164</v>
      </c>
      <c r="B184" s="1" t="s">
        <v>78</v>
      </c>
      <c r="C184" s="5">
        <v>45733.0</v>
      </c>
      <c r="D184" s="1" t="s">
        <v>161</v>
      </c>
      <c r="E184" s="1" t="s">
        <v>11</v>
      </c>
      <c r="F184" s="1" t="s">
        <v>165</v>
      </c>
      <c r="G184" s="1" t="s">
        <v>163</v>
      </c>
      <c r="H184" s="1">
        <v>1.0</v>
      </c>
      <c r="I184" s="1">
        <v>2.0</v>
      </c>
      <c r="J184" s="1">
        <v>0.0</v>
      </c>
      <c r="K184" s="1">
        <v>39.0</v>
      </c>
      <c r="L184" s="1">
        <v>45.0</v>
      </c>
      <c r="M184" s="1">
        <v>0.866666667</v>
      </c>
      <c r="N184" s="1">
        <v>18.04000092</v>
      </c>
    </row>
    <row r="185" ht="15.75" customHeight="1">
      <c r="A185" s="1" t="s">
        <v>164</v>
      </c>
      <c r="B185" s="1" t="s">
        <v>81</v>
      </c>
      <c r="C185" s="5">
        <v>45733.0</v>
      </c>
      <c r="D185" s="1" t="s">
        <v>161</v>
      </c>
      <c r="E185" s="1" t="s">
        <v>11</v>
      </c>
      <c r="F185" s="1" t="s">
        <v>162</v>
      </c>
      <c r="G185" s="1" t="s">
        <v>163</v>
      </c>
      <c r="H185" s="1">
        <v>1.0</v>
      </c>
      <c r="I185" s="1">
        <v>0.0</v>
      </c>
      <c r="J185" s="1">
        <v>0.0</v>
      </c>
      <c r="K185" s="1">
        <v>6.0</v>
      </c>
      <c r="L185" s="1">
        <v>8.0</v>
      </c>
      <c r="M185" s="1">
        <v>0.75</v>
      </c>
      <c r="N185" s="1">
        <v>6.659999847</v>
      </c>
    </row>
    <row r="186" ht="15.75" customHeight="1">
      <c r="A186" s="1" t="s">
        <v>164</v>
      </c>
      <c r="B186" s="1" t="s">
        <v>81</v>
      </c>
      <c r="C186" s="5">
        <v>45733.0</v>
      </c>
      <c r="D186" s="1" t="s">
        <v>161</v>
      </c>
      <c r="E186" s="1" t="s">
        <v>11</v>
      </c>
      <c r="F186" s="1" t="s">
        <v>299</v>
      </c>
      <c r="G186" s="1" t="s">
        <v>163</v>
      </c>
      <c r="H186" s="1">
        <v>1.0</v>
      </c>
      <c r="I186" s="1">
        <v>0.0</v>
      </c>
      <c r="J186" s="1">
        <v>0.0</v>
      </c>
      <c r="K186" s="1">
        <v>0.0</v>
      </c>
      <c r="L186" s="1">
        <v>2.0</v>
      </c>
      <c r="M186" s="1">
        <v>0.0</v>
      </c>
      <c r="N186" s="1">
        <v>0.0</v>
      </c>
    </row>
    <row r="187" ht="15.75" customHeight="1">
      <c r="A187" s="1" t="s">
        <v>164</v>
      </c>
      <c r="B187" s="1" t="s">
        <v>82</v>
      </c>
      <c r="C187" s="5">
        <v>45733.0</v>
      </c>
      <c r="D187" s="1" t="s">
        <v>161</v>
      </c>
      <c r="E187" s="1" t="s">
        <v>11</v>
      </c>
      <c r="F187" s="1" t="s">
        <v>166</v>
      </c>
      <c r="G187" s="1" t="s">
        <v>163</v>
      </c>
      <c r="H187" s="1">
        <v>1.0</v>
      </c>
      <c r="I187" s="1">
        <v>1.0</v>
      </c>
      <c r="J187" s="1">
        <v>0.0</v>
      </c>
      <c r="K187" s="1">
        <v>10.0</v>
      </c>
      <c r="L187" s="1">
        <v>12.0</v>
      </c>
      <c r="M187" s="1">
        <v>0.833333333</v>
      </c>
      <c r="N187" s="1">
        <v>4.650000095</v>
      </c>
    </row>
    <row r="188" ht="15.75" customHeight="1">
      <c r="A188" s="1" t="s">
        <v>164</v>
      </c>
      <c r="B188" s="1" t="s">
        <v>105</v>
      </c>
      <c r="C188" s="5">
        <v>45733.0</v>
      </c>
      <c r="D188" s="1" t="s">
        <v>161</v>
      </c>
      <c r="E188" s="1" t="s">
        <v>11</v>
      </c>
      <c r="H188" s="1">
        <v>0.0</v>
      </c>
      <c r="J188" s="1">
        <v>0.0</v>
      </c>
      <c r="N188" s="1">
        <v>0.589999974</v>
      </c>
    </row>
    <row r="189" ht="15.75" customHeight="1">
      <c r="A189" s="1" t="s">
        <v>180</v>
      </c>
      <c r="B189" s="1" t="s">
        <v>67</v>
      </c>
      <c r="C189" s="5">
        <v>45733.0</v>
      </c>
      <c r="D189" s="1" t="s">
        <v>161</v>
      </c>
      <c r="E189" s="1" t="s">
        <v>11</v>
      </c>
      <c r="F189" s="1" t="s">
        <v>165</v>
      </c>
      <c r="H189" s="1">
        <v>0.0</v>
      </c>
      <c r="I189" s="1">
        <v>0.0</v>
      </c>
      <c r="J189" s="1">
        <v>0.0</v>
      </c>
      <c r="K189" s="1">
        <v>0.0</v>
      </c>
      <c r="L189" s="1">
        <v>0.0</v>
      </c>
      <c r="N189" s="1">
        <v>0.910000026</v>
      </c>
    </row>
    <row r="190" ht="15.75" customHeight="1">
      <c r="A190" s="1" t="s">
        <v>160</v>
      </c>
      <c r="B190" s="1" t="s">
        <v>20</v>
      </c>
      <c r="C190" s="5">
        <v>45730.0</v>
      </c>
      <c r="D190" s="1" t="s">
        <v>161</v>
      </c>
      <c r="E190" s="1" t="s">
        <v>11</v>
      </c>
      <c r="F190" s="1" t="s">
        <v>162</v>
      </c>
      <c r="G190" s="1" t="s">
        <v>163</v>
      </c>
      <c r="H190" s="1">
        <v>1.0</v>
      </c>
      <c r="I190" s="1">
        <v>0.0</v>
      </c>
      <c r="J190" s="1">
        <v>0.0</v>
      </c>
      <c r="K190" s="1">
        <v>0.0</v>
      </c>
      <c r="L190" s="1">
        <v>4.0</v>
      </c>
      <c r="M190" s="1">
        <v>0.0</v>
      </c>
      <c r="N190" s="1">
        <v>2.930000067</v>
      </c>
    </row>
    <row r="191" ht="15.75" customHeight="1">
      <c r="A191" s="1" t="s">
        <v>160</v>
      </c>
      <c r="B191" s="1" t="s">
        <v>32</v>
      </c>
      <c r="C191" s="5">
        <v>45730.0</v>
      </c>
      <c r="D191" s="1" t="s">
        <v>161</v>
      </c>
      <c r="E191" s="1" t="s">
        <v>11</v>
      </c>
      <c r="H191" s="1">
        <v>0.0</v>
      </c>
      <c r="J191" s="1">
        <v>0.0</v>
      </c>
      <c r="N191" s="1">
        <v>1.129999995</v>
      </c>
    </row>
    <row r="192" ht="15.75" customHeight="1">
      <c r="A192" s="1" t="s">
        <v>160</v>
      </c>
      <c r="B192" s="1" t="s">
        <v>73</v>
      </c>
      <c r="C192" s="5">
        <v>45730.0</v>
      </c>
      <c r="D192" s="1" t="s">
        <v>161</v>
      </c>
      <c r="E192" s="1" t="s">
        <v>11</v>
      </c>
      <c r="F192" s="1" t="s">
        <v>162</v>
      </c>
      <c r="G192" s="1" t="s">
        <v>163</v>
      </c>
      <c r="H192" s="1">
        <v>1.0</v>
      </c>
      <c r="I192" s="1">
        <v>0.0</v>
      </c>
      <c r="J192" s="1">
        <v>0.0</v>
      </c>
      <c r="K192" s="1">
        <v>0.0</v>
      </c>
      <c r="L192" s="1">
        <v>6.0</v>
      </c>
      <c r="M192" s="1">
        <v>0.0</v>
      </c>
      <c r="N192" s="1">
        <v>5.809999943</v>
      </c>
    </row>
    <row r="193" ht="15.75" customHeight="1">
      <c r="A193" s="1" t="s">
        <v>160</v>
      </c>
      <c r="B193" s="1" t="s">
        <v>300</v>
      </c>
      <c r="C193" s="5">
        <v>45730.0</v>
      </c>
      <c r="D193" s="1" t="s">
        <v>161</v>
      </c>
      <c r="E193" s="1" t="s">
        <v>11</v>
      </c>
      <c r="H193" s="1">
        <v>0.0</v>
      </c>
      <c r="J193" s="1">
        <v>0.0</v>
      </c>
      <c r="N193" s="1">
        <v>1.220000029</v>
      </c>
    </row>
    <row r="194" ht="15.75" customHeight="1">
      <c r="A194" s="1" t="s">
        <v>160</v>
      </c>
      <c r="B194" s="1" t="s">
        <v>90</v>
      </c>
      <c r="C194" s="5">
        <v>45730.0</v>
      </c>
      <c r="D194" s="1" t="s">
        <v>161</v>
      </c>
      <c r="E194" s="1" t="s">
        <v>11</v>
      </c>
      <c r="F194" s="1" t="s">
        <v>165</v>
      </c>
      <c r="H194" s="1">
        <v>0.0</v>
      </c>
      <c r="I194" s="1">
        <v>0.0</v>
      </c>
      <c r="J194" s="1">
        <v>0.0</v>
      </c>
      <c r="K194" s="1">
        <v>0.0</v>
      </c>
      <c r="L194" s="1">
        <v>0.0</v>
      </c>
      <c r="N194" s="1">
        <v>0.0</v>
      </c>
    </row>
    <row r="195" ht="15.75" customHeight="1">
      <c r="A195" s="1" t="s">
        <v>160</v>
      </c>
      <c r="B195" s="1" t="s">
        <v>101</v>
      </c>
      <c r="C195" s="5">
        <v>45730.0</v>
      </c>
      <c r="D195" s="1" t="s">
        <v>161</v>
      </c>
      <c r="E195" s="1" t="s">
        <v>11</v>
      </c>
      <c r="F195" s="1" t="s">
        <v>162</v>
      </c>
      <c r="G195" s="1" t="s">
        <v>163</v>
      </c>
      <c r="H195" s="1">
        <v>1.0</v>
      </c>
      <c r="I195" s="1">
        <v>0.0</v>
      </c>
      <c r="J195" s="1">
        <v>0.0</v>
      </c>
      <c r="K195" s="1">
        <v>4.0</v>
      </c>
      <c r="L195" s="1">
        <v>14.0</v>
      </c>
      <c r="M195" s="1">
        <v>0.285714286</v>
      </c>
      <c r="N195" s="1">
        <v>9.340000153</v>
      </c>
    </row>
    <row r="196" ht="15.75" customHeight="1">
      <c r="A196" s="1" t="s">
        <v>164</v>
      </c>
      <c r="B196" s="1" t="s">
        <v>22</v>
      </c>
      <c r="C196" s="5">
        <v>45730.0</v>
      </c>
      <c r="D196" s="1" t="s">
        <v>161</v>
      </c>
      <c r="E196" s="1" t="s">
        <v>11</v>
      </c>
      <c r="F196" s="1" t="s">
        <v>165</v>
      </c>
      <c r="H196" s="1">
        <v>0.0</v>
      </c>
      <c r="I196" s="1">
        <v>0.0</v>
      </c>
      <c r="J196" s="1">
        <v>0.0</v>
      </c>
      <c r="K196" s="1">
        <v>0.0</v>
      </c>
      <c r="L196" s="1">
        <v>0.0</v>
      </c>
      <c r="N196" s="1">
        <v>0.0</v>
      </c>
    </row>
    <row r="197" ht="15.75" customHeight="1">
      <c r="A197" s="1" t="s">
        <v>164</v>
      </c>
      <c r="B197" s="1" t="s">
        <v>22</v>
      </c>
      <c r="C197" s="5">
        <v>45730.0</v>
      </c>
      <c r="D197" s="1" t="s">
        <v>161</v>
      </c>
      <c r="E197" s="1" t="s">
        <v>11</v>
      </c>
      <c r="F197" s="1" t="s">
        <v>166</v>
      </c>
      <c r="H197" s="1">
        <v>0.0</v>
      </c>
      <c r="I197" s="1">
        <v>1.0</v>
      </c>
      <c r="J197" s="1">
        <v>0.0</v>
      </c>
      <c r="K197" s="1">
        <v>0.0</v>
      </c>
      <c r="L197" s="1">
        <v>0.0</v>
      </c>
      <c r="N197" s="1">
        <v>2.200000048</v>
      </c>
    </row>
    <row r="198" ht="15.75" customHeight="1">
      <c r="A198" s="1" t="s">
        <v>164</v>
      </c>
      <c r="B198" s="1" t="s">
        <v>24</v>
      </c>
      <c r="C198" s="5">
        <v>45730.0</v>
      </c>
      <c r="D198" s="1" t="s">
        <v>161</v>
      </c>
      <c r="E198" s="1" t="s">
        <v>11</v>
      </c>
      <c r="F198" s="1" t="s">
        <v>162</v>
      </c>
      <c r="G198" s="1" t="s">
        <v>163</v>
      </c>
      <c r="H198" s="1">
        <v>1.0</v>
      </c>
      <c r="I198" s="1">
        <v>0.0</v>
      </c>
      <c r="J198" s="1">
        <v>0.0</v>
      </c>
      <c r="K198" s="1">
        <v>11.0</v>
      </c>
      <c r="L198" s="1">
        <v>19.0</v>
      </c>
      <c r="M198" s="1">
        <v>0.578947368</v>
      </c>
      <c r="N198" s="1">
        <v>11.22000027</v>
      </c>
    </row>
    <row r="199" ht="15.75" customHeight="1">
      <c r="A199" s="1" t="s">
        <v>164</v>
      </c>
      <c r="B199" s="1" t="s">
        <v>24</v>
      </c>
      <c r="C199" s="5">
        <v>45730.0</v>
      </c>
      <c r="D199" s="1" t="s">
        <v>161</v>
      </c>
      <c r="E199" s="1" t="s">
        <v>11</v>
      </c>
      <c r="F199" s="1" t="s">
        <v>166</v>
      </c>
      <c r="G199" s="1" t="s">
        <v>163</v>
      </c>
      <c r="H199" s="1">
        <v>1.0</v>
      </c>
      <c r="I199" s="1">
        <v>0.0</v>
      </c>
      <c r="J199" s="1">
        <v>0.0</v>
      </c>
      <c r="K199" s="1">
        <v>0.0</v>
      </c>
      <c r="L199" s="1">
        <v>0.0</v>
      </c>
      <c r="N199" s="1">
        <v>0.0</v>
      </c>
    </row>
    <row r="200" ht="15.75" customHeight="1">
      <c r="A200" s="1" t="s">
        <v>164</v>
      </c>
      <c r="B200" s="1" t="s">
        <v>52</v>
      </c>
      <c r="C200" s="5">
        <v>45730.0</v>
      </c>
      <c r="D200" s="1" t="s">
        <v>161</v>
      </c>
      <c r="E200" s="1" t="s">
        <v>11</v>
      </c>
      <c r="F200" s="1" t="s">
        <v>165</v>
      </c>
      <c r="G200" s="1" t="s">
        <v>163</v>
      </c>
      <c r="H200" s="1">
        <v>1.0</v>
      </c>
      <c r="I200" s="1">
        <v>0.0</v>
      </c>
      <c r="J200" s="1">
        <v>0.0</v>
      </c>
      <c r="K200" s="1">
        <v>10.0</v>
      </c>
      <c r="L200" s="1">
        <v>16.0</v>
      </c>
      <c r="M200" s="1">
        <v>0.625</v>
      </c>
      <c r="N200" s="1">
        <v>19.0</v>
      </c>
    </row>
    <row r="201" ht="15.75" customHeight="1">
      <c r="A201" s="1" t="s">
        <v>164</v>
      </c>
      <c r="B201" s="1" t="s">
        <v>52</v>
      </c>
      <c r="C201" s="5">
        <v>45730.0</v>
      </c>
      <c r="D201" s="1" t="s">
        <v>161</v>
      </c>
      <c r="E201" s="1" t="s">
        <v>11</v>
      </c>
      <c r="F201" s="1" t="s">
        <v>162</v>
      </c>
      <c r="G201" s="1" t="s">
        <v>163</v>
      </c>
      <c r="H201" s="1">
        <v>1.0</v>
      </c>
      <c r="I201" s="1">
        <v>0.0</v>
      </c>
      <c r="J201" s="1">
        <v>0.0</v>
      </c>
      <c r="K201" s="1">
        <v>1.0</v>
      </c>
      <c r="L201" s="1">
        <v>3.0</v>
      </c>
      <c r="M201" s="1">
        <v>0.333333333</v>
      </c>
      <c r="N201" s="1">
        <v>0.0</v>
      </c>
    </row>
    <row r="202" ht="15.75" customHeight="1">
      <c r="A202" s="1" t="s">
        <v>164</v>
      </c>
      <c r="B202" s="1" t="s">
        <v>55</v>
      </c>
      <c r="C202" s="5">
        <v>45730.0</v>
      </c>
      <c r="D202" s="1" t="s">
        <v>161</v>
      </c>
      <c r="E202" s="1" t="s">
        <v>11</v>
      </c>
      <c r="F202" s="1" t="s">
        <v>166</v>
      </c>
      <c r="G202" s="1" t="s">
        <v>163</v>
      </c>
      <c r="H202" s="1">
        <v>1.0</v>
      </c>
      <c r="I202" s="1">
        <v>0.0</v>
      </c>
      <c r="J202" s="1">
        <v>0.0</v>
      </c>
      <c r="K202" s="1">
        <v>0.0</v>
      </c>
      <c r="L202" s="1">
        <v>2.0</v>
      </c>
      <c r="M202" s="1">
        <v>0.0</v>
      </c>
      <c r="N202" s="1">
        <v>3.109999895</v>
      </c>
    </row>
    <row r="203" ht="15.75" customHeight="1">
      <c r="A203" s="1" t="s">
        <v>164</v>
      </c>
      <c r="B203" s="1" t="s">
        <v>62</v>
      </c>
      <c r="C203" s="5">
        <v>45730.0</v>
      </c>
      <c r="D203" s="1" t="s">
        <v>161</v>
      </c>
      <c r="E203" s="1" t="s">
        <v>11</v>
      </c>
      <c r="F203" s="1" t="s">
        <v>165</v>
      </c>
      <c r="H203" s="1">
        <v>0.0</v>
      </c>
      <c r="I203" s="1">
        <v>0.0</v>
      </c>
      <c r="J203" s="1">
        <v>0.0</v>
      </c>
      <c r="K203" s="1">
        <v>0.0</v>
      </c>
      <c r="L203" s="1">
        <v>0.0</v>
      </c>
      <c r="N203" s="1">
        <v>2.569999933</v>
      </c>
    </row>
    <row r="204" ht="15.75" customHeight="1">
      <c r="A204" s="1" t="s">
        <v>164</v>
      </c>
      <c r="B204" s="1" t="s">
        <v>64</v>
      </c>
      <c r="C204" s="5">
        <v>45730.0</v>
      </c>
      <c r="D204" s="1" t="s">
        <v>161</v>
      </c>
      <c r="E204" s="1" t="s">
        <v>11</v>
      </c>
      <c r="F204" s="1" t="s">
        <v>166</v>
      </c>
      <c r="H204" s="1">
        <v>0.0</v>
      </c>
      <c r="I204" s="1">
        <v>0.0</v>
      </c>
      <c r="J204" s="1">
        <v>0.0</v>
      </c>
      <c r="K204" s="1">
        <v>1.0</v>
      </c>
      <c r="L204" s="1">
        <v>2.0</v>
      </c>
      <c r="M204" s="1">
        <v>0.5</v>
      </c>
      <c r="N204" s="1">
        <v>6.059999943</v>
      </c>
    </row>
    <row r="205" ht="15.75" customHeight="1">
      <c r="A205" s="1" t="s">
        <v>164</v>
      </c>
      <c r="B205" s="1" t="s">
        <v>82</v>
      </c>
      <c r="C205" s="5">
        <v>45730.0</v>
      </c>
      <c r="D205" s="1" t="s">
        <v>161</v>
      </c>
      <c r="E205" s="1" t="s">
        <v>11</v>
      </c>
      <c r="F205" s="1" t="s">
        <v>165</v>
      </c>
      <c r="G205" s="1" t="s">
        <v>163</v>
      </c>
      <c r="H205" s="1">
        <v>1.0</v>
      </c>
      <c r="I205" s="1">
        <v>0.0</v>
      </c>
      <c r="J205" s="1">
        <v>0.0</v>
      </c>
      <c r="K205" s="1">
        <v>0.0</v>
      </c>
      <c r="L205" s="1">
        <v>0.0</v>
      </c>
      <c r="N205" s="1">
        <v>0.0</v>
      </c>
    </row>
    <row r="206" ht="15.75" customHeight="1">
      <c r="A206" s="1" t="s">
        <v>164</v>
      </c>
      <c r="B206" s="1" t="s">
        <v>82</v>
      </c>
      <c r="C206" s="5">
        <v>45730.0</v>
      </c>
      <c r="D206" s="1" t="s">
        <v>161</v>
      </c>
      <c r="E206" s="1" t="s">
        <v>11</v>
      </c>
      <c r="F206" s="1" t="s">
        <v>166</v>
      </c>
      <c r="G206" s="1" t="s">
        <v>163</v>
      </c>
      <c r="H206" s="1">
        <v>1.0</v>
      </c>
      <c r="I206" s="1">
        <v>0.0</v>
      </c>
      <c r="J206" s="1">
        <v>0.0</v>
      </c>
      <c r="K206" s="1">
        <v>5.0</v>
      </c>
      <c r="L206" s="1">
        <v>10.0</v>
      </c>
      <c r="M206" s="1">
        <v>0.5</v>
      </c>
      <c r="N206" s="1">
        <v>14.75</v>
      </c>
    </row>
    <row r="207" ht="15.75" customHeight="1">
      <c r="A207" s="1" t="s">
        <v>160</v>
      </c>
      <c r="B207" s="1" t="s">
        <v>38</v>
      </c>
      <c r="C207" s="5">
        <v>45729.0</v>
      </c>
      <c r="D207" s="1" t="s">
        <v>161</v>
      </c>
      <c r="E207" s="1" t="s">
        <v>11</v>
      </c>
      <c r="F207" s="1" t="s">
        <v>165</v>
      </c>
      <c r="H207" s="1">
        <v>0.0</v>
      </c>
      <c r="I207" s="1">
        <v>0.0</v>
      </c>
      <c r="J207" s="1">
        <v>0.0</v>
      </c>
      <c r="K207" s="1">
        <v>0.0</v>
      </c>
      <c r="L207" s="1">
        <v>10.0</v>
      </c>
      <c r="M207" s="1">
        <v>0.0</v>
      </c>
      <c r="N207" s="1">
        <v>0.310000002</v>
      </c>
    </row>
    <row r="208" ht="15.75" customHeight="1">
      <c r="A208" s="1" t="s">
        <v>160</v>
      </c>
      <c r="B208" s="1" t="s">
        <v>80</v>
      </c>
      <c r="C208" s="5">
        <v>45729.0</v>
      </c>
      <c r="D208" s="1" t="s">
        <v>161</v>
      </c>
      <c r="E208" s="1" t="s">
        <v>11</v>
      </c>
      <c r="F208" s="1" t="s">
        <v>162</v>
      </c>
      <c r="H208" s="1">
        <v>0.0</v>
      </c>
      <c r="I208" s="1">
        <v>0.0</v>
      </c>
      <c r="J208" s="1">
        <v>0.0</v>
      </c>
      <c r="K208" s="1">
        <v>0.0</v>
      </c>
      <c r="L208" s="1">
        <v>8.0</v>
      </c>
      <c r="M208" s="1">
        <v>0.0</v>
      </c>
      <c r="N208" s="1">
        <v>5.949999809</v>
      </c>
    </row>
    <row r="209" ht="15.75" customHeight="1">
      <c r="A209" s="1" t="s">
        <v>160</v>
      </c>
      <c r="B209" s="1" t="s">
        <v>92</v>
      </c>
      <c r="C209" s="5">
        <v>45729.0</v>
      </c>
      <c r="D209" s="1" t="s">
        <v>161</v>
      </c>
      <c r="E209" s="1" t="s">
        <v>11</v>
      </c>
      <c r="F209" s="1" t="s">
        <v>165</v>
      </c>
      <c r="G209" s="1" t="s">
        <v>163</v>
      </c>
      <c r="H209" s="1">
        <v>1.0</v>
      </c>
      <c r="I209" s="1">
        <v>0.0</v>
      </c>
      <c r="J209" s="1">
        <v>0.0</v>
      </c>
      <c r="K209" s="1">
        <v>0.0</v>
      </c>
      <c r="L209" s="1">
        <v>16.0</v>
      </c>
      <c r="M209" s="1">
        <v>0.0</v>
      </c>
      <c r="N209" s="1">
        <v>21.65999985</v>
      </c>
    </row>
    <row r="210" ht="15.75" customHeight="1">
      <c r="A210" s="1" t="s">
        <v>160</v>
      </c>
      <c r="B210" s="1" t="s">
        <v>73</v>
      </c>
      <c r="C210" s="5">
        <v>45729.0</v>
      </c>
      <c r="D210" s="1" t="s">
        <v>161</v>
      </c>
      <c r="E210" s="1" t="s">
        <v>11</v>
      </c>
      <c r="F210" s="1" t="s">
        <v>162</v>
      </c>
      <c r="G210" s="1" t="s">
        <v>163</v>
      </c>
      <c r="H210" s="1">
        <v>1.0</v>
      </c>
      <c r="I210" s="1">
        <v>0.0</v>
      </c>
      <c r="J210" s="1">
        <v>0.0</v>
      </c>
      <c r="K210" s="1">
        <v>0.0</v>
      </c>
      <c r="L210" s="1">
        <v>23.0</v>
      </c>
      <c r="M210" s="1">
        <v>0.0</v>
      </c>
      <c r="N210" s="1">
        <v>6.78000021</v>
      </c>
    </row>
    <row r="211" ht="15.75" customHeight="1">
      <c r="A211" s="1" t="s">
        <v>160</v>
      </c>
      <c r="B211" s="1" t="s">
        <v>90</v>
      </c>
      <c r="C211" s="5">
        <v>45729.0</v>
      </c>
      <c r="D211" s="1" t="s">
        <v>161</v>
      </c>
      <c r="E211" s="1" t="s">
        <v>11</v>
      </c>
      <c r="F211" s="1" t="s">
        <v>165</v>
      </c>
      <c r="H211" s="1">
        <v>0.0</v>
      </c>
      <c r="I211" s="1">
        <v>0.0</v>
      </c>
      <c r="J211" s="1">
        <v>0.0</v>
      </c>
      <c r="K211" s="1">
        <v>0.0</v>
      </c>
      <c r="L211" s="1">
        <v>5.0</v>
      </c>
      <c r="M211" s="1">
        <v>0.0</v>
      </c>
      <c r="N211" s="1">
        <v>0.07</v>
      </c>
    </row>
    <row r="212" ht="15.75" customHeight="1">
      <c r="A212" s="1" t="s">
        <v>160</v>
      </c>
      <c r="B212" s="1" t="s">
        <v>101</v>
      </c>
      <c r="C212" s="5">
        <v>45729.0</v>
      </c>
      <c r="D212" s="1" t="s">
        <v>161</v>
      </c>
      <c r="E212" s="1" t="s">
        <v>11</v>
      </c>
      <c r="F212" s="1" t="s">
        <v>162</v>
      </c>
      <c r="G212" s="1" t="s">
        <v>163</v>
      </c>
      <c r="H212" s="1">
        <v>1.0</v>
      </c>
      <c r="I212" s="1">
        <v>0.0</v>
      </c>
      <c r="J212" s="1">
        <v>0.0</v>
      </c>
      <c r="K212" s="1">
        <v>0.0</v>
      </c>
      <c r="L212" s="1">
        <v>2.0</v>
      </c>
      <c r="M212" s="1">
        <v>0.0</v>
      </c>
      <c r="N212" s="1">
        <v>2.74000001</v>
      </c>
    </row>
    <row r="213" ht="15.75" customHeight="1">
      <c r="A213" s="1" t="s">
        <v>164</v>
      </c>
      <c r="B213" s="1" t="s">
        <v>24</v>
      </c>
      <c r="C213" s="5">
        <v>45729.0</v>
      </c>
      <c r="D213" s="1" t="s">
        <v>161</v>
      </c>
      <c r="E213" s="1" t="s">
        <v>11</v>
      </c>
      <c r="F213" s="1" t="s">
        <v>162</v>
      </c>
      <c r="G213" s="1" t="s">
        <v>163</v>
      </c>
      <c r="H213" s="1">
        <v>1.0</v>
      </c>
      <c r="I213" s="1">
        <v>0.0</v>
      </c>
      <c r="J213" s="1">
        <v>0.0</v>
      </c>
      <c r="K213" s="1">
        <v>0.0</v>
      </c>
      <c r="L213" s="1">
        <v>6.0</v>
      </c>
      <c r="M213" s="1">
        <v>0.0</v>
      </c>
      <c r="N213" s="1">
        <v>7.199999809</v>
      </c>
    </row>
    <row r="214" ht="15.75" customHeight="1">
      <c r="A214" s="1" t="s">
        <v>164</v>
      </c>
      <c r="B214" s="1" t="s">
        <v>24</v>
      </c>
      <c r="C214" s="5">
        <v>45729.0</v>
      </c>
      <c r="D214" s="1" t="s">
        <v>161</v>
      </c>
      <c r="E214" s="1" t="s">
        <v>11</v>
      </c>
      <c r="F214" s="1" t="s">
        <v>166</v>
      </c>
      <c r="G214" s="1" t="s">
        <v>163</v>
      </c>
      <c r="H214" s="1">
        <v>1.0</v>
      </c>
      <c r="I214" s="1">
        <v>0.0</v>
      </c>
      <c r="J214" s="1">
        <v>0.0</v>
      </c>
      <c r="K214" s="1">
        <v>0.0</v>
      </c>
      <c r="L214" s="1">
        <v>0.0</v>
      </c>
      <c r="N214" s="1">
        <v>0.0</v>
      </c>
    </row>
    <row r="215" ht="15.75" customHeight="1">
      <c r="A215" s="1" t="s">
        <v>164</v>
      </c>
      <c r="B215" s="1" t="s">
        <v>52</v>
      </c>
      <c r="C215" s="5">
        <v>45729.0</v>
      </c>
      <c r="D215" s="1" t="s">
        <v>161</v>
      </c>
      <c r="E215" s="1" t="s">
        <v>11</v>
      </c>
      <c r="F215" s="1" t="s">
        <v>165</v>
      </c>
      <c r="G215" s="1" t="s">
        <v>163</v>
      </c>
      <c r="H215" s="1">
        <v>1.0</v>
      </c>
      <c r="I215" s="1">
        <v>0.0</v>
      </c>
      <c r="J215" s="1">
        <v>0.0</v>
      </c>
      <c r="K215" s="1">
        <v>0.0</v>
      </c>
      <c r="L215" s="1">
        <v>0.0</v>
      </c>
      <c r="N215" s="1">
        <v>0.0</v>
      </c>
    </row>
    <row r="216" ht="15.75" customHeight="1">
      <c r="A216" s="1" t="s">
        <v>164</v>
      </c>
      <c r="B216" s="1" t="s">
        <v>52</v>
      </c>
      <c r="C216" s="5">
        <v>45729.0</v>
      </c>
      <c r="D216" s="1" t="s">
        <v>161</v>
      </c>
      <c r="E216" s="1" t="s">
        <v>11</v>
      </c>
      <c r="F216" s="1" t="s">
        <v>162</v>
      </c>
      <c r="G216" s="1" t="s">
        <v>163</v>
      </c>
      <c r="H216" s="1">
        <v>1.0</v>
      </c>
      <c r="I216" s="1">
        <v>0.0</v>
      </c>
      <c r="J216" s="1">
        <v>0.0</v>
      </c>
      <c r="K216" s="1">
        <v>4.0</v>
      </c>
      <c r="L216" s="1">
        <v>14.0</v>
      </c>
      <c r="M216" s="1">
        <v>0.285714286</v>
      </c>
      <c r="N216" s="1">
        <v>7.980000019</v>
      </c>
    </row>
    <row r="217" ht="15.75" customHeight="1">
      <c r="A217" s="1" t="s">
        <v>164</v>
      </c>
      <c r="B217" s="1" t="s">
        <v>55</v>
      </c>
      <c r="C217" s="5">
        <v>45729.0</v>
      </c>
      <c r="D217" s="1" t="s">
        <v>161</v>
      </c>
      <c r="E217" s="1" t="s">
        <v>11</v>
      </c>
      <c r="F217" s="1" t="s">
        <v>166</v>
      </c>
      <c r="G217" s="1" t="s">
        <v>163</v>
      </c>
      <c r="H217" s="1">
        <v>1.0</v>
      </c>
      <c r="I217" s="1">
        <v>0.0</v>
      </c>
      <c r="J217" s="1">
        <v>0.0</v>
      </c>
      <c r="K217" s="1">
        <v>0.0</v>
      </c>
      <c r="L217" s="1">
        <v>6.0</v>
      </c>
      <c r="M217" s="1">
        <v>0.0</v>
      </c>
      <c r="N217" s="1">
        <v>2.880000114</v>
      </c>
    </row>
    <row r="218" ht="15.75" customHeight="1">
      <c r="A218" s="1" t="s">
        <v>164</v>
      </c>
      <c r="B218" s="1" t="s">
        <v>62</v>
      </c>
      <c r="C218" s="5">
        <v>45729.0</v>
      </c>
      <c r="D218" s="1" t="s">
        <v>161</v>
      </c>
      <c r="E218" s="1" t="s">
        <v>11</v>
      </c>
      <c r="F218" s="1" t="s">
        <v>165</v>
      </c>
      <c r="G218" s="1" t="s">
        <v>163</v>
      </c>
      <c r="H218" s="1">
        <v>1.0</v>
      </c>
      <c r="I218" s="1">
        <v>4.0</v>
      </c>
      <c r="J218" s="1">
        <v>0.0</v>
      </c>
      <c r="K218" s="1">
        <v>68.0</v>
      </c>
      <c r="L218" s="1">
        <v>92.0</v>
      </c>
      <c r="M218" s="1">
        <v>0.739130435</v>
      </c>
      <c r="N218" s="1">
        <v>19.25</v>
      </c>
    </row>
    <row r="219" ht="15.75" customHeight="1">
      <c r="A219" s="1" t="s">
        <v>164</v>
      </c>
      <c r="B219" s="1" t="s">
        <v>64</v>
      </c>
      <c r="C219" s="5">
        <v>45729.0</v>
      </c>
      <c r="D219" s="1" t="s">
        <v>161</v>
      </c>
      <c r="E219" s="1" t="s">
        <v>11</v>
      </c>
      <c r="F219" s="1" t="s">
        <v>166</v>
      </c>
      <c r="G219" s="1" t="s">
        <v>163</v>
      </c>
      <c r="H219" s="1">
        <v>1.0</v>
      </c>
      <c r="I219" s="1">
        <v>0.0</v>
      </c>
      <c r="J219" s="1">
        <v>0.0</v>
      </c>
      <c r="K219" s="1">
        <v>0.0</v>
      </c>
      <c r="L219" s="1">
        <v>4.0</v>
      </c>
      <c r="M219" s="1">
        <v>0.0</v>
      </c>
      <c r="N219" s="1">
        <v>8.350000381</v>
      </c>
    </row>
    <row r="220" ht="15.75" customHeight="1">
      <c r="A220" s="1" t="s">
        <v>164</v>
      </c>
      <c r="B220" s="1" t="s">
        <v>76</v>
      </c>
      <c r="C220" s="5">
        <v>45729.0</v>
      </c>
      <c r="D220" s="1" t="s">
        <v>161</v>
      </c>
      <c r="E220" s="1" t="s">
        <v>11</v>
      </c>
      <c r="F220" s="1" t="s">
        <v>162</v>
      </c>
      <c r="H220" s="1">
        <v>0.0</v>
      </c>
      <c r="I220" s="1">
        <v>0.0</v>
      </c>
      <c r="J220" s="1">
        <v>0.0</v>
      </c>
      <c r="K220" s="1">
        <v>0.0</v>
      </c>
      <c r="L220" s="1">
        <v>10.0</v>
      </c>
      <c r="M220" s="1">
        <v>0.0</v>
      </c>
      <c r="N220" s="1">
        <v>0.600000024</v>
      </c>
    </row>
    <row r="221" ht="15.75" customHeight="1">
      <c r="A221" s="1" t="s">
        <v>164</v>
      </c>
      <c r="B221" s="1" t="s">
        <v>81</v>
      </c>
      <c r="C221" s="5">
        <v>45729.0</v>
      </c>
      <c r="D221" s="1" t="s">
        <v>161</v>
      </c>
      <c r="E221" s="1" t="s">
        <v>11</v>
      </c>
      <c r="F221" s="1" t="s">
        <v>162</v>
      </c>
      <c r="G221" s="1" t="s">
        <v>163</v>
      </c>
      <c r="H221" s="1">
        <v>1.0</v>
      </c>
      <c r="I221" s="1">
        <v>1.0</v>
      </c>
      <c r="J221" s="1">
        <v>0.0</v>
      </c>
      <c r="K221" s="1">
        <v>10.0</v>
      </c>
      <c r="L221" s="1">
        <v>12.0</v>
      </c>
      <c r="M221" s="1">
        <v>0.833333333</v>
      </c>
      <c r="N221" s="1">
        <v>0.0</v>
      </c>
    </row>
    <row r="222" ht="15.75" customHeight="1">
      <c r="A222" s="1" t="s">
        <v>164</v>
      </c>
      <c r="B222" s="1" t="s">
        <v>81</v>
      </c>
      <c r="C222" s="5">
        <v>45729.0</v>
      </c>
      <c r="D222" s="1" t="s">
        <v>161</v>
      </c>
      <c r="E222" s="1" t="s">
        <v>11</v>
      </c>
      <c r="F222" s="1" t="s">
        <v>166</v>
      </c>
      <c r="G222" s="1" t="s">
        <v>163</v>
      </c>
      <c r="H222" s="1">
        <v>1.0</v>
      </c>
      <c r="I222" s="1">
        <v>0.0</v>
      </c>
      <c r="J222" s="1">
        <v>0.0</v>
      </c>
      <c r="K222" s="1">
        <v>2.0</v>
      </c>
      <c r="L222" s="1">
        <v>14.0</v>
      </c>
      <c r="M222" s="1">
        <v>0.142857143</v>
      </c>
      <c r="N222" s="1">
        <v>12.03999996</v>
      </c>
    </row>
    <row r="223" ht="15.75" customHeight="1">
      <c r="A223" s="1" t="s">
        <v>164</v>
      </c>
      <c r="B223" s="1" t="s">
        <v>82</v>
      </c>
      <c r="C223" s="5">
        <v>45729.0</v>
      </c>
      <c r="D223" s="1" t="s">
        <v>161</v>
      </c>
      <c r="E223" s="1" t="s">
        <v>11</v>
      </c>
      <c r="H223" s="1">
        <v>0.0</v>
      </c>
      <c r="J223" s="1">
        <v>0.0</v>
      </c>
      <c r="N223" s="1">
        <v>5.860000134</v>
      </c>
    </row>
    <row r="224" ht="15.75" customHeight="1">
      <c r="A224" s="1" t="s">
        <v>160</v>
      </c>
      <c r="B224" s="1" t="s">
        <v>39</v>
      </c>
      <c r="C224" s="5">
        <v>45728.0</v>
      </c>
      <c r="D224" s="1" t="s">
        <v>161</v>
      </c>
      <c r="E224" s="1" t="s">
        <v>11</v>
      </c>
      <c r="F224" s="1" t="s">
        <v>162</v>
      </c>
      <c r="H224" s="1">
        <v>0.0</v>
      </c>
      <c r="I224" s="1">
        <v>0.0</v>
      </c>
      <c r="J224" s="1">
        <v>0.0</v>
      </c>
      <c r="K224" s="1">
        <v>6.0</v>
      </c>
      <c r="L224" s="1">
        <v>8.0</v>
      </c>
      <c r="M224" s="1">
        <v>0.75</v>
      </c>
      <c r="N224" s="1">
        <v>10.22000027</v>
      </c>
    </row>
    <row r="225" ht="15.75" customHeight="1">
      <c r="A225" s="1" t="s">
        <v>160</v>
      </c>
      <c r="B225" s="1" t="s">
        <v>39</v>
      </c>
      <c r="C225" s="5">
        <v>45728.0</v>
      </c>
      <c r="D225" s="1" t="s">
        <v>161</v>
      </c>
      <c r="E225" s="1" t="s">
        <v>11</v>
      </c>
      <c r="F225" s="1" t="s">
        <v>166</v>
      </c>
      <c r="H225" s="1">
        <v>0.0</v>
      </c>
      <c r="I225" s="1">
        <v>0.0</v>
      </c>
      <c r="J225" s="1">
        <v>0.0</v>
      </c>
      <c r="K225" s="1">
        <v>0.0</v>
      </c>
      <c r="L225" s="1">
        <v>0.0</v>
      </c>
      <c r="N225" s="1">
        <v>0.0</v>
      </c>
    </row>
    <row r="226" ht="15.75" customHeight="1">
      <c r="A226" s="1" t="s">
        <v>160</v>
      </c>
      <c r="B226" s="1" t="s">
        <v>65</v>
      </c>
      <c r="C226" s="5">
        <v>45728.0</v>
      </c>
      <c r="D226" s="1" t="s">
        <v>161</v>
      </c>
      <c r="E226" s="1" t="s">
        <v>11</v>
      </c>
      <c r="F226" s="1" t="s">
        <v>162</v>
      </c>
      <c r="G226" s="1" t="s">
        <v>163</v>
      </c>
      <c r="H226" s="1">
        <v>1.0</v>
      </c>
      <c r="I226" s="1">
        <v>0.0</v>
      </c>
      <c r="J226" s="1">
        <v>0.0</v>
      </c>
      <c r="K226" s="1">
        <v>18.0</v>
      </c>
      <c r="L226" s="1">
        <v>26.0</v>
      </c>
      <c r="M226" s="1">
        <v>0.692307692</v>
      </c>
      <c r="N226" s="1">
        <v>10.53999996</v>
      </c>
    </row>
    <row r="227" ht="15.75" customHeight="1">
      <c r="A227" s="1" t="s">
        <v>160</v>
      </c>
      <c r="B227" s="1" t="s">
        <v>73</v>
      </c>
      <c r="C227" s="5">
        <v>45728.0</v>
      </c>
      <c r="D227" s="1" t="s">
        <v>161</v>
      </c>
      <c r="E227" s="1" t="s">
        <v>11</v>
      </c>
      <c r="F227" s="1" t="s">
        <v>162</v>
      </c>
      <c r="G227" s="1" t="s">
        <v>163</v>
      </c>
      <c r="H227" s="1">
        <v>1.0</v>
      </c>
      <c r="I227" s="1">
        <v>0.0</v>
      </c>
      <c r="J227" s="1">
        <v>0.0</v>
      </c>
      <c r="K227" s="1">
        <v>4.0</v>
      </c>
      <c r="L227" s="1">
        <v>22.0</v>
      </c>
      <c r="M227" s="1">
        <v>0.181818182</v>
      </c>
      <c r="N227" s="1">
        <v>21.90999985</v>
      </c>
    </row>
    <row r="228" ht="15.75" customHeight="1">
      <c r="A228" s="1" t="s">
        <v>160</v>
      </c>
      <c r="B228" s="1" t="s">
        <v>77</v>
      </c>
      <c r="C228" s="5">
        <v>45728.0</v>
      </c>
      <c r="D228" s="1" t="s">
        <v>161</v>
      </c>
      <c r="E228" s="1" t="s">
        <v>11</v>
      </c>
      <c r="F228" s="1" t="s">
        <v>162</v>
      </c>
      <c r="H228" s="1">
        <v>0.0</v>
      </c>
      <c r="I228" s="1">
        <v>0.0</v>
      </c>
      <c r="J228" s="1">
        <v>0.0</v>
      </c>
      <c r="K228" s="1">
        <v>0.0</v>
      </c>
      <c r="L228" s="1">
        <v>2.0</v>
      </c>
      <c r="M228" s="1">
        <v>0.0</v>
      </c>
      <c r="N228" s="1">
        <v>5.170000076</v>
      </c>
    </row>
    <row r="229" ht="15.75" customHeight="1">
      <c r="A229" s="1" t="s">
        <v>160</v>
      </c>
      <c r="B229" s="1" t="s">
        <v>90</v>
      </c>
      <c r="C229" s="5">
        <v>45728.0</v>
      </c>
      <c r="D229" s="1" t="s">
        <v>161</v>
      </c>
      <c r="E229" s="1" t="s">
        <v>11</v>
      </c>
      <c r="F229" s="1" t="s">
        <v>165</v>
      </c>
      <c r="G229" s="1" t="s">
        <v>163</v>
      </c>
      <c r="H229" s="1">
        <v>1.0</v>
      </c>
      <c r="I229" s="1">
        <v>1.0</v>
      </c>
      <c r="J229" s="1">
        <v>0.0</v>
      </c>
      <c r="K229" s="1">
        <v>12.0</v>
      </c>
      <c r="L229" s="1">
        <v>16.0</v>
      </c>
      <c r="M229" s="1">
        <v>0.75</v>
      </c>
      <c r="N229" s="1">
        <v>10.42000008</v>
      </c>
    </row>
    <row r="230" ht="15.75" customHeight="1">
      <c r="A230" s="1" t="s">
        <v>160</v>
      </c>
      <c r="B230" s="1" t="s">
        <v>101</v>
      </c>
      <c r="C230" s="5">
        <v>45728.0</v>
      </c>
      <c r="D230" s="1" t="s">
        <v>161</v>
      </c>
      <c r="E230" s="1" t="s">
        <v>11</v>
      </c>
      <c r="F230" s="1" t="s">
        <v>165</v>
      </c>
      <c r="G230" s="1" t="s">
        <v>163</v>
      </c>
      <c r="H230" s="1">
        <v>1.0</v>
      </c>
      <c r="I230" s="1">
        <v>1.0</v>
      </c>
      <c r="J230" s="1">
        <v>0.0</v>
      </c>
      <c r="K230" s="1">
        <v>32.0</v>
      </c>
      <c r="L230" s="1">
        <v>36.0</v>
      </c>
      <c r="M230" s="1">
        <v>0.888888889</v>
      </c>
      <c r="N230" s="1">
        <v>22.56999969</v>
      </c>
    </row>
    <row r="231" ht="15.75" customHeight="1">
      <c r="A231" s="1" t="s">
        <v>160</v>
      </c>
      <c r="B231" s="1" t="s">
        <v>101</v>
      </c>
      <c r="C231" s="5">
        <v>45728.0</v>
      </c>
      <c r="D231" s="1" t="s">
        <v>161</v>
      </c>
      <c r="E231" s="1" t="s">
        <v>11</v>
      </c>
      <c r="F231" s="1" t="s">
        <v>162</v>
      </c>
      <c r="G231" s="1" t="s">
        <v>163</v>
      </c>
      <c r="H231" s="1">
        <v>1.0</v>
      </c>
      <c r="I231" s="1">
        <v>0.0</v>
      </c>
      <c r="J231" s="1">
        <v>0.0</v>
      </c>
      <c r="K231" s="1">
        <v>2.0</v>
      </c>
      <c r="L231" s="1">
        <v>12.0</v>
      </c>
      <c r="M231" s="1">
        <v>0.166666667</v>
      </c>
      <c r="N231" s="1">
        <v>0.0</v>
      </c>
    </row>
    <row r="232" ht="15.75" customHeight="1">
      <c r="A232" s="1" t="s">
        <v>164</v>
      </c>
      <c r="B232" s="1" t="s">
        <v>62</v>
      </c>
      <c r="C232" s="5">
        <v>45728.0</v>
      </c>
      <c r="D232" s="1" t="s">
        <v>161</v>
      </c>
      <c r="E232" s="1" t="s">
        <v>11</v>
      </c>
      <c r="F232" s="1" t="s">
        <v>165</v>
      </c>
      <c r="G232" s="1" t="s">
        <v>163</v>
      </c>
      <c r="H232" s="1">
        <v>1.0</v>
      </c>
      <c r="I232" s="1">
        <v>1.0</v>
      </c>
      <c r="J232" s="1">
        <v>0.0</v>
      </c>
      <c r="K232" s="1">
        <v>28.0</v>
      </c>
      <c r="L232" s="1">
        <v>36.0</v>
      </c>
      <c r="M232" s="1">
        <v>0.777777778</v>
      </c>
      <c r="N232" s="1">
        <v>7.860000134</v>
      </c>
    </row>
    <row r="233" ht="15.75" customHeight="1">
      <c r="A233" s="1" t="s">
        <v>164</v>
      </c>
      <c r="B233" s="1" t="s">
        <v>64</v>
      </c>
      <c r="C233" s="5">
        <v>45728.0</v>
      </c>
      <c r="D233" s="1" t="s">
        <v>161</v>
      </c>
      <c r="E233" s="1" t="s">
        <v>11</v>
      </c>
      <c r="F233" s="1" t="s">
        <v>166</v>
      </c>
      <c r="G233" s="1" t="s">
        <v>163</v>
      </c>
      <c r="H233" s="1">
        <v>1.0</v>
      </c>
      <c r="I233" s="1">
        <v>0.0</v>
      </c>
      <c r="J233" s="1">
        <v>0.0</v>
      </c>
      <c r="K233" s="1">
        <v>2.0</v>
      </c>
      <c r="L233" s="1">
        <v>4.0</v>
      </c>
      <c r="M233" s="1">
        <v>0.5</v>
      </c>
      <c r="N233" s="1">
        <v>10.17000008</v>
      </c>
    </row>
    <row r="234" ht="15.75" customHeight="1">
      <c r="A234" s="1" t="s">
        <v>164</v>
      </c>
      <c r="B234" s="1" t="s">
        <v>78</v>
      </c>
      <c r="C234" s="5">
        <v>45728.0</v>
      </c>
      <c r="D234" s="1" t="s">
        <v>161</v>
      </c>
      <c r="E234" s="1" t="s">
        <v>11</v>
      </c>
      <c r="F234" s="1" t="s">
        <v>165</v>
      </c>
      <c r="H234" s="1">
        <v>0.0</v>
      </c>
      <c r="I234" s="1">
        <v>0.0</v>
      </c>
      <c r="J234" s="1">
        <v>0.0</v>
      </c>
      <c r="K234" s="1">
        <v>0.0</v>
      </c>
      <c r="L234" s="1">
        <v>0.0</v>
      </c>
      <c r="N234" s="1">
        <v>1.100000024</v>
      </c>
    </row>
    <row r="235" ht="15.75" customHeight="1">
      <c r="A235" s="1" t="s">
        <v>164</v>
      </c>
      <c r="B235" s="1" t="s">
        <v>60</v>
      </c>
      <c r="C235" s="5">
        <v>45728.0</v>
      </c>
      <c r="D235" s="1" t="s">
        <v>161</v>
      </c>
      <c r="E235" s="1" t="s">
        <v>11</v>
      </c>
      <c r="F235" s="1" t="s">
        <v>162</v>
      </c>
      <c r="G235" s="1" t="s">
        <v>163</v>
      </c>
      <c r="H235" s="1">
        <v>1.0</v>
      </c>
      <c r="I235" s="1">
        <v>0.0</v>
      </c>
      <c r="J235" s="1">
        <v>0.0</v>
      </c>
      <c r="K235" s="1">
        <v>4.0</v>
      </c>
      <c r="L235" s="1">
        <v>6.0</v>
      </c>
      <c r="M235" s="1">
        <v>0.666666667</v>
      </c>
      <c r="N235" s="1">
        <v>11.85000038</v>
      </c>
    </row>
    <row r="236" ht="15.75" customHeight="1">
      <c r="A236" s="1" t="s">
        <v>164</v>
      </c>
      <c r="B236" s="1" t="s">
        <v>60</v>
      </c>
      <c r="C236" s="5">
        <v>45728.0</v>
      </c>
      <c r="D236" s="1" t="s">
        <v>161</v>
      </c>
      <c r="E236" s="1" t="s">
        <v>11</v>
      </c>
      <c r="F236" s="1" t="s">
        <v>166</v>
      </c>
      <c r="G236" s="1" t="s">
        <v>163</v>
      </c>
      <c r="H236" s="1">
        <v>1.0</v>
      </c>
      <c r="I236" s="1">
        <v>0.0</v>
      </c>
      <c r="J236" s="1">
        <v>0.0</v>
      </c>
      <c r="K236" s="1">
        <v>0.0</v>
      </c>
      <c r="L236" s="1">
        <v>0.0</v>
      </c>
      <c r="N236" s="1">
        <v>0.0</v>
      </c>
    </row>
    <row r="237" ht="15.75" customHeight="1">
      <c r="A237" s="1" t="s">
        <v>164</v>
      </c>
      <c r="B237" s="1" t="s">
        <v>68</v>
      </c>
      <c r="C237" s="5">
        <v>45728.0</v>
      </c>
      <c r="D237" s="1" t="s">
        <v>161</v>
      </c>
      <c r="E237" s="1" t="s">
        <v>11</v>
      </c>
      <c r="F237" s="1" t="s">
        <v>165</v>
      </c>
      <c r="H237" s="1">
        <v>0.0</v>
      </c>
      <c r="I237" s="1">
        <v>0.0</v>
      </c>
      <c r="J237" s="1">
        <v>0.0</v>
      </c>
      <c r="K237" s="1">
        <v>0.0</v>
      </c>
      <c r="L237" s="1">
        <v>4.0</v>
      </c>
      <c r="M237" s="1">
        <v>0.0</v>
      </c>
      <c r="N237" s="1">
        <v>5.760000229</v>
      </c>
    </row>
    <row r="238" ht="15.75" customHeight="1">
      <c r="A238" s="1" t="s">
        <v>164</v>
      </c>
      <c r="B238" s="1" t="s">
        <v>74</v>
      </c>
      <c r="C238" s="5">
        <v>45728.0</v>
      </c>
      <c r="D238" s="1" t="s">
        <v>161</v>
      </c>
      <c r="E238" s="1" t="s">
        <v>11</v>
      </c>
      <c r="H238" s="1">
        <v>0.0</v>
      </c>
      <c r="J238" s="1">
        <v>0.0</v>
      </c>
      <c r="N238" s="1">
        <v>0.870000005</v>
      </c>
    </row>
    <row r="239" ht="15.75" customHeight="1">
      <c r="A239" s="1" t="s">
        <v>164</v>
      </c>
      <c r="B239" s="1" t="s">
        <v>82</v>
      </c>
      <c r="C239" s="5">
        <v>45728.0</v>
      </c>
      <c r="D239" s="1" t="s">
        <v>161</v>
      </c>
      <c r="E239" s="1" t="s">
        <v>11</v>
      </c>
      <c r="F239" s="1" t="s">
        <v>176</v>
      </c>
      <c r="H239" s="1">
        <v>0.0</v>
      </c>
      <c r="I239" s="1">
        <v>0.0</v>
      </c>
      <c r="J239" s="1">
        <v>0.0</v>
      </c>
      <c r="K239" s="1">
        <v>0.0</v>
      </c>
      <c r="L239" s="1">
        <v>0.0</v>
      </c>
      <c r="N239" s="1">
        <v>0.0</v>
      </c>
    </row>
    <row r="240" ht="15.75" customHeight="1">
      <c r="A240" s="1" t="s">
        <v>164</v>
      </c>
      <c r="B240" s="1" t="s">
        <v>82</v>
      </c>
      <c r="C240" s="5">
        <v>45728.0</v>
      </c>
      <c r="D240" s="1" t="s">
        <v>161</v>
      </c>
      <c r="E240" s="1" t="s">
        <v>11</v>
      </c>
      <c r="F240" s="1" t="s">
        <v>165</v>
      </c>
      <c r="H240" s="1">
        <v>0.0</v>
      </c>
      <c r="I240" s="1">
        <v>0.0</v>
      </c>
      <c r="J240" s="1">
        <v>0.0</v>
      </c>
      <c r="K240" s="1">
        <v>0.0</v>
      </c>
      <c r="L240" s="1">
        <v>0.0</v>
      </c>
      <c r="N240" s="1">
        <v>0.0</v>
      </c>
    </row>
    <row r="241" ht="15.75" customHeight="1">
      <c r="A241" s="1" t="s">
        <v>164</v>
      </c>
      <c r="B241" s="1" t="s">
        <v>82</v>
      </c>
      <c r="C241" s="5">
        <v>45728.0</v>
      </c>
      <c r="D241" s="1" t="s">
        <v>161</v>
      </c>
      <c r="E241" s="1" t="s">
        <v>11</v>
      </c>
      <c r="F241" s="1" t="s">
        <v>166</v>
      </c>
      <c r="H241" s="1">
        <v>0.0</v>
      </c>
      <c r="I241" s="1">
        <v>0.0</v>
      </c>
      <c r="J241" s="1">
        <v>0.0</v>
      </c>
      <c r="K241" s="1">
        <v>2.0</v>
      </c>
      <c r="L241" s="1">
        <v>3.0</v>
      </c>
      <c r="M241" s="1">
        <v>0.666666667</v>
      </c>
      <c r="N241" s="1">
        <v>11.31000042</v>
      </c>
    </row>
    <row r="242" ht="15.75" customHeight="1">
      <c r="A242" s="1" t="s">
        <v>180</v>
      </c>
      <c r="B242" s="1" t="s">
        <v>67</v>
      </c>
      <c r="C242" s="5">
        <v>45728.0</v>
      </c>
      <c r="D242" s="1" t="s">
        <v>161</v>
      </c>
      <c r="E242" s="1" t="s">
        <v>11</v>
      </c>
      <c r="F242" s="1" t="s">
        <v>165</v>
      </c>
      <c r="H242" s="1">
        <v>0.0</v>
      </c>
      <c r="I242" s="1">
        <v>0.0</v>
      </c>
      <c r="J242" s="1">
        <v>0.0</v>
      </c>
      <c r="K242" s="1">
        <v>0.0</v>
      </c>
      <c r="L242" s="1">
        <v>0.0</v>
      </c>
      <c r="N242" s="1">
        <v>0.100000001</v>
      </c>
    </row>
    <row r="243" ht="15.75" customHeight="1">
      <c r="A243" s="1" t="s">
        <v>160</v>
      </c>
      <c r="B243" s="1" t="s">
        <v>38</v>
      </c>
      <c r="C243" s="5">
        <v>45727.0</v>
      </c>
      <c r="D243" s="1" t="s">
        <v>161</v>
      </c>
      <c r="E243" s="1" t="s">
        <v>11</v>
      </c>
      <c r="F243" s="1" t="s">
        <v>165</v>
      </c>
      <c r="H243" s="1">
        <v>0.0</v>
      </c>
      <c r="I243" s="1">
        <v>1.0</v>
      </c>
      <c r="J243" s="1">
        <v>0.0</v>
      </c>
      <c r="K243" s="1">
        <v>32.0</v>
      </c>
      <c r="L243" s="1">
        <v>36.0</v>
      </c>
      <c r="M243" s="1">
        <v>0.888888889</v>
      </c>
      <c r="N243" s="1">
        <v>23.43000031</v>
      </c>
    </row>
    <row r="244" ht="15.75" customHeight="1">
      <c r="A244" s="1" t="s">
        <v>160</v>
      </c>
      <c r="B244" s="1" t="s">
        <v>38</v>
      </c>
      <c r="C244" s="5">
        <v>45727.0</v>
      </c>
      <c r="D244" s="1" t="s">
        <v>161</v>
      </c>
      <c r="E244" s="1" t="s">
        <v>11</v>
      </c>
      <c r="F244" s="1" t="s">
        <v>162</v>
      </c>
      <c r="H244" s="1">
        <v>0.0</v>
      </c>
      <c r="I244" s="1">
        <v>0.0</v>
      </c>
      <c r="J244" s="1">
        <v>0.0</v>
      </c>
      <c r="K244" s="1">
        <v>2.0</v>
      </c>
      <c r="L244" s="1">
        <v>4.0</v>
      </c>
      <c r="M244" s="1">
        <v>0.5</v>
      </c>
      <c r="N244" s="1">
        <v>0.0</v>
      </c>
    </row>
    <row r="245" ht="15.75" customHeight="1">
      <c r="A245" s="1" t="s">
        <v>160</v>
      </c>
      <c r="B245" s="1" t="s">
        <v>54</v>
      </c>
      <c r="C245" s="5">
        <v>45727.0</v>
      </c>
      <c r="D245" s="1" t="s">
        <v>161</v>
      </c>
      <c r="E245" s="1" t="s">
        <v>11</v>
      </c>
      <c r="F245" s="1" t="s">
        <v>162</v>
      </c>
      <c r="H245" s="1">
        <v>0.0</v>
      </c>
      <c r="I245" s="1">
        <v>0.0</v>
      </c>
      <c r="J245" s="1">
        <v>0.0</v>
      </c>
      <c r="K245" s="1">
        <v>0.0</v>
      </c>
      <c r="L245" s="1">
        <v>8.0</v>
      </c>
      <c r="M245" s="1">
        <v>0.0</v>
      </c>
      <c r="N245" s="1">
        <v>5.590000153</v>
      </c>
    </row>
    <row r="246" ht="15.75" customHeight="1">
      <c r="A246" s="1" t="s">
        <v>160</v>
      </c>
      <c r="B246" s="1" t="s">
        <v>39</v>
      </c>
      <c r="C246" s="5">
        <v>45727.0</v>
      </c>
      <c r="D246" s="1" t="s">
        <v>161</v>
      </c>
      <c r="E246" s="1" t="s">
        <v>11</v>
      </c>
      <c r="F246" s="1" t="s">
        <v>162</v>
      </c>
      <c r="H246" s="1">
        <v>0.0</v>
      </c>
      <c r="I246" s="1">
        <v>0.0</v>
      </c>
      <c r="J246" s="1">
        <v>0.0</v>
      </c>
      <c r="K246" s="1">
        <v>0.0</v>
      </c>
      <c r="L246" s="1">
        <v>2.0</v>
      </c>
      <c r="M246" s="1">
        <v>0.0</v>
      </c>
      <c r="N246" s="1">
        <v>1.539999962</v>
      </c>
    </row>
    <row r="247" ht="15.75" customHeight="1">
      <c r="A247" s="1" t="s">
        <v>160</v>
      </c>
      <c r="B247" s="1" t="s">
        <v>39</v>
      </c>
      <c r="C247" s="5">
        <v>45727.0</v>
      </c>
      <c r="D247" s="1" t="s">
        <v>161</v>
      </c>
      <c r="E247" s="1" t="s">
        <v>11</v>
      </c>
      <c r="F247" s="1" t="s">
        <v>166</v>
      </c>
      <c r="H247" s="1">
        <v>0.0</v>
      </c>
      <c r="I247" s="1">
        <v>0.0</v>
      </c>
      <c r="J247" s="1">
        <v>0.0</v>
      </c>
      <c r="K247" s="1">
        <v>0.0</v>
      </c>
      <c r="L247" s="1">
        <v>0.0</v>
      </c>
      <c r="N247" s="1">
        <v>0.0</v>
      </c>
    </row>
    <row r="248" ht="15.75" customHeight="1">
      <c r="A248" s="1" t="s">
        <v>160</v>
      </c>
      <c r="B248" s="1" t="s">
        <v>72</v>
      </c>
      <c r="C248" s="5">
        <v>45727.0</v>
      </c>
      <c r="D248" s="1" t="s">
        <v>161</v>
      </c>
      <c r="E248" s="1" t="s">
        <v>11</v>
      </c>
      <c r="F248" s="1" t="s">
        <v>162</v>
      </c>
      <c r="H248" s="1">
        <v>0.0</v>
      </c>
      <c r="I248" s="1">
        <v>0.0</v>
      </c>
      <c r="J248" s="1">
        <v>0.0</v>
      </c>
      <c r="K248" s="1">
        <v>2.0</v>
      </c>
      <c r="L248" s="1">
        <v>31.0</v>
      </c>
      <c r="M248" s="1">
        <v>0.064516129</v>
      </c>
      <c r="N248" s="1">
        <v>23.94000053</v>
      </c>
    </row>
    <row r="249" ht="15.75" customHeight="1">
      <c r="A249" s="1" t="s">
        <v>160</v>
      </c>
      <c r="B249" s="1" t="s">
        <v>56</v>
      </c>
      <c r="C249" s="5">
        <v>45727.0</v>
      </c>
      <c r="D249" s="1" t="s">
        <v>161</v>
      </c>
      <c r="E249" s="1" t="s">
        <v>11</v>
      </c>
      <c r="F249" s="1" t="s">
        <v>162</v>
      </c>
      <c r="G249" s="1" t="s">
        <v>163</v>
      </c>
      <c r="H249" s="1">
        <v>1.0</v>
      </c>
      <c r="I249" s="1">
        <v>0.0</v>
      </c>
      <c r="J249" s="1">
        <v>0.0</v>
      </c>
      <c r="K249" s="1">
        <v>6.0</v>
      </c>
      <c r="L249" s="1">
        <v>18.0</v>
      </c>
      <c r="M249" s="1">
        <v>0.333333333</v>
      </c>
      <c r="N249" s="1">
        <v>10.28999996</v>
      </c>
    </row>
    <row r="250" ht="15.75" customHeight="1">
      <c r="A250" s="1" t="s">
        <v>160</v>
      </c>
      <c r="B250" s="1" t="s">
        <v>80</v>
      </c>
      <c r="C250" s="5">
        <v>45727.0</v>
      </c>
      <c r="D250" s="1" t="s">
        <v>161</v>
      </c>
      <c r="E250" s="1" t="s">
        <v>11</v>
      </c>
      <c r="H250" s="1">
        <v>0.0</v>
      </c>
      <c r="J250" s="1">
        <v>0.0</v>
      </c>
      <c r="N250" s="1">
        <v>0.340000004</v>
      </c>
    </row>
    <row r="251" ht="15.75" customHeight="1">
      <c r="A251" s="1" t="s">
        <v>160</v>
      </c>
      <c r="B251" s="1" t="s">
        <v>65</v>
      </c>
      <c r="C251" s="5">
        <v>45727.0</v>
      </c>
      <c r="D251" s="1" t="s">
        <v>161</v>
      </c>
      <c r="E251" s="1" t="s">
        <v>11</v>
      </c>
      <c r="F251" s="1" t="s">
        <v>162</v>
      </c>
      <c r="H251" s="1">
        <v>0.0</v>
      </c>
      <c r="I251" s="1">
        <v>0.0</v>
      </c>
      <c r="J251" s="1">
        <v>0.0</v>
      </c>
      <c r="K251" s="1">
        <v>0.0</v>
      </c>
      <c r="L251" s="1">
        <v>0.0</v>
      </c>
      <c r="N251" s="1">
        <v>0.720000029</v>
      </c>
    </row>
    <row r="252" ht="15.75" customHeight="1">
      <c r="A252" s="1" t="s">
        <v>160</v>
      </c>
      <c r="B252" s="1" t="s">
        <v>92</v>
      </c>
      <c r="C252" s="5">
        <v>45727.0</v>
      </c>
      <c r="D252" s="1" t="s">
        <v>161</v>
      </c>
      <c r="E252" s="1" t="s">
        <v>11</v>
      </c>
      <c r="F252" s="1" t="s">
        <v>165</v>
      </c>
      <c r="H252" s="1">
        <v>0.0</v>
      </c>
      <c r="I252" s="1">
        <v>0.0</v>
      </c>
      <c r="J252" s="1">
        <v>0.0</v>
      </c>
      <c r="K252" s="1">
        <v>17.0</v>
      </c>
      <c r="L252" s="1">
        <v>55.0</v>
      </c>
      <c r="M252" s="1">
        <v>0.309090909</v>
      </c>
      <c r="N252" s="1">
        <v>18.61000061</v>
      </c>
    </row>
    <row r="253" ht="15.75" customHeight="1">
      <c r="A253" s="1" t="s">
        <v>160</v>
      </c>
      <c r="B253" s="1" t="s">
        <v>73</v>
      </c>
      <c r="C253" s="5">
        <v>45727.0</v>
      </c>
      <c r="D253" s="1" t="s">
        <v>161</v>
      </c>
      <c r="E253" s="1" t="s">
        <v>11</v>
      </c>
      <c r="F253" s="1" t="s">
        <v>162</v>
      </c>
      <c r="H253" s="1">
        <v>0.0</v>
      </c>
      <c r="I253" s="1">
        <v>0.0</v>
      </c>
      <c r="J253" s="1">
        <v>0.0</v>
      </c>
      <c r="K253" s="1">
        <v>0.0</v>
      </c>
      <c r="L253" s="1">
        <v>8.0</v>
      </c>
      <c r="M253" s="1">
        <v>0.0</v>
      </c>
      <c r="N253" s="1">
        <v>14.10000038</v>
      </c>
    </row>
    <row r="254" ht="15.75" customHeight="1">
      <c r="A254" s="1" t="s">
        <v>160</v>
      </c>
      <c r="B254" s="1" t="s">
        <v>77</v>
      </c>
      <c r="C254" s="5">
        <v>45727.0</v>
      </c>
      <c r="D254" s="1" t="s">
        <v>161</v>
      </c>
      <c r="E254" s="1" t="s">
        <v>11</v>
      </c>
      <c r="F254" s="1" t="s">
        <v>162</v>
      </c>
      <c r="H254" s="1">
        <v>0.0</v>
      </c>
      <c r="I254" s="1">
        <v>0.0</v>
      </c>
      <c r="J254" s="1">
        <v>0.0</v>
      </c>
      <c r="K254" s="1">
        <v>0.0</v>
      </c>
      <c r="L254" s="1">
        <v>4.0</v>
      </c>
      <c r="M254" s="1">
        <v>0.0</v>
      </c>
      <c r="N254" s="1">
        <v>2.6900000569999998</v>
      </c>
    </row>
    <row r="255" ht="15.75" customHeight="1">
      <c r="A255" s="1" t="s">
        <v>160</v>
      </c>
      <c r="B255" s="1" t="s">
        <v>90</v>
      </c>
      <c r="C255" s="5">
        <v>45727.0</v>
      </c>
      <c r="D255" s="1" t="s">
        <v>161</v>
      </c>
      <c r="E255" s="1" t="s">
        <v>11</v>
      </c>
      <c r="F255" s="1" t="s">
        <v>165</v>
      </c>
      <c r="G255" s="1" t="s">
        <v>163</v>
      </c>
      <c r="H255" s="1">
        <v>1.0</v>
      </c>
      <c r="I255" s="1">
        <v>0.0</v>
      </c>
      <c r="J255" s="1">
        <v>0.0</v>
      </c>
      <c r="K255" s="1">
        <v>2.0</v>
      </c>
      <c r="L255" s="1">
        <v>4.0</v>
      </c>
      <c r="M255" s="1">
        <v>0.5</v>
      </c>
      <c r="N255" s="1">
        <v>1.659999967</v>
      </c>
    </row>
    <row r="256" ht="15.75" customHeight="1">
      <c r="A256" s="1" t="s">
        <v>164</v>
      </c>
      <c r="B256" s="1" t="s">
        <v>52</v>
      </c>
      <c r="C256" s="5">
        <v>45727.0</v>
      </c>
      <c r="D256" s="1" t="s">
        <v>161</v>
      </c>
      <c r="E256" s="1" t="s">
        <v>11</v>
      </c>
      <c r="F256" s="1" t="s">
        <v>165</v>
      </c>
      <c r="G256" s="1" t="s">
        <v>163</v>
      </c>
      <c r="H256" s="1">
        <v>1.0</v>
      </c>
      <c r="I256" s="1">
        <v>0.0</v>
      </c>
      <c r="J256" s="1">
        <v>0.0</v>
      </c>
      <c r="K256" s="1">
        <v>0.0</v>
      </c>
      <c r="L256" s="1">
        <v>0.0</v>
      </c>
      <c r="N256" s="1">
        <v>0.0</v>
      </c>
    </row>
    <row r="257" ht="15.75" customHeight="1">
      <c r="A257" s="1" t="s">
        <v>164</v>
      </c>
      <c r="B257" s="1" t="s">
        <v>52</v>
      </c>
      <c r="C257" s="5">
        <v>45727.0</v>
      </c>
      <c r="D257" s="1" t="s">
        <v>161</v>
      </c>
      <c r="E257" s="1" t="s">
        <v>11</v>
      </c>
      <c r="F257" s="1" t="s">
        <v>162</v>
      </c>
      <c r="G257" s="1" t="s">
        <v>163</v>
      </c>
      <c r="H257" s="1">
        <v>1.0</v>
      </c>
      <c r="I257" s="1">
        <v>0.0</v>
      </c>
      <c r="J257" s="1">
        <v>0.0</v>
      </c>
      <c r="K257" s="1">
        <v>28.0</v>
      </c>
      <c r="L257" s="1">
        <v>36.0</v>
      </c>
      <c r="M257" s="1">
        <v>0.777777778</v>
      </c>
      <c r="N257" s="1">
        <v>25.32999992</v>
      </c>
    </row>
    <row r="258" ht="15.75" customHeight="1">
      <c r="A258" s="1" t="s">
        <v>164</v>
      </c>
      <c r="B258" s="1" t="s">
        <v>64</v>
      </c>
      <c r="C258" s="5">
        <v>45727.0</v>
      </c>
      <c r="D258" s="1" t="s">
        <v>161</v>
      </c>
      <c r="E258" s="1" t="s">
        <v>11</v>
      </c>
      <c r="F258" s="1" t="s">
        <v>166</v>
      </c>
      <c r="H258" s="1">
        <v>0.0</v>
      </c>
      <c r="I258" s="1">
        <v>0.0</v>
      </c>
      <c r="J258" s="1">
        <v>0.0</v>
      </c>
      <c r="K258" s="1">
        <v>2.0</v>
      </c>
      <c r="L258" s="1">
        <v>4.0</v>
      </c>
      <c r="M258" s="1">
        <v>0.5</v>
      </c>
      <c r="N258" s="1">
        <v>7.8699998860000004</v>
      </c>
    </row>
    <row r="259" ht="15.75" customHeight="1">
      <c r="A259" s="1" t="s">
        <v>164</v>
      </c>
      <c r="B259" s="1" t="s">
        <v>78</v>
      </c>
      <c r="C259" s="5">
        <v>45727.0</v>
      </c>
      <c r="D259" s="1" t="s">
        <v>161</v>
      </c>
      <c r="E259" s="1" t="s">
        <v>11</v>
      </c>
      <c r="F259" s="1" t="s">
        <v>165</v>
      </c>
      <c r="G259" s="1" t="s">
        <v>163</v>
      </c>
      <c r="H259" s="1">
        <v>1.0</v>
      </c>
      <c r="I259" s="1">
        <v>1.0</v>
      </c>
      <c r="J259" s="1">
        <v>0.0</v>
      </c>
      <c r="K259" s="1">
        <v>14.0</v>
      </c>
      <c r="L259" s="1">
        <v>16.0</v>
      </c>
      <c r="M259" s="1">
        <v>0.875</v>
      </c>
      <c r="N259" s="1">
        <v>6.519999981</v>
      </c>
    </row>
    <row r="260" ht="15.75" customHeight="1">
      <c r="A260" s="1" t="s">
        <v>164</v>
      </c>
      <c r="B260" s="1" t="s">
        <v>81</v>
      </c>
      <c r="C260" s="5">
        <v>45727.0</v>
      </c>
      <c r="D260" s="1" t="s">
        <v>161</v>
      </c>
      <c r="E260" s="1" t="s">
        <v>11</v>
      </c>
      <c r="F260" s="1" t="s">
        <v>162</v>
      </c>
      <c r="G260" s="1" t="s">
        <v>163</v>
      </c>
      <c r="H260" s="1">
        <v>1.0</v>
      </c>
      <c r="I260" s="1">
        <v>0.0</v>
      </c>
      <c r="J260" s="1">
        <v>0.0</v>
      </c>
      <c r="K260" s="1">
        <v>6.0</v>
      </c>
      <c r="L260" s="1">
        <v>14.0</v>
      </c>
      <c r="M260" s="1">
        <v>0.428571429</v>
      </c>
      <c r="N260" s="1">
        <v>10.65999985</v>
      </c>
    </row>
    <row r="261" ht="15.75" customHeight="1">
      <c r="A261" s="1" t="s">
        <v>164</v>
      </c>
      <c r="B261" s="1" t="s">
        <v>81</v>
      </c>
      <c r="C261" s="5">
        <v>45727.0</v>
      </c>
      <c r="D261" s="1" t="s">
        <v>161</v>
      </c>
      <c r="E261" s="1" t="s">
        <v>11</v>
      </c>
      <c r="F261" s="1" t="s">
        <v>301</v>
      </c>
      <c r="G261" s="1" t="s">
        <v>163</v>
      </c>
      <c r="H261" s="1">
        <v>1.0</v>
      </c>
      <c r="I261" s="1">
        <v>0.0</v>
      </c>
      <c r="J261" s="1">
        <v>0.0</v>
      </c>
      <c r="K261" s="1">
        <v>0.0</v>
      </c>
      <c r="L261" s="1">
        <v>2.0</v>
      </c>
      <c r="M261" s="1">
        <v>0.0</v>
      </c>
      <c r="N261" s="1">
        <v>0.0</v>
      </c>
    </row>
    <row r="262" ht="15.75" customHeight="1">
      <c r="A262" s="1" t="s">
        <v>164</v>
      </c>
      <c r="B262" s="1" t="s">
        <v>60</v>
      </c>
      <c r="C262" s="5">
        <v>45727.0</v>
      </c>
      <c r="D262" s="1" t="s">
        <v>161</v>
      </c>
      <c r="E262" s="1" t="s">
        <v>11</v>
      </c>
      <c r="F262" s="1" t="s">
        <v>162</v>
      </c>
      <c r="H262" s="1">
        <v>0.0</v>
      </c>
      <c r="I262" s="1">
        <v>0.0</v>
      </c>
      <c r="J262" s="1">
        <v>0.0</v>
      </c>
      <c r="K262" s="1">
        <v>0.0</v>
      </c>
      <c r="L262" s="1">
        <v>0.0</v>
      </c>
      <c r="N262" s="1">
        <v>0.0</v>
      </c>
    </row>
    <row r="263" ht="15.75" customHeight="1">
      <c r="A263" s="1" t="s">
        <v>164</v>
      </c>
      <c r="B263" s="1" t="s">
        <v>60</v>
      </c>
      <c r="C263" s="5">
        <v>45727.0</v>
      </c>
      <c r="D263" s="1" t="s">
        <v>161</v>
      </c>
      <c r="E263" s="1" t="s">
        <v>11</v>
      </c>
      <c r="F263" s="1" t="s">
        <v>166</v>
      </c>
      <c r="H263" s="1">
        <v>0.0</v>
      </c>
      <c r="I263" s="1">
        <v>0.0</v>
      </c>
      <c r="J263" s="1">
        <v>0.0</v>
      </c>
      <c r="K263" s="1">
        <v>0.0</v>
      </c>
      <c r="L263" s="1">
        <v>0.0</v>
      </c>
      <c r="N263" s="1">
        <v>1.919999957</v>
      </c>
    </row>
    <row r="264" ht="15.75" customHeight="1">
      <c r="A264" s="1" t="s">
        <v>164</v>
      </c>
      <c r="B264" s="1" t="s">
        <v>63</v>
      </c>
      <c r="C264" s="5">
        <v>45727.0</v>
      </c>
      <c r="D264" s="1" t="s">
        <v>161</v>
      </c>
      <c r="E264" s="1" t="s">
        <v>11</v>
      </c>
      <c r="F264" s="1" t="s">
        <v>166</v>
      </c>
      <c r="H264" s="1">
        <v>0.0</v>
      </c>
      <c r="I264" s="1">
        <v>0.0</v>
      </c>
      <c r="J264" s="1">
        <v>0.0</v>
      </c>
      <c r="K264" s="1">
        <v>0.0</v>
      </c>
      <c r="L264" s="1">
        <v>0.0</v>
      </c>
      <c r="N264" s="1">
        <v>0.620000005</v>
      </c>
    </row>
    <row r="265" ht="15.75" customHeight="1">
      <c r="A265" s="1" t="s">
        <v>164</v>
      </c>
      <c r="B265" s="1" t="s">
        <v>68</v>
      </c>
      <c r="C265" s="5">
        <v>45727.0</v>
      </c>
      <c r="D265" s="1" t="s">
        <v>161</v>
      </c>
      <c r="E265" s="1" t="s">
        <v>11</v>
      </c>
      <c r="H265" s="1">
        <v>0.0</v>
      </c>
      <c r="J265" s="1">
        <v>0.0</v>
      </c>
      <c r="N265" s="1">
        <v>1.110000014</v>
      </c>
    </row>
    <row r="266" ht="15.75" customHeight="1">
      <c r="A266" s="1" t="s">
        <v>164</v>
      </c>
      <c r="B266" s="1" t="s">
        <v>74</v>
      </c>
      <c r="C266" s="5">
        <v>45727.0</v>
      </c>
      <c r="D266" s="1" t="s">
        <v>161</v>
      </c>
      <c r="E266" s="1" t="s">
        <v>11</v>
      </c>
      <c r="H266" s="1">
        <v>0.0</v>
      </c>
      <c r="J266" s="1">
        <v>0.0</v>
      </c>
      <c r="N266" s="1">
        <v>1.830000043</v>
      </c>
    </row>
    <row r="267" ht="15.75" customHeight="1">
      <c r="A267" s="1" t="s">
        <v>164</v>
      </c>
      <c r="B267" s="1" t="s">
        <v>75</v>
      </c>
      <c r="C267" s="5">
        <v>45727.0</v>
      </c>
      <c r="D267" s="1" t="s">
        <v>161</v>
      </c>
      <c r="E267" s="1" t="s">
        <v>11</v>
      </c>
      <c r="F267" s="1" t="s">
        <v>165</v>
      </c>
      <c r="H267" s="1">
        <v>0.0</v>
      </c>
      <c r="I267" s="1">
        <v>0.0</v>
      </c>
      <c r="J267" s="1">
        <v>0.0</v>
      </c>
      <c r="K267" s="1">
        <v>0.0</v>
      </c>
      <c r="L267" s="1">
        <v>0.0</v>
      </c>
      <c r="N267" s="1">
        <v>1.039999962</v>
      </c>
    </row>
    <row r="268" ht="15.75" customHeight="1">
      <c r="A268" s="1" t="s">
        <v>164</v>
      </c>
      <c r="B268" s="1" t="s">
        <v>82</v>
      </c>
      <c r="C268" s="5">
        <v>45727.0</v>
      </c>
      <c r="D268" s="1" t="s">
        <v>161</v>
      </c>
      <c r="E268" s="1" t="s">
        <v>11</v>
      </c>
      <c r="F268" s="1" t="s">
        <v>165</v>
      </c>
      <c r="G268" s="1" t="s">
        <v>163</v>
      </c>
      <c r="H268" s="1">
        <v>1.0</v>
      </c>
      <c r="I268" s="1">
        <v>0.0</v>
      </c>
      <c r="J268" s="1">
        <v>0.0</v>
      </c>
      <c r="K268" s="1">
        <v>0.0</v>
      </c>
      <c r="L268" s="1">
        <v>0.0</v>
      </c>
      <c r="N268" s="1">
        <v>0.0</v>
      </c>
    </row>
    <row r="269" ht="15.75" customHeight="1">
      <c r="A269" s="1" t="s">
        <v>164</v>
      </c>
      <c r="B269" s="1" t="s">
        <v>82</v>
      </c>
      <c r="C269" s="5">
        <v>45727.0</v>
      </c>
      <c r="D269" s="1" t="s">
        <v>161</v>
      </c>
      <c r="E269" s="1" t="s">
        <v>11</v>
      </c>
      <c r="F269" s="1" t="s">
        <v>166</v>
      </c>
      <c r="G269" s="1" t="s">
        <v>163</v>
      </c>
      <c r="H269" s="1">
        <v>1.0</v>
      </c>
      <c r="I269" s="1">
        <v>0.0</v>
      </c>
      <c r="J269" s="1">
        <v>0.0</v>
      </c>
      <c r="K269" s="1">
        <v>0.0</v>
      </c>
      <c r="L269" s="1">
        <v>2.0</v>
      </c>
      <c r="M269" s="1">
        <v>0.0</v>
      </c>
      <c r="N269" s="1">
        <v>5.03000021</v>
      </c>
    </row>
    <row r="270" ht="15.75" customHeight="1">
      <c r="A270" s="1" t="s">
        <v>164</v>
      </c>
      <c r="B270" s="1" t="s">
        <v>96</v>
      </c>
      <c r="C270" s="5">
        <v>45727.0</v>
      </c>
      <c r="D270" s="1" t="s">
        <v>161</v>
      </c>
      <c r="E270" s="1" t="s">
        <v>11</v>
      </c>
      <c r="H270" s="1">
        <v>0.0</v>
      </c>
      <c r="J270" s="1">
        <v>0.0</v>
      </c>
      <c r="N270" s="1">
        <v>0.239999995</v>
      </c>
    </row>
    <row r="271" ht="15.75" customHeight="1">
      <c r="A271" s="1" t="s">
        <v>180</v>
      </c>
      <c r="B271" s="1" t="s">
        <v>208</v>
      </c>
      <c r="C271" s="5">
        <v>45727.0</v>
      </c>
      <c r="D271" s="1" t="s">
        <v>161</v>
      </c>
      <c r="E271" s="1" t="s">
        <v>206</v>
      </c>
      <c r="H271" s="1">
        <v>0.0</v>
      </c>
      <c r="J271" s="1">
        <v>0.0</v>
      </c>
      <c r="N271" s="1">
        <v>6.699999809</v>
      </c>
    </row>
    <row r="272" ht="15.75" customHeight="1">
      <c r="A272" s="1" t="s">
        <v>160</v>
      </c>
      <c r="B272" s="1" t="s">
        <v>39</v>
      </c>
      <c r="C272" s="5">
        <v>45726.0</v>
      </c>
      <c r="D272" s="1" t="s">
        <v>161</v>
      </c>
      <c r="E272" s="1" t="s">
        <v>11</v>
      </c>
      <c r="F272" s="1" t="s">
        <v>162</v>
      </c>
      <c r="H272" s="1">
        <v>0.0</v>
      </c>
      <c r="I272" s="1">
        <v>0.0</v>
      </c>
      <c r="J272" s="1">
        <v>0.0</v>
      </c>
      <c r="K272" s="1">
        <v>11.0</v>
      </c>
      <c r="L272" s="1">
        <v>11.0</v>
      </c>
      <c r="M272" s="1">
        <v>1.0</v>
      </c>
      <c r="N272" s="1">
        <v>10.71000004</v>
      </c>
    </row>
    <row r="273" ht="15.75" customHeight="1">
      <c r="A273" s="1" t="s">
        <v>160</v>
      </c>
      <c r="B273" s="1" t="s">
        <v>39</v>
      </c>
      <c r="C273" s="5">
        <v>45726.0</v>
      </c>
      <c r="D273" s="1" t="s">
        <v>161</v>
      </c>
      <c r="E273" s="1" t="s">
        <v>11</v>
      </c>
      <c r="F273" s="1" t="s">
        <v>166</v>
      </c>
      <c r="H273" s="1">
        <v>0.0</v>
      </c>
      <c r="I273" s="1">
        <v>0.0</v>
      </c>
      <c r="J273" s="1">
        <v>0.0</v>
      </c>
      <c r="K273" s="1">
        <v>0.0</v>
      </c>
      <c r="L273" s="1">
        <v>0.0</v>
      </c>
      <c r="N273" s="1">
        <v>0.0</v>
      </c>
    </row>
    <row r="274" ht="15.75" customHeight="1">
      <c r="A274" s="1" t="s">
        <v>160</v>
      </c>
      <c r="B274" s="1" t="s">
        <v>53</v>
      </c>
      <c r="C274" s="5">
        <v>45726.0</v>
      </c>
      <c r="D274" s="1" t="s">
        <v>161</v>
      </c>
      <c r="E274" s="1" t="s">
        <v>11</v>
      </c>
      <c r="H274" s="1">
        <v>0.0</v>
      </c>
      <c r="J274" s="1">
        <v>0.0</v>
      </c>
      <c r="N274" s="1">
        <v>0.310000002</v>
      </c>
    </row>
    <row r="275" ht="15.75" customHeight="1">
      <c r="A275" s="1" t="s">
        <v>160</v>
      </c>
      <c r="B275" s="1" t="s">
        <v>95</v>
      </c>
      <c r="C275" s="5">
        <v>45726.0</v>
      </c>
      <c r="D275" s="1" t="s">
        <v>161</v>
      </c>
      <c r="E275" s="1" t="s">
        <v>11</v>
      </c>
      <c r="F275" s="1" t="s">
        <v>165</v>
      </c>
      <c r="G275" s="1" t="s">
        <v>163</v>
      </c>
      <c r="H275" s="1">
        <v>1.0</v>
      </c>
      <c r="I275" s="1">
        <v>0.0</v>
      </c>
      <c r="J275" s="1">
        <v>0.0</v>
      </c>
      <c r="K275" s="1">
        <v>12.0</v>
      </c>
      <c r="L275" s="1">
        <v>16.0</v>
      </c>
      <c r="M275" s="1">
        <v>0.75</v>
      </c>
      <c r="N275" s="1">
        <v>12.07999992</v>
      </c>
    </row>
    <row r="276" ht="15.75" customHeight="1">
      <c r="A276" s="1" t="s">
        <v>160</v>
      </c>
      <c r="B276" s="1" t="s">
        <v>73</v>
      </c>
      <c r="C276" s="5">
        <v>45726.0</v>
      </c>
      <c r="D276" s="1" t="s">
        <v>161</v>
      </c>
      <c r="E276" s="1" t="s">
        <v>11</v>
      </c>
      <c r="F276" s="1" t="s">
        <v>162</v>
      </c>
      <c r="H276" s="1">
        <v>0.0</v>
      </c>
      <c r="I276" s="1">
        <v>0.0</v>
      </c>
      <c r="J276" s="1">
        <v>0.0</v>
      </c>
      <c r="K276" s="1">
        <v>2.0</v>
      </c>
      <c r="L276" s="1">
        <v>16.0</v>
      </c>
      <c r="M276" s="1">
        <v>0.125</v>
      </c>
      <c r="N276" s="1">
        <v>27.80999947</v>
      </c>
    </row>
    <row r="277" ht="15.75" customHeight="1">
      <c r="A277" s="1" t="s">
        <v>160</v>
      </c>
      <c r="B277" s="1" t="s">
        <v>77</v>
      </c>
      <c r="C277" s="5">
        <v>45726.0</v>
      </c>
      <c r="D277" s="1" t="s">
        <v>161</v>
      </c>
      <c r="E277" s="1" t="s">
        <v>11</v>
      </c>
      <c r="F277" s="1" t="s">
        <v>162</v>
      </c>
      <c r="H277" s="1">
        <v>0.0</v>
      </c>
      <c r="I277" s="1">
        <v>0.0</v>
      </c>
      <c r="J277" s="1">
        <v>0.0</v>
      </c>
      <c r="K277" s="1">
        <v>2.0</v>
      </c>
      <c r="L277" s="1">
        <v>8.0</v>
      </c>
      <c r="M277" s="1">
        <v>0.25</v>
      </c>
      <c r="N277" s="1">
        <v>6.420000076</v>
      </c>
    </row>
    <row r="278" ht="15.75" customHeight="1">
      <c r="A278" s="1" t="s">
        <v>160</v>
      </c>
      <c r="B278" s="1" t="s">
        <v>90</v>
      </c>
      <c r="C278" s="5">
        <v>45726.0</v>
      </c>
      <c r="D278" s="1" t="s">
        <v>161</v>
      </c>
      <c r="E278" s="1" t="s">
        <v>11</v>
      </c>
      <c r="F278" s="1" t="s">
        <v>165</v>
      </c>
      <c r="G278" s="1" t="s">
        <v>163</v>
      </c>
      <c r="H278" s="1">
        <v>1.0</v>
      </c>
      <c r="I278" s="1">
        <v>1.0</v>
      </c>
      <c r="J278" s="1">
        <v>0.0</v>
      </c>
      <c r="K278" s="1">
        <v>22.0</v>
      </c>
      <c r="L278" s="1">
        <v>26.0</v>
      </c>
      <c r="M278" s="1">
        <v>0.846153846</v>
      </c>
      <c r="N278" s="1">
        <v>10.93999958</v>
      </c>
    </row>
    <row r="279" ht="15.75" customHeight="1">
      <c r="A279" s="1" t="s">
        <v>160</v>
      </c>
      <c r="B279" s="1" t="s">
        <v>109</v>
      </c>
      <c r="C279" s="5">
        <v>45726.0</v>
      </c>
      <c r="D279" s="1" t="s">
        <v>161</v>
      </c>
      <c r="E279" s="1" t="s">
        <v>11</v>
      </c>
      <c r="F279" s="1" t="s">
        <v>162</v>
      </c>
      <c r="H279" s="1">
        <v>0.0</v>
      </c>
      <c r="I279" s="1">
        <v>0.0</v>
      </c>
      <c r="J279" s="1">
        <v>0.0</v>
      </c>
      <c r="K279" s="1">
        <v>4.0</v>
      </c>
      <c r="L279" s="1">
        <v>18.0</v>
      </c>
      <c r="M279" s="1">
        <v>0.222222222</v>
      </c>
      <c r="N279" s="1">
        <v>21.79999924</v>
      </c>
    </row>
    <row r="280" ht="15.75" customHeight="1">
      <c r="A280" s="1" t="s">
        <v>164</v>
      </c>
      <c r="B280" s="1" t="s">
        <v>24</v>
      </c>
      <c r="C280" s="5">
        <v>45726.0</v>
      </c>
      <c r="D280" s="1" t="s">
        <v>161</v>
      </c>
      <c r="E280" s="1" t="s">
        <v>11</v>
      </c>
      <c r="F280" s="1" t="s">
        <v>162</v>
      </c>
      <c r="G280" s="1" t="s">
        <v>163</v>
      </c>
      <c r="H280" s="1">
        <v>1.0</v>
      </c>
      <c r="I280" s="1">
        <v>1.0</v>
      </c>
      <c r="J280" s="1">
        <v>0.0</v>
      </c>
      <c r="K280" s="1">
        <v>28.0</v>
      </c>
      <c r="L280" s="1">
        <v>40.0</v>
      </c>
      <c r="M280" s="1">
        <v>0.7</v>
      </c>
      <c r="N280" s="1">
        <v>4.059999943</v>
      </c>
    </row>
    <row r="281" ht="15.75" customHeight="1">
      <c r="A281" s="1" t="s">
        <v>164</v>
      </c>
      <c r="B281" s="1" t="s">
        <v>24</v>
      </c>
      <c r="C281" s="5">
        <v>45726.0</v>
      </c>
      <c r="D281" s="1" t="s">
        <v>161</v>
      </c>
      <c r="E281" s="1" t="s">
        <v>11</v>
      </c>
      <c r="F281" s="1" t="s">
        <v>166</v>
      </c>
      <c r="G281" s="1" t="s">
        <v>163</v>
      </c>
      <c r="H281" s="1">
        <v>1.0</v>
      </c>
      <c r="I281" s="1">
        <v>0.0</v>
      </c>
      <c r="J281" s="1">
        <v>0.0</v>
      </c>
      <c r="K281" s="1">
        <v>0.0</v>
      </c>
      <c r="L281" s="1">
        <v>0.0</v>
      </c>
      <c r="N281" s="1">
        <v>0.0</v>
      </c>
    </row>
    <row r="282" ht="15.75" customHeight="1">
      <c r="A282" s="1" t="s">
        <v>164</v>
      </c>
      <c r="B282" s="1" t="s">
        <v>52</v>
      </c>
      <c r="C282" s="5">
        <v>45726.0</v>
      </c>
      <c r="D282" s="1" t="s">
        <v>161</v>
      </c>
      <c r="E282" s="1" t="s">
        <v>11</v>
      </c>
      <c r="F282" s="1" t="s">
        <v>165</v>
      </c>
      <c r="G282" s="1" t="s">
        <v>163</v>
      </c>
      <c r="H282" s="1">
        <v>1.0</v>
      </c>
      <c r="I282" s="1">
        <v>0.0</v>
      </c>
      <c r="J282" s="1">
        <v>0.0</v>
      </c>
      <c r="K282" s="1">
        <v>0.0</v>
      </c>
      <c r="L282" s="1">
        <v>0.0</v>
      </c>
      <c r="N282" s="1">
        <v>0.0</v>
      </c>
    </row>
    <row r="283" ht="15.75" customHeight="1">
      <c r="A283" s="1" t="s">
        <v>164</v>
      </c>
      <c r="B283" s="1" t="s">
        <v>52</v>
      </c>
      <c r="C283" s="5">
        <v>45726.0</v>
      </c>
      <c r="D283" s="1" t="s">
        <v>161</v>
      </c>
      <c r="E283" s="1" t="s">
        <v>11</v>
      </c>
      <c r="F283" s="1" t="s">
        <v>162</v>
      </c>
      <c r="G283" s="1" t="s">
        <v>163</v>
      </c>
      <c r="H283" s="1">
        <v>1.0</v>
      </c>
      <c r="I283" s="1">
        <v>2.0</v>
      </c>
      <c r="J283" s="1">
        <v>0.0</v>
      </c>
      <c r="K283" s="1">
        <v>38.0</v>
      </c>
      <c r="L283" s="1">
        <v>40.0</v>
      </c>
      <c r="M283" s="1">
        <v>0.95</v>
      </c>
      <c r="N283" s="1">
        <v>13.82999992</v>
      </c>
    </row>
    <row r="284" ht="15.75" customHeight="1">
      <c r="A284" s="1" t="s">
        <v>164</v>
      </c>
      <c r="B284" s="1" t="s">
        <v>64</v>
      </c>
      <c r="C284" s="5">
        <v>45726.0</v>
      </c>
      <c r="D284" s="1" t="s">
        <v>161</v>
      </c>
      <c r="E284" s="1" t="s">
        <v>11</v>
      </c>
      <c r="F284" s="1" t="s">
        <v>166</v>
      </c>
      <c r="G284" s="1" t="s">
        <v>163</v>
      </c>
      <c r="H284" s="1">
        <v>1.0</v>
      </c>
      <c r="I284" s="1">
        <v>0.0</v>
      </c>
      <c r="J284" s="1">
        <v>0.0</v>
      </c>
      <c r="K284" s="1">
        <v>4.0</v>
      </c>
      <c r="L284" s="1">
        <v>4.0</v>
      </c>
      <c r="M284" s="1">
        <v>1.0</v>
      </c>
      <c r="N284" s="1">
        <v>5.96999979</v>
      </c>
    </row>
    <row r="285" ht="15.75" customHeight="1">
      <c r="A285" s="1" t="s">
        <v>164</v>
      </c>
      <c r="B285" s="1" t="s">
        <v>78</v>
      </c>
      <c r="C285" s="5">
        <v>45726.0</v>
      </c>
      <c r="D285" s="1" t="s">
        <v>161</v>
      </c>
      <c r="E285" s="1" t="s">
        <v>11</v>
      </c>
      <c r="F285" s="1" t="s">
        <v>165</v>
      </c>
      <c r="G285" s="1" t="s">
        <v>163</v>
      </c>
      <c r="H285" s="1">
        <v>1.0</v>
      </c>
      <c r="I285" s="1">
        <v>0.0</v>
      </c>
      <c r="J285" s="1">
        <v>0.0</v>
      </c>
      <c r="K285" s="1">
        <v>94.0</v>
      </c>
      <c r="L285" s="1">
        <v>143.0</v>
      </c>
      <c r="M285" s="1">
        <v>0.657342657</v>
      </c>
      <c r="N285" s="1">
        <v>40.52000046</v>
      </c>
    </row>
    <row r="286" ht="15.75" customHeight="1">
      <c r="A286" s="1" t="s">
        <v>164</v>
      </c>
      <c r="B286" s="1" t="s">
        <v>81</v>
      </c>
      <c r="C286" s="5">
        <v>45726.0</v>
      </c>
      <c r="D286" s="1" t="s">
        <v>161</v>
      </c>
      <c r="E286" s="1" t="s">
        <v>11</v>
      </c>
      <c r="F286" s="1" t="s">
        <v>162</v>
      </c>
      <c r="G286" s="1" t="s">
        <v>163</v>
      </c>
      <c r="H286" s="1">
        <v>1.0</v>
      </c>
      <c r="I286" s="1">
        <v>1.0</v>
      </c>
      <c r="J286" s="1">
        <v>0.0</v>
      </c>
      <c r="K286" s="1">
        <v>23.0</v>
      </c>
      <c r="L286" s="1">
        <v>25.0</v>
      </c>
      <c r="M286" s="1">
        <v>0.92</v>
      </c>
      <c r="N286" s="1">
        <v>11.89999962</v>
      </c>
    </row>
    <row r="287" ht="15.75" customHeight="1">
      <c r="A287" s="1" t="s">
        <v>164</v>
      </c>
      <c r="B287" s="1" t="s">
        <v>81</v>
      </c>
      <c r="C287" s="5">
        <v>45726.0</v>
      </c>
      <c r="D287" s="1" t="s">
        <v>161</v>
      </c>
      <c r="E287" s="1" t="s">
        <v>11</v>
      </c>
      <c r="F287" s="1" t="s">
        <v>166</v>
      </c>
      <c r="G287" s="1" t="s">
        <v>163</v>
      </c>
      <c r="H287" s="1">
        <v>1.0</v>
      </c>
      <c r="I287" s="1">
        <v>0.0</v>
      </c>
      <c r="J287" s="1">
        <v>0.0</v>
      </c>
      <c r="K287" s="1">
        <v>8.0</v>
      </c>
      <c r="L287" s="1">
        <v>12.0</v>
      </c>
      <c r="M287" s="1">
        <v>0.666666667</v>
      </c>
      <c r="N287" s="1">
        <v>0.0</v>
      </c>
    </row>
    <row r="288" ht="15.75" customHeight="1">
      <c r="A288" s="1" t="s">
        <v>164</v>
      </c>
      <c r="B288" s="1" t="s">
        <v>60</v>
      </c>
      <c r="C288" s="5">
        <v>45726.0</v>
      </c>
      <c r="D288" s="1" t="s">
        <v>161</v>
      </c>
      <c r="E288" s="1" t="s">
        <v>11</v>
      </c>
      <c r="F288" s="1" t="s">
        <v>162</v>
      </c>
      <c r="G288" s="1" t="s">
        <v>163</v>
      </c>
      <c r="H288" s="1">
        <v>1.0</v>
      </c>
      <c r="I288" s="1">
        <v>0.0</v>
      </c>
      <c r="J288" s="1">
        <v>0.0</v>
      </c>
      <c r="K288" s="1">
        <v>32.0</v>
      </c>
      <c r="L288" s="1">
        <v>54.0</v>
      </c>
      <c r="M288" s="1">
        <v>0.592592593</v>
      </c>
      <c r="N288" s="1">
        <v>25.43000031</v>
      </c>
    </row>
    <row r="289" ht="15.75" customHeight="1">
      <c r="A289" s="1" t="s">
        <v>164</v>
      </c>
      <c r="B289" s="1" t="s">
        <v>60</v>
      </c>
      <c r="C289" s="5">
        <v>45726.0</v>
      </c>
      <c r="D289" s="1" t="s">
        <v>161</v>
      </c>
      <c r="E289" s="1" t="s">
        <v>11</v>
      </c>
      <c r="F289" s="1" t="s">
        <v>166</v>
      </c>
      <c r="G289" s="1" t="s">
        <v>163</v>
      </c>
      <c r="H289" s="1">
        <v>1.0</v>
      </c>
      <c r="I289" s="1">
        <v>0.0</v>
      </c>
      <c r="J289" s="1">
        <v>0.0</v>
      </c>
      <c r="K289" s="1">
        <v>0.0</v>
      </c>
      <c r="L289" s="1">
        <v>0.0</v>
      </c>
      <c r="N289" s="1">
        <v>0.0</v>
      </c>
    </row>
    <row r="290" ht="15.75" customHeight="1">
      <c r="A290" s="1" t="s">
        <v>164</v>
      </c>
      <c r="B290" s="1" t="s">
        <v>86</v>
      </c>
      <c r="C290" s="5">
        <v>45726.0</v>
      </c>
      <c r="D290" s="1" t="s">
        <v>161</v>
      </c>
      <c r="E290" s="1" t="s">
        <v>11</v>
      </c>
      <c r="F290" s="1" t="s">
        <v>166</v>
      </c>
      <c r="H290" s="1">
        <v>0.0</v>
      </c>
      <c r="I290" s="1">
        <v>0.0</v>
      </c>
      <c r="J290" s="1">
        <v>0.0</v>
      </c>
      <c r="K290" s="1">
        <v>0.0</v>
      </c>
      <c r="L290" s="1">
        <v>0.0</v>
      </c>
      <c r="N290" s="1">
        <v>0.949999988</v>
      </c>
    </row>
    <row r="291" ht="15.75" customHeight="1">
      <c r="A291" s="1" t="s">
        <v>164</v>
      </c>
      <c r="B291" s="1" t="s">
        <v>68</v>
      </c>
      <c r="C291" s="5">
        <v>45726.0</v>
      </c>
      <c r="D291" s="1" t="s">
        <v>161</v>
      </c>
      <c r="E291" s="1" t="s">
        <v>11</v>
      </c>
      <c r="H291" s="1">
        <v>0.0</v>
      </c>
      <c r="J291" s="1">
        <v>0.0</v>
      </c>
      <c r="N291" s="1">
        <v>24.63999939</v>
      </c>
    </row>
    <row r="292" ht="15.75" customHeight="1">
      <c r="A292" s="1" t="s">
        <v>164</v>
      </c>
      <c r="B292" s="1" t="s">
        <v>74</v>
      </c>
      <c r="C292" s="5">
        <v>45726.0</v>
      </c>
      <c r="D292" s="1" t="s">
        <v>161</v>
      </c>
      <c r="E292" s="1" t="s">
        <v>11</v>
      </c>
      <c r="H292" s="1">
        <v>0.0</v>
      </c>
      <c r="J292" s="1">
        <v>0.0</v>
      </c>
      <c r="N292" s="1">
        <v>9.899999619</v>
      </c>
    </row>
    <row r="293" ht="15.75" customHeight="1">
      <c r="A293" s="1" t="s">
        <v>164</v>
      </c>
      <c r="B293" s="1" t="s">
        <v>75</v>
      </c>
      <c r="C293" s="5">
        <v>45726.0</v>
      </c>
      <c r="D293" s="1" t="s">
        <v>161</v>
      </c>
      <c r="E293" s="1" t="s">
        <v>11</v>
      </c>
      <c r="F293" s="1" t="s">
        <v>165</v>
      </c>
      <c r="H293" s="1">
        <v>0.0</v>
      </c>
      <c r="I293" s="1">
        <v>0.0</v>
      </c>
      <c r="J293" s="1">
        <v>0.0</v>
      </c>
      <c r="K293" s="1">
        <v>0.0</v>
      </c>
      <c r="L293" s="1">
        <v>0.0</v>
      </c>
      <c r="N293" s="1">
        <v>6.179999828</v>
      </c>
    </row>
    <row r="294" ht="15.75" customHeight="1">
      <c r="A294" s="1" t="s">
        <v>164</v>
      </c>
      <c r="B294" s="1" t="s">
        <v>82</v>
      </c>
      <c r="C294" s="5">
        <v>45726.0</v>
      </c>
      <c r="D294" s="1" t="s">
        <v>161</v>
      </c>
      <c r="E294" s="1" t="s">
        <v>11</v>
      </c>
      <c r="F294" s="1" t="s">
        <v>166</v>
      </c>
      <c r="G294" s="1" t="s">
        <v>163</v>
      </c>
      <c r="H294" s="1">
        <v>1.0</v>
      </c>
      <c r="I294" s="1">
        <v>0.0</v>
      </c>
      <c r="J294" s="1">
        <v>0.0</v>
      </c>
      <c r="K294" s="1">
        <v>2.0</v>
      </c>
      <c r="L294" s="1">
        <v>5.0</v>
      </c>
      <c r="M294" s="1">
        <v>0.4</v>
      </c>
      <c r="N294" s="1">
        <v>10.93000031</v>
      </c>
    </row>
    <row r="295" ht="15.75" customHeight="1">
      <c r="A295" s="1" t="s">
        <v>180</v>
      </c>
      <c r="B295" s="1" t="s">
        <v>67</v>
      </c>
      <c r="C295" s="5">
        <v>45726.0</v>
      </c>
      <c r="D295" s="1" t="s">
        <v>161</v>
      </c>
      <c r="E295" s="1" t="s">
        <v>11</v>
      </c>
      <c r="F295" s="1" t="s">
        <v>165</v>
      </c>
      <c r="H295" s="1">
        <v>0.0</v>
      </c>
      <c r="I295" s="1">
        <v>2.0</v>
      </c>
      <c r="J295" s="1">
        <v>0.0</v>
      </c>
      <c r="K295" s="1">
        <v>75.0</v>
      </c>
      <c r="L295" s="1">
        <v>103.0</v>
      </c>
      <c r="M295" s="1">
        <v>0.72815534</v>
      </c>
      <c r="N295" s="1">
        <v>33.29999924</v>
      </c>
    </row>
    <row r="296" ht="15.75" customHeight="1">
      <c r="A296" s="1" t="s">
        <v>160</v>
      </c>
      <c r="B296" s="1" t="s">
        <v>65</v>
      </c>
      <c r="C296" s="5">
        <v>45723.0</v>
      </c>
      <c r="D296" s="1" t="s">
        <v>161</v>
      </c>
      <c r="E296" s="1" t="s">
        <v>11</v>
      </c>
      <c r="H296" s="1">
        <v>0.0</v>
      </c>
      <c r="J296" s="1">
        <v>0.0</v>
      </c>
      <c r="N296" s="1">
        <v>0.029999999</v>
      </c>
    </row>
    <row r="297" ht="15.75" customHeight="1">
      <c r="A297" s="1" t="s">
        <v>160</v>
      </c>
      <c r="B297" s="1" t="s">
        <v>101</v>
      </c>
      <c r="C297" s="5">
        <v>45723.0</v>
      </c>
      <c r="D297" s="1" t="s">
        <v>161</v>
      </c>
      <c r="E297" s="1" t="s">
        <v>11</v>
      </c>
      <c r="F297" s="1" t="s">
        <v>162</v>
      </c>
      <c r="G297" s="1" t="s">
        <v>163</v>
      </c>
      <c r="H297" s="1">
        <v>1.0</v>
      </c>
      <c r="I297" s="1">
        <v>0.0</v>
      </c>
      <c r="J297" s="1">
        <v>0.0</v>
      </c>
      <c r="K297" s="1">
        <v>16.0</v>
      </c>
      <c r="L297" s="1">
        <v>29.0</v>
      </c>
      <c r="M297" s="1">
        <v>0.551724138</v>
      </c>
      <c r="N297" s="1">
        <v>36.27000046</v>
      </c>
    </row>
    <row r="298" ht="15.75" customHeight="1">
      <c r="A298" s="1" t="s">
        <v>164</v>
      </c>
      <c r="B298" s="1" t="s">
        <v>24</v>
      </c>
      <c r="C298" s="5">
        <v>45723.0</v>
      </c>
      <c r="D298" s="1" t="s">
        <v>161</v>
      </c>
      <c r="E298" s="1" t="s">
        <v>11</v>
      </c>
      <c r="H298" s="1">
        <v>0.0</v>
      </c>
      <c r="J298" s="1">
        <v>0.0</v>
      </c>
      <c r="N298" s="1">
        <v>3.49000001</v>
      </c>
    </row>
    <row r="299" ht="15.75" customHeight="1">
      <c r="A299" s="1" t="s">
        <v>164</v>
      </c>
      <c r="B299" s="1" t="s">
        <v>52</v>
      </c>
      <c r="C299" s="5">
        <v>45723.0</v>
      </c>
      <c r="D299" s="1" t="s">
        <v>161</v>
      </c>
      <c r="E299" s="1" t="s">
        <v>11</v>
      </c>
      <c r="F299" s="1" t="s">
        <v>165</v>
      </c>
      <c r="G299" s="1" t="s">
        <v>163</v>
      </c>
      <c r="H299" s="1">
        <v>1.0</v>
      </c>
      <c r="I299" s="1">
        <v>0.0</v>
      </c>
      <c r="J299" s="1">
        <v>0.0</v>
      </c>
      <c r="K299" s="1">
        <v>6.0</v>
      </c>
      <c r="L299" s="1">
        <v>13.0</v>
      </c>
      <c r="M299" s="1">
        <v>0.461538462</v>
      </c>
      <c r="N299" s="1">
        <v>16.64999962</v>
      </c>
    </row>
    <row r="300" ht="15.75" customHeight="1">
      <c r="A300" s="1" t="s">
        <v>164</v>
      </c>
      <c r="B300" s="1" t="s">
        <v>64</v>
      </c>
      <c r="C300" s="5">
        <v>45723.0</v>
      </c>
      <c r="D300" s="1" t="s">
        <v>161</v>
      </c>
      <c r="E300" s="1" t="s">
        <v>11</v>
      </c>
      <c r="F300" s="1" t="s">
        <v>166</v>
      </c>
      <c r="G300" s="1" t="s">
        <v>163</v>
      </c>
      <c r="H300" s="1">
        <v>1.0</v>
      </c>
      <c r="I300" s="1">
        <v>0.0</v>
      </c>
      <c r="J300" s="1">
        <v>0.0</v>
      </c>
      <c r="K300" s="1">
        <v>2.0</v>
      </c>
      <c r="L300" s="1">
        <v>4.0</v>
      </c>
      <c r="M300" s="1">
        <v>0.5</v>
      </c>
      <c r="N300" s="1">
        <v>8.18999958</v>
      </c>
    </row>
    <row r="301" ht="15.75" customHeight="1">
      <c r="A301" s="1" t="s">
        <v>164</v>
      </c>
      <c r="B301" s="1" t="s">
        <v>81</v>
      </c>
      <c r="C301" s="5">
        <v>45723.0</v>
      </c>
      <c r="D301" s="1" t="s">
        <v>161</v>
      </c>
      <c r="E301" s="1" t="s">
        <v>11</v>
      </c>
      <c r="F301" s="1" t="s">
        <v>167</v>
      </c>
      <c r="G301" s="1" t="s">
        <v>163</v>
      </c>
      <c r="H301" s="1">
        <v>1.0</v>
      </c>
      <c r="I301" s="1">
        <v>0.0</v>
      </c>
      <c r="J301" s="1">
        <v>0.0</v>
      </c>
      <c r="K301" s="1">
        <v>7.0</v>
      </c>
      <c r="L301" s="1">
        <v>7.0</v>
      </c>
      <c r="M301" s="1">
        <v>1.0</v>
      </c>
      <c r="N301" s="1">
        <v>3.930000067</v>
      </c>
    </row>
    <row r="302" ht="15.75" customHeight="1">
      <c r="A302" s="1" t="s">
        <v>164</v>
      </c>
      <c r="B302" s="1" t="s">
        <v>81</v>
      </c>
      <c r="C302" s="5">
        <v>45723.0</v>
      </c>
      <c r="D302" s="1" t="s">
        <v>161</v>
      </c>
      <c r="E302" s="1" t="s">
        <v>11</v>
      </c>
      <c r="F302" s="1" t="s">
        <v>168</v>
      </c>
      <c r="G302" s="1" t="s">
        <v>163</v>
      </c>
      <c r="H302" s="1">
        <v>1.0</v>
      </c>
      <c r="I302" s="1">
        <v>0.0</v>
      </c>
      <c r="J302" s="1">
        <v>0.0</v>
      </c>
      <c r="K302" s="1">
        <v>0.0</v>
      </c>
      <c r="L302" s="1">
        <v>0.0</v>
      </c>
      <c r="N302" s="1">
        <v>0.0</v>
      </c>
    </row>
    <row r="303" ht="15.75" customHeight="1">
      <c r="A303" s="1" t="s">
        <v>164</v>
      </c>
      <c r="B303" s="1" t="s">
        <v>81</v>
      </c>
      <c r="C303" s="5">
        <v>45723.0</v>
      </c>
      <c r="D303" s="1" t="s">
        <v>161</v>
      </c>
      <c r="E303" s="1" t="s">
        <v>11</v>
      </c>
      <c r="F303" s="1" t="s">
        <v>169</v>
      </c>
      <c r="G303" s="1" t="s">
        <v>163</v>
      </c>
      <c r="H303" s="1">
        <v>1.0</v>
      </c>
      <c r="I303" s="1">
        <v>0.0</v>
      </c>
      <c r="J303" s="1">
        <v>0.0</v>
      </c>
      <c r="K303" s="1">
        <v>0.0</v>
      </c>
      <c r="L303" s="1">
        <v>0.0</v>
      </c>
      <c r="N303" s="1">
        <v>0.0</v>
      </c>
    </row>
    <row r="304" ht="15.75" customHeight="1">
      <c r="A304" s="1" t="s">
        <v>164</v>
      </c>
      <c r="B304" s="1" t="s">
        <v>75</v>
      </c>
      <c r="C304" s="5">
        <v>45723.0</v>
      </c>
      <c r="D304" s="1" t="s">
        <v>161</v>
      </c>
      <c r="E304" s="1" t="s">
        <v>11</v>
      </c>
      <c r="H304" s="1">
        <v>0.0</v>
      </c>
      <c r="J304" s="1">
        <v>0.0</v>
      </c>
      <c r="N304" s="1">
        <v>0.02</v>
      </c>
    </row>
    <row r="305" ht="15.75" customHeight="1">
      <c r="A305" s="1" t="s">
        <v>164</v>
      </c>
      <c r="B305" s="1" t="s">
        <v>82</v>
      </c>
      <c r="C305" s="5">
        <v>45723.0</v>
      </c>
      <c r="D305" s="1" t="s">
        <v>161</v>
      </c>
      <c r="E305" s="1" t="s">
        <v>11</v>
      </c>
      <c r="F305" s="1" t="s">
        <v>170</v>
      </c>
      <c r="G305" s="1" t="s">
        <v>163</v>
      </c>
      <c r="H305" s="1">
        <v>1.0</v>
      </c>
      <c r="I305" s="1">
        <v>0.0</v>
      </c>
      <c r="J305" s="1">
        <v>0.0</v>
      </c>
      <c r="K305" s="1">
        <v>0.0</v>
      </c>
      <c r="L305" s="1">
        <v>2.0</v>
      </c>
      <c r="M305" s="1">
        <v>0.0</v>
      </c>
      <c r="N305" s="1">
        <v>18.60000038</v>
      </c>
    </row>
    <row r="306" ht="15.75" customHeight="1">
      <c r="A306" s="1" t="s">
        <v>164</v>
      </c>
      <c r="B306" s="1" t="s">
        <v>82</v>
      </c>
      <c r="C306" s="5">
        <v>45723.0</v>
      </c>
      <c r="D306" s="1" t="s">
        <v>161</v>
      </c>
      <c r="E306" s="1" t="s">
        <v>11</v>
      </c>
      <c r="F306" s="1" t="s">
        <v>166</v>
      </c>
      <c r="G306" s="1" t="s">
        <v>163</v>
      </c>
      <c r="H306" s="1">
        <v>1.0</v>
      </c>
      <c r="I306" s="1">
        <v>0.0</v>
      </c>
      <c r="J306" s="1">
        <v>0.0</v>
      </c>
      <c r="K306" s="1">
        <v>1.0</v>
      </c>
      <c r="L306" s="1">
        <v>1.0</v>
      </c>
      <c r="M306" s="1">
        <v>1.0</v>
      </c>
      <c r="N306" s="1">
        <v>0.0</v>
      </c>
    </row>
    <row r="307" ht="15.75" customHeight="1">
      <c r="A307" s="1" t="s">
        <v>164</v>
      </c>
      <c r="B307" s="1" t="s">
        <v>82</v>
      </c>
      <c r="C307" s="5">
        <v>45723.0</v>
      </c>
      <c r="D307" s="1" t="s">
        <v>161</v>
      </c>
      <c r="E307" s="1" t="s">
        <v>11</v>
      </c>
      <c r="F307" s="1" t="s">
        <v>171</v>
      </c>
      <c r="G307" s="1" t="s">
        <v>163</v>
      </c>
      <c r="H307" s="1">
        <v>1.0</v>
      </c>
      <c r="I307" s="1">
        <v>0.0</v>
      </c>
      <c r="J307" s="1">
        <v>0.0</v>
      </c>
      <c r="K307" s="1">
        <v>0.0</v>
      </c>
      <c r="L307" s="1">
        <v>1.0</v>
      </c>
      <c r="M307" s="1">
        <v>0.0</v>
      </c>
      <c r="N307" s="1">
        <v>0.0</v>
      </c>
    </row>
    <row r="308" ht="15.75" customHeight="1">
      <c r="A308" s="1" t="s">
        <v>164</v>
      </c>
      <c r="B308" s="1" t="s">
        <v>82</v>
      </c>
      <c r="C308" s="5">
        <v>45723.0</v>
      </c>
      <c r="D308" s="1" t="s">
        <v>161</v>
      </c>
      <c r="E308" s="1" t="s">
        <v>11</v>
      </c>
      <c r="F308" s="1" t="s">
        <v>169</v>
      </c>
      <c r="G308" s="1" t="s">
        <v>163</v>
      </c>
      <c r="H308" s="1">
        <v>1.0</v>
      </c>
      <c r="I308" s="1">
        <v>0.0</v>
      </c>
      <c r="J308" s="1">
        <v>0.0</v>
      </c>
      <c r="K308" s="1">
        <v>0.0</v>
      </c>
      <c r="L308" s="1">
        <v>1.0</v>
      </c>
      <c r="M308" s="1">
        <v>0.0</v>
      </c>
      <c r="N308" s="1">
        <v>0.0</v>
      </c>
    </row>
    <row r="309" ht="15.75" customHeight="1">
      <c r="A309" s="1" t="s">
        <v>160</v>
      </c>
      <c r="B309" s="1" t="s">
        <v>18</v>
      </c>
      <c r="C309" s="5">
        <v>45722.0</v>
      </c>
      <c r="D309" s="1" t="s">
        <v>161</v>
      </c>
      <c r="E309" s="1" t="s">
        <v>11</v>
      </c>
      <c r="F309" s="1" t="s">
        <v>162</v>
      </c>
      <c r="H309" s="1">
        <v>0.0</v>
      </c>
      <c r="I309" s="1">
        <v>0.0</v>
      </c>
      <c r="J309" s="1">
        <v>0.0</v>
      </c>
      <c r="K309" s="1">
        <v>1.0</v>
      </c>
      <c r="L309" s="1">
        <v>3.0</v>
      </c>
      <c r="M309" s="1">
        <v>0.333333333</v>
      </c>
      <c r="N309" s="1">
        <v>3.549999952</v>
      </c>
    </row>
    <row r="310" ht="15.75" customHeight="1">
      <c r="A310" s="1" t="s">
        <v>160</v>
      </c>
      <c r="B310" s="1" t="s">
        <v>39</v>
      </c>
      <c r="C310" s="5">
        <v>45722.0</v>
      </c>
      <c r="D310" s="1" t="s">
        <v>161</v>
      </c>
      <c r="E310" s="1" t="s">
        <v>11</v>
      </c>
      <c r="F310" s="1" t="s">
        <v>162</v>
      </c>
      <c r="H310" s="1">
        <v>0.0</v>
      </c>
      <c r="I310" s="1">
        <v>0.0</v>
      </c>
      <c r="J310" s="1">
        <v>0.0</v>
      </c>
      <c r="K310" s="1">
        <v>1.0</v>
      </c>
      <c r="L310" s="1">
        <v>3.0</v>
      </c>
      <c r="M310" s="1">
        <v>0.333333333</v>
      </c>
      <c r="N310" s="1">
        <v>15.06999969</v>
      </c>
    </row>
    <row r="311" ht="15.75" customHeight="1">
      <c r="A311" s="1" t="s">
        <v>160</v>
      </c>
      <c r="B311" s="1" t="s">
        <v>65</v>
      </c>
      <c r="C311" s="5">
        <v>45722.0</v>
      </c>
      <c r="D311" s="1" t="s">
        <v>161</v>
      </c>
      <c r="E311" s="1" t="s">
        <v>11</v>
      </c>
      <c r="F311" s="1" t="s">
        <v>162</v>
      </c>
      <c r="H311" s="1">
        <v>0.0</v>
      </c>
      <c r="I311" s="1">
        <v>0.0</v>
      </c>
      <c r="J311" s="1">
        <v>0.0</v>
      </c>
      <c r="K311" s="1">
        <v>1.0</v>
      </c>
      <c r="L311" s="1">
        <v>1.0</v>
      </c>
      <c r="M311" s="1">
        <v>1.0</v>
      </c>
      <c r="N311" s="1">
        <v>4.0</v>
      </c>
    </row>
    <row r="312" ht="15.75" customHeight="1">
      <c r="A312" s="1" t="s">
        <v>160</v>
      </c>
      <c r="B312" s="1" t="s">
        <v>77</v>
      </c>
      <c r="C312" s="5">
        <v>45722.0</v>
      </c>
      <c r="D312" s="1" t="s">
        <v>161</v>
      </c>
      <c r="E312" s="1" t="s">
        <v>11</v>
      </c>
      <c r="F312" s="1" t="s">
        <v>162</v>
      </c>
      <c r="G312" s="1" t="s">
        <v>163</v>
      </c>
      <c r="H312" s="1">
        <v>1.0</v>
      </c>
      <c r="I312" s="1">
        <v>0.0</v>
      </c>
      <c r="J312" s="1">
        <v>0.0</v>
      </c>
      <c r="K312" s="1">
        <v>2.0</v>
      </c>
      <c r="L312" s="1">
        <v>2.0</v>
      </c>
      <c r="M312" s="1">
        <v>1.0</v>
      </c>
      <c r="N312" s="1">
        <v>9.289999962</v>
      </c>
    </row>
    <row r="313" ht="15.75" customHeight="1">
      <c r="A313" s="1" t="s">
        <v>160</v>
      </c>
      <c r="B313" s="1" t="s">
        <v>90</v>
      </c>
      <c r="C313" s="5">
        <v>45722.0</v>
      </c>
      <c r="D313" s="1" t="s">
        <v>161</v>
      </c>
      <c r="E313" s="1" t="s">
        <v>11</v>
      </c>
      <c r="F313" s="1" t="s">
        <v>165</v>
      </c>
      <c r="G313" s="1" t="s">
        <v>172</v>
      </c>
      <c r="H313" s="1">
        <v>1.0</v>
      </c>
      <c r="I313" s="1">
        <v>0.0</v>
      </c>
      <c r="J313" s="1">
        <v>0.0</v>
      </c>
      <c r="K313" s="1">
        <v>11.0</v>
      </c>
      <c r="L313" s="1">
        <v>16.0</v>
      </c>
      <c r="M313" s="1">
        <v>0.6875</v>
      </c>
      <c r="N313" s="1">
        <v>15.52000046</v>
      </c>
    </row>
    <row r="314" ht="15.75" customHeight="1">
      <c r="A314" s="1" t="s">
        <v>164</v>
      </c>
      <c r="B314" s="1" t="s">
        <v>24</v>
      </c>
      <c r="C314" s="5">
        <v>45722.0</v>
      </c>
      <c r="D314" s="1" t="s">
        <v>161</v>
      </c>
      <c r="E314" s="1" t="s">
        <v>11</v>
      </c>
      <c r="F314" s="1" t="s">
        <v>166</v>
      </c>
      <c r="G314" s="1" t="s">
        <v>163</v>
      </c>
      <c r="H314" s="1">
        <v>1.0</v>
      </c>
      <c r="I314" s="1">
        <v>0.0</v>
      </c>
      <c r="J314" s="1">
        <v>0.0</v>
      </c>
      <c r="K314" s="1">
        <v>1.0</v>
      </c>
      <c r="L314" s="1">
        <v>4.0</v>
      </c>
      <c r="M314" s="1">
        <v>0.25</v>
      </c>
      <c r="N314" s="1">
        <v>7.800000191</v>
      </c>
    </row>
    <row r="315" ht="15.75" customHeight="1">
      <c r="A315" s="1" t="s">
        <v>164</v>
      </c>
      <c r="B315" s="1" t="s">
        <v>64</v>
      </c>
      <c r="C315" s="5">
        <v>45722.0</v>
      </c>
      <c r="D315" s="1" t="s">
        <v>161</v>
      </c>
      <c r="E315" s="1" t="s">
        <v>11</v>
      </c>
      <c r="F315" s="1" t="s">
        <v>166</v>
      </c>
      <c r="G315" s="1" t="s">
        <v>163</v>
      </c>
      <c r="H315" s="1">
        <v>1.0</v>
      </c>
      <c r="I315" s="1">
        <v>0.0</v>
      </c>
      <c r="J315" s="1">
        <v>0.0</v>
      </c>
      <c r="K315" s="1">
        <v>1.0</v>
      </c>
      <c r="L315" s="1">
        <v>10.0</v>
      </c>
      <c r="M315" s="1">
        <v>0.1</v>
      </c>
      <c r="N315" s="1">
        <v>13.18999958</v>
      </c>
    </row>
    <row r="316" ht="15.75" customHeight="1">
      <c r="A316" s="1" t="s">
        <v>164</v>
      </c>
      <c r="B316" s="1" t="s">
        <v>60</v>
      </c>
      <c r="C316" s="5">
        <v>45722.0</v>
      </c>
      <c r="D316" s="1" t="s">
        <v>161</v>
      </c>
      <c r="E316" s="1" t="s">
        <v>11</v>
      </c>
      <c r="F316" s="1" t="s">
        <v>166</v>
      </c>
      <c r="H316" s="1">
        <v>0.0</v>
      </c>
      <c r="I316" s="1">
        <v>0.0</v>
      </c>
      <c r="J316" s="1">
        <v>0.0</v>
      </c>
      <c r="K316" s="1">
        <v>0.0</v>
      </c>
      <c r="L316" s="1">
        <v>4.0</v>
      </c>
      <c r="M316" s="1">
        <v>0.0</v>
      </c>
      <c r="N316" s="1">
        <v>11.34000015</v>
      </c>
    </row>
    <row r="317" ht="15.75" customHeight="1">
      <c r="A317" s="1" t="s">
        <v>164</v>
      </c>
      <c r="B317" s="1" t="s">
        <v>63</v>
      </c>
      <c r="C317" s="5">
        <v>45722.0</v>
      </c>
      <c r="D317" s="1" t="s">
        <v>161</v>
      </c>
      <c r="E317" s="1" t="s">
        <v>11</v>
      </c>
      <c r="H317" s="1">
        <v>0.0</v>
      </c>
      <c r="J317" s="1">
        <v>0.0</v>
      </c>
      <c r="N317" s="1">
        <v>18.44000053</v>
      </c>
    </row>
    <row r="318" ht="15.75" customHeight="1">
      <c r="A318" s="1" t="s">
        <v>164</v>
      </c>
      <c r="B318" s="1" t="s">
        <v>68</v>
      </c>
      <c r="C318" s="5">
        <v>45722.0</v>
      </c>
      <c r="D318" s="1" t="s">
        <v>161</v>
      </c>
      <c r="E318" s="1" t="s">
        <v>11</v>
      </c>
      <c r="F318" s="1" t="s">
        <v>165</v>
      </c>
      <c r="H318" s="1">
        <v>0.0</v>
      </c>
      <c r="I318" s="1">
        <v>0.0</v>
      </c>
      <c r="J318" s="1">
        <v>0.0</v>
      </c>
      <c r="K318" s="1">
        <v>5.0</v>
      </c>
      <c r="L318" s="1">
        <v>7.0</v>
      </c>
      <c r="M318" s="1">
        <v>0.714285714</v>
      </c>
      <c r="N318" s="1">
        <v>13.60999966</v>
      </c>
    </row>
    <row r="319" ht="15.75" customHeight="1">
      <c r="A319" s="1" t="s">
        <v>164</v>
      </c>
      <c r="B319" s="1" t="s">
        <v>74</v>
      </c>
      <c r="C319" s="5">
        <v>45722.0</v>
      </c>
      <c r="D319" s="1" t="s">
        <v>161</v>
      </c>
      <c r="E319" s="1" t="s">
        <v>11</v>
      </c>
      <c r="H319" s="1">
        <v>0.0</v>
      </c>
      <c r="J319" s="1">
        <v>0.0</v>
      </c>
      <c r="N319" s="1">
        <v>5.900000095</v>
      </c>
    </row>
    <row r="320" ht="15.75" customHeight="1">
      <c r="A320" s="1" t="s">
        <v>164</v>
      </c>
      <c r="B320" s="1" t="s">
        <v>75</v>
      </c>
      <c r="C320" s="5">
        <v>45722.0</v>
      </c>
      <c r="D320" s="1" t="s">
        <v>161</v>
      </c>
      <c r="E320" s="1" t="s">
        <v>11</v>
      </c>
      <c r="F320" s="1" t="s">
        <v>165</v>
      </c>
      <c r="H320" s="1">
        <v>0.0</v>
      </c>
      <c r="I320" s="1">
        <v>0.0</v>
      </c>
      <c r="J320" s="1">
        <v>0.0</v>
      </c>
      <c r="K320" s="1">
        <v>0.0</v>
      </c>
      <c r="L320" s="1">
        <v>9.0</v>
      </c>
      <c r="M320" s="1">
        <v>0.0</v>
      </c>
      <c r="N320" s="1">
        <v>16.12999916</v>
      </c>
    </row>
    <row r="321" ht="15.75" customHeight="1">
      <c r="A321" s="1" t="s">
        <v>164</v>
      </c>
      <c r="B321" s="1" t="s">
        <v>82</v>
      </c>
      <c r="C321" s="5">
        <v>45722.0</v>
      </c>
      <c r="D321" s="1" t="s">
        <v>161</v>
      </c>
      <c r="E321" s="1" t="s">
        <v>11</v>
      </c>
      <c r="F321" s="1" t="s">
        <v>173</v>
      </c>
      <c r="G321" s="1" t="s">
        <v>163</v>
      </c>
      <c r="H321" s="1">
        <v>1.0</v>
      </c>
      <c r="I321" s="1">
        <v>0.0</v>
      </c>
      <c r="J321" s="1">
        <v>0.0</v>
      </c>
      <c r="K321" s="1">
        <v>0.0</v>
      </c>
      <c r="L321" s="1">
        <v>0.0</v>
      </c>
      <c r="N321" s="1">
        <v>0.0</v>
      </c>
    </row>
    <row r="322" ht="15.75" customHeight="1">
      <c r="A322" s="1" t="s">
        <v>164</v>
      </c>
      <c r="B322" s="1" t="s">
        <v>82</v>
      </c>
      <c r="C322" s="5">
        <v>45722.0</v>
      </c>
      <c r="D322" s="1" t="s">
        <v>161</v>
      </c>
      <c r="E322" s="1" t="s">
        <v>11</v>
      </c>
      <c r="F322" s="1" t="s">
        <v>170</v>
      </c>
      <c r="G322" s="1" t="s">
        <v>163</v>
      </c>
      <c r="H322" s="1">
        <v>1.0</v>
      </c>
      <c r="I322" s="1">
        <v>0.0</v>
      </c>
      <c r="J322" s="1">
        <v>0.0</v>
      </c>
      <c r="K322" s="1">
        <v>2.0</v>
      </c>
      <c r="L322" s="1">
        <v>3.0</v>
      </c>
      <c r="M322" s="1">
        <v>0.666666667</v>
      </c>
      <c r="N322" s="1">
        <v>0.0</v>
      </c>
    </row>
    <row r="323" ht="15.75" customHeight="1">
      <c r="A323" s="1" t="s">
        <v>164</v>
      </c>
      <c r="B323" s="1" t="s">
        <v>82</v>
      </c>
      <c r="C323" s="5">
        <v>45722.0</v>
      </c>
      <c r="D323" s="1" t="s">
        <v>161</v>
      </c>
      <c r="E323" s="1" t="s">
        <v>11</v>
      </c>
      <c r="F323" s="1" t="s">
        <v>166</v>
      </c>
      <c r="G323" s="1" t="s">
        <v>163</v>
      </c>
      <c r="H323" s="1">
        <v>1.0</v>
      </c>
      <c r="I323" s="1">
        <v>1.0</v>
      </c>
      <c r="J323" s="1">
        <v>0.0</v>
      </c>
      <c r="K323" s="1">
        <v>18.0</v>
      </c>
      <c r="L323" s="1">
        <v>25.0</v>
      </c>
      <c r="M323" s="1">
        <v>0.72</v>
      </c>
      <c r="N323" s="1">
        <v>27.04999924</v>
      </c>
    </row>
    <row r="324" ht="15.75" customHeight="1">
      <c r="A324" s="1" t="s">
        <v>160</v>
      </c>
      <c r="B324" s="1" t="s">
        <v>20</v>
      </c>
      <c r="C324" s="5">
        <v>45721.0</v>
      </c>
      <c r="D324" s="1" t="s">
        <v>161</v>
      </c>
      <c r="E324" s="1" t="s">
        <v>11</v>
      </c>
      <c r="F324" s="1" t="s">
        <v>162</v>
      </c>
      <c r="G324" s="1" t="s">
        <v>163</v>
      </c>
      <c r="H324" s="1">
        <v>1.0</v>
      </c>
      <c r="I324" s="1">
        <v>0.0</v>
      </c>
      <c r="J324" s="1">
        <v>0.0</v>
      </c>
      <c r="K324" s="1">
        <v>7.0</v>
      </c>
      <c r="L324" s="1">
        <v>17.0</v>
      </c>
      <c r="M324" s="1">
        <v>0.411764706</v>
      </c>
      <c r="N324" s="1">
        <v>13.25</v>
      </c>
    </row>
    <row r="325" ht="15.75" customHeight="1">
      <c r="A325" s="1" t="s">
        <v>160</v>
      </c>
      <c r="B325" s="1" t="s">
        <v>27</v>
      </c>
      <c r="C325" s="5">
        <v>45721.0</v>
      </c>
      <c r="D325" s="1" t="s">
        <v>161</v>
      </c>
      <c r="E325" s="1" t="s">
        <v>11</v>
      </c>
      <c r="H325" s="1">
        <v>0.0</v>
      </c>
      <c r="J325" s="1">
        <v>0.0</v>
      </c>
      <c r="N325" s="1">
        <v>0.460000008</v>
      </c>
    </row>
    <row r="326" ht="15.75" customHeight="1">
      <c r="A326" s="1" t="s">
        <v>160</v>
      </c>
      <c r="B326" s="1" t="s">
        <v>32</v>
      </c>
      <c r="C326" s="5">
        <v>45721.0</v>
      </c>
      <c r="D326" s="1" t="s">
        <v>161</v>
      </c>
      <c r="E326" s="1" t="s">
        <v>11</v>
      </c>
      <c r="H326" s="1">
        <v>0.0</v>
      </c>
      <c r="J326" s="1">
        <v>0.0</v>
      </c>
      <c r="N326" s="1">
        <v>0.25</v>
      </c>
    </row>
    <row r="327" ht="15.75" customHeight="1">
      <c r="A327" s="1" t="s">
        <v>160</v>
      </c>
      <c r="B327" s="1" t="s">
        <v>56</v>
      </c>
      <c r="C327" s="5">
        <v>45721.0</v>
      </c>
      <c r="D327" s="1" t="s">
        <v>161</v>
      </c>
      <c r="E327" s="1" t="s">
        <v>11</v>
      </c>
      <c r="H327" s="1">
        <v>0.0</v>
      </c>
      <c r="J327" s="1">
        <v>0.0</v>
      </c>
      <c r="N327" s="1">
        <v>0.430000007</v>
      </c>
    </row>
    <row r="328" ht="15.75" customHeight="1">
      <c r="A328" s="1" t="s">
        <v>160</v>
      </c>
      <c r="B328" s="1" t="s">
        <v>174</v>
      </c>
      <c r="C328" s="5">
        <v>45721.0</v>
      </c>
      <c r="D328" s="1" t="s">
        <v>161</v>
      </c>
      <c r="E328" s="1" t="s">
        <v>11</v>
      </c>
      <c r="F328" s="1" t="s">
        <v>165</v>
      </c>
      <c r="H328" s="1">
        <v>0.0</v>
      </c>
      <c r="I328" s="1">
        <v>0.0</v>
      </c>
      <c r="J328" s="1">
        <v>0.0</v>
      </c>
      <c r="K328" s="1">
        <v>6.0</v>
      </c>
      <c r="L328" s="1">
        <v>8.0</v>
      </c>
      <c r="M328" s="1">
        <v>0.75</v>
      </c>
      <c r="N328" s="1">
        <v>13.10999966</v>
      </c>
    </row>
    <row r="329" ht="15.75" customHeight="1">
      <c r="A329" s="1" t="s">
        <v>160</v>
      </c>
      <c r="B329" s="1" t="s">
        <v>109</v>
      </c>
      <c r="C329" s="5">
        <v>45721.0</v>
      </c>
      <c r="D329" s="1" t="s">
        <v>161</v>
      </c>
      <c r="E329" s="1" t="s">
        <v>11</v>
      </c>
      <c r="F329" s="1" t="s">
        <v>162</v>
      </c>
      <c r="H329" s="1">
        <v>0.0</v>
      </c>
      <c r="I329" s="1">
        <v>0.0</v>
      </c>
      <c r="J329" s="1">
        <v>0.0</v>
      </c>
      <c r="K329" s="1">
        <v>0.0</v>
      </c>
      <c r="L329" s="1">
        <v>0.0</v>
      </c>
      <c r="N329" s="1">
        <v>0.0</v>
      </c>
    </row>
    <row r="330" ht="15.75" customHeight="1">
      <c r="A330" s="1" t="s">
        <v>164</v>
      </c>
      <c r="B330" s="1" t="s">
        <v>175</v>
      </c>
      <c r="C330" s="5">
        <v>45721.0</v>
      </c>
      <c r="D330" s="1" t="s">
        <v>161</v>
      </c>
      <c r="E330" s="1" t="s">
        <v>11</v>
      </c>
      <c r="F330" s="1" t="s">
        <v>166</v>
      </c>
      <c r="H330" s="1">
        <v>0.0</v>
      </c>
      <c r="I330" s="1">
        <v>0.0</v>
      </c>
      <c r="J330" s="1">
        <v>0.0</v>
      </c>
      <c r="K330" s="1">
        <v>0.0</v>
      </c>
      <c r="L330" s="1">
        <v>0.0</v>
      </c>
      <c r="N330" s="1">
        <v>0.579999983</v>
      </c>
    </row>
    <row r="331" ht="15.75" customHeight="1">
      <c r="A331" s="1" t="s">
        <v>164</v>
      </c>
      <c r="B331" s="1" t="s">
        <v>24</v>
      </c>
      <c r="C331" s="5">
        <v>45721.0</v>
      </c>
      <c r="D331" s="1" t="s">
        <v>161</v>
      </c>
      <c r="E331" s="1" t="s">
        <v>11</v>
      </c>
      <c r="F331" s="1" t="s">
        <v>166</v>
      </c>
      <c r="H331" s="1">
        <v>0.0</v>
      </c>
      <c r="I331" s="1">
        <v>0.0</v>
      </c>
      <c r="J331" s="1">
        <v>0.0</v>
      </c>
      <c r="K331" s="1">
        <v>0.0</v>
      </c>
      <c r="L331" s="1">
        <v>1.0</v>
      </c>
      <c r="M331" s="1">
        <v>0.0</v>
      </c>
      <c r="N331" s="1">
        <v>3.200000048</v>
      </c>
    </row>
    <row r="332" ht="15.75" customHeight="1">
      <c r="A332" s="1" t="s">
        <v>164</v>
      </c>
      <c r="B332" s="1" t="s">
        <v>64</v>
      </c>
      <c r="C332" s="5">
        <v>45721.0</v>
      </c>
      <c r="D332" s="1" t="s">
        <v>161</v>
      </c>
      <c r="E332" s="1" t="s">
        <v>11</v>
      </c>
      <c r="F332" s="1" t="s">
        <v>166</v>
      </c>
      <c r="G332" s="1" t="s">
        <v>163</v>
      </c>
      <c r="H332" s="1">
        <v>1.0</v>
      </c>
      <c r="I332" s="1">
        <v>0.0</v>
      </c>
      <c r="J332" s="1">
        <v>0.0</v>
      </c>
      <c r="K332" s="1">
        <v>2.0</v>
      </c>
      <c r="L332" s="1">
        <v>4.0</v>
      </c>
      <c r="M332" s="1">
        <v>0.5</v>
      </c>
      <c r="N332" s="1">
        <v>8.760000229</v>
      </c>
    </row>
    <row r="333" ht="15.75" customHeight="1">
      <c r="A333" s="1" t="s">
        <v>164</v>
      </c>
      <c r="B333" s="1" t="s">
        <v>81</v>
      </c>
      <c r="C333" s="5">
        <v>45721.0</v>
      </c>
      <c r="D333" s="1" t="s">
        <v>161</v>
      </c>
      <c r="E333" s="1" t="s">
        <v>11</v>
      </c>
      <c r="F333" s="1" t="s">
        <v>176</v>
      </c>
      <c r="G333" s="1" t="s">
        <v>163</v>
      </c>
      <c r="H333" s="1">
        <v>1.0</v>
      </c>
      <c r="I333" s="1">
        <v>0.0</v>
      </c>
      <c r="J333" s="1">
        <v>0.0</v>
      </c>
      <c r="K333" s="1">
        <v>0.0</v>
      </c>
      <c r="L333" s="1">
        <v>1.0</v>
      </c>
      <c r="M333" s="1">
        <v>0.0</v>
      </c>
      <c r="N333" s="1">
        <v>0.0</v>
      </c>
    </row>
    <row r="334" ht="15.75" customHeight="1">
      <c r="A334" s="1" t="s">
        <v>164</v>
      </c>
      <c r="B334" s="1" t="s">
        <v>81</v>
      </c>
      <c r="C334" s="5">
        <v>45721.0</v>
      </c>
      <c r="D334" s="1" t="s">
        <v>161</v>
      </c>
      <c r="E334" s="1" t="s">
        <v>11</v>
      </c>
      <c r="F334" s="1" t="s">
        <v>177</v>
      </c>
      <c r="G334" s="1" t="s">
        <v>163</v>
      </c>
      <c r="H334" s="1">
        <v>1.0</v>
      </c>
      <c r="I334" s="1">
        <v>0.0</v>
      </c>
      <c r="J334" s="1">
        <v>0.0</v>
      </c>
      <c r="K334" s="1">
        <v>0.0</v>
      </c>
      <c r="L334" s="1">
        <v>1.0</v>
      </c>
      <c r="M334" s="1">
        <v>0.0</v>
      </c>
      <c r="N334" s="1">
        <v>0.0</v>
      </c>
    </row>
    <row r="335" ht="15.75" customHeight="1">
      <c r="A335" s="1" t="s">
        <v>164</v>
      </c>
      <c r="B335" s="1" t="s">
        <v>81</v>
      </c>
      <c r="C335" s="5">
        <v>45721.0</v>
      </c>
      <c r="D335" s="1" t="s">
        <v>161</v>
      </c>
      <c r="E335" s="1" t="s">
        <v>11</v>
      </c>
      <c r="F335" s="1" t="s">
        <v>166</v>
      </c>
      <c r="G335" s="1" t="s">
        <v>163</v>
      </c>
      <c r="H335" s="1">
        <v>1.0</v>
      </c>
      <c r="I335" s="1">
        <v>0.0</v>
      </c>
      <c r="J335" s="1">
        <v>0.0</v>
      </c>
      <c r="K335" s="1">
        <v>16.0</v>
      </c>
      <c r="L335" s="1">
        <v>27.0</v>
      </c>
      <c r="M335" s="1">
        <v>0.592592593</v>
      </c>
      <c r="N335" s="1">
        <v>18.88999939</v>
      </c>
    </row>
    <row r="336" ht="15.75" customHeight="1">
      <c r="A336" s="1" t="s">
        <v>164</v>
      </c>
      <c r="B336" s="1" t="s">
        <v>82</v>
      </c>
      <c r="C336" s="5">
        <v>45721.0</v>
      </c>
      <c r="D336" s="1" t="s">
        <v>161</v>
      </c>
      <c r="E336" s="1" t="s">
        <v>11</v>
      </c>
      <c r="F336" s="1" t="s">
        <v>176</v>
      </c>
      <c r="G336" s="1" t="s">
        <v>163</v>
      </c>
      <c r="H336" s="1">
        <v>1.0</v>
      </c>
      <c r="I336" s="1">
        <v>0.0</v>
      </c>
      <c r="J336" s="1">
        <v>0.0</v>
      </c>
      <c r="K336" s="1">
        <v>0.0</v>
      </c>
      <c r="L336" s="1">
        <v>0.0</v>
      </c>
      <c r="N336" s="1">
        <v>0.0</v>
      </c>
    </row>
    <row r="337" ht="15.75" customHeight="1">
      <c r="A337" s="1" t="s">
        <v>164</v>
      </c>
      <c r="B337" s="1" t="s">
        <v>82</v>
      </c>
      <c r="C337" s="5">
        <v>45721.0</v>
      </c>
      <c r="D337" s="1" t="s">
        <v>161</v>
      </c>
      <c r="E337" s="1" t="s">
        <v>11</v>
      </c>
      <c r="F337" s="1" t="s">
        <v>173</v>
      </c>
      <c r="G337" s="1" t="s">
        <v>163</v>
      </c>
      <c r="H337" s="1">
        <v>1.0</v>
      </c>
      <c r="I337" s="1">
        <v>0.0</v>
      </c>
      <c r="J337" s="1">
        <v>0.0</v>
      </c>
      <c r="K337" s="1">
        <v>0.0</v>
      </c>
      <c r="L337" s="1">
        <v>0.0</v>
      </c>
      <c r="N337" s="1">
        <v>0.0</v>
      </c>
    </row>
    <row r="338" ht="15.75" customHeight="1">
      <c r="A338" s="1" t="s">
        <v>164</v>
      </c>
      <c r="B338" s="1" t="s">
        <v>82</v>
      </c>
      <c r="C338" s="5">
        <v>45721.0</v>
      </c>
      <c r="D338" s="1" t="s">
        <v>161</v>
      </c>
      <c r="E338" s="1" t="s">
        <v>11</v>
      </c>
      <c r="F338" s="1" t="s">
        <v>170</v>
      </c>
      <c r="G338" s="1" t="s">
        <v>163</v>
      </c>
      <c r="H338" s="1">
        <v>1.0</v>
      </c>
      <c r="I338" s="1">
        <v>0.0</v>
      </c>
      <c r="J338" s="1">
        <v>0.0</v>
      </c>
      <c r="K338" s="1">
        <v>4.0</v>
      </c>
      <c r="L338" s="1">
        <v>11.0</v>
      </c>
      <c r="M338" s="1">
        <v>0.363636364</v>
      </c>
      <c r="N338" s="1">
        <v>24.42000008</v>
      </c>
    </row>
    <row r="339" ht="15.75" customHeight="1">
      <c r="A339" s="1" t="s">
        <v>164</v>
      </c>
      <c r="B339" s="1" t="s">
        <v>82</v>
      </c>
      <c r="C339" s="5">
        <v>45721.0</v>
      </c>
      <c r="D339" s="1" t="s">
        <v>161</v>
      </c>
      <c r="E339" s="1" t="s">
        <v>11</v>
      </c>
      <c r="F339" s="1" t="s">
        <v>162</v>
      </c>
      <c r="G339" s="1" t="s">
        <v>163</v>
      </c>
      <c r="H339" s="1">
        <v>1.0</v>
      </c>
      <c r="I339" s="1">
        <v>0.0</v>
      </c>
      <c r="J339" s="1">
        <v>0.0</v>
      </c>
      <c r="K339" s="1">
        <v>0.0</v>
      </c>
      <c r="L339" s="1">
        <v>1.0</v>
      </c>
      <c r="M339" s="1">
        <v>0.0</v>
      </c>
      <c r="N339" s="1">
        <v>0.0</v>
      </c>
    </row>
    <row r="340" ht="15.75" customHeight="1">
      <c r="A340" s="1" t="s">
        <v>160</v>
      </c>
      <c r="B340" s="1" t="s">
        <v>18</v>
      </c>
      <c r="C340" s="5">
        <v>45720.0</v>
      </c>
      <c r="D340" s="1" t="s">
        <v>161</v>
      </c>
      <c r="E340" s="1" t="s">
        <v>11</v>
      </c>
      <c r="F340" s="1" t="s">
        <v>162</v>
      </c>
      <c r="G340" s="1" t="s">
        <v>163</v>
      </c>
      <c r="H340" s="1">
        <v>1.0</v>
      </c>
      <c r="I340" s="1">
        <v>0.0</v>
      </c>
      <c r="J340" s="1">
        <v>0.0</v>
      </c>
      <c r="K340" s="1">
        <v>1.0</v>
      </c>
      <c r="L340" s="1">
        <v>4.0</v>
      </c>
      <c r="M340" s="1">
        <v>0.25</v>
      </c>
      <c r="N340" s="1">
        <v>5.760000229</v>
      </c>
    </row>
    <row r="341" ht="15.75" customHeight="1">
      <c r="A341" s="1" t="s">
        <v>160</v>
      </c>
      <c r="B341" s="1" t="s">
        <v>20</v>
      </c>
      <c r="C341" s="5">
        <v>45720.0</v>
      </c>
      <c r="D341" s="1" t="s">
        <v>161</v>
      </c>
      <c r="E341" s="1" t="s">
        <v>11</v>
      </c>
      <c r="F341" s="1" t="s">
        <v>162</v>
      </c>
      <c r="G341" s="1" t="s">
        <v>163</v>
      </c>
      <c r="H341" s="1">
        <v>1.0</v>
      </c>
      <c r="I341" s="1">
        <v>1.0</v>
      </c>
      <c r="J341" s="1">
        <v>0.0</v>
      </c>
      <c r="K341" s="1">
        <v>24.0</v>
      </c>
      <c r="L341" s="1">
        <v>40.0</v>
      </c>
      <c r="M341" s="1">
        <v>0.6</v>
      </c>
      <c r="N341" s="1">
        <v>12.35000038</v>
      </c>
    </row>
    <row r="342" ht="15.75" customHeight="1">
      <c r="A342" s="1" t="s">
        <v>160</v>
      </c>
      <c r="B342" s="1" t="s">
        <v>178</v>
      </c>
      <c r="C342" s="5">
        <v>45720.0</v>
      </c>
      <c r="D342" s="1" t="s">
        <v>161</v>
      </c>
      <c r="E342" s="1" t="s">
        <v>11</v>
      </c>
      <c r="H342" s="1">
        <v>0.0</v>
      </c>
      <c r="J342" s="1">
        <v>0.0</v>
      </c>
      <c r="N342" s="1">
        <v>1.299999952</v>
      </c>
    </row>
    <row r="343" ht="15.75" customHeight="1">
      <c r="A343" s="1" t="s">
        <v>160</v>
      </c>
      <c r="B343" s="1" t="s">
        <v>39</v>
      </c>
      <c r="C343" s="5">
        <v>45720.0</v>
      </c>
      <c r="D343" s="1" t="s">
        <v>161</v>
      </c>
      <c r="E343" s="1" t="s">
        <v>11</v>
      </c>
      <c r="F343" s="1" t="s">
        <v>162</v>
      </c>
      <c r="H343" s="1">
        <v>0.0</v>
      </c>
      <c r="I343" s="1">
        <v>0.0</v>
      </c>
      <c r="J343" s="1">
        <v>0.0</v>
      </c>
      <c r="K343" s="1">
        <v>5.0</v>
      </c>
      <c r="L343" s="1">
        <v>9.0</v>
      </c>
      <c r="M343" s="1">
        <v>0.555555556</v>
      </c>
      <c r="N343" s="1">
        <v>6.900000095</v>
      </c>
    </row>
    <row r="344" ht="15.75" customHeight="1">
      <c r="A344" s="1" t="s">
        <v>160</v>
      </c>
      <c r="B344" s="1" t="s">
        <v>39</v>
      </c>
      <c r="C344" s="5">
        <v>45720.0</v>
      </c>
      <c r="D344" s="1" t="s">
        <v>161</v>
      </c>
      <c r="E344" s="1" t="s">
        <v>11</v>
      </c>
      <c r="F344" s="1" t="s">
        <v>166</v>
      </c>
      <c r="H344" s="1">
        <v>0.0</v>
      </c>
      <c r="I344" s="1">
        <v>0.0</v>
      </c>
      <c r="J344" s="1">
        <v>0.0</v>
      </c>
      <c r="K344" s="1">
        <v>0.0</v>
      </c>
      <c r="L344" s="1">
        <v>0.0</v>
      </c>
      <c r="N344" s="1">
        <v>0.0</v>
      </c>
    </row>
    <row r="345" ht="15.75" customHeight="1">
      <c r="A345" s="1" t="s">
        <v>160</v>
      </c>
      <c r="B345" s="1" t="s">
        <v>46</v>
      </c>
      <c r="C345" s="5">
        <v>45720.0</v>
      </c>
      <c r="D345" s="1" t="s">
        <v>161</v>
      </c>
      <c r="E345" s="1" t="s">
        <v>11</v>
      </c>
      <c r="F345" s="1" t="s">
        <v>162</v>
      </c>
      <c r="H345" s="1">
        <v>0.0</v>
      </c>
      <c r="I345" s="1">
        <v>0.0</v>
      </c>
      <c r="J345" s="1">
        <v>0.0</v>
      </c>
      <c r="K345" s="1">
        <v>15.0</v>
      </c>
      <c r="L345" s="1">
        <v>22.0</v>
      </c>
      <c r="M345" s="1">
        <v>0.681818182</v>
      </c>
      <c r="N345" s="1">
        <v>26.75</v>
      </c>
    </row>
    <row r="346" ht="15.75" customHeight="1">
      <c r="A346" s="1" t="s">
        <v>160</v>
      </c>
      <c r="B346" s="1" t="s">
        <v>65</v>
      </c>
      <c r="C346" s="5">
        <v>45720.0</v>
      </c>
      <c r="D346" s="1" t="s">
        <v>161</v>
      </c>
      <c r="E346" s="1" t="s">
        <v>11</v>
      </c>
      <c r="F346" s="1" t="s">
        <v>162</v>
      </c>
      <c r="H346" s="1">
        <v>0.0</v>
      </c>
      <c r="I346" s="1">
        <v>0.0</v>
      </c>
      <c r="J346" s="1">
        <v>0.0</v>
      </c>
      <c r="K346" s="1">
        <v>1.0</v>
      </c>
      <c r="L346" s="1">
        <v>6.0</v>
      </c>
      <c r="M346" s="1">
        <v>0.166666667</v>
      </c>
      <c r="N346" s="1">
        <v>10.18999958</v>
      </c>
    </row>
    <row r="347" ht="15.75" customHeight="1">
      <c r="A347" s="1" t="s">
        <v>160</v>
      </c>
      <c r="B347" s="1" t="s">
        <v>77</v>
      </c>
      <c r="C347" s="5">
        <v>45720.0</v>
      </c>
      <c r="D347" s="1" t="s">
        <v>161</v>
      </c>
      <c r="E347" s="1" t="s">
        <v>11</v>
      </c>
      <c r="F347" s="1" t="s">
        <v>162</v>
      </c>
      <c r="H347" s="1">
        <v>0.0</v>
      </c>
      <c r="I347" s="1">
        <v>0.0</v>
      </c>
      <c r="J347" s="1">
        <v>0.0</v>
      </c>
      <c r="K347" s="1">
        <v>4.0</v>
      </c>
      <c r="L347" s="1">
        <v>5.0</v>
      </c>
      <c r="M347" s="1">
        <v>0.8</v>
      </c>
      <c r="N347" s="1">
        <v>5.590000153</v>
      </c>
    </row>
    <row r="348" ht="15.75" customHeight="1">
      <c r="A348" s="1" t="s">
        <v>160</v>
      </c>
      <c r="B348" s="1" t="s">
        <v>90</v>
      </c>
      <c r="C348" s="5">
        <v>45720.0</v>
      </c>
      <c r="D348" s="1" t="s">
        <v>161</v>
      </c>
      <c r="E348" s="1" t="s">
        <v>11</v>
      </c>
      <c r="F348" s="1" t="s">
        <v>165</v>
      </c>
      <c r="G348" s="1" t="s">
        <v>163</v>
      </c>
      <c r="H348" s="1">
        <v>1.0</v>
      </c>
      <c r="I348" s="1">
        <v>0.0</v>
      </c>
      <c r="J348" s="1">
        <v>0.0</v>
      </c>
      <c r="K348" s="1">
        <v>2.0</v>
      </c>
      <c r="L348" s="1">
        <v>4.0</v>
      </c>
      <c r="M348" s="1">
        <v>0.5</v>
      </c>
      <c r="N348" s="1">
        <v>4.900000095</v>
      </c>
    </row>
    <row r="349" ht="15.75" customHeight="1">
      <c r="A349" s="1" t="s">
        <v>164</v>
      </c>
      <c r="B349" s="1" t="s">
        <v>24</v>
      </c>
      <c r="C349" s="5">
        <v>45720.0</v>
      </c>
      <c r="D349" s="1" t="s">
        <v>161</v>
      </c>
      <c r="E349" s="1" t="s">
        <v>11</v>
      </c>
      <c r="F349" s="1" t="s">
        <v>166</v>
      </c>
      <c r="G349" s="1" t="s">
        <v>163</v>
      </c>
      <c r="H349" s="1">
        <v>1.0</v>
      </c>
      <c r="I349" s="1">
        <v>0.0</v>
      </c>
      <c r="J349" s="1">
        <v>0.0</v>
      </c>
      <c r="K349" s="1">
        <v>3.0</v>
      </c>
      <c r="L349" s="1">
        <v>8.0</v>
      </c>
      <c r="M349" s="1">
        <v>0.375</v>
      </c>
      <c r="N349" s="1">
        <v>9.319999695</v>
      </c>
    </row>
    <row r="350" ht="15.75" customHeight="1">
      <c r="A350" s="1" t="s">
        <v>164</v>
      </c>
      <c r="B350" s="1" t="s">
        <v>64</v>
      </c>
      <c r="C350" s="5">
        <v>45720.0</v>
      </c>
      <c r="D350" s="1" t="s">
        <v>161</v>
      </c>
      <c r="E350" s="1" t="s">
        <v>11</v>
      </c>
      <c r="F350" s="1" t="s">
        <v>166</v>
      </c>
      <c r="G350" s="1" t="s">
        <v>163</v>
      </c>
      <c r="H350" s="1">
        <v>1.0</v>
      </c>
      <c r="I350" s="1">
        <v>0.0</v>
      </c>
      <c r="J350" s="1">
        <v>0.0</v>
      </c>
      <c r="K350" s="1">
        <v>4.0</v>
      </c>
      <c r="L350" s="1">
        <v>6.0</v>
      </c>
      <c r="M350" s="1">
        <v>0.666666667</v>
      </c>
      <c r="N350" s="1">
        <v>12.35000038</v>
      </c>
    </row>
    <row r="351" ht="15.75" customHeight="1">
      <c r="A351" s="1" t="s">
        <v>164</v>
      </c>
      <c r="B351" s="1" t="s">
        <v>81</v>
      </c>
      <c r="C351" s="5">
        <v>45720.0</v>
      </c>
      <c r="D351" s="1" t="s">
        <v>161</v>
      </c>
      <c r="E351" s="1" t="s">
        <v>11</v>
      </c>
      <c r="F351" s="1" t="s">
        <v>162</v>
      </c>
      <c r="G351" s="1" t="s">
        <v>163</v>
      </c>
      <c r="H351" s="1">
        <v>1.0</v>
      </c>
      <c r="I351" s="1">
        <v>0.0</v>
      </c>
      <c r="J351" s="1">
        <v>0.0</v>
      </c>
      <c r="K351" s="1">
        <v>8.0</v>
      </c>
      <c r="L351" s="1">
        <v>8.0</v>
      </c>
      <c r="M351" s="1">
        <v>1.0</v>
      </c>
      <c r="N351" s="1">
        <v>0.0</v>
      </c>
    </row>
    <row r="352" ht="15.75" customHeight="1">
      <c r="A352" s="1" t="s">
        <v>164</v>
      </c>
      <c r="B352" s="1" t="s">
        <v>81</v>
      </c>
      <c r="C352" s="5">
        <v>45720.0</v>
      </c>
      <c r="D352" s="1" t="s">
        <v>161</v>
      </c>
      <c r="E352" s="1" t="s">
        <v>11</v>
      </c>
      <c r="F352" s="1" t="s">
        <v>168</v>
      </c>
      <c r="G352" s="1" t="s">
        <v>163</v>
      </c>
      <c r="H352" s="1">
        <v>1.0</v>
      </c>
      <c r="I352" s="1">
        <v>0.0</v>
      </c>
      <c r="J352" s="1">
        <v>0.0</v>
      </c>
      <c r="K352" s="1">
        <v>1.0</v>
      </c>
      <c r="L352" s="1">
        <v>8.0</v>
      </c>
      <c r="M352" s="1">
        <v>0.125</v>
      </c>
      <c r="N352" s="1">
        <v>10.11999989</v>
      </c>
    </row>
    <row r="353" ht="15.75" customHeight="1">
      <c r="A353" s="1" t="s">
        <v>164</v>
      </c>
      <c r="B353" s="1" t="s">
        <v>179</v>
      </c>
      <c r="C353" s="5">
        <v>45720.0</v>
      </c>
      <c r="D353" s="1" t="s">
        <v>161</v>
      </c>
      <c r="E353" s="1" t="s">
        <v>11</v>
      </c>
      <c r="F353" s="1" t="s">
        <v>166</v>
      </c>
      <c r="G353" s="1" t="s">
        <v>163</v>
      </c>
      <c r="H353" s="1">
        <v>1.0</v>
      </c>
      <c r="I353" s="1">
        <v>0.0</v>
      </c>
      <c r="J353" s="1">
        <v>0.0</v>
      </c>
      <c r="K353" s="1">
        <v>1.0</v>
      </c>
      <c r="L353" s="1">
        <v>3.0</v>
      </c>
      <c r="M353" s="1">
        <v>0.333333333</v>
      </c>
      <c r="N353" s="1">
        <v>1.789999962</v>
      </c>
    </row>
    <row r="354" ht="15.75" customHeight="1">
      <c r="A354" s="1" t="s">
        <v>164</v>
      </c>
      <c r="B354" s="1" t="s">
        <v>60</v>
      </c>
      <c r="C354" s="5">
        <v>45720.0</v>
      </c>
      <c r="D354" s="1" t="s">
        <v>161</v>
      </c>
      <c r="E354" s="1" t="s">
        <v>11</v>
      </c>
      <c r="F354" s="1" t="s">
        <v>166</v>
      </c>
      <c r="G354" s="1" t="s">
        <v>163</v>
      </c>
      <c r="H354" s="1">
        <v>1.0</v>
      </c>
      <c r="I354" s="1">
        <v>0.0</v>
      </c>
      <c r="J354" s="1">
        <v>0.0</v>
      </c>
      <c r="K354" s="1">
        <v>3.0</v>
      </c>
      <c r="L354" s="1">
        <v>5.0</v>
      </c>
      <c r="M354" s="1">
        <v>0.6</v>
      </c>
      <c r="N354" s="1">
        <v>6.590000153</v>
      </c>
    </row>
    <row r="355" ht="15.75" customHeight="1">
      <c r="A355" s="1" t="s">
        <v>164</v>
      </c>
      <c r="B355" s="1" t="s">
        <v>63</v>
      </c>
      <c r="C355" s="5">
        <v>45720.0</v>
      </c>
      <c r="D355" s="1" t="s">
        <v>161</v>
      </c>
      <c r="E355" s="1" t="s">
        <v>11</v>
      </c>
      <c r="F355" s="1" t="s">
        <v>166</v>
      </c>
      <c r="G355" s="1" t="s">
        <v>163</v>
      </c>
      <c r="H355" s="1">
        <v>1.0</v>
      </c>
      <c r="I355" s="1">
        <v>0.0</v>
      </c>
      <c r="J355" s="1">
        <v>0.0</v>
      </c>
      <c r="K355" s="1">
        <v>4.0</v>
      </c>
      <c r="L355" s="1">
        <v>8.0</v>
      </c>
      <c r="M355" s="1">
        <v>0.5</v>
      </c>
      <c r="N355" s="1">
        <v>7.010000229</v>
      </c>
    </row>
    <row r="356" ht="15.75" customHeight="1">
      <c r="A356" s="1" t="s">
        <v>164</v>
      </c>
      <c r="B356" s="1" t="s">
        <v>68</v>
      </c>
      <c r="C356" s="5">
        <v>45720.0</v>
      </c>
      <c r="D356" s="1" t="s">
        <v>161</v>
      </c>
      <c r="E356" s="1" t="s">
        <v>11</v>
      </c>
      <c r="F356" s="1" t="s">
        <v>165</v>
      </c>
      <c r="G356" s="1" t="s">
        <v>163</v>
      </c>
      <c r="H356" s="1">
        <v>1.0</v>
      </c>
      <c r="I356" s="1">
        <v>0.0</v>
      </c>
      <c r="J356" s="1">
        <v>0.0</v>
      </c>
      <c r="K356" s="1">
        <v>9.0</v>
      </c>
      <c r="L356" s="1">
        <v>12.0</v>
      </c>
      <c r="M356" s="1">
        <v>0.75</v>
      </c>
      <c r="N356" s="1">
        <v>7.53000021</v>
      </c>
    </row>
    <row r="357" ht="15.75" customHeight="1">
      <c r="A357" s="1" t="s">
        <v>164</v>
      </c>
      <c r="B357" s="1" t="s">
        <v>74</v>
      </c>
      <c r="C357" s="5">
        <v>45720.0</v>
      </c>
      <c r="D357" s="1" t="s">
        <v>161</v>
      </c>
      <c r="E357" s="1" t="s">
        <v>11</v>
      </c>
      <c r="H357" s="1">
        <v>0.0</v>
      </c>
      <c r="J357" s="1">
        <v>0.0</v>
      </c>
      <c r="N357" s="1">
        <v>8.659999847</v>
      </c>
    </row>
    <row r="358" ht="15.75" customHeight="1">
      <c r="A358" s="1" t="s">
        <v>164</v>
      </c>
      <c r="B358" s="1" t="s">
        <v>75</v>
      </c>
      <c r="C358" s="5">
        <v>45720.0</v>
      </c>
      <c r="D358" s="1" t="s">
        <v>161</v>
      </c>
      <c r="E358" s="1" t="s">
        <v>11</v>
      </c>
      <c r="F358" s="1" t="s">
        <v>165</v>
      </c>
      <c r="H358" s="1">
        <v>0.0</v>
      </c>
      <c r="I358" s="1">
        <v>0.0</v>
      </c>
      <c r="J358" s="1">
        <v>0.0</v>
      </c>
      <c r="K358" s="1">
        <v>0.0</v>
      </c>
      <c r="L358" s="1">
        <v>1.0</v>
      </c>
      <c r="M358" s="1">
        <v>0.0</v>
      </c>
      <c r="N358" s="1">
        <v>6.75</v>
      </c>
    </row>
    <row r="359" ht="15.75" customHeight="1">
      <c r="A359" s="1" t="s">
        <v>164</v>
      </c>
      <c r="B359" s="1" t="s">
        <v>82</v>
      </c>
      <c r="C359" s="5">
        <v>45720.0</v>
      </c>
      <c r="D359" s="1" t="s">
        <v>161</v>
      </c>
      <c r="E359" s="1" t="s">
        <v>11</v>
      </c>
      <c r="F359" s="1" t="s">
        <v>176</v>
      </c>
      <c r="G359" s="1" t="s">
        <v>163</v>
      </c>
      <c r="H359" s="1">
        <v>1.0</v>
      </c>
      <c r="I359" s="1">
        <v>1.0</v>
      </c>
      <c r="J359" s="1">
        <v>0.0</v>
      </c>
      <c r="K359" s="1">
        <v>34.0</v>
      </c>
      <c r="L359" s="1">
        <v>43.0</v>
      </c>
      <c r="M359" s="1">
        <v>0.790697674</v>
      </c>
      <c r="N359" s="1">
        <v>24.65999985</v>
      </c>
    </row>
    <row r="360" ht="15.75" customHeight="1">
      <c r="A360" s="1" t="s">
        <v>164</v>
      </c>
      <c r="B360" s="1" t="s">
        <v>82</v>
      </c>
      <c r="C360" s="5">
        <v>45720.0</v>
      </c>
      <c r="D360" s="1" t="s">
        <v>161</v>
      </c>
      <c r="E360" s="1" t="s">
        <v>11</v>
      </c>
      <c r="F360" s="1" t="s">
        <v>165</v>
      </c>
      <c r="G360" s="1" t="s">
        <v>163</v>
      </c>
      <c r="H360" s="1">
        <v>1.0</v>
      </c>
      <c r="I360" s="1">
        <v>0.0</v>
      </c>
      <c r="J360" s="1">
        <v>0.0</v>
      </c>
      <c r="K360" s="1">
        <v>0.0</v>
      </c>
      <c r="L360" s="1">
        <v>0.0</v>
      </c>
      <c r="N360" s="1">
        <v>0.0</v>
      </c>
    </row>
    <row r="361" ht="15.75" customHeight="1">
      <c r="A361" s="1" t="s">
        <v>164</v>
      </c>
      <c r="B361" s="1" t="s">
        <v>82</v>
      </c>
      <c r="C361" s="5">
        <v>45720.0</v>
      </c>
      <c r="D361" s="1" t="s">
        <v>161</v>
      </c>
      <c r="E361" s="1" t="s">
        <v>11</v>
      </c>
      <c r="F361" s="1" t="s">
        <v>166</v>
      </c>
      <c r="G361" s="1" t="s">
        <v>163</v>
      </c>
      <c r="H361" s="1">
        <v>1.0</v>
      </c>
      <c r="I361" s="1">
        <v>0.0</v>
      </c>
      <c r="J361" s="1">
        <v>0.0</v>
      </c>
      <c r="K361" s="1">
        <v>0.0</v>
      </c>
      <c r="L361" s="1">
        <v>1.0</v>
      </c>
      <c r="M361" s="1">
        <v>0.0</v>
      </c>
      <c r="N361" s="1">
        <v>0.0</v>
      </c>
    </row>
    <row r="362" ht="15.75" customHeight="1">
      <c r="A362" s="1" t="s">
        <v>180</v>
      </c>
      <c r="B362" s="1" t="s">
        <v>181</v>
      </c>
      <c r="C362" s="5">
        <v>45720.0</v>
      </c>
      <c r="D362" s="1" t="s">
        <v>161</v>
      </c>
      <c r="E362" s="1" t="s">
        <v>11</v>
      </c>
      <c r="F362" s="1" t="s">
        <v>166</v>
      </c>
      <c r="G362" s="1" t="s">
        <v>182</v>
      </c>
      <c r="H362" s="1">
        <v>2.0</v>
      </c>
      <c r="I362" s="1">
        <v>0.0</v>
      </c>
      <c r="J362" s="1">
        <v>0.0</v>
      </c>
      <c r="K362" s="1">
        <v>11.0</v>
      </c>
      <c r="L362" s="1">
        <v>21.0</v>
      </c>
      <c r="M362" s="1">
        <v>0.523809524</v>
      </c>
      <c r="N362" s="1">
        <v>20.62999916</v>
      </c>
    </row>
    <row r="363" ht="15.75" customHeight="1">
      <c r="A363" s="1" t="s">
        <v>160</v>
      </c>
      <c r="B363" s="1" t="s">
        <v>29</v>
      </c>
      <c r="C363" s="5">
        <v>45719.0</v>
      </c>
      <c r="D363" s="1" t="s">
        <v>161</v>
      </c>
      <c r="E363" s="1" t="s">
        <v>11</v>
      </c>
      <c r="F363" s="1" t="s">
        <v>165</v>
      </c>
      <c r="H363" s="1">
        <v>0.0</v>
      </c>
      <c r="I363" s="1">
        <v>0.0</v>
      </c>
      <c r="J363" s="1">
        <v>0.0</v>
      </c>
      <c r="K363" s="1">
        <v>0.0</v>
      </c>
      <c r="L363" s="1">
        <v>2.0</v>
      </c>
      <c r="M363" s="1">
        <v>0.0</v>
      </c>
      <c r="N363" s="1">
        <v>6.900000095</v>
      </c>
    </row>
    <row r="364" ht="15.75" customHeight="1">
      <c r="A364" s="1" t="s">
        <v>164</v>
      </c>
      <c r="B364" s="1" t="s">
        <v>60</v>
      </c>
      <c r="C364" s="5">
        <v>45719.0</v>
      </c>
      <c r="D364" s="1" t="s">
        <v>161</v>
      </c>
      <c r="E364" s="1" t="s">
        <v>11</v>
      </c>
      <c r="F364" s="1" t="s">
        <v>166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N364" s="1">
        <v>0.800000012</v>
      </c>
    </row>
    <row r="365" ht="15.75" customHeight="1">
      <c r="A365" s="1" t="s">
        <v>164</v>
      </c>
      <c r="B365" s="1" t="s">
        <v>183</v>
      </c>
      <c r="C365" s="5">
        <v>45719.0</v>
      </c>
      <c r="D365" s="1" t="s">
        <v>161</v>
      </c>
      <c r="E365" s="1" t="s">
        <v>11</v>
      </c>
      <c r="F365" s="1" t="s">
        <v>166</v>
      </c>
      <c r="G365" s="1" t="s">
        <v>163</v>
      </c>
      <c r="H365" s="1">
        <v>1.0</v>
      </c>
      <c r="I365" s="1">
        <v>0.0</v>
      </c>
      <c r="J365" s="1">
        <v>0.0</v>
      </c>
      <c r="K365" s="1">
        <v>0.0</v>
      </c>
      <c r="L365" s="1">
        <v>1.0</v>
      </c>
      <c r="M365" s="1">
        <v>0.0</v>
      </c>
      <c r="N365" s="1">
        <v>1.120000005</v>
      </c>
    </row>
    <row r="366" ht="15.75" customHeight="1">
      <c r="A366" s="1" t="s">
        <v>164</v>
      </c>
      <c r="B366" s="1" t="s">
        <v>68</v>
      </c>
      <c r="C366" s="5">
        <v>45719.0</v>
      </c>
      <c r="D366" s="1" t="s">
        <v>161</v>
      </c>
      <c r="E366" s="1" t="s">
        <v>11</v>
      </c>
      <c r="H366" s="1">
        <v>0.0</v>
      </c>
      <c r="J366" s="1">
        <v>0.0</v>
      </c>
      <c r="N366" s="1">
        <v>2.869999886</v>
      </c>
    </row>
    <row r="367" ht="15.75" customHeight="1">
      <c r="A367" s="1" t="s">
        <v>164</v>
      </c>
      <c r="B367" s="1" t="s">
        <v>75</v>
      </c>
      <c r="C367" s="5">
        <v>45719.0</v>
      </c>
      <c r="D367" s="1" t="s">
        <v>161</v>
      </c>
      <c r="E367" s="1" t="s">
        <v>11</v>
      </c>
      <c r="H367" s="1">
        <v>0.0</v>
      </c>
      <c r="J367" s="1">
        <v>0.0</v>
      </c>
      <c r="N367" s="1">
        <v>2.3099999430000002</v>
      </c>
    </row>
    <row r="368" ht="15.75" customHeight="1">
      <c r="A368" s="1" t="s">
        <v>164</v>
      </c>
      <c r="B368" s="1" t="s">
        <v>82</v>
      </c>
      <c r="C368" s="5">
        <v>45719.0</v>
      </c>
      <c r="D368" s="1" t="s">
        <v>161</v>
      </c>
      <c r="E368" s="1" t="s">
        <v>11</v>
      </c>
      <c r="H368" s="1">
        <v>0.0</v>
      </c>
      <c r="J368" s="1">
        <v>0.0</v>
      </c>
      <c r="N368" s="1">
        <v>0.670000017</v>
      </c>
    </row>
    <row r="369" ht="15.75" customHeight="1">
      <c r="A369" s="1" t="s">
        <v>160</v>
      </c>
      <c r="B369" s="1" t="s">
        <v>80</v>
      </c>
      <c r="C369" s="5">
        <v>45718.0</v>
      </c>
      <c r="D369" s="1" t="s">
        <v>161</v>
      </c>
      <c r="E369" s="1" t="s">
        <v>11</v>
      </c>
      <c r="H369" s="1">
        <v>0.0</v>
      </c>
      <c r="J369" s="1">
        <v>0.0</v>
      </c>
      <c r="N369" s="1">
        <v>0.170000002</v>
      </c>
    </row>
    <row r="370" ht="15.75" customHeight="1">
      <c r="A370" s="1" t="s">
        <v>160</v>
      </c>
      <c r="B370" s="1" t="s">
        <v>29</v>
      </c>
      <c r="C370" s="5">
        <v>45716.0</v>
      </c>
      <c r="D370" s="1" t="s">
        <v>161</v>
      </c>
      <c r="E370" s="1" t="s">
        <v>11</v>
      </c>
      <c r="H370" s="1">
        <v>0.0</v>
      </c>
      <c r="J370" s="1">
        <v>0.0</v>
      </c>
      <c r="N370" s="1">
        <v>0.720000029</v>
      </c>
    </row>
    <row r="371" ht="15.75" customHeight="1">
      <c r="A371" s="1" t="s">
        <v>160</v>
      </c>
      <c r="B371" s="1" t="s">
        <v>29</v>
      </c>
      <c r="C371" s="5">
        <v>45715.0</v>
      </c>
      <c r="D371" s="1" t="s">
        <v>161</v>
      </c>
      <c r="E371" s="1" t="s">
        <v>11</v>
      </c>
      <c r="F371" s="1" t="s">
        <v>165</v>
      </c>
      <c r="H371" s="1">
        <v>0.0</v>
      </c>
      <c r="I371" s="1">
        <v>0.0</v>
      </c>
      <c r="J371" s="1">
        <v>0.0</v>
      </c>
      <c r="K371" s="1">
        <v>1.0</v>
      </c>
      <c r="L371" s="1">
        <v>2.0</v>
      </c>
      <c r="M371" s="1">
        <v>0.5</v>
      </c>
      <c r="N371" s="1">
        <v>3.369999886</v>
      </c>
    </row>
    <row r="372" ht="15.75" customHeight="1">
      <c r="A372" s="1" t="s">
        <v>160</v>
      </c>
      <c r="B372" s="1" t="s">
        <v>29</v>
      </c>
      <c r="C372" s="5">
        <v>45714.0</v>
      </c>
      <c r="D372" s="1" t="s">
        <v>161</v>
      </c>
      <c r="E372" s="1" t="s">
        <v>11</v>
      </c>
      <c r="F372" s="1" t="s">
        <v>165</v>
      </c>
      <c r="H372" s="1">
        <v>0.0</v>
      </c>
      <c r="I372" s="1">
        <v>1.0</v>
      </c>
      <c r="J372" s="1">
        <v>0.0</v>
      </c>
      <c r="K372" s="1">
        <v>15.0</v>
      </c>
      <c r="L372" s="1">
        <v>19.0</v>
      </c>
      <c r="M372" s="1">
        <v>0.789473684</v>
      </c>
      <c r="N372" s="1">
        <v>12.02999973</v>
      </c>
    </row>
    <row r="373" ht="15.75" customHeight="1">
      <c r="A373" s="1" t="s">
        <v>160</v>
      </c>
      <c r="B373" s="1" t="s">
        <v>29</v>
      </c>
      <c r="C373" s="5">
        <v>45713.0</v>
      </c>
      <c r="D373" s="1" t="s">
        <v>161</v>
      </c>
      <c r="E373" s="1" t="s">
        <v>11</v>
      </c>
      <c r="F373" s="1" t="s">
        <v>165</v>
      </c>
      <c r="H373" s="1">
        <v>0.0</v>
      </c>
      <c r="I373" s="1">
        <v>0.0</v>
      </c>
      <c r="J373" s="1">
        <v>0.0</v>
      </c>
      <c r="K373" s="1">
        <v>5.0</v>
      </c>
      <c r="L373" s="1">
        <v>9.0</v>
      </c>
      <c r="M373" s="1">
        <v>0.555555556</v>
      </c>
      <c r="N373" s="1">
        <v>6.8699998860000004</v>
      </c>
    </row>
    <row r="374" ht="15.75" customHeight="1">
      <c r="A374" s="1" t="s">
        <v>160</v>
      </c>
      <c r="B374" s="1" t="s">
        <v>101</v>
      </c>
      <c r="C374" s="5">
        <v>45712.0</v>
      </c>
      <c r="D374" s="1" t="s">
        <v>161</v>
      </c>
      <c r="E374" s="1" t="s">
        <v>11</v>
      </c>
      <c r="F374" s="1" t="s">
        <v>162</v>
      </c>
      <c r="G374" s="1" t="s">
        <v>163</v>
      </c>
      <c r="H374" s="1">
        <v>1.0</v>
      </c>
      <c r="I374" s="1">
        <v>0.0</v>
      </c>
      <c r="J374" s="1">
        <v>0.0</v>
      </c>
      <c r="K374" s="1">
        <v>0.0</v>
      </c>
      <c r="L374" s="1">
        <v>2.0</v>
      </c>
      <c r="M374" s="1">
        <v>0.0</v>
      </c>
      <c r="N374" s="1">
        <v>3.420000076</v>
      </c>
    </row>
    <row r="375" ht="15.75" customHeight="1">
      <c r="A375" s="1" t="s">
        <v>160</v>
      </c>
      <c r="B375" s="1" t="s">
        <v>29</v>
      </c>
      <c r="C375" s="5">
        <v>45711.0</v>
      </c>
      <c r="D375" s="1" t="s">
        <v>161</v>
      </c>
      <c r="E375" s="1" t="s">
        <v>11</v>
      </c>
      <c r="F375" s="1" t="s">
        <v>165</v>
      </c>
      <c r="H375" s="1">
        <v>0.0</v>
      </c>
      <c r="I375" s="1">
        <v>0.0</v>
      </c>
      <c r="J375" s="1">
        <v>0.0</v>
      </c>
      <c r="K375" s="1">
        <v>0.0</v>
      </c>
      <c r="L375" s="1">
        <v>0.0</v>
      </c>
      <c r="N375" s="1">
        <v>2.25999999</v>
      </c>
    </row>
    <row r="376" ht="15.75" customHeight="1">
      <c r="A376" s="1" t="s">
        <v>160</v>
      </c>
      <c r="B376" s="1" t="s">
        <v>29</v>
      </c>
      <c r="C376" s="5">
        <v>45709.0</v>
      </c>
      <c r="D376" s="1" t="s">
        <v>161</v>
      </c>
      <c r="E376" s="1" t="s">
        <v>11</v>
      </c>
      <c r="F376" s="1" t="s">
        <v>165</v>
      </c>
      <c r="H376" s="1">
        <v>0.0</v>
      </c>
      <c r="I376" s="1">
        <v>0.0</v>
      </c>
      <c r="J376" s="1">
        <v>0.0</v>
      </c>
      <c r="K376" s="1">
        <v>0.0</v>
      </c>
      <c r="L376" s="1">
        <v>8.0</v>
      </c>
      <c r="M376" s="1">
        <v>0.0</v>
      </c>
      <c r="N376" s="1">
        <v>3.019999981</v>
      </c>
    </row>
    <row r="377" ht="15.75" customHeight="1">
      <c r="A377" s="1" t="s">
        <v>160</v>
      </c>
      <c r="B377" s="1" t="s">
        <v>184</v>
      </c>
      <c r="C377" s="5">
        <v>45709.0</v>
      </c>
      <c r="D377" s="1" t="s">
        <v>161</v>
      </c>
      <c r="E377" s="1" t="s">
        <v>11</v>
      </c>
      <c r="H377" s="1">
        <v>0.0</v>
      </c>
      <c r="J377" s="1">
        <v>0.0</v>
      </c>
      <c r="N377" s="1">
        <v>0.07</v>
      </c>
    </row>
    <row r="378" ht="15.75" customHeight="1">
      <c r="A378" s="1" t="s">
        <v>164</v>
      </c>
      <c r="B378" s="1" t="s">
        <v>179</v>
      </c>
      <c r="C378" s="5">
        <v>45709.0</v>
      </c>
      <c r="D378" s="1" t="s">
        <v>161</v>
      </c>
      <c r="E378" s="1" t="s">
        <v>11</v>
      </c>
      <c r="F378" s="1" t="s">
        <v>166</v>
      </c>
      <c r="G378" s="1" t="s">
        <v>163</v>
      </c>
      <c r="H378" s="1">
        <v>1.0</v>
      </c>
      <c r="I378" s="1">
        <v>0.0</v>
      </c>
      <c r="J378" s="1">
        <v>0.0</v>
      </c>
      <c r="K378" s="1">
        <v>0.0</v>
      </c>
      <c r="L378" s="1">
        <v>4.0</v>
      </c>
      <c r="M378" s="1">
        <v>0.0</v>
      </c>
      <c r="N378" s="1">
        <v>6.090000153</v>
      </c>
    </row>
    <row r="379" ht="15.75" customHeight="1">
      <c r="A379" s="1" t="s">
        <v>164</v>
      </c>
      <c r="B379" s="1" t="s">
        <v>100</v>
      </c>
      <c r="C379" s="5">
        <v>45709.0</v>
      </c>
      <c r="D379" s="1" t="s">
        <v>161</v>
      </c>
      <c r="E379" s="1" t="s">
        <v>11</v>
      </c>
      <c r="F379" s="1" t="s">
        <v>171</v>
      </c>
      <c r="H379" s="1">
        <v>0.0</v>
      </c>
      <c r="I379" s="1">
        <v>0.0</v>
      </c>
      <c r="J379" s="1">
        <v>0.0</v>
      </c>
      <c r="K379" s="1">
        <v>0.0</v>
      </c>
      <c r="L379" s="1">
        <v>0.0</v>
      </c>
      <c r="N379" s="1">
        <v>2.900000095</v>
      </c>
    </row>
    <row r="380" ht="15.75" customHeight="1">
      <c r="A380" s="1" t="s">
        <v>180</v>
      </c>
      <c r="B380" s="1" t="s">
        <v>185</v>
      </c>
      <c r="C380" s="5">
        <v>45709.0</v>
      </c>
      <c r="D380" s="1" t="s">
        <v>161</v>
      </c>
      <c r="E380" s="1" t="s">
        <v>11</v>
      </c>
      <c r="H380" s="1">
        <v>0.0</v>
      </c>
      <c r="J380" s="1">
        <v>0.0</v>
      </c>
      <c r="N380" s="1">
        <v>0.439999998</v>
      </c>
    </row>
    <row r="381" ht="15.75" customHeight="1">
      <c r="A381" s="1" t="s">
        <v>160</v>
      </c>
      <c r="B381" s="1" t="s">
        <v>26</v>
      </c>
      <c r="C381" s="5">
        <v>45708.0</v>
      </c>
      <c r="D381" s="1" t="s">
        <v>161</v>
      </c>
      <c r="E381" s="1" t="s">
        <v>11</v>
      </c>
      <c r="F381" s="1" t="s">
        <v>162</v>
      </c>
      <c r="H381" s="1">
        <v>0.0</v>
      </c>
      <c r="I381" s="1">
        <v>0.0</v>
      </c>
      <c r="J381" s="1">
        <v>0.0</v>
      </c>
      <c r="K381" s="1">
        <v>5.0</v>
      </c>
      <c r="L381" s="1">
        <v>9.0</v>
      </c>
      <c r="M381" s="1">
        <v>0.555555556</v>
      </c>
      <c r="N381" s="1">
        <v>10.97000027</v>
      </c>
    </row>
    <row r="382" ht="15.75" customHeight="1">
      <c r="A382" s="1" t="s">
        <v>160</v>
      </c>
      <c r="B382" s="1" t="s">
        <v>29</v>
      </c>
      <c r="C382" s="5">
        <v>45708.0</v>
      </c>
      <c r="D382" s="1" t="s">
        <v>161</v>
      </c>
      <c r="E382" s="1" t="s">
        <v>11</v>
      </c>
      <c r="F382" s="1" t="s">
        <v>165</v>
      </c>
      <c r="G382" s="1" t="s">
        <v>172</v>
      </c>
      <c r="H382" s="1">
        <v>1.0</v>
      </c>
      <c r="I382" s="1">
        <v>2.0</v>
      </c>
      <c r="J382" s="1">
        <v>0.0</v>
      </c>
      <c r="K382" s="1">
        <v>24.0</v>
      </c>
      <c r="L382" s="1">
        <v>25.0</v>
      </c>
      <c r="M382" s="1">
        <v>0.96</v>
      </c>
      <c r="N382" s="1">
        <v>4.349999905</v>
      </c>
    </row>
    <row r="383" ht="15.75" customHeight="1">
      <c r="A383" s="1" t="s">
        <v>160</v>
      </c>
      <c r="B383" s="1" t="s">
        <v>95</v>
      </c>
      <c r="C383" s="5">
        <v>45708.0</v>
      </c>
      <c r="D383" s="1" t="s">
        <v>161</v>
      </c>
      <c r="E383" s="1" t="s">
        <v>11</v>
      </c>
      <c r="F383" s="1" t="s">
        <v>165</v>
      </c>
      <c r="G383" s="1" t="s">
        <v>163</v>
      </c>
      <c r="H383" s="1">
        <v>1.0</v>
      </c>
      <c r="I383" s="1">
        <v>0.0</v>
      </c>
      <c r="J383" s="1">
        <v>0.0</v>
      </c>
      <c r="K383" s="1">
        <v>1.0</v>
      </c>
      <c r="L383" s="1">
        <v>3.0</v>
      </c>
      <c r="M383" s="1">
        <v>0.333333333</v>
      </c>
      <c r="N383" s="1">
        <v>3.460000038</v>
      </c>
    </row>
    <row r="384" ht="15.75" customHeight="1">
      <c r="A384" s="1" t="s">
        <v>160</v>
      </c>
      <c r="B384" s="1" t="s">
        <v>101</v>
      </c>
      <c r="C384" s="5">
        <v>45708.0</v>
      </c>
      <c r="D384" s="1" t="s">
        <v>161</v>
      </c>
      <c r="E384" s="1" t="s">
        <v>11</v>
      </c>
      <c r="F384" s="1" t="s">
        <v>162</v>
      </c>
      <c r="H384" s="1">
        <v>0.0</v>
      </c>
      <c r="I384" s="1">
        <v>0.0</v>
      </c>
      <c r="J384" s="1">
        <v>0.0</v>
      </c>
      <c r="K384" s="1">
        <v>0.0</v>
      </c>
      <c r="L384" s="1">
        <v>0.0</v>
      </c>
      <c r="N384" s="1">
        <v>0.779999971</v>
      </c>
    </row>
    <row r="385" ht="15.75" customHeight="1">
      <c r="A385" s="1" t="s">
        <v>164</v>
      </c>
      <c r="B385" s="1" t="s">
        <v>64</v>
      </c>
      <c r="C385" s="5">
        <v>45708.0</v>
      </c>
      <c r="D385" s="1" t="s">
        <v>161</v>
      </c>
      <c r="E385" s="1" t="s">
        <v>11</v>
      </c>
      <c r="F385" s="1" t="s">
        <v>166</v>
      </c>
      <c r="G385" s="1" t="s">
        <v>163</v>
      </c>
      <c r="H385" s="1">
        <v>1.0</v>
      </c>
      <c r="I385" s="1">
        <v>0.0</v>
      </c>
      <c r="J385" s="1">
        <v>0.0</v>
      </c>
      <c r="K385" s="1">
        <v>1.0</v>
      </c>
      <c r="L385" s="1">
        <v>1.0</v>
      </c>
      <c r="M385" s="1">
        <v>1.0</v>
      </c>
      <c r="N385" s="1">
        <v>6.550000191</v>
      </c>
    </row>
    <row r="386" ht="15.75" customHeight="1">
      <c r="A386" s="1" t="s">
        <v>164</v>
      </c>
      <c r="B386" s="1" t="s">
        <v>60</v>
      </c>
      <c r="C386" s="5">
        <v>45708.0</v>
      </c>
      <c r="D386" s="1" t="s">
        <v>161</v>
      </c>
      <c r="E386" s="1" t="s">
        <v>11</v>
      </c>
      <c r="H386" s="1">
        <v>0.0</v>
      </c>
      <c r="J386" s="1">
        <v>0.0</v>
      </c>
      <c r="N386" s="1">
        <v>0.02</v>
      </c>
    </row>
    <row r="387" ht="15.75" customHeight="1">
      <c r="A387" s="1" t="s">
        <v>164</v>
      </c>
      <c r="B387" s="1" t="s">
        <v>100</v>
      </c>
      <c r="C387" s="5">
        <v>45708.0</v>
      </c>
      <c r="D387" s="1" t="s">
        <v>161</v>
      </c>
      <c r="E387" s="1" t="s">
        <v>11</v>
      </c>
      <c r="F387" s="1" t="s">
        <v>171</v>
      </c>
      <c r="G387" s="1" t="s">
        <v>163</v>
      </c>
      <c r="H387" s="1">
        <v>1.0</v>
      </c>
      <c r="I387" s="1">
        <v>0.0</v>
      </c>
      <c r="J387" s="1">
        <v>0.0</v>
      </c>
      <c r="K387" s="1">
        <v>0.0</v>
      </c>
      <c r="L387" s="1">
        <v>1.0</v>
      </c>
      <c r="M387" s="1">
        <v>0.0</v>
      </c>
      <c r="N387" s="1">
        <v>2.5599999430000002</v>
      </c>
    </row>
    <row r="388" ht="15.75" customHeight="1">
      <c r="A388" s="1" t="s">
        <v>160</v>
      </c>
      <c r="B388" s="1" t="s">
        <v>29</v>
      </c>
      <c r="C388" s="5">
        <v>45707.0</v>
      </c>
      <c r="D388" s="1" t="s">
        <v>161</v>
      </c>
      <c r="E388" s="1" t="s">
        <v>11</v>
      </c>
      <c r="F388" s="1" t="s">
        <v>165</v>
      </c>
      <c r="G388" s="1" t="s">
        <v>172</v>
      </c>
      <c r="H388" s="1">
        <v>1.0</v>
      </c>
      <c r="I388" s="1">
        <v>0.0</v>
      </c>
      <c r="J388" s="1">
        <v>0.0</v>
      </c>
      <c r="K388" s="1">
        <v>2.0</v>
      </c>
      <c r="L388" s="1">
        <v>8.0</v>
      </c>
      <c r="M388" s="1">
        <v>0.25</v>
      </c>
      <c r="N388" s="1">
        <v>33.45999908</v>
      </c>
    </row>
    <row r="389" ht="15.75" customHeight="1">
      <c r="A389" s="1" t="s">
        <v>160</v>
      </c>
      <c r="B389" s="1" t="s">
        <v>65</v>
      </c>
      <c r="C389" s="5">
        <v>45707.0</v>
      </c>
      <c r="D389" s="1" t="s">
        <v>161</v>
      </c>
      <c r="E389" s="1" t="s">
        <v>11</v>
      </c>
      <c r="F389" s="1" t="s">
        <v>162</v>
      </c>
      <c r="G389" s="1" t="s">
        <v>163</v>
      </c>
      <c r="H389" s="1">
        <v>1.0</v>
      </c>
      <c r="I389" s="1">
        <v>0.0</v>
      </c>
      <c r="J389" s="1">
        <v>0.0</v>
      </c>
      <c r="K389" s="1">
        <v>1.0</v>
      </c>
      <c r="L389" s="1">
        <v>4.0</v>
      </c>
      <c r="M389" s="1">
        <v>0.25</v>
      </c>
      <c r="N389" s="1">
        <v>17.36000061</v>
      </c>
    </row>
    <row r="390" ht="15.75" customHeight="1">
      <c r="A390" s="1" t="s">
        <v>160</v>
      </c>
      <c r="B390" s="1" t="s">
        <v>77</v>
      </c>
      <c r="C390" s="5">
        <v>45707.0</v>
      </c>
      <c r="D390" s="1" t="s">
        <v>161</v>
      </c>
      <c r="E390" s="1" t="s">
        <v>11</v>
      </c>
      <c r="F390" s="1" t="s">
        <v>162</v>
      </c>
      <c r="H390" s="1">
        <v>0.0</v>
      </c>
      <c r="I390" s="1">
        <v>0.0</v>
      </c>
      <c r="J390" s="1">
        <v>0.0</v>
      </c>
      <c r="K390" s="1">
        <v>1.0</v>
      </c>
      <c r="L390" s="1">
        <v>2.0</v>
      </c>
      <c r="M390" s="1">
        <v>0.5</v>
      </c>
      <c r="N390" s="1">
        <v>18.95999908</v>
      </c>
    </row>
    <row r="391" ht="15.75" customHeight="1">
      <c r="A391" s="1" t="s">
        <v>160</v>
      </c>
      <c r="B391" s="1" t="s">
        <v>90</v>
      </c>
      <c r="C391" s="5">
        <v>45707.0</v>
      </c>
      <c r="D391" s="1" t="s">
        <v>161</v>
      </c>
      <c r="E391" s="1" t="s">
        <v>11</v>
      </c>
      <c r="F391" s="1" t="s">
        <v>165</v>
      </c>
      <c r="H391" s="1">
        <v>0.0</v>
      </c>
      <c r="I391" s="1">
        <v>0.0</v>
      </c>
      <c r="J391" s="1">
        <v>0.0</v>
      </c>
      <c r="K391" s="1">
        <v>1.0</v>
      </c>
      <c r="L391" s="1">
        <v>3.0</v>
      </c>
      <c r="M391" s="1">
        <v>0.333333333</v>
      </c>
      <c r="N391" s="1">
        <v>0.119999997</v>
      </c>
    </row>
    <row r="392" ht="15.75" customHeight="1">
      <c r="A392" s="1" t="s">
        <v>164</v>
      </c>
      <c r="B392" s="1" t="s">
        <v>60</v>
      </c>
      <c r="C392" s="5">
        <v>45707.0</v>
      </c>
      <c r="D392" s="1" t="s">
        <v>161</v>
      </c>
      <c r="E392" s="1" t="s">
        <v>11</v>
      </c>
      <c r="F392" s="1" t="s">
        <v>166</v>
      </c>
      <c r="H392" s="1">
        <v>0.0</v>
      </c>
      <c r="I392" s="1">
        <v>0.0</v>
      </c>
      <c r="J392" s="1">
        <v>0.0</v>
      </c>
      <c r="K392" s="1">
        <v>1.0</v>
      </c>
      <c r="L392" s="1">
        <v>3.0</v>
      </c>
      <c r="M392" s="1">
        <v>0.333333333</v>
      </c>
      <c r="N392" s="1">
        <v>16.92000008</v>
      </c>
    </row>
    <row r="393" ht="15.75" customHeight="1">
      <c r="A393" s="1" t="s">
        <v>164</v>
      </c>
      <c r="B393" s="1" t="s">
        <v>63</v>
      </c>
      <c r="C393" s="5">
        <v>45707.0</v>
      </c>
      <c r="D393" s="1" t="s">
        <v>161</v>
      </c>
      <c r="E393" s="1" t="s">
        <v>11</v>
      </c>
      <c r="F393" s="1" t="s">
        <v>166</v>
      </c>
      <c r="H393" s="1">
        <v>0.0</v>
      </c>
      <c r="I393" s="1">
        <v>0.0</v>
      </c>
      <c r="J393" s="1">
        <v>0.0</v>
      </c>
      <c r="K393" s="1">
        <v>0.0</v>
      </c>
      <c r="L393" s="1">
        <v>1.0</v>
      </c>
      <c r="M393" s="1">
        <v>0.0</v>
      </c>
      <c r="N393" s="1">
        <v>19.15999985</v>
      </c>
    </row>
    <row r="394" ht="15.75" customHeight="1">
      <c r="A394" s="1" t="s">
        <v>164</v>
      </c>
      <c r="B394" s="1" t="s">
        <v>68</v>
      </c>
      <c r="C394" s="5">
        <v>45707.0</v>
      </c>
      <c r="D394" s="1" t="s">
        <v>161</v>
      </c>
      <c r="E394" s="1" t="s">
        <v>11</v>
      </c>
      <c r="F394" s="1" t="s">
        <v>165</v>
      </c>
      <c r="H394" s="1">
        <v>0.0</v>
      </c>
      <c r="I394" s="1">
        <v>0.0</v>
      </c>
      <c r="J394" s="1">
        <v>0.0</v>
      </c>
      <c r="K394" s="1">
        <v>2.0</v>
      </c>
      <c r="L394" s="1">
        <v>2.0</v>
      </c>
      <c r="M394" s="1">
        <v>1.0</v>
      </c>
      <c r="N394" s="1">
        <v>10.11999989</v>
      </c>
    </row>
    <row r="395" ht="15.75" customHeight="1">
      <c r="A395" s="1" t="s">
        <v>164</v>
      </c>
      <c r="B395" s="1" t="s">
        <v>74</v>
      </c>
      <c r="C395" s="5">
        <v>45707.0</v>
      </c>
      <c r="D395" s="1" t="s">
        <v>161</v>
      </c>
      <c r="E395" s="1" t="s">
        <v>11</v>
      </c>
      <c r="F395" s="1" t="s">
        <v>166</v>
      </c>
      <c r="G395" s="1" t="s">
        <v>163</v>
      </c>
      <c r="H395" s="1">
        <v>1.0</v>
      </c>
      <c r="I395" s="1">
        <v>0.0</v>
      </c>
      <c r="J395" s="1">
        <v>0.0</v>
      </c>
      <c r="K395" s="1">
        <v>1.0</v>
      </c>
      <c r="L395" s="1">
        <v>3.0</v>
      </c>
      <c r="M395" s="1">
        <v>0.333333333</v>
      </c>
      <c r="N395" s="1">
        <v>0.0</v>
      </c>
    </row>
    <row r="396" ht="15.75" customHeight="1">
      <c r="A396" s="1" t="s">
        <v>164</v>
      </c>
      <c r="B396" s="1" t="s">
        <v>74</v>
      </c>
      <c r="C396" s="5">
        <v>45707.0</v>
      </c>
      <c r="D396" s="1" t="s">
        <v>161</v>
      </c>
      <c r="E396" s="1" t="s">
        <v>11</v>
      </c>
      <c r="F396" s="1" t="s">
        <v>171</v>
      </c>
      <c r="G396" s="1" t="s">
        <v>163</v>
      </c>
      <c r="H396" s="1">
        <v>1.0</v>
      </c>
      <c r="I396" s="1">
        <v>0.0</v>
      </c>
      <c r="J396" s="1">
        <v>0.0</v>
      </c>
      <c r="K396" s="1">
        <v>11.0</v>
      </c>
      <c r="L396" s="1">
        <v>20.0</v>
      </c>
      <c r="M396" s="1">
        <v>0.55</v>
      </c>
      <c r="N396" s="1">
        <v>34.20000076</v>
      </c>
    </row>
    <row r="397" ht="15.75" customHeight="1">
      <c r="A397" s="1" t="s">
        <v>164</v>
      </c>
      <c r="B397" s="1" t="s">
        <v>75</v>
      </c>
      <c r="C397" s="5">
        <v>45707.0</v>
      </c>
      <c r="D397" s="1" t="s">
        <v>161</v>
      </c>
      <c r="E397" s="1" t="s">
        <v>11</v>
      </c>
      <c r="F397" s="1" t="s">
        <v>165</v>
      </c>
      <c r="G397" s="1" t="s">
        <v>163</v>
      </c>
      <c r="H397" s="1">
        <v>1.0</v>
      </c>
      <c r="I397" s="1">
        <v>0.0</v>
      </c>
      <c r="J397" s="1">
        <v>0.0</v>
      </c>
      <c r="K397" s="1">
        <v>0.0</v>
      </c>
      <c r="L397" s="1">
        <v>2.0</v>
      </c>
      <c r="M397" s="1">
        <v>0.0</v>
      </c>
      <c r="N397" s="1">
        <v>21.57999992</v>
      </c>
    </row>
    <row r="398" ht="15.75" customHeight="1">
      <c r="A398" s="1" t="s">
        <v>160</v>
      </c>
      <c r="B398" s="1" t="s">
        <v>29</v>
      </c>
      <c r="C398" s="5">
        <v>45706.0</v>
      </c>
      <c r="D398" s="1" t="s">
        <v>161</v>
      </c>
      <c r="E398" s="1" t="s">
        <v>11</v>
      </c>
      <c r="F398" s="1" t="s">
        <v>165</v>
      </c>
      <c r="H398" s="1">
        <v>0.0</v>
      </c>
      <c r="I398" s="1">
        <v>1.0</v>
      </c>
      <c r="J398" s="1">
        <v>0.0</v>
      </c>
      <c r="K398" s="1">
        <v>20.0</v>
      </c>
      <c r="L398" s="1">
        <v>25.0</v>
      </c>
      <c r="M398" s="1">
        <v>0.8</v>
      </c>
      <c r="N398" s="1">
        <v>17.59000015</v>
      </c>
    </row>
    <row r="399" ht="15.75" customHeight="1">
      <c r="A399" s="1" t="s">
        <v>160</v>
      </c>
      <c r="B399" s="1" t="s">
        <v>39</v>
      </c>
      <c r="C399" s="5">
        <v>45706.0</v>
      </c>
      <c r="D399" s="1" t="s">
        <v>161</v>
      </c>
      <c r="E399" s="1" t="s">
        <v>11</v>
      </c>
      <c r="F399" s="1" t="s">
        <v>166</v>
      </c>
      <c r="H399" s="1">
        <v>0.0</v>
      </c>
      <c r="I399" s="1">
        <v>0.0</v>
      </c>
      <c r="J399" s="1">
        <v>0.0</v>
      </c>
      <c r="K399" s="1">
        <v>0.0</v>
      </c>
      <c r="L399" s="1">
        <v>0.0</v>
      </c>
      <c r="N399" s="1">
        <v>2.339999914</v>
      </c>
    </row>
    <row r="400" ht="15.75" customHeight="1">
      <c r="A400" s="1" t="s">
        <v>160</v>
      </c>
      <c r="B400" s="1" t="s">
        <v>77</v>
      </c>
      <c r="C400" s="5">
        <v>45706.0</v>
      </c>
      <c r="D400" s="1" t="s">
        <v>161</v>
      </c>
      <c r="E400" s="1" t="s">
        <v>11</v>
      </c>
      <c r="F400" s="1" t="s">
        <v>162</v>
      </c>
      <c r="G400" s="1" t="s">
        <v>163</v>
      </c>
      <c r="H400" s="1">
        <v>1.0</v>
      </c>
      <c r="I400" s="1">
        <v>0.0</v>
      </c>
      <c r="J400" s="1">
        <v>0.0</v>
      </c>
      <c r="K400" s="1">
        <v>2.0</v>
      </c>
      <c r="L400" s="1">
        <v>2.0</v>
      </c>
      <c r="M400" s="1">
        <v>1.0</v>
      </c>
      <c r="N400" s="1">
        <v>4.1199998860000004</v>
      </c>
    </row>
    <row r="401" ht="15.75" customHeight="1">
      <c r="A401" s="1" t="s">
        <v>160</v>
      </c>
      <c r="B401" s="1" t="s">
        <v>90</v>
      </c>
      <c r="C401" s="5">
        <v>45706.0</v>
      </c>
      <c r="D401" s="1" t="s">
        <v>161</v>
      </c>
      <c r="E401" s="1" t="s">
        <v>11</v>
      </c>
      <c r="H401" s="1">
        <v>0.0</v>
      </c>
      <c r="J401" s="1">
        <v>0.0</v>
      </c>
      <c r="N401" s="1">
        <v>4.28000021</v>
      </c>
    </row>
    <row r="402" ht="15.75" customHeight="1">
      <c r="A402" s="1" t="s">
        <v>164</v>
      </c>
      <c r="B402" s="1" t="s">
        <v>60</v>
      </c>
      <c r="C402" s="5">
        <v>45706.0</v>
      </c>
      <c r="D402" s="1" t="s">
        <v>161</v>
      </c>
      <c r="E402" s="1" t="s">
        <v>11</v>
      </c>
      <c r="F402" s="1" t="s">
        <v>166</v>
      </c>
      <c r="H402" s="1">
        <v>0.0</v>
      </c>
      <c r="I402" s="1">
        <v>0.0</v>
      </c>
      <c r="J402" s="1">
        <v>0.0</v>
      </c>
      <c r="K402" s="1">
        <v>0.0</v>
      </c>
      <c r="L402" s="1">
        <v>0.0</v>
      </c>
      <c r="N402" s="1">
        <v>2.640000105</v>
      </c>
    </row>
    <row r="403" ht="15.75" customHeight="1">
      <c r="A403" s="1" t="s">
        <v>164</v>
      </c>
      <c r="B403" s="1" t="s">
        <v>63</v>
      </c>
      <c r="C403" s="5">
        <v>45706.0</v>
      </c>
      <c r="D403" s="1" t="s">
        <v>161</v>
      </c>
      <c r="E403" s="1" t="s">
        <v>11</v>
      </c>
      <c r="H403" s="1">
        <v>0.0</v>
      </c>
      <c r="J403" s="1">
        <v>0.0</v>
      </c>
      <c r="N403" s="1">
        <v>2.519999981</v>
      </c>
    </row>
    <row r="404" ht="15.75" customHeight="1">
      <c r="A404" s="1" t="s">
        <v>164</v>
      </c>
      <c r="B404" s="1" t="s">
        <v>68</v>
      </c>
      <c r="C404" s="5">
        <v>45706.0</v>
      </c>
      <c r="D404" s="1" t="s">
        <v>161</v>
      </c>
      <c r="E404" s="1" t="s">
        <v>11</v>
      </c>
      <c r="F404" s="1" t="s">
        <v>165</v>
      </c>
      <c r="G404" s="1" t="s">
        <v>163</v>
      </c>
      <c r="H404" s="1">
        <v>1.0</v>
      </c>
      <c r="I404" s="1">
        <v>0.0</v>
      </c>
      <c r="J404" s="1">
        <v>0.0</v>
      </c>
      <c r="K404" s="1">
        <v>1.0</v>
      </c>
      <c r="L404" s="1">
        <v>1.0</v>
      </c>
      <c r="M404" s="1">
        <v>1.0</v>
      </c>
      <c r="N404" s="1">
        <v>0.079999998</v>
      </c>
    </row>
    <row r="405" ht="15.75" customHeight="1">
      <c r="A405" s="1" t="s">
        <v>164</v>
      </c>
      <c r="B405" s="1" t="s">
        <v>74</v>
      </c>
      <c r="C405" s="5">
        <v>45706.0</v>
      </c>
      <c r="D405" s="1" t="s">
        <v>161</v>
      </c>
      <c r="E405" s="1" t="s">
        <v>11</v>
      </c>
      <c r="H405" s="1">
        <v>0.0</v>
      </c>
      <c r="J405" s="1">
        <v>0.0</v>
      </c>
      <c r="N405" s="1">
        <v>2.470000029</v>
      </c>
    </row>
    <row r="406" ht="15.75" customHeight="1">
      <c r="A406" s="1" t="s">
        <v>164</v>
      </c>
      <c r="B406" s="1" t="s">
        <v>75</v>
      </c>
      <c r="C406" s="5">
        <v>45706.0</v>
      </c>
      <c r="D406" s="1" t="s">
        <v>161</v>
      </c>
      <c r="E406" s="1" t="s">
        <v>11</v>
      </c>
      <c r="F406" s="1" t="s">
        <v>165</v>
      </c>
      <c r="G406" s="1" t="s">
        <v>163</v>
      </c>
      <c r="H406" s="1">
        <v>1.0</v>
      </c>
      <c r="I406" s="1">
        <v>1.0</v>
      </c>
      <c r="J406" s="1">
        <v>0.0</v>
      </c>
      <c r="K406" s="1">
        <v>643.0</v>
      </c>
      <c r="L406" s="1">
        <v>664.0</v>
      </c>
      <c r="M406" s="1">
        <v>0.968373494</v>
      </c>
      <c r="N406" s="1">
        <v>93.86000061</v>
      </c>
    </row>
    <row r="407" ht="15.75" customHeight="1">
      <c r="A407" s="1" t="s">
        <v>164</v>
      </c>
      <c r="B407" s="1" t="s">
        <v>100</v>
      </c>
      <c r="C407" s="5">
        <v>45706.0</v>
      </c>
      <c r="D407" s="1" t="s">
        <v>161</v>
      </c>
      <c r="E407" s="1" t="s">
        <v>11</v>
      </c>
      <c r="F407" s="1" t="s">
        <v>171</v>
      </c>
      <c r="H407" s="1">
        <v>0.0</v>
      </c>
      <c r="I407" s="1">
        <v>0.0</v>
      </c>
      <c r="J407" s="1">
        <v>0.0</v>
      </c>
      <c r="K407" s="1">
        <v>0.0</v>
      </c>
      <c r="L407" s="1">
        <v>0.0</v>
      </c>
      <c r="N407" s="1">
        <v>0.99000001</v>
      </c>
    </row>
    <row r="408" ht="15.75" customHeight="1">
      <c r="A408" s="1" t="s">
        <v>164</v>
      </c>
      <c r="B408" s="1" t="s">
        <v>24</v>
      </c>
      <c r="C408" s="5">
        <v>45705.0</v>
      </c>
      <c r="D408" s="1" t="s">
        <v>161</v>
      </c>
      <c r="E408" s="1" t="s">
        <v>11</v>
      </c>
      <c r="F408" s="1" t="s">
        <v>166</v>
      </c>
      <c r="G408" s="1" t="s">
        <v>163</v>
      </c>
      <c r="H408" s="1">
        <v>1.0</v>
      </c>
      <c r="I408" s="1">
        <v>0.0</v>
      </c>
      <c r="J408" s="1">
        <v>0.0</v>
      </c>
      <c r="K408" s="1">
        <v>1.0</v>
      </c>
      <c r="L408" s="1">
        <v>1.0</v>
      </c>
      <c r="M408" s="1">
        <v>1.0</v>
      </c>
      <c r="N408" s="1">
        <v>3.109999895</v>
      </c>
    </row>
    <row r="409" ht="15.75" customHeight="1">
      <c r="A409" s="1" t="s">
        <v>164</v>
      </c>
      <c r="B409" s="1" t="s">
        <v>52</v>
      </c>
      <c r="C409" s="5">
        <v>45705.0</v>
      </c>
      <c r="D409" s="1" t="s">
        <v>161</v>
      </c>
      <c r="E409" s="1" t="s">
        <v>11</v>
      </c>
      <c r="H409" s="1">
        <v>0.0</v>
      </c>
      <c r="J409" s="1">
        <v>0.0</v>
      </c>
      <c r="N409" s="1">
        <v>0.050000001</v>
      </c>
    </row>
    <row r="410" ht="15.75" customHeight="1">
      <c r="A410" s="1" t="s">
        <v>164</v>
      </c>
      <c r="B410" s="1" t="s">
        <v>68</v>
      </c>
      <c r="C410" s="5">
        <v>45705.0</v>
      </c>
      <c r="D410" s="1" t="s">
        <v>161</v>
      </c>
      <c r="E410" s="1" t="s">
        <v>11</v>
      </c>
      <c r="H410" s="1">
        <v>0.0</v>
      </c>
      <c r="J410" s="1">
        <v>0.0</v>
      </c>
      <c r="N410" s="1">
        <v>0.02</v>
      </c>
    </row>
    <row r="411" ht="15.75" customHeight="1">
      <c r="A411" s="1" t="s">
        <v>164</v>
      </c>
      <c r="B411" s="1" t="s">
        <v>100</v>
      </c>
      <c r="C411" s="5">
        <v>45705.0</v>
      </c>
      <c r="D411" s="1" t="s">
        <v>161</v>
      </c>
      <c r="E411" s="1" t="s">
        <v>11</v>
      </c>
      <c r="F411" s="1" t="s">
        <v>171</v>
      </c>
      <c r="H411" s="1">
        <v>0.0</v>
      </c>
      <c r="I411" s="1">
        <v>0.0</v>
      </c>
      <c r="J411" s="1">
        <v>0.0</v>
      </c>
      <c r="K411" s="1">
        <v>0.0</v>
      </c>
      <c r="L411" s="1">
        <v>0.0</v>
      </c>
      <c r="N411" s="1">
        <v>0.170000002</v>
      </c>
    </row>
    <row r="412" ht="15.75" customHeight="1">
      <c r="A412" s="1" t="s">
        <v>164</v>
      </c>
      <c r="B412" s="1" t="s">
        <v>82</v>
      </c>
      <c r="C412" s="5">
        <v>45705.0</v>
      </c>
      <c r="D412" s="1" t="s">
        <v>161</v>
      </c>
      <c r="E412" s="1" t="s">
        <v>11</v>
      </c>
      <c r="F412" s="1" t="s">
        <v>166</v>
      </c>
      <c r="G412" s="1" t="s">
        <v>163</v>
      </c>
      <c r="H412" s="1">
        <v>1.0</v>
      </c>
      <c r="I412" s="1">
        <v>0.0</v>
      </c>
      <c r="J412" s="1">
        <v>0.0</v>
      </c>
      <c r="K412" s="1">
        <v>2.0</v>
      </c>
      <c r="L412" s="1">
        <v>6.0</v>
      </c>
      <c r="M412" s="1">
        <v>0.333333333</v>
      </c>
      <c r="N412" s="1">
        <v>5.8800001139999996</v>
      </c>
    </row>
    <row r="413" ht="15.75" customHeight="1">
      <c r="A413" s="1" t="s">
        <v>160</v>
      </c>
      <c r="B413" s="1" t="s">
        <v>46</v>
      </c>
      <c r="C413" s="5">
        <v>45703.0</v>
      </c>
      <c r="D413" s="1" t="s">
        <v>161</v>
      </c>
      <c r="E413" s="1" t="s">
        <v>11</v>
      </c>
      <c r="F413" s="1" t="s">
        <v>162</v>
      </c>
      <c r="H413" s="1">
        <v>0.0</v>
      </c>
      <c r="I413" s="1">
        <v>0.0</v>
      </c>
      <c r="J413" s="1">
        <v>0.0</v>
      </c>
      <c r="K413" s="1">
        <v>0.0</v>
      </c>
      <c r="L413" s="1">
        <v>0.0</v>
      </c>
      <c r="N413" s="1">
        <v>0.860000014</v>
      </c>
    </row>
    <row r="414" ht="15.75" customHeight="1">
      <c r="A414" s="1" t="s">
        <v>160</v>
      </c>
      <c r="B414" s="1" t="s">
        <v>109</v>
      </c>
      <c r="C414" s="5">
        <v>45703.0</v>
      </c>
      <c r="D414" s="1" t="s">
        <v>161</v>
      </c>
      <c r="E414" s="1" t="s">
        <v>11</v>
      </c>
      <c r="F414" s="1" t="s">
        <v>162</v>
      </c>
      <c r="H414" s="1">
        <v>0.0</v>
      </c>
      <c r="I414" s="1">
        <v>0.0</v>
      </c>
      <c r="J414" s="1">
        <v>0.0</v>
      </c>
      <c r="K414" s="1">
        <v>3.0</v>
      </c>
      <c r="L414" s="1">
        <v>5.0</v>
      </c>
      <c r="M414" s="1">
        <v>0.6</v>
      </c>
      <c r="N414" s="1">
        <v>14.97000027</v>
      </c>
    </row>
    <row r="415" ht="15.75" customHeight="1">
      <c r="A415" s="1" t="s">
        <v>164</v>
      </c>
      <c r="B415" s="1" t="s">
        <v>183</v>
      </c>
      <c r="C415" s="5">
        <v>45703.0</v>
      </c>
      <c r="D415" s="1" t="s">
        <v>161</v>
      </c>
      <c r="E415" s="1" t="s">
        <v>11</v>
      </c>
      <c r="F415" s="1" t="s">
        <v>166</v>
      </c>
      <c r="G415" s="1" t="s">
        <v>163</v>
      </c>
      <c r="H415" s="1">
        <v>1.0</v>
      </c>
      <c r="I415" s="1">
        <v>0.0</v>
      </c>
      <c r="J415" s="1">
        <v>0.0</v>
      </c>
      <c r="K415" s="1">
        <v>3.0</v>
      </c>
      <c r="L415" s="1">
        <v>7.0</v>
      </c>
      <c r="M415" s="1">
        <v>0.428571429</v>
      </c>
      <c r="N415" s="1">
        <v>5.570000172</v>
      </c>
    </row>
    <row r="416" ht="15.75" customHeight="1">
      <c r="A416" s="1" t="s">
        <v>160</v>
      </c>
      <c r="B416" s="1" t="s">
        <v>20</v>
      </c>
      <c r="C416" s="5">
        <v>45702.0</v>
      </c>
      <c r="D416" s="1" t="s">
        <v>161</v>
      </c>
      <c r="E416" s="1" t="s">
        <v>11</v>
      </c>
      <c r="H416" s="1">
        <v>0.0</v>
      </c>
      <c r="J416" s="1">
        <v>0.0</v>
      </c>
      <c r="N416" s="1">
        <v>0.25</v>
      </c>
    </row>
    <row r="417" ht="15.75" customHeight="1">
      <c r="A417" s="1" t="s">
        <v>160</v>
      </c>
      <c r="B417" s="1" t="s">
        <v>53</v>
      </c>
      <c r="C417" s="5">
        <v>45702.0</v>
      </c>
      <c r="D417" s="1" t="s">
        <v>161</v>
      </c>
      <c r="E417" s="1" t="s">
        <v>11</v>
      </c>
      <c r="F417" s="1" t="s">
        <v>165</v>
      </c>
      <c r="H417" s="1">
        <v>0.0</v>
      </c>
      <c r="I417" s="1">
        <v>0.0</v>
      </c>
      <c r="J417" s="1">
        <v>0.0</v>
      </c>
      <c r="K417" s="1">
        <v>0.0</v>
      </c>
      <c r="L417" s="1">
        <v>0.0</v>
      </c>
      <c r="N417" s="1">
        <v>1.25</v>
      </c>
    </row>
    <row r="418" ht="15.75" customHeight="1">
      <c r="A418" s="1" t="s">
        <v>160</v>
      </c>
      <c r="B418" s="1" t="s">
        <v>186</v>
      </c>
      <c r="C418" s="5">
        <v>45702.0</v>
      </c>
      <c r="D418" s="1" t="s">
        <v>161</v>
      </c>
      <c r="E418" s="1" t="s">
        <v>11</v>
      </c>
      <c r="F418" s="1" t="s">
        <v>162</v>
      </c>
      <c r="H418" s="1">
        <v>0.0</v>
      </c>
      <c r="I418" s="1">
        <v>0.0</v>
      </c>
      <c r="J418" s="1">
        <v>0.0</v>
      </c>
      <c r="K418" s="1">
        <v>0.0</v>
      </c>
      <c r="L418" s="1">
        <v>0.0</v>
      </c>
      <c r="N418" s="1">
        <v>0.0</v>
      </c>
    </row>
    <row r="419" ht="15.75" customHeight="1">
      <c r="A419" s="1" t="s">
        <v>160</v>
      </c>
      <c r="B419" s="1" t="s">
        <v>186</v>
      </c>
      <c r="C419" s="5">
        <v>45702.0</v>
      </c>
      <c r="D419" s="1" t="s">
        <v>161</v>
      </c>
      <c r="E419" s="1" t="s">
        <v>11</v>
      </c>
      <c r="F419" s="1" t="s">
        <v>166</v>
      </c>
      <c r="H419" s="1">
        <v>0.0</v>
      </c>
      <c r="I419" s="1">
        <v>1.0</v>
      </c>
      <c r="J419" s="1">
        <v>0.0</v>
      </c>
      <c r="K419" s="1">
        <v>13.0</v>
      </c>
      <c r="L419" s="1">
        <v>18.0</v>
      </c>
      <c r="M419" s="1">
        <v>0.722222222</v>
      </c>
      <c r="N419" s="1">
        <v>77.41999817</v>
      </c>
    </row>
    <row r="420" ht="15.75" customHeight="1">
      <c r="A420" s="1" t="s">
        <v>160</v>
      </c>
      <c r="B420" s="1" t="s">
        <v>109</v>
      </c>
      <c r="C420" s="5">
        <v>45702.0</v>
      </c>
      <c r="D420" s="1" t="s">
        <v>161</v>
      </c>
      <c r="E420" s="1" t="s">
        <v>11</v>
      </c>
      <c r="F420" s="1" t="s">
        <v>162</v>
      </c>
      <c r="H420" s="1">
        <v>0.0</v>
      </c>
      <c r="I420" s="1">
        <v>0.0</v>
      </c>
      <c r="J420" s="1">
        <v>0.0</v>
      </c>
      <c r="K420" s="1">
        <v>1.0</v>
      </c>
      <c r="L420" s="1">
        <v>5.0</v>
      </c>
      <c r="M420" s="1">
        <v>0.2</v>
      </c>
      <c r="N420" s="1">
        <v>23.04999924</v>
      </c>
    </row>
    <row r="421" ht="15.75" customHeight="1">
      <c r="A421" s="1" t="s">
        <v>164</v>
      </c>
      <c r="B421" s="1" t="s">
        <v>62</v>
      </c>
      <c r="C421" s="5">
        <v>45702.0</v>
      </c>
      <c r="D421" s="1" t="s">
        <v>161</v>
      </c>
      <c r="E421" s="1" t="s">
        <v>11</v>
      </c>
      <c r="H421" s="1">
        <v>0.0</v>
      </c>
      <c r="J421" s="1">
        <v>0.0</v>
      </c>
      <c r="N421" s="1">
        <v>0.230000004</v>
      </c>
    </row>
    <row r="422" ht="15.75" customHeight="1">
      <c r="A422" s="1" t="s">
        <v>164</v>
      </c>
      <c r="B422" s="1" t="s">
        <v>187</v>
      </c>
      <c r="C422" s="5">
        <v>45702.0</v>
      </c>
      <c r="D422" s="1" t="s">
        <v>161</v>
      </c>
      <c r="E422" s="1" t="s">
        <v>11</v>
      </c>
      <c r="H422" s="1">
        <v>0.0</v>
      </c>
      <c r="J422" s="1">
        <v>0.0</v>
      </c>
      <c r="N422" s="1">
        <v>1.440000057</v>
      </c>
    </row>
    <row r="423" ht="15.75" customHeight="1">
      <c r="A423" s="1" t="s">
        <v>164</v>
      </c>
      <c r="B423" s="1" t="s">
        <v>60</v>
      </c>
      <c r="C423" s="5">
        <v>45702.0</v>
      </c>
      <c r="D423" s="1" t="s">
        <v>161</v>
      </c>
      <c r="E423" s="1" t="s">
        <v>11</v>
      </c>
      <c r="F423" s="1" t="s">
        <v>166</v>
      </c>
      <c r="H423" s="1">
        <v>0.0</v>
      </c>
      <c r="I423" s="1">
        <v>0.0</v>
      </c>
      <c r="J423" s="1">
        <v>0.0</v>
      </c>
      <c r="K423" s="1">
        <v>1.0</v>
      </c>
      <c r="L423" s="1">
        <v>4.0</v>
      </c>
      <c r="M423" s="1">
        <v>0.25</v>
      </c>
      <c r="N423" s="1">
        <v>9.300000191</v>
      </c>
    </row>
    <row r="424" ht="15.75" customHeight="1">
      <c r="A424" s="1" t="s">
        <v>164</v>
      </c>
      <c r="B424" s="1" t="s">
        <v>63</v>
      </c>
      <c r="C424" s="5">
        <v>45702.0</v>
      </c>
      <c r="D424" s="1" t="s">
        <v>161</v>
      </c>
      <c r="E424" s="1" t="s">
        <v>11</v>
      </c>
      <c r="F424" s="1" t="s">
        <v>166</v>
      </c>
      <c r="H424" s="1">
        <v>0.0</v>
      </c>
      <c r="I424" s="1">
        <v>0.0</v>
      </c>
      <c r="J424" s="1">
        <v>0.0</v>
      </c>
      <c r="K424" s="1">
        <v>2.0</v>
      </c>
      <c r="L424" s="1">
        <v>4.0</v>
      </c>
      <c r="M424" s="1">
        <v>0.5</v>
      </c>
      <c r="N424" s="1">
        <v>4.659999847</v>
      </c>
    </row>
    <row r="425" ht="15.75" customHeight="1">
      <c r="A425" s="1" t="s">
        <v>164</v>
      </c>
      <c r="B425" s="1" t="s">
        <v>68</v>
      </c>
      <c r="C425" s="5">
        <v>45702.0</v>
      </c>
      <c r="D425" s="1" t="s">
        <v>161</v>
      </c>
      <c r="E425" s="1" t="s">
        <v>11</v>
      </c>
      <c r="F425" s="1" t="s">
        <v>165</v>
      </c>
      <c r="G425" s="1" t="s">
        <v>163</v>
      </c>
      <c r="H425" s="1">
        <v>1.0</v>
      </c>
      <c r="I425" s="1">
        <v>0.0</v>
      </c>
      <c r="J425" s="1">
        <v>0.0</v>
      </c>
      <c r="K425" s="1">
        <v>3.0</v>
      </c>
      <c r="L425" s="1">
        <v>6.0</v>
      </c>
      <c r="M425" s="1">
        <v>0.5</v>
      </c>
      <c r="N425" s="1">
        <v>8.340000153</v>
      </c>
    </row>
    <row r="426" ht="15.75" customHeight="1">
      <c r="A426" s="1" t="s">
        <v>164</v>
      </c>
      <c r="B426" s="1" t="s">
        <v>75</v>
      </c>
      <c r="C426" s="5">
        <v>45702.0</v>
      </c>
      <c r="D426" s="1" t="s">
        <v>161</v>
      </c>
      <c r="E426" s="1" t="s">
        <v>11</v>
      </c>
      <c r="F426" s="1" t="s">
        <v>165</v>
      </c>
      <c r="H426" s="1">
        <v>0.0</v>
      </c>
      <c r="I426" s="1">
        <v>0.0</v>
      </c>
      <c r="J426" s="1">
        <v>0.0</v>
      </c>
      <c r="K426" s="1">
        <v>0.0</v>
      </c>
      <c r="L426" s="1">
        <v>2.0</v>
      </c>
      <c r="M426" s="1">
        <v>0.0</v>
      </c>
      <c r="N426" s="1">
        <v>11.67000008</v>
      </c>
    </row>
    <row r="427" ht="15.75" customHeight="1">
      <c r="A427" s="1" t="s">
        <v>164</v>
      </c>
      <c r="B427" s="1" t="s">
        <v>100</v>
      </c>
      <c r="C427" s="5">
        <v>45702.0</v>
      </c>
      <c r="D427" s="1" t="s">
        <v>161</v>
      </c>
      <c r="E427" s="1" t="s">
        <v>11</v>
      </c>
      <c r="F427" s="1" t="s">
        <v>171</v>
      </c>
      <c r="H427" s="1">
        <v>0.0</v>
      </c>
      <c r="I427" s="1">
        <v>0.0</v>
      </c>
      <c r="J427" s="1">
        <v>0.0</v>
      </c>
      <c r="K427" s="1">
        <v>0.0</v>
      </c>
      <c r="L427" s="1">
        <v>0.0</v>
      </c>
      <c r="N427" s="1">
        <v>0.349999994</v>
      </c>
    </row>
    <row r="428" ht="15.75" customHeight="1">
      <c r="A428" s="1" t="s">
        <v>160</v>
      </c>
      <c r="B428" s="1" t="s">
        <v>39</v>
      </c>
      <c r="C428" s="5">
        <v>45701.0</v>
      </c>
      <c r="D428" s="1" t="s">
        <v>161</v>
      </c>
      <c r="E428" s="1" t="s">
        <v>11</v>
      </c>
      <c r="F428" s="1" t="s">
        <v>162</v>
      </c>
      <c r="H428" s="1">
        <v>0.0</v>
      </c>
      <c r="I428" s="1">
        <v>0.0</v>
      </c>
      <c r="J428" s="1">
        <v>0.0</v>
      </c>
      <c r="K428" s="1">
        <v>2.0</v>
      </c>
      <c r="L428" s="1">
        <v>6.0</v>
      </c>
      <c r="M428" s="1">
        <v>0.333333333</v>
      </c>
      <c r="N428" s="1">
        <v>9.600000381</v>
      </c>
    </row>
    <row r="429" ht="15.75" customHeight="1">
      <c r="A429" s="1" t="s">
        <v>160</v>
      </c>
      <c r="B429" s="1" t="s">
        <v>39</v>
      </c>
      <c r="C429" s="5">
        <v>45701.0</v>
      </c>
      <c r="D429" s="1" t="s">
        <v>161</v>
      </c>
      <c r="E429" s="1" t="s">
        <v>11</v>
      </c>
      <c r="F429" s="1" t="s">
        <v>166</v>
      </c>
      <c r="H429" s="1">
        <v>0.0</v>
      </c>
      <c r="I429" s="1">
        <v>0.0</v>
      </c>
      <c r="J429" s="1">
        <v>0.0</v>
      </c>
      <c r="K429" s="1">
        <v>0.0</v>
      </c>
      <c r="L429" s="1">
        <v>0.0</v>
      </c>
      <c r="N429" s="1">
        <v>0.0</v>
      </c>
    </row>
    <row r="430" ht="15.75" customHeight="1">
      <c r="A430" s="1" t="s">
        <v>160</v>
      </c>
      <c r="B430" s="1" t="s">
        <v>53</v>
      </c>
      <c r="C430" s="5">
        <v>45701.0</v>
      </c>
      <c r="D430" s="1" t="s">
        <v>161</v>
      </c>
      <c r="E430" s="1" t="s">
        <v>11</v>
      </c>
      <c r="F430" s="1" t="s">
        <v>165</v>
      </c>
      <c r="H430" s="1">
        <v>0.0</v>
      </c>
      <c r="I430" s="1">
        <v>0.0</v>
      </c>
      <c r="J430" s="1">
        <v>0.0</v>
      </c>
      <c r="K430" s="1">
        <v>0.0</v>
      </c>
      <c r="L430" s="1">
        <v>0.0</v>
      </c>
      <c r="N430" s="1">
        <v>0.980000019</v>
      </c>
    </row>
    <row r="431" ht="15.75" customHeight="1">
      <c r="A431" s="1" t="s">
        <v>160</v>
      </c>
      <c r="B431" s="1" t="s">
        <v>90</v>
      </c>
      <c r="C431" s="5">
        <v>45701.0</v>
      </c>
      <c r="D431" s="1" t="s">
        <v>161</v>
      </c>
      <c r="E431" s="1" t="s">
        <v>11</v>
      </c>
      <c r="F431" s="1" t="s">
        <v>165</v>
      </c>
      <c r="H431" s="1">
        <v>0.0</v>
      </c>
      <c r="I431" s="1">
        <v>0.0</v>
      </c>
      <c r="J431" s="1">
        <v>0.0</v>
      </c>
      <c r="K431" s="1">
        <v>5.0</v>
      </c>
      <c r="L431" s="1">
        <v>12.0</v>
      </c>
      <c r="M431" s="1">
        <v>0.416666667</v>
      </c>
      <c r="N431" s="1">
        <v>9.920000076</v>
      </c>
    </row>
    <row r="432" ht="15.75" customHeight="1">
      <c r="A432" s="1" t="s">
        <v>160</v>
      </c>
      <c r="B432" s="1" t="s">
        <v>109</v>
      </c>
      <c r="C432" s="5">
        <v>45701.0</v>
      </c>
      <c r="D432" s="1" t="s">
        <v>161</v>
      </c>
      <c r="E432" s="1" t="s">
        <v>11</v>
      </c>
      <c r="F432" s="1" t="s">
        <v>162</v>
      </c>
      <c r="H432" s="1">
        <v>0.0</v>
      </c>
      <c r="I432" s="1">
        <v>1.0</v>
      </c>
      <c r="J432" s="1">
        <v>0.0</v>
      </c>
      <c r="K432" s="1">
        <v>34.0</v>
      </c>
      <c r="L432" s="1">
        <v>62.0</v>
      </c>
      <c r="M432" s="1">
        <v>0.548387097</v>
      </c>
      <c r="N432" s="1">
        <v>84.26999664</v>
      </c>
    </row>
    <row r="433" ht="15.75" customHeight="1">
      <c r="A433" s="1" t="s">
        <v>164</v>
      </c>
      <c r="B433" s="1" t="s">
        <v>52</v>
      </c>
      <c r="C433" s="5">
        <v>45701.0</v>
      </c>
      <c r="D433" s="1" t="s">
        <v>161</v>
      </c>
      <c r="E433" s="1" t="s">
        <v>11</v>
      </c>
      <c r="F433" s="1" t="s">
        <v>165</v>
      </c>
      <c r="G433" s="1" t="s">
        <v>163</v>
      </c>
      <c r="H433" s="1">
        <v>1.0</v>
      </c>
      <c r="I433" s="1">
        <v>0.0</v>
      </c>
      <c r="J433" s="1">
        <v>0.0</v>
      </c>
      <c r="K433" s="1">
        <v>0.0</v>
      </c>
      <c r="L433" s="1">
        <v>1.0</v>
      </c>
      <c r="M433" s="1">
        <v>0.0</v>
      </c>
      <c r="N433" s="1">
        <v>5.329999924</v>
      </c>
    </row>
    <row r="434" ht="15.75" customHeight="1">
      <c r="A434" s="1" t="s">
        <v>164</v>
      </c>
      <c r="B434" s="1" t="s">
        <v>62</v>
      </c>
      <c r="C434" s="5">
        <v>45701.0</v>
      </c>
      <c r="D434" s="1" t="s">
        <v>161</v>
      </c>
      <c r="E434" s="1" t="s">
        <v>11</v>
      </c>
      <c r="F434" s="1" t="s">
        <v>166</v>
      </c>
      <c r="H434" s="1">
        <v>0.0</v>
      </c>
      <c r="I434" s="1">
        <v>0.0</v>
      </c>
      <c r="J434" s="1">
        <v>0.0</v>
      </c>
      <c r="K434" s="1">
        <v>0.0</v>
      </c>
      <c r="L434" s="1">
        <v>0.0</v>
      </c>
      <c r="N434" s="1">
        <v>0.589999974</v>
      </c>
    </row>
    <row r="435" ht="15.75" customHeight="1">
      <c r="A435" s="1" t="s">
        <v>164</v>
      </c>
      <c r="B435" s="1" t="s">
        <v>64</v>
      </c>
      <c r="C435" s="5">
        <v>45701.0</v>
      </c>
      <c r="D435" s="1" t="s">
        <v>161</v>
      </c>
      <c r="E435" s="1" t="s">
        <v>11</v>
      </c>
      <c r="F435" s="1" t="s">
        <v>166</v>
      </c>
      <c r="G435" s="1" t="s">
        <v>163</v>
      </c>
      <c r="H435" s="1">
        <v>1.0</v>
      </c>
      <c r="I435" s="1">
        <v>0.0</v>
      </c>
      <c r="J435" s="1">
        <v>0.0</v>
      </c>
      <c r="K435" s="1">
        <v>1.0</v>
      </c>
      <c r="L435" s="1">
        <v>2.0</v>
      </c>
      <c r="M435" s="1">
        <v>0.5</v>
      </c>
      <c r="N435" s="1">
        <v>3.200000048</v>
      </c>
    </row>
    <row r="436" ht="15.75" customHeight="1">
      <c r="A436" s="1" t="s">
        <v>164</v>
      </c>
      <c r="B436" s="1" t="s">
        <v>70</v>
      </c>
      <c r="C436" s="5">
        <v>45701.0</v>
      </c>
      <c r="D436" s="1" t="s">
        <v>161</v>
      </c>
      <c r="E436" s="1" t="s">
        <v>11</v>
      </c>
      <c r="H436" s="1">
        <v>0.0</v>
      </c>
      <c r="J436" s="1">
        <v>0.0</v>
      </c>
      <c r="N436" s="1">
        <v>0.479999989</v>
      </c>
    </row>
    <row r="437" ht="15.75" customHeight="1">
      <c r="A437" s="1" t="s">
        <v>164</v>
      </c>
      <c r="B437" s="1" t="s">
        <v>63</v>
      </c>
      <c r="C437" s="5">
        <v>45701.0</v>
      </c>
      <c r="D437" s="1" t="s">
        <v>161</v>
      </c>
      <c r="E437" s="1" t="s">
        <v>11</v>
      </c>
      <c r="F437" s="1" t="s">
        <v>166</v>
      </c>
      <c r="H437" s="1">
        <v>0.0</v>
      </c>
      <c r="I437" s="1">
        <v>0.0</v>
      </c>
      <c r="J437" s="1">
        <v>0.0</v>
      </c>
      <c r="K437" s="1">
        <v>2.0</v>
      </c>
      <c r="L437" s="1">
        <v>16.0</v>
      </c>
      <c r="M437" s="1">
        <v>0.125</v>
      </c>
      <c r="N437" s="1">
        <v>14.02999973</v>
      </c>
    </row>
    <row r="438" ht="15.75" customHeight="1">
      <c r="A438" s="1" t="s">
        <v>164</v>
      </c>
      <c r="B438" s="1" t="s">
        <v>68</v>
      </c>
      <c r="C438" s="5">
        <v>45701.0</v>
      </c>
      <c r="D438" s="1" t="s">
        <v>161</v>
      </c>
      <c r="E438" s="1" t="s">
        <v>11</v>
      </c>
      <c r="F438" s="1" t="s">
        <v>165</v>
      </c>
      <c r="G438" s="1" t="s">
        <v>163</v>
      </c>
      <c r="H438" s="1">
        <v>1.0</v>
      </c>
      <c r="I438" s="1">
        <v>0.0</v>
      </c>
      <c r="J438" s="1">
        <v>0.0</v>
      </c>
      <c r="K438" s="1">
        <v>1.0</v>
      </c>
      <c r="L438" s="1">
        <v>3.0</v>
      </c>
      <c r="M438" s="1">
        <v>0.333333333</v>
      </c>
      <c r="N438" s="1">
        <v>7.789999962</v>
      </c>
    </row>
    <row r="439" ht="15.75" customHeight="1">
      <c r="A439" s="1" t="s">
        <v>164</v>
      </c>
      <c r="B439" s="1" t="s">
        <v>188</v>
      </c>
      <c r="C439" s="5">
        <v>45701.0</v>
      </c>
      <c r="D439" s="1" t="s">
        <v>161</v>
      </c>
      <c r="E439" s="1" t="s">
        <v>11</v>
      </c>
      <c r="F439" s="1" t="s">
        <v>162</v>
      </c>
      <c r="H439" s="1">
        <v>0.0</v>
      </c>
      <c r="I439" s="1">
        <v>0.0</v>
      </c>
      <c r="J439" s="1">
        <v>0.0</v>
      </c>
      <c r="K439" s="1">
        <v>0.0</v>
      </c>
      <c r="L439" s="1">
        <v>0.0</v>
      </c>
      <c r="N439" s="1">
        <v>0.689999998</v>
      </c>
    </row>
    <row r="440" ht="15.75" customHeight="1">
      <c r="A440" s="1" t="s">
        <v>164</v>
      </c>
      <c r="B440" s="1" t="s">
        <v>74</v>
      </c>
      <c r="C440" s="5">
        <v>45701.0</v>
      </c>
      <c r="D440" s="1" t="s">
        <v>161</v>
      </c>
      <c r="E440" s="1" t="s">
        <v>11</v>
      </c>
      <c r="F440" s="1" t="s">
        <v>166</v>
      </c>
      <c r="G440" s="1" t="s">
        <v>163</v>
      </c>
      <c r="H440" s="1">
        <v>1.0</v>
      </c>
      <c r="I440" s="1">
        <v>0.0</v>
      </c>
      <c r="J440" s="1">
        <v>0.0</v>
      </c>
      <c r="K440" s="1">
        <v>5.0</v>
      </c>
      <c r="L440" s="1">
        <v>10.0</v>
      </c>
      <c r="M440" s="1">
        <v>0.5</v>
      </c>
      <c r="N440" s="1">
        <v>10.14000034</v>
      </c>
    </row>
    <row r="441" ht="15.75" customHeight="1">
      <c r="A441" s="1" t="s">
        <v>164</v>
      </c>
      <c r="B441" s="1" t="s">
        <v>74</v>
      </c>
      <c r="C441" s="5">
        <v>45701.0</v>
      </c>
      <c r="D441" s="1" t="s">
        <v>161</v>
      </c>
      <c r="E441" s="1" t="s">
        <v>11</v>
      </c>
      <c r="F441" s="1" t="s">
        <v>171</v>
      </c>
      <c r="G441" s="1" t="s">
        <v>163</v>
      </c>
      <c r="H441" s="1">
        <v>1.0</v>
      </c>
      <c r="I441" s="1">
        <v>0.0</v>
      </c>
      <c r="J441" s="1">
        <v>0.0</v>
      </c>
      <c r="K441" s="1">
        <v>3.0</v>
      </c>
      <c r="L441" s="1">
        <v>5.0</v>
      </c>
      <c r="M441" s="1">
        <v>0.6</v>
      </c>
      <c r="N441" s="1">
        <v>0.0</v>
      </c>
    </row>
    <row r="442" ht="15.75" customHeight="1">
      <c r="A442" s="1" t="s">
        <v>164</v>
      </c>
      <c r="B442" s="1" t="s">
        <v>75</v>
      </c>
      <c r="C442" s="5">
        <v>45701.0</v>
      </c>
      <c r="D442" s="1" t="s">
        <v>161</v>
      </c>
      <c r="E442" s="1" t="s">
        <v>11</v>
      </c>
      <c r="F442" s="1" t="s">
        <v>165</v>
      </c>
      <c r="H442" s="1">
        <v>0.0</v>
      </c>
      <c r="I442" s="1">
        <v>0.0</v>
      </c>
      <c r="J442" s="1">
        <v>0.0</v>
      </c>
      <c r="K442" s="1">
        <v>1.0</v>
      </c>
      <c r="L442" s="1">
        <v>6.0</v>
      </c>
      <c r="M442" s="1">
        <v>0.166666667</v>
      </c>
      <c r="N442" s="1">
        <v>12.93000031</v>
      </c>
    </row>
    <row r="443" ht="15.75" customHeight="1">
      <c r="A443" s="1" t="s">
        <v>160</v>
      </c>
      <c r="B443" s="1" t="s">
        <v>189</v>
      </c>
      <c r="C443" s="5">
        <v>45700.0</v>
      </c>
      <c r="D443" s="1" t="s">
        <v>161</v>
      </c>
      <c r="E443" s="1" t="s">
        <v>11</v>
      </c>
      <c r="F443" s="1" t="s">
        <v>162</v>
      </c>
      <c r="G443" s="1" t="s">
        <v>163</v>
      </c>
      <c r="H443" s="1">
        <v>1.0</v>
      </c>
      <c r="I443" s="1">
        <v>0.0</v>
      </c>
      <c r="J443" s="1">
        <v>0.0</v>
      </c>
      <c r="K443" s="1">
        <v>0.0</v>
      </c>
      <c r="L443" s="1">
        <v>1.0</v>
      </c>
      <c r="M443" s="1">
        <v>0.0</v>
      </c>
      <c r="N443" s="1">
        <v>1.360000014</v>
      </c>
    </row>
    <row r="444" ht="15.75" customHeight="1">
      <c r="A444" s="1" t="s">
        <v>160</v>
      </c>
      <c r="B444" s="1" t="s">
        <v>18</v>
      </c>
      <c r="C444" s="5">
        <v>45700.0</v>
      </c>
      <c r="D444" s="1" t="s">
        <v>161</v>
      </c>
      <c r="E444" s="1" t="s">
        <v>11</v>
      </c>
      <c r="F444" s="1" t="s">
        <v>162</v>
      </c>
      <c r="G444" s="1" t="s">
        <v>163</v>
      </c>
      <c r="H444" s="1">
        <v>1.0</v>
      </c>
      <c r="I444" s="1">
        <v>0.0</v>
      </c>
      <c r="J444" s="1">
        <v>0.0</v>
      </c>
      <c r="K444" s="1">
        <v>1.0</v>
      </c>
      <c r="L444" s="1">
        <v>3.0</v>
      </c>
      <c r="M444" s="1">
        <v>0.333333333</v>
      </c>
      <c r="N444" s="1">
        <v>2.0599999430000002</v>
      </c>
    </row>
    <row r="445" ht="15.75" customHeight="1">
      <c r="A445" s="1" t="s">
        <v>160</v>
      </c>
      <c r="B445" s="1" t="s">
        <v>94</v>
      </c>
      <c r="C445" s="5">
        <v>45700.0</v>
      </c>
      <c r="D445" s="1" t="s">
        <v>161</v>
      </c>
      <c r="E445" s="1" t="s">
        <v>190</v>
      </c>
      <c r="H445" s="1">
        <v>0.0</v>
      </c>
      <c r="J445" s="1">
        <v>0.0</v>
      </c>
      <c r="N445" s="1">
        <v>1.480000019</v>
      </c>
    </row>
    <row r="446" ht="15.75" customHeight="1">
      <c r="A446" s="1" t="s">
        <v>160</v>
      </c>
      <c r="B446" s="1" t="s">
        <v>109</v>
      </c>
      <c r="C446" s="5">
        <v>45700.0</v>
      </c>
      <c r="D446" s="1" t="s">
        <v>161</v>
      </c>
      <c r="E446" s="1" t="s">
        <v>11</v>
      </c>
      <c r="F446" s="1" t="s">
        <v>162</v>
      </c>
      <c r="H446" s="1">
        <v>0.0</v>
      </c>
      <c r="I446" s="1">
        <v>1.0</v>
      </c>
      <c r="J446" s="1">
        <v>0.0</v>
      </c>
      <c r="K446" s="1">
        <v>6.0</v>
      </c>
      <c r="L446" s="1">
        <v>6.0</v>
      </c>
      <c r="M446" s="1">
        <v>1.0</v>
      </c>
      <c r="N446" s="1">
        <v>7.570000172</v>
      </c>
    </row>
    <row r="447" ht="15.75" customHeight="1">
      <c r="A447" s="1" t="s">
        <v>164</v>
      </c>
      <c r="B447" s="1" t="s">
        <v>49</v>
      </c>
      <c r="C447" s="5">
        <v>45700.0</v>
      </c>
      <c r="D447" s="1" t="s">
        <v>161</v>
      </c>
      <c r="E447" s="1" t="s">
        <v>11</v>
      </c>
      <c r="F447" s="1" t="s">
        <v>162</v>
      </c>
      <c r="G447" s="1" t="s">
        <v>163</v>
      </c>
      <c r="H447" s="1">
        <v>1.0</v>
      </c>
      <c r="I447" s="1">
        <v>0.0</v>
      </c>
      <c r="J447" s="1">
        <v>0.0</v>
      </c>
      <c r="K447" s="1">
        <v>5.0</v>
      </c>
      <c r="L447" s="1">
        <v>9.0</v>
      </c>
      <c r="M447" s="1">
        <v>0.555555556</v>
      </c>
      <c r="N447" s="1">
        <v>7.5</v>
      </c>
    </row>
    <row r="448" ht="15.75" customHeight="1">
      <c r="A448" s="1" t="s">
        <v>164</v>
      </c>
      <c r="B448" s="1" t="s">
        <v>64</v>
      </c>
      <c r="C448" s="5">
        <v>45700.0</v>
      </c>
      <c r="D448" s="1" t="s">
        <v>161</v>
      </c>
      <c r="E448" s="1" t="s">
        <v>11</v>
      </c>
      <c r="F448" s="1" t="s">
        <v>166</v>
      </c>
      <c r="G448" s="1" t="s">
        <v>163</v>
      </c>
      <c r="H448" s="1">
        <v>1.0</v>
      </c>
      <c r="I448" s="1">
        <v>0.0</v>
      </c>
      <c r="J448" s="1">
        <v>0.0</v>
      </c>
      <c r="K448" s="1">
        <v>2.0</v>
      </c>
      <c r="L448" s="1">
        <v>5.0</v>
      </c>
      <c r="M448" s="1">
        <v>0.4</v>
      </c>
      <c r="N448" s="1">
        <v>9.109999657</v>
      </c>
    </row>
    <row r="449" ht="15.75" customHeight="1">
      <c r="A449" s="1" t="s">
        <v>164</v>
      </c>
      <c r="B449" s="1" t="s">
        <v>75</v>
      </c>
      <c r="C449" s="5">
        <v>45700.0</v>
      </c>
      <c r="D449" s="1" t="s">
        <v>161</v>
      </c>
      <c r="E449" s="1" t="s">
        <v>11</v>
      </c>
      <c r="H449" s="1">
        <v>0.0</v>
      </c>
      <c r="J449" s="1">
        <v>0.0</v>
      </c>
      <c r="N449" s="1">
        <v>0.02</v>
      </c>
    </row>
    <row r="450" ht="15.75" customHeight="1">
      <c r="A450" s="1" t="s">
        <v>164</v>
      </c>
      <c r="B450" s="1" t="s">
        <v>100</v>
      </c>
      <c r="C450" s="5">
        <v>45700.0</v>
      </c>
      <c r="D450" s="1" t="s">
        <v>161</v>
      </c>
      <c r="E450" s="1" t="s">
        <v>11</v>
      </c>
      <c r="F450" s="1" t="s">
        <v>171</v>
      </c>
      <c r="G450" s="1" t="s">
        <v>163</v>
      </c>
      <c r="H450" s="1">
        <v>1.0</v>
      </c>
      <c r="I450" s="1">
        <v>0.0</v>
      </c>
      <c r="J450" s="1">
        <v>0.0</v>
      </c>
      <c r="K450" s="1">
        <v>3.0</v>
      </c>
      <c r="L450" s="1">
        <v>9.0</v>
      </c>
      <c r="M450" s="1">
        <v>0.333333333</v>
      </c>
      <c r="N450" s="1">
        <v>8.659999847</v>
      </c>
    </row>
    <row r="451" ht="15.75" customHeight="1">
      <c r="A451" s="1" t="s">
        <v>164</v>
      </c>
      <c r="B451" s="1" t="s">
        <v>82</v>
      </c>
      <c r="C451" s="5">
        <v>45700.0</v>
      </c>
      <c r="D451" s="1" t="s">
        <v>161</v>
      </c>
      <c r="E451" s="1" t="s">
        <v>11</v>
      </c>
      <c r="F451" s="1" t="s">
        <v>176</v>
      </c>
      <c r="G451" s="1" t="s">
        <v>163</v>
      </c>
      <c r="H451" s="1">
        <v>1.0</v>
      </c>
      <c r="I451" s="1">
        <v>0.0</v>
      </c>
      <c r="J451" s="1">
        <v>0.0</v>
      </c>
      <c r="K451" s="1">
        <v>0.0</v>
      </c>
      <c r="L451" s="1">
        <v>0.0</v>
      </c>
      <c r="N451" s="1">
        <v>0.0</v>
      </c>
    </row>
    <row r="452" ht="15.75" customHeight="1">
      <c r="A452" s="1" t="s">
        <v>164</v>
      </c>
      <c r="B452" s="1" t="s">
        <v>82</v>
      </c>
      <c r="C452" s="5">
        <v>45700.0</v>
      </c>
      <c r="D452" s="1" t="s">
        <v>161</v>
      </c>
      <c r="E452" s="1" t="s">
        <v>11</v>
      </c>
      <c r="F452" s="1" t="s">
        <v>173</v>
      </c>
      <c r="G452" s="1" t="s">
        <v>163</v>
      </c>
      <c r="H452" s="1">
        <v>1.0</v>
      </c>
      <c r="I452" s="1">
        <v>0.0</v>
      </c>
      <c r="J452" s="1">
        <v>0.0</v>
      </c>
      <c r="K452" s="1">
        <v>2.0</v>
      </c>
      <c r="L452" s="1">
        <v>5.0</v>
      </c>
      <c r="M452" s="1">
        <v>0.4</v>
      </c>
      <c r="N452" s="1">
        <v>12.09000015</v>
      </c>
    </row>
    <row r="453" ht="15.75" customHeight="1">
      <c r="A453" s="1" t="s">
        <v>164</v>
      </c>
      <c r="B453" s="1" t="s">
        <v>82</v>
      </c>
      <c r="C453" s="5">
        <v>45700.0</v>
      </c>
      <c r="D453" s="1" t="s">
        <v>161</v>
      </c>
      <c r="E453" s="1" t="s">
        <v>11</v>
      </c>
      <c r="F453" s="1" t="s">
        <v>162</v>
      </c>
      <c r="G453" s="1" t="s">
        <v>163</v>
      </c>
      <c r="H453" s="1">
        <v>1.0</v>
      </c>
      <c r="I453" s="1">
        <v>0.0</v>
      </c>
      <c r="J453" s="1">
        <v>0.0</v>
      </c>
      <c r="K453" s="1">
        <v>0.0</v>
      </c>
      <c r="L453" s="1">
        <v>1.0</v>
      </c>
      <c r="M453" s="1">
        <v>0.0</v>
      </c>
      <c r="N453" s="1">
        <v>0.0</v>
      </c>
    </row>
    <row r="454" ht="15.75" customHeight="1">
      <c r="A454" s="1" t="s">
        <v>164</v>
      </c>
      <c r="B454" s="1" t="s">
        <v>82</v>
      </c>
      <c r="C454" s="5">
        <v>45700.0</v>
      </c>
      <c r="D454" s="1" t="s">
        <v>161</v>
      </c>
      <c r="E454" s="1" t="s">
        <v>11</v>
      </c>
      <c r="F454" s="1" t="s">
        <v>166</v>
      </c>
      <c r="G454" s="1" t="s">
        <v>163</v>
      </c>
      <c r="H454" s="1">
        <v>1.0</v>
      </c>
      <c r="I454" s="1">
        <v>0.0</v>
      </c>
      <c r="J454" s="1">
        <v>0.0</v>
      </c>
      <c r="K454" s="1">
        <v>2.0</v>
      </c>
      <c r="L454" s="1">
        <v>3.0</v>
      </c>
      <c r="M454" s="1">
        <v>0.666666667</v>
      </c>
      <c r="N454" s="1">
        <v>0.0</v>
      </c>
    </row>
    <row r="455" ht="15.75" customHeight="1">
      <c r="A455" s="1" t="s">
        <v>164</v>
      </c>
      <c r="B455" s="1" t="s">
        <v>82</v>
      </c>
      <c r="C455" s="5">
        <v>45700.0</v>
      </c>
      <c r="D455" s="1" t="s">
        <v>161</v>
      </c>
      <c r="E455" s="1" t="s">
        <v>11</v>
      </c>
      <c r="F455" s="1" t="s">
        <v>171</v>
      </c>
      <c r="G455" s="1" t="s">
        <v>163</v>
      </c>
      <c r="H455" s="1">
        <v>1.0</v>
      </c>
      <c r="I455" s="1">
        <v>0.0</v>
      </c>
      <c r="J455" s="1">
        <v>0.0</v>
      </c>
      <c r="K455" s="1">
        <v>0.0</v>
      </c>
      <c r="L455" s="1">
        <v>0.0</v>
      </c>
      <c r="N455" s="1">
        <v>0.0</v>
      </c>
    </row>
    <row r="456" ht="15.75" customHeight="1">
      <c r="A456" s="1" t="s">
        <v>164</v>
      </c>
      <c r="B456" s="1" t="s">
        <v>82</v>
      </c>
      <c r="C456" s="5">
        <v>45700.0</v>
      </c>
      <c r="D456" s="1" t="s">
        <v>161</v>
      </c>
      <c r="E456" s="1" t="s">
        <v>11</v>
      </c>
      <c r="F456" s="1" t="s">
        <v>169</v>
      </c>
      <c r="G456" s="1" t="s">
        <v>163</v>
      </c>
      <c r="H456" s="1">
        <v>1.0</v>
      </c>
      <c r="I456" s="1">
        <v>0.0</v>
      </c>
      <c r="J456" s="1">
        <v>0.0</v>
      </c>
      <c r="K456" s="1">
        <v>0.0</v>
      </c>
      <c r="L456" s="1">
        <v>0.0</v>
      </c>
      <c r="N456" s="1">
        <v>0.0</v>
      </c>
    </row>
    <row r="457" ht="15.75" customHeight="1">
      <c r="A457" s="1" t="s">
        <v>180</v>
      </c>
      <c r="B457" s="1" t="s">
        <v>181</v>
      </c>
      <c r="C457" s="5">
        <v>45700.0</v>
      </c>
      <c r="D457" s="1" t="s">
        <v>161</v>
      </c>
      <c r="E457" s="1" t="s">
        <v>11</v>
      </c>
      <c r="H457" s="1">
        <v>0.0</v>
      </c>
      <c r="J457" s="1">
        <v>0.0</v>
      </c>
      <c r="N457" s="1">
        <v>0.079999998</v>
      </c>
    </row>
    <row r="458" ht="15.75" customHeight="1">
      <c r="A458" s="1" t="s">
        <v>160</v>
      </c>
      <c r="B458" s="1" t="s">
        <v>39</v>
      </c>
      <c r="C458" s="5">
        <v>45699.0</v>
      </c>
      <c r="D458" s="1" t="s">
        <v>161</v>
      </c>
      <c r="E458" s="1" t="s">
        <v>11</v>
      </c>
      <c r="F458" s="1" t="s">
        <v>162</v>
      </c>
      <c r="H458" s="1">
        <v>0.0</v>
      </c>
      <c r="I458" s="1">
        <v>0.0</v>
      </c>
      <c r="J458" s="1">
        <v>0.0</v>
      </c>
      <c r="K458" s="1">
        <v>1.0</v>
      </c>
      <c r="L458" s="1">
        <v>2.0</v>
      </c>
      <c r="M458" s="1">
        <v>0.5</v>
      </c>
      <c r="N458" s="1">
        <v>5.559999943</v>
      </c>
    </row>
    <row r="459" ht="15.75" customHeight="1">
      <c r="A459" s="1" t="s">
        <v>160</v>
      </c>
      <c r="B459" s="1" t="s">
        <v>39</v>
      </c>
      <c r="C459" s="5">
        <v>45699.0</v>
      </c>
      <c r="D459" s="1" t="s">
        <v>161</v>
      </c>
      <c r="E459" s="1" t="s">
        <v>11</v>
      </c>
      <c r="F459" s="1" t="s">
        <v>166</v>
      </c>
      <c r="H459" s="1">
        <v>0.0</v>
      </c>
      <c r="I459" s="1">
        <v>0.0</v>
      </c>
      <c r="J459" s="1">
        <v>0.0</v>
      </c>
      <c r="K459" s="1">
        <v>0.0</v>
      </c>
      <c r="L459" s="1">
        <v>0.0</v>
      </c>
      <c r="N459" s="1">
        <v>0.0</v>
      </c>
    </row>
    <row r="460" ht="15.75" customHeight="1">
      <c r="A460" s="1" t="s">
        <v>160</v>
      </c>
      <c r="B460" s="1" t="s">
        <v>65</v>
      </c>
      <c r="C460" s="5">
        <v>45699.0</v>
      </c>
      <c r="D460" s="1" t="s">
        <v>161</v>
      </c>
      <c r="E460" s="1" t="s">
        <v>11</v>
      </c>
      <c r="F460" s="1" t="s">
        <v>162</v>
      </c>
      <c r="G460" s="1" t="s">
        <v>172</v>
      </c>
      <c r="H460" s="1">
        <v>1.0</v>
      </c>
      <c r="I460" s="1">
        <v>0.0</v>
      </c>
      <c r="J460" s="1">
        <v>0.0</v>
      </c>
      <c r="K460" s="1">
        <v>2.0</v>
      </c>
      <c r="L460" s="1">
        <v>3.0</v>
      </c>
      <c r="M460" s="1">
        <v>0.666666667</v>
      </c>
      <c r="N460" s="1">
        <v>6.510000229</v>
      </c>
    </row>
    <row r="461" ht="15.75" customHeight="1">
      <c r="A461" s="1" t="s">
        <v>160</v>
      </c>
      <c r="B461" s="1" t="s">
        <v>191</v>
      </c>
      <c r="C461" s="5">
        <v>45699.0</v>
      </c>
      <c r="D461" s="1" t="s">
        <v>161</v>
      </c>
      <c r="E461" s="1" t="s">
        <v>11</v>
      </c>
      <c r="F461" s="1" t="s">
        <v>162</v>
      </c>
      <c r="H461" s="1">
        <v>0.0</v>
      </c>
      <c r="I461" s="1">
        <v>0.0</v>
      </c>
      <c r="J461" s="1">
        <v>0.0</v>
      </c>
      <c r="K461" s="1">
        <v>0.0</v>
      </c>
      <c r="L461" s="1">
        <v>0.0</v>
      </c>
      <c r="N461" s="1">
        <v>0.649999976</v>
      </c>
    </row>
    <row r="462" ht="15.75" customHeight="1">
      <c r="A462" s="1" t="s">
        <v>160</v>
      </c>
      <c r="B462" s="1" t="s">
        <v>77</v>
      </c>
      <c r="C462" s="5">
        <v>45699.0</v>
      </c>
      <c r="D462" s="1" t="s">
        <v>161</v>
      </c>
      <c r="E462" s="1" t="s">
        <v>11</v>
      </c>
      <c r="F462" s="1" t="s">
        <v>162</v>
      </c>
      <c r="G462" s="1" t="s">
        <v>163</v>
      </c>
      <c r="H462" s="1">
        <v>1.0</v>
      </c>
      <c r="I462" s="1">
        <v>0.0</v>
      </c>
      <c r="J462" s="1">
        <v>0.0</v>
      </c>
      <c r="K462" s="1">
        <v>0.0</v>
      </c>
      <c r="L462" s="1">
        <v>2.0</v>
      </c>
      <c r="M462" s="1">
        <v>0.0</v>
      </c>
      <c r="N462" s="1">
        <v>5.050000191</v>
      </c>
    </row>
    <row r="463" ht="15.75" customHeight="1">
      <c r="A463" s="1" t="s">
        <v>160</v>
      </c>
      <c r="B463" s="1" t="s">
        <v>90</v>
      </c>
      <c r="C463" s="5">
        <v>45699.0</v>
      </c>
      <c r="D463" s="1" t="s">
        <v>161</v>
      </c>
      <c r="E463" s="1" t="s">
        <v>11</v>
      </c>
      <c r="F463" s="1" t="s">
        <v>165</v>
      </c>
      <c r="G463" s="1" t="s">
        <v>172</v>
      </c>
      <c r="H463" s="1">
        <v>1.0</v>
      </c>
      <c r="I463" s="1">
        <v>0.0</v>
      </c>
      <c r="J463" s="1">
        <v>0.0</v>
      </c>
      <c r="K463" s="1">
        <v>5.0</v>
      </c>
      <c r="L463" s="1">
        <v>8.0</v>
      </c>
      <c r="M463" s="1">
        <v>0.625</v>
      </c>
      <c r="N463" s="1">
        <v>6.400000095</v>
      </c>
    </row>
    <row r="464" ht="15.75" customHeight="1">
      <c r="A464" s="1" t="s">
        <v>160</v>
      </c>
      <c r="B464" s="1" t="s">
        <v>109</v>
      </c>
      <c r="C464" s="5">
        <v>45699.0</v>
      </c>
      <c r="D464" s="1" t="s">
        <v>161</v>
      </c>
      <c r="E464" s="1" t="s">
        <v>11</v>
      </c>
      <c r="F464" s="1" t="s">
        <v>162</v>
      </c>
      <c r="H464" s="1">
        <v>0.0</v>
      </c>
      <c r="I464" s="1">
        <v>0.0</v>
      </c>
      <c r="J464" s="1">
        <v>0.0</v>
      </c>
      <c r="K464" s="1">
        <v>36.0</v>
      </c>
      <c r="L464" s="1">
        <v>78.0</v>
      </c>
      <c r="M464" s="1">
        <v>0.461538462</v>
      </c>
      <c r="N464" s="1">
        <v>104.6500015</v>
      </c>
    </row>
    <row r="465" ht="15.75" customHeight="1">
      <c r="A465" s="1" t="s">
        <v>164</v>
      </c>
      <c r="B465" s="1" t="s">
        <v>24</v>
      </c>
      <c r="C465" s="5">
        <v>45699.0</v>
      </c>
      <c r="D465" s="1" t="s">
        <v>161</v>
      </c>
      <c r="E465" s="1" t="s">
        <v>11</v>
      </c>
      <c r="F465" s="1" t="s">
        <v>166</v>
      </c>
      <c r="G465" s="1" t="s">
        <v>163</v>
      </c>
      <c r="H465" s="1">
        <v>1.0</v>
      </c>
      <c r="I465" s="1">
        <v>0.0</v>
      </c>
      <c r="J465" s="1">
        <v>0.0</v>
      </c>
      <c r="K465" s="1">
        <v>1.0</v>
      </c>
      <c r="L465" s="1">
        <v>1.0</v>
      </c>
      <c r="M465" s="1">
        <v>1.0</v>
      </c>
      <c r="N465" s="1">
        <v>6.909999847</v>
      </c>
    </row>
    <row r="466" ht="15.75" customHeight="1">
      <c r="A466" s="1" t="s">
        <v>164</v>
      </c>
      <c r="B466" s="1" t="s">
        <v>49</v>
      </c>
      <c r="C466" s="5">
        <v>45699.0</v>
      </c>
      <c r="D466" s="1" t="s">
        <v>161</v>
      </c>
      <c r="E466" s="1" t="s">
        <v>11</v>
      </c>
      <c r="F466" s="1" t="s">
        <v>162</v>
      </c>
      <c r="G466" s="1" t="s">
        <v>163</v>
      </c>
      <c r="H466" s="1">
        <v>1.0</v>
      </c>
      <c r="I466" s="1">
        <v>0.0</v>
      </c>
      <c r="J466" s="1">
        <v>0.0</v>
      </c>
      <c r="K466" s="1">
        <v>4.0</v>
      </c>
      <c r="L466" s="1">
        <v>6.0</v>
      </c>
      <c r="M466" s="1">
        <v>0.666666667</v>
      </c>
      <c r="N466" s="1">
        <v>5.039999962</v>
      </c>
    </row>
    <row r="467" ht="15.75" customHeight="1">
      <c r="A467" s="1" t="s">
        <v>164</v>
      </c>
      <c r="B467" s="1" t="s">
        <v>64</v>
      </c>
      <c r="C467" s="5">
        <v>45699.0</v>
      </c>
      <c r="D467" s="1" t="s">
        <v>161</v>
      </c>
      <c r="E467" s="1" t="s">
        <v>11</v>
      </c>
      <c r="F467" s="1" t="s">
        <v>166</v>
      </c>
      <c r="G467" s="1" t="s">
        <v>163</v>
      </c>
      <c r="H467" s="1">
        <v>1.0</v>
      </c>
      <c r="I467" s="1">
        <v>0.0</v>
      </c>
      <c r="J467" s="1">
        <v>0.0</v>
      </c>
      <c r="K467" s="1">
        <v>1.0</v>
      </c>
      <c r="L467" s="1">
        <v>1.0</v>
      </c>
      <c r="M467" s="1">
        <v>1.0</v>
      </c>
      <c r="N467" s="1">
        <v>2.220000029</v>
      </c>
    </row>
    <row r="468" ht="15.75" customHeight="1">
      <c r="A468" s="1" t="s">
        <v>164</v>
      </c>
      <c r="B468" s="1" t="s">
        <v>179</v>
      </c>
      <c r="C468" s="5">
        <v>45699.0</v>
      </c>
      <c r="D468" s="1" t="s">
        <v>161</v>
      </c>
      <c r="E468" s="1" t="s">
        <v>11</v>
      </c>
      <c r="F468" s="1" t="s">
        <v>166</v>
      </c>
      <c r="H468" s="1">
        <v>0.0</v>
      </c>
      <c r="I468" s="1">
        <v>0.0</v>
      </c>
      <c r="J468" s="1">
        <v>0.0</v>
      </c>
      <c r="K468" s="1">
        <v>3.0</v>
      </c>
      <c r="L468" s="1">
        <v>5.0</v>
      </c>
      <c r="M468" s="1">
        <v>0.6</v>
      </c>
      <c r="N468" s="1">
        <v>4.039999962</v>
      </c>
    </row>
    <row r="469" ht="15.75" customHeight="1">
      <c r="A469" s="1" t="s">
        <v>164</v>
      </c>
      <c r="B469" s="1" t="s">
        <v>60</v>
      </c>
      <c r="C469" s="5">
        <v>45699.0</v>
      </c>
      <c r="D469" s="1" t="s">
        <v>161</v>
      </c>
      <c r="E469" s="1" t="s">
        <v>11</v>
      </c>
      <c r="F469" s="1" t="s">
        <v>166</v>
      </c>
      <c r="H469" s="1">
        <v>0.0</v>
      </c>
      <c r="I469" s="1">
        <v>0.0</v>
      </c>
      <c r="J469" s="1">
        <v>0.0</v>
      </c>
      <c r="K469" s="1">
        <v>0.0</v>
      </c>
      <c r="L469" s="1">
        <v>0.0</v>
      </c>
      <c r="N469" s="1">
        <v>4.46999979</v>
      </c>
    </row>
    <row r="470" ht="15.75" customHeight="1">
      <c r="A470" s="1" t="s">
        <v>164</v>
      </c>
      <c r="B470" s="1" t="s">
        <v>63</v>
      </c>
      <c r="C470" s="5">
        <v>45699.0</v>
      </c>
      <c r="D470" s="1" t="s">
        <v>161</v>
      </c>
      <c r="E470" s="1" t="s">
        <v>11</v>
      </c>
      <c r="F470" s="1" t="s">
        <v>166</v>
      </c>
      <c r="H470" s="1">
        <v>0.0</v>
      </c>
      <c r="I470" s="1">
        <v>0.0</v>
      </c>
      <c r="J470" s="1">
        <v>0.0</v>
      </c>
      <c r="K470" s="1">
        <v>1.0</v>
      </c>
      <c r="L470" s="1">
        <v>2.0</v>
      </c>
      <c r="M470" s="1">
        <v>0.5</v>
      </c>
      <c r="N470" s="1">
        <v>5.389999866</v>
      </c>
    </row>
    <row r="471" ht="15.75" customHeight="1">
      <c r="A471" s="1" t="s">
        <v>164</v>
      </c>
      <c r="B471" s="1" t="s">
        <v>68</v>
      </c>
      <c r="C471" s="5">
        <v>45699.0</v>
      </c>
      <c r="D471" s="1" t="s">
        <v>161</v>
      </c>
      <c r="E471" s="1" t="s">
        <v>11</v>
      </c>
      <c r="H471" s="1">
        <v>0.0</v>
      </c>
      <c r="J471" s="1">
        <v>0.0</v>
      </c>
      <c r="N471" s="1">
        <v>0.850000024</v>
      </c>
    </row>
    <row r="472" ht="15.75" customHeight="1">
      <c r="A472" s="1" t="s">
        <v>164</v>
      </c>
      <c r="B472" s="1" t="s">
        <v>74</v>
      </c>
      <c r="C472" s="5">
        <v>45699.0</v>
      </c>
      <c r="D472" s="1" t="s">
        <v>161</v>
      </c>
      <c r="E472" s="1" t="s">
        <v>11</v>
      </c>
      <c r="F472" s="1" t="s">
        <v>166</v>
      </c>
      <c r="H472" s="1">
        <v>0.0</v>
      </c>
      <c r="I472" s="1">
        <v>0.0</v>
      </c>
      <c r="J472" s="1">
        <v>0.0</v>
      </c>
      <c r="K472" s="1">
        <v>0.0</v>
      </c>
      <c r="L472" s="1">
        <v>0.0</v>
      </c>
      <c r="N472" s="1">
        <v>1.299999952</v>
      </c>
    </row>
    <row r="473" ht="15.75" customHeight="1">
      <c r="A473" s="1" t="s">
        <v>164</v>
      </c>
      <c r="B473" s="1" t="s">
        <v>75</v>
      </c>
      <c r="C473" s="5">
        <v>45699.0</v>
      </c>
      <c r="D473" s="1" t="s">
        <v>161</v>
      </c>
      <c r="E473" s="1" t="s">
        <v>11</v>
      </c>
      <c r="F473" s="1" t="s">
        <v>165</v>
      </c>
      <c r="H473" s="1">
        <v>0.0</v>
      </c>
      <c r="I473" s="1">
        <v>0.0</v>
      </c>
      <c r="J473" s="1">
        <v>0.0</v>
      </c>
      <c r="K473" s="1">
        <v>0.0</v>
      </c>
      <c r="L473" s="1">
        <v>1.0</v>
      </c>
      <c r="M473" s="1">
        <v>0.0</v>
      </c>
      <c r="N473" s="1">
        <v>3.8099999430000002</v>
      </c>
    </row>
    <row r="474" ht="15.75" customHeight="1">
      <c r="A474" s="1" t="s">
        <v>164</v>
      </c>
      <c r="B474" s="1" t="s">
        <v>82</v>
      </c>
      <c r="C474" s="5">
        <v>45699.0</v>
      </c>
      <c r="D474" s="1" t="s">
        <v>161</v>
      </c>
      <c r="E474" s="1" t="s">
        <v>11</v>
      </c>
      <c r="F474" s="1" t="s">
        <v>176</v>
      </c>
      <c r="G474" s="1" t="s">
        <v>163</v>
      </c>
      <c r="H474" s="1">
        <v>1.0</v>
      </c>
      <c r="I474" s="1">
        <v>0.0</v>
      </c>
      <c r="J474" s="1">
        <v>0.0</v>
      </c>
      <c r="K474" s="1">
        <v>0.0</v>
      </c>
      <c r="L474" s="1">
        <v>0.0</v>
      </c>
      <c r="N474" s="1">
        <v>0.0</v>
      </c>
    </row>
    <row r="475" ht="15.75" customHeight="1">
      <c r="A475" s="1" t="s">
        <v>164</v>
      </c>
      <c r="B475" s="1" t="s">
        <v>82</v>
      </c>
      <c r="C475" s="5">
        <v>45699.0</v>
      </c>
      <c r="D475" s="1" t="s">
        <v>161</v>
      </c>
      <c r="E475" s="1" t="s">
        <v>11</v>
      </c>
      <c r="F475" s="1" t="s">
        <v>166</v>
      </c>
      <c r="G475" s="1" t="s">
        <v>163</v>
      </c>
      <c r="H475" s="1">
        <v>1.0</v>
      </c>
      <c r="I475" s="1">
        <v>0.0</v>
      </c>
      <c r="J475" s="1">
        <v>0.0</v>
      </c>
      <c r="K475" s="1">
        <v>2.0</v>
      </c>
      <c r="L475" s="1">
        <v>4.0</v>
      </c>
      <c r="M475" s="1">
        <v>0.5</v>
      </c>
      <c r="N475" s="1">
        <v>13.30000019</v>
      </c>
    </row>
    <row r="476" ht="15.75" customHeight="1">
      <c r="A476" s="1" t="s">
        <v>164</v>
      </c>
      <c r="B476" s="1" t="s">
        <v>82</v>
      </c>
      <c r="C476" s="5">
        <v>45699.0</v>
      </c>
      <c r="D476" s="1" t="s">
        <v>161</v>
      </c>
      <c r="E476" s="1" t="s">
        <v>11</v>
      </c>
      <c r="F476" s="1" t="s">
        <v>169</v>
      </c>
      <c r="G476" s="1" t="s">
        <v>163</v>
      </c>
      <c r="H476" s="1">
        <v>1.0</v>
      </c>
      <c r="I476" s="1">
        <v>0.0</v>
      </c>
      <c r="J476" s="1">
        <v>0.0</v>
      </c>
      <c r="K476" s="1">
        <v>0.0</v>
      </c>
      <c r="L476" s="1">
        <v>1.0</v>
      </c>
      <c r="M476" s="1">
        <v>0.0</v>
      </c>
      <c r="N476" s="1">
        <v>0.0</v>
      </c>
    </row>
    <row r="477" ht="15.75" customHeight="1">
      <c r="A477" s="1" t="s">
        <v>160</v>
      </c>
      <c r="B477" s="1" t="s">
        <v>26</v>
      </c>
      <c r="C477" s="5">
        <v>45698.0</v>
      </c>
      <c r="D477" s="1" t="s">
        <v>161</v>
      </c>
      <c r="E477" s="1" t="s">
        <v>11</v>
      </c>
      <c r="H477" s="1">
        <v>0.0</v>
      </c>
      <c r="J477" s="1">
        <v>0.0</v>
      </c>
      <c r="N477" s="1">
        <v>0.569999993</v>
      </c>
    </row>
    <row r="478" ht="15.75" customHeight="1">
      <c r="A478" s="1" t="s">
        <v>160</v>
      </c>
      <c r="B478" s="1" t="s">
        <v>186</v>
      </c>
      <c r="C478" s="5">
        <v>45698.0</v>
      </c>
      <c r="D478" s="1" t="s">
        <v>161</v>
      </c>
      <c r="E478" s="1" t="s">
        <v>11</v>
      </c>
      <c r="F478" s="1" t="s">
        <v>166</v>
      </c>
      <c r="H478" s="1">
        <v>0.0</v>
      </c>
      <c r="I478" s="1">
        <v>0.0</v>
      </c>
      <c r="J478" s="1">
        <v>0.0</v>
      </c>
      <c r="K478" s="1">
        <v>4.0</v>
      </c>
      <c r="L478" s="1">
        <v>16.0</v>
      </c>
      <c r="M478" s="1">
        <v>0.25</v>
      </c>
      <c r="N478" s="1">
        <v>42.97999954</v>
      </c>
    </row>
    <row r="479" ht="15.75" customHeight="1">
      <c r="A479" s="1" t="s">
        <v>160</v>
      </c>
      <c r="B479" s="1" t="s">
        <v>192</v>
      </c>
      <c r="C479" s="5">
        <v>45698.0</v>
      </c>
      <c r="D479" s="1" t="s">
        <v>161</v>
      </c>
      <c r="E479" s="1" t="s">
        <v>11</v>
      </c>
      <c r="F479" s="1" t="s">
        <v>165</v>
      </c>
      <c r="G479" s="1" t="s">
        <v>163</v>
      </c>
      <c r="H479" s="1">
        <v>1.0</v>
      </c>
      <c r="I479" s="1">
        <v>0.0</v>
      </c>
      <c r="J479" s="1">
        <v>0.0</v>
      </c>
      <c r="K479" s="1">
        <v>3.0</v>
      </c>
      <c r="L479" s="1">
        <v>3.0</v>
      </c>
      <c r="M479" s="1">
        <v>1.0</v>
      </c>
      <c r="N479" s="1">
        <v>2.180000067</v>
      </c>
    </row>
    <row r="480" ht="15.75" customHeight="1">
      <c r="A480" s="1" t="s">
        <v>160</v>
      </c>
      <c r="B480" s="1" t="s">
        <v>73</v>
      </c>
      <c r="C480" s="5">
        <v>45698.0</v>
      </c>
      <c r="D480" s="1" t="s">
        <v>161</v>
      </c>
      <c r="E480" s="1" t="s">
        <v>11</v>
      </c>
      <c r="F480" s="1" t="s">
        <v>162</v>
      </c>
      <c r="H480" s="1">
        <v>0.0</v>
      </c>
      <c r="I480" s="1">
        <v>0.0</v>
      </c>
      <c r="J480" s="1">
        <v>0.0</v>
      </c>
      <c r="K480" s="1">
        <v>0.0</v>
      </c>
      <c r="L480" s="1">
        <v>0.0</v>
      </c>
      <c r="N480" s="1">
        <v>0.540000021</v>
      </c>
    </row>
    <row r="481" ht="15.75" customHeight="1">
      <c r="A481" s="1" t="s">
        <v>160</v>
      </c>
      <c r="B481" s="1" t="s">
        <v>109</v>
      </c>
      <c r="C481" s="5">
        <v>45698.0</v>
      </c>
      <c r="D481" s="1" t="s">
        <v>161</v>
      </c>
      <c r="E481" s="1" t="s">
        <v>11</v>
      </c>
      <c r="F481" s="1" t="s">
        <v>162</v>
      </c>
      <c r="H481" s="1">
        <v>0.0</v>
      </c>
      <c r="I481" s="1">
        <v>1.0</v>
      </c>
      <c r="J481" s="1">
        <v>0.0</v>
      </c>
      <c r="K481" s="1">
        <v>15.0</v>
      </c>
      <c r="L481" s="1">
        <v>23.0</v>
      </c>
      <c r="M481" s="1">
        <v>0.652173913</v>
      </c>
      <c r="N481" s="1">
        <v>47.13000107</v>
      </c>
    </row>
    <row r="482" ht="15.75" customHeight="1">
      <c r="A482" s="1" t="s">
        <v>160</v>
      </c>
      <c r="B482" s="1" t="s">
        <v>193</v>
      </c>
      <c r="C482" s="5">
        <v>45698.0</v>
      </c>
      <c r="D482" s="1" t="s">
        <v>161</v>
      </c>
      <c r="E482" s="1" t="s">
        <v>11</v>
      </c>
      <c r="F482" s="1" t="s">
        <v>165</v>
      </c>
      <c r="H482" s="1">
        <v>0.0</v>
      </c>
      <c r="I482" s="1">
        <v>0.0</v>
      </c>
      <c r="J482" s="1">
        <v>0.0</v>
      </c>
      <c r="K482" s="1">
        <v>0.0</v>
      </c>
      <c r="L482" s="1">
        <v>0.0</v>
      </c>
      <c r="N482" s="1">
        <v>0.800000012</v>
      </c>
    </row>
    <row r="483" ht="15.75" customHeight="1">
      <c r="A483" s="1" t="s">
        <v>164</v>
      </c>
      <c r="B483" s="1" t="s">
        <v>49</v>
      </c>
      <c r="C483" s="5">
        <v>45698.0</v>
      </c>
      <c r="D483" s="1" t="s">
        <v>161</v>
      </c>
      <c r="E483" s="1" t="s">
        <v>11</v>
      </c>
      <c r="F483" s="1" t="s">
        <v>162</v>
      </c>
      <c r="G483" s="1" t="s">
        <v>163</v>
      </c>
      <c r="H483" s="1">
        <v>1.0</v>
      </c>
      <c r="I483" s="1">
        <v>1.0</v>
      </c>
      <c r="J483" s="1">
        <v>0.0</v>
      </c>
      <c r="K483" s="1">
        <v>12.0</v>
      </c>
      <c r="L483" s="1">
        <v>14.0</v>
      </c>
      <c r="M483" s="1">
        <v>0.857142857</v>
      </c>
      <c r="N483" s="1">
        <v>37.13999939</v>
      </c>
    </row>
    <row r="484" ht="15.75" customHeight="1">
      <c r="A484" s="1" t="s">
        <v>164</v>
      </c>
      <c r="B484" s="1" t="s">
        <v>49</v>
      </c>
      <c r="C484" s="5">
        <v>45698.0</v>
      </c>
      <c r="D484" s="1" t="s">
        <v>161</v>
      </c>
      <c r="E484" s="1" t="s">
        <v>11</v>
      </c>
      <c r="F484" s="1" t="s">
        <v>177</v>
      </c>
      <c r="G484" s="1" t="s">
        <v>163</v>
      </c>
      <c r="H484" s="1">
        <v>1.0</v>
      </c>
      <c r="I484" s="1">
        <v>0.0</v>
      </c>
      <c r="J484" s="1">
        <v>0.0</v>
      </c>
      <c r="K484" s="1">
        <v>0.0</v>
      </c>
      <c r="L484" s="1">
        <v>3.0</v>
      </c>
      <c r="M484" s="1">
        <v>0.0</v>
      </c>
      <c r="N484" s="1">
        <v>0.0</v>
      </c>
    </row>
    <row r="485" ht="15.75" customHeight="1">
      <c r="A485" s="1" t="s">
        <v>164</v>
      </c>
      <c r="B485" s="1" t="s">
        <v>64</v>
      </c>
      <c r="C485" s="5">
        <v>45698.0</v>
      </c>
      <c r="D485" s="1" t="s">
        <v>161</v>
      </c>
      <c r="E485" s="1" t="s">
        <v>11</v>
      </c>
      <c r="F485" s="1" t="s">
        <v>166</v>
      </c>
      <c r="G485" s="1" t="s">
        <v>163</v>
      </c>
      <c r="H485" s="1">
        <v>1.0</v>
      </c>
      <c r="I485" s="1">
        <v>0.0</v>
      </c>
      <c r="J485" s="1">
        <v>0.0</v>
      </c>
      <c r="K485" s="1">
        <v>2.0</v>
      </c>
      <c r="L485" s="1">
        <v>4.0</v>
      </c>
      <c r="M485" s="1">
        <v>0.5</v>
      </c>
      <c r="N485" s="1">
        <v>7.110000134</v>
      </c>
    </row>
    <row r="486" ht="15.75" customHeight="1">
      <c r="A486" s="1" t="s">
        <v>164</v>
      </c>
      <c r="B486" s="1" t="s">
        <v>179</v>
      </c>
      <c r="C486" s="5">
        <v>45698.0</v>
      </c>
      <c r="D486" s="1" t="s">
        <v>161</v>
      </c>
      <c r="E486" s="1" t="s">
        <v>11</v>
      </c>
      <c r="F486" s="1" t="s">
        <v>166</v>
      </c>
      <c r="H486" s="1">
        <v>0.0</v>
      </c>
      <c r="I486" s="1">
        <v>0.0</v>
      </c>
      <c r="J486" s="1">
        <v>0.0</v>
      </c>
      <c r="K486" s="1">
        <v>8.0</v>
      </c>
      <c r="L486" s="1">
        <v>20.0</v>
      </c>
      <c r="M486" s="1">
        <v>0.4</v>
      </c>
      <c r="N486" s="1">
        <v>6.789999962</v>
      </c>
    </row>
    <row r="487" ht="15.75" customHeight="1">
      <c r="A487" s="1" t="s">
        <v>164</v>
      </c>
      <c r="B487" s="1" t="s">
        <v>63</v>
      </c>
      <c r="C487" s="5">
        <v>45698.0</v>
      </c>
      <c r="D487" s="1" t="s">
        <v>161</v>
      </c>
      <c r="E487" s="1" t="s">
        <v>11</v>
      </c>
      <c r="F487" s="1" t="s">
        <v>166</v>
      </c>
      <c r="H487" s="1">
        <v>0.0</v>
      </c>
      <c r="I487" s="1">
        <v>0.0</v>
      </c>
      <c r="J487" s="1">
        <v>0.0</v>
      </c>
      <c r="K487" s="1">
        <v>7.0</v>
      </c>
      <c r="L487" s="1">
        <v>15.0</v>
      </c>
      <c r="M487" s="1">
        <v>0.466666667</v>
      </c>
      <c r="N487" s="1">
        <v>10.60999966</v>
      </c>
    </row>
    <row r="488" ht="15.75" customHeight="1">
      <c r="A488" s="1" t="s">
        <v>164</v>
      </c>
      <c r="B488" s="1" t="s">
        <v>68</v>
      </c>
      <c r="C488" s="5">
        <v>45698.0</v>
      </c>
      <c r="D488" s="1" t="s">
        <v>161</v>
      </c>
      <c r="E488" s="1" t="s">
        <v>11</v>
      </c>
      <c r="F488" s="1" t="s">
        <v>165</v>
      </c>
      <c r="H488" s="1">
        <v>0.0</v>
      </c>
      <c r="I488" s="1">
        <v>0.0</v>
      </c>
      <c r="J488" s="1">
        <v>0.0</v>
      </c>
      <c r="K488" s="1">
        <v>3.0</v>
      </c>
      <c r="L488" s="1">
        <v>9.0</v>
      </c>
      <c r="M488" s="1">
        <v>0.333333333</v>
      </c>
      <c r="N488" s="1">
        <v>7.099999905</v>
      </c>
    </row>
    <row r="489" ht="15.75" customHeight="1">
      <c r="A489" s="1" t="s">
        <v>164</v>
      </c>
      <c r="B489" s="1" t="s">
        <v>74</v>
      </c>
      <c r="C489" s="5">
        <v>45698.0</v>
      </c>
      <c r="D489" s="1" t="s">
        <v>161</v>
      </c>
      <c r="E489" s="1" t="s">
        <v>11</v>
      </c>
      <c r="F489" s="1" t="s">
        <v>166</v>
      </c>
      <c r="H489" s="1">
        <v>0.0</v>
      </c>
      <c r="I489" s="1">
        <v>0.0</v>
      </c>
      <c r="J489" s="1">
        <v>0.0</v>
      </c>
      <c r="K489" s="1">
        <v>0.0</v>
      </c>
      <c r="L489" s="1">
        <v>0.0</v>
      </c>
      <c r="N489" s="1">
        <v>4.389999866</v>
      </c>
    </row>
    <row r="490" ht="15.75" customHeight="1">
      <c r="A490" s="1" t="s">
        <v>164</v>
      </c>
      <c r="B490" s="1" t="s">
        <v>75</v>
      </c>
      <c r="C490" s="5">
        <v>45698.0</v>
      </c>
      <c r="D490" s="1" t="s">
        <v>161</v>
      </c>
      <c r="E490" s="1" t="s">
        <v>11</v>
      </c>
      <c r="F490" s="1" t="s">
        <v>165</v>
      </c>
      <c r="H490" s="1">
        <v>0.0</v>
      </c>
      <c r="I490" s="1">
        <v>0.0</v>
      </c>
      <c r="J490" s="1">
        <v>0.0</v>
      </c>
      <c r="K490" s="1">
        <v>0.0</v>
      </c>
      <c r="L490" s="1">
        <v>1.0</v>
      </c>
      <c r="M490" s="1">
        <v>0.0</v>
      </c>
      <c r="N490" s="1">
        <v>9.430000305</v>
      </c>
    </row>
    <row r="491" ht="15.75" customHeight="1">
      <c r="A491" s="1" t="s">
        <v>164</v>
      </c>
      <c r="B491" s="1" t="s">
        <v>82</v>
      </c>
      <c r="C491" s="5">
        <v>45698.0</v>
      </c>
      <c r="D491" s="1" t="s">
        <v>161</v>
      </c>
      <c r="E491" s="1" t="s">
        <v>11</v>
      </c>
      <c r="F491" s="1" t="s">
        <v>166</v>
      </c>
      <c r="G491" s="1" t="s">
        <v>182</v>
      </c>
      <c r="H491" s="1">
        <v>2.0</v>
      </c>
      <c r="I491" s="1">
        <v>0.0</v>
      </c>
      <c r="J491" s="1">
        <v>0.0</v>
      </c>
      <c r="K491" s="1">
        <v>3.0</v>
      </c>
      <c r="L491" s="1">
        <v>7.0</v>
      </c>
      <c r="M491" s="1">
        <v>0.428571429</v>
      </c>
      <c r="N491" s="1">
        <v>8.800000191</v>
      </c>
    </row>
    <row r="492" ht="15.75" customHeight="1">
      <c r="A492" s="1" t="s">
        <v>164</v>
      </c>
      <c r="B492" s="1" t="s">
        <v>82</v>
      </c>
      <c r="C492" s="5">
        <v>45698.0</v>
      </c>
      <c r="D492" s="1" t="s">
        <v>161</v>
      </c>
      <c r="E492" s="1" t="s">
        <v>11</v>
      </c>
      <c r="F492" s="1" t="s">
        <v>169</v>
      </c>
      <c r="G492" s="1" t="s">
        <v>182</v>
      </c>
      <c r="H492" s="1">
        <v>2.0</v>
      </c>
      <c r="I492" s="1">
        <v>0.0</v>
      </c>
      <c r="J492" s="1">
        <v>0.0</v>
      </c>
      <c r="K492" s="1">
        <v>0.0</v>
      </c>
      <c r="L492" s="1">
        <v>1.0</v>
      </c>
      <c r="M492" s="1">
        <v>0.0</v>
      </c>
      <c r="N492" s="1">
        <v>0.0</v>
      </c>
    </row>
    <row r="493" ht="15.75" customHeight="1">
      <c r="A493" s="1" t="s">
        <v>160</v>
      </c>
      <c r="B493" s="1" t="s">
        <v>29</v>
      </c>
      <c r="C493" s="5">
        <v>45695.0</v>
      </c>
      <c r="D493" s="1" t="s">
        <v>161</v>
      </c>
      <c r="E493" s="1" t="s">
        <v>11</v>
      </c>
      <c r="F493" s="1" t="s">
        <v>165</v>
      </c>
      <c r="H493" s="1">
        <v>0.0</v>
      </c>
      <c r="I493" s="1">
        <v>1.0</v>
      </c>
      <c r="J493" s="1">
        <v>0.0</v>
      </c>
      <c r="K493" s="1">
        <v>12.0</v>
      </c>
      <c r="L493" s="1">
        <v>12.0</v>
      </c>
      <c r="M493" s="1">
        <v>1.0</v>
      </c>
      <c r="N493" s="1">
        <v>6.6199998860000004</v>
      </c>
    </row>
    <row r="494" ht="15.75" customHeight="1">
      <c r="A494" s="1" t="s">
        <v>160</v>
      </c>
      <c r="B494" s="1" t="s">
        <v>65</v>
      </c>
      <c r="C494" s="5">
        <v>45695.0</v>
      </c>
      <c r="D494" s="1" t="s">
        <v>161</v>
      </c>
      <c r="E494" s="1" t="s">
        <v>11</v>
      </c>
      <c r="H494" s="1">
        <v>0.0</v>
      </c>
      <c r="J494" s="1">
        <v>0.0</v>
      </c>
      <c r="N494" s="1">
        <v>0.02</v>
      </c>
    </row>
    <row r="495" ht="15.75" customHeight="1">
      <c r="A495" s="1" t="s">
        <v>160</v>
      </c>
      <c r="B495" s="1" t="s">
        <v>192</v>
      </c>
      <c r="C495" s="5">
        <v>45695.0</v>
      </c>
      <c r="D495" s="1" t="s">
        <v>161</v>
      </c>
      <c r="E495" s="1" t="s">
        <v>11</v>
      </c>
      <c r="F495" s="1" t="s">
        <v>165</v>
      </c>
      <c r="H495" s="1">
        <v>0.0</v>
      </c>
      <c r="I495" s="1">
        <v>2.0</v>
      </c>
      <c r="J495" s="1">
        <v>0.0</v>
      </c>
      <c r="K495" s="1">
        <v>64.0</v>
      </c>
      <c r="L495" s="1">
        <v>84.0</v>
      </c>
      <c r="M495" s="1">
        <v>0.761904762</v>
      </c>
      <c r="N495" s="1">
        <v>39.34000015</v>
      </c>
    </row>
    <row r="496" ht="15.75" customHeight="1">
      <c r="A496" s="1" t="s">
        <v>164</v>
      </c>
      <c r="B496" s="1" t="s">
        <v>24</v>
      </c>
      <c r="C496" s="5">
        <v>45695.0</v>
      </c>
      <c r="D496" s="1" t="s">
        <v>161</v>
      </c>
      <c r="E496" s="1" t="s">
        <v>11</v>
      </c>
      <c r="H496" s="1">
        <v>0.0</v>
      </c>
      <c r="J496" s="1">
        <v>0.0</v>
      </c>
      <c r="N496" s="1">
        <v>4.849999905</v>
      </c>
    </row>
    <row r="497" ht="15.75" customHeight="1">
      <c r="A497" s="1" t="s">
        <v>164</v>
      </c>
      <c r="B497" s="1" t="s">
        <v>49</v>
      </c>
      <c r="C497" s="5">
        <v>45695.0</v>
      </c>
      <c r="D497" s="1" t="s">
        <v>161</v>
      </c>
      <c r="E497" s="1" t="s">
        <v>11</v>
      </c>
      <c r="F497" s="1" t="s">
        <v>162</v>
      </c>
      <c r="G497" s="1" t="s">
        <v>163</v>
      </c>
      <c r="H497" s="1">
        <v>1.0</v>
      </c>
      <c r="I497" s="1">
        <v>0.0</v>
      </c>
      <c r="J497" s="1">
        <v>0.0</v>
      </c>
      <c r="K497" s="1">
        <v>20.0</v>
      </c>
      <c r="L497" s="1">
        <v>43.0</v>
      </c>
      <c r="M497" s="1">
        <v>0.465116279</v>
      </c>
      <c r="N497" s="1">
        <v>42.5</v>
      </c>
    </row>
    <row r="498" ht="15.75" customHeight="1">
      <c r="A498" s="1" t="s">
        <v>164</v>
      </c>
      <c r="B498" s="1" t="s">
        <v>64</v>
      </c>
      <c r="C498" s="5">
        <v>45695.0</v>
      </c>
      <c r="D498" s="1" t="s">
        <v>161</v>
      </c>
      <c r="E498" s="1" t="s">
        <v>11</v>
      </c>
      <c r="F498" s="1" t="s">
        <v>166</v>
      </c>
      <c r="H498" s="1">
        <v>0.0</v>
      </c>
      <c r="I498" s="1">
        <v>0.0</v>
      </c>
      <c r="J498" s="1">
        <v>0.0</v>
      </c>
      <c r="K498" s="1">
        <v>0.0</v>
      </c>
      <c r="L498" s="1">
        <v>0.0</v>
      </c>
      <c r="N498" s="1">
        <v>2.630000114</v>
      </c>
    </row>
    <row r="499" ht="15.75" customHeight="1">
      <c r="A499" s="1" t="s">
        <v>164</v>
      </c>
      <c r="B499" s="1" t="s">
        <v>81</v>
      </c>
      <c r="C499" s="5">
        <v>45695.0</v>
      </c>
      <c r="D499" s="1" t="s">
        <v>161</v>
      </c>
      <c r="E499" s="1" t="s">
        <v>11</v>
      </c>
      <c r="F499" s="1" t="s">
        <v>168</v>
      </c>
      <c r="H499" s="1">
        <v>0.0</v>
      </c>
      <c r="I499" s="1">
        <v>0.0</v>
      </c>
      <c r="J499" s="1">
        <v>0.0</v>
      </c>
      <c r="K499" s="1">
        <v>0.0</v>
      </c>
      <c r="L499" s="1">
        <v>0.0</v>
      </c>
      <c r="N499" s="1">
        <v>2.859999895</v>
      </c>
    </row>
    <row r="500" ht="15.75" customHeight="1">
      <c r="A500" s="1" t="s">
        <v>164</v>
      </c>
      <c r="B500" s="1" t="s">
        <v>63</v>
      </c>
      <c r="C500" s="5">
        <v>45695.0</v>
      </c>
      <c r="D500" s="1" t="s">
        <v>161</v>
      </c>
      <c r="E500" s="1" t="s">
        <v>11</v>
      </c>
      <c r="F500" s="1" t="s">
        <v>166</v>
      </c>
      <c r="H500" s="1">
        <v>0.0</v>
      </c>
      <c r="I500" s="1">
        <v>0.0</v>
      </c>
      <c r="J500" s="1">
        <v>0.0</v>
      </c>
      <c r="K500" s="1">
        <v>0.0</v>
      </c>
      <c r="L500" s="1">
        <v>0.0</v>
      </c>
      <c r="N500" s="1">
        <v>0.050000001</v>
      </c>
    </row>
    <row r="501" ht="15.75" customHeight="1">
      <c r="A501" s="1" t="s">
        <v>164</v>
      </c>
      <c r="B501" s="1" t="s">
        <v>82</v>
      </c>
      <c r="C501" s="5">
        <v>45695.0</v>
      </c>
      <c r="D501" s="1" t="s">
        <v>161</v>
      </c>
      <c r="E501" s="1" t="s">
        <v>11</v>
      </c>
      <c r="H501" s="1">
        <v>0.0</v>
      </c>
      <c r="J501" s="1">
        <v>0.0</v>
      </c>
      <c r="N501" s="1">
        <v>1.639999986</v>
      </c>
    </row>
    <row r="502" ht="15.75" customHeight="1">
      <c r="A502" s="1" t="s">
        <v>160</v>
      </c>
      <c r="B502" s="1" t="s">
        <v>29</v>
      </c>
      <c r="C502" s="5">
        <v>45694.0</v>
      </c>
      <c r="D502" s="1" t="s">
        <v>161</v>
      </c>
      <c r="E502" s="1" t="s">
        <v>11</v>
      </c>
      <c r="F502" s="1" t="s">
        <v>165</v>
      </c>
      <c r="H502" s="1">
        <v>0.0</v>
      </c>
      <c r="I502" s="1">
        <v>2.0</v>
      </c>
      <c r="J502" s="1">
        <v>0.0</v>
      </c>
      <c r="K502" s="1">
        <v>30.0</v>
      </c>
      <c r="L502" s="1">
        <v>39.0</v>
      </c>
      <c r="M502" s="1">
        <v>0.769230769</v>
      </c>
      <c r="N502" s="1">
        <v>54.54000092</v>
      </c>
    </row>
    <row r="503" ht="15.75" customHeight="1">
      <c r="A503" s="1" t="s">
        <v>160</v>
      </c>
      <c r="B503" s="1" t="s">
        <v>39</v>
      </c>
      <c r="C503" s="5">
        <v>45694.0</v>
      </c>
      <c r="D503" s="1" t="s">
        <v>161</v>
      </c>
      <c r="E503" s="1" t="s">
        <v>11</v>
      </c>
      <c r="F503" s="1" t="s">
        <v>162</v>
      </c>
      <c r="H503" s="1">
        <v>0.0</v>
      </c>
      <c r="I503" s="1">
        <v>0.0</v>
      </c>
      <c r="J503" s="1">
        <v>0.0</v>
      </c>
      <c r="K503" s="1">
        <v>3.0</v>
      </c>
      <c r="L503" s="1">
        <v>10.0</v>
      </c>
      <c r="M503" s="1">
        <v>0.3</v>
      </c>
      <c r="N503" s="1">
        <v>11.40999985</v>
      </c>
    </row>
    <row r="504" ht="15.75" customHeight="1">
      <c r="A504" s="1" t="s">
        <v>160</v>
      </c>
      <c r="B504" s="1" t="s">
        <v>39</v>
      </c>
      <c r="C504" s="5">
        <v>45694.0</v>
      </c>
      <c r="D504" s="1" t="s">
        <v>161</v>
      </c>
      <c r="E504" s="1" t="s">
        <v>11</v>
      </c>
      <c r="F504" s="1" t="s">
        <v>166</v>
      </c>
      <c r="H504" s="1">
        <v>0.0</v>
      </c>
      <c r="I504" s="1">
        <v>0.0</v>
      </c>
      <c r="J504" s="1">
        <v>0.0</v>
      </c>
      <c r="K504" s="1">
        <v>0.0</v>
      </c>
      <c r="L504" s="1">
        <v>0.0</v>
      </c>
      <c r="N504" s="1">
        <v>0.0</v>
      </c>
    </row>
    <row r="505" ht="15.75" customHeight="1">
      <c r="A505" s="1" t="s">
        <v>160</v>
      </c>
      <c r="B505" s="1" t="s">
        <v>65</v>
      </c>
      <c r="C505" s="5">
        <v>45694.0</v>
      </c>
      <c r="D505" s="1" t="s">
        <v>161</v>
      </c>
      <c r="E505" s="1" t="s">
        <v>11</v>
      </c>
      <c r="F505" s="1" t="s">
        <v>162</v>
      </c>
      <c r="H505" s="1">
        <v>0.0</v>
      </c>
      <c r="I505" s="1">
        <v>0.0</v>
      </c>
      <c r="J505" s="1">
        <v>0.0</v>
      </c>
      <c r="K505" s="1">
        <v>5.0</v>
      </c>
      <c r="L505" s="1">
        <v>6.0</v>
      </c>
      <c r="M505" s="1">
        <v>0.833333333</v>
      </c>
      <c r="N505" s="1">
        <v>11.93000031</v>
      </c>
    </row>
    <row r="506" ht="15.75" customHeight="1">
      <c r="A506" s="1" t="s">
        <v>160</v>
      </c>
      <c r="B506" s="1" t="s">
        <v>77</v>
      </c>
      <c r="C506" s="5">
        <v>45694.0</v>
      </c>
      <c r="D506" s="1" t="s">
        <v>161</v>
      </c>
      <c r="E506" s="1" t="s">
        <v>11</v>
      </c>
      <c r="F506" s="1" t="s">
        <v>162</v>
      </c>
      <c r="G506" s="1" t="s">
        <v>163</v>
      </c>
      <c r="H506" s="1">
        <v>1.0</v>
      </c>
      <c r="I506" s="1">
        <v>0.0</v>
      </c>
      <c r="J506" s="1">
        <v>0.0</v>
      </c>
      <c r="K506" s="1">
        <v>6.0</v>
      </c>
      <c r="L506" s="1">
        <v>8.0</v>
      </c>
      <c r="M506" s="1">
        <v>0.75</v>
      </c>
      <c r="N506" s="1">
        <v>12.14000034</v>
      </c>
    </row>
    <row r="507" ht="15.75" customHeight="1">
      <c r="A507" s="1" t="s">
        <v>160</v>
      </c>
      <c r="B507" s="1" t="s">
        <v>90</v>
      </c>
      <c r="C507" s="5">
        <v>45694.0</v>
      </c>
      <c r="D507" s="1" t="s">
        <v>161</v>
      </c>
      <c r="E507" s="1" t="s">
        <v>11</v>
      </c>
      <c r="F507" s="1" t="s">
        <v>165</v>
      </c>
      <c r="H507" s="1">
        <v>0.0</v>
      </c>
      <c r="I507" s="1">
        <v>0.0</v>
      </c>
      <c r="J507" s="1">
        <v>0.0</v>
      </c>
      <c r="K507" s="1">
        <v>6.0</v>
      </c>
      <c r="L507" s="1">
        <v>10.0</v>
      </c>
      <c r="M507" s="1">
        <v>0.6</v>
      </c>
      <c r="N507" s="1">
        <v>11.97000027</v>
      </c>
    </row>
    <row r="508" ht="15.75" customHeight="1">
      <c r="A508" s="1" t="s">
        <v>164</v>
      </c>
      <c r="B508" s="1" t="s">
        <v>49</v>
      </c>
      <c r="C508" s="5">
        <v>45694.0</v>
      </c>
      <c r="D508" s="1" t="s">
        <v>161</v>
      </c>
      <c r="E508" s="1" t="s">
        <v>11</v>
      </c>
      <c r="F508" s="1" t="s">
        <v>162</v>
      </c>
      <c r="G508" s="1" t="s">
        <v>163</v>
      </c>
      <c r="H508" s="1">
        <v>1.0</v>
      </c>
      <c r="I508" s="1">
        <v>0.0</v>
      </c>
      <c r="J508" s="1">
        <v>0.0</v>
      </c>
      <c r="K508" s="1">
        <v>4.0</v>
      </c>
      <c r="L508" s="1">
        <v>9.0</v>
      </c>
      <c r="M508" s="1">
        <v>0.444444444</v>
      </c>
      <c r="N508" s="1">
        <v>18.48999977</v>
      </c>
    </row>
    <row r="509" ht="15.75" customHeight="1">
      <c r="A509" s="1" t="s">
        <v>164</v>
      </c>
      <c r="B509" s="1" t="s">
        <v>76</v>
      </c>
      <c r="C509" s="5">
        <v>45694.0</v>
      </c>
      <c r="D509" s="1" t="s">
        <v>161</v>
      </c>
      <c r="E509" s="1" t="s">
        <v>11</v>
      </c>
      <c r="F509" s="1" t="s">
        <v>162</v>
      </c>
      <c r="H509" s="1">
        <v>0.0</v>
      </c>
      <c r="I509" s="1">
        <v>0.0</v>
      </c>
      <c r="J509" s="1">
        <v>0.0</v>
      </c>
      <c r="K509" s="1">
        <v>0.0</v>
      </c>
      <c r="L509" s="1">
        <v>0.0</v>
      </c>
      <c r="N509" s="1">
        <v>0.920000017</v>
      </c>
    </row>
    <row r="510" ht="15.75" customHeight="1">
      <c r="A510" s="1" t="s">
        <v>164</v>
      </c>
      <c r="B510" s="1" t="s">
        <v>82</v>
      </c>
      <c r="C510" s="5">
        <v>45694.0</v>
      </c>
      <c r="D510" s="1" t="s">
        <v>161</v>
      </c>
      <c r="E510" s="1" t="s">
        <v>11</v>
      </c>
      <c r="H510" s="1">
        <v>0.0</v>
      </c>
      <c r="J510" s="1">
        <v>0.0</v>
      </c>
      <c r="N510" s="1">
        <v>0.119999997</v>
      </c>
    </row>
    <row r="511" ht="15.75" customHeight="1">
      <c r="A511" s="1" t="s">
        <v>160</v>
      </c>
      <c r="B511" s="1" t="s">
        <v>29</v>
      </c>
      <c r="C511" s="5">
        <v>45693.0</v>
      </c>
      <c r="D511" s="1" t="s">
        <v>161</v>
      </c>
      <c r="E511" s="1" t="s">
        <v>11</v>
      </c>
      <c r="F511" s="1" t="s">
        <v>165</v>
      </c>
      <c r="G511" s="1" t="s">
        <v>194</v>
      </c>
      <c r="H511" s="1">
        <v>1.0</v>
      </c>
      <c r="I511" s="1">
        <v>1.0</v>
      </c>
      <c r="J511" s="1">
        <v>0.0</v>
      </c>
      <c r="K511" s="1">
        <v>17.0</v>
      </c>
      <c r="L511" s="1">
        <v>20.0</v>
      </c>
      <c r="M511" s="1">
        <v>0.85</v>
      </c>
      <c r="N511" s="1">
        <v>7.199999809</v>
      </c>
    </row>
    <row r="512" ht="15.75" customHeight="1">
      <c r="A512" s="1" t="s">
        <v>160</v>
      </c>
      <c r="B512" s="1" t="s">
        <v>18</v>
      </c>
      <c r="C512" s="5">
        <v>45693.0</v>
      </c>
      <c r="D512" s="1" t="s">
        <v>161</v>
      </c>
      <c r="E512" s="1" t="s">
        <v>11</v>
      </c>
      <c r="F512" s="1" t="s">
        <v>162</v>
      </c>
      <c r="G512" s="1" t="s">
        <v>163</v>
      </c>
      <c r="H512" s="1">
        <v>1.0</v>
      </c>
      <c r="I512" s="1">
        <v>0.0</v>
      </c>
      <c r="J512" s="1">
        <v>0.0</v>
      </c>
      <c r="K512" s="1">
        <v>4.0</v>
      </c>
      <c r="L512" s="1">
        <v>6.0</v>
      </c>
      <c r="M512" s="1">
        <v>0.666666667</v>
      </c>
      <c r="N512" s="1">
        <v>5.139999866</v>
      </c>
    </row>
    <row r="513" ht="15.75" customHeight="1">
      <c r="A513" s="1" t="s">
        <v>160</v>
      </c>
      <c r="B513" s="1" t="s">
        <v>195</v>
      </c>
      <c r="C513" s="5">
        <v>45693.0</v>
      </c>
      <c r="D513" s="1" t="s">
        <v>161</v>
      </c>
      <c r="E513" s="1" t="s">
        <v>11</v>
      </c>
      <c r="F513" s="1" t="s">
        <v>165</v>
      </c>
      <c r="G513" s="1" t="s">
        <v>163</v>
      </c>
      <c r="H513" s="1">
        <v>1.0</v>
      </c>
      <c r="I513" s="1">
        <v>1.0</v>
      </c>
      <c r="J513" s="1">
        <v>0.0</v>
      </c>
      <c r="K513" s="1">
        <v>36.0</v>
      </c>
      <c r="L513" s="1">
        <v>55.0</v>
      </c>
      <c r="M513" s="1">
        <v>0.654545455</v>
      </c>
      <c r="N513" s="1">
        <v>0.99000001</v>
      </c>
    </row>
    <row r="514" ht="15.75" customHeight="1">
      <c r="A514" s="1" t="s">
        <v>160</v>
      </c>
      <c r="B514" s="1" t="s">
        <v>109</v>
      </c>
      <c r="C514" s="5">
        <v>45693.0</v>
      </c>
      <c r="D514" s="1" t="s">
        <v>161</v>
      </c>
      <c r="E514" s="1" t="s">
        <v>11</v>
      </c>
      <c r="F514" s="1" t="s">
        <v>162</v>
      </c>
      <c r="H514" s="1">
        <v>0.0</v>
      </c>
      <c r="I514" s="1">
        <v>0.0</v>
      </c>
      <c r="J514" s="1">
        <v>0.0</v>
      </c>
      <c r="K514" s="1">
        <v>4.0</v>
      </c>
      <c r="L514" s="1">
        <v>12.0</v>
      </c>
      <c r="M514" s="1">
        <v>0.333333333</v>
      </c>
      <c r="N514" s="1">
        <v>24.35000038</v>
      </c>
    </row>
    <row r="515" ht="15.75" customHeight="1">
      <c r="A515" s="1" t="s">
        <v>164</v>
      </c>
      <c r="B515" s="1" t="s">
        <v>24</v>
      </c>
      <c r="C515" s="5">
        <v>45693.0</v>
      </c>
      <c r="D515" s="1" t="s">
        <v>161</v>
      </c>
      <c r="E515" s="1" t="s">
        <v>11</v>
      </c>
      <c r="F515" s="1" t="s">
        <v>166</v>
      </c>
      <c r="G515" s="1" t="s">
        <v>163</v>
      </c>
      <c r="H515" s="1">
        <v>1.0</v>
      </c>
      <c r="I515" s="1">
        <v>0.0</v>
      </c>
      <c r="J515" s="1">
        <v>0.0</v>
      </c>
      <c r="K515" s="1">
        <v>0.0</v>
      </c>
      <c r="L515" s="1">
        <v>2.0</v>
      </c>
      <c r="M515" s="1">
        <v>0.0</v>
      </c>
      <c r="N515" s="1">
        <v>6.21999979</v>
      </c>
    </row>
    <row r="516" ht="15.75" customHeight="1">
      <c r="A516" s="1" t="s">
        <v>164</v>
      </c>
      <c r="B516" s="1" t="s">
        <v>49</v>
      </c>
      <c r="C516" s="5">
        <v>45693.0</v>
      </c>
      <c r="D516" s="1" t="s">
        <v>161</v>
      </c>
      <c r="E516" s="1" t="s">
        <v>11</v>
      </c>
      <c r="F516" s="1" t="s">
        <v>162</v>
      </c>
      <c r="G516" s="1" t="s">
        <v>163</v>
      </c>
      <c r="H516" s="1">
        <v>1.0</v>
      </c>
      <c r="I516" s="1">
        <v>0.0</v>
      </c>
      <c r="J516" s="1">
        <v>0.0</v>
      </c>
      <c r="K516" s="1">
        <v>17.0</v>
      </c>
      <c r="L516" s="1">
        <v>45.0</v>
      </c>
      <c r="M516" s="1">
        <v>0.377777778</v>
      </c>
      <c r="N516" s="1">
        <v>48.34999847</v>
      </c>
    </row>
    <row r="517" ht="15.75" customHeight="1">
      <c r="A517" s="1" t="s">
        <v>164</v>
      </c>
      <c r="B517" s="1" t="s">
        <v>64</v>
      </c>
      <c r="C517" s="5">
        <v>45693.0</v>
      </c>
      <c r="D517" s="1" t="s">
        <v>161</v>
      </c>
      <c r="E517" s="1" t="s">
        <v>11</v>
      </c>
      <c r="F517" s="1" t="s">
        <v>166</v>
      </c>
      <c r="G517" s="1" t="s">
        <v>163</v>
      </c>
      <c r="H517" s="1">
        <v>1.0</v>
      </c>
      <c r="I517" s="1">
        <v>0.0</v>
      </c>
      <c r="J517" s="1">
        <v>0.0</v>
      </c>
      <c r="K517" s="1">
        <v>2.0</v>
      </c>
      <c r="L517" s="1">
        <v>10.0</v>
      </c>
      <c r="M517" s="1">
        <v>0.2</v>
      </c>
      <c r="N517" s="1">
        <v>8.050000191</v>
      </c>
    </row>
    <row r="518" ht="15.75" customHeight="1">
      <c r="A518" s="1" t="s">
        <v>164</v>
      </c>
      <c r="B518" s="1" t="s">
        <v>51</v>
      </c>
      <c r="C518" s="5">
        <v>45693.0</v>
      </c>
      <c r="D518" s="1" t="s">
        <v>161</v>
      </c>
      <c r="E518" s="1" t="s">
        <v>11</v>
      </c>
      <c r="F518" s="1" t="s">
        <v>162</v>
      </c>
      <c r="G518" s="1" t="s">
        <v>163</v>
      </c>
      <c r="H518" s="1">
        <v>1.0</v>
      </c>
      <c r="I518" s="1">
        <v>0.0</v>
      </c>
      <c r="J518" s="1">
        <v>0.0</v>
      </c>
      <c r="K518" s="1">
        <v>0.0</v>
      </c>
      <c r="L518" s="1">
        <v>1.0</v>
      </c>
      <c r="M518" s="1">
        <v>0.0</v>
      </c>
      <c r="N518" s="1">
        <v>1.50999999</v>
      </c>
    </row>
    <row r="519" ht="15.75" customHeight="1">
      <c r="A519" s="1" t="s">
        <v>164</v>
      </c>
      <c r="B519" s="1" t="s">
        <v>74</v>
      </c>
      <c r="C519" s="5">
        <v>45693.0</v>
      </c>
      <c r="D519" s="1" t="s">
        <v>161</v>
      </c>
      <c r="E519" s="1" t="s">
        <v>11</v>
      </c>
      <c r="H519" s="1">
        <v>0.0</v>
      </c>
      <c r="J519" s="1">
        <v>0.0</v>
      </c>
      <c r="N519" s="1">
        <v>0.029999999</v>
      </c>
    </row>
    <row r="520" ht="15.75" customHeight="1">
      <c r="A520" s="1" t="s">
        <v>164</v>
      </c>
      <c r="B520" s="1" t="s">
        <v>75</v>
      </c>
      <c r="C520" s="5">
        <v>45693.0</v>
      </c>
      <c r="D520" s="1" t="s">
        <v>161</v>
      </c>
      <c r="E520" s="1" t="s">
        <v>11</v>
      </c>
      <c r="H520" s="1">
        <v>0.0</v>
      </c>
      <c r="J520" s="1">
        <v>0.0</v>
      </c>
      <c r="N520" s="1">
        <v>0.02</v>
      </c>
    </row>
    <row r="521" ht="15.75" customHeight="1">
      <c r="A521" s="1" t="s">
        <v>164</v>
      </c>
      <c r="B521" s="1" t="s">
        <v>82</v>
      </c>
      <c r="C521" s="5">
        <v>45693.0</v>
      </c>
      <c r="D521" s="1" t="s">
        <v>161</v>
      </c>
      <c r="E521" s="1" t="s">
        <v>11</v>
      </c>
      <c r="F521" s="1" t="s">
        <v>166</v>
      </c>
      <c r="G521" s="1" t="s">
        <v>163</v>
      </c>
      <c r="H521" s="1">
        <v>1.0</v>
      </c>
      <c r="I521" s="1">
        <v>1.0</v>
      </c>
      <c r="J521" s="1">
        <v>0.0</v>
      </c>
      <c r="K521" s="1">
        <v>5.0</v>
      </c>
      <c r="L521" s="1">
        <v>8.0</v>
      </c>
      <c r="M521" s="1">
        <v>0.625</v>
      </c>
      <c r="N521" s="1">
        <v>13.78999996</v>
      </c>
    </row>
    <row r="522" ht="15.75" customHeight="1">
      <c r="A522" s="1" t="s">
        <v>164</v>
      </c>
      <c r="B522" s="1" t="s">
        <v>82</v>
      </c>
      <c r="C522" s="5">
        <v>45693.0</v>
      </c>
      <c r="D522" s="1" t="s">
        <v>161</v>
      </c>
      <c r="E522" s="1" t="s">
        <v>11</v>
      </c>
      <c r="F522" s="1" t="s">
        <v>169</v>
      </c>
      <c r="G522" s="1" t="s">
        <v>163</v>
      </c>
      <c r="H522" s="1">
        <v>1.0</v>
      </c>
      <c r="I522" s="1">
        <v>0.0</v>
      </c>
      <c r="J522" s="1">
        <v>0.0</v>
      </c>
      <c r="K522" s="1">
        <v>3.0</v>
      </c>
      <c r="L522" s="1">
        <v>5.0</v>
      </c>
      <c r="M522" s="1">
        <v>0.6</v>
      </c>
      <c r="N522" s="1">
        <v>0.0</v>
      </c>
    </row>
    <row r="523" ht="15.75" customHeight="1">
      <c r="A523" s="1" t="s">
        <v>160</v>
      </c>
      <c r="B523" s="1" t="s">
        <v>29</v>
      </c>
      <c r="C523" s="5">
        <v>45692.0</v>
      </c>
      <c r="D523" s="1" t="s">
        <v>161</v>
      </c>
      <c r="E523" s="1" t="s">
        <v>11</v>
      </c>
      <c r="F523" s="1" t="s">
        <v>165</v>
      </c>
      <c r="H523" s="1">
        <v>0.0</v>
      </c>
      <c r="I523" s="1">
        <v>1.0</v>
      </c>
      <c r="J523" s="1">
        <v>0.0</v>
      </c>
      <c r="K523" s="1">
        <v>12.0</v>
      </c>
      <c r="L523" s="1">
        <v>12.0</v>
      </c>
      <c r="M523" s="1">
        <v>1.0</v>
      </c>
      <c r="N523" s="1">
        <v>18.29000092</v>
      </c>
    </row>
    <row r="524" ht="15.75" customHeight="1">
      <c r="A524" s="1" t="s">
        <v>160</v>
      </c>
      <c r="B524" s="1" t="s">
        <v>39</v>
      </c>
      <c r="C524" s="5">
        <v>45692.0</v>
      </c>
      <c r="D524" s="1" t="s">
        <v>161</v>
      </c>
      <c r="E524" s="1" t="s">
        <v>11</v>
      </c>
      <c r="F524" s="1" t="s">
        <v>162</v>
      </c>
      <c r="H524" s="1">
        <v>0.0</v>
      </c>
      <c r="I524" s="1">
        <v>0.0</v>
      </c>
      <c r="J524" s="1">
        <v>0.0</v>
      </c>
      <c r="K524" s="1">
        <v>0.0</v>
      </c>
      <c r="L524" s="1">
        <v>4.0</v>
      </c>
      <c r="M524" s="1">
        <v>0.0</v>
      </c>
      <c r="N524" s="1">
        <v>6.989999771</v>
      </c>
    </row>
    <row r="525" ht="15.75" customHeight="1">
      <c r="A525" s="1" t="s">
        <v>160</v>
      </c>
      <c r="B525" s="1" t="s">
        <v>39</v>
      </c>
      <c r="C525" s="5">
        <v>45692.0</v>
      </c>
      <c r="D525" s="1" t="s">
        <v>161</v>
      </c>
      <c r="E525" s="1" t="s">
        <v>11</v>
      </c>
      <c r="F525" s="1" t="s">
        <v>166</v>
      </c>
      <c r="H525" s="1">
        <v>0.0</v>
      </c>
      <c r="I525" s="1">
        <v>0.0</v>
      </c>
      <c r="J525" s="1">
        <v>0.0</v>
      </c>
      <c r="K525" s="1">
        <v>0.0</v>
      </c>
      <c r="L525" s="1">
        <v>0.0</v>
      </c>
      <c r="N525" s="1">
        <v>0.0</v>
      </c>
    </row>
    <row r="526" ht="15.75" customHeight="1">
      <c r="A526" s="1" t="s">
        <v>160</v>
      </c>
      <c r="B526" s="1" t="s">
        <v>65</v>
      </c>
      <c r="C526" s="5">
        <v>45692.0</v>
      </c>
      <c r="D526" s="1" t="s">
        <v>161</v>
      </c>
      <c r="E526" s="1" t="s">
        <v>11</v>
      </c>
      <c r="F526" s="1" t="s">
        <v>162</v>
      </c>
      <c r="G526" s="1" t="s">
        <v>182</v>
      </c>
      <c r="H526" s="1">
        <v>2.0</v>
      </c>
      <c r="I526" s="1">
        <v>0.0</v>
      </c>
      <c r="J526" s="1">
        <v>0.0</v>
      </c>
      <c r="K526" s="1">
        <v>2.0</v>
      </c>
      <c r="L526" s="1">
        <v>4.0</v>
      </c>
      <c r="M526" s="1">
        <v>0.5</v>
      </c>
      <c r="N526" s="1">
        <v>7.320000172</v>
      </c>
    </row>
    <row r="527" ht="15.75" customHeight="1">
      <c r="A527" s="1" t="s">
        <v>160</v>
      </c>
      <c r="B527" s="1" t="s">
        <v>77</v>
      </c>
      <c r="C527" s="5">
        <v>45692.0</v>
      </c>
      <c r="D527" s="1" t="s">
        <v>161</v>
      </c>
      <c r="E527" s="1" t="s">
        <v>11</v>
      </c>
      <c r="F527" s="1" t="s">
        <v>162</v>
      </c>
      <c r="G527" s="1" t="s">
        <v>182</v>
      </c>
      <c r="H527" s="1">
        <v>2.0</v>
      </c>
      <c r="I527" s="1">
        <v>0.0</v>
      </c>
      <c r="J527" s="1">
        <v>0.0</v>
      </c>
      <c r="K527" s="1">
        <v>4.0</v>
      </c>
      <c r="L527" s="1">
        <v>6.0</v>
      </c>
      <c r="M527" s="1">
        <v>0.666666667</v>
      </c>
      <c r="N527" s="1">
        <v>7.989999771</v>
      </c>
    </row>
    <row r="528" ht="15.75" customHeight="1">
      <c r="A528" s="1" t="s">
        <v>160</v>
      </c>
      <c r="B528" s="1" t="s">
        <v>90</v>
      </c>
      <c r="C528" s="5">
        <v>45692.0</v>
      </c>
      <c r="D528" s="1" t="s">
        <v>161</v>
      </c>
      <c r="E528" s="1" t="s">
        <v>11</v>
      </c>
      <c r="F528" s="1" t="s">
        <v>165</v>
      </c>
      <c r="G528" s="1" t="s">
        <v>182</v>
      </c>
      <c r="H528" s="1">
        <v>2.0</v>
      </c>
      <c r="I528" s="1">
        <v>0.0</v>
      </c>
      <c r="J528" s="1">
        <v>0.0</v>
      </c>
      <c r="K528" s="1">
        <v>4.0</v>
      </c>
      <c r="L528" s="1">
        <v>7.0</v>
      </c>
      <c r="M528" s="1">
        <v>0.571428571</v>
      </c>
      <c r="N528" s="1">
        <v>5.03000021</v>
      </c>
    </row>
    <row r="529" ht="15.75" customHeight="1">
      <c r="A529" s="1" t="s">
        <v>164</v>
      </c>
      <c r="B529" s="1" t="s">
        <v>24</v>
      </c>
      <c r="C529" s="5">
        <v>45692.0</v>
      </c>
      <c r="D529" s="1" t="s">
        <v>161</v>
      </c>
      <c r="E529" s="1" t="s">
        <v>11</v>
      </c>
      <c r="F529" s="1" t="s">
        <v>166</v>
      </c>
      <c r="G529" s="1" t="s">
        <v>163</v>
      </c>
      <c r="H529" s="1">
        <v>1.0</v>
      </c>
      <c r="I529" s="1">
        <v>0.0</v>
      </c>
      <c r="J529" s="1">
        <v>0.0</v>
      </c>
      <c r="K529" s="1">
        <v>1.0</v>
      </c>
      <c r="L529" s="1">
        <v>1.0</v>
      </c>
      <c r="M529" s="1">
        <v>1.0</v>
      </c>
      <c r="N529" s="1">
        <v>3.710000038</v>
      </c>
    </row>
    <row r="530" ht="15.75" customHeight="1">
      <c r="A530" s="1" t="s">
        <v>164</v>
      </c>
      <c r="B530" s="1" t="s">
        <v>49</v>
      </c>
      <c r="C530" s="5">
        <v>45692.0</v>
      </c>
      <c r="D530" s="1" t="s">
        <v>161</v>
      </c>
      <c r="E530" s="1" t="s">
        <v>11</v>
      </c>
      <c r="F530" s="1" t="s">
        <v>162</v>
      </c>
      <c r="G530" s="1" t="s">
        <v>163</v>
      </c>
      <c r="H530" s="1">
        <v>1.0</v>
      </c>
      <c r="I530" s="1">
        <v>0.0</v>
      </c>
      <c r="J530" s="1">
        <v>0.0</v>
      </c>
      <c r="K530" s="1">
        <v>7.0</v>
      </c>
      <c r="L530" s="1">
        <v>14.0</v>
      </c>
      <c r="M530" s="1">
        <v>0.5</v>
      </c>
      <c r="N530" s="1">
        <v>23.37000084</v>
      </c>
    </row>
    <row r="531" ht="15.75" customHeight="1">
      <c r="A531" s="1" t="s">
        <v>164</v>
      </c>
      <c r="B531" s="1" t="s">
        <v>64</v>
      </c>
      <c r="C531" s="5">
        <v>45692.0</v>
      </c>
      <c r="D531" s="1" t="s">
        <v>161</v>
      </c>
      <c r="E531" s="1" t="s">
        <v>11</v>
      </c>
      <c r="F531" s="1" t="s">
        <v>166</v>
      </c>
      <c r="H531" s="1">
        <v>0.0</v>
      </c>
      <c r="I531" s="1">
        <v>0.0</v>
      </c>
      <c r="J531" s="1">
        <v>0.0</v>
      </c>
      <c r="K531" s="1">
        <v>0.0</v>
      </c>
      <c r="L531" s="1">
        <v>0.0</v>
      </c>
      <c r="N531" s="1">
        <v>6.269999981</v>
      </c>
    </row>
    <row r="532" ht="15.75" customHeight="1">
      <c r="A532" s="1" t="s">
        <v>164</v>
      </c>
      <c r="B532" s="1" t="s">
        <v>60</v>
      </c>
      <c r="C532" s="5">
        <v>45692.0</v>
      </c>
      <c r="D532" s="1" t="s">
        <v>161</v>
      </c>
      <c r="E532" s="1" t="s">
        <v>11</v>
      </c>
      <c r="F532" s="1" t="s">
        <v>166</v>
      </c>
      <c r="H532" s="1">
        <v>0.0</v>
      </c>
      <c r="I532" s="1">
        <v>0.0</v>
      </c>
      <c r="J532" s="1">
        <v>0.0</v>
      </c>
      <c r="K532" s="1">
        <v>0.0</v>
      </c>
      <c r="L532" s="1">
        <v>0.0</v>
      </c>
      <c r="N532" s="1">
        <v>3.099999905</v>
      </c>
    </row>
    <row r="533" ht="15.75" customHeight="1">
      <c r="A533" s="1" t="s">
        <v>164</v>
      </c>
      <c r="B533" s="1" t="s">
        <v>63</v>
      </c>
      <c r="C533" s="5">
        <v>45692.0</v>
      </c>
      <c r="D533" s="1" t="s">
        <v>161</v>
      </c>
      <c r="E533" s="1" t="s">
        <v>11</v>
      </c>
      <c r="F533" s="1" t="s">
        <v>166</v>
      </c>
      <c r="H533" s="1">
        <v>0.0</v>
      </c>
      <c r="I533" s="1">
        <v>0.0</v>
      </c>
      <c r="J533" s="1">
        <v>0.0</v>
      </c>
      <c r="K533" s="1">
        <v>2.0</v>
      </c>
      <c r="L533" s="1">
        <v>3.0</v>
      </c>
      <c r="M533" s="1">
        <v>0.666666667</v>
      </c>
      <c r="N533" s="1">
        <v>3.849999905</v>
      </c>
    </row>
    <row r="534" ht="15.75" customHeight="1">
      <c r="A534" s="1" t="s">
        <v>164</v>
      </c>
      <c r="B534" s="1" t="s">
        <v>68</v>
      </c>
      <c r="C534" s="5">
        <v>45692.0</v>
      </c>
      <c r="D534" s="1" t="s">
        <v>161</v>
      </c>
      <c r="E534" s="1" t="s">
        <v>11</v>
      </c>
      <c r="F534" s="1" t="s">
        <v>165</v>
      </c>
      <c r="H534" s="1">
        <v>0.0</v>
      </c>
      <c r="I534" s="1">
        <v>0.0</v>
      </c>
      <c r="J534" s="1">
        <v>0.0</v>
      </c>
      <c r="K534" s="1">
        <v>3.0</v>
      </c>
      <c r="L534" s="1">
        <v>3.0</v>
      </c>
      <c r="M534" s="1">
        <v>1.0</v>
      </c>
      <c r="N534" s="1">
        <v>3.859999895</v>
      </c>
    </row>
    <row r="535" ht="15.75" customHeight="1">
      <c r="A535" s="1" t="s">
        <v>164</v>
      </c>
      <c r="B535" s="1" t="s">
        <v>74</v>
      </c>
      <c r="C535" s="5">
        <v>45692.0</v>
      </c>
      <c r="D535" s="1" t="s">
        <v>161</v>
      </c>
      <c r="E535" s="1" t="s">
        <v>11</v>
      </c>
      <c r="H535" s="1">
        <v>0.0</v>
      </c>
      <c r="J535" s="1">
        <v>0.0</v>
      </c>
      <c r="N535" s="1">
        <v>6.349999905</v>
      </c>
    </row>
    <row r="536" ht="15.75" customHeight="1">
      <c r="A536" s="1" t="s">
        <v>164</v>
      </c>
      <c r="B536" s="1" t="s">
        <v>75</v>
      </c>
      <c r="C536" s="5">
        <v>45692.0</v>
      </c>
      <c r="D536" s="1" t="s">
        <v>161</v>
      </c>
      <c r="E536" s="1" t="s">
        <v>11</v>
      </c>
      <c r="F536" s="1" t="s">
        <v>165</v>
      </c>
      <c r="H536" s="1">
        <v>0.0</v>
      </c>
      <c r="I536" s="1">
        <v>0.0</v>
      </c>
      <c r="J536" s="1">
        <v>0.0</v>
      </c>
      <c r="K536" s="1">
        <v>0.0</v>
      </c>
      <c r="L536" s="1">
        <v>0.0</v>
      </c>
      <c r="N536" s="1">
        <v>4.849999905</v>
      </c>
    </row>
    <row r="537" ht="15.75" customHeight="1">
      <c r="A537" s="1" t="s">
        <v>164</v>
      </c>
      <c r="B537" s="1" t="s">
        <v>100</v>
      </c>
      <c r="C537" s="5">
        <v>45692.0</v>
      </c>
      <c r="D537" s="1" t="s">
        <v>161</v>
      </c>
      <c r="E537" s="1" t="s">
        <v>11</v>
      </c>
      <c r="F537" s="1" t="s">
        <v>171</v>
      </c>
      <c r="H537" s="1">
        <v>0.0</v>
      </c>
      <c r="I537" s="1">
        <v>0.0</v>
      </c>
      <c r="J537" s="1">
        <v>0.0</v>
      </c>
      <c r="K537" s="1">
        <v>0.0</v>
      </c>
      <c r="L537" s="1">
        <v>0.0</v>
      </c>
      <c r="N537" s="1">
        <v>0.419999987</v>
      </c>
    </row>
    <row r="538" ht="15.75" customHeight="1">
      <c r="A538" s="1" t="s">
        <v>164</v>
      </c>
      <c r="B538" s="1" t="s">
        <v>82</v>
      </c>
      <c r="C538" s="5">
        <v>45692.0</v>
      </c>
      <c r="D538" s="1" t="s">
        <v>161</v>
      </c>
      <c r="E538" s="1" t="s">
        <v>11</v>
      </c>
      <c r="F538" s="1" t="s">
        <v>166</v>
      </c>
      <c r="G538" s="1" t="s">
        <v>163</v>
      </c>
      <c r="H538" s="1">
        <v>1.0</v>
      </c>
      <c r="I538" s="1">
        <v>0.0</v>
      </c>
      <c r="J538" s="1">
        <v>0.0</v>
      </c>
      <c r="K538" s="1">
        <v>12.0</v>
      </c>
      <c r="L538" s="1">
        <v>14.0</v>
      </c>
      <c r="M538" s="1">
        <v>0.857142857</v>
      </c>
      <c r="N538" s="1">
        <v>13.22999954</v>
      </c>
    </row>
    <row r="539" ht="15.75" customHeight="1">
      <c r="A539" s="1" t="s">
        <v>164</v>
      </c>
      <c r="B539" s="1" t="s">
        <v>64</v>
      </c>
      <c r="C539" s="5">
        <v>45691.0</v>
      </c>
      <c r="D539" s="1" t="s">
        <v>161</v>
      </c>
      <c r="E539" s="1" t="s">
        <v>11</v>
      </c>
      <c r="F539" s="1" t="s">
        <v>166</v>
      </c>
      <c r="G539" s="1" t="s">
        <v>163</v>
      </c>
      <c r="H539" s="1">
        <v>1.0</v>
      </c>
      <c r="I539" s="1">
        <v>0.0</v>
      </c>
      <c r="J539" s="1">
        <v>0.0</v>
      </c>
      <c r="K539" s="1">
        <v>0.0</v>
      </c>
      <c r="L539" s="1">
        <v>10.0</v>
      </c>
      <c r="M539" s="1">
        <v>0.0</v>
      </c>
      <c r="N539" s="1">
        <v>8.539999962</v>
      </c>
    </row>
    <row r="540" ht="15.75" customHeight="1">
      <c r="A540" s="1" t="s">
        <v>164</v>
      </c>
      <c r="B540" s="1" t="s">
        <v>82</v>
      </c>
      <c r="C540" s="5">
        <v>45691.0</v>
      </c>
      <c r="D540" s="1" t="s">
        <v>161</v>
      </c>
      <c r="E540" s="1" t="s">
        <v>11</v>
      </c>
      <c r="F540" s="1" t="s">
        <v>166</v>
      </c>
      <c r="G540" s="1" t="s">
        <v>163</v>
      </c>
      <c r="H540" s="1">
        <v>1.0</v>
      </c>
      <c r="I540" s="1">
        <v>0.0</v>
      </c>
      <c r="J540" s="1">
        <v>0.0</v>
      </c>
      <c r="K540" s="1">
        <v>5.0</v>
      </c>
      <c r="L540" s="1">
        <v>6.0</v>
      </c>
      <c r="M540" s="1">
        <v>0.833333333</v>
      </c>
      <c r="N540" s="1">
        <v>6.28000021</v>
      </c>
    </row>
    <row r="541" ht="15.75" customHeight="1">
      <c r="A541" s="1" t="s">
        <v>160</v>
      </c>
      <c r="B541" s="1" t="s">
        <v>186</v>
      </c>
      <c r="C541" s="5">
        <v>45690.0</v>
      </c>
      <c r="D541" s="1" t="s">
        <v>161</v>
      </c>
      <c r="E541" s="1" t="s">
        <v>11</v>
      </c>
      <c r="F541" s="1" t="s">
        <v>166</v>
      </c>
      <c r="H541" s="1">
        <v>0.0</v>
      </c>
      <c r="I541" s="1">
        <v>0.0</v>
      </c>
      <c r="J541" s="1">
        <v>0.0</v>
      </c>
      <c r="K541" s="1">
        <v>3.0</v>
      </c>
      <c r="L541" s="1">
        <v>12.0</v>
      </c>
      <c r="M541" s="1">
        <v>0.25</v>
      </c>
      <c r="N541" s="1">
        <v>29.95000076</v>
      </c>
    </row>
    <row r="542" ht="15.75" customHeight="1">
      <c r="A542" s="1" t="s">
        <v>160</v>
      </c>
      <c r="B542" s="1" t="s">
        <v>90</v>
      </c>
      <c r="C542" s="5">
        <v>45689.0</v>
      </c>
      <c r="D542" s="1" t="s">
        <v>161</v>
      </c>
      <c r="E542" s="1" t="s">
        <v>11</v>
      </c>
      <c r="F542" s="1" t="s">
        <v>165</v>
      </c>
      <c r="H542" s="1">
        <v>0.0</v>
      </c>
      <c r="I542" s="1">
        <v>0.0</v>
      </c>
      <c r="J542" s="1">
        <v>0.0</v>
      </c>
      <c r="K542" s="1">
        <v>0.0</v>
      </c>
      <c r="L542" s="1">
        <v>0.0</v>
      </c>
      <c r="N542" s="1">
        <v>0.730000019</v>
      </c>
    </row>
    <row r="543" ht="15.75" customHeight="1">
      <c r="A543" s="1" t="s">
        <v>160</v>
      </c>
      <c r="B543" s="1" t="s">
        <v>18</v>
      </c>
      <c r="C543" s="5">
        <v>45688.0</v>
      </c>
      <c r="D543" s="1" t="s">
        <v>161</v>
      </c>
      <c r="E543" s="1" t="s">
        <v>11</v>
      </c>
      <c r="F543" s="1" t="s">
        <v>162</v>
      </c>
      <c r="G543" s="1" t="s">
        <v>163</v>
      </c>
      <c r="H543" s="1">
        <v>1.0</v>
      </c>
      <c r="I543" s="1">
        <v>0.0</v>
      </c>
      <c r="J543" s="1">
        <v>0.0</v>
      </c>
      <c r="K543" s="1">
        <v>9.0</v>
      </c>
      <c r="L543" s="1">
        <v>13.0</v>
      </c>
      <c r="M543" s="1">
        <v>0.692307692</v>
      </c>
      <c r="N543" s="1">
        <v>7.210000038</v>
      </c>
    </row>
    <row r="544" ht="15.75" customHeight="1">
      <c r="A544" s="1" t="s">
        <v>160</v>
      </c>
      <c r="B544" s="1" t="s">
        <v>20</v>
      </c>
      <c r="C544" s="5">
        <v>45688.0</v>
      </c>
      <c r="D544" s="1" t="s">
        <v>161</v>
      </c>
      <c r="E544" s="1" t="s">
        <v>11</v>
      </c>
      <c r="F544" s="1" t="s">
        <v>162</v>
      </c>
      <c r="G544" s="1" t="s">
        <v>163</v>
      </c>
      <c r="H544" s="1">
        <v>1.0</v>
      </c>
      <c r="I544" s="1">
        <v>0.0</v>
      </c>
      <c r="J544" s="1">
        <v>0.0</v>
      </c>
      <c r="K544" s="1">
        <v>16.0</v>
      </c>
      <c r="L544" s="1">
        <v>33.0</v>
      </c>
      <c r="M544" s="1">
        <v>0.484848485</v>
      </c>
      <c r="N544" s="1">
        <v>10.40999985</v>
      </c>
    </row>
    <row r="545" ht="15.75" customHeight="1">
      <c r="A545" s="1" t="s">
        <v>160</v>
      </c>
      <c r="B545" s="1" t="s">
        <v>59</v>
      </c>
      <c r="C545" s="5">
        <v>45688.0</v>
      </c>
      <c r="D545" s="1" t="s">
        <v>161</v>
      </c>
      <c r="E545" s="1" t="s">
        <v>11</v>
      </c>
      <c r="F545" s="1" t="s">
        <v>165</v>
      </c>
      <c r="G545" s="1" t="s">
        <v>163</v>
      </c>
      <c r="H545" s="1">
        <v>1.0</v>
      </c>
      <c r="I545" s="1">
        <v>0.0</v>
      </c>
      <c r="J545" s="1">
        <v>0.0</v>
      </c>
      <c r="K545" s="1">
        <v>0.0</v>
      </c>
      <c r="L545" s="1">
        <v>4.0</v>
      </c>
      <c r="M545" s="1">
        <v>0.0</v>
      </c>
      <c r="N545" s="1">
        <v>1.769999981</v>
      </c>
    </row>
    <row r="546" ht="15.75" customHeight="1">
      <c r="A546" s="1" t="s">
        <v>164</v>
      </c>
      <c r="B546" s="1" t="s">
        <v>24</v>
      </c>
      <c r="C546" s="5">
        <v>45688.0</v>
      </c>
      <c r="D546" s="1" t="s">
        <v>161</v>
      </c>
      <c r="E546" s="1" t="s">
        <v>11</v>
      </c>
      <c r="F546" s="1" t="s">
        <v>166</v>
      </c>
      <c r="G546" s="1" t="s">
        <v>163</v>
      </c>
      <c r="H546" s="1">
        <v>1.0</v>
      </c>
      <c r="I546" s="1">
        <v>0.0</v>
      </c>
      <c r="J546" s="1">
        <v>0.0</v>
      </c>
      <c r="K546" s="1">
        <v>2.0</v>
      </c>
      <c r="L546" s="1">
        <v>5.0</v>
      </c>
      <c r="M546" s="1">
        <v>0.4</v>
      </c>
      <c r="N546" s="1">
        <v>8.949999809</v>
      </c>
    </row>
    <row r="547" ht="15.75" customHeight="1">
      <c r="A547" s="1" t="s">
        <v>164</v>
      </c>
      <c r="B547" s="1" t="s">
        <v>64</v>
      </c>
      <c r="C547" s="5">
        <v>45688.0</v>
      </c>
      <c r="D547" s="1" t="s">
        <v>161</v>
      </c>
      <c r="E547" s="1" t="s">
        <v>11</v>
      </c>
      <c r="F547" s="1" t="s">
        <v>166</v>
      </c>
      <c r="G547" s="1" t="s">
        <v>163</v>
      </c>
      <c r="H547" s="1">
        <v>1.0</v>
      </c>
      <c r="I547" s="1">
        <v>0.0</v>
      </c>
      <c r="J547" s="1">
        <v>0.0</v>
      </c>
      <c r="K547" s="1">
        <v>0.0</v>
      </c>
      <c r="L547" s="1">
        <v>12.0</v>
      </c>
      <c r="M547" s="1">
        <v>0.0</v>
      </c>
      <c r="N547" s="1">
        <v>22.46999931</v>
      </c>
    </row>
    <row r="548" ht="15.75" customHeight="1">
      <c r="A548" s="1" t="s">
        <v>164</v>
      </c>
      <c r="B548" s="1" t="s">
        <v>100</v>
      </c>
      <c r="C548" s="5">
        <v>45688.0</v>
      </c>
      <c r="D548" s="1" t="s">
        <v>161</v>
      </c>
      <c r="E548" s="1" t="s">
        <v>11</v>
      </c>
      <c r="F548" s="1" t="s">
        <v>171</v>
      </c>
      <c r="G548" s="1" t="s">
        <v>163</v>
      </c>
      <c r="H548" s="1">
        <v>1.0</v>
      </c>
      <c r="I548" s="1">
        <v>0.0</v>
      </c>
      <c r="J548" s="1">
        <v>0.0</v>
      </c>
      <c r="K548" s="1">
        <v>0.0</v>
      </c>
      <c r="L548" s="1">
        <v>1.0</v>
      </c>
      <c r="M548" s="1">
        <v>0.0</v>
      </c>
      <c r="N548" s="1">
        <v>1.980000019</v>
      </c>
    </row>
    <row r="549" ht="15.75" customHeight="1">
      <c r="A549" s="1" t="s">
        <v>164</v>
      </c>
      <c r="B549" s="1" t="s">
        <v>82</v>
      </c>
      <c r="C549" s="5">
        <v>45688.0</v>
      </c>
      <c r="D549" s="1" t="s">
        <v>161</v>
      </c>
      <c r="E549" s="1" t="s">
        <v>11</v>
      </c>
      <c r="F549" s="1" t="s">
        <v>166</v>
      </c>
      <c r="G549" s="1" t="s">
        <v>182</v>
      </c>
      <c r="H549" s="1">
        <v>2.0</v>
      </c>
      <c r="I549" s="1">
        <v>0.0</v>
      </c>
      <c r="J549" s="1">
        <v>0.0</v>
      </c>
      <c r="K549" s="1">
        <v>25.0</v>
      </c>
      <c r="L549" s="1">
        <v>40.0</v>
      </c>
      <c r="M549" s="1">
        <v>0.625</v>
      </c>
      <c r="N549" s="1">
        <v>33.93999863</v>
      </c>
    </row>
    <row r="550" ht="15.75" customHeight="1">
      <c r="A550" s="1" t="s">
        <v>160</v>
      </c>
      <c r="B550" s="1" t="s">
        <v>26</v>
      </c>
      <c r="C550" s="5">
        <v>45687.0</v>
      </c>
      <c r="D550" s="1" t="s">
        <v>161</v>
      </c>
      <c r="E550" s="1" t="s">
        <v>11</v>
      </c>
      <c r="F550" s="1" t="s">
        <v>162</v>
      </c>
      <c r="H550" s="1">
        <v>0.0</v>
      </c>
      <c r="I550" s="1">
        <v>0.0</v>
      </c>
      <c r="J550" s="1">
        <v>0.0</v>
      </c>
      <c r="K550" s="1">
        <v>7.0</v>
      </c>
      <c r="L550" s="1">
        <v>17.0</v>
      </c>
      <c r="M550" s="1">
        <v>0.411764706</v>
      </c>
      <c r="N550" s="1">
        <v>27.37999916</v>
      </c>
    </row>
    <row r="551" ht="15.75" customHeight="1">
      <c r="A551" s="1" t="s">
        <v>164</v>
      </c>
      <c r="B551" s="1" t="s">
        <v>22</v>
      </c>
      <c r="C551" s="5">
        <v>45687.0</v>
      </c>
      <c r="D551" s="1" t="s">
        <v>161</v>
      </c>
      <c r="E551" s="1" t="s">
        <v>11</v>
      </c>
      <c r="F551" s="1" t="s">
        <v>166</v>
      </c>
      <c r="G551" s="1" t="s">
        <v>163</v>
      </c>
      <c r="H551" s="1">
        <v>1.0</v>
      </c>
      <c r="I551" s="1">
        <v>0.0</v>
      </c>
      <c r="J551" s="1">
        <v>0.0</v>
      </c>
      <c r="K551" s="1">
        <v>1.0</v>
      </c>
      <c r="L551" s="1">
        <v>1.0</v>
      </c>
      <c r="M551" s="1">
        <v>1.0</v>
      </c>
      <c r="N551" s="1">
        <v>3.359999895</v>
      </c>
    </row>
    <row r="552" ht="15.75" customHeight="1">
      <c r="A552" s="1" t="s">
        <v>164</v>
      </c>
      <c r="B552" s="1" t="s">
        <v>24</v>
      </c>
      <c r="C552" s="5">
        <v>45687.0</v>
      </c>
      <c r="D552" s="1" t="s">
        <v>161</v>
      </c>
      <c r="E552" s="1" t="s">
        <v>11</v>
      </c>
      <c r="F552" s="1" t="s">
        <v>166</v>
      </c>
      <c r="G552" s="1" t="s">
        <v>163</v>
      </c>
      <c r="H552" s="1">
        <v>1.0</v>
      </c>
      <c r="I552" s="1">
        <v>0.0</v>
      </c>
      <c r="J552" s="1">
        <v>0.0</v>
      </c>
      <c r="K552" s="1">
        <v>0.0</v>
      </c>
      <c r="L552" s="1">
        <v>1.0</v>
      </c>
      <c r="M552" s="1">
        <v>0.0</v>
      </c>
      <c r="N552" s="1">
        <v>4.960000038</v>
      </c>
    </row>
    <row r="553" ht="15.75" customHeight="1">
      <c r="A553" s="1" t="s">
        <v>164</v>
      </c>
      <c r="B553" s="1" t="s">
        <v>52</v>
      </c>
      <c r="C553" s="5">
        <v>45687.0</v>
      </c>
      <c r="D553" s="1" t="s">
        <v>161</v>
      </c>
      <c r="E553" s="1" t="s">
        <v>11</v>
      </c>
      <c r="F553" s="1" t="s">
        <v>165</v>
      </c>
      <c r="H553" s="1">
        <v>0.0</v>
      </c>
      <c r="I553" s="1">
        <v>0.0</v>
      </c>
      <c r="J553" s="1">
        <v>0.0</v>
      </c>
      <c r="K553" s="1">
        <v>0.0</v>
      </c>
      <c r="L553" s="1">
        <v>0.0</v>
      </c>
      <c r="N553" s="1">
        <v>1.159999967</v>
      </c>
    </row>
    <row r="554" ht="15.75" customHeight="1">
      <c r="A554" s="1" t="s">
        <v>164</v>
      </c>
      <c r="B554" s="1" t="s">
        <v>64</v>
      </c>
      <c r="C554" s="5">
        <v>45687.0</v>
      </c>
      <c r="D554" s="1" t="s">
        <v>161</v>
      </c>
      <c r="E554" s="1" t="s">
        <v>11</v>
      </c>
      <c r="F554" s="1" t="s">
        <v>166</v>
      </c>
      <c r="H554" s="1">
        <v>0.0</v>
      </c>
      <c r="I554" s="1">
        <v>0.0</v>
      </c>
      <c r="J554" s="1">
        <v>0.0</v>
      </c>
      <c r="K554" s="1">
        <v>5.0</v>
      </c>
      <c r="L554" s="1">
        <v>8.0</v>
      </c>
      <c r="M554" s="1">
        <v>0.625</v>
      </c>
      <c r="N554" s="1">
        <v>17.78000069</v>
      </c>
    </row>
    <row r="555" ht="15.75" customHeight="1">
      <c r="A555" s="1" t="s">
        <v>164</v>
      </c>
      <c r="B555" s="1" t="s">
        <v>100</v>
      </c>
      <c r="C555" s="5">
        <v>45687.0</v>
      </c>
      <c r="D555" s="1" t="s">
        <v>161</v>
      </c>
      <c r="E555" s="1" t="s">
        <v>11</v>
      </c>
      <c r="F555" s="1" t="s">
        <v>171</v>
      </c>
      <c r="H555" s="1">
        <v>0.0</v>
      </c>
      <c r="I555" s="1">
        <v>0.0</v>
      </c>
      <c r="J555" s="1">
        <v>0.0</v>
      </c>
      <c r="K555" s="1">
        <v>0.0</v>
      </c>
      <c r="L555" s="1">
        <v>0.0</v>
      </c>
      <c r="N555" s="1">
        <v>1.919999957</v>
      </c>
    </row>
    <row r="556" ht="15.75" customHeight="1">
      <c r="A556" s="1" t="s">
        <v>164</v>
      </c>
      <c r="B556" s="1" t="s">
        <v>82</v>
      </c>
      <c r="C556" s="5">
        <v>45687.0</v>
      </c>
      <c r="D556" s="1" t="s">
        <v>161</v>
      </c>
      <c r="E556" s="1" t="s">
        <v>11</v>
      </c>
      <c r="F556" s="1" t="s">
        <v>166</v>
      </c>
      <c r="H556" s="1">
        <v>0.0</v>
      </c>
      <c r="I556" s="1">
        <v>0.0</v>
      </c>
      <c r="J556" s="1">
        <v>0.0</v>
      </c>
      <c r="K556" s="1">
        <v>1.0</v>
      </c>
      <c r="L556" s="1">
        <v>4.0</v>
      </c>
      <c r="M556" s="1">
        <v>0.25</v>
      </c>
      <c r="N556" s="1">
        <v>7.429999828</v>
      </c>
    </row>
    <row r="557" ht="15.75" customHeight="1">
      <c r="A557" s="1" t="s">
        <v>160</v>
      </c>
      <c r="B557" s="1" t="s">
        <v>89</v>
      </c>
      <c r="C557" s="5">
        <v>45686.0</v>
      </c>
      <c r="D557" s="1" t="s">
        <v>161</v>
      </c>
      <c r="E557" s="1" t="s">
        <v>11</v>
      </c>
      <c r="H557" s="1">
        <v>0.0</v>
      </c>
      <c r="J557" s="1">
        <v>0.0</v>
      </c>
      <c r="N557" s="1">
        <v>0.389999986</v>
      </c>
    </row>
    <row r="558" ht="15.75" customHeight="1">
      <c r="A558" s="1" t="s">
        <v>164</v>
      </c>
      <c r="B558" s="1" t="s">
        <v>49</v>
      </c>
      <c r="C558" s="5">
        <v>45686.0</v>
      </c>
      <c r="D558" s="1" t="s">
        <v>161</v>
      </c>
      <c r="E558" s="1" t="s">
        <v>11</v>
      </c>
      <c r="H558" s="1">
        <v>0.0</v>
      </c>
      <c r="J558" s="1">
        <v>0.0</v>
      </c>
      <c r="N558" s="1">
        <v>0.569999993</v>
      </c>
    </row>
    <row r="559" ht="15.75" customHeight="1">
      <c r="A559" s="1" t="s">
        <v>164</v>
      </c>
      <c r="B559" s="1" t="s">
        <v>64</v>
      </c>
      <c r="C559" s="5">
        <v>45686.0</v>
      </c>
      <c r="D559" s="1" t="s">
        <v>161</v>
      </c>
      <c r="E559" s="1" t="s">
        <v>11</v>
      </c>
      <c r="F559" s="1" t="s">
        <v>166</v>
      </c>
      <c r="H559" s="1">
        <v>0.0</v>
      </c>
      <c r="I559" s="1">
        <v>0.0</v>
      </c>
      <c r="J559" s="1">
        <v>0.0</v>
      </c>
      <c r="K559" s="1">
        <v>2.0</v>
      </c>
      <c r="L559" s="1">
        <v>6.0</v>
      </c>
      <c r="M559" s="1">
        <v>0.333333333</v>
      </c>
      <c r="N559" s="1">
        <v>8.479999542</v>
      </c>
    </row>
    <row r="560" ht="15.75" customHeight="1">
      <c r="A560" s="1" t="s">
        <v>164</v>
      </c>
      <c r="B560" s="1" t="s">
        <v>74</v>
      </c>
      <c r="C560" s="5">
        <v>45686.0</v>
      </c>
      <c r="D560" s="1" t="s">
        <v>161</v>
      </c>
      <c r="E560" s="1" t="s">
        <v>11</v>
      </c>
      <c r="F560" s="1" t="s">
        <v>166</v>
      </c>
      <c r="H560" s="1">
        <v>0.0</v>
      </c>
      <c r="I560" s="1">
        <v>0.0</v>
      </c>
      <c r="J560" s="1">
        <v>0.0</v>
      </c>
      <c r="K560" s="1">
        <v>0.0</v>
      </c>
      <c r="L560" s="1">
        <v>0.0</v>
      </c>
      <c r="N560" s="1">
        <v>0.0</v>
      </c>
    </row>
    <row r="561" ht="15.75" customHeight="1">
      <c r="A561" s="1" t="s">
        <v>164</v>
      </c>
      <c r="B561" s="1" t="s">
        <v>74</v>
      </c>
      <c r="C561" s="5">
        <v>45686.0</v>
      </c>
      <c r="D561" s="1" t="s">
        <v>161</v>
      </c>
      <c r="E561" s="1" t="s">
        <v>11</v>
      </c>
      <c r="F561" s="1" t="s">
        <v>171</v>
      </c>
      <c r="H561" s="1">
        <v>0.0</v>
      </c>
      <c r="I561" s="1">
        <v>0.0</v>
      </c>
      <c r="J561" s="1">
        <v>0.0</v>
      </c>
      <c r="K561" s="1">
        <v>0.0</v>
      </c>
      <c r="L561" s="1">
        <v>1.0</v>
      </c>
      <c r="M561" s="1">
        <v>0.0</v>
      </c>
      <c r="N561" s="1">
        <v>24.01000023</v>
      </c>
    </row>
    <row r="562" ht="15.75" customHeight="1">
      <c r="A562" s="1" t="s">
        <v>164</v>
      </c>
      <c r="B562" s="1" t="s">
        <v>82</v>
      </c>
      <c r="C562" s="5">
        <v>45686.0</v>
      </c>
      <c r="D562" s="1" t="s">
        <v>161</v>
      </c>
      <c r="E562" s="1" t="s">
        <v>11</v>
      </c>
      <c r="F562" s="1" t="s">
        <v>166</v>
      </c>
      <c r="G562" s="1" t="s">
        <v>163</v>
      </c>
      <c r="H562" s="1">
        <v>1.0</v>
      </c>
      <c r="I562" s="1">
        <v>0.0</v>
      </c>
      <c r="J562" s="1">
        <v>0.0</v>
      </c>
      <c r="K562" s="1">
        <v>5.0</v>
      </c>
      <c r="L562" s="1">
        <v>9.0</v>
      </c>
      <c r="M562" s="1">
        <v>0.555555556</v>
      </c>
      <c r="N562" s="1">
        <v>11.59000015</v>
      </c>
    </row>
    <row r="563" ht="15.75" customHeight="1">
      <c r="A563" s="1" t="s">
        <v>160</v>
      </c>
      <c r="B563" s="1" t="s">
        <v>18</v>
      </c>
      <c r="C563" s="5">
        <v>45685.0</v>
      </c>
      <c r="D563" s="1" t="s">
        <v>161</v>
      </c>
      <c r="E563" s="1" t="s">
        <v>11</v>
      </c>
      <c r="F563" s="1" t="s">
        <v>162</v>
      </c>
      <c r="H563" s="1">
        <v>0.0</v>
      </c>
      <c r="I563" s="1">
        <v>0.0</v>
      </c>
      <c r="J563" s="1">
        <v>0.0</v>
      </c>
      <c r="K563" s="1">
        <v>0.0</v>
      </c>
      <c r="L563" s="1">
        <v>0.0</v>
      </c>
      <c r="N563" s="1">
        <v>2.200000048</v>
      </c>
    </row>
    <row r="564" ht="15.75" customHeight="1">
      <c r="A564" s="1" t="s">
        <v>160</v>
      </c>
      <c r="B564" s="1" t="s">
        <v>189</v>
      </c>
      <c r="C564" s="5">
        <v>45684.0</v>
      </c>
      <c r="D564" s="1" t="s">
        <v>161</v>
      </c>
      <c r="E564" s="1" t="s">
        <v>11</v>
      </c>
      <c r="H564" s="1">
        <v>0.0</v>
      </c>
      <c r="J564" s="1">
        <v>0.0</v>
      </c>
      <c r="N564" s="1">
        <v>0.07</v>
      </c>
    </row>
    <row r="565" ht="15.75" customHeight="1">
      <c r="A565" s="1" t="s">
        <v>160</v>
      </c>
      <c r="B565" s="1" t="s">
        <v>18</v>
      </c>
      <c r="C565" s="5">
        <v>45684.0</v>
      </c>
      <c r="D565" s="1" t="s">
        <v>161</v>
      </c>
      <c r="E565" s="1" t="s">
        <v>11</v>
      </c>
      <c r="F565" s="1" t="s">
        <v>162</v>
      </c>
      <c r="H565" s="1">
        <v>0.0</v>
      </c>
      <c r="I565" s="1">
        <v>0.0</v>
      </c>
      <c r="J565" s="1">
        <v>0.0</v>
      </c>
      <c r="K565" s="1">
        <v>10.0</v>
      </c>
      <c r="L565" s="1">
        <v>17.0</v>
      </c>
      <c r="M565" s="1">
        <v>0.588235294</v>
      </c>
      <c r="N565" s="1">
        <v>10.39000034</v>
      </c>
    </row>
    <row r="566" ht="15.75" customHeight="1">
      <c r="A566" s="1" t="s">
        <v>160</v>
      </c>
      <c r="B566" s="1" t="s">
        <v>89</v>
      </c>
      <c r="C566" s="5">
        <v>45684.0</v>
      </c>
      <c r="D566" s="1" t="s">
        <v>161</v>
      </c>
      <c r="E566" s="1" t="s">
        <v>11</v>
      </c>
      <c r="F566" s="1" t="s">
        <v>165</v>
      </c>
      <c r="H566" s="1">
        <v>0.0</v>
      </c>
      <c r="I566" s="1">
        <v>0.0</v>
      </c>
      <c r="J566" s="1">
        <v>0.0</v>
      </c>
      <c r="K566" s="1">
        <v>3.0</v>
      </c>
      <c r="L566" s="1">
        <v>7.0</v>
      </c>
      <c r="M566" s="1">
        <v>0.428571429</v>
      </c>
      <c r="N566" s="1">
        <v>5.179999828</v>
      </c>
    </row>
    <row r="567" ht="15.75" customHeight="1">
      <c r="A567" s="1" t="s">
        <v>164</v>
      </c>
      <c r="B567" s="1" t="s">
        <v>64</v>
      </c>
      <c r="C567" s="5">
        <v>45684.0</v>
      </c>
      <c r="D567" s="1" t="s">
        <v>161</v>
      </c>
      <c r="E567" s="1" t="s">
        <v>11</v>
      </c>
      <c r="F567" s="1" t="s">
        <v>166</v>
      </c>
      <c r="H567" s="1">
        <v>0.0</v>
      </c>
      <c r="I567" s="1">
        <v>0.0</v>
      </c>
      <c r="J567" s="1">
        <v>0.0</v>
      </c>
      <c r="K567" s="1">
        <v>4.0</v>
      </c>
      <c r="L567" s="1">
        <v>6.0</v>
      </c>
      <c r="M567" s="1">
        <v>0.666666667</v>
      </c>
      <c r="N567" s="1">
        <v>10.0</v>
      </c>
    </row>
    <row r="568" ht="15.75" customHeight="1">
      <c r="A568" s="1" t="s">
        <v>164</v>
      </c>
      <c r="B568" s="1" t="s">
        <v>24</v>
      </c>
      <c r="C568" s="5">
        <v>45681.0</v>
      </c>
      <c r="D568" s="1" t="s">
        <v>161</v>
      </c>
      <c r="E568" s="1" t="s">
        <v>11</v>
      </c>
      <c r="F568" s="1" t="s">
        <v>166</v>
      </c>
      <c r="H568" s="1">
        <v>0.0</v>
      </c>
      <c r="I568" s="1">
        <v>0.0</v>
      </c>
      <c r="J568" s="1">
        <v>0.0</v>
      </c>
      <c r="K568" s="1">
        <v>2.0</v>
      </c>
      <c r="L568" s="1">
        <v>5.0</v>
      </c>
      <c r="M568" s="1">
        <v>0.4</v>
      </c>
      <c r="N568" s="1">
        <v>16.27000046</v>
      </c>
    </row>
    <row r="569" ht="15.75" customHeight="1">
      <c r="A569" s="1" t="s">
        <v>164</v>
      </c>
      <c r="B569" s="1" t="s">
        <v>49</v>
      </c>
      <c r="C569" s="5">
        <v>45681.0</v>
      </c>
      <c r="D569" s="1" t="s">
        <v>161</v>
      </c>
      <c r="E569" s="1" t="s">
        <v>11</v>
      </c>
      <c r="F569" s="1" t="s">
        <v>162</v>
      </c>
      <c r="H569" s="1">
        <v>0.0</v>
      </c>
      <c r="I569" s="1">
        <v>0.0</v>
      </c>
      <c r="J569" s="1">
        <v>0.0</v>
      </c>
      <c r="K569" s="1">
        <v>6.0</v>
      </c>
      <c r="L569" s="1">
        <v>15.0</v>
      </c>
      <c r="M569" s="1">
        <v>0.4</v>
      </c>
      <c r="N569" s="1">
        <v>25.40999985</v>
      </c>
    </row>
    <row r="570" ht="15.75" customHeight="1">
      <c r="A570" s="1" t="s">
        <v>164</v>
      </c>
      <c r="B570" s="1" t="s">
        <v>64</v>
      </c>
      <c r="C570" s="5">
        <v>45681.0</v>
      </c>
      <c r="D570" s="1" t="s">
        <v>161</v>
      </c>
      <c r="E570" s="1" t="s">
        <v>11</v>
      </c>
      <c r="F570" s="1" t="s">
        <v>166</v>
      </c>
      <c r="H570" s="1">
        <v>0.0</v>
      </c>
      <c r="I570" s="1">
        <v>0.0</v>
      </c>
      <c r="J570" s="1">
        <v>0.0</v>
      </c>
      <c r="K570" s="1">
        <v>1.0</v>
      </c>
      <c r="L570" s="1">
        <v>1.0</v>
      </c>
      <c r="M570" s="1">
        <v>1.0</v>
      </c>
      <c r="N570" s="1">
        <v>4.3800001139999996</v>
      </c>
    </row>
    <row r="571" ht="15.75" customHeight="1">
      <c r="A571" s="1" t="s">
        <v>164</v>
      </c>
      <c r="B571" s="1" t="s">
        <v>81</v>
      </c>
      <c r="C571" s="5">
        <v>45681.0</v>
      </c>
      <c r="D571" s="1" t="s">
        <v>161</v>
      </c>
      <c r="E571" s="1" t="s">
        <v>11</v>
      </c>
      <c r="F571" s="1" t="s">
        <v>168</v>
      </c>
      <c r="G571" s="1" t="s">
        <v>163</v>
      </c>
      <c r="H571" s="1">
        <v>1.0</v>
      </c>
      <c r="I571" s="1">
        <v>0.0</v>
      </c>
      <c r="J571" s="1">
        <v>0.0</v>
      </c>
      <c r="K571" s="1">
        <v>0.0</v>
      </c>
      <c r="L571" s="1">
        <v>2.0</v>
      </c>
      <c r="M571" s="1">
        <v>0.0</v>
      </c>
      <c r="N571" s="1">
        <v>2.390000105</v>
      </c>
    </row>
    <row r="572" ht="15.75" customHeight="1">
      <c r="A572" s="1" t="s">
        <v>164</v>
      </c>
      <c r="B572" s="1" t="s">
        <v>183</v>
      </c>
      <c r="C572" s="5">
        <v>45681.0</v>
      </c>
      <c r="D572" s="1" t="s">
        <v>161</v>
      </c>
      <c r="E572" s="1" t="s">
        <v>11</v>
      </c>
      <c r="F572" s="1" t="s">
        <v>166</v>
      </c>
      <c r="H572" s="1">
        <v>0.0</v>
      </c>
      <c r="I572" s="1">
        <v>0.0</v>
      </c>
      <c r="J572" s="1">
        <v>0.0</v>
      </c>
      <c r="K572" s="1">
        <v>0.0</v>
      </c>
      <c r="L572" s="1">
        <v>0.0</v>
      </c>
      <c r="N572" s="1">
        <v>5.3699998860000004</v>
      </c>
    </row>
    <row r="573" ht="15.75" customHeight="1">
      <c r="A573" s="1" t="s">
        <v>164</v>
      </c>
      <c r="B573" s="1" t="s">
        <v>75</v>
      </c>
      <c r="C573" s="5">
        <v>45681.0</v>
      </c>
      <c r="D573" s="1" t="s">
        <v>161</v>
      </c>
      <c r="E573" s="1" t="s">
        <v>11</v>
      </c>
      <c r="F573" s="1" t="s">
        <v>165</v>
      </c>
      <c r="H573" s="1">
        <v>0.0</v>
      </c>
      <c r="I573" s="1">
        <v>0.0</v>
      </c>
      <c r="J573" s="1">
        <v>0.0</v>
      </c>
      <c r="K573" s="1">
        <v>0.0</v>
      </c>
      <c r="L573" s="1">
        <v>0.0</v>
      </c>
      <c r="N573" s="1">
        <v>0.850000024</v>
      </c>
    </row>
    <row r="574" ht="15.75" customHeight="1">
      <c r="A574" s="1" t="s">
        <v>164</v>
      </c>
      <c r="B574" s="1" t="s">
        <v>82</v>
      </c>
      <c r="C574" s="5">
        <v>45681.0</v>
      </c>
      <c r="D574" s="1" t="s">
        <v>161</v>
      </c>
      <c r="E574" s="1" t="s">
        <v>11</v>
      </c>
      <c r="F574" s="1" t="s">
        <v>166</v>
      </c>
      <c r="H574" s="1">
        <v>0.0</v>
      </c>
      <c r="I574" s="1">
        <v>0.0</v>
      </c>
      <c r="J574" s="1">
        <v>0.0</v>
      </c>
      <c r="K574" s="1">
        <v>1.0</v>
      </c>
      <c r="L574" s="1">
        <v>3.0</v>
      </c>
      <c r="M574" s="1">
        <v>0.333333333</v>
      </c>
      <c r="N574" s="1">
        <v>5.650000095</v>
      </c>
    </row>
    <row r="575" ht="15.75" customHeight="1">
      <c r="A575" s="1" t="s">
        <v>180</v>
      </c>
      <c r="B575" s="1" t="s">
        <v>185</v>
      </c>
      <c r="C575" s="5">
        <v>45681.0</v>
      </c>
      <c r="D575" s="1" t="s">
        <v>161</v>
      </c>
      <c r="E575" s="1" t="s">
        <v>11</v>
      </c>
      <c r="F575" s="1" t="s">
        <v>166</v>
      </c>
      <c r="H575" s="1">
        <v>0.0</v>
      </c>
      <c r="I575" s="1">
        <v>0.0</v>
      </c>
      <c r="J575" s="1">
        <v>0.0</v>
      </c>
      <c r="K575" s="1">
        <v>0.0</v>
      </c>
      <c r="L575" s="1">
        <v>1.0</v>
      </c>
      <c r="M575" s="1">
        <v>0.0</v>
      </c>
      <c r="N575" s="1">
        <v>1.25</v>
      </c>
    </row>
    <row r="576" ht="15.75" customHeight="1">
      <c r="A576" s="1" t="s">
        <v>160</v>
      </c>
      <c r="B576" s="1" t="s">
        <v>29</v>
      </c>
      <c r="C576" s="5">
        <v>45680.0</v>
      </c>
      <c r="D576" s="1" t="s">
        <v>161</v>
      </c>
      <c r="E576" s="1" t="s">
        <v>11</v>
      </c>
      <c r="F576" s="1" t="s">
        <v>165</v>
      </c>
      <c r="H576" s="1">
        <v>0.0</v>
      </c>
      <c r="I576" s="1">
        <v>0.0</v>
      </c>
      <c r="J576" s="1">
        <v>0.0</v>
      </c>
      <c r="K576" s="1">
        <v>19.0</v>
      </c>
      <c r="L576" s="1">
        <v>26.0</v>
      </c>
      <c r="M576" s="1">
        <v>0.730769231</v>
      </c>
      <c r="N576" s="1">
        <v>29.62000084</v>
      </c>
    </row>
    <row r="577" ht="15.75" customHeight="1">
      <c r="A577" s="1" t="s">
        <v>160</v>
      </c>
      <c r="B577" s="1" t="s">
        <v>101</v>
      </c>
      <c r="C577" s="5">
        <v>45680.0</v>
      </c>
      <c r="D577" s="1" t="s">
        <v>161</v>
      </c>
      <c r="E577" s="1" t="s">
        <v>11</v>
      </c>
      <c r="F577" s="1" t="s">
        <v>162</v>
      </c>
      <c r="H577" s="1">
        <v>0.0</v>
      </c>
      <c r="I577" s="1">
        <v>0.0</v>
      </c>
      <c r="J577" s="1">
        <v>0.0</v>
      </c>
      <c r="K577" s="1">
        <v>19.0</v>
      </c>
      <c r="L577" s="1">
        <v>43.0</v>
      </c>
      <c r="M577" s="1">
        <v>0.441860465</v>
      </c>
      <c r="N577" s="1">
        <v>72.33999634</v>
      </c>
    </row>
    <row r="578" ht="15.75" customHeight="1">
      <c r="A578" s="1" t="s">
        <v>164</v>
      </c>
      <c r="B578" s="1" t="s">
        <v>52</v>
      </c>
      <c r="C578" s="5">
        <v>45680.0</v>
      </c>
      <c r="D578" s="1" t="s">
        <v>161</v>
      </c>
      <c r="E578" s="1" t="s">
        <v>11</v>
      </c>
      <c r="H578" s="1">
        <v>0.0</v>
      </c>
      <c r="J578" s="1">
        <v>0.0</v>
      </c>
      <c r="N578" s="1">
        <v>1.210000038</v>
      </c>
    </row>
    <row r="579" ht="15.75" customHeight="1">
      <c r="A579" s="1" t="s">
        <v>164</v>
      </c>
      <c r="B579" s="1" t="s">
        <v>64</v>
      </c>
      <c r="C579" s="5">
        <v>45680.0</v>
      </c>
      <c r="D579" s="1" t="s">
        <v>161</v>
      </c>
      <c r="E579" s="1" t="s">
        <v>11</v>
      </c>
      <c r="F579" s="1" t="s">
        <v>166</v>
      </c>
      <c r="H579" s="1">
        <v>0.0</v>
      </c>
      <c r="I579" s="1">
        <v>0.0</v>
      </c>
      <c r="J579" s="1">
        <v>0.0</v>
      </c>
      <c r="K579" s="1">
        <v>2.0</v>
      </c>
      <c r="L579" s="1">
        <v>2.0</v>
      </c>
      <c r="M579" s="1">
        <v>1.0</v>
      </c>
      <c r="N579" s="1">
        <v>9.0</v>
      </c>
    </row>
    <row r="580" ht="15.75" customHeight="1">
      <c r="A580" s="1" t="s">
        <v>164</v>
      </c>
      <c r="B580" s="1" t="s">
        <v>82</v>
      </c>
      <c r="C580" s="5">
        <v>45680.0</v>
      </c>
      <c r="D580" s="1" t="s">
        <v>161</v>
      </c>
      <c r="E580" s="1" t="s">
        <v>11</v>
      </c>
      <c r="F580" s="1" t="s">
        <v>165</v>
      </c>
      <c r="H580" s="1">
        <v>0.0</v>
      </c>
      <c r="I580" s="1">
        <v>0.0</v>
      </c>
      <c r="J580" s="1">
        <v>0.0</v>
      </c>
      <c r="K580" s="1">
        <v>1.0</v>
      </c>
      <c r="L580" s="1">
        <v>2.0</v>
      </c>
      <c r="M580" s="1">
        <v>0.5</v>
      </c>
      <c r="N580" s="1">
        <v>13.71000004</v>
      </c>
    </row>
    <row r="581" ht="15.75" customHeight="1">
      <c r="A581" s="1" t="s">
        <v>164</v>
      </c>
      <c r="B581" s="1" t="s">
        <v>82</v>
      </c>
      <c r="C581" s="5">
        <v>45680.0</v>
      </c>
      <c r="D581" s="1" t="s">
        <v>161</v>
      </c>
      <c r="E581" s="1" t="s">
        <v>11</v>
      </c>
      <c r="F581" s="1" t="s">
        <v>166</v>
      </c>
      <c r="H581" s="1">
        <v>0.0</v>
      </c>
      <c r="I581" s="1">
        <v>0.0</v>
      </c>
      <c r="J581" s="1">
        <v>0.0</v>
      </c>
      <c r="K581" s="1">
        <v>0.0</v>
      </c>
      <c r="L581" s="1">
        <v>0.0</v>
      </c>
      <c r="N581" s="1">
        <v>0.0</v>
      </c>
    </row>
    <row r="582" ht="15.75" customHeight="1">
      <c r="A582" s="1" t="s">
        <v>160</v>
      </c>
      <c r="B582" s="1" t="s">
        <v>29</v>
      </c>
      <c r="C582" s="5">
        <v>45679.0</v>
      </c>
      <c r="D582" s="1" t="s">
        <v>161</v>
      </c>
      <c r="E582" s="1" t="s">
        <v>11</v>
      </c>
      <c r="F582" s="1" t="s">
        <v>165</v>
      </c>
      <c r="H582" s="1">
        <v>0.0</v>
      </c>
      <c r="I582" s="1">
        <v>0.0</v>
      </c>
      <c r="J582" s="1">
        <v>0.0</v>
      </c>
      <c r="K582" s="1">
        <v>2.0</v>
      </c>
      <c r="L582" s="1">
        <v>12.0</v>
      </c>
      <c r="M582" s="1">
        <v>0.166666667</v>
      </c>
      <c r="N582" s="1">
        <v>15.98999977</v>
      </c>
    </row>
    <row r="583" ht="15.75" customHeight="1">
      <c r="A583" s="1" t="s">
        <v>160</v>
      </c>
      <c r="B583" s="1" t="s">
        <v>189</v>
      </c>
      <c r="C583" s="5">
        <v>45679.0</v>
      </c>
      <c r="D583" s="1" t="s">
        <v>161</v>
      </c>
      <c r="E583" s="1" t="s">
        <v>11</v>
      </c>
      <c r="F583" s="1" t="s">
        <v>162</v>
      </c>
      <c r="H583" s="1">
        <v>0.0</v>
      </c>
      <c r="I583" s="1">
        <v>0.0</v>
      </c>
      <c r="J583" s="1">
        <v>0.0</v>
      </c>
      <c r="K583" s="1">
        <v>0.0</v>
      </c>
      <c r="L583" s="1">
        <v>0.0</v>
      </c>
      <c r="N583" s="1">
        <v>0.800000012</v>
      </c>
    </row>
    <row r="584" ht="15.75" customHeight="1">
      <c r="A584" s="1" t="s">
        <v>164</v>
      </c>
      <c r="B584" s="1" t="s">
        <v>24</v>
      </c>
      <c r="C584" s="5">
        <v>45679.0</v>
      </c>
      <c r="D584" s="1" t="s">
        <v>161</v>
      </c>
      <c r="E584" s="1" t="s">
        <v>11</v>
      </c>
      <c r="F584" s="1" t="s">
        <v>166</v>
      </c>
      <c r="H584" s="1">
        <v>0.0</v>
      </c>
      <c r="I584" s="1">
        <v>0.0</v>
      </c>
      <c r="J584" s="1">
        <v>0.0</v>
      </c>
      <c r="K584" s="1">
        <v>1.0</v>
      </c>
      <c r="L584" s="1">
        <v>4.0</v>
      </c>
      <c r="M584" s="1">
        <v>0.25</v>
      </c>
      <c r="N584" s="1">
        <v>6.550000191</v>
      </c>
    </row>
    <row r="585" ht="15.75" customHeight="1">
      <c r="A585" s="1" t="s">
        <v>164</v>
      </c>
      <c r="B585" s="1" t="s">
        <v>64</v>
      </c>
      <c r="C585" s="5">
        <v>45679.0</v>
      </c>
      <c r="D585" s="1" t="s">
        <v>161</v>
      </c>
      <c r="E585" s="1" t="s">
        <v>11</v>
      </c>
      <c r="F585" s="1" t="s">
        <v>166</v>
      </c>
      <c r="H585" s="1">
        <v>0.0</v>
      </c>
      <c r="I585" s="1">
        <v>0.0</v>
      </c>
      <c r="J585" s="1">
        <v>0.0</v>
      </c>
      <c r="K585" s="1">
        <v>0.0</v>
      </c>
      <c r="L585" s="1">
        <v>0.0</v>
      </c>
      <c r="N585" s="1">
        <v>9.739999771</v>
      </c>
    </row>
    <row r="586" ht="15.75" customHeight="1">
      <c r="A586" s="1" t="s">
        <v>164</v>
      </c>
      <c r="B586" s="1" t="s">
        <v>100</v>
      </c>
      <c r="C586" s="5">
        <v>45679.0</v>
      </c>
      <c r="D586" s="1" t="s">
        <v>161</v>
      </c>
      <c r="E586" s="1" t="s">
        <v>11</v>
      </c>
      <c r="F586" s="1" t="s">
        <v>171</v>
      </c>
      <c r="H586" s="1">
        <v>0.0</v>
      </c>
      <c r="I586" s="1">
        <v>0.0</v>
      </c>
      <c r="J586" s="1">
        <v>0.0</v>
      </c>
      <c r="K586" s="1">
        <v>0.0</v>
      </c>
      <c r="L586" s="1">
        <v>0.0</v>
      </c>
      <c r="N586" s="1">
        <v>0.680000007</v>
      </c>
    </row>
    <row r="587" ht="15.75" customHeight="1">
      <c r="A587" s="1" t="s">
        <v>164</v>
      </c>
      <c r="B587" s="1" t="s">
        <v>82</v>
      </c>
      <c r="C587" s="5">
        <v>45679.0</v>
      </c>
      <c r="D587" s="1" t="s">
        <v>161</v>
      </c>
      <c r="E587" s="1" t="s">
        <v>11</v>
      </c>
      <c r="F587" s="1" t="s">
        <v>165</v>
      </c>
      <c r="G587" s="1" t="s">
        <v>163</v>
      </c>
      <c r="H587" s="1">
        <v>1.0</v>
      </c>
      <c r="I587" s="1">
        <v>0.0</v>
      </c>
      <c r="J587" s="1">
        <v>0.0</v>
      </c>
      <c r="K587" s="1">
        <v>1.0</v>
      </c>
      <c r="L587" s="1">
        <v>2.0</v>
      </c>
      <c r="M587" s="1">
        <v>0.5</v>
      </c>
      <c r="N587" s="1">
        <v>0.0</v>
      </c>
    </row>
    <row r="588" ht="15.75" customHeight="1">
      <c r="A588" s="1" t="s">
        <v>164</v>
      </c>
      <c r="B588" s="1" t="s">
        <v>82</v>
      </c>
      <c r="C588" s="5">
        <v>45679.0</v>
      </c>
      <c r="D588" s="1" t="s">
        <v>161</v>
      </c>
      <c r="E588" s="1" t="s">
        <v>11</v>
      </c>
      <c r="F588" s="1" t="s">
        <v>166</v>
      </c>
      <c r="G588" s="1" t="s">
        <v>163</v>
      </c>
      <c r="H588" s="1">
        <v>1.0</v>
      </c>
      <c r="I588" s="1">
        <v>0.0</v>
      </c>
      <c r="J588" s="1">
        <v>0.0</v>
      </c>
      <c r="K588" s="1">
        <v>2.0</v>
      </c>
      <c r="L588" s="1">
        <v>3.0</v>
      </c>
      <c r="M588" s="1">
        <v>0.666666667</v>
      </c>
      <c r="N588" s="1">
        <v>14.76000023</v>
      </c>
    </row>
    <row r="589" ht="15.75" customHeight="1">
      <c r="A589" s="1" t="s">
        <v>160</v>
      </c>
      <c r="B589" s="1" t="s">
        <v>29</v>
      </c>
      <c r="C589" s="5">
        <v>45678.0</v>
      </c>
      <c r="D589" s="1" t="s">
        <v>161</v>
      </c>
      <c r="E589" s="1" t="s">
        <v>11</v>
      </c>
      <c r="F589" s="1" t="s">
        <v>165</v>
      </c>
      <c r="H589" s="1">
        <v>0.0</v>
      </c>
      <c r="I589" s="1">
        <v>2.0</v>
      </c>
      <c r="J589" s="1">
        <v>0.0</v>
      </c>
      <c r="K589" s="1">
        <v>33.0</v>
      </c>
      <c r="L589" s="1">
        <v>51.0</v>
      </c>
      <c r="M589" s="1">
        <v>0.647058824</v>
      </c>
      <c r="N589" s="1">
        <v>45.86999893</v>
      </c>
    </row>
    <row r="590" ht="15.75" customHeight="1">
      <c r="A590" s="1" t="s">
        <v>160</v>
      </c>
      <c r="B590" s="1" t="s">
        <v>189</v>
      </c>
      <c r="C590" s="5">
        <v>45678.0</v>
      </c>
      <c r="D590" s="1" t="s">
        <v>161</v>
      </c>
      <c r="E590" s="1" t="s">
        <v>11</v>
      </c>
      <c r="H590" s="1">
        <v>0.0</v>
      </c>
      <c r="J590" s="1">
        <v>0.0</v>
      </c>
      <c r="N590" s="1">
        <v>0.589999974</v>
      </c>
    </row>
    <row r="591" ht="15.75" customHeight="1">
      <c r="A591" s="1" t="s">
        <v>160</v>
      </c>
      <c r="B591" s="1" t="s">
        <v>39</v>
      </c>
      <c r="C591" s="5">
        <v>45678.0</v>
      </c>
      <c r="D591" s="1" t="s">
        <v>161</v>
      </c>
      <c r="E591" s="1" t="s">
        <v>11</v>
      </c>
      <c r="F591" s="1" t="s">
        <v>162</v>
      </c>
      <c r="H591" s="1">
        <v>0.0</v>
      </c>
      <c r="I591" s="1">
        <v>0.0</v>
      </c>
      <c r="J591" s="1">
        <v>0.0</v>
      </c>
      <c r="K591" s="1">
        <v>5.0</v>
      </c>
      <c r="L591" s="1">
        <v>17.0</v>
      </c>
      <c r="M591" s="1">
        <v>0.294117647</v>
      </c>
      <c r="N591" s="1">
        <v>24.95000076</v>
      </c>
    </row>
    <row r="592" ht="15.75" customHeight="1">
      <c r="A592" s="1" t="s">
        <v>160</v>
      </c>
      <c r="B592" s="1" t="s">
        <v>77</v>
      </c>
      <c r="C592" s="5">
        <v>45678.0</v>
      </c>
      <c r="D592" s="1" t="s">
        <v>161</v>
      </c>
      <c r="E592" s="1" t="s">
        <v>11</v>
      </c>
      <c r="F592" s="1" t="s">
        <v>162</v>
      </c>
      <c r="G592" s="1" t="s">
        <v>172</v>
      </c>
      <c r="H592" s="1">
        <v>1.0</v>
      </c>
      <c r="I592" s="1">
        <v>0.0</v>
      </c>
      <c r="J592" s="1">
        <v>0.0</v>
      </c>
      <c r="K592" s="1">
        <v>14.0</v>
      </c>
      <c r="L592" s="1">
        <v>21.0</v>
      </c>
      <c r="M592" s="1">
        <v>0.666666667</v>
      </c>
      <c r="N592" s="1">
        <v>22.95000076</v>
      </c>
    </row>
    <row r="593" ht="15.75" customHeight="1">
      <c r="A593" s="1" t="s">
        <v>164</v>
      </c>
      <c r="B593" s="1" t="s">
        <v>196</v>
      </c>
      <c r="C593" s="5">
        <v>45678.0</v>
      </c>
      <c r="D593" s="1" t="s">
        <v>161</v>
      </c>
      <c r="E593" s="1" t="s">
        <v>11</v>
      </c>
      <c r="F593" s="1" t="s">
        <v>165</v>
      </c>
      <c r="H593" s="1">
        <v>0.0</v>
      </c>
      <c r="I593" s="1">
        <v>0.0</v>
      </c>
      <c r="J593" s="1">
        <v>0.0</v>
      </c>
      <c r="K593" s="1">
        <v>10.0</v>
      </c>
      <c r="L593" s="1">
        <v>16.0</v>
      </c>
      <c r="M593" s="1">
        <v>0.625</v>
      </c>
      <c r="N593" s="1">
        <v>30.05999947</v>
      </c>
    </row>
    <row r="594" ht="15.75" customHeight="1">
      <c r="A594" s="1" t="s">
        <v>164</v>
      </c>
      <c r="B594" s="1" t="s">
        <v>60</v>
      </c>
      <c r="C594" s="5">
        <v>45678.0</v>
      </c>
      <c r="D594" s="1" t="s">
        <v>161</v>
      </c>
      <c r="E594" s="1" t="s">
        <v>11</v>
      </c>
      <c r="F594" s="1" t="s">
        <v>166</v>
      </c>
      <c r="H594" s="1">
        <v>0.0</v>
      </c>
      <c r="I594" s="1">
        <v>0.0</v>
      </c>
      <c r="J594" s="1">
        <v>0.0</v>
      </c>
      <c r="K594" s="1">
        <v>1.0</v>
      </c>
      <c r="L594" s="1">
        <v>3.0</v>
      </c>
      <c r="M594" s="1">
        <v>0.333333333</v>
      </c>
      <c r="N594" s="1">
        <v>2.890000105</v>
      </c>
    </row>
    <row r="595" ht="15.75" customHeight="1">
      <c r="A595" s="1" t="s">
        <v>160</v>
      </c>
      <c r="B595" s="1" t="s">
        <v>186</v>
      </c>
      <c r="C595" s="5">
        <v>45677.0</v>
      </c>
      <c r="D595" s="1" t="s">
        <v>161</v>
      </c>
      <c r="E595" s="1" t="s">
        <v>11</v>
      </c>
      <c r="F595" s="1" t="s">
        <v>166</v>
      </c>
      <c r="H595" s="1">
        <v>0.0</v>
      </c>
      <c r="I595" s="1">
        <v>0.0</v>
      </c>
      <c r="J595" s="1">
        <v>0.0</v>
      </c>
      <c r="K595" s="1">
        <v>22.0</v>
      </c>
      <c r="L595" s="1">
        <v>91.0</v>
      </c>
      <c r="M595" s="1">
        <v>0.241758242</v>
      </c>
      <c r="N595" s="1">
        <v>234.6300049</v>
      </c>
    </row>
    <row r="596" ht="15.75" customHeight="1">
      <c r="A596" s="1" t="s">
        <v>164</v>
      </c>
      <c r="B596" s="1" t="s">
        <v>196</v>
      </c>
      <c r="C596" s="5">
        <v>45677.0</v>
      </c>
      <c r="D596" s="1" t="s">
        <v>161</v>
      </c>
      <c r="E596" s="1" t="s">
        <v>11</v>
      </c>
      <c r="F596" s="1" t="s">
        <v>165</v>
      </c>
      <c r="H596" s="1">
        <v>0.0</v>
      </c>
      <c r="I596" s="1">
        <v>0.0</v>
      </c>
      <c r="J596" s="1">
        <v>0.0</v>
      </c>
      <c r="K596" s="1">
        <v>5.0</v>
      </c>
      <c r="L596" s="1">
        <v>14.0</v>
      </c>
      <c r="M596" s="1">
        <v>0.357142857</v>
      </c>
      <c r="N596" s="1">
        <v>25.88999939</v>
      </c>
    </row>
    <row r="597" ht="15.75" customHeight="1">
      <c r="A597" s="1" t="s">
        <v>164</v>
      </c>
      <c r="B597" s="1" t="s">
        <v>75</v>
      </c>
      <c r="C597" s="5">
        <v>45677.0</v>
      </c>
      <c r="D597" s="1" t="s">
        <v>161</v>
      </c>
      <c r="E597" s="1" t="s">
        <v>11</v>
      </c>
      <c r="H597" s="1">
        <v>0.0</v>
      </c>
      <c r="J597" s="1">
        <v>0.0</v>
      </c>
      <c r="N597" s="1">
        <v>0.02</v>
      </c>
    </row>
    <row r="598" ht="15.75" customHeight="1">
      <c r="A598" s="1" t="s">
        <v>164</v>
      </c>
      <c r="B598" s="1" t="s">
        <v>100</v>
      </c>
      <c r="C598" s="5">
        <v>45677.0</v>
      </c>
      <c r="D598" s="1" t="s">
        <v>161</v>
      </c>
      <c r="E598" s="1" t="s">
        <v>11</v>
      </c>
      <c r="F598" s="1" t="s">
        <v>171</v>
      </c>
      <c r="H598" s="1">
        <v>0.0</v>
      </c>
      <c r="I598" s="1">
        <v>0.0</v>
      </c>
      <c r="J598" s="1">
        <v>0.0</v>
      </c>
      <c r="K598" s="1">
        <v>0.0</v>
      </c>
      <c r="L598" s="1">
        <v>1.0</v>
      </c>
      <c r="M598" s="1">
        <v>0.0</v>
      </c>
      <c r="N598" s="1">
        <v>2.720000029</v>
      </c>
    </row>
    <row r="599" ht="15.75" customHeight="1">
      <c r="A599" s="1" t="s">
        <v>164</v>
      </c>
      <c r="B599" s="1" t="s">
        <v>82</v>
      </c>
      <c r="C599" s="5">
        <v>45677.0</v>
      </c>
      <c r="D599" s="1" t="s">
        <v>161</v>
      </c>
      <c r="E599" s="1" t="s">
        <v>11</v>
      </c>
      <c r="F599" s="1" t="s">
        <v>166</v>
      </c>
      <c r="G599" s="1" t="s">
        <v>163</v>
      </c>
      <c r="H599" s="1">
        <v>1.0</v>
      </c>
      <c r="I599" s="1">
        <v>0.0</v>
      </c>
      <c r="J599" s="1">
        <v>0.0</v>
      </c>
      <c r="K599" s="1">
        <v>2.0</v>
      </c>
      <c r="L599" s="1">
        <v>4.0</v>
      </c>
      <c r="M599" s="1">
        <v>0.5</v>
      </c>
      <c r="N599" s="1">
        <v>3.480000019</v>
      </c>
    </row>
    <row r="600" ht="15.75" customHeight="1">
      <c r="A600" s="1" t="s">
        <v>160</v>
      </c>
      <c r="B600" s="1" t="s">
        <v>186</v>
      </c>
      <c r="C600" s="5">
        <v>45676.0</v>
      </c>
      <c r="D600" s="1" t="s">
        <v>161</v>
      </c>
      <c r="E600" s="1" t="s">
        <v>11</v>
      </c>
      <c r="F600" s="1" t="s">
        <v>166</v>
      </c>
      <c r="H600" s="1">
        <v>0.0</v>
      </c>
      <c r="I600" s="1">
        <v>0.0</v>
      </c>
      <c r="J600" s="1">
        <v>0.0</v>
      </c>
      <c r="K600" s="1">
        <v>2.0</v>
      </c>
      <c r="L600" s="1">
        <v>15.0</v>
      </c>
      <c r="M600" s="1">
        <v>0.133333333</v>
      </c>
      <c r="N600" s="1">
        <v>52.13999939</v>
      </c>
    </row>
    <row r="601" ht="15.75" customHeight="1">
      <c r="A601" s="1" t="s">
        <v>164</v>
      </c>
      <c r="B601" s="1" t="s">
        <v>60</v>
      </c>
      <c r="C601" s="5">
        <v>45675.0</v>
      </c>
      <c r="D601" s="1" t="s">
        <v>161</v>
      </c>
      <c r="E601" s="1" t="s">
        <v>11</v>
      </c>
      <c r="H601" s="1">
        <v>0.0</v>
      </c>
      <c r="J601" s="1">
        <v>0.0</v>
      </c>
      <c r="N601" s="1">
        <v>0.200000003</v>
      </c>
    </row>
    <row r="602" ht="15.75" customHeight="1">
      <c r="A602" s="1" t="s">
        <v>164</v>
      </c>
      <c r="B602" s="1" t="s">
        <v>74</v>
      </c>
      <c r="C602" s="5">
        <v>45675.0</v>
      </c>
      <c r="D602" s="1" t="s">
        <v>161</v>
      </c>
      <c r="E602" s="1" t="s">
        <v>11</v>
      </c>
      <c r="H602" s="1">
        <v>0.0</v>
      </c>
      <c r="J602" s="1">
        <v>0.0</v>
      </c>
      <c r="N602" s="1">
        <v>0.029999999</v>
      </c>
    </row>
    <row r="603" ht="15.75" customHeight="1">
      <c r="A603" s="1" t="s">
        <v>164</v>
      </c>
      <c r="B603" s="1" t="s">
        <v>24</v>
      </c>
      <c r="C603" s="5">
        <v>45674.0</v>
      </c>
      <c r="D603" s="1" t="s">
        <v>161</v>
      </c>
      <c r="E603" s="1" t="s">
        <v>11</v>
      </c>
      <c r="F603" s="1" t="s">
        <v>166</v>
      </c>
      <c r="H603" s="1">
        <v>0.0</v>
      </c>
      <c r="I603" s="1">
        <v>0.0</v>
      </c>
      <c r="J603" s="1">
        <v>0.0</v>
      </c>
      <c r="K603" s="1">
        <v>1.0</v>
      </c>
      <c r="L603" s="1">
        <v>8.0</v>
      </c>
      <c r="M603" s="1">
        <v>0.125</v>
      </c>
      <c r="N603" s="1">
        <v>9.829999924</v>
      </c>
    </row>
    <row r="604" ht="15.75" customHeight="1">
      <c r="A604" s="1" t="s">
        <v>164</v>
      </c>
      <c r="B604" s="1" t="s">
        <v>55</v>
      </c>
      <c r="C604" s="5">
        <v>45674.0</v>
      </c>
      <c r="D604" s="1" t="s">
        <v>161</v>
      </c>
      <c r="E604" s="1" t="s">
        <v>11</v>
      </c>
      <c r="F604" s="1" t="s">
        <v>166</v>
      </c>
      <c r="H604" s="1">
        <v>0.0</v>
      </c>
      <c r="I604" s="1">
        <v>0.0</v>
      </c>
      <c r="J604" s="1">
        <v>0.0</v>
      </c>
      <c r="K604" s="1">
        <v>2.0</v>
      </c>
      <c r="L604" s="1">
        <v>3.0</v>
      </c>
      <c r="M604" s="1">
        <v>0.666666667</v>
      </c>
      <c r="N604" s="1">
        <v>4.71999979</v>
      </c>
    </row>
    <row r="605" ht="15.75" customHeight="1">
      <c r="A605" s="1" t="s">
        <v>164</v>
      </c>
      <c r="B605" s="1" t="s">
        <v>64</v>
      </c>
      <c r="C605" s="5">
        <v>45674.0</v>
      </c>
      <c r="D605" s="1" t="s">
        <v>161</v>
      </c>
      <c r="E605" s="1" t="s">
        <v>11</v>
      </c>
      <c r="F605" s="1" t="s">
        <v>166</v>
      </c>
      <c r="H605" s="1">
        <v>0.0</v>
      </c>
      <c r="I605" s="1">
        <v>0.0</v>
      </c>
      <c r="J605" s="1">
        <v>0.0</v>
      </c>
      <c r="K605" s="1">
        <v>0.0</v>
      </c>
      <c r="L605" s="1">
        <v>5.0</v>
      </c>
      <c r="M605" s="1">
        <v>0.0</v>
      </c>
      <c r="N605" s="1">
        <v>6.579999924</v>
      </c>
    </row>
    <row r="606" ht="15.75" customHeight="1">
      <c r="A606" s="1" t="s">
        <v>164</v>
      </c>
      <c r="B606" s="1" t="s">
        <v>60</v>
      </c>
      <c r="C606" s="5">
        <v>45674.0</v>
      </c>
      <c r="D606" s="1" t="s">
        <v>161</v>
      </c>
      <c r="E606" s="1" t="s">
        <v>11</v>
      </c>
      <c r="F606" s="1" t="s">
        <v>166</v>
      </c>
      <c r="H606" s="1">
        <v>0.0</v>
      </c>
      <c r="I606" s="1">
        <v>0.0</v>
      </c>
      <c r="J606" s="1">
        <v>0.0</v>
      </c>
      <c r="K606" s="1">
        <v>2.0</v>
      </c>
      <c r="L606" s="1">
        <v>6.0</v>
      </c>
      <c r="M606" s="1">
        <v>0.333333333</v>
      </c>
      <c r="N606" s="1">
        <v>9.039999962</v>
      </c>
    </row>
    <row r="607" ht="15.75" customHeight="1">
      <c r="A607" s="1" t="s">
        <v>164</v>
      </c>
      <c r="B607" s="1" t="s">
        <v>63</v>
      </c>
      <c r="C607" s="5">
        <v>45674.0</v>
      </c>
      <c r="D607" s="1" t="s">
        <v>161</v>
      </c>
      <c r="E607" s="1" t="s">
        <v>11</v>
      </c>
      <c r="F607" s="1" t="s">
        <v>166</v>
      </c>
      <c r="H607" s="1">
        <v>0.0</v>
      </c>
      <c r="I607" s="1">
        <v>0.0</v>
      </c>
      <c r="J607" s="1">
        <v>0.0</v>
      </c>
      <c r="K607" s="1">
        <v>4.0</v>
      </c>
      <c r="L607" s="1">
        <v>5.0</v>
      </c>
      <c r="M607" s="1">
        <v>0.8</v>
      </c>
      <c r="N607" s="1">
        <v>9.390000343</v>
      </c>
    </row>
    <row r="608" ht="15.75" customHeight="1">
      <c r="A608" s="1" t="s">
        <v>164</v>
      </c>
      <c r="B608" s="1" t="s">
        <v>68</v>
      </c>
      <c r="C608" s="5">
        <v>45674.0</v>
      </c>
      <c r="D608" s="1" t="s">
        <v>161</v>
      </c>
      <c r="E608" s="1" t="s">
        <v>11</v>
      </c>
      <c r="F608" s="1" t="s">
        <v>165</v>
      </c>
      <c r="H608" s="1">
        <v>0.0</v>
      </c>
      <c r="I608" s="1">
        <v>0.0</v>
      </c>
      <c r="J608" s="1">
        <v>0.0</v>
      </c>
      <c r="K608" s="1">
        <v>10.0</v>
      </c>
      <c r="L608" s="1">
        <v>13.0</v>
      </c>
      <c r="M608" s="1">
        <v>0.769230769</v>
      </c>
      <c r="N608" s="1">
        <v>7.239999771</v>
      </c>
    </row>
    <row r="609" ht="15.75" customHeight="1">
      <c r="A609" s="1" t="s">
        <v>164</v>
      </c>
      <c r="B609" s="1" t="s">
        <v>197</v>
      </c>
      <c r="C609" s="5">
        <v>45674.0</v>
      </c>
      <c r="D609" s="1" t="s">
        <v>161</v>
      </c>
      <c r="E609" s="1" t="s">
        <v>11</v>
      </c>
      <c r="F609" s="1" t="s">
        <v>177</v>
      </c>
      <c r="H609" s="1">
        <v>0.0</v>
      </c>
      <c r="I609" s="1">
        <v>0.0</v>
      </c>
      <c r="J609" s="1">
        <v>0.0</v>
      </c>
      <c r="K609" s="1">
        <v>2.0</v>
      </c>
      <c r="L609" s="1">
        <v>7.0</v>
      </c>
      <c r="M609" s="1">
        <v>0.285714286</v>
      </c>
      <c r="N609" s="1">
        <v>17.80999947</v>
      </c>
    </row>
    <row r="610" ht="15.75" customHeight="1">
      <c r="A610" s="1" t="s">
        <v>164</v>
      </c>
      <c r="B610" s="1" t="s">
        <v>74</v>
      </c>
      <c r="C610" s="5">
        <v>45674.0</v>
      </c>
      <c r="D610" s="1" t="s">
        <v>161</v>
      </c>
      <c r="E610" s="1" t="s">
        <v>11</v>
      </c>
      <c r="F610" s="1" t="s">
        <v>166</v>
      </c>
      <c r="H610" s="1">
        <v>0.0</v>
      </c>
      <c r="I610" s="1">
        <v>0.0</v>
      </c>
      <c r="J610" s="1">
        <v>0.0</v>
      </c>
      <c r="K610" s="1">
        <v>0.0</v>
      </c>
      <c r="L610" s="1">
        <v>0.0</v>
      </c>
      <c r="N610" s="1">
        <v>0.0</v>
      </c>
    </row>
    <row r="611" ht="15.75" customHeight="1">
      <c r="A611" s="1" t="s">
        <v>164</v>
      </c>
      <c r="B611" s="1" t="s">
        <v>74</v>
      </c>
      <c r="C611" s="5">
        <v>45674.0</v>
      </c>
      <c r="D611" s="1" t="s">
        <v>161</v>
      </c>
      <c r="E611" s="1" t="s">
        <v>11</v>
      </c>
      <c r="F611" s="1" t="s">
        <v>171</v>
      </c>
      <c r="H611" s="1">
        <v>0.0</v>
      </c>
      <c r="I611" s="1">
        <v>0.0</v>
      </c>
      <c r="J611" s="1">
        <v>0.0</v>
      </c>
      <c r="K611" s="1">
        <v>3.0</v>
      </c>
      <c r="L611" s="1">
        <v>8.0</v>
      </c>
      <c r="M611" s="1">
        <v>0.375</v>
      </c>
      <c r="N611" s="1">
        <v>7.75</v>
      </c>
    </row>
    <row r="612" ht="15.75" customHeight="1">
      <c r="A612" s="1" t="s">
        <v>164</v>
      </c>
      <c r="B612" s="1" t="s">
        <v>75</v>
      </c>
      <c r="C612" s="5">
        <v>45674.0</v>
      </c>
      <c r="D612" s="1" t="s">
        <v>161</v>
      </c>
      <c r="E612" s="1" t="s">
        <v>11</v>
      </c>
      <c r="F612" s="1" t="s">
        <v>165</v>
      </c>
      <c r="H612" s="1">
        <v>0.0</v>
      </c>
      <c r="I612" s="1">
        <v>0.0</v>
      </c>
      <c r="J612" s="1">
        <v>0.0</v>
      </c>
      <c r="K612" s="1">
        <v>0.0</v>
      </c>
      <c r="L612" s="1">
        <v>1.0</v>
      </c>
      <c r="M612" s="1">
        <v>0.0</v>
      </c>
      <c r="N612" s="1">
        <v>13.07999992</v>
      </c>
    </row>
    <row r="613" ht="15.75" customHeight="1">
      <c r="A613" s="1" t="s">
        <v>164</v>
      </c>
      <c r="B613" s="1" t="s">
        <v>82</v>
      </c>
      <c r="C613" s="5">
        <v>45674.0</v>
      </c>
      <c r="D613" s="1" t="s">
        <v>161</v>
      </c>
      <c r="E613" s="1" t="s">
        <v>11</v>
      </c>
      <c r="F613" s="1" t="s">
        <v>165</v>
      </c>
      <c r="G613" s="1" t="s">
        <v>163</v>
      </c>
      <c r="H613" s="1">
        <v>1.0</v>
      </c>
      <c r="I613" s="1">
        <v>0.0</v>
      </c>
      <c r="J613" s="1">
        <v>0.0</v>
      </c>
      <c r="K613" s="1">
        <v>1.0</v>
      </c>
      <c r="L613" s="1">
        <v>6.0</v>
      </c>
      <c r="M613" s="1">
        <v>0.166666667</v>
      </c>
      <c r="N613" s="1">
        <v>0.0</v>
      </c>
    </row>
    <row r="614" ht="15.75" customHeight="1">
      <c r="A614" s="1" t="s">
        <v>164</v>
      </c>
      <c r="B614" s="1" t="s">
        <v>82</v>
      </c>
      <c r="C614" s="5">
        <v>45674.0</v>
      </c>
      <c r="D614" s="1" t="s">
        <v>161</v>
      </c>
      <c r="E614" s="1" t="s">
        <v>11</v>
      </c>
      <c r="F614" s="1" t="s">
        <v>166</v>
      </c>
      <c r="G614" s="1" t="s">
        <v>163</v>
      </c>
      <c r="H614" s="1">
        <v>1.0</v>
      </c>
      <c r="I614" s="1">
        <v>0.0</v>
      </c>
      <c r="J614" s="1">
        <v>0.0</v>
      </c>
      <c r="K614" s="1">
        <v>0.0</v>
      </c>
      <c r="L614" s="1">
        <v>3.0</v>
      </c>
      <c r="M614" s="1">
        <v>0.0</v>
      </c>
      <c r="N614" s="1">
        <v>0.0</v>
      </c>
    </row>
    <row r="615" ht="15.75" customHeight="1">
      <c r="A615" s="1" t="s">
        <v>164</v>
      </c>
      <c r="B615" s="1" t="s">
        <v>82</v>
      </c>
      <c r="C615" s="5">
        <v>45674.0</v>
      </c>
      <c r="D615" s="1" t="s">
        <v>161</v>
      </c>
      <c r="E615" s="1" t="s">
        <v>11</v>
      </c>
      <c r="F615" s="1" t="s">
        <v>171</v>
      </c>
      <c r="G615" s="1" t="s">
        <v>163</v>
      </c>
      <c r="H615" s="1">
        <v>1.0</v>
      </c>
      <c r="I615" s="1">
        <v>0.0</v>
      </c>
      <c r="J615" s="1">
        <v>0.0</v>
      </c>
      <c r="K615" s="1">
        <v>9.0</v>
      </c>
      <c r="L615" s="1">
        <v>10.0</v>
      </c>
      <c r="M615" s="1">
        <v>0.9</v>
      </c>
      <c r="N615" s="1">
        <v>19.68000031</v>
      </c>
    </row>
    <row r="616" ht="15.75" customHeight="1">
      <c r="A616" s="1" t="s">
        <v>164</v>
      </c>
      <c r="B616" s="1" t="s">
        <v>82</v>
      </c>
      <c r="C616" s="5">
        <v>45674.0</v>
      </c>
      <c r="D616" s="1" t="s">
        <v>161</v>
      </c>
      <c r="E616" s="1" t="s">
        <v>11</v>
      </c>
      <c r="F616" s="1" t="s">
        <v>169</v>
      </c>
      <c r="G616" s="1" t="s">
        <v>163</v>
      </c>
      <c r="H616" s="1">
        <v>1.0</v>
      </c>
      <c r="I616" s="1">
        <v>0.0</v>
      </c>
      <c r="J616" s="1">
        <v>0.0</v>
      </c>
      <c r="K616" s="1">
        <v>0.0</v>
      </c>
      <c r="L616" s="1">
        <v>1.0</v>
      </c>
      <c r="M616" s="1">
        <v>0.0</v>
      </c>
      <c r="N616" s="1">
        <v>0.0</v>
      </c>
    </row>
    <row r="617" ht="15.75" customHeight="1">
      <c r="A617" s="1" t="s">
        <v>160</v>
      </c>
      <c r="B617" s="1" t="s">
        <v>29</v>
      </c>
      <c r="C617" s="5">
        <v>45673.0</v>
      </c>
      <c r="D617" s="1" t="s">
        <v>161</v>
      </c>
      <c r="E617" s="1" t="s">
        <v>11</v>
      </c>
      <c r="F617" s="1" t="s">
        <v>165</v>
      </c>
      <c r="G617" s="1" t="s">
        <v>172</v>
      </c>
      <c r="H617" s="1">
        <v>1.0</v>
      </c>
      <c r="I617" s="1">
        <v>1.0</v>
      </c>
      <c r="J617" s="1">
        <v>0.0</v>
      </c>
      <c r="K617" s="1">
        <v>25.0</v>
      </c>
      <c r="L617" s="1">
        <v>40.0</v>
      </c>
      <c r="M617" s="1">
        <v>0.625</v>
      </c>
      <c r="N617" s="1">
        <v>15.03999996</v>
      </c>
    </row>
    <row r="618" ht="15.75" customHeight="1">
      <c r="A618" s="1" t="s">
        <v>160</v>
      </c>
      <c r="B618" s="1" t="s">
        <v>39</v>
      </c>
      <c r="C618" s="5">
        <v>45673.0</v>
      </c>
      <c r="D618" s="1" t="s">
        <v>161</v>
      </c>
      <c r="E618" s="1" t="s">
        <v>11</v>
      </c>
      <c r="F618" s="1" t="s">
        <v>162</v>
      </c>
      <c r="G618" s="1" t="s">
        <v>182</v>
      </c>
      <c r="H618" s="1">
        <v>2.0</v>
      </c>
      <c r="I618" s="1">
        <v>1.0</v>
      </c>
      <c r="J618" s="1">
        <v>0.0</v>
      </c>
      <c r="K618" s="1">
        <v>14.0</v>
      </c>
      <c r="L618" s="1">
        <v>16.0</v>
      </c>
      <c r="M618" s="1">
        <v>0.875</v>
      </c>
      <c r="N618" s="1">
        <v>28.86000061</v>
      </c>
    </row>
    <row r="619" ht="15.75" customHeight="1">
      <c r="A619" s="1" t="s">
        <v>160</v>
      </c>
      <c r="B619" s="1" t="s">
        <v>39</v>
      </c>
      <c r="C619" s="5">
        <v>45673.0</v>
      </c>
      <c r="D619" s="1" t="s">
        <v>161</v>
      </c>
      <c r="E619" s="1" t="s">
        <v>11</v>
      </c>
      <c r="F619" s="1" t="s">
        <v>166</v>
      </c>
      <c r="G619" s="1" t="s">
        <v>182</v>
      </c>
      <c r="H619" s="1">
        <v>2.0</v>
      </c>
      <c r="I619" s="1">
        <v>0.0</v>
      </c>
      <c r="J619" s="1">
        <v>0.0</v>
      </c>
      <c r="K619" s="1">
        <v>0.0</v>
      </c>
      <c r="L619" s="1">
        <v>0.0</v>
      </c>
      <c r="N619" s="1">
        <v>0.0</v>
      </c>
    </row>
    <row r="620" ht="15.75" customHeight="1">
      <c r="A620" s="1" t="s">
        <v>160</v>
      </c>
      <c r="B620" s="1" t="s">
        <v>65</v>
      </c>
      <c r="C620" s="5">
        <v>45673.0</v>
      </c>
      <c r="D620" s="1" t="s">
        <v>161</v>
      </c>
      <c r="E620" s="1" t="s">
        <v>11</v>
      </c>
      <c r="F620" s="1" t="s">
        <v>162</v>
      </c>
      <c r="H620" s="1">
        <v>0.0</v>
      </c>
      <c r="I620" s="1">
        <v>1.0</v>
      </c>
      <c r="J620" s="1">
        <v>0.0</v>
      </c>
      <c r="K620" s="1">
        <v>13.0</v>
      </c>
      <c r="L620" s="1">
        <v>15.0</v>
      </c>
      <c r="M620" s="1">
        <v>0.866666667</v>
      </c>
      <c r="N620" s="1">
        <v>19.70000076</v>
      </c>
    </row>
    <row r="621" ht="15.75" customHeight="1">
      <c r="A621" s="1" t="s">
        <v>160</v>
      </c>
      <c r="B621" s="1" t="s">
        <v>198</v>
      </c>
      <c r="C621" s="5">
        <v>45673.0</v>
      </c>
      <c r="D621" s="1" t="s">
        <v>161</v>
      </c>
      <c r="E621" s="1" t="s">
        <v>11</v>
      </c>
      <c r="H621" s="1">
        <v>0.0</v>
      </c>
      <c r="J621" s="1">
        <v>0.0</v>
      </c>
      <c r="N621" s="1">
        <v>0.280000001</v>
      </c>
    </row>
    <row r="622" ht="15.75" customHeight="1">
      <c r="A622" s="1" t="s">
        <v>160</v>
      </c>
      <c r="B622" s="1" t="s">
        <v>90</v>
      </c>
      <c r="C622" s="5">
        <v>45673.0</v>
      </c>
      <c r="D622" s="1" t="s">
        <v>161</v>
      </c>
      <c r="E622" s="1" t="s">
        <v>11</v>
      </c>
      <c r="F622" s="1" t="s">
        <v>165</v>
      </c>
      <c r="G622" s="1" t="s">
        <v>172</v>
      </c>
      <c r="H622" s="1">
        <v>1.0</v>
      </c>
      <c r="I622" s="1">
        <v>0.0</v>
      </c>
      <c r="J622" s="1">
        <v>0.0</v>
      </c>
      <c r="K622" s="1">
        <v>10.0</v>
      </c>
      <c r="L622" s="1">
        <v>22.0</v>
      </c>
      <c r="M622" s="1">
        <v>0.454545455</v>
      </c>
      <c r="N622" s="1">
        <v>29.28000069</v>
      </c>
    </row>
    <row r="623" ht="15.75" customHeight="1">
      <c r="A623" s="1" t="s">
        <v>164</v>
      </c>
      <c r="B623" s="1" t="s">
        <v>24</v>
      </c>
      <c r="C623" s="5">
        <v>45673.0</v>
      </c>
      <c r="D623" s="1" t="s">
        <v>161</v>
      </c>
      <c r="E623" s="1" t="s">
        <v>11</v>
      </c>
      <c r="F623" s="1" t="s">
        <v>166</v>
      </c>
      <c r="H623" s="1">
        <v>0.0</v>
      </c>
      <c r="I623" s="1">
        <v>0.0</v>
      </c>
      <c r="J623" s="1">
        <v>0.0</v>
      </c>
      <c r="K623" s="1">
        <v>0.0</v>
      </c>
      <c r="L623" s="1">
        <v>1.0</v>
      </c>
      <c r="M623" s="1">
        <v>0.0</v>
      </c>
      <c r="N623" s="1">
        <v>7.639999866</v>
      </c>
    </row>
    <row r="624" ht="15.75" customHeight="1">
      <c r="A624" s="1" t="s">
        <v>164</v>
      </c>
      <c r="B624" s="1" t="s">
        <v>64</v>
      </c>
      <c r="C624" s="5">
        <v>45673.0</v>
      </c>
      <c r="D624" s="1" t="s">
        <v>161</v>
      </c>
      <c r="E624" s="1" t="s">
        <v>11</v>
      </c>
      <c r="F624" s="1" t="s">
        <v>166</v>
      </c>
      <c r="H624" s="1">
        <v>0.0</v>
      </c>
      <c r="I624" s="1">
        <v>0.0</v>
      </c>
      <c r="J624" s="1">
        <v>0.0</v>
      </c>
      <c r="K624" s="1">
        <v>2.0</v>
      </c>
      <c r="L624" s="1">
        <v>4.0</v>
      </c>
      <c r="M624" s="1">
        <v>0.5</v>
      </c>
      <c r="N624" s="1">
        <v>7.769999981</v>
      </c>
    </row>
    <row r="625" ht="15.75" customHeight="1">
      <c r="A625" s="1" t="s">
        <v>164</v>
      </c>
      <c r="B625" s="1" t="s">
        <v>60</v>
      </c>
      <c r="C625" s="5">
        <v>45673.0</v>
      </c>
      <c r="D625" s="1" t="s">
        <v>161</v>
      </c>
      <c r="E625" s="1" t="s">
        <v>11</v>
      </c>
      <c r="H625" s="1">
        <v>0.0</v>
      </c>
      <c r="J625" s="1">
        <v>0.0</v>
      </c>
      <c r="N625" s="1">
        <v>0.100000001</v>
      </c>
    </row>
    <row r="626" ht="15.75" customHeight="1">
      <c r="A626" s="1" t="s">
        <v>164</v>
      </c>
      <c r="B626" s="1" t="s">
        <v>63</v>
      </c>
      <c r="C626" s="5">
        <v>45673.0</v>
      </c>
      <c r="D626" s="1" t="s">
        <v>161</v>
      </c>
      <c r="E626" s="1" t="s">
        <v>11</v>
      </c>
      <c r="F626" s="1" t="s">
        <v>166</v>
      </c>
      <c r="H626" s="1">
        <v>0.0</v>
      </c>
      <c r="I626" s="1">
        <v>0.0</v>
      </c>
      <c r="J626" s="1">
        <v>0.0</v>
      </c>
      <c r="K626" s="1">
        <v>3.0</v>
      </c>
      <c r="L626" s="1">
        <v>4.0</v>
      </c>
      <c r="M626" s="1">
        <v>0.75</v>
      </c>
      <c r="N626" s="1">
        <v>8.819999695</v>
      </c>
    </row>
    <row r="627" ht="15.75" customHeight="1">
      <c r="A627" s="1" t="s">
        <v>164</v>
      </c>
      <c r="B627" s="1" t="s">
        <v>68</v>
      </c>
      <c r="C627" s="5">
        <v>45673.0</v>
      </c>
      <c r="D627" s="1" t="s">
        <v>161</v>
      </c>
      <c r="E627" s="1" t="s">
        <v>11</v>
      </c>
      <c r="F627" s="1" t="s">
        <v>165</v>
      </c>
      <c r="H627" s="1">
        <v>0.0</v>
      </c>
      <c r="I627" s="1">
        <v>0.0</v>
      </c>
      <c r="J627" s="1">
        <v>0.0</v>
      </c>
      <c r="K627" s="1">
        <v>5.0</v>
      </c>
      <c r="L627" s="1">
        <v>9.0</v>
      </c>
      <c r="M627" s="1">
        <v>0.555555556</v>
      </c>
      <c r="N627" s="1">
        <v>7.710000038</v>
      </c>
    </row>
    <row r="628" ht="15.75" customHeight="1">
      <c r="A628" s="1" t="s">
        <v>164</v>
      </c>
      <c r="B628" s="1" t="s">
        <v>74</v>
      </c>
      <c r="C628" s="5">
        <v>45673.0</v>
      </c>
      <c r="D628" s="1" t="s">
        <v>161</v>
      </c>
      <c r="E628" s="1" t="s">
        <v>11</v>
      </c>
      <c r="F628" s="1" t="s">
        <v>167</v>
      </c>
      <c r="G628" s="1" t="s">
        <v>163</v>
      </c>
      <c r="H628" s="1">
        <v>1.0</v>
      </c>
      <c r="I628" s="1">
        <v>0.0</v>
      </c>
      <c r="J628" s="1">
        <v>0.0</v>
      </c>
      <c r="K628" s="1">
        <v>6.0</v>
      </c>
      <c r="L628" s="1">
        <v>8.0</v>
      </c>
      <c r="M628" s="1">
        <v>0.75</v>
      </c>
      <c r="N628" s="1">
        <v>18.70999908</v>
      </c>
    </row>
    <row r="629" ht="15.75" customHeight="1">
      <c r="A629" s="1" t="s">
        <v>164</v>
      </c>
      <c r="B629" s="1" t="s">
        <v>74</v>
      </c>
      <c r="C629" s="5">
        <v>45673.0</v>
      </c>
      <c r="D629" s="1" t="s">
        <v>161</v>
      </c>
      <c r="E629" s="1" t="s">
        <v>11</v>
      </c>
      <c r="F629" s="1" t="s">
        <v>166</v>
      </c>
      <c r="G629" s="1" t="s">
        <v>163</v>
      </c>
      <c r="H629" s="1">
        <v>1.0</v>
      </c>
      <c r="I629" s="1">
        <v>0.0</v>
      </c>
      <c r="J629" s="1">
        <v>0.0</v>
      </c>
      <c r="K629" s="1">
        <v>0.0</v>
      </c>
      <c r="L629" s="1">
        <v>0.0</v>
      </c>
      <c r="N629" s="1">
        <v>0.0</v>
      </c>
    </row>
    <row r="630" ht="15.75" customHeight="1">
      <c r="A630" s="1" t="s">
        <v>164</v>
      </c>
      <c r="B630" s="1" t="s">
        <v>74</v>
      </c>
      <c r="C630" s="5">
        <v>45673.0</v>
      </c>
      <c r="D630" s="1" t="s">
        <v>161</v>
      </c>
      <c r="E630" s="1" t="s">
        <v>11</v>
      </c>
      <c r="F630" s="1" t="s">
        <v>171</v>
      </c>
      <c r="G630" s="1" t="s">
        <v>163</v>
      </c>
      <c r="H630" s="1">
        <v>1.0</v>
      </c>
      <c r="I630" s="1">
        <v>0.0</v>
      </c>
      <c r="J630" s="1">
        <v>0.0</v>
      </c>
      <c r="K630" s="1">
        <v>0.0</v>
      </c>
      <c r="L630" s="1">
        <v>0.0</v>
      </c>
      <c r="N630" s="1">
        <v>0.0</v>
      </c>
    </row>
    <row r="631" ht="15.75" customHeight="1">
      <c r="A631" s="1" t="s">
        <v>164</v>
      </c>
      <c r="B631" s="1" t="s">
        <v>75</v>
      </c>
      <c r="C631" s="5">
        <v>45673.0</v>
      </c>
      <c r="D631" s="1" t="s">
        <v>161</v>
      </c>
      <c r="E631" s="1" t="s">
        <v>11</v>
      </c>
      <c r="F631" s="1" t="s">
        <v>165</v>
      </c>
      <c r="H631" s="1">
        <v>0.0</v>
      </c>
      <c r="I631" s="1">
        <v>0.0</v>
      </c>
      <c r="J631" s="1">
        <v>0.0</v>
      </c>
      <c r="K631" s="1">
        <v>0.0</v>
      </c>
      <c r="L631" s="1">
        <v>2.0</v>
      </c>
      <c r="M631" s="1">
        <v>0.0</v>
      </c>
      <c r="N631" s="1">
        <v>9.909999847</v>
      </c>
    </row>
    <row r="632" ht="15.75" customHeight="1">
      <c r="A632" s="1" t="s">
        <v>164</v>
      </c>
      <c r="B632" s="1" t="s">
        <v>100</v>
      </c>
      <c r="C632" s="5">
        <v>45673.0</v>
      </c>
      <c r="D632" s="1" t="s">
        <v>161</v>
      </c>
      <c r="E632" s="1" t="s">
        <v>11</v>
      </c>
      <c r="F632" s="1" t="s">
        <v>171</v>
      </c>
      <c r="H632" s="1">
        <v>0.0</v>
      </c>
      <c r="I632" s="1">
        <v>0.0</v>
      </c>
      <c r="J632" s="1">
        <v>0.0</v>
      </c>
      <c r="K632" s="1">
        <v>0.0</v>
      </c>
      <c r="L632" s="1">
        <v>3.0</v>
      </c>
      <c r="M632" s="1">
        <v>0.0</v>
      </c>
      <c r="N632" s="1">
        <v>7.920000076</v>
      </c>
    </row>
    <row r="633" ht="15.75" customHeight="1">
      <c r="A633" s="1" t="s">
        <v>164</v>
      </c>
      <c r="B633" s="1" t="s">
        <v>82</v>
      </c>
      <c r="C633" s="5">
        <v>45673.0</v>
      </c>
      <c r="D633" s="1" t="s">
        <v>161</v>
      </c>
      <c r="E633" s="1" t="s">
        <v>11</v>
      </c>
      <c r="F633" s="1" t="s">
        <v>166</v>
      </c>
      <c r="G633" s="1" t="s">
        <v>163</v>
      </c>
      <c r="H633" s="1">
        <v>1.0</v>
      </c>
      <c r="I633" s="1">
        <v>1.0</v>
      </c>
      <c r="J633" s="1">
        <v>0.0</v>
      </c>
      <c r="K633" s="1">
        <v>7.0</v>
      </c>
      <c r="L633" s="1">
        <v>9.0</v>
      </c>
      <c r="M633" s="1">
        <v>0.777777778</v>
      </c>
      <c r="N633" s="1">
        <v>16.07999992</v>
      </c>
    </row>
    <row r="634" ht="15.75" customHeight="1">
      <c r="A634" s="1" t="s">
        <v>164</v>
      </c>
      <c r="B634" s="1" t="s">
        <v>82</v>
      </c>
      <c r="C634" s="5">
        <v>45673.0</v>
      </c>
      <c r="D634" s="1" t="s">
        <v>161</v>
      </c>
      <c r="E634" s="1" t="s">
        <v>11</v>
      </c>
      <c r="F634" s="1" t="s">
        <v>171</v>
      </c>
      <c r="G634" s="1" t="s">
        <v>163</v>
      </c>
      <c r="H634" s="1">
        <v>1.0</v>
      </c>
      <c r="I634" s="1">
        <v>0.0</v>
      </c>
      <c r="J634" s="1">
        <v>0.0</v>
      </c>
      <c r="K634" s="1">
        <v>4.0</v>
      </c>
      <c r="L634" s="1">
        <v>5.0</v>
      </c>
      <c r="M634" s="1">
        <v>0.8</v>
      </c>
      <c r="N634" s="1">
        <v>0.0</v>
      </c>
    </row>
    <row r="635" ht="15.75" customHeight="1">
      <c r="A635" s="1" t="s">
        <v>160</v>
      </c>
      <c r="B635" s="1" t="s">
        <v>29</v>
      </c>
      <c r="C635" s="5">
        <v>45672.0</v>
      </c>
      <c r="D635" s="1" t="s">
        <v>161</v>
      </c>
      <c r="E635" s="1" t="s">
        <v>11</v>
      </c>
      <c r="F635" s="1" t="s">
        <v>165</v>
      </c>
      <c r="H635" s="1">
        <v>0.0</v>
      </c>
      <c r="I635" s="1">
        <v>1.0</v>
      </c>
      <c r="J635" s="1">
        <v>0.0</v>
      </c>
      <c r="K635" s="1">
        <v>12.0</v>
      </c>
      <c r="L635" s="1">
        <v>12.0</v>
      </c>
      <c r="M635" s="1">
        <v>1.0</v>
      </c>
      <c r="N635" s="1">
        <v>4.860000134</v>
      </c>
    </row>
    <row r="636" ht="15.75" customHeight="1">
      <c r="A636" s="1" t="s">
        <v>160</v>
      </c>
      <c r="B636" s="1" t="s">
        <v>80</v>
      </c>
      <c r="C636" s="5">
        <v>45672.0</v>
      </c>
      <c r="D636" s="1" t="s">
        <v>161</v>
      </c>
      <c r="E636" s="1" t="s">
        <v>11</v>
      </c>
      <c r="F636" s="1" t="s">
        <v>162</v>
      </c>
      <c r="H636" s="1">
        <v>0.0</v>
      </c>
      <c r="I636" s="1">
        <v>0.0</v>
      </c>
      <c r="J636" s="1">
        <v>0.0</v>
      </c>
      <c r="K636" s="1">
        <v>2.0</v>
      </c>
      <c r="L636" s="1">
        <v>8.0</v>
      </c>
      <c r="M636" s="1">
        <v>0.25</v>
      </c>
      <c r="N636" s="1">
        <v>10.17000008</v>
      </c>
    </row>
    <row r="637" ht="15.75" customHeight="1">
      <c r="A637" s="1" t="s">
        <v>164</v>
      </c>
      <c r="B637" s="1" t="s">
        <v>24</v>
      </c>
      <c r="C637" s="5">
        <v>45672.0</v>
      </c>
      <c r="D637" s="1" t="s">
        <v>161</v>
      </c>
      <c r="E637" s="1" t="s">
        <v>11</v>
      </c>
      <c r="F637" s="1" t="s">
        <v>166</v>
      </c>
      <c r="H637" s="1">
        <v>0.0</v>
      </c>
      <c r="I637" s="1">
        <v>0.0</v>
      </c>
      <c r="J637" s="1">
        <v>0.0</v>
      </c>
      <c r="K637" s="1">
        <v>1.0</v>
      </c>
      <c r="L637" s="1">
        <v>2.0</v>
      </c>
      <c r="M637" s="1">
        <v>0.5</v>
      </c>
      <c r="N637" s="1">
        <v>4.1199998860000004</v>
      </c>
    </row>
    <row r="638" ht="15.75" customHeight="1">
      <c r="A638" s="1" t="s">
        <v>164</v>
      </c>
      <c r="B638" s="1" t="s">
        <v>64</v>
      </c>
      <c r="C638" s="5">
        <v>45672.0</v>
      </c>
      <c r="D638" s="1" t="s">
        <v>161</v>
      </c>
      <c r="E638" s="1" t="s">
        <v>11</v>
      </c>
      <c r="F638" s="1" t="s">
        <v>166</v>
      </c>
      <c r="H638" s="1">
        <v>0.0</v>
      </c>
      <c r="I638" s="1">
        <v>0.0</v>
      </c>
      <c r="J638" s="1">
        <v>0.0</v>
      </c>
      <c r="K638" s="1">
        <v>1.0</v>
      </c>
      <c r="L638" s="1">
        <v>2.0</v>
      </c>
      <c r="M638" s="1">
        <v>0.5</v>
      </c>
      <c r="N638" s="1">
        <v>10.25</v>
      </c>
    </row>
    <row r="639" ht="15.75" customHeight="1">
      <c r="A639" s="1" t="s">
        <v>164</v>
      </c>
      <c r="B639" s="1" t="s">
        <v>60</v>
      </c>
      <c r="C639" s="5">
        <v>45672.0</v>
      </c>
      <c r="D639" s="1" t="s">
        <v>161</v>
      </c>
      <c r="E639" s="1" t="s">
        <v>11</v>
      </c>
      <c r="F639" s="1" t="s">
        <v>166</v>
      </c>
      <c r="H639" s="1">
        <v>0.0</v>
      </c>
      <c r="I639" s="1">
        <v>0.0</v>
      </c>
      <c r="J639" s="1">
        <v>0.0</v>
      </c>
      <c r="K639" s="1">
        <v>2.0</v>
      </c>
      <c r="L639" s="1">
        <v>3.0</v>
      </c>
      <c r="M639" s="1">
        <v>0.666666667</v>
      </c>
      <c r="N639" s="1">
        <v>13.02999973</v>
      </c>
    </row>
    <row r="640" ht="15.75" customHeight="1">
      <c r="A640" s="1" t="s">
        <v>164</v>
      </c>
      <c r="B640" s="1" t="s">
        <v>63</v>
      </c>
      <c r="C640" s="5">
        <v>45672.0</v>
      </c>
      <c r="D640" s="1" t="s">
        <v>161</v>
      </c>
      <c r="E640" s="1" t="s">
        <v>11</v>
      </c>
      <c r="F640" s="1" t="s">
        <v>166</v>
      </c>
      <c r="H640" s="1">
        <v>0.0</v>
      </c>
      <c r="I640" s="1">
        <v>0.0</v>
      </c>
      <c r="J640" s="1">
        <v>0.0</v>
      </c>
      <c r="K640" s="1">
        <v>1.0</v>
      </c>
      <c r="L640" s="1">
        <v>2.0</v>
      </c>
      <c r="M640" s="1">
        <v>0.5</v>
      </c>
      <c r="N640" s="1">
        <v>6.429999828</v>
      </c>
    </row>
    <row r="641" ht="15.75" customHeight="1">
      <c r="A641" s="1" t="s">
        <v>164</v>
      </c>
      <c r="B641" s="1" t="s">
        <v>183</v>
      </c>
      <c r="C641" s="5">
        <v>45672.0</v>
      </c>
      <c r="D641" s="1" t="s">
        <v>161</v>
      </c>
      <c r="E641" s="1" t="s">
        <v>11</v>
      </c>
      <c r="H641" s="1">
        <v>0.0</v>
      </c>
      <c r="J641" s="1">
        <v>0.0</v>
      </c>
      <c r="N641" s="1">
        <v>0.479999989</v>
      </c>
    </row>
    <row r="642" ht="15.75" customHeight="1">
      <c r="A642" s="1" t="s">
        <v>164</v>
      </c>
      <c r="B642" s="1" t="s">
        <v>68</v>
      </c>
      <c r="C642" s="5">
        <v>45672.0</v>
      </c>
      <c r="D642" s="1" t="s">
        <v>161</v>
      </c>
      <c r="E642" s="1" t="s">
        <v>11</v>
      </c>
      <c r="F642" s="1" t="s">
        <v>165</v>
      </c>
      <c r="H642" s="1">
        <v>0.0</v>
      </c>
      <c r="I642" s="1">
        <v>0.0</v>
      </c>
      <c r="J642" s="1">
        <v>0.0</v>
      </c>
      <c r="K642" s="1">
        <v>3.0</v>
      </c>
      <c r="L642" s="1">
        <v>6.0</v>
      </c>
      <c r="M642" s="1">
        <v>0.5</v>
      </c>
      <c r="N642" s="1">
        <v>6.75</v>
      </c>
    </row>
    <row r="643" ht="15.75" customHeight="1">
      <c r="A643" s="1" t="s">
        <v>164</v>
      </c>
      <c r="B643" s="1" t="s">
        <v>74</v>
      </c>
      <c r="C643" s="5">
        <v>45672.0</v>
      </c>
      <c r="D643" s="1" t="s">
        <v>161</v>
      </c>
      <c r="E643" s="1" t="s">
        <v>11</v>
      </c>
      <c r="F643" s="1" t="s">
        <v>162</v>
      </c>
      <c r="H643" s="1">
        <v>0.0</v>
      </c>
      <c r="I643" s="1">
        <v>1.0</v>
      </c>
      <c r="J643" s="1">
        <v>0.0</v>
      </c>
      <c r="K643" s="1">
        <v>14.0</v>
      </c>
      <c r="L643" s="1">
        <v>15.0</v>
      </c>
      <c r="M643" s="1">
        <v>0.933333333</v>
      </c>
      <c r="N643" s="1">
        <v>8.619999886</v>
      </c>
    </row>
    <row r="644" ht="15.75" customHeight="1">
      <c r="A644" s="1" t="s">
        <v>164</v>
      </c>
      <c r="B644" s="1" t="s">
        <v>74</v>
      </c>
      <c r="C644" s="5">
        <v>45672.0</v>
      </c>
      <c r="D644" s="1" t="s">
        <v>161</v>
      </c>
      <c r="E644" s="1" t="s">
        <v>11</v>
      </c>
      <c r="F644" s="1" t="s">
        <v>166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N644" s="1">
        <v>0.0</v>
      </c>
    </row>
    <row r="645" ht="15.75" customHeight="1">
      <c r="A645" s="1" t="s">
        <v>164</v>
      </c>
      <c r="B645" s="1" t="s">
        <v>75</v>
      </c>
      <c r="C645" s="5">
        <v>45672.0</v>
      </c>
      <c r="D645" s="1" t="s">
        <v>161</v>
      </c>
      <c r="E645" s="1" t="s">
        <v>11</v>
      </c>
      <c r="F645" s="1" t="s">
        <v>165</v>
      </c>
      <c r="H645" s="1">
        <v>0.0</v>
      </c>
      <c r="I645" s="1">
        <v>0.0</v>
      </c>
      <c r="J645" s="1">
        <v>0.0</v>
      </c>
      <c r="K645" s="1">
        <v>0.0</v>
      </c>
      <c r="L645" s="1">
        <v>4.0</v>
      </c>
      <c r="M645" s="1">
        <v>0.0</v>
      </c>
      <c r="N645" s="1">
        <v>9.789999962</v>
      </c>
    </row>
    <row r="646" ht="15.75" customHeight="1">
      <c r="A646" s="1" t="s">
        <v>164</v>
      </c>
      <c r="B646" s="1" t="s">
        <v>100</v>
      </c>
      <c r="C646" s="5">
        <v>45672.0</v>
      </c>
      <c r="D646" s="1" t="s">
        <v>161</v>
      </c>
      <c r="E646" s="1" t="s">
        <v>11</v>
      </c>
      <c r="F646" s="1" t="s">
        <v>171</v>
      </c>
      <c r="H646" s="1">
        <v>0.0</v>
      </c>
      <c r="I646" s="1">
        <v>0.0</v>
      </c>
      <c r="J646" s="1">
        <v>0.0</v>
      </c>
      <c r="K646" s="1">
        <v>0.0</v>
      </c>
      <c r="L646" s="1">
        <v>6.0</v>
      </c>
      <c r="M646" s="1">
        <v>0.0</v>
      </c>
      <c r="N646" s="1">
        <v>6.429999828</v>
      </c>
    </row>
    <row r="647" ht="15.75" customHeight="1">
      <c r="A647" s="1" t="s">
        <v>164</v>
      </c>
      <c r="B647" s="1" t="s">
        <v>82</v>
      </c>
      <c r="C647" s="5">
        <v>45672.0</v>
      </c>
      <c r="D647" s="1" t="s">
        <v>161</v>
      </c>
      <c r="E647" s="1" t="s">
        <v>11</v>
      </c>
      <c r="F647" s="1" t="s">
        <v>166</v>
      </c>
      <c r="G647" s="1" t="s">
        <v>163</v>
      </c>
      <c r="H647" s="1">
        <v>1.0</v>
      </c>
      <c r="I647" s="1">
        <v>0.0</v>
      </c>
      <c r="J647" s="1">
        <v>0.0</v>
      </c>
      <c r="K647" s="1">
        <v>3.0</v>
      </c>
      <c r="L647" s="1">
        <v>4.0</v>
      </c>
      <c r="M647" s="1">
        <v>0.75</v>
      </c>
      <c r="N647" s="1">
        <v>6.230000019</v>
      </c>
    </row>
    <row r="648" ht="15.75" customHeight="1">
      <c r="A648" s="1" t="s">
        <v>160</v>
      </c>
      <c r="B648" s="1" t="s">
        <v>29</v>
      </c>
      <c r="C648" s="5">
        <v>45671.0</v>
      </c>
      <c r="D648" s="1" t="s">
        <v>161</v>
      </c>
      <c r="E648" s="1" t="s">
        <v>11</v>
      </c>
      <c r="F648" s="1" t="s">
        <v>165</v>
      </c>
      <c r="G648" s="1" t="s">
        <v>172</v>
      </c>
      <c r="H648" s="1">
        <v>1.0</v>
      </c>
      <c r="I648" s="1">
        <v>2.0</v>
      </c>
      <c r="J648" s="1">
        <v>0.0</v>
      </c>
      <c r="K648" s="1">
        <v>32.0</v>
      </c>
      <c r="L648" s="1">
        <v>35.0</v>
      </c>
      <c r="M648" s="1">
        <v>0.914285714</v>
      </c>
      <c r="N648" s="1">
        <v>21.69000053</v>
      </c>
    </row>
    <row r="649" ht="15.75" customHeight="1">
      <c r="A649" s="1" t="s">
        <v>160</v>
      </c>
      <c r="B649" s="1" t="s">
        <v>39</v>
      </c>
      <c r="C649" s="5">
        <v>45671.0</v>
      </c>
      <c r="D649" s="1" t="s">
        <v>161</v>
      </c>
      <c r="E649" s="1" t="s">
        <v>11</v>
      </c>
      <c r="F649" s="1" t="s">
        <v>162</v>
      </c>
      <c r="G649" s="1" t="s">
        <v>172</v>
      </c>
      <c r="H649" s="1">
        <v>1.0</v>
      </c>
      <c r="I649" s="1">
        <v>0.0</v>
      </c>
      <c r="J649" s="1">
        <v>0.0</v>
      </c>
      <c r="K649" s="1">
        <v>2.0</v>
      </c>
      <c r="L649" s="1">
        <v>5.0</v>
      </c>
      <c r="M649" s="1">
        <v>0.4</v>
      </c>
      <c r="N649" s="1">
        <v>11.52999973</v>
      </c>
    </row>
    <row r="650" ht="15.75" customHeight="1">
      <c r="A650" s="1" t="s">
        <v>160</v>
      </c>
      <c r="B650" s="1" t="s">
        <v>184</v>
      </c>
      <c r="C650" s="5">
        <v>45671.0</v>
      </c>
      <c r="D650" s="1" t="s">
        <v>161</v>
      </c>
      <c r="E650" s="1" t="s">
        <v>11</v>
      </c>
      <c r="F650" s="1" t="s">
        <v>165</v>
      </c>
      <c r="H650" s="1">
        <v>0.0</v>
      </c>
      <c r="I650" s="1">
        <v>0.0</v>
      </c>
      <c r="J650" s="1">
        <v>0.0</v>
      </c>
      <c r="K650" s="1">
        <v>0.0</v>
      </c>
      <c r="L650" s="1">
        <v>0.0</v>
      </c>
      <c r="N650" s="1">
        <v>0.310000002</v>
      </c>
    </row>
    <row r="651" ht="15.75" customHeight="1">
      <c r="A651" s="1" t="s">
        <v>160</v>
      </c>
      <c r="B651" s="1" t="s">
        <v>77</v>
      </c>
      <c r="C651" s="5">
        <v>45671.0</v>
      </c>
      <c r="D651" s="1" t="s">
        <v>161</v>
      </c>
      <c r="E651" s="1" t="s">
        <v>11</v>
      </c>
      <c r="F651" s="1" t="s">
        <v>162</v>
      </c>
      <c r="G651" s="1" t="s">
        <v>172</v>
      </c>
      <c r="H651" s="1">
        <v>1.0</v>
      </c>
      <c r="I651" s="1">
        <v>0.0</v>
      </c>
      <c r="J651" s="1">
        <v>0.0</v>
      </c>
      <c r="K651" s="1">
        <v>8.0</v>
      </c>
      <c r="L651" s="1">
        <v>10.0</v>
      </c>
      <c r="M651" s="1">
        <v>0.8</v>
      </c>
      <c r="N651" s="1">
        <v>10.35999966</v>
      </c>
    </row>
    <row r="652" ht="15.75" customHeight="1">
      <c r="A652" s="1" t="s">
        <v>160</v>
      </c>
      <c r="B652" s="1" t="s">
        <v>90</v>
      </c>
      <c r="C652" s="5">
        <v>45671.0</v>
      </c>
      <c r="D652" s="1" t="s">
        <v>161</v>
      </c>
      <c r="E652" s="1" t="s">
        <v>11</v>
      </c>
      <c r="F652" s="1" t="s">
        <v>165</v>
      </c>
      <c r="H652" s="1">
        <v>0.0</v>
      </c>
      <c r="I652" s="1">
        <v>0.0</v>
      </c>
      <c r="J652" s="1">
        <v>0.0</v>
      </c>
      <c r="K652" s="1">
        <v>2.0</v>
      </c>
      <c r="L652" s="1">
        <v>8.0</v>
      </c>
      <c r="M652" s="1">
        <v>0.25</v>
      </c>
      <c r="N652" s="1">
        <v>11.21000004</v>
      </c>
    </row>
    <row r="653" ht="15.75" customHeight="1">
      <c r="A653" s="1" t="s">
        <v>164</v>
      </c>
      <c r="B653" s="1" t="s">
        <v>199</v>
      </c>
      <c r="C653" s="5">
        <v>45671.0</v>
      </c>
      <c r="D653" s="1" t="s">
        <v>161</v>
      </c>
      <c r="E653" s="1" t="s">
        <v>11</v>
      </c>
      <c r="H653" s="1">
        <v>0.0</v>
      </c>
      <c r="J653" s="1">
        <v>0.0</v>
      </c>
      <c r="N653" s="1">
        <v>0.930000007</v>
      </c>
    </row>
    <row r="654" ht="15.75" customHeight="1">
      <c r="A654" s="1" t="s">
        <v>164</v>
      </c>
      <c r="B654" s="1" t="s">
        <v>64</v>
      </c>
      <c r="C654" s="5">
        <v>45671.0</v>
      </c>
      <c r="D654" s="1" t="s">
        <v>161</v>
      </c>
      <c r="E654" s="1" t="s">
        <v>11</v>
      </c>
      <c r="F654" s="1" t="s">
        <v>166</v>
      </c>
      <c r="H654" s="1">
        <v>0.0</v>
      </c>
      <c r="I654" s="1">
        <v>1.0</v>
      </c>
      <c r="J654" s="1">
        <v>0.0</v>
      </c>
      <c r="K654" s="1">
        <v>11.0</v>
      </c>
      <c r="L654" s="1">
        <v>19.0</v>
      </c>
      <c r="M654" s="1">
        <v>0.578947368</v>
      </c>
      <c r="N654" s="1">
        <v>24.25</v>
      </c>
    </row>
    <row r="655" ht="15.75" customHeight="1">
      <c r="A655" s="1" t="s">
        <v>164</v>
      </c>
      <c r="B655" s="1" t="s">
        <v>179</v>
      </c>
      <c r="C655" s="5">
        <v>45671.0</v>
      </c>
      <c r="D655" s="1" t="s">
        <v>161</v>
      </c>
      <c r="E655" s="1" t="s">
        <v>11</v>
      </c>
      <c r="F655" s="1" t="s">
        <v>166</v>
      </c>
      <c r="H655" s="1">
        <v>0.0</v>
      </c>
      <c r="I655" s="1">
        <v>0.0</v>
      </c>
      <c r="J655" s="1">
        <v>0.0</v>
      </c>
      <c r="K655" s="1">
        <v>5.0</v>
      </c>
      <c r="L655" s="1">
        <v>14.0</v>
      </c>
      <c r="M655" s="1">
        <v>0.357142857</v>
      </c>
      <c r="N655" s="1">
        <v>8.539999962</v>
      </c>
    </row>
    <row r="656" ht="15.75" customHeight="1">
      <c r="A656" s="1" t="s">
        <v>164</v>
      </c>
      <c r="B656" s="1" t="s">
        <v>60</v>
      </c>
      <c r="C656" s="5">
        <v>45671.0</v>
      </c>
      <c r="D656" s="1" t="s">
        <v>161</v>
      </c>
      <c r="E656" s="1" t="s">
        <v>11</v>
      </c>
      <c r="F656" s="1" t="s">
        <v>166</v>
      </c>
      <c r="H656" s="1">
        <v>0.0</v>
      </c>
      <c r="I656" s="1">
        <v>0.0</v>
      </c>
      <c r="J656" s="1">
        <v>0.0</v>
      </c>
      <c r="K656" s="1">
        <v>2.0</v>
      </c>
      <c r="L656" s="1">
        <v>2.0</v>
      </c>
      <c r="M656" s="1">
        <v>1.0</v>
      </c>
      <c r="N656" s="1">
        <v>11.31000042</v>
      </c>
    </row>
    <row r="657" ht="15.75" customHeight="1">
      <c r="A657" s="1" t="s">
        <v>164</v>
      </c>
      <c r="B657" s="1" t="s">
        <v>63</v>
      </c>
      <c r="C657" s="5">
        <v>45671.0</v>
      </c>
      <c r="D657" s="1" t="s">
        <v>161</v>
      </c>
      <c r="E657" s="1" t="s">
        <v>11</v>
      </c>
      <c r="F657" s="1" t="s">
        <v>166</v>
      </c>
      <c r="H657" s="1">
        <v>0.0</v>
      </c>
      <c r="I657" s="1">
        <v>0.0</v>
      </c>
      <c r="J657" s="1">
        <v>0.0</v>
      </c>
      <c r="K657" s="1">
        <v>1.0</v>
      </c>
      <c r="L657" s="1">
        <v>8.0</v>
      </c>
      <c r="M657" s="1">
        <v>0.125</v>
      </c>
      <c r="N657" s="1">
        <v>9.630000114</v>
      </c>
    </row>
    <row r="658" ht="15.75" customHeight="1">
      <c r="A658" s="1" t="s">
        <v>164</v>
      </c>
      <c r="B658" s="1" t="s">
        <v>68</v>
      </c>
      <c r="C658" s="5">
        <v>45671.0</v>
      </c>
      <c r="D658" s="1" t="s">
        <v>161</v>
      </c>
      <c r="E658" s="1" t="s">
        <v>11</v>
      </c>
      <c r="F658" s="1" t="s">
        <v>165</v>
      </c>
      <c r="H658" s="1">
        <v>0.0</v>
      </c>
      <c r="I658" s="1">
        <v>0.0</v>
      </c>
      <c r="J658" s="1">
        <v>0.0</v>
      </c>
      <c r="K658" s="1">
        <v>5.0</v>
      </c>
      <c r="L658" s="1">
        <v>8.0</v>
      </c>
      <c r="M658" s="1">
        <v>0.625</v>
      </c>
      <c r="N658" s="1">
        <v>10.28999996</v>
      </c>
    </row>
    <row r="659" ht="15.75" customHeight="1">
      <c r="A659" s="1" t="s">
        <v>164</v>
      </c>
      <c r="B659" s="1" t="s">
        <v>75</v>
      </c>
      <c r="C659" s="5">
        <v>45671.0</v>
      </c>
      <c r="D659" s="1" t="s">
        <v>161</v>
      </c>
      <c r="E659" s="1" t="s">
        <v>11</v>
      </c>
      <c r="F659" s="1" t="s">
        <v>165</v>
      </c>
      <c r="H659" s="1">
        <v>0.0</v>
      </c>
      <c r="I659" s="1">
        <v>1.0</v>
      </c>
      <c r="J659" s="1">
        <v>0.0</v>
      </c>
      <c r="K659" s="1">
        <v>6.0</v>
      </c>
      <c r="L659" s="1">
        <v>6.0</v>
      </c>
      <c r="M659" s="1">
        <v>1.0</v>
      </c>
      <c r="N659" s="1">
        <v>5.3699998860000004</v>
      </c>
    </row>
    <row r="660" ht="15.75" customHeight="1">
      <c r="A660" s="1" t="s">
        <v>164</v>
      </c>
      <c r="B660" s="1" t="s">
        <v>100</v>
      </c>
      <c r="C660" s="5">
        <v>45671.0</v>
      </c>
      <c r="D660" s="1" t="s">
        <v>161</v>
      </c>
      <c r="E660" s="1" t="s">
        <v>11</v>
      </c>
      <c r="F660" s="1" t="s">
        <v>171</v>
      </c>
      <c r="H660" s="1">
        <v>0.0</v>
      </c>
      <c r="I660" s="1">
        <v>1.0</v>
      </c>
      <c r="J660" s="1">
        <v>0.0</v>
      </c>
      <c r="K660" s="1">
        <v>16.0</v>
      </c>
      <c r="L660" s="1">
        <v>17.0</v>
      </c>
      <c r="M660" s="1">
        <v>0.941176471</v>
      </c>
      <c r="N660" s="1">
        <v>9.409999847</v>
      </c>
    </row>
    <row r="661" ht="15.75" customHeight="1">
      <c r="A661" s="1" t="s">
        <v>164</v>
      </c>
      <c r="B661" s="1" t="s">
        <v>82</v>
      </c>
      <c r="C661" s="5">
        <v>45671.0</v>
      </c>
      <c r="D661" s="1" t="s">
        <v>161</v>
      </c>
      <c r="E661" s="1" t="s">
        <v>11</v>
      </c>
      <c r="F661" s="1" t="s">
        <v>166</v>
      </c>
      <c r="H661" s="1">
        <v>0.0</v>
      </c>
      <c r="I661" s="1">
        <v>0.0</v>
      </c>
      <c r="J661" s="1">
        <v>0.0</v>
      </c>
      <c r="K661" s="1">
        <v>2.0</v>
      </c>
      <c r="L661" s="1">
        <v>7.0</v>
      </c>
      <c r="M661" s="1">
        <v>0.285714286</v>
      </c>
      <c r="N661" s="1">
        <v>11.01000023</v>
      </c>
    </row>
    <row r="662" ht="15.75" customHeight="1">
      <c r="A662" s="1" t="s">
        <v>160</v>
      </c>
      <c r="B662" s="1" t="s">
        <v>29</v>
      </c>
      <c r="C662" s="5">
        <v>45670.0</v>
      </c>
      <c r="D662" s="1" t="s">
        <v>161</v>
      </c>
      <c r="E662" s="1" t="s">
        <v>11</v>
      </c>
      <c r="F662" s="1" t="s">
        <v>165</v>
      </c>
      <c r="G662" s="1" t="s">
        <v>200</v>
      </c>
      <c r="H662" s="1">
        <v>2.0</v>
      </c>
      <c r="I662" s="1">
        <v>1.0</v>
      </c>
      <c r="J662" s="1">
        <v>0.0</v>
      </c>
      <c r="K662" s="1">
        <v>32.0</v>
      </c>
      <c r="L662" s="1">
        <v>42.0</v>
      </c>
      <c r="M662" s="1">
        <v>0.761904762</v>
      </c>
      <c r="N662" s="1">
        <v>26.14999962</v>
      </c>
    </row>
    <row r="663" ht="15.75" customHeight="1">
      <c r="A663" s="1" t="s">
        <v>160</v>
      </c>
      <c r="B663" s="1" t="s">
        <v>39</v>
      </c>
      <c r="C663" s="5">
        <v>45670.0</v>
      </c>
      <c r="D663" s="1" t="s">
        <v>161</v>
      </c>
      <c r="E663" s="1" t="s">
        <v>11</v>
      </c>
      <c r="F663" s="1" t="s">
        <v>162</v>
      </c>
      <c r="H663" s="1">
        <v>0.0</v>
      </c>
      <c r="I663" s="1">
        <v>0.0</v>
      </c>
      <c r="J663" s="1">
        <v>0.0</v>
      </c>
      <c r="K663" s="1">
        <v>8.0</v>
      </c>
      <c r="L663" s="1">
        <v>16.0</v>
      </c>
      <c r="M663" s="1">
        <v>0.5</v>
      </c>
      <c r="N663" s="1">
        <v>16.21999931</v>
      </c>
    </row>
    <row r="664" ht="15.75" customHeight="1">
      <c r="A664" s="1" t="s">
        <v>160</v>
      </c>
      <c r="B664" s="1" t="s">
        <v>39</v>
      </c>
      <c r="C664" s="5">
        <v>45670.0</v>
      </c>
      <c r="D664" s="1" t="s">
        <v>161</v>
      </c>
      <c r="E664" s="1" t="s">
        <v>11</v>
      </c>
      <c r="F664" s="1" t="s">
        <v>166</v>
      </c>
      <c r="H664" s="1">
        <v>0.0</v>
      </c>
      <c r="I664" s="1">
        <v>0.0</v>
      </c>
      <c r="J664" s="1">
        <v>0.0</v>
      </c>
      <c r="K664" s="1">
        <v>0.0</v>
      </c>
      <c r="L664" s="1">
        <v>0.0</v>
      </c>
      <c r="N664" s="1">
        <v>0.0</v>
      </c>
    </row>
    <row r="665" ht="15.75" customHeight="1">
      <c r="A665" s="1" t="s">
        <v>160</v>
      </c>
      <c r="B665" s="1" t="s">
        <v>80</v>
      </c>
      <c r="C665" s="5">
        <v>45670.0</v>
      </c>
      <c r="D665" s="1" t="s">
        <v>161</v>
      </c>
      <c r="E665" s="1" t="s">
        <v>11</v>
      </c>
      <c r="H665" s="1">
        <v>0.0</v>
      </c>
      <c r="J665" s="1">
        <v>0.0</v>
      </c>
      <c r="N665" s="1">
        <v>0.529999971</v>
      </c>
    </row>
    <row r="666" ht="15.75" customHeight="1">
      <c r="A666" s="1" t="s">
        <v>160</v>
      </c>
      <c r="B666" s="1" t="s">
        <v>65</v>
      </c>
      <c r="C666" s="5">
        <v>45670.0</v>
      </c>
      <c r="D666" s="1" t="s">
        <v>161</v>
      </c>
      <c r="E666" s="1" t="s">
        <v>11</v>
      </c>
      <c r="F666" s="1" t="s">
        <v>162</v>
      </c>
      <c r="H666" s="1">
        <v>0.0</v>
      </c>
      <c r="I666" s="1">
        <v>0.0</v>
      </c>
      <c r="J666" s="1">
        <v>0.0</v>
      </c>
      <c r="K666" s="1">
        <v>9.0</v>
      </c>
      <c r="L666" s="1">
        <v>15.0</v>
      </c>
      <c r="M666" s="1">
        <v>0.6</v>
      </c>
      <c r="N666" s="1">
        <v>12.90999985</v>
      </c>
    </row>
    <row r="667" ht="15.75" customHeight="1">
      <c r="A667" s="1" t="s">
        <v>160</v>
      </c>
      <c r="B667" s="1" t="s">
        <v>77</v>
      </c>
      <c r="C667" s="5">
        <v>45670.0</v>
      </c>
      <c r="D667" s="1" t="s">
        <v>161</v>
      </c>
      <c r="E667" s="1" t="s">
        <v>11</v>
      </c>
      <c r="F667" s="1" t="s">
        <v>162</v>
      </c>
      <c r="G667" s="1" t="s">
        <v>201</v>
      </c>
      <c r="H667" s="1">
        <v>1.0</v>
      </c>
      <c r="I667" s="1">
        <v>0.0</v>
      </c>
      <c r="J667" s="1">
        <v>0.0</v>
      </c>
      <c r="K667" s="1">
        <v>9.0</v>
      </c>
      <c r="L667" s="1">
        <v>11.0</v>
      </c>
      <c r="M667" s="1">
        <v>0.818181818</v>
      </c>
      <c r="N667" s="1">
        <v>13.97999954</v>
      </c>
    </row>
    <row r="668" ht="15.75" customHeight="1">
      <c r="A668" s="1" t="s">
        <v>160</v>
      </c>
      <c r="B668" s="1" t="s">
        <v>90</v>
      </c>
      <c r="C668" s="5">
        <v>45670.0</v>
      </c>
      <c r="D668" s="1" t="s">
        <v>161</v>
      </c>
      <c r="E668" s="1" t="s">
        <v>11</v>
      </c>
      <c r="F668" s="1" t="s">
        <v>165</v>
      </c>
      <c r="H668" s="1">
        <v>0.0</v>
      </c>
      <c r="I668" s="1">
        <v>0.0</v>
      </c>
      <c r="J668" s="1">
        <v>0.0</v>
      </c>
      <c r="K668" s="1">
        <v>10.0</v>
      </c>
      <c r="L668" s="1">
        <v>12.0</v>
      </c>
      <c r="M668" s="1">
        <v>0.833333333</v>
      </c>
      <c r="N668" s="1">
        <v>14.27999973</v>
      </c>
    </row>
    <row r="669" ht="15.75" customHeight="1">
      <c r="A669" s="1" t="s">
        <v>164</v>
      </c>
      <c r="B669" s="1" t="s">
        <v>35</v>
      </c>
      <c r="C669" s="5">
        <v>45670.0</v>
      </c>
      <c r="D669" s="1" t="s">
        <v>161</v>
      </c>
      <c r="E669" s="1" t="s">
        <v>11</v>
      </c>
      <c r="H669" s="1">
        <v>0.0</v>
      </c>
      <c r="J669" s="1">
        <v>0.0</v>
      </c>
      <c r="N669" s="1">
        <v>0.409999996</v>
      </c>
    </row>
    <row r="670" ht="15.75" customHeight="1">
      <c r="A670" s="1" t="s">
        <v>164</v>
      </c>
      <c r="B670" s="1" t="s">
        <v>24</v>
      </c>
      <c r="C670" s="5">
        <v>45670.0</v>
      </c>
      <c r="D670" s="1" t="s">
        <v>161</v>
      </c>
      <c r="E670" s="1" t="s">
        <v>11</v>
      </c>
      <c r="F670" s="1" t="s">
        <v>166</v>
      </c>
      <c r="H670" s="1">
        <v>0.0</v>
      </c>
      <c r="I670" s="1">
        <v>0.0</v>
      </c>
      <c r="J670" s="1">
        <v>0.0</v>
      </c>
      <c r="K670" s="1">
        <v>2.0</v>
      </c>
      <c r="L670" s="1">
        <v>9.0</v>
      </c>
      <c r="M670" s="1">
        <v>0.222222222</v>
      </c>
      <c r="N670" s="1">
        <v>10.97000027</v>
      </c>
    </row>
    <row r="671" ht="15.75" customHeight="1">
      <c r="A671" s="1" t="s">
        <v>164</v>
      </c>
      <c r="B671" s="1" t="s">
        <v>64</v>
      </c>
      <c r="C671" s="5">
        <v>45670.0</v>
      </c>
      <c r="D671" s="1" t="s">
        <v>161</v>
      </c>
      <c r="E671" s="1" t="s">
        <v>11</v>
      </c>
      <c r="F671" s="1" t="s">
        <v>166</v>
      </c>
      <c r="H671" s="1">
        <v>0.0</v>
      </c>
      <c r="I671" s="1">
        <v>0.0</v>
      </c>
      <c r="J671" s="1">
        <v>0.0</v>
      </c>
      <c r="K671" s="1">
        <v>8.0</v>
      </c>
      <c r="L671" s="1">
        <v>14.0</v>
      </c>
      <c r="M671" s="1">
        <v>0.571428571</v>
      </c>
      <c r="N671" s="1">
        <v>24.30999947</v>
      </c>
    </row>
    <row r="672" ht="15.75" customHeight="1">
      <c r="A672" s="1" t="s">
        <v>164</v>
      </c>
      <c r="B672" s="1" t="s">
        <v>60</v>
      </c>
      <c r="C672" s="5">
        <v>45670.0</v>
      </c>
      <c r="D672" s="1" t="s">
        <v>161</v>
      </c>
      <c r="E672" s="1" t="s">
        <v>11</v>
      </c>
      <c r="F672" s="1" t="s">
        <v>166</v>
      </c>
      <c r="H672" s="1">
        <v>0.0</v>
      </c>
      <c r="I672" s="1">
        <v>0.0</v>
      </c>
      <c r="J672" s="1">
        <v>0.0</v>
      </c>
      <c r="K672" s="1">
        <v>2.0</v>
      </c>
      <c r="L672" s="1">
        <v>5.0</v>
      </c>
      <c r="M672" s="1">
        <v>0.4</v>
      </c>
      <c r="N672" s="1">
        <v>9.029999733</v>
      </c>
    </row>
    <row r="673" ht="15.75" customHeight="1">
      <c r="A673" s="1" t="s">
        <v>164</v>
      </c>
      <c r="B673" s="1" t="s">
        <v>63</v>
      </c>
      <c r="C673" s="5">
        <v>45670.0</v>
      </c>
      <c r="D673" s="1" t="s">
        <v>161</v>
      </c>
      <c r="E673" s="1" t="s">
        <v>11</v>
      </c>
      <c r="F673" s="1" t="s">
        <v>166</v>
      </c>
      <c r="H673" s="1">
        <v>0.0</v>
      </c>
      <c r="I673" s="1">
        <v>0.0</v>
      </c>
      <c r="J673" s="1">
        <v>0.0</v>
      </c>
      <c r="K673" s="1">
        <v>10.0</v>
      </c>
      <c r="L673" s="1">
        <v>17.0</v>
      </c>
      <c r="M673" s="1">
        <v>0.588235294</v>
      </c>
      <c r="N673" s="1">
        <v>14.76000023</v>
      </c>
    </row>
    <row r="674" ht="15.75" customHeight="1">
      <c r="A674" s="1" t="s">
        <v>164</v>
      </c>
      <c r="B674" s="1" t="s">
        <v>68</v>
      </c>
      <c r="C674" s="5">
        <v>45670.0</v>
      </c>
      <c r="D674" s="1" t="s">
        <v>161</v>
      </c>
      <c r="E674" s="1" t="s">
        <v>11</v>
      </c>
      <c r="F674" s="1" t="s">
        <v>165</v>
      </c>
      <c r="H674" s="1">
        <v>0.0</v>
      </c>
      <c r="I674" s="1">
        <v>0.0</v>
      </c>
      <c r="J674" s="1">
        <v>0.0</v>
      </c>
      <c r="K674" s="1">
        <v>3.0</v>
      </c>
      <c r="L674" s="1">
        <v>4.0</v>
      </c>
      <c r="M674" s="1">
        <v>0.75</v>
      </c>
      <c r="N674" s="1">
        <v>6.949999809</v>
      </c>
    </row>
    <row r="675" ht="15.75" customHeight="1">
      <c r="A675" s="1" t="s">
        <v>164</v>
      </c>
      <c r="B675" s="1" t="s">
        <v>74</v>
      </c>
      <c r="C675" s="5">
        <v>45670.0</v>
      </c>
      <c r="D675" s="1" t="s">
        <v>161</v>
      </c>
      <c r="E675" s="1" t="s">
        <v>11</v>
      </c>
      <c r="F675" s="1" t="s">
        <v>165</v>
      </c>
      <c r="H675" s="1">
        <v>0.0</v>
      </c>
      <c r="I675" s="1">
        <v>0.0</v>
      </c>
      <c r="J675" s="1">
        <v>0.0</v>
      </c>
      <c r="K675" s="1">
        <v>10.0</v>
      </c>
      <c r="L675" s="1">
        <v>21.0</v>
      </c>
      <c r="M675" s="1">
        <v>0.476190476</v>
      </c>
      <c r="N675" s="1">
        <v>17.53000069</v>
      </c>
    </row>
    <row r="676" ht="15.75" customHeight="1">
      <c r="A676" s="1" t="s">
        <v>164</v>
      </c>
      <c r="B676" s="1" t="s">
        <v>75</v>
      </c>
      <c r="C676" s="5">
        <v>45670.0</v>
      </c>
      <c r="D676" s="1" t="s">
        <v>161</v>
      </c>
      <c r="E676" s="1" t="s">
        <v>11</v>
      </c>
      <c r="F676" s="1" t="s">
        <v>165</v>
      </c>
      <c r="H676" s="1">
        <v>0.0</v>
      </c>
      <c r="I676" s="1">
        <v>0.0</v>
      </c>
      <c r="J676" s="1">
        <v>0.0</v>
      </c>
      <c r="K676" s="1">
        <v>11.0</v>
      </c>
      <c r="L676" s="1">
        <v>21.0</v>
      </c>
      <c r="M676" s="1">
        <v>0.523809524</v>
      </c>
      <c r="N676" s="1">
        <v>11.10000038</v>
      </c>
    </row>
    <row r="677" ht="15.75" customHeight="1">
      <c r="A677" s="1" t="s">
        <v>164</v>
      </c>
      <c r="B677" s="1" t="s">
        <v>100</v>
      </c>
      <c r="C677" s="5">
        <v>45670.0</v>
      </c>
      <c r="D677" s="1" t="s">
        <v>161</v>
      </c>
      <c r="E677" s="1" t="s">
        <v>11</v>
      </c>
      <c r="F677" s="1" t="s">
        <v>171</v>
      </c>
      <c r="G677" s="1" t="s">
        <v>172</v>
      </c>
      <c r="H677" s="1">
        <v>1.0</v>
      </c>
      <c r="I677" s="1">
        <v>1.0</v>
      </c>
      <c r="J677" s="1">
        <v>0.0</v>
      </c>
      <c r="K677" s="1">
        <v>14.0</v>
      </c>
      <c r="L677" s="1">
        <v>17.0</v>
      </c>
      <c r="M677" s="1">
        <v>0.823529412</v>
      </c>
      <c r="N677" s="1">
        <v>16.30999947</v>
      </c>
    </row>
    <row r="678" ht="15.75" customHeight="1">
      <c r="A678" s="1" t="s">
        <v>164</v>
      </c>
      <c r="B678" s="1" t="s">
        <v>82</v>
      </c>
      <c r="C678" s="5">
        <v>45670.0</v>
      </c>
      <c r="D678" s="1" t="s">
        <v>161</v>
      </c>
      <c r="E678" s="1" t="s">
        <v>11</v>
      </c>
      <c r="F678" s="1" t="s">
        <v>165</v>
      </c>
      <c r="H678" s="1">
        <v>0.0</v>
      </c>
      <c r="I678" s="1">
        <v>0.0</v>
      </c>
      <c r="J678" s="1">
        <v>0.0</v>
      </c>
      <c r="K678" s="1">
        <v>0.0</v>
      </c>
      <c r="L678" s="1">
        <v>2.0</v>
      </c>
      <c r="M678" s="1">
        <v>0.0</v>
      </c>
      <c r="N678" s="1">
        <v>0.0</v>
      </c>
    </row>
    <row r="679" ht="15.75" customHeight="1">
      <c r="A679" s="1" t="s">
        <v>164</v>
      </c>
      <c r="B679" s="1" t="s">
        <v>82</v>
      </c>
      <c r="C679" s="5">
        <v>45670.0</v>
      </c>
      <c r="D679" s="1" t="s">
        <v>161</v>
      </c>
      <c r="E679" s="1" t="s">
        <v>11</v>
      </c>
      <c r="F679" s="1" t="s">
        <v>166</v>
      </c>
      <c r="H679" s="1">
        <v>0.0</v>
      </c>
      <c r="I679" s="1">
        <v>0.0</v>
      </c>
      <c r="J679" s="1">
        <v>0.0</v>
      </c>
      <c r="K679" s="1">
        <v>2.0</v>
      </c>
      <c r="L679" s="1">
        <v>3.0</v>
      </c>
      <c r="M679" s="1">
        <v>0.666666667</v>
      </c>
      <c r="N679" s="1">
        <v>11.39999962</v>
      </c>
    </row>
    <row r="680" ht="15.75" customHeight="1">
      <c r="A680" s="1" t="s">
        <v>164</v>
      </c>
      <c r="B680" s="1" t="s">
        <v>202</v>
      </c>
      <c r="C680" s="5">
        <v>45670.0</v>
      </c>
      <c r="D680" s="1" t="s">
        <v>161</v>
      </c>
      <c r="E680" s="1" t="s">
        <v>11</v>
      </c>
      <c r="F680" s="1" t="s">
        <v>166</v>
      </c>
      <c r="H680" s="1">
        <v>0.0</v>
      </c>
      <c r="I680" s="1">
        <v>0.0</v>
      </c>
      <c r="J680" s="1">
        <v>0.0</v>
      </c>
      <c r="K680" s="1">
        <v>0.0</v>
      </c>
      <c r="L680" s="1">
        <v>3.0</v>
      </c>
      <c r="M680" s="1">
        <v>0.0</v>
      </c>
      <c r="N680" s="1">
        <v>5.900000095</v>
      </c>
    </row>
    <row r="681" ht="15.75" customHeight="1">
      <c r="A681" s="1" t="s">
        <v>160</v>
      </c>
      <c r="B681" s="1" t="s">
        <v>29</v>
      </c>
      <c r="C681" s="5">
        <v>45667.0</v>
      </c>
      <c r="D681" s="1" t="s">
        <v>161</v>
      </c>
      <c r="E681" s="1" t="s">
        <v>11</v>
      </c>
      <c r="F681" s="1" t="s">
        <v>165</v>
      </c>
      <c r="H681" s="1">
        <v>0.0</v>
      </c>
      <c r="I681" s="1">
        <v>1.0</v>
      </c>
      <c r="J681" s="1">
        <v>0.0</v>
      </c>
      <c r="K681" s="1">
        <v>16.0</v>
      </c>
      <c r="L681" s="1">
        <v>18.0</v>
      </c>
      <c r="M681" s="1">
        <v>0.888888889</v>
      </c>
      <c r="N681" s="1">
        <v>11.22000027</v>
      </c>
    </row>
    <row r="682" ht="15.75" customHeight="1">
      <c r="A682" s="1" t="s">
        <v>160</v>
      </c>
      <c r="B682" s="1" t="s">
        <v>18</v>
      </c>
      <c r="C682" s="5">
        <v>45667.0</v>
      </c>
      <c r="D682" s="1" t="s">
        <v>161</v>
      </c>
      <c r="E682" s="1" t="s">
        <v>11</v>
      </c>
      <c r="F682" s="1" t="s">
        <v>162</v>
      </c>
      <c r="H682" s="1">
        <v>0.0</v>
      </c>
      <c r="I682" s="1">
        <v>0.0</v>
      </c>
      <c r="J682" s="1">
        <v>0.0</v>
      </c>
      <c r="K682" s="1">
        <v>0.0</v>
      </c>
      <c r="L682" s="1">
        <v>7.0</v>
      </c>
      <c r="M682" s="1">
        <v>0.0</v>
      </c>
      <c r="N682" s="1">
        <v>7.340000153</v>
      </c>
    </row>
    <row r="683" ht="15.75" customHeight="1">
      <c r="A683" s="1" t="s">
        <v>164</v>
      </c>
      <c r="B683" s="1" t="s">
        <v>64</v>
      </c>
      <c r="C683" s="5">
        <v>45667.0</v>
      </c>
      <c r="D683" s="1" t="s">
        <v>161</v>
      </c>
      <c r="E683" s="1" t="s">
        <v>11</v>
      </c>
      <c r="F683" s="1" t="s">
        <v>166</v>
      </c>
      <c r="H683" s="1">
        <v>0.0</v>
      </c>
      <c r="I683" s="1">
        <v>0.0</v>
      </c>
      <c r="J683" s="1">
        <v>0.0</v>
      </c>
      <c r="K683" s="1">
        <v>6.0</v>
      </c>
      <c r="L683" s="1">
        <v>9.0</v>
      </c>
      <c r="M683" s="1">
        <v>0.666666667</v>
      </c>
      <c r="N683" s="1">
        <v>12.19999981</v>
      </c>
    </row>
    <row r="684" ht="15.75" customHeight="1">
      <c r="A684" s="1" t="s">
        <v>164</v>
      </c>
      <c r="B684" s="1" t="s">
        <v>100</v>
      </c>
      <c r="C684" s="5">
        <v>45667.0</v>
      </c>
      <c r="D684" s="1" t="s">
        <v>161</v>
      </c>
      <c r="E684" s="1" t="s">
        <v>11</v>
      </c>
      <c r="F684" s="1" t="s">
        <v>171</v>
      </c>
      <c r="H684" s="1">
        <v>0.0</v>
      </c>
      <c r="I684" s="1">
        <v>0.0</v>
      </c>
      <c r="J684" s="1">
        <v>0.0</v>
      </c>
      <c r="K684" s="1">
        <v>0.0</v>
      </c>
      <c r="L684" s="1">
        <v>5.0</v>
      </c>
      <c r="M684" s="1">
        <v>0.0</v>
      </c>
      <c r="N684" s="1">
        <v>6.960000038</v>
      </c>
    </row>
    <row r="685" ht="15.75" customHeight="1">
      <c r="A685" s="1" t="s">
        <v>164</v>
      </c>
      <c r="B685" s="1" t="s">
        <v>82</v>
      </c>
      <c r="C685" s="5">
        <v>45667.0</v>
      </c>
      <c r="D685" s="1" t="s">
        <v>161</v>
      </c>
      <c r="E685" s="1" t="s">
        <v>11</v>
      </c>
      <c r="F685" s="1" t="s">
        <v>166</v>
      </c>
      <c r="G685" s="1" t="s">
        <v>163</v>
      </c>
      <c r="H685" s="1">
        <v>1.0</v>
      </c>
      <c r="I685" s="1">
        <v>0.0</v>
      </c>
      <c r="J685" s="1">
        <v>0.0</v>
      </c>
      <c r="K685" s="1">
        <v>1.0</v>
      </c>
      <c r="L685" s="1">
        <v>5.0</v>
      </c>
      <c r="M685" s="1">
        <v>0.2</v>
      </c>
      <c r="N685" s="1">
        <v>14.28999996</v>
      </c>
    </row>
    <row r="686" ht="15.75" customHeight="1">
      <c r="A686" s="1" t="s">
        <v>160</v>
      </c>
      <c r="B686" s="1" t="s">
        <v>29</v>
      </c>
      <c r="C686" s="5">
        <v>45666.0</v>
      </c>
      <c r="D686" s="1" t="s">
        <v>161</v>
      </c>
      <c r="E686" s="1" t="s">
        <v>11</v>
      </c>
      <c r="F686" s="1" t="s">
        <v>165</v>
      </c>
      <c r="H686" s="1">
        <v>0.0</v>
      </c>
      <c r="I686" s="1">
        <v>1.0</v>
      </c>
      <c r="J686" s="1">
        <v>0.0</v>
      </c>
      <c r="K686" s="1">
        <v>19.0</v>
      </c>
      <c r="L686" s="1">
        <v>22.0</v>
      </c>
      <c r="M686" s="1">
        <v>0.863636364</v>
      </c>
      <c r="N686" s="1">
        <v>31.97999954</v>
      </c>
    </row>
    <row r="687" ht="15.75" customHeight="1">
      <c r="A687" s="1" t="s">
        <v>164</v>
      </c>
      <c r="B687" s="1" t="s">
        <v>24</v>
      </c>
      <c r="C687" s="5">
        <v>45666.0</v>
      </c>
      <c r="D687" s="1" t="s">
        <v>161</v>
      </c>
      <c r="E687" s="1" t="s">
        <v>11</v>
      </c>
      <c r="F687" s="1" t="s">
        <v>166</v>
      </c>
      <c r="H687" s="1">
        <v>0.0</v>
      </c>
      <c r="I687" s="1">
        <v>0.0</v>
      </c>
      <c r="J687" s="1">
        <v>0.0</v>
      </c>
      <c r="K687" s="1">
        <v>1.0</v>
      </c>
      <c r="L687" s="1">
        <v>5.0</v>
      </c>
      <c r="M687" s="1">
        <v>0.2</v>
      </c>
      <c r="N687" s="1">
        <v>0.0</v>
      </c>
    </row>
    <row r="688" ht="15.75" customHeight="1">
      <c r="A688" s="1" t="s">
        <v>164</v>
      </c>
      <c r="B688" s="1" t="s">
        <v>52</v>
      </c>
      <c r="C688" s="5">
        <v>45666.0</v>
      </c>
      <c r="D688" s="1" t="s">
        <v>161</v>
      </c>
      <c r="E688" s="1" t="s">
        <v>11</v>
      </c>
      <c r="F688" s="1" t="s">
        <v>165</v>
      </c>
      <c r="H688" s="1">
        <v>0.0</v>
      </c>
      <c r="I688" s="1">
        <v>0.0</v>
      </c>
      <c r="J688" s="1">
        <v>0.0</v>
      </c>
      <c r="K688" s="1">
        <v>0.0</v>
      </c>
      <c r="L688" s="1">
        <v>0.0</v>
      </c>
      <c r="N688" s="1">
        <v>0.07</v>
      </c>
    </row>
    <row r="689" ht="15.75" customHeight="1">
      <c r="A689" s="1" t="s">
        <v>164</v>
      </c>
      <c r="B689" s="1" t="s">
        <v>100</v>
      </c>
      <c r="C689" s="5">
        <v>45666.0</v>
      </c>
      <c r="D689" s="1" t="s">
        <v>161</v>
      </c>
      <c r="E689" s="1" t="s">
        <v>11</v>
      </c>
      <c r="F689" s="1" t="s">
        <v>171</v>
      </c>
      <c r="H689" s="1">
        <v>0.0</v>
      </c>
      <c r="I689" s="1">
        <v>0.0</v>
      </c>
      <c r="J689" s="1">
        <v>0.0</v>
      </c>
      <c r="K689" s="1">
        <v>0.0</v>
      </c>
      <c r="L689" s="1">
        <v>1.0</v>
      </c>
      <c r="M689" s="1">
        <v>0.0</v>
      </c>
      <c r="N689" s="1">
        <v>1.25999999</v>
      </c>
    </row>
    <row r="690" ht="15.75" customHeight="1">
      <c r="A690" s="1" t="s">
        <v>164</v>
      </c>
      <c r="B690" s="1" t="s">
        <v>82</v>
      </c>
      <c r="C690" s="5">
        <v>45666.0</v>
      </c>
      <c r="D690" s="1" t="s">
        <v>161</v>
      </c>
      <c r="E690" s="1" t="s">
        <v>11</v>
      </c>
      <c r="F690" s="1" t="s">
        <v>165</v>
      </c>
      <c r="H690" s="1">
        <v>0.0</v>
      </c>
      <c r="I690" s="1">
        <v>0.0</v>
      </c>
      <c r="J690" s="1">
        <v>0.0</v>
      </c>
      <c r="K690" s="1">
        <v>0.0</v>
      </c>
      <c r="L690" s="1">
        <v>10.0</v>
      </c>
      <c r="M690" s="1">
        <v>0.0</v>
      </c>
      <c r="N690" s="1">
        <v>10.46000004</v>
      </c>
    </row>
    <row r="691" ht="15.75" customHeight="1">
      <c r="A691" s="1" t="s">
        <v>164</v>
      </c>
      <c r="B691" s="1" t="s">
        <v>202</v>
      </c>
      <c r="C691" s="5">
        <v>45666.0</v>
      </c>
      <c r="D691" s="1" t="s">
        <v>161</v>
      </c>
      <c r="E691" s="1" t="s">
        <v>11</v>
      </c>
      <c r="F691" s="1" t="s">
        <v>166</v>
      </c>
      <c r="H691" s="1">
        <v>0.0</v>
      </c>
      <c r="I691" s="1">
        <v>0.0</v>
      </c>
      <c r="J691" s="1">
        <v>0.0</v>
      </c>
      <c r="K691" s="1">
        <v>0.0</v>
      </c>
      <c r="L691" s="1">
        <v>0.0</v>
      </c>
      <c r="N691" s="1">
        <v>0.649999976</v>
      </c>
    </row>
    <row r="692" ht="15.75" customHeight="1">
      <c r="A692" s="1" t="s">
        <v>160</v>
      </c>
      <c r="B692" s="1" t="s">
        <v>29</v>
      </c>
      <c r="C692" s="5">
        <v>45665.0</v>
      </c>
      <c r="D692" s="1" t="s">
        <v>161</v>
      </c>
      <c r="E692" s="1" t="s">
        <v>11</v>
      </c>
      <c r="F692" s="1" t="s">
        <v>165</v>
      </c>
      <c r="H692" s="1">
        <v>0.0</v>
      </c>
      <c r="I692" s="1">
        <v>1.0</v>
      </c>
      <c r="J692" s="1">
        <v>0.0</v>
      </c>
      <c r="K692" s="1">
        <v>14.0</v>
      </c>
      <c r="L692" s="1">
        <v>16.0</v>
      </c>
      <c r="M692" s="1">
        <v>0.875</v>
      </c>
      <c r="N692" s="1">
        <v>18.07999992</v>
      </c>
    </row>
    <row r="693" ht="15.75" customHeight="1">
      <c r="A693" s="1" t="s">
        <v>160</v>
      </c>
      <c r="B693" s="1" t="s">
        <v>39</v>
      </c>
      <c r="C693" s="5">
        <v>45665.0</v>
      </c>
      <c r="D693" s="1" t="s">
        <v>161</v>
      </c>
      <c r="E693" s="1" t="s">
        <v>11</v>
      </c>
      <c r="F693" s="1" t="s">
        <v>162</v>
      </c>
      <c r="H693" s="1">
        <v>0.0</v>
      </c>
      <c r="I693" s="1">
        <v>0.0</v>
      </c>
      <c r="J693" s="1">
        <v>0.0</v>
      </c>
      <c r="K693" s="1">
        <v>7.0</v>
      </c>
      <c r="L693" s="1">
        <v>14.0</v>
      </c>
      <c r="M693" s="1">
        <v>0.5</v>
      </c>
      <c r="N693" s="1">
        <v>13.02999973</v>
      </c>
    </row>
    <row r="694" ht="15.75" customHeight="1">
      <c r="A694" s="1" t="s">
        <v>160</v>
      </c>
      <c r="B694" s="1" t="s">
        <v>39</v>
      </c>
      <c r="C694" s="5">
        <v>45665.0</v>
      </c>
      <c r="D694" s="1" t="s">
        <v>161</v>
      </c>
      <c r="E694" s="1" t="s">
        <v>11</v>
      </c>
      <c r="F694" s="1" t="s">
        <v>166</v>
      </c>
      <c r="H694" s="1">
        <v>0.0</v>
      </c>
      <c r="I694" s="1">
        <v>0.0</v>
      </c>
      <c r="J694" s="1">
        <v>0.0</v>
      </c>
      <c r="K694" s="1">
        <v>0.0</v>
      </c>
      <c r="L694" s="1">
        <v>0.0</v>
      </c>
      <c r="N694" s="1">
        <v>0.0</v>
      </c>
    </row>
    <row r="695" ht="15.75" customHeight="1">
      <c r="A695" s="1" t="s">
        <v>160</v>
      </c>
      <c r="B695" s="1" t="s">
        <v>65</v>
      </c>
      <c r="C695" s="5">
        <v>45665.0</v>
      </c>
      <c r="D695" s="1" t="s">
        <v>161</v>
      </c>
      <c r="E695" s="1" t="s">
        <v>11</v>
      </c>
      <c r="F695" s="1" t="s">
        <v>162</v>
      </c>
      <c r="H695" s="1">
        <v>0.0</v>
      </c>
      <c r="I695" s="1">
        <v>0.0</v>
      </c>
      <c r="J695" s="1">
        <v>0.0</v>
      </c>
      <c r="K695" s="1">
        <v>10.0</v>
      </c>
      <c r="L695" s="1">
        <v>16.0</v>
      </c>
      <c r="M695" s="1">
        <v>0.625</v>
      </c>
      <c r="N695" s="1">
        <v>11.76000023</v>
      </c>
    </row>
    <row r="696" ht="15.75" customHeight="1">
      <c r="A696" s="1" t="s">
        <v>160</v>
      </c>
      <c r="B696" s="1" t="s">
        <v>186</v>
      </c>
      <c r="C696" s="5">
        <v>45665.0</v>
      </c>
      <c r="D696" s="1" t="s">
        <v>161</v>
      </c>
      <c r="E696" s="1" t="s">
        <v>11</v>
      </c>
      <c r="H696" s="1">
        <v>0.0</v>
      </c>
      <c r="J696" s="1">
        <v>0.0</v>
      </c>
      <c r="N696" s="1">
        <v>1.169999957</v>
      </c>
    </row>
    <row r="697" ht="15.75" customHeight="1">
      <c r="A697" s="1" t="s">
        <v>160</v>
      </c>
      <c r="B697" s="1" t="s">
        <v>77</v>
      </c>
      <c r="C697" s="5">
        <v>45665.0</v>
      </c>
      <c r="D697" s="1" t="s">
        <v>161</v>
      </c>
      <c r="E697" s="1" t="s">
        <v>11</v>
      </c>
      <c r="F697" s="1" t="s">
        <v>162</v>
      </c>
      <c r="H697" s="1">
        <v>0.0</v>
      </c>
      <c r="I697" s="1">
        <v>0.0</v>
      </c>
      <c r="J697" s="1">
        <v>0.0</v>
      </c>
      <c r="K697" s="1">
        <v>11.0</v>
      </c>
      <c r="L697" s="1">
        <v>14.0</v>
      </c>
      <c r="M697" s="1">
        <v>0.785714286</v>
      </c>
      <c r="N697" s="1">
        <v>10.02000046</v>
      </c>
    </row>
    <row r="698" ht="15.75" customHeight="1">
      <c r="A698" s="1" t="s">
        <v>160</v>
      </c>
      <c r="B698" s="1" t="s">
        <v>90</v>
      </c>
      <c r="C698" s="5">
        <v>45665.0</v>
      </c>
      <c r="D698" s="1" t="s">
        <v>161</v>
      </c>
      <c r="E698" s="1" t="s">
        <v>11</v>
      </c>
      <c r="F698" s="1" t="s">
        <v>165</v>
      </c>
      <c r="G698" s="1" t="s">
        <v>172</v>
      </c>
      <c r="H698" s="1">
        <v>1.0</v>
      </c>
      <c r="I698" s="1">
        <v>0.0</v>
      </c>
      <c r="J698" s="1">
        <v>0.0</v>
      </c>
      <c r="K698" s="1">
        <v>7.0</v>
      </c>
      <c r="L698" s="1">
        <v>10.0</v>
      </c>
      <c r="M698" s="1">
        <v>0.7</v>
      </c>
      <c r="N698" s="1">
        <v>13.10000038</v>
      </c>
    </row>
    <row r="699" ht="15.75" customHeight="1">
      <c r="A699" s="1" t="s">
        <v>160</v>
      </c>
      <c r="B699" s="1" t="s">
        <v>101</v>
      </c>
      <c r="C699" s="5">
        <v>45665.0</v>
      </c>
      <c r="D699" s="1" t="s">
        <v>161</v>
      </c>
      <c r="E699" s="1" t="s">
        <v>11</v>
      </c>
      <c r="F699" s="1" t="s">
        <v>162</v>
      </c>
      <c r="H699" s="1">
        <v>0.0</v>
      </c>
      <c r="I699" s="1">
        <v>0.0</v>
      </c>
      <c r="J699" s="1">
        <v>0.0</v>
      </c>
      <c r="K699" s="1">
        <v>43.0</v>
      </c>
      <c r="L699" s="1">
        <v>91.0</v>
      </c>
      <c r="M699" s="1">
        <v>0.472527473</v>
      </c>
      <c r="N699" s="1">
        <v>47.75999832</v>
      </c>
    </row>
    <row r="700" ht="15.75" customHeight="1">
      <c r="A700" s="1" t="s">
        <v>164</v>
      </c>
      <c r="B700" s="1" t="s">
        <v>52</v>
      </c>
      <c r="C700" s="5">
        <v>45665.0</v>
      </c>
      <c r="D700" s="1" t="s">
        <v>161</v>
      </c>
      <c r="E700" s="1" t="s">
        <v>11</v>
      </c>
      <c r="H700" s="1">
        <v>0.0</v>
      </c>
      <c r="J700" s="1">
        <v>0.0</v>
      </c>
      <c r="N700" s="1">
        <v>0.360000014</v>
      </c>
    </row>
    <row r="701" ht="15.75" customHeight="1">
      <c r="A701" s="1" t="s">
        <v>164</v>
      </c>
      <c r="B701" s="1" t="s">
        <v>64</v>
      </c>
      <c r="C701" s="5">
        <v>45665.0</v>
      </c>
      <c r="D701" s="1" t="s">
        <v>161</v>
      </c>
      <c r="E701" s="1" t="s">
        <v>11</v>
      </c>
      <c r="F701" s="1" t="s">
        <v>166</v>
      </c>
      <c r="H701" s="1">
        <v>0.0</v>
      </c>
      <c r="I701" s="1">
        <v>0.0</v>
      </c>
      <c r="J701" s="1">
        <v>0.0</v>
      </c>
      <c r="K701" s="1">
        <v>1.0</v>
      </c>
      <c r="L701" s="1">
        <v>2.0</v>
      </c>
      <c r="M701" s="1">
        <v>0.5</v>
      </c>
      <c r="N701" s="1">
        <v>6.539999962</v>
      </c>
    </row>
    <row r="702" ht="15.75" customHeight="1">
      <c r="A702" s="1" t="s">
        <v>164</v>
      </c>
      <c r="B702" s="1" t="s">
        <v>60</v>
      </c>
      <c r="C702" s="5">
        <v>45665.0</v>
      </c>
      <c r="D702" s="1" t="s">
        <v>161</v>
      </c>
      <c r="E702" s="1" t="s">
        <v>11</v>
      </c>
      <c r="F702" s="1" t="s">
        <v>166</v>
      </c>
      <c r="H702" s="1">
        <v>0.0</v>
      </c>
      <c r="I702" s="1">
        <v>0.0</v>
      </c>
      <c r="J702" s="1">
        <v>0.0</v>
      </c>
      <c r="K702" s="1">
        <v>7.0</v>
      </c>
      <c r="L702" s="1">
        <v>9.0</v>
      </c>
      <c r="M702" s="1">
        <v>0.777777778</v>
      </c>
      <c r="N702" s="1">
        <v>14.06000042</v>
      </c>
    </row>
    <row r="703" ht="15.75" customHeight="1">
      <c r="A703" s="1" t="s">
        <v>164</v>
      </c>
      <c r="B703" s="1" t="s">
        <v>63</v>
      </c>
      <c r="C703" s="5">
        <v>45665.0</v>
      </c>
      <c r="D703" s="1" t="s">
        <v>161</v>
      </c>
      <c r="E703" s="1" t="s">
        <v>11</v>
      </c>
      <c r="F703" s="1" t="s">
        <v>166</v>
      </c>
      <c r="H703" s="1">
        <v>0.0</v>
      </c>
      <c r="I703" s="1">
        <v>0.0</v>
      </c>
      <c r="J703" s="1">
        <v>0.0</v>
      </c>
      <c r="K703" s="1">
        <v>7.0</v>
      </c>
      <c r="L703" s="1">
        <v>14.0</v>
      </c>
      <c r="M703" s="1">
        <v>0.5</v>
      </c>
      <c r="N703" s="1">
        <v>16.40999985</v>
      </c>
    </row>
    <row r="704" ht="15.75" customHeight="1">
      <c r="A704" s="1" t="s">
        <v>164</v>
      </c>
      <c r="B704" s="1" t="s">
        <v>183</v>
      </c>
      <c r="C704" s="5">
        <v>45665.0</v>
      </c>
      <c r="D704" s="1" t="s">
        <v>161</v>
      </c>
      <c r="E704" s="1" t="s">
        <v>11</v>
      </c>
      <c r="F704" s="1" t="s">
        <v>166</v>
      </c>
      <c r="H704" s="1">
        <v>0.0</v>
      </c>
      <c r="I704" s="1">
        <v>0.0</v>
      </c>
      <c r="J704" s="1">
        <v>0.0</v>
      </c>
      <c r="K704" s="1">
        <v>0.0</v>
      </c>
      <c r="L704" s="1">
        <v>0.0</v>
      </c>
      <c r="N704" s="1">
        <v>1.74000001</v>
      </c>
    </row>
    <row r="705" ht="15.75" customHeight="1">
      <c r="A705" s="1" t="s">
        <v>164</v>
      </c>
      <c r="B705" s="1" t="s">
        <v>68</v>
      </c>
      <c r="C705" s="5">
        <v>45665.0</v>
      </c>
      <c r="D705" s="1" t="s">
        <v>161</v>
      </c>
      <c r="E705" s="1" t="s">
        <v>11</v>
      </c>
      <c r="F705" s="1" t="s">
        <v>165</v>
      </c>
      <c r="H705" s="1">
        <v>0.0</v>
      </c>
      <c r="I705" s="1">
        <v>0.0</v>
      </c>
      <c r="J705" s="1">
        <v>0.0</v>
      </c>
      <c r="K705" s="1">
        <v>3.0</v>
      </c>
      <c r="L705" s="1">
        <v>14.0</v>
      </c>
      <c r="M705" s="1">
        <v>0.214285714</v>
      </c>
      <c r="N705" s="1">
        <v>14.38000011</v>
      </c>
    </row>
    <row r="706" ht="15.75" customHeight="1">
      <c r="A706" s="1" t="s">
        <v>164</v>
      </c>
      <c r="B706" s="1" t="s">
        <v>74</v>
      </c>
      <c r="C706" s="5">
        <v>45665.0</v>
      </c>
      <c r="D706" s="1" t="s">
        <v>161</v>
      </c>
      <c r="E706" s="1" t="s">
        <v>11</v>
      </c>
      <c r="F706" s="1" t="s">
        <v>165</v>
      </c>
      <c r="G706" s="1" t="s">
        <v>163</v>
      </c>
      <c r="H706" s="1">
        <v>1.0</v>
      </c>
      <c r="I706" s="1">
        <v>1.0</v>
      </c>
      <c r="J706" s="1">
        <v>0.0</v>
      </c>
      <c r="K706" s="1">
        <v>14.0</v>
      </c>
      <c r="L706" s="1">
        <v>21.0</v>
      </c>
      <c r="M706" s="1">
        <v>0.666666667</v>
      </c>
      <c r="N706" s="1">
        <v>7.829999924</v>
      </c>
    </row>
    <row r="707" ht="15.75" customHeight="1">
      <c r="A707" s="1" t="s">
        <v>164</v>
      </c>
      <c r="B707" s="1" t="s">
        <v>74</v>
      </c>
      <c r="C707" s="5">
        <v>45665.0</v>
      </c>
      <c r="D707" s="1" t="s">
        <v>161</v>
      </c>
      <c r="E707" s="1" t="s">
        <v>11</v>
      </c>
      <c r="F707" s="1" t="s">
        <v>166</v>
      </c>
      <c r="G707" s="1" t="s">
        <v>163</v>
      </c>
      <c r="H707" s="1">
        <v>1.0</v>
      </c>
      <c r="I707" s="1">
        <v>0.0</v>
      </c>
      <c r="J707" s="1">
        <v>0.0</v>
      </c>
      <c r="K707" s="1">
        <v>0.0</v>
      </c>
      <c r="L707" s="1">
        <v>0.0</v>
      </c>
      <c r="N707" s="1">
        <v>0.0</v>
      </c>
    </row>
    <row r="708" ht="15.75" customHeight="1">
      <c r="A708" s="1" t="s">
        <v>164</v>
      </c>
      <c r="B708" s="1" t="s">
        <v>75</v>
      </c>
      <c r="C708" s="5">
        <v>45665.0</v>
      </c>
      <c r="D708" s="1" t="s">
        <v>161</v>
      </c>
      <c r="E708" s="1" t="s">
        <v>11</v>
      </c>
      <c r="F708" s="1" t="s">
        <v>165</v>
      </c>
      <c r="H708" s="1">
        <v>0.0</v>
      </c>
      <c r="I708" s="1">
        <v>0.0</v>
      </c>
      <c r="J708" s="1">
        <v>0.0</v>
      </c>
      <c r="K708" s="1">
        <v>10.0</v>
      </c>
      <c r="L708" s="1">
        <v>16.0</v>
      </c>
      <c r="M708" s="1">
        <v>0.625</v>
      </c>
      <c r="N708" s="1">
        <v>12.5</v>
      </c>
    </row>
    <row r="709" ht="15.75" customHeight="1">
      <c r="A709" s="1" t="s">
        <v>164</v>
      </c>
      <c r="B709" s="1" t="s">
        <v>100</v>
      </c>
      <c r="C709" s="5">
        <v>45665.0</v>
      </c>
      <c r="D709" s="1" t="s">
        <v>161</v>
      </c>
      <c r="E709" s="1" t="s">
        <v>11</v>
      </c>
      <c r="F709" s="1" t="s">
        <v>171</v>
      </c>
      <c r="H709" s="1">
        <v>0.0</v>
      </c>
      <c r="I709" s="1">
        <v>0.0</v>
      </c>
      <c r="J709" s="1">
        <v>0.0</v>
      </c>
      <c r="K709" s="1">
        <v>1.0</v>
      </c>
      <c r="L709" s="1">
        <v>7.0</v>
      </c>
      <c r="M709" s="1">
        <v>0.142857143</v>
      </c>
      <c r="N709" s="1">
        <v>8.329999924</v>
      </c>
    </row>
    <row r="710" ht="15.75" customHeight="1">
      <c r="A710" s="1" t="s">
        <v>164</v>
      </c>
      <c r="B710" s="1" t="s">
        <v>82</v>
      </c>
      <c r="C710" s="5">
        <v>45665.0</v>
      </c>
      <c r="D710" s="1" t="s">
        <v>161</v>
      </c>
      <c r="E710" s="1" t="s">
        <v>11</v>
      </c>
      <c r="F710" s="1" t="s">
        <v>165</v>
      </c>
      <c r="H710" s="1">
        <v>0.0</v>
      </c>
      <c r="I710" s="1">
        <v>0.0</v>
      </c>
      <c r="J710" s="1">
        <v>0.0</v>
      </c>
      <c r="K710" s="1">
        <v>0.0</v>
      </c>
      <c r="L710" s="1">
        <v>4.0</v>
      </c>
      <c r="M710" s="1">
        <v>0.0</v>
      </c>
      <c r="N710" s="1">
        <v>13.18999958</v>
      </c>
    </row>
    <row r="711" ht="15.75" customHeight="1">
      <c r="A711" s="1" t="s">
        <v>180</v>
      </c>
      <c r="B711" s="1" t="s">
        <v>203</v>
      </c>
      <c r="C711" s="5">
        <v>45665.0</v>
      </c>
      <c r="D711" s="1" t="s">
        <v>161</v>
      </c>
      <c r="E711" s="1" t="s">
        <v>11</v>
      </c>
      <c r="H711" s="1">
        <v>0.0</v>
      </c>
      <c r="J711" s="1">
        <v>0.0</v>
      </c>
      <c r="N711" s="1">
        <v>0.029999999</v>
      </c>
    </row>
    <row r="712" ht="15.75" customHeight="1">
      <c r="A712" s="1" t="s">
        <v>160</v>
      </c>
      <c r="B712" s="1" t="s">
        <v>29</v>
      </c>
      <c r="C712" s="5">
        <v>45664.0</v>
      </c>
      <c r="D712" s="1" t="s">
        <v>161</v>
      </c>
      <c r="E712" s="1" t="s">
        <v>11</v>
      </c>
      <c r="F712" s="1" t="s">
        <v>165</v>
      </c>
      <c r="H712" s="1">
        <v>0.0</v>
      </c>
      <c r="I712" s="1">
        <v>0.0</v>
      </c>
      <c r="J712" s="1">
        <v>0.0</v>
      </c>
      <c r="K712" s="1">
        <v>0.0</v>
      </c>
      <c r="L712" s="1">
        <v>0.0</v>
      </c>
      <c r="N712" s="1">
        <v>4.039999962</v>
      </c>
    </row>
    <row r="713" ht="15.75" customHeight="1">
      <c r="A713" s="1" t="s">
        <v>160</v>
      </c>
      <c r="B713" s="1" t="s">
        <v>101</v>
      </c>
      <c r="C713" s="5">
        <v>45664.0</v>
      </c>
      <c r="D713" s="1" t="s">
        <v>161</v>
      </c>
      <c r="E713" s="1" t="s">
        <v>11</v>
      </c>
      <c r="F713" s="1" t="s">
        <v>162</v>
      </c>
      <c r="H713" s="1">
        <v>0.0</v>
      </c>
      <c r="I713" s="1">
        <v>0.0</v>
      </c>
      <c r="J713" s="1">
        <v>0.0</v>
      </c>
      <c r="K713" s="1">
        <v>26.0</v>
      </c>
      <c r="L713" s="1">
        <v>78.0</v>
      </c>
      <c r="M713" s="1">
        <v>0.333333333</v>
      </c>
      <c r="N713" s="1">
        <v>130.2200012</v>
      </c>
    </row>
    <row r="714" ht="15.75" customHeight="1">
      <c r="A714" s="1" t="s">
        <v>164</v>
      </c>
      <c r="B714" s="1" t="s">
        <v>64</v>
      </c>
      <c r="C714" s="5">
        <v>45664.0</v>
      </c>
      <c r="D714" s="1" t="s">
        <v>161</v>
      </c>
      <c r="E714" s="1" t="s">
        <v>11</v>
      </c>
      <c r="F714" s="1" t="s">
        <v>166</v>
      </c>
      <c r="H714" s="1">
        <v>0.0</v>
      </c>
      <c r="I714" s="1">
        <v>0.0</v>
      </c>
      <c r="J714" s="1">
        <v>0.0</v>
      </c>
      <c r="K714" s="1">
        <v>0.0</v>
      </c>
      <c r="L714" s="1">
        <v>1.0</v>
      </c>
      <c r="M714" s="1">
        <v>0.0</v>
      </c>
      <c r="N714" s="1">
        <v>3.0599999430000002</v>
      </c>
    </row>
    <row r="715" ht="15.75" customHeight="1">
      <c r="A715" s="1" t="s">
        <v>164</v>
      </c>
      <c r="B715" s="1" t="s">
        <v>82</v>
      </c>
      <c r="C715" s="5">
        <v>45664.0</v>
      </c>
      <c r="D715" s="1" t="s">
        <v>161</v>
      </c>
      <c r="E715" s="1" t="s">
        <v>11</v>
      </c>
      <c r="H715" s="1">
        <v>0.0</v>
      </c>
      <c r="J715" s="1">
        <v>0.0</v>
      </c>
      <c r="N715" s="1">
        <v>2.019999981</v>
      </c>
    </row>
    <row r="716" ht="15.75" customHeight="1">
      <c r="A716" s="1" t="s">
        <v>180</v>
      </c>
      <c r="B716" s="1" t="s">
        <v>203</v>
      </c>
      <c r="C716" s="5">
        <v>45664.0</v>
      </c>
      <c r="D716" s="1" t="s">
        <v>161</v>
      </c>
      <c r="E716" s="1" t="s">
        <v>11</v>
      </c>
      <c r="H716" s="1">
        <v>0.0</v>
      </c>
      <c r="J716" s="1">
        <v>0.0</v>
      </c>
      <c r="N716" s="1">
        <v>0.050000001</v>
      </c>
    </row>
    <row r="717" ht="15.75" customHeight="1">
      <c r="A717" s="1" t="s">
        <v>164</v>
      </c>
      <c r="B717" s="1" t="s">
        <v>64</v>
      </c>
      <c r="C717" s="5">
        <v>45663.0</v>
      </c>
      <c r="D717" s="1" t="s">
        <v>161</v>
      </c>
      <c r="E717" s="1" t="s">
        <v>11</v>
      </c>
      <c r="F717" s="1" t="s">
        <v>166</v>
      </c>
      <c r="H717" s="1">
        <v>0.0</v>
      </c>
      <c r="I717" s="1">
        <v>0.0</v>
      </c>
      <c r="J717" s="1">
        <v>0.0</v>
      </c>
      <c r="K717" s="1">
        <v>0.0</v>
      </c>
      <c r="L717" s="1">
        <v>0.0</v>
      </c>
      <c r="N717" s="1">
        <v>0.579999983</v>
      </c>
    </row>
    <row r="718" ht="15.75" customHeight="1">
      <c r="A718" s="1" t="s">
        <v>164</v>
      </c>
      <c r="B718" s="1" t="s">
        <v>76</v>
      </c>
      <c r="C718" s="5">
        <v>45661.0</v>
      </c>
      <c r="D718" s="1" t="s">
        <v>161</v>
      </c>
      <c r="E718" s="1" t="s">
        <v>11</v>
      </c>
      <c r="F718" s="1" t="s">
        <v>162</v>
      </c>
      <c r="H718" s="1">
        <v>0.0</v>
      </c>
      <c r="I718" s="1">
        <v>0.0</v>
      </c>
      <c r="J718" s="1">
        <v>0.0</v>
      </c>
      <c r="K718" s="1">
        <v>0.0</v>
      </c>
      <c r="L718" s="1">
        <v>0.0</v>
      </c>
      <c r="N718" s="1">
        <v>0.529999971</v>
      </c>
    </row>
    <row r="719" ht="15.75" customHeight="1">
      <c r="A719" s="1" t="s">
        <v>164</v>
      </c>
      <c r="B719" s="1" t="s">
        <v>76</v>
      </c>
      <c r="C719" s="5">
        <v>45653.0</v>
      </c>
      <c r="D719" s="1" t="s">
        <v>161</v>
      </c>
      <c r="E719" s="1" t="s">
        <v>11</v>
      </c>
      <c r="F719" s="1" t="s">
        <v>162</v>
      </c>
      <c r="H719" s="1">
        <v>0.0</v>
      </c>
      <c r="I719" s="1">
        <v>0.0</v>
      </c>
      <c r="J719" s="1">
        <v>0.0</v>
      </c>
      <c r="K719" s="1">
        <v>0.0</v>
      </c>
      <c r="L719" s="1">
        <v>0.0</v>
      </c>
      <c r="N719" s="1">
        <v>0.569999993</v>
      </c>
    </row>
    <row r="720" ht="15.75" customHeight="1">
      <c r="A720" s="1" t="s">
        <v>160</v>
      </c>
      <c r="B720" s="1" t="s">
        <v>65</v>
      </c>
      <c r="C720" s="5">
        <v>45652.0</v>
      </c>
      <c r="D720" s="1" t="s">
        <v>161</v>
      </c>
      <c r="E720" s="1" t="s">
        <v>11</v>
      </c>
      <c r="H720" s="1">
        <v>0.0</v>
      </c>
      <c r="J720" s="1">
        <v>0.0</v>
      </c>
      <c r="N720" s="1">
        <v>0.170000002</v>
      </c>
    </row>
    <row r="721" ht="15.75" customHeight="1">
      <c r="A721" s="1" t="s">
        <v>160</v>
      </c>
      <c r="B721" s="1" t="s">
        <v>77</v>
      </c>
      <c r="C721" s="5">
        <v>45645.0</v>
      </c>
      <c r="D721" s="1" t="s">
        <v>161</v>
      </c>
      <c r="E721" s="1" t="s">
        <v>11</v>
      </c>
      <c r="H721" s="1">
        <v>0.0</v>
      </c>
      <c r="J721" s="1">
        <v>0.0</v>
      </c>
      <c r="N721" s="1">
        <v>1.279999971</v>
      </c>
    </row>
    <row r="722" ht="15.75" customHeight="1">
      <c r="A722" s="1" t="s">
        <v>164</v>
      </c>
      <c r="B722" s="1" t="s">
        <v>52</v>
      </c>
      <c r="C722" s="5">
        <v>45645.0</v>
      </c>
      <c r="D722" s="1" t="s">
        <v>161</v>
      </c>
      <c r="E722" s="1" t="s">
        <v>11</v>
      </c>
      <c r="F722" s="1" t="s">
        <v>165</v>
      </c>
      <c r="H722" s="1">
        <v>0.0</v>
      </c>
      <c r="I722" s="1">
        <v>0.0</v>
      </c>
      <c r="J722" s="1">
        <v>0.0</v>
      </c>
      <c r="K722" s="1">
        <v>0.0</v>
      </c>
      <c r="L722" s="1">
        <v>0.0</v>
      </c>
      <c r="N722" s="1">
        <v>1.50999999</v>
      </c>
    </row>
    <row r="723" ht="15.75" customHeight="1">
      <c r="A723" s="1" t="s">
        <v>164</v>
      </c>
      <c r="B723" s="1" t="s">
        <v>60</v>
      </c>
      <c r="C723" s="5">
        <v>45645.0</v>
      </c>
      <c r="D723" s="1" t="s">
        <v>161</v>
      </c>
      <c r="E723" s="1" t="s">
        <v>11</v>
      </c>
      <c r="H723" s="1">
        <v>0.0</v>
      </c>
      <c r="J723" s="1">
        <v>0.0</v>
      </c>
      <c r="N723" s="1">
        <v>0.119999997</v>
      </c>
    </row>
    <row r="724" ht="15.75" customHeight="1">
      <c r="A724" s="1" t="s">
        <v>164</v>
      </c>
      <c r="B724" s="1" t="s">
        <v>68</v>
      </c>
      <c r="C724" s="5">
        <v>45645.0</v>
      </c>
      <c r="D724" s="1" t="s">
        <v>161</v>
      </c>
      <c r="E724" s="1" t="s">
        <v>11</v>
      </c>
      <c r="F724" s="1" t="s">
        <v>165</v>
      </c>
      <c r="H724" s="1">
        <v>0.0</v>
      </c>
      <c r="I724" s="1">
        <v>0.0</v>
      </c>
      <c r="J724" s="1">
        <v>0.0</v>
      </c>
      <c r="K724" s="1">
        <v>2.0</v>
      </c>
      <c r="L724" s="1">
        <v>2.0</v>
      </c>
      <c r="M724" s="1">
        <v>1.0</v>
      </c>
      <c r="N724" s="1">
        <v>8.350000381</v>
      </c>
    </row>
    <row r="725" ht="15.75" customHeight="1">
      <c r="A725" s="1" t="s">
        <v>164</v>
      </c>
      <c r="B725" s="1" t="s">
        <v>74</v>
      </c>
      <c r="C725" s="5">
        <v>45645.0</v>
      </c>
      <c r="D725" s="1" t="s">
        <v>161</v>
      </c>
      <c r="E725" s="1" t="s">
        <v>11</v>
      </c>
      <c r="F725" s="1" t="s">
        <v>166</v>
      </c>
      <c r="H725" s="1">
        <v>0.0</v>
      </c>
      <c r="I725" s="1">
        <v>0.0</v>
      </c>
      <c r="J725" s="1">
        <v>0.0</v>
      </c>
      <c r="K725" s="1">
        <v>0.0</v>
      </c>
      <c r="L725" s="1">
        <v>0.0</v>
      </c>
      <c r="N725" s="1">
        <v>9.779999733</v>
      </c>
    </row>
    <row r="726" ht="15.75" customHeight="1">
      <c r="A726" s="1" t="s">
        <v>164</v>
      </c>
      <c r="B726" s="1" t="s">
        <v>82</v>
      </c>
      <c r="C726" s="5">
        <v>45645.0</v>
      </c>
      <c r="D726" s="1" t="s">
        <v>161</v>
      </c>
      <c r="E726" s="1" t="s">
        <v>11</v>
      </c>
      <c r="F726" s="1" t="s">
        <v>165</v>
      </c>
      <c r="H726" s="1">
        <v>0.0</v>
      </c>
      <c r="I726" s="1">
        <v>0.0</v>
      </c>
      <c r="J726" s="1">
        <v>0.0</v>
      </c>
      <c r="K726" s="1">
        <v>0.0</v>
      </c>
      <c r="L726" s="1">
        <v>1.0</v>
      </c>
      <c r="M726" s="1">
        <v>0.0</v>
      </c>
      <c r="N726" s="1">
        <v>2.329999924</v>
      </c>
    </row>
    <row r="727" ht="15.75" customHeight="1">
      <c r="A727" s="1" t="s">
        <v>160</v>
      </c>
      <c r="B727" s="1" t="s">
        <v>65</v>
      </c>
      <c r="C727" s="5">
        <v>45644.0</v>
      </c>
      <c r="D727" s="1" t="s">
        <v>161</v>
      </c>
      <c r="E727" s="1" t="s">
        <v>11</v>
      </c>
      <c r="F727" s="1" t="s">
        <v>162</v>
      </c>
      <c r="H727" s="1">
        <v>0.0</v>
      </c>
      <c r="I727" s="1">
        <v>1.0</v>
      </c>
      <c r="J727" s="1">
        <v>0.0</v>
      </c>
      <c r="K727" s="1">
        <v>17.0</v>
      </c>
      <c r="L727" s="1">
        <v>24.0</v>
      </c>
      <c r="M727" s="1">
        <v>0.708333333</v>
      </c>
      <c r="N727" s="1">
        <v>13.59000015</v>
      </c>
    </row>
    <row r="728" ht="15.75" customHeight="1">
      <c r="A728" s="1" t="s">
        <v>160</v>
      </c>
      <c r="B728" s="1" t="s">
        <v>77</v>
      </c>
      <c r="C728" s="5">
        <v>45644.0</v>
      </c>
      <c r="D728" s="1" t="s">
        <v>161</v>
      </c>
      <c r="E728" s="1" t="s">
        <v>11</v>
      </c>
      <c r="F728" s="1" t="s">
        <v>162</v>
      </c>
      <c r="H728" s="1">
        <v>0.0</v>
      </c>
      <c r="I728" s="1">
        <v>0.0</v>
      </c>
      <c r="J728" s="1">
        <v>0.0</v>
      </c>
      <c r="K728" s="1">
        <v>2.0</v>
      </c>
      <c r="L728" s="1">
        <v>3.0</v>
      </c>
      <c r="M728" s="1">
        <v>0.666666667</v>
      </c>
      <c r="N728" s="1">
        <v>6.460000038</v>
      </c>
    </row>
    <row r="729" ht="15.75" customHeight="1">
      <c r="A729" s="1" t="s">
        <v>164</v>
      </c>
      <c r="B729" s="1" t="s">
        <v>52</v>
      </c>
      <c r="C729" s="5">
        <v>45644.0</v>
      </c>
      <c r="D729" s="1" t="s">
        <v>161</v>
      </c>
      <c r="E729" s="1" t="s">
        <v>11</v>
      </c>
      <c r="H729" s="1">
        <v>0.0</v>
      </c>
      <c r="J729" s="1">
        <v>0.0</v>
      </c>
      <c r="N729" s="1">
        <v>0.02</v>
      </c>
    </row>
    <row r="730" ht="15.75" customHeight="1">
      <c r="A730" s="1" t="s">
        <v>164</v>
      </c>
      <c r="B730" s="1" t="s">
        <v>179</v>
      </c>
      <c r="C730" s="5">
        <v>45644.0</v>
      </c>
      <c r="D730" s="1" t="s">
        <v>161</v>
      </c>
      <c r="E730" s="1" t="s">
        <v>11</v>
      </c>
      <c r="F730" s="1" t="s">
        <v>166</v>
      </c>
      <c r="H730" s="1">
        <v>0.0</v>
      </c>
      <c r="I730" s="1">
        <v>0.0</v>
      </c>
      <c r="J730" s="1">
        <v>0.0</v>
      </c>
      <c r="K730" s="1">
        <v>3.0</v>
      </c>
      <c r="L730" s="1">
        <v>12.0</v>
      </c>
      <c r="M730" s="1">
        <v>0.25</v>
      </c>
      <c r="N730" s="1">
        <v>7.239999771</v>
      </c>
    </row>
    <row r="731" ht="15.75" customHeight="1">
      <c r="A731" s="1" t="s">
        <v>164</v>
      </c>
      <c r="B731" s="1" t="s">
        <v>63</v>
      </c>
      <c r="C731" s="5">
        <v>45644.0</v>
      </c>
      <c r="D731" s="1" t="s">
        <v>161</v>
      </c>
      <c r="E731" s="1" t="s">
        <v>11</v>
      </c>
      <c r="F731" s="1" t="s">
        <v>166</v>
      </c>
      <c r="H731" s="1">
        <v>0.0</v>
      </c>
      <c r="I731" s="1">
        <v>0.0</v>
      </c>
      <c r="J731" s="1">
        <v>0.0</v>
      </c>
      <c r="K731" s="1">
        <v>1.0</v>
      </c>
      <c r="L731" s="1">
        <v>5.0</v>
      </c>
      <c r="M731" s="1">
        <v>0.2</v>
      </c>
      <c r="N731" s="1">
        <v>5.070000172</v>
      </c>
    </row>
    <row r="732" ht="15.75" customHeight="1">
      <c r="A732" s="1" t="s">
        <v>164</v>
      </c>
      <c r="B732" s="1" t="s">
        <v>74</v>
      </c>
      <c r="C732" s="5">
        <v>45644.0</v>
      </c>
      <c r="D732" s="1" t="s">
        <v>161</v>
      </c>
      <c r="E732" s="1" t="s">
        <v>11</v>
      </c>
      <c r="F732" s="1" t="s">
        <v>166</v>
      </c>
      <c r="H732" s="1">
        <v>0.0</v>
      </c>
      <c r="I732" s="1">
        <v>0.0</v>
      </c>
      <c r="J732" s="1">
        <v>0.0</v>
      </c>
      <c r="K732" s="1">
        <v>0.0</v>
      </c>
      <c r="L732" s="1">
        <v>0.0</v>
      </c>
      <c r="N732" s="1">
        <v>0.620000005</v>
      </c>
    </row>
    <row r="733" ht="15.75" customHeight="1">
      <c r="A733" s="1" t="s">
        <v>164</v>
      </c>
      <c r="B733" s="1" t="s">
        <v>75</v>
      </c>
      <c r="C733" s="5">
        <v>45644.0</v>
      </c>
      <c r="D733" s="1" t="s">
        <v>161</v>
      </c>
      <c r="E733" s="1" t="s">
        <v>11</v>
      </c>
      <c r="F733" s="1" t="s">
        <v>165</v>
      </c>
      <c r="G733" s="1" t="s">
        <v>172</v>
      </c>
      <c r="H733" s="1">
        <v>1.0</v>
      </c>
      <c r="I733" s="1">
        <v>1.0</v>
      </c>
      <c r="J733" s="1">
        <v>0.0</v>
      </c>
      <c r="K733" s="1">
        <v>9.0</v>
      </c>
      <c r="L733" s="1">
        <v>9.0</v>
      </c>
      <c r="M733" s="1">
        <v>1.0</v>
      </c>
      <c r="N733" s="1">
        <v>6.019999981</v>
      </c>
    </row>
    <row r="734" ht="15.75" customHeight="1">
      <c r="A734" s="1" t="s">
        <v>160</v>
      </c>
      <c r="B734" s="1" t="s">
        <v>65</v>
      </c>
      <c r="C734" s="5">
        <v>45643.0</v>
      </c>
      <c r="D734" s="1" t="s">
        <v>161</v>
      </c>
      <c r="E734" s="1" t="s">
        <v>11</v>
      </c>
      <c r="F734" s="1" t="s">
        <v>162</v>
      </c>
      <c r="H734" s="1">
        <v>0.0</v>
      </c>
      <c r="I734" s="1">
        <v>1.0</v>
      </c>
      <c r="J734" s="1">
        <v>0.0</v>
      </c>
      <c r="K734" s="1">
        <v>13.0</v>
      </c>
      <c r="L734" s="1">
        <v>16.0</v>
      </c>
      <c r="M734" s="1">
        <v>0.8125</v>
      </c>
      <c r="N734" s="1">
        <v>15.06000042</v>
      </c>
    </row>
    <row r="735" ht="15.75" customHeight="1">
      <c r="A735" s="1" t="s">
        <v>160</v>
      </c>
      <c r="B735" s="1" t="s">
        <v>77</v>
      </c>
      <c r="C735" s="5">
        <v>45643.0</v>
      </c>
      <c r="D735" s="1" t="s">
        <v>161</v>
      </c>
      <c r="E735" s="1" t="s">
        <v>11</v>
      </c>
      <c r="F735" s="1" t="s">
        <v>162</v>
      </c>
      <c r="H735" s="1">
        <v>0.0</v>
      </c>
      <c r="I735" s="1">
        <v>0.0</v>
      </c>
      <c r="J735" s="1">
        <v>0.0</v>
      </c>
      <c r="K735" s="1">
        <v>8.0</v>
      </c>
      <c r="L735" s="1">
        <v>10.0</v>
      </c>
      <c r="M735" s="1">
        <v>0.8</v>
      </c>
      <c r="N735" s="1">
        <v>13.36999989</v>
      </c>
    </row>
    <row r="736" ht="15.75" customHeight="1">
      <c r="A736" s="1" t="s">
        <v>164</v>
      </c>
      <c r="B736" s="1" t="s">
        <v>63</v>
      </c>
      <c r="C736" s="5">
        <v>45643.0</v>
      </c>
      <c r="D736" s="1" t="s">
        <v>161</v>
      </c>
      <c r="E736" s="1" t="s">
        <v>11</v>
      </c>
      <c r="F736" s="1" t="s">
        <v>166</v>
      </c>
      <c r="H736" s="1">
        <v>0.0</v>
      </c>
      <c r="I736" s="1">
        <v>0.0</v>
      </c>
      <c r="J736" s="1">
        <v>0.0</v>
      </c>
      <c r="K736" s="1">
        <v>4.0</v>
      </c>
      <c r="L736" s="1">
        <v>9.0</v>
      </c>
      <c r="M736" s="1">
        <v>0.444444444</v>
      </c>
      <c r="N736" s="1">
        <v>13.97999954</v>
      </c>
    </row>
    <row r="737" ht="15.75" customHeight="1">
      <c r="A737" s="1" t="s">
        <v>164</v>
      </c>
      <c r="B737" s="1" t="s">
        <v>74</v>
      </c>
      <c r="C737" s="5">
        <v>45643.0</v>
      </c>
      <c r="D737" s="1" t="s">
        <v>161</v>
      </c>
      <c r="E737" s="1" t="s">
        <v>11</v>
      </c>
      <c r="F737" s="1" t="s">
        <v>166</v>
      </c>
      <c r="G737" s="1" t="s">
        <v>194</v>
      </c>
      <c r="H737" s="1">
        <v>1.0</v>
      </c>
      <c r="I737" s="1">
        <v>0.0</v>
      </c>
      <c r="J737" s="1">
        <v>0.0</v>
      </c>
      <c r="K737" s="1">
        <v>5.0</v>
      </c>
      <c r="L737" s="1">
        <v>7.0</v>
      </c>
      <c r="M737" s="1">
        <v>0.714285714</v>
      </c>
      <c r="N737" s="1">
        <v>8.119999886</v>
      </c>
    </row>
    <row r="738" ht="15.75" customHeight="1">
      <c r="A738" s="1" t="s">
        <v>160</v>
      </c>
      <c r="B738" s="1" t="s">
        <v>204</v>
      </c>
      <c r="C738" s="5">
        <v>45642.0</v>
      </c>
      <c r="D738" s="1" t="s">
        <v>161</v>
      </c>
      <c r="E738" s="1" t="s">
        <v>11</v>
      </c>
      <c r="F738" s="1" t="s">
        <v>162</v>
      </c>
      <c r="H738" s="1">
        <v>0.0</v>
      </c>
      <c r="I738" s="1">
        <v>0.0</v>
      </c>
      <c r="J738" s="1">
        <v>0.0</v>
      </c>
      <c r="K738" s="1">
        <v>0.0</v>
      </c>
      <c r="L738" s="1">
        <v>2.0</v>
      </c>
      <c r="M738" s="1">
        <v>0.0</v>
      </c>
      <c r="N738" s="1">
        <v>2.170000076</v>
      </c>
    </row>
    <row r="739" ht="15.75" customHeight="1">
      <c r="A739" s="1" t="s">
        <v>160</v>
      </c>
      <c r="B739" s="1" t="s">
        <v>198</v>
      </c>
      <c r="C739" s="5">
        <v>45642.0</v>
      </c>
      <c r="D739" s="1" t="s">
        <v>161</v>
      </c>
      <c r="E739" s="1" t="s">
        <v>11</v>
      </c>
      <c r="H739" s="1">
        <v>0.0</v>
      </c>
      <c r="J739" s="1">
        <v>0.0</v>
      </c>
      <c r="N739" s="1">
        <v>0.02</v>
      </c>
    </row>
    <row r="740" ht="15.75" customHeight="1">
      <c r="A740" s="1" t="s">
        <v>160</v>
      </c>
      <c r="B740" s="1" t="s">
        <v>77</v>
      </c>
      <c r="C740" s="5">
        <v>45642.0</v>
      </c>
      <c r="D740" s="1" t="s">
        <v>161</v>
      </c>
      <c r="E740" s="1" t="s">
        <v>11</v>
      </c>
      <c r="F740" s="1" t="s">
        <v>162</v>
      </c>
      <c r="H740" s="1">
        <v>0.0</v>
      </c>
      <c r="I740" s="1">
        <v>0.0</v>
      </c>
      <c r="J740" s="1">
        <v>0.0</v>
      </c>
      <c r="K740" s="1">
        <v>0.0</v>
      </c>
      <c r="L740" s="1">
        <v>1.0</v>
      </c>
      <c r="M740" s="1">
        <v>0.0</v>
      </c>
      <c r="N740" s="1">
        <v>6.199999809</v>
      </c>
    </row>
    <row r="741" ht="15.75" customHeight="1">
      <c r="A741" s="1" t="s">
        <v>164</v>
      </c>
      <c r="B741" s="1" t="s">
        <v>63</v>
      </c>
      <c r="C741" s="5">
        <v>45642.0</v>
      </c>
      <c r="D741" s="1" t="s">
        <v>161</v>
      </c>
      <c r="E741" s="1" t="s">
        <v>11</v>
      </c>
      <c r="F741" s="1" t="s">
        <v>166</v>
      </c>
      <c r="H741" s="1">
        <v>0.0</v>
      </c>
      <c r="I741" s="1">
        <v>0.0</v>
      </c>
      <c r="J741" s="1">
        <v>0.0</v>
      </c>
      <c r="K741" s="1">
        <v>3.0</v>
      </c>
      <c r="L741" s="1">
        <v>4.0</v>
      </c>
      <c r="M741" s="1">
        <v>0.75</v>
      </c>
      <c r="N741" s="1">
        <v>5.28000021</v>
      </c>
    </row>
    <row r="742" ht="15.75" customHeight="1">
      <c r="A742" s="1" t="s">
        <v>164</v>
      </c>
      <c r="B742" s="1" t="s">
        <v>74</v>
      </c>
      <c r="C742" s="5">
        <v>45642.0</v>
      </c>
      <c r="D742" s="1" t="s">
        <v>161</v>
      </c>
      <c r="E742" s="1" t="s">
        <v>11</v>
      </c>
      <c r="F742" s="1" t="s">
        <v>166</v>
      </c>
      <c r="H742" s="1">
        <v>0.0</v>
      </c>
      <c r="I742" s="1">
        <v>0.0</v>
      </c>
      <c r="J742" s="1">
        <v>0.0</v>
      </c>
      <c r="K742" s="1">
        <v>1.0</v>
      </c>
      <c r="L742" s="1">
        <v>3.0</v>
      </c>
      <c r="M742" s="1">
        <v>0.333333333</v>
      </c>
      <c r="N742" s="1">
        <v>6.920000076</v>
      </c>
    </row>
    <row r="743" ht="15.75" customHeight="1">
      <c r="A743" s="1" t="s">
        <v>164</v>
      </c>
      <c r="B743" s="1" t="s">
        <v>75</v>
      </c>
      <c r="C743" s="5">
        <v>45642.0</v>
      </c>
      <c r="D743" s="1" t="s">
        <v>161</v>
      </c>
      <c r="E743" s="1" t="s">
        <v>11</v>
      </c>
      <c r="F743" s="1" t="s">
        <v>165</v>
      </c>
      <c r="G743" s="1" t="s">
        <v>172</v>
      </c>
      <c r="H743" s="1">
        <v>1.0</v>
      </c>
      <c r="I743" s="1">
        <v>0.0</v>
      </c>
      <c r="J743" s="1">
        <v>0.0</v>
      </c>
      <c r="K743" s="1">
        <v>13.0</v>
      </c>
      <c r="L743" s="1">
        <v>19.0</v>
      </c>
      <c r="M743" s="1">
        <v>0.684210526</v>
      </c>
      <c r="N743" s="1">
        <v>12.71000004</v>
      </c>
    </row>
    <row r="744" ht="15.75" customHeight="1">
      <c r="A744" s="1" t="s">
        <v>164</v>
      </c>
      <c r="B744" s="1" t="s">
        <v>100</v>
      </c>
      <c r="C744" s="5">
        <v>45642.0</v>
      </c>
      <c r="D744" s="1" t="s">
        <v>161</v>
      </c>
      <c r="E744" s="1" t="s">
        <v>11</v>
      </c>
      <c r="F744" s="1" t="s">
        <v>171</v>
      </c>
      <c r="H744" s="1">
        <v>0.0</v>
      </c>
      <c r="I744" s="1">
        <v>0.0</v>
      </c>
      <c r="J744" s="1">
        <v>0.0</v>
      </c>
      <c r="K744" s="1">
        <v>1.0</v>
      </c>
      <c r="L744" s="1">
        <v>3.0</v>
      </c>
      <c r="M744" s="1">
        <v>0.333333333</v>
      </c>
      <c r="N744" s="1">
        <v>4.449999809</v>
      </c>
    </row>
    <row r="745" ht="15.75" customHeight="1">
      <c r="A745" s="1" t="s">
        <v>164</v>
      </c>
      <c r="B745" s="1" t="s">
        <v>52</v>
      </c>
      <c r="C745" s="5">
        <v>45641.0</v>
      </c>
      <c r="D745" s="1" t="s">
        <v>161</v>
      </c>
      <c r="E745" s="1" t="s">
        <v>11</v>
      </c>
      <c r="H745" s="1">
        <v>0.0</v>
      </c>
      <c r="J745" s="1">
        <v>0.0</v>
      </c>
      <c r="N745" s="1">
        <v>0.280000001</v>
      </c>
    </row>
    <row r="746" ht="15.75" customHeight="1">
      <c r="A746" s="1" t="s">
        <v>164</v>
      </c>
      <c r="B746" s="1" t="s">
        <v>183</v>
      </c>
      <c r="C746" s="5">
        <v>45641.0</v>
      </c>
      <c r="D746" s="1" t="s">
        <v>161</v>
      </c>
      <c r="E746" s="1" t="s">
        <v>11</v>
      </c>
      <c r="F746" s="1" t="s">
        <v>166</v>
      </c>
      <c r="H746" s="1">
        <v>0.0</v>
      </c>
      <c r="I746" s="1">
        <v>0.0</v>
      </c>
      <c r="J746" s="1">
        <v>0.0</v>
      </c>
      <c r="K746" s="1">
        <v>1.0</v>
      </c>
      <c r="L746" s="1">
        <v>3.0</v>
      </c>
      <c r="M746" s="1">
        <v>0.333333333</v>
      </c>
      <c r="N746" s="1">
        <v>2.0599999430000002</v>
      </c>
    </row>
    <row r="747" ht="15.75" customHeight="1">
      <c r="A747" s="1" t="s">
        <v>160</v>
      </c>
      <c r="B747" s="1" t="s">
        <v>18</v>
      </c>
      <c r="C747" s="5">
        <v>45639.0</v>
      </c>
      <c r="D747" s="1" t="s">
        <v>161</v>
      </c>
      <c r="E747" s="1" t="s">
        <v>11</v>
      </c>
      <c r="F747" s="1" t="s">
        <v>162</v>
      </c>
      <c r="H747" s="1">
        <v>0.0</v>
      </c>
      <c r="I747" s="1">
        <v>0.0</v>
      </c>
      <c r="J747" s="1">
        <v>0.0</v>
      </c>
      <c r="K747" s="1">
        <v>5.0</v>
      </c>
      <c r="L747" s="1">
        <v>8.0</v>
      </c>
      <c r="M747" s="1">
        <v>0.625</v>
      </c>
      <c r="N747" s="1">
        <v>8.380000114</v>
      </c>
    </row>
    <row r="748" ht="15.75" customHeight="1">
      <c r="A748" s="1" t="s">
        <v>160</v>
      </c>
      <c r="B748" s="1" t="s">
        <v>65</v>
      </c>
      <c r="C748" s="5">
        <v>45639.0</v>
      </c>
      <c r="D748" s="1" t="s">
        <v>161</v>
      </c>
      <c r="E748" s="1" t="s">
        <v>11</v>
      </c>
      <c r="F748" s="1" t="s">
        <v>162</v>
      </c>
      <c r="H748" s="1">
        <v>0.0</v>
      </c>
      <c r="I748" s="1">
        <v>0.0</v>
      </c>
      <c r="J748" s="1">
        <v>0.0</v>
      </c>
      <c r="K748" s="1">
        <v>5.0</v>
      </c>
      <c r="L748" s="1">
        <v>5.0</v>
      </c>
      <c r="M748" s="1">
        <v>1.0</v>
      </c>
      <c r="N748" s="1">
        <v>11.02999973</v>
      </c>
    </row>
    <row r="749" ht="15.75" customHeight="1">
      <c r="A749" s="1" t="s">
        <v>160</v>
      </c>
      <c r="B749" s="1" t="s">
        <v>198</v>
      </c>
      <c r="C749" s="5">
        <v>45639.0</v>
      </c>
      <c r="D749" s="1" t="s">
        <v>161</v>
      </c>
      <c r="E749" s="1" t="s">
        <v>11</v>
      </c>
      <c r="H749" s="1">
        <v>0.0</v>
      </c>
      <c r="J749" s="1">
        <v>0.0</v>
      </c>
      <c r="N749" s="1">
        <v>0.239999995</v>
      </c>
    </row>
    <row r="750" ht="15.75" customHeight="1">
      <c r="A750" s="1" t="s">
        <v>160</v>
      </c>
      <c r="B750" s="1" t="s">
        <v>77</v>
      </c>
      <c r="C750" s="5">
        <v>45639.0</v>
      </c>
      <c r="D750" s="1" t="s">
        <v>161</v>
      </c>
      <c r="E750" s="1" t="s">
        <v>11</v>
      </c>
      <c r="H750" s="1">
        <v>0.0</v>
      </c>
      <c r="J750" s="1">
        <v>0.0</v>
      </c>
      <c r="N750" s="1">
        <v>13.27999973</v>
      </c>
    </row>
    <row r="751" ht="15.75" customHeight="1">
      <c r="A751" s="1" t="s">
        <v>160</v>
      </c>
      <c r="B751" s="1" t="s">
        <v>93</v>
      </c>
      <c r="C751" s="5">
        <v>45639.0</v>
      </c>
      <c r="D751" s="1" t="s">
        <v>161</v>
      </c>
      <c r="E751" s="1" t="s">
        <v>11</v>
      </c>
      <c r="F751" s="1" t="s">
        <v>166</v>
      </c>
      <c r="H751" s="1">
        <v>0.0</v>
      </c>
      <c r="I751" s="1">
        <v>1.0</v>
      </c>
      <c r="J751" s="1">
        <v>0.0</v>
      </c>
      <c r="K751" s="1">
        <v>13.0</v>
      </c>
      <c r="L751" s="1">
        <v>19.0</v>
      </c>
      <c r="M751" s="1">
        <v>0.684210526</v>
      </c>
      <c r="N751" s="1">
        <v>20.27000046</v>
      </c>
    </row>
    <row r="752" ht="15.75" customHeight="1">
      <c r="A752" s="1" t="s">
        <v>164</v>
      </c>
      <c r="B752" s="1" t="s">
        <v>63</v>
      </c>
      <c r="C752" s="5">
        <v>45639.0</v>
      </c>
      <c r="D752" s="1" t="s">
        <v>161</v>
      </c>
      <c r="E752" s="1" t="s">
        <v>11</v>
      </c>
      <c r="F752" s="1" t="s">
        <v>166</v>
      </c>
      <c r="H752" s="1">
        <v>0.0</v>
      </c>
      <c r="I752" s="1">
        <v>0.0</v>
      </c>
      <c r="J752" s="1">
        <v>0.0</v>
      </c>
      <c r="K752" s="1">
        <v>0.0</v>
      </c>
      <c r="L752" s="1">
        <v>0.0</v>
      </c>
      <c r="N752" s="1">
        <v>0.330000013</v>
      </c>
    </row>
    <row r="753" ht="15.75" customHeight="1">
      <c r="A753" s="1" t="s">
        <v>164</v>
      </c>
      <c r="B753" s="1" t="s">
        <v>183</v>
      </c>
      <c r="C753" s="5">
        <v>45639.0</v>
      </c>
      <c r="D753" s="1" t="s">
        <v>161</v>
      </c>
      <c r="E753" s="1" t="s">
        <v>11</v>
      </c>
      <c r="F753" s="1" t="s">
        <v>166</v>
      </c>
      <c r="H753" s="1">
        <v>0.0</v>
      </c>
      <c r="I753" s="1">
        <v>0.0</v>
      </c>
      <c r="J753" s="1">
        <v>0.0</v>
      </c>
      <c r="K753" s="1">
        <v>4.0</v>
      </c>
      <c r="L753" s="1">
        <v>15.0</v>
      </c>
      <c r="M753" s="1">
        <v>0.266666667</v>
      </c>
      <c r="N753" s="1">
        <v>10.10999966</v>
      </c>
    </row>
    <row r="754" ht="15.75" customHeight="1">
      <c r="A754" s="1" t="s">
        <v>164</v>
      </c>
      <c r="B754" s="1" t="s">
        <v>68</v>
      </c>
      <c r="C754" s="5">
        <v>45639.0</v>
      </c>
      <c r="D754" s="1" t="s">
        <v>161</v>
      </c>
      <c r="E754" s="1" t="s">
        <v>11</v>
      </c>
      <c r="H754" s="1">
        <v>0.0</v>
      </c>
      <c r="J754" s="1">
        <v>0.0</v>
      </c>
      <c r="N754" s="1">
        <v>2.779999971</v>
      </c>
    </row>
    <row r="755" ht="15.75" customHeight="1">
      <c r="A755" s="1" t="s">
        <v>164</v>
      </c>
      <c r="B755" s="1" t="s">
        <v>74</v>
      </c>
      <c r="C755" s="5">
        <v>45639.0</v>
      </c>
      <c r="D755" s="1" t="s">
        <v>161</v>
      </c>
      <c r="E755" s="1" t="s">
        <v>11</v>
      </c>
      <c r="F755" s="1" t="s">
        <v>165</v>
      </c>
      <c r="H755" s="1">
        <v>0.0</v>
      </c>
      <c r="I755" s="1">
        <v>1.0</v>
      </c>
      <c r="J755" s="1">
        <v>0.0</v>
      </c>
      <c r="K755" s="1">
        <v>13.0</v>
      </c>
      <c r="L755" s="1">
        <v>15.0</v>
      </c>
      <c r="M755" s="1">
        <v>0.866666667</v>
      </c>
      <c r="N755" s="1">
        <v>7.099999905</v>
      </c>
    </row>
    <row r="756" ht="15.75" customHeight="1">
      <c r="A756" s="1" t="s">
        <v>164</v>
      </c>
      <c r="B756" s="1" t="s">
        <v>205</v>
      </c>
      <c r="C756" s="5">
        <v>45639.0</v>
      </c>
      <c r="D756" s="1" t="s">
        <v>161</v>
      </c>
      <c r="E756" s="1" t="s">
        <v>11</v>
      </c>
      <c r="F756" s="1" t="s">
        <v>166</v>
      </c>
      <c r="H756" s="1">
        <v>0.0</v>
      </c>
      <c r="I756" s="1">
        <v>0.0</v>
      </c>
      <c r="J756" s="1">
        <v>0.0</v>
      </c>
      <c r="K756" s="1">
        <v>1.0</v>
      </c>
      <c r="L756" s="1">
        <v>2.0</v>
      </c>
      <c r="M756" s="1">
        <v>0.5</v>
      </c>
      <c r="N756" s="1">
        <v>4.889999866</v>
      </c>
    </row>
    <row r="757" ht="15.75" customHeight="1">
      <c r="A757" s="1" t="s">
        <v>164</v>
      </c>
      <c r="B757" s="1" t="s">
        <v>75</v>
      </c>
      <c r="C757" s="5">
        <v>45639.0</v>
      </c>
      <c r="D757" s="1" t="s">
        <v>161</v>
      </c>
      <c r="E757" s="1" t="s">
        <v>11</v>
      </c>
      <c r="F757" s="1" t="s">
        <v>165</v>
      </c>
      <c r="H757" s="1">
        <v>0.0</v>
      </c>
      <c r="I757" s="1">
        <v>0.0</v>
      </c>
      <c r="J757" s="1">
        <v>0.0</v>
      </c>
      <c r="K757" s="1">
        <v>5.0</v>
      </c>
      <c r="L757" s="1">
        <v>17.0</v>
      </c>
      <c r="M757" s="1">
        <v>0.294117647</v>
      </c>
      <c r="N757" s="1">
        <v>12.85000038</v>
      </c>
    </row>
    <row r="758" ht="15.75" customHeight="1">
      <c r="A758" s="1" t="s">
        <v>164</v>
      </c>
      <c r="B758" s="1" t="s">
        <v>100</v>
      </c>
      <c r="C758" s="5">
        <v>45639.0</v>
      </c>
      <c r="D758" s="1" t="s">
        <v>161</v>
      </c>
      <c r="E758" s="1" t="s">
        <v>11</v>
      </c>
      <c r="F758" s="1" t="s">
        <v>171</v>
      </c>
      <c r="H758" s="1">
        <v>0.0</v>
      </c>
      <c r="I758" s="1">
        <v>0.0</v>
      </c>
      <c r="J758" s="1">
        <v>0.0</v>
      </c>
      <c r="K758" s="1">
        <v>0.0</v>
      </c>
      <c r="L758" s="1">
        <v>0.0</v>
      </c>
      <c r="N758" s="1">
        <v>4.900000095</v>
      </c>
    </row>
    <row r="759" ht="15.75" customHeight="1">
      <c r="A759" s="1" t="s">
        <v>164</v>
      </c>
      <c r="B759" s="1" t="s">
        <v>82</v>
      </c>
      <c r="C759" s="5">
        <v>45639.0</v>
      </c>
      <c r="D759" s="1" t="s">
        <v>161</v>
      </c>
      <c r="E759" s="1" t="s">
        <v>11</v>
      </c>
      <c r="H759" s="1">
        <v>0.0</v>
      </c>
      <c r="J759" s="1">
        <v>0.0</v>
      </c>
      <c r="N759" s="1">
        <v>1.929999948</v>
      </c>
    </row>
    <row r="760" ht="15.75" customHeight="1">
      <c r="A760" s="1" t="s">
        <v>160</v>
      </c>
      <c r="B760" s="1" t="s">
        <v>204</v>
      </c>
      <c r="C760" s="5">
        <v>45638.0</v>
      </c>
      <c r="D760" s="1" t="s">
        <v>161</v>
      </c>
      <c r="E760" s="1" t="s">
        <v>11</v>
      </c>
      <c r="F760" s="1" t="s">
        <v>162</v>
      </c>
      <c r="H760" s="1">
        <v>0.0</v>
      </c>
      <c r="I760" s="1">
        <v>0.0</v>
      </c>
      <c r="J760" s="1">
        <v>0.0</v>
      </c>
      <c r="K760" s="1">
        <v>1.0</v>
      </c>
      <c r="L760" s="1">
        <v>4.0</v>
      </c>
      <c r="M760" s="1">
        <v>0.25</v>
      </c>
      <c r="N760" s="1">
        <v>3.529999971</v>
      </c>
    </row>
    <row r="761" ht="15.75" customHeight="1">
      <c r="A761" s="1" t="s">
        <v>164</v>
      </c>
      <c r="B761" s="1" t="s">
        <v>24</v>
      </c>
      <c r="C761" s="5">
        <v>45638.0</v>
      </c>
      <c r="D761" s="1" t="s">
        <v>161</v>
      </c>
      <c r="E761" s="1" t="s">
        <v>11</v>
      </c>
      <c r="F761" s="1" t="s">
        <v>166</v>
      </c>
      <c r="H761" s="1">
        <v>0.0</v>
      </c>
      <c r="I761" s="1">
        <v>0.0</v>
      </c>
      <c r="J761" s="1">
        <v>0.0</v>
      </c>
      <c r="K761" s="1">
        <v>0.0</v>
      </c>
      <c r="L761" s="1">
        <v>1.0</v>
      </c>
      <c r="M761" s="1">
        <v>0.0</v>
      </c>
      <c r="N761" s="1">
        <v>2.900000095</v>
      </c>
    </row>
    <row r="762" ht="15.75" customHeight="1">
      <c r="A762" s="1" t="s">
        <v>164</v>
      </c>
      <c r="B762" s="1" t="s">
        <v>52</v>
      </c>
      <c r="C762" s="5">
        <v>45638.0</v>
      </c>
      <c r="D762" s="1" t="s">
        <v>161</v>
      </c>
      <c r="E762" s="1" t="s">
        <v>11</v>
      </c>
      <c r="F762" s="1" t="s">
        <v>165</v>
      </c>
      <c r="H762" s="1">
        <v>0.0</v>
      </c>
      <c r="I762" s="1">
        <v>0.0</v>
      </c>
      <c r="J762" s="1">
        <v>0.0</v>
      </c>
      <c r="K762" s="1">
        <v>4.0</v>
      </c>
      <c r="L762" s="1">
        <v>6.0</v>
      </c>
      <c r="M762" s="1">
        <v>0.666666667</v>
      </c>
      <c r="N762" s="1">
        <v>5.639999866</v>
      </c>
    </row>
    <row r="763" ht="15.75" customHeight="1">
      <c r="A763" s="1" t="s">
        <v>164</v>
      </c>
      <c r="B763" s="1" t="s">
        <v>196</v>
      </c>
      <c r="C763" s="5">
        <v>45638.0</v>
      </c>
      <c r="D763" s="1" t="s">
        <v>161</v>
      </c>
      <c r="E763" s="1" t="s">
        <v>11</v>
      </c>
      <c r="H763" s="1">
        <v>0.0</v>
      </c>
      <c r="J763" s="1">
        <v>0.0</v>
      </c>
      <c r="N763" s="1">
        <v>0.140000001</v>
      </c>
    </row>
    <row r="764" ht="15.75" customHeight="1">
      <c r="A764" s="1" t="s">
        <v>164</v>
      </c>
      <c r="B764" s="1" t="s">
        <v>179</v>
      </c>
      <c r="C764" s="5">
        <v>45638.0</v>
      </c>
      <c r="D764" s="1" t="s">
        <v>161</v>
      </c>
      <c r="E764" s="1" t="s">
        <v>206</v>
      </c>
      <c r="H764" s="1">
        <v>0.0</v>
      </c>
      <c r="J764" s="1">
        <v>0.0</v>
      </c>
      <c r="N764" s="1">
        <v>0.5</v>
      </c>
    </row>
    <row r="765" ht="15.75" customHeight="1">
      <c r="A765" s="1" t="s">
        <v>164</v>
      </c>
      <c r="B765" s="1" t="s">
        <v>63</v>
      </c>
      <c r="C765" s="5">
        <v>45638.0</v>
      </c>
      <c r="D765" s="1" t="s">
        <v>161</v>
      </c>
      <c r="E765" s="1" t="s">
        <v>11</v>
      </c>
      <c r="F765" s="1" t="s">
        <v>166</v>
      </c>
      <c r="H765" s="1">
        <v>0.0</v>
      </c>
      <c r="I765" s="1">
        <v>0.0</v>
      </c>
      <c r="J765" s="1">
        <v>0.0</v>
      </c>
      <c r="K765" s="1">
        <v>1.0</v>
      </c>
      <c r="L765" s="1">
        <v>2.0</v>
      </c>
      <c r="M765" s="1">
        <v>0.5</v>
      </c>
      <c r="N765" s="1">
        <v>5.429999828</v>
      </c>
    </row>
    <row r="766" ht="15.75" customHeight="1">
      <c r="A766" s="1" t="s">
        <v>164</v>
      </c>
      <c r="B766" s="1" t="s">
        <v>74</v>
      </c>
      <c r="C766" s="5">
        <v>45638.0</v>
      </c>
      <c r="D766" s="1" t="s">
        <v>161</v>
      </c>
      <c r="E766" s="1" t="s">
        <v>11</v>
      </c>
      <c r="F766" s="1" t="s">
        <v>165</v>
      </c>
      <c r="H766" s="1">
        <v>0.0</v>
      </c>
      <c r="I766" s="1">
        <v>0.0</v>
      </c>
      <c r="J766" s="1">
        <v>0.0</v>
      </c>
      <c r="K766" s="1">
        <v>6.0</v>
      </c>
      <c r="L766" s="1">
        <v>15.0</v>
      </c>
      <c r="M766" s="1">
        <v>0.4</v>
      </c>
      <c r="N766" s="1">
        <v>11.78999996</v>
      </c>
    </row>
    <row r="767" ht="15.75" customHeight="1">
      <c r="A767" s="1" t="s">
        <v>164</v>
      </c>
      <c r="B767" s="1" t="s">
        <v>75</v>
      </c>
      <c r="C767" s="5">
        <v>45638.0</v>
      </c>
      <c r="D767" s="1" t="s">
        <v>161</v>
      </c>
      <c r="E767" s="1" t="s">
        <v>11</v>
      </c>
      <c r="F767" s="1" t="s">
        <v>165</v>
      </c>
      <c r="G767" s="1" t="s">
        <v>172</v>
      </c>
      <c r="H767" s="1">
        <v>1.0</v>
      </c>
      <c r="I767" s="1">
        <v>1.0</v>
      </c>
      <c r="J767" s="1">
        <v>0.0</v>
      </c>
      <c r="K767" s="1">
        <v>5.0</v>
      </c>
      <c r="L767" s="1">
        <v>7.0</v>
      </c>
      <c r="M767" s="1">
        <v>0.714285714</v>
      </c>
      <c r="N767" s="1">
        <v>5.309999943</v>
      </c>
    </row>
    <row r="768" ht="15.75" customHeight="1">
      <c r="A768" s="1" t="s">
        <v>164</v>
      </c>
      <c r="B768" s="1" t="s">
        <v>82</v>
      </c>
      <c r="C768" s="5">
        <v>45638.0</v>
      </c>
      <c r="D768" s="1" t="s">
        <v>161</v>
      </c>
      <c r="E768" s="1" t="s">
        <v>11</v>
      </c>
      <c r="H768" s="1">
        <v>0.0</v>
      </c>
      <c r="J768" s="1">
        <v>0.0</v>
      </c>
      <c r="N768" s="1">
        <v>8.25</v>
      </c>
    </row>
    <row r="769" ht="15.75" customHeight="1">
      <c r="A769" s="1" t="s">
        <v>160</v>
      </c>
      <c r="B769" s="1" t="s">
        <v>20</v>
      </c>
      <c r="C769" s="5">
        <v>45637.0</v>
      </c>
      <c r="D769" s="1" t="s">
        <v>161</v>
      </c>
      <c r="E769" s="1" t="s">
        <v>11</v>
      </c>
      <c r="F769" s="1" t="s">
        <v>162</v>
      </c>
      <c r="H769" s="1">
        <v>0.0</v>
      </c>
      <c r="I769" s="1">
        <v>0.0</v>
      </c>
      <c r="J769" s="1">
        <v>0.0</v>
      </c>
      <c r="K769" s="1">
        <v>1.0</v>
      </c>
      <c r="L769" s="1">
        <v>5.0</v>
      </c>
      <c r="M769" s="1">
        <v>0.2</v>
      </c>
      <c r="N769" s="1">
        <v>2.519999981</v>
      </c>
    </row>
    <row r="770" ht="15.75" customHeight="1">
      <c r="A770" s="1" t="s">
        <v>160</v>
      </c>
      <c r="B770" s="1" t="s">
        <v>65</v>
      </c>
      <c r="C770" s="5">
        <v>45637.0</v>
      </c>
      <c r="D770" s="1" t="s">
        <v>161</v>
      </c>
      <c r="E770" s="1" t="s">
        <v>11</v>
      </c>
      <c r="F770" s="1" t="s">
        <v>162</v>
      </c>
      <c r="H770" s="1">
        <v>0.0</v>
      </c>
      <c r="I770" s="1">
        <v>1.0</v>
      </c>
      <c r="J770" s="1">
        <v>0.0</v>
      </c>
      <c r="K770" s="1">
        <v>11.0</v>
      </c>
      <c r="L770" s="1">
        <v>16.0</v>
      </c>
      <c r="M770" s="1">
        <v>0.6875</v>
      </c>
      <c r="N770" s="1">
        <v>15.69999981</v>
      </c>
    </row>
    <row r="771" ht="15.75" customHeight="1">
      <c r="A771" s="1" t="s">
        <v>160</v>
      </c>
      <c r="B771" s="1" t="s">
        <v>198</v>
      </c>
      <c r="C771" s="5">
        <v>45637.0</v>
      </c>
      <c r="D771" s="1" t="s">
        <v>161</v>
      </c>
      <c r="E771" s="1" t="s">
        <v>11</v>
      </c>
      <c r="F771" s="1" t="s">
        <v>162</v>
      </c>
      <c r="H771" s="1">
        <v>0.0</v>
      </c>
      <c r="I771" s="1">
        <v>0.0</v>
      </c>
      <c r="J771" s="1">
        <v>0.0</v>
      </c>
      <c r="K771" s="1">
        <v>0.0</v>
      </c>
      <c r="L771" s="1">
        <v>0.0</v>
      </c>
      <c r="N771" s="1">
        <v>0.100000001</v>
      </c>
    </row>
    <row r="772" ht="15.75" customHeight="1">
      <c r="A772" s="1" t="s">
        <v>160</v>
      </c>
      <c r="B772" s="1" t="s">
        <v>77</v>
      </c>
      <c r="C772" s="5">
        <v>45637.0</v>
      </c>
      <c r="D772" s="1" t="s">
        <v>161</v>
      </c>
      <c r="E772" s="1" t="s">
        <v>11</v>
      </c>
      <c r="F772" s="1" t="s">
        <v>162</v>
      </c>
      <c r="H772" s="1">
        <v>0.0</v>
      </c>
      <c r="I772" s="1">
        <v>0.0</v>
      </c>
      <c r="J772" s="1">
        <v>0.0</v>
      </c>
      <c r="K772" s="1">
        <v>1.0</v>
      </c>
      <c r="L772" s="1">
        <v>2.0</v>
      </c>
      <c r="M772" s="1">
        <v>0.5</v>
      </c>
      <c r="N772" s="1">
        <v>13.92000008</v>
      </c>
    </row>
    <row r="773" ht="15.75" customHeight="1">
      <c r="A773" s="1" t="s">
        <v>164</v>
      </c>
      <c r="B773" s="1" t="s">
        <v>22</v>
      </c>
      <c r="C773" s="5">
        <v>45637.0</v>
      </c>
      <c r="D773" s="1" t="s">
        <v>161</v>
      </c>
      <c r="E773" s="1" t="s">
        <v>11</v>
      </c>
      <c r="F773" s="1" t="s">
        <v>166</v>
      </c>
      <c r="H773" s="1">
        <v>0.0</v>
      </c>
      <c r="I773" s="1">
        <v>0.0</v>
      </c>
      <c r="J773" s="1">
        <v>0.0</v>
      </c>
      <c r="K773" s="1">
        <v>8.0</v>
      </c>
      <c r="L773" s="1">
        <v>15.0</v>
      </c>
      <c r="M773" s="1">
        <v>0.533333333</v>
      </c>
      <c r="N773" s="1">
        <v>15.14000034</v>
      </c>
    </row>
    <row r="774" ht="15.75" customHeight="1">
      <c r="A774" s="1" t="s">
        <v>164</v>
      </c>
      <c r="B774" s="1" t="s">
        <v>207</v>
      </c>
      <c r="C774" s="5">
        <v>45637.0</v>
      </c>
      <c r="D774" s="1" t="s">
        <v>161</v>
      </c>
      <c r="E774" s="1" t="s">
        <v>11</v>
      </c>
      <c r="F774" s="1" t="s">
        <v>166</v>
      </c>
      <c r="H774" s="1">
        <v>0.0</v>
      </c>
      <c r="I774" s="1">
        <v>0.0</v>
      </c>
      <c r="J774" s="1">
        <v>0.0</v>
      </c>
      <c r="K774" s="1">
        <v>1.0</v>
      </c>
      <c r="L774" s="1">
        <v>6.0</v>
      </c>
      <c r="M774" s="1">
        <v>0.166666667</v>
      </c>
      <c r="N774" s="1">
        <v>3.359999895</v>
      </c>
    </row>
    <row r="775" ht="15.75" customHeight="1">
      <c r="A775" s="1" t="s">
        <v>164</v>
      </c>
      <c r="B775" s="1" t="s">
        <v>52</v>
      </c>
      <c r="C775" s="5">
        <v>45637.0</v>
      </c>
      <c r="D775" s="1" t="s">
        <v>161</v>
      </c>
      <c r="E775" s="1" t="s">
        <v>11</v>
      </c>
      <c r="H775" s="1">
        <v>0.0</v>
      </c>
      <c r="J775" s="1">
        <v>0.0</v>
      </c>
      <c r="N775" s="1">
        <v>0.99000001</v>
      </c>
    </row>
    <row r="776" ht="15.75" customHeight="1">
      <c r="A776" s="1" t="s">
        <v>164</v>
      </c>
      <c r="B776" s="1" t="s">
        <v>196</v>
      </c>
      <c r="C776" s="5">
        <v>45637.0</v>
      </c>
      <c r="D776" s="1" t="s">
        <v>161</v>
      </c>
      <c r="E776" s="1" t="s">
        <v>11</v>
      </c>
      <c r="H776" s="1">
        <v>0.0</v>
      </c>
      <c r="J776" s="1">
        <v>0.0</v>
      </c>
      <c r="N776" s="1">
        <v>0.100000001</v>
      </c>
    </row>
    <row r="777" ht="15.75" customHeight="1">
      <c r="A777" s="1" t="s">
        <v>164</v>
      </c>
      <c r="B777" s="1" t="s">
        <v>63</v>
      </c>
      <c r="C777" s="5">
        <v>45637.0</v>
      </c>
      <c r="D777" s="1" t="s">
        <v>161</v>
      </c>
      <c r="E777" s="1" t="s">
        <v>11</v>
      </c>
      <c r="F777" s="1" t="s">
        <v>166</v>
      </c>
      <c r="H777" s="1">
        <v>0.0</v>
      </c>
      <c r="I777" s="1">
        <v>0.0</v>
      </c>
      <c r="J777" s="1">
        <v>0.0</v>
      </c>
      <c r="K777" s="1">
        <v>0.0</v>
      </c>
      <c r="L777" s="1">
        <v>0.0</v>
      </c>
      <c r="N777" s="1">
        <v>4.199999809</v>
      </c>
    </row>
    <row r="778" ht="15.75" customHeight="1">
      <c r="A778" s="1" t="s">
        <v>164</v>
      </c>
      <c r="B778" s="1" t="s">
        <v>183</v>
      </c>
      <c r="C778" s="5">
        <v>45637.0</v>
      </c>
      <c r="D778" s="1" t="s">
        <v>161</v>
      </c>
      <c r="E778" s="1" t="s">
        <v>11</v>
      </c>
      <c r="H778" s="1">
        <v>0.0</v>
      </c>
      <c r="J778" s="1">
        <v>0.0</v>
      </c>
      <c r="N778" s="1">
        <v>0.319999993</v>
      </c>
    </row>
    <row r="779" ht="15.75" customHeight="1">
      <c r="A779" s="1" t="s">
        <v>164</v>
      </c>
      <c r="B779" s="1" t="s">
        <v>74</v>
      </c>
      <c r="C779" s="5">
        <v>45637.0</v>
      </c>
      <c r="D779" s="1" t="s">
        <v>161</v>
      </c>
      <c r="E779" s="1" t="s">
        <v>11</v>
      </c>
      <c r="F779" s="1" t="s">
        <v>166</v>
      </c>
      <c r="H779" s="1">
        <v>0.0</v>
      </c>
      <c r="I779" s="1">
        <v>0.0</v>
      </c>
      <c r="J779" s="1">
        <v>0.0</v>
      </c>
      <c r="K779" s="1">
        <v>3.0</v>
      </c>
      <c r="L779" s="1">
        <v>9.0</v>
      </c>
      <c r="M779" s="1">
        <v>0.333333333</v>
      </c>
      <c r="N779" s="1">
        <v>15.14000034</v>
      </c>
    </row>
    <row r="780" ht="15.75" customHeight="1">
      <c r="A780" s="1" t="s">
        <v>164</v>
      </c>
      <c r="B780" s="1" t="s">
        <v>75</v>
      </c>
      <c r="C780" s="5">
        <v>45637.0</v>
      </c>
      <c r="D780" s="1" t="s">
        <v>161</v>
      </c>
      <c r="E780" s="1" t="s">
        <v>11</v>
      </c>
      <c r="F780" s="1" t="s">
        <v>165</v>
      </c>
      <c r="H780" s="1">
        <v>0.0</v>
      </c>
      <c r="I780" s="1">
        <v>0.0</v>
      </c>
      <c r="J780" s="1">
        <v>0.0</v>
      </c>
      <c r="K780" s="1">
        <v>8.0</v>
      </c>
      <c r="L780" s="1">
        <v>13.0</v>
      </c>
      <c r="M780" s="1">
        <v>0.615384615</v>
      </c>
      <c r="N780" s="1">
        <v>15.01000023</v>
      </c>
    </row>
    <row r="781" ht="15.75" customHeight="1">
      <c r="A781" s="1" t="s">
        <v>164</v>
      </c>
      <c r="B781" s="1" t="s">
        <v>82</v>
      </c>
      <c r="C781" s="5">
        <v>45637.0</v>
      </c>
      <c r="D781" s="1" t="s">
        <v>161</v>
      </c>
      <c r="E781" s="1" t="s">
        <v>11</v>
      </c>
      <c r="H781" s="1">
        <v>0.0</v>
      </c>
      <c r="J781" s="1">
        <v>0.0</v>
      </c>
      <c r="N781" s="1">
        <v>1.379999995</v>
      </c>
    </row>
    <row r="782" ht="15.75" customHeight="1">
      <c r="A782" s="1" t="s">
        <v>160</v>
      </c>
      <c r="B782" s="1" t="s">
        <v>65</v>
      </c>
      <c r="C782" s="5">
        <v>45636.0</v>
      </c>
      <c r="D782" s="1" t="s">
        <v>161</v>
      </c>
      <c r="E782" s="1" t="s">
        <v>11</v>
      </c>
      <c r="F782" s="1" t="s">
        <v>162</v>
      </c>
      <c r="H782" s="1">
        <v>0.0</v>
      </c>
      <c r="I782" s="1">
        <v>0.0</v>
      </c>
      <c r="J782" s="1">
        <v>0.0</v>
      </c>
      <c r="K782" s="1">
        <v>9.0</v>
      </c>
      <c r="L782" s="1">
        <v>13.0</v>
      </c>
      <c r="M782" s="1">
        <v>0.692307692</v>
      </c>
      <c r="N782" s="1">
        <v>18.23999977</v>
      </c>
    </row>
    <row r="783" ht="15.75" customHeight="1">
      <c r="A783" s="1" t="s">
        <v>160</v>
      </c>
      <c r="B783" s="1" t="s">
        <v>77</v>
      </c>
      <c r="C783" s="5">
        <v>45636.0</v>
      </c>
      <c r="D783" s="1" t="s">
        <v>161</v>
      </c>
      <c r="E783" s="1" t="s">
        <v>11</v>
      </c>
      <c r="F783" s="1" t="s">
        <v>162</v>
      </c>
      <c r="G783" s="1" t="s">
        <v>172</v>
      </c>
      <c r="H783" s="1">
        <v>1.0</v>
      </c>
      <c r="I783" s="1">
        <v>0.0</v>
      </c>
      <c r="J783" s="1">
        <v>0.0</v>
      </c>
      <c r="K783" s="1">
        <v>5.0</v>
      </c>
      <c r="L783" s="1">
        <v>7.0</v>
      </c>
      <c r="M783" s="1">
        <v>0.714285714</v>
      </c>
      <c r="N783" s="1">
        <v>15.56000042</v>
      </c>
    </row>
    <row r="784" ht="15.75" customHeight="1">
      <c r="A784" s="1" t="s">
        <v>164</v>
      </c>
      <c r="B784" s="1" t="s">
        <v>187</v>
      </c>
      <c r="C784" s="5">
        <v>45636.0</v>
      </c>
      <c r="D784" s="1" t="s">
        <v>161</v>
      </c>
      <c r="E784" s="1" t="s">
        <v>11</v>
      </c>
      <c r="H784" s="1">
        <v>0.0</v>
      </c>
      <c r="J784" s="1">
        <v>0.0</v>
      </c>
      <c r="N784" s="1">
        <v>0.430000007</v>
      </c>
    </row>
    <row r="785" ht="15.75" customHeight="1">
      <c r="A785" s="1" t="s">
        <v>164</v>
      </c>
      <c r="B785" s="1" t="s">
        <v>63</v>
      </c>
      <c r="C785" s="5">
        <v>45636.0</v>
      </c>
      <c r="D785" s="1" t="s">
        <v>161</v>
      </c>
      <c r="E785" s="1" t="s">
        <v>11</v>
      </c>
      <c r="F785" s="1" t="s">
        <v>166</v>
      </c>
      <c r="H785" s="1">
        <v>0.0</v>
      </c>
      <c r="I785" s="1">
        <v>0.0</v>
      </c>
      <c r="J785" s="1">
        <v>0.0</v>
      </c>
      <c r="K785" s="1">
        <v>5.0</v>
      </c>
      <c r="L785" s="1">
        <v>10.0</v>
      </c>
      <c r="M785" s="1">
        <v>0.5</v>
      </c>
      <c r="N785" s="1">
        <v>13.32999992</v>
      </c>
    </row>
    <row r="786" ht="15.75" customHeight="1">
      <c r="A786" s="1" t="s">
        <v>164</v>
      </c>
      <c r="B786" s="1" t="s">
        <v>74</v>
      </c>
      <c r="C786" s="5">
        <v>45636.0</v>
      </c>
      <c r="D786" s="1" t="s">
        <v>161</v>
      </c>
      <c r="E786" s="1" t="s">
        <v>11</v>
      </c>
      <c r="F786" s="1" t="s">
        <v>162</v>
      </c>
      <c r="H786" s="1">
        <v>0.0</v>
      </c>
      <c r="I786" s="1">
        <v>0.0</v>
      </c>
      <c r="J786" s="1">
        <v>0.0</v>
      </c>
      <c r="K786" s="1">
        <v>10.0</v>
      </c>
      <c r="L786" s="1">
        <v>21.0</v>
      </c>
      <c r="M786" s="1">
        <v>0.476190476</v>
      </c>
      <c r="N786" s="1">
        <v>21.86000061</v>
      </c>
    </row>
    <row r="787" ht="15.75" customHeight="1">
      <c r="A787" s="1" t="s">
        <v>164</v>
      </c>
      <c r="B787" s="1" t="s">
        <v>82</v>
      </c>
      <c r="C787" s="5">
        <v>45636.0</v>
      </c>
      <c r="D787" s="1" t="s">
        <v>161</v>
      </c>
      <c r="E787" s="1" t="s">
        <v>11</v>
      </c>
      <c r="F787" s="1" t="s">
        <v>165</v>
      </c>
      <c r="H787" s="1">
        <v>0.0</v>
      </c>
      <c r="I787" s="1">
        <v>0.0</v>
      </c>
      <c r="J787" s="1">
        <v>0.0</v>
      </c>
      <c r="K787" s="1">
        <v>0.0</v>
      </c>
      <c r="L787" s="1">
        <v>2.0</v>
      </c>
      <c r="M787" s="1">
        <v>0.0</v>
      </c>
      <c r="N787" s="1">
        <v>2.589999914</v>
      </c>
    </row>
    <row r="788" ht="15.75" customHeight="1">
      <c r="A788" s="1" t="s">
        <v>160</v>
      </c>
      <c r="B788" s="1" t="s">
        <v>65</v>
      </c>
      <c r="C788" s="5">
        <v>45635.0</v>
      </c>
      <c r="D788" s="1" t="s">
        <v>161</v>
      </c>
      <c r="E788" s="1" t="s">
        <v>11</v>
      </c>
      <c r="F788" s="1" t="s">
        <v>162</v>
      </c>
      <c r="H788" s="1">
        <v>0.0</v>
      </c>
      <c r="I788" s="1">
        <v>0.0</v>
      </c>
      <c r="J788" s="1">
        <v>0.0</v>
      </c>
      <c r="K788" s="1">
        <v>2.0</v>
      </c>
      <c r="L788" s="1">
        <v>5.0</v>
      </c>
      <c r="M788" s="1">
        <v>0.4</v>
      </c>
      <c r="N788" s="1">
        <v>12.5</v>
      </c>
    </row>
    <row r="789" ht="15.75" customHeight="1">
      <c r="A789" s="1" t="s">
        <v>160</v>
      </c>
      <c r="B789" s="1" t="s">
        <v>69</v>
      </c>
      <c r="C789" s="5">
        <v>45635.0</v>
      </c>
      <c r="D789" s="1" t="s">
        <v>161</v>
      </c>
      <c r="E789" s="1" t="s">
        <v>11</v>
      </c>
      <c r="F789" s="1" t="s">
        <v>165</v>
      </c>
      <c r="H789" s="1">
        <v>0.0</v>
      </c>
      <c r="I789" s="1">
        <v>0.0</v>
      </c>
      <c r="J789" s="1">
        <v>0.0</v>
      </c>
      <c r="K789" s="1">
        <v>8.0</v>
      </c>
      <c r="L789" s="1">
        <v>14.0</v>
      </c>
      <c r="M789" s="1">
        <v>0.571428571</v>
      </c>
      <c r="N789" s="1">
        <v>10.14000034</v>
      </c>
    </row>
    <row r="790" ht="15.75" customHeight="1">
      <c r="A790" s="1" t="s">
        <v>160</v>
      </c>
      <c r="B790" s="1" t="s">
        <v>77</v>
      </c>
      <c r="C790" s="5">
        <v>45635.0</v>
      </c>
      <c r="D790" s="1" t="s">
        <v>161</v>
      </c>
      <c r="E790" s="1" t="s">
        <v>11</v>
      </c>
      <c r="F790" s="1" t="s">
        <v>162</v>
      </c>
      <c r="H790" s="1">
        <v>0.0</v>
      </c>
      <c r="I790" s="1">
        <v>0.0</v>
      </c>
      <c r="J790" s="1">
        <v>0.0</v>
      </c>
      <c r="K790" s="1">
        <v>0.0</v>
      </c>
      <c r="L790" s="1">
        <v>1.0</v>
      </c>
      <c r="M790" s="1">
        <v>0.0</v>
      </c>
      <c r="N790" s="1">
        <v>10.43000031</v>
      </c>
    </row>
    <row r="791" ht="15.75" customHeight="1">
      <c r="A791" s="1" t="s">
        <v>164</v>
      </c>
      <c r="B791" s="1" t="s">
        <v>22</v>
      </c>
      <c r="C791" s="5">
        <v>45635.0</v>
      </c>
      <c r="D791" s="1" t="s">
        <v>161</v>
      </c>
      <c r="E791" s="1" t="s">
        <v>11</v>
      </c>
      <c r="F791" s="1" t="s">
        <v>166</v>
      </c>
      <c r="H791" s="1">
        <v>0.0</v>
      </c>
      <c r="I791" s="1">
        <v>0.0</v>
      </c>
      <c r="J791" s="1">
        <v>0.0</v>
      </c>
      <c r="K791" s="1">
        <v>2.0</v>
      </c>
      <c r="L791" s="1">
        <v>3.0</v>
      </c>
      <c r="M791" s="1">
        <v>0.666666667</v>
      </c>
      <c r="N791" s="1">
        <v>3.5</v>
      </c>
    </row>
    <row r="792" ht="15.75" customHeight="1">
      <c r="A792" s="1" t="s">
        <v>164</v>
      </c>
      <c r="B792" s="1" t="s">
        <v>63</v>
      </c>
      <c r="C792" s="5">
        <v>45635.0</v>
      </c>
      <c r="D792" s="1" t="s">
        <v>161</v>
      </c>
      <c r="E792" s="1" t="s">
        <v>11</v>
      </c>
      <c r="F792" s="1" t="s">
        <v>166</v>
      </c>
      <c r="H792" s="1">
        <v>0.0</v>
      </c>
      <c r="I792" s="1">
        <v>0.0</v>
      </c>
      <c r="J792" s="1">
        <v>0.0</v>
      </c>
      <c r="K792" s="1">
        <v>2.0</v>
      </c>
      <c r="L792" s="1">
        <v>3.0</v>
      </c>
      <c r="M792" s="1">
        <v>0.666666667</v>
      </c>
      <c r="N792" s="1">
        <v>3.859999895</v>
      </c>
    </row>
    <row r="793" ht="15.75" customHeight="1">
      <c r="A793" s="1" t="s">
        <v>164</v>
      </c>
      <c r="B793" s="1" t="s">
        <v>183</v>
      </c>
      <c r="C793" s="5">
        <v>45635.0</v>
      </c>
      <c r="D793" s="1" t="s">
        <v>161</v>
      </c>
      <c r="E793" s="1" t="s">
        <v>11</v>
      </c>
      <c r="F793" s="1" t="s">
        <v>166</v>
      </c>
      <c r="H793" s="1">
        <v>0.0</v>
      </c>
      <c r="I793" s="1">
        <v>1.0</v>
      </c>
      <c r="J793" s="1">
        <v>0.0</v>
      </c>
      <c r="K793" s="1">
        <v>2.0</v>
      </c>
      <c r="L793" s="1">
        <v>7.0</v>
      </c>
      <c r="M793" s="1">
        <v>0.285714286</v>
      </c>
      <c r="N793" s="1">
        <v>6.239999771</v>
      </c>
    </row>
    <row r="794" ht="15.75" customHeight="1">
      <c r="A794" s="1" t="s">
        <v>164</v>
      </c>
      <c r="B794" s="1" t="s">
        <v>74</v>
      </c>
      <c r="C794" s="5">
        <v>45635.0</v>
      </c>
      <c r="D794" s="1" t="s">
        <v>161</v>
      </c>
      <c r="E794" s="1" t="s">
        <v>11</v>
      </c>
      <c r="F794" s="1" t="s">
        <v>166</v>
      </c>
      <c r="H794" s="1">
        <v>0.0</v>
      </c>
      <c r="I794" s="1">
        <v>0.0</v>
      </c>
      <c r="J794" s="1">
        <v>0.0</v>
      </c>
      <c r="K794" s="1">
        <v>0.0</v>
      </c>
      <c r="L794" s="1">
        <v>4.0</v>
      </c>
      <c r="M794" s="1">
        <v>0.0</v>
      </c>
      <c r="N794" s="1">
        <v>7.25</v>
      </c>
    </row>
    <row r="795" ht="15.75" customHeight="1">
      <c r="A795" s="1" t="s">
        <v>164</v>
      </c>
      <c r="B795" s="1" t="s">
        <v>75</v>
      </c>
      <c r="C795" s="5">
        <v>45635.0</v>
      </c>
      <c r="D795" s="1" t="s">
        <v>161</v>
      </c>
      <c r="E795" s="1" t="s">
        <v>11</v>
      </c>
      <c r="F795" s="1" t="s">
        <v>165</v>
      </c>
      <c r="H795" s="1">
        <v>0.0</v>
      </c>
      <c r="I795" s="1">
        <v>0.0</v>
      </c>
      <c r="J795" s="1">
        <v>0.0</v>
      </c>
      <c r="K795" s="1">
        <v>12.0</v>
      </c>
      <c r="L795" s="1">
        <v>21.0</v>
      </c>
      <c r="M795" s="1">
        <v>0.571428571</v>
      </c>
      <c r="N795" s="1">
        <v>10.34000015</v>
      </c>
    </row>
    <row r="796" ht="15.75" customHeight="1">
      <c r="A796" s="1" t="s">
        <v>164</v>
      </c>
      <c r="B796" s="1" t="s">
        <v>82</v>
      </c>
      <c r="C796" s="5">
        <v>45635.0</v>
      </c>
      <c r="D796" s="1" t="s">
        <v>161</v>
      </c>
      <c r="E796" s="1" t="s">
        <v>11</v>
      </c>
      <c r="H796" s="1">
        <v>0.0</v>
      </c>
      <c r="J796" s="1">
        <v>0.0</v>
      </c>
      <c r="N796" s="1">
        <v>4.539999962</v>
      </c>
    </row>
    <row r="797" ht="15.75" customHeight="1">
      <c r="A797" s="1" t="s">
        <v>160</v>
      </c>
      <c r="B797" s="1" t="s">
        <v>39</v>
      </c>
      <c r="C797" s="5">
        <v>45632.0</v>
      </c>
      <c r="D797" s="1" t="s">
        <v>161</v>
      </c>
      <c r="E797" s="1" t="s">
        <v>11</v>
      </c>
      <c r="F797" s="1" t="s">
        <v>162</v>
      </c>
      <c r="H797" s="1">
        <v>0.0</v>
      </c>
      <c r="I797" s="1">
        <v>0.0</v>
      </c>
      <c r="J797" s="1">
        <v>0.0</v>
      </c>
      <c r="K797" s="1">
        <v>5.0</v>
      </c>
      <c r="L797" s="1">
        <v>8.0</v>
      </c>
      <c r="M797" s="1">
        <v>0.625</v>
      </c>
      <c r="N797" s="1">
        <v>9.479999542</v>
      </c>
    </row>
    <row r="798" ht="15.75" customHeight="1">
      <c r="A798" s="1" t="s">
        <v>160</v>
      </c>
      <c r="B798" s="1" t="s">
        <v>65</v>
      </c>
      <c r="C798" s="5">
        <v>45632.0</v>
      </c>
      <c r="D798" s="1" t="s">
        <v>161</v>
      </c>
      <c r="E798" s="1" t="s">
        <v>11</v>
      </c>
      <c r="F798" s="1" t="s">
        <v>162</v>
      </c>
      <c r="H798" s="1">
        <v>0.0</v>
      </c>
      <c r="I798" s="1">
        <v>0.0</v>
      </c>
      <c r="J798" s="1">
        <v>0.0</v>
      </c>
      <c r="K798" s="1">
        <v>1.0</v>
      </c>
      <c r="L798" s="1">
        <v>2.0</v>
      </c>
      <c r="M798" s="1">
        <v>0.5</v>
      </c>
      <c r="N798" s="1">
        <v>9.579999924</v>
      </c>
    </row>
    <row r="799" ht="15.75" customHeight="1">
      <c r="A799" s="1" t="s">
        <v>160</v>
      </c>
      <c r="B799" s="1" t="s">
        <v>198</v>
      </c>
      <c r="C799" s="5">
        <v>45632.0</v>
      </c>
      <c r="D799" s="1" t="s">
        <v>161</v>
      </c>
      <c r="E799" s="1" t="s">
        <v>11</v>
      </c>
      <c r="F799" s="1" t="s">
        <v>162</v>
      </c>
      <c r="H799" s="1">
        <v>0.0</v>
      </c>
      <c r="I799" s="1">
        <v>0.0</v>
      </c>
      <c r="J799" s="1">
        <v>0.0</v>
      </c>
      <c r="K799" s="1">
        <v>1.0</v>
      </c>
      <c r="L799" s="1">
        <v>1.0</v>
      </c>
      <c r="M799" s="1">
        <v>1.0</v>
      </c>
      <c r="N799" s="1">
        <v>3.0</v>
      </c>
    </row>
    <row r="800" ht="15.75" customHeight="1">
      <c r="A800" s="1" t="s">
        <v>160</v>
      </c>
      <c r="B800" s="1" t="s">
        <v>77</v>
      </c>
      <c r="C800" s="5">
        <v>45632.0</v>
      </c>
      <c r="D800" s="1" t="s">
        <v>161</v>
      </c>
      <c r="E800" s="1" t="s">
        <v>11</v>
      </c>
      <c r="F800" s="1" t="s">
        <v>162</v>
      </c>
      <c r="H800" s="1">
        <v>0.0</v>
      </c>
      <c r="I800" s="1">
        <v>0.0</v>
      </c>
      <c r="J800" s="1">
        <v>0.0</v>
      </c>
      <c r="K800" s="1">
        <v>5.0</v>
      </c>
      <c r="L800" s="1">
        <v>8.0</v>
      </c>
      <c r="M800" s="1">
        <v>0.625</v>
      </c>
      <c r="N800" s="1">
        <v>7.429999828</v>
      </c>
    </row>
    <row r="801" ht="15.75" customHeight="1">
      <c r="A801" s="1" t="s">
        <v>164</v>
      </c>
      <c r="B801" s="1" t="s">
        <v>60</v>
      </c>
      <c r="C801" s="5">
        <v>45632.0</v>
      </c>
      <c r="D801" s="1" t="s">
        <v>161</v>
      </c>
      <c r="E801" s="1" t="s">
        <v>11</v>
      </c>
      <c r="F801" s="1" t="s">
        <v>166</v>
      </c>
      <c r="H801" s="1">
        <v>0.0</v>
      </c>
      <c r="I801" s="1">
        <v>0.0</v>
      </c>
      <c r="J801" s="1">
        <v>0.0</v>
      </c>
      <c r="K801" s="1">
        <v>4.0</v>
      </c>
      <c r="L801" s="1">
        <v>7.0</v>
      </c>
      <c r="M801" s="1">
        <v>0.571428571</v>
      </c>
      <c r="N801" s="1">
        <v>7.909999847</v>
      </c>
    </row>
    <row r="802" ht="15.75" customHeight="1">
      <c r="A802" s="1" t="s">
        <v>164</v>
      </c>
      <c r="B802" s="1" t="s">
        <v>63</v>
      </c>
      <c r="C802" s="5">
        <v>45632.0</v>
      </c>
      <c r="D802" s="1" t="s">
        <v>161</v>
      </c>
      <c r="E802" s="1" t="s">
        <v>11</v>
      </c>
      <c r="F802" s="1" t="s">
        <v>166</v>
      </c>
      <c r="H802" s="1">
        <v>0.0</v>
      </c>
      <c r="I802" s="1">
        <v>0.0</v>
      </c>
      <c r="J802" s="1">
        <v>0.0</v>
      </c>
      <c r="K802" s="1">
        <v>1.0</v>
      </c>
      <c r="L802" s="1">
        <v>2.0</v>
      </c>
      <c r="M802" s="1">
        <v>0.5</v>
      </c>
      <c r="N802" s="1">
        <v>10.26000023</v>
      </c>
    </row>
    <row r="803" ht="15.75" customHeight="1">
      <c r="A803" s="1" t="s">
        <v>164</v>
      </c>
      <c r="B803" s="1" t="s">
        <v>68</v>
      </c>
      <c r="C803" s="5">
        <v>45632.0</v>
      </c>
      <c r="D803" s="1" t="s">
        <v>161</v>
      </c>
      <c r="E803" s="1" t="s">
        <v>11</v>
      </c>
      <c r="F803" s="1" t="s">
        <v>165</v>
      </c>
      <c r="H803" s="1">
        <v>0.0</v>
      </c>
      <c r="I803" s="1">
        <v>0.0</v>
      </c>
      <c r="J803" s="1">
        <v>0.0</v>
      </c>
      <c r="K803" s="1">
        <v>1.0</v>
      </c>
      <c r="L803" s="1">
        <v>4.0</v>
      </c>
      <c r="M803" s="1">
        <v>0.25</v>
      </c>
      <c r="N803" s="1">
        <v>5.929999828</v>
      </c>
    </row>
    <row r="804" ht="15.75" customHeight="1">
      <c r="A804" s="1" t="s">
        <v>164</v>
      </c>
      <c r="B804" s="1" t="s">
        <v>75</v>
      </c>
      <c r="C804" s="5">
        <v>45632.0</v>
      </c>
      <c r="D804" s="1" t="s">
        <v>161</v>
      </c>
      <c r="E804" s="1" t="s">
        <v>11</v>
      </c>
      <c r="F804" s="1" t="s">
        <v>165</v>
      </c>
      <c r="H804" s="1">
        <v>0.0</v>
      </c>
      <c r="I804" s="1">
        <v>0.0</v>
      </c>
      <c r="J804" s="1">
        <v>0.0</v>
      </c>
      <c r="K804" s="1">
        <v>5.0</v>
      </c>
      <c r="L804" s="1">
        <v>9.0</v>
      </c>
      <c r="M804" s="1">
        <v>0.555555556</v>
      </c>
      <c r="N804" s="1">
        <v>5.849999905</v>
      </c>
    </row>
    <row r="805" ht="15.75" customHeight="1">
      <c r="A805" s="1" t="s">
        <v>180</v>
      </c>
      <c r="B805" s="1" t="s">
        <v>208</v>
      </c>
      <c r="C805" s="5">
        <v>45632.0</v>
      </c>
      <c r="D805" s="1" t="s">
        <v>161</v>
      </c>
      <c r="E805" s="1" t="s">
        <v>11</v>
      </c>
      <c r="H805" s="1">
        <v>0.0</v>
      </c>
      <c r="J805" s="1">
        <v>0.0</v>
      </c>
      <c r="N805" s="1">
        <v>0.090000004</v>
      </c>
    </row>
    <row r="806" ht="15.75" customHeight="1">
      <c r="A806" s="1" t="s">
        <v>160</v>
      </c>
      <c r="B806" s="1" t="s">
        <v>18</v>
      </c>
      <c r="C806" s="5">
        <v>45631.0</v>
      </c>
      <c r="D806" s="1" t="s">
        <v>161</v>
      </c>
      <c r="E806" s="1" t="s">
        <v>11</v>
      </c>
      <c r="F806" s="1" t="s">
        <v>162</v>
      </c>
      <c r="H806" s="1">
        <v>0.0</v>
      </c>
      <c r="I806" s="1">
        <v>0.0</v>
      </c>
      <c r="J806" s="1">
        <v>0.0</v>
      </c>
      <c r="K806" s="1">
        <v>5.0</v>
      </c>
      <c r="L806" s="1">
        <v>11.0</v>
      </c>
      <c r="M806" s="1">
        <v>0.454545455</v>
      </c>
      <c r="N806" s="1">
        <v>10.13000011</v>
      </c>
    </row>
    <row r="807" ht="15.75" customHeight="1">
      <c r="A807" s="1" t="s">
        <v>160</v>
      </c>
      <c r="B807" s="1" t="s">
        <v>39</v>
      </c>
      <c r="C807" s="5">
        <v>45631.0</v>
      </c>
      <c r="D807" s="1" t="s">
        <v>161</v>
      </c>
      <c r="E807" s="1" t="s">
        <v>11</v>
      </c>
      <c r="F807" s="1" t="s">
        <v>162</v>
      </c>
      <c r="H807" s="1">
        <v>0.0</v>
      </c>
      <c r="I807" s="1">
        <v>0.0</v>
      </c>
      <c r="J807" s="1">
        <v>0.0</v>
      </c>
      <c r="K807" s="1">
        <v>1.0</v>
      </c>
      <c r="L807" s="1">
        <v>4.0</v>
      </c>
      <c r="M807" s="1">
        <v>0.25</v>
      </c>
      <c r="N807" s="1">
        <v>8.619999886</v>
      </c>
    </row>
    <row r="808" ht="15.75" customHeight="1">
      <c r="A808" s="1" t="s">
        <v>160</v>
      </c>
      <c r="B808" s="1" t="s">
        <v>39</v>
      </c>
      <c r="C808" s="5">
        <v>45631.0</v>
      </c>
      <c r="D808" s="1" t="s">
        <v>161</v>
      </c>
      <c r="E808" s="1" t="s">
        <v>11</v>
      </c>
      <c r="F808" s="1" t="s">
        <v>166</v>
      </c>
      <c r="H808" s="1">
        <v>0.0</v>
      </c>
      <c r="I808" s="1">
        <v>0.0</v>
      </c>
      <c r="J808" s="1">
        <v>0.0</v>
      </c>
      <c r="K808" s="1">
        <v>0.0</v>
      </c>
      <c r="L808" s="1">
        <v>0.0</v>
      </c>
      <c r="N808" s="1">
        <v>0.0</v>
      </c>
    </row>
    <row r="809" ht="15.75" customHeight="1">
      <c r="A809" s="1" t="s">
        <v>160</v>
      </c>
      <c r="B809" s="1" t="s">
        <v>65</v>
      </c>
      <c r="C809" s="5">
        <v>45631.0</v>
      </c>
      <c r="D809" s="1" t="s">
        <v>161</v>
      </c>
      <c r="E809" s="1" t="s">
        <v>11</v>
      </c>
      <c r="F809" s="1" t="s">
        <v>162</v>
      </c>
      <c r="H809" s="1">
        <v>0.0</v>
      </c>
      <c r="I809" s="1">
        <v>0.0</v>
      </c>
      <c r="J809" s="1">
        <v>0.0</v>
      </c>
      <c r="K809" s="1">
        <v>1.0</v>
      </c>
      <c r="L809" s="1">
        <v>2.0</v>
      </c>
      <c r="M809" s="1">
        <v>0.5</v>
      </c>
      <c r="N809" s="1">
        <v>6.6300001139999996</v>
      </c>
    </row>
    <row r="810" ht="15.75" customHeight="1">
      <c r="A810" s="1" t="s">
        <v>160</v>
      </c>
      <c r="B810" s="1" t="s">
        <v>198</v>
      </c>
      <c r="C810" s="5">
        <v>45631.0</v>
      </c>
      <c r="D810" s="1" t="s">
        <v>161</v>
      </c>
      <c r="E810" s="1" t="s">
        <v>11</v>
      </c>
      <c r="F810" s="1" t="s">
        <v>162</v>
      </c>
      <c r="H810" s="1">
        <v>0.0</v>
      </c>
      <c r="I810" s="1">
        <v>0.0</v>
      </c>
      <c r="J810" s="1">
        <v>0.0</v>
      </c>
      <c r="K810" s="1">
        <v>1.0</v>
      </c>
      <c r="L810" s="1">
        <v>2.0</v>
      </c>
      <c r="M810" s="1">
        <v>0.5</v>
      </c>
      <c r="N810" s="1">
        <v>1.899999976</v>
      </c>
    </row>
    <row r="811" ht="15.75" customHeight="1">
      <c r="A811" s="1" t="s">
        <v>160</v>
      </c>
      <c r="B811" s="1" t="s">
        <v>77</v>
      </c>
      <c r="C811" s="5">
        <v>45631.0</v>
      </c>
      <c r="D811" s="1" t="s">
        <v>161</v>
      </c>
      <c r="E811" s="1" t="s">
        <v>11</v>
      </c>
      <c r="F811" s="1" t="s">
        <v>162</v>
      </c>
      <c r="H811" s="1">
        <v>0.0</v>
      </c>
      <c r="I811" s="1">
        <v>0.0</v>
      </c>
      <c r="J811" s="1">
        <v>0.0</v>
      </c>
      <c r="K811" s="1">
        <v>0.0</v>
      </c>
      <c r="L811" s="1">
        <v>2.0</v>
      </c>
      <c r="M811" s="1">
        <v>0.0</v>
      </c>
      <c r="N811" s="1">
        <v>9.829999924</v>
      </c>
    </row>
    <row r="812" ht="15.75" customHeight="1">
      <c r="A812" s="1" t="s">
        <v>160</v>
      </c>
      <c r="B812" s="1" t="s">
        <v>90</v>
      </c>
      <c r="C812" s="5">
        <v>45631.0</v>
      </c>
      <c r="D812" s="1" t="s">
        <v>161</v>
      </c>
      <c r="E812" s="1" t="s">
        <v>11</v>
      </c>
      <c r="F812" s="1" t="s">
        <v>165</v>
      </c>
      <c r="H812" s="1">
        <v>0.0</v>
      </c>
      <c r="I812" s="1">
        <v>0.0</v>
      </c>
      <c r="J812" s="1">
        <v>0.0</v>
      </c>
      <c r="K812" s="1">
        <v>2.0</v>
      </c>
      <c r="L812" s="1">
        <v>5.0</v>
      </c>
      <c r="M812" s="1">
        <v>0.4</v>
      </c>
      <c r="N812" s="1">
        <v>6.710000038</v>
      </c>
    </row>
    <row r="813" ht="15.75" customHeight="1">
      <c r="A813" s="1" t="s">
        <v>164</v>
      </c>
      <c r="B813" s="1" t="s">
        <v>60</v>
      </c>
      <c r="C813" s="5">
        <v>45631.0</v>
      </c>
      <c r="D813" s="1" t="s">
        <v>161</v>
      </c>
      <c r="E813" s="1" t="s">
        <v>11</v>
      </c>
      <c r="F813" s="1" t="s">
        <v>166</v>
      </c>
      <c r="H813" s="1">
        <v>0.0</v>
      </c>
      <c r="I813" s="1">
        <v>0.0</v>
      </c>
      <c r="J813" s="1">
        <v>0.0</v>
      </c>
      <c r="K813" s="1">
        <v>0.0</v>
      </c>
      <c r="L813" s="1">
        <v>0.0</v>
      </c>
      <c r="N813" s="1">
        <v>5.03000021</v>
      </c>
    </row>
    <row r="814" ht="15.75" customHeight="1">
      <c r="A814" s="1" t="s">
        <v>164</v>
      </c>
      <c r="B814" s="1" t="s">
        <v>63</v>
      </c>
      <c r="C814" s="5">
        <v>45631.0</v>
      </c>
      <c r="D814" s="1" t="s">
        <v>161</v>
      </c>
      <c r="E814" s="1" t="s">
        <v>11</v>
      </c>
      <c r="F814" s="1" t="s">
        <v>166</v>
      </c>
      <c r="H814" s="1">
        <v>0.0</v>
      </c>
      <c r="I814" s="1">
        <v>0.0</v>
      </c>
      <c r="J814" s="1">
        <v>0.0</v>
      </c>
      <c r="K814" s="1">
        <v>0.0</v>
      </c>
      <c r="L814" s="1">
        <v>2.0</v>
      </c>
      <c r="M814" s="1">
        <v>0.0</v>
      </c>
      <c r="N814" s="1">
        <v>9.300000191</v>
      </c>
    </row>
    <row r="815" ht="15.75" customHeight="1">
      <c r="A815" s="1" t="s">
        <v>164</v>
      </c>
      <c r="B815" s="1" t="s">
        <v>183</v>
      </c>
      <c r="C815" s="5">
        <v>45631.0</v>
      </c>
      <c r="D815" s="1" t="s">
        <v>161</v>
      </c>
      <c r="E815" s="1" t="s">
        <v>11</v>
      </c>
      <c r="F815" s="1" t="s">
        <v>166</v>
      </c>
      <c r="H815" s="1">
        <v>0.0</v>
      </c>
      <c r="I815" s="1">
        <v>0.0</v>
      </c>
      <c r="J815" s="1">
        <v>0.0</v>
      </c>
      <c r="K815" s="1">
        <v>17.0</v>
      </c>
      <c r="L815" s="1">
        <v>24.0</v>
      </c>
      <c r="M815" s="1">
        <v>0.708333333</v>
      </c>
      <c r="N815" s="1">
        <v>9.359999657</v>
      </c>
    </row>
    <row r="816" ht="15.75" customHeight="1">
      <c r="A816" s="1" t="s">
        <v>164</v>
      </c>
      <c r="B816" s="1" t="s">
        <v>68</v>
      </c>
      <c r="C816" s="5">
        <v>45631.0</v>
      </c>
      <c r="D816" s="1" t="s">
        <v>161</v>
      </c>
      <c r="E816" s="1" t="s">
        <v>11</v>
      </c>
      <c r="F816" s="1" t="s">
        <v>165</v>
      </c>
      <c r="H816" s="1">
        <v>0.0</v>
      </c>
      <c r="I816" s="1">
        <v>0.0</v>
      </c>
      <c r="J816" s="1">
        <v>0.0</v>
      </c>
      <c r="K816" s="1">
        <v>3.0</v>
      </c>
      <c r="L816" s="1">
        <v>6.0</v>
      </c>
      <c r="M816" s="1">
        <v>0.5</v>
      </c>
      <c r="N816" s="1">
        <v>8.130000114</v>
      </c>
    </row>
    <row r="817" ht="15.75" customHeight="1">
      <c r="A817" s="1" t="s">
        <v>164</v>
      </c>
      <c r="B817" s="1" t="s">
        <v>74</v>
      </c>
      <c r="C817" s="5">
        <v>45631.0</v>
      </c>
      <c r="D817" s="1" t="s">
        <v>161</v>
      </c>
      <c r="E817" s="1" t="s">
        <v>11</v>
      </c>
      <c r="F817" s="1" t="s">
        <v>166</v>
      </c>
      <c r="H817" s="1">
        <v>0.0</v>
      </c>
      <c r="I817" s="1">
        <v>0.0</v>
      </c>
      <c r="J817" s="1">
        <v>0.0</v>
      </c>
      <c r="K817" s="1">
        <v>0.0</v>
      </c>
      <c r="L817" s="1">
        <v>0.0</v>
      </c>
      <c r="N817" s="1">
        <v>4.949999809</v>
      </c>
    </row>
    <row r="818" ht="15.75" customHeight="1">
      <c r="A818" s="1" t="s">
        <v>164</v>
      </c>
      <c r="B818" s="1" t="s">
        <v>75</v>
      </c>
      <c r="C818" s="5">
        <v>45631.0</v>
      </c>
      <c r="D818" s="1" t="s">
        <v>161</v>
      </c>
      <c r="E818" s="1" t="s">
        <v>11</v>
      </c>
      <c r="F818" s="1" t="s">
        <v>165</v>
      </c>
      <c r="H818" s="1">
        <v>0.0</v>
      </c>
      <c r="I818" s="1">
        <v>0.0</v>
      </c>
      <c r="J818" s="1">
        <v>0.0</v>
      </c>
      <c r="K818" s="1">
        <v>7.0</v>
      </c>
      <c r="L818" s="1">
        <v>11.0</v>
      </c>
      <c r="M818" s="1">
        <v>0.636363636</v>
      </c>
      <c r="N818" s="1">
        <v>10.89000034</v>
      </c>
    </row>
    <row r="819" ht="15.75" customHeight="1">
      <c r="A819" s="1" t="s">
        <v>164</v>
      </c>
      <c r="B819" s="1" t="s">
        <v>100</v>
      </c>
      <c r="C819" s="5">
        <v>45631.0</v>
      </c>
      <c r="D819" s="1" t="s">
        <v>161</v>
      </c>
      <c r="E819" s="1" t="s">
        <v>11</v>
      </c>
      <c r="F819" s="1" t="s">
        <v>171</v>
      </c>
      <c r="H819" s="1">
        <v>0.0</v>
      </c>
      <c r="I819" s="1">
        <v>0.0</v>
      </c>
      <c r="J819" s="1">
        <v>0.0</v>
      </c>
      <c r="K819" s="1">
        <v>1.0</v>
      </c>
      <c r="L819" s="1">
        <v>4.0</v>
      </c>
      <c r="M819" s="1">
        <v>0.25</v>
      </c>
      <c r="N819" s="1">
        <v>7.079999924</v>
      </c>
    </row>
    <row r="820" ht="15.75" customHeight="1">
      <c r="A820" s="1" t="s">
        <v>180</v>
      </c>
      <c r="B820" s="1" t="s">
        <v>208</v>
      </c>
      <c r="C820" s="5">
        <v>45631.0</v>
      </c>
      <c r="D820" s="1" t="s">
        <v>161</v>
      </c>
      <c r="E820" s="1" t="s">
        <v>11</v>
      </c>
      <c r="F820" s="1" t="s">
        <v>171</v>
      </c>
      <c r="H820" s="1">
        <v>0.0</v>
      </c>
      <c r="I820" s="1">
        <v>0.0</v>
      </c>
      <c r="J820" s="1">
        <v>0.0</v>
      </c>
      <c r="K820" s="1">
        <v>0.0</v>
      </c>
      <c r="L820" s="1">
        <v>18.0</v>
      </c>
      <c r="M820" s="1">
        <v>0.0</v>
      </c>
      <c r="N820" s="1">
        <v>61.88999939</v>
      </c>
    </row>
    <row r="821" ht="15.75" customHeight="1">
      <c r="A821" s="1" t="s">
        <v>180</v>
      </c>
      <c r="B821" s="1" t="s">
        <v>203</v>
      </c>
      <c r="C821" s="5">
        <v>45631.0</v>
      </c>
      <c r="D821" s="1" t="s">
        <v>161</v>
      </c>
      <c r="E821" s="1" t="s">
        <v>11</v>
      </c>
      <c r="F821" s="1" t="s">
        <v>171</v>
      </c>
      <c r="H821" s="1">
        <v>0.0</v>
      </c>
      <c r="I821" s="1">
        <v>0.0</v>
      </c>
      <c r="J821" s="1">
        <v>0.0</v>
      </c>
      <c r="K821" s="1">
        <v>0.0</v>
      </c>
      <c r="L821" s="1">
        <v>12.0</v>
      </c>
      <c r="M821" s="1">
        <v>0.0</v>
      </c>
      <c r="N821" s="1">
        <v>49.50999832</v>
      </c>
    </row>
    <row r="822" ht="15.75" customHeight="1">
      <c r="A822" s="1" t="s">
        <v>180</v>
      </c>
      <c r="B822" s="1" t="s">
        <v>209</v>
      </c>
      <c r="C822" s="5">
        <v>45631.0</v>
      </c>
      <c r="D822" s="1" t="s">
        <v>161</v>
      </c>
      <c r="E822" s="1" t="s">
        <v>11</v>
      </c>
      <c r="F822" s="1" t="s">
        <v>171</v>
      </c>
      <c r="H822" s="1">
        <v>0.0</v>
      </c>
      <c r="I822" s="1">
        <v>0.0</v>
      </c>
      <c r="J822" s="1">
        <v>0.0</v>
      </c>
      <c r="K822" s="1">
        <v>0.0</v>
      </c>
      <c r="L822" s="1">
        <v>9.0</v>
      </c>
      <c r="M822" s="1">
        <v>0.0</v>
      </c>
      <c r="N822" s="1">
        <v>55.93999863</v>
      </c>
    </row>
    <row r="823" ht="15.75" customHeight="1">
      <c r="A823" s="1" t="s">
        <v>160</v>
      </c>
      <c r="B823" s="1" t="s">
        <v>18</v>
      </c>
      <c r="C823" s="5">
        <v>45630.0</v>
      </c>
      <c r="D823" s="1" t="s">
        <v>161</v>
      </c>
      <c r="E823" s="1" t="s">
        <v>11</v>
      </c>
      <c r="F823" s="1" t="s">
        <v>162</v>
      </c>
      <c r="H823" s="1">
        <v>0.0</v>
      </c>
      <c r="I823" s="1">
        <v>0.0</v>
      </c>
      <c r="J823" s="1">
        <v>0.0</v>
      </c>
      <c r="K823" s="1">
        <v>1.0</v>
      </c>
      <c r="L823" s="1">
        <v>2.0</v>
      </c>
      <c r="M823" s="1">
        <v>0.5</v>
      </c>
      <c r="N823" s="1">
        <v>0.170000002</v>
      </c>
    </row>
    <row r="824" ht="15.75" customHeight="1">
      <c r="A824" s="1" t="s">
        <v>160</v>
      </c>
      <c r="B824" s="1" t="s">
        <v>39</v>
      </c>
      <c r="C824" s="5">
        <v>45630.0</v>
      </c>
      <c r="D824" s="1" t="s">
        <v>161</v>
      </c>
      <c r="E824" s="1" t="s">
        <v>11</v>
      </c>
      <c r="F824" s="1" t="s">
        <v>162</v>
      </c>
      <c r="H824" s="1">
        <v>0.0</v>
      </c>
      <c r="I824" s="1">
        <v>0.0</v>
      </c>
      <c r="J824" s="1">
        <v>0.0</v>
      </c>
      <c r="K824" s="1">
        <v>5.0</v>
      </c>
      <c r="L824" s="1">
        <v>12.0</v>
      </c>
      <c r="M824" s="1">
        <v>0.416666667</v>
      </c>
      <c r="N824" s="1">
        <v>9.739999771</v>
      </c>
    </row>
    <row r="825" ht="15.75" customHeight="1">
      <c r="A825" s="1" t="s">
        <v>160</v>
      </c>
      <c r="B825" s="1" t="s">
        <v>39</v>
      </c>
      <c r="C825" s="5">
        <v>45630.0</v>
      </c>
      <c r="D825" s="1" t="s">
        <v>161</v>
      </c>
      <c r="E825" s="1" t="s">
        <v>11</v>
      </c>
      <c r="F825" s="1" t="s">
        <v>166</v>
      </c>
      <c r="H825" s="1">
        <v>0.0</v>
      </c>
      <c r="I825" s="1">
        <v>0.0</v>
      </c>
      <c r="J825" s="1">
        <v>0.0</v>
      </c>
      <c r="K825" s="1">
        <v>0.0</v>
      </c>
      <c r="L825" s="1">
        <v>0.0</v>
      </c>
      <c r="N825" s="1">
        <v>0.0</v>
      </c>
    </row>
    <row r="826" ht="15.75" customHeight="1">
      <c r="A826" s="1" t="s">
        <v>160</v>
      </c>
      <c r="B826" s="1" t="s">
        <v>65</v>
      </c>
      <c r="C826" s="5">
        <v>45630.0</v>
      </c>
      <c r="D826" s="1" t="s">
        <v>161</v>
      </c>
      <c r="E826" s="1" t="s">
        <v>11</v>
      </c>
      <c r="F826" s="1" t="s">
        <v>162</v>
      </c>
      <c r="H826" s="1">
        <v>0.0</v>
      </c>
      <c r="I826" s="1">
        <v>0.0</v>
      </c>
      <c r="J826" s="1">
        <v>0.0</v>
      </c>
      <c r="K826" s="1">
        <v>3.0</v>
      </c>
      <c r="L826" s="1">
        <v>4.0</v>
      </c>
      <c r="M826" s="1">
        <v>0.75</v>
      </c>
      <c r="N826" s="1">
        <v>7.340000153</v>
      </c>
    </row>
    <row r="827" ht="15.75" customHeight="1">
      <c r="A827" s="1" t="s">
        <v>160</v>
      </c>
      <c r="B827" s="1" t="s">
        <v>77</v>
      </c>
      <c r="C827" s="5">
        <v>45630.0</v>
      </c>
      <c r="D827" s="1" t="s">
        <v>161</v>
      </c>
      <c r="E827" s="1" t="s">
        <v>11</v>
      </c>
      <c r="H827" s="1">
        <v>0.0</v>
      </c>
      <c r="J827" s="1">
        <v>0.0</v>
      </c>
      <c r="N827" s="1">
        <v>12.77999973</v>
      </c>
    </row>
    <row r="828" ht="15.75" customHeight="1">
      <c r="A828" s="1" t="s">
        <v>164</v>
      </c>
      <c r="B828" s="1" t="s">
        <v>179</v>
      </c>
      <c r="C828" s="5">
        <v>45630.0</v>
      </c>
      <c r="D828" s="1" t="s">
        <v>161</v>
      </c>
      <c r="E828" s="1" t="s">
        <v>11</v>
      </c>
      <c r="F828" s="1" t="s">
        <v>166</v>
      </c>
      <c r="H828" s="1">
        <v>0.0</v>
      </c>
      <c r="I828" s="1">
        <v>0.0</v>
      </c>
      <c r="J828" s="1">
        <v>0.0</v>
      </c>
      <c r="K828" s="1">
        <v>7.0</v>
      </c>
      <c r="L828" s="1">
        <v>14.0</v>
      </c>
      <c r="M828" s="1">
        <v>0.5</v>
      </c>
      <c r="N828" s="1">
        <v>13.07999992</v>
      </c>
    </row>
    <row r="829" ht="15.75" customHeight="1">
      <c r="A829" s="1" t="s">
        <v>164</v>
      </c>
      <c r="B829" s="1" t="s">
        <v>60</v>
      </c>
      <c r="C829" s="5">
        <v>45630.0</v>
      </c>
      <c r="D829" s="1" t="s">
        <v>161</v>
      </c>
      <c r="E829" s="1" t="s">
        <v>11</v>
      </c>
      <c r="F829" s="1" t="s">
        <v>166</v>
      </c>
      <c r="H829" s="1">
        <v>0.0</v>
      </c>
      <c r="I829" s="1">
        <v>0.0</v>
      </c>
      <c r="J829" s="1">
        <v>0.0</v>
      </c>
      <c r="K829" s="1">
        <v>1.0</v>
      </c>
      <c r="L829" s="1">
        <v>1.0</v>
      </c>
      <c r="M829" s="1">
        <v>1.0</v>
      </c>
      <c r="N829" s="1">
        <v>6.409999847</v>
      </c>
    </row>
    <row r="830" ht="15.75" customHeight="1">
      <c r="A830" s="1" t="s">
        <v>164</v>
      </c>
      <c r="B830" s="1" t="s">
        <v>63</v>
      </c>
      <c r="C830" s="5">
        <v>45630.0</v>
      </c>
      <c r="D830" s="1" t="s">
        <v>161</v>
      </c>
      <c r="E830" s="1" t="s">
        <v>11</v>
      </c>
      <c r="F830" s="1" t="s">
        <v>166</v>
      </c>
      <c r="H830" s="1">
        <v>0.0</v>
      </c>
      <c r="I830" s="1">
        <v>0.0</v>
      </c>
      <c r="J830" s="1">
        <v>0.0</v>
      </c>
      <c r="K830" s="1">
        <v>2.0</v>
      </c>
      <c r="L830" s="1">
        <v>6.0</v>
      </c>
      <c r="M830" s="1">
        <v>0.333333333</v>
      </c>
      <c r="N830" s="1">
        <v>7.329999924</v>
      </c>
    </row>
    <row r="831" ht="15.75" customHeight="1">
      <c r="A831" s="1" t="s">
        <v>164</v>
      </c>
      <c r="B831" s="1" t="s">
        <v>183</v>
      </c>
      <c r="C831" s="5">
        <v>45630.0</v>
      </c>
      <c r="D831" s="1" t="s">
        <v>161</v>
      </c>
      <c r="E831" s="1" t="s">
        <v>11</v>
      </c>
      <c r="F831" s="1" t="s">
        <v>166</v>
      </c>
      <c r="H831" s="1">
        <v>0.0</v>
      </c>
      <c r="I831" s="1">
        <v>0.0</v>
      </c>
      <c r="J831" s="1">
        <v>0.0</v>
      </c>
      <c r="K831" s="1">
        <v>0.0</v>
      </c>
      <c r="L831" s="1">
        <v>0.0</v>
      </c>
      <c r="N831" s="1">
        <v>0.629999995</v>
      </c>
    </row>
    <row r="832" ht="15.75" customHeight="1">
      <c r="A832" s="1" t="s">
        <v>164</v>
      </c>
      <c r="B832" s="1" t="s">
        <v>68</v>
      </c>
      <c r="C832" s="5">
        <v>45630.0</v>
      </c>
      <c r="D832" s="1" t="s">
        <v>161</v>
      </c>
      <c r="E832" s="1" t="s">
        <v>11</v>
      </c>
      <c r="F832" s="1" t="s">
        <v>165</v>
      </c>
      <c r="H832" s="1">
        <v>0.0</v>
      </c>
      <c r="I832" s="1">
        <v>0.0</v>
      </c>
      <c r="J832" s="1">
        <v>0.0</v>
      </c>
      <c r="K832" s="1">
        <v>4.0</v>
      </c>
      <c r="L832" s="1">
        <v>8.0</v>
      </c>
      <c r="M832" s="1">
        <v>0.5</v>
      </c>
      <c r="N832" s="1">
        <v>7.940000057</v>
      </c>
    </row>
    <row r="833" ht="15.75" customHeight="1">
      <c r="A833" s="1" t="s">
        <v>164</v>
      </c>
      <c r="B833" s="1" t="s">
        <v>74</v>
      </c>
      <c r="C833" s="5">
        <v>45630.0</v>
      </c>
      <c r="D833" s="1" t="s">
        <v>161</v>
      </c>
      <c r="E833" s="1" t="s">
        <v>11</v>
      </c>
      <c r="F833" s="1" t="s">
        <v>166</v>
      </c>
      <c r="H833" s="1">
        <v>0.0</v>
      </c>
      <c r="I833" s="1">
        <v>0.0</v>
      </c>
      <c r="J833" s="1">
        <v>0.0</v>
      </c>
      <c r="K833" s="1">
        <v>0.0</v>
      </c>
      <c r="L833" s="1">
        <v>0.0</v>
      </c>
      <c r="N833" s="1">
        <v>0.0</v>
      </c>
    </row>
    <row r="834" ht="15.75" customHeight="1">
      <c r="A834" s="1" t="s">
        <v>164</v>
      </c>
      <c r="B834" s="1" t="s">
        <v>74</v>
      </c>
      <c r="C834" s="5">
        <v>45630.0</v>
      </c>
      <c r="D834" s="1" t="s">
        <v>161</v>
      </c>
      <c r="E834" s="1" t="s">
        <v>11</v>
      </c>
      <c r="F834" s="1" t="s">
        <v>169</v>
      </c>
      <c r="H834" s="1">
        <v>0.0</v>
      </c>
      <c r="I834" s="1">
        <v>0.0</v>
      </c>
      <c r="J834" s="1">
        <v>0.0</v>
      </c>
      <c r="K834" s="1">
        <v>2.0</v>
      </c>
      <c r="L834" s="1">
        <v>3.0</v>
      </c>
      <c r="M834" s="1">
        <v>0.666666667</v>
      </c>
      <c r="N834" s="1">
        <v>7.78000021</v>
      </c>
    </row>
    <row r="835" ht="15.75" customHeight="1">
      <c r="A835" s="1" t="s">
        <v>164</v>
      </c>
      <c r="B835" s="1" t="s">
        <v>75</v>
      </c>
      <c r="C835" s="5">
        <v>45630.0</v>
      </c>
      <c r="D835" s="1" t="s">
        <v>161</v>
      </c>
      <c r="E835" s="1" t="s">
        <v>11</v>
      </c>
      <c r="F835" s="1" t="s">
        <v>165</v>
      </c>
      <c r="H835" s="1">
        <v>0.0</v>
      </c>
      <c r="I835" s="1">
        <v>0.0</v>
      </c>
      <c r="J835" s="1">
        <v>0.0</v>
      </c>
      <c r="K835" s="1">
        <v>6.0</v>
      </c>
      <c r="L835" s="1">
        <v>15.0</v>
      </c>
      <c r="M835" s="1">
        <v>0.4</v>
      </c>
      <c r="N835" s="1">
        <v>11.10999966</v>
      </c>
    </row>
    <row r="836" ht="15.75" customHeight="1">
      <c r="A836" s="1" t="s">
        <v>164</v>
      </c>
      <c r="B836" s="1" t="s">
        <v>82</v>
      </c>
      <c r="C836" s="5">
        <v>45630.0</v>
      </c>
      <c r="D836" s="1" t="s">
        <v>161</v>
      </c>
      <c r="E836" s="1" t="s">
        <v>11</v>
      </c>
      <c r="F836" s="1" t="s">
        <v>165</v>
      </c>
      <c r="H836" s="1">
        <v>0.0</v>
      </c>
      <c r="I836" s="1">
        <v>0.0</v>
      </c>
      <c r="J836" s="1">
        <v>0.0</v>
      </c>
      <c r="K836" s="1">
        <v>1.0</v>
      </c>
      <c r="L836" s="1">
        <v>14.0</v>
      </c>
      <c r="M836" s="1">
        <v>0.071428571</v>
      </c>
      <c r="N836" s="1">
        <v>13.97000027</v>
      </c>
    </row>
    <row r="837" ht="15.75" customHeight="1">
      <c r="A837" s="1" t="s">
        <v>160</v>
      </c>
      <c r="B837" s="1" t="s">
        <v>39</v>
      </c>
      <c r="C837" s="5">
        <v>45629.0</v>
      </c>
      <c r="D837" s="1" t="s">
        <v>161</v>
      </c>
      <c r="E837" s="1" t="s">
        <v>11</v>
      </c>
      <c r="F837" s="1" t="s">
        <v>162</v>
      </c>
      <c r="H837" s="1">
        <v>0.0</v>
      </c>
      <c r="I837" s="1">
        <v>0.0</v>
      </c>
      <c r="J837" s="1">
        <v>0.0</v>
      </c>
      <c r="K837" s="1">
        <v>7.0</v>
      </c>
      <c r="L837" s="1">
        <v>10.0</v>
      </c>
      <c r="M837" s="1">
        <v>0.7</v>
      </c>
      <c r="N837" s="1">
        <v>13.26000023</v>
      </c>
    </row>
    <row r="838" ht="15.75" customHeight="1">
      <c r="A838" s="1" t="s">
        <v>160</v>
      </c>
      <c r="B838" s="1" t="s">
        <v>39</v>
      </c>
      <c r="C838" s="5">
        <v>45629.0</v>
      </c>
      <c r="D838" s="1" t="s">
        <v>161</v>
      </c>
      <c r="E838" s="1" t="s">
        <v>11</v>
      </c>
      <c r="F838" s="1" t="s">
        <v>166</v>
      </c>
      <c r="H838" s="1">
        <v>0.0</v>
      </c>
      <c r="I838" s="1">
        <v>0.0</v>
      </c>
      <c r="J838" s="1">
        <v>0.0</v>
      </c>
      <c r="K838" s="1">
        <v>0.0</v>
      </c>
      <c r="L838" s="1">
        <v>0.0</v>
      </c>
      <c r="N838" s="1">
        <v>0.0</v>
      </c>
    </row>
    <row r="839" ht="15.75" customHeight="1">
      <c r="A839" s="1" t="s">
        <v>160</v>
      </c>
      <c r="B839" s="1" t="s">
        <v>65</v>
      </c>
      <c r="C839" s="5">
        <v>45629.0</v>
      </c>
      <c r="D839" s="1" t="s">
        <v>161</v>
      </c>
      <c r="E839" s="1" t="s">
        <v>11</v>
      </c>
      <c r="F839" s="1" t="s">
        <v>162</v>
      </c>
      <c r="H839" s="1">
        <v>0.0</v>
      </c>
      <c r="I839" s="1">
        <v>0.0</v>
      </c>
      <c r="J839" s="1">
        <v>0.0</v>
      </c>
      <c r="K839" s="1">
        <v>2.0</v>
      </c>
      <c r="L839" s="1">
        <v>2.0</v>
      </c>
      <c r="M839" s="1">
        <v>1.0</v>
      </c>
      <c r="N839" s="1">
        <v>11.26000023</v>
      </c>
    </row>
    <row r="840" ht="15.75" customHeight="1">
      <c r="A840" s="1" t="s">
        <v>160</v>
      </c>
      <c r="B840" s="1" t="s">
        <v>77</v>
      </c>
      <c r="C840" s="5">
        <v>45629.0</v>
      </c>
      <c r="D840" s="1" t="s">
        <v>161</v>
      </c>
      <c r="E840" s="1" t="s">
        <v>11</v>
      </c>
      <c r="F840" s="1" t="s">
        <v>162</v>
      </c>
      <c r="H840" s="1">
        <v>0.0</v>
      </c>
      <c r="I840" s="1">
        <v>0.0</v>
      </c>
      <c r="J840" s="1">
        <v>0.0</v>
      </c>
      <c r="K840" s="1">
        <v>0.0</v>
      </c>
      <c r="L840" s="1">
        <v>3.0</v>
      </c>
      <c r="M840" s="1">
        <v>0.0</v>
      </c>
      <c r="N840" s="1">
        <v>10.68000031</v>
      </c>
    </row>
    <row r="841" ht="15.75" customHeight="1">
      <c r="A841" s="1" t="s">
        <v>160</v>
      </c>
      <c r="B841" s="1" t="s">
        <v>93</v>
      </c>
      <c r="C841" s="5">
        <v>45629.0</v>
      </c>
      <c r="D841" s="1" t="s">
        <v>161</v>
      </c>
      <c r="E841" s="1" t="s">
        <v>11</v>
      </c>
      <c r="F841" s="1" t="s">
        <v>165</v>
      </c>
      <c r="H841" s="1">
        <v>0.0</v>
      </c>
      <c r="I841" s="1">
        <v>0.0</v>
      </c>
      <c r="J841" s="1">
        <v>0.0</v>
      </c>
      <c r="K841" s="1">
        <v>6.0</v>
      </c>
      <c r="L841" s="1">
        <v>7.0</v>
      </c>
      <c r="M841" s="1">
        <v>0.857142857</v>
      </c>
      <c r="N841" s="1">
        <v>0.0</v>
      </c>
    </row>
    <row r="842" ht="15.75" customHeight="1">
      <c r="A842" s="1" t="s">
        <v>160</v>
      </c>
      <c r="B842" s="1" t="s">
        <v>93</v>
      </c>
      <c r="C842" s="5">
        <v>45629.0</v>
      </c>
      <c r="D842" s="1" t="s">
        <v>161</v>
      </c>
      <c r="E842" s="1" t="s">
        <v>11</v>
      </c>
      <c r="F842" s="1" t="s">
        <v>177</v>
      </c>
      <c r="H842" s="1">
        <v>0.0</v>
      </c>
      <c r="I842" s="1">
        <v>0.0</v>
      </c>
      <c r="J842" s="1">
        <v>0.0</v>
      </c>
      <c r="K842" s="1">
        <v>0.0</v>
      </c>
      <c r="L842" s="1">
        <v>0.0</v>
      </c>
      <c r="N842" s="1">
        <v>0.0</v>
      </c>
    </row>
    <row r="843" ht="15.75" customHeight="1">
      <c r="A843" s="1" t="s">
        <v>160</v>
      </c>
      <c r="B843" s="1" t="s">
        <v>93</v>
      </c>
      <c r="C843" s="5">
        <v>45629.0</v>
      </c>
      <c r="D843" s="1" t="s">
        <v>161</v>
      </c>
      <c r="E843" s="1" t="s">
        <v>11</v>
      </c>
      <c r="F843" s="1" t="s">
        <v>166</v>
      </c>
      <c r="H843" s="1">
        <v>0.0</v>
      </c>
      <c r="I843" s="1">
        <v>0.0</v>
      </c>
      <c r="J843" s="1">
        <v>0.0</v>
      </c>
      <c r="K843" s="1">
        <v>3.0</v>
      </c>
      <c r="L843" s="1">
        <v>8.0</v>
      </c>
      <c r="M843" s="1">
        <v>0.375</v>
      </c>
      <c r="N843" s="1">
        <v>24.20000076</v>
      </c>
    </row>
    <row r="844" ht="15.75" customHeight="1">
      <c r="A844" s="1" t="s">
        <v>164</v>
      </c>
      <c r="B844" s="1" t="s">
        <v>24</v>
      </c>
      <c r="C844" s="5">
        <v>45629.0</v>
      </c>
      <c r="D844" s="1" t="s">
        <v>161</v>
      </c>
      <c r="E844" s="1" t="s">
        <v>11</v>
      </c>
      <c r="H844" s="1">
        <v>0.0</v>
      </c>
      <c r="J844" s="1">
        <v>0.0</v>
      </c>
      <c r="N844" s="1">
        <v>2.079999924</v>
      </c>
    </row>
    <row r="845" ht="15.75" customHeight="1">
      <c r="A845" s="1" t="s">
        <v>164</v>
      </c>
      <c r="B845" s="1" t="s">
        <v>60</v>
      </c>
      <c r="C845" s="5">
        <v>45629.0</v>
      </c>
      <c r="D845" s="1" t="s">
        <v>161</v>
      </c>
      <c r="E845" s="1" t="s">
        <v>11</v>
      </c>
      <c r="F845" s="1" t="s">
        <v>166</v>
      </c>
      <c r="H845" s="1">
        <v>0.0</v>
      </c>
      <c r="I845" s="1">
        <v>0.0</v>
      </c>
      <c r="J845" s="1">
        <v>0.0</v>
      </c>
      <c r="K845" s="1">
        <v>6.0</v>
      </c>
      <c r="L845" s="1">
        <v>8.0</v>
      </c>
      <c r="M845" s="1">
        <v>0.75</v>
      </c>
      <c r="N845" s="1">
        <v>11.97000027</v>
      </c>
    </row>
    <row r="846" ht="15.75" customHeight="1">
      <c r="A846" s="1" t="s">
        <v>164</v>
      </c>
      <c r="B846" s="1" t="s">
        <v>63</v>
      </c>
      <c r="C846" s="5">
        <v>45629.0</v>
      </c>
      <c r="D846" s="1" t="s">
        <v>161</v>
      </c>
      <c r="E846" s="1" t="s">
        <v>11</v>
      </c>
      <c r="F846" s="1" t="s">
        <v>166</v>
      </c>
      <c r="H846" s="1">
        <v>0.0</v>
      </c>
      <c r="I846" s="1">
        <v>0.0</v>
      </c>
      <c r="J846" s="1">
        <v>0.0</v>
      </c>
      <c r="K846" s="1">
        <v>2.0</v>
      </c>
      <c r="L846" s="1">
        <v>6.0</v>
      </c>
      <c r="M846" s="1">
        <v>0.333333333</v>
      </c>
      <c r="N846" s="1">
        <v>12.93000031</v>
      </c>
    </row>
    <row r="847" ht="15.75" customHeight="1">
      <c r="A847" s="1" t="s">
        <v>164</v>
      </c>
      <c r="B847" s="1" t="s">
        <v>183</v>
      </c>
      <c r="C847" s="5">
        <v>45629.0</v>
      </c>
      <c r="D847" s="1" t="s">
        <v>161</v>
      </c>
      <c r="E847" s="1" t="s">
        <v>11</v>
      </c>
      <c r="F847" s="1" t="s">
        <v>166</v>
      </c>
      <c r="H847" s="1">
        <v>0.0</v>
      </c>
      <c r="I847" s="1">
        <v>0.0</v>
      </c>
      <c r="J847" s="1">
        <v>0.0</v>
      </c>
      <c r="K847" s="1">
        <v>2.0</v>
      </c>
      <c r="L847" s="1">
        <v>3.0</v>
      </c>
      <c r="M847" s="1">
        <v>0.666666667</v>
      </c>
      <c r="N847" s="1">
        <v>3.5599999430000002</v>
      </c>
    </row>
    <row r="848" ht="15.75" customHeight="1">
      <c r="A848" s="1" t="s">
        <v>164</v>
      </c>
      <c r="B848" s="1" t="s">
        <v>68</v>
      </c>
      <c r="C848" s="5">
        <v>45629.0</v>
      </c>
      <c r="D848" s="1" t="s">
        <v>161</v>
      </c>
      <c r="E848" s="1" t="s">
        <v>11</v>
      </c>
      <c r="F848" s="1" t="s">
        <v>165</v>
      </c>
      <c r="H848" s="1">
        <v>0.0</v>
      </c>
      <c r="I848" s="1">
        <v>0.0</v>
      </c>
      <c r="J848" s="1">
        <v>0.0</v>
      </c>
      <c r="K848" s="1">
        <v>5.0</v>
      </c>
      <c r="L848" s="1">
        <v>12.0</v>
      </c>
      <c r="M848" s="1">
        <v>0.416666667</v>
      </c>
      <c r="N848" s="1">
        <v>8.5</v>
      </c>
    </row>
    <row r="849" ht="15.75" customHeight="1">
      <c r="A849" s="1" t="s">
        <v>164</v>
      </c>
      <c r="B849" s="1" t="s">
        <v>74</v>
      </c>
      <c r="C849" s="5">
        <v>45629.0</v>
      </c>
      <c r="D849" s="1" t="s">
        <v>161</v>
      </c>
      <c r="E849" s="1" t="s">
        <v>11</v>
      </c>
      <c r="F849" s="1" t="s">
        <v>166</v>
      </c>
      <c r="H849" s="1">
        <v>0.0</v>
      </c>
      <c r="I849" s="1">
        <v>0.0</v>
      </c>
      <c r="J849" s="1">
        <v>0.0</v>
      </c>
      <c r="K849" s="1">
        <v>0.0</v>
      </c>
      <c r="L849" s="1">
        <v>0.0</v>
      </c>
      <c r="N849" s="1">
        <v>3.400000095</v>
      </c>
    </row>
    <row r="850" ht="15.75" customHeight="1">
      <c r="A850" s="1" t="s">
        <v>164</v>
      </c>
      <c r="B850" s="1" t="s">
        <v>75</v>
      </c>
      <c r="C850" s="5">
        <v>45629.0</v>
      </c>
      <c r="D850" s="1" t="s">
        <v>161</v>
      </c>
      <c r="E850" s="1" t="s">
        <v>11</v>
      </c>
      <c r="F850" s="1" t="s">
        <v>165</v>
      </c>
      <c r="H850" s="1">
        <v>0.0</v>
      </c>
      <c r="I850" s="1">
        <v>0.0</v>
      </c>
      <c r="J850" s="1">
        <v>0.0</v>
      </c>
      <c r="K850" s="1">
        <v>6.0</v>
      </c>
      <c r="L850" s="1">
        <v>15.0</v>
      </c>
      <c r="M850" s="1">
        <v>0.4</v>
      </c>
      <c r="N850" s="1">
        <v>9.760000229</v>
      </c>
    </row>
    <row r="851" ht="15.75" customHeight="1">
      <c r="A851" s="1" t="s">
        <v>164</v>
      </c>
      <c r="B851" s="1" t="s">
        <v>100</v>
      </c>
      <c r="C851" s="5">
        <v>45629.0</v>
      </c>
      <c r="D851" s="1" t="s">
        <v>161</v>
      </c>
      <c r="E851" s="1" t="s">
        <v>11</v>
      </c>
      <c r="F851" s="1" t="s">
        <v>171</v>
      </c>
      <c r="H851" s="1">
        <v>0.0</v>
      </c>
      <c r="I851" s="1">
        <v>0.0</v>
      </c>
      <c r="J851" s="1">
        <v>0.0</v>
      </c>
      <c r="K851" s="1">
        <v>0.0</v>
      </c>
      <c r="L851" s="1">
        <v>5.0</v>
      </c>
      <c r="M851" s="1">
        <v>0.0</v>
      </c>
      <c r="N851" s="1">
        <v>6.550000191</v>
      </c>
    </row>
    <row r="852" ht="15.75" customHeight="1">
      <c r="A852" s="1" t="s">
        <v>160</v>
      </c>
      <c r="B852" s="1" t="s">
        <v>18</v>
      </c>
      <c r="C852" s="5">
        <v>45628.0</v>
      </c>
      <c r="D852" s="1" t="s">
        <v>161</v>
      </c>
      <c r="E852" s="1" t="s">
        <v>11</v>
      </c>
      <c r="F852" s="1" t="s">
        <v>162</v>
      </c>
      <c r="H852" s="1">
        <v>0.0</v>
      </c>
      <c r="I852" s="1">
        <v>0.0</v>
      </c>
      <c r="J852" s="1">
        <v>0.0</v>
      </c>
      <c r="K852" s="1">
        <v>2.0</v>
      </c>
      <c r="L852" s="1">
        <v>11.0</v>
      </c>
      <c r="M852" s="1">
        <v>0.181818182</v>
      </c>
      <c r="N852" s="1">
        <v>11.31999969</v>
      </c>
    </row>
    <row r="853" ht="15.75" customHeight="1">
      <c r="A853" s="1" t="s">
        <v>160</v>
      </c>
      <c r="B853" s="1" t="s">
        <v>39</v>
      </c>
      <c r="C853" s="5">
        <v>45628.0</v>
      </c>
      <c r="D853" s="1" t="s">
        <v>161</v>
      </c>
      <c r="E853" s="1" t="s">
        <v>11</v>
      </c>
      <c r="F853" s="1" t="s">
        <v>162</v>
      </c>
      <c r="H853" s="1">
        <v>0.0</v>
      </c>
      <c r="I853" s="1">
        <v>1.0</v>
      </c>
      <c r="J853" s="1">
        <v>0.0</v>
      </c>
      <c r="K853" s="1">
        <v>16.0</v>
      </c>
      <c r="L853" s="1">
        <v>22.0</v>
      </c>
      <c r="M853" s="1">
        <v>0.727272727</v>
      </c>
      <c r="N853" s="1">
        <v>10.10999966</v>
      </c>
    </row>
    <row r="854" ht="15.75" customHeight="1">
      <c r="A854" s="1" t="s">
        <v>160</v>
      </c>
      <c r="B854" s="1" t="s">
        <v>65</v>
      </c>
      <c r="C854" s="5">
        <v>45628.0</v>
      </c>
      <c r="D854" s="1" t="s">
        <v>161</v>
      </c>
      <c r="E854" s="1" t="s">
        <v>11</v>
      </c>
      <c r="H854" s="1">
        <v>0.0</v>
      </c>
      <c r="J854" s="1">
        <v>0.0</v>
      </c>
      <c r="N854" s="1">
        <v>1.850000024</v>
      </c>
    </row>
    <row r="855" ht="15.75" customHeight="1">
      <c r="A855" s="1" t="s">
        <v>160</v>
      </c>
      <c r="B855" s="1" t="s">
        <v>77</v>
      </c>
      <c r="C855" s="5">
        <v>45628.0</v>
      </c>
      <c r="D855" s="1" t="s">
        <v>161</v>
      </c>
      <c r="E855" s="1" t="s">
        <v>11</v>
      </c>
      <c r="F855" s="1" t="s">
        <v>162</v>
      </c>
      <c r="H855" s="1">
        <v>0.0</v>
      </c>
      <c r="I855" s="1">
        <v>0.0</v>
      </c>
      <c r="J855" s="1">
        <v>0.0</v>
      </c>
      <c r="K855" s="1">
        <v>11.0</v>
      </c>
      <c r="L855" s="1">
        <v>25.0</v>
      </c>
      <c r="M855" s="1">
        <v>0.44</v>
      </c>
      <c r="N855" s="1">
        <v>30.67000008</v>
      </c>
    </row>
    <row r="856" ht="15.75" customHeight="1">
      <c r="A856" s="1" t="s">
        <v>160</v>
      </c>
      <c r="B856" s="1" t="s">
        <v>93</v>
      </c>
      <c r="C856" s="5">
        <v>45628.0</v>
      </c>
      <c r="D856" s="1" t="s">
        <v>161</v>
      </c>
      <c r="E856" s="1" t="s">
        <v>11</v>
      </c>
      <c r="F856" s="1" t="s">
        <v>166</v>
      </c>
      <c r="H856" s="1">
        <v>0.0</v>
      </c>
      <c r="I856" s="1">
        <v>0.0</v>
      </c>
      <c r="J856" s="1">
        <v>0.0</v>
      </c>
      <c r="K856" s="1">
        <v>11.0</v>
      </c>
      <c r="L856" s="1">
        <v>17.0</v>
      </c>
      <c r="M856" s="1">
        <v>0.647058824</v>
      </c>
      <c r="N856" s="1">
        <v>30.62999916</v>
      </c>
    </row>
    <row r="857" ht="15.75" customHeight="1">
      <c r="A857" s="1" t="s">
        <v>164</v>
      </c>
      <c r="B857" s="1" t="s">
        <v>52</v>
      </c>
      <c r="C857" s="5">
        <v>45628.0</v>
      </c>
      <c r="D857" s="1" t="s">
        <v>161</v>
      </c>
      <c r="E857" s="1" t="s">
        <v>11</v>
      </c>
      <c r="F857" s="1" t="s">
        <v>165</v>
      </c>
      <c r="H857" s="1">
        <v>0.0</v>
      </c>
      <c r="I857" s="1">
        <v>0.0</v>
      </c>
      <c r="J857" s="1">
        <v>0.0</v>
      </c>
      <c r="K857" s="1">
        <v>6.0</v>
      </c>
      <c r="L857" s="1">
        <v>8.0</v>
      </c>
      <c r="M857" s="1">
        <v>0.75</v>
      </c>
      <c r="N857" s="1">
        <v>10.81999969</v>
      </c>
    </row>
    <row r="858" ht="15.75" customHeight="1">
      <c r="A858" s="1" t="s">
        <v>164</v>
      </c>
      <c r="B858" s="1" t="s">
        <v>179</v>
      </c>
      <c r="C858" s="5">
        <v>45628.0</v>
      </c>
      <c r="D858" s="1" t="s">
        <v>161</v>
      </c>
      <c r="E858" s="1" t="s">
        <v>11</v>
      </c>
      <c r="F858" s="1" t="s">
        <v>166</v>
      </c>
      <c r="H858" s="1">
        <v>0.0</v>
      </c>
      <c r="I858" s="1">
        <v>0.0</v>
      </c>
      <c r="J858" s="1">
        <v>0.0</v>
      </c>
      <c r="K858" s="1">
        <v>5.0</v>
      </c>
      <c r="L858" s="1">
        <v>7.0</v>
      </c>
      <c r="M858" s="1">
        <v>0.714285714</v>
      </c>
      <c r="N858" s="1">
        <v>11.89000034</v>
      </c>
    </row>
    <row r="859" ht="15.75" customHeight="1">
      <c r="A859" s="1" t="s">
        <v>164</v>
      </c>
      <c r="B859" s="1" t="s">
        <v>63</v>
      </c>
      <c r="C859" s="5">
        <v>45628.0</v>
      </c>
      <c r="D859" s="1" t="s">
        <v>161</v>
      </c>
      <c r="E859" s="1" t="s">
        <v>11</v>
      </c>
      <c r="F859" s="1" t="s">
        <v>166</v>
      </c>
      <c r="H859" s="1">
        <v>0.0</v>
      </c>
      <c r="I859" s="1">
        <v>0.0</v>
      </c>
      <c r="J859" s="1">
        <v>0.0</v>
      </c>
      <c r="K859" s="1">
        <v>0.0</v>
      </c>
      <c r="L859" s="1">
        <v>3.0</v>
      </c>
      <c r="M859" s="1">
        <v>0.0</v>
      </c>
      <c r="N859" s="1">
        <v>6.849999905</v>
      </c>
    </row>
    <row r="860" ht="15.75" customHeight="1">
      <c r="A860" s="1" t="s">
        <v>164</v>
      </c>
      <c r="B860" s="1" t="s">
        <v>68</v>
      </c>
      <c r="C860" s="5">
        <v>45628.0</v>
      </c>
      <c r="D860" s="1" t="s">
        <v>161</v>
      </c>
      <c r="E860" s="1" t="s">
        <v>11</v>
      </c>
      <c r="F860" s="1" t="s">
        <v>165</v>
      </c>
      <c r="H860" s="1">
        <v>0.0</v>
      </c>
      <c r="I860" s="1">
        <v>0.0</v>
      </c>
      <c r="J860" s="1">
        <v>0.0</v>
      </c>
      <c r="K860" s="1">
        <v>4.0</v>
      </c>
      <c r="L860" s="1">
        <v>9.0</v>
      </c>
      <c r="M860" s="1">
        <v>0.444444444</v>
      </c>
      <c r="N860" s="1">
        <v>9.760000229</v>
      </c>
    </row>
    <row r="861" ht="15.75" customHeight="1">
      <c r="A861" s="1" t="s">
        <v>164</v>
      </c>
      <c r="B861" s="1" t="s">
        <v>74</v>
      </c>
      <c r="C861" s="5">
        <v>45628.0</v>
      </c>
      <c r="D861" s="1" t="s">
        <v>161</v>
      </c>
      <c r="E861" s="1" t="s">
        <v>11</v>
      </c>
      <c r="F861" s="1" t="s">
        <v>166</v>
      </c>
      <c r="H861" s="1">
        <v>0.0</v>
      </c>
      <c r="I861" s="1">
        <v>0.0</v>
      </c>
      <c r="J861" s="1">
        <v>0.0</v>
      </c>
      <c r="K861" s="1">
        <v>2.0</v>
      </c>
      <c r="L861" s="1">
        <v>5.0</v>
      </c>
      <c r="M861" s="1">
        <v>0.4</v>
      </c>
      <c r="N861" s="1">
        <v>4.900000095</v>
      </c>
    </row>
    <row r="862" ht="15.75" customHeight="1">
      <c r="A862" s="1" t="s">
        <v>164</v>
      </c>
      <c r="B862" s="1" t="s">
        <v>75</v>
      </c>
      <c r="C862" s="5">
        <v>45628.0</v>
      </c>
      <c r="D862" s="1" t="s">
        <v>161</v>
      </c>
      <c r="E862" s="1" t="s">
        <v>11</v>
      </c>
      <c r="F862" s="1" t="s">
        <v>165</v>
      </c>
      <c r="H862" s="1">
        <v>0.0</v>
      </c>
      <c r="I862" s="1">
        <v>0.0</v>
      </c>
      <c r="J862" s="1">
        <v>0.0</v>
      </c>
      <c r="K862" s="1">
        <v>4.0</v>
      </c>
      <c r="L862" s="1">
        <v>5.0</v>
      </c>
      <c r="M862" s="1">
        <v>0.8</v>
      </c>
      <c r="N862" s="1">
        <v>6.539999962</v>
      </c>
    </row>
    <row r="863" ht="15.75" customHeight="1">
      <c r="A863" s="1" t="s">
        <v>164</v>
      </c>
      <c r="B863" s="1" t="s">
        <v>100</v>
      </c>
      <c r="C863" s="5">
        <v>45628.0</v>
      </c>
      <c r="D863" s="1" t="s">
        <v>161</v>
      </c>
      <c r="E863" s="1" t="s">
        <v>11</v>
      </c>
      <c r="F863" s="1" t="s">
        <v>171</v>
      </c>
      <c r="H863" s="1">
        <v>0.0</v>
      </c>
      <c r="I863" s="1">
        <v>0.0</v>
      </c>
      <c r="J863" s="1">
        <v>0.0</v>
      </c>
      <c r="K863" s="1">
        <v>0.0</v>
      </c>
      <c r="L863" s="1">
        <v>1.0</v>
      </c>
      <c r="M863" s="1">
        <v>0.0</v>
      </c>
      <c r="N863" s="1">
        <v>1.389999986</v>
      </c>
    </row>
    <row r="864" ht="15.75" customHeight="1">
      <c r="A864" s="1" t="s">
        <v>164</v>
      </c>
      <c r="B864" s="1" t="s">
        <v>82</v>
      </c>
      <c r="C864" s="5">
        <v>45628.0</v>
      </c>
      <c r="D864" s="1" t="s">
        <v>161</v>
      </c>
      <c r="E864" s="1" t="s">
        <v>11</v>
      </c>
      <c r="F864" s="1" t="s">
        <v>165</v>
      </c>
      <c r="H864" s="1">
        <v>0.0</v>
      </c>
      <c r="I864" s="1">
        <v>0.0</v>
      </c>
      <c r="J864" s="1">
        <v>0.0</v>
      </c>
      <c r="K864" s="1">
        <v>0.0</v>
      </c>
      <c r="L864" s="1">
        <v>4.0</v>
      </c>
      <c r="M864" s="1">
        <v>0.0</v>
      </c>
      <c r="N864" s="1">
        <v>9.390000343</v>
      </c>
    </row>
    <row r="865" ht="15.75" customHeight="1">
      <c r="A865" s="1" t="s">
        <v>164</v>
      </c>
      <c r="B865" s="1" t="s">
        <v>52</v>
      </c>
      <c r="C865" s="5">
        <v>45622.0</v>
      </c>
      <c r="D865" s="1" t="s">
        <v>161</v>
      </c>
      <c r="E865" s="1" t="s">
        <v>11</v>
      </c>
      <c r="H865" s="1">
        <v>0.0</v>
      </c>
      <c r="J865" s="1">
        <v>0.0</v>
      </c>
      <c r="N865" s="1">
        <v>0.560000002</v>
      </c>
    </row>
    <row r="866" ht="15.75" customHeight="1">
      <c r="A866" s="1" t="s">
        <v>164</v>
      </c>
      <c r="B866" s="1" t="s">
        <v>52</v>
      </c>
      <c r="C866" s="5">
        <v>45620.0</v>
      </c>
      <c r="D866" s="1" t="s">
        <v>161</v>
      </c>
      <c r="E866" s="1" t="s">
        <v>11</v>
      </c>
      <c r="F866" s="1" t="s">
        <v>165</v>
      </c>
      <c r="H866" s="1">
        <v>0.0</v>
      </c>
      <c r="I866" s="1">
        <v>0.0</v>
      </c>
      <c r="J866" s="1">
        <v>0.0</v>
      </c>
      <c r="K866" s="1">
        <v>0.0</v>
      </c>
      <c r="L866" s="1">
        <v>1.0</v>
      </c>
      <c r="M866" s="1">
        <v>0.0</v>
      </c>
      <c r="N866" s="1">
        <v>1.210000038</v>
      </c>
    </row>
    <row r="867" ht="15.75" customHeight="1">
      <c r="A867" s="1" t="s">
        <v>160</v>
      </c>
      <c r="B867" s="1" t="s">
        <v>90</v>
      </c>
      <c r="C867" s="5">
        <v>45619.0</v>
      </c>
      <c r="D867" s="1" t="s">
        <v>161</v>
      </c>
      <c r="E867" s="1" t="s">
        <v>11</v>
      </c>
      <c r="F867" s="1" t="s">
        <v>165</v>
      </c>
      <c r="H867" s="1">
        <v>0.0</v>
      </c>
      <c r="I867" s="1">
        <v>0.0</v>
      </c>
      <c r="J867" s="1">
        <v>0.0</v>
      </c>
      <c r="K867" s="1">
        <v>0.0</v>
      </c>
      <c r="L867" s="1">
        <v>1.0</v>
      </c>
      <c r="M867" s="1">
        <v>0.0</v>
      </c>
      <c r="N867" s="1">
        <v>1.460000038</v>
      </c>
    </row>
    <row r="868" ht="15.75" customHeight="1">
      <c r="A868" s="1" t="s">
        <v>164</v>
      </c>
      <c r="B868" s="1" t="s">
        <v>183</v>
      </c>
      <c r="C868" s="5">
        <v>45618.0</v>
      </c>
      <c r="D868" s="1" t="s">
        <v>161</v>
      </c>
      <c r="E868" s="1" t="s">
        <v>11</v>
      </c>
      <c r="F868" s="1" t="s">
        <v>166</v>
      </c>
      <c r="H868" s="1">
        <v>0.0</v>
      </c>
      <c r="I868" s="1">
        <v>0.0</v>
      </c>
      <c r="J868" s="1">
        <v>0.0</v>
      </c>
      <c r="K868" s="1">
        <v>2.0</v>
      </c>
      <c r="L868" s="1">
        <v>5.0</v>
      </c>
      <c r="M868" s="1">
        <v>0.4</v>
      </c>
      <c r="N868" s="1">
        <v>0.75</v>
      </c>
    </row>
    <row r="869" ht="15.75" customHeight="1">
      <c r="A869" s="1" t="s">
        <v>164</v>
      </c>
      <c r="B869" s="1" t="s">
        <v>74</v>
      </c>
      <c r="C869" s="5">
        <v>45618.0</v>
      </c>
      <c r="D869" s="1" t="s">
        <v>161</v>
      </c>
      <c r="E869" s="1" t="s">
        <v>11</v>
      </c>
      <c r="F869" s="1" t="s">
        <v>166</v>
      </c>
      <c r="H869" s="1">
        <v>0.0</v>
      </c>
      <c r="I869" s="1">
        <v>0.0</v>
      </c>
      <c r="J869" s="1">
        <v>0.0</v>
      </c>
      <c r="K869" s="1">
        <v>0.0</v>
      </c>
      <c r="L869" s="1">
        <v>0.0</v>
      </c>
      <c r="N869" s="1">
        <v>1.049999952</v>
      </c>
    </row>
    <row r="870" ht="15.75" customHeight="1">
      <c r="A870" s="1" t="s">
        <v>164</v>
      </c>
      <c r="B870" s="1" t="s">
        <v>82</v>
      </c>
      <c r="C870" s="5">
        <v>45618.0</v>
      </c>
      <c r="D870" s="1" t="s">
        <v>161</v>
      </c>
      <c r="E870" s="1" t="s">
        <v>11</v>
      </c>
      <c r="F870" s="1" t="s">
        <v>165</v>
      </c>
      <c r="H870" s="1">
        <v>0.0</v>
      </c>
      <c r="I870" s="1">
        <v>0.0</v>
      </c>
      <c r="J870" s="1">
        <v>0.0</v>
      </c>
      <c r="K870" s="1">
        <v>0.0</v>
      </c>
      <c r="L870" s="1">
        <v>1.0</v>
      </c>
      <c r="M870" s="1">
        <v>0.0</v>
      </c>
      <c r="N870" s="1">
        <v>4.079999924</v>
      </c>
    </row>
    <row r="871" ht="15.75" customHeight="1">
      <c r="A871" s="1" t="s">
        <v>160</v>
      </c>
      <c r="B871" s="1" t="s">
        <v>210</v>
      </c>
      <c r="C871" s="5">
        <v>45617.0</v>
      </c>
      <c r="D871" s="1" t="s">
        <v>161</v>
      </c>
      <c r="E871" s="1" t="s">
        <v>11</v>
      </c>
      <c r="F871" s="1" t="s">
        <v>162</v>
      </c>
      <c r="H871" s="1">
        <v>0.0</v>
      </c>
      <c r="I871" s="1">
        <v>0.0</v>
      </c>
      <c r="J871" s="1">
        <v>0.0</v>
      </c>
      <c r="K871" s="1">
        <v>0.0</v>
      </c>
      <c r="L871" s="1">
        <v>3.0</v>
      </c>
      <c r="M871" s="1">
        <v>0.0</v>
      </c>
      <c r="N871" s="1">
        <v>3.910000086</v>
      </c>
    </row>
    <row r="872" ht="15.75" customHeight="1">
      <c r="A872" s="1" t="s">
        <v>160</v>
      </c>
      <c r="B872" s="1" t="s">
        <v>56</v>
      </c>
      <c r="C872" s="5">
        <v>45617.0</v>
      </c>
      <c r="D872" s="1" t="s">
        <v>161</v>
      </c>
      <c r="E872" s="1" t="s">
        <v>11</v>
      </c>
      <c r="H872" s="1">
        <v>0.0</v>
      </c>
      <c r="J872" s="1">
        <v>0.0</v>
      </c>
      <c r="N872" s="1">
        <v>0.49000001</v>
      </c>
    </row>
    <row r="873" ht="15.75" customHeight="1">
      <c r="A873" s="1" t="s">
        <v>160</v>
      </c>
      <c r="B873" s="1" t="s">
        <v>211</v>
      </c>
      <c r="C873" s="5">
        <v>45617.0</v>
      </c>
      <c r="D873" s="1" t="s">
        <v>161</v>
      </c>
      <c r="E873" s="1" t="s">
        <v>11</v>
      </c>
      <c r="H873" s="1">
        <v>0.0</v>
      </c>
      <c r="J873" s="1">
        <v>0.0</v>
      </c>
      <c r="N873" s="1">
        <v>0.409999996</v>
      </c>
    </row>
    <row r="874" ht="15.75" customHeight="1">
      <c r="A874" s="1" t="s">
        <v>164</v>
      </c>
      <c r="B874" s="1" t="s">
        <v>60</v>
      </c>
      <c r="C874" s="5">
        <v>45617.0</v>
      </c>
      <c r="D874" s="1" t="s">
        <v>161</v>
      </c>
      <c r="E874" s="1" t="s">
        <v>11</v>
      </c>
      <c r="F874" s="1" t="s">
        <v>166</v>
      </c>
      <c r="H874" s="1">
        <v>0.0</v>
      </c>
      <c r="I874" s="1">
        <v>0.0</v>
      </c>
      <c r="J874" s="1">
        <v>0.0</v>
      </c>
      <c r="K874" s="1">
        <v>1.0</v>
      </c>
      <c r="L874" s="1">
        <v>2.0</v>
      </c>
      <c r="M874" s="1">
        <v>0.5</v>
      </c>
      <c r="N874" s="1">
        <v>5.1199998860000004</v>
      </c>
    </row>
    <row r="875" ht="15.75" customHeight="1">
      <c r="A875" s="1" t="s">
        <v>164</v>
      </c>
      <c r="B875" s="1" t="s">
        <v>63</v>
      </c>
      <c r="C875" s="5">
        <v>45617.0</v>
      </c>
      <c r="D875" s="1" t="s">
        <v>161</v>
      </c>
      <c r="E875" s="1" t="s">
        <v>11</v>
      </c>
      <c r="F875" s="1" t="s">
        <v>166</v>
      </c>
      <c r="G875" s="1" t="s">
        <v>172</v>
      </c>
      <c r="H875" s="1">
        <v>1.0</v>
      </c>
      <c r="I875" s="1">
        <v>1.0</v>
      </c>
      <c r="J875" s="1">
        <v>0.0</v>
      </c>
      <c r="K875" s="1">
        <v>8.0</v>
      </c>
      <c r="L875" s="1">
        <v>8.0</v>
      </c>
      <c r="M875" s="1">
        <v>1.0</v>
      </c>
      <c r="N875" s="1">
        <v>6.6199998860000004</v>
      </c>
    </row>
    <row r="876" ht="15.75" customHeight="1">
      <c r="A876" s="1" t="s">
        <v>164</v>
      </c>
      <c r="B876" s="1" t="s">
        <v>183</v>
      </c>
      <c r="C876" s="5">
        <v>45617.0</v>
      </c>
      <c r="D876" s="1" t="s">
        <v>161</v>
      </c>
      <c r="E876" s="1" t="s">
        <v>11</v>
      </c>
      <c r="F876" s="1" t="s">
        <v>166</v>
      </c>
      <c r="H876" s="1">
        <v>0.0</v>
      </c>
      <c r="I876" s="1">
        <v>0.0</v>
      </c>
      <c r="J876" s="1">
        <v>0.0</v>
      </c>
      <c r="K876" s="1">
        <v>4.0</v>
      </c>
      <c r="L876" s="1">
        <v>4.0</v>
      </c>
      <c r="M876" s="1">
        <v>1.0</v>
      </c>
      <c r="N876" s="1">
        <v>5.480000019</v>
      </c>
    </row>
    <row r="877" ht="15.75" customHeight="1">
      <c r="A877" s="1" t="s">
        <v>164</v>
      </c>
      <c r="B877" s="1" t="s">
        <v>205</v>
      </c>
      <c r="C877" s="5">
        <v>45617.0</v>
      </c>
      <c r="D877" s="1" t="s">
        <v>161</v>
      </c>
      <c r="E877" s="1" t="s">
        <v>11</v>
      </c>
      <c r="F877" s="1" t="s">
        <v>166</v>
      </c>
      <c r="H877" s="1">
        <v>0.0</v>
      </c>
      <c r="I877" s="1">
        <v>0.0</v>
      </c>
      <c r="J877" s="1">
        <v>0.0</v>
      </c>
      <c r="K877" s="1">
        <v>0.0</v>
      </c>
      <c r="L877" s="1">
        <v>1.0</v>
      </c>
      <c r="M877" s="1">
        <v>0.0</v>
      </c>
      <c r="N877" s="1">
        <v>4.699999809</v>
      </c>
    </row>
    <row r="878" ht="15.75" customHeight="1">
      <c r="A878" s="1" t="s">
        <v>164</v>
      </c>
      <c r="B878" s="1" t="s">
        <v>75</v>
      </c>
      <c r="C878" s="5">
        <v>45617.0</v>
      </c>
      <c r="D878" s="1" t="s">
        <v>161</v>
      </c>
      <c r="E878" s="1" t="s">
        <v>11</v>
      </c>
      <c r="F878" s="1" t="s">
        <v>165</v>
      </c>
      <c r="H878" s="1">
        <v>0.0</v>
      </c>
      <c r="I878" s="1">
        <v>0.0</v>
      </c>
      <c r="J878" s="1">
        <v>0.0</v>
      </c>
      <c r="K878" s="1">
        <v>5.0</v>
      </c>
      <c r="L878" s="1">
        <v>8.0</v>
      </c>
      <c r="M878" s="1">
        <v>0.625</v>
      </c>
      <c r="N878" s="1">
        <v>7.099999905</v>
      </c>
    </row>
    <row r="879" ht="15.75" customHeight="1">
      <c r="A879" s="1" t="s">
        <v>164</v>
      </c>
      <c r="B879" s="1" t="s">
        <v>82</v>
      </c>
      <c r="C879" s="5">
        <v>45617.0</v>
      </c>
      <c r="D879" s="1" t="s">
        <v>161</v>
      </c>
      <c r="E879" s="1" t="s">
        <v>11</v>
      </c>
      <c r="F879" s="1" t="s">
        <v>165</v>
      </c>
      <c r="H879" s="1">
        <v>0.0</v>
      </c>
      <c r="I879" s="1">
        <v>0.0</v>
      </c>
      <c r="J879" s="1">
        <v>0.0</v>
      </c>
      <c r="K879" s="1">
        <v>0.0</v>
      </c>
      <c r="L879" s="1">
        <v>1.0</v>
      </c>
      <c r="M879" s="1">
        <v>0.0</v>
      </c>
      <c r="N879" s="1">
        <v>6.940000057</v>
      </c>
    </row>
    <row r="880" ht="15.75" customHeight="1">
      <c r="A880" s="1" t="s">
        <v>160</v>
      </c>
      <c r="B880" s="1" t="s">
        <v>41</v>
      </c>
      <c r="C880" s="5">
        <v>45616.0</v>
      </c>
      <c r="D880" s="1" t="s">
        <v>161</v>
      </c>
      <c r="E880" s="1" t="s">
        <v>11</v>
      </c>
      <c r="F880" s="1" t="s">
        <v>162</v>
      </c>
      <c r="H880" s="1">
        <v>0.0</v>
      </c>
      <c r="I880" s="1">
        <v>0.0</v>
      </c>
      <c r="J880" s="1">
        <v>0.0</v>
      </c>
      <c r="K880" s="1">
        <v>0.0</v>
      </c>
      <c r="L880" s="1">
        <v>0.0</v>
      </c>
      <c r="N880" s="1">
        <v>0.730000019</v>
      </c>
    </row>
    <row r="881" ht="15.75" customHeight="1">
      <c r="A881" s="1" t="s">
        <v>160</v>
      </c>
      <c r="B881" s="1" t="s">
        <v>89</v>
      </c>
      <c r="C881" s="5">
        <v>45616.0</v>
      </c>
      <c r="D881" s="1" t="s">
        <v>161</v>
      </c>
      <c r="E881" s="1" t="s">
        <v>11</v>
      </c>
      <c r="H881" s="1">
        <v>0.0</v>
      </c>
      <c r="J881" s="1">
        <v>0.0</v>
      </c>
      <c r="N881" s="1">
        <v>0.360000014</v>
      </c>
    </row>
    <row r="882" ht="15.75" customHeight="1">
      <c r="A882" s="1" t="s">
        <v>160</v>
      </c>
      <c r="B882" s="1" t="s">
        <v>101</v>
      </c>
      <c r="C882" s="5">
        <v>45616.0</v>
      </c>
      <c r="D882" s="1" t="s">
        <v>161</v>
      </c>
      <c r="E882" s="1" t="s">
        <v>11</v>
      </c>
      <c r="H882" s="1">
        <v>0.0</v>
      </c>
      <c r="J882" s="1">
        <v>0.0</v>
      </c>
      <c r="N882" s="1">
        <v>0.5</v>
      </c>
    </row>
    <row r="883" ht="15.75" customHeight="1">
      <c r="A883" s="1" t="s">
        <v>164</v>
      </c>
      <c r="B883" s="1" t="s">
        <v>24</v>
      </c>
      <c r="C883" s="5">
        <v>45616.0</v>
      </c>
      <c r="D883" s="1" t="s">
        <v>161</v>
      </c>
      <c r="E883" s="1" t="s">
        <v>11</v>
      </c>
      <c r="F883" s="1" t="s">
        <v>166</v>
      </c>
      <c r="H883" s="1">
        <v>0.0</v>
      </c>
      <c r="I883" s="1">
        <v>0.0</v>
      </c>
      <c r="J883" s="1">
        <v>0.0</v>
      </c>
      <c r="K883" s="1">
        <v>0.0</v>
      </c>
      <c r="L883" s="1">
        <v>2.0</v>
      </c>
      <c r="M883" s="1">
        <v>0.0</v>
      </c>
      <c r="N883" s="1">
        <v>4.940000057</v>
      </c>
    </row>
    <row r="884" ht="15.75" customHeight="1">
      <c r="A884" s="1" t="s">
        <v>164</v>
      </c>
      <c r="B884" s="1" t="s">
        <v>52</v>
      </c>
      <c r="C884" s="5">
        <v>45616.0</v>
      </c>
      <c r="D884" s="1" t="s">
        <v>161</v>
      </c>
      <c r="E884" s="1" t="s">
        <v>11</v>
      </c>
      <c r="F884" s="1" t="s">
        <v>165</v>
      </c>
      <c r="H884" s="1">
        <v>0.0</v>
      </c>
      <c r="I884" s="1">
        <v>0.0</v>
      </c>
      <c r="J884" s="1">
        <v>0.0</v>
      </c>
      <c r="K884" s="1">
        <v>0.0</v>
      </c>
      <c r="L884" s="1">
        <v>0.0</v>
      </c>
      <c r="N884" s="1">
        <v>0.460000008</v>
      </c>
    </row>
    <row r="885" ht="15.75" customHeight="1">
      <c r="A885" s="1" t="s">
        <v>164</v>
      </c>
      <c r="B885" s="1" t="s">
        <v>60</v>
      </c>
      <c r="C885" s="5">
        <v>45616.0</v>
      </c>
      <c r="D885" s="1" t="s">
        <v>161</v>
      </c>
      <c r="E885" s="1" t="s">
        <v>11</v>
      </c>
      <c r="F885" s="1" t="s">
        <v>166</v>
      </c>
      <c r="H885" s="1">
        <v>0.0</v>
      </c>
      <c r="I885" s="1">
        <v>0.0</v>
      </c>
      <c r="J885" s="1">
        <v>0.0</v>
      </c>
      <c r="K885" s="1">
        <v>0.0</v>
      </c>
      <c r="L885" s="1">
        <v>0.0</v>
      </c>
      <c r="N885" s="1">
        <v>1.779999971</v>
      </c>
    </row>
    <row r="886" ht="15.75" customHeight="1">
      <c r="A886" s="1" t="s">
        <v>164</v>
      </c>
      <c r="B886" s="1" t="s">
        <v>63</v>
      </c>
      <c r="C886" s="5">
        <v>45616.0</v>
      </c>
      <c r="D886" s="1" t="s">
        <v>161</v>
      </c>
      <c r="E886" s="1" t="s">
        <v>11</v>
      </c>
      <c r="F886" s="1" t="s">
        <v>166</v>
      </c>
      <c r="H886" s="1">
        <v>0.0</v>
      </c>
      <c r="I886" s="1">
        <v>0.0</v>
      </c>
      <c r="J886" s="1">
        <v>0.0</v>
      </c>
      <c r="K886" s="1">
        <v>3.0</v>
      </c>
      <c r="L886" s="1">
        <v>4.0</v>
      </c>
      <c r="M886" s="1">
        <v>0.75</v>
      </c>
      <c r="N886" s="1">
        <v>8.170000076</v>
      </c>
    </row>
    <row r="887" ht="15.75" customHeight="1">
      <c r="A887" s="1" t="s">
        <v>164</v>
      </c>
      <c r="B887" s="1" t="s">
        <v>183</v>
      </c>
      <c r="C887" s="5">
        <v>45616.0</v>
      </c>
      <c r="D887" s="1" t="s">
        <v>161</v>
      </c>
      <c r="E887" s="1" t="s">
        <v>11</v>
      </c>
      <c r="F887" s="1" t="s">
        <v>166</v>
      </c>
      <c r="H887" s="1">
        <v>0.0</v>
      </c>
      <c r="I887" s="1">
        <v>0.0</v>
      </c>
      <c r="J887" s="1">
        <v>0.0</v>
      </c>
      <c r="K887" s="1">
        <v>3.0</v>
      </c>
      <c r="L887" s="1">
        <v>5.0</v>
      </c>
      <c r="M887" s="1">
        <v>0.6</v>
      </c>
      <c r="N887" s="1">
        <v>4.3800001139999996</v>
      </c>
    </row>
    <row r="888" ht="15.75" customHeight="1">
      <c r="A888" s="1" t="s">
        <v>164</v>
      </c>
      <c r="B888" s="1" t="s">
        <v>68</v>
      </c>
      <c r="C888" s="5">
        <v>45616.0</v>
      </c>
      <c r="D888" s="1" t="s">
        <v>161</v>
      </c>
      <c r="E888" s="1" t="s">
        <v>11</v>
      </c>
      <c r="F888" s="1" t="s">
        <v>165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N888" s="1">
        <v>4.079999924</v>
      </c>
    </row>
    <row r="889" ht="15.75" customHeight="1">
      <c r="A889" s="1" t="s">
        <v>164</v>
      </c>
      <c r="B889" s="1" t="s">
        <v>75</v>
      </c>
      <c r="C889" s="5">
        <v>45616.0</v>
      </c>
      <c r="D889" s="1" t="s">
        <v>161</v>
      </c>
      <c r="E889" s="1" t="s">
        <v>11</v>
      </c>
      <c r="F889" s="1" t="s">
        <v>165</v>
      </c>
      <c r="H889" s="1">
        <v>0.0</v>
      </c>
      <c r="I889" s="1">
        <v>0.0</v>
      </c>
      <c r="J889" s="1">
        <v>0.0</v>
      </c>
      <c r="K889" s="1">
        <v>1.0</v>
      </c>
      <c r="L889" s="1">
        <v>1.0</v>
      </c>
      <c r="M889" s="1">
        <v>1.0</v>
      </c>
      <c r="N889" s="1">
        <v>3.640000105</v>
      </c>
    </row>
    <row r="890" ht="15.75" customHeight="1">
      <c r="A890" s="1" t="s">
        <v>164</v>
      </c>
      <c r="B890" s="1" t="s">
        <v>100</v>
      </c>
      <c r="C890" s="5">
        <v>45616.0</v>
      </c>
      <c r="D890" s="1" t="s">
        <v>161</v>
      </c>
      <c r="E890" s="1" t="s">
        <v>11</v>
      </c>
      <c r="F890" s="1" t="s">
        <v>171</v>
      </c>
      <c r="H890" s="1">
        <v>0.0</v>
      </c>
      <c r="I890" s="1">
        <v>0.0</v>
      </c>
      <c r="J890" s="1">
        <v>0.0</v>
      </c>
      <c r="K890" s="1">
        <v>1.0</v>
      </c>
      <c r="L890" s="1">
        <v>1.0</v>
      </c>
      <c r="M890" s="1">
        <v>1.0</v>
      </c>
      <c r="N890" s="1">
        <v>1.029999971</v>
      </c>
    </row>
    <row r="891" ht="15.75" customHeight="1">
      <c r="A891" s="1" t="s">
        <v>164</v>
      </c>
      <c r="B891" s="1" t="s">
        <v>82</v>
      </c>
      <c r="C891" s="5">
        <v>45616.0</v>
      </c>
      <c r="D891" s="1" t="s">
        <v>161</v>
      </c>
      <c r="E891" s="1" t="s">
        <v>11</v>
      </c>
      <c r="F891" s="1" t="s">
        <v>165</v>
      </c>
      <c r="H891" s="1">
        <v>0.0</v>
      </c>
      <c r="I891" s="1">
        <v>0.0</v>
      </c>
      <c r="J891" s="1">
        <v>0.0</v>
      </c>
      <c r="K891" s="1">
        <v>0.0</v>
      </c>
      <c r="L891" s="1">
        <v>6.0</v>
      </c>
      <c r="M891" s="1">
        <v>0.0</v>
      </c>
      <c r="N891" s="1">
        <v>8.489999771</v>
      </c>
    </row>
    <row r="892" ht="15.75" customHeight="1">
      <c r="A892" s="1" t="s">
        <v>160</v>
      </c>
      <c r="B892" s="1" t="s">
        <v>212</v>
      </c>
      <c r="C892" s="5">
        <v>45615.0</v>
      </c>
      <c r="D892" s="1" t="s">
        <v>161</v>
      </c>
      <c r="E892" s="1" t="s">
        <v>11</v>
      </c>
      <c r="H892" s="1">
        <v>0.0</v>
      </c>
      <c r="J892" s="1">
        <v>0.0</v>
      </c>
      <c r="N892" s="1">
        <v>0.330000013</v>
      </c>
    </row>
    <row r="893" ht="15.75" customHeight="1">
      <c r="A893" s="1" t="s">
        <v>160</v>
      </c>
      <c r="B893" s="1" t="s">
        <v>18</v>
      </c>
      <c r="C893" s="5">
        <v>45615.0</v>
      </c>
      <c r="D893" s="1" t="s">
        <v>161</v>
      </c>
      <c r="E893" s="1" t="s">
        <v>11</v>
      </c>
      <c r="F893" s="1" t="s">
        <v>162</v>
      </c>
      <c r="H893" s="1">
        <v>0.0</v>
      </c>
      <c r="I893" s="1">
        <v>0.0</v>
      </c>
      <c r="J893" s="1">
        <v>0.0</v>
      </c>
      <c r="K893" s="1">
        <v>0.0</v>
      </c>
      <c r="L893" s="1">
        <v>0.0</v>
      </c>
      <c r="N893" s="1">
        <v>0.07</v>
      </c>
    </row>
    <row r="894" ht="15.75" customHeight="1">
      <c r="A894" s="1" t="s">
        <v>160</v>
      </c>
      <c r="B894" s="1" t="s">
        <v>20</v>
      </c>
      <c r="C894" s="5">
        <v>45615.0</v>
      </c>
      <c r="D894" s="1" t="s">
        <v>161</v>
      </c>
      <c r="E894" s="1" t="s">
        <v>11</v>
      </c>
      <c r="H894" s="1">
        <v>0.0</v>
      </c>
      <c r="J894" s="1">
        <v>0.0</v>
      </c>
      <c r="N894" s="1">
        <v>0.479999989</v>
      </c>
    </row>
    <row r="895" ht="15.75" customHeight="1">
      <c r="A895" s="1" t="s">
        <v>160</v>
      </c>
      <c r="B895" s="1" t="s">
        <v>54</v>
      </c>
      <c r="C895" s="5">
        <v>45615.0</v>
      </c>
      <c r="D895" s="1" t="s">
        <v>161</v>
      </c>
      <c r="E895" s="1" t="s">
        <v>11</v>
      </c>
      <c r="H895" s="1">
        <v>0.0</v>
      </c>
      <c r="J895" s="1">
        <v>0.0</v>
      </c>
      <c r="N895" s="1">
        <v>0.150000006</v>
      </c>
    </row>
    <row r="896" ht="15.75" customHeight="1">
      <c r="A896" s="1" t="s">
        <v>160</v>
      </c>
      <c r="B896" s="1" t="s">
        <v>32</v>
      </c>
      <c r="C896" s="5">
        <v>45615.0</v>
      </c>
      <c r="D896" s="1" t="s">
        <v>161</v>
      </c>
      <c r="E896" s="1" t="s">
        <v>11</v>
      </c>
      <c r="F896" s="1" t="s">
        <v>165</v>
      </c>
      <c r="H896" s="1">
        <v>0.0</v>
      </c>
      <c r="I896" s="1">
        <v>0.0</v>
      </c>
      <c r="J896" s="1">
        <v>0.0</v>
      </c>
      <c r="K896" s="1">
        <v>0.0</v>
      </c>
      <c r="L896" s="1">
        <v>0.0</v>
      </c>
      <c r="N896" s="1">
        <v>0.059999999</v>
      </c>
    </row>
    <row r="897" ht="15.75" customHeight="1">
      <c r="A897" s="1" t="s">
        <v>160</v>
      </c>
      <c r="B897" s="1" t="s">
        <v>69</v>
      </c>
      <c r="C897" s="5">
        <v>45615.0</v>
      </c>
      <c r="D897" s="1" t="s">
        <v>161</v>
      </c>
      <c r="E897" s="1" t="s">
        <v>11</v>
      </c>
      <c r="H897" s="1">
        <v>0.0</v>
      </c>
      <c r="J897" s="1">
        <v>0.0</v>
      </c>
      <c r="N897" s="1">
        <v>0.75</v>
      </c>
    </row>
    <row r="898" ht="15.75" customHeight="1">
      <c r="A898" s="1" t="s">
        <v>160</v>
      </c>
      <c r="B898" s="1" t="s">
        <v>94</v>
      </c>
      <c r="C898" s="5">
        <v>45615.0</v>
      </c>
      <c r="D898" s="1" t="s">
        <v>161</v>
      </c>
      <c r="E898" s="1" t="s">
        <v>11</v>
      </c>
      <c r="H898" s="1">
        <v>0.0</v>
      </c>
      <c r="J898" s="1">
        <v>0.0</v>
      </c>
      <c r="N898" s="1">
        <v>0.100000001</v>
      </c>
    </row>
    <row r="899" ht="15.75" customHeight="1">
      <c r="A899" s="1" t="s">
        <v>164</v>
      </c>
      <c r="B899" s="1" t="s">
        <v>22</v>
      </c>
      <c r="C899" s="5">
        <v>45615.0</v>
      </c>
      <c r="D899" s="1" t="s">
        <v>161</v>
      </c>
      <c r="E899" s="1" t="s">
        <v>11</v>
      </c>
      <c r="F899" s="1" t="s">
        <v>166</v>
      </c>
      <c r="H899" s="1">
        <v>0.0</v>
      </c>
      <c r="I899" s="1">
        <v>0.0</v>
      </c>
      <c r="J899" s="1">
        <v>0.0</v>
      </c>
      <c r="K899" s="1">
        <v>2.0</v>
      </c>
      <c r="L899" s="1">
        <v>5.0</v>
      </c>
      <c r="M899" s="1">
        <v>0.4</v>
      </c>
      <c r="N899" s="1">
        <v>11.23999977</v>
      </c>
    </row>
    <row r="900" ht="15.75" customHeight="1">
      <c r="A900" s="1" t="s">
        <v>164</v>
      </c>
      <c r="B900" s="1" t="s">
        <v>35</v>
      </c>
      <c r="C900" s="5">
        <v>45615.0</v>
      </c>
      <c r="D900" s="1" t="s">
        <v>161</v>
      </c>
      <c r="E900" s="1" t="s">
        <v>11</v>
      </c>
      <c r="H900" s="1">
        <v>0.0</v>
      </c>
      <c r="J900" s="1">
        <v>0.0</v>
      </c>
      <c r="N900" s="1">
        <v>0.150000006</v>
      </c>
    </row>
    <row r="901" ht="15.75" customHeight="1">
      <c r="A901" s="1" t="s">
        <v>164</v>
      </c>
      <c r="B901" s="1" t="s">
        <v>24</v>
      </c>
      <c r="C901" s="5">
        <v>45615.0</v>
      </c>
      <c r="D901" s="1" t="s">
        <v>161</v>
      </c>
      <c r="E901" s="1" t="s">
        <v>11</v>
      </c>
      <c r="H901" s="1">
        <v>0.0</v>
      </c>
      <c r="J901" s="1">
        <v>0.0</v>
      </c>
      <c r="N901" s="1">
        <v>0.119999997</v>
      </c>
    </row>
    <row r="902" ht="15.75" customHeight="1">
      <c r="A902" s="1" t="s">
        <v>164</v>
      </c>
      <c r="B902" s="1" t="s">
        <v>52</v>
      </c>
      <c r="C902" s="5">
        <v>45615.0</v>
      </c>
      <c r="D902" s="1" t="s">
        <v>161</v>
      </c>
      <c r="E902" s="1" t="s">
        <v>11</v>
      </c>
      <c r="F902" s="1" t="s">
        <v>165</v>
      </c>
      <c r="H902" s="1">
        <v>0.0</v>
      </c>
      <c r="I902" s="1">
        <v>0.0</v>
      </c>
      <c r="J902" s="1">
        <v>0.0</v>
      </c>
      <c r="K902" s="1">
        <v>6.0</v>
      </c>
      <c r="L902" s="1">
        <v>10.0</v>
      </c>
      <c r="M902" s="1">
        <v>0.6</v>
      </c>
      <c r="N902" s="1">
        <v>8.619999886</v>
      </c>
    </row>
    <row r="903" ht="15.75" customHeight="1">
      <c r="A903" s="1" t="s">
        <v>164</v>
      </c>
      <c r="B903" s="1" t="s">
        <v>55</v>
      </c>
      <c r="C903" s="5">
        <v>45615.0</v>
      </c>
      <c r="D903" s="1" t="s">
        <v>161</v>
      </c>
      <c r="E903" s="1" t="s">
        <v>11</v>
      </c>
      <c r="H903" s="1">
        <v>0.0</v>
      </c>
      <c r="J903" s="1">
        <v>0.0</v>
      </c>
      <c r="N903" s="1">
        <v>0.270000011</v>
      </c>
    </row>
    <row r="904" ht="15.75" customHeight="1">
      <c r="A904" s="1" t="s">
        <v>164</v>
      </c>
      <c r="B904" s="1" t="s">
        <v>213</v>
      </c>
      <c r="C904" s="5">
        <v>45615.0</v>
      </c>
      <c r="D904" s="1" t="s">
        <v>161</v>
      </c>
      <c r="E904" s="1" t="s">
        <v>11</v>
      </c>
      <c r="H904" s="1">
        <v>0.0</v>
      </c>
      <c r="J904" s="1">
        <v>0.0</v>
      </c>
      <c r="N904" s="1">
        <v>0.219999999</v>
      </c>
    </row>
    <row r="905" ht="15.75" customHeight="1">
      <c r="A905" s="1" t="s">
        <v>164</v>
      </c>
      <c r="B905" s="1" t="s">
        <v>60</v>
      </c>
      <c r="C905" s="5">
        <v>45615.0</v>
      </c>
      <c r="D905" s="1" t="s">
        <v>161</v>
      </c>
      <c r="E905" s="1" t="s">
        <v>11</v>
      </c>
      <c r="F905" s="1" t="s">
        <v>166</v>
      </c>
      <c r="H905" s="1">
        <v>0.0</v>
      </c>
      <c r="I905" s="1">
        <v>0.0</v>
      </c>
      <c r="J905" s="1">
        <v>0.0</v>
      </c>
      <c r="K905" s="1">
        <v>2.0</v>
      </c>
      <c r="L905" s="1">
        <v>5.0</v>
      </c>
      <c r="M905" s="1">
        <v>0.4</v>
      </c>
      <c r="N905" s="1">
        <v>4.519999981</v>
      </c>
    </row>
    <row r="906" ht="15.75" customHeight="1">
      <c r="A906" s="1" t="s">
        <v>164</v>
      </c>
      <c r="B906" s="1" t="s">
        <v>63</v>
      </c>
      <c r="C906" s="5">
        <v>45615.0</v>
      </c>
      <c r="D906" s="1" t="s">
        <v>161</v>
      </c>
      <c r="E906" s="1" t="s">
        <v>11</v>
      </c>
      <c r="F906" s="1" t="s">
        <v>166</v>
      </c>
      <c r="G906" s="1" t="s">
        <v>172</v>
      </c>
      <c r="H906" s="1">
        <v>1.0</v>
      </c>
      <c r="I906" s="1">
        <v>0.0</v>
      </c>
      <c r="J906" s="1">
        <v>0.0</v>
      </c>
      <c r="K906" s="1">
        <v>5.0</v>
      </c>
      <c r="L906" s="1">
        <v>7.0</v>
      </c>
      <c r="M906" s="1">
        <v>0.714285714</v>
      </c>
      <c r="N906" s="1">
        <v>5.269999981</v>
      </c>
    </row>
    <row r="907" ht="15.75" customHeight="1">
      <c r="A907" s="1" t="s">
        <v>164</v>
      </c>
      <c r="B907" s="1" t="s">
        <v>183</v>
      </c>
      <c r="C907" s="5">
        <v>45615.0</v>
      </c>
      <c r="D907" s="1" t="s">
        <v>161</v>
      </c>
      <c r="E907" s="1" t="s">
        <v>11</v>
      </c>
      <c r="F907" s="1" t="s">
        <v>166</v>
      </c>
      <c r="H907" s="1">
        <v>0.0</v>
      </c>
      <c r="I907" s="1">
        <v>1.0</v>
      </c>
      <c r="J907" s="1">
        <v>0.0</v>
      </c>
      <c r="K907" s="1">
        <v>6.0</v>
      </c>
      <c r="L907" s="1">
        <v>8.0</v>
      </c>
      <c r="M907" s="1">
        <v>0.75</v>
      </c>
      <c r="N907" s="1">
        <v>2.5599999430000002</v>
      </c>
    </row>
    <row r="908" ht="15.75" customHeight="1">
      <c r="A908" s="1" t="s">
        <v>164</v>
      </c>
      <c r="B908" s="1" t="s">
        <v>74</v>
      </c>
      <c r="C908" s="5">
        <v>45615.0</v>
      </c>
      <c r="D908" s="1" t="s">
        <v>161</v>
      </c>
      <c r="E908" s="1" t="s">
        <v>11</v>
      </c>
      <c r="F908" s="1" t="s">
        <v>166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N908" s="1">
        <v>1.149999976</v>
      </c>
    </row>
    <row r="909" ht="15.75" customHeight="1">
      <c r="A909" s="1" t="s">
        <v>164</v>
      </c>
      <c r="B909" s="1" t="s">
        <v>205</v>
      </c>
      <c r="C909" s="5">
        <v>45615.0</v>
      </c>
      <c r="D909" s="1" t="s">
        <v>161</v>
      </c>
      <c r="E909" s="1" t="s">
        <v>11</v>
      </c>
      <c r="F909" s="1" t="s">
        <v>166</v>
      </c>
      <c r="H909" s="1">
        <v>0.0</v>
      </c>
      <c r="I909" s="1">
        <v>0.0</v>
      </c>
      <c r="J909" s="1">
        <v>0.0</v>
      </c>
      <c r="K909" s="1">
        <v>3.0</v>
      </c>
      <c r="L909" s="1">
        <v>4.0</v>
      </c>
      <c r="M909" s="1">
        <v>0.75</v>
      </c>
      <c r="N909" s="1">
        <v>5.199999809</v>
      </c>
    </row>
    <row r="910" ht="15.75" customHeight="1">
      <c r="A910" s="1" t="s">
        <v>164</v>
      </c>
      <c r="B910" s="1" t="s">
        <v>75</v>
      </c>
      <c r="C910" s="5">
        <v>45615.0</v>
      </c>
      <c r="D910" s="1" t="s">
        <v>161</v>
      </c>
      <c r="E910" s="1" t="s">
        <v>11</v>
      </c>
      <c r="F910" s="1" t="s">
        <v>165</v>
      </c>
      <c r="H910" s="1">
        <v>0.0</v>
      </c>
      <c r="I910" s="1">
        <v>0.0</v>
      </c>
      <c r="J910" s="1">
        <v>0.0</v>
      </c>
      <c r="K910" s="1">
        <v>2.0</v>
      </c>
      <c r="L910" s="1">
        <v>11.0</v>
      </c>
      <c r="M910" s="1">
        <v>0.181818182</v>
      </c>
      <c r="N910" s="1">
        <v>5.3800001139999996</v>
      </c>
    </row>
    <row r="911" ht="15.75" customHeight="1">
      <c r="A911" s="1" t="s">
        <v>164</v>
      </c>
      <c r="B911" s="1" t="s">
        <v>82</v>
      </c>
      <c r="C911" s="5">
        <v>45615.0</v>
      </c>
      <c r="D911" s="1" t="s">
        <v>161</v>
      </c>
      <c r="E911" s="1" t="s">
        <v>11</v>
      </c>
      <c r="H911" s="1">
        <v>0.0</v>
      </c>
      <c r="J911" s="1">
        <v>0.0</v>
      </c>
      <c r="N911" s="1">
        <v>0.050000001</v>
      </c>
    </row>
    <row r="912" ht="15.75" customHeight="1">
      <c r="A912" s="1" t="s">
        <v>180</v>
      </c>
      <c r="B912" s="1" t="s">
        <v>214</v>
      </c>
      <c r="C912" s="5">
        <v>45615.0</v>
      </c>
      <c r="D912" s="1" t="s">
        <v>161</v>
      </c>
      <c r="E912" s="1" t="s">
        <v>11</v>
      </c>
      <c r="H912" s="1">
        <v>0.0</v>
      </c>
      <c r="J912" s="1">
        <v>0.0</v>
      </c>
      <c r="N912" s="1">
        <v>3.950000048</v>
      </c>
    </row>
    <row r="913" ht="15.75" customHeight="1">
      <c r="A913" s="1" t="s">
        <v>160</v>
      </c>
      <c r="B913" s="1" t="s">
        <v>95</v>
      </c>
      <c r="C913" s="5">
        <v>45614.0</v>
      </c>
      <c r="D913" s="1" t="s">
        <v>161</v>
      </c>
      <c r="E913" s="1" t="s">
        <v>11</v>
      </c>
      <c r="F913" s="1" t="s">
        <v>165</v>
      </c>
      <c r="H913" s="1">
        <v>0.0</v>
      </c>
      <c r="I913" s="1">
        <v>0.0</v>
      </c>
      <c r="J913" s="1">
        <v>0.0</v>
      </c>
      <c r="K913" s="1">
        <v>0.0</v>
      </c>
      <c r="L913" s="1">
        <v>0.0</v>
      </c>
      <c r="N913" s="1">
        <v>0.589999974</v>
      </c>
    </row>
    <row r="914" ht="15.75" customHeight="1">
      <c r="A914" s="1" t="s">
        <v>164</v>
      </c>
      <c r="B914" s="1" t="s">
        <v>22</v>
      </c>
      <c r="C914" s="5">
        <v>45614.0</v>
      </c>
      <c r="D914" s="1" t="s">
        <v>161</v>
      </c>
      <c r="E914" s="1" t="s">
        <v>11</v>
      </c>
      <c r="F914" s="1" t="s">
        <v>166</v>
      </c>
      <c r="H914" s="1">
        <v>0.0</v>
      </c>
      <c r="I914" s="1">
        <v>0.0</v>
      </c>
      <c r="J914" s="1">
        <v>0.0</v>
      </c>
      <c r="K914" s="1">
        <v>3.0</v>
      </c>
      <c r="L914" s="1">
        <v>5.0</v>
      </c>
      <c r="M914" s="1">
        <v>0.6</v>
      </c>
      <c r="N914" s="1">
        <v>12.64000034</v>
      </c>
    </row>
    <row r="915" ht="15.75" customHeight="1">
      <c r="A915" s="1" t="s">
        <v>164</v>
      </c>
      <c r="B915" s="1" t="s">
        <v>24</v>
      </c>
      <c r="C915" s="5">
        <v>45614.0</v>
      </c>
      <c r="D915" s="1" t="s">
        <v>161</v>
      </c>
      <c r="E915" s="1" t="s">
        <v>11</v>
      </c>
      <c r="F915" s="1" t="s">
        <v>166</v>
      </c>
      <c r="H915" s="1">
        <v>0.0</v>
      </c>
      <c r="I915" s="1">
        <v>0.0</v>
      </c>
      <c r="J915" s="1">
        <v>0.0</v>
      </c>
      <c r="K915" s="1">
        <v>1.0</v>
      </c>
      <c r="L915" s="1">
        <v>4.0</v>
      </c>
      <c r="M915" s="1">
        <v>0.25</v>
      </c>
      <c r="N915" s="1">
        <v>9.960000038</v>
      </c>
    </row>
    <row r="916" ht="15.75" customHeight="1">
      <c r="A916" s="1" t="s">
        <v>164</v>
      </c>
      <c r="B916" s="1" t="s">
        <v>52</v>
      </c>
      <c r="C916" s="5">
        <v>45614.0</v>
      </c>
      <c r="D916" s="1" t="s">
        <v>161</v>
      </c>
      <c r="E916" s="1" t="s">
        <v>11</v>
      </c>
      <c r="F916" s="1" t="s">
        <v>165</v>
      </c>
      <c r="H916" s="1">
        <v>0.0</v>
      </c>
      <c r="I916" s="1">
        <v>0.0</v>
      </c>
      <c r="J916" s="1">
        <v>0.0</v>
      </c>
      <c r="K916" s="1">
        <v>5.0</v>
      </c>
      <c r="L916" s="1">
        <v>6.0</v>
      </c>
      <c r="M916" s="1">
        <v>0.833333333</v>
      </c>
      <c r="N916" s="1">
        <v>6.510000229</v>
      </c>
    </row>
    <row r="917" ht="15.75" customHeight="1">
      <c r="A917" s="1" t="s">
        <v>164</v>
      </c>
      <c r="B917" s="1" t="s">
        <v>63</v>
      </c>
      <c r="C917" s="5">
        <v>45614.0</v>
      </c>
      <c r="D917" s="1" t="s">
        <v>161</v>
      </c>
      <c r="E917" s="1" t="s">
        <v>11</v>
      </c>
      <c r="F917" s="1" t="s">
        <v>166</v>
      </c>
      <c r="G917" s="1" t="s">
        <v>172</v>
      </c>
      <c r="H917" s="1">
        <v>1.0</v>
      </c>
      <c r="I917" s="1">
        <v>0.0</v>
      </c>
      <c r="J917" s="1">
        <v>0.0</v>
      </c>
      <c r="K917" s="1">
        <v>8.0</v>
      </c>
      <c r="L917" s="1">
        <v>11.0</v>
      </c>
      <c r="M917" s="1">
        <v>0.727272727</v>
      </c>
      <c r="N917" s="1">
        <v>5.449999809</v>
      </c>
    </row>
    <row r="918" ht="15.75" customHeight="1">
      <c r="A918" s="1" t="s">
        <v>164</v>
      </c>
      <c r="B918" s="1" t="s">
        <v>183</v>
      </c>
      <c r="C918" s="5">
        <v>45614.0</v>
      </c>
      <c r="D918" s="1" t="s">
        <v>161</v>
      </c>
      <c r="E918" s="1" t="s">
        <v>11</v>
      </c>
      <c r="F918" s="1" t="s">
        <v>166</v>
      </c>
      <c r="H918" s="1">
        <v>0.0</v>
      </c>
      <c r="I918" s="1">
        <v>1.0</v>
      </c>
      <c r="J918" s="1">
        <v>0.0</v>
      </c>
      <c r="K918" s="1">
        <v>11.0</v>
      </c>
      <c r="L918" s="1">
        <v>14.0</v>
      </c>
      <c r="M918" s="1">
        <v>0.785714286</v>
      </c>
      <c r="N918" s="1">
        <v>7.659999847</v>
      </c>
    </row>
    <row r="919" ht="15.75" customHeight="1">
      <c r="A919" s="1" t="s">
        <v>164</v>
      </c>
      <c r="B919" s="1" t="s">
        <v>68</v>
      </c>
      <c r="C919" s="5">
        <v>45614.0</v>
      </c>
      <c r="D919" s="1" t="s">
        <v>161</v>
      </c>
      <c r="E919" s="1" t="s">
        <v>11</v>
      </c>
      <c r="F919" s="1" t="s">
        <v>165</v>
      </c>
      <c r="H919" s="1">
        <v>0.0</v>
      </c>
      <c r="I919" s="1">
        <v>1.0</v>
      </c>
      <c r="J919" s="1">
        <v>0.0</v>
      </c>
      <c r="K919" s="1">
        <v>6.0</v>
      </c>
      <c r="L919" s="1">
        <v>7.0</v>
      </c>
      <c r="M919" s="1">
        <v>0.857142857</v>
      </c>
      <c r="N919" s="1">
        <v>5.059999943</v>
      </c>
    </row>
    <row r="920" ht="15.75" customHeight="1">
      <c r="A920" s="1" t="s">
        <v>164</v>
      </c>
      <c r="B920" s="1" t="s">
        <v>75</v>
      </c>
      <c r="C920" s="5">
        <v>45614.0</v>
      </c>
      <c r="D920" s="1" t="s">
        <v>161</v>
      </c>
      <c r="E920" s="1" t="s">
        <v>11</v>
      </c>
      <c r="F920" s="1" t="s">
        <v>165</v>
      </c>
      <c r="H920" s="1">
        <v>0.0</v>
      </c>
      <c r="I920" s="1">
        <v>0.0</v>
      </c>
      <c r="J920" s="1">
        <v>0.0</v>
      </c>
      <c r="K920" s="1">
        <v>7.0</v>
      </c>
      <c r="L920" s="1">
        <v>9.0</v>
      </c>
      <c r="M920" s="1">
        <v>0.777777778</v>
      </c>
      <c r="N920" s="1">
        <v>8.659999847</v>
      </c>
    </row>
    <row r="921" ht="15.75" customHeight="1">
      <c r="A921" s="1" t="s">
        <v>164</v>
      </c>
      <c r="B921" s="1" t="s">
        <v>100</v>
      </c>
      <c r="C921" s="5">
        <v>45614.0</v>
      </c>
      <c r="D921" s="1" t="s">
        <v>161</v>
      </c>
      <c r="E921" s="1" t="s">
        <v>11</v>
      </c>
      <c r="F921" s="1" t="s">
        <v>171</v>
      </c>
      <c r="G921" s="1" t="s">
        <v>172</v>
      </c>
      <c r="H921" s="1">
        <v>1.0</v>
      </c>
      <c r="I921" s="1">
        <v>0.0</v>
      </c>
      <c r="J921" s="1">
        <v>0.0</v>
      </c>
      <c r="K921" s="1">
        <v>3.0</v>
      </c>
      <c r="L921" s="1">
        <v>6.0</v>
      </c>
      <c r="M921" s="1">
        <v>0.5</v>
      </c>
      <c r="N921" s="1">
        <v>5.03000021</v>
      </c>
    </row>
    <row r="922" ht="15.75" customHeight="1">
      <c r="A922" s="1" t="s">
        <v>164</v>
      </c>
      <c r="B922" s="1" t="s">
        <v>82</v>
      </c>
      <c r="C922" s="5">
        <v>45614.0</v>
      </c>
      <c r="D922" s="1" t="s">
        <v>161</v>
      </c>
      <c r="E922" s="1" t="s">
        <v>11</v>
      </c>
      <c r="F922" s="1" t="s">
        <v>165</v>
      </c>
      <c r="H922" s="1">
        <v>0.0</v>
      </c>
      <c r="I922" s="1">
        <v>0.0</v>
      </c>
      <c r="J922" s="1">
        <v>0.0</v>
      </c>
      <c r="K922" s="1">
        <v>0.0</v>
      </c>
      <c r="L922" s="1">
        <v>3.0</v>
      </c>
      <c r="M922" s="1">
        <v>0.0</v>
      </c>
      <c r="N922" s="1">
        <v>9.260000229</v>
      </c>
    </row>
    <row r="923" ht="15.75" customHeight="1">
      <c r="A923" s="1" t="s">
        <v>164</v>
      </c>
      <c r="B923" s="1" t="s">
        <v>60</v>
      </c>
      <c r="C923" s="5">
        <v>45613.0</v>
      </c>
      <c r="D923" s="1" t="s">
        <v>161</v>
      </c>
      <c r="E923" s="1" t="s">
        <v>11</v>
      </c>
      <c r="H923" s="1">
        <v>0.0</v>
      </c>
      <c r="J923" s="1">
        <v>0.0</v>
      </c>
      <c r="N923" s="1">
        <v>0.029999999</v>
      </c>
    </row>
    <row r="924" ht="15.75" customHeight="1">
      <c r="A924" s="1" t="s">
        <v>164</v>
      </c>
      <c r="B924" s="1" t="s">
        <v>183</v>
      </c>
      <c r="C924" s="5">
        <v>45612.0</v>
      </c>
      <c r="D924" s="1" t="s">
        <v>161</v>
      </c>
      <c r="E924" s="1" t="s">
        <v>11</v>
      </c>
      <c r="F924" s="1" t="s">
        <v>166</v>
      </c>
      <c r="H924" s="1">
        <v>0.0</v>
      </c>
      <c r="I924" s="1">
        <v>0.0</v>
      </c>
      <c r="J924" s="1">
        <v>0.0</v>
      </c>
      <c r="K924" s="1">
        <v>5.0</v>
      </c>
      <c r="L924" s="1">
        <v>5.0</v>
      </c>
      <c r="M924" s="1">
        <v>1.0</v>
      </c>
      <c r="N924" s="1">
        <v>7.150000095</v>
      </c>
    </row>
    <row r="925" ht="15.75" customHeight="1">
      <c r="A925" s="1" t="s">
        <v>164</v>
      </c>
      <c r="B925" s="1" t="s">
        <v>75</v>
      </c>
      <c r="C925" s="5">
        <v>45612.0</v>
      </c>
      <c r="D925" s="1" t="s">
        <v>161</v>
      </c>
      <c r="E925" s="1" t="s">
        <v>11</v>
      </c>
      <c r="H925" s="1">
        <v>0.0</v>
      </c>
      <c r="J925" s="1">
        <v>0.0</v>
      </c>
      <c r="N925" s="1">
        <v>0.02</v>
      </c>
    </row>
    <row r="926" ht="15.75" customHeight="1">
      <c r="A926" s="1" t="s">
        <v>164</v>
      </c>
      <c r="B926" s="1" t="s">
        <v>60</v>
      </c>
      <c r="C926" s="5">
        <v>45611.0</v>
      </c>
      <c r="D926" s="1" t="s">
        <v>161</v>
      </c>
      <c r="E926" s="1" t="s">
        <v>11</v>
      </c>
      <c r="F926" s="1" t="s">
        <v>166</v>
      </c>
      <c r="H926" s="1">
        <v>0.0</v>
      </c>
      <c r="I926" s="1">
        <v>0.0</v>
      </c>
      <c r="J926" s="1">
        <v>0.0</v>
      </c>
      <c r="K926" s="1">
        <v>1.0</v>
      </c>
      <c r="L926" s="1">
        <v>1.0</v>
      </c>
      <c r="M926" s="1">
        <v>1.0</v>
      </c>
      <c r="N926" s="1">
        <v>3.829999924</v>
      </c>
    </row>
    <row r="927" ht="15.75" customHeight="1">
      <c r="A927" s="1" t="s">
        <v>164</v>
      </c>
      <c r="B927" s="1" t="s">
        <v>63</v>
      </c>
      <c r="C927" s="5">
        <v>45611.0</v>
      </c>
      <c r="D927" s="1" t="s">
        <v>161</v>
      </c>
      <c r="E927" s="1" t="s">
        <v>11</v>
      </c>
      <c r="F927" s="1" t="s">
        <v>166</v>
      </c>
      <c r="H927" s="1">
        <v>0.0</v>
      </c>
      <c r="I927" s="1">
        <v>0.0</v>
      </c>
      <c r="J927" s="1">
        <v>0.0</v>
      </c>
      <c r="K927" s="1">
        <v>1.0</v>
      </c>
      <c r="L927" s="1">
        <v>2.0</v>
      </c>
      <c r="M927" s="1">
        <v>0.5</v>
      </c>
      <c r="N927" s="1">
        <v>7.6300001139999996</v>
      </c>
    </row>
    <row r="928" ht="15.75" customHeight="1">
      <c r="A928" s="1" t="s">
        <v>164</v>
      </c>
      <c r="B928" s="1" t="s">
        <v>74</v>
      </c>
      <c r="C928" s="5">
        <v>45611.0</v>
      </c>
      <c r="D928" s="1" t="s">
        <v>161</v>
      </c>
      <c r="E928" s="1" t="s">
        <v>11</v>
      </c>
      <c r="F928" s="1" t="s">
        <v>166</v>
      </c>
      <c r="H928" s="1">
        <v>0.0</v>
      </c>
      <c r="I928" s="1">
        <v>0.0</v>
      </c>
      <c r="J928" s="1">
        <v>0.0</v>
      </c>
      <c r="K928" s="1">
        <v>0.0</v>
      </c>
      <c r="L928" s="1">
        <v>4.0</v>
      </c>
      <c r="M928" s="1">
        <v>0.0</v>
      </c>
      <c r="N928" s="1">
        <v>4.96999979</v>
      </c>
    </row>
    <row r="929" ht="15.75" customHeight="1">
      <c r="A929" s="1" t="s">
        <v>164</v>
      </c>
      <c r="B929" s="1" t="s">
        <v>75</v>
      </c>
      <c r="C929" s="5">
        <v>45611.0</v>
      </c>
      <c r="D929" s="1" t="s">
        <v>161</v>
      </c>
      <c r="E929" s="1" t="s">
        <v>11</v>
      </c>
      <c r="F929" s="1" t="s">
        <v>165</v>
      </c>
      <c r="H929" s="1">
        <v>0.0</v>
      </c>
      <c r="I929" s="1">
        <v>0.0</v>
      </c>
      <c r="J929" s="1">
        <v>0.0</v>
      </c>
      <c r="K929" s="1">
        <v>0.0</v>
      </c>
      <c r="L929" s="1">
        <v>0.0</v>
      </c>
      <c r="N929" s="1">
        <v>4.46999979</v>
      </c>
    </row>
    <row r="930" ht="15.75" customHeight="1">
      <c r="A930" s="1" t="s">
        <v>164</v>
      </c>
      <c r="B930" s="1" t="s">
        <v>82</v>
      </c>
      <c r="C930" s="5">
        <v>45611.0</v>
      </c>
      <c r="D930" s="1" t="s">
        <v>161</v>
      </c>
      <c r="E930" s="1" t="s">
        <v>11</v>
      </c>
      <c r="F930" s="1" t="s">
        <v>165</v>
      </c>
      <c r="H930" s="1">
        <v>0.0</v>
      </c>
      <c r="I930" s="1">
        <v>0.0</v>
      </c>
      <c r="J930" s="1">
        <v>0.0</v>
      </c>
      <c r="K930" s="1">
        <v>0.0</v>
      </c>
      <c r="L930" s="1">
        <v>5.0</v>
      </c>
      <c r="M930" s="1">
        <v>0.0</v>
      </c>
      <c r="N930" s="1">
        <v>7.659999847</v>
      </c>
    </row>
    <row r="931" ht="15.75" customHeight="1">
      <c r="A931" s="1" t="s">
        <v>180</v>
      </c>
      <c r="B931" s="1" t="s">
        <v>214</v>
      </c>
      <c r="C931" s="5">
        <v>45611.0</v>
      </c>
      <c r="D931" s="1" t="s">
        <v>161</v>
      </c>
      <c r="E931" s="1" t="s">
        <v>11</v>
      </c>
      <c r="F931" s="1" t="s">
        <v>166</v>
      </c>
      <c r="H931" s="1">
        <v>0.0</v>
      </c>
      <c r="I931" s="1">
        <v>1.0</v>
      </c>
      <c r="J931" s="1">
        <v>0.0</v>
      </c>
      <c r="K931" s="1">
        <v>9.0</v>
      </c>
      <c r="L931" s="1">
        <v>9.0</v>
      </c>
      <c r="M931" s="1">
        <v>1.0</v>
      </c>
      <c r="N931" s="1">
        <v>10.43000031</v>
      </c>
    </row>
    <row r="932" ht="15.75" customHeight="1">
      <c r="A932" s="1" t="s">
        <v>164</v>
      </c>
      <c r="B932" s="1" t="s">
        <v>24</v>
      </c>
      <c r="C932" s="5">
        <v>45610.0</v>
      </c>
      <c r="D932" s="1" t="s">
        <v>161</v>
      </c>
      <c r="E932" s="1" t="s">
        <v>11</v>
      </c>
      <c r="F932" s="1" t="s">
        <v>166</v>
      </c>
      <c r="H932" s="1">
        <v>0.0</v>
      </c>
      <c r="I932" s="1">
        <v>0.0</v>
      </c>
      <c r="J932" s="1">
        <v>0.0</v>
      </c>
      <c r="K932" s="1">
        <v>1.0</v>
      </c>
      <c r="L932" s="1">
        <v>2.0</v>
      </c>
      <c r="M932" s="1">
        <v>0.5</v>
      </c>
      <c r="N932" s="1">
        <v>9.220000267</v>
      </c>
    </row>
    <row r="933" ht="15.75" customHeight="1">
      <c r="A933" s="1" t="s">
        <v>164</v>
      </c>
      <c r="B933" s="1" t="s">
        <v>60</v>
      </c>
      <c r="C933" s="5">
        <v>45610.0</v>
      </c>
      <c r="D933" s="1" t="s">
        <v>161</v>
      </c>
      <c r="E933" s="1" t="s">
        <v>11</v>
      </c>
      <c r="F933" s="1" t="s">
        <v>166</v>
      </c>
      <c r="H933" s="1">
        <v>0.0</v>
      </c>
      <c r="I933" s="1">
        <v>0.0</v>
      </c>
      <c r="J933" s="1">
        <v>0.0</v>
      </c>
      <c r="K933" s="1">
        <v>6.0</v>
      </c>
      <c r="L933" s="1">
        <v>13.0</v>
      </c>
      <c r="M933" s="1">
        <v>0.461538462</v>
      </c>
      <c r="N933" s="1">
        <v>12.52999973</v>
      </c>
    </row>
    <row r="934" ht="15.75" customHeight="1">
      <c r="A934" s="1" t="s">
        <v>164</v>
      </c>
      <c r="B934" s="1" t="s">
        <v>63</v>
      </c>
      <c r="C934" s="5">
        <v>45610.0</v>
      </c>
      <c r="D934" s="1" t="s">
        <v>161</v>
      </c>
      <c r="E934" s="1" t="s">
        <v>11</v>
      </c>
      <c r="F934" s="1" t="s">
        <v>166</v>
      </c>
      <c r="G934" s="1" t="s">
        <v>172</v>
      </c>
      <c r="H934" s="1">
        <v>1.0</v>
      </c>
      <c r="I934" s="1">
        <v>0.0</v>
      </c>
      <c r="J934" s="1">
        <v>0.0</v>
      </c>
      <c r="K934" s="1">
        <v>14.0</v>
      </c>
      <c r="L934" s="1">
        <v>25.0</v>
      </c>
      <c r="M934" s="1">
        <v>0.56</v>
      </c>
      <c r="N934" s="1">
        <v>11.93000031</v>
      </c>
    </row>
    <row r="935" ht="15.75" customHeight="1">
      <c r="A935" s="1" t="s">
        <v>164</v>
      </c>
      <c r="B935" s="1" t="s">
        <v>68</v>
      </c>
      <c r="C935" s="5">
        <v>45610.0</v>
      </c>
      <c r="D935" s="1" t="s">
        <v>161</v>
      </c>
      <c r="E935" s="1" t="s">
        <v>11</v>
      </c>
      <c r="F935" s="1" t="s">
        <v>165</v>
      </c>
      <c r="G935" s="1" t="s">
        <v>172</v>
      </c>
      <c r="H935" s="1">
        <v>1.0</v>
      </c>
      <c r="I935" s="1">
        <v>0.0</v>
      </c>
      <c r="J935" s="1">
        <v>0.0</v>
      </c>
      <c r="K935" s="1">
        <v>7.0</v>
      </c>
      <c r="L935" s="1">
        <v>10.0</v>
      </c>
      <c r="M935" s="1">
        <v>0.7</v>
      </c>
      <c r="N935" s="1">
        <v>10.5</v>
      </c>
    </row>
    <row r="936" ht="15.75" customHeight="1">
      <c r="A936" s="1" t="s">
        <v>164</v>
      </c>
      <c r="B936" s="1" t="s">
        <v>74</v>
      </c>
      <c r="C936" s="5">
        <v>45610.0</v>
      </c>
      <c r="D936" s="1" t="s">
        <v>161</v>
      </c>
      <c r="E936" s="1" t="s">
        <v>11</v>
      </c>
      <c r="F936" s="1" t="s">
        <v>166</v>
      </c>
      <c r="H936" s="1">
        <v>0.0</v>
      </c>
      <c r="I936" s="1">
        <v>0.0</v>
      </c>
      <c r="J936" s="1">
        <v>0.0</v>
      </c>
      <c r="K936" s="1">
        <v>2.0</v>
      </c>
      <c r="L936" s="1">
        <v>6.0</v>
      </c>
      <c r="M936" s="1">
        <v>0.333333333</v>
      </c>
      <c r="N936" s="1">
        <v>14.30000019</v>
      </c>
    </row>
    <row r="937" ht="15.75" customHeight="1">
      <c r="A937" s="1" t="s">
        <v>164</v>
      </c>
      <c r="B937" s="1" t="s">
        <v>75</v>
      </c>
      <c r="C937" s="5">
        <v>45610.0</v>
      </c>
      <c r="D937" s="1" t="s">
        <v>161</v>
      </c>
      <c r="E937" s="1" t="s">
        <v>11</v>
      </c>
      <c r="F937" s="1" t="s">
        <v>165</v>
      </c>
      <c r="H937" s="1">
        <v>0.0</v>
      </c>
      <c r="I937" s="1">
        <v>0.0</v>
      </c>
      <c r="J937" s="1">
        <v>0.0</v>
      </c>
      <c r="K937" s="1">
        <v>11.0</v>
      </c>
      <c r="L937" s="1">
        <v>21.0</v>
      </c>
      <c r="M937" s="1">
        <v>0.523809524</v>
      </c>
      <c r="N937" s="1">
        <v>11.64000034</v>
      </c>
    </row>
    <row r="938" ht="15.75" customHeight="1">
      <c r="A938" s="1" t="s">
        <v>164</v>
      </c>
      <c r="B938" s="1" t="s">
        <v>82</v>
      </c>
      <c r="C938" s="5">
        <v>45610.0</v>
      </c>
      <c r="D938" s="1" t="s">
        <v>161</v>
      </c>
      <c r="E938" s="1" t="s">
        <v>11</v>
      </c>
      <c r="F938" s="1" t="s">
        <v>165</v>
      </c>
      <c r="H938" s="1">
        <v>0.0</v>
      </c>
      <c r="I938" s="1">
        <v>0.0</v>
      </c>
      <c r="J938" s="1">
        <v>0.0</v>
      </c>
      <c r="K938" s="1">
        <v>0.0</v>
      </c>
      <c r="L938" s="1">
        <v>4.0</v>
      </c>
      <c r="M938" s="1">
        <v>0.0</v>
      </c>
      <c r="N938" s="1">
        <v>9.609999657</v>
      </c>
    </row>
    <row r="939" ht="15.75" customHeight="1">
      <c r="A939" s="1" t="s">
        <v>160</v>
      </c>
      <c r="B939" s="1" t="s">
        <v>50</v>
      </c>
      <c r="C939" s="5">
        <v>45609.0</v>
      </c>
      <c r="D939" s="1" t="s">
        <v>161</v>
      </c>
      <c r="E939" s="1" t="s">
        <v>11</v>
      </c>
      <c r="F939" s="1" t="s">
        <v>166</v>
      </c>
      <c r="H939" s="1">
        <v>0.0</v>
      </c>
      <c r="I939" s="1">
        <v>0.0</v>
      </c>
      <c r="J939" s="1">
        <v>0.0</v>
      </c>
      <c r="K939" s="1">
        <v>0.0</v>
      </c>
      <c r="L939" s="1">
        <v>0.0</v>
      </c>
      <c r="N939" s="1">
        <v>1.299999952</v>
      </c>
    </row>
    <row r="940" ht="15.75" customHeight="1">
      <c r="A940" s="1" t="s">
        <v>164</v>
      </c>
      <c r="B940" s="1" t="s">
        <v>24</v>
      </c>
      <c r="C940" s="5">
        <v>45609.0</v>
      </c>
      <c r="D940" s="1" t="s">
        <v>161</v>
      </c>
      <c r="E940" s="1" t="s">
        <v>11</v>
      </c>
      <c r="F940" s="1" t="s">
        <v>166</v>
      </c>
      <c r="H940" s="1">
        <v>0.0</v>
      </c>
      <c r="I940" s="1">
        <v>0.0</v>
      </c>
      <c r="J940" s="1">
        <v>0.0</v>
      </c>
      <c r="K940" s="1">
        <v>2.0</v>
      </c>
      <c r="L940" s="1">
        <v>7.0</v>
      </c>
      <c r="M940" s="1">
        <v>0.285714286</v>
      </c>
      <c r="N940" s="1">
        <v>9.090000153</v>
      </c>
    </row>
    <row r="941" ht="15.75" customHeight="1">
      <c r="A941" s="1" t="s">
        <v>164</v>
      </c>
      <c r="B941" s="1" t="s">
        <v>52</v>
      </c>
      <c r="C941" s="5">
        <v>45609.0</v>
      </c>
      <c r="D941" s="1" t="s">
        <v>161</v>
      </c>
      <c r="E941" s="1" t="s">
        <v>11</v>
      </c>
      <c r="F941" s="1" t="s">
        <v>165</v>
      </c>
      <c r="H941" s="1">
        <v>0.0</v>
      </c>
      <c r="I941" s="1">
        <v>0.0</v>
      </c>
      <c r="J941" s="1">
        <v>0.0</v>
      </c>
      <c r="K941" s="1">
        <v>3.0</v>
      </c>
      <c r="L941" s="1">
        <v>7.0</v>
      </c>
      <c r="M941" s="1">
        <v>0.428571429</v>
      </c>
      <c r="N941" s="1">
        <v>9.260000229</v>
      </c>
    </row>
    <row r="942" ht="15.75" customHeight="1">
      <c r="A942" s="1" t="s">
        <v>164</v>
      </c>
      <c r="B942" s="1" t="s">
        <v>60</v>
      </c>
      <c r="C942" s="5">
        <v>45609.0</v>
      </c>
      <c r="D942" s="1" t="s">
        <v>161</v>
      </c>
      <c r="E942" s="1" t="s">
        <v>11</v>
      </c>
      <c r="F942" s="1" t="s">
        <v>166</v>
      </c>
      <c r="H942" s="1">
        <v>0.0</v>
      </c>
      <c r="I942" s="1">
        <v>0.0</v>
      </c>
      <c r="J942" s="1">
        <v>0.0</v>
      </c>
      <c r="K942" s="1">
        <v>2.0</v>
      </c>
      <c r="L942" s="1">
        <v>6.0</v>
      </c>
      <c r="M942" s="1">
        <v>0.333333333</v>
      </c>
      <c r="N942" s="1">
        <v>10.56000042</v>
      </c>
    </row>
    <row r="943" ht="15.75" customHeight="1">
      <c r="A943" s="1" t="s">
        <v>164</v>
      </c>
      <c r="B943" s="1" t="s">
        <v>63</v>
      </c>
      <c r="C943" s="5">
        <v>45609.0</v>
      </c>
      <c r="D943" s="1" t="s">
        <v>161</v>
      </c>
      <c r="E943" s="1" t="s">
        <v>11</v>
      </c>
      <c r="F943" s="1" t="s">
        <v>166</v>
      </c>
      <c r="G943" s="1" t="s">
        <v>172</v>
      </c>
      <c r="H943" s="1">
        <v>1.0</v>
      </c>
      <c r="I943" s="1">
        <v>0.0</v>
      </c>
      <c r="J943" s="1">
        <v>0.0</v>
      </c>
      <c r="K943" s="1">
        <v>9.0</v>
      </c>
      <c r="L943" s="1">
        <v>14.0</v>
      </c>
      <c r="M943" s="1">
        <v>0.642857143</v>
      </c>
      <c r="N943" s="1">
        <v>11.06000042</v>
      </c>
    </row>
    <row r="944" ht="15.75" customHeight="1">
      <c r="A944" s="1" t="s">
        <v>164</v>
      </c>
      <c r="B944" s="1" t="s">
        <v>68</v>
      </c>
      <c r="C944" s="5">
        <v>45609.0</v>
      </c>
      <c r="D944" s="1" t="s">
        <v>161</v>
      </c>
      <c r="E944" s="1" t="s">
        <v>11</v>
      </c>
      <c r="F944" s="1" t="s">
        <v>165</v>
      </c>
      <c r="G944" s="1" t="s">
        <v>172</v>
      </c>
      <c r="H944" s="1">
        <v>1.0</v>
      </c>
      <c r="I944" s="1">
        <v>0.0</v>
      </c>
      <c r="J944" s="1">
        <v>0.0</v>
      </c>
      <c r="K944" s="1">
        <v>5.0</v>
      </c>
      <c r="L944" s="1">
        <v>8.0</v>
      </c>
      <c r="M944" s="1">
        <v>0.625</v>
      </c>
      <c r="N944" s="1">
        <v>8.300000191</v>
      </c>
    </row>
    <row r="945" ht="15.75" customHeight="1">
      <c r="A945" s="1" t="s">
        <v>164</v>
      </c>
      <c r="B945" s="1" t="s">
        <v>74</v>
      </c>
      <c r="C945" s="5">
        <v>45609.0</v>
      </c>
      <c r="D945" s="1" t="s">
        <v>161</v>
      </c>
      <c r="E945" s="1" t="s">
        <v>11</v>
      </c>
      <c r="F945" s="1" t="s">
        <v>166</v>
      </c>
      <c r="G945" s="1" t="s">
        <v>215</v>
      </c>
      <c r="H945" s="1">
        <v>2.0</v>
      </c>
      <c r="I945" s="1">
        <v>0.0</v>
      </c>
      <c r="J945" s="1">
        <v>0.0</v>
      </c>
      <c r="K945" s="1">
        <v>2.0</v>
      </c>
      <c r="L945" s="1">
        <v>9.0</v>
      </c>
      <c r="M945" s="1">
        <v>0.222222222</v>
      </c>
      <c r="N945" s="1">
        <v>13.82999992</v>
      </c>
    </row>
    <row r="946" ht="15.75" customHeight="1">
      <c r="A946" s="1" t="s">
        <v>164</v>
      </c>
      <c r="B946" s="1" t="s">
        <v>75</v>
      </c>
      <c r="C946" s="5">
        <v>45609.0</v>
      </c>
      <c r="D946" s="1" t="s">
        <v>161</v>
      </c>
      <c r="E946" s="1" t="s">
        <v>11</v>
      </c>
      <c r="F946" s="1" t="s">
        <v>165</v>
      </c>
      <c r="H946" s="1">
        <v>0.0</v>
      </c>
      <c r="I946" s="1">
        <v>0.0</v>
      </c>
      <c r="J946" s="1">
        <v>0.0</v>
      </c>
      <c r="K946" s="1">
        <v>4.0</v>
      </c>
      <c r="L946" s="1">
        <v>10.0</v>
      </c>
      <c r="M946" s="1">
        <v>0.4</v>
      </c>
      <c r="N946" s="1">
        <v>10.30000019</v>
      </c>
    </row>
    <row r="947" ht="15.75" customHeight="1">
      <c r="A947" s="1" t="s">
        <v>180</v>
      </c>
      <c r="B947" s="1" t="s">
        <v>214</v>
      </c>
      <c r="C947" s="5">
        <v>45609.0</v>
      </c>
      <c r="D947" s="1" t="s">
        <v>161</v>
      </c>
      <c r="E947" s="1" t="s">
        <v>11</v>
      </c>
      <c r="F947" s="1" t="s">
        <v>166</v>
      </c>
      <c r="H947" s="1">
        <v>0.0</v>
      </c>
      <c r="I947" s="1">
        <v>0.0</v>
      </c>
      <c r="J947" s="1">
        <v>0.0</v>
      </c>
      <c r="K947" s="1">
        <v>6.0</v>
      </c>
      <c r="L947" s="1">
        <v>7.0</v>
      </c>
      <c r="M947" s="1">
        <v>0.857142857</v>
      </c>
      <c r="N947" s="1">
        <v>6.989999771</v>
      </c>
    </row>
    <row r="948" ht="15.75" customHeight="1">
      <c r="A948" s="1" t="s">
        <v>160</v>
      </c>
      <c r="B948" s="1" t="s">
        <v>18</v>
      </c>
      <c r="C948" s="5">
        <v>45608.0</v>
      </c>
      <c r="D948" s="1" t="s">
        <v>161</v>
      </c>
      <c r="E948" s="1" t="s">
        <v>11</v>
      </c>
      <c r="F948" s="1" t="s">
        <v>162</v>
      </c>
      <c r="H948" s="1">
        <v>0.0</v>
      </c>
      <c r="I948" s="1">
        <v>0.0</v>
      </c>
      <c r="J948" s="1">
        <v>0.0</v>
      </c>
      <c r="K948" s="1">
        <v>0.0</v>
      </c>
      <c r="L948" s="1">
        <v>1.0</v>
      </c>
      <c r="M948" s="1">
        <v>0.0</v>
      </c>
      <c r="N948" s="1">
        <v>1.49000001</v>
      </c>
    </row>
    <row r="949" ht="15.75" customHeight="1">
      <c r="A949" s="1" t="s">
        <v>164</v>
      </c>
      <c r="B949" s="1" t="s">
        <v>24</v>
      </c>
      <c r="C949" s="5">
        <v>45608.0</v>
      </c>
      <c r="D949" s="1" t="s">
        <v>161</v>
      </c>
      <c r="E949" s="1" t="s">
        <v>11</v>
      </c>
      <c r="H949" s="1">
        <v>0.0</v>
      </c>
      <c r="J949" s="1">
        <v>0.0</v>
      </c>
      <c r="N949" s="1">
        <v>2.200000048</v>
      </c>
    </row>
    <row r="950" ht="15.75" customHeight="1">
      <c r="A950" s="1" t="s">
        <v>164</v>
      </c>
      <c r="B950" s="1" t="s">
        <v>52</v>
      </c>
      <c r="C950" s="5">
        <v>45608.0</v>
      </c>
      <c r="D950" s="1" t="s">
        <v>161</v>
      </c>
      <c r="E950" s="1" t="s">
        <v>11</v>
      </c>
      <c r="F950" s="1" t="s">
        <v>165</v>
      </c>
      <c r="H950" s="1">
        <v>0.0</v>
      </c>
      <c r="I950" s="1">
        <v>0.0</v>
      </c>
      <c r="J950" s="1">
        <v>0.0</v>
      </c>
      <c r="K950" s="1">
        <v>2.0</v>
      </c>
      <c r="L950" s="1">
        <v>8.0</v>
      </c>
      <c r="M950" s="1">
        <v>0.25</v>
      </c>
      <c r="N950" s="1">
        <v>9.180000305</v>
      </c>
    </row>
    <row r="951" ht="15.75" customHeight="1">
      <c r="A951" s="1" t="s">
        <v>164</v>
      </c>
      <c r="B951" s="1" t="s">
        <v>60</v>
      </c>
      <c r="C951" s="5">
        <v>45608.0</v>
      </c>
      <c r="D951" s="1" t="s">
        <v>161</v>
      </c>
      <c r="E951" s="1" t="s">
        <v>11</v>
      </c>
      <c r="F951" s="1" t="s">
        <v>166</v>
      </c>
      <c r="H951" s="1">
        <v>0.0</v>
      </c>
      <c r="I951" s="1">
        <v>0.0</v>
      </c>
      <c r="J951" s="1">
        <v>0.0</v>
      </c>
      <c r="K951" s="1">
        <v>4.0</v>
      </c>
      <c r="L951" s="1">
        <v>7.0</v>
      </c>
      <c r="M951" s="1">
        <v>0.571428571</v>
      </c>
      <c r="N951" s="1">
        <v>13.53999996</v>
      </c>
    </row>
    <row r="952" ht="15.75" customHeight="1">
      <c r="A952" s="1" t="s">
        <v>164</v>
      </c>
      <c r="B952" s="1" t="s">
        <v>63</v>
      </c>
      <c r="C952" s="5">
        <v>45608.0</v>
      </c>
      <c r="D952" s="1" t="s">
        <v>161</v>
      </c>
      <c r="E952" s="1" t="s">
        <v>11</v>
      </c>
      <c r="F952" s="1" t="s">
        <v>166</v>
      </c>
      <c r="G952" s="1" t="s">
        <v>172</v>
      </c>
      <c r="H952" s="1">
        <v>1.0</v>
      </c>
      <c r="I952" s="1">
        <v>0.0</v>
      </c>
      <c r="J952" s="1">
        <v>0.0</v>
      </c>
      <c r="K952" s="1">
        <v>4.0</v>
      </c>
      <c r="L952" s="1">
        <v>15.0</v>
      </c>
      <c r="M952" s="1">
        <v>0.266666667</v>
      </c>
      <c r="N952" s="1">
        <v>14.18000031</v>
      </c>
    </row>
    <row r="953" ht="15.75" customHeight="1">
      <c r="A953" s="1" t="s">
        <v>164</v>
      </c>
      <c r="B953" s="1" t="s">
        <v>68</v>
      </c>
      <c r="C953" s="5">
        <v>45608.0</v>
      </c>
      <c r="D953" s="1" t="s">
        <v>161</v>
      </c>
      <c r="E953" s="1" t="s">
        <v>11</v>
      </c>
      <c r="F953" s="1" t="s">
        <v>165</v>
      </c>
      <c r="H953" s="1">
        <v>0.0</v>
      </c>
      <c r="I953" s="1">
        <v>0.0</v>
      </c>
      <c r="J953" s="1">
        <v>0.0</v>
      </c>
      <c r="K953" s="1">
        <v>1.0</v>
      </c>
      <c r="L953" s="1">
        <v>5.0</v>
      </c>
      <c r="M953" s="1">
        <v>0.2</v>
      </c>
      <c r="N953" s="1">
        <v>11.05000019</v>
      </c>
    </row>
    <row r="954" ht="15.75" customHeight="1">
      <c r="A954" s="1" t="s">
        <v>164</v>
      </c>
      <c r="B954" s="1" t="s">
        <v>74</v>
      </c>
      <c r="C954" s="5">
        <v>45608.0</v>
      </c>
      <c r="D954" s="1" t="s">
        <v>161</v>
      </c>
      <c r="E954" s="1" t="s">
        <v>11</v>
      </c>
      <c r="F954" s="1" t="s">
        <v>166</v>
      </c>
      <c r="H954" s="1">
        <v>0.0</v>
      </c>
      <c r="I954" s="1">
        <v>0.0</v>
      </c>
      <c r="J954" s="1">
        <v>0.0</v>
      </c>
      <c r="K954" s="1">
        <v>1.0</v>
      </c>
      <c r="L954" s="1">
        <v>3.0</v>
      </c>
      <c r="M954" s="1">
        <v>0.333333333</v>
      </c>
      <c r="N954" s="1">
        <v>8.890000343</v>
      </c>
    </row>
    <row r="955" ht="15.75" customHeight="1">
      <c r="A955" s="1" t="s">
        <v>164</v>
      </c>
      <c r="B955" s="1" t="s">
        <v>75</v>
      </c>
      <c r="C955" s="5">
        <v>45608.0</v>
      </c>
      <c r="D955" s="1" t="s">
        <v>161</v>
      </c>
      <c r="E955" s="1" t="s">
        <v>11</v>
      </c>
      <c r="F955" s="1" t="s">
        <v>165</v>
      </c>
      <c r="H955" s="1">
        <v>0.0</v>
      </c>
      <c r="I955" s="1">
        <v>1.0</v>
      </c>
      <c r="J955" s="1">
        <v>0.0</v>
      </c>
      <c r="K955" s="1">
        <v>16.0</v>
      </c>
      <c r="L955" s="1">
        <v>19.0</v>
      </c>
      <c r="M955" s="1">
        <v>0.842105263</v>
      </c>
      <c r="N955" s="1">
        <v>2.75</v>
      </c>
    </row>
    <row r="956" ht="15.75" customHeight="1">
      <c r="A956" s="1" t="s">
        <v>164</v>
      </c>
      <c r="B956" s="1" t="s">
        <v>82</v>
      </c>
      <c r="C956" s="5">
        <v>45608.0</v>
      </c>
      <c r="D956" s="1" t="s">
        <v>161</v>
      </c>
      <c r="E956" s="1" t="s">
        <v>11</v>
      </c>
      <c r="F956" s="1" t="s">
        <v>165</v>
      </c>
      <c r="H956" s="1">
        <v>0.0</v>
      </c>
      <c r="I956" s="1">
        <v>0.0</v>
      </c>
      <c r="J956" s="1">
        <v>0.0</v>
      </c>
      <c r="K956" s="1">
        <v>0.0</v>
      </c>
      <c r="L956" s="1">
        <v>3.0</v>
      </c>
      <c r="M956" s="1">
        <v>0.0</v>
      </c>
      <c r="N956" s="1">
        <v>7.8699998860000004</v>
      </c>
    </row>
    <row r="957" ht="15.75" customHeight="1">
      <c r="A957" s="1" t="s">
        <v>160</v>
      </c>
      <c r="B957" s="1" t="s">
        <v>94</v>
      </c>
      <c r="C957" s="5">
        <v>45607.0</v>
      </c>
      <c r="D957" s="1" t="s">
        <v>161</v>
      </c>
      <c r="E957" s="1" t="s">
        <v>190</v>
      </c>
      <c r="H957" s="1">
        <v>0.0</v>
      </c>
      <c r="J957" s="1">
        <v>0.0</v>
      </c>
      <c r="N957" s="1">
        <v>1.309999943</v>
      </c>
    </row>
    <row r="958" ht="15.75" customHeight="1">
      <c r="A958" s="1" t="s">
        <v>164</v>
      </c>
      <c r="B958" s="1" t="s">
        <v>216</v>
      </c>
      <c r="C958" s="5">
        <v>45607.0</v>
      </c>
      <c r="D958" s="1" t="s">
        <v>161</v>
      </c>
      <c r="E958" s="1" t="s">
        <v>11</v>
      </c>
      <c r="F958" s="1" t="s">
        <v>166</v>
      </c>
      <c r="H958" s="1">
        <v>0.0</v>
      </c>
      <c r="I958" s="1">
        <v>0.0</v>
      </c>
      <c r="J958" s="1">
        <v>0.0</v>
      </c>
      <c r="K958" s="1">
        <v>0.0</v>
      </c>
      <c r="L958" s="1">
        <v>1.0</v>
      </c>
      <c r="M958" s="1">
        <v>0.0</v>
      </c>
      <c r="N958" s="1">
        <v>3.319999933</v>
      </c>
    </row>
    <row r="959" ht="15.75" customHeight="1">
      <c r="A959" s="1" t="s">
        <v>164</v>
      </c>
      <c r="B959" s="1" t="s">
        <v>196</v>
      </c>
      <c r="C959" s="5">
        <v>45607.0</v>
      </c>
      <c r="D959" s="1" t="s">
        <v>161</v>
      </c>
      <c r="E959" s="1" t="s">
        <v>11</v>
      </c>
      <c r="F959" s="1" t="s">
        <v>165</v>
      </c>
      <c r="H959" s="1">
        <v>0.0</v>
      </c>
      <c r="I959" s="1">
        <v>0.0</v>
      </c>
      <c r="J959" s="1">
        <v>0.0</v>
      </c>
      <c r="K959" s="1">
        <v>0.0</v>
      </c>
      <c r="L959" s="1">
        <v>0.0</v>
      </c>
      <c r="N959" s="1">
        <v>0.680000007</v>
      </c>
    </row>
    <row r="960" ht="15.75" customHeight="1">
      <c r="A960" s="1" t="s">
        <v>164</v>
      </c>
      <c r="B960" s="1" t="s">
        <v>60</v>
      </c>
      <c r="C960" s="5">
        <v>45607.0</v>
      </c>
      <c r="D960" s="1" t="s">
        <v>161</v>
      </c>
      <c r="E960" s="1" t="s">
        <v>11</v>
      </c>
      <c r="F960" s="1" t="s">
        <v>166</v>
      </c>
      <c r="H960" s="1">
        <v>0.0</v>
      </c>
      <c r="I960" s="1">
        <v>0.0</v>
      </c>
      <c r="J960" s="1">
        <v>0.0</v>
      </c>
      <c r="K960" s="1">
        <v>3.0</v>
      </c>
      <c r="L960" s="1">
        <v>6.0</v>
      </c>
      <c r="M960" s="1">
        <v>0.5</v>
      </c>
      <c r="N960" s="1">
        <v>6.860000134</v>
      </c>
    </row>
    <row r="961" ht="15.75" customHeight="1">
      <c r="A961" s="1" t="s">
        <v>164</v>
      </c>
      <c r="B961" s="1" t="s">
        <v>63</v>
      </c>
      <c r="C961" s="5">
        <v>45607.0</v>
      </c>
      <c r="D961" s="1" t="s">
        <v>161</v>
      </c>
      <c r="E961" s="1" t="s">
        <v>11</v>
      </c>
      <c r="H961" s="1">
        <v>0.0</v>
      </c>
      <c r="J961" s="1">
        <v>0.0</v>
      </c>
      <c r="N961" s="1">
        <v>9.449999809</v>
      </c>
    </row>
    <row r="962" ht="15.75" customHeight="1">
      <c r="A962" s="1" t="s">
        <v>164</v>
      </c>
      <c r="B962" s="1" t="s">
        <v>183</v>
      </c>
      <c r="C962" s="5">
        <v>45607.0</v>
      </c>
      <c r="D962" s="1" t="s">
        <v>161</v>
      </c>
      <c r="E962" s="1" t="s">
        <v>11</v>
      </c>
      <c r="F962" s="1" t="s">
        <v>166</v>
      </c>
      <c r="H962" s="1">
        <v>0.0</v>
      </c>
      <c r="I962" s="1">
        <v>0.0</v>
      </c>
      <c r="J962" s="1">
        <v>0.0</v>
      </c>
      <c r="K962" s="1">
        <v>3.0</v>
      </c>
      <c r="L962" s="1">
        <v>4.0</v>
      </c>
      <c r="M962" s="1">
        <v>0.75</v>
      </c>
      <c r="N962" s="1">
        <v>7.329999924</v>
      </c>
    </row>
    <row r="963" ht="15.75" customHeight="1">
      <c r="A963" s="1" t="s">
        <v>164</v>
      </c>
      <c r="B963" s="1" t="s">
        <v>68</v>
      </c>
      <c r="C963" s="5">
        <v>45607.0</v>
      </c>
      <c r="D963" s="1" t="s">
        <v>161</v>
      </c>
      <c r="E963" s="1" t="s">
        <v>11</v>
      </c>
      <c r="F963" s="1" t="s">
        <v>165</v>
      </c>
      <c r="H963" s="1">
        <v>0.0</v>
      </c>
      <c r="I963" s="1">
        <v>0.0</v>
      </c>
      <c r="J963" s="1">
        <v>0.0</v>
      </c>
      <c r="K963" s="1">
        <v>4.0</v>
      </c>
      <c r="L963" s="1">
        <v>6.0</v>
      </c>
      <c r="M963" s="1">
        <v>0.666666667</v>
      </c>
      <c r="N963" s="1">
        <v>11.31999969</v>
      </c>
    </row>
    <row r="964" ht="15.75" customHeight="1">
      <c r="A964" s="1" t="s">
        <v>164</v>
      </c>
      <c r="B964" s="1" t="s">
        <v>75</v>
      </c>
      <c r="C964" s="5">
        <v>45607.0</v>
      </c>
      <c r="D964" s="1" t="s">
        <v>161</v>
      </c>
      <c r="E964" s="1" t="s">
        <v>11</v>
      </c>
      <c r="F964" s="1" t="s">
        <v>165</v>
      </c>
      <c r="H964" s="1">
        <v>0.0</v>
      </c>
      <c r="I964" s="1">
        <v>1.0</v>
      </c>
      <c r="J964" s="1">
        <v>0.0</v>
      </c>
      <c r="K964" s="1">
        <v>6.0</v>
      </c>
      <c r="L964" s="1">
        <v>7.0</v>
      </c>
      <c r="M964" s="1">
        <v>0.857142857</v>
      </c>
      <c r="N964" s="1">
        <v>7.360000134</v>
      </c>
    </row>
    <row r="965" ht="15.75" customHeight="1">
      <c r="A965" s="1" t="s">
        <v>160</v>
      </c>
      <c r="B965" s="1" t="s">
        <v>20</v>
      </c>
      <c r="C965" s="5">
        <v>45604.0</v>
      </c>
      <c r="D965" s="1" t="s">
        <v>161</v>
      </c>
      <c r="E965" s="1" t="s">
        <v>11</v>
      </c>
      <c r="H965" s="1">
        <v>0.0</v>
      </c>
      <c r="J965" s="1">
        <v>0.0</v>
      </c>
      <c r="N965" s="1">
        <v>0.839999974</v>
      </c>
    </row>
    <row r="966" ht="15.75" customHeight="1">
      <c r="A966" s="1" t="s">
        <v>160</v>
      </c>
      <c r="B966" s="1" t="s">
        <v>101</v>
      </c>
      <c r="C966" s="5">
        <v>45604.0</v>
      </c>
      <c r="D966" s="1" t="s">
        <v>161</v>
      </c>
      <c r="E966" s="1" t="s">
        <v>11</v>
      </c>
      <c r="F966" s="1" t="s">
        <v>162</v>
      </c>
      <c r="H966" s="1">
        <v>0.0</v>
      </c>
      <c r="I966" s="1">
        <v>0.0</v>
      </c>
      <c r="J966" s="1">
        <v>0.0</v>
      </c>
      <c r="K966" s="1">
        <v>4.0</v>
      </c>
      <c r="L966" s="1">
        <v>13.0</v>
      </c>
      <c r="M966" s="1">
        <v>0.307692308</v>
      </c>
      <c r="N966" s="1">
        <v>11.5</v>
      </c>
    </row>
    <row r="967" ht="15.75" customHeight="1">
      <c r="A967" s="1" t="s">
        <v>160</v>
      </c>
      <c r="B967" s="1" t="s">
        <v>94</v>
      </c>
      <c r="C967" s="5">
        <v>45604.0</v>
      </c>
      <c r="D967" s="1" t="s">
        <v>161</v>
      </c>
      <c r="E967" s="1" t="s">
        <v>190</v>
      </c>
      <c r="H967" s="1">
        <v>0.0</v>
      </c>
      <c r="J967" s="1">
        <v>0.0</v>
      </c>
      <c r="N967" s="1">
        <v>0.230000004</v>
      </c>
    </row>
    <row r="968" ht="15.75" customHeight="1">
      <c r="A968" s="1" t="s">
        <v>164</v>
      </c>
      <c r="B968" s="1" t="s">
        <v>24</v>
      </c>
      <c r="C968" s="5">
        <v>45604.0</v>
      </c>
      <c r="D968" s="1" t="s">
        <v>161</v>
      </c>
      <c r="E968" s="1" t="s">
        <v>11</v>
      </c>
      <c r="H968" s="1">
        <v>0.0</v>
      </c>
      <c r="J968" s="1">
        <v>0.0</v>
      </c>
      <c r="N968" s="1">
        <v>1.190000057</v>
      </c>
    </row>
    <row r="969" ht="15.75" customHeight="1">
      <c r="A969" s="1" t="s">
        <v>164</v>
      </c>
      <c r="B969" s="1" t="s">
        <v>207</v>
      </c>
      <c r="C969" s="5">
        <v>45604.0</v>
      </c>
      <c r="D969" s="1" t="s">
        <v>161</v>
      </c>
      <c r="E969" s="1" t="s">
        <v>11</v>
      </c>
      <c r="F969" s="1" t="s">
        <v>166</v>
      </c>
      <c r="H969" s="1">
        <v>0.0</v>
      </c>
      <c r="I969" s="1">
        <v>0.0</v>
      </c>
      <c r="J969" s="1">
        <v>0.0</v>
      </c>
      <c r="K969" s="1">
        <v>0.0</v>
      </c>
      <c r="L969" s="1">
        <v>16.0</v>
      </c>
      <c r="M969" s="1">
        <v>0.0</v>
      </c>
      <c r="N969" s="1">
        <v>2.9400000569999998</v>
      </c>
    </row>
    <row r="970" ht="15.75" customHeight="1">
      <c r="A970" s="1" t="s">
        <v>164</v>
      </c>
      <c r="B970" s="1" t="s">
        <v>55</v>
      </c>
      <c r="C970" s="5">
        <v>45604.0</v>
      </c>
      <c r="D970" s="1" t="s">
        <v>161</v>
      </c>
      <c r="E970" s="1" t="s">
        <v>11</v>
      </c>
      <c r="H970" s="1">
        <v>0.0</v>
      </c>
      <c r="J970" s="1">
        <v>0.0</v>
      </c>
      <c r="N970" s="1">
        <v>2.670000076</v>
      </c>
    </row>
    <row r="971" ht="15.75" customHeight="1">
      <c r="A971" s="1" t="s">
        <v>164</v>
      </c>
      <c r="B971" s="1" t="s">
        <v>60</v>
      </c>
      <c r="C971" s="5">
        <v>45604.0</v>
      </c>
      <c r="D971" s="1" t="s">
        <v>161</v>
      </c>
      <c r="E971" s="1" t="s">
        <v>11</v>
      </c>
      <c r="F971" s="1" t="s">
        <v>166</v>
      </c>
      <c r="H971" s="1">
        <v>0.0</v>
      </c>
      <c r="I971" s="1">
        <v>0.0</v>
      </c>
      <c r="J971" s="1">
        <v>0.0</v>
      </c>
      <c r="K971" s="1">
        <v>0.0</v>
      </c>
      <c r="L971" s="1">
        <v>0.0</v>
      </c>
      <c r="N971" s="1">
        <v>2.049999952</v>
      </c>
    </row>
    <row r="972" ht="15.75" customHeight="1">
      <c r="A972" s="1" t="s">
        <v>164</v>
      </c>
      <c r="B972" s="1" t="s">
        <v>63</v>
      </c>
      <c r="C972" s="5">
        <v>45604.0</v>
      </c>
      <c r="D972" s="1" t="s">
        <v>161</v>
      </c>
      <c r="E972" s="1" t="s">
        <v>11</v>
      </c>
      <c r="H972" s="1">
        <v>0.0</v>
      </c>
      <c r="J972" s="1">
        <v>0.0</v>
      </c>
      <c r="N972" s="1">
        <v>0.74000001</v>
      </c>
    </row>
    <row r="973" ht="15.75" customHeight="1">
      <c r="A973" s="1" t="s">
        <v>164</v>
      </c>
      <c r="B973" s="1" t="s">
        <v>183</v>
      </c>
      <c r="C973" s="5">
        <v>45604.0</v>
      </c>
      <c r="D973" s="1" t="s">
        <v>161</v>
      </c>
      <c r="E973" s="1" t="s">
        <v>11</v>
      </c>
      <c r="F973" s="1" t="s">
        <v>166</v>
      </c>
      <c r="H973" s="1">
        <v>0.0</v>
      </c>
      <c r="I973" s="1">
        <v>0.0</v>
      </c>
      <c r="J973" s="1">
        <v>0.0</v>
      </c>
      <c r="K973" s="1">
        <v>4.0</v>
      </c>
      <c r="L973" s="1">
        <v>5.0</v>
      </c>
      <c r="M973" s="1">
        <v>0.8</v>
      </c>
      <c r="N973" s="1">
        <v>7.1199998860000004</v>
      </c>
    </row>
    <row r="974" ht="15.75" customHeight="1">
      <c r="A974" s="1" t="s">
        <v>164</v>
      </c>
      <c r="B974" s="1" t="s">
        <v>74</v>
      </c>
      <c r="C974" s="5">
        <v>45604.0</v>
      </c>
      <c r="D974" s="1" t="s">
        <v>161</v>
      </c>
      <c r="E974" s="1" t="s">
        <v>11</v>
      </c>
      <c r="F974" s="1" t="s">
        <v>166</v>
      </c>
      <c r="H974" s="1">
        <v>0.0</v>
      </c>
      <c r="I974" s="1">
        <v>0.0</v>
      </c>
      <c r="J974" s="1">
        <v>0.0</v>
      </c>
      <c r="K974" s="1">
        <v>0.0</v>
      </c>
      <c r="L974" s="1">
        <v>0.0</v>
      </c>
      <c r="N974" s="1">
        <v>1.399999976</v>
      </c>
    </row>
    <row r="975" ht="15.75" customHeight="1">
      <c r="A975" s="1" t="s">
        <v>164</v>
      </c>
      <c r="B975" s="1" t="s">
        <v>75</v>
      </c>
      <c r="C975" s="5">
        <v>45604.0</v>
      </c>
      <c r="D975" s="1" t="s">
        <v>161</v>
      </c>
      <c r="E975" s="1" t="s">
        <v>11</v>
      </c>
      <c r="F975" s="1" t="s">
        <v>165</v>
      </c>
      <c r="H975" s="1">
        <v>0.0</v>
      </c>
      <c r="I975" s="1">
        <v>0.0</v>
      </c>
      <c r="J975" s="1">
        <v>0.0</v>
      </c>
      <c r="K975" s="1">
        <v>0.0</v>
      </c>
      <c r="L975" s="1">
        <v>0.0</v>
      </c>
      <c r="N975" s="1">
        <v>4.050000191</v>
      </c>
    </row>
    <row r="976" ht="15.75" customHeight="1">
      <c r="A976" s="1" t="s">
        <v>164</v>
      </c>
      <c r="B976" s="1" t="s">
        <v>24</v>
      </c>
      <c r="C976" s="5">
        <v>45603.0</v>
      </c>
      <c r="D976" s="1" t="s">
        <v>161</v>
      </c>
      <c r="E976" s="1" t="s">
        <v>11</v>
      </c>
      <c r="F976" s="1" t="s">
        <v>166</v>
      </c>
      <c r="H976" s="1">
        <v>0.0</v>
      </c>
      <c r="I976" s="1">
        <v>0.0</v>
      </c>
      <c r="J976" s="1">
        <v>0.0</v>
      </c>
      <c r="K976" s="1">
        <v>0.0</v>
      </c>
      <c r="L976" s="1">
        <v>1.0</v>
      </c>
      <c r="M976" s="1">
        <v>0.0</v>
      </c>
      <c r="N976" s="1">
        <v>7.449999809</v>
      </c>
    </row>
    <row r="977" ht="15.75" customHeight="1">
      <c r="A977" s="1" t="s">
        <v>164</v>
      </c>
      <c r="B977" s="1" t="s">
        <v>60</v>
      </c>
      <c r="C977" s="5">
        <v>45603.0</v>
      </c>
      <c r="D977" s="1" t="s">
        <v>161</v>
      </c>
      <c r="E977" s="1" t="s">
        <v>11</v>
      </c>
      <c r="F977" s="1" t="s">
        <v>166</v>
      </c>
      <c r="H977" s="1">
        <v>0.0</v>
      </c>
      <c r="I977" s="1">
        <v>0.0</v>
      </c>
      <c r="J977" s="1">
        <v>0.0</v>
      </c>
      <c r="K977" s="1">
        <v>3.0</v>
      </c>
      <c r="L977" s="1">
        <v>6.0</v>
      </c>
      <c r="M977" s="1">
        <v>0.5</v>
      </c>
      <c r="N977" s="1">
        <v>8.710000038</v>
      </c>
    </row>
    <row r="978" ht="15.75" customHeight="1">
      <c r="A978" s="1" t="s">
        <v>164</v>
      </c>
      <c r="B978" s="1" t="s">
        <v>63</v>
      </c>
      <c r="C978" s="5">
        <v>45603.0</v>
      </c>
      <c r="D978" s="1" t="s">
        <v>161</v>
      </c>
      <c r="E978" s="1" t="s">
        <v>11</v>
      </c>
      <c r="F978" s="1" t="s">
        <v>166</v>
      </c>
      <c r="H978" s="1">
        <v>0.0</v>
      </c>
      <c r="I978" s="1">
        <v>0.0</v>
      </c>
      <c r="J978" s="1">
        <v>0.0</v>
      </c>
      <c r="K978" s="1">
        <v>0.0</v>
      </c>
      <c r="L978" s="1">
        <v>5.0</v>
      </c>
      <c r="M978" s="1">
        <v>0.0</v>
      </c>
      <c r="N978" s="1">
        <v>6.710000038</v>
      </c>
    </row>
    <row r="979" ht="15.75" customHeight="1">
      <c r="A979" s="1" t="s">
        <v>164</v>
      </c>
      <c r="B979" s="1" t="s">
        <v>74</v>
      </c>
      <c r="C979" s="5">
        <v>45603.0</v>
      </c>
      <c r="D979" s="1" t="s">
        <v>161</v>
      </c>
      <c r="E979" s="1" t="s">
        <v>11</v>
      </c>
      <c r="F979" s="1" t="s">
        <v>166</v>
      </c>
      <c r="H979" s="1">
        <v>0.0</v>
      </c>
      <c r="I979" s="1">
        <v>1.0</v>
      </c>
      <c r="J979" s="1">
        <v>0.0</v>
      </c>
      <c r="K979" s="1">
        <v>5.0</v>
      </c>
      <c r="L979" s="1">
        <v>8.0</v>
      </c>
      <c r="M979" s="1">
        <v>0.625</v>
      </c>
      <c r="N979" s="1">
        <v>17.10000038</v>
      </c>
    </row>
    <row r="980" ht="15.75" customHeight="1">
      <c r="A980" s="1" t="s">
        <v>164</v>
      </c>
      <c r="B980" s="1" t="s">
        <v>75</v>
      </c>
      <c r="C980" s="5">
        <v>45603.0</v>
      </c>
      <c r="D980" s="1" t="s">
        <v>161</v>
      </c>
      <c r="E980" s="1" t="s">
        <v>11</v>
      </c>
      <c r="F980" s="1" t="s">
        <v>165</v>
      </c>
      <c r="H980" s="1">
        <v>0.0</v>
      </c>
      <c r="I980" s="1">
        <v>0.0</v>
      </c>
      <c r="J980" s="1">
        <v>0.0</v>
      </c>
      <c r="K980" s="1">
        <v>7.0</v>
      </c>
      <c r="L980" s="1">
        <v>10.0</v>
      </c>
      <c r="M980" s="1">
        <v>0.7</v>
      </c>
      <c r="N980" s="1">
        <v>14.84000015</v>
      </c>
    </row>
    <row r="981" ht="15.75" customHeight="1">
      <c r="A981" s="1" t="s">
        <v>164</v>
      </c>
      <c r="B981" s="1" t="s">
        <v>100</v>
      </c>
      <c r="C981" s="5">
        <v>45603.0</v>
      </c>
      <c r="D981" s="1" t="s">
        <v>161</v>
      </c>
      <c r="E981" s="1" t="s">
        <v>11</v>
      </c>
      <c r="F981" s="1" t="s">
        <v>171</v>
      </c>
      <c r="H981" s="1">
        <v>0.0</v>
      </c>
      <c r="I981" s="1">
        <v>1.0</v>
      </c>
      <c r="J981" s="1">
        <v>0.0</v>
      </c>
      <c r="K981" s="1">
        <v>20.0</v>
      </c>
      <c r="L981" s="1">
        <v>30.0</v>
      </c>
      <c r="M981" s="1">
        <v>0.666666667</v>
      </c>
      <c r="N981" s="1">
        <v>14.25</v>
      </c>
    </row>
    <row r="982" ht="15.75" customHeight="1">
      <c r="A982" s="1" t="s">
        <v>164</v>
      </c>
      <c r="B982" s="1" t="s">
        <v>82</v>
      </c>
      <c r="C982" s="5">
        <v>45603.0</v>
      </c>
      <c r="D982" s="1" t="s">
        <v>161</v>
      </c>
      <c r="E982" s="1" t="s">
        <v>11</v>
      </c>
      <c r="F982" s="1" t="s">
        <v>165</v>
      </c>
      <c r="H982" s="1">
        <v>0.0</v>
      </c>
      <c r="I982" s="1">
        <v>0.0</v>
      </c>
      <c r="J982" s="1">
        <v>0.0</v>
      </c>
      <c r="K982" s="1">
        <v>0.0</v>
      </c>
      <c r="L982" s="1">
        <v>8.0</v>
      </c>
      <c r="M982" s="1">
        <v>0.0</v>
      </c>
      <c r="N982" s="1">
        <v>12.85999966</v>
      </c>
    </row>
    <row r="983" ht="15.75" customHeight="1">
      <c r="A983" s="1" t="s">
        <v>160</v>
      </c>
      <c r="B983" s="1" t="s">
        <v>69</v>
      </c>
      <c r="C983" s="5">
        <v>45602.0</v>
      </c>
      <c r="D983" s="1" t="s">
        <v>161</v>
      </c>
      <c r="E983" s="1" t="s">
        <v>11</v>
      </c>
      <c r="F983" s="1" t="s">
        <v>165</v>
      </c>
      <c r="H983" s="1">
        <v>0.0</v>
      </c>
      <c r="I983" s="1">
        <v>0.0</v>
      </c>
      <c r="J983" s="1">
        <v>0.0</v>
      </c>
      <c r="K983" s="1">
        <v>0.0</v>
      </c>
      <c r="L983" s="1">
        <v>0.0</v>
      </c>
      <c r="N983" s="1">
        <v>0.939999998</v>
      </c>
    </row>
    <row r="984" ht="15.75" customHeight="1">
      <c r="A984" s="1" t="s">
        <v>164</v>
      </c>
      <c r="B984" s="1" t="s">
        <v>24</v>
      </c>
      <c r="C984" s="5">
        <v>45602.0</v>
      </c>
      <c r="D984" s="1" t="s">
        <v>161</v>
      </c>
      <c r="E984" s="1" t="s">
        <v>11</v>
      </c>
      <c r="F984" s="1" t="s">
        <v>166</v>
      </c>
      <c r="H984" s="1">
        <v>0.0</v>
      </c>
      <c r="I984" s="1">
        <v>0.0</v>
      </c>
      <c r="J984" s="1">
        <v>0.0</v>
      </c>
      <c r="K984" s="1">
        <v>0.0</v>
      </c>
      <c r="L984" s="1">
        <v>1.0</v>
      </c>
      <c r="M984" s="1">
        <v>0.0</v>
      </c>
      <c r="N984" s="1">
        <v>2.549999952</v>
      </c>
    </row>
    <row r="985" ht="15.75" customHeight="1">
      <c r="A985" s="1" t="s">
        <v>164</v>
      </c>
      <c r="B985" s="1" t="s">
        <v>52</v>
      </c>
      <c r="C985" s="5">
        <v>45602.0</v>
      </c>
      <c r="D985" s="1" t="s">
        <v>161</v>
      </c>
      <c r="E985" s="1" t="s">
        <v>11</v>
      </c>
      <c r="F985" s="1" t="s">
        <v>165</v>
      </c>
      <c r="H985" s="1">
        <v>0.0</v>
      </c>
      <c r="I985" s="1">
        <v>0.0</v>
      </c>
      <c r="J985" s="1">
        <v>0.0</v>
      </c>
      <c r="K985" s="1">
        <v>1.0</v>
      </c>
      <c r="L985" s="1">
        <v>4.0</v>
      </c>
      <c r="M985" s="1">
        <v>0.25</v>
      </c>
      <c r="N985" s="1">
        <v>5.650000095</v>
      </c>
    </row>
    <row r="986" ht="15.75" customHeight="1">
      <c r="A986" s="1" t="s">
        <v>164</v>
      </c>
      <c r="B986" s="1" t="s">
        <v>60</v>
      </c>
      <c r="C986" s="5">
        <v>45602.0</v>
      </c>
      <c r="D986" s="1" t="s">
        <v>161</v>
      </c>
      <c r="E986" s="1" t="s">
        <v>11</v>
      </c>
      <c r="F986" s="1" t="s">
        <v>166</v>
      </c>
      <c r="H986" s="1">
        <v>0.0</v>
      </c>
      <c r="I986" s="1">
        <v>0.0</v>
      </c>
      <c r="J986" s="1">
        <v>0.0</v>
      </c>
      <c r="K986" s="1">
        <v>4.0</v>
      </c>
      <c r="L986" s="1">
        <v>4.0</v>
      </c>
      <c r="M986" s="1">
        <v>1.0</v>
      </c>
      <c r="N986" s="1">
        <v>6.309999943</v>
      </c>
    </row>
    <row r="987" ht="15.75" customHeight="1">
      <c r="A987" s="1" t="s">
        <v>164</v>
      </c>
      <c r="B987" s="1" t="s">
        <v>63</v>
      </c>
      <c r="C987" s="5">
        <v>45602.0</v>
      </c>
      <c r="D987" s="1" t="s">
        <v>161</v>
      </c>
      <c r="E987" s="1" t="s">
        <v>11</v>
      </c>
      <c r="F987" s="1" t="s">
        <v>166</v>
      </c>
      <c r="H987" s="1">
        <v>0.0</v>
      </c>
      <c r="I987" s="1">
        <v>0.0</v>
      </c>
      <c r="J987" s="1">
        <v>0.0</v>
      </c>
      <c r="K987" s="1">
        <v>0.0</v>
      </c>
      <c r="L987" s="1">
        <v>11.0</v>
      </c>
      <c r="M987" s="1">
        <v>0.0</v>
      </c>
      <c r="N987" s="1">
        <v>6.079999924</v>
      </c>
    </row>
    <row r="988" ht="15.75" customHeight="1">
      <c r="A988" s="1" t="s">
        <v>164</v>
      </c>
      <c r="B988" s="1" t="s">
        <v>183</v>
      </c>
      <c r="C988" s="5">
        <v>45602.0</v>
      </c>
      <c r="D988" s="1" t="s">
        <v>161</v>
      </c>
      <c r="E988" s="1" t="s">
        <v>11</v>
      </c>
      <c r="F988" s="1" t="s">
        <v>166</v>
      </c>
      <c r="H988" s="1">
        <v>0.0</v>
      </c>
      <c r="I988" s="1">
        <v>0.0</v>
      </c>
      <c r="J988" s="1">
        <v>0.0</v>
      </c>
      <c r="K988" s="1">
        <v>1.0</v>
      </c>
      <c r="L988" s="1">
        <v>2.0</v>
      </c>
      <c r="M988" s="1">
        <v>0.5</v>
      </c>
      <c r="N988" s="1">
        <v>2.430000067</v>
      </c>
    </row>
    <row r="989" ht="15.75" customHeight="1">
      <c r="A989" s="1" t="s">
        <v>164</v>
      </c>
      <c r="B989" s="1" t="s">
        <v>68</v>
      </c>
      <c r="C989" s="5">
        <v>45602.0</v>
      </c>
      <c r="D989" s="1" t="s">
        <v>161</v>
      </c>
      <c r="E989" s="1" t="s">
        <v>11</v>
      </c>
      <c r="F989" s="1" t="s">
        <v>165</v>
      </c>
      <c r="G989" s="1" t="s">
        <v>172</v>
      </c>
      <c r="H989" s="1">
        <v>1.0</v>
      </c>
      <c r="I989" s="1">
        <v>0.0</v>
      </c>
      <c r="J989" s="1">
        <v>0.0</v>
      </c>
      <c r="K989" s="1">
        <v>6.0</v>
      </c>
      <c r="L989" s="1">
        <v>8.0</v>
      </c>
      <c r="M989" s="1">
        <v>0.75</v>
      </c>
      <c r="N989" s="1">
        <v>9.460000038</v>
      </c>
    </row>
    <row r="990" ht="15.75" customHeight="1">
      <c r="A990" s="1" t="s">
        <v>164</v>
      </c>
      <c r="B990" s="1" t="s">
        <v>74</v>
      </c>
      <c r="C990" s="5">
        <v>45602.0</v>
      </c>
      <c r="D990" s="1" t="s">
        <v>161</v>
      </c>
      <c r="E990" s="1" t="s">
        <v>11</v>
      </c>
      <c r="F990" s="1" t="s">
        <v>166</v>
      </c>
      <c r="H990" s="1">
        <v>0.0</v>
      </c>
      <c r="I990" s="1">
        <v>0.0</v>
      </c>
      <c r="J990" s="1">
        <v>0.0</v>
      </c>
      <c r="K990" s="1">
        <v>3.0</v>
      </c>
      <c r="L990" s="1">
        <v>13.0</v>
      </c>
      <c r="M990" s="1">
        <v>0.230769231</v>
      </c>
      <c r="N990" s="1">
        <v>15.40999985</v>
      </c>
    </row>
    <row r="991" ht="15.75" customHeight="1">
      <c r="A991" s="1" t="s">
        <v>164</v>
      </c>
      <c r="B991" s="1" t="s">
        <v>75</v>
      </c>
      <c r="C991" s="5">
        <v>45602.0</v>
      </c>
      <c r="D991" s="1" t="s">
        <v>161</v>
      </c>
      <c r="E991" s="1" t="s">
        <v>11</v>
      </c>
      <c r="F991" s="1" t="s">
        <v>165</v>
      </c>
      <c r="H991" s="1">
        <v>0.0</v>
      </c>
      <c r="I991" s="1">
        <v>0.0</v>
      </c>
      <c r="J991" s="1">
        <v>0.0</v>
      </c>
      <c r="K991" s="1">
        <v>6.0</v>
      </c>
      <c r="L991" s="1">
        <v>9.0</v>
      </c>
      <c r="M991" s="1">
        <v>0.666666667</v>
      </c>
      <c r="N991" s="1">
        <v>15.77999973</v>
      </c>
    </row>
    <row r="992" ht="15.75" customHeight="1">
      <c r="A992" s="1" t="s">
        <v>164</v>
      </c>
      <c r="B992" s="1" t="s">
        <v>100</v>
      </c>
      <c r="C992" s="5">
        <v>45602.0</v>
      </c>
      <c r="D992" s="1" t="s">
        <v>161</v>
      </c>
      <c r="E992" s="1" t="s">
        <v>11</v>
      </c>
      <c r="H992" s="1">
        <v>0.0</v>
      </c>
      <c r="J992" s="1">
        <v>0.0</v>
      </c>
      <c r="N992" s="1">
        <v>0.200000003</v>
      </c>
    </row>
    <row r="993" ht="15.75" customHeight="1">
      <c r="A993" s="1" t="s">
        <v>164</v>
      </c>
      <c r="B993" s="1" t="s">
        <v>82</v>
      </c>
      <c r="C993" s="5">
        <v>45602.0</v>
      </c>
      <c r="D993" s="1" t="s">
        <v>161</v>
      </c>
      <c r="E993" s="1" t="s">
        <v>11</v>
      </c>
      <c r="F993" s="1" t="s">
        <v>165</v>
      </c>
      <c r="H993" s="1">
        <v>0.0</v>
      </c>
      <c r="I993" s="1">
        <v>0.0</v>
      </c>
      <c r="J993" s="1">
        <v>0.0</v>
      </c>
      <c r="K993" s="1">
        <v>0.0</v>
      </c>
      <c r="L993" s="1">
        <v>2.0</v>
      </c>
      <c r="M993" s="1">
        <v>0.0</v>
      </c>
      <c r="N993" s="1">
        <v>9.130000114</v>
      </c>
    </row>
    <row r="994" ht="15.75" customHeight="1">
      <c r="A994" s="1" t="s">
        <v>180</v>
      </c>
      <c r="B994" s="1" t="s">
        <v>214</v>
      </c>
      <c r="C994" s="5">
        <v>45602.0</v>
      </c>
      <c r="D994" s="1" t="s">
        <v>161</v>
      </c>
      <c r="E994" s="1" t="s">
        <v>11</v>
      </c>
      <c r="F994" s="1" t="s">
        <v>166</v>
      </c>
      <c r="H994" s="1">
        <v>0.0</v>
      </c>
      <c r="I994" s="1">
        <v>0.0</v>
      </c>
      <c r="J994" s="1">
        <v>0.0</v>
      </c>
      <c r="K994" s="1">
        <v>0.0</v>
      </c>
      <c r="L994" s="1">
        <v>1.0</v>
      </c>
      <c r="M994" s="1">
        <v>0.0</v>
      </c>
      <c r="N994" s="1">
        <v>2.339999914</v>
      </c>
    </row>
    <row r="995" ht="15.75" customHeight="1">
      <c r="A995" s="1" t="s">
        <v>160</v>
      </c>
      <c r="B995" s="1" t="s">
        <v>94</v>
      </c>
      <c r="C995" s="5">
        <v>45601.0</v>
      </c>
      <c r="D995" s="1" t="s">
        <v>161</v>
      </c>
      <c r="E995" s="1" t="s">
        <v>190</v>
      </c>
      <c r="H995" s="1">
        <v>0.0</v>
      </c>
      <c r="J995" s="1">
        <v>0.0</v>
      </c>
      <c r="N995" s="1">
        <v>0.310000002</v>
      </c>
    </row>
    <row r="996" ht="15.75" customHeight="1">
      <c r="A996" s="1" t="s">
        <v>164</v>
      </c>
      <c r="B996" s="1" t="s">
        <v>24</v>
      </c>
      <c r="C996" s="5">
        <v>45601.0</v>
      </c>
      <c r="D996" s="1" t="s">
        <v>161</v>
      </c>
      <c r="E996" s="1" t="s">
        <v>11</v>
      </c>
      <c r="F996" s="1" t="s">
        <v>166</v>
      </c>
      <c r="H996" s="1">
        <v>0.0</v>
      </c>
      <c r="I996" s="1">
        <v>0.0</v>
      </c>
      <c r="J996" s="1">
        <v>0.0</v>
      </c>
      <c r="K996" s="1">
        <v>0.0</v>
      </c>
      <c r="L996" s="1">
        <v>3.0</v>
      </c>
      <c r="M996" s="1">
        <v>0.0</v>
      </c>
      <c r="N996" s="1">
        <v>10.86999989</v>
      </c>
    </row>
    <row r="997" ht="15.75" customHeight="1">
      <c r="A997" s="1" t="s">
        <v>164</v>
      </c>
      <c r="B997" s="1" t="s">
        <v>52</v>
      </c>
      <c r="C997" s="5">
        <v>45601.0</v>
      </c>
      <c r="D997" s="1" t="s">
        <v>161</v>
      </c>
      <c r="E997" s="1" t="s">
        <v>11</v>
      </c>
      <c r="F997" s="1" t="s">
        <v>165</v>
      </c>
      <c r="H997" s="1">
        <v>0.0</v>
      </c>
      <c r="I997" s="1">
        <v>0.0</v>
      </c>
      <c r="J997" s="1">
        <v>0.0</v>
      </c>
      <c r="K997" s="1">
        <v>0.0</v>
      </c>
      <c r="L997" s="1">
        <v>1.0</v>
      </c>
      <c r="M997" s="1">
        <v>0.0</v>
      </c>
      <c r="N997" s="1">
        <v>2.00999999</v>
      </c>
    </row>
    <row r="998" ht="15.75" customHeight="1">
      <c r="A998" s="1" t="s">
        <v>164</v>
      </c>
      <c r="B998" s="1" t="s">
        <v>81</v>
      </c>
      <c r="C998" s="5">
        <v>45601.0</v>
      </c>
      <c r="D998" s="1" t="s">
        <v>161</v>
      </c>
      <c r="E998" s="1" t="s">
        <v>11</v>
      </c>
      <c r="F998" s="1" t="s">
        <v>162</v>
      </c>
      <c r="H998" s="1">
        <v>0.0</v>
      </c>
      <c r="I998" s="1">
        <v>0.0</v>
      </c>
      <c r="J998" s="1">
        <v>0.0</v>
      </c>
      <c r="K998" s="1">
        <v>0.0</v>
      </c>
      <c r="L998" s="1">
        <v>2.0</v>
      </c>
      <c r="M998" s="1">
        <v>0.0</v>
      </c>
      <c r="N998" s="1">
        <v>3.170000076</v>
      </c>
    </row>
    <row r="999" ht="15.75" customHeight="1">
      <c r="A999" s="1" t="s">
        <v>164</v>
      </c>
      <c r="B999" s="1" t="s">
        <v>63</v>
      </c>
      <c r="C999" s="5">
        <v>45601.0</v>
      </c>
      <c r="D999" s="1" t="s">
        <v>161</v>
      </c>
      <c r="E999" s="1" t="s">
        <v>11</v>
      </c>
      <c r="F999" s="1" t="s">
        <v>166</v>
      </c>
      <c r="H999" s="1">
        <v>0.0</v>
      </c>
      <c r="I999" s="1">
        <v>0.0</v>
      </c>
      <c r="J999" s="1">
        <v>0.0</v>
      </c>
      <c r="K999" s="1">
        <v>0.0</v>
      </c>
      <c r="L999" s="1">
        <v>9.0</v>
      </c>
      <c r="M999" s="1">
        <v>0.0</v>
      </c>
      <c r="N999" s="1">
        <v>8.090000153</v>
      </c>
    </row>
    <row r="1000" ht="15.75" customHeight="1">
      <c r="A1000" s="1" t="s">
        <v>164</v>
      </c>
      <c r="B1000" s="1" t="s">
        <v>68</v>
      </c>
      <c r="C1000" s="5">
        <v>45601.0</v>
      </c>
      <c r="D1000" s="1" t="s">
        <v>161</v>
      </c>
      <c r="E1000" s="1" t="s">
        <v>11</v>
      </c>
      <c r="F1000" s="1" t="s">
        <v>165</v>
      </c>
      <c r="G1000" s="1" t="s">
        <v>172</v>
      </c>
      <c r="H1000" s="1">
        <v>1.0</v>
      </c>
      <c r="I1000" s="1">
        <v>0.0</v>
      </c>
      <c r="J1000" s="1">
        <v>0.0</v>
      </c>
      <c r="K1000" s="1">
        <v>8.0</v>
      </c>
      <c r="L1000" s="1">
        <v>12.0</v>
      </c>
      <c r="M1000" s="1">
        <v>0.666666667</v>
      </c>
      <c r="N1000" s="1">
        <v>15.39000034</v>
      </c>
    </row>
    <row r="1001" ht="15.75" customHeight="1">
      <c r="A1001" s="1" t="s">
        <v>164</v>
      </c>
      <c r="B1001" s="1" t="s">
        <v>74</v>
      </c>
      <c r="C1001" s="5">
        <v>45601.0</v>
      </c>
      <c r="D1001" s="1" t="s">
        <v>161</v>
      </c>
      <c r="E1001" s="1" t="s">
        <v>11</v>
      </c>
      <c r="F1001" s="1" t="s">
        <v>166</v>
      </c>
      <c r="H1001" s="1">
        <v>0.0</v>
      </c>
      <c r="I1001" s="1">
        <v>0.0</v>
      </c>
      <c r="J1001" s="1">
        <v>0.0</v>
      </c>
      <c r="K1001" s="1">
        <v>1.0</v>
      </c>
      <c r="L1001" s="1">
        <v>1.0</v>
      </c>
      <c r="M1001" s="1">
        <v>1.0</v>
      </c>
      <c r="N1001" s="1">
        <v>3.589999914</v>
      </c>
    </row>
    <row r="1002" ht="15.75" customHeight="1">
      <c r="A1002" s="1" t="s">
        <v>164</v>
      </c>
      <c r="B1002" s="1" t="s">
        <v>75</v>
      </c>
      <c r="C1002" s="5">
        <v>45601.0</v>
      </c>
      <c r="D1002" s="1" t="s">
        <v>161</v>
      </c>
      <c r="E1002" s="1" t="s">
        <v>11</v>
      </c>
      <c r="F1002" s="1" t="s">
        <v>165</v>
      </c>
      <c r="H1002" s="1">
        <v>0.0</v>
      </c>
      <c r="I1002" s="1">
        <v>0.0</v>
      </c>
      <c r="J1002" s="1">
        <v>0.0</v>
      </c>
      <c r="K1002" s="1">
        <v>5.0</v>
      </c>
      <c r="L1002" s="1">
        <v>6.0</v>
      </c>
      <c r="M1002" s="1">
        <v>0.833333333</v>
      </c>
      <c r="N1002" s="1">
        <v>13.5</v>
      </c>
    </row>
    <row r="1003" ht="15.75" customHeight="1">
      <c r="A1003" s="1" t="s">
        <v>164</v>
      </c>
      <c r="B1003" s="1" t="s">
        <v>82</v>
      </c>
      <c r="C1003" s="5">
        <v>45601.0</v>
      </c>
      <c r="D1003" s="1" t="s">
        <v>161</v>
      </c>
      <c r="E1003" s="1" t="s">
        <v>11</v>
      </c>
      <c r="F1003" s="1" t="s">
        <v>165</v>
      </c>
      <c r="H1003" s="1">
        <v>0.0</v>
      </c>
      <c r="I1003" s="1">
        <v>0.0</v>
      </c>
      <c r="J1003" s="1">
        <v>0.0</v>
      </c>
      <c r="K1003" s="1">
        <v>0.0</v>
      </c>
      <c r="L1003" s="1">
        <v>3.0</v>
      </c>
      <c r="M1003" s="1">
        <v>0.0</v>
      </c>
      <c r="N1003" s="1">
        <v>9.449999809</v>
      </c>
    </row>
    <row r="1004" ht="15.75" customHeight="1">
      <c r="A1004" s="1" t="s">
        <v>180</v>
      </c>
      <c r="B1004" s="1" t="s">
        <v>214</v>
      </c>
      <c r="C1004" s="5">
        <v>45601.0</v>
      </c>
      <c r="D1004" s="1" t="s">
        <v>161</v>
      </c>
      <c r="E1004" s="1" t="s">
        <v>11</v>
      </c>
      <c r="F1004" s="1" t="s">
        <v>166</v>
      </c>
      <c r="H1004" s="1">
        <v>0.0</v>
      </c>
      <c r="I1004" s="1">
        <v>1.0</v>
      </c>
      <c r="J1004" s="1">
        <v>0.0</v>
      </c>
      <c r="K1004" s="1">
        <v>13.0</v>
      </c>
      <c r="L1004" s="1">
        <v>14.0</v>
      </c>
      <c r="M1004" s="1">
        <v>0.928571429</v>
      </c>
      <c r="N1004" s="1">
        <v>11.23999977</v>
      </c>
    </row>
    <row r="1005" ht="15.75" customHeight="1">
      <c r="A1005" s="1" t="s">
        <v>160</v>
      </c>
      <c r="B1005" s="1" t="s">
        <v>217</v>
      </c>
      <c r="C1005" s="5">
        <v>45600.0</v>
      </c>
      <c r="D1005" s="1" t="s">
        <v>161</v>
      </c>
      <c r="E1005" s="1" t="s">
        <v>11</v>
      </c>
      <c r="H1005" s="1">
        <v>0.0</v>
      </c>
      <c r="J1005" s="1">
        <v>0.0</v>
      </c>
      <c r="N1005" s="1">
        <v>0.730000019</v>
      </c>
    </row>
    <row r="1006" ht="15.75" customHeight="1">
      <c r="A1006" s="1" t="s">
        <v>160</v>
      </c>
      <c r="B1006" s="1" t="s">
        <v>218</v>
      </c>
      <c r="C1006" s="5">
        <v>45600.0</v>
      </c>
      <c r="D1006" s="1" t="s">
        <v>161</v>
      </c>
      <c r="E1006" s="1" t="s">
        <v>11</v>
      </c>
      <c r="H1006" s="1">
        <v>0.0</v>
      </c>
      <c r="J1006" s="1">
        <v>0.0</v>
      </c>
      <c r="N1006" s="1">
        <v>0.119999997</v>
      </c>
    </row>
    <row r="1007" ht="15.75" customHeight="1">
      <c r="A1007" s="1" t="s">
        <v>160</v>
      </c>
      <c r="B1007" s="1" t="s">
        <v>198</v>
      </c>
      <c r="C1007" s="5">
        <v>45600.0</v>
      </c>
      <c r="D1007" s="1" t="s">
        <v>161</v>
      </c>
      <c r="E1007" s="1" t="s">
        <v>11</v>
      </c>
      <c r="F1007" s="1" t="s">
        <v>162</v>
      </c>
      <c r="H1007" s="1">
        <v>0.0</v>
      </c>
      <c r="I1007" s="1">
        <v>0.0</v>
      </c>
      <c r="J1007" s="1">
        <v>0.0</v>
      </c>
      <c r="K1007" s="1">
        <v>1.0</v>
      </c>
      <c r="L1007" s="1">
        <v>2.0</v>
      </c>
      <c r="M1007" s="1">
        <v>0.5</v>
      </c>
      <c r="N1007" s="1">
        <v>5.199999809</v>
      </c>
    </row>
    <row r="1008" ht="15.75" customHeight="1">
      <c r="A1008" s="1" t="s">
        <v>164</v>
      </c>
      <c r="B1008" s="1" t="s">
        <v>24</v>
      </c>
      <c r="C1008" s="5">
        <v>45600.0</v>
      </c>
      <c r="D1008" s="1" t="s">
        <v>161</v>
      </c>
      <c r="E1008" s="1" t="s">
        <v>11</v>
      </c>
      <c r="F1008" s="1" t="s">
        <v>166</v>
      </c>
      <c r="H1008" s="1">
        <v>0.0</v>
      </c>
      <c r="I1008" s="1">
        <v>0.0</v>
      </c>
      <c r="J1008" s="1">
        <v>0.0</v>
      </c>
      <c r="K1008" s="1">
        <v>0.0</v>
      </c>
      <c r="L1008" s="1">
        <v>3.0</v>
      </c>
      <c r="M1008" s="1">
        <v>0.0</v>
      </c>
      <c r="N1008" s="1">
        <v>2.859999895</v>
      </c>
    </row>
    <row r="1009" ht="15.75" customHeight="1">
      <c r="A1009" s="1" t="s">
        <v>164</v>
      </c>
      <c r="B1009" s="1" t="s">
        <v>63</v>
      </c>
      <c r="C1009" s="5">
        <v>45600.0</v>
      </c>
      <c r="D1009" s="1" t="s">
        <v>161</v>
      </c>
      <c r="E1009" s="1" t="s">
        <v>11</v>
      </c>
      <c r="F1009" s="1" t="s">
        <v>166</v>
      </c>
      <c r="H1009" s="1">
        <v>0.0</v>
      </c>
      <c r="I1009" s="1">
        <v>0.0</v>
      </c>
      <c r="J1009" s="1">
        <v>0.0</v>
      </c>
      <c r="K1009" s="1">
        <v>0.0</v>
      </c>
      <c r="L1009" s="1">
        <v>1.0</v>
      </c>
      <c r="M1009" s="1">
        <v>0.0</v>
      </c>
      <c r="N1009" s="1">
        <v>9.630000114</v>
      </c>
    </row>
    <row r="1010" ht="15.75" customHeight="1">
      <c r="A1010" s="1" t="s">
        <v>164</v>
      </c>
      <c r="B1010" s="1" t="s">
        <v>183</v>
      </c>
      <c r="C1010" s="5">
        <v>45600.0</v>
      </c>
      <c r="D1010" s="1" t="s">
        <v>161</v>
      </c>
      <c r="E1010" s="1" t="s">
        <v>11</v>
      </c>
      <c r="F1010" s="1" t="s">
        <v>166</v>
      </c>
      <c r="H1010" s="1">
        <v>0.0</v>
      </c>
      <c r="I1010" s="1">
        <v>0.0</v>
      </c>
      <c r="J1010" s="1">
        <v>0.0</v>
      </c>
      <c r="K1010" s="1">
        <v>3.0</v>
      </c>
      <c r="L1010" s="1">
        <v>5.0</v>
      </c>
      <c r="M1010" s="1">
        <v>0.6</v>
      </c>
      <c r="N1010" s="1">
        <v>8.319999695</v>
      </c>
    </row>
    <row r="1011" ht="15.75" customHeight="1">
      <c r="A1011" s="1" t="s">
        <v>164</v>
      </c>
      <c r="B1011" s="1" t="s">
        <v>68</v>
      </c>
      <c r="C1011" s="5">
        <v>45600.0</v>
      </c>
      <c r="D1011" s="1" t="s">
        <v>161</v>
      </c>
      <c r="E1011" s="1" t="s">
        <v>11</v>
      </c>
      <c r="F1011" s="1" t="s">
        <v>165</v>
      </c>
      <c r="G1011" s="1" t="s">
        <v>172</v>
      </c>
      <c r="H1011" s="1">
        <v>1.0</v>
      </c>
      <c r="I1011" s="1">
        <v>0.0</v>
      </c>
      <c r="J1011" s="1">
        <v>0.0</v>
      </c>
      <c r="K1011" s="1">
        <v>3.0</v>
      </c>
      <c r="L1011" s="1">
        <v>5.0</v>
      </c>
      <c r="M1011" s="1">
        <v>0.6</v>
      </c>
      <c r="N1011" s="1">
        <v>6.170000076</v>
      </c>
    </row>
    <row r="1012" ht="15.75" customHeight="1">
      <c r="A1012" s="1" t="s">
        <v>164</v>
      </c>
      <c r="B1012" s="1" t="s">
        <v>74</v>
      </c>
      <c r="C1012" s="5">
        <v>45600.0</v>
      </c>
      <c r="D1012" s="1" t="s">
        <v>161</v>
      </c>
      <c r="E1012" s="1" t="s">
        <v>11</v>
      </c>
      <c r="F1012" s="1" t="s">
        <v>166</v>
      </c>
      <c r="H1012" s="1">
        <v>0.0</v>
      </c>
      <c r="I1012" s="1">
        <v>0.0</v>
      </c>
      <c r="J1012" s="1">
        <v>0.0</v>
      </c>
      <c r="K1012" s="1">
        <v>1.0</v>
      </c>
      <c r="L1012" s="1">
        <v>1.0</v>
      </c>
      <c r="M1012" s="1">
        <v>1.0</v>
      </c>
      <c r="N1012" s="1">
        <v>5.349999905</v>
      </c>
    </row>
    <row r="1013" ht="15.75" customHeight="1">
      <c r="A1013" s="1" t="s">
        <v>164</v>
      </c>
      <c r="B1013" s="1" t="s">
        <v>75</v>
      </c>
      <c r="C1013" s="5">
        <v>45600.0</v>
      </c>
      <c r="D1013" s="1" t="s">
        <v>161</v>
      </c>
      <c r="E1013" s="1" t="s">
        <v>11</v>
      </c>
      <c r="F1013" s="1" t="s">
        <v>165</v>
      </c>
      <c r="H1013" s="1">
        <v>0.0</v>
      </c>
      <c r="I1013" s="1">
        <v>0.0</v>
      </c>
      <c r="J1013" s="1">
        <v>0.0</v>
      </c>
      <c r="K1013" s="1">
        <v>2.0</v>
      </c>
      <c r="L1013" s="1">
        <v>8.0</v>
      </c>
      <c r="M1013" s="1">
        <v>0.25</v>
      </c>
      <c r="N1013" s="1">
        <v>9.819999695</v>
      </c>
    </row>
    <row r="1014" ht="15.75" customHeight="1">
      <c r="A1014" s="1" t="s">
        <v>164</v>
      </c>
      <c r="B1014" s="1" t="s">
        <v>100</v>
      </c>
      <c r="C1014" s="5">
        <v>45600.0</v>
      </c>
      <c r="D1014" s="1" t="s">
        <v>161</v>
      </c>
      <c r="E1014" s="1" t="s">
        <v>11</v>
      </c>
      <c r="F1014" s="1" t="s">
        <v>171</v>
      </c>
      <c r="H1014" s="1">
        <v>0.0</v>
      </c>
      <c r="I1014" s="1">
        <v>0.0</v>
      </c>
      <c r="J1014" s="1">
        <v>0.0</v>
      </c>
      <c r="K1014" s="1">
        <v>2.0</v>
      </c>
      <c r="L1014" s="1">
        <v>2.0</v>
      </c>
      <c r="M1014" s="1">
        <v>1.0</v>
      </c>
      <c r="N1014" s="1">
        <v>5.420000076</v>
      </c>
    </row>
    <row r="1015" ht="15.75" customHeight="1">
      <c r="A1015" s="1" t="s">
        <v>164</v>
      </c>
      <c r="B1015" s="1" t="s">
        <v>82</v>
      </c>
      <c r="C1015" s="5">
        <v>45600.0</v>
      </c>
      <c r="D1015" s="1" t="s">
        <v>161</v>
      </c>
      <c r="E1015" s="1" t="s">
        <v>11</v>
      </c>
      <c r="F1015" s="1" t="s">
        <v>165</v>
      </c>
      <c r="H1015" s="1">
        <v>0.0</v>
      </c>
      <c r="I1015" s="1">
        <v>0.0</v>
      </c>
      <c r="J1015" s="1">
        <v>0.0</v>
      </c>
      <c r="K1015" s="1">
        <v>0.0</v>
      </c>
      <c r="L1015" s="1">
        <v>2.0</v>
      </c>
      <c r="M1015" s="1">
        <v>0.0</v>
      </c>
      <c r="N1015" s="1">
        <v>11.47000027</v>
      </c>
    </row>
    <row r="1016" ht="15.75" customHeight="1">
      <c r="A1016" s="1" t="s">
        <v>164</v>
      </c>
      <c r="B1016" s="1" t="s">
        <v>219</v>
      </c>
      <c r="C1016" s="5">
        <v>45600.0</v>
      </c>
      <c r="D1016" s="1" t="s">
        <v>161</v>
      </c>
      <c r="E1016" s="1" t="s">
        <v>11</v>
      </c>
      <c r="F1016" s="1" t="s">
        <v>165</v>
      </c>
      <c r="H1016" s="1">
        <v>0.0</v>
      </c>
      <c r="I1016" s="1">
        <v>0.0</v>
      </c>
      <c r="J1016" s="1">
        <v>0.0</v>
      </c>
      <c r="K1016" s="1">
        <v>0.0</v>
      </c>
      <c r="L1016" s="1">
        <v>0.0</v>
      </c>
      <c r="N1016" s="1">
        <v>0.330000013</v>
      </c>
    </row>
    <row r="1017" ht="15.75" customHeight="1">
      <c r="A1017" s="1" t="s">
        <v>180</v>
      </c>
      <c r="B1017" s="1" t="s">
        <v>220</v>
      </c>
      <c r="C1017" s="5">
        <v>45600.0</v>
      </c>
      <c r="D1017" s="1" t="s">
        <v>161</v>
      </c>
      <c r="E1017" s="1" t="s">
        <v>11</v>
      </c>
      <c r="F1017" s="1" t="s">
        <v>165</v>
      </c>
      <c r="H1017" s="1">
        <v>0.0</v>
      </c>
      <c r="I1017" s="1">
        <v>0.0</v>
      </c>
      <c r="J1017" s="1">
        <v>0.0</v>
      </c>
      <c r="K1017" s="1">
        <v>0.0</v>
      </c>
      <c r="L1017" s="1">
        <v>0.0</v>
      </c>
      <c r="N1017" s="1">
        <v>0.0</v>
      </c>
    </row>
    <row r="1018" ht="15.75" customHeight="1">
      <c r="A1018" s="1" t="s">
        <v>180</v>
      </c>
      <c r="B1018" s="1" t="s">
        <v>220</v>
      </c>
      <c r="C1018" s="5">
        <v>45600.0</v>
      </c>
      <c r="D1018" s="1" t="s">
        <v>161</v>
      </c>
      <c r="E1018" s="1" t="s">
        <v>11</v>
      </c>
      <c r="F1018" s="1" t="s">
        <v>166</v>
      </c>
      <c r="H1018" s="1">
        <v>0.0</v>
      </c>
      <c r="I1018" s="1">
        <v>0.0</v>
      </c>
      <c r="J1018" s="1">
        <v>0.0</v>
      </c>
      <c r="K1018" s="1">
        <v>0.0</v>
      </c>
      <c r="L1018" s="1">
        <v>0.0</v>
      </c>
      <c r="N1018" s="1">
        <v>0.0</v>
      </c>
    </row>
    <row r="1019" ht="15.75" customHeight="1">
      <c r="A1019" s="1" t="s">
        <v>180</v>
      </c>
      <c r="B1019" s="1" t="s">
        <v>220</v>
      </c>
      <c r="C1019" s="5">
        <v>45600.0</v>
      </c>
      <c r="D1019" s="1" t="s">
        <v>161</v>
      </c>
      <c r="E1019" s="1" t="s">
        <v>11</v>
      </c>
      <c r="F1019" s="1" t="s">
        <v>169</v>
      </c>
      <c r="H1019" s="1">
        <v>0.0</v>
      </c>
      <c r="I1019" s="1">
        <v>0.0</v>
      </c>
      <c r="J1019" s="1">
        <v>0.0</v>
      </c>
      <c r="K1019" s="1">
        <v>0.0</v>
      </c>
      <c r="L1019" s="1">
        <v>0.0</v>
      </c>
      <c r="N1019" s="1">
        <v>7.289999962</v>
      </c>
    </row>
    <row r="1020" ht="15.75" customHeight="1">
      <c r="A1020" s="1" t="s">
        <v>180</v>
      </c>
      <c r="B1020" s="1" t="s">
        <v>214</v>
      </c>
      <c r="C1020" s="5">
        <v>45600.0</v>
      </c>
      <c r="D1020" s="1" t="s">
        <v>161</v>
      </c>
      <c r="E1020" s="1" t="s">
        <v>11</v>
      </c>
      <c r="F1020" s="1" t="s">
        <v>166</v>
      </c>
      <c r="H1020" s="1">
        <v>0.0</v>
      </c>
      <c r="I1020" s="1">
        <v>0.0</v>
      </c>
      <c r="J1020" s="1">
        <v>0.0</v>
      </c>
      <c r="K1020" s="1">
        <v>0.0</v>
      </c>
      <c r="L1020" s="1">
        <v>0.0</v>
      </c>
      <c r="N1020" s="1">
        <v>0.970000029</v>
      </c>
    </row>
    <row r="1021" ht="15.75" customHeight="1">
      <c r="A1021" s="1" t="s">
        <v>160</v>
      </c>
      <c r="B1021" s="1" t="s">
        <v>217</v>
      </c>
      <c r="C1021" s="5">
        <v>45597.0</v>
      </c>
      <c r="D1021" s="1" t="s">
        <v>161</v>
      </c>
      <c r="E1021" s="1" t="s">
        <v>11</v>
      </c>
      <c r="H1021" s="1">
        <v>0.0</v>
      </c>
      <c r="J1021" s="1">
        <v>0.0</v>
      </c>
      <c r="N1021" s="1">
        <v>0.930000007</v>
      </c>
    </row>
    <row r="1022" ht="15.75" customHeight="1">
      <c r="A1022" s="1" t="s">
        <v>160</v>
      </c>
      <c r="B1022" s="1" t="s">
        <v>198</v>
      </c>
      <c r="C1022" s="5">
        <v>45597.0</v>
      </c>
      <c r="D1022" s="1" t="s">
        <v>161</v>
      </c>
      <c r="E1022" s="1" t="s">
        <v>11</v>
      </c>
      <c r="F1022" s="1" t="s">
        <v>162</v>
      </c>
      <c r="H1022" s="1">
        <v>0.0</v>
      </c>
      <c r="I1022" s="1">
        <v>1.0</v>
      </c>
      <c r="J1022" s="1">
        <v>0.0</v>
      </c>
      <c r="K1022" s="1">
        <v>5.0</v>
      </c>
      <c r="L1022" s="1">
        <v>6.0</v>
      </c>
      <c r="M1022" s="1">
        <v>0.833333333</v>
      </c>
      <c r="N1022" s="1">
        <v>3.460000038</v>
      </c>
    </row>
    <row r="1023" ht="15.75" customHeight="1">
      <c r="A1023" s="1" t="s">
        <v>164</v>
      </c>
      <c r="B1023" s="1" t="s">
        <v>24</v>
      </c>
      <c r="C1023" s="5">
        <v>45597.0</v>
      </c>
      <c r="D1023" s="1" t="s">
        <v>161</v>
      </c>
      <c r="E1023" s="1" t="s">
        <v>11</v>
      </c>
      <c r="H1023" s="1">
        <v>0.0</v>
      </c>
      <c r="J1023" s="1">
        <v>0.0</v>
      </c>
      <c r="N1023" s="1">
        <v>2.319999933</v>
      </c>
    </row>
    <row r="1024" ht="15.75" customHeight="1">
      <c r="A1024" s="1" t="s">
        <v>164</v>
      </c>
      <c r="B1024" s="1" t="s">
        <v>63</v>
      </c>
      <c r="C1024" s="5">
        <v>45597.0</v>
      </c>
      <c r="D1024" s="1" t="s">
        <v>161</v>
      </c>
      <c r="E1024" s="1" t="s">
        <v>11</v>
      </c>
      <c r="F1024" s="1" t="s">
        <v>166</v>
      </c>
      <c r="H1024" s="1">
        <v>0.0</v>
      </c>
      <c r="I1024" s="1">
        <v>0.0</v>
      </c>
      <c r="J1024" s="1">
        <v>0.0</v>
      </c>
      <c r="K1024" s="1">
        <v>0.0</v>
      </c>
      <c r="L1024" s="1">
        <v>5.0</v>
      </c>
      <c r="M1024" s="1">
        <v>0.0</v>
      </c>
      <c r="N1024" s="1">
        <v>9.729999542</v>
      </c>
    </row>
    <row r="1025" ht="15.75" customHeight="1">
      <c r="A1025" s="1" t="s">
        <v>164</v>
      </c>
      <c r="B1025" s="1" t="s">
        <v>183</v>
      </c>
      <c r="C1025" s="5">
        <v>45597.0</v>
      </c>
      <c r="D1025" s="1" t="s">
        <v>161</v>
      </c>
      <c r="E1025" s="1" t="s">
        <v>11</v>
      </c>
      <c r="F1025" s="1" t="s">
        <v>166</v>
      </c>
      <c r="H1025" s="1">
        <v>0.0</v>
      </c>
      <c r="I1025" s="1">
        <v>0.0</v>
      </c>
      <c r="J1025" s="1">
        <v>0.0</v>
      </c>
      <c r="K1025" s="1">
        <v>3.0</v>
      </c>
      <c r="L1025" s="1">
        <v>3.0</v>
      </c>
      <c r="M1025" s="1">
        <v>1.0</v>
      </c>
      <c r="N1025" s="1">
        <v>4.929999828</v>
      </c>
    </row>
    <row r="1026" ht="15.75" customHeight="1">
      <c r="A1026" s="1" t="s">
        <v>164</v>
      </c>
      <c r="B1026" s="1" t="s">
        <v>75</v>
      </c>
      <c r="C1026" s="5">
        <v>45597.0</v>
      </c>
      <c r="D1026" s="1" t="s">
        <v>161</v>
      </c>
      <c r="E1026" s="1" t="s">
        <v>11</v>
      </c>
      <c r="F1026" s="1" t="s">
        <v>165</v>
      </c>
      <c r="H1026" s="1">
        <v>0.0</v>
      </c>
      <c r="I1026" s="1">
        <v>0.0</v>
      </c>
      <c r="J1026" s="1">
        <v>0.0</v>
      </c>
      <c r="K1026" s="1">
        <v>4.0</v>
      </c>
      <c r="L1026" s="1">
        <v>4.0</v>
      </c>
      <c r="M1026" s="1">
        <v>1.0</v>
      </c>
      <c r="N1026" s="1">
        <v>8.680000305</v>
      </c>
    </row>
    <row r="1027" ht="15.75" customHeight="1">
      <c r="A1027" s="1" t="s">
        <v>164</v>
      </c>
      <c r="B1027" s="1" t="s">
        <v>82</v>
      </c>
      <c r="C1027" s="5">
        <v>45597.0</v>
      </c>
      <c r="D1027" s="1" t="s">
        <v>161</v>
      </c>
      <c r="E1027" s="1" t="s">
        <v>11</v>
      </c>
      <c r="F1027" s="1" t="s">
        <v>165</v>
      </c>
      <c r="H1027" s="1">
        <v>0.0</v>
      </c>
      <c r="I1027" s="1">
        <v>0.0</v>
      </c>
      <c r="J1027" s="1">
        <v>0.0</v>
      </c>
      <c r="K1027" s="1">
        <v>0.0</v>
      </c>
      <c r="L1027" s="1">
        <v>2.0</v>
      </c>
      <c r="M1027" s="1">
        <v>0.0</v>
      </c>
      <c r="N1027" s="1">
        <v>8.149999619</v>
      </c>
    </row>
    <row r="1028" ht="15.75" customHeight="1">
      <c r="A1028" s="1" t="s">
        <v>180</v>
      </c>
      <c r="B1028" s="1" t="s">
        <v>220</v>
      </c>
      <c r="C1028" s="5">
        <v>45597.0</v>
      </c>
      <c r="D1028" s="1" t="s">
        <v>161</v>
      </c>
      <c r="E1028" s="1" t="s">
        <v>11</v>
      </c>
      <c r="F1028" s="1" t="s">
        <v>166</v>
      </c>
      <c r="H1028" s="1">
        <v>0.0</v>
      </c>
      <c r="I1028" s="1">
        <v>0.0</v>
      </c>
      <c r="J1028" s="1">
        <v>0.0</v>
      </c>
      <c r="K1028" s="1">
        <v>0.0</v>
      </c>
      <c r="L1028" s="1">
        <v>0.0</v>
      </c>
      <c r="N1028" s="1">
        <v>2.900000095</v>
      </c>
    </row>
    <row r="1029" ht="15.75" customHeight="1">
      <c r="A1029" s="1" t="s">
        <v>180</v>
      </c>
      <c r="B1029" s="1" t="s">
        <v>214</v>
      </c>
      <c r="C1029" s="5">
        <v>45597.0</v>
      </c>
      <c r="D1029" s="1" t="s">
        <v>161</v>
      </c>
      <c r="E1029" s="1" t="s">
        <v>11</v>
      </c>
      <c r="F1029" s="1" t="s">
        <v>166</v>
      </c>
      <c r="H1029" s="1">
        <v>0.0</v>
      </c>
      <c r="I1029" s="1">
        <v>0.0</v>
      </c>
      <c r="J1029" s="1">
        <v>0.0</v>
      </c>
      <c r="K1029" s="1">
        <v>0.0</v>
      </c>
      <c r="L1029" s="1">
        <v>0.0</v>
      </c>
      <c r="N1029" s="1">
        <v>0.0</v>
      </c>
    </row>
    <row r="1030" ht="15.75" customHeight="1">
      <c r="A1030" s="1" t="s">
        <v>180</v>
      </c>
      <c r="B1030" s="1" t="s">
        <v>214</v>
      </c>
      <c r="C1030" s="5">
        <v>45597.0</v>
      </c>
      <c r="D1030" s="1" t="s">
        <v>161</v>
      </c>
      <c r="E1030" s="1" t="s">
        <v>11</v>
      </c>
      <c r="F1030" s="1" t="s">
        <v>171</v>
      </c>
      <c r="H1030" s="1">
        <v>0.0</v>
      </c>
      <c r="I1030" s="1">
        <v>1.0</v>
      </c>
      <c r="J1030" s="1">
        <v>0.0</v>
      </c>
      <c r="K1030" s="1">
        <v>25.0</v>
      </c>
      <c r="L1030" s="1">
        <v>33.0</v>
      </c>
      <c r="M1030" s="1">
        <v>0.757575758</v>
      </c>
      <c r="N1030" s="1">
        <v>9.18999958</v>
      </c>
    </row>
    <row r="1031" ht="15.75" customHeight="1">
      <c r="A1031" s="1" t="s">
        <v>164</v>
      </c>
      <c r="B1031" s="1" t="s">
        <v>24</v>
      </c>
      <c r="C1031" s="5">
        <v>45596.0</v>
      </c>
      <c r="D1031" s="1" t="s">
        <v>161</v>
      </c>
      <c r="E1031" s="1" t="s">
        <v>11</v>
      </c>
      <c r="F1031" s="1" t="s">
        <v>166</v>
      </c>
      <c r="H1031" s="1">
        <v>0.0</v>
      </c>
      <c r="I1031" s="1">
        <v>0.0</v>
      </c>
      <c r="J1031" s="1">
        <v>0.0</v>
      </c>
      <c r="K1031" s="1">
        <v>0.0</v>
      </c>
      <c r="L1031" s="1">
        <v>1.0</v>
      </c>
      <c r="M1031" s="1">
        <v>0.0</v>
      </c>
      <c r="N1031" s="1">
        <v>3.630000114</v>
      </c>
    </row>
    <row r="1032" ht="15.75" customHeight="1">
      <c r="A1032" s="1" t="s">
        <v>164</v>
      </c>
      <c r="B1032" s="1" t="s">
        <v>52</v>
      </c>
      <c r="C1032" s="5">
        <v>45596.0</v>
      </c>
      <c r="D1032" s="1" t="s">
        <v>161</v>
      </c>
      <c r="E1032" s="1" t="s">
        <v>11</v>
      </c>
      <c r="F1032" s="1" t="s">
        <v>165</v>
      </c>
      <c r="H1032" s="1">
        <v>0.0</v>
      </c>
      <c r="I1032" s="1">
        <v>0.0</v>
      </c>
      <c r="J1032" s="1">
        <v>0.0</v>
      </c>
      <c r="K1032" s="1">
        <v>1.0</v>
      </c>
      <c r="L1032" s="1">
        <v>3.0</v>
      </c>
      <c r="M1032" s="1">
        <v>0.333333333</v>
      </c>
      <c r="N1032" s="1">
        <v>6.269999981</v>
      </c>
    </row>
    <row r="1033" ht="15.75" customHeight="1">
      <c r="A1033" s="1" t="s">
        <v>164</v>
      </c>
      <c r="B1033" s="1" t="s">
        <v>63</v>
      </c>
      <c r="C1033" s="5">
        <v>45596.0</v>
      </c>
      <c r="D1033" s="1" t="s">
        <v>161</v>
      </c>
      <c r="E1033" s="1" t="s">
        <v>11</v>
      </c>
      <c r="F1033" s="1" t="s">
        <v>166</v>
      </c>
      <c r="H1033" s="1">
        <v>0.0</v>
      </c>
      <c r="I1033" s="1">
        <v>0.0</v>
      </c>
      <c r="J1033" s="1">
        <v>0.0</v>
      </c>
      <c r="K1033" s="1">
        <v>1.0</v>
      </c>
      <c r="L1033" s="1">
        <v>10.0</v>
      </c>
      <c r="M1033" s="1">
        <v>0.1</v>
      </c>
      <c r="N1033" s="1">
        <v>9.029999733</v>
      </c>
    </row>
    <row r="1034" ht="15.75" customHeight="1">
      <c r="A1034" s="1" t="s">
        <v>164</v>
      </c>
      <c r="B1034" s="1" t="s">
        <v>68</v>
      </c>
      <c r="C1034" s="5">
        <v>45596.0</v>
      </c>
      <c r="D1034" s="1" t="s">
        <v>161</v>
      </c>
      <c r="E1034" s="1" t="s">
        <v>11</v>
      </c>
      <c r="F1034" s="1" t="s">
        <v>165</v>
      </c>
      <c r="H1034" s="1">
        <v>0.0</v>
      </c>
      <c r="I1034" s="1">
        <v>0.0</v>
      </c>
      <c r="J1034" s="1">
        <v>0.0</v>
      </c>
      <c r="K1034" s="1">
        <v>10.0</v>
      </c>
      <c r="L1034" s="1">
        <v>16.0</v>
      </c>
      <c r="M1034" s="1">
        <v>0.625</v>
      </c>
      <c r="N1034" s="1">
        <v>11.39000034</v>
      </c>
    </row>
    <row r="1035" ht="15.75" customHeight="1">
      <c r="A1035" s="1" t="s">
        <v>164</v>
      </c>
      <c r="B1035" s="1" t="s">
        <v>74</v>
      </c>
      <c r="C1035" s="5">
        <v>45596.0</v>
      </c>
      <c r="D1035" s="1" t="s">
        <v>161</v>
      </c>
      <c r="E1035" s="1" t="s">
        <v>11</v>
      </c>
      <c r="F1035" s="1" t="s">
        <v>162</v>
      </c>
      <c r="G1035" s="1" t="s">
        <v>163</v>
      </c>
      <c r="H1035" s="1">
        <v>1.0</v>
      </c>
      <c r="I1035" s="1">
        <v>1.0</v>
      </c>
      <c r="J1035" s="1">
        <v>0.0</v>
      </c>
      <c r="K1035" s="1">
        <v>14.0</v>
      </c>
      <c r="L1035" s="1">
        <v>16.0</v>
      </c>
      <c r="M1035" s="1">
        <v>0.875</v>
      </c>
      <c r="N1035" s="1">
        <v>6.75</v>
      </c>
    </row>
    <row r="1036" ht="15.75" customHeight="1">
      <c r="A1036" s="1" t="s">
        <v>164</v>
      </c>
      <c r="B1036" s="1" t="s">
        <v>74</v>
      </c>
      <c r="C1036" s="5">
        <v>45596.0</v>
      </c>
      <c r="D1036" s="1" t="s">
        <v>161</v>
      </c>
      <c r="E1036" s="1" t="s">
        <v>11</v>
      </c>
      <c r="F1036" s="1" t="s">
        <v>166</v>
      </c>
      <c r="G1036" s="1" t="s">
        <v>163</v>
      </c>
      <c r="H1036" s="1">
        <v>1.0</v>
      </c>
      <c r="I1036" s="1">
        <v>0.0</v>
      </c>
      <c r="J1036" s="1">
        <v>0.0</v>
      </c>
      <c r="K1036" s="1">
        <v>0.0</v>
      </c>
      <c r="L1036" s="1">
        <v>0.0</v>
      </c>
      <c r="N1036" s="1">
        <v>0.0</v>
      </c>
    </row>
    <row r="1037" ht="15.75" customHeight="1">
      <c r="A1037" s="1" t="s">
        <v>164</v>
      </c>
      <c r="B1037" s="1" t="s">
        <v>75</v>
      </c>
      <c r="C1037" s="5">
        <v>45596.0</v>
      </c>
      <c r="D1037" s="1" t="s">
        <v>161</v>
      </c>
      <c r="E1037" s="1" t="s">
        <v>11</v>
      </c>
      <c r="F1037" s="1" t="s">
        <v>165</v>
      </c>
      <c r="H1037" s="1">
        <v>0.0</v>
      </c>
      <c r="I1037" s="1">
        <v>1.0</v>
      </c>
      <c r="J1037" s="1">
        <v>0.0</v>
      </c>
      <c r="K1037" s="1">
        <v>19.0</v>
      </c>
      <c r="L1037" s="1">
        <v>25.0</v>
      </c>
      <c r="M1037" s="1">
        <v>0.76</v>
      </c>
      <c r="N1037" s="1">
        <v>12.10000038</v>
      </c>
    </row>
    <row r="1038" ht="15.75" customHeight="1">
      <c r="A1038" s="1" t="s">
        <v>164</v>
      </c>
      <c r="B1038" s="1" t="s">
        <v>100</v>
      </c>
      <c r="C1038" s="5">
        <v>45596.0</v>
      </c>
      <c r="D1038" s="1" t="s">
        <v>161</v>
      </c>
      <c r="E1038" s="1" t="s">
        <v>11</v>
      </c>
      <c r="F1038" s="1" t="s">
        <v>171</v>
      </c>
      <c r="H1038" s="1">
        <v>0.0</v>
      </c>
      <c r="I1038" s="1">
        <v>0.0</v>
      </c>
      <c r="J1038" s="1">
        <v>0.0</v>
      </c>
      <c r="K1038" s="1">
        <v>0.0</v>
      </c>
      <c r="L1038" s="1">
        <v>1.0</v>
      </c>
      <c r="M1038" s="1">
        <v>0.0</v>
      </c>
      <c r="N1038" s="1">
        <v>2.420000076</v>
      </c>
    </row>
    <row r="1039" ht="15.75" customHeight="1">
      <c r="A1039" s="1" t="s">
        <v>164</v>
      </c>
      <c r="B1039" s="1" t="s">
        <v>82</v>
      </c>
      <c r="C1039" s="5">
        <v>45596.0</v>
      </c>
      <c r="D1039" s="1" t="s">
        <v>161</v>
      </c>
      <c r="E1039" s="1" t="s">
        <v>11</v>
      </c>
      <c r="F1039" s="1" t="s">
        <v>165</v>
      </c>
      <c r="H1039" s="1">
        <v>0.0</v>
      </c>
      <c r="I1039" s="1">
        <v>0.0</v>
      </c>
      <c r="J1039" s="1">
        <v>0.0</v>
      </c>
      <c r="K1039" s="1">
        <v>1.0</v>
      </c>
      <c r="L1039" s="1">
        <v>6.0</v>
      </c>
      <c r="M1039" s="1">
        <v>0.166666667</v>
      </c>
      <c r="N1039" s="1">
        <v>8.600000381</v>
      </c>
    </row>
    <row r="1040" ht="15.75" customHeight="1">
      <c r="A1040" s="1" t="s">
        <v>164</v>
      </c>
      <c r="B1040" s="1" t="s">
        <v>219</v>
      </c>
      <c r="C1040" s="5">
        <v>45596.0</v>
      </c>
      <c r="D1040" s="1" t="s">
        <v>161</v>
      </c>
      <c r="E1040" s="1" t="s">
        <v>11</v>
      </c>
      <c r="F1040" s="1" t="s">
        <v>165</v>
      </c>
      <c r="H1040" s="1">
        <v>0.0</v>
      </c>
      <c r="I1040" s="1">
        <v>0.0</v>
      </c>
      <c r="J1040" s="1">
        <v>0.0</v>
      </c>
      <c r="K1040" s="1">
        <v>1.0</v>
      </c>
      <c r="L1040" s="1">
        <v>4.0</v>
      </c>
      <c r="M1040" s="1">
        <v>0.25</v>
      </c>
      <c r="N1040" s="1">
        <v>0.930000007</v>
      </c>
    </row>
    <row r="1041" ht="15.75" customHeight="1">
      <c r="A1041" s="1" t="s">
        <v>180</v>
      </c>
      <c r="B1041" s="1" t="s">
        <v>220</v>
      </c>
      <c r="C1041" s="5">
        <v>45596.0</v>
      </c>
      <c r="D1041" s="1" t="s">
        <v>161</v>
      </c>
      <c r="E1041" s="1" t="s">
        <v>11</v>
      </c>
      <c r="F1041" s="1" t="s">
        <v>165</v>
      </c>
      <c r="H1041" s="1">
        <v>0.0</v>
      </c>
      <c r="I1041" s="1">
        <v>0.0</v>
      </c>
      <c r="J1041" s="1">
        <v>0.0</v>
      </c>
      <c r="K1041" s="1">
        <v>0.0</v>
      </c>
      <c r="L1041" s="1">
        <v>0.0</v>
      </c>
      <c r="N1041" s="1">
        <v>0.0</v>
      </c>
    </row>
    <row r="1042" ht="15.75" customHeight="1">
      <c r="A1042" s="1" t="s">
        <v>180</v>
      </c>
      <c r="B1042" s="1" t="s">
        <v>220</v>
      </c>
      <c r="C1042" s="5">
        <v>45596.0</v>
      </c>
      <c r="D1042" s="1" t="s">
        <v>161</v>
      </c>
      <c r="E1042" s="1" t="s">
        <v>11</v>
      </c>
      <c r="F1042" s="1" t="s">
        <v>221</v>
      </c>
      <c r="H1042" s="1">
        <v>0.0</v>
      </c>
      <c r="I1042" s="1">
        <v>0.0</v>
      </c>
      <c r="J1042" s="1">
        <v>0.0</v>
      </c>
      <c r="K1042" s="1">
        <v>3.0</v>
      </c>
      <c r="L1042" s="1">
        <v>6.0</v>
      </c>
      <c r="M1042" s="1">
        <v>0.5</v>
      </c>
      <c r="N1042" s="1">
        <v>0.0</v>
      </c>
    </row>
    <row r="1043" ht="15.75" customHeight="1">
      <c r="A1043" s="1" t="s">
        <v>180</v>
      </c>
      <c r="B1043" s="1" t="s">
        <v>220</v>
      </c>
      <c r="C1043" s="5">
        <v>45596.0</v>
      </c>
      <c r="D1043" s="1" t="s">
        <v>161</v>
      </c>
      <c r="E1043" s="1" t="s">
        <v>11</v>
      </c>
      <c r="F1043" s="1" t="s">
        <v>168</v>
      </c>
      <c r="H1043" s="1">
        <v>0.0</v>
      </c>
      <c r="I1043" s="1">
        <v>0.0</v>
      </c>
      <c r="J1043" s="1">
        <v>0.0</v>
      </c>
      <c r="K1043" s="1">
        <v>4.0</v>
      </c>
      <c r="L1043" s="1">
        <v>6.0</v>
      </c>
      <c r="M1043" s="1">
        <v>0.666666667</v>
      </c>
      <c r="N1043" s="1">
        <v>10.65999985</v>
      </c>
    </row>
    <row r="1044" ht="15.75" customHeight="1">
      <c r="A1044" s="1" t="s">
        <v>180</v>
      </c>
      <c r="B1044" s="1" t="s">
        <v>214</v>
      </c>
      <c r="C1044" s="5">
        <v>45596.0</v>
      </c>
      <c r="D1044" s="1" t="s">
        <v>161</v>
      </c>
      <c r="E1044" s="1" t="s">
        <v>11</v>
      </c>
      <c r="F1044" s="1" t="s">
        <v>177</v>
      </c>
      <c r="G1044" s="1" t="s">
        <v>163</v>
      </c>
      <c r="H1044" s="1">
        <v>1.0</v>
      </c>
      <c r="I1044" s="1">
        <v>1.0</v>
      </c>
      <c r="J1044" s="1">
        <v>0.0</v>
      </c>
      <c r="K1044" s="1">
        <v>21.0</v>
      </c>
      <c r="L1044" s="1">
        <v>24.0</v>
      </c>
      <c r="M1044" s="1">
        <v>0.875</v>
      </c>
      <c r="N1044" s="1">
        <v>23.04000092</v>
      </c>
    </row>
    <row r="1045" ht="15.75" customHeight="1">
      <c r="A1045" s="1" t="s">
        <v>160</v>
      </c>
      <c r="B1045" s="1" t="s">
        <v>217</v>
      </c>
      <c r="C1045" s="5">
        <v>45595.0</v>
      </c>
      <c r="D1045" s="1" t="s">
        <v>161</v>
      </c>
      <c r="E1045" s="1" t="s">
        <v>11</v>
      </c>
      <c r="H1045" s="1">
        <v>0.0</v>
      </c>
      <c r="J1045" s="1">
        <v>0.0</v>
      </c>
      <c r="N1045" s="1">
        <v>1.269999981</v>
      </c>
    </row>
    <row r="1046" ht="15.75" customHeight="1">
      <c r="A1046" s="1" t="s">
        <v>160</v>
      </c>
      <c r="B1046" s="1" t="s">
        <v>69</v>
      </c>
      <c r="C1046" s="5">
        <v>45595.0</v>
      </c>
      <c r="D1046" s="1" t="s">
        <v>161</v>
      </c>
      <c r="E1046" s="1" t="s">
        <v>11</v>
      </c>
      <c r="F1046" s="1" t="s">
        <v>165</v>
      </c>
      <c r="H1046" s="1">
        <v>0.0</v>
      </c>
      <c r="I1046" s="1">
        <v>0.0</v>
      </c>
      <c r="J1046" s="1">
        <v>0.0</v>
      </c>
      <c r="K1046" s="1">
        <v>0.0</v>
      </c>
      <c r="L1046" s="1">
        <v>0.0</v>
      </c>
      <c r="N1046" s="1">
        <v>0.0</v>
      </c>
    </row>
    <row r="1047" ht="15.75" customHeight="1">
      <c r="A1047" s="1" t="s">
        <v>164</v>
      </c>
      <c r="B1047" s="1" t="s">
        <v>216</v>
      </c>
      <c r="C1047" s="5">
        <v>45595.0</v>
      </c>
      <c r="D1047" s="1" t="s">
        <v>161</v>
      </c>
      <c r="E1047" s="1" t="s">
        <v>11</v>
      </c>
      <c r="F1047" s="1" t="s">
        <v>166</v>
      </c>
      <c r="H1047" s="1">
        <v>0.0</v>
      </c>
      <c r="I1047" s="1">
        <v>0.0</v>
      </c>
      <c r="J1047" s="1">
        <v>0.0</v>
      </c>
      <c r="K1047" s="1">
        <v>0.0</v>
      </c>
      <c r="L1047" s="1">
        <v>0.0</v>
      </c>
      <c r="N1047" s="1">
        <v>2.8099999430000002</v>
      </c>
    </row>
    <row r="1048" ht="15.75" customHeight="1">
      <c r="A1048" s="1" t="s">
        <v>164</v>
      </c>
      <c r="B1048" s="1" t="s">
        <v>24</v>
      </c>
      <c r="C1048" s="5">
        <v>45595.0</v>
      </c>
      <c r="D1048" s="1" t="s">
        <v>161</v>
      </c>
      <c r="E1048" s="1" t="s">
        <v>11</v>
      </c>
      <c r="F1048" s="1" t="s">
        <v>166</v>
      </c>
      <c r="H1048" s="1">
        <v>0.0</v>
      </c>
      <c r="I1048" s="1">
        <v>0.0</v>
      </c>
      <c r="J1048" s="1">
        <v>0.0</v>
      </c>
      <c r="K1048" s="1">
        <v>0.0</v>
      </c>
      <c r="L1048" s="1">
        <v>1.0</v>
      </c>
      <c r="M1048" s="1">
        <v>0.0</v>
      </c>
      <c r="N1048" s="1">
        <v>6.28000021</v>
      </c>
    </row>
    <row r="1049" ht="15.75" customHeight="1">
      <c r="A1049" s="1" t="s">
        <v>164</v>
      </c>
      <c r="B1049" s="1" t="s">
        <v>52</v>
      </c>
      <c r="C1049" s="5">
        <v>45595.0</v>
      </c>
      <c r="D1049" s="1" t="s">
        <v>161</v>
      </c>
      <c r="E1049" s="1" t="s">
        <v>11</v>
      </c>
      <c r="F1049" s="1" t="s">
        <v>165</v>
      </c>
      <c r="G1049" s="1" t="s">
        <v>172</v>
      </c>
      <c r="H1049" s="1">
        <v>1.0</v>
      </c>
      <c r="I1049" s="1">
        <v>0.0</v>
      </c>
      <c r="J1049" s="1">
        <v>0.0</v>
      </c>
      <c r="K1049" s="1">
        <v>4.0</v>
      </c>
      <c r="L1049" s="1">
        <v>5.0</v>
      </c>
      <c r="M1049" s="1">
        <v>0.8</v>
      </c>
      <c r="N1049" s="1">
        <v>10.14000034</v>
      </c>
    </row>
    <row r="1050" ht="15.75" customHeight="1">
      <c r="A1050" s="1" t="s">
        <v>164</v>
      </c>
      <c r="B1050" s="1" t="s">
        <v>183</v>
      </c>
      <c r="C1050" s="5">
        <v>45595.0</v>
      </c>
      <c r="D1050" s="1" t="s">
        <v>161</v>
      </c>
      <c r="E1050" s="1" t="s">
        <v>11</v>
      </c>
      <c r="F1050" s="1" t="s">
        <v>166</v>
      </c>
      <c r="H1050" s="1">
        <v>0.0</v>
      </c>
      <c r="I1050" s="1">
        <v>0.0</v>
      </c>
      <c r="J1050" s="1">
        <v>0.0</v>
      </c>
      <c r="K1050" s="1">
        <v>1.0</v>
      </c>
      <c r="L1050" s="1">
        <v>2.0</v>
      </c>
      <c r="M1050" s="1">
        <v>0.5</v>
      </c>
      <c r="N1050" s="1">
        <v>1.679999948</v>
      </c>
    </row>
    <row r="1051" ht="15.75" customHeight="1">
      <c r="A1051" s="1" t="s">
        <v>164</v>
      </c>
      <c r="B1051" s="1" t="s">
        <v>75</v>
      </c>
      <c r="C1051" s="5">
        <v>45595.0</v>
      </c>
      <c r="D1051" s="1" t="s">
        <v>161</v>
      </c>
      <c r="E1051" s="1" t="s">
        <v>11</v>
      </c>
      <c r="F1051" s="1" t="s">
        <v>165</v>
      </c>
      <c r="H1051" s="1">
        <v>0.0</v>
      </c>
      <c r="I1051" s="1">
        <v>1.0</v>
      </c>
      <c r="J1051" s="1">
        <v>0.0</v>
      </c>
      <c r="K1051" s="1">
        <v>19.0</v>
      </c>
      <c r="L1051" s="1">
        <v>25.0</v>
      </c>
      <c r="M1051" s="1">
        <v>0.76</v>
      </c>
      <c r="N1051" s="1">
        <v>8.590000153</v>
      </c>
    </row>
    <row r="1052" ht="15.75" customHeight="1">
      <c r="A1052" s="1" t="s">
        <v>164</v>
      </c>
      <c r="B1052" s="1" t="s">
        <v>100</v>
      </c>
      <c r="C1052" s="5">
        <v>45595.0</v>
      </c>
      <c r="D1052" s="1" t="s">
        <v>161</v>
      </c>
      <c r="E1052" s="1" t="s">
        <v>11</v>
      </c>
      <c r="F1052" s="1" t="s">
        <v>171</v>
      </c>
      <c r="H1052" s="1">
        <v>0.0</v>
      </c>
      <c r="I1052" s="1">
        <v>0.0</v>
      </c>
      <c r="J1052" s="1">
        <v>0.0</v>
      </c>
      <c r="K1052" s="1">
        <v>2.0</v>
      </c>
      <c r="L1052" s="1">
        <v>3.0</v>
      </c>
      <c r="M1052" s="1">
        <v>0.666666667</v>
      </c>
      <c r="N1052" s="1">
        <v>1.460000038</v>
      </c>
    </row>
    <row r="1053" ht="15.75" customHeight="1">
      <c r="A1053" s="1" t="s">
        <v>164</v>
      </c>
      <c r="B1053" s="1" t="s">
        <v>82</v>
      </c>
      <c r="C1053" s="5">
        <v>45595.0</v>
      </c>
      <c r="D1053" s="1" t="s">
        <v>161</v>
      </c>
      <c r="E1053" s="1" t="s">
        <v>11</v>
      </c>
      <c r="F1053" s="1" t="s">
        <v>165</v>
      </c>
      <c r="H1053" s="1">
        <v>0.0</v>
      </c>
      <c r="I1053" s="1">
        <v>0.0</v>
      </c>
      <c r="J1053" s="1">
        <v>0.0</v>
      </c>
      <c r="K1053" s="1">
        <v>0.0</v>
      </c>
      <c r="L1053" s="1">
        <v>8.0</v>
      </c>
      <c r="M1053" s="1">
        <v>0.0</v>
      </c>
      <c r="N1053" s="1">
        <v>10.80000019</v>
      </c>
    </row>
    <row r="1054" ht="15.75" customHeight="1">
      <c r="A1054" s="1" t="s">
        <v>180</v>
      </c>
      <c r="B1054" s="1" t="s">
        <v>220</v>
      </c>
      <c r="C1054" s="5">
        <v>45595.0</v>
      </c>
      <c r="D1054" s="1" t="s">
        <v>161</v>
      </c>
      <c r="E1054" s="1" t="s">
        <v>11</v>
      </c>
      <c r="H1054" s="1">
        <v>0.0</v>
      </c>
      <c r="J1054" s="1">
        <v>0.0</v>
      </c>
      <c r="N1054" s="1">
        <v>9.81000042</v>
      </c>
    </row>
    <row r="1055" ht="15.75" customHeight="1">
      <c r="A1055" s="1" t="s">
        <v>180</v>
      </c>
      <c r="B1055" s="1" t="s">
        <v>214</v>
      </c>
      <c r="C1055" s="5">
        <v>45595.0</v>
      </c>
      <c r="D1055" s="1" t="s">
        <v>161</v>
      </c>
      <c r="E1055" s="1" t="s">
        <v>11</v>
      </c>
      <c r="F1055" s="1" t="s">
        <v>221</v>
      </c>
      <c r="H1055" s="1">
        <v>0.0</v>
      </c>
      <c r="I1055" s="1">
        <v>0.0</v>
      </c>
      <c r="J1055" s="1">
        <v>0.0</v>
      </c>
      <c r="K1055" s="1">
        <v>3.0</v>
      </c>
      <c r="L1055" s="1">
        <v>5.0</v>
      </c>
      <c r="M1055" s="1">
        <v>0.6</v>
      </c>
      <c r="N1055" s="1">
        <v>0.0</v>
      </c>
    </row>
    <row r="1056" ht="15.75" customHeight="1">
      <c r="A1056" s="1" t="s">
        <v>180</v>
      </c>
      <c r="B1056" s="1" t="s">
        <v>214</v>
      </c>
      <c r="C1056" s="5">
        <v>45595.0</v>
      </c>
      <c r="D1056" s="1" t="s">
        <v>161</v>
      </c>
      <c r="E1056" s="1" t="s">
        <v>11</v>
      </c>
      <c r="F1056" s="1" t="s">
        <v>168</v>
      </c>
      <c r="H1056" s="1">
        <v>0.0</v>
      </c>
      <c r="I1056" s="1">
        <v>1.0</v>
      </c>
      <c r="J1056" s="1">
        <v>0.0</v>
      </c>
      <c r="K1056" s="1">
        <v>12.0</v>
      </c>
      <c r="L1056" s="1">
        <v>12.0</v>
      </c>
      <c r="M1056" s="1">
        <v>1.0</v>
      </c>
      <c r="N1056" s="1">
        <v>6.579999924</v>
      </c>
    </row>
    <row r="1057" ht="15.75" customHeight="1">
      <c r="A1057" s="1" t="s">
        <v>160</v>
      </c>
      <c r="B1057" s="1" t="s">
        <v>20</v>
      </c>
      <c r="C1057" s="5">
        <v>45594.0</v>
      </c>
      <c r="D1057" s="1" t="s">
        <v>161</v>
      </c>
      <c r="E1057" s="1" t="s">
        <v>11</v>
      </c>
      <c r="H1057" s="1">
        <v>0.0</v>
      </c>
      <c r="J1057" s="1">
        <v>0.0</v>
      </c>
      <c r="N1057" s="1">
        <v>0.569999993</v>
      </c>
    </row>
    <row r="1058" ht="15.75" customHeight="1">
      <c r="A1058" s="1" t="s">
        <v>160</v>
      </c>
      <c r="B1058" s="1" t="s">
        <v>217</v>
      </c>
      <c r="C1058" s="5">
        <v>45594.0</v>
      </c>
      <c r="D1058" s="1" t="s">
        <v>161</v>
      </c>
      <c r="E1058" s="1" t="s">
        <v>11</v>
      </c>
      <c r="H1058" s="1">
        <v>0.0</v>
      </c>
      <c r="J1058" s="1">
        <v>0.0</v>
      </c>
      <c r="N1058" s="1">
        <v>3.049999952</v>
      </c>
    </row>
    <row r="1059" ht="15.75" customHeight="1">
      <c r="A1059" s="1" t="s">
        <v>160</v>
      </c>
      <c r="B1059" s="1" t="s">
        <v>69</v>
      </c>
      <c r="C1059" s="5">
        <v>45594.0</v>
      </c>
      <c r="D1059" s="1" t="s">
        <v>161</v>
      </c>
      <c r="E1059" s="1" t="s">
        <v>11</v>
      </c>
      <c r="F1059" s="1" t="s">
        <v>165</v>
      </c>
      <c r="H1059" s="1">
        <v>0.0</v>
      </c>
      <c r="I1059" s="1">
        <v>0.0</v>
      </c>
      <c r="J1059" s="1">
        <v>0.0</v>
      </c>
      <c r="K1059" s="1">
        <v>4.0</v>
      </c>
      <c r="L1059" s="1">
        <v>6.0</v>
      </c>
      <c r="M1059" s="1">
        <v>0.666666667</v>
      </c>
      <c r="N1059" s="1">
        <v>13.44999981</v>
      </c>
    </row>
    <row r="1060" ht="15.75" customHeight="1">
      <c r="A1060" s="1" t="s">
        <v>164</v>
      </c>
      <c r="B1060" s="1" t="s">
        <v>22</v>
      </c>
      <c r="C1060" s="5">
        <v>45594.0</v>
      </c>
      <c r="D1060" s="1" t="s">
        <v>161</v>
      </c>
      <c r="E1060" s="1" t="s">
        <v>11</v>
      </c>
      <c r="F1060" s="1" t="s">
        <v>166</v>
      </c>
      <c r="H1060" s="1">
        <v>0.0</v>
      </c>
      <c r="I1060" s="1">
        <v>0.0</v>
      </c>
      <c r="J1060" s="1">
        <v>0.0</v>
      </c>
      <c r="K1060" s="1">
        <v>0.0</v>
      </c>
      <c r="L1060" s="1">
        <v>0.0</v>
      </c>
      <c r="N1060" s="1">
        <v>2.549999952</v>
      </c>
    </row>
    <row r="1061" ht="15.75" customHeight="1">
      <c r="A1061" s="1" t="s">
        <v>164</v>
      </c>
      <c r="B1061" s="1" t="s">
        <v>24</v>
      </c>
      <c r="C1061" s="5">
        <v>45594.0</v>
      </c>
      <c r="D1061" s="1" t="s">
        <v>161</v>
      </c>
      <c r="E1061" s="1" t="s">
        <v>11</v>
      </c>
      <c r="F1061" s="1" t="s">
        <v>166</v>
      </c>
      <c r="H1061" s="1">
        <v>0.0</v>
      </c>
      <c r="I1061" s="1">
        <v>0.0</v>
      </c>
      <c r="J1061" s="1">
        <v>0.0</v>
      </c>
      <c r="K1061" s="1">
        <v>0.0</v>
      </c>
      <c r="L1061" s="1">
        <v>2.0</v>
      </c>
      <c r="M1061" s="1">
        <v>0.0</v>
      </c>
      <c r="N1061" s="1">
        <v>7.920000076</v>
      </c>
    </row>
    <row r="1062" ht="15.75" customHeight="1">
      <c r="A1062" s="1" t="s">
        <v>164</v>
      </c>
      <c r="B1062" s="1" t="s">
        <v>52</v>
      </c>
      <c r="C1062" s="5">
        <v>45594.0</v>
      </c>
      <c r="D1062" s="1" t="s">
        <v>161</v>
      </c>
      <c r="E1062" s="1" t="s">
        <v>11</v>
      </c>
      <c r="F1062" s="1" t="s">
        <v>165</v>
      </c>
      <c r="H1062" s="1">
        <v>0.0</v>
      </c>
      <c r="I1062" s="1">
        <v>0.0</v>
      </c>
      <c r="J1062" s="1">
        <v>0.0</v>
      </c>
      <c r="K1062" s="1">
        <v>4.0</v>
      </c>
      <c r="L1062" s="1">
        <v>7.0</v>
      </c>
      <c r="M1062" s="1">
        <v>0.571428571</v>
      </c>
      <c r="N1062" s="1">
        <v>8.739999771</v>
      </c>
    </row>
    <row r="1063" ht="15.75" customHeight="1">
      <c r="A1063" s="1" t="s">
        <v>164</v>
      </c>
      <c r="B1063" s="1" t="s">
        <v>63</v>
      </c>
      <c r="C1063" s="5">
        <v>45594.0</v>
      </c>
      <c r="D1063" s="1" t="s">
        <v>161</v>
      </c>
      <c r="E1063" s="1" t="s">
        <v>11</v>
      </c>
      <c r="F1063" s="1" t="s">
        <v>166</v>
      </c>
      <c r="H1063" s="1">
        <v>0.0</v>
      </c>
      <c r="I1063" s="1">
        <v>0.0</v>
      </c>
      <c r="J1063" s="1">
        <v>0.0</v>
      </c>
      <c r="K1063" s="1">
        <v>0.0</v>
      </c>
      <c r="L1063" s="1">
        <v>12.0</v>
      </c>
      <c r="M1063" s="1">
        <v>0.0</v>
      </c>
      <c r="N1063" s="1">
        <v>14.21000004</v>
      </c>
    </row>
    <row r="1064" ht="15.75" customHeight="1">
      <c r="A1064" s="1" t="s">
        <v>164</v>
      </c>
      <c r="B1064" s="1" t="s">
        <v>68</v>
      </c>
      <c r="C1064" s="5">
        <v>45594.0</v>
      </c>
      <c r="D1064" s="1" t="s">
        <v>161</v>
      </c>
      <c r="E1064" s="1" t="s">
        <v>11</v>
      </c>
      <c r="F1064" s="1" t="s">
        <v>165</v>
      </c>
      <c r="H1064" s="1">
        <v>0.0</v>
      </c>
      <c r="I1064" s="1">
        <v>0.0</v>
      </c>
      <c r="J1064" s="1">
        <v>0.0</v>
      </c>
      <c r="K1064" s="1">
        <v>14.0</v>
      </c>
      <c r="L1064" s="1">
        <v>23.0</v>
      </c>
      <c r="M1064" s="1">
        <v>0.608695652</v>
      </c>
      <c r="N1064" s="1">
        <v>14.40999985</v>
      </c>
    </row>
    <row r="1065" ht="15.75" customHeight="1">
      <c r="A1065" s="1" t="s">
        <v>164</v>
      </c>
      <c r="B1065" s="1" t="s">
        <v>74</v>
      </c>
      <c r="C1065" s="5">
        <v>45594.0</v>
      </c>
      <c r="D1065" s="1" t="s">
        <v>161</v>
      </c>
      <c r="E1065" s="1" t="s">
        <v>11</v>
      </c>
      <c r="F1065" s="1" t="s">
        <v>166</v>
      </c>
      <c r="H1065" s="1">
        <v>0.0</v>
      </c>
      <c r="I1065" s="1">
        <v>1.0</v>
      </c>
      <c r="J1065" s="1">
        <v>0.0</v>
      </c>
      <c r="K1065" s="1">
        <v>10.0</v>
      </c>
      <c r="L1065" s="1">
        <v>11.0</v>
      </c>
      <c r="M1065" s="1">
        <v>0.909090909</v>
      </c>
      <c r="N1065" s="1">
        <v>5.559999943</v>
      </c>
    </row>
    <row r="1066" ht="15.75" customHeight="1">
      <c r="A1066" s="1" t="s">
        <v>164</v>
      </c>
      <c r="B1066" s="1" t="s">
        <v>75</v>
      </c>
      <c r="C1066" s="5">
        <v>45594.0</v>
      </c>
      <c r="D1066" s="1" t="s">
        <v>161</v>
      </c>
      <c r="E1066" s="1" t="s">
        <v>11</v>
      </c>
      <c r="F1066" s="1" t="s">
        <v>165</v>
      </c>
      <c r="H1066" s="1">
        <v>0.0</v>
      </c>
      <c r="I1066" s="1">
        <v>0.0</v>
      </c>
      <c r="J1066" s="1">
        <v>0.0</v>
      </c>
      <c r="K1066" s="1">
        <v>13.0</v>
      </c>
      <c r="L1066" s="1">
        <v>24.0</v>
      </c>
      <c r="M1066" s="1">
        <v>0.541666667</v>
      </c>
      <c r="N1066" s="1">
        <v>15.22000027</v>
      </c>
    </row>
    <row r="1067" ht="15.75" customHeight="1">
      <c r="A1067" s="1" t="s">
        <v>164</v>
      </c>
      <c r="B1067" s="1" t="s">
        <v>100</v>
      </c>
      <c r="C1067" s="5">
        <v>45594.0</v>
      </c>
      <c r="D1067" s="1" t="s">
        <v>161</v>
      </c>
      <c r="E1067" s="1" t="s">
        <v>11</v>
      </c>
      <c r="F1067" s="1" t="s">
        <v>171</v>
      </c>
      <c r="H1067" s="1">
        <v>0.0</v>
      </c>
      <c r="I1067" s="1">
        <v>0.0</v>
      </c>
      <c r="J1067" s="1">
        <v>0.0</v>
      </c>
      <c r="K1067" s="1">
        <v>4.0</v>
      </c>
      <c r="L1067" s="1">
        <v>6.0</v>
      </c>
      <c r="M1067" s="1">
        <v>0.666666667</v>
      </c>
      <c r="N1067" s="1">
        <v>3.5</v>
      </c>
    </row>
    <row r="1068" ht="15.75" customHeight="1">
      <c r="A1068" s="1" t="s">
        <v>164</v>
      </c>
      <c r="B1068" s="1" t="s">
        <v>82</v>
      </c>
      <c r="C1068" s="5">
        <v>45594.0</v>
      </c>
      <c r="D1068" s="1" t="s">
        <v>161</v>
      </c>
      <c r="E1068" s="1" t="s">
        <v>11</v>
      </c>
      <c r="F1068" s="1" t="s">
        <v>165</v>
      </c>
      <c r="H1068" s="1">
        <v>0.0</v>
      </c>
      <c r="I1068" s="1">
        <v>0.0</v>
      </c>
      <c r="J1068" s="1">
        <v>0.0</v>
      </c>
      <c r="K1068" s="1">
        <v>0.0</v>
      </c>
      <c r="L1068" s="1">
        <v>0.0</v>
      </c>
      <c r="N1068" s="1">
        <v>8.699999809</v>
      </c>
    </row>
    <row r="1069" ht="15.75" customHeight="1">
      <c r="A1069" s="1" t="s">
        <v>180</v>
      </c>
      <c r="B1069" s="1" t="s">
        <v>220</v>
      </c>
      <c r="C1069" s="5">
        <v>45594.0</v>
      </c>
      <c r="D1069" s="1" t="s">
        <v>161</v>
      </c>
      <c r="E1069" s="1" t="s">
        <v>11</v>
      </c>
      <c r="F1069" s="1" t="s">
        <v>165</v>
      </c>
      <c r="H1069" s="1">
        <v>0.0</v>
      </c>
      <c r="I1069" s="1">
        <v>1.0</v>
      </c>
      <c r="J1069" s="1">
        <v>0.0</v>
      </c>
      <c r="K1069" s="1">
        <v>17.0</v>
      </c>
      <c r="L1069" s="1">
        <v>20.0</v>
      </c>
      <c r="M1069" s="1">
        <v>0.85</v>
      </c>
      <c r="N1069" s="1">
        <v>18.22999954</v>
      </c>
    </row>
    <row r="1070" ht="15.75" customHeight="1">
      <c r="A1070" s="1" t="s">
        <v>180</v>
      </c>
      <c r="B1070" s="1" t="s">
        <v>214</v>
      </c>
      <c r="C1070" s="5">
        <v>45594.0</v>
      </c>
      <c r="D1070" s="1" t="s">
        <v>161</v>
      </c>
      <c r="E1070" s="1" t="s">
        <v>11</v>
      </c>
      <c r="F1070" s="1" t="s">
        <v>165</v>
      </c>
      <c r="G1070" s="1" t="s">
        <v>163</v>
      </c>
      <c r="H1070" s="1">
        <v>1.0</v>
      </c>
      <c r="I1070" s="1">
        <v>0.0</v>
      </c>
      <c r="J1070" s="1">
        <v>0.0</v>
      </c>
      <c r="K1070" s="1">
        <v>5.0</v>
      </c>
      <c r="L1070" s="1">
        <v>9.0</v>
      </c>
      <c r="M1070" s="1">
        <v>0.555555556</v>
      </c>
      <c r="N1070" s="1">
        <v>0.0</v>
      </c>
    </row>
    <row r="1071" ht="15.75" customHeight="1">
      <c r="A1071" s="1" t="s">
        <v>180</v>
      </c>
      <c r="B1071" s="1" t="s">
        <v>214</v>
      </c>
      <c r="C1071" s="5">
        <v>45594.0</v>
      </c>
      <c r="D1071" s="1" t="s">
        <v>161</v>
      </c>
      <c r="E1071" s="1" t="s">
        <v>11</v>
      </c>
      <c r="F1071" s="1" t="s">
        <v>221</v>
      </c>
      <c r="G1071" s="1" t="s">
        <v>163</v>
      </c>
      <c r="H1071" s="1">
        <v>1.0</v>
      </c>
      <c r="I1071" s="1">
        <v>0.0</v>
      </c>
      <c r="J1071" s="1">
        <v>0.0</v>
      </c>
      <c r="K1071" s="1">
        <v>12.0</v>
      </c>
      <c r="L1071" s="1">
        <v>15.0</v>
      </c>
      <c r="M1071" s="1">
        <v>0.8</v>
      </c>
      <c r="N1071" s="1">
        <v>0.0</v>
      </c>
    </row>
    <row r="1072" ht="15.75" customHeight="1">
      <c r="A1072" s="1" t="s">
        <v>180</v>
      </c>
      <c r="B1072" s="1" t="s">
        <v>214</v>
      </c>
      <c r="C1072" s="5">
        <v>45594.0</v>
      </c>
      <c r="D1072" s="1" t="s">
        <v>161</v>
      </c>
      <c r="E1072" s="1" t="s">
        <v>11</v>
      </c>
      <c r="F1072" s="1" t="s">
        <v>167</v>
      </c>
      <c r="G1072" s="1" t="s">
        <v>163</v>
      </c>
      <c r="H1072" s="1">
        <v>1.0</v>
      </c>
      <c r="I1072" s="1">
        <v>2.0</v>
      </c>
      <c r="J1072" s="1">
        <v>0.0</v>
      </c>
      <c r="K1072" s="1">
        <v>34.0</v>
      </c>
      <c r="L1072" s="1">
        <v>43.0</v>
      </c>
      <c r="M1072" s="1">
        <v>0.790697674</v>
      </c>
      <c r="N1072" s="1">
        <v>31.32999992</v>
      </c>
    </row>
    <row r="1073" ht="15.75" customHeight="1">
      <c r="A1073" s="1" t="s">
        <v>180</v>
      </c>
      <c r="B1073" s="1" t="s">
        <v>214</v>
      </c>
      <c r="C1073" s="5">
        <v>45594.0</v>
      </c>
      <c r="D1073" s="1" t="s">
        <v>161</v>
      </c>
      <c r="E1073" s="1" t="s">
        <v>11</v>
      </c>
      <c r="F1073" s="1" t="s">
        <v>166</v>
      </c>
      <c r="G1073" s="1" t="s">
        <v>163</v>
      </c>
      <c r="H1073" s="1">
        <v>1.0</v>
      </c>
      <c r="I1073" s="1">
        <v>0.0</v>
      </c>
      <c r="J1073" s="1">
        <v>0.0</v>
      </c>
      <c r="K1073" s="1">
        <v>0.0</v>
      </c>
      <c r="L1073" s="1">
        <v>0.0</v>
      </c>
      <c r="N1073" s="1">
        <v>0.0</v>
      </c>
    </row>
    <row r="1074" ht="15.75" customHeight="1">
      <c r="A1074" s="1" t="s">
        <v>180</v>
      </c>
      <c r="B1074" s="1" t="s">
        <v>214</v>
      </c>
      <c r="C1074" s="5">
        <v>45594.0</v>
      </c>
      <c r="D1074" s="1" t="s">
        <v>161</v>
      </c>
      <c r="E1074" s="1" t="s">
        <v>11</v>
      </c>
      <c r="F1074" s="1" t="s">
        <v>171</v>
      </c>
      <c r="G1074" s="1" t="s">
        <v>163</v>
      </c>
      <c r="H1074" s="1">
        <v>1.0</v>
      </c>
      <c r="I1074" s="1">
        <v>0.0</v>
      </c>
      <c r="J1074" s="1">
        <v>0.0</v>
      </c>
      <c r="K1074" s="1">
        <v>3.0</v>
      </c>
      <c r="L1074" s="1">
        <v>5.0</v>
      </c>
      <c r="M1074" s="1">
        <v>0.6</v>
      </c>
      <c r="N1074" s="1">
        <v>0.0</v>
      </c>
    </row>
    <row r="1075" ht="15.75" customHeight="1">
      <c r="A1075" s="1" t="s">
        <v>160</v>
      </c>
      <c r="B1075" s="1" t="s">
        <v>20</v>
      </c>
      <c r="C1075" s="5">
        <v>45593.0</v>
      </c>
      <c r="D1075" s="1" t="s">
        <v>161</v>
      </c>
      <c r="E1075" s="1" t="s">
        <v>11</v>
      </c>
      <c r="F1075" s="1" t="s">
        <v>162</v>
      </c>
      <c r="H1075" s="1">
        <v>0.0</v>
      </c>
      <c r="I1075" s="1">
        <v>1.0</v>
      </c>
      <c r="J1075" s="1">
        <v>0.0</v>
      </c>
      <c r="K1075" s="1">
        <v>29.0</v>
      </c>
      <c r="L1075" s="1">
        <v>40.0</v>
      </c>
      <c r="M1075" s="1">
        <v>0.725</v>
      </c>
      <c r="N1075" s="1">
        <v>25.20000076</v>
      </c>
    </row>
    <row r="1076" ht="15.75" customHeight="1">
      <c r="A1076" s="1" t="s">
        <v>160</v>
      </c>
      <c r="B1076" s="1" t="s">
        <v>217</v>
      </c>
      <c r="C1076" s="5">
        <v>45593.0</v>
      </c>
      <c r="D1076" s="1" t="s">
        <v>161</v>
      </c>
      <c r="E1076" s="1" t="s">
        <v>11</v>
      </c>
      <c r="H1076" s="1">
        <v>0.0</v>
      </c>
      <c r="J1076" s="1">
        <v>0.0</v>
      </c>
      <c r="N1076" s="1">
        <v>0.860000014</v>
      </c>
    </row>
    <row r="1077" ht="15.75" customHeight="1">
      <c r="A1077" s="1" t="s">
        <v>160</v>
      </c>
      <c r="B1077" s="1" t="s">
        <v>69</v>
      </c>
      <c r="C1077" s="5">
        <v>45593.0</v>
      </c>
      <c r="D1077" s="1" t="s">
        <v>161</v>
      </c>
      <c r="E1077" s="1" t="s">
        <v>11</v>
      </c>
      <c r="F1077" s="1" t="s">
        <v>165</v>
      </c>
      <c r="H1077" s="1">
        <v>0.0</v>
      </c>
      <c r="I1077" s="1">
        <v>0.0</v>
      </c>
      <c r="J1077" s="1">
        <v>0.0</v>
      </c>
      <c r="K1077" s="1">
        <v>4.0</v>
      </c>
      <c r="L1077" s="1">
        <v>7.0</v>
      </c>
      <c r="M1077" s="1">
        <v>0.571428571</v>
      </c>
      <c r="N1077" s="1">
        <v>9.109999657</v>
      </c>
    </row>
    <row r="1078" ht="15.75" customHeight="1">
      <c r="A1078" s="1" t="s">
        <v>164</v>
      </c>
      <c r="B1078" s="1" t="s">
        <v>216</v>
      </c>
      <c r="C1078" s="5">
        <v>45593.0</v>
      </c>
      <c r="D1078" s="1" t="s">
        <v>161</v>
      </c>
      <c r="E1078" s="1" t="s">
        <v>11</v>
      </c>
      <c r="H1078" s="1">
        <v>0.0</v>
      </c>
      <c r="J1078" s="1">
        <v>0.0</v>
      </c>
      <c r="N1078" s="1">
        <v>0.180000007</v>
      </c>
    </row>
    <row r="1079" ht="15.75" customHeight="1">
      <c r="A1079" s="1" t="s">
        <v>164</v>
      </c>
      <c r="B1079" s="1" t="s">
        <v>24</v>
      </c>
      <c r="C1079" s="5">
        <v>45593.0</v>
      </c>
      <c r="D1079" s="1" t="s">
        <v>161</v>
      </c>
      <c r="E1079" s="1" t="s">
        <v>11</v>
      </c>
      <c r="F1079" s="1" t="s">
        <v>166</v>
      </c>
      <c r="H1079" s="1">
        <v>0.0</v>
      </c>
      <c r="I1079" s="1">
        <v>0.0</v>
      </c>
      <c r="J1079" s="1">
        <v>0.0</v>
      </c>
      <c r="K1079" s="1">
        <v>0.0</v>
      </c>
      <c r="L1079" s="1">
        <v>0.0</v>
      </c>
      <c r="N1079" s="1">
        <v>3.75</v>
      </c>
    </row>
    <row r="1080" ht="15.75" customHeight="1">
      <c r="A1080" s="1" t="s">
        <v>164</v>
      </c>
      <c r="B1080" s="1" t="s">
        <v>52</v>
      </c>
      <c r="C1080" s="5">
        <v>45593.0</v>
      </c>
      <c r="D1080" s="1" t="s">
        <v>161</v>
      </c>
      <c r="E1080" s="1" t="s">
        <v>11</v>
      </c>
      <c r="F1080" s="1" t="s">
        <v>165</v>
      </c>
      <c r="H1080" s="1">
        <v>0.0</v>
      </c>
      <c r="I1080" s="1">
        <v>0.0</v>
      </c>
      <c r="J1080" s="1">
        <v>0.0</v>
      </c>
      <c r="K1080" s="1">
        <v>4.0</v>
      </c>
      <c r="L1080" s="1">
        <v>7.0</v>
      </c>
      <c r="M1080" s="1">
        <v>0.571428571</v>
      </c>
      <c r="N1080" s="1">
        <v>6.8699998860000004</v>
      </c>
    </row>
    <row r="1081" ht="15.75" customHeight="1">
      <c r="A1081" s="1" t="s">
        <v>164</v>
      </c>
      <c r="B1081" s="1" t="s">
        <v>199</v>
      </c>
      <c r="C1081" s="5">
        <v>45593.0</v>
      </c>
      <c r="D1081" s="1" t="s">
        <v>161</v>
      </c>
      <c r="E1081" s="1" t="s">
        <v>11</v>
      </c>
      <c r="F1081" s="1" t="s">
        <v>162</v>
      </c>
      <c r="H1081" s="1">
        <v>0.0</v>
      </c>
      <c r="I1081" s="1">
        <v>0.0</v>
      </c>
      <c r="J1081" s="1">
        <v>0.0</v>
      </c>
      <c r="K1081" s="1">
        <v>3.0</v>
      </c>
      <c r="L1081" s="1">
        <v>4.0</v>
      </c>
      <c r="M1081" s="1">
        <v>0.75</v>
      </c>
      <c r="N1081" s="1">
        <v>5.929999828</v>
      </c>
    </row>
    <row r="1082" ht="15.75" customHeight="1">
      <c r="A1082" s="1" t="s">
        <v>164</v>
      </c>
      <c r="B1082" s="1" t="s">
        <v>222</v>
      </c>
      <c r="C1082" s="5">
        <v>45593.0</v>
      </c>
      <c r="D1082" s="1" t="s">
        <v>161</v>
      </c>
      <c r="E1082" s="1" t="s">
        <v>11</v>
      </c>
      <c r="H1082" s="1">
        <v>0.0</v>
      </c>
      <c r="J1082" s="1">
        <v>0.0</v>
      </c>
      <c r="N1082" s="1">
        <v>7.079999924</v>
      </c>
    </row>
    <row r="1083" ht="15.75" customHeight="1">
      <c r="A1083" s="1" t="s">
        <v>164</v>
      </c>
      <c r="B1083" s="1" t="s">
        <v>63</v>
      </c>
      <c r="C1083" s="5">
        <v>45593.0</v>
      </c>
      <c r="D1083" s="1" t="s">
        <v>161</v>
      </c>
      <c r="E1083" s="1" t="s">
        <v>11</v>
      </c>
      <c r="F1083" s="1" t="s">
        <v>166</v>
      </c>
      <c r="H1083" s="1">
        <v>0.0</v>
      </c>
      <c r="I1083" s="1">
        <v>0.0</v>
      </c>
      <c r="J1083" s="1">
        <v>0.0</v>
      </c>
      <c r="K1083" s="1">
        <v>0.0</v>
      </c>
      <c r="L1083" s="1">
        <v>6.0</v>
      </c>
      <c r="M1083" s="1">
        <v>0.0</v>
      </c>
      <c r="N1083" s="1">
        <v>6.28000021</v>
      </c>
    </row>
    <row r="1084" ht="15.75" customHeight="1">
      <c r="A1084" s="1" t="s">
        <v>164</v>
      </c>
      <c r="B1084" s="1" t="s">
        <v>183</v>
      </c>
      <c r="C1084" s="5">
        <v>45593.0</v>
      </c>
      <c r="D1084" s="1" t="s">
        <v>161</v>
      </c>
      <c r="E1084" s="1" t="s">
        <v>11</v>
      </c>
      <c r="F1084" s="1" t="s">
        <v>166</v>
      </c>
      <c r="H1084" s="1">
        <v>0.0</v>
      </c>
      <c r="I1084" s="1">
        <v>0.0</v>
      </c>
      <c r="J1084" s="1">
        <v>0.0</v>
      </c>
      <c r="K1084" s="1">
        <v>0.0</v>
      </c>
      <c r="L1084" s="1">
        <v>0.0</v>
      </c>
      <c r="N1084" s="1">
        <v>0.370000005</v>
      </c>
    </row>
    <row r="1085" ht="15.75" customHeight="1">
      <c r="A1085" s="1" t="s">
        <v>164</v>
      </c>
      <c r="B1085" s="1" t="s">
        <v>68</v>
      </c>
      <c r="C1085" s="5">
        <v>45593.0</v>
      </c>
      <c r="D1085" s="1" t="s">
        <v>161</v>
      </c>
      <c r="E1085" s="1" t="s">
        <v>11</v>
      </c>
      <c r="F1085" s="1" t="s">
        <v>165</v>
      </c>
      <c r="G1085" s="1" t="s">
        <v>172</v>
      </c>
      <c r="H1085" s="1">
        <v>1.0</v>
      </c>
      <c r="I1085" s="1">
        <v>0.0</v>
      </c>
      <c r="J1085" s="1">
        <v>0.0</v>
      </c>
      <c r="K1085" s="1">
        <v>6.0</v>
      </c>
      <c r="L1085" s="1">
        <v>12.0</v>
      </c>
      <c r="M1085" s="1">
        <v>0.5</v>
      </c>
      <c r="N1085" s="1">
        <v>11.10000038</v>
      </c>
    </row>
    <row r="1086" ht="15.75" customHeight="1">
      <c r="A1086" s="1" t="s">
        <v>164</v>
      </c>
      <c r="B1086" s="1" t="s">
        <v>74</v>
      </c>
      <c r="C1086" s="5">
        <v>45593.0</v>
      </c>
      <c r="D1086" s="1" t="s">
        <v>161</v>
      </c>
      <c r="E1086" s="1" t="s">
        <v>11</v>
      </c>
      <c r="F1086" s="1" t="s">
        <v>166</v>
      </c>
      <c r="H1086" s="1">
        <v>0.0</v>
      </c>
      <c r="I1086" s="1">
        <v>0.0</v>
      </c>
      <c r="J1086" s="1">
        <v>0.0</v>
      </c>
      <c r="K1086" s="1">
        <v>0.0</v>
      </c>
      <c r="L1086" s="1">
        <v>2.0</v>
      </c>
      <c r="M1086" s="1">
        <v>0.0</v>
      </c>
      <c r="N1086" s="1">
        <v>10.23999977</v>
      </c>
    </row>
    <row r="1087" ht="15.75" customHeight="1">
      <c r="A1087" s="1" t="s">
        <v>164</v>
      </c>
      <c r="B1087" s="1" t="s">
        <v>75</v>
      </c>
      <c r="C1087" s="5">
        <v>45593.0</v>
      </c>
      <c r="D1087" s="1" t="s">
        <v>161</v>
      </c>
      <c r="E1087" s="1" t="s">
        <v>11</v>
      </c>
      <c r="F1087" s="1" t="s">
        <v>165</v>
      </c>
      <c r="H1087" s="1">
        <v>0.0</v>
      </c>
      <c r="I1087" s="1">
        <v>1.0</v>
      </c>
      <c r="J1087" s="1">
        <v>0.0</v>
      </c>
      <c r="K1087" s="1">
        <v>10.0</v>
      </c>
      <c r="L1087" s="1">
        <v>14.0</v>
      </c>
      <c r="M1087" s="1">
        <v>0.714285714</v>
      </c>
      <c r="N1087" s="1">
        <v>13.30000019</v>
      </c>
    </row>
    <row r="1088" ht="15.75" customHeight="1">
      <c r="A1088" s="1" t="s">
        <v>164</v>
      </c>
      <c r="B1088" s="1" t="s">
        <v>100</v>
      </c>
      <c r="C1088" s="5">
        <v>45593.0</v>
      </c>
      <c r="D1088" s="1" t="s">
        <v>161</v>
      </c>
      <c r="E1088" s="1" t="s">
        <v>11</v>
      </c>
      <c r="F1088" s="1" t="s">
        <v>171</v>
      </c>
      <c r="H1088" s="1">
        <v>0.0</v>
      </c>
      <c r="I1088" s="1">
        <v>0.0</v>
      </c>
      <c r="J1088" s="1">
        <v>0.0</v>
      </c>
      <c r="K1088" s="1">
        <v>2.0</v>
      </c>
      <c r="L1088" s="1">
        <v>5.0</v>
      </c>
      <c r="M1088" s="1">
        <v>0.4</v>
      </c>
      <c r="N1088" s="1">
        <v>4.420000076</v>
      </c>
    </row>
    <row r="1089" ht="15.75" customHeight="1">
      <c r="A1089" s="1" t="s">
        <v>164</v>
      </c>
      <c r="B1089" s="1" t="s">
        <v>82</v>
      </c>
      <c r="C1089" s="5">
        <v>45593.0</v>
      </c>
      <c r="D1089" s="1" t="s">
        <v>161</v>
      </c>
      <c r="E1089" s="1" t="s">
        <v>11</v>
      </c>
      <c r="F1089" s="1" t="s">
        <v>165</v>
      </c>
      <c r="H1089" s="1">
        <v>0.0</v>
      </c>
      <c r="I1089" s="1">
        <v>0.0</v>
      </c>
      <c r="J1089" s="1">
        <v>0.0</v>
      </c>
      <c r="K1089" s="1">
        <v>0.0</v>
      </c>
      <c r="L1089" s="1">
        <v>1.0</v>
      </c>
      <c r="M1089" s="1">
        <v>0.0</v>
      </c>
      <c r="N1089" s="1">
        <v>12.67000008</v>
      </c>
    </row>
    <row r="1090" ht="15.75" customHeight="1">
      <c r="A1090" s="1" t="s">
        <v>180</v>
      </c>
      <c r="B1090" s="1" t="s">
        <v>220</v>
      </c>
      <c r="C1090" s="5">
        <v>45593.0</v>
      </c>
      <c r="D1090" s="1" t="s">
        <v>161</v>
      </c>
      <c r="E1090" s="1" t="s">
        <v>11</v>
      </c>
      <c r="F1090" s="1" t="s">
        <v>166</v>
      </c>
      <c r="H1090" s="1">
        <v>0.0</v>
      </c>
      <c r="I1090" s="1">
        <v>1.0</v>
      </c>
      <c r="J1090" s="1">
        <v>0.0</v>
      </c>
      <c r="K1090" s="1">
        <v>1.0</v>
      </c>
      <c r="L1090" s="1">
        <v>1.0</v>
      </c>
      <c r="M1090" s="1">
        <v>1.0</v>
      </c>
      <c r="N1090" s="1">
        <v>1.929999948</v>
      </c>
    </row>
    <row r="1091" ht="15.75" customHeight="1">
      <c r="A1091" s="1" t="s">
        <v>180</v>
      </c>
      <c r="B1091" s="1" t="s">
        <v>214</v>
      </c>
      <c r="C1091" s="5">
        <v>45593.0</v>
      </c>
      <c r="D1091" s="1" t="s">
        <v>161</v>
      </c>
      <c r="E1091" s="1" t="s">
        <v>11</v>
      </c>
      <c r="F1091" s="1" t="s">
        <v>221</v>
      </c>
      <c r="G1091" s="1" t="s">
        <v>163</v>
      </c>
      <c r="H1091" s="1">
        <v>1.0</v>
      </c>
      <c r="I1091" s="1">
        <v>1.0</v>
      </c>
      <c r="J1091" s="1">
        <v>0.0</v>
      </c>
      <c r="K1091" s="1">
        <v>12.0</v>
      </c>
      <c r="L1091" s="1">
        <v>12.0</v>
      </c>
      <c r="M1091" s="1">
        <v>1.0</v>
      </c>
      <c r="N1091" s="1">
        <v>4.400000095</v>
      </c>
    </row>
    <row r="1092" ht="15.75" customHeight="1">
      <c r="A1092" s="1" t="s">
        <v>180</v>
      </c>
      <c r="B1092" s="1" t="s">
        <v>214</v>
      </c>
      <c r="C1092" s="5">
        <v>45593.0</v>
      </c>
      <c r="D1092" s="1" t="s">
        <v>161</v>
      </c>
      <c r="E1092" s="1" t="s">
        <v>11</v>
      </c>
      <c r="F1092" s="1" t="s">
        <v>166</v>
      </c>
      <c r="G1092" s="1" t="s">
        <v>163</v>
      </c>
      <c r="H1092" s="1">
        <v>1.0</v>
      </c>
      <c r="I1092" s="1">
        <v>0.0</v>
      </c>
      <c r="J1092" s="1">
        <v>0.0</v>
      </c>
      <c r="K1092" s="1">
        <v>0.0</v>
      </c>
      <c r="L1092" s="1">
        <v>0.0</v>
      </c>
      <c r="N1092" s="1">
        <v>0.0</v>
      </c>
    </row>
    <row r="1093" ht="15.75" customHeight="1">
      <c r="A1093" s="1" t="s">
        <v>180</v>
      </c>
      <c r="B1093" s="1" t="s">
        <v>214</v>
      </c>
      <c r="C1093" s="5">
        <v>45593.0</v>
      </c>
      <c r="D1093" s="1" t="s">
        <v>161</v>
      </c>
      <c r="E1093" s="1" t="s">
        <v>11</v>
      </c>
      <c r="F1093" s="1" t="s">
        <v>169</v>
      </c>
      <c r="G1093" s="1" t="s">
        <v>163</v>
      </c>
      <c r="H1093" s="1">
        <v>1.0</v>
      </c>
      <c r="I1093" s="1">
        <v>0.0</v>
      </c>
      <c r="J1093" s="1">
        <v>0.0</v>
      </c>
      <c r="K1093" s="1">
        <v>0.0</v>
      </c>
      <c r="L1093" s="1">
        <v>0.0</v>
      </c>
      <c r="N1093" s="1">
        <v>0.0</v>
      </c>
    </row>
    <row r="1094" ht="15.75" customHeight="1">
      <c r="A1094" s="1" t="s">
        <v>164</v>
      </c>
      <c r="B1094" s="1" t="s">
        <v>52</v>
      </c>
      <c r="C1094" s="5">
        <v>45591.0</v>
      </c>
      <c r="D1094" s="1" t="s">
        <v>161</v>
      </c>
      <c r="E1094" s="1" t="s">
        <v>11</v>
      </c>
      <c r="F1094" s="1" t="s">
        <v>165</v>
      </c>
      <c r="H1094" s="1">
        <v>0.0</v>
      </c>
      <c r="I1094" s="1">
        <v>0.0</v>
      </c>
      <c r="J1094" s="1">
        <v>0.0</v>
      </c>
      <c r="K1094" s="1">
        <v>5.0</v>
      </c>
      <c r="L1094" s="1">
        <v>6.0</v>
      </c>
      <c r="M1094" s="1">
        <v>0.833333333</v>
      </c>
      <c r="N1094" s="1">
        <v>11.51000023</v>
      </c>
    </row>
    <row r="1095" ht="15.75" customHeight="1">
      <c r="A1095" s="1" t="s">
        <v>160</v>
      </c>
      <c r="B1095" s="1" t="s">
        <v>20</v>
      </c>
      <c r="C1095" s="5">
        <v>45590.0</v>
      </c>
      <c r="D1095" s="1" t="s">
        <v>161</v>
      </c>
      <c r="E1095" s="1" t="s">
        <v>11</v>
      </c>
      <c r="F1095" s="1" t="s">
        <v>162</v>
      </c>
      <c r="H1095" s="1">
        <v>0.0</v>
      </c>
      <c r="I1095" s="1">
        <v>0.0</v>
      </c>
      <c r="J1095" s="1">
        <v>0.0</v>
      </c>
      <c r="K1095" s="1">
        <v>4.0</v>
      </c>
      <c r="L1095" s="1">
        <v>5.0</v>
      </c>
      <c r="M1095" s="1">
        <v>0.8</v>
      </c>
      <c r="N1095" s="1">
        <v>8.090000153</v>
      </c>
    </row>
    <row r="1096" ht="15.75" customHeight="1">
      <c r="A1096" s="1" t="s">
        <v>164</v>
      </c>
      <c r="B1096" s="1" t="s">
        <v>24</v>
      </c>
      <c r="C1096" s="5">
        <v>45590.0</v>
      </c>
      <c r="D1096" s="1" t="s">
        <v>161</v>
      </c>
      <c r="E1096" s="1" t="s">
        <v>11</v>
      </c>
      <c r="F1096" s="1" t="s">
        <v>166</v>
      </c>
      <c r="H1096" s="1">
        <v>0.0</v>
      </c>
      <c r="I1096" s="1">
        <v>0.0</v>
      </c>
      <c r="J1096" s="1">
        <v>0.0</v>
      </c>
      <c r="K1096" s="1">
        <v>0.0</v>
      </c>
      <c r="L1096" s="1">
        <v>0.0</v>
      </c>
      <c r="N1096" s="1">
        <v>1.289999962</v>
      </c>
    </row>
    <row r="1097" ht="15.75" customHeight="1">
      <c r="A1097" s="1" t="s">
        <v>164</v>
      </c>
      <c r="B1097" s="1" t="s">
        <v>183</v>
      </c>
      <c r="C1097" s="5">
        <v>45590.0</v>
      </c>
      <c r="D1097" s="1" t="s">
        <v>161</v>
      </c>
      <c r="E1097" s="1" t="s">
        <v>11</v>
      </c>
      <c r="F1097" s="1" t="s">
        <v>166</v>
      </c>
      <c r="H1097" s="1">
        <v>0.0</v>
      </c>
      <c r="I1097" s="1">
        <v>0.0</v>
      </c>
      <c r="J1097" s="1">
        <v>0.0</v>
      </c>
      <c r="K1097" s="1">
        <v>5.0</v>
      </c>
      <c r="L1097" s="1">
        <v>9.0</v>
      </c>
      <c r="M1097" s="1">
        <v>0.555555556</v>
      </c>
      <c r="N1097" s="1">
        <v>6.690000057</v>
      </c>
    </row>
    <row r="1098" ht="15.75" customHeight="1">
      <c r="A1098" s="1" t="s">
        <v>164</v>
      </c>
      <c r="B1098" s="1" t="s">
        <v>68</v>
      </c>
      <c r="C1098" s="5">
        <v>45590.0</v>
      </c>
      <c r="D1098" s="1" t="s">
        <v>161</v>
      </c>
      <c r="E1098" s="1" t="s">
        <v>11</v>
      </c>
      <c r="F1098" s="1" t="s">
        <v>165</v>
      </c>
      <c r="H1098" s="1">
        <v>0.0</v>
      </c>
      <c r="I1098" s="1">
        <v>0.0</v>
      </c>
      <c r="J1098" s="1">
        <v>0.0</v>
      </c>
      <c r="K1098" s="1">
        <v>2.0</v>
      </c>
      <c r="L1098" s="1">
        <v>4.0</v>
      </c>
      <c r="M1098" s="1">
        <v>0.5</v>
      </c>
      <c r="N1098" s="1">
        <v>5.599999905</v>
      </c>
    </row>
    <row r="1099" ht="15.75" customHeight="1">
      <c r="A1099" s="1" t="s">
        <v>164</v>
      </c>
      <c r="B1099" s="1" t="s">
        <v>197</v>
      </c>
      <c r="C1099" s="5">
        <v>45590.0</v>
      </c>
      <c r="D1099" s="1" t="s">
        <v>161</v>
      </c>
      <c r="E1099" s="1" t="s">
        <v>11</v>
      </c>
      <c r="F1099" s="1" t="s">
        <v>168</v>
      </c>
      <c r="H1099" s="1">
        <v>0.0</v>
      </c>
      <c r="I1099" s="1">
        <v>0.0</v>
      </c>
      <c r="J1099" s="1">
        <v>0.0</v>
      </c>
      <c r="K1099" s="1">
        <v>0.0</v>
      </c>
      <c r="L1099" s="1">
        <v>0.0</v>
      </c>
      <c r="N1099" s="1">
        <v>0.379999995</v>
      </c>
    </row>
    <row r="1100" ht="15.75" customHeight="1">
      <c r="A1100" s="1" t="s">
        <v>164</v>
      </c>
      <c r="B1100" s="1" t="s">
        <v>74</v>
      </c>
      <c r="C1100" s="5">
        <v>45590.0</v>
      </c>
      <c r="D1100" s="1" t="s">
        <v>161</v>
      </c>
      <c r="E1100" s="1" t="s">
        <v>11</v>
      </c>
      <c r="F1100" s="1" t="s">
        <v>165</v>
      </c>
      <c r="G1100" s="1" t="s">
        <v>163</v>
      </c>
      <c r="H1100" s="1">
        <v>1.0</v>
      </c>
      <c r="I1100" s="1">
        <v>0.0</v>
      </c>
      <c r="J1100" s="1">
        <v>0.0</v>
      </c>
      <c r="K1100" s="1">
        <v>0.0</v>
      </c>
      <c r="L1100" s="1">
        <v>0.0</v>
      </c>
      <c r="N1100" s="1">
        <v>0.0</v>
      </c>
    </row>
    <row r="1101" ht="15.75" customHeight="1">
      <c r="A1101" s="1" t="s">
        <v>164</v>
      </c>
      <c r="B1101" s="1" t="s">
        <v>74</v>
      </c>
      <c r="C1101" s="5">
        <v>45590.0</v>
      </c>
      <c r="D1101" s="1" t="s">
        <v>161</v>
      </c>
      <c r="E1101" s="1" t="s">
        <v>11</v>
      </c>
      <c r="F1101" s="1" t="s">
        <v>166</v>
      </c>
      <c r="G1101" s="1" t="s">
        <v>163</v>
      </c>
      <c r="H1101" s="1">
        <v>1.0</v>
      </c>
      <c r="I1101" s="1">
        <v>0.0</v>
      </c>
      <c r="J1101" s="1">
        <v>0.0</v>
      </c>
      <c r="K1101" s="1">
        <v>4.0</v>
      </c>
      <c r="L1101" s="1">
        <v>9.0</v>
      </c>
      <c r="M1101" s="1">
        <v>0.444444444</v>
      </c>
      <c r="N1101" s="1">
        <v>11.36999989</v>
      </c>
    </row>
    <row r="1102" ht="15.75" customHeight="1">
      <c r="A1102" s="1" t="s">
        <v>164</v>
      </c>
      <c r="B1102" s="1" t="s">
        <v>75</v>
      </c>
      <c r="C1102" s="5">
        <v>45590.0</v>
      </c>
      <c r="D1102" s="1" t="s">
        <v>161</v>
      </c>
      <c r="E1102" s="1" t="s">
        <v>11</v>
      </c>
      <c r="F1102" s="1" t="s">
        <v>165</v>
      </c>
      <c r="H1102" s="1">
        <v>0.0</v>
      </c>
      <c r="I1102" s="1">
        <v>0.0</v>
      </c>
      <c r="J1102" s="1">
        <v>0.0</v>
      </c>
      <c r="K1102" s="1">
        <v>9.0</v>
      </c>
      <c r="L1102" s="1">
        <v>10.0</v>
      </c>
      <c r="M1102" s="1">
        <v>0.9</v>
      </c>
      <c r="N1102" s="1">
        <v>11.35000038</v>
      </c>
    </row>
    <row r="1103" ht="15.75" customHeight="1">
      <c r="A1103" s="1" t="s">
        <v>164</v>
      </c>
      <c r="B1103" s="1" t="s">
        <v>100</v>
      </c>
      <c r="C1103" s="5">
        <v>45590.0</v>
      </c>
      <c r="D1103" s="1" t="s">
        <v>161</v>
      </c>
      <c r="E1103" s="1" t="s">
        <v>11</v>
      </c>
      <c r="F1103" s="1" t="s">
        <v>171</v>
      </c>
      <c r="H1103" s="1">
        <v>0.0</v>
      </c>
      <c r="I1103" s="1">
        <v>0.0</v>
      </c>
      <c r="J1103" s="1">
        <v>0.0</v>
      </c>
      <c r="K1103" s="1">
        <v>1.0</v>
      </c>
      <c r="L1103" s="1">
        <v>1.0</v>
      </c>
      <c r="M1103" s="1">
        <v>1.0</v>
      </c>
      <c r="N1103" s="1">
        <v>0.939999998</v>
      </c>
    </row>
    <row r="1104" ht="15.75" customHeight="1">
      <c r="A1104" s="1" t="s">
        <v>164</v>
      </c>
      <c r="B1104" s="1" t="s">
        <v>82</v>
      </c>
      <c r="C1104" s="5">
        <v>45590.0</v>
      </c>
      <c r="D1104" s="1" t="s">
        <v>161</v>
      </c>
      <c r="E1104" s="1" t="s">
        <v>11</v>
      </c>
      <c r="F1104" s="1" t="s">
        <v>165</v>
      </c>
      <c r="H1104" s="1">
        <v>0.0</v>
      </c>
      <c r="I1104" s="1">
        <v>0.0</v>
      </c>
      <c r="J1104" s="1">
        <v>0.0</v>
      </c>
      <c r="K1104" s="1">
        <v>0.0</v>
      </c>
      <c r="L1104" s="1">
        <v>2.0</v>
      </c>
      <c r="M1104" s="1">
        <v>0.0</v>
      </c>
      <c r="N1104" s="1">
        <v>7.400000095</v>
      </c>
    </row>
    <row r="1105" ht="15.75" customHeight="1">
      <c r="A1105" s="1" t="s">
        <v>164</v>
      </c>
      <c r="B1105" s="1" t="s">
        <v>219</v>
      </c>
      <c r="C1105" s="5">
        <v>45590.0</v>
      </c>
      <c r="D1105" s="1" t="s">
        <v>161</v>
      </c>
      <c r="E1105" s="1" t="s">
        <v>11</v>
      </c>
      <c r="F1105" s="1" t="s">
        <v>165</v>
      </c>
      <c r="H1105" s="1">
        <v>0.0</v>
      </c>
      <c r="I1105" s="1">
        <v>0.0</v>
      </c>
      <c r="J1105" s="1">
        <v>0.0</v>
      </c>
      <c r="K1105" s="1">
        <v>2.0</v>
      </c>
      <c r="L1105" s="1">
        <v>3.0</v>
      </c>
      <c r="M1105" s="1">
        <v>0.666666667</v>
      </c>
      <c r="N1105" s="1">
        <v>2.640000105</v>
      </c>
    </row>
    <row r="1106" ht="15.75" customHeight="1">
      <c r="A1106" s="1" t="s">
        <v>180</v>
      </c>
      <c r="B1106" s="1" t="s">
        <v>214</v>
      </c>
      <c r="C1106" s="5">
        <v>45590.0</v>
      </c>
      <c r="D1106" s="1" t="s">
        <v>161</v>
      </c>
      <c r="E1106" s="1" t="s">
        <v>11</v>
      </c>
      <c r="F1106" s="1" t="s">
        <v>166</v>
      </c>
      <c r="G1106" s="1" t="s">
        <v>163</v>
      </c>
      <c r="H1106" s="1">
        <v>1.0</v>
      </c>
      <c r="I1106" s="1">
        <v>1.0</v>
      </c>
      <c r="J1106" s="1">
        <v>0.0</v>
      </c>
      <c r="K1106" s="1">
        <v>13.0</v>
      </c>
      <c r="L1106" s="1">
        <v>16.0</v>
      </c>
      <c r="M1106" s="1">
        <v>0.8125</v>
      </c>
      <c r="N1106" s="1">
        <v>0.0</v>
      </c>
    </row>
    <row r="1107" ht="15.75" customHeight="1">
      <c r="A1107" s="1" t="s">
        <v>180</v>
      </c>
      <c r="B1107" s="1" t="s">
        <v>214</v>
      </c>
      <c r="C1107" s="5">
        <v>45590.0</v>
      </c>
      <c r="D1107" s="1" t="s">
        <v>161</v>
      </c>
      <c r="E1107" s="1" t="s">
        <v>11</v>
      </c>
      <c r="F1107" s="1" t="s">
        <v>171</v>
      </c>
      <c r="G1107" s="1" t="s">
        <v>163</v>
      </c>
      <c r="H1107" s="1">
        <v>1.0</v>
      </c>
      <c r="I1107" s="1">
        <v>1.0</v>
      </c>
      <c r="J1107" s="1">
        <v>0.0</v>
      </c>
      <c r="K1107" s="1">
        <v>21.0</v>
      </c>
      <c r="L1107" s="1">
        <v>25.0</v>
      </c>
      <c r="M1107" s="1">
        <v>0.84</v>
      </c>
      <c r="N1107" s="1">
        <v>36.29999924</v>
      </c>
    </row>
    <row r="1108" ht="15.75" customHeight="1">
      <c r="A1108" s="1" t="s">
        <v>180</v>
      </c>
      <c r="B1108" s="1" t="s">
        <v>214</v>
      </c>
      <c r="C1108" s="5">
        <v>45590.0</v>
      </c>
      <c r="D1108" s="1" t="s">
        <v>161</v>
      </c>
      <c r="E1108" s="1" t="s">
        <v>11</v>
      </c>
      <c r="F1108" s="1" t="s">
        <v>169</v>
      </c>
      <c r="G1108" s="1" t="s">
        <v>163</v>
      </c>
      <c r="H1108" s="1">
        <v>1.0</v>
      </c>
      <c r="I1108" s="1">
        <v>1.0</v>
      </c>
      <c r="J1108" s="1">
        <v>0.0</v>
      </c>
      <c r="K1108" s="1">
        <v>14.0</v>
      </c>
      <c r="L1108" s="1">
        <v>15.0</v>
      </c>
      <c r="M1108" s="1">
        <v>0.933333333</v>
      </c>
      <c r="N1108" s="1">
        <v>0.0</v>
      </c>
    </row>
    <row r="1109" ht="15.75" customHeight="1">
      <c r="A1109" s="1" t="s">
        <v>160</v>
      </c>
      <c r="B1109" s="1" t="s">
        <v>20</v>
      </c>
      <c r="C1109" s="5">
        <v>45589.0</v>
      </c>
      <c r="D1109" s="1" t="s">
        <v>161</v>
      </c>
      <c r="E1109" s="1" t="s">
        <v>11</v>
      </c>
      <c r="F1109" s="1" t="s">
        <v>162</v>
      </c>
      <c r="H1109" s="1">
        <v>0.0</v>
      </c>
      <c r="I1109" s="1">
        <v>0.0</v>
      </c>
      <c r="J1109" s="1">
        <v>0.0</v>
      </c>
      <c r="K1109" s="1">
        <v>3.0</v>
      </c>
      <c r="L1109" s="1">
        <v>7.0</v>
      </c>
      <c r="M1109" s="1">
        <v>0.428571429</v>
      </c>
      <c r="N1109" s="1">
        <v>3.289999962</v>
      </c>
    </row>
    <row r="1110" ht="15.75" customHeight="1">
      <c r="A1110" s="1" t="s">
        <v>160</v>
      </c>
      <c r="B1110" s="1" t="s">
        <v>223</v>
      </c>
      <c r="C1110" s="5">
        <v>45589.0</v>
      </c>
      <c r="D1110" s="1" t="s">
        <v>161</v>
      </c>
      <c r="E1110" s="1" t="s">
        <v>11</v>
      </c>
      <c r="H1110" s="1">
        <v>0.0</v>
      </c>
      <c r="J1110" s="1">
        <v>0.0</v>
      </c>
      <c r="N1110" s="1">
        <v>0.310000002</v>
      </c>
    </row>
    <row r="1111" ht="15.75" customHeight="1">
      <c r="A1111" s="1" t="s">
        <v>160</v>
      </c>
      <c r="B1111" s="1" t="s">
        <v>217</v>
      </c>
      <c r="C1111" s="5">
        <v>45589.0</v>
      </c>
      <c r="D1111" s="1" t="s">
        <v>161</v>
      </c>
      <c r="E1111" s="1" t="s">
        <v>11</v>
      </c>
      <c r="H1111" s="1">
        <v>0.0</v>
      </c>
      <c r="J1111" s="1">
        <v>0.0</v>
      </c>
      <c r="N1111" s="1">
        <v>0.819999993</v>
      </c>
    </row>
    <row r="1112" ht="15.75" customHeight="1">
      <c r="A1112" s="1" t="s">
        <v>160</v>
      </c>
      <c r="B1112" s="1" t="s">
        <v>218</v>
      </c>
      <c r="C1112" s="5">
        <v>45589.0</v>
      </c>
      <c r="D1112" s="1" t="s">
        <v>161</v>
      </c>
      <c r="E1112" s="1" t="s">
        <v>11</v>
      </c>
      <c r="H1112" s="1">
        <v>0.0</v>
      </c>
      <c r="J1112" s="1">
        <v>0.0</v>
      </c>
      <c r="N1112" s="1">
        <v>2.1900000569999998</v>
      </c>
    </row>
    <row r="1113" ht="15.75" customHeight="1">
      <c r="A1113" s="1" t="s">
        <v>164</v>
      </c>
      <c r="B1113" s="1" t="s">
        <v>24</v>
      </c>
      <c r="C1113" s="5">
        <v>45589.0</v>
      </c>
      <c r="D1113" s="1" t="s">
        <v>161</v>
      </c>
      <c r="E1113" s="1" t="s">
        <v>11</v>
      </c>
      <c r="F1113" s="1" t="s">
        <v>166</v>
      </c>
      <c r="H1113" s="1">
        <v>0.0</v>
      </c>
      <c r="I1113" s="1">
        <v>0.0</v>
      </c>
      <c r="J1113" s="1">
        <v>0.0</v>
      </c>
      <c r="K1113" s="1">
        <v>1.0</v>
      </c>
      <c r="L1113" s="1">
        <v>1.0</v>
      </c>
      <c r="M1113" s="1">
        <v>1.0</v>
      </c>
      <c r="N1113" s="1">
        <v>8.729999542</v>
      </c>
    </row>
    <row r="1114" ht="15.75" customHeight="1">
      <c r="A1114" s="1" t="s">
        <v>164</v>
      </c>
      <c r="B1114" s="1" t="s">
        <v>52</v>
      </c>
      <c r="C1114" s="5">
        <v>45589.0</v>
      </c>
      <c r="D1114" s="1" t="s">
        <v>161</v>
      </c>
      <c r="E1114" s="1" t="s">
        <v>11</v>
      </c>
      <c r="F1114" s="1" t="s">
        <v>165</v>
      </c>
      <c r="H1114" s="1">
        <v>0.0</v>
      </c>
      <c r="I1114" s="1">
        <v>0.0</v>
      </c>
      <c r="J1114" s="1">
        <v>0.0</v>
      </c>
      <c r="K1114" s="1">
        <v>4.0</v>
      </c>
      <c r="L1114" s="1">
        <v>7.0</v>
      </c>
      <c r="M1114" s="1">
        <v>0.571428571</v>
      </c>
      <c r="N1114" s="1">
        <v>6.5</v>
      </c>
    </row>
    <row r="1115" ht="15.75" customHeight="1">
      <c r="A1115" s="1" t="s">
        <v>164</v>
      </c>
      <c r="B1115" s="1" t="s">
        <v>199</v>
      </c>
      <c r="C1115" s="5">
        <v>45589.0</v>
      </c>
      <c r="D1115" s="1" t="s">
        <v>161</v>
      </c>
      <c r="E1115" s="1" t="s">
        <v>11</v>
      </c>
      <c r="F1115" s="1" t="s">
        <v>162</v>
      </c>
      <c r="H1115" s="1">
        <v>0.0</v>
      </c>
      <c r="I1115" s="1">
        <v>0.0</v>
      </c>
      <c r="J1115" s="1">
        <v>0.0</v>
      </c>
      <c r="K1115" s="1">
        <v>4.0</v>
      </c>
      <c r="L1115" s="1">
        <v>7.0</v>
      </c>
      <c r="M1115" s="1">
        <v>0.571428571</v>
      </c>
      <c r="N1115" s="1">
        <v>5.809999943</v>
      </c>
    </row>
    <row r="1116" ht="15.75" customHeight="1">
      <c r="A1116" s="1" t="s">
        <v>164</v>
      </c>
      <c r="B1116" s="1" t="s">
        <v>63</v>
      </c>
      <c r="C1116" s="5">
        <v>45589.0</v>
      </c>
      <c r="D1116" s="1" t="s">
        <v>161</v>
      </c>
      <c r="E1116" s="1" t="s">
        <v>11</v>
      </c>
      <c r="F1116" s="1" t="s">
        <v>166</v>
      </c>
      <c r="H1116" s="1">
        <v>0.0</v>
      </c>
      <c r="I1116" s="1">
        <v>0.0</v>
      </c>
      <c r="J1116" s="1">
        <v>0.0</v>
      </c>
      <c r="K1116" s="1">
        <v>0.0</v>
      </c>
      <c r="L1116" s="1">
        <v>0.0</v>
      </c>
      <c r="N1116" s="1">
        <v>0.99000001</v>
      </c>
    </row>
    <row r="1117" ht="15.75" customHeight="1">
      <c r="A1117" s="1" t="s">
        <v>164</v>
      </c>
      <c r="B1117" s="1" t="s">
        <v>197</v>
      </c>
      <c r="C1117" s="5">
        <v>45589.0</v>
      </c>
      <c r="D1117" s="1" t="s">
        <v>161</v>
      </c>
      <c r="E1117" s="1" t="s">
        <v>11</v>
      </c>
      <c r="F1117" s="1" t="s">
        <v>162</v>
      </c>
      <c r="H1117" s="1">
        <v>0.0</v>
      </c>
      <c r="I1117" s="1">
        <v>0.0</v>
      </c>
      <c r="J1117" s="1">
        <v>0.0</v>
      </c>
      <c r="K1117" s="1">
        <v>1.0</v>
      </c>
      <c r="L1117" s="1">
        <v>1.0</v>
      </c>
      <c r="M1117" s="1">
        <v>1.0</v>
      </c>
      <c r="N1117" s="1">
        <v>2.130000114</v>
      </c>
    </row>
    <row r="1118" ht="15.75" customHeight="1">
      <c r="A1118" s="1" t="s">
        <v>164</v>
      </c>
      <c r="B1118" s="1" t="s">
        <v>197</v>
      </c>
      <c r="C1118" s="5">
        <v>45589.0</v>
      </c>
      <c r="D1118" s="1" t="s">
        <v>161</v>
      </c>
      <c r="E1118" s="1" t="s">
        <v>11</v>
      </c>
      <c r="F1118" s="1" t="s">
        <v>177</v>
      </c>
      <c r="H1118" s="1">
        <v>0.0</v>
      </c>
      <c r="I1118" s="1">
        <v>0.0</v>
      </c>
      <c r="J1118" s="1">
        <v>0.0</v>
      </c>
      <c r="K1118" s="1">
        <v>0.0</v>
      </c>
      <c r="L1118" s="1">
        <v>0.0</v>
      </c>
      <c r="N1118" s="1">
        <v>0.0</v>
      </c>
    </row>
    <row r="1119" ht="15.75" customHeight="1">
      <c r="A1119" s="1" t="s">
        <v>164</v>
      </c>
      <c r="B1119" s="1" t="s">
        <v>74</v>
      </c>
      <c r="C1119" s="5">
        <v>45589.0</v>
      </c>
      <c r="D1119" s="1" t="s">
        <v>161</v>
      </c>
      <c r="E1119" s="1" t="s">
        <v>11</v>
      </c>
      <c r="F1119" s="1" t="s">
        <v>165</v>
      </c>
      <c r="G1119" s="1" t="s">
        <v>163</v>
      </c>
      <c r="H1119" s="1">
        <v>1.0</v>
      </c>
      <c r="I1119" s="1">
        <v>0.0</v>
      </c>
      <c r="J1119" s="1">
        <v>0.0</v>
      </c>
      <c r="K1119" s="1">
        <v>5.0</v>
      </c>
      <c r="L1119" s="1">
        <v>5.0</v>
      </c>
      <c r="M1119" s="1">
        <v>1.0</v>
      </c>
      <c r="N1119" s="1">
        <v>9.760000229</v>
      </c>
    </row>
    <row r="1120" ht="15.75" customHeight="1">
      <c r="A1120" s="1" t="s">
        <v>164</v>
      </c>
      <c r="B1120" s="1" t="s">
        <v>75</v>
      </c>
      <c r="C1120" s="5">
        <v>45589.0</v>
      </c>
      <c r="D1120" s="1" t="s">
        <v>161</v>
      </c>
      <c r="E1120" s="1" t="s">
        <v>11</v>
      </c>
      <c r="F1120" s="1" t="s">
        <v>165</v>
      </c>
      <c r="H1120" s="1">
        <v>0.0</v>
      </c>
      <c r="I1120" s="1">
        <v>0.0</v>
      </c>
      <c r="J1120" s="1">
        <v>0.0</v>
      </c>
      <c r="K1120" s="1">
        <v>2.0</v>
      </c>
      <c r="L1120" s="1">
        <v>4.0</v>
      </c>
      <c r="M1120" s="1">
        <v>0.5</v>
      </c>
      <c r="N1120" s="1">
        <v>10.22000027</v>
      </c>
    </row>
    <row r="1121" ht="15.75" customHeight="1">
      <c r="A1121" s="1" t="s">
        <v>164</v>
      </c>
      <c r="B1121" s="1" t="s">
        <v>100</v>
      </c>
      <c r="C1121" s="5">
        <v>45589.0</v>
      </c>
      <c r="D1121" s="1" t="s">
        <v>161</v>
      </c>
      <c r="E1121" s="1" t="s">
        <v>11</v>
      </c>
      <c r="F1121" s="1" t="s">
        <v>171</v>
      </c>
      <c r="H1121" s="1">
        <v>0.0</v>
      </c>
      <c r="I1121" s="1">
        <v>0.0</v>
      </c>
      <c r="J1121" s="1">
        <v>0.0</v>
      </c>
      <c r="K1121" s="1">
        <v>6.0</v>
      </c>
      <c r="L1121" s="1">
        <v>12.0</v>
      </c>
      <c r="M1121" s="1">
        <v>0.5</v>
      </c>
      <c r="N1121" s="1">
        <v>8.970000267</v>
      </c>
    </row>
    <row r="1122" ht="15.75" customHeight="1">
      <c r="A1122" s="1" t="s">
        <v>164</v>
      </c>
      <c r="B1122" s="1" t="s">
        <v>82</v>
      </c>
      <c r="C1122" s="5">
        <v>45589.0</v>
      </c>
      <c r="D1122" s="1" t="s">
        <v>161</v>
      </c>
      <c r="E1122" s="1" t="s">
        <v>11</v>
      </c>
      <c r="H1122" s="1">
        <v>0.0</v>
      </c>
      <c r="J1122" s="1">
        <v>0.0</v>
      </c>
      <c r="N1122" s="1">
        <v>5.599999905</v>
      </c>
    </row>
    <row r="1123" ht="15.75" customHeight="1">
      <c r="A1123" s="1" t="s">
        <v>164</v>
      </c>
      <c r="B1123" s="1" t="s">
        <v>219</v>
      </c>
      <c r="C1123" s="5">
        <v>45589.0</v>
      </c>
      <c r="D1123" s="1" t="s">
        <v>161</v>
      </c>
      <c r="E1123" s="1" t="s">
        <v>11</v>
      </c>
      <c r="F1123" s="1" t="s">
        <v>165</v>
      </c>
      <c r="H1123" s="1">
        <v>0.0</v>
      </c>
      <c r="I1123" s="1">
        <v>0.0</v>
      </c>
      <c r="J1123" s="1">
        <v>0.0</v>
      </c>
      <c r="K1123" s="1">
        <v>4.0</v>
      </c>
      <c r="L1123" s="1">
        <v>7.0</v>
      </c>
      <c r="M1123" s="1">
        <v>0.571428571</v>
      </c>
      <c r="N1123" s="1">
        <v>5.96999979</v>
      </c>
    </row>
    <row r="1124" ht="15.75" customHeight="1">
      <c r="A1124" s="1" t="s">
        <v>180</v>
      </c>
      <c r="B1124" s="1" t="s">
        <v>220</v>
      </c>
      <c r="C1124" s="5">
        <v>45589.0</v>
      </c>
      <c r="D1124" s="1" t="s">
        <v>161</v>
      </c>
      <c r="E1124" s="1" t="s">
        <v>11</v>
      </c>
      <c r="F1124" s="1" t="s">
        <v>221</v>
      </c>
      <c r="H1124" s="1">
        <v>0.0</v>
      </c>
      <c r="I1124" s="1">
        <v>0.0</v>
      </c>
      <c r="J1124" s="1">
        <v>0.0</v>
      </c>
      <c r="K1124" s="1">
        <v>0.0</v>
      </c>
      <c r="L1124" s="1">
        <v>0.0</v>
      </c>
      <c r="N1124" s="1">
        <v>0.0</v>
      </c>
    </row>
    <row r="1125" ht="15.75" customHeight="1">
      <c r="A1125" s="1" t="s">
        <v>180</v>
      </c>
      <c r="B1125" s="1" t="s">
        <v>220</v>
      </c>
      <c r="C1125" s="5">
        <v>45589.0</v>
      </c>
      <c r="D1125" s="1" t="s">
        <v>161</v>
      </c>
      <c r="E1125" s="1" t="s">
        <v>11</v>
      </c>
      <c r="F1125" s="1" t="s">
        <v>177</v>
      </c>
      <c r="H1125" s="1">
        <v>0.0</v>
      </c>
      <c r="I1125" s="1">
        <v>1.0</v>
      </c>
      <c r="J1125" s="1">
        <v>0.0</v>
      </c>
      <c r="K1125" s="1">
        <v>5.0</v>
      </c>
      <c r="L1125" s="1">
        <v>6.0</v>
      </c>
      <c r="M1125" s="1">
        <v>0.833333333</v>
      </c>
      <c r="N1125" s="1">
        <v>1.429999948</v>
      </c>
    </row>
    <row r="1126" ht="15.75" customHeight="1">
      <c r="A1126" s="1" t="s">
        <v>180</v>
      </c>
      <c r="B1126" s="1" t="s">
        <v>214</v>
      </c>
      <c r="C1126" s="5">
        <v>45589.0</v>
      </c>
      <c r="D1126" s="1" t="s">
        <v>161</v>
      </c>
      <c r="E1126" s="1" t="s">
        <v>11</v>
      </c>
      <c r="F1126" s="1" t="s">
        <v>166</v>
      </c>
      <c r="H1126" s="1">
        <v>0.0</v>
      </c>
      <c r="I1126" s="1">
        <v>0.0</v>
      </c>
      <c r="J1126" s="1">
        <v>0.0</v>
      </c>
      <c r="K1126" s="1">
        <v>1.0</v>
      </c>
      <c r="L1126" s="1">
        <v>1.0</v>
      </c>
      <c r="M1126" s="1">
        <v>1.0</v>
      </c>
      <c r="N1126" s="1">
        <v>5.420000076</v>
      </c>
    </row>
    <row r="1127" ht="15.75" customHeight="1">
      <c r="A1127" s="1" t="s">
        <v>160</v>
      </c>
      <c r="B1127" s="1" t="s">
        <v>224</v>
      </c>
      <c r="C1127" s="5">
        <v>45588.0</v>
      </c>
      <c r="D1127" s="1" t="s">
        <v>161</v>
      </c>
      <c r="E1127" s="1" t="s">
        <v>11</v>
      </c>
      <c r="F1127" s="1" t="s">
        <v>162</v>
      </c>
      <c r="G1127" s="1" t="s">
        <v>172</v>
      </c>
      <c r="H1127" s="1">
        <v>1.0</v>
      </c>
      <c r="I1127" s="1">
        <v>0.0</v>
      </c>
      <c r="J1127" s="1">
        <v>0.0</v>
      </c>
      <c r="K1127" s="1">
        <v>3.0</v>
      </c>
      <c r="L1127" s="1">
        <v>12.0</v>
      </c>
      <c r="M1127" s="1">
        <v>0.25</v>
      </c>
      <c r="N1127" s="1">
        <v>22.61000061</v>
      </c>
    </row>
    <row r="1128" ht="15.75" customHeight="1">
      <c r="A1128" s="1" t="s">
        <v>160</v>
      </c>
      <c r="B1128" s="1" t="s">
        <v>65</v>
      </c>
      <c r="C1128" s="5">
        <v>45588.0</v>
      </c>
      <c r="D1128" s="1" t="s">
        <v>161</v>
      </c>
      <c r="E1128" s="1" t="s">
        <v>11</v>
      </c>
      <c r="F1128" s="1" t="s">
        <v>162</v>
      </c>
      <c r="H1128" s="1">
        <v>0.0</v>
      </c>
      <c r="I1128" s="1">
        <v>0.0</v>
      </c>
      <c r="J1128" s="1">
        <v>0.0</v>
      </c>
      <c r="K1128" s="1">
        <v>1.0</v>
      </c>
      <c r="L1128" s="1">
        <v>2.0</v>
      </c>
      <c r="M1128" s="1">
        <v>0.5</v>
      </c>
      <c r="N1128" s="1">
        <v>1.0</v>
      </c>
    </row>
    <row r="1129" ht="15.75" customHeight="1">
      <c r="A1129" s="1" t="s">
        <v>160</v>
      </c>
      <c r="B1129" s="1" t="s">
        <v>77</v>
      </c>
      <c r="C1129" s="5">
        <v>45588.0</v>
      </c>
      <c r="D1129" s="1" t="s">
        <v>161</v>
      </c>
      <c r="E1129" s="1" t="s">
        <v>11</v>
      </c>
      <c r="H1129" s="1">
        <v>0.0</v>
      </c>
      <c r="J1129" s="1">
        <v>0.0</v>
      </c>
      <c r="N1129" s="1">
        <v>0.74000001</v>
      </c>
    </row>
    <row r="1130" ht="15.75" customHeight="1">
      <c r="A1130" s="1" t="s">
        <v>160</v>
      </c>
      <c r="B1130" s="1" t="s">
        <v>90</v>
      </c>
      <c r="C1130" s="5">
        <v>45588.0</v>
      </c>
      <c r="D1130" s="1" t="s">
        <v>161</v>
      </c>
      <c r="E1130" s="1" t="s">
        <v>11</v>
      </c>
      <c r="F1130" s="1" t="s">
        <v>165</v>
      </c>
      <c r="H1130" s="1">
        <v>0.0</v>
      </c>
      <c r="I1130" s="1">
        <v>0.0</v>
      </c>
      <c r="J1130" s="1">
        <v>0.0</v>
      </c>
      <c r="K1130" s="1">
        <v>0.0</v>
      </c>
      <c r="L1130" s="1">
        <v>0.0</v>
      </c>
      <c r="N1130" s="1">
        <v>0.07</v>
      </c>
    </row>
    <row r="1131" ht="15.75" customHeight="1">
      <c r="A1131" s="1" t="s">
        <v>164</v>
      </c>
      <c r="B1131" s="1" t="s">
        <v>216</v>
      </c>
      <c r="C1131" s="5">
        <v>45588.0</v>
      </c>
      <c r="D1131" s="1" t="s">
        <v>161</v>
      </c>
      <c r="E1131" s="1" t="s">
        <v>11</v>
      </c>
      <c r="F1131" s="1" t="s">
        <v>166</v>
      </c>
      <c r="H1131" s="1">
        <v>0.0</v>
      </c>
      <c r="I1131" s="1">
        <v>0.0</v>
      </c>
      <c r="J1131" s="1">
        <v>0.0</v>
      </c>
      <c r="K1131" s="1">
        <v>2.0</v>
      </c>
      <c r="L1131" s="1">
        <v>3.0</v>
      </c>
      <c r="M1131" s="1">
        <v>0.666666667</v>
      </c>
      <c r="N1131" s="1">
        <v>9.579999924</v>
      </c>
    </row>
    <row r="1132" ht="15.75" customHeight="1">
      <c r="A1132" s="1" t="s">
        <v>164</v>
      </c>
      <c r="B1132" s="1" t="s">
        <v>24</v>
      </c>
      <c r="C1132" s="5">
        <v>45588.0</v>
      </c>
      <c r="D1132" s="1" t="s">
        <v>161</v>
      </c>
      <c r="E1132" s="1" t="s">
        <v>11</v>
      </c>
      <c r="F1132" s="1" t="s">
        <v>166</v>
      </c>
      <c r="H1132" s="1">
        <v>0.0</v>
      </c>
      <c r="I1132" s="1">
        <v>0.0</v>
      </c>
      <c r="J1132" s="1">
        <v>0.0</v>
      </c>
      <c r="K1132" s="1">
        <v>2.0</v>
      </c>
      <c r="L1132" s="1">
        <v>5.0</v>
      </c>
      <c r="M1132" s="1">
        <v>0.4</v>
      </c>
      <c r="N1132" s="1">
        <v>7.230000019</v>
      </c>
    </row>
    <row r="1133" ht="15.75" customHeight="1">
      <c r="A1133" s="1" t="s">
        <v>164</v>
      </c>
      <c r="B1133" s="1" t="s">
        <v>52</v>
      </c>
      <c r="C1133" s="5">
        <v>45588.0</v>
      </c>
      <c r="D1133" s="1" t="s">
        <v>161</v>
      </c>
      <c r="E1133" s="1" t="s">
        <v>11</v>
      </c>
      <c r="F1133" s="1" t="s">
        <v>165</v>
      </c>
      <c r="H1133" s="1">
        <v>0.0</v>
      </c>
      <c r="I1133" s="1">
        <v>0.0</v>
      </c>
      <c r="J1133" s="1">
        <v>0.0</v>
      </c>
      <c r="K1133" s="1">
        <v>7.0</v>
      </c>
      <c r="L1133" s="1">
        <v>8.0</v>
      </c>
      <c r="M1133" s="1">
        <v>0.875</v>
      </c>
      <c r="N1133" s="1">
        <v>6.429999828</v>
      </c>
    </row>
    <row r="1134" ht="15.75" customHeight="1">
      <c r="A1134" s="1" t="s">
        <v>164</v>
      </c>
      <c r="B1134" s="1" t="s">
        <v>196</v>
      </c>
      <c r="C1134" s="5">
        <v>45588.0</v>
      </c>
      <c r="D1134" s="1" t="s">
        <v>161</v>
      </c>
      <c r="E1134" s="1" t="s">
        <v>11</v>
      </c>
      <c r="H1134" s="1">
        <v>0.0</v>
      </c>
      <c r="J1134" s="1">
        <v>0.0</v>
      </c>
      <c r="N1134" s="1">
        <v>0.720000029</v>
      </c>
    </row>
    <row r="1135" ht="15.75" customHeight="1">
      <c r="A1135" s="1" t="s">
        <v>164</v>
      </c>
      <c r="B1135" s="1" t="s">
        <v>60</v>
      </c>
      <c r="C1135" s="5">
        <v>45588.0</v>
      </c>
      <c r="D1135" s="1" t="s">
        <v>161</v>
      </c>
      <c r="E1135" s="1" t="s">
        <v>11</v>
      </c>
      <c r="F1135" s="1" t="s">
        <v>166</v>
      </c>
      <c r="H1135" s="1">
        <v>0.0</v>
      </c>
      <c r="I1135" s="1">
        <v>0.0</v>
      </c>
      <c r="J1135" s="1">
        <v>0.0</v>
      </c>
      <c r="K1135" s="1">
        <v>1.0</v>
      </c>
      <c r="L1135" s="1">
        <v>1.0</v>
      </c>
      <c r="M1135" s="1">
        <v>1.0</v>
      </c>
      <c r="N1135" s="1">
        <v>0.829999983</v>
      </c>
    </row>
    <row r="1136" ht="15.75" customHeight="1">
      <c r="A1136" s="1" t="s">
        <v>164</v>
      </c>
      <c r="B1136" s="1" t="s">
        <v>63</v>
      </c>
      <c r="C1136" s="5">
        <v>45588.0</v>
      </c>
      <c r="D1136" s="1" t="s">
        <v>161</v>
      </c>
      <c r="E1136" s="1" t="s">
        <v>11</v>
      </c>
      <c r="F1136" s="1" t="s">
        <v>166</v>
      </c>
      <c r="H1136" s="1">
        <v>0.0</v>
      </c>
      <c r="I1136" s="1">
        <v>0.0</v>
      </c>
      <c r="J1136" s="1">
        <v>0.0</v>
      </c>
      <c r="K1136" s="1">
        <v>0.0</v>
      </c>
      <c r="L1136" s="1">
        <v>7.0</v>
      </c>
      <c r="M1136" s="1">
        <v>0.0</v>
      </c>
      <c r="N1136" s="1">
        <v>7.1199998860000004</v>
      </c>
    </row>
    <row r="1137" ht="15.75" customHeight="1">
      <c r="A1137" s="1" t="s">
        <v>164</v>
      </c>
      <c r="B1137" s="1" t="s">
        <v>68</v>
      </c>
      <c r="C1137" s="5">
        <v>45588.0</v>
      </c>
      <c r="D1137" s="1" t="s">
        <v>161</v>
      </c>
      <c r="E1137" s="1" t="s">
        <v>11</v>
      </c>
      <c r="F1137" s="1" t="s">
        <v>165</v>
      </c>
      <c r="H1137" s="1">
        <v>0.0</v>
      </c>
      <c r="I1137" s="1">
        <v>0.0</v>
      </c>
      <c r="J1137" s="1">
        <v>0.0</v>
      </c>
      <c r="K1137" s="1">
        <v>2.0</v>
      </c>
      <c r="L1137" s="1">
        <v>3.0</v>
      </c>
      <c r="M1137" s="1">
        <v>0.666666667</v>
      </c>
      <c r="N1137" s="1">
        <v>8.210000038</v>
      </c>
    </row>
    <row r="1138" ht="15.75" customHeight="1">
      <c r="A1138" s="1" t="s">
        <v>164</v>
      </c>
      <c r="B1138" s="1" t="s">
        <v>197</v>
      </c>
      <c r="C1138" s="5">
        <v>45588.0</v>
      </c>
      <c r="D1138" s="1" t="s">
        <v>161</v>
      </c>
      <c r="E1138" s="1" t="s">
        <v>11</v>
      </c>
      <c r="F1138" s="1" t="s">
        <v>162</v>
      </c>
      <c r="G1138" s="1" t="s">
        <v>182</v>
      </c>
      <c r="H1138" s="1">
        <v>2.0</v>
      </c>
      <c r="I1138" s="1">
        <v>0.0</v>
      </c>
      <c r="J1138" s="1">
        <v>0.0</v>
      </c>
      <c r="K1138" s="1">
        <v>11.0</v>
      </c>
      <c r="L1138" s="1">
        <v>16.0</v>
      </c>
      <c r="M1138" s="1">
        <v>0.6875</v>
      </c>
      <c r="N1138" s="1">
        <v>8.630000114</v>
      </c>
    </row>
    <row r="1139" ht="15.75" customHeight="1">
      <c r="A1139" s="1" t="s">
        <v>164</v>
      </c>
      <c r="B1139" s="1" t="s">
        <v>197</v>
      </c>
      <c r="C1139" s="5">
        <v>45588.0</v>
      </c>
      <c r="D1139" s="1" t="s">
        <v>161</v>
      </c>
      <c r="E1139" s="1" t="s">
        <v>11</v>
      </c>
      <c r="F1139" s="1" t="s">
        <v>177</v>
      </c>
      <c r="G1139" s="1" t="s">
        <v>182</v>
      </c>
      <c r="H1139" s="1">
        <v>2.0</v>
      </c>
      <c r="I1139" s="1">
        <v>0.0</v>
      </c>
      <c r="J1139" s="1">
        <v>0.0</v>
      </c>
      <c r="K1139" s="1">
        <v>0.0</v>
      </c>
      <c r="L1139" s="1">
        <v>0.0</v>
      </c>
      <c r="N1139" s="1">
        <v>0.0</v>
      </c>
    </row>
    <row r="1140" ht="15.75" customHeight="1">
      <c r="A1140" s="1" t="s">
        <v>164</v>
      </c>
      <c r="B1140" s="1" t="s">
        <v>74</v>
      </c>
      <c r="C1140" s="5">
        <v>45588.0</v>
      </c>
      <c r="D1140" s="1" t="s">
        <v>161</v>
      </c>
      <c r="E1140" s="1" t="s">
        <v>11</v>
      </c>
      <c r="F1140" s="1" t="s">
        <v>165</v>
      </c>
      <c r="G1140" s="1" t="s">
        <v>163</v>
      </c>
      <c r="H1140" s="1">
        <v>1.0</v>
      </c>
      <c r="I1140" s="1">
        <v>0.0</v>
      </c>
      <c r="J1140" s="1">
        <v>0.0</v>
      </c>
      <c r="K1140" s="1">
        <v>0.0</v>
      </c>
      <c r="L1140" s="1">
        <v>2.0</v>
      </c>
      <c r="M1140" s="1">
        <v>0.0</v>
      </c>
      <c r="N1140" s="1">
        <v>6.739999771</v>
      </c>
    </row>
    <row r="1141" ht="15.75" customHeight="1">
      <c r="A1141" s="1" t="s">
        <v>164</v>
      </c>
      <c r="B1141" s="1" t="s">
        <v>74</v>
      </c>
      <c r="C1141" s="5">
        <v>45588.0</v>
      </c>
      <c r="D1141" s="1" t="s">
        <v>161</v>
      </c>
      <c r="E1141" s="1" t="s">
        <v>11</v>
      </c>
      <c r="F1141" s="1" t="s">
        <v>166</v>
      </c>
      <c r="G1141" s="1" t="s">
        <v>163</v>
      </c>
      <c r="H1141" s="1">
        <v>1.0</v>
      </c>
      <c r="I1141" s="1">
        <v>0.0</v>
      </c>
      <c r="J1141" s="1">
        <v>0.0</v>
      </c>
      <c r="K1141" s="1">
        <v>0.0</v>
      </c>
      <c r="L1141" s="1">
        <v>0.0</v>
      </c>
      <c r="N1141" s="1">
        <v>0.0</v>
      </c>
    </row>
    <row r="1142" ht="15.75" customHeight="1">
      <c r="A1142" s="1" t="s">
        <v>164</v>
      </c>
      <c r="B1142" s="1" t="s">
        <v>75</v>
      </c>
      <c r="C1142" s="5">
        <v>45588.0</v>
      </c>
      <c r="D1142" s="1" t="s">
        <v>161</v>
      </c>
      <c r="E1142" s="1" t="s">
        <v>11</v>
      </c>
      <c r="F1142" s="1" t="s">
        <v>165</v>
      </c>
      <c r="H1142" s="1">
        <v>0.0</v>
      </c>
      <c r="I1142" s="1">
        <v>0.0</v>
      </c>
      <c r="J1142" s="1">
        <v>0.0</v>
      </c>
      <c r="K1142" s="1">
        <v>0.0</v>
      </c>
      <c r="L1142" s="1">
        <v>1.0</v>
      </c>
      <c r="M1142" s="1">
        <v>0.0</v>
      </c>
      <c r="N1142" s="1">
        <v>4.159999847</v>
      </c>
    </row>
    <row r="1143" ht="15.75" customHeight="1">
      <c r="A1143" s="1" t="s">
        <v>164</v>
      </c>
      <c r="B1143" s="1" t="s">
        <v>100</v>
      </c>
      <c r="C1143" s="5">
        <v>45588.0</v>
      </c>
      <c r="D1143" s="1" t="s">
        <v>161</v>
      </c>
      <c r="E1143" s="1" t="s">
        <v>11</v>
      </c>
      <c r="F1143" s="1" t="s">
        <v>171</v>
      </c>
      <c r="H1143" s="1">
        <v>0.0</v>
      </c>
      <c r="I1143" s="1">
        <v>1.0</v>
      </c>
      <c r="J1143" s="1">
        <v>0.0</v>
      </c>
      <c r="K1143" s="1">
        <v>23.0</v>
      </c>
      <c r="L1143" s="1">
        <v>32.0</v>
      </c>
      <c r="M1143" s="1">
        <v>0.71875</v>
      </c>
      <c r="N1143" s="1">
        <v>15.71000004</v>
      </c>
    </row>
    <row r="1144" ht="15.75" customHeight="1">
      <c r="A1144" s="1" t="s">
        <v>164</v>
      </c>
      <c r="B1144" s="1" t="s">
        <v>82</v>
      </c>
      <c r="C1144" s="5">
        <v>45588.0</v>
      </c>
      <c r="D1144" s="1" t="s">
        <v>161</v>
      </c>
      <c r="E1144" s="1" t="s">
        <v>11</v>
      </c>
      <c r="F1144" s="1" t="s">
        <v>165</v>
      </c>
      <c r="H1144" s="1">
        <v>0.0</v>
      </c>
      <c r="I1144" s="1">
        <v>0.0</v>
      </c>
      <c r="J1144" s="1">
        <v>0.0</v>
      </c>
      <c r="K1144" s="1">
        <v>1.0</v>
      </c>
      <c r="L1144" s="1">
        <v>3.0</v>
      </c>
      <c r="M1144" s="1">
        <v>0.333333333</v>
      </c>
      <c r="N1144" s="1">
        <v>13.85000038</v>
      </c>
    </row>
    <row r="1145" ht="15.75" customHeight="1">
      <c r="A1145" s="1" t="s">
        <v>180</v>
      </c>
      <c r="B1145" s="1" t="s">
        <v>220</v>
      </c>
      <c r="C1145" s="5">
        <v>45588.0</v>
      </c>
      <c r="D1145" s="1" t="s">
        <v>161</v>
      </c>
      <c r="E1145" s="1" t="s">
        <v>11</v>
      </c>
      <c r="F1145" s="1" t="s">
        <v>162</v>
      </c>
      <c r="H1145" s="1">
        <v>0.0</v>
      </c>
      <c r="I1145" s="1">
        <v>1.0</v>
      </c>
      <c r="J1145" s="1">
        <v>0.0</v>
      </c>
      <c r="K1145" s="1">
        <v>1.0</v>
      </c>
      <c r="L1145" s="1">
        <v>1.0</v>
      </c>
      <c r="M1145" s="1">
        <v>1.0</v>
      </c>
      <c r="N1145" s="1">
        <v>1.389999986</v>
      </c>
    </row>
    <row r="1146" ht="15.75" customHeight="1">
      <c r="A1146" s="1" t="s">
        <v>180</v>
      </c>
      <c r="B1146" s="1" t="s">
        <v>214</v>
      </c>
      <c r="C1146" s="5">
        <v>45588.0</v>
      </c>
      <c r="D1146" s="1" t="s">
        <v>161</v>
      </c>
      <c r="E1146" s="1" t="s">
        <v>11</v>
      </c>
      <c r="F1146" s="1" t="s">
        <v>166</v>
      </c>
      <c r="H1146" s="1">
        <v>0.0</v>
      </c>
      <c r="I1146" s="1">
        <v>0.0</v>
      </c>
      <c r="J1146" s="1">
        <v>0.0</v>
      </c>
      <c r="K1146" s="1">
        <v>2.0</v>
      </c>
      <c r="L1146" s="1">
        <v>3.0</v>
      </c>
      <c r="M1146" s="1">
        <v>0.666666667</v>
      </c>
      <c r="N1146" s="1">
        <v>10.14999962</v>
      </c>
    </row>
    <row r="1147" ht="15.75" customHeight="1">
      <c r="A1147" s="1" t="s">
        <v>160</v>
      </c>
      <c r="B1147" s="1" t="s">
        <v>20</v>
      </c>
      <c r="C1147" s="5">
        <v>45587.0</v>
      </c>
      <c r="D1147" s="1" t="s">
        <v>161</v>
      </c>
      <c r="E1147" s="1" t="s">
        <v>11</v>
      </c>
      <c r="F1147" s="1" t="s">
        <v>162</v>
      </c>
      <c r="H1147" s="1">
        <v>0.0</v>
      </c>
      <c r="I1147" s="1">
        <v>0.0</v>
      </c>
      <c r="J1147" s="1">
        <v>0.0</v>
      </c>
      <c r="K1147" s="1">
        <v>5.0</v>
      </c>
      <c r="L1147" s="1">
        <v>17.0</v>
      </c>
      <c r="M1147" s="1">
        <v>0.294117647</v>
      </c>
      <c r="N1147" s="1">
        <v>14.51000023</v>
      </c>
    </row>
    <row r="1148" ht="15.75" customHeight="1">
      <c r="A1148" s="1" t="s">
        <v>164</v>
      </c>
      <c r="B1148" s="1" t="s">
        <v>216</v>
      </c>
      <c r="C1148" s="5">
        <v>45587.0</v>
      </c>
      <c r="D1148" s="1" t="s">
        <v>161</v>
      </c>
      <c r="E1148" s="1" t="s">
        <v>11</v>
      </c>
      <c r="F1148" s="1" t="s">
        <v>166</v>
      </c>
      <c r="H1148" s="1">
        <v>0.0</v>
      </c>
      <c r="I1148" s="1">
        <v>0.0</v>
      </c>
      <c r="J1148" s="1">
        <v>0.0</v>
      </c>
      <c r="K1148" s="1">
        <v>1.0</v>
      </c>
      <c r="L1148" s="1">
        <v>3.0</v>
      </c>
      <c r="M1148" s="1">
        <v>0.333333333</v>
      </c>
      <c r="N1148" s="1">
        <v>7.210000038</v>
      </c>
    </row>
    <row r="1149" ht="15.75" customHeight="1">
      <c r="A1149" s="1" t="s">
        <v>164</v>
      </c>
      <c r="B1149" s="1" t="s">
        <v>24</v>
      </c>
      <c r="C1149" s="5">
        <v>45587.0</v>
      </c>
      <c r="D1149" s="1" t="s">
        <v>161</v>
      </c>
      <c r="E1149" s="1" t="s">
        <v>11</v>
      </c>
      <c r="F1149" s="1" t="s">
        <v>166</v>
      </c>
      <c r="H1149" s="1">
        <v>0.0</v>
      </c>
      <c r="I1149" s="1">
        <v>0.0</v>
      </c>
      <c r="J1149" s="1">
        <v>0.0</v>
      </c>
      <c r="K1149" s="1">
        <v>1.0</v>
      </c>
      <c r="L1149" s="1">
        <v>4.0</v>
      </c>
      <c r="M1149" s="1">
        <v>0.25</v>
      </c>
      <c r="N1149" s="1">
        <v>7.510000229</v>
      </c>
    </row>
    <row r="1150" ht="15.75" customHeight="1">
      <c r="A1150" s="1" t="s">
        <v>164</v>
      </c>
      <c r="B1150" s="1" t="s">
        <v>207</v>
      </c>
      <c r="C1150" s="5">
        <v>45587.0</v>
      </c>
      <c r="D1150" s="1" t="s">
        <v>161</v>
      </c>
      <c r="E1150" s="1" t="s">
        <v>11</v>
      </c>
      <c r="F1150" s="1" t="s">
        <v>166</v>
      </c>
      <c r="H1150" s="1">
        <v>0.0</v>
      </c>
      <c r="I1150" s="1">
        <v>0.0</v>
      </c>
      <c r="J1150" s="1">
        <v>0.0</v>
      </c>
      <c r="K1150" s="1">
        <v>5.0</v>
      </c>
      <c r="L1150" s="1">
        <v>37.0</v>
      </c>
      <c r="M1150" s="1">
        <v>0.135135135</v>
      </c>
      <c r="N1150" s="1">
        <v>11.93999958</v>
      </c>
    </row>
    <row r="1151" ht="15.75" customHeight="1">
      <c r="A1151" s="1" t="s">
        <v>164</v>
      </c>
      <c r="B1151" s="1" t="s">
        <v>199</v>
      </c>
      <c r="C1151" s="5">
        <v>45587.0</v>
      </c>
      <c r="D1151" s="1" t="s">
        <v>161</v>
      </c>
      <c r="E1151" s="1" t="s">
        <v>11</v>
      </c>
      <c r="F1151" s="1" t="s">
        <v>162</v>
      </c>
      <c r="H1151" s="1">
        <v>0.0</v>
      </c>
      <c r="I1151" s="1">
        <v>0.0</v>
      </c>
      <c r="J1151" s="1">
        <v>0.0</v>
      </c>
      <c r="K1151" s="1">
        <v>2.0</v>
      </c>
      <c r="L1151" s="1">
        <v>5.0</v>
      </c>
      <c r="M1151" s="1">
        <v>0.4</v>
      </c>
      <c r="N1151" s="1">
        <v>6.829999924</v>
      </c>
    </row>
    <row r="1152" ht="15.75" customHeight="1">
      <c r="A1152" s="1" t="s">
        <v>164</v>
      </c>
      <c r="B1152" s="1" t="s">
        <v>63</v>
      </c>
      <c r="C1152" s="5">
        <v>45587.0</v>
      </c>
      <c r="D1152" s="1" t="s">
        <v>161</v>
      </c>
      <c r="E1152" s="1" t="s">
        <v>11</v>
      </c>
      <c r="F1152" s="1" t="s">
        <v>166</v>
      </c>
      <c r="H1152" s="1">
        <v>0.0</v>
      </c>
      <c r="I1152" s="1">
        <v>1.0</v>
      </c>
      <c r="J1152" s="1">
        <v>0.0</v>
      </c>
      <c r="K1152" s="1">
        <v>31.0</v>
      </c>
      <c r="L1152" s="1">
        <v>56.0</v>
      </c>
      <c r="M1152" s="1">
        <v>0.553571429</v>
      </c>
      <c r="N1152" s="1">
        <v>10.39999962</v>
      </c>
    </row>
    <row r="1153" ht="15.75" customHeight="1">
      <c r="A1153" s="1" t="s">
        <v>164</v>
      </c>
      <c r="B1153" s="1" t="s">
        <v>183</v>
      </c>
      <c r="C1153" s="5">
        <v>45587.0</v>
      </c>
      <c r="D1153" s="1" t="s">
        <v>161</v>
      </c>
      <c r="E1153" s="1" t="s">
        <v>11</v>
      </c>
      <c r="F1153" s="1" t="s">
        <v>166</v>
      </c>
      <c r="H1153" s="1">
        <v>0.0</v>
      </c>
      <c r="I1153" s="1">
        <v>0.0</v>
      </c>
      <c r="J1153" s="1">
        <v>0.0</v>
      </c>
      <c r="K1153" s="1">
        <v>3.0</v>
      </c>
      <c r="L1153" s="1">
        <v>5.0</v>
      </c>
      <c r="M1153" s="1">
        <v>0.6</v>
      </c>
      <c r="N1153" s="1">
        <v>7.320000172</v>
      </c>
    </row>
    <row r="1154" ht="15.75" customHeight="1">
      <c r="A1154" s="1" t="s">
        <v>164</v>
      </c>
      <c r="B1154" s="1" t="s">
        <v>68</v>
      </c>
      <c r="C1154" s="5">
        <v>45587.0</v>
      </c>
      <c r="D1154" s="1" t="s">
        <v>161</v>
      </c>
      <c r="E1154" s="1" t="s">
        <v>11</v>
      </c>
      <c r="F1154" s="1" t="s">
        <v>165</v>
      </c>
      <c r="H1154" s="1">
        <v>0.0</v>
      </c>
      <c r="I1154" s="1">
        <v>0.0</v>
      </c>
      <c r="J1154" s="1">
        <v>0.0</v>
      </c>
      <c r="K1154" s="1">
        <v>2.0</v>
      </c>
      <c r="L1154" s="1">
        <v>4.0</v>
      </c>
      <c r="M1154" s="1">
        <v>0.5</v>
      </c>
      <c r="N1154" s="1">
        <v>3.609999895</v>
      </c>
    </row>
    <row r="1155" ht="15.75" customHeight="1">
      <c r="A1155" s="1" t="s">
        <v>164</v>
      </c>
      <c r="B1155" s="1" t="s">
        <v>197</v>
      </c>
      <c r="C1155" s="5">
        <v>45587.0</v>
      </c>
      <c r="D1155" s="1" t="s">
        <v>161</v>
      </c>
      <c r="E1155" s="1" t="s">
        <v>11</v>
      </c>
      <c r="F1155" s="1" t="s">
        <v>177</v>
      </c>
      <c r="G1155" s="1" t="s">
        <v>163</v>
      </c>
      <c r="H1155" s="1">
        <v>1.0</v>
      </c>
      <c r="I1155" s="1">
        <v>1.0</v>
      </c>
      <c r="J1155" s="1">
        <v>0.0</v>
      </c>
      <c r="K1155" s="1">
        <v>14.0</v>
      </c>
      <c r="L1155" s="1">
        <v>20.0</v>
      </c>
      <c r="M1155" s="1">
        <v>0.7</v>
      </c>
      <c r="N1155" s="1">
        <v>16.38999939</v>
      </c>
    </row>
    <row r="1156" ht="15.75" customHeight="1">
      <c r="A1156" s="1" t="s">
        <v>164</v>
      </c>
      <c r="B1156" s="1" t="s">
        <v>74</v>
      </c>
      <c r="C1156" s="5">
        <v>45587.0</v>
      </c>
      <c r="D1156" s="1" t="s">
        <v>161</v>
      </c>
      <c r="E1156" s="1" t="s">
        <v>11</v>
      </c>
      <c r="F1156" s="1" t="s">
        <v>165</v>
      </c>
      <c r="G1156" s="1" t="s">
        <v>163</v>
      </c>
      <c r="H1156" s="1">
        <v>1.0</v>
      </c>
      <c r="I1156" s="1">
        <v>1.0</v>
      </c>
      <c r="J1156" s="1">
        <v>0.0</v>
      </c>
      <c r="K1156" s="1">
        <v>2.0</v>
      </c>
      <c r="L1156" s="1">
        <v>2.0</v>
      </c>
      <c r="M1156" s="1">
        <v>1.0</v>
      </c>
      <c r="N1156" s="1">
        <v>0.0</v>
      </c>
    </row>
    <row r="1157" ht="15.75" customHeight="1">
      <c r="A1157" s="1" t="s">
        <v>164</v>
      </c>
      <c r="B1157" s="1" t="s">
        <v>74</v>
      </c>
      <c r="C1157" s="5">
        <v>45587.0</v>
      </c>
      <c r="D1157" s="1" t="s">
        <v>161</v>
      </c>
      <c r="E1157" s="1" t="s">
        <v>11</v>
      </c>
      <c r="F1157" s="1" t="s">
        <v>166</v>
      </c>
      <c r="G1157" s="1" t="s">
        <v>163</v>
      </c>
      <c r="H1157" s="1">
        <v>1.0</v>
      </c>
      <c r="I1157" s="1">
        <v>0.0</v>
      </c>
      <c r="J1157" s="1">
        <v>0.0</v>
      </c>
      <c r="K1157" s="1">
        <v>3.0</v>
      </c>
      <c r="L1157" s="1">
        <v>4.0</v>
      </c>
      <c r="M1157" s="1">
        <v>0.75</v>
      </c>
      <c r="N1157" s="1">
        <v>10.57999992</v>
      </c>
    </row>
    <row r="1158" ht="15.75" customHeight="1">
      <c r="A1158" s="1" t="s">
        <v>164</v>
      </c>
      <c r="B1158" s="1" t="s">
        <v>100</v>
      </c>
      <c r="C1158" s="5">
        <v>45587.0</v>
      </c>
      <c r="D1158" s="1" t="s">
        <v>161</v>
      </c>
      <c r="E1158" s="1" t="s">
        <v>11</v>
      </c>
      <c r="F1158" s="1" t="s">
        <v>171</v>
      </c>
      <c r="H1158" s="1">
        <v>0.0</v>
      </c>
      <c r="I1158" s="1">
        <v>1.0</v>
      </c>
      <c r="J1158" s="1">
        <v>0.0</v>
      </c>
      <c r="K1158" s="1">
        <v>209.0</v>
      </c>
      <c r="L1158" s="1">
        <v>268.0</v>
      </c>
      <c r="M1158" s="1">
        <v>0.779850746</v>
      </c>
      <c r="N1158" s="1">
        <v>19.81999969</v>
      </c>
    </row>
    <row r="1159" ht="15.75" customHeight="1">
      <c r="A1159" s="1" t="s">
        <v>164</v>
      </c>
      <c r="B1159" s="1" t="s">
        <v>82</v>
      </c>
      <c r="C1159" s="5">
        <v>45587.0</v>
      </c>
      <c r="D1159" s="1" t="s">
        <v>161</v>
      </c>
      <c r="E1159" s="1" t="s">
        <v>11</v>
      </c>
      <c r="F1159" s="1" t="s">
        <v>165</v>
      </c>
      <c r="H1159" s="1">
        <v>0.0</v>
      </c>
      <c r="I1159" s="1">
        <v>0.0</v>
      </c>
      <c r="J1159" s="1">
        <v>0.0</v>
      </c>
      <c r="K1159" s="1">
        <v>1.0</v>
      </c>
      <c r="L1159" s="1">
        <v>2.0</v>
      </c>
      <c r="M1159" s="1">
        <v>0.5</v>
      </c>
      <c r="N1159" s="1">
        <v>11.94999981</v>
      </c>
    </row>
    <row r="1160" ht="15.75" customHeight="1">
      <c r="A1160" s="1" t="s">
        <v>164</v>
      </c>
      <c r="B1160" s="1" t="s">
        <v>219</v>
      </c>
      <c r="C1160" s="5">
        <v>45587.0</v>
      </c>
      <c r="D1160" s="1" t="s">
        <v>161</v>
      </c>
      <c r="E1160" s="1" t="s">
        <v>11</v>
      </c>
      <c r="F1160" s="1" t="s">
        <v>165</v>
      </c>
      <c r="H1160" s="1">
        <v>0.0</v>
      </c>
      <c r="I1160" s="1">
        <v>0.0</v>
      </c>
      <c r="J1160" s="1">
        <v>0.0</v>
      </c>
      <c r="K1160" s="1">
        <v>12.0</v>
      </c>
      <c r="L1160" s="1">
        <v>28.0</v>
      </c>
      <c r="M1160" s="1">
        <v>0.428571429</v>
      </c>
      <c r="N1160" s="1">
        <v>15.02999973</v>
      </c>
    </row>
    <row r="1161" ht="15.75" customHeight="1">
      <c r="A1161" s="1" t="s">
        <v>164</v>
      </c>
      <c r="B1161" s="1" t="s">
        <v>225</v>
      </c>
      <c r="C1161" s="5">
        <v>45587.0</v>
      </c>
      <c r="D1161" s="1" t="s">
        <v>161</v>
      </c>
      <c r="E1161" s="1" t="s">
        <v>11</v>
      </c>
      <c r="F1161" s="1" t="s">
        <v>166</v>
      </c>
      <c r="H1161" s="1">
        <v>0.0</v>
      </c>
      <c r="I1161" s="1">
        <v>0.0</v>
      </c>
      <c r="J1161" s="1">
        <v>0.0</v>
      </c>
      <c r="K1161" s="1">
        <v>1.0</v>
      </c>
      <c r="L1161" s="1">
        <v>3.0</v>
      </c>
      <c r="M1161" s="1">
        <v>0.333333333</v>
      </c>
      <c r="N1161" s="1">
        <v>6.900000095</v>
      </c>
    </row>
    <row r="1162" ht="15.75" customHeight="1">
      <c r="A1162" s="1" t="s">
        <v>180</v>
      </c>
      <c r="B1162" s="1" t="s">
        <v>220</v>
      </c>
      <c r="C1162" s="5">
        <v>45587.0</v>
      </c>
      <c r="D1162" s="1" t="s">
        <v>161</v>
      </c>
      <c r="E1162" s="1" t="s">
        <v>11</v>
      </c>
      <c r="F1162" s="1" t="s">
        <v>167</v>
      </c>
      <c r="H1162" s="1">
        <v>0.0</v>
      </c>
      <c r="I1162" s="1">
        <v>1.0</v>
      </c>
      <c r="J1162" s="1">
        <v>0.0</v>
      </c>
      <c r="K1162" s="1">
        <v>1.0</v>
      </c>
      <c r="L1162" s="1">
        <v>1.0</v>
      </c>
      <c r="M1162" s="1">
        <v>1.0</v>
      </c>
      <c r="N1162" s="1">
        <v>1.639999986</v>
      </c>
    </row>
    <row r="1163" ht="15.75" customHeight="1">
      <c r="A1163" s="1" t="s">
        <v>180</v>
      </c>
      <c r="B1163" s="1" t="s">
        <v>220</v>
      </c>
      <c r="C1163" s="5">
        <v>45587.0</v>
      </c>
      <c r="D1163" s="1" t="s">
        <v>161</v>
      </c>
      <c r="E1163" s="1" t="s">
        <v>11</v>
      </c>
      <c r="F1163" s="1" t="s">
        <v>166</v>
      </c>
      <c r="H1163" s="1">
        <v>0.0</v>
      </c>
      <c r="I1163" s="1">
        <v>0.0</v>
      </c>
      <c r="J1163" s="1">
        <v>0.0</v>
      </c>
      <c r="K1163" s="1">
        <v>0.0</v>
      </c>
      <c r="L1163" s="1">
        <v>0.0</v>
      </c>
      <c r="N1163" s="1">
        <v>0.0</v>
      </c>
    </row>
    <row r="1164" ht="15.75" customHeight="1">
      <c r="A1164" s="1" t="s">
        <v>180</v>
      </c>
      <c r="B1164" s="1" t="s">
        <v>214</v>
      </c>
      <c r="C1164" s="5">
        <v>45587.0</v>
      </c>
      <c r="D1164" s="1" t="s">
        <v>161</v>
      </c>
      <c r="E1164" s="1" t="s">
        <v>11</v>
      </c>
      <c r="F1164" s="1" t="s">
        <v>162</v>
      </c>
      <c r="G1164" s="1" t="s">
        <v>163</v>
      </c>
      <c r="H1164" s="1">
        <v>1.0</v>
      </c>
      <c r="I1164" s="1">
        <v>1.0</v>
      </c>
      <c r="J1164" s="1">
        <v>0.0</v>
      </c>
      <c r="K1164" s="1">
        <v>15.0</v>
      </c>
      <c r="L1164" s="1">
        <v>16.0</v>
      </c>
      <c r="M1164" s="1">
        <v>0.9375</v>
      </c>
      <c r="N1164" s="1">
        <v>22.40999985</v>
      </c>
    </row>
    <row r="1165" ht="15.75" customHeight="1">
      <c r="A1165" s="1" t="s">
        <v>180</v>
      </c>
      <c r="B1165" s="1" t="s">
        <v>214</v>
      </c>
      <c r="C1165" s="5">
        <v>45587.0</v>
      </c>
      <c r="D1165" s="1" t="s">
        <v>161</v>
      </c>
      <c r="E1165" s="1" t="s">
        <v>11</v>
      </c>
      <c r="F1165" s="1" t="s">
        <v>166</v>
      </c>
      <c r="G1165" s="1" t="s">
        <v>163</v>
      </c>
      <c r="H1165" s="1">
        <v>1.0</v>
      </c>
      <c r="I1165" s="1">
        <v>0.0</v>
      </c>
      <c r="J1165" s="1">
        <v>0.0</v>
      </c>
      <c r="K1165" s="1">
        <v>0.0</v>
      </c>
      <c r="L1165" s="1">
        <v>0.0</v>
      </c>
      <c r="N1165" s="1">
        <v>0.0</v>
      </c>
    </row>
    <row r="1166" ht="15.75" customHeight="1">
      <c r="A1166" s="1" t="s">
        <v>160</v>
      </c>
      <c r="B1166" s="1" t="s">
        <v>20</v>
      </c>
      <c r="C1166" s="5">
        <v>45586.0</v>
      </c>
      <c r="D1166" s="1" t="s">
        <v>161</v>
      </c>
      <c r="E1166" s="1" t="s">
        <v>11</v>
      </c>
      <c r="F1166" s="1" t="s">
        <v>162</v>
      </c>
      <c r="H1166" s="1">
        <v>0.0</v>
      </c>
      <c r="I1166" s="1">
        <v>0.0</v>
      </c>
      <c r="J1166" s="1">
        <v>0.0</v>
      </c>
      <c r="K1166" s="1">
        <v>0.0</v>
      </c>
      <c r="L1166" s="1">
        <v>2.0</v>
      </c>
      <c r="M1166" s="1">
        <v>0.0</v>
      </c>
      <c r="N1166" s="1">
        <v>2.930000067</v>
      </c>
    </row>
    <row r="1167" ht="15.75" customHeight="1">
      <c r="A1167" s="1" t="s">
        <v>160</v>
      </c>
      <c r="B1167" s="1" t="s">
        <v>77</v>
      </c>
      <c r="C1167" s="5">
        <v>45586.0</v>
      </c>
      <c r="D1167" s="1" t="s">
        <v>161</v>
      </c>
      <c r="E1167" s="1" t="s">
        <v>11</v>
      </c>
      <c r="F1167" s="1" t="s">
        <v>162</v>
      </c>
      <c r="H1167" s="1">
        <v>0.0</v>
      </c>
      <c r="I1167" s="1">
        <v>0.0</v>
      </c>
      <c r="J1167" s="1">
        <v>0.0</v>
      </c>
      <c r="K1167" s="1">
        <v>0.0</v>
      </c>
      <c r="L1167" s="1">
        <v>1.0</v>
      </c>
      <c r="M1167" s="1">
        <v>0.0</v>
      </c>
      <c r="N1167" s="1">
        <v>1.700000048</v>
      </c>
    </row>
    <row r="1168" ht="15.75" customHeight="1">
      <c r="A1168" s="1" t="s">
        <v>160</v>
      </c>
      <c r="B1168" s="1" t="s">
        <v>94</v>
      </c>
      <c r="C1168" s="5">
        <v>45586.0</v>
      </c>
      <c r="D1168" s="1" t="s">
        <v>161</v>
      </c>
      <c r="E1168" s="1" t="s">
        <v>190</v>
      </c>
      <c r="H1168" s="1">
        <v>0.0</v>
      </c>
      <c r="J1168" s="1">
        <v>0.0</v>
      </c>
      <c r="N1168" s="1">
        <v>0.670000017</v>
      </c>
    </row>
    <row r="1169" ht="15.75" customHeight="1">
      <c r="A1169" s="1" t="s">
        <v>164</v>
      </c>
      <c r="B1169" s="1" t="s">
        <v>35</v>
      </c>
      <c r="C1169" s="5">
        <v>45586.0</v>
      </c>
      <c r="D1169" s="1" t="s">
        <v>161</v>
      </c>
      <c r="E1169" s="1" t="s">
        <v>11</v>
      </c>
      <c r="F1169" s="1" t="s">
        <v>166</v>
      </c>
      <c r="H1169" s="1">
        <v>0.0</v>
      </c>
      <c r="I1169" s="1">
        <v>0.0</v>
      </c>
      <c r="J1169" s="1">
        <v>0.0</v>
      </c>
      <c r="K1169" s="1">
        <v>0.0</v>
      </c>
      <c r="L1169" s="1">
        <v>0.0</v>
      </c>
      <c r="N1169" s="1">
        <v>1.600000024</v>
      </c>
    </row>
    <row r="1170" ht="15.75" customHeight="1">
      <c r="A1170" s="1" t="s">
        <v>164</v>
      </c>
      <c r="B1170" s="1" t="s">
        <v>24</v>
      </c>
      <c r="C1170" s="5">
        <v>45586.0</v>
      </c>
      <c r="D1170" s="1" t="s">
        <v>161</v>
      </c>
      <c r="E1170" s="1" t="s">
        <v>11</v>
      </c>
      <c r="F1170" s="1" t="s">
        <v>166</v>
      </c>
      <c r="H1170" s="1">
        <v>0.0</v>
      </c>
      <c r="I1170" s="1">
        <v>0.0</v>
      </c>
      <c r="J1170" s="1">
        <v>0.0</v>
      </c>
      <c r="K1170" s="1">
        <v>1.0</v>
      </c>
      <c r="L1170" s="1">
        <v>4.0</v>
      </c>
      <c r="M1170" s="1">
        <v>0.25</v>
      </c>
      <c r="N1170" s="1">
        <v>8.850000381</v>
      </c>
    </row>
    <row r="1171" ht="15.75" customHeight="1">
      <c r="A1171" s="1" t="s">
        <v>164</v>
      </c>
      <c r="B1171" s="1" t="s">
        <v>207</v>
      </c>
      <c r="C1171" s="5">
        <v>45586.0</v>
      </c>
      <c r="D1171" s="1" t="s">
        <v>161</v>
      </c>
      <c r="E1171" s="1" t="s">
        <v>11</v>
      </c>
      <c r="F1171" s="1" t="s">
        <v>166</v>
      </c>
      <c r="H1171" s="1">
        <v>0.0</v>
      </c>
      <c r="I1171" s="1">
        <v>0.0</v>
      </c>
      <c r="J1171" s="1">
        <v>0.0</v>
      </c>
      <c r="K1171" s="1">
        <v>3.0</v>
      </c>
      <c r="L1171" s="1">
        <v>5.0</v>
      </c>
      <c r="M1171" s="1">
        <v>0.6</v>
      </c>
      <c r="N1171" s="1">
        <v>9.210000038</v>
      </c>
    </row>
    <row r="1172" ht="15.75" customHeight="1">
      <c r="A1172" s="1" t="s">
        <v>164</v>
      </c>
      <c r="B1172" s="1" t="s">
        <v>52</v>
      </c>
      <c r="C1172" s="5">
        <v>45586.0</v>
      </c>
      <c r="D1172" s="1" t="s">
        <v>161</v>
      </c>
      <c r="E1172" s="1" t="s">
        <v>11</v>
      </c>
      <c r="F1172" s="1" t="s">
        <v>165</v>
      </c>
      <c r="H1172" s="1">
        <v>0.0</v>
      </c>
      <c r="I1172" s="1">
        <v>0.0</v>
      </c>
      <c r="J1172" s="1">
        <v>0.0</v>
      </c>
      <c r="K1172" s="1">
        <v>0.0</v>
      </c>
      <c r="L1172" s="1">
        <v>2.0</v>
      </c>
      <c r="M1172" s="1">
        <v>0.0</v>
      </c>
      <c r="N1172" s="1">
        <v>8.170000076</v>
      </c>
    </row>
    <row r="1173" ht="15.75" customHeight="1">
      <c r="A1173" s="1" t="s">
        <v>164</v>
      </c>
      <c r="B1173" s="1" t="s">
        <v>55</v>
      </c>
      <c r="C1173" s="5">
        <v>45586.0</v>
      </c>
      <c r="D1173" s="1" t="s">
        <v>161</v>
      </c>
      <c r="E1173" s="1" t="s">
        <v>11</v>
      </c>
      <c r="H1173" s="1">
        <v>0.0</v>
      </c>
      <c r="J1173" s="1">
        <v>0.0</v>
      </c>
      <c r="N1173" s="1">
        <v>1.519999981</v>
      </c>
    </row>
    <row r="1174" ht="15.75" customHeight="1">
      <c r="A1174" s="1" t="s">
        <v>164</v>
      </c>
      <c r="B1174" s="1" t="s">
        <v>199</v>
      </c>
      <c r="C1174" s="5">
        <v>45586.0</v>
      </c>
      <c r="D1174" s="1" t="s">
        <v>161</v>
      </c>
      <c r="E1174" s="1" t="s">
        <v>11</v>
      </c>
      <c r="F1174" s="1" t="s">
        <v>162</v>
      </c>
      <c r="H1174" s="1">
        <v>0.0</v>
      </c>
      <c r="I1174" s="1">
        <v>0.0</v>
      </c>
      <c r="J1174" s="1">
        <v>0.0</v>
      </c>
      <c r="K1174" s="1">
        <v>3.0</v>
      </c>
      <c r="L1174" s="1">
        <v>9.0</v>
      </c>
      <c r="M1174" s="1">
        <v>0.333333333</v>
      </c>
      <c r="N1174" s="1">
        <v>8.569999695</v>
      </c>
    </row>
    <row r="1175" ht="15.75" customHeight="1">
      <c r="A1175" s="1" t="s">
        <v>164</v>
      </c>
      <c r="B1175" s="1" t="s">
        <v>63</v>
      </c>
      <c r="C1175" s="5">
        <v>45586.0</v>
      </c>
      <c r="D1175" s="1" t="s">
        <v>161</v>
      </c>
      <c r="E1175" s="1" t="s">
        <v>11</v>
      </c>
      <c r="F1175" s="1" t="s">
        <v>166</v>
      </c>
      <c r="H1175" s="1">
        <v>0.0</v>
      </c>
      <c r="I1175" s="1">
        <v>1.0</v>
      </c>
      <c r="J1175" s="1">
        <v>0.0</v>
      </c>
      <c r="K1175" s="1">
        <v>7.0</v>
      </c>
      <c r="L1175" s="1">
        <v>14.0</v>
      </c>
      <c r="M1175" s="1">
        <v>0.5</v>
      </c>
      <c r="N1175" s="1">
        <v>10.26000023</v>
      </c>
    </row>
    <row r="1176" ht="15.75" customHeight="1">
      <c r="A1176" s="1" t="s">
        <v>164</v>
      </c>
      <c r="B1176" s="1" t="s">
        <v>183</v>
      </c>
      <c r="C1176" s="5">
        <v>45586.0</v>
      </c>
      <c r="D1176" s="1" t="s">
        <v>161</v>
      </c>
      <c r="E1176" s="1" t="s">
        <v>11</v>
      </c>
      <c r="F1176" s="1" t="s">
        <v>166</v>
      </c>
      <c r="H1176" s="1">
        <v>0.0</v>
      </c>
      <c r="I1176" s="1">
        <v>0.0</v>
      </c>
      <c r="J1176" s="1">
        <v>0.0</v>
      </c>
      <c r="K1176" s="1">
        <v>4.0</v>
      </c>
      <c r="L1176" s="1">
        <v>6.0</v>
      </c>
      <c r="M1176" s="1">
        <v>0.666666667</v>
      </c>
      <c r="N1176" s="1">
        <v>9.180000305</v>
      </c>
    </row>
    <row r="1177" ht="15.75" customHeight="1">
      <c r="A1177" s="1" t="s">
        <v>164</v>
      </c>
      <c r="B1177" s="1" t="s">
        <v>68</v>
      </c>
      <c r="C1177" s="5">
        <v>45586.0</v>
      </c>
      <c r="D1177" s="1" t="s">
        <v>161</v>
      </c>
      <c r="E1177" s="1" t="s">
        <v>11</v>
      </c>
      <c r="F1177" s="1" t="s">
        <v>165</v>
      </c>
      <c r="G1177" s="1" t="s">
        <v>172</v>
      </c>
      <c r="H1177" s="1">
        <v>1.0</v>
      </c>
      <c r="I1177" s="1">
        <v>1.0</v>
      </c>
      <c r="J1177" s="1">
        <v>0.0</v>
      </c>
      <c r="K1177" s="1">
        <v>12.0</v>
      </c>
      <c r="L1177" s="1">
        <v>18.0</v>
      </c>
      <c r="M1177" s="1">
        <v>0.666666667</v>
      </c>
      <c r="N1177" s="1">
        <v>14.44999981</v>
      </c>
    </row>
    <row r="1178" ht="15.75" customHeight="1">
      <c r="A1178" s="1" t="s">
        <v>164</v>
      </c>
      <c r="B1178" s="1" t="s">
        <v>197</v>
      </c>
      <c r="C1178" s="5">
        <v>45586.0</v>
      </c>
      <c r="D1178" s="1" t="s">
        <v>161</v>
      </c>
      <c r="E1178" s="1" t="s">
        <v>11</v>
      </c>
      <c r="F1178" s="1" t="s">
        <v>162</v>
      </c>
      <c r="H1178" s="1">
        <v>0.0</v>
      </c>
      <c r="I1178" s="1">
        <v>0.0</v>
      </c>
      <c r="J1178" s="1">
        <v>0.0</v>
      </c>
      <c r="K1178" s="1">
        <v>0.0</v>
      </c>
      <c r="L1178" s="1">
        <v>7.0</v>
      </c>
      <c r="M1178" s="1">
        <v>0.0</v>
      </c>
      <c r="N1178" s="1">
        <v>8.130000114</v>
      </c>
    </row>
    <row r="1179" ht="15.75" customHeight="1">
      <c r="A1179" s="1" t="s">
        <v>164</v>
      </c>
      <c r="B1179" s="1" t="s">
        <v>74</v>
      </c>
      <c r="C1179" s="5">
        <v>45586.0</v>
      </c>
      <c r="D1179" s="1" t="s">
        <v>161</v>
      </c>
      <c r="E1179" s="1" t="s">
        <v>11</v>
      </c>
      <c r="F1179" s="1" t="s">
        <v>165</v>
      </c>
      <c r="G1179" s="1" t="s">
        <v>163</v>
      </c>
      <c r="H1179" s="1">
        <v>1.0</v>
      </c>
      <c r="I1179" s="1">
        <v>0.0</v>
      </c>
      <c r="J1179" s="1">
        <v>0.0</v>
      </c>
      <c r="K1179" s="1">
        <v>11.0</v>
      </c>
      <c r="L1179" s="1">
        <v>12.0</v>
      </c>
      <c r="M1179" s="1">
        <v>0.916666667</v>
      </c>
      <c r="N1179" s="1">
        <v>14.81999969</v>
      </c>
    </row>
    <row r="1180" ht="15.75" customHeight="1">
      <c r="A1180" s="1" t="s">
        <v>164</v>
      </c>
      <c r="B1180" s="1" t="s">
        <v>74</v>
      </c>
      <c r="C1180" s="5">
        <v>45586.0</v>
      </c>
      <c r="D1180" s="1" t="s">
        <v>161</v>
      </c>
      <c r="E1180" s="1" t="s">
        <v>11</v>
      </c>
      <c r="F1180" s="1" t="s">
        <v>166</v>
      </c>
      <c r="G1180" s="1" t="s">
        <v>163</v>
      </c>
      <c r="H1180" s="1">
        <v>1.0</v>
      </c>
      <c r="I1180" s="1">
        <v>0.0</v>
      </c>
      <c r="J1180" s="1">
        <v>0.0</v>
      </c>
      <c r="K1180" s="1">
        <v>1.0</v>
      </c>
      <c r="L1180" s="1">
        <v>5.0</v>
      </c>
      <c r="M1180" s="1">
        <v>0.2</v>
      </c>
      <c r="N1180" s="1">
        <v>0.0</v>
      </c>
    </row>
    <row r="1181" ht="15.75" customHeight="1">
      <c r="A1181" s="1" t="s">
        <v>164</v>
      </c>
      <c r="B1181" s="1" t="s">
        <v>205</v>
      </c>
      <c r="C1181" s="5">
        <v>45586.0</v>
      </c>
      <c r="D1181" s="1" t="s">
        <v>161</v>
      </c>
      <c r="E1181" s="1" t="s">
        <v>11</v>
      </c>
      <c r="F1181" s="1" t="s">
        <v>166</v>
      </c>
      <c r="H1181" s="1">
        <v>0.0</v>
      </c>
      <c r="I1181" s="1">
        <v>0.0</v>
      </c>
      <c r="J1181" s="1">
        <v>0.0</v>
      </c>
      <c r="K1181" s="1">
        <v>2.0</v>
      </c>
      <c r="L1181" s="1">
        <v>7.0</v>
      </c>
      <c r="M1181" s="1">
        <v>0.285714286</v>
      </c>
      <c r="N1181" s="1">
        <v>8.979999542</v>
      </c>
    </row>
    <row r="1182" ht="15.75" customHeight="1">
      <c r="A1182" s="1" t="s">
        <v>164</v>
      </c>
      <c r="B1182" s="1" t="s">
        <v>75</v>
      </c>
      <c r="C1182" s="5">
        <v>45586.0</v>
      </c>
      <c r="D1182" s="1" t="s">
        <v>161</v>
      </c>
      <c r="E1182" s="1" t="s">
        <v>11</v>
      </c>
      <c r="F1182" s="1" t="s">
        <v>165</v>
      </c>
      <c r="H1182" s="1">
        <v>0.0</v>
      </c>
      <c r="I1182" s="1">
        <v>1.0</v>
      </c>
      <c r="J1182" s="1">
        <v>0.0</v>
      </c>
      <c r="K1182" s="1">
        <v>4.0</v>
      </c>
      <c r="L1182" s="1">
        <v>8.0</v>
      </c>
      <c r="M1182" s="1">
        <v>0.5</v>
      </c>
      <c r="N1182" s="1">
        <v>14.96000004</v>
      </c>
    </row>
    <row r="1183" ht="15.75" customHeight="1">
      <c r="A1183" s="1" t="s">
        <v>164</v>
      </c>
      <c r="B1183" s="1" t="s">
        <v>100</v>
      </c>
      <c r="C1183" s="5">
        <v>45586.0</v>
      </c>
      <c r="D1183" s="1" t="s">
        <v>161</v>
      </c>
      <c r="E1183" s="1" t="s">
        <v>11</v>
      </c>
      <c r="F1183" s="1" t="s">
        <v>171</v>
      </c>
      <c r="H1183" s="1">
        <v>0.0</v>
      </c>
      <c r="I1183" s="1">
        <v>0.0</v>
      </c>
      <c r="J1183" s="1">
        <v>0.0</v>
      </c>
      <c r="K1183" s="1">
        <v>24.0</v>
      </c>
      <c r="L1183" s="1">
        <v>30.0</v>
      </c>
      <c r="M1183" s="1">
        <v>0.8</v>
      </c>
      <c r="N1183" s="1">
        <v>33.56000137</v>
      </c>
    </row>
    <row r="1184" ht="15.75" customHeight="1">
      <c r="A1184" s="1" t="s">
        <v>164</v>
      </c>
      <c r="B1184" s="1" t="s">
        <v>82</v>
      </c>
      <c r="C1184" s="5">
        <v>45586.0</v>
      </c>
      <c r="D1184" s="1" t="s">
        <v>161</v>
      </c>
      <c r="E1184" s="1" t="s">
        <v>11</v>
      </c>
      <c r="F1184" s="1" t="s">
        <v>165</v>
      </c>
      <c r="H1184" s="1">
        <v>0.0</v>
      </c>
      <c r="I1184" s="1">
        <v>0.0</v>
      </c>
      <c r="J1184" s="1">
        <v>0.0</v>
      </c>
      <c r="K1184" s="1">
        <v>0.0</v>
      </c>
      <c r="L1184" s="1">
        <v>0.0</v>
      </c>
      <c r="N1184" s="1">
        <v>3.150000095</v>
      </c>
    </row>
    <row r="1185" ht="15.75" customHeight="1">
      <c r="A1185" s="1" t="s">
        <v>180</v>
      </c>
      <c r="B1185" s="1" t="s">
        <v>220</v>
      </c>
      <c r="C1185" s="5">
        <v>45586.0</v>
      </c>
      <c r="D1185" s="1" t="s">
        <v>161</v>
      </c>
      <c r="E1185" s="1" t="s">
        <v>11</v>
      </c>
      <c r="F1185" s="1" t="s">
        <v>165</v>
      </c>
      <c r="H1185" s="1">
        <v>0.0</v>
      </c>
      <c r="I1185" s="1">
        <v>1.0</v>
      </c>
      <c r="J1185" s="1">
        <v>0.0</v>
      </c>
      <c r="K1185" s="1">
        <v>1.0</v>
      </c>
      <c r="L1185" s="1">
        <v>1.0</v>
      </c>
      <c r="M1185" s="1">
        <v>1.0</v>
      </c>
      <c r="N1185" s="1">
        <v>0.0</v>
      </c>
    </row>
    <row r="1186" ht="15.75" customHeight="1">
      <c r="A1186" s="1" t="s">
        <v>164</v>
      </c>
      <c r="B1186" s="1" t="s">
        <v>52</v>
      </c>
      <c r="C1186" s="5">
        <v>45583.0</v>
      </c>
      <c r="D1186" s="1" t="s">
        <v>161</v>
      </c>
      <c r="E1186" s="1" t="s">
        <v>11</v>
      </c>
      <c r="F1186" s="1" t="s">
        <v>162</v>
      </c>
      <c r="G1186" s="1" t="s">
        <v>163</v>
      </c>
      <c r="H1186" s="1">
        <v>1.0</v>
      </c>
      <c r="I1186" s="1">
        <v>0.0</v>
      </c>
      <c r="J1186" s="1">
        <v>0.0</v>
      </c>
      <c r="K1186" s="1">
        <v>5.0</v>
      </c>
      <c r="L1186" s="1">
        <v>8.0</v>
      </c>
      <c r="M1186" s="1">
        <v>0.625</v>
      </c>
      <c r="N1186" s="1">
        <v>12.31999969</v>
      </c>
    </row>
    <row r="1187" ht="15.75" customHeight="1">
      <c r="A1187" s="1" t="s">
        <v>164</v>
      </c>
      <c r="B1187" s="1" t="s">
        <v>52</v>
      </c>
      <c r="C1187" s="5">
        <v>45583.0</v>
      </c>
      <c r="D1187" s="1" t="s">
        <v>161</v>
      </c>
      <c r="E1187" s="1" t="s">
        <v>11</v>
      </c>
      <c r="F1187" s="1" t="s">
        <v>177</v>
      </c>
      <c r="G1187" s="1" t="s">
        <v>163</v>
      </c>
      <c r="H1187" s="1">
        <v>1.0</v>
      </c>
      <c r="I1187" s="1">
        <v>0.0</v>
      </c>
      <c r="J1187" s="1">
        <v>0.0</v>
      </c>
      <c r="K1187" s="1">
        <v>0.0</v>
      </c>
      <c r="L1187" s="1">
        <v>0.0</v>
      </c>
      <c r="N1187" s="1">
        <v>0.0</v>
      </c>
    </row>
    <row r="1188" ht="15.75" customHeight="1">
      <c r="A1188" s="1" t="s">
        <v>164</v>
      </c>
      <c r="B1188" s="1" t="s">
        <v>52</v>
      </c>
      <c r="C1188" s="5">
        <v>45583.0</v>
      </c>
      <c r="D1188" s="1" t="s">
        <v>161</v>
      </c>
      <c r="E1188" s="1" t="s">
        <v>11</v>
      </c>
      <c r="F1188" s="1" t="s">
        <v>168</v>
      </c>
      <c r="G1188" s="1" t="s">
        <v>163</v>
      </c>
      <c r="H1188" s="1">
        <v>1.0</v>
      </c>
      <c r="I1188" s="1">
        <v>0.0</v>
      </c>
      <c r="J1188" s="1">
        <v>0.0</v>
      </c>
      <c r="K1188" s="1">
        <v>0.0</v>
      </c>
      <c r="L1188" s="1">
        <v>0.0</v>
      </c>
      <c r="N1188" s="1">
        <v>0.0</v>
      </c>
    </row>
    <row r="1189" ht="15.75" customHeight="1">
      <c r="A1189" s="1" t="s">
        <v>164</v>
      </c>
      <c r="B1189" s="1" t="s">
        <v>68</v>
      </c>
      <c r="C1189" s="5">
        <v>45583.0</v>
      </c>
      <c r="D1189" s="1" t="s">
        <v>161</v>
      </c>
      <c r="E1189" s="1" t="s">
        <v>11</v>
      </c>
      <c r="F1189" s="1" t="s">
        <v>165</v>
      </c>
      <c r="H1189" s="1">
        <v>0.0</v>
      </c>
      <c r="I1189" s="1">
        <v>0.0</v>
      </c>
      <c r="J1189" s="1">
        <v>0.0</v>
      </c>
      <c r="K1189" s="1">
        <v>5.0</v>
      </c>
      <c r="L1189" s="1">
        <v>7.0</v>
      </c>
      <c r="M1189" s="1">
        <v>0.714285714</v>
      </c>
      <c r="N1189" s="1">
        <v>10.28999996</v>
      </c>
    </row>
    <row r="1190" ht="15.75" customHeight="1">
      <c r="A1190" s="1" t="s">
        <v>164</v>
      </c>
      <c r="B1190" s="1" t="s">
        <v>74</v>
      </c>
      <c r="C1190" s="5">
        <v>45583.0</v>
      </c>
      <c r="D1190" s="1" t="s">
        <v>161</v>
      </c>
      <c r="E1190" s="1" t="s">
        <v>11</v>
      </c>
      <c r="F1190" s="1" t="s">
        <v>166</v>
      </c>
      <c r="H1190" s="1">
        <v>0.0</v>
      </c>
      <c r="I1190" s="1">
        <v>0.0</v>
      </c>
      <c r="J1190" s="1">
        <v>0.0</v>
      </c>
      <c r="K1190" s="1">
        <v>4.0</v>
      </c>
      <c r="L1190" s="1">
        <v>5.0</v>
      </c>
      <c r="M1190" s="1">
        <v>0.8</v>
      </c>
      <c r="N1190" s="1">
        <v>13.60000038</v>
      </c>
    </row>
    <row r="1191" ht="15.75" customHeight="1">
      <c r="A1191" s="1" t="s">
        <v>164</v>
      </c>
      <c r="B1191" s="1" t="s">
        <v>75</v>
      </c>
      <c r="C1191" s="5">
        <v>45583.0</v>
      </c>
      <c r="D1191" s="1" t="s">
        <v>161</v>
      </c>
      <c r="E1191" s="1" t="s">
        <v>11</v>
      </c>
      <c r="F1191" s="1" t="s">
        <v>165</v>
      </c>
      <c r="H1191" s="1">
        <v>0.0</v>
      </c>
      <c r="I1191" s="1">
        <v>0.0</v>
      </c>
      <c r="J1191" s="1">
        <v>0.0</v>
      </c>
      <c r="K1191" s="1">
        <v>1.0</v>
      </c>
      <c r="L1191" s="1">
        <v>4.0</v>
      </c>
      <c r="M1191" s="1">
        <v>0.25</v>
      </c>
      <c r="N1191" s="1">
        <v>8.600000381</v>
      </c>
    </row>
    <row r="1192" ht="15.75" customHeight="1">
      <c r="A1192" s="1" t="s">
        <v>164</v>
      </c>
      <c r="B1192" s="1" t="s">
        <v>63</v>
      </c>
      <c r="C1192" s="5">
        <v>45582.0</v>
      </c>
      <c r="D1192" s="1" t="s">
        <v>161</v>
      </c>
      <c r="E1192" s="1" t="s">
        <v>11</v>
      </c>
      <c r="F1192" s="1" t="s">
        <v>166</v>
      </c>
      <c r="H1192" s="1">
        <v>0.0</v>
      </c>
      <c r="I1192" s="1">
        <v>0.0</v>
      </c>
      <c r="J1192" s="1">
        <v>0.0</v>
      </c>
      <c r="K1192" s="1">
        <v>3.0</v>
      </c>
      <c r="L1192" s="1">
        <v>5.0</v>
      </c>
      <c r="M1192" s="1">
        <v>0.6</v>
      </c>
      <c r="N1192" s="1">
        <v>2.930000067</v>
      </c>
    </row>
    <row r="1193" ht="15.75" customHeight="1">
      <c r="A1193" s="1" t="s">
        <v>164</v>
      </c>
      <c r="B1193" s="1" t="s">
        <v>68</v>
      </c>
      <c r="C1193" s="5">
        <v>45582.0</v>
      </c>
      <c r="D1193" s="1" t="s">
        <v>161</v>
      </c>
      <c r="E1193" s="1" t="s">
        <v>11</v>
      </c>
      <c r="F1193" s="1" t="s">
        <v>165</v>
      </c>
      <c r="H1193" s="1">
        <v>0.0</v>
      </c>
      <c r="I1193" s="1">
        <v>0.0</v>
      </c>
      <c r="J1193" s="1">
        <v>0.0</v>
      </c>
      <c r="K1193" s="1">
        <v>16.0</v>
      </c>
      <c r="L1193" s="1">
        <v>19.0</v>
      </c>
      <c r="M1193" s="1">
        <v>0.842105263</v>
      </c>
      <c r="N1193" s="1">
        <v>16.71999931</v>
      </c>
    </row>
    <row r="1194" ht="15.75" customHeight="1">
      <c r="A1194" s="1" t="s">
        <v>164</v>
      </c>
      <c r="B1194" s="1" t="s">
        <v>74</v>
      </c>
      <c r="C1194" s="5">
        <v>45582.0</v>
      </c>
      <c r="D1194" s="1" t="s">
        <v>161</v>
      </c>
      <c r="E1194" s="1" t="s">
        <v>11</v>
      </c>
      <c r="F1194" s="1" t="s">
        <v>166</v>
      </c>
      <c r="H1194" s="1">
        <v>0.0</v>
      </c>
      <c r="I1194" s="1">
        <v>0.0</v>
      </c>
      <c r="J1194" s="1">
        <v>0.0</v>
      </c>
      <c r="K1194" s="1">
        <v>4.0</v>
      </c>
      <c r="L1194" s="1">
        <v>9.0</v>
      </c>
      <c r="M1194" s="1">
        <v>0.444444444</v>
      </c>
      <c r="N1194" s="1">
        <v>10.77000046</v>
      </c>
    </row>
    <row r="1195" ht="15.75" customHeight="1">
      <c r="A1195" s="1" t="s">
        <v>164</v>
      </c>
      <c r="B1195" s="1" t="s">
        <v>75</v>
      </c>
      <c r="C1195" s="5">
        <v>45582.0</v>
      </c>
      <c r="D1195" s="1" t="s">
        <v>161</v>
      </c>
      <c r="E1195" s="1" t="s">
        <v>11</v>
      </c>
      <c r="F1195" s="1" t="s">
        <v>165</v>
      </c>
      <c r="H1195" s="1">
        <v>0.0</v>
      </c>
      <c r="I1195" s="1">
        <v>0.0</v>
      </c>
      <c r="J1195" s="1">
        <v>0.0</v>
      </c>
      <c r="K1195" s="1">
        <v>4.0</v>
      </c>
      <c r="L1195" s="1">
        <v>8.0</v>
      </c>
      <c r="M1195" s="1">
        <v>0.5</v>
      </c>
      <c r="N1195" s="1">
        <v>9.170000076</v>
      </c>
    </row>
    <row r="1196" ht="15.75" customHeight="1">
      <c r="A1196" s="1" t="s">
        <v>180</v>
      </c>
      <c r="B1196" s="1" t="s">
        <v>214</v>
      </c>
      <c r="C1196" s="5">
        <v>45582.0</v>
      </c>
      <c r="D1196" s="1" t="s">
        <v>161</v>
      </c>
      <c r="E1196" s="1" t="s">
        <v>11</v>
      </c>
      <c r="F1196" s="1" t="s">
        <v>167</v>
      </c>
      <c r="G1196" s="1" t="s">
        <v>163</v>
      </c>
      <c r="H1196" s="1">
        <v>1.0</v>
      </c>
      <c r="I1196" s="1">
        <v>1.0</v>
      </c>
      <c r="J1196" s="1">
        <v>0.0</v>
      </c>
      <c r="K1196" s="1">
        <v>13.0</v>
      </c>
      <c r="L1196" s="1">
        <v>13.0</v>
      </c>
      <c r="M1196" s="1">
        <v>1.0</v>
      </c>
      <c r="N1196" s="1">
        <v>3.569999933</v>
      </c>
    </row>
    <row r="1197" ht="15.75" customHeight="1">
      <c r="A1197" s="1" t="s">
        <v>180</v>
      </c>
      <c r="B1197" s="1" t="s">
        <v>226</v>
      </c>
      <c r="C1197" s="5">
        <v>45582.0</v>
      </c>
      <c r="D1197" s="1" t="s">
        <v>161</v>
      </c>
      <c r="E1197" s="1" t="s">
        <v>11</v>
      </c>
      <c r="H1197" s="1">
        <v>0.0</v>
      </c>
      <c r="J1197" s="1">
        <v>0.0</v>
      </c>
      <c r="N1197" s="1">
        <v>0.699999988</v>
      </c>
    </row>
    <row r="1198" ht="15.75" customHeight="1">
      <c r="A1198" s="1" t="s">
        <v>160</v>
      </c>
      <c r="B1198" s="1" t="s">
        <v>101</v>
      </c>
      <c r="C1198" s="5">
        <v>45581.0</v>
      </c>
      <c r="D1198" s="1" t="s">
        <v>161</v>
      </c>
      <c r="E1198" s="1" t="s">
        <v>11</v>
      </c>
      <c r="F1198" s="1" t="s">
        <v>162</v>
      </c>
      <c r="H1198" s="1">
        <v>0.0</v>
      </c>
      <c r="I1198" s="1">
        <v>0.0</v>
      </c>
      <c r="J1198" s="1">
        <v>0.0</v>
      </c>
      <c r="K1198" s="1">
        <v>2.0</v>
      </c>
      <c r="L1198" s="1">
        <v>16.0</v>
      </c>
      <c r="M1198" s="1">
        <v>0.125</v>
      </c>
      <c r="N1198" s="1">
        <v>14.97000027</v>
      </c>
    </row>
    <row r="1199" ht="15.75" customHeight="1">
      <c r="A1199" s="1" t="s">
        <v>160</v>
      </c>
      <c r="B1199" s="1" t="s">
        <v>94</v>
      </c>
      <c r="C1199" s="5">
        <v>45581.0</v>
      </c>
      <c r="D1199" s="1" t="s">
        <v>161</v>
      </c>
      <c r="E1199" s="1" t="s">
        <v>11</v>
      </c>
      <c r="F1199" s="1" t="s">
        <v>166</v>
      </c>
      <c r="H1199" s="1">
        <v>0.0</v>
      </c>
      <c r="I1199" s="1">
        <v>0.0</v>
      </c>
      <c r="J1199" s="1">
        <v>0.0</v>
      </c>
      <c r="K1199" s="1">
        <v>0.0</v>
      </c>
      <c r="L1199" s="1">
        <v>0.0</v>
      </c>
      <c r="N1199" s="1">
        <v>0.0</v>
      </c>
    </row>
    <row r="1200" ht="15.75" customHeight="1">
      <c r="A1200" s="1" t="s">
        <v>164</v>
      </c>
      <c r="B1200" s="1" t="s">
        <v>52</v>
      </c>
      <c r="C1200" s="5">
        <v>45581.0</v>
      </c>
      <c r="D1200" s="1" t="s">
        <v>161</v>
      </c>
      <c r="E1200" s="1" t="s">
        <v>11</v>
      </c>
      <c r="F1200" s="1" t="s">
        <v>165</v>
      </c>
      <c r="H1200" s="1">
        <v>0.0</v>
      </c>
      <c r="I1200" s="1">
        <v>0.0</v>
      </c>
      <c r="J1200" s="1">
        <v>0.0</v>
      </c>
      <c r="K1200" s="1">
        <v>0.0</v>
      </c>
      <c r="L1200" s="1">
        <v>0.0</v>
      </c>
      <c r="N1200" s="1">
        <v>0.460000008</v>
      </c>
    </row>
    <row r="1201" ht="15.75" customHeight="1">
      <c r="A1201" s="1" t="s">
        <v>164</v>
      </c>
      <c r="B1201" s="1" t="s">
        <v>179</v>
      </c>
      <c r="C1201" s="5">
        <v>45581.0</v>
      </c>
      <c r="D1201" s="1" t="s">
        <v>161</v>
      </c>
      <c r="E1201" s="1" t="s">
        <v>11</v>
      </c>
      <c r="F1201" s="1" t="s">
        <v>166</v>
      </c>
      <c r="H1201" s="1">
        <v>0.0</v>
      </c>
      <c r="I1201" s="1">
        <v>0.0</v>
      </c>
      <c r="J1201" s="1">
        <v>0.0</v>
      </c>
      <c r="K1201" s="1">
        <v>0.0</v>
      </c>
      <c r="L1201" s="1">
        <v>0.0</v>
      </c>
      <c r="N1201" s="1">
        <v>2.789999962</v>
      </c>
    </row>
    <row r="1202" ht="15.75" customHeight="1">
      <c r="A1202" s="1" t="s">
        <v>164</v>
      </c>
      <c r="B1202" s="1" t="s">
        <v>63</v>
      </c>
      <c r="C1202" s="5">
        <v>45581.0</v>
      </c>
      <c r="D1202" s="1" t="s">
        <v>161</v>
      </c>
      <c r="E1202" s="1" t="s">
        <v>11</v>
      </c>
      <c r="F1202" s="1" t="s">
        <v>166</v>
      </c>
      <c r="H1202" s="1">
        <v>0.0</v>
      </c>
      <c r="I1202" s="1">
        <v>0.0</v>
      </c>
      <c r="J1202" s="1">
        <v>0.0</v>
      </c>
      <c r="K1202" s="1">
        <v>1.0</v>
      </c>
      <c r="L1202" s="1">
        <v>3.0</v>
      </c>
      <c r="M1202" s="1">
        <v>0.333333333</v>
      </c>
      <c r="N1202" s="1">
        <v>4.730000019</v>
      </c>
    </row>
    <row r="1203" ht="15.75" customHeight="1">
      <c r="A1203" s="1" t="s">
        <v>164</v>
      </c>
      <c r="B1203" s="1" t="s">
        <v>183</v>
      </c>
      <c r="C1203" s="5">
        <v>45581.0</v>
      </c>
      <c r="D1203" s="1" t="s">
        <v>161</v>
      </c>
      <c r="E1203" s="1" t="s">
        <v>11</v>
      </c>
      <c r="H1203" s="1">
        <v>0.0</v>
      </c>
      <c r="J1203" s="1">
        <v>0.0</v>
      </c>
      <c r="N1203" s="1">
        <v>0.119999997</v>
      </c>
    </row>
    <row r="1204" ht="15.75" customHeight="1">
      <c r="A1204" s="1" t="s">
        <v>164</v>
      </c>
      <c r="B1204" s="1" t="s">
        <v>68</v>
      </c>
      <c r="C1204" s="5">
        <v>45581.0</v>
      </c>
      <c r="D1204" s="1" t="s">
        <v>161</v>
      </c>
      <c r="E1204" s="1" t="s">
        <v>11</v>
      </c>
      <c r="F1204" s="1" t="s">
        <v>165</v>
      </c>
      <c r="H1204" s="1">
        <v>0.0</v>
      </c>
      <c r="I1204" s="1">
        <v>0.0</v>
      </c>
      <c r="J1204" s="1">
        <v>0.0</v>
      </c>
      <c r="K1204" s="1">
        <v>0.0</v>
      </c>
      <c r="L1204" s="1">
        <v>2.0</v>
      </c>
      <c r="M1204" s="1">
        <v>0.0</v>
      </c>
      <c r="N1204" s="1">
        <v>6.590000153</v>
      </c>
    </row>
    <row r="1205" ht="15.75" customHeight="1">
      <c r="A1205" s="1" t="s">
        <v>164</v>
      </c>
      <c r="B1205" s="1" t="s">
        <v>75</v>
      </c>
      <c r="C1205" s="5">
        <v>45581.0</v>
      </c>
      <c r="D1205" s="1" t="s">
        <v>161</v>
      </c>
      <c r="E1205" s="1" t="s">
        <v>11</v>
      </c>
      <c r="F1205" s="1" t="s">
        <v>165</v>
      </c>
      <c r="H1205" s="1">
        <v>0.0</v>
      </c>
      <c r="I1205" s="1">
        <v>0.0</v>
      </c>
      <c r="J1205" s="1">
        <v>0.0</v>
      </c>
      <c r="K1205" s="1">
        <v>4.0</v>
      </c>
      <c r="L1205" s="1">
        <v>8.0</v>
      </c>
      <c r="M1205" s="1">
        <v>0.5</v>
      </c>
      <c r="N1205" s="1">
        <v>17.68000031</v>
      </c>
    </row>
    <row r="1206" ht="15.75" customHeight="1">
      <c r="A1206" s="1" t="s">
        <v>180</v>
      </c>
      <c r="B1206" s="1" t="s">
        <v>220</v>
      </c>
      <c r="C1206" s="5">
        <v>45581.0</v>
      </c>
      <c r="D1206" s="1" t="s">
        <v>161</v>
      </c>
      <c r="E1206" s="1" t="s">
        <v>11</v>
      </c>
      <c r="F1206" s="1" t="s">
        <v>165</v>
      </c>
      <c r="G1206" s="1" t="s">
        <v>163</v>
      </c>
      <c r="H1206" s="1">
        <v>1.0</v>
      </c>
      <c r="I1206" s="1">
        <v>0.0</v>
      </c>
      <c r="J1206" s="1">
        <v>0.0</v>
      </c>
      <c r="K1206" s="1">
        <v>11.0</v>
      </c>
      <c r="L1206" s="1">
        <v>11.0</v>
      </c>
      <c r="M1206" s="1">
        <v>1.0</v>
      </c>
      <c r="N1206" s="1">
        <v>0.0</v>
      </c>
    </row>
    <row r="1207" ht="15.75" customHeight="1">
      <c r="A1207" s="1" t="s">
        <v>180</v>
      </c>
      <c r="B1207" s="1" t="s">
        <v>220</v>
      </c>
      <c r="C1207" s="5">
        <v>45581.0</v>
      </c>
      <c r="D1207" s="1" t="s">
        <v>161</v>
      </c>
      <c r="E1207" s="1" t="s">
        <v>11</v>
      </c>
      <c r="F1207" s="1" t="s">
        <v>221</v>
      </c>
      <c r="G1207" s="1" t="s">
        <v>163</v>
      </c>
      <c r="H1207" s="1">
        <v>1.0</v>
      </c>
      <c r="I1207" s="1">
        <v>1.0</v>
      </c>
      <c r="J1207" s="1">
        <v>0.0</v>
      </c>
      <c r="K1207" s="1">
        <v>13.0</v>
      </c>
      <c r="L1207" s="1">
        <v>15.0</v>
      </c>
      <c r="M1207" s="1">
        <v>0.866666667</v>
      </c>
      <c r="N1207" s="1">
        <v>0.0</v>
      </c>
    </row>
    <row r="1208" ht="15.75" customHeight="1">
      <c r="A1208" s="1" t="s">
        <v>180</v>
      </c>
      <c r="B1208" s="1" t="s">
        <v>220</v>
      </c>
      <c r="C1208" s="5">
        <v>45581.0</v>
      </c>
      <c r="D1208" s="1" t="s">
        <v>161</v>
      </c>
      <c r="E1208" s="1" t="s">
        <v>11</v>
      </c>
      <c r="F1208" s="1" t="s">
        <v>167</v>
      </c>
      <c r="G1208" s="1" t="s">
        <v>163</v>
      </c>
      <c r="H1208" s="1">
        <v>1.0</v>
      </c>
      <c r="I1208" s="1">
        <v>0.0</v>
      </c>
      <c r="J1208" s="1">
        <v>0.0</v>
      </c>
      <c r="K1208" s="1">
        <v>12.0</v>
      </c>
      <c r="L1208" s="1">
        <v>14.0</v>
      </c>
      <c r="M1208" s="1">
        <v>0.857142857</v>
      </c>
      <c r="N1208" s="1">
        <v>0.0</v>
      </c>
    </row>
    <row r="1209" ht="15.75" customHeight="1">
      <c r="A1209" s="1" t="s">
        <v>180</v>
      </c>
      <c r="B1209" s="1" t="s">
        <v>220</v>
      </c>
      <c r="C1209" s="5">
        <v>45581.0</v>
      </c>
      <c r="D1209" s="1" t="s">
        <v>161</v>
      </c>
      <c r="E1209" s="1" t="s">
        <v>11</v>
      </c>
      <c r="F1209" s="1" t="s">
        <v>162</v>
      </c>
      <c r="G1209" s="1" t="s">
        <v>163</v>
      </c>
      <c r="H1209" s="1">
        <v>1.0</v>
      </c>
      <c r="I1209" s="1">
        <v>0.0</v>
      </c>
      <c r="J1209" s="1">
        <v>0.0</v>
      </c>
      <c r="K1209" s="1">
        <v>11.0</v>
      </c>
      <c r="L1209" s="1">
        <v>11.0</v>
      </c>
      <c r="M1209" s="1">
        <v>1.0</v>
      </c>
      <c r="N1209" s="1">
        <v>0.0</v>
      </c>
    </row>
    <row r="1210" ht="15.75" customHeight="1">
      <c r="A1210" s="1" t="s">
        <v>180</v>
      </c>
      <c r="B1210" s="1" t="s">
        <v>220</v>
      </c>
      <c r="C1210" s="5">
        <v>45581.0</v>
      </c>
      <c r="D1210" s="1" t="s">
        <v>161</v>
      </c>
      <c r="E1210" s="1" t="s">
        <v>11</v>
      </c>
      <c r="F1210" s="1" t="s">
        <v>177</v>
      </c>
      <c r="G1210" s="1" t="s">
        <v>163</v>
      </c>
      <c r="H1210" s="1">
        <v>1.0</v>
      </c>
      <c r="I1210" s="1">
        <v>0.0</v>
      </c>
      <c r="J1210" s="1">
        <v>0.0</v>
      </c>
      <c r="K1210" s="1">
        <v>13.0</v>
      </c>
      <c r="L1210" s="1">
        <v>14.0</v>
      </c>
      <c r="M1210" s="1">
        <v>0.928571429</v>
      </c>
      <c r="N1210" s="1">
        <v>0.0</v>
      </c>
    </row>
    <row r="1211" ht="15.75" customHeight="1">
      <c r="A1211" s="1" t="s">
        <v>180</v>
      </c>
      <c r="B1211" s="1" t="s">
        <v>220</v>
      </c>
      <c r="C1211" s="5">
        <v>45581.0</v>
      </c>
      <c r="D1211" s="1" t="s">
        <v>161</v>
      </c>
      <c r="E1211" s="1" t="s">
        <v>11</v>
      </c>
      <c r="F1211" s="1" t="s">
        <v>168</v>
      </c>
      <c r="G1211" s="1" t="s">
        <v>163</v>
      </c>
      <c r="H1211" s="1">
        <v>1.0</v>
      </c>
      <c r="I1211" s="1">
        <v>2.0</v>
      </c>
      <c r="J1211" s="1">
        <v>0.0</v>
      </c>
      <c r="K1211" s="1">
        <v>26.0</v>
      </c>
      <c r="L1211" s="1">
        <v>28.0</v>
      </c>
      <c r="M1211" s="1">
        <v>0.928571429</v>
      </c>
      <c r="N1211" s="1">
        <v>28.37999916</v>
      </c>
    </row>
    <row r="1212" ht="15.75" customHeight="1">
      <c r="A1212" s="1" t="s">
        <v>180</v>
      </c>
      <c r="B1212" s="1" t="s">
        <v>220</v>
      </c>
      <c r="C1212" s="5">
        <v>45581.0</v>
      </c>
      <c r="D1212" s="1" t="s">
        <v>161</v>
      </c>
      <c r="E1212" s="1" t="s">
        <v>11</v>
      </c>
      <c r="F1212" s="1" t="s">
        <v>166</v>
      </c>
      <c r="G1212" s="1" t="s">
        <v>163</v>
      </c>
      <c r="H1212" s="1">
        <v>1.0</v>
      </c>
      <c r="I1212" s="1">
        <v>0.0</v>
      </c>
      <c r="J1212" s="1">
        <v>0.0</v>
      </c>
      <c r="K1212" s="1">
        <v>8.0</v>
      </c>
      <c r="L1212" s="1">
        <v>8.0</v>
      </c>
      <c r="M1212" s="1">
        <v>1.0</v>
      </c>
      <c r="N1212" s="1">
        <v>0.0</v>
      </c>
    </row>
    <row r="1213" ht="15.75" customHeight="1">
      <c r="A1213" s="1" t="s">
        <v>180</v>
      </c>
      <c r="B1213" s="1" t="s">
        <v>220</v>
      </c>
      <c r="C1213" s="5">
        <v>45581.0</v>
      </c>
      <c r="D1213" s="1" t="s">
        <v>161</v>
      </c>
      <c r="E1213" s="1" t="s">
        <v>11</v>
      </c>
      <c r="F1213" s="1" t="s">
        <v>171</v>
      </c>
      <c r="G1213" s="1" t="s">
        <v>163</v>
      </c>
      <c r="H1213" s="1">
        <v>1.0</v>
      </c>
      <c r="I1213" s="1">
        <v>1.0</v>
      </c>
      <c r="J1213" s="1">
        <v>0.0</v>
      </c>
      <c r="K1213" s="1">
        <v>12.0</v>
      </c>
      <c r="L1213" s="1">
        <v>12.0</v>
      </c>
      <c r="M1213" s="1">
        <v>1.0</v>
      </c>
      <c r="N1213" s="1">
        <v>0.0</v>
      </c>
    </row>
    <row r="1214" ht="15.75" customHeight="1">
      <c r="A1214" s="1" t="s">
        <v>180</v>
      </c>
      <c r="B1214" s="1" t="s">
        <v>220</v>
      </c>
      <c r="C1214" s="5">
        <v>45581.0</v>
      </c>
      <c r="D1214" s="1" t="s">
        <v>161</v>
      </c>
      <c r="E1214" s="1" t="s">
        <v>11</v>
      </c>
      <c r="F1214" s="1" t="s">
        <v>169</v>
      </c>
      <c r="G1214" s="1" t="s">
        <v>163</v>
      </c>
      <c r="H1214" s="1">
        <v>1.0</v>
      </c>
      <c r="I1214" s="1">
        <v>1.0</v>
      </c>
      <c r="J1214" s="1">
        <v>0.0</v>
      </c>
      <c r="K1214" s="1">
        <v>12.0</v>
      </c>
      <c r="L1214" s="1">
        <v>12.0</v>
      </c>
      <c r="M1214" s="1">
        <v>1.0</v>
      </c>
      <c r="N1214" s="1">
        <v>0.0</v>
      </c>
    </row>
    <row r="1215" ht="15.75" customHeight="1">
      <c r="A1215" s="1" t="s">
        <v>180</v>
      </c>
      <c r="B1215" s="1" t="s">
        <v>214</v>
      </c>
      <c r="C1215" s="5">
        <v>45581.0</v>
      </c>
      <c r="D1215" s="1" t="s">
        <v>161</v>
      </c>
      <c r="E1215" s="1" t="s">
        <v>11</v>
      </c>
      <c r="F1215" s="1" t="s">
        <v>165</v>
      </c>
      <c r="H1215" s="1">
        <v>0.0</v>
      </c>
      <c r="I1215" s="1">
        <v>1.0</v>
      </c>
      <c r="J1215" s="1">
        <v>0.0</v>
      </c>
      <c r="K1215" s="1">
        <v>12.0</v>
      </c>
      <c r="L1215" s="1">
        <v>12.0</v>
      </c>
      <c r="M1215" s="1">
        <v>1.0</v>
      </c>
      <c r="N1215" s="1">
        <v>4.610000134</v>
      </c>
    </row>
    <row r="1216" ht="15.75" customHeight="1">
      <c r="A1216" s="1" t="s">
        <v>180</v>
      </c>
      <c r="B1216" s="1" t="s">
        <v>214</v>
      </c>
      <c r="C1216" s="5">
        <v>45581.0</v>
      </c>
      <c r="D1216" s="1" t="s">
        <v>161</v>
      </c>
      <c r="E1216" s="1" t="s">
        <v>11</v>
      </c>
      <c r="F1216" s="1" t="s">
        <v>166</v>
      </c>
      <c r="H1216" s="1">
        <v>0.0</v>
      </c>
      <c r="I1216" s="1">
        <v>0.0</v>
      </c>
      <c r="J1216" s="1">
        <v>0.0</v>
      </c>
      <c r="K1216" s="1">
        <v>0.0</v>
      </c>
      <c r="L1216" s="1">
        <v>1.0</v>
      </c>
      <c r="M1216" s="1">
        <v>0.0</v>
      </c>
      <c r="N1216" s="1">
        <v>0.0</v>
      </c>
    </row>
    <row r="1217" ht="15.75" customHeight="1">
      <c r="A1217" s="1" t="s">
        <v>180</v>
      </c>
      <c r="B1217" s="1" t="s">
        <v>226</v>
      </c>
      <c r="C1217" s="5">
        <v>45581.0</v>
      </c>
      <c r="D1217" s="1" t="s">
        <v>161</v>
      </c>
      <c r="E1217" s="1" t="s">
        <v>11</v>
      </c>
      <c r="F1217" s="1" t="s">
        <v>166</v>
      </c>
      <c r="H1217" s="1">
        <v>0.0</v>
      </c>
      <c r="I1217" s="1">
        <v>0.0</v>
      </c>
      <c r="J1217" s="1">
        <v>0.0</v>
      </c>
      <c r="K1217" s="1">
        <v>2.0</v>
      </c>
      <c r="L1217" s="1">
        <v>4.0</v>
      </c>
      <c r="M1217" s="1">
        <v>0.5</v>
      </c>
      <c r="N1217" s="1">
        <v>11.11999989</v>
      </c>
    </row>
    <row r="1218" ht="15.75" customHeight="1">
      <c r="A1218" s="1" t="s">
        <v>160</v>
      </c>
      <c r="B1218" s="1" t="s">
        <v>101</v>
      </c>
      <c r="C1218" s="5">
        <v>45580.0</v>
      </c>
      <c r="D1218" s="1" t="s">
        <v>161</v>
      </c>
      <c r="E1218" s="1" t="s">
        <v>11</v>
      </c>
      <c r="F1218" s="1" t="s">
        <v>162</v>
      </c>
      <c r="H1218" s="1">
        <v>0.0</v>
      </c>
      <c r="I1218" s="1">
        <v>0.0</v>
      </c>
      <c r="J1218" s="1">
        <v>0.0</v>
      </c>
      <c r="K1218" s="1">
        <v>0.0</v>
      </c>
      <c r="L1218" s="1">
        <v>0.0</v>
      </c>
      <c r="N1218" s="1">
        <v>0.400000006</v>
      </c>
    </row>
    <row r="1219" ht="15.75" customHeight="1">
      <c r="A1219" s="1" t="s">
        <v>164</v>
      </c>
      <c r="B1219" s="1" t="s">
        <v>24</v>
      </c>
      <c r="C1219" s="5">
        <v>45580.0</v>
      </c>
      <c r="D1219" s="1" t="s">
        <v>161</v>
      </c>
      <c r="E1219" s="1" t="s">
        <v>11</v>
      </c>
      <c r="F1219" s="1" t="s">
        <v>166</v>
      </c>
      <c r="H1219" s="1">
        <v>0.0</v>
      </c>
      <c r="I1219" s="1">
        <v>0.0</v>
      </c>
      <c r="J1219" s="1">
        <v>0.0</v>
      </c>
      <c r="K1219" s="1">
        <v>0.0</v>
      </c>
      <c r="L1219" s="1">
        <v>0.0</v>
      </c>
      <c r="N1219" s="1">
        <v>2.869999886</v>
      </c>
    </row>
    <row r="1220" ht="15.75" customHeight="1">
      <c r="A1220" s="1" t="s">
        <v>164</v>
      </c>
      <c r="B1220" s="1" t="s">
        <v>52</v>
      </c>
      <c r="C1220" s="5">
        <v>45580.0</v>
      </c>
      <c r="D1220" s="1" t="s">
        <v>161</v>
      </c>
      <c r="E1220" s="1" t="s">
        <v>11</v>
      </c>
      <c r="F1220" s="1" t="s">
        <v>165</v>
      </c>
      <c r="H1220" s="1">
        <v>0.0</v>
      </c>
      <c r="I1220" s="1">
        <v>0.0</v>
      </c>
      <c r="J1220" s="1">
        <v>0.0</v>
      </c>
      <c r="K1220" s="1">
        <v>1.0</v>
      </c>
      <c r="L1220" s="1">
        <v>6.0</v>
      </c>
      <c r="M1220" s="1">
        <v>0.166666667</v>
      </c>
      <c r="N1220" s="1">
        <v>8.670000076</v>
      </c>
    </row>
    <row r="1221" ht="15.75" customHeight="1">
      <c r="A1221" s="1" t="s">
        <v>164</v>
      </c>
      <c r="B1221" s="1" t="s">
        <v>63</v>
      </c>
      <c r="C1221" s="5">
        <v>45580.0</v>
      </c>
      <c r="D1221" s="1" t="s">
        <v>161</v>
      </c>
      <c r="E1221" s="1" t="s">
        <v>11</v>
      </c>
      <c r="F1221" s="1" t="s">
        <v>166</v>
      </c>
      <c r="H1221" s="1">
        <v>0.0</v>
      </c>
      <c r="I1221" s="1">
        <v>0.0</v>
      </c>
      <c r="J1221" s="1">
        <v>0.0</v>
      </c>
      <c r="K1221" s="1">
        <v>3.0</v>
      </c>
      <c r="L1221" s="1">
        <v>4.0</v>
      </c>
      <c r="M1221" s="1">
        <v>0.75</v>
      </c>
      <c r="N1221" s="1">
        <v>2.470000029</v>
      </c>
    </row>
    <row r="1222" ht="15.75" customHeight="1">
      <c r="A1222" s="1" t="s">
        <v>164</v>
      </c>
      <c r="B1222" s="1" t="s">
        <v>68</v>
      </c>
      <c r="C1222" s="5">
        <v>45580.0</v>
      </c>
      <c r="D1222" s="1" t="s">
        <v>161</v>
      </c>
      <c r="E1222" s="1" t="s">
        <v>11</v>
      </c>
      <c r="F1222" s="1" t="s">
        <v>165</v>
      </c>
      <c r="G1222" s="1" t="s">
        <v>172</v>
      </c>
      <c r="H1222" s="1">
        <v>1.0</v>
      </c>
      <c r="I1222" s="1">
        <v>0.0</v>
      </c>
      <c r="J1222" s="1">
        <v>0.0</v>
      </c>
      <c r="K1222" s="1">
        <v>4.0</v>
      </c>
      <c r="L1222" s="1">
        <v>8.0</v>
      </c>
      <c r="M1222" s="1">
        <v>0.5</v>
      </c>
      <c r="N1222" s="1">
        <v>11.02000046</v>
      </c>
    </row>
    <row r="1223" ht="15.75" customHeight="1">
      <c r="A1223" s="1" t="s">
        <v>164</v>
      </c>
      <c r="B1223" s="1" t="s">
        <v>74</v>
      </c>
      <c r="C1223" s="5">
        <v>45580.0</v>
      </c>
      <c r="D1223" s="1" t="s">
        <v>161</v>
      </c>
      <c r="E1223" s="1" t="s">
        <v>11</v>
      </c>
      <c r="F1223" s="1" t="s">
        <v>166</v>
      </c>
      <c r="H1223" s="1">
        <v>0.0</v>
      </c>
      <c r="I1223" s="1">
        <v>0.0</v>
      </c>
      <c r="J1223" s="1">
        <v>0.0</v>
      </c>
      <c r="K1223" s="1">
        <v>1.0</v>
      </c>
      <c r="L1223" s="1">
        <v>1.0</v>
      </c>
      <c r="M1223" s="1">
        <v>1.0</v>
      </c>
      <c r="N1223" s="1">
        <v>3.970000029</v>
      </c>
    </row>
    <row r="1224" ht="15.75" customHeight="1">
      <c r="A1224" s="1" t="s">
        <v>164</v>
      </c>
      <c r="B1224" s="1" t="s">
        <v>205</v>
      </c>
      <c r="C1224" s="5">
        <v>45580.0</v>
      </c>
      <c r="D1224" s="1" t="s">
        <v>161</v>
      </c>
      <c r="E1224" s="1" t="s">
        <v>11</v>
      </c>
      <c r="F1224" s="1" t="s">
        <v>166</v>
      </c>
      <c r="H1224" s="1">
        <v>0.0</v>
      </c>
      <c r="I1224" s="1">
        <v>0.0</v>
      </c>
      <c r="J1224" s="1">
        <v>0.0</v>
      </c>
      <c r="K1224" s="1">
        <v>0.0</v>
      </c>
      <c r="L1224" s="1">
        <v>2.0</v>
      </c>
      <c r="M1224" s="1">
        <v>0.0</v>
      </c>
      <c r="N1224" s="1">
        <v>4.059999943</v>
      </c>
    </row>
    <row r="1225" ht="15.75" customHeight="1">
      <c r="A1225" s="1" t="s">
        <v>164</v>
      </c>
      <c r="B1225" s="1" t="s">
        <v>75</v>
      </c>
      <c r="C1225" s="5">
        <v>45580.0</v>
      </c>
      <c r="D1225" s="1" t="s">
        <v>161</v>
      </c>
      <c r="E1225" s="1" t="s">
        <v>11</v>
      </c>
      <c r="F1225" s="1" t="s">
        <v>165</v>
      </c>
      <c r="H1225" s="1">
        <v>0.0</v>
      </c>
      <c r="I1225" s="1">
        <v>0.0</v>
      </c>
      <c r="J1225" s="1">
        <v>0.0</v>
      </c>
      <c r="K1225" s="1">
        <v>0.0</v>
      </c>
      <c r="L1225" s="1">
        <v>0.0</v>
      </c>
      <c r="N1225" s="1">
        <v>2.069999933</v>
      </c>
    </row>
    <row r="1226" ht="15.75" customHeight="1">
      <c r="A1226" s="1" t="s">
        <v>180</v>
      </c>
      <c r="B1226" s="1" t="s">
        <v>220</v>
      </c>
      <c r="C1226" s="5">
        <v>45580.0</v>
      </c>
      <c r="D1226" s="1" t="s">
        <v>161</v>
      </c>
      <c r="E1226" s="1" t="s">
        <v>11</v>
      </c>
      <c r="F1226" s="1" t="s">
        <v>162</v>
      </c>
      <c r="H1226" s="1">
        <v>0.0</v>
      </c>
      <c r="I1226" s="1">
        <v>1.0</v>
      </c>
      <c r="J1226" s="1">
        <v>0.0</v>
      </c>
      <c r="K1226" s="1">
        <v>1.0</v>
      </c>
      <c r="L1226" s="1">
        <v>1.0</v>
      </c>
      <c r="M1226" s="1">
        <v>1.0</v>
      </c>
      <c r="N1226" s="1">
        <v>1.559999943</v>
      </c>
    </row>
    <row r="1227" ht="15.75" customHeight="1">
      <c r="A1227" s="1" t="s">
        <v>180</v>
      </c>
      <c r="B1227" s="1" t="s">
        <v>220</v>
      </c>
      <c r="C1227" s="5">
        <v>45580.0</v>
      </c>
      <c r="D1227" s="1" t="s">
        <v>161</v>
      </c>
      <c r="E1227" s="1" t="s">
        <v>11</v>
      </c>
      <c r="F1227" s="1" t="s">
        <v>166</v>
      </c>
      <c r="H1227" s="1">
        <v>0.0</v>
      </c>
      <c r="I1227" s="1">
        <v>0.0</v>
      </c>
      <c r="J1227" s="1">
        <v>0.0</v>
      </c>
      <c r="K1227" s="1">
        <v>0.0</v>
      </c>
      <c r="L1227" s="1">
        <v>0.0</v>
      </c>
      <c r="N1227" s="1">
        <v>0.0</v>
      </c>
    </row>
    <row r="1228" ht="15.75" customHeight="1">
      <c r="A1228" s="1" t="s">
        <v>180</v>
      </c>
      <c r="B1228" s="1" t="s">
        <v>214</v>
      </c>
      <c r="C1228" s="5">
        <v>45580.0</v>
      </c>
      <c r="D1228" s="1" t="s">
        <v>161</v>
      </c>
      <c r="E1228" s="1" t="s">
        <v>11</v>
      </c>
      <c r="F1228" s="1" t="s">
        <v>166</v>
      </c>
      <c r="H1228" s="1">
        <v>0.0</v>
      </c>
      <c r="I1228" s="1">
        <v>1.0</v>
      </c>
      <c r="J1228" s="1">
        <v>0.0</v>
      </c>
      <c r="K1228" s="1">
        <v>10.0</v>
      </c>
      <c r="L1228" s="1">
        <v>10.0</v>
      </c>
      <c r="M1228" s="1">
        <v>1.0</v>
      </c>
      <c r="N1228" s="1">
        <v>4.789999962</v>
      </c>
    </row>
    <row r="1229" ht="15.75" customHeight="1">
      <c r="A1229" s="1" t="s">
        <v>180</v>
      </c>
      <c r="B1229" s="1" t="s">
        <v>226</v>
      </c>
      <c r="C1229" s="5">
        <v>45580.0</v>
      </c>
      <c r="D1229" s="1" t="s">
        <v>161</v>
      </c>
      <c r="E1229" s="1" t="s">
        <v>11</v>
      </c>
      <c r="F1229" s="1" t="s">
        <v>166</v>
      </c>
      <c r="H1229" s="1">
        <v>0.0</v>
      </c>
      <c r="I1229" s="1">
        <v>0.0</v>
      </c>
      <c r="J1229" s="1">
        <v>0.0</v>
      </c>
      <c r="K1229" s="1">
        <v>2.0</v>
      </c>
      <c r="L1229" s="1">
        <v>4.0</v>
      </c>
      <c r="M1229" s="1">
        <v>0.5</v>
      </c>
      <c r="N1229" s="1">
        <v>16.25</v>
      </c>
    </row>
    <row r="1230" ht="15.75" customHeight="1">
      <c r="A1230" s="1" t="s">
        <v>160</v>
      </c>
      <c r="B1230" s="1" t="s">
        <v>212</v>
      </c>
      <c r="C1230" s="5">
        <v>45579.0</v>
      </c>
      <c r="D1230" s="1" t="s">
        <v>161</v>
      </c>
      <c r="E1230" s="1" t="s">
        <v>11</v>
      </c>
      <c r="F1230" s="1" t="s">
        <v>165</v>
      </c>
      <c r="H1230" s="1">
        <v>0.0</v>
      </c>
      <c r="I1230" s="1">
        <v>0.0</v>
      </c>
      <c r="J1230" s="1">
        <v>0.0</v>
      </c>
      <c r="K1230" s="1">
        <v>36.0</v>
      </c>
      <c r="L1230" s="1">
        <v>62.0</v>
      </c>
      <c r="M1230" s="1">
        <v>0.580645161</v>
      </c>
      <c r="N1230" s="1">
        <v>32.95999908</v>
      </c>
    </row>
    <row r="1231" ht="15.75" customHeight="1">
      <c r="A1231" s="1" t="s">
        <v>160</v>
      </c>
      <c r="B1231" s="1" t="s">
        <v>39</v>
      </c>
      <c r="C1231" s="5">
        <v>45579.0</v>
      </c>
      <c r="D1231" s="1" t="s">
        <v>161</v>
      </c>
      <c r="E1231" s="1" t="s">
        <v>11</v>
      </c>
      <c r="F1231" s="1" t="s">
        <v>162</v>
      </c>
      <c r="H1231" s="1">
        <v>0.0</v>
      </c>
      <c r="I1231" s="1">
        <v>1.0</v>
      </c>
      <c r="J1231" s="1">
        <v>0.0</v>
      </c>
      <c r="K1231" s="1">
        <v>7.0</v>
      </c>
      <c r="L1231" s="1">
        <v>12.0</v>
      </c>
      <c r="M1231" s="1">
        <v>0.583333333</v>
      </c>
      <c r="N1231" s="1">
        <v>8.170000076</v>
      </c>
    </row>
    <row r="1232" ht="15.75" customHeight="1">
      <c r="A1232" s="1" t="s">
        <v>160</v>
      </c>
      <c r="B1232" s="1" t="s">
        <v>39</v>
      </c>
      <c r="C1232" s="5">
        <v>45579.0</v>
      </c>
      <c r="D1232" s="1" t="s">
        <v>161</v>
      </c>
      <c r="E1232" s="1" t="s">
        <v>11</v>
      </c>
      <c r="F1232" s="1" t="s">
        <v>166</v>
      </c>
      <c r="H1232" s="1">
        <v>0.0</v>
      </c>
      <c r="I1232" s="1">
        <v>0.0</v>
      </c>
      <c r="J1232" s="1">
        <v>0.0</v>
      </c>
      <c r="K1232" s="1">
        <v>0.0</v>
      </c>
      <c r="L1232" s="1">
        <v>0.0</v>
      </c>
      <c r="N1232" s="1">
        <v>0.0</v>
      </c>
    </row>
    <row r="1233" ht="15.75" customHeight="1">
      <c r="A1233" s="1" t="s">
        <v>160</v>
      </c>
      <c r="B1233" s="1" t="s">
        <v>65</v>
      </c>
      <c r="C1233" s="5">
        <v>45579.0</v>
      </c>
      <c r="D1233" s="1" t="s">
        <v>161</v>
      </c>
      <c r="E1233" s="1" t="s">
        <v>11</v>
      </c>
      <c r="F1233" s="1" t="s">
        <v>162</v>
      </c>
      <c r="H1233" s="1">
        <v>0.0</v>
      </c>
      <c r="I1233" s="1">
        <v>0.0</v>
      </c>
      <c r="J1233" s="1">
        <v>0.0</v>
      </c>
      <c r="K1233" s="1">
        <v>2.0</v>
      </c>
      <c r="L1233" s="1">
        <v>7.0</v>
      </c>
      <c r="M1233" s="1">
        <v>0.285714286</v>
      </c>
      <c r="N1233" s="1">
        <v>6.760000229</v>
      </c>
    </row>
    <row r="1234" ht="15.75" customHeight="1">
      <c r="A1234" s="1" t="s">
        <v>160</v>
      </c>
      <c r="B1234" s="1" t="s">
        <v>95</v>
      </c>
      <c r="C1234" s="5">
        <v>45579.0</v>
      </c>
      <c r="D1234" s="1" t="s">
        <v>161</v>
      </c>
      <c r="E1234" s="1" t="s">
        <v>11</v>
      </c>
      <c r="F1234" s="1" t="s">
        <v>165</v>
      </c>
      <c r="H1234" s="1">
        <v>0.0</v>
      </c>
      <c r="I1234" s="1">
        <v>0.0</v>
      </c>
      <c r="J1234" s="1">
        <v>0.0</v>
      </c>
      <c r="K1234" s="1">
        <v>0.0</v>
      </c>
      <c r="L1234" s="1">
        <v>3.0</v>
      </c>
      <c r="M1234" s="1">
        <v>0.0</v>
      </c>
      <c r="N1234" s="1">
        <v>11.97999954</v>
      </c>
    </row>
    <row r="1235" ht="15.75" customHeight="1">
      <c r="A1235" s="1" t="s">
        <v>164</v>
      </c>
      <c r="B1235" s="1" t="s">
        <v>22</v>
      </c>
      <c r="C1235" s="5">
        <v>45579.0</v>
      </c>
      <c r="D1235" s="1" t="s">
        <v>161</v>
      </c>
      <c r="E1235" s="1" t="s">
        <v>11</v>
      </c>
      <c r="F1235" s="1" t="s">
        <v>166</v>
      </c>
      <c r="H1235" s="1">
        <v>0.0</v>
      </c>
      <c r="I1235" s="1">
        <v>0.0</v>
      </c>
      <c r="J1235" s="1">
        <v>0.0</v>
      </c>
      <c r="K1235" s="1">
        <v>3.0</v>
      </c>
      <c r="L1235" s="1">
        <v>7.0</v>
      </c>
      <c r="M1235" s="1">
        <v>0.428571429</v>
      </c>
      <c r="N1235" s="1">
        <v>20.87000084</v>
      </c>
    </row>
    <row r="1236" ht="15.75" customHeight="1">
      <c r="A1236" s="1" t="s">
        <v>164</v>
      </c>
      <c r="B1236" s="1" t="s">
        <v>43</v>
      </c>
      <c r="C1236" s="5">
        <v>45579.0</v>
      </c>
      <c r="D1236" s="1" t="s">
        <v>161</v>
      </c>
      <c r="E1236" s="1" t="s">
        <v>11</v>
      </c>
      <c r="F1236" s="1" t="s">
        <v>166</v>
      </c>
      <c r="H1236" s="1">
        <v>0.0</v>
      </c>
      <c r="I1236" s="1">
        <v>0.0</v>
      </c>
      <c r="J1236" s="1">
        <v>0.0</v>
      </c>
      <c r="K1236" s="1">
        <v>5.0</v>
      </c>
      <c r="L1236" s="1">
        <v>15.0</v>
      </c>
      <c r="M1236" s="1">
        <v>0.333333333</v>
      </c>
      <c r="N1236" s="1">
        <v>14.48999977</v>
      </c>
    </row>
    <row r="1237" ht="15.75" customHeight="1">
      <c r="A1237" s="1" t="s">
        <v>164</v>
      </c>
      <c r="B1237" s="1" t="s">
        <v>24</v>
      </c>
      <c r="C1237" s="5">
        <v>45579.0</v>
      </c>
      <c r="D1237" s="1" t="s">
        <v>161</v>
      </c>
      <c r="E1237" s="1" t="s">
        <v>11</v>
      </c>
      <c r="F1237" s="1" t="s">
        <v>166</v>
      </c>
      <c r="H1237" s="1">
        <v>0.0</v>
      </c>
      <c r="I1237" s="1">
        <v>0.0</v>
      </c>
      <c r="J1237" s="1">
        <v>0.0</v>
      </c>
      <c r="K1237" s="1">
        <v>2.0</v>
      </c>
      <c r="L1237" s="1">
        <v>3.0</v>
      </c>
      <c r="M1237" s="1">
        <v>0.666666667</v>
      </c>
      <c r="N1237" s="1">
        <v>9.18999958</v>
      </c>
    </row>
    <row r="1238" ht="15.75" customHeight="1">
      <c r="A1238" s="1" t="s">
        <v>164</v>
      </c>
      <c r="B1238" s="1" t="s">
        <v>196</v>
      </c>
      <c r="C1238" s="5">
        <v>45579.0</v>
      </c>
      <c r="D1238" s="1" t="s">
        <v>161</v>
      </c>
      <c r="E1238" s="1" t="s">
        <v>11</v>
      </c>
      <c r="H1238" s="1">
        <v>0.0</v>
      </c>
      <c r="J1238" s="1">
        <v>0.0</v>
      </c>
      <c r="N1238" s="1">
        <v>0.079999998</v>
      </c>
    </row>
    <row r="1239" ht="15.75" customHeight="1">
      <c r="A1239" s="1" t="s">
        <v>164</v>
      </c>
      <c r="B1239" s="1" t="s">
        <v>63</v>
      </c>
      <c r="C1239" s="5">
        <v>45579.0</v>
      </c>
      <c r="D1239" s="1" t="s">
        <v>161</v>
      </c>
      <c r="E1239" s="1" t="s">
        <v>11</v>
      </c>
      <c r="F1239" s="1" t="s">
        <v>166</v>
      </c>
      <c r="H1239" s="1">
        <v>0.0</v>
      </c>
      <c r="I1239" s="1">
        <v>0.0</v>
      </c>
      <c r="J1239" s="1">
        <v>0.0</v>
      </c>
      <c r="K1239" s="1">
        <v>8.0</v>
      </c>
      <c r="L1239" s="1">
        <v>17.0</v>
      </c>
      <c r="M1239" s="1">
        <v>0.470588235</v>
      </c>
      <c r="N1239" s="1">
        <v>9.75</v>
      </c>
    </row>
    <row r="1240" ht="15.75" customHeight="1">
      <c r="A1240" s="1" t="s">
        <v>164</v>
      </c>
      <c r="B1240" s="1" t="s">
        <v>68</v>
      </c>
      <c r="C1240" s="5">
        <v>45579.0</v>
      </c>
      <c r="D1240" s="1" t="s">
        <v>161</v>
      </c>
      <c r="E1240" s="1" t="s">
        <v>11</v>
      </c>
      <c r="F1240" s="1" t="s">
        <v>165</v>
      </c>
      <c r="G1240" s="1" t="s">
        <v>172</v>
      </c>
      <c r="H1240" s="1">
        <v>1.0</v>
      </c>
      <c r="I1240" s="1">
        <v>0.0</v>
      </c>
      <c r="J1240" s="1">
        <v>0.0</v>
      </c>
      <c r="K1240" s="1">
        <v>12.0</v>
      </c>
      <c r="L1240" s="1">
        <v>24.0</v>
      </c>
      <c r="M1240" s="1">
        <v>0.5</v>
      </c>
      <c r="N1240" s="1">
        <v>16.92000008</v>
      </c>
    </row>
    <row r="1241" ht="15.75" customHeight="1">
      <c r="A1241" s="1" t="s">
        <v>164</v>
      </c>
      <c r="B1241" s="1" t="s">
        <v>74</v>
      </c>
      <c r="C1241" s="5">
        <v>45579.0</v>
      </c>
      <c r="D1241" s="1" t="s">
        <v>161</v>
      </c>
      <c r="E1241" s="1" t="s">
        <v>11</v>
      </c>
      <c r="F1241" s="1" t="s">
        <v>166</v>
      </c>
      <c r="H1241" s="1">
        <v>0.0</v>
      </c>
      <c r="I1241" s="1">
        <v>0.0</v>
      </c>
      <c r="J1241" s="1">
        <v>0.0</v>
      </c>
      <c r="K1241" s="1">
        <v>0.0</v>
      </c>
      <c r="L1241" s="1">
        <v>3.0</v>
      </c>
      <c r="M1241" s="1">
        <v>0.0</v>
      </c>
      <c r="N1241" s="1">
        <v>12.28999996</v>
      </c>
    </row>
    <row r="1242" ht="15.75" customHeight="1">
      <c r="A1242" s="1" t="s">
        <v>164</v>
      </c>
      <c r="B1242" s="1" t="s">
        <v>75</v>
      </c>
      <c r="C1242" s="5">
        <v>45579.0</v>
      </c>
      <c r="D1242" s="1" t="s">
        <v>161</v>
      </c>
      <c r="E1242" s="1" t="s">
        <v>11</v>
      </c>
      <c r="F1242" s="1" t="s">
        <v>165</v>
      </c>
      <c r="H1242" s="1">
        <v>0.0</v>
      </c>
      <c r="I1242" s="1">
        <v>0.0</v>
      </c>
      <c r="J1242" s="1">
        <v>0.0</v>
      </c>
      <c r="K1242" s="1">
        <v>3.0</v>
      </c>
      <c r="L1242" s="1">
        <v>5.0</v>
      </c>
      <c r="M1242" s="1">
        <v>0.6</v>
      </c>
      <c r="N1242" s="1">
        <v>11.76000023</v>
      </c>
    </row>
    <row r="1243" ht="15.75" customHeight="1">
      <c r="A1243" s="1" t="s">
        <v>164</v>
      </c>
      <c r="B1243" s="1" t="s">
        <v>82</v>
      </c>
      <c r="C1243" s="5">
        <v>45579.0</v>
      </c>
      <c r="D1243" s="1" t="s">
        <v>161</v>
      </c>
      <c r="E1243" s="1" t="s">
        <v>11</v>
      </c>
      <c r="F1243" s="1" t="s">
        <v>165</v>
      </c>
      <c r="H1243" s="1">
        <v>0.0</v>
      </c>
      <c r="I1243" s="1">
        <v>0.0</v>
      </c>
      <c r="J1243" s="1">
        <v>0.0</v>
      </c>
      <c r="K1243" s="1">
        <v>1.0</v>
      </c>
      <c r="L1243" s="1">
        <v>1.0</v>
      </c>
      <c r="M1243" s="1">
        <v>1.0</v>
      </c>
      <c r="N1243" s="1">
        <v>8.170000076</v>
      </c>
    </row>
    <row r="1244" ht="15.75" customHeight="1">
      <c r="A1244" s="1" t="s">
        <v>180</v>
      </c>
      <c r="B1244" s="1" t="s">
        <v>220</v>
      </c>
      <c r="C1244" s="5">
        <v>45579.0</v>
      </c>
      <c r="D1244" s="1" t="s">
        <v>161</v>
      </c>
      <c r="E1244" s="1" t="s">
        <v>11</v>
      </c>
      <c r="F1244" s="1" t="s">
        <v>221</v>
      </c>
      <c r="G1244" s="1" t="s">
        <v>163</v>
      </c>
      <c r="H1244" s="1">
        <v>1.0</v>
      </c>
      <c r="I1244" s="1">
        <v>0.0</v>
      </c>
      <c r="J1244" s="1">
        <v>0.0</v>
      </c>
      <c r="K1244" s="1">
        <v>0.0</v>
      </c>
      <c r="L1244" s="1">
        <v>1.0</v>
      </c>
      <c r="M1244" s="1">
        <v>0.0</v>
      </c>
      <c r="N1244" s="1">
        <v>0.0</v>
      </c>
    </row>
    <row r="1245" ht="15.75" customHeight="1">
      <c r="A1245" s="1" t="s">
        <v>180</v>
      </c>
      <c r="B1245" s="1" t="s">
        <v>220</v>
      </c>
      <c r="C1245" s="5">
        <v>45579.0</v>
      </c>
      <c r="D1245" s="1" t="s">
        <v>161</v>
      </c>
      <c r="E1245" s="1" t="s">
        <v>11</v>
      </c>
      <c r="F1245" s="1" t="s">
        <v>162</v>
      </c>
      <c r="G1245" s="1" t="s">
        <v>163</v>
      </c>
      <c r="H1245" s="1">
        <v>1.0</v>
      </c>
      <c r="I1245" s="1">
        <v>0.0</v>
      </c>
      <c r="J1245" s="1">
        <v>0.0</v>
      </c>
      <c r="K1245" s="1">
        <v>20.0</v>
      </c>
      <c r="L1245" s="1">
        <v>27.0</v>
      </c>
      <c r="M1245" s="1">
        <v>0.740740741</v>
      </c>
      <c r="N1245" s="1">
        <v>28.01000023</v>
      </c>
    </row>
    <row r="1246" ht="15.75" customHeight="1">
      <c r="A1246" s="1" t="s">
        <v>180</v>
      </c>
      <c r="B1246" s="1" t="s">
        <v>220</v>
      </c>
      <c r="C1246" s="5">
        <v>45579.0</v>
      </c>
      <c r="D1246" s="1" t="s">
        <v>161</v>
      </c>
      <c r="E1246" s="1" t="s">
        <v>11</v>
      </c>
      <c r="F1246" s="1" t="s">
        <v>177</v>
      </c>
      <c r="G1246" s="1" t="s">
        <v>163</v>
      </c>
      <c r="H1246" s="1">
        <v>1.0</v>
      </c>
      <c r="I1246" s="1">
        <v>0.0</v>
      </c>
      <c r="J1246" s="1">
        <v>0.0</v>
      </c>
      <c r="K1246" s="1">
        <v>1.0</v>
      </c>
      <c r="L1246" s="1">
        <v>2.0</v>
      </c>
      <c r="M1246" s="1">
        <v>0.5</v>
      </c>
      <c r="N1246" s="1">
        <v>0.0</v>
      </c>
    </row>
    <row r="1247" ht="15.75" customHeight="1">
      <c r="A1247" s="1" t="s">
        <v>180</v>
      </c>
      <c r="B1247" s="1" t="s">
        <v>220</v>
      </c>
      <c r="C1247" s="5">
        <v>45579.0</v>
      </c>
      <c r="D1247" s="1" t="s">
        <v>161</v>
      </c>
      <c r="E1247" s="1" t="s">
        <v>11</v>
      </c>
      <c r="F1247" s="1" t="s">
        <v>168</v>
      </c>
      <c r="G1247" s="1" t="s">
        <v>163</v>
      </c>
      <c r="H1247" s="1">
        <v>1.0</v>
      </c>
      <c r="I1247" s="1">
        <v>1.0</v>
      </c>
      <c r="J1247" s="1">
        <v>0.0</v>
      </c>
      <c r="K1247" s="1">
        <v>19.0</v>
      </c>
      <c r="L1247" s="1">
        <v>22.0</v>
      </c>
      <c r="M1247" s="1">
        <v>0.863636364</v>
      </c>
      <c r="N1247" s="1">
        <v>0.0</v>
      </c>
    </row>
    <row r="1248" ht="15.75" customHeight="1">
      <c r="A1248" s="1" t="s">
        <v>180</v>
      </c>
      <c r="B1248" s="1" t="s">
        <v>220</v>
      </c>
      <c r="C1248" s="5">
        <v>45579.0</v>
      </c>
      <c r="D1248" s="1" t="s">
        <v>161</v>
      </c>
      <c r="E1248" s="1" t="s">
        <v>11</v>
      </c>
      <c r="F1248" s="1" t="s">
        <v>166</v>
      </c>
      <c r="G1248" s="1" t="s">
        <v>163</v>
      </c>
      <c r="H1248" s="1">
        <v>1.0</v>
      </c>
      <c r="I1248" s="1">
        <v>0.0</v>
      </c>
      <c r="J1248" s="1">
        <v>0.0</v>
      </c>
      <c r="K1248" s="1">
        <v>0.0</v>
      </c>
      <c r="L1248" s="1">
        <v>0.0</v>
      </c>
      <c r="N1248" s="1">
        <v>0.0</v>
      </c>
    </row>
    <row r="1249" ht="15.75" customHeight="1">
      <c r="A1249" s="1" t="s">
        <v>180</v>
      </c>
      <c r="B1249" s="1" t="s">
        <v>185</v>
      </c>
      <c r="C1249" s="5">
        <v>45579.0</v>
      </c>
      <c r="D1249" s="1" t="s">
        <v>161</v>
      </c>
      <c r="E1249" s="1" t="s">
        <v>11</v>
      </c>
      <c r="F1249" s="1" t="s">
        <v>166</v>
      </c>
      <c r="H1249" s="1">
        <v>0.0</v>
      </c>
      <c r="I1249" s="1">
        <v>0.0</v>
      </c>
      <c r="J1249" s="1">
        <v>0.0</v>
      </c>
      <c r="K1249" s="1">
        <v>1.0</v>
      </c>
      <c r="L1249" s="1">
        <v>4.0</v>
      </c>
      <c r="M1249" s="1">
        <v>0.25</v>
      </c>
      <c r="N1249" s="1">
        <v>3.5</v>
      </c>
    </row>
    <row r="1250" ht="15.75" customHeight="1">
      <c r="A1250" s="1" t="s">
        <v>180</v>
      </c>
      <c r="B1250" s="1" t="s">
        <v>226</v>
      </c>
      <c r="C1250" s="5">
        <v>45579.0</v>
      </c>
      <c r="D1250" s="1" t="s">
        <v>161</v>
      </c>
      <c r="E1250" s="1" t="s">
        <v>11</v>
      </c>
      <c r="F1250" s="1" t="s">
        <v>166</v>
      </c>
      <c r="H1250" s="1">
        <v>0.0</v>
      </c>
      <c r="I1250" s="1">
        <v>0.0</v>
      </c>
      <c r="J1250" s="1">
        <v>0.0</v>
      </c>
      <c r="K1250" s="1">
        <v>3.0</v>
      </c>
      <c r="L1250" s="1">
        <v>4.0</v>
      </c>
      <c r="M1250" s="1">
        <v>0.75</v>
      </c>
      <c r="N1250" s="1">
        <v>13.43999958</v>
      </c>
    </row>
    <row r="1251" ht="15.75" customHeight="1">
      <c r="A1251" s="1" t="s">
        <v>164</v>
      </c>
      <c r="B1251" s="1" t="s">
        <v>35</v>
      </c>
      <c r="C1251" s="5">
        <v>45575.0</v>
      </c>
      <c r="D1251" s="1" t="s">
        <v>161</v>
      </c>
      <c r="E1251" s="1" t="s">
        <v>11</v>
      </c>
      <c r="F1251" s="1" t="s">
        <v>166</v>
      </c>
      <c r="H1251" s="1">
        <v>0.0</v>
      </c>
      <c r="I1251" s="1">
        <v>0.0</v>
      </c>
      <c r="J1251" s="1">
        <v>0.0</v>
      </c>
      <c r="K1251" s="1">
        <v>0.0</v>
      </c>
      <c r="L1251" s="1">
        <v>0.0</v>
      </c>
      <c r="N1251" s="1">
        <v>0.0</v>
      </c>
    </row>
    <row r="1252" ht="15.75" customHeight="1">
      <c r="A1252" s="1" t="s">
        <v>164</v>
      </c>
      <c r="B1252" s="1" t="s">
        <v>24</v>
      </c>
      <c r="C1252" s="5">
        <v>45575.0</v>
      </c>
      <c r="D1252" s="1" t="s">
        <v>161</v>
      </c>
      <c r="E1252" s="1" t="s">
        <v>11</v>
      </c>
      <c r="F1252" s="1" t="s">
        <v>166</v>
      </c>
      <c r="H1252" s="1">
        <v>0.0</v>
      </c>
      <c r="I1252" s="1">
        <v>0.0</v>
      </c>
      <c r="J1252" s="1">
        <v>0.0</v>
      </c>
      <c r="K1252" s="1">
        <v>0.0</v>
      </c>
      <c r="L1252" s="1">
        <v>0.0</v>
      </c>
      <c r="N1252" s="1">
        <v>0.02</v>
      </c>
    </row>
    <row r="1253" ht="15.75" customHeight="1">
      <c r="A1253" s="1" t="s">
        <v>164</v>
      </c>
      <c r="B1253" s="1" t="s">
        <v>197</v>
      </c>
      <c r="C1253" s="5">
        <v>45575.0</v>
      </c>
      <c r="D1253" s="1" t="s">
        <v>161</v>
      </c>
      <c r="E1253" s="1" t="s">
        <v>11</v>
      </c>
      <c r="H1253" s="1">
        <v>0.0</v>
      </c>
      <c r="J1253" s="1">
        <v>0.0</v>
      </c>
      <c r="N1253" s="1">
        <v>0.129999995</v>
      </c>
    </row>
    <row r="1254" ht="15.75" customHeight="1">
      <c r="A1254" s="1" t="s">
        <v>164</v>
      </c>
      <c r="B1254" s="1" t="s">
        <v>205</v>
      </c>
      <c r="C1254" s="5">
        <v>45575.0</v>
      </c>
      <c r="D1254" s="1" t="s">
        <v>161</v>
      </c>
      <c r="E1254" s="1" t="s">
        <v>11</v>
      </c>
      <c r="F1254" s="1" t="s">
        <v>166</v>
      </c>
      <c r="H1254" s="1">
        <v>0.0</v>
      </c>
      <c r="I1254" s="1">
        <v>0.0</v>
      </c>
      <c r="J1254" s="1">
        <v>0.0</v>
      </c>
      <c r="K1254" s="1">
        <v>0.0</v>
      </c>
      <c r="L1254" s="1">
        <v>0.0</v>
      </c>
      <c r="N1254" s="1">
        <v>0.349999994</v>
      </c>
    </row>
    <row r="1255" ht="15.75" customHeight="1">
      <c r="A1255" s="1" t="s">
        <v>164</v>
      </c>
      <c r="B1255" s="1" t="s">
        <v>225</v>
      </c>
      <c r="C1255" s="5">
        <v>45575.0</v>
      </c>
      <c r="D1255" s="1" t="s">
        <v>161</v>
      </c>
      <c r="E1255" s="1" t="s">
        <v>11</v>
      </c>
      <c r="H1255" s="1">
        <v>0.0</v>
      </c>
      <c r="J1255" s="1">
        <v>0.0</v>
      </c>
      <c r="N1255" s="1">
        <v>0.07</v>
      </c>
    </row>
    <row r="1256" ht="15.75" customHeight="1">
      <c r="A1256" s="1" t="s">
        <v>180</v>
      </c>
      <c r="B1256" s="1" t="s">
        <v>45</v>
      </c>
      <c r="C1256" s="5">
        <v>45575.0</v>
      </c>
      <c r="D1256" s="1" t="s">
        <v>161</v>
      </c>
      <c r="E1256" s="1" t="s">
        <v>11</v>
      </c>
      <c r="F1256" s="1" t="s">
        <v>166</v>
      </c>
      <c r="H1256" s="1">
        <v>0.0</v>
      </c>
      <c r="I1256" s="1">
        <v>0.0</v>
      </c>
      <c r="J1256" s="1">
        <v>0.0</v>
      </c>
      <c r="K1256" s="1">
        <v>0.0</v>
      </c>
      <c r="L1256" s="1">
        <v>0.0</v>
      </c>
      <c r="N1256" s="1">
        <v>0.0</v>
      </c>
    </row>
    <row r="1257" ht="15.75" customHeight="1">
      <c r="A1257" s="1" t="s">
        <v>160</v>
      </c>
      <c r="B1257" s="1" t="s">
        <v>204</v>
      </c>
      <c r="C1257" s="5">
        <v>45574.0</v>
      </c>
      <c r="D1257" s="1" t="s">
        <v>161</v>
      </c>
      <c r="E1257" s="1" t="s">
        <v>11</v>
      </c>
      <c r="H1257" s="1">
        <v>0.0</v>
      </c>
      <c r="J1257" s="1">
        <v>0.0</v>
      </c>
      <c r="N1257" s="1">
        <v>0.25</v>
      </c>
    </row>
    <row r="1258" ht="15.75" customHeight="1">
      <c r="A1258" s="1" t="s">
        <v>160</v>
      </c>
      <c r="B1258" s="1" t="s">
        <v>198</v>
      </c>
      <c r="C1258" s="5">
        <v>45574.0</v>
      </c>
      <c r="D1258" s="1" t="s">
        <v>161</v>
      </c>
      <c r="E1258" s="1" t="s">
        <v>11</v>
      </c>
      <c r="F1258" s="1" t="s">
        <v>162</v>
      </c>
      <c r="H1258" s="1">
        <v>0.0</v>
      </c>
      <c r="I1258" s="1">
        <v>0.0</v>
      </c>
      <c r="J1258" s="1">
        <v>0.0</v>
      </c>
      <c r="K1258" s="1">
        <v>0.0</v>
      </c>
      <c r="L1258" s="1">
        <v>0.0</v>
      </c>
      <c r="N1258" s="1">
        <v>0.180000007</v>
      </c>
    </row>
    <row r="1259" ht="15.75" customHeight="1">
      <c r="A1259" s="1" t="s">
        <v>164</v>
      </c>
      <c r="B1259" s="1" t="s">
        <v>22</v>
      </c>
      <c r="C1259" s="5">
        <v>45574.0</v>
      </c>
      <c r="D1259" s="1" t="s">
        <v>161</v>
      </c>
      <c r="E1259" s="1" t="s">
        <v>11</v>
      </c>
      <c r="H1259" s="1">
        <v>0.0</v>
      </c>
      <c r="J1259" s="1">
        <v>0.0</v>
      </c>
      <c r="N1259" s="1">
        <v>0.219999999</v>
      </c>
    </row>
    <row r="1260" ht="15.75" customHeight="1">
      <c r="A1260" s="1" t="s">
        <v>164</v>
      </c>
      <c r="B1260" s="1" t="s">
        <v>35</v>
      </c>
      <c r="C1260" s="5">
        <v>45574.0</v>
      </c>
      <c r="D1260" s="1" t="s">
        <v>161</v>
      </c>
      <c r="E1260" s="1" t="s">
        <v>11</v>
      </c>
      <c r="H1260" s="1">
        <v>0.0</v>
      </c>
      <c r="J1260" s="1">
        <v>0.0</v>
      </c>
      <c r="N1260" s="1">
        <v>0.550000012</v>
      </c>
    </row>
    <row r="1261" ht="15.75" customHeight="1">
      <c r="A1261" s="1" t="s">
        <v>164</v>
      </c>
      <c r="B1261" s="1" t="s">
        <v>24</v>
      </c>
      <c r="C1261" s="5">
        <v>45574.0</v>
      </c>
      <c r="D1261" s="1" t="s">
        <v>161</v>
      </c>
      <c r="E1261" s="1" t="s">
        <v>11</v>
      </c>
      <c r="H1261" s="1">
        <v>0.0</v>
      </c>
      <c r="J1261" s="1">
        <v>0.0</v>
      </c>
      <c r="N1261" s="1">
        <v>0.230000004</v>
      </c>
    </row>
    <row r="1262" ht="15.75" customHeight="1">
      <c r="A1262" s="1" t="s">
        <v>164</v>
      </c>
      <c r="B1262" s="1" t="s">
        <v>207</v>
      </c>
      <c r="C1262" s="5">
        <v>45574.0</v>
      </c>
      <c r="D1262" s="1" t="s">
        <v>161</v>
      </c>
      <c r="E1262" s="1" t="s">
        <v>11</v>
      </c>
      <c r="H1262" s="1">
        <v>0.0</v>
      </c>
      <c r="J1262" s="1">
        <v>0.0</v>
      </c>
      <c r="N1262" s="1">
        <v>0.180000007</v>
      </c>
    </row>
    <row r="1263" ht="15.75" customHeight="1">
      <c r="A1263" s="1" t="s">
        <v>164</v>
      </c>
      <c r="B1263" s="1" t="s">
        <v>52</v>
      </c>
      <c r="C1263" s="5">
        <v>45574.0</v>
      </c>
      <c r="D1263" s="1" t="s">
        <v>161</v>
      </c>
      <c r="E1263" s="1" t="s">
        <v>11</v>
      </c>
      <c r="H1263" s="1">
        <v>0.0</v>
      </c>
      <c r="J1263" s="1">
        <v>0.0</v>
      </c>
      <c r="N1263" s="1">
        <v>0.330000013</v>
      </c>
    </row>
    <row r="1264" ht="15.75" customHeight="1">
      <c r="A1264" s="1" t="s">
        <v>164</v>
      </c>
      <c r="B1264" s="1" t="s">
        <v>55</v>
      </c>
      <c r="C1264" s="5">
        <v>45574.0</v>
      </c>
      <c r="D1264" s="1" t="s">
        <v>161</v>
      </c>
      <c r="E1264" s="1" t="s">
        <v>11</v>
      </c>
      <c r="H1264" s="1">
        <v>0.0</v>
      </c>
      <c r="J1264" s="1">
        <v>0.0</v>
      </c>
      <c r="N1264" s="1">
        <v>0.159999996</v>
      </c>
    </row>
    <row r="1265" ht="15.75" customHeight="1">
      <c r="A1265" s="1" t="s">
        <v>164</v>
      </c>
      <c r="B1265" s="1" t="s">
        <v>70</v>
      </c>
      <c r="C1265" s="5">
        <v>45574.0</v>
      </c>
      <c r="D1265" s="1" t="s">
        <v>161</v>
      </c>
      <c r="E1265" s="1" t="s">
        <v>11</v>
      </c>
      <c r="H1265" s="1">
        <v>0.0</v>
      </c>
      <c r="J1265" s="1">
        <v>0.0</v>
      </c>
      <c r="N1265" s="1">
        <v>0.25</v>
      </c>
    </row>
    <row r="1266" ht="15.75" customHeight="1">
      <c r="A1266" s="1" t="s">
        <v>164</v>
      </c>
      <c r="B1266" s="1" t="s">
        <v>196</v>
      </c>
      <c r="C1266" s="5">
        <v>45574.0</v>
      </c>
      <c r="D1266" s="1" t="s">
        <v>161</v>
      </c>
      <c r="E1266" s="1" t="s">
        <v>11</v>
      </c>
      <c r="H1266" s="1">
        <v>0.0</v>
      </c>
      <c r="J1266" s="1">
        <v>0.0</v>
      </c>
      <c r="N1266" s="1">
        <v>0.219999999</v>
      </c>
    </row>
    <row r="1267" ht="15.75" customHeight="1">
      <c r="A1267" s="1" t="s">
        <v>164</v>
      </c>
      <c r="B1267" s="1" t="s">
        <v>179</v>
      </c>
      <c r="C1267" s="5">
        <v>45574.0</v>
      </c>
      <c r="D1267" s="1" t="s">
        <v>161</v>
      </c>
      <c r="E1267" s="1" t="s">
        <v>11</v>
      </c>
      <c r="H1267" s="1">
        <v>0.0</v>
      </c>
      <c r="J1267" s="1">
        <v>0.0</v>
      </c>
      <c r="N1267" s="1">
        <v>0.469999999</v>
      </c>
    </row>
    <row r="1268" ht="15.75" customHeight="1">
      <c r="A1268" s="1" t="s">
        <v>164</v>
      </c>
      <c r="B1268" s="1" t="s">
        <v>219</v>
      </c>
      <c r="C1268" s="5">
        <v>45574.0</v>
      </c>
      <c r="D1268" s="1" t="s">
        <v>161</v>
      </c>
      <c r="E1268" s="1" t="s">
        <v>11</v>
      </c>
      <c r="H1268" s="1">
        <v>0.0</v>
      </c>
      <c r="J1268" s="1">
        <v>0.0</v>
      </c>
      <c r="N1268" s="1">
        <v>0.300000012</v>
      </c>
    </row>
    <row r="1269" ht="15.75" customHeight="1">
      <c r="A1269" s="1" t="s">
        <v>164</v>
      </c>
      <c r="B1269" s="1" t="s">
        <v>225</v>
      </c>
      <c r="C1269" s="5">
        <v>45574.0</v>
      </c>
      <c r="D1269" s="1" t="s">
        <v>161</v>
      </c>
      <c r="E1269" s="1" t="s">
        <v>11</v>
      </c>
      <c r="H1269" s="1">
        <v>0.0</v>
      </c>
      <c r="J1269" s="1">
        <v>0.0</v>
      </c>
      <c r="N1269" s="1">
        <v>0.270000011</v>
      </c>
    </row>
    <row r="1270" ht="15.75" customHeight="1">
      <c r="A1270" s="1" t="s">
        <v>180</v>
      </c>
      <c r="B1270" s="1" t="s">
        <v>45</v>
      </c>
      <c r="C1270" s="5">
        <v>45574.0</v>
      </c>
      <c r="D1270" s="1" t="s">
        <v>161</v>
      </c>
      <c r="E1270" s="1" t="s">
        <v>11</v>
      </c>
      <c r="H1270" s="1">
        <v>0.0</v>
      </c>
      <c r="J1270" s="1">
        <v>0.0</v>
      </c>
      <c r="N1270" s="1">
        <v>0.330000013</v>
      </c>
    </row>
    <row r="1271" ht="15.75" customHeight="1">
      <c r="A1271" s="1" t="s">
        <v>180</v>
      </c>
      <c r="B1271" s="1" t="s">
        <v>185</v>
      </c>
      <c r="C1271" s="5">
        <v>45574.0</v>
      </c>
      <c r="D1271" s="1" t="s">
        <v>161</v>
      </c>
      <c r="E1271" s="1" t="s">
        <v>11</v>
      </c>
      <c r="H1271" s="1">
        <v>0.0</v>
      </c>
      <c r="J1271" s="1">
        <v>0.0</v>
      </c>
      <c r="N1271" s="1">
        <v>0.270000011</v>
      </c>
    </row>
    <row r="1272" ht="15.75" customHeight="1">
      <c r="A1272" s="1" t="s">
        <v>160</v>
      </c>
      <c r="B1272" s="1" t="s">
        <v>212</v>
      </c>
      <c r="C1272" s="5">
        <v>45573.0</v>
      </c>
      <c r="D1272" s="1" t="s">
        <v>161</v>
      </c>
      <c r="E1272" s="1" t="s">
        <v>11</v>
      </c>
      <c r="H1272" s="1">
        <v>0.0</v>
      </c>
      <c r="J1272" s="1">
        <v>0.0</v>
      </c>
      <c r="N1272" s="1">
        <v>0.170000002</v>
      </c>
    </row>
    <row r="1273" ht="15.75" customHeight="1">
      <c r="A1273" s="1" t="s">
        <v>160</v>
      </c>
      <c r="B1273" s="1" t="s">
        <v>31</v>
      </c>
      <c r="C1273" s="5">
        <v>45573.0</v>
      </c>
      <c r="D1273" s="1" t="s">
        <v>161</v>
      </c>
      <c r="E1273" s="1" t="s">
        <v>11</v>
      </c>
      <c r="H1273" s="1">
        <v>0.0</v>
      </c>
      <c r="J1273" s="1">
        <v>0.0</v>
      </c>
      <c r="N1273" s="1">
        <v>0.439999998</v>
      </c>
    </row>
    <row r="1274" ht="15.75" customHeight="1">
      <c r="A1274" s="1" t="s">
        <v>160</v>
      </c>
      <c r="B1274" s="1" t="s">
        <v>18</v>
      </c>
      <c r="C1274" s="5">
        <v>45573.0</v>
      </c>
      <c r="D1274" s="1" t="s">
        <v>161</v>
      </c>
      <c r="E1274" s="1" t="s">
        <v>11</v>
      </c>
      <c r="H1274" s="1">
        <v>0.0</v>
      </c>
      <c r="J1274" s="1">
        <v>0.0</v>
      </c>
      <c r="N1274" s="1">
        <v>0.289999992</v>
      </c>
    </row>
    <row r="1275" ht="15.75" customHeight="1">
      <c r="A1275" s="1" t="s">
        <v>160</v>
      </c>
      <c r="B1275" s="1" t="s">
        <v>20</v>
      </c>
      <c r="C1275" s="5">
        <v>45573.0</v>
      </c>
      <c r="D1275" s="1" t="s">
        <v>161</v>
      </c>
      <c r="E1275" s="1" t="s">
        <v>11</v>
      </c>
      <c r="H1275" s="1">
        <v>0.0</v>
      </c>
      <c r="J1275" s="1">
        <v>0.0</v>
      </c>
      <c r="N1275" s="1">
        <v>0.129999995</v>
      </c>
    </row>
    <row r="1276" ht="15.75" customHeight="1">
      <c r="A1276" s="1" t="s">
        <v>160</v>
      </c>
      <c r="B1276" s="1" t="s">
        <v>41</v>
      </c>
      <c r="C1276" s="5">
        <v>45573.0</v>
      </c>
      <c r="D1276" s="1" t="s">
        <v>161</v>
      </c>
      <c r="E1276" s="1" t="s">
        <v>11</v>
      </c>
      <c r="H1276" s="1">
        <v>0.0</v>
      </c>
      <c r="J1276" s="1">
        <v>0.0</v>
      </c>
      <c r="N1276" s="1">
        <v>0.100000001</v>
      </c>
    </row>
    <row r="1277" ht="15.75" customHeight="1">
      <c r="A1277" s="1" t="s">
        <v>160</v>
      </c>
      <c r="B1277" s="1" t="s">
        <v>50</v>
      </c>
      <c r="C1277" s="5">
        <v>45573.0</v>
      </c>
      <c r="D1277" s="1" t="s">
        <v>161</v>
      </c>
      <c r="E1277" s="1" t="s">
        <v>11</v>
      </c>
      <c r="H1277" s="1">
        <v>0.0</v>
      </c>
      <c r="J1277" s="1">
        <v>0.0</v>
      </c>
      <c r="N1277" s="1">
        <v>0.119999997</v>
      </c>
    </row>
    <row r="1278" ht="15.75" customHeight="1">
      <c r="A1278" s="1" t="s">
        <v>160</v>
      </c>
      <c r="B1278" s="1" t="s">
        <v>54</v>
      </c>
      <c r="C1278" s="5">
        <v>45573.0</v>
      </c>
      <c r="D1278" s="1" t="s">
        <v>161</v>
      </c>
      <c r="E1278" s="1" t="s">
        <v>11</v>
      </c>
      <c r="H1278" s="1">
        <v>0.0</v>
      </c>
      <c r="J1278" s="1">
        <v>0.0</v>
      </c>
      <c r="N1278" s="1">
        <v>0.239999995</v>
      </c>
    </row>
    <row r="1279" ht="15.75" customHeight="1">
      <c r="A1279" s="1" t="s">
        <v>160</v>
      </c>
      <c r="B1279" s="1" t="s">
        <v>32</v>
      </c>
      <c r="C1279" s="5">
        <v>45573.0</v>
      </c>
      <c r="D1279" s="1" t="s">
        <v>161</v>
      </c>
      <c r="E1279" s="1" t="s">
        <v>11</v>
      </c>
      <c r="H1279" s="1">
        <v>0.0</v>
      </c>
      <c r="J1279" s="1">
        <v>0.0</v>
      </c>
      <c r="N1279" s="1">
        <v>0.439999998</v>
      </c>
    </row>
    <row r="1280" ht="15.75" customHeight="1">
      <c r="A1280" s="1" t="s">
        <v>160</v>
      </c>
      <c r="B1280" s="1" t="s">
        <v>59</v>
      </c>
      <c r="C1280" s="5">
        <v>45573.0</v>
      </c>
      <c r="D1280" s="1" t="s">
        <v>161</v>
      </c>
      <c r="E1280" s="1" t="s">
        <v>11</v>
      </c>
      <c r="H1280" s="1">
        <v>0.0</v>
      </c>
      <c r="J1280" s="1">
        <v>0.0</v>
      </c>
      <c r="N1280" s="1">
        <v>1.00999999</v>
      </c>
    </row>
    <row r="1281" ht="15.75" customHeight="1">
      <c r="A1281" s="1" t="s">
        <v>160</v>
      </c>
      <c r="B1281" s="1" t="s">
        <v>36</v>
      </c>
      <c r="C1281" s="5">
        <v>45573.0</v>
      </c>
      <c r="D1281" s="1" t="s">
        <v>161</v>
      </c>
      <c r="E1281" s="1" t="s">
        <v>11</v>
      </c>
      <c r="H1281" s="1">
        <v>0.0</v>
      </c>
      <c r="J1281" s="1">
        <v>0.0</v>
      </c>
      <c r="N1281" s="1">
        <v>0.75</v>
      </c>
    </row>
    <row r="1282" ht="15.75" customHeight="1">
      <c r="A1282" s="1" t="s">
        <v>160</v>
      </c>
      <c r="B1282" s="1" t="s">
        <v>46</v>
      </c>
      <c r="C1282" s="5">
        <v>45573.0</v>
      </c>
      <c r="D1282" s="1" t="s">
        <v>161</v>
      </c>
      <c r="E1282" s="1" t="s">
        <v>11</v>
      </c>
      <c r="F1282" s="1" t="s">
        <v>162</v>
      </c>
      <c r="H1282" s="1">
        <v>0.0</v>
      </c>
      <c r="I1282" s="1">
        <v>0.0</v>
      </c>
      <c r="J1282" s="1">
        <v>0.0</v>
      </c>
      <c r="K1282" s="1">
        <v>0.0</v>
      </c>
      <c r="L1282" s="1">
        <v>3.0</v>
      </c>
      <c r="M1282" s="1">
        <v>0.0</v>
      </c>
      <c r="N1282" s="1">
        <v>4.579999924</v>
      </c>
    </row>
    <row r="1283" ht="15.75" customHeight="1">
      <c r="A1283" s="1" t="s">
        <v>160</v>
      </c>
      <c r="B1283" s="1" t="s">
        <v>210</v>
      </c>
      <c r="C1283" s="5">
        <v>45573.0</v>
      </c>
      <c r="D1283" s="1" t="s">
        <v>161</v>
      </c>
      <c r="E1283" s="1" t="s">
        <v>11</v>
      </c>
      <c r="H1283" s="1">
        <v>0.0</v>
      </c>
      <c r="J1283" s="1">
        <v>0.0</v>
      </c>
      <c r="N1283" s="1">
        <v>0.07</v>
      </c>
    </row>
    <row r="1284" ht="15.75" customHeight="1">
      <c r="A1284" s="1" t="s">
        <v>160</v>
      </c>
      <c r="B1284" s="1" t="s">
        <v>56</v>
      </c>
      <c r="C1284" s="5">
        <v>45573.0</v>
      </c>
      <c r="D1284" s="1" t="s">
        <v>161</v>
      </c>
      <c r="E1284" s="1" t="s">
        <v>11</v>
      </c>
      <c r="H1284" s="1">
        <v>0.0</v>
      </c>
      <c r="J1284" s="1">
        <v>0.0</v>
      </c>
      <c r="N1284" s="1">
        <v>0.230000004</v>
      </c>
    </row>
    <row r="1285" ht="15.75" customHeight="1">
      <c r="A1285" s="1" t="s">
        <v>160</v>
      </c>
      <c r="B1285" s="1" t="s">
        <v>89</v>
      </c>
      <c r="C1285" s="5">
        <v>45573.0</v>
      </c>
      <c r="D1285" s="1" t="s">
        <v>161</v>
      </c>
      <c r="E1285" s="1" t="s">
        <v>11</v>
      </c>
      <c r="H1285" s="1">
        <v>0.0</v>
      </c>
      <c r="J1285" s="1">
        <v>0.0</v>
      </c>
      <c r="N1285" s="1">
        <v>0.310000002</v>
      </c>
    </row>
    <row r="1286" ht="15.75" customHeight="1">
      <c r="A1286" s="1" t="s">
        <v>160</v>
      </c>
      <c r="B1286" s="1" t="s">
        <v>93</v>
      </c>
      <c r="C1286" s="5">
        <v>45573.0</v>
      </c>
      <c r="D1286" s="1" t="s">
        <v>161</v>
      </c>
      <c r="E1286" s="1" t="s">
        <v>11</v>
      </c>
      <c r="H1286" s="1">
        <v>0.0</v>
      </c>
      <c r="J1286" s="1">
        <v>0.0</v>
      </c>
      <c r="N1286" s="1">
        <v>0.319999993</v>
      </c>
    </row>
    <row r="1287" ht="15.75" customHeight="1">
      <c r="A1287" s="1" t="s">
        <v>160</v>
      </c>
      <c r="B1287" s="1" t="s">
        <v>94</v>
      </c>
      <c r="C1287" s="5">
        <v>45573.0</v>
      </c>
      <c r="D1287" s="1" t="s">
        <v>161</v>
      </c>
      <c r="E1287" s="1" t="s">
        <v>11</v>
      </c>
      <c r="H1287" s="1">
        <v>0.0</v>
      </c>
      <c r="J1287" s="1">
        <v>0.0</v>
      </c>
      <c r="N1287" s="1">
        <v>0.469999999</v>
      </c>
    </row>
    <row r="1288" ht="15.75" customHeight="1">
      <c r="A1288" s="1" t="s">
        <v>164</v>
      </c>
      <c r="B1288" s="1" t="s">
        <v>216</v>
      </c>
      <c r="C1288" s="5">
        <v>45573.0</v>
      </c>
      <c r="D1288" s="1" t="s">
        <v>161</v>
      </c>
      <c r="E1288" s="1" t="s">
        <v>11</v>
      </c>
      <c r="F1288" s="1" t="s">
        <v>166</v>
      </c>
      <c r="H1288" s="1">
        <v>0.0</v>
      </c>
      <c r="I1288" s="1">
        <v>0.0</v>
      </c>
      <c r="J1288" s="1">
        <v>0.0</v>
      </c>
      <c r="K1288" s="1">
        <v>0.0</v>
      </c>
      <c r="L1288" s="1">
        <v>0.0</v>
      </c>
      <c r="N1288" s="1">
        <v>0.340000004</v>
      </c>
    </row>
    <row r="1289" ht="15.75" customHeight="1">
      <c r="A1289" s="1" t="s">
        <v>164</v>
      </c>
      <c r="B1289" s="1" t="s">
        <v>52</v>
      </c>
      <c r="C1289" s="5">
        <v>45573.0</v>
      </c>
      <c r="D1289" s="1" t="s">
        <v>161</v>
      </c>
      <c r="E1289" s="1" t="s">
        <v>11</v>
      </c>
      <c r="H1289" s="1">
        <v>0.0</v>
      </c>
      <c r="J1289" s="1">
        <v>0.0</v>
      </c>
      <c r="N1289" s="1">
        <v>0.119999997</v>
      </c>
    </row>
    <row r="1290" ht="15.75" customHeight="1">
      <c r="A1290" s="1" t="s">
        <v>164</v>
      </c>
      <c r="B1290" s="1" t="s">
        <v>213</v>
      </c>
      <c r="C1290" s="5">
        <v>45573.0</v>
      </c>
      <c r="D1290" s="1" t="s">
        <v>161</v>
      </c>
      <c r="E1290" s="1" t="s">
        <v>11</v>
      </c>
      <c r="H1290" s="1">
        <v>0.0</v>
      </c>
      <c r="J1290" s="1">
        <v>0.0</v>
      </c>
      <c r="N1290" s="1">
        <v>0.25</v>
      </c>
    </row>
    <row r="1291" ht="15.75" customHeight="1">
      <c r="A1291" s="1" t="s">
        <v>164</v>
      </c>
      <c r="B1291" s="1" t="s">
        <v>183</v>
      </c>
      <c r="C1291" s="5">
        <v>45573.0</v>
      </c>
      <c r="D1291" s="1" t="s">
        <v>161</v>
      </c>
      <c r="E1291" s="1" t="s">
        <v>11</v>
      </c>
      <c r="H1291" s="1">
        <v>0.0</v>
      </c>
      <c r="J1291" s="1">
        <v>0.0</v>
      </c>
      <c r="N1291" s="1">
        <v>0.25999999</v>
      </c>
    </row>
    <row r="1292" ht="15.75" customHeight="1">
      <c r="A1292" s="1" t="s">
        <v>164</v>
      </c>
      <c r="B1292" s="1" t="s">
        <v>197</v>
      </c>
      <c r="C1292" s="5">
        <v>45573.0</v>
      </c>
      <c r="D1292" s="1" t="s">
        <v>161</v>
      </c>
      <c r="E1292" s="1" t="s">
        <v>11</v>
      </c>
      <c r="H1292" s="1">
        <v>0.0</v>
      </c>
      <c r="J1292" s="1">
        <v>0.0</v>
      </c>
      <c r="N1292" s="1">
        <v>0.479999989</v>
      </c>
    </row>
    <row r="1293" ht="15.75" customHeight="1">
      <c r="A1293" s="1" t="s">
        <v>164</v>
      </c>
      <c r="B1293" s="1" t="s">
        <v>205</v>
      </c>
      <c r="C1293" s="5">
        <v>45573.0</v>
      </c>
      <c r="D1293" s="1" t="s">
        <v>161</v>
      </c>
      <c r="E1293" s="1" t="s">
        <v>11</v>
      </c>
      <c r="H1293" s="1">
        <v>0.0</v>
      </c>
      <c r="J1293" s="1">
        <v>0.0</v>
      </c>
      <c r="N1293" s="1">
        <v>0.379999995</v>
      </c>
    </row>
    <row r="1294" ht="15.75" customHeight="1">
      <c r="A1294" s="1" t="s">
        <v>164</v>
      </c>
      <c r="B1294" s="1" t="s">
        <v>100</v>
      </c>
      <c r="C1294" s="5">
        <v>45573.0</v>
      </c>
      <c r="D1294" s="1" t="s">
        <v>161</v>
      </c>
      <c r="E1294" s="1" t="s">
        <v>11</v>
      </c>
      <c r="H1294" s="1">
        <v>0.0</v>
      </c>
      <c r="J1294" s="1">
        <v>0.0</v>
      </c>
      <c r="N1294" s="1">
        <v>0.109999999</v>
      </c>
    </row>
    <row r="1295" ht="15.75" customHeight="1">
      <c r="A1295" s="1" t="s">
        <v>164</v>
      </c>
      <c r="B1295" s="1" t="s">
        <v>82</v>
      </c>
      <c r="C1295" s="5">
        <v>45573.0</v>
      </c>
      <c r="D1295" s="1" t="s">
        <v>161</v>
      </c>
      <c r="E1295" s="1" t="s">
        <v>11</v>
      </c>
      <c r="H1295" s="1">
        <v>0.0</v>
      </c>
      <c r="J1295" s="1">
        <v>0.0</v>
      </c>
      <c r="N1295" s="1">
        <v>0.219999999</v>
      </c>
    </row>
    <row r="1296" ht="15.75" customHeight="1">
      <c r="A1296" s="1" t="s">
        <v>164</v>
      </c>
      <c r="B1296" s="1" t="s">
        <v>82</v>
      </c>
      <c r="C1296" s="5">
        <v>45572.0</v>
      </c>
      <c r="D1296" s="1" t="s">
        <v>161</v>
      </c>
      <c r="E1296" s="1" t="s">
        <v>11</v>
      </c>
      <c r="F1296" s="1" t="s">
        <v>165</v>
      </c>
      <c r="H1296" s="1">
        <v>0.0</v>
      </c>
      <c r="I1296" s="1">
        <v>0.0</v>
      </c>
      <c r="J1296" s="1">
        <v>0.0</v>
      </c>
      <c r="K1296" s="1">
        <v>0.0</v>
      </c>
      <c r="L1296" s="1">
        <v>0.0</v>
      </c>
      <c r="N1296" s="1">
        <v>0.0</v>
      </c>
    </row>
    <row r="1297" ht="15.75" customHeight="1">
      <c r="A1297" s="1" t="s">
        <v>164</v>
      </c>
      <c r="B1297" s="1" t="s">
        <v>82</v>
      </c>
      <c r="C1297" s="5">
        <v>45572.0</v>
      </c>
      <c r="D1297" s="1" t="s">
        <v>161</v>
      </c>
      <c r="E1297" s="1" t="s">
        <v>11</v>
      </c>
      <c r="F1297" s="1" t="s">
        <v>169</v>
      </c>
      <c r="H1297" s="1">
        <v>0.0</v>
      </c>
      <c r="I1297" s="1">
        <v>0.0</v>
      </c>
      <c r="J1297" s="1">
        <v>0.0</v>
      </c>
      <c r="K1297" s="1">
        <v>13.0</v>
      </c>
      <c r="L1297" s="1">
        <v>21.0</v>
      </c>
      <c r="M1297" s="1">
        <v>0.619047619</v>
      </c>
      <c r="N1297" s="1">
        <v>24.93000031</v>
      </c>
    </row>
    <row r="1298" ht="15.75" customHeight="1">
      <c r="A1298" s="1" t="s">
        <v>164</v>
      </c>
      <c r="B1298" s="1" t="s">
        <v>22</v>
      </c>
      <c r="C1298" s="5">
        <v>45569.0</v>
      </c>
      <c r="D1298" s="1" t="s">
        <v>161</v>
      </c>
      <c r="E1298" s="1" t="s">
        <v>11</v>
      </c>
      <c r="F1298" s="1" t="s">
        <v>166</v>
      </c>
      <c r="H1298" s="1">
        <v>0.0</v>
      </c>
      <c r="I1298" s="1">
        <v>0.0</v>
      </c>
      <c r="J1298" s="1">
        <v>0.0</v>
      </c>
      <c r="K1298" s="1">
        <v>0.0</v>
      </c>
      <c r="L1298" s="1">
        <v>0.0</v>
      </c>
      <c r="N1298" s="1">
        <v>1.690000057</v>
      </c>
    </row>
    <row r="1299" ht="15.75" customHeight="1">
      <c r="A1299" s="1" t="s">
        <v>164</v>
      </c>
      <c r="B1299" s="1" t="s">
        <v>52</v>
      </c>
      <c r="C1299" s="5">
        <v>45569.0</v>
      </c>
      <c r="D1299" s="1" t="s">
        <v>161</v>
      </c>
      <c r="E1299" s="1" t="s">
        <v>11</v>
      </c>
      <c r="F1299" s="1" t="s">
        <v>165</v>
      </c>
      <c r="G1299" s="1" t="s">
        <v>201</v>
      </c>
      <c r="H1299" s="1">
        <v>1.0</v>
      </c>
      <c r="I1299" s="1">
        <v>0.0</v>
      </c>
      <c r="J1299" s="1">
        <v>0.0</v>
      </c>
      <c r="K1299" s="1">
        <v>7.0</v>
      </c>
      <c r="L1299" s="1">
        <v>10.0</v>
      </c>
      <c r="M1299" s="1">
        <v>0.7</v>
      </c>
      <c r="N1299" s="1">
        <v>12.38000011</v>
      </c>
    </row>
    <row r="1300" ht="15.75" customHeight="1">
      <c r="A1300" s="1" t="s">
        <v>164</v>
      </c>
      <c r="B1300" s="1" t="s">
        <v>197</v>
      </c>
      <c r="C1300" s="5">
        <v>45569.0</v>
      </c>
      <c r="D1300" s="1" t="s">
        <v>161</v>
      </c>
      <c r="E1300" s="1" t="s">
        <v>11</v>
      </c>
      <c r="F1300" s="1" t="s">
        <v>168</v>
      </c>
      <c r="H1300" s="1">
        <v>0.0</v>
      </c>
      <c r="I1300" s="1">
        <v>0.0</v>
      </c>
      <c r="J1300" s="1">
        <v>0.0</v>
      </c>
      <c r="K1300" s="1">
        <v>0.0</v>
      </c>
      <c r="L1300" s="1">
        <v>2.0</v>
      </c>
      <c r="M1300" s="1">
        <v>0.0</v>
      </c>
      <c r="N1300" s="1">
        <v>3.25</v>
      </c>
    </row>
    <row r="1301" ht="15.75" customHeight="1">
      <c r="A1301" s="1" t="s">
        <v>164</v>
      </c>
      <c r="B1301" s="1" t="s">
        <v>24</v>
      </c>
      <c r="C1301" s="5">
        <v>45568.0</v>
      </c>
      <c r="D1301" s="1" t="s">
        <v>161</v>
      </c>
      <c r="E1301" s="1" t="s">
        <v>11</v>
      </c>
      <c r="F1301" s="1" t="s">
        <v>166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N1301" s="1">
        <v>2.579999924</v>
      </c>
    </row>
    <row r="1302" ht="15.75" customHeight="1">
      <c r="A1302" s="1" t="s">
        <v>164</v>
      </c>
      <c r="B1302" s="1" t="s">
        <v>52</v>
      </c>
      <c r="C1302" s="5">
        <v>45568.0</v>
      </c>
      <c r="D1302" s="1" t="s">
        <v>161</v>
      </c>
      <c r="E1302" s="1" t="s">
        <v>11</v>
      </c>
      <c r="F1302" s="1" t="s">
        <v>165</v>
      </c>
      <c r="H1302" s="1">
        <v>0.0</v>
      </c>
      <c r="I1302" s="1">
        <v>0.0</v>
      </c>
      <c r="J1302" s="1">
        <v>0.0</v>
      </c>
      <c r="K1302" s="1">
        <v>2.0</v>
      </c>
      <c r="L1302" s="1">
        <v>5.0</v>
      </c>
      <c r="M1302" s="1">
        <v>0.4</v>
      </c>
      <c r="N1302" s="1">
        <v>5.75</v>
      </c>
    </row>
    <row r="1303" ht="15.75" customHeight="1">
      <c r="A1303" s="1" t="s">
        <v>164</v>
      </c>
      <c r="B1303" s="1" t="s">
        <v>63</v>
      </c>
      <c r="C1303" s="5">
        <v>45568.0</v>
      </c>
      <c r="D1303" s="1" t="s">
        <v>161</v>
      </c>
      <c r="E1303" s="1" t="s">
        <v>11</v>
      </c>
      <c r="F1303" s="1" t="s">
        <v>166</v>
      </c>
      <c r="H1303" s="1">
        <v>0.0</v>
      </c>
      <c r="I1303" s="1">
        <v>0.0</v>
      </c>
      <c r="J1303" s="1">
        <v>0.0</v>
      </c>
      <c r="K1303" s="1">
        <v>5.0</v>
      </c>
      <c r="L1303" s="1">
        <v>8.0</v>
      </c>
      <c r="M1303" s="1">
        <v>0.625</v>
      </c>
      <c r="N1303" s="1">
        <v>6.090000153</v>
      </c>
    </row>
    <row r="1304" ht="15.75" customHeight="1">
      <c r="A1304" s="1" t="s">
        <v>164</v>
      </c>
      <c r="B1304" s="1" t="s">
        <v>183</v>
      </c>
      <c r="C1304" s="5">
        <v>45568.0</v>
      </c>
      <c r="D1304" s="1" t="s">
        <v>161</v>
      </c>
      <c r="E1304" s="1" t="s">
        <v>11</v>
      </c>
      <c r="F1304" s="1" t="s">
        <v>166</v>
      </c>
      <c r="H1304" s="1">
        <v>0.0</v>
      </c>
      <c r="I1304" s="1">
        <v>0.0</v>
      </c>
      <c r="J1304" s="1">
        <v>0.0</v>
      </c>
      <c r="K1304" s="1">
        <v>3.0</v>
      </c>
      <c r="L1304" s="1">
        <v>6.0</v>
      </c>
      <c r="M1304" s="1">
        <v>0.5</v>
      </c>
      <c r="N1304" s="1">
        <v>8.130000114</v>
      </c>
    </row>
    <row r="1305" ht="15.75" customHeight="1">
      <c r="A1305" s="1" t="s">
        <v>164</v>
      </c>
      <c r="B1305" s="1" t="s">
        <v>197</v>
      </c>
      <c r="C1305" s="5">
        <v>45568.0</v>
      </c>
      <c r="D1305" s="1" t="s">
        <v>161</v>
      </c>
      <c r="E1305" s="1" t="s">
        <v>11</v>
      </c>
      <c r="F1305" s="1" t="s">
        <v>162</v>
      </c>
      <c r="H1305" s="1">
        <v>0.0</v>
      </c>
      <c r="I1305" s="1">
        <v>0.0</v>
      </c>
      <c r="J1305" s="1">
        <v>0.0</v>
      </c>
      <c r="K1305" s="1">
        <v>0.0</v>
      </c>
      <c r="L1305" s="1">
        <v>0.0</v>
      </c>
      <c r="N1305" s="1">
        <v>0.0</v>
      </c>
    </row>
    <row r="1306" ht="15.75" customHeight="1">
      <c r="A1306" s="1" t="s">
        <v>164</v>
      </c>
      <c r="B1306" s="1" t="s">
        <v>197</v>
      </c>
      <c r="C1306" s="5">
        <v>45568.0</v>
      </c>
      <c r="D1306" s="1" t="s">
        <v>161</v>
      </c>
      <c r="E1306" s="1" t="s">
        <v>11</v>
      </c>
      <c r="F1306" s="1" t="s">
        <v>168</v>
      </c>
      <c r="H1306" s="1">
        <v>0.0</v>
      </c>
      <c r="I1306" s="1">
        <v>0.0</v>
      </c>
      <c r="J1306" s="1">
        <v>0.0</v>
      </c>
      <c r="K1306" s="1">
        <v>3.0</v>
      </c>
      <c r="L1306" s="1">
        <v>5.0</v>
      </c>
      <c r="M1306" s="1">
        <v>0.6</v>
      </c>
      <c r="N1306" s="1">
        <v>9.789999962</v>
      </c>
    </row>
    <row r="1307" ht="15.75" customHeight="1">
      <c r="A1307" s="1" t="s">
        <v>164</v>
      </c>
      <c r="B1307" s="1" t="s">
        <v>74</v>
      </c>
      <c r="C1307" s="5">
        <v>45568.0</v>
      </c>
      <c r="D1307" s="1" t="s">
        <v>161</v>
      </c>
      <c r="E1307" s="1" t="s">
        <v>11</v>
      </c>
      <c r="F1307" s="1" t="s">
        <v>166</v>
      </c>
      <c r="H1307" s="1">
        <v>0.0</v>
      </c>
      <c r="I1307" s="1">
        <v>0.0</v>
      </c>
      <c r="J1307" s="1">
        <v>0.0</v>
      </c>
      <c r="K1307" s="1">
        <v>1.0</v>
      </c>
      <c r="L1307" s="1">
        <v>2.0</v>
      </c>
      <c r="M1307" s="1">
        <v>0.5</v>
      </c>
      <c r="N1307" s="1">
        <v>8.010000229</v>
      </c>
    </row>
    <row r="1308" ht="15.75" customHeight="1">
      <c r="A1308" s="1" t="s">
        <v>164</v>
      </c>
      <c r="B1308" s="1" t="s">
        <v>75</v>
      </c>
      <c r="C1308" s="5">
        <v>45568.0</v>
      </c>
      <c r="D1308" s="1" t="s">
        <v>161</v>
      </c>
      <c r="E1308" s="1" t="s">
        <v>11</v>
      </c>
      <c r="F1308" s="1" t="s">
        <v>165</v>
      </c>
      <c r="H1308" s="1">
        <v>0.0</v>
      </c>
      <c r="I1308" s="1">
        <v>0.0</v>
      </c>
      <c r="J1308" s="1">
        <v>0.0</v>
      </c>
      <c r="K1308" s="1">
        <v>0.0</v>
      </c>
      <c r="L1308" s="1">
        <v>1.0</v>
      </c>
      <c r="M1308" s="1">
        <v>0.0</v>
      </c>
      <c r="N1308" s="1">
        <v>10.07999992</v>
      </c>
    </row>
    <row r="1309" ht="15.75" customHeight="1">
      <c r="A1309" s="1" t="s">
        <v>164</v>
      </c>
      <c r="B1309" s="1" t="s">
        <v>82</v>
      </c>
      <c r="C1309" s="5">
        <v>45568.0</v>
      </c>
      <c r="D1309" s="1" t="s">
        <v>161</v>
      </c>
      <c r="E1309" s="1" t="s">
        <v>11</v>
      </c>
      <c r="F1309" s="1" t="s">
        <v>165</v>
      </c>
      <c r="H1309" s="1">
        <v>0.0</v>
      </c>
      <c r="I1309" s="1">
        <v>0.0</v>
      </c>
      <c r="J1309" s="1">
        <v>0.0</v>
      </c>
      <c r="K1309" s="1">
        <v>3.0</v>
      </c>
      <c r="L1309" s="1">
        <v>8.0</v>
      </c>
      <c r="M1309" s="1">
        <v>0.375</v>
      </c>
      <c r="N1309" s="1">
        <v>26.87000084</v>
      </c>
    </row>
    <row r="1310" ht="15.75" customHeight="1">
      <c r="A1310" s="1" t="s">
        <v>180</v>
      </c>
      <c r="B1310" s="1" t="s">
        <v>214</v>
      </c>
      <c r="C1310" s="5">
        <v>45568.0</v>
      </c>
      <c r="D1310" s="1" t="s">
        <v>161</v>
      </c>
      <c r="E1310" s="1" t="s">
        <v>11</v>
      </c>
      <c r="F1310" s="1" t="s">
        <v>221</v>
      </c>
      <c r="G1310" s="1" t="s">
        <v>163</v>
      </c>
      <c r="H1310" s="1">
        <v>1.0</v>
      </c>
      <c r="I1310" s="1">
        <v>2.0</v>
      </c>
      <c r="J1310" s="1">
        <v>0.0</v>
      </c>
      <c r="K1310" s="1">
        <v>28.0</v>
      </c>
      <c r="L1310" s="1">
        <v>32.0</v>
      </c>
      <c r="M1310" s="1">
        <v>0.875</v>
      </c>
      <c r="N1310" s="1">
        <v>43.43000031</v>
      </c>
    </row>
    <row r="1311" ht="15.75" customHeight="1">
      <c r="A1311" s="1" t="s">
        <v>180</v>
      </c>
      <c r="B1311" s="1" t="s">
        <v>214</v>
      </c>
      <c r="C1311" s="5">
        <v>45568.0</v>
      </c>
      <c r="D1311" s="1" t="s">
        <v>161</v>
      </c>
      <c r="E1311" s="1" t="s">
        <v>11</v>
      </c>
      <c r="F1311" s="1" t="s">
        <v>167</v>
      </c>
      <c r="G1311" s="1" t="s">
        <v>163</v>
      </c>
      <c r="H1311" s="1">
        <v>1.0</v>
      </c>
      <c r="I1311" s="1">
        <v>1.0</v>
      </c>
      <c r="J1311" s="1">
        <v>0.0</v>
      </c>
      <c r="K1311" s="1">
        <v>14.0</v>
      </c>
      <c r="L1311" s="1">
        <v>15.0</v>
      </c>
      <c r="M1311" s="1">
        <v>0.933333333</v>
      </c>
      <c r="N1311" s="1">
        <v>0.0</v>
      </c>
    </row>
    <row r="1312" ht="15.75" customHeight="1">
      <c r="A1312" s="1" t="s">
        <v>180</v>
      </c>
      <c r="B1312" s="1" t="s">
        <v>214</v>
      </c>
      <c r="C1312" s="5">
        <v>45568.0</v>
      </c>
      <c r="D1312" s="1" t="s">
        <v>161</v>
      </c>
      <c r="E1312" s="1" t="s">
        <v>11</v>
      </c>
      <c r="F1312" s="1" t="s">
        <v>166</v>
      </c>
      <c r="G1312" s="1" t="s">
        <v>163</v>
      </c>
      <c r="H1312" s="1">
        <v>1.0</v>
      </c>
      <c r="I1312" s="1">
        <v>0.0</v>
      </c>
      <c r="J1312" s="1">
        <v>0.0</v>
      </c>
      <c r="K1312" s="1">
        <v>0.0</v>
      </c>
      <c r="L1312" s="1">
        <v>0.0</v>
      </c>
      <c r="N1312" s="1">
        <v>0.0</v>
      </c>
    </row>
    <row r="1313" ht="15.75" customHeight="1">
      <c r="A1313" s="1" t="s">
        <v>160</v>
      </c>
      <c r="B1313" s="1" t="s">
        <v>101</v>
      </c>
      <c r="C1313" s="5">
        <v>45567.0</v>
      </c>
      <c r="D1313" s="1" t="s">
        <v>161</v>
      </c>
      <c r="E1313" s="1" t="s">
        <v>11</v>
      </c>
      <c r="F1313" s="1" t="s">
        <v>162</v>
      </c>
      <c r="H1313" s="1">
        <v>0.0</v>
      </c>
      <c r="I1313" s="1">
        <v>0.0</v>
      </c>
      <c r="J1313" s="1">
        <v>0.0</v>
      </c>
      <c r="K1313" s="1">
        <v>4.0</v>
      </c>
      <c r="L1313" s="1">
        <v>21.0</v>
      </c>
      <c r="M1313" s="1">
        <v>0.19047619</v>
      </c>
      <c r="N1313" s="1">
        <v>19.39999962</v>
      </c>
    </row>
    <row r="1314" ht="15.75" customHeight="1">
      <c r="A1314" s="1" t="s">
        <v>164</v>
      </c>
      <c r="B1314" s="1" t="s">
        <v>35</v>
      </c>
      <c r="C1314" s="5">
        <v>45567.0</v>
      </c>
      <c r="D1314" s="1" t="s">
        <v>161</v>
      </c>
      <c r="E1314" s="1" t="s">
        <v>11</v>
      </c>
      <c r="F1314" s="1" t="s">
        <v>221</v>
      </c>
      <c r="G1314" s="1" t="s">
        <v>163</v>
      </c>
      <c r="H1314" s="1">
        <v>1.0</v>
      </c>
      <c r="I1314" s="1">
        <v>1.0</v>
      </c>
      <c r="J1314" s="1">
        <v>0.0</v>
      </c>
      <c r="K1314" s="1">
        <v>23.0</v>
      </c>
      <c r="L1314" s="1">
        <v>28.0</v>
      </c>
      <c r="M1314" s="1">
        <v>0.821428571</v>
      </c>
      <c r="N1314" s="1">
        <v>24.61000061</v>
      </c>
    </row>
    <row r="1315" ht="15.75" customHeight="1">
      <c r="A1315" s="1" t="s">
        <v>164</v>
      </c>
      <c r="B1315" s="1" t="s">
        <v>35</v>
      </c>
      <c r="C1315" s="5">
        <v>45567.0</v>
      </c>
      <c r="D1315" s="1" t="s">
        <v>161</v>
      </c>
      <c r="E1315" s="1" t="s">
        <v>11</v>
      </c>
      <c r="F1315" s="1" t="s">
        <v>167</v>
      </c>
      <c r="G1315" s="1" t="s">
        <v>163</v>
      </c>
      <c r="H1315" s="1">
        <v>1.0</v>
      </c>
      <c r="I1315" s="1">
        <v>1.0</v>
      </c>
      <c r="J1315" s="1">
        <v>0.0</v>
      </c>
      <c r="K1315" s="1">
        <v>18.0</v>
      </c>
      <c r="L1315" s="1">
        <v>21.0</v>
      </c>
      <c r="M1315" s="1">
        <v>0.857142857</v>
      </c>
      <c r="N1315" s="1">
        <v>0.0</v>
      </c>
    </row>
    <row r="1316" ht="15.75" customHeight="1">
      <c r="A1316" s="1" t="s">
        <v>164</v>
      </c>
      <c r="B1316" s="1" t="s">
        <v>35</v>
      </c>
      <c r="C1316" s="5">
        <v>45567.0</v>
      </c>
      <c r="D1316" s="1" t="s">
        <v>161</v>
      </c>
      <c r="E1316" s="1" t="s">
        <v>11</v>
      </c>
      <c r="F1316" s="1" t="s">
        <v>166</v>
      </c>
      <c r="G1316" s="1" t="s">
        <v>163</v>
      </c>
      <c r="H1316" s="1">
        <v>1.0</v>
      </c>
      <c r="I1316" s="1">
        <v>0.0</v>
      </c>
      <c r="J1316" s="1">
        <v>0.0</v>
      </c>
      <c r="K1316" s="1">
        <v>0.0</v>
      </c>
      <c r="L1316" s="1">
        <v>0.0</v>
      </c>
      <c r="N1316" s="1">
        <v>0.0</v>
      </c>
    </row>
    <row r="1317" ht="15.75" customHeight="1">
      <c r="A1317" s="1" t="s">
        <v>164</v>
      </c>
      <c r="B1317" s="1" t="s">
        <v>35</v>
      </c>
      <c r="C1317" s="5">
        <v>45567.0</v>
      </c>
      <c r="D1317" s="1" t="s">
        <v>161</v>
      </c>
      <c r="E1317" s="1" t="s">
        <v>11</v>
      </c>
      <c r="F1317" s="1" t="s">
        <v>171</v>
      </c>
      <c r="G1317" s="1" t="s">
        <v>163</v>
      </c>
      <c r="H1317" s="1">
        <v>1.0</v>
      </c>
      <c r="I1317" s="1">
        <v>1.0</v>
      </c>
      <c r="J1317" s="1">
        <v>0.0</v>
      </c>
      <c r="K1317" s="1">
        <v>20.0</v>
      </c>
      <c r="L1317" s="1">
        <v>25.0</v>
      </c>
      <c r="M1317" s="1">
        <v>0.8</v>
      </c>
      <c r="N1317" s="1">
        <v>0.0</v>
      </c>
    </row>
    <row r="1318" ht="15.75" customHeight="1">
      <c r="A1318" s="1" t="s">
        <v>164</v>
      </c>
      <c r="B1318" s="1" t="s">
        <v>35</v>
      </c>
      <c r="C1318" s="5">
        <v>45567.0</v>
      </c>
      <c r="D1318" s="1" t="s">
        <v>161</v>
      </c>
      <c r="E1318" s="1" t="s">
        <v>11</v>
      </c>
      <c r="F1318" s="1" t="s">
        <v>169</v>
      </c>
      <c r="G1318" s="1" t="s">
        <v>163</v>
      </c>
      <c r="H1318" s="1">
        <v>1.0</v>
      </c>
      <c r="I1318" s="1">
        <v>1.0</v>
      </c>
      <c r="J1318" s="1">
        <v>0.0</v>
      </c>
      <c r="K1318" s="1">
        <v>15.0</v>
      </c>
      <c r="L1318" s="1">
        <v>18.0</v>
      </c>
      <c r="M1318" s="1">
        <v>0.833333333</v>
      </c>
      <c r="N1318" s="1">
        <v>0.0</v>
      </c>
    </row>
    <row r="1319" ht="15.75" customHeight="1">
      <c r="A1319" s="1" t="s">
        <v>164</v>
      </c>
      <c r="B1319" s="1" t="s">
        <v>24</v>
      </c>
      <c r="C1319" s="5">
        <v>45567.0</v>
      </c>
      <c r="D1319" s="1" t="s">
        <v>161</v>
      </c>
      <c r="E1319" s="1" t="s">
        <v>11</v>
      </c>
      <c r="F1319" s="1" t="s">
        <v>166</v>
      </c>
      <c r="H1319" s="1">
        <v>0.0</v>
      </c>
      <c r="I1319" s="1">
        <v>0.0</v>
      </c>
      <c r="J1319" s="1">
        <v>0.0</v>
      </c>
      <c r="K1319" s="1">
        <v>2.0</v>
      </c>
      <c r="L1319" s="1">
        <v>3.0</v>
      </c>
      <c r="M1319" s="1">
        <v>0.666666667</v>
      </c>
      <c r="N1319" s="1">
        <v>5.590000153</v>
      </c>
    </row>
    <row r="1320" ht="15.75" customHeight="1">
      <c r="A1320" s="1" t="s">
        <v>164</v>
      </c>
      <c r="B1320" s="1" t="s">
        <v>52</v>
      </c>
      <c r="C1320" s="5">
        <v>45567.0</v>
      </c>
      <c r="D1320" s="1" t="s">
        <v>161</v>
      </c>
      <c r="E1320" s="1" t="s">
        <v>11</v>
      </c>
      <c r="F1320" s="1" t="s">
        <v>165</v>
      </c>
      <c r="H1320" s="1">
        <v>0.0</v>
      </c>
      <c r="I1320" s="1">
        <v>0.0</v>
      </c>
      <c r="J1320" s="1">
        <v>0.0</v>
      </c>
      <c r="K1320" s="1">
        <v>6.0</v>
      </c>
      <c r="L1320" s="1">
        <v>12.0</v>
      </c>
      <c r="M1320" s="1">
        <v>0.5</v>
      </c>
      <c r="N1320" s="1">
        <v>10.35999966</v>
      </c>
    </row>
    <row r="1321" ht="15.75" customHeight="1">
      <c r="A1321" s="1" t="s">
        <v>164</v>
      </c>
      <c r="B1321" s="1" t="s">
        <v>213</v>
      </c>
      <c r="C1321" s="5">
        <v>45567.0</v>
      </c>
      <c r="D1321" s="1" t="s">
        <v>161</v>
      </c>
      <c r="E1321" s="1" t="s">
        <v>11</v>
      </c>
      <c r="F1321" s="1" t="s">
        <v>162</v>
      </c>
      <c r="H1321" s="1">
        <v>0.0</v>
      </c>
      <c r="I1321" s="1">
        <v>0.0</v>
      </c>
      <c r="J1321" s="1">
        <v>0.0</v>
      </c>
      <c r="K1321" s="1">
        <v>0.0</v>
      </c>
      <c r="L1321" s="1">
        <v>0.0</v>
      </c>
      <c r="N1321" s="1">
        <v>2.49000001</v>
      </c>
    </row>
    <row r="1322" ht="15.75" customHeight="1">
      <c r="A1322" s="1" t="s">
        <v>164</v>
      </c>
      <c r="B1322" s="1" t="s">
        <v>179</v>
      </c>
      <c r="C1322" s="5">
        <v>45567.0</v>
      </c>
      <c r="D1322" s="1" t="s">
        <v>161</v>
      </c>
      <c r="E1322" s="1" t="s">
        <v>11</v>
      </c>
      <c r="F1322" s="1" t="s">
        <v>166</v>
      </c>
      <c r="H1322" s="1">
        <v>0.0</v>
      </c>
      <c r="I1322" s="1">
        <v>0.0</v>
      </c>
      <c r="J1322" s="1">
        <v>0.0</v>
      </c>
      <c r="K1322" s="1">
        <v>1.0</v>
      </c>
      <c r="L1322" s="1">
        <v>5.0</v>
      </c>
      <c r="M1322" s="1">
        <v>0.2</v>
      </c>
      <c r="N1322" s="1">
        <v>2.25</v>
      </c>
    </row>
    <row r="1323" ht="15.75" customHeight="1">
      <c r="A1323" s="1" t="s">
        <v>164</v>
      </c>
      <c r="B1323" s="1" t="s">
        <v>63</v>
      </c>
      <c r="C1323" s="5">
        <v>45567.0</v>
      </c>
      <c r="D1323" s="1" t="s">
        <v>161</v>
      </c>
      <c r="E1323" s="1" t="s">
        <v>11</v>
      </c>
      <c r="F1323" s="1" t="s">
        <v>166</v>
      </c>
      <c r="H1323" s="1">
        <v>0.0</v>
      </c>
      <c r="I1323" s="1">
        <v>0.0</v>
      </c>
      <c r="J1323" s="1">
        <v>0.0</v>
      </c>
      <c r="K1323" s="1">
        <v>12.0</v>
      </c>
      <c r="L1323" s="1">
        <v>20.0</v>
      </c>
      <c r="M1323" s="1">
        <v>0.6</v>
      </c>
      <c r="N1323" s="1">
        <v>8.210000038</v>
      </c>
    </row>
    <row r="1324" ht="15.75" customHeight="1">
      <c r="A1324" s="1" t="s">
        <v>164</v>
      </c>
      <c r="B1324" s="1" t="s">
        <v>68</v>
      </c>
      <c r="C1324" s="5">
        <v>45567.0</v>
      </c>
      <c r="D1324" s="1" t="s">
        <v>161</v>
      </c>
      <c r="E1324" s="1" t="s">
        <v>11</v>
      </c>
      <c r="F1324" s="1" t="s">
        <v>165</v>
      </c>
      <c r="G1324" s="1" t="s">
        <v>172</v>
      </c>
      <c r="H1324" s="1">
        <v>1.0</v>
      </c>
      <c r="I1324" s="1">
        <v>0.0</v>
      </c>
      <c r="J1324" s="1">
        <v>0.0</v>
      </c>
      <c r="K1324" s="1">
        <v>14.0</v>
      </c>
      <c r="L1324" s="1">
        <v>28.0</v>
      </c>
      <c r="M1324" s="1">
        <v>0.5</v>
      </c>
      <c r="N1324" s="1">
        <v>35.54000092</v>
      </c>
    </row>
    <row r="1325" ht="15.75" customHeight="1">
      <c r="A1325" s="1" t="s">
        <v>164</v>
      </c>
      <c r="B1325" s="1" t="s">
        <v>197</v>
      </c>
      <c r="C1325" s="5">
        <v>45567.0</v>
      </c>
      <c r="D1325" s="1" t="s">
        <v>161</v>
      </c>
      <c r="E1325" s="1" t="s">
        <v>11</v>
      </c>
      <c r="F1325" s="1" t="s">
        <v>162</v>
      </c>
      <c r="G1325" s="1" t="s">
        <v>227</v>
      </c>
      <c r="H1325" s="1">
        <v>3.0</v>
      </c>
      <c r="I1325" s="1">
        <v>0.0</v>
      </c>
      <c r="J1325" s="1">
        <v>0.0</v>
      </c>
      <c r="K1325" s="1">
        <v>2.0</v>
      </c>
      <c r="L1325" s="1">
        <v>7.0</v>
      </c>
      <c r="M1325" s="1">
        <v>0.285714286</v>
      </c>
      <c r="N1325" s="1">
        <v>0.0</v>
      </c>
    </row>
    <row r="1326" ht="15.75" customHeight="1">
      <c r="A1326" s="1" t="s">
        <v>164</v>
      </c>
      <c r="B1326" s="1" t="s">
        <v>197</v>
      </c>
      <c r="C1326" s="5">
        <v>45567.0</v>
      </c>
      <c r="D1326" s="1" t="s">
        <v>161</v>
      </c>
      <c r="E1326" s="1" t="s">
        <v>11</v>
      </c>
      <c r="F1326" s="1" t="s">
        <v>177</v>
      </c>
      <c r="G1326" s="1" t="s">
        <v>227</v>
      </c>
      <c r="H1326" s="1">
        <v>3.0</v>
      </c>
      <c r="I1326" s="1">
        <v>4.0</v>
      </c>
      <c r="J1326" s="1">
        <v>0.0</v>
      </c>
      <c r="K1326" s="1">
        <v>63.0</v>
      </c>
      <c r="L1326" s="1">
        <v>78.0</v>
      </c>
      <c r="M1326" s="1">
        <v>0.807692308</v>
      </c>
      <c r="N1326" s="1">
        <v>118.3300018</v>
      </c>
    </row>
    <row r="1327" ht="15.75" customHeight="1">
      <c r="A1327" s="1" t="s">
        <v>164</v>
      </c>
      <c r="B1327" s="1" t="s">
        <v>197</v>
      </c>
      <c r="C1327" s="5">
        <v>45567.0</v>
      </c>
      <c r="D1327" s="1" t="s">
        <v>161</v>
      </c>
      <c r="E1327" s="1" t="s">
        <v>11</v>
      </c>
      <c r="F1327" s="1" t="s">
        <v>168</v>
      </c>
      <c r="G1327" s="1" t="s">
        <v>227</v>
      </c>
      <c r="H1327" s="1">
        <v>3.0</v>
      </c>
      <c r="I1327" s="1">
        <v>0.0</v>
      </c>
      <c r="J1327" s="1">
        <v>0.0</v>
      </c>
      <c r="K1327" s="1">
        <v>22.0</v>
      </c>
      <c r="L1327" s="1">
        <v>34.0</v>
      </c>
      <c r="M1327" s="1">
        <v>0.647058824</v>
      </c>
      <c r="N1327" s="1">
        <v>0.0</v>
      </c>
    </row>
    <row r="1328" ht="15.75" customHeight="1">
      <c r="A1328" s="1" t="s">
        <v>164</v>
      </c>
      <c r="B1328" s="1" t="s">
        <v>197</v>
      </c>
      <c r="C1328" s="5">
        <v>45567.0</v>
      </c>
      <c r="D1328" s="1" t="s">
        <v>161</v>
      </c>
      <c r="E1328" s="1" t="s">
        <v>11</v>
      </c>
      <c r="F1328" s="1" t="s">
        <v>166</v>
      </c>
      <c r="G1328" s="1" t="s">
        <v>227</v>
      </c>
      <c r="H1328" s="1">
        <v>3.0</v>
      </c>
      <c r="I1328" s="1">
        <v>0.0</v>
      </c>
      <c r="J1328" s="1">
        <v>0.0</v>
      </c>
      <c r="K1328" s="1">
        <v>1.0</v>
      </c>
      <c r="L1328" s="1">
        <v>3.0</v>
      </c>
      <c r="M1328" s="1">
        <v>0.333333333</v>
      </c>
      <c r="N1328" s="1">
        <v>0.0</v>
      </c>
    </row>
    <row r="1329" ht="15.75" customHeight="1">
      <c r="A1329" s="1" t="s">
        <v>164</v>
      </c>
      <c r="B1329" s="1" t="s">
        <v>74</v>
      </c>
      <c r="C1329" s="5">
        <v>45567.0</v>
      </c>
      <c r="D1329" s="1" t="s">
        <v>161</v>
      </c>
      <c r="E1329" s="1" t="s">
        <v>11</v>
      </c>
      <c r="H1329" s="1">
        <v>0.0</v>
      </c>
      <c r="J1329" s="1">
        <v>0.0</v>
      </c>
      <c r="N1329" s="1">
        <v>0.050000001</v>
      </c>
    </row>
    <row r="1330" ht="15.75" customHeight="1">
      <c r="A1330" s="1" t="s">
        <v>164</v>
      </c>
      <c r="B1330" s="1" t="s">
        <v>205</v>
      </c>
      <c r="C1330" s="5">
        <v>45567.0</v>
      </c>
      <c r="D1330" s="1" t="s">
        <v>161</v>
      </c>
      <c r="E1330" s="1" t="s">
        <v>11</v>
      </c>
      <c r="F1330" s="1" t="s">
        <v>166</v>
      </c>
      <c r="H1330" s="1">
        <v>0.0</v>
      </c>
      <c r="I1330" s="1">
        <v>0.0</v>
      </c>
      <c r="J1330" s="1">
        <v>0.0</v>
      </c>
      <c r="K1330" s="1">
        <v>3.0</v>
      </c>
      <c r="L1330" s="1">
        <v>5.0</v>
      </c>
      <c r="M1330" s="1">
        <v>0.6</v>
      </c>
      <c r="N1330" s="1">
        <v>7.300000191</v>
      </c>
    </row>
    <row r="1331" ht="15.75" customHeight="1">
      <c r="A1331" s="1" t="s">
        <v>164</v>
      </c>
      <c r="B1331" s="1" t="s">
        <v>82</v>
      </c>
      <c r="C1331" s="5">
        <v>45567.0</v>
      </c>
      <c r="D1331" s="1" t="s">
        <v>161</v>
      </c>
      <c r="E1331" s="1" t="s">
        <v>11</v>
      </c>
      <c r="F1331" s="1" t="s">
        <v>165</v>
      </c>
      <c r="H1331" s="1">
        <v>0.0</v>
      </c>
      <c r="I1331" s="1">
        <v>0.0</v>
      </c>
      <c r="J1331" s="1">
        <v>0.0</v>
      </c>
      <c r="K1331" s="1">
        <v>0.0</v>
      </c>
      <c r="L1331" s="1">
        <v>1.0</v>
      </c>
      <c r="M1331" s="1">
        <v>0.0</v>
      </c>
      <c r="N1331" s="1">
        <v>6.170000076</v>
      </c>
    </row>
    <row r="1332" ht="15.75" customHeight="1">
      <c r="A1332" s="1" t="s">
        <v>180</v>
      </c>
      <c r="B1332" s="1" t="s">
        <v>220</v>
      </c>
      <c r="C1332" s="5">
        <v>45567.0</v>
      </c>
      <c r="D1332" s="1" t="s">
        <v>161</v>
      </c>
      <c r="E1332" s="1" t="s">
        <v>11</v>
      </c>
      <c r="F1332" s="1" t="s">
        <v>221</v>
      </c>
      <c r="G1332" s="1" t="s">
        <v>228</v>
      </c>
      <c r="H1332" s="1">
        <v>3.0</v>
      </c>
      <c r="I1332" s="1">
        <v>1.0</v>
      </c>
      <c r="J1332" s="1">
        <v>0.0</v>
      </c>
      <c r="K1332" s="1">
        <v>13.0</v>
      </c>
      <c r="L1332" s="1">
        <v>15.0</v>
      </c>
      <c r="M1332" s="1">
        <v>0.866666667</v>
      </c>
      <c r="N1332" s="1">
        <v>0.0</v>
      </c>
    </row>
    <row r="1333" ht="15.75" customHeight="1">
      <c r="A1333" s="1" t="s">
        <v>180</v>
      </c>
      <c r="B1333" s="1" t="s">
        <v>220</v>
      </c>
      <c r="C1333" s="5">
        <v>45567.0</v>
      </c>
      <c r="D1333" s="1" t="s">
        <v>161</v>
      </c>
      <c r="E1333" s="1" t="s">
        <v>11</v>
      </c>
      <c r="F1333" s="1" t="s">
        <v>162</v>
      </c>
      <c r="G1333" s="1" t="s">
        <v>228</v>
      </c>
      <c r="H1333" s="1">
        <v>3.0</v>
      </c>
      <c r="I1333" s="1">
        <v>0.0</v>
      </c>
      <c r="J1333" s="1">
        <v>0.0</v>
      </c>
      <c r="K1333" s="1">
        <v>14.0</v>
      </c>
      <c r="L1333" s="1">
        <v>19.0</v>
      </c>
      <c r="M1333" s="1">
        <v>0.736842105</v>
      </c>
      <c r="N1333" s="1">
        <v>23.75</v>
      </c>
    </row>
    <row r="1334" ht="15.75" customHeight="1">
      <c r="A1334" s="1" t="s">
        <v>180</v>
      </c>
      <c r="B1334" s="1" t="s">
        <v>220</v>
      </c>
      <c r="C1334" s="5">
        <v>45567.0</v>
      </c>
      <c r="D1334" s="1" t="s">
        <v>161</v>
      </c>
      <c r="E1334" s="1" t="s">
        <v>11</v>
      </c>
      <c r="F1334" s="1" t="s">
        <v>168</v>
      </c>
      <c r="G1334" s="1" t="s">
        <v>228</v>
      </c>
      <c r="H1334" s="1">
        <v>3.0</v>
      </c>
      <c r="I1334" s="1">
        <v>0.0</v>
      </c>
      <c r="J1334" s="1">
        <v>0.0</v>
      </c>
      <c r="K1334" s="1">
        <v>6.0</v>
      </c>
      <c r="L1334" s="1">
        <v>6.0</v>
      </c>
      <c r="M1334" s="1">
        <v>1.0</v>
      </c>
      <c r="N1334" s="1">
        <v>0.0</v>
      </c>
    </row>
    <row r="1335" ht="15.75" customHeight="1">
      <c r="A1335" s="1" t="s">
        <v>180</v>
      </c>
      <c r="B1335" s="1" t="s">
        <v>220</v>
      </c>
      <c r="C1335" s="5">
        <v>45567.0</v>
      </c>
      <c r="D1335" s="1" t="s">
        <v>161</v>
      </c>
      <c r="E1335" s="1" t="s">
        <v>11</v>
      </c>
      <c r="F1335" s="1" t="s">
        <v>166</v>
      </c>
      <c r="G1335" s="1" t="s">
        <v>228</v>
      </c>
      <c r="H1335" s="1">
        <v>3.0</v>
      </c>
      <c r="I1335" s="1">
        <v>0.0</v>
      </c>
      <c r="J1335" s="1">
        <v>0.0</v>
      </c>
      <c r="K1335" s="1">
        <v>0.0</v>
      </c>
      <c r="L1335" s="1">
        <v>1.0</v>
      </c>
      <c r="M1335" s="1">
        <v>0.0</v>
      </c>
      <c r="N1335" s="1">
        <v>0.0</v>
      </c>
    </row>
    <row r="1336" ht="15.75" customHeight="1">
      <c r="A1336" s="1" t="s">
        <v>180</v>
      </c>
      <c r="B1336" s="1" t="s">
        <v>185</v>
      </c>
      <c r="C1336" s="5">
        <v>45567.0</v>
      </c>
      <c r="D1336" s="1" t="s">
        <v>161</v>
      </c>
      <c r="E1336" s="1" t="s">
        <v>11</v>
      </c>
      <c r="F1336" s="1" t="s">
        <v>166</v>
      </c>
      <c r="H1336" s="1">
        <v>0.0</v>
      </c>
      <c r="I1336" s="1">
        <v>0.0</v>
      </c>
      <c r="J1336" s="1">
        <v>0.0</v>
      </c>
      <c r="K1336" s="1">
        <v>8.0</v>
      </c>
      <c r="L1336" s="1">
        <v>14.0</v>
      </c>
      <c r="M1336" s="1">
        <v>0.571428571</v>
      </c>
      <c r="N1336" s="1">
        <v>17.70999908</v>
      </c>
    </row>
    <row r="1337" ht="15.75" customHeight="1">
      <c r="A1337" s="1" t="s">
        <v>180</v>
      </c>
      <c r="B1337" s="1" t="s">
        <v>214</v>
      </c>
      <c r="C1337" s="5">
        <v>45567.0</v>
      </c>
      <c r="D1337" s="1" t="s">
        <v>161</v>
      </c>
      <c r="E1337" s="1" t="s">
        <v>11</v>
      </c>
      <c r="F1337" s="1" t="s">
        <v>167</v>
      </c>
      <c r="G1337" s="1" t="s">
        <v>163</v>
      </c>
      <c r="H1337" s="1">
        <v>1.0</v>
      </c>
      <c r="I1337" s="1">
        <v>1.0</v>
      </c>
      <c r="J1337" s="1">
        <v>0.0</v>
      </c>
      <c r="K1337" s="1">
        <v>13.0</v>
      </c>
      <c r="L1337" s="1">
        <v>16.0</v>
      </c>
      <c r="M1337" s="1">
        <v>0.8125</v>
      </c>
      <c r="N1337" s="1">
        <v>21.70999908</v>
      </c>
    </row>
    <row r="1338" ht="15.75" customHeight="1">
      <c r="A1338" s="1" t="s">
        <v>180</v>
      </c>
      <c r="B1338" s="1" t="s">
        <v>214</v>
      </c>
      <c r="C1338" s="5">
        <v>45567.0</v>
      </c>
      <c r="D1338" s="1" t="s">
        <v>161</v>
      </c>
      <c r="E1338" s="1" t="s">
        <v>11</v>
      </c>
      <c r="F1338" s="1" t="s">
        <v>166</v>
      </c>
      <c r="G1338" s="1" t="s">
        <v>163</v>
      </c>
      <c r="H1338" s="1">
        <v>1.0</v>
      </c>
      <c r="I1338" s="1">
        <v>0.0</v>
      </c>
      <c r="J1338" s="1">
        <v>0.0</v>
      </c>
      <c r="K1338" s="1">
        <v>1.0</v>
      </c>
      <c r="L1338" s="1">
        <v>1.0</v>
      </c>
      <c r="M1338" s="1">
        <v>1.0</v>
      </c>
      <c r="N1338" s="1">
        <v>0.0</v>
      </c>
    </row>
    <row r="1339" ht="15.75" customHeight="1">
      <c r="A1339" s="1" t="s">
        <v>164</v>
      </c>
      <c r="B1339" s="1" t="s">
        <v>24</v>
      </c>
      <c r="C1339" s="5">
        <v>45566.0</v>
      </c>
      <c r="D1339" s="1" t="s">
        <v>161</v>
      </c>
      <c r="E1339" s="1" t="s">
        <v>11</v>
      </c>
      <c r="F1339" s="1" t="s">
        <v>166</v>
      </c>
      <c r="H1339" s="1">
        <v>0.0</v>
      </c>
      <c r="I1339" s="1">
        <v>0.0</v>
      </c>
      <c r="J1339" s="1">
        <v>0.0</v>
      </c>
      <c r="K1339" s="1">
        <v>1.0</v>
      </c>
      <c r="L1339" s="1">
        <v>2.0</v>
      </c>
      <c r="M1339" s="1">
        <v>0.5</v>
      </c>
      <c r="N1339" s="1">
        <v>3.049999952</v>
      </c>
    </row>
    <row r="1340" ht="15.75" customHeight="1">
      <c r="A1340" s="1" t="s">
        <v>164</v>
      </c>
      <c r="B1340" s="1" t="s">
        <v>55</v>
      </c>
      <c r="C1340" s="5">
        <v>45566.0</v>
      </c>
      <c r="D1340" s="1" t="s">
        <v>161</v>
      </c>
      <c r="E1340" s="1" t="s">
        <v>11</v>
      </c>
      <c r="F1340" s="1" t="s">
        <v>166</v>
      </c>
      <c r="H1340" s="1">
        <v>0.0</v>
      </c>
      <c r="I1340" s="1">
        <v>0.0</v>
      </c>
      <c r="J1340" s="1">
        <v>0.0</v>
      </c>
      <c r="K1340" s="1">
        <v>1.0</v>
      </c>
      <c r="L1340" s="1">
        <v>1.0</v>
      </c>
      <c r="M1340" s="1">
        <v>1.0</v>
      </c>
      <c r="N1340" s="1">
        <v>2.220000029</v>
      </c>
    </row>
    <row r="1341" ht="15.75" customHeight="1">
      <c r="A1341" s="1" t="s">
        <v>164</v>
      </c>
      <c r="B1341" s="1" t="s">
        <v>213</v>
      </c>
      <c r="C1341" s="5">
        <v>45566.0</v>
      </c>
      <c r="D1341" s="1" t="s">
        <v>161</v>
      </c>
      <c r="E1341" s="1" t="s">
        <v>11</v>
      </c>
      <c r="F1341" s="1" t="s">
        <v>162</v>
      </c>
      <c r="H1341" s="1">
        <v>0.0</v>
      </c>
      <c r="I1341" s="1">
        <v>0.0</v>
      </c>
      <c r="J1341" s="1">
        <v>0.0</v>
      </c>
      <c r="K1341" s="1">
        <v>7.0</v>
      </c>
      <c r="L1341" s="1">
        <v>16.0</v>
      </c>
      <c r="M1341" s="1">
        <v>0.4375</v>
      </c>
      <c r="N1341" s="1">
        <v>17.31999969</v>
      </c>
    </row>
    <row r="1342" ht="15.75" customHeight="1">
      <c r="A1342" s="1" t="s">
        <v>164</v>
      </c>
      <c r="B1342" s="1" t="s">
        <v>63</v>
      </c>
      <c r="C1342" s="5">
        <v>45566.0</v>
      </c>
      <c r="D1342" s="1" t="s">
        <v>161</v>
      </c>
      <c r="E1342" s="1" t="s">
        <v>11</v>
      </c>
      <c r="F1342" s="1" t="s">
        <v>166</v>
      </c>
      <c r="H1342" s="1">
        <v>0.0</v>
      </c>
      <c r="I1342" s="1">
        <v>0.0</v>
      </c>
      <c r="J1342" s="1">
        <v>0.0</v>
      </c>
      <c r="K1342" s="1">
        <v>5.0</v>
      </c>
      <c r="L1342" s="1">
        <v>13.0</v>
      </c>
      <c r="M1342" s="1">
        <v>0.384615385</v>
      </c>
      <c r="N1342" s="1">
        <v>6.1199998860000004</v>
      </c>
    </row>
    <row r="1343" ht="15.75" customHeight="1">
      <c r="A1343" s="1" t="s">
        <v>164</v>
      </c>
      <c r="B1343" s="1" t="s">
        <v>68</v>
      </c>
      <c r="C1343" s="5">
        <v>45566.0</v>
      </c>
      <c r="D1343" s="1" t="s">
        <v>161</v>
      </c>
      <c r="E1343" s="1" t="s">
        <v>11</v>
      </c>
      <c r="F1343" s="1" t="s">
        <v>165</v>
      </c>
      <c r="H1343" s="1">
        <v>0.0</v>
      </c>
      <c r="I1343" s="1">
        <v>0.0</v>
      </c>
      <c r="J1343" s="1">
        <v>0.0</v>
      </c>
      <c r="K1343" s="1">
        <v>3.0</v>
      </c>
      <c r="L1343" s="1">
        <v>8.0</v>
      </c>
      <c r="M1343" s="1">
        <v>0.375</v>
      </c>
      <c r="N1343" s="1">
        <v>8.890000343</v>
      </c>
    </row>
    <row r="1344" ht="15.75" customHeight="1">
      <c r="A1344" s="1" t="s">
        <v>164</v>
      </c>
      <c r="B1344" s="1" t="s">
        <v>74</v>
      </c>
      <c r="C1344" s="5">
        <v>45566.0</v>
      </c>
      <c r="D1344" s="1" t="s">
        <v>161</v>
      </c>
      <c r="E1344" s="1" t="s">
        <v>11</v>
      </c>
      <c r="F1344" s="1" t="s">
        <v>166</v>
      </c>
      <c r="H1344" s="1">
        <v>0.0</v>
      </c>
      <c r="I1344" s="1">
        <v>0.0</v>
      </c>
      <c r="J1344" s="1">
        <v>0.0</v>
      </c>
      <c r="K1344" s="1">
        <v>0.0</v>
      </c>
      <c r="L1344" s="1">
        <v>2.0</v>
      </c>
      <c r="M1344" s="1">
        <v>0.0</v>
      </c>
      <c r="N1344" s="1">
        <v>8.760000229</v>
      </c>
    </row>
    <row r="1345" ht="15.75" customHeight="1">
      <c r="A1345" s="1" t="s">
        <v>164</v>
      </c>
      <c r="B1345" s="1" t="s">
        <v>75</v>
      </c>
      <c r="C1345" s="5">
        <v>45566.0</v>
      </c>
      <c r="D1345" s="1" t="s">
        <v>161</v>
      </c>
      <c r="E1345" s="1" t="s">
        <v>11</v>
      </c>
      <c r="F1345" s="1" t="s">
        <v>165</v>
      </c>
      <c r="H1345" s="1">
        <v>0.0</v>
      </c>
      <c r="I1345" s="1">
        <v>0.0</v>
      </c>
      <c r="J1345" s="1">
        <v>0.0</v>
      </c>
      <c r="K1345" s="1">
        <v>0.0</v>
      </c>
      <c r="L1345" s="1">
        <v>3.0</v>
      </c>
      <c r="M1345" s="1">
        <v>0.0</v>
      </c>
      <c r="N1345" s="1">
        <v>8.470000267</v>
      </c>
    </row>
    <row r="1346" ht="15.75" customHeight="1">
      <c r="A1346" s="1" t="s">
        <v>164</v>
      </c>
      <c r="B1346" s="1" t="s">
        <v>82</v>
      </c>
      <c r="C1346" s="5">
        <v>45566.0</v>
      </c>
      <c r="D1346" s="1" t="s">
        <v>161</v>
      </c>
      <c r="E1346" s="1" t="s">
        <v>11</v>
      </c>
      <c r="F1346" s="1" t="s">
        <v>165</v>
      </c>
      <c r="H1346" s="1">
        <v>0.0</v>
      </c>
      <c r="I1346" s="1">
        <v>0.0</v>
      </c>
      <c r="J1346" s="1">
        <v>0.0</v>
      </c>
      <c r="K1346" s="1">
        <v>1.0</v>
      </c>
      <c r="L1346" s="1">
        <v>8.0</v>
      </c>
      <c r="M1346" s="1">
        <v>0.125</v>
      </c>
      <c r="N1346" s="1">
        <v>26.59000015</v>
      </c>
    </row>
    <row r="1347" ht="15.75" customHeight="1">
      <c r="A1347" s="1" t="s">
        <v>180</v>
      </c>
      <c r="B1347" s="1" t="s">
        <v>220</v>
      </c>
      <c r="C1347" s="5">
        <v>45566.0</v>
      </c>
      <c r="D1347" s="1" t="s">
        <v>161</v>
      </c>
      <c r="E1347" s="1" t="s">
        <v>11</v>
      </c>
      <c r="F1347" s="1" t="s">
        <v>165</v>
      </c>
      <c r="H1347" s="1">
        <v>0.0</v>
      </c>
      <c r="I1347" s="1">
        <v>0.0</v>
      </c>
      <c r="J1347" s="1">
        <v>0.0</v>
      </c>
      <c r="K1347" s="1">
        <v>0.0</v>
      </c>
      <c r="L1347" s="1">
        <v>0.0</v>
      </c>
      <c r="N1347" s="1">
        <v>0.0</v>
      </c>
    </row>
    <row r="1348" ht="15.75" customHeight="1">
      <c r="A1348" s="1" t="s">
        <v>180</v>
      </c>
      <c r="B1348" s="1" t="s">
        <v>220</v>
      </c>
      <c r="C1348" s="5">
        <v>45566.0</v>
      </c>
      <c r="D1348" s="1" t="s">
        <v>161</v>
      </c>
      <c r="E1348" s="1" t="s">
        <v>11</v>
      </c>
      <c r="F1348" s="1" t="s">
        <v>167</v>
      </c>
      <c r="H1348" s="1">
        <v>0.0</v>
      </c>
      <c r="I1348" s="1">
        <v>1.0</v>
      </c>
      <c r="J1348" s="1">
        <v>0.0</v>
      </c>
      <c r="K1348" s="1">
        <v>9.0</v>
      </c>
      <c r="L1348" s="1">
        <v>9.0</v>
      </c>
      <c r="M1348" s="1">
        <v>1.0</v>
      </c>
      <c r="N1348" s="1">
        <v>6.900000095</v>
      </c>
    </row>
    <row r="1349" ht="15.75" customHeight="1">
      <c r="A1349" s="1" t="s">
        <v>180</v>
      </c>
      <c r="B1349" s="1" t="s">
        <v>220</v>
      </c>
      <c r="C1349" s="5">
        <v>45566.0</v>
      </c>
      <c r="D1349" s="1" t="s">
        <v>161</v>
      </c>
      <c r="E1349" s="1" t="s">
        <v>11</v>
      </c>
      <c r="F1349" s="1" t="s">
        <v>166</v>
      </c>
      <c r="H1349" s="1">
        <v>0.0</v>
      </c>
      <c r="I1349" s="1">
        <v>0.0</v>
      </c>
      <c r="J1349" s="1">
        <v>0.0</v>
      </c>
      <c r="K1349" s="1">
        <v>0.0</v>
      </c>
      <c r="L1349" s="1">
        <v>0.0</v>
      </c>
      <c r="N1349" s="1">
        <v>0.0</v>
      </c>
    </row>
    <row r="1350" ht="15.75" customHeight="1">
      <c r="A1350" s="1" t="s">
        <v>180</v>
      </c>
      <c r="B1350" s="1" t="s">
        <v>220</v>
      </c>
      <c r="C1350" s="5">
        <v>45566.0</v>
      </c>
      <c r="D1350" s="1" t="s">
        <v>161</v>
      </c>
      <c r="E1350" s="1" t="s">
        <v>11</v>
      </c>
      <c r="F1350" s="1" t="s">
        <v>171</v>
      </c>
      <c r="H1350" s="1">
        <v>0.0</v>
      </c>
      <c r="I1350" s="1">
        <v>0.0</v>
      </c>
      <c r="J1350" s="1">
        <v>0.0</v>
      </c>
      <c r="K1350" s="1">
        <v>0.0</v>
      </c>
      <c r="L1350" s="1">
        <v>0.0</v>
      </c>
      <c r="N1350" s="1">
        <v>0.0</v>
      </c>
    </row>
    <row r="1351" ht="15.75" customHeight="1">
      <c r="A1351" s="1" t="s">
        <v>180</v>
      </c>
      <c r="B1351" s="1" t="s">
        <v>214</v>
      </c>
      <c r="C1351" s="5">
        <v>45566.0</v>
      </c>
      <c r="D1351" s="1" t="s">
        <v>161</v>
      </c>
      <c r="E1351" s="1" t="s">
        <v>11</v>
      </c>
      <c r="F1351" s="1" t="s">
        <v>165</v>
      </c>
      <c r="H1351" s="1">
        <v>0.0</v>
      </c>
      <c r="I1351" s="1">
        <v>1.0</v>
      </c>
      <c r="J1351" s="1">
        <v>0.0</v>
      </c>
      <c r="K1351" s="1">
        <v>13.0</v>
      </c>
      <c r="L1351" s="1">
        <v>14.0</v>
      </c>
      <c r="M1351" s="1">
        <v>0.928571429</v>
      </c>
      <c r="N1351" s="1">
        <v>5.019999981</v>
      </c>
    </row>
    <row r="1352" ht="15.75" customHeight="1">
      <c r="A1352" s="1" t="s">
        <v>180</v>
      </c>
      <c r="B1352" s="1" t="s">
        <v>214</v>
      </c>
      <c r="C1352" s="5">
        <v>45566.0</v>
      </c>
      <c r="D1352" s="1" t="s">
        <v>161</v>
      </c>
      <c r="E1352" s="1" t="s">
        <v>11</v>
      </c>
      <c r="F1352" s="1" t="s">
        <v>166</v>
      </c>
      <c r="H1352" s="1">
        <v>0.0</v>
      </c>
      <c r="I1352" s="1">
        <v>0.0</v>
      </c>
      <c r="J1352" s="1">
        <v>0.0</v>
      </c>
      <c r="K1352" s="1">
        <v>0.0</v>
      </c>
      <c r="L1352" s="1">
        <v>0.0</v>
      </c>
      <c r="N1352" s="1">
        <v>0.0</v>
      </c>
    </row>
    <row r="1353" ht="15.75" customHeight="1">
      <c r="A1353" s="1" t="s">
        <v>180</v>
      </c>
      <c r="B1353" s="1" t="s">
        <v>226</v>
      </c>
      <c r="C1353" s="5">
        <v>45566.0</v>
      </c>
      <c r="D1353" s="1" t="s">
        <v>161</v>
      </c>
      <c r="E1353" s="1" t="s">
        <v>11</v>
      </c>
      <c r="F1353" s="1" t="s">
        <v>166</v>
      </c>
      <c r="H1353" s="1">
        <v>0.0</v>
      </c>
      <c r="I1353" s="1">
        <v>0.0</v>
      </c>
      <c r="J1353" s="1">
        <v>0.0</v>
      </c>
      <c r="K1353" s="1">
        <v>0.0</v>
      </c>
      <c r="L1353" s="1">
        <v>0.0</v>
      </c>
      <c r="N1353" s="1">
        <v>0.600000024</v>
      </c>
    </row>
    <row r="1354" ht="15.75" customHeight="1">
      <c r="A1354" s="1" t="s">
        <v>164</v>
      </c>
      <c r="B1354" s="1" t="s">
        <v>35</v>
      </c>
      <c r="C1354" s="5">
        <v>45565.0</v>
      </c>
      <c r="D1354" s="1" t="s">
        <v>161</v>
      </c>
      <c r="E1354" s="1" t="s">
        <v>11</v>
      </c>
      <c r="F1354" s="1" t="s">
        <v>165</v>
      </c>
      <c r="G1354" s="1" t="s">
        <v>163</v>
      </c>
      <c r="H1354" s="1">
        <v>1.0</v>
      </c>
      <c r="I1354" s="1">
        <v>1.0</v>
      </c>
      <c r="J1354" s="1">
        <v>0.0</v>
      </c>
      <c r="K1354" s="1">
        <v>12.0</v>
      </c>
      <c r="L1354" s="1">
        <v>12.0</v>
      </c>
      <c r="M1354" s="1">
        <v>1.0</v>
      </c>
      <c r="N1354" s="1">
        <v>3.660000086</v>
      </c>
    </row>
    <row r="1355" ht="15.75" customHeight="1">
      <c r="A1355" s="1" t="s">
        <v>164</v>
      </c>
      <c r="B1355" s="1" t="s">
        <v>35</v>
      </c>
      <c r="C1355" s="5">
        <v>45565.0</v>
      </c>
      <c r="D1355" s="1" t="s">
        <v>161</v>
      </c>
      <c r="E1355" s="1" t="s">
        <v>11</v>
      </c>
      <c r="F1355" s="1" t="s">
        <v>166</v>
      </c>
      <c r="G1355" s="1" t="s">
        <v>163</v>
      </c>
      <c r="H1355" s="1">
        <v>1.0</v>
      </c>
      <c r="I1355" s="1">
        <v>0.0</v>
      </c>
      <c r="J1355" s="1">
        <v>0.0</v>
      </c>
      <c r="K1355" s="1">
        <v>0.0</v>
      </c>
      <c r="L1355" s="1">
        <v>0.0</v>
      </c>
      <c r="N1355" s="1">
        <v>0.0</v>
      </c>
    </row>
    <row r="1356" ht="15.75" customHeight="1">
      <c r="A1356" s="1" t="s">
        <v>164</v>
      </c>
      <c r="B1356" s="1" t="s">
        <v>24</v>
      </c>
      <c r="C1356" s="5">
        <v>45565.0</v>
      </c>
      <c r="D1356" s="1" t="s">
        <v>161</v>
      </c>
      <c r="E1356" s="1" t="s">
        <v>11</v>
      </c>
      <c r="F1356" s="1" t="s">
        <v>166</v>
      </c>
      <c r="G1356" s="1" t="s">
        <v>194</v>
      </c>
      <c r="H1356" s="1">
        <v>1.0</v>
      </c>
      <c r="I1356" s="1">
        <v>0.0</v>
      </c>
      <c r="J1356" s="1">
        <v>0.0</v>
      </c>
      <c r="K1356" s="1">
        <v>1.0</v>
      </c>
      <c r="L1356" s="1">
        <v>2.0</v>
      </c>
      <c r="M1356" s="1">
        <v>0.5</v>
      </c>
      <c r="N1356" s="1">
        <v>7.21999979</v>
      </c>
    </row>
    <row r="1357" ht="15.75" customHeight="1">
      <c r="A1357" s="1" t="s">
        <v>164</v>
      </c>
      <c r="B1357" s="1" t="s">
        <v>52</v>
      </c>
      <c r="C1357" s="5">
        <v>45565.0</v>
      </c>
      <c r="D1357" s="1" t="s">
        <v>161</v>
      </c>
      <c r="E1357" s="1" t="s">
        <v>11</v>
      </c>
      <c r="F1357" s="1" t="s">
        <v>165</v>
      </c>
      <c r="H1357" s="1">
        <v>0.0</v>
      </c>
      <c r="I1357" s="1">
        <v>0.0</v>
      </c>
      <c r="J1357" s="1">
        <v>0.0</v>
      </c>
      <c r="K1357" s="1">
        <v>6.0</v>
      </c>
      <c r="L1357" s="1">
        <v>7.0</v>
      </c>
      <c r="M1357" s="1">
        <v>0.857142857</v>
      </c>
      <c r="N1357" s="1">
        <v>10.13000011</v>
      </c>
    </row>
    <row r="1358" ht="15.75" customHeight="1">
      <c r="A1358" s="1" t="s">
        <v>164</v>
      </c>
      <c r="B1358" s="1" t="s">
        <v>55</v>
      </c>
      <c r="C1358" s="5">
        <v>45565.0</v>
      </c>
      <c r="D1358" s="1" t="s">
        <v>161</v>
      </c>
      <c r="E1358" s="1" t="s">
        <v>11</v>
      </c>
      <c r="F1358" s="1" t="s">
        <v>166</v>
      </c>
      <c r="H1358" s="1">
        <v>0.0</v>
      </c>
      <c r="I1358" s="1">
        <v>0.0</v>
      </c>
      <c r="J1358" s="1">
        <v>0.0</v>
      </c>
      <c r="K1358" s="1">
        <v>1.0</v>
      </c>
      <c r="L1358" s="1">
        <v>3.0</v>
      </c>
      <c r="M1358" s="1">
        <v>0.333333333</v>
      </c>
      <c r="N1358" s="1">
        <v>3.5</v>
      </c>
    </row>
    <row r="1359" ht="15.75" customHeight="1">
      <c r="A1359" s="1" t="s">
        <v>164</v>
      </c>
      <c r="B1359" s="1" t="s">
        <v>179</v>
      </c>
      <c r="C1359" s="5">
        <v>45565.0</v>
      </c>
      <c r="D1359" s="1" t="s">
        <v>161</v>
      </c>
      <c r="E1359" s="1" t="s">
        <v>11</v>
      </c>
      <c r="H1359" s="1">
        <v>0.0</v>
      </c>
      <c r="J1359" s="1">
        <v>0.0</v>
      </c>
      <c r="N1359" s="1">
        <v>23.40999985</v>
      </c>
    </row>
    <row r="1360" ht="15.75" customHeight="1">
      <c r="A1360" s="1" t="s">
        <v>164</v>
      </c>
      <c r="B1360" s="1" t="s">
        <v>63</v>
      </c>
      <c r="C1360" s="5">
        <v>45565.0</v>
      </c>
      <c r="D1360" s="1" t="s">
        <v>161</v>
      </c>
      <c r="E1360" s="1" t="s">
        <v>11</v>
      </c>
      <c r="F1360" s="1" t="s">
        <v>166</v>
      </c>
      <c r="G1360" s="1" t="s">
        <v>200</v>
      </c>
      <c r="H1360" s="1">
        <v>2.0</v>
      </c>
      <c r="I1360" s="1">
        <v>2.0</v>
      </c>
      <c r="J1360" s="1">
        <v>0.0</v>
      </c>
      <c r="K1360" s="1">
        <v>36.0</v>
      </c>
      <c r="L1360" s="1">
        <v>52.0</v>
      </c>
      <c r="M1360" s="1">
        <v>0.692307692</v>
      </c>
      <c r="N1360" s="1">
        <v>23.07999992</v>
      </c>
    </row>
    <row r="1361" ht="15.75" customHeight="1">
      <c r="A1361" s="1" t="s">
        <v>164</v>
      </c>
      <c r="B1361" s="1" t="s">
        <v>183</v>
      </c>
      <c r="C1361" s="5">
        <v>45565.0</v>
      </c>
      <c r="D1361" s="1" t="s">
        <v>161</v>
      </c>
      <c r="E1361" s="1" t="s">
        <v>11</v>
      </c>
      <c r="F1361" s="1" t="s">
        <v>166</v>
      </c>
      <c r="H1361" s="1">
        <v>0.0</v>
      </c>
      <c r="I1361" s="1">
        <v>0.0</v>
      </c>
      <c r="J1361" s="1">
        <v>0.0</v>
      </c>
      <c r="K1361" s="1">
        <v>1.0</v>
      </c>
      <c r="L1361" s="1">
        <v>3.0</v>
      </c>
      <c r="M1361" s="1">
        <v>0.333333333</v>
      </c>
      <c r="N1361" s="1">
        <v>5.739999771</v>
      </c>
    </row>
    <row r="1362" ht="15.75" customHeight="1">
      <c r="A1362" s="1" t="s">
        <v>164</v>
      </c>
      <c r="B1362" s="1" t="s">
        <v>68</v>
      </c>
      <c r="C1362" s="5">
        <v>45565.0</v>
      </c>
      <c r="D1362" s="1" t="s">
        <v>161</v>
      </c>
      <c r="E1362" s="1" t="s">
        <v>11</v>
      </c>
      <c r="F1362" s="1" t="s">
        <v>165</v>
      </c>
      <c r="G1362" s="1" t="s">
        <v>172</v>
      </c>
      <c r="H1362" s="1">
        <v>1.0</v>
      </c>
      <c r="I1362" s="1">
        <v>0.0</v>
      </c>
      <c r="J1362" s="1">
        <v>0.0</v>
      </c>
      <c r="K1362" s="1">
        <v>3.0</v>
      </c>
      <c r="L1362" s="1">
        <v>5.0</v>
      </c>
      <c r="M1362" s="1">
        <v>0.6</v>
      </c>
      <c r="N1362" s="1">
        <v>10.40999985</v>
      </c>
    </row>
    <row r="1363" ht="15.75" customHeight="1">
      <c r="A1363" s="1" t="s">
        <v>164</v>
      </c>
      <c r="B1363" s="1" t="s">
        <v>205</v>
      </c>
      <c r="C1363" s="5">
        <v>45565.0</v>
      </c>
      <c r="D1363" s="1" t="s">
        <v>161</v>
      </c>
      <c r="E1363" s="1" t="s">
        <v>11</v>
      </c>
      <c r="F1363" s="1" t="s">
        <v>166</v>
      </c>
      <c r="H1363" s="1">
        <v>0.0</v>
      </c>
      <c r="I1363" s="1">
        <v>0.0</v>
      </c>
      <c r="J1363" s="1">
        <v>0.0</v>
      </c>
      <c r="K1363" s="1">
        <v>2.0</v>
      </c>
      <c r="L1363" s="1">
        <v>4.0</v>
      </c>
      <c r="M1363" s="1">
        <v>0.5</v>
      </c>
      <c r="N1363" s="1">
        <v>6.389999866</v>
      </c>
    </row>
    <row r="1364" ht="15.75" customHeight="1">
      <c r="A1364" s="1" t="s">
        <v>164</v>
      </c>
      <c r="B1364" s="1" t="s">
        <v>75</v>
      </c>
      <c r="C1364" s="5">
        <v>45565.0</v>
      </c>
      <c r="D1364" s="1" t="s">
        <v>161</v>
      </c>
      <c r="E1364" s="1" t="s">
        <v>11</v>
      </c>
      <c r="F1364" s="1" t="s">
        <v>165</v>
      </c>
      <c r="H1364" s="1">
        <v>0.0</v>
      </c>
      <c r="I1364" s="1">
        <v>0.0</v>
      </c>
      <c r="J1364" s="1">
        <v>0.0</v>
      </c>
      <c r="K1364" s="1">
        <v>2.0</v>
      </c>
      <c r="L1364" s="1">
        <v>6.0</v>
      </c>
      <c r="M1364" s="1">
        <v>0.333333333</v>
      </c>
      <c r="N1364" s="1">
        <v>12.40999985</v>
      </c>
    </row>
    <row r="1365" ht="15.75" customHeight="1">
      <c r="A1365" s="1" t="s">
        <v>164</v>
      </c>
      <c r="B1365" s="1" t="s">
        <v>82</v>
      </c>
      <c r="C1365" s="5">
        <v>45565.0</v>
      </c>
      <c r="D1365" s="1" t="s">
        <v>161</v>
      </c>
      <c r="E1365" s="1" t="s">
        <v>11</v>
      </c>
      <c r="F1365" s="1" t="s">
        <v>165</v>
      </c>
      <c r="H1365" s="1">
        <v>0.0</v>
      </c>
      <c r="I1365" s="1">
        <v>0.0</v>
      </c>
      <c r="J1365" s="1">
        <v>0.0</v>
      </c>
      <c r="K1365" s="1">
        <v>1.0</v>
      </c>
      <c r="L1365" s="1">
        <v>5.0</v>
      </c>
      <c r="M1365" s="1">
        <v>0.2</v>
      </c>
      <c r="N1365" s="1">
        <v>22.32999992</v>
      </c>
    </row>
    <row r="1366" ht="15.75" customHeight="1">
      <c r="A1366" s="1" t="s">
        <v>180</v>
      </c>
      <c r="B1366" s="1" t="s">
        <v>220</v>
      </c>
      <c r="C1366" s="5">
        <v>45565.0</v>
      </c>
      <c r="D1366" s="1" t="s">
        <v>161</v>
      </c>
      <c r="E1366" s="1" t="s">
        <v>11</v>
      </c>
      <c r="F1366" s="1" t="s">
        <v>162</v>
      </c>
      <c r="H1366" s="1">
        <v>0.0</v>
      </c>
      <c r="I1366" s="1">
        <v>1.0</v>
      </c>
      <c r="J1366" s="1">
        <v>0.0</v>
      </c>
      <c r="K1366" s="1">
        <v>6.0</v>
      </c>
      <c r="L1366" s="1">
        <v>6.0</v>
      </c>
      <c r="M1366" s="1">
        <v>1.0</v>
      </c>
      <c r="N1366" s="1">
        <v>4.25</v>
      </c>
    </row>
    <row r="1367" ht="15.75" customHeight="1">
      <c r="A1367" s="1" t="s">
        <v>180</v>
      </c>
      <c r="B1367" s="1" t="s">
        <v>185</v>
      </c>
      <c r="C1367" s="5">
        <v>45565.0</v>
      </c>
      <c r="D1367" s="1" t="s">
        <v>161</v>
      </c>
      <c r="E1367" s="1" t="s">
        <v>11</v>
      </c>
      <c r="F1367" s="1" t="s">
        <v>166</v>
      </c>
      <c r="G1367" s="1" t="s">
        <v>172</v>
      </c>
      <c r="H1367" s="1">
        <v>1.0</v>
      </c>
      <c r="I1367" s="1">
        <v>2.0</v>
      </c>
      <c r="J1367" s="1">
        <v>0.0</v>
      </c>
      <c r="K1367" s="1">
        <v>28.0</v>
      </c>
      <c r="L1367" s="1">
        <v>34.0</v>
      </c>
      <c r="M1367" s="1">
        <v>0.823529412</v>
      </c>
      <c r="N1367" s="1">
        <v>18.17000008</v>
      </c>
    </row>
    <row r="1368" ht="15.75" customHeight="1">
      <c r="A1368" s="1" t="s">
        <v>180</v>
      </c>
      <c r="B1368" s="1" t="s">
        <v>214</v>
      </c>
      <c r="C1368" s="5">
        <v>45565.0</v>
      </c>
      <c r="D1368" s="1" t="s">
        <v>161</v>
      </c>
      <c r="E1368" s="1" t="s">
        <v>11</v>
      </c>
      <c r="F1368" s="1" t="s">
        <v>166</v>
      </c>
      <c r="G1368" s="1" t="s">
        <v>201</v>
      </c>
      <c r="H1368" s="1">
        <v>1.0</v>
      </c>
      <c r="I1368" s="1">
        <v>0.0</v>
      </c>
      <c r="J1368" s="1">
        <v>0.0</v>
      </c>
      <c r="K1368" s="1">
        <v>12.0</v>
      </c>
      <c r="L1368" s="1">
        <v>24.0</v>
      </c>
      <c r="M1368" s="1">
        <v>0.5</v>
      </c>
      <c r="N1368" s="1">
        <v>15.06999969</v>
      </c>
    </row>
    <row r="1369" ht="15.75" customHeight="1">
      <c r="A1369" s="1" t="s">
        <v>180</v>
      </c>
      <c r="B1369" s="1" t="s">
        <v>214</v>
      </c>
      <c r="C1369" s="5">
        <v>45564.0</v>
      </c>
      <c r="D1369" s="1" t="s">
        <v>161</v>
      </c>
      <c r="E1369" s="1" t="s">
        <v>11</v>
      </c>
      <c r="F1369" s="1" t="s">
        <v>166</v>
      </c>
      <c r="H1369" s="1">
        <v>0.0</v>
      </c>
      <c r="I1369" s="1">
        <v>2.0</v>
      </c>
      <c r="J1369" s="1">
        <v>0.0</v>
      </c>
      <c r="K1369" s="1">
        <v>29.0</v>
      </c>
      <c r="L1369" s="1">
        <v>34.0</v>
      </c>
      <c r="M1369" s="1">
        <v>0.852941176</v>
      </c>
      <c r="N1369" s="1">
        <v>76.80999756</v>
      </c>
    </row>
    <row r="1370" ht="15.75" customHeight="1">
      <c r="A1370" s="1" t="s">
        <v>160</v>
      </c>
      <c r="B1370" s="1" t="s">
        <v>212</v>
      </c>
      <c r="C1370" s="5">
        <v>45563.0</v>
      </c>
      <c r="D1370" s="1" t="s">
        <v>161</v>
      </c>
      <c r="E1370" s="1" t="s">
        <v>11</v>
      </c>
      <c r="F1370" s="1" t="s">
        <v>165</v>
      </c>
      <c r="H1370" s="1">
        <v>0.0</v>
      </c>
      <c r="I1370" s="1">
        <v>1.0</v>
      </c>
      <c r="J1370" s="1">
        <v>0.0</v>
      </c>
      <c r="K1370" s="1">
        <v>42.0</v>
      </c>
      <c r="L1370" s="1">
        <v>61.0</v>
      </c>
      <c r="M1370" s="1">
        <v>0.68852459</v>
      </c>
      <c r="N1370" s="1">
        <v>55.95000076</v>
      </c>
    </row>
    <row r="1371" ht="15.75" customHeight="1">
      <c r="A1371" s="1" t="s">
        <v>164</v>
      </c>
      <c r="B1371" s="1" t="s">
        <v>35</v>
      </c>
      <c r="C1371" s="5">
        <v>45563.0</v>
      </c>
      <c r="D1371" s="1" t="s">
        <v>161</v>
      </c>
      <c r="E1371" s="1" t="s">
        <v>11</v>
      </c>
      <c r="F1371" s="1" t="s">
        <v>165</v>
      </c>
      <c r="G1371" s="1" t="s">
        <v>163</v>
      </c>
      <c r="H1371" s="1">
        <v>1.0</v>
      </c>
      <c r="I1371" s="1">
        <v>1.0</v>
      </c>
      <c r="J1371" s="1">
        <v>0.0</v>
      </c>
      <c r="K1371" s="1">
        <v>4.0</v>
      </c>
      <c r="L1371" s="1">
        <v>4.0</v>
      </c>
      <c r="M1371" s="1">
        <v>1.0</v>
      </c>
      <c r="N1371" s="1">
        <v>0.0</v>
      </c>
    </row>
    <row r="1372" ht="15.75" customHeight="1">
      <c r="A1372" s="1" t="s">
        <v>164</v>
      </c>
      <c r="B1372" s="1" t="s">
        <v>35</v>
      </c>
      <c r="C1372" s="5">
        <v>45563.0</v>
      </c>
      <c r="D1372" s="1" t="s">
        <v>161</v>
      </c>
      <c r="E1372" s="1" t="s">
        <v>11</v>
      </c>
      <c r="F1372" s="1" t="s">
        <v>221</v>
      </c>
      <c r="G1372" s="1" t="s">
        <v>163</v>
      </c>
      <c r="H1372" s="1">
        <v>1.0</v>
      </c>
      <c r="I1372" s="1">
        <v>1.0</v>
      </c>
      <c r="J1372" s="1">
        <v>0.0</v>
      </c>
      <c r="K1372" s="1">
        <v>18.0</v>
      </c>
      <c r="L1372" s="1">
        <v>25.0</v>
      </c>
      <c r="M1372" s="1">
        <v>0.72</v>
      </c>
      <c r="N1372" s="1">
        <v>23.0</v>
      </c>
    </row>
    <row r="1373" ht="15.75" customHeight="1">
      <c r="A1373" s="1" t="s">
        <v>164</v>
      </c>
      <c r="B1373" s="1" t="s">
        <v>35</v>
      </c>
      <c r="C1373" s="5">
        <v>45563.0</v>
      </c>
      <c r="D1373" s="1" t="s">
        <v>161</v>
      </c>
      <c r="E1373" s="1" t="s">
        <v>11</v>
      </c>
      <c r="F1373" s="1" t="s">
        <v>167</v>
      </c>
      <c r="G1373" s="1" t="s">
        <v>163</v>
      </c>
      <c r="H1373" s="1">
        <v>1.0</v>
      </c>
      <c r="I1373" s="1">
        <v>1.0</v>
      </c>
      <c r="J1373" s="1">
        <v>0.0</v>
      </c>
      <c r="K1373" s="1">
        <v>13.0</v>
      </c>
      <c r="L1373" s="1">
        <v>15.0</v>
      </c>
      <c r="M1373" s="1">
        <v>0.866666667</v>
      </c>
      <c r="N1373" s="1">
        <v>0.0</v>
      </c>
    </row>
    <row r="1374" ht="15.75" customHeight="1">
      <c r="A1374" s="1" t="s">
        <v>180</v>
      </c>
      <c r="B1374" s="1" t="s">
        <v>214</v>
      </c>
      <c r="C1374" s="5">
        <v>45563.0</v>
      </c>
      <c r="D1374" s="1" t="s">
        <v>161</v>
      </c>
      <c r="E1374" s="1" t="s">
        <v>11</v>
      </c>
      <c r="F1374" s="1" t="s">
        <v>166</v>
      </c>
      <c r="H1374" s="1">
        <v>0.0</v>
      </c>
      <c r="I1374" s="1">
        <v>1.0</v>
      </c>
      <c r="J1374" s="1">
        <v>0.0</v>
      </c>
      <c r="K1374" s="1">
        <v>8.0</v>
      </c>
      <c r="L1374" s="1">
        <v>8.0</v>
      </c>
      <c r="M1374" s="1">
        <v>1.0</v>
      </c>
      <c r="N1374" s="1">
        <v>37.91999817</v>
      </c>
    </row>
    <row r="1375" ht="15.75" customHeight="1">
      <c r="A1375" s="1" t="s">
        <v>160</v>
      </c>
      <c r="B1375" s="1" t="s">
        <v>39</v>
      </c>
      <c r="C1375" s="5">
        <v>45562.0</v>
      </c>
      <c r="D1375" s="1" t="s">
        <v>161</v>
      </c>
      <c r="E1375" s="1" t="s">
        <v>11</v>
      </c>
      <c r="F1375" s="1" t="s">
        <v>162</v>
      </c>
      <c r="H1375" s="1">
        <v>0.0</v>
      </c>
      <c r="I1375" s="1">
        <v>0.0</v>
      </c>
      <c r="J1375" s="1">
        <v>0.0</v>
      </c>
      <c r="K1375" s="1">
        <v>3.0</v>
      </c>
      <c r="L1375" s="1">
        <v>5.0</v>
      </c>
      <c r="M1375" s="1">
        <v>0.6</v>
      </c>
      <c r="N1375" s="1">
        <v>10.68000031</v>
      </c>
    </row>
    <row r="1376" ht="15.75" customHeight="1">
      <c r="A1376" s="1" t="s">
        <v>160</v>
      </c>
      <c r="B1376" s="1" t="s">
        <v>39</v>
      </c>
      <c r="C1376" s="5">
        <v>45562.0</v>
      </c>
      <c r="D1376" s="1" t="s">
        <v>161</v>
      </c>
      <c r="E1376" s="1" t="s">
        <v>11</v>
      </c>
      <c r="F1376" s="1" t="s">
        <v>166</v>
      </c>
      <c r="H1376" s="1">
        <v>0.0</v>
      </c>
      <c r="I1376" s="1">
        <v>0.0</v>
      </c>
      <c r="J1376" s="1">
        <v>0.0</v>
      </c>
      <c r="K1376" s="1">
        <v>0.0</v>
      </c>
      <c r="L1376" s="1">
        <v>0.0</v>
      </c>
      <c r="N1376" s="1">
        <v>0.0</v>
      </c>
    </row>
    <row r="1377" ht="15.75" customHeight="1">
      <c r="A1377" s="1" t="s">
        <v>164</v>
      </c>
      <c r="B1377" s="1" t="s">
        <v>24</v>
      </c>
      <c r="C1377" s="5">
        <v>45562.0</v>
      </c>
      <c r="D1377" s="1" t="s">
        <v>161</v>
      </c>
      <c r="E1377" s="1" t="s">
        <v>11</v>
      </c>
      <c r="F1377" s="1" t="s">
        <v>166</v>
      </c>
      <c r="H1377" s="1">
        <v>0.0</v>
      </c>
      <c r="I1377" s="1">
        <v>0.0</v>
      </c>
      <c r="J1377" s="1">
        <v>0.0</v>
      </c>
      <c r="K1377" s="1">
        <v>0.0</v>
      </c>
      <c r="L1377" s="1">
        <v>3.0</v>
      </c>
      <c r="M1377" s="1">
        <v>0.0</v>
      </c>
      <c r="N1377" s="1">
        <v>5.559999943</v>
      </c>
    </row>
    <row r="1378" ht="15.75" customHeight="1">
      <c r="A1378" s="1" t="s">
        <v>164</v>
      </c>
      <c r="B1378" s="1" t="s">
        <v>207</v>
      </c>
      <c r="C1378" s="5">
        <v>45562.0</v>
      </c>
      <c r="D1378" s="1" t="s">
        <v>161</v>
      </c>
      <c r="E1378" s="1" t="s">
        <v>11</v>
      </c>
      <c r="F1378" s="1" t="s">
        <v>166</v>
      </c>
      <c r="H1378" s="1">
        <v>0.0</v>
      </c>
      <c r="I1378" s="1">
        <v>1.0</v>
      </c>
      <c r="J1378" s="1">
        <v>0.0</v>
      </c>
      <c r="K1378" s="1">
        <v>1.0</v>
      </c>
      <c r="L1378" s="1">
        <v>1.0</v>
      </c>
      <c r="M1378" s="1">
        <v>1.0</v>
      </c>
      <c r="N1378" s="1">
        <v>2.130000114</v>
      </c>
    </row>
    <row r="1379" ht="15.75" customHeight="1">
      <c r="A1379" s="1" t="s">
        <v>164</v>
      </c>
      <c r="B1379" s="1" t="s">
        <v>52</v>
      </c>
      <c r="C1379" s="5">
        <v>45562.0</v>
      </c>
      <c r="D1379" s="1" t="s">
        <v>161</v>
      </c>
      <c r="E1379" s="1" t="s">
        <v>11</v>
      </c>
      <c r="F1379" s="1" t="s">
        <v>165</v>
      </c>
      <c r="H1379" s="1">
        <v>0.0</v>
      </c>
      <c r="I1379" s="1">
        <v>0.0</v>
      </c>
      <c r="J1379" s="1">
        <v>0.0</v>
      </c>
      <c r="K1379" s="1">
        <v>2.0</v>
      </c>
      <c r="L1379" s="1">
        <v>4.0</v>
      </c>
      <c r="M1379" s="1">
        <v>0.5</v>
      </c>
      <c r="N1379" s="1">
        <v>4.289999962</v>
      </c>
    </row>
    <row r="1380" ht="15.75" customHeight="1">
      <c r="A1380" s="1" t="s">
        <v>164</v>
      </c>
      <c r="B1380" s="1" t="s">
        <v>55</v>
      </c>
      <c r="C1380" s="5">
        <v>45562.0</v>
      </c>
      <c r="D1380" s="1" t="s">
        <v>161</v>
      </c>
      <c r="E1380" s="1" t="s">
        <v>11</v>
      </c>
      <c r="F1380" s="1" t="s">
        <v>166</v>
      </c>
      <c r="H1380" s="1">
        <v>0.0</v>
      </c>
      <c r="I1380" s="1">
        <v>0.0</v>
      </c>
      <c r="J1380" s="1">
        <v>0.0</v>
      </c>
      <c r="K1380" s="1">
        <v>0.0</v>
      </c>
      <c r="L1380" s="1">
        <v>0.0</v>
      </c>
      <c r="N1380" s="1">
        <v>0.0</v>
      </c>
    </row>
    <row r="1381" ht="15.75" customHeight="1">
      <c r="A1381" s="1" t="s">
        <v>164</v>
      </c>
      <c r="B1381" s="1" t="s">
        <v>60</v>
      </c>
      <c r="C1381" s="5">
        <v>45562.0</v>
      </c>
      <c r="D1381" s="1" t="s">
        <v>161</v>
      </c>
      <c r="E1381" s="1" t="s">
        <v>11</v>
      </c>
      <c r="F1381" s="1" t="s">
        <v>166</v>
      </c>
      <c r="H1381" s="1">
        <v>0.0</v>
      </c>
      <c r="I1381" s="1">
        <v>0.0</v>
      </c>
      <c r="J1381" s="1">
        <v>0.0</v>
      </c>
      <c r="K1381" s="1">
        <v>2.0</v>
      </c>
      <c r="L1381" s="1">
        <v>4.0</v>
      </c>
      <c r="M1381" s="1">
        <v>0.5</v>
      </c>
      <c r="N1381" s="1">
        <v>7.989999771</v>
      </c>
    </row>
    <row r="1382" ht="15.75" customHeight="1">
      <c r="A1382" s="1" t="s">
        <v>164</v>
      </c>
      <c r="B1382" s="1" t="s">
        <v>63</v>
      </c>
      <c r="C1382" s="5">
        <v>45562.0</v>
      </c>
      <c r="D1382" s="1" t="s">
        <v>161</v>
      </c>
      <c r="E1382" s="1" t="s">
        <v>11</v>
      </c>
      <c r="F1382" s="1" t="s">
        <v>166</v>
      </c>
      <c r="G1382" s="1" t="s">
        <v>172</v>
      </c>
      <c r="H1382" s="1">
        <v>1.0</v>
      </c>
      <c r="I1382" s="1">
        <v>0.0</v>
      </c>
      <c r="J1382" s="1">
        <v>0.0</v>
      </c>
      <c r="K1382" s="1">
        <v>19.0</v>
      </c>
      <c r="L1382" s="1">
        <v>25.0</v>
      </c>
      <c r="M1382" s="1">
        <v>0.76</v>
      </c>
      <c r="N1382" s="1">
        <v>15.07999992</v>
      </c>
    </row>
    <row r="1383" ht="15.75" customHeight="1">
      <c r="A1383" s="1" t="s">
        <v>164</v>
      </c>
      <c r="B1383" s="1" t="s">
        <v>68</v>
      </c>
      <c r="C1383" s="5">
        <v>45562.0</v>
      </c>
      <c r="D1383" s="1" t="s">
        <v>161</v>
      </c>
      <c r="E1383" s="1" t="s">
        <v>11</v>
      </c>
      <c r="F1383" s="1" t="s">
        <v>165</v>
      </c>
      <c r="G1383" s="1" t="s">
        <v>172</v>
      </c>
      <c r="H1383" s="1">
        <v>1.0</v>
      </c>
      <c r="I1383" s="1">
        <v>0.0</v>
      </c>
      <c r="J1383" s="1">
        <v>0.0</v>
      </c>
      <c r="K1383" s="1">
        <v>13.0</v>
      </c>
      <c r="L1383" s="1">
        <v>19.0</v>
      </c>
      <c r="M1383" s="1">
        <v>0.684210526</v>
      </c>
      <c r="N1383" s="1">
        <v>13.14999962</v>
      </c>
    </row>
    <row r="1384" ht="15.75" customHeight="1">
      <c r="A1384" s="1" t="s">
        <v>164</v>
      </c>
      <c r="B1384" s="1" t="s">
        <v>205</v>
      </c>
      <c r="C1384" s="5">
        <v>45562.0</v>
      </c>
      <c r="D1384" s="1" t="s">
        <v>161</v>
      </c>
      <c r="E1384" s="1" t="s">
        <v>11</v>
      </c>
      <c r="F1384" s="1" t="s">
        <v>166</v>
      </c>
      <c r="H1384" s="1">
        <v>0.0</v>
      </c>
      <c r="I1384" s="1">
        <v>0.0</v>
      </c>
      <c r="J1384" s="1">
        <v>0.0</v>
      </c>
      <c r="K1384" s="1">
        <v>18.0</v>
      </c>
      <c r="L1384" s="1">
        <v>32.0</v>
      </c>
      <c r="M1384" s="1">
        <v>0.5625</v>
      </c>
      <c r="N1384" s="1">
        <v>44.27000046</v>
      </c>
    </row>
    <row r="1385" ht="15.75" customHeight="1">
      <c r="A1385" s="1" t="s">
        <v>164</v>
      </c>
      <c r="B1385" s="1" t="s">
        <v>75</v>
      </c>
      <c r="C1385" s="5">
        <v>45562.0</v>
      </c>
      <c r="D1385" s="1" t="s">
        <v>161</v>
      </c>
      <c r="E1385" s="1" t="s">
        <v>11</v>
      </c>
      <c r="F1385" s="1" t="s">
        <v>165</v>
      </c>
      <c r="H1385" s="1">
        <v>0.0</v>
      </c>
      <c r="I1385" s="1">
        <v>0.0</v>
      </c>
      <c r="J1385" s="1">
        <v>0.0</v>
      </c>
      <c r="K1385" s="1">
        <v>4.0</v>
      </c>
      <c r="L1385" s="1">
        <v>13.0</v>
      </c>
      <c r="M1385" s="1">
        <v>0.307692308</v>
      </c>
      <c r="N1385" s="1">
        <v>21.0</v>
      </c>
    </row>
    <row r="1386" ht="15.75" customHeight="1">
      <c r="A1386" s="1" t="s">
        <v>164</v>
      </c>
      <c r="B1386" s="1" t="s">
        <v>100</v>
      </c>
      <c r="C1386" s="5">
        <v>45562.0</v>
      </c>
      <c r="D1386" s="1" t="s">
        <v>161</v>
      </c>
      <c r="E1386" s="1" t="s">
        <v>11</v>
      </c>
      <c r="F1386" s="1" t="s">
        <v>171</v>
      </c>
      <c r="H1386" s="1">
        <v>0.0</v>
      </c>
      <c r="I1386" s="1">
        <v>0.0</v>
      </c>
      <c r="J1386" s="1">
        <v>0.0</v>
      </c>
      <c r="K1386" s="1">
        <v>13.0</v>
      </c>
      <c r="L1386" s="1">
        <v>51.0</v>
      </c>
      <c r="M1386" s="1">
        <v>0.254901961</v>
      </c>
      <c r="N1386" s="1">
        <v>59.22000122</v>
      </c>
    </row>
    <row r="1387" ht="15.75" customHeight="1">
      <c r="A1387" s="1" t="s">
        <v>164</v>
      </c>
      <c r="B1387" s="1" t="s">
        <v>82</v>
      </c>
      <c r="C1387" s="5">
        <v>45562.0</v>
      </c>
      <c r="D1387" s="1" t="s">
        <v>161</v>
      </c>
      <c r="E1387" s="1" t="s">
        <v>11</v>
      </c>
      <c r="F1387" s="1" t="s">
        <v>165</v>
      </c>
      <c r="H1387" s="1">
        <v>0.0</v>
      </c>
      <c r="I1387" s="1">
        <v>2.0</v>
      </c>
      <c r="J1387" s="1">
        <v>0.0</v>
      </c>
      <c r="K1387" s="1">
        <v>43.0</v>
      </c>
      <c r="L1387" s="1">
        <v>70.0</v>
      </c>
      <c r="M1387" s="1">
        <v>0.614285714</v>
      </c>
      <c r="N1387" s="1">
        <v>36.63999939</v>
      </c>
    </row>
    <row r="1388" ht="15.75" customHeight="1">
      <c r="A1388" s="1" t="s">
        <v>180</v>
      </c>
      <c r="B1388" s="1" t="s">
        <v>214</v>
      </c>
      <c r="C1388" s="5">
        <v>45562.0</v>
      </c>
      <c r="D1388" s="1" t="s">
        <v>161</v>
      </c>
      <c r="E1388" s="1" t="s">
        <v>11</v>
      </c>
      <c r="F1388" s="1" t="s">
        <v>166</v>
      </c>
      <c r="H1388" s="1">
        <v>0.0</v>
      </c>
      <c r="I1388" s="1">
        <v>0.0</v>
      </c>
      <c r="J1388" s="1">
        <v>0.0</v>
      </c>
      <c r="K1388" s="1">
        <v>0.0</v>
      </c>
      <c r="L1388" s="1">
        <v>0.0</v>
      </c>
      <c r="N1388" s="1">
        <v>2.720000029</v>
      </c>
    </row>
    <row r="1389" ht="15.75" customHeight="1">
      <c r="A1389" s="1" t="s">
        <v>160</v>
      </c>
      <c r="B1389" s="1" t="s">
        <v>18</v>
      </c>
      <c r="C1389" s="5">
        <v>45561.0</v>
      </c>
      <c r="D1389" s="1" t="s">
        <v>161</v>
      </c>
      <c r="E1389" s="1" t="s">
        <v>11</v>
      </c>
      <c r="F1389" s="1" t="s">
        <v>162</v>
      </c>
      <c r="H1389" s="1">
        <v>0.0</v>
      </c>
      <c r="I1389" s="1">
        <v>0.0</v>
      </c>
      <c r="J1389" s="1">
        <v>0.0</v>
      </c>
      <c r="K1389" s="1">
        <v>0.0</v>
      </c>
      <c r="L1389" s="1">
        <v>1.0</v>
      </c>
      <c r="M1389" s="1">
        <v>0.0</v>
      </c>
      <c r="N1389" s="1">
        <v>1.389999986</v>
      </c>
    </row>
    <row r="1390" ht="15.75" customHeight="1">
      <c r="A1390" s="1" t="s">
        <v>164</v>
      </c>
      <c r="B1390" s="1" t="s">
        <v>35</v>
      </c>
      <c r="C1390" s="5">
        <v>45561.0</v>
      </c>
      <c r="D1390" s="1" t="s">
        <v>161</v>
      </c>
      <c r="E1390" s="1" t="s">
        <v>11</v>
      </c>
      <c r="F1390" s="1" t="s">
        <v>166</v>
      </c>
      <c r="H1390" s="1">
        <v>0.0</v>
      </c>
      <c r="I1390" s="1">
        <v>0.0</v>
      </c>
      <c r="J1390" s="1">
        <v>0.0</v>
      </c>
      <c r="K1390" s="1">
        <v>0.0</v>
      </c>
      <c r="L1390" s="1">
        <v>0.0</v>
      </c>
      <c r="N1390" s="1">
        <v>0.649999976</v>
      </c>
    </row>
    <row r="1391" ht="15.75" customHeight="1">
      <c r="A1391" s="1" t="s">
        <v>164</v>
      </c>
      <c r="B1391" s="1" t="s">
        <v>24</v>
      </c>
      <c r="C1391" s="5">
        <v>45561.0</v>
      </c>
      <c r="D1391" s="1" t="s">
        <v>161</v>
      </c>
      <c r="E1391" s="1" t="s">
        <v>11</v>
      </c>
      <c r="F1391" s="1" t="s">
        <v>166</v>
      </c>
      <c r="H1391" s="1">
        <v>0.0</v>
      </c>
      <c r="I1391" s="1">
        <v>0.0</v>
      </c>
      <c r="J1391" s="1">
        <v>0.0</v>
      </c>
      <c r="K1391" s="1">
        <v>2.0</v>
      </c>
      <c r="L1391" s="1">
        <v>5.0</v>
      </c>
      <c r="M1391" s="1">
        <v>0.4</v>
      </c>
      <c r="N1391" s="1">
        <v>26.55999947</v>
      </c>
    </row>
    <row r="1392" ht="15.75" customHeight="1">
      <c r="A1392" s="1" t="s">
        <v>164</v>
      </c>
      <c r="B1392" s="1" t="s">
        <v>52</v>
      </c>
      <c r="C1392" s="5">
        <v>45561.0</v>
      </c>
      <c r="D1392" s="1" t="s">
        <v>161</v>
      </c>
      <c r="E1392" s="1" t="s">
        <v>11</v>
      </c>
      <c r="F1392" s="1" t="s">
        <v>165</v>
      </c>
      <c r="H1392" s="1">
        <v>0.0</v>
      </c>
      <c r="I1392" s="1">
        <v>0.0</v>
      </c>
      <c r="J1392" s="1">
        <v>0.0</v>
      </c>
      <c r="K1392" s="1">
        <v>1.0</v>
      </c>
      <c r="L1392" s="1">
        <v>2.0</v>
      </c>
      <c r="M1392" s="1">
        <v>0.5</v>
      </c>
      <c r="N1392" s="1">
        <v>4.579999924</v>
      </c>
    </row>
    <row r="1393" ht="15.75" customHeight="1">
      <c r="A1393" s="1" t="s">
        <v>164</v>
      </c>
      <c r="B1393" s="1" t="s">
        <v>68</v>
      </c>
      <c r="C1393" s="5">
        <v>45561.0</v>
      </c>
      <c r="D1393" s="1" t="s">
        <v>161</v>
      </c>
      <c r="E1393" s="1" t="s">
        <v>11</v>
      </c>
      <c r="F1393" s="1" t="s">
        <v>165</v>
      </c>
      <c r="H1393" s="1">
        <v>0.0</v>
      </c>
      <c r="I1393" s="1">
        <v>0.0</v>
      </c>
      <c r="J1393" s="1">
        <v>0.0</v>
      </c>
      <c r="K1393" s="1">
        <v>3.0</v>
      </c>
      <c r="L1393" s="1">
        <v>10.0</v>
      </c>
      <c r="M1393" s="1">
        <v>0.3</v>
      </c>
      <c r="N1393" s="1">
        <v>10.36999989</v>
      </c>
    </row>
    <row r="1394" ht="15.75" customHeight="1">
      <c r="A1394" s="1" t="s">
        <v>164</v>
      </c>
      <c r="B1394" s="1" t="s">
        <v>205</v>
      </c>
      <c r="C1394" s="5">
        <v>45561.0</v>
      </c>
      <c r="D1394" s="1" t="s">
        <v>161</v>
      </c>
      <c r="E1394" s="1" t="s">
        <v>11</v>
      </c>
      <c r="F1394" s="1" t="s">
        <v>166</v>
      </c>
      <c r="G1394" s="1" t="s">
        <v>172</v>
      </c>
      <c r="H1394" s="1">
        <v>1.0</v>
      </c>
      <c r="I1394" s="1">
        <v>1.0</v>
      </c>
      <c r="J1394" s="1">
        <v>0.0</v>
      </c>
      <c r="K1394" s="1">
        <v>33.0</v>
      </c>
      <c r="L1394" s="1">
        <v>40.0</v>
      </c>
      <c r="M1394" s="1">
        <v>0.825</v>
      </c>
      <c r="N1394" s="1">
        <v>65.95999908</v>
      </c>
    </row>
    <row r="1395" ht="15.75" customHeight="1">
      <c r="A1395" s="1" t="s">
        <v>164</v>
      </c>
      <c r="B1395" s="1" t="s">
        <v>75</v>
      </c>
      <c r="C1395" s="5">
        <v>45561.0</v>
      </c>
      <c r="D1395" s="1" t="s">
        <v>161</v>
      </c>
      <c r="E1395" s="1" t="s">
        <v>11</v>
      </c>
      <c r="F1395" s="1" t="s">
        <v>165</v>
      </c>
      <c r="H1395" s="1">
        <v>0.0</v>
      </c>
      <c r="I1395" s="1">
        <v>0.0</v>
      </c>
      <c r="J1395" s="1">
        <v>0.0</v>
      </c>
      <c r="K1395" s="1">
        <v>1.0</v>
      </c>
      <c r="L1395" s="1">
        <v>5.0</v>
      </c>
      <c r="M1395" s="1">
        <v>0.2</v>
      </c>
      <c r="N1395" s="1">
        <v>9.0</v>
      </c>
    </row>
    <row r="1396" ht="15.75" customHeight="1">
      <c r="A1396" s="1" t="s">
        <v>164</v>
      </c>
      <c r="B1396" s="1" t="s">
        <v>100</v>
      </c>
      <c r="C1396" s="5">
        <v>45561.0</v>
      </c>
      <c r="D1396" s="1" t="s">
        <v>161</v>
      </c>
      <c r="E1396" s="1" t="s">
        <v>11</v>
      </c>
      <c r="F1396" s="1" t="s">
        <v>171</v>
      </c>
      <c r="G1396" s="1" t="s">
        <v>200</v>
      </c>
      <c r="H1396" s="1">
        <v>2.0</v>
      </c>
      <c r="I1396" s="1">
        <v>3.0</v>
      </c>
      <c r="J1396" s="1">
        <v>0.0</v>
      </c>
      <c r="K1396" s="1">
        <v>114.0</v>
      </c>
      <c r="L1396" s="1">
        <v>209.0</v>
      </c>
      <c r="M1396" s="1">
        <v>0.545454545</v>
      </c>
      <c r="N1396" s="1">
        <v>87.62000275</v>
      </c>
    </row>
    <row r="1397" ht="15.75" customHeight="1">
      <c r="A1397" s="1" t="s">
        <v>164</v>
      </c>
      <c r="B1397" s="1" t="s">
        <v>82</v>
      </c>
      <c r="C1397" s="5">
        <v>45561.0</v>
      </c>
      <c r="D1397" s="1" t="s">
        <v>161</v>
      </c>
      <c r="E1397" s="1" t="s">
        <v>11</v>
      </c>
      <c r="F1397" s="1" t="s">
        <v>165</v>
      </c>
      <c r="H1397" s="1">
        <v>0.0</v>
      </c>
      <c r="I1397" s="1">
        <v>2.0</v>
      </c>
      <c r="J1397" s="1">
        <v>0.0</v>
      </c>
      <c r="K1397" s="1">
        <v>45.0</v>
      </c>
      <c r="L1397" s="1">
        <v>79.0</v>
      </c>
      <c r="M1397" s="1">
        <v>0.569620253</v>
      </c>
      <c r="N1397" s="1">
        <v>35.20000076</v>
      </c>
    </row>
    <row r="1398" ht="15.75" customHeight="1">
      <c r="A1398" s="1" t="s">
        <v>180</v>
      </c>
      <c r="B1398" s="1" t="s">
        <v>220</v>
      </c>
      <c r="C1398" s="5">
        <v>45561.0</v>
      </c>
      <c r="D1398" s="1" t="s">
        <v>161</v>
      </c>
      <c r="E1398" s="1" t="s">
        <v>11</v>
      </c>
      <c r="F1398" s="1" t="s">
        <v>165</v>
      </c>
      <c r="H1398" s="1">
        <v>0.0</v>
      </c>
      <c r="I1398" s="1">
        <v>1.0</v>
      </c>
      <c r="J1398" s="1">
        <v>0.0</v>
      </c>
      <c r="K1398" s="1">
        <v>12.0</v>
      </c>
      <c r="L1398" s="1">
        <v>12.0</v>
      </c>
      <c r="M1398" s="1">
        <v>1.0</v>
      </c>
      <c r="N1398" s="1">
        <v>0.0</v>
      </c>
    </row>
    <row r="1399" ht="15.75" customHeight="1">
      <c r="A1399" s="1" t="s">
        <v>180</v>
      </c>
      <c r="B1399" s="1" t="s">
        <v>220</v>
      </c>
      <c r="C1399" s="5">
        <v>45561.0</v>
      </c>
      <c r="D1399" s="1" t="s">
        <v>161</v>
      </c>
      <c r="E1399" s="1" t="s">
        <v>11</v>
      </c>
      <c r="F1399" s="1" t="s">
        <v>167</v>
      </c>
      <c r="H1399" s="1">
        <v>0.0</v>
      </c>
      <c r="I1399" s="1">
        <v>0.0</v>
      </c>
      <c r="J1399" s="1">
        <v>0.0</v>
      </c>
      <c r="K1399" s="1">
        <v>7.0</v>
      </c>
      <c r="L1399" s="1">
        <v>14.0</v>
      </c>
      <c r="M1399" s="1">
        <v>0.5</v>
      </c>
      <c r="N1399" s="1">
        <v>16.65999985</v>
      </c>
    </row>
    <row r="1400" ht="15.75" customHeight="1">
      <c r="A1400" s="1" t="s">
        <v>180</v>
      </c>
      <c r="B1400" s="1" t="s">
        <v>220</v>
      </c>
      <c r="C1400" s="5">
        <v>45561.0</v>
      </c>
      <c r="D1400" s="1" t="s">
        <v>161</v>
      </c>
      <c r="E1400" s="1" t="s">
        <v>11</v>
      </c>
      <c r="F1400" s="1" t="s">
        <v>162</v>
      </c>
      <c r="H1400" s="1">
        <v>0.0</v>
      </c>
      <c r="I1400" s="1">
        <v>0.0</v>
      </c>
      <c r="J1400" s="1">
        <v>0.0</v>
      </c>
      <c r="K1400" s="1">
        <v>7.0</v>
      </c>
      <c r="L1400" s="1">
        <v>9.0</v>
      </c>
      <c r="M1400" s="1">
        <v>0.777777778</v>
      </c>
      <c r="N1400" s="1">
        <v>0.0</v>
      </c>
    </row>
    <row r="1401" ht="15.75" customHeight="1">
      <c r="A1401" s="1" t="s">
        <v>180</v>
      </c>
      <c r="B1401" s="1" t="s">
        <v>220</v>
      </c>
      <c r="C1401" s="5">
        <v>45561.0</v>
      </c>
      <c r="D1401" s="1" t="s">
        <v>161</v>
      </c>
      <c r="E1401" s="1" t="s">
        <v>11</v>
      </c>
      <c r="F1401" s="1" t="s">
        <v>166</v>
      </c>
      <c r="H1401" s="1">
        <v>0.0</v>
      </c>
      <c r="I1401" s="1">
        <v>0.0</v>
      </c>
      <c r="J1401" s="1">
        <v>0.0</v>
      </c>
      <c r="K1401" s="1">
        <v>0.0</v>
      </c>
      <c r="L1401" s="1">
        <v>0.0</v>
      </c>
      <c r="N1401" s="1">
        <v>0.0</v>
      </c>
    </row>
    <row r="1402" ht="15.75" customHeight="1">
      <c r="A1402" s="1" t="s">
        <v>180</v>
      </c>
      <c r="B1402" s="1" t="s">
        <v>220</v>
      </c>
      <c r="C1402" s="5">
        <v>45561.0</v>
      </c>
      <c r="D1402" s="1" t="s">
        <v>161</v>
      </c>
      <c r="E1402" s="1" t="s">
        <v>11</v>
      </c>
      <c r="F1402" s="1" t="s">
        <v>171</v>
      </c>
      <c r="H1402" s="1">
        <v>0.0</v>
      </c>
      <c r="I1402" s="1">
        <v>0.0</v>
      </c>
      <c r="J1402" s="1">
        <v>0.0</v>
      </c>
      <c r="K1402" s="1">
        <v>1.0</v>
      </c>
      <c r="L1402" s="1">
        <v>2.0</v>
      </c>
      <c r="M1402" s="1">
        <v>0.5</v>
      </c>
      <c r="N1402" s="1">
        <v>0.0</v>
      </c>
    </row>
    <row r="1403" ht="15.75" customHeight="1">
      <c r="A1403" s="1" t="s">
        <v>180</v>
      </c>
      <c r="B1403" s="1" t="s">
        <v>214</v>
      </c>
      <c r="C1403" s="5">
        <v>45561.0</v>
      </c>
      <c r="D1403" s="1" t="s">
        <v>161</v>
      </c>
      <c r="E1403" s="1" t="s">
        <v>11</v>
      </c>
      <c r="F1403" s="1" t="s">
        <v>166</v>
      </c>
      <c r="H1403" s="1">
        <v>0.0</v>
      </c>
      <c r="I1403" s="1">
        <v>1.0</v>
      </c>
      <c r="J1403" s="1">
        <v>0.0</v>
      </c>
      <c r="K1403" s="1">
        <v>24.0</v>
      </c>
      <c r="L1403" s="1">
        <v>33.0</v>
      </c>
      <c r="M1403" s="1">
        <v>0.727272727</v>
      </c>
      <c r="N1403" s="1">
        <v>36.77000046</v>
      </c>
    </row>
    <row r="1404" ht="15.75" customHeight="1">
      <c r="A1404" s="1" t="s">
        <v>180</v>
      </c>
      <c r="B1404" s="1" t="s">
        <v>226</v>
      </c>
      <c r="C1404" s="5">
        <v>45561.0</v>
      </c>
      <c r="D1404" s="1" t="s">
        <v>161</v>
      </c>
      <c r="E1404" s="1" t="s">
        <v>11</v>
      </c>
      <c r="F1404" s="1" t="s">
        <v>166</v>
      </c>
      <c r="H1404" s="1">
        <v>0.0</v>
      </c>
      <c r="I1404" s="1">
        <v>0.0</v>
      </c>
      <c r="J1404" s="1">
        <v>0.0</v>
      </c>
      <c r="K1404" s="1">
        <v>0.0</v>
      </c>
      <c r="L1404" s="1">
        <v>3.0</v>
      </c>
      <c r="M1404" s="1">
        <v>0.0</v>
      </c>
      <c r="N1404" s="1">
        <v>6.340000153</v>
      </c>
    </row>
    <row r="1405" ht="15.75" customHeight="1">
      <c r="A1405" s="1" t="s">
        <v>160</v>
      </c>
      <c r="B1405" s="1" t="s">
        <v>20</v>
      </c>
      <c r="C1405" s="5">
        <v>45560.0</v>
      </c>
      <c r="D1405" s="1" t="s">
        <v>161</v>
      </c>
      <c r="E1405" s="1" t="s">
        <v>11</v>
      </c>
      <c r="F1405" s="1" t="s">
        <v>162</v>
      </c>
      <c r="H1405" s="1">
        <v>0.0</v>
      </c>
      <c r="I1405" s="1">
        <v>0.0</v>
      </c>
      <c r="J1405" s="1">
        <v>0.0</v>
      </c>
      <c r="K1405" s="1">
        <v>14.0</v>
      </c>
      <c r="L1405" s="1">
        <v>24.0</v>
      </c>
      <c r="M1405" s="1">
        <v>0.583333333</v>
      </c>
      <c r="N1405" s="1">
        <v>16.56999969</v>
      </c>
    </row>
    <row r="1406" ht="15.75" customHeight="1">
      <c r="A1406" s="1" t="s">
        <v>160</v>
      </c>
      <c r="B1406" s="1" t="s">
        <v>54</v>
      </c>
      <c r="C1406" s="5">
        <v>45560.0</v>
      </c>
      <c r="D1406" s="1" t="s">
        <v>161</v>
      </c>
      <c r="E1406" s="1" t="s">
        <v>11</v>
      </c>
      <c r="H1406" s="1">
        <v>0.0</v>
      </c>
      <c r="J1406" s="1">
        <v>0.0</v>
      </c>
      <c r="N1406" s="1">
        <v>0.550000012</v>
      </c>
    </row>
    <row r="1407" ht="15.75" customHeight="1">
      <c r="A1407" s="1" t="s">
        <v>160</v>
      </c>
      <c r="B1407" s="1" t="s">
        <v>32</v>
      </c>
      <c r="C1407" s="5">
        <v>45560.0</v>
      </c>
      <c r="D1407" s="1" t="s">
        <v>161</v>
      </c>
      <c r="E1407" s="1" t="s">
        <v>11</v>
      </c>
      <c r="H1407" s="1">
        <v>0.0</v>
      </c>
      <c r="J1407" s="1">
        <v>0.0</v>
      </c>
      <c r="N1407" s="1">
        <v>0.050000001</v>
      </c>
    </row>
    <row r="1408" ht="15.75" customHeight="1">
      <c r="A1408" s="1" t="s">
        <v>160</v>
      </c>
      <c r="B1408" s="1" t="s">
        <v>39</v>
      </c>
      <c r="C1408" s="5">
        <v>45560.0</v>
      </c>
      <c r="D1408" s="1" t="s">
        <v>161</v>
      </c>
      <c r="E1408" s="1" t="s">
        <v>11</v>
      </c>
      <c r="F1408" s="1" t="s">
        <v>162</v>
      </c>
      <c r="G1408" s="1" t="s">
        <v>163</v>
      </c>
      <c r="H1408" s="1">
        <v>1.0</v>
      </c>
      <c r="I1408" s="1">
        <v>1.0</v>
      </c>
      <c r="J1408" s="1">
        <v>0.0</v>
      </c>
      <c r="K1408" s="1">
        <v>16.0</v>
      </c>
      <c r="L1408" s="1">
        <v>18.0</v>
      </c>
      <c r="M1408" s="1">
        <v>0.888888889</v>
      </c>
      <c r="N1408" s="1">
        <v>12.64000034</v>
      </c>
    </row>
    <row r="1409" ht="15.75" customHeight="1">
      <c r="A1409" s="1" t="s">
        <v>160</v>
      </c>
      <c r="B1409" s="1" t="s">
        <v>39</v>
      </c>
      <c r="C1409" s="5">
        <v>45560.0</v>
      </c>
      <c r="D1409" s="1" t="s">
        <v>161</v>
      </c>
      <c r="E1409" s="1" t="s">
        <v>11</v>
      </c>
      <c r="F1409" s="1" t="s">
        <v>166</v>
      </c>
      <c r="G1409" s="1" t="s">
        <v>163</v>
      </c>
      <c r="H1409" s="1">
        <v>1.0</v>
      </c>
      <c r="I1409" s="1">
        <v>0.0</v>
      </c>
      <c r="J1409" s="1">
        <v>0.0</v>
      </c>
      <c r="K1409" s="1">
        <v>0.0</v>
      </c>
      <c r="L1409" s="1">
        <v>0.0</v>
      </c>
      <c r="N1409" s="1">
        <v>0.0</v>
      </c>
    </row>
    <row r="1410" ht="15.75" customHeight="1">
      <c r="A1410" s="1" t="s">
        <v>160</v>
      </c>
      <c r="B1410" s="1" t="s">
        <v>224</v>
      </c>
      <c r="C1410" s="5">
        <v>45560.0</v>
      </c>
      <c r="D1410" s="1" t="s">
        <v>161</v>
      </c>
      <c r="E1410" s="1" t="s">
        <v>11</v>
      </c>
      <c r="H1410" s="1">
        <v>0.0</v>
      </c>
      <c r="J1410" s="1">
        <v>0.0</v>
      </c>
      <c r="N1410" s="1">
        <v>0.649999976</v>
      </c>
    </row>
    <row r="1411" ht="15.75" customHeight="1">
      <c r="A1411" s="1" t="s">
        <v>160</v>
      </c>
      <c r="B1411" s="1" t="s">
        <v>77</v>
      </c>
      <c r="C1411" s="5">
        <v>45560.0</v>
      </c>
      <c r="D1411" s="1" t="s">
        <v>161</v>
      </c>
      <c r="E1411" s="1" t="s">
        <v>11</v>
      </c>
      <c r="F1411" s="1" t="s">
        <v>162</v>
      </c>
      <c r="G1411" s="1" t="s">
        <v>229</v>
      </c>
      <c r="H1411" s="1">
        <v>1.0</v>
      </c>
      <c r="I1411" s="1">
        <v>0.0</v>
      </c>
      <c r="J1411" s="1">
        <v>0.0</v>
      </c>
      <c r="K1411" s="1">
        <v>6.0</v>
      </c>
      <c r="L1411" s="1">
        <v>10.0</v>
      </c>
      <c r="M1411" s="1">
        <v>0.6</v>
      </c>
      <c r="N1411" s="1">
        <v>12.5</v>
      </c>
    </row>
    <row r="1412" ht="15.75" customHeight="1">
      <c r="A1412" s="1" t="s">
        <v>164</v>
      </c>
      <c r="B1412" s="1" t="s">
        <v>22</v>
      </c>
      <c r="C1412" s="5">
        <v>45560.0</v>
      </c>
      <c r="D1412" s="1" t="s">
        <v>161</v>
      </c>
      <c r="E1412" s="1" t="s">
        <v>11</v>
      </c>
      <c r="F1412" s="1" t="s">
        <v>166</v>
      </c>
      <c r="H1412" s="1">
        <v>0.0</v>
      </c>
      <c r="I1412" s="1">
        <v>0.0</v>
      </c>
      <c r="J1412" s="1">
        <v>0.0</v>
      </c>
      <c r="K1412" s="1">
        <v>3.0</v>
      </c>
      <c r="L1412" s="1">
        <v>7.0</v>
      </c>
      <c r="M1412" s="1">
        <v>0.428571429</v>
      </c>
      <c r="N1412" s="1">
        <v>9.050000191</v>
      </c>
    </row>
    <row r="1413" ht="15.75" customHeight="1">
      <c r="A1413" s="1" t="s">
        <v>164</v>
      </c>
      <c r="B1413" s="1" t="s">
        <v>35</v>
      </c>
      <c r="C1413" s="5">
        <v>45560.0</v>
      </c>
      <c r="D1413" s="1" t="s">
        <v>161</v>
      </c>
      <c r="E1413" s="1" t="s">
        <v>11</v>
      </c>
      <c r="F1413" s="1" t="s">
        <v>165</v>
      </c>
      <c r="G1413" s="1" t="s">
        <v>163</v>
      </c>
      <c r="H1413" s="1">
        <v>1.0</v>
      </c>
      <c r="I1413" s="1">
        <v>0.0</v>
      </c>
      <c r="J1413" s="1">
        <v>0.0</v>
      </c>
      <c r="K1413" s="1">
        <v>11.0</v>
      </c>
      <c r="L1413" s="1">
        <v>13.0</v>
      </c>
      <c r="M1413" s="1">
        <v>0.846153846</v>
      </c>
      <c r="N1413" s="1">
        <v>0.0</v>
      </c>
    </row>
    <row r="1414" ht="15.75" customHeight="1">
      <c r="A1414" s="1" t="s">
        <v>164</v>
      </c>
      <c r="B1414" s="1" t="s">
        <v>35</v>
      </c>
      <c r="C1414" s="5">
        <v>45560.0</v>
      </c>
      <c r="D1414" s="1" t="s">
        <v>161</v>
      </c>
      <c r="E1414" s="1" t="s">
        <v>11</v>
      </c>
      <c r="F1414" s="1" t="s">
        <v>162</v>
      </c>
      <c r="G1414" s="1" t="s">
        <v>163</v>
      </c>
      <c r="H1414" s="1">
        <v>1.0</v>
      </c>
      <c r="I1414" s="1">
        <v>0.0</v>
      </c>
      <c r="J1414" s="1">
        <v>0.0</v>
      </c>
      <c r="K1414" s="1">
        <v>1.0</v>
      </c>
      <c r="L1414" s="1">
        <v>3.0</v>
      </c>
      <c r="M1414" s="1">
        <v>0.333333333</v>
      </c>
      <c r="N1414" s="1">
        <v>0.0</v>
      </c>
    </row>
    <row r="1415" ht="15.75" customHeight="1">
      <c r="A1415" s="1" t="s">
        <v>164</v>
      </c>
      <c r="B1415" s="1" t="s">
        <v>35</v>
      </c>
      <c r="C1415" s="5">
        <v>45560.0</v>
      </c>
      <c r="D1415" s="1" t="s">
        <v>161</v>
      </c>
      <c r="E1415" s="1" t="s">
        <v>11</v>
      </c>
      <c r="F1415" s="1" t="s">
        <v>168</v>
      </c>
      <c r="G1415" s="1" t="s">
        <v>163</v>
      </c>
      <c r="H1415" s="1">
        <v>1.0</v>
      </c>
      <c r="I1415" s="1">
        <v>0.0</v>
      </c>
      <c r="J1415" s="1">
        <v>0.0</v>
      </c>
      <c r="K1415" s="1">
        <v>1.0</v>
      </c>
      <c r="L1415" s="1">
        <v>1.0</v>
      </c>
      <c r="M1415" s="1">
        <v>1.0</v>
      </c>
      <c r="N1415" s="1">
        <v>0.0</v>
      </c>
    </row>
    <row r="1416" ht="15.75" customHeight="1">
      <c r="A1416" s="1" t="s">
        <v>164</v>
      </c>
      <c r="B1416" s="1" t="s">
        <v>35</v>
      </c>
      <c r="C1416" s="5">
        <v>45560.0</v>
      </c>
      <c r="D1416" s="1" t="s">
        <v>161</v>
      </c>
      <c r="E1416" s="1" t="s">
        <v>11</v>
      </c>
      <c r="F1416" s="1" t="s">
        <v>166</v>
      </c>
      <c r="G1416" s="1" t="s">
        <v>163</v>
      </c>
      <c r="H1416" s="1">
        <v>1.0</v>
      </c>
      <c r="I1416" s="1">
        <v>1.0</v>
      </c>
      <c r="J1416" s="1">
        <v>0.0</v>
      </c>
      <c r="K1416" s="1">
        <v>19.0</v>
      </c>
      <c r="L1416" s="1">
        <v>25.0</v>
      </c>
      <c r="M1416" s="1">
        <v>0.76</v>
      </c>
      <c r="N1416" s="1">
        <v>22.04000092</v>
      </c>
    </row>
    <row r="1417" ht="15.75" customHeight="1">
      <c r="A1417" s="1" t="s">
        <v>164</v>
      </c>
      <c r="B1417" s="1" t="s">
        <v>24</v>
      </c>
      <c r="C1417" s="5">
        <v>45560.0</v>
      </c>
      <c r="D1417" s="1" t="s">
        <v>161</v>
      </c>
      <c r="E1417" s="1" t="s">
        <v>11</v>
      </c>
      <c r="F1417" s="1" t="s">
        <v>166</v>
      </c>
      <c r="H1417" s="1">
        <v>0.0</v>
      </c>
      <c r="I1417" s="1">
        <v>0.0</v>
      </c>
      <c r="J1417" s="1">
        <v>0.0</v>
      </c>
      <c r="K1417" s="1">
        <v>4.0</v>
      </c>
      <c r="L1417" s="1">
        <v>10.0</v>
      </c>
      <c r="M1417" s="1">
        <v>0.4</v>
      </c>
      <c r="N1417" s="1">
        <v>31.40999985</v>
      </c>
    </row>
    <row r="1418" ht="15.75" customHeight="1">
      <c r="A1418" s="1" t="s">
        <v>164</v>
      </c>
      <c r="B1418" s="1" t="s">
        <v>52</v>
      </c>
      <c r="C1418" s="5">
        <v>45560.0</v>
      </c>
      <c r="D1418" s="1" t="s">
        <v>161</v>
      </c>
      <c r="E1418" s="1" t="s">
        <v>11</v>
      </c>
      <c r="F1418" s="1" t="s">
        <v>165</v>
      </c>
      <c r="H1418" s="1">
        <v>0.0</v>
      </c>
      <c r="I1418" s="1">
        <v>0.0</v>
      </c>
      <c r="J1418" s="1">
        <v>0.0</v>
      </c>
      <c r="K1418" s="1">
        <v>4.0</v>
      </c>
      <c r="L1418" s="1">
        <v>13.0</v>
      </c>
      <c r="M1418" s="1">
        <v>0.307692308</v>
      </c>
      <c r="N1418" s="1">
        <v>15.57999992</v>
      </c>
    </row>
    <row r="1419" ht="15.75" customHeight="1">
      <c r="A1419" s="1" t="s">
        <v>164</v>
      </c>
      <c r="B1419" s="1" t="s">
        <v>60</v>
      </c>
      <c r="C1419" s="5">
        <v>45560.0</v>
      </c>
      <c r="D1419" s="1" t="s">
        <v>161</v>
      </c>
      <c r="E1419" s="1" t="s">
        <v>11</v>
      </c>
      <c r="F1419" s="1" t="s">
        <v>166</v>
      </c>
      <c r="H1419" s="1">
        <v>0.0</v>
      </c>
      <c r="I1419" s="1">
        <v>0.0</v>
      </c>
      <c r="J1419" s="1">
        <v>0.0</v>
      </c>
      <c r="K1419" s="1">
        <v>4.0</v>
      </c>
      <c r="L1419" s="1">
        <v>6.0</v>
      </c>
      <c r="M1419" s="1">
        <v>0.666666667</v>
      </c>
      <c r="N1419" s="1">
        <v>13.42000008</v>
      </c>
    </row>
    <row r="1420" ht="15.75" customHeight="1">
      <c r="A1420" s="1" t="s">
        <v>164</v>
      </c>
      <c r="B1420" s="1" t="s">
        <v>63</v>
      </c>
      <c r="C1420" s="5">
        <v>45560.0</v>
      </c>
      <c r="D1420" s="1" t="s">
        <v>161</v>
      </c>
      <c r="E1420" s="1" t="s">
        <v>11</v>
      </c>
      <c r="F1420" s="1" t="s">
        <v>166</v>
      </c>
      <c r="H1420" s="1">
        <v>0.0</v>
      </c>
      <c r="I1420" s="1">
        <v>1.0</v>
      </c>
      <c r="J1420" s="1">
        <v>0.0</v>
      </c>
      <c r="K1420" s="1">
        <v>12.0</v>
      </c>
      <c r="L1420" s="1">
        <v>14.0</v>
      </c>
      <c r="M1420" s="1">
        <v>0.857142857</v>
      </c>
      <c r="N1420" s="1">
        <v>7.0</v>
      </c>
    </row>
    <row r="1421" ht="15.75" customHeight="1">
      <c r="A1421" s="1" t="s">
        <v>164</v>
      </c>
      <c r="B1421" s="1" t="s">
        <v>183</v>
      </c>
      <c r="C1421" s="5">
        <v>45560.0</v>
      </c>
      <c r="D1421" s="1" t="s">
        <v>161</v>
      </c>
      <c r="E1421" s="1" t="s">
        <v>11</v>
      </c>
      <c r="F1421" s="1" t="s">
        <v>166</v>
      </c>
      <c r="H1421" s="1">
        <v>0.0</v>
      </c>
      <c r="I1421" s="1">
        <v>0.0</v>
      </c>
      <c r="J1421" s="1">
        <v>0.0</v>
      </c>
      <c r="K1421" s="1">
        <v>1.0</v>
      </c>
      <c r="L1421" s="1">
        <v>3.0</v>
      </c>
      <c r="M1421" s="1">
        <v>0.333333333</v>
      </c>
      <c r="N1421" s="1">
        <v>9.989999771</v>
      </c>
    </row>
    <row r="1422" ht="15.75" customHeight="1">
      <c r="A1422" s="1" t="s">
        <v>164</v>
      </c>
      <c r="B1422" s="1" t="s">
        <v>68</v>
      </c>
      <c r="C1422" s="5">
        <v>45560.0</v>
      </c>
      <c r="D1422" s="1" t="s">
        <v>161</v>
      </c>
      <c r="E1422" s="1" t="s">
        <v>11</v>
      </c>
      <c r="F1422" s="1" t="s">
        <v>165</v>
      </c>
      <c r="H1422" s="1">
        <v>0.0</v>
      </c>
      <c r="I1422" s="1">
        <v>1.0</v>
      </c>
      <c r="J1422" s="1">
        <v>0.0</v>
      </c>
      <c r="K1422" s="1">
        <v>5.0</v>
      </c>
      <c r="L1422" s="1">
        <v>6.0</v>
      </c>
      <c r="M1422" s="1">
        <v>0.833333333</v>
      </c>
      <c r="N1422" s="1">
        <v>3.819999933</v>
      </c>
    </row>
    <row r="1423" ht="15.75" customHeight="1">
      <c r="A1423" s="1" t="s">
        <v>164</v>
      </c>
      <c r="B1423" s="1" t="s">
        <v>205</v>
      </c>
      <c r="C1423" s="5">
        <v>45560.0</v>
      </c>
      <c r="D1423" s="1" t="s">
        <v>161</v>
      </c>
      <c r="E1423" s="1" t="s">
        <v>11</v>
      </c>
      <c r="F1423" s="1" t="s">
        <v>166</v>
      </c>
      <c r="H1423" s="1">
        <v>0.0</v>
      </c>
      <c r="I1423" s="1">
        <v>0.0</v>
      </c>
      <c r="J1423" s="1">
        <v>0.0</v>
      </c>
      <c r="K1423" s="1">
        <v>0.0</v>
      </c>
      <c r="L1423" s="1">
        <v>3.0</v>
      </c>
      <c r="M1423" s="1">
        <v>0.0</v>
      </c>
      <c r="N1423" s="1">
        <v>21.29000092</v>
      </c>
    </row>
    <row r="1424" ht="15.75" customHeight="1">
      <c r="A1424" s="1" t="s">
        <v>164</v>
      </c>
      <c r="B1424" s="1" t="s">
        <v>75</v>
      </c>
      <c r="C1424" s="5">
        <v>45560.0</v>
      </c>
      <c r="D1424" s="1" t="s">
        <v>161</v>
      </c>
      <c r="E1424" s="1" t="s">
        <v>11</v>
      </c>
      <c r="F1424" s="1" t="s">
        <v>165</v>
      </c>
      <c r="H1424" s="1">
        <v>0.0</v>
      </c>
      <c r="I1424" s="1">
        <v>0.0</v>
      </c>
      <c r="J1424" s="1">
        <v>0.0</v>
      </c>
      <c r="K1424" s="1">
        <v>4.0</v>
      </c>
      <c r="L1424" s="1">
        <v>8.0</v>
      </c>
      <c r="M1424" s="1">
        <v>0.5</v>
      </c>
      <c r="N1424" s="1">
        <v>14.19999981</v>
      </c>
    </row>
    <row r="1425" ht="15.75" customHeight="1">
      <c r="A1425" s="1" t="s">
        <v>164</v>
      </c>
      <c r="B1425" s="1" t="s">
        <v>100</v>
      </c>
      <c r="C1425" s="5">
        <v>45560.0</v>
      </c>
      <c r="D1425" s="1" t="s">
        <v>161</v>
      </c>
      <c r="E1425" s="1" t="s">
        <v>11</v>
      </c>
      <c r="F1425" s="1" t="s">
        <v>171</v>
      </c>
      <c r="H1425" s="1">
        <v>0.0</v>
      </c>
      <c r="I1425" s="1">
        <v>2.0</v>
      </c>
      <c r="J1425" s="1">
        <v>0.0</v>
      </c>
      <c r="K1425" s="1">
        <v>49.0</v>
      </c>
      <c r="L1425" s="1">
        <v>98.0</v>
      </c>
      <c r="M1425" s="1">
        <v>0.5</v>
      </c>
      <c r="N1425" s="1">
        <v>74.97000122</v>
      </c>
    </row>
    <row r="1426" ht="15.75" customHeight="1">
      <c r="A1426" s="1" t="s">
        <v>164</v>
      </c>
      <c r="B1426" s="1" t="s">
        <v>82</v>
      </c>
      <c r="C1426" s="5">
        <v>45560.0</v>
      </c>
      <c r="D1426" s="1" t="s">
        <v>161</v>
      </c>
      <c r="E1426" s="1" t="s">
        <v>11</v>
      </c>
      <c r="F1426" s="1" t="s">
        <v>165</v>
      </c>
      <c r="H1426" s="1">
        <v>0.0</v>
      </c>
      <c r="I1426" s="1">
        <v>1.0</v>
      </c>
      <c r="J1426" s="1">
        <v>0.0</v>
      </c>
      <c r="K1426" s="1">
        <v>2.0</v>
      </c>
      <c r="L1426" s="1">
        <v>2.0</v>
      </c>
      <c r="M1426" s="1">
        <v>1.0</v>
      </c>
      <c r="N1426" s="1">
        <v>1.850000024</v>
      </c>
    </row>
    <row r="1427" ht="15.75" customHeight="1">
      <c r="A1427" s="1" t="s">
        <v>180</v>
      </c>
      <c r="B1427" s="1" t="s">
        <v>220</v>
      </c>
      <c r="C1427" s="5">
        <v>45560.0</v>
      </c>
      <c r="D1427" s="1" t="s">
        <v>161</v>
      </c>
      <c r="E1427" s="1" t="s">
        <v>11</v>
      </c>
      <c r="F1427" s="1" t="s">
        <v>166</v>
      </c>
      <c r="G1427" s="1" t="s">
        <v>163</v>
      </c>
      <c r="H1427" s="1">
        <v>1.0</v>
      </c>
      <c r="I1427" s="1">
        <v>1.0</v>
      </c>
      <c r="J1427" s="1">
        <v>0.0</v>
      </c>
      <c r="K1427" s="1">
        <v>12.0</v>
      </c>
      <c r="L1427" s="1">
        <v>12.0</v>
      </c>
      <c r="M1427" s="1">
        <v>1.0</v>
      </c>
      <c r="N1427" s="1">
        <v>4.1300001139999996</v>
      </c>
    </row>
    <row r="1428" ht="15.75" customHeight="1">
      <c r="A1428" s="1" t="s">
        <v>180</v>
      </c>
      <c r="B1428" s="1" t="s">
        <v>214</v>
      </c>
      <c r="C1428" s="5">
        <v>45560.0</v>
      </c>
      <c r="D1428" s="1" t="s">
        <v>161</v>
      </c>
      <c r="E1428" s="1" t="s">
        <v>11</v>
      </c>
      <c r="F1428" s="1" t="s">
        <v>166</v>
      </c>
      <c r="G1428" s="1" t="s">
        <v>172</v>
      </c>
      <c r="H1428" s="1">
        <v>1.0</v>
      </c>
      <c r="I1428" s="1">
        <v>1.0</v>
      </c>
      <c r="J1428" s="1">
        <v>0.0</v>
      </c>
      <c r="K1428" s="1">
        <v>34.0</v>
      </c>
      <c r="L1428" s="1">
        <v>61.0</v>
      </c>
      <c r="M1428" s="1">
        <v>0.557377049</v>
      </c>
      <c r="N1428" s="1">
        <v>91.88999939</v>
      </c>
    </row>
    <row r="1429" ht="15.75" customHeight="1">
      <c r="A1429" s="1" t="s">
        <v>180</v>
      </c>
      <c r="B1429" s="1" t="s">
        <v>226</v>
      </c>
      <c r="C1429" s="5">
        <v>45560.0</v>
      </c>
      <c r="D1429" s="1" t="s">
        <v>161</v>
      </c>
      <c r="E1429" s="1" t="s">
        <v>11</v>
      </c>
      <c r="F1429" s="1" t="s">
        <v>166</v>
      </c>
      <c r="H1429" s="1">
        <v>0.0</v>
      </c>
      <c r="I1429" s="1">
        <v>0.0</v>
      </c>
      <c r="J1429" s="1">
        <v>0.0</v>
      </c>
      <c r="K1429" s="1">
        <v>3.0</v>
      </c>
      <c r="L1429" s="1">
        <v>14.0</v>
      </c>
      <c r="M1429" s="1">
        <v>0.214285714</v>
      </c>
      <c r="N1429" s="1">
        <v>32.22000122</v>
      </c>
    </row>
    <row r="1430" ht="15.75" customHeight="1">
      <c r="A1430" s="1" t="s">
        <v>160</v>
      </c>
      <c r="B1430" s="1" t="s">
        <v>39</v>
      </c>
      <c r="C1430" s="5">
        <v>45559.0</v>
      </c>
      <c r="D1430" s="1" t="s">
        <v>161</v>
      </c>
      <c r="E1430" s="1" t="s">
        <v>11</v>
      </c>
      <c r="F1430" s="1" t="s">
        <v>162</v>
      </c>
      <c r="G1430" s="1" t="s">
        <v>163</v>
      </c>
      <c r="H1430" s="1">
        <v>1.0</v>
      </c>
      <c r="I1430" s="1">
        <v>0.0</v>
      </c>
      <c r="J1430" s="1">
        <v>0.0</v>
      </c>
      <c r="K1430" s="1">
        <v>3.0</v>
      </c>
      <c r="L1430" s="1">
        <v>5.0</v>
      </c>
      <c r="M1430" s="1">
        <v>0.6</v>
      </c>
      <c r="N1430" s="1">
        <v>12.10000038</v>
      </c>
    </row>
    <row r="1431" ht="15.75" customHeight="1">
      <c r="A1431" s="1" t="s">
        <v>160</v>
      </c>
      <c r="B1431" s="1" t="s">
        <v>39</v>
      </c>
      <c r="C1431" s="5">
        <v>45559.0</v>
      </c>
      <c r="D1431" s="1" t="s">
        <v>161</v>
      </c>
      <c r="E1431" s="1" t="s">
        <v>11</v>
      </c>
      <c r="F1431" s="1" t="s">
        <v>166</v>
      </c>
      <c r="G1431" s="1" t="s">
        <v>163</v>
      </c>
      <c r="H1431" s="1">
        <v>1.0</v>
      </c>
      <c r="I1431" s="1">
        <v>0.0</v>
      </c>
      <c r="J1431" s="1">
        <v>0.0</v>
      </c>
      <c r="K1431" s="1">
        <v>0.0</v>
      </c>
      <c r="L1431" s="1">
        <v>0.0</v>
      </c>
      <c r="N1431" s="1">
        <v>0.0</v>
      </c>
    </row>
    <row r="1432" ht="15.75" customHeight="1">
      <c r="A1432" s="1" t="s">
        <v>160</v>
      </c>
      <c r="B1432" s="1" t="s">
        <v>230</v>
      </c>
      <c r="C1432" s="5">
        <v>45559.0</v>
      </c>
      <c r="D1432" s="1" t="s">
        <v>161</v>
      </c>
      <c r="E1432" s="1" t="s">
        <v>11</v>
      </c>
      <c r="F1432" s="1" t="s">
        <v>165</v>
      </c>
      <c r="H1432" s="1">
        <v>0.0</v>
      </c>
      <c r="I1432" s="1">
        <v>0.0</v>
      </c>
      <c r="J1432" s="1">
        <v>0.0</v>
      </c>
      <c r="K1432" s="1">
        <v>1.0</v>
      </c>
      <c r="L1432" s="1">
        <v>12.0</v>
      </c>
      <c r="M1432" s="1">
        <v>0.083333333</v>
      </c>
      <c r="N1432" s="1">
        <v>48.75999832</v>
      </c>
    </row>
    <row r="1433" ht="15.75" customHeight="1">
      <c r="A1433" s="1" t="s">
        <v>160</v>
      </c>
      <c r="B1433" s="1" t="s">
        <v>77</v>
      </c>
      <c r="C1433" s="5">
        <v>45559.0</v>
      </c>
      <c r="D1433" s="1" t="s">
        <v>161</v>
      </c>
      <c r="E1433" s="1" t="s">
        <v>11</v>
      </c>
      <c r="F1433" s="1" t="s">
        <v>162</v>
      </c>
      <c r="G1433" s="1" t="s">
        <v>229</v>
      </c>
      <c r="H1433" s="1">
        <v>1.0</v>
      </c>
      <c r="I1433" s="1">
        <v>1.0</v>
      </c>
      <c r="J1433" s="1">
        <v>0.0</v>
      </c>
      <c r="K1433" s="1">
        <v>8.0</v>
      </c>
      <c r="L1433" s="1">
        <v>12.0</v>
      </c>
      <c r="M1433" s="1">
        <v>0.666666667</v>
      </c>
      <c r="N1433" s="1">
        <v>13.75</v>
      </c>
    </row>
    <row r="1434" ht="15.75" customHeight="1">
      <c r="A1434" s="1" t="s">
        <v>164</v>
      </c>
      <c r="B1434" s="1" t="s">
        <v>22</v>
      </c>
      <c r="C1434" s="5">
        <v>45559.0</v>
      </c>
      <c r="D1434" s="1" t="s">
        <v>161</v>
      </c>
      <c r="E1434" s="1" t="s">
        <v>11</v>
      </c>
      <c r="F1434" s="1" t="s">
        <v>166</v>
      </c>
      <c r="H1434" s="1">
        <v>0.0</v>
      </c>
      <c r="I1434" s="1">
        <v>0.0</v>
      </c>
      <c r="J1434" s="1">
        <v>0.0</v>
      </c>
      <c r="K1434" s="1">
        <v>10.0</v>
      </c>
      <c r="L1434" s="1">
        <v>20.0</v>
      </c>
      <c r="M1434" s="1">
        <v>0.5</v>
      </c>
      <c r="N1434" s="1">
        <v>19.82999992</v>
      </c>
    </row>
    <row r="1435" ht="15.75" customHeight="1">
      <c r="A1435" s="1" t="s">
        <v>164</v>
      </c>
      <c r="B1435" s="1" t="s">
        <v>35</v>
      </c>
      <c r="C1435" s="5">
        <v>45559.0</v>
      </c>
      <c r="D1435" s="1" t="s">
        <v>161</v>
      </c>
      <c r="E1435" s="1" t="s">
        <v>11</v>
      </c>
      <c r="F1435" s="1" t="s">
        <v>177</v>
      </c>
      <c r="H1435" s="1">
        <v>0.0</v>
      </c>
      <c r="I1435" s="1">
        <v>1.0</v>
      </c>
      <c r="J1435" s="1">
        <v>0.0</v>
      </c>
      <c r="K1435" s="1">
        <v>13.0</v>
      </c>
      <c r="L1435" s="1">
        <v>16.0</v>
      </c>
      <c r="M1435" s="1">
        <v>0.8125</v>
      </c>
      <c r="N1435" s="1">
        <v>10.44999981</v>
      </c>
    </row>
    <row r="1436" ht="15.75" customHeight="1">
      <c r="A1436" s="1" t="s">
        <v>164</v>
      </c>
      <c r="B1436" s="1" t="s">
        <v>35</v>
      </c>
      <c r="C1436" s="5">
        <v>45559.0</v>
      </c>
      <c r="D1436" s="1" t="s">
        <v>161</v>
      </c>
      <c r="E1436" s="1" t="s">
        <v>11</v>
      </c>
      <c r="F1436" s="1" t="s">
        <v>166</v>
      </c>
      <c r="H1436" s="1">
        <v>0.0</v>
      </c>
      <c r="I1436" s="1">
        <v>0.0</v>
      </c>
      <c r="J1436" s="1">
        <v>0.0</v>
      </c>
      <c r="K1436" s="1">
        <v>0.0</v>
      </c>
      <c r="L1436" s="1">
        <v>0.0</v>
      </c>
      <c r="N1436" s="1">
        <v>0.0</v>
      </c>
    </row>
    <row r="1437" ht="15.75" customHeight="1">
      <c r="A1437" s="1" t="s">
        <v>164</v>
      </c>
      <c r="B1437" s="1" t="s">
        <v>52</v>
      </c>
      <c r="C1437" s="5">
        <v>45559.0</v>
      </c>
      <c r="D1437" s="1" t="s">
        <v>161</v>
      </c>
      <c r="E1437" s="1" t="s">
        <v>11</v>
      </c>
      <c r="F1437" s="1" t="s">
        <v>165</v>
      </c>
      <c r="H1437" s="1">
        <v>0.0</v>
      </c>
      <c r="I1437" s="1">
        <v>0.0</v>
      </c>
      <c r="J1437" s="1">
        <v>0.0</v>
      </c>
      <c r="K1437" s="1">
        <v>2.0</v>
      </c>
      <c r="L1437" s="1">
        <v>3.0</v>
      </c>
      <c r="M1437" s="1">
        <v>0.666666667</v>
      </c>
      <c r="N1437" s="1">
        <v>2.859999895</v>
      </c>
    </row>
    <row r="1438" ht="15.75" customHeight="1">
      <c r="A1438" s="1" t="s">
        <v>164</v>
      </c>
      <c r="B1438" s="1" t="s">
        <v>55</v>
      </c>
      <c r="C1438" s="5">
        <v>45559.0</v>
      </c>
      <c r="D1438" s="1" t="s">
        <v>161</v>
      </c>
      <c r="E1438" s="1" t="s">
        <v>11</v>
      </c>
      <c r="F1438" s="1" t="s">
        <v>166</v>
      </c>
      <c r="H1438" s="1">
        <v>0.0</v>
      </c>
      <c r="I1438" s="1">
        <v>0.0</v>
      </c>
      <c r="J1438" s="1">
        <v>0.0</v>
      </c>
      <c r="K1438" s="1">
        <v>3.0</v>
      </c>
      <c r="L1438" s="1">
        <v>8.0</v>
      </c>
      <c r="M1438" s="1">
        <v>0.375</v>
      </c>
      <c r="N1438" s="1">
        <v>12.32999992</v>
      </c>
    </row>
    <row r="1439" ht="15.75" customHeight="1">
      <c r="A1439" s="1" t="s">
        <v>164</v>
      </c>
      <c r="B1439" s="1" t="s">
        <v>60</v>
      </c>
      <c r="C1439" s="5">
        <v>45559.0</v>
      </c>
      <c r="D1439" s="1" t="s">
        <v>161</v>
      </c>
      <c r="E1439" s="1" t="s">
        <v>11</v>
      </c>
      <c r="F1439" s="1" t="s">
        <v>166</v>
      </c>
      <c r="H1439" s="1">
        <v>0.0</v>
      </c>
      <c r="I1439" s="1">
        <v>0.0</v>
      </c>
      <c r="J1439" s="1">
        <v>0.0</v>
      </c>
      <c r="K1439" s="1">
        <v>3.0</v>
      </c>
      <c r="L1439" s="1">
        <v>5.0</v>
      </c>
      <c r="M1439" s="1">
        <v>0.6</v>
      </c>
      <c r="N1439" s="1">
        <v>13.21000004</v>
      </c>
    </row>
    <row r="1440" ht="15.75" customHeight="1">
      <c r="A1440" s="1" t="s">
        <v>164</v>
      </c>
      <c r="B1440" s="1" t="s">
        <v>63</v>
      </c>
      <c r="C1440" s="5">
        <v>45559.0</v>
      </c>
      <c r="D1440" s="1" t="s">
        <v>161</v>
      </c>
      <c r="E1440" s="1" t="s">
        <v>11</v>
      </c>
      <c r="F1440" s="1" t="s">
        <v>166</v>
      </c>
      <c r="H1440" s="1">
        <v>0.0</v>
      </c>
      <c r="I1440" s="1">
        <v>1.0</v>
      </c>
      <c r="J1440" s="1">
        <v>0.0</v>
      </c>
      <c r="K1440" s="1">
        <v>12.0</v>
      </c>
      <c r="L1440" s="1">
        <v>14.0</v>
      </c>
      <c r="M1440" s="1">
        <v>0.857142857</v>
      </c>
      <c r="N1440" s="1">
        <v>15.0</v>
      </c>
    </row>
    <row r="1441" ht="15.75" customHeight="1">
      <c r="A1441" s="1" t="s">
        <v>164</v>
      </c>
      <c r="B1441" s="1" t="s">
        <v>183</v>
      </c>
      <c r="C1441" s="5">
        <v>45559.0</v>
      </c>
      <c r="D1441" s="1" t="s">
        <v>161</v>
      </c>
      <c r="E1441" s="1" t="s">
        <v>11</v>
      </c>
      <c r="F1441" s="1" t="s">
        <v>166</v>
      </c>
      <c r="G1441" s="1" t="s">
        <v>201</v>
      </c>
      <c r="H1441" s="1">
        <v>1.0</v>
      </c>
      <c r="I1441" s="1">
        <v>1.0</v>
      </c>
      <c r="J1441" s="1">
        <v>0.0</v>
      </c>
      <c r="K1441" s="1">
        <v>30.0</v>
      </c>
      <c r="L1441" s="1">
        <v>43.0</v>
      </c>
      <c r="M1441" s="1">
        <v>0.697674419</v>
      </c>
      <c r="N1441" s="1">
        <v>22.25</v>
      </c>
    </row>
    <row r="1442" ht="15.75" customHeight="1">
      <c r="A1442" s="1" t="s">
        <v>164</v>
      </c>
      <c r="B1442" s="1" t="s">
        <v>68</v>
      </c>
      <c r="C1442" s="5">
        <v>45559.0</v>
      </c>
      <c r="D1442" s="1" t="s">
        <v>161</v>
      </c>
      <c r="E1442" s="1" t="s">
        <v>11</v>
      </c>
      <c r="F1442" s="1" t="s">
        <v>165</v>
      </c>
      <c r="H1442" s="1">
        <v>0.0</v>
      </c>
      <c r="I1442" s="1">
        <v>1.0</v>
      </c>
      <c r="J1442" s="1">
        <v>0.0</v>
      </c>
      <c r="K1442" s="1">
        <v>11.0</v>
      </c>
      <c r="L1442" s="1">
        <v>25.0</v>
      </c>
      <c r="M1442" s="1">
        <v>0.44</v>
      </c>
      <c r="N1442" s="1">
        <v>17.52000046</v>
      </c>
    </row>
    <row r="1443" ht="15.75" customHeight="1">
      <c r="A1443" s="1" t="s">
        <v>164</v>
      </c>
      <c r="B1443" s="1" t="s">
        <v>205</v>
      </c>
      <c r="C1443" s="5">
        <v>45559.0</v>
      </c>
      <c r="D1443" s="1" t="s">
        <v>161</v>
      </c>
      <c r="E1443" s="1" t="s">
        <v>11</v>
      </c>
      <c r="F1443" s="1" t="s">
        <v>166</v>
      </c>
      <c r="G1443" s="1" t="s">
        <v>172</v>
      </c>
      <c r="H1443" s="1">
        <v>1.0</v>
      </c>
      <c r="I1443" s="1">
        <v>0.0</v>
      </c>
      <c r="J1443" s="1">
        <v>0.0</v>
      </c>
      <c r="K1443" s="1">
        <v>2.0</v>
      </c>
      <c r="L1443" s="1">
        <v>8.0</v>
      </c>
      <c r="M1443" s="1">
        <v>0.25</v>
      </c>
      <c r="N1443" s="1">
        <v>13.44999981</v>
      </c>
    </row>
    <row r="1444" ht="15.75" customHeight="1">
      <c r="A1444" s="1" t="s">
        <v>164</v>
      </c>
      <c r="B1444" s="1" t="s">
        <v>75</v>
      </c>
      <c r="C1444" s="5">
        <v>45559.0</v>
      </c>
      <c r="D1444" s="1" t="s">
        <v>161</v>
      </c>
      <c r="E1444" s="1" t="s">
        <v>11</v>
      </c>
      <c r="F1444" s="1" t="s">
        <v>165</v>
      </c>
      <c r="H1444" s="1">
        <v>0.0</v>
      </c>
      <c r="I1444" s="1">
        <v>0.0</v>
      </c>
      <c r="J1444" s="1">
        <v>0.0</v>
      </c>
      <c r="K1444" s="1">
        <v>2.0</v>
      </c>
      <c r="L1444" s="1">
        <v>10.0</v>
      </c>
      <c r="M1444" s="1">
        <v>0.2</v>
      </c>
      <c r="N1444" s="1">
        <v>20.35000038</v>
      </c>
    </row>
    <row r="1445" ht="15.75" customHeight="1">
      <c r="A1445" s="1" t="s">
        <v>164</v>
      </c>
      <c r="B1445" s="1" t="s">
        <v>100</v>
      </c>
      <c r="C1445" s="5">
        <v>45559.0</v>
      </c>
      <c r="D1445" s="1" t="s">
        <v>161</v>
      </c>
      <c r="E1445" s="1" t="s">
        <v>11</v>
      </c>
      <c r="F1445" s="1" t="s">
        <v>171</v>
      </c>
      <c r="H1445" s="1">
        <v>0.0</v>
      </c>
      <c r="I1445" s="1">
        <v>2.0</v>
      </c>
      <c r="J1445" s="1">
        <v>0.0</v>
      </c>
      <c r="K1445" s="1">
        <v>45.0</v>
      </c>
      <c r="L1445" s="1">
        <v>63.0</v>
      </c>
      <c r="M1445" s="1">
        <v>0.714285714</v>
      </c>
      <c r="N1445" s="1">
        <v>39.20999908</v>
      </c>
    </row>
    <row r="1446" ht="15.75" customHeight="1">
      <c r="A1446" s="1" t="s">
        <v>164</v>
      </c>
      <c r="B1446" s="1" t="s">
        <v>82</v>
      </c>
      <c r="C1446" s="5">
        <v>45559.0</v>
      </c>
      <c r="D1446" s="1" t="s">
        <v>161</v>
      </c>
      <c r="E1446" s="1" t="s">
        <v>11</v>
      </c>
      <c r="F1446" s="1" t="s">
        <v>165</v>
      </c>
      <c r="H1446" s="1">
        <v>0.0</v>
      </c>
      <c r="I1446" s="1">
        <v>0.0</v>
      </c>
      <c r="J1446" s="1">
        <v>0.0</v>
      </c>
      <c r="K1446" s="1">
        <v>10.0</v>
      </c>
      <c r="L1446" s="1">
        <v>10.0</v>
      </c>
      <c r="M1446" s="1">
        <v>1.0</v>
      </c>
      <c r="N1446" s="1">
        <v>6.550000191</v>
      </c>
    </row>
    <row r="1447" ht="15.75" customHeight="1">
      <c r="A1447" s="1" t="s">
        <v>180</v>
      </c>
      <c r="B1447" s="1" t="s">
        <v>220</v>
      </c>
      <c r="C1447" s="5">
        <v>45559.0</v>
      </c>
      <c r="D1447" s="1" t="s">
        <v>161</v>
      </c>
      <c r="E1447" s="1" t="s">
        <v>11</v>
      </c>
      <c r="F1447" s="1" t="s">
        <v>166</v>
      </c>
      <c r="H1447" s="1">
        <v>0.0</v>
      </c>
      <c r="I1447" s="1">
        <v>0.0</v>
      </c>
      <c r="J1447" s="1">
        <v>0.0</v>
      </c>
      <c r="K1447" s="1">
        <v>0.0</v>
      </c>
      <c r="L1447" s="1">
        <v>0.0</v>
      </c>
      <c r="N1447" s="1">
        <v>0.0</v>
      </c>
    </row>
    <row r="1448" ht="15.75" customHeight="1">
      <c r="A1448" s="1" t="s">
        <v>180</v>
      </c>
      <c r="B1448" s="1" t="s">
        <v>220</v>
      </c>
      <c r="C1448" s="5">
        <v>45559.0</v>
      </c>
      <c r="D1448" s="1" t="s">
        <v>161</v>
      </c>
      <c r="E1448" s="1" t="s">
        <v>11</v>
      </c>
      <c r="F1448" s="1" t="s">
        <v>169</v>
      </c>
      <c r="H1448" s="1">
        <v>0.0</v>
      </c>
      <c r="I1448" s="1">
        <v>1.0</v>
      </c>
      <c r="J1448" s="1">
        <v>0.0</v>
      </c>
      <c r="K1448" s="1">
        <v>14.0</v>
      </c>
      <c r="L1448" s="1">
        <v>17.0</v>
      </c>
      <c r="M1448" s="1">
        <v>0.823529412</v>
      </c>
      <c r="N1448" s="1">
        <v>11.81000042</v>
      </c>
    </row>
    <row r="1449" ht="15.75" customHeight="1">
      <c r="A1449" s="1" t="s">
        <v>180</v>
      </c>
      <c r="B1449" s="1" t="s">
        <v>214</v>
      </c>
      <c r="C1449" s="5">
        <v>45559.0</v>
      </c>
      <c r="D1449" s="1" t="s">
        <v>161</v>
      </c>
      <c r="E1449" s="1" t="s">
        <v>11</v>
      </c>
      <c r="F1449" s="1" t="s">
        <v>166</v>
      </c>
      <c r="G1449" s="1" t="s">
        <v>172</v>
      </c>
      <c r="H1449" s="1">
        <v>1.0</v>
      </c>
      <c r="I1449" s="1">
        <v>0.0</v>
      </c>
      <c r="J1449" s="1">
        <v>0.0</v>
      </c>
      <c r="K1449" s="1">
        <v>2.0</v>
      </c>
      <c r="L1449" s="1">
        <v>12.0</v>
      </c>
      <c r="M1449" s="1">
        <v>0.166666667</v>
      </c>
      <c r="N1449" s="1">
        <v>16.15999985</v>
      </c>
    </row>
    <row r="1450" ht="15.75" customHeight="1">
      <c r="A1450" s="1" t="s">
        <v>180</v>
      </c>
      <c r="B1450" s="1" t="s">
        <v>226</v>
      </c>
      <c r="C1450" s="5">
        <v>45559.0</v>
      </c>
      <c r="D1450" s="1" t="s">
        <v>161</v>
      </c>
      <c r="E1450" s="1" t="s">
        <v>11</v>
      </c>
      <c r="F1450" s="1" t="s">
        <v>166</v>
      </c>
      <c r="H1450" s="1">
        <v>0.0</v>
      </c>
      <c r="I1450" s="1">
        <v>1.0</v>
      </c>
      <c r="J1450" s="1">
        <v>0.0</v>
      </c>
      <c r="K1450" s="1">
        <v>20.0</v>
      </c>
      <c r="L1450" s="1">
        <v>26.0</v>
      </c>
      <c r="M1450" s="1">
        <v>0.769230769</v>
      </c>
      <c r="N1450" s="1">
        <v>27.47999954</v>
      </c>
    </row>
    <row r="1451" ht="15.75" customHeight="1">
      <c r="A1451" s="1" t="s">
        <v>160</v>
      </c>
      <c r="B1451" s="1" t="s">
        <v>20</v>
      </c>
      <c r="C1451" s="5">
        <v>45558.0</v>
      </c>
      <c r="D1451" s="1" t="s">
        <v>161</v>
      </c>
      <c r="E1451" s="1" t="s">
        <v>11</v>
      </c>
      <c r="F1451" s="1" t="s">
        <v>162</v>
      </c>
      <c r="H1451" s="1">
        <v>0.0</v>
      </c>
      <c r="I1451" s="1">
        <v>0.0</v>
      </c>
      <c r="J1451" s="1">
        <v>0.0</v>
      </c>
      <c r="K1451" s="1">
        <v>10.0</v>
      </c>
      <c r="L1451" s="1">
        <v>21.0</v>
      </c>
      <c r="M1451" s="1">
        <v>0.476190476</v>
      </c>
      <c r="N1451" s="1">
        <v>16.89999962</v>
      </c>
    </row>
    <row r="1452" ht="15.75" customHeight="1">
      <c r="A1452" s="1" t="s">
        <v>160</v>
      </c>
      <c r="B1452" s="1" t="s">
        <v>95</v>
      </c>
      <c r="C1452" s="5">
        <v>45558.0</v>
      </c>
      <c r="D1452" s="1" t="s">
        <v>161</v>
      </c>
      <c r="E1452" s="1" t="s">
        <v>11</v>
      </c>
      <c r="H1452" s="1">
        <v>0.0</v>
      </c>
      <c r="J1452" s="1">
        <v>0.0</v>
      </c>
      <c r="N1452" s="1">
        <v>5.480000019</v>
      </c>
    </row>
    <row r="1453" ht="15.75" customHeight="1">
      <c r="A1453" s="1" t="s">
        <v>164</v>
      </c>
      <c r="B1453" s="1" t="s">
        <v>22</v>
      </c>
      <c r="C1453" s="5">
        <v>45558.0</v>
      </c>
      <c r="D1453" s="1" t="s">
        <v>161</v>
      </c>
      <c r="E1453" s="1" t="s">
        <v>11</v>
      </c>
      <c r="F1453" s="1" t="s">
        <v>166</v>
      </c>
      <c r="H1453" s="1">
        <v>0.0</v>
      </c>
      <c r="I1453" s="1">
        <v>0.0</v>
      </c>
      <c r="J1453" s="1">
        <v>0.0</v>
      </c>
      <c r="K1453" s="1">
        <v>5.0</v>
      </c>
      <c r="L1453" s="1">
        <v>14.0</v>
      </c>
      <c r="M1453" s="1">
        <v>0.357142857</v>
      </c>
      <c r="N1453" s="1">
        <v>28.84000015</v>
      </c>
    </row>
    <row r="1454" ht="15.75" customHeight="1">
      <c r="A1454" s="1" t="s">
        <v>164</v>
      </c>
      <c r="B1454" s="1" t="s">
        <v>207</v>
      </c>
      <c r="C1454" s="5">
        <v>45558.0</v>
      </c>
      <c r="D1454" s="1" t="s">
        <v>161</v>
      </c>
      <c r="E1454" s="1" t="s">
        <v>11</v>
      </c>
      <c r="F1454" s="1" t="s">
        <v>166</v>
      </c>
      <c r="G1454" s="1" t="s">
        <v>172</v>
      </c>
      <c r="H1454" s="1">
        <v>1.0</v>
      </c>
      <c r="I1454" s="1">
        <v>3.0</v>
      </c>
      <c r="J1454" s="1">
        <v>0.0</v>
      </c>
      <c r="K1454" s="1">
        <v>47.0</v>
      </c>
      <c r="L1454" s="1">
        <v>60.0</v>
      </c>
      <c r="M1454" s="1">
        <v>0.783333333</v>
      </c>
      <c r="N1454" s="1">
        <v>59.95999908</v>
      </c>
    </row>
    <row r="1455" ht="15.75" customHeight="1">
      <c r="A1455" s="1" t="s">
        <v>164</v>
      </c>
      <c r="B1455" s="1" t="s">
        <v>52</v>
      </c>
      <c r="C1455" s="5">
        <v>45558.0</v>
      </c>
      <c r="D1455" s="1" t="s">
        <v>161</v>
      </c>
      <c r="E1455" s="1" t="s">
        <v>11</v>
      </c>
      <c r="F1455" s="1" t="s">
        <v>165</v>
      </c>
      <c r="H1455" s="1">
        <v>0.0</v>
      </c>
      <c r="I1455" s="1">
        <v>0.0</v>
      </c>
      <c r="J1455" s="1">
        <v>0.0</v>
      </c>
      <c r="K1455" s="1">
        <v>1.0</v>
      </c>
      <c r="L1455" s="1">
        <v>4.0</v>
      </c>
      <c r="M1455" s="1">
        <v>0.25</v>
      </c>
      <c r="N1455" s="1">
        <v>5.690000057</v>
      </c>
    </row>
    <row r="1456" ht="15.75" customHeight="1">
      <c r="A1456" s="1" t="s">
        <v>164</v>
      </c>
      <c r="B1456" s="1" t="s">
        <v>196</v>
      </c>
      <c r="C1456" s="5">
        <v>45558.0</v>
      </c>
      <c r="D1456" s="1" t="s">
        <v>161</v>
      </c>
      <c r="E1456" s="1" t="s">
        <v>11</v>
      </c>
      <c r="H1456" s="1">
        <v>0.0</v>
      </c>
      <c r="J1456" s="1">
        <v>0.0</v>
      </c>
      <c r="N1456" s="1">
        <v>0.07</v>
      </c>
    </row>
    <row r="1457" ht="15.75" customHeight="1">
      <c r="A1457" s="1" t="s">
        <v>164</v>
      </c>
      <c r="B1457" s="1" t="s">
        <v>63</v>
      </c>
      <c r="C1457" s="5">
        <v>45558.0</v>
      </c>
      <c r="D1457" s="1" t="s">
        <v>161</v>
      </c>
      <c r="E1457" s="1" t="s">
        <v>11</v>
      </c>
      <c r="F1457" s="1" t="s">
        <v>166</v>
      </c>
      <c r="H1457" s="1">
        <v>0.0</v>
      </c>
      <c r="I1457" s="1">
        <v>0.0</v>
      </c>
      <c r="J1457" s="1">
        <v>0.0</v>
      </c>
      <c r="K1457" s="1">
        <v>4.0</v>
      </c>
      <c r="L1457" s="1">
        <v>10.0</v>
      </c>
      <c r="M1457" s="1">
        <v>0.4</v>
      </c>
      <c r="N1457" s="1">
        <v>10.39000034</v>
      </c>
    </row>
    <row r="1458" ht="15.75" customHeight="1">
      <c r="A1458" s="1" t="s">
        <v>164</v>
      </c>
      <c r="B1458" s="1" t="s">
        <v>183</v>
      </c>
      <c r="C1458" s="5">
        <v>45558.0</v>
      </c>
      <c r="D1458" s="1" t="s">
        <v>161</v>
      </c>
      <c r="E1458" s="1" t="s">
        <v>11</v>
      </c>
      <c r="F1458" s="1" t="s">
        <v>166</v>
      </c>
      <c r="H1458" s="1">
        <v>0.0</v>
      </c>
      <c r="I1458" s="1">
        <v>1.0</v>
      </c>
      <c r="J1458" s="1">
        <v>0.0</v>
      </c>
      <c r="K1458" s="1">
        <v>4.0</v>
      </c>
      <c r="L1458" s="1">
        <v>5.0</v>
      </c>
      <c r="M1458" s="1">
        <v>0.8</v>
      </c>
      <c r="N1458" s="1">
        <v>14.03999996</v>
      </c>
    </row>
    <row r="1459" ht="15.75" customHeight="1">
      <c r="A1459" s="1" t="s">
        <v>164</v>
      </c>
      <c r="B1459" s="1" t="s">
        <v>68</v>
      </c>
      <c r="C1459" s="5">
        <v>45558.0</v>
      </c>
      <c r="D1459" s="1" t="s">
        <v>161</v>
      </c>
      <c r="E1459" s="1" t="s">
        <v>11</v>
      </c>
      <c r="F1459" s="1" t="s">
        <v>165</v>
      </c>
      <c r="H1459" s="1">
        <v>0.0</v>
      </c>
      <c r="I1459" s="1">
        <v>0.0</v>
      </c>
      <c r="J1459" s="1">
        <v>0.0</v>
      </c>
      <c r="K1459" s="1">
        <v>17.0</v>
      </c>
      <c r="L1459" s="1">
        <v>23.0</v>
      </c>
      <c r="M1459" s="1">
        <v>0.739130435</v>
      </c>
      <c r="N1459" s="1">
        <v>13.30000019</v>
      </c>
    </row>
    <row r="1460" ht="15.75" customHeight="1">
      <c r="A1460" s="1" t="s">
        <v>164</v>
      </c>
      <c r="B1460" s="1" t="s">
        <v>197</v>
      </c>
      <c r="C1460" s="5">
        <v>45558.0</v>
      </c>
      <c r="D1460" s="1" t="s">
        <v>161</v>
      </c>
      <c r="E1460" s="1" t="s">
        <v>11</v>
      </c>
      <c r="F1460" s="1" t="s">
        <v>166</v>
      </c>
      <c r="H1460" s="1">
        <v>0.0</v>
      </c>
      <c r="I1460" s="1">
        <v>0.0</v>
      </c>
      <c r="J1460" s="1">
        <v>0.0</v>
      </c>
      <c r="K1460" s="1">
        <v>0.0</v>
      </c>
      <c r="L1460" s="1">
        <v>1.0</v>
      </c>
      <c r="M1460" s="1">
        <v>0.0</v>
      </c>
      <c r="N1460" s="1">
        <v>5.210000038</v>
      </c>
    </row>
    <row r="1461" ht="15.75" customHeight="1">
      <c r="A1461" s="1" t="s">
        <v>164</v>
      </c>
      <c r="B1461" s="1" t="s">
        <v>205</v>
      </c>
      <c r="C1461" s="5">
        <v>45558.0</v>
      </c>
      <c r="D1461" s="1" t="s">
        <v>161</v>
      </c>
      <c r="E1461" s="1" t="s">
        <v>11</v>
      </c>
      <c r="F1461" s="1" t="s">
        <v>166</v>
      </c>
      <c r="H1461" s="1">
        <v>0.0</v>
      </c>
      <c r="I1461" s="1">
        <v>1.0</v>
      </c>
      <c r="J1461" s="1">
        <v>0.0</v>
      </c>
      <c r="K1461" s="1">
        <v>20.0</v>
      </c>
      <c r="L1461" s="1">
        <v>38.0</v>
      </c>
      <c r="M1461" s="1">
        <v>0.526315789</v>
      </c>
      <c r="N1461" s="1">
        <v>42.52000046</v>
      </c>
    </row>
    <row r="1462" ht="15.75" customHeight="1">
      <c r="A1462" s="1" t="s">
        <v>164</v>
      </c>
      <c r="B1462" s="1" t="s">
        <v>75</v>
      </c>
      <c r="C1462" s="5">
        <v>45558.0</v>
      </c>
      <c r="D1462" s="1" t="s">
        <v>161</v>
      </c>
      <c r="E1462" s="1" t="s">
        <v>11</v>
      </c>
      <c r="F1462" s="1" t="s">
        <v>165</v>
      </c>
      <c r="H1462" s="1">
        <v>0.0</v>
      </c>
      <c r="I1462" s="1">
        <v>0.0</v>
      </c>
      <c r="J1462" s="1">
        <v>0.0</v>
      </c>
      <c r="K1462" s="1">
        <v>1.0</v>
      </c>
      <c r="L1462" s="1">
        <v>2.0</v>
      </c>
      <c r="M1462" s="1">
        <v>0.5</v>
      </c>
      <c r="N1462" s="1">
        <v>9.010000229</v>
      </c>
    </row>
    <row r="1463" ht="15.75" customHeight="1">
      <c r="A1463" s="1" t="s">
        <v>164</v>
      </c>
      <c r="B1463" s="1" t="s">
        <v>100</v>
      </c>
      <c r="C1463" s="5">
        <v>45558.0</v>
      </c>
      <c r="D1463" s="1" t="s">
        <v>161</v>
      </c>
      <c r="E1463" s="1" t="s">
        <v>11</v>
      </c>
      <c r="F1463" s="1" t="s">
        <v>171</v>
      </c>
      <c r="G1463" s="1" t="s">
        <v>172</v>
      </c>
      <c r="H1463" s="1">
        <v>1.0</v>
      </c>
      <c r="I1463" s="1">
        <v>2.0</v>
      </c>
      <c r="J1463" s="1">
        <v>0.0</v>
      </c>
      <c r="K1463" s="1">
        <v>45.0</v>
      </c>
      <c r="L1463" s="1">
        <v>65.0</v>
      </c>
      <c r="M1463" s="1">
        <v>0.692307692</v>
      </c>
      <c r="N1463" s="1">
        <v>36.20999908</v>
      </c>
    </row>
    <row r="1464" ht="15.75" customHeight="1">
      <c r="A1464" s="1" t="s">
        <v>164</v>
      </c>
      <c r="B1464" s="1" t="s">
        <v>82</v>
      </c>
      <c r="C1464" s="5">
        <v>45558.0</v>
      </c>
      <c r="D1464" s="1" t="s">
        <v>161</v>
      </c>
      <c r="E1464" s="1" t="s">
        <v>11</v>
      </c>
      <c r="F1464" s="1" t="s">
        <v>165</v>
      </c>
      <c r="H1464" s="1">
        <v>0.0</v>
      </c>
      <c r="I1464" s="1">
        <v>1.0</v>
      </c>
      <c r="J1464" s="1">
        <v>0.0</v>
      </c>
      <c r="K1464" s="1">
        <v>17.0</v>
      </c>
      <c r="L1464" s="1">
        <v>22.0</v>
      </c>
      <c r="M1464" s="1">
        <v>0.772727273</v>
      </c>
      <c r="N1464" s="1">
        <v>13.51000023</v>
      </c>
    </row>
    <row r="1465" ht="15.75" customHeight="1">
      <c r="A1465" s="1" t="s">
        <v>180</v>
      </c>
      <c r="B1465" s="1" t="s">
        <v>214</v>
      </c>
      <c r="C1465" s="5">
        <v>45558.0</v>
      </c>
      <c r="D1465" s="1" t="s">
        <v>161</v>
      </c>
      <c r="E1465" s="1" t="s">
        <v>11</v>
      </c>
      <c r="F1465" s="1" t="s">
        <v>166</v>
      </c>
      <c r="H1465" s="1">
        <v>0.0</v>
      </c>
      <c r="I1465" s="1">
        <v>1.0</v>
      </c>
      <c r="J1465" s="1">
        <v>0.0</v>
      </c>
      <c r="K1465" s="1">
        <v>13.0</v>
      </c>
      <c r="L1465" s="1">
        <v>16.0</v>
      </c>
      <c r="M1465" s="1">
        <v>0.8125</v>
      </c>
      <c r="N1465" s="1">
        <v>8.5</v>
      </c>
    </row>
    <row r="1466" ht="15.75" customHeight="1">
      <c r="A1466" s="1" t="s">
        <v>180</v>
      </c>
      <c r="B1466" s="1" t="s">
        <v>226</v>
      </c>
      <c r="C1466" s="5">
        <v>45558.0</v>
      </c>
      <c r="D1466" s="1" t="s">
        <v>161</v>
      </c>
      <c r="E1466" s="1" t="s">
        <v>11</v>
      </c>
      <c r="F1466" s="1" t="s">
        <v>166</v>
      </c>
      <c r="G1466" s="1" t="s">
        <v>172</v>
      </c>
      <c r="H1466" s="1">
        <v>1.0</v>
      </c>
      <c r="I1466" s="1">
        <v>1.0</v>
      </c>
      <c r="J1466" s="1">
        <v>0.0</v>
      </c>
      <c r="K1466" s="1">
        <v>18.0</v>
      </c>
      <c r="L1466" s="1">
        <v>29.0</v>
      </c>
      <c r="M1466" s="1">
        <v>0.620689655</v>
      </c>
      <c r="N1466" s="1">
        <v>45.72999954</v>
      </c>
    </row>
    <row r="1467" ht="15.75" customHeight="1">
      <c r="A1467" s="1" t="s">
        <v>164</v>
      </c>
      <c r="B1467" s="1" t="s">
        <v>24</v>
      </c>
      <c r="C1467" s="5">
        <v>45557.0</v>
      </c>
      <c r="D1467" s="1" t="s">
        <v>161</v>
      </c>
      <c r="E1467" s="1" t="s">
        <v>11</v>
      </c>
      <c r="F1467" s="1" t="s">
        <v>166</v>
      </c>
      <c r="H1467" s="1">
        <v>0.0</v>
      </c>
      <c r="I1467" s="1">
        <v>2.0</v>
      </c>
      <c r="J1467" s="1">
        <v>0.0</v>
      </c>
      <c r="K1467" s="1">
        <v>32.0</v>
      </c>
      <c r="L1467" s="1">
        <v>46.0</v>
      </c>
      <c r="M1467" s="1">
        <v>0.695652174</v>
      </c>
      <c r="N1467" s="1">
        <v>80.36000061</v>
      </c>
    </row>
    <row r="1468" ht="15.75" customHeight="1">
      <c r="A1468" s="1" t="s">
        <v>180</v>
      </c>
      <c r="B1468" s="1" t="s">
        <v>214</v>
      </c>
      <c r="C1468" s="5">
        <v>45557.0</v>
      </c>
      <c r="D1468" s="1" t="s">
        <v>161</v>
      </c>
      <c r="E1468" s="1" t="s">
        <v>11</v>
      </c>
      <c r="F1468" s="1" t="s">
        <v>166</v>
      </c>
      <c r="H1468" s="1">
        <v>0.0</v>
      </c>
      <c r="I1468" s="1">
        <v>1.0</v>
      </c>
      <c r="J1468" s="1">
        <v>0.0</v>
      </c>
      <c r="K1468" s="1">
        <v>16.0</v>
      </c>
      <c r="L1468" s="1">
        <v>19.0</v>
      </c>
      <c r="M1468" s="1">
        <v>0.842105263</v>
      </c>
      <c r="N1468" s="1">
        <v>11.42000008</v>
      </c>
    </row>
    <row r="1469" ht="15.75" customHeight="1">
      <c r="A1469" s="1" t="s">
        <v>180</v>
      </c>
      <c r="B1469" s="1" t="s">
        <v>226</v>
      </c>
      <c r="C1469" s="5">
        <v>45557.0</v>
      </c>
      <c r="D1469" s="1" t="s">
        <v>161</v>
      </c>
      <c r="E1469" s="1" t="s">
        <v>11</v>
      </c>
      <c r="F1469" s="1" t="s">
        <v>166</v>
      </c>
      <c r="H1469" s="1">
        <v>0.0</v>
      </c>
      <c r="I1469" s="1">
        <v>0.0</v>
      </c>
      <c r="J1469" s="1">
        <v>0.0</v>
      </c>
      <c r="K1469" s="1">
        <v>3.0</v>
      </c>
      <c r="L1469" s="1">
        <v>5.0</v>
      </c>
      <c r="M1469" s="1">
        <v>0.6</v>
      </c>
      <c r="N1469" s="1">
        <v>21.10000038</v>
      </c>
    </row>
    <row r="1470" ht="15.75" customHeight="1">
      <c r="A1470" s="1" t="s">
        <v>164</v>
      </c>
      <c r="B1470" s="1" t="s">
        <v>35</v>
      </c>
      <c r="C1470" s="5">
        <v>45556.0</v>
      </c>
      <c r="D1470" s="1" t="s">
        <v>161</v>
      </c>
      <c r="E1470" s="1" t="s">
        <v>11</v>
      </c>
      <c r="F1470" s="1" t="s">
        <v>168</v>
      </c>
      <c r="G1470" s="1" t="s">
        <v>163</v>
      </c>
      <c r="H1470" s="1">
        <v>1.0</v>
      </c>
      <c r="I1470" s="1">
        <v>1.0</v>
      </c>
      <c r="J1470" s="1">
        <v>0.0</v>
      </c>
      <c r="K1470" s="1">
        <v>26.0</v>
      </c>
      <c r="L1470" s="1">
        <v>37.0</v>
      </c>
      <c r="M1470" s="1">
        <v>0.702702703</v>
      </c>
      <c r="N1470" s="1">
        <v>18.37000084</v>
      </c>
    </row>
    <row r="1471" ht="15.75" customHeight="1">
      <c r="A1471" s="1" t="s">
        <v>164</v>
      </c>
      <c r="B1471" s="1" t="s">
        <v>35</v>
      </c>
      <c r="C1471" s="5">
        <v>45556.0</v>
      </c>
      <c r="D1471" s="1" t="s">
        <v>161</v>
      </c>
      <c r="E1471" s="1" t="s">
        <v>11</v>
      </c>
      <c r="F1471" s="1" t="s">
        <v>166</v>
      </c>
      <c r="G1471" s="1" t="s">
        <v>163</v>
      </c>
      <c r="H1471" s="1">
        <v>1.0</v>
      </c>
      <c r="I1471" s="1">
        <v>0.0</v>
      </c>
      <c r="J1471" s="1">
        <v>0.0</v>
      </c>
      <c r="K1471" s="1">
        <v>0.0</v>
      </c>
      <c r="L1471" s="1">
        <v>0.0</v>
      </c>
      <c r="N1471" s="1">
        <v>0.0</v>
      </c>
    </row>
    <row r="1472" ht="15.75" customHeight="1">
      <c r="A1472" s="1" t="s">
        <v>164</v>
      </c>
      <c r="B1472" s="1" t="s">
        <v>24</v>
      </c>
      <c r="C1472" s="5">
        <v>45556.0</v>
      </c>
      <c r="D1472" s="1" t="s">
        <v>161</v>
      </c>
      <c r="E1472" s="1" t="s">
        <v>11</v>
      </c>
      <c r="F1472" s="1" t="s">
        <v>166</v>
      </c>
      <c r="G1472" s="1" t="s">
        <v>172</v>
      </c>
      <c r="H1472" s="1">
        <v>1.0</v>
      </c>
      <c r="I1472" s="1">
        <v>1.0</v>
      </c>
      <c r="J1472" s="1">
        <v>0.0</v>
      </c>
      <c r="K1472" s="1">
        <v>36.0</v>
      </c>
      <c r="L1472" s="1">
        <v>79.0</v>
      </c>
      <c r="M1472" s="1">
        <v>0.455696203</v>
      </c>
      <c r="N1472" s="1">
        <v>76.36000061</v>
      </c>
    </row>
    <row r="1473" ht="15.75" customHeight="1">
      <c r="A1473" s="1" t="s">
        <v>180</v>
      </c>
      <c r="B1473" s="1" t="s">
        <v>214</v>
      </c>
      <c r="C1473" s="5">
        <v>45556.0</v>
      </c>
      <c r="D1473" s="1" t="s">
        <v>161</v>
      </c>
      <c r="E1473" s="1" t="s">
        <v>11</v>
      </c>
      <c r="F1473" s="1" t="s">
        <v>166</v>
      </c>
      <c r="G1473" s="1" t="s">
        <v>172</v>
      </c>
      <c r="H1473" s="1">
        <v>1.0</v>
      </c>
      <c r="I1473" s="1">
        <v>1.0</v>
      </c>
      <c r="J1473" s="1">
        <v>0.0</v>
      </c>
      <c r="K1473" s="1">
        <v>13.0</v>
      </c>
      <c r="L1473" s="1">
        <v>14.0</v>
      </c>
      <c r="M1473" s="1">
        <v>0.928571429</v>
      </c>
      <c r="N1473" s="1">
        <v>11.39999962</v>
      </c>
    </row>
    <row r="1474" ht="15.75" customHeight="1">
      <c r="A1474" s="1" t="s">
        <v>180</v>
      </c>
      <c r="B1474" s="1" t="s">
        <v>226</v>
      </c>
      <c r="C1474" s="5">
        <v>45556.0</v>
      </c>
      <c r="D1474" s="1" t="s">
        <v>161</v>
      </c>
      <c r="E1474" s="1" t="s">
        <v>11</v>
      </c>
      <c r="H1474" s="1">
        <v>0.0</v>
      </c>
      <c r="J1474" s="1">
        <v>0.0</v>
      </c>
      <c r="N1474" s="1">
        <v>1.149999976</v>
      </c>
    </row>
    <row r="1475" ht="15.75" customHeight="1">
      <c r="A1475" s="1" t="s">
        <v>160</v>
      </c>
      <c r="B1475" s="1" t="s">
        <v>36</v>
      </c>
      <c r="C1475" s="5">
        <v>45555.0</v>
      </c>
      <c r="D1475" s="1" t="s">
        <v>161</v>
      </c>
      <c r="E1475" s="1" t="s">
        <v>11</v>
      </c>
      <c r="H1475" s="1">
        <v>0.0</v>
      </c>
      <c r="J1475" s="1">
        <v>0.0</v>
      </c>
      <c r="N1475" s="1">
        <v>0.449999988</v>
      </c>
    </row>
    <row r="1476" ht="15.75" customHeight="1">
      <c r="A1476" s="1" t="s">
        <v>160</v>
      </c>
      <c r="B1476" s="1" t="s">
        <v>95</v>
      </c>
      <c r="C1476" s="5">
        <v>45555.0</v>
      </c>
      <c r="D1476" s="1" t="s">
        <v>161</v>
      </c>
      <c r="E1476" s="1" t="s">
        <v>11</v>
      </c>
      <c r="H1476" s="1">
        <v>0.0</v>
      </c>
      <c r="J1476" s="1">
        <v>0.0</v>
      </c>
      <c r="N1476" s="1">
        <v>1.779999971</v>
      </c>
    </row>
    <row r="1477" ht="15.75" customHeight="1">
      <c r="A1477" s="1" t="s">
        <v>164</v>
      </c>
      <c r="B1477" s="1" t="s">
        <v>22</v>
      </c>
      <c r="C1477" s="5">
        <v>45555.0</v>
      </c>
      <c r="D1477" s="1" t="s">
        <v>161</v>
      </c>
      <c r="E1477" s="1" t="s">
        <v>11</v>
      </c>
      <c r="F1477" s="1" t="s">
        <v>166</v>
      </c>
      <c r="H1477" s="1">
        <v>0.0</v>
      </c>
      <c r="I1477" s="1">
        <v>0.0</v>
      </c>
      <c r="J1477" s="1">
        <v>0.0</v>
      </c>
      <c r="K1477" s="1">
        <v>1.0</v>
      </c>
      <c r="L1477" s="1">
        <v>4.0</v>
      </c>
      <c r="M1477" s="1">
        <v>0.25</v>
      </c>
      <c r="N1477" s="1">
        <v>5.980000019</v>
      </c>
    </row>
    <row r="1478" ht="15.75" customHeight="1">
      <c r="A1478" s="1" t="s">
        <v>164</v>
      </c>
      <c r="B1478" s="1" t="s">
        <v>35</v>
      </c>
      <c r="C1478" s="5">
        <v>45555.0</v>
      </c>
      <c r="D1478" s="1" t="s">
        <v>161</v>
      </c>
      <c r="E1478" s="1" t="s">
        <v>11</v>
      </c>
      <c r="H1478" s="1">
        <v>0.0</v>
      </c>
      <c r="J1478" s="1">
        <v>0.0</v>
      </c>
      <c r="N1478" s="1">
        <v>0.949999988</v>
      </c>
    </row>
    <row r="1479" ht="15.75" customHeight="1">
      <c r="A1479" s="1" t="s">
        <v>164</v>
      </c>
      <c r="B1479" s="1" t="s">
        <v>24</v>
      </c>
      <c r="C1479" s="5">
        <v>45555.0</v>
      </c>
      <c r="D1479" s="1" t="s">
        <v>161</v>
      </c>
      <c r="E1479" s="1" t="s">
        <v>11</v>
      </c>
      <c r="F1479" s="1" t="s">
        <v>166</v>
      </c>
      <c r="H1479" s="1">
        <v>0.0</v>
      </c>
      <c r="I1479" s="1">
        <v>0.0</v>
      </c>
      <c r="J1479" s="1">
        <v>0.0</v>
      </c>
      <c r="K1479" s="1">
        <v>1.0</v>
      </c>
      <c r="L1479" s="1">
        <v>3.0</v>
      </c>
      <c r="M1479" s="1">
        <v>0.333333333</v>
      </c>
      <c r="N1479" s="1">
        <v>2.099999905</v>
      </c>
    </row>
    <row r="1480" ht="15.75" customHeight="1">
      <c r="A1480" s="1" t="s">
        <v>164</v>
      </c>
      <c r="B1480" s="1" t="s">
        <v>207</v>
      </c>
      <c r="C1480" s="5">
        <v>45555.0</v>
      </c>
      <c r="D1480" s="1" t="s">
        <v>161</v>
      </c>
      <c r="E1480" s="1" t="s">
        <v>11</v>
      </c>
      <c r="F1480" s="1" t="s">
        <v>166</v>
      </c>
      <c r="G1480" s="1" t="s">
        <v>172</v>
      </c>
      <c r="H1480" s="1">
        <v>1.0</v>
      </c>
      <c r="I1480" s="1">
        <v>0.0</v>
      </c>
      <c r="J1480" s="1">
        <v>0.0</v>
      </c>
      <c r="K1480" s="1">
        <v>12.0</v>
      </c>
      <c r="L1480" s="1">
        <v>18.0</v>
      </c>
      <c r="M1480" s="1">
        <v>0.666666667</v>
      </c>
      <c r="N1480" s="1">
        <v>12.72999954</v>
      </c>
    </row>
    <row r="1481" ht="15.75" customHeight="1">
      <c r="A1481" s="1" t="s">
        <v>164</v>
      </c>
      <c r="B1481" s="1" t="s">
        <v>199</v>
      </c>
      <c r="C1481" s="5">
        <v>45555.0</v>
      </c>
      <c r="D1481" s="1" t="s">
        <v>161</v>
      </c>
      <c r="E1481" s="1" t="s">
        <v>11</v>
      </c>
      <c r="F1481" s="1" t="s">
        <v>162</v>
      </c>
      <c r="G1481" s="1" t="s">
        <v>194</v>
      </c>
      <c r="H1481" s="1">
        <v>1.0</v>
      </c>
      <c r="I1481" s="1">
        <v>0.0</v>
      </c>
      <c r="J1481" s="1">
        <v>0.0</v>
      </c>
      <c r="K1481" s="1">
        <v>66.0</v>
      </c>
      <c r="L1481" s="1">
        <v>118.0</v>
      </c>
      <c r="M1481" s="1">
        <v>0.559322034</v>
      </c>
      <c r="N1481" s="1">
        <v>78.16000366</v>
      </c>
    </row>
    <row r="1482" ht="15.75" customHeight="1">
      <c r="A1482" s="1" t="s">
        <v>164</v>
      </c>
      <c r="B1482" s="1" t="s">
        <v>196</v>
      </c>
      <c r="C1482" s="5">
        <v>45555.0</v>
      </c>
      <c r="D1482" s="1" t="s">
        <v>161</v>
      </c>
      <c r="E1482" s="1" t="s">
        <v>11</v>
      </c>
      <c r="F1482" s="1" t="s">
        <v>165</v>
      </c>
      <c r="H1482" s="1">
        <v>0.0</v>
      </c>
      <c r="I1482" s="1">
        <v>0.0</v>
      </c>
      <c r="J1482" s="1">
        <v>0.0</v>
      </c>
      <c r="K1482" s="1">
        <v>10.0</v>
      </c>
      <c r="L1482" s="1">
        <v>18.0</v>
      </c>
      <c r="M1482" s="1">
        <v>0.555555556</v>
      </c>
      <c r="N1482" s="1">
        <v>42.33000183</v>
      </c>
    </row>
    <row r="1483" ht="15.75" customHeight="1">
      <c r="A1483" s="1" t="s">
        <v>164</v>
      </c>
      <c r="B1483" s="1" t="s">
        <v>231</v>
      </c>
      <c r="C1483" s="5">
        <v>45555.0</v>
      </c>
      <c r="D1483" s="1" t="s">
        <v>161</v>
      </c>
      <c r="E1483" s="1" t="s">
        <v>11</v>
      </c>
      <c r="F1483" s="1" t="s">
        <v>166</v>
      </c>
      <c r="H1483" s="1">
        <v>0.0</v>
      </c>
      <c r="I1483" s="1">
        <v>0.0</v>
      </c>
      <c r="J1483" s="1">
        <v>0.0</v>
      </c>
      <c r="K1483" s="1">
        <v>6.0</v>
      </c>
      <c r="L1483" s="1">
        <v>17.0</v>
      </c>
      <c r="M1483" s="1">
        <v>0.352941176</v>
      </c>
      <c r="N1483" s="1">
        <v>50.61999893</v>
      </c>
    </row>
    <row r="1484" ht="15.75" customHeight="1">
      <c r="A1484" s="1" t="s">
        <v>164</v>
      </c>
      <c r="B1484" s="1" t="s">
        <v>179</v>
      </c>
      <c r="C1484" s="5">
        <v>45555.0</v>
      </c>
      <c r="D1484" s="1" t="s">
        <v>161</v>
      </c>
      <c r="E1484" s="1" t="s">
        <v>11</v>
      </c>
      <c r="F1484" s="1" t="s">
        <v>166</v>
      </c>
      <c r="H1484" s="1">
        <v>0.0</v>
      </c>
      <c r="I1484" s="1">
        <v>1.0</v>
      </c>
      <c r="J1484" s="1">
        <v>0.0</v>
      </c>
      <c r="K1484" s="1">
        <v>2.0</v>
      </c>
      <c r="L1484" s="1">
        <v>3.0</v>
      </c>
      <c r="M1484" s="1">
        <v>0.666666667</v>
      </c>
      <c r="N1484" s="1">
        <v>1.75</v>
      </c>
    </row>
    <row r="1485" ht="15.75" customHeight="1">
      <c r="A1485" s="1" t="s">
        <v>164</v>
      </c>
      <c r="B1485" s="1" t="s">
        <v>63</v>
      </c>
      <c r="C1485" s="5">
        <v>45555.0</v>
      </c>
      <c r="D1485" s="1" t="s">
        <v>161</v>
      </c>
      <c r="E1485" s="1" t="s">
        <v>11</v>
      </c>
      <c r="F1485" s="1" t="s">
        <v>166</v>
      </c>
      <c r="H1485" s="1">
        <v>0.0</v>
      </c>
      <c r="I1485" s="1">
        <v>0.0</v>
      </c>
      <c r="J1485" s="1">
        <v>0.0</v>
      </c>
      <c r="K1485" s="1">
        <v>8.0</v>
      </c>
      <c r="L1485" s="1">
        <v>9.0</v>
      </c>
      <c r="M1485" s="1">
        <v>0.888888889</v>
      </c>
      <c r="N1485" s="1">
        <v>14.85999966</v>
      </c>
    </row>
    <row r="1486" ht="15.75" customHeight="1">
      <c r="A1486" s="1" t="s">
        <v>164</v>
      </c>
      <c r="B1486" s="1" t="s">
        <v>75</v>
      </c>
      <c r="C1486" s="5">
        <v>45555.0</v>
      </c>
      <c r="D1486" s="1" t="s">
        <v>161</v>
      </c>
      <c r="E1486" s="1" t="s">
        <v>11</v>
      </c>
      <c r="F1486" s="1" t="s">
        <v>165</v>
      </c>
      <c r="H1486" s="1">
        <v>0.0</v>
      </c>
      <c r="I1486" s="1">
        <v>0.0</v>
      </c>
      <c r="J1486" s="1">
        <v>0.0</v>
      </c>
      <c r="K1486" s="1">
        <v>0.0</v>
      </c>
      <c r="L1486" s="1">
        <v>10.0</v>
      </c>
      <c r="M1486" s="1">
        <v>0.0</v>
      </c>
      <c r="N1486" s="1">
        <v>14.11999989</v>
      </c>
    </row>
    <row r="1487" ht="15.75" customHeight="1">
      <c r="A1487" s="1" t="s">
        <v>164</v>
      </c>
      <c r="B1487" s="1" t="s">
        <v>100</v>
      </c>
      <c r="C1487" s="5">
        <v>45555.0</v>
      </c>
      <c r="D1487" s="1" t="s">
        <v>161</v>
      </c>
      <c r="E1487" s="1" t="s">
        <v>11</v>
      </c>
      <c r="F1487" s="1" t="s">
        <v>171</v>
      </c>
      <c r="G1487" s="1" t="s">
        <v>200</v>
      </c>
      <c r="H1487" s="1">
        <v>2.0</v>
      </c>
      <c r="I1487" s="1">
        <v>2.0</v>
      </c>
      <c r="J1487" s="1">
        <v>0.0</v>
      </c>
      <c r="K1487" s="1">
        <v>48.0</v>
      </c>
      <c r="L1487" s="1">
        <v>61.0</v>
      </c>
      <c r="M1487" s="1">
        <v>0.786885246</v>
      </c>
      <c r="N1487" s="1">
        <v>27.05999947</v>
      </c>
    </row>
    <row r="1488" ht="15.75" customHeight="1">
      <c r="A1488" s="1" t="s">
        <v>180</v>
      </c>
      <c r="B1488" s="1" t="s">
        <v>181</v>
      </c>
      <c r="C1488" s="5">
        <v>45555.0</v>
      </c>
      <c r="D1488" s="1" t="s">
        <v>161</v>
      </c>
      <c r="E1488" s="1" t="s">
        <v>11</v>
      </c>
      <c r="F1488" s="1" t="s">
        <v>166</v>
      </c>
      <c r="H1488" s="1">
        <v>0.0</v>
      </c>
      <c r="I1488" s="1">
        <v>0.0</v>
      </c>
      <c r="J1488" s="1">
        <v>0.0</v>
      </c>
      <c r="K1488" s="1">
        <v>12.0</v>
      </c>
      <c r="L1488" s="1">
        <v>19.0</v>
      </c>
      <c r="M1488" s="1">
        <v>0.631578947</v>
      </c>
      <c r="N1488" s="1">
        <v>13.60999966</v>
      </c>
    </row>
    <row r="1489" ht="15.75" customHeight="1">
      <c r="A1489" s="1" t="s">
        <v>180</v>
      </c>
      <c r="B1489" s="1" t="s">
        <v>226</v>
      </c>
      <c r="C1489" s="5">
        <v>45555.0</v>
      </c>
      <c r="D1489" s="1" t="s">
        <v>161</v>
      </c>
      <c r="E1489" s="1" t="s">
        <v>11</v>
      </c>
      <c r="F1489" s="1" t="s">
        <v>166</v>
      </c>
      <c r="G1489" s="1" t="s">
        <v>172</v>
      </c>
      <c r="H1489" s="1">
        <v>1.0</v>
      </c>
      <c r="I1489" s="1">
        <v>0.0</v>
      </c>
      <c r="J1489" s="1">
        <v>0.0</v>
      </c>
      <c r="K1489" s="1">
        <v>13.0</v>
      </c>
      <c r="L1489" s="1">
        <v>18.0</v>
      </c>
      <c r="M1489" s="1">
        <v>0.722222222</v>
      </c>
      <c r="N1489" s="1">
        <v>45.79999924</v>
      </c>
    </row>
    <row r="1490" ht="15.75" customHeight="1">
      <c r="A1490" s="1" t="s">
        <v>160</v>
      </c>
      <c r="B1490" s="1" t="s">
        <v>224</v>
      </c>
      <c r="C1490" s="5">
        <v>45554.0</v>
      </c>
      <c r="D1490" s="1" t="s">
        <v>161</v>
      </c>
      <c r="E1490" s="1" t="s">
        <v>11</v>
      </c>
      <c r="F1490" s="1" t="s">
        <v>162</v>
      </c>
      <c r="H1490" s="1">
        <v>0.0</v>
      </c>
      <c r="I1490" s="1">
        <v>0.0</v>
      </c>
      <c r="J1490" s="1">
        <v>0.0</v>
      </c>
      <c r="K1490" s="1">
        <v>1.0</v>
      </c>
      <c r="L1490" s="1">
        <v>2.0</v>
      </c>
      <c r="M1490" s="1">
        <v>0.5</v>
      </c>
      <c r="N1490" s="1">
        <v>3.420000076</v>
      </c>
    </row>
    <row r="1491" ht="15.75" customHeight="1">
      <c r="A1491" s="1" t="s">
        <v>164</v>
      </c>
      <c r="B1491" s="1" t="s">
        <v>35</v>
      </c>
      <c r="C1491" s="5">
        <v>45554.0</v>
      </c>
      <c r="D1491" s="1" t="s">
        <v>161</v>
      </c>
      <c r="E1491" s="1" t="s">
        <v>11</v>
      </c>
      <c r="F1491" s="1" t="s">
        <v>177</v>
      </c>
      <c r="G1491" s="1" t="s">
        <v>163</v>
      </c>
      <c r="H1491" s="1">
        <v>1.0</v>
      </c>
      <c r="I1491" s="1">
        <v>1.0</v>
      </c>
      <c r="J1491" s="1">
        <v>0.0</v>
      </c>
      <c r="K1491" s="1">
        <v>12.0</v>
      </c>
      <c r="L1491" s="1">
        <v>12.0</v>
      </c>
      <c r="M1491" s="1">
        <v>1.0</v>
      </c>
      <c r="N1491" s="1">
        <v>0.0</v>
      </c>
    </row>
    <row r="1492" ht="15.75" customHeight="1">
      <c r="A1492" s="1" t="s">
        <v>164</v>
      </c>
      <c r="B1492" s="1" t="s">
        <v>35</v>
      </c>
      <c r="C1492" s="5">
        <v>45554.0</v>
      </c>
      <c r="D1492" s="1" t="s">
        <v>161</v>
      </c>
      <c r="E1492" s="1" t="s">
        <v>11</v>
      </c>
      <c r="F1492" s="1" t="s">
        <v>168</v>
      </c>
      <c r="G1492" s="1" t="s">
        <v>163</v>
      </c>
      <c r="H1492" s="1">
        <v>1.0</v>
      </c>
      <c r="I1492" s="1">
        <v>1.0</v>
      </c>
      <c r="J1492" s="1">
        <v>0.0</v>
      </c>
      <c r="K1492" s="1">
        <v>15.0</v>
      </c>
      <c r="L1492" s="1">
        <v>17.0</v>
      </c>
      <c r="M1492" s="1">
        <v>0.882352941</v>
      </c>
      <c r="N1492" s="1">
        <v>9.680000305</v>
      </c>
    </row>
    <row r="1493" ht="15.75" customHeight="1">
      <c r="A1493" s="1" t="s">
        <v>164</v>
      </c>
      <c r="B1493" s="1" t="s">
        <v>35</v>
      </c>
      <c r="C1493" s="5">
        <v>45554.0</v>
      </c>
      <c r="D1493" s="1" t="s">
        <v>161</v>
      </c>
      <c r="E1493" s="1" t="s">
        <v>11</v>
      </c>
      <c r="F1493" s="1" t="s">
        <v>166</v>
      </c>
      <c r="G1493" s="1" t="s">
        <v>163</v>
      </c>
      <c r="H1493" s="1">
        <v>1.0</v>
      </c>
      <c r="I1493" s="1">
        <v>0.0</v>
      </c>
      <c r="J1493" s="1">
        <v>0.0</v>
      </c>
      <c r="K1493" s="1">
        <v>0.0</v>
      </c>
      <c r="L1493" s="1">
        <v>0.0</v>
      </c>
      <c r="N1493" s="1">
        <v>0.0</v>
      </c>
    </row>
    <row r="1494" ht="15.75" customHeight="1">
      <c r="A1494" s="1" t="s">
        <v>164</v>
      </c>
      <c r="B1494" s="1" t="s">
        <v>24</v>
      </c>
      <c r="C1494" s="5">
        <v>45554.0</v>
      </c>
      <c r="D1494" s="1" t="s">
        <v>161</v>
      </c>
      <c r="E1494" s="1" t="s">
        <v>11</v>
      </c>
      <c r="F1494" s="1" t="s">
        <v>166</v>
      </c>
      <c r="G1494" s="1" t="s">
        <v>194</v>
      </c>
      <c r="H1494" s="1">
        <v>1.0</v>
      </c>
      <c r="I1494" s="1">
        <v>2.0</v>
      </c>
      <c r="J1494" s="1">
        <v>0.0</v>
      </c>
      <c r="K1494" s="1">
        <v>36.0</v>
      </c>
      <c r="L1494" s="1">
        <v>66.0</v>
      </c>
      <c r="M1494" s="1">
        <v>0.545454545</v>
      </c>
      <c r="N1494" s="1">
        <v>19.73999977</v>
      </c>
    </row>
    <row r="1495" ht="15.75" customHeight="1">
      <c r="A1495" s="1" t="s">
        <v>164</v>
      </c>
      <c r="B1495" s="1" t="s">
        <v>52</v>
      </c>
      <c r="C1495" s="5">
        <v>45554.0</v>
      </c>
      <c r="D1495" s="1" t="s">
        <v>161</v>
      </c>
      <c r="E1495" s="1" t="s">
        <v>11</v>
      </c>
      <c r="F1495" s="1" t="s">
        <v>165</v>
      </c>
      <c r="H1495" s="1">
        <v>0.0</v>
      </c>
      <c r="I1495" s="1">
        <v>0.0</v>
      </c>
      <c r="J1495" s="1">
        <v>0.0</v>
      </c>
      <c r="K1495" s="1">
        <v>4.0</v>
      </c>
      <c r="L1495" s="1">
        <v>9.0</v>
      </c>
      <c r="M1495" s="1">
        <v>0.444444444</v>
      </c>
      <c r="N1495" s="1">
        <v>13.72000027</v>
      </c>
    </row>
    <row r="1496" ht="15.75" customHeight="1">
      <c r="A1496" s="1" t="s">
        <v>164</v>
      </c>
      <c r="B1496" s="1" t="s">
        <v>199</v>
      </c>
      <c r="C1496" s="5">
        <v>45554.0</v>
      </c>
      <c r="D1496" s="1" t="s">
        <v>161</v>
      </c>
      <c r="E1496" s="1" t="s">
        <v>11</v>
      </c>
      <c r="F1496" s="1" t="s">
        <v>162</v>
      </c>
      <c r="H1496" s="1">
        <v>0.0</v>
      </c>
      <c r="I1496" s="1">
        <v>0.0</v>
      </c>
      <c r="J1496" s="1">
        <v>0.0</v>
      </c>
      <c r="K1496" s="1">
        <v>9.0</v>
      </c>
      <c r="L1496" s="1">
        <v>28.0</v>
      </c>
      <c r="M1496" s="1">
        <v>0.321428571</v>
      </c>
      <c r="N1496" s="1">
        <v>22.5</v>
      </c>
    </row>
    <row r="1497" ht="15.75" customHeight="1">
      <c r="A1497" s="1" t="s">
        <v>164</v>
      </c>
      <c r="B1497" s="1" t="s">
        <v>231</v>
      </c>
      <c r="C1497" s="5">
        <v>45554.0</v>
      </c>
      <c r="D1497" s="1" t="s">
        <v>161</v>
      </c>
      <c r="E1497" s="1" t="s">
        <v>11</v>
      </c>
      <c r="F1497" s="1" t="s">
        <v>166</v>
      </c>
      <c r="H1497" s="1">
        <v>0.0</v>
      </c>
      <c r="I1497" s="1">
        <v>0.0</v>
      </c>
      <c r="J1497" s="1">
        <v>0.0</v>
      </c>
      <c r="K1497" s="1">
        <v>9.0</v>
      </c>
      <c r="L1497" s="1">
        <v>13.0</v>
      </c>
      <c r="M1497" s="1">
        <v>0.692307692</v>
      </c>
      <c r="N1497" s="1">
        <v>107.9800034</v>
      </c>
    </row>
    <row r="1498" ht="15.75" customHeight="1">
      <c r="A1498" s="1" t="s">
        <v>164</v>
      </c>
      <c r="B1498" s="1" t="s">
        <v>63</v>
      </c>
      <c r="C1498" s="5">
        <v>45554.0</v>
      </c>
      <c r="D1498" s="1" t="s">
        <v>161</v>
      </c>
      <c r="E1498" s="1" t="s">
        <v>11</v>
      </c>
      <c r="F1498" s="1" t="s">
        <v>166</v>
      </c>
      <c r="H1498" s="1">
        <v>0.0</v>
      </c>
      <c r="I1498" s="1">
        <v>0.0</v>
      </c>
      <c r="J1498" s="1">
        <v>0.0</v>
      </c>
      <c r="K1498" s="1">
        <v>4.0</v>
      </c>
      <c r="L1498" s="1">
        <v>9.0</v>
      </c>
      <c r="M1498" s="1">
        <v>0.444444444</v>
      </c>
      <c r="N1498" s="1">
        <v>12.98999977</v>
      </c>
    </row>
    <row r="1499" ht="15.75" customHeight="1">
      <c r="A1499" s="1" t="s">
        <v>164</v>
      </c>
      <c r="B1499" s="1" t="s">
        <v>183</v>
      </c>
      <c r="C1499" s="5">
        <v>45554.0</v>
      </c>
      <c r="D1499" s="1" t="s">
        <v>161</v>
      </c>
      <c r="E1499" s="1" t="s">
        <v>11</v>
      </c>
      <c r="F1499" s="1" t="s">
        <v>166</v>
      </c>
      <c r="H1499" s="1">
        <v>0.0</v>
      </c>
      <c r="I1499" s="1">
        <v>0.0</v>
      </c>
      <c r="J1499" s="1">
        <v>0.0</v>
      </c>
      <c r="K1499" s="1">
        <v>2.0</v>
      </c>
      <c r="L1499" s="1">
        <v>4.0</v>
      </c>
      <c r="M1499" s="1">
        <v>0.5</v>
      </c>
      <c r="N1499" s="1">
        <v>6.650000095</v>
      </c>
    </row>
    <row r="1500" ht="15.75" customHeight="1">
      <c r="A1500" s="1" t="s">
        <v>164</v>
      </c>
      <c r="B1500" s="1" t="s">
        <v>68</v>
      </c>
      <c r="C1500" s="5">
        <v>45554.0</v>
      </c>
      <c r="D1500" s="1" t="s">
        <v>161</v>
      </c>
      <c r="E1500" s="1" t="s">
        <v>11</v>
      </c>
      <c r="F1500" s="1" t="s">
        <v>165</v>
      </c>
      <c r="H1500" s="1">
        <v>0.0</v>
      </c>
      <c r="I1500" s="1">
        <v>1.0</v>
      </c>
      <c r="J1500" s="1">
        <v>0.0</v>
      </c>
      <c r="K1500" s="1">
        <v>10.0</v>
      </c>
      <c r="L1500" s="1">
        <v>12.0</v>
      </c>
      <c r="M1500" s="1">
        <v>0.833333333</v>
      </c>
      <c r="N1500" s="1">
        <v>15.52000046</v>
      </c>
    </row>
    <row r="1501" ht="15.75" customHeight="1">
      <c r="A1501" s="1" t="s">
        <v>164</v>
      </c>
      <c r="B1501" s="1" t="s">
        <v>74</v>
      </c>
      <c r="C1501" s="5">
        <v>45554.0</v>
      </c>
      <c r="D1501" s="1" t="s">
        <v>161</v>
      </c>
      <c r="E1501" s="1" t="s">
        <v>11</v>
      </c>
      <c r="F1501" s="1" t="s">
        <v>166</v>
      </c>
      <c r="H1501" s="1">
        <v>0.0</v>
      </c>
      <c r="I1501" s="1">
        <v>0.0</v>
      </c>
      <c r="J1501" s="1">
        <v>0.0</v>
      </c>
      <c r="K1501" s="1">
        <v>0.0</v>
      </c>
      <c r="L1501" s="1">
        <v>0.0</v>
      </c>
      <c r="N1501" s="1">
        <v>0.660000026</v>
      </c>
    </row>
    <row r="1502" ht="15.75" customHeight="1">
      <c r="A1502" s="1" t="s">
        <v>164</v>
      </c>
      <c r="B1502" s="1" t="s">
        <v>205</v>
      </c>
      <c r="C1502" s="5">
        <v>45554.0</v>
      </c>
      <c r="D1502" s="1" t="s">
        <v>161</v>
      </c>
      <c r="E1502" s="1" t="s">
        <v>11</v>
      </c>
      <c r="F1502" s="1" t="s">
        <v>165</v>
      </c>
      <c r="G1502" s="1" t="s">
        <v>163</v>
      </c>
      <c r="H1502" s="1">
        <v>1.0</v>
      </c>
      <c r="I1502" s="1">
        <v>1.0</v>
      </c>
      <c r="J1502" s="1">
        <v>0.0</v>
      </c>
      <c r="K1502" s="1">
        <v>12.0</v>
      </c>
      <c r="L1502" s="1">
        <v>13.0</v>
      </c>
      <c r="M1502" s="1">
        <v>0.923076923</v>
      </c>
      <c r="N1502" s="1">
        <v>0.0</v>
      </c>
    </row>
    <row r="1503" ht="15.75" customHeight="1">
      <c r="A1503" s="1" t="s">
        <v>164</v>
      </c>
      <c r="B1503" s="1" t="s">
        <v>205</v>
      </c>
      <c r="C1503" s="5">
        <v>45554.0</v>
      </c>
      <c r="D1503" s="1" t="s">
        <v>161</v>
      </c>
      <c r="E1503" s="1" t="s">
        <v>11</v>
      </c>
      <c r="F1503" s="1" t="s">
        <v>166</v>
      </c>
      <c r="G1503" s="1" t="s">
        <v>163</v>
      </c>
      <c r="H1503" s="1">
        <v>1.0</v>
      </c>
      <c r="I1503" s="1">
        <v>1.0</v>
      </c>
      <c r="J1503" s="1">
        <v>0.0</v>
      </c>
      <c r="K1503" s="1">
        <v>16.0</v>
      </c>
      <c r="L1503" s="1">
        <v>21.0</v>
      </c>
      <c r="M1503" s="1">
        <v>0.761904762</v>
      </c>
      <c r="N1503" s="1">
        <v>36.91999817</v>
      </c>
    </row>
    <row r="1504" ht="15.75" customHeight="1">
      <c r="A1504" s="1" t="s">
        <v>164</v>
      </c>
      <c r="B1504" s="1" t="s">
        <v>75</v>
      </c>
      <c r="C1504" s="5">
        <v>45554.0</v>
      </c>
      <c r="D1504" s="1" t="s">
        <v>161</v>
      </c>
      <c r="E1504" s="1" t="s">
        <v>11</v>
      </c>
      <c r="F1504" s="1" t="s">
        <v>165</v>
      </c>
      <c r="H1504" s="1">
        <v>0.0</v>
      </c>
      <c r="I1504" s="1">
        <v>0.0</v>
      </c>
      <c r="J1504" s="1">
        <v>0.0</v>
      </c>
      <c r="K1504" s="1">
        <v>0.0</v>
      </c>
      <c r="L1504" s="1">
        <v>13.0</v>
      </c>
      <c r="M1504" s="1">
        <v>0.0</v>
      </c>
      <c r="N1504" s="1">
        <v>15.0</v>
      </c>
    </row>
    <row r="1505" ht="15.75" customHeight="1">
      <c r="A1505" s="1" t="s">
        <v>164</v>
      </c>
      <c r="B1505" s="1" t="s">
        <v>100</v>
      </c>
      <c r="C1505" s="5">
        <v>45554.0</v>
      </c>
      <c r="D1505" s="1" t="s">
        <v>161</v>
      </c>
      <c r="E1505" s="1" t="s">
        <v>11</v>
      </c>
      <c r="F1505" s="1" t="s">
        <v>171</v>
      </c>
      <c r="H1505" s="1">
        <v>0.0</v>
      </c>
      <c r="I1505" s="1">
        <v>1.0</v>
      </c>
      <c r="J1505" s="1">
        <v>0.0</v>
      </c>
      <c r="K1505" s="1">
        <v>25.0</v>
      </c>
      <c r="L1505" s="1">
        <v>31.0</v>
      </c>
      <c r="M1505" s="1">
        <v>0.806451613</v>
      </c>
      <c r="N1505" s="1">
        <v>10.86999989</v>
      </c>
    </row>
    <row r="1506" ht="15.75" customHeight="1">
      <c r="A1506" s="1" t="s">
        <v>164</v>
      </c>
      <c r="B1506" s="1" t="s">
        <v>82</v>
      </c>
      <c r="C1506" s="5">
        <v>45554.0</v>
      </c>
      <c r="D1506" s="1" t="s">
        <v>161</v>
      </c>
      <c r="E1506" s="1" t="s">
        <v>11</v>
      </c>
      <c r="F1506" s="1" t="s">
        <v>165</v>
      </c>
      <c r="H1506" s="1">
        <v>0.0</v>
      </c>
      <c r="I1506" s="1">
        <v>0.0</v>
      </c>
      <c r="J1506" s="1">
        <v>0.0</v>
      </c>
      <c r="K1506" s="1">
        <v>16.0</v>
      </c>
      <c r="L1506" s="1">
        <v>33.0</v>
      </c>
      <c r="M1506" s="1">
        <v>0.484848485</v>
      </c>
      <c r="N1506" s="1">
        <v>18.90999985</v>
      </c>
    </row>
    <row r="1507" ht="15.75" customHeight="1">
      <c r="A1507" s="1" t="s">
        <v>164</v>
      </c>
      <c r="B1507" s="1" t="s">
        <v>225</v>
      </c>
      <c r="C1507" s="5">
        <v>45554.0</v>
      </c>
      <c r="D1507" s="1" t="s">
        <v>161</v>
      </c>
      <c r="E1507" s="1" t="s">
        <v>11</v>
      </c>
      <c r="F1507" s="1" t="s">
        <v>162</v>
      </c>
      <c r="G1507" s="1" t="s">
        <v>163</v>
      </c>
      <c r="H1507" s="1">
        <v>1.0</v>
      </c>
      <c r="I1507" s="1">
        <v>0.0</v>
      </c>
      <c r="J1507" s="1">
        <v>0.0</v>
      </c>
      <c r="K1507" s="1">
        <v>26.0</v>
      </c>
      <c r="L1507" s="1">
        <v>40.0</v>
      </c>
      <c r="M1507" s="1">
        <v>0.65</v>
      </c>
      <c r="N1507" s="1">
        <v>39.45000076</v>
      </c>
    </row>
    <row r="1508" ht="15.75" customHeight="1">
      <c r="A1508" s="1" t="s">
        <v>164</v>
      </c>
      <c r="B1508" s="1" t="s">
        <v>225</v>
      </c>
      <c r="C1508" s="5">
        <v>45554.0</v>
      </c>
      <c r="D1508" s="1" t="s">
        <v>161</v>
      </c>
      <c r="E1508" s="1" t="s">
        <v>11</v>
      </c>
      <c r="F1508" s="1" t="s">
        <v>166</v>
      </c>
      <c r="G1508" s="1" t="s">
        <v>163</v>
      </c>
      <c r="H1508" s="1">
        <v>1.0</v>
      </c>
      <c r="I1508" s="1">
        <v>0.0</v>
      </c>
      <c r="J1508" s="1">
        <v>0.0</v>
      </c>
      <c r="K1508" s="1">
        <v>8.0</v>
      </c>
      <c r="L1508" s="1">
        <v>25.0</v>
      </c>
      <c r="M1508" s="1">
        <v>0.32</v>
      </c>
      <c r="N1508" s="1">
        <v>0.0</v>
      </c>
    </row>
    <row r="1509" ht="15.75" customHeight="1">
      <c r="A1509" s="1" t="s">
        <v>180</v>
      </c>
      <c r="B1509" s="1" t="s">
        <v>220</v>
      </c>
      <c r="C1509" s="5">
        <v>45554.0</v>
      </c>
      <c r="D1509" s="1" t="s">
        <v>161</v>
      </c>
      <c r="E1509" s="1" t="s">
        <v>11</v>
      </c>
      <c r="F1509" s="1" t="s">
        <v>166</v>
      </c>
      <c r="G1509" s="1" t="s">
        <v>232</v>
      </c>
      <c r="H1509" s="1">
        <v>3.0</v>
      </c>
      <c r="I1509" s="1">
        <v>1.0</v>
      </c>
      <c r="J1509" s="1">
        <v>0.0</v>
      </c>
      <c r="K1509" s="1">
        <v>13.0</v>
      </c>
      <c r="L1509" s="1">
        <v>19.0</v>
      </c>
      <c r="M1509" s="1">
        <v>0.684210526</v>
      </c>
      <c r="N1509" s="1">
        <v>13.42000008</v>
      </c>
    </row>
    <row r="1510" ht="15.75" customHeight="1">
      <c r="A1510" s="1" t="s">
        <v>180</v>
      </c>
      <c r="B1510" s="1" t="s">
        <v>214</v>
      </c>
      <c r="C1510" s="5">
        <v>45554.0</v>
      </c>
      <c r="D1510" s="1" t="s">
        <v>161</v>
      </c>
      <c r="E1510" s="1" t="s">
        <v>11</v>
      </c>
      <c r="F1510" s="1" t="s">
        <v>166</v>
      </c>
      <c r="H1510" s="1">
        <v>0.0</v>
      </c>
      <c r="I1510" s="1">
        <v>1.0</v>
      </c>
      <c r="J1510" s="1">
        <v>0.0</v>
      </c>
      <c r="K1510" s="1">
        <v>18.0</v>
      </c>
      <c r="L1510" s="1">
        <v>27.0</v>
      </c>
      <c r="M1510" s="1">
        <v>0.666666667</v>
      </c>
      <c r="N1510" s="1">
        <v>25.54000092</v>
      </c>
    </row>
    <row r="1511" ht="15.75" customHeight="1">
      <c r="A1511" s="1" t="s">
        <v>180</v>
      </c>
      <c r="B1511" s="1" t="s">
        <v>226</v>
      </c>
      <c r="C1511" s="5">
        <v>45554.0</v>
      </c>
      <c r="D1511" s="1" t="s">
        <v>161</v>
      </c>
      <c r="E1511" s="1" t="s">
        <v>11</v>
      </c>
      <c r="F1511" s="1" t="s">
        <v>166</v>
      </c>
      <c r="H1511" s="1">
        <v>0.0</v>
      </c>
      <c r="I1511" s="1">
        <v>0.0</v>
      </c>
      <c r="J1511" s="1">
        <v>0.0</v>
      </c>
      <c r="K1511" s="1">
        <v>9.0</v>
      </c>
      <c r="L1511" s="1">
        <v>30.0</v>
      </c>
      <c r="M1511" s="1">
        <v>0.3</v>
      </c>
      <c r="N1511" s="1">
        <v>73.65000153</v>
      </c>
    </row>
    <row r="1512" ht="15.75" customHeight="1">
      <c r="A1512" s="1" t="s">
        <v>160</v>
      </c>
      <c r="B1512" s="1" t="s">
        <v>39</v>
      </c>
      <c r="C1512" s="5">
        <v>45553.0</v>
      </c>
      <c r="D1512" s="1" t="s">
        <v>161</v>
      </c>
      <c r="E1512" s="1" t="s">
        <v>11</v>
      </c>
      <c r="F1512" s="1" t="s">
        <v>162</v>
      </c>
      <c r="G1512" s="1" t="s">
        <v>182</v>
      </c>
      <c r="H1512" s="1">
        <v>2.0</v>
      </c>
      <c r="I1512" s="1">
        <v>1.0</v>
      </c>
      <c r="J1512" s="1">
        <v>0.0</v>
      </c>
      <c r="K1512" s="1">
        <v>14.0</v>
      </c>
      <c r="L1512" s="1">
        <v>16.0</v>
      </c>
      <c r="M1512" s="1">
        <v>0.875</v>
      </c>
      <c r="N1512" s="1">
        <v>13.42000008</v>
      </c>
    </row>
    <row r="1513" ht="15.75" customHeight="1">
      <c r="A1513" s="1" t="s">
        <v>160</v>
      </c>
      <c r="B1513" s="1" t="s">
        <v>39</v>
      </c>
      <c r="C1513" s="5">
        <v>45553.0</v>
      </c>
      <c r="D1513" s="1" t="s">
        <v>161</v>
      </c>
      <c r="E1513" s="1" t="s">
        <v>11</v>
      </c>
      <c r="F1513" s="1" t="s">
        <v>166</v>
      </c>
      <c r="G1513" s="1" t="s">
        <v>182</v>
      </c>
      <c r="H1513" s="1">
        <v>2.0</v>
      </c>
      <c r="I1513" s="1">
        <v>0.0</v>
      </c>
      <c r="J1513" s="1">
        <v>0.0</v>
      </c>
      <c r="K1513" s="1">
        <v>0.0</v>
      </c>
      <c r="L1513" s="1">
        <v>0.0</v>
      </c>
      <c r="N1513" s="1">
        <v>0.0</v>
      </c>
    </row>
    <row r="1514" ht="15.75" customHeight="1">
      <c r="A1514" s="1" t="s">
        <v>160</v>
      </c>
      <c r="B1514" s="1" t="s">
        <v>224</v>
      </c>
      <c r="C1514" s="5">
        <v>45553.0</v>
      </c>
      <c r="D1514" s="1" t="s">
        <v>161</v>
      </c>
      <c r="E1514" s="1" t="s">
        <v>11</v>
      </c>
      <c r="F1514" s="1" t="s">
        <v>162</v>
      </c>
      <c r="H1514" s="1">
        <v>0.0</v>
      </c>
      <c r="I1514" s="1">
        <v>1.0</v>
      </c>
      <c r="J1514" s="1">
        <v>0.0</v>
      </c>
      <c r="K1514" s="1">
        <v>14.0</v>
      </c>
      <c r="L1514" s="1">
        <v>23.0</v>
      </c>
      <c r="M1514" s="1">
        <v>0.608695652</v>
      </c>
      <c r="N1514" s="1">
        <v>37.04999924</v>
      </c>
    </row>
    <row r="1515" ht="15.75" customHeight="1">
      <c r="A1515" s="1" t="s">
        <v>160</v>
      </c>
      <c r="B1515" s="1" t="s">
        <v>230</v>
      </c>
      <c r="C1515" s="5">
        <v>45553.0</v>
      </c>
      <c r="D1515" s="1" t="s">
        <v>161</v>
      </c>
      <c r="E1515" s="1" t="s">
        <v>11</v>
      </c>
      <c r="F1515" s="1" t="s">
        <v>165</v>
      </c>
      <c r="H1515" s="1">
        <v>0.0</v>
      </c>
      <c r="I1515" s="1">
        <v>0.0</v>
      </c>
      <c r="J1515" s="1">
        <v>0.0</v>
      </c>
      <c r="K1515" s="1">
        <v>0.0</v>
      </c>
      <c r="L1515" s="1">
        <v>1.0</v>
      </c>
      <c r="M1515" s="1">
        <v>0.0</v>
      </c>
      <c r="N1515" s="1">
        <v>0.0</v>
      </c>
    </row>
    <row r="1516" ht="15.75" customHeight="1">
      <c r="A1516" s="1" t="s">
        <v>160</v>
      </c>
      <c r="B1516" s="1" t="s">
        <v>77</v>
      </c>
      <c r="C1516" s="5">
        <v>45553.0</v>
      </c>
      <c r="D1516" s="1" t="s">
        <v>161</v>
      </c>
      <c r="E1516" s="1" t="s">
        <v>11</v>
      </c>
      <c r="F1516" s="1" t="s">
        <v>162</v>
      </c>
      <c r="H1516" s="1">
        <v>0.0</v>
      </c>
      <c r="I1516" s="1">
        <v>0.0</v>
      </c>
      <c r="J1516" s="1">
        <v>0.0</v>
      </c>
      <c r="K1516" s="1">
        <v>9.0</v>
      </c>
      <c r="L1516" s="1">
        <v>11.0</v>
      </c>
      <c r="M1516" s="1">
        <v>0.818181818</v>
      </c>
      <c r="N1516" s="1">
        <v>11.34000015</v>
      </c>
    </row>
    <row r="1517" ht="15.75" customHeight="1">
      <c r="A1517" s="1" t="s">
        <v>164</v>
      </c>
      <c r="B1517" s="1" t="s">
        <v>22</v>
      </c>
      <c r="C1517" s="5">
        <v>45553.0</v>
      </c>
      <c r="D1517" s="1" t="s">
        <v>161</v>
      </c>
      <c r="E1517" s="1" t="s">
        <v>11</v>
      </c>
      <c r="F1517" s="1" t="s">
        <v>166</v>
      </c>
      <c r="H1517" s="1">
        <v>0.0</v>
      </c>
      <c r="I1517" s="1">
        <v>0.0</v>
      </c>
      <c r="J1517" s="1">
        <v>0.0</v>
      </c>
      <c r="K1517" s="1">
        <v>9.0</v>
      </c>
      <c r="L1517" s="1">
        <v>20.0</v>
      </c>
      <c r="M1517" s="1">
        <v>0.45</v>
      </c>
      <c r="N1517" s="1">
        <v>26.04000092</v>
      </c>
    </row>
    <row r="1518" ht="15.75" customHeight="1">
      <c r="A1518" s="1" t="s">
        <v>164</v>
      </c>
      <c r="B1518" s="1" t="s">
        <v>35</v>
      </c>
      <c r="C1518" s="5">
        <v>45553.0</v>
      </c>
      <c r="D1518" s="1" t="s">
        <v>161</v>
      </c>
      <c r="E1518" s="1" t="s">
        <v>11</v>
      </c>
      <c r="F1518" s="1" t="s">
        <v>166</v>
      </c>
      <c r="H1518" s="1">
        <v>0.0</v>
      </c>
      <c r="I1518" s="1">
        <v>0.0</v>
      </c>
      <c r="J1518" s="1">
        <v>0.0</v>
      </c>
      <c r="K1518" s="1">
        <v>0.0</v>
      </c>
      <c r="L1518" s="1">
        <v>0.0</v>
      </c>
      <c r="N1518" s="1">
        <v>1.090000033</v>
      </c>
    </row>
    <row r="1519" ht="15.75" customHeight="1">
      <c r="A1519" s="1" t="s">
        <v>164</v>
      </c>
      <c r="B1519" s="1" t="s">
        <v>24</v>
      </c>
      <c r="C1519" s="5">
        <v>45553.0</v>
      </c>
      <c r="D1519" s="1" t="s">
        <v>161</v>
      </c>
      <c r="E1519" s="1" t="s">
        <v>11</v>
      </c>
      <c r="F1519" s="1" t="s">
        <v>166</v>
      </c>
      <c r="H1519" s="1">
        <v>0.0</v>
      </c>
      <c r="I1519" s="1">
        <v>0.0</v>
      </c>
      <c r="J1519" s="1">
        <v>0.0</v>
      </c>
      <c r="K1519" s="1">
        <v>8.0</v>
      </c>
      <c r="L1519" s="1">
        <v>15.0</v>
      </c>
      <c r="M1519" s="1">
        <v>0.533333333</v>
      </c>
      <c r="N1519" s="1">
        <v>6.889999866</v>
      </c>
    </row>
    <row r="1520" ht="15.75" customHeight="1">
      <c r="A1520" s="1" t="s">
        <v>164</v>
      </c>
      <c r="B1520" s="1" t="s">
        <v>52</v>
      </c>
      <c r="C1520" s="5">
        <v>45553.0</v>
      </c>
      <c r="D1520" s="1" t="s">
        <v>161</v>
      </c>
      <c r="E1520" s="1" t="s">
        <v>11</v>
      </c>
      <c r="F1520" s="1" t="s">
        <v>165</v>
      </c>
      <c r="H1520" s="1">
        <v>0.0</v>
      </c>
      <c r="I1520" s="1">
        <v>0.0</v>
      </c>
      <c r="J1520" s="1">
        <v>0.0</v>
      </c>
      <c r="K1520" s="1">
        <v>6.0</v>
      </c>
      <c r="L1520" s="1">
        <v>10.0</v>
      </c>
      <c r="M1520" s="1">
        <v>0.6</v>
      </c>
      <c r="N1520" s="1">
        <v>11.47999954</v>
      </c>
    </row>
    <row r="1521" ht="15.75" customHeight="1">
      <c r="A1521" s="1" t="s">
        <v>164</v>
      </c>
      <c r="B1521" s="1" t="s">
        <v>199</v>
      </c>
      <c r="C1521" s="5">
        <v>45553.0</v>
      </c>
      <c r="D1521" s="1" t="s">
        <v>161</v>
      </c>
      <c r="E1521" s="1" t="s">
        <v>11</v>
      </c>
      <c r="F1521" s="1" t="s">
        <v>162</v>
      </c>
      <c r="H1521" s="1">
        <v>0.0</v>
      </c>
      <c r="I1521" s="1">
        <v>0.0</v>
      </c>
      <c r="J1521" s="1">
        <v>0.0</v>
      </c>
      <c r="K1521" s="1">
        <v>2.0</v>
      </c>
      <c r="L1521" s="1">
        <v>9.0</v>
      </c>
      <c r="M1521" s="1">
        <v>0.222222222</v>
      </c>
      <c r="N1521" s="1">
        <v>9.380000114</v>
      </c>
    </row>
    <row r="1522" ht="15.75" customHeight="1">
      <c r="A1522" s="1" t="s">
        <v>164</v>
      </c>
      <c r="B1522" s="1" t="s">
        <v>231</v>
      </c>
      <c r="C1522" s="5">
        <v>45553.0</v>
      </c>
      <c r="D1522" s="1" t="s">
        <v>161</v>
      </c>
      <c r="E1522" s="1" t="s">
        <v>11</v>
      </c>
      <c r="F1522" s="1" t="s">
        <v>166</v>
      </c>
      <c r="H1522" s="1">
        <v>0.0</v>
      </c>
      <c r="I1522" s="1">
        <v>0.0</v>
      </c>
      <c r="J1522" s="1">
        <v>0.0</v>
      </c>
      <c r="K1522" s="1">
        <v>22.0</v>
      </c>
      <c r="L1522" s="1">
        <v>32.0</v>
      </c>
      <c r="M1522" s="1">
        <v>0.6875</v>
      </c>
      <c r="N1522" s="1">
        <v>114.6299973</v>
      </c>
    </row>
    <row r="1523" ht="15.75" customHeight="1">
      <c r="A1523" s="1" t="s">
        <v>164</v>
      </c>
      <c r="B1523" s="1" t="s">
        <v>63</v>
      </c>
      <c r="C1523" s="5">
        <v>45553.0</v>
      </c>
      <c r="D1523" s="1" t="s">
        <v>161</v>
      </c>
      <c r="E1523" s="1" t="s">
        <v>11</v>
      </c>
      <c r="F1523" s="1" t="s">
        <v>166</v>
      </c>
      <c r="H1523" s="1">
        <v>0.0</v>
      </c>
      <c r="I1523" s="1">
        <v>0.0</v>
      </c>
      <c r="J1523" s="1">
        <v>0.0</v>
      </c>
      <c r="K1523" s="1">
        <v>5.0</v>
      </c>
      <c r="L1523" s="1">
        <v>13.0</v>
      </c>
      <c r="M1523" s="1">
        <v>0.384615385</v>
      </c>
      <c r="N1523" s="1">
        <v>10.25</v>
      </c>
    </row>
    <row r="1524" ht="15.75" customHeight="1">
      <c r="A1524" s="1" t="s">
        <v>164</v>
      </c>
      <c r="B1524" s="1" t="s">
        <v>183</v>
      </c>
      <c r="C1524" s="5">
        <v>45553.0</v>
      </c>
      <c r="D1524" s="1" t="s">
        <v>161</v>
      </c>
      <c r="E1524" s="1" t="s">
        <v>11</v>
      </c>
      <c r="F1524" s="1" t="s">
        <v>166</v>
      </c>
      <c r="H1524" s="1">
        <v>0.0</v>
      </c>
      <c r="I1524" s="1">
        <v>0.0</v>
      </c>
      <c r="J1524" s="1">
        <v>0.0</v>
      </c>
      <c r="K1524" s="1">
        <v>2.0</v>
      </c>
      <c r="L1524" s="1">
        <v>4.0</v>
      </c>
      <c r="M1524" s="1">
        <v>0.5</v>
      </c>
      <c r="N1524" s="1">
        <v>12.18000031</v>
      </c>
    </row>
    <row r="1525" ht="15.75" customHeight="1">
      <c r="A1525" s="1" t="s">
        <v>164</v>
      </c>
      <c r="B1525" s="1" t="s">
        <v>68</v>
      </c>
      <c r="C1525" s="5">
        <v>45553.0</v>
      </c>
      <c r="D1525" s="1" t="s">
        <v>161</v>
      </c>
      <c r="E1525" s="1" t="s">
        <v>11</v>
      </c>
      <c r="F1525" s="1" t="s">
        <v>165</v>
      </c>
      <c r="H1525" s="1">
        <v>0.0</v>
      </c>
      <c r="I1525" s="1">
        <v>0.0</v>
      </c>
      <c r="J1525" s="1">
        <v>0.0</v>
      </c>
      <c r="K1525" s="1">
        <v>0.0</v>
      </c>
      <c r="L1525" s="1">
        <v>0.0</v>
      </c>
      <c r="N1525" s="1">
        <v>5.349999905</v>
      </c>
    </row>
    <row r="1526" ht="15.75" customHeight="1">
      <c r="A1526" s="1" t="s">
        <v>164</v>
      </c>
      <c r="B1526" s="1" t="s">
        <v>74</v>
      </c>
      <c r="C1526" s="5">
        <v>45553.0</v>
      </c>
      <c r="D1526" s="1" t="s">
        <v>161</v>
      </c>
      <c r="E1526" s="1" t="s">
        <v>11</v>
      </c>
      <c r="F1526" s="1" t="s">
        <v>166</v>
      </c>
      <c r="H1526" s="1">
        <v>0.0</v>
      </c>
      <c r="I1526" s="1">
        <v>0.0</v>
      </c>
      <c r="J1526" s="1">
        <v>0.0</v>
      </c>
      <c r="K1526" s="1">
        <v>0.0</v>
      </c>
      <c r="L1526" s="1">
        <v>3.0</v>
      </c>
      <c r="M1526" s="1">
        <v>0.0</v>
      </c>
      <c r="N1526" s="1">
        <v>14.22999954</v>
      </c>
    </row>
    <row r="1527" ht="15.75" customHeight="1">
      <c r="A1527" s="1" t="s">
        <v>164</v>
      </c>
      <c r="B1527" s="1" t="s">
        <v>205</v>
      </c>
      <c r="C1527" s="5">
        <v>45553.0</v>
      </c>
      <c r="D1527" s="1" t="s">
        <v>161</v>
      </c>
      <c r="E1527" s="1" t="s">
        <v>11</v>
      </c>
      <c r="F1527" s="1" t="s">
        <v>165</v>
      </c>
      <c r="H1527" s="1">
        <v>0.0</v>
      </c>
      <c r="I1527" s="1">
        <v>1.0</v>
      </c>
      <c r="J1527" s="1">
        <v>0.0</v>
      </c>
      <c r="K1527" s="1">
        <v>12.0</v>
      </c>
      <c r="L1527" s="1">
        <v>12.0</v>
      </c>
      <c r="M1527" s="1">
        <v>1.0</v>
      </c>
      <c r="N1527" s="1">
        <v>0.0</v>
      </c>
    </row>
    <row r="1528" ht="15.75" customHeight="1">
      <c r="A1528" s="1" t="s">
        <v>164</v>
      </c>
      <c r="B1528" s="1" t="s">
        <v>205</v>
      </c>
      <c r="C1528" s="5">
        <v>45553.0</v>
      </c>
      <c r="D1528" s="1" t="s">
        <v>161</v>
      </c>
      <c r="E1528" s="1" t="s">
        <v>11</v>
      </c>
      <c r="F1528" s="1" t="s">
        <v>166</v>
      </c>
      <c r="H1528" s="1">
        <v>0.0</v>
      </c>
      <c r="I1528" s="1">
        <v>1.0</v>
      </c>
      <c r="J1528" s="1">
        <v>0.0</v>
      </c>
      <c r="K1528" s="1">
        <v>19.0</v>
      </c>
      <c r="L1528" s="1">
        <v>24.0</v>
      </c>
      <c r="M1528" s="1">
        <v>0.791666667</v>
      </c>
      <c r="N1528" s="1">
        <v>48.70000076</v>
      </c>
    </row>
    <row r="1529" ht="15.75" customHeight="1">
      <c r="A1529" s="1" t="s">
        <v>164</v>
      </c>
      <c r="B1529" s="1" t="s">
        <v>75</v>
      </c>
      <c r="C1529" s="5">
        <v>45553.0</v>
      </c>
      <c r="D1529" s="1" t="s">
        <v>161</v>
      </c>
      <c r="E1529" s="1" t="s">
        <v>11</v>
      </c>
      <c r="F1529" s="1" t="s">
        <v>165</v>
      </c>
      <c r="H1529" s="1">
        <v>0.0</v>
      </c>
      <c r="I1529" s="1">
        <v>1.0</v>
      </c>
      <c r="J1529" s="1">
        <v>0.0</v>
      </c>
      <c r="K1529" s="1">
        <v>13.0</v>
      </c>
      <c r="L1529" s="1">
        <v>19.0</v>
      </c>
      <c r="M1529" s="1">
        <v>0.684210526</v>
      </c>
      <c r="N1529" s="1">
        <v>17.31999969</v>
      </c>
    </row>
    <row r="1530" ht="15.75" customHeight="1">
      <c r="A1530" s="1" t="s">
        <v>164</v>
      </c>
      <c r="B1530" s="1" t="s">
        <v>100</v>
      </c>
      <c r="C1530" s="5">
        <v>45553.0</v>
      </c>
      <c r="D1530" s="1" t="s">
        <v>161</v>
      </c>
      <c r="E1530" s="1" t="s">
        <v>11</v>
      </c>
      <c r="F1530" s="1" t="s">
        <v>171</v>
      </c>
      <c r="H1530" s="1">
        <v>0.0</v>
      </c>
      <c r="I1530" s="1">
        <v>0.0</v>
      </c>
      <c r="J1530" s="1">
        <v>0.0</v>
      </c>
      <c r="K1530" s="1">
        <v>0.0</v>
      </c>
      <c r="L1530" s="1">
        <v>0.0</v>
      </c>
      <c r="N1530" s="1">
        <v>0.270000011</v>
      </c>
    </row>
    <row r="1531" ht="15.75" customHeight="1">
      <c r="A1531" s="1" t="s">
        <v>164</v>
      </c>
      <c r="B1531" s="1" t="s">
        <v>82</v>
      </c>
      <c r="C1531" s="5">
        <v>45553.0</v>
      </c>
      <c r="D1531" s="1" t="s">
        <v>161</v>
      </c>
      <c r="E1531" s="1" t="s">
        <v>11</v>
      </c>
      <c r="F1531" s="1" t="s">
        <v>165</v>
      </c>
      <c r="H1531" s="1">
        <v>0.0</v>
      </c>
      <c r="I1531" s="1">
        <v>1.0</v>
      </c>
      <c r="J1531" s="1">
        <v>0.0</v>
      </c>
      <c r="K1531" s="1">
        <v>21.0</v>
      </c>
      <c r="L1531" s="1">
        <v>29.0</v>
      </c>
      <c r="M1531" s="1">
        <v>0.724137931</v>
      </c>
      <c r="N1531" s="1">
        <v>13.43000031</v>
      </c>
    </row>
    <row r="1532" ht="15.75" customHeight="1">
      <c r="A1532" s="1" t="s">
        <v>164</v>
      </c>
      <c r="B1532" s="1" t="s">
        <v>219</v>
      </c>
      <c r="C1532" s="5">
        <v>45553.0</v>
      </c>
      <c r="D1532" s="1" t="s">
        <v>161</v>
      </c>
      <c r="E1532" s="1" t="s">
        <v>11</v>
      </c>
      <c r="F1532" s="1" t="s">
        <v>165</v>
      </c>
      <c r="H1532" s="1">
        <v>0.0</v>
      </c>
      <c r="I1532" s="1">
        <v>0.0</v>
      </c>
      <c r="J1532" s="1">
        <v>0.0</v>
      </c>
      <c r="K1532" s="1">
        <v>2.0</v>
      </c>
      <c r="L1532" s="1">
        <v>7.0</v>
      </c>
      <c r="M1532" s="1">
        <v>0.285714286</v>
      </c>
      <c r="N1532" s="1">
        <v>5.949999809</v>
      </c>
    </row>
    <row r="1533" ht="15.75" customHeight="1">
      <c r="A1533" s="1" t="s">
        <v>180</v>
      </c>
      <c r="B1533" s="1" t="s">
        <v>220</v>
      </c>
      <c r="C1533" s="5">
        <v>45553.0</v>
      </c>
      <c r="D1533" s="1" t="s">
        <v>161</v>
      </c>
      <c r="E1533" s="1" t="s">
        <v>11</v>
      </c>
      <c r="F1533" s="1" t="s">
        <v>166</v>
      </c>
      <c r="G1533" s="1" t="s">
        <v>233</v>
      </c>
      <c r="H1533" s="1">
        <v>4.0</v>
      </c>
      <c r="I1533" s="1">
        <v>1.0</v>
      </c>
      <c r="J1533" s="1">
        <v>0.0</v>
      </c>
      <c r="K1533" s="1">
        <v>28.0</v>
      </c>
      <c r="L1533" s="1">
        <v>45.0</v>
      </c>
      <c r="M1533" s="1">
        <v>0.622222222</v>
      </c>
      <c r="N1533" s="1">
        <v>32.15999985</v>
      </c>
    </row>
    <row r="1534" ht="15.75" customHeight="1">
      <c r="A1534" s="1" t="s">
        <v>180</v>
      </c>
      <c r="B1534" s="1" t="s">
        <v>214</v>
      </c>
      <c r="C1534" s="5">
        <v>45553.0</v>
      </c>
      <c r="D1534" s="1" t="s">
        <v>161</v>
      </c>
      <c r="E1534" s="1" t="s">
        <v>11</v>
      </c>
      <c r="F1534" s="1" t="s">
        <v>166</v>
      </c>
      <c r="H1534" s="1">
        <v>0.0</v>
      </c>
      <c r="I1534" s="1">
        <v>0.0</v>
      </c>
      <c r="J1534" s="1">
        <v>0.0</v>
      </c>
      <c r="K1534" s="1">
        <v>2.0</v>
      </c>
      <c r="L1534" s="1">
        <v>3.0</v>
      </c>
      <c r="M1534" s="1">
        <v>0.666666667</v>
      </c>
      <c r="N1534" s="1">
        <v>2.430000067</v>
      </c>
    </row>
    <row r="1535" ht="15.75" customHeight="1">
      <c r="A1535" s="1" t="s">
        <v>180</v>
      </c>
      <c r="B1535" s="1" t="s">
        <v>226</v>
      </c>
      <c r="C1535" s="5">
        <v>45553.0</v>
      </c>
      <c r="D1535" s="1" t="s">
        <v>161</v>
      </c>
      <c r="E1535" s="1" t="s">
        <v>11</v>
      </c>
      <c r="F1535" s="1" t="s">
        <v>166</v>
      </c>
      <c r="H1535" s="1">
        <v>0.0</v>
      </c>
      <c r="I1535" s="1">
        <v>1.0</v>
      </c>
      <c r="J1535" s="1">
        <v>0.0</v>
      </c>
      <c r="K1535" s="1">
        <v>20.0</v>
      </c>
      <c r="L1535" s="1">
        <v>47.0</v>
      </c>
      <c r="M1535" s="1">
        <v>0.425531915</v>
      </c>
      <c r="N1535" s="1">
        <v>16.89999962</v>
      </c>
    </row>
    <row r="1536" ht="15.75" customHeight="1">
      <c r="A1536" s="1" t="s">
        <v>160</v>
      </c>
      <c r="B1536" s="1" t="s">
        <v>224</v>
      </c>
      <c r="C1536" s="5">
        <v>45552.0</v>
      </c>
      <c r="D1536" s="1" t="s">
        <v>161</v>
      </c>
      <c r="E1536" s="1" t="s">
        <v>11</v>
      </c>
      <c r="F1536" s="1" t="s">
        <v>162</v>
      </c>
      <c r="H1536" s="1">
        <v>0.0</v>
      </c>
      <c r="I1536" s="1">
        <v>1.0</v>
      </c>
      <c r="J1536" s="1">
        <v>0.0</v>
      </c>
      <c r="K1536" s="1">
        <v>12.0</v>
      </c>
      <c r="L1536" s="1">
        <v>13.0</v>
      </c>
      <c r="M1536" s="1">
        <v>0.923076923</v>
      </c>
      <c r="N1536" s="1">
        <v>14.34000015</v>
      </c>
    </row>
    <row r="1537" ht="15.75" customHeight="1">
      <c r="A1537" s="1" t="s">
        <v>160</v>
      </c>
      <c r="B1537" s="1" t="s">
        <v>230</v>
      </c>
      <c r="C1537" s="5">
        <v>45552.0</v>
      </c>
      <c r="D1537" s="1" t="s">
        <v>161</v>
      </c>
      <c r="E1537" s="1" t="s">
        <v>11</v>
      </c>
      <c r="F1537" s="1" t="s">
        <v>165</v>
      </c>
      <c r="H1537" s="1">
        <v>0.0</v>
      </c>
      <c r="I1537" s="1">
        <v>1.0</v>
      </c>
      <c r="J1537" s="1">
        <v>0.0</v>
      </c>
      <c r="K1537" s="1">
        <v>22.0</v>
      </c>
      <c r="L1537" s="1">
        <v>43.0</v>
      </c>
      <c r="M1537" s="1">
        <v>0.511627907</v>
      </c>
      <c r="N1537" s="1">
        <v>0.0</v>
      </c>
    </row>
    <row r="1538" ht="15.75" customHeight="1">
      <c r="A1538" s="1" t="s">
        <v>160</v>
      </c>
      <c r="B1538" s="1" t="s">
        <v>95</v>
      </c>
      <c r="C1538" s="5">
        <v>45552.0</v>
      </c>
      <c r="D1538" s="1" t="s">
        <v>161</v>
      </c>
      <c r="E1538" s="1" t="s">
        <v>11</v>
      </c>
      <c r="F1538" s="1" t="s">
        <v>165</v>
      </c>
      <c r="H1538" s="1">
        <v>0.0</v>
      </c>
      <c r="I1538" s="1">
        <v>0.0</v>
      </c>
      <c r="J1538" s="1">
        <v>0.0</v>
      </c>
      <c r="K1538" s="1">
        <v>1.0</v>
      </c>
      <c r="L1538" s="1">
        <v>3.0</v>
      </c>
      <c r="M1538" s="1">
        <v>0.333333333</v>
      </c>
      <c r="N1538" s="1">
        <v>4.730000019</v>
      </c>
    </row>
    <row r="1539" ht="15.75" customHeight="1">
      <c r="A1539" s="1" t="s">
        <v>160</v>
      </c>
      <c r="B1539" s="1" t="s">
        <v>77</v>
      </c>
      <c r="C1539" s="5">
        <v>45552.0</v>
      </c>
      <c r="D1539" s="1" t="s">
        <v>161</v>
      </c>
      <c r="E1539" s="1" t="s">
        <v>11</v>
      </c>
      <c r="F1539" s="1" t="s">
        <v>162</v>
      </c>
      <c r="H1539" s="1">
        <v>0.0</v>
      </c>
      <c r="I1539" s="1">
        <v>0.0</v>
      </c>
      <c r="J1539" s="1">
        <v>0.0</v>
      </c>
      <c r="K1539" s="1">
        <v>0.0</v>
      </c>
      <c r="L1539" s="1">
        <v>0.0</v>
      </c>
      <c r="N1539" s="1">
        <v>0.439999998</v>
      </c>
    </row>
    <row r="1540" ht="15.75" customHeight="1">
      <c r="A1540" s="1" t="s">
        <v>164</v>
      </c>
      <c r="B1540" s="1" t="s">
        <v>22</v>
      </c>
      <c r="C1540" s="5">
        <v>45552.0</v>
      </c>
      <c r="D1540" s="1" t="s">
        <v>161</v>
      </c>
      <c r="E1540" s="1" t="s">
        <v>11</v>
      </c>
      <c r="F1540" s="1" t="s">
        <v>166</v>
      </c>
      <c r="H1540" s="1">
        <v>0.0</v>
      </c>
      <c r="I1540" s="1">
        <v>0.0</v>
      </c>
      <c r="J1540" s="1">
        <v>0.0</v>
      </c>
      <c r="K1540" s="1">
        <v>5.0</v>
      </c>
      <c r="L1540" s="1">
        <v>15.0</v>
      </c>
      <c r="M1540" s="1">
        <v>0.333333333</v>
      </c>
      <c r="N1540" s="1">
        <v>13.89000034</v>
      </c>
    </row>
    <row r="1541" ht="15.75" customHeight="1">
      <c r="A1541" s="1" t="s">
        <v>164</v>
      </c>
      <c r="B1541" s="1" t="s">
        <v>35</v>
      </c>
      <c r="C1541" s="5">
        <v>45552.0</v>
      </c>
      <c r="D1541" s="1" t="s">
        <v>161</v>
      </c>
      <c r="E1541" s="1" t="s">
        <v>11</v>
      </c>
      <c r="F1541" s="1" t="s">
        <v>177</v>
      </c>
      <c r="G1541" s="1" t="s">
        <v>163</v>
      </c>
      <c r="H1541" s="1">
        <v>1.0</v>
      </c>
      <c r="I1541" s="1">
        <v>1.0</v>
      </c>
      <c r="J1541" s="1">
        <v>0.0</v>
      </c>
      <c r="K1541" s="1">
        <v>12.0</v>
      </c>
      <c r="L1541" s="1">
        <v>12.0</v>
      </c>
      <c r="M1541" s="1">
        <v>1.0</v>
      </c>
      <c r="N1541" s="1">
        <v>4.699999809</v>
      </c>
    </row>
    <row r="1542" ht="15.75" customHeight="1">
      <c r="A1542" s="1" t="s">
        <v>164</v>
      </c>
      <c r="B1542" s="1" t="s">
        <v>35</v>
      </c>
      <c r="C1542" s="5">
        <v>45552.0</v>
      </c>
      <c r="D1542" s="1" t="s">
        <v>161</v>
      </c>
      <c r="E1542" s="1" t="s">
        <v>11</v>
      </c>
      <c r="F1542" s="1" t="s">
        <v>166</v>
      </c>
      <c r="G1542" s="1" t="s">
        <v>163</v>
      </c>
      <c r="H1542" s="1">
        <v>1.0</v>
      </c>
      <c r="I1542" s="1">
        <v>0.0</v>
      </c>
      <c r="J1542" s="1">
        <v>0.0</v>
      </c>
      <c r="K1542" s="1">
        <v>0.0</v>
      </c>
      <c r="L1542" s="1">
        <v>0.0</v>
      </c>
      <c r="N1542" s="1">
        <v>0.0</v>
      </c>
    </row>
    <row r="1543" ht="15.75" customHeight="1">
      <c r="A1543" s="1" t="s">
        <v>164</v>
      </c>
      <c r="B1543" s="1" t="s">
        <v>24</v>
      </c>
      <c r="C1543" s="5">
        <v>45552.0</v>
      </c>
      <c r="D1543" s="1" t="s">
        <v>161</v>
      </c>
      <c r="E1543" s="1" t="s">
        <v>11</v>
      </c>
      <c r="F1543" s="1" t="s">
        <v>166</v>
      </c>
      <c r="H1543" s="1">
        <v>0.0</v>
      </c>
      <c r="I1543" s="1">
        <v>0.0</v>
      </c>
      <c r="J1543" s="1">
        <v>0.0</v>
      </c>
      <c r="K1543" s="1">
        <v>15.0</v>
      </c>
      <c r="L1543" s="1">
        <v>30.0</v>
      </c>
      <c r="M1543" s="1">
        <v>0.5</v>
      </c>
      <c r="N1543" s="1">
        <v>15.39999962</v>
      </c>
    </row>
    <row r="1544" ht="15.75" customHeight="1">
      <c r="A1544" s="1" t="s">
        <v>164</v>
      </c>
      <c r="B1544" s="1" t="s">
        <v>207</v>
      </c>
      <c r="C1544" s="5">
        <v>45552.0</v>
      </c>
      <c r="D1544" s="1" t="s">
        <v>161</v>
      </c>
      <c r="E1544" s="1" t="s">
        <v>11</v>
      </c>
      <c r="F1544" s="1" t="s">
        <v>166</v>
      </c>
      <c r="G1544" s="1" t="s">
        <v>172</v>
      </c>
      <c r="H1544" s="1">
        <v>1.0</v>
      </c>
      <c r="I1544" s="1">
        <v>0.0</v>
      </c>
      <c r="J1544" s="1">
        <v>0.0</v>
      </c>
      <c r="K1544" s="1">
        <v>20.0</v>
      </c>
      <c r="L1544" s="1">
        <v>27.0</v>
      </c>
      <c r="M1544" s="1">
        <v>0.740740741</v>
      </c>
      <c r="N1544" s="1">
        <v>11.06000042</v>
      </c>
    </row>
    <row r="1545" ht="15.75" customHeight="1">
      <c r="A1545" s="1" t="s">
        <v>164</v>
      </c>
      <c r="B1545" s="1" t="s">
        <v>52</v>
      </c>
      <c r="C1545" s="5">
        <v>45552.0</v>
      </c>
      <c r="D1545" s="1" t="s">
        <v>161</v>
      </c>
      <c r="E1545" s="1" t="s">
        <v>11</v>
      </c>
      <c r="F1545" s="1" t="s">
        <v>165</v>
      </c>
      <c r="H1545" s="1">
        <v>0.0</v>
      </c>
      <c r="I1545" s="1">
        <v>1.0</v>
      </c>
      <c r="J1545" s="1">
        <v>0.0</v>
      </c>
      <c r="K1545" s="1">
        <v>15.0</v>
      </c>
      <c r="L1545" s="1">
        <v>19.0</v>
      </c>
      <c r="M1545" s="1">
        <v>0.789473684</v>
      </c>
      <c r="N1545" s="1">
        <v>9.43999958</v>
      </c>
    </row>
    <row r="1546" ht="15.75" customHeight="1">
      <c r="A1546" s="1" t="s">
        <v>164</v>
      </c>
      <c r="B1546" s="1" t="s">
        <v>213</v>
      </c>
      <c r="C1546" s="5">
        <v>45552.0</v>
      </c>
      <c r="D1546" s="1" t="s">
        <v>161</v>
      </c>
      <c r="E1546" s="1" t="s">
        <v>11</v>
      </c>
      <c r="F1546" s="1" t="s">
        <v>162</v>
      </c>
      <c r="H1546" s="1">
        <v>0.0</v>
      </c>
      <c r="I1546" s="1">
        <v>0.0</v>
      </c>
      <c r="J1546" s="1">
        <v>0.0</v>
      </c>
      <c r="K1546" s="1">
        <v>3.0</v>
      </c>
      <c r="L1546" s="1">
        <v>5.0</v>
      </c>
      <c r="M1546" s="1">
        <v>0.6</v>
      </c>
      <c r="N1546" s="1">
        <v>4.409999847</v>
      </c>
    </row>
    <row r="1547" ht="15.75" customHeight="1">
      <c r="A1547" s="1" t="s">
        <v>164</v>
      </c>
      <c r="B1547" s="1" t="s">
        <v>199</v>
      </c>
      <c r="C1547" s="5">
        <v>45552.0</v>
      </c>
      <c r="D1547" s="1" t="s">
        <v>161</v>
      </c>
      <c r="E1547" s="1" t="s">
        <v>11</v>
      </c>
      <c r="F1547" s="1" t="s">
        <v>162</v>
      </c>
      <c r="H1547" s="1">
        <v>0.0</v>
      </c>
      <c r="I1547" s="1">
        <v>0.0</v>
      </c>
      <c r="J1547" s="1">
        <v>0.0</v>
      </c>
      <c r="K1547" s="1">
        <v>5.0</v>
      </c>
      <c r="L1547" s="1">
        <v>22.0</v>
      </c>
      <c r="M1547" s="1">
        <v>0.227272727</v>
      </c>
      <c r="N1547" s="1">
        <v>20.61000061</v>
      </c>
    </row>
    <row r="1548" ht="15.75" customHeight="1">
      <c r="A1548" s="1" t="s">
        <v>164</v>
      </c>
      <c r="B1548" s="1" t="s">
        <v>196</v>
      </c>
      <c r="C1548" s="5">
        <v>45552.0</v>
      </c>
      <c r="D1548" s="1" t="s">
        <v>161</v>
      </c>
      <c r="E1548" s="1" t="s">
        <v>11</v>
      </c>
      <c r="F1548" s="1" t="s">
        <v>165</v>
      </c>
      <c r="H1548" s="1">
        <v>0.0</v>
      </c>
      <c r="I1548" s="1">
        <v>0.0</v>
      </c>
      <c r="J1548" s="1">
        <v>0.0</v>
      </c>
      <c r="K1548" s="1">
        <v>3.0</v>
      </c>
      <c r="L1548" s="1">
        <v>3.0</v>
      </c>
      <c r="M1548" s="1">
        <v>1.0</v>
      </c>
      <c r="N1548" s="1">
        <v>0.579999983</v>
      </c>
    </row>
    <row r="1549" ht="15.75" customHeight="1">
      <c r="A1549" s="1" t="s">
        <v>164</v>
      </c>
      <c r="B1549" s="1" t="s">
        <v>231</v>
      </c>
      <c r="C1549" s="5">
        <v>45552.0</v>
      </c>
      <c r="D1549" s="1" t="s">
        <v>161</v>
      </c>
      <c r="E1549" s="1" t="s">
        <v>11</v>
      </c>
      <c r="H1549" s="1">
        <v>0.0</v>
      </c>
      <c r="J1549" s="1">
        <v>0.0</v>
      </c>
      <c r="N1549" s="1">
        <v>1.370000005</v>
      </c>
    </row>
    <row r="1550" ht="15.75" customHeight="1">
      <c r="A1550" s="1" t="s">
        <v>164</v>
      </c>
      <c r="B1550" s="1" t="s">
        <v>63</v>
      </c>
      <c r="C1550" s="5">
        <v>45552.0</v>
      </c>
      <c r="D1550" s="1" t="s">
        <v>161</v>
      </c>
      <c r="E1550" s="1" t="s">
        <v>11</v>
      </c>
      <c r="F1550" s="1" t="s">
        <v>166</v>
      </c>
      <c r="H1550" s="1">
        <v>0.0</v>
      </c>
      <c r="I1550" s="1">
        <v>0.0</v>
      </c>
      <c r="J1550" s="1">
        <v>0.0</v>
      </c>
      <c r="K1550" s="1">
        <v>6.0</v>
      </c>
      <c r="L1550" s="1">
        <v>11.0</v>
      </c>
      <c r="M1550" s="1">
        <v>0.545454545</v>
      </c>
      <c r="N1550" s="1">
        <v>8.100000381</v>
      </c>
    </row>
    <row r="1551" ht="15.75" customHeight="1">
      <c r="A1551" s="1" t="s">
        <v>164</v>
      </c>
      <c r="B1551" s="1" t="s">
        <v>68</v>
      </c>
      <c r="C1551" s="5">
        <v>45552.0</v>
      </c>
      <c r="D1551" s="1" t="s">
        <v>161</v>
      </c>
      <c r="E1551" s="1" t="s">
        <v>11</v>
      </c>
      <c r="F1551" s="1" t="s">
        <v>165</v>
      </c>
      <c r="H1551" s="1">
        <v>0.0</v>
      </c>
      <c r="I1551" s="1">
        <v>0.0</v>
      </c>
      <c r="J1551" s="1">
        <v>0.0</v>
      </c>
      <c r="K1551" s="1">
        <v>6.0</v>
      </c>
      <c r="L1551" s="1">
        <v>10.0</v>
      </c>
      <c r="M1551" s="1">
        <v>0.6</v>
      </c>
      <c r="N1551" s="1">
        <v>10.52999973</v>
      </c>
    </row>
    <row r="1552" ht="15.75" customHeight="1">
      <c r="A1552" s="1" t="s">
        <v>164</v>
      </c>
      <c r="B1552" s="1" t="s">
        <v>197</v>
      </c>
      <c r="C1552" s="5">
        <v>45552.0</v>
      </c>
      <c r="D1552" s="1" t="s">
        <v>161</v>
      </c>
      <c r="E1552" s="1" t="s">
        <v>11</v>
      </c>
      <c r="F1552" s="1" t="s">
        <v>166</v>
      </c>
      <c r="H1552" s="1">
        <v>0.0</v>
      </c>
      <c r="I1552" s="1">
        <v>0.0</v>
      </c>
      <c r="J1552" s="1">
        <v>0.0</v>
      </c>
      <c r="K1552" s="1">
        <v>0.0</v>
      </c>
      <c r="L1552" s="1">
        <v>1.0</v>
      </c>
      <c r="M1552" s="1">
        <v>0.0</v>
      </c>
      <c r="N1552" s="1">
        <v>2.869999886</v>
      </c>
    </row>
    <row r="1553" ht="15.75" customHeight="1">
      <c r="A1553" s="1" t="s">
        <v>164</v>
      </c>
      <c r="B1553" s="1" t="s">
        <v>74</v>
      </c>
      <c r="C1553" s="5">
        <v>45552.0</v>
      </c>
      <c r="D1553" s="1" t="s">
        <v>161</v>
      </c>
      <c r="E1553" s="1" t="s">
        <v>11</v>
      </c>
      <c r="F1553" s="1" t="s">
        <v>166</v>
      </c>
      <c r="H1553" s="1">
        <v>0.0</v>
      </c>
      <c r="I1553" s="1">
        <v>0.0</v>
      </c>
      <c r="J1553" s="1">
        <v>0.0</v>
      </c>
      <c r="K1553" s="1">
        <v>2.0</v>
      </c>
      <c r="L1553" s="1">
        <v>4.0</v>
      </c>
      <c r="M1553" s="1">
        <v>0.5</v>
      </c>
      <c r="N1553" s="1">
        <v>8.699999809</v>
      </c>
    </row>
    <row r="1554" ht="15.75" customHeight="1">
      <c r="A1554" s="1" t="s">
        <v>164</v>
      </c>
      <c r="B1554" s="1" t="s">
        <v>205</v>
      </c>
      <c r="C1554" s="5">
        <v>45552.0</v>
      </c>
      <c r="D1554" s="1" t="s">
        <v>161</v>
      </c>
      <c r="E1554" s="1" t="s">
        <v>11</v>
      </c>
      <c r="F1554" s="1" t="s">
        <v>166</v>
      </c>
      <c r="G1554" s="1" t="s">
        <v>172</v>
      </c>
      <c r="H1554" s="1">
        <v>1.0</v>
      </c>
      <c r="I1554" s="1">
        <v>1.0</v>
      </c>
      <c r="J1554" s="1">
        <v>0.0</v>
      </c>
      <c r="K1554" s="1">
        <v>12.0</v>
      </c>
      <c r="L1554" s="1">
        <v>12.0</v>
      </c>
      <c r="M1554" s="1">
        <v>1.0</v>
      </c>
      <c r="N1554" s="1">
        <v>16.89999962</v>
      </c>
    </row>
    <row r="1555" ht="15.75" customHeight="1">
      <c r="A1555" s="1" t="s">
        <v>164</v>
      </c>
      <c r="B1555" s="1" t="s">
        <v>75</v>
      </c>
      <c r="C1555" s="5">
        <v>45552.0</v>
      </c>
      <c r="D1555" s="1" t="s">
        <v>161</v>
      </c>
      <c r="E1555" s="1" t="s">
        <v>11</v>
      </c>
      <c r="F1555" s="1" t="s">
        <v>165</v>
      </c>
      <c r="H1555" s="1">
        <v>0.0</v>
      </c>
      <c r="I1555" s="1">
        <v>0.0</v>
      </c>
      <c r="J1555" s="1">
        <v>0.0</v>
      </c>
      <c r="K1555" s="1">
        <v>5.0</v>
      </c>
      <c r="L1555" s="1">
        <v>13.0</v>
      </c>
      <c r="M1555" s="1">
        <v>0.384615385</v>
      </c>
      <c r="N1555" s="1">
        <v>9.890000343</v>
      </c>
    </row>
    <row r="1556" ht="15.75" customHeight="1">
      <c r="A1556" s="1" t="s">
        <v>164</v>
      </c>
      <c r="B1556" s="1" t="s">
        <v>100</v>
      </c>
      <c r="C1556" s="5">
        <v>45552.0</v>
      </c>
      <c r="D1556" s="1" t="s">
        <v>161</v>
      </c>
      <c r="E1556" s="1" t="s">
        <v>11</v>
      </c>
      <c r="F1556" s="1" t="s">
        <v>171</v>
      </c>
      <c r="H1556" s="1">
        <v>0.0</v>
      </c>
      <c r="I1556" s="1">
        <v>1.0</v>
      </c>
      <c r="J1556" s="1">
        <v>0.0</v>
      </c>
      <c r="K1556" s="1">
        <v>32.0</v>
      </c>
      <c r="L1556" s="1">
        <v>53.0</v>
      </c>
      <c r="M1556" s="1">
        <v>0.603773585</v>
      </c>
      <c r="N1556" s="1">
        <v>23.75</v>
      </c>
    </row>
    <row r="1557" ht="15.75" customHeight="1">
      <c r="A1557" s="1" t="s">
        <v>164</v>
      </c>
      <c r="B1557" s="1" t="s">
        <v>82</v>
      </c>
      <c r="C1557" s="5">
        <v>45552.0</v>
      </c>
      <c r="D1557" s="1" t="s">
        <v>161</v>
      </c>
      <c r="E1557" s="1" t="s">
        <v>11</v>
      </c>
      <c r="F1557" s="1" t="s">
        <v>165</v>
      </c>
      <c r="H1557" s="1">
        <v>0.0</v>
      </c>
      <c r="I1557" s="1">
        <v>1.0</v>
      </c>
      <c r="J1557" s="1">
        <v>0.0</v>
      </c>
      <c r="K1557" s="1">
        <v>16.0</v>
      </c>
      <c r="L1557" s="1">
        <v>33.0</v>
      </c>
      <c r="M1557" s="1">
        <v>0.484848485</v>
      </c>
      <c r="N1557" s="1">
        <v>25.42000008</v>
      </c>
    </row>
    <row r="1558" ht="15.75" customHeight="1">
      <c r="A1558" s="1" t="s">
        <v>164</v>
      </c>
      <c r="B1558" s="1" t="s">
        <v>82</v>
      </c>
      <c r="C1558" s="5">
        <v>45552.0</v>
      </c>
      <c r="D1558" s="1" t="s">
        <v>161</v>
      </c>
      <c r="E1558" s="1" t="s">
        <v>11</v>
      </c>
      <c r="F1558" s="1" t="s">
        <v>166</v>
      </c>
      <c r="H1558" s="1">
        <v>0.0</v>
      </c>
      <c r="I1558" s="1">
        <v>0.0</v>
      </c>
      <c r="J1558" s="1">
        <v>0.0</v>
      </c>
      <c r="K1558" s="1">
        <v>2.0</v>
      </c>
      <c r="L1558" s="1">
        <v>5.0</v>
      </c>
      <c r="M1558" s="1">
        <v>0.4</v>
      </c>
      <c r="N1558" s="1">
        <v>0.0</v>
      </c>
    </row>
    <row r="1559" ht="15.75" customHeight="1">
      <c r="A1559" s="1" t="s">
        <v>164</v>
      </c>
      <c r="B1559" s="1" t="s">
        <v>225</v>
      </c>
      <c r="C1559" s="5">
        <v>45552.0</v>
      </c>
      <c r="D1559" s="1" t="s">
        <v>161</v>
      </c>
      <c r="E1559" s="1" t="s">
        <v>11</v>
      </c>
      <c r="F1559" s="1" t="s">
        <v>166</v>
      </c>
      <c r="H1559" s="1">
        <v>0.0</v>
      </c>
      <c r="I1559" s="1">
        <v>0.0</v>
      </c>
      <c r="J1559" s="1">
        <v>0.0</v>
      </c>
      <c r="K1559" s="1">
        <v>0.0</v>
      </c>
      <c r="L1559" s="1">
        <v>2.0</v>
      </c>
      <c r="M1559" s="1">
        <v>0.0</v>
      </c>
      <c r="N1559" s="1">
        <v>4.0</v>
      </c>
    </row>
    <row r="1560" ht="15.75" customHeight="1">
      <c r="A1560" s="1" t="s">
        <v>180</v>
      </c>
      <c r="B1560" s="1" t="s">
        <v>220</v>
      </c>
      <c r="C1560" s="5">
        <v>45552.0</v>
      </c>
      <c r="D1560" s="1" t="s">
        <v>161</v>
      </c>
      <c r="E1560" s="1" t="s">
        <v>11</v>
      </c>
      <c r="F1560" s="1" t="s">
        <v>166</v>
      </c>
      <c r="G1560" s="1" t="s">
        <v>234</v>
      </c>
      <c r="H1560" s="1">
        <v>2.0</v>
      </c>
      <c r="I1560" s="1">
        <v>0.0</v>
      </c>
      <c r="J1560" s="1">
        <v>0.0</v>
      </c>
      <c r="K1560" s="1">
        <v>9.0</v>
      </c>
      <c r="L1560" s="1">
        <v>16.0</v>
      </c>
      <c r="M1560" s="1">
        <v>0.5625</v>
      </c>
      <c r="N1560" s="1">
        <v>11.86999989</v>
      </c>
    </row>
    <row r="1561" ht="15.75" customHeight="1">
      <c r="A1561" s="1" t="s">
        <v>180</v>
      </c>
      <c r="B1561" s="1" t="s">
        <v>214</v>
      </c>
      <c r="C1561" s="5">
        <v>45552.0</v>
      </c>
      <c r="D1561" s="1" t="s">
        <v>161</v>
      </c>
      <c r="E1561" s="1" t="s">
        <v>11</v>
      </c>
      <c r="F1561" s="1" t="s">
        <v>166</v>
      </c>
      <c r="H1561" s="1">
        <v>0.0</v>
      </c>
      <c r="I1561" s="1">
        <v>1.0</v>
      </c>
      <c r="J1561" s="1">
        <v>0.0</v>
      </c>
      <c r="K1561" s="1">
        <v>12.0</v>
      </c>
      <c r="L1561" s="1">
        <v>12.0</v>
      </c>
      <c r="M1561" s="1">
        <v>1.0</v>
      </c>
      <c r="N1561" s="1">
        <v>3.970000029</v>
      </c>
    </row>
    <row r="1562" ht="15.75" customHeight="1">
      <c r="A1562" s="1" t="s">
        <v>180</v>
      </c>
      <c r="B1562" s="1" t="s">
        <v>226</v>
      </c>
      <c r="C1562" s="5">
        <v>45552.0</v>
      </c>
      <c r="D1562" s="1" t="s">
        <v>161</v>
      </c>
      <c r="E1562" s="1" t="s">
        <v>11</v>
      </c>
      <c r="F1562" s="1" t="s">
        <v>166</v>
      </c>
      <c r="H1562" s="1">
        <v>0.0</v>
      </c>
      <c r="I1562" s="1">
        <v>1.0</v>
      </c>
      <c r="J1562" s="1">
        <v>0.0</v>
      </c>
      <c r="K1562" s="1">
        <v>11.0</v>
      </c>
      <c r="L1562" s="1">
        <v>15.0</v>
      </c>
      <c r="M1562" s="1">
        <v>0.733333333</v>
      </c>
      <c r="N1562" s="1">
        <v>14.71000004</v>
      </c>
    </row>
    <row r="1563" ht="15.75" customHeight="1">
      <c r="A1563" s="1" t="s">
        <v>160</v>
      </c>
      <c r="B1563" s="1" t="s">
        <v>224</v>
      </c>
      <c r="C1563" s="5">
        <v>45551.0</v>
      </c>
      <c r="D1563" s="1" t="s">
        <v>161</v>
      </c>
      <c r="E1563" s="1" t="s">
        <v>11</v>
      </c>
      <c r="F1563" s="1" t="s">
        <v>162</v>
      </c>
      <c r="H1563" s="1">
        <v>0.0</v>
      </c>
      <c r="I1563" s="1">
        <v>1.0</v>
      </c>
      <c r="J1563" s="1">
        <v>0.0</v>
      </c>
      <c r="K1563" s="1">
        <v>16.0</v>
      </c>
      <c r="L1563" s="1">
        <v>19.0</v>
      </c>
      <c r="M1563" s="1">
        <v>0.842105263</v>
      </c>
      <c r="N1563" s="1">
        <v>20.96999931</v>
      </c>
    </row>
    <row r="1564" ht="15.75" customHeight="1">
      <c r="A1564" s="1" t="s">
        <v>160</v>
      </c>
      <c r="B1564" s="1" t="s">
        <v>230</v>
      </c>
      <c r="C1564" s="5">
        <v>45551.0</v>
      </c>
      <c r="D1564" s="1" t="s">
        <v>161</v>
      </c>
      <c r="E1564" s="1" t="s">
        <v>11</v>
      </c>
      <c r="F1564" s="1" t="s">
        <v>165</v>
      </c>
      <c r="H1564" s="1">
        <v>0.0</v>
      </c>
      <c r="I1564" s="1">
        <v>2.0</v>
      </c>
      <c r="J1564" s="1">
        <v>0.0</v>
      </c>
      <c r="K1564" s="1">
        <v>28.0</v>
      </c>
      <c r="L1564" s="1">
        <v>33.0</v>
      </c>
      <c r="M1564" s="1">
        <v>0.848484848</v>
      </c>
      <c r="N1564" s="1">
        <v>0.0</v>
      </c>
    </row>
    <row r="1565" ht="15.75" customHeight="1">
      <c r="A1565" s="1" t="s">
        <v>160</v>
      </c>
      <c r="B1565" s="1" t="s">
        <v>95</v>
      </c>
      <c r="C1565" s="5">
        <v>45551.0</v>
      </c>
      <c r="D1565" s="1" t="s">
        <v>161</v>
      </c>
      <c r="E1565" s="1" t="s">
        <v>11</v>
      </c>
      <c r="F1565" s="1" t="s">
        <v>165</v>
      </c>
      <c r="G1565" s="1" t="s">
        <v>172</v>
      </c>
      <c r="H1565" s="1">
        <v>1.0</v>
      </c>
      <c r="I1565" s="1">
        <v>0.0</v>
      </c>
      <c r="J1565" s="1">
        <v>0.0</v>
      </c>
      <c r="K1565" s="1">
        <v>7.0</v>
      </c>
      <c r="L1565" s="1">
        <v>24.0</v>
      </c>
      <c r="M1565" s="1">
        <v>0.291666667</v>
      </c>
      <c r="N1565" s="1">
        <v>31.43000031</v>
      </c>
    </row>
    <row r="1566" ht="15.75" customHeight="1">
      <c r="A1566" s="1" t="s">
        <v>164</v>
      </c>
      <c r="B1566" s="1" t="s">
        <v>35</v>
      </c>
      <c r="C1566" s="5">
        <v>45551.0</v>
      </c>
      <c r="D1566" s="1" t="s">
        <v>161</v>
      </c>
      <c r="E1566" s="1" t="s">
        <v>11</v>
      </c>
      <c r="F1566" s="1" t="s">
        <v>162</v>
      </c>
      <c r="G1566" s="1" t="s">
        <v>163</v>
      </c>
      <c r="H1566" s="1">
        <v>1.0</v>
      </c>
      <c r="I1566" s="1">
        <v>0.0</v>
      </c>
      <c r="J1566" s="1">
        <v>0.0</v>
      </c>
      <c r="K1566" s="1">
        <v>0.0</v>
      </c>
      <c r="L1566" s="1">
        <v>0.0</v>
      </c>
      <c r="N1566" s="1">
        <v>0.0</v>
      </c>
    </row>
    <row r="1567" ht="15.75" customHeight="1">
      <c r="A1567" s="1" t="s">
        <v>164</v>
      </c>
      <c r="B1567" s="1" t="s">
        <v>35</v>
      </c>
      <c r="C1567" s="5">
        <v>45551.0</v>
      </c>
      <c r="D1567" s="1" t="s">
        <v>161</v>
      </c>
      <c r="E1567" s="1" t="s">
        <v>11</v>
      </c>
      <c r="F1567" s="1" t="s">
        <v>168</v>
      </c>
      <c r="G1567" s="1" t="s">
        <v>163</v>
      </c>
      <c r="H1567" s="1">
        <v>1.0</v>
      </c>
      <c r="I1567" s="1">
        <v>1.0</v>
      </c>
      <c r="J1567" s="1">
        <v>0.0</v>
      </c>
      <c r="K1567" s="1">
        <v>13.0</v>
      </c>
      <c r="L1567" s="1">
        <v>14.0</v>
      </c>
      <c r="M1567" s="1">
        <v>0.928571429</v>
      </c>
      <c r="N1567" s="1">
        <v>28.27000046</v>
      </c>
    </row>
    <row r="1568" ht="15.75" customHeight="1">
      <c r="A1568" s="1" t="s">
        <v>164</v>
      </c>
      <c r="B1568" s="1" t="s">
        <v>35</v>
      </c>
      <c r="C1568" s="5">
        <v>45551.0</v>
      </c>
      <c r="D1568" s="1" t="s">
        <v>161</v>
      </c>
      <c r="E1568" s="1" t="s">
        <v>11</v>
      </c>
      <c r="F1568" s="1" t="s">
        <v>166</v>
      </c>
      <c r="G1568" s="1" t="s">
        <v>163</v>
      </c>
      <c r="H1568" s="1">
        <v>1.0</v>
      </c>
      <c r="I1568" s="1">
        <v>0.0</v>
      </c>
      <c r="J1568" s="1">
        <v>0.0</v>
      </c>
      <c r="K1568" s="1">
        <v>1.0</v>
      </c>
      <c r="L1568" s="1">
        <v>7.0</v>
      </c>
      <c r="M1568" s="1">
        <v>0.142857143</v>
      </c>
      <c r="N1568" s="1">
        <v>0.0</v>
      </c>
    </row>
    <row r="1569" ht="15.75" customHeight="1">
      <c r="A1569" s="1" t="s">
        <v>164</v>
      </c>
      <c r="B1569" s="1" t="s">
        <v>24</v>
      </c>
      <c r="C1569" s="5">
        <v>45551.0</v>
      </c>
      <c r="D1569" s="1" t="s">
        <v>161</v>
      </c>
      <c r="E1569" s="1" t="s">
        <v>11</v>
      </c>
      <c r="F1569" s="1" t="s">
        <v>166</v>
      </c>
      <c r="G1569" s="1" t="s">
        <v>172</v>
      </c>
      <c r="H1569" s="1">
        <v>1.0</v>
      </c>
      <c r="I1569" s="1">
        <v>3.0</v>
      </c>
      <c r="J1569" s="1">
        <v>0.0</v>
      </c>
      <c r="K1569" s="1">
        <v>78.0</v>
      </c>
      <c r="L1569" s="1">
        <v>126.0</v>
      </c>
      <c r="M1569" s="1">
        <v>0.619047619</v>
      </c>
      <c r="N1569" s="1">
        <v>108.5699997</v>
      </c>
    </row>
    <row r="1570" ht="15.75" customHeight="1">
      <c r="A1570" s="1" t="s">
        <v>164</v>
      </c>
      <c r="B1570" s="1" t="s">
        <v>52</v>
      </c>
      <c r="C1570" s="5">
        <v>45551.0</v>
      </c>
      <c r="D1570" s="1" t="s">
        <v>161</v>
      </c>
      <c r="E1570" s="1" t="s">
        <v>11</v>
      </c>
      <c r="F1570" s="1" t="s">
        <v>165</v>
      </c>
      <c r="H1570" s="1">
        <v>0.0</v>
      </c>
      <c r="I1570" s="1">
        <v>1.0</v>
      </c>
      <c r="J1570" s="1">
        <v>0.0</v>
      </c>
      <c r="K1570" s="1">
        <v>7.0</v>
      </c>
      <c r="L1570" s="1">
        <v>7.0</v>
      </c>
      <c r="M1570" s="1">
        <v>1.0</v>
      </c>
      <c r="N1570" s="1">
        <v>9.090000153</v>
      </c>
    </row>
    <row r="1571" ht="15.75" customHeight="1">
      <c r="A1571" s="1" t="s">
        <v>164</v>
      </c>
      <c r="B1571" s="1" t="s">
        <v>199</v>
      </c>
      <c r="C1571" s="5">
        <v>45551.0</v>
      </c>
      <c r="D1571" s="1" t="s">
        <v>161</v>
      </c>
      <c r="E1571" s="1" t="s">
        <v>11</v>
      </c>
      <c r="F1571" s="1" t="s">
        <v>162</v>
      </c>
      <c r="H1571" s="1">
        <v>0.0</v>
      </c>
      <c r="I1571" s="1">
        <v>0.0</v>
      </c>
      <c r="J1571" s="1">
        <v>0.0</v>
      </c>
      <c r="K1571" s="1">
        <v>0.0</v>
      </c>
      <c r="L1571" s="1">
        <v>5.0</v>
      </c>
      <c r="M1571" s="1">
        <v>0.0</v>
      </c>
      <c r="N1571" s="1">
        <v>6.420000076</v>
      </c>
    </row>
    <row r="1572" ht="15.75" customHeight="1">
      <c r="A1572" s="1" t="s">
        <v>164</v>
      </c>
      <c r="B1572" s="1" t="s">
        <v>196</v>
      </c>
      <c r="C1572" s="5">
        <v>45551.0</v>
      </c>
      <c r="D1572" s="1" t="s">
        <v>161</v>
      </c>
      <c r="E1572" s="1" t="s">
        <v>11</v>
      </c>
      <c r="F1572" s="1" t="s">
        <v>165</v>
      </c>
      <c r="H1572" s="1">
        <v>0.0</v>
      </c>
      <c r="I1572" s="1">
        <v>1.0</v>
      </c>
      <c r="J1572" s="1">
        <v>0.0</v>
      </c>
      <c r="K1572" s="1">
        <v>13.0</v>
      </c>
      <c r="L1572" s="1">
        <v>27.0</v>
      </c>
      <c r="M1572" s="1">
        <v>0.481481481</v>
      </c>
      <c r="N1572" s="1">
        <v>28.37999916</v>
      </c>
    </row>
    <row r="1573" ht="15.75" customHeight="1">
      <c r="A1573" s="1" t="s">
        <v>164</v>
      </c>
      <c r="B1573" s="1" t="s">
        <v>231</v>
      </c>
      <c r="C1573" s="5">
        <v>45551.0</v>
      </c>
      <c r="D1573" s="1" t="s">
        <v>161</v>
      </c>
      <c r="E1573" s="1" t="s">
        <v>11</v>
      </c>
      <c r="F1573" s="1" t="s">
        <v>166</v>
      </c>
      <c r="H1573" s="1">
        <v>0.0</v>
      </c>
      <c r="I1573" s="1">
        <v>0.0</v>
      </c>
      <c r="J1573" s="1">
        <v>0.0</v>
      </c>
      <c r="K1573" s="1">
        <v>9.0</v>
      </c>
      <c r="L1573" s="1">
        <v>17.0</v>
      </c>
      <c r="M1573" s="1">
        <v>0.529411765</v>
      </c>
      <c r="N1573" s="1">
        <v>74.98000336</v>
      </c>
    </row>
    <row r="1574" ht="15.75" customHeight="1">
      <c r="A1574" s="1" t="s">
        <v>164</v>
      </c>
      <c r="B1574" s="1" t="s">
        <v>63</v>
      </c>
      <c r="C1574" s="5">
        <v>45551.0</v>
      </c>
      <c r="D1574" s="1" t="s">
        <v>161</v>
      </c>
      <c r="E1574" s="1" t="s">
        <v>11</v>
      </c>
      <c r="H1574" s="1">
        <v>0.0</v>
      </c>
      <c r="J1574" s="1">
        <v>0.0</v>
      </c>
      <c r="N1574" s="1">
        <v>13.19999981</v>
      </c>
    </row>
    <row r="1575" ht="15.75" customHeight="1">
      <c r="A1575" s="1" t="s">
        <v>164</v>
      </c>
      <c r="B1575" s="1" t="s">
        <v>68</v>
      </c>
      <c r="C1575" s="5">
        <v>45551.0</v>
      </c>
      <c r="D1575" s="1" t="s">
        <v>161</v>
      </c>
      <c r="E1575" s="1" t="s">
        <v>11</v>
      </c>
      <c r="F1575" s="1" t="s">
        <v>165</v>
      </c>
      <c r="H1575" s="1">
        <v>0.0</v>
      </c>
      <c r="I1575" s="1">
        <v>0.0</v>
      </c>
      <c r="J1575" s="1">
        <v>0.0</v>
      </c>
      <c r="K1575" s="1">
        <v>2.0</v>
      </c>
      <c r="L1575" s="1">
        <v>4.0</v>
      </c>
      <c r="M1575" s="1">
        <v>0.5</v>
      </c>
      <c r="N1575" s="1">
        <v>10.78999996</v>
      </c>
    </row>
    <row r="1576" ht="15.75" customHeight="1">
      <c r="A1576" s="1" t="s">
        <v>164</v>
      </c>
      <c r="B1576" s="1" t="s">
        <v>197</v>
      </c>
      <c r="C1576" s="5">
        <v>45551.0</v>
      </c>
      <c r="D1576" s="1" t="s">
        <v>161</v>
      </c>
      <c r="E1576" s="1" t="s">
        <v>11</v>
      </c>
      <c r="F1576" s="1" t="s">
        <v>166</v>
      </c>
      <c r="H1576" s="1">
        <v>0.0</v>
      </c>
      <c r="I1576" s="1">
        <v>0.0</v>
      </c>
      <c r="J1576" s="1">
        <v>0.0</v>
      </c>
      <c r="K1576" s="1">
        <v>3.0</v>
      </c>
      <c r="L1576" s="1">
        <v>8.0</v>
      </c>
      <c r="M1576" s="1">
        <v>0.375</v>
      </c>
      <c r="N1576" s="1">
        <v>15.18000031</v>
      </c>
    </row>
    <row r="1577" ht="15.75" customHeight="1">
      <c r="A1577" s="1" t="s">
        <v>164</v>
      </c>
      <c r="B1577" s="1" t="s">
        <v>74</v>
      </c>
      <c r="C1577" s="5">
        <v>45551.0</v>
      </c>
      <c r="D1577" s="1" t="s">
        <v>161</v>
      </c>
      <c r="E1577" s="1" t="s">
        <v>11</v>
      </c>
      <c r="F1577" s="1" t="s">
        <v>166</v>
      </c>
      <c r="H1577" s="1">
        <v>0.0</v>
      </c>
      <c r="I1577" s="1">
        <v>0.0</v>
      </c>
      <c r="J1577" s="1">
        <v>0.0</v>
      </c>
      <c r="K1577" s="1">
        <v>0.0</v>
      </c>
      <c r="L1577" s="1">
        <v>4.0</v>
      </c>
      <c r="M1577" s="1">
        <v>0.0</v>
      </c>
      <c r="N1577" s="1">
        <v>9.710000038</v>
      </c>
    </row>
    <row r="1578" ht="15.75" customHeight="1">
      <c r="A1578" s="1" t="s">
        <v>164</v>
      </c>
      <c r="B1578" s="1" t="s">
        <v>205</v>
      </c>
      <c r="C1578" s="5">
        <v>45551.0</v>
      </c>
      <c r="D1578" s="1" t="s">
        <v>161</v>
      </c>
      <c r="E1578" s="1" t="s">
        <v>11</v>
      </c>
      <c r="F1578" s="1" t="s">
        <v>166</v>
      </c>
      <c r="H1578" s="1">
        <v>0.0</v>
      </c>
      <c r="I1578" s="1">
        <v>1.0</v>
      </c>
      <c r="J1578" s="1">
        <v>0.0</v>
      </c>
      <c r="K1578" s="1">
        <v>12.0</v>
      </c>
      <c r="L1578" s="1">
        <v>15.0</v>
      </c>
      <c r="M1578" s="1">
        <v>0.8</v>
      </c>
      <c r="N1578" s="1">
        <v>9.520000458</v>
      </c>
    </row>
    <row r="1579" ht="15.75" customHeight="1">
      <c r="A1579" s="1" t="s">
        <v>164</v>
      </c>
      <c r="B1579" s="1" t="s">
        <v>75</v>
      </c>
      <c r="C1579" s="5">
        <v>45551.0</v>
      </c>
      <c r="D1579" s="1" t="s">
        <v>161</v>
      </c>
      <c r="E1579" s="1" t="s">
        <v>11</v>
      </c>
      <c r="F1579" s="1" t="s">
        <v>165</v>
      </c>
      <c r="H1579" s="1">
        <v>0.0</v>
      </c>
      <c r="I1579" s="1">
        <v>0.0</v>
      </c>
      <c r="J1579" s="1">
        <v>0.0</v>
      </c>
      <c r="K1579" s="1">
        <v>8.0</v>
      </c>
      <c r="L1579" s="1">
        <v>16.0</v>
      </c>
      <c r="M1579" s="1">
        <v>0.5</v>
      </c>
      <c r="N1579" s="1">
        <v>12.38000011</v>
      </c>
    </row>
    <row r="1580" ht="15.75" customHeight="1">
      <c r="A1580" s="1" t="s">
        <v>164</v>
      </c>
      <c r="B1580" s="1" t="s">
        <v>100</v>
      </c>
      <c r="C1580" s="5">
        <v>45551.0</v>
      </c>
      <c r="D1580" s="1" t="s">
        <v>161</v>
      </c>
      <c r="E1580" s="1" t="s">
        <v>11</v>
      </c>
      <c r="F1580" s="1" t="s">
        <v>171</v>
      </c>
      <c r="H1580" s="1">
        <v>0.0</v>
      </c>
      <c r="I1580" s="1">
        <v>0.0</v>
      </c>
      <c r="J1580" s="1">
        <v>0.0</v>
      </c>
      <c r="K1580" s="1">
        <v>2.0</v>
      </c>
      <c r="L1580" s="1">
        <v>2.0</v>
      </c>
      <c r="M1580" s="1">
        <v>1.0</v>
      </c>
      <c r="N1580" s="1">
        <v>2.799999952</v>
      </c>
    </row>
    <row r="1581" ht="15.75" customHeight="1">
      <c r="A1581" s="1" t="s">
        <v>164</v>
      </c>
      <c r="B1581" s="1" t="s">
        <v>225</v>
      </c>
      <c r="C1581" s="5">
        <v>45551.0</v>
      </c>
      <c r="D1581" s="1" t="s">
        <v>161</v>
      </c>
      <c r="E1581" s="1" t="s">
        <v>11</v>
      </c>
      <c r="F1581" s="1" t="s">
        <v>166</v>
      </c>
      <c r="H1581" s="1">
        <v>0.0</v>
      </c>
      <c r="I1581" s="1">
        <v>0.0</v>
      </c>
      <c r="J1581" s="1">
        <v>0.0</v>
      </c>
      <c r="K1581" s="1">
        <v>0.0</v>
      </c>
      <c r="L1581" s="1">
        <v>0.0</v>
      </c>
      <c r="N1581" s="1">
        <v>5.179999828</v>
      </c>
    </row>
    <row r="1582" ht="15.75" customHeight="1">
      <c r="A1582" s="1" t="s">
        <v>180</v>
      </c>
      <c r="B1582" s="1" t="s">
        <v>220</v>
      </c>
      <c r="C1582" s="5">
        <v>45551.0</v>
      </c>
      <c r="D1582" s="1" t="s">
        <v>161</v>
      </c>
      <c r="E1582" s="1" t="s">
        <v>11</v>
      </c>
      <c r="F1582" s="1" t="s">
        <v>166</v>
      </c>
      <c r="G1582" s="1" t="s">
        <v>234</v>
      </c>
      <c r="H1582" s="1">
        <v>2.0</v>
      </c>
      <c r="I1582" s="1">
        <v>2.0</v>
      </c>
      <c r="J1582" s="1">
        <v>0.0</v>
      </c>
      <c r="K1582" s="1">
        <v>32.0</v>
      </c>
      <c r="L1582" s="1">
        <v>40.0</v>
      </c>
      <c r="M1582" s="1">
        <v>0.8</v>
      </c>
      <c r="N1582" s="1">
        <v>36.97000122</v>
      </c>
    </row>
    <row r="1583" ht="15.75" customHeight="1">
      <c r="A1583" s="1" t="s">
        <v>180</v>
      </c>
      <c r="B1583" s="1" t="s">
        <v>214</v>
      </c>
      <c r="C1583" s="5">
        <v>45551.0</v>
      </c>
      <c r="D1583" s="1" t="s">
        <v>161</v>
      </c>
      <c r="E1583" s="1" t="s">
        <v>11</v>
      </c>
      <c r="F1583" s="1" t="s">
        <v>166</v>
      </c>
      <c r="H1583" s="1">
        <v>0.0</v>
      </c>
      <c r="I1583" s="1">
        <v>1.0</v>
      </c>
      <c r="J1583" s="1">
        <v>0.0</v>
      </c>
      <c r="K1583" s="1">
        <v>14.0</v>
      </c>
      <c r="L1583" s="1">
        <v>17.0</v>
      </c>
      <c r="M1583" s="1">
        <v>0.823529412</v>
      </c>
      <c r="N1583" s="1">
        <v>11.80000019</v>
      </c>
    </row>
    <row r="1584" ht="15.75" customHeight="1">
      <c r="A1584" s="1" t="s">
        <v>180</v>
      </c>
      <c r="B1584" s="1" t="s">
        <v>181</v>
      </c>
      <c r="C1584" s="5">
        <v>45551.0</v>
      </c>
      <c r="D1584" s="1" t="s">
        <v>161</v>
      </c>
      <c r="E1584" s="1" t="s">
        <v>11</v>
      </c>
      <c r="F1584" s="1" t="s">
        <v>166</v>
      </c>
      <c r="H1584" s="1">
        <v>0.0</v>
      </c>
      <c r="I1584" s="1">
        <v>0.0</v>
      </c>
      <c r="J1584" s="1">
        <v>0.0</v>
      </c>
      <c r="K1584" s="1">
        <v>0.0</v>
      </c>
      <c r="L1584" s="1">
        <v>0.0</v>
      </c>
      <c r="N1584" s="1">
        <v>0.170000002</v>
      </c>
    </row>
    <row r="1585" ht="15.75" customHeight="1">
      <c r="A1585" s="1" t="s">
        <v>180</v>
      </c>
      <c r="B1585" s="1" t="s">
        <v>226</v>
      </c>
      <c r="C1585" s="5">
        <v>45551.0</v>
      </c>
      <c r="D1585" s="1" t="s">
        <v>161</v>
      </c>
      <c r="E1585" s="1" t="s">
        <v>11</v>
      </c>
      <c r="F1585" s="1" t="s">
        <v>166</v>
      </c>
      <c r="H1585" s="1">
        <v>0.0</v>
      </c>
      <c r="I1585" s="1">
        <v>0.0</v>
      </c>
      <c r="J1585" s="1">
        <v>0.0</v>
      </c>
      <c r="K1585" s="1">
        <v>0.0</v>
      </c>
      <c r="L1585" s="1">
        <v>0.0</v>
      </c>
      <c r="N1585" s="1">
        <v>1.580000043</v>
      </c>
    </row>
    <row r="1586" ht="15.75" customHeight="1">
      <c r="A1586" s="1" t="s">
        <v>164</v>
      </c>
      <c r="B1586" s="1" t="s">
        <v>35</v>
      </c>
      <c r="C1586" s="5">
        <v>45550.0</v>
      </c>
      <c r="D1586" s="1" t="s">
        <v>161</v>
      </c>
      <c r="E1586" s="1" t="s">
        <v>11</v>
      </c>
      <c r="F1586" s="1" t="s">
        <v>162</v>
      </c>
      <c r="G1586" s="1" t="s">
        <v>227</v>
      </c>
      <c r="H1586" s="1">
        <v>3.0</v>
      </c>
      <c r="I1586" s="1">
        <v>2.0</v>
      </c>
      <c r="J1586" s="1">
        <v>0.0</v>
      </c>
      <c r="K1586" s="1">
        <v>46.0</v>
      </c>
      <c r="L1586" s="1">
        <v>63.0</v>
      </c>
      <c r="M1586" s="1">
        <v>0.73015873</v>
      </c>
      <c r="N1586" s="1">
        <v>139.3399963</v>
      </c>
    </row>
    <row r="1587" ht="15.75" customHeight="1">
      <c r="A1587" s="1" t="s">
        <v>164</v>
      </c>
      <c r="B1587" s="1" t="s">
        <v>35</v>
      </c>
      <c r="C1587" s="5">
        <v>45550.0</v>
      </c>
      <c r="D1587" s="1" t="s">
        <v>161</v>
      </c>
      <c r="E1587" s="1" t="s">
        <v>11</v>
      </c>
      <c r="F1587" s="1" t="s">
        <v>166</v>
      </c>
      <c r="G1587" s="1" t="s">
        <v>227</v>
      </c>
      <c r="H1587" s="1">
        <v>3.0</v>
      </c>
      <c r="I1587" s="1">
        <v>0.0</v>
      </c>
      <c r="J1587" s="1">
        <v>0.0</v>
      </c>
      <c r="K1587" s="1">
        <v>9.0</v>
      </c>
      <c r="L1587" s="1">
        <v>19.0</v>
      </c>
      <c r="M1587" s="1">
        <v>0.473684211</v>
      </c>
      <c r="N1587" s="1">
        <v>0.0</v>
      </c>
    </row>
    <row r="1588" ht="15.75" customHeight="1">
      <c r="A1588" s="1" t="s">
        <v>164</v>
      </c>
      <c r="B1588" s="1" t="s">
        <v>183</v>
      </c>
      <c r="C1588" s="5">
        <v>45550.0</v>
      </c>
      <c r="D1588" s="1" t="s">
        <v>161</v>
      </c>
      <c r="E1588" s="1" t="s">
        <v>11</v>
      </c>
      <c r="F1588" s="1" t="s">
        <v>166</v>
      </c>
      <c r="H1588" s="1">
        <v>0.0</v>
      </c>
      <c r="I1588" s="1">
        <v>0.0</v>
      </c>
      <c r="J1588" s="1">
        <v>0.0</v>
      </c>
      <c r="K1588" s="1">
        <v>0.0</v>
      </c>
      <c r="L1588" s="1">
        <v>0.0</v>
      </c>
      <c r="N1588" s="1">
        <v>0.129999995</v>
      </c>
    </row>
    <row r="1589" ht="15.75" customHeight="1">
      <c r="A1589" s="1" t="s">
        <v>164</v>
      </c>
      <c r="B1589" s="1" t="s">
        <v>205</v>
      </c>
      <c r="C1589" s="5">
        <v>45550.0</v>
      </c>
      <c r="D1589" s="1" t="s">
        <v>161</v>
      </c>
      <c r="E1589" s="1" t="s">
        <v>11</v>
      </c>
      <c r="F1589" s="1" t="s">
        <v>166</v>
      </c>
      <c r="H1589" s="1">
        <v>0.0</v>
      </c>
      <c r="I1589" s="1">
        <v>2.0</v>
      </c>
      <c r="J1589" s="1">
        <v>0.0</v>
      </c>
      <c r="K1589" s="1">
        <v>28.0</v>
      </c>
      <c r="L1589" s="1">
        <v>35.0</v>
      </c>
      <c r="M1589" s="1">
        <v>0.8</v>
      </c>
      <c r="N1589" s="1">
        <v>79.30999756</v>
      </c>
    </row>
    <row r="1590" ht="15.75" customHeight="1">
      <c r="A1590" s="1" t="s">
        <v>164</v>
      </c>
      <c r="B1590" s="1" t="s">
        <v>35</v>
      </c>
      <c r="C1590" s="5">
        <v>45549.0</v>
      </c>
      <c r="D1590" s="1" t="s">
        <v>161</v>
      </c>
      <c r="E1590" s="1" t="s">
        <v>11</v>
      </c>
      <c r="F1590" s="1" t="s">
        <v>166</v>
      </c>
      <c r="H1590" s="1">
        <v>0.0</v>
      </c>
      <c r="I1590" s="1">
        <v>0.0</v>
      </c>
      <c r="J1590" s="1">
        <v>0.0</v>
      </c>
      <c r="K1590" s="1">
        <v>0.0</v>
      </c>
      <c r="L1590" s="1">
        <v>1.0</v>
      </c>
      <c r="M1590" s="1">
        <v>0.0</v>
      </c>
      <c r="N1590" s="1">
        <v>2.079999924</v>
      </c>
    </row>
    <row r="1591" ht="15.75" customHeight="1">
      <c r="A1591" s="1" t="s">
        <v>160</v>
      </c>
      <c r="B1591" s="1" t="s">
        <v>39</v>
      </c>
      <c r="C1591" s="5">
        <v>45548.0</v>
      </c>
      <c r="D1591" s="1" t="s">
        <v>161</v>
      </c>
      <c r="E1591" s="1" t="s">
        <v>11</v>
      </c>
      <c r="F1591" s="1" t="s">
        <v>162</v>
      </c>
      <c r="H1591" s="1">
        <v>0.0</v>
      </c>
      <c r="I1591" s="1">
        <v>0.0</v>
      </c>
      <c r="J1591" s="1">
        <v>0.0</v>
      </c>
      <c r="K1591" s="1">
        <v>0.0</v>
      </c>
      <c r="L1591" s="1">
        <v>1.0</v>
      </c>
      <c r="M1591" s="1">
        <v>0.0</v>
      </c>
      <c r="N1591" s="1">
        <v>8.369999886</v>
      </c>
    </row>
    <row r="1592" ht="15.75" customHeight="1">
      <c r="A1592" s="1" t="s">
        <v>160</v>
      </c>
      <c r="B1592" s="1" t="s">
        <v>224</v>
      </c>
      <c r="C1592" s="5">
        <v>45548.0</v>
      </c>
      <c r="D1592" s="1" t="s">
        <v>161</v>
      </c>
      <c r="E1592" s="1" t="s">
        <v>11</v>
      </c>
      <c r="F1592" s="1" t="s">
        <v>162</v>
      </c>
      <c r="H1592" s="1">
        <v>0.0</v>
      </c>
      <c r="I1592" s="1">
        <v>1.0</v>
      </c>
      <c r="J1592" s="1">
        <v>0.0</v>
      </c>
      <c r="K1592" s="1">
        <v>20.0</v>
      </c>
      <c r="L1592" s="1">
        <v>25.0</v>
      </c>
      <c r="M1592" s="1">
        <v>0.8</v>
      </c>
      <c r="N1592" s="1">
        <v>34.95000076</v>
      </c>
    </row>
    <row r="1593" ht="15.75" customHeight="1">
      <c r="A1593" s="1" t="s">
        <v>160</v>
      </c>
      <c r="B1593" s="1" t="s">
        <v>230</v>
      </c>
      <c r="C1593" s="5">
        <v>45548.0</v>
      </c>
      <c r="D1593" s="1" t="s">
        <v>161</v>
      </c>
      <c r="E1593" s="1" t="s">
        <v>11</v>
      </c>
      <c r="F1593" s="1" t="s">
        <v>165</v>
      </c>
      <c r="H1593" s="1">
        <v>0.0</v>
      </c>
      <c r="I1593" s="1">
        <v>0.0</v>
      </c>
      <c r="J1593" s="1">
        <v>0.0</v>
      </c>
      <c r="K1593" s="1">
        <v>4.0</v>
      </c>
      <c r="L1593" s="1">
        <v>14.0</v>
      </c>
      <c r="M1593" s="1">
        <v>0.285714286</v>
      </c>
      <c r="N1593" s="1">
        <v>9.399999619</v>
      </c>
    </row>
    <row r="1594" ht="15.75" customHeight="1">
      <c r="A1594" s="1" t="s">
        <v>160</v>
      </c>
      <c r="B1594" s="1" t="s">
        <v>95</v>
      </c>
      <c r="C1594" s="5">
        <v>45548.0</v>
      </c>
      <c r="D1594" s="1" t="s">
        <v>161</v>
      </c>
      <c r="E1594" s="1" t="s">
        <v>11</v>
      </c>
      <c r="F1594" s="1" t="s">
        <v>165</v>
      </c>
      <c r="H1594" s="1">
        <v>0.0</v>
      </c>
      <c r="I1594" s="1">
        <v>0.0</v>
      </c>
      <c r="J1594" s="1">
        <v>0.0</v>
      </c>
      <c r="K1594" s="1">
        <v>8.0</v>
      </c>
      <c r="L1594" s="1">
        <v>15.0</v>
      </c>
      <c r="M1594" s="1">
        <v>0.533333333</v>
      </c>
      <c r="N1594" s="1">
        <v>0.0</v>
      </c>
    </row>
    <row r="1595" ht="15.75" customHeight="1">
      <c r="A1595" s="1" t="s">
        <v>164</v>
      </c>
      <c r="B1595" s="1" t="s">
        <v>22</v>
      </c>
      <c r="C1595" s="5">
        <v>45548.0</v>
      </c>
      <c r="D1595" s="1" t="s">
        <v>161</v>
      </c>
      <c r="E1595" s="1" t="s">
        <v>11</v>
      </c>
      <c r="F1595" s="1" t="s">
        <v>166</v>
      </c>
      <c r="H1595" s="1">
        <v>0.0</v>
      </c>
      <c r="I1595" s="1">
        <v>0.0</v>
      </c>
      <c r="J1595" s="1">
        <v>0.0</v>
      </c>
      <c r="K1595" s="1">
        <v>4.0</v>
      </c>
      <c r="L1595" s="1">
        <v>6.0</v>
      </c>
      <c r="M1595" s="1">
        <v>0.666666667</v>
      </c>
      <c r="N1595" s="1">
        <v>19.38999939</v>
      </c>
    </row>
    <row r="1596" ht="15.75" customHeight="1">
      <c r="A1596" s="1" t="s">
        <v>164</v>
      </c>
      <c r="B1596" s="1" t="s">
        <v>35</v>
      </c>
      <c r="C1596" s="5">
        <v>45548.0</v>
      </c>
      <c r="D1596" s="1" t="s">
        <v>161</v>
      </c>
      <c r="E1596" s="1" t="s">
        <v>11</v>
      </c>
      <c r="F1596" s="1" t="s">
        <v>166</v>
      </c>
      <c r="H1596" s="1">
        <v>0.0</v>
      </c>
      <c r="I1596" s="1">
        <v>0.0</v>
      </c>
      <c r="J1596" s="1">
        <v>0.0</v>
      </c>
      <c r="K1596" s="1">
        <v>0.0</v>
      </c>
      <c r="L1596" s="1">
        <v>0.0</v>
      </c>
      <c r="N1596" s="1">
        <v>1.610000014</v>
      </c>
    </row>
    <row r="1597" ht="15.75" customHeight="1">
      <c r="A1597" s="1" t="s">
        <v>164</v>
      </c>
      <c r="B1597" s="1" t="s">
        <v>24</v>
      </c>
      <c r="C1597" s="5">
        <v>45548.0</v>
      </c>
      <c r="D1597" s="1" t="s">
        <v>161</v>
      </c>
      <c r="E1597" s="1" t="s">
        <v>11</v>
      </c>
      <c r="F1597" s="1" t="s">
        <v>166</v>
      </c>
      <c r="H1597" s="1">
        <v>0.0</v>
      </c>
      <c r="I1597" s="1">
        <v>0.0</v>
      </c>
      <c r="J1597" s="1">
        <v>0.0</v>
      </c>
      <c r="K1597" s="1">
        <v>1.0</v>
      </c>
      <c r="L1597" s="1">
        <v>1.0</v>
      </c>
      <c r="M1597" s="1">
        <v>1.0</v>
      </c>
      <c r="N1597" s="1">
        <v>2.150000095</v>
      </c>
    </row>
    <row r="1598" ht="15.75" customHeight="1">
      <c r="A1598" s="1" t="s">
        <v>164</v>
      </c>
      <c r="B1598" s="1" t="s">
        <v>207</v>
      </c>
      <c r="C1598" s="5">
        <v>45548.0</v>
      </c>
      <c r="D1598" s="1" t="s">
        <v>161</v>
      </c>
      <c r="E1598" s="1" t="s">
        <v>11</v>
      </c>
      <c r="F1598" s="1" t="s">
        <v>166</v>
      </c>
      <c r="H1598" s="1">
        <v>0.0</v>
      </c>
      <c r="I1598" s="1">
        <v>1.0</v>
      </c>
      <c r="J1598" s="1">
        <v>0.0</v>
      </c>
      <c r="K1598" s="1">
        <v>6.0</v>
      </c>
      <c r="L1598" s="1">
        <v>6.0</v>
      </c>
      <c r="M1598" s="1">
        <v>1.0</v>
      </c>
      <c r="N1598" s="1">
        <v>4.960000038</v>
      </c>
    </row>
    <row r="1599" ht="15.75" customHeight="1">
      <c r="A1599" s="1" t="s">
        <v>164</v>
      </c>
      <c r="B1599" s="1" t="s">
        <v>52</v>
      </c>
      <c r="C1599" s="5">
        <v>45548.0</v>
      </c>
      <c r="D1599" s="1" t="s">
        <v>161</v>
      </c>
      <c r="E1599" s="1" t="s">
        <v>11</v>
      </c>
      <c r="F1599" s="1" t="s">
        <v>165</v>
      </c>
      <c r="H1599" s="1">
        <v>0.0</v>
      </c>
      <c r="I1599" s="1">
        <v>0.0</v>
      </c>
      <c r="J1599" s="1">
        <v>0.0</v>
      </c>
      <c r="K1599" s="1">
        <v>1.0</v>
      </c>
      <c r="L1599" s="1">
        <v>2.0</v>
      </c>
      <c r="M1599" s="1">
        <v>0.5</v>
      </c>
      <c r="N1599" s="1">
        <v>6.6300001139999996</v>
      </c>
    </row>
    <row r="1600" ht="15.75" customHeight="1">
      <c r="A1600" s="1" t="s">
        <v>164</v>
      </c>
      <c r="B1600" s="1" t="s">
        <v>199</v>
      </c>
      <c r="C1600" s="5">
        <v>45548.0</v>
      </c>
      <c r="D1600" s="1" t="s">
        <v>161</v>
      </c>
      <c r="E1600" s="1" t="s">
        <v>11</v>
      </c>
      <c r="F1600" s="1" t="s">
        <v>162</v>
      </c>
      <c r="H1600" s="1">
        <v>0.0</v>
      </c>
      <c r="I1600" s="1">
        <v>0.0</v>
      </c>
      <c r="J1600" s="1">
        <v>0.0</v>
      </c>
      <c r="K1600" s="1">
        <v>0.0</v>
      </c>
      <c r="L1600" s="1">
        <v>3.0</v>
      </c>
      <c r="M1600" s="1">
        <v>0.0</v>
      </c>
      <c r="N1600" s="1">
        <v>5.110000134</v>
      </c>
    </row>
    <row r="1601" ht="15.75" customHeight="1">
      <c r="A1601" s="1" t="s">
        <v>164</v>
      </c>
      <c r="B1601" s="1" t="s">
        <v>196</v>
      </c>
      <c r="C1601" s="5">
        <v>45548.0</v>
      </c>
      <c r="D1601" s="1" t="s">
        <v>161</v>
      </c>
      <c r="E1601" s="1" t="s">
        <v>11</v>
      </c>
      <c r="F1601" s="1" t="s">
        <v>165</v>
      </c>
      <c r="H1601" s="1">
        <v>0.0</v>
      </c>
      <c r="I1601" s="1">
        <v>0.0</v>
      </c>
      <c r="J1601" s="1">
        <v>0.0</v>
      </c>
      <c r="K1601" s="1">
        <v>7.0</v>
      </c>
      <c r="L1601" s="1">
        <v>11.0</v>
      </c>
      <c r="M1601" s="1">
        <v>0.636363636</v>
      </c>
      <c r="N1601" s="1">
        <v>1.840000033</v>
      </c>
    </row>
    <row r="1602" ht="15.75" customHeight="1">
      <c r="A1602" s="1" t="s">
        <v>164</v>
      </c>
      <c r="B1602" s="1" t="s">
        <v>231</v>
      </c>
      <c r="C1602" s="5">
        <v>45548.0</v>
      </c>
      <c r="D1602" s="1" t="s">
        <v>161</v>
      </c>
      <c r="E1602" s="1" t="s">
        <v>11</v>
      </c>
      <c r="F1602" s="1" t="s">
        <v>166</v>
      </c>
      <c r="H1602" s="1">
        <v>0.0</v>
      </c>
      <c r="I1602" s="1">
        <v>2.0</v>
      </c>
      <c r="J1602" s="1">
        <v>0.0</v>
      </c>
      <c r="K1602" s="1">
        <v>37.0</v>
      </c>
      <c r="L1602" s="1">
        <v>51.0</v>
      </c>
      <c r="M1602" s="1">
        <v>0.725490196</v>
      </c>
      <c r="N1602" s="1">
        <v>18.87999916</v>
      </c>
    </row>
    <row r="1603" ht="15.75" customHeight="1">
      <c r="A1603" s="1" t="s">
        <v>164</v>
      </c>
      <c r="B1603" s="1" t="s">
        <v>68</v>
      </c>
      <c r="C1603" s="5">
        <v>45548.0</v>
      </c>
      <c r="D1603" s="1" t="s">
        <v>161</v>
      </c>
      <c r="E1603" s="1" t="s">
        <v>11</v>
      </c>
      <c r="F1603" s="1" t="s">
        <v>165</v>
      </c>
      <c r="H1603" s="1">
        <v>0.0</v>
      </c>
      <c r="I1603" s="1">
        <v>0.0</v>
      </c>
      <c r="J1603" s="1">
        <v>0.0</v>
      </c>
      <c r="K1603" s="1">
        <v>10.0</v>
      </c>
      <c r="L1603" s="1">
        <v>17.0</v>
      </c>
      <c r="M1603" s="1">
        <v>0.588235294</v>
      </c>
      <c r="N1603" s="1">
        <v>15.06000042</v>
      </c>
    </row>
    <row r="1604" ht="15.75" customHeight="1">
      <c r="A1604" s="1" t="s">
        <v>164</v>
      </c>
      <c r="B1604" s="1" t="s">
        <v>197</v>
      </c>
      <c r="C1604" s="5">
        <v>45548.0</v>
      </c>
      <c r="D1604" s="1" t="s">
        <v>161</v>
      </c>
      <c r="E1604" s="1" t="s">
        <v>11</v>
      </c>
      <c r="F1604" s="1" t="s">
        <v>166</v>
      </c>
      <c r="H1604" s="1">
        <v>0.0</v>
      </c>
      <c r="I1604" s="1">
        <v>0.0</v>
      </c>
      <c r="J1604" s="1">
        <v>0.0</v>
      </c>
      <c r="K1604" s="1">
        <v>0.0</v>
      </c>
      <c r="L1604" s="1">
        <v>2.0</v>
      </c>
      <c r="M1604" s="1">
        <v>0.0</v>
      </c>
      <c r="N1604" s="1">
        <v>1.75999999</v>
      </c>
    </row>
    <row r="1605" ht="15.75" customHeight="1">
      <c r="A1605" s="1" t="s">
        <v>164</v>
      </c>
      <c r="B1605" s="1" t="s">
        <v>74</v>
      </c>
      <c r="C1605" s="5">
        <v>45548.0</v>
      </c>
      <c r="D1605" s="1" t="s">
        <v>161</v>
      </c>
      <c r="E1605" s="1" t="s">
        <v>11</v>
      </c>
      <c r="F1605" s="1" t="s">
        <v>166</v>
      </c>
      <c r="H1605" s="1">
        <v>0.0</v>
      </c>
      <c r="I1605" s="1">
        <v>0.0</v>
      </c>
      <c r="J1605" s="1">
        <v>0.0</v>
      </c>
      <c r="K1605" s="1">
        <v>1.0</v>
      </c>
      <c r="L1605" s="1">
        <v>6.0</v>
      </c>
      <c r="M1605" s="1">
        <v>0.166666667</v>
      </c>
      <c r="N1605" s="1">
        <v>17.01000023</v>
      </c>
    </row>
    <row r="1606" ht="15.75" customHeight="1">
      <c r="A1606" s="1" t="s">
        <v>164</v>
      </c>
      <c r="B1606" s="1" t="s">
        <v>75</v>
      </c>
      <c r="C1606" s="5">
        <v>45548.0</v>
      </c>
      <c r="D1606" s="1" t="s">
        <v>161</v>
      </c>
      <c r="E1606" s="1" t="s">
        <v>11</v>
      </c>
      <c r="F1606" s="1" t="s">
        <v>165</v>
      </c>
      <c r="H1606" s="1">
        <v>0.0</v>
      </c>
      <c r="I1606" s="1">
        <v>1.0</v>
      </c>
      <c r="J1606" s="1">
        <v>0.0</v>
      </c>
      <c r="K1606" s="1">
        <v>10.0</v>
      </c>
      <c r="L1606" s="1">
        <v>10.0</v>
      </c>
      <c r="M1606" s="1">
        <v>1.0</v>
      </c>
      <c r="N1606" s="1">
        <v>4.03000021</v>
      </c>
    </row>
    <row r="1607" ht="15.75" customHeight="1">
      <c r="A1607" s="1" t="s">
        <v>180</v>
      </c>
      <c r="B1607" s="1" t="s">
        <v>214</v>
      </c>
      <c r="C1607" s="5">
        <v>45548.0</v>
      </c>
      <c r="D1607" s="1" t="s">
        <v>161</v>
      </c>
      <c r="E1607" s="1" t="s">
        <v>11</v>
      </c>
      <c r="F1607" s="1" t="s">
        <v>166</v>
      </c>
      <c r="H1607" s="1">
        <v>0.0</v>
      </c>
      <c r="I1607" s="1">
        <v>0.0</v>
      </c>
      <c r="J1607" s="1">
        <v>0.0</v>
      </c>
      <c r="K1607" s="1">
        <v>2.0</v>
      </c>
      <c r="L1607" s="1">
        <v>4.0</v>
      </c>
      <c r="M1607" s="1">
        <v>0.5</v>
      </c>
      <c r="N1607" s="1">
        <v>3.279999971</v>
      </c>
    </row>
    <row r="1608" ht="15.75" customHeight="1">
      <c r="A1608" s="1" t="s">
        <v>180</v>
      </c>
      <c r="B1608" s="1" t="s">
        <v>181</v>
      </c>
      <c r="C1608" s="5">
        <v>45548.0</v>
      </c>
      <c r="D1608" s="1" t="s">
        <v>161</v>
      </c>
      <c r="E1608" s="1" t="s">
        <v>11</v>
      </c>
      <c r="F1608" s="1" t="s">
        <v>166</v>
      </c>
      <c r="H1608" s="1">
        <v>0.0</v>
      </c>
      <c r="I1608" s="1">
        <v>2.0</v>
      </c>
      <c r="J1608" s="1">
        <v>0.0</v>
      </c>
      <c r="K1608" s="1">
        <v>21.0</v>
      </c>
      <c r="L1608" s="1">
        <v>29.0</v>
      </c>
      <c r="M1608" s="1">
        <v>0.724137931</v>
      </c>
      <c r="N1608" s="1">
        <v>15.81999969</v>
      </c>
    </row>
    <row r="1609" ht="15.75" customHeight="1">
      <c r="A1609" s="1" t="s">
        <v>180</v>
      </c>
      <c r="B1609" s="1" t="s">
        <v>235</v>
      </c>
      <c r="C1609" s="5">
        <v>45548.0</v>
      </c>
      <c r="D1609" s="1" t="s">
        <v>161</v>
      </c>
      <c r="E1609" s="1" t="s">
        <v>11</v>
      </c>
      <c r="F1609" s="1" t="s">
        <v>166</v>
      </c>
      <c r="H1609" s="1">
        <v>0.0</v>
      </c>
      <c r="I1609" s="1">
        <v>1.0</v>
      </c>
      <c r="J1609" s="1">
        <v>0.0</v>
      </c>
      <c r="K1609" s="1">
        <v>17.0</v>
      </c>
      <c r="L1609" s="1">
        <v>30.0</v>
      </c>
      <c r="M1609" s="1">
        <v>0.566666667</v>
      </c>
      <c r="N1609" s="1">
        <v>29.69000053</v>
      </c>
    </row>
    <row r="1610" ht="15.75" customHeight="1">
      <c r="A1610" s="1" t="s">
        <v>180</v>
      </c>
      <c r="B1610" s="1" t="s">
        <v>226</v>
      </c>
      <c r="C1610" s="5">
        <v>45548.0</v>
      </c>
      <c r="D1610" s="1" t="s">
        <v>161</v>
      </c>
      <c r="E1610" s="1" t="s">
        <v>11</v>
      </c>
      <c r="H1610" s="1">
        <v>0.0</v>
      </c>
      <c r="J1610" s="1">
        <v>0.0</v>
      </c>
      <c r="N1610" s="1">
        <v>11.52000046</v>
      </c>
    </row>
    <row r="1611" ht="15.75" customHeight="1">
      <c r="A1611" s="1" t="s">
        <v>160</v>
      </c>
      <c r="B1611" s="1" t="s">
        <v>224</v>
      </c>
      <c r="C1611" s="5">
        <v>45547.0</v>
      </c>
      <c r="D1611" s="1" t="s">
        <v>161</v>
      </c>
      <c r="E1611" s="1" t="s">
        <v>11</v>
      </c>
      <c r="F1611" s="1" t="s">
        <v>162</v>
      </c>
      <c r="G1611" s="1" t="s">
        <v>172</v>
      </c>
      <c r="H1611" s="1">
        <v>1.0</v>
      </c>
      <c r="I1611" s="1">
        <v>1.0</v>
      </c>
      <c r="J1611" s="1">
        <v>0.0</v>
      </c>
      <c r="K1611" s="1">
        <v>24.0</v>
      </c>
      <c r="L1611" s="1">
        <v>32.0</v>
      </c>
      <c r="M1611" s="1">
        <v>0.75</v>
      </c>
      <c r="N1611" s="1">
        <v>45.70000076</v>
      </c>
    </row>
    <row r="1612" ht="15.75" customHeight="1">
      <c r="A1612" s="1" t="s">
        <v>160</v>
      </c>
      <c r="B1612" s="1" t="s">
        <v>230</v>
      </c>
      <c r="C1612" s="5">
        <v>45547.0</v>
      </c>
      <c r="D1612" s="1" t="s">
        <v>161</v>
      </c>
      <c r="E1612" s="1" t="s">
        <v>11</v>
      </c>
      <c r="F1612" s="1" t="s">
        <v>165</v>
      </c>
      <c r="H1612" s="1">
        <v>0.0</v>
      </c>
      <c r="I1612" s="1">
        <v>0.0</v>
      </c>
      <c r="J1612" s="1">
        <v>0.0</v>
      </c>
      <c r="K1612" s="1">
        <v>2.0</v>
      </c>
      <c r="L1612" s="1">
        <v>4.0</v>
      </c>
      <c r="M1612" s="1">
        <v>0.5</v>
      </c>
      <c r="N1612" s="1">
        <v>3.329999924</v>
      </c>
    </row>
    <row r="1613" ht="15.75" customHeight="1">
      <c r="A1613" s="1" t="s">
        <v>160</v>
      </c>
      <c r="B1613" s="1" t="s">
        <v>95</v>
      </c>
      <c r="C1613" s="5">
        <v>45547.0</v>
      </c>
      <c r="D1613" s="1" t="s">
        <v>161</v>
      </c>
      <c r="E1613" s="1" t="s">
        <v>11</v>
      </c>
      <c r="H1613" s="1">
        <v>0.0</v>
      </c>
      <c r="J1613" s="1">
        <v>0.0</v>
      </c>
      <c r="N1613" s="1">
        <v>0.670000017</v>
      </c>
    </row>
    <row r="1614" ht="15.75" customHeight="1">
      <c r="A1614" s="1" t="s">
        <v>164</v>
      </c>
      <c r="B1614" s="1" t="s">
        <v>35</v>
      </c>
      <c r="C1614" s="5">
        <v>45547.0</v>
      </c>
      <c r="D1614" s="1" t="s">
        <v>161</v>
      </c>
      <c r="E1614" s="1" t="s">
        <v>11</v>
      </c>
      <c r="F1614" s="1" t="s">
        <v>166</v>
      </c>
      <c r="H1614" s="1">
        <v>0.0</v>
      </c>
      <c r="I1614" s="1">
        <v>0.0</v>
      </c>
      <c r="J1614" s="1">
        <v>0.0</v>
      </c>
      <c r="K1614" s="1">
        <v>4.0</v>
      </c>
      <c r="L1614" s="1">
        <v>9.0</v>
      </c>
      <c r="M1614" s="1">
        <v>0.444444444</v>
      </c>
      <c r="N1614" s="1">
        <v>24.20999908</v>
      </c>
    </row>
    <row r="1615" ht="15.75" customHeight="1">
      <c r="A1615" s="1" t="s">
        <v>164</v>
      </c>
      <c r="B1615" s="1" t="s">
        <v>24</v>
      </c>
      <c r="C1615" s="5">
        <v>45547.0</v>
      </c>
      <c r="D1615" s="1" t="s">
        <v>161</v>
      </c>
      <c r="E1615" s="1" t="s">
        <v>11</v>
      </c>
      <c r="F1615" s="1" t="s">
        <v>166</v>
      </c>
      <c r="H1615" s="1">
        <v>0.0</v>
      </c>
      <c r="I1615" s="1">
        <v>0.0</v>
      </c>
      <c r="J1615" s="1">
        <v>0.0</v>
      </c>
      <c r="K1615" s="1">
        <v>2.0</v>
      </c>
      <c r="L1615" s="1">
        <v>7.0</v>
      </c>
      <c r="M1615" s="1">
        <v>0.285714286</v>
      </c>
      <c r="N1615" s="1">
        <v>8.149999619</v>
      </c>
    </row>
    <row r="1616" ht="15.75" customHeight="1">
      <c r="A1616" s="1" t="s">
        <v>164</v>
      </c>
      <c r="B1616" s="1" t="s">
        <v>52</v>
      </c>
      <c r="C1616" s="5">
        <v>45547.0</v>
      </c>
      <c r="D1616" s="1" t="s">
        <v>161</v>
      </c>
      <c r="E1616" s="1" t="s">
        <v>11</v>
      </c>
      <c r="F1616" s="1" t="s">
        <v>165</v>
      </c>
      <c r="H1616" s="1">
        <v>0.0</v>
      </c>
      <c r="I1616" s="1">
        <v>0.0</v>
      </c>
      <c r="J1616" s="1">
        <v>0.0</v>
      </c>
      <c r="K1616" s="1">
        <v>1.0</v>
      </c>
      <c r="L1616" s="1">
        <v>3.0</v>
      </c>
      <c r="M1616" s="1">
        <v>0.333333333</v>
      </c>
      <c r="N1616" s="1">
        <v>2.029999971</v>
      </c>
    </row>
    <row r="1617" ht="15.75" customHeight="1">
      <c r="A1617" s="1" t="s">
        <v>164</v>
      </c>
      <c r="B1617" s="1" t="s">
        <v>55</v>
      </c>
      <c r="C1617" s="5">
        <v>45547.0</v>
      </c>
      <c r="D1617" s="1" t="s">
        <v>161</v>
      </c>
      <c r="E1617" s="1" t="s">
        <v>11</v>
      </c>
      <c r="F1617" s="1" t="s">
        <v>166</v>
      </c>
      <c r="H1617" s="1">
        <v>0.0</v>
      </c>
      <c r="I1617" s="1">
        <v>0.0</v>
      </c>
      <c r="J1617" s="1">
        <v>0.0</v>
      </c>
      <c r="K1617" s="1">
        <v>3.0</v>
      </c>
      <c r="L1617" s="1">
        <v>3.0</v>
      </c>
      <c r="M1617" s="1">
        <v>1.0</v>
      </c>
      <c r="N1617" s="1">
        <v>8.739999771</v>
      </c>
    </row>
    <row r="1618" ht="15.75" customHeight="1">
      <c r="A1618" s="1" t="s">
        <v>164</v>
      </c>
      <c r="B1618" s="1" t="s">
        <v>199</v>
      </c>
      <c r="C1618" s="5">
        <v>45547.0</v>
      </c>
      <c r="D1618" s="1" t="s">
        <v>161</v>
      </c>
      <c r="E1618" s="1" t="s">
        <v>11</v>
      </c>
      <c r="F1618" s="1" t="s">
        <v>162</v>
      </c>
      <c r="H1618" s="1">
        <v>0.0</v>
      </c>
      <c r="I1618" s="1">
        <v>2.0</v>
      </c>
      <c r="J1618" s="1">
        <v>0.0</v>
      </c>
      <c r="K1618" s="1">
        <v>43.0</v>
      </c>
      <c r="L1618" s="1">
        <v>62.0</v>
      </c>
      <c r="M1618" s="1">
        <v>0.693548387</v>
      </c>
      <c r="N1618" s="1">
        <v>14.84000015</v>
      </c>
    </row>
    <row r="1619" ht="15.75" customHeight="1">
      <c r="A1619" s="1" t="s">
        <v>164</v>
      </c>
      <c r="B1619" s="1" t="s">
        <v>231</v>
      </c>
      <c r="C1619" s="5">
        <v>45547.0</v>
      </c>
      <c r="D1619" s="1" t="s">
        <v>161</v>
      </c>
      <c r="E1619" s="1" t="s">
        <v>11</v>
      </c>
      <c r="F1619" s="1" t="s">
        <v>166</v>
      </c>
      <c r="H1619" s="1">
        <v>0.0</v>
      </c>
      <c r="I1619" s="1">
        <v>0.0</v>
      </c>
      <c r="J1619" s="1">
        <v>0.0</v>
      </c>
      <c r="K1619" s="1">
        <v>16.0</v>
      </c>
      <c r="L1619" s="1">
        <v>28.0</v>
      </c>
      <c r="M1619" s="1">
        <v>0.571428571</v>
      </c>
      <c r="N1619" s="1">
        <v>34.56000137</v>
      </c>
    </row>
    <row r="1620" ht="15.75" customHeight="1">
      <c r="A1620" s="1" t="s">
        <v>164</v>
      </c>
      <c r="B1620" s="1" t="s">
        <v>179</v>
      </c>
      <c r="C1620" s="5">
        <v>45547.0</v>
      </c>
      <c r="D1620" s="1" t="s">
        <v>161</v>
      </c>
      <c r="E1620" s="1" t="s">
        <v>11</v>
      </c>
      <c r="H1620" s="1">
        <v>0.0</v>
      </c>
      <c r="J1620" s="1">
        <v>0.0</v>
      </c>
      <c r="N1620" s="1">
        <v>0.02</v>
      </c>
    </row>
    <row r="1621" ht="15.75" customHeight="1">
      <c r="A1621" s="1" t="s">
        <v>164</v>
      </c>
      <c r="B1621" s="1" t="s">
        <v>183</v>
      </c>
      <c r="C1621" s="5">
        <v>45547.0</v>
      </c>
      <c r="D1621" s="1" t="s">
        <v>161</v>
      </c>
      <c r="E1621" s="1" t="s">
        <v>11</v>
      </c>
      <c r="F1621" s="1" t="s">
        <v>166</v>
      </c>
      <c r="H1621" s="1">
        <v>0.0</v>
      </c>
      <c r="I1621" s="1">
        <v>2.0</v>
      </c>
      <c r="J1621" s="1">
        <v>0.0</v>
      </c>
      <c r="K1621" s="1">
        <v>39.0</v>
      </c>
      <c r="L1621" s="1">
        <v>63.0</v>
      </c>
      <c r="M1621" s="1">
        <v>0.619047619</v>
      </c>
      <c r="N1621" s="1">
        <v>87.18000031</v>
      </c>
    </row>
    <row r="1622" ht="15.75" customHeight="1">
      <c r="A1622" s="1" t="s">
        <v>164</v>
      </c>
      <c r="B1622" s="1" t="s">
        <v>68</v>
      </c>
      <c r="C1622" s="5">
        <v>45547.0</v>
      </c>
      <c r="D1622" s="1" t="s">
        <v>161</v>
      </c>
      <c r="E1622" s="1" t="s">
        <v>11</v>
      </c>
      <c r="F1622" s="1" t="s">
        <v>165</v>
      </c>
      <c r="H1622" s="1">
        <v>0.0</v>
      </c>
      <c r="I1622" s="1">
        <v>0.0</v>
      </c>
      <c r="J1622" s="1">
        <v>0.0</v>
      </c>
      <c r="K1622" s="1">
        <v>9.0</v>
      </c>
      <c r="L1622" s="1">
        <v>21.0</v>
      </c>
      <c r="M1622" s="1">
        <v>0.428571429</v>
      </c>
      <c r="N1622" s="1">
        <v>19.21999931</v>
      </c>
    </row>
    <row r="1623" ht="15.75" customHeight="1">
      <c r="A1623" s="1" t="s">
        <v>164</v>
      </c>
      <c r="B1623" s="1" t="s">
        <v>197</v>
      </c>
      <c r="C1623" s="5">
        <v>45547.0</v>
      </c>
      <c r="D1623" s="1" t="s">
        <v>161</v>
      </c>
      <c r="E1623" s="1" t="s">
        <v>11</v>
      </c>
      <c r="F1623" s="1" t="s">
        <v>166</v>
      </c>
      <c r="H1623" s="1">
        <v>0.0</v>
      </c>
      <c r="I1623" s="1">
        <v>0.0</v>
      </c>
      <c r="J1623" s="1">
        <v>0.0</v>
      </c>
      <c r="K1623" s="1">
        <v>0.0</v>
      </c>
      <c r="L1623" s="1">
        <v>1.0</v>
      </c>
      <c r="M1623" s="1">
        <v>0.0</v>
      </c>
      <c r="N1623" s="1">
        <v>2.799999952</v>
      </c>
    </row>
    <row r="1624" ht="15.75" customHeight="1">
      <c r="A1624" s="1" t="s">
        <v>164</v>
      </c>
      <c r="B1624" s="1" t="s">
        <v>74</v>
      </c>
      <c r="C1624" s="5">
        <v>45547.0</v>
      </c>
      <c r="D1624" s="1" t="s">
        <v>161</v>
      </c>
      <c r="E1624" s="1" t="s">
        <v>11</v>
      </c>
      <c r="F1624" s="1" t="s">
        <v>166</v>
      </c>
      <c r="H1624" s="1">
        <v>0.0</v>
      </c>
      <c r="I1624" s="1">
        <v>0.0</v>
      </c>
      <c r="J1624" s="1">
        <v>0.0</v>
      </c>
      <c r="K1624" s="1">
        <v>3.0</v>
      </c>
      <c r="L1624" s="1">
        <v>9.0</v>
      </c>
      <c r="M1624" s="1">
        <v>0.333333333</v>
      </c>
      <c r="N1624" s="1">
        <v>17.84000015</v>
      </c>
    </row>
    <row r="1625" ht="15.75" customHeight="1">
      <c r="A1625" s="1" t="s">
        <v>164</v>
      </c>
      <c r="B1625" s="1" t="s">
        <v>205</v>
      </c>
      <c r="C1625" s="5">
        <v>45547.0</v>
      </c>
      <c r="D1625" s="1" t="s">
        <v>161</v>
      </c>
      <c r="E1625" s="1" t="s">
        <v>11</v>
      </c>
      <c r="F1625" s="1" t="s">
        <v>166</v>
      </c>
      <c r="H1625" s="1">
        <v>0.0</v>
      </c>
      <c r="I1625" s="1">
        <v>0.0</v>
      </c>
      <c r="J1625" s="1">
        <v>0.0</v>
      </c>
      <c r="K1625" s="1">
        <v>11.0</v>
      </c>
      <c r="L1625" s="1">
        <v>21.0</v>
      </c>
      <c r="M1625" s="1">
        <v>0.523809524</v>
      </c>
      <c r="N1625" s="1">
        <v>50.59000015</v>
      </c>
    </row>
    <row r="1626" ht="15.75" customHeight="1">
      <c r="A1626" s="1" t="s">
        <v>164</v>
      </c>
      <c r="B1626" s="1" t="s">
        <v>75</v>
      </c>
      <c r="C1626" s="5">
        <v>45547.0</v>
      </c>
      <c r="D1626" s="1" t="s">
        <v>161</v>
      </c>
      <c r="E1626" s="1" t="s">
        <v>11</v>
      </c>
      <c r="F1626" s="1" t="s">
        <v>165</v>
      </c>
      <c r="H1626" s="1">
        <v>0.0</v>
      </c>
      <c r="I1626" s="1">
        <v>0.0</v>
      </c>
      <c r="J1626" s="1">
        <v>0.0</v>
      </c>
      <c r="K1626" s="1">
        <v>1.0</v>
      </c>
      <c r="L1626" s="1">
        <v>4.0</v>
      </c>
      <c r="M1626" s="1">
        <v>0.25</v>
      </c>
      <c r="N1626" s="1">
        <v>5.690000057</v>
      </c>
    </row>
    <row r="1627" ht="15.75" customHeight="1">
      <c r="A1627" s="1" t="s">
        <v>164</v>
      </c>
      <c r="B1627" s="1" t="s">
        <v>225</v>
      </c>
      <c r="C1627" s="5">
        <v>45547.0</v>
      </c>
      <c r="D1627" s="1" t="s">
        <v>161</v>
      </c>
      <c r="E1627" s="1" t="s">
        <v>11</v>
      </c>
      <c r="F1627" s="1" t="s">
        <v>166</v>
      </c>
      <c r="H1627" s="1">
        <v>0.0</v>
      </c>
      <c r="I1627" s="1">
        <v>0.0</v>
      </c>
      <c r="J1627" s="1">
        <v>0.0</v>
      </c>
      <c r="K1627" s="1">
        <v>1.0</v>
      </c>
      <c r="L1627" s="1">
        <v>10.0</v>
      </c>
      <c r="M1627" s="1">
        <v>0.1</v>
      </c>
      <c r="N1627" s="1">
        <v>16.01000023</v>
      </c>
    </row>
    <row r="1628" ht="15.75" customHeight="1">
      <c r="A1628" s="1" t="s">
        <v>180</v>
      </c>
      <c r="B1628" s="1" t="s">
        <v>220</v>
      </c>
      <c r="C1628" s="5">
        <v>45547.0</v>
      </c>
      <c r="D1628" s="1" t="s">
        <v>161</v>
      </c>
      <c r="E1628" s="1" t="s">
        <v>11</v>
      </c>
      <c r="H1628" s="1">
        <v>0.0</v>
      </c>
      <c r="J1628" s="1">
        <v>0.0</v>
      </c>
      <c r="N1628" s="1">
        <v>1.070000052</v>
      </c>
    </row>
    <row r="1629" ht="15.75" customHeight="1">
      <c r="A1629" s="1" t="s">
        <v>180</v>
      </c>
      <c r="B1629" s="1" t="s">
        <v>214</v>
      </c>
      <c r="C1629" s="5">
        <v>45547.0</v>
      </c>
      <c r="D1629" s="1" t="s">
        <v>161</v>
      </c>
      <c r="E1629" s="1" t="s">
        <v>11</v>
      </c>
      <c r="F1629" s="1" t="s">
        <v>166</v>
      </c>
      <c r="H1629" s="1">
        <v>0.0</v>
      </c>
      <c r="I1629" s="1">
        <v>1.0</v>
      </c>
      <c r="J1629" s="1">
        <v>0.0</v>
      </c>
      <c r="K1629" s="1">
        <v>17.0</v>
      </c>
      <c r="L1629" s="1">
        <v>28.0</v>
      </c>
      <c r="M1629" s="1">
        <v>0.607142857</v>
      </c>
      <c r="N1629" s="1">
        <v>37.49000168</v>
      </c>
    </row>
    <row r="1630" ht="15.75" customHeight="1">
      <c r="A1630" s="1" t="s">
        <v>180</v>
      </c>
      <c r="B1630" s="1" t="s">
        <v>235</v>
      </c>
      <c r="C1630" s="5">
        <v>45547.0</v>
      </c>
      <c r="D1630" s="1" t="s">
        <v>161</v>
      </c>
      <c r="E1630" s="1" t="s">
        <v>11</v>
      </c>
      <c r="F1630" s="1" t="s">
        <v>166</v>
      </c>
      <c r="H1630" s="1">
        <v>0.0</v>
      </c>
      <c r="I1630" s="1">
        <v>1.0</v>
      </c>
      <c r="J1630" s="1">
        <v>0.0</v>
      </c>
      <c r="K1630" s="1">
        <v>9.0</v>
      </c>
      <c r="L1630" s="1">
        <v>11.0</v>
      </c>
      <c r="M1630" s="1">
        <v>0.818181818</v>
      </c>
      <c r="N1630" s="1">
        <v>14.14000034</v>
      </c>
    </row>
    <row r="1631" ht="15.75" customHeight="1">
      <c r="A1631" s="1" t="s">
        <v>180</v>
      </c>
      <c r="B1631" s="1" t="s">
        <v>226</v>
      </c>
      <c r="C1631" s="5">
        <v>45547.0</v>
      </c>
      <c r="D1631" s="1" t="s">
        <v>161</v>
      </c>
      <c r="E1631" s="1" t="s">
        <v>11</v>
      </c>
      <c r="H1631" s="1">
        <v>0.0</v>
      </c>
      <c r="J1631" s="1">
        <v>0.0</v>
      </c>
      <c r="N1631" s="1">
        <v>43.91999817</v>
      </c>
    </row>
    <row r="1632" ht="15.75" customHeight="1">
      <c r="A1632" s="1" t="s">
        <v>160</v>
      </c>
      <c r="B1632" s="1" t="s">
        <v>39</v>
      </c>
      <c r="C1632" s="5">
        <v>45546.0</v>
      </c>
      <c r="D1632" s="1" t="s">
        <v>161</v>
      </c>
      <c r="E1632" s="1" t="s">
        <v>11</v>
      </c>
      <c r="F1632" s="1" t="s">
        <v>162</v>
      </c>
      <c r="G1632" s="1" t="s">
        <v>236</v>
      </c>
      <c r="H1632" s="1">
        <v>2.0</v>
      </c>
      <c r="I1632" s="1">
        <v>0.0</v>
      </c>
      <c r="J1632" s="1">
        <v>0.0</v>
      </c>
      <c r="K1632" s="1">
        <v>11.0</v>
      </c>
      <c r="L1632" s="1">
        <v>14.0</v>
      </c>
      <c r="M1632" s="1">
        <v>0.785714286</v>
      </c>
      <c r="N1632" s="1">
        <v>10.90999985</v>
      </c>
    </row>
    <row r="1633" ht="15.75" customHeight="1">
      <c r="A1633" s="1" t="s">
        <v>160</v>
      </c>
      <c r="B1633" s="1" t="s">
        <v>224</v>
      </c>
      <c r="C1633" s="5">
        <v>45546.0</v>
      </c>
      <c r="D1633" s="1" t="s">
        <v>161</v>
      </c>
      <c r="E1633" s="1" t="s">
        <v>11</v>
      </c>
      <c r="F1633" s="1" t="s">
        <v>162</v>
      </c>
      <c r="H1633" s="1">
        <v>0.0</v>
      </c>
      <c r="I1633" s="1">
        <v>1.0</v>
      </c>
      <c r="J1633" s="1">
        <v>0.0</v>
      </c>
      <c r="K1633" s="1">
        <v>13.0</v>
      </c>
      <c r="L1633" s="1">
        <v>17.0</v>
      </c>
      <c r="M1633" s="1">
        <v>0.764705882</v>
      </c>
      <c r="N1633" s="1">
        <v>22.37999916</v>
      </c>
    </row>
    <row r="1634" ht="15.75" customHeight="1">
      <c r="A1634" s="1" t="s">
        <v>160</v>
      </c>
      <c r="B1634" s="1" t="s">
        <v>230</v>
      </c>
      <c r="C1634" s="5">
        <v>45546.0</v>
      </c>
      <c r="D1634" s="1" t="s">
        <v>161</v>
      </c>
      <c r="E1634" s="1" t="s">
        <v>11</v>
      </c>
      <c r="F1634" s="1" t="s">
        <v>165</v>
      </c>
      <c r="G1634" s="1" t="s">
        <v>163</v>
      </c>
      <c r="H1634" s="1">
        <v>1.0</v>
      </c>
      <c r="I1634" s="1">
        <v>0.0</v>
      </c>
      <c r="J1634" s="1">
        <v>0.0</v>
      </c>
      <c r="K1634" s="1">
        <v>8.0</v>
      </c>
      <c r="L1634" s="1">
        <v>13.0</v>
      </c>
      <c r="M1634" s="1">
        <v>0.615384615</v>
      </c>
      <c r="N1634" s="1">
        <v>11.85000038</v>
      </c>
    </row>
    <row r="1635" ht="15.75" customHeight="1">
      <c r="A1635" s="1" t="s">
        <v>160</v>
      </c>
      <c r="B1635" s="1" t="s">
        <v>95</v>
      </c>
      <c r="C1635" s="5">
        <v>45546.0</v>
      </c>
      <c r="D1635" s="1" t="s">
        <v>161</v>
      </c>
      <c r="E1635" s="1" t="s">
        <v>11</v>
      </c>
      <c r="F1635" s="1" t="s">
        <v>165</v>
      </c>
      <c r="H1635" s="1">
        <v>0.0</v>
      </c>
      <c r="I1635" s="1">
        <v>0.0</v>
      </c>
      <c r="J1635" s="1">
        <v>0.0</v>
      </c>
      <c r="K1635" s="1">
        <v>4.0</v>
      </c>
      <c r="L1635" s="1">
        <v>15.0</v>
      </c>
      <c r="M1635" s="1">
        <v>0.266666667</v>
      </c>
      <c r="N1635" s="1">
        <v>16.29999924</v>
      </c>
    </row>
    <row r="1636" ht="15.75" customHeight="1">
      <c r="A1636" s="1" t="s">
        <v>160</v>
      </c>
      <c r="B1636" s="1" t="s">
        <v>77</v>
      </c>
      <c r="C1636" s="5">
        <v>45546.0</v>
      </c>
      <c r="D1636" s="1" t="s">
        <v>161</v>
      </c>
      <c r="E1636" s="1" t="s">
        <v>11</v>
      </c>
      <c r="F1636" s="1" t="s">
        <v>162</v>
      </c>
      <c r="H1636" s="1">
        <v>0.0</v>
      </c>
      <c r="I1636" s="1">
        <v>0.0</v>
      </c>
      <c r="J1636" s="1">
        <v>0.0</v>
      </c>
      <c r="K1636" s="1">
        <v>0.0</v>
      </c>
      <c r="L1636" s="1">
        <v>1.0</v>
      </c>
      <c r="M1636" s="1">
        <v>0.0</v>
      </c>
      <c r="N1636" s="1">
        <v>7.5</v>
      </c>
    </row>
    <row r="1637" ht="15.75" customHeight="1">
      <c r="A1637" s="1" t="s">
        <v>160</v>
      </c>
      <c r="B1637" s="1" t="s">
        <v>77</v>
      </c>
      <c r="C1637" s="5">
        <v>45546.0</v>
      </c>
      <c r="D1637" s="1" t="s">
        <v>161</v>
      </c>
      <c r="E1637" s="1" t="s">
        <v>11</v>
      </c>
      <c r="F1637" s="1" t="s">
        <v>168</v>
      </c>
      <c r="H1637" s="1">
        <v>0.0</v>
      </c>
      <c r="I1637" s="1">
        <v>0.0</v>
      </c>
      <c r="J1637" s="1">
        <v>0.0</v>
      </c>
      <c r="K1637" s="1">
        <v>0.0</v>
      </c>
      <c r="L1637" s="1">
        <v>0.0</v>
      </c>
      <c r="N1637" s="1">
        <v>0.0</v>
      </c>
    </row>
    <row r="1638" ht="15.75" customHeight="1">
      <c r="A1638" s="1" t="s">
        <v>164</v>
      </c>
      <c r="B1638" s="1" t="s">
        <v>22</v>
      </c>
      <c r="C1638" s="5">
        <v>45546.0</v>
      </c>
      <c r="D1638" s="1" t="s">
        <v>161</v>
      </c>
      <c r="E1638" s="1" t="s">
        <v>11</v>
      </c>
      <c r="F1638" s="1" t="s">
        <v>166</v>
      </c>
      <c r="H1638" s="1">
        <v>0.0</v>
      </c>
      <c r="I1638" s="1">
        <v>0.0</v>
      </c>
      <c r="J1638" s="1">
        <v>0.0</v>
      </c>
      <c r="K1638" s="1">
        <v>0.0</v>
      </c>
      <c r="L1638" s="1">
        <v>3.0</v>
      </c>
      <c r="M1638" s="1">
        <v>0.0</v>
      </c>
      <c r="N1638" s="1">
        <v>9.239999771</v>
      </c>
    </row>
    <row r="1639" ht="15.75" customHeight="1">
      <c r="A1639" s="1" t="s">
        <v>164</v>
      </c>
      <c r="B1639" s="1" t="s">
        <v>35</v>
      </c>
      <c r="C1639" s="5">
        <v>45546.0</v>
      </c>
      <c r="D1639" s="1" t="s">
        <v>161</v>
      </c>
      <c r="E1639" s="1" t="s">
        <v>11</v>
      </c>
      <c r="F1639" s="1" t="s">
        <v>166</v>
      </c>
      <c r="H1639" s="1">
        <v>0.0</v>
      </c>
      <c r="I1639" s="1">
        <v>1.0</v>
      </c>
      <c r="J1639" s="1">
        <v>0.0</v>
      </c>
      <c r="K1639" s="1">
        <v>23.0</v>
      </c>
      <c r="L1639" s="1">
        <v>35.0</v>
      </c>
      <c r="M1639" s="1">
        <v>0.657142857</v>
      </c>
      <c r="N1639" s="1">
        <v>60.45000076</v>
      </c>
    </row>
    <row r="1640" ht="15.75" customHeight="1">
      <c r="A1640" s="1" t="s">
        <v>164</v>
      </c>
      <c r="B1640" s="1" t="s">
        <v>52</v>
      </c>
      <c r="C1640" s="5">
        <v>45546.0</v>
      </c>
      <c r="D1640" s="1" t="s">
        <v>161</v>
      </c>
      <c r="E1640" s="1" t="s">
        <v>11</v>
      </c>
      <c r="F1640" s="1" t="s">
        <v>165</v>
      </c>
      <c r="H1640" s="1">
        <v>0.0</v>
      </c>
      <c r="I1640" s="1">
        <v>0.0</v>
      </c>
      <c r="J1640" s="1">
        <v>0.0</v>
      </c>
      <c r="K1640" s="1">
        <v>3.0</v>
      </c>
      <c r="L1640" s="1">
        <v>5.0</v>
      </c>
      <c r="M1640" s="1">
        <v>0.6</v>
      </c>
      <c r="N1640" s="1">
        <v>3.150000095</v>
      </c>
    </row>
    <row r="1641" ht="15.75" customHeight="1">
      <c r="A1641" s="1" t="s">
        <v>164</v>
      </c>
      <c r="B1641" s="1" t="s">
        <v>55</v>
      </c>
      <c r="C1641" s="5">
        <v>45546.0</v>
      </c>
      <c r="D1641" s="1" t="s">
        <v>161</v>
      </c>
      <c r="E1641" s="1" t="s">
        <v>11</v>
      </c>
      <c r="F1641" s="1" t="s">
        <v>166</v>
      </c>
      <c r="H1641" s="1">
        <v>0.0</v>
      </c>
      <c r="I1641" s="1">
        <v>0.0</v>
      </c>
      <c r="J1641" s="1">
        <v>0.0</v>
      </c>
      <c r="K1641" s="1">
        <v>1.0</v>
      </c>
      <c r="L1641" s="1">
        <v>1.0</v>
      </c>
      <c r="M1641" s="1">
        <v>1.0</v>
      </c>
      <c r="N1641" s="1">
        <v>8.229999542</v>
      </c>
    </row>
    <row r="1642" ht="15.75" customHeight="1">
      <c r="A1642" s="1" t="s">
        <v>164</v>
      </c>
      <c r="B1642" s="1" t="s">
        <v>213</v>
      </c>
      <c r="C1642" s="5">
        <v>45546.0</v>
      </c>
      <c r="D1642" s="1" t="s">
        <v>161</v>
      </c>
      <c r="E1642" s="1" t="s">
        <v>11</v>
      </c>
      <c r="H1642" s="1">
        <v>0.0</v>
      </c>
      <c r="J1642" s="1">
        <v>0.0</v>
      </c>
      <c r="N1642" s="1">
        <v>1.0</v>
      </c>
    </row>
    <row r="1643" ht="15.75" customHeight="1">
      <c r="A1643" s="1" t="s">
        <v>164</v>
      </c>
      <c r="B1643" s="1" t="s">
        <v>199</v>
      </c>
      <c r="C1643" s="5">
        <v>45546.0</v>
      </c>
      <c r="D1643" s="1" t="s">
        <v>161</v>
      </c>
      <c r="E1643" s="1" t="s">
        <v>11</v>
      </c>
      <c r="F1643" s="1" t="s">
        <v>162</v>
      </c>
      <c r="H1643" s="1">
        <v>0.0</v>
      </c>
      <c r="I1643" s="1">
        <v>1.0</v>
      </c>
      <c r="J1643" s="1">
        <v>0.0</v>
      </c>
      <c r="K1643" s="1">
        <v>37.0</v>
      </c>
      <c r="L1643" s="1">
        <v>43.0</v>
      </c>
      <c r="M1643" s="1">
        <v>0.860465116</v>
      </c>
      <c r="N1643" s="1">
        <v>10.46000004</v>
      </c>
    </row>
    <row r="1644" ht="15.75" customHeight="1">
      <c r="A1644" s="1" t="s">
        <v>164</v>
      </c>
      <c r="B1644" s="1" t="s">
        <v>196</v>
      </c>
      <c r="C1644" s="5">
        <v>45546.0</v>
      </c>
      <c r="D1644" s="1" t="s">
        <v>161</v>
      </c>
      <c r="E1644" s="1" t="s">
        <v>11</v>
      </c>
      <c r="F1644" s="1" t="s">
        <v>165</v>
      </c>
      <c r="H1644" s="1">
        <v>0.0</v>
      </c>
      <c r="I1644" s="1">
        <v>1.0</v>
      </c>
      <c r="J1644" s="1">
        <v>0.0</v>
      </c>
      <c r="K1644" s="1">
        <v>12.0</v>
      </c>
      <c r="L1644" s="1">
        <v>15.0</v>
      </c>
      <c r="M1644" s="1">
        <v>0.8</v>
      </c>
      <c r="N1644" s="1">
        <v>17.47999954</v>
      </c>
    </row>
    <row r="1645" ht="15.75" customHeight="1">
      <c r="A1645" s="1" t="s">
        <v>164</v>
      </c>
      <c r="B1645" s="1" t="s">
        <v>231</v>
      </c>
      <c r="C1645" s="5">
        <v>45546.0</v>
      </c>
      <c r="D1645" s="1" t="s">
        <v>161</v>
      </c>
      <c r="E1645" s="1" t="s">
        <v>11</v>
      </c>
      <c r="F1645" s="1" t="s">
        <v>166</v>
      </c>
      <c r="H1645" s="1">
        <v>0.0</v>
      </c>
      <c r="I1645" s="1">
        <v>1.0</v>
      </c>
      <c r="J1645" s="1">
        <v>0.0</v>
      </c>
      <c r="K1645" s="1">
        <v>21.0</v>
      </c>
      <c r="L1645" s="1">
        <v>27.0</v>
      </c>
      <c r="M1645" s="1">
        <v>0.777777778</v>
      </c>
      <c r="N1645" s="1">
        <v>65.58000183</v>
      </c>
    </row>
    <row r="1646" ht="15.75" customHeight="1">
      <c r="A1646" s="1" t="s">
        <v>164</v>
      </c>
      <c r="B1646" s="1" t="s">
        <v>179</v>
      </c>
      <c r="C1646" s="5">
        <v>45546.0</v>
      </c>
      <c r="D1646" s="1" t="s">
        <v>161</v>
      </c>
      <c r="E1646" s="1" t="s">
        <v>11</v>
      </c>
      <c r="F1646" s="1" t="s">
        <v>166</v>
      </c>
      <c r="H1646" s="1">
        <v>0.0</v>
      </c>
      <c r="I1646" s="1">
        <v>0.0</v>
      </c>
      <c r="J1646" s="1">
        <v>0.0</v>
      </c>
      <c r="K1646" s="1">
        <v>1.0</v>
      </c>
      <c r="L1646" s="1">
        <v>1.0</v>
      </c>
      <c r="M1646" s="1">
        <v>1.0</v>
      </c>
      <c r="N1646" s="1">
        <v>16.95999908</v>
      </c>
    </row>
    <row r="1647" ht="15.75" customHeight="1">
      <c r="A1647" s="1" t="s">
        <v>164</v>
      </c>
      <c r="B1647" s="1" t="s">
        <v>60</v>
      </c>
      <c r="C1647" s="5">
        <v>45546.0</v>
      </c>
      <c r="D1647" s="1" t="s">
        <v>161</v>
      </c>
      <c r="E1647" s="1" t="s">
        <v>11</v>
      </c>
      <c r="F1647" s="1" t="s">
        <v>166</v>
      </c>
      <c r="H1647" s="1">
        <v>0.0</v>
      </c>
      <c r="I1647" s="1">
        <v>0.0</v>
      </c>
      <c r="J1647" s="1">
        <v>0.0</v>
      </c>
      <c r="K1647" s="1">
        <v>9.0</v>
      </c>
      <c r="L1647" s="1">
        <v>17.0</v>
      </c>
      <c r="M1647" s="1">
        <v>0.529411765</v>
      </c>
      <c r="N1647" s="1">
        <v>13.17000008</v>
      </c>
    </row>
    <row r="1648" ht="15.75" customHeight="1">
      <c r="A1648" s="1" t="s">
        <v>164</v>
      </c>
      <c r="B1648" s="1" t="s">
        <v>183</v>
      </c>
      <c r="C1648" s="5">
        <v>45546.0</v>
      </c>
      <c r="D1648" s="1" t="s">
        <v>161</v>
      </c>
      <c r="E1648" s="1" t="s">
        <v>11</v>
      </c>
      <c r="F1648" s="1" t="s">
        <v>166</v>
      </c>
      <c r="H1648" s="1">
        <v>0.0</v>
      </c>
      <c r="I1648" s="1">
        <v>0.0</v>
      </c>
      <c r="J1648" s="1">
        <v>0.0</v>
      </c>
      <c r="K1648" s="1">
        <v>11.0</v>
      </c>
      <c r="L1648" s="1">
        <v>32.0</v>
      </c>
      <c r="M1648" s="1">
        <v>0.34375</v>
      </c>
      <c r="N1648" s="1">
        <v>56.16999817</v>
      </c>
    </row>
    <row r="1649" ht="15.75" customHeight="1">
      <c r="A1649" s="1" t="s">
        <v>164</v>
      </c>
      <c r="B1649" s="1" t="s">
        <v>197</v>
      </c>
      <c r="C1649" s="5">
        <v>45546.0</v>
      </c>
      <c r="D1649" s="1" t="s">
        <v>161</v>
      </c>
      <c r="E1649" s="1" t="s">
        <v>11</v>
      </c>
      <c r="F1649" s="1" t="s">
        <v>166</v>
      </c>
      <c r="H1649" s="1">
        <v>0.0</v>
      </c>
      <c r="I1649" s="1">
        <v>1.0</v>
      </c>
      <c r="J1649" s="1">
        <v>0.0</v>
      </c>
      <c r="K1649" s="1">
        <v>9.0</v>
      </c>
      <c r="L1649" s="1">
        <v>9.0</v>
      </c>
      <c r="M1649" s="1">
        <v>1.0</v>
      </c>
      <c r="N1649" s="1">
        <v>8.590000153</v>
      </c>
    </row>
    <row r="1650" ht="15.75" customHeight="1">
      <c r="A1650" s="1" t="s">
        <v>164</v>
      </c>
      <c r="B1650" s="1" t="s">
        <v>74</v>
      </c>
      <c r="C1650" s="5">
        <v>45546.0</v>
      </c>
      <c r="D1650" s="1" t="s">
        <v>161</v>
      </c>
      <c r="E1650" s="1" t="s">
        <v>11</v>
      </c>
      <c r="F1650" s="1" t="s">
        <v>166</v>
      </c>
      <c r="H1650" s="1">
        <v>0.0</v>
      </c>
      <c r="I1650" s="1">
        <v>0.0</v>
      </c>
      <c r="J1650" s="1">
        <v>0.0</v>
      </c>
      <c r="K1650" s="1">
        <v>2.0</v>
      </c>
      <c r="L1650" s="1">
        <v>8.0</v>
      </c>
      <c r="M1650" s="1">
        <v>0.25</v>
      </c>
      <c r="N1650" s="1">
        <v>15.5</v>
      </c>
    </row>
    <row r="1651" ht="15.75" customHeight="1">
      <c r="A1651" s="1" t="s">
        <v>164</v>
      </c>
      <c r="B1651" s="1" t="s">
        <v>205</v>
      </c>
      <c r="C1651" s="5">
        <v>45546.0</v>
      </c>
      <c r="D1651" s="1" t="s">
        <v>161</v>
      </c>
      <c r="E1651" s="1" t="s">
        <v>11</v>
      </c>
      <c r="F1651" s="1" t="s">
        <v>166</v>
      </c>
      <c r="H1651" s="1">
        <v>0.0</v>
      </c>
      <c r="I1651" s="1">
        <v>0.0</v>
      </c>
      <c r="J1651" s="1">
        <v>0.0</v>
      </c>
      <c r="K1651" s="1">
        <v>4.0</v>
      </c>
      <c r="L1651" s="1">
        <v>12.0</v>
      </c>
      <c r="M1651" s="1">
        <v>0.333333333</v>
      </c>
      <c r="N1651" s="1">
        <v>32.95000076</v>
      </c>
    </row>
    <row r="1652" ht="15.75" customHeight="1">
      <c r="A1652" s="1" t="s">
        <v>164</v>
      </c>
      <c r="B1652" s="1" t="s">
        <v>75</v>
      </c>
      <c r="C1652" s="5">
        <v>45546.0</v>
      </c>
      <c r="D1652" s="1" t="s">
        <v>161</v>
      </c>
      <c r="E1652" s="1" t="s">
        <v>11</v>
      </c>
      <c r="F1652" s="1" t="s">
        <v>165</v>
      </c>
      <c r="G1652" s="1" t="s">
        <v>172</v>
      </c>
      <c r="H1652" s="1">
        <v>1.0</v>
      </c>
      <c r="I1652" s="1">
        <v>0.0</v>
      </c>
      <c r="J1652" s="1">
        <v>0.0</v>
      </c>
      <c r="K1652" s="1">
        <v>9.0</v>
      </c>
      <c r="L1652" s="1">
        <v>20.0</v>
      </c>
      <c r="M1652" s="1">
        <v>0.45</v>
      </c>
      <c r="N1652" s="1">
        <v>11.25</v>
      </c>
    </row>
    <row r="1653" ht="15.75" customHeight="1">
      <c r="A1653" s="1" t="s">
        <v>164</v>
      </c>
      <c r="B1653" s="1" t="s">
        <v>100</v>
      </c>
      <c r="C1653" s="5">
        <v>45546.0</v>
      </c>
      <c r="D1653" s="1" t="s">
        <v>161</v>
      </c>
      <c r="E1653" s="1" t="s">
        <v>11</v>
      </c>
      <c r="H1653" s="1">
        <v>0.0</v>
      </c>
      <c r="J1653" s="1">
        <v>0.0</v>
      </c>
      <c r="N1653" s="1">
        <v>0.07</v>
      </c>
    </row>
    <row r="1654" ht="15.75" customHeight="1">
      <c r="A1654" s="1" t="s">
        <v>164</v>
      </c>
      <c r="B1654" s="1" t="s">
        <v>225</v>
      </c>
      <c r="C1654" s="5">
        <v>45546.0</v>
      </c>
      <c r="D1654" s="1" t="s">
        <v>161</v>
      </c>
      <c r="E1654" s="1" t="s">
        <v>11</v>
      </c>
      <c r="F1654" s="1" t="s">
        <v>166</v>
      </c>
      <c r="H1654" s="1">
        <v>0.0</v>
      </c>
      <c r="I1654" s="1">
        <v>1.0</v>
      </c>
      <c r="J1654" s="1">
        <v>0.0</v>
      </c>
      <c r="K1654" s="1">
        <v>21.0</v>
      </c>
      <c r="L1654" s="1">
        <v>36.0</v>
      </c>
      <c r="M1654" s="1">
        <v>0.583333333</v>
      </c>
      <c r="N1654" s="1">
        <v>41.38000107</v>
      </c>
    </row>
    <row r="1655" ht="15.75" customHeight="1">
      <c r="A1655" s="1" t="s">
        <v>180</v>
      </c>
      <c r="B1655" s="1" t="s">
        <v>220</v>
      </c>
      <c r="C1655" s="5">
        <v>45546.0</v>
      </c>
      <c r="D1655" s="1" t="s">
        <v>161</v>
      </c>
      <c r="E1655" s="1" t="s">
        <v>11</v>
      </c>
      <c r="F1655" s="1" t="s">
        <v>167</v>
      </c>
      <c r="G1655" s="1" t="s">
        <v>234</v>
      </c>
      <c r="H1655" s="1">
        <v>2.0</v>
      </c>
      <c r="I1655" s="1">
        <v>0.0</v>
      </c>
      <c r="J1655" s="1">
        <v>0.0</v>
      </c>
      <c r="K1655" s="1">
        <v>0.0</v>
      </c>
      <c r="L1655" s="1">
        <v>0.0</v>
      </c>
      <c r="N1655" s="1">
        <v>0.0</v>
      </c>
    </row>
    <row r="1656" ht="15.75" customHeight="1">
      <c r="A1656" s="1" t="s">
        <v>180</v>
      </c>
      <c r="B1656" s="1" t="s">
        <v>220</v>
      </c>
      <c r="C1656" s="5">
        <v>45546.0</v>
      </c>
      <c r="D1656" s="1" t="s">
        <v>161</v>
      </c>
      <c r="E1656" s="1" t="s">
        <v>11</v>
      </c>
      <c r="F1656" s="1" t="s">
        <v>166</v>
      </c>
      <c r="G1656" s="1" t="s">
        <v>234</v>
      </c>
      <c r="H1656" s="1">
        <v>2.0</v>
      </c>
      <c r="I1656" s="1">
        <v>1.0</v>
      </c>
      <c r="J1656" s="1">
        <v>0.0</v>
      </c>
      <c r="K1656" s="1">
        <v>13.0</v>
      </c>
      <c r="L1656" s="1">
        <v>16.0</v>
      </c>
      <c r="M1656" s="1">
        <v>0.8125</v>
      </c>
      <c r="N1656" s="1">
        <v>15.14000034</v>
      </c>
    </row>
    <row r="1657" ht="15.75" customHeight="1">
      <c r="A1657" s="1" t="s">
        <v>180</v>
      </c>
      <c r="B1657" s="1" t="s">
        <v>237</v>
      </c>
      <c r="C1657" s="5">
        <v>45546.0</v>
      </c>
      <c r="D1657" s="1" t="s">
        <v>161</v>
      </c>
      <c r="E1657" s="1" t="s">
        <v>11</v>
      </c>
      <c r="F1657" s="1" t="s">
        <v>166</v>
      </c>
      <c r="H1657" s="1">
        <v>0.0</v>
      </c>
      <c r="I1657" s="1">
        <v>0.0</v>
      </c>
      <c r="J1657" s="1">
        <v>0.0</v>
      </c>
      <c r="K1657" s="1">
        <v>10.0</v>
      </c>
      <c r="L1657" s="1">
        <v>16.0</v>
      </c>
      <c r="M1657" s="1">
        <v>0.625</v>
      </c>
      <c r="N1657" s="1">
        <v>35.34999847</v>
      </c>
    </row>
    <row r="1658" ht="15.75" customHeight="1">
      <c r="A1658" s="1" t="s">
        <v>180</v>
      </c>
      <c r="B1658" s="1" t="s">
        <v>238</v>
      </c>
      <c r="C1658" s="5">
        <v>45546.0</v>
      </c>
      <c r="D1658" s="1" t="s">
        <v>161</v>
      </c>
      <c r="E1658" s="1" t="s">
        <v>11</v>
      </c>
      <c r="H1658" s="1">
        <v>0.0</v>
      </c>
      <c r="J1658" s="1">
        <v>0.0</v>
      </c>
      <c r="N1658" s="1">
        <v>0.02</v>
      </c>
    </row>
    <row r="1659" ht="15.75" customHeight="1">
      <c r="A1659" s="1" t="s">
        <v>180</v>
      </c>
      <c r="B1659" s="1" t="s">
        <v>185</v>
      </c>
      <c r="C1659" s="5">
        <v>45546.0</v>
      </c>
      <c r="D1659" s="1" t="s">
        <v>161</v>
      </c>
      <c r="E1659" s="1" t="s">
        <v>11</v>
      </c>
      <c r="F1659" s="1" t="s">
        <v>166</v>
      </c>
      <c r="H1659" s="1">
        <v>0.0</v>
      </c>
      <c r="I1659" s="1">
        <v>0.0</v>
      </c>
      <c r="J1659" s="1">
        <v>0.0</v>
      </c>
      <c r="K1659" s="1">
        <v>2.0</v>
      </c>
      <c r="L1659" s="1">
        <v>6.0</v>
      </c>
      <c r="M1659" s="1">
        <v>0.333333333</v>
      </c>
      <c r="N1659" s="1">
        <v>4.199999809</v>
      </c>
    </row>
    <row r="1660" ht="15.75" customHeight="1">
      <c r="A1660" s="1" t="s">
        <v>180</v>
      </c>
      <c r="B1660" s="1" t="s">
        <v>214</v>
      </c>
      <c r="C1660" s="5">
        <v>45546.0</v>
      </c>
      <c r="D1660" s="1" t="s">
        <v>161</v>
      </c>
      <c r="E1660" s="1" t="s">
        <v>11</v>
      </c>
      <c r="H1660" s="1">
        <v>0.0</v>
      </c>
      <c r="J1660" s="1">
        <v>0.0</v>
      </c>
      <c r="N1660" s="1">
        <v>0.170000002</v>
      </c>
    </row>
    <row r="1661" ht="15.75" customHeight="1">
      <c r="A1661" s="1" t="s">
        <v>180</v>
      </c>
      <c r="B1661" s="1" t="s">
        <v>181</v>
      </c>
      <c r="C1661" s="5">
        <v>45546.0</v>
      </c>
      <c r="D1661" s="1" t="s">
        <v>161</v>
      </c>
      <c r="E1661" s="1" t="s">
        <v>11</v>
      </c>
      <c r="F1661" s="1" t="s">
        <v>166</v>
      </c>
      <c r="H1661" s="1">
        <v>0.0</v>
      </c>
      <c r="I1661" s="1">
        <v>1.0</v>
      </c>
      <c r="J1661" s="1">
        <v>0.0</v>
      </c>
      <c r="K1661" s="1">
        <v>35.0</v>
      </c>
      <c r="L1661" s="1">
        <v>56.0</v>
      </c>
      <c r="M1661" s="1">
        <v>0.625</v>
      </c>
      <c r="N1661" s="1">
        <v>40.93000031</v>
      </c>
    </row>
    <row r="1662" ht="15.75" customHeight="1">
      <c r="A1662" s="1" t="s">
        <v>180</v>
      </c>
      <c r="B1662" s="1" t="s">
        <v>226</v>
      </c>
      <c r="C1662" s="5">
        <v>45546.0</v>
      </c>
      <c r="D1662" s="1" t="s">
        <v>161</v>
      </c>
      <c r="E1662" s="1" t="s">
        <v>11</v>
      </c>
      <c r="H1662" s="1">
        <v>0.0</v>
      </c>
      <c r="J1662" s="1">
        <v>0.0</v>
      </c>
      <c r="N1662" s="1">
        <v>0.800000012</v>
      </c>
    </row>
    <row r="1663" ht="15.75" customHeight="1">
      <c r="A1663" s="1" t="s">
        <v>160</v>
      </c>
      <c r="B1663" s="1" t="s">
        <v>39</v>
      </c>
      <c r="C1663" s="5">
        <v>45545.0</v>
      </c>
      <c r="D1663" s="1" t="s">
        <v>161</v>
      </c>
      <c r="E1663" s="1" t="s">
        <v>11</v>
      </c>
      <c r="F1663" s="1" t="s">
        <v>162</v>
      </c>
      <c r="G1663" s="1" t="s">
        <v>182</v>
      </c>
      <c r="H1663" s="1">
        <v>2.0</v>
      </c>
      <c r="I1663" s="1">
        <v>0.0</v>
      </c>
      <c r="J1663" s="1">
        <v>0.0</v>
      </c>
      <c r="K1663" s="1">
        <v>6.0</v>
      </c>
      <c r="L1663" s="1">
        <v>8.0</v>
      </c>
      <c r="M1663" s="1">
        <v>0.75</v>
      </c>
      <c r="N1663" s="1">
        <v>18.79000092</v>
      </c>
    </row>
    <row r="1664" ht="15.75" customHeight="1">
      <c r="A1664" s="1" t="s">
        <v>160</v>
      </c>
      <c r="B1664" s="1" t="s">
        <v>39</v>
      </c>
      <c r="C1664" s="5">
        <v>45545.0</v>
      </c>
      <c r="D1664" s="1" t="s">
        <v>161</v>
      </c>
      <c r="E1664" s="1" t="s">
        <v>11</v>
      </c>
      <c r="F1664" s="1" t="s">
        <v>166</v>
      </c>
      <c r="G1664" s="1" t="s">
        <v>182</v>
      </c>
      <c r="H1664" s="1">
        <v>2.0</v>
      </c>
      <c r="I1664" s="1">
        <v>0.0</v>
      </c>
      <c r="J1664" s="1">
        <v>0.0</v>
      </c>
      <c r="K1664" s="1">
        <v>0.0</v>
      </c>
      <c r="L1664" s="1">
        <v>0.0</v>
      </c>
      <c r="N1664" s="1">
        <v>0.0</v>
      </c>
    </row>
    <row r="1665" ht="15.75" customHeight="1">
      <c r="A1665" s="1" t="s">
        <v>160</v>
      </c>
      <c r="B1665" s="1" t="s">
        <v>224</v>
      </c>
      <c r="C1665" s="5">
        <v>45545.0</v>
      </c>
      <c r="D1665" s="1" t="s">
        <v>161</v>
      </c>
      <c r="E1665" s="1" t="s">
        <v>11</v>
      </c>
      <c r="F1665" s="1" t="s">
        <v>162</v>
      </c>
      <c r="H1665" s="1">
        <v>0.0</v>
      </c>
      <c r="I1665" s="1">
        <v>2.0</v>
      </c>
      <c r="J1665" s="1">
        <v>0.0</v>
      </c>
      <c r="K1665" s="1">
        <v>32.0</v>
      </c>
      <c r="L1665" s="1">
        <v>49.0</v>
      </c>
      <c r="M1665" s="1">
        <v>0.653061224</v>
      </c>
      <c r="N1665" s="1">
        <v>54.54999924</v>
      </c>
    </row>
    <row r="1666" ht="15.75" customHeight="1">
      <c r="A1666" s="1" t="s">
        <v>160</v>
      </c>
      <c r="B1666" s="1" t="s">
        <v>230</v>
      </c>
      <c r="C1666" s="5">
        <v>45545.0</v>
      </c>
      <c r="D1666" s="1" t="s">
        <v>161</v>
      </c>
      <c r="E1666" s="1" t="s">
        <v>11</v>
      </c>
      <c r="F1666" s="1" t="s">
        <v>165</v>
      </c>
      <c r="H1666" s="1">
        <v>0.0</v>
      </c>
      <c r="I1666" s="1">
        <v>0.0</v>
      </c>
      <c r="J1666" s="1">
        <v>0.0</v>
      </c>
      <c r="K1666" s="1">
        <v>0.0</v>
      </c>
      <c r="L1666" s="1">
        <v>0.0</v>
      </c>
      <c r="N1666" s="1">
        <v>1.549999952</v>
      </c>
    </row>
    <row r="1667" ht="15.75" customHeight="1">
      <c r="A1667" s="1" t="s">
        <v>160</v>
      </c>
      <c r="B1667" s="1" t="s">
        <v>95</v>
      </c>
      <c r="C1667" s="5">
        <v>45545.0</v>
      </c>
      <c r="D1667" s="1" t="s">
        <v>161</v>
      </c>
      <c r="E1667" s="1" t="s">
        <v>11</v>
      </c>
      <c r="F1667" s="1" t="s">
        <v>165</v>
      </c>
      <c r="G1667" s="1" t="s">
        <v>172</v>
      </c>
      <c r="H1667" s="1">
        <v>1.0</v>
      </c>
      <c r="I1667" s="1">
        <v>0.0</v>
      </c>
      <c r="J1667" s="1">
        <v>0.0</v>
      </c>
      <c r="K1667" s="1">
        <v>2.0</v>
      </c>
      <c r="L1667" s="1">
        <v>4.0</v>
      </c>
      <c r="M1667" s="1">
        <v>0.5</v>
      </c>
      <c r="N1667" s="1">
        <v>4.829999924</v>
      </c>
    </row>
    <row r="1668" ht="15.75" customHeight="1">
      <c r="A1668" s="1" t="s">
        <v>164</v>
      </c>
      <c r="B1668" s="1" t="s">
        <v>35</v>
      </c>
      <c r="C1668" s="5">
        <v>45545.0</v>
      </c>
      <c r="D1668" s="1" t="s">
        <v>161</v>
      </c>
      <c r="E1668" s="1" t="s">
        <v>11</v>
      </c>
      <c r="F1668" s="1" t="s">
        <v>166</v>
      </c>
      <c r="H1668" s="1">
        <v>0.0</v>
      </c>
      <c r="I1668" s="1">
        <v>1.0</v>
      </c>
      <c r="J1668" s="1">
        <v>0.0</v>
      </c>
      <c r="K1668" s="1">
        <v>20.0</v>
      </c>
      <c r="L1668" s="1">
        <v>29.0</v>
      </c>
      <c r="M1668" s="1">
        <v>0.689655172</v>
      </c>
      <c r="N1668" s="1">
        <v>30.15999985</v>
      </c>
    </row>
    <row r="1669" ht="15.75" customHeight="1">
      <c r="A1669" s="1" t="s">
        <v>164</v>
      </c>
      <c r="B1669" s="1" t="s">
        <v>24</v>
      </c>
      <c r="C1669" s="5">
        <v>45545.0</v>
      </c>
      <c r="D1669" s="1" t="s">
        <v>161</v>
      </c>
      <c r="E1669" s="1" t="s">
        <v>11</v>
      </c>
      <c r="F1669" s="1" t="s">
        <v>166</v>
      </c>
      <c r="H1669" s="1">
        <v>0.0</v>
      </c>
      <c r="I1669" s="1">
        <v>0.0</v>
      </c>
      <c r="J1669" s="1">
        <v>0.0</v>
      </c>
      <c r="K1669" s="1">
        <v>0.0</v>
      </c>
      <c r="L1669" s="1">
        <v>5.0</v>
      </c>
      <c r="M1669" s="1">
        <v>0.0</v>
      </c>
      <c r="N1669" s="1">
        <v>4.329999924</v>
      </c>
    </row>
    <row r="1670" ht="15.75" customHeight="1">
      <c r="A1670" s="1" t="s">
        <v>164</v>
      </c>
      <c r="B1670" s="1" t="s">
        <v>207</v>
      </c>
      <c r="C1670" s="5">
        <v>45545.0</v>
      </c>
      <c r="D1670" s="1" t="s">
        <v>161</v>
      </c>
      <c r="E1670" s="1" t="s">
        <v>11</v>
      </c>
      <c r="F1670" s="1" t="s">
        <v>166</v>
      </c>
      <c r="G1670" s="1" t="s">
        <v>172</v>
      </c>
      <c r="H1670" s="1">
        <v>1.0</v>
      </c>
      <c r="I1670" s="1">
        <v>0.0</v>
      </c>
      <c r="J1670" s="1">
        <v>0.0</v>
      </c>
      <c r="K1670" s="1">
        <v>6.0</v>
      </c>
      <c r="L1670" s="1">
        <v>8.0</v>
      </c>
      <c r="M1670" s="1">
        <v>0.75</v>
      </c>
      <c r="N1670" s="1">
        <v>8.539999962</v>
      </c>
    </row>
    <row r="1671" ht="15.75" customHeight="1">
      <c r="A1671" s="1" t="s">
        <v>164</v>
      </c>
      <c r="B1671" s="1" t="s">
        <v>52</v>
      </c>
      <c r="C1671" s="5">
        <v>45545.0</v>
      </c>
      <c r="D1671" s="1" t="s">
        <v>161</v>
      </c>
      <c r="E1671" s="1" t="s">
        <v>11</v>
      </c>
      <c r="F1671" s="1" t="s">
        <v>165</v>
      </c>
      <c r="H1671" s="1">
        <v>0.0</v>
      </c>
      <c r="I1671" s="1">
        <v>0.0</v>
      </c>
      <c r="J1671" s="1">
        <v>0.0</v>
      </c>
      <c r="K1671" s="1">
        <v>0.0</v>
      </c>
      <c r="L1671" s="1">
        <v>3.0</v>
      </c>
      <c r="M1671" s="1">
        <v>0.0</v>
      </c>
      <c r="N1671" s="1">
        <v>1.980000019</v>
      </c>
    </row>
    <row r="1672" ht="15.75" customHeight="1">
      <c r="A1672" s="1" t="s">
        <v>164</v>
      </c>
      <c r="B1672" s="1" t="s">
        <v>199</v>
      </c>
      <c r="C1672" s="5">
        <v>45545.0</v>
      </c>
      <c r="D1672" s="1" t="s">
        <v>161</v>
      </c>
      <c r="E1672" s="1" t="s">
        <v>11</v>
      </c>
      <c r="F1672" s="1" t="s">
        <v>162</v>
      </c>
      <c r="H1672" s="1">
        <v>0.0</v>
      </c>
      <c r="I1672" s="1">
        <v>1.0</v>
      </c>
      <c r="J1672" s="1">
        <v>0.0</v>
      </c>
      <c r="K1672" s="1">
        <v>25.0</v>
      </c>
      <c r="L1672" s="1">
        <v>33.0</v>
      </c>
      <c r="M1672" s="1">
        <v>0.757575758</v>
      </c>
      <c r="N1672" s="1">
        <v>19.23999977</v>
      </c>
    </row>
    <row r="1673" ht="15.75" customHeight="1">
      <c r="A1673" s="1" t="s">
        <v>164</v>
      </c>
      <c r="B1673" s="1" t="s">
        <v>196</v>
      </c>
      <c r="C1673" s="5">
        <v>45545.0</v>
      </c>
      <c r="D1673" s="1" t="s">
        <v>161</v>
      </c>
      <c r="E1673" s="1" t="s">
        <v>11</v>
      </c>
      <c r="F1673" s="1" t="s">
        <v>165</v>
      </c>
      <c r="H1673" s="1">
        <v>0.0</v>
      </c>
      <c r="I1673" s="1">
        <v>1.0</v>
      </c>
      <c r="J1673" s="1">
        <v>0.0</v>
      </c>
      <c r="K1673" s="1">
        <v>16.0</v>
      </c>
      <c r="L1673" s="1">
        <v>24.0</v>
      </c>
      <c r="M1673" s="1">
        <v>0.666666667</v>
      </c>
      <c r="N1673" s="1">
        <v>43.08000183</v>
      </c>
    </row>
    <row r="1674" ht="15.75" customHeight="1">
      <c r="A1674" s="1" t="s">
        <v>164</v>
      </c>
      <c r="B1674" s="1" t="s">
        <v>231</v>
      </c>
      <c r="C1674" s="5">
        <v>45545.0</v>
      </c>
      <c r="D1674" s="1" t="s">
        <v>161</v>
      </c>
      <c r="E1674" s="1" t="s">
        <v>11</v>
      </c>
      <c r="F1674" s="1" t="s">
        <v>166</v>
      </c>
      <c r="H1674" s="1">
        <v>0.0</v>
      </c>
      <c r="I1674" s="1">
        <v>2.0</v>
      </c>
      <c r="J1674" s="1">
        <v>0.0</v>
      </c>
      <c r="K1674" s="1">
        <v>29.0</v>
      </c>
      <c r="L1674" s="1">
        <v>37.0</v>
      </c>
      <c r="M1674" s="1">
        <v>0.783783784</v>
      </c>
      <c r="N1674" s="1">
        <v>32.50999832</v>
      </c>
    </row>
    <row r="1675" ht="15.75" customHeight="1">
      <c r="A1675" s="1" t="s">
        <v>164</v>
      </c>
      <c r="B1675" s="1" t="s">
        <v>179</v>
      </c>
      <c r="C1675" s="5">
        <v>45545.0</v>
      </c>
      <c r="D1675" s="1" t="s">
        <v>161</v>
      </c>
      <c r="E1675" s="1" t="s">
        <v>11</v>
      </c>
      <c r="F1675" s="1" t="s">
        <v>166</v>
      </c>
      <c r="H1675" s="1">
        <v>0.0</v>
      </c>
      <c r="I1675" s="1">
        <v>0.0</v>
      </c>
      <c r="J1675" s="1">
        <v>0.0</v>
      </c>
      <c r="K1675" s="1">
        <v>6.0</v>
      </c>
      <c r="L1675" s="1">
        <v>9.0</v>
      </c>
      <c r="M1675" s="1">
        <v>0.666666667</v>
      </c>
      <c r="N1675" s="1">
        <v>5.059999943</v>
      </c>
    </row>
    <row r="1676" ht="15.75" customHeight="1">
      <c r="A1676" s="1" t="s">
        <v>164</v>
      </c>
      <c r="B1676" s="1" t="s">
        <v>63</v>
      </c>
      <c r="C1676" s="5">
        <v>45545.0</v>
      </c>
      <c r="D1676" s="1" t="s">
        <v>161</v>
      </c>
      <c r="E1676" s="1" t="s">
        <v>11</v>
      </c>
      <c r="F1676" s="1" t="s">
        <v>166</v>
      </c>
      <c r="H1676" s="1">
        <v>0.0</v>
      </c>
      <c r="I1676" s="1">
        <v>0.0</v>
      </c>
      <c r="J1676" s="1">
        <v>0.0</v>
      </c>
      <c r="K1676" s="1">
        <v>16.0</v>
      </c>
      <c r="L1676" s="1">
        <v>23.0</v>
      </c>
      <c r="M1676" s="1">
        <v>0.695652174</v>
      </c>
      <c r="N1676" s="1">
        <v>17.39999962</v>
      </c>
    </row>
    <row r="1677" ht="15.75" customHeight="1">
      <c r="A1677" s="1" t="s">
        <v>164</v>
      </c>
      <c r="B1677" s="1" t="s">
        <v>183</v>
      </c>
      <c r="C1677" s="5">
        <v>45545.0</v>
      </c>
      <c r="D1677" s="1" t="s">
        <v>161</v>
      </c>
      <c r="E1677" s="1" t="s">
        <v>11</v>
      </c>
      <c r="F1677" s="1" t="s">
        <v>166</v>
      </c>
      <c r="H1677" s="1">
        <v>0.0</v>
      </c>
      <c r="I1677" s="1">
        <v>4.0</v>
      </c>
      <c r="J1677" s="1">
        <v>0.0</v>
      </c>
      <c r="K1677" s="1">
        <v>78.0</v>
      </c>
      <c r="L1677" s="1">
        <v>105.0</v>
      </c>
      <c r="M1677" s="1">
        <v>0.742857143</v>
      </c>
      <c r="N1677" s="1">
        <v>71.05000305</v>
      </c>
    </row>
    <row r="1678" ht="15.75" customHeight="1">
      <c r="A1678" s="1" t="s">
        <v>164</v>
      </c>
      <c r="B1678" s="1" t="s">
        <v>197</v>
      </c>
      <c r="C1678" s="5">
        <v>45545.0</v>
      </c>
      <c r="D1678" s="1" t="s">
        <v>161</v>
      </c>
      <c r="E1678" s="1" t="s">
        <v>11</v>
      </c>
      <c r="F1678" s="1" t="s">
        <v>166</v>
      </c>
      <c r="H1678" s="1">
        <v>0.0</v>
      </c>
      <c r="I1678" s="1">
        <v>0.0</v>
      </c>
      <c r="J1678" s="1">
        <v>0.0</v>
      </c>
      <c r="K1678" s="1">
        <v>4.0</v>
      </c>
      <c r="L1678" s="1">
        <v>7.0</v>
      </c>
      <c r="M1678" s="1">
        <v>0.571428571</v>
      </c>
      <c r="N1678" s="1">
        <v>9.779999733</v>
      </c>
    </row>
    <row r="1679" ht="15.75" customHeight="1">
      <c r="A1679" s="1" t="s">
        <v>164</v>
      </c>
      <c r="B1679" s="1" t="s">
        <v>74</v>
      </c>
      <c r="C1679" s="5">
        <v>45545.0</v>
      </c>
      <c r="D1679" s="1" t="s">
        <v>161</v>
      </c>
      <c r="E1679" s="1" t="s">
        <v>11</v>
      </c>
      <c r="F1679" s="1" t="s">
        <v>166</v>
      </c>
      <c r="H1679" s="1">
        <v>0.0</v>
      </c>
      <c r="I1679" s="1">
        <v>0.0</v>
      </c>
      <c r="J1679" s="1">
        <v>0.0</v>
      </c>
      <c r="K1679" s="1">
        <v>0.0</v>
      </c>
      <c r="L1679" s="1">
        <v>0.0</v>
      </c>
      <c r="N1679" s="1">
        <v>0.430000007</v>
      </c>
    </row>
    <row r="1680" ht="15.75" customHeight="1">
      <c r="A1680" s="1" t="s">
        <v>164</v>
      </c>
      <c r="B1680" s="1" t="s">
        <v>225</v>
      </c>
      <c r="C1680" s="5">
        <v>45545.0</v>
      </c>
      <c r="D1680" s="1" t="s">
        <v>161</v>
      </c>
      <c r="E1680" s="1" t="s">
        <v>11</v>
      </c>
      <c r="F1680" s="1" t="s">
        <v>166</v>
      </c>
      <c r="H1680" s="1">
        <v>0.0</v>
      </c>
      <c r="I1680" s="1">
        <v>0.0</v>
      </c>
      <c r="J1680" s="1">
        <v>0.0</v>
      </c>
      <c r="K1680" s="1">
        <v>6.0</v>
      </c>
      <c r="L1680" s="1">
        <v>12.0</v>
      </c>
      <c r="M1680" s="1">
        <v>0.5</v>
      </c>
      <c r="N1680" s="1">
        <v>7.170000076</v>
      </c>
    </row>
    <row r="1681" ht="15.75" customHeight="1">
      <c r="A1681" s="1" t="s">
        <v>180</v>
      </c>
      <c r="B1681" s="1" t="s">
        <v>220</v>
      </c>
      <c r="C1681" s="5">
        <v>45545.0</v>
      </c>
      <c r="D1681" s="1" t="s">
        <v>161</v>
      </c>
      <c r="E1681" s="1" t="s">
        <v>11</v>
      </c>
      <c r="F1681" s="1" t="s">
        <v>166</v>
      </c>
      <c r="H1681" s="1">
        <v>0.0</v>
      </c>
      <c r="I1681" s="1">
        <v>0.0</v>
      </c>
      <c r="J1681" s="1">
        <v>0.0</v>
      </c>
      <c r="K1681" s="1">
        <v>5.0</v>
      </c>
      <c r="L1681" s="1">
        <v>15.0</v>
      </c>
      <c r="M1681" s="1">
        <v>0.333333333</v>
      </c>
      <c r="N1681" s="1">
        <v>10.44999981</v>
      </c>
    </row>
    <row r="1682" ht="15.75" customHeight="1">
      <c r="A1682" s="1" t="s">
        <v>180</v>
      </c>
      <c r="B1682" s="1" t="s">
        <v>226</v>
      </c>
      <c r="C1682" s="5">
        <v>45545.0</v>
      </c>
      <c r="D1682" s="1" t="s">
        <v>161</v>
      </c>
      <c r="E1682" s="1" t="s">
        <v>11</v>
      </c>
      <c r="H1682" s="1">
        <v>0.0</v>
      </c>
      <c r="J1682" s="1">
        <v>0.0</v>
      </c>
      <c r="N1682" s="1">
        <v>13.06000042</v>
      </c>
    </row>
    <row r="1683" ht="15.75" customHeight="1">
      <c r="A1683" s="1" t="s">
        <v>160</v>
      </c>
      <c r="B1683" s="1" t="s">
        <v>39</v>
      </c>
      <c r="C1683" s="5">
        <v>45544.0</v>
      </c>
      <c r="D1683" s="1" t="s">
        <v>161</v>
      </c>
      <c r="E1683" s="1" t="s">
        <v>11</v>
      </c>
      <c r="F1683" s="1" t="s">
        <v>162</v>
      </c>
      <c r="G1683" s="1" t="s">
        <v>163</v>
      </c>
      <c r="H1683" s="1">
        <v>1.0</v>
      </c>
      <c r="I1683" s="1">
        <v>0.0</v>
      </c>
      <c r="J1683" s="1">
        <v>0.0</v>
      </c>
      <c r="K1683" s="1">
        <v>3.0</v>
      </c>
      <c r="L1683" s="1">
        <v>6.0</v>
      </c>
      <c r="M1683" s="1">
        <v>0.5</v>
      </c>
      <c r="N1683" s="1">
        <v>12.56999969</v>
      </c>
    </row>
    <row r="1684" ht="15.75" customHeight="1">
      <c r="A1684" s="1" t="s">
        <v>160</v>
      </c>
      <c r="B1684" s="1" t="s">
        <v>39</v>
      </c>
      <c r="C1684" s="5">
        <v>45544.0</v>
      </c>
      <c r="D1684" s="1" t="s">
        <v>161</v>
      </c>
      <c r="E1684" s="1" t="s">
        <v>11</v>
      </c>
      <c r="F1684" s="1" t="s">
        <v>166</v>
      </c>
      <c r="G1684" s="1" t="s">
        <v>163</v>
      </c>
      <c r="H1684" s="1">
        <v>1.0</v>
      </c>
      <c r="I1684" s="1">
        <v>0.0</v>
      </c>
      <c r="J1684" s="1">
        <v>0.0</v>
      </c>
      <c r="K1684" s="1">
        <v>0.0</v>
      </c>
      <c r="L1684" s="1">
        <v>0.0</v>
      </c>
      <c r="N1684" s="1">
        <v>0.0</v>
      </c>
    </row>
    <row r="1685" ht="15.75" customHeight="1">
      <c r="A1685" s="1" t="s">
        <v>160</v>
      </c>
      <c r="B1685" s="1" t="s">
        <v>230</v>
      </c>
      <c r="C1685" s="5">
        <v>45544.0</v>
      </c>
      <c r="D1685" s="1" t="s">
        <v>161</v>
      </c>
      <c r="E1685" s="1" t="s">
        <v>11</v>
      </c>
      <c r="F1685" s="1" t="s">
        <v>165</v>
      </c>
      <c r="H1685" s="1">
        <v>0.0</v>
      </c>
      <c r="I1685" s="1">
        <v>0.0</v>
      </c>
      <c r="J1685" s="1">
        <v>0.0</v>
      </c>
      <c r="K1685" s="1">
        <v>0.0</v>
      </c>
      <c r="L1685" s="1">
        <v>0.0</v>
      </c>
      <c r="N1685" s="1">
        <v>0.670000017</v>
      </c>
    </row>
    <row r="1686" ht="15.75" customHeight="1">
      <c r="A1686" s="1" t="s">
        <v>160</v>
      </c>
      <c r="B1686" s="1" t="s">
        <v>95</v>
      </c>
      <c r="C1686" s="5">
        <v>45544.0</v>
      </c>
      <c r="D1686" s="1" t="s">
        <v>161</v>
      </c>
      <c r="E1686" s="1" t="s">
        <v>11</v>
      </c>
      <c r="F1686" s="1" t="s">
        <v>165</v>
      </c>
      <c r="H1686" s="1">
        <v>0.0</v>
      </c>
      <c r="I1686" s="1">
        <v>0.0</v>
      </c>
      <c r="J1686" s="1">
        <v>0.0</v>
      </c>
      <c r="K1686" s="1">
        <v>0.0</v>
      </c>
      <c r="L1686" s="1">
        <v>0.0</v>
      </c>
      <c r="N1686" s="1">
        <v>3.400000095</v>
      </c>
    </row>
    <row r="1687" ht="15.75" customHeight="1">
      <c r="A1687" s="1" t="s">
        <v>160</v>
      </c>
      <c r="B1687" s="1" t="s">
        <v>77</v>
      </c>
      <c r="C1687" s="5">
        <v>45544.0</v>
      </c>
      <c r="D1687" s="1" t="s">
        <v>161</v>
      </c>
      <c r="E1687" s="1" t="s">
        <v>11</v>
      </c>
      <c r="F1687" s="1" t="s">
        <v>162</v>
      </c>
      <c r="H1687" s="1">
        <v>0.0</v>
      </c>
      <c r="I1687" s="1">
        <v>1.0</v>
      </c>
      <c r="J1687" s="1">
        <v>0.0</v>
      </c>
      <c r="K1687" s="1">
        <v>52.0</v>
      </c>
      <c r="L1687" s="1">
        <v>53.0</v>
      </c>
      <c r="M1687" s="1">
        <v>0.981132075</v>
      </c>
      <c r="N1687" s="1">
        <v>11.85999966</v>
      </c>
    </row>
    <row r="1688" ht="15.75" customHeight="1">
      <c r="A1688" s="1" t="s">
        <v>164</v>
      </c>
      <c r="B1688" s="1" t="s">
        <v>22</v>
      </c>
      <c r="C1688" s="5">
        <v>45544.0</v>
      </c>
      <c r="D1688" s="1" t="s">
        <v>161</v>
      </c>
      <c r="E1688" s="1" t="s">
        <v>11</v>
      </c>
      <c r="H1688" s="1">
        <v>0.0</v>
      </c>
      <c r="J1688" s="1">
        <v>0.0</v>
      </c>
      <c r="N1688" s="1">
        <v>0.07</v>
      </c>
    </row>
    <row r="1689" ht="15.75" customHeight="1">
      <c r="A1689" s="1" t="s">
        <v>164</v>
      </c>
      <c r="B1689" s="1" t="s">
        <v>35</v>
      </c>
      <c r="C1689" s="5">
        <v>45544.0</v>
      </c>
      <c r="D1689" s="1" t="s">
        <v>161</v>
      </c>
      <c r="E1689" s="1" t="s">
        <v>11</v>
      </c>
      <c r="F1689" s="1" t="s">
        <v>166</v>
      </c>
      <c r="H1689" s="1">
        <v>0.0</v>
      </c>
      <c r="I1689" s="1">
        <v>1.0</v>
      </c>
      <c r="J1689" s="1">
        <v>0.0</v>
      </c>
      <c r="K1689" s="1">
        <v>12.0</v>
      </c>
      <c r="L1689" s="1">
        <v>12.0</v>
      </c>
      <c r="M1689" s="1">
        <v>1.0</v>
      </c>
      <c r="N1689" s="1">
        <v>10.14000034</v>
      </c>
    </row>
    <row r="1690" ht="15.75" customHeight="1">
      <c r="A1690" s="1" t="s">
        <v>164</v>
      </c>
      <c r="B1690" s="1" t="s">
        <v>24</v>
      </c>
      <c r="C1690" s="5">
        <v>45544.0</v>
      </c>
      <c r="D1690" s="1" t="s">
        <v>161</v>
      </c>
      <c r="E1690" s="1" t="s">
        <v>11</v>
      </c>
      <c r="F1690" s="1" t="s">
        <v>166</v>
      </c>
      <c r="H1690" s="1">
        <v>0.0</v>
      </c>
      <c r="I1690" s="1">
        <v>0.0</v>
      </c>
      <c r="J1690" s="1">
        <v>0.0</v>
      </c>
      <c r="K1690" s="1">
        <v>0.0</v>
      </c>
      <c r="L1690" s="1">
        <v>0.0</v>
      </c>
      <c r="N1690" s="1">
        <v>1.190000057</v>
      </c>
    </row>
    <row r="1691" ht="15.75" customHeight="1">
      <c r="A1691" s="1" t="s">
        <v>164</v>
      </c>
      <c r="B1691" s="1" t="s">
        <v>207</v>
      </c>
      <c r="C1691" s="5">
        <v>45544.0</v>
      </c>
      <c r="D1691" s="1" t="s">
        <v>161</v>
      </c>
      <c r="E1691" s="1" t="s">
        <v>11</v>
      </c>
      <c r="F1691" s="1" t="s">
        <v>166</v>
      </c>
      <c r="H1691" s="1">
        <v>0.0</v>
      </c>
      <c r="I1691" s="1">
        <v>0.0</v>
      </c>
      <c r="J1691" s="1">
        <v>0.0</v>
      </c>
      <c r="K1691" s="1">
        <v>0.0</v>
      </c>
      <c r="L1691" s="1">
        <v>0.0</v>
      </c>
      <c r="N1691" s="1">
        <v>1.669999957</v>
      </c>
    </row>
    <row r="1692" ht="15.75" customHeight="1">
      <c r="A1692" s="1" t="s">
        <v>164</v>
      </c>
      <c r="B1692" s="1" t="s">
        <v>52</v>
      </c>
      <c r="C1692" s="5">
        <v>45544.0</v>
      </c>
      <c r="D1692" s="1" t="s">
        <v>161</v>
      </c>
      <c r="E1692" s="1" t="s">
        <v>11</v>
      </c>
      <c r="F1692" s="1" t="s">
        <v>165</v>
      </c>
      <c r="H1692" s="1">
        <v>0.0</v>
      </c>
      <c r="I1692" s="1">
        <v>0.0</v>
      </c>
      <c r="J1692" s="1">
        <v>0.0</v>
      </c>
      <c r="K1692" s="1">
        <v>0.0</v>
      </c>
      <c r="L1692" s="1">
        <v>0.0</v>
      </c>
      <c r="N1692" s="1">
        <v>5.349999905</v>
      </c>
    </row>
    <row r="1693" ht="15.75" customHeight="1">
      <c r="A1693" s="1" t="s">
        <v>164</v>
      </c>
      <c r="B1693" s="1" t="s">
        <v>55</v>
      </c>
      <c r="C1693" s="5">
        <v>45544.0</v>
      </c>
      <c r="D1693" s="1" t="s">
        <v>161</v>
      </c>
      <c r="E1693" s="1" t="s">
        <v>11</v>
      </c>
      <c r="F1693" s="1" t="s">
        <v>166</v>
      </c>
      <c r="H1693" s="1">
        <v>0.0</v>
      </c>
      <c r="I1693" s="1">
        <v>0.0</v>
      </c>
      <c r="J1693" s="1">
        <v>0.0</v>
      </c>
      <c r="K1693" s="1">
        <v>0.0</v>
      </c>
      <c r="L1693" s="1">
        <v>0.0</v>
      </c>
      <c r="N1693" s="1">
        <v>3.25999999</v>
      </c>
    </row>
    <row r="1694" ht="15.75" customHeight="1">
      <c r="A1694" s="1" t="s">
        <v>164</v>
      </c>
      <c r="B1694" s="1" t="s">
        <v>199</v>
      </c>
      <c r="C1694" s="5">
        <v>45544.0</v>
      </c>
      <c r="D1694" s="1" t="s">
        <v>161</v>
      </c>
      <c r="E1694" s="1" t="s">
        <v>11</v>
      </c>
      <c r="F1694" s="1" t="s">
        <v>162</v>
      </c>
      <c r="H1694" s="1">
        <v>0.0</v>
      </c>
      <c r="I1694" s="1">
        <v>0.0</v>
      </c>
      <c r="J1694" s="1">
        <v>0.0</v>
      </c>
      <c r="K1694" s="1">
        <v>0.0</v>
      </c>
      <c r="L1694" s="1">
        <v>0.0</v>
      </c>
      <c r="N1694" s="1">
        <v>3.359999895</v>
      </c>
    </row>
    <row r="1695" ht="15.75" customHeight="1">
      <c r="A1695" s="1" t="s">
        <v>164</v>
      </c>
      <c r="B1695" s="1" t="s">
        <v>76</v>
      </c>
      <c r="C1695" s="5">
        <v>45544.0</v>
      </c>
      <c r="D1695" s="1" t="s">
        <v>161</v>
      </c>
      <c r="E1695" s="1" t="s">
        <v>11</v>
      </c>
      <c r="F1695" s="1" t="s">
        <v>162</v>
      </c>
      <c r="H1695" s="1">
        <v>0.0</v>
      </c>
      <c r="I1695" s="1">
        <v>0.0</v>
      </c>
      <c r="J1695" s="1">
        <v>0.0</v>
      </c>
      <c r="K1695" s="1">
        <v>0.0</v>
      </c>
      <c r="L1695" s="1">
        <v>0.0</v>
      </c>
      <c r="N1695" s="1">
        <v>0.769999981</v>
      </c>
    </row>
    <row r="1696" ht="15.75" customHeight="1">
      <c r="A1696" s="1" t="s">
        <v>164</v>
      </c>
      <c r="B1696" s="1" t="s">
        <v>196</v>
      </c>
      <c r="C1696" s="5">
        <v>45544.0</v>
      </c>
      <c r="D1696" s="1" t="s">
        <v>161</v>
      </c>
      <c r="E1696" s="1" t="s">
        <v>11</v>
      </c>
      <c r="F1696" s="1" t="s">
        <v>165</v>
      </c>
      <c r="H1696" s="1">
        <v>0.0</v>
      </c>
      <c r="I1696" s="1">
        <v>0.0</v>
      </c>
      <c r="J1696" s="1">
        <v>0.0</v>
      </c>
      <c r="K1696" s="1">
        <v>1.0</v>
      </c>
      <c r="L1696" s="1">
        <v>1.0</v>
      </c>
      <c r="M1696" s="1">
        <v>1.0</v>
      </c>
      <c r="N1696" s="1">
        <v>6.28000021</v>
      </c>
    </row>
    <row r="1697" ht="15.75" customHeight="1">
      <c r="A1697" s="1" t="s">
        <v>164</v>
      </c>
      <c r="B1697" s="1" t="s">
        <v>231</v>
      </c>
      <c r="C1697" s="5">
        <v>45544.0</v>
      </c>
      <c r="D1697" s="1" t="s">
        <v>161</v>
      </c>
      <c r="E1697" s="1" t="s">
        <v>11</v>
      </c>
      <c r="F1697" s="1" t="s">
        <v>166</v>
      </c>
      <c r="H1697" s="1">
        <v>0.0</v>
      </c>
      <c r="I1697" s="1">
        <v>0.0</v>
      </c>
      <c r="J1697" s="1">
        <v>0.0</v>
      </c>
      <c r="K1697" s="1">
        <v>4.0</v>
      </c>
      <c r="L1697" s="1">
        <v>4.0</v>
      </c>
      <c r="M1697" s="1">
        <v>1.0</v>
      </c>
      <c r="N1697" s="1">
        <v>10.47999954</v>
      </c>
    </row>
    <row r="1698" ht="15.75" customHeight="1">
      <c r="A1698" s="1" t="s">
        <v>164</v>
      </c>
      <c r="B1698" s="1" t="s">
        <v>179</v>
      </c>
      <c r="C1698" s="5">
        <v>45544.0</v>
      </c>
      <c r="D1698" s="1" t="s">
        <v>161</v>
      </c>
      <c r="E1698" s="1" t="s">
        <v>11</v>
      </c>
      <c r="F1698" s="1" t="s">
        <v>166</v>
      </c>
      <c r="H1698" s="1">
        <v>0.0</v>
      </c>
      <c r="I1698" s="1">
        <v>0.0</v>
      </c>
      <c r="J1698" s="1">
        <v>0.0</v>
      </c>
      <c r="K1698" s="1">
        <v>0.0</v>
      </c>
      <c r="L1698" s="1">
        <v>0.0</v>
      </c>
      <c r="N1698" s="1">
        <v>8.010000229</v>
      </c>
    </row>
    <row r="1699" ht="15.75" customHeight="1">
      <c r="A1699" s="1" t="s">
        <v>164</v>
      </c>
      <c r="B1699" s="1" t="s">
        <v>60</v>
      </c>
      <c r="C1699" s="5">
        <v>45544.0</v>
      </c>
      <c r="D1699" s="1" t="s">
        <v>161</v>
      </c>
      <c r="E1699" s="1" t="s">
        <v>11</v>
      </c>
      <c r="F1699" s="1" t="s">
        <v>166</v>
      </c>
      <c r="H1699" s="1">
        <v>0.0</v>
      </c>
      <c r="I1699" s="1">
        <v>0.0</v>
      </c>
      <c r="J1699" s="1">
        <v>0.0</v>
      </c>
      <c r="K1699" s="1">
        <v>3.0</v>
      </c>
      <c r="L1699" s="1">
        <v>8.0</v>
      </c>
      <c r="M1699" s="1">
        <v>0.375</v>
      </c>
      <c r="N1699" s="1">
        <v>9.489999771</v>
      </c>
    </row>
    <row r="1700" ht="15.75" customHeight="1">
      <c r="A1700" s="1" t="s">
        <v>164</v>
      </c>
      <c r="B1700" s="1" t="s">
        <v>63</v>
      </c>
      <c r="C1700" s="5">
        <v>45544.0</v>
      </c>
      <c r="D1700" s="1" t="s">
        <v>161</v>
      </c>
      <c r="E1700" s="1" t="s">
        <v>11</v>
      </c>
      <c r="F1700" s="1" t="s">
        <v>166</v>
      </c>
      <c r="H1700" s="1">
        <v>0.0</v>
      </c>
      <c r="I1700" s="1">
        <v>0.0</v>
      </c>
      <c r="J1700" s="1">
        <v>0.0</v>
      </c>
      <c r="K1700" s="1">
        <v>0.0</v>
      </c>
      <c r="L1700" s="1">
        <v>0.0</v>
      </c>
      <c r="N1700" s="1">
        <v>6.139999866</v>
      </c>
    </row>
    <row r="1701" ht="15.75" customHeight="1">
      <c r="A1701" s="1" t="s">
        <v>164</v>
      </c>
      <c r="B1701" s="1" t="s">
        <v>183</v>
      </c>
      <c r="C1701" s="5">
        <v>45544.0</v>
      </c>
      <c r="D1701" s="1" t="s">
        <v>161</v>
      </c>
      <c r="E1701" s="1" t="s">
        <v>11</v>
      </c>
      <c r="F1701" s="1" t="s">
        <v>166</v>
      </c>
      <c r="H1701" s="1">
        <v>0.0</v>
      </c>
      <c r="I1701" s="1">
        <v>0.0</v>
      </c>
      <c r="J1701" s="1">
        <v>0.0</v>
      </c>
      <c r="K1701" s="1">
        <v>0.0</v>
      </c>
      <c r="L1701" s="1">
        <v>0.0</v>
      </c>
      <c r="N1701" s="1">
        <v>4.360000134</v>
      </c>
    </row>
    <row r="1702" ht="15.75" customHeight="1">
      <c r="A1702" s="1" t="s">
        <v>164</v>
      </c>
      <c r="B1702" s="1" t="s">
        <v>197</v>
      </c>
      <c r="C1702" s="5">
        <v>45544.0</v>
      </c>
      <c r="D1702" s="1" t="s">
        <v>161</v>
      </c>
      <c r="E1702" s="1" t="s">
        <v>11</v>
      </c>
      <c r="F1702" s="1" t="s">
        <v>166</v>
      </c>
      <c r="H1702" s="1">
        <v>0.0</v>
      </c>
      <c r="I1702" s="1">
        <v>0.0</v>
      </c>
      <c r="J1702" s="1">
        <v>0.0</v>
      </c>
      <c r="K1702" s="1">
        <v>0.0</v>
      </c>
      <c r="L1702" s="1">
        <v>0.0</v>
      </c>
      <c r="N1702" s="1">
        <v>1.75999999</v>
      </c>
    </row>
    <row r="1703" ht="15.75" customHeight="1">
      <c r="A1703" s="1" t="s">
        <v>164</v>
      </c>
      <c r="B1703" s="1" t="s">
        <v>205</v>
      </c>
      <c r="C1703" s="5">
        <v>45544.0</v>
      </c>
      <c r="D1703" s="1" t="s">
        <v>161</v>
      </c>
      <c r="E1703" s="1" t="s">
        <v>11</v>
      </c>
      <c r="F1703" s="1" t="s">
        <v>166</v>
      </c>
      <c r="H1703" s="1">
        <v>0.0</v>
      </c>
      <c r="I1703" s="1">
        <v>0.0</v>
      </c>
      <c r="J1703" s="1">
        <v>0.0</v>
      </c>
      <c r="K1703" s="1">
        <v>0.0</v>
      </c>
      <c r="L1703" s="1">
        <v>0.0</v>
      </c>
      <c r="N1703" s="1">
        <v>0.680000007</v>
      </c>
    </row>
    <row r="1704" ht="15.75" customHeight="1">
      <c r="A1704" s="1" t="s">
        <v>164</v>
      </c>
      <c r="B1704" s="1" t="s">
        <v>75</v>
      </c>
      <c r="C1704" s="5">
        <v>45544.0</v>
      </c>
      <c r="D1704" s="1" t="s">
        <v>161</v>
      </c>
      <c r="E1704" s="1" t="s">
        <v>11</v>
      </c>
      <c r="F1704" s="1" t="s">
        <v>165</v>
      </c>
      <c r="H1704" s="1">
        <v>0.0</v>
      </c>
      <c r="I1704" s="1">
        <v>0.0</v>
      </c>
      <c r="J1704" s="1">
        <v>0.0</v>
      </c>
      <c r="K1704" s="1">
        <v>0.0</v>
      </c>
      <c r="L1704" s="1">
        <v>0.0</v>
      </c>
      <c r="N1704" s="1">
        <v>2.329999924</v>
      </c>
    </row>
    <row r="1705" ht="15.75" customHeight="1">
      <c r="A1705" s="1" t="s">
        <v>164</v>
      </c>
      <c r="B1705" s="1" t="s">
        <v>225</v>
      </c>
      <c r="C1705" s="5">
        <v>45544.0</v>
      </c>
      <c r="D1705" s="1" t="s">
        <v>161</v>
      </c>
      <c r="E1705" s="1" t="s">
        <v>11</v>
      </c>
      <c r="F1705" s="1" t="s">
        <v>166</v>
      </c>
      <c r="H1705" s="1">
        <v>0.0</v>
      </c>
      <c r="I1705" s="1">
        <v>0.0</v>
      </c>
      <c r="J1705" s="1">
        <v>0.0</v>
      </c>
      <c r="K1705" s="1">
        <v>0.0</v>
      </c>
      <c r="L1705" s="1">
        <v>0.0</v>
      </c>
      <c r="N1705" s="1">
        <v>6.449999809</v>
      </c>
    </row>
    <row r="1706" ht="15.75" customHeight="1">
      <c r="A1706" s="1" t="s">
        <v>180</v>
      </c>
      <c r="B1706" s="1" t="s">
        <v>239</v>
      </c>
      <c r="C1706" s="5">
        <v>45544.0</v>
      </c>
      <c r="D1706" s="1" t="s">
        <v>161</v>
      </c>
      <c r="E1706" s="1" t="s">
        <v>11</v>
      </c>
      <c r="F1706" s="1" t="s">
        <v>166</v>
      </c>
      <c r="H1706" s="1">
        <v>0.0</v>
      </c>
      <c r="I1706" s="1">
        <v>0.0</v>
      </c>
      <c r="J1706" s="1">
        <v>0.0</v>
      </c>
      <c r="K1706" s="1">
        <v>0.0</v>
      </c>
      <c r="L1706" s="1">
        <v>0.0</v>
      </c>
      <c r="N1706" s="1">
        <v>0.129999995</v>
      </c>
    </row>
    <row r="1707" ht="15.75" customHeight="1">
      <c r="A1707" s="1" t="s">
        <v>180</v>
      </c>
      <c r="B1707" s="1" t="s">
        <v>220</v>
      </c>
      <c r="C1707" s="5">
        <v>45544.0</v>
      </c>
      <c r="D1707" s="1" t="s">
        <v>161</v>
      </c>
      <c r="E1707" s="1" t="s">
        <v>11</v>
      </c>
      <c r="F1707" s="1" t="s">
        <v>166</v>
      </c>
      <c r="H1707" s="1">
        <v>0.0</v>
      </c>
      <c r="I1707" s="1">
        <v>0.0</v>
      </c>
      <c r="J1707" s="1">
        <v>0.0</v>
      </c>
      <c r="K1707" s="1">
        <v>0.0</v>
      </c>
      <c r="L1707" s="1">
        <v>0.0</v>
      </c>
      <c r="N1707" s="1">
        <v>1.019999981</v>
      </c>
    </row>
    <row r="1708" ht="15.75" customHeight="1">
      <c r="A1708" s="1" t="s">
        <v>180</v>
      </c>
      <c r="B1708" s="1" t="s">
        <v>238</v>
      </c>
      <c r="C1708" s="5">
        <v>45544.0</v>
      </c>
      <c r="D1708" s="1" t="s">
        <v>161</v>
      </c>
      <c r="E1708" s="1" t="s">
        <v>11</v>
      </c>
      <c r="F1708" s="1" t="s">
        <v>166</v>
      </c>
      <c r="H1708" s="1">
        <v>0.0</v>
      </c>
      <c r="I1708" s="1">
        <v>0.0</v>
      </c>
      <c r="J1708" s="1">
        <v>0.0</v>
      </c>
      <c r="K1708" s="1">
        <v>0.0</v>
      </c>
      <c r="L1708" s="1">
        <v>0.0</v>
      </c>
      <c r="N1708" s="1">
        <v>2.910000086</v>
      </c>
    </row>
    <row r="1709" ht="15.75" customHeight="1">
      <c r="A1709" s="1" t="s">
        <v>180</v>
      </c>
      <c r="B1709" s="1" t="s">
        <v>214</v>
      </c>
      <c r="C1709" s="5">
        <v>45544.0</v>
      </c>
      <c r="D1709" s="1" t="s">
        <v>161</v>
      </c>
      <c r="E1709" s="1" t="s">
        <v>11</v>
      </c>
      <c r="H1709" s="1">
        <v>0.0</v>
      </c>
      <c r="J1709" s="1">
        <v>0.0</v>
      </c>
      <c r="N1709" s="1">
        <v>1.440000057</v>
      </c>
    </row>
    <row r="1710" ht="15.75" customHeight="1">
      <c r="A1710" s="1" t="s">
        <v>180</v>
      </c>
      <c r="B1710" s="1" t="s">
        <v>181</v>
      </c>
      <c r="C1710" s="5">
        <v>45544.0</v>
      </c>
      <c r="D1710" s="1" t="s">
        <v>161</v>
      </c>
      <c r="E1710" s="1" t="s">
        <v>11</v>
      </c>
      <c r="F1710" s="1" t="s">
        <v>166</v>
      </c>
      <c r="H1710" s="1">
        <v>0.0</v>
      </c>
      <c r="I1710" s="1">
        <v>0.0</v>
      </c>
      <c r="J1710" s="1">
        <v>0.0</v>
      </c>
      <c r="K1710" s="1">
        <v>0.0</v>
      </c>
      <c r="L1710" s="1">
        <v>0.0</v>
      </c>
      <c r="N1710" s="1">
        <v>5.769999981</v>
      </c>
    </row>
    <row r="1711" ht="15.75" customHeight="1">
      <c r="A1711" s="1" t="s">
        <v>180</v>
      </c>
      <c r="B1711" s="1" t="s">
        <v>235</v>
      </c>
      <c r="C1711" s="5">
        <v>45544.0</v>
      </c>
      <c r="D1711" s="1" t="s">
        <v>161</v>
      </c>
      <c r="E1711" s="1" t="s">
        <v>11</v>
      </c>
      <c r="F1711" s="1" t="s">
        <v>166</v>
      </c>
      <c r="H1711" s="1">
        <v>0.0</v>
      </c>
      <c r="I1711" s="1">
        <v>0.0</v>
      </c>
      <c r="J1711" s="1">
        <v>0.0</v>
      </c>
      <c r="K1711" s="1">
        <v>0.0</v>
      </c>
      <c r="L1711" s="1">
        <v>0.0</v>
      </c>
      <c r="N1711" s="1">
        <v>4.730000019</v>
      </c>
    </row>
    <row r="1712" ht="15.75" customHeight="1">
      <c r="A1712" s="1" t="s">
        <v>180</v>
      </c>
      <c r="B1712" s="1" t="s">
        <v>226</v>
      </c>
      <c r="C1712" s="5">
        <v>45544.0</v>
      </c>
      <c r="D1712" s="1" t="s">
        <v>161</v>
      </c>
      <c r="E1712" s="1" t="s">
        <v>11</v>
      </c>
      <c r="F1712" s="1" t="s">
        <v>166</v>
      </c>
      <c r="H1712" s="1">
        <v>0.0</v>
      </c>
      <c r="I1712" s="1">
        <v>1.0</v>
      </c>
      <c r="J1712" s="1">
        <v>0.0</v>
      </c>
      <c r="K1712" s="1">
        <v>1.0</v>
      </c>
      <c r="L1712" s="1">
        <v>1.0</v>
      </c>
      <c r="M1712" s="1">
        <v>1.0</v>
      </c>
      <c r="N1712" s="1">
        <v>7.849999905</v>
      </c>
    </row>
    <row r="1713" ht="15.75" customHeight="1">
      <c r="A1713" s="1" t="s">
        <v>164</v>
      </c>
      <c r="B1713" s="1" t="s">
        <v>24</v>
      </c>
      <c r="C1713" s="5">
        <v>45543.0</v>
      </c>
      <c r="D1713" s="1" t="s">
        <v>161</v>
      </c>
      <c r="E1713" s="1" t="s">
        <v>11</v>
      </c>
      <c r="F1713" s="1" t="s">
        <v>166</v>
      </c>
      <c r="H1713" s="1">
        <v>0.0</v>
      </c>
      <c r="I1713" s="1">
        <v>0.0</v>
      </c>
      <c r="J1713" s="1">
        <v>0.0</v>
      </c>
      <c r="K1713" s="1">
        <v>0.0</v>
      </c>
      <c r="L1713" s="1">
        <v>0.0</v>
      </c>
      <c r="N1713" s="1">
        <v>18.37999916</v>
      </c>
    </row>
    <row r="1714" ht="15.75" customHeight="1">
      <c r="A1714" s="1" t="s">
        <v>164</v>
      </c>
      <c r="B1714" s="1" t="s">
        <v>52</v>
      </c>
      <c r="C1714" s="5">
        <v>45543.0</v>
      </c>
      <c r="D1714" s="1" t="s">
        <v>161</v>
      </c>
      <c r="E1714" s="1" t="s">
        <v>11</v>
      </c>
      <c r="F1714" s="1" t="s">
        <v>165</v>
      </c>
      <c r="H1714" s="1">
        <v>0.0</v>
      </c>
      <c r="I1714" s="1">
        <v>0.0</v>
      </c>
      <c r="J1714" s="1">
        <v>0.0</v>
      </c>
      <c r="K1714" s="1">
        <v>0.0</v>
      </c>
      <c r="L1714" s="1">
        <v>0.0</v>
      </c>
      <c r="N1714" s="1">
        <v>1.909999967</v>
      </c>
    </row>
    <row r="1715" ht="15.75" customHeight="1">
      <c r="A1715" s="1" t="s">
        <v>164</v>
      </c>
      <c r="B1715" s="1" t="s">
        <v>55</v>
      </c>
      <c r="C1715" s="5">
        <v>45543.0</v>
      </c>
      <c r="D1715" s="1" t="s">
        <v>161</v>
      </c>
      <c r="E1715" s="1" t="s">
        <v>11</v>
      </c>
      <c r="F1715" s="1" t="s">
        <v>166</v>
      </c>
      <c r="H1715" s="1">
        <v>0.0</v>
      </c>
      <c r="I1715" s="1">
        <v>0.0</v>
      </c>
      <c r="J1715" s="1">
        <v>0.0</v>
      </c>
      <c r="K1715" s="1">
        <v>0.0</v>
      </c>
      <c r="L1715" s="1">
        <v>0.0</v>
      </c>
      <c r="N1715" s="1">
        <v>0.569999993</v>
      </c>
    </row>
    <row r="1716" ht="15.75" customHeight="1">
      <c r="A1716" s="1" t="s">
        <v>180</v>
      </c>
      <c r="B1716" s="1" t="s">
        <v>239</v>
      </c>
      <c r="C1716" s="5">
        <v>45543.0</v>
      </c>
      <c r="D1716" s="1" t="s">
        <v>161</v>
      </c>
      <c r="E1716" s="1" t="s">
        <v>11</v>
      </c>
      <c r="F1716" s="1" t="s">
        <v>166</v>
      </c>
      <c r="H1716" s="1">
        <v>0.0</v>
      </c>
      <c r="I1716" s="1">
        <v>0.0</v>
      </c>
      <c r="J1716" s="1">
        <v>0.0</v>
      </c>
      <c r="K1716" s="1">
        <v>0.0</v>
      </c>
      <c r="L1716" s="1">
        <v>0.0</v>
      </c>
      <c r="N1716" s="1">
        <v>10.44999981</v>
      </c>
    </row>
    <row r="1717" ht="15.75" customHeight="1">
      <c r="A1717" s="1" t="s">
        <v>180</v>
      </c>
      <c r="B1717" s="1" t="s">
        <v>226</v>
      </c>
      <c r="C1717" s="5">
        <v>45543.0</v>
      </c>
      <c r="D1717" s="1" t="s">
        <v>161</v>
      </c>
      <c r="E1717" s="1" t="s">
        <v>11</v>
      </c>
      <c r="F1717" s="1" t="s">
        <v>166</v>
      </c>
      <c r="H1717" s="1">
        <v>0.0</v>
      </c>
      <c r="I1717" s="1">
        <v>0.0</v>
      </c>
      <c r="J1717" s="1">
        <v>0.0</v>
      </c>
      <c r="K1717" s="1">
        <v>11.0</v>
      </c>
      <c r="L1717" s="1">
        <v>11.0</v>
      </c>
      <c r="M1717" s="1">
        <v>1.0</v>
      </c>
      <c r="N1717" s="1">
        <v>14.13000011</v>
      </c>
    </row>
    <row r="1718" ht="15.75" customHeight="1">
      <c r="A1718" s="1" t="s">
        <v>164</v>
      </c>
      <c r="B1718" s="1" t="s">
        <v>24</v>
      </c>
      <c r="C1718" s="5">
        <v>45542.0</v>
      </c>
      <c r="D1718" s="1" t="s">
        <v>161</v>
      </c>
      <c r="E1718" s="1" t="s">
        <v>11</v>
      </c>
      <c r="F1718" s="1" t="s">
        <v>166</v>
      </c>
      <c r="H1718" s="1">
        <v>0.0</v>
      </c>
      <c r="I1718" s="1">
        <v>0.0</v>
      </c>
      <c r="J1718" s="1">
        <v>0.0</v>
      </c>
      <c r="K1718" s="1">
        <v>0.0</v>
      </c>
      <c r="L1718" s="1">
        <v>0.0</v>
      </c>
      <c r="N1718" s="1">
        <v>0.200000003</v>
      </c>
    </row>
    <row r="1719" ht="15.75" customHeight="1">
      <c r="A1719" s="1" t="s">
        <v>164</v>
      </c>
      <c r="B1719" s="1" t="s">
        <v>55</v>
      </c>
      <c r="C1719" s="5">
        <v>45542.0</v>
      </c>
      <c r="D1719" s="1" t="s">
        <v>161</v>
      </c>
      <c r="E1719" s="1" t="s">
        <v>11</v>
      </c>
      <c r="F1719" s="1" t="s">
        <v>166</v>
      </c>
      <c r="H1719" s="1">
        <v>0.0</v>
      </c>
      <c r="I1719" s="1">
        <v>0.0</v>
      </c>
      <c r="J1719" s="1">
        <v>0.0</v>
      </c>
      <c r="K1719" s="1">
        <v>17.0</v>
      </c>
      <c r="L1719" s="1">
        <v>82.0</v>
      </c>
      <c r="M1719" s="1">
        <v>0.207317073</v>
      </c>
      <c r="N1719" s="1">
        <v>90.01000214</v>
      </c>
    </row>
    <row r="1720" ht="15.75" customHeight="1">
      <c r="A1720" s="1" t="s">
        <v>160</v>
      </c>
      <c r="B1720" s="1" t="s">
        <v>39</v>
      </c>
      <c r="C1720" s="5">
        <v>45541.0</v>
      </c>
      <c r="D1720" s="1" t="s">
        <v>161</v>
      </c>
      <c r="E1720" s="1" t="s">
        <v>11</v>
      </c>
      <c r="F1720" s="1" t="s">
        <v>162</v>
      </c>
      <c r="G1720" s="1" t="s">
        <v>163</v>
      </c>
      <c r="H1720" s="1">
        <v>1.0</v>
      </c>
      <c r="I1720" s="1">
        <v>0.0</v>
      </c>
      <c r="J1720" s="1">
        <v>0.0</v>
      </c>
      <c r="K1720" s="1">
        <v>1.0</v>
      </c>
      <c r="L1720" s="1">
        <v>8.0</v>
      </c>
      <c r="M1720" s="1">
        <v>0.125</v>
      </c>
      <c r="N1720" s="1">
        <v>11.21000004</v>
      </c>
    </row>
    <row r="1721" ht="15.75" customHeight="1">
      <c r="A1721" s="1" t="s">
        <v>160</v>
      </c>
      <c r="B1721" s="1" t="s">
        <v>65</v>
      </c>
      <c r="C1721" s="5">
        <v>45541.0</v>
      </c>
      <c r="D1721" s="1" t="s">
        <v>161</v>
      </c>
      <c r="E1721" s="1" t="s">
        <v>11</v>
      </c>
      <c r="F1721" s="1" t="s">
        <v>162</v>
      </c>
      <c r="H1721" s="1">
        <v>0.0</v>
      </c>
      <c r="I1721" s="1">
        <v>0.0</v>
      </c>
      <c r="J1721" s="1">
        <v>0.0</v>
      </c>
      <c r="K1721" s="1">
        <v>0.0</v>
      </c>
      <c r="L1721" s="1">
        <v>0.0</v>
      </c>
      <c r="N1721" s="1">
        <v>5.440000057</v>
      </c>
    </row>
    <row r="1722" ht="15.75" customHeight="1">
      <c r="A1722" s="1" t="s">
        <v>160</v>
      </c>
      <c r="B1722" s="1" t="s">
        <v>95</v>
      </c>
      <c r="C1722" s="5">
        <v>45541.0</v>
      </c>
      <c r="D1722" s="1" t="s">
        <v>161</v>
      </c>
      <c r="E1722" s="1" t="s">
        <v>11</v>
      </c>
      <c r="F1722" s="1" t="s">
        <v>165</v>
      </c>
      <c r="H1722" s="1">
        <v>0.0</v>
      </c>
      <c r="I1722" s="1">
        <v>0.0</v>
      </c>
      <c r="J1722" s="1">
        <v>0.0</v>
      </c>
      <c r="K1722" s="1">
        <v>2.0</v>
      </c>
      <c r="L1722" s="1">
        <v>8.0</v>
      </c>
      <c r="M1722" s="1">
        <v>0.25</v>
      </c>
      <c r="N1722" s="1">
        <v>8.590000153</v>
      </c>
    </row>
    <row r="1723" ht="15.75" customHeight="1">
      <c r="A1723" s="1" t="s">
        <v>160</v>
      </c>
      <c r="B1723" s="1" t="s">
        <v>77</v>
      </c>
      <c r="C1723" s="5">
        <v>45541.0</v>
      </c>
      <c r="D1723" s="1" t="s">
        <v>161</v>
      </c>
      <c r="E1723" s="1" t="s">
        <v>11</v>
      </c>
      <c r="F1723" s="1" t="s">
        <v>162</v>
      </c>
      <c r="H1723" s="1">
        <v>0.0</v>
      </c>
      <c r="I1723" s="1">
        <v>1.0</v>
      </c>
      <c r="J1723" s="1">
        <v>0.0</v>
      </c>
      <c r="K1723" s="1">
        <v>9.0</v>
      </c>
      <c r="L1723" s="1">
        <v>10.0</v>
      </c>
      <c r="M1723" s="1">
        <v>0.9</v>
      </c>
      <c r="N1723" s="1">
        <v>13.02999973</v>
      </c>
    </row>
    <row r="1724" ht="15.75" customHeight="1">
      <c r="A1724" s="1" t="s">
        <v>164</v>
      </c>
      <c r="B1724" s="1" t="s">
        <v>22</v>
      </c>
      <c r="C1724" s="5">
        <v>45541.0</v>
      </c>
      <c r="D1724" s="1" t="s">
        <v>161</v>
      </c>
      <c r="E1724" s="1" t="s">
        <v>11</v>
      </c>
      <c r="F1724" s="1" t="s">
        <v>165</v>
      </c>
      <c r="H1724" s="1">
        <v>0.0</v>
      </c>
      <c r="I1724" s="1">
        <v>0.0</v>
      </c>
      <c r="J1724" s="1">
        <v>0.0</v>
      </c>
      <c r="K1724" s="1">
        <v>0.0</v>
      </c>
      <c r="L1724" s="1">
        <v>0.0</v>
      </c>
      <c r="N1724" s="1">
        <v>0.0</v>
      </c>
    </row>
    <row r="1725" ht="15.75" customHeight="1">
      <c r="A1725" s="1" t="s">
        <v>164</v>
      </c>
      <c r="B1725" s="1" t="s">
        <v>22</v>
      </c>
      <c r="C1725" s="5">
        <v>45541.0</v>
      </c>
      <c r="D1725" s="1" t="s">
        <v>161</v>
      </c>
      <c r="E1725" s="1" t="s">
        <v>11</v>
      </c>
      <c r="F1725" s="1" t="s">
        <v>166</v>
      </c>
      <c r="H1725" s="1">
        <v>0.0</v>
      </c>
      <c r="I1725" s="1">
        <v>0.0</v>
      </c>
      <c r="J1725" s="1">
        <v>0.0</v>
      </c>
      <c r="K1725" s="1">
        <v>1.0</v>
      </c>
      <c r="L1725" s="1">
        <v>3.0</v>
      </c>
      <c r="M1725" s="1">
        <v>0.333333333</v>
      </c>
      <c r="N1725" s="1">
        <v>25.12000084</v>
      </c>
    </row>
    <row r="1726" ht="15.75" customHeight="1">
      <c r="A1726" s="1" t="s">
        <v>164</v>
      </c>
      <c r="B1726" s="1" t="s">
        <v>35</v>
      </c>
      <c r="C1726" s="5">
        <v>45541.0</v>
      </c>
      <c r="D1726" s="1" t="s">
        <v>161</v>
      </c>
      <c r="E1726" s="1" t="s">
        <v>11</v>
      </c>
      <c r="F1726" s="1" t="s">
        <v>166</v>
      </c>
      <c r="H1726" s="1">
        <v>0.0</v>
      </c>
      <c r="I1726" s="1">
        <v>4.0</v>
      </c>
      <c r="J1726" s="1">
        <v>0.0</v>
      </c>
      <c r="K1726" s="1">
        <v>57.0</v>
      </c>
      <c r="L1726" s="1">
        <v>66.0</v>
      </c>
      <c r="M1726" s="1">
        <v>0.863636364</v>
      </c>
      <c r="N1726" s="1">
        <v>49.75999832</v>
      </c>
    </row>
    <row r="1727" ht="15.75" customHeight="1">
      <c r="A1727" s="1" t="s">
        <v>164</v>
      </c>
      <c r="B1727" s="1" t="s">
        <v>207</v>
      </c>
      <c r="C1727" s="5">
        <v>45541.0</v>
      </c>
      <c r="D1727" s="1" t="s">
        <v>161</v>
      </c>
      <c r="E1727" s="1" t="s">
        <v>11</v>
      </c>
      <c r="F1727" s="1" t="s">
        <v>166</v>
      </c>
      <c r="G1727" s="1" t="s">
        <v>172</v>
      </c>
      <c r="H1727" s="1">
        <v>1.0</v>
      </c>
      <c r="I1727" s="1">
        <v>0.0</v>
      </c>
      <c r="J1727" s="1">
        <v>0.0</v>
      </c>
      <c r="K1727" s="1">
        <v>3.0</v>
      </c>
      <c r="L1727" s="1">
        <v>8.0</v>
      </c>
      <c r="M1727" s="1">
        <v>0.375</v>
      </c>
      <c r="N1727" s="1">
        <v>5.809999943</v>
      </c>
    </row>
    <row r="1728" ht="15.75" customHeight="1">
      <c r="A1728" s="1" t="s">
        <v>164</v>
      </c>
      <c r="B1728" s="1" t="s">
        <v>55</v>
      </c>
      <c r="C1728" s="5">
        <v>45541.0</v>
      </c>
      <c r="D1728" s="1" t="s">
        <v>161</v>
      </c>
      <c r="E1728" s="1" t="s">
        <v>11</v>
      </c>
      <c r="F1728" s="1" t="s">
        <v>166</v>
      </c>
      <c r="H1728" s="1">
        <v>0.0</v>
      </c>
      <c r="I1728" s="1">
        <v>0.0</v>
      </c>
      <c r="J1728" s="1">
        <v>0.0</v>
      </c>
      <c r="K1728" s="1">
        <v>3.0</v>
      </c>
      <c r="L1728" s="1">
        <v>14.0</v>
      </c>
      <c r="M1728" s="1">
        <v>0.214285714</v>
      </c>
      <c r="N1728" s="1">
        <v>11.59000015</v>
      </c>
    </row>
    <row r="1729" ht="15.75" customHeight="1">
      <c r="A1729" s="1" t="s">
        <v>164</v>
      </c>
      <c r="B1729" s="1" t="s">
        <v>196</v>
      </c>
      <c r="C1729" s="5">
        <v>45541.0</v>
      </c>
      <c r="D1729" s="1" t="s">
        <v>161</v>
      </c>
      <c r="E1729" s="1" t="s">
        <v>11</v>
      </c>
      <c r="F1729" s="1" t="s">
        <v>165</v>
      </c>
      <c r="H1729" s="1">
        <v>0.0</v>
      </c>
      <c r="I1729" s="1">
        <v>0.0</v>
      </c>
      <c r="J1729" s="1">
        <v>0.0</v>
      </c>
      <c r="K1729" s="1">
        <v>13.0</v>
      </c>
      <c r="L1729" s="1">
        <v>21.0</v>
      </c>
      <c r="M1729" s="1">
        <v>0.619047619</v>
      </c>
      <c r="N1729" s="1">
        <v>25.19000053</v>
      </c>
    </row>
    <row r="1730" ht="15.75" customHeight="1">
      <c r="A1730" s="1" t="s">
        <v>164</v>
      </c>
      <c r="B1730" s="1" t="s">
        <v>231</v>
      </c>
      <c r="C1730" s="5">
        <v>45541.0</v>
      </c>
      <c r="D1730" s="1" t="s">
        <v>161</v>
      </c>
      <c r="E1730" s="1" t="s">
        <v>11</v>
      </c>
      <c r="F1730" s="1" t="s">
        <v>166</v>
      </c>
      <c r="H1730" s="1">
        <v>0.0</v>
      </c>
      <c r="I1730" s="1">
        <v>1.0</v>
      </c>
      <c r="J1730" s="1">
        <v>0.0</v>
      </c>
      <c r="K1730" s="1">
        <v>23.0</v>
      </c>
      <c r="L1730" s="1">
        <v>32.0</v>
      </c>
      <c r="M1730" s="1">
        <v>0.71875</v>
      </c>
      <c r="N1730" s="1">
        <v>49.34000015</v>
      </c>
    </row>
    <row r="1731" ht="15.75" customHeight="1">
      <c r="A1731" s="1" t="s">
        <v>164</v>
      </c>
      <c r="B1731" s="1" t="s">
        <v>60</v>
      </c>
      <c r="C1731" s="5">
        <v>45541.0</v>
      </c>
      <c r="D1731" s="1" t="s">
        <v>161</v>
      </c>
      <c r="E1731" s="1" t="s">
        <v>11</v>
      </c>
      <c r="F1731" s="1" t="s">
        <v>166</v>
      </c>
      <c r="H1731" s="1">
        <v>0.0</v>
      </c>
      <c r="I1731" s="1">
        <v>0.0</v>
      </c>
      <c r="J1731" s="1">
        <v>0.0</v>
      </c>
      <c r="K1731" s="1">
        <v>1.0</v>
      </c>
      <c r="L1731" s="1">
        <v>2.0</v>
      </c>
      <c r="M1731" s="1">
        <v>0.5</v>
      </c>
      <c r="N1731" s="1">
        <v>11.5</v>
      </c>
    </row>
    <row r="1732" ht="15.75" customHeight="1">
      <c r="A1732" s="1" t="s">
        <v>164</v>
      </c>
      <c r="B1732" s="1" t="s">
        <v>63</v>
      </c>
      <c r="C1732" s="5">
        <v>45541.0</v>
      </c>
      <c r="D1732" s="1" t="s">
        <v>161</v>
      </c>
      <c r="E1732" s="1" t="s">
        <v>11</v>
      </c>
      <c r="F1732" s="1" t="s">
        <v>166</v>
      </c>
      <c r="H1732" s="1">
        <v>0.0</v>
      </c>
      <c r="I1732" s="1">
        <v>1.0</v>
      </c>
      <c r="J1732" s="1">
        <v>0.0</v>
      </c>
      <c r="K1732" s="1">
        <v>6.0</v>
      </c>
      <c r="L1732" s="1">
        <v>8.0</v>
      </c>
      <c r="M1732" s="1">
        <v>0.75</v>
      </c>
      <c r="N1732" s="1">
        <v>5.480000019</v>
      </c>
    </row>
    <row r="1733" ht="15.75" customHeight="1">
      <c r="A1733" s="1" t="s">
        <v>164</v>
      </c>
      <c r="B1733" s="1" t="s">
        <v>183</v>
      </c>
      <c r="C1733" s="5">
        <v>45541.0</v>
      </c>
      <c r="D1733" s="1" t="s">
        <v>161</v>
      </c>
      <c r="E1733" s="1" t="s">
        <v>11</v>
      </c>
      <c r="F1733" s="1" t="s">
        <v>166</v>
      </c>
      <c r="G1733" s="1" t="s">
        <v>201</v>
      </c>
      <c r="H1733" s="1">
        <v>1.0</v>
      </c>
      <c r="I1733" s="1">
        <v>2.0</v>
      </c>
      <c r="J1733" s="1">
        <v>0.0</v>
      </c>
      <c r="K1733" s="1">
        <v>34.0</v>
      </c>
      <c r="L1733" s="1">
        <v>41.0</v>
      </c>
      <c r="M1733" s="1">
        <v>0.829268293</v>
      </c>
      <c r="N1733" s="1">
        <v>20.32999992</v>
      </c>
    </row>
    <row r="1734" ht="15.75" customHeight="1">
      <c r="A1734" s="1" t="s">
        <v>164</v>
      </c>
      <c r="B1734" s="1" t="s">
        <v>197</v>
      </c>
      <c r="C1734" s="5">
        <v>45541.0</v>
      </c>
      <c r="D1734" s="1" t="s">
        <v>161</v>
      </c>
      <c r="E1734" s="1" t="s">
        <v>11</v>
      </c>
      <c r="F1734" s="1" t="s">
        <v>166</v>
      </c>
      <c r="G1734" s="1" t="s">
        <v>172</v>
      </c>
      <c r="H1734" s="1">
        <v>1.0</v>
      </c>
      <c r="I1734" s="1">
        <v>1.0</v>
      </c>
      <c r="J1734" s="1">
        <v>0.0</v>
      </c>
      <c r="K1734" s="1">
        <v>15.0</v>
      </c>
      <c r="L1734" s="1">
        <v>20.0</v>
      </c>
      <c r="M1734" s="1">
        <v>0.75</v>
      </c>
      <c r="N1734" s="1">
        <v>15.03999996</v>
      </c>
    </row>
    <row r="1735" ht="15.75" customHeight="1">
      <c r="A1735" s="1" t="s">
        <v>164</v>
      </c>
      <c r="B1735" s="1" t="s">
        <v>74</v>
      </c>
      <c r="C1735" s="5">
        <v>45541.0</v>
      </c>
      <c r="D1735" s="1" t="s">
        <v>161</v>
      </c>
      <c r="E1735" s="1" t="s">
        <v>11</v>
      </c>
      <c r="F1735" s="1" t="s">
        <v>166</v>
      </c>
      <c r="H1735" s="1">
        <v>0.0</v>
      </c>
      <c r="I1735" s="1">
        <v>0.0</v>
      </c>
      <c r="J1735" s="1">
        <v>0.0</v>
      </c>
      <c r="K1735" s="1">
        <v>1.0</v>
      </c>
      <c r="L1735" s="1">
        <v>13.0</v>
      </c>
      <c r="M1735" s="1">
        <v>0.076923077</v>
      </c>
      <c r="N1735" s="1">
        <v>13.72000027</v>
      </c>
    </row>
    <row r="1736" ht="15.75" customHeight="1">
      <c r="A1736" s="1" t="s">
        <v>164</v>
      </c>
      <c r="B1736" s="1" t="s">
        <v>75</v>
      </c>
      <c r="C1736" s="5">
        <v>45541.0</v>
      </c>
      <c r="D1736" s="1" t="s">
        <v>161</v>
      </c>
      <c r="E1736" s="1" t="s">
        <v>11</v>
      </c>
      <c r="F1736" s="1" t="s">
        <v>165</v>
      </c>
      <c r="H1736" s="1">
        <v>0.0</v>
      </c>
      <c r="I1736" s="1">
        <v>1.0</v>
      </c>
      <c r="J1736" s="1">
        <v>0.0</v>
      </c>
      <c r="K1736" s="1">
        <v>21.0</v>
      </c>
      <c r="L1736" s="1">
        <v>31.0</v>
      </c>
      <c r="M1736" s="1">
        <v>0.677419355</v>
      </c>
      <c r="N1736" s="1">
        <v>6.980000019</v>
      </c>
    </row>
    <row r="1737" ht="15.75" customHeight="1">
      <c r="A1737" s="1" t="s">
        <v>164</v>
      </c>
      <c r="B1737" s="1" t="s">
        <v>225</v>
      </c>
      <c r="C1737" s="5">
        <v>45541.0</v>
      </c>
      <c r="D1737" s="1" t="s">
        <v>161</v>
      </c>
      <c r="E1737" s="1" t="s">
        <v>11</v>
      </c>
      <c r="F1737" s="1" t="s">
        <v>166</v>
      </c>
      <c r="G1737" s="1" t="s">
        <v>172</v>
      </c>
      <c r="H1737" s="1">
        <v>1.0</v>
      </c>
      <c r="I1737" s="1">
        <v>3.0</v>
      </c>
      <c r="J1737" s="1">
        <v>0.0</v>
      </c>
      <c r="K1737" s="1">
        <v>55.0</v>
      </c>
      <c r="L1737" s="1">
        <v>75.0</v>
      </c>
      <c r="M1737" s="1">
        <v>0.733333333</v>
      </c>
      <c r="N1737" s="1">
        <v>41.36999893</v>
      </c>
    </row>
    <row r="1738" ht="15.75" customHeight="1">
      <c r="A1738" s="1" t="s">
        <v>180</v>
      </c>
      <c r="B1738" s="1" t="s">
        <v>239</v>
      </c>
      <c r="C1738" s="5">
        <v>45541.0</v>
      </c>
      <c r="D1738" s="1" t="s">
        <v>161</v>
      </c>
      <c r="E1738" s="1" t="s">
        <v>11</v>
      </c>
      <c r="F1738" s="1" t="s">
        <v>166</v>
      </c>
      <c r="H1738" s="1">
        <v>0.0</v>
      </c>
      <c r="I1738" s="1">
        <v>1.0</v>
      </c>
      <c r="J1738" s="1">
        <v>0.0</v>
      </c>
      <c r="K1738" s="1">
        <v>50.0</v>
      </c>
      <c r="L1738" s="1">
        <v>81.0</v>
      </c>
      <c r="M1738" s="1">
        <v>0.617283951</v>
      </c>
      <c r="N1738" s="1">
        <v>68.40000153</v>
      </c>
    </row>
    <row r="1739" ht="15.75" customHeight="1">
      <c r="A1739" s="1" t="s">
        <v>180</v>
      </c>
      <c r="B1739" s="1" t="s">
        <v>185</v>
      </c>
      <c r="C1739" s="5">
        <v>45541.0</v>
      </c>
      <c r="D1739" s="1" t="s">
        <v>161</v>
      </c>
      <c r="E1739" s="1" t="s">
        <v>11</v>
      </c>
      <c r="F1739" s="1" t="s">
        <v>166</v>
      </c>
      <c r="H1739" s="1">
        <v>0.0</v>
      </c>
      <c r="I1739" s="1">
        <v>0.0</v>
      </c>
      <c r="J1739" s="1">
        <v>0.0</v>
      </c>
      <c r="K1739" s="1">
        <v>0.0</v>
      </c>
      <c r="L1739" s="1">
        <v>3.0</v>
      </c>
      <c r="M1739" s="1">
        <v>0.0</v>
      </c>
      <c r="N1739" s="1">
        <v>2.049999952</v>
      </c>
    </row>
    <row r="1740" ht="15.75" customHeight="1">
      <c r="A1740" s="1" t="s">
        <v>180</v>
      </c>
      <c r="B1740" s="1" t="s">
        <v>226</v>
      </c>
      <c r="C1740" s="5">
        <v>45541.0</v>
      </c>
      <c r="D1740" s="1" t="s">
        <v>161</v>
      </c>
      <c r="E1740" s="1" t="s">
        <v>11</v>
      </c>
      <c r="F1740" s="1" t="s">
        <v>166</v>
      </c>
      <c r="H1740" s="1">
        <v>0.0</v>
      </c>
      <c r="I1740" s="1">
        <v>1.0</v>
      </c>
      <c r="J1740" s="1">
        <v>0.0</v>
      </c>
      <c r="K1740" s="1">
        <v>9.0</v>
      </c>
      <c r="L1740" s="1">
        <v>10.0</v>
      </c>
      <c r="M1740" s="1">
        <v>0.9</v>
      </c>
      <c r="N1740" s="1">
        <v>21.19000053</v>
      </c>
    </row>
    <row r="1741" ht="15.75" customHeight="1">
      <c r="A1741" s="1" t="s">
        <v>160</v>
      </c>
      <c r="B1741" s="1" t="s">
        <v>65</v>
      </c>
      <c r="C1741" s="5">
        <v>45540.0</v>
      </c>
      <c r="D1741" s="1" t="s">
        <v>161</v>
      </c>
      <c r="E1741" s="1" t="s">
        <v>11</v>
      </c>
      <c r="F1741" s="1" t="s">
        <v>162</v>
      </c>
      <c r="H1741" s="1">
        <v>0.0</v>
      </c>
      <c r="I1741" s="1">
        <v>0.0</v>
      </c>
      <c r="J1741" s="1">
        <v>0.0</v>
      </c>
      <c r="K1741" s="1">
        <v>0.0</v>
      </c>
      <c r="L1741" s="1">
        <v>0.0</v>
      </c>
      <c r="N1741" s="1">
        <v>1.049999952</v>
      </c>
    </row>
    <row r="1742" ht="15.75" customHeight="1">
      <c r="A1742" s="1" t="s">
        <v>160</v>
      </c>
      <c r="B1742" s="1" t="s">
        <v>77</v>
      </c>
      <c r="C1742" s="5">
        <v>45540.0</v>
      </c>
      <c r="D1742" s="1" t="s">
        <v>161</v>
      </c>
      <c r="E1742" s="1" t="s">
        <v>11</v>
      </c>
      <c r="F1742" s="1" t="s">
        <v>162</v>
      </c>
      <c r="H1742" s="1">
        <v>0.0</v>
      </c>
      <c r="I1742" s="1">
        <v>0.0</v>
      </c>
      <c r="J1742" s="1">
        <v>0.0</v>
      </c>
      <c r="K1742" s="1">
        <v>2.0</v>
      </c>
      <c r="L1742" s="1">
        <v>4.0</v>
      </c>
      <c r="M1742" s="1">
        <v>0.5</v>
      </c>
      <c r="N1742" s="1">
        <v>3.180000067</v>
      </c>
    </row>
    <row r="1743" ht="15.75" customHeight="1">
      <c r="A1743" s="1" t="s">
        <v>164</v>
      </c>
      <c r="B1743" s="1" t="s">
        <v>35</v>
      </c>
      <c r="C1743" s="5">
        <v>45540.0</v>
      </c>
      <c r="D1743" s="1" t="s">
        <v>161</v>
      </c>
      <c r="E1743" s="1" t="s">
        <v>11</v>
      </c>
      <c r="F1743" s="1" t="s">
        <v>166</v>
      </c>
      <c r="H1743" s="1">
        <v>0.0</v>
      </c>
      <c r="I1743" s="1">
        <v>1.0</v>
      </c>
      <c r="J1743" s="1">
        <v>0.0</v>
      </c>
      <c r="K1743" s="1">
        <v>32.0</v>
      </c>
      <c r="L1743" s="1">
        <v>42.0</v>
      </c>
      <c r="M1743" s="1">
        <v>0.761904762</v>
      </c>
      <c r="N1743" s="1">
        <v>79.81999969</v>
      </c>
    </row>
    <row r="1744" ht="15.75" customHeight="1">
      <c r="A1744" s="1" t="s">
        <v>164</v>
      </c>
      <c r="B1744" s="1" t="s">
        <v>24</v>
      </c>
      <c r="C1744" s="5">
        <v>45540.0</v>
      </c>
      <c r="D1744" s="1" t="s">
        <v>161</v>
      </c>
      <c r="E1744" s="1" t="s">
        <v>11</v>
      </c>
      <c r="F1744" s="1" t="s">
        <v>166</v>
      </c>
      <c r="H1744" s="1">
        <v>0.0</v>
      </c>
      <c r="I1744" s="1">
        <v>1.0</v>
      </c>
      <c r="J1744" s="1">
        <v>0.0</v>
      </c>
      <c r="K1744" s="1">
        <v>3.0</v>
      </c>
      <c r="L1744" s="1">
        <v>3.0</v>
      </c>
      <c r="M1744" s="1">
        <v>1.0</v>
      </c>
      <c r="N1744" s="1">
        <v>4.199999809</v>
      </c>
    </row>
    <row r="1745" ht="15.75" customHeight="1">
      <c r="A1745" s="1" t="s">
        <v>164</v>
      </c>
      <c r="B1745" s="1" t="s">
        <v>207</v>
      </c>
      <c r="C1745" s="5">
        <v>45540.0</v>
      </c>
      <c r="D1745" s="1" t="s">
        <v>161</v>
      </c>
      <c r="E1745" s="1" t="s">
        <v>11</v>
      </c>
      <c r="F1745" s="1" t="s">
        <v>166</v>
      </c>
      <c r="G1745" s="1" t="s">
        <v>172</v>
      </c>
      <c r="H1745" s="1">
        <v>1.0</v>
      </c>
      <c r="I1745" s="1">
        <v>0.0</v>
      </c>
      <c r="J1745" s="1">
        <v>0.0</v>
      </c>
      <c r="K1745" s="1">
        <v>5.0</v>
      </c>
      <c r="L1745" s="1">
        <v>14.0</v>
      </c>
      <c r="M1745" s="1">
        <v>0.357142857</v>
      </c>
      <c r="N1745" s="1">
        <v>5.78000021</v>
      </c>
    </row>
    <row r="1746" ht="15.75" customHeight="1">
      <c r="A1746" s="1" t="s">
        <v>164</v>
      </c>
      <c r="B1746" s="1" t="s">
        <v>52</v>
      </c>
      <c r="C1746" s="5">
        <v>45540.0</v>
      </c>
      <c r="D1746" s="1" t="s">
        <v>161</v>
      </c>
      <c r="E1746" s="1" t="s">
        <v>11</v>
      </c>
      <c r="F1746" s="1" t="s">
        <v>165</v>
      </c>
      <c r="G1746" s="1" t="s">
        <v>163</v>
      </c>
      <c r="H1746" s="1">
        <v>1.0</v>
      </c>
      <c r="I1746" s="1">
        <v>1.0</v>
      </c>
      <c r="J1746" s="1">
        <v>0.0</v>
      </c>
      <c r="K1746" s="1">
        <v>25.0</v>
      </c>
      <c r="L1746" s="1">
        <v>38.0</v>
      </c>
      <c r="M1746" s="1">
        <v>0.657894737</v>
      </c>
      <c r="N1746" s="1">
        <v>56.13999939</v>
      </c>
    </row>
    <row r="1747" ht="15.75" customHeight="1">
      <c r="A1747" s="1" t="s">
        <v>164</v>
      </c>
      <c r="B1747" s="1" t="s">
        <v>52</v>
      </c>
      <c r="C1747" s="5">
        <v>45540.0</v>
      </c>
      <c r="D1747" s="1" t="s">
        <v>161</v>
      </c>
      <c r="E1747" s="1" t="s">
        <v>11</v>
      </c>
      <c r="F1747" s="1" t="s">
        <v>162</v>
      </c>
      <c r="G1747" s="1" t="s">
        <v>163</v>
      </c>
      <c r="H1747" s="1">
        <v>1.0</v>
      </c>
      <c r="I1747" s="1">
        <v>0.0</v>
      </c>
      <c r="J1747" s="1">
        <v>0.0</v>
      </c>
      <c r="K1747" s="1">
        <v>2.0</v>
      </c>
      <c r="L1747" s="1">
        <v>3.0</v>
      </c>
      <c r="M1747" s="1">
        <v>0.666666667</v>
      </c>
      <c r="N1747" s="1">
        <v>0.0</v>
      </c>
    </row>
    <row r="1748" ht="15.75" customHeight="1">
      <c r="A1748" s="1" t="s">
        <v>164</v>
      </c>
      <c r="B1748" s="1" t="s">
        <v>55</v>
      </c>
      <c r="C1748" s="5">
        <v>45540.0</v>
      </c>
      <c r="D1748" s="1" t="s">
        <v>161</v>
      </c>
      <c r="E1748" s="1" t="s">
        <v>11</v>
      </c>
      <c r="F1748" s="1" t="s">
        <v>166</v>
      </c>
      <c r="H1748" s="1">
        <v>0.0</v>
      </c>
      <c r="I1748" s="1">
        <v>0.0</v>
      </c>
      <c r="J1748" s="1">
        <v>0.0</v>
      </c>
      <c r="K1748" s="1">
        <v>1.0</v>
      </c>
      <c r="L1748" s="1">
        <v>1.0</v>
      </c>
      <c r="M1748" s="1">
        <v>1.0</v>
      </c>
      <c r="N1748" s="1">
        <v>2.269999981</v>
      </c>
    </row>
    <row r="1749" ht="15.75" customHeight="1">
      <c r="A1749" s="1" t="s">
        <v>164</v>
      </c>
      <c r="B1749" s="1" t="s">
        <v>70</v>
      </c>
      <c r="C1749" s="5">
        <v>45540.0</v>
      </c>
      <c r="D1749" s="1" t="s">
        <v>161</v>
      </c>
      <c r="E1749" s="1" t="s">
        <v>11</v>
      </c>
      <c r="F1749" s="1" t="s">
        <v>166</v>
      </c>
      <c r="H1749" s="1">
        <v>0.0</v>
      </c>
      <c r="I1749" s="1">
        <v>0.0</v>
      </c>
      <c r="J1749" s="1">
        <v>0.0</v>
      </c>
      <c r="K1749" s="1">
        <v>1.0</v>
      </c>
      <c r="L1749" s="1">
        <v>2.0</v>
      </c>
      <c r="M1749" s="1">
        <v>0.5</v>
      </c>
      <c r="N1749" s="1">
        <v>5.110000134</v>
      </c>
    </row>
    <row r="1750" ht="15.75" customHeight="1">
      <c r="A1750" s="1" t="s">
        <v>164</v>
      </c>
      <c r="B1750" s="1" t="s">
        <v>231</v>
      </c>
      <c r="C1750" s="5">
        <v>45540.0</v>
      </c>
      <c r="D1750" s="1" t="s">
        <v>161</v>
      </c>
      <c r="E1750" s="1" t="s">
        <v>11</v>
      </c>
      <c r="F1750" s="1" t="s">
        <v>166</v>
      </c>
      <c r="H1750" s="1">
        <v>0.0</v>
      </c>
      <c r="I1750" s="1">
        <v>1.0</v>
      </c>
      <c r="J1750" s="1">
        <v>0.0</v>
      </c>
      <c r="K1750" s="1">
        <v>11.0</v>
      </c>
      <c r="L1750" s="1">
        <v>14.0</v>
      </c>
      <c r="M1750" s="1">
        <v>0.785714286</v>
      </c>
      <c r="N1750" s="1">
        <v>54.88000107</v>
      </c>
    </row>
    <row r="1751" ht="15.75" customHeight="1">
      <c r="A1751" s="1" t="s">
        <v>164</v>
      </c>
      <c r="B1751" s="1" t="s">
        <v>63</v>
      </c>
      <c r="C1751" s="5">
        <v>45540.0</v>
      </c>
      <c r="D1751" s="1" t="s">
        <v>161</v>
      </c>
      <c r="E1751" s="1" t="s">
        <v>11</v>
      </c>
      <c r="F1751" s="1" t="s">
        <v>166</v>
      </c>
      <c r="H1751" s="1">
        <v>0.0</v>
      </c>
      <c r="I1751" s="1">
        <v>0.0</v>
      </c>
      <c r="J1751" s="1">
        <v>0.0</v>
      </c>
      <c r="K1751" s="1">
        <v>8.0</v>
      </c>
      <c r="L1751" s="1">
        <v>12.0</v>
      </c>
      <c r="M1751" s="1">
        <v>0.666666667</v>
      </c>
      <c r="N1751" s="1">
        <v>12.56999969</v>
      </c>
    </row>
    <row r="1752" ht="15.75" customHeight="1">
      <c r="A1752" s="1" t="s">
        <v>164</v>
      </c>
      <c r="B1752" s="1" t="s">
        <v>183</v>
      </c>
      <c r="C1752" s="5">
        <v>45540.0</v>
      </c>
      <c r="D1752" s="1" t="s">
        <v>161</v>
      </c>
      <c r="E1752" s="1" t="s">
        <v>11</v>
      </c>
      <c r="F1752" s="1" t="s">
        <v>166</v>
      </c>
      <c r="H1752" s="1">
        <v>0.0</v>
      </c>
      <c r="I1752" s="1">
        <v>1.0</v>
      </c>
      <c r="J1752" s="1">
        <v>0.0</v>
      </c>
      <c r="K1752" s="1">
        <v>12.0</v>
      </c>
      <c r="L1752" s="1">
        <v>13.0</v>
      </c>
      <c r="M1752" s="1">
        <v>0.923076923</v>
      </c>
      <c r="N1752" s="1">
        <v>4.920000076</v>
      </c>
    </row>
    <row r="1753" ht="15.75" customHeight="1">
      <c r="A1753" s="1" t="s">
        <v>164</v>
      </c>
      <c r="B1753" s="1" t="s">
        <v>197</v>
      </c>
      <c r="C1753" s="5">
        <v>45540.0</v>
      </c>
      <c r="D1753" s="1" t="s">
        <v>161</v>
      </c>
      <c r="E1753" s="1" t="s">
        <v>11</v>
      </c>
      <c r="F1753" s="1" t="s">
        <v>166</v>
      </c>
      <c r="H1753" s="1">
        <v>0.0</v>
      </c>
      <c r="I1753" s="1">
        <v>1.0</v>
      </c>
      <c r="J1753" s="1">
        <v>0.0</v>
      </c>
      <c r="K1753" s="1">
        <v>17.0</v>
      </c>
      <c r="L1753" s="1">
        <v>21.0</v>
      </c>
      <c r="M1753" s="1">
        <v>0.80952381</v>
      </c>
      <c r="N1753" s="1">
        <v>5.210000038</v>
      </c>
    </row>
    <row r="1754" ht="15.75" customHeight="1">
      <c r="A1754" s="1" t="s">
        <v>164</v>
      </c>
      <c r="B1754" s="1" t="s">
        <v>74</v>
      </c>
      <c r="C1754" s="5">
        <v>45540.0</v>
      </c>
      <c r="D1754" s="1" t="s">
        <v>161</v>
      </c>
      <c r="E1754" s="1" t="s">
        <v>11</v>
      </c>
      <c r="F1754" s="1" t="s">
        <v>166</v>
      </c>
      <c r="H1754" s="1">
        <v>0.0</v>
      </c>
      <c r="I1754" s="1">
        <v>0.0</v>
      </c>
      <c r="J1754" s="1">
        <v>0.0</v>
      </c>
      <c r="K1754" s="1">
        <v>1.0</v>
      </c>
      <c r="L1754" s="1">
        <v>9.0</v>
      </c>
      <c r="M1754" s="1">
        <v>0.111111111</v>
      </c>
      <c r="N1754" s="1">
        <v>16.90999985</v>
      </c>
    </row>
    <row r="1755" ht="15.75" customHeight="1">
      <c r="A1755" s="1" t="s">
        <v>164</v>
      </c>
      <c r="B1755" s="1" t="s">
        <v>205</v>
      </c>
      <c r="C1755" s="5">
        <v>45540.0</v>
      </c>
      <c r="D1755" s="1" t="s">
        <v>161</v>
      </c>
      <c r="E1755" s="1" t="s">
        <v>11</v>
      </c>
      <c r="F1755" s="1" t="s">
        <v>166</v>
      </c>
      <c r="H1755" s="1">
        <v>0.0</v>
      </c>
      <c r="I1755" s="1">
        <v>0.0</v>
      </c>
      <c r="J1755" s="1">
        <v>0.0</v>
      </c>
      <c r="K1755" s="1">
        <v>2.0</v>
      </c>
      <c r="L1755" s="1">
        <v>9.0</v>
      </c>
      <c r="M1755" s="1">
        <v>0.222222222</v>
      </c>
      <c r="N1755" s="1">
        <v>9.569999695</v>
      </c>
    </row>
    <row r="1756" ht="15.75" customHeight="1">
      <c r="A1756" s="1" t="s">
        <v>164</v>
      </c>
      <c r="B1756" s="1" t="s">
        <v>75</v>
      </c>
      <c r="C1756" s="5">
        <v>45540.0</v>
      </c>
      <c r="D1756" s="1" t="s">
        <v>161</v>
      </c>
      <c r="E1756" s="1" t="s">
        <v>11</v>
      </c>
      <c r="F1756" s="1" t="s">
        <v>165</v>
      </c>
      <c r="G1756" s="1" t="s">
        <v>172</v>
      </c>
      <c r="H1756" s="1">
        <v>1.0</v>
      </c>
      <c r="I1756" s="1">
        <v>2.0</v>
      </c>
      <c r="J1756" s="1">
        <v>0.0</v>
      </c>
      <c r="K1756" s="1">
        <v>107.0</v>
      </c>
      <c r="L1756" s="1">
        <v>142.0</v>
      </c>
      <c r="M1756" s="1">
        <v>0.753521127</v>
      </c>
      <c r="N1756" s="1">
        <v>16.54999924</v>
      </c>
    </row>
    <row r="1757" ht="15.75" customHeight="1">
      <c r="A1757" s="1" t="s">
        <v>164</v>
      </c>
      <c r="B1757" s="1" t="s">
        <v>225</v>
      </c>
      <c r="C1757" s="5">
        <v>45540.0</v>
      </c>
      <c r="D1757" s="1" t="s">
        <v>161</v>
      </c>
      <c r="E1757" s="1" t="s">
        <v>11</v>
      </c>
      <c r="F1757" s="1" t="s">
        <v>166</v>
      </c>
      <c r="G1757" s="1" t="s">
        <v>200</v>
      </c>
      <c r="H1757" s="1">
        <v>2.0</v>
      </c>
      <c r="I1757" s="1">
        <v>1.0</v>
      </c>
      <c r="J1757" s="1">
        <v>0.0</v>
      </c>
      <c r="K1757" s="1">
        <v>17.0</v>
      </c>
      <c r="L1757" s="1">
        <v>21.0</v>
      </c>
      <c r="M1757" s="1">
        <v>0.80952381</v>
      </c>
      <c r="N1757" s="1">
        <v>8.050000191</v>
      </c>
    </row>
    <row r="1758" ht="15.75" customHeight="1">
      <c r="A1758" s="1" t="s">
        <v>180</v>
      </c>
      <c r="B1758" s="1" t="s">
        <v>239</v>
      </c>
      <c r="C1758" s="5">
        <v>45540.0</v>
      </c>
      <c r="D1758" s="1" t="s">
        <v>161</v>
      </c>
      <c r="E1758" s="1" t="s">
        <v>11</v>
      </c>
      <c r="F1758" s="1" t="s">
        <v>166</v>
      </c>
      <c r="G1758" s="1" t="s">
        <v>172</v>
      </c>
      <c r="H1758" s="1">
        <v>1.0</v>
      </c>
      <c r="I1758" s="1">
        <v>1.0</v>
      </c>
      <c r="J1758" s="1">
        <v>0.0</v>
      </c>
      <c r="K1758" s="1">
        <v>38.0</v>
      </c>
      <c r="L1758" s="1">
        <v>61.0</v>
      </c>
      <c r="M1758" s="1">
        <v>0.62295082</v>
      </c>
      <c r="N1758" s="1">
        <v>40.72999954</v>
      </c>
    </row>
    <row r="1759" ht="15.75" customHeight="1">
      <c r="A1759" s="1" t="s">
        <v>180</v>
      </c>
      <c r="B1759" s="1" t="s">
        <v>238</v>
      </c>
      <c r="C1759" s="5">
        <v>45540.0</v>
      </c>
      <c r="D1759" s="1" t="s">
        <v>161</v>
      </c>
      <c r="E1759" s="1" t="s">
        <v>11</v>
      </c>
      <c r="F1759" s="1" t="s">
        <v>166</v>
      </c>
      <c r="H1759" s="1">
        <v>0.0</v>
      </c>
      <c r="I1759" s="1">
        <v>0.0</v>
      </c>
      <c r="J1759" s="1">
        <v>0.0</v>
      </c>
      <c r="K1759" s="1">
        <v>9.0</v>
      </c>
      <c r="L1759" s="1">
        <v>16.0</v>
      </c>
      <c r="M1759" s="1">
        <v>0.5625</v>
      </c>
      <c r="N1759" s="1">
        <v>21.06999969</v>
      </c>
    </row>
    <row r="1760" ht="15.75" customHeight="1">
      <c r="A1760" s="1" t="s">
        <v>180</v>
      </c>
      <c r="B1760" s="1" t="s">
        <v>185</v>
      </c>
      <c r="C1760" s="5">
        <v>45540.0</v>
      </c>
      <c r="D1760" s="1" t="s">
        <v>161</v>
      </c>
      <c r="E1760" s="1" t="s">
        <v>11</v>
      </c>
      <c r="H1760" s="1">
        <v>0.0</v>
      </c>
      <c r="J1760" s="1">
        <v>0.0</v>
      </c>
      <c r="N1760" s="1">
        <v>0.050000001</v>
      </c>
    </row>
    <row r="1761" ht="15.75" customHeight="1">
      <c r="A1761" s="1" t="s">
        <v>180</v>
      </c>
      <c r="B1761" s="1" t="s">
        <v>235</v>
      </c>
      <c r="C1761" s="5">
        <v>45540.0</v>
      </c>
      <c r="D1761" s="1" t="s">
        <v>161</v>
      </c>
      <c r="E1761" s="1" t="s">
        <v>11</v>
      </c>
      <c r="F1761" s="1" t="s">
        <v>166</v>
      </c>
      <c r="H1761" s="1">
        <v>0.0</v>
      </c>
      <c r="I1761" s="1">
        <v>0.0</v>
      </c>
      <c r="J1761" s="1">
        <v>0.0</v>
      </c>
      <c r="K1761" s="1">
        <v>13.0</v>
      </c>
      <c r="L1761" s="1">
        <v>27.0</v>
      </c>
      <c r="M1761" s="1">
        <v>0.481481481</v>
      </c>
      <c r="N1761" s="1">
        <v>28.76000023</v>
      </c>
    </row>
    <row r="1762" ht="15.75" customHeight="1">
      <c r="A1762" s="1" t="s">
        <v>180</v>
      </c>
      <c r="B1762" s="1" t="s">
        <v>226</v>
      </c>
      <c r="C1762" s="5">
        <v>45540.0</v>
      </c>
      <c r="D1762" s="1" t="s">
        <v>161</v>
      </c>
      <c r="E1762" s="1" t="s">
        <v>11</v>
      </c>
      <c r="F1762" s="1" t="s">
        <v>166</v>
      </c>
      <c r="H1762" s="1">
        <v>0.0</v>
      </c>
      <c r="I1762" s="1">
        <v>0.0</v>
      </c>
      <c r="J1762" s="1">
        <v>0.0</v>
      </c>
      <c r="K1762" s="1">
        <v>13.0</v>
      </c>
      <c r="L1762" s="1">
        <v>25.0</v>
      </c>
      <c r="M1762" s="1">
        <v>0.52</v>
      </c>
      <c r="N1762" s="1">
        <v>54.18999863</v>
      </c>
    </row>
    <row r="1763" ht="15.75" customHeight="1">
      <c r="A1763" s="1" t="s">
        <v>160</v>
      </c>
      <c r="B1763" s="1" t="s">
        <v>39</v>
      </c>
      <c r="C1763" s="5">
        <v>45539.0</v>
      </c>
      <c r="D1763" s="1" t="s">
        <v>161</v>
      </c>
      <c r="E1763" s="1" t="s">
        <v>11</v>
      </c>
      <c r="H1763" s="1">
        <v>0.0</v>
      </c>
      <c r="J1763" s="1">
        <v>0.0</v>
      </c>
      <c r="N1763" s="1">
        <v>10.81000042</v>
      </c>
    </row>
    <row r="1764" ht="15.75" customHeight="1">
      <c r="A1764" s="1" t="s">
        <v>160</v>
      </c>
      <c r="B1764" s="1" t="s">
        <v>224</v>
      </c>
      <c r="C1764" s="5">
        <v>45539.0</v>
      </c>
      <c r="D1764" s="1" t="s">
        <v>161</v>
      </c>
      <c r="E1764" s="1" t="s">
        <v>11</v>
      </c>
      <c r="H1764" s="1">
        <v>0.0</v>
      </c>
      <c r="J1764" s="1">
        <v>0.0</v>
      </c>
      <c r="N1764" s="1">
        <v>0.029999999</v>
      </c>
    </row>
    <row r="1765" ht="15.75" customHeight="1">
      <c r="A1765" s="1" t="s">
        <v>160</v>
      </c>
      <c r="B1765" s="1" t="s">
        <v>65</v>
      </c>
      <c r="C1765" s="5">
        <v>45539.0</v>
      </c>
      <c r="D1765" s="1" t="s">
        <v>161</v>
      </c>
      <c r="E1765" s="1" t="s">
        <v>11</v>
      </c>
      <c r="F1765" s="1" t="s">
        <v>162</v>
      </c>
      <c r="H1765" s="1">
        <v>0.0</v>
      </c>
      <c r="I1765" s="1">
        <v>0.0</v>
      </c>
      <c r="J1765" s="1">
        <v>0.0</v>
      </c>
      <c r="K1765" s="1">
        <v>1.0</v>
      </c>
      <c r="L1765" s="1">
        <v>3.0</v>
      </c>
      <c r="M1765" s="1">
        <v>0.333333333</v>
      </c>
      <c r="N1765" s="1">
        <v>0.0</v>
      </c>
    </row>
    <row r="1766" ht="15.75" customHeight="1">
      <c r="A1766" s="1" t="s">
        <v>160</v>
      </c>
      <c r="B1766" s="1" t="s">
        <v>77</v>
      </c>
      <c r="C1766" s="5">
        <v>45539.0</v>
      </c>
      <c r="D1766" s="1" t="s">
        <v>161</v>
      </c>
      <c r="E1766" s="1" t="s">
        <v>11</v>
      </c>
      <c r="H1766" s="1">
        <v>0.0</v>
      </c>
      <c r="J1766" s="1">
        <v>0.0</v>
      </c>
      <c r="N1766" s="1">
        <v>8.119999886</v>
      </c>
    </row>
    <row r="1767" ht="15.75" customHeight="1">
      <c r="A1767" s="1" t="s">
        <v>164</v>
      </c>
      <c r="B1767" s="1" t="s">
        <v>35</v>
      </c>
      <c r="C1767" s="5">
        <v>45539.0</v>
      </c>
      <c r="D1767" s="1" t="s">
        <v>161</v>
      </c>
      <c r="E1767" s="1" t="s">
        <v>11</v>
      </c>
      <c r="F1767" s="1" t="s">
        <v>166</v>
      </c>
      <c r="H1767" s="1">
        <v>0.0</v>
      </c>
      <c r="I1767" s="1">
        <v>1.0</v>
      </c>
      <c r="J1767" s="1">
        <v>0.0</v>
      </c>
      <c r="K1767" s="1">
        <v>13.0</v>
      </c>
      <c r="L1767" s="1">
        <v>20.0</v>
      </c>
      <c r="M1767" s="1">
        <v>0.65</v>
      </c>
      <c r="N1767" s="1">
        <v>5.539999962</v>
      </c>
    </row>
    <row r="1768" ht="15.75" customHeight="1">
      <c r="A1768" s="1" t="s">
        <v>164</v>
      </c>
      <c r="B1768" s="1" t="s">
        <v>24</v>
      </c>
      <c r="C1768" s="5">
        <v>45539.0</v>
      </c>
      <c r="D1768" s="1" t="s">
        <v>161</v>
      </c>
      <c r="E1768" s="1" t="s">
        <v>11</v>
      </c>
      <c r="H1768" s="1">
        <v>0.0</v>
      </c>
      <c r="J1768" s="1">
        <v>0.0</v>
      </c>
      <c r="N1768" s="1">
        <v>7.909999847</v>
      </c>
    </row>
    <row r="1769" ht="15.75" customHeight="1">
      <c r="A1769" s="1" t="s">
        <v>164</v>
      </c>
      <c r="B1769" s="1" t="s">
        <v>207</v>
      </c>
      <c r="C1769" s="5">
        <v>45539.0</v>
      </c>
      <c r="D1769" s="1" t="s">
        <v>161</v>
      </c>
      <c r="E1769" s="1" t="s">
        <v>11</v>
      </c>
      <c r="H1769" s="1">
        <v>0.0</v>
      </c>
      <c r="J1769" s="1">
        <v>0.0</v>
      </c>
      <c r="N1769" s="1">
        <v>7.489999771</v>
      </c>
    </row>
    <row r="1770" ht="15.75" customHeight="1">
      <c r="A1770" s="1" t="s">
        <v>164</v>
      </c>
      <c r="B1770" s="1" t="s">
        <v>52</v>
      </c>
      <c r="C1770" s="5">
        <v>45539.0</v>
      </c>
      <c r="D1770" s="1" t="s">
        <v>161</v>
      </c>
      <c r="E1770" s="1" t="s">
        <v>11</v>
      </c>
      <c r="H1770" s="1">
        <v>0.0</v>
      </c>
      <c r="J1770" s="1">
        <v>0.0</v>
      </c>
      <c r="N1770" s="1">
        <v>7.889999866</v>
      </c>
    </row>
    <row r="1771" ht="15.75" customHeight="1">
      <c r="A1771" s="1" t="s">
        <v>164</v>
      </c>
      <c r="B1771" s="1" t="s">
        <v>55</v>
      </c>
      <c r="C1771" s="5">
        <v>45539.0</v>
      </c>
      <c r="D1771" s="1" t="s">
        <v>161</v>
      </c>
      <c r="E1771" s="1" t="s">
        <v>11</v>
      </c>
      <c r="H1771" s="1">
        <v>0.0</v>
      </c>
      <c r="J1771" s="1">
        <v>0.0</v>
      </c>
      <c r="N1771" s="1">
        <v>4.039999962</v>
      </c>
    </row>
    <row r="1772" ht="15.75" customHeight="1">
      <c r="A1772" s="1" t="s">
        <v>164</v>
      </c>
      <c r="B1772" s="1" t="s">
        <v>199</v>
      </c>
      <c r="C1772" s="5">
        <v>45539.0</v>
      </c>
      <c r="D1772" s="1" t="s">
        <v>161</v>
      </c>
      <c r="E1772" s="1" t="s">
        <v>11</v>
      </c>
      <c r="H1772" s="1">
        <v>0.0</v>
      </c>
      <c r="J1772" s="1">
        <v>0.0</v>
      </c>
      <c r="N1772" s="1">
        <v>7.659999847</v>
      </c>
    </row>
    <row r="1773" ht="15.75" customHeight="1">
      <c r="A1773" s="1" t="s">
        <v>164</v>
      </c>
      <c r="B1773" s="1" t="s">
        <v>76</v>
      </c>
      <c r="C1773" s="5">
        <v>45539.0</v>
      </c>
      <c r="D1773" s="1" t="s">
        <v>161</v>
      </c>
      <c r="E1773" s="1" t="s">
        <v>11</v>
      </c>
      <c r="H1773" s="1">
        <v>0.0</v>
      </c>
      <c r="J1773" s="1">
        <v>0.0</v>
      </c>
      <c r="N1773" s="1">
        <v>17.12999916</v>
      </c>
    </row>
    <row r="1774" ht="15.75" customHeight="1">
      <c r="A1774" s="1" t="s">
        <v>164</v>
      </c>
      <c r="B1774" s="1" t="s">
        <v>196</v>
      </c>
      <c r="C1774" s="5">
        <v>45539.0</v>
      </c>
      <c r="D1774" s="1" t="s">
        <v>161</v>
      </c>
      <c r="E1774" s="1" t="s">
        <v>11</v>
      </c>
      <c r="F1774" s="1" t="s">
        <v>165</v>
      </c>
      <c r="H1774" s="1">
        <v>0.0</v>
      </c>
      <c r="I1774" s="1">
        <v>0.0</v>
      </c>
      <c r="J1774" s="1">
        <v>0.0</v>
      </c>
      <c r="K1774" s="1">
        <v>2.0</v>
      </c>
      <c r="L1774" s="1">
        <v>13.0</v>
      </c>
      <c r="M1774" s="1">
        <v>0.153846154</v>
      </c>
      <c r="N1774" s="1">
        <v>0.0</v>
      </c>
    </row>
    <row r="1775" ht="15.75" customHeight="1">
      <c r="A1775" s="1" t="s">
        <v>164</v>
      </c>
      <c r="B1775" s="1" t="s">
        <v>81</v>
      </c>
      <c r="C1775" s="5">
        <v>45539.0</v>
      </c>
      <c r="D1775" s="1" t="s">
        <v>161</v>
      </c>
      <c r="E1775" s="1" t="s">
        <v>11</v>
      </c>
      <c r="H1775" s="1">
        <v>0.0</v>
      </c>
      <c r="J1775" s="1">
        <v>0.0</v>
      </c>
      <c r="N1775" s="1">
        <v>1.019999981</v>
      </c>
    </row>
    <row r="1776" ht="15.75" customHeight="1">
      <c r="A1776" s="1" t="s">
        <v>164</v>
      </c>
      <c r="B1776" s="1" t="s">
        <v>231</v>
      </c>
      <c r="C1776" s="5">
        <v>45539.0</v>
      </c>
      <c r="D1776" s="1" t="s">
        <v>161</v>
      </c>
      <c r="E1776" s="1" t="s">
        <v>11</v>
      </c>
      <c r="H1776" s="1">
        <v>0.0</v>
      </c>
      <c r="J1776" s="1">
        <v>0.0</v>
      </c>
      <c r="N1776" s="1">
        <v>103.7699966</v>
      </c>
    </row>
    <row r="1777" ht="15.75" customHeight="1">
      <c r="A1777" s="1" t="s">
        <v>164</v>
      </c>
      <c r="B1777" s="1" t="s">
        <v>183</v>
      </c>
      <c r="C1777" s="5">
        <v>45539.0</v>
      </c>
      <c r="D1777" s="1" t="s">
        <v>161</v>
      </c>
      <c r="E1777" s="1" t="s">
        <v>11</v>
      </c>
      <c r="H1777" s="1">
        <v>0.0</v>
      </c>
      <c r="J1777" s="1">
        <v>0.0</v>
      </c>
      <c r="N1777" s="1">
        <v>36.75</v>
      </c>
    </row>
    <row r="1778" ht="15.75" customHeight="1">
      <c r="A1778" s="1" t="s">
        <v>164</v>
      </c>
      <c r="B1778" s="1" t="s">
        <v>197</v>
      </c>
      <c r="C1778" s="5">
        <v>45539.0</v>
      </c>
      <c r="D1778" s="1" t="s">
        <v>161</v>
      </c>
      <c r="E1778" s="1" t="s">
        <v>11</v>
      </c>
      <c r="H1778" s="1">
        <v>0.0</v>
      </c>
      <c r="J1778" s="1">
        <v>0.0</v>
      </c>
      <c r="N1778" s="1">
        <v>4.289999962</v>
      </c>
    </row>
    <row r="1779" ht="15.75" customHeight="1">
      <c r="A1779" s="1" t="s">
        <v>164</v>
      </c>
      <c r="B1779" s="1" t="s">
        <v>74</v>
      </c>
      <c r="C1779" s="5">
        <v>45539.0</v>
      </c>
      <c r="D1779" s="1" t="s">
        <v>161</v>
      </c>
      <c r="E1779" s="1" t="s">
        <v>11</v>
      </c>
      <c r="H1779" s="1">
        <v>0.0</v>
      </c>
      <c r="J1779" s="1">
        <v>0.0</v>
      </c>
      <c r="N1779" s="1">
        <v>0.170000002</v>
      </c>
    </row>
    <row r="1780" ht="15.75" customHeight="1">
      <c r="A1780" s="1" t="s">
        <v>164</v>
      </c>
      <c r="B1780" s="1" t="s">
        <v>205</v>
      </c>
      <c r="C1780" s="5">
        <v>45539.0</v>
      </c>
      <c r="D1780" s="1" t="s">
        <v>161</v>
      </c>
      <c r="E1780" s="1" t="s">
        <v>11</v>
      </c>
      <c r="F1780" s="1" t="s">
        <v>165</v>
      </c>
      <c r="H1780" s="1">
        <v>0.0</v>
      </c>
      <c r="I1780" s="1">
        <v>1.0</v>
      </c>
      <c r="J1780" s="1">
        <v>0.0</v>
      </c>
      <c r="K1780" s="1">
        <v>12.0</v>
      </c>
      <c r="L1780" s="1">
        <v>12.0</v>
      </c>
      <c r="M1780" s="1">
        <v>1.0</v>
      </c>
      <c r="N1780" s="1">
        <v>0.0</v>
      </c>
    </row>
    <row r="1781" ht="15.75" customHeight="1">
      <c r="A1781" s="1" t="s">
        <v>164</v>
      </c>
      <c r="B1781" s="1" t="s">
        <v>75</v>
      </c>
      <c r="C1781" s="5">
        <v>45539.0</v>
      </c>
      <c r="D1781" s="1" t="s">
        <v>161</v>
      </c>
      <c r="E1781" s="1" t="s">
        <v>11</v>
      </c>
      <c r="H1781" s="1">
        <v>0.0</v>
      </c>
      <c r="J1781" s="1">
        <v>0.0</v>
      </c>
      <c r="N1781" s="1">
        <v>3.109999895</v>
      </c>
    </row>
    <row r="1782" ht="15.75" customHeight="1">
      <c r="A1782" s="1" t="s">
        <v>164</v>
      </c>
      <c r="B1782" s="1" t="s">
        <v>219</v>
      </c>
      <c r="C1782" s="5">
        <v>45539.0</v>
      </c>
      <c r="D1782" s="1" t="s">
        <v>161</v>
      </c>
      <c r="E1782" s="1" t="s">
        <v>11</v>
      </c>
      <c r="F1782" s="1" t="s">
        <v>165</v>
      </c>
      <c r="H1782" s="1">
        <v>0.0</v>
      </c>
      <c r="I1782" s="1">
        <v>0.0</v>
      </c>
      <c r="J1782" s="1">
        <v>0.0</v>
      </c>
      <c r="K1782" s="1">
        <v>11.0</v>
      </c>
      <c r="L1782" s="1">
        <v>21.0</v>
      </c>
      <c r="M1782" s="1">
        <v>0.523809524</v>
      </c>
      <c r="N1782" s="1">
        <v>5.6199998860000004</v>
      </c>
    </row>
    <row r="1783" ht="15.75" customHeight="1">
      <c r="A1783" s="1" t="s">
        <v>164</v>
      </c>
      <c r="B1783" s="1" t="s">
        <v>225</v>
      </c>
      <c r="C1783" s="5">
        <v>45539.0</v>
      </c>
      <c r="D1783" s="1" t="s">
        <v>161</v>
      </c>
      <c r="E1783" s="1" t="s">
        <v>11</v>
      </c>
      <c r="F1783" s="1" t="s">
        <v>166</v>
      </c>
      <c r="G1783" s="1" t="s">
        <v>172</v>
      </c>
      <c r="H1783" s="1">
        <v>1.0</v>
      </c>
      <c r="I1783" s="1">
        <v>1.0</v>
      </c>
      <c r="J1783" s="1">
        <v>0.0</v>
      </c>
      <c r="K1783" s="1">
        <v>12.0</v>
      </c>
      <c r="L1783" s="1">
        <v>13.0</v>
      </c>
      <c r="M1783" s="1">
        <v>0.923076923</v>
      </c>
      <c r="N1783" s="1">
        <v>12.11999989</v>
      </c>
    </row>
    <row r="1784" ht="15.75" customHeight="1">
      <c r="A1784" s="1" t="s">
        <v>180</v>
      </c>
      <c r="B1784" s="1" t="s">
        <v>239</v>
      </c>
      <c r="C1784" s="5">
        <v>45539.0</v>
      </c>
      <c r="D1784" s="1" t="s">
        <v>161</v>
      </c>
      <c r="E1784" s="1" t="s">
        <v>11</v>
      </c>
      <c r="H1784" s="1">
        <v>0.0</v>
      </c>
      <c r="J1784" s="1">
        <v>0.0</v>
      </c>
      <c r="N1784" s="1">
        <v>9.479999542</v>
      </c>
    </row>
    <row r="1785" ht="15.75" customHeight="1">
      <c r="A1785" s="1" t="s">
        <v>180</v>
      </c>
      <c r="B1785" s="1" t="s">
        <v>235</v>
      </c>
      <c r="C1785" s="5">
        <v>45539.0</v>
      </c>
      <c r="D1785" s="1" t="s">
        <v>161</v>
      </c>
      <c r="E1785" s="1" t="s">
        <v>11</v>
      </c>
      <c r="H1785" s="1">
        <v>0.0</v>
      </c>
      <c r="J1785" s="1">
        <v>0.0</v>
      </c>
      <c r="N1785" s="1">
        <v>24.0</v>
      </c>
    </row>
    <row r="1786" ht="15.75" customHeight="1">
      <c r="A1786" s="1" t="s">
        <v>180</v>
      </c>
      <c r="B1786" s="1" t="s">
        <v>226</v>
      </c>
      <c r="C1786" s="5">
        <v>45539.0</v>
      </c>
      <c r="D1786" s="1" t="s">
        <v>161</v>
      </c>
      <c r="E1786" s="1" t="s">
        <v>11</v>
      </c>
      <c r="H1786" s="1">
        <v>0.0</v>
      </c>
      <c r="J1786" s="1">
        <v>0.0</v>
      </c>
      <c r="N1786" s="1">
        <v>90.12000275</v>
      </c>
    </row>
    <row r="1787" ht="15.75" customHeight="1">
      <c r="A1787" s="1" t="s">
        <v>180</v>
      </c>
      <c r="B1787" s="1" t="s">
        <v>107</v>
      </c>
      <c r="C1787" s="5">
        <v>45539.0</v>
      </c>
      <c r="D1787" s="1" t="s">
        <v>161</v>
      </c>
      <c r="E1787" s="1" t="s">
        <v>11</v>
      </c>
      <c r="H1787" s="1">
        <v>0.0</v>
      </c>
      <c r="J1787" s="1">
        <v>0.0</v>
      </c>
      <c r="N1787" s="1">
        <v>19.64999962</v>
      </c>
    </row>
    <row r="1788" ht="15.75" customHeight="1">
      <c r="A1788" s="1" t="s">
        <v>160</v>
      </c>
      <c r="B1788" s="1" t="s">
        <v>20</v>
      </c>
      <c r="C1788" s="5">
        <v>45538.0</v>
      </c>
      <c r="D1788" s="1" t="s">
        <v>161</v>
      </c>
      <c r="E1788" s="1" t="s">
        <v>11</v>
      </c>
      <c r="F1788" s="1" t="s">
        <v>162</v>
      </c>
      <c r="H1788" s="1">
        <v>0.0</v>
      </c>
      <c r="I1788" s="1">
        <v>0.0</v>
      </c>
      <c r="J1788" s="1">
        <v>0.0</v>
      </c>
      <c r="K1788" s="1">
        <v>0.0</v>
      </c>
      <c r="L1788" s="1">
        <v>0.0</v>
      </c>
      <c r="N1788" s="1">
        <v>0.569999993</v>
      </c>
    </row>
    <row r="1789" ht="15.75" customHeight="1">
      <c r="A1789" s="1" t="s">
        <v>160</v>
      </c>
      <c r="B1789" s="1" t="s">
        <v>39</v>
      </c>
      <c r="C1789" s="5">
        <v>45538.0</v>
      </c>
      <c r="D1789" s="1" t="s">
        <v>161</v>
      </c>
      <c r="E1789" s="1" t="s">
        <v>11</v>
      </c>
      <c r="H1789" s="1">
        <v>0.0</v>
      </c>
      <c r="J1789" s="1">
        <v>0.0</v>
      </c>
      <c r="N1789" s="1">
        <v>2.859999895</v>
      </c>
    </row>
    <row r="1790" ht="15.75" customHeight="1">
      <c r="A1790" s="1" t="s">
        <v>160</v>
      </c>
      <c r="B1790" s="1" t="s">
        <v>65</v>
      </c>
      <c r="C1790" s="5">
        <v>45538.0</v>
      </c>
      <c r="D1790" s="1" t="s">
        <v>161</v>
      </c>
      <c r="E1790" s="1" t="s">
        <v>11</v>
      </c>
      <c r="H1790" s="1">
        <v>0.0</v>
      </c>
      <c r="J1790" s="1">
        <v>0.0</v>
      </c>
      <c r="N1790" s="1">
        <v>8.25</v>
      </c>
    </row>
    <row r="1791" ht="15.75" customHeight="1">
      <c r="A1791" s="1" t="s">
        <v>160</v>
      </c>
      <c r="B1791" s="1" t="s">
        <v>89</v>
      </c>
      <c r="C1791" s="5">
        <v>45538.0</v>
      </c>
      <c r="D1791" s="1" t="s">
        <v>161</v>
      </c>
      <c r="E1791" s="1" t="s">
        <v>11</v>
      </c>
      <c r="F1791" s="1" t="s">
        <v>165</v>
      </c>
      <c r="H1791" s="1">
        <v>0.0</v>
      </c>
      <c r="I1791" s="1">
        <v>0.0</v>
      </c>
      <c r="J1791" s="1">
        <v>0.0</v>
      </c>
      <c r="K1791" s="1">
        <v>2.0</v>
      </c>
      <c r="L1791" s="1">
        <v>12.0</v>
      </c>
      <c r="M1791" s="1">
        <v>0.166666667</v>
      </c>
      <c r="N1791" s="1">
        <v>9.300000191</v>
      </c>
    </row>
    <row r="1792" ht="15.75" customHeight="1">
      <c r="A1792" s="1" t="s">
        <v>160</v>
      </c>
      <c r="B1792" s="1" t="s">
        <v>198</v>
      </c>
      <c r="C1792" s="5">
        <v>45538.0</v>
      </c>
      <c r="D1792" s="1" t="s">
        <v>161</v>
      </c>
      <c r="E1792" s="1" t="s">
        <v>11</v>
      </c>
      <c r="F1792" s="1" t="s">
        <v>162</v>
      </c>
      <c r="H1792" s="1">
        <v>0.0</v>
      </c>
      <c r="I1792" s="1">
        <v>0.0</v>
      </c>
      <c r="J1792" s="1">
        <v>0.0</v>
      </c>
      <c r="K1792" s="1">
        <v>6.0</v>
      </c>
      <c r="L1792" s="1">
        <v>7.0</v>
      </c>
      <c r="M1792" s="1">
        <v>0.857142857</v>
      </c>
      <c r="N1792" s="1">
        <v>15.64999962</v>
      </c>
    </row>
    <row r="1793" ht="15.75" customHeight="1">
      <c r="A1793" s="1" t="s">
        <v>164</v>
      </c>
      <c r="B1793" s="1" t="s">
        <v>22</v>
      </c>
      <c r="C1793" s="5">
        <v>45538.0</v>
      </c>
      <c r="D1793" s="1" t="s">
        <v>161</v>
      </c>
      <c r="E1793" s="1" t="s">
        <v>11</v>
      </c>
      <c r="H1793" s="1">
        <v>0.0</v>
      </c>
      <c r="J1793" s="1">
        <v>0.0</v>
      </c>
      <c r="N1793" s="1">
        <v>0.419999987</v>
      </c>
    </row>
    <row r="1794" ht="15.75" customHeight="1">
      <c r="A1794" s="1" t="s">
        <v>164</v>
      </c>
      <c r="B1794" s="1" t="s">
        <v>35</v>
      </c>
      <c r="C1794" s="5">
        <v>45538.0</v>
      </c>
      <c r="D1794" s="1" t="s">
        <v>161</v>
      </c>
      <c r="E1794" s="1" t="s">
        <v>11</v>
      </c>
      <c r="H1794" s="1">
        <v>0.0</v>
      </c>
      <c r="J1794" s="1">
        <v>0.0</v>
      </c>
      <c r="N1794" s="1">
        <v>38.74000168</v>
      </c>
    </row>
    <row r="1795" ht="15.75" customHeight="1">
      <c r="A1795" s="1" t="s">
        <v>164</v>
      </c>
      <c r="B1795" s="1" t="s">
        <v>76</v>
      </c>
      <c r="C1795" s="5">
        <v>45538.0</v>
      </c>
      <c r="D1795" s="1" t="s">
        <v>161</v>
      </c>
      <c r="E1795" s="1" t="s">
        <v>11</v>
      </c>
      <c r="F1795" s="1" t="s">
        <v>162</v>
      </c>
      <c r="H1795" s="1">
        <v>0.0</v>
      </c>
      <c r="I1795" s="1">
        <v>0.0</v>
      </c>
      <c r="J1795" s="1">
        <v>0.0</v>
      </c>
      <c r="K1795" s="1">
        <v>8.0</v>
      </c>
      <c r="L1795" s="1">
        <v>16.0</v>
      </c>
      <c r="M1795" s="1">
        <v>0.5</v>
      </c>
      <c r="N1795" s="1">
        <v>9.920000076</v>
      </c>
    </row>
    <row r="1796" ht="15.75" customHeight="1">
      <c r="A1796" s="1" t="s">
        <v>164</v>
      </c>
      <c r="B1796" s="1" t="s">
        <v>196</v>
      </c>
      <c r="C1796" s="5">
        <v>45538.0</v>
      </c>
      <c r="D1796" s="1" t="s">
        <v>161</v>
      </c>
      <c r="E1796" s="1" t="s">
        <v>11</v>
      </c>
      <c r="H1796" s="1">
        <v>0.0</v>
      </c>
      <c r="J1796" s="1">
        <v>0.0</v>
      </c>
      <c r="N1796" s="1">
        <v>21.10000038</v>
      </c>
    </row>
    <row r="1797" ht="15.75" customHeight="1">
      <c r="A1797" s="1" t="s">
        <v>164</v>
      </c>
      <c r="B1797" s="1" t="s">
        <v>60</v>
      </c>
      <c r="C1797" s="5">
        <v>45538.0</v>
      </c>
      <c r="D1797" s="1" t="s">
        <v>161</v>
      </c>
      <c r="E1797" s="1" t="s">
        <v>11</v>
      </c>
      <c r="H1797" s="1">
        <v>0.0</v>
      </c>
      <c r="J1797" s="1">
        <v>0.0</v>
      </c>
      <c r="N1797" s="1">
        <v>4.980000019</v>
      </c>
    </row>
    <row r="1798" ht="15.75" customHeight="1">
      <c r="A1798" s="1" t="s">
        <v>164</v>
      </c>
      <c r="B1798" s="1" t="s">
        <v>63</v>
      </c>
      <c r="C1798" s="5">
        <v>45538.0</v>
      </c>
      <c r="D1798" s="1" t="s">
        <v>161</v>
      </c>
      <c r="E1798" s="1" t="s">
        <v>11</v>
      </c>
      <c r="F1798" s="1" t="s">
        <v>166</v>
      </c>
      <c r="H1798" s="1">
        <v>0.0</v>
      </c>
      <c r="I1798" s="1">
        <v>0.0</v>
      </c>
      <c r="J1798" s="1">
        <v>0.0</v>
      </c>
      <c r="K1798" s="1">
        <v>0.0</v>
      </c>
      <c r="L1798" s="1">
        <v>14.0</v>
      </c>
      <c r="M1798" s="1">
        <v>0.0</v>
      </c>
      <c r="N1798" s="1">
        <v>20.64999962</v>
      </c>
    </row>
    <row r="1799" ht="15.75" customHeight="1">
      <c r="A1799" s="1" t="s">
        <v>164</v>
      </c>
      <c r="B1799" s="1" t="s">
        <v>197</v>
      </c>
      <c r="C1799" s="5">
        <v>45538.0</v>
      </c>
      <c r="D1799" s="1" t="s">
        <v>161</v>
      </c>
      <c r="E1799" s="1" t="s">
        <v>11</v>
      </c>
      <c r="F1799" s="1" t="s">
        <v>166</v>
      </c>
      <c r="H1799" s="1">
        <v>0.0</v>
      </c>
      <c r="I1799" s="1">
        <v>0.0</v>
      </c>
      <c r="J1799" s="1">
        <v>0.0</v>
      </c>
      <c r="K1799" s="1">
        <v>1.0</v>
      </c>
      <c r="L1799" s="1">
        <v>3.0</v>
      </c>
      <c r="M1799" s="1">
        <v>0.333333333</v>
      </c>
      <c r="N1799" s="1">
        <v>4.579999924</v>
      </c>
    </row>
    <row r="1800" ht="15.75" customHeight="1">
      <c r="A1800" s="1" t="s">
        <v>164</v>
      </c>
      <c r="B1800" s="1" t="s">
        <v>74</v>
      </c>
      <c r="C1800" s="5">
        <v>45538.0</v>
      </c>
      <c r="D1800" s="1" t="s">
        <v>161</v>
      </c>
      <c r="E1800" s="1" t="s">
        <v>11</v>
      </c>
      <c r="F1800" s="1" t="s">
        <v>166</v>
      </c>
      <c r="G1800" s="1" t="s">
        <v>194</v>
      </c>
      <c r="H1800" s="1">
        <v>1.0</v>
      </c>
      <c r="I1800" s="1">
        <v>0.0</v>
      </c>
      <c r="J1800" s="1">
        <v>0.0</v>
      </c>
      <c r="K1800" s="1">
        <v>8.0</v>
      </c>
      <c r="L1800" s="1">
        <v>18.0</v>
      </c>
      <c r="M1800" s="1">
        <v>0.444444444</v>
      </c>
      <c r="N1800" s="1">
        <v>22.47999954</v>
      </c>
    </row>
    <row r="1801" ht="15.75" customHeight="1">
      <c r="A1801" s="1" t="s">
        <v>164</v>
      </c>
      <c r="B1801" s="1" t="s">
        <v>205</v>
      </c>
      <c r="C1801" s="5">
        <v>45538.0</v>
      </c>
      <c r="D1801" s="1" t="s">
        <v>161</v>
      </c>
      <c r="E1801" s="1" t="s">
        <v>11</v>
      </c>
      <c r="H1801" s="1">
        <v>0.0</v>
      </c>
      <c r="J1801" s="1">
        <v>0.0</v>
      </c>
      <c r="N1801" s="1">
        <v>15.26000023</v>
      </c>
    </row>
    <row r="1802" ht="15.75" customHeight="1">
      <c r="A1802" s="1" t="s">
        <v>164</v>
      </c>
      <c r="B1802" s="1" t="s">
        <v>75</v>
      </c>
      <c r="C1802" s="5">
        <v>45538.0</v>
      </c>
      <c r="D1802" s="1" t="s">
        <v>161</v>
      </c>
      <c r="E1802" s="1" t="s">
        <v>11</v>
      </c>
      <c r="F1802" s="1" t="s">
        <v>165</v>
      </c>
      <c r="G1802" s="1" t="s">
        <v>172</v>
      </c>
      <c r="H1802" s="1">
        <v>1.0</v>
      </c>
      <c r="I1802" s="1">
        <v>1.0</v>
      </c>
      <c r="J1802" s="1">
        <v>0.0</v>
      </c>
      <c r="K1802" s="1">
        <v>16.0</v>
      </c>
      <c r="L1802" s="1">
        <v>21.0</v>
      </c>
      <c r="M1802" s="1">
        <v>0.761904762</v>
      </c>
      <c r="N1802" s="1">
        <v>16.26000023</v>
      </c>
    </row>
    <row r="1803" ht="15.75" customHeight="1">
      <c r="A1803" s="1" t="s">
        <v>164</v>
      </c>
      <c r="B1803" s="1" t="s">
        <v>219</v>
      </c>
      <c r="C1803" s="5">
        <v>45538.0</v>
      </c>
      <c r="D1803" s="1" t="s">
        <v>161</v>
      </c>
      <c r="E1803" s="1" t="s">
        <v>11</v>
      </c>
      <c r="H1803" s="1">
        <v>0.0</v>
      </c>
      <c r="J1803" s="1">
        <v>0.0</v>
      </c>
      <c r="N1803" s="1">
        <v>20.68000031</v>
      </c>
    </row>
    <row r="1804" ht="15.75" customHeight="1">
      <c r="A1804" s="1" t="s">
        <v>164</v>
      </c>
      <c r="B1804" s="1" t="s">
        <v>225</v>
      </c>
      <c r="C1804" s="5">
        <v>45538.0</v>
      </c>
      <c r="D1804" s="1" t="s">
        <v>161</v>
      </c>
      <c r="E1804" s="1" t="s">
        <v>11</v>
      </c>
      <c r="H1804" s="1">
        <v>0.0</v>
      </c>
      <c r="J1804" s="1">
        <v>0.0</v>
      </c>
      <c r="N1804" s="1">
        <v>9.130000114</v>
      </c>
    </row>
    <row r="1805" ht="15.75" customHeight="1">
      <c r="A1805" s="1" t="s">
        <v>180</v>
      </c>
      <c r="B1805" s="1" t="s">
        <v>239</v>
      </c>
      <c r="C1805" s="5">
        <v>45538.0</v>
      </c>
      <c r="D1805" s="1" t="s">
        <v>161</v>
      </c>
      <c r="E1805" s="1" t="s">
        <v>11</v>
      </c>
      <c r="H1805" s="1">
        <v>0.0</v>
      </c>
      <c r="J1805" s="1">
        <v>0.0</v>
      </c>
      <c r="N1805" s="1">
        <v>0.620000005</v>
      </c>
    </row>
    <row r="1806" ht="15.75" customHeight="1">
      <c r="A1806" s="1" t="s">
        <v>180</v>
      </c>
      <c r="B1806" s="1" t="s">
        <v>185</v>
      </c>
      <c r="C1806" s="5">
        <v>45538.0</v>
      </c>
      <c r="D1806" s="1" t="s">
        <v>161</v>
      </c>
      <c r="E1806" s="1" t="s">
        <v>11</v>
      </c>
      <c r="H1806" s="1">
        <v>0.0</v>
      </c>
      <c r="J1806" s="1">
        <v>0.0</v>
      </c>
      <c r="N1806" s="1">
        <v>10.51000023</v>
      </c>
    </row>
    <row r="1807" ht="15.75" customHeight="1">
      <c r="A1807" s="1" t="s">
        <v>180</v>
      </c>
      <c r="B1807" s="1" t="s">
        <v>107</v>
      </c>
      <c r="C1807" s="5">
        <v>45538.0</v>
      </c>
      <c r="D1807" s="1" t="s">
        <v>161</v>
      </c>
      <c r="E1807" s="1" t="s">
        <v>11</v>
      </c>
      <c r="F1807" s="1" t="s">
        <v>166</v>
      </c>
      <c r="H1807" s="1">
        <v>0.0</v>
      </c>
      <c r="I1807" s="1">
        <v>0.0</v>
      </c>
      <c r="J1807" s="1">
        <v>0.0</v>
      </c>
      <c r="K1807" s="1">
        <v>1.0</v>
      </c>
      <c r="L1807" s="1">
        <v>4.0</v>
      </c>
      <c r="M1807" s="1">
        <v>0.25</v>
      </c>
      <c r="N1807" s="1">
        <v>4.1300001139999996</v>
      </c>
    </row>
    <row r="1808" ht="15.75" customHeight="1">
      <c r="A1808" s="1" t="s">
        <v>164</v>
      </c>
      <c r="B1808" s="1" t="s">
        <v>52</v>
      </c>
      <c r="C1808" s="5">
        <v>45537.0</v>
      </c>
      <c r="D1808" s="1" t="s">
        <v>161</v>
      </c>
      <c r="E1808" s="1" t="s">
        <v>11</v>
      </c>
      <c r="F1808" s="1" t="s">
        <v>162</v>
      </c>
      <c r="H1808" s="1">
        <v>0.0</v>
      </c>
      <c r="I1808" s="1">
        <v>0.0</v>
      </c>
      <c r="J1808" s="1">
        <v>0.0</v>
      </c>
      <c r="K1808" s="1">
        <v>0.0</v>
      </c>
      <c r="L1808" s="1">
        <v>0.0</v>
      </c>
      <c r="N1808" s="1">
        <v>0.209999993</v>
      </c>
    </row>
    <row r="1809" ht="15.75" customHeight="1">
      <c r="A1809" s="1" t="s">
        <v>160</v>
      </c>
      <c r="B1809" s="1" t="s">
        <v>230</v>
      </c>
      <c r="C1809" s="5">
        <v>45534.0</v>
      </c>
      <c r="D1809" s="1" t="s">
        <v>161</v>
      </c>
      <c r="E1809" s="1" t="s">
        <v>11</v>
      </c>
      <c r="F1809" s="1" t="s">
        <v>165</v>
      </c>
      <c r="H1809" s="1">
        <v>0.0</v>
      </c>
      <c r="I1809" s="1">
        <v>0.0</v>
      </c>
      <c r="J1809" s="1">
        <v>0.0</v>
      </c>
      <c r="K1809" s="1">
        <v>20.0</v>
      </c>
      <c r="L1809" s="1">
        <v>39.0</v>
      </c>
      <c r="M1809" s="1">
        <v>0.512820513</v>
      </c>
      <c r="N1809" s="1">
        <v>78.93000031</v>
      </c>
    </row>
    <row r="1810" ht="15.75" customHeight="1">
      <c r="A1810" s="1" t="s">
        <v>160</v>
      </c>
      <c r="B1810" s="1" t="s">
        <v>77</v>
      </c>
      <c r="C1810" s="5">
        <v>45534.0</v>
      </c>
      <c r="D1810" s="1" t="s">
        <v>161</v>
      </c>
      <c r="E1810" s="1" t="s">
        <v>11</v>
      </c>
      <c r="H1810" s="1">
        <v>0.0</v>
      </c>
      <c r="J1810" s="1">
        <v>0.0</v>
      </c>
      <c r="N1810" s="1">
        <v>0.029999999</v>
      </c>
    </row>
    <row r="1811" ht="15.75" customHeight="1">
      <c r="A1811" s="1" t="s">
        <v>160</v>
      </c>
      <c r="B1811" s="1" t="s">
        <v>240</v>
      </c>
      <c r="C1811" s="5">
        <v>45533.0</v>
      </c>
      <c r="D1811" s="1" t="s">
        <v>161</v>
      </c>
      <c r="E1811" s="1" t="s">
        <v>11</v>
      </c>
      <c r="H1811" s="1">
        <v>0.0</v>
      </c>
      <c r="J1811" s="1">
        <v>0.0</v>
      </c>
      <c r="N1811" s="1">
        <v>0.150000006</v>
      </c>
    </row>
    <row r="1812" ht="15.75" customHeight="1">
      <c r="A1812" s="1" t="s">
        <v>160</v>
      </c>
      <c r="B1812" s="1" t="s">
        <v>39</v>
      </c>
      <c r="C1812" s="5">
        <v>45533.0</v>
      </c>
      <c r="D1812" s="1" t="s">
        <v>161</v>
      </c>
      <c r="E1812" s="1" t="s">
        <v>11</v>
      </c>
      <c r="F1812" s="1" t="s">
        <v>162</v>
      </c>
      <c r="H1812" s="1">
        <v>0.0</v>
      </c>
      <c r="I1812" s="1">
        <v>0.0</v>
      </c>
      <c r="J1812" s="1">
        <v>0.0</v>
      </c>
      <c r="K1812" s="1">
        <v>8.0</v>
      </c>
      <c r="L1812" s="1">
        <v>11.0</v>
      </c>
      <c r="M1812" s="1">
        <v>0.727272727</v>
      </c>
      <c r="N1812" s="1">
        <v>11.10999966</v>
      </c>
    </row>
    <row r="1813" ht="15.75" customHeight="1">
      <c r="A1813" s="1" t="s">
        <v>160</v>
      </c>
      <c r="B1813" s="1" t="s">
        <v>39</v>
      </c>
      <c r="C1813" s="5">
        <v>45533.0</v>
      </c>
      <c r="D1813" s="1" t="s">
        <v>161</v>
      </c>
      <c r="E1813" s="1" t="s">
        <v>11</v>
      </c>
      <c r="F1813" s="1" t="s">
        <v>166</v>
      </c>
      <c r="H1813" s="1">
        <v>0.0</v>
      </c>
      <c r="I1813" s="1">
        <v>0.0</v>
      </c>
      <c r="J1813" s="1">
        <v>0.0</v>
      </c>
      <c r="K1813" s="1">
        <v>0.0</v>
      </c>
      <c r="L1813" s="1">
        <v>0.0</v>
      </c>
      <c r="N1813" s="1">
        <v>0.0</v>
      </c>
    </row>
    <row r="1814" ht="15.75" customHeight="1">
      <c r="A1814" s="1" t="s">
        <v>160</v>
      </c>
      <c r="B1814" s="1" t="s">
        <v>230</v>
      </c>
      <c r="C1814" s="5">
        <v>45533.0</v>
      </c>
      <c r="D1814" s="1" t="s">
        <v>161</v>
      </c>
      <c r="E1814" s="1" t="s">
        <v>11</v>
      </c>
      <c r="F1814" s="1" t="s">
        <v>165</v>
      </c>
      <c r="H1814" s="1">
        <v>0.0</v>
      </c>
      <c r="I1814" s="1">
        <v>1.0</v>
      </c>
      <c r="J1814" s="1">
        <v>0.0</v>
      </c>
      <c r="K1814" s="1">
        <v>12.0</v>
      </c>
      <c r="L1814" s="1">
        <v>22.0</v>
      </c>
      <c r="M1814" s="1">
        <v>0.545454545</v>
      </c>
      <c r="N1814" s="1">
        <v>25.92000008</v>
      </c>
    </row>
    <row r="1815" ht="15.75" customHeight="1">
      <c r="A1815" s="1" t="s">
        <v>160</v>
      </c>
      <c r="B1815" s="1" t="s">
        <v>65</v>
      </c>
      <c r="C1815" s="5">
        <v>45533.0</v>
      </c>
      <c r="D1815" s="1" t="s">
        <v>161</v>
      </c>
      <c r="E1815" s="1" t="s">
        <v>11</v>
      </c>
      <c r="F1815" s="1" t="s">
        <v>162</v>
      </c>
      <c r="H1815" s="1">
        <v>0.0</v>
      </c>
      <c r="I1815" s="1">
        <v>0.0</v>
      </c>
      <c r="J1815" s="1">
        <v>0.0</v>
      </c>
      <c r="K1815" s="1">
        <v>0.0</v>
      </c>
      <c r="L1815" s="1">
        <v>0.0</v>
      </c>
      <c r="N1815" s="1">
        <v>4.320000172</v>
      </c>
    </row>
    <row r="1816" ht="15.75" customHeight="1">
      <c r="A1816" s="1" t="s">
        <v>160</v>
      </c>
      <c r="B1816" s="1" t="s">
        <v>198</v>
      </c>
      <c r="C1816" s="5">
        <v>45533.0</v>
      </c>
      <c r="D1816" s="1" t="s">
        <v>161</v>
      </c>
      <c r="E1816" s="1" t="s">
        <v>11</v>
      </c>
      <c r="F1816" s="1" t="s">
        <v>162</v>
      </c>
      <c r="H1816" s="1">
        <v>0.0</v>
      </c>
      <c r="I1816" s="1">
        <v>0.0</v>
      </c>
      <c r="J1816" s="1">
        <v>0.0</v>
      </c>
      <c r="K1816" s="1">
        <v>5.0</v>
      </c>
      <c r="L1816" s="1">
        <v>8.0</v>
      </c>
      <c r="M1816" s="1">
        <v>0.625</v>
      </c>
      <c r="N1816" s="1">
        <v>14.02000046</v>
      </c>
    </row>
    <row r="1817" ht="15.75" customHeight="1">
      <c r="A1817" s="1" t="s">
        <v>160</v>
      </c>
      <c r="B1817" s="1" t="s">
        <v>77</v>
      </c>
      <c r="C1817" s="5">
        <v>45533.0</v>
      </c>
      <c r="D1817" s="1" t="s">
        <v>161</v>
      </c>
      <c r="E1817" s="1" t="s">
        <v>11</v>
      </c>
      <c r="F1817" s="1" t="s">
        <v>162</v>
      </c>
      <c r="H1817" s="1">
        <v>0.0</v>
      </c>
      <c r="I1817" s="1">
        <v>0.0</v>
      </c>
      <c r="J1817" s="1">
        <v>0.0</v>
      </c>
      <c r="K1817" s="1">
        <v>8.0</v>
      </c>
      <c r="L1817" s="1">
        <v>10.0</v>
      </c>
      <c r="M1817" s="1">
        <v>0.8</v>
      </c>
      <c r="N1817" s="1">
        <v>10.97999954</v>
      </c>
    </row>
    <row r="1818" ht="15.75" customHeight="1">
      <c r="A1818" s="1" t="s">
        <v>160</v>
      </c>
      <c r="B1818" s="1" t="s">
        <v>94</v>
      </c>
      <c r="C1818" s="5">
        <v>45533.0</v>
      </c>
      <c r="D1818" s="1" t="s">
        <v>161</v>
      </c>
      <c r="E1818" s="1" t="s">
        <v>190</v>
      </c>
      <c r="H1818" s="1">
        <v>0.0</v>
      </c>
      <c r="J1818" s="1">
        <v>0.0</v>
      </c>
      <c r="N1818" s="1">
        <v>0.519999981</v>
      </c>
    </row>
    <row r="1819" ht="15.75" customHeight="1">
      <c r="A1819" s="1" t="s">
        <v>164</v>
      </c>
      <c r="B1819" s="1" t="s">
        <v>22</v>
      </c>
      <c r="C1819" s="5">
        <v>45533.0</v>
      </c>
      <c r="D1819" s="1" t="s">
        <v>161</v>
      </c>
      <c r="E1819" s="1" t="s">
        <v>11</v>
      </c>
      <c r="F1819" s="1" t="s">
        <v>166</v>
      </c>
      <c r="H1819" s="1">
        <v>0.0</v>
      </c>
      <c r="I1819" s="1">
        <v>0.0</v>
      </c>
      <c r="J1819" s="1">
        <v>0.0</v>
      </c>
      <c r="K1819" s="1">
        <v>2.0</v>
      </c>
      <c r="L1819" s="1">
        <v>4.0</v>
      </c>
      <c r="M1819" s="1">
        <v>0.5</v>
      </c>
      <c r="N1819" s="1">
        <v>11.55000019</v>
      </c>
    </row>
    <row r="1820" ht="15.75" customHeight="1">
      <c r="A1820" s="1" t="s">
        <v>164</v>
      </c>
      <c r="B1820" s="1" t="s">
        <v>35</v>
      </c>
      <c r="C1820" s="5">
        <v>45533.0</v>
      </c>
      <c r="D1820" s="1" t="s">
        <v>161</v>
      </c>
      <c r="E1820" s="1" t="s">
        <v>11</v>
      </c>
      <c r="F1820" s="1" t="s">
        <v>166</v>
      </c>
      <c r="H1820" s="1">
        <v>0.0</v>
      </c>
      <c r="I1820" s="1">
        <v>0.0</v>
      </c>
      <c r="J1820" s="1">
        <v>0.0</v>
      </c>
      <c r="K1820" s="1">
        <v>4.0</v>
      </c>
      <c r="L1820" s="1">
        <v>6.0</v>
      </c>
      <c r="M1820" s="1">
        <v>0.666666667</v>
      </c>
      <c r="N1820" s="1">
        <v>8.720000267</v>
      </c>
    </row>
    <row r="1821" ht="15.75" customHeight="1">
      <c r="A1821" s="1" t="s">
        <v>164</v>
      </c>
      <c r="B1821" s="1" t="s">
        <v>24</v>
      </c>
      <c r="C1821" s="5">
        <v>45533.0</v>
      </c>
      <c r="D1821" s="1" t="s">
        <v>161</v>
      </c>
      <c r="E1821" s="1" t="s">
        <v>11</v>
      </c>
      <c r="F1821" s="1" t="s">
        <v>166</v>
      </c>
      <c r="H1821" s="1">
        <v>0.0</v>
      </c>
      <c r="I1821" s="1">
        <v>0.0</v>
      </c>
      <c r="J1821" s="1">
        <v>0.0</v>
      </c>
      <c r="K1821" s="1">
        <v>1.0</v>
      </c>
      <c r="L1821" s="1">
        <v>5.0</v>
      </c>
      <c r="M1821" s="1">
        <v>0.2</v>
      </c>
      <c r="N1821" s="1">
        <v>8.319999695</v>
      </c>
    </row>
    <row r="1822" ht="15.75" customHeight="1">
      <c r="A1822" s="1" t="s">
        <v>164</v>
      </c>
      <c r="B1822" s="1" t="s">
        <v>207</v>
      </c>
      <c r="C1822" s="5">
        <v>45533.0</v>
      </c>
      <c r="D1822" s="1" t="s">
        <v>161</v>
      </c>
      <c r="E1822" s="1" t="s">
        <v>11</v>
      </c>
      <c r="F1822" s="1" t="s">
        <v>166</v>
      </c>
      <c r="H1822" s="1">
        <v>0.0</v>
      </c>
      <c r="I1822" s="1">
        <v>1.0</v>
      </c>
      <c r="J1822" s="1">
        <v>0.0</v>
      </c>
      <c r="K1822" s="1">
        <v>13.0</v>
      </c>
      <c r="L1822" s="1">
        <v>16.0</v>
      </c>
      <c r="M1822" s="1">
        <v>0.8125</v>
      </c>
      <c r="N1822" s="1">
        <v>16.96999931</v>
      </c>
    </row>
    <row r="1823" ht="15.75" customHeight="1">
      <c r="A1823" s="1" t="s">
        <v>164</v>
      </c>
      <c r="B1823" s="1" t="s">
        <v>52</v>
      </c>
      <c r="C1823" s="5">
        <v>45533.0</v>
      </c>
      <c r="D1823" s="1" t="s">
        <v>161</v>
      </c>
      <c r="E1823" s="1" t="s">
        <v>11</v>
      </c>
      <c r="F1823" s="1" t="s">
        <v>165</v>
      </c>
      <c r="H1823" s="1">
        <v>0.0</v>
      </c>
      <c r="I1823" s="1">
        <v>0.0</v>
      </c>
      <c r="J1823" s="1">
        <v>0.0</v>
      </c>
      <c r="K1823" s="1">
        <v>0.0</v>
      </c>
      <c r="L1823" s="1">
        <v>1.0</v>
      </c>
      <c r="M1823" s="1">
        <v>0.0</v>
      </c>
      <c r="N1823" s="1">
        <v>5.340000153</v>
      </c>
    </row>
    <row r="1824" ht="15.75" customHeight="1">
      <c r="A1824" s="1" t="s">
        <v>164</v>
      </c>
      <c r="B1824" s="1" t="s">
        <v>55</v>
      </c>
      <c r="C1824" s="5">
        <v>45533.0</v>
      </c>
      <c r="D1824" s="1" t="s">
        <v>161</v>
      </c>
      <c r="E1824" s="1" t="s">
        <v>11</v>
      </c>
      <c r="F1824" s="1" t="s">
        <v>166</v>
      </c>
      <c r="H1824" s="1">
        <v>0.0</v>
      </c>
      <c r="I1824" s="1">
        <v>0.0</v>
      </c>
      <c r="J1824" s="1">
        <v>0.0</v>
      </c>
      <c r="K1824" s="1">
        <v>4.0</v>
      </c>
      <c r="L1824" s="1">
        <v>9.0</v>
      </c>
      <c r="M1824" s="1">
        <v>0.444444444</v>
      </c>
      <c r="N1824" s="1">
        <v>7.039999962</v>
      </c>
    </row>
    <row r="1825" ht="15.75" customHeight="1">
      <c r="A1825" s="1" t="s">
        <v>164</v>
      </c>
      <c r="B1825" s="1" t="s">
        <v>199</v>
      </c>
      <c r="C1825" s="5">
        <v>45533.0</v>
      </c>
      <c r="D1825" s="1" t="s">
        <v>161</v>
      </c>
      <c r="E1825" s="1" t="s">
        <v>11</v>
      </c>
      <c r="F1825" s="1" t="s">
        <v>162</v>
      </c>
      <c r="H1825" s="1">
        <v>0.0</v>
      </c>
      <c r="I1825" s="1">
        <v>1.0</v>
      </c>
      <c r="J1825" s="1">
        <v>0.0</v>
      </c>
      <c r="K1825" s="1">
        <v>11.0</v>
      </c>
      <c r="L1825" s="1">
        <v>13.0</v>
      </c>
      <c r="M1825" s="1">
        <v>0.846153846</v>
      </c>
      <c r="N1825" s="1">
        <v>12.44999981</v>
      </c>
    </row>
    <row r="1826" ht="15.75" customHeight="1">
      <c r="A1826" s="1" t="s">
        <v>164</v>
      </c>
      <c r="B1826" s="1" t="s">
        <v>76</v>
      </c>
      <c r="C1826" s="5">
        <v>45533.0</v>
      </c>
      <c r="D1826" s="1" t="s">
        <v>161</v>
      </c>
      <c r="E1826" s="1" t="s">
        <v>11</v>
      </c>
      <c r="F1826" s="1" t="s">
        <v>162</v>
      </c>
      <c r="H1826" s="1">
        <v>0.0</v>
      </c>
      <c r="I1826" s="1">
        <v>0.0</v>
      </c>
      <c r="J1826" s="1">
        <v>0.0</v>
      </c>
      <c r="K1826" s="1">
        <v>6.0</v>
      </c>
      <c r="L1826" s="1">
        <v>13.0</v>
      </c>
      <c r="M1826" s="1">
        <v>0.461538462</v>
      </c>
      <c r="N1826" s="1">
        <v>22.82999992</v>
      </c>
    </row>
    <row r="1827" ht="15.75" customHeight="1">
      <c r="A1827" s="1" t="s">
        <v>164</v>
      </c>
      <c r="B1827" s="1" t="s">
        <v>179</v>
      </c>
      <c r="C1827" s="5">
        <v>45533.0</v>
      </c>
      <c r="D1827" s="1" t="s">
        <v>161</v>
      </c>
      <c r="E1827" s="1" t="s">
        <v>11</v>
      </c>
      <c r="F1827" s="1" t="s">
        <v>166</v>
      </c>
      <c r="H1827" s="1">
        <v>0.0</v>
      </c>
      <c r="I1827" s="1">
        <v>0.0</v>
      </c>
      <c r="J1827" s="1">
        <v>0.0</v>
      </c>
      <c r="K1827" s="1">
        <v>4.0</v>
      </c>
      <c r="L1827" s="1">
        <v>7.0</v>
      </c>
      <c r="M1827" s="1">
        <v>0.571428571</v>
      </c>
      <c r="N1827" s="1">
        <v>14.35000038</v>
      </c>
    </row>
    <row r="1828" ht="15.75" customHeight="1">
      <c r="A1828" s="1" t="s">
        <v>164</v>
      </c>
      <c r="B1828" s="1" t="s">
        <v>60</v>
      </c>
      <c r="C1828" s="5">
        <v>45533.0</v>
      </c>
      <c r="D1828" s="1" t="s">
        <v>161</v>
      </c>
      <c r="E1828" s="1" t="s">
        <v>11</v>
      </c>
      <c r="F1828" s="1" t="s">
        <v>162</v>
      </c>
      <c r="H1828" s="1">
        <v>0.0</v>
      </c>
      <c r="I1828" s="1">
        <v>0.0</v>
      </c>
      <c r="J1828" s="1">
        <v>0.0</v>
      </c>
      <c r="K1828" s="1">
        <v>2.0</v>
      </c>
      <c r="L1828" s="1">
        <v>2.0</v>
      </c>
      <c r="M1828" s="1">
        <v>1.0</v>
      </c>
      <c r="N1828" s="1">
        <v>0.0</v>
      </c>
    </row>
    <row r="1829" ht="15.75" customHeight="1">
      <c r="A1829" s="1" t="s">
        <v>164</v>
      </c>
      <c r="B1829" s="1" t="s">
        <v>60</v>
      </c>
      <c r="C1829" s="5">
        <v>45533.0</v>
      </c>
      <c r="D1829" s="1" t="s">
        <v>161</v>
      </c>
      <c r="E1829" s="1" t="s">
        <v>11</v>
      </c>
      <c r="F1829" s="1" t="s">
        <v>166</v>
      </c>
      <c r="H1829" s="1">
        <v>0.0</v>
      </c>
      <c r="I1829" s="1">
        <v>1.0</v>
      </c>
      <c r="J1829" s="1">
        <v>0.0</v>
      </c>
      <c r="K1829" s="1">
        <v>6.0</v>
      </c>
      <c r="L1829" s="1">
        <v>8.0</v>
      </c>
      <c r="M1829" s="1">
        <v>0.75</v>
      </c>
      <c r="N1829" s="1">
        <v>11.06999969</v>
      </c>
    </row>
    <row r="1830" ht="15.75" customHeight="1">
      <c r="A1830" s="1" t="s">
        <v>164</v>
      </c>
      <c r="B1830" s="1" t="s">
        <v>63</v>
      </c>
      <c r="C1830" s="5">
        <v>45533.0</v>
      </c>
      <c r="D1830" s="1" t="s">
        <v>161</v>
      </c>
      <c r="E1830" s="1" t="s">
        <v>11</v>
      </c>
      <c r="F1830" s="1" t="s">
        <v>166</v>
      </c>
      <c r="H1830" s="1">
        <v>0.0</v>
      </c>
      <c r="I1830" s="1">
        <v>0.0</v>
      </c>
      <c r="J1830" s="1">
        <v>0.0</v>
      </c>
      <c r="K1830" s="1">
        <v>6.0</v>
      </c>
      <c r="L1830" s="1">
        <v>8.0</v>
      </c>
      <c r="M1830" s="1">
        <v>0.75</v>
      </c>
      <c r="N1830" s="1">
        <v>8.140000343</v>
      </c>
    </row>
    <row r="1831" ht="15.75" customHeight="1">
      <c r="A1831" s="1" t="s">
        <v>164</v>
      </c>
      <c r="B1831" s="1" t="s">
        <v>68</v>
      </c>
      <c r="C1831" s="5">
        <v>45533.0</v>
      </c>
      <c r="D1831" s="1" t="s">
        <v>161</v>
      </c>
      <c r="E1831" s="1" t="s">
        <v>11</v>
      </c>
      <c r="H1831" s="1">
        <v>0.0</v>
      </c>
      <c r="J1831" s="1">
        <v>0.0</v>
      </c>
      <c r="N1831" s="1">
        <v>1.179999948</v>
      </c>
    </row>
    <row r="1832" ht="15.75" customHeight="1">
      <c r="A1832" s="1" t="s">
        <v>164</v>
      </c>
      <c r="B1832" s="1" t="s">
        <v>197</v>
      </c>
      <c r="C1832" s="5">
        <v>45533.0</v>
      </c>
      <c r="D1832" s="1" t="s">
        <v>161</v>
      </c>
      <c r="E1832" s="1" t="s">
        <v>11</v>
      </c>
      <c r="F1832" s="1" t="s">
        <v>166</v>
      </c>
      <c r="H1832" s="1">
        <v>0.0</v>
      </c>
      <c r="I1832" s="1">
        <v>1.0</v>
      </c>
      <c r="J1832" s="1">
        <v>0.0</v>
      </c>
      <c r="K1832" s="1">
        <v>13.0</v>
      </c>
      <c r="L1832" s="1">
        <v>21.0</v>
      </c>
      <c r="M1832" s="1">
        <v>0.619047619</v>
      </c>
      <c r="N1832" s="1">
        <v>14.76000023</v>
      </c>
    </row>
    <row r="1833" ht="15.75" customHeight="1">
      <c r="A1833" s="1" t="s">
        <v>164</v>
      </c>
      <c r="B1833" s="1" t="s">
        <v>100</v>
      </c>
      <c r="C1833" s="5">
        <v>45533.0</v>
      </c>
      <c r="D1833" s="1" t="s">
        <v>161</v>
      </c>
      <c r="E1833" s="1" t="s">
        <v>11</v>
      </c>
      <c r="F1833" s="1" t="s">
        <v>166</v>
      </c>
      <c r="G1833" s="1" t="s">
        <v>172</v>
      </c>
      <c r="H1833" s="1">
        <v>1.0</v>
      </c>
      <c r="I1833" s="1">
        <v>2.0</v>
      </c>
      <c r="J1833" s="1">
        <v>0.0</v>
      </c>
      <c r="K1833" s="1">
        <v>39.0</v>
      </c>
      <c r="L1833" s="1">
        <v>55.0</v>
      </c>
      <c r="M1833" s="1">
        <v>0.709090909</v>
      </c>
      <c r="N1833" s="1">
        <v>25.86000061</v>
      </c>
    </row>
    <row r="1834" ht="15.75" customHeight="1">
      <c r="A1834" s="1" t="s">
        <v>164</v>
      </c>
      <c r="B1834" s="1" t="s">
        <v>219</v>
      </c>
      <c r="C1834" s="5">
        <v>45533.0</v>
      </c>
      <c r="D1834" s="1" t="s">
        <v>161</v>
      </c>
      <c r="E1834" s="1" t="s">
        <v>11</v>
      </c>
      <c r="F1834" s="1" t="s">
        <v>165</v>
      </c>
      <c r="H1834" s="1">
        <v>0.0</v>
      </c>
      <c r="I1834" s="1">
        <v>0.0</v>
      </c>
      <c r="J1834" s="1">
        <v>0.0</v>
      </c>
      <c r="K1834" s="1">
        <v>0.0</v>
      </c>
      <c r="L1834" s="1">
        <v>10.0</v>
      </c>
      <c r="M1834" s="1">
        <v>0.0</v>
      </c>
      <c r="N1834" s="1">
        <v>8.489999771</v>
      </c>
    </row>
    <row r="1835" ht="15.75" customHeight="1">
      <c r="A1835" s="1" t="s">
        <v>164</v>
      </c>
      <c r="B1835" s="1" t="s">
        <v>225</v>
      </c>
      <c r="C1835" s="5">
        <v>45533.0</v>
      </c>
      <c r="D1835" s="1" t="s">
        <v>161</v>
      </c>
      <c r="E1835" s="1" t="s">
        <v>11</v>
      </c>
      <c r="F1835" s="1" t="s">
        <v>166</v>
      </c>
      <c r="H1835" s="1">
        <v>0.0</v>
      </c>
      <c r="I1835" s="1">
        <v>1.0</v>
      </c>
      <c r="J1835" s="1">
        <v>0.0</v>
      </c>
      <c r="K1835" s="1">
        <v>12.0</v>
      </c>
      <c r="L1835" s="1">
        <v>16.0</v>
      </c>
      <c r="M1835" s="1">
        <v>0.75</v>
      </c>
      <c r="N1835" s="1">
        <v>13.72000027</v>
      </c>
    </row>
    <row r="1836" ht="15.75" customHeight="1">
      <c r="A1836" s="1" t="s">
        <v>180</v>
      </c>
      <c r="B1836" s="1" t="s">
        <v>239</v>
      </c>
      <c r="C1836" s="5">
        <v>45533.0</v>
      </c>
      <c r="D1836" s="1" t="s">
        <v>161</v>
      </c>
      <c r="E1836" s="1" t="s">
        <v>11</v>
      </c>
      <c r="H1836" s="1">
        <v>0.0</v>
      </c>
      <c r="J1836" s="1">
        <v>0.0</v>
      </c>
      <c r="N1836" s="1">
        <v>0.100000001</v>
      </c>
    </row>
    <row r="1837" ht="15.75" customHeight="1">
      <c r="A1837" s="1" t="s">
        <v>180</v>
      </c>
      <c r="B1837" s="1" t="s">
        <v>185</v>
      </c>
      <c r="C1837" s="5">
        <v>45533.0</v>
      </c>
      <c r="D1837" s="1" t="s">
        <v>161</v>
      </c>
      <c r="E1837" s="1" t="s">
        <v>11</v>
      </c>
      <c r="F1837" s="1" t="s">
        <v>166</v>
      </c>
      <c r="H1837" s="1">
        <v>0.0</v>
      </c>
      <c r="I1837" s="1">
        <v>0.0</v>
      </c>
      <c r="J1837" s="1">
        <v>0.0</v>
      </c>
      <c r="K1837" s="1">
        <v>1.0</v>
      </c>
      <c r="L1837" s="1">
        <v>13.0</v>
      </c>
      <c r="M1837" s="1">
        <v>0.076923077</v>
      </c>
      <c r="N1837" s="1">
        <v>13.69999981</v>
      </c>
    </row>
    <row r="1838" ht="15.75" customHeight="1">
      <c r="A1838" s="1" t="s">
        <v>180</v>
      </c>
      <c r="B1838" s="1" t="s">
        <v>181</v>
      </c>
      <c r="C1838" s="5">
        <v>45533.0</v>
      </c>
      <c r="D1838" s="1" t="s">
        <v>161</v>
      </c>
      <c r="E1838" s="1" t="s">
        <v>11</v>
      </c>
      <c r="F1838" s="1" t="s">
        <v>166</v>
      </c>
      <c r="H1838" s="1">
        <v>0.0</v>
      </c>
      <c r="I1838" s="1">
        <v>0.0</v>
      </c>
      <c r="J1838" s="1">
        <v>0.0</v>
      </c>
      <c r="K1838" s="1">
        <v>0.0</v>
      </c>
      <c r="L1838" s="1">
        <v>2.0</v>
      </c>
      <c r="M1838" s="1">
        <v>0.0</v>
      </c>
      <c r="N1838" s="1">
        <v>3.140000105</v>
      </c>
    </row>
    <row r="1839" ht="15.75" customHeight="1">
      <c r="A1839" s="1" t="s">
        <v>160</v>
      </c>
      <c r="B1839" s="1" t="s">
        <v>39</v>
      </c>
      <c r="C1839" s="5">
        <v>45532.0</v>
      </c>
      <c r="D1839" s="1" t="s">
        <v>161</v>
      </c>
      <c r="E1839" s="1" t="s">
        <v>11</v>
      </c>
      <c r="F1839" s="1" t="s">
        <v>162</v>
      </c>
      <c r="H1839" s="1">
        <v>0.0</v>
      </c>
      <c r="I1839" s="1">
        <v>0.0</v>
      </c>
      <c r="J1839" s="1">
        <v>0.0</v>
      </c>
      <c r="K1839" s="1">
        <v>9.0</v>
      </c>
      <c r="L1839" s="1">
        <v>11.0</v>
      </c>
      <c r="M1839" s="1">
        <v>0.818181818</v>
      </c>
      <c r="N1839" s="1">
        <v>12.23999977</v>
      </c>
    </row>
    <row r="1840" ht="15.75" customHeight="1">
      <c r="A1840" s="1" t="s">
        <v>160</v>
      </c>
      <c r="B1840" s="1" t="s">
        <v>65</v>
      </c>
      <c r="C1840" s="5">
        <v>45532.0</v>
      </c>
      <c r="D1840" s="1" t="s">
        <v>161</v>
      </c>
      <c r="E1840" s="1" t="s">
        <v>11</v>
      </c>
      <c r="F1840" s="1" t="s">
        <v>162</v>
      </c>
      <c r="H1840" s="1">
        <v>0.0</v>
      </c>
      <c r="I1840" s="1">
        <v>0.0</v>
      </c>
      <c r="J1840" s="1">
        <v>0.0</v>
      </c>
      <c r="K1840" s="1">
        <v>1.0</v>
      </c>
      <c r="L1840" s="1">
        <v>3.0</v>
      </c>
      <c r="M1840" s="1">
        <v>0.333333333</v>
      </c>
      <c r="N1840" s="1">
        <v>7.159999847</v>
      </c>
    </row>
    <row r="1841" ht="15.75" customHeight="1">
      <c r="A1841" s="1" t="s">
        <v>160</v>
      </c>
      <c r="B1841" s="1" t="s">
        <v>95</v>
      </c>
      <c r="C1841" s="5">
        <v>45532.0</v>
      </c>
      <c r="D1841" s="1" t="s">
        <v>161</v>
      </c>
      <c r="E1841" s="1" t="s">
        <v>11</v>
      </c>
      <c r="F1841" s="1" t="s">
        <v>165</v>
      </c>
      <c r="H1841" s="1">
        <v>0.0</v>
      </c>
      <c r="I1841" s="1">
        <v>0.0</v>
      </c>
      <c r="J1841" s="1">
        <v>0.0</v>
      </c>
      <c r="K1841" s="1">
        <v>1.0</v>
      </c>
      <c r="L1841" s="1">
        <v>7.0</v>
      </c>
      <c r="M1841" s="1">
        <v>0.142857143</v>
      </c>
      <c r="N1841" s="1">
        <v>10.02000046</v>
      </c>
    </row>
    <row r="1842" ht="15.75" customHeight="1">
      <c r="A1842" s="1" t="s">
        <v>160</v>
      </c>
      <c r="B1842" s="1" t="s">
        <v>198</v>
      </c>
      <c r="C1842" s="5">
        <v>45532.0</v>
      </c>
      <c r="D1842" s="1" t="s">
        <v>161</v>
      </c>
      <c r="E1842" s="1" t="s">
        <v>11</v>
      </c>
      <c r="F1842" s="1" t="s">
        <v>162</v>
      </c>
      <c r="H1842" s="1">
        <v>0.0</v>
      </c>
      <c r="I1842" s="1">
        <v>0.0</v>
      </c>
      <c r="J1842" s="1">
        <v>0.0</v>
      </c>
      <c r="K1842" s="1">
        <v>2.0</v>
      </c>
      <c r="L1842" s="1">
        <v>5.0</v>
      </c>
      <c r="M1842" s="1">
        <v>0.4</v>
      </c>
      <c r="N1842" s="1">
        <v>15.0</v>
      </c>
    </row>
    <row r="1843" ht="15.75" customHeight="1">
      <c r="A1843" s="1" t="s">
        <v>160</v>
      </c>
      <c r="B1843" s="1" t="s">
        <v>77</v>
      </c>
      <c r="C1843" s="5">
        <v>45532.0</v>
      </c>
      <c r="D1843" s="1" t="s">
        <v>161</v>
      </c>
      <c r="E1843" s="1" t="s">
        <v>11</v>
      </c>
      <c r="F1843" s="1" t="s">
        <v>162</v>
      </c>
      <c r="H1843" s="1">
        <v>0.0</v>
      </c>
      <c r="I1843" s="1">
        <v>1.0</v>
      </c>
      <c r="J1843" s="1">
        <v>0.0</v>
      </c>
      <c r="K1843" s="1">
        <v>10.0</v>
      </c>
      <c r="L1843" s="1">
        <v>12.0</v>
      </c>
      <c r="M1843" s="1">
        <v>0.833333333</v>
      </c>
      <c r="N1843" s="1">
        <v>13.81000042</v>
      </c>
    </row>
    <row r="1844" ht="15.75" customHeight="1">
      <c r="A1844" s="1" t="s">
        <v>160</v>
      </c>
      <c r="B1844" s="1" t="s">
        <v>241</v>
      </c>
      <c r="C1844" s="5">
        <v>45532.0</v>
      </c>
      <c r="D1844" s="1" t="s">
        <v>161</v>
      </c>
      <c r="E1844" s="1" t="s">
        <v>11</v>
      </c>
      <c r="H1844" s="1">
        <v>0.0</v>
      </c>
      <c r="J1844" s="1">
        <v>0.0</v>
      </c>
      <c r="N1844" s="1">
        <v>0.109999999</v>
      </c>
    </row>
    <row r="1845" ht="15.75" customHeight="1">
      <c r="A1845" s="1" t="s">
        <v>164</v>
      </c>
      <c r="B1845" s="1" t="s">
        <v>22</v>
      </c>
      <c r="C1845" s="5">
        <v>45532.0</v>
      </c>
      <c r="D1845" s="1" t="s">
        <v>161</v>
      </c>
      <c r="E1845" s="1" t="s">
        <v>11</v>
      </c>
      <c r="F1845" s="1" t="s">
        <v>165</v>
      </c>
      <c r="H1845" s="1">
        <v>0.0</v>
      </c>
      <c r="I1845" s="1">
        <v>0.0</v>
      </c>
      <c r="J1845" s="1">
        <v>0.0</v>
      </c>
      <c r="K1845" s="1">
        <v>0.0</v>
      </c>
      <c r="L1845" s="1">
        <v>0.0</v>
      </c>
      <c r="N1845" s="1">
        <v>0.0</v>
      </c>
    </row>
    <row r="1846" ht="15.75" customHeight="1">
      <c r="A1846" s="1" t="s">
        <v>164</v>
      </c>
      <c r="B1846" s="1" t="s">
        <v>22</v>
      </c>
      <c r="C1846" s="5">
        <v>45532.0</v>
      </c>
      <c r="D1846" s="1" t="s">
        <v>161</v>
      </c>
      <c r="E1846" s="1" t="s">
        <v>11</v>
      </c>
      <c r="F1846" s="1" t="s">
        <v>166</v>
      </c>
      <c r="H1846" s="1">
        <v>0.0</v>
      </c>
      <c r="I1846" s="1">
        <v>0.0</v>
      </c>
      <c r="J1846" s="1">
        <v>0.0</v>
      </c>
      <c r="K1846" s="1">
        <v>1.0</v>
      </c>
      <c r="L1846" s="1">
        <v>7.0</v>
      </c>
      <c r="M1846" s="1">
        <v>0.142857143</v>
      </c>
      <c r="N1846" s="1">
        <v>16.5</v>
      </c>
    </row>
    <row r="1847" ht="15.75" customHeight="1">
      <c r="A1847" s="1" t="s">
        <v>164</v>
      </c>
      <c r="B1847" s="1" t="s">
        <v>35</v>
      </c>
      <c r="C1847" s="5">
        <v>45532.0</v>
      </c>
      <c r="D1847" s="1" t="s">
        <v>161</v>
      </c>
      <c r="E1847" s="1" t="s">
        <v>11</v>
      </c>
      <c r="F1847" s="1" t="s">
        <v>166</v>
      </c>
      <c r="H1847" s="1">
        <v>0.0</v>
      </c>
      <c r="I1847" s="1">
        <v>0.0</v>
      </c>
      <c r="J1847" s="1">
        <v>0.0</v>
      </c>
      <c r="K1847" s="1">
        <v>2.0</v>
      </c>
      <c r="L1847" s="1">
        <v>2.0</v>
      </c>
      <c r="M1847" s="1">
        <v>1.0</v>
      </c>
      <c r="N1847" s="1">
        <v>5.760000229</v>
      </c>
    </row>
    <row r="1848" ht="15.75" customHeight="1">
      <c r="A1848" s="1" t="s">
        <v>164</v>
      </c>
      <c r="B1848" s="1" t="s">
        <v>207</v>
      </c>
      <c r="C1848" s="5">
        <v>45532.0</v>
      </c>
      <c r="D1848" s="1" t="s">
        <v>161</v>
      </c>
      <c r="E1848" s="1" t="s">
        <v>11</v>
      </c>
      <c r="F1848" s="1" t="s">
        <v>166</v>
      </c>
      <c r="H1848" s="1">
        <v>0.0</v>
      </c>
      <c r="I1848" s="1">
        <v>0.0</v>
      </c>
      <c r="J1848" s="1">
        <v>0.0</v>
      </c>
      <c r="K1848" s="1">
        <v>8.0</v>
      </c>
      <c r="L1848" s="1">
        <v>13.0</v>
      </c>
      <c r="M1848" s="1">
        <v>0.615384615</v>
      </c>
      <c r="N1848" s="1">
        <v>21.46999931</v>
      </c>
    </row>
    <row r="1849" ht="15.75" customHeight="1">
      <c r="A1849" s="1" t="s">
        <v>164</v>
      </c>
      <c r="B1849" s="1" t="s">
        <v>199</v>
      </c>
      <c r="C1849" s="5">
        <v>45532.0</v>
      </c>
      <c r="D1849" s="1" t="s">
        <v>161</v>
      </c>
      <c r="E1849" s="1" t="s">
        <v>11</v>
      </c>
      <c r="F1849" s="1" t="s">
        <v>162</v>
      </c>
      <c r="H1849" s="1">
        <v>0.0</v>
      </c>
      <c r="I1849" s="1">
        <v>0.0</v>
      </c>
      <c r="J1849" s="1">
        <v>0.0</v>
      </c>
      <c r="K1849" s="1">
        <v>4.0</v>
      </c>
      <c r="L1849" s="1">
        <v>5.0</v>
      </c>
      <c r="M1849" s="1">
        <v>0.8</v>
      </c>
      <c r="N1849" s="1">
        <v>5.989999771</v>
      </c>
    </row>
    <row r="1850" ht="15.75" customHeight="1">
      <c r="A1850" s="1" t="s">
        <v>164</v>
      </c>
      <c r="B1850" s="1" t="s">
        <v>242</v>
      </c>
      <c r="C1850" s="5">
        <v>45532.0</v>
      </c>
      <c r="D1850" s="1" t="s">
        <v>161</v>
      </c>
      <c r="E1850" s="1" t="s">
        <v>11</v>
      </c>
      <c r="H1850" s="1">
        <v>0.0</v>
      </c>
      <c r="J1850" s="1">
        <v>0.0</v>
      </c>
      <c r="N1850" s="1">
        <v>0.050000001</v>
      </c>
    </row>
    <row r="1851" ht="15.75" customHeight="1">
      <c r="A1851" s="1" t="s">
        <v>164</v>
      </c>
      <c r="B1851" s="1" t="s">
        <v>243</v>
      </c>
      <c r="C1851" s="5">
        <v>45532.0</v>
      </c>
      <c r="D1851" s="1" t="s">
        <v>161</v>
      </c>
      <c r="E1851" s="1" t="s">
        <v>11</v>
      </c>
      <c r="H1851" s="1">
        <v>0.0</v>
      </c>
      <c r="J1851" s="1">
        <v>0.0</v>
      </c>
      <c r="N1851" s="1">
        <v>0.370000005</v>
      </c>
    </row>
    <row r="1852" ht="15.75" customHeight="1">
      <c r="A1852" s="1" t="s">
        <v>164</v>
      </c>
      <c r="B1852" s="1" t="s">
        <v>244</v>
      </c>
      <c r="C1852" s="5">
        <v>45532.0</v>
      </c>
      <c r="D1852" s="1" t="s">
        <v>161</v>
      </c>
      <c r="E1852" s="1" t="s">
        <v>11</v>
      </c>
      <c r="H1852" s="1">
        <v>0.0</v>
      </c>
      <c r="J1852" s="1">
        <v>0.0</v>
      </c>
      <c r="N1852" s="1">
        <v>0.079999998</v>
      </c>
    </row>
    <row r="1853" ht="15.75" customHeight="1">
      <c r="A1853" s="1" t="s">
        <v>164</v>
      </c>
      <c r="B1853" s="1" t="s">
        <v>196</v>
      </c>
      <c r="C1853" s="5">
        <v>45532.0</v>
      </c>
      <c r="D1853" s="1" t="s">
        <v>161</v>
      </c>
      <c r="E1853" s="1" t="s">
        <v>11</v>
      </c>
      <c r="F1853" s="1" t="s">
        <v>165</v>
      </c>
      <c r="H1853" s="1">
        <v>0.0</v>
      </c>
      <c r="I1853" s="1">
        <v>0.0</v>
      </c>
      <c r="J1853" s="1">
        <v>0.0</v>
      </c>
      <c r="K1853" s="1">
        <v>16.0</v>
      </c>
      <c r="L1853" s="1">
        <v>28.0</v>
      </c>
      <c r="M1853" s="1">
        <v>0.571428571</v>
      </c>
      <c r="N1853" s="1">
        <v>44.74000168</v>
      </c>
    </row>
    <row r="1854" ht="15.75" customHeight="1">
      <c r="A1854" s="1" t="s">
        <v>164</v>
      </c>
      <c r="B1854" s="1" t="s">
        <v>179</v>
      </c>
      <c r="C1854" s="5">
        <v>45532.0</v>
      </c>
      <c r="D1854" s="1" t="s">
        <v>161</v>
      </c>
      <c r="E1854" s="1" t="s">
        <v>11</v>
      </c>
      <c r="H1854" s="1">
        <v>0.0</v>
      </c>
      <c r="J1854" s="1">
        <v>0.0</v>
      </c>
      <c r="N1854" s="1">
        <v>0.029999999</v>
      </c>
    </row>
    <row r="1855" ht="15.75" customHeight="1">
      <c r="A1855" s="1" t="s">
        <v>164</v>
      </c>
      <c r="B1855" s="1" t="s">
        <v>60</v>
      </c>
      <c r="C1855" s="5">
        <v>45532.0</v>
      </c>
      <c r="D1855" s="1" t="s">
        <v>161</v>
      </c>
      <c r="E1855" s="1" t="s">
        <v>11</v>
      </c>
      <c r="F1855" s="1" t="s">
        <v>166</v>
      </c>
      <c r="H1855" s="1">
        <v>0.0</v>
      </c>
      <c r="I1855" s="1">
        <v>0.0</v>
      </c>
      <c r="J1855" s="1">
        <v>0.0</v>
      </c>
      <c r="K1855" s="1">
        <v>5.0</v>
      </c>
      <c r="L1855" s="1">
        <v>10.0</v>
      </c>
      <c r="M1855" s="1">
        <v>0.5</v>
      </c>
      <c r="N1855" s="1">
        <v>12.61999989</v>
      </c>
    </row>
    <row r="1856" ht="15.75" customHeight="1">
      <c r="A1856" s="1" t="s">
        <v>164</v>
      </c>
      <c r="B1856" s="1" t="s">
        <v>197</v>
      </c>
      <c r="C1856" s="5">
        <v>45532.0</v>
      </c>
      <c r="D1856" s="1" t="s">
        <v>161</v>
      </c>
      <c r="E1856" s="1" t="s">
        <v>11</v>
      </c>
      <c r="F1856" s="1" t="s">
        <v>166</v>
      </c>
      <c r="G1856" s="1" t="s">
        <v>172</v>
      </c>
      <c r="H1856" s="1">
        <v>1.0</v>
      </c>
      <c r="I1856" s="1">
        <v>2.0</v>
      </c>
      <c r="J1856" s="1">
        <v>0.0</v>
      </c>
      <c r="K1856" s="1">
        <v>27.0</v>
      </c>
      <c r="L1856" s="1">
        <v>29.0</v>
      </c>
      <c r="M1856" s="1">
        <v>0.931034483</v>
      </c>
      <c r="N1856" s="1">
        <v>18.20999908</v>
      </c>
    </row>
    <row r="1857" ht="15.75" customHeight="1">
      <c r="A1857" s="1" t="s">
        <v>164</v>
      </c>
      <c r="B1857" s="1" t="s">
        <v>75</v>
      </c>
      <c r="C1857" s="5">
        <v>45532.0</v>
      </c>
      <c r="D1857" s="1" t="s">
        <v>161</v>
      </c>
      <c r="E1857" s="1" t="s">
        <v>11</v>
      </c>
      <c r="F1857" s="1" t="s">
        <v>165</v>
      </c>
      <c r="H1857" s="1">
        <v>0.0</v>
      </c>
      <c r="I1857" s="1">
        <v>0.0</v>
      </c>
      <c r="J1857" s="1">
        <v>0.0</v>
      </c>
      <c r="K1857" s="1">
        <v>0.0</v>
      </c>
      <c r="L1857" s="1">
        <v>0.0</v>
      </c>
      <c r="N1857" s="1">
        <v>0.100000001</v>
      </c>
    </row>
    <row r="1858" ht="15.75" customHeight="1">
      <c r="A1858" s="1" t="s">
        <v>164</v>
      </c>
      <c r="B1858" s="1" t="s">
        <v>100</v>
      </c>
      <c r="C1858" s="5">
        <v>45532.0</v>
      </c>
      <c r="D1858" s="1" t="s">
        <v>161</v>
      </c>
      <c r="E1858" s="1" t="s">
        <v>11</v>
      </c>
      <c r="F1858" s="1" t="s">
        <v>166</v>
      </c>
      <c r="H1858" s="1">
        <v>0.0</v>
      </c>
      <c r="I1858" s="1">
        <v>1.0</v>
      </c>
      <c r="J1858" s="1">
        <v>0.0</v>
      </c>
      <c r="K1858" s="1">
        <v>5.0</v>
      </c>
      <c r="L1858" s="1">
        <v>5.0</v>
      </c>
      <c r="M1858" s="1">
        <v>1.0</v>
      </c>
      <c r="N1858" s="1">
        <v>1.330000043</v>
      </c>
    </row>
    <row r="1859" ht="15.75" customHeight="1">
      <c r="A1859" s="1" t="s">
        <v>164</v>
      </c>
      <c r="B1859" s="1" t="s">
        <v>219</v>
      </c>
      <c r="C1859" s="5">
        <v>45532.0</v>
      </c>
      <c r="D1859" s="1" t="s">
        <v>161</v>
      </c>
      <c r="E1859" s="1" t="s">
        <v>11</v>
      </c>
      <c r="F1859" s="1" t="s">
        <v>165</v>
      </c>
      <c r="H1859" s="1">
        <v>0.0</v>
      </c>
      <c r="I1859" s="1">
        <v>0.0</v>
      </c>
      <c r="J1859" s="1">
        <v>0.0</v>
      </c>
      <c r="K1859" s="1">
        <v>8.0</v>
      </c>
      <c r="L1859" s="1">
        <v>29.0</v>
      </c>
      <c r="M1859" s="1">
        <v>0.275862069</v>
      </c>
      <c r="N1859" s="1">
        <v>9.819999695</v>
      </c>
    </row>
    <row r="1860" ht="15.75" customHeight="1">
      <c r="A1860" s="1" t="s">
        <v>164</v>
      </c>
      <c r="B1860" s="1" t="s">
        <v>225</v>
      </c>
      <c r="C1860" s="5">
        <v>45532.0</v>
      </c>
      <c r="D1860" s="1" t="s">
        <v>161</v>
      </c>
      <c r="E1860" s="1" t="s">
        <v>11</v>
      </c>
      <c r="F1860" s="1" t="s">
        <v>166</v>
      </c>
      <c r="H1860" s="1">
        <v>0.0</v>
      </c>
      <c r="I1860" s="1">
        <v>0.0</v>
      </c>
      <c r="J1860" s="1">
        <v>0.0</v>
      </c>
      <c r="K1860" s="1">
        <v>15.0</v>
      </c>
      <c r="L1860" s="1">
        <v>26.0</v>
      </c>
      <c r="M1860" s="1">
        <v>0.576923077</v>
      </c>
      <c r="N1860" s="1">
        <v>20.01000023</v>
      </c>
    </row>
    <row r="1861" ht="15.75" customHeight="1">
      <c r="A1861" s="1" t="s">
        <v>180</v>
      </c>
      <c r="B1861" s="1" t="s">
        <v>185</v>
      </c>
      <c r="C1861" s="5">
        <v>45532.0</v>
      </c>
      <c r="D1861" s="1" t="s">
        <v>161</v>
      </c>
      <c r="E1861" s="1" t="s">
        <v>11</v>
      </c>
      <c r="F1861" s="1" t="s">
        <v>166</v>
      </c>
      <c r="G1861" s="1" t="s">
        <v>172</v>
      </c>
      <c r="H1861" s="1">
        <v>1.0</v>
      </c>
      <c r="I1861" s="1">
        <v>0.0</v>
      </c>
      <c r="J1861" s="1">
        <v>0.0</v>
      </c>
      <c r="K1861" s="1">
        <v>21.0</v>
      </c>
      <c r="L1861" s="1">
        <v>38.0</v>
      </c>
      <c r="M1861" s="1">
        <v>0.552631579</v>
      </c>
      <c r="N1861" s="1">
        <v>32.36000061</v>
      </c>
    </row>
    <row r="1862" ht="15.75" customHeight="1">
      <c r="A1862" s="1" t="s">
        <v>160</v>
      </c>
      <c r="B1862" s="1" t="s">
        <v>18</v>
      </c>
      <c r="C1862" s="5">
        <v>45531.0</v>
      </c>
      <c r="D1862" s="1" t="s">
        <v>161</v>
      </c>
      <c r="E1862" s="1" t="s">
        <v>11</v>
      </c>
      <c r="H1862" s="1">
        <v>0.0</v>
      </c>
      <c r="J1862" s="1">
        <v>0.0</v>
      </c>
      <c r="N1862" s="1">
        <v>0.119999997</v>
      </c>
    </row>
    <row r="1863" ht="15.75" customHeight="1">
      <c r="A1863" s="1" t="s">
        <v>160</v>
      </c>
      <c r="B1863" s="1" t="s">
        <v>39</v>
      </c>
      <c r="C1863" s="5">
        <v>45531.0</v>
      </c>
      <c r="D1863" s="1" t="s">
        <v>161</v>
      </c>
      <c r="E1863" s="1" t="s">
        <v>11</v>
      </c>
      <c r="F1863" s="1" t="s">
        <v>162</v>
      </c>
      <c r="H1863" s="1">
        <v>0.0</v>
      </c>
      <c r="I1863" s="1">
        <v>1.0</v>
      </c>
      <c r="J1863" s="1">
        <v>0.0</v>
      </c>
      <c r="K1863" s="1">
        <v>7.0</v>
      </c>
      <c r="L1863" s="1">
        <v>8.0</v>
      </c>
      <c r="M1863" s="1">
        <v>0.875</v>
      </c>
      <c r="N1863" s="1">
        <v>13.27999973</v>
      </c>
    </row>
    <row r="1864" ht="15.75" customHeight="1">
      <c r="A1864" s="1" t="s">
        <v>160</v>
      </c>
      <c r="B1864" s="1" t="s">
        <v>230</v>
      </c>
      <c r="C1864" s="5">
        <v>45531.0</v>
      </c>
      <c r="D1864" s="1" t="s">
        <v>161</v>
      </c>
      <c r="E1864" s="1" t="s">
        <v>11</v>
      </c>
      <c r="F1864" s="1" t="s">
        <v>165</v>
      </c>
      <c r="H1864" s="1">
        <v>0.0</v>
      </c>
      <c r="I1864" s="1">
        <v>1.0</v>
      </c>
      <c r="J1864" s="1">
        <v>0.0</v>
      </c>
      <c r="K1864" s="1">
        <v>14.0</v>
      </c>
      <c r="L1864" s="1">
        <v>16.0</v>
      </c>
      <c r="M1864" s="1">
        <v>0.875</v>
      </c>
      <c r="N1864" s="1">
        <v>10.77999973</v>
      </c>
    </row>
    <row r="1865" ht="15.75" customHeight="1">
      <c r="A1865" s="1" t="s">
        <v>160</v>
      </c>
      <c r="B1865" s="1" t="s">
        <v>230</v>
      </c>
      <c r="C1865" s="5">
        <v>45531.0</v>
      </c>
      <c r="D1865" s="1" t="s">
        <v>161</v>
      </c>
      <c r="E1865" s="1" t="s">
        <v>11</v>
      </c>
      <c r="F1865" s="1" t="s">
        <v>167</v>
      </c>
      <c r="H1865" s="1">
        <v>0.0</v>
      </c>
      <c r="I1865" s="1">
        <v>0.0</v>
      </c>
      <c r="J1865" s="1">
        <v>0.0</v>
      </c>
      <c r="K1865" s="1">
        <v>0.0</v>
      </c>
      <c r="L1865" s="1">
        <v>2.0</v>
      </c>
      <c r="M1865" s="1">
        <v>0.0</v>
      </c>
      <c r="N1865" s="1">
        <v>0.0</v>
      </c>
    </row>
    <row r="1866" ht="15.75" customHeight="1">
      <c r="A1866" s="1" t="s">
        <v>160</v>
      </c>
      <c r="B1866" s="1" t="s">
        <v>65</v>
      </c>
      <c r="C1866" s="5">
        <v>45531.0</v>
      </c>
      <c r="D1866" s="1" t="s">
        <v>161</v>
      </c>
      <c r="E1866" s="1" t="s">
        <v>11</v>
      </c>
      <c r="F1866" s="1" t="s">
        <v>162</v>
      </c>
      <c r="H1866" s="1">
        <v>0.0</v>
      </c>
      <c r="I1866" s="1">
        <v>0.0</v>
      </c>
      <c r="J1866" s="1">
        <v>0.0</v>
      </c>
      <c r="K1866" s="1">
        <v>6.0</v>
      </c>
      <c r="L1866" s="1">
        <v>10.0</v>
      </c>
      <c r="M1866" s="1">
        <v>0.6</v>
      </c>
      <c r="N1866" s="1">
        <v>10.85000038</v>
      </c>
    </row>
    <row r="1867" ht="15.75" customHeight="1">
      <c r="A1867" s="1" t="s">
        <v>160</v>
      </c>
      <c r="B1867" s="1" t="s">
        <v>95</v>
      </c>
      <c r="C1867" s="5">
        <v>45531.0</v>
      </c>
      <c r="D1867" s="1" t="s">
        <v>161</v>
      </c>
      <c r="E1867" s="1" t="s">
        <v>11</v>
      </c>
      <c r="H1867" s="1">
        <v>0.0</v>
      </c>
      <c r="J1867" s="1">
        <v>0.0</v>
      </c>
      <c r="N1867" s="1">
        <v>0.180000007</v>
      </c>
    </row>
    <row r="1868" ht="15.75" customHeight="1">
      <c r="A1868" s="1" t="s">
        <v>160</v>
      </c>
      <c r="B1868" s="1" t="s">
        <v>198</v>
      </c>
      <c r="C1868" s="5">
        <v>45531.0</v>
      </c>
      <c r="D1868" s="1" t="s">
        <v>161</v>
      </c>
      <c r="E1868" s="1" t="s">
        <v>11</v>
      </c>
      <c r="F1868" s="1" t="s">
        <v>162</v>
      </c>
      <c r="H1868" s="1">
        <v>0.0</v>
      </c>
      <c r="I1868" s="1">
        <v>0.0</v>
      </c>
      <c r="J1868" s="1">
        <v>0.0</v>
      </c>
      <c r="K1868" s="1">
        <v>7.0</v>
      </c>
      <c r="L1868" s="1">
        <v>14.0</v>
      </c>
      <c r="M1868" s="1">
        <v>0.5</v>
      </c>
      <c r="N1868" s="1">
        <v>10.85000038</v>
      </c>
    </row>
    <row r="1869" ht="15.75" customHeight="1">
      <c r="A1869" s="1" t="s">
        <v>160</v>
      </c>
      <c r="B1869" s="1" t="s">
        <v>77</v>
      </c>
      <c r="C1869" s="5">
        <v>45531.0</v>
      </c>
      <c r="D1869" s="1" t="s">
        <v>161</v>
      </c>
      <c r="E1869" s="1" t="s">
        <v>11</v>
      </c>
      <c r="F1869" s="1" t="s">
        <v>162</v>
      </c>
      <c r="H1869" s="1">
        <v>0.0</v>
      </c>
      <c r="I1869" s="1">
        <v>0.0</v>
      </c>
      <c r="J1869" s="1">
        <v>0.0</v>
      </c>
      <c r="K1869" s="1">
        <v>5.0</v>
      </c>
      <c r="L1869" s="1">
        <v>9.0</v>
      </c>
      <c r="M1869" s="1">
        <v>0.555555556</v>
      </c>
      <c r="N1869" s="1">
        <v>19.98999977</v>
      </c>
    </row>
    <row r="1870" ht="15.75" customHeight="1">
      <c r="A1870" s="1" t="s">
        <v>160</v>
      </c>
      <c r="B1870" s="1" t="s">
        <v>94</v>
      </c>
      <c r="C1870" s="5">
        <v>45531.0</v>
      </c>
      <c r="D1870" s="1" t="s">
        <v>161</v>
      </c>
      <c r="E1870" s="1" t="s">
        <v>190</v>
      </c>
      <c r="H1870" s="1">
        <v>0.0</v>
      </c>
      <c r="J1870" s="1">
        <v>0.0</v>
      </c>
      <c r="N1870" s="1">
        <v>0.670000017</v>
      </c>
    </row>
    <row r="1871" ht="15.75" customHeight="1">
      <c r="A1871" s="1" t="s">
        <v>164</v>
      </c>
      <c r="B1871" s="1" t="s">
        <v>22</v>
      </c>
      <c r="C1871" s="5">
        <v>45531.0</v>
      </c>
      <c r="D1871" s="1" t="s">
        <v>161</v>
      </c>
      <c r="E1871" s="1" t="s">
        <v>11</v>
      </c>
      <c r="H1871" s="1">
        <v>0.0</v>
      </c>
      <c r="J1871" s="1">
        <v>0.0</v>
      </c>
      <c r="N1871" s="1">
        <v>0.819999993</v>
      </c>
    </row>
    <row r="1872" ht="15.75" customHeight="1">
      <c r="A1872" s="1" t="s">
        <v>164</v>
      </c>
      <c r="B1872" s="1" t="s">
        <v>207</v>
      </c>
      <c r="C1872" s="5">
        <v>45531.0</v>
      </c>
      <c r="D1872" s="1" t="s">
        <v>161</v>
      </c>
      <c r="E1872" s="1" t="s">
        <v>11</v>
      </c>
      <c r="F1872" s="1" t="s">
        <v>165</v>
      </c>
      <c r="H1872" s="1">
        <v>0.0</v>
      </c>
      <c r="I1872" s="1">
        <v>0.0</v>
      </c>
      <c r="J1872" s="1">
        <v>0.0</v>
      </c>
      <c r="K1872" s="1">
        <v>0.0</v>
      </c>
      <c r="L1872" s="1">
        <v>0.0</v>
      </c>
      <c r="N1872" s="1">
        <v>4.179999828</v>
      </c>
    </row>
    <row r="1873" ht="15.75" customHeight="1">
      <c r="A1873" s="1" t="s">
        <v>164</v>
      </c>
      <c r="B1873" s="1" t="s">
        <v>52</v>
      </c>
      <c r="C1873" s="5">
        <v>45531.0</v>
      </c>
      <c r="D1873" s="1" t="s">
        <v>161</v>
      </c>
      <c r="E1873" s="1" t="s">
        <v>11</v>
      </c>
      <c r="F1873" s="1" t="s">
        <v>165</v>
      </c>
      <c r="G1873" s="1" t="s">
        <v>163</v>
      </c>
      <c r="H1873" s="1">
        <v>1.0</v>
      </c>
      <c r="I1873" s="1">
        <v>0.0</v>
      </c>
      <c r="J1873" s="1">
        <v>0.0</v>
      </c>
      <c r="K1873" s="1">
        <v>0.0</v>
      </c>
      <c r="L1873" s="1">
        <v>0.0</v>
      </c>
      <c r="N1873" s="1">
        <v>0.0</v>
      </c>
    </row>
    <row r="1874" ht="15.75" customHeight="1">
      <c r="A1874" s="1" t="s">
        <v>164</v>
      </c>
      <c r="B1874" s="1" t="s">
        <v>52</v>
      </c>
      <c r="C1874" s="5">
        <v>45531.0</v>
      </c>
      <c r="D1874" s="1" t="s">
        <v>161</v>
      </c>
      <c r="E1874" s="1" t="s">
        <v>11</v>
      </c>
      <c r="F1874" s="1" t="s">
        <v>162</v>
      </c>
      <c r="G1874" s="1" t="s">
        <v>163</v>
      </c>
      <c r="H1874" s="1">
        <v>1.0</v>
      </c>
      <c r="I1874" s="1">
        <v>0.0</v>
      </c>
      <c r="J1874" s="1">
        <v>0.0</v>
      </c>
      <c r="K1874" s="1">
        <v>1.0</v>
      </c>
      <c r="L1874" s="1">
        <v>12.0</v>
      </c>
      <c r="M1874" s="1">
        <v>0.083333333</v>
      </c>
      <c r="N1874" s="1">
        <v>13.63000011</v>
      </c>
    </row>
    <row r="1875" ht="15.75" customHeight="1">
      <c r="A1875" s="1" t="s">
        <v>164</v>
      </c>
      <c r="B1875" s="1" t="s">
        <v>55</v>
      </c>
      <c r="C1875" s="5">
        <v>45531.0</v>
      </c>
      <c r="D1875" s="1" t="s">
        <v>161</v>
      </c>
      <c r="E1875" s="1" t="s">
        <v>11</v>
      </c>
      <c r="F1875" s="1" t="s">
        <v>165</v>
      </c>
      <c r="H1875" s="1">
        <v>0.0</v>
      </c>
      <c r="I1875" s="1">
        <v>0.0</v>
      </c>
      <c r="J1875" s="1">
        <v>0.0</v>
      </c>
      <c r="K1875" s="1">
        <v>4.0</v>
      </c>
      <c r="L1875" s="1">
        <v>11.0</v>
      </c>
      <c r="M1875" s="1">
        <v>0.363636364</v>
      </c>
      <c r="N1875" s="1">
        <v>7.400000095</v>
      </c>
    </row>
    <row r="1876" ht="15.75" customHeight="1">
      <c r="A1876" s="1" t="s">
        <v>164</v>
      </c>
      <c r="B1876" s="1" t="s">
        <v>213</v>
      </c>
      <c r="C1876" s="5">
        <v>45531.0</v>
      </c>
      <c r="D1876" s="1" t="s">
        <v>161</v>
      </c>
      <c r="E1876" s="1" t="s">
        <v>11</v>
      </c>
      <c r="F1876" s="1" t="s">
        <v>162</v>
      </c>
      <c r="H1876" s="1">
        <v>0.0</v>
      </c>
      <c r="I1876" s="1">
        <v>0.0</v>
      </c>
      <c r="J1876" s="1">
        <v>0.0</v>
      </c>
      <c r="K1876" s="1">
        <v>4.0</v>
      </c>
      <c r="L1876" s="1">
        <v>10.0</v>
      </c>
      <c r="M1876" s="1">
        <v>0.4</v>
      </c>
      <c r="N1876" s="1">
        <v>14.32999992</v>
      </c>
    </row>
    <row r="1877" ht="15.75" customHeight="1">
      <c r="A1877" s="1" t="s">
        <v>164</v>
      </c>
      <c r="B1877" s="1" t="s">
        <v>76</v>
      </c>
      <c r="C1877" s="5">
        <v>45531.0</v>
      </c>
      <c r="D1877" s="1" t="s">
        <v>161</v>
      </c>
      <c r="E1877" s="1" t="s">
        <v>11</v>
      </c>
      <c r="F1877" s="1" t="s">
        <v>162</v>
      </c>
      <c r="H1877" s="1">
        <v>0.0</v>
      </c>
      <c r="I1877" s="1">
        <v>0.0</v>
      </c>
      <c r="J1877" s="1">
        <v>0.0</v>
      </c>
      <c r="K1877" s="1">
        <v>6.0</v>
      </c>
      <c r="L1877" s="1">
        <v>9.0</v>
      </c>
      <c r="M1877" s="1">
        <v>0.666666667</v>
      </c>
      <c r="N1877" s="1">
        <v>13.38000011</v>
      </c>
    </row>
    <row r="1878" ht="15.75" customHeight="1">
      <c r="A1878" s="1" t="s">
        <v>164</v>
      </c>
      <c r="B1878" s="1" t="s">
        <v>196</v>
      </c>
      <c r="C1878" s="5">
        <v>45531.0</v>
      </c>
      <c r="D1878" s="1" t="s">
        <v>161</v>
      </c>
      <c r="E1878" s="1" t="s">
        <v>11</v>
      </c>
      <c r="F1878" s="1" t="s">
        <v>165</v>
      </c>
      <c r="H1878" s="1">
        <v>0.0</v>
      </c>
      <c r="I1878" s="1">
        <v>0.0</v>
      </c>
      <c r="J1878" s="1">
        <v>0.0</v>
      </c>
      <c r="K1878" s="1">
        <v>16.0</v>
      </c>
      <c r="L1878" s="1">
        <v>43.0</v>
      </c>
      <c r="M1878" s="1">
        <v>0.372093023</v>
      </c>
      <c r="N1878" s="1">
        <v>71.62000275</v>
      </c>
    </row>
    <row r="1879" ht="15.75" customHeight="1">
      <c r="A1879" s="1" t="s">
        <v>164</v>
      </c>
      <c r="B1879" s="1" t="s">
        <v>179</v>
      </c>
      <c r="C1879" s="5">
        <v>45531.0</v>
      </c>
      <c r="D1879" s="1" t="s">
        <v>161</v>
      </c>
      <c r="E1879" s="1" t="s">
        <v>11</v>
      </c>
      <c r="H1879" s="1">
        <v>0.0</v>
      </c>
      <c r="J1879" s="1">
        <v>0.0</v>
      </c>
      <c r="N1879" s="1">
        <v>7.210000038</v>
      </c>
    </row>
    <row r="1880" ht="15.75" customHeight="1">
      <c r="A1880" s="1" t="s">
        <v>164</v>
      </c>
      <c r="B1880" s="1" t="s">
        <v>60</v>
      </c>
      <c r="C1880" s="5">
        <v>45531.0</v>
      </c>
      <c r="D1880" s="1" t="s">
        <v>161</v>
      </c>
      <c r="E1880" s="1" t="s">
        <v>11</v>
      </c>
      <c r="F1880" s="1" t="s">
        <v>166</v>
      </c>
      <c r="H1880" s="1">
        <v>0.0</v>
      </c>
      <c r="I1880" s="1">
        <v>0.0</v>
      </c>
      <c r="J1880" s="1">
        <v>0.0</v>
      </c>
      <c r="K1880" s="1">
        <v>3.0</v>
      </c>
      <c r="L1880" s="1">
        <v>5.0</v>
      </c>
      <c r="M1880" s="1">
        <v>0.6</v>
      </c>
      <c r="N1880" s="1">
        <v>12.56999969</v>
      </c>
    </row>
    <row r="1881" ht="15.75" customHeight="1">
      <c r="A1881" s="1" t="s">
        <v>164</v>
      </c>
      <c r="B1881" s="1" t="s">
        <v>63</v>
      </c>
      <c r="C1881" s="5">
        <v>45531.0</v>
      </c>
      <c r="D1881" s="1" t="s">
        <v>161</v>
      </c>
      <c r="E1881" s="1" t="s">
        <v>11</v>
      </c>
      <c r="F1881" s="1" t="s">
        <v>166</v>
      </c>
      <c r="H1881" s="1">
        <v>0.0</v>
      </c>
      <c r="I1881" s="1">
        <v>0.0</v>
      </c>
      <c r="J1881" s="1">
        <v>0.0</v>
      </c>
      <c r="K1881" s="1">
        <v>4.0</v>
      </c>
      <c r="L1881" s="1">
        <v>6.0</v>
      </c>
      <c r="M1881" s="1">
        <v>0.666666667</v>
      </c>
      <c r="N1881" s="1">
        <v>13.48999977</v>
      </c>
    </row>
    <row r="1882" ht="15.75" customHeight="1">
      <c r="A1882" s="1" t="s">
        <v>164</v>
      </c>
      <c r="B1882" s="1" t="s">
        <v>68</v>
      </c>
      <c r="C1882" s="5">
        <v>45531.0</v>
      </c>
      <c r="D1882" s="1" t="s">
        <v>161</v>
      </c>
      <c r="E1882" s="1" t="s">
        <v>11</v>
      </c>
      <c r="F1882" s="1" t="s">
        <v>166</v>
      </c>
      <c r="H1882" s="1">
        <v>0.0</v>
      </c>
      <c r="I1882" s="1">
        <v>0.0</v>
      </c>
      <c r="J1882" s="1">
        <v>0.0</v>
      </c>
      <c r="K1882" s="1">
        <v>0.0</v>
      </c>
      <c r="L1882" s="1">
        <v>1.0</v>
      </c>
      <c r="M1882" s="1">
        <v>0.0</v>
      </c>
      <c r="N1882" s="1">
        <v>11.35999966</v>
      </c>
    </row>
    <row r="1883" ht="15.75" customHeight="1">
      <c r="A1883" s="1" t="s">
        <v>164</v>
      </c>
      <c r="B1883" s="1" t="s">
        <v>197</v>
      </c>
      <c r="C1883" s="5">
        <v>45531.0</v>
      </c>
      <c r="D1883" s="1" t="s">
        <v>161</v>
      </c>
      <c r="E1883" s="1" t="s">
        <v>11</v>
      </c>
      <c r="F1883" s="1" t="s">
        <v>166</v>
      </c>
      <c r="H1883" s="1">
        <v>0.0</v>
      </c>
      <c r="I1883" s="1">
        <v>1.0</v>
      </c>
      <c r="J1883" s="1">
        <v>0.0</v>
      </c>
      <c r="K1883" s="1">
        <v>12.0</v>
      </c>
      <c r="L1883" s="1">
        <v>13.0</v>
      </c>
      <c r="M1883" s="1">
        <v>0.923076923</v>
      </c>
      <c r="N1883" s="1">
        <v>4.960000038</v>
      </c>
    </row>
    <row r="1884" ht="15.75" customHeight="1">
      <c r="A1884" s="1" t="s">
        <v>164</v>
      </c>
      <c r="B1884" s="1" t="s">
        <v>205</v>
      </c>
      <c r="C1884" s="5">
        <v>45531.0</v>
      </c>
      <c r="D1884" s="1" t="s">
        <v>161</v>
      </c>
      <c r="E1884" s="1" t="s">
        <v>11</v>
      </c>
      <c r="F1884" s="1" t="s">
        <v>166</v>
      </c>
      <c r="H1884" s="1">
        <v>0.0</v>
      </c>
      <c r="I1884" s="1">
        <v>0.0</v>
      </c>
      <c r="J1884" s="1">
        <v>0.0</v>
      </c>
      <c r="K1884" s="1">
        <v>1.0</v>
      </c>
      <c r="L1884" s="1">
        <v>5.0</v>
      </c>
      <c r="M1884" s="1">
        <v>0.2</v>
      </c>
      <c r="N1884" s="1">
        <v>6.739999771</v>
      </c>
    </row>
    <row r="1885" ht="15.75" customHeight="1">
      <c r="A1885" s="1" t="s">
        <v>164</v>
      </c>
      <c r="B1885" s="1" t="s">
        <v>75</v>
      </c>
      <c r="C1885" s="5">
        <v>45531.0</v>
      </c>
      <c r="D1885" s="1" t="s">
        <v>161</v>
      </c>
      <c r="E1885" s="1" t="s">
        <v>11</v>
      </c>
      <c r="F1885" s="1" t="s">
        <v>165</v>
      </c>
      <c r="G1885" s="1" t="s">
        <v>163</v>
      </c>
      <c r="H1885" s="1">
        <v>1.0</v>
      </c>
      <c r="I1885" s="1">
        <v>1.0</v>
      </c>
      <c r="J1885" s="1">
        <v>0.0</v>
      </c>
      <c r="K1885" s="1">
        <v>11.0</v>
      </c>
      <c r="L1885" s="1">
        <v>16.0</v>
      </c>
      <c r="M1885" s="1">
        <v>0.6875</v>
      </c>
      <c r="N1885" s="1">
        <v>14.02000046</v>
      </c>
    </row>
    <row r="1886" ht="15.75" customHeight="1">
      <c r="A1886" s="1" t="s">
        <v>164</v>
      </c>
      <c r="B1886" s="1" t="s">
        <v>100</v>
      </c>
      <c r="C1886" s="5">
        <v>45531.0</v>
      </c>
      <c r="D1886" s="1" t="s">
        <v>161</v>
      </c>
      <c r="E1886" s="1" t="s">
        <v>11</v>
      </c>
      <c r="F1886" s="1" t="s">
        <v>166</v>
      </c>
      <c r="H1886" s="1">
        <v>0.0</v>
      </c>
      <c r="I1886" s="1">
        <v>0.0</v>
      </c>
      <c r="J1886" s="1">
        <v>0.0</v>
      </c>
      <c r="K1886" s="1">
        <v>8.0</v>
      </c>
      <c r="L1886" s="1">
        <v>8.0</v>
      </c>
      <c r="M1886" s="1">
        <v>1.0</v>
      </c>
      <c r="N1886" s="1">
        <v>11.85000038</v>
      </c>
    </row>
    <row r="1887" ht="15.75" customHeight="1">
      <c r="A1887" s="1" t="s">
        <v>164</v>
      </c>
      <c r="B1887" s="1" t="s">
        <v>219</v>
      </c>
      <c r="C1887" s="5">
        <v>45531.0</v>
      </c>
      <c r="D1887" s="1" t="s">
        <v>161</v>
      </c>
      <c r="E1887" s="1" t="s">
        <v>11</v>
      </c>
      <c r="F1887" s="1" t="s">
        <v>162</v>
      </c>
      <c r="H1887" s="1">
        <v>0.0</v>
      </c>
      <c r="I1887" s="1">
        <v>0.0</v>
      </c>
      <c r="J1887" s="1">
        <v>0.0</v>
      </c>
      <c r="K1887" s="1">
        <v>0.0</v>
      </c>
      <c r="L1887" s="1">
        <v>4.0</v>
      </c>
      <c r="M1887" s="1">
        <v>0.0</v>
      </c>
      <c r="N1887" s="1">
        <v>2.49000001</v>
      </c>
    </row>
    <row r="1888" ht="15.75" customHeight="1">
      <c r="A1888" s="1" t="s">
        <v>164</v>
      </c>
      <c r="B1888" s="1" t="s">
        <v>225</v>
      </c>
      <c r="C1888" s="5">
        <v>45531.0</v>
      </c>
      <c r="D1888" s="1" t="s">
        <v>161</v>
      </c>
      <c r="E1888" s="1" t="s">
        <v>11</v>
      </c>
      <c r="F1888" s="1" t="s">
        <v>166</v>
      </c>
      <c r="H1888" s="1">
        <v>0.0</v>
      </c>
      <c r="I1888" s="1">
        <v>0.0</v>
      </c>
      <c r="J1888" s="1">
        <v>0.0</v>
      </c>
      <c r="K1888" s="1">
        <v>5.0</v>
      </c>
      <c r="L1888" s="1">
        <v>9.0</v>
      </c>
      <c r="M1888" s="1">
        <v>0.555555556</v>
      </c>
      <c r="N1888" s="1">
        <v>11.69999981</v>
      </c>
    </row>
    <row r="1889" ht="15.75" customHeight="1">
      <c r="A1889" s="1" t="s">
        <v>180</v>
      </c>
      <c r="B1889" s="1" t="s">
        <v>239</v>
      </c>
      <c r="C1889" s="5">
        <v>45531.0</v>
      </c>
      <c r="D1889" s="1" t="s">
        <v>161</v>
      </c>
      <c r="E1889" s="1" t="s">
        <v>11</v>
      </c>
      <c r="F1889" s="1" t="s">
        <v>166</v>
      </c>
      <c r="H1889" s="1">
        <v>0.0</v>
      </c>
      <c r="I1889" s="1">
        <v>0.0</v>
      </c>
      <c r="J1889" s="1">
        <v>0.0</v>
      </c>
      <c r="K1889" s="1">
        <v>3.0</v>
      </c>
      <c r="L1889" s="1">
        <v>4.0</v>
      </c>
      <c r="M1889" s="1">
        <v>0.75</v>
      </c>
      <c r="N1889" s="1">
        <v>4.989999771</v>
      </c>
    </row>
    <row r="1890" ht="15.75" customHeight="1">
      <c r="A1890" s="1" t="s">
        <v>180</v>
      </c>
      <c r="B1890" s="1" t="s">
        <v>185</v>
      </c>
      <c r="C1890" s="5">
        <v>45531.0</v>
      </c>
      <c r="D1890" s="1" t="s">
        <v>161</v>
      </c>
      <c r="E1890" s="1" t="s">
        <v>11</v>
      </c>
      <c r="F1890" s="1" t="s">
        <v>166</v>
      </c>
      <c r="H1890" s="1">
        <v>0.0</v>
      </c>
      <c r="I1890" s="1">
        <v>1.0</v>
      </c>
      <c r="J1890" s="1">
        <v>0.0</v>
      </c>
      <c r="K1890" s="1">
        <v>12.0</v>
      </c>
      <c r="L1890" s="1">
        <v>13.0</v>
      </c>
      <c r="M1890" s="1">
        <v>0.923076923</v>
      </c>
      <c r="N1890" s="1">
        <v>5.3800001139999996</v>
      </c>
    </row>
    <row r="1891" ht="15.75" customHeight="1">
      <c r="A1891" s="1" t="s">
        <v>180</v>
      </c>
      <c r="B1891" s="1" t="s">
        <v>226</v>
      </c>
      <c r="C1891" s="5">
        <v>45531.0</v>
      </c>
      <c r="D1891" s="1" t="s">
        <v>161</v>
      </c>
      <c r="E1891" s="1" t="s">
        <v>11</v>
      </c>
      <c r="F1891" s="1" t="s">
        <v>166</v>
      </c>
      <c r="H1891" s="1">
        <v>0.0</v>
      </c>
      <c r="I1891" s="1">
        <v>0.0</v>
      </c>
      <c r="J1891" s="1">
        <v>0.0</v>
      </c>
      <c r="K1891" s="1">
        <v>5.0</v>
      </c>
      <c r="L1891" s="1">
        <v>17.0</v>
      </c>
      <c r="M1891" s="1">
        <v>0.294117647</v>
      </c>
      <c r="N1891" s="1">
        <v>28.73999977</v>
      </c>
    </row>
    <row r="1892" ht="15.75" customHeight="1">
      <c r="A1892" s="1" t="s">
        <v>160</v>
      </c>
      <c r="B1892" s="1" t="s">
        <v>212</v>
      </c>
      <c r="C1892" s="5">
        <v>45530.0</v>
      </c>
      <c r="D1892" s="1" t="s">
        <v>161</v>
      </c>
      <c r="E1892" s="1" t="s">
        <v>11</v>
      </c>
      <c r="F1892" s="1" t="s">
        <v>165</v>
      </c>
      <c r="H1892" s="1">
        <v>0.0</v>
      </c>
      <c r="I1892" s="1">
        <v>1.0</v>
      </c>
      <c r="J1892" s="1">
        <v>0.0</v>
      </c>
      <c r="K1892" s="1">
        <v>17.0</v>
      </c>
      <c r="L1892" s="1">
        <v>21.0</v>
      </c>
      <c r="M1892" s="1">
        <v>0.80952381</v>
      </c>
      <c r="N1892" s="1">
        <v>27.69000053</v>
      </c>
    </row>
    <row r="1893" ht="15.75" customHeight="1">
      <c r="A1893" s="1" t="s">
        <v>160</v>
      </c>
      <c r="B1893" s="1" t="s">
        <v>20</v>
      </c>
      <c r="C1893" s="5">
        <v>45530.0</v>
      </c>
      <c r="D1893" s="1" t="s">
        <v>161</v>
      </c>
      <c r="E1893" s="1" t="s">
        <v>11</v>
      </c>
      <c r="F1893" s="1" t="s">
        <v>162</v>
      </c>
      <c r="H1893" s="1">
        <v>0.0</v>
      </c>
      <c r="I1893" s="1">
        <v>0.0</v>
      </c>
      <c r="J1893" s="1">
        <v>0.0</v>
      </c>
      <c r="K1893" s="1">
        <v>0.0</v>
      </c>
      <c r="L1893" s="1">
        <v>3.0</v>
      </c>
      <c r="M1893" s="1">
        <v>0.0</v>
      </c>
      <c r="N1893" s="1">
        <v>0.0</v>
      </c>
    </row>
    <row r="1894" ht="15.75" customHeight="1">
      <c r="A1894" s="1" t="s">
        <v>160</v>
      </c>
      <c r="B1894" s="1" t="s">
        <v>39</v>
      </c>
      <c r="C1894" s="5">
        <v>45530.0</v>
      </c>
      <c r="D1894" s="1" t="s">
        <v>161</v>
      </c>
      <c r="E1894" s="1" t="s">
        <v>11</v>
      </c>
      <c r="H1894" s="1">
        <v>0.0</v>
      </c>
      <c r="J1894" s="1">
        <v>0.0</v>
      </c>
      <c r="N1894" s="1">
        <v>1.320000052</v>
      </c>
    </row>
    <row r="1895" ht="15.75" customHeight="1">
      <c r="A1895" s="1" t="s">
        <v>160</v>
      </c>
      <c r="B1895" s="1" t="s">
        <v>95</v>
      </c>
      <c r="C1895" s="5">
        <v>45530.0</v>
      </c>
      <c r="D1895" s="1" t="s">
        <v>161</v>
      </c>
      <c r="E1895" s="1" t="s">
        <v>11</v>
      </c>
      <c r="H1895" s="1">
        <v>0.0</v>
      </c>
      <c r="J1895" s="1">
        <v>0.0</v>
      </c>
      <c r="N1895" s="1">
        <v>4.230000019</v>
      </c>
    </row>
    <row r="1896" ht="15.75" customHeight="1">
      <c r="A1896" s="1" t="s">
        <v>160</v>
      </c>
      <c r="B1896" s="1" t="s">
        <v>198</v>
      </c>
      <c r="C1896" s="5">
        <v>45530.0</v>
      </c>
      <c r="D1896" s="1" t="s">
        <v>161</v>
      </c>
      <c r="E1896" s="1" t="s">
        <v>11</v>
      </c>
      <c r="F1896" s="1" t="s">
        <v>162</v>
      </c>
      <c r="H1896" s="1">
        <v>0.0</v>
      </c>
      <c r="I1896" s="1">
        <v>0.0</v>
      </c>
      <c r="J1896" s="1">
        <v>0.0</v>
      </c>
      <c r="K1896" s="1">
        <v>4.0</v>
      </c>
      <c r="L1896" s="1">
        <v>8.0</v>
      </c>
      <c r="M1896" s="1">
        <v>0.5</v>
      </c>
      <c r="N1896" s="1">
        <v>13.02999973</v>
      </c>
    </row>
    <row r="1897" ht="15.75" customHeight="1">
      <c r="A1897" s="1" t="s">
        <v>160</v>
      </c>
      <c r="B1897" s="1" t="s">
        <v>94</v>
      </c>
      <c r="C1897" s="5">
        <v>45530.0</v>
      </c>
      <c r="D1897" s="1" t="s">
        <v>161</v>
      </c>
      <c r="E1897" s="1" t="s">
        <v>190</v>
      </c>
      <c r="H1897" s="1">
        <v>0.0</v>
      </c>
      <c r="J1897" s="1">
        <v>0.0</v>
      </c>
      <c r="N1897" s="1">
        <v>5.420000076</v>
      </c>
    </row>
    <row r="1898" ht="15.75" customHeight="1">
      <c r="A1898" s="1" t="s">
        <v>164</v>
      </c>
      <c r="B1898" s="1" t="s">
        <v>22</v>
      </c>
      <c r="C1898" s="5">
        <v>45530.0</v>
      </c>
      <c r="D1898" s="1" t="s">
        <v>161</v>
      </c>
      <c r="E1898" s="1" t="s">
        <v>11</v>
      </c>
      <c r="H1898" s="1">
        <v>0.0</v>
      </c>
      <c r="J1898" s="1">
        <v>0.0</v>
      </c>
      <c r="N1898" s="1">
        <v>16.13999939</v>
      </c>
    </row>
    <row r="1899" ht="15.75" customHeight="1">
      <c r="A1899" s="1" t="s">
        <v>164</v>
      </c>
      <c r="B1899" s="1" t="s">
        <v>24</v>
      </c>
      <c r="C1899" s="5">
        <v>45530.0</v>
      </c>
      <c r="D1899" s="1" t="s">
        <v>161</v>
      </c>
      <c r="E1899" s="1" t="s">
        <v>11</v>
      </c>
      <c r="F1899" s="1" t="s">
        <v>166</v>
      </c>
      <c r="H1899" s="1">
        <v>0.0</v>
      </c>
      <c r="I1899" s="1">
        <v>0.0</v>
      </c>
      <c r="J1899" s="1">
        <v>0.0</v>
      </c>
      <c r="K1899" s="1">
        <v>4.0</v>
      </c>
      <c r="L1899" s="1">
        <v>5.0</v>
      </c>
      <c r="M1899" s="1">
        <v>0.8</v>
      </c>
      <c r="N1899" s="1">
        <v>6.829999924</v>
      </c>
    </row>
    <row r="1900" ht="15.75" customHeight="1">
      <c r="A1900" s="1" t="s">
        <v>164</v>
      </c>
      <c r="B1900" s="1" t="s">
        <v>52</v>
      </c>
      <c r="C1900" s="5">
        <v>45530.0</v>
      </c>
      <c r="D1900" s="1" t="s">
        <v>161</v>
      </c>
      <c r="E1900" s="1" t="s">
        <v>11</v>
      </c>
      <c r="H1900" s="1">
        <v>0.0</v>
      </c>
      <c r="J1900" s="1">
        <v>0.0</v>
      </c>
      <c r="N1900" s="1">
        <v>0.07</v>
      </c>
    </row>
    <row r="1901" ht="15.75" customHeight="1">
      <c r="A1901" s="1" t="s">
        <v>164</v>
      </c>
      <c r="B1901" s="1" t="s">
        <v>70</v>
      </c>
      <c r="C1901" s="5">
        <v>45530.0</v>
      </c>
      <c r="D1901" s="1" t="s">
        <v>161</v>
      </c>
      <c r="E1901" s="1" t="s">
        <v>11</v>
      </c>
      <c r="F1901" s="1" t="s">
        <v>166</v>
      </c>
      <c r="H1901" s="1">
        <v>0.0</v>
      </c>
      <c r="I1901" s="1">
        <v>0.0</v>
      </c>
      <c r="J1901" s="1">
        <v>0.0</v>
      </c>
      <c r="K1901" s="1">
        <v>5.0</v>
      </c>
      <c r="L1901" s="1">
        <v>35.0</v>
      </c>
      <c r="M1901" s="1">
        <v>0.142857143</v>
      </c>
      <c r="N1901" s="1">
        <v>8.329999924</v>
      </c>
    </row>
    <row r="1902" ht="15.75" customHeight="1">
      <c r="A1902" s="1" t="s">
        <v>164</v>
      </c>
      <c r="B1902" s="1" t="s">
        <v>242</v>
      </c>
      <c r="C1902" s="5">
        <v>45530.0</v>
      </c>
      <c r="D1902" s="1" t="s">
        <v>161</v>
      </c>
      <c r="E1902" s="1" t="s">
        <v>11</v>
      </c>
      <c r="H1902" s="1">
        <v>0.0</v>
      </c>
      <c r="J1902" s="1">
        <v>0.0</v>
      </c>
      <c r="N1902" s="1">
        <v>0.920000017</v>
      </c>
    </row>
    <row r="1903" ht="15.75" customHeight="1">
      <c r="A1903" s="1" t="s">
        <v>164</v>
      </c>
      <c r="B1903" s="1" t="s">
        <v>76</v>
      </c>
      <c r="C1903" s="5">
        <v>45530.0</v>
      </c>
      <c r="D1903" s="1" t="s">
        <v>161</v>
      </c>
      <c r="E1903" s="1" t="s">
        <v>11</v>
      </c>
      <c r="F1903" s="1" t="s">
        <v>162</v>
      </c>
      <c r="H1903" s="1">
        <v>0.0</v>
      </c>
      <c r="I1903" s="1">
        <v>0.0</v>
      </c>
      <c r="J1903" s="1">
        <v>0.0</v>
      </c>
      <c r="K1903" s="1">
        <v>7.0</v>
      </c>
      <c r="L1903" s="1">
        <v>16.0</v>
      </c>
      <c r="M1903" s="1">
        <v>0.4375</v>
      </c>
      <c r="N1903" s="1">
        <v>30.97999954</v>
      </c>
    </row>
    <row r="1904" ht="15.75" customHeight="1">
      <c r="A1904" s="1" t="s">
        <v>164</v>
      </c>
      <c r="B1904" s="1" t="s">
        <v>196</v>
      </c>
      <c r="C1904" s="5">
        <v>45530.0</v>
      </c>
      <c r="D1904" s="1" t="s">
        <v>161</v>
      </c>
      <c r="E1904" s="1" t="s">
        <v>11</v>
      </c>
      <c r="F1904" s="1" t="s">
        <v>165</v>
      </c>
      <c r="H1904" s="1">
        <v>0.0</v>
      </c>
      <c r="I1904" s="1">
        <v>0.0</v>
      </c>
      <c r="J1904" s="1">
        <v>0.0</v>
      </c>
      <c r="K1904" s="1">
        <v>1.0</v>
      </c>
      <c r="L1904" s="1">
        <v>4.0</v>
      </c>
      <c r="M1904" s="1">
        <v>0.25</v>
      </c>
      <c r="N1904" s="1">
        <v>4.449999809</v>
      </c>
    </row>
    <row r="1905" ht="15.75" customHeight="1">
      <c r="A1905" s="1" t="s">
        <v>164</v>
      </c>
      <c r="B1905" s="1" t="s">
        <v>60</v>
      </c>
      <c r="C1905" s="5">
        <v>45530.0</v>
      </c>
      <c r="D1905" s="1" t="s">
        <v>161</v>
      </c>
      <c r="E1905" s="1" t="s">
        <v>11</v>
      </c>
      <c r="F1905" s="1" t="s">
        <v>166</v>
      </c>
      <c r="H1905" s="1">
        <v>0.0</v>
      </c>
      <c r="I1905" s="1">
        <v>0.0</v>
      </c>
      <c r="J1905" s="1">
        <v>0.0</v>
      </c>
      <c r="K1905" s="1">
        <v>2.0</v>
      </c>
      <c r="L1905" s="1">
        <v>5.0</v>
      </c>
      <c r="M1905" s="1">
        <v>0.4</v>
      </c>
      <c r="N1905" s="1">
        <v>6.639999866</v>
      </c>
    </row>
    <row r="1906" ht="15.75" customHeight="1">
      <c r="A1906" s="1" t="s">
        <v>164</v>
      </c>
      <c r="B1906" s="1" t="s">
        <v>63</v>
      </c>
      <c r="C1906" s="5">
        <v>45530.0</v>
      </c>
      <c r="D1906" s="1" t="s">
        <v>161</v>
      </c>
      <c r="E1906" s="1" t="s">
        <v>11</v>
      </c>
      <c r="F1906" s="1" t="s">
        <v>166</v>
      </c>
      <c r="H1906" s="1">
        <v>0.0</v>
      </c>
      <c r="I1906" s="1">
        <v>0.0</v>
      </c>
      <c r="J1906" s="1">
        <v>0.0</v>
      </c>
      <c r="K1906" s="1">
        <v>6.0</v>
      </c>
      <c r="L1906" s="1">
        <v>15.0</v>
      </c>
      <c r="M1906" s="1">
        <v>0.4</v>
      </c>
      <c r="N1906" s="1">
        <v>10.25</v>
      </c>
    </row>
    <row r="1907" ht="15.75" customHeight="1">
      <c r="A1907" s="1" t="s">
        <v>164</v>
      </c>
      <c r="B1907" s="1" t="s">
        <v>68</v>
      </c>
      <c r="C1907" s="5">
        <v>45530.0</v>
      </c>
      <c r="D1907" s="1" t="s">
        <v>161</v>
      </c>
      <c r="E1907" s="1" t="s">
        <v>11</v>
      </c>
      <c r="F1907" s="1" t="s">
        <v>166</v>
      </c>
      <c r="H1907" s="1">
        <v>0.0</v>
      </c>
      <c r="I1907" s="1">
        <v>0.0</v>
      </c>
      <c r="J1907" s="1">
        <v>0.0</v>
      </c>
      <c r="K1907" s="1">
        <v>1.0</v>
      </c>
      <c r="L1907" s="1">
        <v>3.0</v>
      </c>
      <c r="M1907" s="1">
        <v>0.333333333</v>
      </c>
      <c r="N1907" s="1">
        <v>3.5599999430000002</v>
      </c>
    </row>
    <row r="1908" ht="15.75" customHeight="1">
      <c r="A1908" s="1" t="s">
        <v>164</v>
      </c>
      <c r="B1908" s="1" t="s">
        <v>197</v>
      </c>
      <c r="C1908" s="5">
        <v>45530.0</v>
      </c>
      <c r="D1908" s="1" t="s">
        <v>161</v>
      </c>
      <c r="E1908" s="1" t="s">
        <v>11</v>
      </c>
      <c r="F1908" s="1" t="s">
        <v>166</v>
      </c>
      <c r="H1908" s="1">
        <v>0.0</v>
      </c>
      <c r="I1908" s="1">
        <v>1.0</v>
      </c>
      <c r="J1908" s="1">
        <v>0.0</v>
      </c>
      <c r="K1908" s="1">
        <v>13.0</v>
      </c>
      <c r="L1908" s="1">
        <v>17.0</v>
      </c>
      <c r="M1908" s="1">
        <v>0.764705882</v>
      </c>
      <c r="N1908" s="1">
        <v>11.09000015</v>
      </c>
    </row>
    <row r="1909" ht="15.75" customHeight="1">
      <c r="A1909" s="1" t="s">
        <v>164</v>
      </c>
      <c r="B1909" s="1" t="s">
        <v>205</v>
      </c>
      <c r="C1909" s="5">
        <v>45530.0</v>
      </c>
      <c r="D1909" s="1" t="s">
        <v>161</v>
      </c>
      <c r="E1909" s="1" t="s">
        <v>11</v>
      </c>
      <c r="F1909" s="1" t="s">
        <v>165</v>
      </c>
      <c r="G1909" s="1" t="s">
        <v>163</v>
      </c>
      <c r="H1909" s="1">
        <v>1.0</v>
      </c>
      <c r="I1909" s="1">
        <v>1.0</v>
      </c>
      <c r="J1909" s="1">
        <v>0.0</v>
      </c>
      <c r="K1909" s="1">
        <v>13.0</v>
      </c>
      <c r="L1909" s="1">
        <v>17.0</v>
      </c>
      <c r="M1909" s="1">
        <v>0.764705882</v>
      </c>
      <c r="N1909" s="1">
        <v>15.56999969</v>
      </c>
    </row>
    <row r="1910" ht="15.75" customHeight="1">
      <c r="A1910" s="1" t="s">
        <v>164</v>
      </c>
      <c r="B1910" s="1" t="s">
        <v>75</v>
      </c>
      <c r="C1910" s="5">
        <v>45530.0</v>
      </c>
      <c r="D1910" s="1" t="s">
        <v>161</v>
      </c>
      <c r="E1910" s="1" t="s">
        <v>11</v>
      </c>
      <c r="F1910" s="1" t="s">
        <v>165</v>
      </c>
      <c r="H1910" s="1">
        <v>0.0</v>
      </c>
      <c r="I1910" s="1">
        <v>0.0</v>
      </c>
      <c r="J1910" s="1">
        <v>0.0</v>
      </c>
      <c r="K1910" s="1">
        <v>1.0</v>
      </c>
      <c r="L1910" s="1">
        <v>3.0</v>
      </c>
      <c r="M1910" s="1">
        <v>0.333333333</v>
      </c>
      <c r="N1910" s="1">
        <v>6.059999943</v>
      </c>
    </row>
    <row r="1911" ht="15.75" customHeight="1">
      <c r="A1911" s="1" t="s">
        <v>164</v>
      </c>
      <c r="B1911" s="1" t="s">
        <v>100</v>
      </c>
      <c r="C1911" s="5">
        <v>45530.0</v>
      </c>
      <c r="D1911" s="1" t="s">
        <v>161</v>
      </c>
      <c r="E1911" s="1" t="s">
        <v>11</v>
      </c>
      <c r="F1911" s="1" t="s">
        <v>165</v>
      </c>
      <c r="H1911" s="1">
        <v>0.0</v>
      </c>
      <c r="I1911" s="1">
        <v>1.0</v>
      </c>
      <c r="J1911" s="1">
        <v>0.0</v>
      </c>
      <c r="K1911" s="1">
        <v>27.0</v>
      </c>
      <c r="L1911" s="1">
        <v>42.0</v>
      </c>
      <c r="M1911" s="1">
        <v>0.642857143</v>
      </c>
      <c r="N1911" s="1">
        <v>29.43000031</v>
      </c>
    </row>
    <row r="1912" ht="15.75" customHeight="1">
      <c r="A1912" s="1" t="s">
        <v>164</v>
      </c>
      <c r="B1912" s="1" t="s">
        <v>100</v>
      </c>
      <c r="C1912" s="5">
        <v>45530.0</v>
      </c>
      <c r="D1912" s="1" t="s">
        <v>161</v>
      </c>
      <c r="E1912" s="1" t="s">
        <v>11</v>
      </c>
      <c r="F1912" s="1" t="s">
        <v>166</v>
      </c>
      <c r="H1912" s="1">
        <v>0.0</v>
      </c>
      <c r="I1912" s="1">
        <v>1.0</v>
      </c>
      <c r="J1912" s="1">
        <v>0.0</v>
      </c>
      <c r="K1912" s="1">
        <v>25.0</v>
      </c>
      <c r="L1912" s="1">
        <v>33.0</v>
      </c>
      <c r="M1912" s="1">
        <v>0.757575758</v>
      </c>
      <c r="N1912" s="1">
        <v>0.0</v>
      </c>
    </row>
    <row r="1913" ht="15.75" customHeight="1">
      <c r="A1913" s="1" t="s">
        <v>164</v>
      </c>
      <c r="B1913" s="1" t="s">
        <v>219</v>
      </c>
      <c r="C1913" s="5">
        <v>45530.0</v>
      </c>
      <c r="D1913" s="1" t="s">
        <v>161</v>
      </c>
      <c r="E1913" s="1" t="s">
        <v>11</v>
      </c>
      <c r="F1913" s="1" t="s">
        <v>165</v>
      </c>
      <c r="H1913" s="1">
        <v>0.0</v>
      </c>
      <c r="I1913" s="1">
        <v>0.0</v>
      </c>
      <c r="J1913" s="1">
        <v>0.0</v>
      </c>
      <c r="K1913" s="1">
        <v>1.0</v>
      </c>
      <c r="L1913" s="1">
        <v>6.0</v>
      </c>
      <c r="M1913" s="1">
        <v>0.166666667</v>
      </c>
      <c r="N1913" s="1">
        <v>3.960000038</v>
      </c>
    </row>
    <row r="1914" ht="15.75" customHeight="1">
      <c r="A1914" s="1" t="s">
        <v>164</v>
      </c>
      <c r="B1914" s="1" t="s">
        <v>225</v>
      </c>
      <c r="C1914" s="5">
        <v>45530.0</v>
      </c>
      <c r="D1914" s="1" t="s">
        <v>161</v>
      </c>
      <c r="E1914" s="1" t="s">
        <v>11</v>
      </c>
      <c r="F1914" s="1" t="s">
        <v>166</v>
      </c>
      <c r="H1914" s="1">
        <v>0.0</v>
      </c>
      <c r="I1914" s="1">
        <v>1.0</v>
      </c>
      <c r="J1914" s="1">
        <v>0.0</v>
      </c>
      <c r="K1914" s="1">
        <v>5.0</v>
      </c>
      <c r="L1914" s="1">
        <v>5.0</v>
      </c>
      <c r="M1914" s="1">
        <v>1.0</v>
      </c>
      <c r="N1914" s="1">
        <v>5.610000134</v>
      </c>
    </row>
    <row r="1915" ht="15.75" customHeight="1">
      <c r="A1915" s="1" t="s">
        <v>180</v>
      </c>
      <c r="B1915" s="1" t="s">
        <v>45</v>
      </c>
      <c r="C1915" s="5">
        <v>45530.0</v>
      </c>
      <c r="D1915" s="1" t="s">
        <v>161</v>
      </c>
      <c r="E1915" s="1" t="s">
        <v>11</v>
      </c>
      <c r="F1915" s="1" t="s">
        <v>166</v>
      </c>
      <c r="H1915" s="1">
        <v>0.0</v>
      </c>
      <c r="I1915" s="1">
        <v>1.0</v>
      </c>
      <c r="J1915" s="1">
        <v>0.0</v>
      </c>
      <c r="K1915" s="1">
        <v>12.0</v>
      </c>
      <c r="L1915" s="1">
        <v>17.0</v>
      </c>
      <c r="M1915" s="1">
        <v>0.705882353</v>
      </c>
      <c r="N1915" s="1">
        <v>0.879999995</v>
      </c>
    </row>
    <row r="1916" ht="15.75" customHeight="1">
      <c r="A1916" s="1" t="s">
        <v>180</v>
      </c>
      <c r="B1916" s="1" t="s">
        <v>237</v>
      </c>
      <c r="C1916" s="5">
        <v>45530.0</v>
      </c>
      <c r="D1916" s="1" t="s">
        <v>161</v>
      </c>
      <c r="E1916" s="1" t="s">
        <v>11</v>
      </c>
      <c r="F1916" s="1" t="s">
        <v>166</v>
      </c>
      <c r="H1916" s="1">
        <v>0.0</v>
      </c>
      <c r="I1916" s="1">
        <v>0.0</v>
      </c>
      <c r="J1916" s="1">
        <v>0.0</v>
      </c>
      <c r="K1916" s="1">
        <v>0.0</v>
      </c>
      <c r="L1916" s="1">
        <v>0.0</v>
      </c>
      <c r="N1916" s="1">
        <v>1.139999986</v>
      </c>
    </row>
    <row r="1917" ht="15.75" customHeight="1">
      <c r="A1917" s="1" t="s">
        <v>180</v>
      </c>
      <c r="B1917" s="1" t="s">
        <v>185</v>
      </c>
      <c r="C1917" s="5">
        <v>45530.0</v>
      </c>
      <c r="D1917" s="1" t="s">
        <v>161</v>
      </c>
      <c r="E1917" s="1" t="s">
        <v>11</v>
      </c>
      <c r="F1917" s="1" t="s">
        <v>166</v>
      </c>
      <c r="H1917" s="1">
        <v>0.0</v>
      </c>
      <c r="I1917" s="1">
        <v>1.0</v>
      </c>
      <c r="J1917" s="1">
        <v>0.0</v>
      </c>
      <c r="K1917" s="1">
        <v>31.0</v>
      </c>
      <c r="L1917" s="1">
        <v>45.0</v>
      </c>
      <c r="M1917" s="1">
        <v>0.688888889</v>
      </c>
      <c r="N1917" s="1">
        <v>48.59999847</v>
      </c>
    </row>
    <row r="1918" ht="15.75" customHeight="1">
      <c r="A1918" s="1" t="s">
        <v>180</v>
      </c>
      <c r="B1918" s="1" t="s">
        <v>226</v>
      </c>
      <c r="C1918" s="5">
        <v>45530.0</v>
      </c>
      <c r="D1918" s="1" t="s">
        <v>161</v>
      </c>
      <c r="E1918" s="1" t="s">
        <v>11</v>
      </c>
      <c r="F1918" s="1" t="s">
        <v>166</v>
      </c>
      <c r="H1918" s="1">
        <v>0.0</v>
      </c>
      <c r="I1918" s="1">
        <v>0.0</v>
      </c>
      <c r="J1918" s="1">
        <v>0.0</v>
      </c>
      <c r="K1918" s="1">
        <v>5.0</v>
      </c>
      <c r="L1918" s="1">
        <v>14.0</v>
      </c>
      <c r="M1918" s="1">
        <v>0.357142857</v>
      </c>
      <c r="N1918" s="1">
        <v>34.90000153</v>
      </c>
    </row>
    <row r="1919" ht="15.75" customHeight="1">
      <c r="A1919" s="1" t="s">
        <v>160</v>
      </c>
      <c r="B1919" s="1" t="s">
        <v>94</v>
      </c>
      <c r="C1919" s="5">
        <v>45528.0</v>
      </c>
      <c r="D1919" s="1" t="s">
        <v>161</v>
      </c>
      <c r="E1919" s="1" t="s">
        <v>190</v>
      </c>
      <c r="H1919" s="1">
        <v>0.0</v>
      </c>
      <c r="J1919" s="1">
        <v>0.0</v>
      </c>
      <c r="N1919" s="1">
        <v>2.279999971</v>
      </c>
    </row>
    <row r="1920" ht="15.75" customHeight="1">
      <c r="A1920" s="1" t="s">
        <v>160</v>
      </c>
      <c r="B1920" s="1" t="s">
        <v>212</v>
      </c>
      <c r="C1920" s="5">
        <v>45527.0</v>
      </c>
      <c r="D1920" s="1" t="s">
        <v>161</v>
      </c>
      <c r="E1920" s="1" t="s">
        <v>11</v>
      </c>
      <c r="F1920" s="1" t="s">
        <v>165</v>
      </c>
      <c r="H1920" s="1">
        <v>0.0</v>
      </c>
      <c r="I1920" s="1">
        <v>0.0</v>
      </c>
      <c r="J1920" s="1">
        <v>0.0</v>
      </c>
      <c r="K1920" s="1">
        <v>2.0</v>
      </c>
      <c r="L1920" s="1">
        <v>6.0</v>
      </c>
      <c r="M1920" s="1">
        <v>0.333333333</v>
      </c>
      <c r="N1920" s="1">
        <v>7.289999962</v>
      </c>
    </row>
    <row r="1921" ht="15.75" customHeight="1">
      <c r="A1921" s="1" t="s">
        <v>160</v>
      </c>
      <c r="B1921" s="1" t="s">
        <v>31</v>
      </c>
      <c r="C1921" s="5">
        <v>45527.0</v>
      </c>
      <c r="D1921" s="1" t="s">
        <v>161</v>
      </c>
      <c r="E1921" s="1" t="s">
        <v>11</v>
      </c>
      <c r="H1921" s="1">
        <v>0.0</v>
      </c>
      <c r="J1921" s="1">
        <v>0.0</v>
      </c>
      <c r="N1921" s="1">
        <v>0.230000004</v>
      </c>
    </row>
    <row r="1922" ht="15.75" customHeight="1">
      <c r="A1922" s="1" t="s">
        <v>160</v>
      </c>
      <c r="B1922" s="1" t="s">
        <v>20</v>
      </c>
      <c r="C1922" s="5">
        <v>45527.0</v>
      </c>
      <c r="D1922" s="1" t="s">
        <v>161</v>
      </c>
      <c r="E1922" s="1" t="s">
        <v>11</v>
      </c>
      <c r="F1922" s="1" t="s">
        <v>162</v>
      </c>
      <c r="H1922" s="1">
        <v>0.0</v>
      </c>
      <c r="I1922" s="1">
        <v>0.0</v>
      </c>
      <c r="J1922" s="1">
        <v>0.0</v>
      </c>
      <c r="K1922" s="1">
        <v>2.0</v>
      </c>
      <c r="L1922" s="1">
        <v>14.0</v>
      </c>
      <c r="M1922" s="1">
        <v>0.142857143</v>
      </c>
      <c r="N1922" s="1">
        <v>0.0</v>
      </c>
    </row>
    <row r="1923" ht="15.75" customHeight="1">
      <c r="A1923" s="1" t="s">
        <v>160</v>
      </c>
      <c r="B1923" s="1" t="s">
        <v>210</v>
      </c>
      <c r="C1923" s="5">
        <v>45527.0</v>
      </c>
      <c r="D1923" s="1" t="s">
        <v>161</v>
      </c>
      <c r="E1923" s="1" t="s">
        <v>11</v>
      </c>
      <c r="F1923" s="1" t="s">
        <v>162</v>
      </c>
      <c r="H1923" s="1">
        <v>0.0</v>
      </c>
      <c r="I1923" s="1">
        <v>0.0</v>
      </c>
      <c r="J1923" s="1">
        <v>0.0</v>
      </c>
      <c r="K1923" s="1">
        <v>0.0</v>
      </c>
      <c r="L1923" s="1">
        <v>0.0</v>
      </c>
      <c r="N1923" s="1">
        <v>0.209999993</v>
      </c>
    </row>
    <row r="1924" ht="15.75" customHeight="1">
      <c r="A1924" s="1" t="s">
        <v>160</v>
      </c>
      <c r="B1924" s="1" t="s">
        <v>89</v>
      </c>
      <c r="C1924" s="5">
        <v>45527.0</v>
      </c>
      <c r="D1924" s="1" t="s">
        <v>161</v>
      </c>
      <c r="E1924" s="1" t="s">
        <v>11</v>
      </c>
      <c r="F1924" s="1" t="s">
        <v>165</v>
      </c>
      <c r="H1924" s="1">
        <v>0.0</v>
      </c>
      <c r="I1924" s="1">
        <v>0.0</v>
      </c>
      <c r="J1924" s="1">
        <v>0.0</v>
      </c>
      <c r="K1924" s="1">
        <v>0.0</v>
      </c>
      <c r="L1924" s="1">
        <v>1.0</v>
      </c>
      <c r="M1924" s="1">
        <v>0.0</v>
      </c>
      <c r="N1924" s="1">
        <v>2.339999914</v>
      </c>
    </row>
    <row r="1925" ht="15.75" customHeight="1">
      <c r="A1925" s="1" t="s">
        <v>160</v>
      </c>
      <c r="B1925" s="1" t="s">
        <v>198</v>
      </c>
      <c r="C1925" s="5">
        <v>45527.0</v>
      </c>
      <c r="D1925" s="1" t="s">
        <v>161</v>
      </c>
      <c r="E1925" s="1" t="s">
        <v>11</v>
      </c>
      <c r="F1925" s="1" t="s">
        <v>162</v>
      </c>
      <c r="H1925" s="1">
        <v>0.0</v>
      </c>
      <c r="I1925" s="1">
        <v>0.0</v>
      </c>
      <c r="J1925" s="1">
        <v>0.0</v>
      </c>
      <c r="K1925" s="1">
        <v>0.0</v>
      </c>
      <c r="L1925" s="1">
        <v>16.0</v>
      </c>
      <c r="M1925" s="1">
        <v>0.0</v>
      </c>
      <c r="N1925" s="1">
        <v>15.32999992</v>
      </c>
    </row>
    <row r="1926" ht="15.75" customHeight="1">
      <c r="A1926" s="1" t="s">
        <v>164</v>
      </c>
      <c r="B1926" s="1" t="s">
        <v>22</v>
      </c>
      <c r="C1926" s="5">
        <v>45527.0</v>
      </c>
      <c r="D1926" s="1" t="s">
        <v>161</v>
      </c>
      <c r="E1926" s="1" t="s">
        <v>11</v>
      </c>
      <c r="F1926" s="1" t="s">
        <v>166</v>
      </c>
      <c r="H1926" s="1">
        <v>0.0</v>
      </c>
      <c r="I1926" s="1">
        <v>0.0</v>
      </c>
      <c r="J1926" s="1">
        <v>0.0</v>
      </c>
      <c r="K1926" s="1">
        <v>3.0</v>
      </c>
      <c r="L1926" s="1">
        <v>5.0</v>
      </c>
      <c r="M1926" s="1">
        <v>0.6</v>
      </c>
      <c r="N1926" s="1">
        <v>14.81000042</v>
      </c>
    </row>
    <row r="1927" ht="15.75" customHeight="1">
      <c r="A1927" s="1" t="s">
        <v>164</v>
      </c>
      <c r="B1927" s="1" t="s">
        <v>24</v>
      </c>
      <c r="C1927" s="5">
        <v>45527.0</v>
      </c>
      <c r="D1927" s="1" t="s">
        <v>161</v>
      </c>
      <c r="E1927" s="1" t="s">
        <v>11</v>
      </c>
      <c r="F1927" s="1" t="s">
        <v>166</v>
      </c>
      <c r="H1927" s="1">
        <v>0.0</v>
      </c>
      <c r="I1927" s="1">
        <v>0.0</v>
      </c>
      <c r="J1927" s="1">
        <v>0.0</v>
      </c>
      <c r="K1927" s="1">
        <v>0.0</v>
      </c>
      <c r="L1927" s="1">
        <v>1.0</v>
      </c>
      <c r="M1927" s="1">
        <v>0.0</v>
      </c>
      <c r="N1927" s="1">
        <v>1.029999971</v>
      </c>
    </row>
    <row r="1928" ht="15.75" customHeight="1">
      <c r="A1928" s="1" t="s">
        <v>164</v>
      </c>
      <c r="B1928" s="1" t="s">
        <v>199</v>
      </c>
      <c r="C1928" s="5">
        <v>45527.0</v>
      </c>
      <c r="D1928" s="1" t="s">
        <v>161</v>
      </c>
      <c r="E1928" s="1" t="s">
        <v>11</v>
      </c>
      <c r="H1928" s="1">
        <v>0.0</v>
      </c>
      <c r="J1928" s="1">
        <v>0.0</v>
      </c>
      <c r="N1928" s="1">
        <v>0.779999971</v>
      </c>
    </row>
    <row r="1929" ht="15.75" customHeight="1">
      <c r="A1929" s="1" t="s">
        <v>164</v>
      </c>
      <c r="B1929" s="1" t="s">
        <v>245</v>
      </c>
      <c r="C1929" s="5">
        <v>45527.0</v>
      </c>
      <c r="D1929" s="1" t="s">
        <v>161</v>
      </c>
      <c r="E1929" s="1" t="s">
        <v>11</v>
      </c>
      <c r="H1929" s="1">
        <v>0.0</v>
      </c>
      <c r="J1929" s="1">
        <v>0.0</v>
      </c>
      <c r="N1929" s="1">
        <v>0.119999997</v>
      </c>
    </row>
    <row r="1930" ht="15.75" customHeight="1">
      <c r="A1930" s="1" t="s">
        <v>164</v>
      </c>
      <c r="B1930" s="1" t="s">
        <v>76</v>
      </c>
      <c r="C1930" s="5">
        <v>45527.0</v>
      </c>
      <c r="D1930" s="1" t="s">
        <v>161</v>
      </c>
      <c r="E1930" s="1" t="s">
        <v>11</v>
      </c>
      <c r="H1930" s="1">
        <v>0.0</v>
      </c>
      <c r="J1930" s="1">
        <v>0.0</v>
      </c>
      <c r="N1930" s="1">
        <v>0.680000007</v>
      </c>
    </row>
    <row r="1931" ht="15.75" customHeight="1">
      <c r="A1931" s="1" t="s">
        <v>164</v>
      </c>
      <c r="B1931" s="1" t="s">
        <v>179</v>
      </c>
      <c r="C1931" s="5">
        <v>45527.0</v>
      </c>
      <c r="D1931" s="1" t="s">
        <v>161</v>
      </c>
      <c r="E1931" s="1" t="s">
        <v>11</v>
      </c>
      <c r="F1931" s="1" t="s">
        <v>166</v>
      </c>
      <c r="H1931" s="1">
        <v>0.0</v>
      </c>
      <c r="I1931" s="1">
        <v>0.0</v>
      </c>
      <c r="J1931" s="1">
        <v>0.0</v>
      </c>
      <c r="K1931" s="1">
        <v>4.0</v>
      </c>
      <c r="L1931" s="1">
        <v>15.0</v>
      </c>
      <c r="M1931" s="1">
        <v>0.266666667</v>
      </c>
      <c r="N1931" s="1">
        <v>32.59000015</v>
      </c>
    </row>
    <row r="1932" ht="15.75" customHeight="1">
      <c r="A1932" s="1" t="s">
        <v>164</v>
      </c>
      <c r="B1932" s="1" t="s">
        <v>197</v>
      </c>
      <c r="C1932" s="5">
        <v>45527.0</v>
      </c>
      <c r="D1932" s="1" t="s">
        <v>161</v>
      </c>
      <c r="E1932" s="1" t="s">
        <v>11</v>
      </c>
      <c r="F1932" s="1" t="s">
        <v>166</v>
      </c>
      <c r="H1932" s="1">
        <v>0.0</v>
      </c>
      <c r="I1932" s="1">
        <v>0.0</v>
      </c>
      <c r="J1932" s="1">
        <v>0.0</v>
      </c>
      <c r="K1932" s="1">
        <v>6.0</v>
      </c>
      <c r="L1932" s="1">
        <v>9.0</v>
      </c>
      <c r="M1932" s="1">
        <v>0.666666667</v>
      </c>
      <c r="N1932" s="1">
        <v>6.289999962</v>
      </c>
    </row>
    <row r="1933" ht="15.75" customHeight="1">
      <c r="A1933" s="1" t="s">
        <v>164</v>
      </c>
      <c r="B1933" s="1" t="s">
        <v>100</v>
      </c>
      <c r="C1933" s="5">
        <v>45527.0</v>
      </c>
      <c r="D1933" s="1" t="s">
        <v>161</v>
      </c>
      <c r="E1933" s="1" t="s">
        <v>11</v>
      </c>
      <c r="F1933" s="1" t="s">
        <v>166</v>
      </c>
      <c r="G1933" s="1" t="s">
        <v>172</v>
      </c>
      <c r="H1933" s="1">
        <v>1.0</v>
      </c>
      <c r="I1933" s="1">
        <v>1.0</v>
      </c>
      <c r="J1933" s="1">
        <v>0.0</v>
      </c>
      <c r="K1933" s="1">
        <v>10.0</v>
      </c>
      <c r="L1933" s="1">
        <v>12.0</v>
      </c>
      <c r="M1933" s="1">
        <v>0.833333333</v>
      </c>
      <c r="N1933" s="1">
        <v>5.699999809</v>
      </c>
    </row>
    <row r="1934" ht="15.75" customHeight="1">
      <c r="A1934" s="1" t="s">
        <v>164</v>
      </c>
      <c r="B1934" s="1" t="s">
        <v>246</v>
      </c>
      <c r="C1934" s="5">
        <v>45527.0</v>
      </c>
      <c r="D1934" s="1" t="s">
        <v>161</v>
      </c>
      <c r="E1934" s="1" t="s">
        <v>11</v>
      </c>
      <c r="F1934" s="1" t="s">
        <v>165</v>
      </c>
      <c r="H1934" s="1">
        <v>0.0</v>
      </c>
      <c r="I1934" s="1">
        <v>0.0</v>
      </c>
      <c r="J1934" s="1">
        <v>0.0</v>
      </c>
      <c r="K1934" s="1">
        <v>0.0</v>
      </c>
      <c r="L1934" s="1">
        <v>12.0</v>
      </c>
      <c r="M1934" s="1">
        <v>0.0</v>
      </c>
      <c r="N1934" s="1">
        <v>30.0</v>
      </c>
    </row>
    <row r="1935" ht="15.75" customHeight="1">
      <c r="A1935" s="1" t="s">
        <v>180</v>
      </c>
      <c r="B1935" s="1" t="s">
        <v>185</v>
      </c>
      <c r="C1935" s="5">
        <v>45527.0</v>
      </c>
      <c r="D1935" s="1" t="s">
        <v>161</v>
      </c>
      <c r="E1935" s="1" t="s">
        <v>11</v>
      </c>
      <c r="F1935" s="1" t="s">
        <v>166</v>
      </c>
      <c r="H1935" s="1">
        <v>0.0</v>
      </c>
      <c r="I1935" s="1">
        <v>1.0</v>
      </c>
      <c r="J1935" s="1">
        <v>0.0</v>
      </c>
      <c r="K1935" s="1">
        <v>10.0</v>
      </c>
      <c r="L1935" s="1">
        <v>15.0</v>
      </c>
      <c r="M1935" s="1">
        <v>0.666666667</v>
      </c>
      <c r="N1935" s="1">
        <v>12.47999954</v>
      </c>
    </row>
    <row r="1936" ht="15.75" customHeight="1">
      <c r="A1936" s="1" t="s">
        <v>160</v>
      </c>
      <c r="B1936" s="1" t="s">
        <v>212</v>
      </c>
      <c r="C1936" s="5">
        <v>45526.0</v>
      </c>
      <c r="D1936" s="1" t="s">
        <v>161</v>
      </c>
      <c r="E1936" s="1" t="s">
        <v>11</v>
      </c>
      <c r="F1936" s="1" t="s">
        <v>165</v>
      </c>
      <c r="H1936" s="1">
        <v>0.0</v>
      </c>
      <c r="I1936" s="1">
        <v>0.0</v>
      </c>
      <c r="J1936" s="1">
        <v>0.0</v>
      </c>
      <c r="K1936" s="1">
        <v>6.0</v>
      </c>
      <c r="L1936" s="1">
        <v>22.0</v>
      </c>
      <c r="M1936" s="1">
        <v>0.272727273</v>
      </c>
      <c r="N1936" s="1">
        <v>30.39999962</v>
      </c>
    </row>
    <row r="1937" ht="15.75" customHeight="1">
      <c r="A1937" s="1" t="s">
        <v>160</v>
      </c>
      <c r="B1937" s="1" t="s">
        <v>210</v>
      </c>
      <c r="C1937" s="5">
        <v>45526.0</v>
      </c>
      <c r="D1937" s="1" t="s">
        <v>161</v>
      </c>
      <c r="E1937" s="1" t="s">
        <v>11</v>
      </c>
      <c r="F1937" s="1" t="s">
        <v>162</v>
      </c>
      <c r="H1937" s="1">
        <v>0.0</v>
      </c>
      <c r="I1937" s="1">
        <v>0.0</v>
      </c>
      <c r="J1937" s="1">
        <v>0.0</v>
      </c>
      <c r="K1937" s="1">
        <v>1.0</v>
      </c>
      <c r="L1937" s="1">
        <v>4.0</v>
      </c>
      <c r="M1937" s="1">
        <v>0.25</v>
      </c>
      <c r="N1937" s="1">
        <v>7.360000134</v>
      </c>
    </row>
    <row r="1938" ht="15.75" customHeight="1">
      <c r="A1938" s="1" t="s">
        <v>160</v>
      </c>
      <c r="B1938" s="1" t="s">
        <v>95</v>
      </c>
      <c r="C1938" s="5">
        <v>45526.0</v>
      </c>
      <c r="D1938" s="1" t="s">
        <v>161</v>
      </c>
      <c r="E1938" s="1" t="s">
        <v>11</v>
      </c>
      <c r="H1938" s="1">
        <v>0.0</v>
      </c>
      <c r="J1938" s="1">
        <v>0.0</v>
      </c>
      <c r="N1938" s="1">
        <v>3.680000067</v>
      </c>
    </row>
    <row r="1939" ht="15.75" customHeight="1">
      <c r="A1939" s="1" t="s">
        <v>164</v>
      </c>
      <c r="B1939" s="1" t="s">
        <v>70</v>
      </c>
      <c r="C1939" s="5">
        <v>45526.0</v>
      </c>
      <c r="D1939" s="1" t="s">
        <v>161</v>
      </c>
      <c r="E1939" s="1" t="s">
        <v>11</v>
      </c>
      <c r="F1939" s="1" t="s">
        <v>166</v>
      </c>
      <c r="H1939" s="1">
        <v>0.0</v>
      </c>
      <c r="I1939" s="1">
        <v>0.0</v>
      </c>
      <c r="J1939" s="1">
        <v>0.0</v>
      </c>
      <c r="K1939" s="1">
        <v>0.0</v>
      </c>
      <c r="L1939" s="1">
        <v>2.0</v>
      </c>
      <c r="M1939" s="1">
        <v>0.0</v>
      </c>
      <c r="N1939" s="1">
        <v>1.309999943</v>
      </c>
    </row>
    <row r="1940" ht="15.75" customHeight="1">
      <c r="A1940" s="1" t="s">
        <v>164</v>
      </c>
      <c r="B1940" s="1" t="s">
        <v>247</v>
      </c>
      <c r="C1940" s="5">
        <v>45526.0</v>
      </c>
      <c r="D1940" s="1" t="s">
        <v>161</v>
      </c>
      <c r="E1940" s="1" t="s">
        <v>11</v>
      </c>
      <c r="H1940" s="1">
        <v>0.0</v>
      </c>
      <c r="J1940" s="1">
        <v>0.0</v>
      </c>
      <c r="N1940" s="1">
        <v>0.119999997</v>
      </c>
    </row>
    <row r="1941" ht="15.75" customHeight="1">
      <c r="A1941" s="1" t="s">
        <v>164</v>
      </c>
      <c r="B1941" s="1" t="s">
        <v>245</v>
      </c>
      <c r="C1941" s="5">
        <v>45526.0</v>
      </c>
      <c r="D1941" s="1" t="s">
        <v>161</v>
      </c>
      <c r="E1941" s="1" t="s">
        <v>11</v>
      </c>
      <c r="H1941" s="1">
        <v>0.0</v>
      </c>
      <c r="J1941" s="1">
        <v>0.0</v>
      </c>
      <c r="N1941" s="1">
        <v>0.059999999</v>
      </c>
    </row>
    <row r="1942" ht="15.75" customHeight="1">
      <c r="A1942" s="1" t="s">
        <v>164</v>
      </c>
      <c r="B1942" s="1" t="s">
        <v>196</v>
      </c>
      <c r="C1942" s="5">
        <v>45526.0</v>
      </c>
      <c r="D1942" s="1" t="s">
        <v>161</v>
      </c>
      <c r="E1942" s="1" t="s">
        <v>11</v>
      </c>
      <c r="H1942" s="1">
        <v>0.0</v>
      </c>
      <c r="J1942" s="1">
        <v>0.0</v>
      </c>
      <c r="N1942" s="1">
        <v>3.4400000569999998</v>
      </c>
    </row>
    <row r="1943" ht="15.75" customHeight="1">
      <c r="A1943" s="1" t="s">
        <v>164</v>
      </c>
      <c r="B1943" s="1" t="s">
        <v>179</v>
      </c>
      <c r="C1943" s="5">
        <v>45526.0</v>
      </c>
      <c r="D1943" s="1" t="s">
        <v>161</v>
      </c>
      <c r="E1943" s="1" t="s">
        <v>11</v>
      </c>
      <c r="F1943" s="1" t="s">
        <v>166</v>
      </c>
      <c r="H1943" s="1">
        <v>0.0</v>
      </c>
      <c r="I1943" s="1">
        <v>0.0</v>
      </c>
      <c r="J1943" s="1">
        <v>0.0</v>
      </c>
      <c r="K1943" s="1">
        <v>1.0</v>
      </c>
      <c r="L1943" s="1">
        <v>1.0</v>
      </c>
      <c r="M1943" s="1">
        <v>1.0</v>
      </c>
      <c r="N1943" s="1">
        <v>5.699999809</v>
      </c>
    </row>
    <row r="1944" ht="15.75" customHeight="1">
      <c r="A1944" s="1" t="s">
        <v>164</v>
      </c>
      <c r="B1944" s="1" t="s">
        <v>68</v>
      </c>
      <c r="C1944" s="5">
        <v>45526.0</v>
      </c>
      <c r="D1944" s="1" t="s">
        <v>161</v>
      </c>
      <c r="E1944" s="1" t="s">
        <v>11</v>
      </c>
      <c r="F1944" s="1" t="s">
        <v>166</v>
      </c>
      <c r="H1944" s="1">
        <v>0.0</v>
      </c>
      <c r="I1944" s="1">
        <v>0.0</v>
      </c>
      <c r="J1944" s="1">
        <v>0.0</v>
      </c>
      <c r="K1944" s="1">
        <v>3.0</v>
      </c>
      <c r="L1944" s="1">
        <v>13.0</v>
      </c>
      <c r="M1944" s="1">
        <v>0.230769231</v>
      </c>
      <c r="N1944" s="1">
        <v>15.59000015</v>
      </c>
    </row>
    <row r="1945" ht="15.75" customHeight="1">
      <c r="A1945" s="1" t="s">
        <v>164</v>
      </c>
      <c r="B1945" s="1" t="s">
        <v>197</v>
      </c>
      <c r="C1945" s="5">
        <v>45526.0</v>
      </c>
      <c r="D1945" s="1" t="s">
        <v>161</v>
      </c>
      <c r="E1945" s="1" t="s">
        <v>11</v>
      </c>
      <c r="F1945" s="1" t="s">
        <v>166</v>
      </c>
      <c r="H1945" s="1">
        <v>0.0</v>
      </c>
      <c r="I1945" s="1">
        <v>0.0</v>
      </c>
      <c r="J1945" s="1">
        <v>0.0</v>
      </c>
      <c r="K1945" s="1">
        <v>5.0</v>
      </c>
      <c r="L1945" s="1">
        <v>6.0</v>
      </c>
      <c r="M1945" s="1">
        <v>0.833333333</v>
      </c>
      <c r="N1945" s="1">
        <v>12.43999958</v>
      </c>
    </row>
    <row r="1946" ht="15.75" customHeight="1">
      <c r="A1946" s="1" t="s">
        <v>164</v>
      </c>
      <c r="B1946" s="1" t="s">
        <v>75</v>
      </c>
      <c r="C1946" s="5">
        <v>45526.0</v>
      </c>
      <c r="D1946" s="1" t="s">
        <v>161</v>
      </c>
      <c r="E1946" s="1" t="s">
        <v>11</v>
      </c>
      <c r="H1946" s="1">
        <v>0.0</v>
      </c>
      <c r="J1946" s="1">
        <v>0.0</v>
      </c>
      <c r="N1946" s="1">
        <v>0.949999988</v>
      </c>
    </row>
    <row r="1947" ht="15.75" customHeight="1">
      <c r="A1947" s="1" t="s">
        <v>164</v>
      </c>
      <c r="B1947" s="1" t="s">
        <v>248</v>
      </c>
      <c r="C1947" s="5">
        <v>45526.0</v>
      </c>
      <c r="D1947" s="1" t="s">
        <v>161</v>
      </c>
      <c r="E1947" s="1" t="s">
        <v>11</v>
      </c>
      <c r="H1947" s="1">
        <v>0.0</v>
      </c>
      <c r="J1947" s="1">
        <v>0.0</v>
      </c>
      <c r="N1947" s="1">
        <v>0.119999997</v>
      </c>
    </row>
    <row r="1948" ht="15.75" customHeight="1">
      <c r="A1948" s="1" t="s">
        <v>180</v>
      </c>
      <c r="B1948" s="1" t="s">
        <v>185</v>
      </c>
      <c r="C1948" s="5">
        <v>45526.0</v>
      </c>
      <c r="D1948" s="1" t="s">
        <v>161</v>
      </c>
      <c r="E1948" s="1" t="s">
        <v>11</v>
      </c>
      <c r="F1948" s="1" t="s">
        <v>166</v>
      </c>
      <c r="H1948" s="1">
        <v>0.0</v>
      </c>
      <c r="I1948" s="1">
        <v>0.0</v>
      </c>
      <c r="J1948" s="1">
        <v>0.0</v>
      </c>
      <c r="K1948" s="1">
        <v>4.0</v>
      </c>
      <c r="L1948" s="1">
        <v>7.0</v>
      </c>
      <c r="M1948" s="1">
        <v>0.571428571</v>
      </c>
      <c r="N1948" s="1">
        <v>9.590000153</v>
      </c>
    </row>
    <row r="1949" ht="15.75" customHeight="1">
      <c r="A1949" s="1" t="s">
        <v>160</v>
      </c>
      <c r="B1949" s="1" t="s">
        <v>210</v>
      </c>
      <c r="C1949" s="5">
        <v>45525.0</v>
      </c>
      <c r="D1949" s="1" t="s">
        <v>161</v>
      </c>
      <c r="E1949" s="1" t="s">
        <v>11</v>
      </c>
      <c r="F1949" s="1" t="s">
        <v>162</v>
      </c>
      <c r="H1949" s="1">
        <v>0.0</v>
      </c>
      <c r="I1949" s="1">
        <v>0.0</v>
      </c>
      <c r="J1949" s="1">
        <v>0.0</v>
      </c>
      <c r="K1949" s="1">
        <v>0.0</v>
      </c>
      <c r="L1949" s="1">
        <v>6.0</v>
      </c>
      <c r="M1949" s="1">
        <v>0.0</v>
      </c>
      <c r="N1949" s="1">
        <v>7.110000134</v>
      </c>
    </row>
    <row r="1950" ht="15.75" customHeight="1">
      <c r="A1950" s="1" t="s">
        <v>160</v>
      </c>
      <c r="B1950" s="1" t="s">
        <v>230</v>
      </c>
      <c r="C1950" s="5">
        <v>45525.0</v>
      </c>
      <c r="D1950" s="1" t="s">
        <v>161</v>
      </c>
      <c r="E1950" s="1" t="s">
        <v>11</v>
      </c>
      <c r="F1950" s="1" t="s">
        <v>165</v>
      </c>
      <c r="H1950" s="1">
        <v>0.0</v>
      </c>
      <c r="I1950" s="1">
        <v>1.0</v>
      </c>
      <c r="J1950" s="1">
        <v>0.0</v>
      </c>
      <c r="K1950" s="1">
        <v>4.0</v>
      </c>
      <c r="L1950" s="1">
        <v>4.0</v>
      </c>
      <c r="M1950" s="1">
        <v>1.0</v>
      </c>
      <c r="N1950" s="1">
        <v>0.0</v>
      </c>
    </row>
    <row r="1951" ht="15.75" customHeight="1">
      <c r="A1951" s="1" t="s">
        <v>160</v>
      </c>
      <c r="B1951" s="1" t="s">
        <v>230</v>
      </c>
      <c r="C1951" s="5">
        <v>45525.0</v>
      </c>
      <c r="D1951" s="1" t="s">
        <v>161</v>
      </c>
      <c r="E1951" s="1" t="s">
        <v>11</v>
      </c>
      <c r="F1951" s="1" t="s">
        <v>167</v>
      </c>
      <c r="H1951" s="1">
        <v>0.0</v>
      </c>
      <c r="I1951" s="1">
        <v>1.0</v>
      </c>
      <c r="J1951" s="1">
        <v>0.0</v>
      </c>
      <c r="K1951" s="1">
        <v>26.0</v>
      </c>
      <c r="L1951" s="1">
        <v>39.0</v>
      </c>
      <c r="M1951" s="1">
        <v>0.666666667</v>
      </c>
      <c r="N1951" s="1">
        <v>16.79000092</v>
      </c>
    </row>
    <row r="1952" ht="15.75" customHeight="1">
      <c r="A1952" s="1" t="s">
        <v>160</v>
      </c>
      <c r="B1952" s="1" t="s">
        <v>65</v>
      </c>
      <c r="C1952" s="5">
        <v>45525.0</v>
      </c>
      <c r="D1952" s="1" t="s">
        <v>161</v>
      </c>
      <c r="E1952" s="1" t="s">
        <v>11</v>
      </c>
      <c r="F1952" s="1" t="s">
        <v>162</v>
      </c>
      <c r="H1952" s="1">
        <v>0.0</v>
      </c>
      <c r="I1952" s="1">
        <v>0.0</v>
      </c>
      <c r="J1952" s="1">
        <v>0.0</v>
      </c>
      <c r="K1952" s="1">
        <v>13.0</v>
      </c>
      <c r="L1952" s="1">
        <v>29.0</v>
      </c>
      <c r="M1952" s="1">
        <v>0.448275862</v>
      </c>
      <c r="N1952" s="1">
        <v>48.27999878</v>
      </c>
    </row>
    <row r="1953" ht="15.75" customHeight="1">
      <c r="A1953" s="1" t="s">
        <v>160</v>
      </c>
      <c r="B1953" s="1" t="s">
        <v>95</v>
      </c>
      <c r="C1953" s="5">
        <v>45525.0</v>
      </c>
      <c r="D1953" s="1" t="s">
        <v>161</v>
      </c>
      <c r="E1953" s="1" t="s">
        <v>11</v>
      </c>
      <c r="F1953" s="1" t="s">
        <v>165</v>
      </c>
      <c r="H1953" s="1">
        <v>0.0</v>
      </c>
      <c r="I1953" s="1">
        <v>0.0</v>
      </c>
      <c r="J1953" s="1">
        <v>0.0</v>
      </c>
      <c r="K1953" s="1">
        <v>2.0</v>
      </c>
      <c r="L1953" s="1">
        <v>7.0</v>
      </c>
      <c r="M1953" s="1">
        <v>0.285714286</v>
      </c>
      <c r="N1953" s="1">
        <v>9.770000458</v>
      </c>
    </row>
    <row r="1954" ht="15.75" customHeight="1">
      <c r="A1954" s="1" t="s">
        <v>164</v>
      </c>
      <c r="B1954" s="1" t="s">
        <v>22</v>
      </c>
      <c r="C1954" s="5">
        <v>45525.0</v>
      </c>
      <c r="D1954" s="1" t="s">
        <v>161</v>
      </c>
      <c r="E1954" s="1" t="s">
        <v>11</v>
      </c>
      <c r="F1954" s="1" t="s">
        <v>166</v>
      </c>
      <c r="H1954" s="1">
        <v>0.0</v>
      </c>
      <c r="I1954" s="1">
        <v>0.0</v>
      </c>
      <c r="J1954" s="1">
        <v>0.0</v>
      </c>
      <c r="K1954" s="1">
        <v>0.0</v>
      </c>
      <c r="L1954" s="1">
        <v>1.0</v>
      </c>
      <c r="M1954" s="1">
        <v>0.0</v>
      </c>
      <c r="N1954" s="1">
        <v>2.619999886</v>
      </c>
    </row>
    <row r="1955" ht="15.75" customHeight="1">
      <c r="A1955" s="1" t="s">
        <v>164</v>
      </c>
      <c r="B1955" s="1" t="s">
        <v>249</v>
      </c>
      <c r="C1955" s="5">
        <v>45525.0</v>
      </c>
      <c r="D1955" s="1" t="s">
        <v>161</v>
      </c>
      <c r="E1955" s="1" t="s">
        <v>11</v>
      </c>
      <c r="F1955" s="1" t="s">
        <v>165</v>
      </c>
      <c r="H1955" s="1">
        <v>0.0</v>
      </c>
      <c r="I1955" s="1">
        <v>0.0</v>
      </c>
      <c r="J1955" s="1">
        <v>0.0</v>
      </c>
      <c r="K1955" s="1">
        <v>1.0</v>
      </c>
      <c r="L1955" s="1">
        <v>1.0</v>
      </c>
      <c r="M1955" s="1">
        <v>1.0</v>
      </c>
      <c r="N1955" s="1">
        <v>17.25</v>
      </c>
    </row>
    <row r="1956" ht="15.75" customHeight="1">
      <c r="A1956" s="1" t="s">
        <v>164</v>
      </c>
      <c r="B1956" s="1" t="s">
        <v>199</v>
      </c>
      <c r="C1956" s="5">
        <v>45525.0</v>
      </c>
      <c r="D1956" s="1" t="s">
        <v>161</v>
      </c>
      <c r="E1956" s="1" t="s">
        <v>11</v>
      </c>
      <c r="F1956" s="1" t="s">
        <v>162</v>
      </c>
      <c r="H1956" s="1">
        <v>0.0</v>
      </c>
      <c r="I1956" s="1">
        <v>1.0</v>
      </c>
      <c r="J1956" s="1">
        <v>0.0</v>
      </c>
      <c r="K1956" s="1">
        <v>4.0</v>
      </c>
      <c r="L1956" s="1">
        <v>4.0</v>
      </c>
      <c r="M1956" s="1">
        <v>1.0</v>
      </c>
      <c r="N1956" s="1">
        <v>2.8099999430000002</v>
      </c>
    </row>
    <row r="1957" ht="15.75" customHeight="1">
      <c r="A1957" s="1" t="s">
        <v>164</v>
      </c>
      <c r="B1957" s="1" t="s">
        <v>70</v>
      </c>
      <c r="C1957" s="5">
        <v>45525.0</v>
      </c>
      <c r="D1957" s="1" t="s">
        <v>161</v>
      </c>
      <c r="E1957" s="1" t="s">
        <v>11</v>
      </c>
      <c r="H1957" s="1">
        <v>0.0</v>
      </c>
      <c r="J1957" s="1">
        <v>0.0</v>
      </c>
      <c r="N1957" s="1">
        <v>0.07</v>
      </c>
    </row>
    <row r="1958" ht="15.75" customHeight="1">
      <c r="A1958" s="1" t="s">
        <v>164</v>
      </c>
      <c r="B1958" s="1" t="s">
        <v>196</v>
      </c>
      <c r="C1958" s="5">
        <v>45525.0</v>
      </c>
      <c r="D1958" s="1" t="s">
        <v>161</v>
      </c>
      <c r="E1958" s="1" t="s">
        <v>11</v>
      </c>
      <c r="F1958" s="1" t="s">
        <v>165</v>
      </c>
      <c r="H1958" s="1">
        <v>0.0</v>
      </c>
      <c r="I1958" s="1">
        <v>0.0</v>
      </c>
      <c r="J1958" s="1">
        <v>0.0</v>
      </c>
      <c r="K1958" s="1">
        <v>0.0</v>
      </c>
      <c r="L1958" s="1">
        <v>6.0</v>
      </c>
      <c r="M1958" s="1">
        <v>0.0</v>
      </c>
      <c r="N1958" s="1">
        <v>11.27000046</v>
      </c>
    </row>
    <row r="1959" ht="15.75" customHeight="1">
      <c r="A1959" s="1" t="s">
        <v>164</v>
      </c>
      <c r="B1959" s="1" t="s">
        <v>179</v>
      </c>
      <c r="C1959" s="5">
        <v>45525.0</v>
      </c>
      <c r="D1959" s="1" t="s">
        <v>161</v>
      </c>
      <c r="E1959" s="1" t="s">
        <v>11</v>
      </c>
      <c r="H1959" s="1">
        <v>0.0</v>
      </c>
      <c r="J1959" s="1">
        <v>0.0</v>
      </c>
      <c r="N1959" s="1">
        <v>3.319999933</v>
      </c>
    </row>
    <row r="1960" ht="15.75" customHeight="1">
      <c r="A1960" s="1" t="s">
        <v>164</v>
      </c>
      <c r="B1960" s="1" t="s">
        <v>63</v>
      </c>
      <c r="C1960" s="5">
        <v>45525.0</v>
      </c>
      <c r="D1960" s="1" t="s">
        <v>161</v>
      </c>
      <c r="E1960" s="1" t="s">
        <v>11</v>
      </c>
      <c r="F1960" s="1" t="s">
        <v>165</v>
      </c>
      <c r="H1960" s="1">
        <v>0.0</v>
      </c>
      <c r="I1960" s="1">
        <v>1.0</v>
      </c>
      <c r="J1960" s="1">
        <v>0.0</v>
      </c>
      <c r="K1960" s="1">
        <v>1.0</v>
      </c>
      <c r="L1960" s="1">
        <v>1.0</v>
      </c>
      <c r="M1960" s="1">
        <v>1.0</v>
      </c>
      <c r="N1960" s="1">
        <v>0.0</v>
      </c>
    </row>
    <row r="1961" ht="15.75" customHeight="1">
      <c r="A1961" s="1" t="s">
        <v>164</v>
      </c>
      <c r="B1961" s="1" t="s">
        <v>63</v>
      </c>
      <c r="C1961" s="5">
        <v>45525.0</v>
      </c>
      <c r="D1961" s="1" t="s">
        <v>161</v>
      </c>
      <c r="E1961" s="1" t="s">
        <v>11</v>
      </c>
      <c r="F1961" s="1" t="s">
        <v>166</v>
      </c>
      <c r="H1961" s="1">
        <v>0.0</v>
      </c>
      <c r="I1961" s="1">
        <v>0.0</v>
      </c>
      <c r="J1961" s="1">
        <v>0.0</v>
      </c>
      <c r="K1961" s="1">
        <v>1.0</v>
      </c>
      <c r="L1961" s="1">
        <v>11.0</v>
      </c>
      <c r="M1961" s="1">
        <v>0.090909091</v>
      </c>
      <c r="N1961" s="1">
        <v>19.67000008</v>
      </c>
    </row>
    <row r="1962" ht="15.75" customHeight="1">
      <c r="A1962" s="1" t="s">
        <v>164</v>
      </c>
      <c r="B1962" s="1" t="s">
        <v>68</v>
      </c>
      <c r="C1962" s="5">
        <v>45525.0</v>
      </c>
      <c r="D1962" s="1" t="s">
        <v>161</v>
      </c>
      <c r="E1962" s="1" t="s">
        <v>11</v>
      </c>
      <c r="F1962" s="1" t="s">
        <v>165</v>
      </c>
      <c r="G1962" s="1" t="s">
        <v>163</v>
      </c>
      <c r="H1962" s="1">
        <v>1.0</v>
      </c>
      <c r="I1962" s="1">
        <v>0.0</v>
      </c>
      <c r="J1962" s="1">
        <v>0.0</v>
      </c>
      <c r="K1962" s="1">
        <v>4.0</v>
      </c>
      <c r="L1962" s="1">
        <v>11.0</v>
      </c>
      <c r="M1962" s="1">
        <v>0.363636364</v>
      </c>
      <c r="N1962" s="1">
        <v>18.86000061</v>
      </c>
    </row>
    <row r="1963" ht="15.75" customHeight="1">
      <c r="A1963" s="1" t="s">
        <v>164</v>
      </c>
      <c r="B1963" s="1" t="s">
        <v>74</v>
      </c>
      <c r="C1963" s="5">
        <v>45525.0</v>
      </c>
      <c r="D1963" s="1" t="s">
        <v>161</v>
      </c>
      <c r="E1963" s="1" t="s">
        <v>11</v>
      </c>
      <c r="F1963" s="1" t="s">
        <v>166</v>
      </c>
      <c r="G1963" s="1" t="s">
        <v>194</v>
      </c>
      <c r="H1963" s="1">
        <v>1.0</v>
      </c>
      <c r="I1963" s="1">
        <v>0.0</v>
      </c>
      <c r="J1963" s="1">
        <v>0.0</v>
      </c>
      <c r="K1963" s="1">
        <v>1.0</v>
      </c>
      <c r="L1963" s="1">
        <v>2.0</v>
      </c>
      <c r="M1963" s="1">
        <v>0.5</v>
      </c>
      <c r="N1963" s="1">
        <v>6.269999981</v>
      </c>
    </row>
    <row r="1964" ht="15.75" customHeight="1">
      <c r="A1964" s="1" t="s">
        <v>164</v>
      </c>
      <c r="B1964" s="1" t="s">
        <v>75</v>
      </c>
      <c r="C1964" s="5">
        <v>45525.0</v>
      </c>
      <c r="D1964" s="1" t="s">
        <v>161</v>
      </c>
      <c r="E1964" s="1" t="s">
        <v>11</v>
      </c>
      <c r="F1964" s="1" t="s">
        <v>165</v>
      </c>
      <c r="H1964" s="1">
        <v>0.0</v>
      </c>
      <c r="I1964" s="1">
        <v>1.0</v>
      </c>
      <c r="J1964" s="1">
        <v>0.0</v>
      </c>
      <c r="K1964" s="1">
        <v>14.0</v>
      </c>
      <c r="L1964" s="1">
        <v>18.0</v>
      </c>
      <c r="M1964" s="1">
        <v>0.777777778</v>
      </c>
      <c r="N1964" s="1">
        <v>13.53999996</v>
      </c>
    </row>
    <row r="1965" ht="15.75" customHeight="1">
      <c r="A1965" s="1" t="s">
        <v>164</v>
      </c>
      <c r="B1965" s="1" t="s">
        <v>100</v>
      </c>
      <c r="C1965" s="5">
        <v>45525.0</v>
      </c>
      <c r="D1965" s="1" t="s">
        <v>161</v>
      </c>
      <c r="E1965" s="1" t="s">
        <v>11</v>
      </c>
      <c r="F1965" s="1" t="s">
        <v>166</v>
      </c>
      <c r="G1965" s="1" t="s">
        <v>172</v>
      </c>
      <c r="H1965" s="1">
        <v>1.0</v>
      </c>
      <c r="I1965" s="1">
        <v>1.0</v>
      </c>
      <c r="J1965" s="1">
        <v>0.0</v>
      </c>
      <c r="K1965" s="1">
        <v>24.0</v>
      </c>
      <c r="L1965" s="1">
        <v>30.0</v>
      </c>
      <c r="M1965" s="1">
        <v>0.8</v>
      </c>
      <c r="N1965" s="1">
        <v>20.45999908</v>
      </c>
    </row>
    <row r="1966" ht="15.75" customHeight="1">
      <c r="A1966" s="1" t="s">
        <v>164</v>
      </c>
      <c r="B1966" s="1" t="s">
        <v>219</v>
      </c>
      <c r="C1966" s="5">
        <v>45525.0</v>
      </c>
      <c r="D1966" s="1" t="s">
        <v>161</v>
      </c>
      <c r="E1966" s="1" t="s">
        <v>11</v>
      </c>
      <c r="F1966" s="1" t="s">
        <v>165</v>
      </c>
      <c r="H1966" s="1">
        <v>0.0</v>
      </c>
      <c r="I1966" s="1">
        <v>0.0</v>
      </c>
      <c r="J1966" s="1">
        <v>0.0</v>
      </c>
      <c r="K1966" s="1">
        <v>1.0</v>
      </c>
      <c r="L1966" s="1">
        <v>5.0</v>
      </c>
      <c r="M1966" s="1">
        <v>0.2</v>
      </c>
      <c r="N1966" s="1">
        <v>5.1199998860000004</v>
      </c>
    </row>
    <row r="1967" ht="15.75" customHeight="1">
      <c r="A1967" s="1" t="s">
        <v>164</v>
      </c>
      <c r="B1967" s="1" t="s">
        <v>225</v>
      </c>
      <c r="C1967" s="5">
        <v>45525.0</v>
      </c>
      <c r="D1967" s="1" t="s">
        <v>161</v>
      </c>
      <c r="E1967" s="1" t="s">
        <v>11</v>
      </c>
      <c r="F1967" s="1" t="s">
        <v>166</v>
      </c>
      <c r="H1967" s="1">
        <v>0.0</v>
      </c>
      <c r="I1967" s="1">
        <v>0.0</v>
      </c>
      <c r="J1967" s="1">
        <v>0.0</v>
      </c>
      <c r="K1967" s="1">
        <v>5.0</v>
      </c>
      <c r="L1967" s="1">
        <v>7.0</v>
      </c>
      <c r="M1967" s="1">
        <v>0.714285714</v>
      </c>
      <c r="N1967" s="1">
        <v>5.570000172</v>
      </c>
    </row>
    <row r="1968" ht="15.75" customHeight="1">
      <c r="A1968" s="1" t="s">
        <v>180</v>
      </c>
      <c r="B1968" s="1" t="s">
        <v>239</v>
      </c>
      <c r="C1968" s="5">
        <v>45525.0</v>
      </c>
      <c r="D1968" s="1" t="s">
        <v>161</v>
      </c>
      <c r="E1968" s="1" t="s">
        <v>11</v>
      </c>
      <c r="F1968" s="1" t="s">
        <v>166</v>
      </c>
      <c r="H1968" s="1">
        <v>0.0</v>
      </c>
      <c r="I1968" s="1">
        <v>2.0</v>
      </c>
      <c r="J1968" s="1">
        <v>0.0</v>
      </c>
      <c r="K1968" s="1">
        <v>24.0</v>
      </c>
      <c r="L1968" s="1">
        <v>25.0</v>
      </c>
      <c r="M1968" s="1">
        <v>0.96</v>
      </c>
      <c r="N1968" s="1">
        <v>15.56999969</v>
      </c>
    </row>
    <row r="1969" ht="15.75" customHeight="1">
      <c r="A1969" s="1" t="s">
        <v>180</v>
      </c>
      <c r="B1969" s="1" t="s">
        <v>237</v>
      </c>
      <c r="C1969" s="5">
        <v>45525.0</v>
      </c>
      <c r="D1969" s="1" t="s">
        <v>161</v>
      </c>
      <c r="E1969" s="1" t="s">
        <v>11</v>
      </c>
      <c r="H1969" s="1">
        <v>0.0</v>
      </c>
      <c r="J1969" s="1">
        <v>0.0</v>
      </c>
      <c r="N1969" s="1">
        <v>0.289999992</v>
      </c>
    </row>
    <row r="1970" ht="15.75" customHeight="1">
      <c r="A1970" s="1" t="s">
        <v>180</v>
      </c>
      <c r="B1970" s="1" t="s">
        <v>185</v>
      </c>
      <c r="C1970" s="5">
        <v>45525.0</v>
      </c>
      <c r="D1970" s="1" t="s">
        <v>161</v>
      </c>
      <c r="E1970" s="1" t="s">
        <v>11</v>
      </c>
      <c r="F1970" s="1" t="s">
        <v>166</v>
      </c>
      <c r="H1970" s="1">
        <v>0.0</v>
      </c>
      <c r="I1970" s="1">
        <v>0.0</v>
      </c>
      <c r="J1970" s="1">
        <v>0.0</v>
      </c>
      <c r="K1970" s="1">
        <v>6.0</v>
      </c>
      <c r="L1970" s="1">
        <v>11.0</v>
      </c>
      <c r="M1970" s="1">
        <v>0.545454545</v>
      </c>
      <c r="N1970" s="1">
        <v>9.350000381</v>
      </c>
    </row>
    <row r="1971" ht="15.75" customHeight="1">
      <c r="A1971" s="1" t="s">
        <v>160</v>
      </c>
      <c r="B1971" s="1" t="s">
        <v>250</v>
      </c>
      <c r="C1971" s="5">
        <v>45524.0</v>
      </c>
      <c r="D1971" s="1" t="s">
        <v>161</v>
      </c>
      <c r="E1971" s="1" t="s">
        <v>11</v>
      </c>
      <c r="H1971" s="1">
        <v>0.0</v>
      </c>
      <c r="J1971" s="1">
        <v>0.0</v>
      </c>
      <c r="N1971" s="1">
        <v>0.469999999</v>
      </c>
    </row>
    <row r="1972" ht="15.75" customHeight="1">
      <c r="A1972" s="1" t="s">
        <v>160</v>
      </c>
      <c r="B1972" s="1" t="s">
        <v>39</v>
      </c>
      <c r="C1972" s="5">
        <v>45524.0</v>
      </c>
      <c r="D1972" s="1" t="s">
        <v>161</v>
      </c>
      <c r="E1972" s="1" t="s">
        <v>11</v>
      </c>
      <c r="F1972" s="1" t="s">
        <v>166</v>
      </c>
      <c r="H1972" s="1">
        <v>0.0</v>
      </c>
      <c r="I1972" s="1">
        <v>0.0</v>
      </c>
      <c r="J1972" s="1">
        <v>0.0</v>
      </c>
      <c r="K1972" s="1">
        <v>3.0</v>
      </c>
      <c r="L1972" s="1">
        <v>5.0</v>
      </c>
      <c r="M1972" s="1">
        <v>0.6</v>
      </c>
      <c r="N1972" s="1">
        <v>9.300000191</v>
      </c>
    </row>
    <row r="1973" ht="15.75" customHeight="1">
      <c r="A1973" s="1" t="s">
        <v>160</v>
      </c>
      <c r="B1973" s="1" t="s">
        <v>230</v>
      </c>
      <c r="C1973" s="5">
        <v>45524.0</v>
      </c>
      <c r="D1973" s="1" t="s">
        <v>161</v>
      </c>
      <c r="E1973" s="1" t="s">
        <v>11</v>
      </c>
      <c r="F1973" s="1" t="s">
        <v>165</v>
      </c>
      <c r="G1973" s="1" t="s">
        <v>172</v>
      </c>
      <c r="H1973" s="1">
        <v>1.0</v>
      </c>
      <c r="I1973" s="1">
        <v>0.0</v>
      </c>
      <c r="J1973" s="1">
        <v>0.0</v>
      </c>
      <c r="K1973" s="1">
        <v>29.0</v>
      </c>
      <c r="L1973" s="1">
        <v>44.0</v>
      </c>
      <c r="M1973" s="1">
        <v>0.659090909</v>
      </c>
      <c r="N1973" s="1">
        <v>42.11000061</v>
      </c>
    </row>
    <row r="1974" ht="15.75" customHeight="1">
      <c r="A1974" s="1" t="s">
        <v>160</v>
      </c>
      <c r="B1974" s="1" t="s">
        <v>65</v>
      </c>
      <c r="C1974" s="5">
        <v>45524.0</v>
      </c>
      <c r="D1974" s="1" t="s">
        <v>161</v>
      </c>
      <c r="E1974" s="1" t="s">
        <v>11</v>
      </c>
      <c r="F1974" s="1" t="s">
        <v>162</v>
      </c>
      <c r="H1974" s="1">
        <v>0.0</v>
      </c>
      <c r="I1974" s="1">
        <v>0.0</v>
      </c>
      <c r="J1974" s="1">
        <v>0.0</v>
      </c>
      <c r="K1974" s="1">
        <v>9.0</v>
      </c>
      <c r="L1974" s="1">
        <v>19.0</v>
      </c>
      <c r="M1974" s="1">
        <v>0.473684211</v>
      </c>
      <c r="N1974" s="1">
        <v>14.03999996</v>
      </c>
    </row>
    <row r="1975" ht="15.75" customHeight="1">
      <c r="A1975" s="1" t="s">
        <v>160</v>
      </c>
      <c r="B1975" s="1" t="s">
        <v>77</v>
      </c>
      <c r="C1975" s="5">
        <v>45524.0</v>
      </c>
      <c r="D1975" s="1" t="s">
        <v>161</v>
      </c>
      <c r="E1975" s="1" t="s">
        <v>11</v>
      </c>
      <c r="F1975" s="1" t="s">
        <v>162</v>
      </c>
      <c r="H1975" s="1">
        <v>0.0</v>
      </c>
      <c r="I1975" s="1">
        <v>0.0</v>
      </c>
      <c r="J1975" s="1">
        <v>0.0</v>
      </c>
      <c r="K1975" s="1">
        <v>3.0</v>
      </c>
      <c r="L1975" s="1">
        <v>6.0</v>
      </c>
      <c r="M1975" s="1">
        <v>0.5</v>
      </c>
      <c r="N1975" s="1">
        <v>5.949999809</v>
      </c>
    </row>
    <row r="1976" ht="15.75" customHeight="1">
      <c r="A1976" s="1" t="s">
        <v>164</v>
      </c>
      <c r="B1976" s="1" t="s">
        <v>24</v>
      </c>
      <c r="C1976" s="5">
        <v>45524.0</v>
      </c>
      <c r="D1976" s="1" t="s">
        <v>161</v>
      </c>
      <c r="E1976" s="1" t="s">
        <v>11</v>
      </c>
      <c r="F1976" s="1" t="s">
        <v>166</v>
      </c>
      <c r="H1976" s="1">
        <v>0.0</v>
      </c>
      <c r="I1976" s="1">
        <v>0.0</v>
      </c>
      <c r="J1976" s="1">
        <v>0.0</v>
      </c>
      <c r="K1976" s="1">
        <v>3.0</v>
      </c>
      <c r="L1976" s="1">
        <v>7.0</v>
      </c>
      <c r="M1976" s="1">
        <v>0.428571429</v>
      </c>
      <c r="N1976" s="1">
        <v>11.13000011</v>
      </c>
    </row>
    <row r="1977" ht="15.75" customHeight="1">
      <c r="A1977" s="1" t="s">
        <v>164</v>
      </c>
      <c r="B1977" s="1" t="s">
        <v>52</v>
      </c>
      <c r="C1977" s="5">
        <v>45524.0</v>
      </c>
      <c r="D1977" s="1" t="s">
        <v>161</v>
      </c>
      <c r="E1977" s="1" t="s">
        <v>11</v>
      </c>
      <c r="F1977" s="1" t="s">
        <v>165</v>
      </c>
      <c r="H1977" s="1">
        <v>0.0</v>
      </c>
      <c r="I1977" s="1">
        <v>0.0</v>
      </c>
      <c r="J1977" s="1">
        <v>0.0</v>
      </c>
      <c r="K1977" s="1">
        <v>0.0</v>
      </c>
      <c r="L1977" s="1">
        <v>0.0</v>
      </c>
      <c r="N1977" s="1">
        <v>0.180000007</v>
      </c>
    </row>
    <row r="1978" ht="15.75" customHeight="1">
      <c r="A1978" s="1" t="s">
        <v>164</v>
      </c>
      <c r="B1978" s="1" t="s">
        <v>243</v>
      </c>
      <c r="C1978" s="5">
        <v>45524.0</v>
      </c>
      <c r="D1978" s="1" t="s">
        <v>161</v>
      </c>
      <c r="E1978" s="1" t="s">
        <v>11</v>
      </c>
      <c r="F1978" s="1" t="s">
        <v>166</v>
      </c>
      <c r="H1978" s="1">
        <v>0.0</v>
      </c>
      <c r="I1978" s="1">
        <v>0.0</v>
      </c>
      <c r="J1978" s="1">
        <v>0.0</v>
      </c>
      <c r="K1978" s="1">
        <v>1.0</v>
      </c>
      <c r="L1978" s="1">
        <v>13.0</v>
      </c>
      <c r="M1978" s="1">
        <v>0.076923077</v>
      </c>
      <c r="N1978" s="1">
        <v>28.21999931</v>
      </c>
    </row>
    <row r="1979" ht="15.75" customHeight="1">
      <c r="A1979" s="1" t="s">
        <v>164</v>
      </c>
      <c r="B1979" s="1" t="s">
        <v>81</v>
      </c>
      <c r="C1979" s="5">
        <v>45524.0</v>
      </c>
      <c r="D1979" s="1" t="s">
        <v>161</v>
      </c>
      <c r="E1979" s="1" t="s">
        <v>11</v>
      </c>
      <c r="F1979" s="1" t="s">
        <v>177</v>
      </c>
      <c r="G1979" s="1" t="s">
        <v>163</v>
      </c>
      <c r="H1979" s="1">
        <v>1.0</v>
      </c>
      <c r="I1979" s="1">
        <v>1.0</v>
      </c>
      <c r="J1979" s="1">
        <v>0.0</v>
      </c>
      <c r="K1979" s="1">
        <v>4.0</v>
      </c>
      <c r="L1979" s="1">
        <v>4.0</v>
      </c>
      <c r="M1979" s="1">
        <v>1.0</v>
      </c>
      <c r="N1979" s="1">
        <v>0.0</v>
      </c>
    </row>
    <row r="1980" ht="15.75" customHeight="1">
      <c r="A1980" s="1" t="s">
        <v>164</v>
      </c>
      <c r="B1980" s="1" t="s">
        <v>81</v>
      </c>
      <c r="C1980" s="5">
        <v>45524.0</v>
      </c>
      <c r="D1980" s="1" t="s">
        <v>161</v>
      </c>
      <c r="E1980" s="1" t="s">
        <v>11</v>
      </c>
      <c r="F1980" s="1" t="s">
        <v>168</v>
      </c>
      <c r="G1980" s="1" t="s">
        <v>163</v>
      </c>
      <c r="H1980" s="1">
        <v>1.0</v>
      </c>
      <c r="I1980" s="1">
        <v>0.0</v>
      </c>
      <c r="J1980" s="1">
        <v>0.0</v>
      </c>
      <c r="K1980" s="1">
        <v>6.0</v>
      </c>
      <c r="L1980" s="1">
        <v>7.0</v>
      </c>
      <c r="M1980" s="1">
        <v>0.857142857</v>
      </c>
      <c r="N1980" s="1">
        <v>9.600000381</v>
      </c>
    </row>
    <row r="1981" ht="15.75" customHeight="1">
      <c r="A1981" s="1" t="s">
        <v>164</v>
      </c>
      <c r="B1981" s="1" t="s">
        <v>179</v>
      </c>
      <c r="C1981" s="5">
        <v>45524.0</v>
      </c>
      <c r="D1981" s="1" t="s">
        <v>161</v>
      </c>
      <c r="E1981" s="1" t="s">
        <v>11</v>
      </c>
      <c r="F1981" s="1" t="s">
        <v>166</v>
      </c>
      <c r="G1981" s="1" t="s">
        <v>163</v>
      </c>
      <c r="H1981" s="1">
        <v>1.0</v>
      </c>
      <c r="I1981" s="1">
        <v>0.0</v>
      </c>
      <c r="J1981" s="1">
        <v>0.0</v>
      </c>
      <c r="K1981" s="1">
        <v>2.0</v>
      </c>
      <c r="L1981" s="1">
        <v>5.0</v>
      </c>
      <c r="M1981" s="1">
        <v>0.4</v>
      </c>
      <c r="N1981" s="1">
        <v>6.8699998860000004</v>
      </c>
    </row>
    <row r="1982" ht="15.75" customHeight="1">
      <c r="A1982" s="1" t="s">
        <v>164</v>
      </c>
      <c r="B1982" s="1" t="s">
        <v>60</v>
      </c>
      <c r="C1982" s="5">
        <v>45524.0</v>
      </c>
      <c r="D1982" s="1" t="s">
        <v>161</v>
      </c>
      <c r="E1982" s="1" t="s">
        <v>11</v>
      </c>
      <c r="F1982" s="1" t="s">
        <v>166</v>
      </c>
      <c r="H1982" s="1">
        <v>0.0</v>
      </c>
      <c r="I1982" s="1">
        <v>0.0</v>
      </c>
      <c r="J1982" s="1">
        <v>0.0</v>
      </c>
      <c r="K1982" s="1">
        <v>2.0</v>
      </c>
      <c r="L1982" s="1">
        <v>3.0</v>
      </c>
      <c r="M1982" s="1">
        <v>0.666666667</v>
      </c>
      <c r="N1982" s="1">
        <v>10.84000015</v>
      </c>
    </row>
    <row r="1983" ht="15.75" customHeight="1">
      <c r="A1983" s="1" t="s">
        <v>164</v>
      </c>
      <c r="B1983" s="1" t="s">
        <v>197</v>
      </c>
      <c r="C1983" s="5">
        <v>45524.0</v>
      </c>
      <c r="D1983" s="1" t="s">
        <v>161</v>
      </c>
      <c r="E1983" s="1" t="s">
        <v>11</v>
      </c>
      <c r="F1983" s="1" t="s">
        <v>166</v>
      </c>
      <c r="H1983" s="1">
        <v>0.0</v>
      </c>
      <c r="I1983" s="1">
        <v>1.0</v>
      </c>
      <c r="J1983" s="1">
        <v>0.0</v>
      </c>
      <c r="K1983" s="1">
        <v>9.0</v>
      </c>
      <c r="L1983" s="1">
        <v>11.0</v>
      </c>
      <c r="M1983" s="1">
        <v>0.818181818</v>
      </c>
      <c r="N1983" s="1">
        <v>21.56999969</v>
      </c>
    </row>
    <row r="1984" ht="15.75" customHeight="1">
      <c r="A1984" s="1" t="s">
        <v>164</v>
      </c>
      <c r="B1984" s="1" t="s">
        <v>100</v>
      </c>
      <c r="C1984" s="5">
        <v>45524.0</v>
      </c>
      <c r="D1984" s="1" t="s">
        <v>161</v>
      </c>
      <c r="E1984" s="1" t="s">
        <v>11</v>
      </c>
      <c r="F1984" s="1" t="s">
        <v>166</v>
      </c>
      <c r="H1984" s="1">
        <v>0.0</v>
      </c>
      <c r="I1984" s="1">
        <v>2.0</v>
      </c>
      <c r="J1984" s="1">
        <v>0.0</v>
      </c>
      <c r="K1984" s="1">
        <v>27.0</v>
      </c>
      <c r="L1984" s="1">
        <v>30.0</v>
      </c>
      <c r="M1984" s="1">
        <v>0.9</v>
      </c>
      <c r="N1984" s="1">
        <v>13.61999989</v>
      </c>
    </row>
    <row r="1985" ht="15.75" customHeight="1">
      <c r="A1985" s="1" t="s">
        <v>164</v>
      </c>
      <c r="B1985" s="1" t="s">
        <v>219</v>
      </c>
      <c r="C1985" s="5">
        <v>45524.0</v>
      </c>
      <c r="D1985" s="1" t="s">
        <v>161</v>
      </c>
      <c r="E1985" s="1" t="s">
        <v>11</v>
      </c>
      <c r="F1985" s="1" t="s">
        <v>165</v>
      </c>
      <c r="H1985" s="1">
        <v>0.0</v>
      </c>
      <c r="I1985" s="1">
        <v>0.0</v>
      </c>
      <c r="J1985" s="1">
        <v>0.0</v>
      </c>
      <c r="K1985" s="1">
        <v>0.0</v>
      </c>
      <c r="L1985" s="1">
        <v>0.0</v>
      </c>
      <c r="N1985" s="1">
        <v>1.549999952</v>
      </c>
    </row>
    <row r="1986" ht="15.75" customHeight="1">
      <c r="A1986" s="1" t="s">
        <v>164</v>
      </c>
      <c r="B1986" s="1" t="s">
        <v>225</v>
      </c>
      <c r="C1986" s="5">
        <v>45524.0</v>
      </c>
      <c r="D1986" s="1" t="s">
        <v>161</v>
      </c>
      <c r="E1986" s="1" t="s">
        <v>11</v>
      </c>
      <c r="H1986" s="1">
        <v>0.0</v>
      </c>
      <c r="J1986" s="1">
        <v>0.0</v>
      </c>
      <c r="N1986" s="1">
        <v>0.079999998</v>
      </c>
    </row>
    <row r="1987" ht="15.75" customHeight="1">
      <c r="A1987" s="1" t="s">
        <v>180</v>
      </c>
      <c r="B1987" s="1" t="s">
        <v>45</v>
      </c>
      <c r="C1987" s="5">
        <v>45524.0</v>
      </c>
      <c r="D1987" s="1" t="s">
        <v>161</v>
      </c>
      <c r="E1987" s="1" t="s">
        <v>11</v>
      </c>
      <c r="F1987" s="1" t="s">
        <v>166</v>
      </c>
      <c r="H1987" s="1">
        <v>0.0</v>
      </c>
      <c r="I1987" s="1">
        <v>0.0</v>
      </c>
      <c r="J1987" s="1">
        <v>0.0</v>
      </c>
      <c r="K1987" s="1">
        <v>6.0</v>
      </c>
      <c r="L1987" s="1">
        <v>19.0</v>
      </c>
      <c r="M1987" s="1">
        <v>0.315789474</v>
      </c>
      <c r="N1987" s="1">
        <v>0.0</v>
      </c>
    </row>
    <row r="1988" ht="15.75" customHeight="1">
      <c r="A1988" s="1" t="s">
        <v>160</v>
      </c>
      <c r="B1988" s="1" t="s">
        <v>18</v>
      </c>
      <c r="C1988" s="5">
        <v>45523.0</v>
      </c>
      <c r="D1988" s="1" t="s">
        <v>161</v>
      </c>
      <c r="E1988" s="1" t="s">
        <v>11</v>
      </c>
      <c r="F1988" s="1" t="s">
        <v>162</v>
      </c>
      <c r="H1988" s="1">
        <v>0.0</v>
      </c>
      <c r="I1988" s="1">
        <v>0.0</v>
      </c>
      <c r="J1988" s="1">
        <v>0.0</v>
      </c>
      <c r="K1988" s="1">
        <v>7.0</v>
      </c>
      <c r="L1988" s="1">
        <v>25.0</v>
      </c>
      <c r="M1988" s="1">
        <v>0.28</v>
      </c>
      <c r="N1988" s="1">
        <v>47.36999893</v>
      </c>
    </row>
    <row r="1989" ht="15.75" customHeight="1">
      <c r="A1989" s="1" t="s">
        <v>160</v>
      </c>
      <c r="B1989" s="1" t="s">
        <v>20</v>
      </c>
      <c r="C1989" s="5">
        <v>45523.0</v>
      </c>
      <c r="D1989" s="1" t="s">
        <v>161</v>
      </c>
      <c r="E1989" s="1" t="s">
        <v>11</v>
      </c>
      <c r="F1989" s="1" t="s">
        <v>162</v>
      </c>
      <c r="H1989" s="1">
        <v>0.0</v>
      </c>
      <c r="I1989" s="1">
        <v>0.0</v>
      </c>
      <c r="J1989" s="1">
        <v>0.0</v>
      </c>
      <c r="K1989" s="1">
        <v>1.0</v>
      </c>
      <c r="L1989" s="1">
        <v>15.0</v>
      </c>
      <c r="M1989" s="1">
        <v>0.066666667</v>
      </c>
      <c r="N1989" s="1">
        <v>0.0</v>
      </c>
    </row>
    <row r="1990" ht="15.75" customHeight="1">
      <c r="A1990" s="1" t="s">
        <v>160</v>
      </c>
      <c r="B1990" s="1" t="s">
        <v>230</v>
      </c>
      <c r="C1990" s="5">
        <v>45523.0</v>
      </c>
      <c r="D1990" s="1" t="s">
        <v>161</v>
      </c>
      <c r="E1990" s="1" t="s">
        <v>11</v>
      </c>
      <c r="F1990" s="1" t="s">
        <v>165</v>
      </c>
      <c r="H1990" s="1">
        <v>0.0</v>
      </c>
      <c r="I1990" s="1">
        <v>0.0</v>
      </c>
      <c r="J1990" s="1">
        <v>0.0</v>
      </c>
      <c r="K1990" s="1">
        <v>6.0</v>
      </c>
      <c r="L1990" s="1">
        <v>11.0</v>
      </c>
      <c r="M1990" s="1">
        <v>0.545454545</v>
      </c>
      <c r="N1990" s="1">
        <v>16.86000061</v>
      </c>
    </row>
    <row r="1991" ht="15.75" customHeight="1">
      <c r="A1991" s="1" t="s">
        <v>160</v>
      </c>
      <c r="B1991" s="1" t="s">
        <v>95</v>
      </c>
      <c r="C1991" s="5">
        <v>45523.0</v>
      </c>
      <c r="D1991" s="1" t="s">
        <v>161</v>
      </c>
      <c r="E1991" s="1" t="s">
        <v>11</v>
      </c>
      <c r="F1991" s="1" t="s">
        <v>165</v>
      </c>
      <c r="H1991" s="1">
        <v>0.0</v>
      </c>
      <c r="I1991" s="1">
        <v>0.0</v>
      </c>
      <c r="J1991" s="1">
        <v>0.0</v>
      </c>
      <c r="K1991" s="1">
        <v>0.0</v>
      </c>
      <c r="L1991" s="1">
        <v>8.0</v>
      </c>
      <c r="M1991" s="1">
        <v>0.0</v>
      </c>
      <c r="N1991" s="1">
        <v>19.87999916</v>
      </c>
    </row>
    <row r="1992" ht="15.75" customHeight="1">
      <c r="A1992" s="1" t="s">
        <v>160</v>
      </c>
      <c r="B1992" s="1" t="s">
        <v>77</v>
      </c>
      <c r="C1992" s="5">
        <v>45523.0</v>
      </c>
      <c r="D1992" s="1" t="s">
        <v>161</v>
      </c>
      <c r="E1992" s="1" t="s">
        <v>11</v>
      </c>
      <c r="F1992" s="1" t="s">
        <v>162</v>
      </c>
      <c r="H1992" s="1">
        <v>0.0</v>
      </c>
      <c r="I1992" s="1">
        <v>0.0</v>
      </c>
      <c r="J1992" s="1">
        <v>0.0</v>
      </c>
      <c r="K1992" s="1">
        <v>0.0</v>
      </c>
      <c r="L1992" s="1">
        <v>0.0</v>
      </c>
      <c r="N1992" s="1">
        <v>0.610000014</v>
      </c>
    </row>
    <row r="1993" ht="15.75" customHeight="1">
      <c r="A1993" s="1" t="s">
        <v>164</v>
      </c>
      <c r="B1993" s="1" t="s">
        <v>22</v>
      </c>
      <c r="C1993" s="5">
        <v>45523.0</v>
      </c>
      <c r="D1993" s="1" t="s">
        <v>161</v>
      </c>
      <c r="E1993" s="1" t="s">
        <v>11</v>
      </c>
      <c r="H1993" s="1">
        <v>0.0</v>
      </c>
      <c r="J1993" s="1">
        <v>0.0</v>
      </c>
      <c r="N1993" s="1">
        <v>0.720000029</v>
      </c>
    </row>
    <row r="1994" ht="15.75" customHeight="1">
      <c r="A1994" s="1" t="s">
        <v>164</v>
      </c>
      <c r="B1994" s="1" t="s">
        <v>35</v>
      </c>
      <c r="C1994" s="5">
        <v>45523.0</v>
      </c>
      <c r="D1994" s="1" t="s">
        <v>161</v>
      </c>
      <c r="E1994" s="1" t="s">
        <v>11</v>
      </c>
      <c r="F1994" s="1" t="s">
        <v>166</v>
      </c>
      <c r="H1994" s="1">
        <v>0.0</v>
      </c>
      <c r="I1994" s="1">
        <v>0.0</v>
      </c>
      <c r="J1994" s="1">
        <v>0.0</v>
      </c>
      <c r="K1994" s="1">
        <v>2.0</v>
      </c>
      <c r="L1994" s="1">
        <v>4.0</v>
      </c>
      <c r="M1994" s="1">
        <v>0.5</v>
      </c>
      <c r="N1994" s="1">
        <v>5.889999866</v>
      </c>
    </row>
    <row r="1995" ht="15.75" customHeight="1">
      <c r="A1995" s="1" t="s">
        <v>164</v>
      </c>
      <c r="B1995" s="1" t="s">
        <v>43</v>
      </c>
      <c r="C1995" s="5">
        <v>45523.0</v>
      </c>
      <c r="D1995" s="1" t="s">
        <v>161</v>
      </c>
      <c r="E1995" s="1" t="s">
        <v>11</v>
      </c>
      <c r="F1995" s="1" t="s">
        <v>166</v>
      </c>
      <c r="H1995" s="1">
        <v>0.0</v>
      </c>
      <c r="I1995" s="1">
        <v>0.0</v>
      </c>
      <c r="J1995" s="1">
        <v>0.0</v>
      </c>
      <c r="K1995" s="1">
        <v>2.0</v>
      </c>
      <c r="L1995" s="1">
        <v>6.0</v>
      </c>
      <c r="M1995" s="1">
        <v>0.333333333</v>
      </c>
      <c r="N1995" s="1">
        <v>0.0</v>
      </c>
    </row>
    <row r="1996" ht="15.75" customHeight="1">
      <c r="A1996" s="1" t="s">
        <v>164</v>
      </c>
      <c r="B1996" s="1" t="s">
        <v>24</v>
      </c>
      <c r="C1996" s="5">
        <v>45523.0</v>
      </c>
      <c r="D1996" s="1" t="s">
        <v>161</v>
      </c>
      <c r="E1996" s="1" t="s">
        <v>11</v>
      </c>
      <c r="F1996" s="1" t="s">
        <v>166</v>
      </c>
      <c r="H1996" s="1">
        <v>0.0</v>
      </c>
      <c r="I1996" s="1">
        <v>0.0</v>
      </c>
      <c r="J1996" s="1">
        <v>0.0</v>
      </c>
      <c r="K1996" s="1">
        <v>7.0</v>
      </c>
      <c r="L1996" s="1">
        <v>13.0</v>
      </c>
      <c r="M1996" s="1">
        <v>0.538461538</v>
      </c>
      <c r="N1996" s="1">
        <v>11.47000027</v>
      </c>
    </row>
    <row r="1997" ht="15.75" customHeight="1">
      <c r="A1997" s="1" t="s">
        <v>164</v>
      </c>
      <c r="B1997" s="1" t="s">
        <v>207</v>
      </c>
      <c r="C1997" s="5">
        <v>45523.0</v>
      </c>
      <c r="D1997" s="1" t="s">
        <v>161</v>
      </c>
      <c r="E1997" s="1" t="s">
        <v>11</v>
      </c>
      <c r="F1997" s="1" t="s">
        <v>166</v>
      </c>
      <c r="H1997" s="1">
        <v>0.0</v>
      </c>
      <c r="I1997" s="1">
        <v>0.0</v>
      </c>
      <c r="J1997" s="1">
        <v>0.0</v>
      </c>
      <c r="K1997" s="1">
        <v>1.0</v>
      </c>
      <c r="L1997" s="1">
        <v>3.0</v>
      </c>
      <c r="M1997" s="1">
        <v>0.333333333</v>
      </c>
      <c r="N1997" s="1">
        <v>3.769999981</v>
      </c>
    </row>
    <row r="1998" ht="15.75" customHeight="1">
      <c r="A1998" s="1" t="s">
        <v>164</v>
      </c>
      <c r="B1998" s="1" t="s">
        <v>52</v>
      </c>
      <c r="C1998" s="5">
        <v>45523.0</v>
      </c>
      <c r="D1998" s="1" t="s">
        <v>161</v>
      </c>
      <c r="E1998" s="1" t="s">
        <v>11</v>
      </c>
      <c r="H1998" s="1">
        <v>0.0</v>
      </c>
      <c r="J1998" s="1">
        <v>0.0</v>
      </c>
      <c r="N1998" s="1">
        <v>0.349999994</v>
      </c>
    </row>
    <row r="1999" ht="15.75" customHeight="1">
      <c r="A1999" s="1" t="s">
        <v>164</v>
      </c>
      <c r="B1999" s="1" t="s">
        <v>199</v>
      </c>
      <c r="C1999" s="5">
        <v>45523.0</v>
      </c>
      <c r="D1999" s="1" t="s">
        <v>161</v>
      </c>
      <c r="E1999" s="1" t="s">
        <v>11</v>
      </c>
      <c r="F1999" s="1" t="s">
        <v>162</v>
      </c>
      <c r="H1999" s="1">
        <v>0.0</v>
      </c>
      <c r="I1999" s="1">
        <v>0.0</v>
      </c>
      <c r="J1999" s="1">
        <v>0.0</v>
      </c>
      <c r="K1999" s="1">
        <v>8.0</v>
      </c>
      <c r="L1999" s="1">
        <v>12.0</v>
      </c>
      <c r="M1999" s="1">
        <v>0.666666667</v>
      </c>
      <c r="N1999" s="1">
        <v>12.26000023</v>
      </c>
    </row>
    <row r="2000" ht="15.75" customHeight="1">
      <c r="A2000" s="1" t="s">
        <v>164</v>
      </c>
      <c r="B2000" s="1" t="s">
        <v>81</v>
      </c>
      <c r="C2000" s="5">
        <v>45523.0</v>
      </c>
      <c r="D2000" s="1" t="s">
        <v>161</v>
      </c>
      <c r="E2000" s="1" t="s">
        <v>11</v>
      </c>
      <c r="F2000" s="1" t="s">
        <v>177</v>
      </c>
      <c r="G2000" s="1" t="s">
        <v>163</v>
      </c>
      <c r="H2000" s="1">
        <v>1.0</v>
      </c>
      <c r="I2000" s="1">
        <v>0.0</v>
      </c>
      <c r="J2000" s="1">
        <v>0.0</v>
      </c>
      <c r="K2000" s="1">
        <v>8.0</v>
      </c>
      <c r="L2000" s="1">
        <v>12.0</v>
      </c>
      <c r="M2000" s="1">
        <v>0.666666667</v>
      </c>
      <c r="N2000" s="1">
        <v>10.01000023</v>
      </c>
    </row>
    <row r="2001" ht="15.75" customHeight="1">
      <c r="A2001" s="1" t="s">
        <v>164</v>
      </c>
      <c r="B2001" s="1" t="s">
        <v>179</v>
      </c>
      <c r="C2001" s="5">
        <v>45523.0</v>
      </c>
      <c r="D2001" s="1" t="s">
        <v>161</v>
      </c>
      <c r="E2001" s="1" t="s">
        <v>11</v>
      </c>
      <c r="F2001" s="1" t="s">
        <v>166</v>
      </c>
      <c r="H2001" s="1">
        <v>0.0</v>
      </c>
      <c r="I2001" s="1">
        <v>0.0</v>
      </c>
      <c r="J2001" s="1">
        <v>0.0</v>
      </c>
      <c r="K2001" s="1">
        <v>0.0</v>
      </c>
      <c r="L2001" s="1">
        <v>0.0</v>
      </c>
      <c r="N2001" s="1">
        <v>0.150000006</v>
      </c>
    </row>
    <row r="2002" ht="15.75" customHeight="1">
      <c r="A2002" s="1" t="s">
        <v>164</v>
      </c>
      <c r="B2002" s="1" t="s">
        <v>183</v>
      </c>
      <c r="C2002" s="5">
        <v>45523.0</v>
      </c>
      <c r="D2002" s="1" t="s">
        <v>161</v>
      </c>
      <c r="E2002" s="1" t="s">
        <v>11</v>
      </c>
      <c r="F2002" s="1" t="s">
        <v>166</v>
      </c>
      <c r="H2002" s="1">
        <v>0.0</v>
      </c>
      <c r="I2002" s="1">
        <v>1.0</v>
      </c>
      <c r="J2002" s="1">
        <v>0.0</v>
      </c>
      <c r="K2002" s="1">
        <v>8.0</v>
      </c>
      <c r="L2002" s="1">
        <v>11.0</v>
      </c>
      <c r="M2002" s="1">
        <v>0.727272727</v>
      </c>
      <c r="N2002" s="1">
        <v>11.72000027</v>
      </c>
    </row>
    <row r="2003" ht="15.75" customHeight="1">
      <c r="A2003" s="1" t="s">
        <v>164</v>
      </c>
      <c r="B2003" s="1" t="s">
        <v>68</v>
      </c>
      <c r="C2003" s="5">
        <v>45523.0</v>
      </c>
      <c r="D2003" s="1" t="s">
        <v>161</v>
      </c>
      <c r="E2003" s="1" t="s">
        <v>11</v>
      </c>
      <c r="H2003" s="1">
        <v>0.0</v>
      </c>
      <c r="J2003" s="1">
        <v>0.0</v>
      </c>
      <c r="N2003" s="1">
        <v>0.079999998</v>
      </c>
    </row>
    <row r="2004" ht="15.75" customHeight="1">
      <c r="A2004" s="1" t="s">
        <v>164</v>
      </c>
      <c r="B2004" s="1" t="s">
        <v>197</v>
      </c>
      <c r="C2004" s="5">
        <v>45523.0</v>
      </c>
      <c r="D2004" s="1" t="s">
        <v>161</v>
      </c>
      <c r="E2004" s="1" t="s">
        <v>11</v>
      </c>
      <c r="F2004" s="1" t="s">
        <v>166</v>
      </c>
      <c r="H2004" s="1">
        <v>0.0</v>
      </c>
      <c r="I2004" s="1">
        <v>0.0</v>
      </c>
      <c r="J2004" s="1">
        <v>0.0</v>
      </c>
      <c r="K2004" s="1">
        <v>3.0</v>
      </c>
      <c r="L2004" s="1">
        <v>4.0</v>
      </c>
      <c r="M2004" s="1">
        <v>0.75</v>
      </c>
      <c r="N2004" s="1">
        <v>7.449999809</v>
      </c>
    </row>
    <row r="2005" ht="15.75" customHeight="1">
      <c r="A2005" s="1" t="s">
        <v>164</v>
      </c>
      <c r="B2005" s="1" t="s">
        <v>74</v>
      </c>
      <c r="C2005" s="5">
        <v>45523.0</v>
      </c>
      <c r="D2005" s="1" t="s">
        <v>161</v>
      </c>
      <c r="E2005" s="1" t="s">
        <v>11</v>
      </c>
      <c r="F2005" s="1" t="s">
        <v>166</v>
      </c>
      <c r="H2005" s="1">
        <v>0.0</v>
      </c>
      <c r="I2005" s="1">
        <v>0.0</v>
      </c>
      <c r="J2005" s="1">
        <v>0.0</v>
      </c>
      <c r="K2005" s="1">
        <v>0.0</v>
      </c>
      <c r="L2005" s="1">
        <v>1.0</v>
      </c>
      <c r="M2005" s="1">
        <v>0.0</v>
      </c>
      <c r="N2005" s="1">
        <v>9.039999962</v>
      </c>
    </row>
    <row r="2006" ht="15.75" customHeight="1">
      <c r="A2006" s="1" t="s">
        <v>164</v>
      </c>
      <c r="B2006" s="1" t="s">
        <v>100</v>
      </c>
      <c r="C2006" s="5">
        <v>45523.0</v>
      </c>
      <c r="D2006" s="1" t="s">
        <v>161</v>
      </c>
      <c r="E2006" s="1" t="s">
        <v>11</v>
      </c>
      <c r="F2006" s="1" t="s">
        <v>166</v>
      </c>
      <c r="H2006" s="1">
        <v>0.0</v>
      </c>
      <c r="I2006" s="1">
        <v>0.0</v>
      </c>
      <c r="J2006" s="1">
        <v>0.0</v>
      </c>
      <c r="K2006" s="1">
        <v>30.0</v>
      </c>
      <c r="L2006" s="1">
        <v>80.0</v>
      </c>
      <c r="M2006" s="1">
        <v>0.375</v>
      </c>
      <c r="N2006" s="1">
        <v>54.79999924</v>
      </c>
    </row>
    <row r="2007" ht="15.75" customHeight="1">
      <c r="A2007" s="1" t="s">
        <v>164</v>
      </c>
      <c r="B2007" s="1" t="s">
        <v>82</v>
      </c>
      <c r="C2007" s="5">
        <v>45523.0</v>
      </c>
      <c r="D2007" s="1" t="s">
        <v>161</v>
      </c>
      <c r="E2007" s="1" t="s">
        <v>11</v>
      </c>
      <c r="F2007" s="1" t="s">
        <v>165</v>
      </c>
      <c r="H2007" s="1">
        <v>0.0</v>
      </c>
      <c r="I2007" s="1">
        <v>1.0</v>
      </c>
      <c r="J2007" s="1">
        <v>0.0</v>
      </c>
      <c r="K2007" s="1">
        <v>14.0</v>
      </c>
      <c r="L2007" s="1">
        <v>21.0</v>
      </c>
      <c r="M2007" s="1">
        <v>0.666666667</v>
      </c>
      <c r="N2007" s="1">
        <v>8.760000229</v>
      </c>
    </row>
    <row r="2008" ht="15.75" customHeight="1">
      <c r="A2008" s="1" t="s">
        <v>164</v>
      </c>
      <c r="B2008" s="1" t="s">
        <v>251</v>
      </c>
      <c r="C2008" s="5">
        <v>45523.0</v>
      </c>
      <c r="D2008" s="1" t="s">
        <v>161</v>
      </c>
      <c r="E2008" s="1" t="s">
        <v>11</v>
      </c>
      <c r="F2008" s="1" t="s">
        <v>166</v>
      </c>
      <c r="H2008" s="1">
        <v>0.0</v>
      </c>
      <c r="I2008" s="1">
        <v>0.0</v>
      </c>
      <c r="J2008" s="1">
        <v>0.0</v>
      </c>
      <c r="K2008" s="1">
        <v>0.0</v>
      </c>
      <c r="L2008" s="1">
        <v>0.0</v>
      </c>
      <c r="N2008" s="1">
        <v>0.439999998</v>
      </c>
    </row>
    <row r="2009" ht="15.75" customHeight="1">
      <c r="A2009" s="1" t="s">
        <v>164</v>
      </c>
      <c r="B2009" s="1" t="s">
        <v>219</v>
      </c>
      <c r="C2009" s="5">
        <v>45523.0</v>
      </c>
      <c r="D2009" s="1" t="s">
        <v>161</v>
      </c>
      <c r="E2009" s="1" t="s">
        <v>11</v>
      </c>
      <c r="F2009" s="1" t="s">
        <v>162</v>
      </c>
      <c r="H2009" s="1">
        <v>0.0</v>
      </c>
      <c r="I2009" s="1">
        <v>0.0</v>
      </c>
      <c r="J2009" s="1">
        <v>0.0</v>
      </c>
      <c r="K2009" s="1">
        <v>0.0</v>
      </c>
      <c r="L2009" s="1">
        <v>0.0</v>
      </c>
      <c r="N2009" s="1">
        <v>1.799999952</v>
      </c>
    </row>
    <row r="2010" ht="15.75" customHeight="1">
      <c r="A2010" s="1" t="s">
        <v>180</v>
      </c>
      <c r="B2010" s="1" t="s">
        <v>45</v>
      </c>
      <c r="C2010" s="5">
        <v>45523.0</v>
      </c>
      <c r="D2010" s="1" t="s">
        <v>161</v>
      </c>
      <c r="E2010" s="1" t="s">
        <v>11</v>
      </c>
      <c r="F2010" s="1" t="s">
        <v>166</v>
      </c>
      <c r="H2010" s="1">
        <v>0.0</v>
      </c>
      <c r="I2010" s="1">
        <v>0.0</v>
      </c>
      <c r="J2010" s="1">
        <v>0.0</v>
      </c>
      <c r="K2010" s="1">
        <v>2.0</v>
      </c>
      <c r="L2010" s="1">
        <v>29.0</v>
      </c>
      <c r="M2010" s="1">
        <v>0.068965517</v>
      </c>
      <c r="N2010" s="1">
        <v>2.339999914</v>
      </c>
    </row>
    <row r="2011" ht="15.75" customHeight="1">
      <c r="A2011" s="1" t="s">
        <v>180</v>
      </c>
      <c r="B2011" s="1" t="s">
        <v>239</v>
      </c>
      <c r="C2011" s="5">
        <v>45523.0</v>
      </c>
      <c r="D2011" s="1" t="s">
        <v>161</v>
      </c>
      <c r="E2011" s="1" t="s">
        <v>11</v>
      </c>
      <c r="F2011" s="1" t="s">
        <v>166</v>
      </c>
      <c r="G2011" s="1" t="s">
        <v>172</v>
      </c>
      <c r="H2011" s="1">
        <v>1.0</v>
      </c>
      <c r="I2011" s="1">
        <v>1.0</v>
      </c>
      <c r="J2011" s="1">
        <v>0.0</v>
      </c>
      <c r="K2011" s="1">
        <v>16.0</v>
      </c>
      <c r="L2011" s="1">
        <v>22.0</v>
      </c>
      <c r="M2011" s="1">
        <v>0.727272727</v>
      </c>
      <c r="N2011" s="1">
        <v>11.39000034</v>
      </c>
    </row>
    <row r="2012" ht="15.75" customHeight="1">
      <c r="A2012" s="1" t="s">
        <v>180</v>
      </c>
      <c r="B2012" s="1" t="s">
        <v>237</v>
      </c>
      <c r="C2012" s="5">
        <v>45523.0</v>
      </c>
      <c r="D2012" s="1" t="s">
        <v>161</v>
      </c>
      <c r="E2012" s="1" t="s">
        <v>11</v>
      </c>
      <c r="F2012" s="1" t="s">
        <v>166</v>
      </c>
      <c r="H2012" s="1">
        <v>0.0</v>
      </c>
      <c r="I2012" s="1">
        <v>0.0</v>
      </c>
      <c r="J2012" s="1">
        <v>0.0</v>
      </c>
      <c r="K2012" s="1">
        <v>0.0</v>
      </c>
      <c r="L2012" s="1">
        <v>2.0</v>
      </c>
      <c r="M2012" s="1">
        <v>0.0</v>
      </c>
      <c r="N2012" s="1">
        <v>5.909999847</v>
      </c>
    </row>
    <row r="2013" ht="15.75" customHeight="1">
      <c r="A2013" s="1" t="s">
        <v>180</v>
      </c>
      <c r="B2013" s="1" t="s">
        <v>185</v>
      </c>
      <c r="C2013" s="5">
        <v>45523.0</v>
      </c>
      <c r="D2013" s="1" t="s">
        <v>161</v>
      </c>
      <c r="E2013" s="1" t="s">
        <v>11</v>
      </c>
      <c r="F2013" s="1" t="s">
        <v>166</v>
      </c>
      <c r="H2013" s="1">
        <v>0.0</v>
      </c>
      <c r="I2013" s="1">
        <v>0.0</v>
      </c>
      <c r="J2013" s="1">
        <v>0.0</v>
      </c>
      <c r="K2013" s="1">
        <v>6.0</v>
      </c>
      <c r="L2013" s="1">
        <v>11.0</v>
      </c>
      <c r="M2013" s="1">
        <v>0.545454545</v>
      </c>
      <c r="N2013" s="1">
        <v>25.89999962</v>
      </c>
    </row>
    <row r="2014" ht="15.75" customHeight="1">
      <c r="A2014" s="1" t="s">
        <v>160</v>
      </c>
      <c r="B2014" s="1" t="s">
        <v>252</v>
      </c>
      <c r="C2014" s="5">
        <v>45522.0</v>
      </c>
      <c r="D2014" s="1" t="s">
        <v>161</v>
      </c>
      <c r="E2014" s="1" t="s">
        <v>11</v>
      </c>
      <c r="H2014" s="1">
        <v>0.0</v>
      </c>
      <c r="J2014" s="1">
        <v>0.0</v>
      </c>
      <c r="N2014" s="1">
        <v>0.150000006</v>
      </c>
    </row>
    <row r="2015" ht="15.75" customHeight="1">
      <c r="A2015" s="1" t="s">
        <v>160</v>
      </c>
      <c r="B2015" s="1" t="s">
        <v>253</v>
      </c>
      <c r="C2015" s="5">
        <v>45522.0</v>
      </c>
      <c r="D2015" s="1" t="s">
        <v>161</v>
      </c>
      <c r="E2015" s="1" t="s">
        <v>11</v>
      </c>
      <c r="H2015" s="1">
        <v>0.0</v>
      </c>
      <c r="J2015" s="1">
        <v>0.0</v>
      </c>
      <c r="N2015" s="1">
        <v>0.300000012</v>
      </c>
    </row>
    <row r="2016" ht="15.75" customHeight="1">
      <c r="A2016" s="1" t="s">
        <v>160</v>
      </c>
      <c r="B2016" s="1" t="s">
        <v>254</v>
      </c>
      <c r="C2016" s="5">
        <v>45522.0</v>
      </c>
      <c r="D2016" s="1" t="s">
        <v>161</v>
      </c>
      <c r="E2016" s="1" t="s">
        <v>11</v>
      </c>
      <c r="F2016" s="1" t="s">
        <v>162</v>
      </c>
      <c r="H2016" s="1">
        <v>0.0</v>
      </c>
      <c r="I2016" s="1">
        <v>1.0</v>
      </c>
      <c r="J2016" s="1">
        <v>0.0</v>
      </c>
      <c r="K2016" s="1">
        <v>12.0</v>
      </c>
      <c r="L2016" s="1">
        <v>14.0</v>
      </c>
      <c r="M2016" s="1">
        <v>0.857142857</v>
      </c>
      <c r="N2016" s="1">
        <v>6.409999847</v>
      </c>
    </row>
    <row r="2017" ht="15.75" customHeight="1">
      <c r="A2017" s="1" t="s">
        <v>160</v>
      </c>
      <c r="B2017" s="1" t="s">
        <v>240</v>
      </c>
      <c r="C2017" s="5">
        <v>45522.0</v>
      </c>
      <c r="D2017" s="1" t="s">
        <v>161</v>
      </c>
      <c r="E2017" s="1" t="s">
        <v>11</v>
      </c>
      <c r="H2017" s="1">
        <v>0.0</v>
      </c>
      <c r="J2017" s="1">
        <v>0.0</v>
      </c>
      <c r="N2017" s="1">
        <v>0.239999995</v>
      </c>
    </row>
    <row r="2018" ht="15.75" customHeight="1">
      <c r="A2018" s="1" t="s">
        <v>160</v>
      </c>
      <c r="B2018" s="1" t="s">
        <v>255</v>
      </c>
      <c r="C2018" s="5">
        <v>45522.0</v>
      </c>
      <c r="D2018" s="1" t="s">
        <v>161</v>
      </c>
      <c r="E2018" s="1" t="s">
        <v>11</v>
      </c>
      <c r="H2018" s="1">
        <v>0.0</v>
      </c>
      <c r="J2018" s="1">
        <v>0.0</v>
      </c>
      <c r="N2018" s="1">
        <v>0.25999999</v>
      </c>
    </row>
    <row r="2019" ht="15.75" customHeight="1">
      <c r="A2019" s="1" t="s">
        <v>160</v>
      </c>
      <c r="B2019" s="1" t="s">
        <v>256</v>
      </c>
      <c r="C2019" s="5">
        <v>45522.0</v>
      </c>
      <c r="D2019" s="1" t="s">
        <v>161</v>
      </c>
      <c r="E2019" s="1" t="s">
        <v>11</v>
      </c>
      <c r="F2019" s="1" t="s">
        <v>165</v>
      </c>
      <c r="H2019" s="1">
        <v>0.0</v>
      </c>
      <c r="I2019" s="1">
        <v>0.0</v>
      </c>
      <c r="J2019" s="1">
        <v>0.0</v>
      </c>
      <c r="K2019" s="1">
        <v>0.0</v>
      </c>
      <c r="L2019" s="1">
        <v>0.0</v>
      </c>
      <c r="N2019" s="1">
        <v>0.379999995</v>
      </c>
    </row>
    <row r="2020" ht="15.75" customHeight="1">
      <c r="A2020" s="1" t="s">
        <v>160</v>
      </c>
      <c r="B2020" s="1" t="s">
        <v>250</v>
      </c>
      <c r="C2020" s="5">
        <v>45522.0</v>
      </c>
      <c r="D2020" s="1" t="s">
        <v>161</v>
      </c>
      <c r="E2020" s="1" t="s">
        <v>11</v>
      </c>
      <c r="H2020" s="1">
        <v>0.0</v>
      </c>
      <c r="J2020" s="1">
        <v>0.0</v>
      </c>
      <c r="N2020" s="1">
        <v>0.360000014</v>
      </c>
    </row>
    <row r="2021" ht="15.75" customHeight="1">
      <c r="A2021" s="1" t="s">
        <v>160</v>
      </c>
      <c r="B2021" s="1" t="s">
        <v>257</v>
      </c>
      <c r="C2021" s="5">
        <v>45522.0</v>
      </c>
      <c r="D2021" s="1" t="s">
        <v>161</v>
      </c>
      <c r="E2021" s="1" t="s">
        <v>11</v>
      </c>
      <c r="H2021" s="1">
        <v>0.0</v>
      </c>
      <c r="J2021" s="1">
        <v>0.0</v>
      </c>
      <c r="N2021" s="1">
        <v>0.300000012</v>
      </c>
    </row>
    <row r="2022" ht="15.75" customHeight="1">
      <c r="A2022" s="1" t="s">
        <v>160</v>
      </c>
      <c r="B2022" s="1" t="s">
        <v>258</v>
      </c>
      <c r="C2022" s="5">
        <v>45522.0</v>
      </c>
      <c r="D2022" s="1" t="s">
        <v>161</v>
      </c>
      <c r="E2022" s="1" t="s">
        <v>11</v>
      </c>
      <c r="H2022" s="1">
        <v>0.0</v>
      </c>
      <c r="J2022" s="1">
        <v>0.0</v>
      </c>
      <c r="N2022" s="1">
        <v>0.300000012</v>
      </c>
    </row>
    <row r="2023" ht="15.75" customHeight="1">
      <c r="A2023" s="1" t="s">
        <v>160</v>
      </c>
      <c r="B2023" s="1" t="s">
        <v>259</v>
      </c>
      <c r="C2023" s="5">
        <v>45522.0</v>
      </c>
      <c r="D2023" s="1" t="s">
        <v>161</v>
      </c>
      <c r="E2023" s="1" t="s">
        <v>11</v>
      </c>
      <c r="H2023" s="1">
        <v>0.0</v>
      </c>
      <c r="J2023" s="1">
        <v>0.0</v>
      </c>
      <c r="N2023" s="1">
        <v>0.449999988</v>
      </c>
    </row>
    <row r="2024" ht="15.75" customHeight="1">
      <c r="A2024" s="1" t="s">
        <v>160</v>
      </c>
      <c r="B2024" s="1" t="s">
        <v>260</v>
      </c>
      <c r="C2024" s="5">
        <v>45522.0</v>
      </c>
      <c r="D2024" s="1" t="s">
        <v>161</v>
      </c>
      <c r="E2024" s="1" t="s">
        <v>11</v>
      </c>
      <c r="H2024" s="1">
        <v>0.0</v>
      </c>
      <c r="J2024" s="1">
        <v>0.0</v>
      </c>
      <c r="N2024" s="1">
        <v>0.289999992</v>
      </c>
    </row>
    <row r="2025" ht="15.75" customHeight="1">
      <c r="A2025" s="1" t="s">
        <v>160</v>
      </c>
      <c r="B2025" s="1" t="s">
        <v>261</v>
      </c>
      <c r="C2025" s="5">
        <v>45522.0</v>
      </c>
      <c r="D2025" s="1" t="s">
        <v>161</v>
      </c>
      <c r="E2025" s="1" t="s">
        <v>11</v>
      </c>
      <c r="F2025" s="1" t="s">
        <v>165</v>
      </c>
      <c r="H2025" s="1">
        <v>0.0</v>
      </c>
      <c r="I2025" s="1">
        <v>0.0</v>
      </c>
      <c r="J2025" s="1">
        <v>0.0</v>
      </c>
      <c r="K2025" s="1">
        <v>0.0</v>
      </c>
      <c r="L2025" s="1">
        <v>0.0</v>
      </c>
      <c r="N2025" s="1">
        <v>0.680000007</v>
      </c>
    </row>
    <row r="2026" ht="15.75" customHeight="1">
      <c r="A2026" s="1" t="s">
        <v>160</v>
      </c>
      <c r="B2026" s="1" t="s">
        <v>262</v>
      </c>
      <c r="C2026" s="5">
        <v>45522.0</v>
      </c>
      <c r="D2026" s="1" t="s">
        <v>161</v>
      </c>
      <c r="E2026" s="1" t="s">
        <v>11</v>
      </c>
      <c r="H2026" s="1">
        <v>0.0</v>
      </c>
      <c r="J2026" s="1">
        <v>0.0</v>
      </c>
      <c r="N2026" s="1">
        <v>1.059999943</v>
      </c>
    </row>
    <row r="2027" ht="15.75" customHeight="1">
      <c r="A2027" s="1" t="s">
        <v>160</v>
      </c>
      <c r="B2027" s="1" t="s">
        <v>241</v>
      </c>
      <c r="C2027" s="5">
        <v>45522.0</v>
      </c>
      <c r="D2027" s="1" t="s">
        <v>161</v>
      </c>
      <c r="E2027" s="1" t="s">
        <v>11</v>
      </c>
      <c r="F2027" s="1" t="s">
        <v>162</v>
      </c>
      <c r="H2027" s="1">
        <v>0.0</v>
      </c>
      <c r="I2027" s="1">
        <v>0.0</v>
      </c>
      <c r="J2027" s="1">
        <v>0.0</v>
      </c>
      <c r="K2027" s="1">
        <v>0.0</v>
      </c>
      <c r="L2027" s="1">
        <v>0.0</v>
      </c>
      <c r="N2027" s="1">
        <v>0.319999993</v>
      </c>
    </row>
    <row r="2028" ht="15.75" customHeight="1">
      <c r="A2028" s="1" t="s">
        <v>164</v>
      </c>
      <c r="B2028" s="1" t="s">
        <v>249</v>
      </c>
      <c r="C2028" s="5">
        <v>45522.0</v>
      </c>
      <c r="D2028" s="1" t="s">
        <v>161</v>
      </c>
      <c r="E2028" s="1" t="s">
        <v>11</v>
      </c>
      <c r="H2028" s="1">
        <v>0.0</v>
      </c>
      <c r="J2028" s="1">
        <v>0.0</v>
      </c>
      <c r="N2028" s="1">
        <v>0.419999987</v>
      </c>
    </row>
    <row r="2029" ht="15.75" customHeight="1">
      <c r="A2029" s="1" t="s">
        <v>164</v>
      </c>
      <c r="B2029" s="1" t="s">
        <v>247</v>
      </c>
      <c r="C2029" s="5">
        <v>45522.0</v>
      </c>
      <c r="D2029" s="1" t="s">
        <v>161</v>
      </c>
      <c r="E2029" s="1" t="s">
        <v>11</v>
      </c>
      <c r="H2029" s="1">
        <v>0.0</v>
      </c>
      <c r="J2029" s="1">
        <v>0.0</v>
      </c>
      <c r="N2029" s="1">
        <v>0.25</v>
      </c>
    </row>
    <row r="2030" ht="15.75" customHeight="1">
      <c r="A2030" s="1" t="s">
        <v>164</v>
      </c>
      <c r="B2030" s="1" t="s">
        <v>245</v>
      </c>
      <c r="C2030" s="5">
        <v>45522.0</v>
      </c>
      <c r="D2030" s="1" t="s">
        <v>161</v>
      </c>
      <c r="E2030" s="1" t="s">
        <v>11</v>
      </c>
      <c r="F2030" s="1" t="s">
        <v>166</v>
      </c>
      <c r="H2030" s="1">
        <v>0.0</v>
      </c>
      <c r="I2030" s="1">
        <v>0.0</v>
      </c>
      <c r="J2030" s="1">
        <v>0.0</v>
      </c>
      <c r="K2030" s="1">
        <v>0.0</v>
      </c>
      <c r="L2030" s="1">
        <v>0.0</v>
      </c>
      <c r="N2030" s="1">
        <v>0.280000001</v>
      </c>
    </row>
    <row r="2031" ht="15.75" customHeight="1">
      <c r="A2031" s="1" t="s">
        <v>164</v>
      </c>
      <c r="B2031" s="1" t="s">
        <v>242</v>
      </c>
      <c r="C2031" s="5">
        <v>45522.0</v>
      </c>
      <c r="D2031" s="1" t="s">
        <v>161</v>
      </c>
      <c r="E2031" s="1" t="s">
        <v>11</v>
      </c>
      <c r="H2031" s="1">
        <v>0.0</v>
      </c>
      <c r="J2031" s="1">
        <v>0.0</v>
      </c>
      <c r="N2031" s="1">
        <v>0.319999993</v>
      </c>
    </row>
    <row r="2032" ht="15.75" customHeight="1">
      <c r="A2032" s="1" t="s">
        <v>164</v>
      </c>
      <c r="B2032" s="1" t="s">
        <v>243</v>
      </c>
      <c r="C2032" s="5">
        <v>45522.0</v>
      </c>
      <c r="D2032" s="1" t="s">
        <v>161</v>
      </c>
      <c r="E2032" s="1" t="s">
        <v>11</v>
      </c>
      <c r="H2032" s="1">
        <v>0.0</v>
      </c>
      <c r="J2032" s="1">
        <v>0.0</v>
      </c>
      <c r="N2032" s="1">
        <v>0.550000012</v>
      </c>
    </row>
    <row r="2033" ht="15.75" customHeight="1">
      <c r="A2033" s="1" t="s">
        <v>164</v>
      </c>
      <c r="B2033" s="1" t="s">
        <v>244</v>
      </c>
      <c r="C2033" s="5">
        <v>45522.0</v>
      </c>
      <c r="D2033" s="1" t="s">
        <v>161</v>
      </c>
      <c r="E2033" s="1" t="s">
        <v>11</v>
      </c>
      <c r="F2033" s="1" t="s">
        <v>166</v>
      </c>
      <c r="H2033" s="1">
        <v>0.0</v>
      </c>
      <c r="I2033" s="1">
        <v>0.0</v>
      </c>
      <c r="J2033" s="1">
        <v>0.0</v>
      </c>
      <c r="K2033" s="1">
        <v>0.0</v>
      </c>
      <c r="L2033" s="1">
        <v>0.0</v>
      </c>
      <c r="N2033" s="1">
        <v>0.25999999</v>
      </c>
    </row>
    <row r="2034" ht="15.75" customHeight="1">
      <c r="A2034" s="1" t="s">
        <v>164</v>
      </c>
      <c r="B2034" s="1" t="s">
        <v>263</v>
      </c>
      <c r="C2034" s="5">
        <v>45522.0</v>
      </c>
      <c r="D2034" s="1" t="s">
        <v>161</v>
      </c>
      <c r="E2034" s="1" t="s">
        <v>11</v>
      </c>
      <c r="F2034" s="1" t="s">
        <v>166</v>
      </c>
      <c r="H2034" s="1">
        <v>0.0</v>
      </c>
      <c r="I2034" s="1">
        <v>0.0</v>
      </c>
      <c r="J2034" s="1">
        <v>0.0</v>
      </c>
      <c r="K2034" s="1">
        <v>0.0</v>
      </c>
      <c r="L2034" s="1">
        <v>0.0</v>
      </c>
      <c r="N2034" s="1">
        <v>0.270000011</v>
      </c>
    </row>
    <row r="2035" ht="15.75" customHeight="1">
      <c r="A2035" s="1" t="s">
        <v>164</v>
      </c>
      <c r="B2035" s="1" t="s">
        <v>264</v>
      </c>
      <c r="C2035" s="5">
        <v>45522.0</v>
      </c>
      <c r="D2035" s="1" t="s">
        <v>161</v>
      </c>
      <c r="E2035" s="1" t="s">
        <v>11</v>
      </c>
      <c r="H2035" s="1">
        <v>0.0</v>
      </c>
      <c r="J2035" s="1">
        <v>0.0</v>
      </c>
      <c r="N2035" s="1">
        <v>0.660000026</v>
      </c>
    </row>
    <row r="2036" ht="15.75" customHeight="1">
      <c r="A2036" s="1" t="s">
        <v>164</v>
      </c>
      <c r="B2036" s="1" t="s">
        <v>248</v>
      </c>
      <c r="C2036" s="5">
        <v>45522.0</v>
      </c>
      <c r="D2036" s="1" t="s">
        <v>161</v>
      </c>
      <c r="E2036" s="1" t="s">
        <v>11</v>
      </c>
      <c r="F2036" s="1" t="s">
        <v>166</v>
      </c>
      <c r="H2036" s="1">
        <v>0.0</v>
      </c>
      <c r="I2036" s="1">
        <v>0.0</v>
      </c>
      <c r="J2036" s="1">
        <v>0.0</v>
      </c>
      <c r="K2036" s="1">
        <v>0.0</v>
      </c>
      <c r="L2036" s="1">
        <v>0.0</v>
      </c>
      <c r="N2036" s="1">
        <v>0.800000012</v>
      </c>
    </row>
    <row r="2037" ht="15.75" customHeight="1">
      <c r="A2037" s="1" t="s">
        <v>164</v>
      </c>
      <c r="B2037" s="1" t="s">
        <v>246</v>
      </c>
      <c r="C2037" s="5">
        <v>45522.0</v>
      </c>
      <c r="D2037" s="1" t="s">
        <v>161</v>
      </c>
      <c r="E2037" s="1" t="s">
        <v>11</v>
      </c>
      <c r="F2037" s="1" t="s">
        <v>166</v>
      </c>
      <c r="H2037" s="1">
        <v>0.0</v>
      </c>
      <c r="I2037" s="1">
        <v>0.0</v>
      </c>
      <c r="J2037" s="1">
        <v>0.0</v>
      </c>
      <c r="K2037" s="1">
        <v>0.0</v>
      </c>
      <c r="L2037" s="1">
        <v>0.0</v>
      </c>
      <c r="N2037" s="1">
        <v>0.289999992</v>
      </c>
    </row>
    <row r="2038" ht="15.75" customHeight="1">
      <c r="A2038" s="1" t="s">
        <v>160</v>
      </c>
      <c r="B2038" s="1" t="s">
        <v>252</v>
      </c>
      <c r="C2038" s="5">
        <v>45521.0</v>
      </c>
      <c r="D2038" s="1" t="s">
        <v>161</v>
      </c>
      <c r="E2038" s="1" t="s">
        <v>11</v>
      </c>
      <c r="H2038" s="1">
        <v>0.0</v>
      </c>
      <c r="J2038" s="1">
        <v>0.0</v>
      </c>
      <c r="N2038" s="1">
        <v>6.0</v>
      </c>
    </row>
    <row r="2039" ht="15.75" customHeight="1">
      <c r="A2039" s="1" t="s">
        <v>160</v>
      </c>
      <c r="B2039" s="1" t="s">
        <v>254</v>
      </c>
      <c r="C2039" s="5">
        <v>45521.0</v>
      </c>
      <c r="D2039" s="1" t="s">
        <v>161</v>
      </c>
      <c r="E2039" s="1" t="s">
        <v>11</v>
      </c>
      <c r="F2039" s="1" t="s">
        <v>162</v>
      </c>
      <c r="H2039" s="1">
        <v>0.0</v>
      </c>
      <c r="I2039" s="1">
        <v>1.0</v>
      </c>
      <c r="J2039" s="1">
        <v>0.0</v>
      </c>
      <c r="K2039" s="1">
        <v>12.0</v>
      </c>
      <c r="L2039" s="1">
        <v>12.0</v>
      </c>
      <c r="M2039" s="1">
        <v>1.0</v>
      </c>
      <c r="N2039" s="1">
        <v>8.399999619</v>
      </c>
    </row>
    <row r="2040" ht="15.75" customHeight="1">
      <c r="A2040" s="1" t="s">
        <v>160</v>
      </c>
      <c r="B2040" s="1" t="s">
        <v>39</v>
      </c>
      <c r="C2040" s="5">
        <v>45521.0</v>
      </c>
      <c r="D2040" s="1" t="s">
        <v>161</v>
      </c>
      <c r="E2040" s="1" t="s">
        <v>11</v>
      </c>
      <c r="F2040" s="1" t="s">
        <v>166</v>
      </c>
      <c r="H2040" s="1">
        <v>0.0</v>
      </c>
      <c r="I2040" s="1">
        <v>0.0</v>
      </c>
      <c r="J2040" s="1">
        <v>0.0</v>
      </c>
      <c r="K2040" s="1">
        <v>1.0</v>
      </c>
      <c r="L2040" s="1">
        <v>3.0</v>
      </c>
      <c r="M2040" s="1">
        <v>0.333333333</v>
      </c>
      <c r="N2040" s="1">
        <v>0.0</v>
      </c>
    </row>
    <row r="2041" ht="15.75" customHeight="1">
      <c r="A2041" s="1" t="s">
        <v>160</v>
      </c>
      <c r="B2041" s="1" t="s">
        <v>230</v>
      </c>
      <c r="C2041" s="5">
        <v>45521.0</v>
      </c>
      <c r="D2041" s="1" t="s">
        <v>161</v>
      </c>
      <c r="E2041" s="1" t="s">
        <v>11</v>
      </c>
      <c r="F2041" s="1" t="s">
        <v>165</v>
      </c>
      <c r="H2041" s="1">
        <v>0.0</v>
      </c>
      <c r="I2041" s="1">
        <v>0.0</v>
      </c>
      <c r="J2041" s="1">
        <v>0.0</v>
      </c>
      <c r="K2041" s="1">
        <v>14.0</v>
      </c>
      <c r="L2041" s="1">
        <v>23.0</v>
      </c>
      <c r="M2041" s="1">
        <v>0.608695652</v>
      </c>
      <c r="N2041" s="1">
        <v>0.0</v>
      </c>
    </row>
    <row r="2042" ht="15.75" customHeight="1">
      <c r="A2042" s="1" t="s">
        <v>164</v>
      </c>
      <c r="B2042" s="1" t="s">
        <v>22</v>
      </c>
      <c r="C2042" s="5">
        <v>45521.0</v>
      </c>
      <c r="D2042" s="1" t="s">
        <v>161</v>
      </c>
      <c r="E2042" s="1" t="s">
        <v>11</v>
      </c>
      <c r="F2042" s="1" t="s">
        <v>166</v>
      </c>
      <c r="H2042" s="1">
        <v>0.0</v>
      </c>
      <c r="I2042" s="1">
        <v>0.0</v>
      </c>
      <c r="J2042" s="1">
        <v>0.0</v>
      </c>
      <c r="K2042" s="1">
        <v>1.0</v>
      </c>
      <c r="L2042" s="1">
        <v>4.0</v>
      </c>
      <c r="M2042" s="1">
        <v>0.25</v>
      </c>
      <c r="N2042" s="1">
        <v>0.0</v>
      </c>
    </row>
    <row r="2043" ht="15.75" customHeight="1">
      <c r="A2043" s="1" t="s">
        <v>164</v>
      </c>
      <c r="B2043" s="1" t="s">
        <v>35</v>
      </c>
      <c r="C2043" s="5">
        <v>45521.0</v>
      </c>
      <c r="D2043" s="1" t="s">
        <v>161</v>
      </c>
      <c r="E2043" s="1" t="s">
        <v>11</v>
      </c>
      <c r="F2043" s="1" t="s">
        <v>166</v>
      </c>
      <c r="H2043" s="1">
        <v>0.0</v>
      </c>
      <c r="I2043" s="1">
        <v>0.0</v>
      </c>
      <c r="J2043" s="1">
        <v>0.0</v>
      </c>
      <c r="K2043" s="1">
        <v>1.0</v>
      </c>
      <c r="L2043" s="1">
        <v>3.0</v>
      </c>
      <c r="M2043" s="1">
        <v>0.333333333</v>
      </c>
      <c r="N2043" s="1">
        <v>0.0</v>
      </c>
    </row>
    <row r="2044" ht="15.75" customHeight="1">
      <c r="A2044" s="1" t="s">
        <v>164</v>
      </c>
      <c r="B2044" s="1" t="s">
        <v>43</v>
      </c>
      <c r="C2044" s="5">
        <v>45521.0</v>
      </c>
      <c r="D2044" s="1" t="s">
        <v>161</v>
      </c>
      <c r="E2044" s="1" t="s">
        <v>11</v>
      </c>
      <c r="F2044" s="1" t="s">
        <v>166</v>
      </c>
      <c r="H2044" s="1">
        <v>0.0</v>
      </c>
      <c r="I2044" s="1">
        <v>0.0</v>
      </c>
      <c r="J2044" s="1">
        <v>0.0</v>
      </c>
      <c r="K2044" s="1">
        <v>5.0</v>
      </c>
      <c r="L2044" s="1">
        <v>11.0</v>
      </c>
      <c r="M2044" s="1">
        <v>0.454545455</v>
      </c>
      <c r="N2044" s="1">
        <v>0.0</v>
      </c>
    </row>
    <row r="2045" ht="15.75" customHeight="1">
      <c r="A2045" s="1" t="s">
        <v>164</v>
      </c>
      <c r="B2045" s="1" t="s">
        <v>24</v>
      </c>
      <c r="C2045" s="5">
        <v>45521.0</v>
      </c>
      <c r="D2045" s="1" t="s">
        <v>161</v>
      </c>
      <c r="E2045" s="1" t="s">
        <v>11</v>
      </c>
      <c r="F2045" s="1" t="s">
        <v>166</v>
      </c>
      <c r="H2045" s="1">
        <v>0.0</v>
      </c>
      <c r="I2045" s="1">
        <v>0.0</v>
      </c>
      <c r="J2045" s="1">
        <v>0.0</v>
      </c>
      <c r="K2045" s="1">
        <v>5.0</v>
      </c>
      <c r="L2045" s="1">
        <v>8.0</v>
      </c>
      <c r="M2045" s="1">
        <v>0.625</v>
      </c>
      <c r="N2045" s="1">
        <v>0.0</v>
      </c>
    </row>
    <row r="2046" ht="15.75" customHeight="1">
      <c r="A2046" s="1" t="s">
        <v>164</v>
      </c>
      <c r="B2046" s="1" t="s">
        <v>207</v>
      </c>
      <c r="C2046" s="5">
        <v>45521.0</v>
      </c>
      <c r="D2046" s="1" t="s">
        <v>161</v>
      </c>
      <c r="E2046" s="1" t="s">
        <v>11</v>
      </c>
      <c r="F2046" s="1" t="s">
        <v>166</v>
      </c>
      <c r="H2046" s="1">
        <v>0.0</v>
      </c>
      <c r="I2046" s="1">
        <v>0.0</v>
      </c>
      <c r="J2046" s="1">
        <v>0.0</v>
      </c>
      <c r="K2046" s="1">
        <v>42.0</v>
      </c>
      <c r="L2046" s="1">
        <v>53.0</v>
      </c>
      <c r="M2046" s="1">
        <v>0.79245283</v>
      </c>
      <c r="N2046" s="1">
        <v>0.0</v>
      </c>
    </row>
    <row r="2047" ht="15.75" customHeight="1">
      <c r="A2047" s="1" t="s">
        <v>160</v>
      </c>
      <c r="B2047" s="1" t="s">
        <v>39</v>
      </c>
      <c r="C2047" s="5">
        <v>45520.0</v>
      </c>
      <c r="D2047" s="1" t="s">
        <v>161</v>
      </c>
      <c r="E2047" s="1" t="s">
        <v>11</v>
      </c>
      <c r="F2047" s="1" t="s">
        <v>166</v>
      </c>
      <c r="H2047" s="1">
        <v>0.0</v>
      </c>
      <c r="I2047" s="1">
        <v>0.0</v>
      </c>
      <c r="J2047" s="1">
        <v>0.0</v>
      </c>
      <c r="K2047" s="1">
        <v>1.0</v>
      </c>
      <c r="L2047" s="1">
        <v>3.0</v>
      </c>
      <c r="M2047" s="1">
        <v>0.333333333</v>
      </c>
      <c r="N2047" s="1">
        <v>8.399999619</v>
      </c>
    </row>
    <row r="2048" ht="15.75" customHeight="1">
      <c r="A2048" s="1" t="s">
        <v>160</v>
      </c>
      <c r="B2048" s="1" t="s">
        <v>230</v>
      </c>
      <c r="C2048" s="5">
        <v>45520.0</v>
      </c>
      <c r="D2048" s="1" t="s">
        <v>161</v>
      </c>
      <c r="E2048" s="1" t="s">
        <v>11</v>
      </c>
      <c r="F2048" s="1" t="s">
        <v>165</v>
      </c>
      <c r="H2048" s="1">
        <v>0.0</v>
      </c>
      <c r="I2048" s="1">
        <v>0.0</v>
      </c>
      <c r="J2048" s="1">
        <v>0.0</v>
      </c>
      <c r="K2048" s="1">
        <v>14.0</v>
      </c>
      <c r="L2048" s="1">
        <v>23.0</v>
      </c>
      <c r="M2048" s="1">
        <v>0.608695652</v>
      </c>
      <c r="N2048" s="1">
        <v>32.22999954</v>
      </c>
    </row>
    <row r="2049" ht="15.75" customHeight="1">
      <c r="A2049" s="1" t="s">
        <v>160</v>
      </c>
      <c r="B2049" s="1" t="s">
        <v>65</v>
      </c>
      <c r="C2049" s="5">
        <v>45520.0</v>
      </c>
      <c r="D2049" s="1" t="s">
        <v>161</v>
      </c>
      <c r="E2049" s="1" t="s">
        <v>11</v>
      </c>
      <c r="F2049" s="1" t="s">
        <v>162</v>
      </c>
      <c r="H2049" s="1">
        <v>0.0</v>
      </c>
      <c r="I2049" s="1">
        <v>0.0</v>
      </c>
      <c r="J2049" s="1">
        <v>0.0</v>
      </c>
      <c r="K2049" s="1">
        <v>8.0</v>
      </c>
      <c r="L2049" s="1">
        <v>15.0</v>
      </c>
      <c r="M2049" s="1">
        <v>0.533333333</v>
      </c>
      <c r="N2049" s="1">
        <v>21.21999931</v>
      </c>
    </row>
    <row r="2050" ht="15.75" customHeight="1">
      <c r="A2050" s="1" t="s">
        <v>160</v>
      </c>
      <c r="B2050" s="1" t="s">
        <v>95</v>
      </c>
      <c r="C2050" s="5">
        <v>45520.0</v>
      </c>
      <c r="D2050" s="1" t="s">
        <v>161</v>
      </c>
      <c r="E2050" s="1" t="s">
        <v>11</v>
      </c>
      <c r="H2050" s="1">
        <v>0.0</v>
      </c>
      <c r="J2050" s="1">
        <v>0.0</v>
      </c>
      <c r="N2050" s="1">
        <v>1.720000029</v>
      </c>
    </row>
    <row r="2051" ht="15.75" customHeight="1">
      <c r="A2051" s="1" t="s">
        <v>160</v>
      </c>
      <c r="B2051" s="1" t="s">
        <v>77</v>
      </c>
      <c r="C2051" s="5">
        <v>45520.0</v>
      </c>
      <c r="D2051" s="1" t="s">
        <v>161</v>
      </c>
      <c r="E2051" s="1" t="s">
        <v>11</v>
      </c>
      <c r="F2051" s="1" t="s">
        <v>162</v>
      </c>
      <c r="H2051" s="1">
        <v>0.0</v>
      </c>
      <c r="I2051" s="1">
        <v>0.0</v>
      </c>
      <c r="J2051" s="1">
        <v>0.0</v>
      </c>
      <c r="K2051" s="1">
        <v>29.0</v>
      </c>
      <c r="L2051" s="1">
        <v>61.0</v>
      </c>
      <c r="M2051" s="1">
        <v>0.475409836</v>
      </c>
      <c r="N2051" s="1">
        <v>92.37000275</v>
      </c>
    </row>
    <row r="2052" ht="15.75" customHeight="1">
      <c r="A2052" s="1" t="s">
        <v>160</v>
      </c>
      <c r="B2052" s="1" t="s">
        <v>101</v>
      </c>
      <c r="C2052" s="5">
        <v>45520.0</v>
      </c>
      <c r="D2052" s="1" t="s">
        <v>161</v>
      </c>
      <c r="E2052" s="1" t="s">
        <v>11</v>
      </c>
      <c r="F2052" s="1" t="s">
        <v>162</v>
      </c>
      <c r="H2052" s="1">
        <v>0.0</v>
      </c>
      <c r="I2052" s="1">
        <v>0.0</v>
      </c>
      <c r="J2052" s="1">
        <v>0.0</v>
      </c>
      <c r="K2052" s="1">
        <v>1.0</v>
      </c>
      <c r="L2052" s="1">
        <v>17.0</v>
      </c>
      <c r="M2052" s="1">
        <v>0.058823529</v>
      </c>
      <c r="N2052" s="1">
        <v>16.31999969</v>
      </c>
    </row>
    <row r="2053" ht="15.75" customHeight="1">
      <c r="A2053" s="1" t="s">
        <v>164</v>
      </c>
      <c r="B2053" s="1" t="s">
        <v>22</v>
      </c>
      <c r="C2053" s="5">
        <v>45520.0</v>
      </c>
      <c r="D2053" s="1" t="s">
        <v>161</v>
      </c>
      <c r="E2053" s="1" t="s">
        <v>11</v>
      </c>
      <c r="F2053" s="1" t="s">
        <v>166</v>
      </c>
      <c r="H2053" s="1">
        <v>0.0</v>
      </c>
      <c r="I2053" s="1">
        <v>0.0</v>
      </c>
      <c r="J2053" s="1">
        <v>0.0</v>
      </c>
      <c r="K2053" s="1">
        <v>1.0</v>
      </c>
      <c r="L2053" s="1">
        <v>4.0</v>
      </c>
      <c r="M2053" s="1">
        <v>0.25</v>
      </c>
      <c r="N2053" s="1">
        <v>3.880000114</v>
      </c>
    </row>
    <row r="2054" ht="15.75" customHeight="1">
      <c r="A2054" s="1" t="s">
        <v>164</v>
      </c>
      <c r="B2054" s="1" t="s">
        <v>35</v>
      </c>
      <c r="C2054" s="5">
        <v>45520.0</v>
      </c>
      <c r="D2054" s="1" t="s">
        <v>161</v>
      </c>
      <c r="E2054" s="1" t="s">
        <v>11</v>
      </c>
      <c r="F2054" s="1" t="s">
        <v>166</v>
      </c>
      <c r="H2054" s="1">
        <v>0.0</v>
      </c>
      <c r="I2054" s="1">
        <v>0.0</v>
      </c>
      <c r="J2054" s="1">
        <v>0.0</v>
      </c>
      <c r="K2054" s="1">
        <v>0.0</v>
      </c>
      <c r="L2054" s="1">
        <v>1.0</v>
      </c>
      <c r="M2054" s="1">
        <v>0.0</v>
      </c>
      <c r="N2054" s="1">
        <v>6.510000229</v>
      </c>
    </row>
    <row r="2055" ht="15.75" customHeight="1">
      <c r="A2055" s="1" t="s">
        <v>164</v>
      </c>
      <c r="B2055" s="1" t="s">
        <v>43</v>
      </c>
      <c r="C2055" s="5">
        <v>45520.0</v>
      </c>
      <c r="D2055" s="1" t="s">
        <v>161</v>
      </c>
      <c r="E2055" s="1" t="s">
        <v>11</v>
      </c>
      <c r="F2055" s="1" t="s">
        <v>166</v>
      </c>
      <c r="H2055" s="1">
        <v>0.0</v>
      </c>
      <c r="I2055" s="1">
        <v>0.0</v>
      </c>
      <c r="J2055" s="1">
        <v>0.0</v>
      </c>
      <c r="K2055" s="1">
        <v>14.0</v>
      </c>
      <c r="L2055" s="1">
        <v>46.0</v>
      </c>
      <c r="M2055" s="1">
        <v>0.304347826</v>
      </c>
      <c r="N2055" s="1">
        <v>10.89999962</v>
      </c>
    </row>
    <row r="2056" ht="15.75" customHeight="1">
      <c r="A2056" s="1" t="s">
        <v>164</v>
      </c>
      <c r="B2056" s="1" t="s">
        <v>24</v>
      </c>
      <c r="C2056" s="5">
        <v>45520.0</v>
      </c>
      <c r="D2056" s="1" t="s">
        <v>161</v>
      </c>
      <c r="E2056" s="1" t="s">
        <v>11</v>
      </c>
      <c r="F2056" s="1" t="s">
        <v>162</v>
      </c>
      <c r="H2056" s="1">
        <v>0.0</v>
      </c>
      <c r="I2056" s="1">
        <v>0.0</v>
      </c>
      <c r="J2056" s="1">
        <v>0.0</v>
      </c>
      <c r="K2056" s="1">
        <v>2.0</v>
      </c>
      <c r="L2056" s="1">
        <v>9.0</v>
      </c>
      <c r="M2056" s="1">
        <v>0.222222222</v>
      </c>
      <c r="N2056" s="1">
        <v>10.17000008</v>
      </c>
    </row>
    <row r="2057" ht="15.75" customHeight="1">
      <c r="A2057" s="1" t="s">
        <v>164</v>
      </c>
      <c r="B2057" s="1" t="s">
        <v>24</v>
      </c>
      <c r="C2057" s="5">
        <v>45520.0</v>
      </c>
      <c r="D2057" s="1" t="s">
        <v>161</v>
      </c>
      <c r="E2057" s="1" t="s">
        <v>11</v>
      </c>
      <c r="F2057" s="1" t="s">
        <v>166</v>
      </c>
      <c r="H2057" s="1">
        <v>0.0</v>
      </c>
      <c r="I2057" s="1">
        <v>0.0</v>
      </c>
      <c r="J2057" s="1">
        <v>0.0</v>
      </c>
      <c r="K2057" s="1">
        <v>5.0</v>
      </c>
      <c r="L2057" s="1">
        <v>8.0</v>
      </c>
      <c r="M2057" s="1">
        <v>0.625</v>
      </c>
      <c r="N2057" s="1">
        <v>0.0</v>
      </c>
    </row>
    <row r="2058" ht="15.75" customHeight="1">
      <c r="A2058" s="1" t="s">
        <v>164</v>
      </c>
      <c r="B2058" s="1" t="s">
        <v>207</v>
      </c>
      <c r="C2058" s="5">
        <v>45520.0</v>
      </c>
      <c r="D2058" s="1" t="s">
        <v>161</v>
      </c>
      <c r="E2058" s="1" t="s">
        <v>11</v>
      </c>
      <c r="F2058" s="1" t="s">
        <v>166</v>
      </c>
      <c r="H2058" s="1">
        <v>0.0</v>
      </c>
      <c r="I2058" s="1">
        <v>0.0</v>
      </c>
      <c r="J2058" s="1">
        <v>0.0</v>
      </c>
      <c r="K2058" s="1">
        <v>42.0</v>
      </c>
      <c r="L2058" s="1">
        <v>54.0</v>
      </c>
      <c r="M2058" s="1">
        <v>0.777777778</v>
      </c>
      <c r="N2058" s="1">
        <v>42.93000031</v>
      </c>
    </row>
    <row r="2059" ht="15.75" customHeight="1">
      <c r="A2059" s="1" t="s">
        <v>164</v>
      </c>
      <c r="B2059" s="1" t="s">
        <v>76</v>
      </c>
      <c r="C2059" s="5">
        <v>45520.0</v>
      </c>
      <c r="D2059" s="1" t="s">
        <v>161</v>
      </c>
      <c r="E2059" s="1" t="s">
        <v>11</v>
      </c>
      <c r="H2059" s="1">
        <v>0.0</v>
      </c>
      <c r="J2059" s="1">
        <v>0.0</v>
      </c>
      <c r="N2059" s="1">
        <v>0.100000001</v>
      </c>
    </row>
    <row r="2060" ht="15.75" customHeight="1">
      <c r="A2060" s="1" t="s">
        <v>164</v>
      </c>
      <c r="B2060" s="1" t="s">
        <v>179</v>
      </c>
      <c r="C2060" s="5">
        <v>45520.0</v>
      </c>
      <c r="D2060" s="1" t="s">
        <v>161</v>
      </c>
      <c r="E2060" s="1" t="s">
        <v>11</v>
      </c>
      <c r="F2060" s="1" t="s">
        <v>166</v>
      </c>
      <c r="H2060" s="1">
        <v>0.0</v>
      </c>
      <c r="I2060" s="1">
        <v>0.0</v>
      </c>
      <c r="J2060" s="1">
        <v>0.0</v>
      </c>
      <c r="K2060" s="1">
        <v>8.0</v>
      </c>
      <c r="L2060" s="1">
        <v>24.0</v>
      </c>
      <c r="M2060" s="1">
        <v>0.333333333</v>
      </c>
      <c r="N2060" s="1">
        <v>26.84000015</v>
      </c>
    </row>
    <row r="2061" ht="15.75" customHeight="1">
      <c r="A2061" s="1" t="s">
        <v>164</v>
      </c>
      <c r="B2061" s="1" t="s">
        <v>60</v>
      </c>
      <c r="C2061" s="5">
        <v>45520.0</v>
      </c>
      <c r="D2061" s="1" t="s">
        <v>161</v>
      </c>
      <c r="E2061" s="1" t="s">
        <v>11</v>
      </c>
      <c r="F2061" s="1" t="s">
        <v>166</v>
      </c>
      <c r="H2061" s="1">
        <v>0.0</v>
      </c>
      <c r="I2061" s="1">
        <v>0.0</v>
      </c>
      <c r="J2061" s="1">
        <v>0.0</v>
      </c>
      <c r="K2061" s="1">
        <v>2.0</v>
      </c>
      <c r="L2061" s="1">
        <v>6.0</v>
      </c>
      <c r="M2061" s="1">
        <v>0.333333333</v>
      </c>
      <c r="N2061" s="1">
        <v>13.43000031</v>
      </c>
    </row>
    <row r="2062" ht="15.75" customHeight="1">
      <c r="A2062" s="1" t="s">
        <v>164</v>
      </c>
      <c r="B2062" s="1" t="s">
        <v>63</v>
      </c>
      <c r="C2062" s="5">
        <v>45520.0</v>
      </c>
      <c r="D2062" s="1" t="s">
        <v>161</v>
      </c>
      <c r="E2062" s="1" t="s">
        <v>11</v>
      </c>
      <c r="F2062" s="1" t="s">
        <v>165</v>
      </c>
      <c r="H2062" s="1">
        <v>0.0</v>
      </c>
      <c r="I2062" s="1">
        <v>0.0</v>
      </c>
      <c r="J2062" s="1">
        <v>0.0</v>
      </c>
      <c r="K2062" s="1">
        <v>16.0</v>
      </c>
      <c r="L2062" s="1">
        <v>23.0</v>
      </c>
      <c r="M2062" s="1">
        <v>0.695652174</v>
      </c>
      <c r="N2062" s="1">
        <v>14.76000023</v>
      </c>
    </row>
    <row r="2063" ht="15.75" customHeight="1">
      <c r="A2063" s="1" t="s">
        <v>164</v>
      </c>
      <c r="B2063" s="1" t="s">
        <v>63</v>
      </c>
      <c r="C2063" s="5">
        <v>45520.0</v>
      </c>
      <c r="D2063" s="1" t="s">
        <v>161</v>
      </c>
      <c r="E2063" s="1" t="s">
        <v>11</v>
      </c>
      <c r="F2063" s="1" t="s">
        <v>166</v>
      </c>
      <c r="H2063" s="1">
        <v>0.0</v>
      </c>
      <c r="I2063" s="1">
        <v>0.0</v>
      </c>
      <c r="J2063" s="1">
        <v>0.0</v>
      </c>
      <c r="K2063" s="1">
        <v>2.0</v>
      </c>
      <c r="L2063" s="1">
        <v>18.0</v>
      </c>
      <c r="M2063" s="1">
        <v>0.111111111</v>
      </c>
      <c r="N2063" s="1">
        <v>0.0</v>
      </c>
    </row>
    <row r="2064" ht="15.75" customHeight="1">
      <c r="A2064" s="1" t="s">
        <v>164</v>
      </c>
      <c r="B2064" s="1" t="s">
        <v>183</v>
      </c>
      <c r="C2064" s="5">
        <v>45520.0</v>
      </c>
      <c r="D2064" s="1" t="s">
        <v>161</v>
      </c>
      <c r="E2064" s="1" t="s">
        <v>11</v>
      </c>
      <c r="F2064" s="1" t="s">
        <v>166</v>
      </c>
      <c r="H2064" s="1">
        <v>0.0</v>
      </c>
      <c r="I2064" s="1">
        <v>0.0</v>
      </c>
      <c r="J2064" s="1">
        <v>0.0</v>
      </c>
      <c r="K2064" s="1">
        <v>2.0</v>
      </c>
      <c r="L2064" s="1">
        <v>9.0</v>
      </c>
      <c r="M2064" s="1">
        <v>0.222222222</v>
      </c>
      <c r="N2064" s="1">
        <v>5.6300001139999996</v>
      </c>
    </row>
    <row r="2065" ht="15.75" customHeight="1">
      <c r="A2065" s="1" t="s">
        <v>164</v>
      </c>
      <c r="B2065" s="1" t="s">
        <v>68</v>
      </c>
      <c r="C2065" s="5">
        <v>45520.0</v>
      </c>
      <c r="D2065" s="1" t="s">
        <v>161</v>
      </c>
      <c r="E2065" s="1" t="s">
        <v>11</v>
      </c>
      <c r="F2065" s="1" t="s">
        <v>165</v>
      </c>
      <c r="H2065" s="1">
        <v>0.0</v>
      </c>
      <c r="I2065" s="1">
        <v>0.0</v>
      </c>
      <c r="J2065" s="1">
        <v>0.0</v>
      </c>
      <c r="K2065" s="1">
        <v>1.0</v>
      </c>
      <c r="L2065" s="1">
        <v>9.0</v>
      </c>
      <c r="M2065" s="1">
        <v>0.111111111</v>
      </c>
      <c r="N2065" s="1">
        <v>0.0</v>
      </c>
    </row>
    <row r="2066" ht="15.75" customHeight="1">
      <c r="A2066" s="1" t="s">
        <v>164</v>
      </c>
      <c r="B2066" s="1" t="s">
        <v>68</v>
      </c>
      <c r="C2066" s="5">
        <v>45520.0</v>
      </c>
      <c r="D2066" s="1" t="s">
        <v>161</v>
      </c>
      <c r="E2066" s="1" t="s">
        <v>11</v>
      </c>
      <c r="F2066" s="1" t="s">
        <v>166</v>
      </c>
      <c r="H2066" s="1">
        <v>0.0</v>
      </c>
      <c r="I2066" s="1">
        <v>0.0</v>
      </c>
      <c r="J2066" s="1">
        <v>0.0</v>
      </c>
      <c r="K2066" s="1">
        <v>2.0</v>
      </c>
      <c r="L2066" s="1">
        <v>9.0</v>
      </c>
      <c r="M2066" s="1">
        <v>0.222222222</v>
      </c>
      <c r="N2066" s="1">
        <v>14.38000011</v>
      </c>
    </row>
    <row r="2067" ht="15.75" customHeight="1">
      <c r="A2067" s="1" t="s">
        <v>164</v>
      </c>
      <c r="B2067" s="1" t="s">
        <v>197</v>
      </c>
      <c r="C2067" s="5">
        <v>45520.0</v>
      </c>
      <c r="D2067" s="1" t="s">
        <v>161</v>
      </c>
      <c r="E2067" s="1" t="s">
        <v>11</v>
      </c>
      <c r="F2067" s="1" t="s">
        <v>166</v>
      </c>
      <c r="H2067" s="1">
        <v>0.0</v>
      </c>
      <c r="I2067" s="1">
        <v>0.0</v>
      </c>
      <c r="J2067" s="1">
        <v>0.0</v>
      </c>
      <c r="K2067" s="1">
        <v>2.0</v>
      </c>
      <c r="L2067" s="1">
        <v>3.0</v>
      </c>
      <c r="M2067" s="1">
        <v>0.666666667</v>
      </c>
      <c r="N2067" s="1">
        <v>3.150000095</v>
      </c>
    </row>
    <row r="2068" ht="15.75" customHeight="1">
      <c r="A2068" s="1" t="s">
        <v>164</v>
      </c>
      <c r="B2068" s="1" t="s">
        <v>74</v>
      </c>
      <c r="C2068" s="5">
        <v>45520.0</v>
      </c>
      <c r="D2068" s="1" t="s">
        <v>161</v>
      </c>
      <c r="E2068" s="1" t="s">
        <v>11</v>
      </c>
      <c r="F2068" s="1" t="s">
        <v>166</v>
      </c>
      <c r="H2068" s="1">
        <v>0.0</v>
      </c>
      <c r="I2068" s="1">
        <v>0.0</v>
      </c>
      <c r="J2068" s="1">
        <v>0.0</v>
      </c>
      <c r="K2068" s="1">
        <v>2.0</v>
      </c>
      <c r="L2068" s="1">
        <v>3.0</v>
      </c>
      <c r="M2068" s="1">
        <v>0.666666667</v>
      </c>
      <c r="N2068" s="1">
        <v>14.34000015</v>
      </c>
    </row>
    <row r="2069" ht="15.75" customHeight="1">
      <c r="A2069" s="1" t="s">
        <v>164</v>
      </c>
      <c r="B2069" s="1" t="s">
        <v>205</v>
      </c>
      <c r="C2069" s="5">
        <v>45520.0</v>
      </c>
      <c r="D2069" s="1" t="s">
        <v>161</v>
      </c>
      <c r="E2069" s="1" t="s">
        <v>11</v>
      </c>
      <c r="F2069" s="1" t="s">
        <v>166</v>
      </c>
      <c r="H2069" s="1">
        <v>0.0</v>
      </c>
      <c r="I2069" s="1">
        <v>0.0</v>
      </c>
      <c r="J2069" s="1">
        <v>0.0</v>
      </c>
      <c r="K2069" s="1">
        <v>1.0</v>
      </c>
      <c r="L2069" s="1">
        <v>11.0</v>
      </c>
      <c r="M2069" s="1">
        <v>0.090909091</v>
      </c>
      <c r="N2069" s="1">
        <v>0.0</v>
      </c>
    </row>
    <row r="2070" ht="15.75" customHeight="1">
      <c r="A2070" s="1" t="s">
        <v>164</v>
      </c>
      <c r="B2070" s="1" t="s">
        <v>75</v>
      </c>
      <c r="C2070" s="5">
        <v>45520.0</v>
      </c>
      <c r="D2070" s="1" t="s">
        <v>161</v>
      </c>
      <c r="E2070" s="1" t="s">
        <v>11</v>
      </c>
      <c r="F2070" s="1" t="s">
        <v>165</v>
      </c>
      <c r="H2070" s="1">
        <v>0.0</v>
      </c>
      <c r="I2070" s="1">
        <v>0.0</v>
      </c>
      <c r="J2070" s="1">
        <v>0.0</v>
      </c>
      <c r="K2070" s="1">
        <v>41.0</v>
      </c>
      <c r="L2070" s="1">
        <v>75.0</v>
      </c>
      <c r="M2070" s="1">
        <v>0.546666667</v>
      </c>
      <c r="N2070" s="1">
        <v>12.76000023</v>
      </c>
    </row>
    <row r="2071" ht="15.75" customHeight="1">
      <c r="A2071" s="1" t="s">
        <v>164</v>
      </c>
      <c r="B2071" s="1" t="s">
        <v>265</v>
      </c>
      <c r="C2071" s="5">
        <v>45520.0</v>
      </c>
      <c r="D2071" s="1" t="s">
        <v>161</v>
      </c>
      <c r="E2071" s="1" t="s">
        <v>11</v>
      </c>
      <c r="F2071" s="1" t="s">
        <v>166</v>
      </c>
      <c r="H2071" s="1">
        <v>0.0</v>
      </c>
      <c r="I2071" s="1">
        <v>1.0</v>
      </c>
      <c r="J2071" s="1">
        <v>0.0</v>
      </c>
      <c r="K2071" s="1">
        <v>13.0</v>
      </c>
      <c r="L2071" s="1">
        <v>14.0</v>
      </c>
      <c r="M2071" s="1">
        <v>0.928571429</v>
      </c>
      <c r="N2071" s="1">
        <v>0.0</v>
      </c>
    </row>
    <row r="2072" ht="15.75" customHeight="1">
      <c r="A2072" s="1" t="s">
        <v>164</v>
      </c>
      <c r="B2072" s="1" t="s">
        <v>102</v>
      </c>
      <c r="C2072" s="5">
        <v>45520.0</v>
      </c>
      <c r="D2072" s="1" t="s">
        <v>161</v>
      </c>
      <c r="E2072" s="1" t="s">
        <v>11</v>
      </c>
      <c r="F2072" s="1" t="s">
        <v>165</v>
      </c>
      <c r="H2072" s="1">
        <v>0.0</v>
      </c>
      <c r="I2072" s="1">
        <v>0.0</v>
      </c>
      <c r="J2072" s="1">
        <v>0.0</v>
      </c>
      <c r="K2072" s="1">
        <v>16.0</v>
      </c>
      <c r="L2072" s="1">
        <v>20.0</v>
      </c>
      <c r="M2072" s="1">
        <v>0.8</v>
      </c>
      <c r="N2072" s="1">
        <v>0.0</v>
      </c>
    </row>
    <row r="2073" ht="15.75" customHeight="1">
      <c r="A2073" s="1" t="s">
        <v>164</v>
      </c>
      <c r="B2073" s="1" t="s">
        <v>225</v>
      </c>
      <c r="C2073" s="5">
        <v>45520.0</v>
      </c>
      <c r="D2073" s="1" t="s">
        <v>161</v>
      </c>
      <c r="E2073" s="1" t="s">
        <v>11</v>
      </c>
      <c r="F2073" s="1" t="s">
        <v>166</v>
      </c>
      <c r="H2073" s="1">
        <v>0.0</v>
      </c>
      <c r="I2073" s="1">
        <v>0.0</v>
      </c>
      <c r="J2073" s="1">
        <v>0.0</v>
      </c>
      <c r="K2073" s="1">
        <v>5.0</v>
      </c>
      <c r="L2073" s="1">
        <v>11.0</v>
      </c>
      <c r="M2073" s="1">
        <v>0.454545455</v>
      </c>
      <c r="N2073" s="1">
        <v>0.0</v>
      </c>
    </row>
    <row r="2074" ht="15.75" customHeight="1">
      <c r="A2074" s="1" t="s">
        <v>180</v>
      </c>
      <c r="B2074" s="1" t="s">
        <v>266</v>
      </c>
      <c r="C2074" s="5">
        <v>45520.0</v>
      </c>
      <c r="D2074" s="1" t="s">
        <v>161</v>
      </c>
      <c r="E2074" s="1" t="s">
        <v>11</v>
      </c>
      <c r="F2074" s="1" t="s">
        <v>165</v>
      </c>
      <c r="H2074" s="1">
        <v>0.0</v>
      </c>
      <c r="I2074" s="1">
        <v>0.0</v>
      </c>
      <c r="J2074" s="1">
        <v>0.0</v>
      </c>
      <c r="K2074" s="1">
        <v>55.0</v>
      </c>
      <c r="L2074" s="1">
        <v>97.0</v>
      </c>
      <c r="M2074" s="1">
        <v>0.567010309</v>
      </c>
      <c r="N2074" s="1">
        <v>0.0</v>
      </c>
    </row>
    <row r="2075" ht="15.75" customHeight="1">
      <c r="A2075" s="1" t="s">
        <v>180</v>
      </c>
      <c r="B2075" s="1" t="s">
        <v>239</v>
      </c>
      <c r="C2075" s="5">
        <v>45520.0</v>
      </c>
      <c r="D2075" s="1" t="s">
        <v>161</v>
      </c>
      <c r="E2075" s="1" t="s">
        <v>11</v>
      </c>
      <c r="F2075" s="1" t="s">
        <v>166</v>
      </c>
      <c r="H2075" s="1">
        <v>0.0</v>
      </c>
      <c r="I2075" s="1">
        <v>3.0</v>
      </c>
      <c r="J2075" s="1">
        <v>0.0</v>
      </c>
      <c r="K2075" s="1">
        <v>37.0</v>
      </c>
      <c r="L2075" s="1">
        <v>41.0</v>
      </c>
      <c r="M2075" s="1">
        <v>0.902439024</v>
      </c>
      <c r="N2075" s="1">
        <v>0.0</v>
      </c>
    </row>
    <row r="2076" ht="15.75" customHeight="1">
      <c r="A2076" s="1" t="s">
        <v>180</v>
      </c>
      <c r="B2076" s="1" t="s">
        <v>237</v>
      </c>
      <c r="C2076" s="5">
        <v>45520.0</v>
      </c>
      <c r="D2076" s="1" t="s">
        <v>161</v>
      </c>
      <c r="E2076" s="1" t="s">
        <v>11</v>
      </c>
      <c r="F2076" s="1" t="s">
        <v>165</v>
      </c>
      <c r="H2076" s="1">
        <v>0.0</v>
      </c>
      <c r="I2076" s="1">
        <v>1.0</v>
      </c>
      <c r="J2076" s="1">
        <v>0.0</v>
      </c>
      <c r="K2076" s="1">
        <v>29.0</v>
      </c>
      <c r="L2076" s="1">
        <v>72.0</v>
      </c>
      <c r="M2076" s="1">
        <v>0.402777778</v>
      </c>
      <c r="N2076" s="1">
        <v>0.07</v>
      </c>
    </row>
    <row r="2077" ht="15.75" customHeight="1">
      <c r="A2077" s="1" t="s">
        <v>180</v>
      </c>
      <c r="B2077" s="1" t="s">
        <v>267</v>
      </c>
      <c r="C2077" s="5">
        <v>45520.0</v>
      </c>
      <c r="D2077" s="1" t="s">
        <v>161</v>
      </c>
      <c r="E2077" s="1" t="s">
        <v>11</v>
      </c>
      <c r="F2077" s="1" t="s">
        <v>166</v>
      </c>
      <c r="H2077" s="1">
        <v>0.0</v>
      </c>
      <c r="I2077" s="1">
        <v>0.0</v>
      </c>
      <c r="J2077" s="1">
        <v>0.0</v>
      </c>
      <c r="K2077" s="1">
        <v>15.0</v>
      </c>
      <c r="L2077" s="1">
        <v>19.0</v>
      </c>
      <c r="M2077" s="1">
        <v>0.789473684</v>
      </c>
      <c r="N2077" s="1">
        <v>0.0</v>
      </c>
    </row>
    <row r="2078" ht="15.75" customHeight="1">
      <c r="A2078" s="1" t="s">
        <v>180</v>
      </c>
      <c r="B2078" s="1" t="s">
        <v>268</v>
      </c>
      <c r="C2078" s="5">
        <v>45520.0</v>
      </c>
      <c r="D2078" s="1" t="s">
        <v>161</v>
      </c>
      <c r="E2078" s="1" t="s">
        <v>11</v>
      </c>
      <c r="F2078" s="1" t="s">
        <v>165</v>
      </c>
      <c r="H2078" s="1">
        <v>0.0</v>
      </c>
      <c r="I2078" s="1">
        <v>0.0</v>
      </c>
      <c r="J2078" s="1">
        <v>0.0</v>
      </c>
      <c r="K2078" s="1">
        <v>0.0</v>
      </c>
      <c r="L2078" s="1">
        <v>1.0</v>
      </c>
      <c r="M2078" s="1">
        <v>0.0</v>
      </c>
      <c r="N2078" s="1">
        <v>0.0</v>
      </c>
    </row>
    <row r="2079" ht="15.75" customHeight="1">
      <c r="A2079" s="1" t="s">
        <v>180</v>
      </c>
      <c r="B2079" s="1" t="s">
        <v>269</v>
      </c>
      <c r="C2079" s="5">
        <v>45520.0</v>
      </c>
      <c r="D2079" s="1" t="s">
        <v>161</v>
      </c>
      <c r="E2079" s="1" t="s">
        <v>11</v>
      </c>
      <c r="F2079" s="1" t="s">
        <v>165</v>
      </c>
      <c r="H2079" s="1">
        <v>0.0</v>
      </c>
      <c r="I2079" s="1">
        <v>0.0</v>
      </c>
      <c r="J2079" s="1">
        <v>0.0</v>
      </c>
      <c r="K2079" s="1">
        <v>5.0</v>
      </c>
      <c r="L2079" s="1">
        <v>9.0</v>
      </c>
      <c r="M2079" s="1">
        <v>0.555555556</v>
      </c>
      <c r="N2079" s="1">
        <v>0.0</v>
      </c>
    </row>
    <row r="2080" ht="15.75" customHeight="1">
      <c r="A2080" s="1" t="s">
        <v>160</v>
      </c>
      <c r="B2080" s="1" t="s">
        <v>54</v>
      </c>
      <c r="C2080" s="5">
        <v>45519.0</v>
      </c>
      <c r="D2080" s="1" t="s">
        <v>161</v>
      </c>
      <c r="E2080" s="1" t="s">
        <v>11</v>
      </c>
      <c r="H2080" s="1">
        <v>0.0</v>
      </c>
      <c r="J2080" s="1">
        <v>0.0</v>
      </c>
      <c r="N2080" s="1">
        <v>0.270000011</v>
      </c>
    </row>
    <row r="2081" ht="15.75" customHeight="1">
      <c r="A2081" s="1" t="s">
        <v>160</v>
      </c>
      <c r="B2081" s="1" t="s">
        <v>230</v>
      </c>
      <c r="C2081" s="5">
        <v>45519.0</v>
      </c>
      <c r="D2081" s="1" t="s">
        <v>161</v>
      </c>
      <c r="E2081" s="1" t="s">
        <v>11</v>
      </c>
      <c r="F2081" s="1" t="s">
        <v>165</v>
      </c>
      <c r="H2081" s="1">
        <v>0.0</v>
      </c>
      <c r="I2081" s="1">
        <v>0.0</v>
      </c>
      <c r="J2081" s="1">
        <v>0.0</v>
      </c>
      <c r="K2081" s="1">
        <v>36.0</v>
      </c>
      <c r="L2081" s="1">
        <v>63.0</v>
      </c>
      <c r="M2081" s="1">
        <v>0.571428571</v>
      </c>
      <c r="N2081" s="1">
        <v>73.22000122</v>
      </c>
    </row>
    <row r="2082" ht="15.75" customHeight="1">
      <c r="A2082" s="1" t="s">
        <v>160</v>
      </c>
      <c r="B2082" s="1" t="s">
        <v>65</v>
      </c>
      <c r="C2082" s="5">
        <v>45519.0</v>
      </c>
      <c r="D2082" s="1" t="s">
        <v>161</v>
      </c>
      <c r="E2082" s="1" t="s">
        <v>11</v>
      </c>
      <c r="F2082" s="1" t="s">
        <v>162</v>
      </c>
      <c r="H2082" s="1">
        <v>0.0</v>
      </c>
      <c r="I2082" s="1">
        <v>0.0</v>
      </c>
      <c r="J2082" s="1">
        <v>0.0</v>
      </c>
      <c r="K2082" s="1">
        <v>0.0</v>
      </c>
      <c r="L2082" s="1">
        <v>16.0</v>
      </c>
      <c r="M2082" s="1">
        <v>0.0</v>
      </c>
      <c r="N2082" s="1">
        <v>0.0</v>
      </c>
    </row>
    <row r="2083" ht="15.75" customHeight="1">
      <c r="A2083" s="1" t="s">
        <v>160</v>
      </c>
      <c r="B2083" s="1" t="s">
        <v>77</v>
      </c>
      <c r="C2083" s="5">
        <v>45519.0</v>
      </c>
      <c r="D2083" s="1" t="s">
        <v>161</v>
      </c>
      <c r="E2083" s="1" t="s">
        <v>11</v>
      </c>
      <c r="H2083" s="1">
        <v>0.0</v>
      </c>
      <c r="J2083" s="1">
        <v>0.0</v>
      </c>
      <c r="N2083" s="1">
        <v>0.349999994</v>
      </c>
    </row>
    <row r="2084" ht="15.75" customHeight="1">
      <c r="A2084" s="1" t="s">
        <v>164</v>
      </c>
      <c r="B2084" s="1" t="s">
        <v>35</v>
      </c>
      <c r="C2084" s="5">
        <v>45519.0</v>
      </c>
      <c r="D2084" s="1" t="s">
        <v>161</v>
      </c>
      <c r="E2084" s="1" t="s">
        <v>11</v>
      </c>
      <c r="F2084" s="1" t="s">
        <v>162</v>
      </c>
      <c r="H2084" s="1">
        <v>0.0</v>
      </c>
      <c r="I2084" s="1">
        <v>0.0</v>
      </c>
      <c r="J2084" s="1">
        <v>0.0</v>
      </c>
      <c r="K2084" s="1">
        <v>0.0</v>
      </c>
      <c r="L2084" s="1">
        <v>1.0</v>
      </c>
      <c r="M2084" s="1">
        <v>0.0</v>
      </c>
      <c r="N2084" s="1">
        <v>0.0</v>
      </c>
    </row>
    <row r="2085" ht="15.75" customHeight="1">
      <c r="A2085" s="1" t="s">
        <v>164</v>
      </c>
      <c r="B2085" s="1" t="s">
        <v>43</v>
      </c>
      <c r="C2085" s="5">
        <v>45519.0</v>
      </c>
      <c r="D2085" s="1" t="s">
        <v>161</v>
      </c>
      <c r="E2085" s="1" t="s">
        <v>11</v>
      </c>
      <c r="F2085" s="1" t="s">
        <v>165</v>
      </c>
      <c r="H2085" s="1">
        <v>0.0</v>
      </c>
      <c r="I2085" s="1">
        <v>0.0</v>
      </c>
      <c r="J2085" s="1">
        <v>0.0</v>
      </c>
      <c r="K2085" s="1">
        <v>0.0</v>
      </c>
      <c r="L2085" s="1">
        <v>0.0</v>
      </c>
      <c r="N2085" s="1">
        <v>0.0</v>
      </c>
    </row>
    <row r="2086" ht="15.75" customHeight="1">
      <c r="A2086" s="1" t="s">
        <v>164</v>
      </c>
      <c r="B2086" s="1" t="s">
        <v>43</v>
      </c>
      <c r="C2086" s="5">
        <v>45519.0</v>
      </c>
      <c r="D2086" s="1" t="s">
        <v>161</v>
      </c>
      <c r="E2086" s="1" t="s">
        <v>11</v>
      </c>
      <c r="F2086" s="1" t="s">
        <v>166</v>
      </c>
      <c r="H2086" s="1">
        <v>0.0</v>
      </c>
      <c r="I2086" s="1">
        <v>0.0</v>
      </c>
      <c r="J2086" s="1">
        <v>0.0</v>
      </c>
      <c r="K2086" s="1">
        <v>0.0</v>
      </c>
      <c r="L2086" s="1">
        <v>2.0</v>
      </c>
      <c r="M2086" s="1">
        <v>0.0</v>
      </c>
      <c r="N2086" s="1">
        <v>55.66999817</v>
      </c>
    </row>
    <row r="2087" ht="15.75" customHeight="1">
      <c r="A2087" s="1" t="s">
        <v>164</v>
      </c>
      <c r="B2087" s="1" t="s">
        <v>24</v>
      </c>
      <c r="C2087" s="5">
        <v>45519.0</v>
      </c>
      <c r="D2087" s="1" t="s">
        <v>161</v>
      </c>
      <c r="E2087" s="1" t="s">
        <v>11</v>
      </c>
      <c r="H2087" s="1">
        <v>0.0</v>
      </c>
      <c r="J2087" s="1">
        <v>0.0</v>
      </c>
      <c r="N2087" s="1">
        <v>11.48999977</v>
      </c>
    </row>
    <row r="2088" ht="15.75" customHeight="1">
      <c r="A2088" s="1" t="s">
        <v>164</v>
      </c>
      <c r="B2088" s="1" t="s">
        <v>207</v>
      </c>
      <c r="C2088" s="5">
        <v>45519.0</v>
      </c>
      <c r="D2088" s="1" t="s">
        <v>161</v>
      </c>
      <c r="E2088" s="1" t="s">
        <v>11</v>
      </c>
      <c r="F2088" s="1" t="s">
        <v>166</v>
      </c>
      <c r="H2088" s="1">
        <v>0.0</v>
      </c>
      <c r="I2088" s="1">
        <v>0.0</v>
      </c>
      <c r="J2088" s="1">
        <v>0.0</v>
      </c>
      <c r="K2088" s="1">
        <v>4.0</v>
      </c>
      <c r="L2088" s="1">
        <v>7.0</v>
      </c>
      <c r="M2088" s="1">
        <v>0.571428571</v>
      </c>
      <c r="N2088" s="1">
        <v>26.54999924</v>
      </c>
    </row>
    <row r="2089" ht="15.75" customHeight="1">
      <c r="A2089" s="1" t="s">
        <v>164</v>
      </c>
      <c r="B2089" s="1" t="s">
        <v>55</v>
      </c>
      <c r="C2089" s="5">
        <v>45519.0</v>
      </c>
      <c r="D2089" s="1" t="s">
        <v>161</v>
      </c>
      <c r="E2089" s="1" t="s">
        <v>11</v>
      </c>
      <c r="F2089" s="1" t="s">
        <v>165</v>
      </c>
      <c r="H2089" s="1">
        <v>0.0</v>
      </c>
      <c r="I2089" s="1">
        <v>0.0</v>
      </c>
      <c r="J2089" s="1">
        <v>0.0</v>
      </c>
      <c r="K2089" s="1">
        <v>13.0</v>
      </c>
      <c r="L2089" s="1">
        <v>18.0</v>
      </c>
      <c r="M2089" s="1">
        <v>0.722222222</v>
      </c>
      <c r="N2089" s="1">
        <v>0.0</v>
      </c>
    </row>
    <row r="2090" ht="15.75" customHeight="1">
      <c r="A2090" s="1" t="s">
        <v>164</v>
      </c>
      <c r="B2090" s="1" t="s">
        <v>55</v>
      </c>
      <c r="C2090" s="5">
        <v>45519.0</v>
      </c>
      <c r="D2090" s="1" t="s">
        <v>161</v>
      </c>
      <c r="E2090" s="1" t="s">
        <v>11</v>
      </c>
      <c r="F2090" s="1" t="s">
        <v>166</v>
      </c>
      <c r="H2090" s="1">
        <v>0.0</v>
      </c>
      <c r="I2090" s="1">
        <v>0.0</v>
      </c>
      <c r="J2090" s="1">
        <v>0.0</v>
      </c>
      <c r="K2090" s="1">
        <v>3.0</v>
      </c>
      <c r="L2090" s="1">
        <v>23.0</v>
      </c>
      <c r="M2090" s="1">
        <v>0.130434783</v>
      </c>
      <c r="N2090" s="1">
        <v>20.75</v>
      </c>
    </row>
    <row r="2091" ht="15.75" customHeight="1">
      <c r="A2091" s="1" t="s">
        <v>164</v>
      </c>
      <c r="B2091" s="1" t="s">
        <v>199</v>
      </c>
      <c r="C2091" s="5">
        <v>45519.0</v>
      </c>
      <c r="D2091" s="1" t="s">
        <v>161</v>
      </c>
      <c r="E2091" s="1" t="s">
        <v>11</v>
      </c>
      <c r="F2091" s="1" t="s">
        <v>162</v>
      </c>
      <c r="H2091" s="1">
        <v>0.0</v>
      </c>
      <c r="I2091" s="1">
        <v>0.0</v>
      </c>
      <c r="J2091" s="1">
        <v>0.0</v>
      </c>
      <c r="K2091" s="1">
        <v>7.0</v>
      </c>
      <c r="L2091" s="1">
        <v>11.0</v>
      </c>
      <c r="M2091" s="1">
        <v>0.636363636</v>
      </c>
      <c r="N2091" s="1">
        <v>15.81999969</v>
      </c>
    </row>
    <row r="2092" ht="15.75" customHeight="1">
      <c r="A2092" s="1" t="s">
        <v>164</v>
      </c>
      <c r="B2092" s="1" t="s">
        <v>76</v>
      </c>
      <c r="C2092" s="5">
        <v>45519.0</v>
      </c>
      <c r="D2092" s="1" t="s">
        <v>161</v>
      </c>
      <c r="E2092" s="1" t="s">
        <v>11</v>
      </c>
      <c r="H2092" s="1">
        <v>0.0</v>
      </c>
      <c r="J2092" s="1">
        <v>0.0</v>
      </c>
      <c r="N2092" s="1">
        <v>1.590000033</v>
      </c>
    </row>
    <row r="2093" ht="15.75" customHeight="1">
      <c r="A2093" s="1" t="s">
        <v>164</v>
      </c>
      <c r="B2093" s="1" t="s">
        <v>81</v>
      </c>
      <c r="C2093" s="5">
        <v>45519.0</v>
      </c>
      <c r="D2093" s="1" t="s">
        <v>161</v>
      </c>
      <c r="E2093" s="1" t="s">
        <v>11</v>
      </c>
      <c r="F2093" s="1" t="s">
        <v>162</v>
      </c>
      <c r="H2093" s="1">
        <v>0.0</v>
      </c>
      <c r="I2093" s="1">
        <v>0.0</v>
      </c>
      <c r="J2093" s="1">
        <v>0.0</v>
      </c>
      <c r="K2093" s="1">
        <v>0.0</v>
      </c>
      <c r="L2093" s="1">
        <v>0.0</v>
      </c>
      <c r="N2093" s="1">
        <v>0.0</v>
      </c>
    </row>
    <row r="2094" ht="15.75" customHeight="1">
      <c r="A2094" s="1" t="s">
        <v>164</v>
      </c>
      <c r="B2094" s="1" t="s">
        <v>179</v>
      </c>
      <c r="C2094" s="5">
        <v>45519.0</v>
      </c>
      <c r="D2094" s="1" t="s">
        <v>161</v>
      </c>
      <c r="E2094" s="1" t="s">
        <v>11</v>
      </c>
      <c r="H2094" s="1">
        <v>0.0</v>
      </c>
      <c r="J2094" s="1">
        <v>0.0</v>
      </c>
      <c r="N2094" s="1">
        <v>0.170000002</v>
      </c>
    </row>
    <row r="2095" ht="15.75" customHeight="1">
      <c r="A2095" s="1" t="s">
        <v>164</v>
      </c>
      <c r="B2095" s="1" t="s">
        <v>60</v>
      </c>
      <c r="C2095" s="5">
        <v>45519.0</v>
      </c>
      <c r="D2095" s="1" t="s">
        <v>161</v>
      </c>
      <c r="E2095" s="1" t="s">
        <v>11</v>
      </c>
      <c r="F2095" s="1" t="s">
        <v>162</v>
      </c>
      <c r="H2095" s="1">
        <v>0.0</v>
      </c>
      <c r="I2095" s="1">
        <v>0.0</v>
      </c>
      <c r="J2095" s="1">
        <v>0.0</v>
      </c>
      <c r="K2095" s="1">
        <v>2.0</v>
      </c>
      <c r="L2095" s="1">
        <v>4.0</v>
      </c>
      <c r="M2095" s="1">
        <v>0.5</v>
      </c>
      <c r="N2095" s="1">
        <v>0.0</v>
      </c>
    </row>
    <row r="2096" ht="15.75" customHeight="1">
      <c r="A2096" s="1" t="s">
        <v>164</v>
      </c>
      <c r="B2096" s="1" t="s">
        <v>63</v>
      </c>
      <c r="C2096" s="5">
        <v>45519.0</v>
      </c>
      <c r="D2096" s="1" t="s">
        <v>161</v>
      </c>
      <c r="E2096" s="1" t="s">
        <v>11</v>
      </c>
      <c r="F2096" s="1" t="s">
        <v>165</v>
      </c>
      <c r="H2096" s="1">
        <v>0.0</v>
      </c>
      <c r="I2096" s="1">
        <v>0.0</v>
      </c>
      <c r="J2096" s="1">
        <v>0.0</v>
      </c>
      <c r="K2096" s="1">
        <v>6.0</v>
      </c>
      <c r="L2096" s="1">
        <v>34.0</v>
      </c>
      <c r="M2096" s="1">
        <v>0.176470588</v>
      </c>
      <c r="N2096" s="1">
        <v>14.47999954</v>
      </c>
    </row>
    <row r="2097" ht="15.75" customHeight="1">
      <c r="A2097" s="1" t="s">
        <v>164</v>
      </c>
      <c r="B2097" s="1" t="s">
        <v>183</v>
      </c>
      <c r="C2097" s="5">
        <v>45519.0</v>
      </c>
      <c r="D2097" s="1" t="s">
        <v>161</v>
      </c>
      <c r="E2097" s="1" t="s">
        <v>11</v>
      </c>
      <c r="F2097" s="1" t="s">
        <v>165</v>
      </c>
      <c r="H2097" s="1">
        <v>0.0</v>
      </c>
      <c r="I2097" s="1">
        <v>1.0</v>
      </c>
      <c r="J2097" s="1">
        <v>0.0</v>
      </c>
      <c r="K2097" s="1">
        <v>12.0</v>
      </c>
      <c r="L2097" s="1">
        <v>12.0</v>
      </c>
      <c r="M2097" s="1">
        <v>1.0</v>
      </c>
      <c r="N2097" s="1">
        <v>12.64000034</v>
      </c>
    </row>
    <row r="2098" ht="15.75" customHeight="1">
      <c r="A2098" s="1" t="s">
        <v>164</v>
      </c>
      <c r="B2098" s="1" t="s">
        <v>183</v>
      </c>
      <c r="C2098" s="5">
        <v>45519.0</v>
      </c>
      <c r="D2098" s="1" t="s">
        <v>161</v>
      </c>
      <c r="E2098" s="1" t="s">
        <v>11</v>
      </c>
      <c r="F2098" s="1" t="s">
        <v>166</v>
      </c>
      <c r="H2098" s="1">
        <v>0.0</v>
      </c>
      <c r="I2098" s="1">
        <v>0.0</v>
      </c>
      <c r="J2098" s="1">
        <v>0.0</v>
      </c>
      <c r="K2098" s="1">
        <v>0.0</v>
      </c>
      <c r="L2098" s="1">
        <v>0.0</v>
      </c>
      <c r="N2098" s="1">
        <v>0.0</v>
      </c>
    </row>
    <row r="2099" ht="15.75" customHeight="1">
      <c r="A2099" s="1" t="s">
        <v>164</v>
      </c>
      <c r="B2099" s="1" t="s">
        <v>68</v>
      </c>
      <c r="C2099" s="5">
        <v>45519.0</v>
      </c>
      <c r="D2099" s="1" t="s">
        <v>161</v>
      </c>
      <c r="E2099" s="1" t="s">
        <v>11</v>
      </c>
      <c r="F2099" s="1" t="s">
        <v>165</v>
      </c>
      <c r="H2099" s="1">
        <v>0.0</v>
      </c>
      <c r="I2099" s="1">
        <v>0.0</v>
      </c>
      <c r="J2099" s="1">
        <v>0.0</v>
      </c>
      <c r="K2099" s="1">
        <v>1.0</v>
      </c>
      <c r="L2099" s="1">
        <v>6.0</v>
      </c>
      <c r="M2099" s="1">
        <v>0.166666667</v>
      </c>
      <c r="N2099" s="1">
        <v>13.17000008</v>
      </c>
    </row>
    <row r="2100" ht="15.75" customHeight="1">
      <c r="A2100" s="1" t="s">
        <v>164</v>
      </c>
      <c r="B2100" s="1" t="s">
        <v>197</v>
      </c>
      <c r="C2100" s="5">
        <v>45519.0</v>
      </c>
      <c r="D2100" s="1" t="s">
        <v>161</v>
      </c>
      <c r="E2100" s="1" t="s">
        <v>11</v>
      </c>
      <c r="F2100" s="1" t="s">
        <v>168</v>
      </c>
      <c r="H2100" s="1">
        <v>0.0</v>
      </c>
      <c r="I2100" s="1">
        <v>0.0</v>
      </c>
      <c r="J2100" s="1">
        <v>0.0</v>
      </c>
      <c r="K2100" s="1">
        <v>0.0</v>
      </c>
      <c r="L2100" s="1">
        <v>1.0</v>
      </c>
      <c r="M2100" s="1">
        <v>0.0</v>
      </c>
      <c r="N2100" s="1">
        <v>0.0</v>
      </c>
    </row>
    <row r="2101" ht="15.75" customHeight="1">
      <c r="A2101" s="1" t="s">
        <v>164</v>
      </c>
      <c r="B2101" s="1" t="s">
        <v>74</v>
      </c>
      <c r="C2101" s="5">
        <v>45519.0</v>
      </c>
      <c r="D2101" s="1" t="s">
        <v>161</v>
      </c>
      <c r="E2101" s="1" t="s">
        <v>11</v>
      </c>
      <c r="F2101" s="1" t="s">
        <v>166</v>
      </c>
      <c r="H2101" s="1">
        <v>0.0</v>
      </c>
      <c r="I2101" s="1">
        <v>0.0</v>
      </c>
      <c r="J2101" s="1">
        <v>0.0</v>
      </c>
      <c r="K2101" s="1">
        <v>3.0</v>
      </c>
      <c r="L2101" s="1">
        <v>6.0</v>
      </c>
      <c r="M2101" s="1">
        <v>0.5</v>
      </c>
      <c r="N2101" s="1">
        <v>12.53999996</v>
      </c>
    </row>
    <row r="2102" ht="15.75" customHeight="1">
      <c r="A2102" s="1" t="s">
        <v>164</v>
      </c>
      <c r="B2102" s="1" t="s">
        <v>205</v>
      </c>
      <c r="C2102" s="5">
        <v>45519.0</v>
      </c>
      <c r="D2102" s="1" t="s">
        <v>161</v>
      </c>
      <c r="E2102" s="1" t="s">
        <v>11</v>
      </c>
      <c r="F2102" s="1" t="s">
        <v>165</v>
      </c>
      <c r="H2102" s="1">
        <v>0.0</v>
      </c>
      <c r="I2102" s="1">
        <v>0.0</v>
      </c>
      <c r="J2102" s="1">
        <v>0.0</v>
      </c>
      <c r="K2102" s="1">
        <v>8.0</v>
      </c>
      <c r="L2102" s="1">
        <v>11.0</v>
      </c>
      <c r="M2102" s="1">
        <v>0.727272727</v>
      </c>
      <c r="N2102" s="1">
        <v>18.94000053</v>
      </c>
    </row>
    <row r="2103" ht="15.75" customHeight="1">
      <c r="A2103" s="1" t="s">
        <v>164</v>
      </c>
      <c r="B2103" s="1" t="s">
        <v>75</v>
      </c>
      <c r="C2103" s="5">
        <v>45519.0</v>
      </c>
      <c r="D2103" s="1" t="s">
        <v>161</v>
      </c>
      <c r="E2103" s="1" t="s">
        <v>11</v>
      </c>
      <c r="F2103" s="1" t="s">
        <v>165</v>
      </c>
      <c r="H2103" s="1">
        <v>0.0</v>
      </c>
      <c r="I2103" s="1">
        <v>0.0</v>
      </c>
      <c r="J2103" s="1">
        <v>0.0</v>
      </c>
      <c r="K2103" s="1">
        <v>9.0</v>
      </c>
      <c r="L2103" s="1">
        <v>20.0</v>
      </c>
      <c r="M2103" s="1">
        <v>0.45</v>
      </c>
      <c r="N2103" s="1">
        <v>16.42000008</v>
      </c>
    </row>
    <row r="2104" ht="15.75" customHeight="1">
      <c r="A2104" s="1" t="s">
        <v>164</v>
      </c>
      <c r="B2104" s="1" t="s">
        <v>265</v>
      </c>
      <c r="C2104" s="5">
        <v>45519.0</v>
      </c>
      <c r="D2104" s="1" t="s">
        <v>161</v>
      </c>
      <c r="E2104" s="1" t="s">
        <v>11</v>
      </c>
      <c r="F2104" s="1" t="s">
        <v>166</v>
      </c>
      <c r="H2104" s="1">
        <v>0.0</v>
      </c>
      <c r="I2104" s="1">
        <v>0.0</v>
      </c>
      <c r="J2104" s="1">
        <v>0.0</v>
      </c>
      <c r="K2104" s="1">
        <v>10.0</v>
      </c>
      <c r="L2104" s="1">
        <v>12.0</v>
      </c>
      <c r="M2104" s="1">
        <v>0.833333333</v>
      </c>
      <c r="N2104" s="1">
        <v>14.59000015</v>
      </c>
    </row>
    <row r="2105" ht="15.75" customHeight="1">
      <c r="A2105" s="1" t="s">
        <v>164</v>
      </c>
      <c r="B2105" s="1" t="s">
        <v>102</v>
      </c>
      <c r="C2105" s="5">
        <v>45519.0</v>
      </c>
      <c r="D2105" s="1" t="s">
        <v>161</v>
      </c>
      <c r="E2105" s="1" t="s">
        <v>11</v>
      </c>
      <c r="G2105" s="1" t="s">
        <v>172</v>
      </c>
      <c r="H2105" s="1">
        <v>1.0</v>
      </c>
      <c r="J2105" s="1">
        <v>0.0</v>
      </c>
      <c r="N2105" s="1">
        <v>9.289999962</v>
      </c>
    </row>
    <row r="2106" ht="15.75" customHeight="1">
      <c r="A2106" s="1" t="s">
        <v>164</v>
      </c>
      <c r="B2106" s="1" t="s">
        <v>225</v>
      </c>
      <c r="C2106" s="5">
        <v>45519.0</v>
      </c>
      <c r="D2106" s="1" t="s">
        <v>161</v>
      </c>
      <c r="E2106" s="1" t="s">
        <v>11</v>
      </c>
      <c r="H2106" s="1">
        <v>0.0</v>
      </c>
      <c r="J2106" s="1">
        <v>0.0</v>
      </c>
      <c r="N2106" s="1">
        <v>8.859999657</v>
      </c>
    </row>
    <row r="2107" ht="15.75" customHeight="1">
      <c r="A2107" s="1" t="s">
        <v>180</v>
      </c>
      <c r="B2107" s="1" t="s">
        <v>266</v>
      </c>
      <c r="C2107" s="5">
        <v>45519.0</v>
      </c>
      <c r="D2107" s="1" t="s">
        <v>161</v>
      </c>
      <c r="E2107" s="1" t="s">
        <v>11</v>
      </c>
      <c r="F2107" s="1" t="s">
        <v>165</v>
      </c>
      <c r="G2107" s="1" t="s">
        <v>270</v>
      </c>
      <c r="H2107" s="1">
        <v>3.0</v>
      </c>
      <c r="I2107" s="1">
        <v>0.0</v>
      </c>
      <c r="J2107" s="1">
        <v>0.0</v>
      </c>
      <c r="K2107" s="1">
        <v>18.0</v>
      </c>
      <c r="L2107" s="1">
        <v>23.0</v>
      </c>
      <c r="M2107" s="1">
        <v>0.782608696</v>
      </c>
      <c r="N2107" s="1">
        <v>34.31999969</v>
      </c>
    </row>
    <row r="2108" ht="15.75" customHeight="1">
      <c r="A2108" s="1" t="s">
        <v>180</v>
      </c>
      <c r="B2108" s="1" t="s">
        <v>208</v>
      </c>
      <c r="C2108" s="5">
        <v>45519.0</v>
      </c>
      <c r="D2108" s="1" t="s">
        <v>161</v>
      </c>
      <c r="E2108" s="1" t="s">
        <v>11</v>
      </c>
      <c r="F2108" s="1" t="s">
        <v>166</v>
      </c>
      <c r="H2108" s="1">
        <v>0.0</v>
      </c>
      <c r="I2108" s="1">
        <v>0.0</v>
      </c>
      <c r="J2108" s="1">
        <v>0.0</v>
      </c>
      <c r="K2108" s="1">
        <v>1.0</v>
      </c>
      <c r="L2108" s="1">
        <v>2.0</v>
      </c>
      <c r="M2108" s="1">
        <v>0.5</v>
      </c>
      <c r="N2108" s="1">
        <v>5.539999962</v>
      </c>
    </row>
    <row r="2109" ht="15.75" customHeight="1">
      <c r="A2109" s="1" t="s">
        <v>180</v>
      </c>
      <c r="B2109" s="1" t="s">
        <v>45</v>
      </c>
      <c r="C2109" s="5">
        <v>45519.0</v>
      </c>
      <c r="D2109" s="1" t="s">
        <v>161</v>
      </c>
      <c r="E2109" s="1" t="s">
        <v>11</v>
      </c>
      <c r="H2109" s="1">
        <v>0.0</v>
      </c>
      <c r="J2109" s="1">
        <v>0.0</v>
      </c>
      <c r="N2109" s="1">
        <v>0.569999993</v>
      </c>
    </row>
    <row r="2110" ht="15.75" customHeight="1">
      <c r="A2110" s="1" t="s">
        <v>180</v>
      </c>
      <c r="B2110" s="1" t="s">
        <v>271</v>
      </c>
      <c r="C2110" s="5">
        <v>45519.0</v>
      </c>
      <c r="D2110" s="1" t="s">
        <v>161</v>
      </c>
      <c r="E2110" s="1" t="s">
        <v>11</v>
      </c>
      <c r="F2110" s="1" t="s">
        <v>165</v>
      </c>
      <c r="G2110" s="1" t="s">
        <v>200</v>
      </c>
      <c r="H2110" s="1">
        <v>2.0</v>
      </c>
      <c r="I2110" s="1">
        <v>1.0</v>
      </c>
      <c r="J2110" s="1">
        <v>0.0</v>
      </c>
      <c r="K2110" s="1">
        <v>24.0</v>
      </c>
      <c r="L2110" s="1">
        <v>30.0</v>
      </c>
      <c r="M2110" s="1">
        <v>0.8</v>
      </c>
      <c r="N2110" s="1">
        <v>8.75</v>
      </c>
    </row>
    <row r="2111" ht="15.75" customHeight="1">
      <c r="A2111" s="1" t="s">
        <v>180</v>
      </c>
      <c r="B2111" s="1" t="s">
        <v>272</v>
      </c>
      <c r="C2111" s="5">
        <v>45519.0</v>
      </c>
      <c r="D2111" s="1" t="s">
        <v>161</v>
      </c>
      <c r="E2111" s="1" t="s">
        <v>11</v>
      </c>
      <c r="F2111" s="1" t="s">
        <v>165</v>
      </c>
      <c r="H2111" s="1">
        <v>0.0</v>
      </c>
      <c r="I2111" s="1">
        <v>2.0</v>
      </c>
      <c r="J2111" s="1">
        <v>0.0</v>
      </c>
      <c r="K2111" s="1">
        <v>41.0</v>
      </c>
      <c r="L2111" s="1">
        <v>53.0</v>
      </c>
      <c r="M2111" s="1">
        <v>0.773584906</v>
      </c>
      <c r="N2111" s="1">
        <v>9.119999886</v>
      </c>
    </row>
    <row r="2112" ht="15.75" customHeight="1">
      <c r="A2112" s="1" t="s">
        <v>180</v>
      </c>
      <c r="B2112" s="1" t="s">
        <v>273</v>
      </c>
      <c r="C2112" s="5">
        <v>45519.0</v>
      </c>
      <c r="D2112" s="1" t="s">
        <v>161</v>
      </c>
      <c r="E2112" s="1" t="s">
        <v>11</v>
      </c>
      <c r="F2112" s="1" t="s">
        <v>165</v>
      </c>
      <c r="H2112" s="1">
        <v>0.0</v>
      </c>
      <c r="I2112" s="1">
        <v>1.0</v>
      </c>
      <c r="J2112" s="1">
        <v>0.0</v>
      </c>
      <c r="K2112" s="1">
        <v>18.0</v>
      </c>
      <c r="L2112" s="1">
        <v>23.0</v>
      </c>
      <c r="M2112" s="1">
        <v>0.782608696</v>
      </c>
      <c r="N2112" s="1">
        <v>0.0</v>
      </c>
    </row>
    <row r="2113" ht="15.75" customHeight="1">
      <c r="A2113" s="1" t="s">
        <v>180</v>
      </c>
      <c r="B2113" s="1" t="s">
        <v>239</v>
      </c>
      <c r="C2113" s="5">
        <v>45519.0</v>
      </c>
      <c r="D2113" s="1" t="s">
        <v>161</v>
      </c>
      <c r="E2113" s="1" t="s">
        <v>11</v>
      </c>
      <c r="F2113" s="1" t="s">
        <v>165</v>
      </c>
      <c r="H2113" s="1">
        <v>0.0</v>
      </c>
      <c r="I2113" s="1">
        <v>2.0</v>
      </c>
      <c r="J2113" s="1">
        <v>0.0</v>
      </c>
      <c r="K2113" s="1">
        <v>31.0</v>
      </c>
      <c r="L2113" s="1">
        <v>35.0</v>
      </c>
      <c r="M2113" s="1">
        <v>0.885714286</v>
      </c>
      <c r="N2113" s="1">
        <v>37.65999985</v>
      </c>
    </row>
    <row r="2114" ht="15.75" customHeight="1">
      <c r="A2114" s="1" t="s">
        <v>180</v>
      </c>
      <c r="B2114" s="1" t="s">
        <v>239</v>
      </c>
      <c r="C2114" s="5">
        <v>45519.0</v>
      </c>
      <c r="D2114" s="1" t="s">
        <v>161</v>
      </c>
      <c r="E2114" s="1" t="s">
        <v>11</v>
      </c>
      <c r="F2114" s="1" t="s">
        <v>166</v>
      </c>
      <c r="H2114" s="1">
        <v>0.0</v>
      </c>
      <c r="I2114" s="1">
        <v>0.0</v>
      </c>
      <c r="J2114" s="1">
        <v>0.0</v>
      </c>
      <c r="K2114" s="1">
        <v>16.0</v>
      </c>
      <c r="L2114" s="1">
        <v>28.0</v>
      </c>
      <c r="M2114" s="1">
        <v>0.571428571</v>
      </c>
      <c r="N2114" s="1">
        <v>0.0</v>
      </c>
    </row>
    <row r="2115" ht="15.75" customHeight="1">
      <c r="A2115" s="1" t="s">
        <v>180</v>
      </c>
      <c r="B2115" s="1" t="s">
        <v>220</v>
      </c>
      <c r="C2115" s="5">
        <v>45519.0</v>
      </c>
      <c r="D2115" s="1" t="s">
        <v>161</v>
      </c>
      <c r="E2115" s="1" t="s">
        <v>11</v>
      </c>
      <c r="H2115" s="1">
        <v>0.0</v>
      </c>
      <c r="J2115" s="1">
        <v>0.0</v>
      </c>
      <c r="N2115" s="1">
        <v>1.570000052</v>
      </c>
    </row>
    <row r="2116" ht="15.75" customHeight="1">
      <c r="A2116" s="1" t="s">
        <v>180</v>
      </c>
      <c r="B2116" s="1" t="s">
        <v>237</v>
      </c>
      <c r="C2116" s="5">
        <v>45519.0</v>
      </c>
      <c r="D2116" s="1" t="s">
        <v>161</v>
      </c>
      <c r="E2116" s="1" t="s">
        <v>11</v>
      </c>
      <c r="F2116" s="1" t="s">
        <v>165</v>
      </c>
      <c r="G2116" s="1" t="s">
        <v>200</v>
      </c>
      <c r="H2116" s="1">
        <v>2.0</v>
      </c>
      <c r="I2116" s="1">
        <v>0.0</v>
      </c>
      <c r="J2116" s="1">
        <v>0.0</v>
      </c>
      <c r="K2116" s="1">
        <v>2.0</v>
      </c>
      <c r="L2116" s="1">
        <v>7.0</v>
      </c>
      <c r="M2116" s="1">
        <v>0.285714286</v>
      </c>
      <c r="N2116" s="1">
        <v>60.20999908</v>
      </c>
    </row>
    <row r="2117" ht="15.75" customHeight="1">
      <c r="A2117" s="1" t="s">
        <v>180</v>
      </c>
      <c r="B2117" s="1" t="s">
        <v>267</v>
      </c>
      <c r="C2117" s="5">
        <v>45519.0</v>
      </c>
      <c r="D2117" s="1" t="s">
        <v>161</v>
      </c>
      <c r="E2117" s="1" t="s">
        <v>11</v>
      </c>
      <c r="F2117" s="1" t="s">
        <v>166</v>
      </c>
      <c r="H2117" s="1">
        <v>0.0</v>
      </c>
      <c r="I2117" s="1">
        <v>0.0</v>
      </c>
      <c r="J2117" s="1">
        <v>0.0</v>
      </c>
      <c r="K2117" s="1">
        <v>16.0</v>
      </c>
      <c r="L2117" s="1">
        <v>22.0</v>
      </c>
      <c r="M2117" s="1">
        <v>0.727272727</v>
      </c>
      <c r="N2117" s="1">
        <v>52.83000183</v>
      </c>
    </row>
    <row r="2118" ht="15.75" customHeight="1">
      <c r="A2118" s="1" t="s">
        <v>180</v>
      </c>
      <c r="B2118" s="1" t="s">
        <v>238</v>
      </c>
      <c r="C2118" s="5">
        <v>45519.0</v>
      </c>
      <c r="D2118" s="1" t="s">
        <v>161</v>
      </c>
      <c r="E2118" s="1" t="s">
        <v>11</v>
      </c>
      <c r="F2118" s="1" t="s">
        <v>165</v>
      </c>
      <c r="H2118" s="1">
        <v>0.0</v>
      </c>
      <c r="I2118" s="1">
        <v>0.0</v>
      </c>
      <c r="J2118" s="1">
        <v>0.0</v>
      </c>
      <c r="K2118" s="1">
        <v>0.0</v>
      </c>
      <c r="L2118" s="1">
        <v>2.0</v>
      </c>
      <c r="M2118" s="1">
        <v>0.0</v>
      </c>
      <c r="N2118" s="1">
        <v>1.419999957</v>
      </c>
    </row>
    <row r="2119" ht="15.75" customHeight="1">
      <c r="A2119" s="1" t="s">
        <v>180</v>
      </c>
      <c r="B2119" s="1" t="s">
        <v>274</v>
      </c>
      <c r="C2119" s="5">
        <v>45519.0</v>
      </c>
      <c r="D2119" s="1" t="s">
        <v>161</v>
      </c>
      <c r="E2119" s="1" t="s">
        <v>11</v>
      </c>
      <c r="F2119" s="1" t="s">
        <v>166</v>
      </c>
      <c r="H2119" s="1">
        <v>0.0</v>
      </c>
      <c r="I2119" s="1">
        <v>0.0</v>
      </c>
      <c r="J2119" s="1">
        <v>0.0</v>
      </c>
      <c r="K2119" s="1">
        <v>0.0</v>
      </c>
      <c r="L2119" s="1">
        <v>0.0</v>
      </c>
      <c r="N2119" s="1">
        <v>0.769999981</v>
      </c>
    </row>
    <row r="2120" ht="15.75" customHeight="1">
      <c r="A2120" s="1" t="s">
        <v>180</v>
      </c>
      <c r="B2120" s="1" t="s">
        <v>185</v>
      </c>
      <c r="C2120" s="5">
        <v>45519.0</v>
      </c>
      <c r="D2120" s="1" t="s">
        <v>161</v>
      </c>
      <c r="E2120" s="1" t="s">
        <v>11</v>
      </c>
      <c r="H2120" s="1">
        <v>0.0</v>
      </c>
      <c r="J2120" s="1">
        <v>0.0</v>
      </c>
      <c r="N2120" s="1">
        <v>0.730000019</v>
      </c>
    </row>
    <row r="2121" ht="15.75" customHeight="1">
      <c r="A2121" s="1" t="s">
        <v>180</v>
      </c>
      <c r="B2121" s="1" t="s">
        <v>275</v>
      </c>
      <c r="C2121" s="5">
        <v>45519.0</v>
      </c>
      <c r="D2121" s="1" t="s">
        <v>161</v>
      </c>
      <c r="E2121" s="1" t="s">
        <v>11</v>
      </c>
      <c r="F2121" s="1" t="s">
        <v>166</v>
      </c>
      <c r="H2121" s="1">
        <v>0.0</v>
      </c>
      <c r="I2121" s="1">
        <v>0.0</v>
      </c>
      <c r="J2121" s="1">
        <v>0.0</v>
      </c>
      <c r="K2121" s="1">
        <v>0.0</v>
      </c>
      <c r="L2121" s="1">
        <v>0.0</v>
      </c>
      <c r="N2121" s="1">
        <v>0.0</v>
      </c>
    </row>
    <row r="2122" ht="15.75" customHeight="1">
      <c r="A2122" s="1" t="s">
        <v>180</v>
      </c>
      <c r="B2122" s="1" t="s">
        <v>276</v>
      </c>
      <c r="C2122" s="5">
        <v>45519.0</v>
      </c>
      <c r="D2122" s="1" t="s">
        <v>161</v>
      </c>
      <c r="E2122" s="1" t="s">
        <v>11</v>
      </c>
      <c r="F2122" s="1" t="s">
        <v>166</v>
      </c>
      <c r="H2122" s="1">
        <v>0.0</v>
      </c>
      <c r="I2122" s="1">
        <v>0.0</v>
      </c>
      <c r="J2122" s="1">
        <v>0.0</v>
      </c>
      <c r="K2122" s="1">
        <v>0.0</v>
      </c>
      <c r="L2122" s="1">
        <v>0.0</v>
      </c>
      <c r="N2122" s="1">
        <v>0.0</v>
      </c>
    </row>
    <row r="2123" ht="15.75" customHeight="1">
      <c r="A2123" s="1" t="s">
        <v>180</v>
      </c>
      <c r="B2123" s="1" t="s">
        <v>203</v>
      </c>
      <c r="C2123" s="5">
        <v>45519.0</v>
      </c>
      <c r="D2123" s="1" t="s">
        <v>161</v>
      </c>
      <c r="E2123" s="1" t="s">
        <v>11</v>
      </c>
      <c r="H2123" s="1">
        <v>0.0</v>
      </c>
      <c r="J2123" s="1">
        <v>0.0</v>
      </c>
      <c r="N2123" s="1">
        <v>0.200000003</v>
      </c>
    </row>
    <row r="2124" ht="15.75" customHeight="1">
      <c r="A2124" s="1" t="s">
        <v>180</v>
      </c>
      <c r="B2124" s="1" t="s">
        <v>268</v>
      </c>
      <c r="C2124" s="5">
        <v>45519.0</v>
      </c>
      <c r="D2124" s="1" t="s">
        <v>161</v>
      </c>
      <c r="E2124" s="1" t="s">
        <v>11</v>
      </c>
      <c r="F2124" s="1" t="s">
        <v>165</v>
      </c>
      <c r="G2124" s="1" t="s">
        <v>172</v>
      </c>
      <c r="H2124" s="1">
        <v>1.0</v>
      </c>
      <c r="I2124" s="1">
        <v>1.0</v>
      </c>
      <c r="J2124" s="1">
        <v>0.0</v>
      </c>
      <c r="K2124" s="1">
        <v>28.0</v>
      </c>
      <c r="L2124" s="1">
        <v>43.0</v>
      </c>
      <c r="M2124" s="1">
        <v>0.651162791</v>
      </c>
      <c r="N2124" s="1">
        <v>10.05000019</v>
      </c>
    </row>
    <row r="2125" ht="15.75" customHeight="1">
      <c r="A2125" s="1" t="s">
        <v>180</v>
      </c>
      <c r="B2125" s="1" t="s">
        <v>209</v>
      </c>
      <c r="C2125" s="5">
        <v>45519.0</v>
      </c>
      <c r="D2125" s="1" t="s">
        <v>161</v>
      </c>
      <c r="E2125" s="1" t="s">
        <v>11</v>
      </c>
      <c r="F2125" s="1" t="s">
        <v>166</v>
      </c>
      <c r="H2125" s="1">
        <v>0.0</v>
      </c>
      <c r="I2125" s="1">
        <v>1.0</v>
      </c>
      <c r="J2125" s="1">
        <v>0.0</v>
      </c>
      <c r="K2125" s="1">
        <v>18.0</v>
      </c>
      <c r="L2125" s="1">
        <v>21.0</v>
      </c>
      <c r="M2125" s="1">
        <v>0.857142857</v>
      </c>
      <c r="N2125" s="1">
        <v>0.200000003</v>
      </c>
    </row>
    <row r="2126" ht="15.75" customHeight="1">
      <c r="A2126" s="1" t="s">
        <v>180</v>
      </c>
      <c r="B2126" s="1" t="s">
        <v>269</v>
      </c>
      <c r="C2126" s="5">
        <v>45519.0</v>
      </c>
      <c r="D2126" s="1" t="s">
        <v>161</v>
      </c>
      <c r="E2126" s="1" t="s">
        <v>11</v>
      </c>
      <c r="F2126" s="1" t="s">
        <v>165</v>
      </c>
      <c r="H2126" s="1">
        <v>0.0</v>
      </c>
      <c r="I2126" s="1">
        <v>0.0</v>
      </c>
      <c r="J2126" s="1">
        <v>0.0</v>
      </c>
      <c r="K2126" s="1">
        <v>4.0</v>
      </c>
      <c r="L2126" s="1">
        <v>6.0</v>
      </c>
      <c r="M2126" s="1">
        <v>0.666666667</v>
      </c>
      <c r="N2126" s="1">
        <v>41.29999924</v>
      </c>
    </row>
    <row r="2127" ht="15.75" customHeight="1">
      <c r="A2127" s="1" t="s">
        <v>180</v>
      </c>
      <c r="B2127" s="1" t="s">
        <v>226</v>
      </c>
      <c r="C2127" s="5">
        <v>45519.0</v>
      </c>
      <c r="D2127" s="1" t="s">
        <v>161</v>
      </c>
      <c r="E2127" s="1" t="s">
        <v>11</v>
      </c>
      <c r="F2127" s="1" t="s">
        <v>165</v>
      </c>
      <c r="H2127" s="1">
        <v>0.0</v>
      </c>
      <c r="I2127" s="1">
        <v>0.0</v>
      </c>
      <c r="J2127" s="1">
        <v>0.0</v>
      </c>
      <c r="K2127" s="1">
        <v>0.0</v>
      </c>
      <c r="L2127" s="1">
        <v>0.0</v>
      </c>
      <c r="N2127" s="1">
        <v>5.639999866</v>
      </c>
    </row>
    <row r="2128" ht="15.75" customHeight="1">
      <c r="A2128" s="1" t="s">
        <v>180</v>
      </c>
      <c r="B2128" s="1" t="s">
        <v>277</v>
      </c>
      <c r="C2128" s="5">
        <v>45519.0</v>
      </c>
      <c r="D2128" s="1" t="s">
        <v>161</v>
      </c>
      <c r="E2128" s="1" t="s">
        <v>11</v>
      </c>
      <c r="F2128" s="1" t="s">
        <v>166</v>
      </c>
      <c r="H2128" s="1">
        <v>0.0</v>
      </c>
      <c r="I2128" s="1">
        <v>0.0</v>
      </c>
      <c r="J2128" s="1">
        <v>0.0</v>
      </c>
      <c r="K2128" s="1">
        <v>0.0</v>
      </c>
      <c r="L2128" s="1">
        <v>7.0</v>
      </c>
      <c r="M2128" s="1">
        <v>0.0</v>
      </c>
      <c r="N2128" s="1">
        <v>0.02</v>
      </c>
    </row>
    <row r="2129" ht="15.75" customHeight="1">
      <c r="A2129" s="1" t="s">
        <v>180</v>
      </c>
      <c r="B2129" s="1" t="s">
        <v>278</v>
      </c>
      <c r="C2129" s="5">
        <v>45519.0</v>
      </c>
      <c r="D2129" s="1" t="s">
        <v>161</v>
      </c>
      <c r="E2129" s="1" t="s">
        <v>11</v>
      </c>
      <c r="H2129" s="1">
        <v>0.0</v>
      </c>
      <c r="J2129" s="1">
        <v>0.0</v>
      </c>
      <c r="N2129" s="1">
        <v>0.529999971</v>
      </c>
    </row>
    <row r="2130" ht="15.75" customHeight="1">
      <c r="A2130" s="1" t="s">
        <v>160</v>
      </c>
      <c r="B2130" s="1" t="s">
        <v>39</v>
      </c>
      <c r="C2130" s="5">
        <v>45518.0</v>
      </c>
      <c r="D2130" s="1" t="s">
        <v>161</v>
      </c>
      <c r="E2130" s="1" t="s">
        <v>11</v>
      </c>
      <c r="H2130" s="1">
        <v>0.0</v>
      </c>
      <c r="J2130" s="1">
        <v>0.0</v>
      </c>
      <c r="N2130" s="1">
        <v>17.37000084</v>
      </c>
    </row>
    <row r="2131" ht="15.75" customHeight="1">
      <c r="A2131" s="1" t="s">
        <v>160</v>
      </c>
      <c r="B2131" s="1" t="s">
        <v>65</v>
      </c>
      <c r="C2131" s="5">
        <v>45518.0</v>
      </c>
      <c r="D2131" s="1" t="s">
        <v>161</v>
      </c>
      <c r="E2131" s="1" t="s">
        <v>11</v>
      </c>
      <c r="H2131" s="1">
        <v>0.0</v>
      </c>
      <c r="J2131" s="1">
        <v>0.0</v>
      </c>
      <c r="N2131" s="1">
        <v>18.84000015</v>
      </c>
    </row>
    <row r="2132" ht="15.75" customHeight="1">
      <c r="A2132" s="1" t="s">
        <v>160</v>
      </c>
      <c r="B2132" s="1" t="s">
        <v>95</v>
      </c>
      <c r="C2132" s="5">
        <v>45518.0</v>
      </c>
      <c r="D2132" s="1" t="s">
        <v>161</v>
      </c>
      <c r="E2132" s="1" t="s">
        <v>11</v>
      </c>
      <c r="H2132" s="1">
        <v>0.0</v>
      </c>
      <c r="J2132" s="1">
        <v>0.0</v>
      </c>
      <c r="N2132" s="1">
        <v>1.25999999</v>
      </c>
    </row>
    <row r="2133" ht="15.75" customHeight="1">
      <c r="A2133" s="1" t="s">
        <v>160</v>
      </c>
      <c r="B2133" s="1" t="s">
        <v>77</v>
      </c>
      <c r="C2133" s="5">
        <v>45518.0</v>
      </c>
      <c r="D2133" s="1" t="s">
        <v>161</v>
      </c>
      <c r="E2133" s="1" t="s">
        <v>11</v>
      </c>
      <c r="H2133" s="1">
        <v>0.0</v>
      </c>
      <c r="J2133" s="1">
        <v>0.0</v>
      </c>
      <c r="N2133" s="1">
        <v>0.419999987</v>
      </c>
    </row>
    <row r="2134" ht="15.75" customHeight="1">
      <c r="A2134" s="1" t="s">
        <v>160</v>
      </c>
      <c r="B2134" s="1" t="s">
        <v>101</v>
      </c>
      <c r="C2134" s="5">
        <v>45518.0</v>
      </c>
      <c r="D2134" s="1" t="s">
        <v>161</v>
      </c>
      <c r="E2134" s="1" t="s">
        <v>11</v>
      </c>
      <c r="H2134" s="1">
        <v>0.0</v>
      </c>
      <c r="J2134" s="1">
        <v>0.0</v>
      </c>
      <c r="N2134" s="1">
        <v>0.899999976</v>
      </c>
    </row>
    <row r="2135" ht="15.75" customHeight="1">
      <c r="A2135" s="1" t="s">
        <v>164</v>
      </c>
      <c r="B2135" s="1" t="s">
        <v>22</v>
      </c>
      <c r="C2135" s="5">
        <v>45518.0</v>
      </c>
      <c r="D2135" s="1" t="s">
        <v>161</v>
      </c>
      <c r="E2135" s="1" t="s">
        <v>11</v>
      </c>
      <c r="H2135" s="1">
        <v>0.0</v>
      </c>
      <c r="J2135" s="1">
        <v>0.0</v>
      </c>
      <c r="N2135" s="1">
        <v>0.769999981</v>
      </c>
    </row>
    <row r="2136" ht="15.75" customHeight="1">
      <c r="A2136" s="1" t="s">
        <v>164</v>
      </c>
      <c r="B2136" s="1" t="s">
        <v>35</v>
      </c>
      <c r="C2136" s="5">
        <v>45518.0</v>
      </c>
      <c r="D2136" s="1" t="s">
        <v>161</v>
      </c>
      <c r="E2136" s="1" t="s">
        <v>11</v>
      </c>
      <c r="H2136" s="1">
        <v>0.0</v>
      </c>
      <c r="J2136" s="1">
        <v>0.0</v>
      </c>
      <c r="N2136" s="1">
        <v>3.230000019</v>
      </c>
    </row>
    <row r="2137" ht="15.75" customHeight="1">
      <c r="A2137" s="1" t="s">
        <v>164</v>
      </c>
      <c r="B2137" s="1" t="s">
        <v>55</v>
      </c>
      <c r="C2137" s="5">
        <v>45518.0</v>
      </c>
      <c r="D2137" s="1" t="s">
        <v>161</v>
      </c>
      <c r="E2137" s="1" t="s">
        <v>11</v>
      </c>
      <c r="H2137" s="1">
        <v>0.0</v>
      </c>
      <c r="J2137" s="1">
        <v>0.0</v>
      </c>
      <c r="N2137" s="1">
        <v>11.35000038</v>
      </c>
    </row>
    <row r="2138" ht="15.75" customHeight="1">
      <c r="A2138" s="1" t="s">
        <v>164</v>
      </c>
      <c r="B2138" s="1" t="s">
        <v>199</v>
      </c>
      <c r="C2138" s="5">
        <v>45518.0</v>
      </c>
      <c r="D2138" s="1" t="s">
        <v>161</v>
      </c>
      <c r="E2138" s="1" t="s">
        <v>11</v>
      </c>
      <c r="H2138" s="1">
        <v>0.0</v>
      </c>
      <c r="J2138" s="1">
        <v>0.0</v>
      </c>
      <c r="N2138" s="1">
        <v>2.25</v>
      </c>
    </row>
    <row r="2139" ht="15.75" customHeight="1">
      <c r="A2139" s="1" t="s">
        <v>164</v>
      </c>
      <c r="B2139" s="1" t="s">
        <v>81</v>
      </c>
      <c r="C2139" s="5">
        <v>45518.0</v>
      </c>
      <c r="D2139" s="1" t="s">
        <v>161</v>
      </c>
      <c r="E2139" s="1" t="s">
        <v>11</v>
      </c>
      <c r="H2139" s="1">
        <v>0.0</v>
      </c>
      <c r="J2139" s="1">
        <v>0.0</v>
      </c>
      <c r="N2139" s="1">
        <v>0.790000021</v>
      </c>
    </row>
    <row r="2140" ht="15.75" customHeight="1">
      <c r="A2140" s="1" t="s">
        <v>164</v>
      </c>
      <c r="B2140" s="1" t="s">
        <v>60</v>
      </c>
      <c r="C2140" s="5">
        <v>45518.0</v>
      </c>
      <c r="D2140" s="1" t="s">
        <v>161</v>
      </c>
      <c r="E2140" s="1" t="s">
        <v>11</v>
      </c>
      <c r="G2140" s="1" t="s">
        <v>279</v>
      </c>
      <c r="H2140" s="1">
        <v>2.0</v>
      </c>
      <c r="J2140" s="1">
        <v>0.0</v>
      </c>
      <c r="N2140" s="1">
        <v>16.34000015</v>
      </c>
    </row>
    <row r="2141" ht="15.75" customHeight="1">
      <c r="A2141" s="1" t="s">
        <v>164</v>
      </c>
      <c r="B2141" s="1" t="s">
        <v>63</v>
      </c>
      <c r="C2141" s="5">
        <v>45518.0</v>
      </c>
      <c r="D2141" s="1" t="s">
        <v>161</v>
      </c>
      <c r="E2141" s="1" t="s">
        <v>11</v>
      </c>
      <c r="H2141" s="1">
        <v>0.0</v>
      </c>
      <c r="J2141" s="1">
        <v>0.0</v>
      </c>
      <c r="N2141" s="1">
        <v>11.97999954</v>
      </c>
    </row>
    <row r="2142" ht="15.75" customHeight="1">
      <c r="A2142" s="1" t="s">
        <v>164</v>
      </c>
      <c r="B2142" s="1" t="s">
        <v>183</v>
      </c>
      <c r="C2142" s="5">
        <v>45518.0</v>
      </c>
      <c r="D2142" s="1" t="s">
        <v>161</v>
      </c>
      <c r="E2142" s="1" t="s">
        <v>11</v>
      </c>
      <c r="H2142" s="1">
        <v>0.0</v>
      </c>
      <c r="J2142" s="1">
        <v>0.0</v>
      </c>
      <c r="N2142" s="1">
        <v>6.0</v>
      </c>
    </row>
    <row r="2143" ht="15.75" customHeight="1">
      <c r="A2143" s="1" t="s">
        <v>164</v>
      </c>
      <c r="B2143" s="1" t="s">
        <v>68</v>
      </c>
      <c r="C2143" s="5">
        <v>45518.0</v>
      </c>
      <c r="D2143" s="1" t="s">
        <v>161</v>
      </c>
      <c r="E2143" s="1" t="s">
        <v>11</v>
      </c>
      <c r="H2143" s="1">
        <v>0.0</v>
      </c>
      <c r="J2143" s="1">
        <v>0.0</v>
      </c>
      <c r="N2143" s="1">
        <v>0.319999993</v>
      </c>
    </row>
    <row r="2144" ht="15.75" customHeight="1">
      <c r="A2144" s="1" t="s">
        <v>164</v>
      </c>
      <c r="B2144" s="1" t="s">
        <v>197</v>
      </c>
      <c r="C2144" s="5">
        <v>45518.0</v>
      </c>
      <c r="D2144" s="1" t="s">
        <v>161</v>
      </c>
      <c r="E2144" s="1" t="s">
        <v>11</v>
      </c>
      <c r="H2144" s="1">
        <v>0.0</v>
      </c>
      <c r="J2144" s="1">
        <v>0.0</v>
      </c>
      <c r="N2144" s="1">
        <v>5.019999981</v>
      </c>
    </row>
    <row r="2145" ht="15.75" customHeight="1">
      <c r="A2145" s="1" t="s">
        <v>164</v>
      </c>
      <c r="B2145" s="1" t="s">
        <v>74</v>
      </c>
      <c r="C2145" s="5">
        <v>45518.0</v>
      </c>
      <c r="D2145" s="1" t="s">
        <v>161</v>
      </c>
      <c r="E2145" s="1" t="s">
        <v>11</v>
      </c>
      <c r="H2145" s="1">
        <v>0.0</v>
      </c>
      <c r="J2145" s="1">
        <v>0.0</v>
      </c>
      <c r="N2145" s="1">
        <v>9.539999962</v>
      </c>
    </row>
    <row r="2146" ht="15.75" customHeight="1">
      <c r="A2146" s="1" t="s">
        <v>164</v>
      </c>
      <c r="B2146" s="1" t="s">
        <v>205</v>
      </c>
      <c r="C2146" s="5">
        <v>45518.0</v>
      </c>
      <c r="D2146" s="1" t="s">
        <v>161</v>
      </c>
      <c r="E2146" s="1" t="s">
        <v>11</v>
      </c>
      <c r="H2146" s="1">
        <v>0.0</v>
      </c>
      <c r="J2146" s="1">
        <v>0.0</v>
      </c>
      <c r="N2146" s="1">
        <v>11.85000038</v>
      </c>
    </row>
    <row r="2147" ht="15.75" customHeight="1">
      <c r="A2147" s="1" t="s">
        <v>164</v>
      </c>
      <c r="B2147" s="1" t="s">
        <v>75</v>
      </c>
      <c r="C2147" s="5">
        <v>45518.0</v>
      </c>
      <c r="D2147" s="1" t="s">
        <v>161</v>
      </c>
      <c r="E2147" s="1" t="s">
        <v>11</v>
      </c>
      <c r="H2147" s="1">
        <v>0.0</v>
      </c>
      <c r="J2147" s="1">
        <v>0.0</v>
      </c>
      <c r="N2147" s="1">
        <v>13.47999954</v>
      </c>
    </row>
    <row r="2148" ht="15.75" customHeight="1">
      <c r="A2148" s="1" t="s">
        <v>164</v>
      </c>
      <c r="B2148" s="1" t="s">
        <v>265</v>
      </c>
      <c r="C2148" s="5">
        <v>45518.0</v>
      </c>
      <c r="D2148" s="1" t="s">
        <v>161</v>
      </c>
      <c r="E2148" s="1" t="s">
        <v>11</v>
      </c>
      <c r="H2148" s="1">
        <v>0.0</v>
      </c>
      <c r="J2148" s="1">
        <v>0.0</v>
      </c>
      <c r="N2148" s="1">
        <v>13.93000031</v>
      </c>
    </row>
    <row r="2149" ht="15.75" customHeight="1">
      <c r="A2149" s="1" t="s">
        <v>180</v>
      </c>
      <c r="B2149" s="1" t="s">
        <v>280</v>
      </c>
      <c r="C2149" s="5">
        <v>45518.0</v>
      </c>
      <c r="D2149" s="1" t="s">
        <v>161</v>
      </c>
      <c r="E2149" s="1" t="s">
        <v>11</v>
      </c>
      <c r="H2149" s="1">
        <v>0.0</v>
      </c>
      <c r="J2149" s="1">
        <v>0.0</v>
      </c>
      <c r="N2149" s="1">
        <v>0.439999998</v>
      </c>
    </row>
    <row r="2150" ht="15.75" customHeight="1">
      <c r="A2150" s="1" t="s">
        <v>180</v>
      </c>
      <c r="B2150" s="1" t="s">
        <v>271</v>
      </c>
      <c r="C2150" s="5">
        <v>45518.0</v>
      </c>
      <c r="D2150" s="1" t="s">
        <v>161</v>
      </c>
      <c r="E2150" s="1" t="s">
        <v>11</v>
      </c>
      <c r="H2150" s="1">
        <v>0.0</v>
      </c>
      <c r="J2150" s="1">
        <v>0.0</v>
      </c>
      <c r="N2150" s="1">
        <v>2.220000029</v>
      </c>
    </row>
    <row r="2151" ht="15.75" customHeight="1">
      <c r="A2151" s="1" t="s">
        <v>180</v>
      </c>
      <c r="B2151" s="1" t="s">
        <v>272</v>
      </c>
      <c r="C2151" s="5">
        <v>45518.0</v>
      </c>
      <c r="D2151" s="1" t="s">
        <v>161</v>
      </c>
      <c r="E2151" s="1" t="s">
        <v>11</v>
      </c>
      <c r="H2151" s="1">
        <v>0.0</v>
      </c>
      <c r="J2151" s="1">
        <v>0.0</v>
      </c>
      <c r="N2151" s="1">
        <v>10.94999981</v>
      </c>
    </row>
    <row r="2152" ht="15.75" customHeight="1">
      <c r="A2152" s="1" t="s">
        <v>180</v>
      </c>
      <c r="B2152" s="1" t="s">
        <v>273</v>
      </c>
      <c r="C2152" s="5">
        <v>45518.0</v>
      </c>
      <c r="D2152" s="1" t="s">
        <v>161</v>
      </c>
      <c r="E2152" s="1" t="s">
        <v>11</v>
      </c>
      <c r="H2152" s="1">
        <v>0.0</v>
      </c>
      <c r="J2152" s="1">
        <v>0.0</v>
      </c>
      <c r="N2152" s="1">
        <v>10.35000038</v>
      </c>
    </row>
    <row r="2153" ht="15.75" customHeight="1">
      <c r="A2153" s="1" t="s">
        <v>180</v>
      </c>
      <c r="B2153" s="1" t="s">
        <v>239</v>
      </c>
      <c r="C2153" s="5">
        <v>45518.0</v>
      </c>
      <c r="D2153" s="1" t="s">
        <v>161</v>
      </c>
      <c r="E2153" s="1" t="s">
        <v>11</v>
      </c>
      <c r="H2153" s="1">
        <v>0.0</v>
      </c>
      <c r="J2153" s="1">
        <v>0.0</v>
      </c>
      <c r="N2153" s="1">
        <v>16.85000038</v>
      </c>
    </row>
    <row r="2154" ht="15.75" customHeight="1">
      <c r="A2154" s="1" t="s">
        <v>180</v>
      </c>
      <c r="B2154" s="1" t="s">
        <v>220</v>
      </c>
      <c r="C2154" s="5">
        <v>45518.0</v>
      </c>
      <c r="D2154" s="1" t="s">
        <v>161</v>
      </c>
      <c r="E2154" s="1" t="s">
        <v>11</v>
      </c>
      <c r="H2154" s="1">
        <v>0.0</v>
      </c>
      <c r="J2154" s="1">
        <v>0.0</v>
      </c>
      <c r="N2154" s="1">
        <v>3.210000038</v>
      </c>
    </row>
    <row r="2155" ht="15.75" customHeight="1">
      <c r="A2155" s="1" t="s">
        <v>180</v>
      </c>
      <c r="B2155" s="1" t="s">
        <v>237</v>
      </c>
      <c r="C2155" s="5">
        <v>45518.0</v>
      </c>
      <c r="D2155" s="1" t="s">
        <v>161</v>
      </c>
      <c r="E2155" s="1" t="s">
        <v>11</v>
      </c>
      <c r="H2155" s="1">
        <v>0.0</v>
      </c>
      <c r="J2155" s="1">
        <v>0.0</v>
      </c>
      <c r="N2155" s="1">
        <v>1.049999952</v>
      </c>
    </row>
    <row r="2156" ht="15.75" customHeight="1">
      <c r="A2156" s="1" t="s">
        <v>180</v>
      </c>
      <c r="B2156" s="1" t="s">
        <v>267</v>
      </c>
      <c r="C2156" s="5">
        <v>45518.0</v>
      </c>
      <c r="D2156" s="1" t="s">
        <v>161</v>
      </c>
      <c r="E2156" s="1" t="s">
        <v>11</v>
      </c>
      <c r="H2156" s="1">
        <v>0.0</v>
      </c>
      <c r="J2156" s="1">
        <v>0.0</v>
      </c>
      <c r="N2156" s="1">
        <v>39.81000137</v>
      </c>
    </row>
    <row r="2157" ht="15.75" customHeight="1">
      <c r="A2157" s="1" t="s">
        <v>180</v>
      </c>
      <c r="B2157" s="1" t="s">
        <v>274</v>
      </c>
      <c r="C2157" s="5">
        <v>45518.0</v>
      </c>
      <c r="D2157" s="1" t="s">
        <v>161</v>
      </c>
      <c r="E2157" s="1" t="s">
        <v>11</v>
      </c>
      <c r="H2157" s="1">
        <v>0.0</v>
      </c>
      <c r="J2157" s="1">
        <v>0.0</v>
      </c>
      <c r="N2157" s="1">
        <v>24.62000084</v>
      </c>
    </row>
    <row r="2158" ht="15.75" customHeight="1">
      <c r="A2158" s="1" t="s">
        <v>180</v>
      </c>
      <c r="B2158" s="1" t="s">
        <v>275</v>
      </c>
      <c r="C2158" s="5">
        <v>45518.0</v>
      </c>
      <c r="D2158" s="1" t="s">
        <v>161</v>
      </c>
      <c r="E2158" s="1" t="s">
        <v>11</v>
      </c>
      <c r="H2158" s="1">
        <v>0.0</v>
      </c>
      <c r="J2158" s="1">
        <v>0.0</v>
      </c>
      <c r="N2158" s="1">
        <v>7.980000019</v>
      </c>
    </row>
    <row r="2159" ht="15.75" customHeight="1">
      <c r="A2159" s="1" t="s">
        <v>180</v>
      </c>
      <c r="B2159" s="1" t="s">
        <v>276</v>
      </c>
      <c r="C2159" s="5">
        <v>45518.0</v>
      </c>
      <c r="D2159" s="1" t="s">
        <v>161</v>
      </c>
      <c r="E2159" s="1" t="s">
        <v>11</v>
      </c>
      <c r="F2159" s="1" t="s">
        <v>166</v>
      </c>
      <c r="G2159" s="1" t="s">
        <v>172</v>
      </c>
      <c r="H2159" s="1">
        <v>1.0</v>
      </c>
      <c r="I2159" s="1">
        <v>1.0</v>
      </c>
      <c r="J2159" s="1">
        <v>0.0</v>
      </c>
      <c r="K2159" s="1">
        <v>17.0</v>
      </c>
      <c r="L2159" s="1">
        <v>26.0</v>
      </c>
      <c r="M2159" s="1">
        <v>0.653846154</v>
      </c>
      <c r="N2159" s="1">
        <v>29.29000092</v>
      </c>
    </row>
    <row r="2160" ht="15.75" customHeight="1">
      <c r="A2160" s="1" t="s">
        <v>180</v>
      </c>
      <c r="B2160" s="1" t="s">
        <v>268</v>
      </c>
      <c r="C2160" s="5">
        <v>45518.0</v>
      </c>
      <c r="D2160" s="1" t="s">
        <v>161</v>
      </c>
      <c r="E2160" s="1" t="s">
        <v>11</v>
      </c>
      <c r="H2160" s="1">
        <v>0.0</v>
      </c>
      <c r="J2160" s="1">
        <v>0.0</v>
      </c>
      <c r="N2160" s="1">
        <v>20.25</v>
      </c>
    </row>
    <row r="2161" ht="15.75" customHeight="1">
      <c r="A2161" s="1" t="s">
        <v>180</v>
      </c>
      <c r="B2161" s="1" t="s">
        <v>209</v>
      </c>
      <c r="C2161" s="5">
        <v>45518.0</v>
      </c>
      <c r="D2161" s="1" t="s">
        <v>161</v>
      </c>
      <c r="E2161" s="1" t="s">
        <v>11</v>
      </c>
      <c r="G2161" s="1" t="s">
        <v>172</v>
      </c>
      <c r="H2161" s="1">
        <v>1.0</v>
      </c>
      <c r="J2161" s="1">
        <v>0.0</v>
      </c>
      <c r="N2161" s="1">
        <v>23.56999969</v>
      </c>
    </row>
    <row r="2162" ht="15.75" customHeight="1">
      <c r="A2162" s="1" t="s">
        <v>180</v>
      </c>
      <c r="B2162" s="1" t="s">
        <v>226</v>
      </c>
      <c r="C2162" s="5">
        <v>45518.0</v>
      </c>
      <c r="D2162" s="1" t="s">
        <v>161</v>
      </c>
      <c r="E2162" s="1" t="s">
        <v>11</v>
      </c>
      <c r="H2162" s="1">
        <v>0.0</v>
      </c>
      <c r="J2162" s="1">
        <v>0.0</v>
      </c>
      <c r="N2162" s="1">
        <v>0.07</v>
      </c>
    </row>
    <row r="2163" ht="15.75" customHeight="1">
      <c r="A2163" s="1" t="s">
        <v>180</v>
      </c>
      <c r="B2163" s="1" t="s">
        <v>277</v>
      </c>
      <c r="C2163" s="5">
        <v>45518.0</v>
      </c>
      <c r="D2163" s="1" t="s">
        <v>161</v>
      </c>
      <c r="E2163" s="1" t="s">
        <v>11</v>
      </c>
      <c r="H2163" s="1">
        <v>0.0</v>
      </c>
      <c r="J2163" s="1">
        <v>0.0</v>
      </c>
      <c r="N2163" s="1">
        <v>13.68000031</v>
      </c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4.88"/>
    <col customWidth="1" min="3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302</v>
      </c>
      <c r="H1" s="1" t="s">
        <v>303</v>
      </c>
    </row>
    <row r="2" ht="15.75" customHeight="1">
      <c r="A2" s="1" t="s">
        <v>80</v>
      </c>
      <c r="B2" s="1" t="s">
        <v>34</v>
      </c>
      <c r="C2" s="1" t="s">
        <v>11</v>
      </c>
      <c r="D2" s="5">
        <v>45746.0</v>
      </c>
      <c r="E2" s="1"/>
      <c r="F2" s="1"/>
      <c r="G2" s="1">
        <f>VLOOKUP(B2,'old-aw-skill-plan'!A:I,7,FALSE)</f>
        <v>4</v>
      </c>
      <c r="H2" s="1" t="str">
        <f>VLOOKUP(B2,'old-aw-skill-plan'!A:I,9,FALSE)</f>
        <v>4-1</v>
      </c>
    </row>
    <row r="3" ht="15.75" customHeight="1">
      <c r="A3" s="1" t="s">
        <v>80</v>
      </c>
      <c r="B3" s="1" t="s">
        <v>124</v>
      </c>
      <c r="C3" s="1" t="s">
        <v>11</v>
      </c>
      <c r="D3" s="5">
        <v>45746.0</v>
      </c>
      <c r="E3" s="1"/>
      <c r="F3" s="1"/>
      <c r="G3" s="1">
        <f>VLOOKUP(B3,'old-aw-skill-plan'!A:I,7,FALSE)</f>
        <v>7</v>
      </c>
      <c r="H3" s="1" t="str">
        <f>VLOOKUP(B3,'old-aw-skill-plan'!A:I,9,FALSE)</f>
        <v>7-5</v>
      </c>
    </row>
    <row r="4" ht="15.75" customHeight="1">
      <c r="A4" s="1" t="s">
        <v>80</v>
      </c>
      <c r="B4" s="1" t="s">
        <v>21</v>
      </c>
      <c r="C4" s="1" t="s">
        <v>11</v>
      </c>
      <c r="D4" s="5">
        <v>45746.0</v>
      </c>
      <c r="E4" s="1">
        <v>22.0</v>
      </c>
      <c r="F4" s="1">
        <v>16.0</v>
      </c>
      <c r="G4" s="1">
        <f>VLOOKUP(B4,'old-aw-skill-plan'!A:I,7,FALSE)</f>
        <v>4</v>
      </c>
      <c r="H4" s="1" t="str">
        <f>VLOOKUP(B4,'old-aw-skill-plan'!A:I,9,FALSE)</f>
        <v>4-6</v>
      </c>
    </row>
    <row r="5" ht="15.75" customHeight="1">
      <c r="A5" s="1" t="s">
        <v>36</v>
      </c>
      <c r="B5" s="1" t="s">
        <v>34</v>
      </c>
      <c r="C5" s="1" t="s">
        <v>11</v>
      </c>
      <c r="D5" s="5">
        <v>45745.0</v>
      </c>
      <c r="E5" s="1">
        <v>15.0</v>
      </c>
      <c r="F5" s="1">
        <v>13.0</v>
      </c>
      <c r="G5" s="1">
        <f>VLOOKUP(B5,'old-aw-skill-plan'!A:I,7,FALSE)</f>
        <v>4</v>
      </c>
      <c r="H5" s="1" t="str">
        <f>VLOOKUP(B5,'old-aw-skill-plan'!A:I,9,FALSE)</f>
        <v>4-1</v>
      </c>
    </row>
    <row r="6" ht="15.75" customHeight="1">
      <c r="A6" s="1" t="s">
        <v>56</v>
      </c>
      <c r="B6" s="1" t="s">
        <v>136</v>
      </c>
      <c r="C6" s="1" t="s">
        <v>11</v>
      </c>
      <c r="D6" s="5">
        <v>45745.0</v>
      </c>
      <c r="E6" s="1"/>
      <c r="F6" s="1"/>
      <c r="G6" s="1">
        <f>VLOOKUP(B6,'old-aw-skill-plan'!A:I,7,FALSE)</f>
        <v>6</v>
      </c>
      <c r="H6" s="1" t="str">
        <f>VLOOKUP(B6,'old-aw-skill-plan'!A:I,9,FALSE)</f>
        <v>6-4</v>
      </c>
    </row>
    <row r="7" ht="15.75" customHeight="1">
      <c r="A7" s="1" t="s">
        <v>56</v>
      </c>
      <c r="B7" s="1" t="s">
        <v>10</v>
      </c>
      <c r="C7" s="1" t="s">
        <v>11</v>
      </c>
      <c r="D7" s="5">
        <v>45745.0</v>
      </c>
      <c r="E7" s="1"/>
      <c r="F7" s="1"/>
      <c r="G7" s="1">
        <f>VLOOKUP(B7,'old-aw-skill-plan'!A:I,7,FALSE)</f>
        <v>3</v>
      </c>
      <c r="H7" s="1" t="str">
        <f>VLOOKUP(B7,'old-aw-skill-plan'!A:I,9,FALSE)</f>
        <v>3-1</v>
      </c>
    </row>
    <row r="8" ht="15.75" customHeight="1">
      <c r="A8" s="1" t="s">
        <v>56</v>
      </c>
      <c r="B8" s="1" t="s">
        <v>97</v>
      </c>
      <c r="C8" s="1" t="s">
        <v>11</v>
      </c>
      <c r="D8" s="5">
        <v>45745.0</v>
      </c>
      <c r="E8" s="1">
        <v>10.0</v>
      </c>
      <c r="F8" s="1">
        <v>10.0</v>
      </c>
      <c r="G8" s="1">
        <f>VLOOKUP(B8,'old-aw-skill-plan'!A:I,7,FALSE)</f>
        <v>4</v>
      </c>
      <c r="H8" s="1" t="str">
        <f>VLOOKUP(B8,'old-aw-skill-plan'!A:I,9,FALSE)</f>
        <v>4-3</v>
      </c>
    </row>
    <row r="9" ht="15.75" customHeight="1">
      <c r="A9" s="1" t="s">
        <v>80</v>
      </c>
      <c r="B9" s="1" t="s">
        <v>21</v>
      </c>
      <c r="C9" s="1" t="s">
        <v>11</v>
      </c>
      <c r="D9" s="5">
        <v>45745.0</v>
      </c>
      <c r="E9" s="1">
        <v>4.0</v>
      </c>
      <c r="F9" s="1">
        <v>0.0</v>
      </c>
      <c r="G9" s="1">
        <f>VLOOKUP(B9,'old-aw-skill-plan'!A:I,7,FALSE)</f>
        <v>4</v>
      </c>
      <c r="H9" s="1" t="str">
        <f>VLOOKUP(B9,'old-aw-skill-plan'!A:I,9,FALSE)</f>
        <v>4-6</v>
      </c>
    </row>
    <row r="10" ht="15.75" customHeight="1">
      <c r="A10" s="1" t="s">
        <v>69</v>
      </c>
      <c r="B10" s="1" t="s">
        <v>28</v>
      </c>
      <c r="C10" s="1" t="s">
        <v>11</v>
      </c>
      <c r="D10" s="5">
        <v>45745.0</v>
      </c>
      <c r="E10" s="1">
        <v>14.0</v>
      </c>
      <c r="F10" s="1">
        <v>2.0</v>
      </c>
      <c r="G10" s="1">
        <f>VLOOKUP(B10,'old-aw-skill-plan'!A:I,7,FALSE)</f>
        <v>3</v>
      </c>
      <c r="H10" s="1" t="str">
        <f>VLOOKUP(B10,'old-aw-skill-plan'!A:I,9,FALSE)</f>
        <v>3-4</v>
      </c>
    </row>
    <row r="11" ht="15.75" customHeight="1">
      <c r="A11" s="1" t="s">
        <v>69</v>
      </c>
      <c r="B11" s="1" t="s">
        <v>10</v>
      </c>
      <c r="C11" s="1" t="s">
        <v>11</v>
      </c>
      <c r="D11" s="5">
        <v>45745.0</v>
      </c>
      <c r="E11" s="1">
        <v>10.0</v>
      </c>
      <c r="F11" s="1">
        <v>10.0</v>
      </c>
      <c r="G11" s="1">
        <f>VLOOKUP(B11,'old-aw-skill-plan'!A:I,7,FALSE)</f>
        <v>3</v>
      </c>
      <c r="H11" s="1" t="str">
        <f>VLOOKUP(B11,'old-aw-skill-plan'!A:I,9,FALSE)</f>
        <v>3-1</v>
      </c>
    </row>
    <row r="12" ht="15.75" customHeight="1">
      <c r="A12" s="1" t="s">
        <v>9</v>
      </c>
      <c r="B12" s="1" t="s">
        <v>10</v>
      </c>
      <c r="C12" s="1" t="s">
        <v>11</v>
      </c>
      <c r="D12" s="5">
        <v>45744.0</v>
      </c>
      <c r="E12" s="1">
        <v>18.0</v>
      </c>
      <c r="F12" s="1">
        <v>14.0</v>
      </c>
      <c r="G12" s="1">
        <f>VLOOKUP(B12,'old-aw-skill-plan'!A:I,7,FALSE)</f>
        <v>3</v>
      </c>
      <c r="H12" s="1" t="str">
        <f>VLOOKUP(B12,'old-aw-skill-plan'!A:I,9,FALSE)</f>
        <v>3-1</v>
      </c>
    </row>
    <row r="13" ht="15.75" customHeight="1">
      <c r="A13" s="1" t="s">
        <v>31</v>
      </c>
      <c r="B13" s="1" t="s">
        <v>34</v>
      </c>
      <c r="C13" s="1" t="s">
        <v>11</v>
      </c>
      <c r="D13" s="5">
        <v>45744.0</v>
      </c>
      <c r="E13" s="1">
        <v>2.0</v>
      </c>
      <c r="F13" s="1">
        <v>0.0</v>
      </c>
      <c r="G13" s="1">
        <f>VLOOKUP(B13,'old-aw-skill-plan'!A:I,7,FALSE)</f>
        <v>4</v>
      </c>
      <c r="H13" s="1" t="str">
        <f>VLOOKUP(B13,'old-aw-skill-plan'!A:I,9,FALSE)</f>
        <v>4-1</v>
      </c>
    </row>
    <row r="14" ht="15.75" customHeight="1">
      <c r="A14" s="1" t="s">
        <v>31</v>
      </c>
      <c r="B14" s="1" t="s">
        <v>37</v>
      </c>
      <c r="C14" s="1" t="s">
        <v>11</v>
      </c>
      <c r="D14" s="5">
        <v>45744.0</v>
      </c>
      <c r="E14" s="1">
        <v>16.0</v>
      </c>
      <c r="F14" s="1">
        <v>16.0</v>
      </c>
      <c r="G14" s="1">
        <f>VLOOKUP(B14,'old-aw-skill-plan'!A:I,7,FALSE)</f>
        <v>4</v>
      </c>
      <c r="H14" s="1" t="str">
        <f>VLOOKUP(B14,'old-aw-skill-plan'!A:I,9,FALSE)</f>
        <v>4-2</v>
      </c>
    </row>
    <row r="15" ht="15.75" customHeight="1">
      <c r="A15" s="1" t="s">
        <v>18</v>
      </c>
      <c r="B15" s="1" t="s">
        <v>97</v>
      </c>
      <c r="C15" s="1" t="s">
        <v>11</v>
      </c>
      <c r="D15" s="5">
        <v>45744.0</v>
      </c>
      <c r="E15" s="1">
        <v>14.0</v>
      </c>
      <c r="F15" s="1">
        <v>14.0</v>
      </c>
      <c r="G15" s="1">
        <f>VLOOKUP(B15,'old-aw-skill-plan'!A:I,7,FALSE)</f>
        <v>4</v>
      </c>
      <c r="H15" s="1" t="str">
        <f>VLOOKUP(B15,'old-aw-skill-plan'!A:I,9,FALSE)</f>
        <v>4-3</v>
      </c>
    </row>
    <row r="16" ht="15.75" customHeight="1">
      <c r="A16" s="1" t="s">
        <v>20</v>
      </c>
      <c r="B16" s="1" t="s">
        <v>37</v>
      </c>
      <c r="C16" s="1" t="s">
        <v>11</v>
      </c>
      <c r="D16" s="5">
        <v>45744.0</v>
      </c>
      <c r="E16" s="1">
        <v>12.0</v>
      </c>
      <c r="F16" s="1">
        <v>12.0</v>
      </c>
      <c r="G16" s="1">
        <f>VLOOKUP(B16,'old-aw-skill-plan'!A:I,7,FALSE)</f>
        <v>4</v>
      </c>
      <c r="H16" s="1" t="str">
        <f>VLOOKUP(B16,'old-aw-skill-plan'!A:I,9,FALSE)</f>
        <v>4-2</v>
      </c>
    </row>
    <row r="17" ht="15.75" customHeight="1">
      <c r="A17" s="1" t="s">
        <v>38</v>
      </c>
      <c r="B17" s="1" t="s">
        <v>10</v>
      </c>
      <c r="C17" s="1" t="s">
        <v>11</v>
      </c>
      <c r="D17" s="5">
        <v>45744.0</v>
      </c>
      <c r="E17" s="1">
        <v>11.0</v>
      </c>
      <c r="F17" s="1">
        <v>6.0</v>
      </c>
      <c r="G17" s="1">
        <f>VLOOKUP(B17,'old-aw-skill-plan'!A:I,7,FALSE)</f>
        <v>3</v>
      </c>
      <c r="H17" s="1" t="str">
        <f>VLOOKUP(B17,'old-aw-skill-plan'!A:I,9,FALSE)</f>
        <v>3-1</v>
      </c>
    </row>
    <row r="18" ht="15.75" customHeight="1">
      <c r="A18" s="1" t="s">
        <v>38</v>
      </c>
      <c r="B18" s="1" t="s">
        <v>48</v>
      </c>
      <c r="C18" s="1" t="s">
        <v>11</v>
      </c>
      <c r="D18" s="5">
        <v>45744.0</v>
      </c>
      <c r="E18" s="1"/>
      <c r="F18" s="1"/>
      <c r="G18" s="1">
        <f>VLOOKUP(B18,'old-aw-skill-plan'!A:I,7,FALSE)</f>
        <v>3</v>
      </c>
      <c r="H18" s="1" t="str">
        <f>VLOOKUP(B18,'old-aw-skill-plan'!A:I,9,FALSE)</f>
        <v>3-6</v>
      </c>
    </row>
    <row r="19" ht="15.75" customHeight="1">
      <c r="A19" s="1" t="s">
        <v>43</v>
      </c>
      <c r="B19" s="1" t="s">
        <v>25</v>
      </c>
      <c r="C19" s="1" t="s">
        <v>11</v>
      </c>
      <c r="D19" s="5">
        <v>45744.0</v>
      </c>
      <c r="E19" s="1">
        <v>57.0</v>
      </c>
      <c r="F19" s="1">
        <v>45.0</v>
      </c>
      <c r="G19" s="1">
        <f>VLOOKUP(B19,'old-aw-skill-plan'!A:I,7,FALSE)</f>
        <v>5</v>
      </c>
      <c r="H19" s="1" t="str">
        <f>VLOOKUP(B19,'old-aw-skill-plan'!A:I,9,FALSE)</f>
        <v>5-4</v>
      </c>
    </row>
    <row r="20" ht="15.75" customHeight="1">
      <c r="A20" s="1" t="s">
        <v>45</v>
      </c>
      <c r="B20" s="1" t="s">
        <v>44</v>
      </c>
      <c r="C20" s="1" t="s">
        <v>11</v>
      </c>
      <c r="D20" s="5">
        <v>45744.0</v>
      </c>
      <c r="E20" s="1">
        <v>39.0</v>
      </c>
      <c r="F20" s="1">
        <v>29.0</v>
      </c>
      <c r="G20" s="1">
        <f>VLOOKUP(B20,'old-aw-skill-plan'!A:I,7,FALSE)</f>
        <v>5</v>
      </c>
      <c r="H20" s="1" t="str">
        <f>VLOOKUP(B20,'old-aw-skill-plan'!A:I,9,FALSE)</f>
        <v>5-1</v>
      </c>
    </row>
    <row r="21" ht="15.75" customHeight="1">
      <c r="A21" s="1" t="s">
        <v>27</v>
      </c>
      <c r="B21" s="1" t="s">
        <v>47</v>
      </c>
      <c r="C21" s="1" t="s">
        <v>11</v>
      </c>
      <c r="D21" s="5">
        <v>45744.0</v>
      </c>
      <c r="E21" s="1">
        <v>12.0</v>
      </c>
      <c r="F21" s="1">
        <v>12.0</v>
      </c>
      <c r="G21" s="1">
        <f>VLOOKUP(B21,'old-aw-skill-plan'!A:I,7,FALSE)</f>
        <v>3</v>
      </c>
      <c r="H21" s="1" t="str">
        <f>VLOOKUP(B21,'old-aw-skill-plan'!A:I,9,FALSE)</f>
        <v>3-2</v>
      </c>
    </row>
    <row r="22" ht="15.75" customHeight="1">
      <c r="A22" s="1" t="s">
        <v>52</v>
      </c>
      <c r="B22" s="1" t="s">
        <v>10</v>
      </c>
      <c r="C22" s="1" t="s">
        <v>11</v>
      </c>
      <c r="D22" s="5">
        <v>45744.0</v>
      </c>
      <c r="E22" s="1"/>
      <c r="F22" s="1"/>
      <c r="G22" s="1">
        <f>VLOOKUP(B22,'old-aw-skill-plan'!A:I,7,FALSE)</f>
        <v>3</v>
      </c>
      <c r="H22" s="1" t="str">
        <f>VLOOKUP(B22,'old-aw-skill-plan'!A:I,9,FALSE)</f>
        <v>3-1</v>
      </c>
    </row>
    <row r="23" ht="15.75" customHeight="1">
      <c r="A23" s="1" t="s">
        <v>32</v>
      </c>
      <c r="B23" s="1" t="s">
        <v>47</v>
      </c>
      <c r="C23" s="1" t="s">
        <v>11</v>
      </c>
      <c r="D23" s="5">
        <v>45744.0</v>
      </c>
      <c r="E23" s="1">
        <v>12.0</v>
      </c>
      <c r="F23" s="1">
        <v>12.0</v>
      </c>
      <c r="G23" s="1">
        <f>VLOOKUP(B23,'old-aw-skill-plan'!A:I,7,FALSE)</f>
        <v>3</v>
      </c>
      <c r="H23" s="1" t="str">
        <f>VLOOKUP(B23,'old-aw-skill-plan'!A:I,9,FALSE)</f>
        <v>3-2</v>
      </c>
    </row>
    <row r="24" ht="15.75" customHeight="1">
      <c r="A24" s="1" t="s">
        <v>62</v>
      </c>
      <c r="B24" s="1" t="s">
        <v>116</v>
      </c>
      <c r="C24" s="1" t="s">
        <v>11</v>
      </c>
      <c r="D24" s="5">
        <v>45744.0</v>
      </c>
      <c r="E24" s="1"/>
      <c r="F24" s="1"/>
      <c r="G24" s="1">
        <f>VLOOKUP(B24,'old-aw-skill-plan'!A:I,7,FALSE)</f>
        <v>3</v>
      </c>
      <c r="H24" s="1" t="str">
        <f>VLOOKUP(B24,'old-aw-skill-plan'!A:I,9,FALSE)</f>
        <v>3-9</v>
      </c>
    </row>
    <row r="25" ht="15.75" customHeight="1">
      <c r="A25" s="1" t="s">
        <v>62</v>
      </c>
      <c r="B25" s="1" t="s">
        <v>57</v>
      </c>
      <c r="C25" s="1" t="s">
        <v>11</v>
      </c>
      <c r="D25" s="5">
        <v>45744.0</v>
      </c>
      <c r="E25" s="1">
        <v>15.0</v>
      </c>
      <c r="F25" s="1">
        <v>13.0</v>
      </c>
      <c r="G25" s="1">
        <f>VLOOKUP(B25,'old-aw-skill-plan'!A:I,7,FALSE)</f>
        <v>3</v>
      </c>
      <c r="H25" s="1" t="str">
        <f>VLOOKUP(B25,'old-aw-skill-plan'!A:I,9,FALSE)</f>
        <v>3-7</v>
      </c>
    </row>
    <row r="26" ht="15.75" customHeight="1">
      <c r="A26" s="1" t="s">
        <v>62</v>
      </c>
      <c r="B26" s="1" t="s">
        <v>58</v>
      </c>
      <c r="C26" s="1" t="s">
        <v>11</v>
      </c>
      <c r="D26" s="5">
        <v>45744.0</v>
      </c>
      <c r="E26" s="1">
        <v>32.0</v>
      </c>
      <c r="F26" s="1">
        <v>24.0</v>
      </c>
      <c r="G26" s="1">
        <f>VLOOKUP(B26,'old-aw-skill-plan'!A:I,7,FALSE)</f>
        <v>3</v>
      </c>
      <c r="H26" s="1" t="str">
        <f>VLOOKUP(B26,'old-aw-skill-plan'!A:I,9,FALSE)</f>
        <v>3-8</v>
      </c>
    </row>
    <row r="27" ht="15.75" customHeight="1">
      <c r="A27" s="1" t="s">
        <v>62</v>
      </c>
      <c r="B27" s="1" t="s">
        <v>48</v>
      </c>
      <c r="C27" s="1" t="s">
        <v>11</v>
      </c>
      <c r="D27" s="5">
        <v>45744.0</v>
      </c>
      <c r="E27" s="1">
        <v>15.0</v>
      </c>
      <c r="F27" s="1">
        <v>13.0</v>
      </c>
      <c r="G27" s="1">
        <f>VLOOKUP(B27,'old-aw-skill-plan'!A:I,7,FALSE)</f>
        <v>3</v>
      </c>
      <c r="H27" s="1" t="str">
        <f>VLOOKUP(B27,'old-aw-skill-plan'!A:I,9,FALSE)</f>
        <v>3-6</v>
      </c>
    </row>
    <row r="28" ht="15.75" customHeight="1">
      <c r="A28" s="1" t="s">
        <v>64</v>
      </c>
      <c r="B28" s="1" t="s">
        <v>44</v>
      </c>
      <c r="C28" s="1" t="s">
        <v>11</v>
      </c>
      <c r="D28" s="5">
        <v>45744.0</v>
      </c>
      <c r="E28" s="1"/>
      <c r="F28" s="1"/>
      <c r="G28" s="1">
        <f>VLOOKUP(B28,'old-aw-skill-plan'!A:I,7,FALSE)</f>
        <v>5</v>
      </c>
      <c r="H28" s="1" t="str">
        <f>VLOOKUP(B28,'old-aw-skill-plan'!A:I,9,FALSE)</f>
        <v>5-1</v>
      </c>
    </row>
    <row r="29" ht="15.75" customHeight="1">
      <c r="A29" s="1" t="s">
        <v>46</v>
      </c>
      <c r="B29" s="1" t="s">
        <v>30</v>
      </c>
      <c r="C29" s="1" t="s">
        <v>11</v>
      </c>
      <c r="D29" s="5">
        <v>45744.0</v>
      </c>
      <c r="E29" s="1">
        <v>16.0</v>
      </c>
      <c r="F29" s="1">
        <v>14.0</v>
      </c>
      <c r="G29" s="1">
        <f>VLOOKUP(B29,'old-aw-skill-plan'!A:I,7,FALSE)</f>
        <v>3</v>
      </c>
      <c r="H29" s="1" t="str">
        <f>VLOOKUP(B29,'old-aw-skill-plan'!A:I,9,FALSE)</f>
        <v>3-3</v>
      </c>
    </row>
    <row r="30" ht="15.75" customHeight="1">
      <c r="A30" s="1" t="s">
        <v>46</v>
      </c>
      <c r="B30" s="1" t="s">
        <v>48</v>
      </c>
      <c r="C30" s="1" t="s">
        <v>11</v>
      </c>
      <c r="D30" s="5">
        <v>45744.0</v>
      </c>
      <c r="E30" s="1">
        <v>7.0</v>
      </c>
      <c r="F30" s="1">
        <v>6.0</v>
      </c>
      <c r="G30" s="1">
        <f>VLOOKUP(B30,'old-aw-skill-plan'!A:I,7,FALSE)</f>
        <v>3</v>
      </c>
      <c r="H30" s="1" t="str">
        <f>VLOOKUP(B30,'old-aw-skill-plan'!A:I,9,FALSE)</f>
        <v>3-6</v>
      </c>
    </row>
    <row r="31" ht="15.75" customHeight="1">
      <c r="A31" s="1" t="s">
        <v>53</v>
      </c>
      <c r="B31" s="1" t="s">
        <v>10</v>
      </c>
      <c r="C31" s="1" t="s">
        <v>11</v>
      </c>
      <c r="D31" s="5">
        <v>45744.0</v>
      </c>
      <c r="E31" s="1">
        <v>6.0</v>
      </c>
      <c r="F31" s="1">
        <v>0.0</v>
      </c>
      <c r="G31" s="1">
        <f>VLOOKUP(B31,'old-aw-skill-plan'!A:I,7,FALSE)</f>
        <v>3</v>
      </c>
      <c r="H31" s="1" t="str">
        <f>VLOOKUP(B31,'old-aw-skill-plan'!A:I,9,FALSE)</f>
        <v>3-1</v>
      </c>
    </row>
    <row r="32" ht="15.75" customHeight="1">
      <c r="A32" s="1" t="s">
        <v>185</v>
      </c>
      <c r="B32" s="1" t="s">
        <v>25</v>
      </c>
      <c r="C32" s="1" t="s">
        <v>11</v>
      </c>
      <c r="D32" s="5">
        <v>45744.0</v>
      </c>
      <c r="E32" s="1">
        <v>14.0</v>
      </c>
      <c r="F32" s="1">
        <v>8.0</v>
      </c>
      <c r="G32" s="1">
        <f>VLOOKUP(B32,'old-aw-skill-plan'!A:I,7,FALSE)</f>
        <v>5</v>
      </c>
      <c r="H32" s="1" t="str">
        <f>VLOOKUP(B32,'old-aw-skill-plan'!A:I,9,FALSE)</f>
        <v>5-4</v>
      </c>
    </row>
    <row r="33" ht="15.75" customHeight="1">
      <c r="A33" s="1" t="s">
        <v>185</v>
      </c>
      <c r="B33" s="1" t="s">
        <v>103</v>
      </c>
      <c r="C33" s="1" t="s">
        <v>11</v>
      </c>
      <c r="D33" s="5">
        <v>45744.0</v>
      </c>
      <c r="E33" s="1">
        <v>13.0</v>
      </c>
      <c r="F33" s="1">
        <v>13.0</v>
      </c>
      <c r="G33" s="1">
        <f>VLOOKUP(B33,'old-aw-skill-plan'!A:I,7,FALSE)</f>
        <v>5</v>
      </c>
      <c r="H33" s="1" t="str">
        <f>VLOOKUP(B33,'old-aw-skill-plan'!A:I,9,FALSE)</f>
        <v>5-3</v>
      </c>
    </row>
    <row r="34" ht="15.75" customHeight="1">
      <c r="A34" s="1" t="s">
        <v>76</v>
      </c>
      <c r="B34" s="1" t="s">
        <v>61</v>
      </c>
      <c r="C34" s="1" t="s">
        <v>11</v>
      </c>
      <c r="D34" s="5">
        <v>45744.0</v>
      </c>
      <c r="E34" s="1">
        <v>24.0</v>
      </c>
      <c r="F34" s="1">
        <v>16.0</v>
      </c>
      <c r="G34" s="1">
        <f>VLOOKUP(B34,'old-aw-skill-plan'!A:I,7,FALSE)</f>
        <v>4</v>
      </c>
      <c r="H34" s="1" t="str">
        <f>VLOOKUP(B34,'old-aw-skill-plan'!A:I,9,FALSE)</f>
        <v>4-4</v>
      </c>
    </row>
    <row r="35" ht="15.75" customHeight="1">
      <c r="A35" s="1" t="s">
        <v>76</v>
      </c>
      <c r="B35" s="1" t="s">
        <v>97</v>
      </c>
      <c r="C35" s="1" t="s">
        <v>11</v>
      </c>
      <c r="D35" s="5">
        <v>45744.0</v>
      </c>
      <c r="E35" s="1">
        <v>22.0</v>
      </c>
      <c r="F35" s="1">
        <v>18.0</v>
      </c>
      <c r="G35" s="1">
        <f>VLOOKUP(B35,'old-aw-skill-plan'!A:I,7,FALSE)</f>
        <v>4</v>
      </c>
      <c r="H35" s="1" t="str">
        <f>VLOOKUP(B35,'old-aw-skill-plan'!A:I,9,FALSE)</f>
        <v>4-3</v>
      </c>
    </row>
    <row r="36" ht="15.75" customHeight="1">
      <c r="A36" s="1" t="s">
        <v>76</v>
      </c>
      <c r="B36" s="1" t="s">
        <v>37</v>
      </c>
      <c r="C36" s="1" t="s">
        <v>11</v>
      </c>
      <c r="D36" s="5">
        <v>45744.0</v>
      </c>
      <c r="E36" s="1">
        <v>12.0</v>
      </c>
      <c r="F36" s="1">
        <v>10.0</v>
      </c>
      <c r="G36" s="1">
        <f>VLOOKUP(B36,'old-aw-skill-plan'!A:I,7,FALSE)</f>
        <v>4</v>
      </c>
      <c r="H36" s="1" t="str">
        <f>VLOOKUP(B36,'old-aw-skill-plan'!A:I,9,FALSE)</f>
        <v>4-2</v>
      </c>
    </row>
    <row r="37" ht="15.75" customHeight="1">
      <c r="A37" s="1" t="s">
        <v>76</v>
      </c>
      <c r="B37" s="1" t="s">
        <v>23</v>
      </c>
      <c r="C37" s="1" t="s">
        <v>11</v>
      </c>
      <c r="D37" s="5">
        <v>45744.0</v>
      </c>
      <c r="E37" s="1"/>
      <c r="F37" s="1"/>
      <c r="G37" s="1">
        <f>VLOOKUP(B37,'old-aw-skill-plan'!A:I,7,FALSE)</f>
        <v>4</v>
      </c>
      <c r="H37" s="1" t="str">
        <f>VLOOKUP(B37,'old-aw-skill-plan'!A:I,9,FALSE)</f>
        <v>4-5</v>
      </c>
    </row>
    <row r="38" ht="15.75" customHeight="1">
      <c r="A38" s="1" t="s">
        <v>80</v>
      </c>
      <c r="B38" s="1" t="s">
        <v>34</v>
      </c>
      <c r="C38" s="1" t="s">
        <v>11</v>
      </c>
      <c r="D38" s="5">
        <v>45744.0</v>
      </c>
      <c r="E38" s="1"/>
      <c r="F38" s="1"/>
      <c r="G38" s="1">
        <f>VLOOKUP(B38,'old-aw-skill-plan'!A:I,7,FALSE)</f>
        <v>4</v>
      </c>
      <c r="H38" s="1" t="str">
        <f>VLOOKUP(B38,'old-aw-skill-plan'!A:I,9,FALSE)</f>
        <v>4-1</v>
      </c>
    </row>
    <row r="39" ht="15.75" customHeight="1">
      <c r="A39" s="1" t="s">
        <v>80</v>
      </c>
      <c r="B39" s="1" t="s">
        <v>21</v>
      </c>
      <c r="C39" s="1" t="s">
        <v>11</v>
      </c>
      <c r="D39" s="5">
        <v>45744.0</v>
      </c>
      <c r="E39" s="1">
        <v>31.0</v>
      </c>
      <c r="F39" s="1">
        <v>14.0</v>
      </c>
      <c r="G39" s="1">
        <f>VLOOKUP(B39,'old-aw-skill-plan'!A:I,7,FALSE)</f>
        <v>4</v>
      </c>
      <c r="H39" s="1" t="str">
        <f>VLOOKUP(B39,'old-aw-skill-plan'!A:I,9,FALSE)</f>
        <v>4-6</v>
      </c>
    </row>
    <row r="40" ht="15.75" customHeight="1">
      <c r="A40" s="1" t="s">
        <v>81</v>
      </c>
      <c r="B40" s="1" t="s">
        <v>113</v>
      </c>
      <c r="C40" s="1" t="s">
        <v>11</v>
      </c>
      <c r="D40" s="5">
        <v>45744.0</v>
      </c>
      <c r="E40" s="1">
        <v>8.0</v>
      </c>
      <c r="F40" s="1">
        <v>6.0</v>
      </c>
      <c r="G40" s="1">
        <f>VLOOKUP(B40,'old-aw-skill-plan'!A:I,7,FALSE)</f>
        <v>7</v>
      </c>
      <c r="H40" s="1" t="str">
        <f>VLOOKUP(B40,'old-aw-skill-plan'!A:I,9,FALSE)</f>
        <v>7-7</v>
      </c>
    </row>
    <row r="41" ht="15.75" customHeight="1">
      <c r="A41" s="1" t="s">
        <v>81</v>
      </c>
      <c r="B41" s="1" t="s">
        <v>21</v>
      </c>
      <c r="C41" s="1" t="s">
        <v>11</v>
      </c>
      <c r="D41" s="5">
        <v>45744.0</v>
      </c>
      <c r="E41" s="1">
        <v>18.0</v>
      </c>
      <c r="F41" s="1">
        <v>14.0</v>
      </c>
      <c r="G41" s="1">
        <f>VLOOKUP(B41,'old-aw-skill-plan'!A:I,7,FALSE)</f>
        <v>4</v>
      </c>
      <c r="H41" s="1" t="str">
        <f>VLOOKUP(B41,'old-aw-skill-plan'!A:I,9,FALSE)</f>
        <v>4-6</v>
      </c>
    </row>
    <row r="42" ht="15.75" customHeight="1">
      <c r="A42" s="1" t="s">
        <v>179</v>
      </c>
      <c r="B42" s="1" t="s">
        <v>25</v>
      </c>
      <c r="C42" s="1" t="s">
        <v>11</v>
      </c>
      <c r="D42" s="5">
        <v>45744.0</v>
      </c>
      <c r="E42" s="1">
        <v>20.0</v>
      </c>
      <c r="F42" s="1">
        <v>4.0</v>
      </c>
      <c r="G42" s="1">
        <f>VLOOKUP(B42,'old-aw-skill-plan'!A:I,7,FALSE)</f>
        <v>5</v>
      </c>
      <c r="H42" s="1" t="str">
        <f>VLOOKUP(B42,'old-aw-skill-plan'!A:I,9,FALSE)</f>
        <v>5-4</v>
      </c>
    </row>
    <row r="43" ht="15.75" customHeight="1">
      <c r="A43" s="1" t="s">
        <v>179</v>
      </c>
      <c r="B43" s="1" t="s">
        <v>44</v>
      </c>
      <c r="C43" s="1" t="s">
        <v>11</v>
      </c>
      <c r="D43" s="5">
        <v>45744.0</v>
      </c>
      <c r="E43" s="1">
        <v>28.0</v>
      </c>
      <c r="F43" s="1">
        <v>24.0</v>
      </c>
      <c r="G43" s="1">
        <f>VLOOKUP(B43,'old-aw-skill-plan'!A:I,7,FALSE)</f>
        <v>5</v>
      </c>
      <c r="H43" s="1" t="str">
        <f>VLOOKUP(B43,'old-aw-skill-plan'!A:I,9,FALSE)</f>
        <v>5-1</v>
      </c>
    </row>
    <row r="44" ht="15.75" customHeight="1">
      <c r="A44" s="1" t="s">
        <v>179</v>
      </c>
      <c r="B44" s="1" t="s">
        <v>103</v>
      </c>
      <c r="C44" s="1" t="s">
        <v>11</v>
      </c>
      <c r="D44" s="5">
        <v>45744.0</v>
      </c>
      <c r="E44" s="1">
        <v>16.0</v>
      </c>
      <c r="F44" s="1">
        <v>14.0</v>
      </c>
      <c r="G44" s="1">
        <f>VLOOKUP(B44,'old-aw-skill-plan'!A:I,7,FALSE)</f>
        <v>5</v>
      </c>
      <c r="H44" s="1" t="str">
        <f>VLOOKUP(B44,'old-aw-skill-plan'!A:I,9,FALSE)</f>
        <v>5-3</v>
      </c>
    </row>
    <row r="45" ht="15.75" customHeight="1">
      <c r="A45" s="1" t="s">
        <v>179</v>
      </c>
      <c r="B45" s="1" t="s">
        <v>104</v>
      </c>
      <c r="C45" s="1" t="s">
        <v>11</v>
      </c>
      <c r="D45" s="5">
        <v>45744.0</v>
      </c>
      <c r="E45" s="1">
        <v>10.0</v>
      </c>
      <c r="F45" s="1">
        <v>10.0</v>
      </c>
      <c r="G45" s="1">
        <f>VLOOKUP(B45,'old-aw-skill-plan'!A:I,7,FALSE)</f>
        <v>5</v>
      </c>
      <c r="H45" s="1" t="str">
        <f>VLOOKUP(B45,'old-aw-skill-plan'!A:I,9,FALSE)</f>
        <v>5-2</v>
      </c>
    </row>
    <row r="46" ht="15.75" customHeight="1">
      <c r="A46" s="1" t="s">
        <v>92</v>
      </c>
      <c r="B46" s="1" t="s">
        <v>10</v>
      </c>
      <c r="C46" s="1" t="s">
        <v>11</v>
      </c>
      <c r="D46" s="5">
        <v>45744.0</v>
      </c>
      <c r="E46" s="1">
        <v>11.0</v>
      </c>
      <c r="F46" s="1">
        <v>4.0</v>
      </c>
      <c r="G46" s="1">
        <f>VLOOKUP(B46,'old-aw-skill-plan'!A:I,7,FALSE)</f>
        <v>3</v>
      </c>
      <c r="H46" s="1" t="str">
        <f>VLOOKUP(B46,'old-aw-skill-plan'!A:I,9,FALSE)</f>
        <v>3-1</v>
      </c>
    </row>
    <row r="47" ht="15.75" customHeight="1">
      <c r="A47" s="1" t="s">
        <v>73</v>
      </c>
      <c r="B47" s="1" t="s">
        <v>34</v>
      </c>
      <c r="C47" s="1" t="s">
        <v>11</v>
      </c>
      <c r="D47" s="5">
        <v>45744.0</v>
      </c>
      <c r="E47" s="1"/>
      <c r="F47" s="1"/>
      <c r="G47" s="1">
        <f>VLOOKUP(B47,'old-aw-skill-plan'!A:I,7,FALSE)</f>
        <v>4</v>
      </c>
      <c r="H47" s="1" t="str">
        <f>VLOOKUP(B47,'old-aw-skill-plan'!A:I,9,FALSE)</f>
        <v>4-1</v>
      </c>
    </row>
    <row r="48" ht="15.75" customHeight="1">
      <c r="A48" s="1" t="s">
        <v>98</v>
      </c>
      <c r="B48" s="1" t="s">
        <v>28</v>
      </c>
      <c r="C48" s="1" t="s">
        <v>11</v>
      </c>
      <c r="D48" s="5">
        <v>45744.0</v>
      </c>
      <c r="E48" s="1">
        <v>40.0</v>
      </c>
      <c r="F48" s="1">
        <v>30.0</v>
      </c>
      <c r="G48" s="1">
        <f>VLOOKUP(B48,'old-aw-skill-plan'!A:I,7,FALSE)</f>
        <v>3</v>
      </c>
      <c r="H48" s="1" t="str">
        <f>VLOOKUP(B48,'old-aw-skill-plan'!A:I,9,FALSE)</f>
        <v>3-4</v>
      </c>
    </row>
    <row r="49" ht="15.75" customHeight="1">
      <c r="A49" s="1" t="s">
        <v>75</v>
      </c>
      <c r="B49" s="1" t="s">
        <v>10</v>
      </c>
      <c r="C49" s="1" t="s">
        <v>11</v>
      </c>
      <c r="D49" s="5">
        <v>45744.0</v>
      </c>
      <c r="E49" s="1">
        <v>2.0</v>
      </c>
      <c r="F49" s="1">
        <v>2.0</v>
      </c>
      <c r="G49" s="1">
        <f>VLOOKUP(B49,'old-aw-skill-plan'!A:I,7,FALSE)</f>
        <v>3</v>
      </c>
      <c r="H49" s="1" t="str">
        <f>VLOOKUP(B49,'old-aw-skill-plan'!A:I,9,FALSE)</f>
        <v>3-1</v>
      </c>
    </row>
    <row r="50" ht="15.75" customHeight="1">
      <c r="A50" s="1" t="s">
        <v>75</v>
      </c>
      <c r="B50" s="1" t="s">
        <v>47</v>
      </c>
      <c r="C50" s="1" t="s">
        <v>11</v>
      </c>
      <c r="D50" s="5">
        <v>45744.0</v>
      </c>
      <c r="E50" s="1">
        <v>12.0</v>
      </c>
      <c r="F50" s="1">
        <v>12.0</v>
      </c>
      <c r="G50" s="1">
        <f>VLOOKUP(B50,'old-aw-skill-plan'!A:I,7,FALSE)</f>
        <v>3</v>
      </c>
      <c r="H50" s="1" t="str">
        <f>VLOOKUP(B50,'old-aw-skill-plan'!A:I,9,FALSE)</f>
        <v>3-2</v>
      </c>
    </row>
    <row r="51" ht="15.75" customHeight="1">
      <c r="A51" s="1" t="s">
        <v>82</v>
      </c>
      <c r="B51" s="1" t="s">
        <v>47</v>
      </c>
      <c r="C51" s="1" t="s">
        <v>11</v>
      </c>
      <c r="D51" s="5">
        <v>45744.0</v>
      </c>
      <c r="E51" s="1">
        <v>12.0</v>
      </c>
      <c r="F51" s="1">
        <v>12.0</v>
      </c>
      <c r="G51" s="1">
        <f>VLOOKUP(B51,'old-aw-skill-plan'!A:I,7,FALSE)</f>
        <v>3</v>
      </c>
      <c r="H51" s="1" t="str">
        <f>VLOOKUP(B51,'old-aw-skill-plan'!A:I,9,FALSE)</f>
        <v>3-2</v>
      </c>
    </row>
    <row r="52" ht="15.75" customHeight="1">
      <c r="A52" s="1" t="s">
        <v>82</v>
      </c>
      <c r="B52" s="1" t="s">
        <v>103</v>
      </c>
      <c r="C52" s="1" t="s">
        <v>11</v>
      </c>
      <c r="D52" s="5">
        <v>45744.0</v>
      </c>
      <c r="E52" s="1">
        <v>14.0</v>
      </c>
      <c r="F52" s="1">
        <v>14.0</v>
      </c>
      <c r="G52" s="1">
        <f>VLOOKUP(B52,'old-aw-skill-plan'!A:I,7,FALSE)</f>
        <v>5</v>
      </c>
      <c r="H52" s="1" t="str">
        <f>VLOOKUP(B52,'old-aw-skill-plan'!A:I,9,FALSE)</f>
        <v>5-3</v>
      </c>
    </row>
    <row r="53" ht="15.75" customHeight="1">
      <c r="A53" s="1" t="s">
        <v>82</v>
      </c>
      <c r="B53" s="1" t="s">
        <v>304</v>
      </c>
      <c r="C53" s="1" t="s">
        <v>11</v>
      </c>
      <c r="D53" s="5">
        <v>45744.0</v>
      </c>
      <c r="E53" s="1"/>
      <c r="F53" s="1"/>
      <c r="G53" s="1" t="str">
        <f>VLOOKUP(B53,'old-aw-skill-plan'!A:I,7,FALSE)</f>
        <v>#N/A</v>
      </c>
      <c r="H53" s="1" t="str">
        <f>VLOOKUP(B53,'old-aw-skill-plan'!A:I,9,FALSE)</f>
        <v>#N/A</v>
      </c>
    </row>
    <row r="54" ht="15.75" customHeight="1">
      <c r="A54" s="1" t="s">
        <v>82</v>
      </c>
      <c r="B54" s="1" t="s">
        <v>85</v>
      </c>
      <c r="C54" s="1" t="s">
        <v>11</v>
      </c>
      <c r="D54" s="5">
        <v>45744.0</v>
      </c>
      <c r="E54" s="1">
        <v>10.0</v>
      </c>
      <c r="F54" s="1">
        <v>6.0</v>
      </c>
      <c r="G54" s="1">
        <f>VLOOKUP(B54,'old-aw-skill-plan'!A:I,7,FALSE)</f>
        <v>5</v>
      </c>
      <c r="H54" s="1" t="str">
        <f>VLOOKUP(B54,'old-aw-skill-plan'!A:I,9,FALSE)</f>
        <v>5-8</v>
      </c>
    </row>
    <row r="55" ht="15.75" customHeight="1">
      <c r="A55" s="1" t="s">
        <v>82</v>
      </c>
      <c r="B55" s="1" t="s">
        <v>87</v>
      </c>
      <c r="C55" s="1" t="s">
        <v>11</v>
      </c>
      <c r="D55" s="5">
        <v>45744.0</v>
      </c>
      <c r="E55" s="1">
        <v>19.0</v>
      </c>
      <c r="F55" s="1">
        <v>17.0</v>
      </c>
      <c r="G55" s="1">
        <f>VLOOKUP(B55,'old-aw-skill-plan'!A:I,7,FALSE)</f>
        <v>5</v>
      </c>
      <c r="H55" s="1" t="str">
        <f>VLOOKUP(B55,'old-aw-skill-plan'!A:I,9,FALSE)</f>
        <v>5-6</v>
      </c>
    </row>
    <row r="56" ht="15.75" customHeight="1">
      <c r="A56" s="1" t="s">
        <v>96</v>
      </c>
      <c r="B56" s="1" t="s">
        <v>10</v>
      </c>
      <c r="C56" s="1" t="s">
        <v>11</v>
      </c>
      <c r="D56" s="5">
        <v>45744.0</v>
      </c>
      <c r="E56" s="1">
        <v>10.0</v>
      </c>
      <c r="F56" s="1">
        <v>4.0</v>
      </c>
      <c r="G56" s="1">
        <f>VLOOKUP(B56,'old-aw-skill-plan'!A:I,7,FALSE)</f>
        <v>3</v>
      </c>
      <c r="H56" s="1" t="str">
        <f>VLOOKUP(B56,'old-aw-skill-plan'!A:I,9,FALSE)</f>
        <v>3-1</v>
      </c>
    </row>
    <row r="57" ht="15.75" customHeight="1">
      <c r="A57" s="1" t="s">
        <v>9</v>
      </c>
      <c r="B57" s="1" t="s">
        <v>47</v>
      </c>
      <c r="C57" s="1" t="s">
        <v>11</v>
      </c>
      <c r="D57" s="5">
        <v>45743.0</v>
      </c>
      <c r="E57" s="1">
        <v>21.0</v>
      </c>
      <c r="F57" s="1">
        <v>19.0</v>
      </c>
      <c r="G57" s="1">
        <f>VLOOKUP(B57,'old-aw-skill-plan'!A:I,7,FALSE)</f>
        <v>3</v>
      </c>
      <c r="H57" s="1" t="str">
        <f>VLOOKUP(B57,'old-aw-skill-plan'!A:I,9,FALSE)</f>
        <v>3-2</v>
      </c>
    </row>
    <row r="58" ht="15.75" customHeight="1">
      <c r="A58" s="1" t="s">
        <v>18</v>
      </c>
      <c r="B58" s="1" t="s">
        <v>34</v>
      </c>
      <c r="C58" s="1" t="s">
        <v>11</v>
      </c>
      <c r="D58" s="5">
        <v>45743.0</v>
      </c>
      <c r="E58" s="1">
        <v>19.0</v>
      </c>
      <c r="F58" s="1">
        <v>8.0</v>
      </c>
      <c r="G58" s="1">
        <f>VLOOKUP(B58,'old-aw-skill-plan'!A:I,7,FALSE)</f>
        <v>4</v>
      </c>
      <c r="H58" s="1" t="str">
        <f>VLOOKUP(B58,'old-aw-skill-plan'!A:I,9,FALSE)</f>
        <v>4-1</v>
      </c>
    </row>
    <row r="59" ht="15.75" customHeight="1">
      <c r="A59" s="1" t="s">
        <v>18</v>
      </c>
      <c r="B59" s="1" t="s">
        <v>37</v>
      </c>
      <c r="C59" s="1" t="s">
        <v>11</v>
      </c>
      <c r="D59" s="5">
        <v>45743.0</v>
      </c>
      <c r="E59" s="1">
        <v>12.0</v>
      </c>
      <c r="F59" s="1">
        <v>12.0</v>
      </c>
      <c r="G59" s="1">
        <f>VLOOKUP(B59,'old-aw-skill-plan'!A:I,7,FALSE)</f>
        <v>4</v>
      </c>
      <c r="H59" s="1" t="str">
        <f>VLOOKUP(B59,'old-aw-skill-plan'!A:I,9,FALSE)</f>
        <v>4-2</v>
      </c>
    </row>
    <row r="60" ht="15.75" customHeight="1">
      <c r="A60" s="1" t="s">
        <v>20</v>
      </c>
      <c r="B60" s="1" t="s">
        <v>34</v>
      </c>
      <c r="C60" s="1" t="s">
        <v>11</v>
      </c>
      <c r="D60" s="5">
        <v>45743.0</v>
      </c>
      <c r="E60" s="1">
        <v>13.0</v>
      </c>
      <c r="F60" s="1">
        <v>8.0</v>
      </c>
      <c r="G60" s="1">
        <f>VLOOKUP(B60,'old-aw-skill-plan'!A:I,7,FALSE)</f>
        <v>4</v>
      </c>
      <c r="H60" s="1" t="str">
        <f>VLOOKUP(B60,'old-aw-skill-plan'!A:I,9,FALSE)</f>
        <v>4-1</v>
      </c>
    </row>
    <row r="61" ht="15.75" customHeight="1">
      <c r="A61" s="1" t="s">
        <v>20</v>
      </c>
      <c r="B61" s="1" t="s">
        <v>21</v>
      </c>
      <c r="C61" s="1" t="s">
        <v>11</v>
      </c>
      <c r="D61" s="5">
        <v>45743.0</v>
      </c>
      <c r="E61" s="1">
        <v>17.0</v>
      </c>
      <c r="F61" s="1">
        <v>13.0</v>
      </c>
      <c r="G61" s="1">
        <f>VLOOKUP(B61,'old-aw-skill-plan'!A:I,7,FALSE)</f>
        <v>4</v>
      </c>
      <c r="H61" s="1" t="str">
        <f>VLOOKUP(B61,'old-aw-skill-plan'!A:I,9,FALSE)</f>
        <v>4-6</v>
      </c>
    </row>
    <row r="62" ht="15.75" customHeight="1">
      <c r="A62" s="1" t="s">
        <v>35</v>
      </c>
      <c r="B62" s="1" t="s">
        <v>44</v>
      </c>
      <c r="C62" s="1" t="s">
        <v>11</v>
      </c>
      <c r="D62" s="5">
        <v>45743.0</v>
      </c>
      <c r="E62" s="1">
        <v>2.0</v>
      </c>
      <c r="F62" s="1">
        <v>0.0</v>
      </c>
      <c r="G62" s="1">
        <f>VLOOKUP(B62,'old-aw-skill-plan'!A:I,7,FALSE)</f>
        <v>5</v>
      </c>
      <c r="H62" s="1" t="str">
        <f>VLOOKUP(B62,'old-aw-skill-plan'!A:I,9,FALSE)</f>
        <v>5-1</v>
      </c>
    </row>
    <row r="63" ht="15.75" customHeight="1">
      <c r="A63" s="1" t="s">
        <v>43</v>
      </c>
      <c r="B63" s="1" t="s">
        <v>44</v>
      </c>
      <c r="C63" s="1" t="s">
        <v>11</v>
      </c>
      <c r="D63" s="5">
        <v>45743.0</v>
      </c>
      <c r="E63" s="1">
        <v>18.0</v>
      </c>
      <c r="F63" s="1">
        <v>16.0</v>
      </c>
      <c r="G63" s="1">
        <f>VLOOKUP(B63,'old-aw-skill-plan'!A:I,7,FALSE)</f>
        <v>5</v>
      </c>
      <c r="H63" s="1" t="str">
        <f>VLOOKUP(B63,'old-aw-skill-plan'!A:I,9,FALSE)</f>
        <v>5-1</v>
      </c>
    </row>
    <row r="64" ht="15.75" customHeight="1">
      <c r="A64" s="1" t="s">
        <v>43</v>
      </c>
      <c r="B64" s="1" t="s">
        <v>103</v>
      </c>
      <c r="C64" s="1" t="s">
        <v>11</v>
      </c>
      <c r="D64" s="5">
        <v>45743.0</v>
      </c>
      <c r="E64" s="1">
        <v>17.0</v>
      </c>
      <c r="F64" s="1">
        <v>15.0</v>
      </c>
      <c r="G64" s="1">
        <f>VLOOKUP(B64,'old-aw-skill-plan'!A:I,7,FALSE)</f>
        <v>5</v>
      </c>
      <c r="H64" s="1" t="str">
        <f>VLOOKUP(B64,'old-aw-skill-plan'!A:I,9,FALSE)</f>
        <v>5-3</v>
      </c>
    </row>
    <row r="65" ht="15.75" customHeight="1">
      <c r="A65" s="1" t="s">
        <v>43</v>
      </c>
      <c r="B65" s="1" t="s">
        <v>104</v>
      </c>
      <c r="C65" s="1" t="s">
        <v>11</v>
      </c>
      <c r="D65" s="5">
        <v>45743.0</v>
      </c>
      <c r="E65" s="1">
        <v>22.0</v>
      </c>
      <c r="F65" s="1">
        <v>18.0</v>
      </c>
      <c r="G65" s="1">
        <f>VLOOKUP(B65,'old-aw-skill-plan'!A:I,7,FALSE)</f>
        <v>5</v>
      </c>
      <c r="H65" s="1" t="str">
        <f>VLOOKUP(B65,'old-aw-skill-plan'!A:I,9,FALSE)</f>
        <v>5-2</v>
      </c>
    </row>
    <row r="66" ht="15.75" customHeight="1">
      <c r="A66" s="1" t="s">
        <v>45</v>
      </c>
      <c r="B66" s="1" t="s">
        <v>44</v>
      </c>
      <c r="C66" s="1" t="s">
        <v>11</v>
      </c>
      <c r="D66" s="5">
        <v>45743.0</v>
      </c>
      <c r="E66" s="1">
        <v>19.0</v>
      </c>
      <c r="F66" s="1">
        <v>6.0</v>
      </c>
      <c r="G66" s="1">
        <f>VLOOKUP(B66,'old-aw-skill-plan'!A:I,7,FALSE)</f>
        <v>5</v>
      </c>
      <c r="H66" s="1" t="str">
        <f>VLOOKUP(B66,'old-aw-skill-plan'!A:I,9,FALSE)</f>
        <v>5-1</v>
      </c>
    </row>
    <row r="67" ht="15.75" customHeight="1">
      <c r="A67" s="1" t="s">
        <v>24</v>
      </c>
      <c r="B67" s="1" t="s">
        <v>25</v>
      </c>
      <c r="C67" s="1" t="s">
        <v>11</v>
      </c>
      <c r="D67" s="5">
        <v>45743.0</v>
      </c>
      <c r="E67" s="1"/>
      <c r="F67" s="1"/>
      <c r="G67" s="1">
        <f>VLOOKUP(B67,'old-aw-skill-plan'!A:I,7,FALSE)</f>
        <v>5</v>
      </c>
      <c r="H67" s="1" t="str">
        <f>VLOOKUP(B67,'old-aw-skill-plan'!A:I,9,FALSE)</f>
        <v>5-4</v>
      </c>
    </row>
    <row r="68" ht="15.75" customHeight="1">
      <c r="A68" s="1" t="s">
        <v>24</v>
      </c>
      <c r="B68" s="1" t="s">
        <v>103</v>
      </c>
      <c r="C68" s="1" t="s">
        <v>11</v>
      </c>
      <c r="D68" s="5">
        <v>45743.0</v>
      </c>
      <c r="E68" s="1">
        <v>16.0</v>
      </c>
      <c r="F68" s="1">
        <v>14.0</v>
      </c>
      <c r="G68" s="1">
        <f>VLOOKUP(B68,'old-aw-skill-plan'!A:I,7,FALSE)</f>
        <v>5</v>
      </c>
      <c r="H68" s="1" t="str">
        <f>VLOOKUP(B68,'old-aw-skill-plan'!A:I,9,FALSE)</f>
        <v>5-3</v>
      </c>
    </row>
    <row r="69" ht="15.75" customHeight="1">
      <c r="A69" s="1" t="s">
        <v>24</v>
      </c>
      <c r="B69" s="1" t="s">
        <v>104</v>
      </c>
      <c r="C69" s="1" t="s">
        <v>11</v>
      </c>
      <c r="D69" s="5">
        <v>45743.0</v>
      </c>
      <c r="E69" s="1">
        <v>19.0</v>
      </c>
      <c r="F69" s="1">
        <v>15.0</v>
      </c>
      <c r="G69" s="1">
        <f>VLOOKUP(B69,'old-aw-skill-plan'!A:I,7,FALSE)</f>
        <v>5</v>
      </c>
      <c r="H69" s="1" t="str">
        <f>VLOOKUP(B69,'old-aw-skill-plan'!A:I,9,FALSE)</f>
        <v>5-2</v>
      </c>
    </row>
    <row r="70" ht="15.75" customHeight="1">
      <c r="A70" s="1" t="s">
        <v>27</v>
      </c>
      <c r="B70" s="1" t="s">
        <v>10</v>
      </c>
      <c r="C70" s="1" t="s">
        <v>11</v>
      </c>
      <c r="D70" s="5">
        <v>45743.0</v>
      </c>
      <c r="E70" s="1">
        <v>57.0</v>
      </c>
      <c r="F70" s="1">
        <v>44.0</v>
      </c>
      <c r="G70" s="1">
        <f>VLOOKUP(B70,'old-aw-skill-plan'!A:I,7,FALSE)</f>
        <v>3</v>
      </c>
      <c r="H70" s="1" t="str">
        <f>VLOOKUP(B70,'old-aw-skill-plan'!A:I,9,FALSE)</f>
        <v>3-1</v>
      </c>
    </row>
    <row r="71" ht="15.75" customHeight="1">
      <c r="A71" s="1" t="s">
        <v>50</v>
      </c>
      <c r="B71" s="1" t="s">
        <v>44</v>
      </c>
      <c r="C71" s="1" t="s">
        <v>11</v>
      </c>
      <c r="D71" s="5">
        <v>45743.0</v>
      </c>
      <c r="E71" s="1">
        <v>16.0</v>
      </c>
      <c r="F71" s="1">
        <v>14.0</v>
      </c>
      <c r="G71" s="1">
        <f>VLOOKUP(B71,'old-aw-skill-plan'!A:I,7,FALSE)</f>
        <v>5</v>
      </c>
      <c r="H71" s="1" t="str">
        <f>VLOOKUP(B71,'old-aw-skill-plan'!A:I,9,FALSE)</f>
        <v>5-1</v>
      </c>
    </row>
    <row r="72" ht="15.75" customHeight="1">
      <c r="A72" s="1" t="s">
        <v>50</v>
      </c>
      <c r="B72" s="1" t="s">
        <v>104</v>
      </c>
      <c r="C72" s="1" t="s">
        <v>11</v>
      </c>
      <c r="D72" s="5">
        <v>45743.0</v>
      </c>
      <c r="E72" s="1">
        <v>12.0</v>
      </c>
      <c r="F72" s="1">
        <v>12.0</v>
      </c>
      <c r="G72" s="1">
        <f>VLOOKUP(B72,'old-aw-skill-plan'!A:I,7,FALSE)</f>
        <v>5</v>
      </c>
      <c r="H72" s="1" t="str">
        <f>VLOOKUP(B72,'old-aw-skill-plan'!A:I,9,FALSE)</f>
        <v>5-2</v>
      </c>
    </row>
    <row r="73" ht="15.75" customHeight="1">
      <c r="A73" s="1" t="s">
        <v>32</v>
      </c>
      <c r="B73" s="1" t="s">
        <v>10</v>
      </c>
      <c r="C73" s="1" t="s">
        <v>11</v>
      </c>
      <c r="D73" s="5">
        <v>45743.0</v>
      </c>
      <c r="E73" s="1">
        <v>18.0</v>
      </c>
      <c r="F73" s="1">
        <v>14.0</v>
      </c>
      <c r="G73" s="1">
        <f>VLOOKUP(B73,'old-aw-skill-plan'!A:I,7,FALSE)</f>
        <v>3</v>
      </c>
      <c r="H73" s="1" t="str">
        <f>VLOOKUP(B73,'old-aw-skill-plan'!A:I,9,FALSE)</f>
        <v>3-1</v>
      </c>
    </row>
    <row r="74" ht="15.75" customHeight="1">
      <c r="A74" s="1" t="s">
        <v>36</v>
      </c>
      <c r="B74" s="1" t="s">
        <v>34</v>
      </c>
      <c r="C74" s="1" t="s">
        <v>11</v>
      </c>
      <c r="D74" s="5">
        <v>45743.0</v>
      </c>
      <c r="E74" s="1">
        <v>21.0</v>
      </c>
      <c r="F74" s="1">
        <v>17.0</v>
      </c>
      <c r="G74" s="1">
        <f>VLOOKUP(B74,'old-aw-skill-plan'!A:I,7,FALSE)</f>
        <v>4</v>
      </c>
      <c r="H74" s="1" t="str">
        <f>VLOOKUP(B74,'old-aw-skill-plan'!A:I,9,FALSE)</f>
        <v>4-1</v>
      </c>
    </row>
    <row r="75" ht="15.75" customHeight="1">
      <c r="A75" s="1" t="s">
        <v>62</v>
      </c>
      <c r="B75" s="1" t="s">
        <v>28</v>
      </c>
      <c r="C75" s="1" t="s">
        <v>11</v>
      </c>
      <c r="D75" s="5">
        <v>45743.0</v>
      </c>
      <c r="E75" s="1">
        <v>29.0</v>
      </c>
      <c r="F75" s="1">
        <v>23.0</v>
      </c>
      <c r="G75" s="1">
        <f>VLOOKUP(B75,'old-aw-skill-plan'!A:I,7,FALSE)</f>
        <v>3</v>
      </c>
      <c r="H75" s="1" t="str">
        <f>VLOOKUP(B75,'old-aw-skill-plan'!A:I,9,FALSE)</f>
        <v>3-4</v>
      </c>
    </row>
    <row r="76" ht="15.75" customHeight="1">
      <c r="A76" s="1" t="s">
        <v>62</v>
      </c>
      <c r="B76" s="1" t="s">
        <v>10</v>
      </c>
      <c r="C76" s="1" t="s">
        <v>11</v>
      </c>
      <c r="D76" s="5">
        <v>45743.0</v>
      </c>
      <c r="E76" s="1">
        <v>16.0</v>
      </c>
      <c r="F76" s="1">
        <v>14.0</v>
      </c>
      <c r="G76" s="1">
        <f>VLOOKUP(B76,'old-aw-skill-plan'!A:I,7,FALSE)</f>
        <v>3</v>
      </c>
      <c r="H76" s="1" t="str">
        <f>VLOOKUP(B76,'old-aw-skill-plan'!A:I,9,FALSE)</f>
        <v>3-1</v>
      </c>
    </row>
    <row r="77" ht="15.75" customHeight="1">
      <c r="A77" s="1" t="s">
        <v>62</v>
      </c>
      <c r="B77" s="1" t="s">
        <v>30</v>
      </c>
      <c r="C77" s="1" t="s">
        <v>11</v>
      </c>
      <c r="D77" s="5">
        <v>45743.0</v>
      </c>
      <c r="E77" s="1">
        <v>15.0</v>
      </c>
      <c r="F77" s="1">
        <v>15.0</v>
      </c>
      <c r="G77" s="1">
        <f>VLOOKUP(B77,'old-aw-skill-plan'!A:I,7,FALSE)</f>
        <v>3</v>
      </c>
      <c r="H77" s="1" t="str">
        <f>VLOOKUP(B77,'old-aw-skill-plan'!A:I,9,FALSE)</f>
        <v>3-3</v>
      </c>
    </row>
    <row r="78" ht="15.75" customHeight="1">
      <c r="A78" s="1" t="s">
        <v>62</v>
      </c>
      <c r="B78" s="1" t="s">
        <v>47</v>
      </c>
      <c r="C78" s="1" t="s">
        <v>11</v>
      </c>
      <c r="D78" s="5">
        <v>45743.0</v>
      </c>
      <c r="E78" s="1">
        <v>18.0</v>
      </c>
      <c r="F78" s="1">
        <v>14.0</v>
      </c>
      <c r="G78" s="1">
        <f>VLOOKUP(B78,'old-aw-skill-plan'!A:I,7,FALSE)</f>
        <v>3</v>
      </c>
      <c r="H78" s="1" t="str">
        <f>VLOOKUP(B78,'old-aw-skill-plan'!A:I,9,FALSE)</f>
        <v>3-2</v>
      </c>
    </row>
    <row r="79" ht="15.75" customHeight="1">
      <c r="A79" s="1" t="s">
        <v>62</v>
      </c>
      <c r="B79" s="1" t="s">
        <v>33</v>
      </c>
      <c r="C79" s="1" t="s">
        <v>11</v>
      </c>
      <c r="D79" s="5">
        <v>45743.0</v>
      </c>
      <c r="E79" s="1">
        <v>18.0</v>
      </c>
      <c r="F79" s="1">
        <v>16.0</v>
      </c>
      <c r="G79" s="1">
        <f>VLOOKUP(B79,'old-aw-skill-plan'!A:I,7,FALSE)</f>
        <v>3</v>
      </c>
      <c r="H79" s="1" t="str">
        <f>VLOOKUP(B79,'old-aw-skill-plan'!A:I,9,FALSE)</f>
        <v>3-5</v>
      </c>
    </row>
    <row r="80" ht="15.75" customHeight="1">
      <c r="A80" s="1" t="s">
        <v>39</v>
      </c>
      <c r="B80" s="1" t="s">
        <v>61</v>
      </c>
      <c r="C80" s="1" t="s">
        <v>11</v>
      </c>
      <c r="D80" s="5">
        <v>45743.0</v>
      </c>
      <c r="E80" s="1">
        <v>24.0</v>
      </c>
      <c r="F80" s="1">
        <v>14.0</v>
      </c>
      <c r="G80" s="1">
        <f>VLOOKUP(B80,'old-aw-skill-plan'!A:I,7,FALSE)</f>
        <v>4</v>
      </c>
      <c r="H80" s="1" t="str">
        <f>VLOOKUP(B80,'old-aw-skill-plan'!A:I,9,FALSE)</f>
        <v>4-4</v>
      </c>
    </row>
    <row r="81" ht="15.75" customHeight="1">
      <c r="A81" s="1" t="s">
        <v>39</v>
      </c>
      <c r="B81" s="1" t="s">
        <v>37</v>
      </c>
      <c r="C81" s="1" t="s">
        <v>11</v>
      </c>
      <c r="D81" s="5">
        <v>45743.0</v>
      </c>
      <c r="E81" s="1">
        <v>4.0</v>
      </c>
      <c r="F81" s="1">
        <v>4.0</v>
      </c>
      <c r="G81" s="1">
        <f>VLOOKUP(B81,'old-aw-skill-plan'!A:I,7,FALSE)</f>
        <v>4</v>
      </c>
      <c r="H81" s="1" t="str">
        <f>VLOOKUP(B81,'old-aw-skill-plan'!A:I,9,FALSE)</f>
        <v>4-2</v>
      </c>
    </row>
    <row r="82" ht="15.75" customHeight="1">
      <c r="A82" s="1" t="s">
        <v>39</v>
      </c>
      <c r="B82" s="1" t="s">
        <v>44</v>
      </c>
      <c r="C82" s="1" t="s">
        <v>11</v>
      </c>
      <c r="D82" s="5">
        <v>45743.0</v>
      </c>
      <c r="E82" s="1"/>
      <c r="F82" s="1"/>
      <c r="G82" s="1">
        <f>VLOOKUP(B82,'old-aw-skill-plan'!A:I,7,FALSE)</f>
        <v>5</v>
      </c>
      <c r="H82" s="1" t="str">
        <f>VLOOKUP(B82,'old-aw-skill-plan'!A:I,9,FALSE)</f>
        <v>5-1</v>
      </c>
    </row>
    <row r="83" ht="15.75" customHeight="1">
      <c r="A83" s="1" t="s">
        <v>46</v>
      </c>
      <c r="B83" s="1" t="s">
        <v>115</v>
      </c>
      <c r="C83" s="1" t="s">
        <v>11</v>
      </c>
      <c r="D83" s="5">
        <v>45743.0</v>
      </c>
      <c r="E83" s="1">
        <v>24.0</v>
      </c>
      <c r="F83" s="1">
        <v>22.0</v>
      </c>
      <c r="G83" s="1">
        <f>VLOOKUP(B83,'old-aw-skill-plan'!A:I,7,FALSE)</f>
        <v>3</v>
      </c>
      <c r="H83" s="1" t="str">
        <f>VLOOKUP(B83,'old-aw-skill-plan'!A:I,9,FALSE)</f>
        <v>3-10</v>
      </c>
    </row>
    <row r="84" ht="15.75" customHeight="1">
      <c r="A84" s="1" t="s">
        <v>46</v>
      </c>
      <c r="B84" s="1" t="s">
        <v>28</v>
      </c>
      <c r="C84" s="1" t="s">
        <v>11</v>
      </c>
      <c r="D84" s="5">
        <v>45743.0</v>
      </c>
      <c r="E84" s="1"/>
      <c r="F84" s="1"/>
      <c r="G84" s="1">
        <f>VLOOKUP(B84,'old-aw-skill-plan'!A:I,7,FALSE)</f>
        <v>3</v>
      </c>
      <c r="H84" s="1" t="str">
        <f>VLOOKUP(B84,'old-aw-skill-plan'!A:I,9,FALSE)</f>
        <v>3-4</v>
      </c>
    </row>
    <row r="85" ht="15.75" customHeight="1">
      <c r="A85" s="1" t="s">
        <v>46</v>
      </c>
      <c r="B85" s="1" t="s">
        <v>34</v>
      </c>
      <c r="C85" s="1" t="s">
        <v>11</v>
      </c>
      <c r="D85" s="5">
        <v>45743.0</v>
      </c>
      <c r="E85" s="1"/>
      <c r="F85" s="1"/>
      <c r="G85" s="1">
        <f>VLOOKUP(B85,'old-aw-skill-plan'!A:I,7,FALSE)</f>
        <v>4</v>
      </c>
      <c r="H85" s="1" t="str">
        <f>VLOOKUP(B85,'old-aw-skill-plan'!A:I,9,FALSE)</f>
        <v>4-1</v>
      </c>
    </row>
    <row r="86" ht="15.75" customHeight="1">
      <c r="A86" s="1" t="s">
        <v>51</v>
      </c>
      <c r="B86" s="1" t="s">
        <v>10</v>
      </c>
      <c r="C86" s="1" t="s">
        <v>11</v>
      </c>
      <c r="D86" s="5">
        <v>45743.0</v>
      </c>
      <c r="E86" s="1">
        <v>17.0</v>
      </c>
      <c r="F86" s="1">
        <v>9.0</v>
      </c>
      <c r="G86" s="1">
        <f>VLOOKUP(B86,'old-aw-skill-plan'!A:I,7,FALSE)</f>
        <v>3</v>
      </c>
      <c r="H86" s="1" t="str">
        <f>VLOOKUP(B86,'old-aw-skill-plan'!A:I,9,FALSE)</f>
        <v>3-1</v>
      </c>
    </row>
    <row r="87" ht="15.75" customHeight="1">
      <c r="A87" s="1" t="s">
        <v>53</v>
      </c>
      <c r="B87" s="1" t="s">
        <v>28</v>
      </c>
      <c r="C87" s="1" t="s">
        <v>11</v>
      </c>
      <c r="D87" s="5">
        <v>45743.0</v>
      </c>
      <c r="E87" s="1">
        <v>35.0</v>
      </c>
      <c r="F87" s="1">
        <v>28.0</v>
      </c>
      <c r="G87" s="1">
        <f>VLOOKUP(B87,'old-aw-skill-plan'!A:I,7,FALSE)</f>
        <v>3</v>
      </c>
      <c r="H87" s="1" t="str">
        <f>VLOOKUP(B87,'old-aw-skill-plan'!A:I,9,FALSE)</f>
        <v>3-4</v>
      </c>
    </row>
    <row r="88" ht="15.75" customHeight="1">
      <c r="A88" s="1" t="s">
        <v>185</v>
      </c>
      <c r="B88" s="1" t="s">
        <v>44</v>
      </c>
      <c r="C88" s="1" t="s">
        <v>11</v>
      </c>
      <c r="D88" s="5">
        <v>45743.0</v>
      </c>
      <c r="E88" s="1">
        <v>38.0</v>
      </c>
      <c r="F88" s="1">
        <v>27.0</v>
      </c>
      <c r="G88" s="1">
        <f>VLOOKUP(B88,'old-aw-skill-plan'!A:I,7,FALSE)</f>
        <v>5</v>
      </c>
      <c r="H88" s="1" t="str">
        <f>VLOOKUP(B88,'old-aw-skill-plan'!A:I,9,FALSE)</f>
        <v>5-1</v>
      </c>
    </row>
    <row r="89" ht="15.75" customHeight="1">
      <c r="A89" s="1" t="s">
        <v>185</v>
      </c>
      <c r="B89" s="1" t="s">
        <v>104</v>
      </c>
      <c r="C89" s="1" t="s">
        <v>11</v>
      </c>
      <c r="D89" s="5">
        <v>45743.0</v>
      </c>
      <c r="E89" s="1">
        <v>40.0</v>
      </c>
      <c r="F89" s="1">
        <v>35.0</v>
      </c>
      <c r="G89" s="1">
        <f>VLOOKUP(B89,'old-aw-skill-plan'!A:I,7,FALSE)</f>
        <v>5</v>
      </c>
      <c r="H89" s="1" t="str">
        <f>VLOOKUP(B89,'old-aw-skill-plan'!A:I,9,FALSE)</f>
        <v>5-2</v>
      </c>
    </row>
    <row r="90" ht="15.75" customHeight="1">
      <c r="A90" s="1" t="s">
        <v>76</v>
      </c>
      <c r="B90" s="1" t="s">
        <v>34</v>
      </c>
      <c r="C90" s="1" t="s">
        <v>11</v>
      </c>
      <c r="D90" s="5">
        <v>45743.0</v>
      </c>
      <c r="E90" s="1">
        <v>12.0</v>
      </c>
      <c r="F90" s="1">
        <v>12.0</v>
      </c>
      <c r="G90" s="1">
        <f>VLOOKUP(B90,'old-aw-skill-plan'!A:I,7,FALSE)</f>
        <v>4</v>
      </c>
      <c r="H90" s="1" t="str">
        <f>VLOOKUP(B90,'old-aw-skill-plan'!A:I,9,FALSE)</f>
        <v>4-1</v>
      </c>
    </row>
    <row r="91" ht="15.75" customHeight="1">
      <c r="A91" s="1" t="s">
        <v>76</v>
      </c>
      <c r="B91" s="1" t="s">
        <v>37</v>
      </c>
      <c r="C91" s="1" t="s">
        <v>11</v>
      </c>
      <c r="D91" s="5">
        <v>45743.0</v>
      </c>
      <c r="E91" s="1">
        <v>5.0</v>
      </c>
      <c r="F91" s="1">
        <v>3.0</v>
      </c>
      <c r="G91" s="1">
        <f>VLOOKUP(B91,'old-aw-skill-plan'!A:I,7,FALSE)</f>
        <v>4</v>
      </c>
      <c r="H91" s="1" t="str">
        <f>VLOOKUP(B91,'old-aw-skill-plan'!A:I,9,FALSE)</f>
        <v>4-2</v>
      </c>
    </row>
    <row r="92" ht="15.75" customHeight="1">
      <c r="A92" s="1" t="s">
        <v>56</v>
      </c>
      <c r="B92" s="1" t="s">
        <v>34</v>
      </c>
      <c r="C92" s="1" t="s">
        <v>11</v>
      </c>
      <c r="D92" s="5">
        <v>45743.0</v>
      </c>
      <c r="E92" s="1"/>
      <c r="F92" s="1"/>
      <c r="G92" s="1">
        <f>VLOOKUP(B92,'old-aw-skill-plan'!A:I,7,FALSE)</f>
        <v>4</v>
      </c>
      <c r="H92" s="1" t="str">
        <f>VLOOKUP(B92,'old-aw-skill-plan'!A:I,9,FALSE)</f>
        <v>4-1</v>
      </c>
    </row>
    <row r="93" ht="15.75" customHeight="1">
      <c r="A93" s="1" t="s">
        <v>56</v>
      </c>
      <c r="B93" s="1" t="s">
        <v>103</v>
      </c>
      <c r="C93" s="1" t="s">
        <v>11</v>
      </c>
      <c r="D93" s="5">
        <v>45743.0</v>
      </c>
      <c r="E93" s="1">
        <v>14.0</v>
      </c>
      <c r="F93" s="1">
        <v>14.0</v>
      </c>
      <c r="G93" s="1">
        <f>VLOOKUP(B93,'old-aw-skill-plan'!A:I,7,FALSE)</f>
        <v>5</v>
      </c>
      <c r="H93" s="1" t="str">
        <f>VLOOKUP(B93,'old-aw-skill-plan'!A:I,9,FALSE)</f>
        <v>5-3</v>
      </c>
    </row>
    <row r="94" ht="15.75" customHeight="1">
      <c r="A94" s="1" t="s">
        <v>81</v>
      </c>
      <c r="B94" s="1" t="s">
        <v>44</v>
      </c>
      <c r="C94" s="1" t="s">
        <v>11</v>
      </c>
      <c r="D94" s="5">
        <v>45743.0</v>
      </c>
      <c r="E94" s="1">
        <v>12.0</v>
      </c>
      <c r="F94" s="1">
        <v>8.0</v>
      </c>
      <c r="G94" s="1">
        <f>VLOOKUP(B94,'old-aw-skill-plan'!A:I,7,FALSE)</f>
        <v>5</v>
      </c>
      <c r="H94" s="1" t="str">
        <f>VLOOKUP(B94,'old-aw-skill-plan'!A:I,9,FALSE)</f>
        <v>5-1</v>
      </c>
    </row>
    <row r="95" ht="15.75" customHeight="1">
      <c r="A95" s="1" t="s">
        <v>81</v>
      </c>
      <c r="B95" s="1" t="s">
        <v>305</v>
      </c>
      <c r="C95" s="1" t="s">
        <v>11</v>
      </c>
      <c r="D95" s="5">
        <v>45743.0</v>
      </c>
      <c r="E95" s="1">
        <v>6.0</v>
      </c>
      <c r="F95" s="1">
        <v>0.0</v>
      </c>
      <c r="G95" s="1" t="str">
        <f>VLOOKUP(B95,'old-aw-skill-plan'!A:I,7,FALSE)</f>
        <v>#N/A</v>
      </c>
      <c r="H95" s="1" t="str">
        <f>VLOOKUP(B95,'old-aw-skill-plan'!A:I,9,FALSE)</f>
        <v>#N/A</v>
      </c>
    </row>
    <row r="96" ht="15.75" customHeight="1">
      <c r="A96" s="1" t="s">
        <v>81</v>
      </c>
      <c r="B96" s="1" t="s">
        <v>306</v>
      </c>
      <c r="C96" s="1" t="s">
        <v>11</v>
      </c>
      <c r="D96" s="5">
        <v>45743.0</v>
      </c>
      <c r="E96" s="1"/>
      <c r="F96" s="1"/>
      <c r="G96" s="1" t="str">
        <f>VLOOKUP(B96,'old-aw-skill-plan'!A:I,7,FALSE)</f>
        <v>#N/A</v>
      </c>
      <c r="H96" s="1" t="str">
        <f>VLOOKUP(B96,'old-aw-skill-plan'!A:I,9,FALSE)</f>
        <v>#N/A</v>
      </c>
    </row>
    <row r="97" ht="15.75" customHeight="1">
      <c r="A97" s="1" t="s">
        <v>179</v>
      </c>
      <c r="B97" s="1" t="s">
        <v>44</v>
      </c>
      <c r="C97" s="1" t="s">
        <v>11</v>
      </c>
      <c r="D97" s="5">
        <v>45743.0</v>
      </c>
      <c r="E97" s="1">
        <v>24.0</v>
      </c>
      <c r="F97" s="1">
        <v>9.0</v>
      </c>
      <c r="G97" s="1">
        <f>VLOOKUP(B97,'old-aw-skill-plan'!A:I,7,FALSE)</f>
        <v>5</v>
      </c>
      <c r="H97" s="1" t="str">
        <f>VLOOKUP(B97,'old-aw-skill-plan'!A:I,9,FALSE)</f>
        <v>5-1</v>
      </c>
    </row>
    <row r="98" ht="15.75" customHeight="1">
      <c r="A98" s="1" t="s">
        <v>63</v>
      </c>
      <c r="B98" s="1" t="s">
        <v>44</v>
      </c>
      <c r="C98" s="1" t="s">
        <v>11</v>
      </c>
      <c r="D98" s="5">
        <v>45743.0</v>
      </c>
      <c r="E98" s="1">
        <v>10.0</v>
      </c>
      <c r="F98" s="1">
        <v>8.0</v>
      </c>
      <c r="G98" s="1">
        <f>VLOOKUP(B98,'old-aw-skill-plan'!A:I,7,FALSE)</f>
        <v>5</v>
      </c>
      <c r="H98" s="1" t="str">
        <f>VLOOKUP(B98,'old-aw-skill-plan'!A:I,9,FALSE)</f>
        <v>5-1</v>
      </c>
    </row>
    <row r="99" ht="15.75" customHeight="1">
      <c r="A99" s="1" t="s">
        <v>68</v>
      </c>
      <c r="B99" s="1" t="s">
        <v>10</v>
      </c>
      <c r="C99" s="1" t="s">
        <v>11</v>
      </c>
      <c r="D99" s="5">
        <v>45743.0</v>
      </c>
      <c r="E99" s="1">
        <v>19.0</v>
      </c>
      <c r="F99" s="1">
        <v>13.0</v>
      </c>
      <c r="G99" s="1">
        <f>VLOOKUP(B99,'old-aw-skill-plan'!A:I,7,FALSE)</f>
        <v>3</v>
      </c>
      <c r="H99" s="1" t="str">
        <f>VLOOKUP(B99,'old-aw-skill-plan'!A:I,9,FALSE)</f>
        <v>3-1</v>
      </c>
    </row>
    <row r="100" ht="15.75" customHeight="1">
      <c r="A100" s="1" t="s">
        <v>69</v>
      </c>
      <c r="B100" s="1" t="s">
        <v>30</v>
      </c>
      <c r="C100" s="1" t="s">
        <v>11</v>
      </c>
      <c r="D100" s="5">
        <v>45743.0</v>
      </c>
      <c r="E100" s="1">
        <v>22.0</v>
      </c>
      <c r="F100" s="1">
        <v>14.0</v>
      </c>
      <c r="G100" s="1">
        <f>VLOOKUP(B100,'old-aw-skill-plan'!A:I,7,FALSE)</f>
        <v>3</v>
      </c>
      <c r="H100" s="1" t="str">
        <f>VLOOKUP(B100,'old-aw-skill-plan'!A:I,9,FALSE)</f>
        <v>3-3</v>
      </c>
    </row>
    <row r="101" ht="15.75" customHeight="1">
      <c r="A101" s="1" t="s">
        <v>69</v>
      </c>
      <c r="B101" s="1" t="s">
        <v>47</v>
      </c>
      <c r="C101" s="1" t="s">
        <v>11</v>
      </c>
      <c r="D101" s="5">
        <v>45743.0</v>
      </c>
      <c r="E101" s="1"/>
      <c r="F101" s="1"/>
      <c r="G101" s="1">
        <f>VLOOKUP(B101,'old-aw-skill-plan'!A:I,7,FALSE)</f>
        <v>3</v>
      </c>
      <c r="H101" s="1" t="str">
        <f>VLOOKUP(B101,'old-aw-skill-plan'!A:I,9,FALSE)</f>
        <v>3-2</v>
      </c>
    </row>
    <row r="102" ht="15.75" customHeight="1">
      <c r="A102" s="1" t="s">
        <v>73</v>
      </c>
      <c r="B102" s="1" t="s">
        <v>34</v>
      </c>
      <c r="C102" s="1" t="s">
        <v>11</v>
      </c>
      <c r="D102" s="5">
        <v>45743.0</v>
      </c>
      <c r="E102" s="1"/>
      <c r="F102" s="1"/>
      <c r="G102" s="1">
        <f>VLOOKUP(B102,'old-aw-skill-plan'!A:I,7,FALSE)</f>
        <v>4</v>
      </c>
      <c r="H102" s="1" t="str">
        <f>VLOOKUP(B102,'old-aw-skill-plan'!A:I,9,FALSE)</f>
        <v>4-1</v>
      </c>
    </row>
    <row r="103" ht="15.75" customHeight="1">
      <c r="A103" s="1" t="s">
        <v>98</v>
      </c>
      <c r="B103" s="1" t="s">
        <v>28</v>
      </c>
      <c r="C103" s="1" t="s">
        <v>11</v>
      </c>
      <c r="D103" s="5">
        <v>45743.0</v>
      </c>
      <c r="E103" s="1">
        <v>18.0</v>
      </c>
      <c r="F103" s="1">
        <v>8.0</v>
      </c>
      <c r="G103" s="1">
        <f>VLOOKUP(B103,'old-aw-skill-plan'!A:I,7,FALSE)</f>
        <v>3</v>
      </c>
      <c r="H103" s="1" t="str">
        <f>VLOOKUP(B103,'old-aw-skill-plan'!A:I,9,FALSE)</f>
        <v>3-4</v>
      </c>
    </row>
    <row r="104" ht="15.75" customHeight="1">
      <c r="A104" s="1" t="s">
        <v>98</v>
      </c>
      <c r="B104" s="1" t="s">
        <v>30</v>
      </c>
      <c r="C104" s="1" t="s">
        <v>11</v>
      </c>
      <c r="D104" s="5">
        <v>45743.0</v>
      </c>
      <c r="E104" s="1">
        <v>32.0</v>
      </c>
      <c r="F104" s="1">
        <v>28.0</v>
      </c>
      <c r="G104" s="1">
        <f>VLOOKUP(B104,'old-aw-skill-plan'!A:I,7,FALSE)</f>
        <v>3</v>
      </c>
      <c r="H104" s="1" t="str">
        <f>VLOOKUP(B104,'old-aw-skill-plan'!A:I,9,FALSE)</f>
        <v>3-3</v>
      </c>
    </row>
    <row r="105" ht="15.75" customHeight="1">
      <c r="A105" s="1" t="s">
        <v>75</v>
      </c>
      <c r="B105" s="1" t="s">
        <v>10</v>
      </c>
      <c r="C105" s="1" t="s">
        <v>11</v>
      </c>
      <c r="D105" s="5">
        <v>45743.0</v>
      </c>
      <c r="E105" s="1">
        <v>14.0</v>
      </c>
      <c r="F105" s="1">
        <v>11.0</v>
      </c>
      <c r="G105" s="1">
        <f>VLOOKUP(B105,'old-aw-skill-plan'!A:I,7,FALSE)</f>
        <v>3</v>
      </c>
      <c r="H105" s="1" t="str">
        <f>VLOOKUP(B105,'old-aw-skill-plan'!A:I,9,FALSE)</f>
        <v>3-1</v>
      </c>
    </row>
    <row r="106" ht="15.75" customHeight="1">
      <c r="A106" s="1" t="s">
        <v>77</v>
      </c>
      <c r="B106" s="1" t="s">
        <v>34</v>
      </c>
      <c r="C106" s="1" t="s">
        <v>11</v>
      </c>
      <c r="D106" s="5">
        <v>45743.0</v>
      </c>
      <c r="E106" s="1">
        <v>18.0</v>
      </c>
      <c r="F106" s="1">
        <v>12.0</v>
      </c>
      <c r="G106" s="1">
        <f>VLOOKUP(B106,'old-aw-skill-plan'!A:I,7,FALSE)</f>
        <v>4</v>
      </c>
      <c r="H106" s="1" t="str">
        <f>VLOOKUP(B106,'old-aw-skill-plan'!A:I,9,FALSE)</f>
        <v>4-1</v>
      </c>
    </row>
    <row r="107" ht="15.75" customHeight="1">
      <c r="A107" s="1" t="s">
        <v>82</v>
      </c>
      <c r="B107" s="1" t="s">
        <v>10</v>
      </c>
      <c r="C107" s="1" t="s">
        <v>11</v>
      </c>
      <c r="D107" s="5">
        <v>45743.0</v>
      </c>
      <c r="E107" s="1">
        <v>16.0</v>
      </c>
      <c r="F107" s="1">
        <v>16.0</v>
      </c>
      <c r="G107" s="1">
        <f>VLOOKUP(B107,'old-aw-skill-plan'!A:I,7,FALSE)</f>
        <v>3</v>
      </c>
      <c r="H107" s="1" t="str">
        <f>VLOOKUP(B107,'old-aw-skill-plan'!A:I,9,FALSE)</f>
        <v>3-1</v>
      </c>
    </row>
    <row r="108" ht="15.75" customHeight="1">
      <c r="A108" s="1" t="s">
        <v>82</v>
      </c>
      <c r="B108" s="1" t="s">
        <v>104</v>
      </c>
      <c r="C108" s="1" t="s">
        <v>11</v>
      </c>
      <c r="D108" s="5">
        <v>45743.0</v>
      </c>
      <c r="E108" s="1"/>
      <c r="F108" s="1"/>
      <c r="G108" s="1">
        <f>VLOOKUP(B108,'old-aw-skill-plan'!A:I,7,FALSE)</f>
        <v>5</v>
      </c>
      <c r="H108" s="1" t="str">
        <f>VLOOKUP(B108,'old-aw-skill-plan'!A:I,9,FALSE)</f>
        <v>5-2</v>
      </c>
    </row>
    <row r="109" ht="15.75" customHeight="1">
      <c r="A109" s="1" t="s">
        <v>90</v>
      </c>
      <c r="B109" s="1" t="s">
        <v>116</v>
      </c>
      <c r="C109" s="1" t="s">
        <v>11</v>
      </c>
      <c r="D109" s="5">
        <v>45743.0</v>
      </c>
      <c r="E109" s="1">
        <v>4.0</v>
      </c>
      <c r="F109" s="1">
        <v>4.0</v>
      </c>
      <c r="G109" s="1">
        <f>VLOOKUP(B109,'old-aw-skill-plan'!A:I,7,FALSE)</f>
        <v>3</v>
      </c>
      <c r="H109" s="1" t="str">
        <f>VLOOKUP(B109,'old-aw-skill-plan'!A:I,9,FALSE)</f>
        <v>3-9</v>
      </c>
    </row>
    <row r="110" ht="15.75" customHeight="1">
      <c r="A110" s="1" t="s">
        <v>90</v>
      </c>
      <c r="B110" s="1" t="s">
        <v>10</v>
      </c>
      <c r="C110" s="1" t="s">
        <v>11</v>
      </c>
      <c r="D110" s="5">
        <v>45743.0</v>
      </c>
      <c r="E110" s="1">
        <v>13.0</v>
      </c>
      <c r="F110" s="1">
        <v>6.0</v>
      </c>
      <c r="G110" s="1">
        <f>VLOOKUP(B110,'old-aw-skill-plan'!A:I,7,FALSE)</f>
        <v>3</v>
      </c>
      <c r="H110" s="1" t="str">
        <f>VLOOKUP(B110,'old-aw-skill-plan'!A:I,9,FALSE)</f>
        <v>3-1</v>
      </c>
    </row>
    <row r="111" ht="15.75" customHeight="1">
      <c r="A111" s="1" t="s">
        <v>107</v>
      </c>
      <c r="B111" s="1" t="s">
        <v>44</v>
      </c>
      <c r="C111" s="1" t="s">
        <v>11</v>
      </c>
      <c r="D111" s="5">
        <v>45743.0</v>
      </c>
      <c r="E111" s="1">
        <v>2.0</v>
      </c>
      <c r="F111" s="1">
        <v>2.0</v>
      </c>
      <c r="G111" s="1">
        <f>VLOOKUP(B111,'old-aw-skill-plan'!A:I,7,FALSE)</f>
        <v>5</v>
      </c>
      <c r="H111" s="1" t="str">
        <f>VLOOKUP(B111,'old-aw-skill-plan'!A:I,9,FALSE)</f>
        <v>5-1</v>
      </c>
    </row>
    <row r="112" ht="15.75" customHeight="1">
      <c r="A112" s="1" t="s">
        <v>94</v>
      </c>
      <c r="B112" s="1" t="s">
        <v>104</v>
      </c>
      <c r="C112" s="1" t="s">
        <v>11</v>
      </c>
      <c r="D112" s="5">
        <v>45743.0</v>
      </c>
      <c r="E112" s="1">
        <v>12.0</v>
      </c>
      <c r="F112" s="1">
        <v>12.0</v>
      </c>
      <c r="G112" s="1">
        <f>VLOOKUP(B112,'old-aw-skill-plan'!A:I,7,FALSE)</f>
        <v>5</v>
      </c>
      <c r="H112" s="1" t="str">
        <f>VLOOKUP(B112,'old-aw-skill-plan'!A:I,9,FALSE)</f>
        <v>5-2</v>
      </c>
    </row>
    <row r="113" ht="15.75" customHeight="1">
      <c r="A113" s="1" t="s">
        <v>96</v>
      </c>
      <c r="B113" s="1" t="s">
        <v>10</v>
      </c>
      <c r="C113" s="1" t="s">
        <v>11</v>
      </c>
      <c r="D113" s="5">
        <v>45743.0</v>
      </c>
      <c r="E113" s="1">
        <v>14.0</v>
      </c>
      <c r="F113" s="1">
        <v>6.0</v>
      </c>
      <c r="G113" s="1">
        <f>VLOOKUP(B113,'old-aw-skill-plan'!A:I,7,FALSE)</f>
        <v>3</v>
      </c>
      <c r="H113" s="1" t="str">
        <f>VLOOKUP(B113,'old-aw-skill-plan'!A:I,9,FALSE)</f>
        <v>3-1</v>
      </c>
    </row>
    <row r="114" ht="15.75" customHeight="1">
      <c r="A114" s="1" t="s">
        <v>9</v>
      </c>
      <c r="B114" s="1" t="s">
        <v>10</v>
      </c>
      <c r="C114" s="1" t="s">
        <v>11</v>
      </c>
      <c r="D114" s="5">
        <v>45742.0</v>
      </c>
      <c r="E114" s="1">
        <v>38.0</v>
      </c>
      <c r="F114" s="1">
        <v>30.0</v>
      </c>
      <c r="G114" s="1">
        <f>VLOOKUP(B114,'old-aw-skill-plan'!A:I,7,FALSE)</f>
        <v>3</v>
      </c>
      <c r="H114" s="1" t="str">
        <f>VLOOKUP(B114,'old-aw-skill-plan'!A:I,9,FALSE)</f>
        <v>3-1</v>
      </c>
    </row>
    <row r="115" ht="15.75" customHeight="1">
      <c r="A115" s="1" t="s">
        <v>18</v>
      </c>
      <c r="B115" s="1" t="s">
        <v>19</v>
      </c>
      <c r="C115" s="1" t="s">
        <v>11</v>
      </c>
      <c r="D115" s="5">
        <v>45742.0</v>
      </c>
      <c r="E115" s="1">
        <v>19.0</v>
      </c>
      <c r="F115" s="1">
        <v>13.0</v>
      </c>
      <c r="G115" s="1">
        <f>VLOOKUP(B115,'old-aw-skill-plan'!A:I,7,FALSE)</f>
        <v>4</v>
      </c>
      <c r="H115" s="1" t="str">
        <f>VLOOKUP(B115,'old-aw-skill-plan'!A:I,9,FALSE)</f>
        <v>4-7</v>
      </c>
    </row>
    <row r="116" ht="15.75" customHeight="1">
      <c r="A116" s="1" t="s">
        <v>20</v>
      </c>
      <c r="B116" s="1" t="s">
        <v>21</v>
      </c>
      <c r="C116" s="1" t="s">
        <v>11</v>
      </c>
      <c r="D116" s="5">
        <v>45742.0</v>
      </c>
      <c r="E116" s="1">
        <v>12.0</v>
      </c>
      <c r="F116" s="1">
        <v>12.0</v>
      </c>
      <c r="G116" s="1">
        <f>VLOOKUP(B116,'old-aw-skill-plan'!A:I,7,FALSE)</f>
        <v>4</v>
      </c>
      <c r="H116" s="1" t="str">
        <f>VLOOKUP(B116,'old-aw-skill-plan'!A:I,9,FALSE)</f>
        <v>4-6</v>
      </c>
    </row>
    <row r="117" ht="15.75" customHeight="1">
      <c r="A117" s="1" t="s">
        <v>20</v>
      </c>
      <c r="B117" s="1" t="s">
        <v>23</v>
      </c>
      <c r="C117" s="1" t="s">
        <v>11</v>
      </c>
      <c r="D117" s="5">
        <v>45742.0</v>
      </c>
      <c r="E117" s="1">
        <v>7.0</v>
      </c>
      <c r="F117" s="1">
        <v>7.0</v>
      </c>
      <c r="G117" s="1">
        <f>VLOOKUP(B117,'old-aw-skill-plan'!A:I,7,FALSE)</f>
        <v>4</v>
      </c>
      <c r="H117" s="1" t="str">
        <f>VLOOKUP(B117,'old-aw-skill-plan'!A:I,9,FALSE)</f>
        <v>4-5</v>
      </c>
    </row>
    <row r="118" ht="15.75" customHeight="1">
      <c r="A118" s="1" t="s">
        <v>24</v>
      </c>
      <c r="B118" s="1" t="s">
        <v>25</v>
      </c>
      <c r="C118" s="1" t="s">
        <v>11</v>
      </c>
      <c r="D118" s="5">
        <v>45742.0</v>
      </c>
      <c r="E118" s="1">
        <v>6.0</v>
      </c>
      <c r="F118" s="1">
        <v>2.0</v>
      </c>
      <c r="G118" s="1">
        <f>VLOOKUP(B118,'old-aw-skill-plan'!A:I,7,FALSE)</f>
        <v>5</v>
      </c>
      <c r="H118" s="1" t="str">
        <f>VLOOKUP(B118,'old-aw-skill-plan'!A:I,9,FALSE)</f>
        <v>5-4</v>
      </c>
    </row>
    <row r="119" ht="15.75" customHeight="1">
      <c r="A119" s="1" t="s">
        <v>27</v>
      </c>
      <c r="B119" s="1" t="s">
        <v>28</v>
      </c>
      <c r="C119" s="1" t="s">
        <v>11</v>
      </c>
      <c r="D119" s="5">
        <v>45742.0</v>
      </c>
      <c r="E119" s="1">
        <v>11.0</v>
      </c>
      <c r="F119" s="1">
        <v>5.0</v>
      </c>
      <c r="G119" s="1">
        <f>VLOOKUP(B119,'old-aw-skill-plan'!A:I,7,FALSE)</f>
        <v>3</v>
      </c>
      <c r="H119" s="1" t="str">
        <f>VLOOKUP(B119,'old-aw-skill-plan'!A:I,9,FALSE)</f>
        <v>3-4</v>
      </c>
    </row>
    <row r="120" ht="15.75" customHeight="1">
      <c r="A120" s="1" t="s">
        <v>27</v>
      </c>
      <c r="B120" s="1" t="s">
        <v>30</v>
      </c>
      <c r="C120" s="1" t="s">
        <v>11</v>
      </c>
      <c r="D120" s="5">
        <v>45742.0</v>
      </c>
      <c r="E120" s="1">
        <v>16.0</v>
      </c>
      <c r="F120" s="1">
        <v>14.0</v>
      </c>
      <c r="G120" s="1">
        <f>VLOOKUP(B120,'old-aw-skill-plan'!A:I,7,FALSE)</f>
        <v>3</v>
      </c>
      <c r="H120" s="1" t="str">
        <f>VLOOKUP(B120,'old-aw-skill-plan'!A:I,9,FALSE)</f>
        <v>3-3</v>
      </c>
    </row>
    <row r="121" ht="15.75" customHeight="1">
      <c r="A121" s="1" t="s">
        <v>32</v>
      </c>
      <c r="B121" s="1" t="s">
        <v>28</v>
      </c>
      <c r="C121" s="1" t="s">
        <v>11</v>
      </c>
      <c r="D121" s="5">
        <v>45742.0</v>
      </c>
      <c r="E121" s="1">
        <v>73.0</v>
      </c>
      <c r="F121" s="1">
        <v>44.0</v>
      </c>
      <c r="G121" s="1">
        <f>VLOOKUP(B121,'old-aw-skill-plan'!A:I,7,FALSE)</f>
        <v>3</v>
      </c>
      <c r="H121" s="1" t="str">
        <f>VLOOKUP(B121,'old-aw-skill-plan'!A:I,9,FALSE)</f>
        <v>3-4</v>
      </c>
    </row>
    <row r="122" ht="15.75" customHeight="1">
      <c r="A122" s="1" t="s">
        <v>32</v>
      </c>
      <c r="B122" s="1" t="s">
        <v>33</v>
      </c>
      <c r="C122" s="1" t="s">
        <v>11</v>
      </c>
      <c r="D122" s="5">
        <v>45742.0</v>
      </c>
      <c r="E122" s="1">
        <v>4.0</v>
      </c>
      <c r="F122" s="1">
        <v>4.0</v>
      </c>
      <c r="G122" s="1">
        <f>VLOOKUP(B122,'old-aw-skill-plan'!A:I,7,FALSE)</f>
        <v>3</v>
      </c>
      <c r="H122" s="1" t="str">
        <f>VLOOKUP(B122,'old-aw-skill-plan'!A:I,9,FALSE)</f>
        <v>3-5</v>
      </c>
    </row>
    <row r="123" ht="15.75" customHeight="1">
      <c r="A123" s="1" t="s">
        <v>32</v>
      </c>
      <c r="B123" s="1" t="s">
        <v>34</v>
      </c>
      <c r="C123" s="1" t="s">
        <v>11</v>
      </c>
      <c r="D123" s="5">
        <v>45742.0</v>
      </c>
      <c r="E123" s="1">
        <v>2.0</v>
      </c>
      <c r="F123" s="1">
        <v>0.0</v>
      </c>
      <c r="G123" s="1">
        <f>VLOOKUP(B123,'old-aw-skill-plan'!A:I,7,FALSE)</f>
        <v>4</v>
      </c>
      <c r="H123" s="1" t="str">
        <f>VLOOKUP(B123,'old-aw-skill-plan'!A:I,9,FALSE)</f>
        <v>4-1</v>
      </c>
    </row>
    <row r="124" ht="15.75" customHeight="1">
      <c r="A124" s="1" t="s">
        <v>36</v>
      </c>
      <c r="B124" s="1" t="s">
        <v>37</v>
      </c>
      <c r="C124" s="1" t="s">
        <v>11</v>
      </c>
      <c r="D124" s="5">
        <v>45742.0</v>
      </c>
      <c r="E124" s="1">
        <v>13.0</v>
      </c>
      <c r="F124" s="1">
        <v>12.0</v>
      </c>
      <c r="G124" s="1">
        <f>VLOOKUP(B124,'old-aw-skill-plan'!A:I,7,FALSE)</f>
        <v>4</v>
      </c>
      <c r="H124" s="1" t="str">
        <f>VLOOKUP(B124,'old-aw-skill-plan'!A:I,9,FALSE)</f>
        <v>4-2</v>
      </c>
    </row>
    <row r="125" ht="15.75" customHeight="1">
      <c r="A125" s="1" t="s">
        <v>39</v>
      </c>
      <c r="B125" s="1" t="s">
        <v>40</v>
      </c>
      <c r="C125" s="1" t="s">
        <v>11</v>
      </c>
      <c r="D125" s="5">
        <v>45742.0</v>
      </c>
      <c r="E125" s="1">
        <v>8.0</v>
      </c>
      <c r="F125" s="1">
        <v>8.0</v>
      </c>
      <c r="G125" s="1">
        <f>VLOOKUP(B125,'old-aw-skill-plan'!A:I,7,FALSE)</f>
        <v>4</v>
      </c>
      <c r="H125" s="1" t="str">
        <f>VLOOKUP(B125,'old-aw-skill-plan'!A:I,9,FALSE)</f>
        <v>4-10</v>
      </c>
    </row>
    <row r="126" ht="15.75" customHeight="1">
      <c r="A126" s="1" t="s">
        <v>46</v>
      </c>
      <c r="B126" s="1" t="s">
        <v>47</v>
      </c>
      <c r="C126" s="1" t="s">
        <v>11</v>
      </c>
      <c r="D126" s="5">
        <v>45742.0</v>
      </c>
      <c r="E126" s="1">
        <v>11.0</v>
      </c>
      <c r="F126" s="1">
        <v>7.0</v>
      </c>
      <c r="G126" s="1">
        <f>VLOOKUP(B126,'old-aw-skill-plan'!A:I,7,FALSE)</f>
        <v>3</v>
      </c>
      <c r="H126" s="1" t="str">
        <f>VLOOKUP(B126,'old-aw-skill-plan'!A:I,9,FALSE)</f>
        <v>3-2</v>
      </c>
    </row>
    <row r="127" ht="15.75" customHeight="1">
      <c r="A127" s="1" t="s">
        <v>46</v>
      </c>
      <c r="B127" s="1" t="s">
        <v>48</v>
      </c>
      <c r="C127" s="1" t="s">
        <v>11</v>
      </c>
      <c r="D127" s="5">
        <v>45742.0</v>
      </c>
      <c r="E127" s="1">
        <v>15.0</v>
      </c>
      <c r="F127" s="1">
        <v>11.0</v>
      </c>
      <c r="G127" s="1">
        <f>VLOOKUP(B127,'old-aw-skill-plan'!A:I,7,FALSE)</f>
        <v>3</v>
      </c>
      <c r="H127" s="1" t="str">
        <f>VLOOKUP(B127,'old-aw-skill-plan'!A:I,9,FALSE)</f>
        <v>3-6</v>
      </c>
    </row>
    <row r="128" ht="15.75" customHeight="1">
      <c r="A128" s="1" t="s">
        <v>51</v>
      </c>
      <c r="B128" s="1" t="s">
        <v>10</v>
      </c>
      <c r="C128" s="1" t="s">
        <v>11</v>
      </c>
      <c r="D128" s="5">
        <v>45742.0</v>
      </c>
      <c r="E128" s="1">
        <v>49.0</v>
      </c>
      <c r="F128" s="1">
        <v>20.0</v>
      </c>
      <c r="G128" s="1">
        <f>VLOOKUP(B128,'old-aw-skill-plan'!A:I,7,FALSE)</f>
        <v>3</v>
      </c>
      <c r="H128" s="1" t="str">
        <f>VLOOKUP(B128,'old-aw-skill-plan'!A:I,9,FALSE)</f>
        <v>3-1</v>
      </c>
    </row>
    <row r="129" ht="15.75" customHeight="1">
      <c r="A129" s="1" t="s">
        <v>53</v>
      </c>
      <c r="B129" s="1" t="s">
        <v>33</v>
      </c>
      <c r="C129" s="1" t="s">
        <v>11</v>
      </c>
      <c r="D129" s="5">
        <v>45742.0</v>
      </c>
      <c r="E129" s="1">
        <v>16.0</v>
      </c>
      <c r="F129" s="1">
        <v>14.0</v>
      </c>
      <c r="G129" s="1">
        <f>VLOOKUP(B129,'old-aw-skill-plan'!A:I,7,FALSE)</f>
        <v>3</v>
      </c>
      <c r="H129" s="1" t="str">
        <f>VLOOKUP(B129,'old-aw-skill-plan'!A:I,9,FALSE)</f>
        <v>3-5</v>
      </c>
    </row>
    <row r="130" ht="15.75" customHeight="1">
      <c r="A130" s="1" t="s">
        <v>56</v>
      </c>
      <c r="B130" s="1" t="s">
        <v>57</v>
      </c>
      <c r="C130" s="1" t="s">
        <v>11</v>
      </c>
      <c r="D130" s="5">
        <v>45742.0</v>
      </c>
      <c r="E130" s="1">
        <v>26.0</v>
      </c>
      <c r="F130" s="1">
        <v>16.0</v>
      </c>
      <c r="G130" s="1">
        <f>VLOOKUP(B130,'old-aw-skill-plan'!A:I,7,FALSE)</f>
        <v>3</v>
      </c>
      <c r="H130" s="1" t="str">
        <f>VLOOKUP(B130,'old-aw-skill-plan'!A:I,9,FALSE)</f>
        <v>3-7</v>
      </c>
    </row>
    <row r="131" ht="15.75" customHeight="1">
      <c r="A131" s="1" t="s">
        <v>56</v>
      </c>
      <c r="B131" s="1" t="s">
        <v>58</v>
      </c>
      <c r="C131" s="1" t="s">
        <v>11</v>
      </c>
      <c r="D131" s="5">
        <v>45742.0</v>
      </c>
      <c r="E131" s="1">
        <v>26.0</v>
      </c>
      <c r="F131" s="1">
        <v>20.0</v>
      </c>
      <c r="G131" s="1">
        <f>VLOOKUP(B131,'old-aw-skill-plan'!A:I,7,FALSE)</f>
        <v>3</v>
      </c>
      <c r="H131" s="1" t="str">
        <f>VLOOKUP(B131,'old-aw-skill-plan'!A:I,9,FALSE)</f>
        <v>3-8</v>
      </c>
    </row>
    <row r="132" ht="15.75" customHeight="1">
      <c r="A132" s="1" t="s">
        <v>60</v>
      </c>
      <c r="B132" s="1" t="s">
        <v>61</v>
      </c>
      <c r="C132" s="1" t="s">
        <v>11</v>
      </c>
      <c r="D132" s="5">
        <v>45742.0</v>
      </c>
      <c r="E132" s="1">
        <v>6.0</v>
      </c>
      <c r="F132" s="1">
        <v>2.0</v>
      </c>
      <c r="G132" s="1">
        <f>VLOOKUP(B132,'old-aw-skill-plan'!A:I,7,FALSE)</f>
        <v>4</v>
      </c>
      <c r="H132" s="1" t="str">
        <f>VLOOKUP(B132,'old-aw-skill-plan'!A:I,9,FALSE)</f>
        <v>4-4</v>
      </c>
    </row>
    <row r="133" ht="15.75" customHeight="1">
      <c r="A133" s="1" t="s">
        <v>68</v>
      </c>
      <c r="B133" s="1" t="s">
        <v>58</v>
      </c>
      <c r="C133" s="1" t="s">
        <v>11</v>
      </c>
      <c r="D133" s="5">
        <v>45742.0</v>
      </c>
      <c r="E133" s="1">
        <v>17.0</v>
      </c>
      <c r="F133" s="1">
        <v>13.0</v>
      </c>
      <c r="G133" s="1">
        <f>VLOOKUP(B133,'old-aw-skill-plan'!A:I,7,FALSE)</f>
        <v>3</v>
      </c>
      <c r="H133" s="1" t="str">
        <f>VLOOKUP(B133,'old-aw-skill-plan'!A:I,9,FALSE)</f>
        <v>3-8</v>
      </c>
    </row>
    <row r="134" ht="15.75" customHeight="1">
      <c r="A134" s="1" t="s">
        <v>69</v>
      </c>
      <c r="B134" s="1" t="s">
        <v>47</v>
      </c>
      <c r="C134" s="1" t="s">
        <v>11</v>
      </c>
      <c r="D134" s="5">
        <v>45742.0</v>
      </c>
      <c r="E134" s="1">
        <v>12.0</v>
      </c>
      <c r="F134" s="1">
        <v>12.0</v>
      </c>
      <c r="G134" s="1">
        <f>VLOOKUP(B134,'old-aw-skill-plan'!A:I,7,FALSE)</f>
        <v>3</v>
      </c>
      <c r="H134" s="1" t="str">
        <f>VLOOKUP(B134,'old-aw-skill-plan'!A:I,9,FALSE)</f>
        <v>3-2</v>
      </c>
    </row>
    <row r="135" ht="15.75" customHeight="1">
      <c r="A135" s="1" t="s">
        <v>71</v>
      </c>
      <c r="B135" s="1" t="s">
        <v>44</v>
      </c>
      <c r="C135" s="1" t="s">
        <v>11</v>
      </c>
      <c r="D135" s="5">
        <v>45742.0</v>
      </c>
      <c r="E135" s="1">
        <v>20.0</v>
      </c>
      <c r="F135" s="1">
        <v>16.0</v>
      </c>
      <c r="G135" s="1">
        <f>VLOOKUP(B135,'old-aw-skill-plan'!A:I,7,FALSE)</f>
        <v>5</v>
      </c>
      <c r="H135" s="1" t="str">
        <f>VLOOKUP(B135,'old-aw-skill-plan'!A:I,9,FALSE)</f>
        <v>5-1</v>
      </c>
    </row>
    <row r="136" ht="15.75" customHeight="1">
      <c r="A136" s="1" t="s">
        <v>73</v>
      </c>
      <c r="B136" s="1" t="s">
        <v>34</v>
      </c>
      <c r="C136" s="1" t="s">
        <v>11</v>
      </c>
      <c r="D136" s="5">
        <v>45742.0</v>
      </c>
      <c r="E136" s="1">
        <v>10.0</v>
      </c>
      <c r="F136" s="1">
        <v>4.0</v>
      </c>
      <c r="G136" s="1">
        <f>VLOOKUP(B136,'old-aw-skill-plan'!A:I,7,FALSE)</f>
        <v>4</v>
      </c>
      <c r="H136" s="1" t="str">
        <f>VLOOKUP(B136,'old-aw-skill-plan'!A:I,9,FALSE)</f>
        <v>4-1</v>
      </c>
    </row>
    <row r="137" ht="15.75" customHeight="1">
      <c r="A137" s="1" t="s">
        <v>74</v>
      </c>
      <c r="B137" s="1" t="s">
        <v>25</v>
      </c>
      <c r="C137" s="1" t="s">
        <v>11</v>
      </c>
      <c r="D137" s="5">
        <v>45742.0</v>
      </c>
      <c r="E137" s="1">
        <v>2.0</v>
      </c>
      <c r="F137" s="1">
        <v>0.0</v>
      </c>
      <c r="G137" s="1">
        <f>VLOOKUP(B137,'old-aw-skill-plan'!A:I,7,FALSE)</f>
        <v>5</v>
      </c>
      <c r="H137" s="1" t="str">
        <f>VLOOKUP(B137,'old-aw-skill-plan'!A:I,9,FALSE)</f>
        <v>5-4</v>
      </c>
    </row>
    <row r="138" ht="15.75" customHeight="1">
      <c r="A138" s="1" t="s">
        <v>75</v>
      </c>
      <c r="B138" s="1" t="s">
        <v>47</v>
      </c>
      <c r="C138" s="1" t="s">
        <v>11</v>
      </c>
      <c r="D138" s="5">
        <v>45742.0</v>
      </c>
      <c r="E138" s="1">
        <v>28.0</v>
      </c>
      <c r="F138" s="1">
        <v>26.0</v>
      </c>
      <c r="G138" s="1">
        <f>VLOOKUP(B138,'old-aw-skill-plan'!A:I,7,FALSE)</f>
        <v>3</v>
      </c>
      <c r="H138" s="1" t="str">
        <f>VLOOKUP(B138,'old-aw-skill-plan'!A:I,9,FALSE)</f>
        <v>3-2</v>
      </c>
    </row>
    <row r="139" ht="15.75" customHeight="1">
      <c r="A139" s="1" t="s">
        <v>77</v>
      </c>
      <c r="B139" s="1" t="s">
        <v>79</v>
      </c>
      <c r="C139" s="1" t="s">
        <v>11</v>
      </c>
      <c r="D139" s="5">
        <v>45742.0</v>
      </c>
      <c r="E139" s="1">
        <v>4.0</v>
      </c>
      <c r="F139" s="1">
        <v>2.0</v>
      </c>
      <c r="G139" s="1">
        <f>VLOOKUP(B139,'old-aw-skill-plan'!A:I,7,FALSE)</f>
        <v>4</v>
      </c>
      <c r="H139" s="1" t="str">
        <f>VLOOKUP(B139,'old-aw-skill-plan'!A:I,9,FALSE)</f>
        <v>4-8</v>
      </c>
    </row>
    <row r="140" ht="15.75" customHeight="1">
      <c r="A140" s="1" t="s">
        <v>82</v>
      </c>
      <c r="B140" s="1" t="s">
        <v>83</v>
      </c>
      <c r="C140" s="1" t="s">
        <v>11</v>
      </c>
      <c r="D140" s="5">
        <v>45742.0</v>
      </c>
      <c r="E140" s="1">
        <v>2.0</v>
      </c>
      <c r="F140" s="1">
        <v>0.0</v>
      </c>
      <c r="G140" s="1">
        <f>VLOOKUP(B140,'old-aw-skill-plan'!A:I,7,FALSE)</f>
        <v>5</v>
      </c>
      <c r="H140" s="1" t="str">
        <f>VLOOKUP(B140,'old-aw-skill-plan'!A:I,9,FALSE)</f>
        <v>5-9</v>
      </c>
    </row>
    <row r="141" ht="15.75" customHeight="1">
      <c r="A141" s="1" t="s">
        <v>82</v>
      </c>
      <c r="B141" s="1" t="s">
        <v>84</v>
      </c>
      <c r="C141" s="1" t="s">
        <v>11</v>
      </c>
      <c r="D141" s="5">
        <v>45742.0</v>
      </c>
      <c r="E141" s="1">
        <v>18.0</v>
      </c>
      <c r="F141" s="1">
        <v>14.0</v>
      </c>
      <c r="G141" s="1">
        <f>VLOOKUP(B141,'old-aw-skill-plan'!A:I,7,FALSE)</f>
        <v>5</v>
      </c>
      <c r="H141" s="1" t="str">
        <f>VLOOKUP(B141,'old-aw-skill-plan'!A:I,9,FALSE)</f>
        <v>5-7</v>
      </c>
    </row>
    <row r="142" ht="15.75" customHeight="1">
      <c r="A142" s="1" t="s">
        <v>82</v>
      </c>
      <c r="B142" s="1" t="s">
        <v>87</v>
      </c>
      <c r="C142" s="1" t="s">
        <v>11</v>
      </c>
      <c r="D142" s="5">
        <v>45742.0</v>
      </c>
      <c r="E142" s="1">
        <v>19.0</v>
      </c>
      <c r="F142" s="1">
        <v>17.0</v>
      </c>
      <c r="G142" s="1">
        <f>VLOOKUP(B142,'old-aw-skill-plan'!A:I,7,FALSE)</f>
        <v>5</v>
      </c>
      <c r="H142" s="1" t="str">
        <f>VLOOKUP(B142,'old-aw-skill-plan'!A:I,9,FALSE)</f>
        <v>5-6</v>
      </c>
    </row>
    <row r="143" ht="15.75" customHeight="1">
      <c r="A143" s="1" t="s">
        <v>82</v>
      </c>
      <c r="B143" s="1" t="s">
        <v>88</v>
      </c>
      <c r="C143" s="1" t="s">
        <v>11</v>
      </c>
      <c r="D143" s="5">
        <v>45742.0</v>
      </c>
      <c r="E143" s="1">
        <v>22.0</v>
      </c>
      <c r="F143" s="1">
        <v>16.0</v>
      </c>
      <c r="G143" s="1">
        <f>VLOOKUP(B143,'old-aw-skill-plan'!A:I,7,FALSE)</f>
        <v>5</v>
      </c>
      <c r="H143" s="1" t="str">
        <f>VLOOKUP(B143,'old-aw-skill-plan'!A:I,9,FALSE)</f>
        <v>5-5</v>
      </c>
    </row>
    <row r="144" ht="15.75" customHeight="1">
      <c r="A144" s="1" t="s">
        <v>90</v>
      </c>
      <c r="B144" s="1" t="s">
        <v>91</v>
      </c>
      <c r="C144" s="1" t="s">
        <v>11</v>
      </c>
      <c r="D144" s="5">
        <v>45742.0</v>
      </c>
      <c r="E144" s="1">
        <v>4.0</v>
      </c>
      <c r="F144" s="1">
        <v>2.0</v>
      </c>
      <c r="G144" s="1">
        <f>VLOOKUP(B144,'old-aw-skill-plan'!A:I,7,FALSE)</f>
        <v>6</v>
      </c>
      <c r="H144" s="1" t="str">
        <f>VLOOKUP(B144,'old-aw-skill-plan'!A:I,9,FALSE)</f>
        <v>6-1</v>
      </c>
    </row>
    <row r="145" ht="15.75" customHeight="1">
      <c r="A145" s="1" t="s">
        <v>93</v>
      </c>
      <c r="B145" s="1" t="s">
        <v>44</v>
      </c>
      <c r="C145" s="1" t="s">
        <v>11</v>
      </c>
      <c r="D145" s="5">
        <v>45742.0</v>
      </c>
      <c r="E145" s="1">
        <v>4.0</v>
      </c>
      <c r="F145" s="1">
        <v>4.0</v>
      </c>
      <c r="G145" s="1">
        <f>VLOOKUP(B145,'old-aw-skill-plan'!A:I,7,FALSE)</f>
        <v>5</v>
      </c>
      <c r="H145" s="1" t="str">
        <f>VLOOKUP(B145,'old-aw-skill-plan'!A:I,9,FALSE)</f>
        <v>5-1</v>
      </c>
    </row>
    <row r="146" ht="15.75" customHeight="1">
      <c r="A146" s="1" t="s">
        <v>94</v>
      </c>
      <c r="B146" s="1" t="s">
        <v>44</v>
      </c>
      <c r="C146" s="1" t="s">
        <v>11</v>
      </c>
      <c r="D146" s="5">
        <v>45742.0</v>
      </c>
      <c r="E146" s="1">
        <v>29.0</v>
      </c>
      <c r="F146" s="1">
        <v>19.0</v>
      </c>
      <c r="G146" s="1">
        <f>VLOOKUP(B146,'old-aw-skill-plan'!A:I,7,FALSE)</f>
        <v>5</v>
      </c>
      <c r="H146" s="1" t="str">
        <f>VLOOKUP(B146,'old-aw-skill-plan'!A:I,9,FALSE)</f>
        <v>5-1</v>
      </c>
    </row>
    <row r="147" ht="15.75" customHeight="1">
      <c r="A147" s="1" t="s">
        <v>96</v>
      </c>
      <c r="B147" s="1" t="s">
        <v>10</v>
      </c>
      <c r="C147" s="1" t="s">
        <v>11</v>
      </c>
      <c r="D147" s="5">
        <v>45742.0</v>
      </c>
      <c r="E147" s="1">
        <v>33.0</v>
      </c>
      <c r="F147" s="1">
        <v>23.0</v>
      </c>
      <c r="G147" s="1">
        <f>VLOOKUP(B147,'old-aw-skill-plan'!A:I,7,FALSE)</f>
        <v>3</v>
      </c>
      <c r="H147" s="1" t="str">
        <f>VLOOKUP(B147,'old-aw-skill-plan'!A:I,9,FALSE)</f>
        <v>3-1</v>
      </c>
    </row>
    <row r="148" ht="15.75" customHeight="1">
      <c r="A148" s="1" t="s">
        <v>31</v>
      </c>
      <c r="B148" s="1" t="s">
        <v>37</v>
      </c>
      <c r="C148" s="1" t="s">
        <v>11</v>
      </c>
      <c r="D148" s="5">
        <v>45741.0</v>
      </c>
      <c r="E148" s="1">
        <v>22.0</v>
      </c>
      <c r="F148" s="1">
        <v>16.0</v>
      </c>
      <c r="G148" s="1">
        <f>VLOOKUP(B148,'old-aw-skill-plan'!A:I,7,FALSE)</f>
        <v>4</v>
      </c>
      <c r="H148" s="1" t="str">
        <f>VLOOKUP(B148,'old-aw-skill-plan'!A:I,9,FALSE)</f>
        <v>4-2</v>
      </c>
    </row>
    <row r="149" ht="15.75" customHeight="1">
      <c r="A149" s="1" t="s">
        <v>18</v>
      </c>
      <c r="B149" s="1" t="s">
        <v>61</v>
      </c>
      <c r="C149" s="1" t="s">
        <v>11</v>
      </c>
      <c r="D149" s="5">
        <v>45741.0</v>
      </c>
      <c r="E149" s="1">
        <v>4.0</v>
      </c>
      <c r="F149" s="1">
        <v>0.0</v>
      </c>
      <c r="G149" s="1">
        <f>VLOOKUP(B149,'old-aw-skill-plan'!A:I,7,FALSE)</f>
        <v>4</v>
      </c>
      <c r="H149" s="1" t="str">
        <f>VLOOKUP(B149,'old-aw-skill-plan'!A:I,9,FALSE)</f>
        <v>4-4</v>
      </c>
    </row>
    <row r="150" ht="15.75" customHeight="1">
      <c r="A150" s="1" t="s">
        <v>18</v>
      </c>
      <c r="B150" s="1" t="s">
        <v>97</v>
      </c>
      <c r="C150" s="1" t="s">
        <v>11</v>
      </c>
      <c r="D150" s="5">
        <v>45741.0</v>
      </c>
      <c r="E150" s="1">
        <v>2.0</v>
      </c>
      <c r="F150" s="1">
        <v>2.0</v>
      </c>
      <c r="G150" s="1">
        <f>VLOOKUP(B150,'old-aw-skill-plan'!A:I,7,FALSE)</f>
        <v>4</v>
      </c>
      <c r="H150" s="1" t="str">
        <f>VLOOKUP(B150,'old-aw-skill-plan'!A:I,9,FALSE)</f>
        <v>4-3</v>
      </c>
    </row>
    <row r="151" ht="15.75" customHeight="1">
      <c r="A151" s="1" t="s">
        <v>18</v>
      </c>
      <c r="B151" s="1" t="s">
        <v>21</v>
      </c>
      <c r="C151" s="1" t="s">
        <v>11</v>
      </c>
      <c r="D151" s="5">
        <v>45741.0</v>
      </c>
      <c r="E151" s="1">
        <v>13.0</v>
      </c>
      <c r="F151" s="1">
        <v>11.0</v>
      </c>
      <c r="G151" s="1">
        <f>VLOOKUP(B151,'old-aw-skill-plan'!A:I,7,FALSE)</f>
        <v>4</v>
      </c>
      <c r="H151" s="1" t="str">
        <f>VLOOKUP(B151,'old-aw-skill-plan'!A:I,9,FALSE)</f>
        <v>4-6</v>
      </c>
    </row>
    <row r="152" ht="15.75" customHeight="1">
      <c r="A152" s="1" t="s">
        <v>20</v>
      </c>
      <c r="B152" s="1" t="s">
        <v>61</v>
      </c>
      <c r="C152" s="1" t="s">
        <v>11</v>
      </c>
      <c r="D152" s="5">
        <v>45741.0</v>
      </c>
      <c r="E152" s="1">
        <v>20.0</v>
      </c>
      <c r="F152" s="1">
        <v>14.0</v>
      </c>
      <c r="G152" s="1">
        <f>VLOOKUP(B152,'old-aw-skill-plan'!A:I,7,FALSE)</f>
        <v>4</v>
      </c>
      <c r="H152" s="1" t="str">
        <f>VLOOKUP(B152,'old-aw-skill-plan'!A:I,9,FALSE)</f>
        <v>4-4</v>
      </c>
    </row>
    <row r="153" ht="15.75" customHeight="1">
      <c r="A153" s="1" t="s">
        <v>20</v>
      </c>
      <c r="B153" s="1" t="s">
        <v>99</v>
      </c>
      <c r="C153" s="1" t="s">
        <v>11</v>
      </c>
      <c r="D153" s="5">
        <v>45741.0</v>
      </c>
      <c r="E153" s="1">
        <v>18.0</v>
      </c>
      <c r="F153" s="1">
        <v>10.0</v>
      </c>
      <c r="G153" s="1" t="str">
        <f>VLOOKUP(B153,'old-aw-skill-plan'!A:I,7,FALSE)</f>
        <v>#N/A</v>
      </c>
      <c r="H153" s="1" t="str">
        <f>VLOOKUP(B153,'old-aw-skill-plan'!A:I,9,FALSE)</f>
        <v>#N/A</v>
      </c>
    </row>
    <row r="154" ht="15.75" customHeight="1">
      <c r="A154" s="1" t="s">
        <v>41</v>
      </c>
      <c r="B154" s="1" t="s">
        <v>34</v>
      </c>
      <c r="C154" s="1" t="s">
        <v>11</v>
      </c>
      <c r="D154" s="5">
        <v>45741.0</v>
      </c>
      <c r="E154" s="1">
        <v>25.0</v>
      </c>
      <c r="F154" s="1">
        <v>15.0</v>
      </c>
      <c r="G154" s="1">
        <f>VLOOKUP(B154,'old-aw-skill-plan'!A:I,7,FALSE)</f>
        <v>4</v>
      </c>
      <c r="H154" s="1" t="str">
        <f>VLOOKUP(B154,'old-aw-skill-plan'!A:I,9,FALSE)</f>
        <v>4-1</v>
      </c>
    </row>
    <row r="155" ht="15.75" customHeight="1">
      <c r="A155" s="1" t="s">
        <v>43</v>
      </c>
      <c r="B155" s="1" t="s">
        <v>25</v>
      </c>
      <c r="C155" s="1" t="s">
        <v>11</v>
      </c>
      <c r="D155" s="5">
        <v>45741.0</v>
      </c>
      <c r="E155" s="1">
        <v>8.0</v>
      </c>
      <c r="F155" s="1">
        <v>2.0</v>
      </c>
      <c r="G155" s="1">
        <f>VLOOKUP(B155,'old-aw-skill-plan'!A:I,7,FALSE)</f>
        <v>5</v>
      </c>
      <c r="H155" s="1" t="str">
        <f>VLOOKUP(B155,'old-aw-skill-plan'!A:I,9,FALSE)</f>
        <v>5-4</v>
      </c>
    </row>
    <row r="156" ht="15.75" customHeight="1">
      <c r="A156" s="1" t="s">
        <v>43</v>
      </c>
      <c r="B156" s="1" t="s">
        <v>44</v>
      </c>
      <c r="C156" s="1" t="s">
        <v>11</v>
      </c>
      <c r="D156" s="5">
        <v>45741.0</v>
      </c>
      <c r="E156" s="1">
        <v>20.0</v>
      </c>
      <c r="F156" s="1">
        <v>12.0</v>
      </c>
      <c r="G156" s="1">
        <f>VLOOKUP(B156,'old-aw-skill-plan'!A:I,7,FALSE)</f>
        <v>5</v>
      </c>
      <c r="H156" s="1" t="str">
        <f>VLOOKUP(B156,'old-aw-skill-plan'!A:I,9,FALSE)</f>
        <v>5-1</v>
      </c>
    </row>
    <row r="157" ht="15.75" customHeight="1">
      <c r="A157" s="1" t="s">
        <v>43</v>
      </c>
      <c r="B157" s="1" t="s">
        <v>103</v>
      </c>
      <c r="C157" s="1" t="s">
        <v>11</v>
      </c>
      <c r="D157" s="5">
        <v>45741.0</v>
      </c>
      <c r="E157" s="1">
        <v>22.0</v>
      </c>
      <c r="F157" s="1">
        <v>18.0</v>
      </c>
      <c r="G157" s="1">
        <f>VLOOKUP(B157,'old-aw-skill-plan'!A:I,7,FALSE)</f>
        <v>5</v>
      </c>
      <c r="H157" s="1" t="str">
        <f>VLOOKUP(B157,'old-aw-skill-plan'!A:I,9,FALSE)</f>
        <v>5-3</v>
      </c>
    </row>
    <row r="158" ht="15.75" customHeight="1">
      <c r="A158" s="1" t="s">
        <v>43</v>
      </c>
      <c r="B158" s="1" t="s">
        <v>104</v>
      </c>
      <c r="C158" s="1" t="s">
        <v>11</v>
      </c>
      <c r="D158" s="5">
        <v>45741.0</v>
      </c>
      <c r="E158" s="1">
        <v>14.0</v>
      </c>
      <c r="F158" s="1">
        <v>14.0</v>
      </c>
      <c r="G158" s="1">
        <f>VLOOKUP(B158,'old-aw-skill-plan'!A:I,7,FALSE)</f>
        <v>5</v>
      </c>
      <c r="H158" s="1" t="str">
        <f>VLOOKUP(B158,'old-aw-skill-plan'!A:I,9,FALSE)</f>
        <v>5-2</v>
      </c>
    </row>
    <row r="159" ht="15.75" customHeight="1">
      <c r="A159" s="1" t="s">
        <v>45</v>
      </c>
      <c r="B159" s="1" t="s">
        <v>106</v>
      </c>
      <c r="C159" s="1" t="s">
        <v>11</v>
      </c>
      <c r="D159" s="5">
        <v>45741.0</v>
      </c>
      <c r="E159" s="1">
        <v>44.0</v>
      </c>
      <c r="F159" s="1">
        <v>32.0</v>
      </c>
      <c r="G159" s="1" t="str">
        <f>VLOOKUP(B159,'old-aw-skill-plan'!A:I,7,FALSE)</f>
        <v>#N/A</v>
      </c>
      <c r="H159" s="1" t="str">
        <f>VLOOKUP(B159,'old-aw-skill-plan'!A:I,9,FALSE)</f>
        <v>#N/A</v>
      </c>
    </row>
    <row r="160" ht="15.75" customHeight="1">
      <c r="A160" s="1" t="s">
        <v>24</v>
      </c>
      <c r="B160" s="1" t="s">
        <v>103</v>
      </c>
      <c r="C160" s="1" t="s">
        <v>11</v>
      </c>
      <c r="D160" s="5">
        <v>45741.0</v>
      </c>
      <c r="E160" s="1">
        <v>2.0</v>
      </c>
      <c r="F160" s="1">
        <v>2.0</v>
      </c>
      <c r="G160" s="1">
        <f>VLOOKUP(B160,'old-aw-skill-plan'!A:I,7,FALSE)</f>
        <v>5</v>
      </c>
      <c r="H160" s="1" t="str">
        <f>VLOOKUP(B160,'old-aw-skill-plan'!A:I,9,FALSE)</f>
        <v>5-3</v>
      </c>
    </row>
    <row r="161" ht="15.75" customHeight="1">
      <c r="A161" s="1" t="s">
        <v>24</v>
      </c>
      <c r="B161" s="1" t="s">
        <v>104</v>
      </c>
      <c r="C161" s="1" t="s">
        <v>11</v>
      </c>
      <c r="D161" s="5">
        <v>45741.0</v>
      </c>
      <c r="E161" s="1">
        <v>8.0</v>
      </c>
      <c r="F161" s="1">
        <v>6.0</v>
      </c>
      <c r="G161" s="1">
        <f>VLOOKUP(B161,'old-aw-skill-plan'!A:I,7,FALSE)</f>
        <v>5</v>
      </c>
      <c r="H161" s="1" t="str">
        <f>VLOOKUP(B161,'old-aw-skill-plan'!A:I,9,FALSE)</f>
        <v>5-2</v>
      </c>
    </row>
    <row r="162" ht="15.75" customHeight="1">
      <c r="A162" s="1" t="s">
        <v>24</v>
      </c>
      <c r="B162" s="1" t="s">
        <v>87</v>
      </c>
      <c r="C162" s="1" t="s">
        <v>11</v>
      </c>
      <c r="D162" s="5">
        <v>45741.0</v>
      </c>
      <c r="E162" s="1">
        <v>3.0</v>
      </c>
      <c r="F162" s="1">
        <v>3.0</v>
      </c>
      <c r="G162" s="1">
        <f>VLOOKUP(B162,'old-aw-skill-plan'!A:I,7,FALSE)</f>
        <v>5</v>
      </c>
      <c r="H162" s="1" t="str">
        <f>VLOOKUP(B162,'old-aw-skill-plan'!A:I,9,FALSE)</f>
        <v>5-6</v>
      </c>
    </row>
    <row r="163" ht="15.75" customHeight="1">
      <c r="A163" s="1" t="s">
        <v>27</v>
      </c>
      <c r="B163" s="1" t="s">
        <v>47</v>
      </c>
      <c r="C163" s="1" t="s">
        <v>11</v>
      </c>
      <c r="D163" s="5">
        <v>45741.0</v>
      </c>
      <c r="E163" s="1">
        <v>15.0</v>
      </c>
      <c r="F163" s="1">
        <v>15.0</v>
      </c>
      <c r="G163" s="1">
        <f>VLOOKUP(B163,'old-aw-skill-plan'!A:I,7,FALSE)</f>
        <v>3</v>
      </c>
      <c r="H163" s="1" t="str">
        <f>VLOOKUP(B163,'old-aw-skill-plan'!A:I,9,FALSE)</f>
        <v>3-2</v>
      </c>
    </row>
    <row r="164" ht="15.75" customHeight="1">
      <c r="A164" s="1" t="s">
        <v>49</v>
      </c>
      <c r="B164" s="1" t="s">
        <v>37</v>
      </c>
      <c r="C164" s="1" t="s">
        <v>11</v>
      </c>
      <c r="D164" s="5">
        <v>45741.0</v>
      </c>
      <c r="E164" s="1">
        <v>4.0</v>
      </c>
      <c r="F164" s="1">
        <v>2.0</v>
      </c>
      <c r="G164" s="1">
        <f>VLOOKUP(B164,'old-aw-skill-plan'!A:I,7,FALSE)</f>
        <v>4</v>
      </c>
      <c r="H164" s="1" t="str">
        <f>VLOOKUP(B164,'old-aw-skill-plan'!A:I,9,FALSE)</f>
        <v>4-2</v>
      </c>
    </row>
    <row r="165" ht="15.75" customHeight="1">
      <c r="A165" s="1" t="s">
        <v>52</v>
      </c>
      <c r="B165" s="1" t="s">
        <v>10</v>
      </c>
      <c r="C165" s="1" t="s">
        <v>11</v>
      </c>
      <c r="D165" s="5">
        <v>45741.0</v>
      </c>
      <c r="E165" s="1">
        <v>6.0</v>
      </c>
      <c r="F165" s="1">
        <v>6.0</v>
      </c>
      <c r="G165" s="1">
        <f>VLOOKUP(B165,'old-aw-skill-plan'!A:I,7,FALSE)</f>
        <v>3</v>
      </c>
      <c r="H165" s="1" t="str">
        <f>VLOOKUP(B165,'old-aw-skill-plan'!A:I,9,FALSE)</f>
        <v>3-1</v>
      </c>
    </row>
    <row r="166" ht="15.75" customHeight="1">
      <c r="A166" s="1" t="s">
        <v>32</v>
      </c>
      <c r="B166" s="1" t="s">
        <v>28</v>
      </c>
      <c r="C166" s="1" t="s">
        <v>11</v>
      </c>
      <c r="D166" s="5">
        <v>45741.0</v>
      </c>
      <c r="E166" s="1">
        <v>2.0</v>
      </c>
      <c r="F166" s="1">
        <v>0.0</v>
      </c>
      <c r="G166" s="1">
        <f>VLOOKUP(B166,'old-aw-skill-plan'!A:I,7,FALSE)</f>
        <v>3</v>
      </c>
      <c r="H166" s="1" t="str">
        <f>VLOOKUP(B166,'old-aw-skill-plan'!A:I,9,FALSE)</f>
        <v>3-4</v>
      </c>
    </row>
    <row r="167" ht="15.75" customHeight="1">
      <c r="A167" s="1" t="s">
        <v>32</v>
      </c>
      <c r="B167" s="1" t="s">
        <v>30</v>
      </c>
      <c r="C167" s="1" t="s">
        <v>11</v>
      </c>
      <c r="D167" s="5">
        <v>45741.0</v>
      </c>
      <c r="E167" s="1">
        <v>57.0</v>
      </c>
      <c r="F167" s="1">
        <v>34.0</v>
      </c>
      <c r="G167" s="1">
        <f>VLOOKUP(B167,'old-aw-skill-plan'!A:I,7,FALSE)</f>
        <v>3</v>
      </c>
      <c r="H167" s="1" t="str">
        <f>VLOOKUP(B167,'old-aw-skill-plan'!A:I,9,FALSE)</f>
        <v>3-3</v>
      </c>
    </row>
    <row r="168" ht="15.75" customHeight="1">
      <c r="A168" s="1" t="s">
        <v>59</v>
      </c>
      <c r="B168" s="1" t="s">
        <v>47</v>
      </c>
      <c r="C168" s="1" t="s">
        <v>11</v>
      </c>
      <c r="D168" s="5">
        <v>45741.0</v>
      </c>
      <c r="E168" s="1">
        <v>16.0</v>
      </c>
      <c r="F168" s="1">
        <v>16.0</v>
      </c>
      <c r="G168" s="1">
        <f>VLOOKUP(B168,'old-aw-skill-plan'!A:I,7,FALSE)</f>
        <v>3</v>
      </c>
      <c r="H168" s="1" t="str">
        <f>VLOOKUP(B168,'old-aw-skill-plan'!A:I,9,FALSE)</f>
        <v>3-2</v>
      </c>
    </row>
    <row r="169" ht="15.75" customHeight="1">
      <c r="A169" s="1" t="s">
        <v>36</v>
      </c>
      <c r="B169" s="1" t="s">
        <v>34</v>
      </c>
      <c r="C169" s="1" t="s">
        <v>11</v>
      </c>
      <c r="D169" s="5">
        <v>45741.0</v>
      </c>
      <c r="E169" s="1">
        <v>84.0</v>
      </c>
      <c r="F169" s="1">
        <v>58.0</v>
      </c>
      <c r="G169" s="1">
        <f>VLOOKUP(B169,'old-aw-skill-plan'!A:I,7,FALSE)</f>
        <v>4</v>
      </c>
      <c r="H169" s="1" t="str">
        <f>VLOOKUP(B169,'old-aw-skill-plan'!A:I,9,FALSE)</f>
        <v>4-1</v>
      </c>
    </row>
    <row r="170" ht="15.75" customHeight="1">
      <c r="A170" s="1" t="s">
        <v>62</v>
      </c>
      <c r="B170" s="1" t="s">
        <v>10</v>
      </c>
      <c r="C170" s="1" t="s">
        <v>11</v>
      </c>
      <c r="D170" s="5">
        <v>45741.0</v>
      </c>
      <c r="E170" s="1">
        <v>2.0</v>
      </c>
      <c r="F170" s="1">
        <v>2.0</v>
      </c>
      <c r="G170" s="1">
        <f>VLOOKUP(B170,'old-aw-skill-plan'!A:I,7,FALSE)</f>
        <v>3</v>
      </c>
      <c r="H170" s="1" t="str">
        <f>VLOOKUP(B170,'old-aw-skill-plan'!A:I,9,FALSE)</f>
        <v>3-1</v>
      </c>
    </row>
    <row r="171" ht="15.75" customHeight="1">
      <c r="A171" s="1" t="s">
        <v>62</v>
      </c>
      <c r="B171" s="1" t="s">
        <v>47</v>
      </c>
      <c r="C171" s="1" t="s">
        <v>11</v>
      </c>
      <c r="D171" s="5">
        <v>45741.0</v>
      </c>
      <c r="E171" s="1">
        <v>2.0</v>
      </c>
      <c r="F171" s="1">
        <v>2.0</v>
      </c>
      <c r="G171" s="1">
        <f>VLOOKUP(B171,'old-aw-skill-plan'!A:I,7,FALSE)</f>
        <v>3</v>
      </c>
      <c r="H171" s="1" t="str">
        <f>VLOOKUP(B171,'old-aw-skill-plan'!A:I,9,FALSE)</f>
        <v>3-2</v>
      </c>
    </row>
    <row r="172" ht="15.75" customHeight="1">
      <c r="A172" s="1" t="s">
        <v>62</v>
      </c>
      <c r="B172" s="1" t="s">
        <v>111</v>
      </c>
      <c r="C172" s="1" t="s">
        <v>11</v>
      </c>
      <c r="D172" s="5">
        <v>45741.0</v>
      </c>
      <c r="E172" s="1">
        <v>2.0</v>
      </c>
      <c r="F172" s="1">
        <v>2.0</v>
      </c>
      <c r="G172" s="1" t="str">
        <f>VLOOKUP(B172,'old-aw-skill-plan'!A:I,7,FALSE)</f>
        <v>#N/A</v>
      </c>
      <c r="H172" s="1" t="str">
        <f>VLOOKUP(B172,'old-aw-skill-plan'!A:I,9,FALSE)</f>
        <v>#N/A</v>
      </c>
    </row>
    <row r="173" ht="15.75" customHeight="1">
      <c r="A173" s="1" t="s">
        <v>62</v>
      </c>
      <c r="B173" s="1" t="s">
        <v>25</v>
      </c>
      <c r="C173" s="1" t="s">
        <v>11</v>
      </c>
      <c r="D173" s="5">
        <v>45741.0</v>
      </c>
      <c r="E173" s="1">
        <v>24.0</v>
      </c>
      <c r="F173" s="1">
        <v>22.0</v>
      </c>
      <c r="G173" s="1">
        <f>VLOOKUP(B173,'old-aw-skill-plan'!A:I,7,FALSE)</f>
        <v>5</v>
      </c>
      <c r="H173" s="1" t="str">
        <f>VLOOKUP(B173,'old-aw-skill-plan'!A:I,9,FALSE)</f>
        <v>5-4</v>
      </c>
    </row>
    <row r="174" ht="15.75" customHeight="1">
      <c r="A174" s="1" t="s">
        <v>62</v>
      </c>
      <c r="B174" s="1" t="s">
        <v>103</v>
      </c>
      <c r="C174" s="1" t="s">
        <v>11</v>
      </c>
      <c r="D174" s="5">
        <v>45741.0</v>
      </c>
      <c r="E174" s="1">
        <v>16.0</v>
      </c>
      <c r="F174" s="1">
        <v>14.0</v>
      </c>
      <c r="G174" s="1">
        <f>VLOOKUP(B174,'old-aw-skill-plan'!A:I,7,FALSE)</f>
        <v>5</v>
      </c>
      <c r="H174" s="1" t="str">
        <f>VLOOKUP(B174,'old-aw-skill-plan'!A:I,9,FALSE)</f>
        <v>5-3</v>
      </c>
    </row>
    <row r="175" ht="15.75" customHeight="1">
      <c r="A175" s="1" t="s">
        <v>39</v>
      </c>
      <c r="B175" s="1" t="s">
        <v>40</v>
      </c>
      <c r="C175" s="1" t="s">
        <v>11</v>
      </c>
      <c r="D175" s="5">
        <v>45741.0</v>
      </c>
      <c r="E175" s="1">
        <v>6.0</v>
      </c>
      <c r="F175" s="1">
        <v>6.0</v>
      </c>
      <c r="G175" s="1">
        <f>VLOOKUP(B175,'old-aw-skill-plan'!A:I,7,FALSE)</f>
        <v>4</v>
      </c>
      <c r="H175" s="1" t="str">
        <f>VLOOKUP(B175,'old-aw-skill-plan'!A:I,9,FALSE)</f>
        <v>4-10</v>
      </c>
    </row>
    <row r="176" ht="15.75" customHeight="1">
      <c r="A176" s="1" t="s">
        <v>39</v>
      </c>
      <c r="B176" s="1" t="s">
        <v>66</v>
      </c>
      <c r="C176" s="1" t="s">
        <v>11</v>
      </c>
      <c r="D176" s="5">
        <v>45741.0</v>
      </c>
      <c r="E176" s="1">
        <v>16.0</v>
      </c>
      <c r="F176" s="1">
        <v>14.0</v>
      </c>
      <c r="G176" s="1">
        <f>VLOOKUP(B176,'old-aw-skill-plan'!A:I,7,FALSE)</f>
        <v>4</v>
      </c>
      <c r="H176" s="1" t="str">
        <f>VLOOKUP(B176,'old-aw-skill-plan'!A:I,9,FALSE)</f>
        <v>4-9</v>
      </c>
    </row>
    <row r="177" ht="15.75" customHeight="1">
      <c r="A177" s="1" t="s">
        <v>39</v>
      </c>
      <c r="B177" s="1" t="s">
        <v>99</v>
      </c>
      <c r="C177" s="1" t="s">
        <v>11</v>
      </c>
      <c r="D177" s="5">
        <v>45741.0</v>
      </c>
      <c r="E177" s="1">
        <v>43.0</v>
      </c>
      <c r="F177" s="1">
        <v>30.0</v>
      </c>
      <c r="G177" s="1" t="str">
        <f>VLOOKUP(B177,'old-aw-skill-plan'!A:I,7,FALSE)</f>
        <v>#N/A</v>
      </c>
      <c r="H177" s="1" t="str">
        <f>VLOOKUP(B177,'old-aw-skill-plan'!A:I,9,FALSE)</f>
        <v>#N/A</v>
      </c>
    </row>
    <row r="178" ht="15.75" customHeight="1">
      <c r="A178" s="1" t="s">
        <v>46</v>
      </c>
      <c r="B178" s="1" t="s">
        <v>30</v>
      </c>
      <c r="C178" s="1" t="s">
        <v>11</v>
      </c>
      <c r="D178" s="5">
        <v>45741.0</v>
      </c>
      <c r="E178" s="1">
        <v>28.0</v>
      </c>
      <c r="F178" s="1">
        <v>18.0</v>
      </c>
      <c r="G178" s="1">
        <f>VLOOKUP(B178,'old-aw-skill-plan'!A:I,7,FALSE)</f>
        <v>3</v>
      </c>
      <c r="H178" s="1" t="str">
        <f>VLOOKUP(B178,'old-aw-skill-plan'!A:I,9,FALSE)</f>
        <v>3-3</v>
      </c>
    </row>
    <row r="179" ht="15.75" customHeight="1">
      <c r="A179" s="1" t="s">
        <v>46</v>
      </c>
      <c r="B179" s="1" t="s">
        <v>58</v>
      </c>
      <c r="C179" s="1" t="s">
        <v>11</v>
      </c>
      <c r="D179" s="5">
        <v>45741.0</v>
      </c>
      <c r="E179" s="1">
        <v>8.0</v>
      </c>
      <c r="F179" s="1">
        <v>0.0</v>
      </c>
      <c r="G179" s="1">
        <f>VLOOKUP(B179,'old-aw-skill-plan'!A:I,7,FALSE)</f>
        <v>3</v>
      </c>
      <c r="H179" s="1" t="str">
        <f>VLOOKUP(B179,'old-aw-skill-plan'!A:I,9,FALSE)</f>
        <v>3-8</v>
      </c>
    </row>
    <row r="180" ht="15.75" customHeight="1">
      <c r="A180" s="1" t="s">
        <v>46</v>
      </c>
      <c r="B180" s="1" t="s">
        <v>34</v>
      </c>
      <c r="C180" s="1" t="s">
        <v>11</v>
      </c>
      <c r="D180" s="5">
        <v>45741.0</v>
      </c>
      <c r="E180" s="1">
        <v>4.0</v>
      </c>
      <c r="F180" s="1">
        <v>2.0</v>
      </c>
      <c r="G180" s="1">
        <f>VLOOKUP(B180,'old-aw-skill-plan'!A:I,7,FALSE)</f>
        <v>4</v>
      </c>
      <c r="H180" s="1" t="str">
        <f>VLOOKUP(B180,'old-aw-skill-plan'!A:I,9,FALSE)</f>
        <v>4-1</v>
      </c>
    </row>
    <row r="181" ht="15.75" customHeight="1">
      <c r="A181" s="1" t="s">
        <v>53</v>
      </c>
      <c r="B181" s="1" t="s">
        <v>28</v>
      </c>
      <c r="C181" s="1" t="s">
        <v>11</v>
      </c>
      <c r="D181" s="5">
        <v>45741.0</v>
      </c>
      <c r="E181" s="1">
        <v>24.0</v>
      </c>
      <c r="F181" s="1">
        <v>18.0</v>
      </c>
      <c r="G181" s="1">
        <f>VLOOKUP(B181,'old-aw-skill-plan'!A:I,7,FALSE)</f>
        <v>3</v>
      </c>
      <c r="H181" s="1" t="str">
        <f>VLOOKUP(B181,'old-aw-skill-plan'!A:I,9,FALSE)</f>
        <v>3-4</v>
      </c>
    </row>
    <row r="182" ht="15.75" customHeight="1">
      <c r="A182" s="1" t="s">
        <v>53</v>
      </c>
      <c r="B182" s="1" t="s">
        <v>111</v>
      </c>
      <c r="C182" s="1" t="s">
        <v>11</v>
      </c>
      <c r="D182" s="5">
        <v>45741.0</v>
      </c>
      <c r="E182" s="1">
        <v>16.0</v>
      </c>
      <c r="F182" s="1">
        <v>12.0</v>
      </c>
      <c r="G182" s="1" t="str">
        <f>VLOOKUP(B182,'old-aw-skill-plan'!A:I,7,FALSE)</f>
        <v>#N/A</v>
      </c>
      <c r="H182" s="1" t="str">
        <f>VLOOKUP(B182,'old-aw-skill-plan'!A:I,9,FALSE)</f>
        <v>#N/A</v>
      </c>
    </row>
    <row r="183" ht="15.75" customHeight="1">
      <c r="A183" s="1" t="s">
        <v>76</v>
      </c>
      <c r="B183" s="1" t="s">
        <v>34</v>
      </c>
      <c r="C183" s="1" t="s">
        <v>11</v>
      </c>
      <c r="D183" s="5">
        <v>45741.0</v>
      </c>
      <c r="E183" s="1">
        <v>28.0</v>
      </c>
      <c r="F183" s="1">
        <v>14.0</v>
      </c>
      <c r="G183" s="1">
        <f>VLOOKUP(B183,'old-aw-skill-plan'!A:I,7,FALSE)</f>
        <v>4</v>
      </c>
      <c r="H183" s="1" t="str">
        <f>VLOOKUP(B183,'old-aw-skill-plan'!A:I,9,FALSE)</f>
        <v>4-1</v>
      </c>
    </row>
    <row r="184" ht="15.75" customHeight="1">
      <c r="A184" s="1" t="s">
        <v>56</v>
      </c>
      <c r="B184" s="1" t="s">
        <v>48</v>
      </c>
      <c r="C184" s="1" t="s">
        <v>11</v>
      </c>
      <c r="D184" s="5">
        <v>45741.0</v>
      </c>
      <c r="E184" s="1">
        <v>18.0</v>
      </c>
      <c r="F184" s="1">
        <v>14.0</v>
      </c>
      <c r="G184" s="1">
        <f>VLOOKUP(B184,'old-aw-skill-plan'!A:I,7,FALSE)</f>
        <v>3</v>
      </c>
      <c r="H184" s="1" t="str">
        <f>VLOOKUP(B184,'old-aw-skill-plan'!A:I,9,FALSE)</f>
        <v>3-6</v>
      </c>
    </row>
    <row r="185" ht="15.75" customHeight="1">
      <c r="A185" s="1" t="s">
        <v>56</v>
      </c>
      <c r="B185" s="1" t="s">
        <v>34</v>
      </c>
      <c r="C185" s="1" t="s">
        <v>11</v>
      </c>
      <c r="D185" s="5">
        <v>45741.0</v>
      </c>
      <c r="E185" s="1">
        <v>13.0</v>
      </c>
      <c r="F185" s="1">
        <v>9.0</v>
      </c>
      <c r="G185" s="1">
        <f>VLOOKUP(B185,'old-aw-skill-plan'!A:I,7,FALSE)</f>
        <v>4</v>
      </c>
      <c r="H185" s="1" t="str">
        <f>VLOOKUP(B185,'old-aw-skill-plan'!A:I,9,FALSE)</f>
        <v>4-1</v>
      </c>
    </row>
    <row r="186" ht="15.75" customHeight="1">
      <c r="A186" s="1" t="s">
        <v>56</v>
      </c>
      <c r="B186" s="1" t="s">
        <v>97</v>
      </c>
      <c r="C186" s="1" t="s">
        <v>11</v>
      </c>
      <c r="D186" s="5">
        <v>45741.0</v>
      </c>
      <c r="E186" s="1">
        <v>4.0</v>
      </c>
      <c r="F186" s="1">
        <v>4.0</v>
      </c>
      <c r="G186" s="1">
        <f>VLOOKUP(B186,'old-aw-skill-plan'!A:I,7,FALSE)</f>
        <v>4</v>
      </c>
      <c r="H186" s="1" t="str">
        <f>VLOOKUP(B186,'old-aw-skill-plan'!A:I,9,FALSE)</f>
        <v>4-3</v>
      </c>
    </row>
    <row r="187" ht="15.75" customHeight="1">
      <c r="A187" s="1" t="s">
        <v>81</v>
      </c>
      <c r="B187" s="1" t="s">
        <v>79</v>
      </c>
      <c r="C187" s="1" t="s">
        <v>11</v>
      </c>
      <c r="D187" s="5">
        <v>45741.0</v>
      </c>
      <c r="E187" s="1">
        <v>2.0</v>
      </c>
      <c r="F187" s="1">
        <v>2.0</v>
      </c>
      <c r="G187" s="1">
        <f>VLOOKUP(B187,'old-aw-skill-plan'!A:I,7,FALSE)</f>
        <v>4</v>
      </c>
      <c r="H187" s="1" t="str">
        <f>VLOOKUP(B187,'old-aw-skill-plan'!A:I,9,FALSE)</f>
        <v>4-8</v>
      </c>
    </row>
    <row r="188" ht="15.75" customHeight="1">
      <c r="A188" s="1" t="s">
        <v>81</v>
      </c>
      <c r="B188" s="1" t="s">
        <v>132</v>
      </c>
      <c r="C188" s="1" t="s">
        <v>11</v>
      </c>
      <c r="D188" s="5">
        <v>45733.0</v>
      </c>
      <c r="E188" s="1">
        <v>2.0</v>
      </c>
      <c r="F188" s="1">
        <v>0.0</v>
      </c>
      <c r="G188" s="1" t="str">
        <f>VLOOKUP(B188,'old-aw-skill-plan'!A:I,7,FALSE)</f>
        <v>#N/A</v>
      </c>
      <c r="H188" s="1" t="str">
        <f>VLOOKUP(B188,'old-aw-skill-plan'!A:I,9,FALSE)</f>
        <v>#N/A</v>
      </c>
    </row>
    <row r="189" ht="15.75" customHeight="1">
      <c r="A189" s="1" t="s">
        <v>60</v>
      </c>
      <c r="B189" s="1" t="s">
        <v>61</v>
      </c>
      <c r="C189" s="1" t="s">
        <v>11</v>
      </c>
      <c r="D189" s="5">
        <v>45741.0</v>
      </c>
      <c r="E189" s="1">
        <v>14.0</v>
      </c>
      <c r="F189" s="1">
        <v>4.0</v>
      </c>
      <c r="G189" s="1">
        <f>VLOOKUP(B189,'old-aw-skill-plan'!A:I,7,FALSE)</f>
        <v>4</v>
      </c>
      <c r="H189" s="1" t="str">
        <f>VLOOKUP(B189,'old-aw-skill-plan'!A:I,9,FALSE)</f>
        <v>4-4</v>
      </c>
    </row>
    <row r="190" ht="15.75" customHeight="1">
      <c r="A190" s="1" t="s">
        <v>63</v>
      </c>
      <c r="B190" s="1" t="s">
        <v>44</v>
      </c>
      <c r="C190" s="1" t="s">
        <v>11</v>
      </c>
      <c r="D190" s="5">
        <v>45741.0</v>
      </c>
      <c r="E190" s="1">
        <v>6.0</v>
      </c>
      <c r="F190" s="1">
        <v>2.0</v>
      </c>
      <c r="G190" s="1">
        <f>VLOOKUP(B190,'old-aw-skill-plan'!A:I,7,FALSE)</f>
        <v>5</v>
      </c>
      <c r="H190" s="1" t="str">
        <f>VLOOKUP(B190,'old-aw-skill-plan'!A:I,9,FALSE)</f>
        <v>5-1</v>
      </c>
    </row>
    <row r="191" ht="15.75" customHeight="1">
      <c r="A191" s="1" t="s">
        <v>65</v>
      </c>
      <c r="B191" s="1" t="s">
        <v>66</v>
      </c>
      <c r="C191" s="1" t="s">
        <v>11</v>
      </c>
      <c r="D191" s="5">
        <v>45741.0</v>
      </c>
      <c r="E191" s="1">
        <v>6.0</v>
      </c>
      <c r="F191" s="1">
        <v>4.0</v>
      </c>
      <c r="G191" s="1">
        <f>VLOOKUP(B191,'old-aw-skill-plan'!A:I,7,FALSE)</f>
        <v>4</v>
      </c>
      <c r="H191" s="1" t="str">
        <f>VLOOKUP(B191,'old-aw-skill-plan'!A:I,9,FALSE)</f>
        <v>4-9</v>
      </c>
    </row>
    <row r="192" ht="15.75" customHeight="1">
      <c r="A192" s="1" t="s">
        <v>92</v>
      </c>
      <c r="B192" s="1" t="s">
        <v>10</v>
      </c>
      <c r="C192" s="1" t="s">
        <v>11</v>
      </c>
      <c r="D192" s="5">
        <v>45741.0</v>
      </c>
      <c r="E192" s="1">
        <v>9.0</v>
      </c>
      <c r="F192" s="1">
        <v>4.0</v>
      </c>
      <c r="G192" s="1">
        <f>VLOOKUP(B192,'old-aw-skill-plan'!A:I,7,FALSE)</f>
        <v>3</v>
      </c>
      <c r="H192" s="1" t="str">
        <f>VLOOKUP(B192,'old-aw-skill-plan'!A:I,9,FALSE)</f>
        <v>3-1</v>
      </c>
    </row>
    <row r="193" ht="15.75" customHeight="1">
      <c r="A193" s="1" t="s">
        <v>69</v>
      </c>
      <c r="B193" s="1" t="s">
        <v>10</v>
      </c>
      <c r="C193" s="1" t="s">
        <v>11</v>
      </c>
      <c r="D193" s="5">
        <v>45741.0</v>
      </c>
      <c r="E193" s="1">
        <v>2.0</v>
      </c>
      <c r="F193" s="1">
        <v>0.0</v>
      </c>
      <c r="G193" s="1">
        <f>VLOOKUP(B193,'old-aw-skill-plan'!A:I,7,FALSE)</f>
        <v>3</v>
      </c>
      <c r="H193" s="1" t="str">
        <f>VLOOKUP(B193,'old-aw-skill-plan'!A:I,9,FALSE)</f>
        <v>3-1</v>
      </c>
    </row>
    <row r="194" ht="15.75" customHeight="1">
      <c r="A194" s="1" t="s">
        <v>98</v>
      </c>
      <c r="B194" s="1" t="s">
        <v>10</v>
      </c>
      <c r="C194" s="1" t="s">
        <v>11</v>
      </c>
      <c r="D194" s="5">
        <v>45741.0</v>
      </c>
      <c r="E194" s="1">
        <v>26.0</v>
      </c>
      <c r="F194" s="1">
        <v>22.0</v>
      </c>
      <c r="G194" s="1">
        <f>VLOOKUP(B194,'old-aw-skill-plan'!A:I,7,FALSE)</f>
        <v>3</v>
      </c>
      <c r="H194" s="1" t="str">
        <f>VLOOKUP(B194,'old-aw-skill-plan'!A:I,9,FALSE)</f>
        <v>3-1</v>
      </c>
    </row>
    <row r="195" ht="15.75" customHeight="1">
      <c r="A195" s="1" t="s">
        <v>98</v>
      </c>
      <c r="B195" s="1" t="s">
        <v>47</v>
      </c>
      <c r="C195" s="1" t="s">
        <v>11</v>
      </c>
      <c r="D195" s="5">
        <v>45741.0</v>
      </c>
      <c r="E195" s="1">
        <v>18.0</v>
      </c>
      <c r="F195" s="1">
        <v>14.0</v>
      </c>
      <c r="G195" s="1">
        <f>VLOOKUP(B195,'old-aw-skill-plan'!A:I,7,FALSE)</f>
        <v>3</v>
      </c>
      <c r="H195" s="1" t="str">
        <f>VLOOKUP(B195,'old-aw-skill-plan'!A:I,9,FALSE)</f>
        <v>3-2</v>
      </c>
    </row>
    <row r="196" ht="15.75" customHeight="1">
      <c r="A196" s="1" t="s">
        <v>75</v>
      </c>
      <c r="B196" s="1" t="s">
        <v>10</v>
      </c>
      <c r="C196" s="1" t="s">
        <v>11</v>
      </c>
      <c r="D196" s="5">
        <v>45741.0</v>
      </c>
      <c r="E196" s="1">
        <v>18.0</v>
      </c>
      <c r="F196" s="1">
        <v>16.0</v>
      </c>
      <c r="G196" s="1">
        <f>VLOOKUP(B196,'old-aw-skill-plan'!A:I,7,FALSE)</f>
        <v>3</v>
      </c>
      <c r="H196" s="1" t="str">
        <f>VLOOKUP(B196,'old-aw-skill-plan'!A:I,9,FALSE)</f>
        <v>3-1</v>
      </c>
    </row>
    <row r="197" ht="15.75" customHeight="1">
      <c r="A197" s="1" t="s">
        <v>75</v>
      </c>
      <c r="B197" s="1" t="s">
        <v>47</v>
      </c>
      <c r="C197" s="1" t="s">
        <v>11</v>
      </c>
      <c r="D197" s="5">
        <v>45741.0</v>
      </c>
      <c r="E197" s="1">
        <v>8.0</v>
      </c>
      <c r="F197" s="1">
        <v>6.0</v>
      </c>
      <c r="G197" s="1">
        <f>VLOOKUP(B197,'old-aw-skill-plan'!A:I,7,FALSE)</f>
        <v>3</v>
      </c>
      <c r="H197" s="1" t="str">
        <f>VLOOKUP(B197,'old-aw-skill-plan'!A:I,9,FALSE)</f>
        <v>3-2</v>
      </c>
    </row>
    <row r="198" ht="15.75" customHeight="1">
      <c r="A198" s="1" t="s">
        <v>77</v>
      </c>
      <c r="B198" s="1" t="s">
        <v>66</v>
      </c>
      <c r="C198" s="1" t="s">
        <v>11</v>
      </c>
      <c r="D198" s="5">
        <v>45741.0</v>
      </c>
      <c r="E198" s="1">
        <v>11.0</v>
      </c>
      <c r="F198" s="1">
        <v>8.0</v>
      </c>
      <c r="G198" s="1">
        <f>VLOOKUP(B198,'old-aw-skill-plan'!A:I,7,FALSE)</f>
        <v>4</v>
      </c>
      <c r="H198" s="1" t="str">
        <f>VLOOKUP(B198,'old-aw-skill-plan'!A:I,9,FALSE)</f>
        <v>4-9</v>
      </c>
    </row>
    <row r="199" ht="15.75" customHeight="1">
      <c r="A199" s="1" t="s">
        <v>77</v>
      </c>
      <c r="B199" s="1" t="s">
        <v>19</v>
      </c>
      <c r="C199" s="1" t="s">
        <v>11</v>
      </c>
      <c r="D199" s="5">
        <v>45741.0</v>
      </c>
      <c r="E199" s="1">
        <v>18.0</v>
      </c>
      <c r="F199" s="1">
        <v>18.0</v>
      </c>
      <c r="G199" s="1">
        <f>VLOOKUP(B199,'old-aw-skill-plan'!A:I,7,FALSE)</f>
        <v>4</v>
      </c>
      <c r="H199" s="1" t="str">
        <f>VLOOKUP(B199,'old-aw-skill-plan'!A:I,9,FALSE)</f>
        <v>4-7</v>
      </c>
    </row>
    <row r="200" ht="15.75" customHeight="1">
      <c r="A200" s="1" t="s">
        <v>100</v>
      </c>
      <c r="B200" s="1" t="s">
        <v>44</v>
      </c>
      <c r="C200" s="1" t="s">
        <v>11</v>
      </c>
      <c r="D200" s="5">
        <v>45741.0</v>
      </c>
      <c r="E200" s="1">
        <v>2.0</v>
      </c>
      <c r="F200" s="1">
        <v>2.0</v>
      </c>
      <c r="G200" s="1">
        <f>VLOOKUP(B200,'old-aw-skill-plan'!A:I,7,FALSE)</f>
        <v>5</v>
      </c>
      <c r="H200" s="1" t="str">
        <f>VLOOKUP(B200,'old-aw-skill-plan'!A:I,9,FALSE)</f>
        <v>5-1</v>
      </c>
    </row>
    <row r="201" ht="15.75" customHeight="1">
      <c r="A201" s="1" t="s">
        <v>100</v>
      </c>
      <c r="B201" s="1" t="s">
        <v>103</v>
      </c>
      <c r="C201" s="1" t="s">
        <v>11</v>
      </c>
      <c r="D201" s="5">
        <v>45741.0</v>
      </c>
      <c r="E201" s="1">
        <v>2.0</v>
      </c>
      <c r="F201" s="1">
        <v>0.0</v>
      </c>
      <c r="G201" s="1">
        <f>VLOOKUP(B201,'old-aw-skill-plan'!A:I,7,FALSE)</f>
        <v>5</v>
      </c>
      <c r="H201" s="1" t="str">
        <f>VLOOKUP(B201,'old-aw-skill-plan'!A:I,9,FALSE)</f>
        <v>5-3</v>
      </c>
    </row>
    <row r="202" ht="15.75" customHeight="1">
      <c r="A202" s="1" t="s">
        <v>100</v>
      </c>
      <c r="B202" s="1" t="s">
        <v>104</v>
      </c>
      <c r="C202" s="1" t="s">
        <v>11</v>
      </c>
      <c r="D202" s="5">
        <v>45741.0</v>
      </c>
      <c r="E202" s="1">
        <v>2.0</v>
      </c>
      <c r="F202" s="1">
        <v>2.0</v>
      </c>
      <c r="G202" s="1">
        <f>VLOOKUP(B202,'old-aw-skill-plan'!A:I,7,FALSE)</f>
        <v>5</v>
      </c>
      <c r="H202" s="1" t="str">
        <f>VLOOKUP(B202,'old-aw-skill-plan'!A:I,9,FALSE)</f>
        <v>5-2</v>
      </c>
    </row>
    <row r="203" ht="15.75" customHeight="1">
      <c r="A203" s="1" t="s">
        <v>82</v>
      </c>
      <c r="B203" s="1" t="s">
        <v>10</v>
      </c>
      <c r="C203" s="1" t="s">
        <v>11</v>
      </c>
      <c r="D203" s="5">
        <v>45741.0</v>
      </c>
      <c r="E203" s="1">
        <v>14.0</v>
      </c>
      <c r="F203" s="1">
        <v>14.0</v>
      </c>
      <c r="G203" s="1">
        <f>VLOOKUP(B203,'old-aw-skill-plan'!A:I,7,FALSE)</f>
        <v>3</v>
      </c>
      <c r="H203" s="1" t="str">
        <f>VLOOKUP(B203,'old-aw-skill-plan'!A:I,9,FALSE)</f>
        <v>3-1</v>
      </c>
    </row>
    <row r="204" ht="15.75" customHeight="1">
      <c r="A204" s="1" t="s">
        <v>90</v>
      </c>
      <c r="B204" s="1" t="s">
        <v>115</v>
      </c>
      <c r="C204" s="1" t="s">
        <v>11</v>
      </c>
      <c r="D204" s="5">
        <v>45741.0</v>
      </c>
      <c r="E204" s="1">
        <v>20.0</v>
      </c>
      <c r="F204" s="1">
        <v>16.0</v>
      </c>
      <c r="G204" s="1">
        <f>VLOOKUP(B204,'old-aw-skill-plan'!A:I,7,FALSE)</f>
        <v>3</v>
      </c>
      <c r="H204" s="1" t="str">
        <f>VLOOKUP(B204,'old-aw-skill-plan'!A:I,9,FALSE)</f>
        <v>3-10</v>
      </c>
    </row>
    <row r="205" ht="15.75" customHeight="1">
      <c r="A205" s="1" t="s">
        <v>90</v>
      </c>
      <c r="B205" s="1" t="s">
        <v>116</v>
      </c>
      <c r="C205" s="1" t="s">
        <v>11</v>
      </c>
      <c r="D205" s="5">
        <v>45741.0</v>
      </c>
      <c r="E205" s="1">
        <v>16.0</v>
      </c>
      <c r="F205" s="1">
        <v>16.0</v>
      </c>
      <c r="G205" s="1">
        <f>VLOOKUP(B205,'old-aw-skill-plan'!A:I,7,FALSE)</f>
        <v>3</v>
      </c>
      <c r="H205" s="1" t="str">
        <f>VLOOKUP(B205,'old-aw-skill-plan'!A:I,9,FALSE)</f>
        <v>3-9</v>
      </c>
    </row>
    <row r="206" ht="15.75" customHeight="1">
      <c r="A206" s="1" t="s">
        <v>90</v>
      </c>
      <c r="B206" s="1" t="s">
        <v>91</v>
      </c>
      <c r="C206" s="1" t="s">
        <v>11</v>
      </c>
      <c r="D206" s="5">
        <v>45741.0</v>
      </c>
      <c r="E206" s="1">
        <v>8.0</v>
      </c>
      <c r="F206" s="1">
        <v>4.0</v>
      </c>
      <c r="G206" s="1">
        <f>VLOOKUP(B206,'old-aw-skill-plan'!A:I,7,FALSE)</f>
        <v>6</v>
      </c>
      <c r="H206" s="1" t="str">
        <f>VLOOKUP(B206,'old-aw-skill-plan'!A:I,9,FALSE)</f>
        <v>6-1</v>
      </c>
    </row>
    <row r="207" ht="15.75" customHeight="1">
      <c r="A207" s="1" t="s">
        <v>90</v>
      </c>
      <c r="B207" s="1" t="s">
        <v>47</v>
      </c>
      <c r="C207" s="1" t="s">
        <v>11</v>
      </c>
      <c r="D207" s="5">
        <v>45741.0</v>
      </c>
      <c r="E207" s="1">
        <v>2.0</v>
      </c>
      <c r="F207" s="1">
        <v>2.0</v>
      </c>
      <c r="G207" s="1">
        <f>VLOOKUP(B207,'old-aw-skill-plan'!A:I,7,FALSE)</f>
        <v>3</v>
      </c>
      <c r="H207" s="1" t="str">
        <f>VLOOKUP(B207,'old-aw-skill-plan'!A:I,9,FALSE)</f>
        <v>3-2</v>
      </c>
    </row>
    <row r="208" ht="15.75" customHeight="1">
      <c r="A208" s="1" t="s">
        <v>90</v>
      </c>
      <c r="B208" s="1" t="s">
        <v>48</v>
      </c>
      <c r="C208" s="1" t="s">
        <v>11</v>
      </c>
      <c r="D208" s="5">
        <v>45741.0</v>
      </c>
      <c r="E208" s="1">
        <v>5.0</v>
      </c>
      <c r="F208" s="1">
        <v>5.0</v>
      </c>
      <c r="G208" s="1">
        <f>VLOOKUP(B208,'old-aw-skill-plan'!A:I,7,FALSE)</f>
        <v>3</v>
      </c>
      <c r="H208" s="1" t="str">
        <f>VLOOKUP(B208,'old-aw-skill-plan'!A:I,9,FALSE)</f>
        <v>3-6</v>
      </c>
    </row>
    <row r="209" ht="15.75" customHeight="1">
      <c r="A209" s="1" t="s">
        <v>93</v>
      </c>
      <c r="B209" s="1" t="s">
        <v>104</v>
      </c>
      <c r="C209" s="1" t="s">
        <v>11</v>
      </c>
      <c r="D209" s="5">
        <v>45741.0</v>
      </c>
      <c r="E209" s="1">
        <v>10.0</v>
      </c>
      <c r="F209" s="1">
        <v>8.0</v>
      </c>
      <c r="G209" s="1">
        <f>VLOOKUP(B209,'old-aw-skill-plan'!A:I,7,FALSE)</f>
        <v>5</v>
      </c>
      <c r="H209" s="1" t="str">
        <f>VLOOKUP(B209,'old-aw-skill-plan'!A:I,9,FALSE)</f>
        <v>5-2</v>
      </c>
    </row>
    <row r="210" ht="15.75" customHeight="1">
      <c r="A210" s="1" t="s">
        <v>107</v>
      </c>
      <c r="B210" s="1" t="s">
        <v>44</v>
      </c>
      <c r="C210" s="1" t="s">
        <v>11</v>
      </c>
      <c r="D210" s="5">
        <v>45741.0</v>
      </c>
      <c r="E210" s="1">
        <v>8.0</v>
      </c>
      <c r="F210" s="1">
        <v>8.0</v>
      </c>
      <c r="G210" s="1">
        <f>VLOOKUP(B210,'old-aw-skill-plan'!A:I,7,FALSE)</f>
        <v>5</v>
      </c>
      <c r="H210" s="1" t="str">
        <f>VLOOKUP(B210,'old-aw-skill-plan'!A:I,9,FALSE)</f>
        <v>5-1</v>
      </c>
    </row>
    <row r="211" ht="15.75" customHeight="1">
      <c r="A211" s="1" t="s">
        <v>94</v>
      </c>
      <c r="B211" s="1" t="s">
        <v>104</v>
      </c>
      <c r="C211" s="1" t="s">
        <v>11</v>
      </c>
      <c r="D211" s="5">
        <v>45741.0</v>
      </c>
      <c r="E211" s="1">
        <v>14.0</v>
      </c>
      <c r="F211" s="1">
        <v>14.0</v>
      </c>
      <c r="G211" s="1">
        <f>VLOOKUP(B211,'old-aw-skill-plan'!A:I,7,FALSE)</f>
        <v>5</v>
      </c>
      <c r="H211" s="1" t="str">
        <f>VLOOKUP(B211,'old-aw-skill-plan'!A:I,9,FALSE)</f>
        <v>5-2</v>
      </c>
    </row>
    <row r="212" ht="15.75" customHeight="1">
      <c r="A212" s="1" t="s">
        <v>96</v>
      </c>
      <c r="B212" s="1" t="s">
        <v>10</v>
      </c>
      <c r="C212" s="1" t="s">
        <v>11</v>
      </c>
      <c r="D212" s="5">
        <v>45741.0</v>
      </c>
      <c r="E212" s="1">
        <v>21.0</v>
      </c>
      <c r="F212" s="1">
        <v>16.0</v>
      </c>
      <c r="G212" s="1">
        <f>VLOOKUP(B212,'old-aw-skill-plan'!A:I,7,FALSE)</f>
        <v>3</v>
      </c>
      <c r="H212" s="1" t="str">
        <f>VLOOKUP(B212,'old-aw-skill-plan'!A:I,9,FALSE)</f>
        <v>3-1</v>
      </c>
    </row>
    <row r="213" ht="15.75" customHeight="1">
      <c r="A213" s="1" t="s">
        <v>29</v>
      </c>
      <c r="B213" s="1" t="s">
        <v>10</v>
      </c>
      <c r="C213" s="1" t="s">
        <v>11</v>
      </c>
      <c r="D213" s="5">
        <v>45740.0</v>
      </c>
      <c r="E213" s="1">
        <v>2.0</v>
      </c>
      <c r="F213" s="1">
        <v>2.0</v>
      </c>
      <c r="G213" s="1">
        <f>VLOOKUP(B213,'old-aw-skill-plan'!A:I,7,FALSE)</f>
        <v>3</v>
      </c>
      <c r="H213" s="1" t="str">
        <f>VLOOKUP(B213,'old-aw-skill-plan'!A:I,9,FALSE)</f>
        <v>3-1</v>
      </c>
    </row>
    <row r="214" ht="15.75" customHeight="1">
      <c r="A214" s="1" t="s">
        <v>31</v>
      </c>
      <c r="B214" s="1" t="s">
        <v>34</v>
      </c>
      <c r="C214" s="1" t="s">
        <v>11</v>
      </c>
      <c r="D214" s="5">
        <v>45740.0</v>
      </c>
      <c r="E214" s="1">
        <v>42.0</v>
      </c>
      <c r="F214" s="1">
        <v>27.0</v>
      </c>
      <c r="G214" s="1">
        <f>VLOOKUP(B214,'old-aw-skill-plan'!A:I,7,FALSE)</f>
        <v>4</v>
      </c>
      <c r="H214" s="1" t="str">
        <f>VLOOKUP(B214,'old-aw-skill-plan'!A:I,9,FALSE)</f>
        <v>4-1</v>
      </c>
    </row>
    <row r="215" ht="15.75" customHeight="1">
      <c r="A215" s="1" t="s">
        <v>18</v>
      </c>
      <c r="B215" s="1" t="s">
        <v>34</v>
      </c>
      <c r="C215" s="1" t="s">
        <v>11</v>
      </c>
      <c r="D215" s="5">
        <v>45740.0</v>
      </c>
      <c r="E215" s="1">
        <v>2.0</v>
      </c>
      <c r="F215" s="1">
        <v>2.0</v>
      </c>
      <c r="G215" s="1">
        <f>VLOOKUP(B215,'old-aw-skill-plan'!A:I,7,FALSE)</f>
        <v>4</v>
      </c>
      <c r="H215" s="1" t="str">
        <f>VLOOKUP(B215,'old-aw-skill-plan'!A:I,9,FALSE)</f>
        <v>4-1</v>
      </c>
    </row>
    <row r="216" ht="15.75" customHeight="1">
      <c r="A216" s="1" t="s">
        <v>18</v>
      </c>
      <c r="B216" s="1" t="s">
        <v>37</v>
      </c>
      <c r="C216" s="1" t="s">
        <v>11</v>
      </c>
      <c r="D216" s="5">
        <v>45740.0</v>
      </c>
      <c r="E216" s="1">
        <v>18.0</v>
      </c>
      <c r="F216" s="1">
        <v>14.0</v>
      </c>
      <c r="G216" s="1">
        <f>VLOOKUP(B216,'old-aw-skill-plan'!A:I,7,FALSE)</f>
        <v>4</v>
      </c>
      <c r="H216" s="1" t="str">
        <f>VLOOKUP(B216,'old-aw-skill-plan'!A:I,9,FALSE)</f>
        <v>4-2</v>
      </c>
    </row>
    <row r="217" ht="15.75" customHeight="1">
      <c r="A217" s="1" t="s">
        <v>20</v>
      </c>
      <c r="B217" s="1" t="s">
        <v>61</v>
      </c>
      <c r="C217" s="1" t="s">
        <v>11</v>
      </c>
      <c r="D217" s="5">
        <v>45740.0</v>
      </c>
      <c r="E217" s="1">
        <v>48.0</v>
      </c>
      <c r="F217" s="1">
        <v>30.0</v>
      </c>
      <c r="G217" s="1">
        <f>VLOOKUP(B217,'old-aw-skill-plan'!A:I,7,FALSE)</f>
        <v>4</v>
      </c>
      <c r="H217" s="1" t="str">
        <f>VLOOKUP(B217,'old-aw-skill-plan'!A:I,9,FALSE)</f>
        <v>4-4</v>
      </c>
    </row>
    <row r="218" ht="15.75" customHeight="1">
      <c r="A218" s="1" t="s">
        <v>20</v>
      </c>
      <c r="B218" s="1" t="s">
        <v>34</v>
      </c>
      <c r="C218" s="1" t="s">
        <v>11</v>
      </c>
      <c r="D218" s="5">
        <v>45740.0</v>
      </c>
      <c r="E218" s="1">
        <v>2.0</v>
      </c>
      <c r="F218" s="1">
        <v>2.0</v>
      </c>
      <c r="G218" s="1">
        <f>VLOOKUP(B218,'old-aw-skill-plan'!A:I,7,FALSE)</f>
        <v>4</v>
      </c>
      <c r="H218" s="1" t="str">
        <f>VLOOKUP(B218,'old-aw-skill-plan'!A:I,9,FALSE)</f>
        <v>4-1</v>
      </c>
    </row>
    <row r="219" ht="15.75" customHeight="1">
      <c r="A219" s="1" t="s">
        <v>20</v>
      </c>
      <c r="B219" s="1" t="s">
        <v>97</v>
      </c>
      <c r="C219" s="1" t="s">
        <v>11</v>
      </c>
      <c r="D219" s="5">
        <v>45740.0</v>
      </c>
      <c r="E219" s="1">
        <v>14.0</v>
      </c>
      <c r="F219" s="1">
        <v>10.0</v>
      </c>
      <c r="G219" s="1">
        <f>VLOOKUP(B219,'old-aw-skill-plan'!A:I,7,FALSE)</f>
        <v>4</v>
      </c>
      <c r="H219" s="1" t="str">
        <f>VLOOKUP(B219,'old-aw-skill-plan'!A:I,9,FALSE)</f>
        <v>4-3</v>
      </c>
    </row>
    <row r="220" ht="15.75" customHeight="1">
      <c r="A220" s="1" t="s">
        <v>20</v>
      </c>
      <c r="B220" s="1" t="s">
        <v>37</v>
      </c>
      <c r="C220" s="1" t="s">
        <v>11</v>
      </c>
      <c r="D220" s="5">
        <v>45740.0</v>
      </c>
      <c r="E220" s="1">
        <v>2.0</v>
      </c>
      <c r="F220" s="1">
        <v>2.0</v>
      </c>
      <c r="G220" s="1">
        <f>VLOOKUP(B220,'old-aw-skill-plan'!A:I,7,FALSE)</f>
        <v>4</v>
      </c>
      <c r="H220" s="1" t="str">
        <f>VLOOKUP(B220,'old-aw-skill-plan'!A:I,9,FALSE)</f>
        <v>4-2</v>
      </c>
    </row>
    <row r="221" ht="15.75" customHeight="1">
      <c r="A221" s="1" t="s">
        <v>41</v>
      </c>
      <c r="B221" s="1" t="s">
        <v>34</v>
      </c>
      <c r="C221" s="1" t="s">
        <v>11</v>
      </c>
      <c r="D221" s="5">
        <v>45740.0</v>
      </c>
      <c r="E221" s="1">
        <v>8.0</v>
      </c>
      <c r="F221" s="1">
        <v>6.0</v>
      </c>
      <c r="G221" s="1">
        <f>VLOOKUP(B221,'old-aw-skill-plan'!A:I,7,FALSE)</f>
        <v>4</v>
      </c>
      <c r="H221" s="1" t="str">
        <f>VLOOKUP(B221,'old-aw-skill-plan'!A:I,9,FALSE)</f>
        <v>4-1</v>
      </c>
    </row>
    <row r="222" ht="15.75" customHeight="1">
      <c r="A222" s="1" t="s">
        <v>45</v>
      </c>
      <c r="B222" s="1" t="s">
        <v>25</v>
      </c>
      <c r="C222" s="1" t="s">
        <v>11</v>
      </c>
      <c r="D222" s="5">
        <v>45740.0</v>
      </c>
      <c r="E222" s="1">
        <v>65.0</v>
      </c>
      <c r="F222" s="1">
        <v>47.0</v>
      </c>
      <c r="G222" s="1">
        <f>VLOOKUP(B222,'old-aw-skill-plan'!A:I,7,FALSE)</f>
        <v>5</v>
      </c>
      <c r="H222" s="1" t="str">
        <f>VLOOKUP(B222,'old-aw-skill-plan'!A:I,9,FALSE)</f>
        <v>5-4</v>
      </c>
    </row>
    <row r="223" ht="15.75" customHeight="1">
      <c r="A223" s="1" t="s">
        <v>45</v>
      </c>
      <c r="B223" s="1" t="s">
        <v>44</v>
      </c>
      <c r="C223" s="1" t="s">
        <v>11</v>
      </c>
      <c r="D223" s="5">
        <v>45740.0</v>
      </c>
      <c r="E223" s="1">
        <v>2.0</v>
      </c>
      <c r="F223" s="1">
        <v>2.0</v>
      </c>
      <c r="G223" s="1">
        <f>VLOOKUP(B223,'old-aw-skill-plan'!A:I,7,FALSE)</f>
        <v>5</v>
      </c>
      <c r="H223" s="1" t="str">
        <f>VLOOKUP(B223,'old-aw-skill-plan'!A:I,9,FALSE)</f>
        <v>5-1</v>
      </c>
    </row>
    <row r="224" ht="15.75" customHeight="1">
      <c r="A224" s="1" t="s">
        <v>45</v>
      </c>
      <c r="B224" s="1" t="s">
        <v>103</v>
      </c>
      <c r="C224" s="1" t="s">
        <v>11</v>
      </c>
      <c r="D224" s="5">
        <v>45740.0</v>
      </c>
      <c r="E224" s="1">
        <v>26.0</v>
      </c>
      <c r="F224" s="1">
        <v>20.0</v>
      </c>
      <c r="G224" s="1">
        <f>VLOOKUP(B224,'old-aw-skill-plan'!A:I,7,FALSE)</f>
        <v>5</v>
      </c>
      <c r="H224" s="1" t="str">
        <f>VLOOKUP(B224,'old-aw-skill-plan'!A:I,9,FALSE)</f>
        <v>5-3</v>
      </c>
    </row>
    <row r="225" ht="15.75" customHeight="1">
      <c r="A225" s="1" t="s">
        <v>45</v>
      </c>
      <c r="B225" s="1" t="s">
        <v>104</v>
      </c>
      <c r="C225" s="1" t="s">
        <v>11</v>
      </c>
      <c r="D225" s="5">
        <v>45740.0</v>
      </c>
      <c r="E225" s="1">
        <v>18.0</v>
      </c>
      <c r="F225" s="1">
        <v>18.0</v>
      </c>
      <c r="G225" s="1">
        <f>VLOOKUP(B225,'old-aw-skill-plan'!A:I,7,FALSE)</f>
        <v>5</v>
      </c>
      <c r="H225" s="1" t="str">
        <f>VLOOKUP(B225,'old-aw-skill-plan'!A:I,9,FALSE)</f>
        <v>5-2</v>
      </c>
    </row>
    <row r="226" ht="15.75" customHeight="1">
      <c r="A226" s="1" t="s">
        <v>45</v>
      </c>
      <c r="B226" s="1" t="s">
        <v>106</v>
      </c>
      <c r="C226" s="1" t="s">
        <v>11</v>
      </c>
      <c r="D226" s="5">
        <v>45740.0</v>
      </c>
      <c r="E226" s="1">
        <v>16.0</v>
      </c>
      <c r="F226" s="1">
        <v>10.0</v>
      </c>
      <c r="G226" s="1" t="str">
        <f>VLOOKUP(B226,'old-aw-skill-plan'!A:I,7,FALSE)</f>
        <v>#N/A</v>
      </c>
      <c r="H226" s="1" t="str">
        <f>VLOOKUP(B226,'old-aw-skill-plan'!A:I,9,FALSE)</f>
        <v>#N/A</v>
      </c>
    </row>
    <row r="227" ht="15.75" customHeight="1">
      <c r="A227" s="1" t="s">
        <v>27</v>
      </c>
      <c r="B227" s="1" t="s">
        <v>10</v>
      </c>
      <c r="C227" s="1" t="s">
        <v>11</v>
      </c>
      <c r="D227" s="5">
        <v>45740.0</v>
      </c>
      <c r="E227" s="1">
        <v>41.0</v>
      </c>
      <c r="F227" s="1">
        <v>30.0</v>
      </c>
      <c r="G227" s="1">
        <f>VLOOKUP(B227,'old-aw-skill-plan'!A:I,7,FALSE)</f>
        <v>3</v>
      </c>
      <c r="H227" s="1" t="str">
        <f>VLOOKUP(B227,'old-aw-skill-plan'!A:I,9,FALSE)</f>
        <v>3-1</v>
      </c>
    </row>
    <row r="228" ht="15.75" customHeight="1">
      <c r="A228" s="1" t="s">
        <v>49</v>
      </c>
      <c r="B228" s="1" t="s">
        <v>34</v>
      </c>
      <c r="C228" s="1" t="s">
        <v>11</v>
      </c>
      <c r="D228" s="5">
        <v>45740.0</v>
      </c>
      <c r="E228" s="1">
        <v>2.0</v>
      </c>
      <c r="F228" s="1">
        <v>2.0</v>
      </c>
      <c r="G228" s="1">
        <f>VLOOKUP(B228,'old-aw-skill-plan'!A:I,7,FALSE)</f>
        <v>4</v>
      </c>
      <c r="H228" s="1" t="str">
        <f>VLOOKUP(B228,'old-aw-skill-plan'!A:I,9,FALSE)</f>
        <v>4-1</v>
      </c>
    </row>
    <row r="229" ht="15.75" customHeight="1">
      <c r="A229" s="1" t="s">
        <v>49</v>
      </c>
      <c r="B229" s="1" t="s">
        <v>37</v>
      </c>
      <c r="C229" s="1" t="s">
        <v>11</v>
      </c>
      <c r="D229" s="5">
        <v>45740.0</v>
      </c>
      <c r="E229" s="1">
        <v>24.0</v>
      </c>
      <c r="F229" s="1">
        <v>14.0</v>
      </c>
      <c r="G229" s="1">
        <f>VLOOKUP(B229,'old-aw-skill-plan'!A:I,7,FALSE)</f>
        <v>4</v>
      </c>
      <c r="H229" s="1" t="str">
        <f>VLOOKUP(B229,'old-aw-skill-plan'!A:I,9,FALSE)</f>
        <v>4-2</v>
      </c>
    </row>
    <row r="230" ht="15.75" customHeight="1">
      <c r="A230" s="1" t="s">
        <v>50</v>
      </c>
      <c r="B230" s="1" t="s">
        <v>44</v>
      </c>
      <c r="C230" s="1" t="s">
        <v>11</v>
      </c>
      <c r="D230" s="5">
        <v>45740.0</v>
      </c>
      <c r="E230" s="1">
        <v>17.0</v>
      </c>
      <c r="F230" s="1">
        <v>14.0</v>
      </c>
      <c r="G230" s="1">
        <f>VLOOKUP(B230,'old-aw-skill-plan'!A:I,7,FALSE)</f>
        <v>5</v>
      </c>
      <c r="H230" s="1" t="str">
        <f>VLOOKUP(B230,'old-aw-skill-plan'!A:I,9,FALSE)</f>
        <v>5-1</v>
      </c>
    </row>
    <row r="231" ht="15.75" customHeight="1">
      <c r="A231" s="1" t="s">
        <v>52</v>
      </c>
      <c r="B231" s="1" t="s">
        <v>10</v>
      </c>
      <c r="C231" s="1" t="s">
        <v>11</v>
      </c>
      <c r="D231" s="5">
        <v>45740.0</v>
      </c>
      <c r="E231" s="1">
        <v>15.0</v>
      </c>
      <c r="F231" s="1">
        <v>5.0</v>
      </c>
      <c r="G231" s="1">
        <f>VLOOKUP(B231,'old-aw-skill-plan'!A:I,7,FALSE)</f>
        <v>3</v>
      </c>
      <c r="H231" s="1" t="str">
        <f>VLOOKUP(B231,'old-aw-skill-plan'!A:I,9,FALSE)</f>
        <v>3-1</v>
      </c>
    </row>
    <row r="232" ht="15.75" customHeight="1">
      <c r="A232" s="1" t="s">
        <v>52</v>
      </c>
      <c r="B232" s="1" t="s">
        <v>37</v>
      </c>
      <c r="C232" s="1" t="s">
        <v>11</v>
      </c>
      <c r="D232" s="5">
        <v>45740.0</v>
      </c>
      <c r="E232" s="1">
        <v>4.0</v>
      </c>
      <c r="F232" s="1">
        <v>4.0</v>
      </c>
      <c r="G232" s="1">
        <f>VLOOKUP(B232,'old-aw-skill-plan'!A:I,7,FALSE)</f>
        <v>4</v>
      </c>
      <c r="H232" s="1" t="str">
        <f>VLOOKUP(B232,'old-aw-skill-plan'!A:I,9,FALSE)</f>
        <v>4-2</v>
      </c>
    </row>
    <row r="233" ht="15.75" customHeight="1">
      <c r="A233" s="1" t="s">
        <v>32</v>
      </c>
      <c r="B233" s="1" t="s">
        <v>10</v>
      </c>
      <c r="C233" s="1" t="s">
        <v>11</v>
      </c>
      <c r="D233" s="5">
        <v>45740.0</v>
      </c>
      <c r="E233" s="1">
        <v>2.0</v>
      </c>
      <c r="F233" s="1">
        <v>2.0</v>
      </c>
      <c r="G233" s="1">
        <f>VLOOKUP(B233,'old-aw-skill-plan'!A:I,7,FALSE)</f>
        <v>3</v>
      </c>
      <c r="H233" s="1" t="str">
        <f>VLOOKUP(B233,'old-aw-skill-plan'!A:I,9,FALSE)</f>
        <v>3-1</v>
      </c>
    </row>
    <row r="234" ht="15.75" customHeight="1">
      <c r="A234" s="1" t="s">
        <v>32</v>
      </c>
      <c r="B234" s="1" t="s">
        <v>30</v>
      </c>
      <c r="C234" s="1" t="s">
        <v>11</v>
      </c>
      <c r="D234" s="5">
        <v>45740.0</v>
      </c>
      <c r="E234" s="1">
        <v>25.0</v>
      </c>
      <c r="F234" s="1">
        <v>10.0</v>
      </c>
      <c r="G234" s="1">
        <f>VLOOKUP(B234,'old-aw-skill-plan'!A:I,7,FALSE)</f>
        <v>3</v>
      </c>
      <c r="H234" s="1" t="str">
        <f>VLOOKUP(B234,'old-aw-skill-plan'!A:I,9,FALSE)</f>
        <v>3-3</v>
      </c>
    </row>
    <row r="235" ht="15.75" customHeight="1">
      <c r="A235" s="1" t="s">
        <v>32</v>
      </c>
      <c r="B235" s="1" t="s">
        <v>47</v>
      </c>
      <c r="C235" s="1" t="s">
        <v>11</v>
      </c>
      <c r="D235" s="5">
        <v>45740.0</v>
      </c>
      <c r="E235" s="1">
        <v>24.0</v>
      </c>
      <c r="F235" s="1">
        <v>22.0</v>
      </c>
      <c r="G235" s="1">
        <f>VLOOKUP(B235,'old-aw-skill-plan'!A:I,7,FALSE)</f>
        <v>3</v>
      </c>
      <c r="H235" s="1" t="str">
        <f>VLOOKUP(B235,'old-aw-skill-plan'!A:I,9,FALSE)</f>
        <v>3-2</v>
      </c>
    </row>
    <row r="236" ht="15.75" customHeight="1">
      <c r="A236" s="1" t="s">
        <v>59</v>
      </c>
      <c r="B236" s="1" t="s">
        <v>10</v>
      </c>
      <c r="C236" s="1" t="s">
        <v>11</v>
      </c>
      <c r="D236" s="5">
        <v>45740.0</v>
      </c>
      <c r="E236" s="1">
        <v>32.0</v>
      </c>
      <c r="F236" s="1">
        <v>24.0</v>
      </c>
      <c r="G236" s="1">
        <f>VLOOKUP(B236,'old-aw-skill-plan'!A:I,7,FALSE)</f>
        <v>3</v>
      </c>
      <c r="H236" s="1" t="str">
        <f>VLOOKUP(B236,'old-aw-skill-plan'!A:I,9,FALSE)</f>
        <v>3-1</v>
      </c>
    </row>
    <row r="237" ht="15.75" customHeight="1">
      <c r="A237" s="1" t="s">
        <v>62</v>
      </c>
      <c r="B237" s="1" t="s">
        <v>28</v>
      </c>
      <c r="C237" s="1" t="s">
        <v>11</v>
      </c>
      <c r="D237" s="5">
        <v>45740.0</v>
      </c>
      <c r="E237" s="1">
        <v>19.0</v>
      </c>
      <c r="F237" s="1">
        <v>15.0</v>
      </c>
      <c r="G237" s="1">
        <f>VLOOKUP(B237,'old-aw-skill-plan'!A:I,7,FALSE)</f>
        <v>3</v>
      </c>
      <c r="H237" s="1" t="str">
        <f>VLOOKUP(B237,'old-aw-skill-plan'!A:I,9,FALSE)</f>
        <v>3-4</v>
      </c>
    </row>
    <row r="238" ht="15.75" customHeight="1">
      <c r="A238" s="1" t="s">
        <v>62</v>
      </c>
      <c r="B238" s="1" t="s">
        <v>30</v>
      </c>
      <c r="C238" s="1" t="s">
        <v>11</v>
      </c>
      <c r="D238" s="5">
        <v>45740.0</v>
      </c>
      <c r="E238" s="1">
        <v>2.0</v>
      </c>
      <c r="F238" s="1">
        <v>2.0</v>
      </c>
      <c r="G238" s="1">
        <f>VLOOKUP(B238,'old-aw-skill-plan'!A:I,7,FALSE)</f>
        <v>3</v>
      </c>
      <c r="H238" s="1" t="str">
        <f>VLOOKUP(B238,'old-aw-skill-plan'!A:I,9,FALSE)</f>
        <v>3-3</v>
      </c>
    </row>
    <row r="239" ht="15.75" customHeight="1">
      <c r="A239" s="1" t="s">
        <v>39</v>
      </c>
      <c r="B239" s="1" t="s">
        <v>66</v>
      </c>
      <c r="C239" s="1" t="s">
        <v>11</v>
      </c>
      <c r="D239" s="5">
        <v>45740.0</v>
      </c>
      <c r="E239" s="1">
        <v>26.0</v>
      </c>
      <c r="F239" s="1">
        <v>18.0</v>
      </c>
      <c r="G239" s="1">
        <f>VLOOKUP(B239,'old-aw-skill-plan'!A:I,7,FALSE)</f>
        <v>4</v>
      </c>
      <c r="H239" s="1" t="str">
        <f>VLOOKUP(B239,'old-aw-skill-plan'!A:I,9,FALSE)</f>
        <v>4-9</v>
      </c>
    </row>
    <row r="240" ht="15.75" customHeight="1">
      <c r="A240" s="1" t="s">
        <v>70</v>
      </c>
      <c r="B240" s="1" t="s">
        <v>44</v>
      </c>
      <c r="C240" s="1" t="s">
        <v>11</v>
      </c>
      <c r="D240" s="5">
        <v>45740.0</v>
      </c>
      <c r="E240" s="1">
        <v>22.0</v>
      </c>
      <c r="F240" s="1">
        <v>14.0</v>
      </c>
      <c r="G240" s="1">
        <f>VLOOKUP(B240,'old-aw-skill-plan'!A:I,7,FALSE)</f>
        <v>5</v>
      </c>
      <c r="H240" s="1" t="str">
        <f>VLOOKUP(B240,'old-aw-skill-plan'!A:I,9,FALSE)</f>
        <v>5-1</v>
      </c>
    </row>
    <row r="241" ht="15.75" customHeight="1">
      <c r="A241" s="1" t="s">
        <v>46</v>
      </c>
      <c r="B241" s="1" t="s">
        <v>57</v>
      </c>
      <c r="C241" s="1" t="s">
        <v>11</v>
      </c>
      <c r="D241" s="5">
        <v>45740.0</v>
      </c>
      <c r="E241" s="1">
        <v>21.0</v>
      </c>
      <c r="F241" s="1">
        <v>17.0</v>
      </c>
      <c r="G241" s="1">
        <f>VLOOKUP(B241,'old-aw-skill-plan'!A:I,7,FALSE)</f>
        <v>3</v>
      </c>
      <c r="H241" s="1" t="str">
        <f>VLOOKUP(B241,'old-aw-skill-plan'!A:I,9,FALSE)</f>
        <v>3-7</v>
      </c>
    </row>
    <row r="242" ht="15.75" customHeight="1">
      <c r="A242" s="1" t="s">
        <v>46</v>
      </c>
      <c r="B242" s="1" t="s">
        <v>48</v>
      </c>
      <c r="C242" s="1" t="s">
        <v>11</v>
      </c>
      <c r="D242" s="5">
        <v>45740.0</v>
      </c>
      <c r="E242" s="1">
        <v>12.0</v>
      </c>
      <c r="F242" s="1">
        <v>12.0</v>
      </c>
      <c r="G242" s="1">
        <f>VLOOKUP(B242,'old-aw-skill-plan'!A:I,7,FALSE)</f>
        <v>3</v>
      </c>
      <c r="H242" s="1" t="str">
        <f>VLOOKUP(B242,'old-aw-skill-plan'!A:I,9,FALSE)</f>
        <v>3-6</v>
      </c>
    </row>
    <row r="243" ht="15.75" customHeight="1">
      <c r="A243" s="1" t="s">
        <v>46</v>
      </c>
      <c r="B243" s="1" t="s">
        <v>34</v>
      </c>
      <c r="C243" s="1" t="s">
        <v>11</v>
      </c>
      <c r="D243" s="5">
        <v>45740.0</v>
      </c>
      <c r="E243" s="1">
        <v>22.0</v>
      </c>
      <c r="F243" s="1">
        <v>10.0</v>
      </c>
      <c r="G243" s="1">
        <f>VLOOKUP(B243,'old-aw-skill-plan'!A:I,7,FALSE)</f>
        <v>4</v>
      </c>
      <c r="H243" s="1" t="str">
        <f>VLOOKUP(B243,'old-aw-skill-plan'!A:I,9,FALSE)</f>
        <v>4-1</v>
      </c>
    </row>
    <row r="244" ht="15.75" customHeight="1">
      <c r="A244" s="1" t="s">
        <v>51</v>
      </c>
      <c r="B244" s="1" t="s">
        <v>10</v>
      </c>
      <c r="C244" s="1" t="s">
        <v>11</v>
      </c>
      <c r="D244" s="5">
        <v>45740.0</v>
      </c>
      <c r="E244" s="1">
        <v>12.0</v>
      </c>
      <c r="F244" s="1">
        <v>4.0</v>
      </c>
      <c r="G244" s="1">
        <f>VLOOKUP(B244,'old-aw-skill-plan'!A:I,7,FALSE)</f>
        <v>3</v>
      </c>
      <c r="H244" s="1" t="str">
        <f>VLOOKUP(B244,'old-aw-skill-plan'!A:I,9,FALSE)</f>
        <v>3-1</v>
      </c>
    </row>
    <row r="245" ht="15.75" customHeight="1">
      <c r="A245" s="1" t="s">
        <v>53</v>
      </c>
      <c r="B245" s="1" t="s">
        <v>10</v>
      </c>
      <c r="C245" s="1" t="s">
        <v>11</v>
      </c>
      <c r="D245" s="5">
        <v>45740.0</v>
      </c>
      <c r="E245" s="1">
        <v>22.0</v>
      </c>
      <c r="F245" s="1">
        <v>16.0</v>
      </c>
      <c r="G245" s="1">
        <f>VLOOKUP(B245,'old-aw-skill-plan'!A:I,7,FALSE)</f>
        <v>3</v>
      </c>
      <c r="H245" s="1" t="str">
        <f>VLOOKUP(B245,'old-aw-skill-plan'!A:I,9,FALSE)</f>
        <v>3-1</v>
      </c>
    </row>
    <row r="246" ht="15.75" customHeight="1">
      <c r="A246" s="1" t="s">
        <v>53</v>
      </c>
      <c r="B246" s="1" t="s">
        <v>30</v>
      </c>
      <c r="C246" s="1" t="s">
        <v>11</v>
      </c>
      <c r="D246" s="5">
        <v>45740.0</v>
      </c>
      <c r="E246" s="1">
        <v>26.0</v>
      </c>
      <c r="F246" s="1">
        <v>24.0</v>
      </c>
      <c r="G246" s="1">
        <f>VLOOKUP(B246,'old-aw-skill-plan'!A:I,7,FALSE)</f>
        <v>3</v>
      </c>
      <c r="H246" s="1" t="str">
        <f>VLOOKUP(B246,'old-aw-skill-plan'!A:I,9,FALSE)</f>
        <v>3-3</v>
      </c>
    </row>
    <row r="247" ht="15.75" customHeight="1">
      <c r="A247" s="1" t="s">
        <v>53</v>
      </c>
      <c r="B247" s="1" t="s">
        <v>47</v>
      </c>
      <c r="C247" s="1" t="s">
        <v>11</v>
      </c>
      <c r="D247" s="5">
        <v>45740.0</v>
      </c>
      <c r="E247" s="1">
        <v>18.0</v>
      </c>
      <c r="F247" s="1">
        <v>18.0</v>
      </c>
      <c r="G247" s="1">
        <f>VLOOKUP(B247,'old-aw-skill-plan'!A:I,7,FALSE)</f>
        <v>3</v>
      </c>
      <c r="H247" s="1" t="str">
        <f>VLOOKUP(B247,'old-aw-skill-plan'!A:I,9,FALSE)</f>
        <v>3-2</v>
      </c>
    </row>
    <row r="248" ht="15.75" customHeight="1">
      <c r="A248" s="1" t="s">
        <v>56</v>
      </c>
      <c r="B248" s="1" t="s">
        <v>28</v>
      </c>
      <c r="C248" s="1" t="s">
        <v>11</v>
      </c>
      <c r="D248" s="5">
        <v>45740.0</v>
      </c>
      <c r="E248" s="1">
        <v>8.0</v>
      </c>
      <c r="F248" s="1">
        <v>8.0</v>
      </c>
      <c r="G248" s="1">
        <f>VLOOKUP(B248,'old-aw-skill-plan'!A:I,7,FALSE)</f>
        <v>3</v>
      </c>
      <c r="H248" s="1" t="str">
        <f>VLOOKUP(B248,'old-aw-skill-plan'!A:I,9,FALSE)</f>
        <v>3-4</v>
      </c>
    </row>
    <row r="249" ht="15.75" customHeight="1">
      <c r="A249" s="1" t="s">
        <v>56</v>
      </c>
      <c r="B249" s="1" t="s">
        <v>30</v>
      </c>
      <c r="C249" s="1" t="s">
        <v>11</v>
      </c>
      <c r="D249" s="5">
        <v>45740.0</v>
      </c>
      <c r="E249" s="1">
        <v>2.0</v>
      </c>
      <c r="F249" s="1">
        <v>2.0</v>
      </c>
      <c r="G249" s="1">
        <f>VLOOKUP(B249,'old-aw-skill-plan'!A:I,7,FALSE)</f>
        <v>3</v>
      </c>
      <c r="H249" s="1" t="str">
        <f>VLOOKUP(B249,'old-aw-skill-plan'!A:I,9,FALSE)</f>
        <v>3-3</v>
      </c>
    </row>
    <row r="250" ht="15.75" customHeight="1">
      <c r="A250" s="1" t="s">
        <v>56</v>
      </c>
      <c r="B250" s="1" t="s">
        <v>91</v>
      </c>
      <c r="C250" s="1" t="s">
        <v>11</v>
      </c>
      <c r="D250" s="5">
        <v>45740.0</v>
      </c>
      <c r="E250" s="1">
        <v>42.0</v>
      </c>
      <c r="F250" s="1">
        <v>28.0</v>
      </c>
      <c r="G250" s="1">
        <f>VLOOKUP(B250,'old-aw-skill-plan'!A:I,7,FALSE)</f>
        <v>6</v>
      </c>
      <c r="H250" s="1" t="str">
        <f>VLOOKUP(B250,'old-aw-skill-plan'!A:I,9,FALSE)</f>
        <v>6-1</v>
      </c>
    </row>
    <row r="251" ht="15.75" customHeight="1">
      <c r="A251" s="1" t="s">
        <v>56</v>
      </c>
      <c r="B251" s="1" t="s">
        <v>48</v>
      </c>
      <c r="C251" s="1" t="s">
        <v>11</v>
      </c>
      <c r="D251" s="5">
        <v>45740.0</v>
      </c>
      <c r="E251" s="1">
        <v>3.0</v>
      </c>
      <c r="F251" s="1">
        <v>1.0</v>
      </c>
      <c r="G251" s="1">
        <f>VLOOKUP(B251,'old-aw-skill-plan'!A:I,7,FALSE)</f>
        <v>3</v>
      </c>
      <c r="H251" s="1" t="str">
        <f>VLOOKUP(B251,'old-aw-skill-plan'!A:I,9,FALSE)</f>
        <v>3-6</v>
      </c>
    </row>
    <row r="252" ht="15.75" customHeight="1">
      <c r="A252" s="1" t="s">
        <v>56</v>
      </c>
      <c r="B252" s="1" t="s">
        <v>111</v>
      </c>
      <c r="C252" s="1" t="s">
        <v>11</v>
      </c>
      <c r="D252" s="5">
        <v>45740.0</v>
      </c>
      <c r="E252" s="1">
        <v>18.0</v>
      </c>
      <c r="F252" s="1">
        <v>14.0</v>
      </c>
      <c r="G252" s="1" t="str">
        <f>VLOOKUP(B252,'old-aw-skill-plan'!A:I,7,FALSE)</f>
        <v>#N/A</v>
      </c>
      <c r="H252" s="1" t="str">
        <f>VLOOKUP(B252,'old-aw-skill-plan'!A:I,9,FALSE)</f>
        <v>#N/A</v>
      </c>
    </row>
    <row r="253" ht="15.75" customHeight="1">
      <c r="A253" s="1" t="s">
        <v>56</v>
      </c>
      <c r="B253" s="1" t="s">
        <v>34</v>
      </c>
      <c r="C253" s="1" t="s">
        <v>11</v>
      </c>
      <c r="D253" s="5">
        <v>45740.0</v>
      </c>
      <c r="E253" s="1">
        <v>7.0</v>
      </c>
      <c r="F253" s="1">
        <v>2.0</v>
      </c>
      <c r="G253" s="1">
        <f>VLOOKUP(B253,'old-aw-skill-plan'!A:I,7,FALSE)</f>
        <v>4</v>
      </c>
      <c r="H253" s="1" t="str">
        <f>VLOOKUP(B253,'old-aw-skill-plan'!A:I,9,FALSE)</f>
        <v>4-1</v>
      </c>
    </row>
    <row r="254" ht="15.75" customHeight="1">
      <c r="A254" s="1" t="s">
        <v>78</v>
      </c>
      <c r="B254" s="1" t="s">
        <v>10</v>
      </c>
      <c r="C254" s="1" t="s">
        <v>11</v>
      </c>
      <c r="D254" s="5">
        <v>45740.0</v>
      </c>
      <c r="E254" s="1">
        <v>2.0</v>
      </c>
      <c r="F254" s="1">
        <v>2.0</v>
      </c>
      <c r="G254" s="1">
        <f>VLOOKUP(B254,'old-aw-skill-plan'!A:I,7,FALSE)</f>
        <v>3</v>
      </c>
      <c r="H254" s="1" t="str">
        <f>VLOOKUP(B254,'old-aw-skill-plan'!A:I,9,FALSE)</f>
        <v>3-1</v>
      </c>
    </row>
    <row r="255" ht="15.75" customHeight="1">
      <c r="A255" s="1" t="s">
        <v>78</v>
      </c>
      <c r="B255" s="1" t="s">
        <v>30</v>
      </c>
      <c r="C255" s="1" t="s">
        <v>11</v>
      </c>
      <c r="D255" s="5">
        <v>45740.0</v>
      </c>
      <c r="E255" s="1">
        <v>8.0</v>
      </c>
      <c r="F255" s="1">
        <v>6.0</v>
      </c>
      <c r="G255" s="1">
        <f>VLOOKUP(B255,'old-aw-skill-plan'!A:I,7,FALSE)</f>
        <v>3</v>
      </c>
      <c r="H255" s="1" t="str">
        <f>VLOOKUP(B255,'old-aw-skill-plan'!A:I,9,FALSE)</f>
        <v>3-3</v>
      </c>
    </row>
    <row r="256" ht="15.75" customHeight="1">
      <c r="A256" s="1" t="s">
        <v>78</v>
      </c>
      <c r="B256" s="1" t="s">
        <v>47</v>
      </c>
      <c r="C256" s="1" t="s">
        <v>11</v>
      </c>
      <c r="D256" s="5">
        <v>45740.0</v>
      </c>
      <c r="E256" s="1">
        <v>2.0</v>
      </c>
      <c r="F256" s="1">
        <v>2.0</v>
      </c>
      <c r="G256" s="1">
        <f>VLOOKUP(B256,'old-aw-skill-plan'!A:I,7,FALSE)</f>
        <v>3</v>
      </c>
      <c r="H256" s="1" t="str">
        <f>VLOOKUP(B256,'old-aw-skill-plan'!A:I,9,FALSE)</f>
        <v>3-2</v>
      </c>
    </row>
    <row r="257" ht="15.75" customHeight="1">
      <c r="A257" s="1" t="s">
        <v>63</v>
      </c>
      <c r="B257" s="1" t="s">
        <v>44</v>
      </c>
      <c r="C257" s="1" t="s">
        <v>11</v>
      </c>
      <c r="D257" s="5">
        <v>45740.0</v>
      </c>
      <c r="E257" s="1">
        <v>19.0</v>
      </c>
      <c r="F257" s="1">
        <v>10.0</v>
      </c>
      <c r="G257" s="1">
        <f>VLOOKUP(B257,'old-aw-skill-plan'!A:I,7,FALSE)</f>
        <v>5</v>
      </c>
      <c r="H257" s="1" t="str">
        <f>VLOOKUP(B257,'old-aw-skill-plan'!A:I,9,FALSE)</f>
        <v>5-1</v>
      </c>
    </row>
    <row r="258" ht="15.75" customHeight="1">
      <c r="A258" s="1" t="s">
        <v>65</v>
      </c>
      <c r="B258" s="1" t="s">
        <v>34</v>
      </c>
      <c r="C258" s="1" t="s">
        <v>11</v>
      </c>
      <c r="D258" s="5">
        <v>45740.0</v>
      </c>
      <c r="E258" s="1">
        <v>15.0</v>
      </c>
      <c r="F258" s="1">
        <v>8.0</v>
      </c>
      <c r="G258" s="1">
        <f>VLOOKUP(B258,'old-aw-skill-plan'!A:I,7,FALSE)</f>
        <v>4</v>
      </c>
      <c r="H258" s="1" t="str">
        <f>VLOOKUP(B258,'old-aw-skill-plan'!A:I,9,FALSE)</f>
        <v>4-1</v>
      </c>
    </row>
    <row r="259" ht="15.75" customHeight="1">
      <c r="A259" s="1" t="s">
        <v>89</v>
      </c>
      <c r="B259" s="1" t="s">
        <v>10</v>
      </c>
      <c r="C259" s="1" t="s">
        <v>11</v>
      </c>
      <c r="D259" s="5">
        <v>45740.0</v>
      </c>
      <c r="E259" s="1">
        <v>14.0</v>
      </c>
      <c r="F259" s="1">
        <v>1.0</v>
      </c>
      <c r="G259" s="1">
        <f>VLOOKUP(B259,'old-aw-skill-plan'!A:I,7,FALSE)</f>
        <v>3</v>
      </c>
      <c r="H259" s="1" t="str">
        <f>VLOOKUP(B259,'old-aw-skill-plan'!A:I,9,FALSE)</f>
        <v>3-1</v>
      </c>
    </row>
    <row r="260" ht="15.75" customHeight="1">
      <c r="A260" s="1" t="s">
        <v>69</v>
      </c>
      <c r="B260" s="1" t="s">
        <v>10</v>
      </c>
      <c r="C260" s="1" t="s">
        <v>11</v>
      </c>
      <c r="D260" s="5">
        <v>45740.0</v>
      </c>
      <c r="E260" s="1">
        <v>2.0</v>
      </c>
      <c r="F260" s="1">
        <v>2.0</v>
      </c>
      <c r="G260" s="1">
        <f>VLOOKUP(B260,'old-aw-skill-plan'!A:I,7,FALSE)</f>
        <v>3</v>
      </c>
      <c r="H260" s="1" t="str">
        <f>VLOOKUP(B260,'old-aw-skill-plan'!A:I,9,FALSE)</f>
        <v>3-1</v>
      </c>
    </row>
    <row r="261" ht="15.75" customHeight="1">
      <c r="A261" s="1" t="s">
        <v>74</v>
      </c>
      <c r="B261" s="1" t="s">
        <v>44</v>
      </c>
      <c r="C261" s="1" t="s">
        <v>11</v>
      </c>
      <c r="D261" s="5">
        <v>45740.0</v>
      </c>
      <c r="E261" s="1">
        <v>7.0</v>
      </c>
      <c r="F261" s="1">
        <v>4.0</v>
      </c>
      <c r="G261" s="1">
        <f>VLOOKUP(B261,'old-aw-skill-plan'!A:I,7,FALSE)</f>
        <v>5</v>
      </c>
      <c r="H261" s="1" t="str">
        <f>VLOOKUP(B261,'old-aw-skill-plan'!A:I,9,FALSE)</f>
        <v>5-1</v>
      </c>
    </row>
    <row r="262" ht="15.75" customHeight="1">
      <c r="A262" s="1" t="s">
        <v>75</v>
      </c>
      <c r="B262" s="1" t="s">
        <v>10</v>
      </c>
      <c r="C262" s="1" t="s">
        <v>11</v>
      </c>
      <c r="D262" s="5">
        <v>45740.0</v>
      </c>
      <c r="E262" s="1">
        <v>29.0</v>
      </c>
      <c r="F262" s="1">
        <v>22.0</v>
      </c>
      <c r="G262" s="1">
        <f>VLOOKUP(B262,'old-aw-skill-plan'!A:I,7,FALSE)</f>
        <v>3</v>
      </c>
      <c r="H262" s="1" t="str">
        <f>VLOOKUP(B262,'old-aw-skill-plan'!A:I,9,FALSE)</f>
        <v>3-1</v>
      </c>
    </row>
    <row r="263" ht="15.75" customHeight="1">
      <c r="A263" s="1" t="s">
        <v>82</v>
      </c>
      <c r="B263" s="1" t="s">
        <v>10</v>
      </c>
      <c r="C263" s="1" t="s">
        <v>11</v>
      </c>
      <c r="D263" s="5">
        <v>45740.0</v>
      </c>
      <c r="E263" s="1">
        <v>8.0</v>
      </c>
      <c r="F263" s="1">
        <v>4.0</v>
      </c>
      <c r="G263" s="1">
        <f>VLOOKUP(B263,'old-aw-skill-plan'!A:I,7,FALSE)</f>
        <v>3</v>
      </c>
      <c r="H263" s="1" t="str">
        <f>VLOOKUP(B263,'old-aw-skill-plan'!A:I,9,FALSE)</f>
        <v>3-1</v>
      </c>
    </row>
    <row r="264" ht="15.75" customHeight="1">
      <c r="A264" s="1" t="s">
        <v>82</v>
      </c>
      <c r="B264" s="1" t="s">
        <v>25</v>
      </c>
      <c r="C264" s="1" t="s">
        <v>11</v>
      </c>
      <c r="D264" s="5">
        <v>45740.0</v>
      </c>
      <c r="E264" s="1">
        <v>4.0</v>
      </c>
      <c r="F264" s="1">
        <v>4.0</v>
      </c>
      <c r="G264" s="1">
        <f>VLOOKUP(B264,'old-aw-skill-plan'!A:I,7,FALSE)</f>
        <v>5</v>
      </c>
      <c r="H264" s="1" t="str">
        <f>VLOOKUP(B264,'old-aw-skill-plan'!A:I,9,FALSE)</f>
        <v>5-4</v>
      </c>
    </row>
    <row r="265" ht="15.75" customHeight="1">
      <c r="A265" s="1" t="s">
        <v>90</v>
      </c>
      <c r="B265" s="1" t="s">
        <v>116</v>
      </c>
      <c r="C265" s="1" t="s">
        <v>11</v>
      </c>
      <c r="D265" s="5">
        <v>45740.0</v>
      </c>
      <c r="E265" s="1">
        <v>2.0</v>
      </c>
      <c r="F265" s="1">
        <v>0.0</v>
      </c>
      <c r="G265" s="1">
        <f>VLOOKUP(B265,'old-aw-skill-plan'!A:I,7,FALSE)</f>
        <v>3</v>
      </c>
      <c r="H265" s="1" t="str">
        <f>VLOOKUP(B265,'old-aw-skill-plan'!A:I,9,FALSE)</f>
        <v>3-9</v>
      </c>
    </row>
    <row r="266" ht="15.75" customHeight="1">
      <c r="A266" s="1" t="s">
        <v>90</v>
      </c>
      <c r="B266" s="1" t="s">
        <v>10</v>
      </c>
      <c r="C266" s="1" t="s">
        <v>11</v>
      </c>
      <c r="D266" s="5">
        <v>45740.0</v>
      </c>
      <c r="E266" s="1">
        <v>2.0</v>
      </c>
      <c r="F266" s="1">
        <v>2.0</v>
      </c>
      <c r="G266" s="1">
        <f>VLOOKUP(B266,'old-aw-skill-plan'!A:I,7,FALSE)</f>
        <v>3</v>
      </c>
      <c r="H266" s="1" t="str">
        <f>VLOOKUP(B266,'old-aw-skill-plan'!A:I,9,FALSE)</f>
        <v>3-1</v>
      </c>
    </row>
    <row r="267" ht="15.75" customHeight="1">
      <c r="A267" s="1" t="s">
        <v>90</v>
      </c>
      <c r="B267" s="1" t="s">
        <v>58</v>
      </c>
      <c r="C267" s="1" t="s">
        <v>11</v>
      </c>
      <c r="D267" s="5">
        <v>45740.0</v>
      </c>
      <c r="E267" s="1">
        <v>36.0</v>
      </c>
      <c r="F267" s="1">
        <v>22.0</v>
      </c>
      <c r="G267" s="1">
        <f>VLOOKUP(B267,'old-aw-skill-plan'!A:I,7,FALSE)</f>
        <v>3</v>
      </c>
      <c r="H267" s="1" t="str">
        <f>VLOOKUP(B267,'old-aw-skill-plan'!A:I,9,FALSE)</f>
        <v>3-8</v>
      </c>
    </row>
    <row r="268" ht="15.75" customHeight="1">
      <c r="A268" s="1" t="s">
        <v>90</v>
      </c>
      <c r="B268" s="1" t="s">
        <v>48</v>
      </c>
      <c r="C268" s="1" t="s">
        <v>11</v>
      </c>
      <c r="D268" s="5">
        <v>45740.0</v>
      </c>
      <c r="E268" s="1">
        <v>2.0</v>
      </c>
      <c r="F268" s="1">
        <v>2.0</v>
      </c>
      <c r="G268" s="1">
        <f>VLOOKUP(B268,'old-aw-skill-plan'!A:I,7,FALSE)</f>
        <v>3</v>
      </c>
      <c r="H268" s="1" t="str">
        <f>VLOOKUP(B268,'old-aw-skill-plan'!A:I,9,FALSE)</f>
        <v>3-6</v>
      </c>
    </row>
    <row r="269" ht="15.75" customHeight="1">
      <c r="A269" s="1" t="s">
        <v>93</v>
      </c>
      <c r="B269" s="1" t="s">
        <v>44</v>
      </c>
      <c r="C269" s="1" t="s">
        <v>11</v>
      </c>
      <c r="D269" s="5">
        <v>45740.0</v>
      </c>
      <c r="E269" s="1">
        <v>2.0</v>
      </c>
      <c r="F269" s="1">
        <v>2.0</v>
      </c>
      <c r="G269" s="1">
        <f>VLOOKUP(B269,'old-aw-skill-plan'!A:I,7,FALSE)</f>
        <v>5</v>
      </c>
      <c r="H269" s="1" t="str">
        <f>VLOOKUP(B269,'old-aw-skill-plan'!A:I,9,FALSE)</f>
        <v>5-1</v>
      </c>
    </row>
    <row r="270" ht="15.75" customHeight="1">
      <c r="A270" s="1" t="s">
        <v>93</v>
      </c>
      <c r="B270" s="1" t="s">
        <v>104</v>
      </c>
      <c r="C270" s="1" t="s">
        <v>11</v>
      </c>
      <c r="D270" s="5">
        <v>45740.0</v>
      </c>
      <c r="E270" s="1">
        <v>14.0</v>
      </c>
      <c r="F270" s="1">
        <v>12.0</v>
      </c>
      <c r="G270" s="1">
        <f>VLOOKUP(B270,'old-aw-skill-plan'!A:I,7,FALSE)</f>
        <v>5</v>
      </c>
      <c r="H270" s="1" t="str">
        <f>VLOOKUP(B270,'old-aw-skill-plan'!A:I,9,FALSE)</f>
        <v>5-2</v>
      </c>
    </row>
    <row r="271" ht="15.75" customHeight="1">
      <c r="A271" s="1" t="s">
        <v>94</v>
      </c>
      <c r="B271" s="1" t="s">
        <v>44</v>
      </c>
      <c r="C271" s="1" t="s">
        <v>11</v>
      </c>
      <c r="D271" s="5">
        <v>45740.0</v>
      </c>
      <c r="E271" s="1">
        <v>34.0</v>
      </c>
      <c r="F271" s="1">
        <v>26.0</v>
      </c>
      <c r="G271" s="1">
        <f>VLOOKUP(B271,'old-aw-skill-plan'!A:I,7,FALSE)</f>
        <v>5</v>
      </c>
      <c r="H271" s="1" t="str">
        <f>VLOOKUP(B271,'old-aw-skill-plan'!A:I,9,FALSE)</f>
        <v>5-1</v>
      </c>
    </row>
    <row r="272" ht="15.75" customHeight="1">
      <c r="A272" s="1" t="s">
        <v>96</v>
      </c>
      <c r="B272" s="1" t="s">
        <v>10</v>
      </c>
      <c r="C272" s="1" t="s">
        <v>11</v>
      </c>
      <c r="D272" s="5">
        <v>45740.0</v>
      </c>
      <c r="E272" s="1">
        <v>69.0</v>
      </c>
      <c r="F272" s="1">
        <v>36.0</v>
      </c>
      <c r="G272" s="1">
        <f>VLOOKUP(B272,'old-aw-skill-plan'!A:I,7,FALSE)</f>
        <v>3</v>
      </c>
      <c r="H272" s="1" t="str">
        <f>VLOOKUP(B272,'old-aw-skill-plan'!A:I,9,FALSE)</f>
        <v>3-1</v>
      </c>
    </row>
    <row r="273" ht="15.75" customHeight="1">
      <c r="A273" s="1" t="s">
        <v>109</v>
      </c>
      <c r="B273" s="1" t="s">
        <v>34</v>
      </c>
      <c r="C273" s="1" t="s">
        <v>11</v>
      </c>
      <c r="D273" s="5">
        <v>45740.0</v>
      </c>
      <c r="E273" s="1">
        <v>4.0</v>
      </c>
      <c r="F273" s="1">
        <v>0.0</v>
      </c>
      <c r="G273" s="1">
        <f>VLOOKUP(B273,'old-aw-skill-plan'!A:I,7,FALSE)</f>
        <v>4</v>
      </c>
      <c r="H273" s="1" t="str">
        <f>VLOOKUP(B273,'old-aw-skill-plan'!A:I,9,FALSE)</f>
        <v>4-1</v>
      </c>
    </row>
    <row r="274" ht="15.75" customHeight="1">
      <c r="A274" s="1" t="s">
        <v>62</v>
      </c>
      <c r="B274" s="1" t="s">
        <v>10</v>
      </c>
      <c r="C274" s="1" t="s">
        <v>11</v>
      </c>
      <c r="D274" s="5">
        <v>45739.0</v>
      </c>
      <c r="E274" s="1">
        <v>2.0</v>
      </c>
      <c r="F274" s="1">
        <v>2.0</v>
      </c>
      <c r="G274" s="1">
        <f>VLOOKUP(B274,'old-aw-skill-plan'!A:I,7,FALSE)</f>
        <v>3</v>
      </c>
      <c r="H274" s="1" t="str">
        <f>VLOOKUP(B274,'old-aw-skill-plan'!A:I,9,FALSE)</f>
        <v>3-1</v>
      </c>
    </row>
    <row r="275" ht="15.75" customHeight="1">
      <c r="A275" s="1" t="s">
        <v>62</v>
      </c>
      <c r="B275" s="1" t="s">
        <v>118</v>
      </c>
      <c r="C275" s="1" t="s">
        <v>11</v>
      </c>
      <c r="D275" s="5">
        <v>45739.0</v>
      </c>
      <c r="E275" s="1">
        <v>24.0</v>
      </c>
      <c r="F275" s="1">
        <v>18.0</v>
      </c>
      <c r="G275" s="1">
        <f>VLOOKUP(B275,'old-aw-skill-plan'!A:I,7,FALSE)</f>
        <v>3</v>
      </c>
      <c r="H275" s="1" t="str">
        <f>VLOOKUP(B275,'old-aw-skill-plan'!A:I,9,FALSE)</f>
        <v>3-12</v>
      </c>
    </row>
    <row r="276" ht="15.75" customHeight="1">
      <c r="A276" s="1" t="s">
        <v>62</v>
      </c>
      <c r="B276" s="1" t="s">
        <v>47</v>
      </c>
      <c r="C276" s="1" t="s">
        <v>11</v>
      </c>
      <c r="D276" s="5">
        <v>45739.0</v>
      </c>
      <c r="E276" s="1">
        <v>2.0</v>
      </c>
      <c r="F276" s="1">
        <v>2.0</v>
      </c>
      <c r="G276" s="1">
        <f>VLOOKUP(B276,'old-aw-skill-plan'!A:I,7,FALSE)</f>
        <v>3</v>
      </c>
      <c r="H276" s="1" t="str">
        <f>VLOOKUP(B276,'old-aw-skill-plan'!A:I,9,FALSE)</f>
        <v>3-2</v>
      </c>
    </row>
    <row r="277" ht="15.75" customHeight="1">
      <c r="A277" s="1" t="s">
        <v>24</v>
      </c>
      <c r="B277" s="1" t="s">
        <v>25</v>
      </c>
      <c r="C277" s="1" t="s">
        <v>11</v>
      </c>
      <c r="D277" s="5">
        <v>45737.0</v>
      </c>
      <c r="E277" s="1">
        <v>10.0</v>
      </c>
      <c r="F277" s="1">
        <v>6.0</v>
      </c>
      <c r="G277" s="1">
        <f>VLOOKUP(B277,'old-aw-skill-plan'!A:I,7,FALSE)</f>
        <v>5</v>
      </c>
      <c r="H277" s="1" t="str">
        <f>VLOOKUP(B277,'old-aw-skill-plan'!A:I,9,FALSE)</f>
        <v>5-4</v>
      </c>
    </row>
    <row r="278" ht="15.75" customHeight="1">
      <c r="A278" s="1" t="s">
        <v>49</v>
      </c>
      <c r="B278" s="1" t="s">
        <v>79</v>
      </c>
      <c r="C278" s="1" t="s">
        <v>11</v>
      </c>
      <c r="D278" s="5">
        <v>45737.0</v>
      </c>
      <c r="E278" s="1">
        <v>49.0</v>
      </c>
      <c r="F278" s="1">
        <v>35.0</v>
      </c>
      <c r="G278" s="1">
        <f>VLOOKUP(B278,'old-aw-skill-plan'!A:I,7,FALSE)</f>
        <v>4</v>
      </c>
      <c r="H278" s="1" t="str">
        <f>VLOOKUP(B278,'old-aw-skill-plan'!A:I,9,FALSE)</f>
        <v>4-8</v>
      </c>
    </row>
    <row r="279" ht="15.75" customHeight="1">
      <c r="A279" s="1" t="s">
        <v>52</v>
      </c>
      <c r="B279" s="1" t="s">
        <v>30</v>
      </c>
      <c r="C279" s="1" t="s">
        <v>11</v>
      </c>
      <c r="D279" s="5">
        <v>45737.0</v>
      </c>
      <c r="E279" s="1">
        <v>2.0</v>
      </c>
      <c r="F279" s="1">
        <v>2.0</v>
      </c>
      <c r="G279" s="1">
        <f>VLOOKUP(B279,'old-aw-skill-plan'!A:I,7,FALSE)</f>
        <v>3</v>
      </c>
      <c r="H279" s="1" t="str">
        <f>VLOOKUP(B279,'old-aw-skill-plan'!A:I,9,FALSE)</f>
        <v>3-3</v>
      </c>
    </row>
    <row r="280" ht="15.75" customHeight="1">
      <c r="A280" s="1" t="s">
        <v>52</v>
      </c>
      <c r="B280" s="1" t="s">
        <v>47</v>
      </c>
      <c r="C280" s="1" t="s">
        <v>11</v>
      </c>
      <c r="D280" s="5">
        <v>45737.0</v>
      </c>
      <c r="E280" s="1">
        <v>2.0</v>
      </c>
      <c r="F280" s="1">
        <v>2.0</v>
      </c>
      <c r="G280" s="1">
        <f>VLOOKUP(B280,'old-aw-skill-plan'!A:I,7,FALSE)</f>
        <v>3</v>
      </c>
      <c r="H280" s="1" t="str">
        <f>VLOOKUP(B280,'old-aw-skill-plan'!A:I,9,FALSE)</f>
        <v>3-2</v>
      </c>
    </row>
    <row r="281" ht="15.75" customHeight="1">
      <c r="A281" s="1" t="s">
        <v>51</v>
      </c>
      <c r="B281" s="1" t="s">
        <v>10</v>
      </c>
      <c r="C281" s="1" t="s">
        <v>11</v>
      </c>
      <c r="D281" s="5">
        <v>45737.0</v>
      </c>
      <c r="E281" s="1">
        <v>24.0</v>
      </c>
      <c r="F281" s="1">
        <v>8.0</v>
      </c>
      <c r="G281" s="1">
        <f>VLOOKUP(B281,'old-aw-skill-plan'!A:I,7,FALSE)</f>
        <v>3</v>
      </c>
      <c r="H281" s="1" t="str">
        <f>VLOOKUP(B281,'old-aw-skill-plan'!A:I,9,FALSE)</f>
        <v>3-1</v>
      </c>
    </row>
    <row r="282" ht="15.75" customHeight="1">
      <c r="A282" s="1" t="s">
        <v>78</v>
      </c>
      <c r="B282" s="1" t="s">
        <v>117</v>
      </c>
      <c r="C282" s="1" t="s">
        <v>11</v>
      </c>
      <c r="D282" s="5">
        <v>45737.0</v>
      </c>
      <c r="E282" s="1">
        <v>4.0</v>
      </c>
      <c r="F282" s="1">
        <v>2.0</v>
      </c>
      <c r="G282" s="1">
        <f>VLOOKUP(B282,'old-aw-skill-plan'!A:I,7,FALSE)</f>
        <v>3</v>
      </c>
      <c r="H282" s="1" t="str">
        <f>VLOOKUP(B282,'old-aw-skill-plan'!A:I,9,FALSE)</f>
        <v>3-11</v>
      </c>
    </row>
    <row r="283" ht="15.75" customHeight="1">
      <c r="A283" s="1" t="s">
        <v>78</v>
      </c>
      <c r="B283" s="1" t="s">
        <v>118</v>
      </c>
      <c r="C283" s="1" t="s">
        <v>11</v>
      </c>
      <c r="D283" s="5">
        <v>45737.0</v>
      </c>
      <c r="E283" s="1">
        <v>13.0</v>
      </c>
      <c r="F283" s="1">
        <v>12.0</v>
      </c>
      <c r="G283" s="1">
        <f>VLOOKUP(B283,'old-aw-skill-plan'!A:I,7,FALSE)</f>
        <v>3</v>
      </c>
      <c r="H283" s="1" t="str">
        <f>VLOOKUP(B283,'old-aw-skill-plan'!A:I,9,FALSE)</f>
        <v>3-12</v>
      </c>
    </row>
    <row r="284" ht="15.75" customHeight="1">
      <c r="A284" s="1" t="s">
        <v>60</v>
      </c>
      <c r="B284" s="1" t="s">
        <v>120</v>
      </c>
      <c r="C284" s="1" t="s">
        <v>11</v>
      </c>
      <c r="D284" s="5">
        <v>45737.0</v>
      </c>
      <c r="E284" s="1">
        <v>4.0</v>
      </c>
      <c r="F284" s="1">
        <v>2.0</v>
      </c>
      <c r="G284" s="1">
        <f>VLOOKUP(B284,'old-aw-skill-plan'!A:I,7,FALSE)</f>
        <v>5</v>
      </c>
      <c r="H284" s="1" t="str">
        <f>VLOOKUP(B284,'old-aw-skill-plan'!A:I,9,FALSE)</f>
        <v>5-11</v>
      </c>
    </row>
    <row r="285" ht="15.75" customHeight="1">
      <c r="A285" s="1" t="s">
        <v>60</v>
      </c>
      <c r="B285" s="1" t="s">
        <v>121</v>
      </c>
      <c r="C285" s="1" t="s">
        <v>11</v>
      </c>
      <c r="D285" s="5">
        <v>45737.0</v>
      </c>
      <c r="E285" s="1">
        <v>16.0</v>
      </c>
      <c r="F285" s="1">
        <v>12.0</v>
      </c>
      <c r="G285" s="1">
        <f>VLOOKUP(B285,'old-aw-skill-plan'!A:I,7,FALSE)</f>
        <v>5</v>
      </c>
      <c r="H285" s="1" t="str">
        <f>VLOOKUP(B285,'old-aw-skill-plan'!A:I,9,FALSE)</f>
        <v>5-12</v>
      </c>
    </row>
    <row r="286" ht="15.75" customHeight="1">
      <c r="A286" s="1" t="s">
        <v>63</v>
      </c>
      <c r="B286" s="1" t="s">
        <v>87</v>
      </c>
      <c r="C286" s="1" t="s">
        <v>11</v>
      </c>
      <c r="D286" s="5">
        <v>45737.0</v>
      </c>
      <c r="E286" s="1">
        <v>25.0</v>
      </c>
      <c r="F286" s="1">
        <v>16.0</v>
      </c>
      <c r="G286" s="1">
        <f>VLOOKUP(B286,'old-aw-skill-plan'!A:I,7,FALSE)</f>
        <v>5</v>
      </c>
      <c r="H286" s="1" t="str">
        <f>VLOOKUP(B286,'old-aw-skill-plan'!A:I,9,FALSE)</f>
        <v>5-6</v>
      </c>
    </row>
    <row r="287" ht="15.75" customHeight="1">
      <c r="A287" s="1" t="s">
        <v>65</v>
      </c>
      <c r="B287" s="1" t="s">
        <v>66</v>
      </c>
      <c r="C287" s="1" t="s">
        <v>11</v>
      </c>
      <c r="D287" s="5">
        <v>45737.0</v>
      </c>
      <c r="E287" s="1">
        <v>2.0</v>
      </c>
      <c r="F287" s="1">
        <v>0.0</v>
      </c>
      <c r="G287" s="1">
        <f>VLOOKUP(B287,'old-aw-skill-plan'!A:I,7,FALSE)</f>
        <v>4</v>
      </c>
      <c r="H287" s="1" t="str">
        <f>VLOOKUP(B287,'old-aw-skill-plan'!A:I,9,FALSE)</f>
        <v>4-9</v>
      </c>
    </row>
    <row r="288" ht="15.75" customHeight="1">
      <c r="A288" s="1" t="s">
        <v>65</v>
      </c>
      <c r="B288" s="1" t="s">
        <v>79</v>
      </c>
      <c r="C288" s="1" t="s">
        <v>11</v>
      </c>
      <c r="D288" s="5">
        <v>45737.0</v>
      </c>
      <c r="E288" s="1">
        <v>24.0</v>
      </c>
      <c r="F288" s="1">
        <v>18.0</v>
      </c>
      <c r="G288" s="1">
        <f>VLOOKUP(B288,'old-aw-skill-plan'!A:I,7,FALSE)</f>
        <v>4</v>
      </c>
      <c r="H288" s="1" t="str">
        <f>VLOOKUP(B288,'old-aw-skill-plan'!A:I,9,FALSE)</f>
        <v>4-8</v>
      </c>
    </row>
    <row r="289" ht="15.75" customHeight="1">
      <c r="A289" s="1" t="s">
        <v>68</v>
      </c>
      <c r="B289" s="1" t="s">
        <v>117</v>
      </c>
      <c r="C289" s="1" t="s">
        <v>11</v>
      </c>
      <c r="D289" s="5">
        <v>45737.0</v>
      </c>
      <c r="E289" s="1">
        <v>4.0</v>
      </c>
      <c r="F289" s="1">
        <v>0.0</v>
      </c>
      <c r="G289" s="1">
        <f>VLOOKUP(B289,'old-aw-skill-plan'!A:I,7,FALSE)</f>
        <v>3</v>
      </c>
      <c r="H289" s="1" t="str">
        <f>VLOOKUP(B289,'old-aw-skill-plan'!A:I,9,FALSE)</f>
        <v>3-11</v>
      </c>
    </row>
    <row r="290" ht="15.75" customHeight="1">
      <c r="A290" s="1" t="s">
        <v>75</v>
      </c>
      <c r="B290" s="1" t="s">
        <v>10</v>
      </c>
      <c r="C290" s="1" t="s">
        <v>11</v>
      </c>
      <c r="D290" s="5">
        <v>45737.0</v>
      </c>
      <c r="E290" s="1">
        <v>2.0</v>
      </c>
      <c r="F290" s="1">
        <v>0.0</v>
      </c>
      <c r="G290" s="1">
        <f>VLOOKUP(B290,'old-aw-skill-plan'!A:I,7,FALSE)</f>
        <v>3</v>
      </c>
      <c r="H290" s="1" t="str">
        <f>VLOOKUP(B290,'old-aw-skill-plan'!A:I,9,FALSE)</f>
        <v>3-1</v>
      </c>
    </row>
    <row r="291" ht="15.75" customHeight="1">
      <c r="A291" s="1" t="s">
        <v>75</v>
      </c>
      <c r="B291" s="1" t="s">
        <v>118</v>
      </c>
      <c r="C291" s="1" t="s">
        <v>11</v>
      </c>
      <c r="D291" s="5">
        <v>45737.0</v>
      </c>
      <c r="E291" s="1">
        <v>9.0</v>
      </c>
      <c r="F291" s="1">
        <v>7.0</v>
      </c>
      <c r="G291" s="1">
        <f>VLOOKUP(B291,'old-aw-skill-plan'!A:I,7,FALSE)</f>
        <v>3</v>
      </c>
      <c r="H291" s="1" t="str">
        <f>VLOOKUP(B291,'old-aw-skill-plan'!A:I,9,FALSE)</f>
        <v>3-12</v>
      </c>
    </row>
    <row r="292" ht="15.75" customHeight="1">
      <c r="A292" s="1" t="s">
        <v>75</v>
      </c>
      <c r="B292" s="1" t="s">
        <v>111</v>
      </c>
      <c r="C292" s="1" t="s">
        <v>11</v>
      </c>
      <c r="D292" s="5">
        <v>45737.0</v>
      </c>
      <c r="E292" s="1">
        <v>1.0</v>
      </c>
      <c r="F292" s="1">
        <v>1.0</v>
      </c>
      <c r="G292" s="1" t="str">
        <f>VLOOKUP(B292,'old-aw-skill-plan'!A:I,7,FALSE)</f>
        <v>#N/A</v>
      </c>
      <c r="H292" s="1" t="str">
        <f>VLOOKUP(B292,'old-aw-skill-plan'!A:I,9,FALSE)</f>
        <v>#N/A</v>
      </c>
    </row>
    <row r="293" ht="15.75" customHeight="1">
      <c r="A293" s="1" t="s">
        <v>77</v>
      </c>
      <c r="B293" s="1" t="s">
        <v>123</v>
      </c>
      <c r="C293" s="1" t="s">
        <v>11</v>
      </c>
      <c r="D293" s="5">
        <v>45737.0</v>
      </c>
      <c r="E293" s="1">
        <v>16.0</v>
      </c>
      <c r="F293" s="1">
        <v>12.0</v>
      </c>
      <c r="G293" s="1">
        <f>VLOOKUP(B293,'old-aw-skill-plan'!A:I,7,FALSE)</f>
        <v>4</v>
      </c>
      <c r="H293" s="1" t="str">
        <f>VLOOKUP(B293,'old-aw-skill-plan'!A:I,9,FALSE)</f>
        <v>4-12</v>
      </c>
    </row>
    <row r="294" ht="15.75" customHeight="1">
      <c r="A294" s="1" t="s">
        <v>100</v>
      </c>
      <c r="B294" s="1" t="s">
        <v>25</v>
      </c>
      <c r="C294" s="1" t="s">
        <v>11</v>
      </c>
      <c r="D294" s="5">
        <v>45737.0</v>
      </c>
      <c r="E294" s="1">
        <v>14.0</v>
      </c>
      <c r="F294" s="1">
        <v>8.0</v>
      </c>
      <c r="G294" s="1">
        <f>VLOOKUP(B294,'old-aw-skill-plan'!A:I,7,FALSE)</f>
        <v>5</v>
      </c>
      <c r="H294" s="1" t="str">
        <f>VLOOKUP(B294,'old-aw-skill-plan'!A:I,9,FALSE)</f>
        <v>5-4</v>
      </c>
    </row>
    <row r="295" ht="15.75" customHeight="1">
      <c r="A295" s="1" t="s">
        <v>100</v>
      </c>
      <c r="B295" s="1" t="s">
        <v>44</v>
      </c>
      <c r="C295" s="1" t="s">
        <v>11</v>
      </c>
      <c r="D295" s="5">
        <v>45737.0</v>
      </c>
      <c r="E295" s="1">
        <v>2.0</v>
      </c>
      <c r="F295" s="1">
        <v>2.0</v>
      </c>
      <c r="G295" s="1">
        <f>VLOOKUP(B295,'old-aw-skill-plan'!A:I,7,FALSE)</f>
        <v>5</v>
      </c>
      <c r="H295" s="1" t="str">
        <f>VLOOKUP(B295,'old-aw-skill-plan'!A:I,9,FALSE)</f>
        <v>5-1</v>
      </c>
    </row>
    <row r="296" ht="15.75" customHeight="1">
      <c r="A296" s="1" t="s">
        <v>100</v>
      </c>
      <c r="B296" s="1" t="s">
        <v>103</v>
      </c>
      <c r="C296" s="1" t="s">
        <v>11</v>
      </c>
      <c r="D296" s="5">
        <v>45737.0</v>
      </c>
      <c r="E296" s="1">
        <v>2.0</v>
      </c>
      <c r="F296" s="1">
        <v>2.0</v>
      </c>
      <c r="G296" s="1">
        <f>VLOOKUP(B296,'old-aw-skill-plan'!A:I,7,FALSE)</f>
        <v>5</v>
      </c>
      <c r="H296" s="1" t="str">
        <f>VLOOKUP(B296,'old-aw-skill-plan'!A:I,9,FALSE)</f>
        <v>5-3</v>
      </c>
    </row>
    <row r="297" ht="15.75" customHeight="1">
      <c r="A297" s="1" t="s">
        <v>100</v>
      </c>
      <c r="B297" s="1" t="s">
        <v>104</v>
      </c>
      <c r="C297" s="1" t="s">
        <v>11</v>
      </c>
      <c r="D297" s="5">
        <v>45737.0</v>
      </c>
      <c r="E297" s="1">
        <v>2.0</v>
      </c>
      <c r="F297" s="1">
        <v>2.0</v>
      </c>
      <c r="G297" s="1">
        <f>VLOOKUP(B297,'old-aw-skill-plan'!A:I,7,FALSE)</f>
        <v>5</v>
      </c>
      <c r="H297" s="1" t="str">
        <f>VLOOKUP(B297,'old-aw-skill-plan'!A:I,9,FALSE)</f>
        <v>5-2</v>
      </c>
    </row>
    <row r="298" ht="15.75" customHeight="1">
      <c r="A298" s="1" t="s">
        <v>82</v>
      </c>
      <c r="B298" s="1" t="s">
        <v>25</v>
      </c>
      <c r="C298" s="1" t="s">
        <v>11</v>
      </c>
      <c r="D298" s="5">
        <v>45737.0</v>
      </c>
      <c r="E298" s="1">
        <v>27.0</v>
      </c>
      <c r="F298" s="1">
        <v>23.0</v>
      </c>
      <c r="G298" s="1">
        <f>VLOOKUP(B298,'old-aw-skill-plan'!A:I,7,FALSE)</f>
        <v>5</v>
      </c>
      <c r="H298" s="1" t="str">
        <f>VLOOKUP(B298,'old-aw-skill-plan'!A:I,9,FALSE)</f>
        <v>5-4</v>
      </c>
    </row>
    <row r="299" ht="15.75" customHeight="1">
      <c r="A299" s="1" t="s">
        <v>90</v>
      </c>
      <c r="B299" s="1" t="s">
        <v>28</v>
      </c>
      <c r="C299" s="1" t="s">
        <v>11</v>
      </c>
      <c r="D299" s="5">
        <v>45737.0</v>
      </c>
      <c r="E299" s="1">
        <v>1.0</v>
      </c>
      <c r="F299" s="1">
        <v>1.0</v>
      </c>
      <c r="G299" s="1">
        <f>VLOOKUP(B299,'old-aw-skill-plan'!A:I,7,FALSE)</f>
        <v>3</v>
      </c>
      <c r="H299" s="1" t="str">
        <f>VLOOKUP(B299,'old-aw-skill-plan'!A:I,9,FALSE)</f>
        <v>3-4</v>
      </c>
    </row>
    <row r="300" ht="15.75" customHeight="1">
      <c r="A300" s="1" t="s">
        <v>90</v>
      </c>
      <c r="B300" s="1" t="s">
        <v>57</v>
      </c>
      <c r="C300" s="1" t="s">
        <v>11</v>
      </c>
      <c r="D300" s="5">
        <v>45737.0</v>
      </c>
      <c r="E300" s="1">
        <v>15.0</v>
      </c>
      <c r="F300" s="1">
        <v>13.0</v>
      </c>
      <c r="G300" s="1">
        <f>VLOOKUP(B300,'old-aw-skill-plan'!A:I,7,FALSE)</f>
        <v>3</v>
      </c>
      <c r="H300" s="1" t="str">
        <f>VLOOKUP(B300,'old-aw-skill-plan'!A:I,9,FALSE)</f>
        <v>3-7</v>
      </c>
    </row>
    <row r="301" ht="15.75" customHeight="1">
      <c r="A301" s="1" t="s">
        <v>90</v>
      </c>
      <c r="B301" s="1" t="s">
        <v>58</v>
      </c>
      <c r="C301" s="1" t="s">
        <v>11</v>
      </c>
      <c r="D301" s="5">
        <v>45737.0</v>
      </c>
      <c r="E301" s="1">
        <v>14.0</v>
      </c>
      <c r="F301" s="1">
        <v>2.0</v>
      </c>
      <c r="G301" s="1">
        <f>VLOOKUP(B301,'old-aw-skill-plan'!A:I,7,FALSE)</f>
        <v>3</v>
      </c>
      <c r="H301" s="1" t="str">
        <f>VLOOKUP(B301,'old-aw-skill-plan'!A:I,9,FALSE)</f>
        <v>3-8</v>
      </c>
    </row>
    <row r="302" ht="15.75" customHeight="1">
      <c r="A302" s="1" t="s">
        <v>90</v>
      </c>
      <c r="B302" s="1" t="s">
        <v>48</v>
      </c>
      <c r="C302" s="1" t="s">
        <v>11</v>
      </c>
      <c r="D302" s="5">
        <v>45737.0</v>
      </c>
      <c r="E302" s="1">
        <v>11.0</v>
      </c>
      <c r="F302" s="1">
        <v>11.0</v>
      </c>
      <c r="G302" s="1">
        <f>VLOOKUP(B302,'old-aw-skill-plan'!A:I,7,FALSE)</f>
        <v>3</v>
      </c>
      <c r="H302" s="1" t="str">
        <f>VLOOKUP(B302,'old-aw-skill-plan'!A:I,9,FALSE)</f>
        <v>3-6</v>
      </c>
    </row>
    <row r="303" ht="15.75" customHeight="1">
      <c r="A303" s="1" t="s">
        <v>26</v>
      </c>
      <c r="B303" s="1" t="s">
        <v>34</v>
      </c>
      <c r="C303" s="1" t="s">
        <v>11</v>
      </c>
      <c r="D303" s="5">
        <v>45736.0</v>
      </c>
      <c r="G303" s="1">
        <f>VLOOKUP(B303,'old-aw-skill-plan'!A:I,7,FALSE)</f>
        <v>4</v>
      </c>
      <c r="H303" s="1" t="str">
        <f>VLOOKUP(B303,'old-aw-skill-plan'!A:I,9,FALSE)</f>
        <v>4-1</v>
      </c>
    </row>
    <row r="304" ht="15.75" customHeight="1">
      <c r="A304" s="1" t="s">
        <v>18</v>
      </c>
      <c r="B304" s="1" t="s">
        <v>21</v>
      </c>
      <c r="C304" s="1" t="s">
        <v>11</v>
      </c>
      <c r="D304" s="5">
        <v>45736.0</v>
      </c>
      <c r="G304" s="1">
        <f>VLOOKUP(B304,'old-aw-skill-plan'!A:I,7,FALSE)</f>
        <v>4</v>
      </c>
      <c r="H304" s="1" t="str">
        <f>VLOOKUP(B304,'old-aw-skill-plan'!A:I,9,FALSE)</f>
        <v>4-6</v>
      </c>
    </row>
    <row r="305" ht="15.75" customHeight="1">
      <c r="A305" s="1" t="s">
        <v>18</v>
      </c>
      <c r="B305" s="1" t="s">
        <v>23</v>
      </c>
      <c r="C305" s="1" t="s">
        <v>11</v>
      </c>
      <c r="D305" s="5">
        <v>45736.0</v>
      </c>
      <c r="G305" s="1">
        <f>VLOOKUP(B305,'old-aw-skill-plan'!A:I,7,FALSE)</f>
        <v>4</v>
      </c>
      <c r="H305" s="1" t="str">
        <f>VLOOKUP(B305,'old-aw-skill-plan'!A:I,9,FALSE)</f>
        <v>4-5</v>
      </c>
    </row>
    <row r="306" ht="15.75" customHeight="1">
      <c r="A306" s="1" t="s">
        <v>52</v>
      </c>
      <c r="B306" s="1" t="s">
        <v>10</v>
      </c>
      <c r="C306" s="1" t="s">
        <v>11</v>
      </c>
      <c r="D306" s="5">
        <v>45736.0</v>
      </c>
      <c r="G306" s="1">
        <f>VLOOKUP(B306,'old-aw-skill-plan'!A:I,7,FALSE)</f>
        <v>3</v>
      </c>
      <c r="H306" s="1" t="str">
        <f>VLOOKUP(B306,'old-aw-skill-plan'!A:I,9,FALSE)</f>
        <v>3-1</v>
      </c>
    </row>
    <row r="307" ht="15.75" customHeight="1">
      <c r="A307" s="1" t="s">
        <v>64</v>
      </c>
      <c r="B307" s="1" t="s">
        <v>25</v>
      </c>
      <c r="C307" s="1" t="s">
        <v>11</v>
      </c>
      <c r="D307" s="5">
        <v>45736.0</v>
      </c>
      <c r="G307" s="1">
        <f>VLOOKUP(B307,'old-aw-skill-plan'!A:I,7,FALSE)</f>
        <v>5</v>
      </c>
      <c r="H307" s="1" t="str">
        <f>VLOOKUP(B307,'old-aw-skill-plan'!A:I,9,FALSE)</f>
        <v>5-4</v>
      </c>
    </row>
    <row r="308" ht="15.75" customHeight="1">
      <c r="A308" s="1" t="s">
        <v>51</v>
      </c>
      <c r="B308" s="1" t="s">
        <v>10</v>
      </c>
      <c r="C308" s="1" t="s">
        <v>11</v>
      </c>
      <c r="D308" s="5">
        <v>45736.0</v>
      </c>
      <c r="G308" s="1">
        <f>VLOOKUP(B308,'old-aw-skill-plan'!A:I,7,FALSE)</f>
        <v>3</v>
      </c>
      <c r="H308" s="1" t="str">
        <f>VLOOKUP(B308,'old-aw-skill-plan'!A:I,9,FALSE)</f>
        <v>3-1</v>
      </c>
    </row>
    <row r="309" ht="15.75" customHeight="1">
      <c r="A309" s="1" t="s">
        <v>56</v>
      </c>
      <c r="B309" s="1" t="s">
        <v>34</v>
      </c>
      <c r="C309" s="1" t="s">
        <v>11</v>
      </c>
      <c r="D309" s="5">
        <v>45736.0</v>
      </c>
      <c r="G309" s="1">
        <f>VLOOKUP(B309,'old-aw-skill-plan'!A:I,7,FALSE)</f>
        <v>4</v>
      </c>
      <c r="H309" s="1" t="str">
        <f>VLOOKUP(B309,'old-aw-skill-plan'!A:I,9,FALSE)</f>
        <v>4-1</v>
      </c>
    </row>
    <row r="310" ht="15.75" customHeight="1">
      <c r="A310" s="1" t="s">
        <v>78</v>
      </c>
      <c r="B310" s="1" t="s">
        <v>10</v>
      </c>
      <c r="C310" s="1" t="s">
        <v>11</v>
      </c>
      <c r="D310" s="5">
        <v>45736.0</v>
      </c>
      <c r="G310" s="1">
        <f>VLOOKUP(B310,'old-aw-skill-plan'!A:I,7,FALSE)</f>
        <v>3</v>
      </c>
      <c r="H310" s="1" t="str">
        <f>VLOOKUP(B310,'old-aw-skill-plan'!A:I,9,FALSE)</f>
        <v>3-1</v>
      </c>
    </row>
    <row r="311" ht="15.75" customHeight="1">
      <c r="A311" s="1" t="s">
        <v>78</v>
      </c>
      <c r="B311" s="1" t="s">
        <v>30</v>
      </c>
      <c r="C311" s="1" t="s">
        <v>11</v>
      </c>
      <c r="D311" s="5">
        <v>45736.0</v>
      </c>
      <c r="G311" s="1">
        <f>VLOOKUP(B311,'old-aw-skill-plan'!A:I,7,FALSE)</f>
        <v>3</v>
      </c>
      <c r="H311" s="1" t="str">
        <f>VLOOKUP(B311,'old-aw-skill-plan'!A:I,9,FALSE)</f>
        <v>3-3</v>
      </c>
    </row>
    <row r="312" ht="15.75" customHeight="1">
      <c r="A312" s="1" t="s">
        <v>78</v>
      </c>
      <c r="B312" s="1" t="s">
        <v>47</v>
      </c>
      <c r="C312" s="1" t="s">
        <v>11</v>
      </c>
      <c r="D312" s="5">
        <v>45736.0</v>
      </c>
      <c r="G312" s="1">
        <f>VLOOKUP(B312,'old-aw-skill-plan'!A:I,7,FALSE)</f>
        <v>3</v>
      </c>
      <c r="H312" s="1" t="str">
        <f>VLOOKUP(B312,'old-aw-skill-plan'!A:I,9,FALSE)</f>
        <v>3-2</v>
      </c>
    </row>
    <row r="313" ht="15.75" customHeight="1">
      <c r="A313" s="1" t="s">
        <v>78</v>
      </c>
      <c r="B313" s="1" t="s">
        <v>33</v>
      </c>
      <c r="C313" s="1" t="s">
        <v>11</v>
      </c>
      <c r="D313" s="5">
        <v>45736.0</v>
      </c>
      <c r="G313" s="1">
        <f>VLOOKUP(B313,'old-aw-skill-plan'!A:I,7,FALSE)</f>
        <v>3</v>
      </c>
      <c r="H313" s="1" t="str">
        <f>VLOOKUP(B313,'old-aw-skill-plan'!A:I,9,FALSE)</f>
        <v>3-5</v>
      </c>
    </row>
    <row r="314" ht="15.75" customHeight="1">
      <c r="A314" s="1" t="s">
        <v>81</v>
      </c>
      <c r="B314" s="1" t="s">
        <v>66</v>
      </c>
      <c r="C314" s="1" t="s">
        <v>11</v>
      </c>
      <c r="D314" s="5">
        <v>45736.0</v>
      </c>
      <c r="G314" s="1">
        <f>VLOOKUP(B314,'old-aw-skill-plan'!A:I,7,FALSE)</f>
        <v>4</v>
      </c>
      <c r="H314" s="1" t="str">
        <f>VLOOKUP(B314,'old-aw-skill-plan'!A:I,9,FALSE)</f>
        <v>4-9</v>
      </c>
    </row>
    <row r="315" ht="15.75" customHeight="1">
      <c r="A315" s="1" t="s">
        <v>81</v>
      </c>
      <c r="B315" s="1" t="s">
        <v>124</v>
      </c>
      <c r="C315" s="1" t="s">
        <v>11</v>
      </c>
      <c r="D315" s="5">
        <v>45736.0</v>
      </c>
      <c r="G315" s="1">
        <f>VLOOKUP(B315,'old-aw-skill-plan'!A:I,7,FALSE)</f>
        <v>7</v>
      </c>
      <c r="H315" s="1" t="str">
        <f>VLOOKUP(B315,'old-aw-skill-plan'!A:I,9,FALSE)</f>
        <v>7-5</v>
      </c>
    </row>
    <row r="316" ht="15.75" customHeight="1">
      <c r="A316" s="1" t="s">
        <v>81</v>
      </c>
      <c r="B316" s="1" t="s">
        <v>125</v>
      </c>
      <c r="C316" s="1" t="s">
        <v>11</v>
      </c>
      <c r="D316" s="5">
        <v>45736.0</v>
      </c>
      <c r="G316" s="1">
        <f>VLOOKUP(B316,'old-aw-skill-plan'!A:I,7,FALSE)</f>
        <v>7</v>
      </c>
      <c r="H316" s="1" t="str">
        <f>VLOOKUP(B316,'old-aw-skill-plan'!A:I,9,FALSE)</f>
        <v>7-8</v>
      </c>
    </row>
    <row r="317" ht="15.75" customHeight="1">
      <c r="A317" s="1" t="s">
        <v>60</v>
      </c>
      <c r="B317" s="1" t="s">
        <v>104</v>
      </c>
      <c r="C317" s="1" t="s">
        <v>11</v>
      </c>
      <c r="D317" s="5">
        <v>45736.0</v>
      </c>
      <c r="G317" s="1">
        <f>VLOOKUP(B317,'old-aw-skill-plan'!A:I,7,FALSE)</f>
        <v>5</v>
      </c>
      <c r="H317" s="1" t="str">
        <f>VLOOKUP(B317,'old-aw-skill-plan'!A:I,9,FALSE)</f>
        <v>5-2</v>
      </c>
    </row>
    <row r="318" ht="15.75" customHeight="1">
      <c r="A318" s="1" t="s">
        <v>92</v>
      </c>
      <c r="B318" s="1" t="s">
        <v>10</v>
      </c>
      <c r="C318" s="1" t="s">
        <v>11</v>
      </c>
      <c r="D318" s="5">
        <v>45736.0</v>
      </c>
      <c r="G318" s="1">
        <f>VLOOKUP(B318,'old-aw-skill-plan'!A:I,7,FALSE)</f>
        <v>3</v>
      </c>
      <c r="H318" s="1" t="str">
        <f>VLOOKUP(B318,'old-aw-skill-plan'!A:I,9,FALSE)</f>
        <v>3-1</v>
      </c>
    </row>
    <row r="319" ht="15.75" customHeight="1">
      <c r="A319" s="1" t="s">
        <v>75</v>
      </c>
      <c r="B319" s="1" t="s">
        <v>126</v>
      </c>
      <c r="C319" s="1" t="s">
        <v>11</v>
      </c>
      <c r="D319" s="5">
        <v>45736.0</v>
      </c>
      <c r="G319" s="1">
        <f>VLOOKUP(B319,'old-aw-skill-plan'!A:I,7,FALSE)</f>
        <v>6</v>
      </c>
      <c r="H319" s="1" t="str">
        <f>VLOOKUP(B319,'old-aw-skill-plan'!A:I,9,FALSE)</f>
        <v>6-11</v>
      </c>
    </row>
    <row r="320" ht="15.75" customHeight="1">
      <c r="A320" s="1" t="s">
        <v>75</v>
      </c>
      <c r="B320" s="1" t="s">
        <v>10</v>
      </c>
      <c r="C320" s="1" t="s">
        <v>11</v>
      </c>
      <c r="D320" s="5">
        <v>45736.0</v>
      </c>
      <c r="G320" s="1">
        <f>VLOOKUP(B320,'old-aw-skill-plan'!A:I,7,FALSE)</f>
        <v>3</v>
      </c>
      <c r="H320" s="1" t="str">
        <f>VLOOKUP(B320,'old-aw-skill-plan'!A:I,9,FALSE)</f>
        <v>3-1</v>
      </c>
    </row>
    <row r="321" ht="15.75" customHeight="1">
      <c r="A321" s="1" t="s">
        <v>75</v>
      </c>
      <c r="B321" s="1" t="s">
        <v>30</v>
      </c>
      <c r="C321" s="1" t="s">
        <v>11</v>
      </c>
      <c r="D321" s="5">
        <v>45736.0</v>
      </c>
      <c r="G321" s="1">
        <f>VLOOKUP(B321,'old-aw-skill-plan'!A:I,7,FALSE)</f>
        <v>3</v>
      </c>
      <c r="H321" s="1" t="str">
        <f>VLOOKUP(B321,'old-aw-skill-plan'!A:I,9,FALSE)</f>
        <v>3-3</v>
      </c>
    </row>
    <row r="322" ht="15.75" customHeight="1">
      <c r="A322" s="1" t="s">
        <v>75</v>
      </c>
      <c r="B322" s="1" t="s">
        <v>112</v>
      </c>
      <c r="C322" s="1" t="s">
        <v>11</v>
      </c>
      <c r="D322" s="5">
        <v>45736.0</v>
      </c>
      <c r="G322" s="1">
        <f>VLOOKUP(B322,'old-aw-skill-plan'!A:I,7,FALSE)</f>
        <v>6</v>
      </c>
      <c r="H322" s="1" t="str">
        <f>VLOOKUP(B322,'old-aw-skill-plan'!A:I,9,FALSE)</f>
        <v>6-9</v>
      </c>
    </row>
    <row r="323" ht="15.75" customHeight="1">
      <c r="A323" s="1" t="s">
        <v>82</v>
      </c>
      <c r="B323" s="1" t="s">
        <v>10</v>
      </c>
      <c r="C323" s="1" t="s">
        <v>11</v>
      </c>
      <c r="D323" s="5">
        <v>45736.0</v>
      </c>
      <c r="G323" s="1">
        <f>VLOOKUP(B323,'old-aw-skill-plan'!A:I,7,FALSE)</f>
        <v>3</v>
      </c>
      <c r="H323" s="1" t="str">
        <f>VLOOKUP(B323,'old-aw-skill-plan'!A:I,9,FALSE)</f>
        <v>3-1</v>
      </c>
    </row>
    <row r="324" ht="15.75" customHeight="1">
      <c r="A324" s="1" t="s">
        <v>82</v>
      </c>
      <c r="B324" s="1" t="s">
        <v>33</v>
      </c>
      <c r="C324" s="1" t="s">
        <v>11</v>
      </c>
      <c r="D324" s="5">
        <v>45736.0</v>
      </c>
      <c r="G324" s="1">
        <f>VLOOKUP(B324,'old-aw-skill-plan'!A:I,7,FALSE)</f>
        <v>3</v>
      </c>
      <c r="H324" s="1" t="str">
        <f>VLOOKUP(B324,'old-aw-skill-plan'!A:I,9,FALSE)</f>
        <v>3-5</v>
      </c>
    </row>
    <row r="325" ht="15.75" customHeight="1">
      <c r="A325" s="1" t="s">
        <v>102</v>
      </c>
      <c r="B325" s="1" t="s">
        <v>115</v>
      </c>
      <c r="C325" s="1" t="s">
        <v>11</v>
      </c>
      <c r="D325" s="5">
        <v>45736.0</v>
      </c>
      <c r="G325" s="1">
        <f>VLOOKUP(B325,'old-aw-skill-plan'!A:I,7,FALSE)</f>
        <v>3</v>
      </c>
      <c r="H325" s="1" t="str">
        <f>VLOOKUP(B325,'old-aw-skill-plan'!A:I,9,FALSE)</f>
        <v>3-10</v>
      </c>
    </row>
    <row r="326" ht="15.75" customHeight="1">
      <c r="A326" s="1" t="s">
        <v>102</v>
      </c>
      <c r="B326" s="1" t="s">
        <v>28</v>
      </c>
      <c r="C326" s="1" t="s">
        <v>11</v>
      </c>
      <c r="D326" s="5">
        <v>45736.0</v>
      </c>
      <c r="G326" s="1">
        <f>VLOOKUP(B326,'old-aw-skill-plan'!A:I,7,FALSE)</f>
        <v>3</v>
      </c>
      <c r="H326" s="1" t="str">
        <f>VLOOKUP(B326,'old-aw-skill-plan'!A:I,9,FALSE)</f>
        <v>3-4</v>
      </c>
    </row>
    <row r="327" ht="15.75" customHeight="1">
      <c r="A327" s="1" t="s">
        <v>102</v>
      </c>
      <c r="B327" s="1" t="s">
        <v>116</v>
      </c>
      <c r="C327" s="1" t="s">
        <v>11</v>
      </c>
      <c r="D327" s="5">
        <v>45736.0</v>
      </c>
      <c r="G327" s="1">
        <f>VLOOKUP(B327,'old-aw-skill-plan'!A:I,7,FALSE)</f>
        <v>3</v>
      </c>
      <c r="H327" s="1" t="str">
        <f>VLOOKUP(B327,'old-aw-skill-plan'!A:I,9,FALSE)</f>
        <v>3-9</v>
      </c>
    </row>
    <row r="328" ht="15.75" customHeight="1">
      <c r="A328" s="1" t="s">
        <v>102</v>
      </c>
      <c r="B328" s="1" t="s">
        <v>58</v>
      </c>
      <c r="C328" s="1" t="s">
        <v>11</v>
      </c>
      <c r="D328" s="5">
        <v>45736.0</v>
      </c>
      <c r="G328" s="1">
        <f>VLOOKUP(B328,'old-aw-skill-plan'!A:I,7,FALSE)</f>
        <v>3</v>
      </c>
      <c r="H328" s="1" t="str">
        <f>VLOOKUP(B328,'old-aw-skill-plan'!A:I,9,FALSE)</f>
        <v>3-8</v>
      </c>
    </row>
    <row r="329" ht="15.75" customHeight="1">
      <c r="A329" s="1" t="s">
        <v>102</v>
      </c>
      <c r="B329" s="1" t="s">
        <v>33</v>
      </c>
      <c r="C329" s="1" t="s">
        <v>11</v>
      </c>
      <c r="D329" s="5">
        <v>45736.0</v>
      </c>
      <c r="G329" s="1">
        <f>VLOOKUP(B329,'old-aw-skill-plan'!A:I,7,FALSE)</f>
        <v>3</v>
      </c>
      <c r="H329" s="1" t="str">
        <f>VLOOKUP(B329,'old-aw-skill-plan'!A:I,9,FALSE)</f>
        <v>3-5</v>
      </c>
    </row>
    <row r="330" ht="15.75" customHeight="1">
      <c r="A330" s="1" t="s">
        <v>26</v>
      </c>
      <c r="B330" s="1" t="s">
        <v>34</v>
      </c>
      <c r="C330" s="1" t="s">
        <v>11</v>
      </c>
      <c r="D330" s="5">
        <v>45735.0</v>
      </c>
      <c r="G330" s="1">
        <f>VLOOKUP(B330,'old-aw-skill-plan'!A:I,7,FALSE)</f>
        <v>4</v>
      </c>
      <c r="H330" s="1" t="str">
        <f>VLOOKUP(B330,'old-aw-skill-plan'!A:I,9,FALSE)</f>
        <v>4-1</v>
      </c>
    </row>
    <row r="331" ht="15.75" customHeight="1">
      <c r="A331" s="1" t="s">
        <v>18</v>
      </c>
      <c r="B331" s="1" t="s">
        <v>61</v>
      </c>
      <c r="C331" s="1" t="s">
        <v>11</v>
      </c>
      <c r="D331" s="5">
        <v>45735.0</v>
      </c>
      <c r="G331" s="1">
        <f>VLOOKUP(B331,'old-aw-skill-plan'!A:I,7,FALSE)</f>
        <v>4</v>
      </c>
      <c r="H331" s="1" t="str">
        <f>VLOOKUP(B331,'old-aw-skill-plan'!A:I,9,FALSE)</f>
        <v>4-4</v>
      </c>
    </row>
    <row r="332" ht="15.75" customHeight="1">
      <c r="A332" s="1" t="s">
        <v>18</v>
      </c>
      <c r="B332" s="1" t="s">
        <v>34</v>
      </c>
      <c r="C332" s="1" t="s">
        <v>11</v>
      </c>
      <c r="D332" s="5">
        <v>45735.0</v>
      </c>
      <c r="G332" s="1">
        <f>VLOOKUP(B332,'old-aw-skill-plan'!A:I,7,FALSE)</f>
        <v>4</v>
      </c>
      <c r="H332" s="1" t="str">
        <f>VLOOKUP(B332,'old-aw-skill-plan'!A:I,9,FALSE)</f>
        <v>4-1</v>
      </c>
    </row>
    <row r="333" ht="15.75" customHeight="1">
      <c r="A333" s="1" t="s">
        <v>18</v>
      </c>
      <c r="B333" s="1" t="s">
        <v>97</v>
      </c>
      <c r="C333" s="1" t="s">
        <v>11</v>
      </c>
      <c r="D333" s="5">
        <v>45735.0</v>
      </c>
      <c r="G333" s="1">
        <f>VLOOKUP(B333,'old-aw-skill-plan'!A:I,7,FALSE)</f>
        <v>4</v>
      </c>
      <c r="H333" s="1" t="str">
        <f>VLOOKUP(B333,'old-aw-skill-plan'!A:I,9,FALSE)</f>
        <v>4-3</v>
      </c>
    </row>
    <row r="334" ht="15.75" customHeight="1">
      <c r="A334" s="1" t="s">
        <v>18</v>
      </c>
      <c r="B334" s="1" t="s">
        <v>37</v>
      </c>
      <c r="C334" s="1" t="s">
        <v>11</v>
      </c>
      <c r="D334" s="5">
        <v>45735.0</v>
      </c>
      <c r="G334" s="1">
        <f>VLOOKUP(B334,'old-aw-skill-plan'!A:I,7,FALSE)</f>
        <v>4</v>
      </c>
      <c r="H334" s="1" t="str">
        <f>VLOOKUP(B334,'old-aw-skill-plan'!A:I,9,FALSE)</f>
        <v>4-2</v>
      </c>
    </row>
    <row r="335" ht="15.75" customHeight="1">
      <c r="A335" s="1" t="s">
        <v>18</v>
      </c>
      <c r="B335" s="1" t="s">
        <v>23</v>
      </c>
      <c r="C335" s="1" t="s">
        <v>11</v>
      </c>
      <c r="D335" s="5">
        <v>45735.0</v>
      </c>
      <c r="G335" s="1">
        <f>VLOOKUP(B335,'old-aw-skill-plan'!A:I,7,FALSE)</f>
        <v>4</v>
      </c>
      <c r="H335" s="1" t="str">
        <f>VLOOKUP(B335,'old-aw-skill-plan'!A:I,9,FALSE)</f>
        <v>4-5</v>
      </c>
    </row>
    <row r="336" ht="15.75" customHeight="1">
      <c r="A336" s="1" t="s">
        <v>64</v>
      </c>
      <c r="B336" s="1" t="s">
        <v>25</v>
      </c>
      <c r="C336" s="1" t="s">
        <v>11</v>
      </c>
      <c r="D336" s="5">
        <v>45735.0</v>
      </c>
      <c r="G336" s="1">
        <f>VLOOKUP(B336,'old-aw-skill-plan'!A:I,7,FALSE)</f>
        <v>5</v>
      </c>
      <c r="H336" s="1" t="str">
        <f>VLOOKUP(B336,'old-aw-skill-plan'!A:I,9,FALSE)</f>
        <v>5-4</v>
      </c>
    </row>
    <row r="337" ht="15.75" customHeight="1">
      <c r="A337" s="1" t="s">
        <v>64</v>
      </c>
      <c r="B337" s="1" t="s">
        <v>44</v>
      </c>
      <c r="C337" s="1" t="s">
        <v>11</v>
      </c>
      <c r="D337" s="5">
        <v>45735.0</v>
      </c>
      <c r="G337" s="1">
        <f>VLOOKUP(B337,'old-aw-skill-plan'!A:I,7,FALSE)</f>
        <v>5</v>
      </c>
      <c r="H337" s="1" t="str">
        <f>VLOOKUP(B337,'old-aw-skill-plan'!A:I,9,FALSE)</f>
        <v>5-1</v>
      </c>
    </row>
    <row r="338" ht="15.75" customHeight="1">
      <c r="A338" s="1" t="s">
        <v>64</v>
      </c>
      <c r="B338" s="1" t="s">
        <v>103</v>
      </c>
      <c r="C338" s="1" t="s">
        <v>11</v>
      </c>
      <c r="D338" s="5">
        <v>45735.0</v>
      </c>
      <c r="G338" s="1">
        <f>VLOOKUP(B338,'old-aw-skill-plan'!A:I,7,FALSE)</f>
        <v>5</v>
      </c>
      <c r="H338" s="1" t="str">
        <f>VLOOKUP(B338,'old-aw-skill-plan'!A:I,9,FALSE)</f>
        <v>5-3</v>
      </c>
    </row>
    <row r="339" ht="15.75" customHeight="1">
      <c r="A339" s="1" t="s">
        <v>64</v>
      </c>
      <c r="B339" s="1" t="s">
        <v>104</v>
      </c>
      <c r="C339" s="1" t="s">
        <v>11</v>
      </c>
      <c r="D339" s="5">
        <v>45735.0</v>
      </c>
      <c r="G339" s="1">
        <f>VLOOKUP(B339,'old-aw-skill-plan'!A:I,7,FALSE)</f>
        <v>5</v>
      </c>
      <c r="H339" s="1" t="str">
        <f>VLOOKUP(B339,'old-aw-skill-plan'!A:I,9,FALSE)</f>
        <v>5-2</v>
      </c>
    </row>
    <row r="340" ht="15.75" customHeight="1">
      <c r="A340" s="1" t="s">
        <v>39</v>
      </c>
      <c r="B340" s="1" t="s">
        <v>66</v>
      </c>
      <c r="C340" s="1" t="s">
        <v>11</v>
      </c>
      <c r="D340" s="5">
        <v>45735.0</v>
      </c>
      <c r="G340" s="1">
        <f>VLOOKUP(B340,'old-aw-skill-plan'!A:I,7,FALSE)</f>
        <v>4</v>
      </c>
      <c r="H340" s="1" t="str">
        <f>VLOOKUP(B340,'old-aw-skill-plan'!A:I,9,FALSE)</f>
        <v>4-9</v>
      </c>
    </row>
    <row r="341" ht="15.75" customHeight="1">
      <c r="A341" s="1" t="s">
        <v>39</v>
      </c>
      <c r="B341" s="1" t="s">
        <v>44</v>
      </c>
      <c r="C341" s="1" t="s">
        <v>11</v>
      </c>
      <c r="D341" s="5">
        <v>45735.0</v>
      </c>
      <c r="G341" s="1">
        <f>VLOOKUP(B341,'old-aw-skill-plan'!A:I,7,FALSE)</f>
        <v>5</v>
      </c>
      <c r="H341" s="1" t="str">
        <f>VLOOKUP(B341,'old-aw-skill-plan'!A:I,9,FALSE)</f>
        <v>5-1</v>
      </c>
    </row>
    <row r="342" ht="15.75" customHeight="1">
      <c r="A342" s="1" t="s">
        <v>51</v>
      </c>
      <c r="B342" s="1" t="s">
        <v>10</v>
      </c>
      <c r="C342" s="1" t="s">
        <v>11</v>
      </c>
      <c r="D342" s="5">
        <v>45735.0</v>
      </c>
      <c r="G342" s="1">
        <f>VLOOKUP(B342,'old-aw-skill-plan'!A:I,7,FALSE)</f>
        <v>3</v>
      </c>
      <c r="H342" s="1" t="str">
        <f>VLOOKUP(B342,'old-aw-skill-plan'!A:I,9,FALSE)</f>
        <v>3-1</v>
      </c>
    </row>
    <row r="343" ht="15.75" customHeight="1">
      <c r="A343" s="1" t="s">
        <v>78</v>
      </c>
      <c r="B343" s="1" t="s">
        <v>28</v>
      </c>
      <c r="C343" s="1" t="s">
        <v>11</v>
      </c>
      <c r="D343" s="5">
        <v>45735.0</v>
      </c>
      <c r="G343" s="1">
        <f>VLOOKUP(B343,'old-aw-skill-plan'!A:I,7,FALSE)</f>
        <v>3</v>
      </c>
      <c r="H343" s="1" t="str">
        <f>VLOOKUP(B343,'old-aw-skill-plan'!A:I,9,FALSE)</f>
        <v>3-4</v>
      </c>
    </row>
    <row r="344" ht="15.75" customHeight="1">
      <c r="A344" s="1" t="s">
        <v>78</v>
      </c>
      <c r="B344" s="1" t="s">
        <v>33</v>
      </c>
      <c r="C344" s="1" t="s">
        <v>11</v>
      </c>
      <c r="D344" s="5">
        <v>45735.0</v>
      </c>
      <c r="G344" s="1">
        <f>VLOOKUP(B344,'old-aw-skill-plan'!A:I,7,FALSE)</f>
        <v>3</v>
      </c>
      <c r="H344" s="1" t="str">
        <f>VLOOKUP(B344,'old-aw-skill-plan'!A:I,9,FALSE)</f>
        <v>3-5</v>
      </c>
    </row>
    <row r="345" ht="15.75" customHeight="1">
      <c r="A345" s="1" t="s">
        <v>81</v>
      </c>
      <c r="B345" s="1" t="s">
        <v>61</v>
      </c>
      <c r="C345" s="1" t="s">
        <v>11</v>
      </c>
      <c r="D345" s="5">
        <v>45735.0</v>
      </c>
      <c r="G345" s="1">
        <f>VLOOKUP(B345,'old-aw-skill-plan'!A:I,7,FALSE)</f>
        <v>4</v>
      </c>
      <c r="H345" s="1" t="str">
        <f>VLOOKUP(B345,'old-aw-skill-plan'!A:I,9,FALSE)</f>
        <v>4-4</v>
      </c>
    </row>
    <row r="346" ht="15.75" customHeight="1">
      <c r="A346" s="1" t="s">
        <v>81</v>
      </c>
      <c r="B346" s="1" t="s">
        <v>123</v>
      </c>
      <c r="C346" s="1" t="s">
        <v>11</v>
      </c>
      <c r="D346" s="5">
        <v>45735.0</v>
      </c>
      <c r="G346" s="1">
        <f>VLOOKUP(B346,'old-aw-skill-plan'!A:I,7,FALSE)</f>
        <v>4</v>
      </c>
      <c r="H346" s="1" t="str">
        <f>VLOOKUP(B346,'old-aw-skill-plan'!A:I,9,FALSE)</f>
        <v>4-12</v>
      </c>
    </row>
    <row r="347" ht="15.75" customHeight="1">
      <c r="A347" s="1" t="s">
        <v>81</v>
      </c>
      <c r="B347" s="1" t="s">
        <v>113</v>
      </c>
      <c r="C347" s="1" t="s">
        <v>11</v>
      </c>
      <c r="D347" s="5">
        <v>45735.0</v>
      </c>
      <c r="G347" s="1">
        <f>VLOOKUP(B347,'old-aw-skill-plan'!A:I,7,FALSE)</f>
        <v>7</v>
      </c>
      <c r="H347" s="1" t="str">
        <f>VLOOKUP(B347,'old-aw-skill-plan'!A:I,9,FALSE)</f>
        <v>7-7</v>
      </c>
    </row>
    <row r="348" ht="15.75" customHeight="1">
      <c r="A348" s="1" t="s">
        <v>81</v>
      </c>
      <c r="B348" s="1" t="s">
        <v>79</v>
      </c>
      <c r="C348" s="1" t="s">
        <v>11</v>
      </c>
      <c r="D348" s="5">
        <v>45735.0</v>
      </c>
      <c r="G348" s="1">
        <f>VLOOKUP(B348,'old-aw-skill-plan'!A:I,7,FALSE)</f>
        <v>4</v>
      </c>
      <c r="H348" s="1" t="str">
        <f>VLOOKUP(B348,'old-aw-skill-plan'!A:I,9,FALSE)</f>
        <v>4-8</v>
      </c>
    </row>
    <row r="349" ht="15.75" customHeight="1">
      <c r="A349" s="1" t="s">
        <v>60</v>
      </c>
      <c r="B349" s="1" t="s">
        <v>61</v>
      </c>
      <c r="C349" s="1" t="s">
        <v>11</v>
      </c>
      <c r="D349" s="5">
        <v>45735.0</v>
      </c>
      <c r="G349" s="1">
        <f>VLOOKUP(B349,'old-aw-skill-plan'!A:I,7,FALSE)</f>
        <v>4</v>
      </c>
      <c r="H349" s="1" t="str">
        <f>VLOOKUP(B349,'old-aw-skill-plan'!A:I,9,FALSE)</f>
        <v>4-4</v>
      </c>
    </row>
    <row r="350" ht="15.75" customHeight="1">
      <c r="A350" s="1" t="s">
        <v>60</v>
      </c>
      <c r="B350" s="1" t="s">
        <v>44</v>
      </c>
      <c r="C350" s="1" t="s">
        <v>11</v>
      </c>
      <c r="D350" s="5">
        <v>45735.0</v>
      </c>
      <c r="G350" s="1">
        <f>VLOOKUP(B350,'old-aw-skill-plan'!A:I,7,FALSE)</f>
        <v>5</v>
      </c>
      <c r="H350" s="1" t="str">
        <f>VLOOKUP(B350,'old-aw-skill-plan'!A:I,9,FALSE)</f>
        <v>5-1</v>
      </c>
    </row>
    <row r="351" ht="15.75" customHeight="1">
      <c r="A351" s="1" t="s">
        <v>60</v>
      </c>
      <c r="B351" s="1" t="s">
        <v>104</v>
      </c>
      <c r="C351" s="1" t="s">
        <v>11</v>
      </c>
      <c r="D351" s="5">
        <v>45735.0</v>
      </c>
      <c r="G351" s="1">
        <f>VLOOKUP(B351,'old-aw-skill-plan'!A:I,7,FALSE)</f>
        <v>5</v>
      </c>
      <c r="H351" s="1" t="str">
        <f>VLOOKUP(B351,'old-aw-skill-plan'!A:I,9,FALSE)</f>
        <v>5-2</v>
      </c>
    </row>
    <row r="352" ht="15.75" customHeight="1">
      <c r="A352" s="1" t="s">
        <v>63</v>
      </c>
      <c r="B352" s="1" t="s">
        <v>116</v>
      </c>
      <c r="C352" s="1" t="s">
        <v>11</v>
      </c>
      <c r="D352" s="5">
        <v>45735.0</v>
      </c>
      <c r="G352" s="1">
        <f>VLOOKUP(B352,'old-aw-skill-plan'!A:I,7,FALSE)</f>
        <v>3</v>
      </c>
      <c r="H352" s="1" t="str">
        <f>VLOOKUP(B352,'old-aw-skill-plan'!A:I,9,FALSE)</f>
        <v>3-9</v>
      </c>
    </row>
    <row r="353" ht="15.75" customHeight="1">
      <c r="A353" s="1" t="s">
        <v>63</v>
      </c>
      <c r="B353" s="1" t="s">
        <v>25</v>
      </c>
      <c r="C353" s="1" t="s">
        <v>11</v>
      </c>
      <c r="D353" s="5">
        <v>45735.0</v>
      </c>
      <c r="G353" s="1">
        <f>VLOOKUP(B353,'old-aw-skill-plan'!A:I,7,FALSE)</f>
        <v>5</v>
      </c>
      <c r="H353" s="1" t="str">
        <f>VLOOKUP(B353,'old-aw-skill-plan'!A:I,9,FALSE)</f>
        <v>5-4</v>
      </c>
    </row>
    <row r="354" ht="15.75" customHeight="1">
      <c r="A354" s="1" t="s">
        <v>63</v>
      </c>
      <c r="B354" s="1" t="s">
        <v>44</v>
      </c>
      <c r="C354" s="1" t="s">
        <v>11</v>
      </c>
      <c r="D354" s="5">
        <v>45735.0</v>
      </c>
      <c r="G354" s="1">
        <f>VLOOKUP(B354,'old-aw-skill-plan'!A:I,7,FALSE)</f>
        <v>5</v>
      </c>
      <c r="H354" s="1" t="str">
        <f>VLOOKUP(B354,'old-aw-skill-plan'!A:I,9,FALSE)</f>
        <v>5-1</v>
      </c>
    </row>
    <row r="355" ht="15.75" customHeight="1">
      <c r="A355" s="1" t="s">
        <v>63</v>
      </c>
      <c r="B355" s="1" t="s">
        <v>103</v>
      </c>
      <c r="C355" s="1" t="s">
        <v>11</v>
      </c>
      <c r="D355" s="5">
        <v>45735.0</v>
      </c>
      <c r="G355" s="1">
        <f>VLOOKUP(B355,'old-aw-skill-plan'!A:I,7,FALSE)</f>
        <v>5</v>
      </c>
      <c r="H355" s="1" t="str">
        <f>VLOOKUP(B355,'old-aw-skill-plan'!A:I,9,FALSE)</f>
        <v>5-3</v>
      </c>
    </row>
    <row r="356" ht="15.75" customHeight="1">
      <c r="A356" s="1" t="s">
        <v>63</v>
      </c>
      <c r="B356" s="1" t="s">
        <v>104</v>
      </c>
      <c r="C356" s="1" t="s">
        <v>11</v>
      </c>
      <c r="D356" s="5">
        <v>45735.0</v>
      </c>
      <c r="G356" s="1">
        <f>VLOOKUP(B356,'old-aw-skill-plan'!A:I,7,FALSE)</f>
        <v>5</v>
      </c>
      <c r="H356" s="1" t="str">
        <f>VLOOKUP(B356,'old-aw-skill-plan'!A:I,9,FALSE)</f>
        <v>5-2</v>
      </c>
    </row>
    <row r="357" ht="15.75" customHeight="1">
      <c r="A357" s="1" t="s">
        <v>63</v>
      </c>
      <c r="B357" s="1" t="s">
        <v>88</v>
      </c>
      <c r="C357" s="1" t="s">
        <v>11</v>
      </c>
      <c r="D357" s="5">
        <v>45735.0</v>
      </c>
      <c r="G357" s="1">
        <f>VLOOKUP(B357,'old-aw-skill-plan'!A:I,7,FALSE)</f>
        <v>5</v>
      </c>
      <c r="H357" s="1" t="str">
        <f>VLOOKUP(B357,'old-aw-skill-plan'!A:I,9,FALSE)</f>
        <v>5-5</v>
      </c>
    </row>
    <row r="358" ht="15.75" customHeight="1">
      <c r="A358" s="1" t="s">
        <v>65</v>
      </c>
      <c r="B358" s="1" t="s">
        <v>34</v>
      </c>
      <c r="C358" s="1" t="s">
        <v>11</v>
      </c>
      <c r="D358" s="5">
        <v>45735.0</v>
      </c>
      <c r="G358" s="1">
        <f>VLOOKUP(B358,'old-aw-skill-plan'!A:I,7,FALSE)</f>
        <v>4</v>
      </c>
      <c r="H358" s="1" t="str">
        <f>VLOOKUP(B358,'old-aw-skill-plan'!A:I,9,FALSE)</f>
        <v>4-1</v>
      </c>
    </row>
    <row r="359" ht="15.75" customHeight="1">
      <c r="A359" s="1" t="s">
        <v>65</v>
      </c>
      <c r="B359" s="1" t="s">
        <v>21</v>
      </c>
      <c r="C359" s="1" t="s">
        <v>11</v>
      </c>
      <c r="D359" s="5">
        <v>45735.0</v>
      </c>
      <c r="G359" s="1">
        <f>VLOOKUP(B359,'old-aw-skill-plan'!A:I,7,FALSE)</f>
        <v>4</v>
      </c>
      <c r="H359" s="1" t="str">
        <f>VLOOKUP(B359,'old-aw-skill-plan'!A:I,9,FALSE)</f>
        <v>4-6</v>
      </c>
    </row>
    <row r="360" ht="15.75" customHeight="1">
      <c r="A360" s="1" t="s">
        <v>65</v>
      </c>
      <c r="B360" s="1" t="s">
        <v>23</v>
      </c>
      <c r="C360" s="1" t="s">
        <v>11</v>
      </c>
      <c r="D360" s="5">
        <v>45735.0</v>
      </c>
      <c r="G360" s="1">
        <f>VLOOKUP(B360,'old-aw-skill-plan'!A:I,7,FALSE)</f>
        <v>4</v>
      </c>
      <c r="H360" s="1" t="str">
        <f>VLOOKUP(B360,'old-aw-skill-plan'!A:I,9,FALSE)</f>
        <v>4-5</v>
      </c>
    </row>
    <row r="361" ht="15.75" customHeight="1">
      <c r="A361" s="1" t="s">
        <v>89</v>
      </c>
      <c r="B361" s="1" t="s">
        <v>10</v>
      </c>
      <c r="C361" s="1" t="s">
        <v>11</v>
      </c>
      <c r="D361" s="5">
        <v>45735.0</v>
      </c>
      <c r="G361" s="1">
        <f>VLOOKUP(B361,'old-aw-skill-plan'!A:I,7,FALSE)</f>
        <v>3</v>
      </c>
      <c r="H361" s="1" t="str">
        <f>VLOOKUP(B361,'old-aw-skill-plan'!A:I,9,FALSE)</f>
        <v>3-1</v>
      </c>
    </row>
    <row r="362" ht="15.75" customHeight="1">
      <c r="A362" s="1" t="s">
        <v>68</v>
      </c>
      <c r="B362" s="1" t="s">
        <v>10</v>
      </c>
      <c r="C362" s="1" t="s">
        <v>11</v>
      </c>
      <c r="D362" s="5">
        <v>45735.0</v>
      </c>
      <c r="G362" s="1">
        <f>VLOOKUP(B362,'old-aw-skill-plan'!A:I,7,FALSE)</f>
        <v>3</v>
      </c>
      <c r="H362" s="1" t="str">
        <f>VLOOKUP(B362,'old-aw-skill-plan'!A:I,9,FALSE)</f>
        <v>3-1</v>
      </c>
    </row>
    <row r="363" ht="15.75" customHeight="1">
      <c r="A363" s="1" t="s">
        <v>68</v>
      </c>
      <c r="B363" s="1" t="s">
        <v>57</v>
      </c>
      <c r="C363" s="1" t="s">
        <v>11</v>
      </c>
      <c r="D363" s="5">
        <v>45735.0</v>
      </c>
      <c r="G363" s="1">
        <f>VLOOKUP(B363,'old-aw-skill-plan'!A:I,7,FALSE)</f>
        <v>3</v>
      </c>
      <c r="H363" s="1" t="str">
        <f>VLOOKUP(B363,'old-aw-skill-plan'!A:I,9,FALSE)</f>
        <v>3-7</v>
      </c>
    </row>
    <row r="364" ht="15.75" customHeight="1">
      <c r="A364" s="1" t="s">
        <v>68</v>
      </c>
      <c r="B364" s="1" t="s">
        <v>91</v>
      </c>
      <c r="C364" s="1" t="s">
        <v>11</v>
      </c>
      <c r="D364" s="5">
        <v>45735.0</v>
      </c>
      <c r="G364" s="1">
        <f>VLOOKUP(B364,'old-aw-skill-plan'!A:I,7,FALSE)</f>
        <v>6</v>
      </c>
      <c r="H364" s="1" t="str">
        <f>VLOOKUP(B364,'old-aw-skill-plan'!A:I,9,FALSE)</f>
        <v>6-1</v>
      </c>
    </row>
    <row r="365" ht="15.75" customHeight="1">
      <c r="A365" s="1" t="s">
        <v>68</v>
      </c>
      <c r="B365" s="1" t="s">
        <v>48</v>
      </c>
      <c r="C365" s="1" t="s">
        <v>11</v>
      </c>
      <c r="D365" s="5">
        <v>45735.0</v>
      </c>
      <c r="G365" s="1">
        <f>VLOOKUP(B365,'old-aw-skill-plan'!A:I,7,FALSE)</f>
        <v>3</v>
      </c>
      <c r="H365" s="1" t="str">
        <f>VLOOKUP(B365,'old-aw-skill-plan'!A:I,9,FALSE)</f>
        <v>3-6</v>
      </c>
    </row>
    <row r="366" ht="15.75" customHeight="1">
      <c r="A366" s="1" t="s">
        <v>69</v>
      </c>
      <c r="B366" s="1" t="s">
        <v>10</v>
      </c>
      <c r="C366" s="1" t="s">
        <v>11</v>
      </c>
      <c r="D366" s="5">
        <v>45735.0</v>
      </c>
      <c r="G366" s="1">
        <f>VLOOKUP(B366,'old-aw-skill-plan'!A:I,7,FALSE)</f>
        <v>3</v>
      </c>
      <c r="H366" s="1" t="str">
        <f>VLOOKUP(B366,'old-aw-skill-plan'!A:I,9,FALSE)</f>
        <v>3-1</v>
      </c>
    </row>
    <row r="367" ht="15.75" customHeight="1">
      <c r="A367" s="1" t="s">
        <v>69</v>
      </c>
      <c r="B367" s="1" t="s">
        <v>47</v>
      </c>
      <c r="C367" s="1" t="s">
        <v>11</v>
      </c>
      <c r="D367" s="5">
        <v>45735.0</v>
      </c>
      <c r="G367" s="1">
        <f>VLOOKUP(B367,'old-aw-skill-plan'!A:I,7,FALSE)</f>
        <v>3</v>
      </c>
      <c r="H367" s="1" t="str">
        <f>VLOOKUP(B367,'old-aw-skill-plan'!A:I,9,FALSE)</f>
        <v>3-2</v>
      </c>
    </row>
    <row r="368" ht="15.75" customHeight="1">
      <c r="A368" s="1" t="s">
        <v>75</v>
      </c>
      <c r="B368" s="1" t="s">
        <v>10</v>
      </c>
      <c r="C368" s="1" t="s">
        <v>11</v>
      </c>
      <c r="D368" s="5">
        <v>45735.0</v>
      </c>
      <c r="G368" s="1">
        <f>VLOOKUP(B368,'old-aw-skill-plan'!A:I,7,FALSE)</f>
        <v>3</v>
      </c>
      <c r="H368" s="1" t="str">
        <f>VLOOKUP(B368,'old-aw-skill-plan'!A:I,9,FALSE)</f>
        <v>3-1</v>
      </c>
    </row>
    <row r="369" ht="15.75" customHeight="1">
      <c r="A369" s="1" t="s">
        <v>75</v>
      </c>
      <c r="B369" s="1" t="s">
        <v>127</v>
      </c>
      <c r="C369" s="1" t="s">
        <v>11</v>
      </c>
      <c r="D369" s="5">
        <v>45735.0</v>
      </c>
      <c r="G369" s="1" t="str">
        <f>VLOOKUP(B369,'old-aw-skill-plan'!A:I,7,FALSE)</f>
        <v>#N/A</v>
      </c>
      <c r="H369" s="1" t="str">
        <f>VLOOKUP(B369,'old-aw-skill-plan'!A:I,9,FALSE)</f>
        <v>#N/A</v>
      </c>
    </row>
    <row r="370" ht="15.75" customHeight="1">
      <c r="A370" s="1" t="s">
        <v>75</v>
      </c>
      <c r="B370" s="1" t="s">
        <v>112</v>
      </c>
      <c r="C370" s="1" t="s">
        <v>11</v>
      </c>
      <c r="D370" s="5">
        <v>45735.0</v>
      </c>
      <c r="G370" s="1">
        <f>VLOOKUP(B370,'old-aw-skill-plan'!A:I,7,FALSE)</f>
        <v>6</v>
      </c>
      <c r="H370" s="1" t="str">
        <f>VLOOKUP(B370,'old-aw-skill-plan'!A:I,9,FALSE)</f>
        <v>6-9</v>
      </c>
    </row>
    <row r="371" ht="15.75" customHeight="1">
      <c r="A371" s="1" t="s">
        <v>75</v>
      </c>
      <c r="B371" s="1" t="s">
        <v>47</v>
      </c>
      <c r="C371" s="1" t="s">
        <v>11</v>
      </c>
      <c r="D371" s="5">
        <v>45735.0</v>
      </c>
      <c r="G371" s="1">
        <f>VLOOKUP(B371,'old-aw-skill-plan'!A:I,7,FALSE)</f>
        <v>3</v>
      </c>
      <c r="H371" s="1" t="str">
        <f>VLOOKUP(B371,'old-aw-skill-plan'!A:I,9,FALSE)</f>
        <v>3-2</v>
      </c>
    </row>
    <row r="372" ht="15.75" customHeight="1">
      <c r="A372" s="1" t="s">
        <v>77</v>
      </c>
      <c r="B372" s="1" t="s">
        <v>34</v>
      </c>
      <c r="C372" s="1" t="s">
        <v>11</v>
      </c>
      <c r="D372" s="5">
        <v>45735.0</v>
      </c>
      <c r="G372" s="1">
        <f>VLOOKUP(B372,'old-aw-skill-plan'!A:I,7,FALSE)</f>
        <v>4</v>
      </c>
      <c r="H372" s="1" t="str">
        <f>VLOOKUP(B372,'old-aw-skill-plan'!A:I,9,FALSE)</f>
        <v>4-1</v>
      </c>
    </row>
    <row r="373" ht="15.75" customHeight="1">
      <c r="A373" s="1" t="s">
        <v>77</v>
      </c>
      <c r="B373" s="1" t="s">
        <v>21</v>
      </c>
      <c r="C373" s="1" t="s">
        <v>11</v>
      </c>
      <c r="D373" s="5">
        <v>45735.0</v>
      </c>
      <c r="G373" s="1">
        <f>VLOOKUP(B373,'old-aw-skill-plan'!A:I,7,FALSE)</f>
        <v>4</v>
      </c>
      <c r="H373" s="1" t="str">
        <f>VLOOKUP(B373,'old-aw-skill-plan'!A:I,9,FALSE)</f>
        <v>4-6</v>
      </c>
    </row>
    <row r="374" ht="15.75" customHeight="1">
      <c r="A374" s="1" t="s">
        <v>82</v>
      </c>
      <c r="B374" s="1" t="s">
        <v>28</v>
      </c>
      <c r="C374" s="1" t="s">
        <v>11</v>
      </c>
      <c r="D374" s="5">
        <v>45735.0</v>
      </c>
      <c r="G374" s="1">
        <f>VLOOKUP(B374,'old-aw-skill-plan'!A:I,7,FALSE)</f>
        <v>3</v>
      </c>
      <c r="H374" s="1" t="str">
        <f>VLOOKUP(B374,'old-aw-skill-plan'!A:I,9,FALSE)</f>
        <v>3-4</v>
      </c>
    </row>
    <row r="375" ht="15.75" customHeight="1">
      <c r="A375" s="1" t="s">
        <v>82</v>
      </c>
      <c r="B375" s="1" t="s">
        <v>30</v>
      </c>
      <c r="C375" s="1" t="s">
        <v>11</v>
      </c>
      <c r="D375" s="5">
        <v>45735.0</v>
      </c>
      <c r="G375" s="1">
        <f>VLOOKUP(B375,'old-aw-skill-plan'!A:I,7,FALSE)</f>
        <v>3</v>
      </c>
      <c r="H375" s="1" t="str">
        <f>VLOOKUP(B375,'old-aw-skill-plan'!A:I,9,FALSE)</f>
        <v>3-3</v>
      </c>
    </row>
    <row r="376" ht="15.75" customHeight="1">
      <c r="A376" s="1" t="s">
        <v>82</v>
      </c>
      <c r="B376" s="1" t="s">
        <v>47</v>
      </c>
      <c r="C376" s="1" t="s">
        <v>11</v>
      </c>
      <c r="D376" s="5">
        <v>45735.0</v>
      </c>
      <c r="G376" s="1">
        <f>VLOOKUP(B376,'old-aw-skill-plan'!A:I,7,FALSE)</f>
        <v>3</v>
      </c>
      <c r="H376" s="1" t="str">
        <f>VLOOKUP(B376,'old-aw-skill-plan'!A:I,9,FALSE)</f>
        <v>3-2</v>
      </c>
    </row>
    <row r="377" ht="15.75" customHeight="1">
      <c r="A377" s="1" t="s">
        <v>82</v>
      </c>
      <c r="B377" s="1" t="s">
        <v>33</v>
      </c>
      <c r="C377" s="1" t="s">
        <v>11</v>
      </c>
      <c r="D377" s="5">
        <v>45735.0</v>
      </c>
      <c r="G377" s="1">
        <f>VLOOKUP(B377,'old-aw-skill-plan'!A:I,7,FALSE)</f>
        <v>3</v>
      </c>
      <c r="H377" s="1" t="str">
        <f>VLOOKUP(B377,'old-aw-skill-plan'!A:I,9,FALSE)</f>
        <v>3-5</v>
      </c>
    </row>
    <row r="378" ht="15.75" customHeight="1">
      <c r="A378" s="1" t="s">
        <v>82</v>
      </c>
      <c r="B378" s="1" t="s">
        <v>25</v>
      </c>
      <c r="C378" s="1" t="s">
        <v>11</v>
      </c>
      <c r="D378" s="5">
        <v>45735.0</v>
      </c>
      <c r="G378" s="1">
        <f>VLOOKUP(B378,'old-aw-skill-plan'!A:I,7,FALSE)</f>
        <v>5</v>
      </c>
      <c r="H378" s="1" t="str">
        <f>VLOOKUP(B378,'old-aw-skill-plan'!A:I,9,FALSE)</f>
        <v>5-4</v>
      </c>
    </row>
    <row r="379" ht="15.75" customHeight="1">
      <c r="A379" s="1" t="s">
        <v>82</v>
      </c>
      <c r="B379" s="1" t="s">
        <v>128</v>
      </c>
      <c r="C379" s="1" t="s">
        <v>11</v>
      </c>
      <c r="D379" s="5">
        <v>45735.0</v>
      </c>
      <c r="G379" s="1">
        <f>VLOOKUP(B379,'old-aw-skill-plan'!A:I,7,FALSE)</f>
        <v>8</v>
      </c>
      <c r="H379" s="1" t="str">
        <f>VLOOKUP(B379,'old-aw-skill-plan'!A:I,9,FALSE)</f>
        <v>8-10</v>
      </c>
    </row>
    <row r="380" ht="15.75" customHeight="1">
      <c r="A380" s="1" t="s">
        <v>90</v>
      </c>
      <c r="B380" s="1" t="s">
        <v>10</v>
      </c>
      <c r="C380" s="1" t="s">
        <v>11</v>
      </c>
      <c r="D380" s="5">
        <v>45735.0</v>
      </c>
      <c r="G380" s="1">
        <f>VLOOKUP(B380,'old-aw-skill-plan'!A:I,7,FALSE)</f>
        <v>3</v>
      </c>
      <c r="H380" s="1" t="str">
        <f>VLOOKUP(B380,'old-aw-skill-plan'!A:I,9,FALSE)</f>
        <v>3-1</v>
      </c>
    </row>
    <row r="381" ht="15.75" customHeight="1">
      <c r="A381" s="1" t="s">
        <v>90</v>
      </c>
      <c r="B381" s="1" t="s">
        <v>48</v>
      </c>
      <c r="C381" s="1" t="s">
        <v>11</v>
      </c>
      <c r="D381" s="5">
        <v>45735.0</v>
      </c>
      <c r="G381" s="1">
        <f>VLOOKUP(B381,'old-aw-skill-plan'!A:I,7,FALSE)</f>
        <v>3</v>
      </c>
      <c r="H381" s="1" t="str">
        <f>VLOOKUP(B381,'old-aw-skill-plan'!A:I,9,FALSE)</f>
        <v>3-6</v>
      </c>
    </row>
    <row r="382" ht="15.75" customHeight="1">
      <c r="A382" s="1" t="s">
        <v>110</v>
      </c>
      <c r="B382" s="1" t="s">
        <v>115</v>
      </c>
      <c r="C382" s="1" t="s">
        <v>11</v>
      </c>
      <c r="D382" s="5">
        <v>45735.0</v>
      </c>
      <c r="G382" s="1">
        <f>VLOOKUP(B382,'old-aw-skill-plan'!A:I,7,FALSE)</f>
        <v>3</v>
      </c>
      <c r="H382" s="1" t="str">
        <f>VLOOKUP(B382,'old-aw-skill-plan'!A:I,9,FALSE)</f>
        <v>3-10</v>
      </c>
    </row>
    <row r="383" ht="15.75" customHeight="1">
      <c r="A383" s="1" t="s">
        <v>110</v>
      </c>
      <c r="B383" s="1" t="s">
        <v>116</v>
      </c>
      <c r="C383" s="1" t="s">
        <v>11</v>
      </c>
      <c r="D383" s="5">
        <v>45735.0</v>
      </c>
      <c r="G383" s="1">
        <f>VLOOKUP(B383,'old-aw-skill-plan'!A:I,7,FALSE)</f>
        <v>3</v>
      </c>
      <c r="H383" s="1" t="str">
        <f>VLOOKUP(B383,'old-aw-skill-plan'!A:I,9,FALSE)</f>
        <v>3-9</v>
      </c>
    </row>
    <row r="384" ht="15.75" customHeight="1">
      <c r="A384" s="1" t="s">
        <v>110</v>
      </c>
      <c r="B384" s="1" t="s">
        <v>58</v>
      </c>
      <c r="C384" s="1" t="s">
        <v>11</v>
      </c>
      <c r="D384" s="5">
        <v>45735.0</v>
      </c>
      <c r="G384" s="1">
        <f>VLOOKUP(B384,'old-aw-skill-plan'!A:I,7,FALSE)</f>
        <v>3</v>
      </c>
      <c r="H384" s="1" t="str">
        <f>VLOOKUP(B384,'old-aw-skill-plan'!A:I,9,FALSE)</f>
        <v>3-8</v>
      </c>
    </row>
    <row r="385" ht="15.75" customHeight="1">
      <c r="A385" s="1" t="s">
        <v>110</v>
      </c>
      <c r="B385" s="1" t="s">
        <v>34</v>
      </c>
      <c r="C385" s="1" t="s">
        <v>11</v>
      </c>
      <c r="D385" s="5">
        <v>45735.0</v>
      </c>
      <c r="G385" s="1">
        <f>VLOOKUP(B385,'old-aw-skill-plan'!A:I,7,FALSE)</f>
        <v>4</v>
      </c>
      <c r="H385" s="1" t="str">
        <f>VLOOKUP(B385,'old-aw-skill-plan'!A:I,9,FALSE)</f>
        <v>4-1</v>
      </c>
    </row>
    <row r="386" ht="15.75" customHeight="1">
      <c r="A386" s="1" t="s">
        <v>18</v>
      </c>
      <c r="B386" s="1" t="s">
        <v>61</v>
      </c>
      <c r="C386" s="1" t="s">
        <v>11</v>
      </c>
      <c r="D386" s="5">
        <v>45734.0</v>
      </c>
      <c r="G386" s="1">
        <f>VLOOKUP(B386,'old-aw-skill-plan'!A:I,7,FALSE)</f>
        <v>4</v>
      </c>
      <c r="H386" s="1" t="str">
        <f>VLOOKUP(B386,'old-aw-skill-plan'!A:I,9,FALSE)</f>
        <v>4-4</v>
      </c>
    </row>
    <row r="387" ht="15.75" customHeight="1">
      <c r="A387" s="1" t="s">
        <v>20</v>
      </c>
      <c r="B387" s="1" t="s">
        <v>34</v>
      </c>
      <c r="C387" s="1" t="s">
        <v>11</v>
      </c>
      <c r="D387" s="5">
        <v>45734.0</v>
      </c>
      <c r="G387" s="1">
        <f>VLOOKUP(B387,'old-aw-skill-plan'!A:I,7,FALSE)</f>
        <v>4</v>
      </c>
      <c r="H387" s="1" t="str">
        <f>VLOOKUP(B387,'old-aw-skill-plan'!A:I,9,FALSE)</f>
        <v>4-1</v>
      </c>
    </row>
    <row r="388" ht="15.75" customHeight="1">
      <c r="A388" s="1" t="s">
        <v>38</v>
      </c>
      <c r="B388" s="1" t="s">
        <v>10</v>
      </c>
      <c r="C388" s="1" t="s">
        <v>11</v>
      </c>
      <c r="D388" s="5">
        <v>45734.0</v>
      </c>
      <c r="G388" s="1">
        <f>VLOOKUP(B388,'old-aw-skill-plan'!A:I,7,FALSE)</f>
        <v>3</v>
      </c>
      <c r="H388" s="1" t="str">
        <f>VLOOKUP(B388,'old-aw-skill-plan'!A:I,9,FALSE)</f>
        <v>3-1</v>
      </c>
    </row>
    <row r="389" ht="15.75" customHeight="1">
      <c r="A389" s="1" t="s">
        <v>38</v>
      </c>
      <c r="B389" s="1" t="s">
        <v>47</v>
      </c>
      <c r="C389" s="1" t="s">
        <v>11</v>
      </c>
      <c r="D389" s="5">
        <v>45734.0</v>
      </c>
      <c r="G389" s="1">
        <f>VLOOKUP(B389,'old-aw-skill-plan'!A:I,7,FALSE)</f>
        <v>3</v>
      </c>
      <c r="H389" s="1" t="str">
        <f>VLOOKUP(B389,'old-aw-skill-plan'!A:I,9,FALSE)</f>
        <v>3-2</v>
      </c>
    </row>
    <row r="390" ht="15.75" customHeight="1">
      <c r="A390" s="1" t="s">
        <v>62</v>
      </c>
      <c r="B390" s="1" t="s">
        <v>33</v>
      </c>
      <c r="C390" s="1" t="s">
        <v>11</v>
      </c>
      <c r="D390" s="5">
        <v>45734.0</v>
      </c>
      <c r="G390" s="1">
        <f>VLOOKUP(B390,'old-aw-skill-plan'!A:I,7,FALSE)</f>
        <v>3</v>
      </c>
      <c r="H390" s="1" t="str">
        <f>VLOOKUP(B390,'old-aw-skill-plan'!A:I,9,FALSE)</f>
        <v>3-5</v>
      </c>
    </row>
    <row r="391" ht="15.75" customHeight="1">
      <c r="A391" s="1" t="s">
        <v>64</v>
      </c>
      <c r="B391" s="1" t="s">
        <v>104</v>
      </c>
      <c r="C391" s="1" t="s">
        <v>11</v>
      </c>
      <c r="D391" s="5">
        <v>45734.0</v>
      </c>
      <c r="G391" s="1">
        <f>VLOOKUP(B391,'old-aw-skill-plan'!A:I,7,FALSE)</f>
        <v>5</v>
      </c>
      <c r="H391" s="1" t="str">
        <f>VLOOKUP(B391,'old-aw-skill-plan'!A:I,9,FALSE)</f>
        <v>5-2</v>
      </c>
    </row>
    <row r="392" ht="15.75" customHeight="1">
      <c r="A392" s="1" t="s">
        <v>67</v>
      </c>
      <c r="B392" s="1" t="s">
        <v>28</v>
      </c>
      <c r="C392" s="1" t="s">
        <v>11</v>
      </c>
      <c r="D392" s="5">
        <v>45734.0</v>
      </c>
      <c r="G392" s="1">
        <f>VLOOKUP(B392,'old-aw-skill-plan'!A:I,7,FALSE)</f>
        <v>3</v>
      </c>
      <c r="H392" s="1" t="str">
        <f>VLOOKUP(B392,'old-aw-skill-plan'!A:I,9,FALSE)</f>
        <v>3-4</v>
      </c>
    </row>
    <row r="393" ht="15.75" customHeight="1">
      <c r="A393" s="1" t="s">
        <v>67</v>
      </c>
      <c r="B393" s="1" t="s">
        <v>116</v>
      </c>
      <c r="C393" s="1" t="s">
        <v>11</v>
      </c>
      <c r="D393" s="5">
        <v>45734.0</v>
      </c>
      <c r="G393" s="1">
        <f>VLOOKUP(B393,'old-aw-skill-plan'!A:I,7,FALSE)</f>
        <v>3</v>
      </c>
      <c r="H393" s="1" t="str">
        <f>VLOOKUP(B393,'old-aw-skill-plan'!A:I,9,FALSE)</f>
        <v>3-9</v>
      </c>
    </row>
    <row r="394" ht="15.75" customHeight="1">
      <c r="A394" s="1" t="s">
        <v>67</v>
      </c>
      <c r="B394" s="1" t="s">
        <v>57</v>
      </c>
      <c r="C394" s="1" t="s">
        <v>11</v>
      </c>
      <c r="D394" s="5">
        <v>45734.0</v>
      </c>
      <c r="G394" s="1">
        <f>VLOOKUP(B394,'old-aw-skill-plan'!A:I,7,FALSE)</f>
        <v>3</v>
      </c>
      <c r="H394" s="1" t="str">
        <f>VLOOKUP(B394,'old-aw-skill-plan'!A:I,9,FALSE)</f>
        <v>3-7</v>
      </c>
    </row>
    <row r="395" ht="15.75" customHeight="1">
      <c r="A395" s="1" t="s">
        <v>67</v>
      </c>
      <c r="B395" s="1" t="s">
        <v>30</v>
      </c>
      <c r="C395" s="1" t="s">
        <v>11</v>
      </c>
      <c r="D395" s="5">
        <v>45734.0</v>
      </c>
      <c r="G395" s="1">
        <f>VLOOKUP(B395,'old-aw-skill-plan'!A:I,7,FALSE)</f>
        <v>3</v>
      </c>
      <c r="H395" s="1" t="str">
        <f>VLOOKUP(B395,'old-aw-skill-plan'!A:I,9,FALSE)</f>
        <v>3-3</v>
      </c>
    </row>
    <row r="396" ht="15.75" customHeight="1">
      <c r="A396" s="1" t="s">
        <v>67</v>
      </c>
      <c r="B396" s="1" t="s">
        <v>58</v>
      </c>
      <c r="C396" s="1" t="s">
        <v>11</v>
      </c>
      <c r="D396" s="5">
        <v>45734.0</v>
      </c>
      <c r="G396" s="1">
        <f>VLOOKUP(B396,'old-aw-skill-plan'!A:I,7,FALSE)</f>
        <v>3</v>
      </c>
      <c r="H396" s="1" t="str">
        <f>VLOOKUP(B396,'old-aw-skill-plan'!A:I,9,FALSE)</f>
        <v>3-8</v>
      </c>
    </row>
    <row r="397" ht="15.75" customHeight="1">
      <c r="A397" s="1" t="s">
        <v>67</v>
      </c>
      <c r="B397" s="1" t="s">
        <v>48</v>
      </c>
      <c r="C397" s="1" t="s">
        <v>11</v>
      </c>
      <c r="D397" s="5">
        <v>45734.0</v>
      </c>
      <c r="G397" s="1">
        <f>VLOOKUP(B397,'old-aw-skill-plan'!A:I,7,FALSE)</f>
        <v>3</v>
      </c>
      <c r="H397" s="1" t="str">
        <f>VLOOKUP(B397,'old-aw-skill-plan'!A:I,9,FALSE)</f>
        <v>3-6</v>
      </c>
    </row>
    <row r="398" ht="15.75" customHeight="1">
      <c r="A398" s="1" t="s">
        <v>67</v>
      </c>
      <c r="B398" s="1" t="s">
        <v>33</v>
      </c>
      <c r="C398" s="1" t="s">
        <v>11</v>
      </c>
      <c r="D398" s="5">
        <v>45734.0</v>
      </c>
      <c r="G398" s="1">
        <f>VLOOKUP(B398,'old-aw-skill-plan'!A:I,7,FALSE)</f>
        <v>3</v>
      </c>
      <c r="H398" s="1" t="str">
        <f>VLOOKUP(B398,'old-aw-skill-plan'!A:I,9,FALSE)</f>
        <v>3-5</v>
      </c>
    </row>
    <row r="399" ht="15.75" customHeight="1">
      <c r="A399" s="1" t="s">
        <v>92</v>
      </c>
      <c r="B399" s="1" t="s">
        <v>10</v>
      </c>
      <c r="C399" s="1" t="s">
        <v>11</v>
      </c>
      <c r="D399" s="5">
        <v>45734.0</v>
      </c>
      <c r="G399" s="1">
        <f>VLOOKUP(B399,'old-aw-skill-plan'!A:I,7,FALSE)</f>
        <v>3</v>
      </c>
      <c r="H399" s="1" t="str">
        <f>VLOOKUP(B399,'old-aw-skill-plan'!A:I,9,FALSE)</f>
        <v>3-1</v>
      </c>
    </row>
    <row r="400" ht="15.75" customHeight="1">
      <c r="A400" s="1" t="s">
        <v>100</v>
      </c>
      <c r="B400" s="1" t="s">
        <v>25</v>
      </c>
      <c r="C400" s="1" t="s">
        <v>11</v>
      </c>
      <c r="D400" s="5">
        <v>45734.0</v>
      </c>
      <c r="G400" s="1">
        <f>VLOOKUP(B400,'old-aw-skill-plan'!A:I,7,FALSE)</f>
        <v>5</v>
      </c>
      <c r="H400" s="1" t="str">
        <f>VLOOKUP(B400,'old-aw-skill-plan'!A:I,9,FALSE)</f>
        <v>5-4</v>
      </c>
    </row>
    <row r="401" ht="15.75" customHeight="1">
      <c r="A401" s="1" t="s">
        <v>100</v>
      </c>
      <c r="B401" s="1" t="s">
        <v>44</v>
      </c>
      <c r="C401" s="1" t="s">
        <v>11</v>
      </c>
      <c r="D401" s="5">
        <v>45734.0</v>
      </c>
      <c r="G401" s="1">
        <f>VLOOKUP(B401,'old-aw-skill-plan'!A:I,7,FALSE)</f>
        <v>5</v>
      </c>
      <c r="H401" s="1" t="str">
        <f>VLOOKUP(B401,'old-aw-skill-plan'!A:I,9,FALSE)</f>
        <v>5-1</v>
      </c>
    </row>
    <row r="402" ht="15.75" customHeight="1">
      <c r="A402" s="1" t="s">
        <v>100</v>
      </c>
      <c r="B402" s="1" t="s">
        <v>103</v>
      </c>
      <c r="C402" s="1" t="s">
        <v>11</v>
      </c>
      <c r="D402" s="5">
        <v>45734.0</v>
      </c>
      <c r="G402" s="1">
        <f>VLOOKUP(B402,'old-aw-skill-plan'!A:I,7,FALSE)</f>
        <v>5</v>
      </c>
      <c r="H402" s="1" t="str">
        <f>VLOOKUP(B402,'old-aw-skill-plan'!A:I,9,FALSE)</f>
        <v>5-3</v>
      </c>
    </row>
    <row r="403" ht="15.75" customHeight="1">
      <c r="A403" s="1" t="s">
        <v>100</v>
      </c>
      <c r="B403" s="1" t="s">
        <v>104</v>
      </c>
      <c r="C403" s="1" t="s">
        <v>11</v>
      </c>
      <c r="D403" s="5">
        <v>45734.0</v>
      </c>
      <c r="G403" s="1">
        <f>VLOOKUP(B403,'old-aw-skill-plan'!A:I,7,FALSE)</f>
        <v>5</v>
      </c>
      <c r="H403" s="1" t="str">
        <f>VLOOKUP(B403,'old-aw-skill-plan'!A:I,9,FALSE)</f>
        <v>5-2</v>
      </c>
    </row>
    <row r="404" ht="15.75" customHeight="1">
      <c r="A404" s="1" t="s">
        <v>100</v>
      </c>
      <c r="B404" s="1" t="s">
        <v>88</v>
      </c>
      <c r="C404" s="1" t="s">
        <v>11</v>
      </c>
      <c r="D404" s="5">
        <v>45734.0</v>
      </c>
      <c r="G404" s="1">
        <f>VLOOKUP(B404,'old-aw-skill-plan'!A:I,7,FALSE)</f>
        <v>5</v>
      </c>
      <c r="H404" s="1" t="str">
        <f>VLOOKUP(B404,'old-aw-skill-plan'!A:I,9,FALSE)</f>
        <v>5-5</v>
      </c>
    </row>
    <row r="405" ht="15.75" customHeight="1">
      <c r="A405" s="1" t="s">
        <v>82</v>
      </c>
      <c r="B405" s="1" t="s">
        <v>10</v>
      </c>
      <c r="C405" s="1" t="s">
        <v>11</v>
      </c>
      <c r="D405" s="5">
        <v>45734.0</v>
      </c>
      <c r="G405" s="1">
        <f>VLOOKUP(B405,'old-aw-skill-plan'!A:I,7,FALSE)</f>
        <v>3</v>
      </c>
      <c r="H405" s="1" t="str">
        <f>VLOOKUP(B405,'old-aw-skill-plan'!A:I,9,FALSE)</f>
        <v>3-1</v>
      </c>
    </row>
    <row r="406" ht="15.75" customHeight="1">
      <c r="A406" s="1" t="s">
        <v>82</v>
      </c>
      <c r="B406" s="1" t="s">
        <v>25</v>
      </c>
      <c r="C406" s="1" t="s">
        <v>11</v>
      </c>
      <c r="D406" s="5">
        <v>45734.0</v>
      </c>
      <c r="G406" s="1">
        <f>VLOOKUP(B406,'old-aw-skill-plan'!A:I,7,FALSE)</f>
        <v>5</v>
      </c>
      <c r="H406" s="1" t="str">
        <f>VLOOKUP(B406,'old-aw-skill-plan'!A:I,9,FALSE)</f>
        <v>5-4</v>
      </c>
    </row>
    <row r="407" ht="15.75" customHeight="1">
      <c r="A407" s="1" t="s">
        <v>82</v>
      </c>
      <c r="B407" s="1" t="s">
        <v>128</v>
      </c>
      <c r="C407" s="1" t="s">
        <v>11</v>
      </c>
      <c r="D407" s="5">
        <v>45734.0</v>
      </c>
      <c r="G407" s="1">
        <f>VLOOKUP(B407,'old-aw-skill-plan'!A:I,7,FALSE)</f>
        <v>8</v>
      </c>
      <c r="H407" s="1" t="str">
        <f>VLOOKUP(B407,'old-aw-skill-plan'!A:I,9,FALSE)</f>
        <v>8-10</v>
      </c>
    </row>
    <row r="408" ht="15.75" customHeight="1">
      <c r="A408" s="1" t="s">
        <v>82</v>
      </c>
      <c r="B408" s="1" t="s">
        <v>129</v>
      </c>
      <c r="C408" s="1" t="s">
        <v>11</v>
      </c>
      <c r="D408" s="5">
        <v>45734.0</v>
      </c>
      <c r="G408" s="1">
        <f>VLOOKUP(B408,'old-aw-skill-plan'!A:I,7,FALSE)</f>
        <v>8</v>
      </c>
      <c r="H408" s="1" t="str">
        <f>VLOOKUP(B408,'old-aw-skill-plan'!A:I,9,FALSE)</f>
        <v>8-4</v>
      </c>
    </row>
    <row r="409" ht="15.75" customHeight="1">
      <c r="A409" s="1" t="s">
        <v>82</v>
      </c>
      <c r="B409" s="1" t="s">
        <v>130</v>
      </c>
      <c r="C409" s="1" t="s">
        <v>11</v>
      </c>
      <c r="D409" s="5">
        <v>45734.0</v>
      </c>
      <c r="G409" s="1">
        <f>VLOOKUP(B409,'old-aw-skill-plan'!A:I,7,FALSE)</f>
        <v>8</v>
      </c>
      <c r="H409" s="1" t="str">
        <f>VLOOKUP(B409,'old-aw-skill-plan'!A:I,9,FALSE)</f>
        <v>8-1</v>
      </c>
    </row>
    <row r="410" ht="15.75" customHeight="1">
      <c r="A410" s="1" t="s">
        <v>82</v>
      </c>
      <c r="B410" s="1" t="s">
        <v>121</v>
      </c>
      <c r="C410" s="1" t="s">
        <v>11</v>
      </c>
      <c r="D410" s="5">
        <v>45734.0</v>
      </c>
      <c r="G410" s="1">
        <f>VLOOKUP(B410,'old-aw-skill-plan'!A:I,7,FALSE)</f>
        <v>5</v>
      </c>
      <c r="H410" s="1" t="str">
        <f>VLOOKUP(B410,'old-aw-skill-plan'!A:I,9,FALSE)</f>
        <v>5-12</v>
      </c>
    </row>
    <row r="411" ht="15.75" customHeight="1">
      <c r="A411" s="1" t="s">
        <v>82</v>
      </c>
      <c r="B411" s="1" t="s">
        <v>87</v>
      </c>
      <c r="C411" s="1" t="s">
        <v>11</v>
      </c>
      <c r="D411" s="5">
        <v>45734.0</v>
      </c>
      <c r="G411" s="1">
        <f>VLOOKUP(B411,'old-aw-skill-plan'!A:I,7,FALSE)</f>
        <v>5</v>
      </c>
      <c r="H411" s="1" t="str">
        <f>VLOOKUP(B411,'old-aw-skill-plan'!A:I,9,FALSE)</f>
        <v>5-6</v>
      </c>
    </row>
    <row r="412" ht="15.75" customHeight="1">
      <c r="A412" s="1" t="s">
        <v>105</v>
      </c>
      <c r="B412" s="1" t="s">
        <v>34</v>
      </c>
      <c r="C412" s="1" t="s">
        <v>11</v>
      </c>
      <c r="D412" s="5">
        <v>45734.0</v>
      </c>
      <c r="G412" s="1">
        <f>VLOOKUP(B412,'old-aw-skill-plan'!A:I,7,FALSE)</f>
        <v>4</v>
      </c>
      <c r="H412" s="1" t="str">
        <f>VLOOKUP(B412,'old-aw-skill-plan'!A:I,9,FALSE)</f>
        <v>4-1</v>
      </c>
    </row>
    <row r="413" ht="15.75" customHeight="1">
      <c r="A413" s="1" t="s">
        <v>18</v>
      </c>
      <c r="B413" s="1" t="s">
        <v>61</v>
      </c>
      <c r="C413" s="1" t="s">
        <v>11</v>
      </c>
      <c r="D413" s="5">
        <v>45733.0</v>
      </c>
      <c r="G413" s="1">
        <f>VLOOKUP(B413,'old-aw-skill-plan'!A:I,7,FALSE)</f>
        <v>4</v>
      </c>
      <c r="H413" s="1" t="str">
        <f>VLOOKUP(B413,'old-aw-skill-plan'!A:I,9,FALSE)</f>
        <v>4-4</v>
      </c>
    </row>
    <row r="414" ht="15.75" customHeight="1">
      <c r="A414" s="1" t="s">
        <v>18</v>
      </c>
      <c r="B414" s="1" t="s">
        <v>34</v>
      </c>
      <c r="C414" s="1" t="s">
        <v>11</v>
      </c>
      <c r="D414" s="5">
        <v>45733.0</v>
      </c>
      <c r="G414" s="1">
        <f>VLOOKUP(B414,'old-aw-skill-plan'!A:I,7,FALSE)</f>
        <v>4</v>
      </c>
      <c r="H414" s="1" t="str">
        <f>VLOOKUP(B414,'old-aw-skill-plan'!A:I,9,FALSE)</f>
        <v>4-1</v>
      </c>
    </row>
    <row r="415" ht="15.75" customHeight="1">
      <c r="A415" s="1" t="s">
        <v>18</v>
      </c>
      <c r="B415" s="1" t="s">
        <v>97</v>
      </c>
      <c r="C415" s="1" t="s">
        <v>11</v>
      </c>
      <c r="D415" s="5">
        <v>45733.0</v>
      </c>
      <c r="G415" s="1">
        <f>VLOOKUP(B415,'old-aw-skill-plan'!A:I,7,FALSE)</f>
        <v>4</v>
      </c>
      <c r="H415" s="1" t="str">
        <f>VLOOKUP(B415,'old-aw-skill-plan'!A:I,9,FALSE)</f>
        <v>4-3</v>
      </c>
    </row>
    <row r="416" ht="15.75" customHeight="1">
      <c r="A416" s="1" t="s">
        <v>18</v>
      </c>
      <c r="B416" s="1" t="s">
        <v>37</v>
      </c>
      <c r="C416" s="1" t="s">
        <v>11</v>
      </c>
      <c r="D416" s="5">
        <v>45733.0</v>
      </c>
      <c r="G416" s="1">
        <f>VLOOKUP(B416,'old-aw-skill-plan'!A:I,7,FALSE)</f>
        <v>4</v>
      </c>
      <c r="H416" s="1" t="str">
        <f>VLOOKUP(B416,'old-aw-skill-plan'!A:I,9,FALSE)</f>
        <v>4-2</v>
      </c>
    </row>
    <row r="417" ht="15.75" customHeight="1">
      <c r="A417" s="1" t="s">
        <v>32</v>
      </c>
      <c r="B417" s="1" t="s">
        <v>10</v>
      </c>
      <c r="C417" s="1" t="s">
        <v>11</v>
      </c>
      <c r="D417" s="5">
        <v>45733.0</v>
      </c>
      <c r="G417" s="1">
        <f>VLOOKUP(B417,'old-aw-skill-plan'!A:I,7,FALSE)</f>
        <v>3</v>
      </c>
      <c r="H417" s="1" t="str">
        <f>VLOOKUP(B417,'old-aw-skill-plan'!A:I,9,FALSE)</f>
        <v>3-1</v>
      </c>
    </row>
    <row r="418" ht="15.75" customHeight="1">
      <c r="A418" s="1" t="s">
        <v>32</v>
      </c>
      <c r="B418" s="1" t="s">
        <v>47</v>
      </c>
      <c r="C418" s="1" t="s">
        <v>11</v>
      </c>
      <c r="D418" s="5">
        <v>45733.0</v>
      </c>
      <c r="G418" s="1">
        <f>VLOOKUP(B418,'old-aw-skill-plan'!A:I,7,FALSE)</f>
        <v>3</v>
      </c>
      <c r="H418" s="1" t="str">
        <f>VLOOKUP(B418,'old-aw-skill-plan'!A:I,9,FALSE)</f>
        <v>3-2</v>
      </c>
    </row>
    <row r="419" ht="15.75" customHeight="1">
      <c r="A419" s="1" t="s">
        <v>62</v>
      </c>
      <c r="B419" s="1" t="s">
        <v>28</v>
      </c>
      <c r="C419" s="1" t="s">
        <v>11</v>
      </c>
      <c r="D419" s="5">
        <v>45733.0</v>
      </c>
      <c r="G419" s="1">
        <f>VLOOKUP(B419,'old-aw-skill-plan'!A:I,7,FALSE)</f>
        <v>3</v>
      </c>
      <c r="H419" s="1" t="str">
        <f>VLOOKUP(B419,'old-aw-skill-plan'!A:I,9,FALSE)</f>
        <v>3-4</v>
      </c>
    </row>
    <row r="420" ht="15.75" customHeight="1">
      <c r="A420" s="1" t="s">
        <v>62</v>
      </c>
      <c r="B420" s="1" t="s">
        <v>10</v>
      </c>
      <c r="C420" s="1" t="s">
        <v>11</v>
      </c>
      <c r="D420" s="5">
        <v>45733.0</v>
      </c>
      <c r="G420" s="1">
        <f>VLOOKUP(B420,'old-aw-skill-plan'!A:I,7,FALSE)</f>
        <v>3</v>
      </c>
      <c r="H420" s="1" t="str">
        <f>VLOOKUP(B420,'old-aw-skill-plan'!A:I,9,FALSE)</f>
        <v>3-1</v>
      </c>
    </row>
    <row r="421" ht="15.75" customHeight="1">
      <c r="A421" s="1" t="s">
        <v>62</v>
      </c>
      <c r="B421" s="1" t="s">
        <v>30</v>
      </c>
      <c r="C421" s="1" t="s">
        <v>11</v>
      </c>
      <c r="D421" s="5">
        <v>45733.0</v>
      </c>
      <c r="G421" s="1">
        <f>VLOOKUP(B421,'old-aw-skill-plan'!A:I,7,FALSE)</f>
        <v>3</v>
      </c>
      <c r="H421" s="1" t="str">
        <f>VLOOKUP(B421,'old-aw-skill-plan'!A:I,9,FALSE)</f>
        <v>3-3</v>
      </c>
    </row>
    <row r="422" ht="15.75" customHeight="1">
      <c r="A422" s="1" t="s">
        <v>62</v>
      </c>
      <c r="B422" s="1" t="s">
        <v>47</v>
      </c>
      <c r="C422" s="1" t="s">
        <v>11</v>
      </c>
      <c r="D422" s="5">
        <v>45733.0</v>
      </c>
      <c r="G422" s="1">
        <f>VLOOKUP(B422,'old-aw-skill-plan'!A:I,7,FALSE)</f>
        <v>3</v>
      </c>
      <c r="H422" s="1" t="str">
        <f>VLOOKUP(B422,'old-aw-skill-plan'!A:I,9,FALSE)</f>
        <v>3-2</v>
      </c>
    </row>
    <row r="423" ht="15.75" customHeight="1">
      <c r="A423" s="1" t="s">
        <v>62</v>
      </c>
      <c r="B423" s="1" t="s">
        <v>33</v>
      </c>
      <c r="C423" s="1" t="s">
        <v>11</v>
      </c>
      <c r="D423" s="5">
        <v>45733.0</v>
      </c>
      <c r="G423" s="1">
        <f>VLOOKUP(B423,'old-aw-skill-plan'!A:I,7,FALSE)</f>
        <v>3</v>
      </c>
      <c r="H423" s="1" t="str">
        <f>VLOOKUP(B423,'old-aw-skill-plan'!A:I,9,FALSE)</f>
        <v>3-5</v>
      </c>
    </row>
    <row r="424" ht="15.75" customHeight="1">
      <c r="A424" s="1" t="s">
        <v>62</v>
      </c>
      <c r="B424" s="1" t="s">
        <v>87</v>
      </c>
      <c r="C424" s="1" t="s">
        <v>11</v>
      </c>
      <c r="D424" s="5">
        <v>45733.0</v>
      </c>
      <c r="G424" s="1">
        <f>VLOOKUP(B424,'old-aw-skill-plan'!A:I,7,FALSE)</f>
        <v>5</v>
      </c>
      <c r="H424" s="1" t="str">
        <f>VLOOKUP(B424,'old-aw-skill-plan'!A:I,9,FALSE)</f>
        <v>5-6</v>
      </c>
    </row>
    <row r="425" ht="15.75" customHeight="1">
      <c r="A425" s="1" t="s">
        <v>64</v>
      </c>
      <c r="B425" s="1" t="s">
        <v>44</v>
      </c>
      <c r="C425" s="1" t="s">
        <v>11</v>
      </c>
      <c r="D425" s="5">
        <v>45733.0</v>
      </c>
      <c r="G425" s="1">
        <f>VLOOKUP(B425,'old-aw-skill-plan'!A:I,7,FALSE)</f>
        <v>5</v>
      </c>
      <c r="H425" s="1" t="str">
        <f>VLOOKUP(B425,'old-aw-skill-plan'!A:I,9,FALSE)</f>
        <v>5-1</v>
      </c>
    </row>
    <row r="426" ht="15.75" customHeight="1">
      <c r="A426" s="1" t="s">
        <v>64</v>
      </c>
      <c r="B426" s="1" t="s">
        <v>104</v>
      </c>
      <c r="C426" s="1" t="s">
        <v>11</v>
      </c>
      <c r="D426" s="5">
        <v>45733.0</v>
      </c>
      <c r="G426" s="1">
        <f>VLOOKUP(B426,'old-aw-skill-plan'!A:I,7,FALSE)</f>
        <v>5</v>
      </c>
      <c r="H426" s="1" t="str">
        <f>VLOOKUP(B426,'old-aw-skill-plan'!A:I,9,FALSE)</f>
        <v>5-2</v>
      </c>
    </row>
    <row r="427" ht="15.75" customHeight="1">
      <c r="A427" s="1" t="s">
        <v>67</v>
      </c>
      <c r="B427" s="1" t="s">
        <v>10</v>
      </c>
      <c r="C427" s="1" t="s">
        <v>11</v>
      </c>
      <c r="D427" s="5">
        <v>45733.0</v>
      </c>
      <c r="G427" s="1">
        <f>VLOOKUP(B427,'old-aw-skill-plan'!A:I,7,FALSE)</f>
        <v>3</v>
      </c>
      <c r="H427" s="1" t="str">
        <f>VLOOKUP(B427,'old-aw-skill-plan'!A:I,9,FALSE)</f>
        <v>3-1</v>
      </c>
    </row>
    <row r="428" ht="15.75" customHeight="1">
      <c r="A428" s="1" t="s">
        <v>67</v>
      </c>
      <c r="B428" s="1" t="s">
        <v>47</v>
      </c>
      <c r="C428" s="1" t="s">
        <v>11</v>
      </c>
      <c r="D428" s="5">
        <v>45733.0</v>
      </c>
      <c r="G428" s="1">
        <f>VLOOKUP(B428,'old-aw-skill-plan'!A:I,7,FALSE)</f>
        <v>3</v>
      </c>
      <c r="H428" s="1" t="str">
        <f>VLOOKUP(B428,'old-aw-skill-plan'!A:I,9,FALSE)</f>
        <v>3-2</v>
      </c>
    </row>
    <row r="429" ht="15.75" customHeight="1">
      <c r="A429" s="1" t="s">
        <v>78</v>
      </c>
      <c r="B429" s="1" t="s">
        <v>28</v>
      </c>
      <c r="C429" s="1" t="s">
        <v>11</v>
      </c>
      <c r="D429" s="5">
        <v>45733.0</v>
      </c>
      <c r="G429" s="1">
        <f>VLOOKUP(B429,'old-aw-skill-plan'!A:I,7,FALSE)</f>
        <v>3</v>
      </c>
      <c r="H429" s="1" t="str">
        <f>VLOOKUP(B429,'old-aw-skill-plan'!A:I,9,FALSE)</f>
        <v>3-4</v>
      </c>
    </row>
    <row r="430" ht="15.75" customHeight="1">
      <c r="A430" s="1" t="s">
        <v>78</v>
      </c>
      <c r="B430" s="1" t="s">
        <v>10</v>
      </c>
      <c r="C430" s="1" t="s">
        <v>11</v>
      </c>
      <c r="D430" s="5">
        <v>45733.0</v>
      </c>
      <c r="G430" s="1">
        <f>VLOOKUP(B430,'old-aw-skill-plan'!A:I,7,FALSE)</f>
        <v>3</v>
      </c>
      <c r="H430" s="1" t="str">
        <f>VLOOKUP(B430,'old-aw-skill-plan'!A:I,9,FALSE)</f>
        <v>3-1</v>
      </c>
    </row>
    <row r="431" ht="15.75" customHeight="1">
      <c r="A431" s="1" t="s">
        <v>78</v>
      </c>
      <c r="B431" s="1" t="s">
        <v>30</v>
      </c>
      <c r="C431" s="1" t="s">
        <v>11</v>
      </c>
      <c r="D431" s="5">
        <v>45733.0</v>
      </c>
      <c r="G431" s="1">
        <f>VLOOKUP(B431,'old-aw-skill-plan'!A:I,7,FALSE)</f>
        <v>3</v>
      </c>
      <c r="H431" s="1" t="str">
        <f>VLOOKUP(B431,'old-aw-skill-plan'!A:I,9,FALSE)</f>
        <v>3-3</v>
      </c>
    </row>
    <row r="432" ht="15.75" customHeight="1">
      <c r="A432" s="1" t="s">
        <v>78</v>
      </c>
      <c r="B432" s="1" t="s">
        <v>47</v>
      </c>
      <c r="C432" s="1" t="s">
        <v>11</v>
      </c>
      <c r="D432" s="5">
        <v>45733.0</v>
      </c>
      <c r="G432" s="1">
        <f>VLOOKUP(B432,'old-aw-skill-plan'!A:I,7,FALSE)</f>
        <v>3</v>
      </c>
      <c r="H432" s="1" t="str">
        <f>VLOOKUP(B432,'old-aw-skill-plan'!A:I,9,FALSE)</f>
        <v>3-2</v>
      </c>
    </row>
    <row r="433" ht="15.75" customHeight="1">
      <c r="A433" s="1" t="s">
        <v>81</v>
      </c>
      <c r="B433" s="1" t="s">
        <v>131</v>
      </c>
      <c r="C433" s="1" t="s">
        <v>11</v>
      </c>
      <c r="D433" s="5">
        <v>45733.0</v>
      </c>
      <c r="G433" s="1">
        <f>VLOOKUP(B433,'old-aw-skill-plan'!A:I,7,FALSE)</f>
        <v>7</v>
      </c>
      <c r="H433" s="1" t="str">
        <f>VLOOKUP(B433,'old-aw-skill-plan'!A:I,9,FALSE)</f>
        <v>7-11</v>
      </c>
    </row>
    <row r="434" ht="15.75" customHeight="1">
      <c r="A434" s="1" t="s">
        <v>81</v>
      </c>
      <c r="B434" s="1" t="s">
        <v>132</v>
      </c>
      <c r="C434" s="1" t="s">
        <v>11</v>
      </c>
      <c r="D434" s="5">
        <v>45733.0</v>
      </c>
      <c r="G434" s="1" t="str">
        <f>VLOOKUP(B434,'old-aw-skill-plan'!A:I,7,FALSE)</f>
        <v>#N/A</v>
      </c>
      <c r="H434" s="1" t="str">
        <f>VLOOKUP(B434,'old-aw-skill-plan'!A:I,9,FALSE)</f>
        <v>#N/A</v>
      </c>
    </row>
    <row r="435" ht="15.75" customHeight="1">
      <c r="A435" s="1" t="s">
        <v>73</v>
      </c>
      <c r="B435" s="1" t="s">
        <v>34</v>
      </c>
      <c r="C435" s="1" t="s">
        <v>11</v>
      </c>
      <c r="D435" s="5">
        <v>45733.0</v>
      </c>
      <c r="G435" s="1">
        <f>VLOOKUP(B435,'old-aw-skill-plan'!A:I,7,FALSE)</f>
        <v>4</v>
      </c>
      <c r="H435" s="1" t="str">
        <f>VLOOKUP(B435,'old-aw-skill-plan'!A:I,9,FALSE)</f>
        <v>4-1</v>
      </c>
    </row>
    <row r="436" ht="15.75" customHeight="1">
      <c r="A436" s="1" t="s">
        <v>82</v>
      </c>
      <c r="B436" s="1" t="s">
        <v>25</v>
      </c>
      <c r="C436" s="1" t="s">
        <v>11</v>
      </c>
      <c r="D436" s="5">
        <v>45733.0</v>
      </c>
      <c r="G436" s="1">
        <f>VLOOKUP(B436,'old-aw-skill-plan'!A:I,7,FALSE)</f>
        <v>5</v>
      </c>
      <c r="H436" s="1" t="str">
        <f>VLOOKUP(B436,'old-aw-skill-plan'!A:I,9,FALSE)</f>
        <v>5-4</v>
      </c>
    </row>
    <row r="437" ht="15.75" customHeight="1">
      <c r="A437" s="1" t="s">
        <v>82</v>
      </c>
      <c r="B437" s="1" t="s">
        <v>104</v>
      </c>
      <c r="C437" s="1" t="s">
        <v>11</v>
      </c>
      <c r="D437" s="5">
        <v>45733.0</v>
      </c>
      <c r="G437" s="1">
        <f>VLOOKUP(B437,'old-aw-skill-plan'!A:I,7,FALSE)</f>
        <v>5</v>
      </c>
      <c r="H437" s="1" t="str">
        <f>VLOOKUP(B437,'old-aw-skill-plan'!A:I,9,FALSE)</f>
        <v>5-2</v>
      </c>
    </row>
    <row r="438" ht="15.75" customHeight="1">
      <c r="A438" s="1" t="s">
        <v>82</v>
      </c>
      <c r="B438" s="1" t="s">
        <v>87</v>
      </c>
      <c r="C438" s="1" t="s">
        <v>11</v>
      </c>
      <c r="D438" s="5">
        <v>45733.0</v>
      </c>
      <c r="G438" s="1">
        <f>VLOOKUP(B438,'old-aw-skill-plan'!A:I,7,FALSE)</f>
        <v>5</v>
      </c>
      <c r="H438" s="1" t="str">
        <f>VLOOKUP(B438,'old-aw-skill-plan'!A:I,9,FALSE)</f>
        <v>5-6</v>
      </c>
    </row>
    <row r="439" ht="15.75" customHeight="1">
      <c r="A439" s="1" t="s">
        <v>22</v>
      </c>
      <c r="B439" s="1" t="s">
        <v>10</v>
      </c>
      <c r="C439" s="1" t="s">
        <v>11</v>
      </c>
      <c r="D439" s="5">
        <v>45730.0</v>
      </c>
      <c r="G439" s="1">
        <f>VLOOKUP(B439,'old-aw-skill-plan'!A:I,7,FALSE)</f>
        <v>3</v>
      </c>
      <c r="H439" s="1" t="str">
        <f>VLOOKUP(B439,'old-aw-skill-plan'!A:I,9,FALSE)</f>
        <v>3-1</v>
      </c>
    </row>
    <row r="440" ht="15.75" customHeight="1">
      <c r="A440" s="1" t="s">
        <v>22</v>
      </c>
      <c r="B440" s="1" t="s">
        <v>44</v>
      </c>
      <c r="C440" s="1" t="s">
        <v>11</v>
      </c>
      <c r="D440" s="5">
        <v>45730.0</v>
      </c>
      <c r="G440" s="1">
        <f>VLOOKUP(B440,'old-aw-skill-plan'!A:I,7,FALSE)</f>
        <v>5</v>
      </c>
      <c r="H440" s="1" t="str">
        <f>VLOOKUP(B440,'old-aw-skill-plan'!A:I,9,FALSE)</f>
        <v>5-1</v>
      </c>
    </row>
    <row r="441" ht="15.75" customHeight="1">
      <c r="A441" s="1" t="s">
        <v>22</v>
      </c>
      <c r="B441" s="1" t="s">
        <v>104</v>
      </c>
      <c r="C441" s="1" t="s">
        <v>11</v>
      </c>
      <c r="D441" s="5">
        <v>45730.0</v>
      </c>
      <c r="G441" s="1">
        <f>VLOOKUP(B441,'old-aw-skill-plan'!A:I,7,FALSE)</f>
        <v>5</v>
      </c>
      <c r="H441" s="1" t="str">
        <f>VLOOKUP(B441,'old-aw-skill-plan'!A:I,9,FALSE)</f>
        <v>5-2</v>
      </c>
    </row>
    <row r="442" ht="15.75" customHeight="1">
      <c r="A442" s="1" t="s">
        <v>20</v>
      </c>
      <c r="B442" s="1" t="s">
        <v>61</v>
      </c>
      <c r="C442" s="1" t="s">
        <v>11</v>
      </c>
      <c r="D442" s="5">
        <v>45730.0</v>
      </c>
      <c r="G442" s="1">
        <f>VLOOKUP(B442,'old-aw-skill-plan'!A:I,7,FALSE)</f>
        <v>4</v>
      </c>
      <c r="H442" s="1" t="str">
        <f>VLOOKUP(B442,'old-aw-skill-plan'!A:I,9,FALSE)</f>
        <v>4-4</v>
      </c>
    </row>
    <row r="443" ht="15.75" customHeight="1">
      <c r="A443" s="1" t="s">
        <v>20</v>
      </c>
      <c r="B443" s="1" t="s">
        <v>34</v>
      </c>
      <c r="C443" s="1" t="s">
        <v>11</v>
      </c>
      <c r="D443" s="5">
        <v>45730.0</v>
      </c>
      <c r="G443" s="1">
        <f>VLOOKUP(B443,'old-aw-skill-plan'!A:I,7,FALSE)</f>
        <v>4</v>
      </c>
      <c r="H443" s="1" t="str">
        <f>VLOOKUP(B443,'old-aw-skill-plan'!A:I,9,FALSE)</f>
        <v>4-1</v>
      </c>
    </row>
    <row r="444" ht="15.75" customHeight="1">
      <c r="A444" s="1" t="s">
        <v>24</v>
      </c>
      <c r="B444" s="1" t="s">
        <v>34</v>
      </c>
      <c r="C444" s="1" t="s">
        <v>11</v>
      </c>
      <c r="D444" s="5">
        <v>45730.0</v>
      </c>
      <c r="G444" s="1">
        <f>VLOOKUP(B444,'old-aw-skill-plan'!A:I,7,FALSE)</f>
        <v>4</v>
      </c>
      <c r="H444" s="1" t="str">
        <f>VLOOKUP(B444,'old-aw-skill-plan'!A:I,9,FALSE)</f>
        <v>4-1</v>
      </c>
    </row>
    <row r="445" ht="15.75" customHeight="1">
      <c r="A445" s="1" t="s">
        <v>24</v>
      </c>
      <c r="B445" s="1" t="s">
        <v>97</v>
      </c>
      <c r="C445" s="1" t="s">
        <v>11</v>
      </c>
      <c r="D445" s="5">
        <v>45730.0</v>
      </c>
      <c r="G445" s="1">
        <f>VLOOKUP(B445,'old-aw-skill-plan'!A:I,7,FALSE)</f>
        <v>4</v>
      </c>
      <c r="H445" s="1" t="str">
        <f>VLOOKUP(B445,'old-aw-skill-plan'!A:I,9,FALSE)</f>
        <v>4-3</v>
      </c>
    </row>
    <row r="446" ht="15.75" customHeight="1">
      <c r="A446" s="1" t="s">
        <v>24</v>
      </c>
      <c r="B446" s="1" t="s">
        <v>23</v>
      </c>
      <c r="C446" s="1" t="s">
        <v>11</v>
      </c>
      <c r="D446" s="5">
        <v>45730.0</v>
      </c>
      <c r="G446" s="1">
        <f>VLOOKUP(B446,'old-aw-skill-plan'!A:I,7,FALSE)</f>
        <v>4</v>
      </c>
      <c r="H446" s="1" t="str">
        <f>VLOOKUP(B446,'old-aw-skill-plan'!A:I,9,FALSE)</f>
        <v>4-5</v>
      </c>
    </row>
    <row r="447" ht="15.75" customHeight="1">
      <c r="A447" s="1" t="s">
        <v>24</v>
      </c>
      <c r="B447" s="1" t="s">
        <v>44</v>
      </c>
      <c r="C447" s="1" t="s">
        <v>11</v>
      </c>
      <c r="D447" s="5">
        <v>45730.0</v>
      </c>
      <c r="G447" s="1">
        <f>VLOOKUP(B447,'old-aw-skill-plan'!A:I,7,FALSE)</f>
        <v>5</v>
      </c>
      <c r="H447" s="1" t="str">
        <f>VLOOKUP(B447,'old-aw-skill-plan'!A:I,9,FALSE)</f>
        <v>5-1</v>
      </c>
    </row>
    <row r="448" ht="15.75" customHeight="1">
      <c r="A448" s="1" t="s">
        <v>24</v>
      </c>
      <c r="B448" s="1" t="s">
        <v>103</v>
      </c>
      <c r="C448" s="1" t="s">
        <v>11</v>
      </c>
      <c r="D448" s="5">
        <v>45730.0</v>
      </c>
      <c r="G448" s="1">
        <f>VLOOKUP(B448,'old-aw-skill-plan'!A:I,7,FALSE)</f>
        <v>5</v>
      </c>
      <c r="H448" s="1" t="str">
        <f>VLOOKUP(B448,'old-aw-skill-plan'!A:I,9,FALSE)</f>
        <v>5-3</v>
      </c>
    </row>
    <row r="449" ht="15.75" customHeight="1">
      <c r="A449" s="1" t="s">
        <v>24</v>
      </c>
      <c r="B449" s="1" t="s">
        <v>104</v>
      </c>
      <c r="C449" s="1" t="s">
        <v>11</v>
      </c>
      <c r="D449" s="5">
        <v>45730.0</v>
      </c>
      <c r="G449" s="1">
        <f>VLOOKUP(B449,'old-aw-skill-plan'!A:I,7,FALSE)</f>
        <v>5</v>
      </c>
      <c r="H449" s="1" t="str">
        <f>VLOOKUP(B449,'old-aw-skill-plan'!A:I,9,FALSE)</f>
        <v>5-2</v>
      </c>
    </row>
    <row r="450" ht="15.75" customHeight="1">
      <c r="A450" s="1" t="s">
        <v>52</v>
      </c>
      <c r="B450" s="1" t="s">
        <v>28</v>
      </c>
      <c r="C450" s="1" t="s">
        <v>11</v>
      </c>
      <c r="D450" s="5">
        <v>45730.0</v>
      </c>
      <c r="G450" s="1">
        <f>VLOOKUP(B450,'old-aw-skill-plan'!A:I,7,FALSE)</f>
        <v>3</v>
      </c>
      <c r="H450" s="1" t="str">
        <f>VLOOKUP(B450,'old-aw-skill-plan'!A:I,9,FALSE)</f>
        <v>3-4</v>
      </c>
    </row>
    <row r="451" ht="15.75" customHeight="1">
      <c r="A451" s="1" t="s">
        <v>52</v>
      </c>
      <c r="B451" s="1" t="s">
        <v>10</v>
      </c>
      <c r="C451" s="1" t="s">
        <v>11</v>
      </c>
      <c r="D451" s="5">
        <v>45730.0</v>
      </c>
      <c r="G451" s="1">
        <f>VLOOKUP(B451,'old-aw-skill-plan'!A:I,7,FALSE)</f>
        <v>3</v>
      </c>
      <c r="H451" s="1" t="str">
        <f>VLOOKUP(B451,'old-aw-skill-plan'!A:I,9,FALSE)</f>
        <v>3-1</v>
      </c>
    </row>
    <row r="452" ht="15.75" customHeight="1">
      <c r="A452" s="1" t="s">
        <v>52</v>
      </c>
      <c r="B452" s="1" t="s">
        <v>30</v>
      </c>
      <c r="C452" s="1" t="s">
        <v>11</v>
      </c>
      <c r="D452" s="5">
        <v>45730.0</v>
      </c>
      <c r="G452" s="1">
        <f>VLOOKUP(B452,'old-aw-skill-plan'!A:I,7,FALSE)</f>
        <v>3</v>
      </c>
      <c r="H452" s="1" t="str">
        <f>VLOOKUP(B452,'old-aw-skill-plan'!A:I,9,FALSE)</f>
        <v>3-3</v>
      </c>
    </row>
    <row r="453" ht="15.75" customHeight="1">
      <c r="A453" s="1" t="s">
        <v>52</v>
      </c>
      <c r="B453" s="1" t="s">
        <v>47</v>
      </c>
      <c r="C453" s="1" t="s">
        <v>11</v>
      </c>
      <c r="D453" s="5">
        <v>45730.0</v>
      </c>
      <c r="G453" s="1">
        <f>VLOOKUP(B453,'old-aw-skill-plan'!A:I,7,FALSE)</f>
        <v>3</v>
      </c>
      <c r="H453" s="1" t="str">
        <f>VLOOKUP(B453,'old-aw-skill-plan'!A:I,9,FALSE)</f>
        <v>3-2</v>
      </c>
    </row>
    <row r="454" ht="15.75" customHeight="1">
      <c r="A454" s="1" t="s">
        <v>52</v>
      </c>
      <c r="B454" s="1" t="s">
        <v>61</v>
      </c>
      <c r="C454" s="1" t="s">
        <v>11</v>
      </c>
      <c r="D454" s="5">
        <v>45730.0</v>
      </c>
      <c r="G454" s="1">
        <f>VLOOKUP(B454,'old-aw-skill-plan'!A:I,7,FALSE)</f>
        <v>4</v>
      </c>
      <c r="H454" s="1" t="str">
        <f>VLOOKUP(B454,'old-aw-skill-plan'!A:I,9,FALSE)</f>
        <v>4-4</v>
      </c>
    </row>
    <row r="455" ht="15.75" customHeight="1">
      <c r="A455" s="1" t="s">
        <v>52</v>
      </c>
      <c r="B455" s="1" t="s">
        <v>19</v>
      </c>
      <c r="C455" s="1" t="s">
        <v>11</v>
      </c>
      <c r="D455" s="5">
        <v>45730.0</v>
      </c>
      <c r="G455" s="1">
        <f>VLOOKUP(B455,'old-aw-skill-plan'!A:I,7,FALSE)</f>
        <v>4</v>
      </c>
      <c r="H455" s="1" t="str">
        <f>VLOOKUP(B455,'old-aw-skill-plan'!A:I,9,FALSE)</f>
        <v>4-7</v>
      </c>
    </row>
    <row r="456" ht="15.75" customHeight="1">
      <c r="A456" s="1" t="s">
        <v>52</v>
      </c>
      <c r="B456" s="1" t="s">
        <v>108</v>
      </c>
      <c r="C456" s="1" t="s">
        <v>11</v>
      </c>
      <c r="D456" s="5">
        <v>45730.0</v>
      </c>
      <c r="G456" s="1">
        <f>VLOOKUP(B456,'old-aw-skill-plan'!A:I,7,FALSE)</f>
        <v>7</v>
      </c>
      <c r="H456" s="1" t="str">
        <f>VLOOKUP(B456,'old-aw-skill-plan'!A:I,9,FALSE)</f>
        <v>7-12</v>
      </c>
    </row>
    <row r="457" ht="15.75" customHeight="1">
      <c r="A457" s="1" t="s">
        <v>55</v>
      </c>
      <c r="B457" s="1" t="s">
        <v>44</v>
      </c>
      <c r="C457" s="1" t="s">
        <v>11</v>
      </c>
      <c r="D457" s="5">
        <v>45730.0</v>
      </c>
      <c r="G457" s="1">
        <f>VLOOKUP(B457,'old-aw-skill-plan'!A:I,7,FALSE)</f>
        <v>5</v>
      </c>
      <c r="H457" s="1" t="str">
        <f>VLOOKUP(B457,'old-aw-skill-plan'!A:I,9,FALSE)</f>
        <v>5-1</v>
      </c>
    </row>
    <row r="458" ht="15.75" customHeight="1">
      <c r="A458" s="1" t="s">
        <v>62</v>
      </c>
      <c r="B458" s="1" t="s">
        <v>28</v>
      </c>
      <c r="C458" s="1" t="s">
        <v>11</v>
      </c>
      <c r="D458" s="5">
        <v>45730.0</v>
      </c>
      <c r="G458" s="1">
        <f>VLOOKUP(B458,'old-aw-skill-plan'!A:I,7,FALSE)</f>
        <v>3</v>
      </c>
      <c r="H458" s="1" t="str">
        <f>VLOOKUP(B458,'old-aw-skill-plan'!A:I,9,FALSE)</f>
        <v>3-4</v>
      </c>
    </row>
    <row r="459" ht="15.75" customHeight="1">
      <c r="A459" s="1" t="s">
        <v>62</v>
      </c>
      <c r="B459" s="1" t="s">
        <v>10</v>
      </c>
      <c r="C459" s="1" t="s">
        <v>11</v>
      </c>
      <c r="D459" s="5">
        <v>45730.0</v>
      </c>
      <c r="G459" s="1">
        <f>VLOOKUP(B459,'old-aw-skill-plan'!A:I,7,FALSE)</f>
        <v>3</v>
      </c>
      <c r="H459" s="1" t="str">
        <f>VLOOKUP(B459,'old-aw-skill-plan'!A:I,9,FALSE)</f>
        <v>3-1</v>
      </c>
    </row>
    <row r="460" ht="15.75" customHeight="1">
      <c r="A460" s="1" t="s">
        <v>62</v>
      </c>
      <c r="B460" s="1" t="s">
        <v>30</v>
      </c>
      <c r="C460" s="1" t="s">
        <v>11</v>
      </c>
      <c r="D460" s="5">
        <v>45730.0</v>
      </c>
      <c r="G460" s="1">
        <f>VLOOKUP(B460,'old-aw-skill-plan'!A:I,7,FALSE)</f>
        <v>3</v>
      </c>
      <c r="H460" s="1" t="str">
        <f>VLOOKUP(B460,'old-aw-skill-plan'!A:I,9,FALSE)</f>
        <v>3-3</v>
      </c>
    </row>
    <row r="461" ht="15.75" customHeight="1">
      <c r="A461" s="1" t="s">
        <v>62</v>
      </c>
      <c r="B461" s="1" t="s">
        <v>47</v>
      </c>
      <c r="C461" s="1" t="s">
        <v>11</v>
      </c>
      <c r="D461" s="5">
        <v>45730.0</v>
      </c>
      <c r="G461" s="1">
        <f>VLOOKUP(B461,'old-aw-skill-plan'!A:I,7,FALSE)</f>
        <v>3</v>
      </c>
      <c r="H461" s="1" t="str">
        <f>VLOOKUP(B461,'old-aw-skill-plan'!A:I,9,FALSE)</f>
        <v>3-2</v>
      </c>
    </row>
    <row r="462" ht="15.75" customHeight="1">
      <c r="A462" s="1" t="s">
        <v>62</v>
      </c>
      <c r="B462" s="1" t="s">
        <v>33</v>
      </c>
      <c r="C462" s="1" t="s">
        <v>11</v>
      </c>
      <c r="D462" s="5">
        <v>45730.0</v>
      </c>
      <c r="G462" s="1">
        <f>VLOOKUP(B462,'old-aw-skill-plan'!A:I,7,FALSE)</f>
        <v>3</v>
      </c>
      <c r="H462" s="1" t="str">
        <f>VLOOKUP(B462,'old-aw-skill-plan'!A:I,9,FALSE)</f>
        <v>3-5</v>
      </c>
    </row>
    <row r="463" ht="15.75" customHeight="1">
      <c r="A463" s="1" t="s">
        <v>64</v>
      </c>
      <c r="B463" s="1" t="s">
        <v>104</v>
      </c>
      <c r="C463" s="1" t="s">
        <v>11</v>
      </c>
      <c r="D463" s="5">
        <v>45730.0</v>
      </c>
      <c r="G463" s="1">
        <f>VLOOKUP(B463,'old-aw-skill-plan'!A:I,7,FALSE)</f>
        <v>5</v>
      </c>
      <c r="H463" s="1" t="str">
        <f>VLOOKUP(B463,'old-aw-skill-plan'!A:I,9,FALSE)</f>
        <v>5-2</v>
      </c>
    </row>
    <row r="464" ht="15.75" customHeight="1">
      <c r="A464" s="1" t="s">
        <v>73</v>
      </c>
      <c r="B464" s="1" t="s">
        <v>34</v>
      </c>
      <c r="C464" s="1" t="s">
        <v>11</v>
      </c>
      <c r="D464" s="5">
        <v>45730.0</v>
      </c>
      <c r="G464" s="1">
        <f>VLOOKUP(B464,'old-aw-skill-plan'!A:I,7,FALSE)</f>
        <v>4</v>
      </c>
      <c r="H464" s="1" t="str">
        <f>VLOOKUP(B464,'old-aw-skill-plan'!A:I,9,FALSE)</f>
        <v>4-1</v>
      </c>
    </row>
    <row r="465" ht="15.75" customHeight="1">
      <c r="A465" s="1" t="s">
        <v>82</v>
      </c>
      <c r="B465" s="1" t="s">
        <v>10</v>
      </c>
      <c r="C465" s="1" t="s">
        <v>11</v>
      </c>
      <c r="D465" s="5">
        <v>45730.0</v>
      </c>
      <c r="G465" s="1">
        <f>VLOOKUP(B465,'old-aw-skill-plan'!A:I,7,FALSE)</f>
        <v>3</v>
      </c>
      <c r="H465" s="1" t="str">
        <f>VLOOKUP(B465,'old-aw-skill-plan'!A:I,9,FALSE)</f>
        <v>3-1</v>
      </c>
    </row>
    <row r="466" ht="15.75" customHeight="1">
      <c r="A466" s="1" t="s">
        <v>82</v>
      </c>
      <c r="B466" s="1" t="s">
        <v>25</v>
      </c>
      <c r="C466" s="1" t="s">
        <v>11</v>
      </c>
      <c r="D466" s="5">
        <v>45730.0</v>
      </c>
      <c r="G466" s="1">
        <f>VLOOKUP(B466,'old-aw-skill-plan'!A:I,7,FALSE)</f>
        <v>5</v>
      </c>
      <c r="H466" s="1" t="str">
        <f>VLOOKUP(B466,'old-aw-skill-plan'!A:I,9,FALSE)</f>
        <v>5-4</v>
      </c>
    </row>
    <row r="467" ht="15.75" customHeight="1">
      <c r="A467" s="1" t="s">
        <v>82</v>
      </c>
      <c r="B467" s="1" t="s">
        <v>83</v>
      </c>
      <c r="C467" s="1" t="s">
        <v>11</v>
      </c>
      <c r="D467" s="5">
        <v>45730.0</v>
      </c>
      <c r="G467" s="1">
        <f>VLOOKUP(B467,'old-aw-skill-plan'!A:I,7,FALSE)</f>
        <v>5</v>
      </c>
      <c r="H467" s="1" t="str">
        <f>VLOOKUP(B467,'old-aw-skill-plan'!A:I,9,FALSE)</f>
        <v>5-9</v>
      </c>
    </row>
    <row r="468" ht="15.75" customHeight="1">
      <c r="A468" s="1" t="s">
        <v>82</v>
      </c>
      <c r="B468" s="1" t="s">
        <v>44</v>
      </c>
      <c r="C468" s="1" t="s">
        <v>11</v>
      </c>
      <c r="D468" s="5">
        <v>45730.0</v>
      </c>
      <c r="G468" s="1">
        <f>VLOOKUP(B468,'old-aw-skill-plan'!A:I,7,FALSE)</f>
        <v>5</v>
      </c>
      <c r="H468" s="1" t="str">
        <f>VLOOKUP(B468,'old-aw-skill-plan'!A:I,9,FALSE)</f>
        <v>5-1</v>
      </c>
    </row>
    <row r="469" ht="15.75" customHeight="1">
      <c r="A469" s="1" t="s">
        <v>82</v>
      </c>
      <c r="B469" s="1" t="s">
        <v>104</v>
      </c>
      <c r="C469" s="1" t="s">
        <v>11</v>
      </c>
      <c r="D469" s="5">
        <v>45730.0</v>
      </c>
      <c r="G469" s="1">
        <f>VLOOKUP(B469,'old-aw-skill-plan'!A:I,7,FALSE)</f>
        <v>5</v>
      </c>
      <c r="H469" s="1" t="str">
        <f>VLOOKUP(B469,'old-aw-skill-plan'!A:I,9,FALSE)</f>
        <v>5-2</v>
      </c>
    </row>
    <row r="470" ht="15.75" customHeight="1">
      <c r="A470" s="1" t="s">
        <v>90</v>
      </c>
      <c r="B470" s="1" t="s">
        <v>48</v>
      </c>
      <c r="C470" s="1" t="s">
        <v>11</v>
      </c>
      <c r="D470" s="5">
        <v>45730.0</v>
      </c>
      <c r="G470" s="1">
        <f>VLOOKUP(B470,'old-aw-skill-plan'!A:I,7,FALSE)</f>
        <v>3</v>
      </c>
      <c r="H470" s="1" t="str">
        <f>VLOOKUP(B470,'old-aw-skill-plan'!A:I,9,FALSE)</f>
        <v>3-6</v>
      </c>
    </row>
    <row r="471" ht="15.75" customHeight="1">
      <c r="A471" s="1" t="s">
        <v>101</v>
      </c>
      <c r="B471" s="1" t="s">
        <v>34</v>
      </c>
      <c r="C471" s="1" t="s">
        <v>11</v>
      </c>
      <c r="D471" s="5">
        <v>45730.0</v>
      </c>
      <c r="G471" s="1">
        <f>VLOOKUP(B471,'old-aw-skill-plan'!A:I,7,FALSE)</f>
        <v>4</v>
      </c>
      <c r="H471" s="1" t="str">
        <f>VLOOKUP(B471,'old-aw-skill-plan'!A:I,9,FALSE)</f>
        <v>4-1</v>
      </c>
    </row>
    <row r="472" ht="15.75" customHeight="1">
      <c r="A472" s="1" t="s">
        <v>101</v>
      </c>
      <c r="B472" s="1" t="s">
        <v>21</v>
      </c>
      <c r="C472" s="1" t="s">
        <v>11</v>
      </c>
      <c r="D472" s="5">
        <v>45730.0</v>
      </c>
      <c r="G472" s="1">
        <f>VLOOKUP(B472,'old-aw-skill-plan'!A:I,7,FALSE)</f>
        <v>4</v>
      </c>
      <c r="H472" s="1" t="str">
        <f>VLOOKUP(B472,'old-aw-skill-plan'!A:I,9,FALSE)</f>
        <v>4-6</v>
      </c>
    </row>
    <row r="473" ht="15.75" customHeight="1">
      <c r="A473" s="1" t="s">
        <v>38</v>
      </c>
      <c r="B473" s="1" t="s">
        <v>47</v>
      </c>
      <c r="C473" s="1" t="s">
        <v>11</v>
      </c>
      <c r="D473" s="5">
        <v>45729.0</v>
      </c>
      <c r="G473" s="1">
        <f>VLOOKUP(B473,'old-aw-skill-plan'!A:I,7,FALSE)</f>
        <v>3</v>
      </c>
      <c r="H473" s="1" t="str">
        <f>VLOOKUP(B473,'old-aw-skill-plan'!A:I,9,FALSE)</f>
        <v>3-2</v>
      </c>
    </row>
    <row r="474" ht="15.75" customHeight="1">
      <c r="A474" s="1" t="s">
        <v>38</v>
      </c>
      <c r="B474" s="1" t="s">
        <v>48</v>
      </c>
      <c r="C474" s="1" t="s">
        <v>11</v>
      </c>
      <c r="D474" s="5">
        <v>45729.0</v>
      </c>
      <c r="G474" s="1">
        <f>VLOOKUP(B474,'old-aw-skill-plan'!A:I,7,FALSE)</f>
        <v>3</v>
      </c>
      <c r="H474" s="1" t="str">
        <f>VLOOKUP(B474,'old-aw-skill-plan'!A:I,9,FALSE)</f>
        <v>3-6</v>
      </c>
    </row>
    <row r="475" ht="15.75" customHeight="1">
      <c r="A475" s="1" t="s">
        <v>24</v>
      </c>
      <c r="B475" s="1" t="s">
        <v>133</v>
      </c>
      <c r="C475" s="1" t="s">
        <v>11</v>
      </c>
      <c r="D475" s="5">
        <v>45729.0</v>
      </c>
      <c r="G475" s="1">
        <f>VLOOKUP(B475,'old-aw-skill-plan'!A:I,7,FALSE)</f>
        <v>7</v>
      </c>
      <c r="H475" s="1" t="str">
        <f>VLOOKUP(B475,'old-aw-skill-plan'!A:I,9,FALSE)</f>
        <v>7-6</v>
      </c>
    </row>
    <row r="476" ht="15.75" customHeight="1">
      <c r="A476" s="1" t="s">
        <v>24</v>
      </c>
      <c r="B476" s="1" t="s">
        <v>88</v>
      </c>
      <c r="C476" s="1" t="s">
        <v>11</v>
      </c>
      <c r="D476" s="5">
        <v>45729.0</v>
      </c>
      <c r="G476" s="1">
        <f>VLOOKUP(B476,'old-aw-skill-plan'!A:I,7,FALSE)</f>
        <v>5</v>
      </c>
      <c r="H476" s="1" t="str">
        <f>VLOOKUP(B476,'old-aw-skill-plan'!A:I,9,FALSE)</f>
        <v>5-5</v>
      </c>
    </row>
    <row r="477" ht="15.75" customHeight="1">
      <c r="A477" s="1" t="s">
        <v>52</v>
      </c>
      <c r="B477" s="1" t="s">
        <v>28</v>
      </c>
      <c r="C477" s="1" t="s">
        <v>11</v>
      </c>
      <c r="D477" s="5">
        <v>45729.0</v>
      </c>
      <c r="G477" s="1">
        <f>VLOOKUP(B477,'old-aw-skill-plan'!A:I,7,FALSE)</f>
        <v>3</v>
      </c>
      <c r="H477" s="1" t="str">
        <f>VLOOKUP(B477,'old-aw-skill-plan'!A:I,9,FALSE)</f>
        <v>3-4</v>
      </c>
    </row>
    <row r="478" ht="15.75" customHeight="1">
      <c r="A478" s="1" t="s">
        <v>52</v>
      </c>
      <c r="B478" s="1" t="s">
        <v>61</v>
      </c>
      <c r="C478" s="1" t="s">
        <v>11</v>
      </c>
      <c r="D478" s="5">
        <v>45729.0</v>
      </c>
      <c r="G478" s="1">
        <f>VLOOKUP(B478,'old-aw-skill-plan'!A:I,7,FALSE)</f>
        <v>4</v>
      </c>
      <c r="H478" s="1" t="str">
        <f>VLOOKUP(B478,'old-aw-skill-plan'!A:I,9,FALSE)</f>
        <v>4-4</v>
      </c>
    </row>
    <row r="479" ht="15.75" customHeight="1">
      <c r="A479" s="1" t="s">
        <v>52</v>
      </c>
      <c r="B479" s="1" t="s">
        <v>19</v>
      </c>
      <c r="C479" s="1" t="s">
        <v>11</v>
      </c>
      <c r="D479" s="5">
        <v>45729.0</v>
      </c>
      <c r="G479" s="1">
        <f>VLOOKUP(B479,'old-aw-skill-plan'!A:I,7,FALSE)</f>
        <v>4</v>
      </c>
      <c r="H479" s="1" t="str">
        <f>VLOOKUP(B479,'old-aw-skill-plan'!A:I,9,FALSE)</f>
        <v>4-7</v>
      </c>
    </row>
    <row r="480" ht="15.75" customHeight="1">
      <c r="A480" s="1" t="s">
        <v>52</v>
      </c>
      <c r="B480" s="1" t="s">
        <v>21</v>
      </c>
      <c r="C480" s="1" t="s">
        <v>11</v>
      </c>
      <c r="D480" s="5">
        <v>45729.0</v>
      </c>
      <c r="G480" s="1">
        <f>VLOOKUP(B480,'old-aw-skill-plan'!A:I,7,FALSE)</f>
        <v>4</v>
      </c>
      <c r="H480" s="1" t="str">
        <f>VLOOKUP(B480,'old-aw-skill-plan'!A:I,9,FALSE)</f>
        <v>4-6</v>
      </c>
    </row>
    <row r="481" ht="15.75" customHeight="1">
      <c r="A481" s="1" t="s">
        <v>55</v>
      </c>
      <c r="B481" s="1" t="s">
        <v>44</v>
      </c>
      <c r="C481" s="1" t="s">
        <v>11</v>
      </c>
      <c r="D481" s="5">
        <v>45729.0</v>
      </c>
      <c r="G481" s="1">
        <f>VLOOKUP(B481,'old-aw-skill-plan'!A:I,7,FALSE)</f>
        <v>5</v>
      </c>
      <c r="H481" s="1" t="str">
        <f>VLOOKUP(B481,'old-aw-skill-plan'!A:I,9,FALSE)</f>
        <v>5-1</v>
      </c>
    </row>
    <row r="482" ht="15.75" customHeight="1">
      <c r="A482" s="1" t="s">
        <v>62</v>
      </c>
      <c r="B482" s="1" t="s">
        <v>28</v>
      </c>
      <c r="C482" s="1" t="s">
        <v>11</v>
      </c>
      <c r="D482" s="5">
        <v>45729.0</v>
      </c>
      <c r="G482" s="1">
        <f>VLOOKUP(B482,'old-aw-skill-plan'!A:I,7,FALSE)</f>
        <v>3</v>
      </c>
      <c r="H482" s="1" t="str">
        <f>VLOOKUP(B482,'old-aw-skill-plan'!A:I,9,FALSE)</f>
        <v>3-4</v>
      </c>
    </row>
    <row r="483" ht="15.75" customHeight="1">
      <c r="A483" s="1" t="s">
        <v>62</v>
      </c>
      <c r="B483" s="1" t="s">
        <v>30</v>
      </c>
      <c r="C483" s="1" t="s">
        <v>11</v>
      </c>
      <c r="D483" s="5">
        <v>45729.0</v>
      </c>
      <c r="G483" s="1">
        <f>VLOOKUP(B483,'old-aw-skill-plan'!A:I,7,FALSE)</f>
        <v>3</v>
      </c>
      <c r="H483" s="1" t="str">
        <f>VLOOKUP(B483,'old-aw-skill-plan'!A:I,9,FALSE)</f>
        <v>3-3</v>
      </c>
    </row>
    <row r="484" ht="15.75" customHeight="1">
      <c r="A484" s="1" t="s">
        <v>62</v>
      </c>
      <c r="B484" s="1" t="s">
        <v>47</v>
      </c>
      <c r="C484" s="1" t="s">
        <v>11</v>
      </c>
      <c r="D484" s="5">
        <v>45729.0</v>
      </c>
      <c r="G484" s="1">
        <f>VLOOKUP(B484,'old-aw-skill-plan'!A:I,7,FALSE)</f>
        <v>3</v>
      </c>
      <c r="H484" s="1" t="str">
        <f>VLOOKUP(B484,'old-aw-skill-plan'!A:I,9,FALSE)</f>
        <v>3-2</v>
      </c>
    </row>
    <row r="485" ht="15.75" customHeight="1">
      <c r="A485" s="1" t="s">
        <v>62</v>
      </c>
      <c r="B485" s="1" t="s">
        <v>33</v>
      </c>
      <c r="C485" s="1" t="s">
        <v>11</v>
      </c>
      <c r="D485" s="5">
        <v>45729.0</v>
      </c>
      <c r="G485" s="1">
        <f>VLOOKUP(B485,'old-aw-skill-plan'!A:I,7,FALSE)</f>
        <v>3</v>
      </c>
      <c r="H485" s="1" t="str">
        <f>VLOOKUP(B485,'old-aw-skill-plan'!A:I,9,FALSE)</f>
        <v>3-5</v>
      </c>
    </row>
    <row r="486" ht="15.75" customHeight="1">
      <c r="A486" s="1" t="s">
        <v>64</v>
      </c>
      <c r="B486" s="1" t="s">
        <v>104</v>
      </c>
      <c r="C486" s="1" t="s">
        <v>11</v>
      </c>
      <c r="D486" s="5">
        <v>45729.0</v>
      </c>
      <c r="G486" s="1">
        <f>VLOOKUP(B486,'old-aw-skill-plan'!A:I,7,FALSE)</f>
        <v>5</v>
      </c>
      <c r="H486" s="1" t="str">
        <f>VLOOKUP(B486,'old-aw-skill-plan'!A:I,9,FALSE)</f>
        <v>5-2</v>
      </c>
    </row>
    <row r="487" ht="15.75" customHeight="1">
      <c r="A487" s="1" t="s">
        <v>76</v>
      </c>
      <c r="B487" s="1" t="s">
        <v>21</v>
      </c>
      <c r="C487" s="1" t="s">
        <v>11</v>
      </c>
      <c r="D487" s="5">
        <v>45729.0</v>
      </c>
      <c r="G487" s="1">
        <f>VLOOKUP(B487,'old-aw-skill-plan'!A:I,7,FALSE)</f>
        <v>4</v>
      </c>
      <c r="H487" s="1" t="str">
        <f>VLOOKUP(B487,'old-aw-skill-plan'!A:I,9,FALSE)</f>
        <v>4-6</v>
      </c>
    </row>
    <row r="488" ht="15.75" customHeight="1">
      <c r="A488" s="1" t="s">
        <v>80</v>
      </c>
      <c r="B488" s="1" t="s">
        <v>21</v>
      </c>
      <c r="C488" s="1" t="s">
        <v>11</v>
      </c>
      <c r="D488" s="5">
        <v>45729.0</v>
      </c>
      <c r="G488" s="1">
        <f>VLOOKUP(B488,'old-aw-skill-plan'!A:I,7,FALSE)</f>
        <v>4</v>
      </c>
      <c r="H488" s="1" t="str">
        <f>VLOOKUP(B488,'old-aw-skill-plan'!A:I,9,FALSE)</f>
        <v>4-6</v>
      </c>
    </row>
    <row r="489" ht="15.75" customHeight="1">
      <c r="A489" s="1" t="s">
        <v>81</v>
      </c>
      <c r="B489" s="1" t="s">
        <v>61</v>
      </c>
      <c r="C489" s="1" t="s">
        <v>11</v>
      </c>
      <c r="D489" s="5">
        <v>45729.0</v>
      </c>
      <c r="G489" s="1">
        <f>VLOOKUP(B489,'old-aw-skill-plan'!A:I,7,FALSE)</f>
        <v>4</v>
      </c>
      <c r="H489" s="1" t="str">
        <f>VLOOKUP(B489,'old-aw-skill-plan'!A:I,9,FALSE)</f>
        <v>4-4</v>
      </c>
    </row>
    <row r="490" ht="15.75" customHeight="1">
      <c r="A490" s="1" t="s">
        <v>81</v>
      </c>
      <c r="B490" s="1" t="s">
        <v>113</v>
      </c>
      <c r="C490" s="1" t="s">
        <v>11</v>
      </c>
      <c r="D490" s="5">
        <v>45729.0</v>
      </c>
      <c r="G490" s="1">
        <f>VLOOKUP(B490,'old-aw-skill-plan'!A:I,7,FALSE)</f>
        <v>7</v>
      </c>
      <c r="H490" s="1" t="str">
        <f>VLOOKUP(B490,'old-aw-skill-plan'!A:I,9,FALSE)</f>
        <v>7-7</v>
      </c>
    </row>
    <row r="491" ht="15.75" customHeight="1">
      <c r="A491" s="1" t="s">
        <v>81</v>
      </c>
      <c r="B491" s="1" t="s">
        <v>133</v>
      </c>
      <c r="C491" s="1" t="s">
        <v>11</v>
      </c>
      <c r="D491" s="5">
        <v>45729.0</v>
      </c>
      <c r="G491" s="1">
        <f>VLOOKUP(B491,'old-aw-skill-plan'!A:I,7,FALSE)</f>
        <v>7</v>
      </c>
      <c r="H491" s="1" t="str">
        <f>VLOOKUP(B491,'old-aw-skill-plan'!A:I,9,FALSE)</f>
        <v>7-6</v>
      </c>
    </row>
    <row r="492" ht="15.75" customHeight="1">
      <c r="A492" s="1" t="s">
        <v>81</v>
      </c>
      <c r="B492" s="1" t="s">
        <v>25</v>
      </c>
      <c r="C492" s="1" t="s">
        <v>11</v>
      </c>
      <c r="D492" s="5">
        <v>45729.0</v>
      </c>
      <c r="G492" s="1">
        <f>VLOOKUP(B492,'old-aw-skill-plan'!A:I,7,FALSE)</f>
        <v>5</v>
      </c>
      <c r="H492" s="1" t="str">
        <f>VLOOKUP(B492,'old-aw-skill-plan'!A:I,9,FALSE)</f>
        <v>5-4</v>
      </c>
    </row>
    <row r="493" ht="15.75" customHeight="1">
      <c r="A493" s="1" t="s">
        <v>92</v>
      </c>
      <c r="B493" s="1" t="s">
        <v>10</v>
      </c>
      <c r="C493" s="1" t="s">
        <v>11</v>
      </c>
      <c r="D493" s="5">
        <v>45729.0</v>
      </c>
      <c r="G493" s="1">
        <f>VLOOKUP(B493,'old-aw-skill-plan'!A:I,7,FALSE)</f>
        <v>3</v>
      </c>
      <c r="H493" s="1" t="str">
        <f>VLOOKUP(B493,'old-aw-skill-plan'!A:I,9,FALSE)</f>
        <v>3-1</v>
      </c>
    </row>
    <row r="494" ht="15.75" customHeight="1">
      <c r="A494" s="1" t="s">
        <v>73</v>
      </c>
      <c r="B494" s="1" t="s">
        <v>34</v>
      </c>
      <c r="C494" s="1" t="s">
        <v>11</v>
      </c>
      <c r="D494" s="5">
        <v>45729.0</v>
      </c>
      <c r="G494" s="1">
        <f>VLOOKUP(B494,'old-aw-skill-plan'!A:I,7,FALSE)</f>
        <v>4</v>
      </c>
      <c r="H494" s="1" t="str">
        <f>VLOOKUP(B494,'old-aw-skill-plan'!A:I,9,FALSE)</f>
        <v>4-1</v>
      </c>
    </row>
    <row r="495" ht="15.75" customHeight="1">
      <c r="A495" s="1" t="s">
        <v>90</v>
      </c>
      <c r="B495" s="1" t="s">
        <v>48</v>
      </c>
      <c r="C495" s="1" t="s">
        <v>11</v>
      </c>
      <c r="D495" s="5">
        <v>45729.0</v>
      </c>
      <c r="G495" s="1">
        <f>VLOOKUP(B495,'old-aw-skill-plan'!A:I,7,FALSE)</f>
        <v>3</v>
      </c>
      <c r="H495" s="1" t="str">
        <f>VLOOKUP(B495,'old-aw-skill-plan'!A:I,9,FALSE)</f>
        <v>3-6</v>
      </c>
    </row>
    <row r="496" ht="15.75" customHeight="1">
      <c r="A496" s="1" t="s">
        <v>90</v>
      </c>
      <c r="B496" s="1" t="s">
        <v>33</v>
      </c>
      <c r="C496" s="1" t="s">
        <v>11</v>
      </c>
      <c r="D496" s="5">
        <v>45729.0</v>
      </c>
      <c r="G496" s="1">
        <f>VLOOKUP(B496,'old-aw-skill-plan'!A:I,7,FALSE)</f>
        <v>3</v>
      </c>
      <c r="H496" s="1" t="str">
        <f>VLOOKUP(B496,'old-aw-skill-plan'!A:I,9,FALSE)</f>
        <v>3-5</v>
      </c>
    </row>
    <row r="497" ht="15.75" customHeight="1">
      <c r="A497" s="1" t="s">
        <v>101</v>
      </c>
      <c r="B497" s="1" t="s">
        <v>34</v>
      </c>
      <c r="C497" s="1" t="s">
        <v>11</v>
      </c>
      <c r="D497" s="5">
        <v>45729.0</v>
      </c>
      <c r="G497" s="1">
        <f>VLOOKUP(B497,'old-aw-skill-plan'!A:I,7,FALSE)</f>
        <v>4</v>
      </c>
      <c r="H497" s="1" t="str">
        <f>VLOOKUP(B497,'old-aw-skill-plan'!A:I,9,FALSE)</f>
        <v>4-1</v>
      </c>
    </row>
    <row r="498" ht="15.75" customHeight="1">
      <c r="A498" s="1" t="s">
        <v>62</v>
      </c>
      <c r="B498" s="1" t="s">
        <v>10</v>
      </c>
      <c r="C498" s="1" t="s">
        <v>11</v>
      </c>
      <c r="D498" s="5">
        <v>45728.0</v>
      </c>
      <c r="G498" s="1">
        <f>VLOOKUP(B498,'old-aw-skill-plan'!A:I,7,FALSE)</f>
        <v>3</v>
      </c>
      <c r="H498" s="1" t="str">
        <f>VLOOKUP(B498,'old-aw-skill-plan'!A:I,9,FALSE)</f>
        <v>3-1</v>
      </c>
    </row>
    <row r="499" ht="15.75" customHeight="1">
      <c r="A499" s="1" t="s">
        <v>64</v>
      </c>
      <c r="B499" s="1" t="s">
        <v>44</v>
      </c>
      <c r="C499" s="1" t="s">
        <v>11</v>
      </c>
      <c r="D499" s="5">
        <v>45728.0</v>
      </c>
      <c r="G499" s="1">
        <f>VLOOKUP(B499,'old-aw-skill-plan'!A:I,7,FALSE)</f>
        <v>5</v>
      </c>
      <c r="H499" s="1" t="str">
        <f>VLOOKUP(B499,'old-aw-skill-plan'!A:I,9,FALSE)</f>
        <v>5-1</v>
      </c>
    </row>
    <row r="500" ht="15.75" customHeight="1">
      <c r="A500" s="1" t="s">
        <v>64</v>
      </c>
      <c r="B500" s="1" t="s">
        <v>104</v>
      </c>
      <c r="C500" s="1" t="s">
        <v>11</v>
      </c>
      <c r="D500" s="5">
        <v>45728.0</v>
      </c>
      <c r="G500" s="1">
        <f>VLOOKUP(B500,'old-aw-skill-plan'!A:I,7,FALSE)</f>
        <v>5</v>
      </c>
      <c r="H500" s="1" t="str">
        <f>VLOOKUP(B500,'old-aw-skill-plan'!A:I,9,FALSE)</f>
        <v>5-2</v>
      </c>
    </row>
    <row r="501" ht="15.75" customHeight="1">
      <c r="A501" s="1" t="s">
        <v>67</v>
      </c>
      <c r="B501" s="1" t="s">
        <v>10</v>
      </c>
      <c r="C501" s="1" t="s">
        <v>11</v>
      </c>
      <c r="D501" s="5">
        <v>45728.0</v>
      </c>
      <c r="G501" s="1">
        <f>VLOOKUP(B501,'old-aw-skill-plan'!A:I,7,FALSE)</f>
        <v>3</v>
      </c>
      <c r="H501" s="1" t="str">
        <f>VLOOKUP(B501,'old-aw-skill-plan'!A:I,9,FALSE)</f>
        <v>3-1</v>
      </c>
    </row>
    <row r="502" ht="15.75" customHeight="1">
      <c r="A502" s="1" t="s">
        <v>39</v>
      </c>
      <c r="B502" s="1" t="s">
        <v>66</v>
      </c>
      <c r="C502" s="1" t="s">
        <v>11</v>
      </c>
      <c r="D502" s="5">
        <v>45728.0</v>
      </c>
      <c r="G502" s="1">
        <f>VLOOKUP(B502,'old-aw-skill-plan'!A:I,7,FALSE)</f>
        <v>4</v>
      </c>
      <c r="H502" s="1" t="str">
        <f>VLOOKUP(B502,'old-aw-skill-plan'!A:I,9,FALSE)</f>
        <v>4-9</v>
      </c>
    </row>
    <row r="503" ht="15.75" customHeight="1">
      <c r="A503" s="1" t="s">
        <v>39</v>
      </c>
      <c r="B503" s="1" t="s">
        <v>44</v>
      </c>
      <c r="C503" s="1" t="s">
        <v>11</v>
      </c>
      <c r="D503" s="5">
        <v>45728.0</v>
      </c>
      <c r="G503" s="1">
        <f>VLOOKUP(B503,'old-aw-skill-plan'!A:I,7,FALSE)</f>
        <v>5</v>
      </c>
      <c r="H503" s="1" t="str">
        <f>VLOOKUP(B503,'old-aw-skill-plan'!A:I,9,FALSE)</f>
        <v>5-1</v>
      </c>
    </row>
    <row r="504" ht="15.75" customHeight="1">
      <c r="A504" s="1" t="s">
        <v>78</v>
      </c>
      <c r="B504" s="1" t="s">
        <v>10</v>
      </c>
      <c r="C504" s="1" t="s">
        <v>11</v>
      </c>
      <c r="D504" s="5">
        <v>45728.0</v>
      </c>
      <c r="G504" s="1">
        <f>VLOOKUP(B504,'old-aw-skill-plan'!A:I,7,FALSE)</f>
        <v>3</v>
      </c>
      <c r="H504" s="1" t="str">
        <f>VLOOKUP(B504,'old-aw-skill-plan'!A:I,9,FALSE)</f>
        <v>3-1</v>
      </c>
    </row>
    <row r="505" ht="15.75" customHeight="1">
      <c r="A505" s="1" t="s">
        <v>60</v>
      </c>
      <c r="B505" s="1" t="s">
        <v>61</v>
      </c>
      <c r="C505" s="1" t="s">
        <v>11</v>
      </c>
      <c r="D505" s="5">
        <v>45728.0</v>
      </c>
      <c r="G505" s="1">
        <f>VLOOKUP(B505,'old-aw-skill-plan'!A:I,7,FALSE)</f>
        <v>4</v>
      </c>
      <c r="H505" s="1" t="str">
        <f>VLOOKUP(B505,'old-aw-skill-plan'!A:I,9,FALSE)</f>
        <v>4-4</v>
      </c>
    </row>
    <row r="506" ht="15.75" customHeight="1">
      <c r="A506" s="1" t="s">
        <v>60</v>
      </c>
      <c r="B506" s="1" t="s">
        <v>44</v>
      </c>
      <c r="C506" s="1" t="s">
        <v>11</v>
      </c>
      <c r="D506" s="5">
        <v>45728.0</v>
      </c>
      <c r="G506" s="1">
        <f>VLOOKUP(B506,'old-aw-skill-plan'!A:I,7,FALSE)</f>
        <v>5</v>
      </c>
      <c r="H506" s="1" t="str">
        <f>VLOOKUP(B506,'old-aw-skill-plan'!A:I,9,FALSE)</f>
        <v>5-1</v>
      </c>
    </row>
    <row r="507" ht="15.75" customHeight="1">
      <c r="A507" s="1" t="s">
        <v>65</v>
      </c>
      <c r="B507" s="1" t="s">
        <v>34</v>
      </c>
      <c r="C507" s="1" t="s">
        <v>11</v>
      </c>
      <c r="D507" s="5">
        <v>45728.0</v>
      </c>
      <c r="G507" s="1">
        <f>VLOOKUP(B507,'old-aw-skill-plan'!A:I,7,FALSE)</f>
        <v>4</v>
      </c>
      <c r="H507" s="1" t="str">
        <f>VLOOKUP(B507,'old-aw-skill-plan'!A:I,9,FALSE)</f>
        <v>4-1</v>
      </c>
    </row>
    <row r="508" ht="15.75" customHeight="1">
      <c r="A508" s="1" t="s">
        <v>65</v>
      </c>
      <c r="B508" s="1" t="s">
        <v>23</v>
      </c>
      <c r="C508" s="1" t="s">
        <v>11</v>
      </c>
      <c r="D508" s="5">
        <v>45728.0</v>
      </c>
      <c r="G508" s="1">
        <f>VLOOKUP(B508,'old-aw-skill-plan'!A:I,7,FALSE)</f>
        <v>4</v>
      </c>
      <c r="H508" s="1" t="str">
        <f>VLOOKUP(B508,'old-aw-skill-plan'!A:I,9,FALSE)</f>
        <v>4-5</v>
      </c>
    </row>
    <row r="509" ht="15.75" customHeight="1">
      <c r="A509" s="1" t="s">
        <v>68</v>
      </c>
      <c r="B509" s="1" t="s">
        <v>10</v>
      </c>
      <c r="C509" s="1" t="s">
        <v>11</v>
      </c>
      <c r="D509" s="5">
        <v>45728.0</v>
      </c>
      <c r="G509" s="1">
        <f>VLOOKUP(B509,'old-aw-skill-plan'!A:I,7,FALSE)</f>
        <v>3</v>
      </c>
      <c r="H509" s="1" t="str">
        <f>VLOOKUP(B509,'old-aw-skill-plan'!A:I,9,FALSE)</f>
        <v>3-1</v>
      </c>
    </row>
    <row r="510" ht="15.75" customHeight="1">
      <c r="A510" s="1" t="s">
        <v>68</v>
      </c>
      <c r="B510" s="1" t="s">
        <v>48</v>
      </c>
      <c r="C510" s="1" t="s">
        <v>11</v>
      </c>
      <c r="D510" s="5">
        <v>45728.0</v>
      </c>
      <c r="G510" s="1">
        <f>VLOOKUP(B510,'old-aw-skill-plan'!A:I,7,FALSE)</f>
        <v>3</v>
      </c>
      <c r="H510" s="1" t="str">
        <f>VLOOKUP(B510,'old-aw-skill-plan'!A:I,9,FALSE)</f>
        <v>3-6</v>
      </c>
    </row>
    <row r="511" ht="15.75" customHeight="1">
      <c r="A511" s="1" t="s">
        <v>73</v>
      </c>
      <c r="B511" s="1" t="s">
        <v>34</v>
      </c>
      <c r="C511" s="1" t="s">
        <v>11</v>
      </c>
      <c r="D511" s="5">
        <v>45728.0</v>
      </c>
      <c r="G511" s="1">
        <f>VLOOKUP(B511,'old-aw-skill-plan'!A:I,7,FALSE)</f>
        <v>4</v>
      </c>
      <c r="H511" s="1" t="str">
        <f>VLOOKUP(B511,'old-aw-skill-plan'!A:I,9,FALSE)</f>
        <v>4-1</v>
      </c>
    </row>
    <row r="512" ht="15.75" customHeight="1">
      <c r="A512" s="1" t="s">
        <v>77</v>
      </c>
      <c r="B512" s="1" t="s">
        <v>34</v>
      </c>
      <c r="C512" s="1" t="s">
        <v>11</v>
      </c>
      <c r="D512" s="5">
        <v>45728.0</v>
      </c>
      <c r="G512" s="1">
        <f>VLOOKUP(B512,'old-aw-skill-plan'!A:I,7,FALSE)</f>
        <v>4</v>
      </c>
      <c r="H512" s="1" t="str">
        <f>VLOOKUP(B512,'old-aw-skill-plan'!A:I,9,FALSE)</f>
        <v>4-1</v>
      </c>
    </row>
    <row r="513" ht="15.75" customHeight="1">
      <c r="A513" s="1" t="s">
        <v>77</v>
      </c>
      <c r="B513" s="1" t="s">
        <v>21</v>
      </c>
      <c r="C513" s="1" t="s">
        <v>11</v>
      </c>
      <c r="D513" s="5">
        <v>45728.0</v>
      </c>
      <c r="G513" s="1">
        <f>VLOOKUP(B513,'old-aw-skill-plan'!A:I,7,FALSE)</f>
        <v>4</v>
      </c>
      <c r="H513" s="1" t="str">
        <f>VLOOKUP(B513,'old-aw-skill-plan'!A:I,9,FALSE)</f>
        <v>4-6</v>
      </c>
    </row>
    <row r="514" ht="15.75" customHeight="1">
      <c r="A514" s="1" t="s">
        <v>82</v>
      </c>
      <c r="B514" s="1" t="s">
        <v>134</v>
      </c>
      <c r="C514" s="1" t="s">
        <v>11</v>
      </c>
      <c r="D514" s="5">
        <v>45728.0</v>
      </c>
      <c r="G514" s="1" t="str">
        <f>VLOOKUP(B514,'old-aw-skill-plan'!A:I,7,FALSE)</f>
        <v>#N/A</v>
      </c>
      <c r="H514" s="1" t="str">
        <f>VLOOKUP(B514,'old-aw-skill-plan'!A:I,9,FALSE)</f>
        <v>#N/A</v>
      </c>
    </row>
    <row r="515" ht="15.75" customHeight="1">
      <c r="A515" s="1" t="s">
        <v>82</v>
      </c>
      <c r="B515" s="1" t="s">
        <v>10</v>
      </c>
      <c r="C515" s="1" t="s">
        <v>11</v>
      </c>
      <c r="D515" s="5">
        <v>45728.0</v>
      </c>
      <c r="G515" s="1">
        <f>VLOOKUP(B515,'old-aw-skill-plan'!A:I,7,FALSE)</f>
        <v>3</v>
      </c>
      <c r="H515" s="1" t="str">
        <f>VLOOKUP(B515,'old-aw-skill-plan'!A:I,9,FALSE)</f>
        <v>3-1</v>
      </c>
    </row>
    <row r="516" ht="15.75" customHeight="1">
      <c r="A516" s="1" t="s">
        <v>82</v>
      </c>
      <c r="B516" s="1" t="s">
        <v>44</v>
      </c>
      <c r="C516" s="1" t="s">
        <v>11</v>
      </c>
      <c r="D516" s="5">
        <v>45728.0</v>
      </c>
      <c r="G516" s="1">
        <f>VLOOKUP(B516,'old-aw-skill-plan'!A:I,7,FALSE)</f>
        <v>5</v>
      </c>
      <c r="H516" s="1" t="str">
        <f>VLOOKUP(B516,'old-aw-skill-plan'!A:I,9,FALSE)</f>
        <v>5-1</v>
      </c>
    </row>
    <row r="517" ht="15.75" customHeight="1">
      <c r="A517" s="1" t="s">
        <v>82</v>
      </c>
      <c r="B517" s="1" t="s">
        <v>84</v>
      </c>
      <c r="C517" s="1" t="s">
        <v>11</v>
      </c>
      <c r="D517" s="5">
        <v>45728.0</v>
      </c>
      <c r="G517" s="1">
        <f>VLOOKUP(B517,'old-aw-skill-plan'!A:I,7,FALSE)</f>
        <v>5</v>
      </c>
      <c r="H517" s="1" t="str">
        <f>VLOOKUP(B517,'old-aw-skill-plan'!A:I,9,FALSE)</f>
        <v>5-7</v>
      </c>
    </row>
    <row r="518" ht="15.75" customHeight="1">
      <c r="A518" s="1" t="s">
        <v>82</v>
      </c>
      <c r="B518" s="1" t="s">
        <v>103</v>
      </c>
      <c r="C518" s="1" t="s">
        <v>11</v>
      </c>
      <c r="D518" s="5">
        <v>45728.0</v>
      </c>
      <c r="G518" s="1">
        <f>VLOOKUP(B518,'old-aw-skill-plan'!A:I,7,FALSE)</f>
        <v>5</v>
      </c>
      <c r="H518" s="1" t="str">
        <f>VLOOKUP(B518,'old-aw-skill-plan'!A:I,9,FALSE)</f>
        <v>5-3</v>
      </c>
    </row>
    <row r="519" ht="15.75" customHeight="1">
      <c r="A519" s="1" t="s">
        <v>82</v>
      </c>
      <c r="B519" s="1" t="s">
        <v>104</v>
      </c>
      <c r="C519" s="1" t="s">
        <v>11</v>
      </c>
      <c r="D519" s="5">
        <v>45728.0</v>
      </c>
      <c r="G519" s="1">
        <f>VLOOKUP(B519,'old-aw-skill-plan'!A:I,7,FALSE)</f>
        <v>5</v>
      </c>
      <c r="H519" s="1" t="str">
        <f>VLOOKUP(B519,'old-aw-skill-plan'!A:I,9,FALSE)</f>
        <v>5-2</v>
      </c>
    </row>
    <row r="520" ht="15.75" customHeight="1">
      <c r="A520" s="1" t="s">
        <v>82</v>
      </c>
      <c r="B520" s="1" t="s">
        <v>135</v>
      </c>
      <c r="C520" s="1" t="s">
        <v>11</v>
      </c>
      <c r="D520" s="5">
        <v>45728.0</v>
      </c>
      <c r="G520" s="1">
        <f>VLOOKUP(B520,'old-aw-skill-plan'!A:I,7,FALSE)</f>
        <v>8</v>
      </c>
      <c r="H520" s="1" t="str">
        <f>VLOOKUP(B520,'old-aw-skill-plan'!A:I,9,FALSE)</f>
        <v>8-12</v>
      </c>
    </row>
    <row r="521" ht="15.75" customHeight="1">
      <c r="A521" s="1" t="s">
        <v>82</v>
      </c>
      <c r="B521" s="1" t="s">
        <v>87</v>
      </c>
      <c r="C521" s="1" t="s">
        <v>11</v>
      </c>
      <c r="D521" s="5">
        <v>45728.0</v>
      </c>
      <c r="G521" s="1">
        <f>VLOOKUP(B521,'old-aw-skill-plan'!A:I,7,FALSE)</f>
        <v>5</v>
      </c>
      <c r="H521" s="1" t="str">
        <f>VLOOKUP(B521,'old-aw-skill-plan'!A:I,9,FALSE)</f>
        <v>5-6</v>
      </c>
    </row>
    <row r="522" ht="15.75" customHeight="1">
      <c r="A522" s="1" t="s">
        <v>90</v>
      </c>
      <c r="B522" s="1" t="s">
        <v>10</v>
      </c>
      <c r="C522" s="1" t="s">
        <v>11</v>
      </c>
      <c r="D522" s="5">
        <v>45728.0</v>
      </c>
      <c r="G522" s="1">
        <f>VLOOKUP(B522,'old-aw-skill-plan'!A:I,7,FALSE)</f>
        <v>3</v>
      </c>
      <c r="H522" s="1" t="str">
        <f>VLOOKUP(B522,'old-aw-skill-plan'!A:I,9,FALSE)</f>
        <v>3-1</v>
      </c>
    </row>
    <row r="523" ht="15.75" customHeight="1">
      <c r="A523" s="1" t="s">
        <v>90</v>
      </c>
      <c r="B523" s="1" t="s">
        <v>48</v>
      </c>
      <c r="C523" s="1" t="s">
        <v>11</v>
      </c>
      <c r="D523" s="5">
        <v>45728.0</v>
      </c>
      <c r="G523" s="1">
        <f>VLOOKUP(B523,'old-aw-skill-plan'!A:I,7,FALSE)</f>
        <v>3</v>
      </c>
      <c r="H523" s="1" t="str">
        <f>VLOOKUP(B523,'old-aw-skill-plan'!A:I,9,FALSE)</f>
        <v>3-6</v>
      </c>
    </row>
    <row r="524" ht="15.75" customHeight="1">
      <c r="A524" s="1" t="s">
        <v>90</v>
      </c>
      <c r="B524" s="1" t="s">
        <v>33</v>
      </c>
      <c r="C524" s="1" t="s">
        <v>11</v>
      </c>
      <c r="D524" s="5">
        <v>45728.0</v>
      </c>
      <c r="G524" s="1">
        <f>VLOOKUP(B524,'old-aw-skill-plan'!A:I,7,FALSE)</f>
        <v>3</v>
      </c>
      <c r="H524" s="1" t="str">
        <f>VLOOKUP(B524,'old-aw-skill-plan'!A:I,9,FALSE)</f>
        <v>3-5</v>
      </c>
    </row>
    <row r="525" ht="15.75" customHeight="1">
      <c r="A525" s="1" t="s">
        <v>101</v>
      </c>
      <c r="B525" s="1" t="s">
        <v>116</v>
      </c>
      <c r="C525" s="1" t="s">
        <v>11</v>
      </c>
      <c r="D525" s="5">
        <v>45728.0</v>
      </c>
      <c r="G525" s="1">
        <f>VLOOKUP(B525,'old-aw-skill-plan'!A:I,7,FALSE)</f>
        <v>3</v>
      </c>
      <c r="H525" s="1" t="str">
        <f>VLOOKUP(B525,'old-aw-skill-plan'!A:I,9,FALSE)</f>
        <v>3-9</v>
      </c>
    </row>
    <row r="526" ht="15.75" customHeight="1">
      <c r="A526" s="1" t="s">
        <v>101</v>
      </c>
      <c r="B526" s="1" t="s">
        <v>136</v>
      </c>
      <c r="C526" s="1" t="s">
        <v>11</v>
      </c>
      <c r="D526" s="5">
        <v>45728.0</v>
      </c>
      <c r="G526" s="1">
        <f>VLOOKUP(B526,'old-aw-skill-plan'!A:I,7,FALSE)</f>
        <v>6</v>
      </c>
      <c r="H526" s="1" t="str">
        <f>VLOOKUP(B526,'old-aw-skill-plan'!A:I,9,FALSE)</f>
        <v>6-4</v>
      </c>
    </row>
    <row r="527" ht="15.75" customHeight="1">
      <c r="A527" s="1" t="s">
        <v>101</v>
      </c>
      <c r="B527" s="1" t="s">
        <v>91</v>
      </c>
      <c r="C527" s="1" t="s">
        <v>11</v>
      </c>
      <c r="D527" s="5">
        <v>45728.0</v>
      </c>
      <c r="G527" s="1">
        <f>VLOOKUP(B527,'old-aw-skill-plan'!A:I,7,FALSE)</f>
        <v>6</v>
      </c>
      <c r="H527" s="1" t="str">
        <f>VLOOKUP(B527,'old-aw-skill-plan'!A:I,9,FALSE)</f>
        <v>6-1</v>
      </c>
    </row>
    <row r="528" ht="15.75" customHeight="1">
      <c r="A528" s="1" t="s">
        <v>101</v>
      </c>
      <c r="B528" s="1" t="s">
        <v>117</v>
      </c>
      <c r="C528" s="1" t="s">
        <v>11</v>
      </c>
      <c r="D528" s="5">
        <v>45728.0</v>
      </c>
      <c r="G528" s="1">
        <f>VLOOKUP(B528,'old-aw-skill-plan'!A:I,7,FALSE)</f>
        <v>3</v>
      </c>
      <c r="H528" s="1" t="str">
        <f>VLOOKUP(B528,'old-aw-skill-plan'!A:I,9,FALSE)</f>
        <v>3-11</v>
      </c>
    </row>
    <row r="529" ht="15.75" customHeight="1">
      <c r="A529" s="1" t="s">
        <v>101</v>
      </c>
      <c r="B529" s="1" t="s">
        <v>137</v>
      </c>
      <c r="C529" s="1" t="s">
        <v>11</v>
      </c>
      <c r="D529" s="5">
        <v>45728.0</v>
      </c>
      <c r="G529" s="1">
        <f>VLOOKUP(B529,'old-aw-skill-plan'!A:I,7,FALSE)</f>
        <v>6</v>
      </c>
      <c r="H529" s="1" t="str">
        <f>VLOOKUP(B529,'old-aw-skill-plan'!A:I,9,FALSE)</f>
        <v>6-6</v>
      </c>
    </row>
    <row r="530" ht="15.75" customHeight="1">
      <c r="A530" s="1" t="s">
        <v>101</v>
      </c>
      <c r="B530" s="1" t="s">
        <v>21</v>
      </c>
      <c r="C530" s="1" t="s">
        <v>11</v>
      </c>
      <c r="D530" s="5">
        <v>45728.0</v>
      </c>
      <c r="G530" s="1">
        <f>VLOOKUP(B530,'old-aw-skill-plan'!A:I,7,FALSE)</f>
        <v>4</v>
      </c>
      <c r="H530" s="1" t="str">
        <f>VLOOKUP(B530,'old-aw-skill-plan'!A:I,9,FALSE)</f>
        <v>4-6</v>
      </c>
    </row>
    <row r="531" ht="15.75" customHeight="1">
      <c r="A531" s="1" t="s">
        <v>101</v>
      </c>
      <c r="B531" s="1" t="s">
        <v>23</v>
      </c>
      <c r="C531" s="1" t="s">
        <v>11</v>
      </c>
      <c r="D531" s="5">
        <v>45728.0</v>
      </c>
      <c r="G531" s="1">
        <f>VLOOKUP(B531,'old-aw-skill-plan'!A:I,7,FALSE)</f>
        <v>4</v>
      </c>
      <c r="H531" s="1" t="str">
        <f>VLOOKUP(B531,'old-aw-skill-plan'!A:I,9,FALSE)</f>
        <v>4-5</v>
      </c>
    </row>
    <row r="532" ht="15.75" customHeight="1">
      <c r="A532" s="1" t="s">
        <v>38</v>
      </c>
      <c r="B532" s="1" t="s">
        <v>10</v>
      </c>
      <c r="C532" s="1" t="s">
        <v>11</v>
      </c>
      <c r="D532" s="5">
        <v>45727.0</v>
      </c>
      <c r="G532" s="1">
        <f>VLOOKUP(B532,'old-aw-skill-plan'!A:I,7,FALSE)</f>
        <v>3</v>
      </c>
      <c r="H532" s="1" t="str">
        <f>VLOOKUP(B532,'old-aw-skill-plan'!A:I,9,FALSE)</f>
        <v>3-1</v>
      </c>
    </row>
    <row r="533" ht="15.75" customHeight="1">
      <c r="A533" s="1" t="s">
        <v>38</v>
      </c>
      <c r="B533" s="1" t="s">
        <v>47</v>
      </c>
      <c r="C533" s="1" t="s">
        <v>11</v>
      </c>
      <c r="D533" s="5">
        <v>45727.0</v>
      </c>
      <c r="G533" s="1">
        <f>VLOOKUP(B533,'old-aw-skill-plan'!A:I,7,FALSE)</f>
        <v>3</v>
      </c>
      <c r="H533" s="1" t="str">
        <f>VLOOKUP(B533,'old-aw-skill-plan'!A:I,9,FALSE)</f>
        <v>3-2</v>
      </c>
    </row>
    <row r="534" ht="15.75" customHeight="1">
      <c r="A534" s="1" t="s">
        <v>38</v>
      </c>
      <c r="B534" s="1" t="s">
        <v>97</v>
      </c>
      <c r="C534" s="1" t="s">
        <v>11</v>
      </c>
      <c r="D534" s="5">
        <v>45727.0</v>
      </c>
      <c r="G534" s="1">
        <f>VLOOKUP(B534,'old-aw-skill-plan'!A:I,7,FALSE)</f>
        <v>4</v>
      </c>
      <c r="H534" s="1" t="str">
        <f>VLOOKUP(B534,'old-aw-skill-plan'!A:I,9,FALSE)</f>
        <v>4-3</v>
      </c>
    </row>
    <row r="535" ht="15.75" customHeight="1">
      <c r="A535" s="1" t="s">
        <v>38</v>
      </c>
      <c r="B535" s="1" t="s">
        <v>37</v>
      </c>
      <c r="C535" s="1" t="s">
        <v>11</v>
      </c>
      <c r="D535" s="5">
        <v>45727.0</v>
      </c>
      <c r="G535" s="1">
        <f>VLOOKUP(B535,'old-aw-skill-plan'!A:I,7,FALSE)</f>
        <v>4</v>
      </c>
      <c r="H535" s="1" t="str">
        <f>VLOOKUP(B535,'old-aw-skill-plan'!A:I,9,FALSE)</f>
        <v>4-2</v>
      </c>
    </row>
    <row r="536" ht="15.75" customHeight="1">
      <c r="A536" s="1" t="s">
        <v>52</v>
      </c>
      <c r="B536" s="1" t="s">
        <v>10</v>
      </c>
      <c r="C536" s="1" t="s">
        <v>11</v>
      </c>
      <c r="D536" s="5">
        <v>45727.0</v>
      </c>
      <c r="G536" s="1">
        <f>VLOOKUP(B536,'old-aw-skill-plan'!A:I,7,FALSE)</f>
        <v>3</v>
      </c>
      <c r="H536" s="1" t="str">
        <f>VLOOKUP(B536,'old-aw-skill-plan'!A:I,9,FALSE)</f>
        <v>3-1</v>
      </c>
    </row>
    <row r="537" ht="15.75" customHeight="1">
      <c r="A537" s="1" t="s">
        <v>52</v>
      </c>
      <c r="B537" s="1" t="s">
        <v>61</v>
      </c>
      <c r="C537" s="1" t="s">
        <v>11</v>
      </c>
      <c r="D537" s="5">
        <v>45727.0</v>
      </c>
      <c r="G537" s="1">
        <f>VLOOKUP(B537,'old-aw-skill-plan'!A:I,7,FALSE)</f>
        <v>4</v>
      </c>
      <c r="H537" s="1" t="str">
        <f>VLOOKUP(B537,'old-aw-skill-plan'!A:I,9,FALSE)</f>
        <v>4-4</v>
      </c>
    </row>
    <row r="538" ht="15.75" customHeight="1">
      <c r="A538" s="1" t="s">
        <v>52</v>
      </c>
      <c r="B538" s="1" t="s">
        <v>34</v>
      </c>
      <c r="C538" s="1" t="s">
        <v>11</v>
      </c>
      <c r="D538" s="5">
        <v>45727.0</v>
      </c>
      <c r="G538" s="1">
        <f>VLOOKUP(B538,'old-aw-skill-plan'!A:I,7,FALSE)</f>
        <v>4</v>
      </c>
      <c r="H538" s="1" t="str">
        <f>VLOOKUP(B538,'old-aw-skill-plan'!A:I,9,FALSE)</f>
        <v>4-1</v>
      </c>
    </row>
    <row r="539" ht="15.75" customHeight="1">
      <c r="A539" s="1" t="s">
        <v>54</v>
      </c>
      <c r="B539" s="1" t="s">
        <v>34</v>
      </c>
      <c r="C539" s="1" t="s">
        <v>11</v>
      </c>
      <c r="D539" s="5">
        <v>45727.0</v>
      </c>
      <c r="G539" s="1">
        <f>VLOOKUP(B539,'old-aw-skill-plan'!A:I,7,FALSE)</f>
        <v>4</v>
      </c>
      <c r="H539" s="1" t="str">
        <f>VLOOKUP(B539,'old-aw-skill-plan'!A:I,9,FALSE)</f>
        <v>4-1</v>
      </c>
    </row>
    <row r="540" ht="15.75" customHeight="1">
      <c r="A540" s="1" t="s">
        <v>54</v>
      </c>
      <c r="B540" s="1" t="s">
        <v>97</v>
      </c>
      <c r="C540" s="1" t="s">
        <v>11</v>
      </c>
      <c r="D540" s="5">
        <v>45727.0</v>
      </c>
      <c r="G540" s="1">
        <f>VLOOKUP(B540,'old-aw-skill-plan'!A:I,7,FALSE)</f>
        <v>4</v>
      </c>
      <c r="H540" s="1" t="str">
        <f>VLOOKUP(B540,'old-aw-skill-plan'!A:I,9,FALSE)</f>
        <v>4-3</v>
      </c>
    </row>
    <row r="541" ht="15.75" customHeight="1">
      <c r="A541" s="1" t="s">
        <v>64</v>
      </c>
      <c r="B541" s="1" t="s">
        <v>44</v>
      </c>
      <c r="C541" s="1" t="s">
        <v>11</v>
      </c>
      <c r="D541" s="5">
        <v>45727.0</v>
      </c>
      <c r="G541" s="1">
        <f>VLOOKUP(B541,'old-aw-skill-plan'!A:I,7,FALSE)</f>
        <v>5</v>
      </c>
      <c r="H541" s="1" t="str">
        <f>VLOOKUP(B541,'old-aw-skill-plan'!A:I,9,FALSE)</f>
        <v>5-1</v>
      </c>
    </row>
    <row r="542" ht="15.75" customHeight="1">
      <c r="A542" s="1" t="s">
        <v>64</v>
      </c>
      <c r="B542" s="1" t="s">
        <v>104</v>
      </c>
      <c r="C542" s="1" t="s">
        <v>11</v>
      </c>
      <c r="D542" s="5">
        <v>45727.0</v>
      </c>
      <c r="G542" s="1">
        <f>VLOOKUP(B542,'old-aw-skill-plan'!A:I,7,FALSE)</f>
        <v>5</v>
      </c>
      <c r="H542" s="1" t="str">
        <f>VLOOKUP(B542,'old-aw-skill-plan'!A:I,9,FALSE)</f>
        <v>5-2</v>
      </c>
    </row>
    <row r="543" ht="15.75" customHeight="1">
      <c r="A543" s="1" t="s">
        <v>39</v>
      </c>
      <c r="B543" s="1" t="s">
        <v>66</v>
      </c>
      <c r="C543" s="1" t="s">
        <v>11</v>
      </c>
      <c r="D543" s="5">
        <v>45727.0</v>
      </c>
      <c r="G543" s="1">
        <f>VLOOKUP(B543,'old-aw-skill-plan'!A:I,7,FALSE)</f>
        <v>4</v>
      </c>
      <c r="H543" s="1" t="str">
        <f>VLOOKUP(B543,'old-aw-skill-plan'!A:I,9,FALSE)</f>
        <v>4-9</v>
      </c>
    </row>
    <row r="544" ht="15.75" customHeight="1">
      <c r="A544" s="1" t="s">
        <v>39</v>
      </c>
      <c r="B544" s="1" t="s">
        <v>44</v>
      </c>
      <c r="C544" s="1" t="s">
        <v>11</v>
      </c>
      <c r="D544" s="5">
        <v>45727.0</v>
      </c>
      <c r="G544" s="1">
        <f>VLOOKUP(B544,'old-aw-skill-plan'!A:I,7,FALSE)</f>
        <v>5</v>
      </c>
      <c r="H544" s="1" t="str">
        <f>VLOOKUP(B544,'old-aw-skill-plan'!A:I,9,FALSE)</f>
        <v>5-1</v>
      </c>
    </row>
    <row r="545" ht="15.75" customHeight="1">
      <c r="A545" s="1" t="s">
        <v>72</v>
      </c>
      <c r="B545" s="1" t="s">
        <v>34</v>
      </c>
      <c r="C545" s="1" t="s">
        <v>11</v>
      </c>
      <c r="D545" s="5">
        <v>45727.0</v>
      </c>
      <c r="G545" s="1">
        <f>VLOOKUP(B545,'old-aw-skill-plan'!A:I,7,FALSE)</f>
        <v>4</v>
      </c>
      <c r="H545" s="1" t="str">
        <f>VLOOKUP(B545,'old-aw-skill-plan'!A:I,9,FALSE)</f>
        <v>4-1</v>
      </c>
    </row>
    <row r="546" ht="15.75" customHeight="1">
      <c r="A546" s="1" t="s">
        <v>72</v>
      </c>
      <c r="B546" s="1" t="s">
        <v>21</v>
      </c>
      <c r="C546" s="1" t="s">
        <v>11</v>
      </c>
      <c r="D546" s="5">
        <v>45727.0</v>
      </c>
      <c r="G546" s="1">
        <f>VLOOKUP(B546,'old-aw-skill-plan'!A:I,7,FALSE)</f>
        <v>4</v>
      </c>
      <c r="H546" s="1" t="str">
        <f>VLOOKUP(B546,'old-aw-skill-plan'!A:I,9,FALSE)</f>
        <v>4-6</v>
      </c>
    </row>
    <row r="547" ht="15.75" customHeight="1">
      <c r="A547" s="1" t="s">
        <v>56</v>
      </c>
      <c r="B547" s="1" t="s">
        <v>34</v>
      </c>
      <c r="C547" s="1" t="s">
        <v>11</v>
      </c>
      <c r="D547" s="5">
        <v>45727.0</v>
      </c>
      <c r="G547" s="1">
        <f>VLOOKUP(B547,'old-aw-skill-plan'!A:I,7,FALSE)</f>
        <v>4</v>
      </c>
      <c r="H547" s="1" t="str">
        <f>VLOOKUP(B547,'old-aw-skill-plan'!A:I,9,FALSE)</f>
        <v>4-1</v>
      </c>
    </row>
    <row r="548" ht="15.75" customHeight="1">
      <c r="A548" s="1" t="s">
        <v>78</v>
      </c>
      <c r="B548" s="1" t="s">
        <v>10</v>
      </c>
      <c r="C548" s="1" t="s">
        <v>11</v>
      </c>
      <c r="D548" s="5">
        <v>45727.0</v>
      </c>
      <c r="G548" s="1">
        <f>VLOOKUP(B548,'old-aw-skill-plan'!A:I,7,FALSE)</f>
        <v>3</v>
      </c>
      <c r="H548" s="1" t="str">
        <f>VLOOKUP(B548,'old-aw-skill-plan'!A:I,9,FALSE)</f>
        <v>3-1</v>
      </c>
    </row>
    <row r="549" ht="15.75" customHeight="1">
      <c r="A549" s="1" t="s">
        <v>81</v>
      </c>
      <c r="B549" s="1" t="s">
        <v>61</v>
      </c>
      <c r="C549" s="1" t="s">
        <v>11</v>
      </c>
      <c r="D549" s="5">
        <v>45727.0</v>
      </c>
      <c r="G549" s="1">
        <f>VLOOKUP(B549,'old-aw-skill-plan'!A:I,7,FALSE)</f>
        <v>4</v>
      </c>
      <c r="H549" s="1" t="str">
        <f>VLOOKUP(B549,'old-aw-skill-plan'!A:I,9,FALSE)</f>
        <v>4-4</v>
      </c>
    </row>
    <row r="550" ht="15.75" customHeight="1">
      <c r="A550" s="1" t="s">
        <v>81</v>
      </c>
      <c r="B550" s="1" t="s">
        <v>124</v>
      </c>
      <c r="C550" s="1" t="s">
        <v>11</v>
      </c>
      <c r="D550" s="5">
        <v>45727.0</v>
      </c>
      <c r="G550" s="1">
        <f>VLOOKUP(B550,'old-aw-skill-plan'!A:I,7,FALSE)</f>
        <v>7</v>
      </c>
      <c r="H550" s="1" t="str">
        <f>VLOOKUP(B550,'old-aw-skill-plan'!A:I,9,FALSE)</f>
        <v>7-5</v>
      </c>
    </row>
    <row r="551" ht="15.75" customHeight="1">
      <c r="A551" s="1" t="s">
        <v>81</v>
      </c>
      <c r="B551" s="1" t="s">
        <v>133</v>
      </c>
      <c r="C551" s="1" t="s">
        <v>11</v>
      </c>
      <c r="D551" s="5">
        <v>45727.0</v>
      </c>
      <c r="G551" s="1">
        <f>VLOOKUP(B551,'old-aw-skill-plan'!A:I,7,FALSE)</f>
        <v>7</v>
      </c>
      <c r="H551" s="1" t="str">
        <f>VLOOKUP(B551,'old-aw-skill-plan'!A:I,9,FALSE)</f>
        <v>7-6</v>
      </c>
    </row>
    <row r="552" ht="15.75" customHeight="1">
      <c r="A552" s="1" t="s">
        <v>81</v>
      </c>
      <c r="B552" s="1" t="s">
        <v>138</v>
      </c>
      <c r="C552" s="1" t="s">
        <v>11</v>
      </c>
      <c r="D552" s="5">
        <v>45727.0</v>
      </c>
      <c r="G552" s="1" t="str">
        <f>VLOOKUP(B552,'old-aw-skill-plan'!A:I,7,FALSE)</f>
        <v>#N/A</v>
      </c>
      <c r="H552" s="1" t="str">
        <f>VLOOKUP(B552,'old-aw-skill-plan'!A:I,9,FALSE)</f>
        <v>#N/A</v>
      </c>
    </row>
    <row r="553" ht="15.75" customHeight="1">
      <c r="A553" s="1" t="s">
        <v>60</v>
      </c>
      <c r="B553" s="1" t="s">
        <v>61</v>
      </c>
      <c r="C553" s="1" t="s">
        <v>11</v>
      </c>
      <c r="D553" s="5">
        <v>45727.0</v>
      </c>
      <c r="G553" s="1">
        <f>VLOOKUP(B553,'old-aw-skill-plan'!A:I,7,FALSE)</f>
        <v>4</v>
      </c>
      <c r="H553" s="1" t="str">
        <f>VLOOKUP(B553,'old-aw-skill-plan'!A:I,9,FALSE)</f>
        <v>4-4</v>
      </c>
    </row>
    <row r="554" ht="15.75" customHeight="1">
      <c r="A554" s="1" t="s">
        <v>60</v>
      </c>
      <c r="B554" s="1" t="s">
        <v>44</v>
      </c>
      <c r="C554" s="1" t="s">
        <v>11</v>
      </c>
      <c r="D554" s="5">
        <v>45727.0</v>
      </c>
      <c r="G554" s="1">
        <f>VLOOKUP(B554,'old-aw-skill-plan'!A:I,7,FALSE)</f>
        <v>5</v>
      </c>
      <c r="H554" s="1" t="str">
        <f>VLOOKUP(B554,'old-aw-skill-plan'!A:I,9,FALSE)</f>
        <v>5-1</v>
      </c>
    </row>
    <row r="555" ht="15.75" customHeight="1">
      <c r="A555" s="1" t="s">
        <v>63</v>
      </c>
      <c r="B555" s="1" t="s">
        <v>44</v>
      </c>
      <c r="C555" s="1" t="s">
        <v>11</v>
      </c>
      <c r="D555" s="5">
        <v>45727.0</v>
      </c>
      <c r="G555" s="1">
        <f>VLOOKUP(B555,'old-aw-skill-plan'!A:I,7,FALSE)</f>
        <v>5</v>
      </c>
      <c r="H555" s="1" t="str">
        <f>VLOOKUP(B555,'old-aw-skill-plan'!A:I,9,FALSE)</f>
        <v>5-1</v>
      </c>
    </row>
    <row r="556" ht="15.75" customHeight="1">
      <c r="A556" s="1" t="s">
        <v>65</v>
      </c>
      <c r="B556" s="1" t="s">
        <v>34</v>
      </c>
      <c r="C556" s="1" t="s">
        <v>11</v>
      </c>
      <c r="D556" s="5">
        <v>45727.0</v>
      </c>
      <c r="G556" s="1">
        <f>VLOOKUP(B556,'old-aw-skill-plan'!A:I,7,FALSE)</f>
        <v>4</v>
      </c>
      <c r="H556" s="1" t="str">
        <f>VLOOKUP(B556,'old-aw-skill-plan'!A:I,9,FALSE)</f>
        <v>4-1</v>
      </c>
    </row>
    <row r="557" ht="15.75" customHeight="1">
      <c r="A557" s="1" t="s">
        <v>65</v>
      </c>
      <c r="B557" s="1" t="s">
        <v>23</v>
      </c>
      <c r="C557" s="1" t="s">
        <v>11</v>
      </c>
      <c r="D557" s="5">
        <v>45727.0</v>
      </c>
      <c r="G557" s="1">
        <f>VLOOKUP(B557,'old-aw-skill-plan'!A:I,7,FALSE)</f>
        <v>4</v>
      </c>
      <c r="H557" s="1" t="str">
        <f>VLOOKUP(B557,'old-aw-skill-plan'!A:I,9,FALSE)</f>
        <v>4-5</v>
      </c>
    </row>
    <row r="558" ht="15.75" customHeight="1">
      <c r="A558" s="1" t="s">
        <v>92</v>
      </c>
      <c r="B558" s="1" t="s">
        <v>10</v>
      </c>
      <c r="C558" s="1" t="s">
        <v>11</v>
      </c>
      <c r="D558" s="5">
        <v>45727.0</v>
      </c>
      <c r="G558" s="1">
        <f>VLOOKUP(B558,'old-aw-skill-plan'!A:I,7,FALSE)</f>
        <v>3</v>
      </c>
      <c r="H558" s="1" t="str">
        <f>VLOOKUP(B558,'old-aw-skill-plan'!A:I,9,FALSE)</f>
        <v>3-1</v>
      </c>
    </row>
    <row r="559" ht="15.75" customHeight="1">
      <c r="A559" s="1" t="s">
        <v>73</v>
      </c>
      <c r="B559" s="1" t="s">
        <v>34</v>
      </c>
      <c r="C559" s="1" t="s">
        <v>11</v>
      </c>
      <c r="D559" s="5">
        <v>45727.0</v>
      </c>
      <c r="G559" s="1">
        <f>VLOOKUP(B559,'old-aw-skill-plan'!A:I,7,FALSE)</f>
        <v>4</v>
      </c>
      <c r="H559" s="1" t="str">
        <f>VLOOKUP(B559,'old-aw-skill-plan'!A:I,9,FALSE)</f>
        <v>4-1</v>
      </c>
    </row>
    <row r="560" ht="15.75" customHeight="1">
      <c r="A560" s="1" t="s">
        <v>75</v>
      </c>
      <c r="B560" s="1" t="s">
        <v>10</v>
      </c>
      <c r="C560" s="1" t="s">
        <v>11</v>
      </c>
      <c r="D560" s="5">
        <v>45727.0</v>
      </c>
      <c r="G560" s="1">
        <f>VLOOKUP(B560,'old-aw-skill-plan'!A:I,7,FALSE)</f>
        <v>3</v>
      </c>
      <c r="H560" s="1" t="str">
        <f>VLOOKUP(B560,'old-aw-skill-plan'!A:I,9,FALSE)</f>
        <v>3-1</v>
      </c>
    </row>
    <row r="561" ht="15.75" customHeight="1">
      <c r="A561" s="1" t="s">
        <v>75</v>
      </c>
      <c r="B561" s="1" t="s">
        <v>139</v>
      </c>
      <c r="C561" s="1" t="s">
        <v>11</v>
      </c>
      <c r="D561" s="5">
        <v>45727.0</v>
      </c>
      <c r="G561" s="1">
        <f>VLOOKUP(B561,'old-aw-skill-plan'!A:I,7,FALSE)</f>
        <v>6</v>
      </c>
      <c r="H561" s="1" t="str">
        <f>VLOOKUP(B561,'old-aw-skill-plan'!A:I,9,FALSE)</f>
        <v>6-8</v>
      </c>
    </row>
    <row r="562" ht="15.75" customHeight="1">
      <c r="A562" s="1" t="s">
        <v>77</v>
      </c>
      <c r="B562" s="1" t="s">
        <v>34</v>
      </c>
      <c r="C562" s="1" t="s">
        <v>11</v>
      </c>
      <c r="D562" s="5">
        <v>45727.0</v>
      </c>
      <c r="G562" s="1">
        <f>VLOOKUP(B562,'old-aw-skill-plan'!A:I,7,FALSE)</f>
        <v>4</v>
      </c>
      <c r="H562" s="1" t="str">
        <f>VLOOKUP(B562,'old-aw-skill-plan'!A:I,9,FALSE)</f>
        <v>4-1</v>
      </c>
    </row>
    <row r="563" ht="15.75" customHeight="1">
      <c r="A563" s="1" t="s">
        <v>77</v>
      </c>
      <c r="B563" s="1" t="s">
        <v>37</v>
      </c>
      <c r="C563" s="1" t="s">
        <v>11</v>
      </c>
      <c r="D563" s="5">
        <v>45727.0</v>
      </c>
      <c r="G563" s="1">
        <f>VLOOKUP(B563,'old-aw-skill-plan'!A:I,7,FALSE)</f>
        <v>4</v>
      </c>
      <c r="H563" s="1" t="str">
        <f>VLOOKUP(B563,'old-aw-skill-plan'!A:I,9,FALSE)</f>
        <v>4-2</v>
      </c>
    </row>
    <row r="564" ht="15.75" customHeight="1">
      <c r="A564" s="1" t="s">
        <v>77</v>
      </c>
      <c r="B564" s="1" t="s">
        <v>21</v>
      </c>
      <c r="C564" s="1" t="s">
        <v>11</v>
      </c>
      <c r="D564" s="5">
        <v>45727.0</v>
      </c>
      <c r="G564" s="1">
        <f>VLOOKUP(B564,'old-aw-skill-plan'!A:I,7,FALSE)</f>
        <v>4</v>
      </c>
      <c r="H564" s="1" t="str">
        <f>VLOOKUP(B564,'old-aw-skill-plan'!A:I,9,FALSE)</f>
        <v>4-6</v>
      </c>
    </row>
    <row r="565" ht="15.75" customHeight="1">
      <c r="A565" s="1" t="s">
        <v>82</v>
      </c>
      <c r="B565" s="1" t="s">
        <v>118</v>
      </c>
      <c r="C565" s="1" t="s">
        <v>11</v>
      </c>
      <c r="D565" s="5">
        <v>45727.0</v>
      </c>
      <c r="G565" s="1">
        <f>VLOOKUP(B565,'old-aw-skill-plan'!A:I,7,FALSE)</f>
        <v>3</v>
      </c>
      <c r="H565" s="1" t="str">
        <f>VLOOKUP(B565,'old-aw-skill-plan'!A:I,9,FALSE)</f>
        <v>3-12</v>
      </c>
    </row>
    <row r="566" ht="15.75" customHeight="1">
      <c r="A566" s="1" t="s">
        <v>82</v>
      </c>
      <c r="B566" s="1" t="s">
        <v>25</v>
      </c>
      <c r="C566" s="1" t="s">
        <v>11</v>
      </c>
      <c r="D566" s="5">
        <v>45727.0</v>
      </c>
      <c r="G566" s="1">
        <f>VLOOKUP(B566,'old-aw-skill-plan'!A:I,7,FALSE)</f>
        <v>5</v>
      </c>
      <c r="H566" s="1" t="str">
        <f>VLOOKUP(B566,'old-aw-skill-plan'!A:I,9,FALSE)</f>
        <v>5-4</v>
      </c>
    </row>
    <row r="567" ht="15.75" customHeight="1">
      <c r="A567" s="1" t="s">
        <v>82</v>
      </c>
      <c r="B567" s="1" t="s">
        <v>140</v>
      </c>
      <c r="C567" s="1" t="s">
        <v>11</v>
      </c>
      <c r="D567" s="5">
        <v>45727.0</v>
      </c>
      <c r="G567" s="1">
        <f>VLOOKUP(B567,'old-aw-skill-plan'!A:I,7,FALSE)</f>
        <v>8</v>
      </c>
      <c r="H567" s="1" t="str">
        <f>VLOOKUP(B567,'old-aw-skill-plan'!A:I,9,FALSE)</f>
        <v>8-11</v>
      </c>
    </row>
    <row r="568" ht="15.75" customHeight="1">
      <c r="A568" s="1" t="s">
        <v>82</v>
      </c>
      <c r="B568" s="1" t="s">
        <v>44</v>
      </c>
      <c r="C568" s="1" t="s">
        <v>11</v>
      </c>
      <c r="D568" s="5">
        <v>45727.0</v>
      </c>
      <c r="G568" s="1">
        <f>VLOOKUP(B568,'old-aw-skill-plan'!A:I,7,FALSE)</f>
        <v>5</v>
      </c>
      <c r="H568" s="1" t="str">
        <f>VLOOKUP(B568,'old-aw-skill-plan'!A:I,9,FALSE)</f>
        <v>5-1</v>
      </c>
    </row>
    <row r="569" ht="15.75" customHeight="1">
      <c r="A569" s="1" t="s">
        <v>90</v>
      </c>
      <c r="B569" s="1" t="s">
        <v>10</v>
      </c>
      <c r="C569" s="1" t="s">
        <v>11</v>
      </c>
      <c r="D569" s="5">
        <v>45727.0</v>
      </c>
      <c r="G569" s="1">
        <f>VLOOKUP(B569,'old-aw-skill-plan'!A:I,7,FALSE)</f>
        <v>3</v>
      </c>
      <c r="H569" s="1" t="str">
        <f>VLOOKUP(B569,'old-aw-skill-plan'!A:I,9,FALSE)</f>
        <v>3-1</v>
      </c>
    </row>
    <row r="570" ht="15.75" customHeight="1">
      <c r="A570" s="1" t="s">
        <v>90</v>
      </c>
      <c r="B570" s="1" t="s">
        <v>33</v>
      </c>
      <c r="C570" s="1" t="s">
        <v>11</v>
      </c>
      <c r="D570" s="5">
        <v>45727.0</v>
      </c>
      <c r="G570" s="1">
        <f>VLOOKUP(B570,'old-aw-skill-plan'!A:I,7,FALSE)</f>
        <v>3</v>
      </c>
      <c r="H570" s="1" t="str">
        <f>VLOOKUP(B570,'old-aw-skill-plan'!A:I,9,FALSE)</f>
        <v>3-5</v>
      </c>
    </row>
    <row r="571" ht="15.75" customHeight="1">
      <c r="A571" s="1" t="s">
        <v>24</v>
      </c>
      <c r="B571" s="1" t="s">
        <v>97</v>
      </c>
      <c r="C571" s="1" t="s">
        <v>11</v>
      </c>
      <c r="D571" s="5">
        <v>45726.0</v>
      </c>
      <c r="G571" s="1">
        <f>VLOOKUP(B571,'old-aw-skill-plan'!A:I,7,FALSE)</f>
        <v>4</v>
      </c>
      <c r="H571" s="1" t="str">
        <f>VLOOKUP(B571,'old-aw-skill-plan'!A:I,9,FALSE)</f>
        <v>4-3</v>
      </c>
    </row>
    <row r="572" ht="15.75" customHeight="1">
      <c r="A572" s="1" t="s">
        <v>24</v>
      </c>
      <c r="B572" s="1" t="s">
        <v>104</v>
      </c>
      <c r="C572" s="1" t="s">
        <v>11</v>
      </c>
      <c r="D572" s="5">
        <v>45726.0</v>
      </c>
      <c r="G572" s="1">
        <f>VLOOKUP(B572,'old-aw-skill-plan'!A:I,7,FALSE)</f>
        <v>5</v>
      </c>
      <c r="H572" s="1" t="str">
        <f>VLOOKUP(B572,'old-aw-skill-plan'!A:I,9,FALSE)</f>
        <v>5-2</v>
      </c>
    </row>
    <row r="573" ht="15.75" customHeight="1">
      <c r="A573" s="1" t="s">
        <v>52</v>
      </c>
      <c r="B573" s="1" t="s">
        <v>10</v>
      </c>
      <c r="C573" s="1" t="s">
        <v>11</v>
      </c>
      <c r="D573" s="5">
        <v>45726.0</v>
      </c>
      <c r="G573" s="1">
        <f>VLOOKUP(B573,'old-aw-skill-plan'!A:I,7,FALSE)</f>
        <v>3</v>
      </c>
      <c r="H573" s="1" t="str">
        <f>VLOOKUP(B573,'old-aw-skill-plan'!A:I,9,FALSE)</f>
        <v>3-1</v>
      </c>
    </row>
    <row r="574" ht="15.75" customHeight="1">
      <c r="A574" s="1" t="s">
        <v>52</v>
      </c>
      <c r="B574" s="1" t="s">
        <v>61</v>
      </c>
      <c r="C574" s="1" t="s">
        <v>11</v>
      </c>
      <c r="D574" s="5">
        <v>45726.0</v>
      </c>
      <c r="G574" s="1">
        <f>VLOOKUP(B574,'old-aw-skill-plan'!A:I,7,FALSE)</f>
        <v>4</v>
      </c>
      <c r="H574" s="1" t="str">
        <f>VLOOKUP(B574,'old-aw-skill-plan'!A:I,9,FALSE)</f>
        <v>4-4</v>
      </c>
    </row>
    <row r="575" ht="15.75" customHeight="1">
      <c r="A575" s="1" t="s">
        <v>52</v>
      </c>
      <c r="B575" s="1" t="s">
        <v>97</v>
      </c>
      <c r="C575" s="1" t="s">
        <v>11</v>
      </c>
      <c r="D575" s="5">
        <v>45726.0</v>
      </c>
      <c r="G575" s="1">
        <f>VLOOKUP(B575,'old-aw-skill-plan'!A:I,7,FALSE)</f>
        <v>4</v>
      </c>
      <c r="H575" s="1" t="str">
        <f>VLOOKUP(B575,'old-aw-skill-plan'!A:I,9,FALSE)</f>
        <v>4-3</v>
      </c>
    </row>
    <row r="576" ht="15.75" customHeight="1">
      <c r="A576" s="1" t="s">
        <v>52</v>
      </c>
      <c r="B576" s="1" t="s">
        <v>37</v>
      </c>
      <c r="C576" s="1" t="s">
        <v>11</v>
      </c>
      <c r="D576" s="5">
        <v>45726.0</v>
      </c>
      <c r="G576" s="1">
        <f>VLOOKUP(B576,'old-aw-skill-plan'!A:I,7,FALSE)</f>
        <v>4</v>
      </c>
      <c r="H576" s="1" t="str">
        <f>VLOOKUP(B576,'old-aw-skill-plan'!A:I,9,FALSE)</f>
        <v>4-2</v>
      </c>
    </row>
    <row r="577" ht="15.75" customHeight="1">
      <c r="A577" s="1" t="s">
        <v>64</v>
      </c>
      <c r="B577" s="1" t="s">
        <v>104</v>
      </c>
      <c r="C577" s="1" t="s">
        <v>11</v>
      </c>
      <c r="D577" s="5">
        <v>45726.0</v>
      </c>
      <c r="G577" s="1">
        <f>VLOOKUP(B577,'old-aw-skill-plan'!A:I,7,FALSE)</f>
        <v>5</v>
      </c>
      <c r="H577" s="1" t="str">
        <f>VLOOKUP(B577,'old-aw-skill-plan'!A:I,9,FALSE)</f>
        <v>5-2</v>
      </c>
    </row>
    <row r="578" ht="15.75" customHeight="1">
      <c r="A578" s="1" t="s">
        <v>67</v>
      </c>
      <c r="B578" s="1" t="s">
        <v>10</v>
      </c>
      <c r="C578" s="1" t="s">
        <v>11</v>
      </c>
      <c r="D578" s="5">
        <v>45726.0</v>
      </c>
      <c r="G578" s="1">
        <f>VLOOKUP(B578,'old-aw-skill-plan'!A:I,7,FALSE)</f>
        <v>3</v>
      </c>
      <c r="H578" s="1" t="str">
        <f>VLOOKUP(B578,'old-aw-skill-plan'!A:I,9,FALSE)</f>
        <v>3-1</v>
      </c>
    </row>
    <row r="579" ht="15.75" customHeight="1">
      <c r="A579" s="1" t="s">
        <v>67</v>
      </c>
      <c r="B579" s="1" t="s">
        <v>47</v>
      </c>
      <c r="C579" s="1" t="s">
        <v>11</v>
      </c>
      <c r="D579" s="5">
        <v>45726.0</v>
      </c>
      <c r="G579" s="1">
        <f>VLOOKUP(B579,'old-aw-skill-plan'!A:I,7,FALSE)</f>
        <v>3</v>
      </c>
      <c r="H579" s="1" t="str">
        <f>VLOOKUP(B579,'old-aw-skill-plan'!A:I,9,FALSE)</f>
        <v>3-2</v>
      </c>
    </row>
    <row r="580" ht="15.75" customHeight="1">
      <c r="A580" s="1" t="s">
        <v>39</v>
      </c>
      <c r="B580" s="1" t="s">
        <v>66</v>
      </c>
      <c r="C580" s="1" t="s">
        <v>11</v>
      </c>
      <c r="D580" s="5">
        <v>45726.0</v>
      </c>
      <c r="G580" s="1">
        <f>VLOOKUP(B580,'old-aw-skill-plan'!A:I,7,FALSE)</f>
        <v>4</v>
      </c>
      <c r="H580" s="1" t="str">
        <f>VLOOKUP(B580,'old-aw-skill-plan'!A:I,9,FALSE)</f>
        <v>4-9</v>
      </c>
    </row>
    <row r="581" ht="15.75" customHeight="1">
      <c r="A581" s="1" t="s">
        <v>39</v>
      </c>
      <c r="B581" s="1" t="s">
        <v>44</v>
      </c>
      <c r="C581" s="1" t="s">
        <v>11</v>
      </c>
      <c r="D581" s="5">
        <v>45726.0</v>
      </c>
      <c r="G581" s="1">
        <f>VLOOKUP(B581,'old-aw-skill-plan'!A:I,7,FALSE)</f>
        <v>5</v>
      </c>
      <c r="H581" s="1" t="str">
        <f>VLOOKUP(B581,'old-aw-skill-plan'!A:I,9,FALSE)</f>
        <v>5-1</v>
      </c>
    </row>
    <row r="582" ht="15.75" customHeight="1">
      <c r="A582" s="1" t="s">
        <v>78</v>
      </c>
      <c r="B582" s="1" t="s">
        <v>10</v>
      </c>
      <c r="C582" s="1" t="s">
        <v>11</v>
      </c>
      <c r="D582" s="5">
        <v>45726.0</v>
      </c>
      <c r="G582" s="1">
        <f>VLOOKUP(B582,'old-aw-skill-plan'!A:I,7,FALSE)</f>
        <v>3</v>
      </c>
      <c r="H582" s="1" t="str">
        <f>VLOOKUP(B582,'old-aw-skill-plan'!A:I,9,FALSE)</f>
        <v>3-1</v>
      </c>
    </row>
    <row r="583" ht="15.75" customHeight="1">
      <c r="A583" s="1" t="s">
        <v>81</v>
      </c>
      <c r="B583" s="1" t="s">
        <v>141</v>
      </c>
      <c r="C583" s="1" t="s">
        <v>11</v>
      </c>
      <c r="D583" s="5">
        <v>45726.0</v>
      </c>
      <c r="G583" s="1">
        <f>VLOOKUP(B583,'old-aw-skill-plan'!A:I,7,FALSE)</f>
        <v>7</v>
      </c>
      <c r="H583" s="1" t="str">
        <f>VLOOKUP(B583,'old-aw-skill-plan'!A:I,9,FALSE)</f>
        <v>7-4</v>
      </c>
    </row>
    <row r="584" ht="15.75" customHeight="1">
      <c r="A584" s="1" t="s">
        <v>81</v>
      </c>
      <c r="B584" s="1" t="s">
        <v>34</v>
      </c>
      <c r="C584" s="1" t="s">
        <v>11</v>
      </c>
      <c r="D584" s="5">
        <v>45726.0</v>
      </c>
      <c r="G584" s="1">
        <f>VLOOKUP(B584,'old-aw-skill-plan'!A:I,7,FALSE)</f>
        <v>4</v>
      </c>
      <c r="H584" s="1" t="str">
        <f>VLOOKUP(B584,'old-aw-skill-plan'!A:I,9,FALSE)</f>
        <v>4-1</v>
      </c>
    </row>
    <row r="585" ht="15.75" customHeight="1">
      <c r="A585" s="1" t="s">
        <v>81</v>
      </c>
      <c r="B585" s="1" t="s">
        <v>124</v>
      </c>
      <c r="C585" s="1" t="s">
        <v>11</v>
      </c>
      <c r="D585" s="5">
        <v>45726.0</v>
      </c>
      <c r="G585" s="1">
        <f>VLOOKUP(B585,'old-aw-skill-plan'!A:I,7,FALSE)</f>
        <v>7</v>
      </c>
      <c r="H585" s="1" t="str">
        <f>VLOOKUP(B585,'old-aw-skill-plan'!A:I,9,FALSE)</f>
        <v>7-5</v>
      </c>
    </row>
    <row r="586" ht="15.75" customHeight="1">
      <c r="A586" s="1" t="s">
        <v>81</v>
      </c>
      <c r="B586" s="1" t="s">
        <v>79</v>
      </c>
      <c r="C586" s="1" t="s">
        <v>11</v>
      </c>
      <c r="D586" s="5">
        <v>45726.0</v>
      </c>
      <c r="G586" s="1">
        <f>VLOOKUP(B586,'old-aw-skill-plan'!A:I,7,FALSE)</f>
        <v>4</v>
      </c>
      <c r="H586" s="1" t="str">
        <f>VLOOKUP(B586,'old-aw-skill-plan'!A:I,9,FALSE)</f>
        <v>4-8</v>
      </c>
    </row>
    <row r="587" ht="15.75" customHeight="1">
      <c r="A587" s="1" t="s">
        <v>81</v>
      </c>
      <c r="B587" s="1" t="s">
        <v>142</v>
      </c>
      <c r="C587" s="1" t="s">
        <v>11</v>
      </c>
      <c r="D587" s="5">
        <v>45726.0</v>
      </c>
      <c r="G587" s="1">
        <f>VLOOKUP(B587,'old-aw-skill-plan'!A:I,7,FALSE)</f>
        <v>8</v>
      </c>
      <c r="H587" s="1" t="str">
        <f>VLOOKUP(B587,'old-aw-skill-plan'!A:I,9,FALSE)</f>
        <v>8-6</v>
      </c>
    </row>
    <row r="588" ht="15.75" customHeight="1">
      <c r="A588" s="1" t="s">
        <v>60</v>
      </c>
      <c r="B588" s="1" t="s">
        <v>61</v>
      </c>
      <c r="C588" s="1" t="s">
        <v>11</v>
      </c>
      <c r="D588" s="5">
        <v>45726.0</v>
      </c>
      <c r="G588" s="1">
        <f>VLOOKUP(B588,'old-aw-skill-plan'!A:I,7,FALSE)</f>
        <v>4</v>
      </c>
      <c r="H588" s="1" t="str">
        <f>VLOOKUP(B588,'old-aw-skill-plan'!A:I,9,FALSE)</f>
        <v>4-4</v>
      </c>
    </row>
    <row r="589" ht="15.75" customHeight="1">
      <c r="A589" s="1" t="s">
        <v>60</v>
      </c>
      <c r="B589" s="1" t="s">
        <v>44</v>
      </c>
      <c r="C589" s="1" t="s">
        <v>11</v>
      </c>
      <c r="D589" s="5">
        <v>45726.0</v>
      </c>
      <c r="G589" s="1">
        <f>VLOOKUP(B589,'old-aw-skill-plan'!A:I,7,FALSE)</f>
        <v>5</v>
      </c>
      <c r="H589" s="1" t="str">
        <f>VLOOKUP(B589,'old-aw-skill-plan'!A:I,9,FALSE)</f>
        <v>5-1</v>
      </c>
    </row>
    <row r="590" ht="15.75" customHeight="1">
      <c r="A590" s="1" t="s">
        <v>86</v>
      </c>
      <c r="B590" s="1" t="s">
        <v>44</v>
      </c>
      <c r="C590" s="1" t="s">
        <v>11</v>
      </c>
      <c r="D590" s="5">
        <v>45726.0</v>
      </c>
      <c r="G590" s="1">
        <f>VLOOKUP(B590,'old-aw-skill-plan'!A:I,7,FALSE)</f>
        <v>5</v>
      </c>
      <c r="H590" s="1" t="str">
        <f>VLOOKUP(B590,'old-aw-skill-plan'!A:I,9,FALSE)</f>
        <v>5-1</v>
      </c>
    </row>
    <row r="591" ht="15.75" customHeight="1">
      <c r="A591" s="1" t="s">
        <v>95</v>
      </c>
      <c r="B591" s="1" t="s">
        <v>28</v>
      </c>
      <c r="C591" s="1" t="s">
        <v>11</v>
      </c>
      <c r="D591" s="5">
        <v>45726.0</v>
      </c>
      <c r="G591" s="1">
        <f>VLOOKUP(B591,'old-aw-skill-plan'!A:I,7,FALSE)</f>
        <v>3</v>
      </c>
      <c r="H591" s="1" t="str">
        <f>VLOOKUP(B591,'old-aw-skill-plan'!A:I,9,FALSE)</f>
        <v>3-4</v>
      </c>
    </row>
    <row r="592" ht="15.75" customHeight="1">
      <c r="A592" s="1" t="s">
        <v>95</v>
      </c>
      <c r="B592" s="1" t="s">
        <v>10</v>
      </c>
      <c r="C592" s="1" t="s">
        <v>11</v>
      </c>
      <c r="D592" s="5">
        <v>45726.0</v>
      </c>
      <c r="G592" s="1">
        <f>VLOOKUP(B592,'old-aw-skill-plan'!A:I,7,FALSE)</f>
        <v>3</v>
      </c>
      <c r="H592" s="1" t="str">
        <f>VLOOKUP(B592,'old-aw-skill-plan'!A:I,9,FALSE)</f>
        <v>3-1</v>
      </c>
    </row>
    <row r="593" ht="15.75" customHeight="1">
      <c r="A593" s="1" t="s">
        <v>73</v>
      </c>
      <c r="B593" s="1" t="s">
        <v>34</v>
      </c>
      <c r="C593" s="1" t="s">
        <v>11</v>
      </c>
      <c r="D593" s="5">
        <v>45726.0</v>
      </c>
      <c r="G593" s="1">
        <f>VLOOKUP(B593,'old-aw-skill-plan'!A:I,7,FALSE)</f>
        <v>4</v>
      </c>
      <c r="H593" s="1" t="str">
        <f>VLOOKUP(B593,'old-aw-skill-plan'!A:I,9,FALSE)</f>
        <v>4-1</v>
      </c>
    </row>
    <row r="594" ht="15.75" customHeight="1">
      <c r="A594" s="1" t="s">
        <v>75</v>
      </c>
      <c r="B594" s="1" t="s">
        <v>10</v>
      </c>
      <c r="C594" s="1" t="s">
        <v>11</v>
      </c>
      <c r="D594" s="5">
        <v>45726.0</v>
      </c>
      <c r="G594" s="1">
        <f>VLOOKUP(B594,'old-aw-skill-plan'!A:I,7,FALSE)</f>
        <v>3</v>
      </c>
      <c r="H594" s="1" t="str">
        <f>VLOOKUP(B594,'old-aw-skill-plan'!A:I,9,FALSE)</f>
        <v>3-1</v>
      </c>
    </row>
    <row r="595" ht="15.75" customHeight="1">
      <c r="A595" s="1" t="s">
        <v>75</v>
      </c>
      <c r="B595" s="1" t="s">
        <v>139</v>
      </c>
      <c r="C595" s="1" t="s">
        <v>11</v>
      </c>
      <c r="D595" s="5">
        <v>45726.0</v>
      </c>
      <c r="G595" s="1">
        <f>VLOOKUP(B595,'old-aw-skill-plan'!A:I,7,FALSE)</f>
        <v>6</v>
      </c>
      <c r="H595" s="1" t="str">
        <f>VLOOKUP(B595,'old-aw-skill-plan'!A:I,9,FALSE)</f>
        <v>6-8</v>
      </c>
    </row>
    <row r="596" ht="15.75" customHeight="1">
      <c r="A596" s="1" t="s">
        <v>77</v>
      </c>
      <c r="B596" s="1" t="s">
        <v>34</v>
      </c>
      <c r="C596" s="1" t="s">
        <v>11</v>
      </c>
      <c r="D596" s="5">
        <v>45726.0</v>
      </c>
      <c r="G596" s="1">
        <f>VLOOKUP(B596,'old-aw-skill-plan'!A:I,7,FALSE)</f>
        <v>4</v>
      </c>
      <c r="H596" s="1" t="str">
        <f>VLOOKUP(B596,'old-aw-skill-plan'!A:I,9,FALSE)</f>
        <v>4-1</v>
      </c>
    </row>
    <row r="597" ht="15.75" customHeight="1">
      <c r="A597" s="1" t="s">
        <v>77</v>
      </c>
      <c r="B597" s="1" t="s">
        <v>21</v>
      </c>
      <c r="C597" s="1" t="s">
        <v>11</v>
      </c>
      <c r="D597" s="5">
        <v>45726.0</v>
      </c>
      <c r="G597" s="1">
        <f>VLOOKUP(B597,'old-aw-skill-plan'!A:I,7,FALSE)</f>
        <v>4</v>
      </c>
      <c r="H597" s="1" t="str">
        <f>VLOOKUP(B597,'old-aw-skill-plan'!A:I,9,FALSE)</f>
        <v>4-6</v>
      </c>
    </row>
    <row r="598" ht="15.75" customHeight="1">
      <c r="A598" s="1" t="s">
        <v>82</v>
      </c>
      <c r="B598" s="1" t="s">
        <v>25</v>
      </c>
      <c r="C598" s="1" t="s">
        <v>11</v>
      </c>
      <c r="D598" s="5">
        <v>45726.0</v>
      </c>
      <c r="G598" s="1">
        <f>VLOOKUP(B598,'old-aw-skill-plan'!A:I,7,FALSE)</f>
        <v>5</v>
      </c>
      <c r="H598" s="1" t="str">
        <f>VLOOKUP(B598,'old-aw-skill-plan'!A:I,9,FALSE)</f>
        <v>5-4</v>
      </c>
    </row>
    <row r="599" ht="15.75" customHeight="1">
      <c r="A599" s="1" t="s">
        <v>82</v>
      </c>
      <c r="B599" s="1" t="s">
        <v>129</v>
      </c>
      <c r="C599" s="1" t="s">
        <v>11</v>
      </c>
      <c r="D599" s="5">
        <v>45726.0</v>
      </c>
      <c r="G599" s="1">
        <f>VLOOKUP(B599,'old-aw-skill-plan'!A:I,7,FALSE)</f>
        <v>8</v>
      </c>
      <c r="H599" s="1" t="str">
        <f>VLOOKUP(B599,'old-aw-skill-plan'!A:I,9,FALSE)</f>
        <v>8-4</v>
      </c>
    </row>
    <row r="600" ht="15.75" customHeight="1">
      <c r="A600" s="1" t="s">
        <v>82</v>
      </c>
      <c r="B600" s="1" t="s">
        <v>44</v>
      </c>
      <c r="C600" s="1" t="s">
        <v>11</v>
      </c>
      <c r="D600" s="5">
        <v>45726.0</v>
      </c>
      <c r="G600" s="1">
        <f>VLOOKUP(B600,'old-aw-skill-plan'!A:I,7,FALSE)</f>
        <v>5</v>
      </c>
      <c r="H600" s="1" t="str">
        <f>VLOOKUP(B600,'old-aw-skill-plan'!A:I,9,FALSE)</f>
        <v>5-1</v>
      </c>
    </row>
    <row r="601" ht="15.75" customHeight="1">
      <c r="A601" s="1" t="s">
        <v>82</v>
      </c>
      <c r="B601" s="1" t="s">
        <v>84</v>
      </c>
      <c r="C601" s="1" t="s">
        <v>11</v>
      </c>
      <c r="D601" s="5">
        <v>45726.0</v>
      </c>
      <c r="G601" s="1">
        <f>VLOOKUP(B601,'old-aw-skill-plan'!A:I,7,FALSE)</f>
        <v>5</v>
      </c>
      <c r="H601" s="1" t="str">
        <f>VLOOKUP(B601,'old-aw-skill-plan'!A:I,9,FALSE)</f>
        <v>5-7</v>
      </c>
    </row>
    <row r="602" ht="15.75" customHeight="1">
      <c r="A602" s="1" t="s">
        <v>82</v>
      </c>
      <c r="B602" s="1" t="s">
        <v>103</v>
      </c>
      <c r="C602" s="1" t="s">
        <v>11</v>
      </c>
      <c r="D602" s="5">
        <v>45726.0</v>
      </c>
      <c r="G602" s="1">
        <f>VLOOKUP(B602,'old-aw-skill-plan'!A:I,7,FALSE)</f>
        <v>5</v>
      </c>
      <c r="H602" s="1" t="str">
        <f>VLOOKUP(B602,'old-aw-skill-plan'!A:I,9,FALSE)</f>
        <v>5-3</v>
      </c>
    </row>
    <row r="603" ht="15.75" customHeight="1">
      <c r="A603" s="1" t="s">
        <v>82</v>
      </c>
      <c r="B603" s="1" t="s">
        <v>120</v>
      </c>
      <c r="C603" s="1" t="s">
        <v>11</v>
      </c>
      <c r="D603" s="5">
        <v>45726.0</v>
      </c>
      <c r="G603" s="1">
        <f>VLOOKUP(B603,'old-aw-skill-plan'!A:I,7,FALSE)</f>
        <v>5</v>
      </c>
      <c r="H603" s="1" t="str">
        <f>VLOOKUP(B603,'old-aw-skill-plan'!A:I,9,FALSE)</f>
        <v>5-11</v>
      </c>
    </row>
    <row r="604" ht="15.75" customHeight="1">
      <c r="A604" s="1" t="s">
        <v>82</v>
      </c>
      <c r="B604" s="1" t="s">
        <v>143</v>
      </c>
      <c r="C604" s="1" t="s">
        <v>11</v>
      </c>
      <c r="D604" s="5">
        <v>45726.0</v>
      </c>
      <c r="G604" s="1">
        <f>VLOOKUP(B604,'old-aw-skill-plan'!A:I,7,FALSE)</f>
        <v>8</v>
      </c>
      <c r="H604" s="1" t="str">
        <f>VLOOKUP(B604,'old-aw-skill-plan'!A:I,9,FALSE)</f>
        <v>8-9</v>
      </c>
    </row>
    <row r="605" ht="15.75" customHeight="1">
      <c r="A605" s="1" t="s">
        <v>82</v>
      </c>
      <c r="B605" s="1" t="s">
        <v>104</v>
      </c>
      <c r="C605" s="1" t="s">
        <v>11</v>
      </c>
      <c r="D605" s="5">
        <v>45726.0</v>
      </c>
      <c r="G605" s="1">
        <f>VLOOKUP(B605,'old-aw-skill-plan'!A:I,7,FALSE)</f>
        <v>5</v>
      </c>
      <c r="H605" s="1" t="str">
        <f>VLOOKUP(B605,'old-aw-skill-plan'!A:I,9,FALSE)</f>
        <v>5-2</v>
      </c>
    </row>
    <row r="606" ht="15.75" customHeight="1">
      <c r="A606" s="1" t="s">
        <v>82</v>
      </c>
      <c r="B606" s="1" t="s">
        <v>142</v>
      </c>
      <c r="C606" s="1" t="s">
        <v>11</v>
      </c>
      <c r="D606" s="5">
        <v>45726.0</v>
      </c>
      <c r="G606" s="1">
        <f>VLOOKUP(B606,'old-aw-skill-plan'!A:I,7,FALSE)</f>
        <v>8</v>
      </c>
      <c r="H606" s="1" t="str">
        <f>VLOOKUP(B606,'old-aw-skill-plan'!A:I,9,FALSE)</f>
        <v>8-6</v>
      </c>
    </row>
    <row r="607" ht="15.75" customHeight="1">
      <c r="A607" s="1" t="s">
        <v>90</v>
      </c>
      <c r="B607" s="1" t="s">
        <v>28</v>
      </c>
      <c r="C607" s="1" t="s">
        <v>11</v>
      </c>
      <c r="D607" s="5">
        <v>45726.0</v>
      </c>
      <c r="G607" s="1">
        <f>VLOOKUP(B607,'old-aw-skill-plan'!A:I,7,FALSE)</f>
        <v>3</v>
      </c>
      <c r="H607" s="1" t="str">
        <f>VLOOKUP(B607,'old-aw-skill-plan'!A:I,9,FALSE)</f>
        <v>3-4</v>
      </c>
    </row>
    <row r="608" ht="15.75" customHeight="1">
      <c r="A608" s="1" t="s">
        <v>90</v>
      </c>
      <c r="B608" s="1" t="s">
        <v>10</v>
      </c>
      <c r="C608" s="1" t="s">
        <v>11</v>
      </c>
      <c r="D608" s="5">
        <v>45726.0</v>
      </c>
      <c r="G608" s="1">
        <f>VLOOKUP(B608,'old-aw-skill-plan'!A:I,7,FALSE)</f>
        <v>3</v>
      </c>
      <c r="H608" s="1" t="str">
        <f>VLOOKUP(B608,'old-aw-skill-plan'!A:I,9,FALSE)</f>
        <v>3-1</v>
      </c>
    </row>
    <row r="609" ht="15.75" customHeight="1">
      <c r="A609" s="1" t="s">
        <v>109</v>
      </c>
      <c r="B609" s="1" t="s">
        <v>61</v>
      </c>
      <c r="C609" s="1" t="s">
        <v>11</v>
      </c>
      <c r="D609" s="5">
        <v>45726.0</v>
      </c>
      <c r="G609" s="1">
        <f>VLOOKUP(B609,'old-aw-skill-plan'!A:I,7,FALSE)</f>
        <v>4</v>
      </c>
      <c r="H609" s="1" t="str">
        <f>VLOOKUP(B609,'old-aw-skill-plan'!A:I,9,FALSE)</f>
        <v>4-4</v>
      </c>
    </row>
    <row r="610" ht="15.75" customHeight="1">
      <c r="A610" s="1" t="s">
        <v>109</v>
      </c>
      <c r="B610" s="1" t="s">
        <v>34</v>
      </c>
      <c r="C610" s="1" t="s">
        <v>11</v>
      </c>
      <c r="D610" s="5">
        <v>45726.0</v>
      </c>
      <c r="G610" s="1">
        <f>VLOOKUP(B610,'old-aw-skill-plan'!A:I,7,FALSE)</f>
        <v>4</v>
      </c>
      <c r="H610" s="1" t="str">
        <f>VLOOKUP(B610,'old-aw-skill-plan'!A:I,9,FALSE)</f>
        <v>4-1</v>
      </c>
    </row>
    <row r="611" ht="15.75" customHeight="1">
      <c r="A611" s="1" t="s">
        <v>52</v>
      </c>
      <c r="B611" s="1" t="s">
        <v>28</v>
      </c>
      <c r="C611" s="1" t="s">
        <v>11</v>
      </c>
      <c r="D611" s="5">
        <v>45723.0</v>
      </c>
      <c r="G611" s="1">
        <f>VLOOKUP(B611,'old-aw-skill-plan'!A:I,7,FALSE)</f>
        <v>3</v>
      </c>
      <c r="H611" s="1" t="str">
        <f>VLOOKUP(B611,'old-aw-skill-plan'!A:I,9,FALSE)</f>
        <v>3-4</v>
      </c>
    </row>
    <row r="612" ht="15.75" customHeight="1">
      <c r="A612" s="1" t="s">
        <v>52</v>
      </c>
      <c r="B612" s="1" t="s">
        <v>33</v>
      </c>
      <c r="C612" s="1" t="s">
        <v>11</v>
      </c>
      <c r="D612" s="5">
        <v>45723.0</v>
      </c>
      <c r="G612" s="1">
        <f>VLOOKUP(B612,'old-aw-skill-plan'!A:I,7,FALSE)</f>
        <v>3</v>
      </c>
      <c r="H612" s="1" t="str">
        <f>VLOOKUP(B612,'old-aw-skill-plan'!A:I,9,FALSE)</f>
        <v>3-5</v>
      </c>
    </row>
    <row r="613" ht="15.75" customHeight="1">
      <c r="A613" s="1" t="s">
        <v>64</v>
      </c>
      <c r="B613" s="1" t="s">
        <v>104</v>
      </c>
      <c r="C613" s="1" t="s">
        <v>11</v>
      </c>
      <c r="D613" s="5">
        <v>45723.0</v>
      </c>
      <c r="G613" s="1">
        <f>VLOOKUP(B613,'old-aw-skill-plan'!A:I,7,FALSE)</f>
        <v>5</v>
      </c>
      <c r="H613" s="1" t="str">
        <f>VLOOKUP(B613,'old-aw-skill-plan'!A:I,9,FALSE)</f>
        <v>5-2</v>
      </c>
    </row>
    <row r="614" ht="15.75" customHeight="1">
      <c r="A614" s="1" t="s">
        <v>81</v>
      </c>
      <c r="B614" s="1" t="s">
        <v>307</v>
      </c>
      <c r="C614" s="1" t="s">
        <v>11</v>
      </c>
      <c r="D614" s="5">
        <v>45723.0</v>
      </c>
      <c r="G614" s="1">
        <f>VLOOKUP(B614,'old-aw-skill-plan'!A:I,7,FALSE)</f>
        <v>3</v>
      </c>
      <c r="H614" s="1" t="str">
        <f>VLOOKUP(B614,'old-aw-skill-plan'!A:I,9,FALSE)</f>
        <v>3-1</v>
      </c>
    </row>
    <row r="615" ht="15.75" customHeight="1">
      <c r="A615" s="1" t="s">
        <v>81</v>
      </c>
      <c r="B615" s="1" t="s">
        <v>308</v>
      </c>
      <c r="C615" s="1" t="s">
        <v>11</v>
      </c>
      <c r="D615" s="5">
        <v>45723.0</v>
      </c>
      <c r="G615" s="1">
        <f>VLOOKUP(B615,'old-aw-skill-plan'!A:I,7,FALSE)</f>
        <v>4</v>
      </c>
      <c r="H615" s="1" t="str">
        <f>VLOOKUP(B615,'old-aw-skill-plan'!A:I,9,FALSE)</f>
        <v>4-9</v>
      </c>
    </row>
    <row r="616" ht="15.75" customHeight="1">
      <c r="A616" s="1" t="s">
        <v>81</v>
      </c>
      <c r="B616" s="1" t="s">
        <v>309</v>
      </c>
      <c r="C616" s="1" t="s">
        <v>11</v>
      </c>
      <c r="D616" s="5">
        <v>45723.0</v>
      </c>
      <c r="G616" s="1">
        <f>VLOOKUP(B616,'old-aw-skill-plan'!A:I,7,FALSE)</f>
        <v>4</v>
      </c>
      <c r="H616" s="1" t="str">
        <f>VLOOKUP(B616,'old-aw-skill-plan'!A:I,9,FALSE)</f>
        <v>4-1</v>
      </c>
    </row>
    <row r="617" ht="15.75" customHeight="1">
      <c r="A617" s="1" t="s">
        <v>81</v>
      </c>
      <c r="B617" s="1" t="s">
        <v>310</v>
      </c>
      <c r="C617" s="1" t="s">
        <v>11</v>
      </c>
      <c r="D617" s="5">
        <v>45723.0</v>
      </c>
      <c r="G617" s="1" t="str">
        <f>VLOOKUP(B617,'old-aw-skill-plan'!A:I,7,FALSE)</f>
        <v>#N/A</v>
      </c>
      <c r="H617" s="1" t="str">
        <f>VLOOKUP(B617,'old-aw-skill-plan'!A:I,9,FALSE)</f>
        <v>#N/A</v>
      </c>
    </row>
    <row r="618" ht="15.75" customHeight="1">
      <c r="A618" s="1" t="s">
        <v>82</v>
      </c>
      <c r="B618" s="1" t="s">
        <v>311</v>
      </c>
      <c r="C618" s="1" t="s">
        <v>11</v>
      </c>
      <c r="D618" s="5">
        <v>45723.0</v>
      </c>
      <c r="G618" s="1" t="str">
        <f>VLOOKUP(B618,'old-aw-skill-plan'!A:I,7,FALSE)</f>
        <v>#N/A</v>
      </c>
      <c r="H618" s="1" t="str">
        <f>VLOOKUP(B618,'old-aw-skill-plan'!A:I,9,FALSE)</f>
        <v>#N/A</v>
      </c>
    </row>
    <row r="619" ht="15.75" customHeight="1">
      <c r="A619" s="1" t="s">
        <v>82</v>
      </c>
      <c r="B619" s="1" t="s">
        <v>25</v>
      </c>
      <c r="C619" s="1" t="s">
        <v>11</v>
      </c>
      <c r="D619" s="5">
        <v>45723.0</v>
      </c>
      <c r="G619" s="1">
        <f>VLOOKUP(B619,'old-aw-skill-plan'!A:I,7,FALSE)</f>
        <v>5</v>
      </c>
      <c r="H619" s="1" t="str">
        <f>VLOOKUP(B619,'old-aw-skill-plan'!A:I,9,FALSE)</f>
        <v>5-4</v>
      </c>
    </row>
    <row r="620" ht="15.75" customHeight="1">
      <c r="A620" s="1" t="s">
        <v>82</v>
      </c>
      <c r="B620" s="1" t="s">
        <v>104</v>
      </c>
      <c r="C620" s="1" t="s">
        <v>11</v>
      </c>
      <c r="D620" s="5">
        <v>45723.0</v>
      </c>
      <c r="G620" s="1">
        <f>VLOOKUP(B620,'old-aw-skill-plan'!A:I,7,FALSE)</f>
        <v>5</v>
      </c>
      <c r="H620" s="1" t="str">
        <f>VLOOKUP(B620,'old-aw-skill-plan'!A:I,9,FALSE)</f>
        <v>5-2</v>
      </c>
    </row>
    <row r="621" ht="15.75" customHeight="1">
      <c r="A621" s="1" t="s">
        <v>82</v>
      </c>
      <c r="B621" s="1" t="s">
        <v>312</v>
      </c>
      <c r="C621" s="1" t="s">
        <v>11</v>
      </c>
      <c r="D621" s="5">
        <v>45723.0</v>
      </c>
      <c r="G621" s="1" t="str">
        <f>VLOOKUP(B621,'old-aw-skill-plan'!A:I,7,FALSE)</f>
        <v>#N/A</v>
      </c>
      <c r="H621" s="1" t="str">
        <f>VLOOKUP(B621,'old-aw-skill-plan'!A:I,9,FALSE)</f>
        <v>#N/A</v>
      </c>
    </row>
    <row r="622" ht="15.75" customHeight="1">
      <c r="A622" s="1" t="s">
        <v>82</v>
      </c>
      <c r="B622" s="1" t="s">
        <v>313</v>
      </c>
      <c r="C622" s="1" t="s">
        <v>11</v>
      </c>
      <c r="D622" s="5">
        <v>45723.0</v>
      </c>
      <c r="G622" s="1" t="str">
        <f>VLOOKUP(B622,'old-aw-skill-plan'!A:I,7,FALSE)</f>
        <v>#N/A</v>
      </c>
      <c r="H622" s="1" t="str">
        <f>VLOOKUP(B622,'old-aw-skill-plan'!A:I,9,FALSE)</f>
        <v>#N/A</v>
      </c>
    </row>
    <row r="623" ht="15.75" customHeight="1">
      <c r="A623" s="1" t="s">
        <v>101</v>
      </c>
      <c r="B623" s="1" t="s">
        <v>34</v>
      </c>
      <c r="C623" s="1" t="s">
        <v>11</v>
      </c>
      <c r="D623" s="5">
        <v>45723.0</v>
      </c>
      <c r="G623" s="1">
        <f>VLOOKUP(B623,'old-aw-skill-plan'!A:I,7,FALSE)</f>
        <v>4</v>
      </c>
      <c r="H623" s="1" t="str">
        <f>VLOOKUP(B623,'old-aw-skill-plan'!A:I,9,FALSE)</f>
        <v>4-1</v>
      </c>
    </row>
    <row r="624" ht="15.75" customHeight="1">
      <c r="A624" s="1" t="s">
        <v>18</v>
      </c>
      <c r="B624" s="1" t="s">
        <v>37</v>
      </c>
      <c r="C624" s="1" t="s">
        <v>11</v>
      </c>
      <c r="D624" s="5">
        <v>45722.0</v>
      </c>
      <c r="G624" s="1">
        <f>VLOOKUP(B624,'old-aw-skill-plan'!A:I,7,FALSE)</f>
        <v>4</v>
      </c>
      <c r="H624" s="1" t="str">
        <f>VLOOKUP(B624,'old-aw-skill-plan'!A:I,9,FALSE)</f>
        <v>4-2</v>
      </c>
    </row>
    <row r="625" ht="15.75" customHeight="1">
      <c r="A625" s="1" t="s">
        <v>24</v>
      </c>
      <c r="B625" s="1" t="s">
        <v>314</v>
      </c>
      <c r="C625" s="1" t="s">
        <v>11</v>
      </c>
      <c r="D625" s="5">
        <v>45722.0</v>
      </c>
      <c r="G625" s="1">
        <f>VLOOKUP(B625,'old-aw-skill-plan'!A:I,7,FALSE)</f>
        <v>5</v>
      </c>
      <c r="H625" s="1" t="str">
        <f>VLOOKUP(B625,'old-aw-skill-plan'!A:I,9,FALSE)</f>
        <v>5-10</v>
      </c>
    </row>
    <row r="626" ht="15.75" customHeight="1">
      <c r="A626" s="1" t="s">
        <v>64</v>
      </c>
      <c r="B626" s="1" t="s">
        <v>104</v>
      </c>
      <c r="C626" s="1" t="s">
        <v>11</v>
      </c>
      <c r="D626" s="5">
        <v>45722.0</v>
      </c>
      <c r="G626" s="1">
        <f>VLOOKUP(B626,'old-aw-skill-plan'!A:I,7,FALSE)</f>
        <v>5</v>
      </c>
      <c r="H626" s="1" t="str">
        <f>VLOOKUP(B626,'old-aw-skill-plan'!A:I,9,FALSE)</f>
        <v>5-2</v>
      </c>
    </row>
    <row r="627" ht="15.75" customHeight="1">
      <c r="A627" s="1" t="s">
        <v>39</v>
      </c>
      <c r="B627" s="1" t="s">
        <v>66</v>
      </c>
      <c r="C627" s="1" t="s">
        <v>11</v>
      </c>
      <c r="D627" s="5">
        <v>45722.0</v>
      </c>
      <c r="G627" s="1">
        <f>VLOOKUP(B627,'old-aw-skill-plan'!A:I,7,FALSE)</f>
        <v>4</v>
      </c>
      <c r="H627" s="1" t="str">
        <f>VLOOKUP(B627,'old-aw-skill-plan'!A:I,9,FALSE)</f>
        <v>4-9</v>
      </c>
    </row>
    <row r="628" ht="15.75" customHeight="1">
      <c r="A628" s="1" t="s">
        <v>60</v>
      </c>
      <c r="B628" s="1" t="s">
        <v>104</v>
      </c>
      <c r="C628" s="1" t="s">
        <v>11</v>
      </c>
      <c r="D628" s="5">
        <v>45722.0</v>
      </c>
      <c r="G628" s="1">
        <f>VLOOKUP(B628,'old-aw-skill-plan'!A:I,7,FALSE)</f>
        <v>5</v>
      </c>
      <c r="H628" s="1" t="str">
        <f>VLOOKUP(B628,'old-aw-skill-plan'!A:I,9,FALSE)</f>
        <v>5-2</v>
      </c>
    </row>
    <row r="629" ht="15.75" customHeight="1">
      <c r="A629" s="1" t="s">
        <v>65</v>
      </c>
      <c r="B629" s="1" t="s">
        <v>23</v>
      </c>
      <c r="C629" s="1" t="s">
        <v>11</v>
      </c>
      <c r="D629" s="5">
        <v>45722.0</v>
      </c>
      <c r="G629" s="1">
        <f>VLOOKUP(B629,'old-aw-skill-plan'!A:I,7,FALSE)</f>
        <v>4</v>
      </c>
      <c r="H629" s="1" t="str">
        <f>VLOOKUP(B629,'old-aw-skill-plan'!A:I,9,FALSE)</f>
        <v>4-5</v>
      </c>
    </row>
    <row r="630" ht="15.75" customHeight="1">
      <c r="A630" s="1" t="s">
        <v>68</v>
      </c>
      <c r="B630" s="1" t="s">
        <v>48</v>
      </c>
      <c r="C630" s="1" t="s">
        <v>11</v>
      </c>
      <c r="D630" s="5">
        <v>45722.0</v>
      </c>
      <c r="G630" s="1">
        <f>VLOOKUP(B630,'old-aw-skill-plan'!A:I,7,FALSE)</f>
        <v>3</v>
      </c>
      <c r="H630" s="1" t="str">
        <f>VLOOKUP(B630,'old-aw-skill-plan'!A:I,9,FALSE)</f>
        <v>3-6</v>
      </c>
    </row>
    <row r="631" ht="15.75" customHeight="1">
      <c r="A631" s="1" t="s">
        <v>75</v>
      </c>
      <c r="B631" s="1" t="s">
        <v>139</v>
      </c>
      <c r="C631" s="1" t="s">
        <v>11</v>
      </c>
      <c r="D631" s="5">
        <v>45722.0</v>
      </c>
      <c r="G631" s="1">
        <f>VLOOKUP(B631,'old-aw-skill-plan'!A:I,7,FALSE)</f>
        <v>6</v>
      </c>
      <c r="H631" s="1" t="str">
        <f>VLOOKUP(B631,'old-aw-skill-plan'!A:I,9,FALSE)</f>
        <v>6-8</v>
      </c>
    </row>
    <row r="632" ht="15.75" customHeight="1">
      <c r="A632" s="1" t="s">
        <v>77</v>
      </c>
      <c r="B632" s="1" t="s">
        <v>21</v>
      </c>
      <c r="C632" s="1" t="s">
        <v>11</v>
      </c>
      <c r="D632" s="5">
        <v>45722.0</v>
      </c>
      <c r="G632" s="1">
        <f>VLOOKUP(B632,'old-aw-skill-plan'!A:I,7,FALSE)</f>
        <v>4</v>
      </c>
      <c r="H632" s="1" t="str">
        <f>VLOOKUP(B632,'old-aw-skill-plan'!A:I,9,FALSE)</f>
        <v>4-6</v>
      </c>
    </row>
    <row r="633" ht="15.75" customHeight="1">
      <c r="A633" s="1" t="s">
        <v>82</v>
      </c>
      <c r="B633" s="1" t="s">
        <v>311</v>
      </c>
      <c r="C633" s="1" t="s">
        <v>11</v>
      </c>
      <c r="D633" s="5">
        <v>45722.0</v>
      </c>
      <c r="G633" s="1" t="str">
        <f>VLOOKUP(B633,'old-aw-skill-plan'!A:I,7,FALSE)</f>
        <v>#N/A</v>
      </c>
      <c r="H633" s="1" t="str">
        <f>VLOOKUP(B633,'old-aw-skill-plan'!A:I,9,FALSE)</f>
        <v>#N/A</v>
      </c>
    </row>
    <row r="634" ht="15.75" customHeight="1">
      <c r="A634" s="1" t="s">
        <v>82</v>
      </c>
      <c r="B634" s="1" t="s">
        <v>315</v>
      </c>
      <c r="C634" s="1" t="s">
        <v>11</v>
      </c>
      <c r="D634" s="5">
        <v>45722.0</v>
      </c>
      <c r="G634" s="1" t="str">
        <f>VLOOKUP(B634,'old-aw-skill-plan'!A:I,7,FALSE)</f>
        <v>#N/A</v>
      </c>
      <c r="H634" s="1" t="str">
        <f>VLOOKUP(B634,'old-aw-skill-plan'!A:I,9,FALSE)</f>
        <v>#N/A</v>
      </c>
    </row>
    <row r="635" ht="15.75" customHeight="1">
      <c r="A635" s="1" t="s">
        <v>82</v>
      </c>
      <c r="B635" s="1" t="s">
        <v>83</v>
      </c>
      <c r="C635" s="1" t="s">
        <v>11</v>
      </c>
      <c r="D635" s="5">
        <v>45722.0</v>
      </c>
      <c r="G635" s="1">
        <f>VLOOKUP(B635,'old-aw-skill-plan'!A:I,7,FALSE)</f>
        <v>5</v>
      </c>
      <c r="H635" s="1" t="str">
        <f>VLOOKUP(B635,'old-aw-skill-plan'!A:I,9,FALSE)</f>
        <v>5-9</v>
      </c>
    </row>
    <row r="636" ht="15.75" customHeight="1">
      <c r="A636" s="1" t="s">
        <v>82</v>
      </c>
      <c r="B636" s="1" t="s">
        <v>84</v>
      </c>
      <c r="C636" s="1" t="s">
        <v>11</v>
      </c>
      <c r="D636" s="5">
        <v>45722.0</v>
      </c>
      <c r="G636" s="1">
        <f>VLOOKUP(B636,'old-aw-skill-plan'!A:I,7,FALSE)</f>
        <v>5</v>
      </c>
      <c r="H636" s="1" t="str">
        <f>VLOOKUP(B636,'old-aw-skill-plan'!A:I,9,FALSE)</f>
        <v>5-7</v>
      </c>
    </row>
    <row r="637" ht="15.75" customHeight="1">
      <c r="A637" s="1" t="s">
        <v>82</v>
      </c>
      <c r="B637" s="1" t="s">
        <v>103</v>
      </c>
      <c r="C637" s="1" t="s">
        <v>11</v>
      </c>
      <c r="D637" s="5">
        <v>45722.0</v>
      </c>
      <c r="G637" s="1">
        <f>VLOOKUP(B637,'old-aw-skill-plan'!A:I,7,FALSE)</f>
        <v>5</v>
      </c>
      <c r="H637" s="1" t="str">
        <f>VLOOKUP(B637,'old-aw-skill-plan'!A:I,9,FALSE)</f>
        <v>5-3</v>
      </c>
    </row>
    <row r="638" ht="15.75" customHeight="1">
      <c r="A638" s="1" t="s">
        <v>82</v>
      </c>
      <c r="B638" s="1" t="s">
        <v>104</v>
      </c>
      <c r="C638" s="1" t="s">
        <v>11</v>
      </c>
      <c r="D638" s="5">
        <v>45722.0</v>
      </c>
      <c r="G638" s="1">
        <f>VLOOKUP(B638,'old-aw-skill-plan'!A:I,7,FALSE)</f>
        <v>5</v>
      </c>
      <c r="H638" s="1" t="str">
        <f>VLOOKUP(B638,'old-aw-skill-plan'!A:I,9,FALSE)</f>
        <v>5-2</v>
      </c>
    </row>
    <row r="639" ht="15.75" customHeight="1">
      <c r="A639" s="1" t="s">
        <v>90</v>
      </c>
      <c r="B639" s="1" t="s">
        <v>28</v>
      </c>
      <c r="C639" s="1" t="s">
        <v>11</v>
      </c>
      <c r="D639" s="5">
        <v>45722.0</v>
      </c>
      <c r="G639" s="1">
        <f>VLOOKUP(B639,'old-aw-skill-plan'!A:I,7,FALSE)</f>
        <v>3</v>
      </c>
      <c r="H639" s="1" t="str">
        <f>VLOOKUP(B639,'old-aw-skill-plan'!A:I,9,FALSE)</f>
        <v>3-4</v>
      </c>
    </row>
    <row r="640" ht="15.75" customHeight="1">
      <c r="A640" s="1" t="s">
        <v>175</v>
      </c>
      <c r="B640" s="1" t="s">
        <v>44</v>
      </c>
      <c r="C640" s="1" t="s">
        <v>11</v>
      </c>
      <c r="D640" s="5">
        <v>45721.0</v>
      </c>
      <c r="G640" s="1">
        <f>VLOOKUP(B640,'old-aw-skill-plan'!A:I,7,FALSE)</f>
        <v>5</v>
      </c>
      <c r="H640" s="1" t="str">
        <f>VLOOKUP(B640,'old-aw-skill-plan'!A:I,9,FALSE)</f>
        <v>5-1</v>
      </c>
    </row>
    <row r="641" ht="15.75" customHeight="1">
      <c r="A641" s="1" t="s">
        <v>20</v>
      </c>
      <c r="B641" s="1" t="s">
        <v>61</v>
      </c>
      <c r="C641" s="1" t="s">
        <v>11</v>
      </c>
      <c r="D641" s="5">
        <v>45721.0</v>
      </c>
      <c r="G641" s="1">
        <f>VLOOKUP(B641,'old-aw-skill-plan'!A:I,7,FALSE)</f>
        <v>4</v>
      </c>
      <c r="H641" s="1" t="str">
        <f>VLOOKUP(B641,'old-aw-skill-plan'!A:I,9,FALSE)</f>
        <v>4-4</v>
      </c>
    </row>
    <row r="642" ht="15.75" customHeight="1">
      <c r="A642" s="1" t="s">
        <v>24</v>
      </c>
      <c r="B642" s="1" t="s">
        <v>314</v>
      </c>
      <c r="C642" s="1" t="s">
        <v>11</v>
      </c>
      <c r="D642" s="5">
        <v>45721.0</v>
      </c>
      <c r="G642" s="1">
        <f>VLOOKUP(B642,'old-aw-skill-plan'!A:I,7,FALSE)</f>
        <v>5</v>
      </c>
      <c r="H642" s="1" t="str">
        <f>VLOOKUP(B642,'old-aw-skill-plan'!A:I,9,FALSE)</f>
        <v>5-10</v>
      </c>
    </row>
    <row r="643" ht="15.75" customHeight="1">
      <c r="A643" s="1" t="s">
        <v>64</v>
      </c>
      <c r="B643" s="1" t="s">
        <v>104</v>
      </c>
      <c r="C643" s="1" t="s">
        <v>11</v>
      </c>
      <c r="D643" s="5">
        <v>45721.0</v>
      </c>
      <c r="G643" s="1">
        <f>VLOOKUP(B643,'old-aw-skill-plan'!A:I,7,FALSE)</f>
        <v>5</v>
      </c>
      <c r="H643" s="1" t="str">
        <f>VLOOKUP(B643,'old-aw-skill-plan'!A:I,9,FALSE)</f>
        <v>5-2</v>
      </c>
    </row>
    <row r="644" ht="15.75" customHeight="1">
      <c r="A644" s="1" t="s">
        <v>81</v>
      </c>
      <c r="B644" s="1" t="s">
        <v>316</v>
      </c>
      <c r="C644" s="1" t="s">
        <v>11</v>
      </c>
      <c r="D644" s="5">
        <v>45721.0</v>
      </c>
      <c r="G644" s="1" t="str">
        <f>VLOOKUP(B644,'old-aw-skill-plan'!A:I,7,FALSE)</f>
        <v>#N/A</v>
      </c>
      <c r="H644" s="1" t="str">
        <f>VLOOKUP(B644,'old-aw-skill-plan'!A:I,9,FALSE)</f>
        <v>#N/A</v>
      </c>
    </row>
    <row r="645" ht="15.75" customHeight="1">
      <c r="A645" s="1" t="s">
        <v>81</v>
      </c>
      <c r="B645" s="1" t="s">
        <v>134</v>
      </c>
      <c r="C645" s="1" t="s">
        <v>11</v>
      </c>
      <c r="D645" s="5">
        <v>45721.0</v>
      </c>
      <c r="G645" s="1" t="str">
        <f>VLOOKUP(B645,'old-aw-skill-plan'!A:I,7,FALSE)</f>
        <v>#N/A</v>
      </c>
      <c r="H645" s="1" t="str">
        <f>VLOOKUP(B645,'old-aw-skill-plan'!A:I,9,FALSE)</f>
        <v>#N/A</v>
      </c>
    </row>
    <row r="646" ht="15.75" customHeight="1">
      <c r="A646" s="1" t="s">
        <v>81</v>
      </c>
      <c r="B646" s="1" t="s">
        <v>317</v>
      </c>
      <c r="C646" s="1" t="s">
        <v>11</v>
      </c>
      <c r="D646" s="5">
        <v>45721.0</v>
      </c>
      <c r="G646" s="1">
        <f>VLOOKUP(B646,'old-aw-skill-plan'!A:I,7,FALSE)</f>
        <v>4</v>
      </c>
      <c r="H646" s="1" t="str">
        <f>VLOOKUP(B646,'old-aw-skill-plan'!A:I,9,FALSE)</f>
        <v>4-8</v>
      </c>
    </row>
    <row r="647" ht="15.75" customHeight="1">
      <c r="A647" s="1" t="s">
        <v>81</v>
      </c>
      <c r="B647" s="1" t="s">
        <v>44</v>
      </c>
      <c r="C647" s="1" t="s">
        <v>11</v>
      </c>
      <c r="D647" s="5">
        <v>45721.0</v>
      </c>
      <c r="G647" s="1">
        <f>VLOOKUP(B647,'old-aw-skill-plan'!A:I,7,FALSE)</f>
        <v>5</v>
      </c>
      <c r="H647" s="1" t="str">
        <f>VLOOKUP(B647,'old-aw-skill-plan'!A:I,9,FALSE)</f>
        <v>5-1</v>
      </c>
    </row>
    <row r="648" ht="15.75" customHeight="1">
      <c r="A648" s="1" t="s">
        <v>81</v>
      </c>
      <c r="B648" s="1" t="s">
        <v>135</v>
      </c>
      <c r="C648" s="1" t="s">
        <v>11</v>
      </c>
      <c r="D648" s="5">
        <v>45721.0</v>
      </c>
      <c r="G648" s="1">
        <f>VLOOKUP(B648,'old-aw-skill-plan'!A:I,7,FALSE)</f>
        <v>8</v>
      </c>
      <c r="H648" s="1" t="str">
        <f>VLOOKUP(B648,'old-aw-skill-plan'!A:I,9,FALSE)</f>
        <v>8-12</v>
      </c>
    </row>
    <row r="649" ht="15.75" customHeight="1">
      <c r="A649" s="1" t="s">
        <v>174</v>
      </c>
      <c r="B649" s="1" t="s">
        <v>10</v>
      </c>
      <c r="C649" s="1" t="s">
        <v>11</v>
      </c>
      <c r="D649" s="5">
        <v>45721.0</v>
      </c>
      <c r="G649" s="1">
        <f>VLOOKUP(B649,'old-aw-skill-plan'!A:I,7,FALSE)</f>
        <v>3</v>
      </c>
      <c r="H649" s="1" t="str">
        <f>VLOOKUP(B649,'old-aw-skill-plan'!A:I,9,FALSE)</f>
        <v>3-1</v>
      </c>
    </row>
    <row r="650" ht="15.75" customHeight="1">
      <c r="A650" s="1" t="s">
        <v>82</v>
      </c>
      <c r="B650" s="1" t="s">
        <v>134</v>
      </c>
      <c r="C650" s="1" t="s">
        <v>11</v>
      </c>
      <c r="D650" s="5">
        <v>45721.0</v>
      </c>
      <c r="G650" s="1" t="str">
        <f>VLOOKUP(B650,'old-aw-skill-plan'!A:I,7,FALSE)</f>
        <v>#N/A</v>
      </c>
      <c r="H650" s="1" t="str">
        <f>VLOOKUP(B650,'old-aw-skill-plan'!A:I,9,FALSE)</f>
        <v>#N/A</v>
      </c>
    </row>
    <row r="651" ht="15.75" customHeight="1">
      <c r="A651" s="1" t="s">
        <v>82</v>
      </c>
      <c r="B651" s="1" t="s">
        <v>311</v>
      </c>
      <c r="C651" s="1" t="s">
        <v>11</v>
      </c>
      <c r="D651" s="5">
        <v>45721.0</v>
      </c>
      <c r="G651" s="1" t="str">
        <f>VLOOKUP(B651,'old-aw-skill-plan'!A:I,7,FALSE)</f>
        <v>#N/A</v>
      </c>
      <c r="H651" s="1" t="str">
        <f>VLOOKUP(B651,'old-aw-skill-plan'!A:I,9,FALSE)</f>
        <v>#N/A</v>
      </c>
    </row>
    <row r="652" ht="15.75" customHeight="1">
      <c r="A652" s="1" t="s">
        <v>82</v>
      </c>
      <c r="B652" s="1" t="s">
        <v>318</v>
      </c>
      <c r="C652" s="1" t="s">
        <v>11</v>
      </c>
      <c r="D652" s="5">
        <v>45721.0</v>
      </c>
      <c r="G652" s="1" t="str">
        <f>VLOOKUP(B652,'old-aw-skill-plan'!A:I,7,FALSE)</f>
        <v>#N/A</v>
      </c>
      <c r="H652" s="1" t="str">
        <f>VLOOKUP(B652,'old-aw-skill-plan'!A:I,9,FALSE)</f>
        <v>#N/A</v>
      </c>
    </row>
    <row r="653" ht="15.75" customHeight="1">
      <c r="A653" s="1" t="s">
        <v>82</v>
      </c>
      <c r="B653" s="1" t="s">
        <v>34</v>
      </c>
      <c r="C653" s="1" t="s">
        <v>11</v>
      </c>
      <c r="D653" s="5">
        <v>45721.0</v>
      </c>
      <c r="G653" s="1">
        <f>VLOOKUP(B653,'old-aw-skill-plan'!A:I,7,FALSE)</f>
        <v>4</v>
      </c>
      <c r="H653" s="1" t="str">
        <f>VLOOKUP(B653,'old-aw-skill-plan'!A:I,9,FALSE)</f>
        <v>4-1</v>
      </c>
    </row>
    <row r="654" ht="15.75" customHeight="1">
      <c r="A654" s="1" t="s">
        <v>109</v>
      </c>
      <c r="B654" s="1" t="s">
        <v>61</v>
      </c>
      <c r="C654" s="1" t="s">
        <v>11</v>
      </c>
      <c r="D654" s="5">
        <v>45721.0</v>
      </c>
      <c r="G654" s="1">
        <f>VLOOKUP(B654,'old-aw-skill-plan'!A:I,7,FALSE)</f>
        <v>4</v>
      </c>
      <c r="H654" s="1" t="str">
        <f>VLOOKUP(B654,'old-aw-skill-plan'!A:I,9,FALSE)</f>
        <v>4-4</v>
      </c>
    </row>
    <row r="655" ht="15.75" customHeight="1">
      <c r="A655" s="1" t="s">
        <v>18</v>
      </c>
      <c r="B655" s="1" t="s">
        <v>37</v>
      </c>
      <c r="C655" s="1" t="s">
        <v>11</v>
      </c>
      <c r="D655" s="5">
        <v>45720.0</v>
      </c>
      <c r="G655" s="1">
        <f>VLOOKUP(B655,'old-aw-skill-plan'!A:I,7,FALSE)</f>
        <v>4</v>
      </c>
      <c r="H655" s="1" t="str">
        <f>VLOOKUP(B655,'old-aw-skill-plan'!A:I,9,FALSE)</f>
        <v>4-2</v>
      </c>
    </row>
    <row r="656" ht="15.75" customHeight="1">
      <c r="A656" s="1" t="s">
        <v>20</v>
      </c>
      <c r="B656" s="1" t="s">
        <v>61</v>
      </c>
      <c r="C656" s="1" t="s">
        <v>11</v>
      </c>
      <c r="D656" s="5">
        <v>45720.0</v>
      </c>
      <c r="G656" s="1">
        <f>VLOOKUP(B656,'old-aw-skill-plan'!A:I,7,FALSE)</f>
        <v>4</v>
      </c>
      <c r="H656" s="1" t="str">
        <f>VLOOKUP(B656,'old-aw-skill-plan'!A:I,9,FALSE)</f>
        <v>4-4</v>
      </c>
    </row>
    <row r="657" ht="15.75" customHeight="1">
      <c r="A657" s="1" t="s">
        <v>20</v>
      </c>
      <c r="B657" s="1" t="s">
        <v>97</v>
      </c>
      <c r="C657" s="1" t="s">
        <v>11</v>
      </c>
      <c r="D657" s="5">
        <v>45720.0</v>
      </c>
      <c r="G657" s="1">
        <f>VLOOKUP(B657,'old-aw-skill-plan'!A:I,7,FALSE)</f>
        <v>4</v>
      </c>
      <c r="H657" s="1" t="str">
        <f>VLOOKUP(B657,'old-aw-skill-plan'!A:I,9,FALSE)</f>
        <v>4-3</v>
      </c>
    </row>
    <row r="658" ht="15.75" customHeight="1">
      <c r="A658" s="1" t="s">
        <v>24</v>
      </c>
      <c r="B658" s="1" t="s">
        <v>314</v>
      </c>
      <c r="C658" s="1" t="s">
        <v>11</v>
      </c>
      <c r="D658" s="5">
        <v>45720.0</v>
      </c>
      <c r="G658" s="1">
        <f>VLOOKUP(B658,'old-aw-skill-plan'!A:I,7,FALSE)</f>
        <v>5</v>
      </c>
      <c r="H658" s="1" t="str">
        <f>VLOOKUP(B658,'old-aw-skill-plan'!A:I,9,FALSE)</f>
        <v>5-10</v>
      </c>
    </row>
    <row r="659" ht="15.75" customHeight="1">
      <c r="A659" s="1" t="s">
        <v>64</v>
      </c>
      <c r="B659" s="1" t="s">
        <v>104</v>
      </c>
      <c r="C659" s="1" t="s">
        <v>11</v>
      </c>
      <c r="D659" s="5">
        <v>45720.0</v>
      </c>
      <c r="G659" s="1">
        <f>VLOOKUP(B659,'old-aw-skill-plan'!A:I,7,FALSE)</f>
        <v>5</v>
      </c>
      <c r="H659" s="1" t="str">
        <f>VLOOKUP(B659,'old-aw-skill-plan'!A:I,9,FALSE)</f>
        <v>5-2</v>
      </c>
    </row>
    <row r="660" ht="15.75" customHeight="1">
      <c r="A660" s="1" t="s">
        <v>39</v>
      </c>
      <c r="B660" s="1" t="s">
        <v>66</v>
      </c>
      <c r="C660" s="1" t="s">
        <v>11</v>
      </c>
      <c r="D660" s="5">
        <v>45720.0</v>
      </c>
      <c r="G660" s="1">
        <f>VLOOKUP(B660,'old-aw-skill-plan'!A:I,7,FALSE)</f>
        <v>4</v>
      </c>
      <c r="H660" s="1" t="str">
        <f>VLOOKUP(B660,'old-aw-skill-plan'!A:I,9,FALSE)</f>
        <v>4-9</v>
      </c>
    </row>
    <row r="661" ht="15.75" customHeight="1">
      <c r="A661" s="1" t="s">
        <v>39</v>
      </c>
      <c r="B661" s="1" t="s">
        <v>44</v>
      </c>
      <c r="C661" s="1" t="s">
        <v>11</v>
      </c>
      <c r="D661" s="5">
        <v>45720.0</v>
      </c>
      <c r="G661" s="1">
        <f>VLOOKUP(B661,'old-aw-skill-plan'!A:I,7,FALSE)</f>
        <v>5</v>
      </c>
      <c r="H661" s="1" t="str">
        <f>VLOOKUP(B661,'old-aw-skill-plan'!A:I,9,FALSE)</f>
        <v>5-1</v>
      </c>
    </row>
    <row r="662" ht="15.75" customHeight="1">
      <c r="A662" s="1" t="s">
        <v>46</v>
      </c>
      <c r="B662" s="1" t="s">
        <v>34</v>
      </c>
      <c r="C662" s="1" t="s">
        <v>11</v>
      </c>
      <c r="D662" s="5">
        <v>45720.0</v>
      </c>
      <c r="G662" s="1">
        <f>VLOOKUP(B662,'old-aw-skill-plan'!A:I,7,FALSE)</f>
        <v>4</v>
      </c>
      <c r="H662" s="1" t="str">
        <f>VLOOKUP(B662,'old-aw-skill-plan'!A:I,9,FALSE)</f>
        <v>4-1</v>
      </c>
    </row>
    <row r="663" ht="15.75" customHeight="1">
      <c r="A663" s="1" t="s">
        <v>81</v>
      </c>
      <c r="B663" s="1" t="s">
        <v>37</v>
      </c>
      <c r="C663" s="1" t="s">
        <v>11</v>
      </c>
      <c r="D663" s="5">
        <v>45720.0</v>
      </c>
      <c r="G663" s="1">
        <f>VLOOKUP(B663,'old-aw-skill-plan'!A:I,7,FALSE)</f>
        <v>4</v>
      </c>
      <c r="H663" s="1" t="str">
        <f>VLOOKUP(B663,'old-aw-skill-plan'!A:I,9,FALSE)</f>
        <v>4-2</v>
      </c>
    </row>
    <row r="664" ht="15.75" customHeight="1">
      <c r="A664" s="1" t="s">
        <v>81</v>
      </c>
      <c r="B664" s="1" t="s">
        <v>133</v>
      </c>
      <c r="C664" s="1" t="s">
        <v>11</v>
      </c>
      <c r="D664" s="5">
        <v>45720.0</v>
      </c>
      <c r="G664" s="1">
        <f>VLOOKUP(B664,'old-aw-skill-plan'!A:I,7,FALSE)</f>
        <v>7</v>
      </c>
      <c r="H664" s="1" t="str">
        <f>VLOOKUP(B664,'old-aw-skill-plan'!A:I,9,FALSE)</f>
        <v>7-6</v>
      </c>
    </row>
    <row r="665" ht="15.75" customHeight="1">
      <c r="A665" s="1" t="s">
        <v>81</v>
      </c>
      <c r="B665" s="1" t="s">
        <v>319</v>
      </c>
      <c r="C665" s="1" t="s">
        <v>11</v>
      </c>
      <c r="D665" s="5">
        <v>45720.0</v>
      </c>
      <c r="G665" s="1">
        <f>VLOOKUP(B665,'old-aw-skill-plan'!A:I,7,FALSE)</f>
        <v>7</v>
      </c>
      <c r="H665" s="1" t="str">
        <f>VLOOKUP(B665,'old-aw-skill-plan'!A:I,9,FALSE)</f>
        <v>7-2</v>
      </c>
    </row>
    <row r="666" ht="15.75" customHeight="1">
      <c r="A666" s="1" t="s">
        <v>81</v>
      </c>
      <c r="B666" s="1" t="s">
        <v>320</v>
      </c>
      <c r="C666" s="1" t="s">
        <v>11</v>
      </c>
      <c r="D666" s="5">
        <v>45720.0</v>
      </c>
      <c r="G666" s="1">
        <f>VLOOKUP(B666,'old-aw-skill-plan'!A:I,7,FALSE)</f>
        <v>4</v>
      </c>
      <c r="H666" s="1" t="str">
        <f>VLOOKUP(B666,'old-aw-skill-plan'!A:I,9,FALSE)</f>
        <v>4-2</v>
      </c>
    </row>
    <row r="667" ht="15.75" customHeight="1">
      <c r="A667" s="1" t="s">
        <v>179</v>
      </c>
      <c r="B667" s="1" t="s">
        <v>103</v>
      </c>
      <c r="C667" s="1" t="s">
        <v>11</v>
      </c>
      <c r="D667" s="5">
        <v>45720.0</v>
      </c>
      <c r="G667" s="1">
        <f>VLOOKUP(B667,'old-aw-skill-plan'!A:I,7,FALSE)</f>
        <v>5</v>
      </c>
      <c r="H667" s="1" t="str">
        <f>VLOOKUP(B667,'old-aw-skill-plan'!A:I,9,FALSE)</f>
        <v>5-3</v>
      </c>
    </row>
    <row r="668" ht="15.75" customHeight="1">
      <c r="A668" s="1" t="s">
        <v>60</v>
      </c>
      <c r="B668" s="1" t="s">
        <v>104</v>
      </c>
      <c r="C668" s="1" t="s">
        <v>11</v>
      </c>
      <c r="D668" s="5">
        <v>45720.0</v>
      </c>
      <c r="G668" s="1">
        <f>VLOOKUP(B668,'old-aw-skill-plan'!A:I,7,FALSE)</f>
        <v>5</v>
      </c>
      <c r="H668" s="1" t="str">
        <f>VLOOKUP(B668,'old-aw-skill-plan'!A:I,9,FALSE)</f>
        <v>5-2</v>
      </c>
    </row>
    <row r="669" ht="15.75" customHeight="1">
      <c r="A669" s="1" t="s">
        <v>63</v>
      </c>
      <c r="B669" s="1" t="s">
        <v>83</v>
      </c>
      <c r="C669" s="1" t="s">
        <v>11</v>
      </c>
      <c r="D669" s="5">
        <v>45720.0</v>
      </c>
      <c r="G669" s="1">
        <f>VLOOKUP(B669,'old-aw-skill-plan'!A:I,7,FALSE)</f>
        <v>5</v>
      </c>
      <c r="H669" s="1" t="str">
        <f>VLOOKUP(B669,'old-aw-skill-plan'!A:I,9,FALSE)</f>
        <v>5-9</v>
      </c>
    </row>
    <row r="670" ht="15.75" customHeight="1">
      <c r="A670" s="1" t="s">
        <v>65</v>
      </c>
      <c r="B670" s="1" t="s">
        <v>23</v>
      </c>
      <c r="C670" s="1" t="s">
        <v>11</v>
      </c>
      <c r="D670" s="5">
        <v>45720.0</v>
      </c>
      <c r="G670" s="1">
        <f>VLOOKUP(B670,'old-aw-skill-plan'!A:I,7,FALSE)</f>
        <v>4</v>
      </c>
      <c r="H670" s="1" t="str">
        <f>VLOOKUP(B670,'old-aw-skill-plan'!A:I,9,FALSE)</f>
        <v>4-5</v>
      </c>
    </row>
    <row r="671" ht="15.75" customHeight="1">
      <c r="A671" s="1" t="s">
        <v>68</v>
      </c>
      <c r="B671" s="1" t="s">
        <v>48</v>
      </c>
      <c r="C671" s="1" t="s">
        <v>11</v>
      </c>
      <c r="D671" s="5">
        <v>45720.0</v>
      </c>
      <c r="G671" s="1">
        <f>VLOOKUP(B671,'old-aw-skill-plan'!A:I,7,FALSE)</f>
        <v>3</v>
      </c>
      <c r="H671" s="1" t="str">
        <f>VLOOKUP(B671,'old-aw-skill-plan'!A:I,9,FALSE)</f>
        <v>3-6</v>
      </c>
    </row>
    <row r="672" ht="15.75" customHeight="1">
      <c r="A672" s="1" t="s">
        <v>181</v>
      </c>
      <c r="B672" s="1" t="s">
        <v>25</v>
      </c>
      <c r="C672" s="1" t="s">
        <v>11</v>
      </c>
      <c r="D672" s="5">
        <v>45720.0</v>
      </c>
      <c r="G672" s="1">
        <f>VLOOKUP(B672,'old-aw-skill-plan'!A:I,7,FALSE)</f>
        <v>5</v>
      </c>
      <c r="H672" s="1" t="str">
        <f>VLOOKUP(B672,'old-aw-skill-plan'!A:I,9,FALSE)</f>
        <v>5-4</v>
      </c>
    </row>
    <row r="673" ht="15.75" customHeight="1">
      <c r="A673" s="1" t="s">
        <v>75</v>
      </c>
      <c r="B673" s="1" t="s">
        <v>139</v>
      </c>
      <c r="C673" s="1" t="s">
        <v>11</v>
      </c>
      <c r="D673" s="5">
        <v>45720.0</v>
      </c>
      <c r="G673" s="1">
        <f>VLOOKUP(B673,'old-aw-skill-plan'!A:I,7,FALSE)</f>
        <v>6</v>
      </c>
      <c r="H673" s="1" t="str">
        <f>VLOOKUP(B673,'old-aw-skill-plan'!A:I,9,FALSE)</f>
        <v>6-8</v>
      </c>
    </row>
    <row r="674" ht="15.75" customHeight="1">
      <c r="A674" s="1" t="s">
        <v>77</v>
      </c>
      <c r="B674" s="1" t="s">
        <v>23</v>
      </c>
      <c r="C674" s="1" t="s">
        <v>11</v>
      </c>
      <c r="D674" s="5">
        <v>45720.0</v>
      </c>
      <c r="G674" s="1">
        <f>VLOOKUP(B674,'old-aw-skill-plan'!A:I,7,FALSE)</f>
        <v>4</v>
      </c>
      <c r="H674" s="1" t="str">
        <f>VLOOKUP(B674,'old-aw-skill-plan'!A:I,9,FALSE)</f>
        <v>4-5</v>
      </c>
    </row>
    <row r="675" ht="15.75" customHeight="1">
      <c r="A675" s="1" t="s">
        <v>82</v>
      </c>
      <c r="B675" s="1" t="s">
        <v>316</v>
      </c>
      <c r="C675" s="1" t="s">
        <v>11</v>
      </c>
      <c r="D675" s="5">
        <v>45720.0</v>
      </c>
      <c r="G675" s="1" t="str">
        <f>VLOOKUP(B675,'old-aw-skill-plan'!A:I,7,FALSE)</f>
        <v>#N/A</v>
      </c>
      <c r="H675" s="1" t="str">
        <f>VLOOKUP(B675,'old-aw-skill-plan'!A:I,9,FALSE)</f>
        <v>#N/A</v>
      </c>
    </row>
    <row r="676" ht="15.75" customHeight="1">
      <c r="A676" s="1" t="s">
        <v>82</v>
      </c>
      <c r="B676" s="1" t="s">
        <v>321</v>
      </c>
      <c r="C676" s="1" t="s">
        <v>11</v>
      </c>
      <c r="D676" s="5">
        <v>45720.0</v>
      </c>
      <c r="G676" s="1">
        <f>VLOOKUP(B676,'old-aw-skill-plan'!A:I,7,FALSE)</f>
        <v>6</v>
      </c>
      <c r="H676" s="1" t="str">
        <f>VLOOKUP(B676,'old-aw-skill-plan'!A:I,9,FALSE)</f>
        <v>6-5</v>
      </c>
    </row>
    <row r="677" ht="15.75" customHeight="1">
      <c r="A677" s="1" t="s">
        <v>82</v>
      </c>
      <c r="B677" s="1" t="s">
        <v>84</v>
      </c>
      <c r="C677" s="1" t="s">
        <v>11</v>
      </c>
      <c r="D677" s="5">
        <v>45720.0</v>
      </c>
      <c r="G677" s="1">
        <f>VLOOKUP(B677,'old-aw-skill-plan'!A:I,7,FALSE)</f>
        <v>5</v>
      </c>
      <c r="H677" s="1" t="str">
        <f>VLOOKUP(B677,'old-aw-skill-plan'!A:I,9,FALSE)</f>
        <v>5-7</v>
      </c>
    </row>
    <row r="678" ht="15.75" customHeight="1">
      <c r="A678" s="1" t="s">
        <v>82</v>
      </c>
      <c r="B678" s="1" t="s">
        <v>104</v>
      </c>
      <c r="C678" s="1" t="s">
        <v>11</v>
      </c>
      <c r="D678" s="5">
        <v>45720.0</v>
      </c>
      <c r="G678" s="1">
        <f>VLOOKUP(B678,'old-aw-skill-plan'!A:I,7,FALSE)</f>
        <v>5</v>
      </c>
      <c r="H678" s="1" t="str">
        <f>VLOOKUP(B678,'old-aw-skill-plan'!A:I,9,FALSE)</f>
        <v>5-2</v>
      </c>
    </row>
    <row r="679" ht="15.75" customHeight="1">
      <c r="A679" s="1" t="s">
        <v>82</v>
      </c>
      <c r="B679" s="1" t="s">
        <v>135</v>
      </c>
      <c r="C679" s="1" t="s">
        <v>11</v>
      </c>
      <c r="D679" s="5">
        <v>45720.0</v>
      </c>
      <c r="G679" s="1">
        <f>VLOOKUP(B679,'old-aw-skill-plan'!A:I,7,FALSE)</f>
        <v>8</v>
      </c>
      <c r="H679" s="1" t="str">
        <f>VLOOKUP(B679,'old-aw-skill-plan'!A:I,9,FALSE)</f>
        <v>8-12</v>
      </c>
    </row>
    <row r="680" ht="15.75" customHeight="1">
      <c r="A680" s="1" t="s">
        <v>90</v>
      </c>
      <c r="B680" s="1" t="s">
        <v>28</v>
      </c>
      <c r="C680" s="1" t="s">
        <v>11</v>
      </c>
      <c r="D680" s="5">
        <v>45720.0</v>
      </c>
      <c r="G680" s="1">
        <f>VLOOKUP(B680,'old-aw-skill-plan'!A:I,7,FALSE)</f>
        <v>3</v>
      </c>
      <c r="H680" s="1" t="str">
        <f>VLOOKUP(B680,'old-aw-skill-plan'!A:I,9,FALSE)</f>
        <v>3-4</v>
      </c>
    </row>
    <row r="681" ht="15.75" customHeight="1">
      <c r="A681" s="1" t="s">
        <v>29</v>
      </c>
      <c r="B681" s="1" t="s">
        <v>112</v>
      </c>
      <c r="C681" s="1" t="s">
        <v>11</v>
      </c>
      <c r="D681" s="5">
        <v>45719.0</v>
      </c>
      <c r="G681" s="1">
        <f>VLOOKUP(B681,'old-aw-skill-plan'!A:I,7,FALSE)</f>
        <v>6</v>
      </c>
      <c r="H681" s="1" t="str">
        <f>VLOOKUP(B681,'old-aw-skill-plan'!A:I,9,FALSE)</f>
        <v>6-9</v>
      </c>
    </row>
    <row r="682" ht="15.75" customHeight="1">
      <c r="A682" s="1" t="s">
        <v>29</v>
      </c>
      <c r="B682" s="1" t="s">
        <v>139</v>
      </c>
      <c r="C682" s="1" t="s">
        <v>11</v>
      </c>
      <c r="D682" s="5">
        <v>45719.0</v>
      </c>
      <c r="G682" s="1">
        <f>VLOOKUP(B682,'old-aw-skill-plan'!A:I,7,FALSE)</f>
        <v>6</v>
      </c>
      <c r="H682" s="1" t="str">
        <f>VLOOKUP(B682,'old-aw-skill-plan'!A:I,9,FALSE)</f>
        <v>6-8</v>
      </c>
    </row>
    <row r="683" ht="15.75" customHeight="1">
      <c r="A683" s="1" t="s">
        <v>60</v>
      </c>
      <c r="B683" s="1" t="s">
        <v>104</v>
      </c>
      <c r="C683" s="1" t="s">
        <v>11</v>
      </c>
      <c r="D683" s="5">
        <v>45719.0</v>
      </c>
      <c r="G683" s="1">
        <f>VLOOKUP(B683,'old-aw-skill-plan'!A:I,7,FALSE)</f>
        <v>5</v>
      </c>
      <c r="H683" s="1" t="str">
        <f>VLOOKUP(B683,'old-aw-skill-plan'!A:I,9,FALSE)</f>
        <v>5-2</v>
      </c>
    </row>
    <row r="684" ht="15.75" customHeight="1">
      <c r="A684" s="1" t="s">
        <v>183</v>
      </c>
      <c r="B684" s="1" t="s">
        <v>322</v>
      </c>
      <c r="C684" s="1" t="s">
        <v>11</v>
      </c>
      <c r="D684" s="5">
        <v>45719.0</v>
      </c>
      <c r="G684" s="1">
        <f>VLOOKUP(B684,'old-aw-skill-plan'!A:I,7,FALSE)</f>
        <v>8</v>
      </c>
      <c r="H684" s="1" t="str">
        <f>VLOOKUP(B684,'old-aw-skill-plan'!A:I,9,FALSE)</f>
        <v>8-5</v>
      </c>
    </row>
    <row r="685" ht="15.75" customHeight="1">
      <c r="A685" s="1" t="s">
        <v>29</v>
      </c>
      <c r="B685" s="1" t="s">
        <v>139</v>
      </c>
      <c r="C685" s="1" t="s">
        <v>11</v>
      </c>
      <c r="D685" s="5">
        <v>45715.0</v>
      </c>
      <c r="G685" s="1">
        <f>VLOOKUP(B685,'old-aw-skill-plan'!A:I,7,FALSE)</f>
        <v>6</v>
      </c>
      <c r="H685" s="1" t="str">
        <f>VLOOKUP(B685,'old-aw-skill-plan'!A:I,9,FALSE)</f>
        <v>6-8</v>
      </c>
    </row>
    <row r="686" ht="15.75" customHeight="1">
      <c r="A686" s="1" t="s">
        <v>29</v>
      </c>
      <c r="B686" s="1" t="s">
        <v>323</v>
      </c>
      <c r="C686" s="1" t="s">
        <v>11</v>
      </c>
      <c r="D686" s="5">
        <v>45714.0</v>
      </c>
      <c r="G686" s="1">
        <f>VLOOKUP(B686,'old-aw-skill-plan'!A:I,7,FALSE)</f>
        <v>6</v>
      </c>
      <c r="H686" s="1" t="str">
        <f>VLOOKUP(B686,'old-aw-skill-plan'!A:I,9,FALSE)</f>
        <v>6-7</v>
      </c>
    </row>
    <row r="687" ht="15.75" customHeight="1">
      <c r="A687" s="1" t="s">
        <v>29</v>
      </c>
      <c r="B687" s="1" t="s">
        <v>323</v>
      </c>
      <c r="C687" s="1" t="s">
        <v>11</v>
      </c>
      <c r="D687" s="5">
        <v>45713.0</v>
      </c>
      <c r="G687" s="1">
        <f>VLOOKUP(B687,'old-aw-skill-plan'!A:I,7,FALSE)</f>
        <v>6</v>
      </c>
      <c r="H687" s="1" t="str">
        <f>VLOOKUP(B687,'old-aw-skill-plan'!A:I,9,FALSE)</f>
        <v>6-7</v>
      </c>
    </row>
    <row r="688" ht="15.75" customHeight="1">
      <c r="A688" s="1" t="s">
        <v>101</v>
      </c>
      <c r="B688" s="1" t="s">
        <v>34</v>
      </c>
      <c r="C688" s="1" t="s">
        <v>11</v>
      </c>
      <c r="D688" s="5">
        <v>45712.0</v>
      </c>
      <c r="G688" s="1">
        <f>VLOOKUP(B688,'old-aw-skill-plan'!A:I,7,FALSE)</f>
        <v>4</v>
      </c>
      <c r="H688" s="1" t="str">
        <f>VLOOKUP(B688,'old-aw-skill-plan'!A:I,9,FALSE)</f>
        <v>4-1</v>
      </c>
    </row>
    <row r="689" ht="15.75" customHeight="1">
      <c r="A689" s="1" t="s">
        <v>29</v>
      </c>
      <c r="B689" s="1" t="s">
        <v>323</v>
      </c>
      <c r="C689" s="1" t="s">
        <v>11</v>
      </c>
      <c r="D689" s="5">
        <v>45711.0</v>
      </c>
      <c r="G689" s="1">
        <f>VLOOKUP(B689,'old-aw-skill-plan'!A:I,7,FALSE)</f>
        <v>6</v>
      </c>
      <c r="H689" s="1" t="str">
        <f>VLOOKUP(B689,'old-aw-skill-plan'!A:I,9,FALSE)</f>
        <v>6-7</v>
      </c>
    </row>
    <row r="690" ht="15.75" customHeight="1">
      <c r="A690" s="1" t="s">
        <v>29</v>
      </c>
      <c r="B690" s="1" t="s">
        <v>323</v>
      </c>
      <c r="C690" s="1" t="s">
        <v>11</v>
      </c>
      <c r="D690" s="5">
        <v>45709.0</v>
      </c>
      <c r="G690" s="1">
        <f>VLOOKUP(B690,'old-aw-skill-plan'!A:I,7,FALSE)</f>
        <v>6</v>
      </c>
      <c r="H690" s="1" t="str">
        <f>VLOOKUP(B690,'old-aw-skill-plan'!A:I,9,FALSE)</f>
        <v>6-7</v>
      </c>
    </row>
    <row r="691" ht="15.75" customHeight="1">
      <c r="A691" s="1" t="s">
        <v>179</v>
      </c>
      <c r="B691" s="1" t="s">
        <v>104</v>
      </c>
      <c r="C691" s="1" t="s">
        <v>11</v>
      </c>
      <c r="D691" s="5">
        <v>45709.0</v>
      </c>
      <c r="G691" s="1">
        <f>VLOOKUP(B691,'old-aw-skill-plan'!A:I,7,FALSE)</f>
        <v>5</v>
      </c>
      <c r="H691" s="1" t="str">
        <f>VLOOKUP(B691,'old-aw-skill-plan'!A:I,9,FALSE)</f>
        <v>5-2</v>
      </c>
    </row>
    <row r="692" ht="15.75" customHeight="1">
      <c r="A692" s="1" t="s">
        <v>100</v>
      </c>
      <c r="B692" s="1" t="s">
        <v>324</v>
      </c>
      <c r="C692" s="1" t="s">
        <v>11</v>
      </c>
      <c r="D692" s="5">
        <v>45709.0</v>
      </c>
      <c r="G692" s="1" t="str">
        <f>VLOOKUP(B692,'old-aw-skill-plan'!A:I,7,FALSE)</f>
        <v>#N/A</v>
      </c>
      <c r="H692" s="1" t="str">
        <f>VLOOKUP(B692,'old-aw-skill-plan'!A:I,9,FALSE)</f>
        <v>#N/A</v>
      </c>
    </row>
    <row r="693" ht="15.75" customHeight="1">
      <c r="A693" s="1" t="s">
        <v>26</v>
      </c>
      <c r="B693" s="1" t="s">
        <v>34</v>
      </c>
      <c r="C693" s="1" t="s">
        <v>11</v>
      </c>
      <c r="D693" s="5">
        <v>45708.0</v>
      </c>
      <c r="G693" s="1">
        <f>VLOOKUP(B693,'old-aw-skill-plan'!A:I,7,FALSE)</f>
        <v>4</v>
      </c>
      <c r="H693" s="1" t="str">
        <f>VLOOKUP(B693,'old-aw-skill-plan'!A:I,9,FALSE)</f>
        <v>4-1</v>
      </c>
    </row>
    <row r="694" ht="15.75" customHeight="1">
      <c r="A694" s="1" t="s">
        <v>29</v>
      </c>
      <c r="B694" s="1" t="s">
        <v>321</v>
      </c>
      <c r="C694" s="1" t="s">
        <v>11</v>
      </c>
      <c r="D694" s="5">
        <v>45708.0</v>
      </c>
      <c r="G694" s="1">
        <f>VLOOKUP(B694,'old-aw-skill-plan'!A:I,7,FALSE)</f>
        <v>6</v>
      </c>
      <c r="H694" s="1" t="str">
        <f>VLOOKUP(B694,'old-aw-skill-plan'!A:I,9,FALSE)</f>
        <v>6-5</v>
      </c>
    </row>
    <row r="695" ht="15.75" customHeight="1">
      <c r="A695" s="1" t="s">
        <v>29</v>
      </c>
      <c r="B695" s="1" t="s">
        <v>137</v>
      </c>
      <c r="C695" s="1" t="s">
        <v>11</v>
      </c>
      <c r="D695" s="5">
        <v>45708.0</v>
      </c>
      <c r="G695" s="1">
        <f>VLOOKUP(B695,'old-aw-skill-plan'!A:I,7,FALSE)</f>
        <v>6</v>
      </c>
      <c r="H695" s="1" t="str">
        <f>VLOOKUP(B695,'old-aw-skill-plan'!A:I,9,FALSE)</f>
        <v>6-6</v>
      </c>
    </row>
    <row r="696" ht="15.75" customHeight="1">
      <c r="A696" s="1" t="s">
        <v>64</v>
      </c>
      <c r="B696" s="1" t="s">
        <v>104</v>
      </c>
      <c r="C696" s="1" t="s">
        <v>11</v>
      </c>
      <c r="D696" s="5">
        <v>45708.0</v>
      </c>
      <c r="G696" s="1">
        <f>VLOOKUP(B696,'old-aw-skill-plan'!A:I,7,FALSE)</f>
        <v>5</v>
      </c>
      <c r="H696" s="1" t="str">
        <f>VLOOKUP(B696,'old-aw-skill-plan'!A:I,9,FALSE)</f>
        <v>5-2</v>
      </c>
    </row>
    <row r="697" ht="15.75" customHeight="1">
      <c r="A697" s="1" t="s">
        <v>95</v>
      </c>
      <c r="B697" s="1" t="s">
        <v>28</v>
      </c>
      <c r="C697" s="1" t="s">
        <v>11</v>
      </c>
      <c r="D697" s="5">
        <v>45708.0</v>
      </c>
      <c r="G697" s="1">
        <f>VLOOKUP(B697,'old-aw-skill-plan'!A:I,7,FALSE)</f>
        <v>3</v>
      </c>
      <c r="H697" s="1" t="str">
        <f>VLOOKUP(B697,'old-aw-skill-plan'!A:I,9,FALSE)</f>
        <v>3-4</v>
      </c>
    </row>
    <row r="698" ht="15.75" customHeight="1">
      <c r="A698" s="1" t="s">
        <v>100</v>
      </c>
      <c r="B698" s="1" t="s">
        <v>324</v>
      </c>
      <c r="C698" s="1" t="s">
        <v>11</v>
      </c>
      <c r="D698" s="5">
        <v>45708.0</v>
      </c>
      <c r="G698" s="1" t="str">
        <f>VLOOKUP(B698,'old-aw-skill-plan'!A:I,7,FALSE)</f>
        <v>#N/A</v>
      </c>
      <c r="H698" s="1" t="str">
        <f>VLOOKUP(B698,'old-aw-skill-plan'!A:I,9,FALSE)</f>
        <v>#N/A</v>
      </c>
    </row>
    <row r="699" ht="15.75" customHeight="1">
      <c r="A699" s="1" t="s">
        <v>101</v>
      </c>
      <c r="B699" s="1" t="s">
        <v>34</v>
      </c>
      <c r="C699" s="1" t="s">
        <v>11</v>
      </c>
      <c r="D699" s="5">
        <v>45708.0</v>
      </c>
      <c r="G699" s="1">
        <f>VLOOKUP(B699,'old-aw-skill-plan'!A:I,7,FALSE)</f>
        <v>4</v>
      </c>
      <c r="H699" s="1" t="str">
        <f>VLOOKUP(B699,'old-aw-skill-plan'!A:I,9,FALSE)</f>
        <v>4-1</v>
      </c>
    </row>
    <row r="700" ht="15.75" customHeight="1">
      <c r="A700" s="1" t="s">
        <v>29</v>
      </c>
      <c r="B700" s="1" t="s">
        <v>321</v>
      </c>
      <c r="C700" s="1" t="s">
        <v>11</v>
      </c>
      <c r="D700" s="5">
        <v>45707.0</v>
      </c>
      <c r="G700" s="1">
        <f>VLOOKUP(B700,'old-aw-skill-plan'!A:I,7,FALSE)</f>
        <v>6</v>
      </c>
      <c r="H700" s="1" t="str">
        <f>VLOOKUP(B700,'old-aw-skill-plan'!A:I,9,FALSE)</f>
        <v>6-5</v>
      </c>
    </row>
    <row r="701" ht="15.75" customHeight="1">
      <c r="A701" s="1" t="s">
        <v>60</v>
      </c>
      <c r="B701" s="1" t="s">
        <v>104</v>
      </c>
      <c r="C701" s="1" t="s">
        <v>11</v>
      </c>
      <c r="D701" s="5">
        <v>45707.0</v>
      </c>
      <c r="G701" s="1">
        <f>VLOOKUP(B701,'old-aw-skill-plan'!A:I,7,FALSE)</f>
        <v>5</v>
      </c>
      <c r="H701" s="1" t="str">
        <f>VLOOKUP(B701,'old-aw-skill-plan'!A:I,9,FALSE)</f>
        <v>5-2</v>
      </c>
    </row>
    <row r="702" ht="15.75" customHeight="1">
      <c r="A702" s="1" t="s">
        <v>63</v>
      </c>
      <c r="B702" s="1" t="s">
        <v>83</v>
      </c>
      <c r="C702" s="1" t="s">
        <v>11</v>
      </c>
      <c r="D702" s="5">
        <v>45707.0</v>
      </c>
      <c r="G702" s="1">
        <f>VLOOKUP(B702,'old-aw-skill-plan'!A:I,7,FALSE)</f>
        <v>5</v>
      </c>
      <c r="H702" s="1" t="str">
        <f>VLOOKUP(B702,'old-aw-skill-plan'!A:I,9,FALSE)</f>
        <v>5-9</v>
      </c>
    </row>
    <row r="703" ht="15.75" customHeight="1">
      <c r="A703" s="1" t="s">
        <v>65</v>
      </c>
      <c r="B703" s="1" t="s">
        <v>23</v>
      </c>
      <c r="C703" s="1" t="s">
        <v>11</v>
      </c>
      <c r="D703" s="5">
        <v>45707.0</v>
      </c>
      <c r="G703" s="1">
        <f>VLOOKUP(B703,'old-aw-skill-plan'!A:I,7,FALSE)</f>
        <v>4</v>
      </c>
      <c r="H703" s="1" t="str">
        <f>VLOOKUP(B703,'old-aw-skill-plan'!A:I,9,FALSE)</f>
        <v>4-5</v>
      </c>
    </row>
    <row r="704" ht="15.75" customHeight="1">
      <c r="A704" s="1" t="s">
        <v>68</v>
      </c>
      <c r="B704" s="1" t="s">
        <v>48</v>
      </c>
      <c r="C704" s="1" t="s">
        <v>11</v>
      </c>
      <c r="D704" s="5">
        <v>45707.0</v>
      </c>
      <c r="G704" s="1">
        <f>VLOOKUP(B704,'old-aw-skill-plan'!A:I,7,FALSE)</f>
        <v>3</v>
      </c>
      <c r="H704" s="1" t="str">
        <f>VLOOKUP(B704,'old-aw-skill-plan'!A:I,9,FALSE)</f>
        <v>3-6</v>
      </c>
    </row>
    <row r="705" ht="15.75" customHeight="1">
      <c r="A705" s="1" t="s">
        <v>74</v>
      </c>
      <c r="B705" s="1" t="s">
        <v>104</v>
      </c>
      <c r="C705" s="1" t="s">
        <v>11</v>
      </c>
      <c r="D705" s="5">
        <v>45707.0</v>
      </c>
      <c r="G705" s="1">
        <f>VLOOKUP(B705,'old-aw-skill-plan'!A:I,7,FALSE)</f>
        <v>5</v>
      </c>
      <c r="H705" s="1" t="str">
        <f>VLOOKUP(B705,'old-aw-skill-plan'!A:I,9,FALSE)</f>
        <v>5-2</v>
      </c>
    </row>
    <row r="706" ht="15.75" customHeight="1">
      <c r="A706" s="1" t="s">
        <v>74</v>
      </c>
      <c r="B706" s="1" t="s">
        <v>325</v>
      </c>
      <c r="C706" s="1" t="s">
        <v>11</v>
      </c>
      <c r="D706" s="5">
        <v>45707.0</v>
      </c>
      <c r="G706" s="1" t="str">
        <f>VLOOKUP(B706,'old-aw-skill-plan'!A:I,7,FALSE)</f>
        <v>#N/A</v>
      </c>
      <c r="H706" s="1" t="str">
        <f>VLOOKUP(B706,'old-aw-skill-plan'!A:I,9,FALSE)</f>
        <v>#N/A</v>
      </c>
    </row>
    <row r="707" ht="15.75" customHeight="1">
      <c r="A707" s="1" t="s">
        <v>75</v>
      </c>
      <c r="B707" s="1" t="s">
        <v>139</v>
      </c>
      <c r="C707" s="1" t="s">
        <v>11</v>
      </c>
      <c r="D707" s="5">
        <v>45707.0</v>
      </c>
      <c r="G707" s="1">
        <f>VLOOKUP(B707,'old-aw-skill-plan'!A:I,7,FALSE)</f>
        <v>6</v>
      </c>
      <c r="H707" s="1" t="str">
        <f>VLOOKUP(B707,'old-aw-skill-plan'!A:I,9,FALSE)</f>
        <v>6-8</v>
      </c>
    </row>
    <row r="708" ht="15.75" customHeight="1">
      <c r="A708" s="1" t="s">
        <v>77</v>
      </c>
      <c r="B708" s="1" t="s">
        <v>23</v>
      </c>
      <c r="C708" s="1" t="s">
        <v>11</v>
      </c>
      <c r="D708" s="5">
        <v>45707.0</v>
      </c>
      <c r="G708" s="1">
        <f>VLOOKUP(B708,'old-aw-skill-plan'!A:I,7,FALSE)</f>
        <v>4</v>
      </c>
      <c r="H708" s="1" t="str">
        <f>VLOOKUP(B708,'old-aw-skill-plan'!A:I,9,FALSE)</f>
        <v>4-5</v>
      </c>
    </row>
    <row r="709" ht="15.75" customHeight="1">
      <c r="A709" s="1" t="s">
        <v>326</v>
      </c>
      <c r="B709" s="1" t="s">
        <v>83</v>
      </c>
      <c r="C709" s="1" t="s">
        <v>11</v>
      </c>
      <c r="D709" s="5">
        <v>45707.0</v>
      </c>
      <c r="G709" s="1">
        <f>VLOOKUP(B709,'old-aw-skill-plan'!A:I,7,FALSE)</f>
        <v>5</v>
      </c>
      <c r="H709" s="1" t="str">
        <f>VLOOKUP(B709,'old-aw-skill-plan'!A:I,9,FALSE)</f>
        <v>5-9</v>
      </c>
    </row>
    <row r="710" ht="15.75" customHeight="1">
      <c r="A710" s="1" t="s">
        <v>90</v>
      </c>
      <c r="B710" s="1" t="s">
        <v>28</v>
      </c>
      <c r="C710" s="1" t="s">
        <v>11</v>
      </c>
      <c r="D710" s="5">
        <v>45707.0</v>
      </c>
      <c r="G710" s="1">
        <f>VLOOKUP(B710,'old-aw-skill-plan'!A:I,7,FALSE)</f>
        <v>3</v>
      </c>
      <c r="H710" s="1" t="str">
        <f>VLOOKUP(B710,'old-aw-skill-plan'!A:I,9,FALSE)</f>
        <v>3-4</v>
      </c>
    </row>
    <row r="711" ht="15.75" customHeight="1">
      <c r="A711" s="1" t="s">
        <v>29</v>
      </c>
      <c r="B711" s="1" t="s">
        <v>136</v>
      </c>
      <c r="C711" s="1" t="s">
        <v>11</v>
      </c>
      <c r="D711" s="5">
        <v>45706.0</v>
      </c>
      <c r="G711" s="1">
        <f>VLOOKUP(B711,'old-aw-skill-plan'!A:I,7,FALSE)</f>
        <v>6</v>
      </c>
      <c r="H711" s="1" t="str">
        <f>VLOOKUP(B711,'old-aw-skill-plan'!A:I,9,FALSE)</f>
        <v>6-4</v>
      </c>
    </row>
    <row r="712" ht="15.75" customHeight="1">
      <c r="A712" s="1" t="s">
        <v>39</v>
      </c>
      <c r="B712" s="1" t="s">
        <v>44</v>
      </c>
      <c r="C712" s="1" t="s">
        <v>11</v>
      </c>
      <c r="D712" s="5">
        <v>45706.0</v>
      </c>
      <c r="G712" s="1">
        <f>VLOOKUP(B712,'old-aw-skill-plan'!A:I,7,FALSE)</f>
        <v>5</v>
      </c>
      <c r="H712" s="1" t="str">
        <f>VLOOKUP(B712,'old-aw-skill-plan'!A:I,9,FALSE)</f>
        <v>5-1</v>
      </c>
    </row>
    <row r="713" ht="15.75" customHeight="1">
      <c r="A713" s="1" t="s">
        <v>60</v>
      </c>
      <c r="B713" s="1" t="s">
        <v>104</v>
      </c>
      <c r="C713" s="1" t="s">
        <v>11</v>
      </c>
      <c r="D713" s="5">
        <v>45706.0</v>
      </c>
      <c r="G713" s="1">
        <f>VLOOKUP(B713,'old-aw-skill-plan'!A:I,7,FALSE)</f>
        <v>5</v>
      </c>
      <c r="H713" s="1" t="str">
        <f>VLOOKUP(B713,'old-aw-skill-plan'!A:I,9,FALSE)</f>
        <v>5-2</v>
      </c>
    </row>
    <row r="714" ht="15.75" customHeight="1">
      <c r="A714" s="1" t="s">
        <v>68</v>
      </c>
      <c r="B714" s="1" t="s">
        <v>48</v>
      </c>
      <c r="C714" s="1" t="s">
        <v>11</v>
      </c>
      <c r="D714" s="5">
        <v>45706.0</v>
      </c>
      <c r="G714" s="1">
        <f>VLOOKUP(B714,'old-aw-skill-plan'!A:I,7,FALSE)</f>
        <v>3</v>
      </c>
      <c r="H714" s="1" t="str">
        <f>VLOOKUP(B714,'old-aw-skill-plan'!A:I,9,FALSE)</f>
        <v>3-6</v>
      </c>
    </row>
    <row r="715" ht="15.75" customHeight="1">
      <c r="A715" s="1" t="s">
        <v>75</v>
      </c>
      <c r="B715" s="1" t="s">
        <v>323</v>
      </c>
      <c r="C715" s="1" t="s">
        <v>11</v>
      </c>
      <c r="D715" s="5">
        <v>45706.0</v>
      </c>
      <c r="G715" s="1">
        <f>VLOOKUP(B715,'old-aw-skill-plan'!A:I,7,FALSE)</f>
        <v>6</v>
      </c>
      <c r="H715" s="1" t="str">
        <f>VLOOKUP(B715,'old-aw-skill-plan'!A:I,9,FALSE)</f>
        <v>6-7</v>
      </c>
    </row>
    <row r="716" ht="15.75" customHeight="1">
      <c r="A716" s="1" t="s">
        <v>77</v>
      </c>
      <c r="B716" s="1" t="s">
        <v>21</v>
      </c>
      <c r="C716" s="1" t="s">
        <v>11</v>
      </c>
      <c r="D716" s="5">
        <v>45706.0</v>
      </c>
      <c r="G716" s="1">
        <f>VLOOKUP(B716,'old-aw-skill-plan'!A:I,7,FALSE)</f>
        <v>4</v>
      </c>
      <c r="H716" s="1" t="str">
        <f>VLOOKUP(B716,'old-aw-skill-plan'!A:I,9,FALSE)</f>
        <v>4-6</v>
      </c>
    </row>
    <row r="717" ht="15.75" customHeight="1">
      <c r="A717" s="1" t="s">
        <v>100</v>
      </c>
      <c r="B717" s="1" t="s">
        <v>324</v>
      </c>
      <c r="C717" s="1" t="s">
        <v>11</v>
      </c>
      <c r="D717" s="5">
        <v>45706.0</v>
      </c>
      <c r="G717" s="1" t="str">
        <f>VLOOKUP(B717,'old-aw-skill-plan'!A:I,7,FALSE)</f>
        <v>#N/A</v>
      </c>
      <c r="H717" s="1" t="str">
        <f>VLOOKUP(B717,'old-aw-skill-plan'!A:I,9,FALSE)</f>
        <v>#N/A</v>
      </c>
    </row>
    <row r="718" ht="15.75" customHeight="1">
      <c r="A718" s="1" t="s">
        <v>326</v>
      </c>
      <c r="B718" s="1" t="s">
        <v>83</v>
      </c>
      <c r="C718" s="1" t="s">
        <v>11</v>
      </c>
      <c r="D718" s="5">
        <v>45706.0</v>
      </c>
      <c r="G718" s="1">
        <f>VLOOKUP(B718,'old-aw-skill-plan'!A:I,7,FALSE)</f>
        <v>5</v>
      </c>
      <c r="H718" s="1" t="str">
        <f>VLOOKUP(B718,'old-aw-skill-plan'!A:I,9,FALSE)</f>
        <v>5-9</v>
      </c>
    </row>
    <row r="719" ht="15.75" customHeight="1">
      <c r="A719" s="1" t="s">
        <v>24</v>
      </c>
      <c r="B719" s="1" t="s">
        <v>314</v>
      </c>
      <c r="C719" s="1" t="s">
        <v>11</v>
      </c>
      <c r="D719" s="5">
        <v>45705.0</v>
      </c>
      <c r="G719" s="1">
        <f>VLOOKUP(B719,'old-aw-skill-plan'!A:I,7,FALSE)</f>
        <v>5</v>
      </c>
      <c r="H719" s="1" t="str">
        <f>VLOOKUP(B719,'old-aw-skill-plan'!A:I,9,FALSE)</f>
        <v>5-10</v>
      </c>
    </row>
    <row r="720" ht="15.75" customHeight="1">
      <c r="A720" s="1" t="s">
        <v>100</v>
      </c>
      <c r="B720" s="1" t="s">
        <v>324</v>
      </c>
      <c r="C720" s="1" t="s">
        <v>11</v>
      </c>
      <c r="D720" s="5">
        <v>45705.0</v>
      </c>
      <c r="G720" s="1" t="str">
        <f>VLOOKUP(B720,'old-aw-skill-plan'!A:I,7,FALSE)</f>
        <v>#N/A</v>
      </c>
      <c r="H720" s="1" t="str">
        <f>VLOOKUP(B720,'old-aw-skill-plan'!A:I,9,FALSE)</f>
        <v>#N/A</v>
      </c>
    </row>
    <row r="721" ht="15.75" customHeight="1">
      <c r="A721" s="1" t="s">
        <v>82</v>
      </c>
      <c r="B721" s="1" t="s">
        <v>104</v>
      </c>
      <c r="C721" s="1" t="s">
        <v>11</v>
      </c>
      <c r="D721" s="5">
        <v>45705.0</v>
      </c>
      <c r="G721" s="1">
        <f>VLOOKUP(B721,'old-aw-skill-plan'!A:I,7,FALSE)</f>
        <v>5</v>
      </c>
      <c r="H721" s="1" t="str">
        <f>VLOOKUP(B721,'old-aw-skill-plan'!A:I,9,FALSE)</f>
        <v>5-2</v>
      </c>
    </row>
    <row r="722" ht="15.75" customHeight="1">
      <c r="A722" s="1" t="s">
        <v>46</v>
      </c>
      <c r="B722" s="1" t="s">
        <v>34</v>
      </c>
      <c r="C722" s="1" t="s">
        <v>11</v>
      </c>
      <c r="D722" s="5">
        <v>45703.0</v>
      </c>
      <c r="G722" s="1">
        <f>VLOOKUP(B722,'old-aw-skill-plan'!A:I,7,FALSE)</f>
        <v>4</v>
      </c>
      <c r="H722" s="1" t="str">
        <f>VLOOKUP(B722,'old-aw-skill-plan'!A:I,9,FALSE)</f>
        <v>4-1</v>
      </c>
    </row>
    <row r="723" ht="15.75" customHeight="1">
      <c r="A723" s="1" t="s">
        <v>183</v>
      </c>
      <c r="B723" s="1" t="s">
        <v>322</v>
      </c>
      <c r="C723" s="1" t="s">
        <v>11</v>
      </c>
      <c r="D723" s="5">
        <v>45703.0</v>
      </c>
      <c r="G723" s="1">
        <f>VLOOKUP(B723,'old-aw-skill-plan'!A:I,7,FALSE)</f>
        <v>8</v>
      </c>
      <c r="H723" s="1" t="str">
        <f>VLOOKUP(B723,'old-aw-skill-plan'!A:I,9,FALSE)</f>
        <v>8-5</v>
      </c>
    </row>
    <row r="724" ht="15.75" customHeight="1">
      <c r="A724" s="1" t="s">
        <v>109</v>
      </c>
      <c r="B724" s="1" t="s">
        <v>61</v>
      </c>
      <c r="C724" s="1" t="s">
        <v>11</v>
      </c>
      <c r="D724" s="5">
        <v>45703.0</v>
      </c>
      <c r="G724" s="1">
        <f>VLOOKUP(B724,'old-aw-skill-plan'!A:I,7,FALSE)</f>
        <v>4</v>
      </c>
      <c r="H724" s="1" t="str">
        <f>VLOOKUP(B724,'old-aw-skill-plan'!A:I,9,FALSE)</f>
        <v>4-4</v>
      </c>
    </row>
    <row r="725" ht="15.75" customHeight="1">
      <c r="A725" s="1" t="s">
        <v>53</v>
      </c>
      <c r="B725" s="1" t="s">
        <v>10</v>
      </c>
      <c r="C725" s="1" t="s">
        <v>11</v>
      </c>
      <c r="D725" s="5">
        <v>45702.0</v>
      </c>
      <c r="G725" s="1">
        <f>VLOOKUP(B725,'old-aw-skill-plan'!A:I,7,FALSE)</f>
        <v>3</v>
      </c>
      <c r="H725" s="1" t="str">
        <f>VLOOKUP(B725,'old-aw-skill-plan'!A:I,9,FALSE)</f>
        <v>3-1</v>
      </c>
    </row>
    <row r="726" ht="15.75" customHeight="1">
      <c r="A726" s="1" t="s">
        <v>60</v>
      </c>
      <c r="B726" s="1" t="s">
        <v>104</v>
      </c>
      <c r="C726" s="1" t="s">
        <v>11</v>
      </c>
      <c r="D726" s="5">
        <v>45702.0</v>
      </c>
      <c r="G726" s="1">
        <f>VLOOKUP(B726,'old-aw-skill-plan'!A:I,7,FALSE)</f>
        <v>5</v>
      </c>
      <c r="H726" s="1" t="str">
        <f>VLOOKUP(B726,'old-aw-skill-plan'!A:I,9,FALSE)</f>
        <v>5-2</v>
      </c>
    </row>
    <row r="727" ht="15.75" customHeight="1">
      <c r="A727" s="1" t="s">
        <v>63</v>
      </c>
      <c r="B727" s="1" t="s">
        <v>83</v>
      </c>
      <c r="C727" s="1" t="s">
        <v>11</v>
      </c>
      <c r="D727" s="5">
        <v>45702.0</v>
      </c>
      <c r="G727" s="1">
        <f>VLOOKUP(B727,'old-aw-skill-plan'!A:I,7,FALSE)</f>
        <v>5</v>
      </c>
      <c r="H727" s="1" t="str">
        <f>VLOOKUP(B727,'old-aw-skill-plan'!A:I,9,FALSE)</f>
        <v>5-9</v>
      </c>
    </row>
    <row r="728" ht="15.75" customHeight="1">
      <c r="A728" s="1" t="s">
        <v>68</v>
      </c>
      <c r="B728" s="1" t="s">
        <v>48</v>
      </c>
      <c r="C728" s="1" t="s">
        <v>11</v>
      </c>
      <c r="D728" s="5">
        <v>45702.0</v>
      </c>
      <c r="G728" s="1">
        <f>VLOOKUP(B728,'old-aw-skill-plan'!A:I,7,FALSE)</f>
        <v>3</v>
      </c>
      <c r="H728" s="1" t="str">
        <f>VLOOKUP(B728,'old-aw-skill-plan'!A:I,9,FALSE)</f>
        <v>3-6</v>
      </c>
    </row>
    <row r="729" ht="15.75" customHeight="1">
      <c r="A729" s="1" t="s">
        <v>186</v>
      </c>
      <c r="B729" s="1" t="s">
        <v>34</v>
      </c>
      <c r="C729" s="1" t="s">
        <v>11</v>
      </c>
      <c r="D729" s="5">
        <v>45702.0</v>
      </c>
      <c r="G729" s="1">
        <f>VLOOKUP(B729,'old-aw-skill-plan'!A:I,7,FALSE)</f>
        <v>4</v>
      </c>
      <c r="H729" s="1" t="str">
        <f>VLOOKUP(B729,'old-aw-skill-plan'!A:I,9,FALSE)</f>
        <v>4-1</v>
      </c>
    </row>
    <row r="730" ht="15.75" customHeight="1">
      <c r="A730" s="1" t="s">
        <v>186</v>
      </c>
      <c r="B730" s="1" t="s">
        <v>44</v>
      </c>
      <c r="C730" s="1" t="s">
        <v>11</v>
      </c>
      <c r="D730" s="5">
        <v>45702.0</v>
      </c>
      <c r="G730" s="1">
        <f>VLOOKUP(B730,'old-aw-skill-plan'!A:I,7,FALSE)</f>
        <v>5</v>
      </c>
      <c r="H730" s="1" t="str">
        <f>VLOOKUP(B730,'old-aw-skill-plan'!A:I,9,FALSE)</f>
        <v>5-1</v>
      </c>
    </row>
    <row r="731" ht="15.75" customHeight="1">
      <c r="A731" s="1" t="s">
        <v>75</v>
      </c>
      <c r="B731" s="1" t="s">
        <v>323</v>
      </c>
      <c r="C731" s="1" t="s">
        <v>11</v>
      </c>
      <c r="D731" s="5">
        <v>45702.0</v>
      </c>
      <c r="G731" s="1">
        <f>VLOOKUP(B731,'old-aw-skill-plan'!A:I,7,FALSE)</f>
        <v>6</v>
      </c>
      <c r="H731" s="1" t="str">
        <f>VLOOKUP(B731,'old-aw-skill-plan'!A:I,9,FALSE)</f>
        <v>6-7</v>
      </c>
    </row>
    <row r="732" ht="15.75" customHeight="1">
      <c r="A732" s="1" t="s">
        <v>100</v>
      </c>
      <c r="B732" s="1" t="s">
        <v>324</v>
      </c>
      <c r="C732" s="1" t="s">
        <v>11</v>
      </c>
      <c r="D732" s="5">
        <v>45702.0</v>
      </c>
      <c r="G732" s="1" t="str">
        <f>VLOOKUP(B732,'old-aw-skill-plan'!A:I,7,FALSE)</f>
        <v>#N/A</v>
      </c>
      <c r="H732" s="1" t="str">
        <f>VLOOKUP(B732,'old-aw-skill-plan'!A:I,9,FALSE)</f>
        <v>#N/A</v>
      </c>
    </row>
    <row r="733" ht="15.75" customHeight="1">
      <c r="A733" s="1" t="s">
        <v>109</v>
      </c>
      <c r="B733" s="1" t="s">
        <v>61</v>
      </c>
      <c r="C733" s="1" t="s">
        <v>11</v>
      </c>
      <c r="D733" s="5">
        <v>45702.0</v>
      </c>
      <c r="G733" s="1">
        <f>VLOOKUP(B733,'old-aw-skill-plan'!A:I,7,FALSE)</f>
        <v>4</v>
      </c>
      <c r="H733" s="1" t="str">
        <f>VLOOKUP(B733,'old-aw-skill-plan'!A:I,9,FALSE)</f>
        <v>4-4</v>
      </c>
    </row>
    <row r="734" ht="15.75" customHeight="1">
      <c r="A734" s="1" t="s">
        <v>52</v>
      </c>
      <c r="B734" s="1" t="s">
        <v>28</v>
      </c>
      <c r="C734" s="1" t="s">
        <v>11</v>
      </c>
      <c r="D734" s="5">
        <v>45701.0</v>
      </c>
      <c r="G734" s="1">
        <f>VLOOKUP(B734,'old-aw-skill-plan'!A:I,7,FALSE)</f>
        <v>3</v>
      </c>
      <c r="H734" s="1" t="str">
        <f>VLOOKUP(B734,'old-aw-skill-plan'!A:I,9,FALSE)</f>
        <v>3-4</v>
      </c>
    </row>
    <row r="735" ht="15.75" customHeight="1">
      <c r="A735" s="1" t="s">
        <v>52</v>
      </c>
      <c r="B735" s="1" t="s">
        <v>48</v>
      </c>
      <c r="C735" s="1" t="s">
        <v>11</v>
      </c>
      <c r="D735" s="5">
        <v>45701.0</v>
      </c>
      <c r="G735" s="1">
        <f>VLOOKUP(B735,'old-aw-skill-plan'!A:I,7,FALSE)</f>
        <v>3</v>
      </c>
      <c r="H735" s="1" t="str">
        <f>VLOOKUP(B735,'old-aw-skill-plan'!A:I,9,FALSE)</f>
        <v>3-6</v>
      </c>
    </row>
    <row r="736" ht="15.75" customHeight="1">
      <c r="A736" s="1" t="s">
        <v>62</v>
      </c>
      <c r="B736" s="1" t="s">
        <v>44</v>
      </c>
      <c r="C736" s="1" t="s">
        <v>11</v>
      </c>
      <c r="D736" s="5">
        <v>45701.0</v>
      </c>
      <c r="G736" s="1">
        <f>VLOOKUP(B736,'old-aw-skill-plan'!A:I,7,FALSE)</f>
        <v>5</v>
      </c>
      <c r="H736" s="1" t="str">
        <f>VLOOKUP(B736,'old-aw-skill-plan'!A:I,9,FALSE)</f>
        <v>5-1</v>
      </c>
    </row>
    <row r="737" ht="15.75" customHeight="1">
      <c r="A737" s="1" t="s">
        <v>64</v>
      </c>
      <c r="B737" s="1" t="s">
        <v>104</v>
      </c>
      <c r="C737" s="1" t="s">
        <v>11</v>
      </c>
      <c r="D737" s="5">
        <v>45701.0</v>
      </c>
      <c r="G737" s="1">
        <f>VLOOKUP(B737,'old-aw-skill-plan'!A:I,7,FALSE)</f>
        <v>5</v>
      </c>
      <c r="H737" s="1" t="str">
        <f>VLOOKUP(B737,'old-aw-skill-plan'!A:I,9,FALSE)</f>
        <v>5-2</v>
      </c>
    </row>
    <row r="738" ht="15.75" customHeight="1">
      <c r="A738" s="1" t="s">
        <v>39</v>
      </c>
      <c r="B738" s="1" t="s">
        <v>66</v>
      </c>
      <c r="C738" s="1" t="s">
        <v>11</v>
      </c>
      <c r="D738" s="5">
        <v>45701.0</v>
      </c>
      <c r="G738" s="1">
        <f>VLOOKUP(B738,'old-aw-skill-plan'!A:I,7,FALSE)</f>
        <v>4</v>
      </c>
      <c r="H738" s="1" t="str">
        <f>VLOOKUP(B738,'old-aw-skill-plan'!A:I,9,FALSE)</f>
        <v>4-9</v>
      </c>
    </row>
    <row r="739" ht="15.75" customHeight="1">
      <c r="A739" s="1" t="s">
        <v>39</v>
      </c>
      <c r="B739" s="1" t="s">
        <v>44</v>
      </c>
      <c r="C739" s="1" t="s">
        <v>11</v>
      </c>
      <c r="D739" s="5">
        <v>45701.0</v>
      </c>
      <c r="G739" s="1">
        <f>VLOOKUP(B739,'old-aw-skill-plan'!A:I,7,FALSE)</f>
        <v>5</v>
      </c>
      <c r="H739" s="1" t="str">
        <f>VLOOKUP(B739,'old-aw-skill-plan'!A:I,9,FALSE)</f>
        <v>5-1</v>
      </c>
    </row>
    <row r="740" ht="15.75" customHeight="1">
      <c r="A740" s="1" t="s">
        <v>53</v>
      </c>
      <c r="B740" s="1" t="s">
        <v>10</v>
      </c>
      <c r="C740" s="1" t="s">
        <v>11</v>
      </c>
      <c r="D740" s="5">
        <v>45701.0</v>
      </c>
      <c r="G740" s="1">
        <f>VLOOKUP(B740,'old-aw-skill-plan'!A:I,7,FALSE)</f>
        <v>3</v>
      </c>
      <c r="H740" s="1" t="str">
        <f>VLOOKUP(B740,'old-aw-skill-plan'!A:I,9,FALSE)</f>
        <v>3-1</v>
      </c>
    </row>
    <row r="741" ht="15.75" customHeight="1">
      <c r="A741" s="1" t="s">
        <v>63</v>
      </c>
      <c r="B741" s="1" t="s">
        <v>83</v>
      </c>
      <c r="C741" s="1" t="s">
        <v>11</v>
      </c>
      <c r="D741" s="5">
        <v>45701.0</v>
      </c>
      <c r="G741" s="1">
        <f>VLOOKUP(B741,'old-aw-skill-plan'!A:I,7,FALSE)</f>
        <v>5</v>
      </c>
      <c r="H741" s="1" t="str">
        <f>VLOOKUP(B741,'old-aw-skill-plan'!A:I,9,FALSE)</f>
        <v>5-9</v>
      </c>
    </row>
    <row r="742" ht="15.75" customHeight="1">
      <c r="A742" s="1" t="s">
        <v>68</v>
      </c>
      <c r="B742" s="1" t="s">
        <v>48</v>
      </c>
      <c r="C742" s="1" t="s">
        <v>11</v>
      </c>
      <c r="D742" s="5">
        <v>45701.0</v>
      </c>
      <c r="G742" s="1">
        <f>VLOOKUP(B742,'old-aw-skill-plan'!A:I,7,FALSE)</f>
        <v>3</v>
      </c>
      <c r="H742" s="1" t="str">
        <f>VLOOKUP(B742,'old-aw-skill-plan'!A:I,9,FALSE)</f>
        <v>3-6</v>
      </c>
    </row>
    <row r="743" ht="15.75" customHeight="1">
      <c r="A743" s="1" t="s">
        <v>188</v>
      </c>
      <c r="B743" s="1" t="s">
        <v>34</v>
      </c>
      <c r="C743" s="1" t="s">
        <v>11</v>
      </c>
      <c r="D743" s="5">
        <v>45701.0</v>
      </c>
      <c r="G743" s="1">
        <f>VLOOKUP(B743,'old-aw-skill-plan'!A:I,7,FALSE)</f>
        <v>4</v>
      </c>
      <c r="H743" s="1" t="str">
        <f>VLOOKUP(B743,'old-aw-skill-plan'!A:I,9,FALSE)</f>
        <v>4-1</v>
      </c>
    </row>
    <row r="744" ht="15.75" customHeight="1">
      <c r="A744" s="1" t="s">
        <v>74</v>
      </c>
      <c r="B744" s="1" t="s">
        <v>104</v>
      </c>
      <c r="C744" s="1" t="s">
        <v>11</v>
      </c>
      <c r="D744" s="5">
        <v>45701.0</v>
      </c>
      <c r="G744" s="1">
        <f>VLOOKUP(B744,'old-aw-skill-plan'!A:I,7,FALSE)</f>
        <v>5</v>
      </c>
      <c r="H744" s="1" t="str">
        <f>VLOOKUP(B744,'old-aw-skill-plan'!A:I,9,FALSE)</f>
        <v>5-2</v>
      </c>
    </row>
    <row r="745" ht="15.75" customHeight="1">
      <c r="A745" s="1" t="s">
        <v>74</v>
      </c>
      <c r="B745" s="1" t="s">
        <v>325</v>
      </c>
      <c r="C745" s="1" t="s">
        <v>11</v>
      </c>
      <c r="D745" s="5">
        <v>45701.0</v>
      </c>
      <c r="G745" s="1" t="str">
        <f>VLOOKUP(B745,'old-aw-skill-plan'!A:I,7,FALSE)</f>
        <v>#N/A</v>
      </c>
      <c r="H745" s="1" t="str">
        <f>VLOOKUP(B745,'old-aw-skill-plan'!A:I,9,FALSE)</f>
        <v>#N/A</v>
      </c>
    </row>
    <row r="746" ht="15.75" customHeight="1">
      <c r="A746" s="1" t="s">
        <v>75</v>
      </c>
      <c r="B746" s="1" t="s">
        <v>323</v>
      </c>
      <c r="C746" s="1" t="s">
        <v>11</v>
      </c>
      <c r="D746" s="5">
        <v>45701.0</v>
      </c>
      <c r="G746" s="1">
        <f>VLOOKUP(B746,'old-aw-skill-plan'!A:I,7,FALSE)</f>
        <v>6</v>
      </c>
      <c r="H746" s="1" t="str">
        <f>VLOOKUP(B746,'old-aw-skill-plan'!A:I,9,FALSE)</f>
        <v>6-7</v>
      </c>
    </row>
    <row r="747" ht="15.75" customHeight="1">
      <c r="A747" s="1" t="s">
        <v>90</v>
      </c>
      <c r="B747" s="1" t="s">
        <v>28</v>
      </c>
      <c r="C747" s="1" t="s">
        <v>11</v>
      </c>
      <c r="D747" s="5">
        <v>45701.0</v>
      </c>
      <c r="G747" s="1">
        <f>VLOOKUP(B747,'old-aw-skill-plan'!A:I,7,FALSE)</f>
        <v>3</v>
      </c>
      <c r="H747" s="1" t="str">
        <f>VLOOKUP(B747,'old-aw-skill-plan'!A:I,9,FALSE)</f>
        <v>3-4</v>
      </c>
    </row>
    <row r="748" ht="15.75" customHeight="1">
      <c r="A748" s="1" t="s">
        <v>109</v>
      </c>
      <c r="B748" s="1" t="s">
        <v>61</v>
      </c>
      <c r="C748" s="1" t="s">
        <v>11</v>
      </c>
      <c r="D748" s="5">
        <v>45701.0</v>
      </c>
      <c r="G748" s="1">
        <f>VLOOKUP(B748,'old-aw-skill-plan'!A:I,7,FALSE)</f>
        <v>4</v>
      </c>
      <c r="H748" s="1" t="str">
        <f>VLOOKUP(B748,'old-aw-skill-plan'!A:I,9,FALSE)</f>
        <v>4-4</v>
      </c>
    </row>
    <row r="749" ht="15.75" customHeight="1">
      <c r="A749" s="1" t="s">
        <v>109</v>
      </c>
      <c r="B749" s="1" t="s">
        <v>97</v>
      </c>
      <c r="C749" s="1" t="s">
        <v>11</v>
      </c>
      <c r="D749" s="5">
        <v>45701.0</v>
      </c>
      <c r="G749" s="1">
        <f>VLOOKUP(B749,'old-aw-skill-plan'!A:I,7,FALSE)</f>
        <v>4</v>
      </c>
      <c r="H749" s="1" t="str">
        <f>VLOOKUP(B749,'old-aw-skill-plan'!A:I,9,FALSE)</f>
        <v>4-3</v>
      </c>
    </row>
    <row r="750" ht="15.75" customHeight="1">
      <c r="A750" s="1" t="s">
        <v>189</v>
      </c>
      <c r="B750" s="1" t="s">
        <v>34</v>
      </c>
      <c r="C750" s="1" t="s">
        <v>11</v>
      </c>
      <c r="D750" s="5">
        <v>45700.0</v>
      </c>
      <c r="G750" s="1">
        <f>VLOOKUP(B750,'old-aw-skill-plan'!A:I,7,FALSE)</f>
        <v>4</v>
      </c>
      <c r="H750" s="1" t="str">
        <f>VLOOKUP(B750,'old-aw-skill-plan'!A:I,9,FALSE)</f>
        <v>4-1</v>
      </c>
    </row>
    <row r="751" ht="15.75" customHeight="1">
      <c r="A751" s="1" t="s">
        <v>18</v>
      </c>
      <c r="B751" s="1" t="s">
        <v>37</v>
      </c>
      <c r="C751" s="1" t="s">
        <v>11</v>
      </c>
      <c r="D751" s="5">
        <v>45700.0</v>
      </c>
      <c r="G751" s="1">
        <f>VLOOKUP(B751,'old-aw-skill-plan'!A:I,7,FALSE)</f>
        <v>4</v>
      </c>
      <c r="H751" s="1" t="str">
        <f>VLOOKUP(B751,'old-aw-skill-plan'!A:I,9,FALSE)</f>
        <v>4-2</v>
      </c>
    </row>
    <row r="752" ht="15.75" customHeight="1">
      <c r="A752" s="1" t="s">
        <v>49</v>
      </c>
      <c r="B752" s="1" t="s">
        <v>34</v>
      </c>
      <c r="C752" s="1" t="s">
        <v>11</v>
      </c>
      <c r="D752" s="5">
        <v>45700.0</v>
      </c>
      <c r="G752" s="1">
        <f>VLOOKUP(B752,'old-aw-skill-plan'!A:I,7,FALSE)</f>
        <v>4</v>
      </c>
      <c r="H752" s="1" t="str">
        <f>VLOOKUP(B752,'old-aw-skill-plan'!A:I,9,FALSE)</f>
        <v>4-1</v>
      </c>
    </row>
    <row r="753" ht="15.75" customHeight="1">
      <c r="A753" s="1" t="s">
        <v>49</v>
      </c>
      <c r="B753" s="1" t="s">
        <v>37</v>
      </c>
      <c r="C753" s="1" t="s">
        <v>11</v>
      </c>
      <c r="D753" s="5">
        <v>45700.0</v>
      </c>
      <c r="G753" s="1">
        <f>VLOOKUP(B753,'old-aw-skill-plan'!A:I,7,FALSE)</f>
        <v>4</v>
      </c>
      <c r="H753" s="1" t="str">
        <f>VLOOKUP(B753,'old-aw-skill-plan'!A:I,9,FALSE)</f>
        <v>4-2</v>
      </c>
    </row>
    <row r="754" ht="15.75" customHeight="1">
      <c r="A754" s="1" t="s">
        <v>64</v>
      </c>
      <c r="B754" s="1" t="s">
        <v>104</v>
      </c>
      <c r="C754" s="1" t="s">
        <v>11</v>
      </c>
      <c r="D754" s="5">
        <v>45700.0</v>
      </c>
      <c r="G754" s="1">
        <f>VLOOKUP(B754,'old-aw-skill-plan'!A:I,7,FALSE)</f>
        <v>5</v>
      </c>
      <c r="H754" s="1" t="str">
        <f>VLOOKUP(B754,'old-aw-skill-plan'!A:I,9,FALSE)</f>
        <v>5-2</v>
      </c>
    </row>
    <row r="755" ht="15.75" customHeight="1">
      <c r="A755" s="1" t="s">
        <v>100</v>
      </c>
      <c r="B755" s="1" t="s">
        <v>324</v>
      </c>
      <c r="C755" s="1" t="s">
        <v>11</v>
      </c>
      <c r="D755" s="5">
        <v>45700.0</v>
      </c>
      <c r="G755" s="1" t="str">
        <f>VLOOKUP(B755,'old-aw-skill-plan'!A:I,7,FALSE)</f>
        <v>#N/A</v>
      </c>
      <c r="H755" s="1" t="str">
        <f>VLOOKUP(B755,'old-aw-skill-plan'!A:I,9,FALSE)</f>
        <v>#N/A</v>
      </c>
    </row>
    <row r="756" ht="15.75" customHeight="1">
      <c r="A756" s="1" t="s">
        <v>82</v>
      </c>
      <c r="B756" s="1" t="s">
        <v>316</v>
      </c>
      <c r="C756" s="1" t="s">
        <v>11</v>
      </c>
      <c r="D756" s="5">
        <v>45700.0</v>
      </c>
      <c r="G756" s="1" t="str">
        <f>VLOOKUP(B756,'old-aw-skill-plan'!A:I,7,FALSE)</f>
        <v>#N/A</v>
      </c>
      <c r="H756" s="1" t="str">
        <f>VLOOKUP(B756,'old-aw-skill-plan'!A:I,9,FALSE)</f>
        <v>#N/A</v>
      </c>
    </row>
    <row r="757" ht="15.75" customHeight="1">
      <c r="A757" s="1" t="s">
        <v>82</v>
      </c>
      <c r="B757" s="1" t="s">
        <v>315</v>
      </c>
      <c r="C757" s="1" t="s">
        <v>11</v>
      </c>
      <c r="D757" s="5">
        <v>45700.0</v>
      </c>
      <c r="G757" s="1" t="str">
        <f>VLOOKUP(B757,'old-aw-skill-plan'!A:I,7,FALSE)</f>
        <v>#N/A</v>
      </c>
      <c r="H757" s="1" t="str">
        <f>VLOOKUP(B757,'old-aw-skill-plan'!A:I,9,FALSE)</f>
        <v>#N/A</v>
      </c>
    </row>
    <row r="758" ht="15.75" customHeight="1">
      <c r="A758" s="1" t="s">
        <v>82</v>
      </c>
      <c r="B758" s="1" t="s">
        <v>34</v>
      </c>
      <c r="C758" s="1" t="s">
        <v>11</v>
      </c>
      <c r="D758" s="5">
        <v>45700.0</v>
      </c>
      <c r="G758" s="1">
        <f>VLOOKUP(B758,'old-aw-skill-plan'!A:I,7,FALSE)</f>
        <v>4</v>
      </c>
      <c r="H758" s="1" t="str">
        <f>VLOOKUP(B758,'old-aw-skill-plan'!A:I,9,FALSE)</f>
        <v>4-1</v>
      </c>
    </row>
    <row r="759" ht="15.75" customHeight="1">
      <c r="A759" s="1" t="s">
        <v>82</v>
      </c>
      <c r="B759" s="1" t="s">
        <v>327</v>
      </c>
      <c r="C759" s="1" t="s">
        <v>11</v>
      </c>
      <c r="D759" s="5">
        <v>45700.0</v>
      </c>
      <c r="G759" s="1">
        <f>VLOOKUP(B759,'old-aw-skill-plan'!A:I,7,FALSE)</f>
        <v>8</v>
      </c>
      <c r="H759" s="1" t="str">
        <f>VLOOKUP(B759,'old-aw-skill-plan'!A:I,9,FALSE)</f>
        <v>8-2</v>
      </c>
    </row>
    <row r="760" ht="15.75" customHeight="1">
      <c r="A760" s="1" t="s">
        <v>82</v>
      </c>
      <c r="B760" s="1" t="s">
        <v>104</v>
      </c>
      <c r="C760" s="1" t="s">
        <v>11</v>
      </c>
      <c r="D760" s="5">
        <v>45700.0</v>
      </c>
      <c r="G760" s="1">
        <f>VLOOKUP(B760,'old-aw-skill-plan'!A:I,7,FALSE)</f>
        <v>5</v>
      </c>
      <c r="H760" s="1" t="str">
        <f>VLOOKUP(B760,'old-aw-skill-plan'!A:I,9,FALSE)</f>
        <v>5-2</v>
      </c>
    </row>
    <row r="761" ht="15.75" customHeight="1">
      <c r="A761" s="1" t="s">
        <v>82</v>
      </c>
      <c r="B761" s="1" t="s">
        <v>310</v>
      </c>
      <c r="C761" s="1" t="s">
        <v>11</v>
      </c>
      <c r="D761" s="5">
        <v>45700.0</v>
      </c>
      <c r="G761" s="1" t="str">
        <f>VLOOKUP(B761,'old-aw-skill-plan'!A:I,7,FALSE)</f>
        <v>#N/A</v>
      </c>
      <c r="H761" s="1" t="str">
        <f>VLOOKUP(B761,'old-aw-skill-plan'!A:I,9,FALSE)</f>
        <v>#N/A</v>
      </c>
    </row>
    <row r="762" ht="15.75" customHeight="1">
      <c r="A762" s="1" t="s">
        <v>82</v>
      </c>
      <c r="B762" s="1" t="s">
        <v>328</v>
      </c>
      <c r="C762" s="1" t="s">
        <v>11</v>
      </c>
      <c r="D762" s="5">
        <v>45700.0</v>
      </c>
      <c r="G762" s="1" t="str">
        <f>VLOOKUP(B762,'old-aw-skill-plan'!A:I,7,FALSE)</f>
        <v>#N/A</v>
      </c>
      <c r="H762" s="1" t="str">
        <f>VLOOKUP(B762,'old-aw-skill-plan'!A:I,9,FALSE)</f>
        <v>#N/A</v>
      </c>
    </row>
    <row r="763" ht="15.75" customHeight="1">
      <c r="A763" s="1" t="s">
        <v>109</v>
      </c>
      <c r="B763" s="1" t="s">
        <v>37</v>
      </c>
      <c r="C763" s="1" t="s">
        <v>11</v>
      </c>
      <c r="D763" s="5">
        <v>45700.0</v>
      </c>
      <c r="G763" s="1">
        <f>VLOOKUP(B763,'old-aw-skill-plan'!A:I,7,FALSE)</f>
        <v>4</v>
      </c>
      <c r="H763" s="1" t="str">
        <f>VLOOKUP(B763,'old-aw-skill-plan'!A:I,9,FALSE)</f>
        <v>4-2</v>
      </c>
    </row>
    <row r="764" ht="15.75" customHeight="1">
      <c r="A764" s="1" t="s">
        <v>24</v>
      </c>
      <c r="B764" s="1" t="s">
        <v>314</v>
      </c>
      <c r="C764" s="1" t="s">
        <v>11</v>
      </c>
      <c r="D764" s="5">
        <v>45699.0</v>
      </c>
      <c r="G764" s="1">
        <f>VLOOKUP(B764,'old-aw-skill-plan'!A:I,7,FALSE)</f>
        <v>5</v>
      </c>
      <c r="H764" s="1" t="str">
        <f>VLOOKUP(B764,'old-aw-skill-plan'!A:I,9,FALSE)</f>
        <v>5-10</v>
      </c>
    </row>
    <row r="765" ht="15.75" customHeight="1">
      <c r="A765" s="1" t="s">
        <v>49</v>
      </c>
      <c r="B765" s="1" t="s">
        <v>37</v>
      </c>
      <c r="C765" s="1" t="s">
        <v>11</v>
      </c>
      <c r="D765" s="5">
        <v>45699.0</v>
      </c>
      <c r="G765" s="1">
        <f>VLOOKUP(B765,'old-aw-skill-plan'!A:I,7,FALSE)</f>
        <v>4</v>
      </c>
      <c r="H765" s="1" t="str">
        <f>VLOOKUP(B765,'old-aw-skill-plan'!A:I,9,FALSE)</f>
        <v>4-2</v>
      </c>
    </row>
    <row r="766" ht="15.75" customHeight="1">
      <c r="A766" s="1" t="s">
        <v>64</v>
      </c>
      <c r="B766" s="1" t="s">
        <v>104</v>
      </c>
      <c r="C766" s="1" t="s">
        <v>11</v>
      </c>
      <c r="D766" s="5">
        <v>45699.0</v>
      </c>
      <c r="G766" s="1">
        <f>VLOOKUP(B766,'old-aw-skill-plan'!A:I,7,FALSE)</f>
        <v>5</v>
      </c>
      <c r="H766" s="1" t="str">
        <f>VLOOKUP(B766,'old-aw-skill-plan'!A:I,9,FALSE)</f>
        <v>5-2</v>
      </c>
    </row>
    <row r="767" ht="15.75" customHeight="1">
      <c r="A767" s="1" t="s">
        <v>39</v>
      </c>
      <c r="B767" s="1" t="s">
        <v>66</v>
      </c>
      <c r="C767" s="1" t="s">
        <v>11</v>
      </c>
      <c r="D767" s="5">
        <v>45699.0</v>
      </c>
      <c r="G767" s="1">
        <f>VLOOKUP(B767,'old-aw-skill-plan'!A:I,7,FALSE)</f>
        <v>4</v>
      </c>
      <c r="H767" s="1" t="str">
        <f>VLOOKUP(B767,'old-aw-skill-plan'!A:I,9,FALSE)</f>
        <v>4-9</v>
      </c>
    </row>
    <row r="768" ht="15.75" customHeight="1">
      <c r="A768" s="1" t="s">
        <v>39</v>
      </c>
      <c r="B768" s="1" t="s">
        <v>44</v>
      </c>
      <c r="C768" s="1" t="s">
        <v>11</v>
      </c>
      <c r="D768" s="5">
        <v>45699.0</v>
      </c>
      <c r="G768" s="1">
        <f>VLOOKUP(B768,'old-aw-skill-plan'!A:I,7,FALSE)</f>
        <v>5</v>
      </c>
      <c r="H768" s="1" t="str">
        <f>VLOOKUP(B768,'old-aw-skill-plan'!A:I,9,FALSE)</f>
        <v>5-1</v>
      </c>
    </row>
    <row r="769" ht="15.75" customHeight="1">
      <c r="A769" s="1" t="s">
        <v>329</v>
      </c>
      <c r="B769" s="1" t="s">
        <v>37</v>
      </c>
      <c r="C769" s="1" t="s">
        <v>11</v>
      </c>
      <c r="D769" s="5">
        <v>45699.0</v>
      </c>
      <c r="G769" s="1">
        <f>VLOOKUP(B769,'old-aw-skill-plan'!A:I,7,FALSE)</f>
        <v>4</v>
      </c>
      <c r="H769" s="1" t="str">
        <f>VLOOKUP(B769,'old-aw-skill-plan'!A:I,9,FALSE)</f>
        <v>4-2</v>
      </c>
    </row>
    <row r="770" ht="15.75" customHeight="1">
      <c r="A770" s="1" t="s">
        <v>179</v>
      </c>
      <c r="B770" s="1" t="s">
        <v>104</v>
      </c>
      <c r="C770" s="1" t="s">
        <v>11</v>
      </c>
      <c r="D770" s="5">
        <v>45699.0</v>
      </c>
      <c r="G770" s="1">
        <f>VLOOKUP(B770,'old-aw-skill-plan'!A:I,7,FALSE)</f>
        <v>5</v>
      </c>
      <c r="H770" s="1" t="str">
        <f>VLOOKUP(B770,'old-aw-skill-plan'!A:I,9,FALSE)</f>
        <v>5-2</v>
      </c>
    </row>
    <row r="771" ht="15.75" customHeight="1">
      <c r="A771" s="1" t="s">
        <v>60</v>
      </c>
      <c r="B771" s="1" t="s">
        <v>104</v>
      </c>
      <c r="C771" s="1" t="s">
        <v>11</v>
      </c>
      <c r="D771" s="5">
        <v>45699.0</v>
      </c>
      <c r="G771" s="1">
        <f>VLOOKUP(B771,'old-aw-skill-plan'!A:I,7,FALSE)</f>
        <v>5</v>
      </c>
      <c r="H771" s="1" t="str">
        <f>VLOOKUP(B771,'old-aw-skill-plan'!A:I,9,FALSE)</f>
        <v>5-2</v>
      </c>
    </row>
    <row r="772" ht="15.75" customHeight="1">
      <c r="A772" s="1" t="s">
        <v>63</v>
      </c>
      <c r="B772" s="1" t="s">
        <v>83</v>
      </c>
      <c r="C772" s="1" t="s">
        <v>11</v>
      </c>
      <c r="D772" s="5">
        <v>45699.0</v>
      </c>
      <c r="G772" s="1">
        <f>VLOOKUP(B772,'old-aw-skill-plan'!A:I,7,FALSE)</f>
        <v>5</v>
      </c>
      <c r="H772" s="1" t="str">
        <f>VLOOKUP(B772,'old-aw-skill-plan'!A:I,9,FALSE)</f>
        <v>5-9</v>
      </c>
    </row>
    <row r="773" ht="15.75" customHeight="1">
      <c r="A773" s="1" t="s">
        <v>65</v>
      </c>
      <c r="B773" s="1" t="s">
        <v>23</v>
      </c>
      <c r="C773" s="1" t="s">
        <v>11</v>
      </c>
      <c r="D773" s="5">
        <v>45699.0</v>
      </c>
      <c r="G773" s="1">
        <f>VLOOKUP(B773,'old-aw-skill-plan'!A:I,7,FALSE)</f>
        <v>4</v>
      </c>
      <c r="H773" s="1" t="str">
        <f>VLOOKUP(B773,'old-aw-skill-plan'!A:I,9,FALSE)</f>
        <v>4-5</v>
      </c>
    </row>
    <row r="774" ht="15.75" customHeight="1">
      <c r="A774" s="1" t="s">
        <v>191</v>
      </c>
      <c r="B774" s="1" t="s">
        <v>34</v>
      </c>
      <c r="C774" s="1" t="s">
        <v>11</v>
      </c>
      <c r="D774" s="5">
        <v>45699.0</v>
      </c>
      <c r="G774" s="1">
        <f>VLOOKUP(B774,'old-aw-skill-plan'!A:I,7,FALSE)</f>
        <v>4</v>
      </c>
      <c r="H774" s="1" t="str">
        <f>VLOOKUP(B774,'old-aw-skill-plan'!A:I,9,FALSE)</f>
        <v>4-1</v>
      </c>
    </row>
    <row r="775" ht="15.75" customHeight="1">
      <c r="A775" s="1" t="s">
        <v>74</v>
      </c>
      <c r="B775" s="1" t="s">
        <v>104</v>
      </c>
      <c r="C775" s="1" t="s">
        <v>11</v>
      </c>
      <c r="D775" s="5">
        <v>45699.0</v>
      </c>
      <c r="G775" s="1">
        <f>VLOOKUP(B775,'old-aw-skill-plan'!A:I,7,FALSE)</f>
        <v>5</v>
      </c>
      <c r="H775" s="1" t="str">
        <f>VLOOKUP(B775,'old-aw-skill-plan'!A:I,9,FALSE)</f>
        <v>5-2</v>
      </c>
    </row>
    <row r="776" ht="15.75" customHeight="1">
      <c r="A776" s="1" t="s">
        <v>75</v>
      </c>
      <c r="B776" s="1" t="s">
        <v>323</v>
      </c>
      <c r="C776" s="1" t="s">
        <v>11</v>
      </c>
      <c r="D776" s="5">
        <v>45699.0</v>
      </c>
      <c r="G776" s="1">
        <f>VLOOKUP(B776,'old-aw-skill-plan'!A:I,7,FALSE)</f>
        <v>6</v>
      </c>
      <c r="H776" s="1" t="str">
        <f>VLOOKUP(B776,'old-aw-skill-plan'!A:I,9,FALSE)</f>
        <v>6-7</v>
      </c>
    </row>
    <row r="777" ht="15.75" customHeight="1">
      <c r="A777" s="1" t="s">
        <v>77</v>
      </c>
      <c r="B777" s="1" t="s">
        <v>21</v>
      </c>
      <c r="C777" s="1" t="s">
        <v>11</v>
      </c>
      <c r="D777" s="5">
        <v>45699.0</v>
      </c>
      <c r="G777" s="1">
        <f>VLOOKUP(B777,'old-aw-skill-plan'!A:I,7,FALSE)</f>
        <v>4</v>
      </c>
      <c r="H777" s="1" t="str">
        <f>VLOOKUP(B777,'old-aw-skill-plan'!A:I,9,FALSE)</f>
        <v>4-6</v>
      </c>
    </row>
    <row r="778" ht="15.75" customHeight="1">
      <c r="A778" s="1" t="s">
        <v>77</v>
      </c>
      <c r="B778" s="1" t="s">
        <v>23</v>
      </c>
      <c r="C778" s="1" t="s">
        <v>11</v>
      </c>
      <c r="D778" s="5">
        <v>45699.0</v>
      </c>
      <c r="G778" s="1">
        <f>VLOOKUP(B778,'old-aw-skill-plan'!A:I,7,FALSE)</f>
        <v>4</v>
      </c>
      <c r="H778" s="1" t="str">
        <f>VLOOKUP(B778,'old-aw-skill-plan'!A:I,9,FALSE)</f>
        <v>4-5</v>
      </c>
    </row>
    <row r="779" ht="15.75" customHeight="1">
      <c r="A779" s="1" t="s">
        <v>82</v>
      </c>
      <c r="B779" s="1" t="s">
        <v>316</v>
      </c>
      <c r="C779" s="1" t="s">
        <v>11</v>
      </c>
      <c r="D779" s="5">
        <v>45699.0</v>
      </c>
      <c r="G779" s="1" t="str">
        <f>VLOOKUP(B779,'old-aw-skill-plan'!A:I,7,FALSE)</f>
        <v>#N/A</v>
      </c>
      <c r="H779" s="1" t="str">
        <f>VLOOKUP(B779,'old-aw-skill-plan'!A:I,9,FALSE)</f>
        <v>#N/A</v>
      </c>
    </row>
    <row r="780" ht="15.75" customHeight="1">
      <c r="A780" s="1" t="s">
        <v>82</v>
      </c>
      <c r="B780" s="1" t="s">
        <v>103</v>
      </c>
      <c r="C780" s="1" t="s">
        <v>11</v>
      </c>
      <c r="D780" s="5">
        <v>45699.0</v>
      </c>
      <c r="G780" s="1">
        <f>VLOOKUP(B780,'old-aw-skill-plan'!A:I,7,FALSE)</f>
        <v>5</v>
      </c>
      <c r="H780" s="1" t="str">
        <f>VLOOKUP(B780,'old-aw-skill-plan'!A:I,9,FALSE)</f>
        <v>5-3</v>
      </c>
    </row>
    <row r="781" ht="15.75" customHeight="1">
      <c r="A781" s="1" t="s">
        <v>82</v>
      </c>
      <c r="B781" s="1" t="s">
        <v>143</v>
      </c>
      <c r="C781" s="1" t="s">
        <v>11</v>
      </c>
      <c r="D781" s="5">
        <v>45699.0</v>
      </c>
      <c r="G781" s="1">
        <f>VLOOKUP(B781,'old-aw-skill-plan'!A:I,7,FALSE)</f>
        <v>8</v>
      </c>
      <c r="H781" s="1" t="str">
        <f>VLOOKUP(B781,'old-aw-skill-plan'!A:I,9,FALSE)</f>
        <v>8-9</v>
      </c>
    </row>
    <row r="782" ht="15.75" customHeight="1">
      <c r="A782" s="1" t="s">
        <v>82</v>
      </c>
      <c r="B782" s="1" t="s">
        <v>104</v>
      </c>
      <c r="C782" s="1" t="s">
        <v>11</v>
      </c>
      <c r="D782" s="5">
        <v>45699.0</v>
      </c>
      <c r="G782" s="1">
        <f>VLOOKUP(B782,'old-aw-skill-plan'!A:I,7,FALSE)</f>
        <v>5</v>
      </c>
      <c r="H782" s="1" t="str">
        <f>VLOOKUP(B782,'old-aw-skill-plan'!A:I,9,FALSE)</f>
        <v>5-2</v>
      </c>
    </row>
    <row r="783" ht="15.75" customHeight="1">
      <c r="A783" s="1" t="s">
        <v>82</v>
      </c>
      <c r="B783" s="1" t="s">
        <v>330</v>
      </c>
      <c r="C783" s="1" t="s">
        <v>11</v>
      </c>
      <c r="D783" s="5">
        <v>45699.0</v>
      </c>
      <c r="G783" s="1" t="str">
        <f>VLOOKUP(B783,'old-aw-skill-plan'!A:I,7,FALSE)</f>
        <v>#N/A</v>
      </c>
      <c r="H783" s="1" t="str">
        <f>VLOOKUP(B783,'old-aw-skill-plan'!A:I,9,FALSE)</f>
        <v>#N/A</v>
      </c>
    </row>
    <row r="784" ht="15.75" customHeight="1">
      <c r="A784" s="1" t="s">
        <v>82</v>
      </c>
      <c r="B784" s="1" t="s">
        <v>312</v>
      </c>
      <c r="C784" s="1" t="s">
        <v>11</v>
      </c>
      <c r="D784" s="5">
        <v>45699.0</v>
      </c>
      <c r="G784" s="1" t="str">
        <f>VLOOKUP(B784,'old-aw-skill-plan'!A:I,7,FALSE)</f>
        <v>#N/A</v>
      </c>
      <c r="H784" s="1" t="str">
        <f>VLOOKUP(B784,'old-aw-skill-plan'!A:I,9,FALSE)</f>
        <v>#N/A</v>
      </c>
    </row>
    <row r="785" ht="15.75" customHeight="1">
      <c r="A785" s="1" t="s">
        <v>326</v>
      </c>
      <c r="B785" s="1" t="s">
        <v>83</v>
      </c>
      <c r="C785" s="1" t="s">
        <v>11</v>
      </c>
      <c r="D785" s="5">
        <v>45699.0</v>
      </c>
      <c r="G785" s="1">
        <f>VLOOKUP(B785,'old-aw-skill-plan'!A:I,7,FALSE)</f>
        <v>5</v>
      </c>
      <c r="H785" s="1" t="str">
        <f>VLOOKUP(B785,'old-aw-skill-plan'!A:I,9,FALSE)</f>
        <v>5-9</v>
      </c>
    </row>
    <row r="786" ht="15.75" customHeight="1">
      <c r="A786" s="1" t="s">
        <v>90</v>
      </c>
      <c r="B786" s="1" t="s">
        <v>28</v>
      </c>
      <c r="C786" s="1" t="s">
        <v>11</v>
      </c>
      <c r="D786" s="5">
        <v>45699.0</v>
      </c>
      <c r="G786" s="1">
        <f>VLOOKUP(B786,'old-aw-skill-plan'!A:I,7,FALSE)</f>
        <v>3</v>
      </c>
      <c r="H786" s="1" t="str">
        <f>VLOOKUP(B786,'old-aw-skill-plan'!A:I,9,FALSE)</f>
        <v>3-4</v>
      </c>
    </row>
    <row r="787" ht="15.75" customHeight="1">
      <c r="A787" s="1" t="s">
        <v>109</v>
      </c>
      <c r="B787" s="1" t="s">
        <v>37</v>
      </c>
      <c r="C787" s="1" t="s">
        <v>11</v>
      </c>
      <c r="D787" s="5">
        <v>45699.0</v>
      </c>
      <c r="G787" s="1">
        <f>VLOOKUP(B787,'old-aw-skill-plan'!A:I,7,FALSE)</f>
        <v>4</v>
      </c>
      <c r="H787" s="1" t="str">
        <f>VLOOKUP(B787,'old-aw-skill-plan'!A:I,9,FALSE)</f>
        <v>4-2</v>
      </c>
    </row>
    <row r="788" ht="15.75" customHeight="1">
      <c r="A788" s="1" t="s">
        <v>49</v>
      </c>
      <c r="B788" s="1" t="s">
        <v>34</v>
      </c>
      <c r="C788" s="1" t="s">
        <v>11</v>
      </c>
      <c r="D788" s="5">
        <v>45698.0</v>
      </c>
      <c r="G788" s="1">
        <f>VLOOKUP(B788,'old-aw-skill-plan'!A:I,7,FALSE)</f>
        <v>4</v>
      </c>
      <c r="H788" s="1" t="str">
        <f>VLOOKUP(B788,'old-aw-skill-plan'!A:I,9,FALSE)</f>
        <v>4-1</v>
      </c>
    </row>
    <row r="789" ht="15.75" customHeight="1">
      <c r="A789" s="1" t="s">
        <v>49</v>
      </c>
      <c r="B789" s="1" t="s">
        <v>37</v>
      </c>
      <c r="C789" s="1" t="s">
        <v>11</v>
      </c>
      <c r="D789" s="5">
        <v>45698.0</v>
      </c>
      <c r="G789" s="1">
        <f>VLOOKUP(B789,'old-aw-skill-plan'!A:I,7,FALSE)</f>
        <v>4</v>
      </c>
      <c r="H789" s="1" t="str">
        <f>VLOOKUP(B789,'old-aw-skill-plan'!A:I,9,FALSE)</f>
        <v>4-2</v>
      </c>
    </row>
    <row r="790" ht="15.75" customHeight="1">
      <c r="A790" s="1" t="s">
        <v>49</v>
      </c>
      <c r="B790" s="1" t="s">
        <v>331</v>
      </c>
      <c r="C790" s="1" t="s">
        <v>11</v>
      </c>
      <c r="D790" s="5">
        <v>45698.0</v>
      </c>
      <c r="G790" s="1">
        <f>VLOOKUP(B790,'old-aw-skill-plan'!A:I,7,FALSE)</f>
        <v>7</v>
      </c>
      <c r="H790" s="1" t="str">
        <f>VLOOKUP(B790,'old-aw-skill-plan'!A:I,9,FALSE)</f>
        <v>7-1</v>
      </c>
    </row>
    <row r="791" ht="15.75" customHeight="1">
      <c r="A791" s="1" t="s">
        <v>49</v>
      </c>
      <c r="B791" s="1" t="s">
        <v>332</v>
      </c>
      <c r="C791" s="1" t="s">
        <v>11</v>
      </c>
      <c r="D791" s="5">
        <v>45698.0</v>
      </c>
      <c r="G791" s="1">
        <f>VLOOKUP(B791,'old-aw-skill-plan'!A:I,7,FALSE)</f>
        <v>7</v>
      </c>
      <c r="H791" s="1" t="str">
        <f>VLOOKUP(B791,'old-aw-skill-plan'!A:I,9,FALSE)</f>
        <v>7-12</v>
      </c>
    </row>
    <row r="792" ht="15.75" customHeight="1">
      <c r="A792" s="1" t="s">
        <v>64</v>
      </c>
      <c r="B792" s="1" t="s">
        <v>104</v>
      </c>
      <c r="C792" s="1" t="s">
        <v>11</v>
      </c>
      <c r="D792" s="5">
        <v>45698.0</v>
      </c>
      <c r="G792" s="1">
        <f>VLOOKUP(B792,'old-aw-skill-plan'!A:I,7,FALSE)</f>
        <v>5</v>
      </c>
      <c r="H792" s="1" t="str">
        <f>VLOOKUP(B792,'old-aw-skill-plan'!A:I,9,FALSE)</f>
        <v>5-2</v>
      </c>
    </row>
    <row r="793" ht="15.75" customHeight="1">
      <c r="A793" s="1" t="s">
        <v>329</v>
      </c>
      <c r="B793" s="1" t="s">
        <v>37</v>
      </c>
      <c r="C793" s="1" t="s">
        <v>11</v>
      </c>
      <c r="D793" s="5">
        <v>45698.0</v>
      </c>
      <c r="G793" s="1">
        <f>VLOOKUP(B793,'old-aw-skill-plan'!A:I,7,FALSE)</f>
        <v>4</v>
      </c>
      <c r="H793" s="1" t="str">
        <f>VLOOKUP(B793,'old-aw-skill-plan'!A:I,9,FALSE)</f>
        <v>4-2</v>
      </c>
    </row>
    <row r="794" ht="15.75" customHeight="1">
      <c r="A794" s="1" t="s">
        <v>179</v>
      </c>
      <c r="B794" s="1" t="s">
        <v>104</v>
      </c>
      <c r="C794" s="1" t="s">
        <v>11</v>
      </c>
      <c r="D794" s="5">
        <v>45698.0</v>
      </c>
      <c r="G794" s="1">
        <f>VLOOKUP(B794,'old-aw-skill-plan'!A:I,7,FALSE)</f>
        <v>5</v>
      </c>
      <c r="H794" s="1" t="str">
        <f>VLOOKUP(B794,'old-aw-skill-plan'!A:I,9,FALSE)</f>
        <v>5-2</v>
      </c>
    </row>
    <row r="795" ht="15.75" customHeight="1">
      <c r="A795" s="1" t="s">
        <v>63</v>
      </c>
      <c r="B795" s="1" t="s">
        <v>83</v>
      </c>
      <c r="C795" s="1" t="s">
        <v>11</v>
      </c>
      <c r="D795" s="5">
        <v>45698.0</v>
      </c>
      <c r="G795" s="1">
        <f>VLOOKUP(B795,'old-aw-skill-plan'!A:I,7,FALSE)</f>
        <v>5</v>
      </c>
      <c r="H795" s="1" t="str">
        <f>VLOOKUP(B795,'old-aw-skill-plan'!A:I,9,FALSE)</f>
        <v>5-9</v>
      </c>
    </row>
    <row r="796" ht="15.75" customHeight="1">
      <c r="A796" s="1" t="s">
        <v>68</v>
      </c>
      <c r="B796" s="1" t="s">
        <v>48</v>
      </c>
      <c r="C796" s="1" t="s">
        <v>11</v>
      </c>
      <c r="D796" s="5">
        <v>45698.0</v>
      </c>
      <c r="G796" s="1">
        <f>VLOOKUP(B796,'old-aw-skill-plan'!A:I,7,FALSE)</f>
        <v>3</v>
      </c>
      <c r="H796" s="1" t="str">
        <f>VLOOKUP(B796,'old-aw-skill-plan'!A:I,9,FALSE)</f>
        <v>3-6</v>
      </c>
    </row>
    <row r="797" ht="15.75" customHeight="1">
      <c r="A797" s="1" t="s">
        <v>186</v>
      </c>
      <c r="B797" s="1" t="s">
        <v>44</v>
      </c>
      <c r="C797" s="1" t="s">
        <v>11</v>
      </c>
      <c r="D797" s="5">
        <v>45698.0</v>
      </c>
      <c r="G797" s="1">
        <f>VLOOKUP(B797,'old-aw-skill-plan'!A:I,7,FALSE)</f>
        <v>5</v>
      </c>
      <c r="H797" s="1" t="str">
        <f>VLOOKUP(B797,'old-aw-skill-plan'!A:I,9,FALSE)</f>
        <v>5-1</v>
      </c>
    </row>
    <row r="798" ht="15.75" customHeight="1">
      <c r="A798" s="1" t="s">
        <v>192</v>
      </c>
      <c r="B798" s="1" t="s">
        <v>30</v>
      </c>
      <c r="C798" s="1" t="s">
        <v>11</v>
      </c>
      <c r="D798" s="5">
        <v>45698.0</v>
      </c>
      <c r="G798" s="1">
        <f>VLOOKUP(B798,'old-aw-skill-plan'!A:I,7,FALSE)</f>
        <v>3</v>
      </c>
      <c r="H798" s="1" t="str">
        <f>VLOOKUP(B798,'old-aw-skill-plan'!A:I,9,FALSE)</f>
        <v>3-3</v>
      </c>
    </row>
    <row r="799" ht="15.75" customHeight="1">
      <c r="A799" s="1" t="s">
        <v>73</v>
      </c>
      <c r="B799" s="1" t="s">
        <v>34</v>
      </c>
      <c r="C799" s="1" t="s">
        <v>11</v>
      </c>
      <c r="D799" s="5">
        <v>45698.0</v>
      </c>
      <c r="G799" s="1">
        <f>VLOOKUP(B799,'old-aw-skill-plan'!A:I,7,FALSE)</f>
        <v>4</v>
      </c>
      <c r="H799" s="1" t="str">
        <f>VLOOKUP(B799,'old-aw-skill-plan'!A:I,9,FALSE)</f>
        <v>4-1</v>
      </c>
    </row>
    <row r="800" ht="15.75" customHeight="1">
      <c r="A800" s="1" t="s">
        <v>74</v>
      </c>
      <c r="B800" s="1" t="s">
        <v>104</v>
      </c>
      <c r="C800" s="1" t="s">
        <v>11</v>
      </c>
      <c r="D800" s="5">
        <v>45698.0</v>
      </c>
      <c r="G800" s="1">
        <f>VLOOKUP(B800,'old-aw-skill-plan'!A:I,7,FALSE)</f>
        <v>5</v>
      </c>
      <c r="H800" s="1" t="str">
        <f>VLOOKUP(B800,'old-aw-skill-plan'!A:I,9,FALSE)</f>
        <v>5-2</v>
      </c>
    </row>
    <row r="801" ht="15.75" customHeight="1">
      <c r="A801" s="1" t="s">
        <v>75</v>
      </c>
      <c r="B801" s="1" t="s">
        <v>323</v>
      </c>
      <c r="C801" s="1" t="s">
        <v>11</v>
      </c>
      <c r="D801" s="5">
        <v>45698.0</v>
      </c>
      <c r="G801" s="1">
        <f>VLOOKUP(B801,'old-aw-skill-plan'!A:I,7,FALSE)</f>
        <v>6</v>
      </c>
      <c r="H801" s="1" t="str">
        <f>VLOOKUP(B801,'old-aw-skill-plan'!A:I,9,FALSE)</f>
        <v>6-7</v>
      </c>
    </row>
    <row r="802" ht="15.75" customHeight="1">
      <c r="A802" s="1" t="s">
        <v>82</v>
      </c>
      <c r="B802" s="1" t="s">
        <v>104</v>
      </c>
      <c r="C802" s="1" t="s">
        <v>11</v>
      </c>
      <c r="D802" s="5">
        <v>45698.0</v>
      </c>
      <c r="G802" s="1">
        <f>VLOOKUP(B802,'old-aw-skill-plan'!A:I,7,FALSE)</f>
        <v>5</v>
      </c>
      <c r="H802" s="1" t="str">
        <f>VLOOKUP(B802,'old-aw-skill-plan'!A:I,9,FALSE)</f>
        <v>5-2</v>
      </c>
    </row>
    <row r="803" ht="15.75" customHeight="1">
      <c r="A803" s="1" t="s">
        <v>82</v>
      </c>
      <c r="B803" s="1" t="s">
        <v>88</v>
      </c>
      <c r="C803" s="1" t="s">
        <v>11</v>
      </c>
      <c r="D803" s="5">
        <v>45698.0</v>
      </c>
      <c r="G803" s="1">
        <f>VLOOKUP(B803,'old-aw-skill-plan'!A:I,7,FALSE)</f>
        <v>5</v>
      </c>
      <c r="H803" s="1" t="str">
        <f>VLOOKUP(B803,'old-aw-skill-plan'!A:I,9,FALSE)</f>
        <v>5-5</v>
      </c>
    </row>
    <row r="804" ht="15.75" customHeight="1">
      <c r="A804" s="1" t="s">
        <v>82</v>
      </c>
      <c r="B804" s="1" t="s">
        <v>312</v>
      </c>
      <c r="C804" s="1" t="s">
        <v>11</v>
      </c>
      <c r="D804" s="5">
        <v>45698.0</v>
      </c>
      <c r="G804" s="1" t="str">
        <f>VLOOKUP(B804,'old-aw-skill-plan'!A:I,7,FALSE)</f>
        <v>#N/A</v>
      </c>
      <c r="H804" s="1" t="str">
        <f>VLOOKUP(B804,'old-aw-skill-plan'!A:I,9,FALSE)</f>
        <v>#N/A</v>
      </c>
    </row>
    <row r="805" ht="15.75" customHeight="1">
      <c r="A805" s="1" t="s">
        <v>109</v>
      </c>
      <c r="B805" s="1" t="s">
        <v>34</v>
      </c>
      <c r="C805" s="1" t="s">
        <v>11</v>
      </c>
      <c r="D805" s="5">
        <v>45698.0</v>
      </c>
      <c r="G805" s="1">
        <f>VLOOKUP(B805,'old-aw-skill-plan'!A:I,7,FALSE)</f>
        <v>4</v>
      </c>
      <c r="H805" s="1" t="str">
        <f>VLOOKUP(B805,'old-aw-skill-plan'!A:I,9,FALSE)</f>
        <v>4-1</v>
      </c>
    </row>
    <row r="806" ht="15.75" customHeight="1">
      <c r="A806" s="1" t="s">
        <v>193</v>
      </c>
      <c r="B806" s="1" t="s">
        <v>10</v>
      </c>
      <c r="C806" s="1" t="s">
        <v>11</v>
      </c>
      <c r="D806" s="5">
        <v>45698.0</v>
      </c>
      <c r="G806" s="1">
        <f>VLOOKUP(B806,'old-aw-skill-plan'!A:I,7,FALSE)</f>
        <v>3</v>
      </c>
      <c r="H806" s="1" t="str">
        <f>VLOOKUP(B806,'old-aw-skill-plan'!A:I,9,FALSE)</f>
        <v>3-1</v>
      </c>
    </row>
    <row r="807" ht="15.75" customHeight="1">
      <c r="A807" s="1" t="s">
        <v>29</v>
      </c>
      <c r="B807" s="1" t="s">
        <v>333</v>
      </c>
      <c r="C807" s="1" t="s">
        <v>11</v>
      </c>
      <c r="D807" s="5">
        <v>45695.0</v>
      </c>
      <c r="G807" s="1">
        <f>VLOOKUP(B807,'old-aw-skill-plan'!A:I,7,FALSE)</f>
        <v>6</v>
      </c>
      <c r="H807" s="1" t="str">
        <f>VLOOKUP(B807,'old-aw-skill-plan'!A:I,9,FALSE)</f>
        <v>6-3</v>
      </c>
    </row>
    <row r="808" ht="15.75" customHeight="1">
      <c r="A808" s="1" t="s">
        <v>49</v>
      </c>
      <c r="B808" s="1" t="s">
        <v>34</v>
      </c>
      <c r="C808" s="1" t="s">
        <v>11</v>
      </c>
      <c r="D808" s="5">
        <v>45695.0</v>
      </c>
      <c r="G808" s="1">
        <f>VLOOKUP(B808,'old-aw-skill-plan'!A:I,7,FALSE)</f>
        <v>4</v>
      </c>
      <c r="H808" s="1" t="str">
        <f>VLOOKUP(B808,'old-aw-skill-plan'!A:I,9,FALSE)</f>
        <v>4-1</v>
      </c>
    </row>
    <row r="809" ht="15.75" customHeight="1">
      <c r="A809" s="1" t="s">
        <v>64</v>
      </c>
      <c r="B809" s="1" t="s">
        <v>104</v>
      </c>
      <c r="C809" s="1" t="s">
        <v>11</v>
      </c>
      <c r="D809" s="5">
        <v>45695.0</v>
      </c>
      <c r="G809" s="1">
        <f>VLOOKUP(B809,'old-aw-skill-plan'!A:I,7,FALSE)</f>
        <v>5</v>
      </c>
      <c r="H809" s="1" t="str">
        <f>VLOOKUP(B809,'old-aw-skill-plan'!A:I,9,FALSE)</f>
        <v>5-2</v>
      </c>
    </row>
    <row r="810" ht="15.75" customHeight="1">
      <c r="A810" s="1" t="s">
        <v>329</v>
      </c>
      <c r="B810" s="1" t="s">
        <v>34</v>
      </c>
      <c r="C810" s="1" t="s">
        <v>11</v>
      </c>
      <c r="D810" s="5">
        <v>45695.0</v>
      </c>
      <c r="G810" s="1">
        <f>VLOOKUP(B810,'old-aw-skill-plan'!A:I,7,FALSE)</f>
        <v>4</v>
      </c>
      <c r="H810" s="1" t="str">
        <f>VLOOKUP(B810,'old-aw-skill-plan'!A:I,9,FALSE)</f>
        <v>4-1</v>
      </c>
    </row>
    <row r="811" ht="15.75" customHeight="1">
      <c r="A811" s="1" t="s">
        <v>81</v>
      </c>
      <c r="B811" s="1" t="s">
        <v>334</v>
      </c>
      <c r="C811" s="1" t="s">
        <v>11</v>
      </c>
      <c r="D811" s="5">
        <v>45695.0</v>
      </c>
      <c r="G811" s="1">
        <f>VLOOKUP(B811,'old-aw-skill-plan'!A:I,7,FALSE)</f>
        <v>7</v>
      </c>
      <c r="H811" s="1" t="str">
        <f>VLOOKUP(B811,'old-aw-skill-plan'!A:I,9,FALSE)</f>
        <v>7-5</v>
      </c>
    </row>
    <row r="812" ht="15.75" customHeight="1">
      <c r="A812" s="1" t="s">
        <v>63</v>
      </c>
      <c r="B812" s="1" t="s">
        <v>83</v>
      </c>
      <c r="C812" s="1" t="s">
        <v>11</v>
      </c>
      <c r="D812" s="5">
        <v>45695.0</v>
      </c>
      <c r="G812" s="1">
        <f>VLOOKUP(B812,'old-aw-skill-plan'!A:I,7,FALSE)</f>
        <v>5</v>
      </c>
      <c r="H812" s="1" t="str">
        <f>VLOOKUP(B812,'old-aw-skill-plan'!A:I,9,FALSE)</f>
        <v>5-9</v>
      </c>
    </row>
    <row r="813" ht="15.75" customHeight="1">
      <c r="A813" s="1" t="s">
        <v>192</v>
      </c>
      <c r="B813" s="1" t="s">
        <v>10</v>
      </c>
      <c r="C813" s="1" t="s">
        <v>11</v>
      </c>
      <c r="D813" s="5">
        <v>45695.0</v>
      </c>
      <c r="G813" s="1">
        <f>VLOOKUP(B813,'old-aw-skill-plan'!A:I,7,FALSE)</f>
        <v>3</v>
      </c>
      <c r="H813" s="1" t="str">
        <f>VLOOKUP(B813,'old-aw-skill-plan'!A:I,9,FALSE)</f>
        <v>3-1</v>
      </c>
    </row>
    <row r="814" ht="15.75" customHeight="1">
      <c r="A814" s="1" t="s">
        <v>192</v>
      </c>
      <c r="B814" s="1" t="s">
        <v>47</v>
      </c>
      <c r="C814" s="1" t="s">
        <v>11</v>
      </c>
      <c r="D814" s="5">
        <v>45695.0</v>
      </c>
      <c r="G814" s="1">
        <f>VLOOKUP(B814,'old-aw-skill-plan'!A:I,7,FALSE)</f>
        <v>3</v>
      </c>
      <c r="H814" s="1" t="str">
        <f>VLOOKUP(B814,'old-aw-skill-plan'!A:I,9,FALSE)</f>
        <v>3-2</v>
      </c>
    </row>
    <row r="815" ht="15.75" customHeight="1">
      <c r="A815" s="1" t="s">
        <v>29</v>
      </c>
      <c r="B815" s="1" t="s">
        <v>117</v>
      </c>
      <c r="C815" s="1" t="s">
        <v>11</v>
      </c>
      <c r="D815" s="5">
        <v>45694.0</v>
      </c>
      <c r="G815" s="1">
        <f>VLOOKUP(B815,'old-aw-skill-plan'!A:I,7,FALSE)</f>
        <v>3</v>
      </c>
      <c r="H815" s="1" t="str">
        <f>VLOOKUP(B815,'old-aw-skill-plan'!A:I,9,FALSE)</f>
        <v>3-11</v>
      </c>
    </row>
    <row r="816" ht="15.75" customHeight="1">
      <c r="A816" s="1" t="s">
        <v>29</v>
      </c>
      <c r="B816" s="1" t="s">
        <v>335</v>
      </c>
      <c r="C816" s="1" t="s">
        <v>11</v>
      </c>
      <c r="D816" s="5">
        <v>45694.0</v>
      </c>
      <c r="G816" s="1">
        <f>VLOOKUP(B816,'old-aw-skill-plan'!A:I,7,FALSE)</f>
        <v>6</v>
      </c>
      <c r="H816" s="1" t="str">
        <f>VLOOKUP(B816,'old-aw-skill-plan'!A:I,9,FALSE)</f>
        <v>6-2</v>
      </c>
    </row>
    <row r="817" ht="15.75" customHeight="1">
      <c r="A817" s="1" t="s">
        <v>49</v>
      </c>
      <c r="B817" s="1" t="s">
        <v>34</v>
      </c>
      <c r="C817" s="1" t="s">
        <v>11</v>
      </c>
      <c r="D817" s="5">
        <v>45694.0</v>
      </c>
      <c r="G817" s="1">
        <f>VLOOKUP(B817,'old-aw-skill-plan'!A:I,7,FALSE)</f>
        <v>4</v>
      </c>
      <c r="H817" s="1" t="str">
        <f>VLOOKUP(B817,'old-aw-skill-plan'!A:I,9,FALSE)</f>
        <v>4-1</v>
      </c>
    </row>
    <row r="818" ht="15.75" customHeight="1">
      <c r="A818" s="1" t="s">
        <v>39</v>
      </c>
      <c r="B818" s="1" t="s">
        <v>66</v>
      </c>
      <c r="C818" s="1" t="s">
        <v>11</v>
      </c>
      <c r="D818" s="5">
        <v>45694.0</v>
      </c>
      <c r="G818" s="1">
        <f>VLOOKUP(B818,'old-aw-skill-plan'!A:I,7,FALSE)</f>
        <v>4</v>
      </c>
      <c r="H818" s="1" t="str">
        <f>VLOOKUP(B818,'old-aw-skill-plan'!A:I,9,FALSE)</f>
        <v>4-9</v>
      </c>
    </row>
    <row r="819" ht="15.75" customHeight="1">
      <c r="A819" s="1" t="s">
        <v>39</v>
      </c>
      <c r="B819" s="1" t="s">
        <v>44</v>
      </c>
      <c r="C819" s="1" t="s">
        <v>11</v>
      </c>
      <c r="D819" s="5">
        <v>45694.0</v>
      </c>
      <c r="G819" s="1">
        <f>VLOOKUP(B819,'old-aw-skill-plan'!A:I,7,FALSE)</f>
        <v>5</v>
      </c>
      <c r="H819" s="1" t="str">
        <f>VLOOKUP(B819,'old-aw-skill-plan'!A:I,9,FALSE)</f>
        <v>5-1</v>
      </c>
    </row>
    <row r="820" ht="15.75" customHeight="1">
      <c r="A820" s="1" t="s">
        <v>329</v>
      </c>
      <c r="B820" s="1" t="s">
        <v>34</v>
      </c>
      <c r="C820" s="1" t="s">
        <v>11</v>
      </c>
      <c r="D820" s="5">
        <v>45694.0</v>
      </c>
      <c r="G820" s="1">
        <f>VLOOKUP(B820,'old-aw-skill-plan'!A:I,7,FALSE)</f>
        <v>4</v>
      </c>
      <c r="H820" s="1" t="str">
        <f>VLOOKUP(B820,'old-aw-skill-plan'!A:I,9,FALSE)</f>
        <v>4-1</v>
      </c>
    </row>
    <row r="821" ht="15.75" customHeight="1">
      <c r="A821" s="1" t="s">
        <v>76</v>
      </c>
      <c r="B821" s="1" t="s">
        <v>34</v>
      </c>
      <c r="C821" s="1" t="s">
        <v>11</v>
      </c>
      <c r="D821" s="5">
        <v>45694.0</v>
      </c>
      <c r="G821" s="1">
        <f>VLOOKUP(B821,'old-aw-skill-plan'!A:I,7,FALSE)</f>
        <v>4</v>
      </c>
      <c r="H821" s="1" t="str">
        <f>VLOOKUP(B821,'old-aw-skill-plan'!A:I,9,FALSE)</f>
        <v>4-1</v>
      </c>
    </row>
    <row r="822" ht="15.75" customHeight="1">
      <c r="A822" s="1" t="s">
        <v>65</v>
      </c>
      <c r="B822" s="1" t="s">
        <v>23</v>
      </c>
      <c r="C822" s="1" t="s">
        <v>11</v>
      </c>
      <c r="D822" s="5">
        <v>45694.0</v>
      </c>
      <c r="G822" s="1">
        <f>VLOOKUP(B822,'old-aw-skill-plan'!A:I,7,FALSE)</f>
        <v>4</v>
      </c>
      <c r="H822" s="1" t="str">
        <f>VLOOKUP(B822,'old-aw-skill-plan'!A:I,9,FALSE)</f>
        <v>4-5</v>
      </c>
    </row>
    <row r="823" ht="15.75" customHeight="1">
      <c r="A823" s="1" t="s">
        <v>77</v>
      </c>
      <c r="B823" s="1" t="s">
        <v>21</v>
      </c>
      <c r="C823" s="1" t="s">
        <v>11</v>
      </c>
      <c r="D823" s="5">
        <v>45694.0</v>
      </c>
      <c r="G823" s="1">
        <f>VLOOKUP(B823,'old-aw-skill-plan'!A:I,7,FALSE)</f>
        <v>4</v>
      </c>
      <c r="H823" s="1" t="str">
        <f>VLOOKUP(B823,'old-aw-skill-plan'!A:I,9,FALSE)</f>
        <v>4-6</v>
      </c>
    </row>
    <row r="824" ht="15.75" customHeight="1">
      <c r="A824" s="1" t="s">
        <v>77</v>
      </c>
      <c r="B824" s="1" t="s">
        <v>23</v>
      </c>
      <c r="C824" s="1" t="s">
        <v>11</v>
      </c>
      <c r="D824" s="5">
        <v>45694.0</v>
      </c>
      <c r="G824" s="1">
        <f>VLOOKUP(B824,'old-aw-skill-plan'!A:I,7,FALSE)</f>
        <v>4</v>
      </c>
      <c r="H824" s="1" t="str">
        <f>VLOOKUP(B824,'old-aw-skill-plan'!A:I,9,FALSE)</f>
        <v>4-5</v>
      </c>
    </row>
    <row r="825" ht="15.75" customHeight="1">
      <c r="A825" s="1" t="s">
        <v>90</v>
      </c>
      <c r="B825" s="1" t="s">
        <v>28</v>
      </c>
      <c r="C825" s="1" t="s">
        <v>11</v>
      </c>
      <c r="D825" s="5">
        <v>45694.0</v>
      </c>
      <c r="G825" s="1">
        <f>VLOOKUP(B825,'old-aw-skill-plan'!A:I,7,FALSE)</f>
        <v>3</v>
      </c>
      <c r="H825" s="1" t="str">
        <f>VLOOKUP(B825,'old-aw-skill-plan'!A:I,9,FALSE)</f>
        <v>3-4</v>
      </c>
    </row>
    <row r="826" ht="15.75" customHeight="1">
      <c r="A826" s="1" t="s">
        <v>29</v>
      </c>
      <c r="B826" s="1" t="s">
        <v>91</v>
      </c>
      <c r="C826" s="1" t="s">
        <v>11</v>
      </c>
      <c r="D826" s="5">
        <v>45693.0</v>
      </c>
      <c r="G826" s="1">
        <f>VLOOKUP(B826,'old-aw-skill-plan'!A:I,7,FALSE)</f>
        <v>6</v>
      </c>
      <c r="H826" s="1" t="str">
        <f>VLOOKUP(B826,'old-aw-skill-plan'!A:I,9,FALSE)</f>
        <v>6-1</v>
      </c>
    </row>
    <row r="827" ht="15.75" customHeight="1">
      <c r="A827" s="1" t="s">
        <v>18</v>
      </c>
      <c r="B827" s="1" t="s">
        <v>37</v>
      </c>
      <c r="C827" s="1" t="s">
        <v>11</v>
      </c>
      <c r="D827" s="5">
        <v>45693.0</v>
      </c>
      <c r="G827" s="1">
        <f>VLOOKUP(B827,'old-aw-skill-plan'!A:I,7,FALSE)</f>
        <v>4</v>
      </c>
      <c r="H827" s="1" t="str">
        <f>VLOOKUP(B827,'old-aw-skill-plan'!A:I,9,FALSE)</f>
        <v>4-2</v>
      </c>
    </row>
    <row r="828" ht="15.75" customHeight="1">
      <c r="A828" s="1" t="s">
        <v>24</v>
      </c>
      <c r="B828" s="1" t="s">
        <v>314</v>
      </c>
      <c r="C828" s="1" t="s">
        <v>11</v>
      </c>
      <c r="D828" s="5">
        <v>45693.0</v>
      </c>
      <c r="G828" s="1">
        <f>VLOOKUP(B828,'old-aw-skill-plan'!A:I,7,FALSE)</f>
        <v>5</v>
      </c>
      <c r="H828" s="1" t="str">
        <f>VLOOKUP(B828,'old-aw-skill-plan'!A:I,9,FALSE)</f>
        <v>5-10</v>
      </c>
    </row>
    <row r="829" ht="15.75" customHeight="1">
      <c r="A829" s="1" t="s">
        <v>49</v>
      </c>
      <c r="B829" s="1" t="s">
        <v>34</v>
      </c>
      <c r="C829" s="1" t="s">
        <v>11</v>
      </c>
      <c r="D829" s="5">
        <v>45693.0</v>
      </c>
      <c r="G829" s="1">
        <f>VLOOKUP(B829,'old-aw-skill-plan'!A:I,7,FALSE)</f>
        <v>4</v>
      </c>
      <c r="H829" s="1" t="str">
        <f>VLOOKUP(B829,'old-aw-skill-plan'!A:I,9,FALSE)</f>
        <v>4-1</v>
      </c>
    </row>
    <row r="830" ht="15.75" customHeight="1">
      <c r="A830" s="1" t="s">
        <v>64</v>
      </c>
      <c r="B830" s="1" t="s">
        <v>104</v>
      </c>
      <c r="C830" s="1" t="s">
        <v>11</v>
      </c>
      <c r="D830" s="5">
        <v>45693.0</v>
      </c>
      <c r="G830" s="1">
        <f>VLOOKUP(B830,'old-aw-skill-plan'!A:I,7,FALSE)</f>
        <v>5</v>
      </c>
      <c r="H830" s="1" t="str">
        <f>VLOOKUP(B830,'old-aw-skill-plan'!A:I,9,FALSE)</f>
        <v>5-2</v>
      </c>
    </row>
    <row r="831" ht="15.75" customHeight="1">
      <c r="A831" s="1" t="s">
        <v>195</v>
      </c>
      <c r="B831" s="1" t="s">
        <v>10</v>
      </c>
      <c r="C831" s="1" t="s">
        <v>11</v>
      </c>
      <c r="D831" s="5">
        <v>45693.0</v>
      </c>
      <c r="G831" s="1">
        <f>VLOOKUP(B831,'old-aw-skill-plan'!A:I,7,FALSE)</f>
        <v>3</v>
      </c>
      <c r="H831" s="1" t="str">
        <f>VLOOKUP(B831,'old-aw-skill-plan'!A:I,9,FALSE)</f>
        <v>3-1</v>
      </c>
    </row>
    <row r="832" ht="15.75" customHeight="1">
      <c r="A832" s="1" t="s">
        <v>195</v>
      </c>
      <c r="B832" s="1" t="s">
        <v>47</v>
      </c>
      <c r="C832" s="1" t="s">
        <v>11</v>
      </c>
      <c r="D832" s="5">
        <v>45693.0</v>
      </c>
      <c r="G832" s="1">
        <f>VLOOKUP(B832,'old-aw-skill-plan'!A:I,7,FALSE)</f>
        <v>3</v>
      </c>
      <c r="H832" s="1" t="str">
        <f>VLOOKUP(B832,'old-aw-skill-plan'!A:I,9,FALSE)</f>
        <v>3-2</v>
      </c>
    </row>
    <row r="833" ht="15.75" customHeight="1">
      <c r="A833" s="1" t="s">
        <v>51</v>
      </c>
      <c r="B833" s="1" t="s">
        <v>34</v>
      </c>
      <c r="C833" s="1" t="s">
        <v>11</v>
      </c>
      <c r="D833" s="5">
        <v>45693.0</v>
      </c>
      <c r="G833" s="1">
        <f>VLOOKUP(B833,'old-aw-skill-plan'!A:I,7,FALSE)</f>
        <v>4</v>
      </c>
      <c r="H833" s="1" t="str">
        <f>VLOOKUP(B833,'old-aw-skill-plan'!A:I,9,FALSE)</f>
        <v>4-1</v>
      </c>
    </row>
    <row r="834" ht="15.75" customHeight="1">
      <c r="A834" s="1" t="s">
        <v>82</v>
      </c>
      <c r="B834" s="1" t="s">
        <v>104</v>
      </c>
      <c r="C834" s="1" t="s">
        <v>11</v>
      </c>
      <c r="D834" s="5">
        <v>45693.0</v>
      </c>
      <c r="G834" s="1">
        <f>VLOOKUP(B834,'old-aw-skill-plan'!A:I,7,FALSE)</f>
        <v>5</v>
      </c>
      <c r="H834" s="1" t="str">
        <f>VLOOKUP(B834,'old-aw-skill-plan'!A:I,9,FALSE)</f>
        <v>5-2</v>
      </c>
    </row>
    <row r="835" ht="15.75" customHeight="1">
      <c r="A835" s="1" t="s">
        <v>82</v>
      </c>
      <c r="B835" s="1" t="s">
        <v>87</v>
      </c>
      <c r="C835" s="1" t="s">
        <v>11</v>
      </c>
      <c r="D835" s="5">
        <v>45693.0</v>
      </c>
      <c r="G835" s="1">
        <f>VLOOKUP(B835,'old-aw-skill-plan'!A:I,7,FALSE)</f>
        <v>5</v>
      </c>
      <c r="H835" s="1" t="str">
        <f>VLOOKUP(B835,'old-aw-skill-plan'!A:I,9,FALSE)</f>
        <v>5-6</v>
      </c>
    </row>
    <row r="836" ht="15.75" customHeight="1">
      <c r="A836" s="1" t="s">
        <v>82</v>
      </c>
      <c r="B836" s="1" t="s">
        <v>312</v>
      </c>
      <c r="C836" s="1" t="s">
        <v>11</v>
      </c>
      <c r="D836" s="5">
        <v>45693.0</v>
      </c>
      <c r="G836" s="1" t="str">
        <f>VLOOKUP(B836,'old-aw-skill-plan'!A:I,7,FALSE)</f>
        <v>#N/A</v>
      </c>
      <c r="H836" s="1" t="str">
        <f>VLOOKUP(B836,'old-aw-skill-plan'!A:I,9,FALSE)</f>
        <v>#N/A</v>
      </c>
    </row>
    <row r="837" ht="15.75" customHeight="1">
      <c r="A837" s="1" t="s">
        <v>109</v>
      </c>
      <c r="B837" s="1" t="s">
        <v>34</v>
      </c>
      <c r="C837" s="1" t="s">
        <v>11</v>
      </c>
      <c r="D837" s="5">
        <v>45693.0</v>
      </c>
      <c r="G837" s="1">
        <f>VLOOKUP(B837,'old-aw-skill-plan'!A:I,7,FALSE)</f>
        <v>4</v>
      </c>
      <c r="H837" s="1" t="str">
        <f>VLOOKUP(B837,'old-aw-skill-plan'!A:I,9,FALSE)</f>
        <v>4-1</v>
      </c>
    </row>
    <row r="838" ht="15.75" customHeight="1">
      <c r="A838" s="1" t="s">
        <v>29</v>
      </c>
      <c r="B838" s="1" t="s">
        <v>117</v>
      </c>
      <c r="C838" s="1" t="s">
        <v>11</v>
      </c>
      <c r="D838" s="5">
        <v>45692.0</v>
      </c>
      <c r="G838" s="1">
        <f>VLOOKUP(B838,'old-aw-skill-plan'!A:I,7,FALSE)</f>
        <v>3</v>
      </c>
      <c r="H838" s="1" t="str">
        <f>VLOOKUP(B838,'old-aw-skill-plan'!A:I,9,FALSE)</f>
        <v>3-11</v>
      </c>
    </row>
    <row r="839" ht="15.75" customHeight="1">
      <c r="A839" s="1" t="s">
        <v>29</v>
      </c>
      <c r="B839" s="1" t="s">
        <v>118</v>
      </c>
      <c r="C839" s="1" t="s">
        <v>11</v>
      </c>
      <c r="D839" s="5">
        <v>45692.0</v>
      </c>
      <c r="G839" s="1">
        <f>VLOOKUP(B839,'old-aw-skill-plan'!A:I,7,FALSE)</f>
        <v>3</v>
      </c>
      <c r="H839" s="1" t="str">
        <f>VLOOKUP(B839,'old-aw-skill-plan'!A:I,9,FALSE)</f>
        <v>3-12</v>
      </c>
    </row>
    <row r="840" ht="15.75" customHeight="1">
      <c r="A840" s="1" t="s">
        <v>24</v>
      </c>
      <c r="B840" s="1" t="s">
        <v>314</v>
      </c>
      <c r="C840" s="1" t="s">
        <v>11</v>
      </c>
      <c r="D840" s="5">
        <v>45692.0</v>
      </c>
      <c r="G840" s="1">
        <f>VLOOKUP(B840,'old-aw-skill-plan'!A:I,7,FALSE)</f>
        <v>5</v>
      </c>
      <c r="H840" s="1" t="str">
        <f>VLOOKUP(B840,'old-aw-skill-plan'!A:I,9,FALSE)</f>
        <v>5-10</v>
      </c>
    </row>
    <row r="841" ht="15.75" customHeight="1">
      <c r="A841" s="1" t="s">
        <v>49</v>
      </c>
      <c r="B841" s="1" t="s">
        <v>34</v>
      </c>
      <c r="C841" s="1" t="s">
        <v>11</v>
      </c>
      <c r="D841" s="5">
        <v>45692.0</v>
      </c>
      <c r="G841" s="1">
        <f>VLOOKUP(B841,'old-aw-skill-plan'!A:I,7,FALSE)</f>
        <v>4</v>
      </c>
      <c r="H841" s="1" t="str">
        <f>VLOOKUP(B841,'old-aw-skill-plan'!A:I,9,FALSE)</f>
        <v>4-1</v>
      </c>
    </row>
    <row r="842" ht="15.75" customHeight="1">
      <c r="A842" s="1" t="s">
        <v>64</v>
      </c>
      <c r="B842" s="1" t="s">
        <v>104</v>
      </c>
      <c r="C842" s="1" t="s">
        <v>11</v>
      </c>
      <c r="D842" s="5">
        <v>45692.0</v>
      </c>
      <c r="G842" s="1">
        <f>VLOOKUP(B842,'old-aw-skill-plan'!A:I,7,FALSE)</f>
        <v>5</v>
      </c>
      <c r="H842" s="1" t="str">
        <f>VLOOKUP(B842,'old-aw-skill-plan'!A:I,9,FALSE)</f>
        <v>5-2</v>
      </c>
    </row>
    <row r="843" ht="15.75" customHeight="1">
      <c r="A843" s="1" t="s">
        <v>39</v>
      </c>
      <c r="B843" s="1" t="s">
        <v>66</v>
      </c>
      <c r="C843" s="1" t="s">
        <v>11</v>
      </c>
      <c r="D843" s="5">
        <v>45692.0</v>
      </c>
      <c r="G843" s="1">
        <f>VLOOKUP(B843,'old-aw-skill-plan'!A:I,7,FALSE)</f>
        <v>4</v>
      </c>
      <c r="H843" s="1" t="str">
        <f>VLOOKUP(B843,'old-aw-skill-plan'!A:I,9,FALSE)</f>
        <v>4-9</v>
      </c>
    </row>
    <row r="844" ht="15.75" customHeight="1">
      <c r="A844" s="1" t="s">
        <v>39</v>
      </c>
      <c r="B844" s="1" t="s">
        <v>44</v>
      </c>
      <c r="C844" s="1" t="s">
        <v>11</v>
      </c>
      <c r="D844" s="5">
        <v>45692.0</v>
      </c>
      <c r="G844" s="1">
        <f>VLOOKUP(B844,'old-aw-skill-plan'!A:I,7,FALSE)</f>
        <v>5</v>
      </c>
      <c r="H844" s="1" t="str">
        <f>VLOOKUP(B844,'old-aw-skill-plan'!A:I,9,FALSE)</f>
        <v>5-1</v>
      </c>
    </row>
    <row r="845" ht="15.75" customHeight="1">
      <c r="A845" s="1" t="s">
        <v>60</v>
      </c>
      <c r="B845" s="1" t="s">
        <v>104</v>
      </c>
      <c r="C845" s="1" t="s">
        <v>11</v>
      </c>
      <c r="D845" s="5">
        <v>45692.0</v>
      </c>
      <c r="G845" s="1">
        <f>VLOOKUP(B845,'old-aw-skill-plan'!A:I,7,FALSE)</f>
        <v>5</v>
      </c>
      <c r="H845" s="1" t="str">
        <f>VLOOKUP(B845,'old-aw-skill-plan'!A:I,9,FALSE)</f>
        <v>5-2</v>
      </c>
    </row>
    <row r="846" ht="15.75" customHeight="1">
      <c r="A846" s="1" t="s">
        <v>63</v>
      </c>
      <c r="B846" s="1" t="s">
        <v>83</v>
      </c>
      <c r="C846" s="1" t="s">
        <v>11</v>
      </c>
      <c r="D846" s="5">
        <v>45692.0</v>
      </c>
      <c r="G846" s="1">
        <f>VLOOKUP(B846,'old-aw-skill-plan'!A:I,7,FALSE)</f>
        <v>5</v>
      </c>
      <c r="H846" s="1" t="str">
        <f>VLOOKUP(B846,'old-aw-skill-plan'!A:I,9,FALSE)</f>
        <v>5-9</v>
      </c>
    </row>
    <row r="847" ht="15.75" customHeight="1">
      <c r="A847" s="1" t="s">
        <v>65</v>
      </c>
      <c r="B847" s="1" t="s">
        <v>23</v>
      </c>
      <c r="C847" s="1" t="s">
        <v>11</v>
      </c>
      <c r="D847" s="5">
        <v>45692.0</v>
      </c>
      <c r="G847" s="1">
        <f>VLOOKUP(B847,'old-aw-skill-plan'!A:I,7,FALSE)</f>
        <v>4</v>
      </c>
      <c r="H847" s="1" t="str">
        <f>VLOOKUP(B847,'old-aw-skill-plan'!A:I,9,FALSE)</f>
        <v>4-5</v>
      </c>
    </row>
    <row r="848" ht="15.75" customHeight="1">
      <c r="A848" s="1" t="s">
        <v>68</v>
      </c>
      <c r="B848" s="1" t="s">
        <v>48</v>
      </c>
      <c r="C848" s="1" t="s">
        <v>11</v>
      </c>
      <c r="D848" s="5">
        <v>45692.0</v>
      </c>
      <c r="G848" s="1">
        <f>VLOOKUP(B848,'old-aw-skill-plan'!A:I,7,FALSE)</f>
        <v>3</v>
      </c>
      <c r="H848" s="1" t="str">
        <f>VLOOKUP(B848,'old-aw-skill-plan'!A:I,9,FALSE)</f>
        <v>3-6</v>
      </c>
    </row>
    <row r="849" ht="15.75" customHeight="1">
      <c r="A849" s="1" t="s">
        <v>75</v>
      </c>
      <c r="B849" s="1" t="s">
        <v>323</v>
      </c>
      <c r="C849" s="1" t="s">
        <v>11</v>
      </c>
      <c r="D849" s="5">
        <v>45692.0</v>
      </c>
      <c r="G849" s="1">
        <f>VLOOKUP(B849,'old-aw-skill-plan'!A:I,7,FALSE)</f>
        <v>6</v>
      </c>
      <c r="H849" s="1" t="str">
        <f>VLOOKUP(B849,'old-aw-skill-plan'!A:I,9,FALSE)</f>
        <v>6-7</v>
      </c>
    </row>
    <row r="850" ht="15.75" customHeight="1">
      <c r="A850" s="1" t="s">
        <v>77</v>
      </c>
      <c r="B850" s="1" t="s">
        <v>23</v>
      </c>
      <c r="C850" s="1" t="s">
        <v>11</v>
      </c>
      <c r="D850" s="5">
        <v>45692.0</v>
      </c>
      <c r="G850" s="1">
        <f>VLOOKUP(B850,'old-aw-skill-plan'!A:I,7,FALSE)</f>
        <v>4</v>
      </c>
      <c r="H850" s="1" t="str">
        <f>VLOOKUP(B850,'old-aw-skill-plan'!A:I,9,FALSE)</f>
        <v>4-5</v>
      </c>
    </row>
    <row r="851" ht="15.75" customHeight="1">
      <c r="A851" s="1" t="s">
        <v>100</v>
      </c>
      <c r="B851" s="1" t="s">
        <v>324</v>
      </c>
      <c r="C851" s="1" t="s">
        <v>11</v>
      </c>
      <c r="D851" s="5">
        <v>45692.0</v>
      </c>
      <c r="G851" s="1" t="str">
        <f>VLOOKUP(B851,'old-aw-skill-plan'!A:I,7,FALSE)</f>
        <v>#N/A</v>
      </c>
      <c r="H851" s="1" t="str">
        <f>VLOOKUP(B851,'old-aw-skill-plan'!A:I,9,FALSE)</f>
        <v>#N/A</v>
      </c>
    </row>
    <row r="852" ht="15.75" customHeight="1">
      <c r="A852" s="1" t="s">
        <v>82</v>
      </c>
      <c r="B852" s="1" t="s">
        <v>104</v>
      </c>
      <c r="C852" s="1" t="s">
        <v>11</v>
      </c>
      <c r="D852" s="5">
        <v>45692.0</v>
      </c>
      <c r="G852" s="1">
        <f>VLOOKUP(B852,'old-aw-skill-plan'!A:I,7,FALSE)</f>
        <v>5</v>
      </c>
      <c r="H852" s="1" t="str">
        <f>VLOOKUP(B852,'old-aw-skill-plan'!A:I,9,FALSE)</f>
        <v>5-2</v>
      </c>
    </row>
    <row r="853" ht="15.75" customHeight="1">
      <c r="A853" s="1" t="s">
        <v>82</v>
      </c>
      <c r="B853" s="1" t="s">
        <v>87</v>
      </c>
      <c r="C853" s="1" t="s">
        <v>11</v>
      </c>
      <c r="D853" s="5">
        <v>45692.0</v>
      </c>
      <c r="G853" s="1">
        <f>VLOOKUP(B853,'old-aw-skill-plan'!A:I,7,FALSE)</f>
        <v>5</v>
      </c>
      <c r="H853" s="1" t="str">
        <f>VLOOKUP(B853,'old-aw-skill-plan'!A:I,9,FALSE)</f>
        <v>5-6</v>
      </c>
    </row>
    <row r="854" ht="15.75" customHeight="1">
      <c r="A854" s="1" t="s">
        <v>90</v>
      </c>
      <c r="B854" s="1" t="s">
        <v>28</v>
      </c>
      <c r="C854" s="1" t="s">
        <v>11</v>
      </c>
      <c r="D854" s="5">
        <v>45692.0</v>
      </c>
      <c r="G854" s="1">
        <f>VLOOKUP(B854,'old-aw-skill-plan'!A:I,7,FALSE)</f>
        <v>3</v>
      </c>
      <c r="H854" s="1" t="str">
        <f>VLOOKUP(B854,'old-aw-skill-plan'!A:I,9,FALSE)</f>
        <v>3-4</v>
      </c>
    </row>
    <row r="855" ht="15.75" customHeight="1">
      <c r="A855" s="1" t="s">
        <v>64</v>
      </c>
      <c r="B855" s="1" t="s">
        <v>104</v>
      </c>
      <c r="C855" s="1" t="s">
        <v>11</v>
      </c>
      <c r="D855" s="5">
        <v>45691.0</v>
      </c>
      <c r="G855" s="1">
        <f>VLOOKUP(B855,'old-aw-skill-plan'!A:I,7,FALSE)</f>
        <v>5</v>
      </c>
      <c r="H855" s="1" t="str">
        <f>VLOOKUP(B855,'old-aw-skill-plan'!A:I,9,FALSE)</f>
        <v>5-2</v>
      </c>
    </row>
    <row r="856" ht="15.75" customHeight="1">
      <c r="A856" s="1" t="s">
        <v>82</v>
      </c>
      <c r="B856" s="1" t="s">
        <v>104</v>
      </c>
      <c r="C856" s="1" t="s">
        <v>11</v>
      </c>
      <c r="D856" s="5">
        <v>45691.0</v>
      </c>
      <c r="G856" s="1">
        <f>VLOOKUP(B856,'old-aw-skill-plan'!A:I,7,FALSE)</f>
        <v>5</v>
      </c>
      <c r="H856" s="1" t="str">
        <f>VLOOKUP(B856,'old-aw-skill-plan'!A:I,9,FALSE)</f>
        <v>5-2</v>
      </c>
    </row>
    <row r="857" ht="15.75" customHeight="1">
      <c r="A857" s="1" t="s">
        <v>82</v>
      </c>
      <c r="B857" s="1" t="s">
        <v>87</v>
      </c>
      <c r="C857" s="1" t="s">
        <v>11</v>
      </c>
      <c r="D857" s="5">
        <v>45691.0</v>
      </c>
      <c r="G857" s="1">
        <f>VLOOKUP(B857,'old-aw-skill-plan'!A:I,7,FALSE)</f>
        <v>5</v>
      </c>
      <c r="H857" s="1" t="str">
        <f>VLOOKUP(B857,'old-aw-skill-plan'!A:I,9,FALSE)</f>
        <v>5-6</v>
      </c>
    </row>
    <row r="858" ht="15.75" customHeight="1">
      <c r="A858" s="1" t="s">
        <v>186</v>
      </c>
      <c r="B858" s="1" t="s">
        <v>44</v>
      </c>
      <c r="C858" s="1" t="s">
        <v>11</v>
      </c>
      <c r="D858" s="5">
        <v>45690.0</v>
      </c>
      <c r="G858" s="1">
        <f>VLOOKUP(B858,'old-aw-skill-plan'!A:I,7,FALSE)</f>
        <v>5</v>
      </c>
      <c r="H858" s="1" t="str">
        <f>VLOOKUP(B858,'old-aw-skill-plan'!A:I,9,FALSE)</f>
        <v>5-1</v>
      </c>
    </row>
    <row r="859" ht="15.75" customHeight="1">
      <c r="A859" s="1" t="s">
        <v>90</v>
      </c>
      <c r="B859" s="1" t="s">
        <v>28</v>
      </c>
      <c r="C859" s="1" t="s">
        <v>11</v>
      </c>
      <c r="D859" s="5">
        <v>45689.0</v>
      </c>
      <c r="G859" s="1">
        <f>VLOOKUP(B859,'old-aw-skill-plan'!A:I,7,FALSE)</f>
        <v>3</v>
      </c>
      <c r="H859" s="1" t="str">
        <f>VLOOKUP(B859,'old-aw-skill-plan'!A:I,9,FALSE)</f>
        <v>3-4</v>
      </c>
    </row>
    <row r="860" ht="15.75" customHeight="1">
      <c r="A860" s="1" t="s">
        <v>18</v>
      </c>
      <c r="B860" s="1" t="s">
        <v>37</v>
      </c>
      <c r="C860" s="1" t="s">
        <v>11</v>
      </c>
      <c r="D860" s="5">
        <v>45688.0</v>
      </c>
      <c r="G860" s="1">
        <f>VLOOKUP(B860,'old-aw-skill-plan'!A:I,7,FALSE)</f>
        <v>4</v>
      </c>
      <c r="H860" s="1" t="str">
        <f>VLOOKUP(B860,'old-aw-skill-plan'!A:I,9,FALSE)</f>
        <v>4-2</v>
      </c>
    </row>
    <row r="861" ht="15.75" customHeight="1">
      <c r="A861" s="1" t="s">
        <v>20</v>
      </c>
      <c r="B861" s="1" t="s">
        <v>97</v>
      </c>
      <c r="C861" s="1" t="s">
        <v>11</v>
      </c>
      <c r="D861" s="5">
        <v>45688.0</v>
      </c>
      <c r="G861" s="1">
        <f>VLOOKUP(B861,'old-aw-skill-plan'!A:I,7,FALSE)</f>
        <v>4</v>
      </c>
      <c r="H861" s="1" t="str">
        <f>VLOOKUP(B861,'old-aw-skill-plan'!A:I,9,FALSE)</f>
        <v>4-3</v>
      </c>
    </row>
    <row r="862" ht="15.75" customHeight="1">
      <c r="A862" s="1" t="s">
        <v>24</v>
      </c>
      <c r="B862" s="1" t="s">
        <v>314</v>
      </c>
      <c r="C862" s="1" t="s">
        <v>11</v>
      </c>
      <c r="D862" s="5">
        <v>45688.0</v>
      </c>
      <c r="G862" s="1">
        <f>VLOOKUP(B862,'old-aw-skill-plan'!A:I,7,FALSE)</f>
        <v>5</v>
      </c>
      <c r="H862" s="1" t="str">
        <f>VLOOKUP(B862,'old-aw-skill-plan'!A:I,9,FALSE)</f>
        <v>5-10</v>
      </c>
    </row>
    <row r="863" ht="15.75" customHeight="1">
      <c r="A863" s="1" t="s">
        <v>59</v>
      </c>
      <c r="B863" s="1" t="s">
        <v>10</v>
      </c>
      <c r="C863" s="1" t="s">
        <v>11</v>
      </c>
      <c r="D863" s="5">
        <v>45688.0</v>
      </c>
      <c r="G863" s="1">
        <f>VLOOKUP(B863,'old-aw-skill-plan'!A:I,7,FALSE)</f>
        <v>3</v>
      </c>
      <c r="H863" s="1" t="str">
        <f>VLOOKUP(B863,'old-aw-skill-plan'!A:I,9,FALSE)</f>
        <v>3-1</v>
      </c>
    </row>
    <row r="864" ht="15.75" customHeight="1">
      <c r="A864" s="1" t="s">
        <v>64</v>
      </c>
      <c r="B864" s="1" t="s">
        <v>104</v>
      </c>
      <c r="C864" s="1" t="s">
        <v>11</v>
      </c>
      <c r="D864" s="5">
        <v>45688.0</v>
      </c>
      <c r="G864" s="1">
        <f>VLOOKUP(B864,'old-aw-skill-plan'!A:I,7,FALSE)</f>
        <v>5</v>
      </c>
      <c r="H864" s="1" t="str">
        <f>VLOOKUP(B864,'old-aw-skill-plan'!A:I,9,FALSE)</f>
        <v>5-2</v>
      </c>
    </row>
    <row r="865" ht="15.75" customHeight="1">
      <c r="A865" s="1" t="s">
        <v>100</v>
      </c>
      <c r="B865" s="1" t="s">
        <v>324</v>
      </c>
      <c r="C865" s="1" t="s">
        <v>11</v>
      </c>
      <c r="D865" s="5">
        <v>45688.0</v>
      </c>
      <c r="G865" s="1" t="str">
        <f>VLOOKUP(B865,'old-aw-skill-plan'!A:I,7,FALSE)</f>
        <v>#N/A</v>
      </c>
      <c r="H865" s="1" t="str">
        <f>VLOOKUP(B865,'old-aw-skill-plan'!A:I,9,FALSE)</f>
        <v>#N/A</v>
      </c>
    </row>
    <row r="866" ht="15.75" customHeight="1">
      <c r="A866" s="1" t="s">
        <v>82</v>
      </c>
      <c r="B866" s="1" t="s">
        <v>44</v>
      </c>
      <c r="C866" s="1" t="s">
        <v>11</v>
      </c>
      <c r="D866" s="5">
        <v>45688.0</v>
      </c>
      <c r="G866" s="1">
        <f>VLOOKUP(B866,'old-aw-skill-plan'!A:I,7,FALSE)</f>
        <v>5</v>
      </c>
      <c r="H866" s="1" t="str">
        <f>VLOOKUP(B866,'old-aw-skill-plan'!A:I,9,FALSE)</f>
        <v>5-1</v>
      </c>
    </row>
    <row r="867" ht="15.75" customHeight="1">
      <c r="A867" s="1" t="s">
        <v>82</v>
      </c>
      <c r="B867" s="1" t="s">
        <v>104</v>
      </c>
      <c r="C867" s="1" t="s">
        <v>11</v>
      </c>
      <c r="D867" s="5">
        <v>45688.0</v>
      </c>
      <c r="G867" s="1">
        <f>VLOOKUP(B867,'old-aw-skill-plan'!A:I,7,FALSE)</f>
        <v>5</v>
      </c>
      <c r="H867" s="1" t="str">
        <f>VLOOKUP(B867,'old-aw-skill-plan'!A:I,9,FALSE)</f>
        <v>5-2</v>
      </c>
    </row>
    <row r="868" ht="15.75" customHeight="1">
      <c r="A868" s="1" t="s">
        <v>82</v>
      </c>
      <c r="B868" s="1" t="s">
        <v>87</v>
      </c>
      <c r="C868" s="1" t="s">
        <v>11</v>
      </c>
      <c r="D868" s="5">
        <v>45688.0</v>
      </c>
      <c r="G868" s="1">
        <f>VLOOKUP(B868,'old-aw-skill-plan'!A:I,7,FALSE)</f>
        <v>5</v>
      </c>
      <c r="H868" s="1" t="str">
        <f>VLOOKUP(B868,'old-aw-skill-plan'!A:I,9,FALSE)</f>
        <v>5-6</v>
      </c>
    </row>
    <row r="869" ht="15.75" customHeight="1">
      <c r="A869" s="1" t="s">
        <v>82</v>
      </c>
      <c r="B869" s="1" t="s">
        <v>88</v>
      </c>
      <c r="C869" s="1" t="s">
        <v>11</v>
      </c>
      <c r="D869" s="5">
        <v>45688.0</v>
      </c>
      <c r="G869" s="1">
        <f>VLOOKUP(B869,'old-aw-skill-plan'!A:I,7,FALSE)</f>
        <v>5</v>
      </c>
      <c r="H869" s="1" t="str">
        <f>VLOOKUP(B869,'old-aw-skill-plan'!A:I,9,FALSE)</f>
        <v>5-5</v>
      </c>
    </row>
    <row r="870" ht="15.75" customHeight="1">
      <c r="A870" s="1" t="s">
        <v>22</v>
      </c>
      <c r="B870" s="1" t="s">
        <v>104</v>
      </c>
      <c r="C870" s="1" t="s">
        <v>11</v>
      </c>
      <c r="D870" s="5">
        <v>45687.0</v>
      </c>
      <c r="G870" s="1">
        <f>VLOOKUP(B870,'old-aw-skill-plan'!A:I,7,FALSE)</f>
        <v>5</v>
      </c>
      <c r="H870" s="1" t="str">
        <f>VLOOKUP(B870,'old-aw-skill-plan'!A:I,9,FALSE)</f>
        <v>5-2</v>
      </c>
    </row>
    <row r="871" ht="15.75" customHeight="1">
      <c r="A871" s="1" t="s">
        <v>26</v>
      </c>
      <c r="B871" s="1" t="s">
        <v>34</v>
      </c>
      <c r="C871" s="1" t="s">
        <v>11</v>
      </c>
      <c r="D871" s="5">
        <v>45687.0</v>
      </c>
      <c r="G871" s="1">
        <f>VLOOKUP(B871,'old-aw-skill-plan'!A:I,7,FALSE)</f>
        <v>4</v>
      </c>
      <c r="H871" s="1" t="str">
        <f>VLOOKUP(B871,'old-aw-skill-plan'!A:I,9,FALSE)</f>
        <v>4-1</v>
      </c>
    </row>
    <row r="872" ht="15.75" customHeight="1">
      <c r="A872" s="1" t="s">
        <v>24</v>
      </c>
      <c r="B872" s="1" t="s">
        <v>314</v>
      </c>
      <c r="C872" s="1" t="s">
        <v>11</v>
      </c>
      <c r="D872" s="5">
        <v>45687.0</v>
      </c>
      <c r="G872" s="1">
        <f>VLOOKUP(B872,'old-aw-skill-plan'!A:I,7,FALSE)</f>
        <v>5</v>
      </c>
      <c r="H872" s="1" t="str">
        <f>VLOOKUP(B872,'old-aw-skill-plan'!A:I,9,FALSE)</f>
        <v>5-10</v>
      </c>
    </row>
    <row r="873" ht="15.75" customHeight="1">
      <c r="A873" s="1" t="s">
        <v>52</v>
      </c>
      <c r="B873" s="1" t="s">
        <v>28</v>
      </c>
      <c r="C873" s="1" t="s">
        <v>11</v>
      </c>
      <c r="D873" s="5">
        <v>45687.0</v>
      </c>
      <c r="G873" s="1">
        <f>VLOOKUP(B873,'old-aw-skill-plan'!A:I,7,FALSE)</f>
        <v>3</v>
      </c>
      <c r="H873" s="1" t="str">
        <f>VLOOKUP(B873,'old-aw-skill-plan'!A:I,9,FALSE)</f>
        <v>3-4</v>
      </c>
    </row>
    <row r="874" ht="15.75" customHeight="1">
      <c r="A874" s="1" t="s">
        <v>64</v>
      </c>
      <c r="B874" s="1" t="s">
        <v>104</v>
      </c>
      <c r="C874" s="1" t="s">
        <v>11</v>
      </c>
      <c r="D874" s="5">
        <v>45687.0</v>
      </c>
      <c r="G874" s="1">
        <f>VLOOKUP(B874,'old-aw-skill-plan'!A:I,7,FALSE)</f>
        <v>5</v>
      </c>
      <c r="H874" s="1" t="str">
        <f>VLOOKUP(B874,'old-aw-skill-plan'!A:I,9,FALSE)</f>
        <v>5-2</v>
      </c>
    </row>
    <row r="875" ht="15.75" customHeight="1">
      <c r="A875" s="1" t="s">
        <v>100</v>
      </c>
      <c r="B875" s="1" t="s">
        <v>324</v>
      </c>
      <c r="C875" s="1" t="s">
        <v>11</v>
      </c>
      <c r="D875" s="5">
        <v>45687.0</v>
      </c>
      <c r="G875" s="1" t="str">
        <f>VLOOKUP(B875,'old-aw-skill-plan'!A:I,7,FALSE)</f>
        <v>#N/A</v>
      </c>
      <c r="H875" s="1" t="str">
        <f>VLOOKUP(B875,'old-aw-skill-plan'!A:I,9,FALSE)</f>
        <v>#N/A</v>
      </c>
    </row>
    <row r="876" ht="15.75" customHeight="1">
      <c r="A876" s="1" t="s">
        <v>82</v>
      </c>
      <c r="B876" s="1" t="s">
        <v>104</v>
      </c>
      <c r="C876" s="1" t="s">
        <v>11</v>
      </c>
      <c r="D876" s="5">
        <v>45687.0</v>
      </c>
      <c r="G876" s="1">
        <f>VLOOKUP(B876,'old-aw-skill-plan'!A:I,7,FALSE)</f>
        <v>5</v>
      </c>
      <c r="H876" s="1" t="str">
        <f>VLOOKUP(B876,'old-aw-skill-plan'!A:I,9,FALSE)</f>
        <v>5-2</v>
      </c>
    </row>
    <row r="877" ht="15.75" customHeight="1">
      <c r="A877" s="1" t="s">
        <v>64</v>
      </c>
      <c r="B877" s="1" t="s">
        <v>104</v>
      </c>
      <c r="C877" s="1" t="s">
        <v>11</v>
      </c>
      <c r="D877" s="5">
        <v>45686.0</v>
      </c>
      <c r="G877" s="1">
        <f>VLOOKUP(B877,'old-aw-skill-plan'!A:I,7,FALSE)</f>
        <v>5</v>
      </c>
      <c r="H877" s="1" t="str">
        <f>VLOOKUP(B877,'old-aw-skill-plan'!A:I,9,FALSE)</f>
        <v>5-2</v>
      </c>
    </row>
    <row r="878" ht="15.75" customHeight="1">
      <c r="A878" s="1" t="s">
        <v>74</v>
      </c>
      <c r="B878" s="1" t="s">
        <v>25</v>
      </c>
      <c r="C878" s="1" t="s">
        <v>11</v>
      </c>
      <c r="D878" s="5">
        <v>45686.0</v>
      </c>
      <c r="G878" s="1">
        <f>VLOOKUP(B878,'old-aw-skill-plan'!A:I,7,FALSE)</f>
        <v>5</v>
      </c>
      <c r="H878" s="1" t="str">
        <f>VLOOKUP(B878,'old-aw-skill-plan'!A:I,9,FALSE)</f>
        <v>5-4</v>
      </c>
    </row>
    <row r="879" ht="15.75" customHeight="1">
      <c r="A879" s="1" t="s">
        <v>74</v>
      </c>
      <c r="B879" s="1" t="s">
        <v>104</v>
      </c>
      <c r="C879" s="1" t="s">
        <v>11</v>
      </c>
      <c r="D879" s="5">
        <v>45686.0</v>
      </c>
      <c r="G879" s="1">
        <f>VLOOKUP(B879,'old-aw-skill-plan'!A:I,7,FALSE)</f>
        <v>5</v>
      </c>
      <c r="H879" s="1" t="str">
        <f>VLOOKUP(B879,'old-aw-skill-plan'!A:I,9,FALSE)</f>
        <v>5-2</v>
      </c>
    </row>
    <row r="880" ht="15.75" customHeight="1">
      <c r="A880" s="1" t="s">
        <v>74</v>
      </c>
      <c r="B880" s="1" t="s">
        <v>325</v>
      </c>
      <c r="C880" s="1" t="s">
        <v>11</v>
      </c>
      <c r="D880" s="5">
        <v>45686.0</v>
      </c>
      <c r="G880" s="1" t="str">
        <f>VLOOKUP(B880,'old-aw-skill-plan'!A:I,7,FALSE)</f>
        <v>#N/A</v>
      </c>
      <c r="H880" s="1" t="str">
        <f>VLOOKUP(B880,'old-aw-skill-plan'!A:I,9,FALSE)</f>
        <v>#N/A</v>
      </c>
    </row>
    <row r="881" ht="15.75" customHeight="1">
      <c r="A881" s="1" t="s">
        <v>74</v>
      </c>
      <c r="B881" s="1" t="s">
        <v>336</v>
      </c>
      <c r="C881" s="1" t="s">
        <v>11</v>
      </c>
      <c r="D881" s="5">
        <v>45686.0</v>
      </c>
      <c r="G881" s="1" t="str">
        <f>VLOOKUP(B881,'old-aw-skill-plan'!A:I,7,FALSE)</f>
        <v>#N/A</v>
      </c>
      <c r="H881" s="1" t="str">
        <f>VLOOKUP(B881,'old-aw-skill-plan'!A:I,9,FALSE)</f>
        <v>#N/A</v>
      </c>
    </row>
    <row r="882" ht="15.75" customHeight="1">
      <c r="A882" s="1" t="s">
        <v>82</v>
      </c>
      <c r="B882" s="1" t="s">
        <v>104</v>
      </c>
      <c r="C882" s="1" t="s">
        <v>11</v>
      </c>
      <c r="D882" s="5">
        <v>45686.0</v>
      </c>
      <c r="G882" s="1">
        <f>VLOOKUP(B882,'old-aw-skill-plan'!A:I,7,FALSE)</f>
        <v>5</v>
      </c>
      <c r="H882" s="1" t="str">
        <f>VLOOKUP(B882,'old-aw-skill-plan'!A:I,9,FALSE)</f>
        <v>5-2</v>
      </c>
    </row>
    <row r="883" ht="15.75" customHeight="1">
      <c r="A883" s="1" t="s">
        <v>18</v>
      </c>
      <c r="B883" s="1" t="s">
        <v>37</v>
      </c>
      <c r="C883" s="1" t="s">
        <v>11</v>
      </c>
      <c r="D883" s="5">
        <v>45685.0</v>
      </c>
      <c r="G883" s="1">
        <f>VLOOKUP(B883,'old-aw-skill-plan'!A:I,7,FALSE)</f>
        <v>4</v>
      </c>
      <c r="H883" s="1" t="str">
        <f>VLOOKUP(B883,'old-aw-skill-plan'!A:I,9,FALSE)</f>
        <v>4-2</v>
      </c>
    </row>
    <row r="884" ht="15.75" customHeight="1">
      <c r="A884" s="1" t="s">
        <v>18</v>
      </c>
      <c r="B884" s="1" t="s">
        <v>37</v>
      </c>
      <c r="C884" s="1" t="s">
        <v>11</v>
      </c>
      <c r="D884" s="5">
        <v>45684.0</v>
      </c>
      <c r="G884" s="1">
        <f>VLOOKUP(B884,'old-aw-skill-plan'!A:I,7,FALSE)</f>
        <v>4</v>
      </c>
      <c r="H884" s="1" t="str">
        <f>VLOOKUP(B884,'old-aw-skill-plan'!A:I,9,FALSE)</f>
        <v>4-2</v>
      </c>
    </row>
    <row r="885" ht="15.75" customHeight="1">
      <c r="A885" s="1" t="s">
        <v>64</v>
      </c>
      <c r="B885" s="1" t="s">
        <v>104</v>
      </c>
      <c r="C885" s="1" t="s">
        <v>11</v>
      </c>
      <c r="D885" s="5">
        <v>45684.0</v>
      </c>
      <c r="G885" s="1">
        <f>VLOOKUP(B885,'old-aw-skill-plan'!A:I,7,FALSE)</f>
        <v>5</v>
      </c>
      <c r="H885" s="1" t="str">
        <f>VLOOKUP(B885,'old-aw-skill-plan'!A:I,9,FALSE)</f>
        <v>5-2</v>
      </c>
    </row>
    <row r="886" ht="15.75" customHeight="1">
      <c r="A886" s="1" t="s">
        <v>89</v>
      </c>
      <c r="B886" s="1" t="s">
        <v>47</v>
      </c>
      <c r="C886" s="1" t="s">
        <v>11</v>
      </c>
      <c r="D886" s="5">
        <v>45684.0</v>
      </c>
      <c r="G886" s="1">
        <f>VLOOKUP(B886,'old-aw-skill-plan'!A:I,7,FALSE)</f>
        <v>3</v>
      </c>
      <c r="H886" s="1" t="str">
        <f>VLOOKUP(B886,'old-aw-skill-plan'!A:I,9,FALSE)</f>
        <v>3-2</v>
      </c>
    </row>
    <row r="887" ht="15.75" customHeight="1">
      <c r="A887" s="1" t="s">
        <v>24</v>
      </c>
      <c r="B887" s="1" t="s">
        <v>314</v>
      </c>
      <c r="C887" s="1" t="s">
        <v>11</v>
      </c>
      <c r="D887" s="5">
        <v>45681.0</v>
      </c>
      <c r="G887" s="1">
        <f>VLOOKUP(B887,'old-aw-skill-plan'!A:I,7,FALSE)</f>
        <v>5</v>
      </c>
      <c r="H887" s="1" t="str">
        <f>VLOOKUP(B887,'old-aw-skill-plan'!A:I,9,FALSE)</f>
        <v>5-10</v>
      </c>
    </row>
    <row r="888" ht="15.75" customHeight="1">
      <c r="A888" s="1" t="s">
        <v>49</v>
      </c>
      <c r="B888" s="1" t="s">
        <v>34</v>
      </c>
      <c r="C888" s="1" t="s">
        <v>11</v>
      </c>
      <c r="D888" s="5">
        <v>45681.0</v>
      </c>
      <c r="G888" s="1">
        <f>VLOOKUP(B888,'old-aw-skill-plan'!A:I,7,FALSE)</f>
        <v>4</v>
      </c>
      <c r="H888" s="1" t="str">
        <f>VLOOKUP(B888,'old-aw-skill-plan'!A:I,9,FALSE)</f>
        <v>4-1</v>
      </c>
    </row>
    <row r="889" ht="15.75" customHeight="1">
      <c r="A889" s="1" t="s">
        <v>64</v>
      </c>
      <c r="B889" s="1" t="s">
        <v>104</v>
      </c>
      <c r="C889" s="1" t="s">
        <v>11</v>
      </c>
      <c r="D889" s="5">
        <v>45681.0</v>
      </c>
      <c r="G889" s="1">
        <f>VLOOKUP(B889,'old-aw-skill-plan'!A:I,7,FALSE)</f>
        <v>5</v>
      </c>
      <c r="H889" s="1" t="str">
        <f>VLOOKUP(B889,'old-aw-skill-plan'!A:I,9,FALSE)</f>
        <v>5-2</v>
      </c>
    </row>
    <row r="890" ht="15.75" customHeight="1">
      <c r="A890" s="1" t="s">
        <v>185</v>
      </c>
      <c r="B890" s="1" t="s">
        <v>87</v>
      </c>
      <c r="C890" s="1" t="s">
        <v>11</v>
      </c>
      <c r="D890" s="5">
        <v>45681.0</v>
      </c>
      <c r="G890" s="1">
        <f>VLOOKUP(B890,'old-aw-skill-plan'!A:I,7,FALSE)</f>
        <v>5</v>
      </c>
      <c r="H890" s="1" t="str">
        <f>VLOOKUP(B890,'old-aw-skill-plan'!A:I,9,FALSE)</f>
        <v>5-6</v>
      </c>
    </row>
    <row r="891" ht="15.75" customHeight="1">
      <c r="A891" s="1" t="s">
        <v>81</v>
      </c>
      <c r="B891" s="1" t="s">
        <v>308</v>
      </c>
      <c r="C891" s="1" t="s">
        <v>11</v>
      </c>
      <c r="D891" s="5">
        <v>45681.0</v>
      </c>
      <c r="G891" s="1">
        <f>VLOOKUP(B891,'old-aw-skill-plan'!A:I,7,FALSE)</f>
        <v>4</v>
      </c>
      <c r="H891" s="1" t="str">
        <f>VLOOKUP(B891,'old-aw-skill-plan'!A:I,9,FALSE)</f>
        <v>4-9</v>
      </c>
    </row>
    <row r="892" ht="15.75" customHeight="1">
      <c r="A892" s="1" t="s">
        <v>183</v>
      </c>
      <c r="B892" s="1" t="s">
        <v>322</v>
      </c>
      <c r="C892" s="1" t="s">
        <v>11</v>
      </c>
      <c r="D892" s="5">
        <v>45681.0</v>
      </c>
      <c r="G892" s="1">
        <f>VLOOKUP(B892,'old-aw-skill-plan'!A:I,7,FALSE)</f>
        <v>8</v>
      </c>
      <c r="H892" s="1" t="str">
        <f>VLOOKUP(B892,'old-aw-skill-plan'!A:I,9,FALSE)</f>
        <v>8-5</v>
      </c>
    </row>
    <row r="893" ht="15.75" customHeight="1">
      <c r="A893" s="1" t="s">
        <v>75</v>
      </c>
      <c r="B893" s="1" t="s">
        <v>323</v>
      </c>
      <c r="C893" s="1" t="s">
        <v>11</v>
      </c>
      <c r="D893" s="5">
        <v>45681.0</v>
      </c>
      <c r="G893" s="1">
        <f>VLOOKUP(B893,'old-aw-skill-plan'!A:I,7,FALSE)</f>
        <v>6</v>
      </c>
      <c r="H893" s="1" t="str">
        <f>VLOOKUP(B893,'old-aw-skill-plan'!A:I,9,FALSE)</f>
        <v>6-7</v>
      </c>
    </row>
    <row r="894" ht="15.75" customHeight="1">
      <c r="A894" s="1" t="s">
        <v>82</v>
      </c>
      <c r="B894" s="1" t="s">
        <v>104</v>
      </c>
      <c r="C894" s="1" t="s">
        <v>11</v>
      </c>
      <c r="D894" s="5">
        <v>45681.0</v>
      </c>
      <c r="G894" s="1">
        <f>VLOOKUP(B894,'old-aw-skill-plan'!A:I,7,FALSE)</f>
        <v>5</v>
      </c>
      <c r="H894" s="1" t="str">
        <f>VLOOKUP(B894,'old-aw-skill-plan'!A:I,9,FALSE)</f>
        <v>5-2</v>
      </c>
    </row>
    <row r="895" ht="15.75" customHeight="1">
      <c r="A895" s="1" t="s">
        <v>29</v>
      </c>
      <c r="B895" s="1" t="s">
        <v>117</v>
      </c>
      <c r="C895" s="1" t="s">
        <v>11</v>
      </c>
      <c r="D895" s="5">
        <v>45680.0</v>
      </c>
      <c r="G895" s="1">
        <f>VLOOKUP(B895,'old-aw-skill-plan'!A:I,7,FALSE)</f>
        <v>3</v>
      </c>
      <c r="H895" s="1" t="str">
        <f>VLOOKUP(B895,'old-aw-skill-plan'!A:I,9,FALSE)</f>
        <v>3-11</v>
      </c>
    </row>
    <row r="896" ht="15.75" customHeight="1">
      <c r="A896" s="1" t="s">
        <v>29</v>
      </c>
      <c r="B896" s="1" t="s">
        <v>118</v>
      </c>
      <c r="C896" s="1" t="s">
        <v>11</v>
      </c>
      <c r="D896" s="5">
        <v>45680.0</v>
      </c>
      <c r="G896" s="1">
        <f>VLOOKUP(B896,'old-aw-skill-plan'!A:I,7,FALSE)</f>
        <v>3</v>
      </c>
      <c r="H896" s="1" t="str">
        <f>VLOOKUP(B896,'old-aw-skill-plan'!A:I,9,FALSE)</f>
        <v>3-12</v>
      </c>
    </row>
    <row r="897" ht="15.75" customHeight="1">
      <c r="A897" s="1" t="s">
        <v>64</v>
      </c>
      <c r="B897" s="1" t="s">
        <v>104</v>
      </c>
      <c r="C897" s="1" t="s">
        <v>11</v>
      </c>
      <c r="D897" s="5">
        <v>45680.0</v>
      </c>
      <c r="G897" s="1">
        <f>VLOOKUP(B897,'old-aw-skill-plan'!A:I,7,FALSE)</f>
        <v>5</v>
      </c>
      <c r="H897" s="1" t="str">
        <f>VLOOKUP(B897,'old-aw-skill-plan'!A:I,9,FALSE)</f>
        <v>5-2</v>
      </c>
    </row>
    <row r="898" ht="15.75" customHeight="1">
      <c r="A898" s="1" t="s">
        <v>82</v>
      </c>
      <c r="B898" s="1" t="s">
        <v>115</v>
      </c>
      <c r="C898" s="1" t="s">
        <v>11</v>
      </c>
      <c r="D898" s="5">
        <v>45680.0</v>
      </c>
      <c r="G898" s="1">
        <f>VLOOKUP(B898,'old-aw-skill-plan'!A:I,7,FALSE)</f>
        <v>3</v>
      </c>
      <c r="H898" s="1" t="str">
        <f>VLOOKUP(B898,'old-aw-skill-plan'!A:I,9,FALSE)</f>
        <v>3-10</v>
      </c>
    </row>
    <row r="899" ht="15.75" customHeight="1">
      <c r="A899" s="1" t="s">
        <v>82</v>
      </c>
      <c r="B899" s="1" t="s">
        <v>104</v>
      </c>
      <c r="C899" s="1" t="s">
        <v>11</v>
      </c>
      <c r="D899" s="5">
        <v>45680.0</v>
      </c>
      <c r="G899" s="1">
        <f>VLOOKUP(B899,'old-aw-skill-plan'!A:I,7,FALSE)</f>
        <v>5</v>
      </c>
      <c r="H899" s="1" t="str">
        <f>VLOOKUP(B899,'old-aw-skill-plan'!A:I,9,FALSE)</f>
        <v>5-2</v>
      </c>
    </row>
    <row r="900" ht="15.75" customHeight="1">
      <c r="A900" s="1" t="s">
        <v>101</v>
      </c>
      <c r="B900" s="1" t="s">
        <v>34</v>
      </c>
      <c r="C900" s="1" t="s">
        <v>11</v>
      </c>
      <c r="D900" s="5">
        <v>45680.0</v>
      </c>
      <c r="G900" s="1">
        <f>VLOOKUP(B900,'old-aw-skill-plan'!A:I,7,FALSE)</f>
        <v>4</v>
      </c>
      <c r="H900" s="1" t="str">
        <f>VLOOKUP(B900,'old-aw-skill-plan'!A:I,9,FALSE)</f>
        <v>4-1</v>
      </c>
    </row>
    <row r="901" ht="15.75" customHeight="1">
      <c r="A901" s="1" t="s">
        <v>29</v>
      </c>
      <c r="B901" s="1" t="s">
        <v>117</v>
      </c>
      <c r="C901" s="1" t="s">
        <v>11</v>
      </c>
      <c r="D901" s="5">
        <v>45679.0</v>
      </c>
      <c r="G901" s="1">
        <f>VLOOKUP(B901,'old-aw-skill-plan'!A:I,7,FALSE)</f>
        <v>3</v>
      </c>
      <c r="H901" s="1" t="str">
        <f>VLOOKUP(B901,'old-aw-skill-plan'!A:I,9,FALSE)</f>
        <v>3-11</v>
      </c>
    </row>
    <row r="902" ht="15.75" customHeight="1">
      <c r="A902" s="1" t="s">
        <v>189</v>
      </c>
      <c r="B902" s="1" t="s">
        <v>34</v>
      </c>
      <c r="C902" s="1" t="s">
        <v>11</v>
      </c>
      <c r="D902" s="5">
        <v>45679.0</v>
      </c>
      <c r="G902" s="1">
        <f>VLOOKUP(B902,'old-aw-skill-plan'!A:I,7,FALSE)</f>
        <v>4</v>
      </c>
      <c r="H902" s="1" t="str">
        <f>VLOOKUP(B902,'old-aw-skill-plan'!A:I,9,FALSE)</f>
        <v>4-1</v>
      </c>
    </row>
    <row r="903" ht="15.75" customHeight="1">
      <c r="A903" s="1" t="s">
        <v>24</v>
      </c>
      <c r="B903" s="1" t="s">
        <v>314</v>
      </c>
      <c r="C903" s="1" t="s">
        <v>11</v>
      </c>
      <c r="D903" s="5">
        <v>45679.0</v>
      </c>
      <c r="G903" s="1">
        <f>VLOOKUP(B903,'old-aw-skill-plan'!A:I,7,FALSE)</f>
        <v>5</v>
      </c>
      <c r="H903" s="1" t="str">
        <f>VLOOKUP(B903,'old-aw-skill-plan'!A:I,9,FALSE)</f>
        <v>5-10</v>
      </c>
    </row>
    <row r="904" ht="15.75" customHeight="1">
      <c r="A904" s="1" t="s">
        <v>64</v>
      </c>
      <c r="B904" s="1" t="s">
        <v>104</v>
      </c>
      <c r="C904" s="1" t="s">
        <v>11</v>
      </c>
      <c r="D904" s="5">
        <v>45679.0</v>
      </c>
      <c r="G904" s="1">
        <f>VLOOKUP(B904,'old-aw-skill-plan'!A:I,7,FALSE)</f>
        <v>5</v>
      </c>
      <c r="H904" s="1" t="str">
        <f>VLOOKUP(B904,'old-aw-skill-plan'!A:I,9,FALSE)</f>
        <v>5-2</v>
      </c>
    </row>
    <row r="905" ht="15.75" customHeight="1">
      <c r="A905" s="1" t="s">
        <v>100</v>
      </c>
      <c r="B905" s="1" t="s">
        <v>324</v>
      </c>
      <c r="C905" s="1" t="s">
        <v>11</v>
      </c>
      <c r="D905" s="5">
        <v>45679.0</v>
      </c>
      <c r="G905" s="1" t="str">
        <f>VLOOKUP(B905,'old-aw-skill-plan'!A:I,7,FALSE)</f>
        <v>#N/A</v>
      </c>
      <c r="H905" s="1" t="str">
        <f>VLOOKUP(B905,'old-aw-skill-plan'!A:I,9,FALSE)</f>
        <v>#N/A</v>
      </c>
    </row>
    <row r="906" ht="15.75" customHeight="1">
      <c r="A906" s="1" t="s">
        <v>82</v>
      </c>
      <c r="B906" s="1" t="s">
        <v>115</v>
      </c>
      <c r="C906" s="1" t="s">
        <v>11</v>
      </c>
      <c r="D906" s="5">
        <v>45679.0</v>
      </c>
      <c r="G906" s="1">
        <f>VLOOKUP(B906,'old-aw-skill-plan'!A:I,7,FALSE)</f>
        <v>3</v>
      </c>
      <c r="H906" s="1" t="str">
        <f>VLOOKUP(B906,'old-aw-skill-plan'!A:I,9,FALSE)</f>
        <v>3-10</v>
      </c>
    </row>
    <row r="907" ht="15.75" customHeight="1">
      <c r="A907" s="1" t="s">
        <v>82</v>
      </c>
      <c r="B907" s="1" t="s">
        <v>104</v>
      </c>
      <c r="C907" s="1" t="s">
        <v>11</v>
      </c>
      <c r="D907" s="5">
        <v>45679.0</v>
      </c>
      <c r="G907" s="1">
        <f>VLOOKUP(B907,'old-aw-skill-plan'!A:I,7,FALSE)</f>
        <v>5</v>
      </c>
      <c r="H907" s="1" t="str">
        <f>VLOOKUP(B907,'old-aw-skill-plan'!A:I,9,FALSE)</f>
        <v>5-2</v>
      </c>
    </row>
    <row r="908" ht="15.75" customHeight="1">
      <c r="A908" s="1" t="s">
        <v>82</v>
      </c>
      <c r="B908" s="1" t="s">
        <v>88</v>
      </c>
      <c r="C908" s="1" t="s">
        <v>11</v>
      </c>
      <c r="D908" s="5">
        <v>45679.0</v>
      </c>
      <c r="G908" s="1">
        <f>VLOOKUP(B908,'old-aw-skill-plan'!A:I,7,FALSE)</f>
        <v>5</v>
      </c>
      <c r="H908" s="1" t="str">
        <f>VLOOKUP(B908,'old-aw-skill-plan'!A:I,9,FALSE)</f>
        <v>5-5</v>
      </c>
    </row>
    <row r="909" ht="15.75" customHeight="1">
      <c r="A909" s="1" t="s">
        <v>29</v>
      </c>
      <c r="B909" s="1" t="s">
        <v>115</v>
      </c>
      <c r="C909" s="1" t="s">
        <v>11</v>
      </c>
      <c r="D909" s="5">
        <v>45678.0</v>
      </c>
      <c r="G909" s="1">
        <f>VLOOKUP(B909,'old-aw-skill-plan'!A:I,7,FALSE)</f>
        <v>3</v>
      </c>
      <c r="H909" s="1" t="str">
        <f>VLOOKUP(B909,'old-aw-skill-plan'!A:I,9,FALSE)</f>
        <v>3-10</v>
      </c>
    </row>
    <row r="910" ht="15.75" customHeight="1">
      <c r="A910" s="1" t="s">
        <v>29</v>
      </c>
      <c r="B910" s="1" t="s">
        <v>116</v>
      </c>
      <c r="C910" s="1" t="s">
        <v>11</v>
      </c>
      <c r="D910" s="5">
        <v>45678.0</v>
      </c>
      <c r="G910" s="1">
        <f>VLOOKUP(B910,'old-aw-skill-plan'!A:I,7,FALSE)</f>
        <v>3</v>
      </c>
      <c r="H910" s="1" t="str">
        <f>VLOOKUP(B910,'old-aw-skill-plan'!A:I,9,FALSE)</f>
        <v>3-9</v>
      </c>
    </row>
    <row r="911" ht="15.75" customHeight="1">
      <c r="A911" s="1" t="s">
        <v>39</v>
      </c>
      <c r="B911" s="1" t="s">
        <v>66</v>
      </c>
      <c r="C911" s="1" t="s">
        <v>11</v>
      </c>
      <c r="D911" s="5">
        <v>45678.0</v>
      </c>
      <c r="G911" s="1">
        <f>VLOOKUP(B911,'old-aw-skill-plan'!A:I,7,FALSE)</f>
        <v>4</v>
      </c>
      <c r="H911" s="1" t="str">
        <f>VLOOKUP(B911,'old-aw-skill-plan'!A:I,9,FALSE)</f>
        <v>4-9</v>
      </c>
    </row>
    <row r="912" ht="15.75" customHeight="1">
      <c r="A912" s="1" t="s">
        <v>196</v>
      </c>
      <c r="B912" s="1" t="s">
        <v>28</v>
      </c>
      <c r="C912" s="1" t="s">
        <v>11</v>
      </c>
      <c r="D912" s="5">
        <v>45678.0</v>
      </c>
      <c r="G912" s="1">
        <f>VLOOKUP(B912,'old-aw-skill-plan'!A:I,7,FALSE)</f>
        <v>3</v>
      </c>
      <c r="H912" s="1" t="str">
        <f>VLOOKUP(B912,'old-aw-skill-plan'!A:I,9,FALSE)</f>
        <v>3-4</v>
      </c>
    </row>
    <row r="913" ht="15.75" customHeight="1">
      <c r="A913" s="1" t="s">
        <v>196</v>
      </c>
      <c r="B913" s="1" t="s">
        <v>10</v>
      </c>
      <c r="C913" s="1" t="s">
        <v>11</v>
      </c>
      <c r="D913" s="5">
        <v>45678.0</v>
      </c>
      <c r="G913" s="1">
        <f>VLOOKUP(B913,'old-aw-skill-plan'!A:I,7,FALSE)</f>
        <v>3</v>
      </c>
      <c r="H913" s="1" t="str">
        <f>VLOOKUP(B913,'old-aw-skill-plan'!A:I,9,FALSE)</f>
        <v>3-1</v>
      </c>
    </row>
    <row r="914" ht="15.75" customHeight="1">
      <c r="A914" s="1" t="s">
        <v>196</v>
      </c>
      <c r="B914" s="1" t="s">
        <v>33</v>
      </c>
      <c r="C914" s="1" t="s">
        <v>11</v>
      </c>
      <c r="D914" s="5">
        <v>45678.0</v>
      </c>
      <c r="G914" s="1">
        <f>VLOOKUP(B914,'old-aw-skill-plan'!A:I,7,FALSE)</f>
        <v>3</v>
      </c>
      <c r="H914" s="1" t="str">
        <f>VLOOKUP(B914,'old-aw-skill-plan'!A:I,9,FALSE)</f>
        <v>3-5</v>
      </c>
    </row>
    <row r="915" ht="15.75" customHeight="1">
      <c r="A915" s="1" t="s">
        <v>60</v>
      </c>
      <c r="B915" s="1" t="s">
        <v>104</v>
      </c>
      <c r="C915" s="1" t="s">
        <v>11</v>
      </c>
      <c r="D915" s="5">
        <v>45678.0</v>
      </c>
      <c r="G915" s="1">
        <f>VLOOKUP(B915,'old-aw-skill-plan'!A:I,7,FALSE)</f>
        <v>5</v>
      </c>
      <c r="H915" s="1" t="str">
        <f>VLOOKUP(B915,'old-aw-skill-plan'!A:I,9,FALSE)</f>
        <v>5-2</v>
      </c>
    </row>
    <row r="916" ht="15.75" customHeight="1">
      <c r="A916" s="1" t="s">
        <v>77</v>
      </c>
      <c r="B916" s="1" t="s">
        <v>23</v>
      </c>
      <c r="C916" s="1" t="s">
        <v>11</v>
      </c>
      <c r="D916" s="5">
        <v>45678.0</v>
      </c>
      <c r="G916" s="1">
        <f>VLOOKUP(B916,'old-aw-skill-plan'!A:I,7,FALSE)</f>
        <v>4</v>
      </c>
      <c r="H916" s="1" t="str">
        <f>VLOOKUP(B916,'old-aw-skill-plan'!A:I,9,FALSE)</f>
        <v>4-5</v>
      </c>
    </row>
    <row r="917" ht="15.75" customHeight="1">
      <c r="A917" s="1" t="s">
        <v>196</v>
      </c>
      <c r="B917" s="1" t="s">
        <v>28</v>
      </c>
      <c r="C917" s="1" t="s">
        <v>11</v>
      </c>
      <c r="D917" s="5">
        <v>45677.0</v>
      </c>
      <c r="G917" s="1">
        <f>VLOOKUP(B917,'old-aw-skill-plan'!A:I,7,FALSE)</f>
        <v>3</v>
      </c>
      <c r="H917" s="1" t="str">
        <f>VLOOKUP(B917,'old-aw-skill-plan'!A:I,9,FALSE)</f>
        <v>3-4</v>
      </c>
    </row>
    <row r="918" ht="15.75" customHeight="1">
      <c r="A918" s="1" t="s">
        <v>196</v>
      </c>
      <c r="B918" s="1" t="s">
        <v>33</v>
      </c>
      <c r="C918" s="1" t="s">
        <v>11</v>
      </c>
      <c r="D918" s="5">
        <v>45677.0</v>
      </c>
      <c r="G918" s="1">
        <f>VLOOKUP(B918,'old-aw-skill-plan'!A:I,7,FALSE)</f>
        <v>3</v>
      </c>
      <c r="H918" s="1" t="str">
        <f>VLOOKUP(B918,'old-aw-skill-plan'!A:I,9,FALSE)</f>
        <v>3-5</v>
      </c>
    </row>
    <row r="919" ht="15.75" customHeight="1">
      <c r="A919" s="1" t="s">
        <v>186</v>
      </c>
      <c r="B919" s="1" t="s">
        <v>44</v>
      </c>
      <c r="C919" s="1" t="s">
        <v>11</v>
      </c>
      <c r="D919" s="5">
        <v>45677.0</v>
      </c>
      <c r="G919" s="1">
        <f>VLOOKUP(B919,'old-aw-skill-plan'!A:I,7,FALSE)</f>
        <v>5</v>
      </c>
      <c r="H919" s="1" t="str">
        <f>VLOOKUP(B919,'old-aw-skill-plan'!A:I,9,FALSE)</f>
        <v>5-1</v>
      </c>
    </row>
    <row r="920" ht="15.75" customHeight="1">
      <c r="A920" s="1" t="s">
        <v>100</v>
      </c>
      <c r="B920" s="1" t="s">
        <v>324</v>
      </c>
      <c r="C920" s="1" t="s">
        <v>11</v>
      </c>
      <c r="D920" s="5">
        <v>45677.0</v>
      </c>
      <c r="G920" s="1" t="str">
        <f>VLOOKUP(B920,'old-aw-skill-plan'!A:I,7,FALSE)</f>
        <v>#N/A</v>
      </c>
      <c r="H920" s="1" t="str">
        <f>VLOOKUP(B920,'old-aw-skill-plan'!A:I,9,FALSE)</f>
        <v>#N/A</v>
      </c>
    </row>
    <row r="921" ht="15.75" customHeight="1">
      <c r="A921" s="1" t="s">
        <v>82</v>
      </c>
      <c r="B921" s="1" t="s">
        <v>104</v>
      </c>
      <c r="C921" s="1" t="s">
        <v>11</v>
      </c>
      <c r="D921" s="5">
        <v>45677.0</v>
      </c>
      <c r="G921" s="1">
        <f>VLOOKUP(B921,'old-aw-skill-plan'!A:I,7,FALSE)</f>
        <v>5</v>
      </c>
      <c r="H921" s="1" t="str">
        <f>VLOOKUP(B921,'old-aw-skill-plan'!A:I,9,FALSE)</f>
        <v>5-2</v>
      </c>
    </row>
    <row r="922" ht="15.75" customHeight="1">
      <c r="A922" s="1" t="s">
        <v>82</v>
      </c>
      <c r="B922" s="1" t="s">
        <v>88</v>
      </c>
      <c r="C922" s="1" t="s">
        <v>11</v>
      </c>
      <c r="D922" s="5">
        <v>45677.0</v>
      </c>
      <c r="G922" s="1">
        <f>VLOOKUP(B922,'old-aw-skill-plan'!A:I,7,FALSE)</f>
        <v>5</v>
      </c>
      <c r="H922" s="1" t="str">
        <f>VLOOKUP(B922,'old-aw-skill-plan'!A:I,9,FALSE)</f>
        <v>5-5</v>
      </c>
    </row>
    <row r="923" ht="15.75" customHeight="1">
      <c r="A923" s="1" t="s">
        <v>326</v>
      </c>
      <c r="B923" s="1" t="s">
        <v>83</v>
      </c>
      <c r="C923" s="1" t="s">
        <v>11</v>
      </c>
      <c r="D923" s="5">
        <v>45677.0</v>
      </c>
      <c r="G923" s="1">
        <f>VLOOKUP(B923,'old-aw-skill-plan'!A:I,7,FALSE)</f>
        <v>5</v>
      </c>
      <c r="H923" s="1" t="str">
        <f>VLOOKUP(B923,'old-aw-skill-plan'!A:I,9,FALSE)</f>
        <v>5-9</v>
      </c>
    </row>
    <row r="924" ht="15.75" customHeight="1">
      <c r="A924" s="1" t="s">
        <v>186</v>
      </c>
      <c r="B924" s="1" t="s">
        <v>44</v>
      </c>
      <c r="C924" s="1" t="s">
        <v>11</v>
      </c>
      <c r="D924" s="5">
        <v>45676.0</v>
      </c>
      <c r="G924" s="1">
        <f>VLOOKUP(B924,'old-aw-skill-plan'!A:I,7,FALSE)</f>
        <v>5</v>
      </c>
      <c r="H924" s="1" t="str">
        <f>VLOOKUP(B924,'old-aw-skill-plan'!A:I,9,FALSE)</f>
        <v>5-1</v>
      </c>
    </row>
    <row r="925" ht="15.75" customHeight="1">
      <c r="A925" s="1" t="s">
        <v>24</v>
      </c>
      <c r="B925" s="1" t="s">
        <v>314</v>
      </c>
      <c r="C925" s="1" t="s">
        <v>11</v>
      </c>
      <c r="D925" s="5">
        <v>45674.0</v>
      </c>
      <c r="G925" s="1">
        <f>VLOOKUP(B925,'old-aw-skill-plan'!A:I,7,FALSE)</f>
        <v>5</v>
      </c>
      <c r="H925" s="1" t="str">
        <f>VLOOKUP(B925,'old-aw-skill-plan'!A:I,9,FALSE)</f>
        <v>5-10</v>
      </c>
    </row>
    <row r="926" ht="15.75" customHeight="1">
      <c r="A926" s="1" t="s">
        <v>55</v>
      </c>
      <c r="B926" s="1" t="s">
        <v>44</v>
      </c>
      <c r="C926" s="1" t="s">
        <v>11</v>
      </c>
      <c r="D926" s="5">
        <v>45674.0</v>
      </c>
      <c r="G926" s="1">
        <f>VLOOKUP(B926,'old-aw-skill-plan'!A:I,7,FALSE)</f>
        <v>5</v>
      </c>
      <c r="H926" s="1" t="str">
        <f>VLOOKUP(B926,'old-aw-skill-plan'!A:I,9,FALSE)</f>
        <v>5-1</v>
      </c>
    </row>
    <row r="927" ht="15.75" customHeight="1">
      <c r="A927" s="1" t="s">
        <v>64</v>
      </c>
      <c r="B927" s="1" t="s">
        <v>104</v>
      </c>
      <c r="C927" s="1" t="s">
        <v>11</v>
      </c>
      <c r="D927" s="5">
        <v>45674.0</v>
      </c>
      <c r="G927" s="1">
        <f>VLOOKUP(B927,'old-aw-skill-plan'!A:I,7,FALSE)</f>
        <v>5</v>
      </c>
      <c r="H927" s="1" t="str">
        <f>VLOOKUP(B927,'old-aw-skill-plan'!A:I,9,FALSE)</f>
        <v>5-2</v>
      </c>
    </row>
    <row r="928" ht="15.75" customHeight="1">
      <c r="A928" s="1" t="s">
        <v>60</v>
      </c>
      <c r="B928" s="1" t="s">
        <v>104</v>
      </c>
      <c r="C928" s="1" t="s">
        <v>11</v>
      </c>
      <c r="D928" s="5">
        <v>45674.0</v>
      </c>
      <c r="G928" s="1">
        <f>VLOOKUP(B928,'old-aw-skill-plan'!A:I,7,FALSE)</f>
        <v>5</v>
      </c>
      <c r="H928" s="1" t="str">
        <f>VLOOKUP(B928,'old-aw-skill-plan'!A:I,9,FALSE)</f>
        <v>5-2</v>
      </c>
    </row>
    <row r="929" ht="15.75" customHeight="1">
      <c r="A929" s="1" t="s">
        <v>63</v>
      </c>
      <c r="B929" s="1" t="s">
        <v>83</v>
      </c>
      <c r="C929" s="1" t="s">
        <v>11</v>
      </c>
      <c r="D929" s="5">
        <v>45674.0</v>
      </c>
      <c r="G929" s="1">
        <f>VLOOKUP(B929,'old-aw-skill-plan'!A:I,7,FALSE)</f>
        <v>5</v>
      </c>
      <c r="H929" s="1" t="str">
        <f>VLOOKUP(B929,'old-aw-skill-plan'!A:I,9,FALSE)</f>
        <v>5-9</v>
      </c>
    </row>
    <row r="930" ht="15.75" customHeight="1">
      <c r="A930" s="1" t="s">
        <v>68</v>
      </c>
      <c r="B930" s="1" t="s">
        <v>48</v>
      </c>
      <c r="C930" s="1" t="s">
        <v>11</v>
      </c>
      <c r="D930" s="5">
        <v>45674.0</v>
      </c>
      <c r="G930" s="1">
        <f>VLOOKUP(B930,'old-aw-skill-plan'!A:I,7,FALSE)</f>
        <v>3</v>
      </c>
      <c r="H930" s="1" t="str">
        <f>VLOOKUP(B930,'old-aw-skill-plan'!A:I,9,FALSE)</f>
        <v>3-6</v>
      </c>
    </row>
    <row r="931" ht="15.75" customHeight="1">
      <c r="A931" s="1" t="s">
        <v>197</v>
      </c>
      <c r="B931" s="1" t="s">
        <v>337</v>
      </c>
      <c r="C931" s="1" t="s">
        <v>11</v>
      </c>
      <c r="D931" s="5">
        <v>45674.0</v>
      </c>
      <c r="G931" s="1">
        <f>VLOOKUP(B931,'old-aw-skill-plan'!A:I,7,FALSE)</f>
        <v>4</v>
      </c>
      <c r="H931" s="1" t="str">
        <f>VLOOKUP(B931,'old-aw-skill-plan'!A:I,9,FALSE)</f>
        <v>4-10</v>
      </c>
    </row>
    <row r="932" ht="15.75" customHeight="1">
      <c r="A932" s="1" t="s">
        <v>74</v>
      </c>
      <c r="B932" s="1" t="s">
        <v>104</v>
      </c>
      <c r="C932" s="1" t="s">
        <v>11</v>
      </c>
      <c r="D932" s="5">
        <v>45674.0</v>
      </c>
      <c r="G932" s="1">
        <f>VLOOKUP(B932,'old-aw-skill-plan'!A:I,7,FALSE)</f>
        <v>5</v>
      </c>
      <c r="H932" s="1" t="str">
        <f>VLOOKUP(B932,'old-aw-skill-plan'!A:I,9,FALSE)</f>
        <v>5-2</v>
      </c>
    </row>
    <row r="933" ht="15.75" customHeight="1">
      <c r="A933" s="1" t="s">
        <v>74</v>
      </c>
      <c r="B933" s="1" t="s">
        <v>325</v>
      </c>
      <c r="C933" s="1" t="s">
        <v>11</v>
      </c>
      <c r="D933" s="5">
        <v>45674.0</v>
      </c>
      <c r="G933" s="1" t="str">
        <f>VLOOKUP(B933,'old-aw-skill-plan'!A:I,7,FALSE)</f>
        <v>#N/A</v>
      </c>
      <c r="H933" s="1" t="str">
        <f>VLOOKUP(B933,'old-aw-skill-plan'!A:I,9,FALSE)</f>
        <v>#N/A</v>
      </c>
    </row>
    <row r="934" ht="15.75" customHeight="1">
      <c r="A934" s="1" t="s">
        <v>75</v>
      </c>
      <c r="B934" s="1" t="s">
        <v>323</v>
      </c>
      <c r="C934" s="1" t="s">
        <v>11</v>
      </c>
      <c r="D934" s="5">
        <v>45674.0</v>
      </c>
      <c r="G934" s="1">
        <f>VLOOKUP(B934,'old-aw-skill-plan'!A:I,7,FALSE)</f>
        <v>6</v>
      </c>
      <c r="H934" s="1" t="str">
        <f>VLOOKUP(B934,'old-aw-skill-plan'!A:I,9,FALSE)</f>
        <v>6-7</v>
      </c>
    </row>
    <row r="935" ht="15.75" customHeight="1">
      <c r="A935" s="1" t="s">
        <v>75</v>
      </c>
      <c r="B935" s="1" t="s">
        <v>139</v>
      </c>
      <c r="C935" s="1" t="s">
        <v>11</v>
      </c>
      <c r="D935" s="5">
        <v>45674.0</v>
      </c>
      <c r="G935" s="1">
        <f>VLOOKUP(B935,'old-aw-skill-plan'!A:I,7,FALSE)</f>
        <v>6</v>
      </c>
      <c r="H935" s="1" t="str">
        <f>VLOOKUP(B935,'old-aw-skill-plan'!A:I,9,FALSE)</f>
        <v>6-8</v>
      </c>
    </row>
    <row r="936" ht="15.75" customHeight="1">
      <c r="A936" s="1" t="s">
        <v>82</v>
      </c>
      <c r="B936" s="1" t="s">
        <v>115</v>
      </c>
      <c r="C936" s="1" t="s">
        <v>11</v>
      </c>
      <c r="D936" s="5">
        <v>45674.0</v>
      </c>
      <c r="G936" s="1">
        <f>VLOOKUP(B936,'old-aw-skill-plan'!A:I,7,FALSE)</f>
        <v>3</v>
      </c>
      <c r="H936" s="1" t="str">
        <f>VLOOKUP(B936,'old-aw-skill-plan'!A:I,9,FALSE)</f>
        <v>3-10</v>
      </c>
    </row>
    <row r="937" ht="15.75" customHeight="1">
      <c r="A937" s="1" t="s">
        <v>82</v>
      </c>
      <c r="B937" s="1" t="s">
        <v>104</v>
      </c>
      <c r="C937" s="1" t="s">
        <v>11</v>
      </c>
      <c r="D937" s="5">
        <v>45674.0</v>
      </c>
      <c r="G937" s="1">
        <f>VLOOKUP(B937,'old-aw-skill-plan'!A:I,7,FALSE)</f>
        <v>5</v>
      </c>
      <c r="H937" s="1" t="str">
        <f>VLOOKUP(B937,'old-aw-skill-plan'!A:I,9,FALSE)</f>
        <v>5-2</v>
      </c>
    </row>
    <row r="938" ht="15.75" customHeight="1">
      <c r="A938" s="1" t="s">
        <v>82</v>
      </c>
      <c r="B938" s="1" t="s">
        <v>310</v>
      </c>
      <c r="C938" s="1" t="s">
        <v>11</v>
      </c>
      <c r="D938" s="5">
        <v>45674.0</v>
      </c>
      <c r="G938" s="1" t="str">
        <f>VLOOKUP(B938,'old-aw-skill-plan'!A:I,7,FALSE)</f>
        <v>#N/A</v>
      </c>
      <c r="H938" s="1" t="str">
        <f>VLOOKUP(B938,'old-aw-skill-plan'!A:I,9,FALSE)</f>
        <v>#N/A</v>
      </c>
    </row>
    <row r="939" ht="15.75" customHeight="1">
      <c r="A939" s="1" t="s">
        <v>82</v>
      </c>
      <c r="B939" s="1" t="s">
        <v>330</v>
      </c>
      <c r="C939" s="1" t="s">
        <v>11</v>
      </c>
      <c r="D939" s="5">
        <v>45674.0</v>
      </c>
      <c r="G939" s="1" t="str">
        <f>VLOOKUP(B939,'old-aw-skill-plan'!A:I,7,FALSE)</f>
        <v>#N/A</v>
      </c>
      <c r="H939" s="1" t="str">
        <f>VLOOKUP(B939,'old-aw-skill-plan'!A:I,9,FALSE)</f>
        <v>#N/A</v>
      </c>
    </row>
    <row r="940" ht="15.75" customHeight="1">
      <c r="A940" s="1" t="s">
        <v>82</v>
      </c>
      <c r="B940" s="1" t="s">
        <v>325</v>
      </c>
      <c r="C940" s="1" t="s">
        <v>11</v>
      </c>
      <c r="D940" s="5">
        <v>45674.0</v>
      </c>
      <c r="G940" s="1" t="str">
        <f>VLOOKUP(B940,'old-aw-skill-plan'!A:I,7,FALSE)</f>
        <v>#N/A</v>
      </c>
      <c r="H940" s="1" t="str">
        <f>VLOOKUP(B940,'old-aw-skill-plan'!A:I,9,FALSE)</f>
        <v>#N/A</v>
      </c>
    </row>
    <row r="941" ht="15.75" customHeight="1">
      <c r="A941" s="1" t="s">
        <v>29</v>
      </c>
      <c r="B941" s="1" t="s">
        <v>58</v>
      </c>
      <c r="C941" s="1" t="s">
        <v>11</v>
      </c>
      <c r="D941" s="5">
        <v>45673.0</v>
      </c>
      <c r="G941" s="1">
        <f>VLOOKUP(B941,'old-aw-skill-plan'!A:I,7,FALSE)</f>
        <v>3</v>
      </c>
      <c r="H941" s="1" t="str">
        <f>VLOOKUP(B941,'old-aw-skill-plan'!A:I,9,FALSE)</f>
        <v>3-8</v>
      </c>
    </row>
    <row r="942" ht="15.75" customHeight="1">
      <c r="A942" s="1" t="s">
        <v>24</v>
      </c>
      <c r="B942" s="1" t="s">
        <v>314</v>
      </c>
      <c r="C942" s="1" t="s">
        <v>11</v>
      </c>
      <c r="D942" s="5">
        <v>45673.0</v>
      </c>
      <c r="G942" s="1">
        <f>VLOOKUP(B942,'old-aw-skill-plan'!A:I,7,FALSE)</f>
        <v>5</v>
      </c>
      <c r="H942" s="1" t="str">
        <f>VLOOKUP(B942,'old-aw-skill-plan'!A:I,9,FALSE)</f>
        <v>5-10</v>
      </c>
    </row>
    <row r="943" ht="15.75" customHeight="1">
      <c r="A943" s="1" t="s">
        <v>64</v>
      </c>
      <c r="B943" s="1" t="s">
        <v>104</v>
      </c>
      <c r="C943" s="1" t="s">
        <v>11</v>
      </c>
      <c r="D943" s="5">
        <v>45673.0</v>
      </c>
      <c r="G943" s="1">
        <f>VLOOKUP(B943,'old-aw-skill-plan'!A:I,7,FALSE)</f>
        <v>5</v>
      </c>
      <c r="H943" s="1" t="str">
        <f>VLOOKUP(B943,'old-aw-skill-plan'!A:I,9,FALSE)</f>
        <v>5-2</v>
      </c>
    </row>
    <row r="944" ht="15.75" customHeight="1">
      <c r="A944" s="1" t="s">
        <v>39</v>
      </c>
      <c r="B944" s="1" t="s">
        <v>79</v>
      </c>
      <c r="C944" s="1" t="s">
        <v>11</v>
      </c>
      <c r="D944" s="5">
        <v>45673.0</v>
      </c>
      <c r="G944" s="1">
        <f>VLOOKUP(B944,'old-aw-skill-plan'!A:I,7,FALSE)</f>
        <v>4</v>
      </c>
      <c r="H944" s="1" t="str">
        <f>VLOOKUP(B944,'old-aw-skill-plan'!A:I,9,FALSE)</f>
        <v>4-8</v>
      </c>
    </row>
    <row r="945" ht="15.75" customHeight="1">
      <c r="A945" s="1" t="s">
        <v>39</v>
      </c>
      <c r="B945" s="1" t="s">
        <v>44</v>
      </c>
      <c r="C945" s="1" t="s">
        <v>11</v>
      </c>
      <c r="D945" s="5">
        <v>45673.0</v>
      </c>
      <c r="G945" s="1">
        <f>VLOOKUP(B945,'old-aw-skill-plan'!A:I,7,FALSE)</f>
        <v>5</v>
      </c>
      <c r="H945" s="1" t="str">
        <f>VLOOKUP(B945,'old-aw-skill-plan'!A:I,9,FALSE)</f>
        <v>5-1</v>
      </c>
    </row>
    <row r="946" ht="15.75" customHeight="1">
      <c r="A946" s="1" t="s">
        <v>63</v>
      </c>
      <c r="B946" s="1" t="s">
        <v>83</v>
      </c>
      <c r="C946" s="1" t="s">
        <v>11</v>
      </c>
      <c r="D946" s="5">
        <v>45673.0</v>
      </c>
      <c r="G946" s="1">
        <f>VLOOKUP(B946,'old-aw-skill-plan'!A:I,7,FALSE)</f>
        <v>5</v>
      </c>
      <c r="H946" s="1" t="str">
        <f>VLOOKUP(B946,'old-aw-skill-plan'!A:I,9,FALSE)</f>
        <v>5-9</v>
      </c>
    </row>
    <row r="947" ht="15.75" customHeight="1">
      <c r="A947" s="1" t="s">
        <v>65</v>
      </c>
      <c r="B947" s="1" t="s">
        <v>61</v>
      </c>
      <c r="C947" s="1" t="s">
        <v>11</v>
      </c>
      <c r="D947" s="5">
        <v>45673.0</v>
      </c>
      <c r="G947" s="1">
        <f>VLOOKUP(B947,'old-aw-skill-plan'!A:I,7,FALSE)</f>
        <v>4</v>
      </c>
      <c r="H947" s="1" t="str">
        <f>VLOOKUP(B947,'old-aw-skill-plan'!A:I,9,FALSE)</f>
        <v>4-4</v>
      </c>
    </row>
    <row r="948" ht="15.75" customHeight="1">
      <c r="A948" s="1" t="s">
        <v>65</v>
      </c>
      <c r="B948" s="1" t="s">
        <v>23</v>
      </c>
      <c r="C948" s="1" t="s">
        <v>11</v>
      </c>
      <c r="D948" s="5">
        <v>45673.0</v>
      </c>
      <c r="G948" s="1">
        <f>VLOOKUP(B948,'old-aw-skill-plan'!A:I,7,FALSE)</f>
        <v>4</v>
      </c>
      <c r="H948" s="1" t="str">
        <f>VLOOKUP(B948,'old-aw-skill-plan'!A:I,9,FALSE)</f>
        <v>4-5</v>
      </c>
    </row>
    <row r="949" ht="15.75" customHeight="1">
      <c r="A949" s="1" t="s">
        <v>68</v>
      </c>
      <c r="B949" s="1" t="s">
        <v>48</v>
      </c>
      <c r="C949" s="1" t="s">
        <v>11</v>
      </c>
      <c r="D949" s="5">
        <v>45673.0</v>
      </c>
      <c r="G949" s="1">
        <f>VLOOKUP(B949,'old-aw-skill-plan'!A:I,7,FALSE)</f>
        <v>3</v>
      </c>
      <c r="H949" s="1" t="str">
        <f>VLOOKUP(B949,'old-aw-skill-plan'!A:I,9,FALSE)</f>
        <v>3-6</v>
      </c>
    </row>
    <row r="950" ht="15.75" customHeight="1">
      <c r="A950" s="1" t="s">
        <v>74</v>
      </c>
      <c r="B950" s="1" t="s">
        <v>307</v>
      </c>
      <c r="C950" s="1" t="s">
        <v>11</v>
      </c>
      <c r="D950" s="5">
        <v>45673.0</v>
      </c>
      <c r="G950" s="1">
        <f>VLOOKUP(B950,'old-aw-skill-plan'!A:I,7,FALSE)</f>
        <v>3</v>
      </c>
      <c r="H950" s="1" t="str">
        <f>VLOOKUP(B950,'old-aw-skill-plan'!A:I,9,FALSE)</f>
        <v>3-1</v>
      </c>
    </row>
    <row r="951" ht="15.75" customHeight="1">
      <c r="A951" s="1" t="s">
        <v>74</v>
      </c>
      <c r="B951" s="1" t="s">
        <v>104</v>
      </c>
      <c r="C951" s="1" t="s">
        <v>11</v>
      </c>
      <c r="D951" s="5">
        <v>45673.0</v>
      </c>
      <c r="G951" s="1">
        <f>VLOOKUP(B951,'old-aw-skill-plan'!A:I,7,FALSE)</f>
        <v>5</v>
      </c>
      <c r="H951" s="1" t="str">
        <f>VLOOKUP(B951,'old-aw-skill-plan'!A:I,9,FALSE)</f>
        <v>5-2</v>
      </c>
    </row>
    <row r="952" ht="15.75" customHeight="1">
      <c r="A952" s="1" t="s">
        <v>74</v>
      </c>
      <c r="B952" s="1" t="s">
        <v>328</v>
      </c>
      <c r="C952" s="1" t="s">
        <v>11</v>
      </c>
      <c r="D952" s="5">
        <v>45673.0</v>
      </c>
      <c r="G952" s="1" t="str">
        <f>VLOOKUP(B952,'old-aw-skill-plan'!A:I,7,FALSE)</f>
        <v>#N/A</v>
      </c>
      <c r="H952" s="1" t="str">
        <f>VLOOKUP(B952,'old-aw-skill-plan'!A:I,9,FALSE)</f>
        <v>#N/A</v>
      </c>
    </row>
    <row r="953" ht="15.75" customHeight="1">
      <c r="A953" s="1" t="s">
        <v>74</v>
      </c>
      <c r="B953" s="1" t="s">
        <v>338</v>
      </c>
      <c r="C953" s="1" t="s">
        <v>11</v>
      </c>
      <c r="D953" s="5">
        <v>45673.0</v>
      </c>
      <c r="G953" s="1" t="str">
        <f>VLOOKUP(B953,'old-aw-skill-plan'!A:I,7,FALSE)</f>
        <v>#N/A</v>
      </c>
      <c r="H953" s="1" t="str">
        <f>VLOOKUP(B953,'old-aw-skill-plan'!A:I,9,FALSE)</f>
        <v>#N/A</v>
      </c>
    </row>
    <row r="954" ht="15.75" customHeight="1">
      <c r="A954" s="1" t="s">
        <v>75</v>
      </c>
      <c r="B954" s="1" t="s">
        <v>139</v>
      </c>
      <c r="C954" s="1" t="s">
        <v>11</v>
      </c>
      <c r="D954" s="5">
        <v>45673.0</v>
      </c>
      <c r="G954" s="1">
        <f>VLOOKUP(B954,'old-aw-skill-plan'!A:I,7,FALSE)</f>
        <v>6</v>
      </c>
      <c r="H954" s="1" t="str">
        <f>VLOOKUP(B954,'old-aw-skill-plan'!A:I,9,FALSE)</f>
        <v>6-8</v>
      </c>
    </row>
    <row r="955" ht="15.75" customHeight="1">
      <c r="A955" s="1" t="s">
        <v>100</v>
      </c>
      <c r="B955" s="1" t="s">
        <v>324</v>
      </c>
      <c r="C955" s="1" t="s">
        <v>11</v>
      </c>
      <c r="D955" s="5">
        <v>45673.0</v>
      </c>
      <c r="G955" s="1" t="str">
        <f>VLOOKUP(B955,'old-aw-skill-plan'!A:I,7,FALSE)</f>
        <v>#N/A</v>
      </c>
      <c r="H955" s="1" t="str">
        <f>VLOOKUP(B955,'old-aw-skill-plan'!A:I,9,FALSE)</f>
        <v>#N/A</v>
      </c>
    </row>
    <row r="956" ht="15.75" customHeight="1">
      <c r="A956" s="1" t="s">
        <v>82</v>
      </c>
      <c r="B956" s="1" t="s">
        <v>44</v>
      </c>
      <c r="C956" s="1" t="s">
        <v>11</v>
      </c>
      <c r="D956" s="5">
        <v>45673.0</v>
      </c>
      <c r="G956" s="1">
        <f>VLOOKUP(B956,'old-aw-skill-plan'!A:I,7,FALSE)</f>
        <v>5</v>
      </c>
      <c r="H956" s="1" t="str">
        <f>VLOOKUP(B956,'old-aw-skill-plan'!A:I,9,FALSE)</f>
        <v>5-1</v>
      </c>
    </row>
    <row r="957" ht="15.75" customHeight="1">
      <c r="A957" s="1" t="s">
        <v>82</v>
      </c>
      <c r="B957" s="1" t="s">
        <v>130</v>
      </c>
      <c r="C957" s="1" t="s">
        <v>11</v>
      </c>
      <c r="D957" s="5">
        <v>45673.0</v>
      </c>
      <c r="G957" s="1">
        <f>VLOOKUP(B957,'old-aw-skill-plan'!A:I,7,FALSE)</f>
        <v>8</v>
      </c>
      <c r="H957" s="1" t="str">
        <f>VLOOKUP(B957,'old-aw-skill-plan'!A:I,9,FALSE)</f>
        <v>8-1</v>
      </c>
    </row>
    <row r="958" ht="15.75" customHeight="1">
      <c r="A958" s="1" t="s">
        <v>82</v>
      </c>
      <c r="B958" s="1" t="s">
        <v>104</v>
      </c>
      <c r="C958" s="1" t="s">
        <v>11</v>
      </c>
      <c r="D958" s="5">
        <v>45673.0</v>
      </c>
      <c r="G958" s="1">
        <f>VLOOKUP(B958,'old-aw-skill-plan'!A:I,7,FALSE)</f>
        <v>5</v>
      </c>
      <c r="H958" s="1" t="str">
        <f>VLOOKUP(B958,'old-aw-skill-plan'!A:I,9,FALSE)</f>
        <v>5-2</v>
      </c>
    </row>
    <row r="959" ht="15.75" customHeight="1">
      <c r="A959" s="1" t="s">
        <v>82</v>
      </c>
      <c r="B959" s="1" t="s">
        <v>325</v>
      </c>
      <c r="C959" s="1" t="s">
        <v>11</v>
      </c>
      <c r="D959" s="5">
        <v>45673.0</v>
      </c>
      <c r="G959" s="1" t="str">
        <f>VLOOKUP(B959,'old-aw-skill-plan'!A:I,7,FALSE)</f>
        <v>#N/A</v>
      </c>
      <c r="H959" s="1" t="str">
        <f>VLOOKUP(B959,'old-aw-skill-plan'!A:I,9,FALSE)</f>
        <v>#N/A</v>
      </c>
    </row>
    <row r="960" ht="15.75" customHeight="1">
      <c r="A960" s="1" t="s">
        <v>90</v>
      </c>
      <c r="B960" s="1" t="s">
        <v>28</v>
      </c>
      <c r="C960" s="1" t="s">
        <v>11</v>
      </c>
      <c r="D960" s="5">
        <v>45673.0</v>
      </c>
      <c r="G960" s="1">
        <f>VLOOKUP(B960,'old-aw-skill-plan'!A:I,7,FALSE)</f>
        <v>3</v>
      </c>
      <c r="H960" s="1" t="str">
        <f>VLOOKUP(B960,'old-aw-skill-plan'!A:I,9,FALSE)</f>
        <v>3-4</v>
      </c>
    </row>
    <row r="961" ht="15.75" customHeight="1">
      <c r="A961" s="1" t="s">
        <v>29</v>
      </c>
      <c r="B961" s="1" t="s">
        <v>57</v>
      </c>
      <c r="C961" s="1" t="s">
        <v>11</v>
      </c>
      <c r="D961" s="5">
        <v>45672.0</v>
      </c>
      <c r="G961" s="1">
        <f>VLOOKUP(B961,'old-aw-skill-plan'!A:I,7,FALSE)</f>
        <v>3</v>
      </c>
      <c r="H961" s="1" t="str">
        <f>VLOOKUP(B961,'old-aw-skill-plan'!A:I,9,FALSE)</f>
        <v>3-7</v>
      </c>
    </row>
    <row r="962" ht="15.75" customHeight="1">
      <c r="A962" s="1" t="s">
        <v>24</v>
      </c>
      <c r="B962" s="1" t="s">
        <v>314</v>
      </c>
      <c r="C962" s="1" t="s">
        <v>11</v>
      </c>
      <c r="D962" s="5">
        <v>45672.0</v>
      </c>
      <c r="G962" s="1">
        <f>VLOOKUP(B962,'old-aw-skill-plan'!A:I,7,FALSE)</f>
        <v>5</v>
      </c>
      <c r="H962" s="1" t="str">
        <f>VLOOKUP(B962,'old-aw-skill-plan'!A:I,9,FALSE)</f>
        <v>5-10</v>
      </c>
    </row>
    <row r="963" ht="15.75" customHeight="1">
      <c r="A963" s="1" t="s">
        <v>64</v>
      </c>
      <c r="B963" s="1" t="s">
        <v>104</v>
      </c>
      <c r="C963" s="1" t="s">
        <v>11</v>
      </c>
      <c r="D963" s="5">
        <v>45672.0</v>
      </c>
      <c r="G963" s="1">
        <f>VLOOKUP(B963,'old-aw-skill-plan'!A:I,7,FALSE)</f>
        <v>5</v>
      </c>
      <c r="H963" s="1" t="str">
        <f>VLOOKUP(B963,'old-aw-skill-plan'!A:I,9,FALSE)</f>
        <v>5-2</v>
      </c>
    </row>
    <row r="964" ht="15.75" customHeight="1">
      <c r="A964" s="1" t="s">
        <v>80</v>
      </c>
      <c r="B964" s="1" t="s">
        <v>34</v>
      </c>
      <c r="C964" s="1" t="s">
        <v>11</v>
      </c>
      <c r="D964" s="5">
        <v>45672.0</v>
      </c>
      <c r="G964" s="1">
        <f>VLOOKUP(B964,'old-aw-skill-plan'!A:I,7,FALSE)</f>
        <v>4</v>
      </c>
      <c r="H964" s="1" t="str">
        <f>VLOOKUP(B964,'old-aw-skill-plan'!A:I,9,FALSE)</f>
        <v>4-1</v>
      </c>
    </row>
    <row r="965" ht="15.75" customHeight="1">
      <c r="A965" s="1" t="s">
        <v>60</v>
      </c>
      <c r="B965" s="1" t="s">
        <v>104</v>
      </c>
      <c r="C965" s="1" t="s">
        <v>11</v>
      </c>
      <c r="D965" s="5">
        <v>45672.0</v>
      </c>
      <c r="G965" s="1">
        <f>VLOOKUP(B965,'old-aw-skill-plan'!A:I,7,FALSE)</f>
        <v>5</v>
      </c>
      <c r="H965" s="1" t="str">
        <f>VLOOKUP(B965,'old-aw-skill-plan'!A:I,9,FALSE)</f>
        <v>5-2</v>
      </c>
    </row>
    <row r="966" ht="15.75" customHeight="1">
      <c r="A966" s="1" t="s">
        <v>63</v>
      </c>
      <c r="B966" s="1" t="s">
        <v>83</v>
      </c>
      <c r="C966" s="1" t="s">
        <v>11</v>
      </c>
      <c r="D966" s="5">
        <v>45672.0</v>
      </c>
      <c r="G966" s="1">
        <f>VLOOKUP(B966,'old-aw-skill-plan'!A:I,7,FALSE)</f>
        <v>5</v>
      </c>
      <c r="H966" s="1" t="str">
        <f>VLOOKUP(B966,'old-aw-skill-plan'!A:I,9,FALSE)</f>
        <v>5-9</v>
      </c>
    </row>
    <row r="967" ht="15.75" customHeight="1">
      <c r="A967" s="1" t="s">
        <v>68</v>
      </c>
      <c r="B967" s="1" t="s">
        <v>48</v>
      </c>
      <c r="C967" s="1" t="s">
        <v>11</v>
      </c>
      <c r="D967" s="5">
        <v>45672.0</v>
      </c>
      <c r="G967" s="1">
        <f>VLOOKUP(B967,'old-aw-skill-plan'!A:I,7,FALSE)</f>
        <v>3</v>
      </c>
      <c r="H967" s="1" t="str">
        <f>VLOOKUP(B967,'old-aw-skill-plan'!A:I,9,FALSE)</f>
        <v>3-6</v>
      </c>
    </row>
    <row r="968" ht="15.75" customHeight="1">
      <c r="A968" s="1" t="s">
        <v>74</v>
      </c>
      <c r="B968" s="1" t="s">
        <v>34</v>
      </c>
      <c r="C968" s="1" t="s">
        <v>11</v>
      </c>
      <c r="D968" s="5">
        <v>45672.0</v>
      </c>
      <c r="G968" s="1">
        <f>VLOOKUP(B968,'old-aw-skill-plan'!A:I,7,FALSE)</f>
        <v>4</v>
      </c>
      <c r="H968" s="1" t="str">
        <f>VLOOKUP(B968,'old-aw-skill-plan'!A:I,9,FALSE)</f>
        <v>4-1</v>
      </c>
    </row>
    <row r="969" ht="15.75" customHeight="1">
      <c r="A969" s="1" t="s">
        <v>74</v>
      </c>
      <c r="B969" s="1" t="s">
        <v>104</v>
      </c>
      <c r="C969" s="1" t="s">
        <v>11</v>
      </c>
      <c r="D969" s="5">
        <v>45672.0</v>
      </c>
      <c r="G969" s="1">
        <f>VLOOKUP(B969,'old-aw-skill-plan'!A:I,7,FALSE)</f>
        <v>5</v>
      </c>
      <c r="H969" s="1" t="str">
        <f>VLOOKUP(B969,'old-aw-skill-plan'!A:I,9,FALSE)</f>
        <v>5-2</v>
      </c>
    </row>
    <row r="970" ht="15.75" customHeight="1">
      <c r="A970" s="1" t="s">
        <v>75</v>
      </c>
      <c r="B970" s="1" t="s">
        <v>323</v>
      </c>
      <c r="C970" s="1" t="s">
        <v>11</v>
      </c>
      <c r="D970" s="5">
        <v>45672.0</v>
      </c>
      <c r="G970" s="1">
        <f>VLOOKUP(B970,'old-aw-skill-plan'!A:I,7,FALSE)</f>
        <v>6</v>
      </c>
      <c r="H970" s="1" t="str">
        <f>VLOOKUP(B970,'old-aw-skill-plan'!A:I,9,FALSE)</f>
        <v>6-7</v>
      </c>
    </row>
    <row r="971" ht="15.75" customHeight="1">
      <c r="A971" s="1" t="s">
        <v>100</v>
      </c>
      <c r="B971" s="1" t="s">
        <v>324</v>
      </c>
      <c r="C971" s="1" t="s">
        <v>11</v>
      </c>
      <c r="D971" s="5">
        <v>45672.0</v>
      </c>
      <c r="G971" s="1" t="str">
        <f>VLOOKUP(B971,'old-aw-skill-plan'!A:I,7,FALSE)</f>
        <v>#N/A</v>
      </c>
      <c r="H971" s="1" t="str">
        <f>VLOOKUP(B971,'old-aw-skill-plan'!A:I,9,FALSE)</f>
        <v>#N/A</v>
      </c>
    </row>
    <row r="972" ht="15.75" customHeight="1">
      <c r="A972" s="1" t="s">
        <v>82</v>
      </c>
      <c r="B972" s="1" t="s">
        <v>44</v>
      </c>
      <c r="C972" s="1" t="s">
        <v>11</v>
      </c>
      <c r="D972" s="5">
        <v>45672.0</v>
      </c>
      <c r="G972" s="1">
        <f>VLOOKUP(B972,'old-aw-skill-plan'!A:I,7,FALSE)</f>
        <v>5</v>
      </c>
      <c r="H972" s="1" t="str">
        <f>VLOOKUP(B972,'old-aw-skill-plan'!A:I,9,FALSE)</f>
        <v>5-1</v>
      </c>
    </row>
    <row r="973" ht="15.75" customHeight="1">
      <c r="A973" s="1" t="s">
        <v>326</v>
      </c>
      <c r="B973" s="1" t="s">
        <v>83</v>
      </c>
      <c r="C973" s="1" t="s">
        <v>11</v>
      </c>
      <c r="D973" s="5">
        <v>45672.0</v>
      </c>
      <c r="G973" s="1">
        <f>VLOOKUP(B973,'old-aw-skill-plan'!A:I,7,FALSE)</f>
        <v>5</v>
      </c>
      <c r="H973" s="1" t="str">
        <f>VLOOKUP(B973,'old-aw-skill-plan'!A:I,9,FALSE)</f>
        <v>5-9</v>
      </c>
    </row>
    <row r="974" ht="15.75" customHeight="1">
      <c r="A974" s="1" t="s">
        <v>29</v>
      </c>
      <c r="B974" s="1" t="s">
        <v>48</v>
      </c>
      <c r="C974" s="1" t="s">
        <v>11</v>
      </c>
      <c r="D974" s="5">
        <v>45671.0</v>
      </c>
      <c r="G974" s="1">
        <f>VLOOKUP(B974,'old-aw-skill-plan'!A:I,7,FALSE)</f>
        <v>3</v>
      </c>
      <c r="H974" s="1" t="str">
        <f>VLOOKUP(B974,'old-aw-skill-plan'!A:I,9,FALSE)</f>
        <v>3-6</v>
      </c>
    </row>
    <row r="975" ht="15.75" customHeight="1">
      <c r="A975" s="1" t="s">
        <v>29</v>
      </c>
      <c r="B975" s="1" t="s">
        <v>33</v>
      </c>
      <c r="C975" s="1" t="s">
        <v>11</v>
      </c>
      <c r="D975" s="5">
        <v>45671.0</v>
      </c>
      <c r="G975" s="1">
        <f>VLOOKUP(B975,'old-aw-skill-plan'!A:I,7,FALSE)</f>
        <v>3</v>
      </c>
      <c r="H975" s="1" t="str">
        <f>VLOOKUP(B975,'old-aw-skill-plan'!A:I,9,FALSE)</f>
        <v>3-5</v>
      </c>
    </row>
    <row r="976" ht="15.75" customHeight="1">
      <c r="A976" s="1" t="s">
        <v>64</v>
      </c>
      <c r="B976" s="1" t="s">
        <v>44</v>
      </c>
      <c r="C976" s="1" t="s">
        <v>11</v>
      </c>
      <c r="D976" s="5">
        <v>45671.0</v>
      </c>
      <c r="G976" s="1">
        <f>VLOOKUP(B976,'old-aw-skill-plan'!A:I,7,FALSE)</f>
        <v>5</v>
      </c>
      <c r="H976" s="1" t="str">
        <f>VLOOKUP(B976,'old-aw-skill-plan'!A:I,9,FALSE)</f>
        <v>5-1</v>
      </c>
    </row>
    <row r="977" ht="15.75" customHeight="1">
      <c r="A977" s="1" t="s">
        <v>64</v>
      </c>
      <c r="B977" s="1" t="s">
        <v>104</v>
      </c>
      <c r="C977" s="1" t="s">
        <v>11</v>
      </c>
      <c r="D977" s="5">
        <v>45671.0</v>
      </c>
      <c r="G977" s="1">
        <f>VLOOKUP(B977,'old-aw-skill-plan'!A:I,7,FALSE)</f>
        <v>5</v>
      </c>
      <c r="H977" s="1" t="str">
        <f>VLOOKUP(B977,'old-aw-skill-plan'!A:I,9,FALSE)</f>
        <v>5-2</v>
      </c>
    </row>
    <row r="978" ht="15.75" customHeight="1">
      <c r="A978" s="1" t="s">
        <v>39</v>
      </c>
      <c r="B978" s="1" t="s">
        <v>79</v>
      </c>
      <c r="C978" s="1" t="s">
        <v>11</v>
      </c>
      <c r="D978" s="5">
        <v>45671.0</v>
      </c>
      <c r="G978" s="1">
        <f>VLOOKUP(B978,'old-aw-skill-plan'!A:I,7,FALSE)</f>
        <v>4</v>
      </c>
      <c r="H978" s="1" t="str">
        <f>VLOOKUP(B978,'old-aw-skill-plan'!A:I,9,FALSE)</f>
        <v>4-8</v>
      </c>
    </row>
    <row r="979" ht="15.75" customHeight="1">
      <c r="A979" s="1" t="s">
        <v>184</v>
      </c>
      <c r="B979" s="1" t="s">
        <v>10</v>
      </c>
      <c r="C979" s="1" t="s">
        <v>11</v>
      </c>
      <c r="D979" s="5">
        <v>45671.0</v>
      </c>
      <c r="G979" s="1">
        <f>VLOOKUP(B979,'old-aw-skill-plan'!A:I,7,FALSE)</f>
        <v>3</v>
      </c>
      <c r="H979" s="1" t="str">
        <f>VLOOKUP(B979,'old-aw-skill-plan'!A:I,9,FALSE)</f>
        <v>3-1</v>
      </c>
    </row>
    <row r="980" ht="15.75" customHeight="1">
      <c r="A980" s="1" t="s">
        <v>179</v>
      </c>
      <c r="B980" s="1" t="s">
        <v>104</v>
      </c>
      <c r="C980" s="1" t="s">
        <v>11</v>
      </c>
      <c r="D980" s="5">
        <v>45671.0</v>
      </c>
      <c r="G980" s="1">
        <f>VLOOKUP(B980,'old-aw-skill-plan'!A:I,7,FALSE)</f>
        <v>5</v>
      </c>
      <c r="H980" s="1" t="str">
        <f>VLOOKUP(B980,'old-aw-skill-plan'!A:I,9,FALSE)</f>
        <v>5-2</v>
      </c>
    </row>
    <row r="981" ht="15.75" customHeight="1">
      <c r="A981" s="1" t="s">
        <v>60</v>
      </c>
      <c r="B981" s="1" t="s">
        <v>104</v>
      </c>
      <c r="C981" s="1" t="s">
        <v>11</v>
      </c>
      <c r="D981" s="5">
        <v>45671.0</v>
      </c>
      <c r="G981" s="1">
        <f>VLOOKUP(B981,'old-aw-skill-plan'!A:I,7,FALSE)</f>
        <v>5</v>
      </c>
      <c r="H981" s="1" t="str">
        <f>VLOOKUP(B981,'old-aw-skill-plan'!A:I,9,FALSE)</f>
        <v>5-2</v>
      </c>
    </row>
    <row r="982" ht="15.75" customHeight="1">
      <c r="A982" s="1" t="s">
        <v>63</v>
      </c>
      <c r="B982" s="1" t="s">
        <v>83</v>
      </c>
      <c r="C982" s="1" t="s">
        <v>11</v>
      </c>
      <c r="D982" s="5">
        <v>45671.0</v>
      </c>
      <c r="G982" s="1">
        <f>VLOOKUP(B982,'old-aw-skill-plan'!A:I,7,FALSE)</f>
        <v>5</v>
      </c>
      <c r="H982" s="1" t="str">
        <f>VLOOKUP(B982,'old-aw-skill-plan'!A:I,9,FALSE)</f>
        <v>5-9</v>
      </c>
    </row>
    <row r="983" ht="15.75" customHeight="1">
      <c r="A983" s="1" t="s">
        <v>68</v>
      </c>
      <c r="B983" s="1" t="s">
        <v>48</v>
      </c>
      <c r="C983" s="1" t="s">
        <v>11</v>
      </c>
      <c r="D983" s="5">
        <v>45671.0</v>
      </c>
      <c r="G983" s="1">
        <f>VLOOKUP(B983,'old-aw-skill-plan'!A:I,7,FALSE)</f>
        <v>3</v>
      </c>
      <c r="H983" s="1" t="str">
        <f>VLOOKUP(B983,'old-aw-skill-plan'!A:I,9,FALSE)</f>
        <v>3-6</v>
      </c>
    </row>
    <row r="984" ht="15.75" customHeight="1">
      <c r="A984" s="1" t="s">
        <v>75</v>
      </c>
      <c r="B984" s="1" t="s">
        <v>323</v>
      </c>
      <c r="C984" s="1" t="s">
        <v>11</v>
      </c>
      <c r="D984" s="5">
        <v>45671.0</v>
      </c>
      <c r="G984" s="1">
        <f>VLOOKUP(B984,'old-aw-skill-plan'!A:I,7,FALSE)</f>
        <v>6</v>
      </c>
      <c r="H984" s="1" t="str">
        <f>VLOOKUP(B984,'old-aw-skill-plan'!A:I,9,FALSE)</f>
        <v>6-7</v>
      </c>
    </row>
    <row r="985" ht="15.75" customHeight="1">
      <c r="A985" s="1" t="s">
        <v>75</v>
      </c>
      <c r="B985" s="1" t="s">
        <v>137</v>
      </c>
      <c r="C985" s="1" t="s">
        <v>11</v>
      </c>
      <c r="D985" s="5">
        <v>45671.0</v>
      </c>
      <c r="G985" s="1">
        <f>VLOOKUP(B985,'old-aw-skill-plan'!A:I,7,FALSE)</f>
        <v>6</v>
      </c>
      <c r="H985" s="1" t="str">
        <f>VLOOKUP(B985,'old-aw-skill-plan'!A:I,9,FALSE)</f>
        <v>6-6</v>
      </c>
    </row>
    <row r="986" ht="15.75" customHeight="1">
      <c r="A986" s="1" t="s">
        <v>77</v>
      </c>
      <c r="B986" s="1" t="s">
        <v>23</v>
      </c>
      <c r="C986" s="1" t="s">
        <v>11</v>
      </c>
      <c r="D986" s="5">
        <v>45671.0</v>
      </c>
      <c r="G986" s="1">
        <f>VLOOKUP(B986,'old-aw-skill-plan'!A:I,7,FALSE)</f>
        <v>4</v>
      </c>
      <c r="H986" s="1" t="str">
        <f>VLOOKUP(B986,'old-aw-skill-plan'!A:I,9,FALSE)</f>
        <v>4-5</v>
      </c>
    </row>
    <row r="987" ht="15.75" customHeight="1">
      <c r="A987" s="1" t="s">
        <v>100</v>
      </c>
      <c r="B987" s="1" t="s">
        <v>324</v>
      </c>
      <c r="C987" s="1" t="s">
        <v>11</v>
      </c>
      <c r="D987" s="5">
        <v>45671.0</v>
      </c>
      <c r="G987" s="1" t="str">
        <f>VLOOKUP(B987,'old-aw-skill-plan'!A:I,7,FALSE)</f>
        <v>#N/A</v>
      </c>
      <c r="H987" s="1" t="str">
        <f>VLOOKUP(B987,'old-aw-skill-plan'!A:I,9,FALSE)</f>
        <v>#N/A</v>
      </c>
    </row>
    <row r="988" ht="15.75" customHeight="1">
      <c r="A988" s="1" t="s">
        <v>100</v>
      </c>
      <c r="B988" s="1" t="s">
        <v>339</v>
      </c>
      <c r="C988" s="1" t="s">
        <v>11</v>
      </c>
      <c r="D988" s="5">
        <v>45671.0</v>
      </c>
      <c r="G988" s="1" t="str">
        <f>VLOOKUP(B988,'old-aw-skill-plan'!A:I,7,FALSE)</f>
        <v>#N/A</v>
      </c>
      <c r="H988" s="1" t="str">
        <f>VLOOKUP(B988,'old-aw-skill-plan'!A:I,9,FALSE)</f>
        <v>#N/A</v>
      </c>
    </row>
    <row r="989" ht="15.75" customHeight="1">
      <c r="A989" s="1" t="s">
        <v>82</v>
      </c>
      <c r="B989" s="1" t="s">
        <v>44</v>
      </c>
      <c r="C989" s="1" t="s">
        <v>11</v>
      </c>
      <c r="D989" s="5">
        <v>45671.0</v>
      </c>
      <c r="G989" s="1">
        <f>VLOOKUP(B989,'old-aw-skill-plan'!A:I,7,FALSE)</f>
        <v>5</v>
      </c>
      <c r="H989" s="1" t="str">
        <f>VLOOKUP(B989,'old-aw-skill-plan'!A:I,9,FALSE)</f>
        <v>5-1</v>
      </c>
    </row>
    <row r="990" ht="15.75" customHeight="1">
      <c r="A990" s="1" t="s">
        <v>326</v>
      </c>
      <c r="B990" s="1" t="s">
        <v>83</v>
      </c>
      <c r="C990" s="1" t="s">
        <v>11</v>
      </c>
      <c r="D990" s="5">
        <v>45671.0</v>
      </c>
      <c r="G990" s="1">
        <f>VLOOKUP(B990,'old-aw-skill-plan'!A:I,7,FALSE)</f>
        <v>5</v>
      </c>
      <c r="H990" s="1" t="str">
        <f>VLOOKUP(B990,'old-aw-skill-plan'!A:I,9,FALSE)</f>
        <v>5-9</v>
      </c>
    </row>
    <row r="991" ht="15.75" customHeight="1">
      <c r="A991" s="1" t="s">
        <v>90</v>
      </c>
      <c r="B991" s="1" t="s">
        <v>28</v>
      </c>
      <c r="C991" s="1" t="s">
        <v>11</v>
      </c>
      <c r="D991" s="5">
        <v>45671.0</v>
      </c>
      <c r="G991" s="1">
        <f>VLOOKUP(B991,'old-aw-skill-plan'!A:I,7,FALSE)</f>
        <v>3</v>
      </c>
      <c r="H991" s="1" t="str">
        <f>VLOOKUP(B991,'old-aw-skill-plan'!A:I,9,FALSE)</f>
        <v>3-4</v>
      </c>
    </row>
    <row r="992" ht="15.75" customHeight="1">
      <c r="A992" s="1" t="s">
        <v>29</v>
      </c>
      <c r="B992" s="1" t="s">
        <v>28</v>
      </c>
      <c r="C992" s="1" t="s">
        <v>11</v>
      </c>
      <c r="D992" s="5">
        <v>45670.0</v>
      </c>
      <c r="G992" s="1">
        <f>VLOOKUP(B992,'old-aw-skill-plan'!A:I,7,FALSE)</f>
        <v>3</v>
      </c>
      <c r="H992" s="1" t="str">
        <f>VLOOKUP(B992,'old-aw-skill-plan'!A:I,9,FALSE)</f>
        <v>3-4</v>
      </c>
    </row>
    <row r="993" ht="15.75" customHeight="1">
      <c r="A993" s="1" t="s">
        <v>24</v>
      </c>
      <c r="B993" s="1" t="s">
        <v>314</v>
      </c>
      <c r="C993" s="1" t="s">
        <v>11</v>
      </c>
      <c r="D993" s="5">
        <v>45670.0</v>
      </c>
      <c r="G993" s="1">
        <f>VLOOKUP(B993,'old-aw-skill-plan'!A:I,7,FALSE)</f>
        <v>5</v>
      </c>
      <c r="H993" s="1" t="str">
        <f>VLOOKUP(B993,'old-aw-skill-plan'!A:I,9,FALSE)</f>
        <v>5-10</v>
      </c>
    </row>
    <row r="994" ht="15.75" customHeight="1">
      <c r="A994" s="1" t="s">
        <v>64</v>
      </c>
      <c r="B994" s="1" t="s">
        <v>44</v>
      </c>
      <c r="C994" s="1" t="s">
        <v>11</v>
      </c>
      <c r="D994" s="5">
        <v>45670.0</v>
      </c>
      <c r="G994" s="1">
        <f>VLOOKUP(B994,'old-aw-skill-plan'!A:I,7,FALSE)</f>
        <v>5</v>
      </c>
      <c r="H994" s="1" t="str">
        <f>VLOOKUP(B994,'old-aw-skill-plan'!A:I,9,FALSE)</f>
        <v>5-1</v>
      </c>
    </row>
    <row r="995" ht="15.75" customHeight="1">
      <c r="A995" s="1" t="s">
        <v>39</v>
      </c>
      <c r="B995" s="1" t="s">
        <v>79</v>
      </c>
      <c r="C995" s="1" t="s">
        <v>11</v>
      </c>
      <c r="D995" s="5">
        <v>45670.0</v>
      </c>
      <c r="G995" s="1">
        <f>VLOOKUP(B995,'old-aw-skill-plan'!A:I,7,FALSE)</f>
        <v>4</v>
      </c>
      <c r="H995" s="1" t="str">
        <f>VLOOKUP(B995,'old-aw-skill-plan'!A:I,9,FALSE)</f>
        <v>4-8</v>
      </c>
    </row>
    <row r="996" ht="15.75" customHeight="1">
      <c r="A996" s="1" t="s">
        <v>39</v>
      </c>
      <c r="B996" s="1" t="s">
        <v>44</v>
      </c>
      <c r="C996" s="1" t="s">
        <v>11</v>
      </c>
      <c r="D996" s="5">
        <v>45670.0</v>
      </c>
      <c r="G996" s="1">
        <f>VLOOKUP(B996,'old-aw-skill-plan'!A:I,7,FALSE)</f>
        <v>5</v>
      </c>
      <c r="H996" s="1" t="str">
        <f>VLOOKUP(B996,'old-aw-skill-plan'!A:I,9,FALSE)</f>
        <v>5-1</v>
      </c>
    </row>
    <row r="997" ht="15.75" customHeight="1">
      <c r="A997" s="1" t="s">
        <v>60</v>
      </c>
      <c r="B997" s="1" t="s">
        <v>104</v>
      </c>
      <c r="C997" s="1" t="s">
        <v>11</v>
      </c>
      <c r="D997" s="5">
        <v>45670.0</v>
      </c>
      <c r="G997" s="1">
        <f>VLOOKUP(B997,'old-aw-skill-plan'!A:I,7,FALSE)</f>
        <v>5</v>
      </c>
      <c r="H997" s="1" t="str">
        <f>VLOOKUP(B997,'old-aw-skill-plan'!A:I,9,FALSE)</f>
        <v>5-2</v>
      </c>
    </row>
    <row r="998" ht="15.75" customHeight="1">
      <c r="A998" s="1" t="s">
        <v>63</v>
      </c>
      <c r="B998" s="1" t="s">
        <v>83</v>
      </c>
      <c r="C998" s="1" t="s">
        <v>11</v>
      </c>
      <c r="D998" s="5">
        <v>45670.0</v>
      </c>
      <c r="G998" s="1">
        <f>VLOOKUP(B998,'old-aw-skill-plan'!A:I,7,FALSE)</f>
        <v>5</v>
      </c>
      <c r="H998" s="1" t="str">
        <f>VLOOKUP(B998,'old-aw-skill-plan'!A:I,9,FALSE)</f>
        <v>5-9</v>
      </c>
    </row>
    <row r="999" ht="15.75" customHeight="1">
      <c r="A999" s="1" t="s">
        <v>65</v>
      </c>
      <c r="B999" s="1" t="s">
        <v>61</v>
      </c>
      <c r="C999" s="1" t="s">
        <v>11</v>
      </c>
      <c r="D999" s="5">
        <v>45670.0</v>
      </c>
      <c r="G999" s="1">
        <f>VLOOKUP(B999,'old-aw-skill-plan'!A:I,7,FALSE)</f>
        <v>4</v>
      </c>
      <c r="H999" s="1" t="str">
        <f>VLOOKUP(B999,'old-aw-skill-plan'!A:I,9,FALSE)</f>
        <v>4-4</v>
      </c>
    </row>
    <row r="1000" ht="15.75" customHeight="1">
      <c r="A1000" s="1" t="s">
        <v>68</v>
      </c>
      <c r="B1000" s="1" t="s">
        <v>48</v>
      </c>
      <c r="C1000" s="1" t="s">
        <v>11</v>
      </c>
      <c r="D1000" s="5">
        <v>45670.0</v>
      </c>
      <c r="G1000" s="1">
        <f>VLOOKUP(B1000,'old-aw-skill-plan'!A:I,7,FALSE)</f>
        <v>3</v>
      </c>
      <c r="H1000" s="1" t="str">
        <f>VLOOKUP(B1000,'old-aw-skill-plan'!A:I,9,FALSE)</f>
        <v>3-6</v>
      </c>
    </row>
    <row r="1001" ht="15.75" customHeight="1">
      <c r="A1001" s="1" t="s">
        <v>74</v>
      </c>
      <c r="B1001" s="1" t="s">
        <v>33</v>
      </c>
      <c r="C1001" s="1" t="s">
        <v>11</v>
      </c>
      <c r="D1001" s="5">
        <v>45670.0</v>
      </c>
      <c r="G1001" s="1">
        <f>VLOOKUP(B1001,'old-aw-skill-plan'!A:I,7,FALSE)</f>
        <v>3</v>
      </c>
      <c r="H1001" s="1" t="str">
        <f>VLOOKUP(B1001,'old-aw-skill-plan'!A:I,9,FALSE)</f>
        <v>3-5</v>
      </c>
    </row>
    <row r="1002" ht="15.75" customHeight="1">
      <c r="A1002" s="1" t="s">
        <v>75</v>
      </c>
      <c r="B1002" s="1" t="s">
        <v>137</v>
      </c>
      <c r="C1002" s="1" t="s">
        <v>11</v>
      </c>
      <c r="D1002" s="5">
        <v>45670.0</v>
      </c>
      <c r="G1002" s="1">
        <f>VLOOKUP(B1002,'old-aw-skill-plan'!A:I,7,FALSE)</f>
        <v>6</v>
      </c>
      <c r="H1002" s="1" t="str">
        <f>VLOOKUP(B1002,'old-aw-skill-plan'!A:I,9,FALSE)</f>
        <v>6-6</v>
      </c>
    </row>
    <row r="1003" ht="15.75" customHeight="1">
      <c r="A1003" s="1" t="s">
        <v>77</v>
      </c>
      <c r="B1003" s="1" t="s">
        <v>23</v>
      </c>
      <c r="C1003" s="1" t="s">
        <v>11</v>
      </c>
      <c r="D1003" s="5">
        <v>45670.0</v>
      </c>
      <c r="G1003" s="1">
        <f>VLOOKUP(B1003,'old-aw-skill-plan'!A:I,7,FALSE)</f>
        <v>4</v>
      </c>
      <c r="H1003" s="1" t="str">
        <f>VLOOKUP(B1003,'old-aw-skill-plan'!A:I,9,FALSE)</f>
        <v>4-5</v>
      </c>
    </row>
    <row r="1004" ht="15.75" customHeight="1">
      <c r="A1004" s="1" t="s">
        <v>100</v>
      </c>
      <c r="B1004" s="1" t="s">
        <v>340</v>
      </c>
      <c r="C1004" s="1" t="s">
        <v>11</v>
      </c>
      <c r="D1004" s="5">
        <v>45670.0</v>
      </c>
      <c r="G1004" s="1" t="str">
        <f>VLOOKUP(B1004,'old-aw-skill-plan'!A:I,7,FALSE)</f>
        <v>#N/A</v>
      </c>
      <c r="H1004" s="1" t="str">
        <f>VLOOKUP(B1004,'old-aw-skill-plan'!A:I,9,FALSE)</f>
        <v>#N/A</v>
      </c>
    </row>
    <row r="1005" ht="15.75" customHeight="1">
      <c r="A1005" s="1" t="s">
        <v>100</v>
      </c>
      <c r="B1005" s="1" t="s">
        <v>339</v>
      </c>
      <c r="C1005" s="1" t="s">
        <v>11</v>
      </c>
      <c r="D1005" s="5">
        <v>45670.0</v>
      </c>
      <c r="G1005" s="1" t="str">
        <f>VLOOKUP(B1005,'old-aw-skill-plan'!A:I,7,FALSE)</f>
        <v>#N/A</v>
      </c>
      <c r="H1005" s="1" t="str">
        <f>VLOOKUP(B1005,'old-aw-skill-plan'!A:I,9,FALSE)</f>
        <v>#N/A</v>
      </c>
    </row>
    <row r="1006" ht="15.75" customHeight="1">
      <c r="A1006" s="1" t="s">
        <v>82</v>
      </c>
      <c r="B1006" s="1" t="s">
        <v>115</v>
      </c>
      <c r="C1006" s="1" t="s">
        <v>11</v>
      </c>
      <c r="D1006" s="5">
        <v>45670.0</v>
      </c>
      <c r="G1006" s="1">
        <f>VLOOKUP(B1006,'old-aw-skill-plan'!A:I,7,FALSE)</f>
        <v>3</v>
      </c>
      <c r="H1006" s="1" t="str">
        <f>VLOOKUP(B1006,'old-aw-skill-plan'!A:I,9,FALSE)</f>
        <v>3-10</v>
      </c>
    </row>
    <row r="1007" ht="15.75" customHeight="1">
      <c r="A1007" s="1" t="s">
        <v>82</v>
      </c>
      <c r="B1007" s="1" t="s">
        <v>44</v>
      </c>
      <c r="C1007" s="1" t="s">
        <v>11</v>
      </c>
      <c r="D1007" s="5">
        <v>45670.0</v>
      </c>
      <c r="G1007" s="1">
        <f>VLOOKUP(B1007,'old-aw-skill-plan'!A:I,7,FALSE)</f>
        <v>5</v>
      </c>
      <c r="H1007" s="1" t="str">
        <f>VLOOKUP(B1007,'old-aw-skill-plan'!A:I,9,FALSE)</f>
        <v>5-1</v>
      </c>
    </row>
    <row r="1008" ht="15.75" customHeight="1">
      <c r="A1008" s="1" t="s">
        <v>326</v>
      </c>
      <c r="B1008" s="1" t="s">
        <v>83</v>
      </c>
      <c r="C1008" s="1" t="s">
        <v>11</v>
      </c>
      <c r="D1008" s="5">
        <v>45670.0</v>
      </c>
      <c r="G1008" s="1">
        <f>VLOOKUP(B1008,'old-aw-skill-plan'!A:I,7,FALSE)</f>
        <v>5</v>
      </c>
      <c r="H1008" s="1" t="str">
        <f>VLOOKUP(B1008,'old-aw-skill-plan'!A:I,9,FALSE)</f>
        <v>5-9</v>
      </c>
    </row>
    <row r="1009" ht="15.75" customHeight="1">
      <c r="A1009" s="1" t="s">
        <v>90</v>
      </c>
      <c r="B1009" s="1" t="s">
        <v>28</v>
      </c>
      <c r="C1009" s="1" t="s">
        <v>11</v>
      </c>
      <c r="D1009" s="5">
        <v>45670.0</v>
      </c>
      <c r="G1009" s="1">
        <f>VLOOKUP(B1009,'old-aw-skill-plan'!A:I,7,FALSE)</f>
        <v>3</v>
      </c>
      <c r="H1009" s="1" t="str">
        <f>VLOOKUP(B1009,'old-aw-skill-plan'!A:I,9,FALSE)</f>
        <v>3-4</v>
      </c>
    </row>
    <row r="1010" ht="15.75" customHeight="1">
      <c r="A1010" s="1" t="s">
        <v>202</v>
      </c>
      <c r="B1010" s="1" t="s">
        <v>44</v>
      </c>
      <c r="C1010" s="1" t="s">
        <v>11</v>
      </c>
      <c r="D1010" s="5">
        <v>45670.0</v>
      </c>
      <c r="G1010" s="1">
        <f>VLOOKUP(B1010,'old-aw-skill-plan'!A:I,7,FALSE)</f>
        <v>5</v>
      </c>
      <c r="H1010" s="1" t="str">
        <f>VLOOKUP(B1010,'old-aw-skill-plan'!A:I,9,FALSE)</f>
        <v>5-1</v>
      </c>
    </row>
    <row r="1011" ht="15.75" customHeight="1">
      <c r="A1011" s="1" t="s">
        <v>29</v>
      </c>
      <c r="B1011" s="1" t="s">
        <v>30</v>
      </c>
      <c r="C1011" s="1" t="s">
        <v>11</v>
      </c>
      <c r="D1011" s="5">
        <v>45667.0</v>
      </c>
      <c r="G1011" s="1">
        <f>VLOOKUP(B1011,'old-aw-skill-plan'!A:I,7,FALSE)</f>
        <v>3</v>
      </c>
      <c r="H1011" s="1" t="str">
        <f>VLOOKUP(B1011,'old-aw-skill-plan'!A:I,9,FALSE)</f>
        <v>3-3</v>
      </c>
    </row>
    <row r="1012" ht="15.75" customHeight="1">
      <c r="A1012" s="1" t="s">
        <v>18</v>
      </c>
      <c r="B1012" s="1" t="s">
        <v>34</v>
      </c>
      <c r="C1012" s="1" t="s">
        <v>11</v>
      </c>
      <c r="D1012" s="5">
        <v>45667.0</v>
      </c>
      <c r="G1012" s="1">
        <f>VLOOKUP(B1012,'old-aw-skill-plan'!A:I,7,FALSE)</f>
        <v>4</v>
      </c>
      <c r="H1012" s="1" t="str">
        <f>VLOOKUP(B1012,'old-aw-skill-plan'!A:I,9,FALSE)</f>
        <v>4-1</v>
      </c>
    </row>
    <row r="1013" ht="15.75" customHeight="1">
      <c r="A1013" s="1" t="s">
        <v>64</v>
      </c>
      <c r="B1013" s="1" t="s">
        <v>44</v>
      </c>
      <c r="C1013" s="1" t="s">
        <v>11</v>
      </c>
      <c r="D1013" s="5">
        <v>45667.0</v>
      </c>
      <c r="G1013" s="1">
        <f>VLOOKUP(B1013,'old-aw-skill-plan'!A:I,7,FALSE)</f>
        <v>5</v>
      </c>
      <c r="H1013" s="1" t="str">
        <f>VLOOKUP(B1013,'old-aw-skill-plan'!A:I,9,FALSE)</f>
        <v>5-1</v>
      </c>
    </row>
    <row r="1014" ht="15.75" customHeight="1">
      <c r="A1014" s="1" t="s">
        <v>100</v>
      </c>
      <c r="B1014" s="1" t="s">
        <v>340</v>
      </c>
      <c r="C1014" s="1" t="s">
        <v>11</v>
      </c>
      <c r="D1014" s="5">
        <v>45667.0</v>
      </c>
      <c r="G1014" s="1" t="str">
        <f>VLOOKUP(B1014,'old-aw-skill-plan'!A:I,7,FALSE)</f>
        <v>#N/A</v>
      </c>
      <c r="H1014" s="1" t="str">
        <f>VLOOKUP(B1014,'old-aw-skill-plan'!A:I,9,FALSE)</f>
        <v>#N/A</v>
      </c>
    </row>
    <row r="1015" ht="15.75" customHeight="1">
      <c r="A1015" s="1" t="s">
        <v>82</v>
      </c>
      <c r="B1015" s="1" t="s">
        <v>44</v>
      </c>
      <c r="C1015" s="1" t="s">
        <v>11</v>
      </c>
      <c r="D1015" s="5">
        <v>45667.0</v>
      </c>
      <c r="G1015" s="1">
        <f>VLOOKUP(B1015,'old-aw-skill-plan'!A:I,7,FALSE)</f>
        <v>5</v>
      </c>
      <c r="H1015" s="1" t="str">
        <f>VLOOKUP(B1015,'old-aw-skill-plan'!A:I,9,FALSE)</f>
        <v>5-1</v>
      </c>
    </row>
    <row r="1016" ht="15.75" customHeight="1">
      <c r="A1016" s="1" t="s">
        <v>82</v>
      </c>
      <c r="B1016" s="1" t="s">
        <v>88</v>
      </c>
      <c r="C1016" s="1" t="s">
        <v>11</v>
      </c>
      <c r="D1016" s="5">
        <v>45667.0</v>
      </c>
      <c r="G1016" s="1">
        <f>VLOOKUP(B1016,'old-aw-skill-plan'!A:I,7,FALSE)</f>
        <v>5</v>
      </c>
      <c r="H1016" s="1" t="str">
        <f>VLOOKUP(B1016,'old-aw-skill-plan'!A:I,9,FALSE)</f>
        <v>5-5</v>
      </c>
    </row>
    <row r="1017" ht="15.75" customHeight="1">
      <c r="A1017" s="1" t="s">
        <v>29</v>
      </c>
      <c r="B1017" s="1" t="s">
        <v>47</v>
      </c>
      <c r="C1017" s="1" t="s">
        <v>11</v>
      </c>
      <c r="D1017" s="5">
        <v>45666.0</v>
      </c>
      <c r="G1017" s="1">
        <f>VLOOKUP(B1017,'old-aw-skill-plan'!A:I,7,FALSE)</f>
        <v>3</v>
      </c>
      <c r="H1017" s="1" t="str">
        <f>VLOOKUP(B1017,'old-aw-skill-plan'!A:I,9,FALSE)</f>
        <v>3-2</v>
      </c>
    </row>
    <row r="1018" ht="15.75" customHeight="1">
      <c r="A1018" s="1" t="s">
        <v>24</v>
      </c>
      <c r="B1018" s="1" t="s">
        <v>314</v>
      </c>
      <c r="C1018" s="1" t="s">
        <v>11</v>
      </c>
      <c r="D1018" s="5">
        <v>45666.0</v>
      </c>
      <c r="G1018" s="1">
        <f>VLOOKUP(B1018,'old-aw-skill-plan'!A:I,7,FALSE)</f>
        <v>5</v>
      </c>
      <c r="H1018" s="1" t="str">
        <f>VLOOKUP(B1018,'old-aw-skill-plan'!A:I,9,FALSE)</f>
        <v>5-10</v>
      </c>
    </row>
    <row r="1019" ht="15.75" customHeight="1">
      <c r="A1019" s="1" t="s">
        <v>52</v>
      </c>
      <c r="B1019" s="1" t="s">
        <v>28</v>
      </c>
      <c r="C1019" s="1" t="s">
        <v>11</v>
      </c>
      <c r="D1019" s="5">
        <v>45666.0</v>
      </c>
      <c r="G1019" s="1">
        <f>VLOOKUP(B1019,'old-aw-skill-plan'!A:I,7,FALSE)</f>
        <v>3</v>
      </c>
      <c r="H1019" s="1" t="str">
        <f>VLOOKUP(B1019,'old-aw-skill-plan'!A:I,9,FALSE)</f>
        <v>3-4</v>
      </c>
    </row>
    <row r="1020" ht="15.75" customHeight="1">
      <c r="A1020" s="1" t="s">
        <v>100</v>
      </c>
      <c r="B1020" s="1" t="s">
        <v>340</v>
      </c>
      <c r="C1020" s="1" t="s">
        <v>11</v>
      </c>
      <c r="D1020" s="5">
        <v>45666.0</v>
      </c>
      <c r="G1020" s="1" t="str">
        <f>VLOOKUP(B1020,'old-aw-skill-plan'!A:I,7,FALSE)</f>
        <v>#N/A</v>
      </c>
      <c r="H1020" s="1" t="str">
        <f>VLOOKUP(B1020,'old-aw-skill-plan'!A:I,9,FALSE)</f>
        <v>#N/A</v>
      </c>
    </row>
    <row r="1021" ht="15.75" customHeight="1">
      <c r="A1021" s="1" t="s">
        <v>82</v>
      </c>
      <c r="B1021" s="1" t="s">
        <v>115</v>
      </c>
      <c r="C1021" s="1" t="s">
        <v>11</v>
      </c>
      <c r="D1021" s="5">
        <v>45666.0</v>
      </c>
      <c r="G1021" s="1">
        <f>VLOOKUP(B1021,'old-aw-skill-plan'!A:I,7,FALSE)</f>
        <v>3</v>
      </c>
      <c r="H1021" s="1" t="str">
        <f>VLOOKUP(B1021,'old-aw-skill-plan'!A:I,9,FALSE)</f>
        <v>3-10</v>
      </c>
    </row>
    <row r="1022" ht="15.75" customHeight="1">
      <c r="A1022" s="1" t="s">
        <v>202</v>
      </c>
      <c r="B1022" s="1" t="s">
        <v>44</v>
      </c>
      <c r="C1022" s="1" t="s">
        <v>11</v>
      </c>
      <c r="D1022" s="5">
        <v>45666.0</v>
      </c>
      <c r="G1022" s="1">
        <f>VLOOKUP(B1022,'old-aw-skill-plan'!A:I,7,FALSE)</f>
        <v>5</v>
      </c>
      <c r="H1022" s="1" t="str">
        <f>VLOOKUP(B1022,'old-aw-skill-plan'!A:I,9,FALSE)</f>
        <v>5-1</v>
      </c>
    </row>
    <row r="1023" ht="15.75" customHeight="1">
      <c r="A1023" s="1" t="s">
        <v>341</v>
      </c>
      <c r="B1023" s="1" t="s">
        <v>34</v>
      </c>
      <c r="C1023" s="1" t="s">
        <v>11</v>
      </c>
      <c r="D1023" s="5">
        <v>45666.0</v>
      </c>
      <c r="G1023" s="1">
        <f>VLOOKUP(B1023,'old-aw-skill-plan'!A:I,7,FALSE)</f>
        <v>4</v>
      </c>
      <c r="H1023" s="1" t="str">
        <f>VLOOKUP(B1023,'old-aw-skill-plan'!A:I,9,FALSE)</f>
        <v>4-1</v>
      </c>
    </row>
    <row r="1024" ht="15.75" customHeight="1">
      <c r="A1024" s="1" t="s">
        <v>341</v>
      </c>
      <c r="B1024" s="1" t="s">
        <v>37</v>
      </c>
      <c r="C1024" s="1" t="s">
        <v>11</v>
      </c>
      <c r="D1024" s="5">
        <v>45666.0</v>
      </c>
      <c r="G1024" s="1">
        <f>VLOOKUP(B1024,'old-aw-skill-plan'!A:I,7,FALSE)</f>
        <v>4</v>
      </c>
      <c r="H1024" s="1" t="str">
        <f>VLOOKUP(B1024,'old-aw-skill-plan'!A:I,9,FALSE)</f>
        <v>4-2</v>
      </c>
    </row>
    <row r="1025" ht="15.75" customHeight="1">
      <c r="A1025" s="1" t="s">
        <v>29</v>
      </c>
      <c r="B1025" s="1" t="s">
        <v>10</v>
      </c>
      <c r="C1025" s="1" t="s">
        <v>11</v>
      </c>
      <c r="D1025" s="5">
        <v>45665.0</v>
      </c>
      <c r="G1025" s="1">
        <f>VLOOKUP(B1025,'old-aw-skill-plan'!A:I,7,FALSE)</f>
        <v>3</v>
      </c>
      <c r="H1025" s="1" t="str">
        <f>VLOOKUP(B1025,'old-aw-skill-plan'!A:I,9,FALSE)</f>
        <v>3-1</v>
      </c>
    </row>
    <row r="1026" ht="15.75" customHeight="1">
      <c r="A1026" s="1" t="s">
        <v>64</v>
      </c>
      <c r="B1026" s="1" t="s">
        <v>44</v>
      </c>
      <c r="C1026" s="1" t="s">
        <v>11</v>
      </c>
      <c r="D1026" s="5">
        <v>45665.0</v>
      </c>
      <c r="G1026" s="1">
        <f>VLOOKUP(B1026,'old-aw-skill-plan'!A:I,7,FALSE)</f>
        <v>5</v>
      </c>
      <c r="H1026" s="1" t="str">
        <f>VLOOKUP(B1026,'old-aw-skill-plan'!A:I,9,FALSE)</f>
        <v>5-1</v>
      </c>
    </row>
    <row r="1027" ht="15.75" customHeight="1">
      <c r="A1027" s="1" t="s">
        <v>39</v>
      </c>
      <c r="B1027" s="1" t="s">
        <v>79</v>
      </c>
      <c r="C1027" s="1" t="s">
        <v>11</v>
      </c>
      <c r="D1027" s="5">
        <v>45665.0</v>
      </c>
      <c r="G1027" s="1">
        <f>VLOOKUP(B1027,'old-aw-skill-plan'!A:I,7,FALSE)</f>
        <v>4</v>
      </c>
      <c r="H1027" s="1" t="str">
        <f>VLOOKUP(B1027,'old-aw-skill-plan'!A:I,9,FALSE)</f>
        <v>4-8</v>
      </c>
    </row>
    <row r="1028" ht="15.75" customHeight="1">
      <c r="A1028" s="1" t="s">
        <v>39</v>
      </c>
      <c r="B1028" s="1" t="s">
        <v>44</v>
      </c>
      <c r="C1028" s="1" t="s">
        <v>11</v>
      </c>
      <c r="D1028" s="5">
        <v>45665.0</v>
      </c>
      <c r="G1028" s="1">
        <f>VLOOKUP(B1028,'old-aw-skill-plan'!A:I,7,FALSE)</f>
        <v>5</v>
      </c>
      <c r="H1028" s="1" t="str">
        <f>VLOOKUP(B1028,'old-aw-skill-plan'!A:I,9,FALSE)</f>
        <v>5-1</v>
      </c>
    </row>
    <row r="1029" ht="15.75" customHeight="1">
      <c r="A1029" s="1" t="s">
        <v>60</v>
      </c>
      <c r="B1029" s="1" t="s">
        <v>104</v>
      </c>
      <c r="C1029" s="1" t="s">
        <v>11</v>
      </c>
      <c r="D1029" s="5">
        <v>45665.0</v>
      </c>
      <c r="G1029" s="1">
        <f>VLOOKUP(B1029,'old-aw-skill-plan'!A:I,7,FALSE)</f>
        <v>5</v>
      </c>
      <c r="H1029" s="1" t="str">
        <f>VLOOKUP(B1029,'old-aw-skill-plan'!A:I,9,FALSE)</f>
        <v>5-2</v>
      </c>
    </row>
    <row r="1030" ht="15.75" customHeight="1">
      <c r="A1030" s="1" t="s">
        <v>63</v>
      </c>
      <c r="B1030" s="1" t="s">
        <v>83</v>
      </c>
      <c r="C1030" s="1" t="s">
        <v>11</v>
      </c>
      <c r="D1030" s="5">
        <v>45665.0</v>
      </c>
      <c r="G1030" s="1">
        <f>VLOOKUP(B1030,'old-aw-skill-plan'!A:I,7,FALSE)</f>
        <v>5</v>
      </c>
      <c r="H1030" s="1" t="str">
        <f>VLOOKUP(B1030,'old-aw-skill-plan'!A:I,9,FALSE)</f>
        <v>5-9</v>
      </c>
    </row>
    <row r="1031" ht="15.75" customHeight="1">
      <c r="A1031" s="1" t="s">
        <v>65</v>
      </c>
      <c r="B1031" s="1" t="s">
        <v>61</v>
      </c>
      <c r="C1031" s="1" t="s">
        <v>11</v>
      </c>
      <c r="D1031" s="5">
        <v>45665.0</v>
      </c>
      <c r="G1031" s="1">
        <f>VLOOKUP(B1031,'old-aw-skill-plan'!A:I,7,FALSE)</f>
        <v>4</v>
      </c>
      <c r="H1031" s="1" t="str">
        <f>VLOOKUP(B1031,'old-aw-skill-plan'!A:I,9,FALSE)</f>
        <v>4-4</v>
      </c>
    </row>
    <row r="1032" ht="15.75" customHeight="1">
      <c r="A1032" s="1" t="s">
        <v>183</v>
      </c>
      <c r="B1032" s="1" t="s">
        <v>322</v>
      </c>
      <c r="C1032" s="1" t="s">
        <v>11</v>
      </c>
      <c r="D1032" s="5">
        <v>45665.0</v>
      </c>
      <c r="G1032" s="1">
        <f>VLOOKUP(B1032,'old-aw-skill-plan'!A:I,7,FALSE)</f>
        <v>8</v>
      </c>
      <c r="H1032" s="1" t="str">
        <f>VLOOKUP(B1032,'old-aw-skill-plan'!A:I,9,FALSE)</f>
        <v>8-5</v>
      </c>
    </row>
    <row r="1033" ht="15.75" customHeight="1">
      <c r="A1033" s="1" t="s">
        <v>68</v>
      </c>
      <c r="B1033" s="1" t="s">
        <v>48</v>
      </c>
      <c r="C1033" s="1" t="s">
        <v>11</v>
      </c>
      <c r="D1033" s="5">
        <v>45665.0</v>
      </c>
      <c r="G1033" s="1">
        <f>VLOOKUP(B1033,'old-aw-skill-plan'!A:I,7,FALSE)</f>
        <v>3</v>
      </c>
      <c r="H1033" s="1" t="str">
        <f>VLOOKUP(B1033,'old-aw-skill-plan'!A:I,9,FALSE)</f>
        <v>3-6</v>
      </c>
    </row>
    <row r="1034" ht="15.75" customHeight="1">
      <c r="A1034" s="1" t="s">
        <v>74</v>
      </c>
      <c r="B1034" s="1" t="s">
        <v>57</v>
      </c>
      <c r="C1034" s="1" t="s">
        <v>11</v>
      </c>
      <c r="D1034" s="5">
        <v>45665.0</v>
      </c>
      <c r="G1034" s="1">
        <f>VLOOKUP(B1034,'old-aw-skill-plan'!A:I,7,FALSE)</f>
        <v>3</v>
      </c>
      <c r="H1034" s="1" t="str">
        <f>VLOOKUP(B1034,'old-aw-skill-plan'!A:I,9,FALSE)</f>
        <v>3-7</v>
      </c>
    </row>
    <row r="1035" ht="15.75" customHeight="1">
      <c r="A1035" s="1" t="s">
        <v>74</v>
      </c>
      <c r="B1035" s="1" t="s">
        <v>104</v>
      </c>
      <c r="C1035" s="1" t="s">
        <v>11</v>
      </c>
      <c r="D1035" s="5">
        <v>45665.0</v>
      </c>
      <c r="G1035" s="1">
        <f>VLOOKUP(B1035,'old-aw-skill-plan'!A:I,7,FALSE)</f>
        <v>5</v>
      </c>
      <c r="H1035" s="1" t="str">
        <f>VLOOKUP(B1035,'old-aw-skill-plan'!A:I,9,FALSE)</f>
        <v>5-2</v>
      </c>
    </row>
    <row r="1036" ht="15.75" customHeight="1">
      <c r="A1036" s="1" t="s">
        <v>75</v>
      </c>
      <c r="B1036" s="1" t="s">
        <v>137</v>
      </c>
      <c r="C1036" s="1" t="s">
        <v>11</v>
      </c>
      <c r="D1036" s="5">
        <v>45665.0</v>
      </c>
      <c r="G1036" s="1">
        <f>VLOOKUP(B1036,'old-aw-skill-plan'!A:I,7,FALSE)</f>
        <v>6</v>
      </c>
      <c r="H1036" s="1" t="str">
        <f>VLOOKUP(B1036,'old-aw-skill-plan'!A:I,9,FALSE)</f>
        <v>6-6</v>
      </c>
    </row>
    <row r="1037" ht="15.75" customHeight="1">
      <c r="A1037" s="1" t="s">
        <v>77</v>
      </c>
      <c r="B1037" s="1" t="s">
        <v>23</v>
      </c>
      <c r="C1037" s="1" t="s">
        <v>11</v>
      </c>
      <c r="D1037" s="5">
        <v>45665.0</v>
      </c>
      <c r="G1037" s="1">
        <f>VLOOKUP(B1037,'old-aw-skill-plan'!A:I,7,FALSE)</f>
        <v>4</v>
      </c>
      <c r="H1037" s="1" t="str">
        <f>VLOOKUP(B1037,'old-aw-skill-plan'!A:I,9,FALSE)</f>
        <v>4-5</v>
      </c>
    </row>
    <row r="1038" ht="15.75" customHeight="1">
      <c r="A1038" s="1" t="s">
        <v>100</v>
      </c>
      <c r="B1038" s="1" t="s">
        <v>340</v>
      </c>
      <c r="C1038" s="1" t="s">
        <v>11</v>
      </c>
      <c r="D1038" s="5">
        <v>45665.0</v>
      </c>
      <c r="G1038" s="1" t="str">
        <f>VLOOKUP(B1038,'old-aw-skill-plan'!A:I,7,FALSE)</f>
        <v>#N/A</v>
      </c>
      <c r="H1038" s="1" t="str">
        <f>VLOOKUP(B1038,'old-aw-skill-plan'!A:I,9,FALSE)</f>
        <v>#N/A</v>
      </c>
    </row>
    <row r="1039" ht="15.75" customHeight="1">
      <c r="A1039" s="1" t="s">
        <v>82</v>
      </c>
      <c r="B1039" s="1" t="s">
        <v>115</v>
      </c>
      <c r="C1039" s="1" t="s">
        <v>11</v>
      </c>
      <c r="D1039" s="5">
        <v>45665.0</v>
      </c>
      <c r="G1039" s="1">
        <f>VLOOKUP(B1039,'old-aw-skill-plan'!A:I,7,FALSE)</f>
        <v>3</v>
      </c>
      <c r="H1039" s="1" t="str">
        <f>VLOOKUP(B1039,'old-aw-skill-plan'!A:I,9,FALSE)</f>
        <v>3-10</v>
      </c>
    </row>
    <row r="1040" ht="15.75" customHeight="1">
      <c r="A1040" s="1" t="s">
        <v>326</v>
      </c>
      <c r="B1040" s="1" t="s">
        <v>83</v>
      </c>
      <c r="C1040" s="1" t="s">
        <v>11</v>
      </c>
      <c r="D1040" s="5">
        <v>45665.0</v>
      </c>
      <c r="G1040" s="1">
        <f>VLOOKUP(B1040,'old-aw-skill-plan'!A:I,7,FALSE)</f>
        <v>5</v>
      </c>
      <c r="H1040" s="1" t="str">
        <f>VLOOKUP(B1040,'old-aw-skill-plan'!A:I,9,FALSE)</f>
        <v>5-9</v>
      </c>
    </row>
    <row r="1041" ht="15.75" customHeight="1">
      <c r="A1041" s="1" t="s">
        <v>90</v>
      </c>
      <c r="B1041" s="1" t="s">
        <v>28</v>
      </c>
      <c r="C1041" s="1" t="s">
        <v>11</v>
      </c>
      <c r="D1041" s="5">
        <v>45665.0</v>
      </c>
      <c r="G1041" s="1">
        <f>VLOOKUP(B1041,'old-aw-skill-plan'!A:I,7,FALSE)</f>
        <v>3</v>
      </c>
      <c r="H1041" s="1" t="str">
        <f>VLOOKUP(B1041,'old-aw-skill-plan'!A:I,9,FALSE)</f>
        <v>3-4</v>
      </c>
    </row>
    <row r="1042" ht="15.75" customHeight="1">
      <c r="A1042" s="1" t="s">
        <v>90</v>
      </c>
      <c r="B1042" s="1" t="s">
        <v>33</v>
      </c>
      <c r="C1042" s="1" t="s">
        <v>11</v>
      </c>
      <c r="D1042" s="5">
        <v>45665.0</v>
      </c>
      <c r="G1042" s="1">
        <f>VLOOKUP(B1042,'old-aw-skill-plan'!A:I,7,FALSE)</f>
        <v>3</v>
      </c>
      <c r="H1042" s="1" t="str">
        <f>VLOOKUP(B1042,'old-aw-skill-plan'!A:I,9,FALSE)</f>
        <v>3-5</v>
      </c>
    </row>
    <row r="1043" ht="15.75" customHeight="1">
      <c r="A1043" s="1" t="s">
        <v>101</v>
      </c>
      <c r="B1043" s="1" t="s">
        <v>21</v>
      </c>
      <c r="C1043" s="1" t="s">
        <v>11</v>
      </c>
      <c r="D1043" s="5">
        <v>45665.0</v>
      </c>
      <c r="G1043" s="1">
        <f>VLOOKUP(B1043,'old-aw-skill-plan'!A:I,7,FALSE)</f>
        <v>4</v>
      </c>
      <c r="H1043" s="1" t="str">
        <f>VLOOKUP(B1043,'old-aw-skill-plan'!A:I,9,FALSE)</f>
        <v>4-6</v>
      </c>
    </row>
    <row r="1044" ht="15.75" customHeight="1">
      <c r="A1044" s="1" t="s">
        <v>342</v>
      </c>
      <c r="B1044" s="1" t="s">
        <v>34</v>
      </c>
      <c r="C1044" s="1" t="s">
        <v>11</v>
      </c>
      <c r="D1044" s="5">
        <v>45665.0</v>
      </c>
      <c r="G1044" s="1">
        <f>VLOOKUP(B1044,'old-aw-skill-plan'!A:I,7,FALSE)</f>
        <v>4</v>
      </c>
      <c r="H1044" s="1" t="str">
        <f>VLOOKUP(B1044,'old-aw-skill-plan'!A:I,9,FALSE)</f>
        <v>4-1</v>
      </c>
    </row>
    <row r="1045" ht="15.75" customHeight="1">
      <c r="A1045" s="1" t="s">
        <v>29</v>
      </c>
      <c r="B1045" s="1" t="s">
        <v>10</v>
      </c>
      <c r="C1045" s="1" t="s">
        <v>11</v>
      </c>
      <c r="D1045" s="5">
        <v>45664.0</v>
      </c>
      <c r="G1045" s="1">
        <f>VLOOKUP(B1045,'old-aw-skill-plan'!A:I,7,FALSE)</f>
        <v>3</v>
      </c>
      <c r="H1045" s="1" t="str">
        <f>VLOOKUP(B1045,'old-aw-skill-plan'!A:I,9,FALSE)</f>
        <v>3-1</v>
      </c>
    </row>
    <row r="1046" ht="15.75" customHeight="1">
      <c r="A1046" s="1" t="s">
        <v>64</v>
      </c>
      <c r="B1046" s="1" t="s">
        <v>44</v>
      </c>
      <c r="C1046" s="1" t="s">
        <v>11</v>
      </c>
      <c r="D1046" s="5">
        <v>45664.0</v>
      </c>
      <c r="G1046" s="1">
        <f>VLOOKUP(B1046,'old-aw-skill-plan'!A:I,7,FALSE)</f>
        <v>5</v>
      </c>
      <c r="H1046" s="1" t="str">
        <f>VLOOKUP(B1046,'old-aw-skill-plan'!A:I,9,FALSE)</f>
        <v>5-1</v>
      </c>
    </row>
    <row r="1047" ht="15.75" customHeight="1">
      <c r="A1047" s="1" t="s">
        <v>101</v>
      </c>
      <c r="B1047" s="1" t="s">
        <v>34</v>
      </c>
      <c r="C1047" s="1" t="s">
        <v>11</v>
      </c>
      <c r="D1047" s="5">
        <v>45664.0</v>
      </c>
      <c r="G1047" s="1">
        <f>VLOOKUP(B1047,'old-aw-skill-plan'!A:I,7,FALSE)</f>
        <v>4</v>
      </c>
      <c r="H1047" s="1" t="str">
        <f>VLOOKUP(B1047,'old-aw-skill-plan'!A:I,9,FALSE)</f>
        <v>4-1</v>
      </c>
    </row>
    <row r="1048" ht="15.75" customHeight="1">
      <c r="A1048" s="1" t="s">
        <v>64</v>
      </c>
      <c r="B1048" s="1" t="s">
        <v>44</v>
      </c>
      <c r="C1048" s="1" t="s">
        <v>11</v>
      </c>
      <c r="D1048" s="5">
        <v>45663.0</v>
      </c>
      <c r="G1048" s="1">
        <f>VLOOKUP(B1048,'old-aw-skill-plan'!A:I,7,FALSE)</f>
        <v>5</v>
      </c>
      <c r="H1048" s="1" t="str">
        <f>VLOOKUP(B1048,'old-aw-skill-plan'!A:I,9,FALSE)</f>
        <v>5-1</v>
      </c>
    </row>
    <row r="1049" ht="15.75" customHeight="1">
      <c r="A1049" s="1" t="s">
        <v>76</v>
      </c>
      <c r="B1049" s="1" t="s">
        <v>34</v>
      </c>
      <c r="C1049" s="1" t="s">
        <v>11</v>
      </c>
      <c r="D1049" s="5">
        <v>45661.0</v>
      </c>
      <c r="G1049" s="1">
        <f>VLOOKUP(B1049,'old-aw-skill-plan'!A:I,7,FALSE)</f>
        <v>4</v>
      </c>
      <c r="H1049" s="1" t="str">
        <f>VLOOKUP(B1049,'old-aw-skill-plan'!A:I,9,FALSE)</f>
        <v>4-1</v>
      </c>
    </row>
    <row r="1050" ht="15.75" customHeight="1">
      <c r="A1050" s="1" t="s">
        <v>76</v>
      </c>
      <c r="B1050" s="1" t="s">
        <v>34</v>
      </c>
      <c r="C1050" s="1" t="s">
        <v>11</v>
      </c>
      <c r="D1050" s="5">
        <v>45653.0</v>
      </c>
      <c r="G1050" s="1">
        <f>VLOOKUP(B1050,'old-aw-skill-plan'!A:I,7,FALSE)</f>
        <v>4</v>
      </c>
      <c r="H1050" s="1" t="str">
        <f>VLOOKUP(B1050,'old-aw-skill-plan'!A:I,9,FALSE)</f>
        <v>4-1</v>
      </c>
    </row>
    <row r="1051" ht="15.75" customHeight="1">
      <c r="A1051" s="1" t="s">
        <v>52</v>
      </c>
      <c r="B1051" s="1" t="s">
        <v>28</v>
      </c>
      <c r="C1051" s="1" t="s">
        <v>11</v>
      </c>
      <c r="D1051" s="5">
        <v>45645.0</v>
      </c>
      <c r="G1051" s="1">
        <f>VLOOKUP(B1051,'old-aw-skill-plan'!A:I,7,FALSE)</f>
        <v>3</v>
      </c>
      <c r="H1051" s="1" t="str">
        <f>VLOOKUP(B1051,'old-aw-skill-plan'!A:I,9,FALSE)</f>
        <v>3-4</v>
      </c>
    </row>
    <row r="1052" ht="15.75" customHeight="1">
      <c r="A1052" s="1" t="s">
        <v>68</v>
      </c>
      <c r="B1052" s="1" t="s">
        <v>48</v>
      </c>
      <c r="C1052" s="1" t="s">
        <v>11</v>
      </c>
      <c r="D1052" s="5">
        <v>45645.0</v>
      </c>
      <c r="G1052" s="1">
        <f>VLOOKUP(B1052,'old-aw-skill-plan'!A:I,7,FALSE)</f>
        <v>3</v>
      </c>
      <c r="H1052" s="1" t="str">
        <f>VLOOKUP(B1052,'old-aw-skill-plan'!A:I,9,FALSE)</f>
        <v>3-6</v>
      </c>
    </row>
    <row r="1053" ht="15.75" customHeight="1">
      <c r="A1053" s="1" t="s">
        <v>74</v>
      </c>
      <c r="B1053" s="1" t="s">
        <v>104</v>
      </c>
      <c r="C1053" s="1" t="s">
        <v>11</v>
      </c>
      <c r="D1053" s="5">
        <v>45645.0</v>
      </c>
      <c r="G1053" s="1">
        <f>VLOOKUP(B1053,'old-aw-skill-plan'!A:I,7,FALSE)</f>
        <v>5</v>
      </c>
      <c r="H1053" s="1" t="str">
        <f>VLOOKUP(B1053,'old-aw-skill-plan'!A:I,9,FALSE)</f>
        <v>5-2</v>
      </c>
    </row>
    <row r="1054" ht="15.75" customHeight="1">
      <c r="A1054" s="1" t="s">
        <v>82</v>
      </c>
      <c r="B1054" s="1" t="s">
        <v>115</v>
      </c>
      <c r="C1054" s="1" t="s">
        <v>11</v>
      </c>
      <c r="D1054" s="5">
        <v>45645.0</v>
      </c>
      <c r="G1054" s="1">
        <f>VLOOKUP(B1054,'old-aw-skill-plan'!A:I,7,FALSE)</f>
        <v>3</v>
      </c>
      <c r="H1054" s="1" t="str">
        <f>VLOOKUP(B1054,'old-aw-skill-plan'!A:I,9,FALSE)</f>
        <v>3-10</v>
      </c>
    </row>
    <row r="1055" ht="15.75" customHeight="1">
      <c r="A1055" s="1" t="s">
        <v>179</v>
      </c>
      <c r="B1055" s="1" t="s">
        <v>104</v>
      </c>
      <c r="C1055" s="1" t="s">
        <v>11</v>
      </c>
      <c r="D1055" s="5">
        <v>45644.0</v>
      </c>
      <c r="G1055" s="1">
        <f>VLOOKUP(B1055,'old-aw-skill-plan'!A:I,7,FALSE)</f>
        <v>5</v>
      </c>
      <c r="H1055" s="1" t="str">
        <f>VLOOKUP(B1055,'old-aw-skill-plan'!A:I,9,FALSE)</f>
        <v>5-2</v>
      </c>
    </row>
    <row r="1056" ht="15.75" customHeight="1">
      <c r="A1056" s="1" t="s">
        <v>63</v>
      </c>
      <c r="B1056" s="1" t="s">
        <v>83</v>
      </c>
      <c r="C1056" s="1" t="s">
        <v>11</v>
      </c>
      <c r="D1056" s="5">
        <v>45644.0</v>
      </c>
      <c r="G1056" s="1">
        <f>VLOOKUP(B1056,'old-aw-skill-plan'!A:I,7,FALSE)</f>
        <v>5</v>
      </c>
      <c r="H1056" s="1" t="str">
        <f>VLOOKUP(B1056,'old-aw-skill-plan'!A:I,9,FALSE)</f>
        <v>5-9</v>
      </c>
    </row>
    <row r="1057" ht="15.75" customHeight="1">
      <c r="A1057" s="1" t="s">
        <v>65</v>
      </c>
      <c r="B1057" s="1" t="s">
        <v>97</v>
      </c>
      <c r="C1057" s="1" t="s">
        <v>11</v>
      </c>
      <c r="D1057" s="5">
        <v>45644.0</v>
      </c>
      <c r="G1057" s="1">
        <f>VLOOKUP(B1057,'old-aw-skill-plan'!A:I,7,FALSE)</f>
        <v>4</v>
      </c>
      <c r="H1057" s="1" t="str">
        <f>VLOOKUP(B1057,'old-aw-skill-plan'!A:I,9,FALSE)</f>
        <v>4-3</v>
      </c>
    </row>
    <row r="1058" ht="15.75" customHeight="1">
      <c r="A1058" s="1" t="s">
        <v>74</v>
      </c>
      <c r="B1058" s="1" t="s">
        <v>104</v>
      </c>
      <c r="C1058" s="1" t="s">
        <v>11</v>
      </c>
      <c r="D1058" s="5">
        <v>45644.0</v>
      </c>
      <c r="G1058" s="1">
        <f>VLOOKUP(B1058,'old-aw-skill-plan'!A:I,7,FALSE)</f>
        <v>5</v>
      </c>
      <c r="H1058" s="1" t="str">
        <f>VLOOKUP(B1058,'old-aw-skill-plan'!A:I,9,FALSE)</f>
        <v>5-2</v>
      </c>
    </row>
    <row r="1059" ht="15.75" customHeight="1">
      <c r="A1059" s="1" t="s">
        <v>75</v>
      </c>
      <c r="B1059" s="1" t="s">
        <v>321</v>
      </c>
      <c r="C1059" s="1" t="s">
        <v>11</v>
      </c>
      <c r="D1059" s="5">
        <v>45644.0</v>
      </c>
      <c r="G1059" s="1">
        <f>VLOOKUP(B1059,'old-aw-skill-plan'!A:I,7,FALSE)</f>
        <v>6</v>
      </c>
      <c r="H1059" s="1" t="str">
        <f>VLOOKUP(B1059,'old-aw-skill-plan'!A:I,9,FALSE)</f>
        <v>6-5</v>
      </c>
    </row>
    <row r="1060" ht="15.75" customHeight="1">
      <c r="A1060" s="1" t="s">
        <v>75</v>
      </c>
      <c r="B1060" s="1" t="s">
        <v>137</v>
      </c>
      <c r="C1060" s="1" t="s">
        <v>11</v>
      </c>
      <c r="D1060" s="5">
        <v>45644.0</v>
      </c>
      <c r="G1060" s="1">
        <f>VLOOKUP(B1060,'old-aw-skill-plan'!A:I,7,FALSE)</f>
        <v>6</v>
      </c>
      <c r="H1060" s="1" t="str">
        <f>VLOOKUP(B1060,'old-aw-skill-plan'!A:I,9,FALSE)</f>
        <v>6-6</v>
      </c>
    </row>
    <row r="1061" ht="15.75" customHeight="1">
      <c r="A1061" s="1" t="s">
        <v>77</v>
      </c>
      <c r="B1061" s="1" t="s">
        <v>23</v>
      </c>
      <c r="C1061" s="1" t="s">
        <v>11</v>
      </c>
      <c r="D1061" s="5">
        <v>45644.0</v>
      </c>
      <c r="G1061" s="1">
        <f>VLOOKUP(B1061,'old-aw-skill-plan'!A:I,7,FALSE)</f>
        <v>4</v>
      </c>
      <c r="H1061" s="1" t="str">
        <f>VLOOKUP(B1061,'old-aw-skill-plan'!A:I,9,FALSE)</f>
        <v>4-5</v>
      </c>
    </row>
    <row r="1062" ht="15.75" customHeight="1">
      <c r="A1062" s="1" t="s">
        <v>63</v>
      </c>
      <c r="B1062" s="1" t="s">
        <v>83</v>
      </c>
      <c r="C1062" s="1" t="s">
        <v>11</v>
      </c>
      <c r="D1062" s="5">
        <v>45643.0</v>
      </c>
      <c r="G1062" s="1">
        <f>VLOOKUP(B1062,'old-aw-skill-plan'!A:I,7,FALSE)</f>
        <v>5</v>
      </c>
      <c r="H1062" s="1" t="str">
        <f>VLOOKUP(B1062,'old-aw-skill-plan'!A:I,9,FALSE)</f>
        <v>5-9</v>
      </c>
    </row>
    <row r="1063" ht="15.75" customHeight="1">
      <c r="A1063" s="1" t="s">
        <v>65</v>
      </c>
      <c r="B1063" s="1" t="s">
        <v>37</v>
      </c>
      <c r="C1063" s="1" t="s">
        <v>11</v>
      </c>
      <c r="D1063" s="5">
        <v>45643.0</v>
      </c>
      <c r="G1063" s="1">
        <f>VLOOKUP(B1063,'old-aw-skill-plan'!A:I,7,FALSE)</f>
        <v>4</v>
      </c>
      <c r="H1063" s="1" t="str">
        <f>VLOOKUP(B1063,'old-aw-skill-plan'!A:I,9,FALSE)</f>
        <v>4-2</v>
      </c>
    </row>
    <row r="1064" ht="15.75" customHeight="1">
      <c r="A1064" s="1" t="s">
        <v>74</v>
      </c>
      <c r="B1064" s="1" t="s">
        <v>88</v>
      </c>
      <c r="C1064" s="1" t="s">
        <v>11</v>
      </c>
      <c r="D1064" s="5">
        <v>45643.0</v>
      </c>
      <c r="G1064" s="1">
        <f>VLOOKUP(B1064,'old-aw-skill-plan'!A:I,7,FALSE)</f>
        <v>5</v>
      </c>
      <c r="H1064" s="1" t="str">
        <f>VLOOKUP(B1064,'old-aw-skill-plan'!A:I,9,FALSE)</f>
        <v>5-5</v>
      </c>
    </row>
    <row r="1065" ht="15.75" customHeight="1">
      <c r="A1065" s="1" t="s">
        <v>77</v>
      </c>
      <c r="B1065" s="1" t="s">
        <v>23</v>
      </c>
      <c r="C1065" s="1" t="s">
        <v>11</v>
      </c>
      <c r="D1065" s="5">
        <v>45643.0</v>
      </c>
      <c r="G1065" s="1">
        <f>VLOOKUP(B1065,'old-aw-skill-plan'!A:I,7,FALSE)</f>
        <v>4</v>
      </c>
      <c r="H1065" s="1" t="str">
        <f>VLOOKUP(B1065,'old-aw-skill-plan'!A:I,9,FALSE)</f>
        <v>4-5</v>
      </c>
    </row>
    <row r="1066" ht="15.75" customHeight="1">
      <c r="A1066" s="1" t="s">
        <v>204</v>
      </c>
      <c r="B1066" s="1" t="s">
        <v>34</v>
      </c>
      <c r="C1066" s="1" t="s">
        <v>11</v>
      </c>
      <c r="D1066" s="5">
        <v>45642.0</v>
      </c>
      <c r="G1066" s="1">
        <f>VLOOKUP(B1066,'old-aw-skill-plan'!A:I,7,FALSE)</f>
        <v>4</v>
      </c>
      <c r="H1066" s="1" t="str">
        <f>VLOOKUP(B1066,'old-aw-skill-plan'!A:I,9,FALSE)</f>
        <v>4-1</v>
      </c>
    </row>
    <row r="1067" ht="15.75" customHeight="1">
      <c r="A1067" s="1" t="s">
        <v>63</v>
      </c>
      <c r="B1067" s="1" t="s">
        <v>83</v>
      </c>
      <c r="C1067" s="1" t="s">
        <v>11</v>
      </c>
      <c r="D1067" s="5">
        <v>45642.0</v>
      </c>
      <c r="G1067" s="1">
        <f>VLOOKUP(B1067,'old-aw-skill-plan'!A:I,7,FALSE)</f>
        <v>5</v>
      </c>
      <c r="H1067" s="1" t="str">
        <f>VLOOKUP(B1067,'old-aw-skill-plan'!A:I,9,FALSE)</f>
        <v>5-9</v>
      </c>
    </row>
    <row r="1068" ht="15.75" customHeight="1">
      <c r="A1068" s="1" t="s">
        <v>74</v>
      </c>
      <c r="B1068" s="1" t="s">
        <v>104</v>
      </c>
      <c r="C1068" s="1" t="s">
        <v>11</v>
      </c>
      <c r="D1068" s="5">
        <v>45642.0</v>
      </c>
      <c r="G1068" s="1">
        <f>VLOOKUP(B1068,'old-aw-skill-plan'!A:I,7,FALSE)</f>
        <v>5</v>
      </c>
      <c r="H1068" s="1" t="str">
        <f>VLOOKUP(B1068,'old-aw-skill-plan'!A:I,9,FALSE)</f>
        <v>5-2</v>
      </c>
    </row>
    <row r="1069" ht="15.75" customHeight="1">
      <c r="A1069" s="1" t="s">
        <v>74</v>
      </c>
      <c r="B1069" s="1" t="s">
        <v>88</v>
      </c>
      <c r="C1069" s="1" t="s">
        <v>11</v>
      </c>
      <c r="D1069" s="5">
        <v>45642.0</v>
      </c>
      <c r="G1069" s="1">
        <f>VLOOKUP(B1069,'old-aw-skill-plan'!A:I,7,FALSE)</f>
        <v>5</v>
      </c>
      <c r="H1069" s="1" t="str">
        <f>VLOOKUP(B1069,'old-aw-skill-plan'!A:I,9,FALSE)</f>
        <v>5-5</v>
      </c>
    </row>
    <row r="1070" ht="15.75" customHeight="1">
      <c r="A1070" s="1" t="s">
        <v>75</v>
      </c>
      <c r="B1070" s="1" t="s">
        <v>321</v>
      </c>
      <c r="C1070" s="1" t="s">
        <v>11</v>
      </c>
      <c r="D1070" s="5">
        <v>45642.0</v>
      </c>
      <c r="G1070" s="1">
        <f>VLOOKUP(B1070,'old-aw-skill-plan'!A:I,7,FALSE)</f>
        <v>6</v>
      </c>
      <c r="H1070" s="1" t="str">
        <f>VLOOKUP(B1070,'old-aw-skill-plan'!A:I,9,FALSE)</f>
        <v>6-5</v>
      </c>
    </row>
    <row r="1071" ht="15.75" customHeight="1">
      <c r="A1071" s="1" t="s">
        <v>77</v>
      </c>
      <c r="B1071" s="1" t="s">
        <v>23</v>
      </c>
      <c r="C1071" s="1" t="s">
        <v>11</v>
      </c>
      <c r="D1071" s="5">
        <v>45642.0</v>
      </c>
      <c r="G1071" s="1">
        <f>VLOOKUP(B1071,'old-aw-skill-plan'!A:I,7,FALSE)</f>
        <v>4</v>
      </c>
      <c r="H1071" s="1" t="str">
        <f>VLOOKUP(B1071,'old-aw-skill-plan'!A:I,9,FALSE)</f>
        <v>4-5</v>
      </c>
    </row>
    <row r="1072" ht="15.75" customHeight="1">
      <c r="A1072" s="1" t="s">
        <v>100</v>
      </c>
      <c r="B1072" s="1" t="s">
        <v>340</v>
      </c>
      <c r="C1072" s="1" t="s">
        <v>11</v>
      </c>
      <c r="D1072" s="5">
        <v>45642.0</v>
      </c>
      <c r="G1072" s="1" t="str">
        <f>VLOOKUP(B1072,'old-aw-skill-plan'!A:I,7,FALSE)</f>
        <v>#N/A</v>
      </c>
      <c r="H1072" s="1" t="str">
        <f>VLOOKUP(B1072,'old-aw-skill-plan'!A:I,9,FALSE)</f>
        <v>#N/A</v>
      </c>
    </row>
    <row r="1073" ht="15.75" customHeight="1">
      <c r="A1073" s="1" t="s">
        <v>183</v>
      </c>
      <c r="B1073" s="1" t="s">
        <v>322</v>
      </c>
      <c r="C1073" s="1" t="s">
        <v>11</v>
      </c>
      <c r="D1073" s="5">
        <v>45641.0</v>
      </c>
      <c r="G1073" s="1">
        <f>VLOOKUP(B1073,'old-aw-skill-plan'!A:I,7,FALSE)</f>
        <v>8</v>
      </c>
      <c r="H1073" s="1" t="str">
        <f>VLOOKUP(B1073,'old-aw-skill-plan'!A:I,9,FALSE)</f>
        <v>8-5</v>
      </c>
    </row>
    <row r="1074" ht="15.75" customHeight="1">
      <c r="A1074" s="1" t="s">
        <v>18</v>
      </c>
      <c r="B1074" s="1" t="s">
        <v>34</v>
      </c>
      <c r="C1074" s="1" t="s">
        <v>11</v>
      </c>
      <c r="D1074" s="5">
        <v>45639.0</v>
      </c>
      <c r="G1074" s="1">
        <f>VLOOKUP(B1074,'old-aw-skill-plan'!A:I,7,FALSE)</f>
        <v>4</v>
      </c>
      <c r="H1074" s="1" t="str">
        <f>VLOOKUP(B1074,'old-aw-skill-plan'!A:I,9,FALSE)</f>
        <v>4-1</v>
      </c>
    </row>
    <row r="1075" ht="15.75" customHeight="1">
      <c r="A1075" s="1" t="s">
        <v>63</v>
      </c>
      <c r="B1075" s="1" t="s">
        <v>83</v>
      </c>
      <c r="C1075" s="1" t="s">
        <v>11</v>
      </c>
      <c r="D1075" s="5">
        <v>45639.0</v>
      </c>
      <c r="G1075" s="1">
        <f>VLOOKUP(B1075,'old-aw-skill-plan'!A:I,7,FALSE)</f>
        <v>5</v>
      </c>
      <c r="H1075" s="1" t="str">
        <f>VLOOKUP(B1075,'old-aw-skill-plan'!A:I,9,FALSE)</f>
        <v>5-9</v>
      </c>
    </row>
    <row r="1076" ht="15.75" customHeight="1">
      <c r="A1076" s="1" t="s">
        <v>65</v>
      </c>
      <c r="B1076" s="1" t="s">
        <v>37</v>
      </c>
      <c r="C1076" s="1" t="s">
        <v>11</v>
      </c>
      <c r="D1076" s="5">
        <v>45639.0</v>
      </c>
      <c r="G1076" s="1">
        <f>VLOOKUP(B1076,'old-aw-skill-plan'!A:I,7,FALSE)</f>
        <v>4</v>
      </c>
      <c r="H1076" s="1" t="str">
        <f>VLOOKUP(B1076,'old-aw-skill-plan'!A:I,9,FALSE)</f>
        <v>4-2</v>
      </c>
    </row>
    <row r="1077" ht="15.75" customHeight="1">
      <c r="A1077" s="1" t="s">
        <v>183</v>
      </c>
      <c r="B1077" s="1" t="s">
        <v>322</v>
      </c>
      <c r="C1077" s="1" t="s">
        <v>11</v>
      </c>
      <c r="D1077" s="5">
        <v>45639.0</v>
      </c>
      <c r="G1077" s="1">
        <f>VLOOKUP(B1077,'old-aw-skill-plan'!A:I,7,FALSE)</f>
        <v>8</v>
      </c>
      <c r="H1077" s="1" t="str">
        <f>VLOOKUP(B1077,'old-aw-skill-plan'!A:I,9,FALSE)</f>
        <v>8-5</v>
      </c>
    </row>
    <row r="1078" ht="15.75" customHeight="1">
      <c r="A1078" s="1" t="s">
        <v>74</v>
      </c>
      <c r="B1078" s="1" t="s">
        <v>10</v>
      </c>
      <c r="C1078" s="1" t="s">
        <v>11</v>
      </c>
      <c r="D1078" s="5">
        <v>45639.0</v>
      </c>
      <c r="G1078" s="1">
        <f>VLOOKUP(B1078,'old-aw-skill-plan'!A:I,7,FALSE)</f>
        <v>3</v>
      </c>
      <c r="H1078" s="1" t="str">
        <f>VLOOKUP(B1078,'old-aw-skill-plan'!A:I,9,FALSE)</f>
        <v>3-1</v>
      </c>
    </row>
    <row r="1079" ht="15.75" customHeight="1">
      <c r="A1079" s="1" t="s">
        <v>205</v>
      </c>
      <c r="B1079" s="1" t="s">
        <v>83</v>
      </c>
      <c r="C1079" s="1" t="s">
        <v>11</v>
      </c>
      <c r="D1079" s="5">
        <v>45639.0</v>
      </c>
      <c r="G1079" s="1">
        <f>VLOOKUP(B1079,'old-aw-skill-plan'!A:I,7,FALSE)</f>
        <v>5</v>
      </c>
      <c r="H1079" s="1" t="str">
        <f>VLOOKUP(B1079,'old-aw-skill-plan'!A:I,9,FALSE)</f>
        <v>5-9</v>
      </c>
    </row>
    <row r="1080" ht="15.75" customHeight="1">
      <c r="A1080" s="1" t="s">
        <v>75</v>
      </c>
      <c r="B1080" s="1" t="s">
        <v>321</v>
      </c>
      <c r="C1080" s="1" t="s">
        <v>11</v>
      </c>
      <c r="D1080" s="5">
        <v>45639.0</v>
      </c>
      <c r="G1080" s="1">
        <f>VLOOKUP(B1080,'old-aw-skill-plan'!A:I,7,FALSE)</f>
        <v>6</v>
      </c>
      <c r="H1080" s="1" t="str">
        <f>VLOOKUP(B1080,'old-aw-skill-plan'!A:I,9,FALSE)</f>
        <v>6-5</v>
      </c>
    </row>
    <row r="1081" ht="15.75" customHeight="1">
      <c r="A1081" s="1" t="s">
        <v>100</v>
      </c>
      <c r="B1081" s="1" t="s">
        <v>340</v>
      </c>
      <c r="C1081" s="1" t="s">
        <v>11</v>
      </c>
      <c r="D1081" s="5">
        <v>45639.0</v>
      </c>
      <c r="G1081" s="1" t="str">
        <f>VLOOKUP(B1081,'old-aw-skill-plan'!A:I,7,FALSE)</f>
        <v>#N/A</v>
      </c>
      <c r="H1081" s="1" t="str">
        <f>VLOOKUP(B1081,'old-aw-skill-plan'!A:I,9,FALSE)</f>
        <v>#N/A</v>
      </c>
    </row>
    <row r="1082" ht="15.75" customHeight="1">
      <c r="A1082" s="1" t="s">
        <v>343</v>
      </c>
      <c r="B1082" s="1" t="s">
        <v>28</v>
      </c>
      <c r="C1082" s="1" t="s">
        <v>11</v>
      </c>
      <c r="D1082" s="5">
        <v>45639.0</v>
      </c>
      <c r="G1082" s="1">
        <f>VLOOKUP(B1082,'old-aw-skill-plan'!A:I,7,FALSE)</f>
        <v>3</v>
      </c>
      <c r="H1082" s="1" t="str">
        <f>VLOOKUP(B1082,'old-aw-skill-plan'!A:I,9,FALSE)</f>
        <v>3-4</v>
      </c>
    </row>
    <row r="1083" ht="15.75" customHeight="1">
      <c r="A1083" s="1" t="s">
        <v>343</v>
      </c>
      <c r="B1083" s="1" t="s">
        <v>47</v>
      </c>
      <c r="C1083" s="1" t="s">
        <v>11</v>
      </c>
      <c r="D1083" s="5">
        <v>45639.0</v>
      </c>
      <c r="G1083" s="1">
        <f>VLOOKUP(B1083,'old-aw-skill-plan'!A:I,7,FALSE)</f>
        <v>3</v>
      </c>
      <c r="H1083" s="1" t="str">
        <f>VLOOKUP(B1083,'old-aw-skill-plan'!A:I,9,FALSE)</f>
        <v>3-2</v>
      </c>
    </row>
    <row r="1084" ht="15.75" customHeight="1">
      <c r="A1084" s="1" t="s">
        <v>343</v>
      </c>
      <c r="B1084" s="1" t="s">
        <v>44</v>
      </c>
      <c r="C1084" s="1" t="s">
        <v>11</v>
      </c>
      <c r="D1084" s="5">
        <v>45639.0</v>
      </c>
      <c r="G1084" s="1">
        <f>VLOOKUP(B1084,'old-aw-skill-plan'!A:I,7,FALSE)</f>
        <v>5</v>
      </c>
      <c r="H1084" s="1" t="str">
        <f>VLOOKUP(B1084,'old-aw-skill-plan'!A:I,9,FALSE)</f>
        <v>5-1</v>
      </c>
    </row>
    <row r="1085" ht="15.75" customHeight="1">
      <c r="A1085" s="1" t="s">
        <v>343</v>
      </c>
      <c r="B1085" s="1" t="s">
        <v>104</v>
      </c>
      <c r="C1085" s="1" t="s">
        <v>11</v>
      </c>
      <c r="D1085" s="5">
        <v>45639.0</v>
      </c>
      <c r="G1085" s="1">
        <f>VLOOKUP(B1085,'old-aw-skill-plan'!A:I,7,FALSE)</f>
        <v>5</v>
      </c>
      <c r="H1085" s="1" t="str">
        <f>VLOOKUP(B1085,'old-aw-skill-plan'!A:I,9,FALSE)</f>
        <v>5-2</v>
      </c>
    </row>
    <row r="1086" ht="15.75" customHeight="1">
      <c r="A1086" s="1" t="s">
        <v>93</v>
      </c>
      <c r="B1086" s="1" t="s">
        <v>44</v>
      </c>
      <c r="C1086" s="1" t="s">
        <v>11</v>
      </c>
      <c r="D1086" s="5">
        <v>45639.0</v>
      </c>
      <c r="G1086" s="1">
        <f>VLOOKUP(B1086,'old-aw-skill-plan'!A:I,7,FALSE)</f>
        <v>5</v>
      </c>
      <c r="H1086" s="1" t="str">
        <f>VLOOKUP(B1086,'old-aw-skill-plan'!A:I,9,FALSE)</f>
        <v>5-1</v>
      </c>
    </row>
    <row r="1087" ht="15.75" customHeight="1">
      <c r="A1087" s="1" t="s">
        <v>93</v>
      </c>
      <c r="B1087" s="1" t="s">
        <v>104</v>
      </c>
      <c r="C1087" s="1" t="s">
        <v>11</v>
      </c>
      <c r="D1087" s="5">
        <v>45639.0</v>
      </c>
      <c r="G1087" s="1">
        <f>VLOOKUP(B1087,'old-aw-skill-plan'!A:I,7,FALSE)</f>
        <v>5</v>
      </c>
      <c r="H1087" s="1" t="str">
        <f>VLOOKUP(B1087,'old-aw-skill-plan'!A:I,9,FALSE)</f>
        <v>5-2</v>
      </c>
    </row>
    <row r="1088" ht="15.75" customHeight="1">
      <c r="A1088" s="1" t="s">
        <v>24</v>
      </c>
      <c r="B1088" s="1" t="s">
        <v>314</v>
      </c>
      <c r="C1088" s="1" t="s">
        <v>11</v>
      </c>
      <c r="D1088" s="5">
        <v>45638.0</v>
      </c>
      <c r="G1088" s="1">
        <f>VLOOKUP(B1088,'old-aw-skill-plan'!A:I,7,FALSE)</f>
        <v>5</v>
      </c>
      <c r="H1088" s="1" t="str">
        <f>VLOOKUP(B1088,'old-aw-skill-plan'!A:I,9,FALSE)</f>
        <v>5-10</v>
      </c>
    </row>
    <row r="1089" ht="15.75" customHeight="1">
      <c r="A1089" s="1" t="s">
        <v>52</v>
      </c>
      <c r="B1089" s="1" t="s">
        <v>28</v>
      </c>
      <c r="C1089" s="1" t="s">
        <v>11</v>
      </c>
      <c r="D1089" s="5">
        <v>45638.0</v>
      </c>
      <c r="G1089" s="1">
        <f>VLOOKUP(B1089,'old-aw-skill-plan'!A:I,7,FALSE)</f>
        <v>3</v>
      </c>
      <c r="H1089" s="1" t="str">
        <f>VLOOKUP(B1089,'old-aw-skill-plan'!A:I,9,FALSE)</f>
        <v>3-4</v>
      </c>
    </row>
    <row r="1090" ht="15.75" customHeight="1">
      <c r="A1090" s="1" t="s">
        <v>204</v>
      </c>
      <c r="B1090" s="1" t="s">
        <v>34</v>
      </c>
      <c r="C1090" s="1" t="s">
        <v>11</v>
      </c>
      <c r="D1090" s="5">
        <v>45638.0</v>
      </c>
      <c r="G1090" s="1">
        <f>VLOOKUP(B1090,'old-aw-skill-plan'!A:I,7,FALSE)</f>
        <v>4</v>
      </c>
      <c r="H1090" s="1" t="str">
        <f>VLOOKUP(B1090,'old-aw-skill-plan'!A:I,9,FALSE)</f>
        <v>4-1</v>
      </c>
    </row>
    <row r="1091" ht="15.75" customHeight="1">
      <c r="A1091" s="1" t="s">
        <v>63</v>
      </c>
      <c r="B1091" s="1" t="s">
        <v>83</v>
      </c>
      <c r="C1091" s="1" t="s">
        <v>11</v>
      </c>
      <c r="D1091" s="5">
        <v>45638.0</v>
      </c>
      <c r="G1091" s="1">
        <f>VLOOKUP(B1091,'old-aw-skill-plan'!A:I,7,FALSE)</f>
        <v>5</v>
      </c>
      <c r="H1091" s="1" t="str">
        <f>VLOOKUP(B1091,'old-aw-skill-plan'!A:I,9,FALSE)</f>
        <v>5-9</v>
      </c>
    </row>
    <row r="1092" ht="15.75" customHeight="1">
      <c r="A1092" s="1" t="s">
        <v>74</v>
      </c>
      <c r="B1092" s="1" t="s">
        <v>10</v>
      </c>
      <c r="C1092" s="1" t="s">
        <v>11</v>
      </c>
      <c r="D1092" s="5">
        <v>45638.0</v>
      </c>
      <c r="G1092" s="1">
        <f>VLOOKUP(B1092,'old-aw-skill-plan'!A:I,7,FALSE)</f>
        <v>3</v>
      </c>
      <c r="H1092" s="1" t="str">
        <f>VLOOKUP(B1092,'old-aw-skill-plan'!A:I,9,FALSE)</f>
        <v>3-1</v>
      </c>
    </row>
    <row r="1093" ht="15.75" customHeight="1">
      <c r="A1093" s="1" t="s">
        <v>75</v>
      </c>
      <c r="B1093" s="1" t="s">
        <v>136</v>
      </c>
      <c r="C1093" s="1" t="s">
        <v>11</v>
      </c>
      <c r="D1093" s="5">
        <v>45638.0</v>
      </c>
      <c r="G1093" s="1">
        <f>VLOOKUP(B1093,'old-aw-skill-plan'!A:I,7,FALSE)</f>
        <v>6</v>
      </c>
      <c r="H1093" s="1" t="str">
        <f>VLOOKUP(B1093,'old-aw-skill-plan'!A:I,9,FALSE)</f>
        <v>6-4</v>
      </c>
    </row>
    <row r="1094" ht="15.75" customHeight="1">
      <c r="A1094" s="1" t="s">
        <v>75</v>
      </c>
      <c r="B1094" s="1" t="s">
        <v>321</v>
      </c>
      <c r="C1094" s="1" t="s">
        <v>11</v>
      </c>
      <c r="D1094" s="5">
        <v>45638.0</v>
      </c>
      <c r="G1094" s="1">
        <f>VLOOKUP(B1094,'old-aw-skill-plan'!A:I,7,FALSE)</f>
        <v>6</v>
      </c>
      <c r="H1094" s="1" t="str">
        <f>VLOOKUP(B1094,'old-aw-skill-plan'!A:I,9,FALSE)</f>
        <v>6-5</v>
      </c>
    </row>
    <row r="1095" ht="15.75" customHeight="1">
      <c r="A1095" s="1" t="s">
        <v>343</v>
      </c>
      <c r="B1095" s="1" t="s">
        <v>104</v>
      </c>
      <c r="C1095" s="1" t="s">
        <v>11</v>
      </c>
      <c r="D1095" s="5">
        <v>45638.0</v>
      </c>
      <c r="G1095" s="1">
        <f>VLOOKUP(B1095,'old-aw-skill-plan'!A:I,7,FALSE)</f>
        <v>5</v>
      </c>
      <c r="H1095" s="1" t="str">
        <f>VLOOKUP(B1095,'old-aw-skill-plan'!A:I,9,FALSE)</f>
        <v>5-2</v>
      </c>
    </row>
    <row r="1096" ht="15.75" customHeight="1">
      <c r="A1096" s="1" t="s">
        <v>22</v>
      </c>
      <c r="B1096" s="1" t="s">
        <v>104</v>
      </c>
      <c r="C1096" s="1" t="s">
        <v>11</v>
      </c>
      <c r="D1096" s="5">
        <v>45637.0</v>
      </c>
      <c r="G1096" s="1">
        <f>VLOOKUP(B1096,'old-aw-skill-plan'!A:I,7,FALSE)</f>
        <v>5</v>
      </c>
      <c r="H1096" s="1" t="str">
        <f>VLOOKUP(B1096,'old-aw-skill-plan'!A:I,9,FALSE)</f>
        <v>5-2</v>
      </c>
    </row>
    <row r="1097" ht="15.75" customHeight="1">
      <c r="A1097" s="1" t="s">
        <v>20</v>
      </c>
      <c r="B1097" s="1" t="s">
        <v>97</v>
      </c>
      <c r="C1097" s="1" t="s">
        <v>11</v>
      </c>
      <c r="D1097" s="5">
        <v>45637.0</v>
      </c>
      <c r="G1097" s="1">
        <f>VLOOKUP(B1097,'old-aw-skill-plan'!A:I,7,FALSE)</f>
        <v>4</v>
      </c>
      <c r="H1097" s="1" t="str">
        <f>VLOOKUP(B1097,'old-aw-skill-plan'!A:I,9,FALSE)</f>
        <v>4-3</v>
      </c>
    </row>
    <row r="1098" ht="15.75" customHeight="1">
      <c r="A1098" s="1" t="s">
        <v>207</v>
      </c>
      <c r="B1098" s="1" t="s">
        <v>83</v>
      </c>
      <c r="C1098" s="1" t="s">
        <v>11</v>
      </c>
      <c r="D1098" s="5">
        <v>45637.0</v>
      </c>
      <c r="G1098" s="1">
        <f>VLOOKUP(B1098,'old-aw-skill-plan'!A:I,7,FALSE)</f>
        <v>5</v>
      </c>
      <c r="H1098" s="1" t="str">
        <f>VLOOKUP(B1098,'old-aw-skill-plan'!A:I,9,FALSE)</f>
        <v>5-9</v>
      </c>
    </row>
    <row r="1099" ht="15.75" customHeight="1">
      <c r="A1099" s="1" t="s">
        <v>63</v>
      </c>
      <c r="B1099" s="1" t="s">
        <v>83</v>
      </c>
      <c r="C1099" s="1" t="s">
        <v>11</v>
      </c>
      <c r="D1099" s="5">
        <v>45637.0</v>
      </c>
      <c r="G1099" s="1">
        <f>VLOOKUP(B1099,'old-aw-skill-plan'!A:I,7,FALSE)</f>
        <v>5</v>
      </c>
      <c r="H1099" s="1" t="str">
        <f>VLOOKUP(B1099,'old-aw-skill-plan'!A:I,9,FALSE)</f>
        <v>5-9</v>
      </c>
    </row>
    <row r="1100" ht="15.75" customHeight="1">
      <c r="A1100" s="1" t="s">
        <v>65</v>
      </c>
      <c r="B1100" s="1" t="s">
        <v>34</v>
      </c>
      <c r="C1100" s="1" t="s">
        <v>11</v>
      </c>
      <c r="D1100" s="5">
        <v>45637.0</v>
      </c>
      <c r="G1100" s="1">
        <f>VLOOKUP(B1100,'old-aw-skill-plan'!A:I,7,FALSE)</f>
        <v>4</v>
      </c>
      <c r="H1100" s="1" t="str">
        <f>VLOOKUP(B1100,'old-aw-skill-plan'!A:I,9,FALSE)</f>
        <v>4-1</v>
      </c>
    </row>
    <row r="1101" ht="15.75" customHeight="1">
      <c r="A1101" s="1" t="s">
        <v>65</v>
      </c>
      <c r="B1101" s="1" t="s">
        <v>37</v>
      </c>
      <c r="C1101" s="1" t="s">
        <v>11</v>
      </c>
      <c r="D1101" s="5">
        <v>45637.0</v>
      </c>
      <c r="G1101" s="1">
        <f>VLOOKUP(B1101,'old-aw-skill-plan'!A:I,7,FALSE)</f>
        <v>4</v>
      </c>
      <c r="H1101" s="1" t="str">
        <f>VLOOKUP(B1101,'old-aw-skill-plan'!A:I,9,FALSE)</f>
        <v>4-2</v>
      </c>
    </row>
    <row r="1102" ht="15.75" customHeight="1">
      <c r="A1102" s="1" t="s">
        <v>198</v>
      </c>
      <c r="B1102" s="1" t="s">
        <v>37</v>
      </c>
      <c r="C1102" s="1" t="s">
        <v>11</v>
      </c>
      <c r="D1102" s="5">
        <v>45637.0</v>
      </c>
      <c r="G1102" s="1">
        <f>VLOOKUP(B1102,'old-aw-skill-plan'!A:I,7,FALSE)</f>
        <v>4</v>
      </c>
      <c r="H1102" s="1" t="str">
        <f>VLOOKUP(B1102,'old-aw-skill-plan'!A:I,9,FALSE)</f>
        <v>4-2</v>
      </c>
    </row>
    <row r="1103" ht="15.75" customHeight="1">
      <c r="A1103" s="1" t="s">
        <v>74</v>
      </c>
      <c r="B1103" s="1" t="s">
        <v>104</v>
      </c>
      <c r="C1103" s="1" t="s">
        <v>11</v>
      </c>
      <c r="D1103" s="5">
        <v>45637.0</v>
      </c>
      <c r="G1103" s="1">
        <f>VLOOKUP(B1103,'old-aw-skill-plan'!A:I,7,FALSE)</f>
        <v>5</v>
      </c>
      <c r="H1103" s="1" t="str">
        <f>VLOOKUP(B1103,'old-aw-skill-plan'!A:I,9,FALSE)</f>
        <v>5-2</v>
      </c>
    </row>
    <row r="1104" ht="15.75" customHeight="1">
      <c r="A1104" s="1" t="s">
        <v>75</v>
      </c>
      <c r="B1104" s="1" t="s">
        <v>136</v>
      </c>
      <c r="C1104" s="1" t="s">
        <v>11</v>
      </c>
      <c r="D1104" s="5">
        <v>45637.0</v>
      </c>
      <c r="G1104" s="1">
        <f>VLOOKUP(B1104,'old-aw-skill-plan'!A:I,7,FALSE)</f>
        <v>6</v>
      </c>
      <c r="H1104" s="1" t="str">
        <f>VLOOKUP(B1104,'old-aw-skill-plan'!A:I,9,FALSE)</f>
        <v>6-4</v>
      </c>
    </row>
    <row r="1105" ht="15.75" customHeight="1">
      <c r="A1105" s="1" t="s">
        <v>77</v>
      </c>
      <c r="B1105" s="1" t="s">
        <v>23</v>
      </c>
      <c r="C1105" s="1" t="s">
        <v>11</v>
      </c>
      <c r="D1105" s="5">
        <v>45637.0</v>
      </c>
      <c r="G1105" s="1">
        <f>VLOOKUP(B1105,'old-aw-skill-plan'!A:I,7,FALSE)</f>
        <v>4</v>
      </c>
      <c r="H1105" s="1" t="str">
        <f>VLOOKUP(B1105,'old-aw-skill-plan'!A:I,9,FALSE)</f>
        <v>4-5</v>
      </c>
    </row>
    <row r="1106" ht="15.75" customHeight="1">
      <c r="A1106" s="1" t="s">
        <v>343</v>
      </c>
      <c r="B1106" s="1" t="s">
        <v>104</v>
      </c>
      <c r="C1106" s="1" t="s">
        <v>11</v>
      </c>
      <c r="D1106" s="5">
        <v>45637.0</v>
      </c>
      <c r="G1106" s="1">
        <f>VLOOKUP(B1106,'old-aw-skill-plan'!A:I,7,FALSE)</f>
        <v>5</v>
      </c>
      <c r="H1106" s="1" t="str">
        <f>VLOOKUP(B1106,'old-aw-skill-plan'!A:I,9,FALSE)</f>
        <v>5-2</v>
      </c>
    </row>
    <row r="1107" ht="15.75" customHeight="1">
      <c r="A1107" s="1" t="s">
        <v>326</v>
      </c>
      <c r="B1107" s="1" t="s">
        <v>83</v>
      </c>
      <c r="C1107" s="1" t="s">
        <v>11</v>
      </c>
      <c r="D1107" s="5">
        <v>45637.0</v>
      </c>
      <c r="G1107" s="1">
        <f>VLOOKUP(B1107,'old-aw-skill-plan'!A:I,7,FALSE)</f>
        <v>5</v>
      </c>
      <c r="H1107" s="1" t="str">
        <f>VLOOKUP(B1107,'old-aw-skill-plan'!A:I,9,FALSE)</f>
        <v>5-9</v>
      </c>
    </row>
    <row r="1108" ht="15.75" customHeight="1">
      <c r="A1108" s="1" t="s">
        <v>326</v>
      </c>
      <c r="B1108" s="1" t="s">
        <v>85</v>
      </c>
      <c r="C1108" s="1" t="s">
        <v>11</v>
      </c>
      <c r="D1108" s="5">
        <v>45637.0</v>
      </c>
      <c r="G1108" s="1">
        <f>VLOOKUP(B1108,'old-aw-skill-plan'!A:I,7,FALSE)</f>
        <v>5</v>
      </c>
      <c r="H1108" s="1" t="str">
        <f>VLOOKUP(B1108,'old-aw-skill-plan'!A:I,9,FALSE)</f>
        <v>5-8</v>
      </c>
    </row>
    <row r="1109" ht="15.75" customHeight="1">
      <c r="A1109" s="1" t="s">
        <v>63</v>
      </c>
      <c r="B1109" s="1" t="s">
        <v>83</v>
      </c>
      <c r="C1109" s="1" t="s">
        <v>11</v>
      </c>
      <c r="D1109" s="5">
        <v>45636.0</v>
      </c>
      <c r="G1109" s="1">
        <f>VLOOKUP(B1109,'old-aw-skill-plan'!A:I,7,FALSE)</f>
        <v>5</v>
      </c>
      <c r="H1109" s="1" t="str">
        <f>VLOOKUP(B1109,'old-aw-skill-plan'!A:I,9,FALSE)</f>
        <v>5-9</v>
      </c>
    </row>
    <row r="1110" ht="15.75" customHeight="1">
      <c r="A1110" s="1" t="s">
        <v>65</v>
      </c>
      <c r="B1110" s="1" t="s">
        <v>34</v>
      </c>
      <c r="C1110" s="1" t="s">
        <v>11</v>
      </c>
      <c r="D1110" s="5">
        <v>45636.0</v>
      </c>
      <c r="G1110" s="1">
        <f>VLOOKUP(B1110,'old-aw-skill-plan'!A:I,7,FALSE)</f>
        <v>4</v>
      </c>
      <c r="H1110" s="1" t="str">
        <f>VLOOKUP(B1110,'old-aw-skill-plan'!A:I,9,FALSE)</f>
        <v>4-1</v>
      </c>
    </row>
    <row r="1111" ht="15.75" customHeight="1">
      <c r="A1111" s="1" t="s">
        <v>74</v>
      </c>
      <c r="B1111" s="1" t="s">
        <v>23</v>
      </c>
      <c r="C1111" s="1" t="s">
        <v>11</v>
      </c>
      <c r="D1111" s="5">
        <v>45636.0</v>
      </c>
      <c r="G1111" s="1">
        <f>VLOOKUP(B1111,'old-aw-skill-plan'!A:I,7,FALSE)</f>
        <v>4</v>
      </c>
      <c r="H1111" s="1" t="str">
        <f>VLOOKUP(B1111,'old-aw-skill-plan'!A:I,9,FALSE)</f>
        <v>4-5</v>
      </c>
    </row>
    <row r="1112" ht="15.75" customHeight="1">
      <c r="A1112" s="1" t="s">
        <v>77</v>
      </c>
      <c r="B1112" s="1" t="s">
        <v>23</v>
      </c>
      <c r="C1112" s="1" t="s">
        <v>11</v>
      </c>
      <c r="D1112" s="5">
        <v>45636.0</v>
      </c>
      <c r="G1112" s="1">
        <f>VLOOKUP(B1112,'old-aw-skill-plan'!A:I,7,FALSE)</f>
        <v>4</v>
      </c>
      <c r="H1112" s="1" t="str">
        <f>VLOOKUP(B1112,'old-aw-skill-plan'!A:I,9,FALSE)</f>
        <v>4-5</v>
      </c>
    </row>
    <row r="1113" ht="15.75" customHeight="1">
      <c r="A1113" s="1" t="s">
        <v>82</v>
      </c>
      <c r="B1113" s="1" t="s">
        <v>115</v>
      </c>
      <c r="C1113" s="1" t="s">
        <v>11</v>
      </c>
      <c r="D1113" s="5">
        <v>45636.0</v>
      </c>
      <c r="G1113" s="1">
        <f>VLOOKUP(B1113,'old-aw-skill-plan'!A:I,7,FALSE)</f>
        <v>3</v>
      </c>
      <c r="H1113" s="1" t="str">
        <f>VLOOKUP(B1113,'old-aw-skill-plan'!A:I,9,FALSE)</f>
        <v>3-10</v>
      </c>
    </row>
    <row r="1114" ht="15.75" customHeight="1">
      <c r="A1114" s="1" t="s">
        <v>343</v>
      </c>
      <c r="B1114" s="1" t="s">
        <v>28</v>
      </c>
      <c r="C1114" s="1" t="s">
        <v>11</v>
      </c>
      <c r="D1114" s="5">
        <v>45636.0</v>
      </c>
      <c r="G1114" s="1">
        <f>VLOOKUP(B1114,'old-aw-skill-plan'!A:I,7,FALSE)</f>
        <v>3</v>
      </c>
      <c r="H1114" s="1" t="str">
        <f>VLOOKUP(B1114,'old-aw-skill-plan'!A:I,9,FALSE)</f>
        <v>3-4</v>
      </c>
    </row>
    <row r="1115" ht="15.75" customHeight="1">
      <c r="A1115" s="1" t="s">
        <v>343</v>
      </c>
      <c r="B1115" s="1" t="s">
        <v>10</v>
      </c>
      <c r="C1115" s="1" t="s">
        <v>11</v>
      </c>
      <c r="D1115" s="5">
        <v>45636.0</v>
      </c>
      <c r="G1115" s="1">
        <f>VLOOKUP(B1115,'old-aw-skill-plan'!A:I,7,FALSE)</f>
        <v>3</v>
      </c>
      <c r="H1115" s="1" t="str">
        <f>VLOOKUP(B1115,'old-aw-skill-plan'!A:I,9,FALSE)</f>
        <v>3-1</v>
      </c>
    </row>
    <row r="1116" ht="15.75" customHeight="1">
      <c r="A1116" s="1" t="s">
        <v>343</v>
      </c>
      <c r="B1116" s="1" t="s">
        <v>30</v>
      </c>
      <c r="C1116" s="1" t="s">
        <v>11</v>
      </c>
      <c r="D1116" s="5">
        <v>45636.0</v>
      </c>
      <c r="G1116" s="1">
        <f>VLOOKUP(B1116,'old-aw-skill-plan'!A:I,7,FALSE)</f>
        <v>3</v>
      </c>
      <c r="H1116" s="1" t="str">
        <f>VLOOKUP(B1116,'old-aw-skill-plan'!A:I,9,FALSE)</f>
        <v>3-3</v>
      </c>
    </row>
    <row r="1117" ht="15.75" customHeight="1">
      <c r="A1117" s="1" t="s">
        <v>343</v>
      </c>
      <c r="B1117" s="1" t="s">
        <v>47</v>
      </c>
      <c r="C1117" s="1" t="s">
        <v>11</v>
      </c>
      <c r="D1117" s="5">
        <v>45636.0</v>
      </c>
      <c r="G1117" s="1">
        <f>VLOOKUP(B1117,'old-aw-skill-plan'!A:I,7,FALSE)</f>
        <v>3</v>
      </c>
      <c r="H1117" s="1" t="str">
        <f>VLOOKUP(B1117,'old-aw-skill-plan'!A:I,9,FALSE)</f>
        <v>3-2</v>
      </c>
    </row>
    <row r="1118" ht="15.75" customHeight="1">
      <c r="A1118" s="1" t="s">
        <v>343</v>
      </c>
      <c r="B1118" s="1" t="s">
        <v>44</v>
      </c>
      <c r="C1118" s="1" t="s">
        <v>11</v>
      </c>
      <c r="D1118" s="5">
        <v>45636.0</v>
      </c>
      <c r="G1118" s="1">
        <f>VLOOKUP(B1118,'old-aw-skill-plan'!A:I,7,FALSE)</f>
        <v>5</v>
      </c>
      <c r="H1118" s="1" t="str">
        <f>VLOOKUP(B1118,'old-aw-skill-plan'!A:I,9,FALSE)</f>
        <v>5-1</v>
      </c>
    </row>
    <row r="1119" ht="15.75" customHeight="1">
      <c r="A1119" s="1" t="s">
        <v>22</v>
      </c>
      <c r="B1119" s="1" t="s">
        <v>104</v>
      </c>
      <c r="C1119" s="1" t="s">
        <v>11</v>
      </c>
      <c r="D1119" s="5">
        <v>45635.0</v>
      </c>
      <c r="G1119" s="1">
        <f>VLOOKUP(B1119,'old-aw-skill-plan'!A:I,7,FALSE)</f>
        <v>5</v>
      </c>
      <c r="H1119" s="1" t="str">
        <f>VLOOKUP(B1119,'old-aw-skill-plan'!A:I,9,FALSE)</f>
        <v>5-2</v>
      </c>
    </row>
    <row r="1120" ht="15.75" customHeight="1">
      <c r="A1120" s="1" t="s">
        <v>63</v>
      </c>
      <c r="B1120" s="1" t="s">
        <v>83</v>
      </c>
      <c r="C1120" s="1" t="s">
        <v>11</v>
      </c>
      <c r="D1120" s="5">
        <v>45635.0</v>
      </c>
      <c r="G1120" s="1">
        <f>VLOOKUP(B1120,'old-aw-skill-plan'!A:I,7,FALSE)</f>
        <v>5</v>
      </c>
      <c r="H1120" s="1" t="str">
        <f>VLOOKUP(B1120,'old-aw-skill-plan'!A:I,9,FALSE)</f>
        <v>5-9</v>
      </c>
    </row>
    <row r="1121" ht="15.75" customHeight="1">
      <c r="A1121" s="1" t="s">
        <v>65</v>
      </c>
      <c r="B1121" s="1" t="s">
        <v>34</v>
      </c>
      <c r="C1121" s="1" t="s">
        <v>11</v>
      </c>
      <c r="D1121" s="5">
        <v>45635.0</v>
      </c>
      <c r="G1121" s="1">
        <f>VLOOKUP(B1121,'old-aw-skill-plan'!A:I,7,FALSE)</f>
        <v>4</v>
      </c>
      <c r="H1121" s="1" t="str">
        <f>VLOOKUP(B1121,'old-aw-skill-plan'!A:I,9,FALSE)</f>
        <v>4-1</v>
      </c>
    </row>
    <row r="1122" ht="15.75" customHeight="1">
      <c r="A1122" s="1" t="s">
        <v>183</v>
      </c>
      <c r="B1122" s="1" t="s">
        <v>129</v>
      </c>
      <c r="C1122" s="1" t="s">
        <v>11</v>
      </c>
      <c r="D1122" s="5">
        <v>45635.0</v>
      </c>
      <c r="G1122" s="1">
        <f>VLOOKUP(B1122,'old-aw-skill-plan'!A:I,7,FALSE)</f>
        <v>8</v>
      </c>
      <c r="H1122" s="1" t="str">
        <f>VLOOKUP(B1122,'old-aw-skill-plan'!A:I,9,FALSE)</f>
        <v>8-4</v>
      </c>
    </row>
    <row r="1123" ht="15.75" customHeight="1">
      <c r="A1123" s="1" t="s">
        <v>183</v>
      </c>
      <c r="B1123" s="1" t="s">
        <v>322</v>
      </c>
      <c r="C1123" s="1" t="s">
        <v>11</v>
      </c>
      <c r="D1123" s="5">
        <v>45635.0</v>
      </c>
      <c r="G1123" s="1">
        <f>VLOOKUP(B1123,'old-aw-skill-plan'!A:I,7,FALSE)</f>
        <v>8</v>
      </c>
      <c r="H1123" s="1" t="str">
        <f>VLOOKUP(B1123,'old-aw-skill-plan'!A:I,9,FALSE)</f>
        <v>8-5</v>
      </c>
    </row>
    <row r="1124" ht="15.75" customHeight="1">
      <c r="A1124" s="1" t="s">
        <v>69</v>
      </c>
      <c r="B1124" s="1" t="s">
        <v>10</v>
      </c>
      <c r="C1124" s="1" t="s">
        <v>11</v>
      </c>
      <c r="D1124" s="5">
        <v>45635.0</v>
      </c>
      <c r="G1124" s="1">
        <f>VLOOKUP(B1124,'old-aw-skill-plan'!A:I,7,FALSE)</f>
        <v>3</v>
      </c>
      <c r="H1124" s="1" t="str">
        <f>VLOOKUP(B1124,'old-aw-skill-plan'!A:I,9,FALSE)</f>
        <v>3-1</v>
      </c>
    </row>
    <row r="1125" ht="15.75" customHeight="1">
      <c r="A1125" s="1" t="s">
        <v>74</v>
      </c>
      <c r="B1125" s="1" t="s">
        <v>104</v>
      </c>
      <c r="C1125" s="1" t="s">
        <v>11</v>
      </c>
      <c r="D1125" s="5">
        <v>45635.0</v>
      </c>
      <c r="G1125" s="1">
        <f>VLOOKUP(B1125,'old-aw-skill-plan'!A:I,7,FALSE)</f>
        <v>5</v>
      </c>
      <c r="H1125" s="1" t="str">
        <f>VLOOKUP(B1125,'old-aw-skill-plan'!A:I,9,FALSE)</f>
        <v>5-2</v>
      </c>
    </row>
    <row r="1126" ht="15.75" customHeight="1">
      <c r="A1126" s="1" t="s">
        <v>75</v>
      </c>
      <c r="B1126" s="1" t="s">
        <v>136</v>
      </c>
      <c r="C1126" s="1" t="s">
        <v>11</v>
      </c>
      <c r="D1126" s="5">
        <v>45635.0</v>
      </c>
      <c r="G1126" s="1">
        <f>VLOOKUP(B1126,'old-aw-skill-plan'!A:I,7,FALSE)</f>
        <v>6</v>
      </c>
      <c r="H1126" s="1" t="str">
        <f>VLOOKUP(B1126,'old-aw-skill-plan'!A:I,9,FALSE)</f>
        <v>6-4</v>
      </c>
    </row>
    <row r="1127" ht="15.75" customHeight="1">
      <c r="A1127" s="1" t="s">
        <v>77</v>
      </c>
      <c r="B1127" s="1" t="s">
        <v>23</v>
      </c>
      <c r="C1127" s="1" t="s">
        <v>11</v>
      </c>
      <c r="D1127" s="5">
        <v>45635.0</v>
      </c>
      <c r="G1127" s="1">
        <f>VLOOKUP(B1127,'old-aw-skill-plan'!A:I,7,FALSE)</f>
        <v>4</v>
      </c>
      <c r="H1127" s="1" t="str">
        <f>VLOOKUP(B1127,'old-aw-skill-plan'!A:I,9,FALSE)</f>
        <v>4-5</v>
      </c>
    </row>
    <row r="1128" ht="15.75" customHeight="1">
      <c r="A1128" s="1" t="s">
        <v>39</v>
      </c>
      <c r="B1128" s="1" t="s">
        <v>79</v>
      </c>
      <c r="C1128" s="1" t="s">
        <v>11</v>
      </c>
      <c r="D1128" s="5">
        <v>45632.0</v>
      </c>
      <c r="G1128" s="1">
        <f>VLOOKUP(B1128,'old-aw-skill-plan'!A:I,7,FALSE)</f>
        <v>4</v>
      </c>
      <c r="H1128" s="1" t="str">
        <f>VLOOKUP(B1128,'old-aw-skill-plan'!A:I,9,FALSE)</f>
        <v>4-8</v>
      </c>
    </row>
    <row r="1129" ht="15.75" customHeight="1">
      <c r="A1129" s="1" t="s">
        <v>60</v>
      </c>
      <c r="B1129" s="1" t="s">
        <v>104</v>
      </c>
      <c r="C1129" s="1" t="s">
        <v>11</v>
      </c>
      <c r="D1129" s="5">
        <v>45632.0</v>
      </c>
      <c r="G1129" s="1">
        <f>VLOOKUP(B1129,'old-aw-skill-plan'!A:I,7,FALSE)</f>
        <v>5</v>
      </c>
      <c r="H1129" s="1" t="str">
        <f>VLOOKUP(B1129,'old-aw-skill-plan'!A:I,9,FALSE)</f>
        <v>5-2</v>
      </c>
    </row>
    <row r="1130" ht="15.75" customHeight="1">
      <c r="A1130" s="1" t="s">
        <v>63</v>
      </c>
      <c r="B1130" s="1" t="s">
        <v>83</v>
      </c>
      <c r="C1130" s="1" t="s">
        <v>11</v>
      </c>
      <c r="D1130" s="5">
        <v>45632.0</v>
      </c>
      <c r="G1130" s="1">
        <f>VLOOKUP(B1130,'old-aw-skill-plan'!A:I,7,FALSE)</f>
        <v>5</v>
      </c>
      <c r="H1130" s="1" t="str">
        <f>VLOOKUP(B1130,'old-aw-skill-plan'!A:I,9,FALSE)</f>
        <v>5-9</v>
      </c>
    </row>
    <row r="1131" ht="15.75" customHeight="1">
      <c r="A1131" s="1" t="s">
        <v>65</v>
      </c>
      <c r="B1131" s="1" t="s">
        <v>34</v>
      </c>
      <c r="C1131" s="1" t="s">
        <v>11</v>
      </c>
      <c r="D1131" s="5">
        <v>45632.0</v>
      </c>
      <c r="G1131" s="1">
        <f>VLOOKUP(B1131,'old-aw-skill-plan'!A:I,7,FALSE)</f>
        <v>4</v>
      </c>
      <c r="H1131" s="1" t="str">
        <f>VLOOKUP(B1131,'old-aw-skill-plan'!A:I,9,FALSE)</f>
        <v>4-1</v>
      </c>
    </row>
    <row r="1132" ht="15.75" customHeight="1">
      <c r="A1132" s="1" t="s">
        <v>68</v>
      </c>
      <c r="B1132" s="1" t="s">
        <v>48</v>
      </c>
      <c r="C1132" s="1" t="s">
        <v>11</v>
      </c>
      <c r="D1132" s="5">
        <v>45632.0</v>
      </c>
      <c r="G1132" s="1">
        <f>VLOOKUP(B1132,'old-aw-skill-plan'!A:I,7,FALSE)</f>
        <v>3</v>
      </c>
      <c r="H1132" s="1" t="str">
        <f>VLOOKUP(B1132,'old-aw-skill-plan'!A:I,9,FALSE)</f>
        <v>3-6</v>
      </c>
    </row>
    <row r="1133" ht="15.75" customHeight="1">
      <c r="A1133" s="1" t="s">
        <v>198</v>
      </c>
      <c r="B1133" s="1" t="s">
        <v>37</v>
      </c>
      <c r="C1133" s="1" t="s">
        <v>11</v>
      </c>
      <c r="D1133" s="5">
        <v>45632.0</v>
      </c>
      <c r="G1133" s="1">
        <f>VLOOKUP(B1133,'old-aw-skill-plan'!A:I,7,FALSE)</f>
        <v>4</v>
      </c>
      <c r="H1133" s="1" t="str">
        <f>VLOOKUP(B1133,'old-aw-skill-plan'!A:I,9,FALSE)</f>
        <v>4-2</v>
      </c>
    </row>
    <row r="1134" ht="15.75" customHeight="1">
      <c r="A1134" s="1" t="s">
        <v>75</v>
      </c>
      <c r="B1134" s="1" t="s">
        <v>136</v>
      </c>
      <c r="C1134" s="1" t="s">
        <v>11</v>
      </c>
      <c r="D1134" s="5">
        <v>45632.0</v>
      </c>
      <c r="G1134" s="1">
        <f>VLOOKUP(B1134,'old-aw-skill-plan'!A:I,7,FALSE)</f>
        <v>6</v>
      </c>
      <c r="H1134" s="1" t="str">
        <f>VLOOKUP(B1134,'old-aw-skill-plan'!A:I,9,FALSE)</f>
        <v>6-4</v>
      </c>
    </row>
    <row r="1135" ht="15.75" customHeight="1">
      <c r="A1135" s="1" t="s">
        <v>77</v>
      </c>
      <c r="B1135" s="1" t="s">
        <v>23</v>
      </c>
      <c r="C1135" s="1" t="s">
        <v>11</v>
      </c>
      <c r="D1135" s="5">
        <v>45632.0</v>
      </c>
      <c r="G1135" s="1">
        <f>VLOOKUP(B1135,'old-aw-skill-plan'!A:I,7,FALSE)</f>
        <v>4</v>
      </c>
      <c r="H1135" s="1" t="str">
        <f>VLOOKUP(B1135,'old-aw-skill-plan'!A:I,9,FALSE)</f>
        <v>4-5</v>
      </c>
    </row>
    <row r="1136" ht="15.75" customHeight="1">
      <c r="A1136" s="1" t="s">
        <v>18</v>
      </c>
      <c r="B1136" s="1" t="s">
        <v>34</v>
      </c>
      <c r="C1136" s="1" t="s">
        <v>11</v>
      </c>
      <c r="D1136" s="5">
        <v>45631.0</v>
      </c>
      <c r="G1136" s="1">
        <f>VLOOKUP(B1136,'old-aw-skill-plan'!A:I,7,FALSE)</f>
        <v>4</v>
      </c>
      <c r="H1136" s="1" t="str">
        <f>VLOOKUP(B1136,'old-aw-skill-plan'!A:I,9,FALSE)</f>
        <v>4-1</v>
      </c>
    </row>
    <row r="1137" ht="15.75" customHeight="1">
      <c r="A1137" s="1" t="s">
        <v>208</v>
      </c>
      <c r="B1137" s="1" t="s">
        <v>344</v>
      </c>
      <c r="C1137" s="1" t="s">
        <v>11</v>
      </c>
      <c r="D1137" s="5">
        <v>45631.0</v>
      </c>
      <c r="G1137" s="1" t="str">
        <f>VLOOKUP(B1137,'old-aw-skill-plan'!A:I,7,FALSE)</f>
        <v>#N/A</v>
      </c>
      <c r="H1137" s="1" t="str">
        <f>VLOOKUP(B1137,'old-aw-skill-plan'!A:I,9,FALSE)</f>
        <v>#N/A</v>
      </c>
    </row>
    <row r="1138" ht="15.75" customHeight="1">
      <c r="A1138" s="1" t="s">
        <v>208</v>
      </c>
      <c r="B1138" s="1" t="s">
        <v>313</v>
      </c>
      <c r="C1138" s="1" t="s">
        <v>11</v>
      </c>
      <c r="D1138" s="5">
        <v>45631.0</v>
      </c>
      <c r="G1138" s="1" t="str">
        <f>VLOOKUP(B1138,'old-aw-skill-plan'!A:I,7,FALSE)</f>
        <v>#N/A</v>
      </c>
      <c r="H1138" s="1" t="str">
        <f>VLOOKUP(B1138,'old-aw-skill-plan'!A:I,9,FALSE)</f>
        <v>#N/A</v>
      </c>
    </row>
    <row r="1139" ht="15.75" customHeight="1">
      <c r="A1139" s="1" t="s">
        <v>39</v>
      </c>
      <c r="B1139" s="1" t="s">
        <v>79</v>
      </c>
      <c r="C1139" s="1" t="s">
        <v>11</v>
      </c>
      <c r="D1139" s="5">
        <v>45631.0</v>
      </c>
      <c r="G1139" s="1">
        <f>VLOOKUP(B1139,'old-aw-skill-plan'!A:I,7,FALSE)</f>
        <v>4</v>
      </c>
      <c r="H1139" s="1" t="str">
        <f>VLOOKUP(B1139,'old-aw-skill-plan'!A:I,9,FALSE)</f>
        <v>4-8</v>
      </c>
    </row>
    <row r="1140" ht="15.75" customHeight="1">
      <c r="A1140" s="1" t="s">
        <v>39</v>
      </c>
      <c r="B1140" s="1" t="s">
        <v>44</v>
      </c>
      <c r="C1140" s="1" t="s">
        <v>11</v>
      </c>
      <c r="D1140" s="5">
        <v>45631.0</v>
      </c>
      <c r="G1140" s="1">
        <f>VLOOKUP(B1140,'old-aw-skill-plan'!A:I,7,FALSE)</f>
        <v>5</v>
      </c>
      <c r="H1140" s="1" t="str">
        <f>VLOOKUP(B1140,'old-aw-skill-plan'!A:I,9,FALSE)</f>
        <v>5-1</v>
      </c>
    </row>
    <row r="1141" ht="15.75" customHeight="1">
      <c r="A1141" s="1" t="s">
        <v>60</v>
      </c>
      <c r="B1141" s="1" t="s">
        <v>104</v>
      </c>
      <c r="C1141" s="1" t="s">
        <v>11</v>
      </c>
      <c r="D1141" s="5">
        <v>45631.0</v>
      </c>
      <c r="G1141" s="1">
        <f>VLOOKUP(B1141,'old-aw-skill-plan'!A:I,7,FALSE)</f>
        <v>5</v>
      </c>
      <c r="H1141" s="1" t="str">
        <f>VLOOKUP(B1141,'old-aw-skill-plan'!A:I,9,FALSE)</f>
        <v>5-2</v>
      </c>
    </row>
    <row r="1142" ht="15.75" customHeight="1">
      <c r="A1142" s="1" t="s">
        <v>63</v>
      </c>
      <c r="B1142" s="1" t="s">
        <v>83</v>
      </c>
      <c r="C1142" s="1" t="s">
        <v>11</v>
      </c>
      <c r="D1142" s="5">
        <v>45631.0</v>
      </c>
      <c r="G1142" s="1">
        <f>VLOOKUP(B1142,'old-aw-skill-plan'!A:I,7,FALSE)</f>
        <v>5</v>
      </c>
      <c r="H1142" s="1" t="str">
        <f>VLOOKUP(B1142,'old-aw-skill-plan'!A:I,9,FALSE)</f>
        <v>5-9</v>
      </c>
    </row>
    <row r="1143" ht="15.75" customHeight="1">
      <c r="A1143" s="1" t="s">
        <v>65</v>
      </c>
      <c r="B1143" s="1" t="s">
        <v>34</v>
      </c>
      <c r="C1143" s="1" t="s">
        <v>11</v>
      </c>
      <c r="D1143" s="5">
        <v>45631.0</v>
      </c>
      <c r="G1143" s="1">
        <f>VLOOKUP(B1143,'old-aw-skill-plan'!A:I,7,FALSE)</f>
        <v>4</v>
      </c>
      <c r="H1143" s="1" t="str">
        <f>VLOOKUP(B1143,'old-aw-skill-plan'!A:I,9,FALSE)</f>
        <v>4-1</v>
      </c>
    </row>
    <row r="1144" ht="15.75" customHeight="1">
      <c r="A1144" s="1" t="s">
        <v>183</v>
      </c>
      <c r="B1144" s="1" t="s">
        <v>129</v>
      </c>
      <c r="C1144" s="1" t="s">
        <v>11</v>
      </c>
      <c r="D1144" s="5">
        <v>45631.0</v>
      </c>
      <c r="G1144" s="1">
        <f>VLOOKUP(B1144,'old-aw-skill-plan'!A:I,7,FALSE)</f>
        <v>8</v>
      </c>
      <c r="H1144" s="1" t="str">
        <f>VLOOKUP(B1144,'old-aw-skill-plan'!A:I,9,FALSE)</f>
        <v>8-4</v>
      </c>
    </row>
    <row r="1145" ht="15.75" customHeight="1">
      <c r="A1145" s="1" t="s">
        <v>203</v>
      </c>
      <c r="B1145" s="1" t="s">
        <v>344</v>
      </c>
      <c r="C1145" s="1" t="s">
        <v>11</v>
      </c>
      <c r="D1145" s="5">
        <v>45631.0</v>
      </c>
      <c r="G1145" s="1" t="str">
        <f>VLOOKUP(B1145,'old-aw-skill-plan'!A:I,7,FALSE)</f>
        <v>#N/A</v>
      </c>
      <c r="H1145" s="1" t="str">
        <f>VLOOKUP(B1145,'old-aw-skill-plan'!A:I,9,FALSE)</f>
        <v>#N/A</v>
      </c>
    </row>
    <row r="1146" ht="15.75" customHeight="1">
      <c r="A1146" s="1" t="s">
        <v>68</v>
      </c>
      <c r="B1146" s="1" t="s">
        <v>48</v>
      </c>
      <c r="C1146" s="1" t="s">
        <v>11</v>
      </c>
      <c r="D1146" s="5">
        <v>45631.0</v>
      </c>
      <c r="G1146" s="1">
        <f>VLOOKUP(B1146,'old-aw-skill-plan'!A:I,7,FALSE)</f>
        <v>3</v>
      </c>
      <c r="H1146" s="1" t="str">
        <f>VLOOKUP(B1146,'old-aw-skill-plan'!A:I,9,FALSE)</f>
        <v>3-6</v>
      </c>
    </row>
    <row r="1147" ht="15.75" customHeight="1">
      <c r="A1147" s="1" t="s">
        <v>209</v>
      </c>
      <c r="B1147" s="1" t="s">
        <v>344</v>
      </c>
      <c r="C1147" s="1" t="s">
        <v>11</v>
      </c>
      <c r="D1147" s="5">
        <v>45631.0</v>
      </c>
      <c r="G1147" s="1" t="str">
        <f>VLOOKUP(B1147,'old-aw-skill-plan'!A:I,7,FALSE)</f>
        <v>#N/A</v>
      </c>
      <c r="H1147" s="1" t="str">
        <f>VLOOKUP(B1147,'old-aw-skill-plan'!A:I,9,FALSE)</f>
        <v>#N/A</v>
      </c>
    </row>
    <row r="1148" ht="15.75" customHeight="1">
      <c r="A1148" s="1" t="s">
        <v>198</v>
      </c>
      <c r="B1148" s="1" t="s">
        <v>37</v>
      </c>
      <c r="C1148" s="1" t="s">
        <v>11</v>
      </c>
      <c r="D1148" s="5">
        <v>45631.0</v>
      </c>
      <c r="G1148" s="1">
        <f>VLOOKUP(B1148,'old-aw-skill-plan'!A:I,7,FALSE)</f>
        <v>4</v>
      </c>
      <c r="H1148" s="1" t="str">
        <f>VLOOKUP(B1148,'old-aw-skill-plan'!A:I,9,FALSE)</f>
        <v>4-2</v>
      </c>
    </row>
    <row r="1149" ht="15.75" customHeight="1">
      <c r="A1149" s="1" t="s">
        <v>74</v>
      </c>
      <c r="B1149" s="1" t="s">
        <v>104</v>
      </c>
      <c r="C1149" s="1" t="s">
        <v>11</v>
      </c>
      <c r="D1149" s="5">
        <v>45631.0</v>
      </c>
      <c r="G1149" s="1">
        <f>VLOOKUP(B1149,'old-aw-skill-plan'!A:I,7,FALSE)</f>
        <v>5</v>
      </c>
      <c r="H1149" s="1" t="str">
        <f>VLOOKUP(B1149,'old-aw-skill-plan'!A:I,9,FALSE)</f>
        <v>5-2</v>
      </c>
    </row>
    <row r="1150" ht="15.75" customHeight="1">
      <c r="A1150" s="1" t="s">
        <v>75</v>
      </c>
      <c r="B1150" s="1" t="s">
        <v>136</v>
      </c>
      <c r="C1150" s="1" t="s">
        <v>11</v>
      </c>
      <c r="D1150" s="5">
        <v>45631.0</v>
      </c>
      <c r="G1150" s="1">
        <f>VLOOKUP(B1150,'old-aw-skill-plan'!A:I,7,FALSE)</f>
        <v>6</v>
      </c>
      <c r="H1150" s="1" t="str">
        <f>VLOOKUP(B1150,'old-aw-skill-plan'!A:I,9,FALSE)</f>
        <v>6-4</v>
      </c>
    </row>
    <row r="1151" ht="15.75" customHeight="1">
      <c r="A1151" s="1" t="s">
        <v>77</v>
      </c>
      <c r="B1151" s="1" t="s">
        <v>23</v>
      </c>
      <c r="C1151" s="1" t="s">
        <v>11</v>
      </c>
      <c r="D1151" s="5">
        <v>45631.0</v>
      </c>
      <c r="G1151" s="1">
        <f>VLOOKUP(B1151,'old-aw-skill-plan'!A:I,7,FALSE)</f>
        <v>4</v>
      </c>
      <c r="H1151" s="1" t="str">
        <f>VLOOKUP(B1151,'old-aw-skill-plan'!A:I,9,FALSE)</f>
        <v>4-5</v>
      </c>
    </row>
    <row r="1152" ht="15.75" customHeight="1">
      <c r="A1152" s="1" t="s">
        <v>100</v>
      </c>
      <c r="B1152" s="1" t="s">
        <v>340</v>
      </c>
      <c r="C1152" s="1" t="s">
        <v>11</v>
      </c>
      <c r="D1152" s="5">
        <v>45631.0</v>
      </c>
      <c r="G1152" s="1" t="str">
        <f>VLOOKUP(B1152,'old-aw-skill-plan'!A:I,7,FALSE)</f>
        <v>#N/A</v>
      </c>
      <c r="H1152" s="1" t="str">
        <f>VLOOKUP(B1152,'old-aw-skill-plan'!A:I,9,FALSE)</f>
        <v>#N/A</v>
      </c>
    </row>
    <row r="1153" ht="15.75" customHeight="1">
      <c r="A1153" s="1" t="s">
        <v>90</v>
      </c>
      <c r="B1153" s="1" t="s">
        <v>28</v>
      </c>
      <c r="C1153" s="1" t="s">
        <v>11</v>
      </c>
      <c r="D1153" s="5">
        <v>45631.0</v>
      </c>
      <c r="G1153" s="1">
        <f>VLOOKUP(B1153,'old-aw-skill-plan'!A:I,7,FALSE)</f>
        <v>3</v>
      </c>
      <c r="H1153" s="1" t="str">
        <f>VLOOKUP(B1153,'old-aw-skill-plan'!A:I,9,FALSE)</f>
        <v>3-4</v>
      </c>
    </row>
    <row r="1154" ht="15.75" customHeight="1">
      <c r="A1154" s="1" t="s">
        <v>18</v>
      </c>
      <c r="B1154" s="1" t="s">
        <v>34</v>
      </c>
      <c r="C1154" s="1" t="s">
        <v>11</v>
      </c>
      <c r="D1154" s="5">
        <v>45630.0</v>
      </c>
      <c r="G1154" s="1">
        <f>VLOOKUP(B1154,'old-aw-skill-plan'!A:I,7,FALSE)</f>
        <v>4</v>
      </c>
      <c r="H1154" s="1" t="str">
        <f>VLOOKUP(B1154,'old-aw-skill-plan'!A:I,9,FALSE)</f>
        <v>4-1</v>
      </c>
    </row>
    <row r="1155" ht="15.75" customHeight="1">
      <c r="A1155" s="1" t="s">
        <v>39</v>
      </c>
      <c r="B1155" s="1" t="s">
        <v>79</v>
      </c>
      <c r="C1155" s="1" t="s">
        <v>11</v>
      </c>
      <c r="D1155" s="5">
        <v>45630.0</v>
      </c>
      <c r="G1155" s="1">
        <f>VLOOKUP(B1155,'old-aw-skill-plan'!A:I,7,FALSE)</f>
        <v>4</v>
      </c>
      <c r="H1155" s="1" t="str">
        <f>VLOOKUP(B1155,'old-aw-skill-plan'!A:I,9,FALSE)</f>
        <v>4-8</v>
      </c>
    </row>
    <row r="1156" ht="15.75" customHeight="1">
      <c r="A1156" s="1" t="s">
        <v>39</v>
      </c>
      <c r="B1156" s="1" t="s">
        <v>44</v>
      </c>
      <c r="C1156" s="1" t="s">
        <v>11</v>
      </c>
      <c r="D1156" s="5">
        <v>45630.0</v>
      </c>
      <c r="G1156" s="1">
        <f>VLOOKUP(B1156,'old-aw-skill-plan'!A:I,7,FALSE)</f>
        <v>5</v>
      </c>
      <c r="H1156" s="1" t="str">
        <f>VLOOKUP(B1156,'old-aw-skill-plan'!A:I,9,FALSE)</f>
        <v>5-1</v>
      </c>
    </row>
    <row r="1157" ht="15.75" customHeight="1">
      <c r="A1157" s="1" t="s">
        <v>179</v>
      </c>
      <c r="B1157" s="1" t="s">
        <v>104</v>
      </c>
      <c r="C1157" s="1" t="s">
        <v>11</v>
      </c>
      <c r="D1157" s="5">
        <v>45630.0</v>
      </c>
      <c r="G1157" s="1">
        <f>VLOOKUP(B1157,'old-aw-skill-plan'!A:I,7,FALSE)</f>
        <v>5</v>
      </c>
      <c r="H1157" s="1" t="str">
        <f>VLOOKUP(B1157,'old-aw-skill-plan'!A:I,9,FALSE)</f>
        <v>5-2</v>
      </c>
    </row>
    <row r="1158" ht="15.75" customHeight="1">
      <c r="A1158" s="1" t="s">
        <v>60</v>
      </c>
      <c r="B1158" s="1" t="s">
        <v>104</v>
      </c>
      <c r="C1158" s="1" t="s">
        <v>11</v>
      </c>
      <c r="D1158" s="5">
        <v>45630.0</v>
      </c>
      <c r="G1158" s="1">
        <f>VLOOKUP(B1158,'old-aw-skill-plan'!A:I,7,FALSE)</f>
        <v>5</v>
      </c>
      <c r="H1158" s="1" t="str">
        <f>VLOOKUP(B1158,'old-aw-skill-plan'!A:I,9,FALSE)</f>
        <v>5-2</v>
      </c>
    </row>
    <row r="1159" ht="15.75" customHeight="1">
      <c r="A1159" s="1" t="s">
        <v>63</v>
      </c>
      <c r="B1159" s="1" t="s">
        <v>83</v>
      </c>
      <c r="C1159" s="1" t="s">
        <v>11</v>
      </c>
      <c r="D1159" s="5">
        <v>45630.0</v>
      </c>
      <c r="G1159" s="1">
        <f>VLOOKUP(B1159,'old-aw-skill-plan'!A:I,7,FALSE)</f>
        <v>5</v>
      </c>
      <c r="H1159" s="1" t="str">
        <f>VLOOKUP(B1159,'old-aw-skill-plan'!A:I,9,FALSE)</f>
        <v>5-9</v>
      </c>
    </row>
    <row r="1160" ht="15.75" customHeight="1">
      <c r="A1160" s="1" t="s">
        <v>65</v>
      </c>
      <c r="B1160" s="1" t="s">
        <v>34</v>
      </c>
      <c r="C1160" s="1" t="s">
        <v>11</v>
      </c>
      <c r="D1160" s="5">
        <v>45630.0</v>
      </c>
      <c r="G1160" s="1">
        <f>VLOOKUP(B1160,'old-aw-skill-plan'!A:I,7,FALSE)</f>
        <v>4</v>
      </c>
      <c r="H1160" s="1" t="str">
        <f>VLOOKUP(B1160,'old-aw-skill-plan'!A:I,9,FALSE)</f>
        <v>4-1</v>
      </c>
    </row>
    <row r="1161" ht="15.75" customHeight="1">
      <c r="A1161" s="1" t="s">
        <v>183</v>
      </c>
      <c r="B1161" s="1" t="s">
        <v>129</v>
      </c>
      <c r="C1161" s="1" t="s">
        <v>11</v>
      </c>
      <c r="D1161" s="5">
        <v>45630.0</v>
      </c>
      <c r="G1161" s="1">
        <f>VLOOKUP(B1161,'old-aw-skill-plan'!A:I,7,FALSE)</f>
        <v>8</v>
      </c>
      <c r="H1161" s="1" t="str">
        <f>VLOOKUP(B1161,'old-aw-skill-plan'!A:I,9,FALSE)</f>
        <v>8-4</v>
      </c>
    </row>
    <row r="1162" ht="15.75" customHeight="1">
      <c r="A1162" s="1" t="s">
        <v>68</v>
      </c>
      <c r="B1162" s="1" t="s">
        <v>48</v>
      </c>
      <c r="C1162" s="1" t="s">
        <v>11</v>
      </c>
      <c r="D1162" s="5">
        <v>45630.0</v>
      </c>
      <c r="G1162" s="1">
        <f>VLOOKUP(B1162,'old-aw-skill-plan'!A:I,7,FALSE)</f>
        <v>3</v>
      </c>
      <c r="H1162" s="1" t="str">
        <f>VLOOKUP(B1162,'old-aw-skill-plan'!A:I,9,FALSE)</f>
        <v>3-6</v>
      </c>
    </row>
    <row r="1163" ht="15.75" customHeight="1">
      <c r="A1163" s="1" t="s">
        <v>74</v>
      </c>
      <c r="B1163" s="1" t="s">
        <v>104</v>
      </c>
      <c r="C1163" s="1" t="s">
        <v>11</v>
      </c>
      <c r="D1163" s="5">
        <v>45630.0</v>
      </c>
      <c r="G1163" s="1">
        <f>VLOOKUP(B1163,'old-aw-skill-plan'!A:I,7,FALSE)</f>
        <v>5</v>
      </c>
      <c r="H1163" s="1" t="str">
        <f>VLOOKUP(B1163,'old-aw-skill-plan'!A:I,9,FALSE)</f>
        <v>5-2</v>
      </c>
    </row>
    <row r="1164" ht="15.75" customHeight="1">
      <c r="A1164" s="1" t="s">
        <v>74</v>
      </c>
      <c r="B1164" s="1" t="s">
        <v>312</v>
      </c>
      <c r="C1164" s="1" t="s">
        <v>11</v>
      </c>
      <c r="D1164" s="5">
        <v>45630.0</v>
      </c>
      <c r="G1164" s="1" t="str">
        <f>VLOOKUP(B1164,'old-aw-skill-plan'!A:I,7,FALSE)</f>
        <v>#N/A</v>
      </c>
      <c r="H1164" s="1" t="str">
        <f>VLOOKUP(B1164,'old-aw-skill-plan'!A:I,9,FALSE)</f>
        <v>#N/A</v>
      </c>
    </row>
    <row r="1165" ht="15.75" customHeight="1">
      <c r="A1165" s="1" t="s">
        <v>75</v>
      </c>
      <c r="B1165" s="1" t="s">
        <v>136</v>
      </c>
      <c r="C1165" s="1" t="s">
        <v>11</v>
      </c>
      <c r="D1165" s="5">
        <v>45630.0</v>
      </c>
      <c r="G1165" s="1">
        <f>VLOOKUP(B1165,'old-aw-skill-plan'!A:I,7,FALSE)</f>
        <v>6</v>
      </c>
      <c r="H1165" s="1" t="str">
        <f>VLOOKUP(B1165,'old-aw-skill-plan'!A:I,9,FALSE)</f>
        <v>6-4</v>
      </c>
    </row>
    <row r="1166" ht="15.75" customHeight="1">
      <c r="A1166" s="1" t="s">
        <v>82</v>
      </c>
      <c r="B1166" s="1" t="s">
        <v>115</v>
      </c>
      <c r="C1166" s="1" t="s">
        <v>11</v>
      </c>
      <c r="D1166" s="5">
        <v>45630.0</v>
      </c>
      <c r="G1166" s="1">
        <f>VLOOKUP(B1166,'old-aw-skill-plan'!A:I,7,FALSE)</f>
        <v>3</v>
      </c>
      <c r="H1166" s="1" t="str">
        <f>VLOOKUP(B1166,'old-aw-skill-plan'!A:I,9,FALSE)</f>
        <v>3-10</v>
      </c>
    </row>
    <row r="1167" ht="15.75" customHeight="1">
      <c r="A1167" s="1" t="s">
        <v>39</v>
      </c>
      <c r="B1167" s="1" t="s">
        <v>79</v>
      </c>
      <c r="C1167" s="1" t="s">
        <v>11</v>
      </c>
      <c r="D1167" s="5">
        <v>45629.0</v>
      </c>
      <c r="G1167" s="1">
        <f>VLOOKUP(B1167,'old-aw-skill-plan'!A:I,7,FALSE)</f>
        <v>4</v>
      </c>
      <c r="H1167" s="1" t="str">
        <f>VLOOKUP(B1167,'old-aw-skill-plan'!A:I,9,FALSE)</f>
        <v>4-8</v>
      </c>
    </row>
    <row r="1168" ht="15.75" customHeight="1">
      <c r="A1168" s="1" t="s">
        <v>39</v>
      </c>
      <c r="B1168" s="1" t="s">
        <v>44</v>
      </c>
      <c r="C1168" s="1" t="s">
        <v>11</v>
      </c>
      <c r="D1168" s="5">
        <v>45629.0</v>
      </c>
      <c r="G1168" s="1">
        <f>VLOOKUP(B1168,'old-aw-skill-plan'!A:I,7,FALSE)</f>
        <v>5</v>
      </c>
      <c r="H1168" s="1" t="str">
        <f>VLOOKUP(B1168,'old-aw-skill-plan'!A:I,9,FALSE)</f>
        <v>5-1</v>
      </c>
    </row>
    <row r="1169" ht="15.75" customHeight="1">
      <c r="A1169" s="1" t="s">
        <v>60</v>
      </c>
      <c r="B1169" s="1" t="s">
        <v>104</v>
      </c>
      <c r="C1169" s="1" t="s">
        <v>11</v>
      </c>
      <c r="D1169" s="5">
        <v>45629.0</v>
      </c>
      <c r="G1169" s="1">
        <f>VLOOKUP(B1169,'old-aw-skill-plan'!A:I,7,FALSE)</f>
        <v>5</v>
      </c>
      <c r="H1169" s="1" t="str">
        <f>VLOOKUP(B1169,'old-aw-skill-plan'!A:I,9,FALSE)</f>
        <v>5-2</v>
      </c>
    </row>
    <row r="1170" ht="15.75" customHeight="1">
      <c r="A1170" s="1" t="s">
        <v>63</v>
      </c>
      <c r="B1170" s="1" t="s">
        <v>83</v>
      </c>
      <c r="C1170" s="1" t="s">
        <v>11</v>
      </c>
      <c r="D1170" s="5">
        <v>45629.0</v>
      </c>
      <c r="G1170" s="1">
        <f>VLOOKUP(B1170,'old-aw-skill-plan'!A:I,7,FALSE)</f>
        <v>5</v>
      </c>
      <c r="H1170" s="1" t="str">
        <f>VLOOKUP(B1170,'old-aw-skill-plan'!A:I,9,FALSE)</f>
        <v>5-9</v>
      </c>
    </row>
    <row r="1171" ht="15.75" customHeight="1">
      <c r="A1171" s="1" t="s">
        <v>65</v>
      </c>
      <c r="B1171" s="1" t="s">
        <v>34</v>
      </c>
      <c r="C1171" s="1" t="s">
        <v>11</v>
      </c>
      <c r="D1171" s="5">
        <v>45629.0</v>
      </c>
      <c r="G1171" s="1">
        <f>VLOOKUP(B1171,'old-aw-skill-plan'!A:I,7,FALSE)</f>
        <v>4</v>
      </c>
      <c r="H1171" s="1" t="str">
        <f>VLOOKUP(B1171,'old-aw-skill-plan'!A:I,9,FALSE)</f>
        <v>4-1</v>
      </c>
    </row>
    <row r="1172" ht="15.75" customHeight="1">
      <c r="A1172" s="1" t="s">
        <v>183</v>
      </c>
      <c r="B1172" s="1" t="s">
        <v>129</v>
      </c>
      <c r="C1172" s="1" t="s">
        <v>11</v>
      </c>
      <c r="D1172" s="5">
        <v>45629.0</v>
      </c>
      <c r="G1172" s="1">
        <f>VLOOKUP(B1172,'old-aw-skill-plan'!A:I,7,FALSE)</f>
        <v>8</v>
      </c>
      <c r="H1172" s="1" t="str">
        <f>VLOOKUP(B1172,'old-aw-skill-plan'!A:I,9,FALSE)</f>
        <v>8-4</v>
      </c>
    </row>
    <row r="1173" ht="15.75" customHeight="1">
      <c r="A1173" s="1" t="s">
        <v>68</v>
      </c>
      <c r="B1173" s="1" t="s">
        <v>48</v>
      </c>
      <c r="C1173" s="1" t="s">
        <v>11</v>
      </c>
      <c r="D1173" s="5">
        <v>45629.0</v>
      </c>
      <c r="G1173" s="1">
        <f>VLOOKUP(B1173,'old-aw-skill-plan'!A:I,7,FALSE)</f>
        <v>3</v>
      </c>
      <c r="H1173" s="1" t="str">
        <f>VLOOKUP(B1173,'old-aw-skill-plan'!A:I,9,FALSE)</f>
        <v>3-6</v>
      </c>
    </row>
    <row r="1174" ht="15.75" customHeight="1">
      <c r="A1174" s="1" t="s">
        <v>74</v>
      </c>
      <c r="B1174" s="1" t="s">
        <v>104</v>
      </c>
      <c r="C1174" s="1" t="s">
        <v>11</v>
      </c>
      <c r="D1174" s="5">
        <v>45629.0</v>
      </c>
      <c r="G1174" s="1">
        <f>VLOOKUP(B1174,'old-aw-skill-plan'!A:I,7,FALSE)</f>
        <v>5</v>
      </c>
      <c r="H1174" s="1" t="str">
        <f>VLOOKUP(B1174,'old-aw-skill-plan'!A:I,9,FALSE)</f>
        <v>5-2</v>
      </c>
    </row>
    <row r="1175" ht="15.75" customHeight="1">
      <c r="A1175" s="1" t="s">
        <v>75</v>
      </c>
      <c r="B1175" s="1" t="s">
        <v>136</v>
      </c>
      <c r="C1175" s="1" t="s">
        <v>11</v>
      </c>
      <c r="D1175" s="5">
        <v>45629.0</v>
      </c>
      <c r="G1175" s="1">
        <f>VLOOKUP(B1175,'old-aw-skill-plan'!A:I,7,FALSE)</f>
        <v>6</v>
      </c>
      <c r="H1175" s="1" t="str">
        <f>VLOOKUP(B1175,'old-aw-skill-plan'!A:I,9,FALSE)</f>
        <v>6-4</v>
      </c>
    </row>
    <row r="1176" ht="15.75" customHeight="1">
      <c r="A1176" s="1" t="s">
        <v>77</v>
      </c>
      <c r="B1176" s="1" t="s">
        <v>23</v>
      </c>
      <c r="C1176" s="1" t="s">
        <v>11</v>
      </c>
      <c r="D1176" s="5">
        <v>45629.0</v>
      </c>
      <c r="G1176" s="1">
        <f>VLOOKUP(B1176,'old-aw-skill-plan'!A:I,7,FALSE)</f>
        <v>4</v>
      </c>
      <c r="H1176" s="1" t="str">
        <f>VLOOKUP(B1176,'old-aw-skill-plan'!A:I,9,FALSE)</f>
        <v>4-5</v>
      </c>
    </row>
    <row r="1177" ht="15.75" customHeight="1">
      <c r="A1177" s="1" t="s">
        <v>100</v>
      </c>
      <c r="B1177" s="1" t="s">
        <v>340</v>
      </c>
      <c r="C1177" s="1" t="s">
        <v>11</v>
      </c>
      <c r="D1177" s="5">
        <v>45629.0</v>
      </c>
      <c r="G1177" s="1" t="str">
        <f>VLOOKUP(B1177,'old-aw-skill-plan'!A:I,7,FALSE)</f>
        <v>#N/A</v>
      </c>
      <c r="H1177" s="1" t="str">
        <f>VLOOKUP(B1177,'old-aw-skill-plan'!A:I,9,FALSE)</f>
        <v>#N/A</v>
      </c>
    </row>
    <row r="1178" ht="15.75" customHeight="1">
      <c r="A1178" s="1" t="s">
        <v>93</v>
      </c>
      <c r="B1178" s="1" t="s">
        <v>10</v>
      </c>
      <c r="C1178" s="1" t="s">
        <v>11</v>
      </c>
      <c r="D1178" s="5">
        <v>45629.0</v>
      </c>
      <c r="G1178" s="1">
        <f>VLOOKUP(B1178,'old-aw-skill-plan'!A:I,7,FALSE)</f>
        <v>3</v>
      </c>
      <c r="H1178" s="1" t="str">
        <f>VLOOKUP(B1178,'old-aw-skill-plan'!A:I,9,FALSE)</f>
        <v>3-1</v>
      </c>
    </row>
    <row r="1179" ht="15.75" customHeight="1">
      <c r="A1179" s="1" t="s">
        <v>93</v>
      </c>
      <c r="B1179" s="1" t="s">
        <v>117</v>
      </c>
      <c r="C1179" s="1" t="s">
        <v>11</v>
      </c>
      <c r="D1179" s="5">
        <v>45629.0</v>
      </c>
      <c r="G1179" s="1">
        <f>VLOOKUP(B1179,'old-aw-skill-plan'!A:I,7,FALSE)</f>
        <v>3</v>
      </c>
      <c r="H1179" s="1" t="str">
        <f>VLOOKUP(B1179,'old-aw-skill-plan'!A:I,9,FALSE)</f>
        <v>3-11</v>
      </c>
    </row>
    <row r="1180" ht="15.75" customHeight="1">
      <c r="A1180" s="1" t="s">
        <v>93</v>
      </c>
      <c r="B1180" s="1" t="s">
        <v>332</v>
      </c>
      <c r="C1180" s="1" t="s">
        <v>11</v>
      </c>
      <c r="D1180" s="5">
        <v>45629.0</v>
      </c>
      <c r="G1180" s="1">
        <f>VLOOKUP(B1180,'old-aw-skill-plan'!A:I,7,FALSE)</f>
        <v>7</v>
      </c>
      <c r="H1180" s="1" t="str">
        <f>VLOOKUP(B1180,'old-aw-skill-plan'!A:I,9,FALSE)</f>
        <v>7-12</v>
      </c>
    </row>
    <row r="1181" ht="15.75" customHeight="1">
      <c r="A1181" s="1" t="s">
        <v>93</v>
      </c>
      <c r="B1181" s="1" t="s">
        <v>44</v>
      </c>
      <c r="C1181" s="1" t="s">
        <v>11</v>
      </c>
      <c r="D1181" s="5">
        <v>45629.0</v>
      </c>
      <c r="G1181" s="1">
        <f>VLOOKUP(B1181,'old-aw-skill-plan'!A:I,7,FALSE)</f>
        <v>5</v>
      </c>
      <c r="H1181" s="1" t="str">
        <f>VLOOKUP(B1181,'old-aw-skill-plan'!A:I,9,FALSE)</f>
        <v>5-1</v>
      </c>
    </row>
    <row r="1182" ht="15.75" customHeight="1">
      <c r="A1182" s="1" t="s">
        <v>18</v>
      </c>
      <c r="B1182" s="1" t="s">
        <v>34</v>
      </c>
      <c r="C1182" s="1" t="s">
        <v>11</v>
      </c>
      <c r="D1182" s="5">
        <v>45628.0</v>
      </c>
      <c r="G1182" s="1">
        <f>VLOOKUP(B1182,'old-aw-skill-plan'!A:I,7,FALSE)</f>
        <v>4</v>
      </c>
      <c r="H1182" s="1" t="str">
        <f>VLOOKUP(B1182,'old-aw-skill-plan'!A:I,9,FALSE)</f>
        <v>4-1</v>
      </c>
    </row>
    <row r="1183" ht="15.75" customHeight="1">
      <c r="A1183" s="1" t="s">
        <v>52</v>
      </c>
      <c r="B1183" s="1" t="s">
        <v>28</v>
      </c>
      <c r="C1183" s="1" t="s">
        <v>11</v>
      </c>
      <c r="D1183" s="5">
        <v>45628.0</v>
      </c>
      <c r="G1183" s="1">
        <f>VLOOKUP(B1183,'old-aw-skill-plan'!A:I,7,FALSE)</f>
        <v>3</v>
      </c>
      <c r="H1183" s="1" t="str">
        <f>VLOOKUP(B1183,'old-aw-skill-plan'!A:I,9,FALSE)</f>
        <v>3-4</v>
      </c>
    </row>
    <row r="1184" ht="15.75" customHeight="1">
      <c r="A1184" s="1" t="s">
        <v>39</v>
      </c>
      <c r="B1184" s="1" t="s">
        <v>19</v>
      </c>
      <c r="C1184" s="1" t="s">
        <v>11</v>
      </c>
      <c r="D1184" s="5">
        <v>45628.0</v>
      </c>
      <c r="G1184" s="1">
        <f>VLOOKUP(B1184,'old-aw-skill-plan'!A:I,7,FALSE)</f>
        <v>4</v>
      </c>
      <c r="H1184" s="1" t="str">
        <f>VLOOKUP(B1184,'old-aw-skill-plan'!A:I,9,FALSE)</f>
        <v>4-7</v>
      </c>
    </row>
    <row r="1185" ht="15.75" customHeight="1">
      <c r="A1185" s="1" t="s">
        <v>39</v>
      </c>
      <c r="B1185" s="1" t="s">
        <v>79</v>
      </c>
      <c r="C1185" s="1" t="s">
        <v>11</v>
      </c>
      <c r="D1185" s="5">
        <v>45628.0</v>
      </c>
      <c r="G1185" s="1">
        <f>VLOOKUP(B1185,'old-aw-skill-plan'!A:I,7,FALSE)</f>
        <v>4</v>
      </c>
      <c r="H1185" s="1" t="str">
        <f>VLOOKUP(B1185,'old-aw-skill-plan'!A:I,9,FALSE)</f>
        <v>4-8</v>
      </c>
    </row>
    <row r="1186" ht="15.75" customHeight="1">
      <c r="A1186" s="1" t="s">
        <v>179</v>
      </c>
      <c r="B1186" s="1" t="s">
        <v>104</v>
      </c>
      <c r="C1186" s="1" t="s">
        <v>11</v>
      </c>
      <c r="D1186" s="5">
        <v>45628.0</v>
      </c>
      <c r="G1186" s="1">
        <f>VLOOKUP(B1186,'old-aw-skill-plan'!A:I,7,FALSE)</f>
        <v>5</v>
      </c>
      <c r="H1186" s="1" t="str">
        <f>VLOOKUP(B1186,'old-aw-skill-plan'!A:I,9,FALSE)</f>
        <v>5-2</v>
      </c>
    </row>
    <row r="1187" ht="15.75" customHeight="1">
      <c r="A1187" s="1" t="s">
        <v>63</v>
      </c>
      <c r="B1187" s="1" t="s">
        <v>83</v>
      </c>
      <c r="C1187" s="1" t="s">
        <v>11</v>
      </c>
      <c r="D1187" s="5">
        <v>45628.0</v>
      </c>
      <c r="G1187" s="1">
        <f>VLOOKUP(B1187,'old-aw-skill-plan'!A:I,7,FALSE)</f>
        <v>5</v>
      </c>
      <c r="H1187" s="1" t="str">
        <f>VLOOKUP(B1187,'old-aw-skill-plan'!A:I,9,FALSE)</f>
        <v>5-9</v>
      </c>
    </row>
    <row r="1188" ht="15.75" customHeight="1">
      <c r="A1188" s="1" t="s">
        <v>68</v>
      </c>
      <c r="B1188" s="1" t="s">
        <v>48</v>
      </c>
      <c r="C1188" s="1" t="s">
        <v>11</v>
      </c>
      <c r="D1188" s="5">
        <v>45628.0</v>
      </c>
      <c r="G1188" s="1">
        <f>VLOOKUP(B1188,'old-aw-skill-plan'!A:I,7,FALSE)</f>
        <v>3</v>
      </c>
      <c r="H1188" s="1" t="str">
        <f>VLOOKUP(B1188,'old-aw-skill-plan'!A:I,9,FALSE)</f>
        <v>3-6</v>
      </c>
    </row>
    <row r="1189" ht="15.75" customHeight="1">
      <c r="A1189" s="1" t="s">
        <v>74</v>
      </c>
      <c r="B1189" s="1" t="s">
        <v>104</v>
      </c>
      <c r="C1189" s="1" t="s">
        <v>11</v>
      </c>
      <c r="D1189" s="5">
        <v>45628.0</v>
      </c>
      <c r="G1189" s="1">
        <f>VLOOKUP(B1189,'old-aw-skill-plan'!A:I,7,FALSE)</f>
        <v>5</v>
      </c>
      <c r="H1189" s="1" t="str">
        <f>VLOOKUP(B1189,'old-aw-skill-plan'!A:I,9,FALSE)</f>
        <v>5-2</v>
      </c>
    </row>
    <row r="1190" ht="15.75" customHeight="1">
      <c r="A1190" s="1" t="s">
        <v>75</v>
      </c>
      <c r="B1190" s="1" t="s">
        <v>136</v>
      </c>
      <c r="C1190" s="1" t="s">
        <v>11</v>
      </c>
      <c r="D1190" s="5">
        <v>45628.0</v>
      </c>
      <c r="G1190" s="1">
        <f>VLOOKUP(B1190,'old-aw-skill-plan'!A:I,7,FALSE)</f>
        <v>6</v>
      </c>
      <c r="H1190" s="1" t="str">
        <f>VLOOKUP(B1190,'old-aw-skill-plan'!A:I,9,FALSE)</f>
        <v>6-4</v>
      </c>
    </row>
    <row r="1191" ht="15.75" customHeight="1">
      <c r="A1191" s="1" t="s">
        <v>77</v>
      </c>
      <c r="B1191" s="1" t="s">
        <v>42</v>
      </c>
      <c r="C1191" s="1" t="s">
        <v>11</v>
      </c>
      <c r="D1191" s="5">
        <v>45628.0</v>
      </c>
      <c r="G1191" s="1">
        <f>VLOOKUP(B1191,'old-aw-skill-plan'!A:I,7,FALSE)</f>
        <v>4</v>
      </c>
      <c r="H1191" s="1" t="str">
        <f>VLOOKUP(B1191,'old-aw-skill-plan'!A:I,9,FALSE)</f>
        <v>4-11</v>
      </c>
    </row>
    <row r="1192" ht="15.75" customHeight="1">
      <c r="A1192" s="1" t="s">
        <v>77</v>
      </c>
      <c r="B1192" s="1" t="s">
        <v>21</v>
      </c>
      <c r="C1192" s="1" t="s">
        <v>11</v>
      </c>
      <c r="D1192" s="5">
        <v>45628.0</v>
      </c>
      <c r="G1192" s="1">
        <f>VLOOKUP(B1192,'old-aw-skill-plan'!A:I,7,FALSE)</f>
        <v>4</v>
      </c>
      <c r="H1192" s="1" t="str">
        <f>VLOOKUP(B1192,'old-aw-skill-plan'!A:I,9,FALSE)</f>
        <v>4-6</v>
      </c>
    </row>
    <row r="1193" ht="15.75" customHeight="1">
      <c r="A1193" s="1" t="s">
        <v>77</v>
      </c>
      <c r="B1193" s="1" t="s">
        <v>23</v>
      </c>
      <c r="C1193" s="1" t="s">
        <v>11</v>
      </c>
      <c r="D1193" s="5">
        <v>45628.0</v>
      </c>
      <c r="G1193" s="1">
        <f>VLOOKUP(B1193,'old-aw-skill-plan'!A:I,7,FALSE)</f>
        <v>4</v>
      </c>
      <c r="H1193" s="1" t="str">
        <f>VLOOKUP(B1193,'old-aw-skill-plan'!A:I,9,FALSE)</f>
        <v>4-5</v>
      </c>
    </row>
    <row r="1194" ht="15.75" customHeight="1">
      <c r="A1194" s="1" t="s">
        <v>100</v>
      </c>
      <c r="B1194" s="1" t="s">
        <v>340</v>
      </c>
      <c r="C1194" s="1" t="s">
        <v>11</v>
      </c>
      <c r="D1194" s="5">
        <v>45628.0</v>
      </c>
      <c r="G1194" s="1" t="str">
        <f>VLOOKUP(B1194,'old-aw-skill-plan'!A:I,7,FALSE)</f>
        <v>#N/A</v>
      </c>
      <c r="H1194" s="1" t="str">
        <f>VLOOKUP(B1194,'old-aw-skill-plan'!A:I,9,FALSE)</f>
        <v>#N/A</v>
      </c>
    </row>
    <row r="1195" ht="15.75" customHeight="1">
      <c r="A1195" s="1" t="s">
        <v>82</v>
      </c>
      <c r="B1195" s="1" t="s">
        <v>115</v>
      </c>
      <c r="C1195" s="1" t="s">
        <v>11</v>
      </c>
      <c r="D1195" s="5">
        <v>45628.0</v>
      </c>
      <c r="G1195" s="1">
        <f>VLOOKUP(B1195,'old-aw-skill-plan'!A:I,7,FALSE)</f>
        <v>3</v>
      </c>
      <c r="H1195" s="1" t="str">
        <f>VLOOKUP(B1195,'old-aw-skill-plan'!A:I,9,FALSE)</f>
        <v>3-10</v>
      </c>
    </row>
    <row r="1196" ht="15.75" customHeight="1">
      <c r="A1196" s="1" t="s">
        <v>93</v>
      </c>
      <c r="B1196" s="1" t="s">
        <v>44</v>
      </c>
      <c r="C1196" s="1" t="s">
        <v>11</v>
      </c>
      <c r="D1196" s="5">
        <v>45628.0</v>
      </c>
      <c r="G1196" s="1">
        <f>VLOOKUP(B1196,'old-aw-skill-plan'!A:I,7,FALSE)</f>
        <v>5</v>
      </c>
      <c r="H1196" s="1" t="str">
        <f>VLOOKUP(B1196,'old-aw-skill-plan'!A:I,9,FALSE)</f>
        <v>5-1</v>
      </c>
    </row>
    <row r="1197" ht="15.75" customHeight="1">
      <c r="A1197" s="1" t="s">
        <v>52</v>
      </c>
      <c r="B1197" s="1" t="s">
        <v>28</v>
      </c>
      <c r="C1197" s="1" t="s">
        <v>11</v>
      </c>
      <c r="D1197" s="5">
        <v>45620.0</v>
      </c>
      <c r="G1197" s="1">
        <f>VLOOKUP(B1197,'old-aw-skill-plan'!A:I,7,FALSE)</f>
        <v>3</v>
      </c>
      <c r="H1197" s="1" t="str">
        <f>VLOOKUP(B1197,'old-aw-skill-plan'!A:I,9,FALSE)</f>
        <v>3-4</v>
      </c>
    </row>
    <row r="1198" ht="15.75" customHeight="1">
      <c r="A1198" s="1" t="s">
        <v>90</v>
      </c>
      <c r="B1198" s="1" t="s">
        <v>28</v>
      </c>
      <c r="C1198" s="1" t="s">
        <v>11</v>
      </c>
      <c r="D1198" s="5">
        <v>45619.0</v>
      </c>
      <c r="G1198" s="1">
        <f>VLOOKUP(B1198,'old-aw-skill-plan'!A:I,7,FALSE)</f>
        <v>3</v>
      </c>
      <c r="H1198" s="1" t="str">
        <f>VLOOKUP(B1198,'old-aw-skill-plan'!A:I,9,FALSE)</f>
        <v>3-4</v>
      </c>
    </row>
    <row r="1199" ht="15.75" customHeight="1">
      <c r="A1199" s="1" t="s">
        <v>183</v>
      </c>
      <c r="B1199" s="1" t="s">
        <v>129</v>
      </c>
      <c r="C1199" s="1" t="s">
        <v>11</v>
      </c>
      <c r="D1199" s="5">
        <v>45618.0</v>
      </c>
      <c r="G1199" s="1">
        <f>VLOOKUP(B1199,'old-aw-skill-plan'!A:I,7,FALSE)</f>
        <v>8</v>
      </c>
      <c r="H1199" s="1" t="str">
        <f>VLOOKUP(B1199,'old-aw-skill-plan'!A:I,9,FALSE)</f>
        <v>8-4</v>
      </c>
    </row>
    <row r="1200" ht="15.75" customHeight="1">
      <c r="A1200" s="1" t="s">
        <v>74</v>
      </c>
      <c r="B1200" s="1" t="s">
        <v>104</v>
      </c>
      <c r="C1200" s="1" t="s">
        <v>11</v>
      </c>
      <c r="D1200" s="5">
        <v>45618.0</v>
      </c>
      <c r="G1200" s="1">
        <f>VLOOKUP(B1200,'old-aw-skill-plan'!A:I,7,FALSE)</f>
        <v>5</v>
      </c>
      <c r="H1200" s="1" t="str">
        <f>VLOOKUP(B1200,'old-aw-skill-plan'!A:I,9,FALSE)</f>
        <v>5-2</v>
      </c>
    </row>
    <row r="1201" ht="15.75" customHeight="1">
      <c r="A1201" s="1" t="s">
        <v>82</v>
      </c>
      <c r="B1201" s="1" t="s">
        <v>115</v>
      </c>
      <c r="C1201" s="1" t="s">
        <v>11</v>
      </c>
      <c r="D1201" s="5">
        <v>45618.0</v>
      </c>
      <c r="G1201" s="1">
        <f>VLOOKUP(B1201,'old-aw-skill-plan'!A:I,7,FALSE)</f>
        <v>3</v>
      </c>
      <c r="H1201" s="1" t="str">
        <f>VLOOKUP(B1201,'old-aw-skill-plan'!A:I,9,FALSE)</f>
        <v>3-10</v>
      </c>
    </row>
    <row r="1202" ht="15.75" customHeight="1">
      <c r="A1202" s="1" t="s">
        <v>210</v>
      </c>
      <c r="B1202" s="1" t="s">
        <v>34</v>
      </c>
      <c r="C1202" s="1" t="s">
        <v>11</v>
      </c>
      <c r="D1202" s="5">
        <v>45617.0</v>
      </c>
      <c r="G1202" s="1">
        <f>VLOOKUP(B1202,'old-aw-skill-plan'!A:I,7,FALSE)</f>
        <v>4</v>
      </c>
      <c r="H1202" s="1" t="str">
        <f>VLOOKUP(B1202,'old-aw-skill-plan'!A:I,9,FALSE)</f>
        <v>4-1</v>
      </c>
    </row>
    <row r="1203" ht="15.75" customHeight="1">
      <c r="A1203" s="1" t="s">
        <v>60</v>
      </c>
      <c r="B1203" s="1" t="s">
        <v>104</v>
      </c>
      <c r="C1203" s="1" t="s">
        <v>11</v>
      </c>
      <c r="D1203" s="5">
        <v>45617.0</v>
      </c>
      <c r="G1203" s="1">
        <f>VLOOKUP(B1203,'old-aw-skill-plan'!A:I,7,FALSE)</f>
        <v>5</v>
      </c>
      <c r="H1203" s="1" t="str">
        <f>VLOOKUP(B1203,'old-aw-skill-plan'!A:I,9,FALSE)</f>
        <v>5-2</v>
      </c>
    </row>
    <row r="1204" ht="15.75" customHeight="1">
      <c r="A1204" s="1" t="s">
        <v>63</v>
      </c>
      <c r="B1204" s="1" t="s">
        <v>83</v>
      </c>
      <c r="C1204" s="1" t="s">
        <v>11</v>
      </c>
      <c r="D1204" s="5">
        <v>45617.0</v>
      </c>
      <c r="G1204" s="1">
        <f>VLOOKUP(B1204,'old-aw-skill-plan'!A:I,7,FALSE)</f>
        <v>5</v>
      </c>
      <c r="H1204" s="1" t="str">
        <f>VLOOKUP(B1204,'old-aw-skill-plan'!A:I,9,FALSE)</f>
        <v>5-9</v>
      </c>
    </row>
    <row r="1205" ht="15.75" customHeight="1">
      <c r="A1205" s="1" t="s">
        <v>63</v>
      </c>
      <c r="B1205" s="1" t="s">
        <v>85</v>
      </c>
      <c r="C1205" s="1" t="s">
        <v>11</v>
      </c>
      <c r="D1205" s="5">
        <v>45617.0</v>
      </c>
      <c r="G1205" s="1">
        <f>VLOOKUP(B1205,'old-aw-skill-plan'!A:I,7,FALSE)</f>
        <v>5</v>
      </c>
      <c r="H1205" s="1" t="str">
        <f>VLOOKUP(B1205,'old-aw-skill-plan'!A:I,9,FALSE)</f>
        <v>5-8</v>
      </c>
    </row>
    <row r="1206" ht="15.75" customHeight="1">
      <c r="A1206" s="1" t="s">
        <v>183</v>
      </c>
      <c r="B1206" s="1" t="s">
        <v>129</v>
      </c>
      <c r="C1206" s="1" t="s">
        <v>11</v>
      </c>
      <c r="D1206" s="5">
        <v>45617.0</v>
      </c>
      <c r="G1206" s="1">
        <f>VLOOKUP(B1206,'old-aw-skill-plan'!A:I,7,FALSE)</f>
        <v>8</v>
      </c>
      <c r="H1206" s="1" t="str">
        <f>VLOOKUP(B1206,'old-aw-skill-plan'!A:I,9,FALSE)</f>
        <v>8-4</v>
      </c>
    </row>
    <row r="1207" ht="15.75" customHeight="1">
      <c r="A1207" s="1" t="s">
        <v>205</v>
      </c>
      <c r="B1207" s="1" t="s">
        <v>83</v>
      </c>
      <c r="C1207" s="1" t="s">
        <v>11</v>
      </c>
      <c r="D1207" s="5">
        <v>45617.0</v>
      </c>
      <c r="G1207" s="1">
        <f>VLOOKUP(B1207,'old-aw-skill-plan'!A:I,7,FALSE)</f>
        <v>5</v>
      </c>
      <c r="H1207" s="1" t="str">
        <f>VLOOKUP(B1207,'old-aw-skill-plan'!A:I,9,FALSE)</f>
        <v>5-9</v>
      </c>
    </row>
    <row r="1208" ht="15.75" customHeight="1">
      <c r="A1208" s="1" t="s">
        <v>75</v>
      </c>
      <c r="B1208" s="1" t="s">
        <v>136</v>
      </c>
      <c r="C1208" s="1" t="s">
        <v>11</v>
      </c>
      <c r="D1208" s="5">
        <v>45617.0</v>
      </c>
      <c r="G1208" s="1">
        <f>VLOOKUP(B1208,'old-aw-skill-plan'!A:I,7,FALSE)</f>
        <v>6</v>
      </c>
      <c r="H1208" s="1" t="str">
        <f>VLOOKUP(B1208,'old-aw-skill-plan'!A:I,9,FALSE)</f>
        <v>6-4</v>
      </c>
    </row>
    <row r="1209" ht="15.75" customHeight="1">
      <c r="A1209" s="1" t="s">
        <v>82</v>
      </c>
      <c r="B1209" s="1" t="s">
        <v>115</v>
      </c>
      <c r="C1209" s="1" t="s">
        <v>11</v>
      </c>
      <c r="D1209" s="5">
        <v>45617.0</v>
      </c>
      <c r="G1209" s="1">
        <f>VLOOKUP(B1209,'old-aw-skill-plan'!A:I,7,FALSE)</f>
        <v>3</v>
      </c>
      <c r="H1209" s="1" t="str">
        <f>VLOOKUP(B1209,'old-aw-skill-plan'!A:I,9,FALSE)</f>
        <v>3-10</v>
      </c>
    </row>
    <row r="1210" ht="15.75" customHeight="1">
      <c r="A1210" s="1" t="s">
        <v>41</v>
      </c>
      <c r="B1210" s="1" t="s">
        <v>34</v>
      </c>
      <c r="C1210" s="1" t="s">
        <v>11</v>
      </c>
      <c r="D1210" s="5">
        <v>45616.0</v>
      </c>
      <c r="G1210" s="1">
        <f>VLOOKUP(B1210,'old-aw-skill-plan'!A:I,7,FALSE)</f>
        <v>4</v>
      </c>
      <c r="H1210" s="1" t="str">
        <f>VLOOKUP(B1210,'old-aw-skill-plan'!A:I,9,FALSE)</f>
        <v>4-1</v>
      </c>
    </row>
    <row r="1211" ht="15.75" customHeight="1">
      <c r="A1211" s="1" t="s">
        <v>24</v>
      </c>
      <c r="B1211" s="1" t="s">
        <v>314</v>
      </c>
      <c r="C1211" s="1" t="s">
        <v>11</v>
      </c>
      <c r="D1211" s="5">
        <v>45616.0</v>
      </c>
      <c r="G1211" s="1">
        <f>VLOOKUP(B1211,'old-aw-skill-plan'!A:I,7,FALSE)</f>
        <v>5</v>
      </c>
      <c r="H1211" s="1" t="str">
        <f>VLOOKUP(B1211,'old-aw-skill-plan'!A:I,9,FALSE)</f>
        <v>5-10</v>
      </c>
    </row>
    <row r="1212" ht="15.75" customHeight="1">
      <c r="A1212" s="1" t="s">
        <v>52</v>
      </c>
      <c r="B1212" s="1" t="s">
        <v>28</v>
      </c>
      <c r="C1212" s="1" t="s">
        <v>11</v>
      </c>
      <c r="D1212" s="5">
        <v>45616.0</v>
      </c>
      <c r="G1212" s="1">
        <f>VLOOKUP(B1212,'old-aw-skill-plan'!A:I,7,FALSE)</f>
        <v>3</v>
      </c>
      <c r="H1212" s="1" t="str">
        <f>VLOOKUP(B1212,'old-aw-skill-plan'!A:I,9,FALSE)</f>
        <v>3-4</v>
      </c>
    </row>
    <row r="1213" ht="15.75" customHeight="1">
      <c r="A1213" s="1" t="s">
        <v>60</v>
      </c>
      <c r="B1213" s="1" t="s">
        <v>104</v>
      </c>
      <c r="C1213" s="1" t="s">
        <v>11</v>
      </c>
      <c r="D1213" s="5">
        <v>45616.0</v>
      </c>
      <c r="G1213" s="1">
        <f>VLOOKUP(B1213,'old-aw-skill-plan'!A:I,7,FALSE)</f>
        <v>5</v>
      </c>
      <c r="H1213" s="1" t="str">
        <f>VLOOKUP(B1213,'old-aw-skill-plan'!A:I,9,FALSE)</f>
        <v>5-2</v>
      </c>
    </row>
    <row r="1214" ht="15.75" customHeight="1">
      <c r="A1214" s="1" t="s">
        <v>63</v>
      </c>
      <c r="B1214" s="1" t="s">
        <v>85</v>
      </c>
      <c r="C1214" s="1" t="s">
        <v>11</v>
      </c>
      <c r="D1214" s="5">
        <v>45616.0</v>
      </c>
      <c r="G1214" s="1">
        <f>VLOOKUP(B1214,'old-aw-skill-plan'!A:I,7,FALSE)</f>
        <v>5</v>
      </c>
      <c r="H1214" s="1" t="str">
        <f>VLOOKUP(B1214,'old-aw-skill-plan'!A:I,9,FALSE)</f>
        <v>5-8</v>
      </c>
    </row>
    <row r="1215" ht="15.75" customHeight="1">
      <c r="A1215" s="1" t="s">
        <v>183</v>
      </c>
      <c r="B1215" s="1" t="s">
        <v>129</v>
      </c>
      <c r="C1215" s="1" t="s">
        <v>11</v>
      </c>
      <c r="D1215" s="5">
        <v>45616.0</v>
      </c>
      <c r="G1215" s="1">
        <f>VLOOKUP(B1215,'old-aw-skill-plan'!A:I,7,FALSE)</f>
        <v>8</v>
      </c>
      <c r="H1215" s="1" t="str">
        <f>VLOOKUP(B1215,'old-aw-skill-plan'!A:I,9,FALSE)</f>
        <v>8-4</v>
      </c>
    </row>
    <row r="1216" ht="15.75" customHeight="1">
      <c r="A1216" s="1" t="s">
        <v>68</v>
      </c>
      <c r="B1216" s="1" t="s">
        <v>48</v>
      </c>
      <c r="C1216" s="1" t="s">
        <v>11</v>
      </c>
      <c r="D1216" s="5">
        <v>45616.0</v>
      </c>
      <c r="G1216" s="1">
        <f>VLOOKUP(B1216,'old-aw-skill-plan'!A:I,7,FALSE)</f>
        <v>3</v>
      </c>
      <c r="H1216" s="1" t="str">
        <f>VLOOKUP(B1216,'old-aw-skill-plan'!A:I,9,FALSE)</f>
        <v>3-6</v>
      </c>
    </row>
    <row r="1217" ht="15.75" customHeight="1">
      <c r="A1217" s="1" t="s">
        <v>75</v>
      </c>
      <c r="B1217" s="1" t="s">
        <v>136</v>
      </c>
      <c r="C1217" s="1" t="s">
        <v>11</v>
      </c>
      <c r="D1217" s="5">
        <v>45616.0</v>
      </c>
      <c r="G1217" s="1">
        <f>VLOOKUP(B1217,'old-aw-skill-plan'!A:I,7,FALSE)</f>
        <v>6</v>
      </c>
      <c r="H1217" s="1" t="str">
        <f>VLOOKUP(B1217,'old-aw-skill-plan'!A:I,9,FALSE)</f>
        <v>6-4</v>
      </c>
    </row>
    <row r="1218" ht="15.75" customHeight="1">
      <c r="A1218" s="1" t="s">
        <v>100</v>
      </c>
      <c r="B1218" s="1" t="s">
        <v>340</v>
      </c>
      <c r="C1218" s="1" t="s">
        <v>11</v>
      </c>
      <c r="D1218" s="5">
        <v>45616.0</v>
      </c>
      <c r="G1218" s="1" t="str">
        <f>VLOOKUP(B1218,'old-aw-skill-plan'!A:I,7,FALSE)</f>
        <v>#N/A</v>
      </c>
      <c r="H1218" s="1" t="str">
        <f>VLOOKUP(B1218,'old-aw-skill-plan'!A:I,9,FALSE)</f>
        <v>#N/A</v>
      </c>
    </row>
    <row r="1219" ht="15.75" customHeight="1">
      <c r="A1219" s="1" t="s">
        <v>82</v>
      </c>
      <c r="B1219" s="1" t="s">
        <v>115</v>
      </c>
      <c r="C1219" s="1" t="s">
        <v>11</v>
      </c>
      <c r="D1219" s="5">
        <v>45616.0</v>
      </c>
      <c r="G1219" s="1">
        <f>VLOOKUP(B1219,'old-aw-skill-plan'!A:I,7,FALSE)</f>
        <v>3</v>
      </c>
      <c r="H1219" s="1" t="str">
        <f>VLOOKUP(B1219,'old-aw-skill-plan'!A:I,9,FALSE)</f>
        <v>3-10</v>
      </c>
    </row>
    <row r="1220" ht="15.75" customHeight="1">
      <c r="A1220" s="1" t="s">
        <v>326</v>
      </c>
      <c r="B1220" s="1" t="s">
        <v>314</v>
      </c>
      <c r="C1220" s="1" t="s">
        <v>11</v>
      </c>
      <c r="D1220" s="5">
        <v>45616.0</v>
      </c>
      <c r="G1220" s="1">
        <f>VLOOKUP(B1220,'old-aw-skill-plan'!A:I,7,FALSE)</f>
        <v>5</v>
      </c>
      <c r="H1220" s="1" t="str">
        <f>VLOOKUP(B1220,'old-aw-skill-plan'!A:I,9,FALSE)</f>
        <v>5-10</v>
      </c>
    </row>
    <row r="1221" ht="15.75" customHeight="1">
      <c r="A1221" s="1" t="s">
        <v>326</v>
      </c>
      <c r="B1221" s="1" t="s">
        <v>83</v>
      </c>
      <c r="C1221" s="1" t="s">
        <v>11</v>
      </c>
      <c r="D1221" s="5">
        <v>45616.0</v>
      </c>
      <c r="G1221" s="1">
        <f>VLOOKUP(B1221,'old-aw-skill-plan'!A:I,7,FALSE)</f>
        <v>5</v>
      </c>
      <c r="H1221" s="1" t="str">
        <f>VLOOKUP(B1221,'old-aw-skill-plan'!A:I,9,FALSE)</f>
        <v>5-9</v>
      </c>
    </row>
    <row r="1222" ht="15.75" customHeight="1">
      <c r="A1222" s="1" t="s">
        <v>22</v>
      </c>
      <c r="B1222" s="1" t="s">
        <v>44</v>
      </c>
      <c r="C1222" s="1" t="s">
        <v>11</v>
      </c>
      <c r="D1222" s="5">
        <v>45615.0</v>
      </c>
      <c r="G1222" s="1">
        <f>VLOOKUP(B1222,'old-aw-skill-plan'!A:I,7,FALSE)</f>
        <v>5</v>
      </c>
      <c r="H1222" s="1" t="str">
        <f>VLOOKUP(B1222,'old-aw-skill-plan'!A:I,9,FALSE)</f>
        <v>5-1</v>
      </c>
    </row>
    <row r="1223" ht="15.75" customHeight="1">
      <c r="A1223" s="1" t="s">
        <v>18</v>
      </c>
      <c r="B1223" s="1" t="s">
        <v>34</v>
      </c>
      <c r="C1223" s="1" t="s">
        <v>11</v>
      </c>
      <c r="D1223" s="5">
        <v>45615.0</v>
      </c>
      <c r="G1223" s="1">
        <f>VLOOKUP(B1223,'old-aw-skill-plan'!A:I,7,FALSE)</f>
        <v>4</v>
      </c>
      <c r="H1223" s="1" t="str">
        <f>VLOOKUP(B1223,'old-aw-skill-plan'!A:I,9,FALSE)</f>
        <v>4-1</v>
      </c>
    </row>
    <row r="1224" ht="15.75" customHeight="1">
      <c r="A1224" s="1" t="s">
        <v>52</v>
      </c>
      <c r="B1224" s="1" t="s">
        <v>28</v>
      </c>
      <c r="C1224" s="1" t="s">
        <v>11</v>
      </c>
      <c r="D1224" s="5">
        <v>45615.0</v>
      </c>
      <c r="G1224" s="1">
        <f>VLOOKUP(B1224,'old-aw-skill-plan'!A:I,7,FALSE)</f>
        <v>3</v>
      </c>
      <c r="H1224" s="1" t="str">
        <f>VLOOKUP(B1224,'old-aw-skill-plan'!A:I,9,FALSE)</f>
        <v>3-4</v>
      </c>
    </row>
    <row r="1225" ht="15.75" customHeight="1">
      <c r="A1225" s="1" t="s">
        <v>32</v>
      </c>
      <c r="B1225" s="1" t="s">
        <v>10</v>
      </c>
      <c r="C1225" s="1" t="s">
        <v>11</v>
      </c>
      <c r="D1225" s="5">
        <v>45615.0</v>
      </c>
      <c r="G1225" s="1">
        <f>VLOOKUP(B1225,'old-aw-skill-plan'!A:I,7,FALSE)</f>
        <v>3</v>
      </c>
      <c r="H1225" s="1" t="str">
        <f>VLOOKUP(B1225,'old-aw-skill-plan'!A:I,9,FALSE)</f>
        <v>3-1</v>
      </c>
    </row>
    <row r="1226" ht="15.75" customHeight="1">
      <c r="A1226" s="1" t="s">
        <v>60</v>
      </c>
      <c r="B1226" s="1" t="s">
        <v>104</v>
      </c>
      <c r="C1226" s="1" t="s">
        <v>11</v>
      </c>
      <c r="D1226" s="5">
        <v>45615.0</v>
      </c>
      <c r="G1226" s="1">
        <f>VLOOKUP(B1226,'old-aw-skill-plan'!A:I,7,FALSE)</f>
        <v>5</v>
      </c>
      <c r="H1226" s="1" t="str">
        <f>VLOOKUP(B1226,'old-aw-skill-plan'!A:I,9,FALSE)</f>
        <v>5-2</v>
      </c>
    </row>
    <row r="1227" ht="15.75" customHeight="1">
      <c r="A1227" s="1" t="s">
        <v>63</v>
      </c>
      <c r="B1227" s="1" t="s">
        <v>85</v>
      </c>
      <c r="C1227" s="1" t="s">
        <v>11</v>
      </c>
      <c r="D1227" s="5">
        <v>45615.0</v>
      </c>
      <c r="G1227" s="1">
        <f>VLOOKUP(B1227,'old-aw-skill-plan'!A:I,7,FALSE)</f>
        <v>5</v>
      </c>
      <c r="H1227" s="1" t="str">
        <f>VLOOKUP(B1227,'old-aw-skill-plan'!A:I,9,FALSE)</f>
        <v>5-8</v>
      </c>
    </row>
    <row r="1228" ht="15.75" customHeight="1">
      <c r="A1228" s="1" t="s">
        <v>183</v>
      </c>
      <c r="B1228" s="1" t="s">
        <v>129</v>
      </c>
      <c r="C1228" s="1" t="s">
        <v>11</v>
      </c>
      <c r="D1228" s="5">
        <v>45615.0</v>
      </c>
      <c r="G1228" s="1">
        <f>VLOOKUP(B1228,'old-aw-skill-plan'!A:I,7,FALSE)</f>
        <v>8</v>
      </c>
      <c r="H1228" s="1" t="str">
        <f>VLOOKUP(B1228,'old-aw-skill-plan'!A:I,9,FALSE)</f>
        <v>8-4</v>
      </c>
    </row>
    <row r="1229" ht="15.75" customHeight="1">
      <c r="A1229" s="1" t="s">
        <v>183</v>
      </c>
      <c r="B1229" s="1" t="s">
        <v>345</v>
      </c>
      <c r="C1229" s="1" t="s">
        <v>11</v>
      </c>
      <c r="D1229" s="5">
        <v>45615.0</v>
      </c>
      <c r="G1229" s="1">
        <f>VLOOKUP(B1229,'old-aw-skill-plan'!A:I,7,FALSE)</f>
        <v>8</v>
      </c>
      <c r="H1229" s="1" t="str">
        <f>VLOOKUP(B1229,'old-aw-skill-plan'!A:I,9,FALSE)</f>
        <v>8-3</v>
      </c>
    </row>
    <row r="1230" ht="15.75" customHeight="1">
      <c r="A1230" s="1" t="s">
        <v>74</v>
      </c>
      <c r="B1230" s="1" t="s">
        <v>104</v>
      </c>
      <c r="C1230" s="1" t="s">
        <v>11</v>
      </c>
      <c r="D1230" s="5">
        <v>45615.0</v>
      </c>
      <c r="G1230" s="1">
        <f>VLOOKUP(B1230,'old-aw-skill-plan'!A:I,7,FALSE)</f>
        <v>5</v>
      </c>
      <c r="H1230" s="1" t="str">
        <f>VLOOKUP(B1230,'old-aw-skill-plan'!A:I,9,FALSE)</f>
        <v>5-2</v>
      </c>
    </row>
    <row r="1231" ht="15.75" customHeight="1">
      <c r="A1231" s="1" t="s">
        <v>205</v>
      </c>
      <c r="B1231" s="1" t="s">
        <v>83</v>
      </c>
      <c r="C1231" s="1" t="s">
        <v>11</v>
      </c>
      <c r="D1231" s="5">
        <v>45615.0</v>
      </c>
      <c r="G1231" s="1">
        <f>VLOOKUP(B1231,'old-aw-skill-plan'!A:I,7,FALSE)</f>
        <v>5</v>
      </c>
      <c r="H1231" s="1" t="str">
        <f>VLOOKUP(B1231,'old-aw-skill-plan'!A:I,9,FALSE)</f>
        <v>5-9</v>
      </c>
    </row>
    <row r="1232" ht="15.75" customHeight="1">
      <c r="A1232" s="1" t="s">
        <v>75</v>
      </c>
      <c r="B1232" s="1" t="s">
        <v>136</v>
      </c>
      <c r="C1232" s="1" t="s">
        <v>11</v>
      </c>
      <c r="D1232" s="5">
        <v>45615.0</v>
      </c>
      <c r="G1232" s="1">
        <f>VLOOKUP(B1232,'old-aw-skill-plan'!A:I,7,FALSE)</f>
        <v>6</v>
      </c>
      <c r="H1232" s="1" t="str">
        <f>VLOOKUP(B1232,'old-aw-skill-plan'!A:I,9,FALSE)</f>
        <v>6-4</v>
      </c>
    </row>
    <row r="1233" ht="15.75" customHeight="1">
      <c r="A1233" s="1" t="s">
        <v>22</v>
      </c>
      <c r="B1233" s="1" t="s">
        <v>44</v>
      </c>
      <c r="C1233" s="1" t="s">
        <v>11</v>
      </c>
      <c r="D1233" s="5">
        <v>45614.0</v>
      </c>
      <c r="G1233" s="1">
        <f>VLOOKUP(B1233,'old-aw-skill-plan'!A:I,7,FALSE)</f>
        <v>5</v>
      </c>
      <c r="H1233" s="1" t="str">
        <f>VLOOKUP(B1233,'old-aw-skill-plan'!A:I,9,FALSE)</f>
        <v>5-1</v>
      </c>
    </row>
    <row r="1234" ht="15.75" customHeight="1">
      <c r="A1234" s="1" t="s">
        <v>24</v>
      </c>
      <c r="B1234" s="1" t="s">
        <v>314</v>
      </c>
      <c r="C1234" s="1" t="s">
        <v>11</v>
      </c>
      <c r="D1234" s="5">
        <v>45614.0</v>
      </c>
      <c r="G1234" s="1">
        <f>VLOOKUP(B1234,'old-aw-skill-plan'!A:I,7,FALSE)</f>
        <v>5</v>
      </c>
      <c r="H1234" s="1" t="str">
        <f>VLOOKUP(B1234,'old-aw-skill-plan'!A:I,9,FALSE)</f>
        <v>5-10</v>
      </c>
    </row>
    <row r="1235" ht="15.75" customHeight="1">
      <c r="A1235" s="1" t="s">
        <v>52</v>
      </c>
      <c r="B1235" s="1" t="s">
        <v>28</v>
      </c>
      <c r="C1235" s="1" t="s">
        <v>11</v>
      </c>
      <c r="D1235" s="5">
        <v>45614.0</v>
      </c>
      <c r="G1235" s="1">
        <f>VLOOKUP(B1235,'old-aw-skill-plan'!A:I,7,FALSE)</f>
        <v>3</v>
      </c>
      <c r="H1235" s="1" t="str">
        <f>VLOOKUP(B1235,'old-aw-skill-plan'!A:I,9,FALSE)</f>
        <v>3-4</v>
      </c>
    </row>
    <row r="1236" ht="15.75" customHeight="1">
      <c r="A1236" s="1" t="s">
        <v>63</v>
      </c>
      <c r="B1236" s="1" t="s">
        <v>85</v>
      </c>
      <c r="C1236" s="1" t="s">
        <v>11</v>
      </c>
      <c r="D1236" s="5">
        <v>45614.0</v>
      </c>
      <c r="G1236" s="1">
        <f>VLOOKUP(B1236,'old-aw-skill-plan'!A:I,7,FALSE)</f>
        <v>5</v>
      </c>
      <c r="H1236" s="1" t="str">
        <f>VLOOKUP(B1236,'old-aw-skill-plan'!A:I,9,FALSE)</f>
        <v>5-8</v>
      </c>
    </row>
    <row r="1237" ht="15.75" customHeight="1">
      <c r="A1237" s="1" t="s">
        <v>183</v>
      </c>
      <c r="B1237" s="1" t="s">
        <v>327</v>
      </c>
      <c r="C1237" s="1" t="s">
        <v>11</v>
      </c>
      <c r="D1237" s="5">
        <v>45614.0</v>
      </c>
      <c r="G1237" s="1">
        <f>VLOOKUP(B1237,'old-aw-skill-plan'!A:I,7,FALSE)</f>
        <v>8</v>
      </c>
      <c r="H1237" s="1" t="str">
        <f>VLOOKUP(B1237,'old-aw-skill-plan'!A:I,9,FALSE)</f>
        <v>8-2</v>
      </c>
    </row>
    <row r="1238" ht="15.75" customHeight="1">
      <c r="A1238" s="1" t="s">
        <v>183</v>
      </c>
      <c r="B1238" s="1" t="s">
        <v>345</v>
      </c>
      <c r="C1238" s="1" t="s">
        <v>11</v>
      </c>
      <c r="D1238" s="5">
        <v>45614.0</v>
      </c>
      <c r="G1238" s="1">
        <f>VLOOKUP(B1238,'old-aw-skill-plan'!A:I,7,FALSE)</f>
        <v>8</v>
      </c>
      <c r="H1238" s="1" t="str">
        <f>VLOOKUP(B1238,'old-aw-skill-plan'!A:I,9,FALSE)</f>
        <v>8-3</v>
      </c>
    </row>
    <row r="1239" ht="15.75" customHeight="1">
      <c r="A1239" s="1" t="s">
        <v>68</v>
      </c>
      <c r="B1239" s="1" t="s">
        <v>48</v>
      </c>
      <c r="C1239" s="1" t="s">
        <v>11</v>
      </c>
      <c r="D1239" s="5">
        <v>45614.0</v>
      </c>
      <c r="G1239" s="1">
        <f>VLOOKUP(B1239,'old-aw-skill-plan'!A:I,7,FALSE)</f>
        <v>3</v>
      </c>
      <c r="H1239" s="1" t="str">
        <f>VLOOKUP(B1239,'old-aw-skill-plan'!A:I,9,FALSE)</f>
        <v>3-6</v>
      </c>
    </row>
    <row r="1240" ht="15.75" customHeight="1">
      <c r="A1240" s="1" t="s">
        <v>68</v>
      </c>
      <c r="B1240" s="1" t="s">
        <v>33</v>
      </c>
      <c r="C1240" s="1" t="s">
        <v>11</v>
      </c>
      <c r="D1240" s="5">
        <v>45614.0</v>
      </c>
      <c r="G1240" s="1">
        <f>VLOOKUP(B1240,'old-aw-skill-plan'!A:I,7,FALSE)</f>
        <v>3</v>
      </c>
      <c r="H1240" s="1" t="str">
        <f>VLOOKUP(B1240,'old-aw-skill-plan'!A:I,9,FALSE)</f>
        <v>3-5</v>
      </c>
    </row>
    <row r="1241" ht="15.75" customHeight="1">
      <c r="A1241" s="1" t="s">
        <v>95</v>
      </c>
      <c r="B1241" s="1" t="s">
        <v>28</v>
      </c>
      <c r="C1241" s="1" t="s">
        <v>11</v>
      </c>
      <c r="D1241" s="5">
        <v>45614.0</v>
      </c>
      <c r="G1241" s="1">
        <f>VLOOKUP(B1241,'old-aw-skill-plan'!A:I,7,FALSE)</f>
        <v>3</v>
      </c>
      <c r="H1241" s="1" t="str">
        <f>VLOOKUP(B1241,'old-aw-skill-plan'!A:I,9,FALSE)</f>
        <v>3-4</v>
      </c>
    </row>
    <row r="1242" ht="15.75" customHeight="1">
      <c r="A1242" s="1" t="s">
        <v>75</v>
      </c>
      <c r="B1242" s="1" t="s">
        <v>136</v>
      </c>
      <c r="C1242" s="1" t="s">
        <v>11</v>
      </c>
      <c r="D1242" s="5">
        <v>45614.0</v>
      </c>
      <c r="G1242" s="1">
        <f>VLOOKUP(B1242,'old-aw-skill-plan'!A:I,7,FALSE)</f>
        <v>6</v>
      </c>
      <c r="H1242" s="1" t="str">
        <f>VLOOKUP(B1242,'old-aw-skill-plan'!A:I,9,FALSE)</f>
        <v>6-4</v>
      </c>
    </row>
    <row r="1243" ht="15.75" customHeight="1">
      <c r="A1243" s="1" t="s">
        <v>100</v>
      </c>
      <c r="B1243" s="1" t="s">
        <v>340</v>
      </c>
      <c r="C1243" s="1" t="s">
        <v>11</v>
      </c>
      <c r="D1243" s="5">
        <v>45614.0</v>
      </c>
      <c r="G1243" s="1" t="str">
        <f>VLOOKUP(B1243,'old-aw-skill-plan'!A:I,7,FALSE)</f>
        <v>#N/A</v>
      </c>
      <c r="H1243" s="1" t="str">
        <f>VLOOKUP(B1243,'old-aw-skill-plan'!A:I,9,FALSE)</f>
        <v>#N/A</v>
      </c>
    </row>
    <row r="1244" ht="15.75" customHeight="1">
      <c r="A1244" s="1" t="s">
        <v>82</v>
      </c>
      <c r="B1244" s="1" t="s">
        <v>115</v>
      </c>
      <c r="C1244" s="1" t="s">
        <v>11</v>
      </c>
      <c r="D1244" s="5">
        <v>45614.0</v>
      </c>
      <c r="G1244" s="1">
        <f>VLOOKUP(B1244,'old-aw-skill-plan'!A:I,7,FALSE)</f>
        <v>3</v>
      </c>
      <c r="H1244" s="1" t="str">
        <f>VLOOKUP(B1244,'old-aw-skill-plan'!A:I,9,FALSE)</f>
        <v>3-10</v>
      </c>
    </row>
    <row r="1245" ht="15.75" customHeight="1">
      <c r="A1245" s="1" t="s">
        <v>326</v>
      </c>
      <c r="B1245" s="1" t="s">
        <v>85</v>
      </c>
      <c r="C1245" s="1" t="s">
        <v>11</v>
      </c>
      <c r="D1245" s="5">
        <v>45614.0</v>
      </c>
      <c r="G1245" s="1">
        <f>VLOOKUP(B1245,'old-aw-skill-plan'!A:I,7,FALSE)</f>
        <v>5</v>
      </c>
      <c r="H1245" s="1" t="str">
        <f>VLOOKUP(B1245,'old-aw-skill-plan'!A:I,9,FALSE)</f>
        <v>5-8</v>
      </c>
    </row>
    <row r="1246" ht="15.75" customHeight="1">
      <c r="A1246" s="1" t="s">
        <v>183</v>
      </c>
      <c r="B1246" s="1" t="s">
        <v>327</v>
      </c>
      <c r="C1246" s="1" t="s">
        <v>11</v>
      </c>
      <c r="D1246" s="5">
        <v>45612.0</v>
      </c>
      <c r="G1246" s="1">
        <f>VLOOKUP(B1246,'old-aw-skill-plan'!A:I,7,FALSE)</f>
        <v>8</v>
      </c>
      <c r="H1246" s="1" t="str">
        <f>VLOOKUP(B1246,'old-aw-skill-plan'!A:I,9,FALSE)</f>
        <v>8-2</v>
      </c>
    </row>
    <row r="1247" ht="15.75" customHeight="1">
      <c r="A1247" s="1" t="s">
        <v>60</v>
      </c>
      <c r="B1247" s="1" t="s">
        <v>104</v>
      </c>
      <c r="C1247" s="1" t="s">
        <v>11</v>
      </c>
      <c r="D1247" s="5">
        <v>45611.0</v>
      </c>
      <c r="G1247" s="1">
        <f>VLOOKUP(B1247,'old-aw-skill-plan'!A:I,7,FALSE)</f>
        <v>5</v>
      </c>
      <c r="H1247" s="1" t="str">
        <f>VLOOKUP(B1247,'old-aw-skill-plan'!A:I,9,FALSE)</f>
        <v>5-2</v>
      </c>
    </row>
    <row r="1248" ht="15.75" customHeight="1">
      <c r="A1248" s="1" t="s">
        <v>63</v>
      </c>
      <c r="B1248" s="1" t="s">
        <v>85</v>
      </c>
      <c r="C1248" s="1" t="s">
        <v>11</v>
      </c>
      <c r="D1248" s="5">
        <v>45611.0</v>
      </c>
      <c r="G1248" s="1">
        <f>VLOOKUP(B1248,'old-aw-skill-plan'!A:I,7,FALSE)</f>
        <v>5</v>
      </c>
      <c r="H1248" s="1" t="str">
        <f>VLOOKUP(B1248,'old-aw-skill-plan'!A:I,9,FALSE)</f>
        <v>5-8</v>
      </c>
    </row>
    <row r="1249" ht="15.75" customHeight="1">
      <c r="A1249" s="1" t="s">
        <v>214</v>
      </c>
      <c r="B1249" s="1" t="s">
        <v>129</v>
      </c>
      <c r="C1249" s="1" t="s">
        <v>11</v>
      </c>
      <c r="D1249" s="5">
        <v>45611.0</v>
      </c>
      <c r="G1249" s="1">
        <f>VLOOKUP(B1249,'old-aw-skill-plan'!A:I,7,FALSE)</f>
        <v>8</v>
      </c>
      <c r="H1249" s="1" t="str">
        <f>VLOOKUP(B1249,'old-aw-skill-plan'!A:I,9,FALSE)</f>
        <v>8-4</v>
      </c>
    </row>
    <row r="1250" ht="15.75" customHeight="1">
      <c r="A1250" s="1" t="s">
        <v>74</v>
      </c>
      <c r="B1250" s="1" t="s">
        <v>104</v>
      </c>
      <c r="C1250" s="1" t="s">
        <v>11</v>
      </c>
      <c r="D1250" s="5">
        <v>45611.0</v>
      </c>
      <c r="G1250" s="1">
        <f>VLOOKUP(B1250,'old-aw-skill-plan'!A:I,7,FALSE)</f>
        <v>5</v>
      </c>
      <c r="H1250" s="1" t="str">
        <f>VLOOKUP(B1250,'old-aw-skill-plan'!A:I,9,FALSE)</f>
        <v>5-2</v>
      </c>
    </row>
    <row r="1251" ht="15.75" customHeight="1">
      <c r="A1251" s="1" t="s">
        <v>75</v>
      </c>
      <c r="B1251" s="1" t="s">
        <v>136</v>
      </c>
      <c r="C1251" s="1" t="s">
        <v>11</v>
      </c>
      <c r="D1251" s="5">
        <v>45611.0</v>
      </c>
      <c r="G1251" s="1">
        <f>VLOOKUP(B1251,'old-aw-skill-plan'!A:I,7,FALSE)</f>
        <v>6</v>
      </c>
      <c r="H1251" s="1" t="str">
        <f>VLOOKUP(B1251,'old-aw-skill-plan'!A:I,9,FALSE)</f>
        <v>6-4</v>
      </c>
    </row>
    <row r="1252" ht="15.75" customHeight="1">
      <c r="A1252" s="1" t="s">
        <v>82</v>
      </c>
      <c r="B1252" s="1" t="s">
        <v>115</v>
      </c>
      <c r="C1252" s="1" t="s">
        <v>11</v>
      </c>
      <c r="D1252" s="5">
        <v>45611.0</v>
      </c>
      <c r="G1252" s="1">
        <f>VLOOKUP(B1252,'old-aw-skill-plan'!A:I,7,FALSE)</f>
        <v>3</v>
      </c>
      <c r="H1252" s="1" t="str">
        <f>VLOOKUP(B1252,'old-aw-skill-plan'!A:I,9,FALSE)</f>
        <v>3-10</v>
      </c>
    </row>
    <row r="1253" ht="15.75" customHeight="1">
      <c r="A1253" s="1" t="s">
        <v>24</v>
      </c>
      <c r="B1253" s="1" t="s">
        <v>314</v>
      </c>
      <c r="C1253" s="1" t="s">
        <v>11</v>
      </c>
      <c r="D1253" s="5">
        <v>45610.0</v>
      </c>
      <c r="G1253" s="1">
        <f>VLOOKUP(B1253,'old-aw-skill-plan'!A:I,7,FALSE)</f>
        <v>5</v>
      </c>
      <c r="H1253" s="1" t="str">
        <f>VLOOKUP(B1253,'old-aw-skill-plan'!A:I,9,FALSE)</f>
        <v>5-10</v>
      </c>
    </row>
    <row r="1254" ht="15.75" customHeight="1">
      <c r="A1254" s="1" t="s">
        <v>60</v>
      </c>
      <c r="B1254" s="1" t="s">
        <v>104</v>
      </c>
      <c r="C1254" s="1" t="s">
        <v>11</v>
      </c>
      <c r="D1254" s="5">
        <v>45610.0</v>
      </c>
      <c r="G1254" s="1">
        <f>VLOOKUP(B1254,'old-aw-skill-plan'!A:I,7,FALSE)</f>
        <v>5</v>
      </c>
      <c r="H1254" s="1" t="str">
        <f>VLOOKUP(B1254,'old-aw-skill-plan'!A:I,9,FALSE)</f>
        <v>5-2</v>
      </c>
    </row>
    <row r="1255" ht="15.75" customHeight="1">
      <c r="A1255" s="1" t="s">
        <v>63</v>
      </c>
      <c r="B1255" s="1" t="s">
        <v>85</v>
      </c>
      <c r="C1255" s="1" t="s">
        <v>11</v>
      </c>
      <c r="D1255" s="5">
        <v>45610.0</v>
      </c>
      <c r="G1255" s="1">
        <f>VLOOKUP(B1255,'old-aw-skill-plan'!A:I,7,FALSE)</f>
        <v>5</v>
      </c>
      <c r="H1255" s="1" t="str">
        <f>VLOOKUP(B1255,'old-aw-skill-plan'!A:I,9,FALSE)</f>
        <v>5-8</v>
      </c>
    </row>
    <row r="1256" ht="15.75" customHeight="1">
      <c r="A1256" s="1" t="s">
        <v>68</v>
      </c>
      <c r="B1256" s="1" t="s">
        <v>33</v>
      </c>
      <c r="C1256" s="1" t="s">
        <v>11</v>
      </c>
      <c r="D1256" s="5">
        <v>45610.0</v>
      </c>
      <c r="G1256" s="1">
        <f>VLOOKUP(B1256,'old-aw-skill-plan'!A:I,7,FALSE)</f>
        <v>3</v>
      </c>
      <c r="H1256" s="1" t="str">
        <f>VLOOKUP(B1256,'old-aw-skill-plan'!A:I,9,FALSE)</f>
        <v>3-5</v>
      </c>
    </row>
    <row r="1257" ht="15.75" customHeight="1">
      <c r="A1257" s="1" t="s">
        <v>74</v>
      </c>
      <c r="B1257" s="1" t="s">
        <v>104</v>
      </c>
      <c r="C1257" s="1" t="s">
        <v>11</v>
      </c>
      <c r="D1257" s="5">
        <v>45610.0</v>
      </c>
      <c r="G1257" s="1">
        <f>VLOOKUP(B1257,'old-aw-skill-plan'!A:I,7,FALSE)</f>
        <v>5</v>
      </c>
      <c r="H1257" s="1" t="str">
        <f>VLOOKUP(B1257,'old-aw-skill-plan'!A:I,9,FALSE)</f>
        <v>5-2</v>
      </c>
    </row>
    <row r="1258" ht="15.75" customHeight="1">
      <c r="A1258" s="1" t="s">
        <v>75</v>
      </c>
      <c r="B1258" s="1" t="s">
        <v>136</v>
      </c>
      <c r="C1258" s="1" t="s">
        <v>11</v>
      </c>
      <c r="D1258" s="5">
        <v>45610.0</v>
      </c>
      <c r="G1258" s="1">
        <f>VLOOKUP(B1258,'old-aw-skill-plan'!A:I,7,FALSE)</f>
        <v>6</v>
      </c>
      <c r="H1258" s="1" t="str">
        <f>VLOOKUP(B1258,'old-aw-skill-plan'!A:I,9,FALSE)</f>
        <v>6-4</v>
      </c>
    </row>
    <row r="1259" ht="15.75" customHeight="1">
      <c r="A1259" s="1" t="s">
        <v>82</v>
      </c>
      <c r="B1259" s="1" t="s">
        <v>115</v>
      </c>
      <c r="C1259" s="1" t="s">
        <v>11</v>
      </c>
      <c r="D1259" s="5">
        <v>45610.0</v>
      </c>
      <c r="G1259" s="1">
        <f>VLOOKUP(B1259,'old-aw-skill-plan'!A:I,7,FALSE)</f>
        <v>3</v>
      </c>
      <c r="H1259" s="1" t="str">
        <f>VLOOKUP(B1259,'old-aw-skill-plan'!A:I,9,FALSE)</f>
        <v>3-10</v>
      </c>
    </row>
    <row r="1260" ht="15.75" customHeight="1">
      <c r="A1260" s="1" t="s">
        <v>326</v>
      </c>
      <c r="B1260" s="1" t="s">
        <v>85</v>
      </c>
      <c r="C1260" s="1" t="s">
        <v>11</v>
      </c>
      <c r="D1260" s="5">
        <v>45610.0</v>
      </c>
      <c r="G1260" s="1">
        <f>VLOOKUP(B1260,'old-aw-skill-plan'!A:I,7,FALSE)</f>
        <v>5</v>
      </c>
      <c r="H1260" s="1" t="str">
        <f>VLOOKUP(B1260,'old-aw-skill-plan'!A:I,9,FALSE)</f>
        <v>5-8</v>
      </c>
    </row>
    <row r="1261" ht="15.75" customHeight="1">
      <c r="A1261" s="1" t="s">
        <v>24</v>
      </c>
      <c r="B1261" s="1" t="s">
        <v>314</v>
      </c>
      <c r="C1261" s="1" t="s">
        <v>11</v>
      </c>
      <c r="D1261" s="5">
        <v>45609.0</v>
      </c>
      <c r="G1261" s="1">
        <f>VLOOKUP(B1261,'old-aw-skill-plan'!A:I,7,FALSE)</f>
        <v>5</v>
      </c>
      <c r="H1261" s="1" t="str">
        <f>VLOOKUP(B1261,'old-aw-skill-plan'!A:I,9,FALSE)</f>
        <v>5-10</v>
      </c>
    </row>
    <row r="1262" ht="15.75" customHeight="1">
      <c r="A1262" s="1" t="s">
        <v>50</v>
      </c>
      <c r="B1262" s="1" t="s">
        <v>44</v>
      </c>
      <c r="C1262" s="1" t="s">
        <v>11</v>
      </c>
      <c r="D1262" s="5">
        <v>45609.0</v>
      </c>
      <c r="G1262" s="1">
        <f>VLOOKUP(B1262,'old-aw-skill-plan'!A:I,7,FALSE)</f>
        <v>5</v>
      </c>
      <c r="H1262" s="1" t="str">
        <f>VLOOKUP(B1262,'old-aw-skill-plan'!A:I,9,FALSE)</f>
        <v>5-1</v>
      </c>
    </row>
    <row r="1263" ht="15.75" customHeight="1">
      <c r="A1263" s="1" t="s">
        <v>52</v>
      </c>
      <c r="B1263" s="1" t="s">
        <v>28</v>
      </c>
      <c r="C1263" s="1" t="s">
        <v>11</v>
      </c>
      <c r="D1263" s="5">
        <v>45609.0</v>
      </c>
      <c r="G1263" s="1">
        <f>VLOOKUP(B1263,'old-aw-skill-plan'!A:I,7,FALSE)</f>
        <v>3</v>
      </c>
      <c r="H1263" s="1" t="str">
        <f>VLOOKUP(B1263,'old-aw-skill-plan'!A:I,9,FALSE)</f>
        <v>3-4</v>
      </c>
    </row>
    <row r="1264" ht="15.75" customHeight="1">
      <c r="A1264" s="1" t="s">
        <v>60</v>
      </c>
      <c r="B1264" s="1" t="s">
        <v>104</v>
      </c>
      <c r="C1264" s="1" t="s">
        <v>11</v>
      </c>
      <c r="D1264" s="5">
        <v>45609.0</v>
      </c>
      <c r="G1264" s="1">
        <f>VLOOKUP(B1264,'old-aw-skill-plan'!A:I,7,FALSE)</f>
        <v>5</v>
      </c>
      <c r="H1264" s="1" t="str">
        <f>VLOOKUP(B1264,'old-aw-skill-plan'!A:I,9,FALSE)</f>
        <v>5-2</v>
      </c>
    </row>
    <row r="1265" ht="15.75" customHeight="1">
      <c r="A1265" s="1" t="s">
        <v>63</v>
      </c>
      <c r="B1265" s="1" t="s">
        <v>85</v>
      </c>
      <c r="C1265" s="1" t="s">
        <v>11</v>
      </c>
      <c r="D1265" s="5">
        <v>45609.0</v>
      </c>
      <c r="G1265" s="1">
        <f>VLOOKUP(B1265,'old-aw-skill-plan'!A:I,7,FALSE)</f>
        <v>5</v>
      </c>
      <c r="H1265" s="1" t="str">
        <f>VLOOKUP(B1265,'old-aw-skill-plan'!A:I,9,FALSE)</f>
        <v>5-8</v>
      </c>
    </row>
    <row r="1266" ht="15.75" customHeight="1">
      <c r="A1266" s="1" t="s">
        <v>68</v>
      </c>
      <c r="B1266" s="1" t="s">
        <v>33</v>
      </c>
      <c r="C1266" s="1" t="s">
        <v>11</v>
      </c>
      <c r="D1266" s="5">
        <v>45609.0</v>
      </c>
      <c r="G1266" s="1">
        <f>VLOOKUP(B1266,'old-aw-skill-plan'!A:I,7,FALSE)</f>
        <v>3</v>
      </c>
      <c r="H1266" s="1" t="str">
        <f>VLOOKUP(B1266,'old-aw-skill-plan'!A:I,9,FALSE)</f>
        <v>3-5</v>
      </c>
    </row>
    <row r="1267" ht="15.75" customHeight="1">
      <c r="A1267" s="1" t="s">
        <v>214</v>
      </c>
      <c r="B1267" s="1" t="s">
        <v>129</v>
      </c>
      <c r="C1267" s="1" t="s">
        <v>11</v>
      </c>
      <c r="D1267" s="5">
        <v>45609.0</v>
      </c>
      <c r="G1267" s="1">
        <f>VLOOKUP(B1267,'old-aw-skill-plan'!A:I,7,FALSE)</f>
        <v>8</v>
      </c>
      <c r="H1267" s="1" t="str">
        <f>VLOOKUP(B1267,'old-aw-skill-plan'!A:I,9,FALSE)</f>
        <v>8-4</v>
      </c>
    </row>
    <row r="1268" ht="15.75" customHeight="1">
      <c r="A1268" s="1" t="s">
        <v>74</v>
      </c>
      <c r="B1268" s="1" t="s">
        <v>84</v>
      </c>
      <c r="C1268" s="1" t="s">
        <v>11</v>
      </c>
      <c r="D1268" s="5">
        <v>45609.0</v>
      </c>
      <c r="G1268" s="1">
        <f>VLOOKUP(B1268,'old-aw-skill-plan'!A:I,7,FALSE)</f>
        <v>5</v>
      </c>
      <c r="H1268" s="1" t="str">
        <f>VLOOKUP(B1268,'old-aw-skill-plan'!A:I,9,FALSE)</f>
        <v>5-7</v>
      </c>
    </row>
    <row r="1269" ht="15.75" customHeight="1">
      <c r="A1269" s="1" t="s">
        <v>74</v>
      </c>
      <c r="B1269" s="1" t="s">
        <v>327</v>
      </c>
      <c r="C1269" s="1" t="s">
        <v>11</v>
      </c>
      <c r="D1269" s="5">
        <v>45609.0</v>
      </c>
      <c r="G1269" s="1">
        <f>VLOOKUP(B1269,'old-aw-skill-plan'!A:I,7,FALSE)</f>
        <v>8</v>
      </c>
      <c r="H1269" s="1" t="str">
        <f>VLOOKUP(B1269,'old-aw-skill-plan'!A:I,9,FALSE)</f>
        <v>8-2</v>
      </c>
    </row>
    <row r="1270" ht="15.75" customHeight="1">
      <c r="A1270" s="1" t="s">
        <v>74</v>
      </c>
      <c r="B1270" s="1" t="s">
        <v>104</v>
      </c>
      <c r="C1270" s="1" t="s">
        <v>11</v>
      </c>
      <c r="D1270" s="5">
        <v>45609.0</v>
      </c>
      <c r="G1270" s="1">
        <f>VLOOKUP(B1270,'old-aw-skill-plan'!A:I,7,FALSE)</f>
        <v>5</v>
      </c>
      <c r="H1270" s="1" t="str">
        <f>VLOOKUP(B1270,'old-aw-skill-plan'!A:I,9,FALSE)</f>
        <v>5-2</v>
      </c>
    </row>
    <row r="1271" ht="15.75" customHeight="1">
      <c r="A1271" s="1" t="s">
        <v>74</v>
      </c>
      <c r="B1271" s="1" t="s">
        <v>87</v>
      </c>
      <c r="C1271" s="1" t="s">
        <v>11</v>
      </c>
      <c r="D1271" s="5">
        <v>45609.0</v>
      </c>
      <c r="G1271" s="1">
        <f>VLOOKUP(B1271,'old-aw-skill-plan'!A:I,7,FALSE)</f>
        <v>5</v>
      </c>
      <c r="H1271" s="1" t="str">
        <f>VLOOKUP(B1271,'old-aw-skill-plan'!A:I,9,FALSE)</f>
        <v>5-6</v>
      </c>
    </row>
    <row r="1272" ht="15.75" customHeight="1">
      <c r="A1272" s="1" t="s">
        <v>75</v>
      </c>
      <c r="B1272" s="1" t="s">
        <v>136</v>
      </c>
      <c r="C1272" s="1" t="s">
        <v>11</v>
      </c>
      <c r="D1272" s="5">
        <v>45609.0</v>
      </c>
      <c r="G1272" s="1">
        <f>VLOOKUP(B1272,'old-aw-skill-plan'!A:I,7,FALSE)</f>
        <v>6</v>
      </c>
      <c r="H1272" s="1" t="str">
        <f>VLOOKUP(B1272,'old-aw-skill-plan'!A:I,9,FALSE)</f>
        <v>6-4</v>
      </c>
    </row>
    <row r="1273" ht="15.75" customHeight="1">
      <c r="A1273" s="1" t="s">
        <v>326</v>
      </c>
      <c r="B1273" s="1" t="s">
        <v>85</v>
      </c>
      <c r="C1273" s="1" t="s">
        <v>11</v>
      </c>
      <c r="D1273" s="5">
        <v>45609.0</v>
      </c>
      <c r="G1273" s="1">
        <f>VLOOKUP(B1273,'old-aw-skill-plan'!A:I,7,FALSE)</f>
        <v>5</v>
      </c>
      <c r="H1273" s="1" t="str">
        <f>VLOOKUP(B1273,'old-aw-skill-plan'!A:I,9,FALSE)</f>
        <v>5-8</v>
      </c>
    </row>
    <row r="1274" ht="15.75" customHeight="1">
      <c r="A1274" s="1" t="s">
        <v>18</v>
      </c>
      <c r="B1274" s="1" t="s">
        <v>34</v>
      </c>
      <c r="C1274" s="1" t="s">
        <v>11</v>
      </c>
      <c r="D1274" s="5">
        <v>45608.0</v>
      </c>
      <c r="G1274" s="1">
        <f>VLOOKUP(B1274,'old-aw-skill-plan'!A:I,7,FALSE)</f>
        <v>4</v>
      </c>
      <c r="H1274" s="1" t="str">
        <f>VLOOKUP(B1274,'old-aw-skill-plan'!A:I,9,FALSE)</f>
        <v>4-1</v>
      </c>
    </row>
    <row r="1275" ht="15.75" customHeight="1">
      <c r="A1275" s="1" t="s">
        <v>52</v>
      </c>
      <c r="B1275" s="1" t="s">
        <v>28</v>
      </c>
      <c r="C1275" s="1" t="s">
        <v>11</v>
      </c>
      <c r="D1275" s="5">
        <v>45608.0</v>
      </c>
      <c r="G1275" s="1">
        <f>VLOOKUP(B1275,'old-aw-skill-plan'!A:I,7,FALSE)</f>
        <v>3</v>
      </c>
      <c r="H1275" s="1" t="str">
        <f>VLOOKUP(B1275,'old-aw-skill-plan'!A:I,9,FALSE)</f>
        <v>3-4</v>
      </c>
    </row>
    <row r="1276" ht="15.75" customHeight="1">
      <c r="A1276" s="1" t="s">
        <v>60</v>
      </c>
      <c r="B1276" s="1" t="s">
        <v>104</v>
      </c>
      <c r="C1276" s="1" t="s">
        <v>11</v>
      </c>
      <c r="D1276" s="5">
        <v>45608.0</v>
      </c>
      <c r="G1276" s="1">
        <f>VLOOKUP(B1276,'old-aw-skill-plan'!A:I,7,FALSE)</f>
        <v>5</v>
      </c>
      <c r="H1276" s="1" t="str">
        <f>VLOOKUP(B1276,'old-aw-skill-plan'!A:I,9,FALSE)</f>
        <v>5-2</v>
      </c>
    </row>
    <row r="1277" ht="15.75" customHeight="1">
      <c r="A1277" s="1" t="s">
        <v>63</v>
      </c>
      <c r="B1277" s="1" t="s">
        <v>85</v>
      </c>
      <c r="C1277" s="1" t="s">
        <v>11</v>
      </c>
      <c r="D1277" s="5">
        <v>45608.0</v>
      </c>
      <c r="G1277" s="1">
        <f>VLOOKUP(B1277,'old-aw-skill-plan'!A:I,7,FALSE)</f>
        <v>5</v>
      </c>
      <c r="H1277" s="1" t="str">
        <f>VLOOKUP(B1277,'old-aw-skill-plan'!A:I,9,FALSE)</f>
        <v>5-8</v>
      </c>
    </row>
    <row r="1278" ht="15.75" customHeight="1">
      <c r="A1278" s="1" t="s">
        <v>68</v>
      </c>
      <c r="B1278" s="1" t="s">
        <v>33</v>
      </c>
      <c r="C1278" s="1" t="s">
        <v>11</v>
      </c>
      <c r="D1278" s="5">
        <v>45608.0</v>
      </c>
      <c r="G1278" s="1">
        <f>VLOOKUP(B1278,'old-aw-skill-plan'!A:I,7,FALSE)</f>
        <v>3</v>
      </c>
      <c r="H1278" s="1" t="str">
        <f>VLOOKUP(B1278,'old-aw-skill-plan'!A:I,9,FALSE)</f>
        <v>3-5</v>
      </c>
    </row>
    <row r="1279" ht="15.75" customHeight="1">
      <c r="A1279" s="1" t="s">
        <v>74</v>
      </c>
      <c r="B1279" s="1" t="s">
        <v>25</v>
      </c>
      <c r="C1279" s="1" t="s">
        <v>11</v>
      </c>
      <c r="D1279" s="5">
        <v>45608.0</v>
      </c>
      <c r="G1279" s="1">
        <f>VLOOKUP(B1279,'old-aw-skill-plan'!A:I,7,FALSE)</f>
        <v>5</v>
      </c>
      <c r="H1279" s="1" t="str">
        <f>VLOOKUP(B1279,'old-aw-skill-plan'!A:I,9,FALSE)</f>
        <v>5-4</v>
      </c>
    </row>
    <row r="1280" ht="15.75" customHeight="1">
      <c r="A1280" s="1" t="s">
        <v>74</v>
      </c>
      <c r="B1280" s="1" t="s">
        <v>104</v>
      </c>
      <c r="C1280" s="1" t="s">
        <v>11</v>
      </c>
      <c r="D1280" s="5">
        <v>45608.0</v>
      </c>
      <c r="G1280" s="1">
        <f>VLOOKUP(B1280,'old-aw-skill-plan'!A:I,7,FALSE)</f>
        <v>5</v>
      </c>
      <c r="H1280" s="1" t="str">
        <f>VLOOKUP(B1280,'old-aw-skill-plan'!A:I,9,FALSE)</f>
        <v>5-2</v>
      </c>
    </row>
    <row r="1281" ht="15.75" customHeight="1">
      <c r="A1281" s="1" t="s">
        <v>75</v>
      </c>
      <c r="B1281" s="1" t="s">
        <v>333</v>
      </c>
      <c r="C1281" s="1" t="s">
        <v>11</v>
      </c>
      <c r="D1281" s="5">
        <v>45608.0</v>
      </c>
      <c r="G1281" s="1">
        <f>VLOOKUP(B1281,'old-aw-skill-plan'!A:I,7,FALSE)</f>
        <v>6</v>
      </c>
      <c r="H1281" s="1" t="str">
        <f>VLOOKUP(B1281,'old-aw-skill-plan'!A:I,9,FALSE)</f>
        <v>6-3</v>
      </c>
    </row>
    <row r="1282" ht="15.75" customHeight="1">
      <c r="A1282" s="1" t="s">
        <v>82</v>
      </c>
      <c r="B1282" s="1" t="s">
        <v>115</v>
      </c>
      <c r="C1282" s="1" t="s">
        <v>11</v>
      </c>
      <c r="D1282" s="5">
        <v>45608.0</v>
      </c>
      <c r="G1282" s="1">
        <f>VLOOKUP(B1282,'old-aw-skill-plan'!A:I,7,FALSE)</f>
        <v>3</v>
      </c>
      <c r="H1282" s="1" t="str">
        <f>VLOOKUP(B1282,'old-aw-skill-plan'!A:I,9,FALSE)</f>
        <v>3-10</v>
      </c>
    </row>
    <row r="1283" ht="15.75" customHeight="1">
      <c r="A1283" s="1" t="s">
        <v>216</v>
      </c>
      <c r="B1283" s="1" t="s">
        <v>44</v>
      </c>
      <c r="C1283" s="1" t="s">
        <v>11</v>
      </c>
      <c r="D1283" s="5">
        <v>45607.0</v>
      </c>
      <c r="G1283" s="1">
        <f>VLOOKUP(B1283,'old-aw-skill-plan'!A:I,7,FALSE)</f>
        <v>5</v>
      </c>
      <c r="H1283" s="1" t="str">
        <f>VLOOKUP(B1283,'old-aw-skill-plan'!A:I,9,FALSE)</f>
        <v>5-1</v>
      </c>
    </row>
    <row r="1284" ht="15.75" customHeight="1">
      <c r="A1284" s="1" t="s">
        <v>196</v>
      </c>
      <c r="B1284" s="1" t="s">
        <v>28</v>
      </c>
      <c r="C1284" s="1" t="s">
        <v>11</v>
      </c>
      <c r="D1284" s="5">
        <v>45607.0</v>
      </c>
      <c r="G1284" s="1">
        <f>VLOOKUP(B1284,'old-aw-skill-plan'!A:I,7,FALSE)</f>
        <v>3</v>
      </c>
      <c r="H1284" s="1" t="str">
        <f>VLOOKUP(B1284,'old-aw-skill-plan'!A:I,9,FALSE)</f>
        <v>3-4</v>
      </c>
    </row>
    <row r="1285" ht="15.75" customHeight="1">
      <c r="A1285" s="1" t="s">
        <v>196</v>
      </c>
      <c r="B1285" s="1" t="s">
        <v>33</v>
      </c>
      <c r="C1285" s="1" t="s">
        <v>11</v>
      </c>
      <c r="D1285" s="5">
        <v>45607.0</v>
      </c>
      <c r="G1285" s="1">
        <f>VLOOKUP(B1285,'old-aw-skill-plan'!A:I,7,FALSE)</f>
        <v>3</v>
      </c>
      <c r="H1285" s="1" t="str">
        <f>VLOOKUP(B1285,'old-aw-skill-plan'!A:I,9,FALSE)</f>
        <v>3-5</v>
      </c>
    </row>
    <row r="1286" ht="15.75" customHeight="1">
      <c r="A1286" s="1" t="s">
        <v>60</v>
      </c>
      <c r="B1286" s="1" t="s">
        <v>104</v>
      </c>
      <c r="C1286" s="1" t="s">
        <v>11</v>
      </c>
      <c r="D1286" s="5">
        <v>45607.0</v>
      </c>
      <c r="G1286" s="1">
        <f>VLOOKUP(B1286,'old-aw-skill-plan'!A:I,7,FALSE)</f>
        <v>5</v>
      </c>
      <c r="H1286" s="1" t="str">
        <f>VLOOKUP(B1286,'old-aw-skill-plan'!A:I,9,FALSE)</f>
        <v>5-2</v>
      </c>
    </row>
    <row r="1287" ht="15.75" customHeight="1">
      <c r="A1287" s="1" t="s">
        <v>183</v>
      </c>
      <c r="B1287" s="1" t="s">
        <v>327</v>
      </c>
      <c r="C1287" s="1" t="s">
        <v>11</v>
      </c>
      <c r="D1287" s="5">
        <v>45607.0</v>
      </c>
      <c r="G1287" s="1">
        <f>VLOOKUP(B1287,'old-aw-skill-plan'!A:I,7,FALSE)</f>
        <v>8</v>
      </c>
      <c r="H1287" s="1" t="str">
        <f>VLOOKUP(B1287,'old-aw-skill-plan'!A:I,9,FALSE)</f>
        <v>8-2</v>
      </c>
    </row>
    <row r="1288" ht="15.75" customHeight="1">
      <c r="A1288" s="1" t="s">
        <v>68</v>
      </c>
      <c r="B1288" s="1" t="s">
        <v>33</v>
      </c>
      <c r="C1288" s="1" t="s">
        <v>11</v>
      </c>
      <c r="D1288" s="5">
        <v>45607.0</v>
      </c>
      <c r="G1288" s="1">
        <f>VLOOKUP(B1288,'old-aw-skill-plan'!A:I,7,FALSE)</f>
        <v>3</v>
      </c>
      <c r="H1288" s="1" t="str">
        <f>VLOOKUP(B1288,'old-aw-skill-plan'!A:I,9,FALSE)</f>
        <v>3-5</v>
      </c>
    </row>
    <row r="1289" ht="15.75" customHeight="1">
      <c r="A1289" s="1" t="s">
        <v>75</v>
      </c>
      <c r="B1289" s="1" t="s">
        <v>335</v>
      </c>
      <c r="C1289" s="1" t="s">
        <v>11</v>
      </c>
      <c r="D1289" s="5">
        <v>45607.0</v>
      </c>
      <c r="G1289" s="1">
        <f>VLOOKUP(B1289,'old-aw-skill-plan'!A:I,7,FALSE)</f>
        <v>6</v>
      </c>
      <c r="H1289" s="1" t="str">
        <f>VLOOKUP(B1289,'old-aw-skill-plan'!A:I,9,FALSE)</f>
        <v>6-2</v>
      </c>
    </row>
    <row r="1290" ht="15.75" customHeight="1">
      <c r="A1290" s="1" t="s">
        <v>75</v>
      </c>
      <c r="B1290" s="1" t="s">
        <v>333</v>
      </c>
      <c r="C1290" s="1" t="s">
        <v>11</v>
      </c>
      <c r="D1290" s="5">
        <v>45607.0</v>
      </c>
      <c r="G1290" s="1">
        <f>VLOOKUP(B1290,'old-aw-skill-plan'!A:I,7,FALSE)</f>
        <v>6</v>
      </c>
      <c r="H1290" s="1" t="str">
        <f>VLOOKUP(B1290,'old-aw-skill-plan'!A:I,9,FALSE)</f>
        <v>6-3</v>
      </c>
    </row>
    <row r="1291" ht="15.75" customHeight="1">
      <c r="A1291" s="1" t="s">
        <v>207</v>
      </c>
      <c r="B1291" s="1" t="s">
        <v>83</v>
      </c>
      <c r="C1291" s="1" t="s">
        <v>11</v>
      </c>
      <c r="D1291" s="5">
        <v>45604.0</v>
      </c>
      <c r="G1291" s="1">
        <f>VLOOKUP(B1291,'old-aw-skill-plan'!A:I,7,FALSE)</f>
        <v>5</v>
      </c>
      <c r="H1291" s="1" t="str">
        <f>VLOOKUP(B1291,'old-aw-skill-plan'!A:I,9,FALSE)</f>
        <v>5-9</v>
      </c>
    </row>
    <row r="1292" ht="15.75" customHeight="1">
      <c r="A1292" s="1" t="s">
        <v>60</v>
      </c>
      <c r="B1292" s="1" t="s">
        <v>104</v>
      </c>
      <c r="C1292" s="1" t="s">
        <v>11</v>
      </c>
      <c r="D1292" s="5">
        <v>45604.0</v>
      </c>
      <c r="G1292" s="1">
        <f>VLOOKUP(B1292,'old-aw-skill-plan'!A:I,7,FALSE)</f>
        <v>5</v>
      </c>
      <c r="H1292" s="1" t="str">
        <f>VLOOKUP(B1292,'old-aw-skill-plan'!A:I,9,FALSE)</f>
        <v>5-2</v>
      </c>
    </row>
    <row r="1293" ht="15.75" customHeight="1">
      <c r="A1293" s="1" t="s">
        <v>183</v>
      </c>
      <c r="B1293" s="1" t="s">
        <v>327</v>
      </c>
      <c r="C1293" s="1" t="s">
        <v>11</v>
      </c>
      <c r="D1293" s="5">
        <v>45604.0</v>
      </c>
      <c r="G1293" s="1">
        <f>VLOOKUP(B1293,'old-aw-skill-plan'!A:I,7,FALSE)</f>
        <v>8</v>
      </c>
      <c r="H1293" s="1" t="str">
        <f>VLOOKUP(B1293,'old-aw-skill-plan'!A:I,9,FALSE)</f>
        <v>8-2</v>
      </c>
    </row>
    <row r="1294" ht="15.75" customHeight="1">
      <c r="A1294" s="1" t="s">
        <v>74</v>
      </c>
      <c r="B1294" s="1" t="s">
        <v>104</v>
      </c>
      <c r="C1294" s="1" t="s">
        <v>11</v>
      </c>
      <c r="D1294" s="5">
        <v>45604.0</v>
      </c>
      <c r="G1294" s="1">
        <f>VLOOKUP(B1294,'old-aw-skill-plan'!A:I,7,FALSE)</f>
        <v>5</v>
      </c>
      <c r="H1294" s="1" t="str">
        <f>VLOOKUP(B1294,'old-aw-skill-plan'!A:I,9,FALSE)</f>
        <v>5-2</v>
      </c>
    </row>
    <row r="1295" ht="15.75" customHeight="1">
      <c r="A1295" s="1" t="s">
        <v>75</v>
      </c>
      <c r="B1295" s="1" t="s">
        <v>335</v>
      </c>
      <c r="C1295" s="1" t="s">
        <v>11</v>
      </c>
      <c r="D1295" s="5">
        <v>45604.0</v>
      </c>
      <c r="G1295" s="1">
        <f>VLOOKUP(B1295,'old-aw-skill-plan'!A:I,7,FALSE)</f>
        <v>6</v>
      </c>
      <c r="H1295" s="1" t="str">
        <f>VLOOKUP(B1295,'old-aw-skill-plan'!A:I,9,FALSE)</f>
        <v>6-2</v>
      </c>
    </row>
    <row r="1296" ht="15.75" customHeight="1">
      <c r="A1296" s="1" t="s">
        <v>101</v>
      </c>
      <c r="B1296" s="1" t="s">
        <v>21</v>
      </c>
      <c r="C1296" s="1" t="s">
        <v>11</v>
      </c>
      <c r="D1296" s="5">
        <v>45604.0</v>
      </c>
      <c r="G1296" s="1">
        <f>VLOOKUP(B1296,'old-aw-skill-plan'!A:I,7,FALSE)</f>
        <v>4</v>
      </c>
      <c r="H1296" s="1" t="str">
        <f>VLOOKUP(B1296,'old-aw-skill-plan'!A:I,9,FALSE)</f>
        <v>4-6</v>
      </c>
    </row>
    <row r="1297" ht="15.75" customHeight="1">
      <c r="A1297" s="1" t="s">
        <v>24</v>
      </c>
      <c r="B1297" s="1" t="s">
        <v>120</v>
      </c>
      <c r="C1297" s="1" t="s">
        <v>11</v>
      </c>
      <c r="D1297" s="5">
        <v>45603.0</v>
      </c>
      <c r="G1297" s="1">
        <f>VLOOKUP(B1297,'old-aw-skill-plan'!A:I,7,FALSE)</f>
        <v>5</v>
      </c>
      <c r="H1297" s="1" t="str">
        <f>VLOOKUP(B1297,'old-aw-skill-plan'!A:I,9,FALSE)</f>
        <v>5-11</v>
      </c>
    </row>
    <row r="1298" ht="15.75" customHeight="1">
      <c r="A1298" s="1" t="s">
        <v>24</v>
      </c>
      <c r="B1298" s="1" t="s">
        <v>121</v>
      </c>
      <c r="C1298" s="1" t="s">
        <v>11</v>
      </c>
      <c r="D1298" s="5">
        <v>45603.0</v>
      </c>
      <c r="G1298" s="1">
        <f>VLOOKUP(B1298,'old-aw-skill-plan'!A:I,7,FALSE)</f>
        <v>5</v>
      </c>
      <c r="H1298" s="1" t="str">
        <f>VLOOKUP(B1298,'old-aw-skill-plan'!A:I,9,FALSE)</f>
        <v>5-12</v>
      </c>
    </row>
    <row r="1299" ht="15.75" customHeight="1">
      <c r="A1299" s="1" t="s">
        <v>60</v>
      </c>
      <c r="B1299" s="1" t="s">
        <v>104</v>
      </c>
      <c r="C1299" s="1" t="s">
        <v>11</v>
      </c>
      <c r="D1299" s="5">
        <v>45603.0</v>
      </c>
      <c r="G1299" s="1">
        <f>VLOOKUP(B1299,'old-aw-skill-plan'!A:I,7,FALSE)</f>
        <v>5</v>
      </c>
      <c r="H1299" s="1" t="str">
        <f>VLOOKUP(B1299,'old-aw-skill-plan'!A:I,9,FALSE)</f>
        <v>5-2</v>
      </c>
    </row>
    <row r="1300" ht="15.75" customHeight="1">
      <c r="A1300" s="1" t="s">
        <v>63</v>
      </c>
      <c r="B1300" s="1" t="s">
        <v>85</v>
      </c>
      <c r="C1300" s="1" t="s">
        <v>11</v>
      </c>
      <c r="D1300" s="5">
        <v>45603.0</v>
      </c>
      <c r="G1300" s="1">
        <f>VLOOKUP(B1300,'old-aw-skill-plan'!A:I,7,FALSE)</f>
        <v>5</v>
      </c>
      <c r="H1300" s="1" t="str">
        <f>VLOOKUP(B1300,'old-aw-skill-plan'!A:I,9,FALSE)</f>
        <v>5-8</v>
      </c>
    </row>
    <row r="1301" ht="15.75" customHeight="1">
      <c r="A1301" s="1" t="s">
        <v>74</v>
      </c>
      <c r="B1301" s="1" t="s">
        <v>44</v>
      </c>
      <c r="C1301" s="1" t="s">
        <v>11</v>
      </c>
      <c r="D1301" s="5">
        <v>45603.0</v>
      </c>
      <c r="G1301" s="1">
        <f>VLOOKUP(B1301,'old-aw-skill-plan'!A:I,7,FALSE)</f>
        <v>5</v>
      </c>
      <c r="H1301" s="1" t="str">
        <f>VLOOKUP(B1301,'old-aw-skill-plan'!A:I,9,FALSE)</f>
        <v>5-1</v>
      </c>
    </row>
    <row r="1302" ht="15.75" customHeight="1">
      <c r="A1302" s="1" t="s">
        <v>75</v>
      </c>
      <c r="B1302" s="1" t="s">
        <v>335</v>
      </c>
      <c r="C1302" s="1" t="s">
        <v>11</v>
      </c>
      <c r="D1302" s="5">
        <v>45603.0</v>
      </c>
      <c r="G1302" s="1">
        <f>VLOOKUP(B1302,'old-aw-skill-plan'!A:I,7,FALSE)</f>
        <v>6</v>
      </c>
      <c r="H1302" s="1" t="str">
        <f>VLOOKUP(B1302,'old-aw-skill-plan'!A:I,9,FALSE)</f>
        <v>6-2</v>
      </c>
    </row>
    <row r="1303" ht="15.75" customHeight="1">
      <c r="A1303" s="1" t="s">
        <v>100</v>
      </c>
      <c r="B1303" s="1" t="s">
        <v>346</v>
      </c>
      <c r="C1303" s="1" t="s">
        <v>11</v>
      </c>
      <c r="D1303" s="5">
        <v>45603.0</v>
      </c>
      <c r="G1303" s="1" t="str">
        <f>VLOOKUP(B1303,'old-aw-skill-plan'!A:I,7,FALSE)</f>
        <v>#N/A</v>
      </c>
      <c r="H1303" s="1" t="str">
        <f>VLOOKUP(B1303,'old-aw-skill-plan'!A:I,9,FALSE)</f>
        <v>#N/A</v>
      </c>
    </row>
    <row r="1304" ht="15.75" customHeight="1">
      <c r="A1304" s="1" t="s">
        <v>100</v>
      </c>
      <c r="B1304" s="1" t="s">
        <v>340</v>
      </c>
      <c r="C1304" s="1" t="s">
        <v>11</v>
      </c>
      <c r="D1304" s="5">
        <v>45603.0</v>
      </c>
      <c r="G1304" s="1" t="str">
        <f>VLOOKUP(B1304,'old-aw-skill-plan'!A:I,7,FALSE)</f>
        <v>#N/A</v>
      </c>
      <c r="H1304" s="1" t="str">
        <f>VLOOKUP(B1304,'old-aw-skill-plan'!A:I,9,FALSE)</f>
        <v>#N/A</v>
      </c>
    </row>
    <row r="1305" ht="15.75" customHeight="1">
      <c r="A1305" s="1" t="s">
        <v>82</v>
      </c>
      <c r="B1305" s="1" t="s">
        <v>115</v>
      </c>
      <c r="C1305" s="1" t="s">
        <v>11</v>
      </c>
      <c r="D1305" s="5">
        <v>45603.0</v>
      </c>
      <c r="G1305" s="1">
        <f>VLOOKUP(B1305,'old-aw-skill-plan'!A:I,7,FALSE)</f>
        <v>3</v>
      </c>
      <c r="H1305" s="1" t="str">
        <f>VLOOKUP(B1305,'old-aw-skill-plan'!A:I,9,FALSE)</f>
        <v>3-10</v>
      </c>
    </row>
    <row r="1306" ht="15.75" customHeight="1">
      <c r="A1306" s="1" t="s">
        <v>326</v>
      </c>
      <c r="B1306" s="1" t="s">
        <v>85</v>
      </c>
      <c r="C1306" s="1" t="s">
        <v>11</v>
      </c>
      <c r="D1306" s="5">
        <v>45603.0</v>
      </c>
      <c r="G1306" s="1">
        <f>VLOOKUP(B1306,'old-aw-skill-plan'!A:I,7,FALSE)</f>
        <v>5</v>
      </c>
      <c r="H1306" s="1" t="str">
        <f>VLOOKUP(B1306,'old-aw-skill-plan'!A:I,9,FALSE)</f>
        <v>5-8</v>
      </c>
    </row>
    <row r="1307" ht="15.75" customHeight="1">
      <c r="A1307" s="1" t="s">
        <v>24</v>
      </c>
      <c r="B1307" s="1" t="s">
        <v>120</v>
      </c>
      <c r="C1307" s="1" t="s">
        <v>11</v>
      </c>
      <c r="D1307" s="5">
        <v>45602.0</v>
      </c>
      <c r="G1307" s="1">
        <f>VLOOKUP(B1307,'old-aw-skill-plan'!A:I,7,FALSE)</f>
        <v>5</v>
      </c>
      <c r="H1307" s="1" t="str">
        <f>VLOOKUP(B1307,'old-aw-skill-plan'!A:I,9,FALSE)</f>
        <v>5-11</v>
      </c>
    </row>
    <row r="1308" ht="15.75" customHeight="1">
      <c r="A1308" s="1" t="s">
        <v>52</v>
      </c>
      <c r="B1308" s="1" t="s">
        <v>28</v>
      </c>
      <c r="C1308" s="1" t="s">
        <v>11</v>
      </c>
      <c r="D1308" s="5">
        <v>45602.0</v>
      </c>
      <c r="G1308" s="1">
        <f>VLOOKUP(B1308,'old-aw-skill-plan'!A:I,7,FALSE)</f>
        <v>3</v>
      </c>
      <c r="H1308" s="1" t="str">
        <f>VLOOKUP(B1308,'old-aw-skill-plan'!A:I,9,FALSE)</f>
        <v>3-4</v>
      </c>
    </row>
    <row r="1309" ht="15.75" customHeight="1">
      <c r="A1309" s="1" t="s">
        <v>60</v>
      </c>
      <c r="B1309" s="1" t="s">
        <v>104</v>
      </c>
      <c r="C1309" s="1" t="s">
        <v>11</v>
      </c>
      <c r="D1309" s="5">
        <v>45602.0</v>
      </c>
      <c r="G1309" s="1">
        <f>VLOOKUP(B1309,'old-aw-skill-plan'!A:I,7,FALSE)</f>
        <v>5</v>
      </c>
      <c r="H1309" s="1" t="str">
        <f>VLOOKUP(B1309,'old-aw-skill-plan'!A:I,9,FALSE)</f>
        <v>5-2</v>
      </c>
    </row>
    <row r="1310" ht="15.75" customHeight="1">
      <c r="A1310" s="1" t="s">
        <v>63</v>
      </c>
      <c r="B1310" s="1" t="s">
        <v>85</v>
      </c>
      <c r="C1310" s="1" t="s">
        <v>11</v>
      </c>
      <c r="D1310" s="5">
        <v>45602.0</v>
      </c>
      <c r="G1310" s="1">
        <f>VLOOKUP(B1310,'old-aw-skill-plan'!A:I,7,FALSE)</f>
        <v>5</v>
      </c>
      <c r="H1310" s="1" t="str">
        <f>VLOOKUP(B1310,'old-aw-skill-plan'!A:I,9,FALSE)</f>
        <v>5-8</v>
      </c>
    </row>
    <row r="1311" ht="15.75" customHeight="1">
      <c r="A1311" s="1" t="s">
        <v>183</v>
      </c>
      <c r="B1311" s="1" t="s">
        <v>327</v>
      </c>
      <c r="C1311" s="1" t="s">
        <v>11</v>
      </c>
      <c r="D1311" s="5">
        <v>45602.0</v>
      </c>
      <c r="G1311" s="1">
        <f>VLOOKUP(B1311,'old-aw-skill-plan'!A:I,7,FALSE)</f>
        <v>8</v>
      </c>
      <c r="H1311" s="1" t="str">
        <f>VLOOKUP(B1311,'old-aw-skill-plan'!A:I,9,FALSE)</f>
        <v>8-2</v>
      </c>
    </row>
    <row r="1312" ht="15.75" customHeight="1">
      <c r="A1312" s="1" t="s">
        <v>68</v>
      </c>
      <c r="B1312" s="1" t="s">
        <v>33</v>
      </c>
      <c r="C1312" s="1" t="s">
        <v>11</v>
      </c>
      <c r="D1312" s="5">
        <v>45602.0</v>
      </c>
      <c r="G1312" s="1">
        <f>VLOOKUP(B1312,'old-aw-skill-plan'!A:I,7,FALSE)</f>
        <v>3</v>
      </c>
      <c r="H1312" s="1" t="str">
        <f>VLOOKUP(B1312,'old-aw-skill-plan'!A:I,9,FALSE)</f>
        <v>3-5</v>
      </c>
    </row>
    <row r="1313" ht="15.75" customHeight="1">
      <c r="A1313" s="1" t="s">
        <v>69</v>
      </c>
      <c r="B1313" s="1" t="s">
        <v>10</v>
      </c>
      <c r="C1313" s="1" t="s">
        <v>11</v>
      </c>
      <c r="D1313" s="5">
        <v>45602.0</v>
      </c>
      <c r="G1313" s="1">
        <f>VLOOKUP(B1313,'old-aw-skill-plan'!A:I,7,FALSE)</f>
        <v>3</v>
      </c>
      <c r="H1313" s="1" t="str">
        <f>VLOOKUP(B1313,'old-aw-skill-plan'!A:I,9,FALSE)</f>
        <v>3-1</v>
      </c>
    </row>
    <row r="1314" ht="15.75" customHeight="1">
      <c r="A1314" s="1" t="s">
        <v>214</v>
      </c>
      <c r="B1314" s="1" t="s">
        <v>327</v>
      </c>
      <c r="C1314" s="1" t="s">
        <v>11</v>
      </c>
      <c r="D1314" s="5">
        <v>45602.0</v>
      </c>
      <c r="G1314" s="1">
        <f>VLOOKUP(B1314,'old-aw-skill-plan'!A:I,7,FALSE)</f>
        <v>8</v>
      </c>
      <c r="H1314" s="1" t="str">
        <f>VLOOKUP(B1314,'old-aw-skill-plan'!A:I,9,FALSE)</f>
        <v>8-2</v>
      </c>
    </row>
    <row r="1315" ht="15.75" customHeight="1">
      <c r="A1315" s="1" t="s">
        <v>74</v>
      </c>
      <c r="B1315" s="1" t="s">
        <v>44</v>
      </c>
      <c r="C1315" s="1" t="s">
        <v>11</v>
      </c>
      <c r="D1315" s="5">
        <v>45602.0</v>
      </c>
      <c r="G1315" s="1">
        <f>VLOOKUP(B1315,'old-aw-skill-plan'!A:I,7,FALSE)</f>
        <v>5</v>
      </c>
      <c r="H1315" s="1" t="str">
        <f>VLOOKUP(B1315,'old-aw-skill-plan'!A:I,9,FALSE)</f>
        <v>5-1</v>
      </c>
    </row>
    <row r="1316" ht="15.75" customHeight="1">
      <c r="A1316" s="1" t="s">
        <v>74</v>
      </c>
      <c r="B1316" s="1" t="s">
        <v>88</v>
      </c>
      <c r="C1316" s="1" t="s">
        <v>11</v>
      </c>
      <c r="D1316" s="5">
        <v>45602.0</v>
      </c>
      <c r="G1316" s="1">
        <f>VLOOKUP(B1316,'old-aw-skill-plan'!A:I,7,FALSE)</f>
        <v>5</v>
      </c>
      <c r="H1316" s="1" t="str">
        <f>VLOOKUP(B1316,'old-aw-skill-plan'!A:I,9,FALSE)</f>
        <v>5-5</v>
      </c>
    </row>
    <row r="1317" ht="15.75" customHeight="1">
      <c r="A1317" s="1" t="s">
        <v>75</v>
      </c>
      <c r="B1317" s="1" t="s">
        <v>335</v>
      </c>
      <c r="C1317" s="1" t="s">
        <v>11</v>
      </c>
      <c r="D1317" s="5">
        <v>45602.0</v>
      </c>
      <c r="G1317" s="1">
        <f>VLOOKUP(B1317,'old-aw-skill-plan'!A:I,7,FALSE)</f>
        <v>6</v>
      </c>
      <c r="H1317" s="1" t="str">
        <f>VLOOKUP(B1317,'old-aw-skill-plan'!A:I,9,FALSE)</f>
        <v>6-2</v>
      </c>
    </row>
    <row r="1318" ht="15.75" customHeight="1">
      <c r="A1318" s="1" t="s">
        <v>82</v>
      </c>
      <c r="B1318" s="1" t="s">
        <v>115</v>
      </c>
      <c r="C1318" s="1" t="s">
        <v>11</v>
      </c>
      <c r="D1318" s="5">
        <v>45602.0</v>
      </c>
      <c r="G1318" s="1">
        <f>VLOOKUP(B1318,'old-aw-skill-plan'!A:I,7,FALSE)</f>
        <v>3</v>
      </c>
      <c r="H1318" s="1" t="str">
        <f>VLOOKUP(B1318,'old-aw-skill-plan'!A:I,9,FALSE)</f>
        <v>3-10</v>
      </c>
    </row>
    <row r="1319" ht="15.75" customHeight="1">
      <c r="A1319" s="1" t="s">
        <v>326</v>
      </c>
      <c r="B1319" s="1" t="s">
        <v>85</v>
      </c>
      <c r="C1319" s="1" t="s">
        <v>11</v>
      </c>
      <c r="D1319" s="5">
        <v>45602.0</v>
      </c>
      <c r="G1319" s="1">
        <f>VLOOKUP(B1319,'old-aw-skill-plan'!A:I,7,FALSE)</f>
        <v>5</v>
      </c>
      <c r="H1319" s="1" t="str">
        <f>VLOOKUP(B1319,'old-aw-skill-plan'!A:I,9,FALSE)</f>
        <v>5-8</v>
      </c>
    </row>
    <row r="1320" ht="15.75" customHeight="1">
      <c r="A1320" s="1" t="s">
        <v>347</v>
      </c>
      <c r="B1320" s="1" t="s">
        <v>10</v>
      </c>
      <c r="C1320" s="1" t="s">
        <v>11</v>
      </c>
      <c r="D1320" s="5">
        <v>45602.0</v>
      </c>
      <c r="G1320" s="1">
        <f>VLOOKUP(B1320,'old-aw-skill-plan'!A:I,7,FALSE)</f>
        <v>3</v>
      </c>
      <c r="H1320" s="1" t="str">
        <f>VLOOKUP(B1320,'old-aw-skill-plan'!A:I,9,FALSE)</f>
        <v>3-1</v>
      </c>
    </row>
    <row r="1321" ht="15.75" customHeight="1">
      <c r="A1321" s="1" t="s">
        <v>347</v>
      </c>
      <c r="B1321" s="1" t="s">
        <v>120</v>
      </c>
      <c r="C1321" s="1" t="s">
        <v>11</v>
      </c>
      <c r="D1321" s="5">
        <v>45602.0</v>
      </c>
      <c r="G1321" s="1">
        <f>VLOOKUP(B1321,'old-aw-skill-plan'!A:I,7,FALSE)</f>
        <v>5</v>
      </c>
      <c r="H1321" s="1" t="str">
        <f>VLOOKUP(B1321,'old-aw-skill-plan'!A:I,9,FALSE)</f>
        <v>5-11</v>
      </c>
    </row>
    <row r="1322" ht="15.75" customHeight="1">
      <c r="A1322" s="1" t="s">
        <v>24</v>
      </c>
      <c r="B1322" s="1" t="s">
        <v>120</v>
      </c>
      <c r="C1322" s="1" t="s">
        <v>11</v>
      </c>
      <c r="D1322" s="5">
        <v>45601.0</v>
      </c>
      <c r="G1322" s="1">
        <f>VLOOKUP(B1322,'old-aw-skill-plan'!A:I,7,FALSE)</f>
        <v>5</v>
      </c>
      <c r="H1322" s="1" t="str">
        <f>VLOOKUP(B1322,'old-aw-skill-plan'!A:I,9,FALSE)</f>
        <v>5-11</v>
      </c>
    </row>
    <row r="1323" ht="15.75" customHeight="1">
      <c r="A1323" s="1" t="s">
        <v>52</v>
      </c>
      <c r="B1323" s="1" t="s">
        <v>28</v>
      </c>
      <c r="C1323" s="1" t="s">
        <v>11</v>
      </c>
      <c r="D1323" s="5">
        <v>45601.0</v>
      </c>
      <c r="G1323" s="1">
        <f>VLOOKUP(B1323,'old-aw-skill-plan'!A:I,7,FALSE)</f>
        <v>3</v>
      </c>
      <c r="H1323" s="1" t="str">
        <f>VLOOKUP(B1323,'old-aw-skill-plan'!A:I,9,FALSE)</f>
        <v>3-4</v>
      </c>
    </row>
    <row r="1324" ht="15.75" customHeight="1">
      <c r="A1324" s="1" t="s">
        <v>81</v>
      </c>
      <c r="B1324" s="1" t="s">
        <v>40</v>
      </c>
      <c r="C1324" s="1" t="s">
        <v>11</v>
      </c>
      <c r="D1324" s="5">
        <v>45601.0</v>
      </c>
      <c r="G1324" s="1">
        <f>VLOOKUP(B1324,'old-aw-skill-plan'!A:I,7,FALSE)</f>
        <v>4</v>
      </c>
      <c r="H1324" s="1" t="str">
        <f>VLOOKUP(B1324,'old-aw-skill-plan'!A:I,9,FALSE)</f>
        <v>4-10</v>
      </c>
    </row>
    <row r="1325" ht="15.75" customHeight="1">
      <c r="A1325" s="1" t="s">
        <v>63</v>
      </c>
      <c r="B1325" s="1" t="s">
        <v>85</v>
      </c>
      <c r="C1325" s="1" t="s">
        <v>11</v>
      </c>
      <c r="D1325" s="5">
        <v>45601.0</v>
      </c>
      <c r="G1325" s="1">
        <f>VLOOKUP(B1325,'old-aw-skill-plan'!A:I,7,FALSE)</f>
        <v>5</v>
      </c>
      <c r="H1325" s="1" t="str">
        <f>VLOOKUP(B1325,'old-aw-skill-plan'!A:I,9,FALSE)</f>
        <v>5-8</v>
      </c>
    </row>
    <row r="1326" ht="15.75" customHeight="1">
      <c r="A1326" s="1" t="s">
        <v>68</v>
      </c>
      <c r="B1326" s="1" t="s">
        <v>33</v>
      </c>
      <c r="C1326" s="1" t="s">
        <v>11</v>
      </c>
      <c r="D1326" s="5">
        <v>45601.0</v>
      </c>
      <c r="G1326" s="1">
        <f>VLOOKUP(B1326,'old-aw-skill-plan'!A:I,7,FALSE)</f>
        <v>3</v>
      </c>
      <c r="H1326" s="1" t="str">
        <f>VLOOKUP(B1326,'old-aw-skill-plan'!A:I,9,FALSE)</f>
        <v>3-5</v>
      </c>
    </row>
    <row r="1327" ht="15.75" customHeight="1">
      <c r="A1327" s="1" t="s">
        <v>214</v>
      </c>
      <c r="B1327" s="1" t="s">
        <v>345</v>
      </c>
      <c r="C1327" s="1" t="s">
        <v>11</v>
      </c>
      <c r="D1327" s="5">
        <v>45601.0</v>
      </c>
      <c r="G1327" s="1">
        <f>VLOOKUP(B1327,'old-aw-skill-plan'!A:I,7,FALSE)</f>
        <v>8</v>
      </c>
      <c r="H1327" s="1" t="str">
        <f>VLOOKUP(B1327,'old-aw-skill-plan'!A:I,9,FALSE)</f>
        <v>8-3</v>
      </c>
    </row>
    <row r="1328" ht="15.75" customHeight="1">
      <c r="A1328" s="1" t="s">
        <v>74</v>
      </c>
      <c r="B1328" s="1" t="s">
        <v>44</v>
      </c>
      <c r="C1328" s="1" t="s">
        <v>11</v>
      </c>
      <c r="D1328" s="5">
        <v>45601.0</v>
      </c>
      <c r="G1328" s="1">
        <f>VLOOKUP(B1328,'old-aw-skill-plan'!A:I,7,FALSE)</f>
        <v>5</v>
      </c>
      <c r="H1328" s="1" t="str">
        <f>VLOOKUP(B1328,'old-aw-skill-plan'!A:I,9,FALSE)</f>
        <v>5-1</v>
      </c>
    </row>
    <row r="1329" ht="15.75" customHeight="1">
      <c r="A1329" s="1" t="s">
        <v>75</v>
      </c>
      <c r="B1329" s="1" t="s">
        <v>335</v>
      </c>
      <c r="C1329" s="1" t="s">
        <v>11</v>
      </c>
      <c r="D1329" s="5">
        <v>45601.0</v>
      </c>
      <c r="G1329" s="1">
        <f>VLOOKUP(B1329,'old-aw-skill-plan'!A:I,7,FALSE)</f>
        <v>6</v>
      </c>
      <c r="H1329" s="1" t="str">
        <f>VLOOKUP(B1329,'old-aw-skill-plan'!A:I,9,FALSE)</f>
        <v>6-2</v>
      </c>
    </row>
    <row r="1330" ht="15.75" customHeight="1">
      <c r="A1330" s="1" t="s">
        <v>82</v>
      </c>
      <c r="B1330" s="1" t="s">
        <v>115</v>
      </c>
      <c r="C1330" s="1" t="s">
        <v>11</v>
      </c>
      <c r="D1330" s="5">
        <v>45601.0</v>
      </c>
      <c r="G1330" s="1">
        <f>VLOOKUP(B1330,'old-aw-skill-plan'!A:I,7,FALSE)</f>
        <v>3</v>
      </c>
      <c r="H1330" s="1" t="str">
        <f>VLOOKUP(B1330,'old-aw-skill-plan'!A:I,9,FALSE)</f>
        <v>3-10</v>
      </c>
    </row>
    <row r="1331" ht="15.75" customHeight="1">
      <c r="A1331" s="1" t="s">
        <v>326</v>
      </c>
      <c r="B1331" s="1" t="s">
        <v>85</v>
      </c>
      <c r="C1331" s="1" t="s">
        <v>11</v>
      </c>
      <c r="D1331" s="5">
        <v>45601.0</v>
      </c>
      <c r="G1331" s="1">
        <f>VLOOKUP(B1331,'old-aw-skill-plan'!A:I,7,FALSE)</f>
        <v>5</v>
      </c>
      <c r="H1331" s="1" t="str">
        <f>VLOOKUP(B1331,'old-aw-skill-plan'!A:I,9,FALSE)</f>
        <v>5-8</v>
      </c>
    </row>
    <row r="1332" ht="15.75" customHeight="1">
      <c r="A1332" s="1" t="s">
        <v>24</v>
      </c>
      <c r="B1332" s="1" t="s">
        <v>121</v>
      </c>
      <c r="C1332" s="1" t="s">
        <v>11</v>
      </c>
      <c r="D1332" s="5">
        <v>45600.0</v>
      </c>
      <c r="G1332" s="1">
        <f>VLOOKUP(B1332,'old-aw-skill-plan'!A:I,7,FALSE)</f>
        <v>5</v>
      </c>
      <c r="H1332" s="1" t="str">
        <f>VLOOKUP(B1332,'old-aw-skill-plan'!A:I,9,FALSE)</f>
        <v>5-12</v>
      </c>
    </row>
    <row r="1333" ht="15.75" customHeight="1">
      <c r="A1333" s="1" t="s">
        <v>220</v>
      </c>
      <c r="B1333" s="1" t="s">
        <v>118</v>
      </c>
      <c r="C1333" s="1" t="s">
        <v>11</v>
      </c>
      <c r="D1333" s="5">
        <v>45600.0</v>
      </c>
      <c r="G1333" s="1">
        <f>VLOOKUP(B1333,'old-aw-skill-plan'!A:I,7,FALSE)</f>
        <v>3</v>
      </c>
      <c r="H1333" s="1" t="str">
        <f>VLOOKUP(B1333,'old-aw-skill-plan'!A:I,9,FALSE)</f>
        <v>3-12</v>
      </c>
    </row>
    <row r="1334" ht="15.75" customHeight="1">
      <c r="A1334" s="1" t="s">
        <v>220</v>
      </c>
      <c r="B1334" s="1" t="s">
        <v>333</v>
      </c>
      <c r="C1334" s="1" t="s">
        <v>11</v>
      </c>
      <c r="D1334" s="5">
        <v>45600.0</v>
      </c>
      <c r="G1334" s="1">
        <f>VLOOKUP(B1334,'old-aw-skill-plan'!A:I,7,FALSE)</f>
        <v>6</v>
      </c>
      <c r="H1334" s="1" t="str">
        <f>VLOOKUP(B1334,'old-aw-skill-plan'!A:I,9,FALSE)</f>
        <v>6-3</v>
      </c>
    </row>
    <row r="1335" ht="15.75" customHeight="1">
      <c r="A1335" s="1" t="s">
        <v>220</v>
      </c>
      <c r="B1335" s="1" t="s">
        <v>44</v>
      </c>
      <c r="C1335" s="1" t="s">
        <v>11</v>
      </c>
      <c r="D1335" s="5">
        <v>45600.0</v>
      </c>
      <c r="G1335" s="1">
        <f>VLOOKUP(B1335,'old-aw-skill-plan'!A:I,7,FALSE)</f>
        <v>5</v>
      </c>
      <c r="H1335" s="1" t="str">
        <f>VLOOKUP(B1335,'old-aw-skill-plan'!A:I,9,FALSE)</f>
        <v>5-1</v>
      </c>
    </row>
    <row r="1336" ht="15.75" customHeight="1">
      <c r="A1336" s="1" t="s">
        <v>220</v>
      </c>
      <c r="B1336" s="1" t="s">
        <v>348</v>
      </c>
      <c r="C1336" s="1" t="s">
        <v>11</v>
      </c>
      <c r="D1336" s="5">
        <v>45600.0</v>
      </c>
      <c r="G1336" s="1" t="str">
        <f>VLOOKUP(B1336,'old-aw-skill-plan'!A:I,7,FALSE)</f>
        <v>#N/A</v>
      </c>
      <c r="H1336" s="1" t="str">
        <f>VLOOKUP(B1336,'old-aw-skill-plan'!A:I,9,FALSE)</f>
        <v>#N/A</v>
      </c>
    </row>
    <row r="1337" ht="15.75" customHeight="1">
      <c r="A1337" s="1" t="s">
        <v>63</v>
      </c>
      <c r="B1337" s="1" t="s">
        <v>85</v>
      </c>
      <c r="C1337" s="1" t="s">
        <v>11</v>
      </c>
      <c r="D1337" s="5">
        <v>45600.0</v>
      </c>
      <c r="G1337" s="1">
        <f>VLOOKUP(B1337,'old-aw-skill-plan'!A:I,7,FALSE)</f>
        <v>5</v>
      </c>
      <c r="H1337" s="1" t="str">
        <f>VLOOKUP(B1337,'old-aw-skill-plan'!A:I,9,FALSE)</f>
        <v>5-8</v>
      </c>
    </row>
    <row r="1338" ht="15.75" customHeight="1">
      <c r="A1338" s="1" t="s">
        <v>183</v>
      </c>
      <c r="B1338" s="1" t="s">
        <v>327</v>
      </c>
      <c r="C1338" s="1" t="s">
        <v>11</v>
      </c>
      <c r="D1338" s="5">
        <v>45600.0</v>
      </c>
      <c r="G1338" s="1">
        <f>VLOOKUP(B1338,'old-aw-skill-plan'!A:I,7,FALSE)</f>
        <v>8</v>
      </c>
      <c r="H1338" s="1" t="str">
        <f>VLOOKUP(B1338,'old-aw-skill-plan'!A:I,9,FALSE)</f>
        <v>8-2</v>
      </c>
    </row>
    <row r="1339" ht="15.75" customHeight="1">
      <c r="A1339" s="1" t="s">
        <v>68</v>
      </c>
      <c r="B1339" s="1" t="s">
        <v>33</v>
      </c>
      <c r="C1339" s="1" t="s">
        <v>11</v>
      </c>
      <c r="D1339" s="5">
        <v>45600.0</v>
      </c>
      <c r="G1339" s="1">
        <f>VLOOKUP(B1339,'old-aw-skill-plan'!A:I,7,FALSE)</f>
        <v>3</v>
      </c>
      <c r="H1339" s="1" t="str">
        <f>VLOOKUP(B1339,'old-aw-skill-plan'!A:I,9,FALSE)</f>
        <v>3-5</v>
      </c>
    </row>
    <row r="1340" ht="15.75" customHeight="1">
      <c r="A1340" s="1" t="s">
        <v>214</v>
      </c>
      <c r="B1340" s="1" t="s">
        <v>327</v>
      </c>
      <c r="C1340" s="1" t="s">
        <v>11</v>
      </c>
      <c r="D1340" s="5">
        <v>45600.0</v>
      </c>
      <c r="G1340" s="1">
        <f>VLOOKUP(B1340,'old-aw-skill-plan'!A:I,7,FALSE)</f>
        <v>8</v>
      </c>
      <c r="H1340" s="1" t="str">
        <f>VLOOKUP(B1340,'old-aw-skill-plan'!A:I,9,FALSE)</f>
        <v>8-2</v>
      </c>
    </row>
    <row r="1341" ht="15.75" customHeight="1">
      <c r="A1341" s="1" t="s">
        <v>198</v>
      </c>
      <c r="B1341" s="1" t="s">
        <v>37</v>
      </c>
      <c r="C1341" s="1" t="s">
        <v>11</v>
      </c>
      <c r="D1341" s="5">
        <v>45600.0</v>
      </c>
      <c r="G1341" s="1">
        <f>VLOOKUP(B1341,'old-aw-skill-plan'!A:I,7,FALSE)</f>
        <v>4</v>
      </c>
      <c r="H1341" s="1" t="str">
        <f>VLOOKUP(B1341,'old-aw-skill-plan'!A:I,9,FALSE)</f>
        <v>4-2</v>
      </c>
    </row>
    <row r="1342" ht="15.75" customHeight="1">
      <c r="A1342" s="1" t="s">
        <v>74</v>
      </c>
      <c r="B1342" s="1" t="s">
        <v>44</v>
      </c>
      <c r="C1342" s="1" t="s">
        <v>11</v>
      </c>
      <c r="D1342" s="5">
        <v>45600.0</v>
      </c>
      <c r="G1342" s="1">
        <f>VLOOKUP(B1342,'old-aw-skill-plan'!A:I,7,FALSE)</f>
        <v>5</v>
      </c>
      <c r="H1342" s="1" t="str">
        <f>VLOOKUP(B1342,'old-aw-skill-plan'!A:I,9,FALSE)</f>
        <v>5-1</v>
      </c>
    </row>
    <row r="1343" ht="15.75" customHeight="1">
      <c r="A1343" s="1" t="s">
        <v>75</v>
      </c>
      <c r="B1343" s="1" t="s">
        <v>335</v>
      </c>
      <c r="C1343" s="1" t="s">
        <v>11</v>
      </c>
      <c r="D1343" s="5">
        <v>45600.0</v>
      </c>
      <c r="G1343" s="1">
        <f>VLOOKUP(B1343,'old-aw-skill-plan'!A:I,7,FALSE)</f>
        <v>6</v>
      </c>
      <c r="H1343" s="1" t="str">
        <f>VLOOKUP(B1343,'old-aw-skill-plan'!A:I,9,FALSE)</f>
        <v>6-2</v>
      </c>
    </row>
    <row r="1344" ht="15.75" customHeight="1">
      <c r="A1344" s="1" t="s">
        <v>100</v>
      </c>
      <c r="B1344" s="1" t="s">
        <v>346</v>
      </c>
      <c r="C1344" s="1" t="s">
        <v>11</v>
      </c>
      <c r="D1344" s="5">
        <v>45600.0</v>
      </c>
      <c r="G1344" s="1" t="str">
        <f>VLOOKUP(B1344,'old-aw-skill-plan'!A:I,7,FALSE)</f>
        <v>#N/A</v>
      </c>
      <c r="H1344" s="1" t="str">
        <f>VLOOKUP(B1344,'old-aw-skill-plan'!A:I,9,FALSE)</f>
        <v>#N/A</v>
      </c>
    </row>
    <row r="1345" ht="15.75" customHeight="1">
      <c r="A1345" s="1" t="s">
        <v>82</v>
      </c>
      <c r="B1345" s="1" t="s">
        <v>115</v>
      </c>
      <c r="C1345" s="1" t="s">
        <v>11</v>
      </c>
      <c r="D1345" s="5">
        <v>45600.0</v>
      </c>
      <c r="G1345" s="1">
        <f>VLOOKUP(B1345,'old-aw-skill-plan'!A:I,7,FALSE)</f>
        <v>3</v>
      </c>
      <c r="H1345" s="1" t="str">
        <f>VLOOKUP(B1345,'old-aw-skill-plan'!A:I,9,FALSE)</f>
        <v>3-10</v>
      </c>
    </row>
    <row r="1346" ht="15.75" customHeight="1">
      <c r="A1346" s="1" t="s">
        <v>326</v>
      </c>
      <c r="B1346" s="1" t="s">
        <v>85</v>
      </c>
      <c r="C1346" s="1" t="s">
        <v>11</v>
      </c>
      <c r="D1346" s="5">
        <v>45600.0</v>
      </c>
      <c r="G1346" s="1">
        <f>VLOOKUP(B1346,'old-aw-skill-plan'!A:I,7,FALSE)</f>
        <v>5</v>
      </c>
      <c r="H1346" s="1" t="str">
        <f>VLOOKUP(B1346,'old-aw-skill-plan'!A:I,9,FALSE)</f>
        <v>5-8</v>
      </c>
    </row>
    <row r="1347" ht="15.75" customHeight="1">
      <c r="A1347" s="1" t="s">
        <v>219</v>
      </c>
      <c r="B1347" s="1" t="s">
        <v>10</v>
      </c>
      <c r="C1347" s="1" t="s">
        <v>11</v>
      </c>
      <c r="D1347" s="5">
        <v>45600.0</v>
      </c>
      <c r="G1347" s="1">
        <f>VLOOKUP(B1347,'old-aw-skill-plan'!A:I,7,FALSE)</f>
        <v>3</v>
      </c>
      <c r="H1347" s="1" t="str">
        <f>VLOOKUP(B1347,'old-aw-skill-plan'!A:I,9,FALSE)</f>
        <v>3-1</v>
      </c>
    </row>
    <row r="1348" ht="15.75" customHeight="1">
      <c r="A1348" s="1" t="s">
        <v>220</v>
      </c>
      <c r="B1348" s="1" t="s">
        <v>44</v>
      </c>
      <c r="C1348" s="1" t="s">
        <v>11</v>
      </c>
      <c r="D1348" s="5">
        <v>45597.0</v>
      </c>
      <c r="G1348" s="1">
        <f>VLOOKUP(B1348,'old-aw-skill-plan'!A:I,7,FALSE)</f>
        <v>5</v>
      </c>
      <c r="H1348" s="1" t="str">
        <f>VLOOKUP(B1348,'old-aw-skill-plan'!A:I,9,FALSE)</f>
        <v>5-1</v>
      </c>
    </row>
    <row r="1349" ht="15.75" customHeight="1">
      <c r="A1349" s="1" t="s">
        <v>63</v>
      </c>
      <c r="B1349" s="1" t="s">
        <v>85</v>
      </c>
      <c r="C1349" s="1" t="s">
        <v>11</v>
      </c>
      <c r="D1349" s="5">
        <v>45597.0</v>
      </c>
      <c r="G1349" s="1">
        <f>VLOOKUP(B1349,'old-aw-skill-plan'!A:I,7,FALSE)</f>
        <v>5</v>
      </c>
      <c r="H1349" s="1" t="str">
        <f>VLOOKUP(B1349,'old-aw-skill-plan'!A:I,9,FALSE)</f>
        <v>5-8</v>
      </c>
    </row>
    <row r="1350" ht="15.75" customHeight="1">
      <c r="A1350" s="1" t="s">
        <v>183</v>
      </c>
      <c r="B1350" s="1" t="s">
        <v>327</v>
      </c>
      <c r="C1350" s="1" t="s">
        <v>11</v>
      </c>
      <c r="D1350" s="5">
        <v>45597.0</v>
      </c>
      <c r="G1350" s="1">
        <f>VLOOKUP(B1350,'old-aw-skill-plan'!A:I,7,FALSE)</f>
        <v>8</v>
      </c>
      <c r="H1350" s="1" t="str">
        <f>VLOOKUP(B1350,'old-aw-skill-plan'!A:I,9,FALSE)</f>
        <v>8-2</v>
      </c>
    </row>
    <row r="1351" ht="15.75" customHeight="1">
      <c r="A1351" s="1" t="s">
        <v>214</v>
      </c>
      <c r="B1351" s="1" t="s">
        <v>327</v>
      </c>
      <c r="C1351" s="1" t="s">
        <v>11</v>
      </c>
      <c r="D1351" s="5">
        <v>45597.0</v>
      </c>
      <c r="G1351" s="1">
        <f>VLOOKUP(B1351,'old-aw-skill-plan'!A:I,7,FALSE)</f>
        <v>8</v>
      </c>
      <c r="H1351" s="1" t="str">
        <f>VLOOKUP(B1351,'old-aw-skill-plan'!A:I,9,FALSE)</f>
        <v>8-2</v>
      </c>
    </row>
    <row r="1352" ht="15.75" customHeight="1">
      <c r="A1352" s="1" t="s">
        <v>214</v>
      </c>
      <c r="B1352" s="1" t="s">
        <v>349</v>
      </c>
      <c r="C1352" s="1" t="s">
        <v>11</v>
      </c>
      <c r="D1352" s="5">
        <v>45597.0</v>
      </c>
      <c r="G1352" s="1" t="str">
        <f>VLOOKUP(B1352,'old-aw-skill-plan'!A:I,7,FALSE)</f>
        <v>#N/A</v>
      </c>
      <c r="H1352" s="1" t="str">
        <f>VLOOKUP(B1352,'old-aw-skill-plan'!A:I,9,FALSE)</f>
        <v>#N/A</v>
      </c>
    </row>
    <row r="1353" ht="15.75" customHeight="1">
      <c r="A1353" s="1" t="s">
        <v>214</v>
      </c>
      <c r="B1353" s="1" t="s">
        <v>328</v>
      </c>
      <c r="C1353" s="1" t="s">
        <v>11</v>
      </c>
      <c r="D1353" s="5">
        <v>45597.0</v>
      </c>
      <c r="G1353" s="1" t="str">
        <f>VLOOKUP(B1353,'old-aw-skill-plan'!A:I,7,FALSE)</f>
        <v>#N/A</v>
      </c>
      <c r="H1353" s="1" t="str">
        <f>VLOOKUP(B1353,'old-aw-skill-plan'!A:I,9,FALSE)</f>
        <v>#N/A</v>
      </c>
    </row>
    <row r="1354" ht="15.75" customHeight="1">
      <c r="A1354" s="1" t="s">
        <v>198</v>
      </c>
      <c r="B1354" s="1" t="s">
        <v>34</v>
      </c>
      <c r="C1354" s="1" t="s">
        <v>11</v>
      </c>
      <c r="D1354" s="5">
        <v>45597.0</v>
      </c>
      <c r="G1354" s="1">
        <f>VLOOKUP(B1354,'old-aw-skill-plan'!A:I,7,FALSE)</f>
        <v>4</v>
      </c>
      <c r="H1354" s="1" t="str">
        <f>VLOOKUP(B1354,'old-aw-skill-plan'!A:I,9,FALSE)</f>
        <v>4-1</v>
      </c>
    </row>
    <row r="1355" ht="15.75" customHeight="1">
      <c r="A1355" s="1" t="s">
        <v>75</v>
      </c>
      <c r="B1355" s="1" t="s">
        <v>335</v>
      </c>
      <c r="C1355" s="1" t="s">
        <v>11</v>
      </c>
      <c r="D1355" s="5">
        <v>45597.0</v>
      </c>
      <c r="G1355" s="1">
        <f>VLOOKUP(B1355,'old-aw-skill-plan'!A:I,7,FALSE)</f>
        <v>6</v>
      </c>
      <c r="H1355" s="1" t="str">
        <f>VLOOKUP(B1355,'old-aw-skill-plan'!A:I,9,FALSE)</f>
        <v>6-2</v>
      </c>
    </row>
    <row r="1356" ht="15.75" customHeight="1">
      <c r="A1356" s="1" t="s">
        <v>82</v>
      </c>
      <c r="B1356" s="1" t="s">
        <v>115</v>
      </c>
      <c r="C1356" s="1" t="s">
        <v>11</v>
      </c>
      <c r="D1356" s="5">
        <v>45597.0</v>
      </c>
      <c r="G1356" s="1">
        <f>VLOOKUP(B1356,'old-aw-skill-plan'!A:I,7,FALSE)</f>
        <v>3</v>
      </c>
      <c r="H1356" s="1" t="str">
        <f>VLOOKUP(B1356,'old-aw-skill-plan'!A:I,9,FALSE)</f>
        <v>3-10</v>
      </c>
    </row>
    <row r="1357" ht="15.75" customHeight="1">
      <c r="A1357" s="1" t="s">
        <v>326</v>
      </c>
      <c r="B1357" s="1" t="s">
        <v>83</v>
      </c>
      <c r="C1357" s="1" t="s">
        <v>11</v>
      </c>
      <c r="D1357" s="5">
        <v>45597.0</v>
      </c>
      <c r="G1357" s="1">
        <f>VLOOKUP(B1357,'old-aw-skill-plan'!A:I,7,FALSE)</f>
        <v>5</v>
      </c>
      <c r="H1357" s="1" t="str">
        <f>VLOOKUP(B1357,'old-aw-skill-plan'!A:I,9,FALSE)</f>
        <v>5-9</v>
      </c>
    </row>
    <row r="1358" ht="15.75" customHeight="1">
      <c r="A1358" s="1" t="s">
        <v>24</v>
      </c>
      <c r="B1358" s="1" t="s">
        <v>314</v>
      </c>
      <c r="C1358" s="1" t="s">
        <v>11</v>
      </c>
      <c r="D1358" s="5">
        <v>45596.0</v>
      </c>
      <c r="G1358" s="1">
        <f>VLOOKUP(B1358,'old-aw-skill-plan'!A:I,7,FALSE)</f>
        <v>5</v>
      </c>
      <c r="H1358" s="1" t="str">
        <f>VLOOKUP(B1358,'old-aw-skill-plan'!A:I,9,FALSE)</f>
        <v>5-10</v>
      </c>
    </row>
    <row r="1359" ht="15.75" customHeight="1">
      <c r="A1359" s="1" t="s">
        <v>52</v>
      </c>
      <c r="B1359" s="1" t="s">
        <v>28</v>
      </c>
      <c r="C1359" s="1" t="s">
        <v>11</v>
      </c>
      <c r="D1359" s="5">
        <v>45596.0</v>
      </c>
      <c r="G1359" s="1">
        <f>VLOOKUP(B1359,'old-aw-skill-plan'!A:I,7,FALSE)</f>
        <v>3</v>
      </c>
      <c r="H1359" s="1" t="str">
        <f>VLOOKUP(B1359,'old-aw-skill-plan'!A:I,9,FALSE)</f>
        <v>3-4</v>
      </c>
    </row>
    <row r="1360" ht="15.75" customHeight="1">
      <c r="A1360" s="1" t="s">
        <v>220</v>
      </c>
      <c r="B1360" s="1" t="s">
        <v>115</v>
      </c>
      <c r="C1360" s="1" t="s">
        <v>11</v>
      </c>
      <c r="D1360" s="5">
        <v>45596.0</v>
      </c>
      <c r="G1360" s="1">
        <f>VLOOKUP(B1360,'old-aw-skill-plan'!A:I,7,FALSE)</f>
        <v>3</v>
      </c>
      <c r="H1360" s="1" t="str">
        <f>VLOOKUP(B1360,'old-aw-skill-plan'!A:I,9,FALSE)</f>
        <v>3-10</v>
      </c>
    </row>
    <row r="1361" ht="15.75" customHeight="1">
      <c r="A1361" s="1" t="s">
        <v>220</v>
      </c>
      <c r="B1361" s="1" t="s">
        <v>117</v>
      </c>
      <c r="C1361" s="1" t="s">
        <v>11</v>
      </c>
      <c r="D1361" s="5">
        <v>45596.0</v>
      </c>
      <c r="G1361" s="1">
        <f>VLOOKUP(B1361,'old-aw-skill-plan'!A:I,7,FALSE)</f>
        <v>3</v>
      </c>
      <c r="H1361" s="1" t="str">
        <f>VLOOKUP(B1361,'old-aw-skill-plan'!A:I,9,FALSE)</f>
        <v>3-11</v>
      </c>
    </row>
    <row r="1362" ht="15.75" customHeight="1">
      <c r="A1362" s="1" t="s">
        <v>220</v>
      </c>
      <c r="B1362" s="1" t="s">
        <v>118</v>
      </c>
      <c r="C1362" s="1" t="s">
        <v>11</v>
      </c>
      <c r="D1362" s="5">
        <v>45596.0</v>
      </c>
      <c r="G1362" s="1">
        <f>VLOOKUP(B1362,'old-aw-skill-plan'!A:I,7,FALSE)</f>
        <v>3</v>
      </c>
      <c r="H1362" s="1" t="str">
        <f>VLOOKUP(B1362,'old-aw-skill-plan'!A:I,9,FALSE)</f>
        <v>3-12</v>
      </c>
    </row>
    <row r="1363" ht="15.75" customHeight="1">
      <c r="A1363" s="1" t="s">
        <v>220</v>
      </c>
      <c r="B1363" s="1" t="s">
        <v>350</v>
      </c>
      <c r="C1363" s="1" t="s">
        <v>11</v>
      </c>
      <c r="D1363" s="5">
        <v>45596.0</v>
      </c>
      <c r="G1363" s="1">
        <f>VLOOKUP(B1363,'old-aw-skill-plan'!A:I,7,FALSE)</f>
        <v>3</v>
      </c>
      <c r="H1363" s="1" t="str">
        <f>VLOOKUP(B1363,'old-aw-skill-plan'!A:I,9,FALSE)</f>
        <v>3-6</v>
      </c>
    </row>
    <row r="1364" ht="15.75" customHeight="1">
      <c r="A1364" s="1" t="s">
        <v>220</v>
      </c>
      <c r="B1364" s="1" t="s">
        <v>320</v>
      </c>
      <c r="C1364" s="1" t="s">
        <v>11</v>
      </c>
      <c r="D1364" s="5">
        <v>45596.0</v>
      </c>
      <c r="G1364" s="1">
        <f>VLOOKUP(B1364,'old-aw-skill-plan'!A:I,7,FALSE)</f>
        <v>4</v>
      </c>
      <c r="H1364" s="1" t="str">
        <f>VLOOKUP(B1364,'old-aw-skill-plan'!A:I,9,FALSE)</f>
        <v>4-2</v>
      </c>
    </row>
    <row r="1365" ht="15.75" customHeight="1">
      <c r="A1365" s="1" t="s">
        <v>63</v>
      </c>
      <c r="B1365" s="1" t="s">
        <v>85</v>
      </c>
      <c r="C1365" s="1" t="s">
        <v>11</v>
      </c>
      <c r="D1365" s="5">
        <v>45596.0</v>
      </c>
      <c r="G1365" s="1">
        <f>VLOOKUP(B1365,'old-aw-skill-plan'!A:I,7,FALSE)</f>
        <v>5</v>
      </c>
      <c r="H1365" s="1" t="str">
        <f>VLOOKUP(B1365,'old-aw-skill-plan'!A:I,9,FALSE)</f>
        <v>5-8</v>
      </c>
    </row>
    <row r="1366" ht="15.75" customHeight="1">
      <c r="A1366" s="1" t="s">
        <v>68</v>
      </c>
      <c r="B1366" s="1" t="s">
        <v>33</v>
      </c>
      <c r="C1366" s="1" t="s">
        <v>11</v>
      </c>
      <c r="D1366" s="5">
        <v>45596.0</v>
      </c>
      <c r="G1366" s="1">
        <f>VLOOKUP(B1366,'old-aw-skill-plan'!A:I,7,FALSE)</f>
        <v>3</v>
      </c>
      <c r="H1366" s="1" t="str">
        <f>VLOOKUP(B1366,'old-aw-skill-plan'!A:I,9,FALSE)</f>
        <v>3-5</v>
      </c>
    </row>
    <row r="1367" ht="15.75" customHeight="1">
      <c r="A1367" s="1" t="s">
        <v>214</v>
      </c>
      <c r="B1367" s="1" t="s">
        <v>351</v>
      </c>
      <c r="C1367" s="1" t="s">
        <v>11</v>
      </c>
      <c r="D1367" s="5">
        <v>45596.0</v>
      </c>
      <c r="G1367" s="1">
        <f>VLOOKUP(B1367,'old-aw-skill-plan'!A:I,7,FALSE)</f>
        <v>7</v>
      </c>
      <c r="H1367" s="1" t="str">
        <f>VLOOKUP(B1367,'old-aw-skill-plan'!A:I,9,FALSE)</f>
        <v>7-6</v>
      </c>
    </row>
    <row r="1368" ht="15.75" customHeight="1">
      <c r="A1368" s="1" t="s">
        <v>74</v>
      </c>
      <c r="B1368" s="1" t="s">
        <v>97</v>
      </c>
      <c r="C1368" s="1" t="s">
        <v>11</v>
      </c>
      <c r="D1368" s="5">
        <v>45596.0</v>
      </c>
      <c r="G1368" s="1">
        <f>VLOOKUP(B1368,'old-aw-skill-plan'!A:I,7,FALSE)</f>
        <v>4</v>
      </c>
      <c r="H1368" s="1" t="str">
        <f>VLOOKUP(B1368,'old-aw-skill-plan'!A:I,9,FALSE)</f>
        <v>4-3</v>
      </c>
    </row>
    <row r="1369" ht="15.75" customHeight="1">
      <c r="A1369" s="1" t="s">
        <v>74</v>
      </c>
      <c r="B1369" s="1" t="s">
        <v>44</v>
      </c>
      <c r="C1369" s="1" t="s">
        <v>11</v>
      </c>
      <c r="D1369" s="5">
        <v>45596.0</v>
      </c>
      <c r="G1369" s="1">
        <f>VLOOKUP(B1369,'old-aw-skill-plan'!A:I,7,FALSE)</f>
        <v>5</v>
      </c>
      <c r="H1369" s="1" t="str">
        <f>VLOOKUP(B1369,'old-aw-skill-plan'!A:I,9,FALSE)</f>
        <v>5-1</v>
      </c>
    </row>
    <row r="1370" ht="15.75" customHeight="1">
      <c r="A1370" s="1" t="s">
        <v>75</v>
      </c>
      <c r="B1370" s="1" t="s">
        <v>91</v>
      </c>
      <c r="C1370" s="1" t="s">
        <v>11</v>
      </c>
      <c r="D1370" s="5">
        <v>45596.0</v>
      </c>
      <c r="G1370" s="1">
        <f>VLOOKUP(B1370,'old-aw-skill-plan'!A:I,7,FALSE)</f>
        <v>6</v>
      </c>
      <c r="H1370" s="1" t="str">
        <f>VLOOKUP(B1370,'old-aw-skill-plan'!A:I,9,FALSE)</f>
        <v>6-1</v>
      </c>
    </row>
    <row r="1371" ht="15.75" customHeight="1">
      <c r="A1371" s="1" t="s">
        <v>75</v>
      </c>
      <c r="B1371" s="1" t="s">
        <v>335</v>
      </c>
      <c r="C1371" s="1" t="s">
        <v>11</v>
      </c>
      <c r="D1371" s="5">
        <v>45596.0</v>
      </c>
      <c r="G1371" s="1">
        <f>VLOOKUP(B1371,'old-aw-skill-plan'!A:I,7,FALSE)</f>
        <v>6</v>
      </c>
      <c r="H1371" s="1" t="str">
        <f>VLOOKUP(B1371,'old-aw-skill-plan'!A:I,9,FALSE)</f>
        <v>6-2</v>
      </c>
    </row>
    <row r="1372" ht="15.75" customHeight="1">
      <c r="A1372" s="1" t="s">
        <v>100</v>
      </c>
      <c r="B1372" s="1" t="s">
        <v>346</v>
      </c>
      <c r="C1372" s="1" t="s">
        <v>11</v>
      </c>
      <c r="D1372" s="5">
        <v>45596.0</v>
      </c>
      <c r="G1372" s="1" t="str">
        <f>VLOOKUP(B1372,'old-aw-skill-plan'!A:I,7,FALSE)</f>
        <v>#N/A</v>
      </c>
      <c r="H1372" s="1" t="str">
        <f>VLOOKUP(B1372,'old-aw-skill-plan'!A:I,9,FALSE)</f>
        <v>#N/A</v>
      </c>
    </row>
    <row r="1373" ht="15.75" customHeight="1">
      <c r="A1373" s="1" t="s">
        <v>82</v>
      </c>
      <c r="B1373" s="1" t="s">
        <v>115</v>
      </c>
      <c r="C1373" s="1" t="s">
        <v>11</v>
      </c>
      <c r="D1373" s="5">
        <v>45596.0</v>
      </c>
      <c r="G1373" s="1">
        <f>VLOOKUP(B1373,'old-aw-skill-plan'!A:I,7,FALSE)</f>
        <v>3</v>
      </c>
      <c r="H1373" s="1" t="str">
        <f>VLOOKUP(B1373,'old-aw-skill-plan'!A:I,9,FALSE)</f>
        <v>3-10</v>
      </c>
    </row>
    <row r="1374" ht="15.75" customHeight="1">
      <c r="A1374" s="1" t="s">
        <v>219</v>
      </c>
      <c r="B1374" s="1" t="s">
        <v>10</v>
      </c>
      <c r="C1374" s="1" t="s">
        <v>11</v>
      </c>
      <c r="D1374" s="5">
        <v>45596.0</v>
      </c>
      <c r="G1374" s="1">
        <f>VLOOKUP(B1374,'old-aw-skill-plan'!A:I,7,FALSE)</f>
        <v>3</v>
      </c>
      <c r="H1374" s="1" t="str">
        <f>VLOOKUP(B1374,'old-aw-skill-plan'!A:I,9,FALSE)</f>
        <v>3-1</v>
      </c>
    </row>
    <row r="1375" ht="15.75" customHeight="1">
      <c r="A1375" s="1" t="s">
        <v>216</v>
      </c>
      <c r="B1375" s="1" t="s">
        <v>44</v>
      </c>
      <c r="C1375" s="1" t="s">
        <v>11</v>
      </c>
      <c r="D1375" s="5">
        <v>45595.0</v>
      </c>
      <c r="G1375" s="1">
        <f>VLOOKUP(B1375,'old-aw-skill-plan'!A:I,7,FALSE)</f>
        <v>5</v>
      </c>
      <c r="H1375" s="1" t="str">
        <f>VLOOKUP(B1375,'old-aw-skill-plan'!A:I,9,FALSE)</f>
        <v>5-1</v>
      </c>
    </row>
    <row r="1376" ht="15.75" customHeight="1">
      <c r="A1376" s="1" t="s">
        <v>24</v>
      </c>
      <c r="B1376" s="1" t="s">
        <v>314</v>
      </c>
      <c r="C1376" s="1" t="s">
        <v>11</v>
      </c>
      <c r="D1376" s="5">
        <v>45595.0</v>
      </c>
      <c r="G1376" s="1">
        <f>VLOOKUP(B1376,'old-aw-skill-plan'!A:I,7,FALSE)</f>
        <v>5</v>
      </c>
      <c r="H1376" s="1" t="str">
        <f>VLOOKUP(B1376,'old-aw-skill-plan'!A:I,9,FALSE)</f>
        <v>5-10</v>
      </c>
    </row>
    <row r="1377" ht="15.75" customHeight="1">
      <c r="A1377" s="1" t="s">
        <v>52</v>
      </c>
      <c r="B1377" s="1" t="s">
        <v>28</v>
      </c>
      <c r="C1377" s="1" t="s">
        <v>11</v>
      </c>
      <c r="D1377" s="5">
        <v>45595.0</v>
      </c>
      <c r="G1377" s="1">
        <f>VLOOKUP(B1377,'old-aw-skill-plan'!A:I,7,FALSE)</f>
        <v>3</v>
      </c>
      <c r="H1377" s="1" t="str">
        <f>VLOOKUP(B1377,'old-aw-skill-plan'!A:I,9,FALSE)</f>
        <v>3-4</v>
      </c>
    </row>
    <row r="1378" ht="15.75" customHeight="1">
      <c r="A1378" s="1" t="s">
        <v>183</v>
      </c>
      <c r="B1378" s="1" t="s">
        <v>327</v>
      </c>
      <c r="C1378" s="1" t="s">
        <v>11</v>
      </c>
      <c r="D1378" s="5">
        <v>45595.0</v>
      </c>
      <c r="G1378" s="1">
        <f>VLOOKUP(B1378,'old-aw-skill-plan'!A:I,7,FALSE)</f>
        <v>8</v>
      </c>
      <c r="H1378" s="1" t="str">
        <f>VLOOKUP(B1378,'old-aw-skill-plan'!A:I,9,FALSE)</f>
        <v>8-2</v>
      </c>
    </row>
    <row r="1379" ht="15.75" customHeight="1">
      <c r="A1379" s="1" t="s">
        <v>69</v>
      </c>
      <c r="B1379" s="1" t="s">
        <v>10</v>
      </c>
      <c r="C1379" s="1" t="s">
        <v>11</v>
      </c>
      <c r="D1379" s="5">
        <v>45595.0</v>
      </c>
      <c r="G1379" s="1">
        <f>VLOOKUP(B1379,'old-aw-skill-plan'!A:I,7,FALSE)</f>
        <v>3</v>
      </c>
      <c r="H1379" s="1" t="str">
        <f>VLOOKUP(B1379,'old-aw-skill-plan'!A:I,9,FALSE)</f>
        <v>3-1</v>
      </c>
    </row>
    <row r="1380" ht="15.75" customHeight="1">
      <c r="A1380" s="1" t="s">
        <v>214</v>
      </c>
      <c r="B1380" s="1" t="s">
        <v>352</v>
      </c>
      <c r="C1380" s="1" t="s">
        <v>11</v>
      </c>
      <c r="D1380" s="5">
        <v>45595.0</v>
      </c>
      <c r="G1380" s="1">
        <f>VLOOKUP(B1380,'old-aw-skill-plan'!A:I,7,FALSE)</f>
        <v>3</v>
      </c>
      <c r="H1380" s="1" t="str">
        <f>VLOOKUP(B1380,'old-aw-skill-plan'!A:I,9,FALSE)</f>
        <v>3-2</v>
      </c>
    </row>
    <row r="1381" ht="15.75" customHeight="1">
      <c r="A1381" s="1" t="s">
        <v>214</v>
      </c>
      <c r="B1381" s="1" t="s">
        <v>353</v>
      </c>
      <c r="C1381" s="1" t="s">
        <v>11</v>
      </c>
      <c r="D1381" s="5">
        <v>45595.0</v>
      </c>
      <c r="G1381" s="1">
        <f>VLOOKUP(B1381,'old-aw-skill-plan'!A:I,7,FALSE)</f>
        <v>7</v>
      </c>
      <c r="H1381" s="1" t="str">
        <f>VLOOKUP(B1381,'old-aw-skill-plan'!A:I,9,FALSE)</f>
        <v>7-6</v>
      </c>
    </row>
    <row r="1382" ht="15.75" customHeight="1">
      <c r="A1382" s="1" t="s">
        <v>75</v>
      </c>
      <c r="B1382" s="1" t="s">
        <v>118</v>
      </c>
      <c r="C1382" s="1" t="s">
        <v>11</v>
      </c>
      <c r="D1382" s="5">
        <v>45595.0</v>
      </c>
      <c r="G1382" s="1">
        <f>VLOOKUP(B1382,'old-aw-skill-plan'!A:I,7,FALSE)</f>
        <v>3</v>
      </c>
      <c r="H1382" s="1" t="str">
        <f>VLOOKUP(B1382,'old-aw-skill-plan'!A:I,9,FALSE)</f>
        <v>3-12</v>
      </c>
    </row>
    <row r="1383" ht="15.75" customHeight="1">
      <c r="A1383" s="1" t="s">
        <v>100</v>
      </c>
      <c r="B1383" s="1" t="s">
        <v>346</v>
      </c>
      <c r="C1383" s="1" t="s">
        <v>11</v>
      </c>
      <c r="D1383" s="5">
        <v>45595.0</v>
      </c>
      <c r="G1383" s="1" t="str">
        <f>VLOOKUP(B1383,'old-aw-skill-plan'!A:I,7,FALSE)</f>
        <v>#N/A</v>
      </c>
      <c r="H1383" s="1" t="str">
        <f>VLOOKUP(B1383,'old-aw-skill-plan'!A:I,9,FALSE)</f>
        <v>#N/A</v>
      </c>
    </row>
    <row r="1384" ht="15.75" customHeight="1">
      <c r="A1384" s="1" t="s">
        <v>82</v>
      </c>
      <c r="B1384" s="1" t="s">
        <v>115</v>
      </c>
      <c r="C1384" s="1" t="s">
        <v>11</v>
      </c>
      <c r="D1384" s="5">
        <v>45595.0</v>
      </c>
      <c r="G1384" s="1">
        <f>VLOOKUP(B1384,'old-aw-skill-plan'!A:I,7,FALSE)</f>
        <v>3</v>
      </c>
      <c r="H1384" s="1" t="str">
        <f>VLOOKUP(B1384,'old-aw-skill-plan'!A:I,9,FALSE)</f>
        <v>3-10</v>
      </c>
    </row>
    <row r="1385" ht="15.75" customHeight="1">
      <c r="A1385" s="1" t="s">
        <v>22</v>
      </c>
      <c r="B1385" s="1" t="s">
        <v>44</v>
      </c>
      <c r="C1385" s="1" t="s">
        <v>11</v>
      </c>
      <c r="D1385" s="5">
        <v>45594.0</v>
      </c>
      <c r="G1385" s="1">
        <f>VLOOKUP(B1385,'old-aw-skill-plan'!A:I,7,FALSE)</f>
        <v>5</v>
      </c>
      <c r="H1385" s="1" t="str">
        <f>VLOOKUP(B1385,'old-aw-skill-plan'!A:I,9,FALSE)</f>
        <v>5-1</v>
      </c>
    </row>
    <row r="1386" ht="15.75" customHeight="1">
      <c r="A1386" s="1" t="s">
        <v>24</v>
      </c>
      <c r="B1386" s="1" t="s">
        <v>314</v>
      </c>
      <c r="C1386" s="1" t="s">
        <v>11</v>
      </c>
      <c r="D1386" s="5">
        <v>45594.0</v>
      </c>
      <c r="G1386" s="1">
        <f>VLOOKUP(B1386,'old-aw-skill-plan'!A:I,7,FALSE)</f>
        <v>5</v>
      </c>
      <c r="H1386" s="1" t="str">
        <f>VLOOKUP(B1386,'old-aw-skill-plan'!A:I,9,FALSE)</f>
        <v>5-10</v>
      </c>
    </row>
    <row r="1387" ht="15.75" customHeight="1">
      <c r="A1387" s="1" t="s">
        <v>52</v>
      </c>
      <c r="B1387" s="1" t="s">
        <v>28</v>
      </c>
      <c r="C1387" s="1" t="s">
        <v>11</v>
      </c>
      <c r="D1387" s="5">
        <v>45594.0</v>
      </c>
      <c r="G1387" s="1">
        <f>VLOOKUP(B1387,'old-aw-skill-plan'!A:I,7,FALSE)</f>
        <v>3</v>
      </c>
      <c r="H1387" s="1" t="str">
        <f>VLOOKUP(B1387,'old-aw-skill-plan'!A:I,9,FALSE)</f>
        <v>3-4</v>
      </c>
    </row>
    <row r="1388" ht="15.75" customHeight="1">
      <c r="A1388" s="1" t="s">
        <v>220</v>
      </c>
      <c r="B1388" s="1" t="s">
        <v>136</v>
      </c>
      <c r="C1388" s="1" t="s">
        <v>11</v>
      </c>
      <c r="D1388" s="5">
        <v>45594.0</v>
      </c>
      <c r="G1388" s="1">
        <f>VLOOKUP(B1388,'old-aw-skill-plan'!A:I,7,FALSE)</f>
        <v>6</v>
      </c>
      <c r="H1388" s="1" t="str">
        <f>VLOOKUP(B1388,'old-aw-skill-plan'!A:I,9,FALSE)</f>
        <v>6-4</v>
      </c>
    </row>
    <row r="1389" ht="15.75" customHeight="1">
      <c r="A1389" s="1" t="s">
        <v>63</v>
      </c>
      <c r="B1389" s="1" t="s">
        <v>85</v>
      </c>
      <c r="C1389" s="1" t="s">
        <v>11</v>
      </c>
      <c r="D1389" s="5">
        <v>45594.0</v>
      </c>
      <c r="G1389" s="1">
        <f>VLOOKUP(B1389,'old-aw-skill-plan'!A:I,7,FALSE)</f>
        <v>5</v>
      </c>
      <c r="H1389" s="1" t="str">
        <f>VLOOKUP(B1389,'old-aw-skill-plan'!A:I,9,FALSE)</f>
        <v>5-8</v>
      </c>
    </row>
    <row r="1390" ht="15.75" customHeight="1">
      <c r="A1390" s="1" t="s">
        <v>68</v>
      </c>
      <c r="B1390" s="1" t="s">
        <v>33</v>
      </c>
      <c r="C1390" s="1" t="s">
        <v>11</v>
      </c>
      <c r="D1390" s="5">
        <v>45594.0</v>
      </c>
      <c r="G1390" s="1">
        <f>VLOOKUP(B1390,'old-aw-skill-plan'!A:I,7,FALSE)</f>
        <v>3</v>
      </c>
      <c r="H1390" s="1" t="str">
        <f>VLOOKUP(B1390,'old-aw-skill-plan'!A:I,9,FALSE)</f>
        <v>3-5</v>
      </c>
    </row>
    <row r="1391" ht="15.75" customHeight="1">
      <c r="A1391" s="1" t="s">
        <v>69</v>
      </c>
      <c r="B1391" s="1" t="s">
        <v>10</v>
      </c>
      <c r="C1391" s="1" t="s">
        <v>11</v>
      </c>
      <c r="D1391" s="5">
        <v>45594.0</v>
      </c>
      <c r="G1391" s="1">
        <f>VLOOKUP(B1391,'old-aw-skill-plan'!A:I,7,FALSE)</f>
        <v>3</v>
      </c>
      <c r="H1391" s="1" t="str">
        <f>VLOOKUP(B1391,'old-aw-skill-plan'!A:I,9,FALSE)</f>
        <v>3-1</v>
      </c>
    </row>
    <row r="1392" ht="15.75" customHeight="1">
      <c r="A1392" s="1" t="s">
        <v>214</v>
      </c>
      <c r="B1392" s="1" t="s">
        <v>115</v>
      </c>
      <c r="C1392" s="1" t="s">
        <v>11</v>
      </c>
      <c r="D1392" s="5">
        <v>45594.0</v>
      </c>
      <c r="G1392" s="1">
        <f>VLOOKUP(B1392,'old-aw-skill-plan'!A:I,7,FALSE)</f>
        <v>3</v>
      </c>
      <c r="H1392" s="1" t="str">
        <f>VLOOKUP(B1392,'old-aw-skill-plan'!A:I,9,FALSE)</f>
        <v>3-10</v>
      </c>
    </row>
    <row r="1393" ht="15.75" customHeight="1">
      <c r="A1393" s="1" t="s">
        <v>214</v>
      </c>
      <c r="B1393" s="1" t="s">
        <v>136</v>
      </c>
      <c r="C1393" s="1" t="s">
        <v>11</v>
      </c>
      <c r="D1393" s="5">
        <v>45594.0</v>
      </c>
      <c r="G1393" s="1">
        <f>VLOOKUP(B1393,'old-aw-skill-plan'!A:I,7,FALSE)</f>
        <v>6</v>
      </c>
      <c r="H1393" s="1" t="str">
        <f>VLOOKUP(B1393,'old-aw-skill-plan'!A:I,9,FALSE)</f>
        <v>6-4</v>
      </c>
    </row>
    <row r="1394" ht="15.75" customHeight="1">
      <c r="A1394" s="1" t="s">
        <v>214</v>
      </c>
      <c r="B1394" s="1" t="s">
        <v>354</v>
      </c>
      <c r="C1394" s="1" t="s">
        <v>11</v>
      </c>
      <c r="D1394" s="5">
        <v>45594.0</v>
      </c>
      <c r="G1394" s="1">
        <f>VLOOKUP(B1394,'old-aw-skill-plan'!A:I,7,FALSE)</f>
        <v>3</v>
      </c>
      <c r="H1394" s="1" t="str">
        <f>VLOOKUP(B1394,'old-aw-skill-plan'!A:I,9,FALSE)</f>
        <v>3-7</v>
      </c>
    </row>
    <row r="1395" ht="15.75" customHeight="1">
      <c r="A1395" s="1" t="s">
        <v>214</v>
      </c>
      <c r="B1395" s="1" t="s">
        <v>355</v>
      </c>
      <c r="C1395" s="1" t="s">
        <v>11</v>
      </c>
      <c r="D1395" s="5">
        <v>45594.0</v>
      </c>
      <c r="G1395" s="1">
        <f>VLOOKUP(B1395,'old-aw-skill-plan'!A:I,7,FALSE)</f>
        <v>6</v>
      </c>
      <c r="H1395" s="1" t="str">
        <f>VLOOKUP(B1395,'old-aw-skill-plan'!A:I,9,FALSE)</f>
        <v>6-3</v>
      </c>
    </row>
    <row r="1396" ht="15.75" customHeight="1">
      <c r="A1396" s="1" t="s">
        <v>214</v>
      </c>
      <c r="B1396" s="1" t="s">
        <v>356</v>
      </c>
      <c r="C1396" s="1" t="s">
        <v>11</v>
      </c>
      <c r="D1396" s="5">
        <v>45594.0</v>
      </c>
      <c r="G1396" s="1">
        <f>VLOOKUP(B1396,'old-aw-skill-plan'!A:I,7,FALSE)</f>
        <v>3</v>
      </c>
      <c r="H1396" s="1" t="str">
        <f>VLOOKUP(B1396,'old-aw-skill-plan'!A:I,9,FALSE)</f>
        <v>3-2</v>
      </c>
    </row>
    <row r="1397" ht="15.75" customHeight="1">
      <c r="A1397" s="1" t="s">
        <v>214</v>
      </c>
      <c r="B1397" s="1" t="s">
        <v>352</v>
      </c>
      <c r="C1397" s="1" t="s">
        <v>11</v>
      </c>
      <c r="D1397" s="5">
        <v>45594.0</v>
      </c>
      <c r="G1397" s="1">
        <f>VLOOKUP(B1397,'old-aw-skill-plan'!A:I,7,FALSE)</f>
        <v>3</v>
      </c>
      <c r="H1397" s="1" t="str">
        <f>VLOOKUP(B1397,'old-aw-skill-plan'!A:I,9,FALSE)</f>
        <v>3-2</v>
      </c>
    </row>
    <row r="1398" ht="15.75" customHeight="1">
      <c r="A1398" s="1" t="s">
        <v>214</v>
      </c>
      <c r="B1398" s="1" t="s">
        <v>345</v>
      </c>
      <c r="C1398" s="1" t="s">
        <v>11</v>
      </c>
      <c r="D1398" s="5">
        <v>45594.0</v>
      </c>
      <c r="G1398" s="1">
        <f>VLOOKUP(B1398,'old-aw-skill-plan'!A:I,7,FALSE)</f>
        <v>8</v>
      </c>
      <c r="H1398" s="1" t="str">
        <f>VLOOKUP(B1398,'old-aw-skill-plan'!A:I,9,FALSE)</f>
        <v>8-3</v>
      </c>
    </row>
    <row r="1399" ht="15.75" customHeight="1">
      <c r="A1399" s="1" t="s">
        <v>214</v>
      </c>
      <c r="B1399" s="1" t="s">
        <v>349</v>
      </c>
      <c r="C1399" s="1" t="s">
        <v>11</v>
      </c>
      <c r="D1399" s="5">
        <v>45594.0</v>
      </c>
      <c r="G1399" s="1" t="str">
        <f>VLOOKUP(B1399,'old-aw-skill-plan'!A:I,7,FALSE)</f>
        <v>#N/A</v>
      </c>
      <c r="H1399" s="1" t="str">
        <f>VLOOKUP(B1399,'old-aw-skill-plan'!A:I,9,FALSE)</f>
        <v>#N/A</v>
      </c>
    </row>
    <row r="1400" ht="15.75" customHeight="1">
      <c r="A1400" s="1" t="s">
        <v>74</v>
      </c>
      <c r="B1400" s="1" t="s">
        <v>44</v>
      </c>
      <c r="C1400" s="1" t="s">
        <v>11</v>
      </c>
      <c r="D1400" s="5">
        <v>45594.0</v>
      </c>
      <c r="G1400" s="1">
        <f>VLOOKUP(B1400,'old-aw-skill-plan'!A:I,7,FALSE)</f>
        <v>5</v>
      </c>
      <c r="H1400" s="1" t="str">
        <f>VLOOKUP(B1400,'old-aw-skill-plan'!A:I,9,FALSE)</f>
        <v>5-1</v>
      </c>
    </row>
    <row r="1401" ht="15.75" customHeight="1">
      <c r="A1401" s="1" t="s">
        <v>74</v>
      </c>
      <c r="B1401" s="1" t="s">
        <v>103</v>
      </c>
      <c r="C1401" s="1" t="s">
        <v>11</v>
      </c>
      <c r="D1401" s="5">
        <v>45594.0</v>
      </c>
      <c r="G1401" s="1">
        <f>VLOOKUP(B1401,'old-aw-skill-plan'!A:I,7,FALSE)</f>
        <v>5</v>
      </c>
      <c r="H1401" s="1" t="str">
        <f>VLOOKUP(B1401,'old-aw-skill-plan'!A:I,9,FALSE)</f>
        <v>5-3</v>
      </c>
    </row>
    <row r="1402" ht="15.75" customHeight="1">
      <c r="A1402" s="1" t="s">
        <v>75</v>
      </c>
      <c r="B1402" s="1" t="s">
        <v>118</v>
      </c>
      <c r="C1402" s="1" t="s">
        <v>11</v>
      </c>
      <c r="D1402" s="5">
        <v>45594.0</v>
      </c>
      <c r="G1402" s="1">
        <f>VLOOKUP(B1402,'old-aw-skill-plan'!A:I,7,FALSE)</f>
        <v>3</v>
      </c>
      <c r="H1402" s="1" t="str">
        <f>VLOOKUP(B1402,'old-aw-skill-plan'!A:I,9,FALSE)</f>
        <v>3-12</v>
      </c>
    </row>
    <row r="1403" ht="15.75" customHeight="1">
      <c r="A1403" s="1" t="s">
        <v>100</v>
      </c>
      <c r="B1403" s="1" t="s">
        <v>346</v>
      </c>
      <c r="C1403" s="1" t="s">
        <v>11</v>
      </c>
      <c r="D1403" s="5">
        <v>45594.0</v>
      </c>
      <c r="G1403" s="1" t="str">
        <f>VLOOKUP(B1403,'old-aw-skill-plan'!A:I,7,FALSE)</f>
        <v>#N/A</v>
      </c>
      <c r="H1403" s="1" t="str">
        <f>VLOOKUP(B1403,'old-aw-skill-plan'!A:I,9,FALSE)</f>
        <v>#N/A</v>
      </c>
    </row>
    <row r="1404" ht="15.75" customHeight="1">
      <c r="A1404" s="1" t="s">
        <v>82</v>
      </c>
      <c r="B1404" s="1" t="s">
        <v>115</v>
      </c>
      <c r="C1404" s="1" t="s">
        <v>11</v>
      </c>
      <c r="D1404" s="5">
        <v>45594.0</v>
      </c>
      <c r="G1404" s="1">
        <f>VLOOKUP(B1404,'old-aw-skill-plan'!A:I,7,FALSE)</f>
        <v>3</v>
      </c>
      <c r="H1404" s="1" t="str">
        <f>VLOOKUP(B1404,'old-aw-skill-plan'!A:I,9,FALSE)</f>
        <v>3-10</v>
      </c>
    </row>
    <row r="1405" ht="15.75" customHeight="1">
      <c r="A1405" s="1" t="s">
        <v>20</v>
      </c>
      <c r="B1405" s="1" t="s">
        <v>34</v>
      </c>
      <c r="C1405" s="1" t="s">
        <v>11</v>
      </c>
      <c r="D1405" s="5">
        <v>45593.0</v>
      </c>
      <c r="G1405" s="1">
        <f>VLOOKUP(B1405,'old-aw-skill-plan'!A:I,7,FALSE)</f>
        <v>4</v>
      </c>
      <c r="H1405" s="1" t="str">
        <f>VLOOKUP(B1405,'old-aw-skill-plan'!A:I,9,FALSE)</f>
        <v>4-1</v>
      </c>
    </row>
    <row r="1406" ht="15.75" customHeight="1">
      <c r="A1406" s="1" t="s">
        <v>20</v>
      </c>
      <c r="B1406" s="1" t="s">
        <v>37</v>
      </c>
      <c r="C1406" s="1" t="s">
        <v>11</v>
      </c>
      <c r="D1406" s="5">
        <v>45593.0</v>
      </c>
      <c r="G1406" s="1">
        <f>VLOOKUP(B1406,'old-aw-skill-plan'!A:I,7,FALSE)</f>
        <v>4</v>
      </c>
      <c r="H1406" s="1" t="str">
        <f>VLOOKUP(B1406,'old-aw-skill-plan'!A:I,9,FALSE)</f>
        <v>4-2</v>
      </c>
    </row>
    <row r="1407" ht="15.75" customHeight="1">
      <c r="A1407" s="1" t="s">
        <v>24</v>
      </c>
      <c r="B1407" s="1" t="s">
        <v>314</v>
      </c>
      <c r="C1407" s="1" t="s">
        <v>11</v>
      </c>
      <c r="D1407" s="5">
        <v>45593.0</v>
      </c>
      <c r="G1407" s="1">
        <f>VLOOKUP(B1407,'old-aw-skill-plan'!A:I,7,FALSE)</f>
        <v>5</v>
      </c>
      <c r="H1407" s="1" t="str">
        <f>VLOOKUP(B1407,'old-aw-skill-plan'!A:I,9,FALSE)</f>
        <v>5-10</v>
      </c>
    </row>
    <row r="1408" ht="15.75" customHeight="1">
      <c r="A1408" s="1" t="s">
        <v>52</v>
      </c>
      <c r="B1408" s="1" t="s">
        <v>28</v>
      </c>
      <c r="C1408" s="1" t="s">
        <v>11</v>
      </c>
      <c r="D1408" s="5">
        <v>45593.0</v>
      </c>
      <c r="G1408" s="1">
        <f>VLOOKUP(B1408,'old-aw-skill-plan'!A:I,7,FALSE)</f>
        <v>3</v>
      </c>
      <c r="H1408" s="1" t="str">
        <f>VLOOKUP(B1408,'old-aw-skill-plan'!A:I,9,FALSE)</f>
        <v>3-4</v>
      </c>
    </row>
    <row r="1409" ht="15.75" customHeight="1">
      <c r="A1409" s="1" t="s">
        <v>199</v>
      </c>
      <c r="B1409" s="1" t="s">
        <v>79</v>
      </c>
      <c r="C1409" s="1" t="s">
        <v>11</v>
      </c>
      <c r="D1409" s="5">
        <v>45593.0</v>
      </c>
      <c r="G1409" s="1">
        <f>VLOOKUP(B1409,'old-aw-skill-plan'!A:I,7,FALSE)</f>
        <v>4</v>
      </c>
      <c r="H1409" s="1" t="str">
        <f>VLOOKUP(B1409,'old-aw-skill-plan'!A:I,9,FALSE)</f>
        <v>4-8</v>
      </c>
    </row>
    <row r="1410" ht="15.75" customHeight="1">
      <c r="A1410" s="1" t="s">
        <v>220</v>
      </c>
      <c r="B1410" s="1" t="s">
        <v>44</v>
      </c>
      <c r="C1410" s="1" t="s">
        <v>11</v>
      </c>
      <c r="D1410" s="5">
        <v>45593.0</v>
      </c>
      <c r="G1410" s="1">
        <f>VLOOKUP(B1410,'old-aw-skill-plan'!A:I,7,FALSE)</f>
        <v>5</v>
      </c>
      <c r="H1410" s="1" t="str">
        <f>VLOOKUP(B1410,'old-aw-skill-plan'!A:I,9,FALSE)</f>
        <v>5-1</v>
      </c>
    </row>
    <row r="1411" ht="15.75" customHeight="1">
      <c r="A1411" s="1" t="s">
        <v>220</v>
      </c>
      <c r="B1411" s="1" t="s">
        <v>130</v>
      </c>
      <c r="C1411" s="1" t="s">
        <v>11</v>
      </c>
      <c r="D1411" s="5">
        <v>45593.0</v>
      </c>
      <c r="G1411" s="1">
        <f>VLOOKUP(B1411,'old-aw-skill-plan'!A:I,7,FALSE)</f>
        <v>8</v>
      </c>
      <c r="H1411" s="1" t="str">
        <f>VLOOKUP(B1411,'old-aw-skill-plan'!A:I,9,FALSE)</f>
        <v>8-1</v>
      </c>
    </row>
    <row r="1412" ht="15.75" customHeight="1">
      <c r="A1412" s="1" t="s">
        <v>63</v>
      </c>
      <c r="B1412" s="1" t="s">
        <v>85</v>
      </c>
      <c r="C1412" s="1" t="s">
        <v>11</v>
      </c>
      <c r="D1412" s="5">
        <v>45593.0</v>
      </c>
      <c r="G1412" s="1">
        <f>VLOOKUP(B1412,'old-aw-skill-plan'!A:I,7,FALSE)</f>
        <v>5</v>
      </c>
      <c r="H1412" s="1" t="str">
        <f>VLOOKUP(B1412,'old-aw-skill-plan'!A:I,9,FALSE)</f>
        <v>5-8</v>
      </c>
    </row>
    <row r="1413" ht="15.75" customHeight="1">
      <c r="A1413" s="1" t="s">
        <v>183</v>
      </c>
      <c r="B1413" s="1" t="s">
        <v>327</v>
      </c>
      <c r="C1413" s="1" t="s">
        <v>11</v>
      </c>
      <c r="D1413" s="5">
        <v>45593.0</v>
      </c>
      <c r="G1413" s="1">
        <f>VLOOKUP(B1413,'old-aw-skill-plan'!A:I,7,FALSE)</f>
        <v>8</v>
      </c>
      <c r="H1413" s="1" t="str">
        <f>VLOOKUP(B1413,'old-aw-skill-plan'!A:I,9,FALSE)</f>
        <v>8-2</v>
      </c>
    </row>
    <row r="1414" ht="15.75" customHeight="1">
      <c r="A1414" s="1" t="s">
        <v>68</v>
      </c>
      <c r="B1414" s="1" t="s">
        <v>33</v>
      </c>
      <c r="C1414" s="1" t="s">
        <v>11</v>
      </c>
      <c r="D1414" s="5">
        <v>45593.0</v>
      </c>
      <c r="G1414" s="1">
        <f>VLOOKUP(B1414,'old-aw-skill-plan'!A:I,7,FALSE)</f>
        <v>3</v>
      </c>
      <c r="H1414" s="1" t="str">
        <f>VLOOKUP(B1414,'old-aw-skill-plan'!A:I,9,FALSE)</f>
        <v>3-5</v>
      </c>
    </row>
    <row r="1415" ht="15.75" customHeight="1">
      <c r="A1415" s="1" t="s">
        <v>69</v>
      </c>
      <c r="B1415" s="1" t="s">
        <v>10</v>
      </c>
      <c r="C1415" s="1" t="s">
        <v>11</v>
      </c>
      <c r="D1415" s="5">
        <v>45593.0</v>
      </c>
      <c r="G1415" s="1">
        <f>VLOOKUP(B1415,'old-aw-skill-plan'!A:I,7,FALSE)</f>
        <v>3</v>
      </c>
      <c r="H1415" s="1" t="str">
        <f>VLOOKUP(B1415,'old-aw-skill-plan'!A:I,9,FALSE)</f>
        <v>3-1</v>
      </c>
    </row>
    <row r="1416" ht="15.75" customHeight="1">
      <c r="A1416" s="1" t="s">
        <v>214</v>
      </c>
      <c r="B1416" s="1" t="s">
        <v>357</v>
      </c>
      <c r="C1416" s="1" t="s">
        <v>11</v>
      </c>
      <c r="D1416" s="5">
        <v>45593.0</v>
      </c>
      <c r="G1416" s="1">
        <f>VLOOKUP(B1416,'old-aw-skill-plan'!A:I,7,FALSE)</f>
        <v>6</v>
      </c>
      <c r="H1416" s="1" t="str">
        <f>VLOOKUP(B1416,'old-aw-skill-plan'!A:I,9,FALSE)</f>
        <v>6-1</v>
      </c>
    </row>
    <row r="1417" ht="15.75" customHeight="1">
      <c r="A1417" s="1" t="s">
        <v>214</v>
      </c>
      <c r="B1417" s="1" t="s">
        <v>327</v>
      </c>
      <c r="C1417" s="1" t="s">
        <v>11</v>
      </c>
      <c r="D1417" s="5">
        <v>45593.0</v>
      </c>
      <c r="G1417" s="1">
        <f>VLOOKUP(B1417,'old-aw-skill-plan'!A:I,7,FALSE)</f>
        <v>8</v>
      </c>
      <c r="H1417" s="1" t="str">
        <f>VLOOKUP(B1417,'old-aw-skill-plan'!A:I,9,FALSE)</f>
        <v>8-2</v>
      </c>
    </row>
    <row r="1418" ht="15.75" customHeight="1">
      <c r="A1418" s="1" t="s">
        <v>214</v>
      </c>
      <c r="B1418" s="1" t="s">
        <v>358</v>
      </c>
      <c r="C1418" s="1" t="s">
        <v>11</v>
      </c>
      <c r="D1418" s="5">
        <v>45593.0</v>
      </c>
      <c r="G1418" s="1" t="str">
        <f>VLOOKUP(B1418,'old-aw-skill-plan'!A:I,7,FALSE)</f>
        <v>#N/A</v>
      </c>
      <c r="H1418" s="1" t="str">
        <f>VLOOKUP(B1418,'old-aw-skill-plan'!A:I,9,FALSE)</f>
        <v>#N/A</v>
      </c>
    </row>
    <row r="1419" ht="15.75" customHeight="1">
      <c r="A1419" s="1" t="s">
        <v>74</v>
      </c>
      <c r="B1419" s="1" t="s">
        <v>44</v>
      </c>
      <c r="C1419" s="1" t="s">
        <v>11</v>
      </c>
      <c r="D1419" s="5">
        <v>45593.0</v>
      </c>
      <c r="G1419" s="1">
        <f>VLOOKUP(B1419,'old-aw-skill-plan'!A:I,7,FALSE)</f>
        <v>5</v>
      </c>
      <c r="H1419" s="1" t="str">
        <f>VLOOKUP(B1419,'old-aw-skill-plan'!A:I,9,FALSE)</f>
        <v>5-1</v>
      </c>
    </row>
    <row r="1420" ht="15.75" customHeight="1">
      <c r="A1420" s="1" t="s">
        <v>75</v>
      </c>
      <c r="B1420" s="1" t="s">
        <v>117</v>
      </c>
      <c r="C1420" s="1" t="s">
        <v>11</v>
      </c>
      <c r="D1420" s="5">
        <v>45593.0</v>
      </c>
      <c r="G1420" s="1">
        <f>VLOOKUP(B1420,'old-aw-skill-plan'!A:I,7,FALSE)</f>
        <v>3</v>
      </c>
      <c r="H1420" s="1" t="str">
        <f>VLOOKUP(B1420,'old-aw-skill-plan'!A:I,9,FALSE)</f>
        <v>3-11</v>
      </c>
    </row>
    <row r="1421" ht="15.75" customHeight="1">
      <c r="A1421" s="1" t="s">
        <v>75</v>
      </c>
      <c r="B1421" s="1" t="s">
        <v>118</v>
      </c>
      <c r="C1421" s="1" t="s">
        <v>11</v>
      </c>
      <c r="D1421" s="5">
        <v>45593.0</v>
      </c>
      <c r="G1421" s="1">
        <f>VLOOKUP(B1421,'old-aw-skill-plan'!A:I,7,FALSE)</f>
        <v>3</v>
      </c>
      <c r="H1421" s="1" t="str">
        <f>VLOOKUP(B1421,'old-aw-skill-plan'!A:I,9,FALSE)</f>
        <v>3-12</v>
      </c>
    </row>
    <row r="1422" ht="15.75" customHeight="1">
      <c r="A1422" s="1" t="s">
        <v>100</v>
      </c>
      <c r="B1422" s="1" t="s">
        <v>346</v>
      </c>
      <c r="C1422" s="1" t="s">
        <v>11</v>
      </c>
      <c r="D1422" s="5">
        <v>45593.0</v>
      </c>
      <c r="G1422" s="1" t="str">
        <f>VLOOKUP(B1422,'old-aw-skill-plan'!A:I,7,FALSE)</f>
        <v>#N/A</v>
      </c>
      <c r="H1422" s="1" t="str">
        <f>VLOOKUP(B1422,'old-aw-skill-plan'!A:I,9,FALSE)</f>
        <v>#N/A</v>
      </c>
    </row>
    <row r="1423" ht="15.75" customHeight="1">
      <c r="A1423" s="1" t="s">
        <v>82</v>
      </c>
      <c r="B1423" s="1" t="s">
        <v>115</v>
      </c>
      <c r="C1423" s="1" t="s">
        <v>11</v>
      </c>
      <c r="D1423" s="5">
        <v>45593.0</v>
      </c>
      <c r="G1423" s="1">
        <f>VLOOKUP(B1423,'old-aw-skill-plan'!A:I,7,FALSE)</f>
        <v>3</v>
      </c>
      <c r="H1423" s="1" t="str">
        <f>VLOOKUP(B1423,'old-aw-skill-plan'!A:I,9,FALSE)</f>
        <v>3-10</v>
      </c>
    </row>
    <row r="1424" ht="15.75" customHeight="1">
      <c r="A1424" s="1" t="s">
        <v>52</v>
      </c>
      <c r="B1424" s="1" t="s">
        <v>28</v>
      </c>
      <c r="C1424" s="1" t="s">
        <v>11</v>
      </c>
      <c r="D1424" s="5">
        <v>45591.0</v>
      </c>
      <c r="G1424" s="1">
        <f>VLOOKUP(B1424,'old-aw-skill-plan'!A:I,7,FALSE)</f>
        <v>3</v>
      </c>
      <c r="H1424" s="1" t="str">
        <f>VLOOKUP(B1424,'old-aw-skill-plan'!A:I,9,FALSE)</f>
        <v>3-4</v>
      </c>
    </row>
    <row r="1425" ht="15.75" customHeight="1">
      <c r="A1425" s="1" t="s">
        <v>20</v>
      </c>
      <c r="B1425" s="1" t="s">
        <v>34</v>
      </c>
      <c r="C1425" s="1" t="s">
        <v>11</v>
      </c>
      <c r="D1425" s="5">
        <v>45590.0</v>
      </c>
      <c r="G1425" s="1">
        <f>VLOOKUP(B1425,'old-aw-skill-plan'!A:I,7,FALSE)</f>
        <v>4</v>
      </c>
      <c r="H1425" s="1" t="str">
        <f>VLOOKUP(B1425,'old-aw-skill-plan'!A:I,9,FALSE)</f>
        <v>4-1</v>
      </c>
    </row>
    <row r="1426" ht="15.75" customHeight="1">
      <c r="A1426" s="1" t="s">
        <v>24</v>
      </c>
      <c r="B1426" s="1" t="s">
        <v>314</v>
      </c>
      <c r="C1426" s="1" t="s">
        <v>11</v>
      </c>
      <c r="D1426" s="5">
        <v>45590.0</v>
      </c>
      <c r="G1426" s="1">
        <f>VLOOKUP(B1426,'old-aw-skill-plan'!A:I,7,FALSE)</f>
        <v>5</v>
      </c>
      <c r="H1426" s="1" t="str">
        <f>VLOOKUP(B1426,'old-aw-skill-plan'!A:I,9,FALSE)</f>
        <v>5-10</v>
      </c>
    </row>
    <row r="1427" ht="15.75" customHeight="1">
      <c r="A1427" s="1" t="s">
        <v>183</v>
      </c>
      <c r="B1427" s="1" t="s">
        <v>327</v>
      </c>
      <c r="C1427" s="1" t="s">
        <v>11</v>
      </c>
      <c r="D1427" s="5">
        <v>45590.0</v>
      </c>
      <c r="G1427" s="1">
        <f>VLOOKUP(B1427,'old-aw-skill-plan'!A:I,7,FALSE)</f>
        <v>8</v>
      </c>
      <c r="H1427" s="1" t="str">
        <f>VLOOKUP(B1427,'old-aw-skill-plan'!A:I,9,FALSE)</f>
        <v>8-2</v>
      </c>
    </row>
    <row r="1428" ht="15.75" customHeight="1">
      <c r="A1428" s="1" t="s">
        <v>68</v>
      </c>
      <c r="B1428" s="1" t="s">
        <v>33</v>
      </c>
      <c r="C1428" s="1" t="s">
        <v>11</v>
      </c>
      <c r="D1428" s="5">
        <v>45590.0</v>
      </c>
      <c r="G1428" s="1">
        <f>VLOOKUP(B1428,'old-aw-skill-plan'!A:I,7,FALSE)</f>
        <v>3</v>
      </c>
      <c r="H1428" s="1" t="str">
        <f>VLOOKUP(B1428,'old-aw-skill-plan'!A:I,9,FALSE)</f>
        <v>3-5</v>
      </c>
    </row>
    <row r="1429" ht="15.75" customHeight="1">
      <c r="A1429" s="1" t="s">
        <v>214</v>
      </c>
      <c r="B1429" s="1" t="s">
        <v>327</v>
      </c>
      <c r="C1429" s="1" t="s">
        <v>11</v>
      </c>
      <c r="D1429" s="5">
        <v>45590.0</v>
      </c>
      <c r="G1429" s="1">
        <f>VLOOKUP(B1429,'old-aw-skill-plan'!A:I,7,FALSE)</f>
        <v>8</v>
      </c>
      <c r="H1429" s="1" t="str">
        <f>VLOOKUP(B1429,'old-aw-skill-plan'!A:I,9,FALSE)</f>
        <v>8-2</v>
      </c>
    </row>
    <row r="1430" ht="15.75" customHeight="1">
      <c r="A1430" s="1" t="s">
        <v>214</v>
      </c>
      <c r="B1430" s="1" t="s">
        <v>142</v>
      </c>
      <c r="C1430" s="1" t="s">
        <v>11</v>
      </c>
      <c r="D1430" s="5">
        <v>45590.0</v>
      </c>
      <c r="G1430" s="1">
        <f>VLOOKUP(B1430,'old-aw-skill-plan'!A:I,7,FALSE)</f>
        <v>8</v>
      </c>
      <c r="H1430" s="1" t="str">
        <f>VLOOKUP(B1430,'old-aw-skill-plan'!A:I,9,FALSE)</f>
        <v>8-6</v>
      </c>
    </row>
    <row r="1431" ht="15.75" customHeight="1">
      <c r="A1431" s="1" t="s">
        <v>214</v>
      </c>
      <c r="B1431" s="1" t="s">
        <v>359</v>
      </c>
      <c r="C1431" s="1" t="s">
        <v>11</v>
      </c>
      <c r="D1431" s="5">
        <v>45590.0</v>
      </c>
      <c r="G1431" s="1" t="str">
        <f>VLOOKUP(B1431,'old-aw-skill-plan'!A:I,7,FALSE)</f>
        <v>#N/A</v>
      </c>
      <c r="H1431" s="1" t="str">
        <f>VLOOKUP(B1431,'old-aw-skill-plan'!A:I,9,FALSE)</f>
        <v>#N/A</v>
      </c>
    </row>
    <row r="1432" ht="15.75" customHeight="1">
      <c r="A1432" s="1" t="s">
        <v>214</v>
      </c>
      <c r="B1432" s="1" t="s">
        <v>339</v>
      </c>
      <c r="C1432" s="1" t="s">
        <v>11</v>
      </c>
      <c r="D1432" s="5">
        <v>45590.0</v>
      </c>
      <c r="G1432" s="1" t="str">
        <f>VLOOKUP(B1432,'old-aw-skill-plan'!A:I,7,FALSE)</f>
        <v>#N/A</v>
      </c>
      <c r="H1432" s="1" t="str">
        <f>VLOOKUP(B1432,'old-aw-skill-plan'!A:I,9,FALSE)</f>
        <v>#N/A</v>
      </c>
    </row>
    <row r="1433" ht="15.75" customHeight="1">
      <c r="A1433" s="1" t="s">
        <v>197</v>
      </c>
      <c r="B1433" s="1" t="s">
        <v>360</v>
      </c>
      <c r="C1433" s="1" t="s">
        <v>11</v>
      </c>
      <c r="D1433" s="5">
        <v>45590.0</v>
      </c>
      <c r="G1433" s="1">
        <f>VLOOKUP(B1433,'old-aw-skill-plan'!A:I,7,FALSE)</f>
        <v>7</v>
      </c>
      <c r="H1433" s="1" t="str">
        <f>VLOOKUP(B1433,'old-aw-skill-plan'!A:I,9,FALSE)</f>
        <v>7-3</v>
      </c>
    </row>
    <row r="1434" ht="15.75" customHeight="1">
      <c r="A1434" s="1" t="s">
        <v>74</v>
      </c>
      <c r="B1434" s="1" t="s">
        <v>28</v>
      </c>
      <c r="C1434" s="1" t="s">
        <v>11</v>
      </c>
      <c r="D1434" s="5">
        <v>45590.0</v>
      </c>
      <c r="G1434" s="1">
        <f>VLOOKUP(B1434,'old-aw-skill-plan'!A:I,7,FALSE)</f>
        <v>3</v>
      </c>
      <c r="H1434" s="1" t="str">
        <f>VLOOKUP(B1434,'old-aw-skill-plan'!A:I,9,FALSE)</f>
        <v>3-4</v>
      </c>
    </row>
    <row r="1435" ht="15.75" customHeight="1">
      <c r="A1435" s="1" t="s">
        <v>74</v>
      </c>
      <c r="B1435" s="1" t="s">
        <v>44</v>
      </c>
      <c r="C1435" s="1" t="s">
        <v>11</v>
      </c>
      <c r="D1435" s="5">
        <v>45590.0</v>
      </c>
      <c r="G1435" s="1">
        <f>VLOOKUP(B1435,'old-aw-skill-plan'!A:I,7,FALSE)</f>
        <v>5</v>
      </c>
      <c r="H1435" s="1" t="str">
        <f>VLOOKUP(B1435,'old-aw-skill-plan'!A:I,9,FALSE)</f>
        <v>5-1</v>
      </c>
    </row>
    <row r="1436" ht="15.75" customHeight="1">
      <c r="A1436" s="1" t="s">
        <v>74</v>
      </c>
      <c r="B1436" s="1" t="s">
        <v>103</v>
      </c>
      <c r="C1436" s="1" t="s">
        <v>11</v>
      </c>
      <c r="D1436" s="5">
        <v>45590.0</v>
      </c>
      <c r="G1436" s="1">
        <f>VLOOKUP(B1436,'old-aw-skill-plan'!A:I,7,FALSE)</f>
        <v>5</v>
      </c>
      <c r="H1436" s="1" t="str">
        <f>VLOOKUP(B1436,'old-aw-skill-plan'!A:I,9,FALSE)</f>
        <v>5-3</v>
      </c>
    </row>
    <row r="1437" ht="15.75" customHeight="1">
      <c r="A1437" s="1" t="s">
        <v>75</v>
      </c>
      <c r="B1437" s="1" t="s">
        <v>117</v>
      </c>
      <c r="C1437" s="1" t="s">
        <v>11</v>
      </c>
      <c r="D1437" s="5">
        <v>45590.0</v>
      </c>
      <c r="G1437" s="1">
        <f>VLOOKUP(B1437,'old-aw-skill-plan'!A:I,7,FALSE)</f>
        <v>3</v>
      </c>
      <c r="H1437" s="1" t="str">
        <f>VLOOKUP(B1437,'old-aw-skill-plan'!A:I,9,FALSE)</f>
        <v>3-11</v>
      </c>
    </row>
    <row r="1438" ht="15.75" customHeight="1">
      <c r="A1438" s="1" t="s">
        <v>100</v>
      </c>
      <c r="B1438" s="1" t="s">
        <v>346</v>
      </c>
      <c r="C1438" s="1" t="s">
        <v>11</v>
      </c>
      <c r="D1438" s="5">
        <v>45590.0</v>
      </c>
      <c r="G1438" s="1" t="str">
        <f>VLOOKUP(B1438,'old-aw-skill-plan'!A:I,7,FALSE)</f>
        <v>#N/A</v>
      </c>
      <c r="H1438" s="1" t="str">
        <f>VLOOKUP(B1438,'old-aw-skill-plan'!A:I,9,FALSE)</f>
        <v>#N/A</v>
      </c>
    </row>
    <row r="1439" ht="15.75" customHeight="1">
      <c r="A1439" s="1" t="s">
        <v>82</v>
      </c>
      <c r="B1439" s="1" t="s">
        <v>115</v>
      </c>
      <c r="C1439" s="1" t="s">
        <v>11</v>
      </c>
      <c r="D1439" s="5">
        <v>45590.0</v>
      </c>
      <c r="G1439" s="1">
        <f>VLOOKUP(B1439,'old-aw-skill-plan'!A:I,7,FALSE)</f>
        <v>3</v>
      </c>
      <c r="H1439" s="1" t="str">
        <f>VLOOKUP(B1439,'old-aw-skill-plan'!A:I,9,FALSE)</f>
        <v>3-10</v>
      </c>
    </row>
    <row r="1440" ht="15.75" customHeight="1">
      <c r="A1440" s="1" t="s">
        <v>326</v>
      </c>
      <c r="B1440" s="1" t="s">
        <v>85</v>
      </c>
      <c r="C1440" s="1" t="s">
        <v>11</v>
      </c>
      <c r="D1440" s="5">
        <v>45590.0</v>
      </c>
      <c r="G1440" s="1">
        <f>VLOOKUP(B1440,'old-aw-skill-plan'!A:I,7,FALSE)</f>
        <v>5</v>
      </c>
      <c r="H1440" s="1" t="str">
        <f>VLOOKUP(B1440,'old-aw-skill-plan'!A:I,9,FALSE)</f>
        <v>5-8</v>
      </c>
    </row>
    <row r="1441" ht="15.75" customHeight="1">
      <c r="A1441" s="1" t="s">
        <v>219</v>
      </c>
      <c r="B1441" s="1" t="s">
        <v>10</v>
      </c>
      <c r="C1441" s="1" t="s">
        <v>11</v>
      </c>
      <c r="D1441" s="5">
        <v>45590.0</v>
      </c>
      <c r="G1441" s="1">
        <f>VLOOKUP(B1441,'old-aw-skill-plan'!A:I,7,FALSE)</f>
        <v>3</v>
      </c>
      <c r="H1441" s="1" t="str">
        <f>VLOOKUP(B1441,'old-aw-skill-plan'!A:I,9,FALSE)</f>
        <v>3-1</v>
      </c>
    </row>
    <row r="1442" ht="15.75" customHeight="1">
      <c r="A1442" s="1" t="s">
        <v>20</v>
      </c>
      <c r="B1442" s="1" t="s">
        <v>34</v>
      </c>
      <c r="C1442" s="1" t="s">
        <v>11</v>
      </c>
      <c r="D1442" s="5">
        <v>45589.0</v>
      </c>
      <c r="G1442" s="1">
        <f>VLOOKUP(B1442,'old-aw-skill-plan'!A:I,7,FALSE)</f>
        <v>4</v>
      </c>
      <c r="H1442" s="1" t="str">
        <f>VLOOKUP(B1442,'old-aw-skill-plan'!A:I,9,FALSE)</f>
        <v>4-1</v>
      </c>
    </row>
    <row r="1443" ht="15.75" customHeight="1">
      <c r="A1443" s="1" t="s">
        <v>24</v>
      </c>
      <c r="B1443" s="1" t="s">
        <v>314</v>
      </c>
      <c r="C1443" s="1" t="s">
        <v>11</v>
      </c>
      <c r="D1443" s="5">
        <v>45589.0</v>
      </c>
      <c r="G1443" s="1">
        <f>VLOOKUP(B1443,'old-aw-skill-plan'!A:I,7,FALSE)</f>
        <v>5</v>
      </c>
      <c r="H1443" s="1" t="str">
        <f>VLOOKUP(B1443,'old-aw-skill-plan'!A:I,9,FALSE)</f>
        <v>5-10</v>
      </c>
    </row>
    <row r="1444" ht="15.75" customHeight="1">
      <c r="A1444" s="1" t="s">
        <v>52</v>
      </c>
      <c r="B1444" s="1" t="s">
        <v>28</v>
      </c>
      <c r="C1444" s="1" t="s">
        <v>11</v>
      </c>
      <c r="D1444" s="5">
        <v>45589.0</v>
      </c>
      <c r="G1444" s="1">
        <f>VLOOKUP(B1444,'old-aw-skill-plan'!A:I,7,FALSE)</f>
        <v>3</v>
      </c>
      <c r="H1444" s="1" t="str">
        <f>VLOOKUP(B1444,'old-aw-skill-plan'!A:I,9,FALSE)</f>
        <v>3-4</v>
      </c>
    </row>
    <row r="1445" ht="15.75" customHeight="1">
      <c r="A1445" s="1" t="s">
        <v>199</v>
      </c>
      <c r="B1445" s="1" t="s">
        <v>79</v>
      </c>
      <c r="C1445" s="1" t="s">
        <v>11</v>
      </c>
      <c r="D1445" s="5">
        <v>45589.0</v>
      </c>
      <c r="G1445" s="1">
        <f>VLOOKUP(B1445,'old-aw-skill-plan'!A:I,7,FALSE)</f>
        <v>4</v>
      </c>
      <c r="H1445" s="1" t="str">
        <f>VLOOKUP(B1445,'old-aw-skill-plan'!A:I,9,FALSE)</f>
        <v>4-8</v>
      </c>
    </row>
    <row r="1446" ht="15.75" customHeight="1">
      <c r="A1446" s="1" t="s">
        <v>220</v>
      </c>
      <c r="B1446" s="1" t="s">
        <v>361</v>
      </c>
      <c r="C1446" s="1" t="s">
        <v>11</v>
      </c>
      <c r="D1446" s="5">
        <v>45589.0</v>
      </c>
      <c r="G1446" s="1">
        <f>VLOOKUP(B1446,'old-aw-skill-plan'!A:I,7,FALSE)</f>
        <v>3</v>
      </c>
      <c r="H1446" s="1" t="str">
        <f>VLOOKUP(B1446,'old-aw-skill-plan'!A:I,9,FALSE)</f>
        <v>3-7</v>
      </c>
    </row>
    <row r="1447" ht="15.75" customHeight="1">
      <c r="A1447" s="1" t="s">
        <v>220</v>
      </c>
      <c r="B1447" s="1" t="s">
        <v>331</v>
      </c>
      <c r="C1447" s="1" t="s">
        <v>11</v>
      </c>
      <c r="D1447" s="5">
        <v>45589.0</v>
      </c>
      <c r="G1447" s="1">
        <f>VLOOKUP(B1447,'old-aw-skill-plan'!A:I,7,FALSE)</f>
        <v>7</v>
      </c>
      <c r="H1447" s="1" t="str">
        <f>VLOOKUP(B1447,'old-aw-skill-plan'!A:I,9,FALSE)</f>
        <v>7-1</v>
      </c>
    </row>
    <row r="1448" ht="15.75" customHeight="1">
      <c r="A1448" s="1" t="s">
        <v>63</v>
      </c>
      <c r="B1448" s="1" t="s">
        <v>85</v>
      </c>
      <c r="C1448" s="1" t="s">
        <v>11</v>
      </c>
      <c r="D1448" s="5">
        <v>45589.0</v>
      </c>
      <c r="G1448" s="1">
        <f>VLOOKUP(B1448,'old-aw-skill-plan'!A:I,7,FALSE)</f>
        <v>5</v>
      </c>
      <c r="H1448" s="1" t="str">
        <f>VLOOKUP(B1448,'old-aw-skill-plan'!A:I,9,FALSE)</f>
        <v>5-8</v>
      </c>
    </row>
    <row r="1449" ht="15.75" customHeight="1">
      <c r="A1449" s="1" t="s">
        <v>214</v>
      </c>
      <c r="B1449" s="1" t="s">
        <v>327</v>
      </c>
      <c r="C1449" s="1" t="s">
        <v>11</v>
      </c>
      <c r="D1449" s="5">
        <v>45589.0</v>
      </c>
      <c r="G1449" s="1">
        <f>VLOOKUP(B1449,'old-aw-skill-plan'!A:I,7,FALSE)</f>
        <v>8</v>
      </c>
      <c r="H1449" s="1" t="str">
        <f>VLOOKUP(B1449,'old-aw-skill-plan'!A:I,9,FALSE)</f>
        <v>8-2</v>
      </c>
    </row>
    <row r="1450" ht="15.75" customHeight="1">
      <c r="A1450" s="1" t="s">
        <v>197</v>
      </c>
      <c r="B1450" s="1" t="s">
        <v>124</v>
      </c>
      <c r="C1450" s="1" t="s">
        <v>11</v>
      </c>
      <c r="D1450" s="5">
        <v>45589.0</v>
      </c>
      <c r="G1450" s="1">
        <f>VLOOKUP(B1450,'old-aw-skill-plan'!A:I,7,FALSE)</f>
        <v>7</v>
      </c>
      <c r="H1450" s="1" t="str">
        <f>VLOOKUP(B1450,'old-aw-skill-plan'!A:I,9,FALSE)</f>
        <v>7-5</v>
      </c>
    </row>
    <row r="1451" ht="15.75" customHeight="1">
      <c r="A1451" s="1" t="s">
        <v>197</v>
      </c>
      <c r="B1451" s="1" t="s">
        <v>362</v>
      </c>
      <c r="C1451" s="1" t="s">
        <v>11</v>
      </c>
      <c r="D1451" s="5">
        <v>45589.0</v>
      </c>
      <c r="G1451" s="1">
        <f>VLOOKUP(B1451,'old-aw-skill-plan'!A:I,7,FALSE)</f>
        <v>7</v>
      </c>
      <c r="H1451" s="1" t="str">
        <f>VLOOKUP(B1451,'old-aw-skill-plan'!A:I,9,FALSE)</f>
        <v>7-2</v>
      </c>
    </row>
    <row r="1452" ht="15.75" customHeight="1">
      <c r="A1452" s="1" t="s">
        <v>74</v>
      </c>
      <c r="B1452" s="1" t="s">
        <v>47</v>
      </c>
      <c r="C1452" s="1" t="s">
        <v>11</v>
      </c>
      <c r="D1452" s="5">
        <v>45589.0</v>
      </c>
      <c r="G1452" s="1">
        <f>VLOOKUP(B1452,'old-aw-skill-plan'!A:I,7,FALSE)</f>
        <v>3</v>
      </c>
      <c r="H1452" s="1" t="str">
        <f>VLOOKUP(B1452,'old-aw-skill-plan'!A:I,9,FALSE)</f>
        <v>3-2</v>
      </c>
    </row>
    <row r="1453" ht="15.75" customHeight="1">
      <c r="A1453" s="1" t="s">
        <v>75</v>
      </c>
      <c r="B1453" s="1" t="s">
        <v>117</v>
      </c>
      <c r="C1453" s="1" t="s">
        <v>11</v>
      </c>
      <c r="D1453" s="5">
        <v>45589.0</v>
      </c>
      <c r="G1453" s="1">
        <f>VLOOKUP(B1453,'old-aw-skill-plan'!A:I,7,FALSE)</f>
        <v>3</v>
      </c>
      <c r="H1453" s="1" t="str">
        <f>VLOOKUP(B1453,'old-aw-skill-plan'!A:I,9,FALSE)</f>
        <v>3-11</v>
      </c>
    </row>
    <row r="1454" ht="15.75" customHeight="1">
      <c r="A1454" s="1" t="s">
        <v>100</v>
      </c>
      <c r="B1454" s="1" t="s">
        <v>346</v>
      </c>
      <c r="C1454" s="1" t="s">
        <v>11</v>
      </c>
      <c r="D1454" s="5">
        <v>45589.0</v>
      </c>
      <c r="G1454" s="1" t="str">
        <f>VLOOKUP(B1454,'old-aw-skill-plan'!A:I,7,FALSE)</f>
        <v>#N/A</v>
      </c>
      <c r="H1454" s="1" t="str">
        <f>VLOOKUP(B1454,'old-aw-skill-plan'!A:I,9,FALSE)</f>
        <v>#N/A</v>
      </c>
    </row>
    <row r="1455" ht="15.75" customHeight="1">
      <c r="A1455" s="1" t="s">
        <v>326</v>
      </c>
      <c r="B1455" s="1" t="s">
        <v>85</v>
      </c>
      <c r="C1455" s="1" t="s">
        <v>11</v>
      </c>
      <c r="D1455" s="5">
        <v>45589.0</v>
      </c>
      <c r="G1455" s="1">
        <f>VLOOKUP(B1455,'old-aw-skill-plan'!A:I,7,FALSE)</f>
        <v>5</v>
      </c>
      <c r="H1455" s="1" t="str">
        <f>VLOOKUP(B1455,'old-aw-skill-plan'!A:I,9,FALSE)</f>
        <v>5-8</v>
      </c>
    </row>
    <row r="1456" ht="15.75" customHeight="1">
      <c r="A1456" s="1" t="s">
        <v>219</v>
      </c>
      <c r="B1456" s="1" t="s">
        <v>10</v>
      </c>
      <c r="C1456" s="1" t="s">
        <v>11</v>
      </c>
      <c r="D1456" s="5">
        <v>45589.0</v>
      </c>
      <c r="G1456" s="1">
        <f>VLOOKUP(B1456,'old-aw-skill-plan'!A:I,7,FALSE)</f>
        <v>3</v>
      </c>
      <c r="H1456" s="1" t="str">
        <f>VLOOKUP(B1456,'old-aw-skill-plan'!A:I,9,FALSE)</f>
        <v>3-1</v>
      </c>
    </row>
    <row r="1457" ht="15.75" customHeight="1">
      <c r="A1457" s="1" t="s">
        <v>219</v>
      </c>
      <c r="B1457" s="1" t="s">
        <v>47</v>
      </c>
      <c r="C1457" s="1" t="s">
        <v>11</v>
      </c>
      <c r="D1457" s="5">
        <v>45589.0</v>
      </c>
      <c r="G1457" s="1">
        <f>VLOOKUP(B1457,'old-aw-skill-plan'!A:I,7,FALSE)</f>
        <v>3</v>
      </c>
      <c r="H1457" s="1" t="str">
        <f>VLOOKUP(B1457,'old-aw-skill-plan'!A:I,9,FALSE)</f>
        <v>3-2</v>
      </c>
    </row>
    <row r="1458" ht="15.75" customHeight="1">
      <c r="A1458" s="1" t="s">
        <v>216</v>
      </c>
      <c r="B1458" s="1" t="s">
        <v>44</v>
      </c>
      <c r="C1458" s="1" t="s">
        <v>11</v>
      </c>
      <c r="D1458" s="5">
        <v>45588.0</v>
      </c>
      <c r="G1458" s="1">
        <f>VLOOKUP(B1458,'old-aw-skill-plan'!A:I,7,FALSE)</f>
        <v>5</v>
      </c>
      <c r="H1458" s="1" t="str">
        <f>VLOOKUP(B1458,'old-aw-skill-plan'!A:I,9,FALSE)</f>
        <v>5-1</v>
      </c>
    </row>
    <row r="1459" ht="15.75" customHeight="1">
      <c r="A1459" s="1" t="s">
        <v>24</v>
      </c>
      <c r="B1459" s="1" t="s">
        <v>314</v>
      </c>
      <c r="C1459" s="1" t="s">
        <v>11</v>
      </c>
      <c r="D1459" s="5">
        <v>45588.0</v>
      </c>
      <c r="G1459" s="1">
        <f>VLOOKUP(B1459,'old-aw-skill-plan'!A:I,7,FALSE)</f>
        <v>5</v>
      </c>
      <c r="H1459" s="1" t="str">
        <f>VLOOKUP(B1459,'old-aw-skill-plan'!A:I,9,FALSE)</f>
        <v>5-10</v>
      </c>
    </row>
    <row r="1460" ht="15.75" customHeight="1">
      <c r="A1460" s="1" t="s">
        <v>52</v>
      </c>
      <c r="B1460" s="1" t="s">
        <v>28</v>
      </c>
      <c r="C1460" s="1" t="s">
        <v>11</v>
      </c>
      <c r="D1460" s="5">
        <v>45588.0</v>
      </c>
      <c r="G1460" s="1">
        <f>VLOOKUP(B1460,'old-aw-skill-plan'!A:I,7,FALSE)</f>
        <v>3</v>
      </c>
      <c r="H1460" s="1" t="str">
        <f>VLOOKUP(B1460,'old-aw-skill-plan'!A:I,9,FALSE)</f>
        <v>3-4</v>
      </c>
    </row>
    <row r="1461" ht="15.75" customHeight="1">
      <c r="A1461" s="1" t="s">
        <v>224</v>
      </c>
      <c r="B1461" s="1" t="s">
        <v>79</v>
      </c>
      <c r="C1461" s="1" t="s">
        <v>11</v>
      </c>
      <c r="D1461" s="5">
        <v>45588.0</v>
      </c>
      <c r="G1461" s="1">
        <f>VLOOKUP(B1461,'old-aw-skill-plan'!A:I,7,FALSE)</f>
        <v>4</v>
      </c>
      <c r="H1461" s="1" t="str">
        <f>VLOOKUP(B1461,'old-aw-skill-plan'!A:I,9,FALSE)</f>
        <v>4-8</v>
      </c>
    </row>
    <row r="1462" ht="15.75" customHeight="1">
      <c r="A1462" s="1" t="s">
        <v>220</v>
      </c>
      <c r="B1462" s="1" t="s">
        <v>363</v>
      </c>
      <c r="C1462" s="1" t="s">
        <v>11</v>
      </c>
      <c r="D1462" s="5">
        <v>45588.0</v>
      </c>
      <c r="G1462" s="1">
        <f>VLOOKUP(B1462,'old-aw-skill-plan'!A:I,7,FALSE)</f>
        <v>7</v>
      </c>
      <c r="H1462" s="1" t="str">
        <f>VLOOKUP(B1462,'old-aw-skill-plan'!A:I,9,FALSE)</f>
        <v>7-1</v>
      </c>
    </row>
    <row r="1463" ht="15.75" customHeight="1">
      <c r="A1463" s="1" t="s">
        <v>60</v>
      </c>
      <c r="B1463" s="1" t="s">
        <v>104</v>
      </c>
      <c r="C1463" s="1" t="s">
        <v>11</v>
      </c>
      <c r="D1463" s="5">
        <v>45588.0</v>
      </c>
      <c r="G1463" s="1">
        <f>VLOOKUP(B1463,'old-aw-skill-plan'!A:I,7,FALSE)</f>
        <v>5</v>
      </c>
      <c r="H1463" s="1" t="str">
        <f>VLOOKUP(B1463,'old-aw-skill-plan'!A:I,9,FALSE)</f>
        <v>5-2</v>
      </c>
    </row>
    <row r="1464" ht="15.75" customHeight="1">
      <c r="A1464" s="1" t="s">
        <v>63</v>
      </c>
      <c r="B1464" s="1" t="s">
        <v>85</v>
      </c>
      <c r="C1464" s="1" t="s">
        <v>11</v>
      </c>
      <c r="D1464" s="5">
        <v>45588.0</v>
      </c>
      <c r="G1464" s="1">
        <f>VLOOKUP(B1464,'old-aw-skill-plan'!A:I,7,FALSE)</f>
        <v>5</v>
      </c>
      <c r="H1464" s="1" t="str">
        <f>VLOOKUP(B1464,'old-aw-skill-plan'!A:I,9,FALSE)</f>
        <v>5-8</v>
      </c>
    </row>
    <row r="1465" ht="15.75" customHeight="1">
      <c r="A1465" s="1" t="s">
        <v>65</v>
      </c>
      <c r="B1465" s="1" t="s">
        <v>34</v>
      </c>
      <c r="C1465" s="1" t="s">
        <v>11</v>
      </c>
      <c r="D1465" s="5">
        <v>45588.0</v>
      </c>
      <c r="G1465" s="1">
        <f>VLOOKUP(B1465,'old-aw-skill-plan'!A:I,7,FALSE)</f>
        <v>4</v>
      </c>
      <c r="H1465" s="1" t="str">
        <f>VLOOKUP(B1465,'old-aw-skill-plan'!A:I,9,FALSE)</f>
        <v>4-1</v>
      </c>
    </row>
    <row r="1466" ht="15.75" customHeight="1">
      <c r="A1466" s="1" t="s">
        <v>68</v>
      </c>
      <c r="B1466" s="1" t="s">
        <v>33</v>
      </c>
      <c r="C1466" s="1" t="s">
        <v>11</v>
      </c>
      <c r="D1466" s="5">
        <v>45588.0</v>
      </c>
      <c r="G1466" s="1">
        <f>VLOOKUP(B1466,'old-aw-skill-plan'!A:I,7,FALSE)</f>
        <v>3</v>
      </c>
      <c r="H1466" s="1" t="str">
        <f>VLOOKUP(B1466,'old-aw-skill-plan'!A:I,9,FALSE)</f>
        <v>3-5</v>
      </c>
    </row>
    <row r="1467" ht="15.75" customHeight="1">
      <c r="A1467" s="1" t="s">
        <v>214</v>
      </c>
      <c r="B1467" s="1" t="s">
        <v>327</v>
      </c>
      <c r="C1467" s="1" t="s">
        <v>11</v>
      </c>
      <c r="D1467" s="5">
        <v>45588.0</v>
      </c>
      <c r="G1467" s="1">
        <f>VLOOKUP(B1467,'old-aw-skill-plan'!A:I,7,FALSE)</f>
        <v>8</v>
      </c>
      <c r="H1467" s="1" t="str">
        <f>VLOOKUP(B1467,'old-aw-skill-plan'!A:I,9,FALSE)</f>
        <v>8-2</v>
      </c>
    </row>
    <row r="1468" ht="15.75" customHeight="1">
      <c r="A1468" s="1" t="s">
        <v>197</v>
      </c>
      <c r="B1468" s="1" t="s">
        <v>124</v>
      </c>
      <c r="C1468" s="1" t="s">
        <v>11</v>
      </c>
      <c r="D1468" s="5">
        <v>45588.0</v>
      </c>
      <c r="G1468" s="1">
        <f>VLOOKUP(B1468,'old-aw-skill-plan'!A:I,7,FALSE)</f>
        <v>7</v>
      </c>
      <c r="H1468" s="1" t="str">
        <f>VLOOKUP(B1468,'old-aw-skill-plan'!A:I,9,FALSE)</f>
        <v>7-5</v>
      </c>
    </row>
    <row r="1469" ht="15.75" customHeight="1">
      <c r="A1469" s="1" t="s">
        <v>197</v>
      </c>
      <c r="B1469" s="1" t="s">
        <v>364</v>
      </c>
      <c r="C1469" s="1" t="s">
        <v>11</v>
      </c>
      <c r="D1469" s="5">
        <v>45588.0</v>
      </c>
      <c r="G1469" s="1">
        <f>VLOOKUP(B1469,'old-aw-skill-plan'!A:I,7,FALSE)</f>
        <v>7</v>
      </c>
      <c r="H1469" s="1" t="str">
        <f>VLOOKUP(B1469,'old-aw-skill-plan'!A:I,9,FALSE)</f>
        <v>7-5</v>
      </c>
    </row>
    <row r="1470" ht="15.75" customHeight="1">
      <c r="A1470" s="1" t="s">
        <v>74</v>
      </c>
      <c r="B1470" s="1" t="s">
        <v>47</v>
      </c>
      <c r="C1470" s="1" t="s">
        <v>11</v>
      </c>
      <c r="D1470" s="5">
        <v>45588.0</v>
      </c>
      <c r="G1470" s="1">
        <f>VLOOKUP(B1470,'old-aw-skill-plan'!A:I,7,FALSE)</f>
        <v>3</v>
      </c>
      <c r="H1470" s="1" t="str">
        <f>VLOOKUP(B1470,'old-aw-skill-plan'!A:I,9,FALSE)</f>
        <v>3-2</v>
      </c>
    </row>
    <row r="1471" ht="15.75" customHeight="1">
      <c r="A1471" s="1" t="s">
        <v>74</v>
      </c>
      <c r="B1471" s="1" t="s">
        <v>44</v>
      </c>
      <c r="C1471" s="1" t="s">
        <v>11</v>
      </c>
      <c r="D1471" s="5">
        <v>45588.0</v>
      </c>
      <c r="G1471" s="1">
        <f>VLOOKUP(B1471,'old-aw-skill-plan'!A:I,7,FALSE)</f>
        <v>5</v>
      </c>
      <c r="H1471" s="1" t="str">
        <f>VLOOKUP(B1471,'old-aw-skill-plan'!A:I,9,FALSE)</f>
        <v>5-1</v>
      </c>
    </row>
    <row r="1472" ht="15.75" customHeight="1">
      <c r="A1472" s="1" t="s">
        <v>75</v>
      </c>
      <c r="B1472" s="1" t="s">
        <v>117</v>
      </c>
      <c r="C1472" s="1" t="s">
        <v>11</v>
      </c>
      <c r="D1472" s="5">
        <v>45588.0</v>
      </c>
      <c r="G1472" s="1">
        <f>VLOOKUP(B1472,'old-aw-skill-plan'!A:I,7,FALSE)</f>
        <v>3</v>
      </c>
      <c r="H1472" s="1" t="str">
        <f>VLOOKUP(B1472,'old-aw-skill-plan'!A:I,9,FALSE)</f>
        <v>3-11</v>
      </c>
    </row>
    <row r="1473" ht="15.75" customHeight="1">
      <c r="A1473" s="1" t="s">
        <v>100</v>
      </c>
      <c r="B1473" s="1" t="s">
        <v>346</v>
      </c>
      <c r="C1473" s="1" t="s">
        <v>11</v>
      </c>
      <c r="D1473" s="5">
        <v>45588.0</v>
      </c>
      <c r="G1473" s="1" t="str">
        <f>VLOOKUP(B1473,'old-aw-skill-plan'!A:I,7,FALSE)</f>
        <v>#N/A</v>
      </c>
      <c r="H1473" s="1" t="str">
        <f>VLOOKUP(B1473,'old-aw-skill-plan'!A:I,9,FALSE)</f>
        <v>#N/A</v>
      </c>
    </row>
    <row r="1474" ht="15.75" customHeight="1">
      <c r="A1474" s="1" t="s">
        <v>100</v>
      </c>
      <c r="B1474" s="1" t="s">
        <v>328</v>
      </c>
      <c r="C1474" s="1" t="s">
        <v>11</v>
      </c>
      <c r="D1474" s="5">
        <v>45588.0</v>
      </c>
      <c r="G1474" s="1" t="str">
        <f>VLOOKUP(B1474,'old-aw-skill-plan'!A:I,7,FALSE)</f>
        <v>#N/A</v>
      </c>
      <c r="H1474" s="1" t="str">
        <f>VLOOKUP(B1474,'old-aw-skill-plan'!A:I,9,FALSE)</f>
        <v>#N/A</v>
      </c>
    </row>
    <row r="1475" ht="15.75" customHeight="1">
      <c r="A1475" s="1" t="s">
        <v>100</v>
      </c>
      <c r="B1475" s="1" t="s">
        <v>338</v>
      </c>
      <c r="C1475" s="1" t="s">
        <v>11</v>
      </c>
      <c r="D1475" s="5">
        <v>45588.0</v>
      </c>
      <c r="G1475" s="1" t="str">
        <f>VLOOKUP(B1475,'old-aw-skill-plan'!A:I,7,FALSE)</f>
        <v>#N/A</v>
      </c>
      <c r="H1475" s="1" t="str">
        <f>VLOOKUP(B1475,'old-aw-skill-plan'!A:I,9,FALSE)</f>
        <v>#N/A</v>
      </c>
    </row>
    <row r="1476" ht="15.75" customHeight="1">
      <c r="A1476" s="1" t="s">
        <v>82</v>
      </c>
      <c r="B1476" s="1" t="s">
        <v>115</v>
      </c>
      <c r="C1476" s="1" t="s">
        <v>11</v>
      </c>
      <c r="D1476" s="5">
        <v>45588.0</v>
      </c>
      <c r="G1476" s="1">
        <f>VLOOKUP(B1476,'old-aw-skill-plan'!A:I,7,FALSE)</f>
        <v>3</v>
      </c>
      <c r="H1476" s="1" t="str">
        <f>VLOOKUP(B1476,'old-aw-skill-plan'!A:I,9,FALSE)</f>
        <v>3-10</v>
      </c>
    </row>
    <row r="1477" ht="15.75" customHeight="1">
      <c r="A1477" s="1" t="s">
        <v>326</v>
      </c>
      <c r="B1477" s="1" t="s">
        <v>83</v>
      </c>
      <c r="C1477" s="1" t="s">
        <v>11</v>
      </c>
      <c r="D1477" s="5">
        <v>45588.0</v>
      </c>
      <c r="G1477" s="1">
        <f>VLOOKUP(B1477,'old-aw-skill-plan'!A:I,7,FALSE)</f>
        <v>5</v>
      </c>
      <c r="H1477" s="1" t="str">
        <f>VLOOKUP(B1477,'old-aw-skill-plan'!A:I,9,FALSE)</f>
        <v>5-9</v>
      </c>
    </row>
    <row r="1478" ht="15.75" customHeight="1">
      <c r="A1478" s="1" t="s">
        <v>90</v>
      </c>
      <c r="B1478" s="1" t="s">
        <v>33</v>
      </c>
      <c r="C1478" s="1" t="s">
        <v>11</v>
      </c>
      <c r="D1478" s="5">
        <v>45588.0</v>
      </c>
      <c r="G1478" s="1">
        <f>VLOOKUP(B1478,'old-aw-skill-plan'!A:I,7,FALSE)</f>
        <v>3</v>
      </c>
      <c r="H1478" s="1" t="str">
        <f>VLOOKUP(B1478,'old-aw-skill-plan'!A:I,9,FALSE)</f>
        <v>3-5</v>
      </c>
    </row>
    <row r="1479" ht="15.75" customHeight="1">
      <c r="A1479" s="1" t="s">
        <v>365</v>
      </c>
      <c r="B1479" s="1" t="s">
        <v>48</v>
      </c>
      <c r="C1479" s="1" t="s">
        <v>11</v>
      </c>
      <c r="D1479" s="5">
        <v>45588.0</v>
      </c>
      <c r="G1479" s="1">
        <f>VLOOKUP(B1479,'old-aw-skill-plan'!A:I,7,FALSE)</f>
        <v>3</v>
      </c>
      <c r="H1479" s="1" t="str">
        <f>VLOOKUP(B1479,'old-aw-skill-plan'!A:I,9,FALSE)</f>
        <v>3-6</v>
      </c>
    </row>
    <row r="1480" ht="15.75" customHeight="1">
      <c r="A1480" s="1" t="s">
        <v>365</v>
      </c>
      <c r="B1480" s="1" t="s">
        <v>363</v>
      </c>
      <c r="C1480" s="1" t="s">
        <v>11</v>
      </c>
      <c r="D1480" s="5">
        <v>45588.0</v>
      </c>
      <c r="G1480" s="1">
        <f>VLOOKUP(B1480,'old-aw-skill-plan'!A:I,7,FALSE)</f>
        <v>7</v>
      </c>
      <c r="H1480" s="1" t="str">
        <f>VLOOKUP(B1480,'old-aw-skill-plan'!A:I,9,FALSE)</f>
        <v>7-1</v>
      </c>
    </row>
    <row r="1481" ht="15.75" customHeight="1">
      <c r="A1481" s="1" t="s">
        <v>365</v>
      </c>
      <c r="B1481" s="1" t="s">
        <v>44</v>
      </c>
      <c r="C1481" s="1" t="s">
        <v>11</v>
      </c>
      <c r="D1481" s="5">
        <v>45588.0</v>
      </c>
      <c r="G1481" s="1">
        <f>VLOOKUP(B1481,'old-aw-skill-plan'!A:I,7,FALSE)</f>
        <v>5</v>
      </c>
      <c r="H1481" s="1" t="str">
        <f>VLOOKUP(B1481,'old-aw-skill-plan'!A:I,9,FALSE)</f>
        <v>5-1</v>
      </c>
    </row>
    <row r="1482" ht="15.75" customHeight="1">
      <c r="A1482" s="1" t="s">
        <v>20</v>
      </c>
      <c r="B1482" s="1" t="s">
        <v>34</v>
      </c>
      <c r="C1482" s="1" t="s">
        <v>11</v>
      </c>
      <c r="D1482" s="5">
        <v>45587.0</v>
      </c>
      <c r="G1482" s="1">
        <f>VLOOKUP(B1482,'old-aw-skill-plan'!A:I,7,FALSE)</f>
        <v>4</v>
      </c>
      <c r="H1482" s="1" t="str">
        <f>VLOOKUP(B1482,'old-aw-skill-plan'!A:I,9,FALSE)</f>
        <v>4-1</v>
      </c>
    </row>
    <row r="1483" ht="15.75" customHeight="1">
      <c r="A1483" s="1" t="s">
        <v>216</v>
      </c>
      <c r="B1483" s="1" t="s">
        <v>44</v>
      </c>
      <c r="C1483" s="1" t="s">
        <v>11</v>
      </c>
      <c r="D1483" s="5">
        <v>45587.0</v>
      </c>
      <c r="G1483" s="1">
        <f>VLOOKUP(B1483,'old-aw-skill-plan'!A:I,7,FALSE)</f>
        <v>5</v>
      </c>
      <c r="H1483" s="1" t="str">
        <f>VLOOKUP(B1483,'old-aw-skill-plan'!A:I,9,FALSE)</f>
        <v>5-1</v>
      </c>
    </row>
    <row r="1484" ht="15.75" customHeight="1">
      <c r="A1484" s="1" t="s">
        <v>24</v>
      </c>
      <c r="B1484" s="1" t="s">
        <v>314</v>
      </c>
      <c r="C1484" s="1" t="s">
        <v>11</v>
      </c>
      <c r="D1484" s="5">
        <v>45587.0</v>
      </c>
      <c r="G1484" s="1">
        <f>VLOOKUP(B1484,'old-aw-skill-plan'!A:I,7,FALSE)</f>
        <v>5</v>
      </c>
      <c r="H1484" s="1" t="str">
        <f>VLOOKUP(B1484,'old-aw-skill-plan'!A:I,9,FALSE)</f>
        <v>5-10</v>
      </c>
    </row>
    <row r="1485" ht="15.75" customHeight="1">
      <c r="A1485" s="1" t="s">
        <v>207</v>
      </c>
      <c r="B1485" s="1" t="s">
        <v>83</v>
      </c>
      <c r="C1485" s="1" t="s">
        <v>11</v>
      </c>
      <c r="D1485" s="5">
        <v>45587.0</v>
      </c>
      <c r="G1485" s="1">
        <f>VLOOKUP(B1485,'old-aw-skill-plan'!A:I,7,FALSE)</f>
        <v>5</v>
      </c>
      <c r="H1485" s="1" t="str">
        <f>VLOOKUP(B1485,'old-aw-skill-plan'!A:I,9,FALSE)</f>
        <v>5-9</v>
      </c>
    </row>
    <row r="1486" ht="15.75" customHeight="1">
      <c r="A1486" s="1" t="s">
        <v>199</v>
      </c>
      <c r="B1486" s="1" t="s">
        <v>79</v>
      </c>
      <c r="C1486" s="1" t="s">
        <v>11</v>
      </c>
      <c r="D1486" s="5">
        <v>45587.0</v>
      </c>
      <c r="G1486" s="1">
        <f>VLOOKUP(B1486,'old-aw-skill-plan'!A:I,7,FALSE)</f>
        <v>4</v>
      </c>
      <c r="H1486" s="1" t="str">
        <f>VLOOKUP(B1486,'old-aw-skill-plan'!A:I,9,FALSE)</f>
        <v>4-8</v>
      </c>
    </row>
    <row r="1487" ht="15.75" customHeight="1">
      <c r="A1487" s="1" t="s">
        <v>220</v>
      </c>
      <c r="B1487" s="1" t="s">
        <v>366</v>
      </c>
      <c r="C1487" s="1" t="s">
        <v>11</v>
      </c>
      <c r="D1487" s="5">
        <v>45587.0</v>
      </c>
      <c r="G1487" s="1">
        <f>VLOOKUP(B1487,'old-aw-skill-plan'!A:I,7,FALSE)</f>
        <v>6</v>
      </c>
      <c r="H1487" s="1" t="str">
        <f>VLOOKUP(B1487,'old-aw-skill-plan'!A:I,9,FALSE)</f>
        <v>6-1</v>
      </c>
    </row>
    <row r="1488" ht="15.75" customHeight="1">
      <c r="A1488" s="1" t="s">
        <v>220</v>
      </c>
      <c r="B1488" s="1" t="s">
        <v>44</v>
      </c>
      <c r="C1488" s="1" t="s">
        <v>11</v>
      </c>
      <c r="D1488" s="5">
        <v>45587.0</v>
      </c>
      <c r="G1488" s="1">
        <f>VLOOKUP(B1488,'old-aw-skill-plan'!A:I,7,FALSE)</f>
        <v>5</v>
      </c>
      <c r="H1488" s="1" t="str">
        <f>VLOOKUP(B1488,'old-aw-skill-plan'!A:I,9,FALSE)</f>
        <v>5-1</v>
      </c>
    </row>
    <row r="1489" ht="15.75" customHeight="1">
      <c r="A1489" s="1" t="s">
        <v>63</v>
      </c>
      <c r="B1489" s="1" t="s">
        <v>84</v>
      </c>
      <c r="C1489" s="1" t="s">
        <v>11</v>
      </c>
      <c r="D1489" s="5">
        <v>45587.0</v>
      </c>
      <c r="G1489" s="1">
        <f>VLOOKUP(B1489,'old-aw-skill-plan'!A:I,7,FALSE)</f>
        <v>5</v>
      </c>
      <c r="H1489" s="1" t="str">
        <f>VLOOKUP(B1489,'old-aw-skill-plan'!A:I,9,FALSE)</f>
        <v>5-7</v>
      </c>
    </row>
    <row r="1490" ht="15.75" customHeight="1">
      <c r="A1490" s="1" t="s">
        <v>183</v>
      </c>
      <c r="B1490" s="1" t="s">
        <v>327</v>
      </c>
      <c r="C1490" s="1" t="s">
        <v>11</v>
      </c>
      <c r="D1490" s="5">
        <v>45587.0</v>
      </c>
      <c r="G1490" s="1">
        <f>VLOOKUP(B1490,'old-aw-skill-plan'!A:I,7,FALSE)</f>
        <v>8</v>
      </c>
      <c r="H1490" s="1" t="str">
        <f>VLOOKUP(B1490,'old-aw-skill-plan'!A:I,9,FALSE)</f>
        <v>8-2</v>
      </c>
    </row>
    <row r="1491" ht="15.75" customHeight="1">
      <c r="A1491" s="1" t="s">
        <v>68</v>
      </c>
      <c r="B1491" s="1" t="s">
        <v>33</v>
      </c>
      <c r="C1491" s="1" t="s">
        <v>11</v>
      </c>
      <c r="D1491" s="5">
        <v>45587.0</v>
      </c>
      <c r="G1491" s="1">
        <f>VLOOKUP(B1491,'old-aw-skill-plan'!A:I,7,FALSE)</f>
        <v>3</v>
      </c>
      <c r="H1491" s="1" t="str">
        <f>VLOOKUP(B1491,'old-aw-skill-plan'!A:I,9,FALSE)</f>
        <v>3-5</v>
      </c>
    </row>
    <row r="1492" ht="15.75" customHeight="1">
      <c r="A1492" s="1" t="s">
        <v>214</v>
      </c>
      <c r="B1492" s="1" t="s">
        <v>133</v>
      </c>
      <c r="C1492" s="1" t="s">
        <v>11</v>
      </c>
      <c r="D1492" s="5">
        <v>45587.0</v>
      </c>
      <c r="G1492" s="1">
        <f>VLOOKUP(B1492,'old-aw-skill-plan'!A:I,7,FALSE)</f>
        <v>7</v>
      </c>
      <c r="H1492" s="1" t="str">
        <f>VLOOKUP(B1492,'old-aw-skill-plan'!A:I,9,FALSE)</f>
        <v>7-6</v>
      </c>
    </row>
    <row r="1493" ht="15.75" customHeight="1">
      <c r="A1493" s="1" t="s">
        <v>214</v>
      </c>
      <c r="B1493" s="1" t="s">
        <v>327</v>
      </c>
      <c r="C1493" s="1" t="s">
        <v>11</v>
      </c>
      <c r="D1493" s="5">
        <v>45587.0</v>
      </c>
      <c r="G1493" s="1">
        <f>VLOOKUP(B1493,'old-aw-skill-plan'!A:I,7,FALSE)</f>
        <v>8</v>
      </c>
      <c r="H1493" s="1" t="str">
        <f>VLOOKUP(B1493,'old-aw-skill-plan'!A:I,9,FALSE)</f>
        <v>8-2</v>
      </c>
    </row>
    <row r="1494" ht="15.75" customHeight="1">
      <c r="A1494" s="1" t="s">
        <v>197</v>
      </c>
      <c r="B1494" s="1" t="s">
        <v>367</v>
      </c>
      <c r="C1494" s="1" t="s">
        <v>11</v>
      </c>
      <c r="D1494" s="5">
        <v>45587.0</v>
      </c>
      <c r="G1494" s="1">
        <f>VLOOKUP(B1494,'old-aw-skill-plan'!A:I,7,FALSE)</f>
        <v>4</v>
      </c>
      <c r="H1494" s="1" t="str">
        <f>VLOOKUP(B1494,'old-aw-skill-plan'!A:I,9,FALSE)</f>
        <v>4-9</v>
      </c>
    </row>
    <row r="1495" ht="15.75" customHeight="1">
      <c r="A1495" s="1" t="s">
        <v>74</v>
      </c>
      <c r="B1495" s="1" t="s">
        <v>30</v>
      </c>
      <c r="C1495" s="1" t="s">
        <v>11</v>
      </c>
      <c r="D1495" s="5">
        <v>45587.0</v>
      </c>
      <c r="G1495" s="1">
        <f>VLOOKUP(B1495,'old-aw-skill-plan'!A:I,7,FALSE)</f>
        <v>3</v>
      </c>
      <c r="H1495" s="1" t="str">
        <f>VLOOKUP(B1495,'old-aw-skill-plan'!A:I,9,FALSE)</f>
        <v>3-3</v>
      </c>
    </row>
    <row r="1496" ht="15.75" customHeight="1">
      <c r="A1496" s="1" t="s">
        <v>74</v>
      </c>
      <c r="B1496" s="1" t="s">
        <v>25</v>
      </c>
      <c r="C1496" s="1" t="s">
        <v>11</v>
      </c>
      <c r="D1496" s="5">
        <v>45587.0</v>
      </c>
      <c r="G1496" s="1">
        <f>VLOOKUP(B1496,'old-aw-skill-plan'!A:I,7,FALSE)</f>
        <v>5</v>
      </c>
      <c r="H1496" s="1" t="str">
        <f>VLOOKUP(B1496,'old-aw-skill-plan'!A:I,9,FALSE)</f>
        <v>5-4</v>
      </c>
    </row>
    <row r="1497" ht="15.75" customHeight="1">
      <c r="A1497" s="1" t="s">
        <v>74</v>
      </c>
      <c r="B1497" s="1" t="s">
        <v>44</v>
      </c>
      <c r="C1497" s="1" t="s">
        <v>11</v>
      </c>
      <c r="D1497" s="5">
        <v>45587.0</v>
      </c>
      <c r="G1497" s="1">
        <f>VLOOKUP(B1497,'old-aw-skill-plan'!A:I,7,FALSE)</f>
        <v>5</v>
      </c>
      <c r="H1497" s="1" t="str">
        <f>VLOOKUP(B1497,'old-aw-skill-plan'!A:I,9,FALSE)</f>
        <v>5-1</v>
      </c>
    </row>
    <row r="1498" ht="15.75" customHeight="1">
      <c r="A1498" s="1" t="s">
        <v>100</v>
      </c>
      <c r="B1498" s="1" t="s">
        <v>328</v>
      </c>
      <c r="C1498" s="1" t="s">
        <v>11</v>
      </c>
      <c r="D1498" s="5">
        <v>45587.0</v>
      </c>
      <c r="G1498" s="1" t="str">
        <f>VLOOKUP(B1498,'old-aw-skill-plan'!A:I,7,FALSE)</f>
        <v>#N/A</v>
      </c>
      <c r="H1498" s="1" t="str">
        <f>VLOOKUP(B1498,'old-aw-skill-plan'!A:I,9,FALSE)</f>
        <v>#N/A</v>
      </c>
    </row>
    <row r="1499" ht="15.75" customHeight="1">
      <c r="A1499" s="1" t="s">
        <v>82</v>
      </c>
      <c r="B1499" s="1" t="s">
        <v>115</v>
      </c>
      <c r="C1499" s="1" t="s">
        <v>11</v>
      </c>
      <c r="D1499" s="5">
        <v>45587.0</v>
      </c>
      <c r="G1499" s="1">
        <f>VLOOKUP(B1499,'old-aw-skill-plan'!A:I,7,FALSE)</f>
        <v>3</v>
      </c>
      <c r="H1499" s="1" t="str">
        <f>VLOOKUP(B1499,'old-aw-skill-plan'!A:I,9,FALSE)</f>
        <v>3-10</v>
      </c>
    </row>
    <row r="1500" ht="15.75" customHeight="1">
      <c r="A1500" s="1" t="s">
        <v>326</v>
      </c>
      <c r="B1500" s="1" t="s">
        <v>83</v>
      </c>
      <c r="C1500" s="1" t="s">
        <v>11</v>
      </c>
      <c r="D1500" s="5">
        <v>45587.0</v>
      </c>
      <c r="G1500" s="1">
        <f>VLOOKUP(B1500,'old-aw-skill-plan'!A:I,7,FALSE)</f>
        <v>5</v>
      </c>
      <c r="H1500" s="1" t="str">
        <f>VLOOKUP(B1500,'old-aw-skill-plan'!A:I,9,FALSE)</f>
        <v>5-9</v>
      </c>
    </row>
    <row r="1501" ht="15.75" customHeight="1">
      <c r="A1501" s="1" t="s">
        <v>347</v>
      </c>
      <c r="B1501" s="1" t="s">
        <v>314</v>
      </c>
      <c r="C1501" s="1" t="s">
        <v>11</v>
      </c>
      <c r="D1501" s="5">
        <v>45587.0</v>
      </c>
      <c r="G1501" s="1">
        <f>VLOOKUP(B1501,'old-aw-skill-plan'!A:I,7,FALSE)</f>
        <v>5</v>
      </c>
      <c r="H1501" s="1" t="str">
        <f>VLOOKUP(B1501,'old-aw-skill-plan'!A:I,9,FALSE)</f>
        <v>5-10</v>
      </c>
    </row>
    <row r="1502" ht="15.75" customHeight="1">
      <c r="A1502" s="1" t="s">
        <v>347</v>
      </c>
      <c r="B1502" s="1" t="s">
        <v>83</v>
      </c>
      <c r="C1502" s="1" t="s">
        <v>11</v>
      </c>
      <c r="D1502" s="5">
        <v>45587.0</v>
      </c>
      <c r="G1502" s="1">
        <f>VLOOKUP(B1502,'old-aw-skill-plan'!A:I,7,FALSE)</f>
        <v>5</v>
      </c>
      <c r="H1502" s="1" t="str">
        <f>VLOOKUP(B1502,'old-aw-skill-plan'!A:I,9,FALSE)</f>
        <v>5-9</v>
      </c>
    </row>
    <row r="1503" ht="15.75" customHeight="1">
      <c r="A1503" s="1" t="s">
        <v>347</v>
      </c>
      <c r="B1503" s="1" t="s">
        <v>120</v>
      </c>
      <c r="C1503" s="1" t="s">
        <v>11</v>
      </c>
      <c r="D1503" s="5">
        <v>45587.0</v>
      </c>
      <c r="G1503" s="1">
        <f>VLOOKUP(B1503,'old-aw-skill-plan'!A:I,7,FALSE)</f>
        <v>5</v>
      </c>
      <c r="H1503" s="1" t="str">
        <f>VLOOKUP(B1503,'old-aw-skill-plan'!A:I,9,FALSE)</f>
        <v>5-11</v>
      </c>
    </row>
    <row r="1504" ht="15.75" customHeight="1">
      <c r="A1504" s="1" t="s">
        <v>219</v>
      </c>
      <c r="B1504" s="1" t="s">
        <v>10</v>
      </c>
      <c r="C1504" s="1" t="s">
        <v>11</v>
      </c>
      <c r="D1504" s="5">
        <v>45587.0</v>
      </c>
      <c r="G1504" s="1">
        <f>VLOOKUP(B1504,'old-aw-skill-plan'!A:I,7,FALSE)</f>
        <v>3</v>
      </c>
      <c r="H1504" s="1" t="str">
        <f>VLOOKUP(B1504,'old-aw-skill-plan'!A:I,9,FALSE)</f>
        <v>3-1</v>
      </c>
    </row>
    <row r="1505" ht="15.75" customHeight="1">
      <c r="A1505" s="1" t="s">
        <v>225</v>
      </c>
      <c r="B1505" s="1" t="s">
        <v>314</v>
      </c>
      <c r="C1505" s="1" t="s">
        <v>11</v>
      </c>
      <c r="D1505" s="5">
        <v>45587.0</v>
      </c>
      <c r="G1505" s="1">
        <f>VLOOKUP(B1505,'old-aw-skill-plan'!A:I,7,FALSE)</f>
        <v>5</v>
      </c>
      <c r="H1505" s="1" t="str">
        <f>VLOOKUP(B1505,'old-aw-skill-plan'!A:I,9,FALSE)</f>
        <v>5-10</v>
      </c>
    </row>
    <row r="1506" ht="15.75" customHeight="1">
      <c r="A1506" s="1" t="s">
        <v>20</v>
      </c>
      <c r="B1506" s="1" t="s">
        <v>34</v>
      </c>
      <c r="C1506" s="1" t="s">
        <v>11</v>
      </c>
      <c r="D1506" s="5">
        <v>45586.0</v>
      </c>
      <c r="G1506" s="1">
        <f>VLOOKUP(B1506,'old-aw-skill-plan'!A:I,7,FALSE)</f>
        <v>4</v>
      </c>
      <c r="H1506" s="1" t="str">
        <f>VLOOKUP(B1506,'old-aw-skill-plan'!A:I,9,FALSE)</f>
        <v>4-1</v>
      </c>
    </row>
    <row r="1507" ht="15.75" customHeight="1">
      <c r="A1507" s="1" t="s">
        <v>35</v>
      </c>
      <c r="B1507" s="1" t="s">
        <v>314</v>
      </c>
      <c r="C1507" s="1" t="s">
        <v>11</v>
      </c>
      <c r="D1507" s="5">
        <v>45586.0</v>
      </c>
      <c r="G1507" s="1">
        <f>VLOOKUP(B1507,'old-aw-skill-plan'!A:I,7,FALSE)</f>
        <v>5</v>
      </c>
      <c r="H1507" s="1" t="str">
        <f>VLOOKUP(B1507,'old-aw-skill-plan'!A:I,9,FALSE)</f>
        <v>5-10</v>
      </c>
    </row>
    <row r="1508" ht="15.75" customHeight="1">
      <c r="A1508" s="1" t="s">
        <v>24</v>
      </c>
      <c r="B1508" s="1" t="s">
        <v>314</v>
      </c>
      <c r="C1508" s="1" t="s">
        <v>11</v>
      </c>
      <c r="D1508" s="5">
        <v>45586.0</v>
      </c>
      <c r="G1508" s="1">
        <f>VLOOKUP(B1508,'old-aw-skill-plan'!A:I,7,FALSE)</f>
        <v>5</v>
      </c>
      <c r="H1508" s="1" t="str">
        <f>VLOOKUP(B1508,'old-aw-skill-plan'!A:I,9,FALSE)</f>
        <v>5-10</v>
      </c>
    </row>
    <row r="1509" ht="15.75" customHeight="1">
      <c r="A1509" s="1" t="s">
        <v>207</v>
      </c>
      <c r="B1509" s="1" t="s">
        <v>83</v>
      </c>
      <c r="C1509" s="1" t="s">
        <v>11</v>
      </c>
      <c r="D1509" s="5">
        <v>45586.0</v>
      </c>
      <c r="G1509" s="1">
        <f>VLOOKUP(B1509,'old-aw-skill-plan'!A:I,7,FALSE)</f>
        <v>5</v>
      </c>
      <c r="H1509" s="1" t="str">
        <f>VLOOKUP(B1509,'old-aw-skill-plan'!A:I,9,FALSE)</f>
        <v>5-9</v>
      </c>
    </row>
    <row r="1510" ht="15.75" customHeight="1">
      <c r="A1510" s="1" t="s">
        <v>52</v>
      </c>
      <c r="B1510" s="1" t="s">
        <v>28</v>
      </c>
      <c r="C1510" s="1" t="s">
        <v>11</v>
      </c>
      <c r="D1510" s="5">
        <v>45586.0</v>
      </c>
      <c r="G1510" s="1">
        <f>VLOOKUP(B1510,'old-aw-skill-plan'!A:I,7,FALSE)</f>
        <v>3</v>
      </c>
      <c r="H1510" s="1" t="str">
        <f>VLOOKUP(B1510,'old-aw-skill-plan'!A:I,9,FALSE)</f>
        <v>3-4</v>
      </c>
    </row>
    <row r="1511" ht="15.75" customHeight="1">
      <c r="A1511" s="1" t="s">
        <v>199</v>
      </c>
      <c r="B1511" s="1" t="s">
        <v>79</v>
      </c>
      <c r="C1511" s="1" t="s">
        <v>11</v>
      </c>
      <c r="D1511" s="5">
        <v>45586.0</v>
      </c>
      <c r="G1511" s="1">
        <f>VLOOKUP(B1511,'old-aw-skill-plan'!A:I,7,FALSE)</f>
        <v>4</v>
      </c>
      <c r="H1511" s="1" t="str">
        <f>VLOOKUP(B1511,'old-aw-skill-plan'!A:I,9,FALSE)</f>
        <v>4-8</v>
      </c>
    </row>
    <row r="1512" ht="15.75" customHeight="1">
      <c r="A1512" s="1" t="s">
        <v>220</v>
      </c>
      <c r="B1512" s="1" t="s">
        <v>91</v>
      </c>
      <c r="C1512" s="1" t="s">
        <v>11</v>
      </c>
      <c r="D1512" s="5">
        <v>45586.0</v>
      </c>
      <c r="G1512" s="1">
        <f>VLOOKUP(B1512,'old-aw-skill-plan'!A:I,7,FALSE)</f>
        <v>6</v>
      </c>
      <c r="H1512" s="1" t="str">
        <f>VLOOKUP(B1512,'old-aw-skill-plan'!A:I,9,FALSE)</f>
        <v>6-1</v>
      </c>
    </row>
    <row r="1513" ht="15.75" customHeight="1">
      <c r="A1513" s="1" t="s">
        <v>63</v>
      </c>
      <c r="B1513" s="1" t="s">
        <v>84</v>
      </c>
      <c r="C1513" s="1" t="s">
        <v>11</v>
      </c>
      <c r="D1513" s="5">
        <v>45586.0</v>
      </c>
      <c r="G1513" s="1">
        <f>VLOOKUP(B1513,'old-aw-skill-plan'!A:I,7,FALSE)</f>
        <v>5</v>
      </c>
      <c r="H1513" s="1" t="str">
        <f>VLOOKUP(B1513,'old-aw-skill-plan'!A:I,9,FALSE)</f>
        <v>5-7</v>
      </c>
    </row>
    <row r="1514" ht="15.75" customHeight="1">
      <c r="A1514" s="1" t="s">
        <v>63</v>
      </c>
      <c r="B1514" s="1" t="s">
        <v>87</v>
      </c>
      <c r="C1514" s="1" t="s">
        <v>11</v>
      </c>
      <c r="D1514" s="5">
        <v>45586.0</v>
      </c>
      <c r="G1514" s="1">
        <f>VLOOKUP(B1514,'old-aw-skill-plan'!A:I,7,FALSE)</f>
        <v>5</v>
      </c>
      <c r="H1514" s="1" t="str">
        <f>VLOOKUP(B1514,'old-aw-skill-plan'!A:I,9,FALSE)</f>
        <v>5-6</v>
      </c>
    </row>
    <row r="1515" ht="15.75" customHeight="1">
      <c r="A1515" s="1" t="s">
        <v>183</v>
      </c>
      <c r="B1515" s="1" t="s">
        <v>327</v>
      </c>
      <c r="C1515" s="1" t="s">
        <v>11</v>
      </c>
      <c r="D1515" s="5">
        <v>45586.0</v>
      </c>
      <c r="G1515" s="1">
        <f>VLOOKUP(B1515,'old-aw-skill-plan'!A:I,7,FALSE)</f>
        <v>8</v>
      </c>
      <c r="H1515" s="1" t="str">
        <f>VLOOKUP(B1515,'old-aw-skill-plan'!A:I,9,FALSE)</f>
        <v>8-2</v>
      </c>
    </row>
    <row r="1516" ht="15.75" customHeight="1">
      <c r="A1516" s="1" t="s">
        <v>68</v>
      </c>
      <c r="B1516" s="1" t="s">
        <v>28</v>
      </c>
      <c r="C1516" s="1" t="s">
        <v>11</v>
      </c>
      <c r="D1516" s="5">
        <v>45586.0</v>
      </c>
      <c r="G1516" s="1">
        <f>VLOOKUP(B1516,'old-aw-skill-plan'!A:I,7,FALSE)</f>
        <v>3</v>
      </c>
      <c r="H1516" s="1" t="str">
        <f>VLOOKUP(B1516,'old-aw-skill-plan'!A:I,9,FALSE)</f>
        <v>3-4</v>
      </c>
    </row>
    <row r="1517" ht="15.75" customHeight="1">
      <c r="A1517" s="1" t="s">
        <v>68</v>
      </c>
      <c r="B1517" s="1" t="s">
        <v>33</v>
      </c>
      <c r="C1517" s="1" t="s">
        <v>11</v>
      </c>
      <c r="D1517" s="5">
        <v>45586.0</v>
      </c>
      <c r="G1517" s="1">
        <f>VLOOKUP(B1517,'old-aw-skill-plan'!A:I,7,FALSE)</f>
        <v>3</v>
      </c>
      <c r="H1517" s="1" t="str">
        <f>VLOOKUP(B1517,'old-aw-skill-plan'!A:I,9,FALSE)</f>
        <v>3-5</v>
      </c>
    </row>
    <row r="1518" ht="15.75" customHeight="1">
      <c r="A1518" s="1" t="s">
        <v>197</v>
      </c>
      <c r="B1518" s="1" t="s">
        <v>131</v>
      </c>
      <c r="C1518" s="1" t="s">
        <v>11</v>
      </c>
      <c r="D1518" s="5">
        <v>45586.0</v>
      </c>
      <c r="G1518" s="1">
        <f>VLOOKUP(B1518,'old-aw-skill-plan'!A:I,7,FALSE)</f>
        <v>7</v>
      </c>
      <c r="H1518" s="1" t="str">
        <f>VLOOKUP(B1518,'old-aw-skill-plan'!A:I,9,FALSE)</f>
        <v>7-11</v>
      </c>
    </row>
    <row r="1519" ht="15.75" customHeight="1">
      <c r="A1519" s="1" t="s">
        <v>74</v>
      </c>
      <c r="B1519" s="1" t="s">
        <v>30</v>
      </c>
      <c r="C1519" s="1" t="s">
        <v>11</v>
      </c>
      <c r="D1519" s="5">
        <v>45586.0</v>
      </c>
      <c r="G1519" s="1">
        <f>VLOOKUP(B1519,'old-aw-skill-plan'!A:I,7,FALSE)</f>
        <v>3</v>
      </c>
      <c r="H1519" s="1" t="str">
        <f>VLOOKUP(B1519,'old-aw-skill-plan'!A:I,9,FALSE)</f>
        <v>3-3</v>
      </c>
    </row>
    <row r="1520" ht="15.75" customHeight="1">
      <c r="A1520" s="1" t="s">
        <v>74</v>
      </c>
      <c r="B1520" s="1" t="s">
        <v>44</v>
      </c>
      <c r="C1520" s="1" t="s">
        <v>11</v>
      </c>
      <c r="D1520" s="5">
        <v>45586.0</v>
      </c>
      <c r="G1520" s="1">
        <f>VLOOKUP(B1520,'old-aw-skill-plan'!A:I,7,FALSE)</f>
        <v>5</v>
      </c>
      <c r="H1520" s="1" t="str">
        <f>VLOOKUP(B1520,'old-aw-skill-plan'!A:I,9,FALSE)</f>
        <v>5-1</v>
      </c>
    </row>
    <row r="1521" ht="15.75" customHeight="1">
      <c r="A1521" s="1" t="s">
        <v>205</v>
      </c>
      <c r="B1521" s="1" t="s">
        <v>83</v>
      </c>
      <c r="C1521" s="1" t="s">
        <v>11</v>
      </c>
      <c r="D1521" s="5">
        <v>45586.0</v>
      </c>
      <c r="G1521" s="1">
        <f>VLOOKUP(B1521,'old-aw-skill-plan'!A:I,7,FALSE)</f>
        <v>5</v>
      </c>
      <c r="H1521" s="1" t="str">
        <f>VLOOKUP(B1521,'old-aw-skill-plan'!A:I,9,FALSE)</f>
        <v>5-9</v>
      </c>
    </row>
    <row r="1522" ht="15.75" customHeight="1">
      <c r="A1522" s="1" t="s">
        <v>75</v>
      </c>
      <c r="B1522" s="1" t="s">
        <v>115</v>
      </c>
      <c r="C1522" s="1" t="s">
        <v>11</v>
      </c>
      <c r="D1522" s="5">
        <v>45586.0</v>
      </c>
      <c r="G1522" s="1">
        <f>VLOOKUP(B1522,'old-aw-skill-plan'!A:I,7,FALSE)</f>
        <v>3</v>
      </c>
      <c r="H1522" s="1" t="str">
        <f>VLOOKUP(B1522,'old-aw-skill-plan'!A:I,9,FALSE)</f>
        <v>3-10</v>
      </c>
    </row>
    <row r="1523" ht="15.75" customHeight="1">
      <c r="A1523" s="1" t="s">
        <v>75</v>
      </c>
      <c r="B1523" s="1" t="s">
        <v>117</v>
      </c>
      <c r="C1523" s="1" t="s">
        <v>11</v>
      </c>
      <c r="D1523" s="5">
        <v>45586.0</v>
      </c>
      <c r="G1523" s="1">
        <f>VLOOKUP(B1523,'old-aw-skill-plan'!A:I,7,FALSE)</f>
        <v>3</v>
      </c>
      <c r="H1523" s="1" t="str">
        <f>VLOOKUP(B1523,'old-aw-skill-plan'!A:I,9,FALSE)</f>
        <v>3-11</v>
      </c>
    </row>
    <row r="1524" ht="15.75" customHeight="1">
      <c r="A1524" s="1" t="s">
        <v>77</v>
      </c>
      <c r="B1524" s="1" t="s">
        <v>23</v>
      </c>
      <c r="C1524" s="1" t="s">
        <v>11</v>
      </c>
      <c r="D1524" s="5">
        <v>45586.0</v>
      </c>
      <c r="G1524" s="1">
        <f>VLOOKUP(B1524,'old-aw-skill-plan'!A:I,7,FALSE)</f>
        <v>4</v>
      </c>
      <c r="H1524" s="1" t="str">
        <f>VLOOKUP(B1524,'old-aw-skill-plan'!A:I,9,FALSE)</f>
        <v>4-5</v>
      </c>
    </row>
    <row r="1525" ht="15.75" customHeight="1">
      <c r="A1525" s="1" t="s">
        <v>100</v>
      </c>
      <c r="B1525" s="1" t="s">
        <v>328</v>
      </c>
      <c r="C1525" s="1" t="s">
        <v>11</v>
      </c>
      <c r="D1525" s="5">
        <v>45586.0</v>
      </c>
      <c r="G1525" s="1" t="str">
        <f>VLOOKUP(B1525,'old-aw-skill-plan'!A:I,7,FALSE)</f>
        <v>#N/A</v>
      </c>
      <c r="H1525" s="1" t="str">
        <f>VLOOKUP(B1525,'old-aw-skill-plan'!A:I,9,FALSE)</f>
        <v>#N/A</v>
      </c>
    </row>
    <row r="1526" ht="15.75" customHeight="1">
      <c r="A1526" s="1" t="s">
        <v>82</v>
      </c>
      <c r="B1526" s="1" t="s">
        <v>115</v>
      </c>
      <c r="C1526" s="1" t="s">
        <v>11</v>
      </c>
      <c r="D1526" s="5">
        <v>45586.0</v>
      </c>
      <c r="G1526" s="1">
        <f>VLOOKUP(B1526,'old-aw-skill-plan'!A:I,7,FALSE)</f>
        <v>3</v>
      </c>
      <c r="H1526" s="1" t="str">
        <f>VLOOKUP(B1526,'old-aw-skill-plan'!A:I,9,FALSE)</f>
        <v>3-10</v>
      </c>
    </row>
    <row r="1527" ht="15.75" customHeight="1">
      <c r="A1527" s="1" t="s">
        <v>326</v>
      </c>
      <c r="B1527" s="1" t="s">
        <v>85</v>
      </c>
      <c r="C1527" s="1" t="s">
        <v>11</v>
      </c>
      <c r="D1527" s="5">
        <v>45586.0</v>
      </c>
      <c r="G1527" s="1">
        <f>VLOOKUP(B1527,'old-aw-skill-plan'!A:I,7,FALSE)</f>
        <v>5</v>
      </c>
      <c r="H1527" s="1" t="str">
        <f>VLOOKUP(B1527,'old-aw-skill-plan'!A:I,9,FALSE)</f>
        <v>5-8</v>
      </c>
    </row>
    <row r="1528" ht="15.75" customHeight="1">
      <c r="A1528" s="1" t="s">
        <v>52</v>
      </c>
      <c r="B1528" s="1" t="s">
        <v>34</v>
      </c>
      <c r="C1528" s="1" t="s">
        <v>11</v>
      </c>
      <c r="D1528" s="5">
        <v>45583.0</v>
      </c>
      <c r="G1528" s="1">
        <f>VLOOKUP(B1528,'old-aw-skill-plan'!A:I,7,FALSE)</f>
        <v>4</v>
      </c>
      <c r="H1528" s="1" t="str">
        <f>VLOOKUP(B1528,'old-aw-skill-plan'!A:I,9,FALSE)</f>
        <v>4-1</v>
      </c>
    </row>
    <row r="1529" ht="15.75" customHeight="1">
      <c r="A1529" s="1" t="s">
        <v>52</v>
      </c>
      <c r="B1529" s="1" t="s">
        <v>368</v>
      </c>
      <c r="C1529" s="1" t="s">
        <v>11</v>
      </c>
      <c r="D1529" s="5">
        <v>45583.0</v>
      </c>
      <c r="G1529" s="1">
        <f>VLOOKUP(B1529,'old-aw-skill-plan'!A:I,7,FALSE)</f>
        <v>4</v>
      </c>
      <c r="H1529" s="1" t="str">
        <f>VLOOKUP(B1529,'old-aw-skill-plan'!A:I,9,FALSE)</f>
        <v>4-10</v>
      </c>
    </row>
    <row r="1530" ht="15.75" customHeight="1">
      <c r="A1530" s="1" t="s">
        <v>52</v>
      </c>
      <c r="B1530" s="1" t="s">
        <v>320</v>
      </c>
      <c r="C1530" s="1" t="s">
        <v>11</v>
      </c>
      <c r="D1530" s="5">
        <v>45583.0</v>
      </c>
      <c r="G1530" s="1">
        <f>VLOOKUP(B1530,'old-aw-skill-plan'!A:I,7,FALSE)</f>
        <v>4</v>
      </c>
      <c r="H1530" s="1" t="str">
        <f>VLOOKUP(B1530,'old-aw-skill-plan'!A:I,9,FALSE)</f>
        <v>4-2</v>
      </c>
    </row>
    <row r="1531" ht="15.75" customHeight="1">
      <c r="A1531" s="1" t="s">
        <v>52</v>
      </c>
      <c r="B1531" s="1" t="s">
        <v>332</v>
      </c>
      <c r="C1531" s="1" t="s">
        <v>11</v>
      </c>
      <c r="D1531" s="5">
        <v>45583.0</v>
      </c>
      <c r="G1531" s="1">
        <f>VLOOKUP(B1531,'old-aw-skill-plan'!A:I,7,FALSE)</f>
        <v>7</v>
      </c>
      <c r="H1531" s="1" t="str">
        <f>VLOOKUP(B1531,'old-aw-skill-plan'!A:I,9,FALSE)</f>
        <v>7-12</v>
      </c>
    </row>
    <row r="1532" ht="15.75" customHeight="1">
      <c r="A1532" s="1" t="s">
        <v>68</v>
      </c>
      <c r="B1532" s="1" t="s">
        <v>28</v>
      </c>
      <c r="C1532" s="1" t="s">
        <v>11</v>
      </c>
      <c r="D1532" s="5">
        <v>45583.0</v>
      </c>
      <c r="G1532" s="1">
        <f>VLOOKUP(B1532,'old-aw-skill-plan'!A:I,7,FALSE)</f>
        <v>3</v>
      </c>
      <c r="H1532" s="1" t="str">
        <f>VLOOKUP(B1532,'old-aw-skill-plan'!A:I,9,FALSE)</f>
        <v>3-4</v>
      </c>
    </row>
    <row r="1533" ht="15.75" customHeight="1">
      <c r="A1533" s="1" t="s">
        <v>74</v>
      </c>
      <c r="B1533" s="1" t="s">
        <v>44</v>
      </c>
      <c r="C1533" s="1" t="s">
        <v>11</v>
      </c>
      <c r="D1533" s="5">
        <v>45583.0</v>
      </c>
      <c r="G1533" s="1">
        <f>VLOOKUP(B1533,'old-aw-skill-plan'!A:I,7,FALSE)</f>
        <v>5</v>
      </c>
      <c r="H1533" s="1" t="str">
        <f>VLOOKUP(B1533,'old-aw-skill-plan'!A:I,9,FALSE)</f>
        <v>5-1</v>
      </c>
    </row>
    <row r="1534" ht="15.75" customHeight="1">
      <c r="A1534" s="1" t="s">
        <v>75</v>
      </c>
      <c r="B1534" s="1" t="s">
        <v>115</v>
      </c>
      <c r="C1534" s="1" t="s">
        <v>11</v>
      </c>
      <c r="D1534" s="5">
        <v>45583.0</v>
      </c>
      <c r="G1534" s="1">
        <f>VLOOKUP(B1534,'old-aw-skill-plan'!A:I,7,FALSE)</f>
        <v>3</v>
      </c>
      <c r="H1534" s="1" t="str">
        <f>VLOOKUP(B1534,'old-aw-skill-plan'!A:I,9,FALSE)</f>
        <v>3-10</v>
      </c>
    </row>
    <row r="1535" ht="15.75" customHeight="1">
      <c r="A1535" s="1" t="s">
        <v>326</v>
      </c>
      <c r="B1535" s="1" t="s">
        <v>85</v>
      </c>
      <c r="C1535" s="1" t="s">
        <v>11</v>
      </c>
      <c r="D1535" s="5">
        <v>45583.0</v>
      </c>
      <c r="G1535" s="1">
        <f>VLOOKUP(B1535,'old-aw-skill-plan'!A:I,7,FALSE)</f>
        <v>5</v>
      </c>
      <c r="H1535" s="1" t="str">
        <f>VLOOKUP(B1535,'old-aw-skill-plan'!A:I,9,FALSE)</f>
        <v>5-8</v>
      </c>
    </row>
    <row r="1536" ht="15.75" customHeight="1">
      <c r="A1536" s="1" t="s">
        <v>63</v>
      </c>
      <c r="B1536" s="1" t="s">
        <v>87</v>
      </c>
      <c r="C1536" s="1" t="s">
        <v>11</v>
      </c>
      <c r="D1536" s="5">
        <v>45582.0</v>
      </c>
      <c r="G1536" s="1">
        <f>VLOOKUP(B1536,'old-aw-skill-plan'!A:I,7,FALSE)</f>
        <v>5</v>
      </c>
      <c r="H1536" s="1" t="str">
        <f>VLOOKUP(B1536,'old-aw-skill-plan'!A:I,9,FALSE)</f>
        <v>5-6</v>
      </c>
    </row>
    <row r="1537" ht="15.75" customHeight="1">
      <c r="A1537" s="1" t="s">
        <v>68</v>
      </c>
      <c r="B1537" s="1" t="s">
        <v>28</v>
      </c>
      <c r="C1537" s="1" t="s">
        <v>11</v>
      </c>
      <c r="D1537" s="5">
        <v>45582.0</v>
      </c>
      <c r="G1537" s="1">
        <f>VLOOKUP(B1537,'old-aw-skill-plan'!A:I,7,FALSE)</f>
        <v>3</v>
      </c>
      <c r="H1537" s="1" t="str">
        <f>VLOOKUP(B1537,'old-aw-skill-plan'!A:I,9,FALSE)</f>
        <v>3-4</v>
      </c>
    </row>
    <row r="1538" ht="15.75" customHeight="1">
      <c r="A1538" s="1" t="s">
        <v>214</v>
      </c>
      <c r="B1538" s="1" t="s">
        <v>366</v>
      </c>
      <c r="C1538" s="1" t="s">
        <v>11</v>
      </c>
      <c r="D1538" s="5">
        <v>45582.0</v>
      </c>
      <c r="G1538" s="1">
        <f>VLOOKUP(B1538,'old-aw-skill-plan'!A:I,7,FALSE)</f>
        <v>6</v>
      </c>
      <c r="H1538" s="1" t="str">
        <f>VLOOKUP(B1538,'old-aw-skill-plan'!A:I,9,FALSE)</f>
        <v>6-1</v>
      </c>
    </row>
    <row r="1539" ht="15.75" customHeight="1">
      <c r="A1539" s="1" t="s">
        <v>74</v>
      </c>
      <c r="B1539" s="1" t="s">
        <v>44</v>
      </c>
      <c r="C1539" s="1" t="s">
        <v>11</v>
      </c>
      <c r="D1539" s="5">
        <v>45582.0</v>
      </c>
      <c r="G1539" s="1">
        <f>VLOOKUP(B1539,'old-aw-skill-plan'!A:I,7,FALSE)</f>
        <v>5</v>
      </c>
      <c r="H1539" s="1" t="str">
        <f>VLOOKUP(B1539,'old-aw-skill-plan'!A:I,9,FALSE)</f>
        <v>5-1</v>
      </c>
    </row>
    <row r="1540" ht="15.75" customHeight="1">
      <c r="A1540" s="1" t="s">
        <v>75</v>
      </c>
      <c r="B1540" s="1" t="s">
        <v>115</v>
      </c>
      <c r="C1540" s="1" t="s">
        <v>11</v>
      </c>
      <c r="D1540" s="5">
        <v>45582.0</v>
      </c>
      <c r="G1540" s="1">
        <f>VLOOKUP(B1540,'old-aw-skill-plan'!A:I,7,FALSE)</f>
        <v>3</v>
      </c>
      <c r="H1540" s="1" t="str">
        <f>VLOOKUP(B1540,'old-aw-skill-plan'!A:I,9,FALSE)</f>
        <v>3-10</v>
      </c>
    </row>
    <row r="1541" ht="15.75" customHeight="1">
      <c r="A1541" s="1" t="s">
        <v>326</v>
      </c>
      <c r="B1541" s="1" t="s">
        <v>85</v>
      </c>
      <c r="C1541" s="1" t="s">
        <v>11</v>
      </c>
      <c r="D1541" s="5">
        <v>45582.0</v>
      </c>
      <c r="G1541" s="1">
        <f>VLOOKUP(B1541,'old-aw-skill-plan'!A:I,7,FALSE)</f>
        <v>5</v>
      </c>
      <c r="H1541" s="1" t="str">
        <f>VLOOKUP(B1541,'old-aw-skill-plan'!A:I,9,FALSE)</f>
        <v>5-8</v>
      </c>
    </row>
    <row r="1542" ht="15.75" customHeight="1">
      <c r="A1542" s="1" t="s">
        <v>52</v>
      </c>
      <c r="B1542" s="1" t="s">
        <v>28</v>
      </c>
      <c r="C1542" s="1" t="s">
        <v>11</v>
      </c>
      <c r="D1542" s="5">
        <v>45581.0</v>
      </c>
      <c r="G1542" s="1">
        <f>VLOOKUP(B1542,'old-aw-skill-plan'!A:I,7,FALSE)</f>
        <v>3</v>
      </c>
      <c r="H1542" s="1" t="str">
        <f>VLOOKUP(B1542,'old-aw-skill-plan'!A:I,9,FALSE)</f>
        <v>3-4</v>
      </c>
    </row>
    <row r="1543" ht="15.75" customHeight="1">
      <c r="A1543" s="1" t="s">
        <v>220</v>
      </c>
      <c r="B1543" s="1" t="s">
        <v>91</v>
      </c>
      <c r="C1543" s="1" t="s">
        <v>11</v>
      </c>
      <c r="D1543" s="5">
        <v>45581.0</v>
      </c>
      <c r="G1543" s="1">
        <f>VLOOKUP(B1543,'old-aw-skill-plan'!A:I,7,FALSE)</f>
        <v>6</v>
      </c>
      <c r="H1543" s="1" t="str">
        <f>VLOOKUP(B1543,'old-aw-skill-plan'!A:I,9,FALSE)</f>
        <v>6-1</v>
      </c>
    </row>
    <row r="1544" ht="15.75" customHeight="1">
      <c r="A1544" s="1" t="s">
        <v>220</v>
      </c>
      <c r="B1544" s="1" t="s">
        <v>118</v>
      </c>
      <c r="C1544" s="1" t="s">
        <v>11</v>
      </c>
      <c r="D1544" s="5">
        <v>45581.0</v>
      </c>
      <c r="G1544" s="1">
        <f>VLOOKUP(B1544,'old-aw-skill-plan'!A:I,7,FALSE)</f>
        <v>3</v>
      </c>
      <c r="H1544" s="1" t="str">
        <f>VLOOKUP(B1544,'old-aw-skill-plan'!A:I,9,FALSE)</f>
        <v>3-12</v>
      </c>
    </row>
    <row r="1545" ht="15.75" customHeight="1">
      <c r="A1545" s="1" t="s">
        <v>220</v>
      </c>
      <c r="B1545" s="1" t="s">
        <v>366</v>
      </c>
      <c r="C1545" s="1" t="s">
        <v>11</v>
      </c>
      <c r="D1545" s="5">
        <v>45581.0</v>
      </c>
      <c r="G1545" s="1">
        <f>VLOOKUP(B1545,'old-aw-skill-plan'!A:I,7,FALSE)</f>
        <v>6</v>
      </c>
      <c r="H1545" s="1" t="str">
        <f>VLOOKUP(B1545,'old-aw-skill-plan'!A:I,9,FALSE)</f>
        <v>6-1</v>
      </c>
    </row>
    <row r="1546" ht="15.75" customHeight="1">
      <c r="A1546" s="1" t="s">
        <v>220</v>
      </c>
      <c r="B1546" s="1" t="s">
        <v>357</v>
      </c>
      <c r="C1546" s="1" t="s">
        <v>11</v>
      </c>
      <c r="D1546" s="5">
        <v>45581.0</v>
      </c>
      <c r="G1546" s="1">
        <f>VLOOKUP(B1546,'old-aw-skill-plan'!A:I,7,FALSE)</f>
        <v>6</v>
      </c>
      <c r="H1546" s="1" t="str">
        <f>VLOOKUP(B1546,'old-aw-skill-plan'!A:I,9,FALSE)</f>
        <v>6-1</v>
      </c>
    </row>
    <row r="1547" ht="15.75" customHeight="1">
      <c r="A1547" s="1" t="s">
        <v>220</v>
      </c>
      <c r="B1547" s="1" t="s">
        <v>363</v>
      </c>
      <c r="C1547" s="1" t="s">
        <v>11</v>
      </c>
      <c r="D1547" s="5">
        <v>45581.0</v>
      </c>
      <c r="G1547" s="1">
        <f>VLOOKUP(B1547,'old-aw-skill-plan'!A:I,7,FALSE)</f>
        <v>7</v>
      </c>
      <c r="H1547" s="1" t="str">
        <f>VLOOKUP(B1547,'old-aw-skill-plan'!A:I,9,FALSE)</f>
        <v>7-1</v>
      </c>
    </row>
    <row r="1548" ht="15.75" customHeight="1">
      <c r="A1548" s="1" t="s">
        <v>220</v>
      </c>
      <c r="B1548" s="1" t="s">
        <v>369</v>
      </c>
      <c r="C1548" s="1" t="s">
        <v>11</v>
      </c>
      <c r="D1548" s="5">
        <v>45581.0</v>
      </c>
      <c r="G1548" s="1">
        <f>VLOOKUP(B1548,'old-aw-skill-plan'!A:I,7,FALSE)</f>
        <v>7</v>
      </c>
      <c r="H1548" s="1" t="str">
        <f>VLOOKUP(B1548,'old-aw-skill-plan'!A:I,9,FALSE)</f>
        <v>7-1</v>
      </c>
    </row>
    <row r="1549" ht="15.75" customHeight="1">
      <c r="A1549" s="1" t="s">
        <v>220</v>
      </c>
      <c r="B1549" s="1" t="s">
        <v>370</v>
      </c>
      <c r="C1549" s="1" t="s">
        <v>11</v>
      </c>
      <c r="D1549" s="5">
        <v>45581.0</v>
      </c>
      <c r="G1549" s="1">
        <f>VLOOKUP(B1549,'old-aw-skill-plan'!A:I,7,FALSE)</f>
        <v>4</v>
      </c>
      <c r="H1549" s="1" t="str">
        <f>VLOOKUP(B1549,'old-aw-skill-plan'!A:I,9,FALSE)</f>
        <v>4-6</v>
      </c>
    </row>
    <row r="1550" ht="15.75" customHeight="1">
      <c r="A1550" s="1" t="s">
        <v>220</v>
      </c>
      <c r="B1550" s="1" t="s">
        <v>331</v>
      </c>
      <c r="C1550" s="1" t="s">
        <v>11</v>
      </c>
      <c r="D1550" s="5">
        <v>45581.0</v>
      </c>
      <c r="G1550" s="1">
        <f>VLOOKUP(B1550,'old-aw-skill-plan'!A:I,7,FALSE)</f>
        <v>7</v>
      </c>
      <c r="H1550" s="1" t="str">
        <f>VLOOKUP(B1550,'old-aw-skill-plan'!A:I,9,FALSE)</f>
        <v>7-1</v>
      </c>
    </row>
    <row r="1551" ht="15.75" customHeight="1">
      <c r="A1551" s="1" t="s">
        <v>220</v>
      </c>
      <c r="B1551" s="1" t="s">
        <v>44</v>
      </c>
      <c r="C1551" s="1" t="s">
        <v>11</v>
      </c>
      <c r="D1551" s="5">
        <v>45581.0</v>
      </c>
      <c r="G1551" s="1">
        <f>VLOOKUP(B1551,'old-aw-skill-plan'!A:I,7,FALSE)</f>
        <v>5</v>
      </c>
      <c r="H1551" s="1" t="str">
        <f>VLOOKUP(B1551,'old-aw-skill-plan'!A:I,9,FALSE)</f>
        <v>5-1</v>
      </c>
    </row>
    <row r="1552" ht="15.75" customHeight="1">
      <c r="A1552" s="1" t="s">
        <v>220</v>
      </c>
      <c r="B1552" s="1" t="s">
        <v>130</v>
      </c>
      <c r="C1552" s="1" t="s">
        <v>11</v>
      </c>
      <c r="D1552" s="5">
        <v>45581.0</v>
      </c>
      <c r="G1552" s="1">
        <f>VLOOKUP(B1552,'old-aw-skill-plan'!A:I,7,FALSE)</f>
        <v>8</v>
      </c>
      <c r="H1552" s="1" t="str">
        <f>VLOOKUP(B1552,'old-aw-skill-plan'!A:I,9,FALSE)</f>
        <v>8-1</v>
      </c>
    </row>
    <row r="1553" ht="15.75" customHeight="1">
      <c r="A1553" s="1" t="s">
        <v>220</v>
      </c>
      <c r="B1553" s="1" t="s">
        <v>371</v>
      </c>
      <c r="C1553" s="1" t="s">
        <v>11</v>
      </c>
      <c r="D1553" s="5">
        <v>45581.0</v>
      </c>
      <c r="G1553" s="1" t="str">
        <f>VLOOKUP(B1553,'old-aw-skill-plan'!A:I,7,FALSE)</f>
        <v>#N/A</v>
      </c>
      <c r="H1553" s="1" t="str">
        <f>VLOOKUP(B1553,'old-aw-skill-plan'!A:I,9,FALSE)</f>
        <v>#N/A</v>
      </c>
    </row>
    <row r="1554" ht="15.75" customHeight="1">
      <c r="A1554" s="1" t="s">
        <v>220</v>
      </c>
      <c r="B1554" s="1" t="s">
        <v>349</v>
      </c>
      <c r="C1554" s="1" t="s">
        <v>11</v>
      </c>
      <c r="D1554" s="5">
        <v>45581.0</v>
      </c>
      <c r="G1554" s="1" t="str">
        <f>VLOOKUP(B1554,'old-aw-skill-plan'!A:I,7,FALSE)</f>
        <v>#N/A</v>
      </c>
      <c r="H1554" s="1" t="str">
        <f>VLOOKUP(B1554,'old-aw-skill-plan'!A:I,9,FALSE)</f>
        <v>#N/A</v>
      </c>
    </row>
    <row r="1555" ht="15.75" customHeight="1">
      <c r="A1555" s="1" t="s">
        <v>179</v>
      </c>
      <c r="B1555" s="1" t="s">
        <v>104</v>
      </c>
      <c r="C1555" s="1" t="s">
        <v>11</v>
      </c>
      <c r="D1555" s="5">
        <v>45581.0</v>
      </c>
      <c r="G1555" s="1">
        <f>VLOOKUP(B1555,'old-aw-skill-plan'!A:I,7,FALSE)</f>
        <v>5</v>
      </c>
      <c r="H1555" s="1" t="str">
        <f>VLOOKUP(B1555,'old-aw-skill-plan'!A:I,9,FALSE)</f>
        <v>5-2</v>
      </c>
    </row>
    <row r="1556" ht="15.75" customHeight="1">
      <c r="A1556" s="1" t="s">
        <v>63</v>
      </c>
      <c r="B1556" s="1" t="s">
        <v>87</v>
      </c>
      <c r="C1556" s="1" t="s">
        <v>11</v>
      </c>
      <c r="D1556" s="5">
        <v>45581.0</v>
      </c>
      <c r="G1556" s="1">
        <f>VLOOKUP(B1556,'old-aw-skill-plan'!A:I,7,FALSE)</f>
        <v>5</v>
      </c>
      <c r="H1556" s="1" t="str">
        <f>VLOOKUP(B1556,'old-aw-skill-plan'!A:I,9,FALSE)</f>
        <v>5-6</v>
      </c>
    </row>
    <row r="1557" ht="15.75" customHeight="1">
      <c r="A1557" s="1" t="s">
        <v>68</v>
      </c>
      <c r="B1557" s="1" t="s">
        <v>28</v>
      </c>
      <c r="C1557" s="1" t="s">
        <v>11</v>
      </c>
      <c r="D1557" s="5">
        <v>45581.0</v>
      </c>
      <c r="G1557" s="1">
        <f>VLOOKUP(B1557,'old-aw-skill-plan'!A:I,7,FALSE)</f>
        <v>3</v>
      </c>
      <c r="H1557" s="1" t="str">
        <f>VLOOKUP(B1557,'old-aw-skill-plan'!A:I,9,FALSE)</f>
        <v>3-4</v>
      </c>
    </row>
    <row r="1558" ht="15.75" customHeight="1">
      <c r="A1558" s="1" t="s">
        <v>214</v>
      </c>
      <c r="B1558" s="1" t="s">
        <v>91</v>
      </c>
      <c r="C1558" s="1" t="s">
        <v>11</v>
      </c>
      <c r="D1558" s="5">
        <v>45581.0</v>
      </c>
      <c r="G1558" s="1">
        <f>VLOOKUP(B1558,'old-aw-skill-plan'!A:I,7,FALSE)</f>
        <v>6</v>
      </c>
      <c r="H1558" s="1" t="str">
        <f>VLOOKUP(B1558,'old-aw-skill-plan'!A:I,9,FALSE)</f>
        <v>6-1</v>
      </c>
    </row>
    <row r="1559" ht="15.75" customHeight="1">
      <c r="A1559" s="1" t="s">
        <v>214</v>
      </c>
      <c r="B1559" s="1" t="s">
        <v>327</v>
      </c>
      <c r="C1559" s="1" t="s">
        <v>11</v>
      </c>
      <c r="D1559" s="5">
        <v>45581.0</v>
      </c>
      <c r="G1559" s="1">
        <f>VLOOKUP(B1559,'old-aw-skill-plan'!A:I,7,FALSE)</f>
        <v>8</v>
      </c>
      <c r="H1559" s="1" t="str">
        <f>VLOOKUP(B1559,'old-aw-skill-plan'!A:I,9,FALSE)</f>
        <v>8-2</v>
      </c>
    </row>
    <row r="1560" ht="15.75" customHeight="1">
      <c r="A1560" s="1" t="s">
        <v>372</v>
      </c>
      <c r="B1560" s="1" t="s">
        <v>10</v>
      </c>
      <c r="C1560" s="1" t="s">
        <v>11</v>
      </c>
      <c r="D1560" s="5">
        <v>45581.0</v>
      </c>
      <c r="G1560" s="1">
        <f>VLOOKUP(B1560,'old-aw-skill-plan'!A:I,7,FALSE)</f>
        <v>3</v>
      </c>
      <c r="H1560" s="1" t="str">
        <f>VLOOKUP(B1560,'old-aw-skill-plan'!A:I,9,FALSE)</f>
        <v>3-1</v>
      </c>
    </row>
    <row r="1561" ht="15.75" customHeight="1">
      <c r="A1561" s="1" t="s">
        <v>75</v>
      </c>
      <c r="B1561" s="1" t="s">
        <v>115</v>
      </c>
      <c r="C1561" s="1" t="s">
        <v>11</v>
      </c>
      <c r="D1561" s="5">
        <v>45581.0</v>
      </c>
      <c r="G1561" s="1">
        <f>VLOOKUP(B1561,'old-aw-skill-plan'!A:I,7,FALSE)</f>
        <v>3</v>
      </c>
      <c r="H1561" s="1" t="str">
        <f>VLOOKUP(B1561,'old-aw-skill-plan'!A:I,9,FALSE)</f>
        <v>3-10</v>
      </c>
    </row>
    <row r="1562" ht="15.75" customHeight="1">
      <c r="A1562" s="1" t="s">
        <v>226</v>
      </c>
      <c r="B1562" s="1" t="s">
        <v>314</v>
      </c>
      <c r="C1562" s="1" t="s">
        <v>11</v>
      </c>
      <c r="D1562" s="5">
        <v>45581.0</v>
      </c>
      <c r="G1562" s="1">
        <f>VLOOKUP(B1562,'old-aw-skill-plan'!A:I,7,FALSE)</f>
        <v>5</v>
      </c>
      <c r="H1562" s="1" t="str">
        <f>VLOOKUP(B1562,'old-aw-skill-plan'!A:I,9,FALSE)</f>
        <v>5-10</v>
      </c>
    </row>
    <row r="1563" ht="15.75" customHeight="1">
      <c r="A1563" s="1" t="s">
        <v>326</v>
      </c>
      <c r="B1563" s="1" t="s">
        <v>85</v>
      </c>
      <c r="C1563" s="1" t="s">
        <v>11</v>
      </c>
      <c r="D1563" s="5">
        <v>45581.0</v>
      </c>
      <c r="G1563" s="1">
        <f>VLOOKUP(B1563,'old-aw-skill-plan'!A:I,7,FALSE)</f>
        <v>5</v>
      </c>
      <c r="H1563" s="1" t="str">
        <f>VLOOKUP(B1563,'old-aw-skill-plan'!A:I,9,FALSE)</f>
        <v>5-8</v>
      </c>
    </row>
    <row r="1564" ht="15.75" customHeight="1">
      <c r="A1564" s="1" t="s">
        <v>101</v>
      </c>
      <c r="B1564" s="1" t="s">
        <v>34</v>
      </c>
      <c r="C1564" s="1" t="s">
        <v>11</v>
      </c>
      <c r="D1564" s="5">
        <v>45581.0</v>
      </c>
      <c r="G1564" s="1">
        <f>VLOOKUP(B1564,'old-aw-skill-plan'!A:I,7,FALSE)</f>
        <v>4</v>
      </c>
      <c r="H1564" s="1" t="str">
        <f>VLOOKUP(B1564,'old-aw-skill-plan'!A:I,9,FALSE)</f>
        <v>4-1</v>
      </c>
    </row>
    <row r="1565" ht="15.75" customHeight="1">
      <c r="A1565" s="1" t="s">
        <v>101</v>
      </c>
      <c r="B1565" s="1" t="s">
        <v>37</v>
      </c>
      <c r="C1565" s="1" t="s">
        <v>11</v>
      </c>
      <c r="D1565" s="5">
        <v>45581.0</v>
      </c>
      <c r="G1565" s="1">
        <f>VLOOKUP(B1565,'old-aw-skill-plan'!A:I,7,FALSE)</f>
        <v>4</v>
      </c>
      <c r="H1565" s="1" t="str">
        <f>VLOOKUP(B1565,'old-aw-skill-plan'!A:I,9,FALSE)</f>
        <v>4-2</v>
      </c>
    </row>
    <row r="1566" ht="15.75" customHeight="1">
      <c r="A1566" s="1" t="s">
        <v>94</v>
      </c>
      <c r="B1566" s="1" t="s">
        <v>44</v>
      </c>
      <c r="C1566" s="1" t="s">
        <v>11</v>
      </c>
      <c r="D1566" s="5">
        <v>45581.0</v>
      </c>
      <c r="G1566" s="1">
        <f>VLOOKUP(B1566,'old-aw-skill-plan'!A:I,7,FALSE)</f>
        <v>5</v>
      </c>
      <c r="H1566" s="1" t="str">
        <f>VLOOKUP(B1566,'old-aw-skill-plan'!A:I,9,FALSE)</f>
        <v>5-1</v>
      </c>
    </row>
    <row r="1567" ht="15.75" customHeight="1">
      <c r="A1567" s="1" t="s">
        <v>24</v>
      </c>
      <c r="B1567" s="1" t="s">
        <v>314</v>
      </c>
      <c r="C1567" s="1" t="s">
        <v>11</v>
      </c>
      <c r="D1567" s="5">
        <v>45580.0</v>
      </c>
      <c r="G1567" s="1">
        <f>VLOOKUP(B1567,'old-aw-skill-plan'!A:I,7,FALSE)</f>
        <v>5</v>
      </c>
      <c r="H1567" s="1" t="str">
        <f>VLOOKUP(B1567,'old-aw-skill-plan'!A:I,9,FALSE)</f>
        <v>5-10</v>
      </c>
    </row>
    <row r="1568" ht="15.75" customHeight="1">
      <c r="A1568" s="1" t="s">
        <v>52</v>
      </c>
      <c r="B1568" s="1" t="s">
        <v>28</v>
      </c>
      <c r="C1568" s="1" t="s">
        <v>11</v>
      </c>
      <c r="D1568" s="5">
        <v>45580.0</v>
      </c>
      <c r="G1568" s="1">
        <f>VLOOKUP(B1568,'old-aw-skill-plan'!A:I,7,FALSE)</f>
        <v>3</v>
      </c>
      <c r="H1568" s="1" t="str">
        <f>VLOOKUP(B1568,'old-aw-skill-plan'!A:I,9,FALSE)</f>
        <v>3-4</v>
      </c>
    </row>
    <row r="1569" ht="15.75" customHeight="1">
      <c r="A1569" s="1" t="s">
        <v>52</v>
      </c>
      <c r="B1569" s="1" t="s">
        <v>57</v>
      </c>
      <c r="C1569" s="1" t="s">
        <v>11</v>
      </c>
      <c r="D1569" s="5">
        <v>45580.0</v>
      </c>
      <c r="G1569" s="1">
        <f>VLOOKUP(B1569,'old-aw-skill-plan'!A:I,7,FALSE)</f>
        <v>3</v>
      </c>
      <c r="H1569" s="1" t="str">
        <f>VLOOKUP(B1569,'old-aw-skill-plan'!A:I,9,FALSE)</f>
        <v>3-7</v>
      </c>
    </row>
    <row r="1570" ht="15.75" customHeight="1">
      <c r="A1570" s="1" t="s">
        <v>52</v>
      </c>
      <c r="B1570" s="1" t="s">
        <v>48</v>
      </c>
      <c r="C1570" s="1" t="s">
        <v>11</v>
      </c>
      <c r="D1570" s="5">
        <v>45580.0</v>
      </c>
      <c r="G1570" s="1">
        <f>VLOOKUP(B1570,'old-aw-skill-plan'!A:I,7,FALSE)</f>
        <v>3</v>
      </c>
      <c r="H1570" s="1" t="str">
        <f>VLOOKUP(B1570,'old-aw-skill-plan'!A:I,9,FALSE)</f>
        <v>3-6</v>
      </c>
    </row>
    <row r="1571" ht="15.75" customHeight="1">
      <c r="A1571" s="1" t="s">
        <v>220</v>
      </c>
      <c r="B1571" s="1" t="s">
        <v>21</v>
      </c>
      <c r="C1571" s="1" t="s">
        <v>11</v>
      </c>
      <c r="D1571" s="5">
        <v>45580.0</v>
      </c>
      <c r="G1571" s="1">
        <f>VLOOKUP(B1571,'old-aw-skill-plan'!A:I,7,FALSE)</f>
        <v>4</v>
      </c>
      <c r="H1571" s="1" t="str">
        <f>VLOOKUP(B1571,'old-aw-skill-plan'!A:I,9,FALSE)</f>
        <v>4-6</v>
      </c>
    </row>
    <row r="1572" ht="15.75" customHeight="1">
      <c r="A1572" s="1" t="s">
        <v>220</v>
      </c>
      <c r="B1572" s="1" t="s">
        <v>44</v>
      </c>
      <c r="C1572" s="1" t="s">
        <v>11</v>
      </c>
      <c r="D1572" s="5">
        <v>45580.0</v>
      </c>
      <c r="G1572" s="1">
        <f>VLOOKUP(B1572,'old-aw-skill-plan'!A:I,7,FALSE)</f>
        <v>5</v>
      </c>
      <c r="H1572" s="1" t="str">
        <f>VLOOKUP(B1572,'old-aw-skill-plan'!A:I,9,FALSE)</f>
        <v>5-1</v>
      </c>
    </row>
    <row r="1573" ht="15.75" customHeight="1">
      <c r="A1573" s="1" t="s">
        <v>63</v>
      </c>
      <c r="B1573" s="1" t="s">
        <v>87</v>
      </c>
      <c r="C1573" s="1" t="s">
        <v>11</v>
      </c>
      <c r="D1573" s="5">
        <v>45580.0</v>
      </c>
      <c r="G1573" s="1">
        <f>VLOOKUP(B1573,'old-aw-skill-plan'!A:I,7,FALSE)</f>
        <v>5</v>
      </c>
      <c r="H1573" s="1" t="str">
        <f>VLOOKUP(B1573,'old-aw-skill-plan'!A:I,9,FALSE)</f>
        <v>5-6</v>
      </c>
    </row>
    <row r="1574" ht="15.75" customHeight="1">
      <c r="A1574" s="1" t="s">
        <v>68</v>
      </c>
      <c r="B1574" s="1" t="s">
        <v>28</v>
      </c>
      <c r="C1574" s="1" t="s">
        <v>11</v>
      </c>
      <c r="D1574" s="5">
        <v>45580.0</v>
      </c>
      <c r="G1574" s="1">
        <f>VLOOKUP(B1574,'old-aw-skill-plan'!A:I,7,FALSE)</f>
        <v>3</v>
      </c>
      <c r="H1574" s="1" t="str">
        <f>VLOOKUP(B1574,'old-aw-skill-plan'!A:I,9,FALSE)</f>
        <v>3-4</v>
      </c>
    </row>
    <row r="1575" ht="15.75" customHeight="1">
      <c r="A1575" s="1" t="s">
        <v>214</v>
      </c>
      <c r="B1575" s="1" t="s">
        <v>130</v>
      </c>
      <c r="C1575" s="1" t="s">
        <v>11</v>
      </c>
      <c r="D1575" s="5">
        <v>45580.0</v>
      </c>
      <c r="G1575" s="1">
        <f>VLOOKUP(B1575,'old-aw-skill-plan'!A:I,7,FALSE)</f>
        <v>8</v>
      </c>
      <c r="H1575" s="1" t="str">
        <f>VLOOKUP(B1575,'old-aw-skill-plan'!A:I,9,FALSE)</f>
        <v>8-1</v>
      </c>
    </row>
    <row r="1576" ht="15.75" customHeight="1">
      <c r="A1576" s="1" t="s">
        <v>74</v>
      </c>
      <c r="B1576" s="1" t="s">
        <v>44</v>
      </c>
      <c r="C1576" s="1" t="s">
        <v>11</v>
      </c>
      <c r="D1576" s="5">
        <v>45580.0</v>
      </c>
      <c r="G1576" s="1">
        <f>VLOOKUP(B1576,'old-aw-skill-plan'!A:I,7,FALSE)</f>
        <v>5</v>
      </c>
      <c r="H1576" s="1" t="str">
        <f>VLOOKUP(B1576,'old-aw-skill-plan'!A:I,9,FALSE)</f>
        <v>5-1</v>
      </c>
    </row>
    <row r="1577" ht="15.75" customHeight="1">
      <c r="A1577" s="1" t="s">
        <v>205</v>
      </c>
      <c r="B1577" s="1" t="s">
        <v>83</v>
      </c>
      <c r="C1577" s="1" t="s">
        <v>11</v>
      </c>
      <c r="D1577" s="5">
        <v>45580.0</v>
      </c>
      <c r="G1577" s="1">
        <f>VLOOKUP(B1577,'old-aw-skill-plan'!A:I,7,FALSE)</f>
        <v>5</v>
      </c>
      <c r="H1577" s="1" t="str">
        <f>VLOOKUP(B1577,'old-aw-skill-plan'!A:I,9,FALSE)</f>
        <v>5-9</v>
      </c>
    </row>
    <row r="1578" ht="15.75" customHeight="1">
      <c r="A1578" s="1" t="s">
        <v>75</v>
      </c>
      <c r="B1578" s="1" t="s">
        <v>115</v>
      </c>
      <c r="C1578" s="1" t="s">
        <v>11</v>
      </c>
      <c r="D1578" s="5">
        <v>45580.0</v>
      </c>
      <c r="G1578" s="1">
        <f>VLOOKUP(B1578,'old-aw-skill-plan'!A:I,7,FALSE)</f>
        <v>3</v>
      </c>
      <c r="H1578" s="1" t="str">
        <f>VLOOKUP(B1578,'old-aw-skill-plan'!A:I,9,FALSE)</f>
        <v>3-10</v>
      </c>
    </row>
    <row r="1579" ht="15.75" customHeight="1">
      <c r="A1579" s="1" t="s">
        <v>226</v>
      </c>
      <c r="B1579" s="1" t="s">
        <v>314</v>
      </c>
      <c r="C1579" s="1" t="s">
        <v>11</v>
      </c>
      <c r="D1579" s="5">
        <v>45580.0</v>
      </c>
      <c r="G1579" s="1">
        <f>VLOOKUP(B1579,'old-aw-skill-plan'!A:I,7,FALSE)</f>
        <v>5</v>
      </c>
      <c r="H1579" s="1" t="str">
        <f>VLOOKUP(B1579,'old-aw-skill-plan'!A:I,9,FALSE)</f>
        <v>5-10</v>
      </c>
    </row>
    <row r="1580" ht="15.75" customHeight="1">
      <c r="A1580" s="1" t="s">
        <v>326</v>
      </c>
      <c r="B1580" s="1" t="s">
        <v>85</v>
      </c>
      <c r="C1580" s="1" t="s">
        <v>11</v>
      </c>
      <c r="D1580" s="5">
        <v>45580.0</v>
      </c>
      <c r="G1580" s="1">
        <f>VLOOKUP(B1580,'old-aw-skill-plan'!A:I,7,FALSE)</f>
        <v>5</v>
      </c>
      <c r="H1580" s="1" t="str">
        <f>VLOOKUP(B1580,'old-aw-skill-plan'!A:I,9,FALSE)</f>
        <v>5-8</v>
      </c>
    </row>
    <row r="1581" ht="15.75" customHeight="1">
      <c r="A1581" s="1" t="s">
        <v>101</v>
      </c>
      <c r="B1581" s="1" t="s">
        <v>34</v>
      </c>
      <c r="C1581" s="1" t="s">
        <v>11</v>
      </c>
      <c r="D1581" s="5">
        <v>45580.0</v>
      </c>
      <c r="G1581" s="1">
        <f>VLOOKUP(B1581,'old-aw-skill-plan'!A:I,7,FALSE)</f>
        <v>4</v>
      </c>
      <c r="H1581" s="1" t="str">
        <f>VLOOKUP(B1581,'old-aw-skill-plan'!A:I,9,FALSE)</f>
        <v>4-1</v>
      </c>
    </row>
    <row r="1582" ht="15.75" customHeight="1">
      <c r="A1582" s="1" t="s">
        <v>22</v>
      </c>
      <c r="B1582" s="1" t="s">
        <v>44</v>
      </c>
      <c r="C1582" s="1" t="s">
        <v>11</v>
      </c>
      <c r="D1582" s="5">
        <v>45579.0</v>
      </c>
      <c r="G1582" s="1">
        <f>VLOOKUP(B1582,'old-aw-skill-plan'!A:I,7,FALSE)</f>
        <v>5</v>
      </c>
      <c r="H1582" s="1" t="str">
        <f>VLOOKUP(B1582,'old-aw-skill-plan'!A:I,9,FALSE)</f>
        <v>5-1</v>
      </c>
    </row>
    <row r="1583" ht="15.75" customHeight="1">
      <c r="A1583" s="1" t="s">
        <v>212</v>
      </c>
      <c r="B1583" s="1" t="s">
        <v>30</v>
      </c>
      <c r="C1583" s="1" t="s">
        <v>11</v>
      </c>
      <c r="D1583" s="5">
        <v>45579.0</v>
      </c>
      <c r="G1583" s="1">
        <f>VLOOKUP(B1583,'old-aw-skill-plan'!A:I,7,FALSE)</f>
        <v>3</v>
      </c>
      <c r="H1583" s="1" t="str">
        <f>VLOOKUP(B1583,'old-aw-skill-plan'!A:I,9,FALSE)</f>
        <v>3-3</v>
      </c>
    </row>
    <row r="1584" ht="15.75" customHeight="1">
      <c r="A1584" s="1" t="s">
        <v>43</v>
      </c>
      <c r="B1584" s="1" t="s">
        <v>44</v>
      </c>
      <c r="C1584" s="1" t="s">
        <v>11</v>
      </c>
      <c r="D1584" s="5">
        <v>45579.0</v>
      </c>
      <c r="G1584" s="1">
        <f>VLOOKUP(B1584,'old-aw-skill-plan'!A:I,7,FALSE)</f>
        <v>5</v>
      </c>
      <c r="H1584" s="1" t="str">
        <f>VLOOKUP(B1584,'old-aw-skill-plan'!A:I,9,FALSE)</f>
        <v>5-1</v>
      </c>
    </row>
    <row r="1585" ht="15.75" customHeight="1">
      <c r="A1585" s="1" t="s">
        <v>24</v>
      </c>
      <c r="B1585" s="1" t="s">
        <v>314</v>
      </c>
      <c r="C1585" s="1" t="s">
        <v>11</v>
      </c>
      <c r="D1585" s="5">
        <v>45579.0</v>
      </c>
      <c r="G1585" s="1">
        <f>VLOOKUP(B1585,'old-aw-skill-plan'!A:I,7,FALSE)</f>
        <v>5</v>
      </c>
      <c r="H1585" s="1" t="str">
        <f>VLOOKUP(B1585,'old-aw-skill-plan'!A:I,9,FALSE)</f>
        <v>5-10</v>
      </c>
    </row>
    <row r="1586" ht="15.75" customHeight="1">
      <c r="A1586" s="1" t="s">
        <v>39</v>
      </c>
      <c r="B1586" s="1" t="s">
        <v>19</v>
      </c>
      <c r="C1586" s="1" t="s">
        <v>11</v>
      </c>
      <c r="D1586" s="5">
        <v>45579.0</v>
      </c>
      <c r="G1586" s="1">
        <f>VLOOKUP(B1586,'old-aw-skill-plan'!A:I,7,FALSE)</f>
        <v>4</v>
      </c>
      <c r="H1586" s="1" t="str">
        <f>VLOOKUP(B1586,'old-aw-skill-plan'!A:I,9,FALSE)</f>
        <v>4-7</v>
      </c>
    </row>
    <row r="1587" ht="15.75" customHeight="1">
      <c r="A1587" s="1" t="s">
        <v>39</v>
      </c>
      <c r="B1587" s="1" t="s">
        <v>21</v>
      </c>
      <c r="C1587" s="1" t="s">
        <v>11</v>
      </c>
      <c r="D1587" s="5">
        <v>45579.0</v>
      </c>
      <c r="G1587" s="1">
        <f>VLOOKUP(B1587,'old-aw-skill-plan'!A:I,7,FALSE)</f>
        <v>4</v>
      </c>
      <c r="H1587" s="1" t="str">
        <f>VLOOKUP(B1587,'old-aw-skill-plan'!A:I,9,FALSE)</f>
        <v>4-6</v>
      </c>
    </row>
    <row r="1588" ht="15.75" customHeight="1">
      <c r="A1588" s="1" t="s">
        <v>39</v>
      </c>
      <c r="B1588" s="1" t="s">
        <v>44</v>
      </c>
      <c r="C1588" s="1" t="s">
        <v>11</v>
      </c>
      <c r="D1588" s="5">
        <v>45579.0</v>
      </c>
      <c r="G1588" s="1">
        <f>VLOOKUP(B1588,'old-aw-skill-plan'!A:I,7,FALSE)</f>
        <v>5</v>
      </c>
      <c r="H1588" s="1" t="str">
        <f>VLOOKUP(B1588,'old-aw-skill-plan'!A:I,9,FALSE)</f>
        <v>5-1</v>
      </c>
    </row>
    <row r="1589" ht="15.75" customHeight="1">
      <c r="A1589" s="1" t="s">
        <v>220</v>
      </c>
      <c r="B1589" s="1" t="s">
        <v>350</v>
      </c>
      <c r="C1589" s="1" t="s">
        <v>11</v>
      </c>
      <c r="D1589" s="5">
        <v>45579.0</v>
      </c>
      <c r="G1589" s="1">
        <f>VLOOKUP(B1589,'old-aw-skill-plan'!A:I,7,FALSE)</f>
        <v>3</v>
      </c>
      <c r="H1589" s="1" t="str">
        <f>VLOOKUP(B1589,'old-aw-skill-plan'!A:I,9,FALSE)</f>
        <v>3-6</v>
      </c>
    </row>
    <row r="1590" ht="15.75" customHeight="1">
      <c r="A1590" s="1" t="s">
        <v>220</v>
      </c>
      <c r="B1590" s="1" t="s">
        <v>19</v>
      </c>
      <c r="C1590" s="1" t="s">
        <v>11</v>
      </c>
      <c r="D1590" s="5">
        <v>45579.0</v>
      </c>
      <c r="G1590" s="1">
        <f>VLOOKUP(B1590,'old-aw-skill-plan'!A:I,7,FALSE)</f>
        <v>4</v>
      </c>
      <c r="H1590" s="1" t="str">
        <f>VLOOKUP(B1590,'old-aw-skill-plan'!A:I,9,FALSE)</f>
        <v>4-7</v>
      </c>
    </row>
    <row r="1591" ht="15.75" customHeight="1">
      <c r="A1591" s="1" t="s">
        <v>220</v>
      </c>
      <c r="B1591" s="1" t="s">
        <v>21</v>
      </c>
      <c r="C1591" s="1" t="s">
        <v>11</v>
      </c>
      <c r="D1591" s="5">
        <v>45579.0</v>
      </c>
      <c r="G1591" s="1">
        <f>VLOOKUP(B1591,'old-aw-skill-plan'!A:I,7,FALSE)</f>
        <v>4</v>
      </c>
      <c r="H1591" s="1" t="str">
        <f>VLOOKUP(B1591,'old-aw-skill-plan'!A:I,9,FALSE)</f>
        <v>4-6</v>
      </c>
    </row>
    <row r="1592" ht="15.75" customHeight="1">
      <c r="A1592" s="1" t="s">
        <v>220</v>
      </c>
      <c r="B1592" s="1" t="s">
        <v>353</v>
      </c>
      <c r="C1592" s="1" t="s">
        <v>11</v>
      </c>
      <c r="D1592" s="5">
        <v>45579.0</v>
      </c>
      <c r="G1592" s="1">
        <f>VLOOKUP(B1592,'old-aw-skill-plan'!A:I,7,FALSE)</f>
        <v>7</v>
      </c>
      <c r="H1592" s="1" t="str">
        <f>VLOOKUP(B1592,'old-aw-skill-plan'!A:I,9,FALSE)</f>
        <v>7-6</v>
      </c>
    </row>
    <row r="1593" ht="15.75" customHeight="1">
      <c r="A1593" s="1" t="s">
        <v>220</v>
      </c>
      <c r="B1593" s="1" t="s">
        <v>351</v>
      </c>
      <c r="C1593" s="1" t="s">
        <v>11</v>
      </c>
      <c r="D1593" s="5">
        <v>45579.0</v>
      </c>
      <c r="G1593" s="1">
        <f>VLOOKUP(B1593,'old-aw-skill-plan'!A:I,7,FALSE)</f>
        <v>7</v>
      </c>
      <c r="H1593" s="1" t="str">
        <f>VLOOKUP(B1593,'old-aw-skill-plan'!A:I,9,FALSE)</f>
        <v>7-6</v>
      </c>
    </row>
    <row r="1594" ht="15.75" customHeight="1">
      <c r="A1594" s="1" t="s">
        <v>220</v>
      </c>
      <c r="B1594" s="1" t="s">
        <v>44</v>
      </c>
      <c r="C1594" s="1" t="s">
        <v>11</v>
      </c>
      <c r="D1594" s="5">
        <v>45579.0</v>
      </c>
      <c r="G1594" s="1">
        <f>VLOOKUP(B1594,'old-aw-skill-plan'!A:I,7,FALSE)</f>
        <v>5</v>
      </c>
      <c r="H1594" s="1" t="str">
        <f>VLOOKUP(B1594,'old-aw-skill-plan'!A:I,9,FALSE)</f>
        <v>5-1</v>
      </c>
    </row>
    <row r="1595" ht="15.75" customHeight="1">
      <c r="A1595" s="1" t="s">
        <v>185</v>
      </c>
      <c r="B1595" s="1" t="s">
        <v>87</v>
      </c>
      <c r="C1595" s="1" t="s">
        <v>11</v>
      </c>
      <c r="D1595" s="5">
        <v>45579.0</v>
      </c>
      <c r="G1595" s="1">
        <f>VLOOKUP(B1595,'old-aw-skill-plan'!A:I,7,FALSE)</f>
        <v>5</v>
      </c>
      <c r="H1595" s="1" t="str">
        <f>VLOOKUP(B1595,'old-aw-skill-plan'!A:I,9,FALSE)</f>
        <v>5-6</v>
      </c>
    </row>
    <row r="1596" ht="15.75" customHeight="1">
      <c r="A1596" s="1" t="s">
        <v>63</v>
      </c>
      <c r="B1596" s="1" t="s">
        <v>87</v>
      </c>
      <c r="C1596" s="1" t="s">
        <v>11</v>
      </c>
      <c r="D1596" s="5">
        <v>45579.0</v>
      </c>
      <c r="G1596" s="1">
        <f>VLOOKUP(B1596,'old-aw-skill-plan'!A:I,7,FALSE)</f>
        <v>5</v>
      </c>
      <c r="H1596" s="1" t="str">
        <f>VLOOKUP(B1596,'old-aw-skill-plan'!A:I,9,FALSE)</f>
        <v>5-6</v>
      </c>
    </row>
    <row r="1597" ht="15.75" customHeight="1">
      <c r="A1597" s="1" t="s">
        <v>65</v>
      </c>
      <c r="B1597" s="1" t="s">
        <v>34</v>
      </c>
      <c r="C1597" s="1" t="s">
        <v>11</v>
      </c>
      <c r="D1597" s="5">
        <v>45579.0</v>
      </c>
      <c r="G1597" s="1">
        <f>VLOOKUP(B1597,'old-aw-skill-plan'!A:I,7,FALSE)</f>
        <v>4</v>
      </c>
      <c r="H1597" s="1" t="str">
        <f>VLOOKUP(B1597,'old-aw-skill-plan'!A:I,9,FALSE)</f>
        <v>4-1</v>
      </c>
    </row>
    <row r="1598" ht="15.75" customHeight="1">
      <c r="A1598" s="1" t="s">
        <v>68</v>
      </c>
      <c r="B1598" s="1" t="s">
        <v>28</v>
      </c>
      <c r="C1598" s="1" t="s">
        <v>11</v>
      </c>
      <c r="D1598" s="5">
        <v>45579.0</v>
      </c>
      <c r="G1598" s="1">
        <f>VLOOKUP(B1598,'old-aw-skill-plan'!A:I,7,FALSE)</f>
        <v>3</v>
      </c>
      <c r="H1598" s="1" t="str">
        <f>VLOOKUP(B1598,'old-aw-skill-plan'!A:I,9,FALSE)</f>
        <v>3-4</v>
      </c>
    </row>
    <row r="1599" ht="15.75" customHeight="1">
      <c r="A1599" s="1" t="s">
        <v>95</v>
      </c>
      <c r="B1599" s="1" t="s">
        <v>28</v>
      </c>
      <c r="C1599" s="1" t="s">
        <v>11</v>
      </c>
      <c r="D1599" s="5">
        <v>45579.0</v>
      </c>
      <c r="G1599" s="1">
        <f>VLOOKUP(B1599,'old-aw-skill-plan'!A:I,7,FALSE)</f>
        <v>3</v>
      </c>
      <c r="H1599" s="1" t="str">
        <f>VLOOKUP(B1599,'old-aw-skill-plan'!A:I,9,FALSE)</f>
        <v>3-4</v>
      </c>
    </row>
    <row r="1600" ht="15.75" customHeight="1">
      <c r="A1600" s="1" t="s">
        <v>373</v>
      </c>
      <c r="B1600" s="1" t="s">
        <v>28</v>
      </c>
      <c r="C1600" s="1" t="s">
        <v>11</v>
      </c>
      <c r="D1600" s="5">
        <v>45579.0</v>
      </c>
      <c r="G1600" s="1">
        <f>VLOOKUP(B1600,'old-aw-skill-plan'!A:I,7,FALSE)</f>
        <v>3</v>
      </c>
      <c r="H1600" s="1" t="str">
        <f>VLOOKUP(B1600,'old-aw-skill-plan'!A:I,9,FALSE)</f>
        <v>3-4</v>
      </c>
    </row>
    <row r="1601" ht="15.75" customHeight="1">
      <c r="A1601" s="1" t="s">
        <v>74</v>
      </c>
      <c r="B1601" s="1" t="s">
        <v>44</v>
      </c>
      <c r="C1601" s="1" t="s">
        <v>11</v>
      </c>
      <c r="D1601" s="5">
        <v>45579.0</v>
      </c>
      <c r="G1601" s="1">
        <f>VLOOKUP(B1601,'old-aw-skill-plan'!A:I,7,FALSE)</f>
        <v>5</v>
      </c>
      <c r="H1601" s="1" t="str">
        <f>VLOOKUP(B1601,'old-aw-skill-plan'!A:I,9,FALSE)</f>
        <v>5-1</v>
      </c>
    </row>
    <row r="1602" ht="15.75" customHeight="1">
      <c r="A1602" s="1" t="s">
        <v>75</v>
      </c>
      <c r="B1602" s="1" t="s">
        <v>115</v>
      </c>
      <c r="C1602" s="1" t="s">
        <v>11</v>
      </c>
      <c r="D1602" s="5">
        <v>45579.0</v>
      </c>
      <c r="G1602" s="1">
        <f>VLOOKUP(B1602,'old-aw-skill-plan'!A:I,7,FALSE)</f>
        <v>3</v>
      </c>
      <c r="H1602" s="1" t="str">
        <f>VLOOKUP(B1602,'old-aw-skill-plan'!A:I,9,FALSE)</f>
        <v>3-10</v>
      </c>
    </row>
    <row r="1603" ht="15.75" customHeight="1">
      <c r="A1603" s="1" t="s">
        <v>82</v>
      </c>
      <c r="B1603" s="1" t="s">
        <v>115</v>
      </c>
      <c r="C1603" s="1" t="s">
        <v>11</v>
      </c>
      <c r="D1603" s="5">
        <v>45579.0</v>
      </c>
      <c r="G1603" s="1">
        <f>VLOOKUP(B1603,'old-aw-skill-plan'!A:I,7,FALSE)</f>
        <v>3</v>
      </c>
      <c r="H1603" s="1" t="str">
        <f>VLOOKUP(B1603,'old-aw-skill-plan'!A:I,9,FALSE)</f>
        <v>3-10</v>
      </c>
    </row>
    <row r="1604" ht="15.75" customHeight="1">
      <c r="A1604" s="1" t="s">
        <v>226</v>
      </c>
      <c r="B1604" s="1" t="s">
        <v>314</v>
      </c>
      <c r="C1604" s="1" t="s">
        <v>11</v>
      </c>
      <c r="D1604" s="5">
        <v>45579.0</v>
      </c>
      <c r="G1604" s="1">
        <f>VLOOKUP(B1604,'old-aw-skill-plan'!A:I,7,FALSE)</f>
        <v>5</v>
      </c>
      <c r="H1604" s="1" t="str">
        <f>VLOOKUP(B1604,'old-aw-skill-plan'!A:I,9,FALSE)</f>
        <v>5-10</v>
      </c>
    </row>
    <row r="1605" ht="15.75" customHeight="1">
      <c r="A1605" s="1" t="s">
        <v>365</v>
      </c>
      <c r="B1605" s="1" t="s">
        <v>44</v>
      </c>
      <c r="C1605" s="1" t="s">
        <v>11</v>
      </c>
      <c r="D1605" s="5">
        <v>45579.0</v>
      </c>
      <c r="G1605" s="1">
        <f>VLOOKUP(B1605,'old-aw-skill-plan'!A:I,7,FALSE)</f>
        <v>5</v>
      </c>
      <c r="H1605" s="1" t="str">
        <f>VLOOKUP(B1605,'old-aw-skill-plan'!A:I,9,FALSE)</f>
        <v>5-1</v>
      </c>
    </row>
    <row r="1606" ht="15.75" customHeight="1">
      <c r="A1606" s="1" t="s">
        <v>35</v>
      </c>
      <c r="B1606" s="1" t="s">
        <v>314</v>
      </c>
      <c r="C1606" s="1" t="s">
        <v>11</v>
      </c>
      <c r="D1606" s="5">
        <v>45575.0</v>
      </c>
      <c r="G1606" s="1">
        <f>VLOOKUP(B1606,'old-aw-skill-plan'!A:I,7,FALSE)</f>
        <v>5</v>
      </c>
      <c r="H1606" s="1" t="str">
        <f>VLOOKUP(B1606,'old-aw-skill-plan'!A:I,9,FALSE)</f>
        <v>5-10</v>
      </c>
    </row>
    <row r="1607" ht="15.75" customHeight="1">
      <c r="A1607" s="1" t="s">
        <v>45</v>
      </c>
      <c r="B1607" s="1" t="s">
        <v>104</v>
      </c>
      <c r="C1607" s="1" t="s">
        <v>11</v>
      </c>
      <c r="D1607" s="5">
        <v>45575.0</v>
      </c>
      <c r="G1607" s="1">
        <f>VLOOKUP(B1607,'old-aw-skill-plan'!A:I,7,FALSE)</f>
        <v>5</v>
      </c>
      <c r="H1607" s="1" t="str">
        <f>VLOOKUP(B1607,'old-aw-skill-plan'!A:I,9,FALSE)</f>
        <v>5-2</v>
      </c>
    </row>
    <row r="1608" ht="15.75" customHeight="1">
      <c r="A1608" s="1" t="s">
        <v>24</v>
      </c>
      <c r="B1608" s="1" t="s">
        <v>314</v>
      </c>
      <c r="C1608" s="1" t="s">
        <v>11</v>
      </c>
      <c r="D1608" s="5">
        <v>45575.0</v>
      </c>
      <c r="G1608" s="1">
        <f>VLOOKUP(B1608,'old-aw-skill-plan'!A:I,7,FALSE)</f>
        <v>5</v>
      </c>
      <c r="H1608" s="1" t="str">
        <f>VLOOKUP(B1608,'old-aw-skill-plan'!A:I,9,FALSE)</f>
        <v>5-10</v>
      </c>
    </row>
    <row r="1609" ht="15.75" customHeight="1">
      <c r="A1609" s="1" t="s">
        <v>205</v>
      </c>
      <c r="B1609" s="1" t="s">
        <v>83</v>
      </c>
      <c r="C1609" s="1" t="s">
        <v>11</v>
      </c>
      <c r="D1609" s="5">
        <v>45575.0</v>
      </c>
      <c r="G1609" s="1">
        <f>VLOOKUP(B1609,'old-aw-skill-plan'!A:I,7,FALSE)</f>
        <v>5</v>
      </c>
      <c r="H1609" s="1" t="str">
        <f>VLOOKUP(B1609,'old-aw-skill-plan'!A:I,9,FALSE)</f>
        <v>5-9</v>
      </c>
    </row>
    <row r="1610" ht="15.75" customHeight="1">
      <c r="A1610" s="1" t="s">
        <v>372</v>
      </c>
      <c r="B1610" s="1" t="s">
        <v>10</v>
      </c>
      <c r="C1610" s="1" t="s">
        <v>11</v>
      </c>
      <c r="D1610" s="5">
        <v>45574.0</v>
      </c>
      <c r="G1610" s="1">
        <f>VLOOKUP(B1610,'old-aw-skill-plan'!A:I,7,FALSE)</f>
        <v>3</v>
      </c>
      <c r="H1610" s="1" t="str">
        <f>VLOOKUP(B1610,'old-aw-skill-plan'!A:I,9,FALSE)</f>
        <v>3-1</v>
      </c>
    </row>
    <row r="1611" ht="15.75" customHeight="1">
      <c r="A1611" s="1" t="s">
        <v>198</v>
      </c>
      <c r="B1611" s="1" t="s">
        <v>34</v>
      </c>
      <c r="C1611" s="1" t="s">
        <v>11</v>
      </c>
      <c r="D1611" s="5">
        <v>45574.0</v>
      </c>
      <c r="G1611" s="1">
        <f>VLOOKUP(B1611,'old-aw-skill-plan'!A:I,7,FALSE)</f>
        <v>4</v>
      </c>
      <c r="H1611" s="1" t="str">
        <f>VLOOKUP(B1611,'old-aw-skill-plan'!A:I,9,FALSE)</f>
        <v>4-1</v>
      </c>
    </row>
    <row r="1612" ht="15.75" customHeight="1">
      <c r="A1612" s="1" t="s">
        <v>216</v>
      </c>
      <c r="B1612" s="1" t="s">
        <v>44</v>
      </c>
      <c r="C1612" s="1" t="s">
        <v>11</v>
      </c>
      <c r="D1612" s="5">
        <v>45573.0</v>
      </c>
      <c r="G1612" s="1">
        <f>VLOOKUP(B1612,'old-aw-skill-plan'!A:I,7,FALSE)</f>
        <v>5</v>
      </c>
      <c r="H1612" s="1" t="str">
        <f>VLOOKUP(B1612,'old-aw-skill-plan'!A:I,9,FALSE)</f>
        <v>5-1</v>
      </c>
    </row>
    <row r="1613" ht="15.75" customHeight="1">
      <c r="A1613" s="1" t="s">
        <v>46</v>
      </c>
      <c r="B1613" s="1" t="s">
        <v>34</v>
      </c>
      <c r="C1613" s="1" t="s">
        <v>11</v>
      </c>
      <c r="D1613" s="5">
        <v>45573.0</v>
      </c>
      <c r="G1613" s="1">
        <f>VLOOKUP(B1613,'old-aw-skill-plan'!A:I,7,FALSE)</f>
        <v>4</v>
      </c>
      <c r="H1613" s="1" t="str">
        <f>VLOOKUP(B1613,'old-aw-skill-plan'!A:I,9,FALSE)</f>
        <v>4-1</v>
      </c>
    </row>
    <row r="1614" ht="15.75" customHeight="1">
      <c r="A1614" s="1" t="s">
        <v>347</v>
      </c>
      <c r="B1614" s="1" t="s">
        <v>83</v>
      </c>
      <c r="C1614" s="1" t="s">
        <v>11</v>
      </c>
      <c r="D1614" s="5">
        <v>45573.0</v>
      </c>
      <c r="G1614" s="1">
        <f>VLOOKUP(B1614,'old-aw-skill-plan'!A:I,7,FALSE)</f>
        <v>5</v>
      </c>
      <c r="H1614" s="1" t="str">
        <f>VLOOKUP(B1614,'old-aw-skill-plan'!A:I,9,FALSE)</f>
        <v>5-9</v>
      </c>
    </row>
    <row r="1615" ht="15.75" customHeight="1">
      <c r="A1615" s="1" t="s">
        <v>82</v>
      </c>
      <c r="B1615" s="1" t="s">
        <v>115</v>
      </c>
      <c r="C1615" s="1" t="s">
        <v>11</v>
      </c>
      <c r="D1615" s="5">
        <v>45572.0</v>
      </c>
      <c r="G1615" s="1">
        <f>VLOOKUP(B1615,'old-aw-skill-plan'!A:I,7,FALSE)</f>
        <v>3</v>
      </c>
      <c r="H1615" s="1" t="str">
        <f>VLOOKUP(B1615,'old-aw-skill-plan'!A:I,9,FALSE)</f>
        <v>3-10</v>
      </c>
    </row>
    <row r="1616" ht="15.75" customHeight="1">
      <c r="A1616" s="1" t="s">
        <v>82</v>
      </c>
      <c r="B1616" s="1" t="s">
        <v>310</v>
      </c>
      <c r="C1616" s="1" t="s">
        <v>11</v>
      </c>
      <c r="D1616" s="5">
        <v>45572.0</v>
      </c>
      <c r="G1616" s="1" t="str">
        <f>VLOOKUP(B1616,'old-aw-skill-plan'!A:I,7,FALSE)</f>
        <v>#N/A</v>
      </c>
      <c r="H1616" s="1" t="str">
        <f>VLOOKUP(B1616,'old-aw-skill-plan'!A:I,9,FALSE)</f>
        <v>#N/A</v>
      </c>
    </row>
    <row r="1617" ht="15.75" customHeight="1">
      <c r="A1617" s="1" t="s">
        <v>22</v>
      </c>
      <c r="B1617" s="1" t="s">
        <v>44</v>
      </c>
      <c r="C1617" s="1" t="s">
        <v>11</v>
      </c>
      <c r="D1617" s="5">
        <v>45569.0</v>
      </c>
      <c r="G1617" s="1">
        <f>VLOOKUP(B1617,'old-aw-skill-plan'!A:I,7,FALSE)</f>
        <v>5</v>
      </c>
      <c r="H1617" s="1" t="str">
        <f>VLOOKUP(B1617,'old-aw-skill-plan'!A:I,9,FALSE)</f>
        <v>5-1</v>
      </c>
    </row>
    <row r="1618" ht="15.75" customHeight="1">
      <c r="A1618" s="1" t="s">
        <v>52</v>
      </c>
      <c r="B1618" s="1" t="s">
        <v>28</v>
      </c>
      <c r="C1618" s="1" t="s">
        <v>11</v>
      </c>
      <c r="D1618" s="5">
        <v>45569.0</v>
      </c>
      <c r="G1618" s="1">
        <f>VLOOKUP(B1618,'old-aw-skill-plan'!A:I,7,FALSE)</f>
        <v>3</v>
      </c>
      <c r="H1618" s="1" t="str">
        <f>VLOOKUP(B1618,'old-aw-skill-plan'!A:I,9,FALSE)</f>
        <v>3-4</v>
      </c>
    </row>
    <row r="1619" ht="15.75" customHeight="1">
      <c r="A1619" s="1" t="s">
        <v>197</v>
      </c>
      <c r="B1619" s="1" t="s">
        <v>374</v>
      </c>
      <c r="C1619" s="1" t="s">
        <v>11</v>
      </c>
      <c r="D1619" s="5">
        <v>45569.0</v>
      </c>
      <c r="G1619" s="1">
        <f>VLOOKUP(B1619,'old-aw-skill-plan'!A:I,7,FALSE)</f>
        <v>4</v>
      </c>
      <c r="H1619" s="1" t="str">
        <f>VLOOKUP(B1619,'old-aw-skill-plan'!A:I,9,FALSE)</f>
        <v>4-11</v>
      </c>
    </row>
    <row r="1620" ht="15.75" customHeight="1">
      <c r="A1620" s="1" t="s">
        <v>24</v>
      </c>
      <c r="B1620" s="1" t="s">
        <v>314</v>
      </c>
      <c r="C1620" s="1" t="s">
        <v>11</v>
      </c>
      <c r="D1620" s="5">
        <v>45568.0</v>
      </c>
      <c r="G1620" s="1">
        <f>VLOOKUP(B1620,'old-aw-skill-plan'!A:I,7,FALSE)</f>
        <v>5</v>
      </c>
      <c r="H1620" s="1" t="str">
        <f>VLOOKUP(B1620,'old-aw-skill-plan'!A:I,9,FALSE)</f>
        <v>5-10</v>
      </c>
    </row>
    <row r="1621" ht="15.75" customHeight="1">
      <c r="A1621" s="1" t="s">
        <v>52</v>
      </c>
      <c r="B1621" s="1" t="s">
        <v>28</v>
      </c>
      <c r="C1621" s="1" t="s">
        <v>11</v>
      </c>
      <c r="D1621" s="5">
        <v>45568.0</v>
      </c>
      <c r="G1621" s="1">
        <f>VLOOKUP(B1621,'old-aw-skill-plan'!A:I,7,FALSE)</f>
        <v>3</v>
      </c>
      <c r="H1621" s="1" t="str">
        <f>VLOOKUP(B1621,'old-aw-skill-plan'!A:I,9,FALSE)</f>
        <v>3-4</v>
      </c>
    </row>
    <row r="1622" ht="15.75" customHeight="1">
      <c r="A1622" s="1" t="s">
        <v>63</v>
      </c>
      <c r="B1622" s="1" t="s">
        <v>87</v>
      </c>
      <c r="C1622" s="1" t="s">
        <v>11</v>
      </c>
      <c r="D1622" s="5">
        <v>45568.0</v>
      </c>
      <c r="G1622" s="1">
        <f>VLOOKUP(B1622,'old-aw-skill-plan'!A:I,7,FALSE)</f>
        <v>5</v>
      </c>
      <c r="H1622" s="1" t="str">
        <f>VLOOKUP(B1622,'old-aw-skill-plan'!A:I,9,FALSE)</f>
        <v>5-6</v>
      </c>
    </row>
    <row r="1623" ht="15.75" customHeight="1">
      <c r="A1623" s="1" t="s">
        <v>183</v>
      </c>
      <c r="B1623" s="1" t="s">
        <v>327</v>
      </c>
      <c r="C1623" s="1" t="s">
        <v>11</v>
      </c>
      <c r="D1623" s="5">
        <v>45568.0</v>
      </c>
      <c r="G1623" s="1">
        <f>VLOOKUP(B1623,'old-aw-skill-plan'!A:I,7,FALSE)</f>
        <v>8</v>
      </c>
      <c r="H1623" s="1" t="str">
        <f>VLOOKUP(B1623,'old-aw-skill-plan'!A:I,9,FALSE)</f>
        <v>8-2</v>
      </c>
    </row>
    <row r="1624" ht="15.75" customHeight="1">
      <c r="A1624" s="1" t="s">
        <v>214</v>
      </c>
      <c r="B1624" s="1" t="s">
        <v>375</v>
      </c>
      <c r="C1624" s="1" t="s">
        <v>11</v>
      </c>
      <c r="D1624" s="5">
        <v>45568.0</v>
      </c>
      <c r="G1624" s="1">
        <f>VLOOKUP(B1624,'old-aw-skill-plan'!A:I,7,FALSE)</f>
        <v>6</v>
      </c>
      <c r="H1624" s="1" t="str">
        <f>VLOOKUP(B1624,'old-aw-skill-plan'!A:I,9,FALSE)</f>
        <v>6-2</v>
      </c>
    </row>
    <row r="1625" ht="15.75" customHeight="1">
      <c r="A1625" s="1" t="s">
        <v>214</v>
      </c>
      <c r="B1625" s="1" t="s">
        <v>376</v>
      </c>
      <c r="C1625" s="1" t="s">
        <v>11</v>
      </c>
      <c r="D1625" s="5">
        <v>45568.0</v>
      </c>
      <c r="G1625" s="1">
        <f>VLOOKUP(B1625,'old-aw-skill-plan'!A:I,7,FALSE)</f>
        <v>6</v>
      </c>
      <c r="H1625" s="1" t="str">
        <f>VLOOKUP(B1625,'old-aw-skill-plan'!A:I,9,FALSE)</f>
        <v>6-6</v>
      </c>
    </row>
    <row r="1626" ht="15.75" customHeight="1">
      <c r="A1626" s="1" t="s">
        <v>214</v>
      </c>
      <c r="B1626" s="1" t="s">
        <v>377</v>
      </c>
      <c r="C1626" s="1" t="s">
        <v>11</v>
      </c>
      <c r="D1626" s="5">
        <v>45568.0</v>
      </c>
      <c r="G1626" s="1">
        <f>VLOOKUP(B1626,'old-aw-skill-plan'!A:I,7,FALSE)</f>
        <v>3</v>
      </c>
      <c r="H1626" s="1" t="str">
        <f>VLOOKUP(B1626,'old-aw-skill-plan'!A:I,9,FALSE)</f>
        <v>3-3</v>
      </c>
    </row>
    <row r="1627" ht="15.75" customHeight="1">
      <c r="A1627" s="1" t="s">
        <v>214</v>
      </c>
      <c r="B1627" s="1" t="s">
        <v>378</v>
      </c>
      <c r="C1627" s="1" t="s">
        <v>11</v>
      </c>
      <c r="D1627" s="5">
        <v>45568.0</v>
      </c>
      <c r="G1627" s="1">
        <f>VLOOKUP(B1627,'old-aw-skill-plan'!A:I,7,FALSE)</f>
        <v>6</v>
      </c>
      <c r="H1627" s="1" t="str">
        <f>VLOOKUP(B1627,'old-aw-skill-plan'!A:I,9,FALSE)</f>
        <v>6-6</v>
      </c>
    </row>
    <row r="1628" ht="15.75" customHeight="1">
      <c r="A1628" s="1" t="s">
        <v>214</v>
      </c>
      <c r="B1628" s="1" t="s">
        <v>130</v>
      </c>
      <c r="C1628" s="1" t="s">
        <v>11</v>
      </c>
      <c r="D1628" s="5">
        <v>45568.0</v>
      </c>
      <c r="G1628" s="1">
        <f>VLOOKUP(B1628,'old-aw-skill-plan'!A:I,7,FALSE)</f>
        <v>8</v>
      </c>
      <c r="H1628" s="1" t="str">
        <f>VLOOKUP(B1628,'old-aw-skill-plan'!A:I,9,FALSE)</f>
        <v>8-1</v>
      </c>
    </row>
    <row r="1629" ht="15.75" customHeight="1">
      <c r="A1629" s="1" t="s">
        <v>197</v>
      </c>
      <c r="B1629" s="1" t="s">
        <v>42</v>
      </c>
      <c r="C1629" s="1" t="s">
        <v>11</v>
      </c>
      <c r="D1629" s="5">
        <v>45568.0</v>
      </c>
      <c r="G1629" s="1">
        <f>VLOOKUP(B1629,'old-aw-skill-plan'!A:I,7,FALSE)</f>
        <v>4</v>
      </c>
      <c r="H1629" s="1" t="str">
        <f>VLOOKUP(B1629,'old-aw-skill-plan'!A:I,9,FALSE)</f>
        <v>4-11</v>
      </c>
    </row>
    <row r="1630" ht="15.75" customHeight="1">
      <c r="A1630" s="1" t="s">
        <v>197</v>
      </c>
      <c r="B1630" s="1" t="s">
        <v>374</v>
      </c>
      <c r="C1630" s="1" t="s">
        <v>11</v>
      </c>
      <c r="D1630" s="5">
        <v>45568.0</v>
      </c>
      <c r="G1630" s="1">
        <f>VLOOKUP(B1630,'old-aw-skill-plan'!A:I,7,FALSE)</f>
        <v>4</v>
      </c>
      <c r="H1630" s="1" t="str">
        <f>VLOOKUP(B1630,'old-aw-skill-plan'!A:I,9,FALSE)</f>
        <v>4-11</v>
      </c>
    </row>
    <row r="1631" ht="15.75" customHeight="1">
      <c r="A1631" s="1" t="s">
        <v>74</v>
      </c>
      <c r="B1631" s="1" t="s">
        <v>44</v>
      </c>
      <c r="C1631" s="1" t="s">
        <v>11</v>
      </c>
      <c r="D1631" s="5">
        <v>45568.0</v>
      </c>
      <c r="G1631" s="1">
        <f>VLOOKUP(B1631,'old-aw-skill-plan'!A:I,7,FALSE)</f>
        <v>5</v>
      </c>
      <c r="H1631" s="1" t="str">
        <f>VLOOKUP(B1631,'old-aw-skill-plan'!A:I,9,FALSE)</f>
        <v>5-1</v>
      </c>
    </row>
    <row r="1632" ht="15.75" customHeight="1">
      <c r="A1632" s="1" t="s">
        <v>75</v>
      </c>
      <c r="B1632" s="1" t="s">
        <v>115</v>
      </c>
      <c r="C1632" s="1" t="s">
        <v>11</v>
      </c>
      <c r="D1632" s="5">
        <v>45568.0</v>
      </c>
      <c r="G1632" s="1">
        <f>VLOOKUP(B1632,'old-aw-skill-plan'!A:I,7,FALSE)</f>
        <v>3</v>
      </c>
      <c r="H1632" s="1" t="str">
        <f>VLOOKUP(B1632,'old-aw-skill-plan'!A:I,9,FALSE)</f>
        <v>3-10</v>
      </c>
    </row>
    <row r="1633" ht="15.75" customHeight="1">
      <c r="A1633" s="1" t="s">
        <v>82</v>
      </c>
      <c r="B1633" s="1" t="s">
        <v>115</v>
      </c>
      <c r="C1633" s="1" t="s">
        <v>11</v>
      </c>
      <c r="D1633" s="5">
        <v>45568.0</v>
      </c>
      <c r="G1633" s="1">
        <f>VLOOKUP(B1633,'old-aw-skill-plan'!A:I,7,FALSE)</f>
        <v>3</v>
      </c>
      <c r="H1633" s="1" t="str">
        <f>VLOOKUP(B1633,'old-aw-skill-plan'!A:I,9,FALSE)</f>
        <v>3-10</v>
      </c>
    </row>
    <row r="1634" ht="15.75" customHeight="1">
      <c r="A1634" s="1" t="s">
        <v>326</v>
      </c>
      <c r="B1634" s="1" t="s">
        <v>85</v>
      </c>
      <c r="C1634" s="1" t="s">
        <v>11</v>
      </c>
      <c r="D1634" s="5">
        <v>45568.0</v>
      </c>
      <c r="G1634" s="1">
        <f>VLOOKUP(B1634,'old-aw-skill-plan'!A:I,7,FALSE)</f>
        <v>5</v>
      </c>
      <c r="H1634" s="1" t="str">
        <f>VLOOKUP(B1634,'old-aw-skill-plan'!A:I,9,FALSE)</f>
        <v>5-8</v>
      </c>
    </row>
    <row r="1635" ht="15.75" customHeight="1">
      <c r="A1635" s="1" t="s">
        <v>35</v>
      </c>
      <c r="B1635" s="1" t="s">
        <v>354</v>
      </c>
      <c r="C1635" s="1" t="s">
        <v>11</v>
      </c>
      <c r="D1635" s="5">
        <v>45567.0</v>
      </c>
      <c r="G1635" s="1">
        <f>VLOOKUP(B1635,'old-aw-skill-plan'!A:I,7,FALSE)</f>
        <v>3</v>
      </c>
      <c r="H1635" s="1" t="str">
        <f>VLOOKUP(B1635,'old-aw-skill-plan'!A:I,9,FALSE)</f>
        <v>3-7</v>
      </c>
    </row>
    <row r="1636" ht="15.75" customHeight="1">
      <c r="A1636" s="1" t="s">
        <v>35</v>
      </c>
      <c r="B1636" s="1" t="s">
        <v>361</v>
      </c>
      <c r="C1636" s="1" t="s">
        <v>11</v>
      </c>
      <c r="D1636" s="5">
        <v>45567.0</v>
      </c>
      <c r="G1636" s="1">
        <f>VLOOKUP(B1636,'old-aw-skill-plan'!A:I,7,FALSE)</f>
        <v>3</v>
      </c>
      <c r="H1636" s="1" t="str">
        <f>VLOOKUP(B1636,'old-aw-skill-plan'!A:I,9,FALSE)</f>
        <v>3-7</v>
      </c>
    </row>
    <row r="1637" ht="15.75" customHeight="1">
      <c r="A1637" s="1" t="s">
        <v>35</v>
      </c>
      <c r="B1637" s="1" t="s">
        <v>120</v>
      </c>
      <c r="C1637" s="1" t="s">
        <v>11</v>
      </c>
      <c r="D1637" s="5">
        <v>45567.0</v>
      </c>
      <c r="G1637" s="1">
        <f>VLOOKUP(B1637,'old-aw-skill-plan'!A:I,7,FALSE)</f>
        <v>5</v>
      </c>
      <c r="H1637" s="1" t="str">
        <f>VLOOKUP(B1637,'old-aw-skill-plan'!A:I,9,FALSE)</f>
        <v>5-11</v>
      </c>
    </row>
    <row r="1638" ht="15.75" customHeight="1">
      <c r="A1638" s="1" t="s">
        <v>35</v>
      </c>
      <c r="B1638" s="1" t="s">
        <v>379</v>
      </c>
      <c r="C1638" s="1" t="s">
        <v>11</v>
      </c>
      <c r="D1638" s="5">
        <v>45567.0</v>
      </c>
      <c r="G1638" s="1">
        <f>VLOOKUP(B1638,'old-aw-skill-plan'!A:I,7,FALSE)</f>
        <v>8</v>
      </c>
      <c r="H1638" s="1" t="str">
        <f>VLOOKUP(B1638,'old-aw-skill-plan'!A:I,9,FALSE)</f>
        <v>8-7</v>
      </c>
    </row>
    <row r="1639" ht="15.75" customHeight="1">
      <c r="A1639" s="1" t="s">
        <v>35</v>
      </c>
      <c r="B1639" s="1" t="s">
        <v>380</v>
      </c>
      <c r="C1639" s="1" t="s">
        <v>11</v>
      </c>
      <c r="D1639" s="5">
        <v>45567.0</v>
      </c>
      <c r="G1639" s="1" t="str">
        <f>VLOOKUP(B1639,'old-aw-skill-plan'!A:I,7,FALSE)</f>
        <v>#N/A</v>
      </c>
      <c r="H1639" s="1" t="str">
        <f>VLOOKUP(B1639,'old-aw-skill-plan'!A:I,9,FALSE)</f>
        <v>#N/A</v>
      </c>
    </row>
    <row r="1640" ht="15.75" customHeight="1">
      <c r="A1640" s="1" t="s">
        <v>35</v>
      </c>
      <c r="B1640" s="1" t="s">
        <v>381</v>
      </c>
      <c r="C1640" s="1" t="s">
        <v>11</v>
      </c>
      <c r="D1640" s="5">
        <v>45567.0</v>
      </c>
      <c r="G1640" s="1" t="str">
        <f>VLOOKUP(B1640,'old-aw-skill-plan'!A:I,7,FALSE)</f>
        <v>#N/A</v>
      </c>
      <c r="H1640" s="1" t="str">
        <f>VLOOKUP(B1640,'old-aw-skill-plan'!A:I,9,FALSE)</f>
        <v>#N/A</v>
      </c>
    </row>
    <row r="1641" ht="15.75" customHeight="1">
      <c r="A1641" s="1" t="s">
        <v>24</v>
      </c>
      <c r="B1641" s="1" t="s">
        <v>314</v>
      </c>
      <c r="C1641" s="1" t="s">
        <v>11</v>
      </c>
      <c r="D1641" s="5">
        <v>45567.0</v>
      </c>
      <c r="G1641" s="1">
        <f>VLOOKUP(B1641,'old-aw-skill-plan'!A:I,7,FALSE)</f>
        <v>5</v>
      </c>
      <c r="H1641" s="1" t="str">
        <f>VLOOKUP(B1641,'old-aw-skill-plan'!A:I,9,FALSE)</f>
        <v>5-10</v>
      </c>
    </row>
    <row r="1642" ht="15.75" customHeight="1">
      <c r="A1642" s="1" t="s">
        <v>52</v>
      </c>
      <c r="B1642" s="1" t="s">
        <v>28</v>
      </c>
      <c r="C1642" s="1" t="s">
        <v>11</v>
      </c>
      <c r="D1642" s="5">
        <v>45567.0</v>
      </c>
      <c r="G1642" s="1">
        <f>VLOOKUP(B1642,'old-aw-skill-plan'!A:I,7,FALSE)</f>
        <v>3</v>
      </c>
      <c r="H1642" s="1" t="str">
        <f>VLOOKUP(B1642,'old-aw-skill-plan'!A:I,9,FALSE)</f>
        <v>3-4</v>
      </c>
    </row>
    <row r="1643" ht="15.75" customHeight="1">
      <c r="A1643" s="1" t="s">
        <v>213</v>
      </c>
      <c r="B1643" s="1" t="s">
        <v>34</v>
      </c>
      <c r="C1643" s="1" t="s">
        <v>11</v>
      </c>
      <c r="D1643" s="5">
        <v>45567.0</v>
      </c>
      <c r="G1643" s="1">
        <f>VLOOKUP(B1643,'old-aw-skill-plan'!A:I,7,FALSE)</f>
        <v>4</v>
      </c>
      <c r="H1643" s="1" t="str">
        <f>VLOOKUP(B1643,'old-aw-skill-plan'!A:I,9,FALSE)</f>
        <v>4-1</v>
      </c>
    </row>
    <row r="1644" ht="15.75" customHeight="1">
      <c r="A1644" s="1" t="s">
        <v>220</v>
      </c>
      <c r="B1644" s="1" t="s">
        <v>377</v>
      </c>
      <c r="C1644" s="1" t="s">
        <v>11</v>
      </c>
      <c r="D1644" s="5">
        <v>45567.0</v>
      </c>
      <c r="G1644" s="1">
        <f>VLOOKUP(B1644,'old-aw-skill-plan'!A:I,7,FALSE)</f>
        <v>3</v>
      </c>
      <c r="H1644" s="1" t="str">
        <f>VLOOKUP(B1644,'old-aw-skill-plan'!A:I,9,FALSE)</f>
        <v>3-3</v>
      </c>
    </row>
    <row r="1645" ht="15.75" customHeight="1">
      <c r="A1645" s="1" t="s">
        <v>220</v>
      </c>
      <c r="B1645" s="1" t="s">
        <v>378</v>
      </c>
      <c r="C1645" s="1" t="s">
        <v>11</v>
      </c>
      <c r="D1645" s="5">
        <v>45567.0</v>
      </c>
      <c r="G1645" s="1">
        <f>VLOOKUP(B1645,'old-aw-skill-plan'!A:I,7,FALSE)</f>
        <v>6</v>
      </c>
      <c r="H1645" s="1" t="str">
        <f>VLOOKUP(B1645,'old-aw-skill-plan'!A:I,9,FALSE)</f>
        <v>6-6</v>
      </c>
    </row>
    <row r="1646" ht="15.75" customHeight="1">
      <c r="A1646" s="1" t="s">
        <v>220</v>
      </c>
      <c r="B1646" s="1" t="s">
        <v>97</v>
      </c>
      <c r="C1646" s="1" t="s">
        <v>11</v>
      </c>
      <c r="D1646" s="5">
        <v>45567.0</v>
      </c>
      <c r="G1646" s="1">
        <f>VLOOKUP(B1646,'old-aw-skill-plan'!A:I,7,FALSE)</f>
        <v>4</v>
      </c>
      <c r="H1646" s="1" t="str">
        <f>VLOOKUP(B1646,'old-aw-skill-plan'!A:I,9,FALSE)</f>
        <v>4-3</v>
      </c>
    </row>
    <row r="1647" ht="15.75" customHeight="1">
      <c r="A1647" s="1" t="s">
        <v>220</v>
      </c>
      <c r="B1647" s="1" t="s">
        <v>382</v>
      </c>
      <c r="C1647" s="1" t="s">
        <v>11</v>
      </c>
      <c r="D1647" s="5">
        <v>45567.0</v>
      </c>
      <c r="G1647" s="1">
        <f>VLOOKUP(B1647,'old-aw-skill-plan'!A:I,7,FALSE)</f>
        <v>4</v>
      </c>
      <c r="H1647" s="1" t="str">
        <f>VLOOKUP(B1647,'old-aw-skill-plan'!A:I,9,FALSE)</f>
        <v>4-3</v>
      </c>
    </row>
    <row r="1648" ht="15.75" customHeight="1">
      <c r="A1648" s="1" t="s">
        <v>220</v>
      </c>
      <c r="B1648" s="1" t="s">
        <v>314</v>
      </c>
      <c r="C1648" s="1" t="s">
        <v>11</v>
      </c>
      <c r="D1648" s="5">
        <v>45567.0</v>
      </c>
      <c r="G1648" s="1">
        <f>VLOOKUP(B1648,'old-aw-skill-plan'!A:I,7,FALSE)</f>
        <v>5</v>
      </c>
      <c r="H1648" s="1" t="str">
        <f>VLOOKUP(B1648,'old-aw-skill-plan'!A:I,9,FALSE)</f>
        <v>5-10</v>
      </c>
    </row>
    <row r="1649" ht="15.75" customHeight="1">
      <c r="A1649" s="1" t="s">
        <v>220</v>
      </c>
      <c r="B1649" s="1" t="s">
        <v>44</v>
      </c>
      <c r="C1649" s="1" t="s">
        <v>11</v>
      </c>
      <c r="D1649" s="5">
        <v>45567.0</v>
      </c>
      <c r="G1649" s="1">
        <f>VLOOKUP(B1649,'old-aw-skill-plan'!A:I,7,FALSE)</f>
        <v>5</v>
      </c>
      <c r="H1649" s="1" t="str">
        <f>VLOOKUP(B1649,'old-aw-skill-plan'!A:I,9,FALSE)</f>
        <v>5-1</v>
      </c>
    </row>
    <row r="1650" ht="15.75" customHeight="1">
      <c r="A1650" s="1" t="s">
        <v>220</v>
      </c>
      <c r="B1650" s="1" t="s">
        <v>103</v>
      </c>
      <c r="C1650" s="1" t="s">
        <v>11</v>
      </c>
      <c r="D1650" s="5">
        <v>45567.0</v>
      </c>
      <c r="G1650" s="1">
        <f>VLOOKUP(B1650,'old-aw-skill-plan'!A:I,7,FALSE)</f>
        <v>5</v>
      </c>
      <c r="H1650" s="1" t="str">
        <f>VLOOKUP(B1650,'old-aw-skill-plan'!A:I,9,FALSE)</f>
        <v>5-3</v>
      </c>
    </row>
    <row r="1651" ht="15.75" customHeight="1">
      <c r="A1651" s="1" t="s">
        <v>185</v>
      </c>
      <c r="B1651" s="1" t="s">
        <v>87</v>
      </c>
      <c r="C1651" s="1" t="s">
        <v>11</v>
      </c>
      <c r="D1651" s="5">
        <v>45567.0</v>
      </c>
      <c r="G1651" s="1">
        <f>VLOOKUP(B1651,'old-aw-skill-plan'!A:I,7,FALSE)</f>
        <v>5</v>
      </c>
      <c r="H1651" s="1" t="str">
        <f>VLOOKUP(B1651,'old-aw-skill-plan'!A:I,9,FALSE)</f>
        <v>5-6</v>
      </c>
    </row>
    <row r="1652" ht="15.75" customHeight="1">
      <c r="A1652" s="1" t="s">
        <v>179</v>
      </c>
      <c r="B1652" s="1" t="s">
        <v>104</v>
      </c>
      <c r="C1652" s="1" t="s">
        <v>11</v>
      </c>
      <c r="D1652" s="5">
        <v>45567.0</v>
      </c>
      <c r="G1652" s="1">
        <f>VLOOKUP(B1652,'old-aw-skill-plan'!A:I,7,FALSE)</f>
        <v>5</v>
      </c>
      <c r="H1652" s="1" t="str">
        <f>VLOOKUP(B1652,'old-aw-skill-plan'!A:I,9,FALSE)</f>
        <v>5-2</v>
      </c>
    </row>
    <row r="1653" ht="15.75" customHeight="1">
      <c r="A1653" s="1" t="s">
        <v>63</v>
      </c>
      <c r="B1653" s="1" t="s">
        <v>87</v>
      </c>
      <c r="C1653" s="1" t="s">
        <v>11</v>
      </c>
      <c r="D1653" s="5">
        <v>45567.0</v>
      </c>
      <c r="G1653" s="1">
        <f>VLOOKUP(B1653,'old-aw-skill-plan'!A:I,7,FALSE)</f>
        <v>5</v>
      </c>
      <c r="H1653" s="1" t="str">
        <f>VLOOKUP(B1653,'old-aw-skill-plan'!A:I,9,FALSE)</f>
        <v>5-6</v>
      </c>
    </row>
    <row r="1654" ht="15.75" customHeight="1">
      <c r="A1654" s="1" t="s">
        <v>68</v>
      </c>
      <c r="B1654" s="1" t="s">
        <v>28</v>
      </c>
      <c r="C1654" s="1" t="s">
        <v>11</v>
      </c>
      <c r="D1654" s="5">
        <v>45567.0</v>
      </c>
      <c r="G1654" s="1">
        <f>VLOOKUP(B1654,'old-aw-skill-plan'!A:I,7,FALSE)</f>
        <v>3</v>
      </c>
      <c r="H1654" s="1" t="str">
        <f>VLOOKUP(B1654,'old-aw-skill-plan'!A:I,9,FALSE)</f>
        <v>3-4</v>
      </c>
    </row>
    <row r="1655" ht="15.75" customHeight="1">
      <c r="A1655" s="1" t="s">
        <v>214</v>
      </c>
      <c r="B1655" s="1" t="s">
        <v>383</v>
      </c>
      <c r="C1655" s="1" t="s">
        <v>11</v>
      </c>
      <c r="D1655" s="5">
        <v>45567.0</v>
      </c>
      <c r="G1655" s="1">
        <f>VLOOKUP(B1655,'old-aw-skill-plan'!A:I,7,FALSE)</f>
        <v>3</v>
      </c>
      <c r="H1655" s="1" t="str">
        <f>VLOOKUP(B1655,'old-aw-skill-plan'!A:I,9,FALSE)</f>
        <v>3-3</v>
      </c>
    </row>
    <row r="1656" ht="15.75" customHeight="1">
      <c r="A1656" s="1" t="s">
        <v>214</v>
      </c>
      <c r="B1656" s="1" t="s">
        <v>130</v>
      </c>
      <c r="C1656" s="1" t="s">
        <v>11</v>
      </c>
      <c r="D1656" s="5">
        <v>45567.0</v>
      </c>
      <c r="G1656" s="1">
        <f>VLOOKUP(B1656,'old-aw-skill-plan'!A:I,7,FALSE)</f>
        <v>8</v>
      </c>
      <c r="H1656" s="1" t="str">
        <f>VLOOKUP(B1656,'old-aw-skill-plan'!A:I,9,FALSE)</f>
        <v>8-1</v>
      </c>
    </row>
    <row r="1657" ht="15.75" customHeight="1">
      <c r="A1657" s="1" t="s">
        <v>197</v>
      </c>
      <c r="B1657" s="1" t="s">
        <v>131</v>
      </c>
      <c r="C1657" s="1" t="s">
        <v>11</v>
      </c>
      <c r="D1657" s="5">
        <v>45567.0</v>
      </c>
      <c r="G1657" s="1">
        <f>VLOOKUP(B1657,'old-aw-skill-plan'!A:I,7,FALSE)</f>
        <v>7</v>
      </c>
      <c r="H1657" s="1" t="str">
        <f>VLOOKUP(B1657,'old-aw-skill-plan'!A:I,9,FALSE)</f>
        <v>7-11</v>
      </c>
    </row>
    <row r="1658" ht="15.75" customHeight="1">
      <c r="A1658" s="1" t="s">
        <v>197</v>
      </c>
      <c r="B1658" s="1" t="s">
        <v>42</v>
      </c>
      <c r="C1658" s="1" t="s">
        <v>11</v>
      </c>
      <c r="D1658" s="5">
        <v>45567.0</v>
      </c>
      <c r="G1658" s="1">
        <f>VLOOKUP(B1658,'old-aw-skill-plan'!A:I,7,FALSE)</f>
        <v>4</v>
      </c>
      <c r="H1658" s="1" t="str">
        <f>VLOOKUP(B1658,'old-aw-skill-plan'!A:I,9,FALSE)</f>
        <v>4-11</v>
      </c>
    </row>
    <row r="1659" ht="15.75" customHeight="1">
      <c r="A1659" s="1" t="s">
        <v>197</v>
      </c>
      <c r="B1659" s="1" t="s">
        <v>124</v>
      </c>
      <c r="C1659" s="1" t="s">
        <v>11</v>
      </c>
      <c r="D1659" s="5">
        <v>45567.0</v>
      </c>
      <c r="G1659" s="1">
        <f>VLOOKUP(B1659,'old-aw-skill-plan'!A:I,7,FALSE)</f>
        <v>7</v>
      </c>
      <c r="H1659" s="1" t="str">
        <f>VLOOKUP(B1659,'old-aw-skill-plan'!A:I,9,FALSE)</f>
        <v>7-5</v>
      </c>
    </row>
    <row r="1660" ht="15.75" customHeight="1">
      <c r="A1660" s="1" t="s">
        <v>197</v>
      </c>
      <c r="B1660" s="1" t="s">
        <v>384</v>
      </c>
      <c r="C1660" s="1" t="s">
        <v>11</v>
      </c>
      <c r="D1660" s="5">
        <v>45567.0</v>
      </c>
      <c r="G1660" s="1">
        <f>VLOOKUP(B1660,'old-aw-skill-plan'!A:I,7,FALSE)</f>
        <v>7</v>
      </c>
      <c r="H1660" s="1" t="str">
        <f>VLOOKUP(B1660,'old-aw-skill-plan'!A:I,9,FALSE)</f>
        <v>7-2</v>
      </c>
    </row>
    <row r="1661" ht="15.75" customHeight="1">
      <c r="A1661" s="1" t="s">
        <v>197</v>
      </c>
      <c r="B1661" s="1" t="s">
        <v>108</v>
      </c>
      <c r="C1661" s="1" t="s">
        <v>11</v>
      </c>
      <c r="D1661" s="5">
        <v>45567.0</v>
      </c>
      <c r="G1661" s="1">
        <f>VLOOKUP(B1661,'old-aw-skill-plan'!A:I,7,FALSE)</f>
        <v>7</v>
      </c>
      <c r="H1661" s="1" t="str">
        <f>VLOOKUP(B1661,'old-aw-skill-plan'!A:I,9,FALSE)</f>
        <v>7-12</v>
      </c>
    </row>
    <row r="1662" ht="15.75" customHeight="1">
      <c r="A1662" s="1" t="s">
        <v>197</v>
      </c>
      <c r="B1662" s="1" t="s">
        <v>374</v>
      </c>
      <c r="C1662" s="1" t="s">
        <v>11</v>
      </c>
      <c r="D1662" s="5">
        <v>45567.0</v>
      </c>
      <c r="G1662" s="1">
        <f>VLOOKUP(B1662,'old-aw-skill-plan'!A:I,7,FALSE)</f>
        <v>4</v>
      </c>
      <c r="H1662" s="1" t="str">
        <f>VLOOKUP(B1662,'old-aw-skill-plan'!A:I,9,FALSE)</f>
        <v>4-11</v>
      </c>
    </row>
    <row r="1663" ht="15.75" customHeight="1">
      <c r="A1663" s="1" t="s">
        <v>197</v>
      </c>
      <c r="B1663" s="1" t="s">
        <v>360</v>
      </c>
      <c r="C1663" s="1" t="s">
        <v>11</v>
      </c>
      <c r="D1663" s="5">
        <v>45567.0</v>
      </c>
      <c r="G1663" s="1">
        <f>VLOOKUP(B1663,'old-aw-skill-plan'!A:I,7,FALSE)</f>
        <v>7</v>
      </c>
      <c r="H1663" s="1" t="str">
        <f>VLOOKUP(B1663,'old-aw-skill-plan'!A:I,9,FALSE)</f>
        <v>7-3</v>
      </c>
    </row>
    <row r="1664" ht="15.75" customHeight="1">
      <c r="A1664" s="1" t="s">
        <v>197</v>
      </c>
      <c r="B1664" s="1" t="s">
        <v>385</v>
      </c>
      <c r="C1664" s="1" t="s">
        <v>11</v>
      </c>
      <c r="D1664" s="5">
        <v>45567.0</v>
      </c>
      <c r="G1664" s="1">
        <f>VLOOKUP(B1664,'old-aw-skill-plan'!A:I,7,FALSE)</f>
        <v>4</v>
      </c>
      <c r="H1664" s="1" t="str">
        <f>VLOOKUP(B1664,'old-aw-skill-plan'!A:I,9,FALSE)</f>
        <v>4-4</v>
      </c>
    </row>
    <row r="1665" ht="15.75" customHeight="1">
      <c r="A1665" s="1" t="s">
        <v>197</v>
      </c>
      <c r="B1665" s="1" t="s">
        <v>317</v>
      </c>
      <c r="C1665" s="1" t="s">
        <v>11</v>
      </c>
      <c r="D1665" s="5">
        <v>45567.0</v>
      </c>
      <c r="G1665" s="1">
        <f>VLOOKUP(B1665,'old-aw-skill-plan'!A:I,7,FALSE)</f>
        <v>4</v>
      </c>
      <c r="H1665" s="1" t="str">
        <f>VLOOKUP(B1665,'old-aw-skill-plan'!A:I,9,FALSE)</f>
        <v>4-8</v>
      </c>
    </row>
    <row r="1666" ht="15.75" customHeight="1">
      <c r="A1666" s="1" t="s">
        <v>197</v>
      </c>
      <c r="B1666" s="1" t="s">
        <v>386</v>
      </c>
      <c r="C1666" s="1" t="s">
        <v>11</v>
      </c>
      <c r="D1666" s="5">
        <v>45567.0</v>
      </c>
      <c r="G1666" s="1">
        <f>VLOOKUP(B1666,'old-aw-skill-plan'!A:I,7,FALSE)</f>
        <v>4</v>
      </c>
      <c r="H1666" s="1" t="str">
        <f>VLOOKUP(B1666,'old-aw-skill-plan'!A:I,9,FALSE)</f>
        <v>4-6</v>
      </c>
    </row>
    <row r="1667" ht="15.75" customHeight="1">
      <c r="A1667" s="1" t="s">
        <v>197</v>
      </c>
      <c r="B1667" s="1" t="s">
        <v>387</v>
      </c>
      <c r="C1667" s="1" t="s">
        <v>11</v>
      </c>
      <c r="D1667" s="5">
        <v>45567.0</v>
      </c>
      <c r="G1667" s="1">
        <f>VLOOKUP(B1667,'old-aw-skill-plan'!A:I,7,FALSE)</f>
        <v>4</v>
      </c>
      <c r="H1667" s="1" t="str">
        <f>VLOOKUP(B1667,'old-aw-skill-plan'!A:I,9,FALSE)</f>
        <v>4-5</v>
      </c>
    </row>
    <row r="1668" ht="15.75" customHeight="1">
      <c r="A1668" s="1" t="s">
        <v>197</v>
      </c>
      <c r="B1668" s="1" t="s">
        <v>314</v>
      </c>
      <c r="C1668" s="1" t="s">
        <v>11</v>
      </c>
      <c r="D1668" s="5">
        <v>45567.0</v>
      </c>
      <c r="G1668" s="1">
        <f>VLOOKUP(B1668,'old-aw-skill-plan'!A:I,7,FALSE)</f>
        <v>5</v>
      </c>
      <c r="H1668" s="1" t="str">
        <f>VLOOKUP(B1668,'old-aw-skill-plan'!A:I,9,FALSE)</f>
        <v>5-10</v>
      </c>
    </row>
    <row r="1669" ht="15.75" customHeight="1">
      <c r="A1669" s="1" t="s">
        <v>205</v>
      </c>
      <c r="B1669" s="1" t="s">
        <v>83</v>
      </c>
      <c r="C1669" s="1" t="s">
        <v>11</v>
      </c>
      <c r="D1669" s="5">
        <v>45567.0</v>
      </c>
      <c r="G1669" s="1">
        <f>VLOOKUP(B1669,'old-aw-skill-plan'!A:I,7,FALSE)</f>
        <v>5</v>
      </c>
      <c r="H1669" s="1" t="str">
        <f>VLOOKUP(B1669,'old-aw-skill-plan'!A:I,9,FALSE)</f>
        <v>5-9</v>
      </c>
    </row>
    <row r="1670" ht="15.75" customHeight="1">
      <c r="A1670" s="1" t="s">
        <v>82</v>
      </c>
      <c r="B1670" s="1" t="s">
        <v>115</v>
      </c>
      <c r="C1670" s="1" t="s">
        <v>11</v>
      </c>
      <c r="D1670" s="5">
        <v>45567.0</v>
      </c>
      <c r="G1670" s="1">
        <f>VLOOKUP(B1670,'old-aw-skill-plan'!A:I,7,FALSE)</f>
        <v>3</v>
      </c>
      <c r="H1670" s="1" t="str">
        <f>VLOOKUP(B1670,'old-aw-skill-plan'!A:I,9,FALSE)</f>
        <v>3-10</v>
      </c>
    </row>
    <row r="1671" ht="15.75" customHeight="1">
      <c r="A1671" s="1" t="s">
        <v>326</v>
      </c>
      <c r="B1671" s="1" t="s">
        <v>85</v>
      </c>
      <c r="C1671" s="1" t="s">
        <v>11</v>
      </c>
      <c r="D1671" s="5">
        <v>45567.0</v>
      </c>
      <c r="G1671" s="1">
        <f>VLOOKUP(B1671,'old-aw-skill-plan'!A:I,7,FALSE)</f>
        <v>5</v>
      </c>
      <c r="H1671" s="1" t="str">
        <f>VLOOKUP(B1671,'old-aw-skill-plan'!A:I,9,FALSE)</f>
        <v>5-8</v>
      </c>
    </row>
    <row r="1672" ht="15.75" customHeight="1">
      <c r="A1672" s="1" t="s">
        <v>101</v>
      </c>
      <c r="B1672" s="1" t="s">
        <v>34</v>
      </c>
      <c r="C1672" s="1" t="s">
        <v>11</v>
      </c>
      <c r="D1672" s="5">
        <v>45567.0</v>
      </c>
      <c r="G1672" s="1">
        <f>VLOOKUP(B1672,'old-aw-skill-plan'!A:I,7,FALSE)</f>
        <v>4</v>
      </c>
      <c r="H1672" s="1" t="str">
        <f>VLOOKUP(B1672,'old-aw-skill-plan'!A:I,9,FALSE)</f>
        <v>4-1</v>
      </c>
    </row>
    <row r="1673" ht="15.75" customHeight="1">
      <c r="A1673" s="1" t="s">
        <v>101</v>
      </c>
      <c r="B1673" s="1" t="s">
        <v>37</v>
      </c>
      <c r="C1673" s="1" t="s">
        <v>11</v>
      </c>
      <c r="D1673" s="5">
        <v>45567.0</v>
      </c>
      <c r="G1673" s="1">
        <f>VLOOKUP(B1673,'old-aw-skill-plan'!A:I,7,FALSE)</f>
        <v>4</v>
      </c>
      <c r="H1673" s="1" t="str">
        <f>VLOOKUP(B1673,'old-aw-skill-plan'!A:I,9,FALSE)</f>
        <v>4-2</v>
      </c>
    </row>
    <row r="1674" ht="15.75" customHeight="1">
      <c r="A1674" s="1" t="s">
        <v>347</v>
      </c>
      <c r="B1674" s="1" t="s">
        <v>83</v>
      </c>
      <c r="C1674" s="1" t="s">
        <v>11</v>
      </c>
      <c r="D1674" s="5">
        <v>45567.0</v>
      </c>
      <c r="G1674" s="1">
        <f>VLOOKUP(B1674,'old-aw-skill-plan'!A:I,7,FALSE)</f>
        <v>5</v>
      </c>
      <c r="H1674" s="1" t="str">
        <f>VLOOKUP(B1674,'old-aw-skill-plan'!A:I,9,FALSE)</f>
        <v>5-9</v>
      </c>
    </row>
    <row r="1675" ht="15.75" customHeight="1">
      <c r="A1675" s="1" t="s">
        <v>24</v>
      </c>
      <c r="B1675" s="1" t="s">
        <v>314</v>
      </c>
      <c r="C1675" s="1" t="s">
        <v>11</v>
      </c>
      <c r="D1675" s="5">
        <v>45566.0</v>
      </c>
      <c r="G1675" s="1">
        <f>VLOOKUP(B1675,'old-aw-skill-plan'!A:I,7,FALSE)</f>
        <v>5</v>
      </c>
      <c r="H1675" s="1" t="str">
        <f>VLOOKUP(B1675,'old-aw-skill-plan'!A:I,9,FALSE)</f>
        <v>5-10</v>
      </c>
    </row>
    <row r="1676" ht="15.75" customHeight="1">
      <c r="A1676" s="1" t="s">
        <v>55</v>
      </c>
      <c r="B1676" s="1" t="s">
        <v>44</v>
      </c>
      <c r="C1676" s="1" t="s">
        <v>11</v>
      </c>
      <c r="D1676" s="5">
        <v>45566.0</v>
      </c>
      <c r="G1676" s="1">
        <f>VLOOKUP(B1676,'old-aw-skill-plan'!A:I,7,FALSE)</f>
        <v>5</v>
      </c>
      <c r="H1676" s="1" t="str">
        <f>VLOOKUP(B1676,'old-aw-skill-plan'!A:I,9,FALSE)</f>
        <v>5-1</v>
      </c>
    </row>
    <row r="1677" ht="15.75" customHeight="1">
      <c r="A1677" s="1" t="s">
        <v>213</v>
      </c>
      <c r="B1677" s="1" t="s">
        <v>34</v>
      </c>
      <c r="C1677" s="1" t="s">
        <v>11</v>
      </c>
      <c r="D1677" s="5">
        <v>45566.0</v>
      </c>
      <c r="G1677" s="1">
        <f>VLOOKUP(B1677,'old-aw-skill-plan'!A:I,7,FALSE)</f>
        <v>4</v>
      </c>
      <c r="H1677" s="1" t="str">
        <f>VLOOKUP(B1677,'old-aw-skill-plan'!A:I,9,FALSE)</f>
        <v>4-1</v>
      </c>
    </row>
    <row r="1678" ht="15.75" customHeight="1">
      <c r="A1678" s="1" t="s">
        <v>213</v>
      </c>
      <c r="B1678" s="1" t="s">
        <v>37</v>
      </c>
      <c r="C1678" s="1" t="s">
        <v>11</v>
      </c>
      <c r="D1678" s="5">
        <v>45566.0</v>
      </c>
      <c r="G1678" s="1">
        <f>VLOOKUP(B1678,'old-aw-skill-plan'!A:I,7,FALSE)</f>
        <v>4</v>
      </c>
      <c r="H1678" s="1" t="str">
        <f>VLOOKUP(B1678,'old-aw-skill-plan'!A:I,9,FALSE)</f>
        <v>4-2</v>
      </c>
    </row>
    <row r="1679" ht="15.75" customHeight="1">
      <c r="A1679" s="1" t="s">
        <v>220</v>
      </c>
      <c r="B1679" s="1" t="s">
        <v>112</v>
      </c>
      <c r="C1679" s="1" t="s">
        <v>11</v>
      </c>
      <c r="D1679" s="5">
        <v>45566.0</v>
      </c>
      <c r="G1679" s="1">
        <f>VLOOKUP(B1679,'old-aw-skill-plan'!A:I,7,FALSE)</f>
        <v>6</v>
      </c>
      <c r="H1679" s="1" t="str">
        <f>VLOOKUP(B1679,'old-aw-skill-plan'!A:I,9,FALSE)</f>
        <v>6-9</v>
      </c>
    </row>
    <row r="1680" ht="15.75" customHeight="1">
      <c r="A1680" s="1" t="s">
        <v>220</v>
      </c>
      <c r="B1680" s="1" t="s">
        <v>376</v>
      </c>
      <c r="C1680" s="1" t="s">
        <v>11</v>
      </c>
      <c r="D1680" s="5">
        <v>45566.0</v>
      </c>
      <c r="G1680" s="1">
        <f>VLOOKUP(B1680,'old-aw-skill-plan'!A:I,7,FALSE)</f>
        <v>6</v>
      </c>
      <c r="H1680" s="1" t="str">
        <f>VLOOKUP(B1680,'old-aw-skill-plan'!A:I,9,FALSE)</f>
        <v>6-6</v>
      </c>
    </row>
    <row r="1681" ht="15.75" customHeight="1">
      <c r="A1681" s="1" t="s">
        <v>220</v>
      </c>
      <c r="B1681" s="1" t="s">
        <v>44</v>
      </c>
      <c r="C1681" s="1" t="s">
        <v>11</v>
      </c>
      <c r="D1681" s="5">
        <v>45566.0</v>
      </c>
      <c r="G1681" s="1">
        <f>VLOOKUP(B1681,'old-aw-skill-plan'!A:I,7,FALSE)</f>
        <v>5</v>
      </c>
      <c r="H1681" s="1" t="str">
        <f>VLOOKUP(B1681,'old-aw-skill-plan'!A:I,9,FALSE)</f>
        <v>5-1</v>
      </c>
    </row>
    <row r="1682" ht="15.75" customHeight="1">
      <c r="A1682" s="1" t="s">
        <v>220</v>
      </c>
      <c r="B1682" s="1" t="s">
        <v>388</v>
      </c>
      <c r="C1682" s="1" t="s">
        <v>11</v>
      </c>
      <c r="D1682" s="5">
        <v>45566.0</v>
      </c>
      <c r="G1682" s="1" t="str">
        <f>VLOOKUP(B1682,'old-aw-skill-plan'!A:I,7,FALSE)</f>
        <v>#N/A</v>
      </c>
      <c r="H1682" s="1" t="str">
        <f>VLOOKUP(B1682,'old-aw-skill-plan'!A:I,9,FALSE)</f>
        <v>#N/A</v>
      </c>
    </row>
    <row r="1683" ht="15.75" customHeight="1">
      <c r="A1683" s="1" t="s">
        <v>63</v>
      </c>
      <c r="B1683" s="1" t="s">
        <v>87</v>
      </c>
      <c r="C1683" s="1" t="s">
        <v>11</v>
      </c>
      <c r="D1683" s="5">
        <v>45566.0</v>
      </c>
      <c r="G1683" s="1">
        <f>VLOOKUP(B1683,'old-aw-skill-plan'!A:I,7,FALSE)</f>
        <v>5</v>
      </c>
      <c r="H1683" s="1" t="str">
        <f>VLOOKUP(B1683,'old-aw-skill-plan'!A:I,9,FALSE)</f>
        <v>5-6</v>
      </c>
    </row>
    <row r="1684" ht="15.75" customHeight="1">
      <c r="A1684" s="1" t="s">
        <v>68</v>
      </c>
      <c r="B1684" s="1" t="s">
        <v>28</v>
      </c>
      <c r="C1684" s="1" t="s">
        <v>11</v>
      </c>
      <c r="D1684" s="5">
        <v>45566.0</v>
      </c>
      <c r="G1684" s="1">
        <f>VLOOKUP(B1684,'old-aw-skill-plan'!A:I,7,FALSE)</f>
        <v>3</v>
      </c>
      <c r="H1684" s="1" t="str">
        <f>VLOOKUP(B1684,'old-aw-skill-plan'!A:I,9,FALSE)</f>
        <v>3-4</v>
      </c>
    </row>
    <row r="1685" ht="15.75" customHeight="1">
      <c r="A1685" s="1" t="s">
        <v>214</v>
      </c>
      <c r="B1685" s="1" t="s">
        <v>137</v>
      </c>
      <c r="C1685" s="1" t="s">
        <v>11</v>
      </c>
      <c r="D1685" s="5">
        <v>45566.0</v>
      </c>
      <c r="G1685" s="1">
        <f>VLOOKUP(B1685,'old-aw-skill-plan'!A:I,7,FALSE)</f>
        <v>6</v>
      </c>
      <c r="H1685" s="1" t="str">
        <f>VLOOKUP(B1685,'old-aw-skill-plan'!A:I,9,FALSE)</f>
        <v>6-6</v>
      </c>
    </row>
    <row r="1686" ht="15.75" customHeight="1">
      <c r="A1686" s="1" t="s">
        <v>214</v>
      </c>
      <c r="B1686" s="1" t="s">
        <v>130</v>
      </c>
      <c r="C1686" s="1" t="s">
        <v>11</v>
      </c>
      <c r="D1686" s="5">
        <v>45566.0</v>
      </c>
      <c r="G1686" s="1">
        <f>VLOOKUP(B1686,'old-aw-skill-plan'!A:I,7,FALSE)</f>
        <v>8</v>
      </c>
      <c r="H1686" s="1" t="str">
        <f>VLOOKUP(B1686,'old-aw-skill-plan'!A:I,9,FALSE)</f>
        <v>8-1</v>
      </c>
    </row>
    <row r="1687" ht="15.75" customHeight="1">
      <c r="A1687" s="1" t="s">
        <v>74</v>
      </c>
      <c r="B1687" s="1" t="s">
        <v>44</v>
      </c>
      <c r="C1687" s="1" t="s">
        <v>11</v>
      </c>
      <c r="D1687" s="5">
        <v>45566.0</v>
      </c>
      <c r="G1687" s="1">
        <f>VLOOKUP(B1687,'old-aw-skill-plan'!A:I,7,FALSE)</f>
        <v>5</v>
      </c>
      <c r="H1687" s="1" t="str">
        <f>VLOOKUP(B1687,'old-aw-skill-plan'!A:I,9,FALSE)</f>
        <v>5-1</v>
      </c>
    </row>
    <row r="1688" ht="15.75" customHeight="1">
      <c r="A1688" s="1" t="s">
        <v>75</v>
      </c>
      <c r="B1688" s="1" t="s">
        <v>115</v>
      </c>
      <c r="C1688" s="1" t="s">
        <v>11</v>
      </c>
      <c r="D1688" s="5">
        <v>45566.0</v>
      </c>
      <c r="G1688" s="1">
        <f>VLOOKUP(B1688,'old-aw-skill-plan'!A:I,7,FALSE)</f>
        <v>3</v>
      </c>
      <c r="H1688" s="1" t="str">
        <f>VLOOKUP(B1688,'old-aw-skill-plan'!A:I,9,FALSE)</f>
        <v>3-10</v>
      </c>
    </row>
    <row r="1689" ht="15.75" customHeight="1">
      <c r="A1689" s="1" t="s">
        <v>82</v>
      </c>
      <c r="B1689" s="1" t="s">
        <v>115</v>
      </c>
      <c r="C1689" s="1" t="s">
        <v>11</v>
      </c>
      <c r="D1689" s="5">
        <v>45566.0</v>
      </c>
      <c r="G1689" s="1">
        <f>VLOOKUP(B1689,'old-aw-skill-plan'!A:I,7,FALSE)</f>
        <v>3</v>
      </c>
      <c r="H1689" s="1" t="str">
        <f>VLOOKUP(B1689,'old-aw-skill-plan'!A:I,9,FALSE)</f>
        <v>3-10</v>
      </c>
    </row>
    <row r="1690" ht="15.75" customHeight="1">
      <c r="A1690" s="1" t="s">
        <v>226</v>
      </c>
      <c r="B1690" s="1" t="s">
        <v>314</v>
      </c>
      <c r="C1690" s="1" t="s">
        <v>11</v>
      </c>
      <c r="D1690" s="5">
        <v>45566.0</v>
      </c>
      <c r="G1690" s="1">
        <f>VLOOKUP(B1690,'old-aw-skill-plan'!A:I,7,FALSE)</f>
        <v>5</v>
      </c>
      <c r="H1690" s="1" t="str">
        <f>VLOOKUP(B1690,'old-aw-skill-plan'!A:I,9,FALSE)</f>
        <v>5-10</v>
      </c>
    </row>
    <row r="1691" ht="15.75" customHeight="1">
      <c r="A1691" s="1" t="s">
        <v>326</v>
      </c>
      <c r="B1691" s="1" t="s">
        <v>85</v>
      </c>
      <c r="C1691" s="1" t="s">
        <v>11</v>
      </c>
      <c r="D1691" s="5">
        <v>45566.0</v>
      </c>
      <c r="G1691" s="1">
        <f>VLOOKUP(B1691,'old-aw-skill-plan'!A:I,7,FALSE)</f>
        <v>5</v>
      </c>
      <c r="H1691" s="1" t="str">
        <f>VLOOKUP(B1691,'old-aw-skill-plan'!A:I,9,FALSE)</f>
        <v>5-8</v>
      </c>
    </row>
    <row r="1692" ht="15.75" customHeight="1">
      <c r="A1692" s="1" t="s">
        <v>35</v>
      </c>
      <c r="B1692" s="1" t="s">
        <v>57</v>
      </c>
      <c r="C1692" s="1" t="s">
        <v>11</v>
      </c>
      <c r="D1692" s="5">
        <v>45565.0</v>
      </c>
      <c r="G1692" s="1">
        <f>VLOOKUP(B1692,'old-aw-skill-plan'!A:I,7,FALSE)</f>
        <v>3</v>
      </c>
      <c r="H1692" s="1" t="str">
        <f>VLOOKUP(B1692,'old-aw-skill-plan'!A:I,9,FALSE)</f>
        <v>3-7</v>
      </c>
    </row>
    <row r="1693" ht="15.75" customHeight="1">
      <c r="A1693" s="1" t="s">
        <v>35</v>
      </c>
      <c r="B1693" s="1" t="s">
        <v>314</v>
      </c>
      <c r="C1693" s="1" t="s">
        <v>11</v>
      </c>
      <c r="D1693" s="5">
        <v>45565.0</v>
      </c>
      <c r="G1693" s="1">
        <f>VLOOKUP(B1693,'old-aw-skill-plan'!A:I,7,FALSE)</f>
        <v>5</v>
      </c>
      <c r="H1693" s="1" t="str">
        <f>VLOOKUP(B1693,'old-aw-skill-plan'!A:I,9,FALSE)</f>
        <v>5-10</v>
      </c>
    </row>
    <row r="1694" ht="15.75" customHeight="1">
      <c r="A1694" s="1" t="s">
        <v>24</v>
      </c>
      <c r="B1694" s="1" t="s">
        <v>314</v>
      </c>
      <c r="C1694" s="1" t="s">
        <v>11</v>
      </c>
      <c r="D1694" s="5">
        <v>45565.0</v>
      </c>
      <c r="G1694" s="1">
        <f>VLOOKUP(B1694,'old-aw-skill-plan'!A:I,7,FALSE)</f>
        <v>5</v>
      </c>
      <c r="H1694" s="1" t="str">
        <f>VLOOKUP(B1694,'old-aw-skill-plan'!A:I,9,FALSE)</f>
        <v>5-10</v>
      </c>
    </row>
    <row r="1695" ht="15.75" customHeight="1">
      <c r="A1695" s="1" t="s">
        <v>24</v>
      </c>
      <c r="B1695" s="1" t="s">
        <v>120</v>
      </c>
      <c r="C1695" s="1" t="s">
        <v>11</v>
      </c>
      <c r="D1695" s="5">
        <v>45565.0</v>
      </c>
      <c r="G1695" s="1">
        <f>VLOOKUP(B1695,'old-aw-skill-plan'!A:I,7,FALSE)</f>
        <v>5</v>
      </c>
      <c r="H1695" s="1" t="str">
        <f>VLOOKUP(B1695,'old-aw-skill-plan'!A:I,9,FALSE)</f>
        <v>5-11</v>
      </c>
    </row>
    <row r="1696" ht="15.75" customHeight="1">
      <c r="A1696" s="1" t="s">
        <v>52</v>
      </c>
      <c r="B1696" s="1" t="s">
        <v>28</v>
      </c>
      <c r="C1696" s="1" t="s">
        <v>11</v>
      </c>
      <c r="D1696" s="5">
        <v>45565.0</v>
      </c>
      <c r="G1696" s="1">
        <f>VLOOKUP(B1696,'old-aw-skill-plan'!A:I,7,FALSE)</f>
        <v>3</v>
      </c>
      <c r="H1696" s="1" t="str">
        <f>VLOOKUP(B1696,'old-aw-skill-plan'!A:I,9,FALSE)</f>
        <v>3-4</v>
      </c>
    </row>
    <row r="1697" ht="15.75" customHeight="1">
      <c r="A1697" s="1" t="s">
        <v>55</v>
      </c>
      <c r="B1697" s="1" t="s">
        <v>44</v>
      </c>
      <c r="C1697" s="1" t="s">
        <v>11</v>
      </c>
      <c r="D1697" s="5">
        <v>45565.0</v>
      </c>
      <c r="G1697" s="1">
        <f>VLOOKUP(B1697,'old-aw-skill-plan'!A:I,7,FALSE)</f>
        <v>5</v>
      </c>
      <c r="H1697" s="1" t="str">
        <f>VLOOKUP(B1697,'old-aw-skill-plan'!A:I,9,FALSE)</f>
        <v>5-1</v>
      </c>
    </row>
    <row r="1698" ht="15.75" customHeight="1">
      <c r="A1698" s="1" t="s">
        <v>220</v>
      </c>
      <c r="B1698" s="1" t="s">
        <v>133</v>
      </c>
      <c r="C1698" s="1" t="s">
        <v>11</v>
      </c>
      <c r="D1698" s="5">
        <v>45565.0</v>
      </c>
      <c r="G1698" s="1">
        <f>VLOOKUP(B1698,'old-aw-skill-plan'!A:I,7,FALSE)</f>
        <v>7</v>
      </c>
      <c r="H1698" s="1" t="str">
        <f>VLOOKUP(B1698,'old-aw-skill-plan'!A:I,9,FALSE)</f>
        <v>7-6</v>
      </c>
    </row>
    <row r="1699" ht="15.75" customHeight="1">
      <c r="A1699" s="1" t="s">
        <v>185</v>
      </c>
      <c r="B1699" s="1" t="s">
        <v>25</v>
      </c>
      <c r="C1699" s="1" t="s">
        <v>11</v>
      </c>
      <c r="D1699" s="5">
        <v>45565.0</v>
      </c>
      <c r="G1699" s="1">
        <f>VLOOKUP(B1699,'old-aw-skill-plan'!A:I,7,FALSE)</f>
        <v>5</v>
      </c>
      <c r="H1699" s="1" t="str">
        <f>VLOOKUP(B1699,'old-aw-skill-plan'!A:I,9,FALSE)</f>
        <v>5-4</v>
      </c>
    </row>
    <row r="1700" ht="15.75" customHeight="1">
      <c r="A1700" s="1" t="s">
        <v>185</v>
      </c>
      <c r="B1700" s="1" t="s">
        <v>88</v>
      </c>
      <c r="C1700" s="1" t="s">
        <v>11</v>
      </c>
      <c r="D1700" s="5">
        <v>45565.0</v>
      </c>
      <c r="G1700" s="1">
        <f>VLOOKUP(B1700,'old-aw-skill-plan'!A:I,7,FALSE)</f>
        <v>5</v>
      </c>
      <c r="H1700" s="1" t="str">
        <f>VLOOKUP(B1700,'old-aw-skill-plan'!A:I,9,FALSE)</f>
        <v>5-5</v>
      </c>
    </row>
    <row r="1701" ht="15.75" customHeight="1">
      <c r="A1701" s="1" t="s">
        <v>63</v>
      </c>
      <c r="B1701" s="1" t="s">
        <v>25</v>
      </c>
      <c r="C1701" s="1" t="s">
        <v>11</v>
      </c>
      <c r="D1701" s="5">
        <v>45565.0</v>
      </c>
      <c r="G1701" s="1">
        <f>VLOOKUP(B1701,'old-aw-skill-plan'!A:I,7,FALSE)</f>
        <v>5</v>
      </c>
      <c r="H1701" s="1" t="str">
        <f>VLOOKUP(B1701,'old-aw-skill-plan'!A:I,9,FALSE)</f>
        <v>5-4</v>
      </c>
    </row>
    <row r="1702" ht="15.75" customHeight="1">
      <c r="A1702" s="1" t="s">
        <v>63</v>
      </c>
      <c r="B1702" s="1" t="s">
        <v>88</v>
      </c>
      <c r="C1702" s="1" t="s">
        <v>11</v>
      </c>
      <c r="D1702" s="5">
        <v>45565.0</v>
      </c>
      <c r="G1702" s="1">
        <f>VLOOKUP(B1702,'old-aw-skill-plan'!A:I,7,FALSE)</f>
        <v>5</v>
      </c>
      <c r="H1702" s="1" t="str">
        <f>VLOOKUP(B1702,'old-aw-skill-plan'!A:I,9,FALSE)</f>
        <v>5-5</v>
      </c>
    </row>
    <row r="1703" ht="15.75" customHeight="1">
      <c r="A1703" s="1" t="s">
        <v>183</v>
      </c>
      <c r="B1703" s="1" t="s">
        <v>327</v>
      </c>
      <c r="C1703" s="1" t="s">
        <v>11</v>
      </c>
      <c r="D1703" s="5">
        <v>45565.0</v>
      </c>
      <c r="G1703" s="1">
        <f>VLOOKUP(B1703,'old-aw-skill-plan'!A:I,7,FALSE)</f>
        <v>8</v>
      </c>
      <c r="H1703" s="1" t="str">
        <f>VLOOKUP(B1703,'old-aw-skill-plan'!A:I,9,FALSE)</f>
        <v>8-2</v>
      </c>
    </row>
    <row r="1704" ht="15.75" customHeight="1">
      <c r="A1704" s="1" t="s">
        <v>68</v>
      </c>
      <c r="B1704" s="1" t="s">
        <v>28</v>
      </c>
      <c r="C1704" s="1" t="s">
        <v>11</v>
      </c>
      <c r="D1704" s="5">
        <v>45565.0</v>
      </c>
      <c r="G1704" s="1">
        <f>VLOOKUP(B1704,'old-aw-skill-plan'!A:I,7,FALSE)</f>
        <v>3</v>
      </c>
      <c r="H1704" s="1" t="str">
        <f>VLOOKUP(B1704,'old-aw-skill-plan'!A:I,9,FALSE)</f>
        <v>3-4</v>
      </c>
    </row>
    <row r="1705" ht="15.75" customHeight="1">
      <c r="A1705" s="1" t="s">
        <v>214</v>
      </c>
      <c r="B1705" s="1" t="s">
        <v>130</v>
      </c>
      <c r="C1705" s="1" t="s">
        <v>11</v>
      </c>
      <c r="D1705" s="5">
        <v>45565.0</v>
      </c>
      <c r="G1705" s="1">
        <f>VLOOKUP(B1705,'old-aw-skill-plan'!A:I,7,FALSE)</f>
        <v>8</v>
      </c>
      <c r="H1705" s="1" t="str">
        <f>VLOOKUP(B1705,'old-aw-skill-plan'!A:I,9,FALSE)</f>
        <v>8-1</v>
      </c>
    </row>
    <row r="1706" ht="15.75" customHeight="1">
      <c r="A1706" s="1" t="s">
        <v>205</v>
      </c>
      <c r="B1706" s="1" t="s">
        <v>83</v>
      </c>
      <c r="C1706" s="1" t="s">
        <v>11</v>
      </c>
      <c r="D1706" s="5">
        <v>45565.0</v>
      </c>
      <c r="G1706" s="1">
        <f>VLOOKUP(B1706,'old-aw-skill-plan'!A:I,7,FALSE)</f>
        <v>5</v>
      </c>
      <c r="H1706" s="1" t="str">
        <f>VLOOKUP(B1706,'old-aw-skill-plan'!A:I,9,FALSE)</f>
        <v>5-9</v>
      </c>
    </row>
    <row r="1707" ht="15.75" customHeight="1">
      <c r="A1707" s="1" t="s">
        <v>75</v>
      </c>
      <c r="B1707" s="1" t="s">
        <v>115</v>
      </c>
      <c r="C1707" s="1" t="s">
        <v>11</v>
      </c>
      <c r="D1707" s="5">
        <v>45565.0</v>
      </c>
      <c r="G1707" s="1">
        <f>VLOOKUP(B1707,'old-aw-skill-plan'!A:I,7,FALSE)</f>
        <v>3</v>
      </c>
      <c r="H1707" s="1" t="str">
        <f>VLOOKUP(B1707,'old-aw-skill-plan'!A:I,9,FALSE)</f>
        <v>3-10</v>
      </c>
    </row>
    <row r="1708" ht="15.75" customHeight="1">
      <c r="A1708" s="1" t="s">
        <v>82</v>
      </c>
      <c r="B1708" s="1" t="s">
        <v>115</v>
      </c>
      <c r="C1708" s="1" t="s">
        <v>11</v>
      </c>
      <c r="D1708" s="5">
        <v>45565.0</v>
      </c>
      <c r="G1708" s="1">
        <f>VLOOKUP(B1708,'old-aw-skill-plan'!A:I,7,FALSE)</f>
        <v>3</v>
      </c>
      <c r="H1708" s="1" t="str">
        <f>VLOOKUP(B1708,'old-aw-skill-plan'!A:I,9,FALSE)</f>
        <v>3-10</v>
      </c>
    </row>
    <row r="1709" ht="15.75" customHeight="1">
      <c r="A1709" s="1" t="s">
        <v>326</v>
      </c>
      <c r="B1709" s="1" t="s">
        <v>85</v>
      </c>
      <c r="C1709" s="1" t="s">
        <v>11</v>
      </c>
      <c r="D1709" s="5">
        <v>45565.0</v>
      </c>
      <c r="G1709" s="1">
        <f>VLOOKUP(B1709,'old-aw-skill-plan'!A:I,7,FALSE)</f>
        <v>5</v>
      </c>
      <c r="H1709" s="1" t="str">
        <f>VLOOKUP(B1709,'old-aw-skill-plan'!A:I,9,FALSE)</f>
        <v>5-8</v>
      </c>
    </row>
    <row r="1710" ht="15.75" customHeight="1">
      <c r="A1710" s="1" t="s">
        <v>214</v>
      </c>
      <c r="B1710" s="1" t="s">
        <v>120</v>
      </c>
      <c r="C1710" s="1" t="s">
        <v>11</v>
      </c>
      <c r="D1710" s="5">
        <v>45564.0</v>
      </c>
      <c r="G1710" s="1">
        <f>VLOOKUP(B1710,'old-aw-skill-plan'!A:I,7,FALSE)</f>
        <v>5</v>
      </c>
      <c r="H1710" s="1" t="str">
        <f>VLOOKUP(B1710,'old-aw-skill-plan'!A:I,9,FALSE)</f>
        <v>5-11</v>
      </c>
    </row>
    <row r="1711" ht="15.75" customHeight="1">
      <c r="A1711" s="1" t="s">
        <v>214</v>
      </c>
      <c r="B1711" s="1" t="s">
        <v>121</v>
      </c>
      <c r="C1711" s="1" t="s">
        <v>11</v>
      </c>
      <c r="D1711" s="5">
        <v>45564.0</v>
      </c>
      <c r="G1711" s="1">
        <f>VLOOKUP(B1711,'old-aw-skill-plan'!A:I,7,FALSE)</f>
        <v>5</v>
      </c>
      <c r="H1711" s="1" t="str">
        <f>VLOOKUP(B1711,'old-aw-skill-plan'!A:I,9,FALSE)</f>
        <v>5-12</v>
      </c>
    </row>
    <row r="1712" ht="15.75" customHeight="1">
      <c r="A1712" s="1" t="s">
        <v>212</v>
      </c>
      <c r="B1712" s="1" t="s">
        <v>47</v>
      </c>
      <c r="C1712" s="1" t="s">
        <v>11</v>
      </c>
      <c r="D1712" s="5">
        <v>45563.0</v>
      </c>
      <c r="G1712" s="1">
        <f>VLOOKUP(B1712,'old-aw-skill-plan'!A:I,7,FALSE)</f>
        <v>3</v>
      </c>
      <c r="H1712" s="1" t="str">
        <f>VLOOKUP(B1712,'old-aw-skill-plan'!A:I,9,FALSE)</f>
        <v>3-2</v>
      </c>
    </row>
    <row r="1713" ht="15.75" customHeight="1">
      <c r="A1713" s="1" t="s">
        <v>35</v>
      </c>
      <c r="B1713" s="1" t="s">
        <v>137</v>
      </c>
      <c r="C1713" s="1" t="s">
        <v>11</v>
      </c>
      <c r="D1713" s="5">
        <v>45563.0</v>
      </c>
      <c r="G1713" s="1">
        <f>VLOOKUP(B1713,'old-aw-skill-plan'!A:I,7,FALSE)</f>
        <v>6</v>
      </c>
      <c r="H1713" s="1" t="str">
        <f>VLOOKUP(B1713,'old-aw-skill-plan'!A:I,9,FALSE)</f>
        <v>6-6</v>
      </c>
    </row>
    <row r="1714" ht="15.75" customHeight="1">
      <c r="A1714" s="1" t="s">
        <v>35</v>
      </c>
      <c r="B1714" s="1" t="s">
        <v>376</v>
      </c>
      <c r="C1714" s="1" t="s">
        <v>11</v>
      </c>
      <c r="D1714" s="5">
        <v>45563.0</v>
      </c>
      <c r="G1714" s="1">
        <f>VLOOKUP(B1714,'old-aw-skill-plan'!A:I,7,FALSE)</f>
        <v>6</v>
      </c>
      <c r="H1714" s="1" t="str">
        <f>VLOOKUP(B1714,'old-aw-skill-plan'!A:I,9,FALSE)</f>
        <v>6-6</v>
      </c>
    </row>
    <row r="1715" ht="15.75" customHeight="1">
      <c r="A1715" s="1" t="s">
        <v>35</v>
      </c>
      <c r="B1715" s="1" t="s">
        <v>378</v>
      </c>
      <c r="C1715" s="1" t="s">
        <v>11</v>
      </c>
      <c r="D1715" s="5">
        <v>45563.0</v>
      </c>
      <c r="G1715" s="1">
        <f>VLOOKUP(B1715,'old-aw-skill-plan'!A:I,7,FALSE)</f>
        <v>6</v>
      </c>
      <c r="H1715" s="1" t="str">
        <f>VLOOKUP(B1715,'old-aw-skill-plan'!A:I,9,FALSE)</f>
        <v>6-6</v>
      </c>
    </row>
    <row r="1716" ht="15.75" customHeight="1">
      <c r="A1716" s="1" t="s">
        <v>214</v>
      </c>
      <c r="B1716" s="1" t="s">
        <v>314</v>
      </c>
      <c r="C1716" s="1" t="s">
        <v>11</v>
      </c>
      <c r="D1716" s="5">
        <v>45563.0</v>
      </c>
      <c r="G1716" s="1">
        <f>VLOOKUP(B1716,'old-aw-skill-plan'!A:I,7,FALSE)</f>
        <v>5</v>
      </c>
      <c r="H1716" s="1" t="str">
        <f>VLOOKUP(B1716,'old-aw-skill-plan'!A:I,9,FALSE)</f>
        <v>5-10</v>
      </c>
    </row>
    <row r="1717" ht="15.75" customHeight="1">
      <c r="A1717" s="1" t="s">
        <v>214</v>
      </c>
      <c r="B1717" s="1" t="s">
        <v>120</v>
      </c>
      <c r="C1717" s="1" t="s">
        <v>11</v>
      </c>
      <c r="D1717" s="5">
        <v>45563.0</v>
      </c>
      <c r="G1717" s="1">
        <f>VLOOKUP(B1717,'old-aw-skill-plan'!A:I,7,FALSE)</f>
        <v>5</v>
      </c>
      <c r="H1717" s="1" t="str">
        <f>VLOOKUP(B1717,'old-aw-skill-plan'!A:I,9,FALSE)</f>
        <v>5-11</v>
      </c>
    </row>
    <row r="1718" ht="15.75" customHeight="1">
      <c r="A1718" s="1" t="s">
        <v>24</v>
      </c>
      <c r="B1718" s="1" t="s">
        <v>120</v>
      </c>
      <c r="C1718" s="1" t="s">
        <v>11</v>
      </c>
      <c r="D1718" s="5">
        <v>45562.0</v>
      </c>
      <c r="G1718" s="1">
        <f>VLOOKUP(B1718,'old-aw-skill-plan'!A:I,7,FALSE)</f>
        <v>5</v>
      </c>
      <c r="H1718" s="1" t="str">
        <f>VLOOKUP(B1718,'old-aw-skill-plan'!A:I,9,FALSE)</f>
        <v>5-11</v>
      </c>
    </row>
    <row r="1719" ht="15.75" customHeight="1">
      <c r="A1719" s="1" t="s">
        <v>207</v>
      </c>
      <c r="B1719" s="1" t="s">
        <v>85</v>
      </c>
      <c r="C1719" s="1" t="s">
        <v>11</v>
      </c>
      <c r="D1719" s="5">
        <v>45562.0</v>
      </c>
      <c r="G1719" s="1">
        <f>VLOOKUP(B1719,'old-aw-skill-plan'!A:I,7,FALSE)</f>
        <v>5</v>
      </c>
      <c r="H1719" s="1" t="str">
        <f>VLOOKUP(B1719,'old-aw-skill-plan'!A:I,9,FALSE)</f>
        <v>5-8</v>
      </c>
    </row>
    <row r="1720" ht="15.75" customHeight="1">
      <c r="A1720" s="1" t="s">
        <v>52</v>
      </c>
      <c r="B1720" s="1" t="s">
        <v>28</v>
      </c>
      <c r="C1720" s="1" t="s">
        <v>11</v>
      </c>
      <c r="D1720" s="5">
        <v>45562.0</v>
      </c>
      <c r="G1720" s="1">
        <f>VLOOKUP(B1720,'old-aw-skill-plan'!A:I,7,FALSE)</f>
        <v>3</v>
      </c>
      <c r="H1720" s="1" t="str">
        <f>VLOOKUP(B1720,'old-aw-skill-plan'!A:I,9,FALSE)</f>
        <v>3-4</v>
      </c>
    </row>
    <row r="1721" ht="15.75" customHeight="1">
      <c r="A1721" s="1" t="s">
        <v>55</v>
      </c>
      <c r="B1721" s="1" t="s">
        <v>104</v>
      </c>
      <c r="C1721" s="1" t="s">
        <v>11</v>
      </c>
      <c r="D1721" s="5">
        <v>45562.0</v>
      </c>
      <c r="G1721" s="1">
        <f>VLOOKUP(B1721,'old-aw-skill-plan'!A:I,7,FALSE)</f>
        <v>5</v>
      </c>
      <c r="H1721" s="1" t="str">
        <f>VLOOKUP(B1721,'old-aw-skill-plan'!A:I,9,FALSE)</f>
        <v>5-2</v>
      </c>
    </row>
    <row r="1722" ht="15.75" customHeight="1">
      <c r="A1722" s="1" t="s">
        <v>39</v>
      </c>
      <c r="B1722" s="1" t="s">
        <v>21</v>
      </c>
      <c r="C1722" s="1" t="s">
        <v>11</v>
      </c>
      <c r="D1722" s="5">
        <v>45562.0</v>
      </c>
      <c r="G1722" s="1">
        <f>VLOOKUP(B1722,'old-aw-skill-plan'!A:I,7,FALSE)</f>
        <v>4</v>
      </c>
      <c r="H1722" s="1" t="str">
        <f>VLOOKUP(B1722,'old-aw-skill-plan'!A:I,9,FALSE)</f>
        <v>4-6</v>
      </c>
    </row>
    <row r="1723" ht="15.75" customHeight="1">
      <c r="A1723" s="1" t="s">
        <v>39</v>
      </c>
      <c r="B1723" s="1" t="s">
        <v>44</v>
      </c>
      <c r="C1723" s="1" t="s">
        <v>11</v>
      </c>
      <c r="D1723" s="5">
        <v>45562.0</v>
      </c>
      <c r="G1723" s="1">
        <f>VLOOKUP(B1723,'old-aw-skill-plan'!A:I,7,FALSE)</f>
        <v>5</v>
      </c>
      <c r="H1723" s="1" t="str">
        <f>VLOOKUP(B1723,'old-aw-skill-plan'!A:I,9,FALSE)</f>
        <v>5-1</v>
      </c>
    </row>
    <row r="1724" ht="15.75" customHeight="1">
      <c r="A1724" s="1" t="s">
        <v>60</v>
      </c>
      <c r="B1724" s="1" t="s">
        <v>104</v>
      </c>
      <c r="C1724" s="1" t="s">
        <v>11</v>
      </c>
      <c r="D1724" s="5">
        <v>45562.0</v>
      </c>
      <c r="G1724" s="1">
        <f>VLOOKUP(B1724,'old-aw-skill-plan'!A:I,7,FALSE)</f>
        <v>5</v>
      </c>
      <c r="H1724" s="1" t="str">
        <f>VLOOKUP(B1724,'old-aw-skill-plan'!A:I,9,FALSE)</f>
        <v>5-2</v>
      </c>
    </row>
    <row r="1725" ht="15.75" customHeight="1">
      <c r="A1725" s="1" t="s">
        <v>63</v>
      </c>
      <c r="B1725" s="1" t="s">
        <v>25</v>
      </c>
      <c r="C1725" s="1" t="s">
        <v>11</v>
      </c>
      <c r="D1725" s="5">
        <v>45562.0</v>
      </c>
      <c r="G1725" s="1">
        <f>VLOOKUP(B1725,'old-aw-skill-plan'!A:I,7,FALSE)</f>
        <v>5</v>
      </c>
      <c r="H1725" s="1" t="str">
        <f>VLOOKUP(B1725,'old-aw-skill-plan'!A:I,9,FALSE)</f>
        <v>5-4</v>
      </c>
    </row>
    <row r="1726" ht="15.75" customHeight="1">
      <c r="A1726" s="1" t="s">
        <v>68</v>
      </c>
      <c r="B1726" s="1" t="s">
        <v>28</v>
      </c>
      <c r="C1726" s="1" t="s">
        <v>11</v>
      </c>
      <c r="D1726" s="5">
        <v>45562.0</v>
      </c>
      <c r="G1726" s="1">
        <f>VLOOKUP(B1726,'old-aw-skill-plan'!A:I,7,FALSE)</f>
        <v>3</v>
      </c>
      <c r="H1726" s="1" t="str">
        <f>VLOOKUP(B1726,'old-aw-skill-plan'!A:I,9,FALSE)</f>
        <v>3-4</v>
      </c>
    </row>
    <row r="1727" ht="15.75" customHeight="1">
      <c r="A1727" s="1" t="s">
        <v>214</v>
      </c>
      <c r="B1727" s="1" t="s">
        <v>314</v>
      </c>
      <c r="C1727" s="1" t="s">
        <v>11</v>
      </c>
      <c r="D1727" s="5">
        <v>45562.0</v>
      </c>
      <c r="G1727" s="1">
        <f>VLOOKUP(B1727,'old-aw-skill-plan'!A:I,7,FALSE)</f>
        <v>5</v>
      </c>
      <c r="H1727" s="1" t="str">
        <f>VLOOKUP(B1727,'old-aw-skill-plan'!A:I,9,FALSE)</f>
        <v>5-10</v>
      </c>
    </row>
    <row r="1728" ht="15.75" customHeight="1">
      <c r="A1728" s="1" t="s">
        <v>205</v>
      </c>
      <c r="B1728" s="1" t="s">
        <v>83</v>
      </c>
      <c r="C1728" s="1" t="s">
        <v>11</v>
      </c>
      <c r="D1728" s="5">
        <v>45562.0</v>
      </c>
      <c r="G1728" s="1">
        <f>VLOOKUP(B1728,'old-aw-skill-plan'!A:I,7,FALSE)</f>
        <v>5</v>
      </c>
      <c r="H1728" s="1" t="str">
        <f>VLOOKUP(B1728,'old-aw-skill-plan'!A:I,9,FALSE)</f>
        <v>5-9</v>
      </c>
    </row>
    <row r="1729" ht="15.75" customHeight="1">
      <c r="A1729" s="1" t="s">
        <v>75</v>
      </c>
      <c r="B1729" s="1" t="s">
        <v>115</v>
      </c>
      <c r="C1729" s="1" t="s">
        <v>11</v>
      </c>
      <c r="D1729" s="5">
        <v>45562.0</v>
      </c>
      <c r="G1729" s="1">
        <f>VLOOKUP(B1729,'old-aw-skill-plan'!A:I,7,FALSE)</f>
        <v>3</v>
      </c>
      <c r="H1729" s="1" t="str">
        <f>VLOOKUP(B1729,'old-aw-skill-plan'!A:I,9,FALSE)</f>
        <v>3-10</v>
      </c>
    </row>
    <row r="1730" ht="15.75" customHeight="1">
      <c r="A1730" s="1" t="s">
        <v>100</v>
      </c>
      <c r="B1730" s="1" t="s">
        <v>328</v>
      </c>
      <c r="C1730" s="1" t="s">
        <v>11</v>
      </c>
      <c r="D1730" s="5">
        <v>45562.0</v>
      </c>
      <c r="G1730" s="1" t="str">
        <f>VLOOKUP(B1730,'old-aw-skill-plan'!A:I,7,FALSE)</f>
        <v>#N/A</v>
      </c>
      <c r="H1730" s="1" t="str">
        <f>VLOOKUP(B1730,'old-aw-skill-plan'!A:I,9,FALSE)</f>
        <v>#N/A</v>
      </c>
    </row>
    <row r="1731" ht="15.75" customHeight="1">
      <c r="A1731" s="1" t="s">
        <v>100</v>
      </c>
      <c r="B1731" s="1" t="s">
        <v>338</v>
      </c>
      <c r="C1731" s="1" t="s">
        <v>11</v>
      </c>
      <c r="D1731" s="5">
        <v>45562.0</v>
      </c>
      <c r="G1731" s="1" t="str">
        <f>VLOOKUP(B1731,'old-aw-skill-plan'!A:I,7,FALSE)</f>
        <v>#N/A</v>
      </c>
      <c r="H1731" s="1" t="str">
        <f>VLOOKUP(B1731,'old-aw-skill-plan'!A:I,9,FALSE)</f>
        <v>#N/A</v>
      </c>
    </row>
    <row r="1732" ht="15.75" customHeight="1">
      <c r="A1732" s="1" t="s">
        <v>82</v>
      </c>
      <c r="B1732" s="1" t="s">
        <v>116</v>
      </c>
      <c r="C1732" s="1" t="s">
        <v>11</v>
      </c>
      <c r="D1732" s="5">
        <v>45562.0</v>
      </c>
      <c r="G1732" s="1">
        <f>VLOOKUP(B1732,'old-aw-skill-plan'!A:I,7,FALSE)</f>
        <v>3</v>
      </c>
      <c r="H1732" s="1" t="str">
        <f>VLOOKUP(B1732,'old-aw-skill-plan'!A:I,9,FALSE)</f>
        <v>3-9</v>
      </c>
    </row>
    <row r="1733" ht="15.75" customHeight="1">
      <c r="A1733" s="1" t="s">
        <v>82</v>
      </c>
      <c r="B1733" s="1" t="s">
        <v>58</v>
      </c>
      <c r="C1733" s="1" t="s">
        <v>11</v>
      </c>
      <c r="D1733" s="5">
        <v>45562.0</v>
      </c>
      <c r="G1733" s="1">
        <f>VLOOKUP(B1733,'old-aw-skill-plan'!A:I,7,FALSE)</f>
        <v>3</v>
      </c>
      <c r="H1733" s="1" t="str">
        <f>VLOOKUP(B1733,'old-aw-skill-plan'!A:I,9,FALSE)</f>
        <v>3-8</v>
      </c>
    </row>
    <row r="1734" ht="15.75" customHeight="1">
      <c r="A1734" s="1" t="s">
        <v>326</v>
      </c>
      <c r="B1734" s="1" t="s">
        <v>85</v>
      </c>
      <c r="C1734" s="1" t="s">
        <v>11</v>
      </c>
      <c r="D1734" s="5">
        <v>45562.0</v>
      </c>
      <c r="G1734" s="1">
        <f>VLOOKUP(B1734,'old-aw-skill-plan'!A:I,7,FALSE)</f>
        <v>5</v>
      </c>
      <c r="H1734" s="1" t="str">
        <f>VLOOKUP(B1734,'old-aw-skill-plan'!A:I,9,FALSE)</f>
        <v>5-8</v>
      </c>
    </row>
    <row r="1735" ht="15.75" customHeight="1">
      <c r="A1735" s="1" t="s">
        <v>365</v>
      </c>
      <c r="B1735" s="1" t="s">
        <v>21</v>
      </c>
      <c r="C1735" s="1" t="s">
        <v>11</v>
      </c>
      <c r="D1735" s="5">
        <v>45562.0</v>
      </c>
      <c r="G1735" s="1">
        <f>VLOOKUP(B1735,'old-aw-skill-plan'!A:I,7,FALSE)</f>
        <v>4</v>
      </c>
      <c r="H1735" s="1" t="str">
        <f>VLOOKUP(B1735,'old-aw-skill-plan'!A:I,9,FALSE)</f>
        <v>4-6</v>
      </c>
    </row>
    <row r="1736" ht="15.75" customHeight="1">
      <c r="A1736" s="1" t="s">
        <v>365</v>
      </c>
      <c r="B1736" s="1" t="s">
        <v>44</v>
      </c>
      <c r="C1736" s="1" t="s">
        <v>11</v>
      </c>
      <c r="D1736" s="5">
        <v>45562.0</v>
      </c>
      <c r="G1736" s="1">
        <f>VLOOKUP(B1736,'old-aw-skill-plan'!A:I,7,FALSE)</f>
        <v>5</v>
      </c>
      <c r="H1736" s="1" t="str">
        <f>VLOOKUP(B1736,'old-aw-skill-plan'!A:I,9,FALSE)</f>
        <v>5-1</v>
      </c>
    </row>
    <row r="1737" ht="15.75" customHeight="1">
      <c r="A1737" s="1" t="s">
        <v>18</v>
      </c>
      <c r="B1737" s="1" t="s">
        <v>34</v>
      </c>
      <c r="C1737" s="1" t="s">
        <v>11</v>
      </c>
      <c r="D1737" s="5">
        <v>45561.0</v>
      </c>
      <c r="G1737" s="1">
        <f>VLOOKUP(B1737,'old-aw-skill-plan'!A:I,7,FALSE)</f>
        <v>4</v>
      </c>
      <c r="H1737" s="1" t="str">
        <f>VLOOKUP(B1737,'old-aw-skill-plan'!A:I,9,FALSE)</f>
        <v>4-1</v>
      </c>
    </row>
    <row r="1738" ht="15.75" customHeight="1">
      <c r="A1738" s="1" t="s">
        <v>35</v>
      </c>
      <c r="B1738" s="1" t="s">
        <v>120</v>
      </c>
      <c r="C1738" s="1" t="s">
        <v>11</v>
      </c>
      <c r="D1738" s="5">
        <v>45561.0</v>
      </c>
      <c r="G1738" s="1">
        <f>VLOOKUP(B1738,'old-aw-skill-plan'!A:I,7,FALSE)</f>
        <v>5</v>
      </c>
      <c r="H1738" s="1" t="str">
        <f>VLOOKUP(B1738,'old-aw-skill-plan'!A:I,9,FALSE)</f>
        <v>5-11</v>
      </c>
    </row>
    <row r="1739" ht="15.75" customHeight="1">
      <c r="A1739" s="1" t="s">
        <v>24</v>
      </c>
      <c r="B1739" s="1" t="s">
        <v>314</v>
      </c>
      <c r="C1739" s="1" t="s">
        <v>11</v>
      </c>
      <c r="D1739" s="5">
        <v>45561.0</v>
      </c>
      <c r="G1739" s="1">
        <f>VLOOKUP(B1739,'old-aw-skill-plan'!A:I,7,FALSE)</f>
        <v>5</v>
      </c>
      <c r="H1739" s="1" t="str">
        <f>VLOOKUP(B1739,'old-aw-skill-plan'!A:I,9,FALSE)</f>
        <v>5-10</v>
      </c>
    </row>
    <row r="1740" ht="15.75" customHeight="1">
      <c r="A1740" s="1" t="s">
        <v>24</v>
      </c>
      <c r="B1740" s="1" t="s">
        <v>120</v>
      </c>
      <c r="C1740" s="1" t="s">
        <v>11</v>
      </c>
      <c r="D1740" s="5">
        <v>45561.0</v>
      </c>
      <c r="G1740" s="1">
        <f>VLOOKUP(B1740,'old-aw-skill-plan'!A:I,7,FALSE)</f>
        <v>5</v>
      </c>
      <c r="H1740" s="1" t="str">
        <f>VLOOKUP(B1740,'old-aw-skill-plan'!A:I,9,FALSE)</f>
        <v>5-11</v>
      </c>
    </row>
    <row r="1741" ht="15.75" customHeight="1">
      <c r="A1741" s="1" t="s">
        <v>52</v>
      </c>
      <c r="B1741" s="1" t="s">
        <v>28</v>
      </c>
      <c r="C1741" s="1" t="s">
        <v>11</v>
      </c>
      <c r="D1741" s="5">
        <v>45561.0</v>
      </c>
      <c r="G1741" s="1">
        <f>VLOOKUP(B1741,'old-aw-skill-plan'!A:I,7,FALSE)</f>
        <v>3</v>
      </c>
      <c r="H1741" s="1" t="str">
        <f>VLOOKUP(B1741,'old-aw-skill-plan'!A:I,9,FALSE)</f>
        <v>3-4</v>
      </c>
    </row>
    <row r="1742" ht="15.75" customHeight="1">
      <c r="A1742" s="1" t="s">
        <v>220</v>
      </c>
      <c r="B1742" s="1" t="s">
        <v>137</v>
      </c>
      <c r="C1742" s="1" t="s">
        <v>11</v>
      </c>
      <c r="D1742" s="5">
        <v>45561.0</v>
      </c>
      <c r="G1742" s="1">
        <f>VLOOKUP(B1742,'old-aw-skill-plan'!A:I,7,FALSE)</f>
        <v>6</v>
      </c>
      <c r="H1742" s="1" t="str">
        <f>VLOOKUP(B1742,'old-aw-skill-plan'!A:I,9,FALSE)</f>
        <v>6-6</v>
      </c>
    </row>
    <row r="1743" ht="15.75" customHeight="1">
      <c r="A1743" s="1" t="s">
        <v>220</v>
      </c>
      <c r="B1743" s="1" t="s">
        <v>376</v>
      </c>
      <c r="C1743" s="1" t="s">
        <v>11</v>
      </c>
      <c r="D1743" s="5">
        <v>45561.0</v>
      </c>
      <c r="G1743" s="1">
        <f>VLOOKUP(B1743,'old-aw-skill-plan'!A:I,7,FALSE)</f>
        <v>6</v>
      </c>
      <c r="H1743" s="1" t="str">
        <f>VLOOKUP(B1743,'old-aw-skill-plan'!A:I,9,FALSE)</f>
        <v>6-6</v>
      </c>
    </row>
    <row r="1744" ht="15.75" customHeight="1">
      <c r="A1744" s="1" t="s">
        <v>220</v>
      </c>
      <c r="B1744" s="1" t="s">
        <v>133</v>
      </c>
      <c r="C1744" s="1" t="s">
        <v>11</v>
      </c>
      <c r="D1744" s="5">
        <v>45561.0</v>
      </c>
      <c r="G1744" s="1">
        <f>VLOOKUP(B1744,'old-aw-skill-plan'!A:I,7,FALSE)</f>
        <v>7</v>
      </c>
      <c r="H1744" s="1" t="str">
        <f>VLOOKUP(B1744,'old-aw-skill-plan'!A:I,9,FALSE)</f>
        <v>7-6</v>
      </c>
    </row>
    <row r="1745" ht="15.75" customHeight="1">
      <c r="A1745" s="1" t="s">
        <v>220</v>
      </c>
      <c r="B1745" s="1" t="s">
        <v>44</v>
      </c>
      <c r="C1745" s="1" t="s">
        <v>11</v>
      </c>
      <c r="D1745" s="5">
        <v>45561.0</v>
      </c>
      <c r="G1745" s="1">
        <f>VLOOKUP(B1745,'old-aw-skill-plan'!A:I,7,FALSE)</f>
        <v>5</v>
      </c>
      <c r="H1745" s="1" t="str">
        <f>VLOOKUP(B1745,'old-aw-skill-plan'!A:I,9,FALSE)</f>
        <v>5-1</v>
      </c>
    </row>
    <row r="1746" ht="15.75" customHeight="1">
      <c r="A1746" s="1" t="s">
        <v>220</v>
      </c>
      <c r="B1746" s="1" t="s">
        <v>339</v>
      </c>
      <c r="C1746" s="1" t="s">
        <v>11</v>
      </c>
      <c r="D1746" s="5">
        <v>45561.0</v>
      </c>
      <c r="G1746" s="1" t="str">
        <f>VLOOKUP(B1746,'old-aw-skill-plan'!A:I,7,FALSE)</f>
        <v>#N/A</v>
      </c>
      <c r="H1746" s="1" t="str">
        <f>VLOOKUP(B1746,'old-aw-skill-plan'!A:I,9,FALSE)</f>
        <v>#N/A</v>
      </c>
    </row>
    <row r="1747" ht="15.75" customHeight="1">
      <c r="A1747" s="1" t="s">
        <v>68</v>
      </c>
      <c r="B1747" s="1" t="s">
        <v>28</v>
      </c>
      <c r="C1747" s="1" t="s">
        <v>11</v>
      </c>
      <c r="D1747" s="5">
        <v>45561.0</v>
      </c>
      <c r="G1747" s="1">
        <f>VLOOKUP(B1747,'old-aw-skill-plan'!A:I,7,FALSE)</f>
        <v>3</v>
      </c>
      <c r="H1747" s="1" t="str">
        <f>VLOOKUP(B1747,'old-aw-skill-plan'!A:I,9,FALSE)</f>
        <v>3-4</v>
      </c>
    </row>
    <row r="1748" ht="15.75" customHeight="1">
      <c r="A1748" s="1" t="s">
        <v>214</v>
      </c>
      <c r="B1748" s="1" t="s">
        <v>314</v>
      </c>
      <c r="C1748" s="1" t="s">
        <v>11</v>
      </c>
      <c r="D1748" s="5">
        <v>45561.0</v>
      </c>
      <c r="G1748" s="1">
        <f>VLOOKUP(B1748,'old-aw-skill-plan'!A:I,7,FALSE)</f>
        <v>5</v>
      </c>
      <c r="H1748" s="1" t="str">
        <f>VLOOKUP(B1748,'old-aw-skill-plan'!A:I,9,FALSE)</f>
        <v>5-10</v>
      </c>
    </row>
    <row r="1749" ht="15.75" customHeight="1">
      <c r="A1749" s="1" t="s">
        <v>214</v>
      </c>
      <c r="B1749" s="1" t="s">
        <v>83</v>
      </c>
      <c r="C1749" s="1" t="s">
        <v>11</v>
      </c>
      <c r="D1749" s="5">
        <v>45561.0</v>
      </c>
      <c r="G1749" s="1">
        <f>VLOOKUP(B1749,'old-aw-skill-plan'!A:I,7,FALSE)</f>
        <v>5</v>
      </c>
      <c r="H1749" s="1" t="str">
        <f>VLOOKUP(B1749,'old-aw-skill-plan'!A:I,9,FALSE)</f>
        <v>5-9</v>
      </c>
    </row>
    <row r="1750" ht="15.75" customHeight="1">
      <c r="A1750" s="1" t="s">
        <v>205</v>
      </c>
      <c r="B1750" s="1" t="s">
        <v>83</v>
      </c>
      <c r="C1750" s="1" t="s">
        <v>11</v>
      </c>
      <c r="D1750" s="5">
        <v>45561.0</v>
      </c>
      <c r="G1750" s="1">
        <f>VLOOKUP(B1750,'old-aw-skill-plan'!A:I,7,FALSE)</f>
        <v>5</v>
      </c>
      <c r="H1750" s="1" t="str">
        <f>VLOOKUP(B1750,'old-aw-skill-plan'!A:I,9,FALSE)</f>
        <v>5-9</v>
      </c>
    </row>
    <row r="1751" ht="15.75" customHeight="1">
      <c r="A1751" s="1" t="s">
        <v>205</v>
      </c>
      <c r="B1751" s="1" t="s">
        <v>85</v>
      </c>
      <c r="C1751" s="1" t="s">
        <v>11</v>
      </c>
      <c r="D1751" s="5">
        <v>45561.0</v>
      </c>
      <c r="G1751" s="1">
        <f>VLOOKUP(B1751,'old-aw-skill-plan'!A:I,7,FALSE)</f>
        <v>5</v>
      </c>
      <c r="H1751" s="1" t="str">
        <f>VLOOKUP(B1751,'old-aw-skill-plan'!A:I,9,FALSE)</f>
        <v>5-8</v>
      </c>
    </row>
    <row r="1752" ht="15.75" customHeight="1">
      <c r="A1752" s="1" t="s">
        <v>75</v>
      </c>
      <c r="B1752" s="1" t="s">
        <v>115</v>
      </c>
      <c r="C1752" s="1" t="s">
        <v>11</v>
      </c>
      <c r="D1752" s="5">
        <v>45561.0</v>
      </c>
      <c r="G1752" s="1">
        <f>VLOOKUP(B1752,'old-aw-skill-plan'!A:I,7,FALSE)</f>
        <v>3</v>
      </c>
      <c r="H1752" s="1" t="str">
        <f>VLOOKUP(B1752,'old-aw-skill-plan'!A:I,9,FALSE)</f>
        <v>3-10</v>
      </c>
    </row>
    <row r="1753" ht="15.75" customHeight="1">
      <c r="A1753" s="1" t="s">
        <v>100</v>
      </c>
      <c r="B1753" s="1" t="s">
        <v>349</v>
      </c>
      <c r="C1753" s="1" t="s">
        <v>11</v>
      </c>
      <c r="D1753" s="5">
        <v>45561.0</v>
      </c>
      <c r="G1753" s="1" t="str">
        <f>VLOOKUP(B1753,'old-aw-skill-plan'!A:I,7,FALSE)</f>
        <v>#N/A</v>
      </c>
      <c r="H1753" s="1" t="str">
        <f>VLOOKUP(B1753,'old-aw-skill-plan'!A:I,9,FALSE)</f>
        <v>#N/A</v>
      </c>
    </row>
    <row r="1754" ht="15.75" customHeight="1">
      <c r="A1754" s="1" t="s">
        <v>100</v>
      </c>
      <c r="B1754" s="1" t="s">
        <v>389</v>
      </c>
      <c r="C1754" s="1" t="s">
        <v>11</v>
      </c>
      <c r="D1754" s="5">
        <v>45561.0</v>
      </c>
      <c r="G1754" s="1" t="str">
        <f>VLOOKUP(B1754,'old-aw-skill-plan'!A:I,7,FALSE)</f>
        <v>#N/A</v>
      </c>
      <c r="H1754" s="1" t="str">
        <f>VLOOKUP(B1754,'old-aw-skill-plan'!A:I,9,FALSE)</f>
        <v>#N/A</v>
      </c>
    </row>
    <row r="1755" ht="15.75" customHeight="1">
      <c r="A1755" s="1" t="s">
        <v>100</v>
      </c>
      <c r="B1755" s="1" t="s">
        <v>390</v>
      </c>
      <c r="C1755" s="1" t="s">
        <v>11</v>
      </c>
      <c r="D1755" s="5">
        <v>45561.0</v>
      </c>
      <c r="G1755" s="1" t="str">
        <f>VLOOKUP(B1755,'old-aw-skill-plan'!A:I,7,FALSE)</f>
        <v>#N/A</v>
      </c>
      <c r="H1755" s="1" t="str">
        <f>VLOOKUP(B1755,'old-aw-skill-plan'!A:I,9,FALSE)</f>
        <v>#N/A</v>
      </c>
    </row>
    <row r="1756" ht="15.75" customHeight="1">
      <c r="A1756" s="1" t="s">
        <v>100</v>
      </c>
      <c r="B1756" s="1" t="s">
        <v>328</v>
      </c>
      <c r="C1756" s="1" t="s">
        <v>11</v>
      </c>
      <c r="D1756" s="5">
        <v>45561.0</v>
      </c>
      <c r="G1756" s="1" t="str">
        <f>VLOOKUP(B1756,'old-aw-skill-plan'!A:I,7,FALSE)</f>
        <v>#N/A</v>
      </c>
      <c r="H1756" s="1" t="str">
        <f>VLOOKUP(B1756,'old-aw-skill-plan'!A:I,9,FALSE)</f>
        <v>#N/A</v>
      </c>
    </row>
    <row r="1757" ht="15.75" customHeight="1">
      <c r="A1757" s="1" t="s">
        <v>82</v>
      </c>
      <c r="B1757" s="1" t="s">
        <v>57</v>
      </c>
      <c r="C1757" s="1" t="s">
        <v>11</v>
      </c>
      <c r="D1757" s="5">
        <v>45561.0</v>
      </c>
      <c r="G1757" s="1">
        <f>VLOOKUP(B1757,'old-aw-skill-plan'!A:I,7,FALSE)</f>
        <v>3</v>
      </c>
      <c r="H1757" s="1" t="str">
        <f>VLOOKUP(B1757,'old-aw-skill-plan'!A:I,9,FALSE)</f>
        <v>3-7</v>
      </c>
    </row>
    <row r="1758" ht="15.75" customHeight="1">
      <c r="A1758" s="1" t="s">
        <v>82</v>
      </c>
      <c r="B1758" s="1" t="s">
        <v>58</v>
      </c>
      <c r="C1758" s="1" t="s">
        <v>11</v>
      </c>
      <c r="D1758" s="5">
        <v>45561.0</v>
      </c>
      <c r="G1758" s="1">
        <f>VLOOKUP(B1758,'old-aw-skill-plan'!A:I,7,FALSE)</f>
        <v>3</v>
      </c>
      <c r="H1758" s="1" t="str">
        <f>VLOOKUP(B1758,'old-aw-skill-plan'!A:I,9,FALSE)</f>
        <v>3-8</v>
      </c>
    </row>
    <row r="1759" ht="15.75" customHeight="1">
      <c r="A1759" s="1" t="s">
        <v>82</v>
      </c>
      <c r="B1759" s="1" t="s">
        <v>48</v>
      </c>
      <c r="C1759" s="1" t="s">
        <v>11</v>
      </c>
      <c r="D1759" s="5">
        <v>45561.0</v>
      </c>
      <c r="G1759" s="1">
        <f>VLOOKUP(B1759,'old-aw-skill-plan'!A:I,7,FALSE)</f>
        <v>3</v>
      </c>
      <c r="H1759" s="1" t="str">
        <f>VLOOKUP(B1759,'old-aw-skill-plan'!A:I,9,FALSE)</f>
        <v>3-6</v>
      </c>
    </row>
    <row r="1760" ht="15.75" customHeight="1">
      <c r="A1760" s="1" t="s">
        <v>226</v>
      </c>
      <c r="B1760" s="1" t="s">
        <v>314</v>
      </c>
      <c r="C1760" s="1" t="s">
        <v>11</v>
      </c>
      <c r="D1760" s="5">
        <v>45561.0</v>
      </c>
      <c r="G1760" s="1">
        <f>VLOOKUP(B1760,'old-aw-skill-plan'!A:I,7,FALSE)</f>
        <v>5</v>
      </c>
      <c r="H1760" s="1" t="str">
        <f>VLOOKUP(B1760,'old-aw-skill-plan'!A:I,9,FALSE)</f>
        <v>5-10</v>
      </c>
    </row>
    <row r="1761" ht="15.75" customHeight="1">
      <c r="A1761" s="1" t="s">
        <v>326</v>
      </c>
      <c r="B1761" s="1" t="s">
        <v>84</v>
      </c>
      <c r="C1761" s="1" t="s">
        <v>11</v>
      </c>
      <c r="D1761" s="5">
        <v>45561.0</v>
      </c>
      <c r="G1761" s="1">
        <f>VLOOKUP(B1761,'old-aw-skill-plan'!A:I,7,FALSE)</f>
        <v>5</v>
      </c>
      <c r="H1761" s="1" t="str">
        <f>VLOOKUP(B1761,'old-aw-skill-plan'!A:I,9,FALSE)</f>
        <v>5-7</v>
      </c>
    </row>
    <row r="1762" ht="15.75" customHeight="1">
      <c r="A1762" s="1" t="s">
        <v>326</v>
      </c>
      <c r="B1762" s="1" t="s">
        <v>85</v>
      </c>
      <c r="C1762" s="1" t="s">
        <v>11</v>
      </c>
      <c r="D1762" s="5">
        <v>45561.0</v>
      </c>
      <c r="G1762" s="1">
        <f>VLOOKUP(B1762,'old-aw-skill-plan'!A:I,7,FALSE)</f>
        <v>5</v>
      </c>
      <c r="H1762" s="1" t="str">
        <f>VLOOKUP(B1762,'old-aw-skill-plan'!A:I,9,FALSE)</f>
        <v>5-8</v>
      </c>
    </row>
    <row r="1763" ht="15.75" customHeight="1">
      <c r="A1763" s="1" t="s">
        <v>22</v>
      </c>
      <c r="B1763" s="1" t="s">
        <v>44</v>
      </c>
      <c r="C1763" s="1" t="s">
        <v>11</v>
      </c>
      <c r="D1763" s="5">
        <v>45560.0</v>
      </c>
      <c r="G1763" s="1">
        <f>VLOOKUP(B1763,'old-aw-skill-plan'!A:I,7,FALSE)</f>
        <v>5</v>
      </c>
      <c r="H1763" s="1" t="str">
        <f>VLOOKUP(B1763,'old-aw-skill-plan'!A:I,9,FALSE)</f>
        <v>5-1</v>
      </c>
    </row>
    <row r="1764" ht="15.75" customHeight="1">
      <c r="A1764" s="1" t="s">
        <v>20</v>
      </c>
      <c r="B1764" s="1" t="s">
        <v>34</v>
      </c>
      <c r="C1764" s="1" t="s">
        <v>11</v>
      </c>
      <c r="D1764" s="5">
        <v>45560.0</v>
      </c>
      <c r="G1764" s="1">
        <f>VLOOKUP(B1764,'old-aw-skill-plan'!A:I,7,FALSE)</f>
        <v>4</v>
      </c>
      <c r="H1764" s="1" t="str">
        <f>VLOOKUP(B1764,'old-aw-skill-plan'!A:I,9,FALSE)</f>
        <v>4-1</v>
      </c>
    </row>
    <row r="1765" ht="15.75" customHeight="1">
      <c r="A1765" s="1" t="s">
        <v>35</v>
      </c>
      <c r="B1765" s="1" t="s">
        <v>137</v>
      </c>
      <c r="C1765" s="1" t="s">
        <v>11</v>
      </c>
      <c r="D1765" s="5">
        <v>45560.0</v>
      </c>
      <c r="G1765" s="1">
        <f>VLOOKUP(B1765,'old-aw-skill-plan'!A:I,7,FALSE)</f>
        <v>6</v>
      </c>
      <c r="H1765" s="1" t="str">
        <f>VLOOKUP(B1765,'old-aw-skill-plan'!A:I,9,FALSE)</f>
        <v>6-6</v>
      </c>
    </row>
    <row r="1766" ht="15.75" customHeight="1">
      <c r="A1766" s="1" t="s">
        <v>35</v>
      </c>
      <c r="B1766" s="1" t="s">
        <v>391</v>
      </c>
      <c r="C1766" s="1" t="s">
        <v>11</v>
      </c>
      <c r="D1766" s="5">
        <v>45560.0</v>
      </c>
      <c r="G1766" s="1">
        <f>VLOOKUP(B1766,'old-aw-skill-plan'!A:I,7,FALSE)</f>
        <v>7</v>
      </c>
      <c r="H1766" s="1" t="str">
        <f>VLOOKUP(B1766,'old-aw-skill-plan'!A:I,9,FALSE)</f>
        <v>7-3</v>
      </c>
    </row>
    <row r="1767" ht="15.75" customHeight="1">
      <c r="A1767" s="1" t="s">
        <v>35</v>
      </c>
      <c r="B1767" s="1" t="s">
        <v>392</v>
      </c>
      <c r="C1767" s="1" t="s">
        <v>11</v>
      </c>
      <c r="D1767" s="5">
        <v>45560.0</v>
      </c>
      <c r="G1767" s="1">
        <f>VLOOKUP(B1767,'old-aw-skill-plan'!A:I,7,FALSE)</f>
        <v>7</v>
      </c>
      <c r="H1767" s="1" t="str">
        <f>VLOOKUP(B1767,'old-aw-skill-plan'!A:I,9,FALSE)</f>
        <v>7-4</v>
      </c>
    </row>
    <row r="1768" ht="15.75" customHeight="1">
      <c r="A1768" s="1" t="s">
        <v>35</v>
      </c>
      <c r="B1768" s="1" t="s">
        <v>314</v>
      </c>
      <c r="C1768" s="1" t="s">
        <v>11</v>
      </c>
      <c r="D1768" s="5">
        <v>45560.0</v>
      </c>
      <c r="G1768" s="1">
        <f>VLOOKUP(B1768,'old-aw-skill-plan'!A:I,7,FALSE)</f>
        <v>5</v>
      </c>
      <c r="H1768" s="1" t="str">
        <f>VLOOKUP(B1768,'old-aw-skill-plan'!A:I,9,FALSE)</f>
        <v>5-10</v>
      </c>
    </row>
    <row r="1769" ht="15.75" customHeight="1">
      <c r="A1769" s="1" t="s">
        <v>35</v>
      </c>
      <c r="B1769" s="1" t="s">
        <v>142</v>
      </c>
      <c r="C1769" s="1" t="s">
        <v>11</v>
      </c>
      <c r="D1769" s="5">
        <v>45560.0</v>
      </c>
      <c r="G1769" s="1">
        <f>VLOOKUP(B1769,'old-aw-skill-plan'!A:I,7,FALSE)</f>
        <v>8</v>
      </c>
      <c r="H1769" s="1" t="str">
        <f>VLOOKUP(B1769,'old-aw-skill-plan'!A:I,9,FALSE)</f>
        <v>8-6</v>
      </c>
    </row>
    <row r="1770" ht="15.75" customHeight="1">
      <c r="A1770" s="1" t="s">
        <v>24</v>
      </c>
      <c r="B1770" s="1" t="s">
        <v>314</v>
      </c>
      <c r="C1770" s="1" t="s">
        <v>11</v>
      </c>
      <c r="D1770" s="5">
        <v>45560.0</v>
      </c>
      <c r="G1770" s="1">
        <f>VLOOKUP(B1770,'old-aw-skill-plan'!A:I,7,FALSE)</f>
        <v>5</v>
      </c>
      <c r="H1770" s="1" t="str">
        <f>VLOOKUP(B1770,'old-aw-skill-plan'!A:I,9,FALSE)</f>
        <v>5-10</v>
      </c>
    </row>
    <row r="1771" ht="15.75" customHeight="1">
      <c r="A1771" s="1" t="s">
        <v>52</v>
      </c>
      <c r="B1771" s="1" t="s">
        <v>28</v>
      </c>
      <c r="C1771" s="1" t="s">
        <v>11</v>
      </c>
      <c r="D1771" s="5">
        <v>45560.0</v>
      </c>
      <c r="G1771" s="1">
        <f>VLOOKUP(B1771,'old-aw-skill-plan'!A:I,7,FALSE)</f>
        <v>3</v>
      </c>
      <c r="H1771" s="1" t="str">
        <f>VLOOKUP(B1771,'old-aw-skill-plan'!A:I,9,FALSE)</f>
        <v>3-4</v>
      </c>
    </row>
    <row r="1772" ht="15.75" customHeight="1">
      <c r="A1772" s="1" t="s">
        <v>39</v>
      </c>
      <c r="B1772" s="1" t="s">
        <v>21</v>
      </c>
      <c r="C1772" s="1" t="s">
        <v>11</v>
      </c>
      <c r="D1772" s="5">
        <v>45560.0</v>
      </c>
      <c r="G1772" s="1">
        <f>VLOOKUP(B1772,'old-aw-skill-plan'!A:I,7,FALSE)</f>
        <v>4</v>
      </c>
      <c r="H1772" s="1" t="str">
        <f>VLOOKUP(B1772,'old-aw-skill-plan'!A:I,9,FALSE)</f>
        <v>4-6</v>
      </c>
    </row>
    <row r="1773" ht="15.75" customHeight="1">
      <c r="A1773" s="1" t="s">
        <v>39</v>
      </c>
      <c r="B1773" s="1" t="s">
        <v>23</v>
      </c>
      <c r="C1773" s="1" t="s">
        <v>11</v>
      </c>
      <c r="D1773" s="5">
        <v>45560.0</v>
      </c>
      <c r="G1773" s="1">
        <f>VLOOKUP(B1773,'old-aw-skill-plan'!A:I,7,FALSE)</f>
        <v>4</v>
      </c>
      <c r="H1773" s="1" t="str">
        <f>VLOOKUP(B1773,'old-aw-skill-plan'!A:I,9,FALSE)</f>
        <v>4-5</v>
      </c>
    </row>
    <row r="1774" ht="15.75" customHeight="1">
      <c r="A1774" s="1" t="s">
        <v>39</v>
      </c>
      <c r="B1774" s="1" t="s">
        <v>44</v>
      </c>
      <c r="C1774" s="1" t="s">
        <v>11</v>
      </c>
      <c r="D1774" s="5">
        <v>45560.0</v>
      </c>
      <c r="G1774" s="1">
        <f>VLOOKUP(B1774,'old-aw-skill-plan'!A:I,7,FALSE)</f>
        <v>5</v>
      </c>
      <c r="H1774" s="1" t="str">
        <f>VLOOKUP(B1774,'old-aw-skill-plan'!A:I,9,FALSE)</f>
        <v>5-1</v>
      </c>
    </row>
    <row r="1775" ht="15.75" customHeight="1">
      <c r="A1775" s="1" t="s">
        <v>220</v>
      </c>
      <c r="B1775" s="1" t="s">
        <v>142</v>
      </c>
      <c r="C1775" s="1" t="s">
        <v>11</v>
      </c>
      <c r="D1775" s="5">
        <v>45560.0</v>
      </c>
      <c r="G1775" s="1">
        <f>VLOOKUP(B1775,'old-aw-skill-plan'!A:I,7,FALSE)</f>
        <v>8</v>
      </c>
      <c r="H1775" s="1" t="str">
        <f>VLOOKUP(B1775,'old-aw-skill-plan'!A:I,9,FALSE)</f>
        <v>8-6</v>
      </c>
    </row>
    <row r="1776" ht="15.75" customHeight="1">
      <c r="A1776" s="1" t="s">
        <v>60</v>
      </c>
      <c r="B1776" s="1" t="s">
        <v>104</v>
      </c>
      <c r="C1776" s="1" t="s">
        <v>11</v>
      </c>
      <c r="D1776" s="5">
        <v>45560.0</v>
      </c>
      <c r="G1776" s="1">
        <f>VLOOKUP(B1776,'old-aw-skill-plan'!A:I,7,FALSE)</f>
        <v>5</v>
      </c>
      <c r="H1776" s="1" t="str">
        <f>VLOOKUP(B1776,'old-aw-skill-plan'!A:I,9,FALSE)</f>
        <v>5-2</v>
      </c>
    </row>
    <row r="1777" ht="15.75" customHeight="1">
      <c r="A1777" s="1" t="s">
        <v>63</v>
      </c>
      <c r="B1777" s="1" t="s">
        <v>103</v>
      </c>
      <c r="C1777" s="1" t="s">
        <v>11</v>
      </c>
      <c r="D1777" s="5">
        <v>45560.0</v>
      </c>
      <c r="G1777" s="1">
        <f>VLOOKUP(B1777,'old-aw-skill-plan'!A:I,7,FALSE)</f>
        <v>5</v>
      </c>
      <c r="H1777" s="1" t="str">
        <f>VLOOKUP(B1777,'old-aw-skill-plan'!A:I,9,FALSE)</f>
        <v>5-3</v>
      </c>
    </row>
    <row r="1778" ht="15.75" customHeight="1">
      <c r="A1778" s="1" t="s">
        <v>183</v>
      </c>
      <c r="B1778" s="1" t="s">
        <v>327</v>
      </c>
      <c r="C1778" s="1" t="s">
        <v>11</v>
      </c>
      <c r="D1778" s="5">
        <v>45560.0</v>
      </c>
      <c r="G1778" s="1">
        <f>VLOOKUP(B1778,'old-aw-skill-plan'!A:I,7,FALSE)</f>
        <v>8</v>
      </c>
      <c r="H1778" s="1" t="str">
        <f>VLOOKUP(B1778,'old-aw-skill-plan'!A:I,9,FALSE)</f>
        <v>8-2</v>
      </c>
    </row>
    <row r="1779" ht="15.75" customHeight="1">
      <c r="A1779" s="1" t="s">
        <v>183</v>
      </c>
      <c r="B1779" s="1" t="s">
        <v>345</v>
      </c>
      <c r="C1779" s="1" t="s">
        <v>11</v>
      </c>
      <c r="D1779" s="5">
        <v>45560.0</v>
      </c>
      <c r="G1779" s="1">
        <f>VLOOKUP(B1779,'old-aw-skill-plan'!A:I,7,FALSE)</f>
        <v>8</v>
      </c>
      <c r="H1779" s="1" t="str">
        <f>VLOOKUP(B1779,'old-aw-skill-plan'!A:I,9,FALSE)</f>
        <v>8-3</v>
      </c>
    </row>
    <row r="1780" ht="15.75" customHeight="1">
      <c r="A1780" s="1" t="s">
        <v>68</v>
      </c>
      <c r="B1780" s="1" t="s">
        <v>30</v>
      </c>
      <c r="C1780" s="1" t="s">
        <v>11</v>
      </c>
      <c r="D1780" s="5">
        <v>45560.0</v>
      </c>
      <c r="G1780" s="1">
        <f>VLOOKUP(B1780,'old-aw-skill-plan'!A:I,7,FALSE)</f>
        <v>3</v>
      </c>
      <c r="H1780" s="1" t="str">
        <f>VLOOKUP(B1780,'old-aw-skill-plan'!A:I,9,FALSE)</f>
        <v>3-3</v>
      </c>
    </row>
    <row r="1781" ht="15.75" customHeight="1">
      <c r="A1781" s="1" t="s">
        <v>214</v>
      </c>
      <c r="B1781" s="1" t="s">
        <v>85</v>
      </c>
      <c r="C1781" s="1" t="s">
        <v>11</v>
      </c>
      <c r="D1781" s="5">
        <v>45560.0</v>
      </c>
      <c r="G1781" s="1">
        <f>VLOOKUP(B1781,'old-aw-skill-plan'!A:I,7,FALSE)</f>
        <v>5</v>
      </c>
      <c r="H1781" s="1" t="str">
        <f>VLOOKUP(B1781,'old-aw-skill-plan'!A:I,9,FALSE)</f>
        <v>5-8</v>
      </c>
    </row>
    <row r="1782" ht="15.75" customHeight="1">
      <c r="A1782" s="1" t="s">
        <v>205</v>
      </c>
      <c r="B1782" s="1" t="s">
        <v>85</v>
      </c>
      <c r="C1782" s="1" t="s">
        <v>11</v>
      </c>
      <c r="D1782" s="5">
        <v>45560.0</v>
      </c>
      <c r="G1782" s="1">
        <f>VLOOKUP(B1782,'old-aw-skill-plan'!A:I,7,FALSE)</f>
        <v>5</v>
      </c>
      <c r="H1782" s="1" t="str">
        <f>VLOOKUP(B1782,'old-aw-skill-plan'!A:I,9,FALSE)</f>
        <v>5-8</v>
      </c>
    </row>
    <row r="1783" ht="15.75" customHeight="1">
      <c r="A1783" s="1" t="s">
        <v>75</v>
      </c>
      <c r="B1783" s="1" t="s">
        <v>115</v>
      </c>
      <c r="C1783" s="1" t="s">
        <v>11</v>
      </c>
      <c r="D1783" s="5">
        <v>45560.0</v>
      </c>
      <c r="G1783" s="1">
        <f>VLOOKUP(B1783,'old-aw-skill-plan'!A:I,7,FALSE)</f>
        <v>3</v>
      </c>
      <c r="H1783" s="1" t="str">
        <f>VLOOKUP(B1783,'old-aw-skill-plan'!A:I,9,FALSE)</f>
        <v>3-10</v>
      </c>
    </row>
    <row r="1784" ht="15.75" customHeight="1">
      <c r="A1784" s="1" t="s">
        <v>77</v>
      </c>
      <c r="B1784" s="1" t="s">
        <v>21</v>
      </c>
      <c r="C1784" s="1" t="s">
        <v>11</v>
      </c>
      <c r="D1784" s="5">
        <v>45560.0</v>
      </c>
      <c r="G1784" s="1">
        <f>VLOOKUP(B1784,'old-aw-skill-plan'!A:I,7,FALSE)</f>
        <v>4</v>
      </c>
      <c r="H1784" s="1" t="str">
        <f>VLOOKUP(B1784,'old-aw-skill-plan'!A:I,9,FALSE)</f>
        <v>4-6</v>
      </c>
    </row>
    <row r="1785" ht="15.75" customHeight="1">
      <c r="A1785" s="1" t="s">
        <v>100</v>
      </c>
      <c r="B1785" s="1" t="s">
        <v>393</v>
      </c>
      <c r="C1785" s="1" t="s">
        <v>11</v>
      </c>
      <c r="D1785" s="5">
        <v>45560.0</v>
      </c>
      <c r="G1785" s="1" t="str">
        <f>VLOOKUP(B1785,'old-aw-skill-plan'!A:I,7,FALSE)</f>
        <v>#N/A</v>
      </c>
      <c r="H1785" s="1" t="str">
        <f>VLOOKUP(B1785,'old-aw-skill-plan'!A:I,9,FALSE)</f>
        <v>#N/A</v>
      </c>
    </row>
    <row r="1786" ht="15.75" customHeight="1">
      <c r="A1786" s="1" t="s">
        <v>100</v>
      </c>
      <c r="B1786" s="1" t="s">
        <v>394</v>
      </c>
      <c r="C1786" s="1" t="s">
        <v>11</v>
      </c>
      <c r="D1786" s="5">
        <v>45560.0</v>
      </c>
      <c r="G1786" s="1" t="str">
        <f>VLOOKUP(B1786,'old-aw-skill-plan'!A:I,7,FALSE)</f>
        <v>#N/A</v>
      </c>
      <c r="H1786" s="1" t="str">
        <f>VLOOKUP(B1786,'old-aw-skill-plan'!A:I,9,FALSE)</f>
        <v>#N/A</v>
      </c>
    </row>
    <row r="1787" ht="15.75" customHeight="1">
      <c r="A1787" s="1" t="s">
        <v>100</v>
      </c>
      <c r="B1787" s="1" t="s">
        <v>389</v>
      </c>
      <c r="C1787" s="1" t="s">
        <v>11</v>
      </c>
      <c r="D1787" s="5">
        <v>45560.0</v>
      </c>
      <c r="G1787" s="1" t="str">
        <f>VLOOKUP(B1787,'old-aw-skill-plan'!A:I,7,FALSE)</f>
        <v>#N/A</v>
      </c>
      <c r="H1787" s="1" t="str">
        <f>VLOOKUP(B1787,'old-aw-skill-plan'!A:I,9,FALSE)</f>
        <v>#N/A</v>
      </c>
    </row>
    <row r="1788" ht="15.75" customHeight="1">
      <c r="A1788" s="1" t="s">
        <v>82</v>
      </c>
      <c r="B1788" s="1" t="s">
        <v>33</v>
      </c>
      <c r="C1788" s="1" t="s">
        <v>11</v>
      </c>
      <c r="D1788" s="5">
        <v>45560.0</v>
      </c>
      <c r="G1788" s="1">
        <f>VLOOKUP(B1788,'old-aw-skill-plan'!A:I,7,FALSE)</f>
        <v>3</v>
      </c>
      <c r="H1788" s="1" t="str">
        <f>VLOOKUP(B1788,'old-aw-skill-plan'!A:I,9,FALSE)</f>
        <v>3-5</v>
      </c>
    </row>
    <row r="1789" ht="15.75" customHeight="1">
      <c r="A1789" s="1" t="s">
        <v>226</v>
      </c>
      <c r="B1789" s="1" t="s">
        <v>314</v>
      </c>
      <c r="C1789" s="1" t="s">
        <v>11</v>
      </c>
      <c r="D1789" s="5">
        <v>45560.0</v>
      </c>
      <c r="G1789" s="1">
        <f>VLOOKUP(B1789,'old-aw-skill-plan'!A:I,7,FALSE)</f>
        <v>5</v>
      </c>
      <c r="H1789" s="1" t="str">
        <f>VLOOKUP(B1789,'old-aw-skill-plan'!A:I,9,FALSE)</f>
        <v>5-10</v>
      </c>
    </row>
    <row r="1790" ht="15.75" customHeight="1">
      <c r="A1790" s="1" t="s">
        <v>326</v>
      </c>
      <c r="B1790" s="1" t="s">
        <v>84</v>
      </c>
      <c r="C1790" s="1" t="s">
        <v>11</v>
      </c>
      <c r="D1790" s="5">
        <v>45560.0</v>
      </c>
      <c r="G1790" s="1">
        <f>VLOOKUP(B1790,'old-aw-skill-plan'!A:I,7,FALSE)</f>
        <v>5</v>
      </c>
      <c r="H1790" s="1" t="str">
        <f>VLOOKUP(B1790,'old-aw-skill-plan'!A:I,9,FALSE)</f>
        <v>5-7</v>
      </c>
    </row>
    <row r="1791" ht="15.75" customHeight="1">
      <c r="A1791" s="1" t="s">
        <v>365</v>
      </c>
      <c r="B1791" s="1" t="s">
        <v>19</v>
      </c>
      <c r="C1791" s="1" t="s">
        <v>11</v>
      </c>
      <c r="D1791" s="5">
        <v>45560.0</v>
      </c>
      <c r="G1791" s="1">
        <f>VLOOKUP(B1791,'old-aw-skill-plan'!A:I,7,FALSE)</f>
        <v>4</v>
      </c>
      <c r="H1791" s="1" t="str">
        <f>VLOOKUP(B1791,'old-aw-skill-plan'!A:I,9,FALSE)</f>
        <v>4-7</v>
      </c>
    </row>
    <row r="1792" ht="15.75" customHeight="1">
      <c r="A1792" s="1" t="s">
        <v>365</v>
      </c>
      <c r="B1792" s="1" t="s">
        <v>44</v>
      </c>
      <c r="C1792" s="1" t="s">
        <v>11</v>
      </c>
      <c r="D1792" s="5">
        <v>45560.0</v>
      </c>
      <c r="G1792" s="1">
        <f>VLOOKUP(B1792,'old-aw-skill-plan'!A:I,7,FALSE)</f>
        <v>5</v>
      </c>
      <c r="H1792" s="1" t="str">
        <f>VLOOKUP(B1792,'old-aw-skill-plan'!A:I,9,FALSE)</f>
        <v>5-1</v>
      </c>
    </row>
    <row r="1793" ht="15.75" customHeight="1">
      <c r="A1793" s="1" t="s">
        <v>365</v>
      </c>
      <c r="B1793" s="1" t="s">
        <v>104</v>
      </c>
      <c r="C1793" s="1" t="s">
        <v>11</v>
      </c>
      <c r="D1793" s="5">
        <v>45560.0</v>
      </c>
      <c r="G1793" s="1">
        <f>VLOOKUP(B1793,'old-aw-skill-plan'!A:I,7,FALSE)</f>
        <v>5</v>
      </c>
      <c r="H1793" s="1" t="str">
        <f>VLOOKUP(B1793,'old-aw-skill-plan'!A:I,9,FALSE)</f>
        <v>5-2</v>
      </c>
    </row>
    <row r="1794" ht="15.75" customHeight="1">
      <c r="A1794" s="1" t="s">
        <v>22</v>
      </c>
      <c r="B1794" s="1" t="s">
        <v>44</v>
      </c>
      <c r="C1794" s="1" t="s">
        <v>11</v>
      </c>
      <c r="D1794" s="5">
        <v>45559.0</v>
      </c>
      <c r="G1794" s="1">
        <f>VLOOKUP(B1794,'old-aw-skill-plan'!A:I,7,FALSE)</f>
        <v>5</v>
      </c>
      <c r="H1794" s="1" t="str">
        <f>VLOOKUP(B1794,'old-aw-skill-plan'!A:I,9,FALSE)</f>
        <v>5-1</v>
      </c>
    </row>
    <row r="1795" ht="15.75" customHeight="1">
      <c r="A1795" s="1" t="s">
        <v>35</v>
      </c>
      <c r="B1795" s="1" t="s">
        <v>351</v>
      </c>
      <c r="C1795" s="1" t="s">
        <v>11</v>
      </c>
      <c r="D1795" s="5">
        <v>45559.0</v>
      </c>
      <c r="G1795" s="1">
        <f>VLOOKUP(B1795,'old-aw-skill-plan'!A:I,7,FALSE)</f>
        <v>7</v>
      </c>
      <c r="H1795" s="1" t="str">
        <f>VLOOKUP(B1795,'old-aw-skill-plan'!A:I,9,FALSE)</f>
        <v>7-6</v>
      </c>
    </row>
    <row r="1796" ht="15.75" customHeight="1">
      <c r="A1796" s="1" t="s">
        <v>35</v>
      </c>
      <c r="B1796" s="1" t="s">
        <v>314</v>
      </c>
      <c r="C1796" s="1" t="s">
        <v>11</v>
      </c>
      <c r="D1796" s="5">
        <v>45559.0</v>
      </c>
      <c r="G1796" s="1">
        <f>VLOOKUP(B1796,'old-aw-skill-plan'!A:I,7,FALSE)</f>
        <v>5</v>
      </c>
      <c r="H1796" s="1" t="str">
        <f>VLOOKUP(B1796,'old-aw-skill-plan'!A:I,9,FALSE)</f>
        <v>5-10</v>
      </c>
    </row>
    <row r="1797" ht="15.75" customHeight="1">
      <c r="A1797" s="1" t="s">
        <v>52</v>
      </c>
      <c r="B1797" s="1" t="s">
        <v>28</v>
      </c>
      <c r="C1797" s="1" t="s">
        <v>11</v>
      </c>
      <c r="D1797" s="5">
        <v>45559.0</v>
      </c>
      <c r="G1797" s="1">
        <f>VLOOKUP(B1797,'old-aw-skill-plan'!A:I,7,FALSE)</f>
        <v>3</v>
      </c>
      <c r="H1797" s="1" t="str">
        <f>VLOOKUP(B1797,'old-aw-skill-plan'!A:I,9,FALSE)</f>
        <v>3-4</v>
      </c>
    </row>
    <row r="1798" ht="15.75" customHeight="1">
      <c r="A1798" s="1" t="s">
        <v>55</v>
      </c>
      <c r="B1798" s="1" t="s">
        <v>44</v>
      </c>
      <c r="C1798" s="1" t="s">
        <v>11</v>
      </c>
      <c r="D1798" s="5">
        <v>45559.0</v>
      </c>
      <c r="G1798" s="1">
        <f>VLOOKUP(B1798,'old-aw-skill-plan'!A:I,7,FALSE)</f>
        <v>5</v>
      </c>
      <c r="H1798" s="1" t="str">
        <f>VLOOKUP(B1798,'old-aw-skill-plan'!A:I,9,FALSE)</f>
        <v>5-1</v>
      </c>
    </row>
    <row r="1799" ht="15.75" customHeight="1">
      <c r="A1799" s="1" t="s">
        <v>39</v>
      </c>
      <c r="B1799" s="1" t="s">
        <v>23</v>
      </c>
      <c r="C1799" s="1" t="s">
        <v>11</v>
      </c>
      <c r="D1799" s="5">
        <v>45559.0</v>
      </c>
      <c r="G1799" s="1">
        <f>VLOOKUP(B1799,'old-aw-skill-plan'!A:I,7,FALSE)</f>
        <v>4</v>
      </c>
      <c r="H1799" s="1" t="str">
        <f>VLOOKUP(B1799,'old-aw-skill-plan'!A:I,9,FALSE)</f>
        <v>4-5</v>
      </c>
    </row>
    <row r="1800" ht="15.75" customHeight="1">
      <c r="A1800" s="1" t="s">
        <v>39</v>
      </c>
      <c r="B1800" s="1" t="s">
        <v>44</v>
      </c>
      <c r="C1800" s="1" t="s">
        <v>11</v>
      </c>
      <c r="D1800" s="5">
        <v>45559.0</v>
      </c>
      <c r="G1800" s="1">
        <f>VLOOKUP(B1800,'old-aw-skill-plan'!A:I,7,FALSE)</f>
        <v>5</v>
      </c>
      <c r="H1800" s="1" t="str">
        <f>VLOOKUP(B1800,'old-aw-skill-plan'!A:I,9,FALSE)</f>
        <v>5-1</v>
      </c>
    </row>
    <row r="1801" ht="15.75" customHeight="1">
      <c r="A1801" s="1" t="s">
        <v>220</v>
      </c>
      <c r="B1801" s="1" t="s">
        <v>44</v>
      </c>
      <c r="C1801" s="1" t="s">
        <v>11</v>
      </c>
      <c r="D1801" s="5">
        <v>45559.0</v>
      </c>
      <c r="G1801" s="1">
        <f>VLOOKUP(B1801,'old-aw-skill-plan'!A:I,7,FALSE)</f>
        <v>5</v>
      </c>
      <c r="H1801" s="1" t="str">
        <f>VLOOKUP(B1801,'old-aw-skill-plan'!A:I,9,FALSE)</f>
        <v>5-1</v>
      </c>
    </row>
    <row r="1802" ht="15.75" customHeight="1">
      <c r="A1802" s="1" t="s">
        <v>220</v>
      </c>
      <c r="B1802" s="1" t="s">
        <v>345</v>
      </c>
      <c r="C1802" s="1" t="s">
        <v>11</v>
      </c>
      <c r="D1802" s="5">
        <v>45559.0</v>
      </c>
      <c r="G1802" s="1">
        <f>VLOOKUP(B1802,'old-aw-skill-plan'!A:I,7,FALSE)</f>
        <v>8</v>
      </c>
      <c r="H1802" s="1" t="str">
        <f>VLOOKUP(B1802,'old-aw-skill-plan'!A:I,9,FALSE)</f>
        <v>8-3</v>
      </c>
    </row>
    <row r="1803" ht="15.75" customHeight="1">
      <c r="A1803" s="1" t="s">
        <v>220</v>
      </c>
      <c r="B1803" s="1" t="s">
        <v>359</v>
      </c>
      <c r="C1803" s="1" t="s">
        <v>11</v>
      </c>
      <c r="D1803" s="5">
        <v>45559.0</v>
      </c>
      <c r="G1803" s="1" t="str">
        <f>VLOOKUP(B1803,'old-aw-skill-plan'!A:I,7,FALSE)</f>
        <v>#N/A</v>
      </c>
      <c r="H1803" s="1" t="str">
        <f>VLOOKUP(B1803,'old-aw-skill-plan'!A:I,9,FALSE)</f>
        <v>#N/A</v>
      </c>
    </row>
    <row r="1804" ht="15.75" customHeight="1">
      <c r="A1804" s="1" t="s">
        <v>230</v>
      </c>
      <c r="B1804" s="1" t="s">
        <v>335</v>
      </c>
      <c r="C1804" s="1" t="s">
        <v>11</v>
      </c>
      <c r="D1804" s="5">
        <v>45559.0</v>
      </c>
      <c r="G1804" s="1">
        <f>VLOOKUP(B1804,'old-aw-skill-plan'!A:I,7,FALSE)</f>
        <v>6</v>
      </c>
      <c r="H1804" s="1" t="str">
        <f>VLOOKUP(B1804,'old-aw-skill-plan'!A:I,9,FALSE)</f>
        <v>6-2</v>
      </c>
    </row>
    <row r="1805" ht="15.75" customHeight="1">
      <c r="A1805" s="1" t="s">
        <v>60</v>
      </c>
      <c r="B1805" s="1" t="s">
        <v>104</v>
      </c>
      <c r="C1805" s="1" t="s">
        <v>11</v>
      </c>
      <c r="D1805" s="5">
        <v>45559.0</v>
      </c>
      <c r="G1805" s="1">
        <f>VLOOKUP(B1805,'old-aw-skill-plan'!A:I,7,FALSE)</f>
        <v>5</v>
      </c>
      <c r="H1805" s="1" t="str">
        <f>VLOOKUP(B1805,'old-aw-skill-plan'!A:I,9,FALSE)</f>
        <v>5-2</v>
      </c>
    </row>
    <row r="1806" ht="15.75" customHeight="1">
      <c r="A1806" s="1" t="s">
        <v>63</v>
      </c>
      <c r="B1806" s="1" t="s">
        <v>104</v>
      </c>
      <c r="C1806" s="1" t="s">
        <v>11</v>
      </c>
      <c r="D1806" s="5">
        <v>45559.0</v>
      </c>
      <c r="G1806" s="1">
        <f>VLOOKUP(B1806,'old-aw-skill-plan'!A:I,7,FALSE)</f>
        <v>5</v>
      </c>
      <c r="H1806" s="1" t="str">
        <f>VLOOKUP(B1806,'old-aw-skill-plan'!A:I,9,FALSE)</f>
        <v>5-2</v>
      </c>
    </row>
    <row r="1807" ht="15.75" customHeight="1">
      <c r="A1807" s="1" t="s">
        <v>183</v>
      </c>
      <c r="B1807" s="1" t="s">
        <v>130</v>
      </c>
      <c r="C1807" s="1" t="s">
        <v>11</v>
      </c>
      <c r="D1807" s="5">
        <v>45559.0</v>
      </c>
      <c r="G1807" s="1">
        <f>VLOOKUP(B1807,'old-aw-skill-plan'!A:I,7,FALSE)</f>
        <v>8</v>
      </c>
      <c r="H1807" s="1" t="str">
        <f>VLOOKUP(B1807,'old-aw-skill-plan'!A:I,9,FALSE)</f>
        <v>8-1</v>
      </c>
    </row>
    <row r="1808" ht="15.75" customHeight="1">
      <c r="A1808" s="1" t="s">
        <v>183</v>
      </c>
      <c r="B1808" s="1" t="s">
        <v>327</v>
      </c>
      <c r="C1808" s="1" t="s">
        <v>11</v>
      </c>
      <c r="D1808" s="5">
        <v>45559.0</v>
      </c>
      <c r="G1808" s="1">
        <f>VLOOKUP(B1808,'old-aw-skill-plan'!A:I,7,FALSE)</f>
        <v>8</v>
      </c>
      <c r="H1808" s="1" t="str">
        <f>VLOOKUP(B1808,'old-aw-skill-plan'!A:I,9,FALSE)</f>
        <v>8-2</v>
      </c>
    </row>
    <row r="1809" ht="15.75" customHeight="1">
      <c r="A1809" s="1" t="s">
        <v>68</v>
      </c>
      <c r="B1809" s="1" t="s">
        <v>30</v>
      </c>
      <c r="C1809" s="1" t="s">
        <v>11</v>
      </c>
      <c r="D1809" s="5">
        <v>45559.0</v>
      </c>
      <c r="G1809" s="1">
        <f>VLOOKUP(B1809,'old-aw-skill-plan'!A:I,7,FALSE)</f>
        <v>3</v>
      </c>
      <c r="H1809" s="1" t="str">
        <f>VLOOKUP(B1809,'old-aw-skill-plan'!A:I,9,FALSE)</f>
        <v>3-3</v>
      </c>
    </row>
    <row r="1810" ht="15.75" customHeight="1">
      <c r="A1810" s="1" t="s">
        <v>68</v>
      </c>
      <c r="B1810" s="1" t="s">
        <v>47</v>
      </c>
      <c r="C1810" s="1" t="s">
        <v>11</v>
      </c>
      <c r="D1810" s="5">
        <v>45559.0</v>
      </c>
      <c r="G1810" s="1">
        <f>VLOOKUP(B1810,'old-aw-skill-plan'!A:I,7,FALSE)</f>
        <v>3</v>
      </c>
      <c r="H1810" s="1" t="str">
        <f>VLOOKUP(B1810,'old-aw-skill-plan'!A:I,9,FALSE)</f>
        <v>3-2</v>
      </c>
    </row>
    <row r="1811" ht="15.75" customHeight="1">
      <c r="A1811" s="1" t="s">
        <v>214</v>
      </c>
      <c r="B1811" s="1" t="s">
        <v>85</v>
      </c>
      <c r="C1811" s="1" t="s">
        <v>11</v>
      </c>
      <c r="D1811" s="5">
        <v>45559.0</v>
      </c>
      <c r="G1811" s="1">
        <f>VLOOKUP(B1811,'old-aw-skill-plan'!A:I,7,FALSE)</f>
        <v>5</v>
      </c>
      <c r="H1811" s="1" t="str">
        <f>VLOOKUP(B1811,'old-aw-skill-plan'!A:I,9,FALSE)</f>
        <v>5-8</v>
      </c>
    </row>
    <row r="1812" ht="15.75" customHeight="1">
      <c r="A1812" s="1" t="s">
        <v>372</v>
      </c>
      <c r="B1812" s="1" t="s">
        <v>10</v>
      </c>
      <c r="C1812" s="1" t="s">
        <v>11</v>
      </c>
      <c r="D1812" s="5">
        <v>45559.0</v>
      </c>
      <c r="G1812" s="1">
        <f>VLOOKUP(B1812,'old-aw-skill-plan'!A:I,7,FALSE)</f>
        <v>3</v>
      </c>
      <c r="H1812" s="1" t="str">
        <f>VLOOKUP(B1812,'old-aw-skill-plan'!A:I,9,FALSE)</f>
        <v>3-1</v>
      </c>
    </row>
    <row r="1813" ht="15.75" customHeight="1">
      <c r="A1813" s="1" t="s">
        <v>205</v>
      </c>
      <c r="B1813" s="1" t="s">
        <v>85</v>
      </c>
      <c r="C1813" s="1" t="s">
        <v>11</v>
      </c>
      <c r="D1813" s="5">
        <v>45559.0</v>
      </c>
      <c r="G1813" s="1">
        <f>VLOOKUP(B1813,'old-aw-skill-plan'!A:I,7,FALSE)</f>
        <v>5</v>
      </c>
      <c r="H1813" s="1" t="str">
        <f>VLOOKUP(B1813,'old-aw-skill-plan'!A:I,9,FALSE)</f>
        <v>5-8</v>
      </c>
    </row>
    <row r="1814" ht="15.75" customHeight="1">
      <c r="A1814" s="1" t="s">
        <v>75</v>
      </c>
      <c r="B1814" s="1" t="s">
        <v>115</v>
      </c>
      <c r="C1814" s="1" t="s">
        <v>11</v>
      </c>
      <c r="D1814" s="5">
        <v>45559.0</v>
      </c>
      <c r="G1814" s="1">
        <f>VLOOKUP(B1814,'old-aw-skill-plan'!A:I,7,FALSE)</f>
        <v>3</v>
      </c>
      <c r="H1814" s="1" t="str">
        <f>VLOOKUP(B1814,'old-aw-skill-plan'!A:I,9,FALSE)</f>
        <v>3-10</v>
      </c>
    </row>
    <row r="1815" ht="15.75" customHeight="1">
      <c r="A1815" s="1" t="s">
        <v>77</v>
      </c>
      <c r="B1815" s="1" t="s">
        <v>61</v>
      </c>
      <c r="C1815" s="1" t="s">
        <v>11</v>
      </c>
      <c r="D1815" s="5">
        <v>45559.0</v>
      </c>
      <c r="G1815" s="1">
        <f>VLOOKUP(B1815,'old-aw-skill-plan'!A:I,7,FALSE)</f>
        <v>4</v>
      </c>
      <c r="H1815" s="1" t="str">
        <f>VLOOKUP(B1815,'old-aw-skill-plan'!A:I,9,FALSE)</f>
        <v>4-4</v>
      </c>
    </row>
    <row r="1816" ht="15.75" customHeight="1">
      <c r="A1816" s="1" t="s">
        <v>77</v>
      </c>
      <c r="B1816" s="1" t="s">
        <v>42</v>
      </c>
      <c r="C1816" s="1" t="s">
        <v>11</v>
      </c>
      <c r="D1816" s="5">
        <v>45559.0</v>
      </c>
      <c r="G1816" s="1">
        <f>VLOOKUP(B1816,'old-aw-skill-plan'!A:I,7,FALSE)</f>
        <v>4</v>
      </c>
      <c r="H1816" s="1" t="str">
        <f>VLOOKUP(B1816,'old-aw-skill-plan'!A:I,9,FALSE)</f>
        <v>4-11</v>
      </c>
    </row>
    <row r="1817" ht="15.75" customHeight="1">
      <c r="A1817" s="1" t="s">
        <v>77</v>
      </c>
      <c r="B1817" s="1" t="s">
        <v>21</v>
      </c>
      <c r="C1817" s="1" t="s">
        <v>11</v>
      </c>
      <c r="D1817" s="5">
        <v>45559.0</v>
      </c>
      <c r="G1817" s="1">
        <f>VLOOKUP(B1817,'old-aw-skill-plan'!A:I,7,FALSE)</f>
        <v>4</v>
      </c>
      <c r="H1817" s="1" t="str">
        <f>VLOOKUP(B1817,'old-aw-skill-plan'!A:I,9,FALSE)</f>
        <v>4-6</v>
      </c>
    </row>
    <row r="1818" ht="15.75" customHeight="1">
      <c r="A1818" s="1" t="s">
        <v>100</v>
      </c>
      <c r="B1818" s="1" t="s">
        <v>394</v>
      </c>
      <c r="C1818" s="1" t="s">
        <v>11</v>
      </c>
      <c r="D1818" s="5">
        <v>45559.0</v>
      </c>
      <c r="G1818" s="1" t="str">
        <f>VLOOKUP(B1818,'old-aw-skill-plan'!A:I,7,FALSE)</f>
        <v>#N/A</v>
      </c>
      <c r="H1818" s="1" t="str">
        <f>VLOOKUP(B1818,'old-aw-skill-plan'!A:I,9,FALSE)</f>
        <v>#N/A</v>
      </c>
    </row>
    <row r="1819" ht="15.75" customHeight="1">
      <c r="A1819" s="1" t="s">
        <v>100</v>
      </c>
      <c r="B1819" s="1" t="s">
        <v>381</v>
      </c>
      <c r="C1819" s="1" t="s">
        <v>11</v>
      </c>
      <c r="D1819" s="5">
        <v>45559.0</v>
      </c>
      <c r="G1819" s="1" t="str">
        <f>VLOOKUP(B1819,'old-aw-skill-plan'!A:I,7,FALSE)</f>
        <v>#N/A</v>
      </c>
      <c r="H1819" s="1" t="str">
        <f>VLOOKUP(B1819,'old-aw-skill-plan'!A:I,9,FALSE)</f>
        <v>#N/A</v>
      </c>
    </row>
    <row r="1820" ht="15.75" customHeight="1">
      <c r="A1820" s="1" t="s">
        <v>100</v>
      </c>
      <c r="B1820" s="1" t="s">
        <v>395</v>
      </c>
      <c r="C1820" s="1" t="s">
        <v>11</v>
      </c>
      <c r="D1820" s="5">
        <v>45559.0</v>
      </c>
      <c r="G1820" s="1" t="str">
        <f>VLOOKUP(B1820,'old-aw-skill-plan'!A:I,7,FALSE)</f>
        <v>#N/A</v>
      </c>
      <c r="H1820" s="1" t="str">
        <f>VLOOKUP(B1820,'old-aw-skill-plan'!A:I,9,FALSE)</f>
        <v>#N/A</v>
      </c>
    </row>
    <row r="1821" ht="15.75" customHeight="1">
      <c r="A1821" s="1" t="s">
        <v>82</v>
      </c>
      <c r="B1821" s="1" t="s">
        <v>33</v>
      </c>
      <c r="C1821" s="1" t="s">
        <v>11</v>
      </c>
      <c r="D1821" s="5">
        <v>45559.0</v>
      </c>
      <c r="G1821" s="1">
        <f>VLOOKUP(B1821,'old-aw-skill-plan'!A:I,7,FALSE)</f>
        <v>3</v>
      </c>
      <c r="H1821" s="1" t="str">
        <f>VLOOKUP(B1821,'old-aw-skill-plan'!A:I,9,FALSE)</f>
        <v>3-5</v>
      </c>
    </row>
    <row r="1822" ht="15.75" customHeight="1">
      <c r="A1822" s="1" t="s">
        <v>226</v>
      </c>
      <c r="B1822" s="1" t="s">
        <v>83</v>
      </c>
      <c r="C1822" s="1" t="s">
        <v>11</v>
      </c>
      <c r="D1822" s="5">
        <v>45559.0</v>
      </c>
      <c r="G1822" s="1">
        <f>VLOOKUP(B1822,'old-aw-skill-plan'!A:I,7,FALSE)</f>
        <v>5</v>
      </c>
      <c r="H1822" s="1" t="str">
        <f>VLOOKUP(B1822,'old-aw-skill-plan'!A:I,9,FALSE)</f>
        <v>5-9</v>
      </c>
    </row>
    <row r="1823" ht="15.75" customHeight="1">
      <c r="A1823" s="1" t="s">
        <v>326</v>
      </c>
      <c r="B1823" s="1" t="s">
        <v>84</v>
      </c>
      <c r="C1823" s="1" t="s">
        <v>11</v>
      </c>
      <c r="D1823" s="5">
        <v>45559.0</v>
      </c>
      <c r="G1823" s="1">
        <f>VLOOKUP(B1823,'old-aw-skill-plan'!A:I,7,FALSE)</f>
        <v>5</v>
      </c>
      <c r="H1823" s="1" t="str">
        <f>VLOOKUP(B1823,'old-aw-skill-plan'!A:I,9,FALSE)</f>
        <v>5-7</v>
      </c>
    </row>
    <row r="1824" ht="15.75" customHeight="1">
      <c r="A1824" s="1" t="s">
        <v>326</v>
      </c>
      <c r="B1824" s="1" t="s">
        <v>87</v>
      </c>
      <c r="C1824" s="1" t="s">
        <v>11</v>
      </c>
      <c r="D1824" s="5">
        <v>45559.0</v>
      </c>
      <c r="G1824" s="1">
        <f>VLOOKUP(B1824,'old-aw-skill-plan'!A:I,7,FALSE)</f>
        <v>5</v>
      </c>
      <c r="H1824" s="1" t="str">
        <f>VLOOKUP(B1824,'old-aw-skill-plan'!A:I,9,FALSE)</f>
        <v>5-6</v>
      </c>
    </row>
    <row r="1825" ht="15.75" customHeight="1">
      <c r="A1825" s="1" t="s">
        <v>365</v>
      </c>
      <c r="B1825" s="1" t="s">
        <v>19</v>
      </c>
      <c r="C1825" s="1" t="s">
        <v>11</v>
      </c>
      <c r="D1825" s="5">
        <v>45559.0</v>
      </c>
      <c r="G1825" s="1">
        <f>VLOOKUP(B1825,'old-aw-skill-plan'!A:I,7,FALSE)</f>
        <v>4</v>
      </c>
      <c r="H1825" s="1" t="str">
        <f>VLOOKUP(B1825,'old-aw-skill-plan'!A:I,9,FALSE)</f>
        <v>4-7</v>
      </c>
    </row>
    <row r="1826" ht="15.75" customHeight="1">
      <c r="A1826" s="1" t="s">
        <v>365</v>
      </c>
      <c r="B1826" s="1" t="s">
        <v>44</v>
      </c>
      <c r="C1826" s="1" t="s">
        <v>11</v>
      </c>
      <c r="D1826" s="5">
        <v>45559.0</v>
      </c>
      <c r="G1826" s="1">
        <f>VLOOKUP(B1826,'old-aw-skill-plan'!A:I,7,FALSE)</f>
        <v>5</v>
      </c>
      <c r="H1826" s="1" t="str">
        <f>VLOOKUP(B1826,'old-aw-skill-plan'!A:I,9,FALSE)</f>
        <v>5-1</v>
      </c>
    </row>
    <row r="1827" ht="15.75" customHeight="1">
      <c r="A1827" s="1" t="s">
        <v>22</v>
      </c>
      <c r="B1827" s="1" t="s">
        <v>44</v>
      </c>
      <c r="C1827" s="1" t="s">
        <v>11</v>
      </c>
      <c r="D1827" s="5">
        <v>45558.0</v>
      </c>
      <c r="G1827" s="1">
        <f>VLOOKUP(B1827,'old-aw-skill-plan'!A:I,7,FALSE)</f>
        <v>5</v>
      </c>
      <c r="H1827" s="1" t="str">
        <f>VLOOKUP(B1827,'old-aw-skill-plan'!A:I,9,FALSE)</f>
        <v>5-1</v>
      </c>
    </row>
    <row r="1828" ht="15.75" customHeight="1">
      <c r="A1828" s="1" t="s">
        <v>20</v>
      </c>
      <c r="B1828" s="1" t="s">
        <v>34</v>
      </c>
      <c r="C1828" s="1" t="s">
        <v>11</v>
      </c>
      <c r="D1828" s="5">
        <v>45558.0</v>
      </c>
      <c r="G1828" s="1">
        <f>VLOOKUP(B1828,'old-aw-skill-plan'!A:I,7,FALSE)</f>
        <v>4</v>
      </c>
      <c r="H1828" s="1" t="str">
        <f>VLOOKUP(B1828,'old-aw-skill-plan'!A:I,9,FALSE)</f>
        <v>4-1</v>
      </c>
    </row>
    <row r="1829" ht="15.75" customHeight="1">
      <c r="A1829" s="1" t="s">
        <v>207</v>
      </c>
      <c r="B1829" s="1" t="s">
        <v>84</v>
      </c>
      <c r="C1829" s="1" t="s">
        <v>11</v>
      </c>
      <c r="D1829" s="5">
        <v>45558.0</v>
      </c>
      <c r="G1829" s="1">
        <f>VLOOKUP(B1829,'old-aw-skill-plan'!A:I,7,FALSE)</f>
        <v>5</v>
      </c>
      <c r="H1829" s="1" t="str">
        <f>VLOOKUP(B1829,'old-aw-skill-plan'!A:I,9,FALSE)</f>
        <v>5-7</v>
      </c>
    </row>
    <row r="1830" ht="15.75" customHeight="1">
      <c r="A1830" s="1" t="s">
        <v>207</v>
      </c>
      <c r="B1830" s="1" t="s">
        <v>85</v>
      </c>
      <c r="C1830" s="1" t="s">
        <v>11</v>
      </c>
      <c r="D1830" s="5">
        <v>45558.0</v>
      </c>
      <c r="G1830" s="1">
        <f>VLOOKUP(B1830,'old-aw-skill-plan'!A:I,7,FALSE)</f>
        <v>5</v>
      </c>
      <c r="H1830" s="1" t="str">
        <f>VLOOKUP(B1830,'old-aw-skill-plan'!A:I,9,FALSE)</f>
        <v>5-8</v>
      </c>
    </row>
    <row r="1831" ht="15.75" customHeight="1">
      <c r="A1831" s="1" t="s">
        <v>207</v>
      </c>
      <c r="B1831" s="1" t="s">
        <v>87</v>
      </c>
      <c r="C1831" s="1" t="s">
        <v>11</v>
      </c>
      <c r="D1831" s="5">
        <v>45558.0</v>
      </c>
      <c r="G1831" s="1">
        <f>VLOOKUP(B1831,'old-aw-skill-plan'!A:I,7,FALSE)</f>
        <v>5</v>
      </c>
      <c r="H1831" s="1" t="str">
        <f>VLOOKUP(B1831,'old-aw-skill-plan'!A:I,9,FALSE)</f>
        <v>5-6</v>
      </c>
    </row>
    <row r="1832" ht="15.75" customHeight="1">
      <c r="A1832" s="1" t="s">
        <v>207</v>
      </c>
      <c r="B1832" s="1" t="s">
        <v>88</v>
      </c>
      <c r="C1832" s="1" t="s">
        <v>11</v>
      </c>
      <c r="D1832" s="5">
        <v>45558.0</v>
      </c>
      <c r="G1832" s="1">
        <f>VLOOKUP(B1832,'old-aw-skill-plan'!A:I,7,FALSE)</f>
        <v>5</v>
      </c>
      <c r="H1832" s="1" t="str">
        <f>VLOOKUP(B1832,'old-aw-skill-plan'!A:I,9,FALSE)</f>
        <v>5-5</v>
      </c>
    </row>
    <row r="1833" ht="15.75" customHeight="1">
      <c r="A1833" s="1" t="s">
        <v>52</v>
      </c>
      <c r="B1833" s="1" t="s">
        <v>28</v>
      </c>
      <c r="C1833" s="1" t="s">
        <v>11</v>
      </c>
      <c r="D1833" s="5">
        <v>45558.0</v>
      </c>
      <c r="G1833" s="1">
        <f>VLOOKUP(B1833,'old-aw-skill-plan'!A:I,7,FALSE)</f>
        <v>3</v>
      </c>
      <c r="H1833" s="1" t="str">
        <f>VLOOKUP(B1833,'old-aw-skill-plan'!A:I,9,FALSE)</f>
        <v>3-4</v>
      </c>
    </row>
    <row r="1834" ht="15.75" customHeight="1">
      <c r="A1834" s="1" t="s">
        <v>63</v>
      </c>
      <c r="B1834" s="1" t="s">
        <v>104</v>
      </c>
      <c r="C1834" s="1" t="s">
        <v>11</v>
      </c>
      <c r="D1834" s="5">
        <v>45558.0</v>
      </c>
      <c r="G1834" s="1">
        <f>VLOOKUP(B1834,'old-aw-skill-plan'!A:I,7,FALSE)</f>
        <v>5</v>
      </c>
      <c r="H1834" s="1" t="str">
        <f>VLOOKUP(B1834,'old-aw-skill-plan'!A:I,9,FALSE)</f>
        <v>5-2</v>
      </c>
    </row>
    <row r="1835" ht="15.75" customHeight="1">
      <c r="A1835" s="1" t="s">
        <v>183</v>
      </c>
      <c r="B1835" s="1" t="s">
        <v>314</v>
      </c>
      <c r="C1835" s="1" t="s">
        <v>11</v>
      </c>
      <c r="D1835" s="5">
        <v>45558.0</v>
      </c>
      <c r="G1835" s="1">
        <f>VLOOKUP(B1835,'old-aw-skill-plan'!A:I,7,FALSE)</f>
        <v>5</v>
      </c>
      <c r="H1835" s="1" t="str">
        <f>VLOOKUP(B1835,'old-aw-skill-plan'!A:I,9,FALSE)</f>
        <v>5-10</v>
      </c>
    </row>
    <row r="1836" ht="15.75" customHeight="1">
      <c r="A1836" s="1" t="s">
        <v>68</v>
      </c>
      <c r="B1836" s="1" t="s">
        <v>47</v>
      </c>
      <c r="C1836" s="1" t="s">
        <v>11</v>
      </c>
      <c r="D1836" s="5">
        <v>45558.0</v>
      </c>
      <c r="G1836" s="1">
        <f>VLOOKUP(B1836,'old-aw-skill-plan'!A:I,7,FALSE)</f>
        <v>3</v>
      </c>
      <c r="H1836" s="1" t="str">
        <f>VLOOKUP(B1836,'old-aw-skill-plan'!A:I,9,FALSE)</f>
        <v>3-2</v>
      </c>
    </row>
    <row r="1837" ht="15.75" customHeight="1">
      <c r="A1837" s="1" t="s">
        <v>214</v>
      </c>
      <c r="B1837" s="1" t="s">
        <v>84</v>
      </c>
      <c r="C1837" s="1" t="s">
        <v>11</v>
      </c>
      <c r="D1837" s="5">
        <v>45558.0</v>
      </c>
      <c r="G1837" s="1">
        <f>VLOOKUP(B1837,'old-aw-skill-plan'!A:I,7,FALSE)</f>
        <v>5</v>
      </c>
      <c r="H1837" s="1" t="str">
        <f>VLOOKUP(B1837,'old-aw-skill-plan'!A:I,9,FALSE)</f>
        <v>5-7</v>
      </c>
    </row>
    <row r="1838" ht="15.75" customHeight="1">
      <c r="A1838" s="1" t="s">
        <v>197</v>
      </c>
      <c r="B1838" s="1" t="s">
        <v>314</v>
      </c>
      <c r="C1838" s="1" t="s">
        <v>11</v>
      </c>
      <c r="D1838" s="5">
        <v>45558.0</v>
      </c>
      <c r="G1838" s="1">
        <f>VLOOKUP(B1838,'old-aw-skill-plan'!A:I,7,FALSE)</f>
        <v>5</v>
      </c>
      <c r="H1838" s="1" t="str">
        <f>VLOOKUP(B1838,'old-aw-skill-plan'!A:I,9,FALSE)</f>
        <v>5-10</v>
      </c>
    </row>
    <row r="1839" ht="15.75" customHeight="1">
      <c r="A1839" s="1" t="s">
        <v>205</v>
      </c>
      <c r="B1839" s="1" t="s">
        <v>84</v>
      </c>
      <c r="C1839" s="1" t="s">
        <v>11</v>
      </c>
      <c r="D1839" s="5">
        <v>45558.0</v>
      </c>
      <c r="G1839" s="1">
        <f>VLOOKUP(B1839,'old-aw-skill-plan'!A:I,7,FALSE)</f>
        <v>5</v>
      </c>
      <c r="H1839" s="1" t="str">
        <f>VLOOKUP(B1839,'old-aw-skill-plan'!A:I,9,FALSE)</f>
        <v>5-7</v>
      </c>
    </row>
    <row r="1840" ht="15.75" customHeight="1">
      <c r="A1840" s="1" t="s">
        <v>205</v>
      </c>
      <c r="B1840" s="1" t="s">
        <v>85</v>
      </c>
      <c r="C1840" s="1" t="s">
        <v>11</v>
      </c>
      <c r="D1840" s="5">
        <v>45558.0</v>
      </c>
      <c r="G1840" s="1">
        <f>VLOOKUP(B1840,'old-aw-skill-plan'!A:I,7,FALSE)</f>
        <v>5</v>
      </c>
      <c r="H1840" s="1" t="str">
        <f>VLOOKUP(B1840,'old-aw-skill-plan'!A:I,9,FALSE)</f>
        <v>5-8</v>
      </c>
    </row>
    <row r="1841" ht="15.75" customHeight="1">
      <c r="A1841" s="1" t="s">
        <v>75</v>
      </c>
      <c r="B1841" s="1" t="s">
        <v>115</v>
      </c>
      <c r="C1841" s="1" t="s">
        <v>11</v>
      </c>
      <c r="D1841" s="5">
        <v>45558.0</v>
      </c>
      <c r="G1841" s="1">
        <f>VLOOKUP(B1841,'old-aw-skill-plan'!A:I,7,FALSE)</f>
        <v>3</v>
      </c>
      <c r="H1841" s="1" t="str">
        <f>VLOOKUP(B1841,'old-aw-skill-plan'!A:I,9,FALSE)</f>
        <v>3-10</v>
      </c>
    </row>
    <row r="1842" ht="15.75" customHeight="1">
      <c r="A1842" s="1" t="s">
        <v>100</v>
      </c>
      <c r="B1842" s="1" t="s">
        <v>396</v>
      </c>
      <c r="C1842" s="1" t="s">
        <v>11</v>
      </c>
      <c r="D1842" s="5">
        <v>45558.0</v>
      </c>
      <c r="G1842" s="1" t="str">
        <f>VLOOKUP(B1842,'old-aw-skill-plan'!A:I,7,FALSE)</f>
        <v>#N/A</v>
      </c>
      <c r="H1842" s="1" t="str">
        <f>VLOOKUP(B1842,'old-aw-skill-plan'!A:I,9,FALSE)</f>
        <v>#N/A</v>
      </c>
    </row>
    <row r="1843" ht="15.75" customHeight="1">
      <c r="A1843" s="1" t="s">
        <v>100</v>
      </c>
      <c r="B1843" s="1" t="s">
        <v>336</v>
      </c>
      <c r="C1843" s="1" t="s">
        <v>11</v>
      </c>
      <c r="D1843" s="5">
        <v>45558.0</v>
      </c>
      <c r="G1843" s="1" t="str">
        <f>VLOOKUP(B1843,'old-aw-skill-plan'!A:I,7,FALSE)</f>
        <v>#N/A</v>
      </c>
      <c r="H1843" s="1" t="str">
        <f>VLOOKUP(B1843,'old-aw-skill-plan'!A:I,9,FALSE)</f>
        <v>#N/A</v>
      </c>
    </row>
    <row r="1844" ht="15.75" customHeight="1">
      <c r="A1844" s="1" t="s">
        <v>82</v>
      </c>
      <c r="B1844" s="1" t="s">
        <v>28</v>
      </c>
      <c r="C1844" s="1" t="s">
        <v>11</v>
      </c>
      <c r="D1844" s="5">
        <v>45558.0</v>
      </c>
      <c r="G1844" s="1">
        <f>VLOOKUP(B1844,'old-aw-skill-plan'!A:I,7,FALSE)</f>
        <v>3</v>
      </c>
      <c r="H1844" s="1" t="str">
        <f>VLOOKUP(B1844,'old-aw-skill-plan'!A:I,9,FALSE)</f>
        <v>3-4</v>
      </c>
    </row>
    <row r="1845" ht="15.75" customHeight="1">
      <c r="A1845" s="1" t="s">
        <v>226</v>
      </c>
      <c r="B1845" s="1" t="s">
        <v>85</v>
      </c>
      <c r="C1845" s="1" t="s">
        <v>11</v>
      </c>
      <c r="D1845" s="5">
        <v>45558.0</v>
      </c>
      <c r="G1845" s="1">
        <f>VLOOKUP(B1845,'old-aw-skill-plan'!A:I,7,FALSE)</f>
        <v>5</v>
      </c>
      <c r="H1845" s="1" t="str">
        <f>VLOOKUP(B1845,'old-aw-skill-plan'!A:I,9,FALSE)</f>
        <v>5-8</v>
      </c>
    </row>
    <row r="1846" ht="15.75" customHeight="1">
      <c r="A1846" s="1" t="s">
        <v>326</v>
      </c>
      <c r="B1846" s="1" t="s">
        <v>87</v>
      </c>
      <c r="C1846" s="1" t="s">
        <v>11</v>
      </c>
      <c r="D1846" s="5">
        <v>45558.0</v>
      </c>
      <c r="G1846" s="1">
        <f>VLOOKUP(B1846,'old-aw-skill-plan'!A:I,7,FALSE)</f>
        <v>5</v>
      </c>
      <c r="H1846" s="1" t="str">
        <f>VLOOKUP(B1846,'old-aw-skill-plan'!A:I,9,FALSE)</f>
        <v>5-6</v>
      </c>
    </row>
    <row r="1847" ht="15.75" customHeight="1">
      <c r="A1847" s="1" t="s">
        <v>24</v>
      </c>
      <c r="B1847" s="1" t="s">
        <v>314</v>
      </c>
      <c r="C1847" s="1" t="s">
        <v>11</v>
      </c>
      <c r="D1847" s="5">
        <v>45557.0</v>
      </c>
      <c r="G1847" s="1">
        <f>VLOOKUP(B1847,'old-aw-skill-plan'!A:I,7,FALSE)</f>
        <v>5</v>
      </c>
      <c r="H1847" s="1" t="str">
        <f>VLOOKUP(B1847,'old-aw-skill-plan'!A:I,9,FALSE)</f>
        <v>5-10</v>
      </c>
    </row>
    <row r="1848" ht="15.75" customHeight="1">
      <c r="A1848" s="1" t="s">
        <v>24</v>
      </c>
      <c r="B1848" s="1" t="s">
        <v>83</v>
      </c>
      <c r="C1848" s="1" t="s">
        <v>11</v>
      </c>
      <c r="D1848" s="5">
        <v>45557.0</v>
      </c>
      <c r="G1848" s="1">
        <f>VLOOKUP(B1848,'old-aw-skill-plan'!A:I,7,FALSE)</f>
        <v>5</v>
      </c>
      <c r="H1848" s="1" t="str">
        <f>VLOOKUP(B1848,'old-aw-skill-plan'!A:I,9,FALSE)</f>
        <v>5-9</v>
      </c>
    </row>
    <row r="1849" ht="15.75" customHeight="1">
      <c r="A1849" s="1" t="s">
        <v>24</v>
      </c>
      <c r="B1849" s="1" t="s">
        <v>104</v>
      </c>
      <c r="C1849" s="1" t="s">
        <v>11</v>
      </c>
      <c r="D1849" s="5">
        <v>45557.0</v>
      </c>
      <c r="G1849" s="1">
        <f>VLOOKUP(B1849,'old-aw-skill-plan'!A:I,7,FALSE)</f>
        <v>5</v>
      </c>
      <c r="H1849" s="1" t="str">
        <f>VLOOKUP(B1849,'old-aw-skill-plan'!A:I,9,FALSE)</f>
        <v>5-2</v>
      </c>
    </row>
    <row r="1850" ht="15.75" customHeight="1">
      <c r="A1850" s="1" t="s">
        <v>214</v>
      </c>
      <c r="B1850" s="1" t="s">
        <v>87</v>
      </c>
      <c r="C1850" s="1" t="s">
        <v>11</v>
      </c>
      <c r="D1850" s="5">
        <v>45557.0</v>
      </c>
      <c r="G1850" s="1">
        <f>VLOOKUP(B1850,'old-aw-skill-plan'!A:I,7,FALSE)</f>
        <v>5</v>
      </c>
      <c r="H1850" s="1" t="str">
        <f>VLOOKUP(B1850,'old-aw-skill-plan'!A:I,9,FALSE)</f>
        <v>5-6</v>
      </c>
    </row>
    <row r="1851" ht="15.75" customHeight="1">
      <c r="A1851" s="1" t="s">
        <v>226</v>
      </c>
      <c r="B1851" s="1" t="s">
        <v>85</v>
      </c>
      <c r="C1851" s="1" t="s">
        <v>11</v>
      </c>
      <c r="D1851" s="5">
        <v>45557.0</v>
      </c>
      <c r="G1851" s="1">
        <f>VLOOKUP(B1851,'old-aw-skill-plan'!A:I,7,FALSE)</f>
        <v>5</v>
      </c>
      <c r="H1851" s="1" t="str">
        <f>VLOOKUP(B1851,'old-aw-skill-plan'!A:I,9,FALSE)</f>
        <v>5-8</v>
      </c>
    </row>
    <row r="1852" ht="15.75" customHeight="1">
      <c r="A1852" s="1" t="s">
        <v>35</v>
      </c>
      <c r="B1852" s="1" t="s">
        <v>353</v>
      </c>
      <c r="C1852" s="1" t="s">
        <v>11</v>
      </c>
      <c r="D1852" s="5">
        <v>45556.0</v>
      </c>
      <c r="G1852" s="1">
        <f>VLOOKUP(B1852,'old-aw-skill-plan'!A:I,7,FALSE)</f>
        <v>7</v>
      </c>
      <c r="H1852" s="1" t="str">
        <f>VLOOKUP(B1852,'old-aw-skill-plan'!A:I,9,FALSE)</f>
        <v>7-6</v>
      </c>
    </row>
    <row r="1853" ht="15.75" customHeight="1">
      <c r="A1853" s="1" t="s">
        <v>35</v>
      </c>
      <c r="B1853" s="1" t="s">
        <v>314</v>
      </c>
      <c r="C1853" s="1" t="s">
        <v>11</v>
      </c>
      <c r="D1853" s="5">
        <v>45556.0</v>
      </c>
      <c r="G1853" s="1">
        <f>VLOOKUP(B1853,'old-aw-skill-plan'!A:I,7,FALSE)</f>
        <v>5</v>
      </c>
      <c r="H1853" s="1" t="str">
        <f>VLOOKUP(B1853,'old-aw-skill-plan'!A:I,9,FALSE)</f>
        <v>5-10</v>
      </c>
    </row>
    <row r="1854" ht="15.75" customHeight="1">
      <c r="A1854" s="1" t="s">
        <v>24</v>
      </c>
      <c r="B1854" s="1" t="s">
        <v>83</v>
      </c>
      <c r="C1854" s="1" t="s">
        <v>11</v>
      </c>
      <c r="D1854" s="5">
        <v>45556.0</v>
      </c>
      <c r="G1854" s="1">
        <f>VLOOKUP(B1854,'old-aw-skill-plan'!A:I,7,FALSE)</f>
        <v>5</v>
      </c>
      <c r="H1854" s="1" t="str">
        <f>VLOOKUP(B1854,'old-aw-skill-plan'!A:I,9,FALSE)</f>
        <v>5-9</v>
      </c>
    </row>
    <row r="1855" ht="15.75" customHeight="1">
      <c r="A1855" s="1" t="s">
        <v>24</v>
      </c>
      <c r="B1855" s="1" t="s">
        <v>85</v>
      </c>
      <c r="C1855" s="1" t="s">
        <v>11</v>
      </c>
      <c r="D1855" s="5">
        <v>45556.0</v>
      </c>
      <c r="G1855" s="1">
        <f>VLOOKUP(B1855,'old-aw-skill-plan'!A:I,7,FALSE)</f>
        <v>5</v>
      </c>
      <c r="H1855" s="1" t="str">
        <f>VLOOKUP(B1855,'old-aw-skill-plan'!A:I,9,FALSE)</f>
        <v>5-8</v>
      </c>
    </row>
    <row r="1856" ht="15.75" customHeight="1">
      <c r="A1856" s="1" t="s">
        <v>214</v>
      </c>
      <c r="B1856" s="1" t="s">
        <v>88</v>
      </c>
      <c r="C1856" s="1" t="s">
        <v>11</v>
      </c>
      <c r="D1856" s="5">
        <v>45556.0</v>
      </c>
      <c r="G1856" s="1">
        <f>VLOOKUP(B1856,'old-aw-skill-plan'!A:I,7,FALSE)</f>
        <v>5</v>
      </c>
      <c r="H1856" s="1" t="str">
        <f>VLOOKUP(B1856,'old-aw-skill-plan'!A:I,9,FALSE)</f>
        <v>5-5</v>
      </c>
    </row>
    <row r="1857" ht="15.75" customHeight="1">
      <c r="A1857" s="1" t="s">
        <v>22</v>
      </c>
      <c r="B1857" s="1" t="s">
        <v>44</v>
      </c>
      <c r="C1857" s="1" t="s">
        <v>11</v>
      </c>
      <c r="D1857" s="5">
        <v>45555.0</v>
      </c>
      <c r="G1857" s="1">
        <f>VLOOKUP(B1857,'old-aw-skill-plan'!A:I,7,FALSE)</f>
        <v>5</v>
      </c>
      <c r="H1857" s="1" t="str">
        <f>VLOOKUP(B1857,'old-aw-skill-plan'!A:I,9,FALSE)</f>
        <v>5-1</v>
      </c>
    </row>
    <row r="1858" ht="15.75" customHeight="1">
      <c r="A1858" s="1" t="s">
        <v>24</v>
      </c>
      <c r="B1858" s="1" t="s">
        <v>85</v>
      </c>
      <c r="C1858" s="1" t="s">
        <v>11</v>
      </c>
      <c r="D1858" s="5">
        <v>45555.0</v>
      </c>
      <c r="G1858" s="1">
        <f>VLOOKUP(B1858,'old-aw-skill-plan'!A:I,7,FALSE)</f>
        <v>5</v>
      </c>
      <c r="H1858" s="1" t="str">
        <f>VLOOKUP(B1858,'old-aw-skill-plan'!A:I,9,FALSE)</f>
        <v>5-8</v>
      </c>
    </row>
    <row r="1859" ht="15.75" customHeight="1">
      <c r="A1859" s="1" t="s">
        <v>207</v>
      </c>
      <c r="B1859" s="1" t="s">
        <v>88</v>
      </c>
      <c r="C1859" s="1" t="s">
        <v>11</v>
      </c>
      <c r="D1859" s="5">
        <v>45555.0</v>
      </c>
      <c r="G1859" s="1">
        <f>VLOOKUP(B1859,'old-aw-skill-plan'!A:I,7,FALSE)</f>
        <v>5</v>
      </c>
      <c r="H1859" s="1" t="str">
        <f>VLOOKUP(B1859,'old-aw-skill-plan'!A:I,9,FALSE)</f>
        <v>5-5</v>
      </c>
    </row>
    <row r="1860" ht="15.75" customHeight="1">
      <c r="A1860" s="1" t="s">
        <v>199</v>
      </c>
      <c r="B1860" s="1" t="s">
        <v>66</v>
      </c>
      <c r="C1860" s="1" t="s">
        <v>11</v>
      </c>
      <c r="D1860" s="5">
        <v>45555.0</v>
      </c>
      <c r="G1860" s="1">
        <f>VLOOKUP(B1860,'old-aw-skill-plan'!A:I,7,FALSE)</f>
        <v>4</v>
      </c>
      <c r="H1860" s="1" t="str">
        <f>VLOOKUP(B1860,'old-aw-skill-plan'!A:I,9,FALSE)</f>
        <v>4-9</v>
      </c>
    </row>
    <row r="1861" ht="15.75" customHeight="1">
      <c r="A1861" s="1" t="s">
        <v>199</v>
      </c>
      <c r="B1861" s="1" t="s">
        <v>79</v>
      </c>
      <c r="C1861" s="1" t="s">
        <v>11</v>
      </c>
      <c r="D1861" s="5">
        <v>45555.0</v>
      </c>
      <c r="G1861" s="1">
        <f>VLOOKUP(B1861,'old-aw-skill-plan'!A:I,7,FALSE)</f>
        <v>4</v>
      </c>
      <c r="H1861" s="1" t="str">
        <f>VLOOKUP(B1861,'old-aw-skill-plan'!A:I,9,FALSE)</f>
        <v>4-8</v>
      </c>
    </row>
    <row r="1862" ht="15.75" customHeight="1">
      <c r="A1862" s="1" t="s">
        <v>196</v>
      </c>
      <c r="B1862" s="1" t="s">
        <v>28</v>
      </c>
      <c r="C1862" s="1" t="s">
        <v>11</v>
      </c>
      <c r="D1862" s="5">
        <v>45555.0</v>
      </c>
      <c r="G1862" s="1">
        <f>VLOOKUP(B1862,'old-aw-skill-plan'!A:I,7,FALSE)</f>
        <v>3</v>
      </c>
      <c r="H1862" s="1" t="str">
        <f>VLOOKUP(B1862,'old-aw-skill-plan'!A:I,9,FALSE)</f>
        <v>3-4</v>
      </c>
    </row>
    <row r="1863" ht="15.75" customHeight="1">
      <c r="A1863" s="1" t="s">
        <v>231</v>
      </c>
      <c r="B1863" s="1" t="s">
        <v>83</v>
      </c>
      <c r="C1863" s="1" t="s">
        <v>11</v>
      </c>
      <c r="D1863" s="5">
        <v>45555.0</v>
      </c>
      <c r="G1863" s="1">
        <f>VLOOKUP(B1863,'old-aw-skill-plan'!A:I,7,FALSE)</f>
        <v>5</v>
      </c>
      <c r="H1863" s="1" t="str">
        <f>VLOOKUP(B1863,'old-aw-skill-plan'!A:I,9,FALSE)</f>
        <v>5-9</v>
      </c>
    </row>
    <row r="1864" ht="15.75" customHeight="1">
      <c r="A1864" s="1" t="s">
        <v>179</v>
      </c>
      <c r="B1864" s="1" t="s">
        <v>44</v>
      </c>
      <c r="C1864" s="1" t="s">
        <v>11</v>
      </c>
      <c r="D1864" s="5">
        <v>45555.0</v>
      </c>
      <c r="G1864" s="1">
        <f>VLOOKUP(B1864,'old-aw-skill-plan'!A:I,7,FALSE)</f>
        <v>5</v>
      </c>
      <c r="H1864" s="1" t="str">
        <f>VLOOKUP(B1864,'old-aw-skill-plan'!A:I,9,FALSE)</f>
        <v>5-1</v>
      </c>
    </row>
    <row r="1865" ht="15.75" customHeight="1">
      <c r="A1865" s="1" t="s">
        <v>63</v>
      </c>
      <c r="B1865" s="1" t="s">
        <v>104</v>
      </c>
      <c r="C1865" s="1" t="s">
        <v>11</v>
      </c>
      <c r="D1865" s="5">
        <v>45555.0</v>
      </c>
      <c r="G1865" s="1">
        <f>VLOOKUP(B1865,'old-aw-skill-plan'!A:I,7,FALSE)</f>
        <v>5</v>
      </c>
      <c r="H1865" s="1" t="str">
        <f>VLOOKUP(B1865,'old-aw-skill-plan'!A:I,9,FALSE)</f>
        <v>5-2</v>
      </c>
    </row>
    <row r="1866" ht="15.75" customHeight="1">
      <c r="A1866" s="1" t="s">
        <v>181</v>
      </c>
      <c r="B1866" s="1" t="s">
        <v>25</v>
      </c>
      <c r="C1866" s="1" t="s">
        <v>11</v>
      </c>
      <c r="D1866" s="5">
        <v>45555.0</v>
      </c>
      <c r="G1866" s="1">
        <f>VLOOKUP(B1866,'old-aw-skill-plan'!A:I,7,FALSE)</f>
        <v>5</v>
      </c>
      <c r="H1866" s="1" t="str">
        <f>VLOOKUP(B1866,'old-aw-skill-plan'!A:I,9,FALSE)</f>
        <v>5-4</v>
      </c>
    </row>
    <row r="1867" ht="15.75" customHeight="1">
      <c r="A1867" s="1" t="s">
        <v>75</v>
      </c>
      <c r="B1867" s="1" t="s">
        <v>115</v>
      </c>
      <c r="C1867" s="1" t="s">
        <v>11</v>
      </c>
      <c r="D1867" s="5">
        <v>45555.0</v>
      </c>
      <c r="G1867" s="1">
        <f>VLOOKUP(B1867,'old-aw-skill-plan'!A:I,7,FALSE)</f>
        <v>3</v>
      </c>
      <c r="H1867" s="1" t="str">
        <f>VLOOKUP(B1867,'old-aw-skill-plan'!A:I,9,FALSE)</f>
        <v>3-10</v>
      </c>
    </row>
    <row r="1868" ht="15.75" customHeight="1">
      <c r="A1868" s="1" t="s">
        <v>100</v>
      </c>
      <c r="B1868" s="1" t="s">
        <v>397</v>
      </c>
      <c r="C1868" s="1" t="s">
        <v>11</v>
      </c>
      <c r="D1868" s="5">
        <v>45555.0</v>
      </c>
      <c r="G1868" s="1" t="str">
        <f>VLOOKUP(B1868,'old-aw-skill-plan'!A:I,7,FALSE)</f>
        <v>#N/A</v>
      </c>
      <c r="H1868" s="1" t="str">
        <f>VLOOKUP(B1868,'old-aw-skill-plan'!A:I,9,FALSE)</f>
        <v>#N/A</v>
      </c>
    </row>
    <row r="1869" ht="15.75" customHeight="1">
      <c r="A1869" s="1" t="s">
        <v>100</v>
      </c>
      <c r="B1869" s="1" t="s">
        <v>398</v>
      </c>
      <c r="C1869" s="1" t="s">
        <v>11</v>
      </c>
      <c r="D1869" s="5">
        <v>45555.0</v>
      </c>
      <c r="G1869" s="1" t="str">
        <f>VLOOKUP(B1869,'old-aw-skill-plan'!A:I,7,FALSE)</f>
        <v>#N/A</v>
      </c>
      <c r="H1869" s="1" t="str">
        <f>VLOOKUP(B1869,'old-aw-skill-plan'!A:I,9,FALSE)</f>
        <v>#N/A</v>
      </c>
    </row>
    <row r="1870" ht="15.75" customHeight="1">
      <c r="A1870" s="1" t="s">
        <v>100</v>
      </c>
      <c r="B1870" s="1" t="s">
        <v>336</v>
      </c>
      <c r="C1870" s="1" t="s">
        <v>11</v>
      </c>
      <c r="D1870" s="5">
        <v>45555.0</v>
      </c>
      <c r="G1870" s="1" t="str">
        <f>VLOOKUP(B1870,'old-aw-skill-plan'!A:I,7,FALSE)</f>
        <v>#N/A</v>
      </c>
      <c r="H1870" s="1" t="str">
        <f>VLOOKUP(B1870,'old-aw-skill-plan'!A:I,9,FALSE)</f>
        <v>#N/A</v>
      </c>
    </row>
    <row r="1871" ht="15.75" customHeight="1">
      <c r="A1871" s="1" t="s">
        <v>226</v>
      </c>
      <c r="B1871" s="1" t="s">
        <v>85</v>
      </c>
      <c r="C1871" s="1" t="s">
        <v>11</v>
      </c>
      <c r="D1871" s="5">
        <v>45555.0</v>
      </c>
      <c r="G1871" s="1">
        <f>VLOOKUP(B1871,'old-aw-skill-plan'!A:I,7,FALSE)</f>
        <v>5</v>
      </c>
      <c r="H1871" s="1" t="str">
        <f>VLOOKUP(B1871,'old-aw-skill-plan'!A:I,9,FALSE)</f>
        <v>5-8</v>
      </c>
    </row>
    <row r="1872" ht="15.75" customHeight="1">
      <c r="A1872" s="1" t="s">
        <v>35</v>
      </c>
      <c r="B1872" s="1" t="s">
        <v>399</v>
      </c>
      <c r="C1872" s="1" t="s">
        <v>11</v>
      </c>
      <c r="D1872" s="5">
        <v>45554.0</v>
      </c>
      <c r="G1872" s="1">
        <f>VLOOKUP(B1872,'old-aw-skill-plan'!A:I,7,FALSE)</f>
        <v>4</v>
      </c>
      <c r="H1872" s="1" t="str">
        <f>VLOOKUP(B1872,'old-aw-skill-plan'!A:I,9,FALSE)</f>
        <v>4-7</v>
      </c>
    </row>
    <row r="1873" ht="15.75" customHeight="1">
      <c r="A1873" s="1" t="s">
        <v>35</v>
      </c>
      <c r="B1873" s="1" t="s">
        <v>400</v>
      </c>
      <c r="C1873" s="1" t="s">
        <v>11</v>
      </c>
      <c r="D1873" s="5">
        <v>45554.0</v>
      </c>
      <c r="G1873" s="1">
        <f>VLOOKUP(B1873,'old-aw-skill-plan'!A:I,7,FALSE)</f>
        <v>4</v>
      </c>
      <c r="H1873" s="1" t="str">
        <f>VLOOKUP(B1873,'old-aw-skill-plan'!A:I,9,FALSE)</f>
        <v>4-7</v>
      </c>
    </row>
    <row r="1874" ht="15.75" customHeight="1">
      <c r="A1874" s="1" t="s">
        <v>35</v>
      </c>
      <c r="B1874" s="1" t="s">
        <v>314</v>
      </c>
      <c r="C1874" s="1" t="s">
        <v>11</v>
      </c>
      <c r="D1874" s="5">
        <v>45554.0</v>
      </c>
      <c r="G1874" s="1">
        <f>VLOOKUP(B1874,'old-aw-skill-plan'!A:I,7,FALSE)</f>
        <v>5</v>
      </c>
      <c r="H1874" s="1" t="str">
        <f>VLOOKUP(B1874,'old-aw-skill-plan'!A:I,9,FALSE)</f>
        <v>5-10</v>
      </c>
    </row>
    <row r="1875" ht="15.75" customHeight="1">
      <c r="A1875" s="1" t="s">
        <v>24</v>
      </c>
      <c r="B1875" s="1" t="s">
        <v>84</v>
      </c>
      <c r="C1875" s="1" t="s">
        <v>11</v>
      </c>
      <c r="D1875" s="5">
        <v>45554.0</v>
      </c>
      <c r="G1875" s="1">
        <f>VLOOKUP(B1875,'old-aw-skill-plan'!A:I,7,FALSE)</f>
        <v>5</v>
      </c>
      <c r="H1875" s="1" t="str">
        <f>VLOOKUP(B1875,'old-aw-skill-plan'!A:I,9,FALSE)</f>
        <v>5-7</v>
      </c>
    </row>
    <row r="1876" ht="15.75" customHeight="1">
      <c r="A1876" s="1" t="s">
        <v>24</v>
      </c>
      <c r="B1876" s="1" t="s">
        <v>87</v>
      </c>
      <c r="C1876" s="1" t="s">
        <v>11</v>
      </c>
      <c r="D1876" s="5">
        <v>45554.0</v>
      </c>
      <c r="G1876" s="1">
        <f>VLOOKUP(B1876,'old-aw-skill-plan'!A:I,7,FALSE)</f>
        <v>5</v>
      </c>
      <c r="H1876" s="1" t="str">
        <f>VLOOKUP(B1876,'old-aw-skill-plan'!A:I,9,FALSE)</f>
        <v>5-6</v>
      </c>
    </row>
    <row r="1877" ht="15.75" customHeight="1">
      <c r="A1877" s="1" t="s">
        <v>52</v>
      </c>
      <c r="B1877" s="1" t="s">
        <v>28</v>
      </c>
      <c r="C1877" s="1" t="s">
        <v>11</v>
      </c>
      <c r="D1877" s="5">
        <v>45554.0</v>
      </c>
      <c r="G1877" s="1">
        <f>VLOOKUP(B1877,'old-aw-skill-plan'!A:I,7,FALSE)</f>
        <v>3</v>
      </c>
      <c r="H1877" s="1" t="str">
        <f>VLOOKUP(B1877,'old-aw-skill-plan'!A:I,9,FALSE)</f>
        <v>3-4</v>
      </c>
    </row>
    <row r="1878" ht="15.75" customHeight="1">
      <c r="A1878" s="1" t="s">
        <v>199</v>
      </c>
      <c r="B1878" s="1" t="s">
        <v>79</v>
      </c>
      <c r="C1878" s="1" t="s">
        <v>11</v>
      </c>
      <c r="D1878" s="5">
        <v>45554.0</v>
      </c>
      <c r="G1878" s="1">
        <f>VLOOKUP(B1878,'old-aw-skill-plan'!A:I,7,FALSE)</f>
        <v>4</v>
      </c>
      <c r="H1878" s="1" t="str">
        <f>VLOOKUP(B1878,'old-aw-skill-plan'!A:I,9,FALSE)</f>
        <v>4-8</v>
      </c>
    </row>
    <row r="1879" ht="15.75" customHeight="1">
      <c r="A1879" s="1" t="s">
        <v>224</v>
      </c>
      <c r="B1879" s="1" t="s">
        <v>79</v>
      </c>
      <c r="C1879" s="1" t="s">
        <v>11</v>
      </c>
      <c r="D1879" s="5">
        <v>45554.0</v>
      </c>
      <c r="G1879" s="1">
        <f>VLOOKUP(B1879,'old-aw-skill-plan'!A:I,7,FALSE)</f>
        <v>4</v>
      </c>
      <c r="H1879" s="1" t="str">
        <f>VLOOKUP(B1879,'old-aw-skill-plan'!A:I,9,FALSE)</f>
        <v>4-8</v>
      </c>
    </row>
    <row r="1880" ht="15.75" customHeight="1">
      <c r="A1880" s="1" t="s">
        <v>220</v>
      </c>
      <c r="B1880" s="1" t="s">
        <v>25</v>
      </c>
      <c r="C1880" s="1" t="s">
        <v>11</v>
      </c>
      <c r="D1880" s="5">
        <v>45554.0</v>
      </c>
      <c r="G1880" s="1">
        <f>VLOOKUP(B1880,'old-aw-skill-plan'!A:I,7,FALSE)</f>
        <v>5</v>
      </c>
      <c r="H1880" s="1" t="str">
        <f>VLOOKUP(B1880,'old-aw-skill-plan'!A:I,9,FALSE)</f>
        <v>5-4</v>
      </c>
    </row>
    <row r="1881" ht="15.75" customHeight="1">
      <c r="A1881" s="1" t="s">
        <v>220</v>
      </c>
      <c r="B1881" s="1" t="s">
        <v>44</v>
      </c>
      <c r="C1881" s="1" t="s">
        <v>11</v>
      </c>
      <c r="D1881" s="5">
        <v>45554.0</v>
      </c>
      <c r="G1881" s="1">
        <f>VLOOKUP(B1881,'old-aw-skill-plan'!A:I,7,FALSE)</f>
        <v>5</v>
      </c>
      <c r="H1881" s="1" t="str">
        <f>VLOOKUP(B1881,'old-aw-skill-plan'!A:I,9,FALSE)</f>
        <v>5-1</v>
      </c>
    </row>
    <row r="1882" ht="15.75" customHeight="1">
      <c r="A1882" s="1" t="s">
        <v>220</v>
      </c>
      <c r="B1882" s="1" t="s">
        <v>327</v>
      </c>
      <c r="C1882" s="1" t="s">
        <v>11</v>
      </c>
      <c r="D1882" s="5">
        <v>45554.0</v>
      </c>
      <c r="G1882" s="1">
        <f>VLOOKUP(B1882,'old-aw-skill-plan'!A:I,7,FALSE)</f>
        <v>8</v>
      </c>
      <c r="H1882" s="1" t="str">
        <f>VLOOKUP(B1882,'old-aw-skill-plan'!A:I,9,FALSE)</f>
        <v>8-2</v>
      </c>
    </row>
    <row r="1883" ht="15.75" customHeight="1">
      <c r="A1883" s="1" t="s">
        <v>231</v>
      </c>
      <c r="B1883" s="1" t="s">
        <v>85</v>
      </c>
      <c r="C1883" s="1" t="s">
        <v>11</v>
      </c>
      <c r="D1883" s="5">
        <v>45554.0</v>
      </c>
      <c r="G1883" s="1">
        <f>VLOOKUP(B1883,'old-aw-skill-plan'!A:I,7,FALSE)</f>
        <v>5</v>
      </c>
      <c r="H1883" s="1" t="str">
        <f>VLOOKUP(B1883,'old-aw-skill-plan'!A:I,9,FALSE)</f>
        <v>5-8</v>
      </c>
    </row>
    <row r="1884" ht="15.75" customHeight="1">
      <c r="A1884" s="1" t="s">
        <v>63</v>
      </c>
      <c r="B1884" s="1" t="s">
        <v>104</v>
      </c>
      <c r="C1884" s="1" t="s">
        <v>11</v>
      </c>
      <c r="D1884" s="5">
        <v>45554.0</v>
      </c>
      <c r="G1884" s="1">
        <f>VLOOKUP(B1884,'old-aw-skill-plan'!A:I,7,FALSE)</f>
        <v>5</v>
      </c>
      <c r="H1884" s="1" t="str">
        <f>VLOOKUP(B1884,'old-aw-skill-plan'!A:I,9,FALSE)</f>
        <v>5-2</v>
      </c>
    </row>
    <row r="1885" ht="15.75" customHeight="1">
      <c r="A1885" s="1" t="s">
        <v>183</v>
      </c>
      <c r="B1885" s="1" t="s">
        <v>314</v>
      </c>
      <c r="C1885" s="1" t="s">
        <v>11</v>
      </c>
      <c r="D1885" s="5">
        <v>45554.0</v>
      </c>
      <c r="G1885" s="1">
        <f>VLOOKUP(B1885,'old-aw-skill-plan'!A:I,7,FALSE)</f>
        <v>5</v>
      </c>
      <c r="H1885" s="1" t="str">
        <f>VLOOKUP(B1885,'old-aw-skill-plan'!A:I,9,FALSE)</f>
        <v>5-10</v>
      </c>
    </row>
    <row r="1886" ht="15.75" customHeight="1">
      <c r="A1886" s="1" t="s">
        <v>68</v>
      </c>
      <c r="B1886" s="1" t="s">
        <v>10</v>
      </c>
      <c r="C1886" s="1" t="s">
        <v>11</v>
      </c>
      <c r="D1886" s="5">
        <v>45554.0</v>
      </c>
      <c r="G1886" s="1">
        <f>VLOOKUP(B1886,'old-aw-skill-plan'!A:I,7,FALSE)</f>
        <v>3</v>
      </c>
      <c r="H1886" s="1" t="str">
        <f>VLOOKUP(B1886,'old-aw-skill-plan'!A:I,9,FALSE)</f>
        <v>3-1</v>
      </c>
    </row>
    <row r="1887" ht="15.75" customHeight="1">
      <c r="A1887" s="1" t="s">
        <v>68</v>
      </c>
      <c r="B1887" s="1" t="s">
        <v>47</v>
      </c>
      <c r="C1887" s="1" t="s">
        <v>11</v>
      </c>
      <c r="D1887" s="5">
        <v>45554.0</v>
      </c>
      <c r="G1887" s="1">
        <f>VLOOKUP(B1887,'old-aw-skill-plan'!A:I,7,FALSE)</f>
        <v>3</v>
      </c>
      <c r="H1887" s="1" t="str">
        <f>VLOOKUP(B1887,'old-aw-skill-plan'!A:I,9,FALSE)</f>
        <v>3-2</v>
      </c>
    </row>
    <row r="1888" ht="15.75" customHeight="1">
      <c r="A1888" s="1" t="s">
        <v>214</v>
      </c>
      <c r="B1888" s="1" t="s">
        <v>25</v>
      </c>
      <c r="C1888" s="1" t="s">
        <v>11</v>
      </c>
      <c r="D1888" s="5">
        <v>45554.0</v>
      </c>
      <c r="G1888" s="1">
        <f>VLOOKUP(B1888,'old-aw-skill-plan'!A:I,7,FALSE)</f>
        <v>5</v>
      </c>
      <c r="H1888" s="1" t="str">
        <f>VLOOKUP(B1888,'old-aw-skill-plan'!A:I,9,FALSE)</f>
        <v>5-4</v>
      </c>
    </row>
    <row r="1889" ht="15.75" customHeight="1">
      <c r="A1889" s="1" t="s">
        <v>74</v>
      </c>
      <c r="B1889" s="1" t="s">
        <v>44</v>
      </c>
      <c r="C1889" s="1" t="s">
        <v>11</v>
      </c>
      <c r="D1889" s="5">
        <v>45554.0</v>
      </c>
      <c r="G1889" s="1">
        <f>VLOOKUP(B1889,'old-aw-skill-plan'!A:I,7,FALSE)</f>
        <v>5</v>
      </c>
      <c r="H1889" s="1" t="str">
        <f>VLOOKUP(B1889,'old-aw-skill-plan'!A:I,9,FALSE)</f>
        <v>5-1</v>
      </c>
    </row>
    <row r="1890" ht="15.75" customHeight="1">
      <c r="A1890" s="1" t="s">
        <v>205</v>
      </c>
      <c r="B1890" s="1" t="s">
        <v>28</v>
      </c>
      <c r="C1890" s="1" t="s">
        <v>11</v>
      </c>
      <c r="D1890" s="5">
        <v>45554.0</v>
      </c>
      <c r="G1890" s="1">
        <f>VLOOKUP(B1890,'old-aw-skill-plan'!A:I,7,FALSE)</f>
        <v>3</v>
      </c>
      <c r="H1890" s="1" t="str">
        <f>VLOOKUP(B1890,'old-aw-skill-plan'!A:I,9,FALSE)</f>
        <v>3-4</v>
      </c>
    </row>
    <row r="1891" ht="15.75" customHeight="1">
      <c r="A1891" s="1" t="s">
        <v>205</v>
      </c>
      <c r="B1891" s="1" t="s">
        <v>87</v>
      </c>
      <c r="C1891" s="1" t="s">
        <v>11</v>
      </c>
      <c r="D1891" s="5">
        <v>45554.0</v>
      </c>
      <c r="G1891" s="1">
        <f>VLOOKUP(B1891,'old-aw-skill-plan'!A:I,7,FALSE)</f>
        <v>5</v>
      </c>
      <c r="H1891" s="1" t="str">
        <f>VLOOKUP(B1891,'old-aw-skill-plan'!A:I,9,FALSE)</f>
        <v>5-6</v>
      </c>
    </row>
    <row r="1892" ht="15.75" customHeight="1">
      <c r="A1892" s="1" t="s">
        <v>75</v>
      </c>
      <c r="B1892" s="1" t="s">
        <v>115</v>
      </c>
      <c r="C1892" s="1" t="s">
        <v>11</v>
      </c>
      <c r="D1892" s="5">
        <v>45554.0</v>
      </c>
      <c r="G1892" s="1">
        <f>VLOOKUP(B1892,'old-aw-skill-plan'!A:I,7,FALSE)</f>
        <v>3</v>
      </c>
      <c r="H1892" s="1" t="str">
        <f>VLOOKUP(B1892,'old-aw-skill-plan'!A:I,9,FALSE)</f>
        <v>3-10</v>
      </c>
    </row>
    <row r="1893" ht="15.75" customHeight="1">
      <c r="A1893" s="1" t="s">
        <v>100</v>
      </c>
      <c r="B1893" s="1" t="s">
        <v>398</v>
      </c>
      <c r="C1893" s="1" t="s">
        <v>11</v>
      </c>
      <c r="D1893" s="5">
        <v>45554.0</v>
      </c>
      <c r="G1893" s="1" t="str">
        <f>VLOOKUP(B1893,'old-aw-skill-plan'!A:I,7,FALSE)</f>
        <v>#N/A</v>
      </c>
      <c r="H1893" s="1" t="str">
        <f>VLOOKUP(B1893,'old-aw-skill-plan'!A:I,9,FALSE)</f>
        <v>#N/A</v>
      </c>
    </row>
    <row r="1894" ht="15.75" customHeight="1">
      <c r="A1894" s="1" t="s">
        <v>100</v>
      </c>
      <c r="B1894" s="1" t="s">
        <v>388</v>
      </c>
      <c r="C1894" s="1" t="s">
        <v>11</v>
      </c>
      <c r="D1894" s="5">
        <v>45554.0</v>
      </c>
      <c r="G1894" s="1" t="str">
        <f>VLOOKUP(B1894,'old-aw-skill-plan'!A:I,7,FALSE)</f>
        <v>#N/A</v>
      </c>
      <c r="H1894" s="1" t="str">
        <f>VLOOKUP(B1894,'old-aw-skill-plan'!A:I,9,FALSE)</f>
        <v>#N/A</v>
      </c>
    </row>
    <row r="1895" ht="15.75" customHeight="1">
      <c r="A1895" s="1" t="s">
        <v>82</v>
      </c>
      <c r="B1895" s="1" t="s">
        <v>28</v>
      </c>
      <c r="C1895" s="1" t="s">
        <v>11</v>
      </c>
      <c r="D1895" s="5">
        <v>45554.0</v>
      </c>
      <c r="G1895" s="1">
        <f>VLOOKUP(B1895,'old-aw-skill-plan'!A:I,7,FALSE)</f>
        <v>3</v>
      </c>
      <c r="H1895" s="1" t="str">
        <f>VLOOKUP(B1895,'old-aw-skill-plan'!A:I,9,FALSE)</f>
        <v>3-4</v>
      </c>
    </row>
    <row r="1896" ht="15.75" customHeight="1">
      <c r="A1896" s="1" t="s">
        <v>226</v>
      </c>
      <c r="B1896" s="1" t="s">
        <v>85</v>
      </c>
      <c r="C1896" s="1" t="s">
        <v>11</v>
      </c>
      <c r="D1896" s="5">
        <v>45554.0</v>
      </c>
      <c r="G1896" s="1">
        <f>VLOOKUP(B1896,'old-aw-skill-plan'!A:I,7,FALSE)</f>
        <v>5</v>
      </c>
      <c r="H1896" s="1" t="str">
        <f>VLOOKUP(B1896,'old-aw-skill-plan'!A:I,9,FALSE)</f>
        <v>5-8</v>
      </c>
    </row>
    <row r="1897" ht="15.75" customHeight="1">
      <c r="A1897" s="1" t="s">
        <v>326</v>
      </c>
      <c r="B1897" s="1" t="s">
        <v>88</v>
      </c>
      <c r="C1897" s="1" t="s">
        <v>11</v>
      </c>
      <c r="D1897" s="5">
        <v>45554.0</v>
      </c>
      <c r="G1897" s="1">
        <f>VLOOKUP(B1897,'old-aw-skill-plan'!A:I,7,FALSE)</f>
        <v>5</v>
      </c>
      <c r="H1897" s="1" t="str">
        <f>VLOOKUP(B1897,'old-aw-skill-plan'!A:I,9,FALSE)</f>
        <v>5-5</v>
      </c>
    </row>
    <row r="1898" ht="15.75" customHeight="1">
      <c r="A1898" s="1" t="s">
        <v>225</v>
      </c>
      <c r="B1898" s="1" t="s">
        <v>42</v>
      </c>
      <c r="C1898" s="1" t="s">
        <v>11</v>
      </c>
      <c r="D1898" s="5">
        <v>45554.0</v>
      </c>
      <c r="G1898" s="1">
        <f>VLOOKUP(B1898,'old-aw-skill-plan'!A:I,7,FALSE)</f>
        <v>4</v>
      </c>
      <c r="H1898" s="1" t="str">
        <f>VLOOKUP(B1898,'old-aw-skill-plan'!A:I,9,FALSE)</f>
        <v>4-11</v>
      </c>
    </row>
    <row r="1899" ht="15.75" customHeight="1">
      <c r="A1899" s="1" t="s">
        <v>225</v>
      </c>
      <c r="B1899" s="1" t="s">
        <v>124</v>
      </c>
      <c r="C1899" s="1" t="s">
        <v>11</v>
      </c>
      <c r="D1899" s="5">
        <v>45554.0</v>
      </c>
      <c r="G1899" s="1">
        <f>VLOOKUP(B1899,'old-aw-skill-plan'!A:I,7,FALSE)</f>
        <v>7</v>
      </c>
      <c r="H1899" s="1" t="str">
        <f>VLOOKUP(B1899,'old-aw-skill-plan'!A:I,9,FALSE)</f>
        <v>7-5</v>
      </c>
    </row>
    <row r="1900" ht="15.75" customHeight="1">
      <c r="A1900" s="1" t="s">
        <v>225</v>
      </c>
      <c r="B1900" s="1" t="s">
        <v>123</v>
      </c>
      <c r="C1900" s="1" t="s">
        <v>11</v>
      </c>
      <c r="D1900" s="5">
        <v>45554.0</v>
      </c>
      <c r="G1900" s="1">
        <f>VLOOKUP(B1900,'old-aw-skill-plan'!A:I,7,FALSE)</f>
        <v>4</v>
      </c>
      <c r="H1900" s="1" t="str">
        <f>VLOOKUP(B1900,'old-aw-skill-plan'!A:I,9,FALSE)</f>
        <v>4-12</v>
      </c>
    </row>
    <row r="1901" ht="15.75" customHeight="1">
      <c r="A1901" s="1" t="s">
        <v>225</v>
      </c>
      <c r="B1901" s="1" t="s">
        <v>314</v>
      </c>
      <c r="C1901" s="1" t="s">
        <v>11</v>
      </c>
      <c r="D1901" s="5">
        <v>45554.0</v>
      </c>
      <c r="G1901" s="1">
        <f>VLOOKUP(B1901,'old-aw-skill-plan'!A:I,7,FALSE)</f>
        <v>5</v>
      </c>
      <c r="H1901" s="1" t="str">
        <f>VLOOKUP(B1901,'old-aw-skill-plan'!A:I,9,FALSE)</f>
        <v>5-10</v>
      </c>
    </row>
    <row r="1902" ht="15.75" customHeight="1">
      <c r="A1902" s="1" t="s">
        <v>225</v>
      </c>
      <c r="B1902" s="1" t="s">
        <v>140</v>
      </c>
      <c r="C1902" s="1" t="s">
        <v>11</v>
      </c>
      <c r="D1902" s="5">
        <v>45554.0</v>
      </c>
      <c r="G1902" s="1">
        <f>VLOOKUP(B1902,'old-aw-skill-plan'!A:I,7,FALSE)</f>
        <v>8</v>
      </c>
      <c r="H1902" s="1" t="str">
        <f>VLOOKUP(B1902,'old-aw-skill-plan'!A:I,9,FALSE)</f>
        <v>8-11</v>
      </c>
    </row>
    <row r="1903" ht="15.75" customHeight="1">
      <c r="A1903" s="1" t="s">
        <v>225</v>
      </c>
      <c r="B1903" s="1" t="s">
        <v>120</v>
      </c>
      <c r="C1903" s="1" t="s">
        <v>11</v>
      </c>
      <c r="D1903" s="5">
        <v>45554.0</v>
      </c>
      <c r="G1903" s="1">
        <f>VLOOKUP(B1903,'old-aw-skill-plan'!A:I,7,FALSE)</f>
        <v>5</v>
      </c>
      <c r="H1903" s="1" t="str">
        <f>VLOOKUP(B1903,'old-aw-skill-plan'!A:I,9,FALSE)</f>
        <v>5-11</v>
      </c>
    </row>
    <row r="1904" ht="15.75" customHeight="1">
      <c r="A1904" s="1" t="s">
        <v>225</v>
      </c>
      <c r="B1904" s="1" t="s">
        <v>121</v>
      </c>
      <c r="C1904" s="1" t="s">
        <v>11</v>
      </c>
      <c r="D1904" s="5">
        <v>45554.0</v>
      </c>
      <c r="G1904" s="1">
        <f>VLOOKUP(B1904,'old-aw-skill-plan'!A:I,7,FALSE)</f>
        <v>5</v>
      </c>
      <c r="H1904" s="1" t="str">
        <f>VLOOKUP(B1904,'old-aw-skill-plan'!A:I,9,FALSE)</f>
        <v>5-12</v>
      </c>
    </row>
    <row r="1905" ht="15.75" customHeight="1">
      <c r="A1905" s="1" t="s">
        <v>225</v>
      </c>
      <c r="B1905" s="1" t="s">
        <v>327</v>
      </c>
      <c r="C1905" s="1" t="s">
        <v>11</v>
      </c>
      <c r="D1905" s="5">
        <v>45554.0</v>
      </c>
      <c r="G1905" s="1">
        <f>VLOOKUP(B1905,'old-aw-skill-plan'!A:I,7,FALSE)</f>
        <v>8</v>
      </c>
      <c r="H1905" s="1" t="str">
        <f>VLOOKUP(B1905,'old-aw-skill-plan'!A:I,9,FALSE)</f>
        <v>8-2</v>
      </c>
    </row>
    <row r="1906" ht="15.75" customHeight="1">
      <c r="A1906" s="1" t="s">
        <v>22</v>
      </c>
      <c r="B1906" s="1" t="s">
        <v>44</v>
      </c>
      <c r="C1906" s="1" t="s">
        <v>11</v>
      </c>
      <c r="D1906" s="5">
        <v>45553.0</v>
      </c>
      <c r="G1906" s="1">
        <f>VLOOKUP(B1906,'old-aw-skill-plan'!A:I,7,FALSE)</f>
        <v>5</v>
      </c>
      <c r="H1906" s="1" t="str">
        <f>VLOOKUP(B1906,'old-aw-skill-plan'!A:I,9,FALSE)</f>
        <v>5-1</v>
      </c>
    </row>
    <row r="1907" ht="15.75" customHeight="1">
      <c r="A1907" s="1" t="s">
        <v>35</v>
      </c>
      <c r="B1907" s="1" t="s">
        <v>314</v>
      </c>
      <c r="C1907" s="1" t="s">
        <v>11</v>
      </c>
      <c r="D1907" s="5">
        <v>45553.0</v>
      </c>
      <c r="G1907" s="1">
        <f>VLOOKUP(B1907,'old-aw-skill-plan'!A:I,7,FALSE)</f>
        <v>5</v>
      </c>
      <c r="H1907" s="1" t="str">
        <f>VLOOKUP(B1907,'old-aw-skill-plan'!A:I,9,FALSE)</f>
        <v>5-10</v>
      </c>
    </row>
    <row r="1908" ht="15.75" customHeight="1">
      <c r="A1908" s="1" t="s">
        <v>24</v>
      </c>
      <c r="B1908" s="1" t="s">
        <v>87</v>
      </c>
      <c r="C1908" s="1" t="s">
        <v>11</v>
      </c>
      <c r="D1908" s="5">
        <v>45553.0</v>
      </c>
      <c r="G1908" s="1">
        <f>VLOOKUP(B1908,'old-aw-skill-plan'!A:I,7,FALSE)</f>
        <v>5</v>
      </c>
      <c r="H1908" s="1" t="str">
        <f>VLOOKUP(B1908,'old-aw-skill-plan'!A:I,9,FALSE)</f>
        <v>5-6</v>
      </c>
    </row>
    <row r="1909" ht="15.75" customHeight="1">
      <c r="A1909" s="1" t="s">
        <v>52</v>
      </c>
      <c r="B1909" s="1" t="s">
        <v>28</v>
      </c>
      <c r="C1909" s="1" t="s">
        <v>11</v>
      </c>
      <c r="D1909" s="5">
        <v>45553.0</v>
      </c>
      <c r="G1909" s="1">
        <f>VLOOKUP(B1909,'old-aw-skill-plan'!A:I,7,FALSE)</f>
        <v>3</v>
      </c>
      <c r="H1909" s="1" t="str">
        <f>VLOOKUP(B1909,'old-aw-skill-plan'!A:I,9,FALSE)</f>
        <v>3-4</v>
      </c>
    </row>
    <row r="1910" ht="15.75" customHeight="1">
      <c r="A1910" s="1" t="s">
        <v>199</v>
      </c>
      <c r="B1910" s="1" t="s">
        <v>79</v>
      </c>
      <c r="C1910" s="1" t="s">
        <v>11</v>
      </c>
      <c r="D1910" s="5">
        <v>45553.0</v>
      </c>
      <c r="G1910" s="1">
        <f>VLOOKUP(B1910,'old-aw-skill-plan'!A:I,7,FALSE)</f>
        <v>4</v>
      </c>
      <c r="H1910" s="1" t="str">
        <f>VLOOKUP(B1910,'old-aw-skill-plan'!A:I,9,FALSE)</f>
        <v>4-8</v>
      </c>
    </row>
    <row r="1911" ht="15.75" customHeight="1">
      <c r="A1911" s="1" t="s">
        <v>39</v>
      </c>
      <c r="B1911" s="1" t="s">
        <v>61</v>
      </c>
      <c r="C1911" s="1" t="s">
        <v>11</v>
      </c>
      <c r="D1911" s="5">
        <v>45553.0</v>
      </c>
      <c r="G1911" s="1">
        <f>VLOOKUP(B1911,'old-aw-skill-plan'!A:I,7,FALSE)</f>
        <v>4</v>
      </c>
      <c r="H1911" s="1" t="str">
        <f>VLOOKUP(B1911,'old-aw-skill-plan'!A:I,9,FALSE)</f>
        <v>4-4</v>
      </c>
    </row>
    <row r="1912" ht="15.75" customHeight="1">
      <c r="A1912" s="1" t="s">
        <v>39</v>
      </c>
      <c r="B1912" s="1" t="s">
        <v>23</v>
      </c>
      <c r="C1912" s="1" t="s">
        <v>11</v>
      </c>
      <c r="D1912" s="5">
        <v>45553.0</v>
      </c>
      <c r="G1912" s="1">
        <f>VLOOKUP(B1912,'old-aw-skill-plan'!A:I,7,FALSE)</f>
        <v>4</v>
      </c>
      <c r="H1912" s="1" t="str">
        <f>VLOOKUP(B1912,'old-aw-skill-plan'!A:I,9,FALSE)</f>
        <v>4-5</v>
      </c>
    </row>
    <row r="1913" ht="15.75" customHeight="1">
      <c r="A1913" s="1" t="s">
        <v>39</v>
      </c>
      <c r="B1913" s="1" t="s">
        <v>44</v>
      </c>
      <c r="C1913" s="1" t="s">
        <v>11</v>
      </c>
      <c r="D1913" s="5">
        <v>45553.0</v>
      </c>
      <c r="G1913" s="1">
        <f>VLOOKUP(B1913,'old-aw-skill-plan'!A:I,7,FALSE)</f>
        <v>5</v>
      </c>
      <c r="H1913" s="1" t="str">
        <f>VLOOKUP(B1913,'old-aw-skill-plan'!A:I,9,FALSE)</f>
        <v>5-1</v>
      </c>
    </row>
    <row r="1914" ht="15.75" customHeight="1">
      <c r="A1914" s="1" t="s">
        <v>224</v>
      </c>
      <c r="B1914" s="1" t="s">
        <v>66</v>
      </c>
      <c r="C1914" s="1" t="s">
        <v>11</v>
      </c>
      <c r="D1914" s="5">
        <v>45553.0</v>
      </c>
      <c r="G1914" s="1">
        <f>VLOOKUP(B1914,'old-aw-skill-plan'!A:I,7,FALSE)</f>
        <v>4</v>
      </c>
      <c r="H1914" s="1" t="str">
        <f>VLOOKUP(B1914,'old-aw-skill-plan'!A:I,9,FALSE)</f>
        <v>4-9</v>
      </c>
    </row>
    <row r="1915" ht="15.75" customHeight="1">
      <c r="A1915" s="1" t="s">
        <v>224</v>
      </c>
      <c r="B1915" s="1" t="s">
        <v>79</v>
      </c>
      <c r="C1915" s="1" t="s">
        <v>11</v>
      </c>
      <c r="D1915" s="5">
        <v>45553.0</v>
      </c>
      <c r="G1915" s="1">
        <f>VLOOKUP(B1915,'old-aw-skill-plan'!A:I,7,FALSE)</f>
        <v>4</v>
      </c>
      <c r="H1915" s="1" t="str">
        <f>VLOOKUP(B1915,'old-aw-skill-plan'!A:I,9,FALSE)</f>
        <v>4-8</v>
      </c>
    </row>
    <row r="1916" ht="15.75" customHeight="1">
      <c r="A1916" s="1" t="s">
        <v>220</v>
      </c>
      <c r="B1916" s="1" t="s">
        <v>314</v>
      </c>
      <c r="C1916" s="1" t="s">
        <v>11</v>
      </c>
      <c r="D1916" s="5">
        <v>45553.0</v>
      </c>
      <c r="G1916" s="1">
        <f>VLOOKUP(B1916,'old-aw-skill-plan'!A:I,7,FALSE)</f>
        <v>5</v>
      </c>
      <c r="H1916" s="1" t="str">
        <f>VLOOKUP(B1916,'old-aw-skill-plan'!A:I,9,FALSE)</f>
        <v>5-10</v>
      </c>
    </row>
    <row r="1917" ht="15.75" customHeight="1">
      <c r="A1917" s="1" t="s">
        <v>220</v>
      </c>
      <c r="B1917" s="1" t="s">
        <v>25</v>
      </c>
      <c r="C1917" s="1" t="s">
        <v>11</v>
      </c>
      <c r="D1917" s="5">
        <v>45553.0</v>
      </c>
      <c r="G1917" s="1">
        <f>VLOOKUP(B1917,'old-aw-skill-plan'!A:I,7,FALSE)</f>
        <v>5</v>
      </c>
      <c r="H1917" s="1" t="str">
        <f>VLOOKUP(B1917,'old-aw-skill-plan'!A:I,9,FALSE)</f>
        <v>5-4</v>
      </c>
    </row>
    <row r="1918" ht="15.75" customHeight="1">
      <c r="A1918" s="1" t="s">
        <v>220</v>
      </c>
      <c r="B1918" s="1" t="s">
        <v>44</v>
      </c>
      <c r="C1918" s="1" t="s">
        <v>11</v>
      </c>
      <c r="D1918" s="5">
        <v>45553.0</v>
      </c>
      <c r="G1918" s="1">
        <f>VLOOKUP(B1918,'old-aw-skill-plan'!A:I,7,FALSE)</f>
        <v>5</v>
      </c>
      <c r="H1918" s="1" t="str">
        <f>VLOOKUP(B1918,'old-aw-skill-plan'!A:I,9,FALSE)</f>
        <v>5-1</v>
      </c>
    </row>
    <row r="1919" ht="15.75" customHeight="1">
      <c r="A1919" s="1" t="s">
        <v>220</v>
      </c>
      <c r="B1919" s="1" t="s">
        <v>130</v>
      </c>
      <c r="C1919" s="1" t="s">
        <v>11</v>
      </c>
      <c r="D1919" s="5">
        <v>45553.0</v>
      </c>
      <c r="G1919" s="1">
        <f>VLOOKUP(B1919,'old-aw-skill-plan'!A:I,7,FALSE)</f>
        <v>8</v>
      </c>
      <c r="H1919" s="1" t="str">
        <f>VLOOKUP(B1919,'old-aw-skill-plan'!A:I,9,FALSE)</f>
        <v>8-1</v>
      </c>
    </row>
    <row r="1920" ht="15.75" customHeight="1">
      <c r="A1920" s="1" t="s">
        <v>220</v>
      </c>
      <c r="B1920" s="1" t="s">
        <v>121</v>
      </c>
      <c r="C1920" s="1" t="s">
        <v>11</v>
      </c>
      <c r="D1920" s="5">
        <v>45553.0</v>
      </c>
      <c r="G1920" s="1">
        <f>VLOOKUP(B1920,'old-aw-skill-plan'!A:I,7,FALSE)</f>
        <v>5</v>
      </c>
      <c r="H1920" s="1" t="str">
        <f>VLOOKUP(B1920,'old-aw-skill-plan'!A:I,9,FALSE)</f>
        <v>5-12</v>
      </c>
    </row>
    <row r="1921" ht="15.75" customHeight="1">
      <c r="A1921" s="1" t="s">
        <v>220</v>
      </c>
      <c r="B1921" s="1" t="s">
        <v>104</v>
      </c>
      <c r="C1921" s="1" t="s">
        <v>11</v>
      </c>
      <c r="D1921" s="5">
        <v>45553.0</v>
      </c>
      <c r="G1921" s="1">
        <f>VLOOKUP(B1921,'old-aw-skill-plan'!A:I,7,FALSE)</f>
        <v>5</v>
      </c>
      <c r="H1921" s="1" t="str">
        <f>VLOOKUP(B1921,'old-aw-skill-plan'!A:I,9,FALSE)</f>
        <v>5-2</v>
      </c>
    </row>
    <row r="1922" ht="15.75" customHeight="1">
      <c r="A1922" s="1" t="s">
        <v>220</v>
      </c>
      <c r="B1922" s="1" t="s">
        <v>87</v>
      </c>
      <c r="C1922" s="1" t="s">
        <v>11</v>
      </c>
      <c r="D1922" s="5">
        <v>45553.0</v>
      </c>
      <c r="G1922" s="1">
        <f>VLOOKUP(B1922,'old-aw-skill-plan'!A:I,7,FALSE)</f>
        <v>5</v>
      </c>
      <c r="H1922" s="1" t="str">
        <f>VLOOKUP(B1922,'old-aw-skill-plan'!A:I,9,FALSE)</f>
        <v>5-6</v>
      </c>
    </row>
    <row r="1923" ht="15.75" customHeight="1">
      <c r="A1923" s="1" t="s">
        <v>231</v>
      </c>
      <c r="B1923" s="1" t="s">
        <v>85</v>
      </c>
      <c r="C1923" s="1" t="s">
        <v>11</v>
      </c>
      <c r="D1923" s="5">
        <v>45553.0</v>
      </c>
      <c r="G1923" s="1">
        <f>VLOOKUP(B1923,'old-aw-skill-plan'!A:I,7,FALSE)</f>
        <v>5</v>
      </c>
      <c r="H1923" s="1" t="str">
        <f>VLOOKUP(B1923,'old-aw-skill-plan'!A:I,9,FALSE)</f>
        <v>5-8</v>
      </c>
    </row>
    <row r="1924" ht="15.75" customHeight="1">
      <c r="A1924" s="1" t="s">
        <v>230</v>
      </c>
      <c r="B1924" s="1" t="s">
        <v>335</v>
      </c>
      <c r="C1924" s="1" t="s">
        <v>11</v>
      </c>
      <c r="D1924" s="5">
        <v>45553.0</v>
      </c>
      <c r="G1924" s="1">
        <f>VLOOKUP(B1924,'old-aw-skill-plan'!A:I,7,FALSE)</f>
        <v>6</v>
      </c>
      <c r="H1924" s="1" t="str">
        <f>VLOOKUP(B1924,'old-aw-skill-plan'!A:I,9,FALSE)</f>
        <v>6-2</v>
      </c>
    </row>
    <row r="1925" ht="15.75" customHeight="1">
      <c r="A1925" s="1" t="s">
        <v>63</v>
      </c>
      <c r="B1925" s="1" t="s">
        <v>104</v>
      </c>
      <c r="C1925" s="1" t="s">
        <v>11</v>
      </c>
      <c r="D1925" s="5">
        <v>45553.0</v>
      </c>
      <c r="G1925" s="1">
        <f>VLOOKUP(B1925,'old-aw-skill-plan'!A:I,7,FALSE)</f>
        <v>5</v>
      </c>
      <c r="H1925" s="1" t="str">
        <f>VLOOKUP(B1925,'old-aw-skill-plan'!A:I,9,FALSE)</f>
        <v>5-2</v>
      </c>
    </row>
    <row r="1926" ht="15.75" customHeight="1">
      <c r="A1926" s="1" t="s">
        <v>183</v>
      </c>
      <c r="B1926" s="1" t="s">
        <v>314</v>
      </c>
      <c r="C1926" s="1" t="s">
        <v>11</v>
      </c>
      <c r="D1926" s="5">
        <v>45553.0</v>
      </c>
      <c r="G1926" s="1">
        <f>VLOOKUP(B1926,'old-aw-skill-plan'!A:I,7,FALSE)</f>
        <v>5</v>
      </c>
      <c r="H1926" s="1" t="str">
        <f>VLOOKUP(B1926,'old-aw-skill-plan'!A:I,9,FALSE)</f>
        <v>5-10</v>
      </c>
    </row>
    <row r="1927" ht="15.75" customHeight="1">
      <c r="A1927" s="1" t="s">
        <v>68</v>
      </c>
      <c r="B1927" s="1" t="s">
        <v>10</v>
      </c>
      <c r="C1927" s="1" t="s">
        <v>11</v>
      </c>
      <c r="D1927" s="5">
        <v>45553.0</v>
      </c>
      <c r="G1927" s="1">
        <f>VLOOKUP(B1927,'old-aw-skill-plan'!A:I,7,FALSE)</f>
        <v>3</v>
      </c>
      <c r="H1927" s="1" t="str">
        <f>VLOOKUP(B1927,'old-aw-skill-plan'!A:I,9,FALSE)</f>
        <v>3-1</v>
      </c>
    </row>
    <row r="1928" ht="15.75" customHeight="1">
      <c r="A1928" s="1" t="s">
        <v>214</v>
      </c>
      <c r="B1928" s="1" t="s">
        <v>25</v>
      </c>
      <c r="C1928" s="1" t="s">
        <v>11</v>
      </c>
      <c r="D1928" s="5">
        <v>45553.0</v>
      </c>
      <c r="G1928" s="1">
        <f>VLOOKUP(B1928,'old-aw-skill-plan'!A:I,7,FALSE)</f>
        <v>5</v>
      </c>
      <c r="H1928" s="1" t="str">
        <f>VLOOKUP(B1928,'old-aw-skill-plan'!A:I,9,FALSE)</f>
        <v>5-4</v>
      </c>
    </row>
    <row r="1929" ht="15.75" customHeight="1">
      <c r="A1929" s="1" t="s">
        <v>74</v>
      </c>
      <c r="B1929" s="1" t="s">
        <v>44</v>
      </c>
      <c r="C1929" s="1" t="s">
        <v>11</v>
      </c>
      <c r="D1929" s="5">
        <v>45553.0</v>
      </c>
      <c r="G1929" s="1">
        <f>VLOOKUP(B1929,'old-aw-skill-plan'!A:I,7,FALSE)</f>
        <v>5</v>
      </c>
      <c r="H1929" s="1" t="str">
        <f>VLOOKUP(B1929,'old-aw-skill-plan'!A:I,9,FALSE)</f>
        <v>5-1</v>
      </c>
    </row>
    <row r="1930" ht="15.75" customHeight="1">
      <c r="A1930" s="1" t="s">
        <v>205</v>
      </c>
      <c r="B1930" s="1" t="s">
        <v>30</v>
      </c>
      <c r="C1930" s="1" t="s">
        <v>11</v>
      </c>
      <c r="D1930" s="5">
        <v>45553.0</v>
      </c>
      <c r="G1930" s="1">
        <f>VLOOKUP(B1930,'old-aw-skill-plan'!A:I,7,FALSE)</f>
        <v>3</v>
      </c>
      <c r="H1930" s="1" t="str">
        <f>VLOOKUP(B1930,'old-aw-skill-plan'!A:I,9,FALSE)</f>
        <v>3-3</v>
      </c>
    </row>
    <row r="1931" ht="15.75" customHeight="1">
      <c r="A1931" s="1" t="s">
        <v>205</v>
      </c>
      <c r="B1931" s="1" t="s">
        <v>88</v>
      </c>
      <c r="C1931" s="1" t="s">
        <v>11</v>
      </c>
      <c r="D1931" s="5">
        <v>45553.0</v>
      </c>
      <c r="G1931" s="1">
        <f>VLOOKUP(B1931,'old-aw-skill-plan'!A:I,7,FALSE)</f>
        <v>5</v>
      </c>
      <c r="H1931" s="1" t="str">
        <f>VLOOKUP(B1931,'old-aw-skill-plan'!A:I,9,FALSE)</f>
        <v>5-5</v>
      </c>
    </row>
    <row r="1932" ht="15.75" customHeight="1">
      <c r="A1932" s="1" t="s">
        <v>75</v>
      </c>
      <c r="B1932" s="1" t="s">
        <v>115</v>
      </c>
      <c r="C1932" s="1" t="s">
        <v>11</v>
      </c>
      <c r="D1932" s="5">
        <v>45553.0</v>
      </c>
      <c r="G1932" s="1">
        <f>VLOOKUP(B1932,'old-aw-skill-plan'!A:I,7,FALSE)</f>
        <v>3</v>
      </c>
      <c r="H1932" s="1" t="str">
        <f>VLOOKUP(B1932,'old-aw-skill-plan'!A:I,9,FALSE)</f>
        <v>3-10</v>
      </c>
    </row>
    <row r="1933" ht="15.75" customHeight="1">
      <c r="A1933" s="1" t="s">
        <v>75</v>
      </c>
      <c r="B1933" s="1" t="s">
        <v>116</v>
      </c>
      <c r="C1933" s="1" t="s">
        <v>11</v>
      </c>
      <c r="D1933" s="5">
        <v>45553.0</v>
      </c>
      <c r="G1933" s="1">
        <f>VLOOKUP(B1933,'old-aw-skill-plan'!A:I,7,FALSE)</f>
        <v>3</v>
      </c>
      <c r="H1933" s="1" t="str">
        <f>VLOOKUP(B1933,'old-aw-skill-plan'!A:I,9,FALSE)</f>
        <v>3-9</v>
      </c>
    </row>
    <row r="1934" ht="15.75" customHeight="1">
      <c r="A1934" s="1" t="s">
        <v>77</v>
      </c>
      <c r="B1934" s="1" t="s">
        <v>61</v>
      </c>
      <c r="C1934" s="1" t="s">
        <v>11</v>
      </c>
      <c r="D1934" s="5">
        <v>45553.0</v>
      </c>
      <c r="G1934" s="1">
        <f>VLOOKUP(B1934,'old-aw-skill-plan'!A:I,7,FALSE)</f>
        <v>4</v>
      </c>
      <c r="H1934" s="1" t="str">
        <f>VLOOKUP(B1934,'old-aw-skill-plan'!A:I,9,FALSE)</f>
        <v>4-4</v>
      </c>
    </row>
    <row r="1935" ht="15.75" customHeight="1">
      <c r="A1935" s="1" t="s">
        <v>100</v>
      </c>
      <c r="B1935" s="1" t="s">
        <v>388</v>
      </c>
      <c r="C1935" s="1" t="s">
        <v>11</v>
      </c>
      <c r="D1935" s="5">
        <v>45553.0</v>
      </c>
      <c r="G1935" s="1" t="str">
        <f>VLOOKUP(B1935,'old-aw-skill-plan'!A:I,7,FALSE)</f>
        <v>#N/A</v>
      </c>
      <c r="H1935" s="1" t="str">
        <f>VLOOKUP(B1935,'old-aw-skill-plan'!A:I,9,FALSE)</f>
        <v>#N/A</v>
      </c>
    </row>
    <row r="1936" ht="15.75" customHeight="1">
      <c r="A1936" s="1" t="s">
        <v>82</v>
      </c>
      <c r="B1936" s="1" t="s">
        <v>28</v>
      </c>
      <c r="C1936" s="1" t="s">
        <v>11</v>
      </c>
      <c r="D1936" s="5">
        <v>45553.0</v>
      </c>
      <c r="G1936" s="1">
        <f>VLOOKUP(B1936,'old-aw-skill-plan'!A:I,7,FALSE)</f>
        <v>3</v>
      </c>
      <c r="H1936" s="1" t="str">
        <f>VLOOKUP(B1936,'old-aw-skill-plan'!A:I,9,FALSE)</f>
        <v>3-4</v>
      </c>
    </row>
    <row r="1937" ht="15.75" customHeight="1">
      <c r="A1937" s="1" t="s">
        <v>82</v>
      </c>
      <c r="B1937" s="1" t="s">
        <v>30</v>
      </c>
      <c r="C1937" s="1" t="s">
        <v>11</v>
      </c>
      <c r="D1937" s="5">
        <v>45553.0</v>
      </c>
      <c r="G1937" s="1">
        <f>VLOOKUP(B1937,'old-aw-skill-plan'!A:I,7,FALSE)</f>
        <v>3</v>
      </c>
      <c r="H1937" s="1" t="str">
        <f>VLOOKUP(B1937,'old-aw-skill-plan'!A:I,9,FALSE)</f>
        <v>3-3</v>
      </c>
    </row>
    <row r="1938" ht="15.75" customHeight="1">
      <c r="A1938" s="1" t="s">
        <v>226</v>
      </c>
      <c r="B1938" s="1" t="s">
        <v>84</v>
      </c>
      <c r="C1938" s="1" t="s">
        <v>11</v>
      </c>
      <c r="D1938" s="5">
        <v>45553.0</v>
      </c>
      <c r="G1938" s="1">
        <f>VLOOKUP(B1938,'old-aw-skill-plan'!A:I,7,FALSE)</f>
        <v>5</v>
      </c>
      <c r="H1938" s="1" t="str">
        <f>VLOOKUP(B1938,'old-aw-skill-plan'!A:I,9,FALSE)</f>
        <v>5-7</v>
      </c>
    </row>
    <row r="1939" ht="15.75" customHeight="1">
      <c r="A1939" s="1" t="s">
        <v>326</v>
      </c>
      <c r="B1939" s="1" t="s">
        <v>88</v>
      </c>
      <c r="C1939" s="1" t="s">
        <v>11</v>
      </c>
      <c r="D1939" s="5">
        <v>45553.0</v>
      </c>
      <c r="G1939" s="1">
        <f>VLOOKUP(B1939,'old-aw-skill-plan'!A:I,7,FALSE)</f>
        <v>5</v>
      </c>
      <c r="H1939" s="1" t="str">
        <f>VLOOKUP(B1939,'old-aw-skill-plan'!A:I,9,FALSE)</f>
        <v>5-5</v>
      </c>
    </row>
    <row r="1940" ht="15.75" customHeight="1">
      <c r="A1940" s="1" t="s">
        <v>219</v>
      </c>
      <c r="B1940" s="1" t="s">
        <v>10</v>
      </c>
      <c r="C1940" s="1" t="s">
        <v>11</v>
      </c>
      <c r="D1940" s="5">
        <v>45553.0</v>
      </c>
      <c r="G1940" s="1">
        <f>VLOOKUP(B1940,'old-aw-skill-plan'!A:I,7,FALSE)</f>
        <v>3</v>
      </c>
      <c r="H1940" s="1" t="str">
        <f>VLOOKUP(B1940,'old-aw-skill-plan'!A:I,9,FALSE)</f>
        <v>3-1</v>
      </c>
    </row>
    <row r="1941" ht="15.75" customHeight="1">
      <c r="A1941" s="1" t="s">
        <v>22</v>
      </c>
      <c r="B1941" s="1" t="s">
        <v>44</v>
      </c>
      <c r="C1941" s="1" t="s">
        <v>11</v>
      </c>
      <c r="D1941" s="5">
        <v>45552.0</v>
      </c>
      <c r="G1941" s="1">
        <f>VLOOKUP(B1941,'old-aw-skill-plan'!A:I,7,FALSE)</f>
        <v>5</v>
      </c>
      <c r="H1941" s="1" t="str">
        <f>VLOOKUP(B1941,'old-aw-skill-plan'!A:I,9,FALSE)</f>
        <v>5-1</v>
      </c>
    </row>
    <row r="1942" ht="15.75" customHeight="1">
      <c r="A1942" s="1" t="s">
        <v>35</v>
      </c>
      <c r="B1942" s="1" t="s">
        <v>386</v>
      </c>
      <c r="C1942" s="1" t="s">
        <v>11</v>
      </c>
      <c r="D1942" s="5">
        <v>45552.0</v>
      </c>
      <c r="G1942" s="1">
        <f>VLOOKUP(B1942,'old-aw-skill-plan'!A:I,7,FALSE)</f>
        <v>4</v>
      </c>
      <c r="H1942" s="1" t="str">
        <f>VLOOKUP(B1942,'old-aw-skill-plan'!A:I,9,FALSE)</f>
        <v>4-6</v>
      </c>
    </row>
    <row r="1943" ht="15.75" customHeight="1">
      <c r="A1943" s="1" t="s">
        <v>35</v>
      </c>
      <c r="B1943" s="1" t="s">
        <v>314</v>
      </c>
      <c r="C1943" s="1" t="s">
        <v>11</v>
      </c>
      <c r="D1943" s="5">
        <v>45552.0</v>
      </c>
      <c r="G1943" s="1">
        <f>VLOOKUP(B1943,'old-aw-skill-plan'!A:I,7,FALSE)</f>
        <v>5</v>
      </c>
      <c r="H1943" s="1" t="str">
        <f>VLOOKUP(B1943,'old-aw-skill-plan'!A:I,9,FALSE)</f>
        <v>5-10</v>
      </c>
    </row>
    <row r="1944" ht="15.75" customHeight="1">
      <c r="A1944" s="1" t="s">
        <v>24</v>
      </c>
      <c r="B1944" s="1" t="s">
        <v>87</v>
      </c>
      <c r="C1944" s="1" t="s">
        <v>11</v>
      </c>
      <c r="D1944" s="5">
        <v>45552.0</v>
      </c>
      <c r="G1944" s="1">
        <f>VLOOKUP(B1944,'old-aw-skill-plan'!A:I,7,FALSE)</f>
        <v>5</v>
      </c>
      <c r="H1944" s="1" t="str">
        <f>VLOOKUP(B1944,'old-aw-skill-plan'!A:I,9,FALSE)</f>
        <v>5-6</v>
      </c>
    </row>
    <row r="1945" ht="15.75" customHeight="1">
      <c r="A1945" s="1" t="s">
        <v>207</v>
      </c>
      <c r="B1945" s="1" t="s">
        <v>88</v>
      </c>
      <c r="C1945" s="1" t="s">
        <v>11</v>
      </c>
      <c r="D1945" s="5">
        <v>45552.0</v>
      </c>
      <c r="G1945" s="1">
        <f>VLOOKUP(B1945,'old-aw-skill-plan'!A:I,7,FALSE)</f>
        <v>5</v>
      </c>
      <c r="H1945" s="1" t="str">
        <f>VLOOKUP(B1945,'old-aw-skill-plan'!A:I,9,FALSE)</f>
        <v>5-5</v>
      </c>
    </row>
    <row r="1946" ht="15.75" customHeight="1">
      <c r="A1946" s="1" t="s">
        <v>52</v>
      </c>
      <c r="B1946" s="1" t="s">
        <v>28</v>
      </c>
      <c r="C1946" s="1" t="s">
        <v>11</v>
      </c>
      <c r="D1946" s="5">
        <v>45552.0</v>
      </c>
      <c r="G1946" s="1">
        <f>VLOOKUP(B1946,'old-aw-skill-plan'!A:I,7,FALSE)</f>
        <v>3</v>
      </c>
      <c r="H1946" s="1" t="str">
        <f>VLOOKUP(B1946,'old-aw-skill-plan'!A:I,9,FALSE)</f>
        <v>3-4</v>
      </c>
    </row>
    <row r="1947" ht="15.75" customHeight="1">
      <c r="A1947" s="1" t="s">
        <v>52</v>
      </c>
      <c r="B1947" s="1" t="s">
        <v>30</v>
      </c>
      <c r="C1947" s="1" t="s">
        <v>11</v>
      </c>
      <c r="D1947" s="5">
        <v>45552.0</v>
      </c>
      <c r="G1947" s="1">
        <f>VLOOKUP(B1947,'old-aw-skill-plan'!A:I,7,FALSE)</f>
        <v>3</v>
      </c>
      <c r="H1947" s="1" t="str">
        <f>VLOOKUP(B1947,'old-aw-skill-plan'!A:I,9,FALSE)</f>
        <v>3-3</v>
      </c>
    </row>
    <row r="1948" ht="15.75" customHeight="1">
      <c r="A1948" s="1" t="s">
        <v>213</v>
      </c>
      <c r="B1948" s="1" t="s">
        <v>34</v>
      </c>
      <c r="C1948" s="1" t="s">
        <v>11</v>
      </c>
      <c r="D1948" s="5">
        <v>45552.0</v>
      </c>
      <c r="G1948" s="1">
        <f>VLOOKUP(B1948,'old-aw-skill-plan'!A:I,7,FALSE)</f>
        <v>4</v>
      </c>
      <c r="H1948" s="1" t="str">
        <f>VLOOKUP(B1948,'old-aw-skill-plan'!A:I,9,FALSE)</f>
        <v>4-1</v>
      </c>
    </row>
    <row r="1949" ht="15.75" customHeight="1">
      <c r="A1949" s="1" t="s">
        <v>199</v>
      </c>
      <c r="B1949" s="1" t="s">
        <v>79</v>
      </c>
      <c r="C1949" s="1" t="s">
        <v>11</v>
      </c>
      <c r="D1949" s="5">
        <v>45552.0</v>
      </c>
      <c r="G1949" s="1">
        <f>VLOOKUP(B1949,'old-aw-skill-plan'!A:I,7,FALSE)</f>
        <v>4</v>
      </c>
      <c r="H1949" s="1" t="str">
        <f>VLOOKUP(B1949,'old-aw-skill-plan'!A:I,9,FALSE)</f>
        <v>4-8</v>
      </c>
    </row>
    <row r="1950" ht="15.75" customHeight="1">
      <c r="A1950" s="1" t="s">
        <v>224</v>
      </c>
      <c r="B1950" s="1" t="s">
        <v>19</v>
      </c>
      <c r="C1950" s="1" t="s">
        <v>11</v>
      </c>
      <c r="D1950" s="5">
        <v>45552.0</v>
      </c>
      <c r="G1950" s="1">
        <f>VLOOKUP(B1950,'old-aw-skill-plan'!A:I,7,FALSE)</f>
        <v>4</v>
      </c>
      <c r="H1950" s="1" t="str">
        <f>VLOOKUP(B1950,'old-aw-skill-plan'!A:I,9,FALSE)</f>
        <v>4-7</v>
      </c>
    </row>
    <row r="1951" ht="15.75" customHeight="1">
      <c r="A1951" s="1" t="s">
        <v>220</v>
      </c>
      <c r="B1951" s="1" t="s">
        <v>44</v>
      </c>
      <c r="C1951" s="1" t="s">
        <v>11</v>
      </c>
      <c r="D1951" s="5">
        <v>45552.0</v>
      </c>
      <c r="G1951" s="1">
        <f>VLOOKUP(B1951,'old-aw-skill-plan'!A:I,7,FALSE)</f>
        <v>5</v>
      </c>
      <c r="H1951" s="1" t="str">
        <f>VLOOKUP(B1951,'old-aw-skill-plan'!A:I,9,FALSE)</f>
        <v>5-1</v>
      </c>
    </row>
    <row r="1952" ht="15.75" customHeight="1">
      <c r="A1952" s="1" t="s">
        <v>220</v>
      </c>
      <c r="B1952" s="1" t="s">
        <v>130</v>
      </c>
      <c r="C1952" s="1" t="s">
        <v>11</v>
      </c>
      <c r="D1952" s="5">
        <v>45552.0</v>
      </c>
      <c r="G1952" s="1">
        <f>VLOOKUP(B1952,'old-aw-skill-plan'!A:I,7,FALSE)</f>
        <v>8</v>
      </c>
      <c r="H1952" s="1" t="str">
        <f>VLOOKUP(B1952,'old-aw-skill-plan'!A:I,9,FALSE)</f>
        <v>8-1</v>
      </c>
    </row>
    <row r="1953" ht="15.75" customHeight="1">
      <c r="A1953" s="1" t="s">
        <v>220</v>
      </c>
      <c r="B1953" s="1" t="s">
        <v>120</v>
      </c>
      <c r="C1953" s="1" t="s">
        <v>11</v>
      </c>
      <c r="D1953" s="5">
        <v>45552.0</v>
      </c>
      <c r="G1953" s="1">
        <f>VLOOKUP(B1953,'old-aw-skill-plan'!A:I,7,FALSE)</f>
        <v>5</v>
      </c>
      <c r="H1953" s="1" t="str">
        <f>VLOOKUP(B1953,'old-aw-skill-plan'!A:I,9,FALSE)</f>
        <v>5-11</v>
      </c>
    </row>
    <row r="1954" ht="15.75" customHeight="1">
      <c r="A1954" s="1" t="s">
        <v>220</v>
      </c>
      <c r="B1954" s="1" t="s">
        <v>85</v>
      </c>
      <c r="C1954" s="1" t="s">
        <v>11</v>
      </c>
      <c r="D1954" s="5">
        <v>45552.0</v>
      </c>
      <c r="G1954" s="1">
        <f>VLOOKUP(B1954,'old-aw-skill-plan'!A:I,7,FALSE)</f>
        <v>5</v>
      </c>
      <c r="H1954" s="1" t="str">
        <f>VLOOKUP(B1954,'old-aw-skill-plan'!A:I,9,FALSE)</f>
        <v>5-8</v>
      </c>
    </row>
    <row r="1955" ht="15.75" customHeight="1">
      <c r="A1955" s="1" t="s">
        <v>196</v>
      </c>
      <c r="B1955" s="1" t="s">
        <v>28</v>
      </c>
      <c r="C1955" s="1" t="s">
        <v>11</v>
      </c>
      <c r="D1955" s="5">
        <v>45552.0</v>
      </c>
      <c r="G1955" s="1">
        <f>VLOOKUP(B1955,'old-aw-skill-plan'!A:I,7,FALSE)</f>
        <v>3</v>
      </c>
      <c r="H1955" s="1" t="str">
        <f>VLOOKUP(B1955,'old-aw-skill-plan'!A:I,9,FALSE)</f>
        <v>3-4</v>
      </c>
    </row>
    <row r="1956" ht="15.75" customHeight="1">
      <c r="A1956" s="1" t="s">
        <v>230</v>
      </c>
      <c r="B1956" s="1" t="s">
        <v>117</v>
      </c>
      <c r="C1956" s="1" t="s">
        <v>11</v>
      </c>
      <c r="D1956" s="5">
        <v>45552.0</v>
      </c>
      <c r="G1956" s="1">
        <f>VLOOKUP(B1956,'old-aw-skill-plan'!A:I,7,FALSE)</f>
        <v>3</v>
      </c>
      <c r="H1956" s="1" t="str">
        <f>VLOOKUP(B1956,'old-aw-skill-plan'!A:I,9,FALSE)</f>
        <v>3-11</v>
      </c>
    </row>
    <row r="1957" ht="15.75" customHeight="1">
      <c r="A1957" s="1" t="s">
        <v>230</v>
      </c>
      <c r="B1957" s="1" t="s">
        <v>335</v>
      </c>
      <c r="C1957" s="1" t="s">
        <v>11</v>
      </c>
      <c r="D1957" s="5">
        <v>45552.0</v>
      </c>
      <c r="G1957" s="1">
        <f>VLOOKUP(B1957,'old-aw-skill-plan'!A:I,7,FALSE)</f>
        <v>6</v>
      </c>
      <c r="H1957" s="1" t="str">
        <f>VLOOKUP(B1957,'old-aw-skill-plan'!A:I,9,FALSE)</f>
        <v>6-2</v>
      </c>
    </row>
    <row r="1958" ht="15.75" customHeight="1">
      <c r="A1958" s="1" t="s">
        <v>63</v>
      </c>
      <c r="B1958" s="1" t="s">
        <v>104</v>
      </c>
      <c r="C1958" s="1" t="s">
        <v>11</v>
      </c>
      <c r="D1958" s="5">
        <v>45552.0</v>
      </c>
      <c r="G1958" s="1">
        <f>VLOOKUP(B1958,'old-aw-skill-plan'!A:I,7,FALSE)</f>
        <v>5</v>
      </c>
      <c r="H1958" s="1" t="str">
        <f>VLOOKUP(B1958,'old-aw-skill-plan'!A:I,9,FALSE)</f>
        <v>5-2</v>
      </c>
    </row>
    <row r="1959" ht="15.75" customHeight="1">
      <c r="A1959" s="1" t="s">
        <v>68</v>
      </c>
      <c r="B1959" s="1" t="s">
        <v>10</v>
      </c>
      <c r="C1959" s="1" t="s">
        <v>11</v>
      </c>
      <c r="D1959" s="5">
        <v>45552.0</v>
      </c>
      <c r="G1959" s="1">
        <f>VLOOKUP(B1959,'old-aw-skill-plan'!A:I,7,FALSE)</f>
        <v>3</v>
      </c>
      <c r="H1959" s="1" t="str">
        <f>VLOOKUP(B1959,'old-aw-skill-plan'!A:I,9,FALSE)</f>
        <v>3-1</v>
      </c>
    </row>
    <row r="1960" ht="15.75" customHeight="1">
      <c r="A1960" s="1" t="s">
        <v>95</v>
      </c>
      <c r="B1960" s="1" t="s">
        <v>28</v>
      </c>
      <c r="C1960" s="1" t="s">
        <v>11</v>
      </c>
      <c r="D1960" s="5">
        <v>45552.0</v>
      </c>
      <c r="G1960" s="1">
        <f>VLOOKUP(B1960,'old-aw-skill-plan'!A:I,7,FALSE)</f>
        <v>3</v>
      </c>
      <c r="H1960" s="1" t="str">
        <f>VLOOKUP(B1960,'old-aw-skill-plan'!A:I,9,FALSE)</f>
        <v>3-4</v>
      </c>
    </row>
    <row r="1961" ht="15.75" customHeight="1">
      <c r="A1961" s="1" t="s">
        <v>214</v>
      </c>
      <c r="B1961" s="1" t="s">
        <v>103</v>
      </c>
      <c r="C1961" s="1" t="s">
        <v>11</v>
      </c>
      <c r="D1961" s="5">
        <v>45552.0</v>
      </c>
      <c r="G1961" s="1">
        <f>VLOOKUP(B1961,'old-aw-skill-plan'!A:I,7,FALSE)</f>
        <v>5</v>
      </c>
      <c r="H1961" s="1" t="str">
        <f>VLOOKUP(B1961,'old-aw-skill-plan'!A:I,9,FALSE)</f>
        <v>5-3</v>
      </c>
    </row>
    <row r="1962" ht="15.75" customHeight="1">
      <c r="A1962" s="1" t="s">
        <v>197</v>
      </c>
      <c r="B1962" s="1" t="s">
        <v>314</v>
      </c>
      <c r="C1962" s="1" t="s">
        <v>11</v>
      </c>
      <c r="D1962" s="5">
        <v>45552.0</v>
      </c>
      <c r="G1962" s="1">
        <f>VLOOKUP(B1962,'old-aw-skill-plan'!A:I,7,FALSE)</f>
        <v>5</v>
      </c>
      <c r="H1962" s="1" t="str">
        <f>VLOOKUP(B1962,'old-aw-skill-plan'!A:I,9,FALSE)</f>
        <v>5-10</v>
      </c>
    </row>
    <row r="1963" ht="15.75" customHeight="1">
      <c r="A1963" s="1" t="s">
        <v>74</v>
      </c>
      <c r="B1963" s="1" t="s">
        <v>44</v>
      </c>
      <c r="C1963" s="1" t="s">
        <v>11</v>
      </c>
      <c r="D1963" s="5">
        <v>45552.0</v>
      </c>
      <c r="G1963" s="1">
        <f>VLOOKUP(B1963,'old-aw-skill-plan'!A:I,7,FALSE)</f>
        <v>5</v>
      </c>
      <c r="H1963" s="1" t="str">
        <f>VLOOKUP(B1963,'old-aw-skill-plan'!A:I,9,FALSE)</f>
        <v>5-1</v>
      </c>
    </row>
    <row r="1964" ht="15.75" customHeight="1">
      <c r="A1964" s="1" t="s">
        <v>205</v>
      </c>
      <c r="B1964" s="1" t="s">
        <v>25</v>
      </c>
      <c r="C1964" s="1" t="s">
        <v>11</v>
      </c>
      <c r="D1964" s="5">
        <v>45552.0</v>
      </c>
      <c r="G1964" s="1">
        <f>VLOOKUP(B1964,'old-aw-skill-plan'!A:I,7,FALSE)</f>
        <v>5</v>
      </c>
      <c r="H1964" s="1" t="str">
        <f>VLOOKUP(B1964,'old-aw-skill-plan'!A:I,9,FALSE)</f>
        <v>5-4</v>
      </c>
    </row>
    <row r="1965" ht="15.75" customHeight="1">
      <c r="A1965" s="1" t="s">
        <v>75</v>
      </c>
      <c r="B1965" s="1" t="s">
        <v>116</v>
      </c>
      <c r="C1965" s="1" t="s">
        <v>11</v>
      </c>
      <c r="D1965" s="5">
        <v>45552.0</v>
      </c>
      <c r="G1965" s="1">
        <f>VLOOKUP(B1965,'old-aw-skill-plan'!A:I,7,FALSE)</f>
        <v>3</v>
      </c>
      <c r="H1965" s="1" t="str">
        <f>VLOOKUP(B1965,'old-aw-skill-plan'!A:I,9,FALSE)</f>
        <v>3-9</v>
      </c>
    </row>
    <row r="1966" ht="15.75" customHeight="1">
      <c r="A1966" s="1" t="s">
        <v>77</v>
      </c>
      <c r="B1966" s="1" t="s">
        <v>61</v>
      </c>
      <c r="C1966" s="1" t="s">
        <v>11</v>
      </c>
      <c r="D1966" s="5">
        <v>45552.0</v>
      </c>
      <c r="G1966" s="1">
        <f>VLOOKUP(B1966,'old-aw-skill-plan'!A:I,7,FALSE)</f>
        <v>4</v>
      </c>
      <c r="H1966" s="1" t="str">
        <f>VLOOKUP(B1966,'old-aw-skill-plan'!A:I,9,FALSE)</f>
        <v>4-4</v>
      </c>
    </row>
    <row r="1967" ht="15.75" customHeight="1">
      <c r="A1967" s="1" t="s">
        <v>100</v>
      </c>
      <c r="B1967" s="1" t="s">
        <v>325</v>
      </c>
      <c r="C1967" s="1" t="s">
        <v>11</v>
      </c>
      <c r="D1967" s="5">
        <v>45552.0</v>
      </c>
      <c r="G1967" s="1" t="str">
        <f>VLOOKUP(B1967,'old-aw-skill-plan'!A:I,7,FALSE)</f>
        <v>#N/A</v>
      </c>
      <c r="H1967" s="1" t="str">
        <f>VLOOKUP(B1967,'old-aw-skill-plan'!A:I,9,FALSE)</f>
        <v>#N/A</v>
      </c>
    </row>
    <row r="1968" ht="15.75" customHeight="1">
      <c r="A1968" s="1" t="s">
        <v>100</v>
      </c>
      <c r="B1968" s="1" t="s">
        <v>388</v>
      </c>
      <c r="C1968" s="1" t="s">
        <v>11</v>
      </c>
      <c r="D1968" s="5">
        <v>45552.0</v>
      </c>
      <c r="G1968" s="1" t="str">
        <f>VLOOKUP(B1968,'old-aw-skill-plan'!A:I,7,FALSE)</f>
        <v>#N/A</v>
      </c>
      <c r="H1968" s="1" t="str">
        <f>VLOOKUP(B1968,'old-aw-skill-plan'!A:I,9,FALSE)</f>
        <v>#N/A</v>
      </c>
    </row>
    <row r="1969" ht="15.75" customHeight="1">
      <c r="A1969" s="1" t="s">
        <v>82</v>
      </c>
      <c r="B1969" s="1" t="s">
        <v>47</v>
      </c>
      <c r="C1969" s="1" t="s">
        <v>11</v>
      </c>
      <c r="D1969" s="5">
        <v>45552.0</v>
      </c>
      <c r="G1969" s="1">
        <f>VLOOKUP(B1969,'old-aw-skill-plan'!A:I,7,FALSE)</f>
        <v>3</v>
      </c>
      <c r="H1969" s="1" t="str">
        <f>VLOOKUP(B1969,'old-aw-skill-plan'!A:I,9,FALSE)</f>
        <v>3-2</v>
      </c>
    </row>
    <row r="1970" ht="15.75" customHeight="1">
      <c r="A1970" s="1" t="s">
        <v>82</v>
      </c>
      <c r="B1970" s="1" t="s">
        <v>44</v>
      </c>
      <c r="C1970" s="1" t="s">
        <v>11</v>
      </c>
      <c r="D1970" s="5">
        <v>45552.0</v>
      </c>
      <c r="G1970" s="1">
        <f>VLOOKUP(B1970,'old-aw-skill-plan'!A:I,7,FALSE)</f>
        <v>5</v>
      </c>
      <c r="H1970" s="1" t="str">
        <f>VLOOKUP(B1970,'old-aw-skill-plan'!A:I,9,FALSE)</f>
        <v>5-1</v>
      </c>
    </row>
    <row r="1971" ht="15.75" customHeight="1">
      <c r="A1971" s="1" t="s">
        <v>226</v>
      </c>
      <c r="B1971" s="1" t="s">
        <v>87</v>
      </c>
      <c r="C1971" s="1" t="s">
        <v>11</v>
      </c>
      <c r="D1971" s="5">
        <v>45552.0</v>
      </c>
      <c r="G1971" s="1">
        <f>VLOOKUP(B1971,'old-aw-skill-plan'!A:I,7,FALSE)</f>
        <v>5</v>
      </c>
      <c r="H1971" s="1" t="str">
        <f>VLOOKUP(B1971,'old-aw-skill-plan'!A:I,9,FALSE)</f>
        <v>5-6</v>
      </c>
    </row>
    <row r="1972" ht="15.75" customHeight="1">
      <c r="A1972" s="1" t="s">
        <v>326</v>
      </c>
      <c r="B1972" s="1" t="s">
        <v>25</v>
      </c>
      <c r="C1972" s="1" t="s">
        <v>11</v>
      </c>
      <c r="D1972" s="5">
        <v>45552.0</v>
      </c>
      <c r="G1972" s="1">
        <f>VLOOKUP(B1972,'old-aw-skill-plan'!A:I,7,FALSE)</f>
        <v>5</v>
      </c>
      <c r="H1972" s="1" t="str">
        <f>VLOOKUP(B1972,'old-aw-skill-plan'!A:I,9,FALSE)</f>
        <v>5-4</v>
      </c>
    </row>
    <row r="1973" ht="15.75" customHeight="1">
      <c r="A1973" s="1" t="s">
        <v>225</v>
      </c>
      <c r="B1973" s="1" t="s">
        <v>314</v>
      </c>
      <c r="C1973" s="1" t="s">
        <v>11</v>
      </c>
      <c r="D1973" s="5">
        <v>45552.0</v>
      </c>
      <c r="G1973" s="1">
        <f>VLOOKUP(B1973,'old-aw-skill-plan'!A:I,7,FALSE)</f>
        <v>5</v>
      </c>
      <c r="H1973" s="1" t="str">
        <f>VLOOKUP(B1973,'old-aw-skill-plan'!A:I,9,FALSE)</f>
        <v>5-10</v>
      </c>
    </row>
    <row r="1974" ht="15.75" customHeight="1">
      <c r="A1974" s="1" t="s">
        <v>35</v>
      </c>
      <c r="B1974" s="1" t="s">
        <v>391</v>
      </c>
      <c r="C1974" s="1" t="s">
        <v>11</v>
      </c>
      <c r="D1974" s="5">
        <v>45551.0</v>
      </c>
      <c r="G1974" s="1">
        <f>VLOOKUP(B1974,'old-aw-skill-plan'!A:I,7,FALSE)</f>
        <v>7</v>
      </c>
      <c r="H1974" s="1" t="str">
        <f>VLOOKUP(B1974,'old-aw-skill-plan'!A:I,9,FALSE)</f>
        <v>7-3</v>
      </c>
    </row>
    <row r="1975" ht="15.75" customHeight="1">
      <c r="A1975" s="1" t="s">
        <v>35</v>
      </c>
      <c r="B1975" s="1" t="s">
        <v>370</v>
      </c>
      <c r="C1975" s="1" t="s">
        <v>11</v>
      </c>
      <c r="D1975" s="5">
        <v>45551.0</v>
      </c>
      <c r="G1975" s="1">
        <f>VLOOKUP(B1975,'old-aw-skill-plan'!A:I,7,FALSE)</f>
        <v>4</v>
      </c>
      <c r="H1975" s="1" t="str">
        <f>VLOOKUP(B1975,'old-aw-skill-plan'!A:I,9,FALSE)</f>
        <v>4-6</v>
      </c>
    </row>
    <row r="1976" ht="15.75" customHeight="1">
      <c r="A1976" s="1" t="s">
        <v>35</v>
      </c>
      <c r="B1976" s="1" t="s">
        <v>314</v>
      </c>
      <c r="C1976" s="1" t="s">
        <v>11</v>
      </c>
      <c r="D1976" s="5">
        <v>45551.0</v>
      </c>
      <c r="G1976" s="1">
        <f>VLOOKUP(B1976,'old-aw-skill-plan'!A:I,7,FALSE)</f>
        <v>5</v>
      </c>
      <c r="H1976" s="1" t="str">
        <f>VLOOKUP(B1976,'old-aw-skill-plan'!A:I,9,FALSE)</f>
        <v>5-10</v>
      </c>
    </row>
    <row r="1977" ht="15.75" customHeight="1">
      <c r="A1977" s="1" t="s">
        <v>24</v>
      </c>
      <c r="B1977" s="1" t="s">
        <v>25</v>
      </c>
      <c r="C1977" s="1" t="s">
        <v>11</v>
      </c>
      <c r="D1977" s="5">
        <v>45551.0</v>
      </c>
      <c r="G1977" s="1">
        <f>VLOOKUP(B1977,'old-aw-skill-plan'!A:I,7,FALSE)</f>
        <v>5</v>
      </c>
      <c r="H1977" s="1" t="str">
        <f>VLOOKUP(B1977,'old-aw-skill-plan'!A:I,9,FALSE)</f>
        <v>5-4</v>
      </c>
    </row>
    <row r="1978" ht="15.75" customHeight="1">
      <c r="A1978" s="1" t="s">
        <v>24</v>
      </c>
      <c r="B1978" s="1" t="s">
        <v>103</v>
      </c>
      <c r="C1978" s="1" t="s">
        <v>11</v>
      </c>
      <c r="D1978" s="5">
        <v>45551.0</v>
      </c>
      <c r="G1978" s="1">
        <f>VLOOKUP(B1978,'old-aw-skill-plan'!A:I,7,FALSE)</f>
        <v>5</v>
      </c>
      <c r="H1978" s="1" t="str">
        <f>VLOOKUP(B1978,'old-aw-skill-plan'!A:I,9,FALSE)</f>
        <v>5-3</v>
      </c>
    </row>
    <row r="1979" ht="15.75" customHeight="1">
      <c r="A1979" s="1" t="s">
        <v>24</v>
      </c>
      <c r="B1979" s="1" t="s">
        <v>104</v>
      </c>
      <c r="C1979" s="1" t="s">
        <v>11</v>
      </c>
      <c r="D1979" s="5">
        <v>45551.0</v>
      </c>
      <c r="G1979" s="1">
        <f>VLOOKUP(B1979,'old-aw-skill-plan'!A:I,7,FALSE)</f>
        <v>5</v>
      </c>
      <c r="H1979" s="1" t="str">
        <f>VLOOKUP(B1979,'old-aw-skill-plan'!A:I,9,FALSE)</f>
        <v>5-2</v>
      </c>
    </row>
    <row r="1980" ht="15.75" customHeight="1">
      <c r="A1980" s="1" t="s">
        <v>24</v>
      </c>
      <c r="B1980" s="1" t="s">
        <v>88</v>
      </c>
      <c r="C1980" s="1" t="s">
        <v>11</v>
      </c>
      <c r="D1980" s="5">
        <v>45551.0</v>
      </c>
      <c r="G1980" s="1">
        <f>VLOOKUP(B1980,'old-aw-skill-plan'!A:I,7,FALSE)</f>
        <v>5</v>
      </c>
      <c r="H1980" s="1" t="str">
        <f>VLOOKUP(B1980,'old-aw-skill-plan'!A:I,9,FALSE)</f>
        <v>5-5</v>
      </c>
    </row>
    <row r="1981" ht="15.75" customHeight="1">
      <c r="A1981" s="1" t="s">
        <v>52</v>
      </c>
      <c r="B1981" s="1" t="s">
        <v>47</v>
      </c>
      <c r="C1981" s="1" t="s">
        <v>11</v>
      </c>
      <c r="D1981" s="5">
        <v>45551.0</v>
      </c>
      <c r="G1981" s="1">
        <f>VLOOKUP(B1981,'old-aw-skill-plan'!A:I,7,FALSE)</f>
        <v>3</v>
      </c>
      <c r="H1981" s="1" t="str">
        <f>VLOOKUP(B1981,'old-aw-skill-plan'!A:I,9,FALSE)</f>
        <v>3-2</v>
      </c>
    </row>
    <row r="1982" ht="15.75" customHeight="1">
      <c r="A1982" s="1" t="s">
        <v>199</v>
      </c>
      <c r="B1982" s="1" t="s">
        <v>79</v>
      </c>
      <c r="C1982" s="1" t="s">
        <v>11</v>
      </c>
      <c r="D1982" s="5">
        <v>45551.0</v>
      </c>
      <c r="G1982" s="1">
        <f>VLOOKUP(B1982,'old-aw-skill-plan'!A:I,7,FALSE)</f>
        <v>4</v>
      </c>
      <c r="H1982" s="1" t="str">
        <f>VLOOKUP(B1982,'old-aw-skill-plan'!A:I,9,FALSE)</f>
        <v>4-8</v>
      </c>
    </row>
    <row r="1983" ht="15.75" customHeight="1">
      <c r="A1983" s="1" t="s">
        <v>224</v>
      </c>
      <c r="B1983" s="1" t="s">
        <v>21</v>
      </c>
      <c r="C1983" s="1" t="s">
        <v>11</v>
      </c>
      <c r="D1983" s="5">
        <v>45551.0</v>
      </c>
      <c r="G1983" s="1">
        <f>VLOOKUP(B1983,'old-aw-skill-plan'!A:I,7,FALSE)</f>
        <v>4</v>
      </c>
      <c r="H1983" s="1" t="str">
        <f>VLOOKUP(B1983,'old-aw-skill-plan'!A:I,9,FALSE)</f>
        <v>4-6</v>
      </c>
    </row>
    <row r="1984" ht="15.75" customHeight="1">
      <c r="A1984" s="1" t="s">
        <v>220</v>
      </c>
      <c r="B1984" s="1" t="s">
        <v>314</v>
      </c>
      <c r="C1984" s="1" t="s">
        <v>11</v>
      </c>
      <c r="D1984" s="5">
        <v>45551.0</v>
      </c>
      <c r="G1984" s="1">
        <f>VLOOKUP(B1984,'old-aw-skill-plan'!A:I,7,FALSE)</f>
        <v>5</v>
      </c>
      <c r="H1984" s="1" t="str">
        <f>VLOOKUP(B1984,'old-aw-skill-plan'!A:I,9,FALSE)</f>
        <v>5-10</v>
      </c>
    </row>
    <row r="1985" ht="15.75" customHeight="1">
      <c r="A1985" s="1" t="s">
        <v>220</v>
      </c>
      <c r="B1985" s="1" t="s">
        <v>25</v>
      </c>
      <c r="C1985" s="1" t="s">
        <v>11</v>
      </c>
      <c r="D1985" s="5">
        <v>45551.0</v>
      </c>
      <c r="G1985" s="1">
        <f>VLOOKUP(B1985,'old-aw-skill-plan'!A:I,7,FALSE)</f>
        <v>5</v>
      </c>
      <c r="H1985" s="1" t="str">
        <f>VLOOKUP(B1985,'old-aw-skill-plan'!A:I,9,FALSE)</f>
        <v>5-4</v>
      </c>
    </row>
    <row r="1986" ht="15.75" customHeight="1">
      <c r="A1986" s="1" t="s">
        <v>220</v>
      </c>
      <c r="B1986" s="1" t="s">
        <v>44</v>
      </c>
      <c r="C1986" s="1" t="s">
        <v>11</v>
      </c>
      <c r="D1986" s="5">
        <v>45551.0</v>
      </c>
      <c r="G1986" s="1">
        <f>VLOOKUP(B1986,'old-aw-skill-plan'!A:I,7,FALSE)</f>
        <v>5</v>
      </c>
      <c r="H1986" s="1" t="str">
        <f>VLOOKUP(B1986,'old-aw-skill-plan'!A:I,9,FALSE)</f>
        <v>5-1</v>
      </c>
    </row>
    <row r="1987" ht="15.75" customHeight="1">
      <c r="A1987" s="1" t="s">
        <v>220</v>
      </c>
      <c r="B1987" s="1" t="s">
        <v>84</v>
      </c>
      <c r="C1987" s="1" t="s">
        <v>11</v>
      </c>
      <c r="D1987" s="5">
        <v>45551.0</v>
      </c>
      <c r="G1987" s="1">
        <f>VLOOKUP(B1987,'old-aw-skill-plan'!A:I,7,FALSE)</f>
        <v>5</v>
      </c>
      <c r="H1987" s="1" t="str">
        <f>VLOOKUP(B1987,'old-aw-skill-plan'!A:I,9,FALSE)</f>
        <v>5-7</v>
      </c>
    </row>
    <row r="1988" ht="15.75" customHeight="1">
      <c r="A1988" s="1" t="s">
        <v>220</v>
      </c>
      <c r="B1988" s="1" t="s">
        <v>104</v>
      </c>
      <c r="C1988" s="1" t="s">
        <v>11</v>
      </c>
      <c r="D1988" s="5">
        <v>45551.0</v>
      </c>
      <c r="G1988" s="1">
        <f>VLOOKUP(B1988,'old-aw-skill-plan'!A:I,7,FALSE)</f>
        <v>5</v>
      </c>
      <c r="H1988" s="1" t="str">
        <f>VLOOKUP(B1988,'old-aw-skill-plan'!A:I,9,FALSE)</f>
        <v>5-2</v>
      </c>
    </row>
    <row r="1989" ht="15.75" customHeight="1">
      <c r="A1989" s="1" t="s">
        <v>220</v>
      </c>
      <c r="B1989" s="1" t="s">
        <v>87</v>
      </c>
      <c r="C1989" s="1" t="s">
        <v>11</v>
      </c>
      <c r="D1989" s="5">
        <v>45551.0</v>
      </c>
      <c r="G1989" s="1">
        <f>VLOOKUP(B1989,'old-aw-skill-plan'!A:I,7,FALSE)</f>
        <v>5</v>
      </c>
      <c r="H1989" s="1" t="str">
        <f>VLOOKUP(B1989,'old-aw-skill-plan'!A:I,9,FALSE)</f>
        <v>5-6</v>
      </c>
    </row>
    <row r="1990" ht="15.75" customHeight="1">
      <c r="A1990" s="1" t="s">
        <v>220</v>
      </c>
      <c r="B1990" s="1" t="s">
        <v>88</v>
      </c>
      <c r="C1990" s="1" t="s">
        <v>11</v>
      </c>
      <c r="D1990" s="5">
        <v>45551.0</v>
      </c>
      <c r="G1990" s="1">
        <f>VLOOKUP(B1990,'old-aw-skill-plan'!A:I,7,FALSE)</f>
        <v>5</v>
      </c>
      <c r="H1990" s="1" t="str">
        <f>VLOOKUP(B1990,'old-aw-skill-plan'!A:I,9,FALSE)</f>
        <v>5-5</v>
      </c>
    </row>
    <row r="1991" ht="15.75" customHeight="1">
      <c r="A1991" s="1" t="s">
        <v>196</v>
      </c>
      <c r="B1991" s="1" t="s">
        <v>28</v>
      </c>
      <c r="C1991" s="1" t="s">
        <v>11</v>
      </c>
      <c r="D1991" s="5">
        <v>45551.0</v>
      </c>
      <c r="G1991" s="1">
        <f>VLOOKUP(B1991,'old-aw-skill-plan'!A:I,7,FALSE)</f>
        <v>3</v>
      </c>
      <c r="H1991" s="1" t="str">
        <f>VLOOKUP(B1991,'old-aw-skill-plan'!A:I,9,FALSE)</f>
        <v>3-4</v>
      </c>
    </row>
    <row r="1992" ht="15.75" customHeight="1">
      <c r="A1992" s="1" t="s">
        <v>196</v>
      </c>
      <c r="B1992" s="1" t="s">
        <v>30</v>
      </c>
      <c r="C1992" s="1" t="s">
        <v>11</v>
      </c>
      <c r="D1992" s="5">
        <v>45551.0</v>
      </c>
      <c r="G1992" s="1">
        <f>VLOOKUP(B1992,'old-aw-skill-plan'!A:I,7,FALSE)</f>
        <v>3</v>
      </c>
      <c r="H1992" s="1" t="str">
        <f>VLOOKUP(B1992,'old-aw-skill-plan'!A:I,9,FALSE)</f>
        <v>3-3</v>
      </c>
    </row>
    <row r="1993" ht="15.75" customHeight="1">
      <c r="A1993" s="1" t="s">
        <v>231</v>
      </c>
      <c r="B1993" s="1" t="s">
        <v>85</v>
      </c>
      <c r="C1993" s="1" t="s">
        <v>11</v>
      </c>
      <c r="D1993" s="5">
        <v>45551.0</v>
      </c>
      <c r="G1993" s="1">
        <f>VLOOKUP(B1993,'old-aw-skill-plan'!A:I,7,FALSE)</f>
        <v>5</v>
      </c>
      <c r="H1993" s="1" t="str">
        <f>VLOOKUP(B1993,'old-aw-skill-plan'!A:I,9,FALSE)</f>
        <v>5-8</v>
      </c>
    </row>
    <row r="1994" ht="15.75" customHeight="1">
      <c r="A1994" s="1" t="s">
        <v>230</v>
      </c>
      <c r="B1994" s="1" t="s">
        <v>91</v>
      </c>
      <c r="C1994" s="1" t="s">
        <v>11</v>
      </c>
      <c r="D1994" s="5">
        <v>45551.0</v>
      </c>
      <c r="G1994" s="1">
        <f>VLOOKUP(B1994,'old-aw-skill-plan'!A:I,7,FALSE)</f>
        <v>6</v>
      </c>
      <c r="H1994" s="1" t="str">
        <f>VLOOKUP(B1994,'old-aw-skill-plan'!A:I,9,FALSE)</f>
        <v>6-1</v>
      </c>
    </row>
    <row r="1995" ht="15.75" customHeight="1">
      <c r="A1995" s="1" t="s">
        <v>230</v>
      </c>
      <c r="B1995" s="1" t="s">
        <v>118</v>
      </c>
      <c r="C1995" s="1" t="s">
        <v>11</v>
      </c>
      <c r="D1995" s="5">
        <v>45551.0</v>
      </c>
      <c r="G1995" s="1">
        <f>VLOOKUP(B1995,'old-aw-skill-plan'!A:I,7,FALSE)</f>
        <v>3</v>
      </c>
      <c r="H1995" s="1" t="str">
        <f>VLOOKUP(B1995,'old-aw-skill-plan'!A:I,9,FALSE)</f>
        <v>3-12</v>
      </c>
    </row>
    <row r="1996" ht="15.75" customHeight="1">
      <c r="A1996" s="1" t="s">
        <v>68</v>
      </c>
      <c r="B1996" s="1" t="s">
        <v>10</v>
      </c>
      <c r="C1996" s="1" t="s">
        <v>11</v>
      </c>
      <c r="D1996" s="5">
        <v>45551.0</v>
      </c>
      <c r="G1996" s="1">
        <f>VLOOKUP(B1996,'old-aw-skill-plan'!A:I,7,FALSE)</f>
        <v>3</v>
      </c>
      <c r="H1996" s="1" t="str">
        <f>VLOOKUP(B1996,'old-aw-skill-plan'!A:I,9,FALSE)</f>
        <v>3-1</v>
      </c>
    </row>
    <row r="1997" ht="15.75" customHeight="1">
      <c r="A1997" s="1" t="s">
        <v>95</v>
      </c>
      <c r="B1997" s="1" t="s">
        <v>28</v>
      </c>
      <c r="C1997" s="1" t="s">
        <v>11</v>
      </c>
      <c r="D1997" s="5">
        <v>45551.0</v>
      </c>
      <c r="G1997" s="1">
        <f>VLOOKUP(B1997,'old-aw-skill-plan'!A:I,7,FALSE)</f>
        <v>3</v>
      </c>
      <c r="H1997" s="1" t="str">
        <f>VLOOKUP(B1997,'old-aw-skill-plan'!A:I,9,FALSE)</f>
        <v>3-4</v>
      </c>
    </row>
    <row r="1998" ht="15.75" customHeight="1">
      <c r="A1998" s="1" t="s">
        <v>214</v>
      </c>
      <c r="B1998" s="1" t="s">
        <v>104</v>
      </c>
      <c r="C1998" s="1" t="s">
        <v>11</v>
      </c>
      <c r="D1998" s="5">
        <v>45551.0</v>
      </c>
      <c r="G1998" s="1">
        <f>VLOOKUP(B1998,'old-aw-skill-plan'!A:I,7,FALSE)</f>
        <v>5</v>
      </c>
      <c r="H1998" s="1" t="str">
        <f>VLOOKUP(B1998,'old-aw-skill-plan'!A:I,9,FALSE)</f>
        <v>5-2</v>
      </c>
    </row>
    <row r="1999" ht="15.75" customHeight="1">
      <c r="A1999" s="1" t="s">
        <v>197</v>
      </c>
      <c r="B1999" s="1" t="s">
        <v>314</v>
      </c>
      <c r="C1999" s="1" t="s">
        <v>11</v>
      </c>
      <c r="D1999" s="5">
        <v>45551.0</v>
      </c>
      <c r="G1999" s="1">
        <f>VLOOKUP(B1999,'old-aw-skill-plan'!A:I,7,FALSE)</f>
        <v>5</v>
      </c>
      <c r="H1999" s="1" t="str">
        <f>VLOOKUP(B1999,'old-aw-skill-plan'!A:I,9,FALSE)</f>
        <v>5-10</v>
      </c>
    </row>
    <row r="2000" ht="15.75" customHeight="1">
      <c r="A2000" s="1" t="s">
        <v>74</v>
      </c>
      <c r="B2000" s="1" t="s">
        <v>44</v>
      </c>
      <c r="C2000" s="1" t="s">
        <v>11</v>
      </c>
      <c r="D2000" s="5">
        <v>45551.0</v>
      </c>
      <c r="G2000" s="1">
        <f>VLOOKUP(B2000,'old-aw-skill-plan'!A:I,7,FALSE)</f>
        <v>5</v>
      </c>
      <c r="H2000" s="1" t="str">
        <f>VLOOKUP(B2000,'old-aw-skill-plan'!A:I,9,FALSE)</f>
        <v>5-1</v>
      </c>
    </row>
    <row r="2001" ht="15.75" customHeight="1">
      <c r="A2001" s="1" t="s">
        <v>205</v>
      </c>
      <c r="B2001" s="1" t="s">
        <v>103</v>
      </c>
      <c r="C2001" s="1" t="s">
        <v>11</v>
      </c>
      <c r="D2001" s="5">
        <v>45551.0</v>
      </c>
      <c r="G2001" s="1">
        <f>VLOOKUP(B2001,'old-aw-skill-plan'!A:I,7,FALSE)</f>
        <v>5</v>
      </c>
      <c r="H2001" s="1" t="str">
        <f>VLOOKUP(B2001,'old-aw-skill-plan'!A:I,9,FALSE)</f>
        <v>5-3</v>
      </c>
    </row>
    <row r="2002" ht="15.75" customHeight="1">
      <c r="A2002" s="1" t="s">
        <v>181</v>
      </c>
      <c r="B2002" s="1" t="s">
        <v>25</v>
      </c>
      <c r="C2002" s="1" t="s">
        <v>11</v>
      </c>
      <c r="D2002" s="5">
        <v>45551.0</v>
      </c>
      <c r="G2002" s="1">
        <f>VLOOKUP(B2002,'old-aw-skill-plan'!A:I,7,FALSE)</f>
        <v>5</v>
      </c>
      <c r="H2002" s="1" t="str">
        <f>VLOOKUP(B2002,'old-aw-skill-plan'!A:I,9,FALSE)</f>
        <v>5-4</v>
      </c>
    </row>
    <row r="2003" ht="15.75" customHeight="1">
      <c r="A2003" s="1" t="s">
        <v>75</v>
      </c>
      <c r="B2003" s="1" t="s">
        <v>116</v>
      </c>
      <c r="C2003" s="1" t="s">
        <v>11</v>
      </c>
      <c r="D2003" s="5">
        <v>45551.0</v>
      </c>
      <c r="G2003" s="1">
        <f>VLOOKUP(B2003,'old-aw-skill-plan'!A:I,7,FALSE)</f>
        <v>3</v>
      </c>
      <c r="H2003" s="1" t="str">
        <f>VLOOKUP(B2003,'old-aw-skill-plan'!A:I,9,FALSE)</f>
        <v>3-9</v>
      </c>
    </row>
    <row r="2004" ht="15.75" customHeight="1">
      <c r="A2004" s="1" t="s">
        <v>100</v>
      </c>
      <c r="B2004" s="1" t="s">
        <v>325</v>
      </c>
      <c r="C2004" s="1" t="s">
        <v>11</v>
      </c>
      <c r="D2004" s="5">
        <v>45551.0</v>
      </c>
      <c r="G2004" s="1" t="str">
        <f>VLOOKUP(B2004,'old-aw-skill-plan'!A:I,7,FALSE)</f>
        <v>#N/A</v>
      </c>
      <c r="H2004" s="1" t="str">
        <f>VLOOKUP(B2004,'old-aw-skill-plan'!A:I,9,FALSE)</f>
        <v>#N/A</v>
      </c>
    </row>
    <row r="2005" ht="15.75" customHeight="1">
      <c r="A2005" s="1" t="s">
        <v>226</v>
      </c>
      <c r="B2005" s="1" t="s">
        <v>87</v>
      </c>
      <c r="C2005" s="1" t="s">
        <v>11</v>
      </c>
      <c r="D2005" s="5">
        <v>45551.0</v>
      </c>
      <c r="G2005" s="1">
        <f>VLOOKUP(B2005,'old-aw-skill-plan'!A:I,7,FALSE)</f>
        <v>5</v>
      </c>
      <c r="H2005" s="1" t="str">
        <f>VLOOKUP(B2005,'old-aw-skill-plan'!A:I,9,FALSE)</f>
        <v>5-6</v>
      </c>
    </row>
    <row r="2006" ht="15.75" customHeight="1">
      <c r="A2006" s="1" t="s">
        <v>326</v>
      </c>
      <c r="B2006" s="1" t="s">
        <v>25</v>
      </c>
      <c r="C2006" s="1" t="s">
        <v>11</v>
      </c>
      <c r="D2006" s="5">
        <v>45551.0</v>
      </c>
      <c r="G2006" s="1">
        <f>VLOOKUP(B2006,'old-aw-skill-plan'!A:I,7,FALSE)</f>
        <v>5</v>
      </c>
      <c r="H2006" s="1" t="str">
        <f>VLOOKUP(B2006,'old-aw-skill-plan'!A:I,9,FALSE)</f>
        <v>5-4</v>
      </c>
    </row>
    <row r="2007" ht="15.75" customHeight="1">
      <c r="A2007" s="1" t="s">
        <v>225</v>
      </c>
      <c r="B2007" s="1" t="s">
        <v>314</v>
      </c>
      <c r="C2007" s="1" t="s">
        <v>11</v>
      </c>
      <c r="D2007" s="5">
        <v>45551.0</v>
      </c>
      <c r="G2007" s="1">
        <f>VLOOKUP(B2007,'old-aw-skill-plan'!A:I,7,FALSE)</f>
        <v>5</v>
      </c>
      <c r="H2007" s="1" t="str">
        <f>VLOOKUP(B2007,'old-aw-skill-plan'!A:I,9,FALSE)</f>
        <v>5-10</v>
      </c>
    </row>
    <row r="2008" ht="15.75" customHeight="1">
      <c r="A2008" s="1" t="s">
        <v>35</v>
      </c>
      <c r="B2008" s="1" t="s">
        <v>363</v>
      </c>
      <c r="C2008" s="1" t="s">
        <v>11</v>
      </c>
      <c r="D2008" s="5">
        <v>45550.0</v>
      </c>
      <c r="G2008" s="1">
        <f>VLOOKUP(B2008,'old-aw-skill-plan'!A:I,7,FALSE)</f>
        <v>7</v>
      </c>
      <c r="H2008" s="1" t="str">
        <f>VLOOKUP(B2008,'old-aw-skill-plan'!A:I,9,FALSE)</f>
        <v>7-1</v>
      </c>
    </row>
    <row r="2009" ht="15.75" customHeight="1">
      <c r="A2009" s="1" t="s">
        <v>35</v>
      </c>
      <c r="B2009" s="1" t="s">
        <v>42</v>
      </c>
      <c r="C2009" s="1" t="s">
        <v>11</v>
      </c>
      <c r="D2009" s="5">
        <v>45550.0</v>
      </c>
      <c r="G2009" s="1">
        <f>VLOOKUP(B2009,'old-aw-skill-plan'!A:I,7,FALSE)</f>
        <v>4</v>
      </c>
      <c r="H2009" s="1" t="str">
        <f>VLOOKUP(B2009,'old-aw-skill-plan'!A:I,9,FALSE)</f>
        <v>4-11</v>
      </c>
    </row>
    <row r="2010" ht="15.75" customHeight="1">
      <c r="A2010" s="1" t="s">
        <v>35</v>
      </c>
      <c r="B2010" s="1" t="s">
        <v>384</v>
      </c>
      <c r="C2010" s="1" t="s">
        <v>11</v>
      </c>
      <c r="D2010" s="5">
        <v>45550.0</v>
      </c>
      <c r="G2010" s="1">
        <f>VLOOKUP(B2010,'old-aw-skill-plan'!A:I,7,FALSE)</f>
        <v>7</v>
      </c>
      <c r="H2010" s="1" t="str">
        <f>VLOOKUP(B2010,'old-aw-skill-plan'!A:I,9,FALSE)</f>
        <v>7-2</v>
      </c>
    </row>
    <row r="2011" ht="15.75" customHeight="1">
      <c r="A2011" s="1" t="s">
        <v>35</v>
      </c>
      <c r="B2011" s="1" t="s">
        <v>391</v>
      </c>
      <c r="C2011" s="1" t="s">
        <v>11</v>
      </c>
      <c r="D2011" s="5">
        <v>45550.0</v>
      </c>
      <c r="G2011" s="1">
        <f>VLOOKUP(B2011,'old-aw-skill-plan'!A:I,7,FALSE)</f>
        <v>7</v>
      </c>
      <c r="H2011" s="1" t="str">
        <f>VLOOKUP(B2011,'old-aw-skill-plan'!A:I,9,FALSE)</f>
        <v>7-3</v>
      </c>
    </row>
    <row r="2012" ht="15.75" customHeight="1">
      <c r="A2012" s="1" t="s">
        <v>35</v>
      </c>
      <c r="B2012" s="1" t="s">
        <v>133</v>
      </c>
      <c r="C2012" s="1" t="s">
        <v>11</v>
      </c>
      <c r="D2012" s="5">
        <v>45550.0</v>
      </c>
      <c r="G2012" s="1">
        <f>VLOOKUP(B2012,'old-aw-skill-plan'!A:I,7,FALSE)</f>
        <v>7</v>
      </c>
      <c r="H2012" s="1" t="str">
        <f>VLOOKUP(B2012,'old-aw-skill-plan'!A:I,9,FALSE)</f>
        <v>7-6</v>
      </c>
    </row>
    <row r="2013" ht="15.75" customHeight="1">
      <c r="A2013" s="1" t="s">
        <v>35</v>
      </c>
      <c r="B2013" s="1" t="s">
        <v>79</v>
      </c>
      <c r="C2013" s="1" t="s">
        <v>11</v>
      </c>
      <c r="D2013" s="5">
        <v>45550.0</v>
      </c>
      <c r="G2013" s="1">
        <f>VLOOKUP(B2013,'old-aw-skill-plan'!A:I,7,FALSE)</f>
        <v>4</v>
      </c>
      <c r="H2013" s="1" t="str">
        <f>VLOOKUP(B2013,'old-aw-skill-plan'!A:I,9,FALSE)</f>
        <v>4-8</v>
      </c>
    </row>
    <row r="2014" ht="15.75" customHeight="1">
      <c r="A2014" s="1" t="s">
        <v>35</v>
      </c>
      <c r="B2014" s="1" t="s">
        <v>314</v>
      </c>
      <c r="C2014" s="1" t="s">
        <v>11</v>
      </c>
      <c r="D2014" s="5">
        <v>45550.0</v>
      </c>
      <c r="G2014" s="1">
        <f>VLOOKUP(B2014,'old-aw-skill-plan'!A:I,7,FALSE)</f>
        <v>5</v>
      </c>
      <c r="H2014" s="1" t="str">
        <f>VLOOKUP(B2014,'old-aw-skill-plan'!A:I,9,FALSE)</f>
        <v>5-10</v>
      </c>
    </row>
    <row r="2015" ht="15.75" customHeight="1">
      <c r="A2015" s="1" t="s">
        <v>183</v>
      </c>
      <c r="B2015" s="1" t="s">
        <v>314</v>
      </c>
      <c r="C2015" s="1" t="s">
        <v>11</v>
      </c>
      <c r="D2015" s="5">
        <v>45550.0</v>
      </c>
      <c r="G2015" s="1">
        <f>VLOOKUP(B2015,'old-aw-skill-plan'!A:I,7,FALSE)</f>
        <v>5</v>
      </c>
      <c r="H2015" s="1" t="str">
        <f>VLOOKUP(B2015,'old-aw-skill-plan'!A:I,9,FALSE)</f>
        <v>5-10</v>
      </c>
    </row>
    <row r="2016" ht="15.75" customHeight="1">
      <c r="A2016" s="1" t="s">
        <v>205</v>
      </c>
      <c r="B2016" s="1" t="s">
        <v>44</v>
      </c>
      <c r="C2016" s="1" t="s">
        <v>11</v>
      </c>
      <c r="D2016" s="5">
        <v>45550.0</v>
      </c>
      <c r="G2016" s="1">
        <f>VLOOKUP(B2016,'old-aw-skill-plan'!A:I,7,FALSE)</f>
        <v>5</v>
      </c>
      <c r="H2016" s="1" t="str">
        <f>VLOOKUP(B2016,'old-aw-skill-plan'!A:I,9,FALSE)</f>
        <v>5-1</v>
      </c>
    </row>
    <row r="2017" ht="15.75" customHeight="1">
      <c r="A2017" s="1" t="s">
        <v>205</v>
      </c>
      <c r="B2017" s="1" t="s">
        <v>103</v>
      </c>
      <c r="C2017" s="1" t="s">
        <v>11</v>
      </c>
      <c r="D2017" s="5">
        <v>45550.0</v>
      </c>
      <c r="G2017" s="1">
        <f>VLOOKUP(B2017,'old-aw-skill-plan'!A:I,7,FALSE)</f>
        <v>5</v>
      </c>
      <c r="H2017" s="1" t="str">
        <f>VLOOKUP(B2017,'old-aw-skill-plan'!A:I,9,FALSE)</f>
        <v>5-3</v>
      </c>
    </row>
    <row r="2018" ht="15.75" customHeight="1">
      <c r="A2018" s="1" t="s">
        <v>205</v>
      </c>
      <c r="B2018" s="1" t="s">
        <v>104</v>
      </c>
      <c r="C2018" s="1" t="s">
        <v>11</v>
      </c>
      <c r="D2018" s="5">
        <v>45550.0</v>
      </c>
      <c r="G2018" s="1">
        <f>VLOOKUP(B2018,'old-aw-skill-plan'!A:I,7,FALSE)</f>
        <v>5</v>
      </c>
      <c r="H2018" s="1" t="str">
        <f>VLOOKUP(B2018,'old-aw-skill-plan'!A:I,9,FALSE)</f>
        <v>5-2</v>
      </c>
    </row>
    <row r="2019" ht="15.75" customHeight="1">
      <c r="A2019" s="1" t="s">
        <v>35</v>
      </c>
      <c r="B2019" s="1" t="s">
        <v>314</v>
      </c>
      <c r="C2019" s="1" t="s">
        <v>11</v>
      </c>
      <c r="D2019" s="5">
        <v>45549.0</v>
      </c>
      <c r="G2019" s="1">
        <f>VLOOKUP(B2019,'old-aw-skill-plan'!A:I,7,FALSE)</f>
        <v>5</v>
      </c>
      <c r="H2019" s="1" t="str">
        <f>VLOOKUP(B2019,'old-aw-skill-plan'!A:I,9,FALSE)</f>
        <v>5-10</v>
      </c>
    </row>
    <row r="2020" ht="15.75" customHeight="1">
      <c r="A2020" s="1" t="s">
        <v>22</v>
      </c>
      <c r="B2020" s="1" t="s">
        <v>44</v>
      </c>
      <c r="C2020" s="1" t="s">
        <v>11</v>
      </c>
      <c r="D2020" s="5">
        <v>45548.0</v>
      </c>
      <c r="G2020" s="1">
        <f>VLOOKUP(B2020,'old-aw-skill-plan'!A:I,7,FALSE)</f>
        <v>5</v>
      </c>
      <c r="H2020" s="1" t="str">
        <f>VLOOKUP(B2020,'old-aw-skill-plan'!A:I,9,FALSE)</f>
        <v>5-1</v>
      </c>
    </row>
    <row r="2021" ht="15.75" customHeight="1">
      <c r="A2021" s="1" t="s">
        <v>35</v>
      </c>
      <c r="B2021" s="1" t="s">
        <v>314</v>
      </c>
      <c r="C2021" s="1" t="s">
        <v>11</v>
      </c>
      <c r="D2021" s="5">
        <v>45548.0</v>
      </c>
      <c r="G2021" s="1">
        <f>VLOOKUP(B2021,'old-aw-skill-plan'!A:I,7,FALSE)</f>
        <v>5</v>
      </c>
      <c r="H2021" s="1" t="str">
        <f>VLOOKUP(B2021,'old-aw-skill-plan'!A:I,9,FALSE)</f>
        <v>5-10</v>
      </c>
    </row>
    <row r="2022" ht="15.75" customHeight="1">
      <c r="A2022" s="1" t="s">
        <v>24</v>
      </c>
      <c r="B2022" s="1" t="s">
        <v>104</v>
      </c>
      <c r="C2022" s="1" t="s">
        <v>11</v>
      </c>
      <c r="D2022" s="5">
        <v>45548.0</v>
      </c>
      <c r="G2022" s="1">
        <f>VLOOKUP(B2022,'old-aw-skill-plan'!A:I,7,FALSE)</f>
        <v>5</v>
      </c>
      <c r="H2022" s="1" t="str">
        <f>VLOOKUP(B2022,'old-aw-skill-plan'!A:I,9,FALSE)</f>
        <v>5-2</v>
      </c>
    </row>
    <row r="2023" ht="15.75" customHeight="1">
      <c r="A2023" s="1" t="s">
        <v>207</v>
      </c>
      <c r="B2023" s="1" t="s">
        <v>25</v>
      </c>
      <c r="C2023" s="1" t="s">
        <v>11</v>
      </c>
      <c r="D2023" s="5">
        <v>45548.0</v>
      </c>
      <c r="G2023" s="1">
        <f>VLOOKUP(B2023,'old-aw-skill-plan'!A:I,7,FALSE)</f>
        <v>5</v>
      </c>
      <c r="H2023" s="1" t="str">
        <f>VLOOKUP(B2023,'old-aw-skill-plan'!A:I,9,FALSE)</f>
        <v>5-4</v>
      </c>
    </row>
    <row r="2024" ht="15.75" customHeight="1">
      <c r="A2024" s="1" t="s">
        <v>52</v>
      </c>
      <c r="B2024" s="1" t="s">
        <v>47</v>
      </c>
      <c r="C2024" s="1" t="s">
        <v>11</v>
      </c>
      <c r="D2024" s="5">
        <v>45548.0</v>
      </c>
      <c r="G2024" s="1">
        <f>VLOOKUP(B2024,'old-aw-skill-plan'!A:I,7,FALSE)</f>
        <v>3</v>
      </c>
      <c r="H2024" s="1" t="str">
        <f>VLOOKUP(B2024,'old-aw-skill-plan'!A:I,9,FALSE)</f>
        <v>3-2</v>
      </c>
    </row>
    <row r="2025" ht="15.75" customHeight="1">
      <c r="A2025" s="1" t="s">
        <v>199</v>
      </c>
      <c r="B2025" s="1" t="s">
        <v>79</v>
      </c>
      <c r="C2025" s="1" t="s">
        <v>11</v>
      </c>
      <c r="D2025" s="5">
        <v>45548.0</v>
      </c>
      <c r="G2025" s="1">
        <f>VLOOKUP(B2025,'old-aw-skill-plan'!A:I,7,FALSE)</f>
        <v>4</v>
      </c>
      <c r="H2025" s="1" t="str">
        <f>VLOOKUP(B2025,'old-aw-skill-plan'!A:I,9,FALSE)</f>
        <v>4-8</v>
      </c>
    </row>
    <row r="2026" ht="15.75" customHeight="1">
      <c r="A2026" s="1" t="s">
        <v>39</v>
      </c>
      <c r="B2026" s="1" t="s">
        <v>61</v>
      </c>
      <c r="C2026" s="1" t="s">
        <v>11</v>
      </c>
      <c r="D2026" s="5">
        <v>45548.0</v>
      </c>
      <c r="G2026" s="1">
        <f>VLOOKUP(B2026,'old-aw-skill-plan'!A:I,7,FALSE)</f>
        <v>4</v>
      </c>
      <c r="H2026" s="1" t="str">
        <f>VLOOKUP(B2026,'old-aw-skill-plan'!A:I,9,FALSE)</f>
        <v>4-4</v>
      </c>
    </row>
    <row r="2027" ht="15.75" customHeight="1">
      <c r="A2027" s="1" t="s">
        <v>224</v>
      </c>
      <c r="B2027" s="1" t="s">
        <v>23</v>
      </c>
      <c r="C2027" s="1" t="s">
        <v>11</v>
      </c>
      <c r="D2027" s="5">
        <v>45548.0</v>
      </c>
      <c r="G2027" s="1">
        <f>VLOOKUP(B2027,'old-aw-skill-plan'!A:I,7,FALSE)</f>
        <v>4</v>
      </c>
      <c r="H2027" s="1" t="str">
        <f>VLOOKUP(B2027,'old-aw-skill-plan'!A:I,9,FALSE)</f>
        <v>4-5</v>
      </c>
    </row>
    <row r="2028" ht="15.75" customHeight="1">
      <c r="A2028" s="1" t="s">
        <v>196</v>
      </c>
      <c r="B2028" s="1" t="s">
        <v>30</v>
      </c>
      <c r="C2028" s="1" t="s">
        <v>11</v>
      </c>
      <c r="D2028" s="5">
        <v>45548.0</v>
      </c>
      <c r="G2028" s="1">
        <f>VLOOKUP(B2028,'old-aw-skill-plan'!A:I,7,FALSE)</f>
        <v>3</v>
      </c>
      <c r="H2028" s="1" t="str">
        <f>VLOOKUP(B2028,'old-aw-skill-plan'!A:I,9,FALSE)</f>
        <v>3-3</v>
      </c>
    </row>
    <row r="2029" ht="15.75" customHeight="1">
      <c r="A2029" s="1" t="s">
        <v>231</v>
      </c>
      <c r="B2029" s="1" t="s">
        <v>84</v>
      </c>
      <c r="C2029" s="1" t="s">
        <v>11</v>
      </c>
      <c r="D2029" s="5">
        <v>45548.0</v>
      </c>
      <c r="G2029" s="1">
        <f>VLOOKUP(B2029,'old-aw-skill-plan'!A:I,7,FALSE)</f>
        <v>5</v>
      </c>
      <c r="H2029" s="1" t="str">
        <f>VLOOKUP(B2029,'old-aw-skill-plan'!A:I,9,FALSE)</f>
        <v>5-7</v>
      </c>
    </row>
    <row r="2030" ht="15.75" customHeight="1">
      <c r="A2030" s="1" t="s">
        <v>231</v>
      </c>
      <c r="B2030" s="1" t="s">
        <v>87</v>
      </c>
      <c r="C2030" s="1" t="s">
        <v>11</v>
      </c>
      <c r="D2030" s="5">
        <v>45548.0</v>
      </c>
      <c r="G2030" s="1">
        <f>VLOOKUP(B2030,'old-aw-skill-plan'!A:I,7,FALSE)</f>
        <v>5</v>
      </c>
      <c r="H2030" s="1" t="str">
        <f>VLOOKUP(B2030,'old-aw-skill-plan'!A:I,9,FALSE)</f>
        <v>5-6</v>
      </c>
    </row>
    <row r="2031" ht="15.75" customHeight="1">
      <c r="A2031" s="1" t="s">
        <v>230</v>
      </c>
      <c r="B2031" s="1" t="s">
        <v>117</v>
      </c>
      <c r="C2031" s="1" t="s">
        <v>11</v>
      </c>
      <c r="D2031" s="5">
        <v>45548.0</v>
      </c>
      <c r="G2031" s="1">
        <f>VLOOKUP(B2031,'old-aw-skill-plan'!A:I,7,FALSE)</f>
        <v>3</v>
      </c>
      <c r="H2031" s="1" t="str">
        <f>VLOOKUP(B2031,'old-aw-skill-plan'!A:I,9,FALSE)</f>
        <v>3-11</v>
      </c>
    </row>
    <row r="2032" ht="15.75" customHeight="1">
      <c r="A2032" s="1" t="s">
        <v>68</v>
      </c>
      <c r="B2032" s="1" t="s">
        <v>10</v>
      </c>
      <c r="C2032" s="1" t="s">
        <v>11</v>
      </c>
      <c r="D2032" s="5">
        <v>45548.0</v>
      </c>
      <c r="G2032" s="1">
        <f>VLOOKUP(B2032,'old-aw-skill-plan'!A:I,7,FALSE)</f>
        <v>3</v>
      </c>
      <c r="H2032" s="1" t="str">
        <f>VLOOKUP(B2032,'old-aw-skill-plan'!A:I,9,FALSE)</f>
        <v>3-1</v>
      </c>
    </row>
    <row r="2033" ht="15.75" customHeight="1">
      <c r="A2033" s="1" t="s">
        <v>95</v>
      </c>
      <c r="B2033" s="1" t="s">
        <v>28</v>
      </c>
      <c r="C2033" s="1" t="s">
        <v>11</v>
      </c>
      <c r="D2033" s="5">
        <v>45548.0</v>
      </c>
      <c r="G2033" s="1">
        <f>VLOOKUP(B2033,'old-aw-skill-plan'!A:I,7,FALSE)</f>
        <v>3</v>
      </c>
      <c r="H2033" s="1" t="str">
        <f>VLOOKUP(B2033,'old-aw-skill-plan'!A:I,9,FALSE)</f>
        <v>3-4</v>
      </c>
    </row>
    <row r="2034" ht="15.75" customHeight="1">
      <c r="A2034" s="1" t="s">
        <v>214</v>
      </c>
      <c r="B2034" s="1" t="s">
        <v>104</v>
      </c>
      <c r="C2034" s="1" t="s">
        <v>11</v>
      </c>
      <c r="D2034" s="5">
        <v>45548.0</v>
      </c>
      <c r="G2034" s="1">
        <f>VLOOKUP(B2034,'old-aw-skill-plan'!A:I,7,FALSE)</f>
        <v>5</v>
      </c>
      <c r="H2034" s="1" t="str">
        <f>VLOOKUP(B2034,'old-aw-skill-plan'!A:I,9,FALSE)</f>
        <v>5-2</v>
      </c>
    </row>
    <row r="2035" ht="15.75" customHeight="1">
      <c r="A2035" s="1" t="s">
        <v>197</v>
      </c>
      <c r="B2035" s="1" t="s">
        <v>314</v>
      </c>
      <c r="C2035" s="1" t="s">
        <v>11</v>
      </c>
      <c r="D2035" s="5">
        <v>45548.0</v>
      </c>
      <c r="G2035" s="1">
        <f>VLOOKUP(B2035,'old-aw-skill-plan'!A:I,7,FALSE)</f>
        <v>5</v>
      </c>
      <c r="H2035" s="1" t="str">
        <f>VLOOKUP(B2035,'old-aw-skill-plan'!A:I,9,FALSE)</f>
        <v>5-10</v>
      </c>
    </row>
    <row r="2036" ht="15.75" customHeight="1">
      <c r="A2036" s="1" t="s">
        <v>74</v>
      </c>
      <c r="B2036" s="1" t="s">
        <v>44</v>
      </c>
      <c r="C2036" s="1" t="s">
        <v>11</v>
      </c>
      <c r="D2036" s="5">
        <v>45548.0</v>
      </c>
      <c r="G2036" s="1">
        <f>VLOOKUP(B2036,'old-aw-skill-plan'!A:I,7,FALSE)</f>
        <v>5</v>
      </c>
      <c r="H2036" s="1" t="str">
        <f>VLOOKUP(B2036,'old-aw-skill-plan'!A:I,9,FALSE)</f>
        <v>5-1</v>
      </c>
    </row>
    <row r="2037" ht="15.75" customHeight="1">
      <c r="A2037" s="1" t="s">
        <v>181</v>
      </c>
      <c r="B2037" s="1" t="s">
        <v>25</v>
      </c>
      <c r="C2037" s="1" t="s">
        <v>11</v>
      </c>
      <c r="D2037" s="5">
        <v>45548.0</v>
      </c>
      <c r="G2037" s="1">
        <f>VLOOKUP(B2037,'old-aw-skill-plan'!A:I,7,FALSE)</f>
        <v>5</v>
      </c>
      <c r="H2037" s="1" t="str">
        <f>VLOOKUP(B2037,'old-aw-skill-plan'!A:I,9,FALSE)</f>
        <v>5-4</v>
      </c>
    </row>
    <row r="2038" ht="15.75" customHeight="1">
      <c r="A2038" s="1" t="s">
        <v>181</v>
      </c>
      <c r="B2038" s="1" t="s">
        <v>103</v>
      </c>
      <c r="C2038" s="1" t="s">
        <v>11</v>
      </c>
      <c r="D2038" s="5">
        <v>45548.0</v>
      </c>
      <c r="G2038" s="1">
        <f>VLOOKUP(B2038,'old-aw-skill-plan'!A:I,7,FALSE)</f>
        <v>5</v>
      </c>
      <c r="H2038" s="1" t="str">
        <f>VLOOKUP(B2038,'old-aw-skill-plan'!A:I,9,FALSE)</f>
        <v>5-3</v>
      </c>
    </row>
    <row r="2039" ht="15.75" customHeight="1">
      <c r="A2039" s="1" t="s">
        <v>181</v>
      </c>
      <c r="B2039" s="1" t="s">
        <v>104</v>
      </c>
      <c r="C2039" s="1" t="s">
        <v>11</v>
      </c>
      <c r="D2039" s="5">
        <v>45548.0</v>
      </c>
      <c r="G2039" s="1">
        <f>VLOOKUP(B2039,'old-aw-skill-plan'!A:I,7,FALSE)</f>
        <v>5</v>
      </c>
      <c r="H2039" s="1" t="str">
        <f>VLOOKUP(B2039,'old-aw-skill-plan'!A:I,9,FALSE)</f>
        <v>5-2</v>
      </c>
    </row>
    <row r="2040" ht="15.75" customHeight="1">
      <c r="A2040" s="1" t="s">
        <v>75</v>
      </c>
      <c r="B2040" s="1" t="s">
        <v>58</v>
      </c>
      <c r="C2040" s="1" t="s">
        <v>11</v>
      </c>
      <c r="D2040" s="5">
        <v>45548.0</v>
      </c>
      <c r="G2040" s="1">
        <f>VLOOKUP(B2040,'old-aw-skill-plan'!A:I,7,FALSE)</f>
        <v>3</v>
      </c>
      <c r="H2040" s="1" t="str">
        <f>VLOOKUP(B2040,'old-aw-skill-plan'!A:I,9,FALSE)</f>
        <v>3-8</v>
      </c>
    </row>
    <row r="2041" ht="15.75" customHeight="1">
      <c r="A2041" s="1" t="s">
        <v>235</v>
      </c>
      <c r="B2041" s="1" t="s">
        <v>104</v>
      </c>
      <c r="C2041" s="1" t="s">
        <v>11</v>
      </c>
      <c r="D2041" s="5">
        <v>45548.0</v>
      </c>
      <c r="G2041" s="1">
        <f>VLOOKUP(B2041,'old-aw-skill-plan'!A:I,7,FALSE)</f>
        <v>5</v>
      </c>
      <c r="H2041" s="1" t="str">
        <f>VLOOKUP(B2041,'old-aw-skill-plan'!A:I,9,FALSE)</f>
        <v>5-2</v>
      </c>
    </row>
    <row r="2042" ht="15.75" customHeight="1">
      <c r="A2042" s="1" t="s">
        <v>347</v>
      </c>
      <c r="B2042" s="1" t="s">
        <v>83</v>
      </c>
      <c r="C2042" s="1" t="s">
        <v>11</v>
      </c>
      <c r="D2042" s="5">
        <v>45548.0</v>
      </c>
      <c r="G2042" s="1">
        <f>VLOOKUP(B2042,'old-aw-skill-plan'!A:I,7,FALSE)</f>
        <v>5</v>
      </c>
      <c r="H2042" s="1" t="str">
        <f>VLOOKUP(B2042,'old-aw-skill-plan'!A:I,9,FALSE)</f>
        <v>5-9</v>
      </c>
    </row>
    <row r="2043" ht="15.75" customHeight="1">
      <c r="A2043" s="1" t="s">
        <v>35</v>
      </c>
      <c r="B2043" s="1" t="s">
        <v>314</v>
      </c>
      <c r="C2043" s="1" t="s">
        <v>11</v>
      </c>
      <c r="D2043" s="5">
        <v>45547.0</v>
      </c>
      <c r="G2043" s="1">
        <f>VLOOKUP(B2043,'old-aw-skill-plan'!A:I,7,FALSE)</f>
        <v>5</v>
      </c>
      <c r="H2043" s="1" t="str">
        <f>VLOOKUP(B2043,'old-aw-skill-plan'!A:I,9,FALSE)</f>
        <v>5-10</v>
      </c>
    </row>
    <row r="2044" ht="15.75" customHeight="1">
      <c r="A2044" s="1" t="s">
        <v>24</v>
      </c>
      <c r="B2044" s="1" t="s">
        <v>104</v>
      </c>
      <c r="C2044" s="1" t="s">
        <v>11</v>
      </c>
      <c r="D2044" s="5">
        <v>45547.0</v>
      </c>
      <c r="G2044" s="1">
        <f>VLOOKUP(B2044,'old-aw-skill-plan'!A:I,7,FALSE)</f>
        <v>5</v>
      </c>
      <c r="H2044" s="1" t="str">
        <f>VLOOKUP(B2044,'old-aw-skill-plan'!A:I,9,FALSE)</f>
        <v>5-2</v>
      </c>
    </row>
    <row r="2045" ht="15.75" customHeight="1">
      <c r="A2045" s="1" t="s">
        <v>52</v>
      </c>
      <c r="B2045" s="1" t="s">
        <v>47</v>
      </c>
      <c r="C2045" s="1" t="s">
        <v>11</v>
      </c>
      <c r="D2045" s="5">
        <v>45547.0</v>
      </c>
      <c r="G2045" s="1">
        <f>VLOOKUP(B2045,'old-aw-skill-plan'!A:I,7,FALSE)</f>
        <v>3</v>
      </c>
      <c r="H2045" s="1" t="str">
        <f>VLOOKUP(B2045,'old-aw-skill-plan'!A:I,9,FALSE)</f>
        <v>3-2</v>
      </c>
    </row>
    <row r="2046" ht="15.75" customHeight="1">
      <c r="A2046" s="1" t="s">
        <v>55</v>
      </c>
      <c r="B2046" s="1" t="s">
        <v>44</v>
      </c>
      <c r="C2046" s="1" t="s">
        <v>11</v>
      </c>
      <c r="D2046" s="5">
        <v>45547.0</v>
      </c>
      <c r="G2046" s="1">
        <f>VLOOKUP(B2046,'old-aw-skill-plan'!A:I,7,FALSE)</f>
        <v>5</v>
      </c>
      <c r="H2046" s="1" t="str">
        <f>VLOOKUP(B2046,'old-aw-skill-plan'!A:I,9,FALSE)</f>
        <v>5-1</v>
      </c>
    </row>
    <row r="2047" ht="15.75" customHeight="1">
      <c r="A2047" s="1" t="s">
        <v>199</v>
      </c>
      <c r="B2047" s="1" t="s">
        <v>19</v>
      </c>
      <c r="C2047" s="1" t="s">
        <v>11</v>
      </c>
      <c r="D2047" s="5">
        <v>45547.0</v>
      </c>
      <c r="G2047" s="1">
        <f>VLOOKUP(B2047,'old-aw-skill-plan'!A:I,7,FALSE)</f>
        <v>4</v>
      </c>
      <c r="H2047" s="1" t="str">
        <f>VLOOKUP(B2047,'old-aw-skill-plan'!A:I,9,FALSE)</f>
        <v>4-7</v>
      </c>
    </row>
    <row r="2048" ht="15.75" customHeight="1">
      <c r="A2048" s="1" t="s">
        <v>199</v>
      </c>
      <c r="B2048" s="1" t="s">
        <v>21</v>
      </c>
      <c r="C2048" s="1" t="s">
        <v>11</v>
      </c>
      <c r="D2048" s="5">
        <v>45547.0</v>
      </c>
      <c r="G2048" s="1">
        <f>VLOOKUP(B2048,'old-aw-skill-plan'!A:I,7,FALSE)</f>
        <v>4</v>
      </c>
      <c r="H2048" s="1" t="str">
        <f>VLOOKUP(B2048,'old-aw-skill-plan'!A:I,9,FALSE)</f>
        <v>4-6</v>
      </c>
    </row>
    <row r="2049" ht="15.75" customHeight="1">
      <c r="A2049" s="1" t="s">
        <v>224</v>
      </c>
      <c r="B2049" s="1" t="s">
        <v>61</v>
      </c>
      <c r="C2049" s="1" t="s">
        <v>11</v>
      </c>
      <c r="D2049" s="5">
        <v>45547.0</v>
      </c>
      <c r="G2049" s="1">
        <f>VLOOKUP(B2049,'old-aw-skill-plan'!A:I,7,FALSE)</f>
        <v>4</v>
      </c>
      <c r="H2049" s="1" t="str">
        <f>VLOOKUP(B2049,'old-aw-skill-plan'!A:I,9,FALSE)</f>
        <v>4-4</v>
      </c>
    </row>
    <row r="2050" ht="15.75" customHeight="1">
      <c r="A2050" s="1" t="s">
        <v>231</v>
      </c>
      <c r="B2050" s="1" t="s">
        <v>87</v>
      </c>
      <c r="C2050" s="1" t="s">
        <v>11</v>
      </c>
      <c r="D2050" s="5">
        <v>45547.0</v>
      </c>
      <c r="G2050" s="1">
        <f>VLOOKUP(B2050,'old-aw-skill-plan'!A:I,7,FALSE)</f>
        <v>5</v>
      </c>
      <c r="H2050" s="1" t="str">
        <f>VLOOKUP(B2050,'old-aw-skill-plan'!A:I,9,FALSE)</f>
        <v>5-6</v>
      </c>
    </row>
    <row r="2051" ht="15.75" customHeight="1">
      <c r="A2051" s="1" t="s">
        <v>230</v>
      </c>
      <c r="B2051" s="1" t="s">
        <v>118</v>
      </c>
      <c r="C2051" s="1" t="s">
        <v>11</v>
      </c>
      <c r="D2051" s="5">
        <v>45547.0</v>
      </c>
      <c r="G2051" s="1">
        <f>VLOOKUP(B2051,'old-aw-skill-plan'!A:I,7,FALSE)</f>
        <v>3</v>
      </c>
      <c r="H2051" s="1" t="str">
        <f>VLOOKUP(B2051,'old-aw-skill-plan'!A:I,9,FALSE)</f>
        <v>3-12</v>
      </c>
    </row>
    <row r="2052" ht="15.75" customHeight="1">
      <c r="A2052" s="1" t="s">
        <v>183</v>
      </c>
      <c r="B2052" s="1" t="s">
        <v>130</v>
      </c>
      <c r="C2052" s="1" t="s">
        <v>11</v>
      </c>
      <c r="D2052" s="5">
        <v>45547.0</v>
      </c>
      <c r="G2052" s="1">
        <f>VLOOKUP(B2052,'old-aw-skill-plan'!A:I,7,FALSE)</f>
        <v>8</v>
      </c>
      <c r="H2052" s="1" t="str">
        <f>VLOOKUP(B2052,'old-aw-skill-plan'!A:I,9,FALSE)</f>
        <v>8-1</v>
      </c>
    </row>
    <row r="2053" ht="15.75" customHeight="1">
      <c r="A2053" s="1" t="s">
        <v>183</v>
      </c>
      <c r="B2053" s="1" t="s">
        <v>120</v>
      </c>
      <c r="C2053" s="1" t="s">
        <v>11</v>
      </c>
      <c r="D2053" s="5">
        <v>45547.0</v>
      </c>
      <c r="G2053" s="1">
        <f>VLOOKUP(B2053,'old-aw-skill-plan'!A:I,7,FALSE)</f>
        <v>5</v>
      </c>
      <c r="H2053" s="1" t="str">
        <f>VLOOKUP(B2053,'old-aw-skill-plan'!A:I,9,FALSE)</f>
        <v>5-11</v>
      </c>
    </row>
    <row r="2054" ht="15.75" customHeight="1">
      <c r="A2054" s="1" t="s">
        <v>183</v>
      </c>
      <c r="B2054" s="1" t="s">
        <v>121</v>
      </c>
      <c r="C2054" s="1" t="s">
        <v>11</v>
      </c>
      <c r="D2054" s="5">
        <v>45547.0</v>
      </c>
      <c r="G2054" s="1">
        <f>VLOOKUP(B2054,'old-aw-skill-plan'!A:I,7,FALSE)</f>
        <v>5</v>
      </c>
      <c r="H2054" s="1" t="str">
        <f>VLOOKUP(B2054,'old-aw-skill-plan'!A:I,9,FALSE)</f>
        <v>5-12</v>
      </c>
    </row>
    <row r="2055" ht="15.75" customHeight="1">
      <c r="A2055" s="1" t="s">
        <v>68</v>
      </c>
      <c r="B2055" s="1" t="s">
        <v>10</v>
      </c>
      <c r="C2055" s="1" t="s">
        <v>11</v>
      </c>
      <c r="D2055" s="5">
        <v>45547.0</v>
      </c>
      <c r="G2055" s="1">
        <f>VLOOKUP(B2055,'old-aw-skill-plan'!A:I,7,FALSE)</f>
        <v>3</v>
      </c>
      <c r="H2055" s="1" t="str">
        <f>VLOOKUP(B2055,'old-aw-skill-plan'!A:I,9,FALSE)</f>
        <v>3-1</v>
      </c>
    </row>
    <row r="2056" ht="15.75" customHeight="1">
      <c r="A2056" s="1" t="s">
        <v>214</v>
      </c>
      <c r="B2056" s="1" t="s">
        <v>44</v>
      </c>
      <c r="C2056" s="1" t="s">
        <v>11</v>
      </c>
      <c r="D2056" s="5">
        <v>45547.0</v>
      </c>
      <c r="G2056" s="1">
        <f>VLOOKUP(B2056,'old-aw-skill-plan'!A:I,7,FALSE)</f>
        <v>5</v>
      </c>
      <c r="H2056" s="1" t="str">
        <f>VLOOKUP(B2056,'old-aw-skill-plan'!A:I,9,FALSE)</f>
        <v>5-1</v>
      </c>
    </row>
    <row r="2057" ht="15.75" customHeight="1">
      <c r="A2057" s="1" t="s">
        <v>197</v>
      </c>
      <c r="B2057" s="1" t="s">
        <v>314</v>
      </c>
      <c r="C2057" s="1" t="s">
        <v>11</v>
      </c>
      <c r="D2057" s="5">
        <v>45547.0</v>
      </c>
      <c r="G2057" s="1">
        <f>VLOOKUP(B2057,'old-aw-skill-plan'!A:I,7,FALSE)</f>
        <v>5</v>
      </c>
      <c r="H2057" s="1" t="str">
        <f>VLOOKUP(B2057,'old-aw-skill-plan'!A:I,9,FALSE)</f>
        <v>5-10</v>
      </c>
    </row>
    <row r="2058" ht="15.75" customHeight="1">
      <c r="A2058" s="1" t="s">
        <v>74</v>
      </c>
      <c r="B2058" s="1" t="s">
        <v>44</v>
      </c>
      <c r="C2058" s="1" t="s">
        <v>11</v>
      </c>
      <c r="D2058" s="5">
        <v>45547.0</v>
      </c>
      <c r="G2058" s="1">
        <f>VLOOKUP(B2058,'old-aw-skill-plan'!A:I,7,FALSE)</f>
        <v>5</v>
      </c>
      <c r="H2058" s="1" t="str">
        <f>VLOOKUP(B2058,'old-aw-skill-plan'!A:I,9,FALSE)</f>
        <v>5-1</v>
      </c>
    </row>
    <row r="2059" ht="15.75" customHeight="1">
      <c r="A2059" s="1" t="s">
        <v>205</v>
      </c>
      <c r="B2059" s="1" t="s">
        <v>44</v>
      </c>
      <c r="C2059" s="1" t="s">
        <v>11</v>
      </c>
      <c r="D2059" s="5">
        <v>45547.0</v>
      </c>
      <c r="G2059" s="1">
        <f>VLOOKUP(B2059,'old-aw-skill-plan'!A:I,7,FALSE)</f>
        <v>5</v>
      </c>
      <c r="H2059" s="1" t="str">
        <f>VLOOKUP(B2059,'old-aw-skill-plan'!A:I,9,FALSE)</f>
        <v>5-1</v>
      </c>
    </row>
    <row r="2060" ht="15.75" customHeight="1">
      <c r="A2060" s="1" t="s">
        <v>75</v>
      </c>
      <c r="B2060" s="1" t="s">
        <v>58</v>
      </c>
      <c r="C2060" s="1" t="s">
        <v>11</v>
      </c>
      <c r="D2060" s="5">
        <v>45547.0</v>
      </c>
      <c r="G2060" s="1">
        <f>VLOOKUP(B2060,'old-aw-skill-plan'!A:I,7,FALSE)</f>
        <v>3</v>
      </c>
      <c r="H2060" s="1" t="str">
        <f>VLOOKUP(B2060,'old-aw-skill-plan'!A:I,9,FALSE)</f>
        <v>3-8</v>
      </c>
    </row>
    <row r="2061" ht="15.75" customHeight="1">
      <c r="A2061" s="1" t="s">
        <v>235</v>
      </c>
      <c r="B2061" s="1" t="s">
        <v>44</v>
      </c>
      <c r="C2061" s="1" t="s">
        <v>11</v>
      </c>
      <c r="D2061" s="5">
        <v>45547.0</v>
      </c>
      <c r="G2061" s="1">
        <f>VLOOKUP(B2061,'old-aw-skill-plan'!A:I,7,FALSE)</f>
        <v>5</v>
      </c>
      <c r="H2061" s="1" t="str">
        <f>VLOOKUP(B2061,'old-aw-skill-plan'!A:I,9,FALSE)</f>
        <v>5-1</v>
      </c>
    </row>
    <row r="2062" ht="15.75" customHeight="1">
      <c r="A2062" s="1" t="s">
        <v>235</v>
      </c>
      <c r="B2062" s="1" t="s">
        <v>104</v>
      </c>
      <c r="C2062" s="1" t="s">
        <v>11</v>
      </c>
      <c r="D2062" s="5">
        <v>45547.0</v>
      </c>
      <c r="G2062" s="1">
        <f>VLOOKUP(B2062,'old-aw-skill-plan'!A:I,7,FALSE)</f>
        <v>5</v>
      </c>
      <c r="H2062" s="1" t="str">
        <f>VLOOKUP(B2062,'old-aw-skill-plan'!A:I,9,FALSE)</f>
        <v>5-2</v>
      </c>
    </row>
    <row r="2063" ht="15.75" customHeight="1">
      <c r="A2063" s="1" t="s">
        <v>326</v>
      </c>
      <c r="B2063" s="1" t="s">
        <v>25</v>
      </c>
      <c r="C2063" s="1" t="s">
        <v>11</v>
      </c>
      <c r="D2063" s="5">
        <v>45547.0</v>
      </c>
      <c r="G2063" s="1">
        <f>VLOOKUP(B2063,'old-aw-skill-plan'!A:I,7,FALSE)</f>
        <v>5</v>
      </c>
      <c r="H2063" s="1" t="str">
        <f>VLOOKUP(B2063,'old-aw-skill-plan'!A:I,9,FALSE)</f>
        <v>5-4</v>
      </c>
    </row>
    <row r="2064" ht="15.75" customHeight="1">
      <c r="A2064" s="1" t="s">
        <v>347</v>
      </c>
      <c r="B2064" s="1" t="s">
        <v>85</v>
      </c>
      <c r="C2064" s="1" t="s">
        <v>11</v>
      </c>
      <c r="D2064" s="5">
        <v>45547.0</v>
      </c>
      <c r="G2064" s="1">
        <f>VLOOKUP(B2064,'old-aw-skill-plan'!A:I,7,FALSE)</f>
        <v>5</v>
      </c>
      <c r="H2064" s="1" t="str">
        <f>VLOOKUP(B2064,'old-aw-skill-plan'!A:I,9,FALSE)</f>
        <v>5-8</v>
      </c>
    </row>
    <row r="2065" ht="15.75" customHeight="1">
      <c r="A2065" s="1" t="s">
        <v>347</v>
      </c>
      <c r="B2065" s="1" t="s">
        <v>87</v>
      </c>
      <c r="C2065" s="1" t="s">
        <v>11</v>
      </c>
      <c r="D2065" s="5">
        <v>45547.0</v>
      </c>
      <c r="G2065" s="1">
        <f>VLOOKUP(B2065,'old-aw-skill-plan'!A:I,7,FALSE)</f>
        <v>5</v>
      </c>
      <c r="H2065" s="1" t="str">
        <f>VLOOKUP(B2065,'old-aw-skill-plan'!A:I,9,FALSE)</f>
        <v>5-6</v>
      </c>
    </row>
    <row r="2066" ht="15.75" customHeight="1">
      <c r="A2066" s="1" t="s">
        <v>225</v>
      </c>
      <c r="B2066" s="1" t="s">
        <v>314</v>
      </c>
      <c r="C2066" s="1" t="s">
        <v>11</v>
      </c>
      <c r="D2066" s="5">
        <v>45547.0</v>
      </c>
      <c r="G2066" s="1">
        <f>VLOOKUP(B2066,'old-aw-skill-plan'!A:I,7,FALSE)</f>
        <v>5</v>
      </c>
      <c r="H2066" s="1" t="str">
        <f>VLOOKUP(B2066,'old-aw-skill-plan'!A:I,9,FALSE)</f>
        <v>5-10</v>
      </c>
    </row>
    <row r="2067" ht="15.75" customHeight="1">
      <c r="A2067" s="1" t="s">
        <v>22</v>
      </c>
      <c r="B2067" s="1" t="s">
        <v>44</v>
      </c>
      <c r="C2067" s="1" t="s">
        <v>11</v>
      </c>
      <c r="D2067" s="5">
        <v>45546.0</v>
      </c>
      <c r="G2067" s="1">
        <f>VLOOKUP(B2067,'old-aw-skill-plan'!A:I,7,FALSE)</f>
        <v>5</v>
      </c>
      <c r="H2067" s="1" t="str">
        <f>VLOOKUP(B2067,'old-aw-skill-plan'!A:I,9,FALSE)</f>
        <v>5-1</v>
      </c>
    </row>
    <row r="2068" ht="15.75" customHeight="1">
      <c r="A2068" s="1" t="s">
        <v>35</v>
      </c>
      <c r="B2068" s="1" t="s">
        <v>83</v>
      </c>
      <c r="C2068" s="1" t="s">
        <v>11</v>
      </c>
      <c r="D2068" s="5">
        <v>45546.0</v>
      </c>
      <c r="G2068" s="1">
        <f>VLOOKUP(B2068,'old-aw-skill-plan'!A:I,7,FALSE)</f>
        <v>5</v>
      </c>
      <c r="H2068" s="1" t="str">
        <f>VLOOKUP(B2068,'old-aw-skill-plan'!A:I,9,FALSE)</f>
        <v>5-9</v>
      </c>
    </row>
    <row r="2069" ht="15.75" customHeight="1">
      <c r="A2069" s="1" t="s">
        <v>52</v>
      </c>
      <c r="B2069" s="1" t="s">
        <v>30</v>
      </c>
      <c r="C2069" s="1" t="s">
        <v>11</v>
      </c>
      <c r="D2069" s="5">
        <v>45546.0</v>
      </c>
      <c r="G2069" s="1">
        <f>VLOOKUP(B2069,'old-aw-skill-plan'!A:I,7,FALSE)</f>
        <v>3</v>
      </c>
      <c r="H2069" s="1" t="str">
        <f>VLOOKUP(B2069,'old-aw-skill-plan'!A:I,9,FALSE)</f>
        <v>3-3</v>
      </c>
    </row>
    <row r="2070" ht="15.75" customHeight="1">
      <c r="A2070" s="1" t="s">
        <v>55</v>
      </c>
      <c r="B2070" s="1" t="s">
        <v>44</v>
      </c>
      <c r="C2070" s="1" t="s">
        <v>11</v>
      </c>
      <c r="D2070" s="5">
        <v>45546.0</v>
      </c>
      <c r="G2070" s="1">
        <f>VLOOKUP(B2070,'old-aw-skill-plan'!A:I,7,FALSE)</f>
        <v>5</v>
      </c>
      <c r="H2070" s="1" t="str">
        <f>VLOOKUP(B2070,'old-aw-skill-plan'!A:I,9,FALSE)</f>
        <v>5-1</v>
      </c>
    </row>
    <row r="2071" ht="15.75" customHeight="1">
      <c r="A2071" s="1" t="s">
        <v>199</v>
      </c>
      <c r="B2071" s="1" t="s">
        <v>23</v>
      </c>
      <c r="C2071" s="1" t="s">
        <v>11</v>
      </c>
      <c r="D2071" s="5">
        <v>45546.0</v>
      </c>
      <c r="G2071" s="1">
        <f>VLOOKUP(B2071,'old-aw-skill-plan'!A:I,7,FALSE)</f>
        <v>4</v>
      </c>
      <c r="H2071" s="1" t="str">
        <f>VLOOKUP(B2071,'old-aw-skill-plan'!A:I,9,FALSE)</f>
        <v>4-5</v>
      </c>
    </row>
    <row r="2072" ht="15.75" customHeight="1">
      <c r="A2072" s="1" t="s">
        <v>39</v>
      </c>
      <c r="B2072" s="1" t="s">
        <v>61</v>
      </c>
      <c r="C2072" s="1" t="s">
        <v>11</v>
      </c>
      <c r="D2072" s="5">
        <v>45546.0</v>
      </c>
      <c r="G2072" s="1">
        <f>VLOOKUP(B2072,'old-aw-skill-plan'!A:I,7,FALSE)</f>
        <v>4</v>
      </c>
      <c r="H2072" s="1" t="str">
        <f>VLOOKUP(B2072,'old-aw-skill-plan'!A:I,9,FALSE)</f>
        <v>4-4</v>
      </c>
    </row>
    <row r="2073" ht="15.75" customHeight="1">
      <c r="A2073" s="1" t="s">
        <v>224</v>
      </c>
      <c r="B2073" s="1" t="s">
        <v>97</v>
      </c>
      <c r="C2073" s="1" t="s">
        <v>11</v>
      </c>
      <c r="D2073" s="5">
        <v>45546.0</v>
      </c>
      <c r="G2073" s="1">
        <f>VLOOKUP(B2073,'old-aw-skill-plan'!A:I,7,FALSE)</f>
        <v>4</v>
      </c>
      <c r="H2073" s="1" t="str">
        <f>VLOOKUP(B2073,'old-aw-skill-plan'!A:I,9,FALSE)</f>
        <v>4-3</v>
      </c>
    </row>
    <row r="2074" ht="15.75" customHeight="1">
      <c r="A2074" s="1" t="s">
        <v>220</v>
      </c>
      <c r="B2074" s="1" t="s">
        <v>354</v>
      </c>
      <c r="C2074" s="1" t="s">
        <v>11</v>
      </c>
      <c r="D2074" s="5">
        <v>45546.0</v>
      </c>
      <c r="G2074" s="1">
        <f>VLOOKUP(B2074,'old-aw-skill-plan'!A:I,7,FALSE)</f>
        <v>3</v>
      </c>
      <c r="H2074" s="1" t="str">
        <f>VLOOKUP(B2074,'old-aw-skill-plan'!A:I,9,FALSE)</f>
        <v>3-7</v>
      </c>
    </row>
    <row r="2075" ht="15.75" customHeight="1">
      <c r="A2075" s="1" t="s">
        <v>220</v>
      </c>
      <c r="B2075" s="1" t="s">
        <v>25</v>
      </c>
      <c r="C2075" s="1" t="s">
        <v>11</v>
      </c>
      <c r="D2075" s="5">
        <v>45546.0</v>
      </c>
      <c r="G2075" s="1">
        <f>VLOOKUP(B2075,'old-aw-skill-plan'!A:I,7,FALSE)</f>
        <v>5</v>
      </c>
      <c r="H2075" s="1" t="str">
        <f>VLOOKUP(B2075,'old-aw-skill-plan'!A:I,9,FALSE)</f>
        <v>5-4</v>
      </c>
    </row>
    <row r="2076" ht="15.75" customHeight="1">
      <c r="A2076" s="1" t="s">
        <v>220</v>
      </c>
      <c r="B2076" s="1" t="s">
        <v>44</v>
      </c>
      <c r="C2076" s="1" t="s">
        <v>11</v>
      </c>
      <c r="D2076" s="5">
        <v>45546.0</v>
      </c>
      <c r="G2076" s="1">
        <f>VLOOKUP(B2076,'old-aw-skill-plan'!A:I,7,FALSE)</f>
        <v>5</v>
      </c>
      <c r="H2076" s="1" t="str">
        <f>VLOOKUP(B2076,'old-aw-skill-plan'!A:I,9,FALSE)</f>
        <v>5-1</v>
      </c>
    </row>
    <row r="2077" ht="15.75" customHeight="1">
      <c r="A2077" s="1" t="s">
        <v>220</v>
      </c>
      <c r="B2077" s="1" t="s">
        <v>103</v>
      </c>
      <c r="C2077" s="1" t="s">
        <v>11</v>
      </c>
      <c r="D2077" s="5">
        <v>45546.0</v>
      </c>
      <c r="G2077" s="1">
        <f>VLOOKUP(B2077,'old-aw-skill-plan'!A:I,7,FALSE)</f>
        <v>5</v>
      </c>
      <c r="H2077" s="1" t="str">
        <f>VLOOKUP(B2077,'old-aw-skill-plan'!A:I,9,FALSE)</f>
        <v>5-3</v>
      </c>
    </row>
    <row r="2078" ht="15.75" customHeight="1">
      <c r="A2078" s="1" t="s">
        <v>220</v>
      </c>
      <c r="B2078" s="1" t="s">
        <v>104</v>
      </c>
      <c r="C2078" s="1" t="s">
        <v>11</v>
      </c>
      <c r="D2078" s="5">
        <v>45546.0</v>
      </c>
      <c r="G2078" s="1">
        <f>VLOOKUP(B2078,'old-aw-skill-plan'!A:I,7,FALSE)</f>
        <v>5</v>
      </c>
      <c r="H2078" s="1" t="str">
        <f>VLOOKUP(B2078,'old-aw-skill-plan'!A:I,9,FALSE)</f>
        <v>5-2</v>
      </c>
    </row>
    <row r="2079" ht="15.75" customHeight="1">
      <c r="A2079" s="1" t="s">
        <v>237</v>
      </c>
      <c r="B2079" s="1" t="s">
        <v>104</v>
      </c>
      <c r="C2079" s="1" t="s">
        <v>11</v>
      </c>
      <c r="D2079" s="5">
        <v>45546.0</v>
      </c>
      <c r="G2079" s="1">
        <f>VLOOKUP(B2079,'old-aw-skill-plan'!A:I,7,FALSE)</f>
        <v>5</v>
      </c>
      <c r="H2079" s="1" t="str">
        <f>VLOOKUP(B2079,'old-aw-skill-plan'!A:I,9,FALSE)</f>
        <v>5-2</v>
      </c>
    </row>
    <row r="2080" ht="15.75" customHeight="1">
      <c r="A2080" s="1" t="s">
        <v>185</v>
      </c>
      <c r="B2080" s="1" t="s">
        <v>25</v>
      </c>
      <c r="C2080" s="1" t="s">
        <v>11</v>
      </c>
      <c r="D2080" s="5">
        <v>45546.0</v>
      </c>
      <c r="G2080" s="1">
        <f>VLOOKUP(B2080,'old-aw-skill-plan'!A:I,7,FALSE)</f>
        <v>5</v>
      </c>
      <c r="H2080" s="1" t="str">
        <f>VLOOKUP(B2080,'old-aw-skill-plan'!A:I,9,FALSE)</f>
        <v>5-4</v>
      </c>
    </row>
    <row r="2081" ht="15.75" customHeight="1">
      <c r="A2081" s="1" t="s">
        <v>196</v>
      </c>
      <c r="B2081" s="1" t="s">
        <v>10</v>
      </c>
      <c r="C2081" s="1" t="s">
        <v>11</v>
      </c>
      <c r="D2081" s="5">
        <v>45546.0</v>
      </c>
      <c r="G2081" s="1">
        <f>VLOOKUP(B2081,'old-aw-skill-plan'!A:I,7,FALSE)</f>
        <v>3</v>
      </c>
      <c r="H2081" s="1" t="str">
        <f>VLOOKUP(B2081,'old-aw-skill-plan'!A:I,9,FALSE)</f>
        <v>3-1</v>
      </c>
    </row>
    <row r="2082" ht="15.75" customHeight="1">
      <c r="A2082" s="1" t="s">
        <v>196</v>
      </c>
      <c r="B2082" s="1" t="s">
        <v>30</v>
      </c>
      <c r="C2082" s="1" t="s">
        <v>11</v>
      </c>
      <c r="D2082" s="5">
        <v>45546.0</v>
      </c>
      <c r="G2082" s="1">
        <f>VLOOKUP(B2082,'old-aw-skill-plan'!A:I,7,FALSE)</f>
        <v>3</v>
      </c>
      <c r="H2082" s="1" t="str">
        <f>VLOOKUP(B2082,'old-aw-skill-plan'!A:I,9,FALSE)</f>
        <v>3-3</v>
      </c>
    </row>
    <row r="2083" ht="15.75" customHeight="1">
      <c r="A2083" s="1" t="s">
        <v>196</v>
      </c>
      <c r="B2083" s="1" t="s">
        <v>47</v>
      </c>
      <c r="C2083" s="1" t="s">
        <v>11</v>
      </c>
      <c r="D2083" s="5">
        <v>45546.0</v>
      </c>
      <c r="G2083" s="1">
        <f>VLOOKUP(B2083,'old-aw-skill-plan'!A:I,7,FALSE)</f>
        <v>3</v>
      </c>
      <c r="H2083" s="1" t="str">
        <f>VLOOKUP(B2083,'old-aw-skill-plan'!A:I,9,FALSE)</f>
        <v>3-2</v>
      </c>
    </row>
    <row r="2084" ht="15.75" customHeight="1">
      <c r="A2084" s="1" t="s">
        <v>231</v>
      </c>
      <c r="B2084" s="1" t="s">
        <v>88</v>
      </c>
      <c r="C2084" s="1" t="s">
        <v>11</v>
      </c>
      <c r="D2084" s="5">
        <v>45546.0</v>
      </c>
      <c r="G2084" s="1">
        <f>VLOOKUP(B2084,'old-aw-skill-plan'!A:I,7,FALSE)</f>
        <v>5</v>
      </c>
      <c r="H2084" s="1" t="str">
        <f>VLOOKUP(B2084,'old-aw-skill-plan'!A:I,9,FALSE)</f>
        <v>5-5</v>
      </c>
    </row>
    <row r="2085" ht="15.75" customHeight="1">
      <c r="A2085" s="1" t="s">
        <v>230</v>
      </c>
      <c r="B2085" s="1" t="s">
        <v>117</v>
      </c>
      <c r="C2085" s="1" t="s">
        <v>11</v>
      </c>
      <c r="D2085" s="5">
        <v>45546.0</v>
      </c>
      <c r="G2085" s="1">
        <f>VLOOKUP(B2085,'old-aw-skill-plan'!A:I,7,FALSE)</f>
        <v>3</v>
      </c>
      <c r="H2085" s="1" t="str">
        <f>VLOOKUP(B2085,'old-aw-skill-plan'!A:I,9,FALSE)</f>
        <v>3-11</v>
      </c>
    </row>
    <row r="2086" ht="15.75" customHeight="1">
      <c r="A2086" s="1" t="s">
        <v>179</v>
      </c>
      <c r="B2086" s="1" t="s">
        <v>44</v>
      </c>
      <c r="C2086" s="1" t="s">
        <v>11</v>
      </c>
      <c r="D2086" s="5">
        <v>45546.0</v>
      </c>
      <c r="G2086" s="1">
        <f>VLOOKUP(B2086,'old-aw-skill-plan'!A:I,7,FALSE)</f>
        <v>5</v>
      </c>
      <c r="H2086" s="1" t="str">
        <f>VLOOKUP(B2086,'old-aw-skill-plan'!A:I,9,FALSE)</f>
        <v>5-1</v>
      </c>
    </row>
    <row r="2087" ht="15.75" customHeight="1">
      <c r="A2087" s="1" t="s">
        <v>60</v>
      </c>
      <c r="B2087" s="1" t="s">
        <v>104</v>
      </c>
      <c r="C2087" s="1" t="s">
        <v>11</v>
      </c>
      <c r="D2087" s="5">
        <v>45546.0</v>
      </c>
      <c r="G2087" s="1">
        <f>VLOOKUP(B2087,'old-aw-skill-plan'!A:I,7,FALSE)</f>
        <v>5</v>
      </c>
      <c r="H2087" s="1" t="str">
        <f>VLOOKUP(B2087,'old-aw-skill-plan'!A:I,9,FALSE)</f>
        <v>5-2</v>
      </c>
    </row>
    <row r="2088" ht="15.75" customHeight="1">
      <c r="A2088" s="1" t="s">
        <v>183</v>
      </c>
      <c r="B2088" s="1" t="s">
        <v>314</v>
      </c>
      <c r="C2088" s="1" t="s">
        <v>11</v>
      </c>
      <c r="D2088" s="5">
        <v>45546.0</v>
      </c>
      <c r="G2088" s="1">
        <f>VLOOKUP(B2088,'old-aw-skill-plan'!A:I,7,FALSE)</f>
        <v>5</v>
      </c>
      <c r="H2088" s="1" t="str">
        <f>VLOOKUP(B2088,'old-aw-skill-plan'!A:I,9,FALSE)</f>
        <v>5-10</v>
      </c>
    </row>
    <row r="2089" ht="15.75" customHeight="1">
      <c r="A2089" s="1" t="s">
        <v>95</v>
      </c>
      <c r="B2089" s="1" t="s">
        <v>28</v>
      </c>
      <c r="C2089" s="1" t="s">
        <v>11</v>
      </c>
      <c r="D2089" s="5">
        <v>45546.0</v>
      </c>
      <c r="G2089" s="1">
        <f>VLOOKUP(B2089,'old-aw-skill-plan'!A:I,7,FALSE)</f>
        <v>3</v>
      </c>
      <c r="H2089" s="1" t="str">
        <f>VLOOKUP(B2089,'old-aw-skill-plan'!A:I,9,FALSE)</f>
        <v>3-4</v>
      </c>
    </row>
    <row r="2090" ht="15.75" customHeight="1">
      <c r="A2090" s="1" t="s">
        <v>197</v>
      </c>
      <c r="B2090" s="1" t="s">
        <v>83</v>
      </c>
      <c r="C2090" s="1" t="s">
        <v>11</v>
      </c>
      <c r="D2090" s="5">
        <v>45546.0</v>
      </c>
      <c r="G2090" s="1">
        <f>VLOOKUP(B2090,'old-aw-skill-plan'!A:I,7,FALSE)</f>
        <v>5</v>
      </c>
      <c r="H2090" s="1" t="str">
        <f>VLOOKUP(B2090,'old-aw-skill-plan'!A:I,9,FALSE)</f>
        <v>5-9</v>
      </c>
    </row>
    <row r="2091" ht="15.75" customHeight="1">
      <c r="A2091" s="1" t="s">
        <v>74</v>
      </c>
      <c r="B2091" s="1" t="s">
        <v>44</v>
      </c>
      <c r="C2091" s="1" t="s">
        <v>11</v>
      </c>
      <c r="D2091" s="5">
        <v>45546.0</v>
      </c>
      <c r="G2091" s="1">
        <f>VLOOKUP(B2091,'old-aw-skill-plan'!A:I,7,FALSE)</f>
        <v>5</v>
      </c>
      <c r="H2091" s="1" t="str">
        <f>VLOOKUP(B2091,'old-aw-skill-plan'!A:I,9,FALSE)</f>
        <v>5-1</v>
      </c>
    </row>
    <row r="2092" ht="15.75" customHeight="1">
      <c r="A2092" s="1" t="s">
        <v>205</v>
      </c>
      <c r="B2092" s="1" t="s">
        <v>44</v>
      </c>
      <c r="C2092" s="1" t="s">
        <v>11</v>
      </c>
      <c r="D2092" s="5">
        <v>45546.0</v>
      </c>
      <c r="G2092" s="1">
        <f>VLOOKUP(B2092,'old-aw-skill-plan'!A:I,7,FALSE)</f>
        <v>5</v>
      </c>
      <c r="H2092" s="1" t="str">
        <f>VLOOKUP(B2092,'old-aw-skill-plan'!A:I,9,FALSE)</f>
        <v>5-1</v>
      </c>
    </row>
    <row r="2093" ht="15.75" customHeight="1">
      <c r="A2093" s="1" t="s">
        <v>181</v>
      </c>
      <c r="B2093" s="1" t="s">
        <v>44</v>
      </c>
      <c r="C2093" s="1" t="s">
        <v>11</v>
      </c>
      <c r="D2093" s="5">
        <v>45546.0</v>
      </c>
      <c r="G2093" s="1">
        <f>VLOOKUP(B2093,'old-aw-skill-plan'!A:I,7,FALSE)</f>
        <v>5</v>
      </c>
      <c r="H2093" s="1" t="str">
        <f>VLOOKUP(B2093,'old-aw-skill-plan'!A:I,9,FALSE)</f>
        <v>5-1</v>
      </c>
    </row>
    <row r="2094" ht="15.75" customHeight="1">
      <c r="A2094" s="1" t="s">
        <v>181</v>
      </c>
      <c r="B2094" s="1" t="s">
        <v>104</v>
      </c>
      <c r="C2094" s="1" t="s">
        <v>11</v>
      </c>
      <c r="D2094" s="5">
        <v>45546.0</v>
      </c>
      <c r="G2094" s="1">
        <f>VLOOKUP(B2094,'old-aw-skill-plan'!A:I,7,FALSE)</f>
        <v>5</v>
      </c>
      <c r="H2094" s="1" t="str">
        <f>VLOOKUP(B2094,'old-aw-skill-plan'!A:I,9,FALSE)</f>
        <v>5-2</v>
      </c>
    </row>
    <row r="2095" ht="15.75" customHeight="1">
      <c r="A2095" s="1" t="s">
        <v>75</v>
      </c>
      <c r="B2095" s="1" t="s">
        <v>58</v>
      </c>
      <c r="C2095" s="1" t="s">
        <v>11</v>
      </c>
      <c r="D2095" s="5">
        <v>45546.0</v>
      </c>
      <c r="G2095" s="1">
        <f>VLOOKUP(B2095,'old-aw-skill-plan'!A:I,7,FALSE)</f>
        <v>3</v>
      </c>
      <c r="H2095" s="1" t="str">
        <f>VLOOKUP(B2095,'old-aw-skill-plan'!A:I,9,FALSE)</f>
        <v>3-8</v>
      </c>
    </row>
    <row r="2096" ht="15.75" customHeight="1">
      <c r="A2096" s="1" t="s">
        <v>77</v>
      </c>
      <c r="B2096" s="1" t="s">
        <v>61</v>
      </c>
      <c r="C2096" s="1" t="s">
        <v>11</v>
      </c>
      <c r="D2096" s="5">
        <v>45546.0</v>
      </c>
      <c r="G2096" s="1">
        <f>VLOOKUP(B2096,'old-aw-skill-plan'!A:I,7,FALSE)</f>
        <v>4</v>
      </c>
      <c r="H2096" s="1" t="str">
        <f>VLOOKUP(B2096,'old-aw-skill-plan'!A:I,9,FALSE)</f>
        <v>4-4</v>
      </c>
    </row>
    <row r="2097" ht="15.75" customHeight="1">
      <c r="A2097" s="1" t="s">
        <v>77</v>
      </c>
      <c r="B2097" s="1" t="s">
        <v>42</v>
      </c>
      <c r="C2097" s="1" t="s">
        <v>11</v>
      </c>
      <c r="D2097" s="5">
        <v>45546.0</v>
      </c>
      <c r="G2097" s="1">
        <f>VLOOKUP(B2097,'old-aw-skill-plan'!A:I,7,FALSE)</f>
        <v>4</v>
      </c>
      <c r="H2097" s="1" t="str">
        <f>VLOOKUP(B2097,'old-aw-skill-plan'!A:I,9,FALSE)</f>
        <v>4-11</v>
      </c>
    </row>
    <row r="2098" ht="15.75" customHeight="1">
      <c r="A2098" s="1" t="s">
        <v>77</v>
      </c>
      <c r="B2098" s="1" t="s">
        <v>37</v>
      </c>
      <c r="C2098" s="1" t="s">
        <v>11</v>
      </c>
      <c r="D2098" s="5">
        <v>45546.0</v>
      </c>
      <c r="G2098" s="1">
        <f>VLOOKUP(B2098,'old-aw-skill-plan'!A:I,7,FALSE)</f>
        <v>4</v>
      </c>
      <c r="H2098" s="1" t="str">
        <f>VLOOKUP(B2098,'old-aw-skill-plan'!A:I,9,FALSE)</f>
        <v>4-2</v>
      </c>
    </row>
    <row r="2099" ht="15.75" customHeight="1">
      <c r="A2099" s="1" t="s">
        <v>77</v>
      </c>
      <c r="B2099" s="1" t="s">
        <v>309</v>
      </c>
      <c r="C2099" s="1" t="s">
        <v>11</v>
      </c>
      <c r="D2099" s="5">
        <v>45546.0</v>
      </c>
      <c r="G2099" s="1">
        <f>VLOOKUP(B2099,'old-aw-skill-plan'!A:I,7,FALSE)</f>
        <v>4</v>
      </c>
      <c r="H2099" s="1" t="str">
        <f>VLOOKUP(B2099,'old-aw-skill-plan'!A:I,9,FALSE)</f>
        <v>4-1</v>
      </c>
    </row>
    <row r="2100" ht="15.75" customHeight="1">
      <c r="A2100" s="1" t="s">
        <v>326</v>
      </c>
      <c r="B2100" s="1" t="s">
        <v>25</v>
      </c>
      <c r="C2100" s="1" t="s">
        <v>11</v>
      </c>
      <c r="D2100" s="5">
        <v>45546.0</v>
      </c>
      <c r="G2100" s="1">
        <f>VLOOKUP(B2100,'old-aw-skill-plan'!A:I,7,FALSE)</f>
        <v>5</v>
      </c>
      <c r="H2100" s="1" t="str">
        <f>VLOOKUP(B2100,'old-aw-skill-plan'!A:I,9,FALSE)</f>
        <v>5-4</v>
      </c>
    </row>
    <row r="2101" ht="15.75" customHeight="1">
      <c r="A2101" s="1" t="s">
        <v>365</v>
      </c>
      <c r="B2101" s="1" t="s">
        <v>28</v>
      </c>
      <c r="C2101" s="1" t="s">
        <v>11</v>
      </c>
      <c r="D2101" s="5">
        <v>45546.0</v>
      </c>
      <c r="G2101" s="1">
        <f>VLOOKUP(B2101,'old-aw-skill-plan'!A:I,7,FALSE)</f>
        <v>3</v>
      </c>
      <c r="H2101" s="1" t="str">
        <f>VLOOKUP(B2101,'old-aw-skill-plan'!A:I,9,FALSE)</f>
        <v>3-4</v>
      </c>
    </row>
    <row r="2102" ht="15.75" customHeight="1">
      <c r="A2102" s="1" t="s">
        <v>365</v>
      </c>
      <c r="B2102" s="1" t="s">
        <v>57</v>
      </c>
      <c r="C2102" s="1" t="s">
        <v>11</v>
      </c>
      <c r="D2102" s="5">
        <v>45546.0</v>
      </c>
      <c r="G2102" s="1">
        <f>VLOOKUP(B2102,'old-aw-skill-plan'!A:I,7,FALSE)</f>
        <v>3</v>
      </c>
      <c r="H2102" s="1" t="str">
        <f>VLOOKUP(B2102,'old-aw-skill-plan'!A:I,9,FALSE)</f>
        <v>3-7</v>
      </c>
    </row>
    <row r="2103" ht="15.75" customHeight="1">
      <c r="A2103" s="1" t="s">
        <v>365</v>
      </c>
      <c r="B2103" s="1" t="s">
        <v>30</v>
      </c>
      <c r="C2103" s="1" t="s">
        <v>11</v>
      </c>
      <c r="D2103" s="5">
        <v>45546.0</v>
      </c>
      <c r="G2103" s="1">
        <f>VLOOKUP(B2103,'old-aw-skill-plan'!A:I,7,FALSE)</f>
        <v>3</v>
      </c>
      <c r="H2103" s="1" t="str">
        <f>VLOOKUP(B2103,'old-aw-skill-plan'!A:I,9,FALSE)</f>
        <v>3-3</v>
      </c>
    </row>
    <row r="2104" ht="15.75" customHeight="1">
      <c r="A2104" s="1" t="s">
        <v>365</v>
      </c>
      <c r="B2104" s="1" t="s">
        <v>58</v>
      </c>
      <c r="C2104" s="1" t="s">
        <v>11</v>
      </c>
      <c r="D2104" s="5">
        <v>45546.0</v>
      </c>
      <c r="G2104" s="1">
        <f>VLOOKUP(B2104,'old-aw-skill-plan'!A:I,7,FALSE)</f>
        <v>3</v>
      </c>
      <c r="H2104" s="1" t="str">
        <f>VLOOKUP(B2104,'old-aw-skill-plan'!A:I,9,FALSE)</f>
        <v>3-8</v>
      </c>
    </row>
    <row r="2105" ht="15.75" customHeight="1">
      <c r="A2105" s="1" t="s">
        <v>365</v>
      </c>
      <c r="B2105" s="1" t="s">
        <v>401</v>
      </c>
      <c r="C2105" s="1" t="s">
        <v>11</v>
      </c>
      <c r="D2105" s="5">
        <v>45546.0</v>
      </c>
      <c r="G2105" s="1">
        <f>VLOOKUP(B2105,'old-aw-skill-plan'!A:I,7,FALSE)</f>
        <v>7</v>
      </c>
      <c r="H2105" s="1" t="str">
        <f>VLOOKUP(B2105,'old-aw-skill-plan'!A:I,9,FALSE)</f>
        <v>7-7</v>
      </c>
    </row>
    <row r="2106" ht="15.75" customHeight="1">
      <c r="A2106" s="1" t="s">
        <v>365</v>
      </c>
      <c r="B2106" s="1" t="s">
        <v>400</v>
      </c>
      <c r="C2106" s="1" t="s">
        <v>11</v>
      </c>
      <c r="D2106" s="5">
        <v>45546.0</v>
      </c>
      <c r="G2106" s="1">
        <f>VLOOKUP(B2106,'old-aw-skill-plan'!A:I,7,FALSE)</f>
        <v>4</v>
      </c>
      <c r="H2106" s="1" t="str">
        <f>VLOOKUP(B2106,'old-aw-skill-plan'!A:I,9,FALSE)</f>
        <v>4-7</v>
      </c>
    </row>
    <row r="2107" ht="15.75" customHeight="1">
      <c r="A2107" s="1" t="s">
        <v>365</v>
      </c>
      <c r="B2107" s="1" t="s">
        <v>402</v>
      </c>
      <c r="C2107" s="1" t="s">
        <v>11</v>
      </c>
      <c r="D2107" s="5">
        <v>45546.0</v>
      </c>
      <c r="G2107" s="1">
        <f>VLOOKUP(B2107,'old-aw-skill-plan'!A:I,7,FALSE)</f>
        <v>4</v>
      </c>
      <c r="H2107" s="1" t="str">
        <f>VLOOKUP(B2107,'old-aw-skill-plan'!A:I,9,FALSE)</f>
        <v>4-2</v>
      </c>
    </row>
    <row r="2108" ht="15.75" customHeight="1">
      <c r="A2108" s="1" t="s">
        <v>225</v>
      </c>
      <c r="B2108" s="1" t="s">
        <v>83</v>
      </c>
      <c r="C2108" s="1" t="s">
        <v>11</v>
      </c>
      <c r="D2108" s="5">
        <v>45546.0</v>
      </c>
      <c r="G2108" s="1">
        <f>VLOOKUP(B2108,'old-aw-skill-plan'!A:I,7,FALSE)</f>
        <v>5</v>
      </c>
      <c r="H2108" s="1" t="str">
        <f>VLOOKUP(B2108,'old-aw-skill-plan'!A:I,9,FALSE)</f>
        <v>5-9</v>
      </c>
    </row>
    <row r="2109" ht="15.75" customHeight="1">
      <c r="A2109" s="1" t="s">
        <v>35</v>
      </c>
      <c r="B2109" s="1" t="s">
        <v>83</v>
      </c>
      <c r="C2109" s="1" t="s">
        <v>11</v>
      </c>
      <c r="D2109" s="5">
        <v>45545.0</v>
      </c>
      <c r="G2109" s="1">
        <f>VLOOKUP(B2109,'old-aw-skill-plan'!A:I,7,FALSE)</f>
        <v>5</v>
      </c>
      <c r="H2109" s="1" t="str">
        <f>VLOOKUP(B2109,'old-aw-skill-plan'!A:I,9,FALSE)</f>
        <v>5-9</v>
      </c>
    </row>
    <row r="2110" ht="15.75" customHeight="1">
      <c r="A2110" s="1" t="s">
        <v>35</v>
      </c>
      <c r="B2110" s="1" t="s">
        <v>85</v>
      </c>
      <c r="C2110" s="1" t="s">
        <v>11</v>
      </c>
      <c r="D2110" s="5">
        <v>45545.0</v>
      </c>
      <c r="G2110" s="1">
        <f>VLOOKUP(B2110,'old-aw-skill-plan'!A:I,7,FALSE)</f>
        <v>5</v>
      </c>
      <c r="H2110" s="1" t="str">
        <f>VLOOKUP(B2110,'old-aw-skill-plan'!A:I,9,FALSE)</f>
        <v>5-8</v>
      </c>
    </row>
    <row r="2111" ht="15.75" customHeight="1">
      <c r="A2111" s="1" t="s">
        <v>24</v>
      </c>
      <c r="B2111" s="1" t="s">
        <v>104</v>
      </c>
      <c r="C2111" s="1" t="s">
        <v>11</v>
      </c>
      <c r="D2111" s="5">
        <v>45545.0</v>
      </c>
      <c r="G2111" s="1">
        <f>VLOOKUP(B2111,'old-aw-skill-plan'!A:I,7,FALSE)</f>
        <v>5</v>
      </c>
      <c r="H2111" s="1" t="str">
        <f>VLOOKUP(B2111,'old-aw-skill-plan'!A:I,9,FALSE)</f>
        <v>5-2</v>
      </c>
    </row>
    <row r="2112" ht="15.75" customHeight="1">
      <c r="A2112" s="1" t="s">
        <v>207</v>
      </c>
      <c r="B2112" s="1" t="s">
        <v>25</v>
      </c>
      <c r="C2112" s="1" t="s">
        <v>11</v>
      </c>
      <c r="D2112" s="5">
        <v>45545.0</v>
      </c>
      <c r="G2112" s="1">
        <f>VLOOKUP(B2112,'old-aw-skill-plan'!A:I,7,FALSE)</f>
        <v>5</v>
      </c>
      <c r="H2112" s="1" t="str">
        <f>VLOOKUP(B2112,'old-aw-skill-plan'!A:I,9,FALSE)</f>
        <v>5-4</v>
      </c>
    </row>
    <row r="2113" ht="15.75" customHeight="1">
      <c r="A2113" s="1" t="s">
        <v>52</v>
      </c>
      <c r="B2113" s="1" t="s">
        <v>30</v>
      </c>
      <c r="C2113" s="1" t="s">
        <v>11</v>
      </c>
      <c r="D2113" s="5">
        <v>45545.0</v>
      </c>
      <c r="G2113" s="1">
        <f>VLOOKUP(B2113,'old-aw-skill-plan'!A:I,7,FALSE)</f>
        <v>3</v>
      </c>
      <c r="H2113" s="1" t="str">
        <f>VLOOKUP(B2113,'old-aw-skill-plan'!A:I,9,FALSE)</f>
        <v>3-3</v>
      </c>
    </row>
    <row r="2114" ht="15.75" customHeight="1">
      <c r="A2114" s="1" t="s">
        <v>199</v>
      </c>
      <c r="B2114" s="1" t="s">
        <v>61</v>
      </c>
      <c r="C2114" s="1" t="s">
        <v>11</v>
      </c>
      <c r="D2114" s="5">
        <v>45545.0</v>
      </c>
      <c r="G2114" s="1">
        <f>VLOOKUP(B2114,'old-aw-skill-plan'!A:I,7,FALSE)</f>
        <v>4</v>
      </c>
      <c r="H2114" s="1" t="str">
        <f>VLOOKUP(B2114,'old-aw-skill-plan'!A:I,9,FALSE)</f>
        <v>4-4</v>
      </c>
    </row>
    <row r="2115" ht="15.75" customHeight="1">
      <c r="A2115" s="1" t="s">
        <v>39</v>
      </c>
      <c r="B2115" s="1" t="s">
        <v>61</v>
      </c>
      <c r="C2115" s="1" t="s">
        <v>11</v>
      </c>
      <c r="D2115" s="5">
        <v>45545.0</v>
      </c>
      <c r="G2115" s="1">
        <f>VLOOKUP(B2115,'old-aw-skill-plan'!A:I,7,FALSE)</f>
        <v>4</v>
      </c>
      <c r="H2115" s="1" t="str">
        <f>VLOOKUP(B2115,'old-aw-skill-plan'!A:I,9,FALSE)</f>
        <v>4-4</v>
      </c>
    </row>
    <row r="2116" ht="15.75" customHeight="1">
      <c r="A2116" s="1" t="s">
        <v>39</v>
      </c>
      <c r="B2116" s="1" t="s">
        <v>44</v>
      </c>
      <c r="C2116" s="1" t="s">
        <v>11</v>
      </c>
      <c r="D2116" s="5">
        <v>45545.0</v>
      </c>
      <c r="G2116" s="1">
        <f>VLOOKUP(B2116,'old-aw-skill-plan'!A:I,7,FALSE)</f>
        <v>5</v>
      </c>
      <c r="H2116" s="1" t="str">
        <f>VLOOKUP(B2116,'old-aw-skill-plan'!A:I,9,FALSE)</f>
        <v>5-1</v>
      </c>
    </row>
    <row r="2117" ht="15.75" customHeight="1">
      <c r="A2117" s="1" t="s">
        <v>224</v>
      </c>
      <c r="B2117" s="1" t="s">
        <v>34</v>
      </c>
      <c r="C2117" s="1" t="s">
        <v>11</v>
      </c>
      <c r="D2117" s="5">
        <v>45545.0</v>
      </c>
      <c r="G2117" s="1">
        <f>VLOOKUP(B2117,'old-aw-skill-plan'!A:I,7,FALSE)</f>
        <v>4</v>
      </c>
      <c r="H2117" s="1" t="str">
        <f>VLOOKUP(B2117,'old-aw-skill-plan'!A:I,9,FALSE)</f>
        <v>4-1</v>
      </c>
    </row>
    <row r="2118" ht="15.75" customHeight="1">
      <c r="A2118" s="1" t="s">
        <v>224</v>
      </c>
      <c r="B2118" s="1" t="s">
        <v>37</v>
      </c>
      <c r="C2118" s="1" t="s">
        <v>11</v>
      </c>
      <c r="D2118" s="5">
        <v>45545.0</v>
      </c>
      <c r="G2118" s="1">
        <f>VLOOKUP(B2118,'old-aw-skill-plan'!A:I,7,FALSE)</f>
        <v>4</v>
      </c>
      <c r="H2118" s="1" t="str">
        <f>VLOOKUP(B2118,'old-aw-skill-plan'!A:I,9,FALSE)</f>
        <v>4-2</v>
      </c>
    </row>
    <row r="2119" ht="15.75" customHeight="1">
      <c r="A2119" s="1" t="s">
        <v>220</v>
      </c>
      <c r="B2119" s="1" t="s">
        <v>44</v>
      </c>
      <c r="C2119" s="1" t="s">
        <v>11</v>
      </c>
      <c r="D2119" s="5">
        <v>45545.0</v>
      </c>
      <c r="G2119" s="1">
        <f>VLOOKUP(B2119,'old-aw-skill-plan'!A:I,7,FALSE)</f>
        <v>5</v>
      </c>
      <c r="H2119" s="1" t="str">
        <f>VLOOKUP(B2119,'old-aw-skill-plan'!A:I,9,FALSE)</f>
        <v>5-1</v>
      </c>
    </row>
    <row r="2120" ht="15.75" customHeight="1">
      <c r="A2120" s="1" t="s">
        <v>196</v>
      </c>
      <c r="B2120" s="1" t="s">
        <v>10</v>
      </c>
      <c r="C2120" s="1" t="s">
        <v>11</v>
      </c>
      <c r="D2120" s="5">
        <v>45545.0</v>
      </c>
      <c r="G2120" s="1">
        <f>VLOOKUP(B2120,'old-aw-skill-plan'!A:I,7,FALSE)</f>
        <v>3</v>
      </c>
      <c r="H2120" s="1" t="str">
        <f>VLOOKUP(B2120,'old-aw-skill-plan'!A:I,9,FALSE)</f>
        <v>3-1</v>
      </c>
    </row>
    <row r="2121" ht="15.75" customHeight="1">
      <c r="A2121" s="1" t="s">
        <v>196</v>
      </c>
      <c r="B2121" s="1" t="s">
        <v>47</v>
      </c>
      <c r="C2121" s="1" t="s">
        <v>11</v>
      </c>
      <c r="D2121" s="5">
        <v>45545.0</v>
      </c>
      <c r="G2121" s="1">
        <f>VLOOKUP(B2121,'old-aw-skill-plan'!A:I,7,FALSE)</f>
        <v>3</v>
      </c>
      <c r="H2121" s="1" t="str">
        <f>VLOOKUP(B2121,'old-aw-skill-plan'!A:I,9,FALSE)</f>
        <v>3-2</v>
      </c>
    </row>
    <row r="2122" ht="15.75" customHeight="1">
      <c r="A2122" s="1" t="s">
        <v>231</v>
      </c>
      <c r="B2122" s="1" t="s">
        <v>25</v>
      </c>
      <c r="C2122" s="1" t="s">
        <v>11</v>
      </c>
      <c r="D2122" s="5">
        <v>45545.0</v>
      </c>
      <c r="G2122" s="1">
        <f>VLOOKUP(B2122,'old-aw-skill-plan'!A:I,7,FALSE)</f>
        <v>5</v>
      </c>
      <c r="H2122" s="1" t="str">
        <f>VLOOKUP(B2122,'old-aw-skill-plan'!A:I,9,FALSE)</f>
        <v>5-4</v>
      </c>
    </row>
    <row r="2123" ht="15.75" customHeight="1">
      <c r="A2123" s="1" t="s">
        <v>231</v>
      </c>
      <c r="B2123" s="1" t="s">
        <v>103</v>
      </c>
      <c r="C2123" s="1" t="s">
        <v>11</v>
      </c>
      <c r="D2123" s="5">
        <v>45545.0</v>
      </c>
      <c r="G2123" s="1">
        <f>VLOOKUP(B2123,'old-aw-skill-plan'!A:I,7,FALSE)</f>
        <v>5</v>
      </c>
      <c r="H2123" s="1" t="str">
        <f>VLOOKUP(B2123,'old-aw-skill-plan'!A:I,9,FALSE)</f>
        <v>5-3</v>
      </c>
    </row>
    <row r="2124" ht="15.75" customHeight="1">
      <c r="A2124" s="1" t="s">
        <v>230</v>
      </c>
      <c r="B2124" s="1" t="s">
        <v>117</v>
      </c>
      <c r="C2124" s="1" t="s">
        <v>11</v>
      </c>
      <c r="D2124" s="5">
        <v>45545.0</v>
      </c>
      <c r="G2124" s="1">
        <f>VLOOKUP(B2124,'old-aw-skill-plan'!A:I,7,FALSE)</f>
        <v>3</v>
      </c>
      <c r="H2124" s="1" t="str">
        <f>VLOOKUP(B2124,'old-aw-skill-plan'!A:I,9,FALSE)</f>
        <v>3-11</v>
      </c>
    </row>
    <row r="2125" ht="15.75" customHeight="1">
      <c r="A2125" s="1" t="s">
        <v>179</v>
      </c>
      <c r="B2125" s="1" t="s">
        <v>44</v>
      </c>
      <c r="C2125" s="1" t="s">
        <v>11</v>
      </c>
      <c r="D2125" s="5">
        <v>45545.0</v>
      </c>
      <c r="G2125" s="1">
        <f>VLOOKUP(B2125,'old-aw-skill-plan'!A:I,7,FALSE)</f>
        <v>5</v>
      </c>
      <c r="H2125" s="1" t="str">
        <f>VLOOKUP(B2125,'old-aw-skill-plan'!A:I,9,FALSE)</f>
        <v>5-1</v>
      </c>
    </row>
    <row r="2126" ht="15.75" customHeight="1">
      <c r="A2126" s="1" t="s">
        <v>63</v>
      </c>
      <c r="B2126" s="1" t="s">
        <v>104</v>
      </c>
      <c r="C2126" s="1" t="s">
        <v>11</v>
      </c>
      <c r="D2126" s="5">
        <v>45545.0</v>
      </c>
      <c r="G2126" s="1">
        <f>VLOOKUP(B2126,'old-aw-skill-plan'!A:I,7,FALSE)</f>
        <v>5</v>
      </c>
      <c r="H2126" s="1" t="str">
        <f>VLOOKUP(B2126,'old-aw-skill-plan'!A:I,9,FALSE)</f>
        <v>5-2</v>
      </c>
    </row>
    <row r="2127" ht="15.75" customHeight="1">
      <c r="A2127" s="1" t="s">
        <v>183</v>
      </c>
      <c r="B2127" s="1" t="s">
        <v>314</v>
      </c>
      <c r="C2127" s="1" t="s">
        <v>11</v>
      </c>
      <c r="D2127" s="5">
        <v>45545.0</v>
      </c>
      <c r="G2127" s="1">
        <f>VLOOKUP(B2127,'old-aw-skill-plan'!A:I,7,FALSE)</f>
        <v>5</v>
      </c>
      <c r="H2127" s="1" t="str">
        <f>VLOOKUP(B2127,'old-aw-skill-plan'!A:I,9,FALSE)</f>
        <v>5-10</v>
      </c>
    </row>
    <row r="2128" ht="15.75" customHeight="1">
      <c r="A2128" s="1" t="s">
        <v>183</v>
      </c>
      <c r="B2128" s="1" t="s">
        <v>83</v>
      </c>
      <c r="C2128" s="1" t="s">
        <v>11</v>
      </c>
      <c r="D2128" s="5">
        <v>45545.0</v>
      </c>
      <c r="G2128" s="1">
        <f>VLOOKUP(B2128,'old-aw-skill-plan'!A:I,7,FALSE)</f>
        <v>5</v>
      </c>
      <c r="H2128" s="1" t="str">
        <f>VLOOKUP(B2128,'old-aw-skill-plan'!A:I,9,FALSE)</f>
        <v>5-9</v>
      </c>
    </row>
    <row r="2129" ht="15.75" customHeight="1">
      <c r="A2129" s="1" t="s">
        <v>183</v>
      </c>
      <c r="B2129" s="1" t="s">
        <v>84</v>
      </c>
      <c r="C2129" s="1" t="s">
        <v>11</v>
      </c>
      <c r="D2129" s="5">
        <v>45545.0</v>
      </c>
      <c r="G2129" s="1">
        <f>VLOOKUP(B2129,'old-aw-skill-plan'!A:I,7,FALSE)</f>
        <v>5</v>
      </c>
      <c r="H2129" s="1" t="str">
        <f>VLOOKUP(B2129,'old-aw-skill-plan'!A:I,9,FALSE)</f>
        <v>5-7</v>
      </c>
    </row>
    <row r="2130" ht="15.75" customHeight="1">
      <c r="A2130" s="1" t="s">
        <v>183</v>
      </c>
      <c r="B2130" s="1" t="s">
        <v>85</v>
      </c>
      <c r="C2130" s="1" t="s">
        <v>11</v>
      </c>
      <c r="D2130" s="5">
        <v>45545.0</v>
      </c>
      <c r="G2130" s="1">
        <f>VLOOKUP(B2130,'old-aw-skill-plan'!A:I,7,FALSE)</f>
        <v>5</v>
      </c>
      <c r="H2130" s="1" t="str">
        <f>VLOOKUP(B2130,'old-aw-skill-plan'!A:I,9,FALSE)</f>
        <v>5-8</v>
      </c>
    </row>
    <row r="2131" ht="15.75" customHeight="1">
      <c r="A2131" s="1" t="s">
        <v>183</v>
      </c>
      <c r="B2131" s="1" t="s">
        <v>87</v>
      </c>
      <c r="C2131" s="1" t="s">
        <v>11</v>
      </c>
      <c r="D2131" s="5">
        <v>45545.0</v>
      </c>
      <c r="G2131" s="1">
        <f>VLOOKUP(B2131,'old-aw-skill-plan'!A:I,7,FALSE)</f>
        <v>5</v>
      </c>
      <c r="H2131" s="1" t="str">
        <f>VLOOKUP(B2131,'old-aw-skill-plan'!A:I,9,FALSE)</f>
        <v>5-6</v>
      </c>
    </row>
    <row r="2132" ht="15.75" customHeight="1">
      <c r="A2132" s="1" t="s">
        <v>95</v>
      </c>
      <c r="B2132" s="1" t="s">
        <v>28</v>
      </c>
      <c r="C2132" s="1" t="s">
        <v>11</v>
      </c>
      <c r="D2132" s="5">
        <v>45545.0</v>
      </c>
      <c r="G2132" s="1">
        <f>VLOOKUP(B2132,'old-aw-skill-plan'!A:I,7,FALSE)</f>
        <v>3</v>
      </c>
      <c r="H2132" s="1" t="str">
        <f>VLOOKUP(B2132,'old-aw-skill-plan'!A:I,9,FALSE)</f>
        <v>3-4</v>
      </c>
    </row>
    <row r="2133" ht="15.75" customHeight="1">
      <c r="A2133" s="1" t="s">
        <v>197</v>
      </c>
      <c r="B2133" s="1" t="s">
        <v>83</v>
      </c>
      <c r="C2133" s="1" t="s">
        <v>11</v>
      </c>
      <c r="D2133" s="5">
        <v>45545.0</v>
      </c>
      <c r="G2133" s="1">
        <f>VLOOKUP(B2133,'old-aw-skill-plan'!A:I,7,FALSE)</f>
        <v>5</v>
      </c>
      <c r="H2133" s="1" t="str">
        <f>VLOOKUP(B2133,'old-aw-skill-plan'!A:I,9,FALSE)</f>
        <v>5-9</v>
      </c>
    </row>
    <row r="2134" ht="15.75" customHeight="1">
      <c r="A2134" s="1" t="s">
        <v>74</v>
      </c>
      <c r="B2134" s="1" t="s">
        <v>44</v>
      </c>
      <c r="C2134" s="1" t="s">
        <v>11</v>
      </c>
      <c r="D2134" s="5">
        <v>45545.0</v>
      </c>
      <c r="G2134" s="1">
        <f>VLOOKUP(B2134,'old-aw-skill-plan'!A:I,7,FALSE)</f>
        <v>5</v>
      </c>
      <c r="H2134" s="1" t="str">
        <f>VLOOKUP(B2134,'old-aw-skill-plan'!A:I,9,FALSE)</f>
        <v>5-1</v>
      </c>
    </row>
    <row r="2135" ht="15.75" customHeight="1">
      <c r="A2135" s="1" t="s">
        <v>225</v>
      </c>
      <c r="B2135" s="1" t="s">
        <v>83</v>
      </c>
      <c r="C2135" s="1" t="s">
        <v>11</v>
      </c>
      <c r="D2135" s="5">
        <v>45545.0</v>
      </c>
      <c r="G2135" s="1">
        <f>VLOOKUP(B2135,'old-aw-skill-plan'!A:I,7,FALSE)</f>
        <v>5</v>
      </c>
      <c r="H2135" s="1" t="str">
        <f>VLOOKUP(B2135,'old-aw-skill-plan'!A:I,9,FALSE)</f>
        <v>5-9</v>
      </c>
    </row>
    <row r="2136" ht="15.75" customHeight="1">
      <c r="A2136" s="1" t="s">
        <v>35</v>
      </c>
      <c r="B2136" s="1" t="s">
        <v>84</v>
      </c>
      <c r="C2136" s="1" t="s">
        <v>11</v>
      </c>
      <c r="D2136" s="5">
        <v>45544.0</v>
      </c>
      <c r="G2136" s="1">
        <f>VLOOKUP(B2136,'old-aw-skill-plan'!A:I,7,FALSE)</f>
        <v>5</v>
      </c>
      <c r="H2136" s="1" t="str">
        <f>VLOOKUP(B2136,'old-aw-skill-plan'!A:I,9,FALSE)</f>
        <v>5-7</v>
      </c>
    </row>
    <row r="2137" ht="15.75" customHeight="1">
      <c r="A2137" s="1" t="s">
        <v>24</v>
      </c>
      <c r="B2137" s="1" t="s">
        <v>104</v>
      </c>
      <c r="C2137" s="1" t="s">
        <v>11</v>
      </c>
      <c r="D2137" s="5">
        <v>45544.0</v>
      </c>
      <c r="G2137" s="1">
        <f>VLOOKUP(B2137,'old-aw-skill-plan'!A:I,7,FALSE)</f>
        <v>5</v>
      </c>
      <c r="H2137" s="1" t="str">
        <f>VLOOKUP(B2137,'old-aw-skill-plan'!A:I,9,FALSE)</f>
        <v>5-2</v>
      </c>
    </row>
    <row r="2138" ht="15.75" customHeight="1">
      <c r="A2138" s="1" t="s">
        <v>207</v>
      </c>
      <c r="B2138" s="1" t="s">
        <v>25</v>
      </c>
      <c r="C2138" s="1" t="s">
        <v>11</v>
      </c>
      <c r="D2138" s="5">
        <v>45544.0</v>
      </c>
      <c r="G2138" s="1">
        <f>VLOOKUP(B2138,'old-aw-skill-plan'!A:I,7,FALSE)</f>
        <v>5</v>
      </c>
      <c r="H2138" s="1" t="str">
        <f>VLOOKUP(B2138,'old-aw-skill-plan'!A:I,9,FALSE)</f>
        <v>5-4</v>
      </c>
    </row>
    <row r="2139" ht="15.75" customHeight="1">
      <c r="A2139" s="1" t="s">
        <v>52</v>
      </c>
      <c r="B2139" s="1" t="s">
        <v>30</v>
      </c>
      <c r="C2139" s="1" t="s">
        <v>11</v>
      </c>
      <c r="D2139" s="5">
        <v>45544.0</v>
      </c>
      <c r="G2139" s="1">
        <f>VLOOKUP(B2139,'old-aw-skill-plan'!A:I,7,FALSE)</f>
        <v>3</v>
      </c>
      <c r="H2139" s="1" t="str">
        <f>VLOOKUP(B2139,'old-aw-skill-plan'!A:I,9,FALSE)</f>
        <v>3-3</v>
      </c>
    </row>
    <row r="2140" ht="15.75" customHeight="1">
      <c r="A2140" s="1" t="s">
        <v>52</v>
      </c>
      <c r="B2140" s="1" t="s">
        <v>47</v>
      </c>
      <c r="C2140" s="1" t="s">
        <v>11</v>
      </c>
      <c r="D2140" s="5">
        <v>45544.0</v>
      </c>
      <c r="G2140" s="1">
        <f>VLOOKUP(B2140,'old-aw-skill-plan'!A:I,7,FALSE)</f>
        <v>3</v>
      </c>
      <c r="H2140" s="1" t="str">
        <f>VLOOKUP(B2140,'old-aw-skill-plan'!A:I,9,FALSE)</f>
        <v>3-2</v>
      </c>
    </row>
    <row r="2141" ht="15.75" customHeight="1">
      <c r="A2141" s="1" t="s">
        <v>55</v>
      </c>
      <c r="B2141" s="1" t="s">
        <v>44</v>
      </c>
      <c r="C2141" s="1" t="s">
        <v>11</v>
      </c>
      <c r="D2141" s="5">
        <v>45544.0</v>
      </c>
      <c r="G2141" s="1">
        <f>VLOOKUP(B2141,'old-aw-skill-plan'!A:I,7,FALSE)</f>
        <v>5</v>
      </c>
      <c r="H2141" s="1" t="str">
        <f>VLOOKUP(B2141,'old-aw-skill-plan'!A:I,9,FALSE)</f>
        <v>5-1</v>
      </c>
    </row>
    <row r="2142" ht="15.75" customHeight="1">
      <c r="A2142" s="1" t="s">
        <v>199</v>
      </c>
      <c r="B2142" s="1" t="s">
        <v>61</v>
      </c>
      <c r="C2142" s="1" t="s">
        <v>11</v>
      </c>
      <c r="D2142" s="5">
        <v>45544.0</v>
      </c>
      <c r="G2142" s="1">
        <f>VLOOKUP(B2142,'old-aw-skill-plan'!A:I,7,FALSE)</f>
        <v>4</v>
      </c>
      <c r="H2142" s="1" t="str">
        <f>VLOOKUP(B2142,'old-aw-skill-plan'!A:I,9,FALSE)</f>
        <v>4-4</v>
      </c>
    </row>
    <row r="2143" ht="15.75" customHeight="1">
      <c r="A2143" s="1" t="s">
        <v>39</v>
      </c>
      <c r="B2143" s="1" t="s">
        <v>61</v>
      </c>
      <c r="C2143" s="1" t="s">
        <v>11</v>
      </c>
      <c r="D2143" s="5">
        <v>45544.0</v>
      </c>
      <c r="G2143" s="1">
        <f>VLOOKUP(B2143,'old-aw-skill-plan'!A:I,7,FALSE)</f>
        <v>4</v>
      </c>
      <c r="H2143" s="1" t="str">
        <f>VLOOKUP(B2143,'old-aw-skill-plan'!A:I,9,FALSE)</f>
        <v>4-4</v>
      </c>
    </row>
    <row r="2144" ht="15.75" customHeight="1">
      <c r="A2144" s="1" t="s">
        <v>39</v>
      </c>
      <c r="B2144" s="1" t="s">
        <v>44</v>
      </c>
      <c r="C2144" s="1" t="s">
        <v>11</v>
      </c>
      <c r="D2144" s="5">
        <v>45544.0</v>
      </c>
      <c r="G2144" s="1">
        <f>VLOOKUP(B2144,'old-aw-skill-plan'!A:I,7,FALSE)</f>
        <v>5</v>
      </c>
      <c r="H2144" s="1" t="str">
        <f>VLOOKUP(B2144,'old-aw-skill-plan'!A:I,9,FALSE)</f>
        <v>5-1</v>
      </c>
    </row>
    <row r="2145" ht="15.75" customHeight="1">
      <c r="A2145" s="1" t="s">
        <v>239</v>
      </c>
      <c r="B2145" s="1" t="s">
        <v>314</v>
      </c>
      <c r="C2145" s="1" t="s">
        <v>11</v>
      </c>
      <c r="D2145" s="5">
        <v>45544.0</v>
      </c>
      <c r="G2145" s="1">
        <f>VLOOKUP(B2145,'old-aw-skill-plan'!A:I,7,FALSE)</f>
        <v>5</v>
      </c>
      <c r="H2145" s="1" t="str">
        <f>VLOOKUP(B2145,'old-aw-skill-plan'!A:I,9,FALSE)</f>
        <v>5-10</v>
      </c>
    </row>
    <row r="2146" ht="15.75" customHeight="1">
      <c r="A2146" s="1" t="s">
        <v>220</v>
      </c>
      <c r="B2146" s="1" t="s">
        <v>44</v>
      </c>
      <c r="C2146" s="1" t="s">
        <v>11</v>
      </c>
      <c r="D2146" s="5">
        <v>45544.0</v>
      </c>
      <c r="G2146" s="1">
        <f>VLOOKUP(B2146,'old-aw-skill-plan'!A:I,7,FALSE)</f>
        <v>5</v>
      </c>
      <c r="H2146" s="1" t="str">
        <f>VLOOKUP(B2146,'old-aw-skill-plan'!A:I,9,FALSE)</f>
        <v>5-1</v>
      </c>
    </row>
    <row r="2147" ht="15.75" customHeight="1">
      <c r="A2147" s="1" t="s">
        <v>238</v>
      </c>
      <c r="B2147" s="1" t="s">
        <v>44</v>
      </c>
      <c r="C2147" s="1" t="s">
        <v>11</v>
      </c>
      <c r="D2147" s="5">
        <v>45544.0</v>
      </c>
      <c r="G2147" s="1">
        <f>VLOOKUP(B2147,'old-aw-skill-plan'!A:I,7,FALSE)</f>
        <v>5</v>
      </c>
      <c r="H2147" s="1" t="str">
        <f>VLOOKUP(B2147,'old-aw-skill-plan'!A:I,9,FALSE)</f>
        <v>5-1</v>
      </c>
    </row>
    <row r="2148" ht="15.75" customHeight="1">
      <c r="A2148" s="1" t="s">
        <v>76</v>
      </c>
      <c r="B2148" s="1" t="s">
        <v>34</v>
      </c>
      <c r="C2148" s="1" t="s">
        <v>11</v>
      </c>
      <c r="D2148" s="5">
        <v>45544.0</v>
      </c>
      <c r="G2148" s="1">
        <f>VLOOKUP(B2148,'old-aw-skill-plan'!A:I,7,FALSE)</f>
        <v>4</v>
      </c>
      <c r="H2148" s="1" t="str">
        <f>VLOOKUP(B2148,'old-aw-skill-plan'!A:I,9,FALSE)</f>
        <v>4-1</v>
      </c>
    </row>
    <row r="2149" ht="15.75" customHeight="1">
      <c r="A2149" s="1" t="s">
        <v>196</v>
      </c>
      <c r="B2149" s="1" t="s">
        <v>10</v>
      </c>
      <c r="C2149" s="1" t="s">
        <v>11</v>
      </c>
      <c r="D2149" s="5">
        <v>45544.0</v>
      </c>
      <c r="G2149" s="1">
        <f>VLOOKUP(B2149,'old-aw-skill-plan'!A:I,7,FALSE)</f>
        <v>3</v>
      </c>
      <c r="H2149" s="1" t="str">
        <f>VLOOKUP(B2149,'old-aw-skill-plan'!A:I,9,FALSE)</f>
        <v>3-1</v>
      </c>
    </row>
    <row r="2150" ht="15.75" customHeight="1">
      <c r="A2150" s="1" t="s">
        <v>231</v>
      </c>
      <c r="B2150" s="1" t="s">
        <v>103</v>
      </c>
      <c r="C2150" s="1" t="s">
        <v>11</v>
      </c>
      <c r="D2150" s="5">
        <v>45544.0</v>
      </c>
      <c r="G2150" s="1">
        <f>VLOOKUP(B2150,'old-aw-skill-plan'!A:I,7,FALSE)</f>
        <v>5</v>
      </c>
      <c r="H2150" s="1" t="str">
        <f>VLOOKUP(B2150,'old-aw-skill-plan'!A:I,9,FALSE)</f>
        <v>5-3</v>
      </c>
    </row>
    <row r="2151" ht="15.75" customHeight="1">
      <c r="A2151" s="1" t="s">
        <v>230</v>
      </c>
      <c r="B2151" s="1" t="s">
        <v>117</v>
      </c>
      <c r="C2151" s="1" t="s">
        <v>11</v>
      </c>
      <c r="D2151" s="5">
        <v>45544.0</v>
      </c>
      <c r="G2151" s="1">
        <f>VLOOKUP(B2151,'old-aw-skill-plan'!A:I,7,FALSE)</f>
        <v>3</v>
      </c>
      <c r="H2151" s="1" t="str">
        <f>VLOOKUP(B2151,'old-aw-skill-plan'!A:I,9,FALSE)</f>
        <v>3-11</v>
      </c>
    </row>
    <row r="2152" ht="15.75" customHeight="1">
      <c r="A2152" s="1" t="s">
        <v>179</v>
      </c>
      <c r="B2152" s="1" t="s">
        <v>44</v>
      </c>
      <c r="C2152" s="1" t="s">
        <v>11</v>
      </c>
      <c r="D2152" s="5">
        <v>45544.0</v>
      </c>
      <c r="G2152" s="1">
        <f>VLOOKUP(B2152,'old-aw-skill-plan'!A:I,7,FALSE)</f>
        <v>5</v>
      </c>
      <c r="H2152" s="1" t="str">
        <f>VLOOKUP(B2152,'old-aw-skill-plan'!A:I,9,FALSE)</f>
        <v>5-1</v>
      </c>
    </row>
    <row r="2153" ht="15.75" customHeight="1">
      <c r="A2153" s="1" t="s">
        <v>60</v>
      </c>
      <c r="B2153" s="1" t="s">
        <v>104</v>
      </c>
      <c r="C2153" s="1" t="s">
        <v>11</v>
      </c>
      <c r="D2153" s="5">
        <v>45544.0</v>
      </c>
      <c r="G2153" s="1">
        <f>VLOOKUP(B2153,'old-aw-skill-plan'!A:I,7,FALSE)</f>
        <v>5</v>
      </c>
      <c r="H2153" s="1" t="str">
        <f>VLOOKUP(B2153,'old-aw-skill-plan'!A:I,9,FALSE)</f>
        <v>5-2</v>
      </c>
    </row>
    <row r="2154" ht="15.75" customHeight="1">
      <c r="A2154" s="1" t="s">
        <v>63</v>
      </c>
      <c r="B2154" s="1" t="s">
        <v>104</v>
      </c>
      <c r="C2154" s="1" t="s">
        <v>11</v>
      </c>
      <c r="D2154" s="5">
        <v>45544.0</v>
      </c>
      <c r="G2154" s="1">
        <f>VLOOKUP(B2154,'old-aw-skill-plan'!A:I,7,FALSE)</f>
        <v>5</v>
      </c>
      <c r="H2154" s="1" t="str">
        <f>VLOOKUP(B2154,'old-aw-skill-plan'!A:I,9,FALSE)</f>
        <v>5-2</v>
      </c>
    </row>
    <row r="2155" ht="15.75" customHeight="1">
      <c r="A2155" s="1" t="s">
        <v>183</v>
      </c>
      <c r="B2155" s="1" t="s">
        <v>87</v>
      </c>
      <c r="C2155" s="1" t="s">
        <v>11</v>
      </c>
      <c r="D2155" s="5">
        <v>45544.0</v>
      </c>
      <c r="G2155" s="1">
        <f>VLOOKUP(B2155,'old-aw-skill-plan'!A:I,7,FALSE)</f>
        <v>5</v>
      </c>
      <c r="H2155" s="1" t="str">
        <f>VLOOKUP(B2155,'old-aw-skill-plan'!A:I,9,FALSE)</f>
        <v>5-6</v>
      </c>
    </row>
    <row r="2156" ht="15.75" customHeight="1">
      <c r="A2156" s="1" t="s">
        <v>95</v>
      </c>
      <c r="B2156" s="1" t="s">
        <v>28</v>
      </c>
      <c r="C2156" s="1" t="s">
        <v>11</v>
      </c>
      <c r="D2156" s="5">
        <v>45544.0</v>
      </c>
      <c r="G2156" s="1">
        <f>VLOOKUP(B2156,'old-aw-skill-plan'!A:I,7,FALSE)</f>
        <v>3</v>
      </c>
      <c r="H2156" s="1" t="str">
        <f>VLOOKUP(B2156,'old-aw-skill-plan'!A:I,9,FALSE)</f>
        <v>3-4</v>
      </c>
    </row>
    <row r="2157" ht="15.75" customHeight="1">
      <c r="A2157" s="1" t="s">
        <v>372</v>
      </c>
      <c r="B2157" s="1" t="s">
        <v>44</v>
      </c>
      <c r="C2157" s="1" t="s">
        <v>11</v>
      </c>
      <c r="D2157" s="5">
        <v>45544.0</v>
      </c>
      <c r="G2157" s="1">
        <f>VLOOKUP(B2157,'old-aw-skill-plan'!A:I,7,FALSE)</f>
        <v>5</v>
      </c>
      <c r="H2157" s="1" t="str">
        <f>VLOOKUP(B2157,'old-aw-skill-plan'!A:I,9,FALSE)</f>
        <v>5-1</v>
      </c>
    </row>
    <row r="2158" ht="15.75" customHeight="1">
      <c r="A2158" s="1" t="s">
        <v>197</v>
      </c>
      <c r="B2158" s="1" t="s">
        <v>83</v>
      </c>
      <c r="C2158" s="1" t="s">
        <v>11</v>
      </c>
      <c r="D2158" s="5">
        <v>45544.0</v>
      </c>
      <c r="G2158" s="1">
        <f>VLOOKUP(B2158,'old-aw-skill-plan'!A:I,7,FALSE)</f>
        <v>5</v>
      </c>
      <c r="H2158" s="1" t="str">
        <f>VLOOKUP(B2158,'old-aw-skill-plan'!A:I,9,FALSE)</f>
        <v>5-9</v>
      </c>
    </row>
    <row r="2159" ht="15.75" customHeight="1">
      <c r="A2159" s="1" t="s">
        <v>205</v>
      </c>
      <c r="B2159" s="1" t="s">
        <v>44</v>
      </c>
      <c r="C2159" s="1" t="s">
        <v>11</v>
      </c>
      <c r="D2159" s="5">
        <v>45544.0</v>
      </c>
      <c r="G2159" s="1">
        <f>VLOOKUP(B2159,'old-aw-skill-plan'!A:I,7,FALSE)</f>
        <v>5</v>
      </c>
      <c r="H2159" s="1" t="str">
        <f>VLOOKUP(B2159,'old-aw-skill-plan'!A:I,9,FALSE)</f>
        <v>5-1</v>
      </c>
    </row>
    <row r="2160" ht="15.75" customHeight="1">
      <c r="A2160" s="1" t="s">
        <v>181</v>
      </c>
      <c r="B2160" s="1" t="s">
        <v>44</v>
      </c>
      <c r="C2160" s="1" t="s">
        <v>11</v>
      </c>
      <c r="D2160" s="5">
        <v>45544.0</v>
      </c>
      <c r="G2160" s="1">
        <f>VLOOKUP(B2160,'old-aw-skill-plan'!A:I,7,FALSE)</f>
        <v>5</v>
      </c>
      <c r="H2160" s="1" t="str">
        <f>VLOOKUP(B2160,'old-aw-skill-plan'!A:I,9,FALSE)</f>
        <v>5-1</v>
      </c>
    </row>
    <row r="2161" ht="15.75" customHeight="1">
      <c r="A2161" s="1" t="s">
        <v>75</v>
      </c>
      <c r="B2161" s="1" t="s">
        <v>58</v>
      </c>
      <c r="C2161" s="1" t="s">
        <v>11</v>
      </c>
      <c r="D2161" s="5">
        <v>45544.0</v>
      </c>
      <c r="G2161" s="1">
        <f>VLOOKUP(B2161,'old-aw-skill-plan'!A:I,7,FALSE)</f>
        <v>3</v>
      </c>
      <c r="H2161" s="1" t="str">
        <f>VLOOKUP(B2161,'old-aw-skill-plan'!A:I,9,FALSE)</f>
        <v>3-8</v>
      </c>
    </row>
    <row r="2162" ht="15.75" customHeight="1">
      <c r="A2162" s="1" t="s">
        <v>77</v>
      </c>
      <c r="B2162" s="1" t="s">
        <v>61</v>
      </c>
      <c r="C2162" s="1" t="s">
        <v>11</v>
      </c>
      <c r="D2162" s="5">
        <v>45544.0</v>
      </c>
      <c r="G2162" s="1">
        <f>VLOOKUP(B2162,'old-aw-skill-plan'!A:I,7,FALSE)</f>
        <v>4</v>
      </c>
      <c r="H2162" s="1" t="str">
        <f>VLOOKUP(B2162,'old-aw-skill-plan'!A:I,9,FALSE)</f>
        <v>4-4</v>
      </c>
    </row>
    <row r="2163" ht="15.75" customHeight="1">
      <c r="A2163" s="1" t="s">
        <v>77</v>
      </c>
      <c r="B2163" s="1" t="s">
        <v>97</v>
      </c>
      <c r="C2163" s="1" t="s">
        <v>11</v>
      </c>
      <c r="D2163" s="5">
        <v>45544.0</v>
      </c>
      <c r="G2163" s="1">
        <f>VLOOKUP(B2163,'old-aw-skill-plan'!A:I,7,FALSE)</f>
        <v>4</v>
      </c>
      <c r="H2163" s="1" t="str">
        <f>VLOOKUP(B2163,'old-aw-skill-plan'!A:I,9,FALSE)</f>
        <v>4-3</v>
      </c>
    </row>
    <row r="2164" ht="15.75" customHeight="1">
      <c r="A2164" s="1" t="s">
        <v>235</v>
      </c>
      <c r="B2164" s="1" t="s">
        <v>44</v>
      </c>
      <c r="C2164" s="1" t="s">
        <v>11</v>
      </c>
      <c r="D2164" s="5">
        <v>45544.0</v>
      </c>
      <c r="G2164" s="1">
        <f>VLOOKUP(B2164,'old-aw-skill-plan'!A:I,7,FALSE)</f>
        <v>5</v>
      </c>
      <c r="H2164" s="1" t="str">
        <f>VLOOKUP(B2164,'old-aw-skill-plan'!A:I,9,FALSE)</f>
        <v>5-1</v>
      </c>
    </row>
    <row r="2165" ht="15.75" customHeight="1">
      <c r="A2165" s="1" t="s">
        <v>226</v>
      </c>
      <c r="B2165" s="1" t="s">
        <v>25</v>
      </c>
      <c r="C2165" s="1" t="s">
        <v>11</v>
      </c>
      <c r="D2165" s="5">
        <v>45544.0</v>
      </c>
      <c r="G2165" s="1">
        <f>VLOOKUP(B2165,'old-aw-skill-plan'!A:I,7,FALSE)</f>
        <v>5</v>
      </c>
      <c r="H2165" s="1" t="str">
        <f>VLOOKUP(B2165,'old-aw-skill-plan'!A:I,9,FALSE)</f>
        <v>5-4</v>
      </c>
    </row>
    <row r="2166" ht="15.75" customHeight="1">
      <c r="A2166" s="1" t="s">
        <v>226</v>
      </c>
      <c r="B2166" s="1" t="s">
        <v>103</v>
      </c>
      <c r="C2166" s="1" t="s">
        <v>11</v>
      </c>
      <c r="D2166" s="5">
        <v>45544.0</v>
      </c>
      <c r="G2166" s="1">
        <f>VLOOKUP(B2166,'old-aw-skill-plan'!A:I,7,FALSE)</f>
        <v>5</v>
      </c>
      <c r="H2166" s="1" t="str">
        <f>VLOOKUP(B2166,'old-aw-skill-plan'!A:I,9,FALSE)</f>
        <v>5-3</v>
      </c>
    </row>
    <row r="2167" ht="15.75" customHeight="1">
      <c r="A2167" s="1" t="s">
        <v>326</v>
      </c>
      <c r="B2167" s="1" t="s">
        <v>25</v>
      </c>
      <c r="C2167" s="1" t="s">
        <v>11</v>
      </c>
      <c r="D2167" s="5">
        <v>45544.0</v>
      </c>
      <c r="G2167" s="1">
        <f>VLOOKUP(B2167,'old-aw-skill-plan'!A:I,7,FALSE)</f>
        <v>5</v>
      </c>
      <c r="H2167" s="1" t="str">
        <f>VLOOKUP(B2167,'old-aw-skill-plan'!A:I,9,FALSE)</f>
        <v>5-4</v>
      </c>
    </row>
    <row r="2168" ht="15.75" customHeight="1">
      <c r="A2168" s="1" t="s">
        <v>365</v>
      </c>
      <c r="B2168" s="1" t="s">
        <v>115</v>
      </c>
      <c r="C2168" s="1" t="s">
        <v>11</v>
      </c>
      <c r="D2168" s="5">
        <v>45544.0</v>
      </c>
      <c r="G2168" s="1">
        <f>VLOOKUP(B2168,'old-aw-skill-plan'!A:I,7,FALSE)</f>
        <v>3</v>
      </c>
      <c r="H2168" s="1" t="str">
        <f>VLOOKUP(B2168,'old-aw-skill-plan'!A:I,9,FALSE)</f>
        <v>3-10</v>
      </c>
    </row>
    <row r="2169" ht="15.75" customHeight="1">
      <c r="A2169" s="1" t="s">
        <v>365</v>
      </c>
      <c r="B2169" s="1" t="s">
        <v>10</v>
      </c>
      <c r="C2169" s="1" t="s">
        <v>11</v>
      </c>
      <c r="D2169" s="5">
        <v>45544.0</v>
      </c>
      <c r="G2169" s="1">
        <f>VLOOKUP(B2169,'old-aw-skill-plan'!A:I,7,FALSE)</f>
        <v>3</v>
      </c>
      <c r="H2169" s="1" t="str">
        <f>VLOOKUP(B2169,'old-aw-skill-plan'!A:I,9,FALSE)</f>
        <v>3-1</v>
      </c>
    </row>
    <row r="2170" ht="15.75" customHeight="1">
      <c r="A2170" s="1" t="s">
        <v>365</v>
      </c>
      <c r="B2170" s="1" t="s">
        <v>363</v>
      </c>
      <c r="C2170" s="1" t="s">
        <v>11</v>
      </c>
      <c r="D2170" s="5">
        <v>45544.0</v>
      </c>
      <c r="G2170" s="1">
        <f>VLOOKUP(B2170,'old-aw-skill-plan'!A:I,7,FALSE)</f>
        <v>7</v>
      </c>
      <c r="H2170" s="1" t="str">
        <f>VLOOKUP(B2170,'old-aw-skill-plan'!A:I,9,FALSE)</f>
        <v>7-1</v>
      </c>
    </row>
    <row r="2171" ht="15.75" customHeight="1">
      <c r="A2171" s="1" t="s">
        <v>365</v>
      </c>
      <c r="B2171" s="1" t="s">
        <v>44</v>
      </c>
      <c r="C2171" s="1" t="s">
        <v>11</v>
      </c>
      <c r="D2171" s="5">
        <v>45544.0</v>
      </c>
      <c r="G2171" s="1">
        <f>VLOOKUP(B2171,'old-aw-skill-plan'!A:I,7,FALSE)</f>
        <v>5</v>
      </c>
      <c r="H2171" s="1" t="str">
        <f>VLOOKUP(B2171,'old-aw-skill-plan'!A:I,9,FALSE)</f>
        <v>5-1</v>
      </c>
    </row>
    <row r="2172" ht="15.75" customHeight="1">
      <c r="A2172" s="1" t="s">
        <v>225</v>
      </c>
      <c r="B2172" s="1" t="s">
        <v>83</v>
      </c>
      <c r="C2172" s="1" t="s">
        <v>11</v>
      </c>
      <c r="D2172" s="5">
        <v>45544.0</v>
      </c>
      <c r="G2172" s="1">
        <f>VLOOKUP(B2172,'old-aw-skill-plan'!A:I,7,FALSE)</f>
        <v>5</v>
      </c>
      <c r="H2172" s="1" t="str">
        <f>VLOOKUP(B2172,'old-aw-skill-plan'!A:I,9,FALSE)</f>
        <v>5-9</v>
      </c>
    </row>
    <row r="2173" ht="15.75" customHeight="1">
      <c r="A2173" s="1" t="s">
        <v>24</v>
      </c>
      <c r="B2173" s="1" t="s">
        <v>103</v>
      </c>
      <c r="C2173" s="1" t="s">
        <v>11</v>
      </c>
      <c r="D2173" s="5">
        <v>45543.0</v>
      </c>
      <c r="G2173" s="1">
        <f>VLOOKUP(B2173,'old-aw-skill-plan'!A:I,7,FALSE)</f>
        <v>5</v>
      </c>
      <c r="H2173" s="1" t="str">
        <f>VLOOKUP(B2173,'old-aw-skill-plan'!A:I,9,FALSE)</f>
        <v>5-3</v>
      </c>
    </row>
    <row r="2174" ht="15.75" customHeight="1">
      <c r="A2174" s="1" t="s">
        <v>24</v>
      </c>
      <c r="B2174" s="1" t="s">
        <v>104</v>
      </c>
      <c r="C2174" s="1" t="s">
        <v>11</v>
      </c>
      <c r="D2174" s="5">
        <v>45543.0</v>
      </c>
      <c r="G2174" s="1">
        <f>VLOOKUP(B2174,'old-aw-skill-plan'!A:I,7,FALSE)</f>
        <v>5</v>
      </c>
      <c r="H2174" s="1" t="str">
        <f>VLOOKUP(B2174,'old-aw-skill-plan'!A:I,9,FALSE)</f>
        <v>5-2</v>
      </c>
    </row>
    <row r="2175" ht="15.75" customHeight="1">
      <c r="A2175" s="1" t="s">
        <v>52</v>
      </c>
      <c r="B2175" s="1" t="s">
        <v>47</v>
      </c>
      <c r="C2175" s="1" t="s">
        <v>11</v>
      </c>
      <c r="D2175" s="5">
        <v>45543.0</v>
      </c>
      <c r="G2175" s="1">
        <f>VLOOKUP(B2175,'old-aw-skill-plan'!A:I,7,FALSE)</f>
        <v>3</v>
      </c>
      <c r="H2175" s="1" t="str">
        <f>VLOOKUP(B2175,'old-aw-skill-plan'!A:I,9,FALSE)</f>
        <v>3-2</v>
      </c>
    </row>
    <row r="2176" ht="15.75" customHeight="1">
      <c r="A2176" s="1" t="s">
        <v>55</v>
      </c>
      <c r="B2176" s="1" t="s">
        <v>44</v>
      </c>
      <c r="C2176" s="1" t="s">
        <v>11</v>
      </c>
      <c r="D2176" s="5">
        <v>45543.0</v>
      </c>
      <c r="G2176" s="1">
        <f>VLOOKUP(B2176,'old-aw-skill-plan'!A:I,7,FALSE)</f>
        <v>5</v>
      </c>
      <c r="H2176" s="1" t="str">
        <f>VLOOKUP(B2176,'old-aw-skill-plan'!A:I,9,FALSE)</f>
        <v>5-1</v>
      </c>
    </row>
    <row r="2177" ht="15.75" customHeight="1">
      <c r="A2177" s="1" t="s">
        <v>239</v>
      </c>
      <c r="B2177" s="1" t="s">
        <v>314</v>
      </c>
      <c r="C2177" s="1" t="s">
        <v>11</v>
      </c>
      <c r="D2177" s="5">
        <v>45543.0</v>
      </c>
      <c r="G2177" s="1">
        <f>VLOOKUP(B2177,'old-aw-skill-plan'!A:I,7,FALSE)</f>
        <v>5</v>
      </c>
      <c r="H2177" s="1" t="str">
        <f>VLOOKUP(B2177,'old-aw-skill-plan'!A:I,9,FALSE)</f>
        <v>5-10</v>
      </c>
    </row>
    <row r="2178" ht="15.75" customHeight="1">
      <c r="A2178" s="1" t="s">
        <v>226</v>
      </c>
      <c r="B2178" s="1" t="s">
        <v>103</v>
      </c>
      <c r="C2178" s="1" t="s">
        <v>11</v>
      </c>
      <c r="D2178" s="5">
        <v>45543.0</v>
      </c>
      <c r="G2178" s="1">
        <f>VLOOKUP(B2178,'old-aw-skill-plan'!A:I,7,FALSE)</f>
        <v>5</v>
      </c>
      <c r="H2178" s="1" t="str">
        <f>VLOOKUP(B2178,'old-aw-skill-plan'!A:I,9,FALSE)</f>
        <v>5-3</v>
      </c>
    </row>
    <row r="2179" ht="15.75" customHeight="1">
      <c r="A2179" s="1" t="s">
        <v>24</v>
      </c>
      <c r="B2179" s="1" t="s">
        <v>104</v>
      </c>
      <c r="C2179" s="1" t="s">
        <v>11</v>
      </c>
      <c r="D2179" s="5">
        <v>45542.0</v>
      </c>
      <c r="G2179" s="1">
        <f>VLOOKUP(B2179,'old-aw-skill-plan'!A:I,7,FALSE)</f>
        <v>5</v>
      </c>
      <c r="H2179" s="1" t="str">
        <f>VLOOKUP(B2179,'old-aw-skill-plan'!A:I,9,FALSE)</f>
        <v>5-2</v>
      </c>
    </row>
    <row r="2180" ht="15.75" customHeight="1">
      <c r="A2180" s="1" t="s">
        <v>55</v>
      </c>
      <c r="B2180" s="1" t="s">
        <v>44</v>
      </c>
      <c r="C2180" s="1" t="s">
        <v>11</v>
      </c>
      <c r="D2180" s="5">
        <v>45542.0</v>
      </c>
      <c r="G2180" s="1">
        <f>VLOOKUP(B2180,'old-aw-skill-plan'!A:I,7,FALSE)</f>
        <v>5</v>
      </c>
      <c r="H2180" s="1" t="str">
        <f>VLOOKUP(B2180,'old-aw-skill-plan'!A:I,9,FALSE)</f>
        <v>5-1</v>
      </c>
    </row>
    <row r="2181" ht="15.75" customHeight="1">
      <c r="A2181" s="1" t="s">
        <v>22</v>
      </c>
      <c r="B2181" s="1" t="s">
        <v>10</v>
      </c>
      <c r="C2181" s="1" t="s">
        <v>11</v>
      </c>
      <c r="D2181" s="5">
        <v>45541.0</v>
      </c>
      <c r="G2181" s="1">
        <f>VLOOKUP(B2181,'old-aw-skill-plan'!A:I,7,FALSE)</f>
        <v>3</v>
      </c>
      <c r="H2181" s="1" t="str">
        <f>VLOOKUP(B2181,'old-aw-skill-plan'!A:I,9,FALSE)</f>
        <v>3-1</v>
      </c>
    </row>
    <row r="2182" ht="15.75" customHeight="1">
      <c r="A2182" s="1" t="s">
        <v>22</v>
      </c>
      <c r="B2182" s="1" t="s">
        <v>44</v>
      </c>
      <c r="C2182" s="1" t="s">
        <v>11</v>
      </c>
      <c r="D2182" s="5">
        <v>45541.0</v>
      </c>
      <c r="G2182" s="1">
        <f>VLOOKUP(B2182,'old-aw-skill-plan'!A:I,7,FALSE)</f>
        <v>5</v>
      </c>
      <c r="H2182" s="1" t="str">
        <f>VLOOKUP(B2182,'old-aw-skill-plan'!A:I,9,FALSE)</f>
        <v>5-1</v>
      </c>
    </row>
    <row r="2183" ht="15.75" customHeight="1">
      <c r="A2183" s="1" t="s">
        <v>35</v>
      </c>
      <c r="B2183" s="1" t="s">
        <v>25</v>
      </c>
      <c r="C2183" s="1" t="s">
        <v>11</v>
      </c>
      <c r="D2183" s="5">
        <v>45541.0</v>
      </c>
      <c r="G2183" s="1">
        <f>VLOOKUP(B2183,'old-aw-skill-plan'!A:I,7,FALSE)</f>
        <v>5</v>
      </c>
      <c r="H2183" s="1" t="str">
        <f>VLOOKUP(B2183,'old-aw-skill-plan'!A:I,9,FALSE)</f>
        <v>5-4</v>
      </c>
    </row>
    <row r="2184" ht="15.75" customHeight="1">
      <c r="A2184" s="1" t="s">
        <v>35</v>
      </c>
      <c r="B2184" s="1" t="s">
        <v>103</v>
      </c>
      <c r="C2184" s="1" t="s">
        <v>11</v>
      </c>
      <c r="D2184" s="5">
        <v>45541.0</v>
      </c>
      <c r="G2184" s="1">
        <f>VLOOKUP(B2184,'old-aw-skill-plan'!A:I,7,FALSE)</f>
        <v>5</v>
      </c>
      <c r="H2184" s="1" t="str">
        <f>VLOOKUP(B2184,'old-aw-skill-plan'!A:I,9,FALSE)</f>
        <v>5-3</v>
      </c>
    </row>
    <row r="2185" ht="15.75" customHeight="1">
      <c r="A2185" s="1" t="s">
        <v>35</v>
      </c>
      <c r="B2185" s="1" t="s">
        <v>87</v>
      </c>
      <c r="C2185" s="1" t="s">
        <v>11</v>
      </c>
      <c r="D2185" s="5">
        <v>45541.0</v>
      </c>
      <c r="G2185" s="1">
        <f>VLOOKUP(B2185,'old-aw-skill-plan'!A:I,7,FALSE)</f>
        <v>5</v>
      </c>
      <c r="H2185" s="1" t="str">
        <f>VLOOKUP(B2185,'old-aw-skill-plan'!A:I,9,FALSE)</f>
        <v>5-6</v>
      </c>
    </row>
    <row r="2186" ht="15.75" customHeight="1">
      <c r="A2186" s="1" t="s">
        <v>35</v>
      </c>
      <c r="B2186" s="1" t="s">
        <v>88</v>
      </c>
      <c r="C2186" s="1" t="s">
        <v>11</v>
      </c>
      <c r="D2186" s="5">
        <v>45541.0</v>
      </c>
      <c r="G2186" s="1">
        <f>VLOOKUP(B2186,'old-aw-skill-plan'!A:I,7,FALSE)</f>
        <v>5</v>
      </c>
      <c r="H2186" s="1" t="str">
        <f>VLOOKUP(B2186,'old-aw-skill-plan'!A:I,9,FALSE)</f>
        <v>5-5</v>
      </c>
    </row>
    <row r="2187" ht="15.75" customHeight="1">
      <c r="A2187" s="1" t="s">
        <v>207</v>
      </c>
      <c r="B2187" s="1" t="s">
        <v>25</v>
      </c>
      <c r="C2187" s="1" t="s">
        <v>11</v>
      </c>
      <c r="D2187" s="5">
        <v>45541.0</v>
      </c>
      <c r="G2187" s="1">
        <f>VLOOKUP(B2187,'old-aw-skill-plan'!A:I,7,FALSE)</f>
        <v>5</v>
      </c>
      <c r="H2187" s="1" t="str">
        <f>VLOOKUP(B2187,'old-aw-skill-plan'!A:I,9,FALSE)</f>
        <v>5-4</v>
      </c>
    </row>
    <row r="2188" ht="15.75" customHeight="1">
      <c r="A2188" s="1" t="s">
        <v>55</v>
      </c>
      <c r="B2188" s="1" t="s">
        <v>44</v>
      </c>
      <c r="C2188" s="1" t="s">
        <v>11</v>
      </c>
      <c r="D2188" s="5">
        <v>45541.0</v>
      </c>
      <c r="G2188" s="1">
        <f>VLOOKUP(B2188,'old-aw-skill-plan'!A:I,7,FALSE)</f>
        <v>5</v>
      </c>
      <c r="H2188" s="1" t="str">
        <f>VLOOKUP(B2188,'old-aw-skill-plan'!A:I,9,FALSE)</f>
        <v>5-1</v>
      </c>
    </row>
    <row r="2189" ht="15.75" customHeight="1">
      <c r="A2189" s="1" t="s">
        <v>39</v>
      </c>
      <c r="B2189" s="1" t="s">
        <v>61</v>
      </c>
      <c r="C2189" s="1" t="s">
        <v>11</v>
      </c>
      <c r="D2189" s="5">
        <v>45541.0</v>
      </c>
      <c r="G2189" s="1">
        <f>VLOOKUP(B2189,'old-aw-skill-plan'!A:I,7,FALSE)</f>
        <v>4</v>
      </c>
      <c r="H2189" s="1" t="str">
        <f>VLOOKUP(B2189,'old-aw-skill-plan'!A:I,9,FALSE)</f>
        <v>4-4</v>
      </c>
    </row>
    <row r="2190" ht="15.75" customHeight="1">
      <c r="A2190" s="1" t="s">
        <v>239</v>
      </c>
      <c r="B2190" s="1" t="s">
        <v>314</v>
      </c>
      <c r="C2190" s="1" t="s">
        <v>11</v>
      </c>
      <c r="D2190" s="5">
        <v>45541.0</v>
      </c>
      <c r="G2190" s="1">
        <f>VLOOKUP(B2190,'old-aw-skill-plan'!A:I,7,FALSE)</f>
        <v>5</v>
      </c>
      <c r="H2190" s="1" t="str">
        <f>VLOOKUP(B2190,'old-aw-skill-plan'!A:I,9,FALSE)</f>
        <v>5-10</v>
      </c>
    </row>
    <row r="2191" ht="15.75" customHeight="1">
      <c r="A2191" s="1" t="s">
        <v>239</v>
      </c>
      <c r="B2191" s="1" t="s">
        <v>83</v>
      </c>
      <c r="C2191" s="1" t="s">
        <v>11</v>
      </c>
      <c r="D2191" s="5">
        <v>45541.0</v>
      </c>
      <c r="G2191" s="1">
        <f>VLOOKUP(B2191,'old-aw-skill-plan'!A:I,7,FALSE)</f>
        <v>5</v>
      </c>
      <c r="H2191" s="1" t="str">
        <f>VLOOKUP(B2191,'old-aw-skill-plan'!A:I,9,FALSE)</f>
        <v>5-9</v>
      </c>
    </row>
    <row r="2192" ht="15.75" customHeight="1">
      <c r="A2192" s="1" t="s">
        <v>185</v>
      </c>
      <c r="B2192" s="1" t="s">
        <v>25</v>
      </c>
      <c r="C2192" s="1" t="s">
        <v>11</v>
      </c>
      <c r="D2192" s="5">
        <v>45541.0</v>
      </c>
      <c r="G2192" s="1">
        <f>VLOOKUP(B2192,'old-aw-skill-plan'!A:I,7,FALSE)</f>
        <v>5</v>
      </c>
      <c r="H2192" s="1" t="str">
        <f>VLOOKUP(B2192,'old-aw-skill-plan'!A:I,9,FALSE)</f>
        <v>5-4</v>
      </c>
    </row>
    <row r="2193" ht="15.75" customHeight="1">
      <c r="A2193" s="1" t="s">
        <v>196</v>
      </c>
      <c r="B2193" s="1" t="s">
        <v>10</v>
      </c>
      <c r="C2193" s="1" t="s">
        <v>11</v>
      </c>
      <c r="D2193" s="5">
        <v>45541.0</v>
      </c>
      <c r="G2193" s="1">
        <f>VLOOKUP(B2193,'old-aw-skill-plan'!A:I,7,FALSE)</f>
        <v>3</v>
      </c>
      <c r="H2193" s="1" t="str">
        <f>VLOOKUP(B2193,'old-aw-skill-plan'!A:I,9,FALSE)</f>
        <v>3-1</v>
      </c>
    </row>
    <row r="2194" ht="15.75" customHeight="1">
      <c r="A2194" s="1" t="s">
        <v>231</v>
      </c>
      <c r="B2194" s="1" t="s">
        <v>104</v>
      </c>
      <c r="C2194" s="1" t="s">
        <v>11</v>
      </c>
      <c r="D2194" s="5">
        <v>45541.0</v>
      </c>
      <c r="G2194" s="1">
        <f>VLOOKUP(B2194,'old-aw-skill-plan'!A:I,7,FALSE)</f>
        <v>5</v>
      </c>
      <c r="H2194" s="1" t="str">
        <f>VLOOKUP(B2194,'old-aw-skill-plan'!A:I,9,FALSE)</f>
        <v>5-2</v>
      </c>
    </row>
    <row r="2195" ht="15.75" customHeight="1">
      <c r="A2195" s="1" t="s">
        <v>60</v>
      </c>
      <c r="B2195" s="1" t="s">
        <v>104</v>
      </c>
      <c r="C2195" s="1" t="s">
        <v>11</v>
      </c>
      <c r="D2195" s="5">
        <v>45541.0</v>
      </c>
      <c r="G2195" s="1">
        <f>VLOOKUP(B2195,'old-aw-skill-plan'!A:I,7,FALSE)</f>
        <v>5</v>
      </c>
      <c r="H2195" s="1" t="str">
        <f>VLOOKUP(B2195,'old-aw-skill-plan'!A:I,9,FALSE)</f>
        <v>5-2</v>
      </c>
    </row>
    <row r="2196" ht="15.75" customHeight="1">
      <c r="A2196" s="1" t="s">
        <v>63</v>
      </c>
      <c r="B2196" s="1" t="s">
        <v>44</v>
      </c>
      <c r="C2196" s="1" t="s">
        <v>11</v>
      </c>
      <c r="D2196" s="5">
        <v>45541.0</v>
      </c>
      <c r="G2196" s="1">
        <f>VLOOKUP(B2196,'old-aw-skill-plan'!A:I,7,FALSE)</f>
        <v>5</v>
      </c>
      <c r="H2196" s="1" t="str">
        <f>VLOOKUP(B2196,'old-aw-skill-plan'!A:I,9,FALSE)</f>
        <v>5-1</v>
      </c>
    </row>
    <row r="2197" ht="15.75" customHeight="1">
      <c r="A2197" s="1" t="s">
        <v>65</v>
      </c>
      <c r="B2197" s="1" t="s">
        <v>34</v>
      </c>
      <c r="C2197" s="1" t="s">
        <v>11</v>
      </c>
      <c r="D2197" s="5">
        <v>45541.0</v>
      </c>
      <c r="G2197" s="1">
        <f>VLOOKUP(B2197,'old-aw-skill-plan'!A:I,7,FALSE)</f>
        <v>4</v>
      </c>
      <c r="H2197" s="1" t="str">
        <f>VLOOKUP(B2197,'old-aw-skill-plan'!A:I,9,FALSE)</f>
        <v>4-1</v>
      </c>
    </row>
    <row r="2198" ht="15.75" customHeight="1">
      <c r="A2198" s="1" t="s">
        <v>183</v>
      </c>
      <c r="B2198" s="1" t="s">
        <v>25</v>
      </c>
      <c r="C2198" s="1" t="s">
        <v>11</v>
      </c>
      <c r="D2198" s="5">
        <v>45541.0</v>
      </c>
      <c r="G2198" s="1">
        <f>VLOOKUP(B2198,'old-aw-skill-plan'!A:I,7,FALSE)</f>
        <v>5</v>
      </c>
      <c r="H2198" s="1" t="str">
        <f>VLOOKUP(B2198,'old-aw-skill-plan'!A:I,9,FALSE)</f>
        <v>5-4</v>
      </c>
    </row>
    <row r="2199" ht="15.75" customHeight="1">
      <c r="A2199" s="1" t="s">
        <v>183</v>
      </c>
      <c r="B2199" s="1" t="s">
        <v>88</v>
      </c>
      <c r="C2199" s="1" t="s">
        <v>11</v>
      </c>
      <c r="D2199" s="5">
        <v>45541.0</v>
      </c>
      <c r="G2199" s="1">
        <f>VLOOKUP(B2199,'old-aw-skill-plan'!A:I,7,FALSE)</f>
        <v>5</v>
      </c>
      <c r="H2199" s="1" t="str">
        <f>VLOOKUP(B2199,'old-aw-skill-plan'!A:I,9,FALSE)</f>
        <v>5-5</v>
      </c>
    </row>
    <row r="2200" ht="15.75" customHeight="1">
      <c r="A2200" s="1" t="s">
        <v>95</v>
      </c>
      <c r="B2200" s="1" t="s">
        <v>28</v>
      </c>
      <c r="C2200" s="1" t="s">
        <v>11</v>
      </c>
      <c r="D2200" s="5">
        <v>45541.0</v>
      </c>
      <c r="G2200" s="1">
        <f>VLOOKUP(B2200,'old-aw-skill-plan'!A:I,7,FALSE)</f>
        <v>3</v>
      </c>
      <c r="H2200" s="1" t="str">
        <f>VLOOKUP(B2200,'old-aw-skill-plan'!A:I,9,FALSE)</f>
        <v>3-4</v>
      </c>
    </row>
    <row r="2201" ht="15.75" customHeight="1">
      <c r="A2201" s="1" t="s">
        <v>197</v>
      </c>
      <c r="B2201" s="1" t="s">
        <v>83</v>
      </c>
      <c r="C2201" s="1" t="s">
        <v>11</v>
      </c>
      <c r="D2201" s="5">
        <v>45541.0</v>
      </c>
      <c r="G2201" s="1">
        <f>VLOOKUP(B2201,'old-aw-skill-plan'!A:I,7,FALSE)</f>
        <v>5</v>
      </c>
      <c r="H2201" s="1" t="str">
        <f>VLOOKUP(B2201,'old-aw-skill-plan'!A:I,9,FALSE)</f>
        <v>5-9</v>
      </c>
    </row>
    <row r="2202" ht="15.75" customHeight="1">
      <c r="A2202" s="1" t="s">
        <v>197</v>
      </c>
      <c r="B2202" s="1" t="s">
        <v>85</v>
      </c>
      <c r="C2202" s="1" t="s">
        <v>11</v>
      </c>
      <c r="D2202" s="5">
        <v>45541.0</v>
      </c>
      <c r="G2202" s="1">
        <f>VLOOKUP(B2202,'old-aw-skill-plan'!A:I,7,FALSE)</f>
        <v>5</v>
      </c>
      <c r="H2202" s="1" t="str">
        <f>VLOOKUP(B2202,'old-aw-skill-plan'!A:I,9,FALSE)</f>
        <v>5-8</v>
      </c>
    </row>
    <row r="2203" ht="15.75" customHeight="1">
      <c r="A2203" s="1" t="s">
        <v>74</v>
      </c>
      <c r="B2203" s="1" t="s">
        <v>44</v>
      </c>
      <c r="C2203" s="1" t="s">
        <v>11</v>
      </c>
      <c r="D2203" s="5">
        <v>45541.0</v>
      </c>
      <c r="G2203" s="1">
        <f>VLOOKUP(B2203,'old-aw-skill-plan'!A:I,7,FALSE)</f>
        <v>5</v>
      </c>
      <c r="H2203" s="1" t="str">
        <f>VLOOKUP(B2203,'old-aw-skill-plan'!A:I,9,FALSE)</f>
        <v>5-1</v>
      </c>
    </row>
    <row r="2204" ht="15.75" customHeight="1">
      <c r="A2204" s="1" t="s">
        <v>75</v>
      </c>
      <c r="B2204" s="1" t="s">
        <v>57</v>
      </c>
      <c r="C2204" s="1" t="s">
        <v>11</v>
      </c>
      <c r="D2204" s="5">
        <v>45541.0</v>
      </c>
      <c r="G2204" s="1">
        <f>VLOOKUP(B2204,'old-aw-skill-plan'!A:I,7,FALSE)</f>
        <v>3</v>
      </c>
      <c r="H2204" s="1" t="str">
        <f>VLOOKUP(B2204,'old-aw-skill-plan'!A:I,9,FALSE)</f>
        <v>3-7</v>
      </c>
    </row>
    <row r="2205" ht="15.75" customHeight="1">
      <c r="A2205" s="1" t="s">
        <v>77</v>
      </c>
      <c r="B2205" s="1" t="s">
        <v>97</v>
      </c>
      <c r="C2205" s="1" t="s">
        <v>11</v>
      </c>
      <c r="D2205" s="5">
        <v>45541.0</v>
      </c>
      <c r="G2205" s="1">
        <f>VLOOKUP(B2205,'old-aw-skill-plan'!A:I,7,FALSE)</f>
        <v>4</v>
      </c>
      <c r="H2205" s="1" t="str">
        <f>VLOOKUP(B2205,'old-aw-skill-plan'!A:I,9,FALSE)</f>
        <v>4-3</v>
      </c>
    </row>
    <row r="2206" ht="15.75" customHeight="1">
      <c r="A2206" s="1" t="s">
        <v>77</v>
      </c>
      <c r="B2206" s="1" t="s">
        <v>37</v>
      </c>
      <c r="C2206" s="1" t="s">
        <v>11</v>
      </c>
      <c r="D2206" s="5">
        <v>45541.0</v>
      </c>
      <c r="G2206" s="1">
        <f>VLOOKUP(B2206,'old-aw-skill-plan'!A:I,7,FALSE)</f>
        <v>4</v>
      </c>
      <c r="H2206" s="1" t="str">
        <f>VLOOKUP(B2206,'old-aw-skill-plan'!A:I,9,FALSE)</f>
        <v>4-2</v>
      </c>
    </row>
    <row r="2207" ht="15.75" customHeight="1">
      <c r="A2207" s="1" t="s">
        <v>226</v>
      </c>
      <c r="B2207" s="1" t="s">
        <v>104</v>
      </c>
      <c r="C2207" s="1" t="s">
        <v>11</v>
      </c>
      <c r="D2207" s="5">
        <v>45541.0</v>
      </c>
      <c r="G2207" s="1">
        <f>VLOOKUP(B2207,'old-aw-skill-plan'!A:I,7,FALSE)</f>
        <v>5</v>
      </c>
      <c r="H2207" s="1" t="str">
        <f>VLOOKUP(B2207,'old-aw-skill-plan'!A:I,9,FALSE)</f>
        <v>5-2</v>
      </c>
    </row>
    <row r="2208" ht="15.75" customHeight="1">
      <c r="A2208" s="1" t="s">
        <v>225</v>
      </c>
      <c r="B2208" s="1" t="s">
        <v>84</v>
      </c>
      <c r="C2208" s="1" t="s">
        <v>11</v>
      </c>
      <c r="D2208" s="5">
        <v>45541.0</v>
      </c>
      <c r="G2208" s="1">
        <f>VLOOKUP(B2208,'old-aw-skill-plan'!A:I,7,FALSE)</f>
        <v>5</v>
      </c>
      <c r="H2208" s="1" t="str">
        <f>VLOOKUP(B2208,'old-aw-skill-plan'!A:I,9,FALSE)</f>
        <v>5-7</v>
      </c>
    </row>
    <row r="2209" ht="15.75" customHeight="1">
      <c r="A2209" s="1" t="s">
        <v>225</v>
      </c>
      <c r="B2209" s="1" t="s">
        <v>85</v>
      </c>
      <c r="C2209" s="1" t="s">
        <v>11</v>
      </c>
      <c r="D2209" s="5">
        <v>45541.0</v>
      </c>
      <c r="G2209" s="1">
        <f>VLOOKUP(B2209,'old-aw-skill-plan'!A:I,7,FALSE)</f>
        <v>5</v>
      </c>
      <c r="H2209" s="1" t="str">
        <f>VLOOKUP(B2209,'old-aw-skill-plan'!A:I,9,FALSE)</f>
        <v>5-8</v>
      </c>
    </row>
    <row r="2210" ht="15.75" customHeight="1">
      <c r="A2210" s="1" t="s">
        <v>225</v>
      </c>
      <c r="B2210" s="1" t="s">
        <v>87</v>
      </c>
      <c r="C2210" s="1" t="s">
        <v>11</v>
      </c>
      <c r="D2210" s="5">
        <v>45541.0</v>
      </c>
      <c r="G2210" s="1">
        <f>VLOOKUP(B2210,'old-aw-skill-plan'!A:I,7,FALSE)</f>
        <v>5</v>
      </c>
      <c r="H2210" s="1" t="str">
        <f>VLOOKUP(B2210,'old-aw-skill-plan'!A:I,9,FALSE)</f>
        <v>5-6</v>
      </c>
    </row>
    <row r="2211" ht="15.75" customHeight="1">
      <c r="A2211" s="1" t="s">
        <v>35</v>
      </c>
      <c r="B2211" s="1" t="s">
        <v>104</v>
      </c>
      <c r="C2211" s="1" t="s">
        <v>11</v>
      </c>
      <c r="D2211" s="5">
        <v>45540.0</v>
      </c>
      <c r="G2211" s="1">
        <f>VLOOKUP(B2211,'old-aw-skill-plan'!A:I,7,FALSE)</f>
        <v>5</v>
      </c>
      <c r="H2211" s="1" t="str">
        <f>VLOOKUP(B2211,'old-aw-skill-plan'!A:I,9,FALSE)</f>
        <v>5-2</v>
      </c>
    </row>
    <row r="2212" ht="15.75" customHeight="1">
      <c r="A2212" s="1" t="s">
        <v>24</v>
      </c>
      <c r="B2212" s="1" t="s">
        <v>44</v>
      </c>
      <c r="C2212" s="1" t="s">
        <v>11</v>
      </c>
      <c r="D2212" s="5">
        <v>45540.0</v>
      </c>
      <c r="G2212" s="1">
        <f>VLOOKUP(B2212,'old-aw-skill-plan'!A:I,7,FALSE)</f>
        <v>5</v>
      </c>
      <c r="H2212" s="1" t="str">
        <f>VLOOKUP(B2212,'old-aw-skill-plan'!A:I,9,FALSE)</f>
        <v>5-1</v>
      </c>
    </row>
    <row r="2213" ht="15.75" customHeight="1">
      <c r="A2213" s="1" t="s">
        <v>207</v>
      </c>
      <c r="B2213" s="1" t="s">
        <v>25</v>
      </c>
      <c r="C2213" s="1" t="s">
        <v>11</v>
      </c>
      <c r="D2213" s="5">
        <v>45540.0</v>
      </c>
      <c r="G2213" s="1">
        <f>VLOOKUP(B2213,'old-aw-skill-plan'!A:I,7,FALSE)</f>
        <v>5</v>
      </c>
      <c r="H2213" s="1" t="str">
        <f>VLOOKUP(B2213,'old-aw-skill-plan'!A:I,9,FALSE)</f>
        <v>5-4</v>
      </c>
    </row>
    <row r="2214" ht="15.75" customHeight="1">
      <c r="A2214" s="1" t="s">
        <v>52</v>
      </c>
      <c r="B2214" s="1" t="s">
        <v>10</v>
      </c>
      <c r="C2214" s="1" t="s">
        <v>11</v>
      </c>
      <c r="D2214" s="5">
        <v>45540.0</v>
      </c>
      <c r="G2214" s="1">
        <f>VLOOKUP(B2214,'old-aw-skill-plan'!A:I,7,FALSE)</f>
        <v>3</v>
      </c>
      <c r="H2214" s="1" t="str">
        <f>VLOOKUP(B2214,'old-aw-skill-plan'!A:I,9,FALSE)</f>
        <v>3-1</v>
      </c>
    </row>
    <row r="2215" ht="15.75" customHeight="1">
      <c r="A2215" s="1" t="s">
        <v>52</v>
      </c>
      <c r="B2215" s="1" t="s">
        <v>47</v>
      </c>
      <c r="C2215" s="1" t="s">
        <v>11</v>
      </c>
      <c r="D2215" s="5">
        <v>45540.0</v>
      </c>
      <c r="G2215" s="1">
        <f>VLOOKUP(B2215,'old-aw-skill-plan'!A:I,7,FALSE)</f>
        <v>3</v>
      </c>
      <c r="H2215" s="1" t="str">
        <f>VLOOKUP(B2215,'old-aw-skill-plan'!A:I,9,FALSE)</f>
        <v>3-2</v>
      </c>
    </row>
    <row r="2216" ht="15.75" customHeight="1">
      <c r="A2216" s="1" t="s">
        <v>52</v>
      </c>
      <c r="B2216" s="1" t="s">
        <v>34</v>
      </c>
      <c r="C2216" s="1" t="s">
        <v>11</v>
      </c>
      <c r="D2216" s="5">
        <v>45540.0</v>
      </c>
      <c r="G2216" s="1">
        <f>VLOOKUP(B2216,'old-aw-skill-plan'!A:I,7,FALSE)</f>
        <v>4</v>
      </c>
      <c r="H2216" s="1" t="str">
        <f>VLOOKUP(B2216,'old-aw-skill-plan'!A:I,9,FALSE)</f>
        <v>4-1</v>
      </c>
    </row>
    <row r="2217" ht="15.75" customHeight="1">
      <c r="A2217" s="1" t="s">
        <v>55</v>
      </c>
      <c r="B2217" s="1" t="s">
        <v>44</v>
      </c>
      <c r="C2217" s="1" t="s">
        <v>11</v>
      </c>
      <c r="D2217" s="5">
        <v>45540.0</v>
      </c>
      <c r="G2217" s="1">
        <f>VLOOKUP(B2217,'old-aw-skill-plan'!A:I,7,FALSE)</f>
        <v>5</v>
      </c>
      <c r="H2217" s="1" t="str">
        <f>VLOOKUP(B2217,'old-aw-skill-plan'!A:I,9,FALSE)</f>
        <v>5-1</v>
      </c>
    </row>
    <row r="2218" ht="15.75" customHeight="1">
      <c r="A2218" s="1" t="s">
        <v>70</v>
      </c>
      <c r="B2218" s="1" t="s">
        <v>44</v>
      </c>
      <c r="C2218" s="1" t="s">
        <v>11</v>
      </c>
      <c r="D2218" s="5">
        <v>45540.0</v>
      </c>
      <c r="G2218" s="1">
        <f>VLOOKUP(B2218,'old-aw-skill-plan'!A:I,7,FALSE)</f>
        <v>5</v>
      </c>
      <c r="H2218" s="1" t="str">
        <f>VLOOKUP(B2218,'old-aw-skill-plan'!A:I,9,FALSE)</f>
        <v>5-1</v>
      </c>
    </row>
    <row r="2219" ht="15.75" customHeight="1">
      <c r="A2219" s="1" t="s">
        <v>239</v>
      </c>
      <c r="B2219" s="1" t="s">
        <v>83</v>
      </c>
      <c r="C2219" s="1" t="s">
        <v>11</v>
      </c>
      <c r="D2219" s="5">
        <v>45540.0</v>
      </c>
      <c r="G2219" s="1">
        <f>VLOOKUP(B2219,'old-aw-skill-plan'!A:I,7,FALSE)</f>
        <v>5</v>
      </c>
      <c r="H2219" s="1" t="str">
        <f>VLOOKUP(B2219,'old-aw-skill-plan'!A:I,9,FALSE)</f>
        <v>5-9</v>
      </c>
    </row>
    <row r="2220" ht="15.75" customHeight="1">
      <c r="A2220" s="1" t="s">
        <v>239</v>
      </c>
      <c r="B2220" s="1" t="s">
        <v>85</v>
      </c>
      <c r="C2220" s="1" t="s">
        <v>11</v>
      </c>
      <c r="D2220" s="5">
        <v>45540.0</v>
      </c>
      <c r="G2220" s="1">
        <f>VLOOKUP(B2220,'old-aw-skill-plan'!A:I,7,FALSE)</f>
        <v>5</v>
      </c>
      <c r="H2220" s="1" t="str">
        <f>VLOOKUP(B2220,'old-aw-skill-plan'!A:I,9,FALSE)</f>
        <v>5-8</v>
      </c>
    </row>
    <row r="2221" ht="15.75" customHeight="1">
      <c r="A2221" s="1" t="s">
        <v>238</v>
      </c>
      <c r="B2221" s="1" t="s">
        <v>44</v>
      </c>
      <c r="C2221" s="1" t="s">
        <v>11</v>
      </c>
      <c r="D2221" s="5">
        <v>45540.0</v>
      </c>
      <c r="G2221" s="1">
        <f>VLOOKUP(B2221,'old-aw-skill-plan'!A:I,7,FALSE)</f>
        <v>5</v>
      </c>
      <c r="H2221" s="1" t="str">
        <f>VLOOKUP(B2221,'old-aw-skill-plan'!A:I,9,FALSE)</f>
        <v>5-1</v>
      </c>
    </row>
    <row r="2222" ht="15.75" customHeight="1">
      <c r="A2222" s="1" t="s">
        <v>231</v>
      </c>
      <c r="B2222" s="1" t="s">
        <v>44</v>
      </c>
      <c r="C2222" s="1" t="s">
        <v>11</v>
      </c>
      <c r="D2222" s="5">
        <v>45540.0</v>
      </c>
      <c r="G2222" s="1">
        <f>VLOOKUP(B2222,'old-aw-skill-plan'!A:I,7,FALSE)</f>
        <v>5</v>
      </c>
      <c r="H2222" s="1" t="str">
        <f>VLOOKUP(B2222,'old-aw-skill-plan'!A:I,9,FALSE)</f>
        <v>5-1</v>
      </c>
    </row>
    <row r="2223" ht="15.75" customHeight="1">
      <c r="A2223" s="1" t="s">
        <v>63</v>
      </c>
      <c r="B2223" s="1" t="s">
        <v>44</v>
      </c>
      <c r="C2223" s="1" t="s">
        <v>11</v>
      </c>
      <c r="D2223" s="5">
        <v>45540.0</v>
      </c>
      <c r="G2223" s="1">
        <f>VLOOKUP(B2223,'old-aw-skill-plan'!A:I,7,FALSE)</f>
        <v>5</v>
      </c>
      <c r="H2223" s="1" t="str">
        <f>VLOOKUP(B2223,'old-aw-skill-plan'!A:I,9,FALSE)</f>
        <v>5-1</v>
      </c>
    </row>
    <row r="2224" ht="15.75" customHeight="1">
      <c r="A2224" s="1" t="s">
        <v>65</v>
      </c>
      <c r="B2224" s="1" t="s">
        <v>34</v>
      </c>
      <c r="C2224" s="1" t="s">
        <v>11</v>
      </c>
      <c r="D2224" s="5">
        <v>45540.0</v>
      </c>
      <c r="G2224" s="1">
        <f>VLOOKUP(B2224,'old-aw-skill-plan'!A:I,7,FALSE)</f>
        <v>4</v>
      </c>
      <c r="H2224" s="1" t="str">
        <f>VLOOKUP(B2224,'old-aw-skill-plan'!A:I,9,FALSE)</f>
        <v>4-1</v>
      </c>
    </row>
    <row r="2225" ht="15.75" customHeight="1">
      <c r="A2225" s="1" t="s">
        <v>183</v>
      </c>
      <c r="B2225" s="1" t="s">
        <v>103</v>
      </c>
      <c r="C2225" s="1" t="s">
        <v>11</v>
      </c>
      <c r="D2225" s="5">
        <v>45540.0</v>
      </c>
      <c r="G2225" s="1">
        <f>VLOOKUP(B2225,'old-aw-skill-plan'!A:I,7,FALSE)</f>
        <v>5</v>
      </c>
      <c r="H2225" s="1" t="str">
        <f>VLOOKUP(B2225,'old-aw-skill-plan'!A:I,9,FALSE)</f>
        <v>5-3</v>
      </c>
    </row>
    <row r="2226" ht="15.75" customHeight="1">
      <c r="A2226" s="1" t="s">
        <v>197</v>
      </c>
      <c r="B2226" s="1" t="s">
        <v>84</v>
      </c>
      <c r="C2226" s="1" t="s">
        <v>11</v>
      </c>
      <c r="D2226" s="5">
        <v>45540.0</v>
      </c>
      <c r="G2226" s="1">
        <f>VLOOKUP(B2226,'old-aw-skill-plan'!A:I,7,FALSE)</f>
        <v>5</v>
      </c>
      <c r="H2226" s="1" t="str">
        <f>VLOOKUP(B2226,'old-aw-skill-plan'!A:I,9,FALSE)</f>
        <v>5-7</v>
      </c>
    </row>
    <row r="2227" ht="15.75" customHeight="1">
      <c r="A2227" s="1" t="s">
        <v>74</v>
      </c>
      <c r="B2227" s="1" t="s">
        <v>44</v>
      </c>
      <c r="C2227" s="1" t="s">
        <v>11</v>
      </c>
      <c r="D2227" s="5">
        <v>45540.0</v>
      </c>
      <c r="G2227" s="1">
        <f>VLOOKUP(B2227,'old-aw-skill-plan'!A:I,7,FALSE)</f>
        <v>5</v>
      </c>
      <c r="H2227" s="1" t="str">
        <f>VLOOKUP(B2227,'old-aw-skill-plan'!A:I,9,FALSE)</f>
        <v>5-1</v>
      </c>
    </row>
    <row r="2228" ht="15.75" customHeight="1">
      <c r="A2228" s="1" t="s">
        <v>205</v>
      </c>
      <c r="B2228" s="1" t="s">
        <v>44</v>
      </c>
      <c r="C2228" s="1" t="s">
        <v>11</v>
      </c>
      <c r="D2228" s="5">
        <v>45540.0</v>
      </c>
      <c r="G2228" s="1">
        <f>VLOOKUP(B2228,'old-aw-skill-plan'!A:I,7,FALSE)</f>
        <v>5</v>
      </c>
      <c r="H2228" s="1" t="str">
        <f>VLOOKUP(B2228,'old-aw-skill-plan'!A:I,9,FALSE)</f>
        <v>5-1</v>
      </c>
    </row>
    <row r="2229" ht="15.75" customHeight="1">
      <c r="A2229" s="1" t="s">
        <v>75</v>
      </c>
      <c r="B2229" s="1" t="s">
        <v>48</v>
      </c>
      <c r="C2229" s="1" t="s">
        <v>11</v>
      </c>
      <c r="D2229" s="5">
        <v>45540.0</v>
      </c>
      <c r="G2229" s="1">
        <f>VLOOKUP(B2229,'old-aw-skill-plan'!A:I,7,FALSE)</f>
        <v>3</v>
      </c>
      <c r="H2229" s="1" t="str">
        <f>VLOOKUP(B2229,'old-aw-skill-plan'!A:I,9,FALSE)</f>
        <v>3-6</v>
      </c>
    </row>
    <row r="2230" ht="15.75" customHeight="1">
      <c r="A2230" s="1" t="s">
        <v>75</v>
      </c>
      <c r="B2230" s="1" t="s">
        <v>33</v>
      </c>
      <c r="C2230" s="1" t="s">
        <v>11</v>
      </c>
      <c r="D2230" s="5">
        <v>45540.0</v>
      </c>
      <c r="G2230" s="1">
        <f>VLOOKUP(B2230,'old-aw-skill-plan'!A:I,7,FALSE)</f>
        <v>3</v>
      </c>
      <c r="H2230" s="1" t="str">
        <f>VLOOKUP(B2230,'old-aw-skill-plan'!A:I,9,FALSE)</f>
        <v>3-5</v>
      </c>
    </row>
    <row r="2231" ht="15.75" customHeight="1">
      <c r="A2231" s="1" t="s">
        <v>77</v>
      </c>
      <c r="B2231" s="1" t="s">
        <v>37</v>
      </c>
      <c r="C2231" s="1" t="s">
        <v>11</v>
      </c>
      <c r="D2231" s="5">
        <v>45540.0</v>
      </c>
      <c r="G2231" s="1">
        <f>VLOOKUP(B2231,'old-aw-skill-plan'!A:I,7,FALSE)</f>
        <v>4</v>
      </c>
      <c r="H2231" s="1" t="str">
        <f>VLOOKUP(B2231,'old-aw-skill-plan'!A:I,9,FALSE)</f>
        <v>4-2</v>
      </c>
    </row>
    <row r="2232" ht="15.75" customHeight="1">
      <c r="A2232" s="1" t="s">
        <v>235</v>
      </c>
      <c r="B2232" s="1" t="s">
        <v>44</v>
      </c>
      <c r="C2232" s="1" t="s">
        <v>11</v>
      </c>
      <c r="D2232" s="5">
        <v>45540.0</v>
      </c>
      <c r="G2232" s="1">
        <f>VLOOKUP(B2232,'old-aw-skill-plan'!A:I,7,FALSE)</f>
        <v>5</v>
      </c>
      <c r="H2232" s="1" t="str">
        <f>VLOOKUP(B2232,'old-aw-skill-plan'!A:I,9,FALSE)</f>
        <v>5-1</v>
      </c>
    </row>
    <row r="2233" ht="15.75" customHeight="1">
      <c r="A2233" s="1" t="s">
        <v>226</v>
      </c>
      <c r="B2233" s="1" t="s">
        <v>104</v>
      </c>
      <c r="C2233" s="1" t="s">
        <v>11</v>
      </c>
      <c r="D2233" s="5">
        <v>45540.0</v>
      </c>
      <c r="G2233" s="1">
        <f>VLOOKUP(B2233,'old-aw-skill-plan'!A:I,7,FALSE)</f>
        <v>5</v>
      </c>
      <c r="H2233" s="1" t="str">
        <f>VLOOKUP(B2233,'old-aw-skill-plan'!A:I,9,FALSE)</f>
        <v>5-2</v>
      </c>
    </row>
    <row r="2234" ht="15.75" customHeight="1">
      <c r="A2234" s="1" t="s">
        <v>326</v>
      </c>
      <c r="B2234" s="1" t="s">
        <v>25</v>
      </c>
      <c r="C2234" s="1" t="s">
        <v>11</v>
      </c>
      <c r="D2234" s="5">
        <v>45540.0</v>
      </c>
      <c r="G2234" s="1">
        <f>VLOOKUP(B2234,'old-aw-skill-plan'!A:I,7,FALSE)</f>
        <v>5</v>
      </c>
      <c r="H2234" s="1" t="str">
        <f>VLOOKUP(B2234,'old-aw-skill-plan'!A:I,9,FALSE)</f>
        <v>5-4</v>
      </c>
    </row>
    <row r="2235" ht="15.75" customHeight="1">
      <c r="A2235" s="1" t="s">
        <v>326</v>
      </c>
      <c r="B2235" s="1" t="s">
        <v>103</v>
      </c>
      <c r="C2235" s="1" t="s">
        <v>11</v>
      </c>
      <c r="D2235" s="5">
        <v>45540.0</v>
      </c>
      <c r="G2235" s="1">
        <f>VLOOKUP(B2235,'old-aw-skill-plan'!A:I,7,FALSE)</f>
        <v>5</v>
      </c>
      <c r="H2235" s="1" t="str">
        <f>VLOOKUP(B2235,'old-aw-skill-plan'!A:I,9,FALSE)</f>
        <v>5-3</v>
      </c>
    </row>
    <row r="2236" ht="15.75" customHeight="1">
      <c r="A2236" s="1" t="s">
        <v>225</v>
      </c>
      <c r="B2236" s="1" t="s">
        <v>88</v>
      </c>
      <c r="C2236" s="1" t="s">
        <v>11</v>
      </c>
      <c r="D2236" s="5">
        <v>45540.0</v>
      </c>
      <c r="G2236" s="1">
        <f>VLOOKUP(B2236,'old-aw-skill-plan'!A:I,7,FALSE)</f>
        <v>5</v>
      </c>
      <c r="H2236" s="1" t="str">
        <f>VLOOKUP(B2236,'old-aw-skill-plan'!A:I,9,FALSE)</f>
        <v>5-5</v>
      </c>
    </row>
    <row r="2237" ht="15.75" customHeight="1">
      <c r="A2237" s="1" t="s">
        <v>35</v>
      </c>
      <c r="B2237" s="1" t="s">
        <v>44</v>
      </c>
      <c r="C2237" s="1" t="s">
        <v>11</v>
      </c>
      <c r="D2237" s="5">
        <v>45539.0</v>
      </c>
      <c r="G2237" s="1">
        <f>VLOOKUP(B2237,'old-aw-skill-plan'!A:I,7,FALSE)</f>
        <v>5</v>
      </c>
      <c r="H2237" s="1" t="str">
        <f>VLOOKUP(B2237,'old-aw-skill-plan'!A:I,9,FALSE)</f>
        <v>5-1</v>
      </c>
    </row>
    <row r="2238" ht="15.75" customHeight="1">
      <c r="A2238" s="1" t="s">
        <v>196</v>
      </c>
      <c r="B2238" s="1" t="s">
        <v>10</v>
      </c>
      <c r="C2238" s="1" t="s">
        <v>11</v>
      </c>
      <c r="D2238" s="5">
        <v>45539.0</v>
      </c>
      <c r="G2238" s="1">
        <f>VLOOKUP(B2238,'old-aw-skill-plan'!A:I,7,FALSE)</f>
        <v>3</v>
      </c>
      <c r="H2238" s="1" t="str">
        <f>VLOOKUP(B2238,'old-aw-skill-plan'!A:I,9,FALSE)</f>
        <v>3-1</v>
      </c>
    </row>
    <row r="2239" ht="15.75" customHeight="1">
      <c r="A2239" s="1" t="s">
        <v>65</v>
      </c>
      <c r="B2239" s="1" t="s">
        <v>34</v>
      </c>
      <c r="C2239" s="1" t="s">
        <v>11</v>
      </c>
      <c r="D2239" s="5">
        <v>45539.0</v>
      </c>
      <c r="G2239" s="1">
        <f>VLOOKUP(B2239,'old-aw-skill-plan'!A:I,7,FALSE)</f>
        <v>4</v>
      </c>
      <c r="H2239" s="1" t="str">
        <f>VLOOKUP(B2239,'old-aw-skill-plan'!A:I,9,FALSE)</f>
        <v>4-1</v>
      </c>
    </row>
    <row r="2240" ht="15.75" customHeight="1">
      <c r="A2240" s="1" t="s">
        <v>205</v>
      </c>
      <c r="B2240" s="1" t="s">
        <v>47</v>
      </c>
      <c r="C2240" s="1" t="s">
        <v>11</v>
      </c>
      <c r="D2240" s="5">
        <v>45539.0</v>
      </c>
      <c r="G2240" s="1">
        <f>VLOOKUP(B2240,'old-aw-skill-plan'!A:I,7,FALSE)</f>
        <v>3</v>
      </c>
      <c r="H2240" s="1" t="str">
        <f>VLOOKUP(B2240,'old-aw-skill-plan'!A:I,9,FALSE)</f>
        <v>3-2</v>
      </c>
    </row>
    <row r="2241" ht="15.75" customHeight="1">
      <c r="A2241" s="1" t="s">
        <v>219</v>
      </c>
      <c r="B2241" s="1" t="s">
        <v>10</v>
      </c>
      <c r="C2241" s="1" t="s">
        <v>11</v>
      </c>
      <c r="D2241" s="5">
        <v>45539.0</v>
      </c>
      <c r="G2241" s="1">
        <f>VLOOKUP(B2241,'old-aw-skill-plan'!A:I,7,FALSE)</f>
        <v>3</v>
      </c>
      <c r="H2241" s="1" t="str">
        <f>VLOOKUP(B2241,'old-aw-skill-plan'!A:I,9,FALSE)</f>
        <v>3-1</v>
      </c>
    </row>
    <row r="2242" ht="15.75" customHeight="1">
      <c r="A2242" s="1" t="s">
        <v>225</v>
      </c>
      <c r="B2242" s="1" t="s">
        <v>103</v>
      </c>
      <c r="C2242" s="1" t="s">
        <v>11</v>
      </c>
      <c r="D2242" s="5">
        <v>45539.0</v>
      </c>
      <c r="G2242" s="1">
        <f>VLOOKUP(B2242,'old-aw-skill-plan'!A:I,7,FALSE)</f>
        <v>5</v>
      </c>
      <c r="H2242" s="1" t="str">
        <f>VLOOKUP(B2242,'old-aw-skill-plan'!A:I,9,FALSE)</f>
        <v>5-3</v>
      </c>
    </row>
    <row r="2243" ht="15.75" customHeight="1">
      <c r="A2243" s="1" t="s">
        <v>20</v>
      </c>
      <c r="B2243" s="1" t="s">
        <v>34</v>
      </c>
      <c r="C2243" s="1" t="s">
        <v>11</v>
      </c>
      <c r="D2243" s="5">
        <v>45538.0</v>
      </c>
      <c r="G2243" s="1">
        <f>VLOOKUP(B2243,'old-aw-skill-plan'!A:I,7,FALSE)</f>
        <v>4</v>
      </c>
      <c r="H2243" s="1" t="str">
        <f>VLOOKUP(B2243,'old-aw-skill-plan'!A:I,9,FALSE)</f>
        <v>4-1</v>
      </c>
    </row>
    <row r="2244" ht="15.75" customHeight="1">
      <c r="A2244" s="1" t="s">
        <v>76</v>
      </c>
      <c r="B2244" s="1" t="s">
        <v>34</v>
      </c>
      <c r="C2244" s="1" t="s">
        <v>11</v>
      </c>
      <c r="D2244" s="5">
        <v>45538.0</v>
      </c>
      <c r="G2244" s="1">
        <f>VLOOKUP(B2244,'old-aw-skill-plan'!A:I,7,FALSE)</f>
        <v>4</v>
      </c>
      <c r="H2244" s="1" t="str">
        <f>VLOOKUP(B2244,'old-aw-skill-plan'!A:I,9,FALSE)</f>
        <v>4-1</v>
      </c>
    </row>
    <row r="2245" ht="15.75" customHeight="1">
      <c r="A2245" s="1" t="s">
        <v>63</v>
      </c>
      <c r="B2245" s="1" t="s">
        <v>44</v>
      </c>
      <c r="C2245" s="1" t="s">
        <v>11</v>
      </c>
      <c r="D2245" s="5">
        <v>45538.0</v>
      </c>
      <c r="G2245" s="1">
        <f>VLOOKUP(B2245,'old-aw-skill-plan'!A:I,7,FALSE)</f>
        <v>5</v>
      </c>
      <c r="H2245" s="1" t="str">
        <f>VLOOKUP(B2245,'old-aw-skill-plan'!A:I,9,FALSE)</f>
        <v>5-1</v>
      </c>
    </row>
    <row r="2246" ht="15.75" customHeight="1">
      <c r="A2246" s="1" t="s">
        <v>89</v>
      </c>
      <c r="B2246" s="1" t="s">
        <v>10</v>
      </c>
      <c r="C2246" s="1" t="s">
        <v>11</v>
      </c>
      <c r="D2246" s="5">
        <v>45538.0</v>
      </c>
      <c r="G2246" s="1">
        <f>VLOOKUP(B2246,'old-aw-skill-plan'!A:I,7,FALSE)</f>
        <v>3</v>
      </c>
      <c r="H2246" s="1" t="str">
        <f>VLOOKUP(B2246,'old-aw-skill-plan'!A:I,9,FALSE)</f>
        <v>3-1</v>
      </c>
    </row>
    <row r="2247" ht="15.75" customHeight="1">
      <c r="A2247" s="1" t="s">
        <v>372</v>
      </c>
      <c r="B2247" s="1" t="s">
        <v>44</v>
      </c>
      <c r="C2247" s="1" t="s">
        <v>11</v>
      </c>
      <c r="D2247" s="5">
        <v>45538.0</v>
      </c>
      <c r="G2247" s="1">
        <f>VLOOKUP(B2247,'old-aw-skill-plan'!A:I,7,FALSE)</f>
        <v>5</v>
      </c>
      <c r="H2247" s="1" t="str">
        <f>VLOOKUP(B2247,'old-aw-skill-plan'!A:I,9,FALSE)</f>
        <v>5-1</v>
      </c>
    </row>
    <row r="2248" ht="15.75" customHeight="1">
      <c r="A2248" s="1" t="s">
        <v>197</v>
      </c>
      <c r="B2248" s="1" t="s">
        <v>84</v>
      </c>
      <c r="C2248" s="1" t="s">
        <v>11</v>
      </c>
      <c r="D2248" s="5">
        <v>45538.0</v>
      </c>
      <c r="G2248" s="1">
        <f>VLOOKUP(B2248,'old-aw-skill-plan'!A:I,7,FALSE)</f>
        <v>5</v>
      </c>
      <c r="H2248" s="1" t="str">
        <f>VLOOKUP(B2248,'old-aw-skill-plan'!A:I,9,FALSE)</f>
        <v>5-7</v>
      </c>
    </row>
    <row r="2249" ht="15.75" customHeight="1">
      <c r="A2249" s="1" t="s">
        <v>198</v>
      </c>
      <c r="B2249" s="1" t="s">
        <v>34</v>
      </c>
      <c r="C2249" s="1" t="s">
        <v>11</v>
      </c>
      <c r="D2249" s="5">
        <v>45538.0</v>
      </c>
      <c r="G2249" s="1">
        <f>VLOOKUP(B2249,'old-aw-skill-plan'!A:I,7,FALSE)</f>
        <v>4</v>
      </c>
      <c r="H2249" s="1" t="str">
        <f>VLOOKUP(B2249,'old-aw-skill-plan'!A:I,9,FALSE)</f>
        <v>4-1</v>
      </c>
    </row>
    <row r="2250" ht="15.75" customHeight="1">
      <c r="A2250" s="1" t="s">
        <v>74</v>
      </c>
      <c r="B2250" s="1" t="s">
        <v>25</v>
      </c>
      <c r="C2250" s="1" t="s">
        <v>11</v>
      </c>
      <c r="D2250" s="5">
        <v>45538.0</v>
      </c>
      <c r="G2250" s="1">
        <f>VLOOKUP(B2250,'old-aw-skill-plan'!A:I,7,FALSE)</f>
        <v>5</v>
      </c>
      <c r="H2250" s="1" t="str">
        <f>VLOOKUP(B2250,'old-aw-skill-plan'!A:I,9,FALSE)</f>
        <v>5-4</v>
      </c>
    </row>
    <row r="2251" ht="15.75" customHeight="1">
      <c r="A2251" s="1" t="s">
        <v>74</v>
      </c>
      <c r="B2251" s="1" t="s">
        <v>104</v>
      </c>
      <c r="C2251" s="1" t="s">
        <v>11</v>
      </c>
      <c r="D2251" s="5">
        <v>45538.0</v>
      </c>
      <c r="G2251" s="1">
        <f>VLOOKUP(B2251,'old-aw-skill-plan'!A:I,7,FALSE)</f>
        <v>5</v>
      </c>
      <c r="H2251" s="1" t="str">
        <f>VLOOKUP(B2251,'old-aw-skill-plan'!A:I,9,FALSE)</f>
        <v>5-2</v>
      </c>
    </row>
    <row r="2252" ht="15.75" customHeight="1">
      <c r="A2252" s="1" t="s">
        <v>75</v>
      </c>
      <c r="B2252" s="1" t="s">
        <v>28</v>
      </c>
      <c r="C2252" s="1" t="s">
        <v>11</v>
      </c>
      <c r="D2252" s="5">
        <v>45538.0</v>
      </c>
      <c r="G2252" s="1">
        <f>VLOOKUP(B2252,'old-aw-skill-plan'!A:I,7,FALSE)</f>
        <v>3</v>
      </c>
      <c r="H2252" s="1" t="str">
        <f>VLOOKUP(B2252,'old-aw-skill-plan'!A:I,9,FALSE)</f>
        <v>3-4</v>
      </c>
    </row>
    <row r="2253" ht="15.75" customHeight="1">
      <c r="A2253" s="1" t="s">
        <v>326</v>
      </c>
      <c r="B2253" s="1" t="s">
        <v>104</v>
      </c>
      <c r="C2253" s="1" t="s">
        <v>11</v>
      </c>
      <c r="D2253" s="5">
        <v>45538.0</v>
      </c>
      <c r="G2253" s="1">
        <f>VLOOKUP(B2253,'old-aw-skill-plan'!A:I,7,FALSE)</f>
        <v>5</v>
      </c>
      <c r="H2253" s="1" t="str">
        <f>VLOOKUP(B2253,'old-aw-skill-plan'!A:I,9,FALSE)</f>
        <v>5-2</v>
      </c>
    </row>
    <row r="2254" ht="15.75" customHeight="1">
      <c r="A2254" s="1" t="s">
        <v>107</v>
      </c>
      <c r="B2254" s="1" t="s">
        <v>44</v>
      </c>
      <c r="C2254" s="1" t="s">
        <v>11</v>
      </c>
      <c r="D2254" s="5">
        <v>45538.0</v>
      </c>
      <c r="G2254" s="1">
        <f>VLOOKUP(B2254,'old-aw-skill-plan'!A:I,7,FALSE)</f>
        <v>5</v>
      </c>
      <c r="H2254" s="1" t="str">
        <f>VLOOKUP(B2254,'old-aw-skill-plan'!A:I,9,FALSE)</f>
        <v>5-1</v>
      </c>
    </row>
    <row r="2255" ht="15.75" customHeight="1">
      <c r="A2255" s="1" t="s">
        <v>52</v>
      </c>
      <c r="B2255" s="1" t="s">
        <v>37</v>
      </c>
      <c r="C2255" s="1" t="s">
        <v>11</v>
      </c>
      <c r="D2255" s="5">
        <v>45537.0</v>
      </c>
      <c r="G2255" s="1">
        <f>VLOOKUP(B2255,'old-aw-skill-plan'!A:I,7,FALSE)</f>
        <v>4</v>
      </c>
      <c r="H2255" s="1" t="str">
        <f>VLOOKUP(B2255,'old-aw-skill-plan'!A:I,9,FALSE)</f>
        <v>4-2</v>
      </c>
    </row>
    <row r="2256" ht="15.75" customHeight="1">
      <c r="A2256" s="1" t="s">
        <v>230</v>
      </c>
      <c r="B2256" s="1" t="s">
        <v>117</v>
      </c>
      <c r="C2256" s="1" t="s">
        <v>11</v>
      </c>
      <c r="D2256" s="5">
        <v>45534.0</v>
      </c>
      <c r="G2256" s="1">
        <f>VLOOKUP(B2256,'old-aw-skill-plan'!A:I,7,FALSE)</f>
        <v>3</v>
      </c>
      <c r="H2256" s="1" t="str">
        <f>VLOOKUP(B2256,'old-aw-skill-plan'!A:I,9,FALSE)</f>
        <v>3-11</v>
      </c>
    </row>
    <row r="2257" ht="15.75" customHeight="1">
      <c r="A2257" s="1" t="s">
        <v>22</v>
      </c>
      <c r="B2257" s="1" t="s">
        <v>44</v>
      </c>
      <c r="C2257" s="1" t="s">
        <v>11</v>
      </c>
      <c r="D2257" s="5">
        <v>45533.0</v>
      </c>
      <c r="G2257" s="1">
        <f>VLOOKUP(B2257,'old-aw-skill-plan'!A:I,7,FALSE)</f>
        <v>5</v>
      </c>
      <c r="H2257" s="1" t="str">
        <f>VLOOKUP(B2257,'old-aw-skill-plan'!A:I,9,FALSE)</f>
        <v>5-1</v>
      </c>
    </row>
    <row r="2258" ht="15.75" customHeight="1">
      <c r="A2258" s="1" t="s">
        <v>35</v>
      </c>
      <c r="B2258" s="1" t="s">
        <v>44</v>
      </c>
      <c r="C2258" s="1" t="s">
        <v>11</v>
      </c>
      <c r="D2258" s="5">
        <v>45533.0</v>
      </c>
      <c r="G2258" s="1">
        <f>VLOOKUP(B2258,'old-aw-skill-plan'!A:I,7,FALSE)</f>
        <v>5</v>
      </c>
      <c r="H2258" s="1" t="str">
        <f>VLOOKUP(B2258,'old-aw-skill-plan'!A:I,9,FALSE)</f>
        <v>5-1</v>
      </c>
    </row>
    <row r="2259" ht="15.75" customHeight="1">
      <c r="A2259" s="1" t="s">
        <v>24</v>
      </c>
      <c r="B2259" s="1" t="s">
        <v>44</v>
      </c>
      <c r="C2259" s="1" t="s">
        <v>11</v>
      </c>
      <c r="D2259" s="5">
        <v>45533.0</v>
      </c>
      <c r="G2259" s="1">
        <f>VLOOKUP(B2259,'old-aw-skill-plan'!A:I,7,FALSE)</f>
        <v>5</v>
      </c>
      <c r="H2259" s="1" t="str">
        <f>VLOOKUP(B2259,'old-aw-skill-plan'!A:I,9,FALSE)</f>
        <v>5-1</v>
      </c>
    </row>
    <row r="2260" ht="15.75" customHeight="1">
      <c r="A2260" s="1" t="s">
        <v>207</v>
      </c>
      <c r="B2260" s="1" t="s">
        <v>104</v>
      </c>
      <c r="C2260" s="1" t="s">
        <v>11</v>
      </c>
      <c r="D2260" s="5">
        <v>45533.0</v>
      </c>
      <c r="G2260" s="1">
        <f>VLOOKUP(B2260,'old-aw-skill-plan'!A:I,7,FALSE)</f>
        <v>5</v>
      </c>
      <c r="H2260" s="1" t="str">
        <f>VLOOKUP(B2260,'old-aw-skill-plan'!A:I,9,FALSE)</f>
        <v>5-2</v>
      </c>
    </row>
    <row r="2261" ht="15.75" customHeight="1">
      <c r="A2261" s="1" t="s">
        <v>52</v>
      </c>
      <c r="B2261" s="1" t="s">
        <v>10</v>
      </c>
      <c r="C2261" s="1" t="s">
        <v>11</v>
      </c>
      <c r="D2261" s="5">
        <v>45533.0</v>
      </c>
      <c r="G2261" s="1">
        <f>VLOOKUP(B2261,'old-aw-skill-plan'!A:I,7,FALSE)</f>
        <v>3</v>
      </c>
      <c r="H2261" s="1" t="str">
        <f>VLOOKUP(B2261,'old-aw-skill-plan'!A:I,9,FALSE)</f>
        <v>3-1</v>
      </c>
    </row>
    <row r="2262" ht="15.75" customHeight="1">
      <c r="A2262" s="1" t="s">
        <v>55</v>
      </c>
      <c r="B2262" s="1" t="s">
        <v>44</v>
      </c>
      <c r="C2262" s="1" t="s">
        <v>11</v>
      </c>
      <c r="D2262" s="5">
        <v>45533.0</v>
      </c>
      <c r="G2262" s="1">
        <f>VLOOKUP(B2262,'old-aw-skill-plan'!A:I,7,FALSE)</f>
        <v>5</v>
      </c>
      <c r="H2262" s="1" t="str">
        <f>VLOOKUP(B2262,'old-aw-skill-plan'!A:I,9,FALSE)</f>
        <v>5-1</v>
      </c>
    </row>
    <row r="2263" ht="15.75" customHeight="1">
      <c r="A2263" s="1" t="s">
        <v>199</v>
      </c>
      <c r="B2263" s="1" t="s">
        <v>37</v>
      </c>
      <c r="C2263" s="1" t="s">
        <v>11</v>
      </c>
      <c r="D2263" s="5">
        <v>45533.0</v>
      </c>
      <c r="G2263" s="1">
        <f>VLOOKUP(B2263,'old-aw-skill-plan'!A:I,7,FALSE)</f>
        <v>4</v>
      </c>
      <c r="H2263" s="1" t="str">
        <f>VLOOKUP(B2263,'old-aw-skill-plan'!A:I,9,FALSE)</f>
        <v>4-2</v>
      </c>
    </row>
    <row r="2264" ht="15.75" customHeight="1">
      <c r="A2264" s="1" t="s">
        <v>39</v>
      </c>
      <c r="B2264" s="1" t="s">
        <v>37</v>
      </c>
      <c r="C2264" s="1" t="s">
        <v>11</v>
      </c>
      <c r="D2264" s="5">
        <v>45533.0</v>
      </c>
      <c r="G2264" s="1">
        <f>VLOOKUP(B2264,'old-aw-skill-plan'!A:I,7,FALSE)</f>
        <v>4</v>
      </c>
      <c r="H2264" s="1" t="str">
        <f>VLOOKUP(B2264,'old-aw-skill-plan'!A:I,9,FALSE)</f>
        <v>4-2</v>
      </c>
    </row>
    <row r="2265" ht="15.75" customHeight="1">
      <c r="A2265" s="1" t="s">
        <v>39</v>
      </c>
      <c r="B2265" s="1" t="s">
        <v>44</v>
      </c>
      <c r="C2265" s="1" t="s">
        <v>11</v>
      </c>
      <c r="D2265" s="5">
        <v>45533.0</v>
      </c>
      <c r="G2265" s="1">
        <f>VLOOKUP(B2265,'old-aw-skill-plan'!A:I,7,FALSE)</f>
        <v>5</v>
      </c>
      <c r="H2265" s="1" t="str">
        <f>VLOOKUP(B2265,'old-aw-skill-plan'!A:I,9,FALSE)</f>
        <v>5-1</v>
      </c>
    </row>
    <row r="2266" ht="15.75" customHeight="1">
      <c r="A2266" s="1" t="s">
        <v>185</v>
      </c>
      <c r="B2266" s="1" t="s">
        <v>25</v>
      </c>
      <c r="C2266" s="1" t="s">
        <v>11</v>
      </c>
      <c r="D2266" s="5">
        <v>45533.0</v>
      </c>
      <c r="G2266" s="1">
        <f>VLOOKUP(B2266,'old-aw-skill-plan'!A:I,7,FALSE)</f>
        <v>5</v>
      </c>
      <c r="H2266" s="1" t="str">
        <f>VLOOKUP(B2266,'old-aw-skill-plan'!A:I,9,FALSE)</f>
        <v>5-4</v>
      </c>
    </row>
    <row r="2267" ht="15.75" customHeight="1">
      <c r="A2267" s="1" t="s">
        <v>76</v>
      </c>
      <c r="B2267" s="1" t="s">
        <v>34</v>
      </c>
      <c r="C2267" s="1" t="s">
        <v>11</v>
      </c>
      <c r="D2267" s="5">
        <v>45533.0</v>
      </c>
      <c r="G2267" s="1">
        <f>VLOOKUP(B2267,'old-aw-skill-plan'!A:I,7,FALSE)</f>
        <v>4</v>
      </c>
      <c r="H2267" s="1" t="str">
        <f>VLOOKUP(B2267,'old-aw-skill-plan'!A:I,9,FALSE)</f>
        <v>4-1</v>
      </c>
    </row>
    <row r="2268" ht="15.75" customHeight="1">
      <c r="A2268" s="1" t="s">
        <v>230</v>
      </c>
      <c r="B2268" s="1" t="s">
        <v>58</v>
      </c>
      <c r="C2268" s="1" t="s">
        <v>11</v>
      </c>
      <c r="D2268" s="5">
        <v>45533.0</v>
      </c>
      <c r="G2268" s="1">
        <f>VLOOKUP(B2268,'old-aw-skill-plan'!A:I,7,FALSE)</f>
        <v>3</v>
      </c>
      <c r="H2268" s="1" t="str">
        <f>VLOOKUP(B2268,'old-aw-skill-plan'!A:I,9,FALSE)</f>
        <v>3-8</v>
      </c>
    </row>
    <row r="2269" ht="15.75" customHeight="1">
      <c r="A2269" s="1" t="s">
        <v>179</v>
      </c>
      <c r="B2269" s="1" t="s">
        <v>44</v>
      </c>
      <c r="C2269" s="1" t="s">
        <v>11</v>
      </c>
      <c r="D2269" s="5">
        <v>45533.0</v>
      </c>
      <c r="G2269" s="1">
        <f>VLOOKUP(B2269,'old-aw-skill-plan'!A:I,7,FALSE)</f>
        <v>5</v>
      </c>
      <c r="H2269" s="1" t="str">
        <f>VLOOKUP(B2269,'old-aw-skill-plan'!A:I,9,FALSE)</f>
        <v>5-1</v>
      </c>
    </row>
    <row r="2270" ht="15.75" customHeight="1">
      <c r="A2270" s="1" t="s">
        <v>60</v>
      </c>
      <c r="B2270" s="1" t="s">
        <v>61</v>
      </c>
      <c r="C2270" s="1" t="s">
        <v>11</v>
      </c>
      <c r="D2270" s="5">
        <v>45533.0</v>
      </c>
      <c r="G2270" s="1">
        <f>VLOOKUP(B2270,'old-aw-skill-plan'!A:I,7,FALSE)</f>
        <v>4</v>
      </c>
      <c r="H2270" s="1" t="str">
        <f>VLOOKUP(B2270,'old-aw-skill-plan'!A:I,9,FALSE)</f>
        <v>4-4</v>
      </c>
    </row>
    <row r="2271" ht="15.75" customHeight="1">
      <c r="A2271" s="1" t="s">
        <v>60</v>
      </c>
      <c r="B2271" s="1" t="s">
        <v>44</v>
      </c>
      <c r="C2271" s="1" t="s">
        <v>11</v>
      </c>
      <c r="D2271" s="5">
        <v>45533.0</v>
      </c>
      <c r="G2271" s="1">
        <f>VLOOKUP(B2271,'old-aw-skill-plan'!A:I,7,FALSE)</f>
        <v>5</v>
      </c>
      <c r="H2271" s="1" t="str">
        <f>VLOOKUP(B2271,'old-aw-skill-plan'!A:I,9,FALSE)</f>
        <v>5-1</v>
      </c>
    </row>
    <row r="2272" ht="15.75" customHeight="1">
      <c r="A2272" s="1" t="s">
        <v>63</v>
      </c>
      <c r="B2272" s="1" t="s">
        <v>44</v>
      </c>
      <c r="C2272" s="1" t="s">
        <v>11</v>
      </c>
      <c r="D2272" s="5">
        <v>45533.0</v>
      </c>
      <c r="G2272" s="1">
        <f>VLOOKUP(B2272,'old-aw-skill-plan'!A:I,7,FALSE)</f>
        <v>5</v>
      </c>
      <c r="H2272" s="1" t="str">
        <f>VLOOKUP(B2272,'old-aw-skill-plan'!A:I,9,FALSE)</f>
        <v>5-1</v>
      </c>
    </row>
    <row r="2273" ht="15.75" customHeight="1">
      <c r="A2273" s="1" t="s">
        <v>65</v>
      </c>
      <c r="B2273" s="1" t="s">
        <v>34</v>
      </c>
      <c r="C2273" s="1" t="s">
        <v>11</v>
      </c>
      <c r="D2273" s="5">
        <v>45533.0</v>
      </c>
      <c r="G2273" s="1">
        <f>VLOOKUP(B2273,'old-aw-skill-plan'!A:I,7,FALSE)</f>
        <v>4</v>
      </c>
      <c r="H2273" s="1" t="str">
        <f>VLOOKUP(B2273,'old-aw-skill-plan'!A:I,9,FALSE)</f>
        <v>4-1</v>
      </c>
    </row>
    <row r="2274" ht="15.75" customHeight="1">
      <c r="A2274" s="1" t="s">
        <v>403</v>
      </c>
      <c r="B2274" s="1" t="s">
        <v>44</v>
      </c>
      <c r="C2274" s="1" t="s">
        <v>11</v>
      </c>
      <c r="D2274" s="5">
        <v>45533.0</v>
      </c>
      <c r="G2274" s="1">
        <f>VLOOKUP(B2274,'old-aw-skill-plan'!A:I,7,FALSE)</f>
        <v>5</v>
      </c>
      <c r="H2274" s="1" t="str">
        <f>VLOOKUP(B2274,'old-aw-skill-plan'!A:I,9,FALSE)</f>
        <v>5-1</v>
      </c>
    </row>
    <row r="2275" ht="15.75" customHeight="1">
      <c r="A2275" s="1" t="s">
        <v>372</v>
      </c>
      <c r="B2275" s="1" t="s">
        <v>44</v>
      </c>
      <c r="C2275" s="1" t="s">
        <v>11</v>
      </c>
      <c r="D2275" s="5">
        <v>45533.0</v>
      </c>
      <c r="G2275" s="1">
        <f>VLOOKUP(B2275,'old-aw-skill-plan'!A:I,7,FALSE)</f>
        <v>5</v>
      </c>
      <c r="H2275" s="1" t="str">
        <f>VLOOKUP(B2275,'old-aw-skill-plan'!A:I,9,FALSE)</f>
        <v>5-1</v>
      </c>
    </row>
    <row r="2276" ht="15.75" customHeight="1">
      <c r="A2276" s="1" t="s">
        <v>197</v>
      </c>
      <c r="B2276" s="1" t="s">
        <v>84</v>
      </c>
      <c r="C2276" s="1" t="s">
        <v>11</v>
      </c>
      <c r="D2276" s="5">
        <v>45533.0</v>
      </c>
      <c r="G2276" s="1">
        <f>VLOOKUP(B2276,'old-aw-skill-plan'!A:I,7,FALSE)</f>
        <v>5</v>
      </c>
      <c r="H2276" s="1" t="str">
        <f>VLOOKUP(B2276,'old-aw-skill-plan'!A:I,9,FALSE)</f>
        <v>5-7</v>
      </c>
    </row>
    <row r="2277" ht="15.75" customHeight="1">
      <c r="A2277" s="1" t="s">
        <v>197</v>
      </c>
      <c r="B2277" s="1" t="s">
        <v>87</v>
      </c>
      <c r="C2277" s="1" t="s">
        <v>11</v>
      </c>
      <c r="D2277" s="5">
        <v>45533.0</v>
      </c>
      <c r="G2277" s="1">
        <f>VLOOKUP(B2277,'old-aw-skill-plan'!A:I,7,FALSE)</f>
        <v>5</v>
      </c>
      <c r="H2277" s="1" t="str">
        <f>VLOOKUP(B2277,'old-aw-skill-plan'!A:I,9,FALSE)</f>
        <v>5-6</v>
      </c>
    </row>
    <row r="2278" ht="15.75" customHeight="1">
      <c r="A2278" s="1" t="s">
        <v>198</v>
      </c>
      <c r="B2278" s="1" t="s">
        <v>34</v>
      </c>
      <c r="C2278" s="1" t="s">
        <v>11</v>
      </c>
      <c r="D2278" s="5">
        <v>45533.0</v>
      </c>
      <c r="G2278" s="1">
        <f>VLOOKUP(B2278,'old-aw-skill-plan'!A:I,7,FALSE)</f>
        <v>4</v>
      </c>
      <c r="H2278" s="1" t="str">
        <f>VLOOKUP(B2278,'old-aw-skill-plan'!A:I,9,FALSE)</f>
        <v>4-1</v>
      </c>
    </row>
    <row r="2279" ht="15.75" customHeight="1">
      <c r="A2279" s="1" t="s">
        <v>181</v>
      </c>
      <c r="B2279" s="1" t="s">
        <v>44</v>
      </c>
      <c r="C2279" s="1" t="s">
        <v>11</v>
      </c>
      <c r="D2279" s="5">
        <v>45533.0</v>
      </c>
      <c r="G2279" s="1">
        <f>VLOOKUP(B2279,'old-aw-skill-plan'!A:I,7,FALSE)</f>
        <v>5</v>
      </c>
      <c r="H2279" s="1" t="str">
        <f>VLOOKUP(B2279,'old-aw-skill-plan'!A:I,9,FALSE)</f>
        <v>5-1</v>
      </c>
    </row>
    <row r="2280" ht="15.75" customHeight="1">
      <c r="A2280" s="1" t="s">
        <v>77</v>
      </c>
      <c r="B2280" s="1" t="s">
        <v>37</v>
      </c>
      <c r="C2280" s="1" t="s">
        <v>11</v>
      </c>
      <c r="D2280" s="5">
        <v>45533.0</v>
      </c>
      <c r="G2280" s="1">
        <f>VLOOKUP(B2280,'old-aw-skill-plan'!A:I,7,FALSE)</f>
        <v>4</v>
      </c>
      <c r="H2280" s="1" t="str">
        <f>VLOOKUP(B2280,'old-aw-skill-plan'!A:I,9,FALSE)</f>
        <v>4-2</v>
      </c>
    </row>
    <row r="2281" ht="15.75" customHeight="1">
      <c r="A2281" s="1" t="s">
        <v>100</v>
      </c>
      <c r="B2281" s="1" t="s">
        <v>83</v>
      </c>
      <c r="C2281" s="1" t="s">
        <v>11</v>
      </c>
      <c r="D2281" s="5">
        <v>45533.0</v>
      </c>
      <c r="G2281" s="1">
        <f>VLOOKUP(B2281,'old-aw-skill-plan'!A:I,7,FALSE)</f>
        <v>5</v>
      </c>
      <c r="H2281" s="1" t="str">
        <f>VLOOKUP(B2281,'old-aw-skill-plan'!A:I,9,FALSE)</f>
        <v>5-9</v>
      </c>
    </row>
    <row r="2282" ht="15.75" customHeight="1">
      <c r="A2282" s="1" t="s">
        <v>100</v>
      </c>
      <c r="B2282" s="1" t="s">
        <v>85</v>
      </c>
      <c r="C2282" s="1" t="s">
        <v>11</v>
      </c>
      <c r="D2282" s="5">
        <v>45533.0</v>
      </c>
      <c r="G2282" s="1">
        <f>VLOOKUP(B2282,'old-aw-skill-plan'!A:I,7,FALSE)</f>
        <v>5</v>
      </c>
      <c r="H2282" s="1" t="str">
        <f>VLOOKUP(B2282,'old-aw-skill-plan'!A:I,9,FALSE)</f>
        <v>5-8</v>
      </c>
    </row>
    <row r="2283" ht="15.75" customHeight="1">
      <c r="A2283" s="1" t="s">
        <v>326</v>
      </c>
      <c r="B2283" s="1" t="s">
        <v>104</v>
      </c>
      <c r="C2283" s="1" t="s">
        <v>11</v>
      </c>
      <c r="D2283" s="5">
        <v>45533.0</v>
      </c>
      <c r="G2283" s="1">
        <f>VLOOKUP(B2283,'old-aw-skill-plan'!A:I,7,FALSE)</f>
        <v>5</v>
      </c>
      <c r="H2283" s="1" t="str">
        <f>VLOOKUP(B2283,'old-aw-skill-plan'!A:I,9,FALSE)</f>
        <v>5-2</v>
      </c>
    </row>
    <row r="2284" ht="15.75" customHeight="1">
      <c r="A2284" s="1" t="s">
        <v>365</v>
      </c>
      <c r="B2284" s="1" t="s">
        <v>37</v>
      </c>
      <c r="C2284" s="1" t="s">
        <v>11</v>
      </c>
      <c r="D2284" s="5">
        <v>45533.0</v>
      </c>
      <c r="G2284" s="1">
        <f>VLOOKUP(B2284,'old-aw-skill-plan'!A:I,7,FALSE)</f>
        <v>4</v>
      </c>
      <c r="H2284" s="1" t="str">
        <f>VLOOKUP(B2284,'old-aw-skill-plan'!A:I,9,FALSE)</f>
        <v>4-2</v>
      </c>
    </row>
    <row r="2285" ht="15.75" customHeight="1">
      <c r="A2285" s="1" t="s">
        <v>365</v>
      </c>
      <c r="B2285" s="1" t="s">
        <v>44</v>
      </c>
      <c r="C2285" s="1" t="s">
        <v>11</v>
      </c>
      <c r="D2285" s="5">
        <v>45533.0</v>
      </c>
      <c r="G2285" s="1">
        <f>VLOOKUP(B2285,'old-aw-skill-plan'!A:I,7,FALSE)</f>
        <v>5</v>
      </c>
      <c r="H2285" s="1" t="str">
        <f>VLOOKUP(B2285,'old-aw-skill-plan'!A:I,9,FALSE)</f>
        <v>5-1</v>
      </c>
    </row>
    <row r="2286" ht="15.75" customHeight="1">
      <c r="A2286" s="1" t="s">
        <v>219</v>
      </c>
      <c r="B2286" s="1" t="s">
        <v>10</v>
      </c>
      <c r="C2286" s="1" t="s">
        <v>11</v>
      </c>
      <c r="D2286" s="5">
        <v>45533.0</v>
      </c>
      <c r="G2286" s="1">
        <f>VLOOKUP(B2286,'old-aw-skill-plan'!A:I,7,FALSE)</f>
        <v>3</v>
      </c>
      <c r="H2286" s="1" t="str">
        <f>VLOOKUP(B2286,'old-aw-skill-plan'!A:I,9,FALSE)</f>
        <v>3-1</v>
      </c>
    </row>
    <row r="2287" ht="15.75" customHeight="1">
      <c r="A2287" s="1" t="s">
        <v>225</v>
      </c>
      <c r="B2287" s="1" t="s">
        <v>104</v>
      </c>
      <c r="C2287" s="1" t="s">
        <v>11</v>
      </c>
      <c r="D2287" s="5">
        <v>45533.0</v>
      </c>
      <c r="G2287" s="1">
        <f>VLOOKUP(B2287,'old-aw-skill-plan'!A:I,7,FALSE)</f>
        <v>5</v>
      </c>
      <c r="H2287" s="1" t="str">
        <f>VLOOKUP(B2287,'old-aw-skill-plan'!A:I,9,FALSE)</f>
        <v>5-2</v>
      </c>
    </row>
    <row r="2288" ht="15.75" customHeight="1">
      <c r="A2288" s="1" t="s">
        <v>22</v>
      </c>
      <c r="B2288" s="1" t="s">
        <v>10</v>
      </c>
      <c r="C2288" s="1" t="s">
        <v>11</v>
      </c>
      <c r="D2288" s="5">
        <v>45532.0</v>
      </c>
      <c r="G2288" s="1">
        <f>VLOOKUP(B2288,'old-aw-skill-plan'!A:I,7,FALSE)</f>
        <v>3</v>
      </c>
      <c r="H2288" s="1" t="str">
        <f>VLOOKUP(B2288,'old-aw-skill-plan'!A:I,9,FALSE)</f>
        <v>3-1</v>
      </c>
    </row>
    <row r="2289" ht="15.75" customHeight="1">
      <c r="A2289" s="1" t="s">
        <v>22</v>
      </c>
      <c r="B2289" s="1" t="s">
        <v>44</v>
      </c>
      <c r="C2289" s="1" t="s">
        <v>11</v>
      </c>
      <c r="D2289" s="5">
        <v>45532.0</v>
      </c>
      <c r="G2289" s="1">
        <f>VLOOKUP(B2289,'old-aw-skill-plan'!A:I,7,FALSE)</f>
        <v>5</v>
      </c>
      <c r="H2289" s="1" t="str">
        <f>VLOOKUP(B2289,'old-aw-skill-plan'!A:I,9,FALSE)</f>
        <v>5-1</v>
      </c>
    </row>
    <row r="2290" ht="15.75" customHeight="1">
      <c r="A2290" s="1" t="s">
        <v>35</v>
      </c>
      <c r="B2290" s="1" t="s">
        <v>44</v>
      </c>
      <c r="C2290" s="1" t="s">
        <v>11</v>
      </c>
      <c r="D2290" s="5">
        <v>45532.0</v>
      </c>
      <c r="G2290" s="1">
        <f>VLOOKUP(B2290,'old-aw-skill-plan'!A:I,7,FALSE)</f>
        <v>5</v>
      </c>
      <c r="H2290" s="1" t="str">
        <f>VLOOKUP(B2290,'old-aw-skill-plan'!A:I,9,FALSE)</f>
        <v>5-1</v>
      </c>
    </row>
    <row r="2291" ht="15.75" customHeight="1">
      <c r="A2291" s="1" t="s">
        <v>207</v>
      </c>
      <c r="B2291" s="1" t="s">
        <v>104</v>
      </c>
      <c r="C2291" s="1" t="s">
        <v>11</v>
      </c>
      <c r="D2291" s="5">
        <v>45532.0</v>
      </c>
      <c r="G2291" s="1">
        <f>VLOOKUP(B2291,'old-aw-skill-plan'!A:I,7,FALSE)</f>
        <v>5</v>
      </c>
      <c r="H2291" s="1" t="str">
        <f>VLOOKUP(B2291,'old-aw-skill-plan'!A:I,9,FALSE)</f>
        <v>5-2</v>
      </c>
    </row>
    <row r="2292" ht="15.75" customHeight="1">
      <c r="A2292" s="1" t="s">
        <v>199</v>
      </c>
      <c r="B2292" s="1" t="s">
        <v>37</v>
      </c>
      <c r="C2292" s="1" t="s">
        <v>11</v>
      </c>
      <c r="D2292" s="5">
        <v>45532.0</v>
      </c>
      <c r="G2292" s="1">
        <f>VLOOKUP(B2292,'old-aw-skill-plan'!A:I,7,FALSE)</f>
        <v>4</v>
      </c>
      <c r="H2292" s="1" t="str">
        <f>VLOOKUP(B2292,'old-aw-skill-plan'!A:I,9,FALSE)</f>
        <v>4-2</v>
      </c>
    </row>
    <row r="2293" ht="15.75" customHeight="1">
      <c r="A2293" s="1" t="s">
        <v>39</v>
      </c>
      <c r="B2293" s="1" t="s">
        <v>37</v>
      </c>
      <c r="C2293" s="1" t="s">
        <v>11</v>
      </c>
      <c r="D2293" s="5">
        <v>45532.0</v>
      </c>
      <c r="G2293" s="1">
        <f>VLOOKUP(B2293,'old-aw-skill-plan'!A:I,7,FALSE)</f>
        <v>4</v>
      </c>
      <c r="H2293" s="1" t="str">
        <f>VLOOKUP(B2293,'old-aw-skill-plan'!A:I,9,FALSE)</f>
        <v>4-2</v>
      </c>
    </row>
    <row r="2294" ht="15.75" customHeight="1">
      <c r="A2294" s="1" t="s">
        <v>185</v>
      </c>
      <c r="B2294" s="1" t="s">
        <v>25</v>
      </c>
      <c r="C2294" s="1" t="s">
        <v>11</v>
      </c>
      <c r="D2294" s="5">
        <v>45532.0</v>
      </c>
      <c r="G2294" s="1">
        <f>VLOOKUP(B2294,'old-aw-skill-plan'!A:I,7,FALSE)</f>
        <v>5</v>
      </c>
      <c r="H2294" s="1" t="str">
        <f>VLOOKUP(B2294,'old-aw-skill-plan'!A:I,9,FALSE)</f>
        <v>5-4</v>
      </c>
    </row>
    <row r="2295" ht="15.75" customHeight="1">
      <c r="A2295" s="1" t="s">
        <v>196</v>
      </c>
      <c r="B2295" s="1" t="s">
        <v>10</v>
      </c>
      <c r="C2295" s="1" t="s">
        <v>11</v>
      </c>
      <c r="D2295" s="5">
        <v>45532.0</v>
      </c>
      <c r="G2295" s="1">
        <f>VLOOKUP(B2295,'old-aw-skill-plan'!A:I,7,FALSE)</f>
        <v>3</v>
      </c>
      <c r="H2295" s="1" t="str">
        <f>VLOOKUP(B2295,'old-aw-skill-plan'!A:I,9,FALSE)</f>
        <v>3-1</v>
      </c>
    </row>
    <row r="2296" ht="15.75" customHeight="1">
      <c r="A2296" s="1" t="s">
        <v>60</v>
      </c>
      <c r="B2296" s="1" t="s">
        <v>44</v>
      </c>
      <c r="C2296" s="1" t="s">
        <v>11</v>
      </c>
      <c r="D2296" s="5">
        <v>45532.0</v>
      </c>
      <c r="G2296" s="1">
        <f>VLOOKUP(B2296,'old-aw-skill-plan'!A:I,7,FALSE)</f>
        <v>5</v>
      </c>
      <c r="H2296" s="1" t="str">
        <f>VLOOKUP(B2296,'old-aw-skill-plan'!A:I,9,FALSE)</f>
        <v>5-1</v>
      </c>
    </row>
    <row r="2297" ht="15.75" customHeight="1">
      <c r="A2297" s="1" t="s">
        <v>65</v>
      </c>
      <c r="B2297" s="1" t="s">
        <v>34</v>
      </c>
      <c r="C2297" s="1" t="s">
        <v>11</v>
      </c>
      <c r="D2297" s="5">
        <v>45532.0</v>
      </c>
      <c r="G2297" s="1">
        <f>VLOOKUP(B2297,'old-aw-skill-plan'!A:I,7,FALSE)</f>
        <v>4</v>
      </c>
      <c r="H2297" s="1" t="str">
        <f>VLOOKUP(B2297,'old-aw-skill-plan'!A:I,9,FALSE)</f>
        <v>4-1</v>
      </c>
    </row>
    <row r="2298" ht="15.75" customHeight="1">
      <c r="A2298" s="1" t="s">
        <v>95</v>
      </c>
      <c r="B2298" s="1" t="s">
        <v>28</v>
      </c>
      <c r="C2298" s="1" t="s">
        <v>11</v>
      </c>
      <c r="D2298" s="5">
        <v>45532.0</v>
      </c>
      <c r="G2298" s="1">
        <f>VLOOKUP(B2298,'old-aw-skill-plan'!A:I,7,FALSE)</f>
        <v>3</v>
      </c>
      <c r="H2298" s="1" t="str">
        <f>VLOOKUP(B2298,'old-aw-skill-plan'!A:I,9,FALSE)</f>
        <v>3-4</v>
      </c>
    </row>
    <row r="2299" ht="15.75" customHeight="1">
      <c r="A2299" s="1" t="s">
        <v>197</v>
      </c>
      <c r="B2299" s="1" t="s">
        <v>25</v>
      </c>
      <c r="C2299" s="1" t="s">
        <v>11</v>
      </c>
      <c r="D2299" s="5">
        <v>45532.0</v>
      </c>
      <c r="G2299" s="1">
        <f>VLOOKUP(B2299,'old-aw-skill-plan'!A:I,7,FALSE)</f>
        <v>5</v>
      </c>
      <c r="H2299" s="1" t="str">
        <f>VLOOKUP(B2299,'old-aw-skill-plan'!A:I,9,FALSE)</f>
        <v>5-4</v>
      </c>
    </row>
    <row r="2300" ht="15.75" customHeight="1">
      <c r="A2300" s="1" t="s">
        <v>197</v>
      </c>
      <c r="B2300" s="1" t="s">
        <v>88</v>
      </c>
      <c r="C2300" s="1" t="s">
        <v>11</v>
      </c>
      <c r="D2300" s="5">
        <v>45532.0</v>
      </c>
      <c r="G2300" s="1">
        <f>VLOOKUP(B2300,'old-aw-skill-plan'!A:I,7,FALSE)</f>
        <v>5</v>
      </c>
      <c r="H2300" s="1" t="str">
        <f>VLOOKUP(B2300,'old-aw-skill-plan'!A:I,9,FALSE)</f>
        <v>5-5</v>
      </c>
    </row>
    <row r="2301" ht="15.75" customHeight="1">
      <c r="A2301" s="1" t="s">
        <v>198</v>
      </c>
      <c r="B2301" s="1" t="s">
        <v>34</v>
      </c>
      <c r="C2301" s="1" t="s">
        <v>11</v>
      </c>
      <c r="D2301" s="5">
        <v>45532.0</v>
      </c>
      <c r="G2301" s="1">
        <f>VLOOKUP(B2301,'old-aw-skill-plan'!A:I,7,FALSE)</f>
        <v>4</v>
      </c>
      <c r="H2301" s="1" t="str">
        <f>VLOOKUP(B2301,'old-aw-skill-plan'!A:I,9,FALSE)</f>
        <v>4-1</v>
      </c>
    </row>
    <row r="2302" ht="15.75" customHeight="1">
      <c r="A2302" s="1" t="s">
        <v>75</v>
      </c>
      <c r="B2302" s="1" t="s">
        <v>28</v>
      </c>
      <c r="C2302" s="1" t="s">
        <v>11</v>
      </c>
      <c r="D2302" s="5">
        <v>45532.0</v>
      </c>
      <c r="G2302" s="1">
        <f>VLOOKUP(B2302,'old-aw-skill-plan'!A:I,7,FALSE)</f>
        <v>3</v>
      </c>
      <c r="H2302" s="1" t="str">
        <f>VLOOKUP(B2302,'old-aw-skill-plan'!A:I,9,FALSE)</f>
        <v>3-4</v>
      </c>
    </row>
    <row r="2303" ht="15.75" customHeight="1">
      <c r="A2303" s="1" t="s">
        <v>77</v>
      </c>
      <c r="B2303" s="1" t="s">
        <v>34</v>
      </c>
      <c r="C2303" s="1" t="s">
        <v>11</v>
      </c>
      <c r="D2303" s="5">
        <v>45532.0</v>
      </c>
      <c r="G2303" s="1">
        <f>VLOOKUP(B2303,'old-aw-skill-plan'!A:I,7,FALSE)</f>
        <v>4</v>
      </c>
      <c r="H2303" s="1" t="str">
        <f>VLOOKUP(B2303,'old-aw-skill-plan'!A:I,9,FALSE)</f>
        <v>4-1</v>
      </c>
    </row>
    <row r="2304" ht="15.75" customHeight="1">
      <c r="A2304" s="1" t="s">
        <v>100</v>
      </c>
      <c r="B2304" s="1" t="s">
        <v>84</v>
      </c>
      <c r="C2304" s="1" t="s">
        <v>11</v>
      </c>
      <c r="D2304" s="5">
        <v>45532.0</v>
      </c>
      <c r="G2304" s="1">
        <f>VLOOKUP(B2304,'old-aw-skill-plan'!A:I,7,FALSE)</f>
        <v>5</v>
      </c>
      <c r="H2304" s="1" t="str">
        <f>VLOOKUP(B2304,'old-aw-skill-plan'!A:I,9,FALSE)</f>
        <v>5-7</v>
      </c>
    </row>
    <row r="2305" ht="15.75" customHeight="1">
      <c r="A2305" s="1" t="s">
        <v>365</v>
      </c>
      <c r="B2305" s="1" t="s">
        <v>115</v>
      </c>
      <c r="C2305" s="1" t="s">
        <v>11</v>
      </c>
      <c r="D2305" s="5">
        <v>45532.0</v>
      </c>
      <c r="G2305" s="1">
        <f>VLOOKUP(B2305,'old-aw-skill-plan'!A:I,7,FALSE)</f>
        <v>3</v>
      </c>
      <c r="H2305" s="1" t="str">
        <f>VLOOKUP(B2305,'old-aw-skill-plan'!A:I,9,FALSE)</f>
        <v>3-10</v>
      </c>
    </row>
    <row r="2306" ht="15.75" customHeight="1">
      <c r="A2306" s="1" t="s">
        <v>365</v>
      </c>
      <c r="B2306" s="1" t="s">
        <v>47</v>
      </c>
      <c r="C2306" s="1" t="s">
        <v>11</v>
      </c>
      <c r="D2306" s="5">
        <v>45532.0</v>
      </c>
      <c r="G2306" s="1">
        <f>VLOOKUP(B2306,'old-aw-skill-plan'!A:I,7,FALSE)</f>
        <v>3</v>
      </c>
      <c r="H2306" s="1" t="str">
        <f>VLOOKUP(B2306,'old-aw-skill-plan'!A:I,9,FALSE)</f>
        <v>3-2</v>
      </c>
    </row>
    <row r="2307" ht="15.75" customHeight="1">
      <c r="A2307" s="1" t="s">
        <v>365</v>
      </c>
      <c r="B2307" s="1" t="s">
        <v>320</v>
      </c>
      <c r="C2307" s="1" t="s">
        <v>11</v>
      </c>
      <c r="D2307" s="5">
        <v>45532.0</v>
      </c>
      <c r="G2307" s="1">
        <f>VLOOKUP(B2307,'old-aw-skill-plan'!A:I,7,FALSE)</f>
        <v>4</v>
      </c>
      <c r="H2307" s="1" t="str">
        <f>VLOOKUP(B2307,'old-aw-skill-plan'!A:I,9,FALSE)</f>
        <v>4-2</v>
      </c>
    </row>
    <row r="2308" ht="15.75" customHeight="1">
      <c r="A2308" s="1" t="s">
        <v>365</v>
      </c>
      <c r="B2308" s="1" t="s">
        <v>44</v>
      </c>
      <c r="C2308" s="1" t="s">
        <v>11</v>
      </c>
      <c r="D2308" s="5">
        <v>45532.0</v>
      </c>
      <c r="G2308" s="1">
        <f>VLOOKUP(B2308,'old-aw-skill-plan'!A:I,7,FALSE)</f>
        <v>5</v>
      </c>
      <c r="H2308" s="1" t="str">
        <f>VLOOKUP(B2308,'old-aw-skill-plan'!A:I,9,FALSE)</f>
        <v>5-1</v>
      </c>
    </row>
    <row r="2309" ht="15.75" customHeight="1">
      <c r="A2309" s="1" t="s">
        <v>219</v>
      </c>
      <c r="B2309" s="1" t="s">
        <v>10</v>
      </c>
      <c r="C2309" s="1" t="s">
        <v>11</v>
      </c>
      <c r="D2309" s="5">
        <v>45532.0</v>
      </c>
      <c r="G2309" s="1">
        <f>VLOOKUP(B2309,'old-aw-skill-plan'!A:I,7,FALSE)</f>
        <v>3</v>
      </c>
      <c r="H2309" s="1" t="str">
        <f>VLOOKUP(B2309,'old-aw-skill-plan'!A:I,9,FALSE)</f>
        <v>3-1</v>
      </c>
    </row>
    <row r="2310" ht="15.75" customHeight="1">
      <c r="A2310" s="1" t="s">
        <v>225</v>
      </c>
      <c r="B2310" s="1" t="s">
        <v>104</v>
      </c>
      <c r="C2310" s="1" t="s">
        <v>11</v>
      </c>
      <c r="D2310" s="5">
        <v>45532.0</v>
      </c>
      <c r="G2310" s="1">
        <f>VLOOKUP(B2310,'old-aw-skill-plan'!A:I,7,FALSE)</f>
        <v>5</v>
      </c>
      <c r="H2310" s="1" t="str">
        <f>VLOOKUP(B2310,'old-aw-skill-plan'!A:I,9,FALSE)</f>
        <v>5-2</v>
      </c>
    </row>
    <row r="2311" ht="15.75" customHeight="1">
      <c r="A2311" s="1" t="s">
        <v>207</v>
      </c>
      <c r="B2311" s="1" t="s">
        <v>28</v>
      </c>
      <c r="C2311" s="1" t="s">
        <v>11</v>
      </c>
      <c r="D2311" s="5">
        <v>45531.0</v>
      </c>
      <c r="G2311" s="1">
        <f>VLOOKUP(B2311,'old-aw-skill-plan'!A:I,7,FALSE)</f>
        <v>3</v>
      </c>
      <c r="H2311" s="1" t="str">
        <f>VLOOKUP(B2311,'old-aw-skill-plan'!A:I,9,FALSE)</f>
        <v>3-4</v>
      </c>
    </row>
    <row r="2312" ht="15.75" customHeight="1">
      <c r="A2312" s="1" t="s">
        <v>52</v>
      </c>
      <c r="B2312" s="1" t="s">
        <v>10</v>
      </c>
      <c r="C2312" s="1" t="s">
        <v>11</v>
      </c>
      <c r="D2312" s="5">
        <v>45531.0</v>
      </c>
      <c r="G2312" s="1">
        <f>VLOOKUP(B2312,'old-aw-skill-plan'!A:I,7,FALSE)</f>
        <v>3</v>
      </c>
      <c r="H2312" s="1" t="str">
        <f>VLOOKUP(B2312,'old-aw-skill-plan'!A:I,9,FALSE)</f>
        <v>3-1</v>
      </c>
    </row>
    <row r="2313" ht="15.75" customHeight="1">
      <c r="A2313" s="1" t="s">
        <v>52</v>
      </c>
      <c r="B2313" s="1" t="s">
        <v>34</v>
      </c>
      <c r="C2313" s="1" t="s">
        <v>11</v>
      </c>
      <c r="D2313" s="5">
        <v>45531.0</v>
      </c>
      <c r="G2313" s="1">
        <f>VLOOKUP(B2313,'old-aw-skill-plan'!A:I,7,FALSE)</f>
        <v>4</v>
      </c>
      <c r="H2313" s="1" t="str">
        <f>VLOOKUP(B2313,'old-aw-skill-plan'!A:I,9,FALSE)</f>
        <v>4-1</v>
      </c>
    </row>
    <row r="2314" ht="15.75" customHeight="1">
      <c r="A2314" s="1" t="s">
        <v>52</v>
      </c>
      <c r="B2314" s="1" t="s">
        <v>37</v>
      </c>
      <c r="C2314" s="1" t="s">
        <v>11</v>
      </c>
      <c r="D2314" s="5">
        <v>45531.0</v>
      </c>
      <c r="G2314" s="1">
        <f>VLOOKUP(B2314,'old-aw-skill-plan'!A:I,7,FALSE)</f>
        <v>4</v>
      </c>
      <c r="H2314" s="1" t="str">
        <f>VLOOKUP(B2314,'old-aw-skill-plan'!A:I,9,FALSE)</f>
        <v>4-2</v>
      </c>
    </row>
    <row r="2315" ht="15.75" customHeight="1">
      <c r="A2315" s="1" t="s">
        <v>52</v>
      </c>
      <c r="B2315" s="1" t="s">
        <v>21</v>
      </c>
      <c r="C2315" s="1" t="s">
        <v>11</v>
      </c>
      <c r="D2315" s="5">
        <v>45531.0</v>
      </c>
      <c r="G2315" s="1">
        <f>VLOOKUP(B2315,'old-aw-skill-plan'!A:I,7,FALSE)</f>
        <v>4</v>
      </c>
      <c r="H2315" s="1" t="str">
        <f>VLOOKUP(B2315,'old-aw-skill-plan'!A:I,9,FALSE)</f>
        <v>4-6</v>
      </c>
    </row>
    <row r="2316" ht="15.75" customHeight="1">
      <c r="A2316" s="1" t="s">
        <v>55</v>
      </c>
      <c r="B2316" s="1" t="s">
        <v>10</v>
      </c>
      <c r="C2316" s="1" t="s">
        <v>11</v>
      </c>
      <c r="D2316" s="5">
        <v>45531.0</v>
      </c>
      <c r="G2316" s="1">
        <f>VLOOKUP(B2316,'old-aw-skill-plan'!A:I,7,FALSE)</f>
        <v>3</v>
      </c>
      <c r="H2316" s="1" t="str">
        <f>VLOOKUP(B2316,'old-aw-skill-plan'!A:I,9,FALSE)</f>
        <v>3-1</v>
      </c>
    </row>
    <row r="2317" ht="15.75" customHeight="1">
      <c r="A2317" s="1" t="s">
        <v>213</v>
      </c>
      <c r="B2317" s="1" t="s">
        <v>34</v>
      </c>
      <c r="C2317" s="1" t="s">
        <v>11</v>
      </c>
      <c r="D2317" s="5">
        <v>45531.0</v>
      </c>
      <c r="G2317" s="1">
        <f>VLOOKUP(B2317,'old-aw-skill-plan'!A:I,7,FALSE)</f>
        <v>4</v>
      </c>
      <c r="H2317" s="1" t="str">
        <f>VLOOKUP(B2317,'old-aw-skill-plan'!A:I,9,FALSE)</f>
        <v>4-1</v>
      </c>
    </row>
    <row r="2318" ht="15.75" customHeight="1">
      <c r="A2318" s="1" t="s">
        <v>39</v>
      </c>
      <c r="B2318" s="1" t="s">
        <v>34</v>
      </c>
      <c r="C2318" s="1" t="s">
        <v>11</v>
      </c>
      <c r="D2318" s="5">
        <v>45531.0</v>
      </c>
      <c r="G2318" s="1">
        <f>VLOOKUP(B2318,'old-aw-skill-plan'!A:I,7,FALSE)</f>
        <v>4</v>
      </c>
      <c r="H2318" s="1" t="str">
        <f>VLOOKUP(B2318,'old-aw-skill-plan'!A:I,9,FALSE)</f>
        <v>4-1</v>
      </c>
    </row>
    <row r="2319" ht="15.75" customHeight="1">
      <c r="A2319" s="1" t="s">
        <v>239</v>
      </c>
      <c r="B2319" s="1" t="s">
        <v>84</v>
      </c>
      <c r="C2319" s="1" t="s">
        <v>11</v>
      </c>
      <c r="D2319" s="5">
        <v>45531.0</v>
      </c>
      <c r="G2319" s="1">
        <f>VLOOKUP(B2319,'old-aw-skill-plan'!A:I,7,FALSE)</f>
        <v>5</v>
      </c>
      <c r="H2319" s="1" t="str">
        <f>VLOOKUP(B2319,'old-aw-skill-plan'!A:I,9,FALSE)</f>
        <v>5-7</v>
      </c>
    </row>
    <row r="2320" ht="15.75" customHeight="1">
      <c r="A2320" s="1" t="s">
        <v>185</v>
      </c>
      <c r="B2320" s="1" t="s">
        <v>103</v>
      </c>
      <c r="C2320" s="1" t="s">
        <v>11</v>
      </c>
      <c r="D2320" s="5">
        <v>45531.0</v>
      </c>
      <c r="G2320" s="1">
        <f>VLOOKUP(B2320,'old-aw-skill-plan'!A:I,7,FALSE)</f>
        <v>5</v>
      </c>
      <c r="H2320" s="1" t="str">
        <f>VLOOKUP(B2320,'old-aw-skill-plan'!A:I,9,FALSE)</f>
        <v>5-3</v>
      </c>
    </row>
    <row r="2321" ht="15.75" customHeight="1">
      <c r="A2321" s="1" t="s">
        <v>76</v>
      </c>
      <c r="B2321" s="1" t="s">
        <v>34</v>
      </c>
      <c r="C2321" s="1" t="s">
        <v>11</v>
      </c>
      <c r="D2321" s="5">
        <v>45531.0</v>
      </c>
      <c r="G2321" s="1">
        <f>VLOOKUP(B2321,'old-aw-skill-plan'!A:I,7,FALSE)</f>
        <v>4</v>
      </c>
      <c r="H2321" s="1" t="str">
        <f>VLOOKUP(B2321,'old-aw-skill-plan'!A:I,9,FALSE)</f>
        <v>4-1</v>
      </c>
    </row>
    <row r="2322" ht="15.75" customHeight="1">
      <c r="A2322" s="1" t="s">
        <v>196</v>
      </c>
      <c r="B2322" s="1" t="s">
        <v>10</v>
      </c>
      <c r="C2322" s="1" t="s">
        <v>11</v>
      </c>
      <c r="D2322" s="5">
        <v>45531.0</v>
      </c>
      <c r="G2322" s="1">
        <f>VLOOKUP(B2322,'old-aw-skill-plan'!A:I,7,FALSE)</f>
        <v>3</v>
      </c>
      <c r="H2322" s="1" t="str">
        <f>VLOOKUP(B2322,'old-aw-skill-plan'!A:I,9,FALSE)</f>
        <v>3-1</v>
      </c>
    </row>
    <row r="2323" ht="15.75" customHeight="1">
      <c r="A2323" s="1" t="s">
        <v>230</v>
      </c>
      <c r="B2323" s="1" t="s">
        <v>57</v>
      </c>
      <c r="C2323" s="1" t="s">
        <v>11</v>
      </c>
      <c r="D2323" s="5">
        <v>45531.0</v>
      </c>
      <c r="G2323" s="1">
        <f>VLOOKUP(B2323,'old-aw-skill-plan'!A:I,7,FALSE)</f>
        <v>3</v>
      </c>
      <c r="H2323" s="1" t="str">
        <f>VLOOKUP(B2323,'old-aw-skill-plan'!A:I,9,FALSE)</f>
        <v>3-7</v>
      </c>
    </row>
    <row r="2324" ht="15.75" customHeight="1">
      <c r="A2324" s="1" t="s">
        <v>230</v>
      </c>
      <c r="B2324" s="1" t="s">
        <v>404</v>
      </c>
      <c r="C2324" s="1" t="s">
        <v>11</v>
      </c>
      <c r="D2324" s="5">
        <v>45531.0</v>
      </c>
      <c r="G2324" s="1">
        <f>VLOOKUP(B2324,'old-aw-skill-plan'!A:I,7,FALSE)</f>
        <v>3</v>
      </c>
      <c r="H2324" s="1" t="str">
        <f>VLOOKUP(B2324,'old-aw-skill-plan'!A:I,9,FALSE)</f>
        <v>3-8</v>
      </c>
    </row>
    <row r="2325" ht="15.75" customHeight="1">
      <c r="A2325" s="1" t="s">
        <v>60</v>
      </c>
      <c r="B2325" s="1" t="s">
        <v>44</v>
      </c>
      <c r="C2325" s="1" t="s">
        <v>11</v>
      </c>
      <c r="D2325" s="5">
        <v>45531.0</v>
      </c>
      <c r="G2325" s="1">
        <f>VLOOKUP(B2325,'old-aw-skill-plan'!A:I,7,FALSE)</f>
        <v>5</v>
      </c>
      <c r="H2325" s="1" t="str">
        <f>VLOOKUP(B2325,'old-aw-skill-plan'!A:I,9,FALSE)</f>
        <v>5-1</v>
      </c>
    </row>
    <row r="2326" ht="15.75" customHeight="1">
      <c r="A2326" s="1" t="s">
        <v>63</v>
      </c>
      <c r="B2326" s="1" t="s">
        <v>44</v>
      </c>
      <c r="C2326" s="1" t="s">
        <v>11</v>
      </c>
      <c r="D2326" s="5">
        <v>45531.0</v>
      </c>
      <c r="G2326" s="1">
        <f>VLOOKUP(B2326,'old-aw-skill-plan'!A:I,7,FALSE)</f>
        <v>5</v>
      </c>
      <c r="H2326" s="1" t="str">
        <f>VLOOKUP(B2326,'old-aw-skill-plan'!A:I,9,FALSE)</f>
        <v>5-1</v>
      </c>
    </row>
    <row r="2327" ht="15.75" customHeight="1">
      <c r="A2327" s="1" t="s">
        <v>65</v>
      </c>
      <c r="B2327" s="1" t="s">
        <v>34</v>
      </c>
      <c r="C2327" s="1" t="s">
        <v>11</v>
      </c>
      <c r="D2327" s="5">
        <v>45531.0</v>
      </c>
      <c r="G2327" s="1">
        <f>VLOOKUP(B2327,'old-aw-skill-plan'!A:I,7,FALSE)</f>
        <v>4</v>
      </c>
      <c r="H2327" s="1" t="str">
        <f>VLOOKUP(B2327,'old-aw-skill-plan'!A:I,9,FALSE)</f>
        <v>4-1</v>
      </c>
    </row>
    <row r="2328" ht="15.75" customHeight="1">
      <c r="A2328" s="1" t="s">
        <v>68</v>
      </c>
      <c r="B2328" s="1" t="s">
        <v>44</v>
      </c>
      <c r="C2328" s="1" t="s">
        <v>11</v>
      </c>
      <c r="D2328" s="5">
        <v>45531.0</v>
      </c>
      <c r="G2328" s="1">
        <f>VLOOKUP(B2328,'old-aw-skill-plan'!A:I,7,FALSE)</f>
        <v>5</v>
      </c>
      <c r="H2328" s="1" t="str">
        <f>VLOOKUP(B2328,'old-aw-skill-plan'!A:I,9,FALSE)</f>
        <v>5-1</v>
      </c>
    </row>
    <row r="2329" ht="15.75" customHeight="1">
      <c r="A2329" s="1" t="s">
        <v>372</v>
      </c>
      <c r="B2329" s="1" t="s">
        <v>325</v>
      </c>
      <c r="C2329" s="1" t="s">
        <v>11</v>
      </c>
      <c r="D2329" s="5">
        <v>45531.0</v>
      </c>
      <c r="G2329" s="1" t="str">
        <f>VLOOKUP(B2329,'old-aw-skill-plan'!A:I,7,FALSE)</f>
        <v>#N/A</v>
      </c>
      <c r="H2329" s="1" t="str">
        <f>VLOOKUP(B2329,'old-aw-skill-plan'!A:I,9,FALSE)</f>
        <v>#N/A</v>
      </c>
    </row>
    <row r="2330" ht="15.75" customHeight="1">
      <c r="A2330" s="1" t="s">
        <v>197</v>
      </c>
      <c r="B2330" s="1" t="s">
        <v>103</v>
      </c>
      <c r="C2330" s="1" t="s">
        <v>11</v>
      </c>
      <c r="D2330" s="5">
        <v>45531.0</v>
      </c>
      <c r="G2330" s="1">
        <f>VLOOKUP(B2330,'old-aw-skill-plan'!A:I,7,FALSE)</f>
        <v>5</v>
      </c>
      <c r="H2330" s="1" t="str">
        <f>VLOOKUP(B2330,'old-aw-skill-plan'!A:I,9,FALSE)</f>
        <v>5-3</v>
      </c>
    </row>
    <row r="2331" ht="15.75" customHeight="1">
      <c r="A2331" s="1" t="s">
        <v>198</v>
      </c>
      <c r="B2331" s="1" t="s">
        <v>34</v>
      </c>
      <c r="C2331" s="1" t="s">
        <v>11</v>
      </c>
      <c r="D2331" s="5">
        <v>45531.0</v>
      </c>
      <c r="G2331" s="1">
        <f>VLOOKUP(B2331,'old-aw-skill-plan'!A:I,7,FALSE)</f>
        <v>4</v>
      </c>
      <c r="H2331" s="1" t="str">
        <f>VLOOKUP(B2331,'old-aw-skill-plan'!A:I,9,FALSE)</f>
        <v>4-1</v>
      </c>
    </row>
    <row r="2332" ht="15.75" customHeight="1">
      <c r="A2332" s="1" t="s">
        <v>205</v>
      </c>
      <c r="B2332" s="1" t="s">
        <v>44</v>
      </c>
      <c r="C2332" s="1" t="s">
        <v>11</v>
      </c>
      <c r="D2332" s="5">
        <v>45531.0</v>
      </c>
      <c r="G2332" s="1">
        <f>VLOOKUP(B2332,'old-aw-skill-plan'!A:I,7,FALSE)</f>
        <v>5</v>
      </c>
      <c r="H2332" s="1" t="str">
        <f>VLOOKUP(B2332,'old-aw-skill-plan'!A:I,9,FALSE)</f>
        <v>5-1</v>
      </c>
    </row>
    <row r="2333" ht="15.75" customHeight="1">
      <c r="A2333" s="1" t="s">
        <v>75</v>
      </c>
      <c r="B2333" s="1" t="s">
        <v>28</v>
      </c>
      <c r="C2333" s="1" t="s">
        <v>11</v>
      </c>
      <c r="D2333" s="5">
        <v>45531.0</v>
      </c>
      <c r="G2333" s="1">
        <f>VLOOKUP(B2333,'old-aw-skill-plan'!A:I,7,FALSE)</f>
        <v>3</v>
      </c>
      <c r="H2333" s="1" t="str">
        <f>VLOOKUP(B2333,'old-aw-skill-plan'!A:I,9,FALSE)</f>
        <v>3-4</v>
      </c>
    </row>
    <row r="2334" ht="15.75" customHeight="1">
      <c r="A2334" s="1" t="s">
        <v>75</v>
      </c>
      <c r="B2334" s="1" t="s">
        <v>10</v>
      </c>
      <c r="C2334" s="1" t="s">
        <v>11</v>
      </c>
      <c r="D2334" s="5">
        <v>45531.0</v>
      </c>
      <c r="G2334" s="1">
        <f>VLOOKUP(B2334,'old-aw-skill-plan'!A:I,7,FALSE)</f>
        <v>3</v>
      </c>
      <c r="H2334" s="1" t="str">
        <f>VLOOKUP(B2334,'old-aw-skill-plan'!A:I,9,FALSE)</f>
        <v>3-1</v>
      </c>
    </row>
    <row r="2335" ht="15.75" customHeight="1">
      <c r="A2335" s="1" t="s">
        <v>75</v>
      </c>
      <c r="B2335" s="1" t="s">
        <v>30</v>
      </c>
      <c r="C2335" s="1" t="s">
        <v>11</v>
      </c>
      <c r="D2335" s="5">
        <v>45531.0</v>
      </c>
      <c r="G2335" s="1">
        <f>VLOOKUP(B2335,'old-aw-skill-plan'!A:I,7,FALSE)</f>
        <v>3</v>
      </c>
      <c r="H2335" s="1" t="str">
        <f>VLOOKUP(B2335,'old-aw-skill-plan'!A:I,9,FALSE)</f>
        <v>3-3</v>
      </c>
    </row>
    <row r="2336" ht="15.75" customHeight="1">
      <c r="A2336" s="1" t="s">
        <v>77</v>
      </c>
      <c r="B2336" s="1" t="s">
        <v>34</v>
      </c>
      <c r="C2336" s="1" t="s">
        <v>11</v>
      </c>
      <c r="D2336" s="5">
        <v>45531.0</v>
      </c>
      <c r="G2336" s="1">
        <f>VLOOKUP(B2336,'old-aw-skill-plan'!A:I,7,FALSE)</f>
        <v>4</v>
      </c>
      <c r="H2336" s="1" t="str">
        <f>VLOOKUP(B2336,'old-aw-skill-plan'!A:I,9,FALSE)</f>
        <v>4-1</v>
      </c>
    </row>
    <row r="2337" ht="15.75" customHeight="1">
      <c r="A2337" s="1" t="s">
        <v>100</v>
      </c>
      <c r="B2337" s="1" t="s">
        <v>84</v>
      </c>
      <c r="C2337" s="1" t="s">
        <v>11</v>
      </c>
      <c r="D2337" s="5">
        <v>45531.0</v>
      </c>
      <c r="G2337" s="1">
        <f>VLOOKUP(B2337,'old-aw-skill-plan'!A:I,7,FALSE)</f>
        <v>5</v>
      </c>
      <c r="H2337" s="1" t="str">
        <f>VLOOKUP(B2337,'old-aw-skill-plan'!A:I,9,FALSE)</f>
        <v>5-7</v>
      </c>
    </row>
    <row r="2338" ht="15.75" customHeight="1">
      <c r="A2338" s="1" t="s">
        <v>226</v>
      </c>
      <c r="B2338" s="1" t="s">
        <v>44</v>
      </c>
      <c r="C2338" s="1" t="s">
        <v>11</v>
      </c>
      <c r="D2338" s="5">
        <v>45531.0</v>
      </c>
      <c r="G2338" s="1">
        <f>VLOOKUP(B2338,'old-aw-skill-plan'!A:I,7,FALSE)</f>
        <v>5</v>
      </c>
      <c r="H2338" s="1" t="str">
        <f>VLOOKUP(B2338,'old-aw-skill-plan'!A:I,9,FALSE)</f>
        <v>5-1</v>
      </c>
    </row>
    <row r="2339" ht="15.75" customHeight="1">
      <c r="A2339" s="1" t="s">
        <v>326</v>
      </c>
      <c r="B2339" s="1" t="s">
        <v>104</v>
      </c>
      <c r="C2339" s="1" t="s">
        <v>11</v>
      </c>
      <c r="D2339" s="5">
        <v>45531.0</v>
      </c>
      <c r="G2339" s="1">
        <f>VLOOKUP(B2339,'old-aw-skill-plan'!A:I,7,FALSE)</f>
        <v>5</v>
      </c>
      <c r="H2339" s="1" t="str">
        <f>VLOOKUP(B2339,'old-aw-skill-plan'!A:I,9,FALSE)</f>
        <v>5-2</v>
      </c>
    </row>
    <row r="2340" ht="15.75" customHeight="1">
      <c r="A2340" s="1" t="s">
        <v>365</v>
      </c>
      <c r="B2340" s="1" t="s">
        <v>10</v>
      </c>
      <c r="C2340" s="1" t="s">
        <v>11</v>
      </c>
      <c r="D2340" s="5">
        <v>45531.0</v>
      </c>
      <c r="G2340" s="1">
        <f>VLOOKUP(B2340,'old-aw-skill-plan'!A:I,7,FALSE)</f>
        <v>3</v>
      </c>
      <c r="H2340" s="1" t="str">
        <f>VLOOKUP(B2340,'old-aw-skill-plan'!A:I,9,FALSE)</f>
        <v>3-1</v>
      </c>
    </row>
    <row r="2341" ht="15.75" customHeight="1">
      <c r="A2341" s="1" t="s">
        <v>365</v>
      </c>
      <c r="B2341" s="1" t="s">
        <v>37</v>
      </c>
      <c r="C2341" s="1" t="s">
        <v>11</v>
      </c>
      <c r="D2341" s="5">
        <v>45531.0</v>
      </c>
      <c r="G2341" s="1">
        <f>VLOOKUP(B2341,'old-aw-skill-plan'!A:I,7,FALSE)</f>
        <v>4</v>
      </c>
      <c r="H2341" s="1" t="str">
        <f>VLOOKUP(B2341,'old-aw-skill-plan'!A:I,9,FALSE)</f>
        <v>4-2</v>
      </c>
    </row>
    <row r="2342" ht="15.75" customHeight="1">
      <c r="A2342" s="1" t="s">
        <v>219</v>
      </c>
      <c r="B2342" s="1" t="s">
        <v>34</v>
      </c>
      <c r="C2342" s="1" t="s">
        <v>11</v>
      </c>
      <c r="D2342" s="5">
        <v>45531.0</v>
      </c>
      <c r="G2342" s="1">
        <f>VLOOKUP(B2342,'old-aw-skill-plan'!A:I,7,FALSE)</f>
        <v>4</v>
      </c>
      <c r="H2342" s="1" t="str">
        <f>VLOOKUP(B2342,'old-aw-skill-plan'!A:I,9,FALSE)</f>
        <v>4-1</v>
      </c>
    </row>
    <row r="2343" ht="15.75" customHeight="1">
      <c r="A2343" s="1" t="s">
        <v>225</v>
      </c>
      <c r="B2343" s="1" t="s">
        <v>104</v>
      </c>
      <c r="C2343" s="1" t="s">
        <v>11</v>
      </c>
      <c r="D2343" s="5">
        <v>45531.0</v>
      </c>
      <c r="G2343" s="1">
        <f>VLOOKUP(B2343,'old-aw-skill-plan'!A:I,7,FALSE)</f>
        <v>5</v>
      </c>
      <c r="H2343" s="1" t="str">
        <f>VLOOKUP(B2343,'old-aw-skill-plan'!A:I,9,FALSE)</f>
        <v>5-2</v>
      </c>
    </row>
    <row r="2344" ht="15.75" customHeight="1">
      <c r="A2344" s="1" t="s">
        <v>212</v>
      </c>
      <c r="B2344" s="1" t="s">
        <v>10</v>
      </c>
      <c r="C2344" s="1" t="s">
        <v>11</v>
      </c>
      <c r="D2344" s="5">
        <v>45530.0</v>
      </c>
      <c r="G2344" s="1">
        <f>VLOOKUP(B2344,'old-aw-skill-plan'!A:I,7,FALSE)</f>
        <v>3</v>
      </c>
      <c r="H2344" s="1" t="str">
        <f>VLOOKUP(B2344,'old-aw-skill-plan'!A:I,9,FALSE)</f>
        <v>3-1</v>
      </c>
    </row>
    <row r="2345" ht="15.75" customHeight="1">
      <c r="A2345" s="1" t="s">
        <v>20</v>
      </c>
      <c r="B2345" s="1" t="s">
        <v>34</v>
      </c>
      <c r="C2345" s="1" t="s">
        <v>11</v>
      </c>
      <c r="D2345" s="5">
        <v>45530.0</v>
      </c>
      <c r="G2345" s="1">
        <f>VLOOKUP(B2345,'old-aw-skill-plan'!A:I,7,FALSE)</f>
        <v>4</v>
      </c>
      <c r="H2345" s="1" t="str">
        <f>VLOOKUP(B2345,'old-aw-skill-plan'!A:I,9,FALSE)</f>
        <v>4-1</v>
      </c>
    </row>
    <row r="2346" ht="15.75" customHeight="1">
      <c r="A2346" s="1" t="s">
        <v>45</v>
      </c>
      <c r="B2346" s="1" t="s">
        <v>44</v>
      </c>
      <c r="C2346" s="1" t="s">
        <v>11</v>
      </c>
      <c r="D2346" s="5">
        <v>45530.0</v>
      </c>
      <c r="G2346" s="1">
        <f>VLOOKUP(B2346,'old-aw-skill-plan'!A:I,7,FALSE)</f>
        <v>5</v>
      </c>
      <c r="H2346" s="1" t="str">
        <f>VLOOKUP(B2346,'old-aw-skill-plan'!A:I,9,FALSE)</f>
        <v>5-1</v>
      </c>
    </row>
    <row r="2347" ht="15.75" customHeight="1">
      <c r="A2347" s="1" t="s">
        <v>24</v>
      </c>
      <c r="B2347" s="1" t="s">
        <v>44</v>
      </c>
      <c r="C2347" s="1" t="s">
        <v>11</v>
      </c>
      <c r="D2347" s="5">
        <v>45530.0</v>
      </c>
      <c r="G2347" s="1">
        <f>VLOOKUP(B2347,'old-aw-skill-plan'!A:I,7,FALSE)</f>
        <v>5</v>
      </c>
      <c r="H2347" s="1" t="str">
        <f>VLOOKUP(B2347,'old-aw-skill-plan'!A:I,9,FALSE)</f>
        <v>5-1</v>
      </c>
    </row>
    <row r="2348" ht="15.75" customHeight="1">
      <c r="A2348" s="1" t="s">
        <v>70</v>
      </c>
      <c r="B2348" s="1" t="s">
        <v>44</v>
      </c>
      <c r="C2348" s="1" t="s">
        <v>11</v>
      </c>
      <c r="D2348" s="5">
        <v>45530.0</v>
      </c>
      <c r="G2348" s="1">
        <f>VLOOKUP(B2348,'old-aw-skill-plan'!A:I,7,FALSE)</f>
        <v>5</v>
      </c>
      <c r="H2348" s="1" t="str">
        <f>VLOOKUP(B2348,'old-aw-skill-plan'!A:I,9,FALSE)</f>
        <v>5-1</v>
      </c>
    </row>
    <row r="2349" ht="15.75" customHeight="1">
      <c r="A2349" s="1" t="s">
        <v>237</v>
      </c>
      <c r="B2349" s="1" t="s">
        <v>44</v>
      </c>
      <c r="C2349" s="1" t="s">
        <v>11</v>
      </c>
      <c r="D2349" s="5">
        <v>45530.0</v>
      </c>
      <c r="G2349" s="1">
        <f>VLOOKUP(B2349,'old-aw-skill-plan'!A:I,7,FALSE)</f>
        <v>5</v>
      </c>
      <c r="H2349" s="1" t="str">
        <f>VLOOKUP(B2349,'old-aw-skill-plan'!A:I,9,FALSE)</f>
        <v>5-1</v>
      </c>
    </row>
    <row r="2350" ht="15.75" customHeight="1">
      <c r="A2350" s="1" t="s">
        <v>185</v>
      </c>
      <c r="B2350" s="1" t="s">
        <v>104</v>
      </c>
      <c r="C2350" s="1" t="s">
        <v>11</v>
      </c>
      <c r="D2350" s="5">
        <v>45530.0</v>
      </c>
      <c r="G2350" s="1">
        <f>VLOOKUP(B2350,'old-aw-skill-plan'!A:I,7,FALSE)</f>
        <v>5</v>
      </c>
      <c r="H2350" s="1" t="str">
        <f>VLOOKUP(B2350,'old-aw-skill-plan'!A:I,9,FALSE)</f>
        <v>5-2</v>
      </c>
    </row>
    <row r="2351" ht="15.75" customHeight="1">
      <c r="A2351" s="1" t="s">
        <v>76</v>
      </c>
      <c r="B2351" s="1" t="s">
        <v>34</v>
      </c>
      <c r="C2351" s="1" t="s">
        <v>11</v>
      </c>
      <c r="D2351" s="5">
        <v>45530.0</v>
      </c>
      <c r="G2351" s="1">
        <f>VLOOKUP(B2351,'old-aw-skill-plan'!A:I,7,FALSE)</f>
        <v>4</v>
      </c>
      <c r="H2351" s="1" t="str">
        <f>VLOOKUP(B2351,'old-aw-skill-plan'!A:I,9,FALSE)</f>
        <v>4-1</v>
      </c>
    </row>
    <row r="2352" ht="15.75" customHeight="1">
      <c r="A2352" s="1" t="s">
        <v>196</v>
      </c>
      <c r="B2352" s="1" t="s">
        <v>10</v>
      </c>
      <c r="C2352" s="1" t="s">
        <v>11</v>
      </c>
      <c r="D2352" s="5">
        <v>45530.0</v>
      </c>
      <c r="G2352" s="1">
        <f>VLOOKUP(B2352,'old-aw-skill-plan'!A:I,7,FALSE)</f>
        <v>3</v>
      </c>
      <c r="H2352" s="1" t="str">
        <f>VLOOKUP(B2352,'old-aw-skill-plan'!A:I,9,FALSE)</f>
        <v>3-1</v>
      </c>
    </row>
    <row r="2353" ht="15.75" customHeight="1">
      <c r="A2353" s="1" t="s">
        <v>60</v>
      </c>
      <c r="B2353" s="1" t="s">
        <v>44</v>
      </c>
      <c r="C2353" s="1" t="s">
        <v>11</v>
      </c>
      <c r="D2353" s="5">
        <v>45530.0</v>
      </c>
      <c r="G2353" s="1">
        <f>VLOOKUP(B2353,'old-aw-skill-plan'!A:I,7,FALSE)</f>
        <v>5</v>
      </c>
      <c r="H2353" s="1" t="str">
        <f>VLOOKUP(B2353,'old-aw-skill-plan'!A:I,9,FALSE)</f>
        <v>5-1</v>
      </c>
    </row>
    <row r="2354" ht="15.75" customHeight="1">
      <c r="A2354" s="1" t="s">
        <v>63</v>
      </c>
      <c r="B2354" s="1" t="s">
        <v>44</v>
      </c>
      <c r="C2354" s="1" t="s">
        <v>11</v>
      </c>
      <c r="D2354" s="5">
        <v>45530.0</v>
      </c>
      <c r="G2354" s="1">
        <f>VLOOKUP(B2354,'old-aw-skill-plan'!A:I,7,FALSE)</f>
        <v>5</v>
      </c>
      <c r="H2354" s="1" t="str">
        <f>VLOOKUP(B2354,'old-aw-skill-plan'!A:I,9,FALSE)</f>
        <v>5-1</v>
      </c>
    </row>
    <row r="2355" ht="15.75" customHeight="1">
      <c r="A2355" s="1" t="s">
        <v>68</v>
      </c>
      <c r="B2355" s="1" t="s">
        <v>44</v>
      </c>
      <c r="C2355" s="1" t="s">
        <v>11</v>
      </c>
      <c r="D2355" s="5">
        <v>45530.0</v>
      </c>
      <c r="G2355" s="1">
        <f>VLOOKUP(B2355,'old-aw-skill-plan'!A:I,7,FALSE)</f>
        <v>5</v>
      </c>
      <c r="H2355" s="1" t="str">
        <f>VLOOKUP(B2355,'old-aw-skill-plan'!A:I,9,FALSE)</f>
        <v>5-1</v>
      </c>
    </row>
    <row r="2356" ht="15.75" customHeight="1">
      <c r="A2356" s="1" t="s">
        <v>372</v>
      </c>
      <c r="B2356" s="1" t="s">
        <v>44</v>
      </c>
      <c r="C2356" s="1" t="s">
        <v>11</v>
      </c>
      <c r="D2356" s="5">
        <v>45530.0</v>
      </c>
      <c r="G2356" s="1">
        <f>VLOOKUP(B2356,'old-aw-skill-plan'!A:I,7,FALSE)</f>
        <v>5</v>
      </c>
      <c r="H2356" s="1" t="str">
        <f>VLOOKUP(B2356,'old-aw-skill-plan'!A:I,9,FALSE)</f>
        <v>5-1</v>
      </c>
    </row>
    <row r="2357" ht="15.75" customHeight="1">
      <c r="A2357" s="1" t="s">
        <v>197</v>
      </c>
      <c r="B2357" s="1" t="s">
        <v>104</v>
      </c>
      <c r="C2357" s="1" t="s">
        <v>11</v>
      </c>
      <c r="D2357" s="5">
        <v>45530.0</v>
      </c>
      <c r="G2357" s="1">
        <f>VLOOKUP(B2357,'old-aw-skill-plan'!A:I,7,FALSE)</f>
        <v>5</v>
      </c>
      <c r="H2357" s="1" t="str">
        <f>VLOOKUP(B2357,'old-aw-skill-plan'!A:I,9,FALSE)</f>
        <v>5-2</v>
      </c>
    </row>
    <row r="2358" ht="15.75" customHeight="1">
      <c r="A2358" s="1" t="s">
        <v>198</v>
      </c>
      <c r="B2358" s="1" t="s">
        <v>34</v>
      </c>
      <c r="C2358" s="1" t="s">
        <v>11</v>
      </c>
      <c r="D2358" s="5">
        <v>45530.0</v>
      </c>
      <c r="G2358" s="1">
        <f>VLOOKUP(B2358,'old-aw-skill-plan'!A:I,7,FALSE)</f>
        <v>4</v>
      </c>
      <c r="H2358" s="1" t="str">
        <f>VLOOKUP(B2358,'old-aw-skill-plan'!A:I,9,FALSE)</f>
        <v>4-1</v>
      </c>
    </row>
    <row r="2359" ht="15.75" customHeight="1">
      <c r="A2359" s="1" t="s">
        <v>205</v>
      </c>
      <c r="B2359" s="1" t="s">
        <v>10</v>
      </c>
      <c r="C2359" s="1" t="s">
        <v>11</v>
      </c>
      <c r="D2359" s="5">
        <v>45530.0</v>
      </c>
      <c r="G2359" s="1">
        <f>VLOOKUP(B2359,'old-aw-skill-plan'!A:I,7,FALSE)</f>
        <v>3</v>
      </c>
      <c r="H2359" s="1" t="str">
        <f>VLOOKUP(B2359,'old-aw-skill-plan'!A:I,9,FALSE)</f>
        <v>3-1</v>
      </c>
    </row>
    <row r="2360" ht="15.75" customHeight="1">
      <c r="A2360" s="1" t="s">
        <v>75</v>
      </c>
      <c r="B2360" s="1" t="s">
        <v>30</v>
      </c>
      <c r="C2360" s="1" t="s">
        <v>11</v>
      </c>
      <c r="D2360" s="5">
        <v>45530.0</v>
      </c>
      <c r="G2360" s="1">
        <f>VLOOKUP(B2360,'old-aw-skill-plan'!A:I,7,FALSE)</f>
        <v>3</v>
      </c>
      <c r="H2360" s="1" t="str">
        <f>VLOOKUP(B2360,'old-aw-skill-plan'!A:I,9,FALSE)</f>
        <v>3-3</v>
      </c>
    </row>
    <row r="2361" ht="15.75" customHeight="1">
      <c r="A2361" s="1" t="s">
        <v>100</v>
      </c>
      <c r="B2361" s="1" t="s">
        <v>10</v>
      </c>
      <c r="C2361" s="1" t="s">
        <v>11</v>
      </c>
      <c r="D2361" s="5">
        <v>45530.0</v>
      </c>
      <c r="G2361" s="1">
        <f>VLOOKUP(B2361,'old-aw-skill-plan'!A:I,7,FALSE)</f>
        <v>3</v>
      </c>
      <c r="H2361" s="1" t="str">
        <f>VLOOKUP(B2361,'old-aw-skill-plan'!A:I,9,FALSE)</f>
        <v>3-1</v>
      </c>
    </row>
    <row r="2362" ht="15.75" customHeight="1">
      <c r="A2362" s="1" t="s">
        <v>100</v>
      </c>
      <c r="B2362" s="1" t="s">
        <v>87</v>
      </c>
      <c r="C2362" s="1" t="s">
        <v>11</v>
      </c>
      <c r="D2362" s="5">
        <v>45530.0</v>
      </c>
      <c r="G2362" s="1">
        <f>VLOOKUP(B2362,'old-aw-skill-plan'!A:I,7,FALSE)</f>
        <v>5</v>
      </c>
      <c r="H2362" s="1" t="str">
        <f>VLOOKUP(B2362,'old-aw-skill-plan'!A:I,9,FALSE)</f>
        <v>5-6</v>
      </c>
    </row>
    <row r="2363" ht="15.75" customHeight="1">
      <c r="A2363" s="1" t="s">
        <v>226</v>
      </c>
      <c r="B2363" s="1" t="s">
        <v>44</v>
      </c>
      <c r="C2363" s="1" t="s">
        <v>11</v>
      </c>
      <c r="D2363" s="5">
        <v>45530.0</v>
      </c>
      <c r="G2363" s="1">
        <f>VLOOKUP(B2363,'old-aw-skill-plan'!A:I,7,FALSE)</f>
        <v>5</v>
      </c>
      <c r="H2363" s="1" t="str">
        <f>VLOOKUP(B2363,'old-aw-skill-plan'!A:I,9,FALSE)</f>
        <v>5-1</v>
      </c>
    </row>
    <row r="2364" ht="15.75" customHeight="1">
      <c r="A2364" s="1" t="s">
        <v>326</v>
      </c>
      <c r="B2364" s="1" t="s">
        <v>104</v>
      </c>
      <c r="C2364" s="1" t="s">
        <v>11</v>
      </c>
      <c r="D2364" s="5">
        <v>45530.0</v>
      </c>
      <c r="G2364" s="1">
        <f>VLOOKUP(B2364,'old-aw-skill-plan'!A:I,7,FALSE)</f>
        <v>5</v>
      </c>
      <c r="H2364" s="1" t="str">
        <f>VLOOKUP(B2364,'old-aw-skill-plan'!A:I,9,FALSE)</f>
        <v>5-2</v>
      </c>
    </row>
    <row r="2365" ht="15.75" customHeight="1">
      <c r="A2365" s="1" t="s">
        <v>365</v>
      </c>
      <c r="B2365" s="1" t="s">
        <v>10</v>
      </c>
      <c r="C2365" s="1" t="s">
        <v>11</v>
      </c>
      <c r="D2365" s="5">
        <v>45530.0</v>
      </c>
      <c r="G2365" s="1">
        <f>VLOOKUP(B2365,'old-aw-skill-plan'!A:I,7,FALSE)</f>
        <v>3</v>
      </c>
      <c r="H2365" s="1" t="str">
        <f>VLOOKUP(B2365,'old-aw-skill-plan'!A:I,9,FALSE)</f>
        <v>3-1</v>
      </c>
    </row>
    <row r="2366" ht="15.75" customHeight="1">
      <c r="A2366" s="1" t="s">
        <v>365</v>
      </c>
      <c r="B2366" s="1" t="s">
        <v>313</v>
      </c>
      <c r="C2366" s="1" t="s">
        <v>11</v>
      </c>
      <c r="D2366" s="5">
        <v>45530.0</v>
      </c>
      <c r="G2366" s="1" t="str">
        <f>VLOOKUP(B2366,'old-aw-skill-plan'!A:I,7,FALSE)</f>
        <v>#N/A</v>
      </c>
      <c r="H2366" s="1" t="str">
        <f>VLOOKUP(B2366,'old-aw-skill-plan'!A:I,9,FALSE)</f>
        <v>#N/A</v>
      </c>
    </row>
    <row r="2367" ht="15.75" customHeight="1">
      <c r="A2367" s="1" t="s">
        <v>347</v>
      </c>
      <c r="B2367" s="1" t="s">
        <v>30</v>
      </c>
      <c r="C2367" s="1" t="s">
        <v>11</v>
      </c>
      <c r="D2367" s="5">
        <v>45530.0</v>
      </c>
      <c r="G2367" s="1">
        <f>VLOOKUP(B2367,'old-aw-skill-plan'!A:I,7,FALSE)</f>
        <v>3</v>
      </c>
      <c r="H2367" s="1" t="str">
        <f>VLOOKUP(B2367,'old-aw-skill-plan'!A:I,9,FALSE)</f>
        <v>3-3</v>
      </c>
    </row>
    <row r="2368" ht="15.75" customHeight="1">
      <c r="A2368" s="1" t="s">
        <v>347</v>
      </c>
      <c r="B2368" s="1" t="s">
        <v>405</v>
      </c>
      <c r="C2368" s="1" t="s">
        <v>11</v>
      </c>
      <c r="D2368" s="5">
        <v>45530.0</v>
      </c>
      <c r="G2368" s="1">
        <f>VLOOKUP(B2368,'old-aw-skill-plan'!A:I,7,FALSE)</f>
        <v>3</v>
      </c>
      <c r="H2368" s="1" t="str">
        <f>VLOOKUP(B2368,'old-aw-skill-plan'!A:I,9,FALSE)</f>
        <v>3-9</v>
      </c>
    </row>
    <row r="2369" ht="15.75" customHeight="1">
      <c r="A2369" s="1" t="s">
        <v>347</v>
      </c>
      <c r="B2369" s="1" t="s">
        <v>83</v>
      </c>
      <c r="C2369" s="1" t="s">
        <v>11</v>
      </c>
      <c r="D2369" s="5">
        <v>45530.0</v>
      </c>
      <c r="G2369" s="1">
        <f>VLOOKUP(B2369,'old-aw-skill-plan'!A:I,7,FALSE)</f>
        <v>5</v>
      </c>
      <c r="H2369" s="1" t="str">
        <f>VLOOKUP(B2369,'old-aw-skill-plan'!A:I,9,FALSE)</f>
        <v>5-9</v>
      </c>
    </row>
    <row r="2370" ht="15.75" customHeight="1">
      <c r="A2370" s="1" t="s">
        <v>347</v>
      </c>
      <c r="B2370" s="1" t="s">
        <v>85</v>
      </c>
      <c r="C2370" s="1" t="s">
        <v>11</v>
      </c>
      <c r="D2370" s="5">
        <v>45530.0</v>
      </c>
      <c r="G2370" s="1">
        <f>VLOOKUP(B2370,'old-aw-skill-plan'!A:I,7,FALSE)</f>
        <v>5</v>
      </c>
      <c r="H2370" s="1" t="str">
        <f>VLOOKUP(B2370,'old-aw-skill-plan'!A:I,9,FALSE)</f>
        <v>5-8</v>
      </c>
    </row>
    <row r="2371" ht="15.75" customHeight="1">
      <c r="A2371" s="1" t="s">
        <v>347</v>
      </c>
      <c r="B2371" s="1" t="s">
        <v>88</v>
      </c>
      <c r="C2371" s="1" t="s">
        <v>11</v>
      </c>
      <c r="D2371" s="5">
        <v>45530.0</v>
      </c>
      <c r="G2371" s="1">
        <f>VLOOKUP(B2371,'old-aw-skill-plan'!A:I,7,FALSE)</f>
        <v>5</v>
      </c>
      <c r="H2371" s="1" t="str">
        <f>VLOOKUP(B2371,'old-aw-skill-plan'!A:I,9,FALSE)</f>
        <v>5-5</v>
      </c>
    </row>
    <row r="2372" ht="15.75" customHeight="1">
      <c r="A2372" s="1" t="s">
        <v>219</v>
      </c>
      <c r="B2372" s="1" t="s">
        <v>10</v>
      </c>
      <c r="C2372" s="1" t="s">
        <v>11</v>
      </c>
      <c r="D2372" s="5">
        <v>45530.0</v>
      </c>
      <c r="G2372" s="1">
        <f>VLOOKUP(B2372,'old-aw-skill-plan'!A:I,7,FALSE)</f>
        <v>3</v>
      </c>
      <c r="H2372" s="1" t="str">
        <f>VLOOKUP(B2372,'old-aw-skill-plan'!A:I,9,FALSE)</f>
        <v>3-1</v>
      </c>
    </row>
    <row r="2373" ht="15.75" customHeight="1">
      <c r="A2373" s="1" t="s">
        <v>225</v>
      </c>
      <c r="B2373" s="1" t="s">
        <v>44</v>
      </c>
      <c r="C2373" s="1" t="s">
        <v>11</v>
      </c>
      <c r="D2373" s="5">
        <v>45530.0</v>
      </c>
      <c r="G2373" s="1">
        <f>VLOOKUP(B2373,'old-aw-skill-plan'!A:I,7,FALSE)</f>
        <v>5</v>
      </c>
      <c r="H2373" s="1" t="str">
        <f>VLOOKUP(B2373,'old-aw-skill-plan'!A:I,9,FALSE)</f>
        <v>5-1</v>
      </c>
    </row>
    <row r="2374" ht="15.75" customHeight="1">
      <c r="A2374" s="1" t="s">
        <v>22</v>
      </c>
      <c r="B2374" s="1" t="s">
        <v>44</v>
      </c>
      <c r="C2374" s="1" t="s">
        <v>11</v>
      </c>
      <c r="D2374" s="5">
        <v>45527.0</v>
      </c>
      <c r="G2374" s="1">
        <f>VLOOKUP(B2374,'old-aw-skill-plan'!A:I,7,FALSE)</f>
        <v>5</v>
      </c>
      <c r="H2374" s="1" t="str">
        <f>VLOOKUP(B2374,'old-aw-skill-plan'!A:I,9,FALSE)</f>
        <v>5-1</v>
      </c>
    </row>
    <row r="2375" ht="15.75" customHeight="1">
      <c r="A2375" s="1" t="s">
        <v>212</v>
      </c>
      <c r="B2375" s="1" t="s">
        <v>10</v>
      </c>
      <c r="C2375" s="1" t="s">
        <v>11</v>
      </c>
      <c r="D2375" s="5">
        <v>45527.0</v>
      </c>
      <c r="G2375" s="1">
        <f>VLOOKUP(B2375,'old-aw-skill-plan'!A:I,7,FALSE)</f>
        <v>3</v>
      </c>
      <c r="H2375" s="1" t="str">
        <f>VLOOKUP(B2375,'old-aw-skill-plan'!A:I,9,FALSE)</f>
        <v>3-1</v>
      </c>
    </row>
    <row r="2376" ht="15.75" customHeight="1">
      <c r="A2376" s="1" t="s">
        <v>20</v>
      </c>
      <c r="B2376" s="1" t="s">
        <v>34</v>
      </c>
      <c r="C2376" s="1" t="s">
        <v>11</v>
      </c>
      <c r="D2376" s="5">
        <v>45527.0</v>
      </c>
      <c r="G2376" s="1">
        <f>VLOOKUP(B2376,'old-aw-skill-plan'!A:I,7,FALSE)</f>
        <v>4</v>
      </c>
      <c r="H2376" s="1" t="str">
        <f>VLOOKUP(B2376,'old-aw-skill-plan'!A:I,9,FALSE)</f>
        <v>4-1</v>
      </c>
    </row>
    <row r="2377" ht="15.75" customHeight="1">
      <c r="A2377" s="1" t="s">
        <v>24</v>
      </c>
      <c r="B2377" s="1" t="s">
        <v>44</v>
      </c>
      <c r="C2377" s="1" t="s">
        <v>11</v>
      </c>
      <c r="D2377" s="5">
        <v>45527.0</v>
      </c>
      <c r="G2377" s="1">
        <f>VLOOKUP(B2377,'old-aw-skill-plan'!A:I,7,FALSE)</f>
        <v>5</v>
      </c>
      <c r="H2377" s="1" t="str">
        <f>VLOOKUP(B2377,'old-aw-skill-plan'!A:I,9,FALSE)</f>
        <v>5-1</v>
      </c>
    </row>
    <row r="2378" ht="15.75" customHeight="1">
      <c r="A2378" s="1" t="s">
        <v>210</v>
      </c>
      <c r="B2378" s="1" t="s">
        <v>34</v>
      </c>
      <c r="C2378" s="1" t="s">
        <v>11</v>
      </c>
      <c r="D2378" s="5">
        <v>45527.0</v>
      </c>
      <c r="G2378" s="1">
        <f>VLOOKUP(B2378,'old-aw-skill-plan'!A:I,7,FALSE)</f>
        <v>4</v>
      </c>
      <c r="H2378" s="1" t="str">
        <f>VLOOKUP(B2378,'old-aw-skill-plan'!A:I,9,FALSE)</f>
        <v>4-1</v>
      </c>
    </row>
    <row r="2379" ht="15.75" customHeight="1">
      <c r="A2379" s="1" t="s">
        <v>185</v>
      </c>
      <c r="B2379" s="1" t="s">
        <v>44</v>
      </c>
      <c r="C2379" s="1" t="s">
        <v>11</v>
      </c>
      <c r="D2379" s="5">
        <v>45527.0</v>
      </c>
      <c r="G2379" s="1">
        <f>VLOOKUP(B2379,'old-aw-skill-plan'!A:I,7,FALSE)</f>
        <v>5</v>
      </c>
      <c r="H2379" s="1" t="str">
        <f>VLOOKUP(B2379,'old-aw-skill-plan'!A:I,9,FALSE)</f>
        <v>5-1</v>
      </c>
    </row>
    <row r="2380" ht="15.75" customHeight="1">
      <c r="A2380" s="1" t="s">
        <v>185</v>
      </c>
      <c r="B2380" s="1" t="s">
        <v>104</v>
      </c>
      <c r="C2380" s="1" t="s">
        <v>11</v>
      </c>
      <c r="D2380" s="5">
        <v>45527.0</v>
      </c>
      <c r="G2380" s="1">
        <f>VLOOKUP(B2380,'old-aw-skill-plan'!A:I,7,FALSE)</f>
        <v>5</v>
      </c>
      <c r="H2380" s="1" t="str">
        <f>VLOOKUP(B2380,'old-aw-skill-plan'!A:I,9,FALSE)</f>
        <v>5-2</v>
      </c>
    </row>
    <row r="2381" ht="15.75" customHeight="1">
      <c r="A2381" s="1" t="s">
        <v>179</v>
      </c>
      <c r="B2381" s="1" t="s">
        <v>44</v>
      </c>
      <c r="C2381" s="1" t="s">
        <v>11</v>
      </c>
      <c r="D2381" s="5">
        <v>45527.0</v>
      </c>
      <c r="G2381" s="1">
        <f>VLOOKUP(B2381,'old-aw-skill-plan'!A:I,7,FALSE)</f>
        <v>5</v>
      </c>
      <c r="H2381" s="1" t="str">
        <f>VLOOKUP(B2381,'old-aw-skill-plan'!A:I,9,FALSE)</f>
        <v>5-1</v>
      </c>
    </row>
    <row r="2382" ht="15.75" customHeight="1">
      <c r="A2382" s="1" t="s">
        <v>89</v>
      </c>
      <c r="B2382" s="1" t="s">
        <v>10</v>
      </c>
      <c r="C2382" s="1" t="s">
        <v>11</v>
      </c>
      <c r="D2382" s="5">
        <v>45527.0</v>
      </c>
      <c r="G2382" s="1">
        <f>VLOOKUP(B2382,'old-aw-skill-plan'!A:I,7,FALSE)</f>
        <v>3</v>
      </c>
      <c r="H2382" s="1" t="str">
        <f>VLOOKUP(B2382,'old-aw-skill-plan'!A:I,9,FALSE)</f>
        <v>3-1</v>
      </c>
    </row>
    <row r="2383" ht="15.75" customHeight="1">
      <c r="A2383" s="1" t="s">
        <v>372</v>
      </c>
      <c r="B2383" s="1" t="s">
        <v>44</v>
      </c>
      <c r="C2383" s="1" t="s">
        <v>11</v>
      </c>
      <c r="D2383" s="5">
        <v>45527.0</v>
      </c>
      <c r="G2383" s="1">
        <f>VLOOKUP(B2383,'old-aw-skill-plan'!A:I,7,FALSE)</f>
        <v>5</v>
      </c>
      <c r="H2383" s="1" t="str">
        <f>VLOOKUP(B2383,'old-aw-skill-plan'!A:I,9,FALSE)</f>
        <v>5-1</v>
      </c>
    </row>
    <row r="2384" ht="15.75" customHeight="1">
      <c r="A2384" s="1" t="s">
        <v>197</v>
      </c>
      <c r="B2384" s="1" t="s">
        <v>104</v>
      </c>
      <c r="C2384" s="1" t="s">
        <v>11</v>
      </c>
      <c r="D2384" s="5">
        <v>45527.0</v>
      </c>
      <c r="G2384" s="1">
        <f>VLOOKUP(B2384,'old-aw-skill-plan'!A:I,7,FALSE)</f>
        <v>5</v>
      </c>
      <c r="H2384" s="1" t="str">
        <f>VLOOKUP(B2384,'old-aw-skill-plan'!A:I,9,FALSE)</f>
        <v>5-2</v>
      </c>
    </row>
    <row r="2385" ht="15.75" customHeight="1">
      <c r="A2385" s="1" t="s">
        <v>198</v>
      </c>
      <c r="B2385" s="1" t="s">
        <v>34</v>
      </c>
      <c r="C2385" s="1" t="s">
        <v>11</v>
      </c>
      <c r="D2385" s="5">
        <v>45527.0</v>
      </c>
      <c r="G2385" s="1">
        <f>VLOOKUP(B2385,'old-aw-skill-plan'!A:I,7,FALSE)</f>
        <v>4</v>
      </c>
      <c r="H2385" s="1" t="str">
        <f>VLOOKUP(B2385,'old-aw-skill-plan'!A:I,9,FALSE)</f>
        <v>4-1</v>
      </c>
    </row>
    <row r="2386" ht="15.75" customHeight="1">
      <c r="A2386" s="1" t="s">
        <v>100</v>
      </c>
      <c r="B2386" s="1" t="s">
        <v>88</v>
      </c>
      <c r="C2386" s="1" t="s">
        <v>11</v>
      </c>
      <c r="D2386" s="5">
        <v>45527.0</v>
      </c>
      <c r="G2386" s="1">
        <f>VLOOKUP(B2386,'old-aw-skill-plan'!A:I,7,FALSE)</f>
        <v>5</v>
      </c>
      <c r="H2386" s="1" t="str">
        <f>VLOOKUP(B2386,'old-aw-skill-plan'!A:I,9,FALSE)</f>
        <v>5-5</v>
      </c>
    </row>
    <row r="2387" ht="15.75" customHeight="1">
      <c r="A2387" s="1" t="s">
        <v>246</v>
      </c>
      <c r="B2387" s="1" t="s">
        <v>10</v>
      </c>
      <c r="C2387" s="1" t="s">
        <v>11</v>
      </c>
      <c r="D2387" s="5">
        <v>45527.0</v>
      </c>
      <c r="G2387" s="1">
        <f>VLOOKUP(B2387,'old-aw-skill-plan'!A:I,7,FALSE)</f>
        <v>3</v>
      </c>
      <c r="H2387" s="1" t="str">
        <f>VLOOKUP(B2387,'old-aw-skill-plan'!A:I,9,FALSE)</f>
        <v>3-1</v>
      </c>
    </row>
    <row r="2388" ht="15.75" customHeight="1">
      <c r="A2388" s="1" t="s">
        <v>212</v>
      </c>
      <c r="B2388" s="1" t="s">
        <v>10</v>
      </c>
      <c r="C2388" s="1" t="s">
        <v>11</v>
      </c>
      <c r="D2388" s="5">
        <v>45526.0</v>
      </c>
      <c r="G2388" s="1">
        <f>VLOOKUP(B2388,'old-aw-skill-plan'!A:I,7,FALSE)</f>
        <v>3</v>
      </c>
      <c r="H2388" s="1" t="str">
        <f>VLOOKUP(B2388,'old-aw-skill-plan'!A:I,9,FALSE)</f>
        <v>3-1</v>
      </c>
    </row>
    <row r="2389" ht="15.75" customHeight="1">
      <c r="A2389" s="1" t="s">
        <v>70</v>
      </c>
      <c r="B2389" s="1" t="s">
        <v>44</v>
      </c>
      <c r="C2389" s="1" t="s">
        <v>11</v>
      </c>
      <c r="D2389" s="5">
        <v>45526.0</v>
      </c>
      <c r="G2389" s="1">
        <f>VLOOKUP(B2389,'old-aw-skill-plan'!A:I,7,FALSE)</f>
        <v>5</v>
      </c>
      <c r="H2389" s="1" t="str">
        <f>VLOOKUP(B2389,'old-aw-skill-plan'!A:I,9,FALSE)</f>
        <v>5-1</v>
      </c>
    </row>
    <row r="2390" ht="15.75" customHeight="1">
      <c r="A2390" s="1" t="s">
        <v>210</v>
      </c>
      <c r="B2390" s="1" t="s">
        <v>34</v>
      </c>
      <c r="C2390" s="1" t="s">
        <v>11</v>
      </c>
      <c r="D2390" s="5">
        <v>45526.0</v>
      </c>
      <c r="G2390" s="1">
        <f>VLOOKUP(B2390,'old-aw-skill-plan'!A:I,7,FALSE)</f>
        <v>4</v>
      </c>
      <c r="H2390" s="1" t="str">
        <f>VLOOKUP(B2390,'old-aw-skill-plan'!A:I,9,FALSE)</f>
        <v>4-1</v>
      </c>
    </row>
    <row r="2391" ht="15.75" customHeight="1">
      <c r="A2391" s="1" t="s">
        <v>185</v>
      </c>
      <c r="B2391" s="1" t="s">
        <v>44</v>
      </c>
      <c r="C2391" s="1" t="s">
        <v>11</v>
      </c>
      <c r="D2391" s="5">
        <v>45526.0</v>
      </c>
      <c r="G2391" s="1">
        <f>VLOOKUP(B2391,'old-aw-skill-plan'!A:I,7,FALSE)</f>
        <v>5</v>
      </c>
      <c r="H2391" s="1" t="str">
        <f>VLOOKUP(B2391,'old-aw-skill-plan'!A:I,9,FALSE)</f>
        <v>5-1</v>
      </c>
    </row>
    <row r="2392" ht="15.75" customHeight="1">
      <c r="A2392" s="1" t="s">
        <v>179</v>
      </c>
      <c r="B2392" s="1" t="s">
        <v>44</v>
      </c>
      <c r="C2392" s="1" t="s">
        <v>11</v>
      </c>
      <c r="D2392" s="5">
        <v>45526.0</v>
      </c>
      <c r="G2392" s="1">
        <f>VLOOKUP(B2392,'old-aw-skill-plan'!A:I,7,FALSE)</f>
        <v>5</v>
      </c>
      <c r="H2392" s="1" t="str">
        <f>VLOOKUP(B2392,'old-aw-skill-plan'!A:I,9,FALSE)</f>
        <v>5-1</v>
      </c>
    </row>
    <row r="2393" ht="15.75" customHeight="1">
      <c r="A2393" s="1" t="s">
        <v>68</v>
      </c>
      <c r="B2393" s="1" t="s">
        <v>44</v>
      </c>
      <c r="C2393" s="1" t="s">
        <v>11</v>
      </c>
      <c r="D2393" s="5">
        <v>45526.0</v>
      </c>
      <c r="G2393" s="1">
        <f>VLOOKUP(B2393,'old-aw-skill-plan'!A:I,7,FALSE)</f>
        <v>5</v>
      </c>
      <c r="H2393" s="1" t="str">
        <f>VLOOKUP(B2393,'old-aw-skill-plan'!A:I,9,FALSE)</f>
        <v>5-1</v>
      </c>
    </row>
    <row r="2394" ht="15.75" customHeight="1">
      <c r="A2394" s="1" t="s">
        <v>372</v>
      </c>
      <c r="B2394" s="1" t="s">
        <v>44</v>
      </c>
      <c r="C2394" s="1" t="s">
        <v>11</v>
      </c>
      <c r="D2394" s="5">
        <v>45526.0</v>
      </c>
      <c r="G2394" s="1">
        <f>VLOOKUP(B2394,'old-aw-skill-plan'!A:I,7,FALSE)</f>
        <v>5</v>
      </c>
      <c r="H2394" s="1" t="str">
        <f>VLOOKUP(B2394,'old-aw-skill-plan'!A:I,9,FALSE)</f>
        <v>5-1</v>
      </c>
    </row>
    <row r="2395" ht="15.75" customHeight="1">
      <c r="A2395" s="1" t="s">
        <v>197</v>
      </c>
      <c r="B2395" s="1" t="s">
        <v>104</v>
      </c>
      <c r="C2395" s="1" t="s">
        <v>11</v>
      </c>
      <c r="D2395" s="5">
        <v>45526.0</v>
      </c>
      <c r="G2395" s="1">
        <f>VLOOKUP(B2395,'old-aw-skill-plan'!A:I,7,FALSE)</f>
        <v>5</v>
      </c>
      <c r="H2395" s="1" t="str">
        <f>VLOOKUP(B2395,'old-aw-skill-plan'!A:I,9,FALSE)</f>
        <v>5-2</v>
      </c>
    </row>
    <row r="2396" ht="15.75" customHeight="1">
      <c r="A2396" s="1" t="s">
        <v>326</v>
      </c>
      <c r="B2396" s="1" t="s">
        <v>104</v>
      </c>
      <c r="C2396" s="1" t="s">
        <v>11</v>
      </c>
      <c r="D2396" s="5">
        <v>45526.0</v>
      </c>
      <c r="G2396" s="1">
        <f>VLOOKUP(B2396,'old-aw-skill-plan'!A:I,7,FALSE)</f>
        <v>5</v>
      </c>
      <c r="H2396" s="1" t="str">
        <f>VLOOKUP(B2396,'old-aw-skill-plan'!A:I,9,FALSE)</f>
        <v>5-2</v>
      </c>
    </row>
    <row r="2397" ht="15.75" customHeight="1">
      <c r="A2397" s="1" t="s">
        <v>22</v>
      </c>
      <c r="B2397" s="1" t="s">
        <v>44</v>
      </c>
      <c r="C2397" s="1" t="s">
        <v>11</v>
      </c>
      <c r="D2397" s="5">
        <v>45525.0</v>
      </c>
      <c r="G2397" s="1">
        <f>VLOOKUP(B2397,'old-aw-skill-plan'!A:I,7,FALSE)</f>
        <v>5</v>
      </c>
      <c r="H2397" s="1" t="str">
        <f>VLOOKUP(B2397,'old-aw-skill-plan'!A:I,9,FALSE)</f>
        <v>5-1</v>
      </c>
    </row>
    <row r="2398" ht="15.75" customHeight="1">
      <c r="A2398" s="1" t="s">
        <v>249</v>
      </c>
      <c r="B2398" s="1" t="s">
        <v>10</v>
      </c>
      <c r="C2398" s="1" t="s">
        <v>11</v>
      </c>
      <c r="D2398" s="5">
        <v>45525.0</v>
      </c>
      <c r="G2398" s="1">
        <f>VLOOKUP(B2398,'old-aw-skill-plan'!A:I,7,FALSE)</f>
        <v>3</v>
      </c>
      <c r="H2398" s="1" t="str">
        <f>VLOOKUP(B2398,'old-aw-skill-plan'!A:I,9,FALSE)</f>
        <v>3-1</v>
      </c>
    </row>
    <row r="2399" ht="15.75" customHeight="1">
      <c r="A2399" s="1" t="s">
        <v>199</v>
      </c>
      <c r="B2399" s="1" t="s">
        <v>34</v>
      </c>
      <c r="C2399" s="1" t="s">
        <v>11</v>
      </c>
      <c r="D2399" s="5">
        <v>45525.0</v>
      </c>
      <c r="G2399" s="1">
        <f>VLOOKUP(B2399,'old-aw-skill-plan'!A:I,7,FALSE)</f>
        <v>4</v>
      </c>
      <c r="H2399" s="1" t="str">
        <f>VLOOKUP(B2399,'old-aw-skill-plan'!A:I,9,FALSE)</f>
        <v>4-1</v>
      </c>
    </row>
    <row r="2400" ht="15.75" customHeight="1">
      <c r="A2400" s="1" t="s">
        <v>239</v>
      </c>
      <c r="B2400" s="1" t="s">
        <v>87</v>
      </c>
      <c r="C2400" s="1" t="s">
        <v>11</v>
      </c>
      <c r="D2400" s="5">
        <v>45525.0</v>
      </c>
      <c r="G2400" s="1">
        <f>VLOOKUP(B2400,'old-aw-skill-plan'!A:I,7,FALSE)</f>
        <v>5</v>
      </c>
      <c r="H2400" s="1" t="str">
        <f>VLOOKUP(B2400,'old-aw-skill-plan'!A:I,9,FALSE)</f>
        <v>5-6</v>
      </c>
    </row>
    <row r="2401" ht="15.75" customHeight="1">
      <c r="A2401" s="1" t="s">
        <v>239</v>
      </c>
      <c r="B2401" s="1" t="s">
        <v>88</v>
      </c>
      <c r="C2401" s="1" t="s">
        <v>11</v>
      </c>
      <c r="D2401" s="5">
        <v>45525.0</v>
      </c>
      <c r="G2401" s="1">
        <f>VLOOKUP(B2401,'old-aw-skill-plan'!A:I,7,FALSE)</f>
        <v>5</v>
      </c>
      <c r="H2401" s="1" t="str">
        <f>VLOOKUP(B2401,'old-aw-skill-plan'!A:I,9,FALSE)</f>
        <v>5-5</v>
      </c>
    </row>
    <row r="2402" ht="15.75" customHeight="1">
      <c r="A2402" s="1" t="s">
        <v>210</v>
      </c>
      <c r="B2402" s="1" t="s">
        <v>34</v>
      </c>
      <c r="C2402" s="1" t="s">
        <v>11</v>
      </c>
      <c r="D2402" s="5">
        <v>45525.0</v>
      </c>
      <c r="G2402" s="1">
        <f>VLOOKUP(B2402,'old-aw-skill-plan'!A:I,7,FALSE)</f>
        <v>4</v>
      </c>
      <c r="H2402" s="1" t="str">
        <f>VLOOKUP(B2402,'old-aw-skill-plan'!A:I,9,FALSE)</f>
        <v>4-1</v>
      </c>
    </row>
    <row r="2403" ht="15.75" customHeight="1">
      <c r="A2403" s="1" t="s">
        <v>185</v>
      </c>
      <c r="B2403" s="1" t="s">
        <v>44</v>
      </c>
      <c r="C2403" s="1" t="s">
        <v>11</v>
      </c>
      <c r="D2403" s="5">
        <v>45525.0</v>
      </c>
      <c r="G2403" s="1">
        <f>VLOOKUP(B2403,'old-aw-skill-plan'!A:I,7,FALSE)</f>
        <v>5</v>
      </c>
      <c r="H2403" s="1" t="str">
        <f>VLOOKUP(B2403,'old-aw-skill-plan'!A:I,9,FALSE)</f>
        <v>5-1</v>
      </c>
    </row>
    <row r="2404" ht="15.75" customHeight="1">
      <c r="A2404" s="1" t="s">
        <v>196</v>
      </c>
      <c r="B2404" s="1" t="s">
        <v>10</v>
      </c>
      <c r="C2404" s="1" t="s">
        <v>11</v>
      </c>
      <c r="D2404" s="5">
        <v>45525.0</v>
      </c>
      <c r="G2404" s="1">
        <f>VLOOKUP(B2404,'old-aw-skill-plan'!A:I,7,FALSE)</f>
        <v>3</v>
      </c>
      <c r="H2404" s="1" t="str">
        <f>VLOOKUP(B2404,'old-aw-skill-plan'!A:I,9,FALSE)</f>
        <v>3-1</v>
      </c>
    </row>
    <row r="2405" ht="15.75" customHeight="1">
      <c r="A2405" s="1" t="s">
        <v>230</v>
      </c>
      <c r="B2405" s="1" t="s">
        <v>33</v>
      </c>
      <c r="C2405" s="1" t="s">
        <v>11</v>
      </c>
      <c r="D2405" s="5">
        <v>45525.0</v>
      </c>
      <c r="G2405" s="1">
        <f>VLOOKUP(B2405,'old-aw-skill-plan'!A:I,7,FALSE)</f>
        <v>3</v>
      </c>
      <c r="H2405" s="1" t="str">
        <f>VLOOKUP(B2405,'old-aw-skill-plan'!A:I,9,FALSE)</f>
        <v>3-5</v>
      </c>
    </row>
    <row r="2406" ht="15.75" customHeight="1">
      <c r="A2406" s="1" t="s">
        <v>230</v>
      </c>
      <c r="B2406" s="1" t="s">
        <v>354</v>
      </c>
      <c r="C2406" s="1" t="s">
        <v>11</v>
      </c>
      <c r="D2406" s="5">
        <v>45525.0</v>
      </c>
      <c r="G2406" s="1">
        <f>VLOOKUP(B2406,'old-aw-skill-plan'!A:I,7,FALSE)</f>
        <v>3</v>
      </c>
      <c r="H2406" s="1" t="str">
        <f>VLOOKUP(B2406,'old-aw-skill-plan'!A:I,9,FALSE)</f>
        <v>3-7</v>
      </c>
    </row>
    <row r="2407" ht="15.75" customHeight="1">
      <c r="A2407" s="1" t="s">
        <v>63</v>
      </c>
      <c r="B2407" s="1" t="s">
        <v>10</v>
      </c>
      <c r="C2407" s="1" t="s">
        <v>11</v>
      </c>
      <c r="D2407" s="5">
        <v>45525.0</v>
      </c>
      <c r="G2407" s="1">
        <f>VLOOKUP(B2407,'old-aw-skill-plan'!A:I,7,FALSE)</f>
        <v>3</v>
      </c>
      <c r="H2407" s="1" t="str">
        <f>VLOOKUP(B2407,'old-aw-skill-plan'!A:I,9,FALSE)</f>
        <v>3-1</v>
      </c>
    </row>
    <row r="2408" ht="15.75" customHeight="1">
      <c r="A2408" s="1" t="s">
        <v>63</v>
      </c>
      <c r="B2408" s="1" t="s">
        <v>44</v>
      </c>
      <c r="C2408" s="1" t="s">
        <v>11</v>
      </c>
      <c r="D2408" s="5">
        <v>45525.0</v>
      </c>
      <c r="G2408" s="1">
        <f>VLOOKUP(B2408,'old-aw-skill-plan'!A:I,7,FALSE)</f>
        <v>5</v>
      </c>
      <c r="H2408" s="1" t="str">
        <f>VLOOKUP(B2408,'old-aw-skill-plan'!A:I,9,FALSE)</f>
        <v>5-1</v>
      </c>
    </row>
    <row r="2409" ht="15.75" customHeight="1">
      <c r="A2409" s="1" t="s">
        <v>65</v>
      </c>
      <c r="B2409" s="1" t="s">
        <v>34</v>
      </c>
      <c r="C2409" s="1" t="s">
        <v>11</v>
      </c>
      <c r="D2409" s="5">
        <v>45525.0</v>
      </c>
      <c r="G2409" s="1">
        <f>VLOOKUP(B2409,'old-aw-skill-plan'!A:I,7,FALSE)</f>
        <v>4</v>
      </c>
      <c r="H2409" s="1" t="str">
        <f>VLOOKUP(B2409,'old-aw-skill-plan'!A:I,9,FALSE)</f>
        <v>4-1</v>
      </c>
    </row>
    <row r="2410" ht="15.75" customHeight="1">
      <c r="A2410" s="1" t="s">
        <v>68</v>
      </c>
      <c r="B2410" s="1" t="s">
        <v>10</v>
      </c>
      <c r="C2410" s="1" t="s">
        <v>11</v>
      </c>
      <c r="D2410" s="5">
        <v>45525.0</v>
      </c>
      <c r="G2410" s="1">
        <f>VLOOKUP(B2410,'old-aw-skill-plan'!A:I,7,FALSE)</f>
        <v>3</v>
      </c>
      <c r="H2410" s="1" t="str">
        <f>VLOOKUP(B2410,'old-aw-skill-plan'!A:I,9,FALSE)</f>
        <v>3-1</v>
      </c>
    </row>
    <row r="2411" ht="15.75" customHeight="1">
      <c r="A2411" s="1" t="s">
        <v>95</v>
      </c>
      <c r="B2411" s="1" t="s">
        <v>28</v>
      </c>
      <c r="C2411" s="1" t="s">
        <v>11</v>
      </c>
      <c r="D2411" s="5">
        <v>45525.0</v>
      </c>
      <c r="G2411" s="1">
        <f>VLOOKUP(B2411,'old-aw-skill-plan'!A:I,7,FALSE)</f>
        <v>3</v>
      </c>
      <c r="H2411" s="1" t="str">
        <f>VLOOKUP(B2411,'old-aw-skill-plan'!A:I,9,FALSE)</f>
        <v>3-4</v>
      </c>
    </row>
    <row r="2412" ht="15.75" customHeight="1">
      <c r="A2412" s="1" t="s">
        <v>372</v>
      </c>
      <c r="B2412" s="1" t="s">
        <v>44</v>
      </c>
      <c r="C2412" s="1" t="s">
        <v>11</v>
      </c>
      <c r="D2412" s="5">
        <v>45525.0</v>
      </c>
      <c r="G2412" s="1">
        <f>VLOOKUP(B2412,'old-aw-skill-plan'!A:I,7,FALSE)</f>
        <v>5</v>
      </c>
      <c r="H2412" s="1" t="str">
        <f>VLOOKUP(B2412,'old-aw-skill-plan'!A:I,9,FALSE)</f>
        <v>5-1</v>
      </c>
    </row>
    <row r="2413" ht="15.75" customHeight="1">
      <c r="A2413" s="1" t="s">
        <v>74</v>
      </c>
      <c r="B2413" s="1" t="s">
        <v>103</v>
      </c>
      <c r="C2413" s="1" t="s">
        <v>11</v>
      </c>
      <c r="D2413" s="5">
        <v>45525.0</v>
      </c>
      <c r="G2413" s="1">
        <f>VLOOKUP(B2413,'old-aw-skill-plan'!A:I,7,FALSE)</f>
        <v>5</v>
      </c>
      <c r="H2413" s="1" t="str">
        <f>VLOOKUP(B2413,'old-aw-skill-plan'!A:I,9,FALSE)</f>
        <v>5-3</v>
      </c>
    </row>
    <row r="2414" ht="15.75" customHeight="1">
      <c r="A2414" s="1" t="s">
        <v>75</v>
      </c>
      <c r="B2414" s="1" t="s">
        <v>47</v>
      </c>
      <c r="C2414" s="1" t="s">
        <v>11</v>
      </c>
      <c r="D2414" s="5">
        <v>45525.0</v>
      </c>
      <c r="G2414" s="1">
        <f>VLOOKUP(B2414,'old-aw-skill-plan'!A:I,7,FALSE)</f>
        <v>3</v>
      </c>
      <c r="H2414" s="1" t="str">
        <f>VLOOKUP(B2414,'old-aw-skill-plan'!A:I,9,FALSE)</f>
        <v>3-2</v>
      </c>
    </row>
    <row r="2415" ht="15.75" customHeight="1">
      <c r="A2415" s="1" t="s">
        <v>100</v>
      </c>
      <c r="B2415" s="1" t="s">
        <v>25</v>
      </c>
      <c r="C2415" s="1" t="s">
        <v>11</v>
      </c>
      <c r="D2415" s="5">
        <v>45525.0</v>
      </c>
      <c r="G2415" s="1">
        <f>VLOOKUP(B2415,'old-aw-skill-plan'!A:I,7,FALSE)</f>
        <v>5</v>
      </c>
      <c r="H2415" s="1" t="str">
        <f>VLOOKUP(B2415,'old-aw-skill-plan'!A:I,9,FALSE)</f>
        <v>5-4</v>
      </c>
    </row>
    <row r="2416" ht="15.75" customHeight="1">
      <c r="A2416" s="1" t="s">
        <v>100</v>
      </c>
      <c r="B2416" s="1" t="s">
        <v>88</v>
      </c>
      <c r="C2416" s="1" t="s">
        <v>11</v>
      </c>
      <c r="D2416" s="5">
        <v>45525.0</v>
      </c>
      <c r="G2416" s="1">
        <f>VLOOKUP(B2416,'old-aw-skill-plan'!A:I,7,FALSE)</f>
        <v>5</v>
      </c>
      <c r="H2416" s="1" t="str">
        <f>VLOOKUP(B2416,'old-aw-skill-plan'!A:I,9,FALSE)</f>
        <v>5-5</v>
      </c>
    </row>
    <row r="2417" ht="15.75" customHeight="1">
      <c r="A2417" s="1" t="s">
        <v>326</v>
      </c>
      <c r="B2417" s="1" t="s">
        <v>44</v>
      </c>
      <c r="C2417" s="1" t="s">
        <v>11</v>
      </c>
      <c r="D2417" s="5">
        <v>45525.0</v>
      </c>
      <c r="G2417" s="1">
        <f>VLOOKUP(B2417,'old-aw-skill-plan'!A:I,7,FALSE)</f>
        <v>5</v>
      </c>
      <c r="H2417" s="1" t="str">
        <f>VLOOKUP(B2417,'old-aw-skill-plan'!A:I,9,FALSE)</f>
        <v>5-1</v>
      </c>
    </row>
    <row r="2418" ht="15.75" customHeight="1">
      <c r="A2418" s="1" t="s">
        <v>219</v>
      </c>
      <c r="B2418" s="1" t="s">
        <v>10</v>
      </c>
      <c r="C2418" s="1" t="s">
        <v>11</v>
      </c>
      <c r="D2418" s="5">
        <v>45525.0</v>
      </c>
      <c r="G2418" s="1">
        <f>VLOOKUP(B2418,'old-aw-skill-plan'!A:I,7,FALSE)</f>
        <v>3</v>
      </c>
      <c r="H2418" s="1" t="str">
        <f>VLOOKUP(B2418,'old-aw-skill-plan'!A:I,9,FALSE)</f>
        <v>3-1</v>
      </c>
    </row>
    <row r="2419" ht="15.75" customHeight="1">
      <c r="A2419" s="1" t="s">
        <v>225</v>
      </c>
      <c r="B2419" s="1" t="s">
        <v>44</v>
      </c>
      <c r="C2419" s="1" t="s">
        <v>11</v>
      </c>
      <c r="D2419" s="5">
        <v>45525.0</v>
      </c>
      <c r="G2419" s="1">
        <f>VLOOKUP(B2419,'old-aw-skill-plan'!A:I,7,FALSE)</f>
        <v>5</v>
      </c>
      <c r="H2419" s="1" t="str">
        <f>VLOOKUP(B2419,'old-aw-skill-plan'!A:I,9,FALSE)</f>
        <v>5-1</v>
      </c>
    </row>
    <row r="2420" ht="15.75" customHeight="1">
      <c r="A2420" s="1" t="s">
        <v>45</v>
      </c>
      <c r="B2420" s="1" t="s">
        <v>44</v>
      </c>
      <c r="C2420" s="1" t="s">
        <v>11</v>
      </c>
      <c r="D2420" s="5">
        <v>45524.0</v>
      </c>
      <c r="G2420" s="1">
        <f>VLOOKUP(B2420,'old-aw-skill-plan'!A:I,7,FALSE)</f>
        <v>5</v>
      </c>
      <c r="H2420" s="1" t="str">
        <f>VLOOKUP(B2420,'old-aw-skill-plan'!A:I,9,FALSE)</f>
        <v>5-1</v>
      </c>
    </row>
    <row r="2421" ht="15.75" customHeight="1">
      <c r="A2421" s="1" t="s">
        <v>24</v>
      </c>
      <c r="B2421" s="1" t="s">
        <v>44</v>
      </c>
      <c r="C2421" s="1" t="s">
        <v>11</v>
      </c>
      <c r="D2421" s="5">
        <v>45524.0</v>
      </c>
      <c r="G2421" s="1">
        <f>VLOOKUP(B2421,'old-aw-skill-plan'!A:I,7,FALSE)</f>
        <v>5</v>
      </c>
      <c r="H2421" s="1" t="str">
        <f>VLOOKUP(B2421,'old-aw-skill-plan'!A:I,9,FALSE)</f>
        <v>5-1</v>
      </c>
    </row>
    <row r="2422" ht="15.75" customHeight="1">
      <c r="A2422" s="1" t="s">
        <v>52</v>
      </c>
      <c r="B2422" s="1" t="s">
        <v>10</v>
      </c>
      <c r="C2422" s="1" t="s">
        <v>11</v>
      </c>
      <c r="D2422" s="5">
        <v>45524.0</v>
      </c>
      <c r="G2422" s="1">
        <f>VLOOKUP(B2422,'old-aw-skill-plan'!A:I,7,FALSE)</f>
        <v>3</v>
      </c>
      <c r="H2422" s="1" t="str">
        <f>VLOOKUP(B2422,'old-aw-skill-plan'!A:I,9,FALSE)</f>
        <v>3-1</v>
      </c>
    </row>
    <row r="2423" ht="15.75" customHeight="1">
      <c r="A2423" s="1" t="s">
        <v>39</v>
      </c>
      <c r="B2423" s="1" t="s">
        <v>44</v>
      </c>
      <c r="C2423" s="1" t="s">
        <v>11</v>
      </c>
      <c r="D2423" s="5">
        <v>45524.0</v>
      </c>
      <c r="G2423" s="1">
        <f>VLOOKUP(B2423,'old-aw-skill-plan'!A:I,7,FALSE)</f>
        <v>5</v>
      </c>
      <c r="H2423" s="1" t="str">
        <f>VLOOKUP(B2423,'old-aw-skill-plan'!A:I,9,FALSE)</f>
        <v>5-1</v>
      </c>
    </row>
    <row r="2424" ht="15.75" customHeight="1">
      <c r="A2424" s="1" t="s">
        <v>243</v>
      </c>
      <c r="B2424" s="1" t="s">
        <v>44</v>
      </c>
      <c r="C2424" s="1" t="s">
        <v>11</v>
      </c>
      <c r="D2424" s="5">
        <v>45524.0</v>
      </c>
      <c r="G2424" s="1">
        <f>VLOOKUP(B2424,'old-aw-skill-plan'!A:I,7,FALSE)</f>
        <v>5</v>
      </c>
      <c r="H2424" s="1" t="str">
        <f>VLOOKUP(B2424,'old-aw-skill-plan'!A:I,9,FALSE)</f>
        <v>5-1</v>
      </c>
    </row>
    <row r="2425" ht="15.75" customHeight="1">
      <c r="A2425" s="1" t="s">
        <v>81</v>
      </c>
      <c r="B2425" s="1" t="s">
        <v>308</v>
      </c>
      <c r="C2425" s="1" t="s">
        <v>11</v>
      </c>
      <c r="D2425" s="5">
        <v>45524.0</v>
      </c>
      <c r="G2425" s="1">
        <f>VLOOKUP(B2425,'old-aw-skill-plan'!A:I,7,FALSE)</f>
        <v>4</v>
      </c>
      <c r="H2425" s="1" t="str">
        <f>VLOOKUP(B2425,'old-aw-skill-plan'!A:I,9,FALSE)</f>
        <v>4-9</v>
      </c>
    </row>
    <row r="2426" ht="15.75" customHeight="1">
      <c r="A2426" s="1" t="s">
        <v>81</v>
      </c>
      <c r="B2426" s="1" t="s">
        <v>402</v>
      </c>
      <c r="C2426" s="1" t="s">
        <v>11</v>
      </c>
      <c r="D2426" s="5">
        <v>45524.0</v>
      </c>
      <c r="G2426" s="1">
        <f>VLOOKUP(B2426,'old-aw-skill-plan'!A:I,7,FALSE)</f>
        <v>4</v>
      </c>
      <c r="H2426" s="1" t="str">
        <f>VLOOKUP(B2426,'old-aw-skill-plan'!A:I,9,FALSE)</f>
        <v>4-2</v>
      </c>
    </row>
    <row r="2427" ht="15.75" customHeight="1">
      <c r="A2427" s="1" t="s">
        <v>230</v>
      </c>
      <c r="B2427" s="1" t="s">
        <v>33</v>
      </c>
      <c r="C2427" s="1" t="s">
        <v>11</v>
      </c>
      <c r="D2427" s="5">
        <v>45524.0</v>
      </c>
      <c r="G2427" s="1">
        <f>VLOOKUP(B2427,'old-aw-skill-plan'!A:I,7,FALSE)</f>
        <v>3</v>
      </c>
      <c r="H2427" s="1" t="str">
        <f>VLOOKUP(B2427,'old-aw-skill-plan'!A:I,9,FALSE)</f>
        <v>3-5</v>
      </c>
    </row>
    <row r="2428" ht="15.75" customHeight="1">
      <c r="A2428" s="1" t="s">
        <v>179</v>
      </c>
      <c r="B2428" s="1" t="s">
        <v>44</v>
      </c>
      <c r="C2428" s="1" t="s">
        <v>11</v>
      </c>
      <c r="D2428" s="5">
        <v>45524.0</v>
      </c>
      <c r="G2428" s="1">
        <f>VLOOKUP(B2428,'old-aw-skill-plan'!A:I,7,FALSE)</f>
        <v>5</v>
      </c>
      <c r="H2428" s="1" t="str">
        <f>VLOOKUP(B2428,'old-aw-skill-plan'!A:I,9,FALSE)</f>
        <v>5-1</v>
      </c>
    </row>
    <row r="2429" ht="15.75" customHeight="1">
      <c r="A2429" s="1" t="s">
        <v>60</v>
      </c>
      <c r="B2429" s="1" t="s">
        <v>44</v>
      </c>
      <c r="C2429" s="1" t="s">
        <v>11</v>
      </c>
      <c r="D2429" s="5">
        <v>45524.0</v>
      </c>
      <c r="G2429" s="1">
        <f>VLOOKUP(B2429,'old-aw-skill-plan'!A:I,7,FALSE)</f>
        <v>5</v>
      </c>
      <c r="H2429" s="1" t="str">
        <f>VLOOKUP(B2429,'old-aw-skill-plan'!A:I,9,FALSE)</f>
        <v>5-1</v>
      </c>
    </row>
    <row r="2430" ht="15.75" customHeight="1">
      <c r="A2430" s="1" t="s">
        <v>65</v>
      </c>
      <c r="B2430" s="1" t="s">
        <v>34</v>
      </c>
      <c r="C2430" s="1" t="s">
        <v>11</v>
      </c>
      <c r="D2430" s="5">
        <v>45524.0</v>
      </c>
      <c r="G2430" s="1">
        <f>VLOOKUP(B2430,'old-aw-skill-plan'!A:I,7,FALSE)</f>
        <v>4</v>
      </c>
      <c r="H2430" s="1" t="str">
        <f>VLOOKUP(B2430,'old-aw-skill-plan'!A:I,9,FALSE)</f>
        <v>4-1</v>
      </c>
    </row>
    <row r="2431" ht="15.75" customHeight="1">
      <c r="A2431" s="1" t="s">
        <v>197</v>
      </c>
      <c r="B2431" s="1" t="s">
        <v>44</v>
      </c>
      <c r="C2431" s="1" t="s">
        <v>11</v>
      </c>
      <c r="D2431" s="5">
        <v>45524.0</v>
      </c>
      <c r="G2431" s="1">
        <f>VLOOKUP(B2431,'old-aw-skill-plan'!A:I,7,FALSE)</f>
        <v>5</v>
      </c>
      <c r="H2431" s="1" t="str">
        <f>VLOOKUP(B2431,'old-aw-skill-plan'!A:I,9,FALSE)</f>
        <v>5-1</v>
      </c>
    </row>
    <row r="2432" ht="15.75" customHeight="1">
      <c r="A2432" s="1" t="s">
        <v>77</v>
      </c>
      <c r="B2432" s="1" t="s">
        <v>34</v>
      </c>
      <c r="C2432" s="1" t="s">
        <v>11</v>
      </c>
      <c r="D2432" s="5">
        <v>45524.0</v>
      </c>
      <c r="G2432" s="1">
        <f>VLOOKUP(B2432,'old-aw-skill-plan'!A:I,7,FALSE)</f>
        <v>4</v>
      </c>
      <c r="H2432" s="1" t="str">
        <f>VLOOKUP(B2432,'old-aw-skill-plan'!A:I,9,FALSE)</f>
        <v>4-1</v>
      </c>
    </row>
    <row r="2433" ht="15.75" customHeight="1">
      <c r="A2433" s="1" t="s">
        <v>100</v>
      </c>
      <c r="B2433" s="1" t="s">
        <v>103</v>
      </c>
      <c r="C2433" s="1" t="s">
        <v>11</v>
      </c>
      <c r="D2433" s="5">
        <v>45524.0</v>
      </c>
      <c r="G2433" s="1">
        <f>VLOOKUP(B2433,'old-aw-skill-plan'!A:I,7,FALSE)</f>
        <v>5</v>
      </c>
      <c r="H2433" s="1" t="str">
        <f>VLOOKUP(B2433,'old-aw-skill-plan'!A:I,9,FALSE)</f>
        <v>5-3</v>
      </c>
    </row>
    <row r="2434" ht="15.75" customHeight="1">
      <c r="A2434" s="1" t="s">
        <v>100</v>
      </c>
      <c r="B2434" s="1" t="s">
        <v>104</v>
      </c>
      <c r="C2434" s="1" t="s">
        <v>11</v>
      </c>
      <c r="D2434" s="5">
        <v>45524.0</v>
      </c>
      <c r="G2434" s="1">
        <f>VLOOKUP(B2434,'old-aw-skill-plan'!A:I,7,FALSE)</f>
        <v>5</v>
      </c>
      <c r="H2434" s="1" t="str">
        <f>VLOOKUP(B2434,'old-aw-skill-plan'!A:I,9,FALSE)</f>
        <v>5-2</v>
      </c>
    </row>
    <row r="2435" ht="15.75" customHeight="1">
      <c r="A2435" s="1" t="s">
        <v>365</v>
      </c>
      <c r="B2435" s="1" t="s">
        <v>44</v>
      </c>
      <c r="C2435" s="1" t="s">
        <v>11</v>
      </c>
      <c r="D2435" s="5">
        <v>45524.0</v>
      </c>
      <c r="G2435" s="1">
        <f>VLOOKUP(B2435,'old-aw-skill-plan'!A:I,7,FALSE)</f>
        <v>5</v>
      </c>
      <c r="H2435" s="1" t="str">
        <f>VLOOKUP(B2435,'old-aw-skill-plan'!A:I,9,FALSE)</f>
        <v>5-1</v>
      </c>
    </row>
    <row r="2436" ht="15.75" customHeight="1">
      <c r="A2436" s="1" t="s">
        <v>219</v>
      </c>
      <c r="B2436" s="1" t="s">
        <v>10</v>
      </c>
      <c r="C2436" s="1" t="s">
        <v>11</v>
      </c>
      <c r="D2436" s="5">
        <v>45524.0</v>
      </c>
      <c r="G2436" s="1">
        <f>VLOOKUP(B2436,'old-aw-skill-plan'!A:I,7,FALSE)</f>
        <v>3</v>
      </c>
      <c r="H2436" s="1" t="str">
        <f>VLOOKUP(B2436,'old-aw-skill-plan'!A:I,9,FALSE)</f>
        <v>3-1</v>
      </c>
    </row>
    <row r="2437" ht="15.75" customHeight="1">
      <c r="A2437" s="1" t="s">
        <v>18</v>
      </c>
      <c r="B2437" s="1" t="s">
        <v>34</v>
      </c>
      <c r="C2437" s="1" t="s">
        <v>11</v>
      </c>
      <c r="D2437" s="5">
        <v>45523.0</v>
      </c>
      <c r="G2437" s="1">
        <f>VLOOKUP(B2437,'old-aw-skill-plan'!A:I,7,FALSE)</f>
        <v>4</v>
      </c>
      <c r="H2437" s="1" t="str">
        <f>VLOOKUP(B2437,'old-aw-skill-plan'!A:I,9,FALSE)</f>
        <v>4-1</v>
      </c>
    </row>
    <row r="2438" ht="15.75" customHeight="1">
      <c r="A2438" s="1" t="s">
        <v>20</v>
      </c>
      <c r="B2438" s="1" t="s">
        <v>34</v>
      </c>
      <c r="C2438" s="1" t="s">
        <v>11</v>
      </c>
      <c r="D2438" s="5">
        <v>45523.0</v>
      </c>
      <c r="G2438" s="1">
        <f>VLOOKUP(B2438,'old-aw-skill-plan'!A:I,7,FALSE)</f>
        <v>4</v>
      </c>
      <c r="H2438" s="1" t="str">
        <f>VLOOKUP(B2438,'old-aw-skill-plan'!A:I,9,FALSE)</f>
        <v>4-1</v>
      </c>
    </row>
    <row r="2439" ht="15.75" customHeight="1">
      <c r="A2439" s="1" t="s">
        <v>35</v>
      </c>
      <c r="B2439" s="1" t="s">
        <v>44</v>
      </c>
      <c r="C2439" s="1" t="s">
        <v>11</v>
      </c>
      <c r="D2439" s="5">
        <v>45523.0</v>
      </c>
      <c r="G2439" s="1">
        <f>VLOOKUP(B2439,'old-aw-skill-plan'!A:I,7,FALSE)</f>
        <v>5</v>
      </c>
      <c r="H2439" s="1" t="str">
        <f>VLOOKUP(B2439,'old-aw-skill-plan'!A:I,9,FALSE)</f>
        <v>5-1</v>
      </c>
    </row>
    <row r="2440" ht="15.75" customHeight="1">
      <c r="A2440" s="1" t="s">
        <v>43</v>
      </c>
      <c r="B2440" s="1" t="s">
        <v>44</v>
      </c>
      <c r="C2440" s="1" t="s">
        <v>11</v>
      </c>
      <c r="D2440" s="5">
        <v>45523.0</v>
      </c>
      <c r="G2440" s="1">
        <f>VLOOKUP(B2440,'old-aw-skill-plan'!A:I,7,FALSE)</f>
        <v>5</v>
      </c>
      <c r="H2440" s="1" t="str">
        <f>VLOOKUP(B2440,'old-aw-skill-plan'!A:I,9,FALSE)</f>
        <v>5-1</v>
      </c>
    </row>
    <row r="2441" ht="15.75" customHeight="1">
      <c r="A2441" s="1" t="s">
        <v>45</v>
      </c>
      <c r="B2441" s="1" t="s">
        <v>44</v>
      </c>
      <c r="C2441" s="1" t="s">
        <v>11</v>
      </c>
      <c r="D2441" s="5">
        <v>45523.0</v>
      </c>
      <c r="G2441" s="1">
        <f>VLOOKUP(B2441,'old-aw-skill-plan'!A:I,7,FALSE)</f>
        <v>5</v>
      </c>
      <c r="H2441" s="1" t="str">
        <f>VLOOKUP(B2441,'old-aw-skill-plan'!A:I,9,FALSE)</f>
        <v>5-1</v>
      </c>
    </row>
    <row r="2442" ht="15.75" customHeight="1">
      <c r="A2442" s="1" t="s">
        <v>24</v>
      </c>
      <c r="B2442" s="1" t="s">
        <v>44</v>
      </c>
      <c r="C2442" s="1" t="s">
        <v>11</v>
      </c>
      <c r="D2442" s="5">
        <v>45523.0</v>
      </c>
      <c r="G2442" s="1">
        <f>VLOOKUP(B2442,'old-aw-skill-plan'!A:I,7,FALSE)</f>
        <v>5</v>
      </c>
      <c r="H2442" s="1" t="str">
        <f>VLOOKUP(B2442,'old-aw-skill-plan'!A:I,9,FALSE)</f>
        <v>5-1</v>
      </c>
    </row>
    <row r="2443" ht="15.75" customHeight="1">
      <c r="A2443" s="1" t="s">
        <v>207</v>
      </c>
      <c r="B2443" s="1" t="s">
        <v>104</v>
      </c>
      <c r="C2443" s="1" t="s">
        <v>11</v>
      </c>
      <c r="D2443" s="5">
        <v>45523.0</v>
      </c>
      <c r="G2443" s="1">
        <f>VLOOKUP(B2443,'old-aw-skill-plan'!A:I,7,FALSE)</f>
        <v>5</v>
      </c>
      <c r="H2443" s="1" t="str">
        <f>VLOOKUP(B2443,'old-aw-skill-plan'!A:I,9,FALSE)</f>
        <v>5-2</v>
      </c>
    </row>
    <row r="2444" ht="15.75" customHeight="1">
      <c r="A2444" s="1" t="s">
        <v>199</v>
      </c>
      <c r="B2444" s="1" t="s">
        <v>34</v>
      </c>
      <c r="C2444" s="1" t="s">
        <v>11</v>
      </c>
      <c r="D2444" s="5">
        <v>45523.0</v>
      </c>
      <c r="G2444" s="1">
        <f>VLOOKUP(B2444,'old-aw-skill-plan'!A:I,7,FALSE)</f>
        <v>4</v>
      </c>
      <c r="H2444" s="1" t="str">
        <f>VLOOKUP(B2444,'old-aw-skill-plan'!A:I,9,FALSE)</f>
        <v>4-1</v>
      </c>
    </row>
    <row r="2445" ht="15.75" customHeight="1">
      <c r="A2445" s="1" t="s">
        <v>239</v>
      </c>
      <c r="B2445" s="1" t="s">
        <v>25</v>
      </c>
      <c r="C2445" s="1" t="s">
        <v>11</v>
      </c>
      <c r="D2445" s="5">
        <v>45523.0</v>
      </c>
      <c r="G2445" s="1">
        <f>VLOOKUP(B2445,'old-aw-skill-plan'!A:I,7,FALSE)</f>
        <v>5</v>
      </c>
      <c r="H2445" s="1" t="str">
        <f>VLOOKUP(B2445,'old-aw-skill-plan'!A:I,9,FALSE)</f>
        <v>5-4</v>
      </c>
    </row>
    <row r="2446" ht="15.75" customHeight="1">
      <c r="A2446" s="1" t="s">
        <v>237</v>
      </c>
      <c r="B2446" s="1" t="s">
        <v>44</v>
      </c>
      <c r="C2446" s="1" t="s">
        <v>11</v>
      </c>
      <c r="D2446" s="5">
        <v>45523.0</v>
      </c>
      <c r="G2446" s="1">
        <f>VLOOKUP(B2446,'old-aw-skill-plan'!A:I,7,FALSE)</f>
        <v>5</v>
      </c>
      <c r="H2446" s="1" t="str">
        <f>VLOOKUP(B2446,'old-aw-skill-plan'!A:I,9,FALSE)</f>
        <v>5-1</v>
      </c>
    </row>
    <row r="2447" ht="15.75" customHeight="1">
      <c r="A2447" s="1" t="s">
        <v>185</v>
      </c>
      <c r="B2447" s="1" t="s">
        <v>44</v>
      </c>
      <c r="C2447" s="1" t="s">
        <v>11</v>
      </c>
      <c r="D2447" s="5">
        <v>45523.0</v>
      </c>
      <c r="G2447" s="1">
        <f>VLOOKUP(B2447,'old-aw-skill-plan'!A:I,7,FALSE)</f>
        <v>5</v>
      </c>
      <c r="H2447" s="1" t="str">
        <f>VLOOKUP(B2447,'old-aw-skill-plan'!A:I,9,FALSE)</f>
        <v>5-1</v>
      </c>
    </row>
    <row r="2448" ht="15.75" customHeight="1">
      <c r="A2448" s="1" t="s">
        <v>81</v>
      </c>
      <c r="B2448" s="1" t="s">
        <v>402</v>
      </c>
      <c r="C2448" s="1" t="s">
        <v>11</v>
      </c>
      <c r="D2448" s="5">
        <v>45523.0</v>
      </c>
      <c r="G2448" s="1">
        <f>VLOOKUP(B2448,'old-aw-skill-plan'!A:I,7,FALSE)</f>
        <v>4</v>
      </c>
      <c r="H2448" s="1" t="str">
        <f>VLOOKUP(B2448,'old-aw-skill-plan'!A:I,9,FALSE)</f>
        <v>4-2</v>
      </c>
    </row>
    <row r="2449" ht="15.75" customHeight="1">
      <c r="A2449" s="1" t="s">
        <v>230</v>
      </c>
      <c r="B2449" s="1" t="s">
        <v>33</v>
      </c>
      <c r="C2449" s="1" t="s">
        <v>11</v>
      </c>
      <c r="D2449" s="5">
        <v>45523.0</v>
      </c>
      <c r="G2449" s="1">
        <f>VLOOKUP(B2449,'old-aw-skill-plan'!A:I,7,FALSE)</f>
        <v>3</v>
      </c>
      <c r="H2449" s="1" t="str">
        <f>VLOOKUP(B2449,'old-aw-skill-plan'!A:I,9,FALSE)</f>
        <v>3-5</v>
      </c>
    </row>
    <row r="2450" ht="15.75" customHeight="1">
      <c r="A2450" s="1" t="s">
        <v>179</v>
      </c>
      <c r="B2450" s="1" t="s">
        <v>44</v>
      </c>
      <c r="C2450" s="1" t="s">
        <v>11</v>
      </c>
      <c r="D2450" s="5">
        <v>45523.0</v>
      </c>
      <c r="G2450" s="1">
        <f>VLOOKUP(B2450,'old-aw-skill-plan'!A:I,7,FALSE)</f>
        <v>5</v>
      </c>
      <c r="H2450" s="1" t="str">
        <f>VLOOKUP(B2450,'old-aw-skill-plan'!A:I,9,FALSE)</f>
        <v>5-1</v>
      </c>
    </row>
    <row r="2451" ht="15.75" customHeight="1">
      <c r="A2451" s="1" t="s">
        <v>183</v>
      </c>
      <c r="B2451" s="1" t="s">
        <v>44</v>
      </c>
      <c r="C2451" s="1" t="s">
        <v>11</v>
      </c>
      <c r="D2451" s="5">
        <v>45523.0</v>
      </c>
      <c r="G2451" s="1">
        <f>VLOOKUP(B2451,'old-aw-skill-plan'!A:I,7,FALSE)</f>
        <v>5</v>
      </c>
      <c r="H2451" s="1" t="str">
        <f>VLOOKUP(B2451,'old-aw-skill-plan'!A:I,9,FALSE)</f>
        <v>5-1</v>
      </c>
    </row>
    <row r="2452" ht="15.75" customHeight="1">
      <c r="A2452" s="1" t="s">
        <v>403</v>
      </c>
      <c r="B2452" s="1" t="s">
        <v>44</v>
      </c>
      <c r="C2452" s="1" t="s">
        <v>11</v>
      </c>
      <c r="D2452" s="5">
        <v>45523.0</v>
      </c>
      <c r="G2452" s="1">
        <f>VLOOKUP(B2452,'old-aw-skill-plan'!A:I,7,FALSE)</f>
        <v>5</v>
      </c>
      <c r="H2452" s="1" t="str">
        <f>VLOOKUP(B2452,'old-aw-skill-plan'!A:I,9,FALSE)</f>
        <v>5-1</v>
      </c>
    </row>
    <row r="2453" ht="15.75" customHeight="1">
      <c r="A2453" s="1" t="s">
        <v>95</v>
      </c>
      <c r="B2453" s="1" t="s">
        <v>28</v>
      </c>
      <c r="C2453" s="1" t="s">
        <v>11</v>
      </c>
      <c r="D2453" s="5">
        <v>45523.0</v>
      </c>
      <c r="G2453" s="1">
        <f>VLOOKUP(B2453,'old-aw-skill-plan'!A:I,7,FALSE)</f>
        <v>3</v>
      </c>
      <c r="H2453" s="1" t="str">
        <f>VLOOKUP(B2453,'old-aw-skill-plan'!A:I,9,FALSE)</f>
        <v>3-4</v>
      </c>
    </row>
    <row r="2454" ht="15.75" customHeight="1">
      <c r="A2454" s="1" t="s">
        <v>197</v>
      </c>
      <c r="B2454" s="1" t="s">
        <v>44</v>
      </c>
      <c r="C2454" s="1" t="s">
        <v>11</v>
      </c>
      <c r="D2454" s="5">
        <v>45523.0</v>
      </c>
      <c r="G2454" s="1">
        <f>VLOOKUP(B2454,'old-aw-skill-plan'!A:I,7,FALSE)</f>
        <v>5</v>
      </c>
      <c r="H2454" s="1" t="str">
        <f>VLOOKUP(B2454,'old-aw-skill-plan'!A:I,9,FALSE)</f>
        <v>5-1</v>
      </c>
    </row>
    <row r="2455" ht="15.75" customHeight="1">
      <c r="A2455" s="1" t="s">
        <v>74</v>
      </c>
      <c r="B2455" s="1" t="s">
        <v>44</v>
      </c>
      <c r="C2455" s="1" t="s">
        <v>11</v>
      </c>
      <c r="D2455" s="5">
        <v>45523.0</v>
      </c>
      <c r="G2455" s="1">
        <f>VLOOKUP(B2455,'old-aw-skill-plan'!A:I,7,FALSE)</f>
        <v>5</v>
      </c>
      <c r="H2455" s="1" t="str">
        <f>VLOOKUP(B2455,'old-aw-skill-plan'!A:I,9,FALSE)</f>
        <v>5-1</v>
      </c>
    </row>
    <row r="2456" ht="15.75" customHeight="1">
      <c r="A2456" s="1" t="s">
        <v>77</v>
      </c>
      <c r="B2456" s="1" t="s">
        <v>34</v>
      </c>
      <c r="C2456" s="1" t="s">
        <v>11</v>
      </c>
      <c r="D2456" s="5">
        <v>45523.0</v>
      </c>
      <c r="G2456" s="1">
        <f>VLOOKUP(B2456,'old-aw-skill-plan'!A:I,7,FALSE)</f>
        <v>4</v>
      </c>
      <c r="H2456" s="1" t="str">
        <f>VLOOKUP(B2456,'old-aw-skill-plan'!A:I,9,FALSE)</f>
        <v>4-1</v>
      </c>
    </row>
    <row r="2457" ht="15.75" customHeight="1">
      <c r="A2457" s="1" t="s">
        <v>100</v>
      </c>
      <c r="B2457" s="1" t="s">
        <v>44</v>
      </c>
      <c r="C2457" s="1" t="s">
        <v>11</v>
      </c>
      <c r="D2457" s="5">
        <v>45523.0</v>
      </c>
      <c r="G2457" s="1">
        <f>VLOOKUP(B2457,'old-aw-skill-plan'!A:I,7,FALSE)</f>
        <v>5</v>
      </c>
      <c r="H2457" s="1" t="str">
        <f>VLOOKUP(B2457,'old-aw-skill-plan'!A:I,9,FALSE)</f>
        <v>5-1</v>
      </c>
    </row>
    <row r="2458" ht="15.75" customHeight="1">
      <c r="A2458" s="1" t="s">
        <v>82</v>
      </c>
      <c r="B2458" s="1" t="s">
        <v>10</v>
      </c>
      <c r="C2458" s="1" t="s">
        <v>11</v>
      </c>
      <c r="D2458" s="5">
        <v>45523.0</v>
      </c>
      <c r="G2458" s="1">
        <f>VLOOKUP(B2458,'old-aw-skill-plan'!A:I,7,FALSE)</f>
        <v>3</v>
      </c>
      <c r="H2458" s="1" t="str">
        <f>VLOOKUP(B2458,'old-aw-skill-plan'!A:I,9,FALSE)</f>
        <v>3-1</v>
      </c>
    </row>
    <row r="2459" ht="15.75" customHeight="1">
      <c r="A2459" s="1" t="s">
        <v>251</v>
      </c>
      <c r="B2459" s="1" t="s">
        <v>44</v>
      </c>
      <c r="C2459" s="1" t="s">
        <v>11</v>
      </c>
      <c r="D2459" s="5">
        <v>45523.0</v>
      </c>
      <c r="G2459" s="1">
        <f>VLOOKUP(B2459,'old-aw-skill-plan'!A:I,7,FALSE)</f>
        <v>5</v>
      </c>
      <c r="H2459" s="1" t="str">
        <f>VLOOKUP(B2459,'old-aw-skill-plan'!A:I,9,FALSE)</f>
        <v>5-1</v>
      </c>
    </row>
    <row r="2460" ht="15.75" customHeight="1">
      <c r="A2460" s="1" t="s">
        <v>219</v>
      </c>
      <c r="B2460" s="1" t="s">
        <v>34</v>
      </c>
      <c r="C2460" s="1" t="s">
        <v>11</v>
      </c>
      <c r="D2460" s="5">
        <v>45523.0</v>
      </c>
      <c r="G2460" s="1">
        <f>VLOOKUP(B2460,'old-aw-skill-plan'!A:I,7,FALSE)</f>
        <v>4</v>
      </c>
      <c r="H2460" s="1" t="str">
        <f>VLOOKUP(B2460,'old-aw-skill-plan'!A:I,9,FALSE)</f>
        <v>4-1</v>
      </c>
    </row>
    <row r="2461" ht="15.75" customHeight="1">
      <c r="A2461" s="1" t="s">
        <v>254</v>
      </c>
      <c r="B2461" s="1" t="s">
        <v>37</v>
      </c>
      <c r="C2461" s="1" t="s">
        <v>11</v>
      </c>
      <c r="D2461" s="5">
        <v>45522.0</v>
      </c>
      <c r="G2461" s="1">
        <f>VLOOKUP(B2461,'old-aw-skill-plan'!A:I,7,FALSE)</f>
        <v>4</v>
      </c>
      <c r="H2461" s="1" t="str">
        <f>VLOOKUP(B2461,'old-aw-skill-plan'!A:I,9,FALSE)</f>
        <v>4-2</v>
      </c>
    </row>
    <row r="2462" ht="15.75" customHeight="1">
      <c r="A2462" s="1" t="s">
        <v>406</v>
      </c>
      <c r="B2462" s="1" t="s">
        <v>10</v>
      </c>
      <c r="C2462" s="1" t="s">
        <v>11</v>
      </c>
      <c r="D2462" s="5">
        <v>45522.0</v>
      </c>
      <c r="G2462" s="1">
        <f>VLOOKUP(B2462,'old-aw-skill-plan'!A:I,7,FALSE)</f>
        <v>3</v>
      </c>
      <c r="H2462" s="1" t="str">
        <f>VLOOKUP(B2462,'old-aw-skill-plan'!A:I,9,FALSE)</f>
        <v>3-1</v>
      </c>
    </row>
    <row r="2463" ht="15.75" customHeight="1">
      <c r="A2463" s="1" t="s">
        <v>256</v>
      </c>
      <c r="B2463" s="1" t="s">
        <v>10</v>
      </c>
      <c r="C2463" s="1" t="s">
        <v>11</v>
      </c>
      <c r="D2463" s="5">
        <v>45522.0</v>
      </c>
      <c r="G2463" s="1">
        <f>VLOOKUP(B2463,'old-aw-skill-plan'!A:I,7,FALSE)</f>
        <v>3</v>
      </c>
      <c r="H2463" s="1" t="str">
        <f>VLOOKUP(B2463,'old-aw-skill-plan'!A:I,9,FALSE)</f>
        <v>3-1</v>
      </c>
    </row>
    <row r="2464" ht="15.75" customHeight="1">
      <c r="A2464" s="1" t="s">
        <v>245</v>
      </c>
      <c r="B2464" s="1" t="s">
        <v>44</v>
      </c>
      <c r="C2464" s="1" t="s">
        <v>11</v>
      </c>
      <c r="D2464" s="5">
        <v>45522.0</v>
      </c>
      <c r="G2464" s="1">
        <f>VLOOKUP(B2464,'old-aw-skill-plan'!A:I,7,FALSE)</f>
        <v>5</v>
      </c>
      <c r="H2464" s="1" t="str">
        <f>VLOOKUP(B2464,'old-aw-skill-plan'!A:I,9,FALSE)</f>
        <v>5-1</v>
      </c>
    </row>
    <row r="2465" ht="15.75" customHeight="1">
      <c r="A2465" s="1" t="s">
        <v>407</v>
      </c>
      <c r="B2465" s="1" t="s">
        <v>34</v>
      </c>
      <c r="C2465" s="1" t="s">
        <v>11</v>
      </c>
      <c r="D2465" s="5">
        <v>45522.0</v>
      </c>
      <c r="G2465" s="1">
        <f>VLOOKUP(B2465,'old-aw-skill-plan'!A:I,7,FALSE)</f>
        <v>4</v>
      </c>
      <c r="H2465" s="1" t="str">
        <f>VLOOKUP(B2465,'old-aw-skill-plan'!A:I,9,FALSE)</f>
        <v>4-1</v>
      </c>
    </row>
    <row r="2466" ht="15.75" customHeight="1">
      <c r="A2466" s="1" t="s">
        <v>244</v>
      </c>
      <c r="B2466" s="1" t="s">
        <v>44</v>
      </c>
      <c r="C2466" s="1" t="s">
        <v>11</v>
      </c>
      <c r="D2466" s="5">
        <v>45522.0</v>
      </c>
      <c r="G2466" s="1">
        <f>VLOOKUP(B2466,'old-aw-skill-plan'!A:I,7,FALSE)</f>
        <v>5</v>
      </c>
      <c r="H2466" s="1" t="str">
        <f>VLOOKUP(B2466,'old-aw-skill-plan'!A:I,9,FALSE)</f>
        <v>5-1</v>
      </c>
    </row>
    <row r="2467" ht="15.75" customHeight="1">
      <c r="A2467" s="1" t="s">
        <v>263</v>
      </c>
      <c r="B2467" s="1" t="s">
        <v>44</v>
      </c>
      <c r="C2467" s="1" t="s">
        <v>11</v>
      </c>
      <c r="D2467" s="5">
        <v>45522.0</v>
      </c>
      <c r="G2467" s="1">
        <f>VLOOKUP(B2467,'old-aw-skill-plan'!A:I,7,FALSE)</f>
        <v>5</v>
      </c>
      <c r="H2467" s="1" t="str">
        <f>VLOOKUP(B2467,'old-aw-skill-plan'!A:I,9,FALSE)</f>
        <v>5-1</v>
      </c>
    </row>
    <row r="2468" ht="15.75" customHeight="1">
      <c r="A2468" s="1" t="s">
        <v>408</v>
      </c>
      <c r="B2468" s="1" t="s">
        <v>10</v>
      </c>
      <c r="C2468" s="1" t="s">
        <v>11</v>
      </c>
      <c r="D2468" s="5">
        <v>45522.0</v>
      </c>
      <c r="G2468" s="1">
        <f>VLOOKUP(B2468,'old-aw-skill-plan'!A:I,7,FALSE)</f>
        <v>3</v>
      </c>
      <c r="H2468" s="1" t="str">
        <f>VLOOKUP(B2468,'old-aw-skill-plan'!A:I,9,FALSE)</f>
        <v>3-1</v>
      </c>
    </row>
    <row r="2469" ht="15.75" customHeight="1">
      <c r="A2469" s="1" t="s">
        <v>261</v>
      </c>
      <c r="B2469" s="1" t="s">
        <v>10</v>
      </c>
      <c r="C2469" s="1" t="s">
        <v>11</v>
      </c>
      <c r="D2469" s="5">
        <v>45522.0</v>
      </c>
      <c r="G2469" s="1">
        <f>VLOOKUP(B2469,'old-aw-skill-plan'!A:I,7,FALSE)</f>
        <v>3</v>
      </c>
      <c r="H2469" s="1" t="str">
        <f>VLOOKUP(B2469,'old-aw-skill-plan'!A:I,9,FALSE)</f>
        <v>3-1</v>
      </c>
    </row>
    <row r="2470" ht="15.75" customHeight="1">
      <c r="A2470" s="1" t="s">
        <v>248</v>
      </c>
      <c r="B2470" s="1" t="s">
        <v>44</v>
      </c>
      <c r="C2470" s="1" t="s">
        <v>11</v>
      </c>
      <c r="D2470" s="5">
        <v>45522.0</v>
      </c>
      <c r="G2470" s="1">
        <f>VLOOKUP(B2470,'old-aw-skill-plan'!A:I,7,FALSE)</f>
        <v>5</v>
      </c>
      <c r="H2470" s="1" t="str">
        <f>VLOOKUP(B2470,'old-aw-skill-plan'!A:I,9,FALSE)</f>
        <v>5-1</v>
      </c>
    </row>
    <row r="2471" ht="15.75" customHeight="1">
      <c r="A2471" s="1" t="s">
        <v>246</v>
      </c>
      <c r="B2471" s="1" t="s">
        <v>44</v>
      </c>
      <c r="C2471" s="1" t="s">
        <v>11</v>
      </c>
      <c r="D2471" s="5">
        <v>45522.0</v>
      </c>
      <c r="G2471" s="1">
        <f>VLOOKUP(B2471,'old-aw-skill-plan'!A:I,7,FALSE)</f>
        <v>5</v>
      </c>
      <c r="H2471" s="1" t="str">
        <f>VLOOKUP(B2471,'old-aw-skill-plan'!A:I,9,FALSE)</f>
        <v>5-1</v>
      </c>
    </row>
    <row r="2472" ht="15.75" customHeight="1">
      <c r="A2472" s="1" t="s">
        <v>342</v>
      </c>
      <c r="B2472" s="1" t="s">
        <v>116</v>
      </c>
      <c r="C2472" s="1" t="s">
        <v>11</v>
      </c>
      <c r="D2472" s="5">
        <v>45522.0</v>
      </c>
      <c r="G2472" s="1">
        <f>VLOOKUP(B2472,'old-aw-skill-plan'!A:I,7,FALSE)</f>
        <v>3</v>
      </c>
      <c r="H2472" s="1" t="str">
        <f>VLOOKUP(B2472,'old-aw-skill-plan'!A:I,9,FALSE)</f>
        <v>3-9</v>
      </c>
    </row>
    <row r="2473" ht="15.75" customHeight="1">
      <c r="A2473" s="1" t="s">
        <v>241</v>
      </c>
      <c r="B2473" s="1" t="s">
        <v>34</v>
      </c>
      <c r="C2473" s="1" t="s">
        <v>11</v>
      </c>
      <c r="D2473" s="5">
        <v>45522.0</v>
      </c>
      <c r="G2473" s="1">
        <f>VLOOKUP(B2473,'old-aw-skill-plan'!A:I,7,FALSE)</f>
        <v>4</v>
      </c>
      <c r="H2473" s="1" t="str">
        <f>VLOOKUP(B2473,'old-aw-skill-plan'!A:I,9,FALSE)</f>
        <v>4-1</v>
      </c>
    </row>
    <row r="2474" ht="15.75" customHeight="1">
      <c r="A2474" s="1" t="s">
        <v>22</v>
      </c>
      <c r="B2474" s="1" t="s">
        <v>44</v>
      </c>
      <c r="C2474" s="1" t="s">
        <v>11</v>
      </c>
      <c r="D2474" s="5">
        <v>45521.0</v>
      </c>
      <c r="G2474" s="1">
        <f>VLOOKUP(B2474,'old-aw-skill-plan'!A:I,7,FALSE)</f>
        <v>5</v>
      </c>
      <c r="H2474" s="1" t="str">
        <f>VLOOKUP(B2474,'old-aw-skill-plan'!A:I,9,FALSE)</f>
        <v>5-1</v>
      </c>
    </row>
    <row r="2475" ht="15.75" customHeight="1">
      <c r="A2475" s="1" t="s">
        <v>254</v>
      </c>
      <c r="B2475" s="1" t="s">
        <v>34</v>
      </c>
      <c r="C2475" s="1" t="s">
        <v>11</v>
      </c>
      <c r="D2475" s="5">
        <v>45521.0</v>
      </c>
      <c r="G2475" s="1">
        <f>VLOOKUP(B2475,'old-aw-skill-plan'!A:I,7,FALSE)</f>
        <v>4</v>
      </c>
      <c r="H2475" s="1" t="str">
        <f>VLOOKUP(B2475,'old-aw-skill-plan'!A:I,9,FALSE)</f>
        <v>4-1</v>
      </c>
    </row>
    <row r="2476" ht="15.75" customHeight="1">
      <c r="A2476" s="1" t="s">
        <v>35</v>
      </c>
      <c r="B2476" s="1" t="s">
        <v>44</v>
      </c>
      <c r="C2476" s="1" t="s">
        <v>11</v>
      </c>
      <c r="D2476" s="5">
        <v>45521.0</v>
      </c>
      <c r="G2476" s="1">
        <f>VLOOKUP(B2476,'old-aw-skill-plan'!A:I,7,FALSE)</f>
        <v>5</v>
      </c>
      <c r="H2476" s="1" t="str">
        <f>VLOOKUP(B2476,'old-aw-skill-plan'!A:I,9,FALSE)</f>
        <v>5-1</v>
      </c>
    </row>
    <row r="2477" ht="15.75" customHeight="1">
      <c r="A2477" s="1" t="s">
        <v>43</v>
      </c>
      <c r="B2477" s="1" t="s">
        <v>44</v>
      </c>
      <c r="C2477" s="1" t="s">
        <v>11</v>
      </c>
      <c r="D2477" s="5">
        <v>45521.0</v>
      </c>
      <c r="G2477" s="1">
        <f>VLOOKUP(B2477,'old-aw-skill-plan'!A:I,7,FALSE)</f>
        <v>5</v>
      </c>
      <c r="H2477" s="1" t="str">
        <f>VLOOKUP(B2477,'old-aw-skill-plan'!A:I,9,FALSE)</f>
        <v>5-1</v>
      </c>
    </row>
    <row r="2478" ht="15.75" customHeight="1">
      <c r="A2478" s="1" t="s">
        <v>24</v>
      </c>
      <c r="B2478" s="1" t="s">
        <v>44</v>
      </c>
      <c r="C2478" s="1" t="s">
        <v>11</v>
      </c>
      <c r="D2478" s="5">
        <v>45521.0</v>
      </c>
      <c r="G2478" s="1">
        <f>VLOOKUP(B2478,'old-aw-skill-plan'!A:I,7,FALSE)</f>
        <v>5</v>
      </c>
      <c r="H2478" s="1" t="str">
        <f>VLOOKUP(B2478,'old-aw-skill-plan'!A:I,9,FALSE)</f>
        <v>5-1</v>
      </c>
    </row>
    <row r="2479" ht="15.75" customHeight="1">
      <c r="A2479" s="1" t="s">
        <v>207</v>
      </c>
      <c r="B2479" s="1" t="s">
        <v>44</v>
      </c>
      <c r="C2479" s="1" t="s">
        <v>11</v>
      </c>
      <c r="D2479" s="5">
        <v>45521.0</v>
      </c>
      <c r="G2479" s="1">
        <f>VLOOKUP(B2479,'old-aw-skill-plan'!A:I,7,FALSE)</f>
        <v>5</v>
      </c>
      <c r="H2479" s="1" t="str">
        <f>VLOOKUP(B2479,'old-aw-skill-plan'!A:I,9,FALSE)</f>
        <v>5-1</v>
      </c>
    </row>
    <row r="2480" ht="15.75" customHeight="1">
      <c r="A2480" s="1" t="s">
        <v>39</v>
      </c>
      <c r="B2480" s="1" t="s">
        <v>44</v>
      </c>
      <c r="C2480" s="1" t="s">
        <v>11</v>
      </c>
      <c r="D2480" s="5">
        <v>45521.0</v>
      </c>
      <c r="G2480" s="1">
        <f>VLOOKUP(B2480,'old-aw-skill-plan'!A:I,7,FALSE)</f>
        <v>5</v>
      </c>
      <c r="H2480" s="1" t="str">
        <f>VLOOKUP(B2480,'old-aw-skill-plan'!A:I,9,FALSE)</f>
        <v>5-1</v>
      </c>
    </row>
    <row r="2481" ht="15.75" customHeight="1">
      <c r="A2481" s="1" t="s">
        <v>230</v>
      </c>
      <c r="B2481" s="1" t="s">
        <v>33</v>
      </c>
      <c r="C2481" s="1" t="s">
        <v>11</v>
      </c>
      <c r="D2481" s="5">
        <v>45521.0</v>
      </c>
      <c r="G2481" s="1">
        <f>VLOOKUP(B2481,'old-aw-skill-plan'!A:I,7,FALSE)</f>
        <v>3</v>
      </c>
      <c r="H2481" s="1" t="str">
        <f>VLOOKUP(B2481,'old-aw-skill-plan'!A:I,9,FALSE)</f>
        <v>3-5</v>
      </c>
    </row>
    <row r="2482" ht="15.75" customHeight="1">
      <c r="A2482" s="1" t="s">
        <v>409</v>
      </c>
      <c r="B2482" s="1" t="s">
        <v>10</v>
      </c>
      <c r="C2482" s="1" t="s">
        <v>11</v>
      </c>
      <c r="D2482" s="5">
        <v>45521.0</v>
      </c>
      <c r="G2482" s="1">
        <f>VLOOKUP(B2482,'old-aw-skill-plan'!A:I,7,FALSE)</f>
        <v>3</v>
      </c>
      <c r="H2482" s="1" t="str">
        <f>VLOOKUP(B2482,'old-aw-skill-plan'!A:I,9,FALSE)</f>
        <v>3-1</v>
      </c>
    </row>
    <row r="2483" ht="15.75" customHeight="1">
      <c r="A2483" s="1" t="s">
        <v>410</v>
      </c>
      <c r="B2483" s="1" t="s">
        <v>44</v>
      </c>
      <c r="C2483" s="1" t="s">
        <v>11</v>
      </c>
      <c r="D2483" s="5">
        <v>45521.0</v>
      </c>
      <c r="G2483" s="1">
        <f>VLOOKUP(B2483,'old-aw-skill-plan'!A:I,7,FALSE)</f>
        <v>5</v>
      </c>
      <c r="H2483" s="1" t="str">
        <f>VLOOKUP(B2483,'old-aw-skill-plan'!A:I,9,FALSE)</f>
        <v>5-1</v>
      </c>
    </row>
    <row r="2484" ht="15.75" customHeight="1">
      <c r="A2484" s="1" t="s">
        <v>411</v>
      </c>
      <c r="B2484" s="1" t="s">
        <v>30</v>
      </c>
      <c r="C2484" s="1" t="s">
        <v>11</v>
      </c>
      <c r="D2484" s="5">
        <v>45521.0</v>
      </c>
      <c r="G2484" s="1">
        <f>VLOOKUP(B2484,'old-aw-skill-plan'!A:I,7,FALSE)</f>
        <v>3</v>
      </c>
      <c r="H2484" s="1" t="str">
        <f>VLOOKUP(B2484,'old-aw-skill-plan'!A:I,9,FALSE)</f>
        <v>3-3</v>
      </c>
    </row>
    <row r="2485" ht="15.75" customHeight="1">
      <c r="A2485" s="1" t="s">
        <v>266</v>
      </c>
      <c r="B2485" s="1" t="s">
        <v>58</v>
      </c>
      <c r="C2485" s="1" t="s">
        <v>11</v>
      </c>
      <c r="D2485" s="5">
        <v>45520.0</v>
      </c>
      <c r="G2485" s="1">
        <f>VLOOKUP(B2485,'old-aw-skill-plan'!A:I,7,FALSE)</f>
        <v>3</v>
      </c>
      <c r="H2485" s="1" t="str">
        <f>VLOOKUP(B2485,'old-aw-skill-plan'!A:I,9,FALSE)</f>
        <v>3-8</v>
      </c>
    </row>
    <row r="2486" ht="15.75" customHeight="1">
      <c r="A2486" s="1" t="s">
        <v>22</v>
      </c>
      <c r="B2486" s="1" t="s">
        <v>44</v>
      </c>
      <c r="C2486" s="1" t="s">
        <v>11</v>
      </c>
      <c r="D2486" s="5">
        <v>45520.0</v>
      </c>
      <c r="G2486" s="1">
        <f>VLOOKUP(B2486,'old-aw-skill-plan'!A:I,7,FALSE)</f>
        <v>5</v>
      </c>
      <c r="H2486" s="1" t="str">
        <f>VLOOKUP(B2486,'old-aw-skill-plan'!A:I,9,FALSE)</f>
        <v>5-1</v>
      </c>
    </row>
    <row r="2487" ht="15.75" customHeight="1">
      <c r="A2487" s="1" t="s">
        <v>35</v>
      </c>
      <c r="B2487" s="1" t="s">
        <v>44</v>
      </c>
      <c r="C2487" s="1" t="s">
        <v>11</v>
      </c>
      <c r="D2487" s="5">
        <v>45520.0</v>
      </c>
      <c r="G2487" s="1">
        <f>VLOOKUP(B2487,'old-aw-skill-plan'!A:I,7,FALSE)</f>
        <v>5</v>
      </c>
      <c r="H2487" s="1" t="str">
        <f>VLOOKUP(B2487,'old-aw-skill-plan'!A:I,9,FALSE)</f>
        <v>5-1</v>
      </c>
    </row>
    <row r="2488" ht="15.75" customHeight="1">
      <c r="A2488" s="1" t="s">
        <v>43</v>
      </c>
      <c r="B2488" s="1" t="s">
        <v>44</v>
      </c>
      <c r="C2488" s="1" t="s">
        <v>11</v>
      </c>
      <c r="D2488" s="5">
        <v>45520.0</v>
      </c>
      <c r="G2488" s="1">
        <f>VLOOKUP(B2488,'old-aw-skill-plan'!A:I,7,FALSE)</f>
        <v>5</v>
      </c>
      <c r="H2488" s="1" t="str">
        <f>VLOOKUP(B2488,'old-aw-skill-plan'!A:I,9,FALSE)</f>
        <v>5-1</v>
      </c>
    </row>
    <row r="2489" ht="15.75" customHeight="1">
      <c r="A2489" s="1" t="s">
        <v>24</v>
      </c>
      <c r="B2489" s="1" t="s">
        <v>34</v>
      </c>
      <c r="C2489" s="1" t="s">
        <v>11</v>
      </c>
      <c r="D2489" s="5">
        <v>45520.0</v>
      </c>
      <c r="G2489" s="1">
        <f>VLOOKUP(B2489,'old-aw-skill-plan'!A:I,7,FALSE)</f>
        <v>4</v>
      </c>
      <c r="H2489" s="1" t="str">
        <f>VLOOKUP(B2489,'old-aw-skill-plan'!A:I,9,FALSE)</f>
        <v>4-1</v>
      </c>
    </row>
    <row r="2490" ht="15.75" customHeight="1">
      <c r="A2490" s="1" t="s">
        <v>24</v>
      </c>
      <c r="B2490" s="1" t="s">
        <v>44</v>
      </c>
      <c r="C2490" s="1" t="s">
        <v>11</v>
      </c>
      <c r="D2490" s="5">
        <v>45520.0</v>
      </c>
      <c r="G2490" s="1">
        <f>VLOOKUP(B2490,'old-aw-skill-plan'!A:I,7,FALSE)</f>
        <v>5</v>
      </c>
      <c r="H2490" s="1" t="str">
        <f>VLOOKUP(B2490,'old-aw-skill-plan'!A:I,9,FALSE)</f>
        <v>5-1</v>
      </c>
    </row>
    <row r="2491" ht="15.75" customHeight="1">
      <c r="A2491" s="1" t="s">
        <v>207</v>
      </c>
      <c r="B2491" s="1" t="s">
        <v>44</v>
      </c>
      <c r="C2491" s="1" t="s">
        <v>11</v>
      </c>
      <c r="D2491" s="5">
        <v>45520.0</v>
      </c>
      <c r="G2491" s="1">
        <f>VLOOKUP(B2491,'old-aw-skill-plan'!A:I,7,FALSE)</f>
        <v>5</v>
      </c>
      <c r="H2491" s="1" t="str">
        <f>VLOOKUP(B2491,'old-aw-skill-plan'!A:I,9,FALSE)</f>
        <v>5-1</v>
      </c>
    </row>
    <row r="2492" ht="15.75" customHeight="1">
      <c r="A2492" s="1" t="s">
        <v>39</v>
      </c>
      <c r="B2492" s="1" t="s">
        <v>44</v>
      </c>
      <c r="C2492" s="1" t="s">
        <v>11</v>
      </c>
      <c r="D2492" s="5">
        <v>45520.0</v>
      </c>
      <c r="G2492" s="1">
        <f>VLOOKUP(B2492,'old-aw-skill-plan'!A:I,7,FALSE)</f>
        <v>5</v>
      </c>
      <c r="H2492" s="1" t="str">
        <f>VLOOKUP(B2492,'old-aw-skill-plan'!A:I,9,FALSE)</f>
        <v>5-1</v>
      </c>
    </row>
    <row r="2493" ht="15.75" customHeight="1">
      <c r="A2493" s="1" t="s">
        <v>239</v>
      </c>
      <c r="B2493" s="1" t="s">
        <v>44</v>
      </c>
      <c r="C2493" s="1" t="s">
        <v>11</v>
      </c>
      <c r="D2493" s="5">
        <v>45520.0</v>
      </c>
      <c r="G2493" s="1">
        <f>VLOOKUP(B2493,'old-aw-skill-plan'!A:I,7,FALSE)</f>
        <v>5</v>
      </c>
      <c r="H2493" s="1" t="str">
        <f>VLOOKUP(B2493,'old-aw-skill-plan'!A:I,9,FALSE)</f>
        <v>5-1</v>
      </c>
    </row>
    <row r="2494" ht="15.75" customHeight="1">
      <c r="A2494" s="1" t="s">
        <v>239</v>
      </c>
      <c r="B2494" s="1" t="s">
        <v>103</v>
      </c>
      <c r="C2494" s="1" t="s">
        <v>11</v>
      </c>
      <c r="D2494" s="5">
        <v>45520.0</v>
      </c>
      <c r="G2494" s="1">
        <f>VLOOKUP(B2494,'old-aw-skill-plan'!A:I,7,FALSE)</f>
        <v>5</v>
      </c>
      <c r="H2494" s="1" t="str">
        <f>VLOOKUP(B2494,'old-aw-skill-plan'!A:I,9,FALSE)</f>
        <v>5-3</v>
      </c>
    </row>
    <row r="2495" ht="15.75" customHeight="1">
      <c r="A2495" s="1" t="s">
        <v>239</v>
      </c>
      <c r="B2495" s="1" t="s">
        <v>104</v>
      </c>
      <c r="C2495" s="1" t="s">
        <v>11</v>
      </c>
      <c r="D2495" s="5">
        <v>45520.0</v>
      </c>
      <c r="G2495" s="1">
        <f>VLOOKUP(B2495,'old-aw-skill-plan'!A:I,7,FALSE)</f>
        <v>5</v>
      </c>
      <c r="H2495" s="1" t="str">
        <f>VLOOKUP(B2495,'old-aw-skill-plan'!A:I,9,FALSE)</f>
        <v>5-2</v>
      </c>
    </row>
    <row r="2496" ht="15.75" customHeight="1">
      <c r="A2496" s="1" t="s">
        <v>237</v>
      </c>
      <c r="B2496" s="1" t="s">
        <v>58</v>
      </c>
      <c r="C2496" s="1" t="s">
        <v>11</v>
      </c>
      <c r="D2496" s="5">
        <v>45520.0</v>
      </c>
      <c r="G2496" s="1">
        <f>VLOOKUP(B2496,'old-aw-skill-plan'!A:I,7,FALSE)</f>
        <v>3</v>
      </c>
      <c r="H2496" s="1" t="str">
        <f>VLOOKUP(B2496,'old-aw-skill-plan'!A:I,9,FALSE)</f>
        <v>3-8</v>
      </c>
    </row>
    <row r="2497" ht="15.75" customHeight="1">
      <c r="A2497" s="1" t="s">
        <v>267</v>
      </c>
      <c r="B2497" s="1" t="s">
        <v>104</v>
      </c>
      <c r="C2497" s="1" t="s">
        <v>11</v>
      </c>
      <c r="D2497" s="5">
        <v>45520.0</v>
      </c>
      <c r="G2497" s="1">
        <f>VLOOKUP(B2497,'old-aw-skill-plan'!A:I,7,FALSE)</f>
        <v>5</v>
      </c>
      <c r="H2497" s="1" t="str">
        <f>VLOOKUP(B2497,'old-aw-skill-plan'!A:I,9,FALSE)</f>
        <v>5-2</v>
      </c>
    </row>
    <row r="2498" ht="15.75" customHeight="1">
      <c r="A2498" s="1" t="s">
        <v>230</v>
      </c>
      <c r="B2498" s="1" t="s">
        <v>33</v>
      </c>
      <c r="C2498" s="1" t="s">
        <v>11</v>
      </c>
      <c r="D2498" s="5">
        <v>45520.0</v>
      </c>
      <c r="G2498" s="1">
        <f>VLOOKUP(B2498,'old-aw-skill-plan'!A:I,7,FALSE)</f>
        <v>3</v>
      </c>
      <c r="H2498" s="1" t="str">
        <f>VLOOKUP(B2498,'old-aw-skill-plan'!A:I,9,FALSE)</f>
        <v>3-5</v>
      </c>
    </row>
    <row r="2499" ht="15.75" customHeight="1">
      <c r="A2499" s="1" t="s">
        <v>179</v>
      </c>
      <c r="B2499" s="1" t="s">
        <v>44</v>
      </c>
      <c r="C2499" s="1" t="s">
        <v>11</v>
      </c>
      <c r="D2499" s="5">
        <v>45520.0</v>
      </c>
      <c r="G2499" s="1">
        <f>VLOOKUP(B2499,'old-aw-skill-plan'!A:I,7,FALSE)</f>
        <v>5</v>
      </c>
      <c r="H2499" s="1" t="str">
        <f>VLOOKUP(B2499,'old-aw-skill-plan'!A:I,9,FALSE)</f>
        <v>5-1</v>
      </c>
    </row>
    <row r="2500" ht="15.75" customHeight="1">
      <c r="A2500" s="1" t="s">
        <v>60</v>
      </c>
      <c r="B2500" s="1" t="s">
        <v>44</v>
      </c>
      <c r="C2500" s="1" t="s">
        <v>11</v>
      </c>
      <c r="D2500" s="5">
        <v>45520.0</v>
      </c>
      <c r="G2500" s="1">
        <f>VLOOKUP(B2500,'old-aw-skill-plan'!A:I,7,FALSE)</f>
        <v>5</v>
      </c>
      <c r="H2500" s="1" t="str">
        <f>VLOOKUP(B2500,'old-aw-skill-plan'!A:I,9,FALSE)</f>
        <v>5-1</v>
      </c>
    </row>
    <row r="2501" ht="15.75" customHeight="1">
      <c r="A2501" s="1" t="s">
        <v>63</v>
      </c>
      <c r="B2501" s="1" t="s">
        <v>10</v>
      </c>
      <c r="C2501" s="1" t="s">
        <v>11</v>
      </c>
      <c r="D2501" s="5">
        <v>45520.0</v>
      </c>
      <c r="G2501" s="1">
        <f>VLOOKUP(B2501,'old-aw-skill-plan'!A:I,7,FALSE)</f>
        <v>3</v>
      </c>
      <c r="H2501" s="1" t="str">
        <f>VLOOKUP(B2501,'old-aw-skill-plan'!A:I,9,FALSE)</f>
        <v>3-1</v>
      </c>
    </row>
    <row r="2502" ht="15.75" customHeight="1">
      <c r="A2502" s="1" t="s">
        <v>63</v>
      </c>
      <c r="B2502" s="1" t="s">
        <v>44</v>
      </c>
      <c r="C2502" s="1" t="s">
        <v>11</v>
      </c>
      <c r="D2502" s="5">
        <v>45520.0</v>
      </c>
      <c r="G2502" s="1">
        <f>VLOOKUP(B2502,'old-aw-skill-plan'!A:I,7,FALSE)</f>
        <v>5</v>
      </c>
      <c r="H2502" s="1" t="str">
        <f>VLOOKUP(B2502,'old-aw-skill-plan'!A:I,9,FALSE)</f>
        <v>5-1</v>
      </c>
    </row>
    <row r="2503" ht="15.75" customHeight="1">
      <c r="A2503" s="1" t="s">
        <v>65</v>
      </c>
      <c r="B2503" s="1" t="s">
        <v>34</v>
      </c>
      <c r="C2503" s="1" t="s">
        <v>11</v>
      </c>
      <c r="D2503" s="5">
        <v>45520.0</v>
      </c>
      <c r="G2503" s="1">
        <f>VLOOKUP(B2503,'old-aw-skill-plan'!A:I,7,FALSE)</f>
        <v>4</v>
      </c>
      <c r="H2503" s="1" t="str">
        <f>VLOOKUP(B2503,'old-aw-skill-plan'!A:I,9,FALSE)</f>
        <v>4-1</v>
      </c>
    </row>
    <row r="2504" ht="15.75" customHeight="1">
      <c r="A2504" s="1" t="s">
        <v>183</v>
      </c>
      <c r="B2504" s="1" t="s">
        <v>44</v>
      </c>
      <c r="C2504" s="1" t="s">
        <v>11</v>
      </c>
      <c r="D2504" s="5">
        <v>45520.0</v>
      </c>
      <c r="G2504" s="1">
        <f>VLOOKUP(B2504,'old-aw-skill-plan'!A:I,7,FALSE)</f>
        <v>5</v>
      </c>
      <c r="H2504" s="1" t="str">
        <f>VLOOKUP(B2504,'old-aw-skill-plan'!A:I,9,FALSE)</f>
        <v>5-1</v>
      </c>
    </row>
    <row r="2505" ht="15.75" customHeight="1">
      <c r="A2505" s="1" t="s">
        <v>268</v>
      </c>
      <c r="B2505" s="1" t="s">
        <v>57</v>
      </c>
      <c r="C2505" s="1" t="s">
        <v>11</v>
      </c>
      <c r="D2505" s="5">
        <v>45520.0</v>
      </c>
      <c r="G2505" s="1">
        <f>VLOOKUP(B2505,'old-aw-skill-plan'!A:I,7,FALSE)</f>
        <v>3</v>
      </c>
      <c r="H2505" s="1" t="str">
        <f>VLOOKUP(B2505,'old-aw-skill-plan'!A:I,9,FALSE)</f>
        <v>3-7</v>
      </c>
    </row>
    <row r="2506" ht="15.75" customHeight="1">
      <c r="A2506" s="1" t="s">
        <v>68</v>
      </c>
      <c r="B2506" s="1" t="s">
        <v>10</v>
      </c>
      <c r="C2506" s="1" t="s">
        <v>11</v>
      </c>
      <c r="D2506" s="5">
        <v>45520.0</v>
      </c>
      <c r="G2506" s="1">
        <f>VLOOKUP(B2506,'old-aw-skill-plan'!A:I,7,FALSE)</f>
        <v>3</v>
      </c>
      <c r="H2506" s="1" t="str">
        <f>VLOOKUP(B2506,'old-aw-skill-plan'!A:I,9,FALSE)</f>
        <v>3-1</v>
      </c>
    </row>
    <row r="2507" ht="15.75" customHeight="1">
      <c r="A2507" s="1" t="s">
        <v>68</v>
      </c>
      <c r="B2507" s="1" t="s">
        <v>44</v>
      </c>
      <c r="C2507" s="1" t="s">
        <v>11</v>
      </c>
      <c r="D2507" s="5">
        <v>45520.0</v>
      </c>
      <c r="G2507" s="1">
        <f>VLOOKUP(B2507,'old-aw-skill-plan'!A:I,7,FALSE)</f>
        <v>5</v>
      </c>
      <c r="H2507" s="1" t="str">
        <f>VLOOKUP(B2507,'old-aw-skill-plan'!A:I,9,FALSE)</f>
        <v>5-1</v>
      </c>
    </row>
    <row r="2508" ht="15.75" customHeight="1">
      <c r="A2508" s="1" t="s">
        <v>197</v>
      </c>
      <c r="B2508" s="1" t="s">
        <v>44</v>
      </c>
      <c r="C2508" s="1" t="s">
        <v>11</v>
      </c>
      <c r="D2508" s="5">
        <v>45520.0</v>
      </c>
      <c r="G2508" s="1">
        <f>VLOOKUP(B2508,'old-aw-skill-plan'!A:I,7,FALSE)</f>
        <v>5</v>
      </c>
      <c r="H2508" s="1" t="str">
        <f>VLOOKUP(B2508,'old-aw-skill-plan'!A:I,9,FALSE)</f>
        <v>5-1</v>
      </c>
    </row>
    <row r="2509" ht="15.75" customHeight="1">
      <c r="A2509" s="1" t="s">
        <v>74</v>
      </c>
      <c r="B2509" s="1" t="s">
        <v>44</v>
      </c>
      <c r="C2509" s="1" t="s">
        <v>11</v>
      </c>
      <c r="D2509" s="5">
        <v>45520.0</v>
      </c>
      <c r="G2509" s="1">
        <f>VLOOKUP(B2509,'old-aw-skill-plan'!A:I,7,FALSE)</f>
        <v>5</v>
      </c>
      <c r="H2509" s="1" t="str">
        <f>VLOOKUP(B2509,'old-aw-skill-plan'!A:I,9,FALSE)</f>
        <v>5-1</v>
      </c>
    </row>
    <row r="2510" ht="15.75" customHeight="1">
      <c r="A2510" s="1" t="s">
        <v>205</v>
      </c>
      <c r="B2510" s="1" t="s">
        <v>44</v>
      </c>
      <c r="C2510" s="1" t="s">
        <v>11</v>
      </c>
      <c r="D2510" s="5">
        <v>45520.0</v>
      </c>
      <c r="G2510" s="1">
        <f>VLOOKUP(B2510,'old-aw-skill-plan'!A:I,7,FALSE)</f>
        <v>5</v>
      </c>
      <c r="H2510" s="1" t="str">
        <f>VLOOKUP(B2510,'old-aw-skill-plan'!A:I,9,FALSE)</f>
        <v>5-1</v>
      </c>
    </row>
    <row r="2511" ht="15.75" customHeight="1">
      <c r="A2511" s="1" t="s">
        <v>269</v>
      </c>
      <c r="B2511" s="1" t="s">
        <v>115</v>
      </c>
      <c r="C2511" s="1" t="s">
        <v>11</v>
      </c>
      <c r="D2511" s="5">
        <v>45520.0</v>
      </c>
      <c r="G2511" s="1">
        <f>VLOOKUP(B2511,'old-aw-skill-plan'!A:I,7,FALSE)</f>
        <v>3</v>
      </c>
      <c r="H2511" s="1" t="str">
        <f>VLOOKUP(B2511,'old-aw-skill-plan'!A:I,9,FALSE)</f>
        <v>3-10</v>
      </c>
    </row>
    <row r="2512" ht="15.75" customHeight="1">
      <c r="A2512" s="1" t="s">
        <v>75</v>
      </c>
      <c r="B2512" s="1" t="s">
        <v>10</v>
      </c>
      <c r="C2512" s="1" t="s">
        <v>11</v>
      </c>
      <c r="D2512" s="5">
        <v>45520.0</v>
      </c>
      <c r="G2512" s="1">
        <f>VLOOKUP(B2512,'old-aw-skill-plan'!A:I,7,FALSE)</f>
        <v>3</v>
      </c>
      <c r="H2512" s="1" t="str">
        <f>VLOOKUP(B2512,'old-aw-skill-plan'!A:I,9,FALSE)</f>
        <v>3-1</v>
      </c>
    </row>
    <row r="2513" ht="15.75" customHeight="1">
      <c r="A2513" s="1" t="s">
        <v>77</v>
      </c>
      <c r="B2513" s="1" t="s">
        <v>34</v>
      </c>
      <c r="C2513" s="1" t="s">
        <v>11</v>
      </c>
      <c r="D2513" s="5">
        <v>45520.0</v>
      </c>
      <c r="G2513" s="1">
        <f>VLOOKUP(B2513,'old-aw-skill-plan'!A:I,7,FALSE)</f>
        <v>4</v>
      </c>
      <c r="H2513" s="1" t="str">
        <f>VLOOKUP(B2513,'old-aw-skill-plan'!A:I,9,FALSE)</f>
        <v>4-1</v>
      </c>
    </row>
    <row r="2514" ht="15.75" customHeight="1">
      <c r="A2514" s="1" t="s">
        <v>265</v>
      </c>
      <c r="B2514" s="1" t="s">
        <v>87</v>
      </c>
      <c r="C2514" s="1" t="s">
        <v>11</v>
      </c>
      <c r="D2514" s="5">
        <v>45520.0</v>
      </c>
      <c r="G2514" s="1">
        <f>VLOOKUP(B2514,'old-aw-skill-plan'!A:I,7,FALSE)</f>
        <v>5</v>
      </c>
      <c r="H2514" s="1" t="str">
        <f>VLOOKUP(B2514,'old-aw-skill-plan'!A:I,9,FALSE)</f>
        <v>5-6</v>
      </c>
    </row>
    <row r="2515" ht="15.75" customHeight="1">
      <c r="A2515" s="1" t="s">
        <v>326</v>
      </c>
      <c r="B2515" s="1" t="s">
        <v>44</v>
      </c>
      <c r="C2515" s="1" t="s">
        <v>11</v>
      </c>
      <c r="D2515" s="5">
        <v>45520.0</v>
      </c>
      <c r="G2515" s="1">
        <f>VLOOKUP(B2515,'old-aw-skill-plan'!A:I,7,FALSE)</f>
        <v>5</v>
      </c>
      <c r="H2515" s="1" t="str">
        <f>VLOOKUP(B2515,'old-aw-skill-plan'!A:I,9,FALSE)</f>
        <v>5-1</v>
      </c>
    </row>
    <row r="2516" ht="15.75" customHeight="1">
      <c r="A2516" s="1" t="s">
        <v>101</v>
      </c>
      <c r="B2516" s="1" t="s">
        <v>34</v>
      </c>
      <c r="C2516" s="1" t="s">
        <v>11</v>
      </c>
      <c r="D2516" s="5">
        <v>45520.0</v>
      </c>
      <c r="G2516" s="1">
        <f>VLOOKUP(B2516,'old-aw-skill-plan'!A:I,7,FALSE)</f>
        <v>4</v>
      </c>
      <c r="H2516" s="1" t="str">
        <f>VLOOKUP(B2516,'old-aw-skill-plan'!A:I,9,FALSE)</f>
        <v>4-1</v>
      </c>
    </row>
    <row r="2517" ht="15.75" customHeight="1">
      <c r="A2517" s="1" t="s">
        <v>102</v>
      </c>
      <c r="B2517" s="1" t="s">
        <v>33</v>
      </c>
      <c r="C2517" s="1" t="s">
        <v>11</v>
      </c>
      <c r="D2517" s="5">
        <v>45520.0</v>
      </c>
      <c r="G2517" s="1">
        <f>VLOOKUP(B2517,'old-aw-skill-plan'!A:I,7,FALSE)</f>
        <v>3</v>
      </c>
      <c r="H2517" s="1" t="str">
        <f>VLOOKUP(B2517,'old-aw-skill-plan'!A:I,9,FALSE)</f>
        <v>3-5</v>
      </c>
    </row>
    <row r="2518" ht="15.75" customHeight="1">
      <c r="A2518" s="1" t="s">
        <v>365</v>
      </c>
      <c r="B2518" s="1" t="s">
        <v>44</v>
      </c>
      <c r="C2518" s="1" t="s">
        <v>11</v>
      </c>
      <c r="D2518" s="5">
        <v>45520.0</v>
      </c>
      <c r="G2518" s="1">
        <f>VLOOKUP(B2518,'old-aw-skill-plan'!A:I,7,FALSE)</f>
        <v>5</v>
      </c>
      <c r="H2518" s="1" t="str">
        <f>VLOOKUP(B2518,'old-aw-skill-plan'!A:I,9,FALSE)</f>
        <v>5-1</v>
      </c>
    </row>
    <row r="2519" ht="15.75" customHeight="1">
      <c r="A2519" s="1" t="s">
        <v>225</v>
      </c>
      <c r="B2519" s="1" t="s">
        <v>44</v>
      </c>
      <c r="C2519" s="1" t="s">
        <v>11</v>
      </c>
      <c r="D2519" s="5">
        <v>45520.0</v>
      </c>
      <c r="G2519" s="1">
        <f>VLOOKUP(B2519,'old-aw-skill-plan'!A:I,7,FALSE)</f>
        <v>5</v>
      </c>
      <c r="H2519" s="1" t="str">
        <f>VLOOKUP(B2519,'old-aw-skill-plan'!A:I,9,FALSE)</f>
        <v>5-1</v>
      </c>
    </row>
    <row r="2520" ht="15.75" customHeight="1">
      <c r="A2520" s="1" t="s">
        <v>266</v>
      </c>
      <c r="B2520" s="1" t="s">
        <v>57</v>
      </c>
      <c r="C2520" s="1" t="s">
        <v>11</v>
      </c>
      <c r="D2520" s="5">
        <v>45519.0</v>
      </c>
      <c r="G2520" s="1">
        <f>VLOOKUP(B2520,'old-aw-skill-plan'!A:I,7,FALSE)</f>
        <v>3</v>
      </c>
      <c r="H2520" s="1" t="str">
        <f>VLOOKUP(B2520,'old-aw-skill-plan'!A:I,9,FALSE)</f>
        <v>3-7</v>
      </c>
    </row>
    <row r="2521" ht="15.75" customHeight="1">
      <c r="A2521" s="1" t="s">
        <v>266</v>
      </c>
      <c r="B2521" s="1" t="s">
        <v>58</v>
      </c>
      <c r="C2521" s="1" t="s">
        <v>11</v>
      </c>
      <c r="D2521" s="5">
        <v>45519.0</v>
      </c>
      <c r="G2521" s="1">
        <f>VLOOKUP(B2521,'old-aw-skill-plan'!A:I,7,FALSE)</f>
        <v>3</v>
      </c>
      <c r="H2521" s="1" t="str">
        <f>VLOOKUP(B2521,'old-aw-skill-plan'!A:I,9,FALSE)</f>
        <v>3-8</v>
      </c>
    </row>
    <row r="2522" ht="15.75" customHeight="1">
      <c r="A2522" s="1" t="s">
        <v>35</v>
      </c>
      <c r="B2522" s="1" t="s">
        <v>79</v>
      </c>
      <c r="C2522" s="1" t="s">
        <v>11</v>
      </c>
      <c r="D2522" s="5">
        <v>45519.0</v>
      </c>
      <c r="G2522" s="1">
        <f>VLOOKUP(B2522,'old-aw-skill-plan'!A:I,7,FALSE)</f>
        <v>4</v>
      </c>
      <c r="H2522" s="1" t="str">
        <f>VLOOKUP(B2522,'old-aw-skill-plan'!A:I,9,FALSE)</f>
        <v>4-8</v>
      </c>
    </row>
    <row r="2523" ht="15.75" customHeight="1">
      <c r="A2523" s="1" t="s">
        <v>208</v>
      </c>
      <c r="B2523" s="1" t="s">
        <v>104</v>
      </c>
      <c r="C2523" s="1" t="s">
        <v>11</v>
      </c>
      <c r="D2523" s="5">
        <v>45519.0</v>
      </c>
      <c r="G2523" s="1">
        <f>VLOOKUP(B2523,'old-aw-skill-plan'!A:I,7,FALSE)</f>
        <v>5</v>
      </c>
      <c r="H2523" s="1" t="str">
        <f>VLOOKUP(B2523,'old-aw-skill-plan'!A:I,9,FALSE)</f>
        <v>5-2</v>
      </c>
    </row>
    <row r="2524" ht="15.75" customHeight="1">
      <c r="A2524" s="1" t="s">
        <v>43</v>
      </c>
      <c r="B2524" s="1" t="s">
        <v>47</v>
      </c>
      <c r="C2524" s="1" t="s">
        <v>11</v>
      </c>
      <c r="D2524" s="5">
        <v>45519.0</v>
      </c>
      <c r="G2524" s="1">
        <f>VLOOKUP(B2524,'old-aw-skill-plan'!A:I,7,FALSE)</f>
        <v>3</v>
      </c>
      <c r="H2524" s="1" t="str">
        <f>VLOOKUP(B2524,'old-aw-skill-plan'!A:I,9,FALSE)</f>
        <v>3-2</v>
      </c>
    </row>
    <row r="2525" ht="15.75" customHeight="1">
      <c r="A2525" s="1" t="s">
        <v>43</v>
      </c>
      <c r="B2525" s="1" t="s">
        <v>44</v>
      </c>
      <c r="C2525" s="1" t="s">
        <v>11</v>
      </c>
      <c r="D2525" s="5">
        <v>45519.0</v>
      </c>
      <c r="G2525" s="1">
        <f>VLOOKUP(B2525,'old-aw-skill-plan'!A:I,7,FALSE)</f>
        <v>5</v>
      </c>
      <c r="H2525" s="1" t="str">
        <f>VLOOKUP(B2525,'old-aw-skill-plan'!A:I,9,FALSE)</f>
        <v>5-1</v>
      </c>
    </row>
    <row r="2526" ht="15.75" customHeight="1">
      <c r="A2526" s="1" t="s">
        <v>271</v>
      </c>
      <c r="B2526" s="1" t="s">
        <v>57</v>
      </c>
      <c r="C2526" s="1" t="s">
        <v>11</v>
      </c>
      <c r="D2526" s="5">
        <v>45519.0</v>
      </c>
      <c r="G2526" s="1">
        <f>VLOOKUP(B2526,'old-aw-skill-plan'!A:I,7,FALSE)</f>
        <v>3</v>
      </c>
      <c r="H2526" s="1" t="str">
        <f>VLOOKUP(B2526,'old-aw-skill-plan'!A:I,9,FALSE)</f>
        <v>3-7</v>
      </c>
    </row>
    <row r="2527" ht="15.75" customHeight="1">
      <c r="A2527" s="1" t="s">
        <v>271</v>
      </c>
      <c r="B2527" s="1" t="s">
        <v>58</v>
      </c>
      <c r="C2527" s="1" t="s">
        <v>11</v>
      </c>
      <c r="D2527" s="5">
        <v>45519.0</v>
      </c>
      <c r="G2527" s="1">
        <f>VLOOKUP(B2527,'old-aw-skill-plan'!A:I,7,FALSE)</f>
        <v>3</v>
      </c>
      <c r="H2527" s="1" t="str">
        <f>VLOOKUP(B2527,'old-aw-skill-plan'!A:I,9,FALSE)</f>
        <v>3-8</v>
      </c>
    </row>
    <row r="2528" ht="15.75" customHeight="1">
      <c r="A2528" s="1" t="s">
        <v>207</v>
      </c>
      <c r="B2528" s="1" t="s">
        <v>44</v>
      </c>
      <c r="C2528" s="1" t="s">
        <v>11</v>
      </c>
      <c r="D2528" s="5">
        <v>45519.0</v>
      </c>
      <c r="G2528" s="1">
        <f>VLOOKUP(B2528,'old-aw-skill-plan'!A:I,7,FALSE)</f>
        <v>5</v>
      </c>
      <c r="H2528" s="1" t="str">
        <f>VLOOKUP(B2528,'old-aw-skill-plan'!A:I,9,FALSE)</f>
        <v>5-1</v>
      </c>
    </row>
    <row r="2529" ht="15.75" customHeight="1">
      <c r="A2529" s="1" t="s">
        <v>272</v>
      </c>
      <c r="B2529" s="1" t="s">
        <v>10</v>
      </c>
      <c r="C2529" s="1" t="s">
        <v>11</v>
      </c>
      <c r="D2529" s="5">
        <v>45519.0</v>
      </c>
      <c r="G2529" s="1">
        <f>VLOOKUP(B2529,'old-aw-skill-plan'!A:I,7,FALSE)</f>
        <v>3</v>
      </c>
      <c r="H2529" s="1" t="str">
        <f>VLOOKUP(B2529,'old-aw-skill-plan'!A:I,9,FALSE)</f>
        <v>3-1</v>
      </c>
    </row>
    <row r="2530" ht="15.75" customHeight="1">
      <c r="A2530" s="1" t="s">
        <v>272</v>
      </c>
      <c r="B2530" s="1" t="s">
        <v>47</v>
      </c>
      <c r="C2530" s="1" t="s">
        <v>11</v>
      </c>
      <c r="D2530" s="5">
        <v>45519.0</v>
      </c>
      <c r="G2530" s="1">
        <f>VLOOKUP(B2530,'old-aw-skill-plan'!A:I,7,FALSE)</f>
        <v>3</v>
      </c>
      <c r="H2530" s="1" t="str">
        <f>VLOOKUP(B2530,'old-aw-skill-plan'!A:I,9,FALSE)</f>
        <v>3-2</v>
      </c>
    </row>
    <row r="2531" ht="15.75" customHeight="1">
      <c r="A2531" s="1" t="s">
        <v>55</v>
      </c>
      <c r="B2531" s="1" t="s">
        <v>10</v>
      </c>
      <c r="C2531" s="1" t="s">
        <v>11</v>
      </c>
      <c r="D2531" s="5">
        <v>45519.0</v>
      </c>
      <c r="G2531" s="1">
        <f>VLOOKUP(B2531,'old-aw-skill-plan'!A:I,7,FALSE)</f>
        <v>3</v>
      </c>
      <c r="H2531" s="1" t="str">
        <f>VLOOKUP(B2531,'old-aw-skill-plan'!A:I,9,FALSE)</f>
        <v>3-1</v>
      </c>
    </row>
    <row r="2532" ht="15.75" customHeight="1">
      <c r="A2532" s="1" t="s">
        <v>55</v>
      </c>
      <c r="B2532" s="1" t="s">
        <v>44</v>
      </c>
      <c r="C2532" s="1" t="s">
        <v>11</v>
      </c>
      <c r="D2532" s="5">
        <v>45519.0</v>
      </c>
      <c r="G2532" s="1">
        <f>VLOOKUP(B2532,'old-aw-skill-plan'!A:I,7,FALSE)</f>
        <v>5</v>
      </c>
      <c r="H2532" s="1" t="str">
        <f>VLOOKUP(B2532,'old-aw-skill-plan'!A:I,9,FALSE)</f>
        <v>5-1</v>
      </c>
    </row>
    <row r="2533" ht="15.75" customHeight="1">
      <c r="A2533" s="1" t="s">
        <v>199</v>
      </c>
      <c r="B2533" s="1" t="s">
        <v>34</v>
      </c>
      <c r="C2533" s="1" t="s">
        <v>11</v>
      </c>
      <c r="D2533" s="5">
        <v>45519.0</v>
      </c>
      <c r="G2533" s="1">
        <f>VLOOKUP(B2533,'old-aw-skill-plan'!A:I,7,FALSE)</f>
        <v>4</v>
      </c>
      <c r="H2533" s="1" t="str">
        <f>VLOOKUP(B2533,'old-aw-skill-plan'!A:I,9,FALSE)</f>
        <v>4-1</v>
      </c>
    </row>
    <row r="2534" ht="15.75" customHeight="1">
      <c r="A2534" s="1" t="s">
        <v>273</v>
      </c>
      <c r="B2534" s="1" t="s">
        <v>30</v>
      </c>
      <c r="C2534" s="1" t="s">
        <v>11</v>
      </c>
      <c r="D2534" s="5">
        <v>45519.0</v>
      </c>
      <c r="G2534" s="1">
        <f>VLOOKUP(B2534,'old-aw-skill-plan'!A:I,7,FALSE)</f>
        <v>3</v>
      </c>
      <c r="H2534" s="1" t="str">
        <f>VLOOKUP(B2534,'old-aw-skill-plan'!A:I,9,FALSE)</f>
        <v>3-3</v>
      </c>
    </row>
    <row r="2535" ht="15.75" customHeight="1">
      <c r="A2535" s="1" t="s">
        <v>239</v>
      </c>
      <c r="B2535" s="1" t="s">
        <v>10</v>
      </c>
      <c r="C2535" s="1" t="s">
        <v>11</v>
      </c>
      <c r="D2535" s="5">
        <v>45519.0</v>
      </c>
      <c r="G2535" s="1">
        <f>VLOOKUP(B2535,'old-aw-skill-plan'!A:I,7,FALSE)</f>
        <v>3</v>
      </c>
      <c r="H2535" s="1" t="str">
        <f>VLOOKUP(B2535,'old-aw-skill-plan'!A:I,9,FALSE)</f>
        <v>3-1</v>
      </c>
    </row>
    <row r="2536" ht="15.75" customHeight="1">
      <c r="A2536" s="1" t="s">
        <v>239</v>
      </c>
      <c r="B2536" s="1" t="s">
        <v>30</v>
      </c>
      <c r="C2536" s="1" t="s">
        <v>11</v>
      </c>
      <c r="D2536" s="5">
        <v>45519.0</v>
      </c>
      <c r="G2536" s="1">
        <f>VLOOKUP(B2536,'old-aw-skill-plan'!A:I,7,FALSE)</f>
        <v>3</v>
      </c>
      <c r="H2536" s="1" t="str">
        <f>VLOOKUP(B2536,'old-aw-skill-plan'!A:I,9,FALSE)</f>
        <v>3-3</v>
      </c>
    </row>
    <row r="2537" ht="15.75" customHeight="1">
      <c r="A2537" s="1" t="s">
        <v>239</v>
      </c>
      <c r="B2537" s="1" t="s">
        <v>44</v>
      </c>
      <c r="C2537" s="1" t="s">
        <v>11</v>
      </c>
      <c r="D2537" s="5">
        <v>45519.0</v>
      </c>
      <c r="G2537" s="1">
        <f>VLOOKUP(B2537,'old-aw-skill-plan'!A:I,7,FALSE)</f>
        <v>5</v>
      </c>
      <c r="H2537" s="1" t="str">
        <f>VLOOKUP(B2537,'old-aw-skill-plan'!A:I,9,FALSE)</f>
        <v>5-1</v>
      </c>
    </row>
    <row r="2538" ht="15.75" customHeight="1">
      <c r="A2538" s="1" t="s">
        <v>237</v>
      </c>
      <c r="B2538" s="1" t="s">
        <v>58</v>
      </c>
      <c r="C2538" s="1" t="s">
        <v>11</v>
      </c>
      <c r="D2538" s="5">
        <v>45519.0</v>
      </c>
      <c r="G2538" s="1">
        <f>VLOOKUP(B2538,'old-aw-skill-plan'!A:I,7,FALSE)</f>
        <v>3</v>
      </c>
      <c r="H2538" s="1" t="str">
        <f>VLOOKUP(B2538,'old-aw-skill-plan'!A:I,9,FALSE)</f>
        <v>3-8</v>
      </c>
    </row>
    <row r="2539" ht="15.75" customHeight="1">
      <c r="A2539" s="1" t="s">
        <v>267</v>
      </c>
      <c r="B2539" s="1" t="s">
        <v>44</v>
      </c>
      <c r="C2539" s="1" t="s">
        <v>11</v>
      </c>
      <c r="D2539" s="5">
        <v>45519.0</v>
      </c>
      <c r="G2539" s="1">
        <f>VLOOKUP(B2539,'old-aw-skill-plan'!A:I,7,FALSE)</f>
        <v>5</v>
      </c>
      <c r="H2539" s="1" t="str">
        <f>VLOOKUP(B2539,'old-aw-skill-plan'!A:I,9,FALSE)</f>
        <v>5-1</v>
      </c>
    </row>
    <row r="2540" ht="15.75" customHeight="1">
      <c r="A2540" s="1" t="s">
        <v>267</v>
      </c>
      <c r="B2540" s="1" t="s">
        <v>104</v>
      </c>
      <c r="C2540" s="1" t="s">
        <v>11</v>
      </c>
      <c r="D2540" s="5">
        <v>45519.0</v>
      </c>
      <c r="G2540" s="1">
        <f>VLOOKUP(B2540,'old-aw-skill-plan'!A:I,7,FALSE)</f>
        <v>5</v>
      </c>
      <c r="H2540" s="1" t="str">
        <f>VLOOKUP(B2540,'old-aw-skill-plan'!A:I,9,FALSE)</f>
        <v>5-2</v>
      </c>
    </row>
    <row r="2541" ht="15.75" customHeight="1">
      <c r="A2541" s="1" t="s">
        <v>238</v>
      </c>
      <c r="B2541" s="1" t="s">
        <v>30</v>
      </c>
      <c r="C2541" s="1" t="s">
        <v>11</v>
      </c>
      <c r="D2541" s="5">
        <v>45519.0</v>
      </c>
      <c r="G2541" s="1">
        <f>VLOOKUP(B2541,'old-aw-skill-plan'!A:I,7,FALSE)</f>
        <v>3</v>
      </c>
      <c r="H2541" s="1" t="str">
        <f>VLOOKUP(B2541,'old-aw-skill-plan'!A:I,9,FALSE)</f>
        <v>3-3</v>
      </c>
    </row>
    <row r="2542" ht="15.75" customHeight="1">
      <c r="A2542" s="1" t="s">
        <v>274</v>
      </c>
      <c r="B2542" s="1" t="s">
        <v>44</v>
      </c>
      <c r="C2542" s="1" t="s">
        <v>11</v>
      </c>
      <c r="D2542" s="5">
        <v>45519.0</v>
      </c>
      <c r="G2542" s="1">
        <f>VLOOKUP(B2542,'old-aw-skill-plan'!A:I,7,FALSE)</f>
        <v>5</v>
      </c>
      <c r="H2542" s="1" t="str">
        <f>VLOOKUP(B2542,'old-aw-skill-plan'!A:I,9,FALSE)</f>
        <v>5-1</v>
      </c>
    </row>
    <row r="2543" ht="15.75" customHeight="1">
      <c r="A2543" s="1" t="s">
        <v>81</v>
      </c>
      <c r="B2543" s="1" t="s">
        <v>40</v>
      </c>
      <c r="C2543" s="1" t="s">
        <v>11</v>
      </c>
      <c r="D2543" s="5">
        <v>45519.0</v>
      </c>
      <c r="G2543" s="1">
        <f>VLOOKUP(B2543,'old-aw-skill-plan'!A:I,7,FALSE)</f>
        <v>4</v>
      </c>
      <c r="H2543" s="1" t="str">
        <f>VLOOKUP(B2543,'old-aw-skill-plan'!A:I,9,FALSE)</f>
        <v>4-10</v>
      </c>
    </row>
    <row r="2544" ht="15.75" customHeight="1">
      <c r="A2544" s="1" t="s">
        <v>230</v>
      </c>
      <c r="B2544" s="1" t="s">
        <v>28</v>
      </c>
      <c r="C2544" s="1" t="s">
        <v>11</v>
      </c>
      <c r="D2544" s="5">
        <v>45519.0</v>
      </c>
      <c r="G2544" s="1">
        <f>VLOOKUP(B2544,'old-aw-skill-plan'!A:I,7,FALSE)</f>
        <v>3</v>
      </c>
      <c r="H2544" s="1" t="str">
        <f>VLOOKUP(B2544,'old-aw-skill-plan'!A:I,9,FALSE)</f>
        <v>3-4</v>
      </c>
    </row>
    <row r="2545" ht="15.75" customHeight="1">
      <c r="A2545" s="1" t="s">
        <v>60</v>
      </c>
      <c r="B2545" s="1" t="s">
        <v>61</v>
      </c>
      <c r="C2545" s="1" t="s">
        <v>11</v>
      </c>
      <c r="D2545" s="5">
        <v>45519.0</v>
      </c>
      <c r="G2545" s="1">
        <f>VLOOKUP(B2545,'old-aw-skill-plan'!A:I,7,FALSE)</f>
        <v>4</v>
      </c>
      <c r="H2545" s="1" t="str">
        <f>VLOOKUP(B2545,'old-aw-skill-plan'!A:I,9,FALSE)</f>
        <v>4-4</v>
      </c>
    </row>
    <row r="2546" ht="15.75" customHeight="1">
      <c r="A2546" s="1" t="s">
        <v>63</v>
      </c>
      <c r="B2546" s="1" t="s">
        <v>10</v>
      </c>
      <c r="C2546" s="1" t="s">
        <v>11</v>
      </c>
      <c r="D2546" s="5">
        <v>45519.0</v>
      </c>
      <c r="G2546" s="1">
        <f>VLOOKUP(B2546,'old-aw-skill-plan'!A:I,7,FALSE)</f>
        <v>3</v>
      </c>
      <c r="H2546" s="1" t="str">
        <f>VLOOKUP(B2546,'old-aw-skill-plan'!A:I,9,FALSE)</f>
        <v>3-1</v>
      </c>
    </row>
    <row r="2547" ht="15.75" customHeight="1">
      <c r="A2547" s="1" t="s">
        <v>65</v>
      </c>
      <c r="B2547" s="1" t="s">
        <v>34</v>
      </c>
      <c r="C2547" s="1" t="s">
        <v>11</v>
      </c>
      <c r="D2547" s="5">
        <v>45519.0</v>
      </c>
      <c r="G2547" s="1">
        <f>VLOOKUP(B2547,'old-aw-skill-plan'!A:I,7,FALSE)</f>
        <v>4</v>
      </c>
      <c r="H2547" s="1" t="str">
        <f>VLOOKUP(B2547,'old-aw-skill-plan'!A:I,9,FALSE)</f>
        <v>4-1</v>
      </c>
    </row>
    <row r="2548" ht="15.75" customHeight="1">
      <c r="A2548" s="1" t="s">
        <v>183</v>
      </c>
      <c r="B2548" s="1" t="s">
        <v>10</v>
      </c>
      <c r="C2548" s="1" t="s">
        <v>11</v>
      </c>
      <c r="D2548" s="5">
        <v>45519.0</v>
      </c>
      <c r="G2548" s="1">
        <f>VLOOKUP(B2548,'old-aw-skill-plan'!A:I,7,FALSE)</f>
        <v>3</v>
      </c>
      <c r="H2548" s="1" t="str">
        <f>VLOOKUP(B2548,'old-aw-skill-plan'!A:I,9,FALSE)</f>
        <v>3-1</v>
      </c>
    </row>
    <row r="2549" ht="15.75" customHeight="1">
      <c r="A2549" s="1" t="s">
        <v>183</v>
      </c>
      <c r="B2549" s="1" t="s">
        <v>44</v>
      </c>
      <c r="C2549" s="1" t="s">
        <v>11</v>
      </c>
      <c r="D2549" s="5">
        <v>45519.0</v>
      </c>
      <c r="G2549" s="1">
        <f>VLOOKUP(B2549,'old-aw-skill-plan'!A:I,7,FALSE)</f>
        <v>5</v>
      </c>
      <c r="H2549" s="1" t="str">
        <f>VLOOKUP(B2549,'old-aw-skill-plan'!A:I,9,FALSE)</f>
        <v>5-1</v>
      </c>
    </row>
    <row r="2550" ht="15.75" customHeight="1">
      <c r="A2550" s="1" t="s">
        <v>275</v>
      </c>
      <c r="B2550" s="1" t="s">
        <v>44</v>
      </c>
      <c r="C2550" s="1" t="s">
        <v>11</v>
      </c>
      <c r="D2550" s="5">
        <v>45519.0</v>
      </c>
      <c r="G2550" s="1">
        <f>VLOOKUP(B2550,'old-aw-skill-plan'!A:I,7,FALSE)</f>
        <v>5</v>
      </c>
      <c r="H2550" s="1" t="str">
        <f>VLOOKUP(B2550,'old-aw-skill-plan'!A:I,9,FALSE)</f>
        <v>5-1</v>
      </c>
    </row>
    <row r="2551" ht="15.75" customHeight="1">
      <c r="A2551" s="1" t="s">
        <v>276</v>
      </c>
      <c r="B2551" s="1" t="s">
        <v>88</v>
      </c>
      <c r="C2551" s="1" t="s">
        <v>11</v>
      </c>
      <c r="D2551" s="5">
        <v>45519.0</v>
      </c>
      <c r="G2551" s="1">
        <f>VLOOKUP(B2551,'old-aw-skill-plan'!A:I,7,FALSE)</f>
        <v>5</v>
      </c>
      <c r="H2551" s="1" t="str">
        <f>VLOOKUP(B2551,'old-aw-skill-plan'!A:I,9,FALSE)</f>
        <v>5-5</v>
      </c>
    </row>
    <row r="2552" ht="15.75" customHeight="1">
      <c r="A2552" s="1" t="s">
        <v>268</v>
      </c>
      <c r="B2552" s="1" t="s">
        <v>57</v>
      </c>
      <c r="C2552" s="1" t="s">
        <v>11</v>
      </c>
      <c r="D2552" s="5">
        <v>45519.0</v>
      </c>
      <c r="G2552" s="1">
        <f>VLOOKUP(B2552,'old-aw-skill-plan'!A:I,7,FALSE)</f>
        <v>3</v>
      </c>
      <c r="H2552" s="1" t="str">
        <f>VLOOKUP(B2552,'old-aw-skill-plan'!A:I,9,FALSE)</f>
        <v>3-7</v>
      </c>
    </row>
    <row r="2553" ht="15.75" customHeight="1">
      <c r="A2553" s="1" t="s">
        <v>268</v>
      </c>
      <c r="B2553" s="1" t="s">
        <v>117</v>
      </c>
      <c r="C2553" s="1" t="s">
        <v>11</v>
      </c>
      <c r="D2553" s="5">
        <v>45519.0</v>
      </c>
      <c r="G2553" s="1">
        <f>VLOOKUP(B2553,'old-aw-skill-plan'!A:I,7,FALSE)</f>
        <v>3</v>
      </c>
      <c r="H2553" s="1" t="str">
        <f>VLOOKUP(B2553,'old-aw-skill-plan'!A:I,9,FALSE)</f>
        <v>3-11</v>
      </c>
    </row>
    <row r="2554" ht="15.75" customHeight="1">
      <c r="A2554" s="1" t="s">
        <v>268</v>
      </c>
      <c r="B2554" s="1" t="s">
        <v>33</v>
      </c>
      <c r="C2554" s="1" t="s">
        <v>11</v>
      </c>
      <c r="D2554" s="5">
        <v>45519.0</v>
      </c>
      <c r="G2554" s="1">
        <f>VLOOKUP(B2554,'old-aw-skill-plan'!A:I,7,FALSE)</f>
        <v>3</v>
      </c>
      <c r="H2554" s="1" t="str">
        <f>VLOOKUP(B2554,'old-aw-skill-plan'!A:I,9,FALSE)</f>
        <v>3-5</v>
      </c>
    </row>
    <row r="2555" ht="15.75" customHeight="1">
      <c r="A2555" s="1" t="s">
        <v>68</v>
      </c>
      <c r="B2555" s="1" t="s">
        <v>10</v>
      </c>
      <c r="C2555" s="1" t="s">
        <v>11</v>
      </c>
      <c r="D2555" s="5">
        <v>45519.0</v>
      </c>
      <c r="G2555" s="1">
        <f>VLOOKUP(B2555,'old-aw-skill-plan'!A:I,7,FALSE)</f>
        <v>3</v>
      </c>
      <c r="H2555" s="1" t="str">
        <f>VLOOKUP(B2555,'old-aw-skill-plan'!A:I,9,FALSE)</f>
        <v>3-1</v>
      </c>
    </row>
    <row r="2556" ht="15.75" customHeight="1">
      <c r="A2556" s="1" t="s">
        <v>197</v>
      </c>
      <c r="B2556" s="1" t="s">
        <v>374</v>
      </c>
      <c r="C2556" s="1" t="s">
        <v>11</v>
      </c>
      <c r="D2556" s="5">
        <v>45519.0</v>
      </c>
      <c r="G2556" s="1">
        <f>VLOOKUP(B2556,'old-aw-skill-plan'!A:I,7,FALSE)</f>
        <v>4</v>
      </c>
      <c r="H2556" s="1" t="str">
        <f>VLOOKUP(B2556,'old-aw-skill-plan'!A:I,9,FALSE)</f>
        <v>4-11</v>
      </c>
    </row>
    <row r="2557" ht="15.75" customHeight="1">
      <c r="A2557" s="1" t="s">
        <v>209</v>
      </c>
      <c r="B2557" s="1" t="s">
        <v>25</v>
      </c>
      <c r="C2557" s="1" t="s">
        <v>11</v>
      </c>
      <c r="D2557" s="5">
        <v>45519.0</v>
      </c>
      <c r="G2557" s="1">
        <f>VLOOKUP(B2557,'old-aw-skill-plan'!A:I,7,FALSE)</f>
        <v>5</v>
      </c>
      <c r="H2557" s="1" t="str">
        <f>VLOOKUP(B2557,'old-aw-skill-plan'!A:I,9,FALSE)</f>
        <v>5-4</v>
      </c>
    </row>
    <row r="2558" ht="15.75" customHeight="1">
      <c r="A2558" s="1" t="s">
        <v>74</v>
      </c>
      <c r="B2558" s="1" t="s">
        <v>44</v>
      </c>
      <c r="C2558" s="1" t="s">
        <v>11</v>
      </c>
      <c r="D2558" s="5">
        <v>45519.0</v>
      </c>
      <c r="G2558" s="1">
        <f>VLOOKUP(B2558,'old-aw-skill-plan'!A:I,7,FALSE)</f>
        <v>5</v>
      </c>
      <c r="H2558" s="1" t="str">
        <f>VLOOKUP(B2558,'old-aw-skill-plan'!A:I,9,FALSE)</f>
        <v>5-1</v>
      </c>
    </row>
    <row r="2559" ht="15.75" customHeight="1">
      <c r="A2559" s="1" t="s">
        <v>205</v>
      </c>
      <c r="B2559" s="1" t="s">
        <v>10</v>
      </c>
      <c r="C2559" s="1" t="s">
        <v>11</v>
      </c>
      <c r="D2559" s="5">
        <v>45519.0</v>
      </c>
      <c r="G2559" s="1">
        <f>VLOOKUP(B2559,'old-aw-skill-plan'!A:I,7,FALSE)</f>
        <v>3</v>
      </c>
      <c r="H2559" s="1" t="str">
        <f>VLOOKUP(B2559,'old-aw-skill-plan'!A:I,9,FALSE)</f>
        <v>3-1</v>
      </c>
    </row>
    <row r="2560" ht="15.75" customHeight="1">
      <c r="A2560" s="1" t="s">
        <v>269</v>
      </c>
      <c r="B2560" s="1" t="s">
        <v>115</v>
      </c>
      <c r="C2560" s="1" t="s">
        <v>11</v>
      </c>
      <c r="D2560" s="5">
        <v>45519.0</v>
      </c>
      <c r="G2560" s="1">
        <f>VLOOKUP(B2560,'old-aw-skill-plan'!A:I,7,FALSE)</f>
        <v>3</v>
      </c>
      <c r="H2560" s="1" t="str">
        <f>VLOOKUP(B2560,'old-aw-skill-plan'!A:I,9,FALSE)</f>
        <v>3-10</v>
      </c>
    </row>
    <row r="2561" ht="15.75" customHeight="1">
      <c r="A2561" s="1" t="s">
        <v>75</v>
      </c>
      <c r="B2561" s="1" t="s">
        <v>10</v>
      </c>
      <c r="C2561" s="1" t="s">
        <v>11</v>
      </c>
      <c r="D2561" s="5">
        <v>45519.0</v>
      </c>
      <c r="G2561" s="1">
        <f>VLOOKUP(B2561,'old-aw-skill-plan'!A:I,7,FALSE)</f>
        <v>3</v>
      </c>
      <c r="H2561" s="1" t="str">
        <f>VLOOKUP(B2561,'old-aw-skill-plan'!A:I,9,FALSE)</f>
        <v>3-1</v>
      </c>
    </row>
    <row r="2562" ht="15.75" customHeight="1">
      <c r="A2562" s="1" t="s">
        <v>226</v>
      </c>
      <c r="B2562" s="1" t="s">
        <v>117</v>
      </c>
      <c r="C2562" s="1" t="s">
        <v>11</v>
      </c>
      <c r="D2562" s="5">
        <v>45519.0</v>
      </c>
      <c r="G2562" s="1">
        <f>VLOOKUP(B2562,'old-aw-skill-plan'!A:I,7,FALSE)</f>
        <v>3</v>
      </c>
      <c r="H2562" s="1" t="str">
        <f>VLOOKUP(B2562,'old-aw-skill-plan'!A:I,9,FALSE)</f>
        <v>3-11</v>
      </c>
    </row>
    <row r="2563" ht="15.75" customHeight="1">
      <c r="A2563" s="1" t="s">
        <v>265</v>
      </c>
      <c r="B2563" s="1" t="s">
        <v>87</v>
      </c>
      <c r="C2563" s="1" t="s">
        <v>11</v>
      </c>
      <c r="D2563" s="5">
        <v>45519.0</v>
      </c>
      <c r="G2563" s="1">
        <f>VLOOKUP(B2563,'old-aw-skill-plan'!A:I,7,FALSE)</f>
        <v>5</v>
      </c>
      <c r="H2563" s="1" t="str">
        <f>VLOOKUP(B2563,'old-aw-skill-plan'!A:I,9,FALSE)</f>
        <v>5-6</v>
      </c>
    </row>
    <row r="2564" ht="15.75" customHeight="1">
      <c r="A2564" s="1" t="s">
        <v>326</v>
      </c>
      <c r="B2564" s="1" t="s">
        <v>10</v>
      </c>
      <c r="C2564" s="1" t="s">
        <v>11</v>
      </c>
      <c r="D2564" s="5">
        <v>45519.0</v>
      </c>
      <c r="G2564" s="1">
        <f>VLOOKUP(B2564,'old-aw-skill-plan'!A:I,7,FALSE)</f>
        <v>3</v>
      </c>
      <c r="H2564" s="1" t="str">
        <f>VLOOKUP(B2564,'old-aw-skill-plan'!A:I,9,FALSE)</f>
        <v>3-1</v>
      </c>
    </row>
    <row r="2565" ht="15.75" customHeight="1">
      <c r="A2565" s="1" t="s">
        <v>326</v>
      </c>
      <c r="B2565" s="1" t="s">
        <v>44</v>
      </c>
      <c r="C2565" s="1" t="s">
        <v>11</v>
      </c>
      <c r="D2565" s="5">
        <v>45519.0</v>
      </c>
      <c r="G2565" s="1">
        <f>VLOOKUP(B2565,'old-aw-skill-plan'!A:I,7,FALSE)</f>
        <v>5</v>
      </c>
      <c r="H2565" s="1" t="str">
        <f>VLOOKUP(B2565,'old-aw-skill-plan'!A:I,9,FALSE)</f>
        <v>5-1</v>
      </c>
    </row>
    <row r="2566" ht="15.75" customHeight="1">
      <c r="A2566" s="1" t="s">
        <v>277</v>
      </c>
      <c r="B2566" s="1" t="s">
        <v>44</v>
      </c>
      <c r="C2566" s="1" t="s">
        <v>11</v>
      </c>
      <c r="D2566" s="5">
        <v>45519.0</v>
      </c>
      <c r="G2566" s="1">
        <f>VLOOKUP(B2566,'old-aw-skill-plan'!A:I,7,FALSE)</f>
        <v>5</v>
      </c>
      <c r="H2566" s="1" t="str">
        <f>VLOOKUP(B2566,'old-aw-skill-plan'!A:I,9,FALSE)</f>
        <v>5-1</v>
      </c>
    </row>
    <row r="2567" ht="15.75" customHeight="1">
      <c r="A2567" s="1" t="s">
        <v>365</v>
      </c>
      <c r="B2567" s="1" t="s">
        <v>34</v>
      </c>
      <c r="C2567" s="1" t="s">
        <v>11</v>
      </c>
      <c r="D2567" s="5">
        <v>45519.0</v>
      </c>
      <c r="G2567" s="1">
        <f>VLOOKUP(B2567,'old-aw-skill-plan'!A:I,7,FALSE)</f>
        <v>4</v>
      </c>
      <c r="H2567" s="1" t="str">
        <f>VLOOKUP(B2567,'old-aw-skill-plan'!A:I,9,FALSE)</f>
        <v>4-1</v>
      </c>
    </row>
    <row r="2568" ht="15.75" customHeight="1">
      <c r="A2568" s="1" t="s">
        <v>347</v>
      </c>
      <c r="B2568" s="1" t="s">
        <v>25</v>
      </c>
      <c r="C2568" s="1" t="s">
        <v>11</v>
      </c>
      <c r="D2568" s="5">
        <v>45519.0</v>
      </c>
      <c r="G2568" s="1">
        <f>VLOOKUP(B2568,'old-aw-skill-plan'!A:I,7,FALSE)</f>
        <v>5</v>
      </c>
      <c r="H2568" s="1" t="str">
        <f>VLOOKUP(B2568,'old-aw-skill-plan'!A:I,9,FALSE)</f>
        <v>5-4</v>
      </c>
    </row>
    <row r="2569" ht="15.75" customHeight="1">
      <c r="A2569" s="1" t="s">
        <v>276</v>
      </c>
      <c r="B2569" s="1" t="s">
        <v>25</v>
      </c>
      <c r="C2569" s="1" t="s">
        <v>11</v>
      </c>
      <c r="D2569" s="5">
        <v>45518.0</v>
      </c>
      <c r="G2569" s="1">
        <f>VLOOKUP(B2569,'old-aw-skill-plan'!A:I,7,FALSE)</f>
        <v>5</v>
      </c>
      <c r="H2569" s="1" t="str">
        <f>VLOOKUP(B2569,'old-aw-skill-plan'!A:I,9,FALSE)</f>
        <v>5-4</v>
      </c>
    </row>
    <row r="2570" ht="15.75" customHeight="1">
      <c r="A2570" s="1" t="s">
        <v>412</v>
      </c>
      <c r="B2570" s="1" t="s">
        <v>10</v>
      </c>
      <c r="C2570" s="1" t="s">
        <v>11</v>
      </c>
      <c r="D2570" s="5">
        <v>45509.0</v>
      </c>
      <c r="G2570" s="1">
        <f>VLOOKUP(B2570,'old-aw-skill-plan'!A:I,7,FALSE)</f>
        <v>3</v>
      </c>
      <c r="H2570" s="1" t="str">
        <f>VLOOKUP(B2570,'old-aw-skill-plan'!A:I,9,FALSE)</f>
        <v>3-1</v>
      </c>
    </row>
    <row r="2571" ht="15.75" customHeight="1">
      <c r="A2571" s="1" t="s">
        <v>411</v>
      </c>
      <c r="B2571" s="1" t="s">
        <v>307</v>
      </c>
      <c r="C2571" s="1" t="s">
        <v>11</v>
      </c>
      <c r="D2571" s="5">
        <v>45508.0</v>
      </c>
      <c r="G2571" s="1">
        <f>VLOOKUP(B2571,'old-aw-skill-plan'!A:I,7,FALSE)</f>
        <v>3</v>
      </c>
      <c r="H2571" s="1" t="str">
        <f>VLOOKUP(B2571,'old-aw-skill-plan'!A:I,9,FALSE)</f>
        <v>3-1</v>
      </c>
    </row>
    <row r="2572" ht="15.75" customHeight="1">
      <c r="A2572" s="1" t="s">
        <v>413</v>
      </c>
      <c r="B2572" s="1" t="s">
        <v>414</v>
      </c>
      <c r="C2572" s="1" t="s">
        <v>11</v>
      </c>
      <c r="D2572" s="5">
        <v>45497.0</v>
      </c>
      <c r="G2572" s="1" t="str">
        <f>VLOOKUP(B2572,'old-aw-skill-plan'!A:I,7,FALSE)</f>
        <v>#N/A</v>
      </c>
      <c r="H2572" s="1" t="str">
        <f>VLOOKUP(B2572,'old-aw-skill-plan'!A:I,9,FALSE)</f>
        <v>#N/A</v>
      </c>
    </row>
    <row r="2573" ht="15.75" customHeight="1">
      <c r="A2573" s="1" t="s">
        <v>413</v>
      </c>
      <c r="B2573" s="1" t="s">
        <v>312</v>
      </c>
      <c r="C2573" s="1" t="s">
        <v>11</v>
      </c>
      <c r="D2573" s="5">
        <v>45497.0</v>
      </c>
      <c r="G2573" s="1" t="str">
        <f>VLOOKUP(B2573,'old-aw-skill-plan'!A:I,7,FALSE)</f>
        <v>#N/A</v>
      </c>
      <c r="H2573" s="1" t="str">
        <f>VLOOKUP(B2573,'old-aw-skill-plan'!A:I,9,FALSE)</f>
        <v>#N/A</v>
      </c>
    </row>
    <row r="2574" ht="15.75" customHeight="1">
      <c r="A2574" s="1" t="s">
        <v>413</v>
      </c>
      <c r="B2574" s="1" t="s">
        <v>415</v>
      </c>
      <c r="C2574" s="1" t="s">
        <v>11</v>
      </c>
      <c r="D2574" s="5">
        <v>45497.0</v>
      </c>
      <c r="G2574" s="1" t="str">
        <f>VLOOKUP(B2574,'old-aw-skill-plan'!A:I,7,FALSE)</f>
        <v>#N/A</v>
      </c>
      <c r="H2574" s="1" t="str">
        <f>VLOOKUP(B2574,'old-aw-skill-plan'!A:I,9,FALSE)</f>
        <v>#N/A</v>
      </c>
    </row>
    <row r="2575" ht="15.75" customHeight="1">
      <c r="A2575" s="1" t="s">
        <v>413</v>
      </c>
      <c r="B2575" s="1" t="s">
        <v>310</v>
      </c>
      <c r="C2575" s="1" t="s">
        <v>11</v>
      </c>
      <c r="D2575" s="5">
        <v>45496.0</v>
      </c>
      <c r="G2575" s="1" t="str">
        <f>VLOOKUP(B2575,'old-aw-skill-plan'!A:I,7,FALSE)</f>
        <v>#N/A</v>
      </c>
      <c r="H2575" s="1" t="str">
        <f>VLOOKUP(B2575,'old-aw-skill-plan'!A:I,9,FALSE)</f>
        <v>#N/A</v>
      </c>
    </row>
    <row r="2576" ht="15.75" customHeight="1">
      <c r="A2576" s="1" t="s">
        <v>413</v>
      </c>
      <c r="B2576" s="1" t="s">
        <v>416</v>
      </c>
      <c r="C2576" s="1" t="s">
        <v>11</v>
      </c>
      <c r="D2576" s="5">
        <v>45496.0</v>
      </c>
      <c r="G2576" s="1" t="str">
        <f>VLOOKUP(B2576,'old-aw-skill-plan'!A:I,7,FALSE)</f>
        <v>#N/A</v>
      </c>
      <c r="H2576" s="1" t="str">
        <f>VLOOKUP(B2576,'old-aw-skill-plan'!A:I,9,FALSE)</f>
        <v>#N/A</v>
      </c>
    </row>
    <row r="2577" ht="15.75" customHeight="1">
      <c r="A2577" s="1" t="s">
        <v>413</v>
      </c>
      <c r="B2577" s="1" t="s">
        <v>330</v>
      </c>
      <c r="C2577" s="1" t="s">
        <v>11</v>
      </c>
      <c r="D2577" s="5">
        <v>45496.0</v>
      </c>
      <c r="G2577" s="1" t="str">
        <f>VLOOKUP(B2577,'old-aw-skill-plan'!A:I,7,FALSE)</f>
        <v>#N/A</v>
      </c>
      <c r="H2577" s="1" t="str">
        <f>VLOOKUP(B2577,'old-aw-skill-plan'!A:I,9,FALSE)</f>
        <v>#N/A</v>
      </c>
    </row>
    <row r="2578" ht="15.75" customHeight="1">
      <c r="A2578" s="1" t="s">
        <v>347</v>
      </c>
      <c r="B2578" s="1" t="s">
        <v>84</v>
      </c>
      <c r="C2578" s="1" t="s">
        <v>11</v>
      </c>
      <c r="D2578" s="5">
        <v>45483.0</v>
      </c>
      <c r="G2578" s="1">
        <f>VLOOKUP(B2578,'old-aw-skill-plan'!A:I,7,FALSE)</f>
        <v>5</v>
      </c>
      <c r="H2578" s="1" t="str">
        <f>VLOOKUP(B2578,'old-aw-skill-plan'!A:I,9,FALSE)</f>
        <v>5-7</v>
      </c>
    </row>
    <row r="2579" ht="15.75" customHeight="1">
      <c r="A2579" s="1" t="s">
        <v>347</v>
      </c>
      <c r="B2579" s="1" t="s">
        <v>87</v>
      </c>
      <c r="C2579" s="1" t="s">
        <v>11</v>
      </c>
      <c r="D2579" s="5">
        <v>45483.0</v>
      </c>
      <c r="G2579" s="1">
        <f>VLOOKUP(B2579,'old-aw-skill-plan'!A:I,7,FALSE)</f>
        <v>5</v>
      </c>
      <c r="H2579" s="1" t="str">
        <f>VLOOKUP(B2579,'old-aw-skill-plan'!A:I,9,FALSE)</f>
        <v>5-6</v>
      </c>
    </row>
    <row r="2580" ht="15.75" customHeight="1">
      <c r="A2580" s="1" t="s">
        <v>347</v>
      </c>
      <c r="B2580" s="1" t="s">
        <v>25</v>
      </c>
      <c r="C2580" s="1" t="s">
        <v>11</v>
      </c>
      <c r="D2580" s="5">
        <v>45477.0</v>
      </c>
      <c r="G2580" s="1">
        <f>VLOOKUP(B2580,'old-aw-skill-plan'!A:I,7,FALSE)</f>
        <v>5</v>
      </c>
      <c r="H2580" s="1" t="str">
        <f>VLOOKUP(B2580,'old-aw-skill-plan'!A:I,9,FALSE)</f>
        <v>5-4</v>
      </c>
    </row>
    <row r="2581" ht="15.75" customHeight="1">
      <c r="A2581" s="1" t="s">
        <v>347</v>
      </c>
      <c r="B2581" s="1" t="s">
        <v>48</v>
      </c>
      <c r="C2581" s="1" t="s">
        <v>11</v>
      </c>
      <c r="D2581" s="5">
        <v>45475.0</v>
      </c>
      <c r="G2581" s="1">
        <f>VLOOKUP(B2581,'old-aw-skill-plan'!A:I,7,FALSE)</f>
        <v>3</v>
      </c>
      <c r="H2581" s="1" t="str">
        <f>VLOOKUP(B2581,'old-aw-skill-plan'!A:I,9,FALSE)</f>
        <v>3-6</v>
      </c>
    </row>
    <row r="2582" ht="15.75" customHeight="1">
      <c r="A2582" s="1" t="s">
        <v>347</v>
      </c>
      <c r="B2582" s="1" t="s">
        <v>25</v>
      </c>
      <c r="C2582" s="1" t="s">
        <v>11</v>
      </c>
      <c r="D2582" s="5">
        <v>45475.0</v>
      </c>
      <c r="G2582" s="1">
        <f>VLOOKUP(B2582,'old-aw-skill-plan'!A:I,7,FALSE)</f>
        <v>5</v>
      </c>
      <c r="H2582" s="1" t="str">
        <f>VLOOKUP(B2582,'old-aw-skill-plan'!A:I,9,FALSE)</f>
        <v>5-4</v>
      </c>
    </row>
    <row r="2583" ht="15.75" customHeight="1">
      <c r="A2583" s="1" t="s">
        <v>347</v>
      </c>
      <c r="B2583" s="1" t="s">
        <v>47</v>
      </c>
      <c r="C2583" s="1" t="s">
        <v>11</v>
      </c>
      <c r="D2583" s="5">
        <v>45472.0</v>
      </c>
      <c r="G2583" s="1">
        <f>VLOOKUP(B2583,'old-aw-skill-plan'!A:I,7,FALSE)</f>
        <v>3</v>
      </c>
      <c r="H2583" s="1" t="str">
        <f>VLOOKUP(B2583,'old-aw-skill-plan'!A:I,9,FALSE)</f>
        <v>3-2</v>
      </c>
    </row>
    <row r="2584" ht="15.75" customHeight="1">
      <c r="A2584" s="1" t="s">
        <v>347</v>
      </c>
      <c r="B2584" s="1" t="s">
        <v>25</v>
      </c>
      <c r="C2584" s="1" t="s">
        <v>11</v>
      </c>
      <c r="D2584" s="5">
        <v>45472.0</v>
      </c>
      <c r="G2584" s="1">
        <f>VLOOKUP(B2584,'old-aw-skill-plan'!A:I,7,FALSE)</f>
        <v>5</v>
      </c>
      <c r="H2584" s="1" t="str">
        <f>VLOOKUP(B2584,'old-aw-skill-plan'!A:I,9,FALSE)</f>
        <v>5-4</v>
      </c>
    </row>
    <row r="2585" ht="15.75" customHeight="1">
      <c r="A2585" s="1" t="s">
        <v>347</v>
      </c>
      <c r="B2585" s="1" t="s">
        <v>84</v>
      </c>
      <c r="C2585" s="1" t="s">
        <v>11</v>
      </c>
      <c r="D2585" s="5">
        <v>45472.0</v>
      </c>
      <c r="G2585" s="1">
        <f>VLOOKUP(B2585,'old-aw-skill-plan'!A:I,7,FALSE)</f>
        <v>5</v>
      </c>
      <c r="H2585" s="1" t="str">
        <f>VLOOKUP(B2585,'old-aw-skill-plan'!A:I,9,FALSE)</f>
        <v>5-7</v>
      </c>
    </row>
    <row r="2586" ht="15.75" customHeight="1">
      <c r="A2586" s="1" t="s">
        <v>347</v>
      </c>
      <c r="B2586" s="1" t="s">
        <v>104</v>
      </c>
      <c r="C2586" s="1" t="s">
        <v>11</v>
      </c>
      <c r="D2586" s="5">
        <v>45472.0</v>
      </c>
      <c r="G2586" s="1">
        <f>VLOOKUP(B2586,'old-aw-skill-plan'!A:I,7,FALSE)</f>
        <v>5</v>
      </c>
      <c r="H2586" s="1" t="str">
        <f>VLOOKUP(B2586,'old-aw-skill-plan'!A:I,9,FALSE)</f>
        <v>5-2</v>
      </c>
    </row>
    <row r="2587" ht="15.75" customHeight="1">
      <c r="A2587" s="1" t="s">
        <v>347</v>
      </c>
      <c r="B2587" s="1" t="s">
        <v>10</v>
      </c>
      <c r="C2587" s="1" t="s">
        <v>11</v>
      </c>
      <c r="D2587" s="5">
        <v>45471.0</v>
      </c>
      <c r="G2587" s="1">
        <f>VLOOKUP(B2587,'old-aw-skill-plan'!A:I,7,FALSE)</f>
        <v>3</v>
      </c>
      <c r="H2587" s="1" t="str">
        <f>VLOOKUP(B2587,'old-aw-skill-plan'!A:I,9,FALSE)</f>
        <v>3-1</v>
      </c>
    </row>
    <row r="2588" ht="15.75" customHeight="1">
      <c r="A2588" s="1" t="s">
        <v>347</v>
      </c>
      <c r="B2588" s="1" t="s">
        <v>417</v>
      </c>
      <c r="C2588" s="1" t="s">
        <v>11</v>
      </c>
      <c r="D2588" s="5">
        <v>45471.0</v>
      </c>
      <c r="G2588" s="1">
        <f>VLOOKUP(B2588,'old-aw-skill-plan'!A:I,7,FALSE)</f>
        <v>3</v>
      </c>
      <c r="H2588" s="1" t="str">
        <f>VLOOKUP(B2588,'old-aw-skill-plan'!A:I,9,FALSE)</f>
        <v>3-10</v>
      </c>
    </row>
    <row r="2589" ht="15.75" customHeight="1">
      <c r="A2589" s="1" t="s">
        <v>347</v>
      </c>
      <c r="B2589" s="1" t="s">
        <v>83</v>
      </c>
      <c r="C2589" s="1" t="s">
        <v>11</v>
      </c>
      <c r="D2589" s="5">
        <v>45471.0</v>
      </c>
      <c r="G2589" s="1">
        <f>VLOOKUP(B2589,'old-aw-skill-plan'!A:I,7,FALSE)</f>
        <v>5</v>
      </c>
      <c r="H2589" s="1" t="str">
        <f>VLOOKUP(B2589,'old-aw-skill-plan'!A:I,9,FALSE)</f>
        <v>5-9</v>
      </c>
    </row>
    <row r="2590" ht="15.75" customHeight="1">
      <c r="A2590" s="1" t="s">
        <v>347</v>
      </c>
      <c r="B2590" s="1" t="s">
        <v>44</v>
      </c>
      <c r="C2590" s="1" t="s">
        <v>11</v>
      </c>
      <c r="D2590" s="5">
        <v>45471.0</v>
      </c>
      <c r="G2590" s="1">
        <f>VLOOKUP(B2590,'old-aw-skill-plan'!A:I,7,FALSE)</f>
        <v>5</v>
      </c>
      <c r="H2590" s="1" t="str">
        <f>VLOOKUP(B2590,'old-aw-skill-plan'!A:I,9,FALSE)</f>
        <v>5-1</v>
      </c>
    </row>
    <row r="2591" ht="15.75" customHeight="1">
      <c r="A2591" s="1" t="s">
        <v>347</v>
      </c>
      <c r="B2591" s="1" t="s">
        <v>103</v>
      </c>
      <c r="C2591" s="1" t="s">
        <v>11</v>
      </c>
      <c r="D2591" s="5">
        <v>45471.0</v>
      </c>
      <c r="G2591" s="1">
        <f>VLOOKUP(B2591,'old-aw-skill-plan'!A:I,7,FALSE)</f>
        <v>5</v>
      </c>
      <c r="H2591" s="1" t="str">
        <f>VLOOKUP(B2591,'old-aw-skill-plan'!A:I,9,FALSE)</f>
        <v>5-3</v>
      </c>
    </row>
    <row r="2592" ht="15.75" customHeight="1">
      <c r="A2592" s="1" t="s">
        <v>347</v>
      </c>
      <c r="B2592" s="1" t="s">
        <v>104</v>
      </c>
      <c r="C2592" s="1" t="s">
        <v>11</v>
      </c>
      <c r="D2592" s="5">
        <v>45471.0</v>
      </c>
      <c r="G2592" s="1">
        <f>VLOOKUP(B2592,'old-aw-skill-plan'!A:I,7,FALSE)</f>
        <v>5</v>
      </c>
      <c r="H2592" s="1" t="str">
        <f>VLOOKUP(B2592,'old-aw-skill-plan'!A:I,9,FALSE)</f>
        <v>5-2</v>
      </c>
    </row>
    <row r="2593" ht="15.75" customHeight="1">
      <c r="A2593" s="1" t="s">
        <v>410</v>
      </c>
      <c r="B2593" s="1" t="s">
        <v>66</v>
      </c>
      <c r="C2593" s="1" t="s">
        <v>11</v>
      </c>
      <c r="D2593" s="5">
        <v>45465.0</v>
      </c>
      <c r="G2593" s="1">
        <f>VLOOKUP(B2593,'old-aw-skill-plan'!A:I,7,FALSE)</f>
        <v>4</v>
      </c>
      <c r="H2593" s="1" t="str">
        <f>VLOOKUP(B2593,'old-aw-skill-plan'!A:I,9,FALSE)</f>
        <v>4-9</v>
      </c>
    </row>
    <row r="2594" ht="15.75" customHeight="1">
      <c r="A2594" s="1" t="s">
        <v>418</v>
      </c>
      <c r="B2594" s="1" t="s">
        <v>44</v>
      </c>
      <c r="C2594" s="1" t="s">
        <v>11</v>
      </c>
      <c r="D2594" s="5">
        <v>45464.0</v>
      </c>
      <c r="G2594" s="1">
        <f>VLOOKUP(B2594,'old-aw-skill-plan'!A:I,7,FALSE)</f>
        <v>5</v>
      </c>
      <c r="H2594" s="1" t="str">
        <f>VLOOKUP(B2594,'old-aw-skill-plan'!A:I,9,FALSE)</f>
        <v>5-1</v>
      </c>
    </row>
    <row r="2595" ht="15.75" customHeight="1">
      <c r="A2595" s="1" t="s">
        <v>418</v>
      </c>
      <c r="B2595" s="1" t="s">
        <v>44</v>
      </c>
      <c r="C2595" s="1" t="s">
        <v>11</v>
      </c>
      <c r="D2595" s="5">
        <v>45461.0</v>
      </c>
      <c r="G2595" s="1">
        <f>VLOOKUP(B2595,'old-aw-skill-plan'!A:I,7,FALSE)</f>
        <v>5</v>
      </c>
      <c r="H2595" s="1" t="str">
        <f>VLOOKUP(B2595,'old-aw-skill-plan'!A:I,9,FALSE)</f>
        <v>5-1</v>
      </c>
    </row>
    <row r="2596" ht="15.75" customHeight="1">
      <c r="A2596" s="1" t="s">
        <v>418</v>
      </c>
      <c r="B2596" s="1" t="s">
        <v>44</v>
      </c>
      <c r="C2596" s="1" t="s">
        <v>11</v>
      </c>
      <c r="D2596" s="5">
        <v>45460.0</v>
      </c>
      <c r="G2596" s="1">
        <f>VLOOKUP(B2596,'old-aw-skill-plan'!A:I,7,FALSE)</f>
        <v>5</v>
      </c>
      <c r="H2596" s="1" t="str">
        <f>VLOOKUP(B2596,'old-aw-skill-plan'!A:I,9,FALSE)</f>
        <v>5-1</v>
      </c>
    </row>
    <row r="2597" ht="15.75" customHeight="1">
      <c r="A2597" s="1" t="s">
        <v>418</v>
      </c>
      <c r="B2597" s="1" t="s">
        <v>44</v>
      </c>
      <c r="C2597" s="1" t="s">
        <v>11</v>
      </c>
      <c r="D2597" s="5">
        <v>45459.0</v>
      </c>
      <c r="G2597" s="1">
        <f>VLOOKUP(B2597,'old-aw-skill-plan'!A:I,7,FALSE)</f>
        <v>5</v>
      </c>
      <c r="H2597" s="1" t="str">
        <f>VLOOKUP(B2597,'old-aw-skill-plan'!A:I,9,FALSE)</f>
        <v>5-1</v>
      </c>
    </row>
    <row r="2598" ht="15.75" customHeight="1">
      <c r="A2598" s="1" t="s">
        <v>365</v>
      </c>
      <c r="B2598" s="1" t="s">
        <v>37</v>
      </c>
      <c r="C2598" s="1" t="s">
        <v>11</v>
      </c>
      <c r="D2598" s="5">
        <v>45458.0</v>
      </c>
      <c r="G2598" s="1">
        <f>VLOOKUP(B2598,'old-aw-skill-plan'!A:I,7,FALSE)</f>
        <v>4</v>
      </c>
      <c r="H2598" s="1" t="str">
        <f>VLOOKUP(B2598,'old-aw-skill-plan'!A:I,9,FALSE)</f>
        <v>4-2</v>
      </c>
    </row>
    <row r="2599" ht="15.75" customHeight="1">
      <c r="A2599" s="1" t="s">
        <v>410</v>
      </c>
      <c r="B2599" s="1" t="s">
        <v>34</v>
      </c>
      <c r="C2599" s="1" t="s">
        <v>11</v>
      </c>
      <c r="D2599" s="5">
        <v>45450.0</v>
      </c>
      <c r="G2599" s="1">
        <f>VLOOKUP(B2599,'old-aw-skill-plan'!A:I,7,FALSE)</f>
        <v>4</v>
      </c>
      <c r="H2599" s="1" t="str">
        <f>VLOOKUP(B2599,'old-aw-skill-plan'!A:I,9,FALSE)</f>
        <v>4-1</v>
      </c>
    </row>
    <row r="2600" ht="15.75" customHeight="1">
      <c r="A2600" s="1" t="s">
        <v>365</v>
      </c>
      <c r="B2600" s="1" t="s">
        <v>37</v>
      </c>
      <c r="C2600" s="1" t="s">
        <v>11</v>
      </c>
      <c r="D2600" s="5">
        <v>45448.0</v>
      </c>
      <c r="G2600" s="1">
        <f>VLOOKUP(B2600,'old-aw-skill-plan'!A:I,7,FALSE)</f>
        <v>4</v>
      </c>
      <c r="H2600" s="1" t="str">
        <f>VLOOKUP(B2600,'old-aw-skill-plan'!A:I,9,FALSE)</f>
        <v>4-2</v>
      </c>
    </row>
    <row r="2601" ht="15.75" customHeight="1">
      <c r="A2601" s="1" t="s">
        <v>22</v>
      </c>
      <c r="B2601" s="1" t="s">
        <v>79</v>
      </c>
      <c r="C2601" s="1" t="s">
        <v>11</v>
      </c>
      <c r="D2601" s="5">
        <v>45447.0</v>
      </c>
      <c r="G2601" s="1">
        <f>VLOOKUP(B2601,'old-aw-skill-plan'!A:I,7,FALSE)</f>
        <v>4</v>
      </c>
      <c r="H2601" s="1" t="str">
        <f>VLOOKUP(B2601,'old-aw-skill-plan'!A:I,9,FALSE)</f>
        <v>4-8</v>
      </c>
    </row>
    <row r="2602" ht="15.75" customHeight="1">
      <c r="A2602" s="1" t="s">
        <v>419</v>
      </c>
      <c r="B2602" s="1" t="s">
        <v>44</v>
      </c>
      <c r="C2602" s="1" t="s">
        <v>11</v>
      </c>
      <c r="D2602" s="5">
        <v>45447.0</v>
      </c>
      <c r="G2602" s="1">
        <f>VLOOKUP(B2602,'old-aw-skill-plan'!A:I,7,FALSE)</f>
        <v>5</v>
      </c>
      <c r="H2602" s="1" t="str">
        <f>VLOOKUP(B2602,'old-aw-skill-plan'!A:I,9,FALSE)</f>
        <v>5-1</v>
      </c>
    </row>
    <row r="2603" ht="15.75" customHeight="1">
      <c r="A2603" s="1" t="s">
        <v>24</v>
      </c>
      <c r="B2603" s="1" t="s">
        <v>34</v>
      </c>
      <c r="C2603" s="1" t="s">
        <v>11</v>
      </c>
      <c r="D2603" s="5">
        <v>45446.0</v>
      </c>
      <c r="G2603" s="1">
        <f>VLOOKUP(B2603,'old-aw-skill-plan'!A:I,7,FALSE)</f>
        <v>4</v>
      </c>
      <c r="H2603" s="1" t="str">
        <f>VLOOKUP(B2603,'old-aw-skill-plan'!A:I,9,FALSE)</f>
        <v>4-1</v>
      </c>
    </row>
    <row r="2604" ht="15.75" customHeight="1">
      <c r="A2604" s="1" t="s">
        <v>24</v>
      </c>
      <c r="B2604" s="1" t="s">
        <v>34</v>
      </c>
      <c r="C2604" s="1" t="s">
        <v>11</v>
      </c>
      <c r="D2604" s="5">
        <v>45443.0</v>
      </c>
      <c r="G2604" s="1">
        <f>VLOOKUP(B2604,'old-aw-skill-plan'!A:I,7,FALSE)</f>
        <v>4</v>
      </c>
      <c r="H2604" s="1" t="str">
        <f>VLOOKUP(B2604,'old-aw-skill-plan'!A:I,9,FALSE)</f>
        <v>4-1</v>
      </c>
    </row>
    <row r="2605" ht="15.75" customHeight="1">
      <c r="A2605" s="1" t="s">
        <v>419</v>
      </c>
      <c r="B2605" s="1" t="s">
        <v>44</v>
      </c>
      <c r="C2605" s="1" t="s">
        <v>11</v>
      </c>
      <c r="D2605" s="5">
        <v>45443.0</v>
      </c>
      <c r="G2605" s="1">
        <f>VLOOKUP(B2605,'old-aw-skill-plan'!A:I,7,FALSE)</f>
        <v>5</v>
      </c>
      <c r="H2605" s="1" t="str">
        <f>VLOOKUP(B2605,'old-aw-skill-plan'!A:I,9,FALSE)</f>
        <v>5-1</v>
      </c>
    </row>
    <row r="2606" ht="15.75" customHeight="1">
      <c r="A2606" s="1" t="s">
        <v>24</v>
      </c>
      <c r="B2606" s="1" t="s">
        <v>66</v>
      </c>
      <c r="C2606" s="1" t="s">
        <v>11</v>
      </c>
      <c r="D2606" s="5">
        <v>45442.0</v>
      </c>
      <c r="G2606" s="1">
        <f>VLOOKUP(B2606,'old-aw-skill-plan'!A:I,7,FALSE)</f>
        <v>4</v>
      </c>
      <c r="H2606" s="1" t="str">
        <f>VLOOKUP(B2606,'old-aw-skill-plan'!A:I,9,FALSE)</f>
        <v>4-9</v>
      </c>
    </row>
    <row r="2607" ht="15.75" customHeight="1">
      <c r="A2607" s="1" t="s">
        <v>81</v>
      </c>
      <c r="B2607" s="1" t="s">
        <v>123</v>
      </c>
      <c r="C2607" s="1" t="s">
        <v>11</v>
      </c>
      <c r="D2607" s="5">
        <v>45442.0</v>
      </c>
      <c r="G2607" s="1">
        <f>VLOOKUP(B2607,'old-aw-skill-plan'!A:I,7,FALSE)</f>
        <v>4</v>
      </c>
      <c r="H2607" s="1" t="str">
        <f>VLOOKUP(B2607,'old-aw-skill-plan'!A:I,9,FALSE)</f>
        <v>4-12</v>
      </c>
    </row>
    <row r="2608" ht="15.75" customHeight="1">
      <c r="A2608" s="1" t="s">
        <v>420</v>
      </c>
      <c r="B2608" s="1" t="s">
        <v>87</v>
      </c>
      <c r="C2608" s="1" t="s">
        <v>11</v>
      </c>
      <c r="D2608" s="5">
        <v>45442.0</v>
      </c>
      <c r="G2608" s="1">
        <f>VLOOKUP(B2608,'old-aw-skill-plan'!A:I,7,FALSE)</f>
        <v>5</v>
      </c>
      <c r="H2608" s="1" t="str">
        <f>VLOOKUP(B2608,'old-aw-skill-plan'!A:I,9,FALSE)</f>
        <v>5-6</v>
      </c>
    </row>
    <row r="2609" ht="15.75" customHeight="1">
      <c r="A2609" s="1" t="s">
        <v>24</v>
      </c>
      <c r="B2609" s="1" t="s">
        <v>34</v>
      </c>
      <c r="C2609" s="1" t="s">
        <v>11</v>
      </c>
      <c r="D2609" s="5">
        <v>45440.0</v>
      </c>
      <c r="G2609" s="1">
        <f>VLOOKUP(B2609,'old-aw-skill-plan'!A:I,7,FALSE)</f>
        <v>4</v>
      </c>
      <c r="H2609" s="1" t="str">
        <f>VLOOKUP(B2609,'old-aw-skill-plan'!A:I,9,FALSE)</f>
        <v>4-1</v>
      </c>
    </row>
    <row r="2610" ht="15.75" customHeight="1">
      <c r="A2610" s="1" t="s">
        <v>419</v>
      </c>
      <c r="B2610" s="1" t="s">
        <v>44</v>
      </c>
      <c r="C2610" s="1" t="s">
        <v>11</v>
      </c>
      <c r="D2610" s="5">
        <v>45440.0</v>
      </c>
      <c r="G2610" s="1">
        <f>VLOOKUP(B2610,'old-aw-skill-plan'!A:I,7,FALSE)</f>
        <v>5</v>
      </c>
      <c r="H2610" s="1" t="str">
        <f>VLOOKUP(B2610,'old-aw-skill-plan'!A:I,9,FALSE)</f>
        <v>5-1</v>
      </c>
    </row>
    <row r="2611" ht="15.75" customHeight="1">
      <c r="A2611" s="1" t="s">
        <v>81</v>
      </c>
      <c r="B2611" s="1" t="s">
        <v>123</v>
      </c>
      <c r="C2611" s="1" t="s">
        <v>11</v>
      </c>
      <c r="D2611" s="5">
        <v>45440.0</v>
      </c>
      <c r="G2611" s="1">
        <f>VLOOKUP(B2611,'old-aw-skill-plan'!A:I,7,FALSE)</f>
        <v>4</v>
      </c>
      <c r="H2611" s="1" t="str">
        <f>VLOOKUP(B2611,'old-aw-skill-plan'!A:I,9,FALSE)</f>
        <v>4-12</v>
      </c>
    </row>
    <row r="2612" ht="15.75" customHeight="1">
      <c r="A2612" s="1" t="s">
        <v>420</v>
      </c>
      <c r="B2612" s="1" t="s">
        <v>116</v>
      </c>
      <c r="C2612" s="1" t="s">
        <v>11</v>
      </c>
      <c r="D2612" s="5">
        <v>45440.0</v>
      </c>
      <c r="G2612" s="1">
        <f>VLOOKUP(B2612,'old-aw-skill-plan'!A:I,7,FALSE)</f>
        <v>3</v>
      </c>
      <c r="H2612" s="1" t="str">
        <f>VLOOKUP(B2612,'old-aw-skill-plan'!A:I,9,FALSE)</f>
        <v>3-9</v>
      </c>
    </row>
    <row r="2613" ht="15.75" customHeight="1">
      <c r="A2613" s="1" t="s">
        <v>420</v>
      </c>
      <c r="B2613" s="1" t="s">
        <v>352</v>
      </c>
      <c r="C2613" s="1" t="s">
        <v>11</v>
      </c>
      <c r="D2613" s="5">
        <v>45440.0</v>
      </c>
      <c r="G2613" s="1">
        <f>VLOOKUP(B2613,'old-aw-skill-plan'!A:I,7,FALSE)</f>
        <v>3</v>
      </c>
      <c r="H2613" s="1" t="str">
        <f>VLOOKUP(B2613,'old-aw-skill-plan'!A:I,9,FALSE)</f>
        <v>3-2</v>
      </c>
    </row>
    <row r="2614" ht="15.75" customHeight="1">
      <c r="A2614" s="1" t="s">
        <v>410</v>
      </c>
      <c r="B2614" s="1" t="s">
        <v>34</v>
      </c>
      <c r="C2614" s="1" t="s">
        <v>11</v>
      </c>
      <c r="D2614" s="5">
        <v>45440.0</v>
      </c>
      <c r="G2614" s="1">
        <f>VLOOKUP(B2614,'old-aw-skill-plan'!A:I,7,FALSE)</f>
        <v>4</v>
      </c>
      <c r="H2614" s="1" t="str">
        <f>VLOOKUP(B2614,'old-aw-skill-plan'!A:I,9,FALSE)</f>
        <v>4-1</v>
      </c>
    </row>
    <row r="2615" ht="15.75" customHeight="1">
      <c r="A2615" s="1" t="s">
        <v>410</v>
      </c>
      <c r="B2615" s="1" t="s">
        <v>34</v>
      </c>
      <c r="C2615" s="1" t="s">
        <v>11</v>
      </c>
      <c r="D2615" s="5">
        <v>45438.0</v>
      </c>
      <c r="G2615" s="1">
        <f>VLOOKUP(B2615,'old-aw-skill-plan'!A:I,7,FALSE)</f>
        <v>4</v>
      </c>
      <c r="H2615" s="1" t="str">
        <f>VLOOKUP(B2615,'old-aw-skill-plan'!A:I,9,FALSE)</f>
        <v>4-1</v>
      </c>
    </row>
    <row r="2616" ht="15.75" customHeight="1">
      <c r="A2616" s="1" t="s">
        <v>410</v>
      </c>
      <c r="B2616" s="1" t="s">
        <v>37</v>
      </c>
      <c r="C2616" s="1" t="s">
        <v>11</v>
      </c>
      <c r="D2616" s="5">
        <v>45438.0</v>
      </c>
      <c r="G2616" s="1">
        <f>VLOOKUP(B2616,'old-aw-skill-plan'!A:I,7,FALSE)</f>
        <v>4</v>
      </c>
      <c r="H2616" s="1" t="str">
        <f>VLOOKUP(B2616,'old-aw-skill-plan'!A:I,9,FALSE)</f>
        <v>4-2</v>
      </c>
    </row>
    <row r="2617" ht="15.75" customHeight="1">
      <c r="A2617" s="1" t="s">
        <v>421</v>
      </c>
      <c r="B2617" s="1" t="s">
        <v>314</v>
      </c>
      <c r="C2617" s="1" t="s">
        <v>11</v>
      </c>
      <c r="D2617" s="5">
        <v>45436.0</v>
      </c>
      <c r="G2617" s="1">
        <f>VLOOKUP(B2617,'old-aw-skill-plan'!A:I,7,FALSE)</f>
        <v>5</v>
      </c>
      <c r="H2617" s="1" t="str">
        <f>VLOOKUP(B2617,'old-aw-skill-plan'!A:I,9,FALSE)</f>
        <v>5-10</v>
      </c>
    </row>
    <row r="2618" ht="15.75" customHeight="1">
      <c r="A2618" s="1" t="s">
        <v>410</v>
      </c>
      <c r="B2618" s="1" t="s">
        <v>34</v>
      </c>
      <c r="C2618" s="1" t="s">
        <v>11</v>
      </c>
      <c r="D2618" s="5">
        <v>45436.0</v>
      </c>
      <c r="G2618" s="1">
        <f>VLOOKUP(B2618,'old-aw-skill-plan'!A:I,7,FALSE)</f>
        <v>4</v>
      </c>
      <c r="H2618" s="1" t="str">
        <f>VLOOKUP(B2618,'old-aw-skill-plan'!A:I,9,FALSE)</f>
        <v>4-1</v>
      </c>
    </row>
    <row r="2619" ht="15.75" customHeight="1">
      <c r="A2619" s="1" t="s">
        <v>410</v>
      </c>
      <c r="B2619" s="1" t="s">
        <v>37</v>
      </c>
      <c r="C2619" s="1" t="s">
        <v>11</v>
      </c>
      <c r="D2619" s="5">
        <v>45436.0</v>
      </c>
      <c r="G2619" s="1">
        <f>VLOOKUP(B2619,'old-aw-skill-plan'!A:I,7,FALSE)</f>
        <v>4</v>
      </c>
      <c r="H2619" s="1" t="str">
        <f>VLOOKUP(B2619,'old-aw-skill-plan'!A:I,9,FALSE)</f>
        <v>4-2</v>
      </c>
    </row>
    <row r="2620" ht="15.75" customHeight="1">
      <c r="A2620" s="1" t="s">
        <v>60</v>
      </c>
      <c r="B2620" s="1" t="s">
        <v>61</v>
      </c>
      <c r="C2620" s="1" t="s">
        <v>11</v>
      </c>
      <c r="D2620" s="5">
        <v>45435.0</v>
      </c>
      <c r="G2620" s="1">
        <f>VLOOKUP(B2620,'old-aw-skill-plan'!A:I,7,FALSE)</f>
        <v>4</v>
      </c>
      <c r="H2620" s="1" t="str">
        <f>VLOOKUP(B2620,'old-aw-skill-plan'!A:I,9,FALSE)</f>
        <v>4-4</v>
      </c>
    </row>
    <row r="2621" ht="15.75" customHeight="1">
      <c r="A2621" s="1" t="s">
        <v>422</v>
      </c>
      <c r="B2621" s="1" t="s">
        <v>34</v>
      </c>
      <c r="C2621" s="1" t="s">
        <v>11</v>
      </c>
      <c r="D2621" s="5">
        <v>45435.0</v>
      </c>
      <c r="G2621" s="1">
        <f>VLOOKUP(B2621,'old-aw-skill-plan'!A:I,7,FALSE)</f>
        <v>4</v>
      </c>
      <c r="H2621" s="1" t="str">
        <f>VLOOKUP(B2621,'old-aw-skill-plan'!A:I,9,FALSE)</f>
        <v>4-1</v>
      </c>
    </row>
    <row r="2622" ht="15.75" customHeight="1">
      <c r="A2622" s="1" t="s">
        <v>24</v>
      </c>
      <c r="B2622" s="1" t="s">
        <v>66</v>
      </c>
      <c r="C2622" s="1" t="s">
        <v>11</v>
      </c>
      <c r="D2622" s="5">
        <v>45434.0</v>
      </c>
      <c r="G2622" s="1">
        <f>VLOOKUP(B2622,'old-aw-skill-plan'!A:I,7,FALSE)</f>
        <v>4</v>
      </c>
      <c r="H2622" s="1" t="str">
        <f>VLOOKUP(B2622,'old-aw-skill-plan'!A:I,9,FALSE)</f>
        <v>4-9</v>
      </c>
    </row>
    <row r="2623" ht="15.75" customHeight="1">
      <c r="A2623" s="1" t="s">
        <v>24</v>
      </c>
      <c r="B2623" s="1" t="s">
        <v>19</v>
      </c>
      <c r="C2623" s="1" t="s">
        <v>11</v>
      </c>
      <c r="D2623" s="5">
        <v>45434.0</v>
      </c>
      <c r="G2623" s="1">
        <f>VLOOKUP(B2623,'old-aw-skill-plan'!A:I,7,FALSE)</f>
        <v>4</v>
      </c>
      <c r="H2623" s="1" t="str">
        <f>VLOOKUP(B2623,'old-aw-skill-plan'!A:I,9,FALSE)</f>
        <v>4-7</v>
      </c>
    </row>
    <row r="2624" ht="15.75" customHeight="1">
      <c r="A2624" s="1" t="s">
        <v>24</v>
      </c>
      <c r="B2624" s="1" t="s">
        <v>363</v>
      </c>
      <c r="C2624" s="1" t="s">
        <v>11</v>
      </c>
      <c r="D2624" s="5">
        <v>45434.0</v>
      </c>
      <c r="G2624" s="1">
        <f>VLOOKUP(B2624,'old-aw-skill-plan'!A:I,7,FALSE)</f>
        <v>7</v>
      </c>
      <c r="H2624" s="1" t="str">
        <f>VLOOKUP(B2624,'old-aw-skill-plan'!A:I,9,FALSE)</f>
        <v>7-1</v>
      </c>
    </row>
    <row r="2625" ht="15.75" customHeight="1">
      <c r="A2625" s="1" t="s">
        <v>266</v>
      </c>
      <c r="B2625" s="1" t="s">
        <v>131</v>
      </c>
      <c r="C2625" s="1" t="s">
        <v>11</v>
      </c>
      <c r="D2625" s="5">
        <v>45432.0</v>
      </c>
      <c r="G2625" s="1">
        <f>VLOOKUP(B2625,'old-aw-skill-plan'!A:I,7,FALSE)</f>
        <v>7</v>
      </c>
      <c r="H2625" s="1" t="str">
        <f>VLOOKUP(B2625,'old-aw-skill-plan'!A:I,9,FALSE)</f>
        <v>7-11</v>
      </c>
    </row>
    <row r="2626" ht="15.75" customHeight="1">
      <c r="A2626" s="1" t="s">
        <v>266</v>
      </c>
      <c r="B2626" s="1" t="s">
        <v>42</v>
      </c>
      <c r="C2626" s="1" t="s">
        <v>11</v>
      </c>
      <c r="D2626" s="5">
        <v>45432.0</v>
      </c>
      <c r="G2626" s="1">
        <f>VLOOKUP(B2626,'old-aw-skill-plan'!A:I,7,FALSE)</f>
        <v>4</v>
      </c>
      <c r="H2626" s="1" t="str">
        <f>VLOOKUP(B2626,'old-aw-skill-plan'!A:I,9,FALSE)</f>
        <v>4-11</v>
      </c>
    </row>
    <row r="2627" ht="15.75" customHeight="1">
      <c r="A2627" s="1" t="s">
        <v>266</v>
      </c>
      <c r="B2627" s="1" t="s">
        <v>124</v>
      </c>
      <c r="C2627" s="1" t="s">
        <v>11</v>
      </c>
      <c r="D2627" s="5">
        <v>45432.0</v>
      </c>
      <c r="G2627" s="1">
        <f>VLOOKUP(B2627,'old-aw-skill-plan'!A:I,7,FALSE)</f>
        <v>7</v>
      </c>
      <c r="H2627" s="1" t="str">
        <f>VLOOKUP(B2627,'old-aw-skill-plan'!A:I,9,FALSE)</f>
        <v>7-5</v>
      </c>
    </row>
    <row r="2628" ht="15.75" customHeight="1">
      <c r="A2628" s="1" t="s">
        <v>266</v>
      </c>
      <c r="B2628" s="1" t="s">
        <v>423</v>
      </c>
      <c r="C2628" s="1" t="s">
        <v>11</v>
      </c>
      <c r="D2628" s="5">
        <v>45432.0</v>
      </c>
      <c r="G2628" s="1">
        <f>VLOOKUP(B2628,'old-aw-skill-plan'!A:I,7,FALSE)</f>
        <v>7</v>
      </c>
      <c r="H2628" s="1" t="str">
        <f>VLOOKUP(B2628,'old-aw-skill-plan'!A:I,9,FALSE)</f>
        <v>7-9</v>
      </c>
    </row>
    <row r="2629" ht="15.75" customHeight="1">
      <c r="A2629" s="1" t="s">
        <v>266</v>
      </c>
      <c r="B2629" s="1" t="s">
        <v>424</v>
      </c>
      <c r="C2629" s="1" t="s">
        <v>11</v>
      </c>
      <c r="D2629" s="5">
        <v>45432.0</v>
      </c>
      <c r="G2629" s="1">
        <f>VLOOKUP(B2629,'old-aw-skill-plan'!A:I,7,FALSE)</f>
        <v>4</v>
      </c>
      <c r="H2629" s="1" t="str">
        <f>VLOOKUP(B2629,'old-aw-skill-plan'!A:I,9,FALSE)</f>
        <v>4-8</v>
      </c>
    </row>
    <row r="2630" ht="15.75" customHeight="1">
      <c r="A2630" s="1" t="s">
        <v>35</v>
      </c>
      <c r="B2630" s="1" t="s">
        <v>123</v>
      </c>
      <c r="C2630" s="1" t="s">
        <v>11</v>
      </c>
      <c r="D2630" s="5">
        <v>45432.0</v>
      </c>
      <c r="G2630" s="1">
        <f>VLOOKUP(B2630,'old-aw-skill-plan'!A:I,7,FALSE)</f>
        <v>4</v>
      </c>
      <c r="H2630" s="1" t="str">
        <f>VLOOKUP(B2630,'old-aw-skill-plan'!A:I,9,FALSE)</f>
        <v>4-12</v>
      </c>
    </row>
    <row r="2631" ht="15.75" customHeight="1">
      <c r="A2631" s="1" t="s">
        <v>24</v>
      </c>
      <c r="B2631" s="1" t="s">
        <v>363</v>
      </c>
      <c r="C2631" s="1" t="s">
        <v>11</v>
      </c>
      <c r="D2631" s="5">
        <v>45432.0</v>
      </c>
      <c r="G2631" s="1">
        <f>VLOOKUP(B2631,'old-aw-skill-plan'!A:I,7,FALSE)</f>
        <v>7</v>
      </c>
      <c r="H2631" s="1" t="str">
        <f>VLOOKUP(B2631,'old-aw-skill-plan'!A:I,9,FALSE)</f>
        <v>7-1</v>
      </c>
    </row>
    <row r="2632" ht="15.75" customHeight="1">
      <c r="A2632" s="1" t="s">
        <v>421</v>
      </c>
      <c r="B2632" s="1" t="s">
        <v>314</v>
      </c>
      <c r="C2632" s="1" t="s">
        <v>11</v>
      </c>
      <c r="D2632" s="5">
        <v>45432.0</v>
      </c>
      <c r="G2632" s="1">
        <f>VLOOKUP(B2632,'old-aw-skill-plan'!A:I,7,FALSE)</f>
        <v>5</v>
      </c>
      <c r="H2632" s="1" t="str">
        <f>VLOOKUP(B2632,'old-aw-skill-plan'!A:I,9,FALSE)</f>
        <v>5-10</v>
      </c>
    </row>
    <row r="2633" ht="15.75" customHeight="1">
      <c r="A2633" s="1" t="s">
        <v>230</v>
      </c>
      <c r="B2633" s="1" t="s">
        <v>10</v>
      </c>
      <c r="C2633" s="1" t="s">
        <v>11</v>
      </c>
      <c r="D2633" s="5">
        <v>45432.0</v>
      </c>
      <c r="G2633" s="1">
        <f>VLOOKUP(B2633,'old-aw-skill-plan'!A:I,7,FALSE)</f>
        <v>3</v>
      </c>
      <c r="H2633" s="1" t="str">
        <f>VLOOKUP(B2633,'old-aw-skill-plan'!A:I,9,FALSE)</f>
        <v>3-1</v>
      </c>
    </row>
    <row r="2634" ht="15.75" customHeight="1">
      <c r="A2634" s="1" t="s">
        <v>420</v>
      </c>
      <c r="B2634" s="1" t="s">
        <v>47</v>
      </c>
      <c r="C2634" s="1" t="s">
        <v>11</v>
      </c>
      <c r="D2634" s="5">
        <v>45432.0</v>
      </c>
      <c r="G2634" s="1">
        <f>VLOOKUP(B2634,'old-aw-skill-plan'!A:I,7,FALSE)</f>
        <v>3</v>
      </c>
      <c r="H2634" s="1" t="str">
        <f>VLOOKUP(B2634,'old-aw-skill-plan'!A:I,9,FALSE)</f>
        <v>3-2</v>
      </c>
    </row>
    <row r="2635" ht="15.75" customHeight="1">
      <c r="A2635" s="1" t="s">
        <v>225</v>
      </c>
      <c r="B2635" s="1" t="s">
        <v>66</v>
      </c>
      <c r="C2635" s="1" t="s">
        <v>11</v>
      </c>
      <c r="D2635" s="5">
        <v>45432.0</v>
      </c>
      <c r="G2635" s="1">
        <f>VLOOKUP(B2635,'old-aw-skill-plan'!A:I,7,FALSE)</f>
        <v>4</v>
      </c>
      <c r="H2635" s="1" t="str">
        <f>VLOOKUP(B2635,'old-aw-skill-plan'!A:I,9,FALSE)</f>
        <v>4-9</v>
      </c>
    </row>
    <row r="2636" ht="15.75" customHeight="1">
      <c r="A2636" s="1" t="s">
        <v>225</v>
      </c>
      <c r="B2636" s="1" t="s">
        <v>113</v>
      </c>
      <c r="C2636" s="1" t="s">
        <v>11</v>
      </c>
      <c r="D2636" s="5">
        <v>45432.0</v>
      </c>
      <c r="G2636" s="1">
        <f>VLOOKUP(B2636,'old-aw-skill-plan'!A:I,7,FALSE)</f>
        <v>7</v>
      </c>
      <c r="H2636" s="1" t="str">
        <f>VLOOKUP(B2636,'old-aw-skill-plan'!A:I,9,FALSE)</f>
        <v>7-7</v>
      </c>
    </row>
    <row r="2637" ht="15.75" customHeight="1">
      <c r="A2637" s="1" t="s">
        <v>225</v>
      </c>
      <c r="B2637" s="1" t="s">
        <v>79</v>
      </c>
      <c r="C2637" s="1" t="s">
        <v>11</v>
      </c>
      <c r="D2637" s="5">
        <v>45432.0</v>
      </c>
      <c r="G2637" s="1">
        <f>VLOOKUP(B2637,'old-aw-skill-plan'!A:I,7,FALSE)</f>
        <v>4</v>
      </c>
      <c r="H2637" s="1" t="str">
        <f>VLOOKUP(B2637,'old-aw-skill-plan'!A:I,9,FALSE)</f>
        <v>4-8</v>
      </c>
    </row>
    <row r="2638" ht="15.75" customHeight="1">
      <c r="A2638" s="1" t="s">
        <v>24</v>
      </c>
      <c r="B2638" s="1" t="s">
        <v>97</v>
      </c>
      <c r="C2638" s="1" t="s">
        <v>11</v>
      </c>
      <c r="D2638" s="5">
        <v>45429.0</v>
      </c>
      <c r="G2638" s="1">
        <f>VLOOKUP(B2638,'old-aw-skill-plan'!A:I,7,FALSE)</f>
        <v>4</v>
      </c>
      <c r="H2638" s="1" t="str">
        <f>VLOOKUP(B2638,'old-aw-skill-plan'!A:I,9,FALSE)</f>
        <v>4-3</v>
      </c>
    </row>
    <row r="2639" ht="15.75" customHeight="1">
      <c r="A2639" s="1" t="s">
        <v>24</v>
      </c>
      <c r="B2639" s="1" t="s">
        <v>123</v>
      </c>
      <c r="C2639" s="1" t="s">
        <v>11</v>
      </c>
      <c r="D2639" s="5">
        <v>45429.0</v>
      </c>
      <c r="G2639" s="1">
        <f>VLOOKUP(B2639,'old-aw-skill-plan'!A:I,7,FALSE)</f>
        <v>4</v>
      </c>
      <c r="H2639" s="1" t="str">
        <f>VLOOKUP(B2639,'old-aw-skill-plan'!A:I,9,FALSE)</f>
        <v>4-12</v>
      </c>
    </row>
    <row r="2640" ht="15.75" customHeight="1">
      <c r="A2640" s="1" t="s">
        <v>81</v>
      </c>
      <c r="B2640" s="1" t="s">
        <v>40</v>
      </c>
      <c r="C2640" s="1" t="s">
        <v>11</v>
      </c>
      <c r="D2640" s="5">
        <v>45429.0</v>
      </c>
      <c r="G2640" s="1">
        <f>VLOOKUP(B2640,'old-aw-skill-plan'!A:I,7,FALSE)</f>
        <v>4</v>
      </c>
      <c r="H2640" s="1" t="str">
        <f>VLOOKUP(B2640,'old-aw-skill-plan'!A:I,9,FALSE)</f>
        <v>4-10</v>
      </c>
    </row>
    <row r="2641" ht="15.75" customHeight="1">
      <c r="A2641" s="1" t="s">
        <v>82</v>
      </c>
      <c r="B2641" s="1" t="s">
        <v>44</v>
      </c>
      <c r="C2641" s="1" t="s">
        <v>11</v>
      </c>
      <c r="D2641" s="5">
        <v>45429.0</v>
      </c>
      <c r="G2641" s="1">
        <f>VLOOKUP(B2641,'old-aw-skill-plan'!A:I,7,FALSE)</f>
        <v>5</v>
      </c>
      <c r="H2641" s="1" t="str">
        <f>VLOOKUP(B2641,'old-aw-skill-plan'!A:I,9,FALSE)</f>
        <v>5-1</v>
      </c>
    </row>
    <row r="2642" ht="15.75" customHeight="1">
      <c r="A2642" s="1" t="s">
        <v>82</v>
      </c>
      <c r="B2642" s="1" t="s">
        <v>104</v>
      </c>
      <c r="C2642" s="1" t="s">
        <v>11</v>
      </c>
      <c r="D2642" s="5">
        <v>45429.0</v>
      </c>
      <c r="G2642" s="1">
        <f>VLOOKUP(B2642,'old-aw-skill-plan'!A:I,7,FALSE)</f>
        <v>5</v>
      </c>
      <c r="H2642" s="1" t="str">
        <f>VLOOKUP(B2642,'old-aw-skill-plan'!A:I,9,FALSE)</f>
        <v>5-2</v>
      </c>
    </row>
    <row r="2643" ht="15.75" customHeight="1">
      <c r="A2643" s="1" t="s">
        <v>24</v>
      </c>
      <c r="B2643" s="1" t="s">
        <v>40</v>
      </c>
      <c r="C2643" s="1" t="s">
        <v>11</v>
      </c>
      <c r="D2643" s="5">
        <v>45428.0</v>
      </c>
      <c r="G2643" s="1">
        <f>VLOOKUP(B2643,'old-aw-skill-plan'!A:I,7,FALSE)</f>
        <v>4</v>
      </c>
      <c r="H2643" s="1" t="str">
        <f>VLOOKUP(B2643,'old-aw-skill-plan'!A:I,9,FALSE)</f>
        <v>4-10</v>
      </c>
    </row>
    <row r="2644" ht="15.75" customHeight="1">
      <c r="A2644" s="1" t="s">
        <v>24</v>
      </c>
      <c r="B2644" s="1" t="s">
        <v>34</v>
      </c>
      <c r="C2644" s="1" t="s">
        <v>11</v>
      </c>
      <c r="D2644" s="5">
        <v>45428.0</v>
      </c>
      <c r="G2644" s="1">
        <f>VLOOKUP(B2644,'old-aw-skill-plan'!A:I,7,FALSE)</f>
        <v>4</v>
      </c>
      <c r="H2644" s="1" t="str">
        <f>VLOOKUP(B2644,'old-aw-skill-plan'!A:I,9,FALSE)</f>
        <v>4-1</v>
      </c>
    </row>
    <row r="2645" ht="15.75" customHeight="1">
      <c r="A2645" s="1" t="s">
        <v>24</v>
      </c>
      <c r="B2645" s="1" t="s">
        <v>97</v>
      </c>
      <c r="C2645" s="1" t="s">
        <v>11</v>
      </c>
      <c r="D2645" s="5">
        <v>45428.0</v>
      </c>
      <c r="G2645" s="1">
        <f>VLOOKUP(B2645,'old-aw-skill-plan'!A:I,7,FALSE)</f>
        <v>4</v>
      </c>
      <c r="H2645" s="1" t="str">
        <f>VLOOKUP(B2645,'old-aw-skill-plan'!A:I,9,FALSE)</f>
        <v>4-3</v>
      </c>
    </row>
    <row r="2646" ht="15.75" customHeight="1">
      <c r="A2646" s="1" t="s">
        <v>24</v>
      </c>
      <c r="B2646" s="1" t="s">
        <v>123</v>
      </c>
      <c r="C2646" s="1" t="s">
        <v>11</v>
      </c>
      <c r="D2646" s="5">
        <v>45428.0</v>
      </c>
      <c r="G2646" s="1">
        <f>VLOOKUP(B2646,'old-aw-skill-plan'!A:I,7,FALSE)</f>
        <v>4</v>
      </c>
      <c r="H2646" s="1" t="str">
        <f>VLOOKUP(B2646,'old-aw-skill-plan'!A:I,9,FALSE)</f>
        <v>4-12</v>
      </c>
    </row>
    <row r="2647" ht="15.75" customHeight="1">
      <c r="A2647" s="1" t="s">
        <v>52</v>
      </c>
      <c r="B2647" s="1" t="s">
        <v>66</v>
      </c>
      <c r="C2647" s="1" t="s">
        <v>11</v>
      </c>
      <c r="D2647" s="5">
        <v>45428.0</v>
      </c>
      <c r="G2647" s="1">
        <f>VLOOKUP(B2647,'old-aw-skill-plan'!A:I,7,FALSE)</f>
        <v>4</v>
      </c>
      <c r="H2647" s="1" t="str">
        <f>VLOOKUP(B2647,'old-aw-skill-plan'!A:I,9,FALSE)</f>
        <v>4-9</v>
      </c>
    </row>
    <row r="2648" ht="15.75" customHeight="1">
      <c r="A2648" s="1" t="s">
        <v>52</v>
      </c>
      <c r="B2648" s="1" t="s">
        <v>34</v>
      </c>
      <c r="C2648" s="1" t="s">
        <v>11</v>
      </c>
      <c r="D2648" s="5">
        <v>45428.0</v>
      </c>
      <c r="G2648" s="1">
        <f>VLOOKUP(B2648,'old-aw-skill-plan'!A:I,7,FALSE)</f>
        <v>4</v>
      </c>
      <c r="H2648" s="1" t="str">
        <f>VLOOKUP(B2648,'old-aw-skill-plan'!A:I,9,FALSE)</f>
        <v>4-1</v>
      </c>
    </row>
    <row r="2649" ht="15.75" customHeight="1">
      <c r="A2649" s="1" t="s">
        <v>52</v>
      </c>
      <c r="B2649" s="1" t="s">
        <v>21</v>
      </c>
      <c r="C2649" s="1" t="s">
        <v>11</v>
      </c>
      <c r="D2649" s="5">
        <v>45428.0</v>
      </c>
      <c r="G2649" s="1">
        <f>VLOOKUP(B2649,'old-aw-skill-plan'!A:I,7,FALSE)</f>
        <v>4</v>
      </c>
      <c r="H2649" s="1" t="str">
        <f>VLOOKUP(B2649,'old-aw-skill-plan'!A:I,9,FALSE)</f>
        <v>4-6</v>
      </c>
    </row>
    <row r="2650" ht="15.75" customHeight="1">
      <c r="A2650" s="1" t="s">
        <v>420</v>
      </c>
      <c r="B2650" s="1" t="s">
        <v>10</v>
      </c>
      <c r="C2650" s="1" t="s">
        <v>11</v>
      </c>
      <c r="D2650" s="5">
        <v>45428.0</v>
      </c>
      <c r="G2650" s="1">
        <f>VLOOKUP(B2650,'old-aw-skill-plan'!A:I,7,FALSE)</f>
        <v>3</v>
      </c>
      <c r="H2650" s="1" t="str">
        <f>VLOOKUP(B2650,'old-aw-skill-plan'!A:I,9,FALSE)</f>
        <v>3-1</v>
      </c>
    </row>
    <row r="2651" ht="15.75" customHeight="1">
      <c r="A2651" s="1" t="s">
        <v>420</v>
      </c>
      <c r="B2651" s="1" t="s">
        <v>352</v>
      </c>
      <c r="C2651" s="1" t="s">
        <v>11</v>
      </c>
      <c r="D2651" s="5">
        <v>45428.0</v>
      </c>
      <c r="G2651" s="1">
        <f>VLOOKUP(B2651,'old-aw-skill-plan'!A:I,7,FALSE)</f>
        <v>3</v>
      </c>
      <c r="H2651" s="1" t="str">
        <f>VLOOKUP(B2651,'old-aw-skill-plan'!A:I,9,FALSE)</f>
        <v>3-2</v>
      </c>
    </row>
    <row r="2652" ht="15.75" customHeight="1">
      <c r="A2652" s="1" t="s">
        <v>420</v>
      </c>
      <c r="B2652" s="1" t="s">
        <v>313</v>
      </c>
      <c r="C2652" s="1" t="s">
        <v>11</v>
      </c>
      <c r="D2652" s="5">
        <v>45428.0</v>
      </c>
      <c r="G2652" s="1" t="str">
        <f>VLOOKUP(B2652,'old-aw-skill-plan'!A:I,7,FALSE)</f>
        <v>#N/A</v>
      </c>
      <c r="H2652" s="1" t="str">
        <f>VLOOKUP(B2652,'old-aw-skill-plan'!A:I,9,FALSE)</f>
        <v>#N/A</v>
      </c>
    </row>
    <row r="2653" ht="15.75" customHeight="1">
      <c r="A2653" s="1" t="s">
        <v>65</v>
      </c>
      <c r="B2653" s="1" t="s">
        <v>34</v>
      </c>
      <c r="C2653" s="1" t="s">
        <v>11</v>
      </c>
      <c r="D2653" s="5">
        <v>45428.0</v>
      </c>
      <c r="G2653" s="1">
        <f>VLOOKUP(B2653,'old-aw-skill-plan'!A:I,7,FALSE)</f>
        <v>4</v>
      </c>
      <c r="H2653" s="1" t="str">
        <f>VLOOKUP(B2653,'old-aw-skill-plan'!A:I,9,FALSE)</f>
        <v>4-1</v>
      </c>
    </row>
    <row r="2654" ht="15.75" customHeight="1">
      <c r="A2654" s="1" t="s">
        <v>421</v>
      </c>
      <c r="B2654" s="1" t="s">
        <v>83</v>
      </c>
      <c r="C2654" s="1" t="s">
        <v>11</v>
      </c>
      <c r="D2654" s="5">
        <v>45427.0</v>
      </c>
      <c r="G2654" s="1">
        <f>VLOOKUP(B2654,'old-aw-skill-plan'!A:I,7,FALSE)</f>
        <v>5</v>
      </c>
      <c r="H2654" s="1" t="str">
        <f>VLOOKUP(B2654,'old-aw-skill-plan'!A:I,9,FALSE)</f>
        <v>5-9</v>
      </c>
    </row>
    <row r="2655" ht="15.75" customHeight="1">
      <c r="A2655" s="1" t="s">
        <v>420</v>
      </c>
      <c r="B2655" s="1" t="s">
        <v>47</v>
      </c>
      <c r="C2655" s="1" t="s">
        <v>11</v>
      </c>
      <c r="D2655" s="5">
        <v>45427.0</v>
      </c>
      <c r="G2655" s="1">
        <f>VLOOKUP(B2655,'old-aw-skill-plan'!A:I,7,FALSE)</f>
        <v>3</v>
      </c>
      <c r="H2655" s="1" t="str">
        <f>VLOOKUP(B2655,'old-aw-skill-plan'!A:I,9,FALSE)</f>
        <v>3-2</v>
      </c>
    </row>
    <row r="2656" ht="15.75" customHeight="1">
      <c r="A2656" s="1" t="s">
        <v>420</v>
      </c>
      <c r="B2656" s="1" t="s">
        <v>425</v>
      </c>
      <c r="C2656" s="1" t="s">
        <v>11</v>
      </c>
      <c r="D2656" s="5">
        <v>45427.0</v>
      </c>
      <c r="G2656" s="1">
        <f>VLOOKUP(B2656,'old-aw-skill-plan'!A:I,7,FALSE)</f>
        <v>3</v>
      </c>
      <c r="H2656" s="1" t="str">
        <f>VLOOKUP(B2656,'old-aw-skill-plan'!A:I,9,FALSE)</f>
        <v>3-1</v>
      </c>
    </row>
    <row r="2657" ht="15.75" customHeight="1">
      <c r="A2657" s="1" t="s">
        <v>420</v>
      </c>
      <c r="B2657" s="1" t="s">
        <v>34</v>
      </c>
      <c r="C2657" s="1" t="s">
        <v>11</v>
      </c>
      <c r="D2657" s="5">
        <v>45427.0</v>
      </c>
      <c r="G2657" s="1">
        <f>VLOOKUP(B2657,'old-aw-skill-plan'!A:I,7,FALSE)</f>
        <v>4</v>
      </c>
      <c r="H2657" s="1" t="str">
        <f>VLOOKUP(B2657,'old-aw-skill-plan'!A:I,9,FALSE)</f>
        <v>4-1</v>
      </c>
    </row>
    <row r="2658" ht="15.75" customHeight="1">
      <c r="A2658" s="1" t="s">
        <v>52</v>
      </c>
      <c r="B2658" s="1" t="s">
        <v>37</v>
      </c>
      <c r="C2658" s="1" t="s">
        <v>11</v>
      </c>
      <c r="D2658" s="5">
        <v>45426.0</v>
      </c>
      <c r="G2658" s="1">
        <f>VLOOKUP(B2658,'old-aw-skill-plan'!A:I,7,FALSE)</f>
        <v>4</v>
      </c>
      <c r="H2658" s="1" t="str">
        <f>VLOOKUP(B2658,'old-aw-skill-plan'!A:I,9,FALSE)</f>
        <v>4-2</v>
      </c>
    </row>
    <row r="2659" ht="15.75" customHeight="1">
      <c r="A2659" s="1" t="s">
        <v>52</v>
      </c>
      <c r="B2659" s="1" t="s">
        <v>21</v>
      </c>
      <c r="C2659" s="1" t="s">
        <v>11</v>
      </c>
      <c r="D2659" s="5">
        <v>45426.0</v>
      </c>
      <c r="G2659" s="1">
        <f>VLOOKUP(B2659,'old-aw-skill-plan'!A:I,7,FALSE)</f>
        <v>4</v>
      </c>
      <c r="H2659" s="1" t="str">
        <f>VLOOKUP(B2659,'old-aw-skill-plan'!A:I,9,FALSE)</f>
        <v>4-6</v>
      </c>
    </row>
    <row r="2660" ht="15.75" customHeight="1">
      <c r="A2660" s="1" t="s">
        <v>421</v>
      </c>
      <c r="B2660" s="1" t="s">
        <v>83</v>
      </c>
      <c r="C2660" s="1" t="s">
        <v>11</v>
      </c>
      <c r="D2660" s="5">
        <v>45426.0</v>
      </c>
      <c r="G2660" s="1">
        <f>VLOOKUP(B2660,'old-aw-skill-plan'!A:I,7,FALSE)</f>
        <v>5</v>
      </c>
      <c r="H2660" s="1" t="str">
        <f>VLOOKUP(B2660,'old-aw-skill-plan'!A:I,9,FALSE)</f>
        <v>5-9</v>
      </c>
    </row>
    <row r="2661" ht="15.75" customHeight="1">
      <c r="A2661" s="1" t="s">
        <v>52</v>
      </c>
      <c r="B2661" s="1" t="s">
        <v>40</v>
      </c>
      <c r="C2661" s="1" t="s">
        <v>11</v>
      </c>
      <c r="D2661" s="5">
        <v>45425.0</v>
      </c>
      <c r="G2661" s="1">
        <f>VLOOKUP(B2661,'old-aw-skill-plan'!A:I,7,FALSE)</f>
        <v>4</v>
      </c>
      <c r="H2661" s="1" t="str">
        <f>VLOOKUP(B2661,'old-aw-skill-plan'!A:I,9,FALSE)</f>
        <v>4-10</v>
      </c>
    </row>
    <row r="2662" ht="15.75" customHeight="1">
      <c r="A2662" s="1" t="s">
        <v>52</v>
      </c>
      <c r="B2662" s="1" t="s">
        <v>66</v>
      </c>
      <c r="C2662" s="1" t="s">
        <v>11</v>
      </c>
      <c r="D2662" s="5">
        <v>45425.0</v>
      </c>
      <c r="G2662" s="1">
        <f>VLOOKUP(B2662,'old-aw-skill-plan'!A:I,7,FALSE)</f>
        <v>4</v>
      </c>
      <c r="H2662" s="1" t="str">
        <f>VLOOKUP(B2662,'old-aw-skill-plan'!A:I,9,FALSE)</f>
        <v>4-9</v>
      </c>
    </row>
    <row r="2663" ht="15.75" customHeight="1">
      <c r="A2663" s="1" t="s">
        <v>52</v>
      </c>
      <c r="B2663" s="1" t="s">
        <v>37</v>
      </c>
      <c r="C2663" s="1" t="s">
        <v>11</v>
      </c>
      <c r="D2663" s="5">
        <v>45425.0</v>
      </c>
      <c r="G2663" s="1">
        <f>VLOOKUP(B2663,'old-aw-skill-plan'!A:I,7,FALSE)</f>
        <v>4</v>
      </c>
      <c r="H2663" s="1" t="str">
        <f>VLOOKUP(B2663,'old-aw-skill-plan'!A:I,9,FALSE)</f>
        <v>4-2</v>
      </c>
    </row>
    <row r="2664" ht="15.75" customHeight="1">
      <c r="A2664" s="1" t="s">
        <v>52</v>
      </c>
      <c r="B2664" s="1" t="s">
        <v>21</v>
      </c>
      <c r="C2664" s="1" t="s">
        <v>11</v>
      </c>
      <c r="D2664" s="5">
        <v>45425.0</v>
      </c>
      <c r="G2664" s="1">
        <f>VLOOKUP(B2664,'old-aw-skill-plan'!A:I,7,FALSE)</f>
        <v>4</v>
      </c>
      <c r="H2664" s="1" t="str">
        <f>VLOOKUP(B2664,'old-aw-skill-plan'!A:I,9,FALSE)</f>
        <v>4-6</v>
      </c>
    </row>
    <row r="2665" ht="15.75" customHeight="1">
      <c r="A2665" s="1" t="s">
        <v>421</v>
      </c>
      <c r="B2665" s="1" t="s">
        <v>83</v>
      </c>
      <c r="C2665" s="1" t="s">
        <v>11</v>
      </c>
      <c r="D2665" s="5">
        <v>45425.0</v>
      </c>
      <c r="G2665" s="1">
        <f>VLOOKUP(B2665,'old-aw-skill-plan'!A:I,7,FALSE)</f>
        <v>5</v>
      </c>
      <c r="H2665" s="1" t="str">
        <f>VLOOKUP(B2665,'old-aw-skill-plan'!A:I,9,FALSE)</f>
        <v>5-9</v>
      </c>
    </row>
    <row r="2666" ht="15.75" customHeight="1">
      <c r="A2666" s="1" t="s">
        <v>420</v>
      </c>
      <c r="B2666" s="1" t="s">
        <v>28</v>
      </c>
      <c r="C2666" s="1" t="s">
        <v>11</v>
      </c>
      <c r="D2666" s="5">
        <v>45425.0</v>
      </c>
      <c r="G2666" s="1">
        <f>VLOOKUP(B2666,'old-aw-skill-plan'!A:I,7,FALSE)</f>
        <v>3</v>
      </c>
      <c r="H2666" s="1" t="str">
        <f>VLOOKUP(B2666,'old-aw-skill-plan'!A:I,9,FALSE)</f>
        <v>3-4</v>
      </c>
    </row>
    <row r="2667" ht="15.75" customHeight="1">
      <c r="A2667" s="1" t="s">
        <v>420</v>
      </c>
      <c r="B2667" s="1" t="s">
        <v>10</v>
      </c>
      <c r="C2667" s="1" t="s">
        <v>11</v>
      </c>
      <c r="D2667" s="5">
        <v>45425.0</v>
      </c>
      <c r="G2667" s="1">
        <f>VLOOKUP(B2667,'old-aw-skill-plan'!A:I,7,FALSE)</f>
        <v>3</v>
      </c>
      <c r="H2667" s="1" t="str">
        <f>VLOOKUP(B2667,'old-aw-skill-plan'!A:I,9,FALSE)</f>
        <v>3-1</v>
      </c>
    </row>
    <row r="2668" ht="15.75" customHeight="1">
      <c r="A2668" s="1" t="s">
        <v>420</v>
      </c>
      <c r="B2668" s="1" t="s">
        <v>352</v>
      </c>
      <c r="C2668" s="1" t="s">
        <v>11</v>
      </c>
      <c r="D2668" s="5">
        <v>45425.0</v>
      </c>
      <c r="G2668" s="1">
        <f>VLOOKUP(B2668,'old-aw-skill-plan'!A:I,7,FALSE)</f>
        <v>3</v>
      </c>
      <c r="H2668" s="1" t="str">
        <f>VLOOKUP(B2668,'old-aw-skill-plan'!A:I,9,FALSE)</f>
        <v>3-2</v>
      </c>
    </row>
    <row r="2669" ht="15.75" customHeight="1">
      <c r="A2669" s="1" t="s">
        <v>420</v>
      </c>
      <c r="B2669" s="1" t="s">
        <v>34</v>
      </c>
      <c r="C2669" s="1" t="s">
        <v>11</v>
      </c>
      <c r="D2669" s="5">
        <v>45425.0</v>
      </c>
      <c r="G2669" s="1">
        <f>VLOOKUP(B2669,'old-aw-skill-plan'!A:I,7,FALSE)</f>
        <v>4</v>
      </c>
      <c r="H2669" s="1" t="str">
        <f>VLOOKUP(B2669,'old-aw-skill-plan'!A:I,9,FALSE)</f>
        <v>4-1</v>
      </c>
    </row>
    <row r="2670" ht="15.75" customHeight="1">
      <c r="A2670" s="1" t="s">
        <v>225</v>
      </c>
      <c r="B2670" s="1" t="s">
        <v>79</v>
      </c>
      <c r="C2670" s="1" t="s">
        <v>11</v>
      </c>
      <c r="D2670" s="5">
        <v>45425.0</v>
      </c>
      <c r="G2670" s="1">
        <f>VLOOKUP(B2670,'old-aw-skill-plan'!A:I,7,FALSE)</f>
        <v>4</v>
      </c>
      <c r="H2670" s="1" t="str">
        <f>VLOOKUP(B2670,'old-aw-skill-plan'!A:I,9,FALSE)</f>
        <v>4-8</v>
      </c>
    </row>
    <row r="2671" ht="15.75" customHeight="1">
      <c r="A2671" s="1" t="s">
        <v>35</v>
      </c>
      <c r="B2671" s="1" t="s">
        <v>42</v>
      </c>
      <c r="C2671" s="1" t="s">
        <v>11</v>
      </c>
      <c r="D2671" s="5">
        <v>45422.0</v>
      </c>
      <c r="G2671" s="1">
        <f>VLOOKUP(B2671,'old-aw-skill-plan'!A:I,7,FALSE)</f>
        <v>4</v>
      </c>
      <c r="H2671" s="1" t="str">
        <f>VLOOKUP(B2671,'old-aw-skill-plan'!A:I,9,FALSE)</f>
        <v>4-11</v>
      </c>
    </row>
    <row r="2672" ht="15.75" customHeight="1">
      <c r="A2672" s="1" t="s">
        <v>421</v>
      </c>
      <c r="B2672" s="1" t="s">
        <v>83</v>
      </c>
      <c r="C2672" s="1" t="s">
        <v>11</v>
      </c>
      <c r="D2672" s="5">
        <v>45422.0</v>
      </c>
      <c r="G2672" s="1">
        <f>VLOOKUP(B2672,'old-aw-skill-plan'!A:I,7,FALSE)</f>
        <v>5</v>
      </c>
      <c r="H2672" s="1" t="str">
        <f>VLOOKUP(B2672,'old-aw-skill-plan'!A:I,9,FALSE)</f>
        <v>5-9</v>
      </c>
    </row>
    <row r="2673" ht="15.75" customHeight="1">
      <c r="A2673" s="1" t="s">
        <v>420</v>
      </c>
      <c r="B2673" s="1" t="s">
        <v>136</v>
      </c>
      <c r="C2673" s="1" t="s">
        <v>11</v>
      </c>
      <c r="D2673" s="5">
        <v>45422.0</v>
      </c>
      <c r="G2673" s="1">
        <f>VLOOKUP(B2673,'old-aw-skill-plan'!A:I,7,FALSE)</f>
        <v>6</v>
      </c>
      <c r="H2673" s="1" t="str">
        <f>VLOOKUP(B2673,'old-aw-skill-plan'!A:I,9,FALSE)</f>
        <v>6-4</v>
      </c>
    </row>
    <row r="2674" ht="15.75" customHeight="1">
      <c r="A2674" s="1" t="s">
        <v>420</v>
      </c>
      <c r="B2674" s="1" t="s">
        <v>335</v>
      </c>
      <c r="C2674" s="1" t="s">
        <v>11</v>
      </c>
      <c r="D2674" s="5">
        <v>45422.0</v>
      </c>
      <c r="G2674" s="1">
        <f>VLOOKUP(B2674,'old-aw-skill-plan'!A:I,7,FALSE)</f>
        <v>6</v>
      </c>
      <c r="H2674" s="1" t="str">
        <f>VLOOKUP(B2674,'old-aw-skill-plan'!A:I,9,FALSE)</f>
        <v>6-2</v>
      </c>
    </row>
    <row r="2675" ht="15.75" customHeight="1">
      <c r="A2675" s="1" t="s">
        <v>420</v>
      </c>
      <c r="B2675" s="1" t="s">
        <v>425</v>
      </c>
      <c r="C2675" s="1" t="s">
        <v>11</v>
      </c>
      <c r="D2675" s="5">
        <v>45422.0</v>
      </c>
      <c r="G2675" s="1">
        <f>VLOOKUP(B2675,'old-aw-skill-plan'!A:I,7,FALSE)</f>
        <v>3</v>
      </c>
      <c r="H2675" s="1" t="str">
        <f>VLOOKUP(B2675,'old-aw-skill-plan'!A:I,9,FALSE)</f>
        <v>3-1</v>
      </c>
    </row>
    <row r="2676" ht="15.75" customHeight="1">
      <c r="A2676" s="1" t="s">
        <v>219</v>
      </c>
      <c r="B2676" s="1" t="s">
        <v>40</v>
      </c>
      <c r="C2676" s="1" t="s">
        <v>11</v>
      </c>
      <c r="D2676" s="5">
        <v>45422.0</v>
      </c>
      <c r="G2676" s="1">
        <f>VLOOKUP(B2676,'old-aw-skill-plan'!A:I,7,FALSE)</f>
        <v>4</v>
      </c>
      <c r="H2676" s="1" t="str">
        <f>VLOOKUP(B2676,'old-aw-skill-plan'!A:I,9,FALSE)</f>
        <v>4-10</v>
      </c>
    </row>
    <row r="2677" ht="15.75" customHeight="1">
      <c r="A2677" s="1" t="s">
        <v>419</v>
      </c>
      <c r="B2677" s="1" t="s">
        <v>44</v>
      </c>
      <c r="C2677" s="1" t="s">
        <v>11</v>
      </c>
      <c r="D2677" s="5">
        <v>45421.0</v>
      </c>
      <c r="G2677" s="1">
        <f>VLOOKUP(B2677,'old-aw-skill-plan'!A:I,7,FALSE)</f>
        <v>5</v>
      </c>
      <c r="H2677" s="1" t="str">
        <f>VLOOKUP(B2677,'old-aw-skill-plan'!A:I,9,FALSE)</f>
        <v>5-1</v>
      </c>
    </row>
    <row r="2678" ht="15.75" customHeight="1">
      <c r="A2678" s="1" t="s">
        <v>35</v>
      </c>
      <c r="B2678" s="1" t="s">
        <v>141</v>
      </c>
      <c r="C2678" s="1" t="s">
        <v>11</v>
      </c>
      <c r="D2678" s="5">
        <v>45420.0</v>
      </c>
      <c r="G2678" s="1">
        <f>VLOOKUP(B2678,'old-aw-skill-plan'!A:I,7,FALSE)</f>
        <v>7</v>
      </c>
      <c r="H2678" s="1" t="str">
        <f>VLOOKUP(B2678,'old-aw-skill-plan'!A:I,9,FALSE)</f>
        <v>7-4</v>
      </c>
    </row>
    <row r="2679" ht="15.75" customHeight="1">
      <c r="A2679" s="1" t="s">
        <v>235</v>
      </c>
      <c r="B2679" s="1" t="s">
        <v>44</v>
      </c>
      <c r="C2679" s="1" t="s">
        <v>11</v>
      </c>
      <c r="D2679" s="5">
        <v>45420.0</v>
      </c>
      <c r="G2679" s="1">
        <f>VLOOKUP(B2679,'old-aw-skill-plan'!A:I,7,FALSE)</f>
        <v>5</v>
      </c>
      <c r="H2679" s="1" t="str">
        <f>VLOOKUP(B2679,'old-aw-skill-plan'!A:I,9,FALSE)</f>
        <v>5-1</v>
      </c>
    </row>
    <row r="2680" ht="15.75" customHeight="1">
      <c r="A2680" s="1" t="s">
        <v>235</v>
      </c>
      <c r="B2680" s="1" t="s">
        <v>84</v>
      </c>
      <c r="C2680" s="1" t="s">
        <v>11</v>
      </c>
      <c r="D2680" s="5">
        <v>45420.0</v>
      </c>
      <c r="G2680" s="1">
        <f>VLOOKUP(B2680,'old-aw-skill-plan'!A:I,7,FALSE)</f>
        <v>5</v>
      </c>
      <c r="H2680" s="1" t="str">
        <f>VLOOKUP(B2680,'old-aw-skill-plan'!A:I,9,FALSE)</f>
        <v>5-7</v>
      </c>
    </row>
    <row r="2681" ht="15.75" customHeight="1">
      <c r="A2681" s="1" t="s">
        <v>235</v>
      </c>
      <c r="B2681" s="1" t="s">
        <v>87</v>
      </c>
      <c r="C2681" s="1" t="s">
        <v>11</v>
      </c>
      <c r="D2681" s="5">
        <v>45420.0</v>
      </c>
      <c r="G2681" s="1">
        <f>VLOOKUP(B2681,'old-aw-skill-plan'!A:I,7,FALSE)</f>
        <v>5</v>
      </c>
      <c r="H2681" s="1" t="str">
        <f>VLOOKUP(B2681,'old-aw-skill-plan'!A:I,9,FALSE)</f>
        <v>5-6</v>
      </c>
    </row>
    <row r="2682" ht="15.75" customHeight="1">
      <c r="A2682" s="1" t="s">
        <v>421</v>
      </c>
      <c r="B2682" s="1" t="s">
        <v>83</v>
      </c>
      <c r="C2682" s="1" t="s">
        <v>11</v>
      </c>
      <c r="D2682" s="5">
        <v>45419.0</v>
      </c>
      <c r="G2682" s="1">
        <f>VLOOKUP(B2682,'old-aw-skill-plan'!A:I,7,FALSE)</f>
        <v>5</v>
      </c>
      <c r="H2682" s="1" t="str">
        <f>VLOOKUP(B2682,'old-aw-skill-plan'!A:I,9,FALSE)</f>
        <v>5-9</v>
      </c>
    </row>
    <row r="2683" ht="15.75" customHeight="1">
      <c r="A2683" s="1" t="s">
        <v>235</v>
      </c>
      <c r="B2683" s="1" t="s">
        <v>314</v>
      </c>
      <c r="C2683" s="1" t="s">
        <v>11</v>
      </c>
      <c r="D2683" s="5">
        <v>45419.0</v>
      </c>
      <c r="G2683" s="1">
        <f>VLOOKUP(B2683,'old-aw-skill-plan'!A:I,7,FALSE)</f>
        <v>5</v>
      </c>
      <c r="H2683" s="1" t="str">
        <f>VLOOKUP(B2683,'old-aw-skill-plan'!A:I,9,FALSE)</f>
        <v>5-10</v>
      </c>
    </row>
    <row r="2684" ht="15.75" customHeight="1">
      <c r="A2684" s="1" t="s">
        <v>235</v>
      </c>
      <c r="B2684" s="1" t="s">
        <v>87</v>
      </c>
      <c r="C2684" s="1" t="s">
        <v>11</v>
      </c>
      <c r="D2684" s="5">
        <v>45419.0</v>
      </c>
      <c r="G2684" s="1">
        <f>VLOOKUP(B2684,'old-aw-skill-plan'!A:I,7,FALSE)</f>
        <v>5</v>
      </c>
      <c r="H2684" s="1" t="str">
        <f>VLOOKUP(B2684,'old-aw-skill-plan'!A:I,9,FALSE)</f>
        <v>5-6</v>
      </c>
    </row>
    <row r="2685" ht="15.75" customHeight="1">
      <c r="A2685" s="1" t="s">
        <v>52</v>
      </c>
      <c r="B2685" s="1" t="s">
        <v>40</v>
      </c>
      <c r="C2685" s="1" t="s">
        <v>11</v>
      </c>
      <c r="D2685" s="5">
        <v>45418.0</v>
      </c>
      <c r="G2685" s="1">
        <f>VLOOKUP(B2685,'old-aw-skill-plan'!A:I,7,FALSE)</f>
        <v>4</v>
      </c>
      <c r="H2685" s="1" t="str">
        <f>VLOOKUP(B2685,'old-aw-skill-plan'!A:I,9,FALSE)</f>
        <v>4-10</v>
      </c>
    </row>
    <row r="2686" ht="15.75" customHeight="1">
      <c r="A2686" s="1" t="s">
        <v>52</v>
      </c>
      <c r="B2686" s="1" t="s">
        <v>61</v>
      </c>
      <c r="C2686" s="1" t="s">
        <v>11</v>
      </c>
      <c r="D2686" s="5">
        <v>45418.0</v>
      </c>
      <c r="G2686" s="1">
        <f>VLOOKUP(B2686,'old-aw-skill-plan'!A:I,7,FALSE)</f>
        <v>4</v>
      </c>
      <c r="H2686" s="1" t="str">
        <f>VLOOKUP(B2686,'old-aw-skill-plan'!A:I,9,FALSE)</f>
        <v>4-4</v>
      </c>
    </row>
    <row r="2687" ht="15.75" customHeight="1">
      <c r="A2687" s="1" t="s">
        <v>235</v>
      </c>
      <c r="B2687" s="1" t="s">
        <v>314</v>
      </c>
      <c r="C2687" s="1" t="s">
        <v>11</v>
      </c>
      <c r="D2687" s="5">
        <v>45418.0</v>
      </c>
      <c r="G2687" s="1">
        <f>VLOOKUP(B2687,'old-aw-skill-plan'!A:I,7,FALSE)</f>
        <v>5</v>
      </c>
      <c r="H2687" s="1" t="str">
        <f>VLOOKUP(B2687,'old-aw-skill-plan'!A:I,9,FALSE)</f>
        <v>5-10</v>
      </c>
    </row>
    <row r="2688" ht="15.75" customHeight="1">
      <c r="A2688" s="1" t="s">
        <v>235</v>
      </c>
      <c r="B2688" s="1" t="s">
        <v>44</v>
      </c>
      <c r="C2688" s="1" t="s">
        <v>11</v>
      </c>
      <c r="D2688" s="5">
        <v>45418.0</v>
      </c>
      <c r="G2688" s="1">
        <f>VLOOKUP(B2688,'old-aw-skill-plan'!A:I,7,FALSE)</f>
        <v>5</v>
      </c>
      <c r="H2688" s="1" t="str">
        <f>VLOOKUP(B2688,'old-aw-skill-plan'!A:I,9,FALSE)</f>
        <v>5-1</v>
      </c>
    </row>
    <row r="2689" ht="15.75" customHeight="1">
      <c r="A2689" s="1" t="s">
        <v>426</v>
      </c>
      <c r="B2689" s="1" t="s">
        <v>44</v>
      </c>
      <c r="C2689" s="1" t="s">
        <v>11</v>
      </c>
      <c r="D2689" s="5">
        <v>45418.0</v>
      </c>
      <c r="G2689" s="1">
        <f>VLOOKUP(B2689,'old-aw-skill-plan'!A:I,7,FALSE)</f>
        <v>5</v>
      </c>
      <c r="H2689" s="1" t="str">
        <f>VLOOKUP(B2689,'old-aw-skill-plan'!A:I,9,FALSE)</f>
        <v>5-1</v>
      </c>
    </row>
    <row r="2690" ht="15.75" customHeight="1">
      <c r="A2690" s="1" t="s">
        <v>24</v>
      </c>
      <c r="B2690" s="1" t="s">
        <v>37</v>
      </c>
      <c r="C2690" s="1" t="s">
        <v>11</v>
      </c>
      <c r="D2690" s="5">
        <v>45417.0</v>
      </c>
      <c r="G2690" s="1">
        <f>VLOOKUP(B2690,'old-aw-skill-plan'!A:I,7,FALSE)</f>
        <v>4</v>
      </c>
      <c r="H2690" s="1" t="str">
        <f>VLOOKUP(B2690,'old-aw-skill-plan'!A:I,9,FALSE)</f>
        <v>4-2</v>
      </c>
    </row>
    <row r="2691" ht="15.75" customHeight="1">
      <c r="A2691" s="1" t="s">
        <v>24</v>
      </c>
      <c r="B2691" s="1" t="s">
        <v>37</v>
      </c>
      <c r="C2691" s="1" t="s">
        <v>11</v>
      </c>
      <c r="D2691" s="5">
        <v>45415.0</v>
      </c>
      <c r="G2691" s="1">
        <f>VLOOKUP(B2691,'old-aw-skill-plan'!A:I,7,FALSE)</f>
        <v>4</v>
      </c>
      <c r="H2691" s="1" t="str">
        <f>VLOOKUP(B2691,'old-aw-skill-plan'!A:I,9,FALSE)</f>
        <v>4-2</v>
      </c>
    </row>
    <row r="2692" ht="15.75" customHeight="1">
      <c r="A2692" s="1" t="s">
        <v>237</v>
      </c>
      <c r="B2692" s="1" t="s">
        <v>333</v>
      </c>
      <c r="C2692" s="1" t="s">
        <v>11</v>
      </c>
      <c r="D2692" s="5">
        <v>45415.0</v>
      </c>
      <c r="G2692" s="1">
        <f>VLOOKUP(B2692,'old-aw-skill-plan'!A:I,7,FALSE)</f>
        <v>6</v>
      </c>
      <c r="H2692" s="1" t="str">
        <f>VLOOKUP(B2692,'old-aw-skill-plan'!A:I,9,FALSE)</f>
        <v>6-3</v>
      </c>
    </row>
    <row r="2693" ht="15.75" customHeight="1">
      <c r="A2693" s="1" t="s">
        <v>420</v>
      </c>
      <c r="B2693" s="1" t="s">
        <v>48</v>
      </c>
      <c r="C2693" s="1" t="s">
        <v>11</v>
      </c>
      <c r="D2693" s="5">
        <v>45415.0</v>
      </c>
      <c r="G2693" s="1">
        <f>VLOOKUP(B2693,'old-aw-skill-plan'!A:I,7,FALSE)</f>
        <v>3</v>
      </c>
      <c r="H2693" s="1" t="str">
        <f>VLOOKUP(B2693,'old-aw-skill-plan'!A:I,9,FALSE)</f>
        <v>3-6</v>
      </c>
    </row>
    <row r="2694" ht="15.75" customHeight="1">
      <c r="A2694" s="1" t="s">
        <v>225</v>
      </c>
      <c r="B2694" s="1" t="s">
        <v>363</v>
      </c>
      <c r="C2694" s="1" t="s">
        <v>11</v>
      </c>
      <c r="D2694" s="5">
        <v>45415.0</v>
      </c>
      <c r="G2694" s="1">
        <f>VLOOKUP(B2694,'old-aw-skill-plan'!A:I,7,FALSE)</f>
        <v>7</v>
      </c>
      <c r="H2694" s="1" t="str">
        <f>VLOOKUP(B2694,'old-aw-skill-plan'!A:I,9,FALSE)</f>
        <v>7-1</v>
      </c>
    </row>
    <row r="2695" ht="15.75" customHeight="1">
      <c r="A2695" s="1" t="s">
        <v>52</v>
      </c>
      <c r="B2695" s="1" t="s">
        <v>37</v>
      </c>
      <c r="C2695" s="1" t="s">
        <v>11</v>
      </c>
      <c r="D2695" s="5">
        <v>45414.0</v>
      </c>
      <c r="G2695" s="1">
        <f>VLOOKUP(B2695,'old-aw-skill-plan'!A:I,7,FALSE)</f>
        <v>4</v>
      </c>
      <c r="H2695" s="1" t="str">
        <f>VLOOKUP(B2695,'old-aw-skill-plan'!A:I,9,FALSE)</f>
        <v>4-2</v>
      </c>
    </row>
    <row r="2696" ht="15.75" customHeight="1">
      <c r="A2696" s="1" t="s">
        <v>421</v>
      </c>
      <c r="B2696" s="1" t="s">
        <v>83</v>
      </c>
      <c r="C2696" s="1" t="s">
        <v>11</v>
      </c>
      <c r="D2696" s="5">
        <v>45414.0</v>
      </c>
      <c r="G2696" s="1">
        <f>VLOOKUP(B2696,'old-aw-skill-plan'!A:I,7,FALSE)</f>
        <v>5</v>
      </c>
      <c r="H2696" s="1" t="str">
        <f>VLOOKUP(B2696,'old-aw-skill-plan'!A:I,9,FALSE)</f>
        <v>5-9</v>
      </c>
    </row>
    <row r="2697" ht="15.75" customHeight="1">
      <c r="A2697" s="1" t="s">
        <v>421</v>
      </c>
      <c r="B2697" s="1" t="s">
        <v>44</v>
      </c>
      <c r="C2697" s="1" t="s">
        <v>11</v>
      </c>
      <c r="D2697" s="5">
        <v>45414.0</v>
      </c>
      <c r="G2697" s="1">
        <f>VLOOKUP(B2697,'old-aw-skill-plan'!A:I,7,FALSE)</f>
        <v>5</v>
      </c>
      <c r="H2697" s="1" t="str">
        <f>VLOOKUP(B2697,'old-aw-skill-plan'!A:I,9,FALSE)</f>
        <v>5-1</v>
      </c>
    </row>
    <row r="2698" ht="15.75" customHeight="1">
      <c r="A2698" s="1" t="s">
        <v>225</v>
      </c>
      <c r="B2698" s="1" t="s">
        <v>363</v>
      </c>
      <c r="C2698" s="1" t="s">
        <v>11</v>
      </c>
      <c r="D2698" s="5">
        <v>45414.0</v>
      </c>
      <c r="G2698" s="1">
        <f>VLOOKUP(B2698,'old-aw-skill-plan'!A:I,7,FALSE)</f>
        <v>7</v>
      </c>
      <c r="H2698" s="1" t="str">
        <f>VLOOKUP(B2698,'old-aw-skill-plan'!A:I,9,FALSE)</f>
        <v>7-1</v>
      </c>
    </row>
    <row r="2699" ht="15.75" customHeight="1">
      <c r="A2699" s="1" t="s">
        <v>225</v>
      </c>
      <c r="B2699" s="1" t="s">
        <v>124</v>
      </c>
      <c r="C2699" s="1" t="s">
        <v>11</v>
      </c>
      <c r="D2699" s="5">
        <v>45414.0</v>
      </c>
      <c r="G2699" s="1">
        <f>VLOOKUP(B2699,'old-aw-skill-plan'!A:I,7,FALSE)</f>
        <v>7</v>
      </c>
      <c r="H2699" s="1" t="str">
        <f>VLOOKUP(B2699,'old-aw-skill-plan'!A:I,9,FALSE)</f>
        <v>7-5</v>
      </c>
    </row>
    <row r="2700" ht="15.75" customHeight="1">
      <c r="A2700" s="1" t="s">
        <v>225</v>
      </c>
      <c r="B2700" s="1" t="s">
        <v>113</v>
      </c>
      <c r="C2700" s="1" t="s">
        <v>11</v>
      </c>
      <c r="D2700" s="5">
        <v>45414.0</v>
      </c>
      <c r="G2700" s="1">
        <f>VLOOKUP(B2700,'old-aw-skill-plan'!A:I,7,FALSE)</f>
        <v>7</v>
      </c>
      <c r="H2700" s="1" t="str">
        <f>VLOOKUP(B2700,'old-aw-skill-plan'!A:I,9,FALSE)</f>
        <v>7-7</v>
      </c>
    </row>
    <row r="2701" ht="15.75" customHeight="1">
      <c r="A2701" s="1" t="s">
        <v>24</v>
      </c>
      <c r="B2701" s="1" t="s">
        <v>37</v>
      </c>
      <c r="C2701" s="1" t="s">
        <v>11</v>
      </c>
      <c r="D2701" s="5">
        <v>45413.0</v>
      </c>
      <c r="G2701" s="1">
        <f>VLOOKUP(B2701,'old-aw-skill-plan'!A:I,7,FALSE)</f>
        <v>4</v>
      </c>
      <c r="H2701" s="1" t="str">
        <f>VLOOKUP(B2701,'old-aw-skill-plan'!A:I,9,FALSE)</f>
        <v>4-2</v>
      </c>
    </row>
    <row r="2702" ht="15.75" customHeight="1">
      <c r="A2702" s="1" t="s">
        <v>52</v>
      </c>
      <c r="B2702" s="1" t="s">
        <v>34</v>
      </c>
      <c r="C2702" s="1" t="s">
        <v>11</v>
      </c>
      <c r="D2702" s="5">
        <v>45413.0</v>
      </c>
      <c r="G2702" s="1">
        <f>VLOOKUP(B2702,'old-aw-skill-plan'!A:I,7,FALSE)</f>
        <v>4</v>
      </c>
      <c r="H2702" s="1" t="str">
        <f>VLOOKUP(B2702,'old-aw-skill-plan'!A:I,9,FALSE)</f>
        <v>4-1</v>
      </c>
    </row>
    <row r="2703" ht="15.75" customHeight="1">
      <c r="A2703" s="1" t="s">
        <v>52</v>
      </c>
      <c r="B2703" s="1" t="s">
        <v>37</v>
      </c>
      <c r="C2703" s="1" t="s">
        <v>11</v>
      </c>
      <c r="D2703" s="5">
        <v>45413.0</v>
      </c>
      <c r="G2703" s="1">
        <f>VLOOKUP(B2703,'old-aw-skill-plan'!A:I,7,FALSE)</f>
        <v>4</v>
      </c>
      <c r="H2703" s="1" t="str">
        <f>VLOOKUP(B2703,'old-aw-skill-plan'!A:I,9,FALSE)</f>
        <v>4-2</v>
      </c>
    </row>
    <row r="2704" ht="15.75" customHeight="1">
      <c r="A2704" s="1" t="s">
        <v>421</v>
      </c>
      <c r="B2704" s="1" t="s">
        <v>83</v>
      </c>
      <c r="C2704" s="1" t="s">
        <v>11</v>
      </c>
      <c r="D2704" s="5">
        <v>45413.0</v>
      </c>
      <c r="G2704" s="1">
        <f>VLOOKUP(B2704,'old-aw-skill-plan'!A:I,7,FALSE)</f>
        <v>5</v>
      </c>
      <c r="H2704" s="1" t="str">
        <f>VLOOKUP(B2704,'old-aw-skill-plan'!A:I,9,FALSE)</f>
        <v>5-9</v>
      </c>
    </row>
    <row r="2705" ht="15.75" customHeight="1">
      <c r="A2705" s="1" t="s">
        <v>230</v>
      </c>
      <c r="B2705" s="1" t="s">
        <v>10</v>
      </c>
      <c r="C2705" s="1" t="s">
        <v>11</v>
      </c>
      <c r="D2705" s="5">
        <v>45413.0</v>
      </c>
      <c r="G2705" s="1">
        <f>VLOOKUP(B2705,'old-aw-skill-plan'!A:I,7,FALSE)</f>
        <v>3</v>
      </c>
      <c r="H2705" s="1" t="str">
        <f>VLOOKUP(B2705,'old-aw-skill-plan'!A:I,9,FALSE)</f>
        <v>3-1</v>
      </c>
    </row>
    <row r="2706" ht="15.75" customHeight="1">
      <c r="A2706" s="1" t="s">
        <v>420</v>
      </c>
      <c r="B2706" s="1" t="s">
        <v>91</v>
      </c>
      <c r="C2706" s="1" t="s">
        <v>11</v>
      </c>
      <c r="D2706" s="5">
        <v>45413.0</v>
      </c>
      <c r="G2706" s="1">
        <f>VLOOKUP(B2706,'old-aw-skill-plan'!A:I,7,FALSE)</f>
        <v>6</v>
      </c>
      <c r="H2706" s="1" t="str">
        <f>VLOOKUP(B2706,'old-aw-skill-plan'!A:I,9,FALSE)</f>
        <v>6-1</v>
      </c>
    </row>
    <row r="2707" ht="15.75" customHeight="1">
      <c r="A2707" s="1" t="s">
        <v>420</v>
      </c>
      <c r="B2707" s="1" t="s">
        <v>335</v>
      </c>
      <c r="C2707" s="1" t="s">
        <v>11</v>
      </c>
      <c r="D2707" s="5">
        <v>45413.0</v>
      </c>
      <c r="G2707" s="1">
        <f>VLOOKUP(B2707,'old-aw-skill-plan'!A:I,7,FALSE)</f>
        <v>6</v>
      </c>
      <c r="H2707" s="1" t="str">
        <f>VLOOKUP(B2707,'old-aw-skill-plan'!A:I,9,FALSE)</f>
        <v>6-2</v>
      </c>
    </row>
    <row r="2708" ht="15.75" customHeight="1">
      <c r="A2708" s="1" t="s">
        <v>225</v>
      </c>
      <c r="B2708" s="1" t="s">
        <v>391</v>
      </c>
      <c r="C2708" s="1" t="s">
        <v>11</v>
      </c>
      <c r="D2708" s="5">
        <v>45413.0</v>
      </c>
      <c r="G2708" s="1">
        <f>VLOOKUP(B2708,'old-aw-skill-plan'!A:I,7,FALSE)</f>
        <v>7</v>
      </c>
      <c r="H2708" s="1" t="str">
        <f>VLOOKUP(B2708,'old-aw-skill-plan'!A:I,9,FALSE)</f>
        <v>7-3</v>
      </c>
    </row>
    <row r="2709" ht="15.75" customHeight="1">
      <c r="A2709" s="1" t="s">
        <v>52</v>
      </c>
      <c r="B2709" s="1" t="s">
        <v>34</v>
      </c>
      <c r="C2709" s="1" t="s">
        <v>11</v>
      </c>
      <c r="D2709" s="5">
        <v>45412.0</v>
      </c>
      <c r="G2709" s="1">
        <f>VLOOKUP(B2709,'old-aw-skill-plan'!A:I,7,FALSE)</f>
        <v>4</v>
      </c>
      <c r="H2709" s="1" t="str">
        <f>VLOOKUP(B2709,'old-aw-skill-plan'!A:I,9,FALSE)</f>
        <v>4-1</v>
      </c>
    </row>
    <row r="2710" ht="15.75" customHeight="1">
      <c r="A2710" s="1" t="s">
        <v>52</v>
      </c>
      <c r="B2710" s="1" t="s">
        <v>37</v>
      </c>
      <c r="C2710" s="1" t="s">
        <v>11</v>
      </c>
      <c r="D2710" s="5">
        <v>45412.0</v>
      </c>
      <c r="G2710" s="1">
        <f>VLOOKUP(B2710,'old-aw-skill-plan'!A:I,7,FALSE)</f>
        <v>4</v>
      </c>
      <c r="H2710" s="1" t="str">
        <f>VLOOKUP(B2710,'old-aw-skill-plan'!A:I,9,FALSE)</f>
        <v>4-2</v>
      </c>
    </row>
    <row r="2711" ht="15.75" customHeight="1">
      <c r="A2711" s="1" t="s">
        <v>421</v>
      </c>
      <c r="B2711" s="1" t="s">
        <v>83</v>
      </c>
      <c r="C2711" s="1" t="s">
        <v>11</v>
      </c>
      <c r="D2711" s="5">
        <v>45412.0</v>
      </c>
      <c r="G2711" s="1">
        <f>VLOOKUP(B2711,'old-aw-skill-plan'!A:I,7,FALSE)</f>
        <v>5</v>
      </c>
      <c r="H2711" s="1" t="str">
        <f>VLOOKUP(B2711,'old-aw-skill-plan'!A:I,9,FALSE)</f>
        <v>5-9</v>
      </c>
    </row>
    <row r="2712" ht="15.75" customHeight="1">
      <c r="A2712" s="1" t="s">
        <v>225</v>
      </c>
      <c r="B2712" s="1" t="s">
        <v>40</v>
      </c>
      <c r="C2712" s="1" t="s">
        <v>11</v>
      </c>
      <c r="D2712" s="5">
        <v>45412.0</v>
      </c>
      <c r="G2712" s="1">
        <f>VLOOKUP(B2712,'old-aw-skill-plan'!A:I,7,FALSE)</f>
        <v>4</v>
      </c>
      <c r="H2712" s="1" t="str">
        <f>VLOOKUP(B2712,'old-aw-skill-plan'!A:I,9,FALSE)</f>
        <v>4-10</v>
      </c>
    </row>
    <row r="2713" ht="15.75" customHeight="1">
      <c r="A2713" s="1" t="s">
        <v>225</v>
      </c>
      <c r="B2713" s="1" t="s">
        <v>79</v>
      </c>
      <c r="C2713" s="1" t="s">
        <v>11</v>
      </c>
      <c r="D2713" s="5">
        <v>45412.0</v>
      </c>
      <c r="G2713" s="1">
        <f>VLOOKUP(B2713,'old-aw-skill-plan'!A:I,7,FALSE)</f>
        <v>4</v>
      </c>
      <c r="H2713" s="1" t="str">
        <f>VLOOKUP(B2713,'old-aw-skill-plan'!A:I,9,FALSE)</f>
        <v>4-8</v>
      </c>
    </row>
    <row r="2714" ht="15.75" customHeight="1">
      <c r="A2714" s="1" t="s">
        <v>52</v>
      </c>
      <c r="B2714" s="1" t="s">
        <v>40</v>
      </c>
      <c r="C2714" s="1" t="s">
        <v>11</v>
      </c>
      <c r="D2714" s="5">
        <v>45411.0</v>
      </c>
      <c r="G2714" s="1">
        <f>VLOOKUP(B2714,'old-aw-skill-plan'!A:I,7,FALSE)</f>
        <v>4</v>
      </c>
      <c r="H2714" s="1" t="str">
        <f>VLOOKUP(B2714,'old-aw-skill-plan'!A:I,9,FALSE)</f>
        <v>4-10</v>
      </c>
    </row>
    <row r="2715" ht="15.75" customHeight="1">
      <c r="A2715" s="1" t="s">
        <v>52</v>
      </c>
      <c r="B2715" s="1" t="s">
        <v>34</v>
      </c>
      <c r="C2715" s="1" t="s">
        <v>11</v>
      </c>
      <c r="D2715" s="5">
        <v>45411.0</v>
      </c>
      <c r="G2715" s="1">
        <f>VLOOKUP(B2715,'old-aw-skill-plan'!A:I,7,FALSE)</f>
        <v>4</v>
      </c>
      <c r="H2715" s="1" t="str">
        <f>VLOOKUP(B2715,'old-aw-skill-plan'!A:I,9,FALSE)</f>
        <v>4-1</v>
      </c>
    </row>
    <row r="2716" ht="15.75" customHeight="1">
      <c r="A2716" s="1" t="s">
        <v>52</v>
      </c>
      <c r="B2716" s="1" t="s">
        <v>21</v>
      </c>
      <c r="C2716" s="1" t="s">
        <v>11</v>
      </c>
      <c r="D2716" s="5">
        <v>45411.0</v>
      </c>
      <c r="G2716" s="1">
        <f>VLOOKUP(B2716,'old-aw-skill-plan'!A:I,7,FALSE)</f>
        <v>4</v>
      </c>
      <c r="H2716" s="1" t="str">
        <f>VLOOKUP(B2716,'old-aw-skill-plan'!A:I,9,FALSE)</f>
        <v>4-6</v>
      </c>
    </row>
    <row r="2717" ht="15.75" customHeight="1">
      <c r="A2717" s="1" t="s">
        <v>410</v>
      </c>
      <c r="B2717" s="1" t="s">
        <v>66</v>
      </c>
      <c r="C2717" s="1" t="s">
        <v>11</v>
      </c>
      <c r="D2717" s="5">
        <v>45411.0</v>
      </c>
      <c r="G2717" s="1">
        <f>VLOOKUP(B2717,'old-aw-skill-plan'!A:I,7,FALSE)</f>
        <v>4</v>
      </c>
      <c r="H2717" s="1" t="str">
        <f>VLOOKUP(B2717,'old-aw-skill-plan'!A:I,9,FALSE)</f>
        <v>4-9</v>
      </c>
    </row>
    <row r="2718" ht="15.75" customHeight="1">
      <c r="A2718" s="1" t="s">
        <v>230</v>
      </c>
      <c r="B2718" s="1" t="s">
        <v>10</v>
      </c>
      <c r="C2718" s="1" t="s">
        <v>11</v>
      </c>
      <c r="D2718" s="5">
        <v>45408.0</v>
      </c>
      <c r="G2718" s="1">
        <f>VLOOKUP(B2718,'old-aw-skill-plan'!A:I,7,FALSE)</f>
        <v>3</v>
      </c>
      <c r="H2718" s="1" t="str">
        <f>VLOOKUP(B2718,'old-aw-skill-plan'!A:I,9,FALSE)</f>
        <v>3-1</v>
      </c>
    </row>
    <row r="2719" ht="15.75" customHeight="1">
      <c r="A2719" s="1" t="s">
        <v>22</v>
      </c>
      <c r="B2719" s="1" t="s">
        <v>66</v>
      </c>
      <c r="C2719" s="1" t="s">
        <v>11</v>
      </c>
      <c r="D2719" s="5">
        <v>45401.0</v>
      </c>
      <c r="G2719" s="1">
        <f>VLOOKUP(B2719,'old-aw-skill-plan'!A:I,7,FALSE)</f>
        <v>4</v>
      </c>
      <c r="H2719" s="1" t="str">
        <f>VLOOKUP(B2719,'old-aw-skill-plan'!A:I,9,FALSE)</f>
        <v>4-9</v>
      </c>
    </row>
    <row r="2720" ht="15.75" customHeight="1">
      <c r="A2720" s="1" t="s">
        <v>22</v>
      </c>
      <c r="B2720" s="1" t="s">
        <v>141</v>
      </c>
      <c r="C2720" s="1" t="s">
        <v>11</v>
      </c>
      <c r="D2720" s="5">
        <v>45401.0</v>
      </c>
      <c r="G2720" s="1">
        <f>VLOOKUP(B2720,'old-aw-skill-plan'!A:I,7,FALSE)</f>
        <v>7</v>
      </c>
      <c r="H2720" s="1" t="str">
        <f>VLOOKUP(B2720,'old-aw-skill-plan'!A:I,9,FALSE)</f>
        <v>7-4</v>
      </c>
    </row>
    <row r="2721" ht="15.75" customHeight="1">
      <c r="A2721" s="1" t="s">
        <v>31</v>
      </c>
      <c r="B2721" s="1" t="s">
        <v>10</v>
      </c>
      <c r="C2721" s="1" t="s">
        <v>11</v>
      </c>
      <c r="D2721" s="5">
        <v>45401.0</v>
      </c>
      <c r="G2721" s="1">
        <f>VLOOKUP(B2721,'old-aw-skill-plan'!A:I,7,FALSE)</f>
        <v>3</v>
      </c>
      <c r="H2721" s="1" t="str">
        <f>VLOOKUP(B2721,'old-aw-skill-plan'!A:I,9,FALSE)</f>
        <v>3-1</v>
      </c>
    </row>
    <row r="2722" ht="15.75" customHeight="1">
      <c r="A2722" s="1" t="s">
        <v>31</v>
      </c>
      <c r="B2722" s="1" t="s">
        <v>47</v>
      </c>
      <c r="C2722" s="1" t="s">
        <v>11</v>
      </c>
      <c r="D2722" s="5">
        <v>45401.0</v>
      </c>
      <c r="G2722" s="1">
        <f>VLOOKUP(B2722,'old-aw-skill-plan'!A:I,7,FALSE)</f>
        <v>3</v>
      </c>
      <c r="H2722" s="1" t="str">
        <f>VLOOKUP(B2722,'old-aw-skill-plan'!A:I,9,FALSE)</f>
        <v>3-2</v>
      </c>
    </row>
    <row r="2723" ht="15.75" customHeight="1">
      <c r="A2723" s="1" t="s">
        <v>216</v>
      </c>
      <c r="B2723" s="1" t="s">
        <v>21</v>
      </c>
      <c r="C2723" s="1" t="s">
        <v>11</v>
      </c>
      <c r="D2723" s="5">
        <v>45401.0</v>
      </c>
      <c r="G2723" s="1">
        <f>VLOOKUP(B2723,'old-aw-skill-plan'!A:I,7,FALSE)</f>
        <v>4</v>
      </c>
      <c r="H2723" s="1" t="str">
        <f>VLOOKUP(B2723,'old-aw-skill-plan'!A:I,9,FALSE)</f>
        <v>4-6</v>
      </c>
    </row>
    <row r="2724" ht="15.75" customHeight="1">
      <c r="A2724" s="1" t="s">
        <v>36</v>
      </c>
      <c r="B2724" s="1" t="s">
        <v>58</v>
      </c>
      <c r="C2724" s="1" t="s">
        <v>11</v>
      </c>
      <c r="D2724" s="5">
        <v>45401.0</v>
      </c>
      <c r="G2724" s="1">
        <f>VLOOKUP(B2724,'old-aw-skill-plan'!A:I,7,FALSE)</f>
        <v>3</v>
      </c>
      <c r="H2724" s="1" t="str">
        <f>VLOOKUP(B2724,'old-aw-skill-plan'!A:I,9,FALSE)</f>
        <v>3-8</v>
      </c>
    </row>
    <row r="2725" ht="15.75" customHeight="1">
      <c r="A2725" s="1" t="s">
        <v>46</v>
      </c>
      <c r="B2725" s="1" t="s">
        <v>48</v>
      </c>
      <c r="C2725" s="1" t="s">
        <v>11</v>
      </c>
      <c r="D2725" s="5">
        <v>45401.0</v>
      </c>
      <c r="G2725" s="1">
        <f>VLOOKUP(B2725,'old-aw-skill-plan'!A:I,7,FALSE)</f>
        <v>3</v>
      </c>
      <c r="H2725" s="1" t="str">
        <f>VLOOKUP(B2725,'old-aw-skill-plan'!A:I,9,FALSE)</f>
        <v>3-6</v>
      </c>
    </row>
    <row r="2726" ht="15.75" customHeight="1">
      <c r="A2726" s="1" t="s">
        <v>230</v>
      </c>
      <c r="B2726" s="1" t="s">
        <v>10</v>
      </c>
      <c r="C2726" s="1" t="s">
        <v>11</v>
      </c>
      <c r="D2726" s="5">
        <v>45401.0</v>
      </c>
      <c r="G2726" s="1">
        <f>VLOOKUP(B2726,'old-aw-skill-plan'!A:I,7,FALSE)</f>
        <v>3</v>
      </c>
      <c r="H2726" s="1" t="str">
        <f>VLOOKUP(B2726,'old-aw-skill-plan'!A:I,9,FALSE)</f>
        <v>3-1</v>
      </c>
    </row>
    <row r="2727" ht="15.75" customHeight="1">
      <c r="A2727" s="1" t="s">
        <v>230</v>
      </c>
      <c r="B2727" s="1" t="s">
        <v>307</v>
      </c>
      <c r="C2727" s="1" t="s">
        <v>11</v>
      </c>
      <c r="D2727" s="5">
        <v>45401.0</v>
      </c>
      <c r="G2727" s="1">
        <f>VLOOKUP(B2727,'old-aw-skill-plan'!A:I,7,FALSE)</f>
        <v>3</v>
      </c>
      <c r="H2727" s="1" t="str">
        <f>VLOOKUP(B2727,'old-aw-skill-plan'!A:I,9,FALSE)</f>
        <v>3-1</v>
      </c>
    </row>
    <row r="2728" ht="15.75" customHeight="1">
      <c r="A2728" s="1" t="s">
        <v>420</v>
      </c>
      <c r="B2728" s="1" t="s">
        <v>30</v>
      </c>
      <c r="C2728" s="1" t="s">
        <v>11</v>
      </c>
      <c r="D2728" s="5">
        <v>45401.0</v>
      </c>
      <c r="G2728" s="1">
        <f>VLOOKUP(B2728,'old-aw-skill-plan'!A:I,7,FALSE)</f>
        <v>3</v>
      </c>
      <c r="H2728" s="1" t="str">
        <f>VLOOKUP(B2728,'old-aw-skill-plan'!A:I,9,FALSE)</f>
        <v>3-3</v>
      </c>
    </row>
    <row r="2729" ht="15.75" customHeight="1">
      <c r="A2729" s="1" t="s">
        <v>420</v>
      </c>
      <c r="B2729" s="1" t="s">
        <v>118</v>
      </c>
      <c r="C2729" s="1" t="s">
        <v>11</v>
      </c>
      <c r="D2729" s="5">
        <v>45401.0</v>
      </c>
      <c r="G2729" s="1">
        <f>VLOOKUP(B2729,'old-aw-skill-plan'!A:I,7,FALSE)</f>
        <v>3</v>
      </c>
      <c r="H2729" s="1" t="str">
        <f>VLOOKUP(B2729,'old-aw-skill-plan'!A:I,9,FALSE)</f>
        <v>3-12</v>
      </c>
    </row>
    <row r="2730" ht="15.75" customHeight="1">
      <c r="A2730" s="1" t="s">
        <v>95</v>
      </c>
      <c r="B2730" s="1" t="s">
        <v>28</v>
      </c>
      <c r="C2730" s="1" t="s">
        <v>11</v>
      </c>
      <c r="D2730" s="5">
        <v>45401.0</v>
      </c>
      <c r="G2730" s="1">
        <f>VLOOKUP(B2730,'old-aw-skill-plan'!A:I,7,FALSE)</f>
        <v>3</v>
      </c>
      <c r="H2730" s="1" t="str">
        <f>VLOOKUP(B2730,'old-aw-skill-plan'!A:I,9,FALSE)</f>
        <v>3-4</v>
      </c>
    </row>
    <row r="2731" ht="15.75" customHeight="1">
      <c r="A2731" s="1" t="s">
        <v>197</v>
      </c>
      <c r="B2731" s="1" t="s">
        <v>363</v>
      </c>
      <c r="C2731" s="1" t="s">
        <v>11</v>
      </c>
      <c r="D2731" s="5">
        <v>45401.0</v>
      </c>
      <c r="G2731" s="1">
        <f>VLOOKUP(B2731,'old-aw-skill-plan'!A:I,7,FALSE)</f>
        <v>7</v>
      </c>
      <c r="H2731" s="1" t="str">
        <f>VLOOKUP(B2731,'old-aw-skill-plan'!A:I,9,FALSE)</f>
        <v>7-1</v>
      </c>
    </row>
    <row r="2732" ht="15.75" customHeight="1">
      <c r="A2732" s="1" t="s">
        <v>373</v>
      </c>
      <c r="B2732" s="1" t="s">
        <v>115</v>
      </c>
      <c r="C2732" s="1" t="s">
        <v>11</v>
      </c>
      <c r="D2732" s="5">
        <v>45401.0</v>
      </c>
      <c r="G2732" s="1">
        <f>VLOOKUP(B2732,'old-aw-skill-plan'!A:I,7,FALSE)</f>
        <v>3</v>
      </c>
      <c r="H2732" s="1" t="str">
        <f>VLOOKUP(B2732,'old-aw-skill-plan'!A:I,9,FALSE)</f>
        <v>3-10</v>
      </c>
    </row>
    <row r="2733" ht="15.75" customHeight="1">
      <c r="A2733" s="1" t="s">
        <v>373</v>
      </c>
      <c r="B2733" s="1" t="s">
        <v>116</v>
      </c>
      <c r="C2733" s="1" t="s">
        <v>11</v>
      </c>
      <c r="D2733" s="5">
        <v>45401.0</v>
      </c>
      <c r="G2733" s="1">
        <f>VLOOKUP(B2733,'old-aw-skill-plan'!A:I,7,FALSE)</f>
        <v>3</v>
      </c>
      <c r="H2733" s="1" t="str">
        <f>VLOOKUP(B2733,'old-aw-skill-plan'!A:I,9,FALSE)</f>
        <v>3-9</v>
      </c>
    </row>
    <row r="2734" ht="15.75" customHeight="1">
      <c r="A2734" s="1" t="s">
        <v>373</v>
      </c>
      <c r="B2734" s="1" t="s">
        <v>57</v>
      </c>
      <c r="C2734" s="1" t="s">
        <v>11</v>
      </c>
      <c r="D2734" s="5">
        <v>45401.0</v>
      </c>
      <c r="G2734" s="1">
        <f>VLOOKUP(B2734,'old-aw-skill-plan'!A:I,7,FALSE)</f>
        <v>3</v>
      </c>
      <c r="H2734" s="1" t="str">
        <f>VLOOKUP(B2734,'old-aw-skill-plan'!A:I,9,FALSE)</f>
        <v>3-7</v>
      </c>
    </row>
    <row r="2735" ht="15.75" customHeight="1">
      <c r="A2735" s="1" t="s">
        <v>373</v>
      </c>
      <c r="B2735" s="1" t="s">
        <v>58</v>
      </c>
      <c r="C2735" s="1" t="s">
        <v>11</v>
      </c>
      <c r="D2735" s="5">
        <v>45401.0</v>
      </c>
      <c r="G2735" s="1">
        <f>VLOOKUP(B2735,'old-aw-skill-plan'!A:I,7,FALSE)</f>
        <v>3</v>
      </c>
      <c r="H2735" s="1" t="str">
        <f>VLOOKUP(B2735,'old-aw-skill-plan'!A:I,9,FALSE)</f>
        <v>3-8</v>
      </c>
    </row>
    <row r="2736" ht="15.75" customHeight="1">
      <c r="A2736" s="1" t="s">
        <v>93</v>
      </c>
      <c r="B2736" s="1" t="s">
        <v>117</v>
      </c>
      <c r="C2736" s="1" t="s">
        <v>11</v>
      </c>
      <c r="D2736" s="5">
        <v>45401.0</v>
      </c>
      <c r="G2736" s="1">
        <f>VLOOKUP(B2736,'old-aw-skill-plan'!A:I,7,FALSE)</f>
        <v>3</v>
      </c>
      <c r="H2736" s="1" t="str">
        <f>VLOOKUP(B2736,'old-aw-skill-plan'!A:I,9,FALSE)</f>
        <v>3-11</v>
      </c>
    </row>
    <row r="2737" ht="15.75" customHeight="1">
      <c r="A2737" s="1" t="s">
        <v>94</v>
      </c>
      <c r="B2737" s="1" t="s">
        <v>91</v>
      </c>
      <c r="C2737" s="1" t="s">
        <v>11</v>
      </c>
      <c r="D2737" s="5">
        <v>45401.0</v>
      </c>
      <c r="G2737" s="1">
        <f>VLOOKUP(B2737,'old-aw-skill-plan'!A:I,7,FALSE)</f>
        <v>6</v>
      </c>
      <c r="H2737" s="1" t="str">
        <f>VLOOKUP(B2737,'old-aw-skill-plan'!A:I,9,FALSE)</f>
        <v>6-1</v>
      </c>
    </row>
    <row r="2738" ht="15.75" customHeight="1">
      <c r="A2738" s="1" t="s">
        <v>427</v>
      </c>
      <c r="B2738" s="1" t="s">
        <v>116</v>
      </c>
      <c r="C2738" s="1" t="s">
        <v>11</v>
      </c>
      <c r="D2738" s="5">
        <v>45401.0</v>
      </c>
      <c r="G2738" s="1">
        <f>VLOOKUP(B2738,'old-aw-skill-plan'!A:I,7,FALSE)</f>
        <v>3</v>
      </c>
      <c r="H2738" s="1" t="str">
        <f>VLOOKUP(B2738,'old-aw-skill-plan'!A:I,9,FALSE)</f>
        <v>3-9</v>
      </c>
    </row>
    <row r="2739" ht="15.75" customHeight="1">
      <c r="A2739" s="1" t="s">
        <v>35</v>
      </c>
      <c r="B2739" s="1" t="s">
        <v>79</v>
      </c>
      <c r="C2739" s="1" t="s">
        <v>11</v>
      </c>
      <c r="D2739" s="5">
        <v>45400.0</v>
      </c>
      <c r="G2739" s="1">
        <f>VLOOKUP(B2739,'old-aw-skill-plan'!A:I,7,FALSE)</f>
        <v>4</v>
      </c>
      <c r="H2739" s="1" t="str">
        <f>VLOOKUP(B2739,'old-aw-skill-plan'!A:I,9,FALSE)</f>
        <v>4-8</v>
      </c>
    </row>
    <row r="2740" ht="15.75" customHeight="1">
      <c r="A2740" s="1" t="s">
        <v>213</v>
      </c>
      <c r="B2740" s="1" t="s">
        <v>47</v>
      </c>
      <c r="C2740" s="1" t="s">
        <v>11</v>
      </c>
      <c r="D2740" s="5">
        <v>45400.0</v>
      </c>
      <c r="G2740" s="1">
        <f>VLOOKUP(B2740,'old-aw-skill-plan'!A:I,7,FALSE)</f>
        <v>3</v>
      </c>
      <c r="H2740" s="1" t="str">
        <f>VLOOKUP(B2740,'old-aw-skill-plan'!A:I,9,FALSE)</f>
        <v>3-2</v>
      </c>
    </row>
    <row r="2741" ht="15.75" customHeight="1">
      <c r="A2741" s="1" t="s">
        <v>36</v>
      </c>
      <c r="B2741" s="1" t="s">
        <v>58</v>
      </c>
      <c r="C2741" s="1" t="s">
        <v>11</v>
      </c>
      <c r="D2741" s="5">
        <v>45400.0</v>
      </c>
      <c r="G2741" s="1">
        <f>VLOOKUP(B2741,'old-aw-skill-plan'!A:I,7,FALSE)</f>
        <v>3</v>
      </c>
      <c r="H2741" s="1" t="str">
        <f>VLOOKUP(B2741,'old-aw-skill-plan'!A:I,9,FALSE)</f>
        <v>3-8</v>
      </c>
    </row>
    <row r="2742" ht="15.75" customHeight="1">
      <c r="A2742" s="1" t="s">
        <v>46</v>
      </c>
      <c r="B2742" s="1" t="s">
        <v>48</v>
      </c>
      <c r="C2742" s="1" t="s">
        <v>11</v>
      </c>
      <c r="D2742" s="5">
        <v>45400.0</v>
      </c>
      <c r="G2742" s="1">
        <f>VLOOKUP(B2742,'old-aw-skill-plan'!A:I,7,FALSE)</f>
        <v>3</v>
      </c>
      <c r="H2742" s="1" t="str">
        <f>VLOOKUP(B2742,'old-aw-skill-plan'!A:I,9,FALSE)</f>
        <v>3-6</v>
      </c>
    </row>
    <row r="2743" ht="15.75" customHeight="1">
      <c r="A2743" s="1" t="s">
        <v>230</v>
      </c>
      <c r="B2743" s="1" t="s">
        <v>10</v>
      </c>
      <c r="C2743" s="1" t="s">
        <v>11</v>
      </c>
      <c r="D2743" s="5">
        <v>45400.0</v>
      </c>
      <c r="G2743" s="1">
        <f>VLOOKUP(B2743,'old-aw-skill-plan'!A:I,7,FALSE)</f>
        <v>3</v>
      </c>
      <c r="H2743" s="1" t="str">
        <f>VLOOKUP(B2743,'old-aw-skill-plan'!A:I,9,FALSE)</f>
        <v>3-1</v>
      </c>
    </row>
    <row r="2744" ht="15.75" customHeight="1">
      <c r="A2744" s="1" t="s">
        <v>428</v>
      </c>
      <c r="B2744" s="1" t="s">
        <v>141</v>
      </c>
      <c r="C2744" s="1" t="s">
        <v>11</v>
      </c>
      <c r="D2744" s="5">
        <v>45400.0</v>
      </c>
      <c r="G2744" s="1">
        <f>VLOOKUP(B2744,'old-aw-skill-plan'!A:I,7,FALSE)</f>
        <v>7</v>
      </c>
      <c r="H2744" s="1" t="str">
        <f>VLOOKUP(B2744,'old-aw-skill-plan'!A:I,9,FALSE)</f>
        <v>7-4</v>
      </c>
    </row>
    <row r="2745" ht="15.75" customHeight="1">
      <c r="A2745" s="1" t="s">
        <v>95</v>
      </c>
      <c r="B2745" s="1" t="s">
        <v>33</v>
      </c>
      <c r="C2745" s="1" t="s">
        <v>11</v>
      </c>
      <c r="D2745" s="5">
        <v>45400.0</v>
      </c>
      <c r="G2745" s="1">
        <f>VLOOKUP(B2745,'old-aw-skill-plan'!A:I,7,FALSE)</f>
        <v>3</v>
      </c>
      <c r="H2745" s="1" t="str">
        <f>VLOOKUP(B2745,'old-aw-skill-plan'!A:I,9,FALSE)</f>
        <v>3-5</v>
      </c>
    </row>
    <row r="2746" ht="15.75" customHeight="1">
      <c r="A2746" s="1" t="s">
        <v>373</v>
      </c>
      <c r="B2746" s="1" t="s">
        <v>57</v>
      </c>
      <c r="C2746" s="1" t="s">
        <v>11</v>
      </c>
      <c r="D2746" s="5">
        <v>45400.0</v>
      </c>
      <c r="G2746" s="1">
        <f>VLOOKUP(B2746,'old-aw-skill-plan'!A:I,7,FALSE)</f>
        <v>3</v>
      </c>
      <c r="H2746" s="1" t="str">
        <f>VLOOKUP(B2746,'old-aw-skill-plan'!A:I,9,FALSE)</f>
        <v>3-7</v>
      </c>
    </row>
    <row r="2747" ht="15.75" customHeight="1">
      <c r="A2747" s="1" t="s">
        <v>373</v>
      </c>
      <c r="B2747" s="1" t="s">
        <v>425</v>
      </c>
      <c r="C2747" s="1" t="s">
        <v>11</v>
      </c>
      <c r="D2747" s="5">
        <v>45400.0</v>
      </c>
      <c r="G2747" s="1">
        <f>VLOOKUP(B2747,'old-aw-skill-plan'!A:I,7,FALSE)</f>
        <v>3</v>
      </c>
      <c r="H2747" s="1" t="str">
        <f>VLOOKUP(B2747,'old-aw-skill-plan'!A:I,9,FALSE)</f>
        <v>3-1</v>
      </c>
    </row>
    <row r="2748" ht="15.75" customHeight="1">
      <c r="A2748" s="1" t="s">
        <v>93</v>
      </c>
      <c r="B2748" s="1" t="s">
        <v>117</v>
      </c>
      <c r="C2748" s="1" t="s">
        <v>11</v>
      </c>
      <c r="D2748" s="5">
        <v>45400.0</v>
      </c>
      <c r="G2748" s="1">
        <f>VLOOKUP(B2748,'old-aw-skill-plan'!A:I,7,FALSE)</f>
        <v>3</v>
      </c>
      <c r="H2748" s="1" t="str">
        <f>VLOOKUP(B2748,'old-aw-skill-plan'!A:I,9,FALSE)</f>
        <v>3-11</v>
      </c>
    </row>
    <row r="2749" ht="15.75" customHeight="1">
      <c r="A2749" s="1" t="s">
        <v>94</v>
      </c>
      <c r="B2749" s="1" t="s">
        <v>91</v>
      </c>
      <c r="C2749" s="1" t="s">
        <v>11</v>
      </c>
      <c r="D2749" s="5">
        <v>45400.0</v>
      </c>
      <c r="G2749" s="1">
        <f>VLOOKUP(B2749,'old-aw-skill-plan'!A:I,7,FALSE)</f>
        <v>6</v>
      </c>
      <c r="H2749" s="1" t="str">
        <f>VLOOKUP(B2749,'old-aw-skill-plan'!A:I,9,FALSE)</f>
        <v>6-1</v>
      </c>
    </row>
    <row r="2750" ht="15.75" customHeight="1">
      <c r="A2750" s="1" t="s">
        <v>410</v>
      </c>
      <c r="B2750" s="1" t="s">
        <v>66</v>
      </c>
      <c r="C2750" s="1" t="s">
        <v>11</v>
      </c>
      <c r="D2750" s="5">
        <v>45400.0</v>
      </c>
      <c r="G2750" s="1">
        <f>VLOOKUP(B2750,'old-aw-skill-plan'!A:I,7,FALSE)</f>
        <v>4</v>
      </c>
      <c r="H2750" s="1" t="str">
        <f>VLOOKUP(B2750,'old-aw-skill-plan'!A:I,9,FALSE)</f>
        <v>4-9</v>
      </c>
    </row>
    <row r="2751" ht="15.75" customHeight="1">
      <c r="A2751" s="1" t="s">
        <v>110</v>
      </c>
      <c r="B2751" s="1" t="s">
        <v>137</v>
      </c>
      <c r="C2751" s="1" t="s">
        <v>11</v>
      </c>
      <c r="D2751" s="5">
        <v>45400.0</v>
      </c>
      <c r="G2751" s="1">
        <f>VLOOKUP(B2751,'old-aw-skill-plan'!A:I,7,FALSE)</f>
        <v>6</v>
      </c>
      <c r="H2751" s="1" t="str">
        <f>VLOOKUP(B2751,'old-aw-skill-plan'!A:I,9,FALSE)</f>
        <v>6-6</v>
      </c>
    </row>
    <row r="2752" ht="15.75" customHeight="1">
      <c r="A2752" s="1" t="s">
        <v>266</v>
      </c>
      <c r="B2752" s="1" t="s">
        <v>308</v>
      </c>
      <c r="C2752" s="1" t="s">
        <v>11</v>
      </c>
      <c r="D2752" s="5">
        <v>45399.0</v>
      </c>
      <c r="G2752" s="1">
        <f>VLOOKUP(B2752,'old-aw-skill-plan'!A:I,7,FALSE)</f>
        <v>4</v>
      </c>
      <c r="H2752" s="1" t="str">
        <f>VLOOKUP(B2752,'old-aw-skill-plan'!A:I,9,FALSE)</f>
        <v>4-9</v>
      </c>
    </row>
    <row r="2753" ht="15.75" customHeight="1">
      <c r="A2753" s="1" t="s">
        <v>35</v>
      </c>
      <c r="B2753" s="1" t="s">
        <v>79</v>
      </c>
      <c r="C2753" s="1" t="s">
        <v>11</v>
      </c>
      <c r="D2753" s="5">
        <v>45399.0</v>
      </c>
      <c r="G2753" s="1">
        <f>VLOOKUP(B2753,'old-aw-skill-plan'!A:I,7,FALSE)</f>
        <v>4</v>
      </c>
      <c r="H2753" s="1" t="str">
        <f>VLOOKUP(B2753,'old-aw-skill-plan'!A:I,9,FALSE)</f>
        <v>4-8</v>
      </c>
    </row>
    <row r="2754" ht="15.75" customHeight="1">
      <c r="A2754" s="1" t="s">
        <v>39</v>
      </c>
      <c r="B2754" s="1" t="s">
        <v>34</v>
      </c>
      <c r="C2754" s="1" t="s">
        <v>11</v>
      </c>
      <c r="D2754" s="5">
        <v>45399.0</v>
      </c>
      <c r="G2754" s="1">
        <f>VLOOKUP(B2754,'old-aw-skill-plan'!A:I,7,FALSE)</f>
        <v>4</v>
      </c>
      <c r="H2754" s="1" t="str">
        <f>VLOOKUP(B2754,'old-aw-skill-plan'!A:I,9,FALSE)</f>
        <v>4-1</v>
      </c>
    </row>
    <row r="2755" ht="15.75" customHeight="1">
      <c r="A2755" s="1" t="s">
        <v>81</v>
      </c>
      <c r="B2755" s="1" t="s">
        <v>123</v>
      </c>
      <c r="C2755" s="1" t="s">
        <v>11</v>
      </c>
      <c r="D2755" s="5">
        <v>45399.0</v>
      </c>
      <c r="G2755" s="1">
        <f>VLOOKUP(B2755,'old-aw-skill-plan'!A:I,7,FALSE)</f>
        <v>4</v>
      </c>
      <c r="H2755" s="1" t="str">
        <f>VLOOKUP(B2755,'old-aw-skill-plan'!A:I,9,FALSE)</f>
        <v>4-12</v>
      </c>
    </row>
    <row r="2756" ht="15.75" customHeight="1">
      <c r="A2756" s="1" t="s">
        <v>429</v>
      </c>
      <c r="B2756" s="1" t="s">
        <v>40</v>
      </c>
      <c r="C2756" s="1" t="s">
        <v>11</v>
      </c>
      <c r="D2756" s="5">
        <v>45399.0</v>
      </c>
      <c r="G2756" s="1">
        <f>VLOOKUP(B2756,'old-aw-skill-plan'!A:I,7,FALSE)</f>
        <v>4</v>
      </c>
      <c r="H2756" s="1" t="str">
        <f>VLOOKUP(B2756,'old-aw-skill-plan'!A:I,9,FALSE)</f>
        <v>4-10</v>
      </c>
    </row>
    <row r="2757" ht="15.75" customHeight="1">
      <c r="A2757" s="1" t="s">
        <v>60</v>
      </c>
      <c r="B2757" s="1" t="s">
        <v>61</v>
      </c>
      <c r="C2757" s="1" t="s">
        <v>11</v>
      </c>
      <c r="D2757" s="5">
        <v>45399.0</v>
      </c>
      <c r="G2757" s="1">
        <f>VLOOKUP(B2757,'old-aw-skill-plan'!A:I,7,FALSE)</f>
        <v>4</v>
      </c>
      <c r="H2757" s="1" t="str">
        <f>VLOOKUP(B2757,'old-aw-skill-plan'!A:I,9,FALSE)</f>
        <v>4-4</v>
      </c>
    </row>
    <row r="2758" ht="15.75" customHeight="1">
      <c r="A2758" s="1" t="s">
        <v>373</v>
      </c>
      <c r="B2758" s="1" t="s">
        <v>57</v>
      </c>
      <c r="C2758" s="1" t="s">
        <v>11</v>
      </c>
      <c r="D2758" s="5">
        <v>45399.0</v>
      </c>
      <c r="G2758" s="1">
        <f>VLOOKUP(B2758,'old-aw-skill-plan'!A:I,7,FALSE)</f>
        <v>3</v>
      </c>
      <c r="H2758" s="1" t="str">
        <f>VLOOKUP(B2758,'old-aw-skill-plan'!A:I,9,FALSE)</f>
        <v>3-7</v>
      </c>
    </row>
    <row r="2759" ht="15.75" customHeight="1">
      <c r="A2759" s="1" t="s">
        <v>90</v>
      </c>
      <c r="B2759" s="1" t="s">
        <v>28</v>
      </c>
      <c r="C2759" s="1" t="s">
        <v>11</v>
      </c>
      <c r="D2759" s="5">
        <v>45399.0</v>
      </c>
      <c r="G2759" s="1">
        <f>VLOOKUP(B2759,'old-aw-skill-plan'!A:I,7,FALSE)</f>
        <v>3</v>
      </c>
      <c r="H2759" s="1" t="str">
        <f>VLOOKUP(B2759,'old-aw-skill-plan'!A:I,9,FALSE)</f>
        <v>3-4</v>
      </c>
    </row>
    <row r="2760" ht="15.75" customHeight="1">
      <c r="A2760" s="1" t="s">
        <v>365</v>
      </c>
      <c r="B2760" s="1" t="s">
        <v>34</v>
      </c>
      <c r="C2760" s="1" t="s">
        <v>11</v>
      </c>
      <c r="D2760" s="5">
        <v>45399.0</v>
      </c>
      <c r="G2760" s="1">
        <f>VLOOKUP(B2760,'old-aw-skill-plan'!A:I,7,FALSE)</f>
        <v>4</v>
      </c>
      <c r="H2760" s="1" t="str">
        <f>VLOOKUP(B2760,'old-aw-skill-plan'!A:I,9,FALSE)</f>
        <v>4-1</v>
      </c>
    </row>
    <row r="2761" ht="15.75" customHeight="1">
      <c r="A2761" s="1" t="s">
        <v>266</v>
      </c>
      <c r="B2761" s="1" t="s">
        <v>40</v>
      </c>
      <c r="C2761" s="1" t="s">
        <v>11</v>
      </c>
      <c r="D2761" s="5">
        <v>45398.0</v>
      </c>
      <c r="G2761" s="1">
        <f>VLOOKUP(B2761,'old-aw-skill-plan'!A:I,7,FALSE)</f>
        <v>4</v>
      </c>
      <c r="H2761" s="1" t="str">
        <f>VLOOKUP(B2761,'old-aw-skill-plan'!A:I,9,FALSE)</f>
        <v>4-10</v>
      </c>
    </row>
    <row r="2762" ht="15.75" customHeight="1">
      <c r="A2762" s="1" t="s">
        <v>266</v>
      </c>
      <c r="B2762" s="1" t="s">
        <v>42</v>
      </c>
      <c r="C2762" s="1" t="s">
        <v>11</v>
      </c>
      <c r="D2762" s="5">
        <v>45398.0</v>
      </c>
      <c r="G2762" s="1">
        <f>VLOOKUP(B2762,'old-aw-skill-plan'!A:I,7,FALSE)</f>
        <v>4</v>
      </c>
      <c r="H2762" s="1" t="str">
        <f>VLOOKUP(B2762,'old-aw-skill-plan'!A:I,9,FALSE)</f>
        <v>4-11</v>
      </c>
    </row>
    <row r="2763" ht="15.75" customHeight="1">
      <c r="A2763" s="1" t="s">
        <v>266</v>
      </c>
      <c r="B2763" s="1" t="s">
        <v>384</v>
      </c>
      <c r="C2763" s="1" t="s">
        <v>11</v>
      </c>
      <c r="D2763" s="5">
        <v>45398.0</v>
      </c>
      <c r="G2763" s="1">
        <f>VLOOKUP(B2763,'old-aw-skill-plan'!A:I,7,FALSE)</f>
        <v>7</v>
      </c>
      <c r="H2763" s="1" t="str">
        <f>VLOOKUP(B2763,'old-aw-skill-plan'!A:I,9,FALSE)</f>
        <v>7-2</v>
      </c>
    </row>
    <row r="2764" ht="15.75" customHeight="1">
      <c r="A2764" s="1" t="s">
        <v>22</v>
      </c>
      <c r="B2764" s="1" t="s">
        <v>40</v>
      </c>
      <c r="C2764" s="1" t="s">
        <v>11</v>
      </c>
      <c r="D2764" s="5">
        <v>45398.0</v>
      </c>
      <c r="G2764" s="1">
        <f>VLOOKUP(B2764,'old-aw-skill-plan'!A:I,7,FALSE)</f>
        <v>4</v>
      </c>
      <c r="H2764" s="1" t="str">
        <f>VLOOKUP(B2764,'old-aw-skill-plan'!A:I,9,FALSE)</f>
        <v>4-10</v>
      </c>
    </row>
    <row r="2765" ht="15.75" customHeight="1">
      <c r="A2765" s="1" t="s">
        <v>22</v>
      </c>
      <c r="B2765" s="1" t="s">
        <v>123</v>
      </c>
      <c r="C2765" s="1" t="s">
        <v>11</v>
      </c>
      <c r="D2765" s="5">
        <v>45398.0</v>
      </c>
      <c r="G2765" s="1">
        <f>VLOOKUP(B2765,'old-aw-skill-plan'!A:I,7,FALSE)</f>
        <v>4</v>
      </c>
      <c r="H2765" s="1" t="str">
        <f>VLOOKUP(B2765,'old-aw-skill-plan'!A:I,9,FALSE)</f>
        <v>4-12</v>
      </c>
    </row>
    <row r="2766" ht="15.75" customHeight="1">
      <c r="A2766" s="1" t="s">
        <v>31</v>
      </c>
      <c r="B2766" s="1" t="s">
        <v>47</v>
      </c>
      <c r="C2766" s="1" t="s">
        <v>11</v>
      </c>
      <c r="D2766" s="5">
        <v>45398.0</v>
      </c>
      <c r="G2766" s="1">
        <f>VLOOKUP(B2766,'old-aw-skill-plan'!A:I,7,FALSE)</f>
        <v>3</v>
      </c>
      <c r="H2766" s="1" t="str">
        <f>VLOOKUP(B2766,'old-aw-skill-plan'!A:I,9,FALSE)</f>
        <v>3-2</v>
      </c>
    </row>
    <row r="2767" ht="15.75" customHeight="1">
      <c r="A2767" s="1" t="s">
        <v>216</v>
      </c>
      <c r="B2767" s="1" t="s">
        <v>21</v>
      </c>
      <c r="C2767" s="1" t="s">
        <v>11</v>
      </c>
      <c r="D2767" s="5">
        <v>45398.0</v>
      </c>
      <c r="G2767" s="1">
        <f>VLOOKUP(B2767,'old-aw-skill-plan'!A:I,7,FALSE)</f>
        <v>4</v>
      </c>
      <c r="H2767" s="1" t="str">
        <f>VLOOKUP(B2767,'old-aw-skill-plan'!A:I,9,FALSE)</f>
        <v>4-6</v>
      </c>
    </row>
    <row r="2768" ht="15.75" customHeight="1">
      <c r="A2768" s="1" t="s">
        <v>36</v>
      </c>
      <c r="B2768" s="1" t="s">
        <v>33</v>
      </c>
      <c r="C2768" s="1" t="s">
        <v>11</v>
      </c>
      <c r="D2768" s="5">
        <v>45398.0</v>
      </c>
      <c r="G2768" s="1">
        <f>VLOOKUP(B2768,'old-aw-skill-plan'!A:I,7,FALSE)</f>
        <v>3</v>
      </c>
      <c r="H2768" s="1" t="str">
        <f>VLOOKUP(B2768,'old-aw-skill-plan'!A:I,9,FALSE)</f>
        <v>3-5</v>
      </c>
    </row>
    <row r="2769" ht="15.75" customHeight="1">
      <c r="A2769" s="1" t="s">
        <v>81</v>
      </c>
      <c r="B2769" s="1" t="s">
        <v>40</v>
      </c>
      <c r="C2769" s="1" t="s">
        <v>11</v>
      </c>
      <c r="D2769" s="5">
        <v>45398.0</v>
      </c>
      <c r="G2769" s="1">
        <f>VLOOKUP(B2769,'old-aw-skill-plan'!A:I,7,FALSE)</f>
        <v>4</v>
      </c>
      <c r="H2769" s="1" t="str">
        <f>VLOOKUP(B2769,'old-aw-skill-plan'!A:I,9,FALSE)</f>
        <v>4-10</v>
      </c>
    </row>
    <row r="2770" ht="15.75" customHeight="1">
      <c r="A2770" s="1" t="s">
        <v>81</v>
      </c>
      <c r="B2770" s="1" t="s">
        <v>123</v>
      </c>
      <c r="C2770" s="1" t="s">
        <v>11</v>
      </c>
      <c r="D2770" s="5">
        <v>45398.0</v>
      </c>
      <c r="G2770" s="1">
        <f>VLOOKUP(B2770,'old-aw-skill-plan'!A:I,7,FALSE)</f>
        <v>4</v>
      </c>
      <c r="H2770" s="1" t="str">
        <f>VLOOKUP(B2770,'old-aw-skill-plan'!A:I,9,FALSE)</f>
        <v>4-12</v>
      </c>
    </row>
    <row r="2771" ht="15.75" customHeight="1">
      <c r="A2771" s="1" t="s">
        <v>230</v>
      </c>
      <c r="B2771" s="1" t="s">
        <v>48</v>
      </c>
      <c r="C2771" s="1" t="s">
        <v>11</v>
      </c>
      <c r="D2771" s="5">
        <v>45398.0</v>
      </c>
      <c r="G2771" s="1">
        <f>VLOOKUP(B2771,'old-aw-skill-plan'!A:I,7,FALSE)</f>
        <v>3</v>
      </c>
      <c r="H2771" s="1" t="str">
        <f>VLOOKUP(B2771,'old-aw-skill-plan'!A:I,9,FALSE)</f>
        <v>3-6</v>
      </c>
    </row>
    <row r="2772" ht="15.75" customHeight="1">
      <c r="A2772" s="1" t="s">
        <v>428</v>
      </c>
      <c r="B2772" s="1" t="s">
        <v>141</v>
      </c>
      <c r="C2772" s="1" t="s">
        <v>11</v>
      </c>
      <c r="D2772" s="5">
        <v>45398.0</v>
      </c>
      <c r="G2772" s="1">
        <f>VLOOKUP(B2772,'old-aw-skill-plan'!A:I,7,FALSE)</f>
        <v>7</v>
      </c>
      <c r="H2772" s="1" t="str">
        <f>VLOOKUP(B2772,'old-aw-skill-plan'!A:I,9,FALSE)</f>
        <v>7-4</v>
      </c>
    </row>
    <row r="2773" ht="15.75" customHeight="1">
      <c r="A2773" s="1" t="s">
        <v>420</v>
      </c>
      <c r="B2773" s="1" t="s">
        <v>118</v>
      </c>
      <c r="C2773" s="1" t="s">
        <v>11</v>
      </c>
      <c r="D2773" s="5">
        <v>45398.0</v>
      </c>
      <c r="G2773" s="1">
        <f>VLOOKUP(B2773,'old-aw-skill-plan'!A:I,7,FALSE)</f>
        <v>3</v>
      </c>
      <c r="H2773" s="1" t="str">
        <f>VLOOKUP(B2773,'old-aw-skill-plan'!A:I,9,FALSE)</f>
        <v>3-12</v>
      </c>
    </row>
    <row r="2774" ht="15.75" customHeight="1">
      <c r="A2774" s="1" t="s">
        <v>211</v>
      </c>
      <c r="B2774" s="1" t="s">
        <v>91</v>
      </c>
      <c r="C2774" s="1" t="s">
        <v>11</v>
      </c>
      <c r="D2774" s="5">
        <v>45398.0</v>
      </c>
      <c r="G2774" s="1">
        <f>VLOOKUP(B2774,'old-aw-skill-plan'!A:I,7,FALSE)</f>
        <v>6</v>
      </c>
      <c r="H2774" s="1" t="str">
        <f>VLOOKUP(B2774,'old-aw-skill-plan'!A:I,9,FALSE)</f>
        <v>6-1</v>
      </c>
    </row>
    <row r="2775" ht="15.75" customHeight="1">
      <c r="A2775" s="1" t="s">
        <v>197</v>
      </c>
      <c r="B2775" s="1" t="s">
        <v>363</v>
      </c>
      <c r="C2775" s="1" t="s">
        <v>11</v>
      </c>
      <c r="D2775" s="5">
        <v>45398.0</v>
      </c>
      <c r="G2775" s="1">
        <f>VLOOKUP(B2775,'old-aw-skill-plan'!A:I,7,FALSE)</f>
        <v>7</v>
      </c>
      <c r="H2775" s="1" t="str">
        <f>VLOOKUP(B2775,'old-aw-skill-plan'!A:I,9,FALSE)</f>
        <v>7-1</v>
      </c>
    </row>
    <row r="2776" ht="15.75" customHeight="1">
      <c r="A2776" s="1" t="s">
        <v>197</v>
      </c>
      <c r="B2776" s="1" t="s">
        <v>368</v>
      </c>
      <c r="C2776" s="1" t="s">
        <v>11</v>
      </c>
      <c r="D2776" s="5">
        <v>45398.0</v>
      </c>
      <c r="G2776" s="1">
        <f>VLOOKUP(B2776,'old-aw-skill-plan'!A:I,7,FALSE)</f>
        <v>4</v>
      </c>
      <c r="H2776" s="1" t="str">
        <f>VLOOKUP(B2776,'old-aw-skill-plan'!A:I,9,FALSE)</f>
        <v>4-10</v>
      </c>
    </row>
    <row r="2777" ht="15.75" customHeight="1">
      <c r="A2777" s="1" t="s">
        <v>373</v>
      </c>
      <c r="B2777" s="1" t="s">
        <v>28</v>
      </c>
      <c r="C2777" s="1" t="s">
        <v>11</v>
      </c>
      <c r="D2777" s="5">
        <v>45398.0</v>
      </c>
      <c r="G2777" s="1">
        <f>VLOOKUP(B2777,'old-aw-skill-plan'!A:I,7,FALSE)</f>
        <v>3</v>
      </c>
      <c r="H2777" s="1" t="str">
        <f>VLOOKUP(B2777,'old-aw-skill-plan'!A:I,9,FALSE)</f>
        <v>3-4</v>
      </c>
    </row>
    <row r="2778" ht="15.75" customHeight="1">
      <c r="A2778" s="1" t="s">
        <v>373</v>
      </c>
      <c r="B2778" s="1" t="s">
        <v>10</v>
      </c>
      <c r="C2778" s="1" t="s">
        <v>11</v>
      </c>
      <c r="D2778" s="5">
        <v>45398.0</v>
      </c>
      <c r="G2778" s="1">
        <f>VLOOKUP(B2778,'old-aw-skill-plan'!A:I,7,FALSE)</f>
        <v>3</v>
      </c>
      <c r="H2778" s="1" t="str">
        <f>VLOOKUP(B2778,'old-aw-skill-plan'!A:I,9,FALSE)</f>
        <v>3-1</v>
      </c>
    </row>
    <row r="2779" ht="15.75" customHeight="1">
      <c r="A2779" s="1" t="s">
        <v>93</v>
      </c>
      <c r="B2779" s="1" t="s">
        <v>117</v>
      </c>
      <c r="C2779" s="1" t="s">
        <v>11</v>
      </c>
      <c r="D2779" s="5">
        <v>45398.0</v>
      </c>
      <c r="G2779" s="1">
        <f>VLOOKUP(B2779,'old-aw-skill-plan'!A:I,7,FALSE)</f>
        <v>3</v>
      </c>
      <c r="H2779" s="1" t="str">
        <f>VLOOKUP(B2779,'old-aw-skill-plan'!A:I,9,FALSE)</f>
        <v>3-11</v>
      </c>
    </row>
    <row r="2780" ht="15.75" customHeight="1">
      <c r="A2780" s="1" t="s">
        <v>94</v>
      </c>
      <c r="B2780" s="1" t="s">
        <v>91</v>
      </c>
      <c r="C2780" s="1" t="s">
        <v>11</v>
      </c>
      <c r="D2780" s="5">
        <v>45398.0</v>
      </c>
      <c r="G2780" s="1">
        <f>VLOOKUP(B2780,'old-aw-skill-plan'!A:I,7,FALSE)</f>
        <v>6</v>
      </c>
      <c r="H2780" s="1" t="str">
        <f>VLOOKUP(B2780,'old-aw-skill-plan'!A:I,9,FALSE)</f>
        <v>6-1</v>
      </c>
    </row>
    <row r="2781" ht="15.75" customHeight="1">
      <c r="A2781" s="1" t="s">
        <v>94</v>
      </c>
      <c r="B2781" s="1" t="s">
        <v>335</v>
      </c>
      <c r="C2781" s="1" t="s">
        <v>11</v>
      </c>
      <c r="D2781" s="5">
        <v>45398.0</v>
      </c>
      <c r="G2781" s="1">
        <f>VLOOKUP(B2781,'old-aw-skill-plan'!A:I,7,FALSE)</f>
        <v>6</v>
      </c>
      <c r="H2781" s="1" t="str">
        <f>VLOOKUP(B2781,'old-aw-skill-plan'!A:I,9,FALSE)</f>
        <v>6-2</v>
      </c>
    </row>
    <row r="2782" ht="15.75" customHeight="1">
      <c r="A2782" s="1" t="s">
        <v>410</v>
      </c>
      <c r="B2782" s="1" t="s">
        <v>40</v>
      </c>
      <c r="C2782" s="1" t="s">
        <v>11</v>
      </c>
      <c r="D2782" s="5">
        <v>45398.0</v>
      </c>
      <c r="G2782" s="1">
        <f>VLOOKUP(B2782,'old-aw-skill-plan'!A:I,7,FALSE)</f>
        <v>4</v>
      </c>
      <c r="H2782" s="1" t="str">
        <f>VLOOKUP(B2782,'old-aw-skill-plan'!A:I,9,FALSE)</f>
        <v>4-10</v>
      </c>
    </row>
    <row r="2783" ht="15.75" customHeight="1">
      <c r="A2783" s="1" t="s">
        <v>410</v>
      </c>
      <c r="B2783" s="1" t="s">
        <v>66</v>
      </c>
      <c r="C2783" s="1" t="s">
        <v>11</v>
      </c>
      <c r="D2783" s="5">
        <v>45398.0</v>
      </c>
      <c r="G2783" s="1">
        <f>VLOOKUP(B2783,'old-aw-skill-plan'!A:I,7,FALSE)</f>
        <v>4</v>
      </c>
      <c r="H2783" s="1" t="str">
        <f>VLOOKUP(B2783,'old-aw-skill-plan'!A:I,9,FALSE)</f>
        <v>4-9</v>
      </c>
    </row>
    <row r="2784" ht="15.75" customHeight="1">
      <c r="A2784" s="1" t="s">
        <v>410</v>
      </c>
      <c r="B2784" s="1" t="s">
        <v>19</v>
      </c>
      <c r="C2784" s="1" t="s">
        <v>11</v>
      </c>
      <c r="D2784" s="5">
        <v>45398.0</v>
      </c>
      <c r="G2784" s="1">
        <f>VLOOKUP(B2784,'old-aw-skill-plan'!A:I,7,FALSE)</f>
        <v>4</v>
      </c>
      <c r="H2784" s="1" t="str">
        <f>VLOOKUP(B2784,'old-aw-skill-plan'!A:I,9,FALSE)</f>
        <v>4-7</v>
      </c>
    </row>
    <row r="2785" ht="15.75" customHeight="1">
      <c r="A2785" s="1" t="s">
        <v>410</v>
      </c>
      <c r="B2785" s="1" t="s">
        <v>97</v>
      </c>
      <c r="C2785" s="1" t="s">
        <v>11</v>
      </c>
      <c r="D2785" s="5">
        <v>45398.0</v>
      </c>
      <c r="G2785" s="1">
        <f>VLOOKUP(B2785,'old-aw-skill-plan'!A:I,7,FALSE)</f>
        <v>4</v>
      </c>
      <c r="H2785" s="1" t="str">
        <f>VLOOKUP(B2785,'old-aw-skill-plan'!A:I,9,FALSE)</f>
        <v>4-3</v>
      </c>
    </row>
    <row r="2786" ht="15.75" customHeight="1">
      <c r="A2786" s="1" t="s">
        <v>427</v>
      </c>
      <c r="B2786" s="1" t="s">
        <v>116</v>
      </c>
      <c r="C2786" s="1" t="s">
        <v>11</v>
      </c>
      <c r="D2786" s="5">
        <v>45398.0</v>
      </c>
      <c r="G2786" s="1">
        <f>VLOOKUP(B2786,'old-aw-skill-plan'!A:I,7,FALSE)</f>
        <v>3</v>
      </c>
      <c r="H2786" s="1" t="str">
        <f>VLOOKUP(B2786,'old-aw-skill-plan'!A:I,9,FALSE)</f>
        <v>3-9</v>
      </c>
    </row>
    <row r="2787" ht="15.75" customHeight="1">
      <c r="A2787" s="1" t="s">
        <v>110</v>
      </c>
      <c r="B2787" s="1" t="s">
        <v>115</v>
      </c>
      <c r="C2787" s="1" t="s">
        <v>11</v>
      </c>
      <c r="D2787" s="5">
        <v>45398.0</v>
      </c>
      <c r="G2787" s="1">
        <f>VLOOKUP(B2787,'old-aw-skill-plan'!A:I,7,FALSE)</f>
        <v>3</v>
      </c>
      <c r="H2787" s="1" t="str">
        <f>VLOOKUP(B2787,'old-aw-skill-plan'!A:I,9,FALSE)</f>
        <v>3-10</v>
      </c>
    </row>
    <row r="2788" ht="15.75" customHeight="1">
      <c r="A2788" s="1" t="s">
        <v>266</v>
      </c>
      <c r="B2788" s="1" t="s">
        <v>133</v>
      </c>
      <c r="C2788" s="1" t="s">
        <v>11</v>
      </c>
      <c r="D2788" s="5">
        <v>45397.0</v>
      </c>
      <c r="G2788" s="1">
        <f>VLOOKUP(B2788,'old-aw-skill-plan'!A:I,7,FALSE)</f>
        <v>7</v>
      </c>
      <c r="H2788" s="1" t="str">
        <f>VLOOKUP(B2788,'old-aw-skill-plan'!A:I,9,FALSE)</f>
        <v>7-6</v>
      </c>
    </row>
    <row r="2789" ht="15.75" customHeight="1">
      <c r="A2789" s="1" t="s">
        <v>31</v>
      </c>
      <c r="B2789" s="1" t="s">
        <v>47</v>
      </c>
      <c r="C2789" s="1" t="s">
        <v>11</v>
      </c>
      <c r="D2789" s="5">
        <v>45397.0</v>
      </c>
      <c r="G2789" s="1">
        <f>VLOOKUP(B2789,'old-aw-skill-plan'!A:I,7,FALSE)</f>
        <v>3</v>
      </c>
      <c r="H2789" s="1" t="str">
        <f>VLOOKUP(B2789,'old-aw-skill-plan'!A:I,9,FALSE)</f>
        <v>3-2</v>
      </c>
    </row>
    <row r="2790" ht="15.75" customHeight="1">
      <c r="A2790" s="1" t="s">
        <v>46</v>
      </c>
      <c r="B2790" s="1" t="s">
        <v>48</v>
      </c>
      <c r="C2790" s="1" t="s">
        <v>11</v>
      </c>
      <c r="D2790" s="5">
        <v>45397.0</v>
      </c>
      <c r="G2790" s="1">
        <f>VLOOKUP(B2790,'old-aw-skill-plan'!A:I,7,FALSE)</f>
        <v>3</v>
      </c>
      <c r="H2790" s="1" t="str">
        <f>VLOOKUP(B2790,'old-aw-skill-plan'!A:I,9,FALSE)</f>
        <v>3-6</v>
      </c>
    </row>
    <row r="2791" ht="15.75" customHeight="1">
      <c r="A2791" s="1" t="s">
        <v>428</v>
      </c>
      <c r="B2791" s="1" t="s">
        <v>141</v>
      </c>
      <c r="C2791" s="1" t="s">
        <v>11</v>
      </c>
      <c r="D2791" s="5">
        <v>45397.0</v>
      </c>
      <c r="G2791" s="1">
        <f>VLOOKUP(B2791,'old-aw-skill-plan'!A:I,7,FALSE)</f>
        <v>7</v>
      </c>
      <c r="H2791" s="1" t="str">
        <f>VLOOKUP(B2791,'old-aw-skill-plan'!A:I,9,FALSE)</f>
        <v>7-4</v>
      </c>
    </row>
    <row r="2792" ht="15.75" customHeight="1">
      <c r="A2792" s="1" t="s">
        <v>197</v>
      </c>
      <c r="B2792" s="1" t="s">
        <v>141</v>
      </c>
      <c r="C2792" s="1" t="s">
        <v>11</v>
      </c>
      <c r="D2792" s="5">
        <v>45397.0</v>
      </c>
      <c r="G2792" s="1">
        <f>VLOOKUP(B2792,'old-aw-skill-plan'!A:I,7,FALSE)</f>
        <v>7</v>
      </c>
      <c r="H2792" s="1" t="str">
        <f>VLOOKUP(B2792,'old-aw-skill-plan'!A:I,9,FALSE)</f>
        <v>7-4</v>
      </c>
    </row>
    <row r="2793" ht="15.75" customHeight="1">
      <c r="A2793" s="1" t="s">
        <v>93</v>
      </c>
      <c r="B2793" s="1" t="s">
        <v>117</v>
      </c>
      <c r="C2793" s="1" t="s">
        <v>11</v>
      </c>
      <c r="D2793" s="5">
        <v>45397.0</v>
      </c>
      <c r="G2793" s="1">
        <f>VLOOKUP(B2793,'old-aw-skill-plan'!A:I,7,FALSE)</f>
        <v>3</v>
      </c>
      <c r="H2793" s="1" t="str">
        <f>VLOOKUP(B2793,'old-aw-skill-plan'!A:I,9,FALSE)</f>
        <v>3-11</v>
      </c>
    </row>
    <row r="2794" ht="15.75" customHeight="1">
      <c r="A2794" s="1" t="s">
        <v>427</v>
      </c>
      <c r="B2794" s="1" t="s">
        <v>91</v>
      </c>
      <c r="C2794" s="1" t="s">
        <v>11</v>
      </c>
      <c r="D2794" s="5">
        <v>45397.0</v>
      </c>
      <c r="G2794" s="1">
        <f>VLOOKUP(B2794,'old-aw-skill-plan'!A:I,7,FALSE)</f>
        <v>6</v>
      </c>
      <c r="H2794" s="1" t="str">
        <f>VLOOKUP(B2794,'old-aw-skill-plan'!A:I,9,FALSE)</f>
        <v>6-1</v>
      </c>
    </row>
    <row r="2795" ht="15.75" customHeight="1">
      <c r="A2795" s="1" t="s">
        <v>410</v>
      </c>
      <c r="B2795" s="1" t="s">
        <v>34</v>
      </c>
      <c r="C2795" s="1" t="s">
        <v>11</v>
      </c>
      <c r="D2795" s="5">
        <v>45396.0</v>
      </c>
      <c r="G2795" s="1">
        <f>VLOOKUP(B2795,'old-aw-skill-plan'!A:I,7,FALSE)</f>
        <v>4</v>
      </c>
      <c r="H2795" s="1" t="str">
        <f>VLOOKUP(B2795,'old-aw-skill-plan'!A:I,9,FALSE)</f>
        <v>4-1</v>
      </c>
    </row>
    <row r="2796" ht="15.75" customHeight="1">
      <c r="A2796" s="1" t="s">
        <v>410</v>
      </c>
      <c r="B2796" s="1" t="s">
        <v>19</v>
      </c>
      <c r="C2796" s="1" t="s">
        <v>11</v>
      </c>
      <c r="D2796" s="5">
        <v>45396.0</v>
      </c>
      <c r="G2796" s="1">
        <f>VLOOKUP(B2796,'old-aw-skill-plan'!A:I,7,FALSE)</f>
        <v>4</v>
      </c>
      <c r="H2796" s="1" t="str">
        <f>VLOOKUP(B2796,'old-aw-skill-plan'!A:I,9,FALSE)</f>
        <v>4-7</v>
      </c>
    </row>
    <row r="2797" ht="15.75" customHeight="1">
      <c r="A2797" s="1" t="s">
        <v>410</v>
      </c>
      <c r="B2797" s="1" t="s">
        <v>97</v>
      </c>
      <c r="C2797" s="1" t="s">
        <v>11</v>
      </c>
      <c r="D2797" s="5">
        <v>45396.0</v>
      </c>
      <c r="G2797" s="1">
        <f>VLOOKUP(B2797,'old-aw-skill-plan'!A:I,7,FALSE)</f>
        <v>4</v>
      </c>
      <c r="H2797" s="1" t="str">
        <f>VLOOKUP(B2797,'old-aw-skill-plan'!A:I,9,FALSE)</f>
        <v>4-3</v>
      </c>
    </row>
    <row r="2798" ht="15.75" customHeight="1">
      <c r="A2798" s="1" t="s">
        <v>410</v>
      </c>
      <c r="B2798" s="1" t="s">
        <v>37</v>
      </c>
      <c r="C2798" s="1" t="s">
        <v>11</v>
      </c>
      <c r="D2798" s="5">
        <v>45396.0</v>
      </c>
      <c r="G2798" s="1">
        <f>VLOOKUP(B2798,'old-aw-skill-plan'!A:I,7,FALSE)</f>
        <v>4</v>
      </c>
      <c r="H2798" s="1" t="str">
        <f>VLOOKUP(B2798,'old-aw-skill-plan'!A:I,9,FALSE)</f>
        <v>4-2</v>
      </c>
    </row>
    <row r="2799" ht="15.75" customHeight="1">
      <c r="A2799" s="1" t="s">
        <v>410</v>
      </c>
      <c r="B2799" s="1" t="s">
        <v>37</v>
      </c>
      <c r="C2799" s="1" t="s">
        <v>11</v>
      </c>
      <c r="D2799" s="5">
        <v>45395.0</v>
      </c>
      <c r="G2799" s="1">
        <f>VLOOKUP(B2799,'old-aw-skill-plan'!A:I,7,FALSE)</f>
        <v>4</v>
      </c>
      <c r="H2799" s="1" t="str">
        <f>VLOOKUP(B2799,'old-aw-skill-plan'!A:I,9,FALSE)</f>
        <v>4-2</v>
      </c>
    </row>
    <row r="2800" ht="15.75" customHeight="1">
      <c r="A2800" s="1" t="s">
        <v>216</v>
      </c>
      <c r="B2800" s="1" t="s">
        <v>21</v>
      </c>
      <c r="C2800" s="1" t="s">
        <v>11</v>
      </c>
      <c r="D2800" s="5">
        <v>45394.0</v>
      </c>
      <c r="G2800" s="1">
        <f>VLOOKUP(B2800,'old-aw-skill-plan'!A:I,7,FALSE)</f>
        <v>4</v>
      </c>
      <c r="H2800" s="1" t="str">
        <f>VLOOKUP(B2800,'old-aw-skill-plan'!A:I,9,FALSE)</f>
        <v>4-6</v>
      </c>
    </row>
    <row r="2801" ht="15.75" customHeight="1">
      <c r="A2801" s="1" t="s">
        <v>213</v>
      </c>
      <c r="B2801" s="1" t="s">
        <v>47</v>
      </c>
      <c r="C2801" s="1" t="s">
        <v>11</v>
      </c>
      <c r="D2801" s="5">
        <v>45394.0</v>
      </c>
      <c r="G2801" s="1">
        <f>VLOOKUP(B2801,'old-aw-skill-plan'!A:I,7,FALSE)</f>
        <v>3</v>
      </c>
      <c r="H2801" s="1" t="str">
        <f>VLOOKUP(B2801,'old-aw-skill-plan'!A:I,9,FALSE)</f>
        <v>3-2</v>
      </c>
    </row>
    <row r="2802" ht="15.75" customHeight="1">
      <c r="A2802" s="1" t="s">
        <v>36</v>
      </c>
      <c r="B2802" s="1" t="s">
        <v>33</v>
      </c>
      <c r="C2802" s="1" t="s">
        <v>11</v>
      </c>
      <c r="D2802" s="5">
        <v>45394.0</v>
      </c>
      <c r="G2802" s="1">
        <f>VLOOKUP(B2802,'old-aw-skill-plan'!A:I,7,FALSE)</f>
        <v>3</v>
      </c>
      <c r="H2802" s="1" t="str">
        <f>VLOOKUP(B2802,'old-aw-skill-plan'!A:I,9,FALSE)</f>
        <v>3-5</v>
      </c>
    </row>
    <row r="2803" ht="15.75" customHeight="1">
      <c r="A2803" s="1" t="s">
        <v>46</v>
      </c>
      <c r="B2803" s="1" t="s">
        <v>48</v>
      </c>
      <c r="C2803" s="1" t="s">
        <v>11</v>
      </c>
      <c r="D2803" s="5">
        <v>45394.0</v>
      </c>
      <c r="G2803" s="1">
        <f>VLOOKUP(B2803,'old-aw-skill-plan'!A:I,7,FALSE)</f>
        <v>3</v>
      </c>
      <c r="H2803" s="1" t="str">
        <f>VLOOKUP(B2803,'old-aw-skill-plan'!A:I,9,FALSE)</f>
        <v>3-6</v>
      </c>
    </row>
    <row r="2804" ht="15.75" customHeight="1">
      <c r="A2804" s="1" t="s">
        <v>421</v>
      </c>
      <c r="B2804" s="1" t="s">
        <v>83</v>
      </c>
      <c r="C2804" s="1" t="s">
        <v>11</v>
      </c>
      <c r="D2804" s="5">
        <v>45394.0</v>
      </c>
      <c r="G2804" s="1">
        <f>VLOOKUP(B2804,'old-aw-skill-plan'!A:I,7,FALSE)</f>
        <v>5</v>
      </c>
      <c r="H2804" s="1" t="str">
        <f>VLOOKUP(B2804,'old-aw-skill-plan'!A:I,9,FALSE)</f>
        <v>5-9</v>
      </c>
    </row>
    <row r="2805" ht="15.75" customHeight="1">
      <c r="A2805" s="1" t="s">
        <v>230</v>
      </c>
      <c r="B2805" s="1" t="s">
        <v>48</v>
      </c>
      <c r="C2805" s="1" t="s">
        <v>11</v>
      </c>
      <c r="D2805" s="5">
        <v>45394.0</v>
      </c>
      <c r="G2805" s="1">
        <f>VLOOKUP(B2805,'old-aw-skill-plan'!A:I,7,FALSE)</f>
        <v>3</v>
      </c>
      <c r="H2805" s="1" t="str">
        <f>VLOOKUP(B2805,'old-aw-skill-plan'!A:I,9,FALSE)</f>
        <v>3-6</v>
      </c>
    </row>
    <row r="2806" ht="15.75" customHeight="1">
      <c r="A2806" s="1" t="s">
        <v>428</v>
      </c>
      <c r="B2806" s="1" t="s">
        <v>133</v>
      </c>
      <c r="C2806" s="1" t="s">
        <v>11</v>
      </c>
      <c r="D2806" s="5">
        <v>45394.0</v>
      </c>
      <c r="G2806" s="1">
        <f>VLOOKUP(B2806,'old-aw-skill-plan'!A:I,7,FALSE)</f>
        <v>7</v>
      </c>
      <c r="H2806" s="1" t="str">
        <f>VLOOKUP(B2806,'old-aw-skill-plan'!A:I,9,FALSE)</f>
        <v>7-6</v>
      </c>
    </row>
    <row r="2807" ht="15.75" customHeight="1">
      <c r="A2807" s="1" t="s">
        <v>95</v>
      </c>
      <c r="B2807" s="1" t="s">
        <v>28</v>
      </c>
      <c r="C2807" s="1" t="s">
        <v>11</v>
      </c>
      <c r="D2807" s="5">
        <v>45394.0</v>
      </c>
      <c r="G2807" s="1">
        <f>VLOOKUP(B2807,'old-aw-skill-plan'!A:I,7,FALSE)</f>
        <v>3</v>
      </c>
      <c r="H2807" s="1" t="str">
        <f>VLOOKUP(B2807,'old-aw-skill-plan'!A:I,9,FALSE)</f>
        <v>3-4</v>
      </c>
    </row>
    <row r="2808" ht="15.75" customHeight="1">
      <c r="A2808" s="1" t="s">
        <v>211</v>
      </c>
      <c r="B2808" s="1" t="s">
        <v>91</v>
      </c>
      <c r="C2808" s="1" t="s">
        <v>11</v>
      </c>
      <c r="D2808" s="5">
        <v>45394.0</v>
      </c>
      <c r="G2808" s="1">
        <f>VLOOKUP(B2808,'old-aw-skill-plan'!A:I,7,FALSE)</f>
        <v>6</v>
      </c>
      <c r="H2808" s="1" t="str">
        <f>VLOOKUP(B2808,'old-aw-skill-plan'!A:I,9,FALSE)</f>
        <v>6-1</v>
      </c>
    </row>
    <row r="2809" ht="15.75" customHeight="1">
      <c r="A2809" s="1" t="s">
        <v>211</v>
      </c>
      <c r="B2809" s="1" t="s">
        <v>118</v>
      </c>
      <c r="C2809" s="1" t="s">
        <v>11</v>
      </c>
      <c r="D2809" s="5">
        <v>45394.0</v>
      </c>
      <c r="G2809" s="1">
        <f>VLOOKUP(B2809,'old-aw-skill-plan'!A:I,7,FALSE)</f>
        <v>3</v>
      </c>
      <c r="H2809" s="1" t="str">
        <f>VLOOKUP(B2809,'old-aw-skill-plan'!A:I,9,FALSE)</f>
        <v>3-12</v>
      </c>
    </row>
    <row r="2810" ht="15.75" customHeight="1">
      <c r="A2810" s="1" t="s">
        <v>197</v>
      </c>
      <c r="B2810" s="1" t="s">
        <v>391</v>
      </c>
      <c r="C2810" s="1" t="s">
        <v>11</v>
      </c>
      <c r="D2810" s="5">
        <v>45394.0</v>
      </c>
      <c r="G2810" s="1">
        <f>VLOOKUP(B2810,'old-aw-skill-plan'!A:I,7,FALSE)</f>
        <v>7</v>
      </c>
      <c r="H2810" s="1" t="str">
        <f>VLOOKUP(B2810,'old-aw-skill-plan'!A:I,9,FALSE)</f>
        <v>7-3</v>
      </c>
    </row>
    <row r="2811" ht="15.75" customHeight="1">
      <c r="A2811" s="1" t="s">
        <v>93</v>
      </c>
      <c r="B2811" s="1" t="s">
        <v>117</v>
      </c>
      <c r="C2811" s="1" t="s">
        <v>11</v>
      </c>
      <c r="D2811" s="5">
        <v>45394.0</v>
      </c>
      <c r="G2811" s="1">
        <f>VLOOKUP(B2811,'old-aw-skill-plan'!A:I,7,FALSE)</f>
        <v>3</v>
      </c>
      <c r="H2811" s="1" t="str">
        <f>VLOOKUP(B2811,'old-aw-skill-plan'!A:I,9,FALSE)</f>
        <v>3-11</v>
      </c>
    </row>
    <row r="2812" ht="15.75" customHeight="1">
      <c r="A2812" s="1" t="s">
        <v>94</v>
      </c>
      <c r="B2812" s="1" t="s">
        <v>91</v>
      </c>
      <c r="C2812" s="1" t="s">
        <v>11</v>
      </c>
      <c r="D2812" s="5">
        <v>45394.0</v>
      </c>
      <c r="G2812" s="1">
        <f>VLOOKUP(B2812,'old-aw-skill-plan'!A:I,7,FALSE)</f>
        <v>6</v>
      </c>
      <c r="H2812" s="1" t="str">
        <f>VLOOKUP(B2812,'old-aw-skill-plan'!A:I,9,FALSE)</f>
        <v>6-1</v>
      </c>
    </row>
    <row r="2813" ht="15.75" customHeight="1">
      <c r="A2813" s="1" t="s">
        <v>410</v>
      </c>
      <c r="B2813" s="1" t="s">
        <v>19</v>
      </c>
      <c r="C2813" s="1" t="s">
        <v>11</v>
      </c>
      <c r="D2813" s="5">
        <v>45394.0</v>
      </c>
      <c r="G2813" s="1">
        <f>VLOOKUP(B2813,'old-aw-skill-plan'!A:I,7,FALSE)</f>
        <v>4</v>
      </c>
      <c r="H2813" s="1" t="str">
        <f>VLOOKUP(B2813,'old-aw-skill-plan'!A:I,9,FALSE)</f>
        <v>4-7</v>
      </c>
    </row>
    <row r="2814" ht="15.75" customHeight="1">
      <c r="A2814" s="1" t="s">
        <v>418</v>
      </c>
      <c r="B2814" s="1" t="s">
        <v>103</v>
      </c>
      <c r="C2814" s="1" t="s">
        <v>11</v>
      </c>
      <c r="D2814" s="5">
        <v>45394.0</v>
      </c>
      <c r="G2814" s="1">
        <f>VLOOKUP(B2814,'old-aw-skill-plan'!A:I,7,FALSE)</f>
        <v>5</v>
      </c>
      <c r="H2814" s="1" t="str">
        <f>VLOOKUP(B2814,'old-aw-skill-plan'!A:I,9,FALSE)</f>
        <v>5-3</v>
      </c>
    </row>
    <row r="2815" ht="15.75" customHeight="1">
      <c r="A2815" s="1" t="s">
        <v>427</v>
      </c>
      <c r="B2815" s="1" t="s">
        <v>57</v>
      </c>
      <c r="C2815" s="1" t="s">
        <v>11</v>
      </c>
      <c r="D2815" s="5">
        <v>45394.0</v>
      </c>
      <c r="G2815" s="1">
        <f>VLOOKUP(B2815,'old-aw-skill-plan'!A:I,7,FALSE)</f>
        <v>3</v>
      </c>
      <c r="H2815" s="1" t="str">
        <f>VLOOKUP(B2815,'old-aw-skill-plan'!A:I,9,FALSE)</f>
        <v>3-7</v>
      </c>
    </row>
    <row r="2816" ht="15.75" customHeight="1">
      <c r="A2816" s="1" t="s">
        <v>427</v>
      </c>
      <c r="B2816" s="1" t="s">
        <v>58</v>
      </c>
      <c r="C2816" s="1" t="s">
        <v>11</v>
      </c>
      <c r="D2816" s="5">
        <v>45394.0</v>
      </c>
      <c r="G2816" s="1">
        <f>VLOOKUP(B2816,'old-aw-skill-plan'!A:I,7,FALSE)</f>
        <v>3</v>
      </c>
      <c r="H2816" s="1" t="str">
        <f>VLOOKUP(B2816,'old-aw-skill-plan'!A:I,9,FALSE)</f>
        <v>3-8</v>
      </c>
    </row>
    <row r="2817" ht="15.75" customHeight="1">
      <c r="A2817" s="1" t="s">
        <v>110</v>
      </c>
      <c r="B2817" s="1" t="s">
        <v>10</v>
      </c>
      <c r="C2817" s="1" t="s">
        <v>11</v>
      </c>
      <c r="D2817" s="5">
        <v>45394.0</v>
      </c>
      <c r="G2817" s="1">
        <f>VLOOKUP(B2817,'old-aw-skill-plan'!A:I,7,FALSE)</f>
        <v>3</v>
      </c>
      <c r="H2817" s="1" t="str">
        <f>VLOOKUP(B2817,'old-aw-skill-plan'!A:I,9,FALSE)</f>
        <v>3-1</v>
      </c>
    </row>
    <row r="2818" ht="15.75" customHeight="1">
      <c r="A2818" s="1" t="s">
        <v>110</v>
      </c>
      <c r="B2818" s="1" t="s">
        <v>57</v>
      </c>
      <c r="C2818" s="1" t="s">
        <v>11</v>
      </c>
      <c r="D2818" s="5">
        <v>45394.0</v>
      </c>
      <c r="G2818" s="1">
        <f>VLOOKUP(B2818,'old-aw-skill-plan'!A:I,7,FALSE)</f>
        <v>3</v>
      </c>
      <c r="H2818" s="1" t="str">
        <f>VLOOKUP(B2818,'old-aw-skill-plan'!A:I,9,FALSE)</f>
        <v>3-7</v>
      </c>
    </row>
    <row r="2819" ht="15.75" customHeight="1">
      <c r="A2819" s="1" t="s">
        <v>31</v>
      </c>
      <c r="B2819" s="1" t="s">
        <v>47</v>
      </c>
      <c r="C2819" s="1" t="s">
        <v>11</v>
      </c>
      <c r="D2819" s="5">
        <v>45393.0</v>
      </c>
      <c r="G2819" s="1">
        <f>VLOOKUP(B2819,'old-aw-skill-plan'!A:I,7,FALSE)</f>
        <v>3</v>
      </c>
      <c r="H2819" s="1" t="str">
        <f>VLOOKUP(B2819,'old-aw-skill-plan'!A:I,9,FALSE)</f>
        <v>3-2</v>
      </c>
    </row>
    <row r="2820" ht="15.75" customHeight="1">
      <c r="A2820" s="1" t="s">
        <v>36</v>
      </c>
      <c r="B2820" s="1" t="s">
        <v>33</v>
      </c>
      <c r="C2820" s="1" t="s">
        <v>11</v>
      </c>
      <c r="D2820" s="5">
        <v>45393.0</v>
      </c>
      <c r="G2820" s="1">
        <f>VLOOKUP(B2820,'old-aw-skill-plan'!A:I,7,FALSE)</f>
        <v>3</v>
      </c>
      <c r="H2820" s="1" t="str">
        <f>VLOOKUP(B2820,'old-aw-skill-plan'!A:I,9,FALSE)</f>
        <v>3-5</v>
      </c>
    </row>
    <row r="2821" ht="15.75" customHeight="1">
      <c r="A2821" s="1" t="s">
        <v>230</v>
      </c>
      <c r="B2821" s="1" t="s">
        <v>10</v>
      </c>
      <c r="C2821" s="1" t="s">
        <v>11</v>
      </c>
      <c r="D2821" s="5">
        <v>45393.0</v>
      </c>
      <c r="G2821" s="1">
        <f>VLOOKUP(B2821,'old-aw-skill-plan'!A:I,7,FALSE)</f>
        <v>3</v>
      </c>
      <c r="H2821" s="1" t="str">
        <f>VLOOKUP(B2821,'old-aw-skill-plan'!A:I,9,FALSE)</f>
        <v>3-1</v>
      </c>
    </row>
    <row r="2822" ht="15.75" customHeight="1">
      <c r="A2822" s="1" t="s">
        <v>230</v>
      </c>
      <c r="B2822" s="1" t="s">
        <v>48</v>
      </c>
      <c r="C2822" s="1" t="s">
        <v>11</v>
      </c>
      <c r="D2822" s="5">
        <v>45393.0</v>
      </c>
      <c r="G2822" s="1">
        <f>VLOOKUP(B2822,'old-aw-skill-plan'!A:I,7,FALSE)</f>
        <v>3</v>
      </c>
      <c r="H2822" s="1" t="str">
        <f>VLOOKUP(B2822,'old-aw-skill-plan'!A:I,9,FALSE)</f>
        <v>3-6</v>
      </c>
    </row>
    <row r="2823" ht="15.75" customHeight="1">
      <c r="A2823" s="1" t="s">
        <v>428</v>
      </c>
      <c r="B2823" s="1" t="s">
        <v>133</v>
      </c>
      <c r="C2823" s="1" t="s">
        <v>11</v>
      </c>
      <c r="D2823" s="5">
        <v>45393.0</v>
      </c>
      <c r="G2823" s="1">
        <f>VLOOKUP(B2823,'old-aw-skill-plan'!A:I,7,FALSE)</f>
        <v>7</v>
      </c>
      <c r="H2823" s="1" t="str">
        <f>VLOOKUP(B2823,'old-aw-skill-plan'!A:I,9,FALSE)</f>
        <v>7-6</v>
      </c>
    </row>
    <row r="2824" ht="15.75" customHeight="1">
      <c r="A2824" s="1" t="s">
        <v>95</v>
      </c>
      <c r="B2824" s="1" t="s">
        <v>28</v>
      </c>
      <c r="C2824" s="1" t="s">
        <v>11</v>
      </c>
      <c r="D2824" s="5">
        <v>45393.0</v>
      </c>
      <c r="G2824" s="1">
        <f>VLOOKUP(B2824,'old-aw-skill-plan'!A:I,7,FALSE)</f>
        <v>3</v>
      </c>
      <c r="H2824" s="1" t="str">
        <f>VLOOKUP(B2824,'old-aw-skill-plan'!A:I,9,FALSE)</f>
        <v>3-4</v>
      </c>
    </row>
    <row r="2825" ht="15.75" customHeight="1">
      <c r="A2825" s="1" t="s">
        <v>197</v>
      </c>
      <c r="B2825" s="1" t="s">
        <v>141</v>
      </c>
      <c r="C2825" s="1" t="s">
        <v>11</v>
      </c>
      <c r="D2825" s="5">
        <v>45393.0</v>
      </c>
      <c r="G2825" s="1">
        <f>VLOOKUP(B2825,'old-aw-skill-plan'!A:I,7,FALSE)</f>
        <v>7</v>
      </c>
      <c r="H2825" s="1" t="str">
        <f>VLOOKUP(B2825,'old-aw-skill-plan'!A:I,9,FALSE)</f>
        <v>7-4</v>
      </c>
    </row>
    <row r="2826" ht="15.75" customHeight="1">
      <c r="A2826" s="1" t="s">
        <v>94</v>
      </c>
      <c r="B2826" s="1" t="s">
        <v>91</v>
      </c>
      <c r="C2826" s="1" t="s">
        <v>11</v>
      </c>
      <c r="D2826" s="5">
        <v>45393.0</v>
      </c>
      <c r="G2826" s="1">
        <f>VLOOKUP(B2826,'old-aw-skill-plan'!A:I,7,FALSE)</f>
        <v>6</v>
      </c>
      <c r="H2826" s="1" t="str">
        <f>VLOOKUP(B2826,'old-aw-skill-plan'!A:I,9,FALSE)</f>
        <v>6-1</v>
      </c>
    </row>
    <row r="2827" ht="15.75" customHeight="1">
      <c r="A2827" s="1" t="s">
        <v>225</v>
      </c>
      <c r="B2827" s="1" t="s">
        <v>391</v>
      </c>
      <c r="C2827" s="1" t="s">
        <v>11</v>
      </c>
      <c r="D2827" s="5">
        <v>45393.0</v>
      </c>
      <c r="G2827" s="1">
        <f>VLOOKUP(B2827,'old-aw-skill-plan'!A:I,7,FALSE)</f>
        <v>7</v>
      </c>
      <c r="H2827" s="1" t="str">
        <f>VLOOKUP(B2827,'old-aw-skill-plan'!A:I,9,FALSE)</f>
        <v>7-3</v>
      </c>
    </row>
    <row r="2828" ht="15.75" customHeight="1">
      <c r="A2828" s="1" t="s">
        <v>266</v>
      </c>
      <c r="B2828" s="1" t="s">
        <v>391</v>
      </c>
      <c r="C2828" s="1" t="s">
        <v>11</v>
      </c>
      <c r="D2828" s="5">
        <v>45392.0</v>
      </c>
      <c r="G2828" s="1">
        <f>VLOOKUP(B2828,'old-aw-skill-plan'!A:I,7,FALSE)</f>
        <v>7</v>
      </c>
      <c r="H2828" s="1" t="str">
        <f>VLOOKUP(B2828,'old-aw-skill-plan'!A:I,9,FALSE)</f>
        <v>7-3</v>
      </c>
    </row>
    <row r="2829" ht="15.75" customHeight="1">
      <c r="A2829" s="1" t="s">
        <v>31</v>
      </c>
      <c r="B2829" s="1" t="s">
        <v>10</v>
      </c>
      <c r="C2829" s="1" t="s">
        <v>11</v>
      </c>
      <c r="D2829" s="5">
        <v>45392.0</v>
      </c>
      <c r="G2829" s="1">
        <f>VLOOKUP(B2829,'old-aw-skill-plan'!A:I,7,FALSE)</f>
        <v>3</v>
      </c>
      <c r="H2829" s="1" t="str">
        <f>VLOOKUP(B2829,'old-aw-skill-plan'!A:I,9,FALSE)</f>
        <v>3-1</v>
      </c>
    </row>
    <row r="2830" ht="15.75" customHeight="1">
      <c r="A2830" s="1" t="s">
        <v>216</v>
      </c>
      <c r="B2830" s="1" t="s">
        <v>21</v>
      </c>
      <c r="C2830" s="1" t="s">
        <v>11</v>
      </c>
      <c r="D2830" s="5">
        <v>45392.0</v>
      </c>
      <c r="G2830" s="1">
        <f>VLOOKUP(B2830,'old-aw-skill-plan'!A:I,7,FALSE)</f>
        <v>4</v>
      </c>
      <c r="H2830" s="1" t="str">
        <f>VLOOKUP(B2830,'old-aw-skill-plan'!A:I,9,FALSE)</f>
        <v>4-6</v>
      </c>
    </row>
    <row r="2831" ht="15.75" customHeight="1">
      <c r="A2831" s="1" t="s">
        <v>24</v>
      </c>
      <c r="B2831" s="1" t="s">
        <v>37</v>
      </c>
      <c r="C2831" s="1" t="s">
        <v>11</v>
      </c>
      <c r="D2831" s="5">
        <v>45392.0</v>
      </c>
      <c r="G2831" s="1">
        <f>VLOOKUP(B2831,'old-aw-skill-plan'!A:I,7,FALSE)</f>
        <v>4</v>
      </c>
      <c r="H2831" s="1" t="str">
        <f>VLOOKUP(B2831,'old-aw-skill-plan'!A:I,9,FALSE)</f>
        <v>4-2</v>
      </c>
    </row>
    <row r="2832" ht="15.75" customHeight="1">
      <c r="A2832" s="1" t="s">
        <v>213</v>
      </c>
      <c r="B2832" s="1" t="s">
        <v>10</v>
      </c>
      <c r="C2832" s="1" t="s">
        <v>11</v>
      </c>
      <c r="D2832" s="5">
        <v>45392.0</v>
      </c>
      <c r="G2832" s="1">
        <f>VLOOKUP(B2832,'old-aw-skill-plan'!A:I,7,FALSE)</f>
        <v>3</v>
      </c>
      <c r="H2832" s="1" t="str">
        <f>VLOOKUP(B2832,'old-aw-skill-plan'!A:I,9,FALSE)</f>
        <v>3-1</v>
      </c>
    </row>
    <row r="2833" ht="15.75" customHeight="1">
      <c r="A2833" s="1" t="s">
        <v>213</v>
      </c>
      <c r="B2833" s="1" t="s">
        <v>47</v>
      </c>
      <c r="C2833" s="1" t="s">
        <v>11</v>
      </c>
      <c r="D2833" s="5">
        <v>45392.0</v>
      </c>
      <c r="G2833" s="1">
        <f>VLOOKUP(B2833,'old-aw-skill-plan'!A:I,7,FALSE)</f>
        <v>3</v>
      </c>
      <c r="H2833" s="1" t="str">
        <f>VLOOKUP(B2833,'old-aw-skill-plan'!A:I,9,FALSE)</f>
        <v>3-2</v>
      </c>
    </row>
    <row r="2834" ht="15.75" customHeight="1">
      <c r="A2834" s="1" t="s">
        <v>36</v>
      </c>
      <c r="B2834" s="1" t="s">
        <v>58</v>
      </c>
      <c r="C2834" s="1" t="s">
        <v>11</v>
      </c>
      <c r="D2834" s="5">
        <v>45392.0</v>
      </c>
      <c r="G2834" s="1">
        <f>VLOOKUP(B2834,'old-aw-skill-plan'!A:I,7,FALSE)</f>
        <v>3</v>
      </c>
      <c r="H2834" s="1" t="str">
        <f>VLOOKUP(B2834,'old-aw-skill-plan'!A:I,9,FALSE)</f>
        <v>3-8</v>
      </c>
    </row>
    <row r="2835" ht="15.75" customHeight="1">
      <c r="A2835" s="1" t="s">
        <v>81</v>
      </c>
      <c r="B2835" s="1" t="s">
        <v>40</v>
      </c>
      <c r="C2835" s="1" t="s">
        <v>11</v>
      </c>
      <c r="D2835" s="5">
        <v>45392.0</v>
      </c>
      <c r="G2835" s="1">
        <f>VLOOKUP(B2835,'old-aw-skill-plan'!A:I,7,FALSE)</f>
        <v>4</v>
      </c>
      <c r="H2835" s="1" t="str">
        <f>VLOOKUP(B2835,'old-aw-skill-plan'!A:I,9,FALSE)</f>
        <v>4-10</v>
      </c>
    </row>
    <row r="2836" ht="15.75" customHeight="1">
      <c r="A2836" s="1" t="s">
        <v>421</v>
      </c>
      <c r="B2836" s="1" t="s">
        <v>83</v>
      </c>
      <c r="C2836" s="1" t="s">
        <v>11</v>
      </c>
      <c r="D2836" s="5">
        <v>45392.0</v>
      </c>
      <c r="G2836" s="1">
        <f>VLOOKUP(B2836,'old-aw-skill-plan'!A:I,7,FALSE)</f>
        <v>5</v>
      </c>
      <c r="H2836" s="1" t="str">
        <f>VLOOKUP(B2836,'old-aw-skill-plan'!A:I,9,FALSE)</f>
        <v>5-9</v>
      </c>
    </row>
    <row r="2837" ht="15.75" customHeight="1">
      <c r="A2837" s="1" t="s">
        <v>373</v>
      </c>
      <c r="B2837" s="1" t="s">
        <v>30</v>
      </c>
      <c r="C2837" s="1" t="s">
        <v>11</v>
      </c>
      <c r="D2837" s="5">
        <v>45392.0</v>
      </c>
      <c r="G2837" s="1">
        <f>VLOOKUP(B2837,'old-aw-skill-plan'!A:I,7,FALSE)</f>
        <v>3</v>
      </c>
      <c r="H2837" s="1" t="str">
        <f>VLOOKUP(B2837,'old-aw-skill-plan'!A:I,9,FALSE)</f>
        <v>3-3</v>
      </c>
    </row>
    <row r="2838" ht="15.75" customHeight="1">
      <c r="A2838" s="1" t="s">
        <v>430</v>
      </c>
      <c r="B2838" s="1" t="s">
        <v>10</v>
      </c>
      <c r="C2838" s="1" t="s">
        <v>11</v>
      </c>
      <c r="D2838" s="5">
        <v>45392.0</v>
      </c>
      <c r="G2838" s="1">
        <f>VLOOKUP(B2838,'old-aw-skill-plan'!A:I,7,FALSE)</f>
        <v>3</v>
      </c>
      <c r="H2838" s="1" t="str">
        <f>VLOOKUP(B2838,'old-aw-skill-plan'!A:I,9,FALSE)</f>
        <v>3-1</v>
      </c>
    </row>
    <row r="2839" ht="15.75" customHeight="1">
      <c r="A2839" s="1" t="s">
        <v>93</v>
      </c>
      <c r="B2839" s="1" t="s">
        <v>117</v>
      </c>
      <c r="C2839" s="1" t="s">
        <v>11</v>
      </c>
      <c r="D2839" s="5">
        <v>45392.0</v>
      </c>
      <c r="G2839" s="1">
        <f>VLOOKUP(B2839,'old-aw-skill-plan'!A:I,7,FALSE)</f>
        <v>3</v>
      </c>
      <c r="H2839" s="1" t="str">
        <f>VLOOKUP(B2839,'old-aw-skill-plan'!A:I,9,FALSE)</f>
        <v>3-11</v>
      </c>
    </row>
    <row r="2840" ht="15.75" customHeight="1">
      <c r="A2840" s="1" t="s">
        <v>94</v>
      </c>
      <c r="B2840" s="1" t="s">
        <v>118</v>
      </c>
      <c r="C2840" s="1" t="s">
        <v>11</v>
      </c>
      <c r="D2840" s="5">
        <v>45392.0</v>
      </c>
      <c r="G2840" s="1">
        <f>VLOOKUP(B2840,'old-aw-skill-plan'!A:I,7,FALSE)</f>
        <v>3</v>
      </c>
      <c r="H2840" s="1" t="str">
        <f>VLOOKUP(B2840,'old-aw-skill-plan'!A:I,9,FALSE)</f>
        <v>3-12</v>
      </c>
    </row>
    <row r="2841" ht="15.75" customHeight="1">
      <c r="A2841" s="1" t="s">
        <v>427</v>
      </c>
      <c r="B2841" s="1" t="s">
        <v>57</v>
      </c>
      <c r="C2841" s="1" t="s">
        <v>11</v>
      </c>
      <c r="D2841" s="5">
        <v>45392.0</v>
      </c>
      <c r="G2841" s="1">
        <f>VLOOKUP(B2841,'old-aw-skill-plan'!A:I,7,FALSE)</f>
        <v>3</v>
      </c>
      <c r="H2841" s="1" t="str">
        <f>VLOOKUP(B2841,'old-aw-skill-plan'!A:I,9,FALSE)</f>
        <v>3-7</v>
      </c>
    </row>
    <row r="2842" ht="15.75" customHeight="1">
      <c r="A2842" s="1" t="s">
        <v>110</v>
      </c>
      <c r="B2842" s="1" t="s">
        <v>10</v>
      </c>
      <c r="C2842" s="1" t="s">
        <v>11</v>
      </c>
      <c r="D2842" s="5">
        <v>45392.0</v>
      </c>
      <c r="G2842" s="1">
        <f>VLOOKUP(B2842,'old-aw-skill-plan'!A:I,7,FALSE)</f>
        <v>3</v>
      </c>
      <c r="H2842" s="1" t="str">
        <f>VLOOKUP(B2842,'old-aw-skill-plan'!A:I,9,FALSE)</f>
        <v>3-1</v>
      </c>
    </row>
    <row r="2843" ht="15.75" customHeight="1">
      <c r="A2843" s="1" t="s">
        <v>110</v>
      </c>
      <c r="B2843" s="1" t="s">
        <v>57</v>
      </c>
      <c r="C2843" s="1" t="s">
        <v>11</v>
      </c>
      <c r="D2843" s="5">
        <v>45392.0</v>
      </c>
      <c r="G2843" s="1">
        <f>VLOOKUP(B2843,'old-aw-skill-plan'!A:I,7,FALSE)</f>
        <v>3</v>
      </c>
      <c r="H2843" s="1" t="str">
        <f>VLOOKUP(B2843,'old-aw-skill-plan'!A:I,9,FALSE)</f>
        <v>3-7</v>
      </c>
    </row>
    <row r="2844" ht="15.75" customHeight="1">
      <c r="A2844" s="1" t="s">
        <v>266</v>
      </c>
      <c r="B2844" s="1" t="s">
        <v>141</v>
      </c>
      <c r="C2844" s="1" t="s">
        <v>11</v>
      </c>
      <c r="D2844" s="5">
        <v>45391.0</v>
      </c>
      <c r="G2844" s="1">
        <f>VLOOKUP(B2844,'old-aw-skill-plan'!A:I,7,FALSE)</f>
        <v>7</v>
      </c>
      <c r="H2844" s="1" t="str">
        <f>VLOOKUP(B2844,'old-aw-skill-plan'!A:I,9,FALSE)</f>
        <v>7-4</v>
      </c>
    </row>
    <row r="2845" ht="15.75" customHeight="1">
      <c r="A2845" s="1" t="s">
        <v>31</v>
      </c>
      <c r="B2845" s="1" t="s">
        <v>10</v>
      </c>
      <c r="C2845" s="1" t="s">
        <v>11</v>
      </c>
      <c r="D2845" s="5">
        <v>45391.0</v>
      </c>
      <c r="G2845" s="1">
        <f>VLOOKUP(B2845,'old-aw-skill-plan'!A:I,7,FALSE)</f>
        <v>3</v>
      </c>
      <c r="H2845" s="1" t="str">
        <f>VLOOKUP(B2845,'old-aw-skill-plan'!A:I,9,FALSE)</f>
        <v>3-1</v>
      </c>
    </row>
    <row r="2846" ht="15.75" customHeight="1">
      <c r="A2846" s="1" t="s">
        <v>216</v>
      </c>
      <c r="B2846" s="1" t="s">
        <v>61</v>
      </c>
      <c r="C2846" s="1" t="s">
        <v>11</v>
      </c>
      <c r="D2846" s="5">
        <v>45391.0</v>
      </c>
      <c r="G2846" s="1">
        <f>VLOOKUP(B2846,'old-aw-skill-plan'!A:I,7,FALSE)</f>
        <v>4</v>
      </c>
      <c r="H2846" s="1" t="str">
        <f>VLOOKUP(B2846,'old-aw-skill-plan'!A:I,9,FALSE)</f>
        <v>4-4</v>
      </c>
    </row>
    <row r="2847" ht="15.75" customHeight="1">
      <c r="A2847" s="1" t="s">
        <v>24</v>
      </c>
      <c r="B2847" s="1" t="s">
        <v>37</v>
      </c>
      <c r="C2847" s="1" t="s">
        <v>11</v>
      </c>
      <c r="D2847" s="5">
        <v>45391.0</v>
      </c>
      <c r="G2847" s="1">
        <f>VLOOKUP(B2847,'old-aw-skill-plan'!A:I,7,FALSE)</f>
        <v>4</v>
      </c>
      <c r="H2847" s="1" t="str">
        <f>VLOOKUP(B2847,'old-aw-skill-plan'!A:I,9,FALSE)</f>
        <v>4-2</v>
      </c>
    </row>
    <row r="2848" ht="15.75" customHeight="1">
      <c r="A2848" s="1" t="s">
        <v>213</v>
      </c>
      <c r="B2848" s="1" t="s">
        <v>10</v>
      </c>
      <c r="C2848" s="1" t="s">
        <v>11</v>
      </c>
      <c r="D2848" s="5">
        <v>45391.0</v>
      </c>
      <c r="G2848" s="1">
        <f>VLOOKUP(B2848,'old-aw-skill-plan'!A:I,7,FALSE)</f>
        <v>3</v>
      </c>
      <c r="H2848" s="1" t="str">
        <f>VLOOKUP(B2848,'old-aw-skill-plan'!A:I,9,FALSE)</f>
        <v>3-1</v>
      </c>
    </row>
    <row r="2849" ht="15.75" customHeight="1">
      <c r="A2849" s="1" t="s">
        <v>81</v>
      </c>
      <c r="B2849" s="1" t="s">
        <v>123</v>
      </c>
      <c r="C2849" s="1" t="s">
        <v>11</v>
      </c>
      <c r="D2849" s="5">
        <v>45391.0</v>
      </c>
      <c r="G2849" s="1">
        <f>VLOOKUP(B2849,'old-aw-skill-plan'!A:I,7,FALSE)</f>
        <v>4</v>
      </c>
      <c r="H2849" s="1" t="str">
        <f>VLOOKUP(B2849,'old-aw-skill-plan'!A:I,9,FALSE)</f>
        <v>4-12</v>
      </c>
    </row>
    <row r="2850" ht="15.75" customHeight="1">
      <c r="A2850" s="1" t="s">
        <v>421</v>
      </c>
      <c r="B2850" s="1" t="s">
        <v>83</v>
      </c>
      <c r="C2850" s="1" t="s">
        <v>11</v>
      </c>
      <c r="D2850" s="5">
        <v>45391.0</v>
      </c>
      <c r="G2850" s="1">
        <f>VLOOKUP(B2850,'old-aw-skill-plan'!A:I,7,FALSE)</f>
        <v>5</v>
      </c>
      <c r="H2850" s="1" t="str">
        <f>VLOOKUP(B2850,'old-aw-skill-plan'!A:I,9,FALSE)</f>
        <v>5-9</v>
      </c>
    </row>
    <row r="2851" ht="15.75" customHeight="1">
      <c r="A2851" s="1" t="s">
        <v>420</v>
      </c>
      <c r="B2851" s="1" t="s">
        <v>48</v>
      </c>
      <c r="C2851" s="1" t="s">
        <v>11</v>
      </c>
      <c r="D2851" s="5">
        <v>45391.0</v>
      </c>
      <c r="G2851" s="1">
        <f>VLOOKUP(B2851,'old-aw-skill-plan'!A:I,7,FALSE)</f>
        <v>3</v>
      </c>
      <c r="H2851" s="1" t="str">
        <f>VLOOKUP(B2851,'old-aw-skill-plan'!A:I,9,FALSE)</f>
        <v>3-6</v>
      </c>
    </row>
    <row r="2852" ht="15.75" customHeight="1">
      <c r="A2852" s="1" t="s">
        <v>95</v>
      </c>
      <c r="B2852" s="1" t="s">
        <v>28</v>
      </c>
      <c r="C2852" s="1" t="s">
        <v>11</v>
      </c>
      <c r="D2852" s="5">
        <v>45391.0</v>
      </c>
      <c r="G2852" s="1">
        <f>VLOOKUP(B2852,'old-aw-skill-plan'!A:I,7,FALSE)</f>
        <v>3</v>
      </c>
      <c r="H2852" s="1" t="str">
        <f>VLOOKUP(B2852,'old-aw-skill-plan'!A:I,9,FALSE)</f>
        <v>3-4</v>
      </c>
    </row>
    <row r="2853" ht="15.75" customHeight="1">
      <c r="A2853" s="1" t="s">
        <v>211</v>
      </c>
      <c r="B2853" s="1" t="s">
        <v>91</v>
      </c>
      <c r="C2853" s="1" t="s">
        <v>11</v>
      </c>
      <c r="D2853" s="5">
        <v>45391.0</v>
      </c>
      <c r="G2853" s="1">
        <f>VLOOKUP(B2853,'old-aw-skill-plan'!A:I,7,FALSE)</f>
        <v>6</v>
      </c>
      <c r="H2853" s="1" t="str">
        <f>VLOOKUP(B2853,'old-aw-skill-plan'!A:I,9,FALSE)</f>
        <v>6-1</v>
      </c>
    </row>
    <row r="2854" ht="15.75" customHeight="1">
      <c r="A2854" s="1" t="s">
        <v>197</v>
      </c>
      <c r="B2854" s="1" t="s">
        <v>141</v>
      </c>
      <c r="C2854" s="1" t="s">
        <v>11</v>
      </c>
      <c r="D2854" s="5">
        <v>45391.0</v>
      </c>
      <c r="G2854" s="1">
        <f>VLOOKUP(B2854,'old-aw-skill-plan'!A:I,7,FALSE)</f>
        <v>7</v>
      </c>
      <c r="H2854" s="1" t="str">
        <f>VLOOKUP(B2854,'old-aw-skill-plan'!A:I,9,FALSE)</f>
        <v>7-4</v>
      </c>
    </row>
    <row r="2855" ht="15.75" customHeight="1">
      <c r="A2855" s="1" t="s">
        <v>197</v>
      </c>
      <c r="B2855" s="1" t="s">
        <v>391</v>
      </c>
      <c r="C2855" s="1" t="s">
        <v>11</v>
      </c>
      <c r="D2855" s="5">
        <v>45391.0</v>
      </c>
      <c r="G2855" s="1">
        <f>VLOOKUP(B2855,'old-aw-skill-plan'!A:I,7,FALSE)</f>
        <v>7</v>
      </c>
      <c r="H2855" s="1" t="str">
        <f>VLOOKUP(B2855,'old-aw-skill-plan'!A:I,9,FALSE)</f>
        <v>7-3</v>
      </c>
    </row>
    <row r="2856" ht="15.75" customHeight="1">
      <c r="A2856" s="1" t="s">
        <v>197</v>
      </c>
      <c r="B2856" s="1" t="s">
        <v>133</v>
      </c>
      <c r="C2856" s="1" t="s">
        <v>11</v>
      </c>
      <c r="D2856" s="5">
        <v>45391.0</v>
      </c>
      <c r="G2856" s="1">
        <f>VLOOKUP(B2856,'old-aw-skill-plan'!A:I,7,FALSE)</f>
        <v>7</v>
      </c>
      <c r="H2856" s="1" t="str">
        <f>VLOOKUP(B2856,'old-aw-skill-plan'!A:I,9,FALSE)</f>
        <v>7-6</v>
      </c>
    </row>
    <row r="2857" ht="15.75" customHeight="1">
      <c r="A2857" s="1" t="s">
        <v>373</v>
      </c>
      <c r="B2857" s="1" t="s">
        <v>10</v>
      </c>
      <c r="C2857" s="1" t="s">
        <v>11</v>
      </c>
      <c r="D2857" s="5">
        <v>45391.0</v>
      </c>
      <c r="G2857" s="1">
        <f>VLOOKUP(B2857,'old-aw-skill-plan'!A:I,7,FALSE)</f>
        <v>3</v>
      </c>
      <c r="H2857" s="1" t="str">
        <f>VLOOKUP(B2857,'old-aw-skill-plan'!A:I,9,FALSE)</f>
        <v>3-1</v>
      </c>
    </row>
    <row r="2858" ht="15.75" customHeight="1">
      <c r="A2858" s="1" t="s">
        <v>225</v>
      </c>
      <c r="B2858" s="1" t="s">
        <v>141</v>
      </c>
      <c r="C2858" s="1" t="s">
        <v>11</v>
      </c>
      <c r="D2858" s="5">
        <v>45391.0</v>
      </c>
      <c r="G2858" s="1">
        <f>VLOOKUP(B2858,'old-aw-skill-plan'!A:I,7,FALSE)</f>
        <v>7</v>
      </c>
      <c r="H2858" s="1" t="str">
        <f>VLOOKUP(B2858,'old-aw-skill-plan'!A:I,9,FALSE)</f>
        <v>7-4</v>
      </c>
    </row>
    <row r="2859" ht="15.75" customHeight="1">
      <c r="A2859" s="1" t="s">
        <v>225</v>
      </c>
      <c r="B2859" s="1" t="s">
        <v>124</v>
      </c>
      <c r="C2859" s="1" t="s">
        <v>11</v>
      </c>
      <c r="D2859" s="5">
        <v>45391.0</v>
      </c>
      <c r="G2859" s="1">
        <f>VLOOKUP(B2859,'old-aw-skill-plan'!A:I,7,FALSE)</f>
        <v>7</v>
      </c>
      <c r="H2859" s="1" t="str">
        <f>VLOOKUP(B2859,'old-aw-skill-plan'!A:I,9,FALSE)</f>
        <v>7-5</v>
      </c>
    </row>
    <row r="2860" ht="15.75" customHeight="1">
      <c r="A2860" s="1" t="s">
        <v>427</v>
      </c>
      <c r="B2860" s="1" t="s">
        <v>57</v>
      </c>
      <c r="C2860" s="1" t="s">
        <v>11</v>
      </c>
      <c r="D2860" s="5">
        <v>45391.0</v>
      </c>
      <c r="G2860" s="1">
        <f>VLOOKUP(B2860,'old-aw-skill-plan'!A:I,7,FALSE)</f>
        <v>3</v>
      </c>
      <c r="H2860" s="1" t="str">
        <f>VLOOKUP(B2860,'old-aw-skill-plan'!A:I,9,FALSE)</f>
        <v>3-7</v>
      </c>
    </row>
    <row r="2861" ht="15.75" customHeight="1">
      <c r="A2861" s="1" t="s">
        <v>110</v>
      </c>
      <c r="B2861" s="1" t="s">
        <v>10</v>
      </c>
      <c r="C2861" s="1" t="s">
        <v>11</v>
      </c>
      <c r="D2861" s="5">
        <v>45391.0</v>
      </c>
      <c r="G2861" s="1">
        <f>VLOOKUP(B2861,'old-aw-skill-plan'!A:I,7,FALSE)</f>
        <v>3</v>
      </c>
      <c r="H2861" s="1" t="str">
        <f>VLOOKUP(B2861,'old-aw-skill-plan'!A:I,9,FALSE)</f>
        <v>3-1</v>
      </c>
    </row>
    <row r="2862" ht="15.75" customHeight="1">
      <c r="A2862" s="1" t="s">
        <v>216</v>
      </c>
      <c r="B2862" s="1" t="s">
        <v>21</v>
      </c>
      <c r="C2862" s="1" t="s">
        <v>11</v>
      </c>
      <c r="D2862" s="5">
        <v>45390.0</v>
      </c>
      <c r="G2862" s="1">
        <f>VLOOKUP(B2862,'old-aw-skill-plan'!A:I,7,FALSE)</f>
        <v>4</v>
      </c>
      <c r="H2862" s="1" t="str">
        <f>VLOOKUP(B2862,'old-aw-skill-plan'!A:I,9,FALSE)</f>
        <v>4-6</v>
      </c>
    </row>
    <row r="2863" ht="15.75" customHeight="1">
      <c r="A2863" s="1" t="s">
        <v>213</v>
      </c>
      <c r="B2863" s="1" t="s">
        <v>10</v>
      </c>
      <c r="C2863" s="1" t="s">
        <v>11</v>
      </c>
      <c r="D2863" s="5">
        <v>45390.0</v>
      </c>
      <c r="G2863" s="1">
        <f>VLOOKUP(B2863,'old-aw-skill-plan'!A:I,7,FALSE)</f>
        <v>3</v>
      </c>
      <c r="H2863" s="1" t="str">
        <f>VLOOKUP(B2863,'old-aw-skill-plan'!A:I,9,FALSE)</f>
        <v>3-1</v>
      </c>
    </row>
    <row r="2864" ht="15.75" customHeight="1">
      <c r="A2864" s="1" t="s">
        <v>213</v>
      </c>
      <c r="B2864" s="1" t="s">
        <v>47</v>
      </c>
      <c r="C2864" s="1" t="s">
        <v>11</v>
      </c>
      <c r="D2864" s="5">
        <v>45390.0</v>
      </c>
      <c r="G2864" s="1">
        <f>VLOOKUP(B2864,'old-aw-skill-plan'!A:I,7,FALSE)</f>
        <v>3</v>
      </c>
      <c r="H2864" s="1" t="str">
        <f>VLOOKUP(B2864,'old-aw-skill-plan'!A:I,9,FALSE)</f>
        <v>3-2</v>
      </c>
    </row>
    <row r="2865" ht="15.75" customHeight="1">
      <c r="A2865" s="1" t="s">
        <v>36</v>
      </c>
      <c r="B2865" s="1" t="s">
        <v>57</v>
      </c>
      <c r="C2865" s="1" t="s">
        <v>11</v>
      </c>
      <c r="D2865" s="5">
        <v>45390.0</v>
      </c>
      <c r="G2865" s="1">
        <f>VLOOKUP(B2865,'old-aw-skill-plan'!A:I,7,FALSE)</f>
        <v>3</v>
      </c>
      <c r="H2865" s="1" t="str">
        <f>VLOOKUP(B2865,'old-aw-skill-plan'!A:I,9,FALSE)</f>
        <v>3-7</v>
      </c>
    </row>
    <row r="2866" ht="15.75" customHeight="1">
      <c r="A2866" s="1" t="s">
        <v>46</v>
      </c>
      <c r="B2866" s="1" t="s">
        <v>30</v>
      </c>
      <c r="C2866" s="1" t="s">
        <v>11</v>
      </c>
      <c r="D2866" s="5">
        <v>45390.0</v>
      </c>
      <c r="G2866" s="1">
        <f>VLOOKUP(B2866,'old-aw-skill-plan'!A:I,7,FALSE)</f>
        <v>3</v>
      </c>
      <c r="H2866" s="1" t="str">
        <f>VLOOKUP(B2866,'old-aw-skill-plan'!A:I,9,FALSE)</f>
        <v>3-3</v>
      </c>
    </row>
    <row r="2867" ht="15.75" customHeight="1">
      <c r="A2867" s="1" t="s">
        <v>428</v>
      </c>
      <c r="B2867" s="1" t="s">
        <v>40</v>
      </c>
      <c r="C2867" s="1" t="s">
        <v>11</v>
      </c>
      <c r="D2867" s="5">
        <v>45390.0</v>
      </c>
      <c r="G2867" s="1">
        <f>VLOOKUP(B2867,'old-aw-skill-plan'!A:I,7,FALSE)</f>
        <v>4</v>
      </c>
      <c r="H2867" s="1" t="str">
        <f>VLOOKUP(B2867,'old-aw-skill-plan'!A:I,9,FALSE)</f>
        <v>4-10</v>
      </c>
    </row>
    <row r="2868" ht="15.75" customHeight="1">
      <c r="A2868" s="1" t="s">
        <v>431</v>
      </c>
      <c r="B2868" s="1" t="s">
        <v>120</v>
      </c>
      <c r="C2868" s="1" t="s">
        <v>11</v>
      </c>
      <c r="D2868" s="5">
        <v>45390.0</v>
      </c>
      <c r="G2868" s="1">
        <f>VLOOKUP(B2868,'old-aw-skill-plan'!A:I,7,FALSE)</f>
        <v>5</v>
      </c>
      <c r="H2868" s="1" t="str">
        <f>VLOOKUP(B2868,'old-aw-skill-plan'!A:I,9,FALSE)</f>
        <v>5-11</v>
      </c>
    </row>
    <row r="2869" ht="15.75" customHeight="1">
      <c r="A2869" s="1" t="s">
        <v>211</v>
      </c>
      <c r="B2869" s="1" t="s">
        <v>115</v>
      </c>
      <c r="C2869" s="1" t="s">
        <v>11</v>
      </c>
      <c r="D2869" s="5">
        <v>45390.0</v>
      </c>
      <c r="G2869" s="1">
        <f>VLOOKUP(B2869,'old-aw-skill-plan'!A:I,7,FALSE)</f>
        <v>3</v>
      </c>
      <c r="H2869" s="1" t="str">
        <f>VLOOKUP(B2869,'old-aw-skill-plan'!A:I,9,FALSE)</f>
        <v>3-10</v>
      </c>
    </row>
    <row r="2870" ht="15.75" customHeight="1">
      <c r="A2870" s="1" t="s">
        <v>211</v>
      </c>
      <c r="B2870" s="1" t="s">
        <v>116</v>
      </c>
      <c r="C2870" s="1" t="s">
        <v>11</v>
      </c>
      <c r="D2870" s="5">
        <v>45390.0</v>
      </c>
      <c r="G2870" s="1">
        <f>VLOOKUP(B2870,'old-aw-skill-plan'!A:I,7,FALSE)</f>
        <v>3</v>
      </c>
      <c r="H2870" s="1" t="str">
        <f>VLOOKUP(B2870,'old-aw-skill-plan'!A:I,9,FALSE)</f>
        <v>3-9</v>
      </c>
    </row>
    <row r="2871" ht="15.75" customHeight="1">
      <c r="A2871" s="1" t="s">
        <v>211</v>
      </c>
      <c r="B2871" s="1" t="s">
        <v>91</v>
      </c>
      <c r="C2871" s="1" t="s">
        <v>11</v>
      </c>
      <c r="D2871" s="5">
        <v>45390.0</v>
      </c>
      <c r="G2871" s="1">
        <f>VLOOKUP(B2871,'old-aw-skill-plan'!A:I,7,FALSE)</f>
        <v>6</v>
      </c>
      <c r="H2871" s="1" t="str">
        <f>VLOOKUP(B2871,'old-aw-skill-plan'!A:I,9,FALSE)</f>
        <v>6-1</v>
      </c>
    </row>
    <row r="2872" ht="15.75" customHeight="1">
      <c r="A2872" s="1" t="s">
        <v>197</v>
      </c>
      <c r="B2872" s="1" t="s">
        <v>363</v>
      </c>
      <c r="C2872" s="1" t="s">
        <v>11</v>
      </c>
      <c r="D2872" s="5">
        <v>45390.0</v>
      </c>
      <c r="G2872" s="1">
        <f>VLOOKUP(B2872,'old-aw-skill-plan'!A:I,7,FALSE)</f>
        <v>7</v>
      </c>
      <c r="H2872" s="1" t="str">
        <f>VLOOKUP(B2872,'old-aw-skill-plan'!A:I,9,FALSE)</f>
        <v>7-1</v>
      </c>
    </row>
    <row r="2873" ht="15.75" customHeight="1">
      <c r="A2873" s="1" t="s">
        <v>197</v>
      </c>
      <c r="B2873" s="1" t="s">
        <v>124</v>
      </c>
      <c r="C2873" s="1" t="s">
        <v>11</v>
      </c>
      <c r="D2873" s="5">
        <v>45390.0</v>
      </c>
      <c r="G2873" s="1">
        <f>VLOOKUP(B2873,'old-aw-skill-plan'!A:I,7,FALSE)</f>
        <v>7</v>
      </c>
      <c r="H2873" s="1" t="str">
        <f>VLOOKUP(B2873,'old-aw-skill-plan'!A:I,9,FALSE)</f>
        <v>7-5</v>
      </c>
    </row>
    <row r="2874" ht="15.75" customHeight="1">
      <c r="A2874" s="1" t="s">
        <v>94</v>
      </c>
      <c r="B2874" s="1" t="s">
        <v>118</v>
      </c>
      <c r="C2874" s="1" t="s">
        <v>11</v>
      </c>
      <c r="D2874" s="5">
        <v>45390.0</v>
      </c>
      <c r="G2874" s="1">
        <f>VLOOKUP(B2874,'old-aw-skill-plan'!A:I,7,FALSE)</f>
        <v>3</v>
      </c>
      <c r="H2874" s="1" t="str">
        <f>VLOOKUP(B2874,'old-aw-skill-plan'!A:I,9,FALSE)</f>
        <v>3-12</v>
      </c>
    </row>
    <row r="2875" ht="15.75" customHeight="1">
      <c r="A2875" s="1" t="s">
        <v>225</v>
      </c>
      <c r="B2875" s="1" t="s">
        <v>141</v>
      </c>
      <c r="C2875" s="1" t="s">
        <v>11</v>
      </c>
      <c r="D2875" s="5">
        <v>45390.0</v>
      </c>
      <c r="G2875" s="1">
        <f>VLOOKUP(B2875,'old-aw-skill-plan'!A:I,7,FALSE)</f>
        <v>7</v>
      </c>
      <c r="H2875" s="1" t="str">
        <f>VLOOKUP(B2875,'old-aw-skill-plan'!A:I,9,FALSE)</f>
        <v>7-4</v>
      </c>
    </row>
    <row r="2876" ht="15.75" customHeight="1">
      <c r="A2876" s="1" t="s">
        <v>420</v>
      </c>
      <c r="B2876" s="1" t="s">
        <v>118</v>
      </c>
      <c r="C2876" s="1" t="s">
        <v>11</v>
      </c>
      <c r="D2876" s="5">
        <v>45387.0</v>
      </c>
      <c r="G2876" s="1">
        <f>VLOOKUP(B2876,'old-aw-skill-plan'!A:I,7,FALSE)</f>
        <v>3</v>
      </c>
      <c r="H2876" s="1" t="str">
        <f>VLOOKUP(B2876,'old-aw-skill-plan'!A:I,9,FALSE)</f>
        <v>3-12</v>
      </c>
    </row>
    <row r="2877" ht="15.75" customHeight="1">
      <c r="A2877" s="1" t="s">
        <v>422</v>
      </c>
      <c r="B2877" s="1" t="s">
        <v>34</v>
      </c>
      <c r="C2877" s="1" t="s">
        <v>11</v>
      </c>
      <c r="D2877" s="5">
        <v>45387.0</v>
      </c>
      <c r="G2877" s="1">
        <f>VLOOKUP(B2877,'old-aw-skill-plan'!A:I,7,FALSE)</f>
        <v>4</v>
      </c>
      <c r="H2877" s="1" t="str">
        <f>VLOOKUP(B2877,'old-aw-skill-plan'!A:I,9,FALSE)</f>
        <v>4-1</v>
      </c>
    </row>
    <row r="2878" ht="15.75" customHeight="1">
      <c r="A2878" s="1" t="s">
        <v>427</v>
      </c>
      <c r="B2878" s="1" t="s">
        <v>333</v>
      </c>
      <c r="C2878" s="1" t="s">
        <v>11</v>
      </c>
      <c r="D2878" s="5">
        <v>45387.0</v>
      </c>
      <c r="G2878" s="1">
        <f>VLOOKUP(B2878,'old-aw-skill-plan'!A:I,7,FALSE)</f>
        <v>6</v>
      </c>
      <c r="H2878" s="1" t="str">
        <f>VLOOKUP(B2878,'old-aw-skill-plan'!A:I,9,FALSE)</f>
        <v>6-3</v>
      </c>
    </row>
    <row r="2879" ht="15.75" customHeight="1">
      <c r="A2879" s="1" t="s">
        <v>266</v>
      </c>
      <c r="B2879" s="1" t="s">
        <v>363</v>
      </c>
      <c r="C2879" s="1" t="s">
        <v>11</v>
      </c>
      <c r="D2879" s="5">
        <v>45386.0</v>
      </c>
      <c r="G2879" s="1">
        <f>VLOOKUP(B2879,'old-aw-skill-plan'!A:I,7,FALSE)</f>
        <v>7</v>
      </c>
      <c r="H2879" s="1" t="str">
        <f>VLOOKUP(B2879,'old-aw-skill-plan'!A:I,9,FALSE)</f>
        <v>7-1</v>
      </c>
    </row>
    <row r="2880" ht="15.75" customHeight="1">
      <c r="A2880" s="1" t="s">
        <v>22</v>
      </c>
      <c r="B2880" s="1" t="s">
        <v>40</v>
      </c>
      <c r="C2880" s="1" t="s">
        <v>11</v>
      </c>
      <c r="D2880" s="5">
        <v>45386.0</v>
      </c>
      <c r="G2880" s="1">
        <f>VLOOKUP(B2880,'old-aw-skill-plan'!A:I,7,FALSE)</f>
        <v>4</v>
      </c>
      <c r="H2880" s="1" t="str">
        <f>VLOOKUP(B2880,'old-aw-skill-plan'!A:I,9,FALSE)</f>
        <v>4-10</v>
      </c>
    </row>
    <row r="2881" ht="15.75" customHeight="1">
      <c r="A2881" s="1" t="s">
        <v>22</v>
      </c>
      <c r="B2881" s="1" t="s">
        <v>384</v>
      </c>
      <c r="C2881" s="1" t="s">
        <v>11</v>
      </c>
      <c r="D2881" s="5">
        <v>45386.0</v>
      </c>
      <c r="G2881" s="1">
        <f>VLOOKUP(B2881,'old-aw-skill-plan'!A:I,7,FALSE)</f>
        <v>7</v>
      </c>
      <c r="H2881" s="1" t="str">
        <f>VLOOKUP(B2881,'old-aw-skill-plan'!A:I,9,FALSE)</f>
        <v>7-2</v>
      </c>
    </row>
    <row r="2882" ht="15.75" customHeight="1">
      <c r="A2882" s="1" t="s">
        <v>22</v>
      </c>
      <c r="B2882" s="1" t="s">
        <v>133</v>
      </c>
      <c r="C2882" s="1" t="s">
        <v>11</v>
      </c>
      <c r="D2882" s="5">
        <v>45386.0</v>
      </c>
      <c r="G2882" s="1">
        <f>VLOOKUP(B2882,'old-aw-skill-plan'!A:I,7,FALSE)</f>
        <v>7</v>
      </c>
      <c r="H2882" s="1" t="str">
        <f>VLOOKUP(B2882,'old-aw-skill-plan'!A:I,9,FALSE)</f>
        <v>7-6</v>
      </c>
    </row>
    <row r="2883" ht="15.75" customHeight="1">
      <c r="A2883" s="1" t="s">
        <v>31</v>
      </c>
      <c r="B2883" s="1" t="s">
        <v>10</v>
      </c>
      <c r="C2883" s="1" t="s">
        <v>11</v>
      </c>
      <c r="D2883" s="5">
        <v>45386.0</v>
      </c>
      <c r="G2883" s="1">
        <f>VLOOKUP(B2883,'old-aw-skill-plan'!A:I,7,FALSE)</f>
        <v>3</v>
      </c>
      <c r="H2883" s="1" t="str">
        <f>VLOOKUP(B2883,'old-aw-skill-plan'!A:I,9,FALSE)</f>
        <v>3-1</v>
      </c>
    </row>
    <row r="2884" ht="15.75" customHeight="1">
      <c r="A2884" s="1" t="s">
        <v>35</v>
      </c>
      <c r="B2884" s="1" t="s">
        <v>113</v>
      </c>
      <c r="C2884" s="1" t="s">
        <v>11</v>
      </c>
      <c r="D2884" s="5">
        <v>45386.0</v>
      </c>
      <c r="G2884" s="1">
        <f>VLOOKUP(B2884,'old-aw-skill-plan'!A:I,7,FALSE)</f>
        <v>7</v>
      </c>
      <c r="H2884" s="1" t="str">
        <f>VLOOKUP(B2884,'old-aw-skill-plan'!A:I,9,FALSE)</f>
        <v>7-7</v>
      </c>
    </row>
    <row r="2885" ht="15.75" customHeight="1">
      <c r="A2885" s="1" t="s">
        <v>35</v>
      </c>
      <c r="B2885" s="1" t="s">
        <v>133</v>
      </c>
      <c r="C2885" s="1" t="s">
        <v>11</v>
      </c>
      <c r="D2885" s="5">
        <v>45386.0</v>
      </c>
      <c r="G2885" s="1">
        <f>VLOOKUP(B2885,'old-aw-skill-plan'!A:I,7,FALSE)</f>
        <v>7</v>
      </c>
      <c r="H2885" s="1" t="str">
        <f>VLOOKUP(B2885,'old-aw-skill-plan'!A:I,9,FALSE)</f>
        <v>7-6</v>
      </c>
    </row>
    <row r="2886" ht="15.75" customHeight="1">
      <c r="A2886" s="1" t="s">
        <v>36</v>
      </c>
      <c r="B2886" s="1" t="s">
        <v>57</v>
      </c>
      <c r="C2886" s="1" t="s">
        <v>11</v>
      </c>
      <c r="D2886" s="5">
        <v>45386.0</v>
      </c>
      <c r="G2886" s="1">
        <f>VLOOKUP(B2886,'old-aw-skill-plan'!A:I,7,FALSE)</f>
        <v>3</v>
      </c>
      <c r="H2886" s="1" t="str">
        <f>VLOOKUP(B2886,'old-aw-skill-plan'!A:I,9,FALSE)</f>
        <v>3-7</v>
      </c>
    </row>
    <row r="2887" ht="15.75" customHeight="1">
      <c r="A2887" s="1" t="s">
        <v>421</v>
      </c>
      <c r="B2887" s="1" t="s">
        <v>83</v>
      </c>
      <c r="C2887" s="1" t="s">
        <v>11</v>
      </c>
      <c r="D2887" s="5">
        <v>45386.0</v>
      </c>
      <c r="G2887" s="1">
        <f>VLOOKUP(B2887,'old-aw-skill-plan'!A:I,7,FALSE)</f>
        <v>5</v>
      </c>
      <c r="H2887" s="1" t="str">
        <f>VLOOKUP(B2887,'old-aw-skill-plan'!A:I,9,FALSE)</f>
        <v>5-9</v>
      </c>
    </row>
    <row r="2888" ht="15.75" customHeight="1">
      <c r="A2888" s="1" t="s">
        <v>428</v>
      </c>
      <c r="B2888" s="1" t="s">
        <v>40</v>
      </c>
      <c r="C2888" s="1" t="s">
        <v>11</v>
      </c>
      <c r="D2888" s="5">
        <v>45386.0</v>
      </c>
      <c r="G2888" s="1">
        <f>VLOOKUP(B2888,'old-aw-skill-plan'!A:I,7,FALSE)</f>
        <v>4</v>
      </c>
      <c r="H2888" s="1" t="str">
        <f>VLOOKUP(B2888,'old-aw-skill-plan'!A:I,9,FALSE)</f>
        <v>4-10</v>
      </c>
    </row>
    <row r="2889" ht="15.75" customHeight="1">
      <c r="A2889" s="1" t="s">
        <v>197</v>
      </c>
      <c r="B2889" s="1" t="s">
        <v>363</v>
      </c>
      <c r="C2889" s="1" t="s">
        <v>11</v>
      </c>
      <c r="D2889" s="5">
        <v>45386.0</v>
      </c>
      <c r="G2889" s="1">
        <f>VLOOKUP(B2889,'old-aw-skill-plan'!A:I,7,FALSE)</f>
        <v>7</v>
      </c>
      <c r="H2889" s="1" t="str">
        <f>VLOOKUP(B2889,'old-aw-skill-plan'!A:I,9,FALSE)</f>
        <v>7-1</v>
      </c>
    </row>
    <row r="2890" ht="15.75" customHeight="1">
      <c r="A2890" s="1" t="s">
        <v>93</v>
      </c>
      <c r="B2890" s="1" t="s">
        <v>117</v>
      </c>
      <c r="C2890" s="1" t="s">
        <v>11</v>
      </c>
      <c r="D2890" s="5">
        <v>45386.0</v>
      </c>
      <c r="G2890" s="1">
        <f>VLOOKUP(B2890,'old-aw-skill-plan'!A:I,7,FALSE)</f>
        <v>3</v>
      </c>
      <c r="H2890" s="1" t="str">
        <f>VLOOKUP(B2890,'old-aw-skill-plan'!A:I,9,FALSE)</f>
        <v>3-11</v>
      </c>
    </row>
    <row r="2891" ht="15.75" customHeight="1">
      <c r="A2891" s="1" t="s">
        <v>94</v>
      </c>
      <c r="B2891" s="1" t="s">
        <v>117</v>
      </c>
      <c r="C2891" s="1" t="s">
        <v>11</v>
      </c>
      <c r="D2891" s="5">
        <v>45386.0</v>
      </c>
      <c r="G2891" s="1">
        <f>VLOOKUP(B2891,'old-aw-skill-plan'!A:I,7,FALSE)</f>
        <v>3</v>
      </c>
      <c r="H2891" s="1" t="str">
        <f>VLOOKUP(B2891,'old-aw-skill-plan'!A:I,9,FALSE)</f>
        <v>3-11</v>
      </c>
    </row>
    <row r="2892" ht="15.75" customHeight="1">
      <c r="A2892" s="1" t="s">
        <v>94</v>
      </c>
      <c r="B2892" s="1" t="s">
        <v>118</v>
      </c>
      <c r="C2892" s="1" t="s">
        <v>11</v>
      </c>
      <c r="D2892" s="5">
        <v>45386.0</v>
      </c>
      <c r="G2892" s="1">
        <f>VLOOKUP(B2892,'old-aw-skill-plan'!A:I,7,FALSE)</f>
        <v>3</v>
      </c>
      <c r="H2892" s="1" t="str">
        <f>VLOOKUP(B2892,'old-aw-skill-plan'!A:I,9,FALSE)</f>
        <v>3-12</v>
      </c>
    </row>
    <row r="2893" ht="15.75" customHeight="1">
      <c r="A2893" s="1" t="s">
        <v>225</v>
      </c>
      <c r="B2893" s="1" t="s">
        <v>133</v>
      </c>
      <c r="C2893" s="1" t="s">
        <v>11</v>
      </c>
      <c r="D2893" s="5">
        <v>45386.0</v>
      </c>
      <c r="G2893" s="1">
        <f>VLOOKUP(B2893,'old-aw-skill-plan'!A:I,7,FALSE)</f>
        <v>7</v>
      </c>
      <c r="H2893" s="1" t="str">
        <f>VLOOKUP(B2893,'old-aw-skill-plan'!A:I,9,FALSE)</f>
        <v>7-6</v>
      </c>
    </row>
    <row r="2894" ht="15.75" customHeight="1">
      <c r="A2894" s="1" t="s">
        <v>427</v>
      </c>
      <c r="B2894" s="1" t="s">
        <v>57</v>
      </c>
      <c r="C2894" s="1" t="s">
        <v>11</v>
      </c>
      <c r="D2894" s="5">
        <v>45386.0</v>
      </c>
      <c r="G2894" s="1">
        <f>VLOOKUP(B2894,'old-aw-skill-plan'!A:I,7,FALSE)</f>
        <v>3</v>
      </c>
      <c r="H2894" s="1" t="str">
        <f>VLOOKUP(B2894,'old-aw-skill-plan'!A:I,9,FALSE)</f>
        <v>3-7</v>
      </c>
    </row>
    <row r="2895" ht="15.75" customHeight="1">
      <c r="A2895" s="1" t="s">
        <v>31</v>
      </c>
      <c r="B2895" s="1" t="s">
        <v>10</v>
      </c>
      <c r="C2895" s="1" t="s">
        <v>11</v>
      </c>
      <c r="D2895" s="5">
        <v>45385.0</v>
      </c>
      <c r="G2895" s="1">
        <f>VLOOKUP(B2895,'old-aw-skill-plan'!A:I,7,FALSE)</f>
        <v>3</v>
      </c>
      <c r="H2895" s="1" t="str">
        <f>VLOOKUP(B2895,'old-aw-skill-plan'!A:I,9,FALSE)</f>
        <v>3-1</v>
      </c>
    </row>
    <row r="2896" ht="15.75" customHeight="1">
      <c r="A2896" s="1" t="s">
        <v>41</v>
      </c>
      <c r="B2896" s="1" t="s">
        <v>58</v>
      </c>
      <c r="C2896" s="1" t="s">
        <v>11</v>
      </c>
      <c r="D2896" s="5">
        <v>45385.0</v>
      </c>
      <c r="G2896" s="1">
        <f>VLOOKUP(B2896,'old-aw-skill-plan'!A:I,7,FALSE)</f>
        <v>3</v>
      </c>
      <c r="H2896" s="1" t="str">
        <f>VLOOKUP(B2896,'old-aw-skill-plan'!A:I,9,FALSE)</f>
        <v>3-8</v>
      </c>
    </row>
    <row r="2897" ht="15.75" customHeight="1">
      <c r="A2897" s="1" t="s">
        <v>24</v>
      </c>
      <c r="B2897" s="1" t="s">
        <v>37</v>
      </c>
      <c r="C2897" s="1" t="s">
        <v>11</v>
      </c>
      <c r="D2897" s="5">
        <v>45385.0</v>
      </c>
      <c r="G2897" s="1">
        <f>VLOOKUP(B2897,'old-aw-skill-plan'!A:I,7,FALSE)</f>
        <v>4</v>
      </c>
      <c r="H2897" s="1" t="str">
        <f>VLOOKUP(B2897,'old-aw-skill-plan'!A:I,9,FALSE)</f>
        <v>4-2</v>
      </c>
    </row>
    <row r="2898" ht="15.75" customHeight="1">
      <c r="A2898" s="1" t="s">
        <v>213</v>
      </c>
      <c r="B2898" s="1" t="s">
        <v>47</v>
      </c>
      <c r="C2898" s="1" t="s">
        <v>11</v>
      </c>
      <c r="D2898" s="5">
        <v>45385.0</v>
      </c>
      <c r="G2898" s="1">
        <f>VLOOKUP(B2898,'old-aw-skill-plan'!A:I,7,FALSE)</f>
        <v>3</v>
      </c>
      <c r="H2898" s="1" t="str">
        <f>VLOOKUP(B2898,'old-aw-skill-plan'!A:I,9,FALSE)</f>
        <v>3-2</v>
      </c>
    </row>
    <row r="2899" ht="15.75" customHeight="1">
      <c r="A2899" s="1" t="s">
        <v>36</v>
      </c>
      <c r="B2899" s="1" t="s">
        <v>48</v>
      </c>
      <c r="C2899" s="1" t="s">
        <v>11</v>
      </c>
      <c r="D2899" s="5">
        <v>45385.0</v>
      </c>
      <c r="G2899" s="1">
        <f>VLOOKUP(B2899,'old-aw-skill-plan'!A:I,7,FALSE)</f>
        <v>3</v>
      </c>
      <c r="H2899" s="1" t="str">
        <f>VLOOKUP(B2899,'old-aw-skill-plan'!A:I,9,FALSE)</f>
        <v>3-6</v>
      </c>
    </row>
    <row r="2900" ht="15.75" customHeight="1">
      <c r="A2900" s="1" t="s">
        <v>36</v>
      </c>
      <c r="B2900" s="1" t="s">
        <v>33</v>
      </c>
      <c r="C2900" s="1" t="s">
        <v>11</v>
      </c>
      <c r="D2900" s="5">
        <v>45385.0</v>
      </c>
      <c r="G2900" s="1">
        <f>VLOOKUP(B2900,'old-aw-skill-plan'!A:I,7,FALSE)</f>
        <v>3</v>
      </c>
      <c r="H2900" s="1" t="str">
        <f>VLOOKUP(B2900,'old-aw-skill-plan'!A:I,9,FALSE)</f>
        <v>3-5</v>
      </c>
    </row>
    <row r="2901" ht="15.75" customHeight="1">
      <c r="A2901" s="1" t="s">
        <v>46</v>
      </c>
      <c r="B2901" s="1" t="s">
        <v>47</v>
      </c>
      <c r="C2901" s="1" t="s">
        <v>11</v>
      </c>
      <c r="D2901" s="5">
        <v>45385.0</v>
      </c>
      <c r="G2901" s="1">
        <f>VLOOKUP(B2901,'old-aw-skill-plan'!A:I,7,FALSE)</f>
        <v>3</v>
      </c>
      <c r="H2901" s="1" t="str">
        <f>VLOOKUP(B2901,'old-aw-skill-plan'!A:I,9,FALSE)</f>
        <v>3-2</v>
      </c>
    </row>
    <row r="2902" ht="15.75" customHeight="1">
      <c r="A2902" s="1" t="s">
        <v>81</v>
      </c>
      <c r="B2902" s="1" t="s">
        <v>40</v>
      </c>
      <c r="C2902" s="1" t="s">
        <v>11</v>
      </c>
      <c r="D2902" s="5">
        <v>45385.0</v>
      </c>
      <c r="G2902" s="1">
        <f>VLOOKUP(B2902,'old-aw-skill-plan'!A:I,7,FALSE)</f>
        <v>4</v>
      </c>
      <c r="H2902" s="1" t="str">
        <f>VLOOKUP(B2902,'old-aw-skill-plan'!A:I,9,FALSE)</f>
        <v>4-10</v>
      </c>
    </row>
    <row r="2903" ht="15.75" customHeight="1">
      <c r="A2903" s="1" t="s">
        <v>81</v>
      </c>
      <c r="B2903" s="1" t="s">
        <v>113</v>
      </c>
      <c r="C2903" s="1" t="s">
        <v>11</v>
      </c>
      <c r="D2903" s="5">
        <v>45385.0</v>
      </c>
      <c r="G2903" s="1">
        <f>VLOOKUP(B2903,'old-aw-skill-plan'!A:I,7,FALSE)</f>
        <v>7</v>
      </c>
      <c r="H2903" s="1" t="str">
        <f>VLOOKUP(B2903,'old-aw-skill-plan'!A:I,9,FALSE)</f>
        <v>7-7</v>
      </c>
    </row>
    <row r="2904" ht="15.75" customHeight="1">
      <c r="A2904" s="1" t="s">
        <v>421</v>
      </c>
      <c r="B2904" s="1" t="s">
        <v>83</v>
      </c>
      <c r="C2904" s="1" t="s">
        <v>11</v>
      </c>
      <c r="D2904" s="5">
        <v>45385.0</v>
      </c>
      <c r="G2904" s="1">
        <f>VLOOKUP(B2904,'old-aw-skill-plan'!A:I,7,FALSE)</f>
        <v>5</v>
      </c>
      <c r="H2904" s="1" t="str">
        <f>VLOOKUP(B2904,'old-aw-skill-plan'!A:I,9,FALSE)</f>
        <v>5-9</v>
      </c>
    </row>
    <row r="2905" ht="15.75" customHeight="1">
      <c r="A2905" s="1" t="s">
        <v>428</v>
      </c>
      <c r="B2905" s="1" t="s">
        <v>40</v>
      </c>
      <c r="C2905" s="1" t="s">
        <v>11</v>
      </c>
      <c r="D2905" s="5">
        <v>45385.0</v>
      </c>
      <c r="G2905" s="1">
        <f>VLOOKUP(B2905,'old-aw-skill-plan'!A:I,7,FALSE)</f>
        <v>4</v>
      </c>
      <c r="H2905" s="1" t="str">
        <f>VLOOKUP(B2905,'old-aw-skill-plan'!A:I,9,FALSE)</f>
        <v>4-10</v>
      </c>
    </row>
    <row r="2906" ht="15.75" customHeight="1">
      <c r="A2906" s="1" t="s">
        <v>95</v>
      </c>
      <c r="B2906" s="1" t="s">
        <v>28</v>
      </c>
      <c r="C2906" s="1" t="s">
        <v>11</v>
      </c>
      <c r="D2906" s="5">
        <v>45385.0</v>
      </c>
      <c r="G2906" s="1">
        <f>VLOOKUP(B2906,'old-aw-skill-plan'!A:I,7,FALSE)</f>
        <v>3</v>
      </c>
      <c r="H2906" s="1" t="str">
        <f>VLOOKUP(B2906,'old-aw-skill-plan'!A:I,9,FALSE)</f>
        <v>3-4</v>
      </c>
    </row>
    <row r="2907" ht="15.75" customHeight="1">
      <c r="A2907" s="1" t="s">
        <v>197</v>
      </c>
      <c r="B2907" s="1" t="s">
        <v>363</v>
      </c>
      <c r="C2907" s="1" t="s">
        <v>11</v>
      </c>
      <c r="D2907" s="5">
        <v>45385.0</v>
      </c>
      <c r="G2907" s="1">
        <f>VLOOKUP(B2907,'old-aw-skill-plan'!A:I,7,FALSE)</f>
        <v>7</v>
      </c>
      <c r="H2907" s="1" t="str">
        <f>VLOOKUP(B2907,'old-aw-skill-plan'!A:I,9,FALSE)</f>
        <v>7-1</v>
      </c>
    </row>
    <row r="2908" ht="15.75" customHeight="1">
      <c r="A2908" s="1" t="s">
        <v>373</v>
      </c>
      <c r="B2908" s="1" t="s">
        <v>10</v>
      </c>
      <c r="C2908" s="1" t="s">
        <v>11</v>
      </c>
      <c r="D2908" s="5">
        <v>45385.0</v>
      </c>
      <c r="G2908" s="1">
        <f>VLOOKUP(B2908,'old-aw-skill-plan'!A:I,7,FALSE)</f>
        <v>3</v>
      </c>
      <c r="H2908" s="1" t="str">
        <f>VLOOKUP(B2908,'old-aw-skill-plan'!A:I,9,FALSE)</f>
        <v>3-1</v>
      </c>
    </row>
    <row r="2909" ht="15.75" customHeight="1">
      <c r="A2909" s="1" t="s">
        <v>373</v>
      </c>
      <c r="B2909" s="1" t="s">
        <v>48</v>
      </c>
      <c r="C2909" s="1" t="s">
        <v>11</v>
      </c>
      <c r="D2909" s="5">
        <v>45385.0</v>
      </c>
      <c r="G2909" s="1">
        <f>VLOOKUP(B2909,'old-aw-skill-plan'!A:I,7,FALSE)</f>
        <v>3</v>
      </c>
      <c r="H2909" s="1" t="str">
        <f>VLOOKUP(B2909,'old-aw-skill-plan'!A:I,9,FALSE)</f>
        <v>3-6</v>
      </c>
    </row>
    <row r="2910" ht="15.75" customHeight="1">
      <c r="A2910" s="1" t="s">
        <v>93</v>
      </c>
      <c r="B2910" s="1" t="s">
        <v>117</v>
      </c>
      <c r="C2910" s="1" t="s">
        <v>11</v>
      </c>
      <c r="D2910" s="5">
        <v>45385.0</v>
      </c>
      <c r="G2910" s="1">
        <f>VLOOKUP(B2910,'old-aw-skill-plan'!A:I,7,FALSE)</f>
        <v>3</v>
      </c>
      <c r="H2910" s="1" t="str">
        <f>VLOOKUP(B2910,'old-aw-skill-plan'!A:I,9,FALSE)</f>
        <v>3-11</v>
      </c>
    </row>
    <row r="2911" ht="15.75" customHeight="1">
      <c r="A2911" s="1" t="s">
        <v>94</v>
      </c>
      <c r="B2911" s="1" t="s">
        <v>117</v>
      </c>
      <c r="C2911" s="1" t="s">
        <v>11</v>
      </c>
      <c r="D2911" s="5">
        <v>45385.0</v>
      </c>
      <c r="G2911" s="1">
        <f>VLOOKUP(B2911,'old-aw-skill-plan'!A:I,7,FALSE)</f>
        <v>3</v>
      </c>
      <c r="H2911" s="1" t="str">
        <f>VLOOKUP(B2911,'old-aw-skill-plan'!A:I,9,FALSE)</f>
        <v>3-11</v>
      </c>
    </row>
    <row r="2912" ht="15.75" customHeight="1">
      <c r="A2912" s="1" t="s">
        <v>427</v>
      </c>
      <c r="B2912" s="1" t="s">
        <v>57</v>
      </c>
      <c r="C2912" s="1" t="s">
        <v>11</v>
      </c>
      <c r="D2912" s="5">
        <v>45385.0</v>
      </c>
      <c r="G2912" s="1">
        <f>VLOOKUP(B2912,'old-aw-skill-plan'!A:I,7,FALSE)</f>
        <v>3</v>
      </c>
      <c r="H2912" s="1" t="str">
        <f>VLOOKUP(B2912,'old-aw-skill-plan'!A:I,9,FALSE)</f>
        <v>3-7</v>
      </c>
    </row>
    <row r="2913" ht="15.75" customHeight="1">
      <c r="A2913" s="1" t="s">
        <v>427</v>
      </c>
      <c r="B2913" s="1" t="s">
        <v>48</v>
      </c>
      <c r="C2913" s="1" t="s">
        <v>11</v>
      </c>
      <c r="D2913" s="5">
        <v>45385.0</v>
      </c>
      <c r="G2913" s="1">
        <f>VLOOKUP(B2913,'old-aw-skill-plan'!A:I,7,FALSE)</f>
        <v>3</v>
      </c>
      <c r="H2913" s="1" t="str">
        <f>VLOOKUP(B2913,'old-aw-skill-plan'!A:I,9,FALSE)</f>
        <v>3-6</v>
      </c>
    </row>
    <row r="2914" ht="15.75" customHeight="1">
      <c r="A2914" s="1" t="s">
        <v>110</v>
      </c>
      <c r="B2914" s="1" t="s">
        <v>10</v>
      </c>
      <c r="C2914" s="1" t="s">
        <v>11</v>
      </c>
      <c r="D2914" s="5">
        <v>45385.0</v>
      </c>
      <c r="G2914" s="1">
        <f>VLOOKUP(B2914,'old-aw-skill-plan'!A:I,7,FALSE)</f>
        <v>3</v>
      </c>
      <c r="H2914" s="1" t="str">
        <f>VLOOKUP(B2914,'old-aw-skill-plan'!A:I,9,FALSE)</f>
        <v>3-1</v>
      </c>
    </row>
    <row r="2915" ht="15.75" customHeight="1">
      <c r="A2915" s="1" t="s">
        <v>216</v>
      </c>
      <c r="B2915" s="1" t="s">
        <v>23</v>
      </c>
      <c r="C2915" s="1" t="s">
        <v>11</v>
      </c>
      <c r="D2915" s="5">
        <v>45384.0</v>
      </c>
      <c r="G2915" s="1">
        <f>VLOOKUP(B2915,'old-aw-skill-plan'!A:I,7,FALSE)</f>
        <v>4</v>
      </c>
      <c r="H2915" s="1" t="str">
        <f>VLOOKUP(B2915,'old-aw-skill-plan'!A:I,9,FALSE)</f>
        <v>4-5</v>
      </c>
    </row>
    <row r="2916" ht="15.75" customHeight="1">
      <c r="A2916" s="1" t="s">
        <v>41</v>
      </c>
      <c r="B2916" s="1" t="s">
        <v>58</v>
      </c>
      <c r="C2916" s="1" t="s">
        <v>11</v>
      </c>
      <c r="D2916" s="5">
        <v>45384.0</v>
      </c>
      <c r="G2916" s="1">
        <f>VLOOKUP(B2916,'old-aw-skill-plan'!A:I,7,FALSE)</f>
        <v>3</v>
      </c>
      <c r="H2916" s="1" t="str">
        <f>VLOOKUP(B2916,'old-aw-skill-plan'!A:I,9,FALSE)</f>
        <v>3-8</v>
      </c>
    </row>
    <row r="2917" ht="15.75" customHeight="1">
      <c r="A2917" s="1" t="s">
        <v>213</v>
      </c>
      <c r="B2917" s="1" t="s">
        <v>10</v>
      </c>
      <c r="C2917" s="1" t="s">
        <v>11</v>
      </c>
      <c r="D2917" s="5">
        <v>45384.0</v>
      </c>
      <c r="G2917" s="1">
        <f>VLOOKUP(B2917,'old-aw-skill-plan'!A:I,7,FALSE)</f>
        <v>3</v>
      </c>
      <c r="H2917" s="1" t="str">
        <f>VLOOKUP(B2917,'old-aw-skill-plan'!A:I,9,FALSE)</f>
        <v>3-1</v>
      </c>
    </row>
    <row r="2918" ht="15.75" customHeight="1">
      <c r="A2918" s="1" t="s">
        <v>36</v>
      </c>
      <c r="B2918" s="1" t="s">
        <v>33</v>
      </c>
      <c r="C2918" s="1" t="s">
        <v>11</v>
      </c>
      <c r="D2918" s="5">
        <v>45384.0</v>
      </c>
      <c r="G2918" s="1">
        <f>VLOOKUP(B2918,'old-aw-skill-plan'!A:I,7,FALSE)</f>
        <v>3</v>
      </c>
      <c r="H2918" s="1" t="str">
        <f>VLOOKUP(B2918,'old-aw-skill-plan'!A:I,9,FALSE)</f>
        <v>3-5</v>
      </c>
    </row>
    <row r="2919" ht="15.75" customHeight="1">
      <c r="A2919" s="1" t="s">
        <v>56</v>
      </c>
      <c r="B2919" s="1" t="s">
        <v>28</v>
      </c>
      <c r="C2919" s="1" t="s">
        <v>11</v>
      </c>
      <c r="D2919" s="5">
        <v>45384.0</v>
      </c>
      <c r="G2919" s="1">
        <f>VLOOKUP(B2919,'old-aw-skill-plan'!A:I,7,FALSE)</f>
        <v>3</v>
      </c>
      <c r="H2919" s="1" t="str">
        <f>VLOOKUP(B2919,'old-aw-skill-plan'!A:I,9,FALSE)</f>
        <v>3-4</v>
      </c>
    </row>
    <row r="2920" ht="15.75" customHeight="1">
      <c r="A2920" s="1" t="s">
        <v>421</v>
      </c>
      <c r="B2920" s="1" t="s">
        <v>85</v>
      </c>
      <c r="C2920" s="1" t="s">
        <v>11</v>
      </c>
      <c r="D2920" s="5">
        <v>45384.0</v>
      </c>
      <c r="G2920" s="1">
        <f>VLOOKUP(B2920,'old-aw-skill-plan'!A:I,7,FALSE)</f>
        <v>5</v>
      </c>
      <c r="H2920" s="1" t="str">
        <f>VLOOKUP(B2920,'old-aw-skill-plan'!A:I,9,FALSE)</f>
        <v>5-8</v>
      </c>
    </row>
    <row r="2921" ht="15.75" customHeight="1">
      <c r="A2921" s="1" t="s">
        <v>420</v>
      </c>
      <c r="B2921" s="1" t="s">
        <v>91</v>
      </c>
      <c r="C2921" s="1" t="s">
        <v>11</v>
      </c>
      <c r="D2921" s="5">
        <v>45384.0</v>
      </c>
      <c r="G2921" s="1">
        <f>VLOOKUP(B2921,'old-aw-skill-plan'!A:I,7,FALSE)</f>
        <v>6</v>
      </c>
      <c r="H2921" s="1" t="str">
        <f>VLOOKUP(B2921,'old-aw-skill-plan'!A:I,9,FALSE)</f>
        <v>6-1</v>
      </c>
    </row>
    <row r="2922" ht="15.75" customHeight="1">
      <c r="A2922" s="1" t="s">
        <v>95</v>
      </c>
      <c r="B2922" s="1" t="s">
        <v>33</v>
      </c>
      <c r="C2922" s="1" t="s">
        <v>11</v>
      </c>
      <c r="D2922" s="5">
        <v>45384.0</v>
      </c>
      <c r="G2922" s="1">
        <f>VLOOKUP(B2922,'old-aw-skill-plan'!A:I,7,FALSE)</f>
        <v>3</v>
      </c>
      <c r="H2922" s="1" t="str">
        <f>VLOOKUP(B2922,'old-aw-skill-plan'!A:I,9,FALSE)</f>
        <v>3-5</v>
      </c>
    </row>
    <row r="2923" ht="15.75" customHeight="1">
      <c r="A2923" s="1" t="s">
        <v>197</v>
      </c>
      <c r="B2923" s="1" t="s">
        <v>363</v>
      </c>
      <c r="C2923" s="1" t="s">
        <v>11</v>
      </c>
      <c r="D2923" s="5">
        <v>45384.0</v>
      </c>
      <c r="G2923" s="1">
        <f>VLOOKUP(B2923,'old-aw-skill-plan'!A:I,7,FALSE)</f>
        <v>7</v>
      </c>
      <c r="H2923" s="1" t="str">
        <f>VLOOKUP(B2923,'old-aw-skill-plan'!A:I,9,FALSE)</f>
        <v>7-1</v>
      </c>
    </row>
    <row r="2924" ht="15.75" customHeight="1">
      <c r="A2924" s="1" t="s">
        <v>373</v>
      </c>
      <c r="B2924" s="1" t="s">
        <v>10</v>
      </c>
      <c r="C2924" s="1" t="s">
        <v>11</v>
      </c>
      <c r="D2924" s="5">
        <v>45384.0</v>
      </c>
      <c r="G2924" s="1">
        <f>VLOOKUP(B2924,'old-aw-skill-plan'!A:I,7,FALSE)</f>
        <v>3</v>
      </c>
      <c r="H2924" s="1" t="str">
        <f>VLOOKUP(B2924,'old-aw-skill-plan'!A:I,9,FALSE)</f>
        <v>3-1</v>
      </c>
    </row>
    <row r="2925" ht="15.75" customHeight="1">
      <c r="A2925" s="1" t="s">
        <v>427</v>
      </c>
      <c r="B2925" s="1" t="s">
        <v>48</v>
      </c>
      <c r="C2925" s="1" t="s">
        <v>11</v>
      </c>
      <c r="D2925" s="5">
        <v>45384.0</v>
      </c>
      <c r="G2925" s="1">
        <f>VLOOKUP(B2925,'old-aw-skill-plan'!A:I,7,FALSE)</f>
        <v>3</v>
      </c>
      <c r="H2925" s="1" t="str">
        <f>VLOOKUP(B2925,'old-aw-skill-plan'!A:I,9,FALSE)</f>
        <v>3-6</v>
      </c>
    </row>
    <row r="2926" ht="15.75" customHeight="1">
      <c r="A2926" s="1" t="s">
        <v>31</v>
      </c>
      <c r="B2926" s="1" t="s">
        <v>10</v>
      </c>
      <c r="C2926" s="1" t="s">
        <v>11</v>
      </c>
      <c r="D2926" s="5">
        <v>45383.0</v>
      </c>
      <c r="G2926" s="1">
        <f>VLOOKUP(B2926,'old-aw-skill-plan'!A:I,7,FALSE)</f>
        <v>3</v>
      </c>
      <c r="H2926" s="1" t="str">
        <f>VLOOKUP(B2926,'old-aw-skill-plan'!A:I,9,FALSE)</f>
        <v>3-1</v>
      </c>
    </row>
    <row r="2927" ht="15.75" customHeight="1">
      <c r="A2927" s="1" t="s">
        <v>41</v>
      </c>
      <c r="B2927" s="1" t="s">
        <v>58</v>
      </c>
      <c r="C2927" s="1" t="s">
        <v>11</v>
      </c>
      <c r="D2927" s="5">
        <v>45383.0</v>
      </c>
      <c r="G2927" s="1">
        <f>VLOOKUP(B2927,'old-aw-skill-plan'!A:I,7,FALSE)</f>
        <v>3</v>
      </c>
      <c r="H2927" s="1" t="str">
        <f>VLOOKUP(B2927,'old-aw-skill-plan'!A:I,9,FALSE)</f>
        <v>3-8</v>
      </c>
    </row>
    <row r="2928" ht="15.75" customHeight="1">
      <c r="A2928" s="1" t="s">
        <v>24</v>
      </c>
      <c r="B2928" s="1" t="s">
        <v>37</v>
      </c>
      <c r="C2928" s="1" t="s">
        <v>11</v>
      </c>
      <c r="D2928" s="5">
        <v>45383.0</v>
      </c>
      <c r="G2928" s="1">
        <f>VLOOKUP(B2928,'old-aw-skill-plan'!A:I,7,FALSE)</f>
        <v>4</v>
      </c>
      <c r="H2928" s="1" t="str">
        <f>VLOOKUP(B2928,'old-aw-skill-plan'!A:I,9,FALSE)</f>
        <v>4-2</v>
      </c>
    </row>
    <row r="2929" ht="15.75" customHeight="1">
      <c r="A2929" s="1" t="s">
        <v>421</v>
      </c>
      <c r="B2929" s="1" t="s">
        <v>85</v>
      </c>
      <c r="C2929" s="1" t="s">
        <v>11</v>
      </c>
      <c r="D2929" s="5">
        <v>45383.0</v>
      </c>
      <c r="G2929" s="1">
        <f>VLOOKUP(B2929,'old-aw-skill-plan'!A:I,7,FALSE)</f>
        <v>5</v>
      </c>
      <c r="H2929" s="1" t="str">
        <f>VLOOKUP(B2929,'old-aw-skill-plan'!A:I,9,FALSE)</f>
        <v>5-8</v>
      </c>
    </row>
    <row r="2930" ht="15.75" customHeight="1">
      <c r="A2930" s="1" t="s">
        <v>428</v>
      </c>
      <c r="B2930" s="1" t="s">
        <v>40</v>
      </c>
      <c r="C2930" s="1" t="s">
        <v>11</v>
      </c>
      <c r="D2930" s="5">
        <v>45383.0</v>
      </c>
      <c r="G2930" s="1">
        <f>VLOOKUP(B2930,'old-aw-skill-plan'!A:I,7,FALSE)</f>
        <v>4</v>
      </c>
      <c r="H2930" s="1" t="str">
        <f>VLOOKUP(B2930,'old-aw-skill-plan'!A:I,9,FALSE)</f>
        <v>4-10</v>
      </c>
    </row>
    <row r="2931" ht="15.75" customHeight="1">
      <c r="A2931" s="1" t="s">
        <v>93</v>
      </c>
      <c r="B2931" s="1" t="s">
        <v>117</v>
      </c>
      <c r="C2931" s="1" t="s">
        <v>11</v>
      </c>
      <c r="D2931" s="5">
        <v>45383.0</v>
      </c>
      <c r="G2931" s="1">
        <f>VLOOKUP(B2931,'old-aw-skill-plan'!A:I,7,FALSE)</f>
        <v>3</v>
      </c>
      <c r="H2931" s="1" t="str">
        <f>VLOOKUP(B2931,'old-aw-skill-plan'!A:I,9,FALSE)</f>
        <v>3-11</v>
      </c>
    </row>
    <row r="2932" ht="15.75" customHeight="1">
      <c r="A2932" s="1" t="s">
        <v>94</v>
      </c>
      <c r="B2932" s="1" t="s">
        <v>117</v>
      </c>
      <c r="C2932" s="1" t="s">
        <v>11</v>
      </c>
      <c r="D2932" s="5">
        <v>45383.0</v>
      </c>
      <c r="G2932" s="1">
        <f>VLOOKUP(B2932,'old-aw-skill-plan'!A:I,7,FALSE)</f>
        <v>3</v>
      </c>
      <c r="H2932" s="1" t="str">
        <f>VLOOKUP(B2932,'old-aw-skill-plan'!A:I,9,FALSE)</f>
        <v>3-11</v>
      </c>
    </row>
    <row r="2933" ht="15.75" customHeight="1">
      <c r="A2933" s="1" t="s">
        <v>427</v>
      </c>
      <c r="B2933" s="1" t="s">
        <v>33</v>
      </c>
      <c r="C2933" s="1" t="s">
        <v>11</v>
      </c>
      <c r="D2933" s="5">
        <v>45383.0</v>
      </c>
      <c r="G2933" s="1">
        <f>VLOOKUP(B2933,'old-aw-skill-plan'!A:I,7,FALSE)</f>
        <v>3</v>
      </c>
      <c r="H2933" s="1" t="str">
        <f>VLOOKUP(B2933,'old-aw-skill-plan'!A:I,9,FALSE)</f>
        <v>3-5</v>
      </c>
    </row>
    <row r="2934" ht="15.75" customHeight="1">
      <c r="A2934" s="1" t="s">
        <v>60</v>
      </c>
      <c r="B2934" s="1" t="s">
        <v>61</v>
      </c>
      <c r="C2934" s="1" t="s">
        <v>11</v>
      </c>
      <c r="D2934" s="5">
        <v>45381.0</v>
      </c>
      <c r="G2934" s="1">
        <f>VLOOKUP(B2934,'old-aw-skill-plan'!A:I,7,FALSE)</f>
        <v>4</v>
      </c>
      <c r="H2934" s="1" t="str">
        <f>VLOOKUP(B2934,'old-aw-skill-plan'!A:I,9,FALSE)</f>
        <v>4-4</v>
      </c>
    </row>
    <row r="2935" ht="15.75" customHeight="1">
      <c r="A2935" s="1" t="s">
        <v>31</v>
      </c>
      <c r="B2935" s="1" t="s">
        <v>10</v>
      </c>
      <c r="C2935" s="1" t="s">
        <v>11</v>
      </c>
      <c r="D2935" s="5">
        <v>45379.0</v>
      </c>
      <c r="G2935" s="1">
        <f>VLOOKUP(B2935,'old-aw-skill-plan'!A:I,7,FALSE)</f>
        <v>3</v>
      </c>
      <c r="H2935" s="1" t="str">
        <f>VLOOKUP(B2935,'old-aw-skill-plan'!A:I,9,FALSE)</f>
        <v>3-1</v>
      </c>
    </row>
    <row r="2936" ht="15.75" customHeight="1">
      <c r="A2936" s="1" t="s">
        <v>24</v>
      </c>
      <c r="B2936" s="1" t="s">
        <v>66</v>
      </c>
      <c r="C2936" s="1" t="s">
        <v>11</v>
      </c>
      <c r="D2936" s="5">
        <v>45379.0</v>
      </c>
      <c r="G2936" s="1">
        <f>VLOOKUP(B2936,'old-aw-skill-plan'!A:I,7,FALSE)</f>
        <v>4</v>
      </c>
      <c r="H2936" s="1" t="str">
        <f>VLOOKUP(B2936,'old-aw-skill-plan'!A:I,9,FALSE)</f>
        <v>4-9</v>
      </c>
    </row>
    <row r="2937" ht="15.75" customHeight="1">
      <c r="A2937" s="1" t="s">
        <v>24</v>
      </c>
      <c r="B2937" s="1" t="s">
        <v>42</v>
      </c>
      <c r="C2937" s="1" t="s">
        <v>11</v>
      </c>
      <c r="D2937" s="5">
        <v>45379.0</v>
      </c>
      <c r="G2937" s="1">
        <f>VLOOKUP(B2937,'old-aw-skill-plan'!A:I,7,FALSE)</f>
        <v>4</v>
      </c>
      <c r="H2937" s="1" t="str">
        <f>VLOOKUP(B2937,'old-aw-skill-plan'!A:I,9,FALSE)</f>
        <v>4-11</v>
      </c>
    </row>
    <row r="2938" ht="15.75" customHeight="1">
      <c r="A2938" s="1" t="s">
        <v>24</v>
      </c>
      <c r="B2938" s="1" t="s">
        <v>37</v>
      </c>
      <c r="C2938" s="1" t="s">
        <v>11</v>
      </c>
      <c r="D2938" s="5">
        <v>45379.0</v>
      </c>
      <c r="G2938" s="1">
        <f>VLOOKUP(B2938,'old-aw-skill-plan'!A:I,7,FALSE)</f>
        <v>4</v>
      </c>
      <c r="H2938" s="1" t="str">
        <f>VLOOKUP(B2938,'old-aw-skill-plan'!A:I,9,FALSE)</f>
        <v>4-2</v>
      </c>
    </row>
    <row r="2939" ht="15.75" customHeight="1">
      <c r="A2939" s="1" t="s">
        <v>213</v>
      </c>
      <c r="B2939" s="1" t="s">
        <v>10</v>
      </c>
      <c r="C2939" s="1" t="s">
        <v>11</v>
      </c>
      <c r="D2939" s="5">
        <v>45379.0</v>
      </c>
      <c r="G2939" s="1">
        <f>VLOOKUP(B2939,'old-aw-skill-plan'!A:I,7,FALSE)</f>
        <v>3</v>
      </c>
      <c r="H2939" s="1" t="str">
        <f>VLOOKUP(B2939,'old-aw-skill-plan'!A:I,9,FALSE)</f>
        <v>3-1</v>
      </c>
    </row>
    <row r="2940" ht="15.75" customHeight="1">
      <c r="A2940" s="1" t="s">
        <v>213</v>
      </c>
      <c r="B2940" s="1" t="s">
        <v>47</v>
      </c>
      <c r="C2940" s="1" t="s">
        <v>11</v>
      </c>
      <c r="D2940" s="5">
        <v>45379.0</v>
      </c>
      <c r="G2940" s="1">
        <f>VLOOKUP(B2940,'old-aw-skill-plan'!A:I,7,FALSE)</f>
        <v>3</v>
      </c>
      <c r="H2940" s="1" t="str">
        <f>VLOOKUP(B2940,'old-aw-skill-plan'!A:I,9,FALSE)</f>
        <v>3-2</v>
      </c>
    </row>
    <row r="2941" ht="15.75" customHeight="1">
      <c r="A2941" s="1" t="s">
        <v>46</v>
      </c>
      <c r="B2941" s="1" t="s">
        <v>47</v>
      </c>
      <c r="C2941" s="1" t="s">
        <v>11</v>
      </c>
      <c r="D2941" s="5">
        <v>45379.0</v>
      </c>
      <c r="G2941" s="1">
        <f>VLOOKUP(B2941,'old-aw-skill-plan'!A:I,7,FALSE)</f>
        <v>3</v>
      </c>
      <c r="H2941" s="1" t="str">
        <f>VLOOKUP(B2941,'old-aw-skill-plan'!A:I,9,FALSE)</f>
        <v>3-2</v>
      </c>
    </row>
    <row r="2942" ht="15.75" customHeight="1">
      <c r="A2942" s="1" t="s">
        <v>421</v>
      </c>
      <c r="B2942" s="1" t="s">
        <v>104</v>
      </c>
      <c r="C2942" s="1" t="s">
        <v>11</v>
      </c>
      <c r="D2942" s="5">
        <v>45379.0</v>
      </c>
      <c r="G2942" s="1">
        <f>VLOOKUP(B2942,'old-aw-skill-plan'!A:I,7,FALSE)</f>
        <v>5</v>
      </c>
      <c r="H2942" s="1" t="str">
        <f>VLOOKUP(B2942,'old-aw-skill-plan'!A:I,9,FALSE)</f>
        <v>5-2</v>
      </c>
    </row>
    <row r="2943" ht="15.75" customHeight="1">
      <c r="A2943" s="1" t="s">
        <v>421</v>
      </c>
      <c r="B2943" s="1" t="s">
        <v>85</v>
      </c>
      <c r="C2943" s="1" t="s">
        <v>11</v>
      </c>
      <c r="D2943" s="5">
        <v>45379.0</v>
      </c>
      <c r="G2943" s="1">
        <f>VLOOKUP(B2943,'old-aw-skill-plan'!A:I,7,FALSE)</f>
        <v>5</v>
      </c>
      <c r="H2943" s="1" t="str">
        <f>VLOOKUP(B2943,'old-aw-skill-plan'!A:I,9,FALSE)</f>
        <v>5-8</v>
      </c>
    </row>
    <row r="2944" ht="15.75" customHeight="1">
      <c r="A2944" s="1" t="s">
        <v>428</v>
      </c>
      <c r="B2944" s="1" t="s">
        <v>40</v>
      </c>
      <c r="C2944" s="1" t="s">
        <v>11</v>
      </c>
      <c r="D2944" s="5">
        <v>45379.0</v>
      </c>
      <c r="G2944" s="1">
        <f>VLOOKUP(B2944,'old-aw-skill-plan'!A:I,7,FALSE)</f>
        <v>4</v>
      </c>
      <c r="H2944" s="1" t="str">
        <f>VLOOKUP(B2944,'old-aw-skill-plan'!A:I,9,FALSE)</f>
        <v>4-10</v>
      </c>
    </row>
    <row r="2945" ht="15.75" customHeight="1">
      <c r="A2945" s="1" t="s">
        <v>95</v>
      </c>
      <c r="B2945" s="1" t="s">
        <v>91</v>
      </c>
      <c r="C2945" s="1" t="s">
        <v>11</v>
      </c>
      <c r="D2945" s="5">
        <v>45379.0</v>
      </c>
      <c r="G2945" s="1">
        <f>VLOOKUP(B2945,'old-aw-skill-plan'!A:I,7,FALSE)</f>
        <v>6</v>
      </c>
      <c r="H2945" s="1" t="str">
        <f>VLOOKUP(B2945,'old-aw-skill-plan'!A:I,9,FALSE)</f>
        <v>6-1</v>
      </c>
    </row>
    <row r="2946" ht="15.75" customHeight="1">
      <c r="A2946" s="1" t="s">
        <v>211</v>
      </c>
      <c r="B2946" s="1" t="s">
        <v>48</v>
      </c>
      <c r="C2946" s="1" t="s">
        <v>11</v>
      </c>
      <c r="D2946" s="5">
        <v>45379.0</v>
      </c>
      <c r="G2946" s="1">
        <f>VLOOKUP(B2946,'old-aw-skill-plan'!A:I,7,FALSE)</f>
        <v>3</v>
      </c>
      <c r="H2946" s="1" t="str">
        <f>VLOOKUP(B2946,'old-aw-skill-plan'!A:I,9,FALSE)</f>
        <v>3-6</v>
      </c>
    </row>
    <row r="2947" ht="15.75" customHeight="1">
      <c r="A2947" s="1" t="s">
        <v>197</v>
      </c>
      <c r="B2947" s="1" t="s">
        <v>363</v>
      </c>
      <c r="C2947" s="1" t="s">
        <v>11</v>
      </c>
      <c r="D2947" s="5">
        <v>45379.0</v>
      </c>
      <c r="G2947" s="1">
        <f>VLOOKUP(B2947,'old-aw-skill-plan'!A:I,7,FALSE)</f>
        <v>7</v>
      </c>
      <c r="H2947" s="1" t="str">
        <f>VLOOKUP(B2947,'old-aw-skill-plan'!A:I,9,FALSE)</f>
        <v>7-1</v>
      </c>
    </row>
    <row r="2948" ht="15.75" customHeight="1">
      <c r="A2948" s="1" t="s">
        <v>373</v>
      </c>
      <c r="B2948" s="1" t="s">
        <v>10</v>
      </c>
      <c r="C2948" s="1" t="s">
        <v>11</v>
      </c>
      <c r="D2948" s="5">
        <v>45379.0</v>
      </c>
      <c r="G2948" s="1">
        <f>VLOOKUP(B2948,'old-aw-skill-plan'!A:I,7,FALSE)</f>
        <v>3</v>
      </c>
      <c r="H2948" s="1" t="str">
        <f>VLOOKUP(B2948,'old-aw-skill-plan'!A:I,9,FALSE)</f>
        <v>3-1</v>
      </c>
    </row>
    <row r="2949" ht="15.75" customHeight="1">
      <c r="A2949" s="1" t="s">
        <v>93</v>
      </c>
      <c r="B2949" s="1" t="s">
        <v>117</v>
      </c>
      <c r="C2949" s="1" t="s">
        <v>11</v>
      </c>
      <c r="D2949" s="5">
        <v>45379.0</v>
      </c>
      <c r="G2949" s="1">
        <f>VLOOKUP(B2949,'old-aw-skill-plan'!A:I,7,FALSE)</f>
        <v>3</v>
      </c>
      <c r="H2949" s="1" t="str">
        <f>VLOOKUP(B2949,'old-aw-skill-plan'!A:I,9,FALSE)</f>
        <v>3-11</v>
      </c>
    </row>
    <row r="2950" ht="15.75" customHeight="1">
      <c r="A2950" s="1" t="s">
        <v>94</v>
      </c>
      <c r="B2950" s="1" t="s">
        <v>117</v>
      </c>
      <c r="C2950" s="1" t="s">
        <v>11</v>
      </c>
      <c r="D2950" s="5">
        <v>45379.0</v>
      </c>
      <c r="G2950" s="1">
        <f>VLOOKUP(B2950,'old-aw-skill-plan'!A:I,7,FALSE)</f>
        <v>3</v>
      </c>
      <c r="H2950" s="1" t="str">
        <f>VLOOKUP(B2950,'old-aw-skill-plan'!A:I,9,FALSE)</f>
        <v>3-11</v>
      </c>
    </row>
    <row r="2951" ht="15.75" customHeight="1">
      <c r="A2951" s="1" t="s">
        <v>427</v>
      </c>
      <c r="B2951" s="1" t="s">
        <v>33</v>
      </c>
      <c r="C2951" s="1" t="s">
        <v>11</v>
      </c>
      <c r="D2951" s="5">
        <v>45379.0</v>
      </c>
      <c r="G2951" s="1">
        <f>VLOOKUP(B2951,'old-aw-skill-plan'!A:I,7,FALSE)</f>
        <v>3</v>
      </c>
      <c r="H2951" s="1" t="str">
        <f>VLOOKUP(B2951,'old-aw-skill-plan'!A:I,9,FALSE)</f>
        <v>3-5</v>
      </c>
    </row>
    <row r="2952" ht="15.75" customHeight="1">
      <c r="A2952" s="1" t="s">
        <v>110</v>
      </c>
      <c r="B2952" s="1" t="s">
        <v>10</v>
      </c>
      <c r="C2952" s="1" t="s">
        <v>11</v>
      </c>
      <c r="D2952" s="5">
        <v>45379.0</v>
      </c>
      <c r="G2952" s="1">
        <f>VLOOKUP(B2952,'old-aw-skill-plan'!A:I,7,FALSE)</f>
        <v>3</v>
      </c>
      <c r="H2952" s="1" t="str">
        <f>VLOOKUP(B2952,'old-aw-skill-plan'!A:I,9,FALSE)</f>
        <v>3-1</v>
      </c>
    </row>
    <row r="2953" ht="15.75" customHeight="1">
      <c r="A2953" s="1" t="s">
        <v>22</v>
      </c>
      <c r="B2953" s="1" t="s">
        <v>141</v>
      </c>
      <c r="C2953" s="1" t="s">
        <v>11</v>
      </c>
      <c r="D2953" s="5">
        <v>45378.0</v>
      </c>
      <c r="G2953" s="1">
        <f>VLOOKUP(B2953,'old-aw-skill-plan'!A:I,7,FALSE)</f>
        <v>7</v>
      </c>
      <c r="H2953" s="1" t="str">
        <f>VLOOKUP(B2953,'old-aw-skill-plan'!A:I,9,FALSE)</f>
        <v>7-4</v>
      </c>
    </row>
    <row r="2954" ht="15.75" customHeight="1">
      <c r="A2954" s="1" t="s">
        <v>41</v>
      </c>
      <c r="B2954" s="1" t="s">
        <v>58</v>
      </c>
      <c r="C2954" s="1" t="s">
        <v>11</v>
      </c>
      <c r="D2954" s="5">
        <v>45378.0</v>
      </c>
      <c r="G2954" s="1">
        <f>VLOOKUP(B2954,'old-aw-skill-plan'!A:I,7,FALSE)</f>
        <v>3</v>
      </c>
      <c r="H2954" s="1" t="str">
        <f>VLOOKUP(B2954,'old-aw-skill-plan'!A:I,9,FALSE)</f>
        <v>3-8</v>
      </c>
    </row>
    <row r="2955" ht="15.75" customHeight="1">
      <c r="A2955" s="1" t="s">
        <v>24</v>
      </c>
      <c r="B2955" s="1" t="s">
        <v>37</v>
      </c>
      <c r="C2955" s="1" t="s">
        <v>11</v>
      </c>
      <c r="D2955" s="5">
        <v>45378.0</v>
      </c>
      <c r="G2955" s="1">
        <f>VLOOKUP(B2955,'old-aw-skill-plan'!A:I,7,FALSE)</f>
        <v>4</v>
      </c>
      <c r="H2955" s="1" t="str">
        <f>VLOOKUP(B2955,'old-aw-skill-plan'!A:I,9,FALSE)</f>
        <v>4-2</v>
      </c>
    </row>
    <row r="2956" ht="15.75" customHeight="1">
      <c r="A2956" s="1" t="s">
        <v>237</v>
      </c>
      <c r="B2956" s="1" t="s">
        <v>58</v>
      </c>
      <c r="C2956" s="1" t="s">
        <v>11</v>
      </c>
      <c r="D2956" s="5">
        <v>45378.0</v>
      </c>
      <c r="G2956" s="1">
        <f>VLOOKUP(B2956,'old-aw-skill-plan'!A:I,7,FALSE)</f>
        <v>3</v>
      </c>
      <c r="H2956" s="1" t="str">
        <f>VLOOKUP(B2956,'old-aw-skill-plan'!A:I,9,FALSE)</f>
        <v>3-8</v>
      </c>
    </row>
    <row r="2957" ht="15.75" customHeight="1">
      <c r="A2957" s="1" t="s">
        <v>230</v>
      </c>
      <c r="B2957" s="1" t="s">
        <v>10</v>
      </c>
      <c r="C2957" s="1" t="s">
        <v>11</v>
      </c>
      <c r="D2957" s="5">
        <v>45378.0</v>
      </c>
      <c r="G2957" s="1">
        <f>VLOOKUP(B2957,'old-aw-skill-plan'!A:I,7,FALSE)</f>
        <v>3</v>
      </c>
      <c r="H2957" s="1" t="str">
        <f>VLOOKUP(B2957,'old-aw-skill-plan'!A:I,9,FALSE)</f>
        <v>3-1</v>
      </c>
    </row>
    <row r="2958" ht="15.75" customHeight="1">
      <c r="A2958" s="1" t="s">
        <v>230</v>
      </c>
      <c r="B2958" s="1" t="s">
        <v>335</v>
      </c>
      <c r="C2958" s="1" t="s">
        <v>11</v>
      </c>
      <c r="D2958" s="5">
        <v>45378.0</v>
      </c>
      <c r="G2958" s="1">
        <f>VLOOKUP(B2958,'old-aw-skill-plan'!A:I,7,FALSE)</f>
        <v>6</v>
      </c>
      <c r="H2958" s="1" t="str">
        <f>VLOOKUP(B2958,'old-aw-skill-plan'!A:I,9,FALSE)</f>
        <v>6-2</v>
      </c>
    </row>
    <row r="2959" ht="15.75" customHeight="1">
      <c r="A2959" s="1" t="s">
        <v>65</v>
      </c>
      <c r="B2959" s="1" t="s">
        <v>34</v>
      </c>
      <c r="C2959" s="1" t="s">
        <v>11</v>
      </c>
      <c r="D2959" s="5">
        <v>45378.0</v>
      </c>
      <c r="G2959" s="1">
        <f>VLOOKUP(B2959,'old-aw-skill-plan'!A:I,7,FALSE)</f>
        <v>4</v>
      </c>
      <c r="H2959" s="1" t="str">
        <f>VLOOKUP(B2959,'old-aw-skill-plan'!A:I,9,FALSE)</f>
        <v>4-1</v>
      </c>
    </row>
    <row r="2960" ht="15.75" customHeight="1">
      <c r="A2960" s="1" t="s">
        <v>432</v>
      </c>
      <c r="B2960" s="1" t="s">
        <v>116</v>
      </c>
      <c r="C2960" s="1" t="s">
        <v>11</v>
      </c>
      <c r="D2960" s="5">
        <v>45378.0</v>
      </c>
      <c r="G2960" s="1">
        <f>VLOOKUP(B2960,'old-aw-skill-plan'!A:I,7,FALSE)</f>
        <v>3</v>
      </c>
      <c r="H2960" s="1" t="str">
        <f>VLOOKUP(B2960,'old-aw-skill-plan'!A:I,9,FALSE)</f>
        <v>3-9</v>
      </c>
    </row>
    <row r="2961" ht="15.75" customHeight="1">
      <c r="A2961" s="1" t="s">
        <v>266</v>
      </c>
      <c r="B2961" s="1" t="s">
        <v>363</v>
      </c>
      <c r="C2961" s="1" t="s">
        <v>11</v>
      </c>
      <c r="D2961" s="5">
        <v>45377.0</v>
      </c>
      <c r="G2961" s="1">
        <f>VLOOKUP(B2961,'old-aw-skill-plan'!A:I,7,FALSE)</f>
        <v>7</v>
      </c>
      <c r="H2961" s="1" t="str">
        <f>VLOOKUP(B2961,'old-aw-skill-plan'!A:I,9,FALSE)</f>
        <v>7-1</v>
      </c>
    </row>
    <row r="2962" ht="15.75" customHeight="1">
      <c r="A2962" s="1" t="s">
        <v>31</v>
      </c>
      <c r="B2962" s="1" t="s">
        <v>10</v>
      </c>
      <c r="C2962" s="1" t="s">
        <v>11</v>
      </c>
      <c r="D2962" s="5">
        <v>45377.0</v>
      </c>
      <c r="G2962" s="1">
        <f>VLOOKUP(B2962,'old-aw-skill-plan'!A:I,7,FALSE)</f>
        <v>3</v>
      </c>
      <c r="H2962" s="1" t="str">
        <f>VLOOKUP(B2962,'old-aw-skill-plan'!A:I,9,FALSE)</f>
        <v>3-1</v>
      </c>
    </row>
    <row r="2963" ht="15.75" customHeight="1">
      <c r="A2963" s="1" t="s">
        <v>41</v>
      </c>
      <c r="B2963" s="1" t="s">
        <v>57</v>
      </c>
      <c r="C2963" s="1" t="s">
        <v>11</v>
      </c>
      <c r="D2963" s="5">
        <v>45377.0</v>
      </c>
      <c r="G2963" s="1">
        <f>VLOOKUP(B2963,'old-aw-skill-plan'!A:I,7,FALSE)</f>
        <v>3</v>
      </c>
      <c r="H2963" s="1" t="str">
        <f>VLOOKUP(B2963,'old-aw-skill-plan'!A:I,9,FALSE)</f>
        <v>3-7</v>
      </c>
    </row>
    <row r="2964" ht="15.75" customHeight="1">
      <c r="A2964" s="1" t="s">
        <v>41</v>
      </c>
      <c r="B2964" s="1" t="s">
        <v>58</v>
      </c>
      <c r="C2964" s="1" t="s">
        <v>11</v>
      </c>
      <c r="D2964" s="5">
        <v>45377.0</v>
      </c>
      <c r="G2964" s="1">
        <f>VLOOKUP(B2964,'old-aw-skill-plan'!A:I,7,FALSE)</f>
        <v>3</v>
      </c>
      <c r="H2964" s="1" t="str">
        <f>VLOOKUP(B2964,'old-aw-skill-plan'!A:I,9,FALSE)</f>
        <v>3-8</v>
      </c>
    </row>
    <row r="2965" ht="15.75" customHeight="1">
      <c r="A2965" s="1" t="s">
        <v>24</v>
      </c>
      <c r="B2965" s="1" t="s">
        <v>37</v>
      </c>
      <c r="C2965" s="1" t="s">
        <v>11</v>
      </c>
      <c r="D2965" s="5">
        <v>45377.0</v>
      </c>
      <c r="G2965" s="1">
        <f>VLOOKUP(B2965,'old-aw-skill-plan'!A:I,7,FALSE)</f>
        <v>4</v>
      </c>
      <c r="H2965" s="1" t="str">
        <f>VLOOKUP(B2965,'old-aw-skill-plan'!A:I,9,FALSE)</f>
        <v>4-2</v>
      </c>
    </row>
    <row r="2966" ht="15.75" customHeight="1">
      <c r="A2966" s="1" t="s">
        <v>81</v>
      </c>
      <c r="B2966" s="1" t="s">
        <v>40</v>
      </c>
      <c r="C2966" s="1" t="s">
        <v>11</v>
      </c>
      <c r="D2966" s="5">
        <v>45377.0</v>
      </c>
      <c r="G2966" s="1">
        <f>VLOOKUP(B2966,'old-aw-skill-plan'!A:I,7,FALSE)</f>
        <v>4</v>
      </c>
      <c r="H2966" s="1" t="str">
        <f>VLOOKUP(B2966,'old-aw-skill-plan'!A:I,9,FALSE)</f>
        <v>4-10</v>
      </c>
    </row>
    <row r="2967" ht="15.75" customHeight="1">
      <c r="A2967" s="1" t="s">
        <v>81</v>
      </c>
      <c r="B2967" s="1" t="s">
        <v>42</v>
      </c>
      <c r="C2967" s="1" t="s">
        <v>11</v>
      </c>
      <c r="D2967" s="5">
        <v>45377.0</v>
      </c>
      <c r="G2967" s="1">
        <f>VLOOKUP(B2967,'old-aw-skill-plan'!A:I,7,FALSE)</f>
        <v>4</v>
      </c>
      <c r="H2967" s="1" t="str">
        <f>VLOOKUP(B2967,'old-aw-skill-plan'!A:I,9,FALSE)</f>
        <v>4-11</v>
      </c>
    </row>
    <row r="2968" ht="15.75" customHeight="1">
      <c r="A2968" s="1" t="s">
        <v>81</v>
      </c>
      <c r="B2968" s="1" t="s">
        <v>123</v>
      </c>
      <c r="C2968" s="1" t="s">
        <v>11</v>
      </c>
      <c r="D2968" s="5">
        <v>45377.0</v>
      </c>
      <c r="G2968" s="1">
        <f>VLOOKUP(B2968,'old-aw-skill-plan'!A:I,7,FALSE)</f>
        <v>4</v>
      </c>
      <c r="H2968" s="1" t="str">
        <f>VLOOKUP(B2968,'old-aw-skill-plan'!A:I,9,FALSE)</f>
        <v>4-12</v>
      </c>
    </row>
    <row r="2969" ht="15.75" customHeight="1">
      <c r="A2969" s="1" t="s">
        <v>81</v>
      </c>
      <c r="B2969" s="1" t="s">
        <v>384</v>
      </c>
      <c r="C2969" s="1" t="s">
        <v>11</v>
      </c>
      <c r="D2969" s="5">
        <v>45377.0</v>
      </c>
      <c r="G2969" s="1">
        <f>VLOOKUP(B2969,'old-aw-skill-plan'!A:I,7,FALSE)</f>
        <v>7</v>
      </c>
      <c r="H2969" s="1" t="str">
        <f>VLOOKUP(B2969,'old-aw-skill-plan'!A:I,9,FALSE)</f>
        <v>7-2</v>
      </c>
    </row>
    <row r="2970" ht="15.75" customHeight="1">
      <c r="A2970" s="1" t="s">
        <v>421</v>
      </c>
      <c r="B2970" s="1" t="s">
        <v>104</v>
      </c>
      <c r="C2970" s="1" t="s">
        <v>11</v>
      </c>
      <c r="D2970" s="5">
        <v>45377.0</v>
      </c>
      <c r="G2970" s="1">
        <f>VLOOKUP(B2970,'old-aw-skill-plan'!A:I,7,FALSE)</f>
        <v>5</v>
      </c>
      <c r="H2970" s="1" t="str">
        <f>VLOOKUP(B2970,'old-aw-skill-plan'!A:I,9,FALSE)</f>
        <v>5-2</v>
      </c>
    </row>
    <row r="2971" ht="15.75" customHeight="1">
      <c r="A2971" s="1" t="s">
        <v>94</v>
      </c>
      <c r="B2971" s="1" t="s">
        <v>117</v>
      </c>
      <c r="C2971" s="1" t="s">
        <v>11</v>
      </c>
      <c r="D2971" s="5">
        <v>45377.0</v>
      </c>
      <c r="G2971" s="1">
        <f>VLOOKUP(B2971,'old-aw-skill-plan'!A:I,7,FALSE)</f>
        <v>3</v>
      </c>
      <c r="H2971" s="1" t="str">
        <f>VLOOKUP(B2971,'old-aw-skill-plan'!A:I,9,FALSE)</f>
        <v>3-11</v>
      </c>
    </row>
    <row r="2972" ht="15.75" customHeight="1">
      <c r="A2972" s="1" t="s">
        <v>225</v>
      </c>
      <c r="B2972" s="1" t="s">
        <v>363</v>
      </c>
      <c r="C2972" s="1" t="s">
        <v>11</v>
      </c>
      <c r="D2972" s="5">
        <v>45377.0</v>
      </c>
      <c r="G2972" s="1">
        <f>VLOOKUP(B2972,'old-aw-skill-plan'!A:I,7,FALSE)</f>
        <v>7</v>
      </c>
      <c r="H2972" s="1" t="str">
        <f>VLOOKUP(B2972,'old-aw-skill-plan'!A:I,9,FALSE)</f>
        <v>7-1</v>
      </c>
    </row>
    <row r="2973" ht="15.75" customHeight="1">
      <c r="A2973" s="1" t="s">
        <v>266</v>
      </c>
      <c r="B2973" s="1" t="s">
        <v>363</v>
      </c>
      <c r="C2973" s="1" t="s">
        <v>11</v>
      </c>
      <c r="D2973" s="5">
        <v>45376.0</v>
      </c>
      <c r="G2973" s="1">
        <f>VLOOKUP(B2973,'old-aw-skill-plan'!A:I,7,FALSE)</f>
        <v>7</v>
      </c>
      <c r="H2973" s="1" t="str">
        <f>VLOOKUP(B2973,'old-aw-skill-plan'!A:I,9,FALSE)</f>
        <v>7-1</v>
      </c>
    </row>
    <row r="2974" ht="15.75" customHeight="1">
      <c r="A2974" s="1" t="s">
        <v>41</v>
      </c>
      <c r="B2974" s="1" t="s">
        <v>57</v>
      </c>
      <c r="C2974" s="1" t="s">
        <v>11</v>
      </c>
      <c r="D2974" s="5">
        <v>45376.0</v>
      </c>
      <c r="G2974" s="1">
        <f>VLOOKUP(B2974,'old-aw-skill-plan'!A:I,7,FALSE)</f>
        <v>3</v>
      </c>
      <c r="H2974" s="1" t="str">
        <f>VLOOKUP(B2974,'old-aw-skill-plan'!A:I,9,FALSE)</f>
        <v>3-7</v>
      </c>
    </row>
    <row r="2975" ht="15.75" customHeight="1">
      <c r="A2975" s="1" t="s">
        <v>41</v>
      </c>
      <c r="B2975" s="1" t="s">
        <v>48</v>
      </c>
      <c r="C2975" s="1" t="s">
        <v>11</v>
      </c>
      <c r="D2975" s="5">
        <v>45376.0</v>
      </c>
      <c r="G2975" s="1">
        <f>VLOOKUP(B2975,'old-aw-skill-plan'!A:I,7,FALSE)</f>
        <v>3</v>
      </c>
      <c r="H2975" s="1" t="str">
        <f>VLOOKUP(B2975,'old-aw-skill-plan'!A:I,9,FALSE)</f>
        <v>3-6</v>
      </c>
    </row>
    <row r="2976" ht="15.75" customHeight="1">
      <c r="A2976" s="1" t="s">
        <v>24</v>
      </c>
      <c r="B2976" s="1" t="s">
        <v>37</v>
      </c>
      <c r="C2976" s="1" t="s">
        <v>11</v>
      </c>
      <c r="D2976" s="5">
        <v>45376.0</v>
      </c>
      <c r="G2976" s="1">
        <f>VLOOKUP(B2976,'old-aw-skill-plan'!A:I,7,FALSE)</f>
        <v>4</v>
      </c>
      <c r="H2976" s="1" t="str">
        <f>VLOOKUP(B2976,'old-aw-skill-plan'!A:I,9,FALSE)</f>
        <v>4-2</v>
      </c>
    </row>
    <row r="2977" ht="15.75" customHeight="1">
      <c r="A2977" s="1" t="s">
        <v>421</v>
      </c>
      <c r="B2977" s="1" t="s">
        <v>104</v>
      </c>
      <c r="C2977" s="1" t="s">
        <v>11</v>
      </c>
      <c r="D2977" s="5">
        <v>45376.0</v>
      </c>
      <c r="G2977" s="1">
        <f>VLOOKUP(B2977,'old-aw-skill-plan'!A:I,7,FALSE)</f>
        <v>5</v>
      </c>
      <c r="H2977" s="1" t="str">
        <f>VLOOKUP(B2977,'old-aw-skill-plan'!A:I,9,FALSE)</f>
        <v>5-2</v>
      </c>
    </row>
    <row r="2978" ht="15.75" customHeight="1">
      <c r="A2978" s="1" t="s">
        <v>225</v>
      </c>
      <c r="B2978" s="1" t="s">
        <v>79</v>
      </c>
      <c r="C2978" s="1" t="s">
        <v>11</v>
      </c>
      <c r="D2978" s="5">
        <v>45376.0</v>
      </c>
      <c r="G2978" s="1">
        <f>VLOOKUP(B2978,'old-aw-skill-plan'!A:I,7,FALSE)</f>
        <v>4</v>
      </c>
      <c r="H2978" s="1" t="str">
        <f>VLOOKUP(B2978,'old-aw-skill-plan'!A:I,9,FALSE)</f>
        <v>4-8</v>
      </c>
    </row>
    <row r="2979" ht="15.75" customHeight="1">
      <c r="A2979" s="1" t="s">
        <v>24</v>
      </c>
      <c r="B2979" s="1" t="s">
        <v>21</v>
      </c>
      <c r="C2979" s="1" t="s">
        <v>11</v>
      </c>
      <c r="D2979" s="5">
        <v>45373.0</v>
      </c>
      <c r="G2979" s="1">
        <f>VLOOKUP(B2979,'old-aw-skill-plan'!A:I,7,FALSE)</f>
        <v>4</v>
      </c>
      <c r="H2979" s="1" t="str">
        <f>VLOOKUP(B2979,'old-aw-skill-plan'!A:I,9,FALSE)</f>
        <v>4-6</v>
      </c>
    </row>
    <row r="2980" ht="15.75" customHeight="1">
      <c r="A2980" s="1" t="s">
        <v>36</v>
      </c>
      <c r="B2980" s="1" t="s">
        <v>33</v>
      </c>
      <c r="C2980" s="1" t="s">
        <v>11</v>
      </c>
      <c r="D2980" s="5">
        <v>45373.0</v>
      </c>
      <c r="G2980" s="1">
        <f>VLOOKUP(B2980,'old-aw-skill-plan'!A:I,7,FALSE)</f>
        <v>3</v>
      </c>
      <c r="H2980" s="1" t="str">
        <f>VLOOKUP(B2980,'old-aw-skill-plan'!A:I,9,FALSE)</f>
        <v>3-5</v>
      </c>
    </row>
    <row r="2981" ht="15.75" customHeight="1">
      <c r="A2981" s="1" t="s">
        <v>81</v>
      </c>
      <c r="B2981" s="1" t="s">
        <v>40</v>
      </c>
      <c r="C2981" s="1" t="s">
        <v>11</v>
      </c>
      <c r="D2981" s="5">
        <v>45373.0</v>
      </c>
      <c r="G2981" s="1">
        <f>VLOOKUP(B2981,'old-aw-skill-plan'!A:I,7,FALSE)</f>
        <v>4</v>
      </c>
      <c r="H2981" s="1" t="str">
        <f>VLOOKUP(B2981,'old-aw-skill-plan'!A:I,9,FALSE)</f>
        <v>4-10</v>
      </c>
    </row>
    <row r="2982" ht="15.75" customHeight="1">
      <c r="A2982" s="1" t="s">
        <v>421</v>
      </c>
      <c r="B2982" s="1" t="s">
        <v>104</v>
      </c>
      <c r="C2982" s="1" t="s">
        <v>11</v>
      </c>
      <c r="D2982" s="5">
        <v>45373.0</v>
      </c>
      <c r="G2982" s="1">
        <f>VLOOKUP(B2982,'old-aw-skill-plan'!A:I,7,FALSE)</f>
        <v>5</v>
      </c>
      <c r="H2982" s="1" t="str">
        <f>VLOOKUP(B2982,'old-aw-skill-plan'!A:I,9,FALSE)</f>
        <v>5-2</v>
      </c>
    </row>
    <row r="2983" ht="15.75" customHeight="1">
      <c r="A2983" s="1" t="s">
        <v>230</v>
      </c>
      <c r="B2983" s="1" t="s">
        <v>10</v>
      </c>
      <c r="C2983" s="1" t="s">
        <v>11</v>
      </c>
      <c r="D2983" s="5">
        <v>45373.0</v>
      </c>
      <c r="G2983" s="1">
        <f>VLOOKUP(B2983,'old-aw-skill-plan'!A:I,7,FALSE)</f>
        <v>3</v>
      </c>
      <c r="H2983" s="1" t="str">
        <f>VLOOKUP(B2983,'old-aw-skill-plan'!A:I,9,FALSE)</f>
        <v>3-1</v>
      </c>
    </row>
    <row r="2984" ht="15.75" customHeight="1">
      <c r="A2984" s="1" t="s">
        <v>230</v>
      </c>
      <c r="B2984" s="1" t="s">
        <v>91</v>
      </c>
      <c r="C2984" s="1" t="s">
        <v>11</v>
      </c>
      <c r="D2984" s="5">
        <v>45373.0</v>
      </c>
      <c r="G2984" s="1">
        <f>VLOOKUP(B2984,'old-aw-skill-plan'!A:I,7,FALSE)</f>
        <v>6</v>
      </c>
      <c r="H2984" s="1" t="str">
        <f>VLOOKUP(B2984,'old-aw-skill-plan'!A:I,9,FALSE)</f>
        <v>6-1</v>
      </c>
    </row>
    <row r="2985" ht="15.75" customHeight="1">
      <c r="A2985" s="1" t="s">
        <v>230</v>
      </c>
      <c r="B2985" s="1" t="s">
        <v>117</v>
      </c>
      <c r="C2985" s="1" t="s">
        <v>11</v>
      </c>
      <c r="D2985" s="5">
        <v>45373.0</v>
      </c>
      <c r="G2985" s="1">
        <f>VLOOKUP(B2985,'old-aw-skill-plan'!A:I,7,FALSE)</f>
        <v>3</v>
      </c>
      <c r="H2985" s="1" t="str">
        <f>VLOOKUP(B2985,'old-aw-skill-plan'!A:I,9,FALSE)</f>
        <v>3-11</v>
      </c>
    </row>
    <row r="2986" ht="15.75" customHeight="1">
      <c r="A2986" s="1" t="s">
        <v>428</v>
      </c>
      <c r="B2986" s="1" t="s">
        <v>40</v>
      </c>
      <c r="C2986" s="1" t="s">
        <v>11</v>
      </c>
      <c r="D2986" s="5">
        <v>45373.0</v>
      </c>
      <c r="G2986" s="1">
        <f>VLOOKUP(B2986,'old-aw-skill-plan'!A:I,7,FALSE)</f>
        <v>4</v>
      </c>
      <c r="H2986" s="1" t="str">
        <f>VLOOKUP(B2986,'old-aw-skill-plan'!A:I,9,FALSE)</f>
        <v>4-10</v>
      </c>
    </row>
    <row r="2987" ht="15.75" customHeight="1">
      <c r="A2987" s="1" t="s">
        <v>95</v>
      </c>
      <c r="B2987" s="1" t="s">
        <v>28</v>
      </c>
      <c r="C2987" s="1" t="s">
        <v>11</v>
      </c>
      <c r="D2987" s="5">
        <v>45373.0</v>
      </c>
      <c r="G2987" s="1">
        <f>VLOOKUP(B2987,'old-aw-skill-plan'!A:I,7,FALSE)</f>
        <v>3</v>
      </c>
      <c r="H2987" s="1" t="str">
        <f>VLOOKUP(B2987,'old-aw-skill-plan'!A:I,9,FALSE)</f>
        <v>3-4</v>
      </c>
    </row>
    <row r="2988" ht="15.75" customHeight="1">
      <c r="A2988" s="1" t="s">
        <v>95</v>
      </c>
      <c r="B2988" s="1" t="s">
        <v>57</v>
      </c>
      <c r="C2988" s="1" t="s">
        <v>11</v>
      </c>
      <c r="D2988" s="5">
        <v>45373.0</v>
      </c>
      <c r="G2988" s="1">
        <f>VLOOKUP(B2988,'old-aw-skill-plan'!A:I,7,FALSE)</f>
        <v>3</v>
      </c>
      <c r="H2988" s="1" t="str">
        <f>VLOOKUP(B2988,'old-aw-skill-plan'!A:I,9,FALSE)</f>
        <v>3-7</v>
      </c>
    </row>
    <row r="2989" ht="15.75" customHeight="1">
      <c r="A2989" s="1" t="s">
        <v>211</v>
      </c>
      <c r="B2989" s="1" t="s">
        <v>48</v>
      </c>
      <c r="C2989" s="1" t="s">
        <v>11</v>
      </c>
      <c r="D2989" s="5">
        <v>45373.0</v>
      </c>
      <c r="G2989" s="1">
        <f>VLOOKUP(B2989,'old-aw-skill-plan'!A:I,7,FALSE)</f>
        <v>3</v>
      </c>
      <c r="H2989" s="1" t="str">
        <f>VLOOKUP(B2989,'old-aw-skill-plan'!A:I,9,FALSE)</f>
        <v>3-6</v>
      </c>
    </row>
    <row r="2990" ht="15.75" customHeight="1">
      <c r="A2990" s="1" t="s">
        <v>93</v>
      </c>
      <c r="B2990" s="1" t="s">
        <v>117</v>
      </c>
      <c r="C2990" s="1" t="s">
        <v>11</v>
      </c>
      <c r="D2990" s="5">
        <v>45373.0</v>
      </c>
      <c r="G2990" s="1">
        <f>VLOOKUP(B2990,'old-aw-skill-plan'!A:I,7,FALSE)</f>
        <v>3</v>
      </c>
      <c r="H2990" s="1" t="str">
        <f>VLOOKUP(B2990,'old-aw-skill-plan'!A:I,9,FALSE)</f>
        <v>3-11</v>
      </c>
    </row>
    <row r="2991" ht="15.75" customHeight="1">
      <c r="A2991" s="1" t="s">
        <v>94</v>
      </c>
      <c r="B2991" s="1" t="s">
        <v>117</v>
      </c>
      <c r="C2991" s="1" t="s">
        <v>11</v>
      </c>
      <c r="D2991" s="5">
        <v>45373.0</v>
      </c>
      <c r="G2991" s="1">
        <f>VLOOKUP(B2991,'old-aw-skill-plan'!A:I,7,FALSE)</f>
        <v>3</v>
      </c>
      <c r="H2991" s="1" t="str">
        <f>VLOOKUP(B2991,'old-aw-skill-plan'!A:I,9,FALSE)</f>
        <v>3-11</v>
      </c>
    </row>
    <row r="2992" ht="15.75" customHeight="1">
      <c r="A2992" s="1" t="s">
        <v>427</v>
      </c>
      <c r="B2992" s="1" t="s">
        <v>33</v>
      </c>
      <c r="C2992" s="1" t="s">
        <v>11</v>
      </c>
      <c r="D2992" s="5">
        <v>45373.0</v>
      </c>
      <c r="G2992" s="1">
        <f>VLOOKUP(B2992,'old-aw-skill-plan'!A:I,7,FALSE)</f>
        <v>3</v>
      </c>
      <c r="H2992" s="1" t="str">
        <f>VLOOKUP(B2992,'old-aw-skill-plan'!A:I,9,FALSE)</f>
        <v>3-5</v>
      </c>
    </row>
    <row r="2993" ht="15.75" customHeight="1">
      <c r="A2993" s="1" t="s">
        <v>31</v>
      </c>
      <c r="B2993" s="1" t="s">
        <v>10</v>
      </c>
      <c r="C2993" s="1" t="s">
        <v>11</v>
      </c>
      <c r="D2993" s="5">
        <v>45372.0</v>
      </c>
      <c r="G2993" s="1">
        <f>VLOOKUP(B2993,'old-aw-skill-plan'!A:I,7,FALSE)</f>
        <v>3</v>
      </c>
      <c r="H2993" s="1" t="str">
        <f>VLOOKUP(B2993,'old-aw-skill-plan'!A:I,9,FALSE)</f>
        <v>3-1</v>
      </c>
    </row>
    <row r="2994" ht="15.75" customHeight="1">
      <c r="A2994" s="1" t="s">
        <v>41</v>
      </c>
      <c r="B2994" s="1" t="s">
        <v>33</v>
      </c>
      <c r="C2994" s="1" t="s">
        <v>11</v>
      </c>
      <c r="D2994" s="5">
        <v>45372.0</v>
      </c>
      <c r="G2994" s="1">
        <f>VLOOKUP(B2994,'old-aw-skill-plan'!A:I,7,FALSE)</f>
        <v>3</v>
      </c>
      <c r="H2994" s="1" t="str">
        <f>VLOOKUP(B2994,'old-aw-skill-plan'!A:I,9,FALSE)</f>
        <v>3-5</v>
      </c>
    </row>
    <row r="2995" ht="15.75" customHeight="1">
      <c r="A2995" s="1" t="s">
        <v>238</v>
      </c>
      <c r="B2995" s="1" t="s">
        <v>117</v>
      </c>
      <c r="C2995" s="1" t="s">
        <v>11</v>
      </c>
      <c r="D2995" s="5">
        <v>45372.0</v>
      </c>
      <c r="G2995" s="1">
        <f>VLOOKUP(B2995,'old-aw-skill-plan'!A:I,7,FALSE)</f>
        <v>3</v>
      </c>
      <c r="H2995" s="1" t="str">
        <f>VLOOKUP(B2995,'old-aw-skill-plan'!A:I,9,FALSE)</f>
        <v>3-11</v>
      </c>
    </row>
    <row r="2996" ht="15.75" customHeight="1">
      <c r="A2996" s="1" t="s">
        <v>81</v>
      </c>
      <c r="B2996" s="1" t="s">
        <v>66</v>
      </c>
      <c r="C2996" s="1" t="s">
        <v>11</v>
      </c>
      <c r="D2996" s="5">
        <v>45372.0</v>
      </c>
      <c r="G2996" s="1">
        <f>VLOOKUP(B2996,'old-aw-skill-plan'!A:I,7,FALSE)</f>
        <v>4</v>
      </c>
      <c r="H2996" s="1" t="str">
        <f>VLOOKUP(B2996,'old-aw-skill-plan'!A:I,9,FALSE)</f>
        <v>4-9</v>
      </c>
    </row>
    <row r="2997" ht="15.75" customHeight="1">
      <c r="A2997" s="1" t="s">
        <v>230</v>
      </c>
      <c r="B2997" s="1" t="s">
        <v>115</v>
      </c>
      <c r="C2997" s="1" t="s">
        <v>11</v>
      </c>
      <c r="D2997" s="5">
        <v>45372.0</v>
      </c>
      <c r="G2997" s="1">
        <f>VLOOKUP(B2997,'old-aw-skill-plan'!A:I,7,FALSE)</f>
        <v>3</v>
      </c>
      <c r="H2997" s="1" t="str">
        <f>VLOOKUP(B2997,'old-aw-skill-plan'!A:I,9,FALSE)</f>
        <v>3-10</v>
      </c>
    </row>
    <row r="2998" ht="15.75" customHeight="1">
      <c r="A2998" s="1" t="s">
        <v>60</v>
      </c>
      <c r="B2998" s="1" t="s">
        <v>61</v>
      </c>
      <c r="C2998" s="1" t="s">
        <v>11</v>
      </c>
      <c r="D2998" s="5">
        <v>45372.0</v>
      </c>
      <c r="G2998" s="1">
        <f>VLOOKUP(B2998,'old-aw-skill-plan'!A:I,7,FALSE)</f>
        <v>4</v>
      </c>
      <c r="H2998" s="1" t="str">
        <f>VLOOKUP(B2998,'old-aw-skill-plan'!A:I,9,FALSE)</f>
        <v>4-4</v>
      </c>
    </row>
    <row r="2999" ht="15.75" customHeight="1">
      <c r="A2999" s="1" t="s">
        <v>373</v>
      </c>
      <c r="B2999" s="1" t="s">
        <v>10</v>
      </c>
      <c r="C2999" s="1" t="s">
        <v>11</v>
      </c>
      <c r="D2999" s="5">
        <v>45372.0</v>
      </c>
      <c r="G2999" s="1">
        <f>VLOOKUP(B2999,'old-aw-skill-plan'!A:I,7,FALSE)</f>
        <v>3</v>
      </c>
      <c r="H2999" s="1" t="str">
        <f>VLOOKUP(B2999,'old-aw-skill-plan'!A:I,9,FALSE)</f>
        <v>3-1</v>
      </c>
    </row>
    <row r="3000" ht="15.75" customHeight="1">
      <c r="A3000" s="1" t="s">
        <v>373</v>
      </c>
      <c r="B3000" s="1" t="s">
        <v>33</v>
      </c>
      <c r="C3000" s="1" t="s">
        <v>11</v>
      </c>
      <c r="D3000" s="5">
        <v>45372.0</v>
      </c>
      <c r="G3000" s="1">
        <f>VLOOKUP(B3000,'old-aw-skill-plan'!A:I,7,FALSE)</f>
        <v>3</v>
      </c>
      <c r="H3000" s="1" t="str">
        <f>VLOOKUP(B3000,'old-aw-skill-plan'!A:I,9,FALSE)</f>
        <v>3-5</v>
      </c>
    </row>
    <row r="3001" ht="15.75" customHeight="1">
      <c r="A3001" s="1" t="s">
        <v>41</v>
      </c>
      <c r="B3001" s="1" t="s">
        <v>33</v>
      </c>
      <c r="C3001" s="1" t="s">
        <v>11</v>
      </c>
      <c r="D3001" s="5">
        <v>45371.0</v>
      </c>
      <c r="G3001" s="1">
        <f>VLOOKUP(B3001,'old-aw-skill-plan'!A:I,7,FALSE)</f>
        <v>3</v>
      </c>
      <c r="H3001" s="1" t="str">
        <f>VLOOKUP(B3001,'old-aw-skill-plan'!A:I,9,FALSE)</f>
        <v>3-5</v>
      </c>
    </row>
    <row r="3002" ht="15.75" customHeight="1">
      <c r="A3002" s="1" t="s">
        <v>421</v>
      </c>
      <c r="B3002" s="1" t="s">
        <v>104</v>
      </c>
      <c r="C3002" s="1" t="s">
        <v>11</v>
      </c>
      <c r="D3002" s="5">
        <v>45371.0</v>
      </c>
      <c r="G3002" s="1">
        <f>VLOOKUP(B3002,'old-aw-skill-plan'!A:I,7,FALSE)</f>
        <v>5</v>
      </c>
      <c r="H3002" s="1" t="str">
        <f>VLOOKUP(B3002,'old-aw-skill-plan'!A:I,9,FALSE)</f>
        <v>5-2</v>
      </c>
    </row>
    <row r="3003" ht="15.75" customHeight="1">
      <c r="A3003" s="1" t="s">
        <v>230</v>
      </c>
      <c r="B3003" s="1" t="s">
        <v>115</v>
      </c>
      <c r="C3003" s="1" t="s">
        <v>11</v>
      </c>
      <c r="D3003" s="5">
        <v>45371.0</v>
      </c>
      <c r="G3003" s="1">
        <f>VLOOKUP(B3003,'old-aw-skill-plan'!A:I,7,FALSE)</f>
        <v>3</v>
      </c>
      <c r="H3003" s="1" t="str">
        <f>VLOOKUP(B3003,'old-aw-skill-plan'!A:I,9,FALSE)</f>
        <v>3-10</v>
      </c>
    </row>
    <row r="3004" ht="15.75" customHeight="1">
      <c r="A3004" s="1" t="s">
        <v>266</v>
      </c>
      <c r="B3004" s="1" t="s">
        <v>363</v>
      </c>
      <c r="C3004" s="1" t="s">
        <v>11</v>
      </c>
      <c r="D3004" s="5">
        <v>45370.0</v>
      </c>
      <c r="G3004" s="1">
        <f>VLOOKUP(B3004,'old-aw-skill-plan'!A:I,7,FALSE)</f>
        <v>7</v>
      </c>
      <c r="H3004" s="1" t="str">
        <f>VLOOKUP(B3004,'old-aw-skill-plan'!A:I,9,FALSE)</f>
        <v>7-1</v>
      </c>
    </row>
    <row r="3005" ht="15.75" customHeight="1">
      <c r="A3005" s="1" t="s">
        <v>266</v>
      </c>
      <c r="B3005" s="1" t="s">
        <v>123</v>
      </c>
      <c r="C3005" s="1" t="s">
        <v>11</v>
      </c>
      <c r="D3005" s="5">
        <v>45370.0</v>
      </c>
      <c r="G3005" s="1">
        <f>VLOOKUP(B3005,'old-aw-skill-plan'!A:I,7,FALSE)</f>
        <v>4</v>
      </c>
      <c r="H3005" s="1" t="str">
        <f>VLOOKUP(B3005,'old-aw-skill-plan'!A:I,9,FALSE)</f>
        <v>4-12</v>
      </c>
    </row>
    <row r="3006" ht="15.75" customHeight="1">
      <c r="A3006" s="1" t="s">
        <v>22</v>
      </c>
      <c r="B3006" s="1" t="s">
        <v>40</v>
      </c>
      <c r="C3006" s="1" t="s">
        <v>11</v>
      </c>
      <c r="D3006" s="5">
        <v>45370.0</v>
      </c>
      <c r="G3006" s="1">
        <f>VLOOKUP(B3006,'old-aw-skill-plan'!A:I,7,FALSE)</f>
        <v>4</v>
      </c>
      <c r="H3006" s="1" t="str">
        <f>VLOOKUP(B3006,'old-aw-skill-plan'!A:I,9,FALSE)</f>
        <v>4-10</v>
      </c>
    </row>
    <row r="3007" ht="15.75" customHeight="1">
      <c r="A3007" s="1" t="s">
        <v>22</v>
      </c>
      <c r="B3007" s="1" t="s">
        <v>433</v>
      </c>
      <c r="C3007" s="1" t="s">
        <v>11</v>
      </c>
      <c r="D3007" s="5">
        <v>45370.0</v>
      </c>
      <c r="G3007" s="1">
        <f>VLOOKUP(B3007,'old-aw-skill-plan'!A:I,7,FALSE)</f>
        <v>4</v>
      </c>
      <c r="H3007" s="1" t="str">
        <f>VLOOKUP(B3007,'old-aw-skill-plan'!A:I,9,FALSE)</f>
        <v>4-4</v>
      </c>
    </row>
    <row r="3008" ht="15.75" customHeight="1">
      <c r="A3008" s="1" t="s">
        <v>22</v>
      </c>
      <c r="B3008" s="1" t="s">
        <v>309</v>
      </c>
      <c r="C3008" s="1" t="s">
        <v>11</v>
      </c>
      <c r="D3008" s="5">
        <v>45370.0</v>
      </c>
      <c r="G3008" s="1">
        <f>VLOOKUP(B3008,'old-aw-skill-plan'!A:I,7,FALSE)</f>
        <v>4</v>
      </c>
      <c r="H3008" s="1" t="str">
        <f>VLOOKUP(B3008,'old-aw-skill-plan'!A:I,9,FALSE)</f>
        <v>4-1</v>
      </c>
    </row>
    <row r="3009" ht="15.75" customHeight="1">
      <c r="A3009" s="1" t="s">
        <v>31</v>
      </c>
      <c r="B3009" s="1" t="s">
        <v>10</v>
      </c>
      <c r="C3009" s="1" t="s">
        <v>11</v>
      </c>
      <c r="D3009" s="5">
        <v>45370.0</v>
      </c>
      <c r="G3009" s="1">
        <f>VLOOKUP(B3009,'old-aw-skill-plan'!A:I,7,FALSE)</f>
        <v>3</v>
      </c>
      <c r="H3009" s="1" t="str">
        <f>VLOOKUP(B3009,'old-aw-skill-plan'!A:I,9,FALSE)</f>
        <v>3-1</v>
      </c>
    </row>
    <row r="3010" ht="15.75" customHeight="1">
      <c r="A3010" s="1" t="s">
        <v>41</v>
      </c>
      <c r="B3010" s="1" t="s">
        <v>28</v>
      </c>
      <c r="C3010" s="1" t="s">
        <v>11</v>
      </c>
      <c r="D3010" s="5">
        <v>45370.0</v>
      </c>
      <c r="G3010" s="1">
        <f>VLOOKUP(B3010,'old-aw-skill-plan'!A:I,7,FALSE)</f>
        <v>3</v>
      </c>
      <c r="H3010" s="1" t="str">
        <f>VLOOKUP(B3010,'old-aw-skill-plan'!A:I,9,FALSE)</f>
        <v>3-4</v>
      </c>
    </row>
    <row r="3011" ht="15.75" customHeight="1">
      <c r="A3011" s="1" t="s">
        <v>434</v>
      </c>
      <c r="B3011" s="1" t="s">
        <v>117</v>
      </c>
      <c r="C3011" s="1" t="s">
        <v>11</v>
      </c>
      <c r="D3011" s="5">
        <v>45370.0</v>
      </c>
      <c r="G3011" s="1">
        <f>VLOOKUP(B3011,'old-aw-skill-plan'!A:I,7,FALSE)</f>
        <v>3</v>
      </c>
      <c r="H3011" s="1" t="str">
        <f>VLOOKUP(B3011,'old-aw-skill-plan'!A:I,9,FALSE)</f>
        <v>3-11</v>
      </c>
    </row>
    <row r="3012" ht="15.75" customHeight="1">
      <c r="A3012" s="1" t="s">
        <v>56</v>
      </c>
      <c r="B3012" s="1" t="s">
        <v>28</v>
      </c>
      <c r="C3012" s="1" t="s">
        <v>11</v>
      </c>
      <c r="D3012" s="5">
        <v>45370.0</v>
      </c>
      <c r="G3012" s="1">
        <f>VLOOKUP(B3012,'old-aw-skill-plan'!A:I,7,FALSE)</f>
        <v>3</v>
      </c>
      <c r="H3012" s="1" t="str">
        <f>VLOOKUP(B3012,'old-aw-skill-plan'!A:I,9,FALSE)</f>
        <v>3-4</v>
      </c>
    </row>
    <row r="3013" ht="15.75" customHeight="1">
      <c r="A3013" s="1" t="s">
        <v>81</v>
      </c>
      <c r="B3013" s="1" t="s">
        <v>384</v>
      </c>
      <c r="C3013" s="1" t="s">
        <v>11</v>
      </c>
      <c r="D3013" s="5">
        <v>45370.0</v>
      </c>
      <c r="G3013" s="1">
        <f>VLOOKUP(B3013,'old-aw-skill-plan'!A:I,7,FALSE)</f>
        <v>7</v>
      </c>
      <c r="H3013" s="1" t="str">
        <f>VLOOKUP(B3013,'old-aw-skill-plan'!A:I,9,FALSE)</f>
        <v>7-2</v>
      </c>
    </row>
    <row r="3014" ht="15.75" customHeight="1">
      <c r="A3014" s="1" t="s">
        <v>421</v>
      </c>
      <c r="B3014" s="1" t="s">
        <v>44</v>
      </c>
      <c r="C3014" s="1" t="s">
        <v>11</v>
      </c>
      <c r="D3014" s="5">
        <v>45370.0</v>
      </c>
      <c r="G3014" s="1">
        <f>VLOOKUP(B3014,'old-aw-skill-plan'!A:I,7,FALSE)</f>
        <v>5</v>
      </c>
      <c r="H3014" s="1" t="str">
        <f>VLOOKUP(B3014,'old-aw-skill-plan'!A:I,9,FALSE)</f>
        <v>5-1</v>
      </c>
    </row>
    <row r="3015" ht="15.75" customHeight="1">
      <c r="A3015" s="1" t="s">
        <v>421</v>
      </c>
      <c r="B3015" s="1" t="s">
        <v>104</v>
      </c>
      <c r="C3015" s="1" t="s">
        <v>11</v>
      </c>
      <c r="D3015" s="5">
        <v>45370.0</v>
      </c>
      <c r="G3015" s="1">
        <f>VLOOKUP(B3015,'old-aw-skill-plan'!A:I,7,FALSE)</f>
        <v>5</v>
      </c>
      <c r="H3015" s="1" t="str">
        <f>VLOOKUP(B3015,'old-aw-skill-plan'!A:I,9,FALSE)</f>
        <v>5-2</v>
      </c>
    </row>
    <row r="3016" ht="15.75" customHeight="1">
      <c r="A3016" s="1" t="s">
        <v>428</v>
      </c>
      <c r="B3016" s="1" t="s">
        <v>40</v>
      </c>
      <c r="C3016" s="1" t="s">
        <v>11</v>
      </c>
      <c r="D3016" s="5">
        <v>45370.0</v>
      </c>
      <c r="G3016" s="1">
        <f>VLOOKUP(B3016,'old-aw-skill-plan'!A:I,7,FALSE)</f>
        <v>4</v>
      </c>
      <c r="H3016" s="1" t="str">
        <f>VLOOKUP(B3016,'old-aw-skill-plan'!A:I,9,FALSE)</f>
        <v>4-10</v>
      </c>
    </row>
    <row r="3017" ht="15.75" customHeight="1">
      <c r="A3017" s="1" t="s">
        <v>211</v>
      </c>
      <c r="B3017" s="1" t="s">
        <v>33</v>
      </c>
      <c r="C3017" s="1" t="s">
        <v>11</v>
      </c>
      <c r="D3017" s="5">
        <v>45370.0</v>
      </c>
      <c r="G3017" s="1">
        <f>VLOOKUP(B3017,'old-aw-skill-plan'!A:I,7,FALSE)</f>
        <v>3</v>
      </c>
      <c r="H3017" s="1" t="str">
        <f>VLOOKUP(B3017,'old-aw-skill-plan'!A:I,9,FALSE)</f>
        <v>3-5</v>
      </c>
    </row>
    <row r="3018" ht="15.75" customHeight="1">
      <c r="A3018" s="1" t="s">
        <v>197</v>
      </c>
      <c r="B3018" s="1" t="s">
        <v>368</v>
      </c>
      <c r="C3018" s="1" t="s">
        <v>11</v>
      </c>
      <c r="D3018" s="5">
        <v>45370.0</v>
      </c>
      <c r="G3018" s="1">
        <f>VLOOKUP(B3018,'old-aw-skill-plan'!A:I,7,FALSE)</f>
        <v>4</v>
      </c>
      <c r="H3018" s="1" t="str">
        <f>VLOOKUP(B3018,'old-aw-skill-plan'!A:I,9,FALSE)</f>
        <v>4-10</v>
      </c>
    </row>
    <row r="3019" ht="15.75" customHeight="1">
      <c r="A3019" s="1" t="s">
        <v>94</v>
      </c>
      <c r="B3019" s="1" t="s">
        <v>117</v>
      </c>
      <c r="C3019" s="1" t="s">
        <v>11</v>
      </c>
      <c r="D3019" s="5">
        <v>45370.0</v>
      </c>
      <c r="G3019" s="1">
        <f>VLOOKUP(B3019,'old-aw-skill-plan'!A:I,7,FALSE)</f>
        <v>3</v>
      </c>
      <c r="H3019" s="1" t="str">
        <f>VLOOKUP(B3019,'old-aw-skill-plan'!A:I,9,FALSE)</f>
        <v>3-11</v>
      </c>
    </row>
    <row r="3020" ht="15.75" customHeight="1">
      <c r="A3020" s="1" t="s">
        <v>22</v>
      </c>
      <c r="B3020" s="1" t="s">
        <v>66</v>
      </c>
      <c r="C3020" s="1" t="s">
        <v>11</v>
      </c>
      <c r="D3020" s="5">
        <v>45369.0</v>
      </c>
      <c r="G3020" s="1">
        <f>VLOOKUP(B3020,'old-aw-skill-plan'!A:I,7,FALSE)</f>
        <v>4</v>
      </c>
      <c r="H3020" s="1" t="str">
        <f>VLOOKUP(B3020,'old-aw-skill-plan'!A:I,9,FALSE)</f>
        <v>4-9</v>
      </c>
    </row>
    <row r="3021" ht="15.75" customHeight="1">
      <c r="A3021" s="1" t="s">
        <v>22</v>
      </c>
      <c r="B3021" s="1" t="s">
        <v>320</v>
      </c>
      <c r="C3021" s="1" t="s">
        <v>11</v>
      </c>
      <c r="D3021" s="5">
        <v>45369.0</v>
      </c>
      <c r="G3021" s="1">
        <f>VLOOKUP(B3021,'old-aw-skill-plan'!A:I,7,FALSE)</f>
        <v>4</v>
      </c>
      <c r="H3021" s="1" t="str">
        <f>VLOOKUP(B3021,'old-aw-skill-plan'!A:I,9,FALSE)</f>
        <v>4-2</v>
      </c>
    </row>
    <row r="3022" ht="15.75" customHeight="1">
      <c r="A3022" s="1" t="s">
        <v>31</v>
      </c>
      <c r="B3022" s="1" t="s">
        <v>10</v>
      </c>
      <c r="C3022" s="1" t="s">
        <v>11</v>
      </c>
      <c r="D3022" s="5">
        <v>45369.0</v>
      </c>
      <c r="G3022" s="1">
        <f>VLOOKUP(B3022,'old-aw-skill-plan'!A:I,7,FALSE)</f>
        <v>3</v>
      </c>
      <c r="H3022" s="1" t="str">
        <f>VLOOKUP(B3022,'old-aw-skill-plan'!A:I,9,FALSE)</f>
        <v>3-1</v>
      </c>
    </row>
    <row r="3023" ht="15.75" customHeight="1">
      <c r="A3023" s="1" t="s">
        <v>41</v>
      </c>
      <c r="B3023" s="1" t="s">
        <v>28</v>
      </c>
      <c r="C3023" s="1" t="s">
        <v>11</v>
      </c>
      <c r="D3023" s="5">
        <v>45369.0</v>
      </c>
      <c r="G3023" s="1">
        <f>VLOOKUP(B3023,'old-aw-skill-plan'!A:I,7,FALSE)</f>
        <v>3</v>
      </c>
      <c r="H3023" s="1" t="str">
        <f>VLOOKUP(B3023,'old-aw-skill-plan'!A:I,9,FALSE)</f>
        <v>3-4</v>
      </c>
    </row>
    <row r="3024" ht="15.75" customHeight="1">
      <c r="A3024" s="1" t="s">
        <v>36</v>
      </c>
      <c r="B3024" s="1" t="s">
        <v>33</v>
      </c>
      <c r="C3024" s="1" t="s">
        <v>11</v>
      </c>
      <c r="D3024" s="5">
        <v>45369.0</v>
      </c>
      <c r="G3024" s="1">
        <f>VLOOKUP(B3024,'old-aw-skill-plan'!A:I,7,FALSE)</f>
        <v>3</v>
      </c>
      <c r="H3024" s="1" t="str">
        <f>VLOOKUP(B3024,'old-aw-skill-plan'!A:I,9,FALSE)</f>
        <v>3-5</v>
      </c>
    </row>
    <row r="3025" ht="15.75" customHeight="1">
      <c r="A3025" s="1" t="s">
        <v>421</v>
      </c>
      <c r="B3025" s="1" t="s">
        <v>47</v>
      </c>
      <c r="C3025" s="1" t="s">
        <v>11</v>
      </c>
      <c r="D3025" s="5">
        <v>45369.0</v>
      </c>
      <c r="G3025" s="1">
        <f>VLOOKUP(B3025,'old-aw-skill-plan'!A:I,7,FALSE)</f>
        <v>3</v>
      </c>
      <c r="H3025" s="1" t="str">
        <f>VLOOKUP(B3025,'old-aw-skill-plan'!A:I,9,FALSE)</f>
        <v>3-2</v>
      </c>
    </row>
    <row r="3026" ht="15.75" customHeight="1">
      <c r="A3026" s="1" t="s">
        <v>421</v>
      </c>
      <c r="B3026" s="1" t="s">
        <v>104</v>
      </c>
      <c r="C3026" s="1" t="s">
        <v>11</v>
      </c>
      <c r="D3026" s="5">
        <v>45369.0</v>
      </c>
      <c r="G3026" s="1">
        <f>VLOOKUP(B3026,'old-aw-skill-plan'!A:I,7,FALSE)</f>
        <v>5</v>
      </c>
      <c r="H3026" s="1" t="str">
        <f>VLOOKUP(B3026,'old-aw-skill-plan'!A:I,9,FALSE)</f>
        <v>5-2</v>
      </c>
    </row>
    <row r="3027" ht="15.75" customHeight="1">
      <c r="A3027" s="1" t="s">
        <v>432</v>
      </c>
      <c r="B3027" s="1" t="s">
        <v>335</v>
      </c>
      <c r="C3027" s="1" t="s">
        <v>11</v>
      </c>
      <c r="D3027" s="5">
        <v>45369.0</v>
      </c>
      <c r="G3027" s="1">
        <f>VLOOKUP(B3027,'old-aw-skill-plan'!A:I,7,FALSE)</f>
        <v>6</v>
      </c>
      <c r="H3027" s="1" t="str">
        <f>VLOOKUP(B3027,'old-aw-skill-plan'!A:I,9,FALSE)</f>
        <v>6-2</v>
      </c>
    </row>
    <row r="3028" ht="15.75" customHeight="1">
      <c r="A3028" s="1" t="s">
        <v>432</v>
      </c>
      <c r="B3028" s="1" t="s">
        <v>33</v>
      </c>
      <c r="C3028" s="1" t="s">
        <v>11</v>
      </c>
      <c r="D3028" s="5">
        <v>45369.0</v>
      </c>
      <c r="G3028" s="1">
        <f>VLOOKUP(B3028,'old-aw-skill-plan'!A:I,7,FALSE)</f>
        <v>3</v>
      </c>
      <c r="H3028" s="1" t="str">
        <f>VLOOKUP(B3028,'old-aw-skill-plan'!A:I,9,FALSE)</f>
        <v>3-5</v>
      </c>
    </row>
    <row r="3029" ht="15.75" customHeight="1">
      <c r="A3029" s="1" t="s">
        <v>373</v>
      </c>
      <c r="B3029" s="1" t="s">
        <v>30</v>
      </c>
      <c r="C3029" s="1" t="s">
        <v>11</v>
      </c>
      <c r="D3029" s="5">
        <v>45369.0</v>
      </c>
      <c r="G3029" s="1">
        <f>VLOOKUP(B3029,'old-aw-skill-plan'!A:I,7,FALSE)</f>
        <v>3</v>
      </c>
      <c r="H3029" s="1" t="str">
        <f>VLOOKUP(B3029,'old-aw-skill-plan'!A:I,9,FALSE)</f>
        <v>3-3</v>
      </c>
    </row>
    <row r="3030" ht="15.75" customHeight="1">
      <c r="A3030" s="1" t="s">
        <v>225</v>
      </c>
      <c r="B3030" s="1" t="s">
        <v>384</v>
      </c>
      <c r="C3030" s="1" t="s">
        <v>11</v>
      </c>
      <c r="D3030" s="5">
        <v>45369.0</v>
      </c>
      <c r="G3030" s="1">
        <f>VLOOKUP(B3030,'old-aw-skill-plan'!A:I,7,FALSE)</f>
        <v>7</v>
      </c>
      <c r="H3030" s="1" t="str">
        <f>VLOOKUP(B3030,'old-aw-skill-plan'!A:I,9,FALSE)</f>
        <v>7-2</v>
      </c>
    </row>
    <row r="3031" ht="15.75" customHeight="1">
      <c r="A3031" s="1" t="s">
        <v>427</v>
      </c>
      <c r="B3031" s="1" t="s">
        <v>33</v>
      </c>
      <c r="C3031" s="1" t="s">
        <v>11</v>
      </c>
      <c r="D3031" s="5">
        <v>45369.0</v>
      </c>
      <c r="G3031" s="1">
        <f>VLOOKUP(B3031,'old-aw-skill-plan'!A:I,7,FALSE)</f>
        <v>3</v>
      </c>
      <c r="H3031" s="1" t="str">
        <f>VLOOKUP(B3031,'old-aw-skill-plan'!A:I,9,FALSE)</f>
        <v>3-5</v>
      </c>
    </row>
    <row r="3032" ht="15.75" customHeight="1">
      <c r="A3032" s="1" t="s">
        <v>41</v>
      </c>
      <c r="B3032" s="1" t="s">
        <v>28</v>
      </c>
      <c r="C3032" s="1" t="s">
        <v>11</v>
      </c>
      <c r="D3032" s="5">
        <v>45366.0</v>
      </c>
      <c r="G3032" s="1">
        <f>VLOOKUP(B3032,'old-aw-skill-plan'!A:I,7,FALSE)</f>
        <v>3</v>
      </c>
      <c r="H3032" s="1" t="str">
        <f>VLOOKUP(B3032,'old-aw-skill-plan'!A:I,9,FALSE)</f>
        <v>3-4</v>
      </c>
    </row>
    <row r="3033" ht="15.75" customHeight="1">
      <c r="A3033" s="1" t="s">
        <v>46</v>
      </c>
      <c r="B3033" s="1" t="s">
        <v>47</v>
      </c>
      <c r="C3033" s="1" t="s">
        <v>11</v>
      </c>
      <c r="D3033" s="5">
        <v>45366.0</v>
      </c>
      <c r="G3033" s="1">
        <f>VLOOKUP(B3033,'old-aw-skill-plan'!A:I,7,FALSE)</f>
        <v>3</v>
      </c>
      <c r="H3033" s="1" t="str">
        <f>VLOOKUP(B3033,'old-aw-skill-plan'!A:I,9,FALSE)</f>
        <v>3-2</v>
      </c>
    </row>
    <row r="3034" ht="15.75" customHeight="1">
      <c r="A3034" s="1" t="s">
        <v>41</v>
      </c>
      <c r="B3034" s="1" t="s">
        <v>28</v>
      </c>
      <c r="C3034" s="1" t="s">
        <v>11</v>
      </c>
      <c r="D3034" s="5">
        <v>45365.0</v>
      </c>
      <c r="G3034" s="1">
        <f>VLOOKUP(B3034,'old-aw-skill-plan'!A:I,7,FALSE)</f>
        <v>3</v>
      </c>
      <c r="H3034" s="1" t="str">
        <f>VLOOKUP(B3034,'old-aw-skill-plan'!A:I,9,FALSE)</f>
        <v>3-4</v>
      </c>
    </row>
    <row r="3035" ht="15.75" customHeight="1">
      <c r="A3035" s="1" t="s">
        <v>230</v>
      </c>
      <c r="B3035" s="1" t="s">
        <v>28</v>
      </c>
      <c r="C3035" s="1" t="s">
        <v>11</v>
      </c>
      <c r="D3035" s="5">
        <v>45365.0</v>
      </c>
      <c r="G3035" s="1">
        <f>VLOOKUP(B3035,'old-aw-skill-plan'!A:I,7,FALSE)</f>
        <v>3</v>
      </c>
      <c r="H3035" s="1" t="str">
        <f>VLOOKUP(B3035,'old-aw-skill-plan'!A:I,9,FALSE)</f>
        <v>3-4</v>
      </c>
    </row>
    <row r="3036" ht="15.75" customHeight="1">
      <c r="A3036" s="1" t="s">
        <v>94</v>
      </c>
      <c r="B3036" s="1" t="s">
        <v>117</v>
      </c>
      <c r="C3036" s="1" t="s">
        <v>11</v>
      </c>
      <c r="D3036" s="5">
        <v>45365.0</v>
      </c>
      <c r="G3036" s="1">
        <f>VLOOKUP(B3036,'old-aw-skill-plan'!A:I,7,FALSE)</f>
        <v>3</v>
      </c>
      <c r="H3036" s="1" t="str">
        <f>VLOOKUP(B3036,'old-aw-skill-plan'!A:I,9,FALSE)</f>
        <v>3-11</v>
      </c>
    </row>
    <row r="3037" ht="15.75" customHeight="1">
      <c r="A3037" s="1" t="s">
        <v>427</v>
      </c>
      <c r="B3037" s="1" t="s">
        <v>33</v>
      </c>
      <c r="C3037" s="1" t="s">
        <v>11</v>
      </c>
      <c r="D3037" s="5">
        <v>45365.0</v>
      </c>
      <c r="G3037" s="1">
        <f>VLOOKUP(B3037,'old-aw-skill-plan'!A:I,7,FALSE)</f>
        <v>3</v>
      </c>
      <c r="H3037" s="1" t="str">
        <f>VLOOKUP(B3037,'old-aw-skill-plan'!A:I,9,FALSE)</f>
        <v>3-5</v>
      </c>
    </row>
    <row r="3038" ht="15.75" customHeight="1">
      <c r="A3038" s="1" t="s">
        <v>216</v>
      </c>
      <c r="B3038" s="1" t="s">
        <v>34</v>
      </c>
      <c r="C3038" s="1" t="s">
        <v>11</v>
      </c>
      <c r="D3038" s="5">
        <v>45364.0</v>
      </c>
      <c r="G3038" s="1">
        <f>VLOOKUP(B3038,'old-aw-skill-plan'!A:I,7,FALSE)</f>
        <v>4</v>
      </c>
      <c r="H3038" s="1" t="str">
        <f>VLOOKUP(B3038,'old-aw-skill-plan'!A:I,9,FALSE)</f>
        <v>4-1</v>
      </c>
    </row>
    <row r="3039" ht="15.75" customHeight="1">
      <c r="A3039" s="1" t="s">
        <v>41</v>
      </c>
      <c r="B3039" s="1" t="s">
        <v>28</v>
      </c>
      <c r="C3039" s="1" t="s">
        <v>11</v>
      </c>
      <c r="D3039" s="5">
        <v>45364.0</v>
      </c>
      <c r="G3039" s="1">
        <f>VLOOKUP(B3039,'old-aw-skill-plan'!A:I,7,FALSE)</f>
        <v>3</v>
      </c>
      <c r="H3039" s="1" t="str">
        <f>VLOOKUP(B3039,'old-aw-skill-plan'!A:I,9,FALSE)</f>
        <v>3-4</v>
      </c>
    </row>
    <row r="3040" ht="15.75" customHeight="1">
      <c r="A3040" s="1" t="s">
        <v>273</v>
      </c>
      <c r="B3040" s="1" t="s">
        <v>118</v>
      </c>
      <c r="C3040" s="1" t="s">
        <v>11</v>
      </c>
      <c r="D3040" s="5">
        <v>45364.0</v>
      </c>
      <c r="G3040" s="1">
        <f>VLOOKUP(B3040,'old-aw-skill-plan'!A:I,7,FALSE)</f>
        <v>3</v>
      </c>
      <c r="H3040" s="1" t="str">
        <f>VLOOKUP(B3040,'old-aw-skill-plan'!A:I,9,FALSE)</f>
        <v>3-12</v>
      </c>
    </row>
    <row r="3041" ht="15.75" customHeight="1">
      <c r="A3041" s="1" t="s">
        <v>421</v>
      </c>
      <c r="B3041" s="1" t="s">
        <v>104</v>
      </c>
      <c r="C3041" s="1" t="s">
        <v>11</v>
      </c>
      <c r="D3041" s="5">
        <v>45364.0</v>
      </c>
      <c r="G3041" s="1">
        <f>VLOOKUP(B3041,'old-aw-skill-plan'!A:I,7,FALSE)</f>
        <v>5</v>
      </c>
      <c r="H3041" s="1" t="str">
        <f>VLOOKUP(B3041,'old-aw-skill-plan'!A:I,9,FALSE)</f>
        <v>5-2</v>
      </c>
    </row>
    <row r="3042" ht="15.75" customHeight="1">
      <c r="A3042" s="1" t="s">
        <v>230</v>
      </c>
      <c r="B3042" s="1" t="s">
        <v>28</v>
      </c>
      <c r="C3042" s="1" t="s">
        <v>11</v>
      </c>
      <c r="D3042" s="5">
        <v>45364.0</v>
      </c>
      <c r="G3042" s="1">
        <f>VLOOKUP(B3042,'old-aw-skill-plan'!A:I,7,FALSE)</f>
        <v>3</v>
      </c>
      <c r="H3042" s="1" t="str">
        <f>VLOOKUP(B3042,'old-aw-skill-plan'!A:I,9,FALSE)</f>
        <v>3-4</v>
      </c>
    </row>
    <row r="3043" ht="15.75" customHeight="1">
      <c r="A3043" s="1" t="s">
        <v>230</v>
      </c>
      <c r="B3043" s="1" t="s">
        <v>33</v>
      </c>
      <c r="C3043" s="1" t="s">
        <v>11</v>
      </c>
      <c r="D3043" s="5">
        <v>45364.0</v>
      </c>
      <c r="G3043" s="1">
        <f>VLOOKUP(B3043,'old-aw-skill-plan'!A:I,7,FALSE)</f>
        <v>3</v>
      </c>
      <c r="H3043" s="1" t="str">
        <f>VLOOKUP(B3043,'old-aw-skill-plan'!A:I,9,FALSE)</f>
        <v>3-5</v>
      </c>
    </row>
    <row r="3044" ht="15.75" customHeight="1">
      <c r="A3044" s="1" t="s">
        <v>432</v>
      </c>
      <c r="B3044" s="1" t="s">
        <v>115</v>
      </c>
      <c r="C3044" s="1" t="s">
        <v>11</v>
      </c>
      <c r="D3044" s="5">
        <v>45364.0</v>
      </c>
      <c r="G3044" s="1">
        <f>VLOOKUP(B3044,'old-aw-skill-plan'!A:I,7,FALSE)</f>
        <v>3</v>
      </c>
      <c r="H3044" s="1" t="str">
        <f>VLOOKUP(B3044,'old-aw-skill-plan'!A:I,9,FALSE)</f>
        <v>3-10</v>
      </c>
    </row>
    <row r="3045" ht="15.75" customHeight="1">
      <c r="A3045" s="1" t="s">
        <v>226</v>
      </c>
      <c r="B3045" s="1" t="s">
        <v>118</v>
      </c>
      <c r="C3045" s="1" t="s">
        <v>11</v>
      </c>
      <c r="D3045" s="5">
        <v>45364.0</v>
      </c>
      <c r="G3045" s="1">
        <f>VLOOKUP(B3045,'old-aw-skill-plan'!A:I,7,FALSE)</f>
        <v>3</v>
      </c>
      <c r="H3045" s="1" t="str">
        <f>VLOOKUP(B3045,'old-aw-skill-plan'!A:I,9,FALSE)</f>
        <v>3-12</v>
      </c>
    </row>
    <row r="3046" ht="15.75" customHeight="1">
      <c r="A3046" s="1" t="s">
        <v>226</v>
      </c>
      <c r="B3046" s="1" t="s">
        <v>335</v>
      </c>
      <c r="C3046" s="1" t="s">
        <v>11</v>
      </c>
      <c r="D3046" s="5">
        <v>45364.0</v>
      </c>
      <c r="G3046" s="1">
        <f>VLOOKUP(B3046,'old-aw-skill-plan'!A:I,7,FALSE)</f>
        <v>6</v>
      </c>
      <c r="H3046" s="1" t="str">
        <f>VLOOKUP(B3046,'old-aw-skill-plan'!A:I,9,FALSE)</f>
        <v>6-2</v>
      </c>
    </row>
    <row r="3047" ht="15.75" customHeight="1">
      <c r="A3047" s="1" t="s">
        <v>225</v>
      </c>
      <c r="B3047" s="1" t="s">
        <v>66</v>
      </c>
      <c r="C3047" s="1" t="s">
        <v>11</v>
      </c>
      <c r="D3047" s="5">
        <v>45364.0</v>
      </c>
      <c r="G3047" s="1">
        <f>VLOOKUP(B3047,'old-aw-skill-plan'!A:I,7,FALSE)</f>
        <v>4</v>
      </c>
      <c r="H3047" s="1" t="str">
        <f>VLOOKUP(B3047,'old-aw-skill-plan'!A:I,9,FALSE)</f>
        <v>4-9</v>
      </c>
    </row>
    <row r="3048" ht="15.75" customHeight="1">
      <c r="A3048" s="1" t="s">
        <v>31</v>
      </c>
      <c r="B3048" s="1" t="s">
        <v>10</v>
      </c>
      <c r="C3048" s="1" t="s">
        <v>11</v>
      </c>
      <c r="D3048" s="5">
        <v>45363.0</v>
      </c>
      <c r="G3048" s="1">
        <f>VLOOKUP(B3048,'old-aw-skill-plan'!A:I,7,FALSE)</f>
        <v>3</v>
      </c>
      <c r="H3048" s="1" t="str">
        <f>VLOOKUP(B3048,'old-aw-skill-plan'!A:I,9,FALSE)</f>
        <v>3-1</v>
      </c>
    </row>
    <row r="3049" ht="15.75" customHeight="1">
      <c r="A3049" s="1" t="s">
        <v>434</v>
      </c>
      <c r="B3049" s="1" t="s">
        <v>117</v>
      </c>
      <c r="C3049" s="1" t="s">
        <v>11</v>
      </c>
      <c r="D3049" s="5">
        <v>45363.0</v>
      </c>
      <c r="G3049" s="1">
        <f>VLOOKUP(B3049,'old-aw-skill-plan'!A:I,7,FALSE)</f>
        <v>3</v>
      </c>
      <c r="H3049" s="1" t="str">
        <f>VLOOKUP(B3049,'old-aw-skill-plan'!A:I,9,FALSE)</f>
        <v>3-11</v>
      </c>
    </row>
    <row r="3050" ht="15.75" customHeight="1">
      <c r="A3050" s="1" t="s">
        <v>36</v>
      </c>
      <c r="B3050" s="1" t="s">
        <v>33</v>
      </c>
      <c r="C3050" s="1" t="s">
        <v>11</v>
      </c>
      <c r="D3050" s="5">
        <v>45363.0</v>
      </c>
      <c r="G3050" s="1">
        <f>VLOOKUP(B3050,'old-aw-skill-plan'!A:I,7,FALSE)</f>
        <v>3</v>
      </c>
      <c r="H3050" s="1" t="str">
        <f>VLOOKUP(B3050,'old-aw-skill-plan'!A:I,9,FALSE)</f>
        <v>3-5</v>
      </c>
    </row>
    <row r="3051" ht="15.75" customHeight="1">
      <c r="A3051" s="1" t="s">
        <v>56</v>
      </c>
      <c r="B3051" s="1" t="s">
        <v>28</v>
      </c>
      <c r="C3051" s="1" t="s">
        <v>11</v>
      </c>
      <c r="D3051" s="5">
        <v>45363.0</v>
      </c>
      <c r="G3051" s="1">
        <f>VLOOKUP(B3051,'old-aw-skill-plan'!A:I,7,FALSE)</f>
        <v>3</v>
      </c>
      <c r="H3051" s="1" t="str">
        <f>VLOOKUP(B3051,'old-aw-skill-plan'!A:I,9,FALSE)</f>
        <v>3-4</v>
      </c>
    </row>
    <row r="3052" ht="15.75" customHeight="1">
      <c r="A3052" s="1" t="s">
        <v>421</v>
      </c>
      <c r="B3052" s="1" t="s">
        <v>104</v>
      </c>
      <c r="C3052" s="1" t="s">
        <v>11</v>
      </c>
      <c r="D3052" s="5">
        <v>45363.0</v>
      </c>
      <c r="G3052" s="1">
        <f>VLOOKUP(B3052,'old-aw-skill-plan'!A:I,7,FALSE)</f>
        <v>5</v>
      </c>
      <c r="H3052" s="1" t="str">
        <f>VLOOKUP(B3052,'old-aw-skill-plan'!A:I,9,FALSE)</f>
        <v>5-2</v>
      </c>
    </row>
    <row r="3053" ht="15.75" customHeight="1">
      <c r="A3053" s="1" t="s">
        <v>230</v>
      </c>
      <c r="B3053" s="1" t="s">
        <v>28</v>
      </c>
      <c r="C3053" s="1" t="s">
        <v>11</v>
      </c>
      <c r="D3053" s="5">
        <v>45363.0</v>
      </c>
      <c r="G3053" s="1">
        <f>VLOOKUP(B3053,'old-aw-skill-plan'!A:I,7,FALSE)</f>
        <v>3</v>
      </c>
      <c r="H3053" s="1" t="str">
        <f>VLOOKUP(B3053,'old-aw-skill-plan'!A:I,9,FALSE)</f>
        <v>3-4</v>
      </c>
    </row>
    <row r="3054" ht="15.75" customHeight="1">
      <c r="A3054" s="1" t="s">
        <v>428</v>
      </c>
      <c r="B3054" s="1" t="s">
        <v>40</v>
      </c>
      <c r="C3054" s="1" t="s">
        <v>11</v>
      </c>
      <c r="D3054" s="5">
        <v>45363.0</v>
      </c>
      <c r="G3054" s="1">
        <f>VLOOKUP(B3054,'old-aw-skill-plan'!A:I,7,FALSE)</f>
        <v>4</v>
      </c>
      <c r="H3054" s="1" t="str">
        <f>VLOOKUP(B3054,'old-aw-skill-plan'!A:I,9,FALSE)</f>
        <v>4-10</v>
      </c>
    </row>
    <row r="3055" ht="15.75" customHeight="1">
      <c r="A3055" s="1" t="s">
        <v>197</v>
      </c>
      <c r="B3055" s="1" t="s">
        <v>363</v>
      </c>
      <c r="C3055" s="1" t="s">
        <v>11</v>
      </c>
      <c r="D3055" s="5">
        <v>45363.0</v>
      </c>
      <c r="G3055" s="1">
        <f>VLOOKUP(B3055,'old-aw-skill-plan'!A:I,7,FALSE)</f>
        <v>7</v>
      </c>
      <c r="H3055" s="1" t="str">
        <f>VLOOKUP(B3055,'old-aw-skill-plan'!A:I,9,FALSE)</f>
        <v>7-1</v>
      </c>
    </row>
    <row r="3056" ht="15.75" customHeight="1">
      <c r="A3056" s="1" t="s">
        <v>373</v>
      </c>
      <c r="B3056" s="1" t="s">
        <v>116</v>
      </c>
      <c r="C3056" s="1" t="s">
        <v>11</v>
      </c>
      <c r="D3056" s="5">
        <v>45363.0</v>
      </c>
      <c r="G3056" s="1">
        <f>VLOOKUP(B3056,'old-aw-skill-plan'!A:I,7,FALSE)</f>
        <v>3</v>
      </c>
      <c r="H3056" s="1" t="str">
        <f>VLOOKUP(B3056,'old-aw-skill-plan'!A:I,9,FALSE)</f>
        <v>3-9</v>
      </c>
    </row>
    <row r="3057" ht="15.75" customHeight="1">
      <c r="A3057" s="1" t="s">
        <v>94</v>
      </c>
      <c r="B3057" s="1" t="s">
        <v>117</v>
      </c>
      <c r="C3057" s="1" t="s">
        <v>11</v>
      </c>
      <c r="D3057" s="5">
        <v>45363.0</v>
      </c>
      <c r="G3057" s="1">
        <f>VLOOKUP(B3057,'old-aw-skill-plan'!A:I,7,FALSE)</f>
        <v>3</v>
      </c>
      <c r="H3057" s="1" t="str">
        <f>VLOOKUP(B3057,'old-aw-skill-plan'!A:I,9,FALSE)</f>
        <v>3-11</v>
      </c>
    </row>
    <row r="3058" ht="15.75" customHeight="1">
      <c r="A3058" s="1" t="s">
        <v>110</v>
      </c>
      <c r="B3058" s="1" t="s">
        <v>10</v>
      </c>
      <c r="C3058" s="1" t="s">
        <v>11</v>
      </c>
      <c r="D3058" s="5">
        <v>45363.0</v>
      </c>
      <c r="G3058" s="1">
        <f>VLOOKUP(B3058,'old-aw-skill-plan'!A:I,7,FALSE)</f>
        <v>3</v>
      </c>
      <c r="H3058" s="1" t="str">
        <f>VLOOKUP(B3058,'old-aw-skill-plan'!A:I,9,FALSE)</f>
        <v>3-1</v>
      </c>
    </row>
    <row r="3059" ht="15.75" customHeight="1">
      <c r="A3059" s="1" t="s">
        <v>266</v>
      </c>
      <c r="B3059" s="1" t="s">
        <v>79</v>
      </c>
      <c r="C3059" s="1" t="s">
        <v>11</v>
      </c>
      <c r="D3059" s="5">
        <v>45362.0</v>
      </c>
      <c r="G3059" s="1">
        <f>VLOOKUP(B3059,'old-aw-skill-plan'!A:I,7,FALSE)</f>
        <v>4</v>
      </c>
      <c r="H3059" s="1" t="str">
        <f>VLOOKUP(B3059,'old-aw-skill-plan'!A:I,9,FALSE)</f>
        <v>4-8</v>
      </c>
    </row>
    <row r="3060" ht="15.75" customHeight="1">
      <c r="A3060" s="1" t="s">
        <v>41</v>
      </c>
      <c r="B3060" s="1" t="s">
        <v>28</v>
      </c>
      <c r="C3060" s="1" t="s">
        <v>11</v>
      </c>
      <c r="D3060" s="5">
        <v>45362.0</v>
      </c>
      <c r="G3060" s="1">
        <f>VLOOKUP(B3060,'old-aw-skill-plan'!A:I,7,FALSE)</f>
        <v>3</v>
      </c>
      <c r="H3060" s="1" t="str">
        <f>VLOOKUP(B3060,'old-aw-skill-plan'!A:I,9,FALSE)</f>
        <v>3-4</v>
      </c>
    </row>
    <row r="3061" ht="15.75" customHeight="1">
      <c r="A3061" s="1" t="s">
        <v>46</v>
      </c>
      <c r="B3061" s="1" t="s">
        <v>47</v>
      </c>
      <c r="C3061" s="1" t="s">
        <v>11</v>
      </c>
      <c r="D3061" s="5">
        <v>45362.0</v>
      </c>
      <c r="G3061" s="1">
        <f>VLOOKUP(B3061,'old-aw-skill-plan'!A:I,7,FALSE)</f>
        <v>3</v>
      </c>
      <c r="H3061" s="1" t="str">
        <f>VLOOKUP(B3061,'old-aw-skill-plan'!A:I,9,FALSE)</f>
        <v>3-2</v>
      </c>
    </row>
    <row r="3062" ht="15.75" customHeight="1">
      <c r="A3062" s="1" t="s">
        <v>56</v>
      </c>
      <c r="B3062" s="1" t="s">
        <v>28</v>
      </c>
      <c r="C3062" s="1" t="s">
        <v>11</v>
      </c>
      <c r="D3062" s="5">
        <v>45362.0</v>
      </c>
      <c r="G3062" s="1">
        <f>VLOOKUP(B3062,'old-aw-skill-plan'!A:I,7,FALSE)</f>
        <v>3</v>
      </c>
      <c r="H3062" s="1" t="str">
        <f>VLOOKUP(B3062,'old-aw-skill-plan'!A:I,9,FALSE)</f>
        <v>3-4</v>
      </c>
    </row>
    <row r="3063" ht="15.75" customHeight="1">
      <c r="A3063" s="1" t="s">
        <v>421</v>
      </c>
      <c r="B3063" s="1" t="s">
        <v>44</v>
      </c>
      <c r="C3063" s="1" t="s">
        <v>11</v>
      </c>
      <c r="D3063" s="5">
        <v>45362.0</v>
      </c>
      <c r="G3063" s="1">
        <f>VLOOKUP(B3063,'old-aw-skill-plan'!A:I,7,FALSE)</f>
        <v>5</v>
      </c>
      <c r="H3063" s="1" t="str">
        <f>VLOOKUP(B3063,'old-aw-skill-plan'!A:I,9,FALSE)</f>
        <v>5-1</v>
      </c>
    </row>
    <row r="3064" ht="15.75" customHeight="1">
      <c r="A3064" s="1" t="s">
        <v>421</v>
      </c>
      <c r="B3064" s="1" t="s">
        <v>104</v>
      </c>
      <c r="C3064" s="1" t="s">
        <v>11</v>
      </c>
      <c r="D3064" s="5">
        <v>45362.0</v>
      </c>
      <c r="G3064" s="1">
        <f>VLOOKUP(B3064,'old-aw-skill-plan'!A:I,7,FALSE)</f>
        <v>5</v>
      </c>
      <c r="H3064" s="1" t="str">
        <f>VLOOKUP(B3064,'old-aw-skill-plan'!A:I,9,FALSE)</f>
        <v>5-2</v>
      </c>
    </row>
    <row r="3065" ht="15.75" customHeight="1">
      <c r="A3065" s="1" t="s">
        <v>428</v>
      </c>
      <c r="B3065" s="1" t="s">
        <v>40</v>
      </c>
      <c r="C3065" s="1" t="s">
        <v>11</v>
      </c>
      <c r="D3065" s="5">
        <v>45362.0</v>
      </c>
      <c r="G3065" s="1">
        <f>VLOOKUP(B3065,'old-aw-skill-plan'!A:I,7,FALSE)</f>
        <v>4</v>
      </c>
      <c r="H3065" s="1" t="str">
        <f>VLOOKUP(B3065,'old-aw-skill-plan'!A:I,9,FALSE)</f>
        <v>4-10</v>
      </c>
    </row>
    <row r="3066" ht="15.75" customHeight="1">
      <c r="A3066" s="1" t="s">
        <v>276</v>
      </c>
      <c r="B3066" s="1" t="s">
        <v>120</v>
      </c>
      <c r="C3066" s="1" t="s">
        <v>11</v>
      </c>
      <c r="D3066" s="5">
        <v>45362.0</v>
      </c>
      <c r="G3066" s="1">
        <f>VLOOKUP(B3066,'old-aw-skill-plan'!A:I,7,FALSE)</f>
        <v>5</v>
      </c>
      <c r="H3066" s="1" t="str">
        <f>VLOOKUP(B3066,'old-aw-skill-plan'!A:I,9,FALSE)</f>
        <v>5-11</v>
      </c>
    </row>
    <row r="3067" ht="15.75" customHeight="1">
      <c r="A3067" s="1" t="s">
        <v>431</v>
      </c>
      <c r="B3067" s="1" t="s">
        <v>327</v>
      </c>
      <c r="C3067" s="1" t="s">
        <v>11</v>
      </c>
      <c r="D3067" s="5">
        <v>45359.0</v>
      </c>
      <c r="G3067" s="1">
        <f>VLOOKUP(B3067,'old-aw-skill-plan'!A:I,7,FALSE)</f>
        <v>8</v>
      </c>
      <c r="H3067" s="1" t="str">
        <f>VLOOKUP(B3067,'old-aw-skill-plan'!A:I,9,FALSE)</f>
        <v>8-2</v>
      </c>
    </row>
    <row r="3068" ht="15.75" customHeight="1">
      <c r="A3068" s="1" t="s">
        <v>431</v>
      </c>
      <c r="B3068" s="1" t="s">
        <v>371</v>
      </c>
      <c r="C3068" s="1" t="s">
        <v>11</v>
      </c>
      <c r="D3068" s="5">
        <v>45359.0</v>
      </c>
      <c r="G3068" s="1" t="str">
        <f>VLOOKUP(B3068,'old-aw-skill-plan'!A:I,7,FALSE)</f>
        <v>#N/A</v>
      </c>
      <c r="H3068" s="1" t="str">
        <f>VLOOKUP(B3068,'old-aw-skill-plan'!A:I,9,FALSE)</f>
        <v>#N/A</v>
      </c>
    </row>
    <row r="3069" ht="15.75" customHeight="1">
      <c r="A3069" s="1" t="s">
        <v>431</v>
      </c>
      <c r="B3069" s="1" t="s">
        <v>397</v>
      </c>
      <c r="C3069" s="1" t="s">
        <v>11</v>
      </c>
      <c r="D3069" s="5">
        <v>45359.0</v>
      </c>
      <c r="G3069" s="1" t="str">
        <f>VLOOKUP(B3069,'old-aw-skill-plan'!A:I,7,FALSE)</f>
        <v>#N/A</v>
      </c>
      <c r="H3069" s="1" t="str">
        <f>VLOOKUP(B3069,'old-aw-skill-plan'!A:I,9,FALSE)</f>
        <v>#N/A</v>
      </c>
    </row>
    <row r="3070" ht="15.75" customHeight="1">
      <c r="A3070" s="1" t="s">
        <v>373</v>
      </c>
      <c r="B3070" s="1" t="s">
        <v>33</v>
      </c>
      <c r="C3070" s="1" t="s">
        <v>11</v>
      </c>
      <c r="D3070" s="5">
        <v>45359.0</v>
      </c>
      <c r="G3070" s="1">
        <f>VLOOKUP(B3070,'old-aw-skill-plan'!A:I,7,FALSE)</f>
        <v>3</v>
      </c>
      <c r="H3070" s="1" t="str">
        <f>VLOOKUP(B3070,'old-aw-skill-plan'!A:I,9,FALSE)</f>
        <v>3-5</v>
      </c>
    </row>
    <row r="3071" ht="15.75" customHeight="1">
      <c r="A3071" s="1" t="s">
        <v>31</v>
      </c>
      <c r="B3071" s="1" t="s">
        <v>10</v>
      </c>
      <c r="C3071" s="1" t="s">
        <v>11</v>
      </c>
      <c r="D3071" s="5">
        <v>45358.0</v>
      </c>
      <c r="G3071" s="1">
        <f>VLOOKUP(B3071,'old-aw-skill-plan'!A:I,7,FALSE)</f>
        <v>3</v>
      </c>
      <c r="H3071" s="1" t="str">
        <f>VLOOKUP(B3071,'old-aw-skill-plan'!A:I,9,FALSE)</f>
        <v>3-1</v>
      </c>
    </row>
    <row r="3072" ht="15.75" customHeight="1">
      <c r="A3072" s="1" t="s">
        <v>41</v>
      </c>
      <c r="B3072" s="1" t="s">
        <v>30</v>
      </c>
      <c r="C3072" s="1" t="s">
        <v>11</v>
      </c>
      <c r="D3072" s="5">
        <v>45358.0</v>
      </c>
      <c r="G3072" s="1">
        <f>VLOOKUP(B3072,'old-aw-skill-plan'!A:I,7,FALSE)</f>
        <v>3</v>
      </c>
      <c r="H3072" s="1" t="str">
        <f>VLOOKUP(B3072,'old-aw-skill-plan'!A:I,9,FALSE)</f>
        <v>3-3</v>
      </c>
    </row>
    <row r="3073" ht="15.75" customHeight="1">
      <c r="A3073" s="1" t="s">
        <v>434</v>
      </c>
      <c r="B3073" s="1" t="s">
        <v>117</v>
      </c>
      <c r="C3073" s="1" t="s">
        <v>11</v>
      </c>
      <c r="D3073" s="5">
        <v>45358.0</v>
      </c>
      <c r="G3073" s="1">
        <f>VLOOKUP(B3073,'old-aw-skill-plan'!A:I,7,FALSE)</f>
        <v>3</v>
      </c>
      <c r="H3073" s="1" t="str">
        <f>VLOOKUP(B3073,'old-aw-skill-plan'!A:I,9,FALSE)</f>
        <v>3-11</v>
      </c>
    </row>
    <row r="3074" ht="15.75" customHeight="1">
      <c r="A3074" s="1" t="s">
        <v>213</v>
      </c>
      <c r="B3074" s="1" t="s">
        <v>47</v>
      </c>
      <c r="C3074" s="1" t="s">
        <v>11</v>
      </c>
      <c r="D3074" s="5">
        <v>45358.0</v>
      </c>
      <c r="G3074" s="1">
        <f>VLOOKUP(B3074,'old-aw-skill-plan'!A:I,7,FALSE)</f>
        <v>3</v>
      </c>
      <c r="H3074" s="1" t="str">
        <f>VLOOKUP(B3074,'old-aw-skill-plan'!A:I,9,FALSE)</f>
        <v>3-2</v>
      </c>
    </row>
    <row r="3075" ht="15.75" customHeight="1">
      <c r="A3075" s="1" t="s">
        <v>428</v>
      </c>
      <c r="B3075" s="1" t="s">
        <v>40</v>
      </c>
      <c r="C3075" s="1" t="s">
        <v>11</v>
      </c>
      <c r="D3075" s="5">
        <v>45358.0</v>
      </c>
      <c r="G3075" s="1">
        <f>VLOOKUP(B3075,'old-aw-skill-plan'!A:I,7,FALSE)</f>
        <v>4</v>
      </c>
      <c r="H3075" s="1" t="str">
        <f>VLOOKUP(B3075,'old-aw-skill-plan'!A:I,9,FALSE)</f>
        <v>4-10</v>
      </c>
    </row>
    <row r="3076" ht="15.75" customHeight="1">
      <c r="A3076" s="1" t="s">
        <v>420</v>
      </c>
      <c r="B3076" s="1" t="s">
        <v>91</v>
      </c>
      <c r="C3076" s="1" t="s">
        <v>11</v>
      </c>
      <c r="D3076" s="5">
        <v>45358.0</v>
      </c>
      <c r="G3076" s="1">
        <f>VLOOKUP(B3076,'old-aw-skill-plan'!A:I,7,FALSE)</f>
        <v>6</v>
      </c>
      <c r="H3076" s="1" t="str">
        <f>VLOOKUP(B3076,'old-aw-skill-plan'!A:I,9,FALSE)</f>
        <v>6-1</v>
      </c>
    </row>
    <row r="3077" ht="15.75" customHeight="1">
      <c r="A3077" s="1" t="s">
        <v>431</v>
      </c>
      <c r="B3077" s="1" t="s">
        <v>435</v>
      </c>
      <c r="C3077" s="1" t="s">
        <v>11</v>
      </c>
      <c r="D3077" s="5">
        <v>45358.0</v>
      </c>
      <c r="G3077" s="1" t="str">
        <f>VLOOKUP(B3077,'old-aw-skill-plan'!A:I,7,FALSE)</f>
        <v>#N/A</v>
      </c>
      <c r="H3077" s="1" t="str">
        <f>VLOOKUP(B3077,'old-aw-skill-plan'!A:I,9,FALSE)</f>
        <v>#N/A</v>
      </c>
    </row>
    <row r="3078" ht="15.75" customHeight="1">
      <c r="A3078" s="1" t="s">
        <v>432</v>
      </c>
      <c r="B3078" s="1" t="s">
        <v>33</v>
      </c>
      <c r="C3078" s="1" t="s">
        <v>11</v>
      </c>
      <c r="D3078" s="5">
        <v>45358.0</v>
      </c>
      <c r="G3078" s="1">
        <f>VLOOKUP(B3078,'old-aw-skill-plan'!A:I,7,FALSE)</f>
        <v>3</v>
      </c>
      <c r="H3078" s="1" t="str">
        <f>VLOOKUP(B3078,'old-aw-skill-plan'!A:I,9,FALSE)</f>
        <v>3-5</v>
      </c>
    </row>
    <row r="3079" ht="15.75" customHeight="1">
      <c r="A3079" s="1" t="s">
        <v>197</v>
      </c>
      <c r="B3079" s="1" t="s">
        <v>363</v>
      </c>
      <c r="C3079" s="1" t="s">
        <v>11</v>
      </c>
      <c r="D3079" s="5">
        <v>45358.0</v>
      </c>
      <c r="G3079" s="1">
        <f>VLOOKUP(B3079,'old-aw-skill-plan'!A:I,7,FALSE)</f>
        <v>7</v>
      </c>
      <c r="H3079" s="1" t="str">
        <f>VLOOKUP(B3079,'old-aw-skill-plan'!A:I,9,FALSE)</f>
        <v>7-1</v>
      </c>
    </row>
    <row r="3080" ht="15.75" customHeight="1">
      <c r="A3080" s="1" t="s">
        <v>93</v>
      </c>
      <c r="B3080" s="1" t="s">
        <v>117</v>
      </c>
      <c r="C3080" s="1" t="s">
        <v>11</v>
      </c>
      <c r="D3080" s="5">
        <v>45358.0</v>
      </c>
      <c r="G3080" s="1">
        <f>VLOOKUP(B3080,'old-aw-skill-plan'!A:I,7,FALSE)</f>
        <v>3</v>
      </c>
      <c r="H3080" s="1" t="str">
        <f>VLOOKUP(B3080,'old-aw-skill-plan'!A:I,9,FALSE)</f>
        <v>3-11</v>
      </c>
    </row>
    <row r="3081" ht="15.75" customHeight="1">
      <c r="A3081" s="1" t="s">
        <v>31</v>
      </c>
      <c r="B3081" s="1" t="s">
        <v>10</v>
      </c>
      <c r="C3081" s="1" t="s">
        <v>11</v>
      </c>
      <c r="D3081" s="5">
        <v>45357.0</v>
      </c>
      <c r="G3081" s="1">
        <f>VLOOKUP(B3081,'old-aw-skill-plan'!A:I,7,FALSE)</f>
        <v>3</v>
      </c>
      <c r="H3081" s="1" t="str">
        <f>VLOOKUP(B3081,'old-aw-skill-plan'!A:I,9,FALSE)</f>
        <v>3-1</v>
      </c>
    </row>
    <row r="3082" ht="15.75" customHeight="1">
      <c r="A3082" s="1" t="s">
        <v>41</v>
      </c>
      <c r="B3082" s="1" t="s">
        <v>30</v>
      </c>
      <c r="C3082" s="1" t="s">
        <v>11</v>
      </c>
      <c r="D3082" s="5">
        <v>45357.0</v>
      </c>
      <c r="G3082" s="1">
        <f>VLOOKUP(B3082,'old-aw-skill-plan'!A:I,7,FALSE)</f>
        <v>3</v>
      </c>
      <c r="H3082" s="1" t="str">
        <f>VLOOKUP(B3082,'old-aw-skill-plan'!A:I,9,FALSE)</f>
        <v>3-3</v>
      </c>
    </row>
    <row r="3083" ht="15.75" customHeight="1">
      <c r="A3083" s="1" t="s">
        <v>421</v>
      </c>
      <c r="B3083" s="1" t="s">
        <v>44</v>
      </c>
      <c r="C3083" s="1" t="s">
        <v>11</v>
      </c>
      <c r="D3083" s="5">
        <v>45357.0</v>
      </c>
      <c r="G3083" s="1">
        <f>VLOOKUP(B3083,'old-aw-skill-plan'!A:I,7,FALSE)</f>
        <v>5</v>
      </c>
      <c r="H3083" s="1" t="str">
        <f>VLOOKUP(B3083,'old-aw-skill-plan'!A:I,9,FALSE)</f>
        <v>5-1</v>
      </c>
    </row>
    <row r="3084" ht="15.75" customHeight="1">
      <c r="A3084" s="1" t="s">
        <v>431</v>
      </c>
      <c r="B3084" s="1" t="s">
        <v>130</v>
      </c>
      <c r="C3084" s="1" t="s">
        <v>11</v>
      </c>
      <c r="D3084" s="5">
        <v>45357.0</v>
      </c>
      <c r="G3084" s="1">
        <f>VLOOKUP(B3084,'old-aw-skill-plan'!A:I,7,FALSE)</f>
        <v>8</v>
      </c>
      <c r="H3084" s="1" t="str">
        <f>VLOOKUP(B3084,'old-aw-skill-plan'!A:I,9,FALSE)</f>
        <v>8-1</v>
      </c>
    </row>
    <row r="3085" ht="15.75" customHeight="1">
      <c r="A3085" s="1" t="s">
        <v>431</v>
      </c>
      <c r="B3085" s="1" t="s">
        <v>327</v>
      </c>
      <c r="C3085" s="1" t="s">
        <v>11</v>
      </c>
      <c r="D3085" s="5">
        <v>45357.0</v>
      </c>
      <c r="G3085" s="1">
        <f>VLOOKUP(B3085,'old-aw-skill-plan'!A:I,7,FALSE)</f>
        <v>8</v>
      </c>
      <c r="H3085" s="1" t="str">
        <f>VLOOKUP(B3085,'old-aw-skill-plan'!A:I,9,FALSE)</f>
        <v>8-2</v>
      </c>
    </row>
    <row r="3086" ht="15.75" customHeight="1">
      <c r="A3086" s="1" t="s">
        <v>266</v>
      </c>
      <c r="B3086" s="1" t="s">
        <v>123</v>
      </c>
      <c r="C3086" s="1" t="s">
        <v>11</v>
      </c>
      <c r="D3086" s="5">
        <v>45356.0</v>
      </c>
      <c r="G3086" s="1">
        <f>VLOOKUP(B3086,'old-aw-skill-plan'!A:I,7,FALSE)</f>
        <v>4</v>
      </c>
      <c r="H3086" s="1" t="str">
        <f>VLOOKUP(B3086,'old-aw-skill-plan'!A:I,9,FALSE)</f>
        <v>4-12</v>
      </c>
    </row>
    <row r="3087" ht="15.75" customHeight="1">
      <c r="A3087" s="1" t="s">
        <v>22</v>
      </c>
      <c r="B3087" s="1" t="s">
        <v>79</v>
      </c>
      <c r="C3087" s="1" t="s">
        <v>11</v>
      </c>
      <c r="D3087" s="5">
        <v>45356.0</v>
      </c>
      <c r="G3087" s="1">
        <f>VLOOKUP(B3087,'old-aw-skill-plan'!A:I,7,FALSE)</f>
        <v>4</v>
      </c>
      <c r="H3087" s="1" t="str">
        <f>VLOOKUP(B3087,'old-aw-skill-plan'!A:I,9,FALSE)</f>
        <v>4-8</v>
      </c>
    </row>
    <row r="3088" ht="15.75" customHeight="1">
      <c r="A3088" s="1" t="s">
        <v>31</v>
      </c>
      <c r="B3088" s="1" t="s">
        <v>10</v>
      </c>
      <c r="C3088" s="1" t="s">
        <v>11</v>
      </c>
      <c r="D3088" s="5">
        <v>45356.0</v>
      </c>
      <c r="G3088" s="1">
        <f>VLOOKUP(B3088,'old-aw-skill-plan'!A:I,7,FALSE)</f>
        <v>3</v>
      </c>
      <c r="H3088" s="1" t="str">
        <f>VLOOKUP(B3088,'old-aw-skill-plan'!A:I,9,FALSE)</f>
        <v>3-1</v>
      </c>
    </row>
    <row r="3089" ht="15.75" customHeight="1">
      <c r="A3089" s="1" t="s">
        <v>216</v>
      </c>
      <c r="B3089" s="1" t="s">
        <v>34</v>
      </c>
      <c r="C3089" s="1" t="s">
        <v>11</v>
      </c>
      <c r="D3089" s="5">
        <v>45356.0</v>
      </c>
      <c r="G3089" s="1">
        <f>VLOOKUP(B3089,'old-aw-skill-plan'!A:I,7,FALSE)</f>
        <v>4</v>
      </c>
      <c r="H3089" s="1" t="str">
        <f>VLOOKUP(B3089,'old-aw-skill-plan'!A:I,9,FALSE)</f>
        <v>4-1</v>
      </c>
    </row>
    <row r="3090" ht="15.75" customHeight="1">
      <c r="A3090" s="1" t="s">
        <v>41</v>
      </c>
      <c r="B3090" s="1" t="s">
        <v>47</v>
      </c>
      <c r="C3090" s="1" t="s">
        <v>11</v>
      </c>
      <c r="D3090" s="5">
        <v>45356.0</v>
      </c>
      <c r="G3090" s="1">
        <f>VLOOKUP(B3090,'old-aw-skill-plan'!A:I,7,FALSE)</f>
        <v>3</v>
      </c>
      <c r="H3090" s="1" t="str">
        <f>VLOOKUP(B3090,'old-aw-skill-plan'!A:I,9,FALSE)</f>
        <v>3-2</v>
      </c>
    </row>
    <row r="3091" ht="15.75" customHeight="1">
      <c r="A3091" s="1" t="s">
        <v>24</v>
      </c>
      <c r="B3091" s="1" t="s">
        <v>37</v>
      </c>
      <c r="C3091" s="1" t="s">
        <v>11</v>
      </c>
      <c r="D3091" s="5">
        <v>45356.0</v>
      </c>
      <c r="G3091" s="1">
        <f>VLOOKUP(B3091,'old-aw-skill-plan'!A:I,7,FALSE)</f>
        <v>4</v>
      </c>
      <c r="H3091" s="1" t="str">
        <f>VLOOKUP(B3091,'old-aw-skill-plan'!A:I,9,FALSE)</f>
        <v>4-2</v>
      </c>
    </row>
    <row r="3092" ht="15.75" customHeight="1">
      <c r="A3092" s="1" t="s">
        <v>24</v>
      </c>
      <c r="B3092" s="1" t="s">
        <v>21</v>
      </c>
      <c r="C3092" s="1" t="s">
        <v>11</v>
      </c>
      <c r="D3092" s="5">
        <v>45356.0</v>
      </c>
      <c r="G3092" s="1">
        <f>VLOOKUP(B3092,'old-aw-skill-plan'!A:I,7,FALSE)</f>
        <v>4</v>
      </c>
      <c r="H3092" s="1" t="str">
        <f>VLOOKUP(B3092,'old-aw-skill-plan'!A:I,9,FALSE)</f>
        <v>4-6</v>
      </c>
    </row>
    <row r="3093" ht="15.75" customHeight="1">
      <c r="A3093" s="1" t="s">
        <v>213</v>
      </c>
      <c r="B3093" s="1" t="s">
        <v>28</v>
      </c>
      <c r="C3093" s="1" t="s">
        <v>11</v>
      </c>
      <c r="D3093" s="5">
        <v>45356.0</v>
      </c>
      <c r="G3093" s="1">
        <f>VLOOKUP(B3093,'old-aw-skill-plan'!A:I,7,FALSE)</f>
        <v>3</v>
      </c>
      <c r="H3093" s="1" t="str">
        <f>VLOOKUP(B3093,'old-aw-skill-plan'!A:I,9,FALSE)</f>
        <v>3-4</v>
      </c>
    </row>
    <row r="3094" ht="15.75" customHeight="1">
      <c r="A3094" s="1" t="s">
        <v>213</v>
      </c>
      <c r="B3094" s="1" t="s">
        <v>10</v>
      </c>
      <c r="C3094" s="1" t="s">
        <v>11</v>
      </c>
      <c r="D3094" s="5">
        <v>45356.0</v>
      </c>
      <c r="G3094" s="1">
        <f>VLOOKUP(B3094,'old-aw-skill-plan'!A:I,7,FALSE)</f>
        <v>3</v>
      </c>
      <c r="H3094" s="1" t="str">
        <f>VLOOKUP(B3094,'old-aw-skill-plan'!A:I,9,FALSE)</f>
        <v>3-1</v>
      </c>
    </row>
    <row r="3095" ht="15.75" customHeight="1">
      <c r="A3095" s="1" t="s">
        <v>36</v>
      </c>
      <c r="B3095" s="1" t="s">
        <v>33</v>
      </c>
      <c r="C3095" s="1" t="s">
        <v>11</v>
      </c>
      <c r="D3095" s="5">
        <v>45356.0</v>
      </c>
      <c r="G3095" s="1">
        <f>VLOOKUP(B3095,'old-aw-skill-plan'!A:I,7,FALSE)</f>
        <v>3</v>
      </c>
      <c r="H3095" s="1" t="str">
        <f>VLOOKUP(B3095,'old-aw-skill-plan'!A:I,9,FALSE)</f>
        <v>3-5</v>
      </c>
    </row>
    <row r="3096" ht="15.75" customHeight="1">
      <c r="A3096" s="1" t="s">
        <v>46</v>
      </c>
      <c r="B3096" s="1" t="s">
        <v>47</v>
      </c>
      <c r="C3096" s="1" t="s">
        <v>11</v>
      </c>
      <c r="D3096" s="5">
        <v>45356.0</v>
      </c>
      <c r="G3096" s="1">
        <f>VLOOKUP(B3096,'old-aw-skill-plan'!A:I,7,FALSE)</f>
        <v>3</v>
      </c>
      <c r="H3096" s="1" t="str">
        <f>VLOOKUP(B3096,'old-aw-skill-plan'!A:I,9,FALSE)</f>
        <v>3-2</v>
      </c>
    </row>
    <row r="3097" ht="15.75" customHeight="1">
      <c r="A3097" s="1" t="s">
        <v>274</v>
      </c>
      <c r="B3097" s="1" t="s">
        <v>44</v>
      </c>
      <c r="C3097" s="1" t="s">
        <v>11</v>
      </c>
      <c r="D3097" s="5">
        <v>45356.0</v>
      </c>
      <c r="G3097" s="1">
        <f>VLOOKUP(B3097,'old-aw-skill-plan'!A:I,7,FALSE)</f>
        <v>5</v>
      </c>
      <c r="H3097" s="1" t="str">
        <f>VLOOKUP(B3097,'old-aw-skill-plan'!A:I,9,FALSE)</f>
        <v>5-1</v>
      </c>
    </row>
    <row r="3098" ht="15.75" customHeight="1">
      <c r="A3098" s="1" t="s">
        <v>429</v>
      </c>
      <c r="B3098" s="1" t="s">
        <v>97</v>
      </c>
      <c r="C3098" s="1" t="s">
        <v>11</v>
      </c>
      <c r="D3098" s="5">
        <v>45356.0</v>
      </c>
      <c r="G3098" s="1">
        <f>VLOOKUP(B3098,'old-aw-skill-plan'!A:I,7,FALSE)</f>
        <v>4</v>
      </c>
      <c r="H3098" s="1" t="str">
        <f>VLOOKUP(B3098,'old-aw-skill-plan'!A:I,9,FALSE)</f>
        <v>4-3</v>
      </c>
    </row>
    <row r="3099" ht="15.75" customHeight="1">
      <c r="A3099" s="1" t="s">
        <v>421</v>
      </c>
      <c r="B3099" s="1" t="s">
        <v>44</v>
      </c>
      <c r="C3099" s="1" t="s">
        <v>11</v>
      </c>
      <c r="D3099" s="5">
        <v>45356.0</v>
      </c>
      <c r="G3099" s="1">
        <f>VLOOKUP(B3099,'old-aw-skill-plan'!A:I,7,FALSE)</f>
        <v>5</v>
      </c>
      <c r="H3099" s="1" t="str">
        <f>VLOOKUP(B3099,'old-aw-skill-plan'!A:I,9,FALSE)</f>
        <v>5-1</v>
      </c>
    </row>
    <row r="3100" ht="15.75" customHeight="1">
      <c r="A3100" s="1" t="s">
        <v>421</v>
      </c>
      <c r="B3100" s="1" t="s">
        <v>104</v>
      </c>
      <c r="C3100" s="1" t="s">
        <v>11</v>
      </c>
      <c r="D3100" s="5">
        <v>45356.0</v>
      </c>
      <c r="G3100" s="1">
        <f>VLOOKUP(B3100,'old-aw-skill-plan'!A:I,7,FALSE)</f>
        <v>5</v>
      </c>
      <c r="H3100" s="1" t="str">
        <f>VLOOKUP(B3100,'old-aw-skill-plan'!A:I,9,FALSE)</f>
        <v>5-2</v>
      </c>
    </row>
    <row r="3101" ht="15.75" customHeight="1">
      <c r="A3101" s="1" t="s">
        <v>431</v>
      </c>
      <c r="B3101" s="1" t="s">
        <v>120</v>
      </c>
      <c r="C3101" s="1" t="s">
        <v>11</v>
      </c>
      <c r="D3101" s="5">
        <v>45356.0</v>
      </c>
      <c r="G3101" s="1">
        <f>VLOOKUP(B3101,'old-aw-skill-plan'!A:I,7,FALSE)</f>
        <v>5</v>
      </c>
      <c r="H3101" s="1" t="str">
        <f>VLOOKUP(B3101,'old-aw-skill-plan'!A:I,9,FALSE)</f>
        <v>5-11</v>
      </c>
    </row>
    <row r="3102" ht="15.75" customHeight="1">
      <c r="A3102" s="1" t="s">
        <v>431</v>
      </c>
      <c r="B3102" s="1" t="s">
        <v>104</v>
      </c>
      <c r="C3102" s="1" t="s">
        <v>11</v>
      </c>
      <c r="D3102" s="5">
        <v>45356.0</v>
      </c>
      <c r="G3102" s="1">
        <f>VLOOKUP(B3102,'old-aw-skill-plan'!A:I,7,FALSE)</f>
        <v>5</v>
      </c>
      <c r="H3102" s="1" t="str">
        <f>VLOOKUP(B3102,'old-aw-skill-plan'!A:I,9,FALSE)</f>
        <v>5-2</v>
      </c>
    </row>
    <row r="3103" ht="15.75" customHeight="1">
      <c r="A3103" s="1" t="s">
        <v>432</v>
      </c>
      <c r="B3103" s="1" t="s">
        <v>57</v>
      </c>
      <c r="C3103" s="1" t="s">
        <v>11</v>
      </c>
      <c r="D3103" s="5">
        <v>45356.0</v>
      </c>
      <c r="G3103" s="1">
        <f>VLOOKUP(B3103,'old-aw-skill-plan'!A:I,7,FALSE)</f>
        <v>3</v>
      </c>
      <c r="H3103" s="1" t="str">
        <f>VLOOKUP(B3103,'old-aw-skill-plan'!A:I,9,FALSE)</f>
        <v>3-7</v>
      </c>
    </row>
    <row r="3104" ht="15.75" customHeight="1">
      <c r="A3104" s="1" t="s">
        <v>432</v>
      </c>
      <c r="B3104" s="1" t="s">
        <v>33</v>
      </c>
      <c r="C3104" s="1" t="s">
        <v>11</v>
      </c>
      <c r="D3104" s="5">
        <v>45356.0</v>
      </c>
      <c r="G3104" s="1">
        <f>VLOOKUP(B3104,'old-aw-skill-plan'!A:I,7,FALSE)</f>
        <v>3</v>
      </c>
      <c r="H3104" s="1" t="str">
        <f>VLOOKUP(B3104,'old-aw-skill-plan'!A:I,9,FALSE)</f>
        <v>3-5</v>
      </c>
    </row>
    <row r="3105" ht="15.75" customHeight="1">
      <c r="A3105" s="1" t="s">
        <v>211</v>
      </c>
      <c r="B3105" s="1" t="s">
        <v>48</v>
      </c>
      <c r="C3105" s="1" t="s">
        <v>11</v>
      </c>
      <c r="D3105" s="5">
        <v>45356.0</v>
      </c>
      <c r="G3105" s="1">
        <f>VLOOKUP(B3105,'old-aw-skill-plan'!A:I,7,FALSE)</f>
        <v>3</v>
      </c>
      <c r="H3105" s="1" t="str">
        <f>VLOOKUP(B3105,'old-aw-skill-plan'!A:I,9,FALSE)</f>
        <v>3-6</v>
      </c>
    </row>
    <row r="3106" ht="15.75" customHeight="1">
      <c r="A3106" s="1" t="s">
        <v>197</v>
      </c>
      <c r="B3106" s="1" t="s">
        <v>363</v>
      </c>
      <c r="C3106" s="1" t="s">
        <v>11</v>
      </c>
      <c r="D3106" s="5">
        <v>45356.0</v>
      </c>
      <c r="G3106" s="1">
        <f>VLOOKUP(B3106,'old-aw-skill-plan'!A:I,7,FALSE)</f>
        <v>7</v>
      </c>
      <c r="H3106" s="1" t="str">
        <f>VLOOKUP(B3106,'old-aw-skill-plan'!A:I,9,FALSE)</f>
        <v>7-1</v>
      </c>
    </row>
    <row r="3107" ht="15.75" customHeight="1">
      <c r="A3107" s="1" t="s">
        <v>197</v>
      </c>
      <c r="B3107" s="1" t="s">
        <v>384</v>
      </c>
      <c r="C3107" s="1" t="s">
        <v>11</v>
      </c>
      <c r="D3107" s="5">
        <v>45356.0</v>
      </c>
      <c r="G3107" s="1">
        <f>VLOOKUP(B3107,'old-aw-skill-plan'!A:I,7,FALSE)</f>
        <v>7</v>
      </c>
      <c r="H3107" s="1" t="str">
        <f>VLOOKUP(B3107,'old-aw-skill-plan'!A:I,9,FALSE)</f>
        <v>7-2</v>
      </c>
    </row>
    <row r="3108" ht="15.75" customHeight="1">
      <c r="A3108" s="1" t="s">
        <v>373</v>
      </c>
      <c r="B3108" s="1" t="s">
        <v>115</v>
      </c>
      <c r="C3108" s="1" t="s">
        <v>11</v>
      </c>
      <c r="D3108" s="5">
        <v>45356.0</v>
      </c>
      <c r="G3108" s="1">
        <f>VLOOKUP(B3108,'old-aw-skill-plan'!A:I,7,FALSE)</f>
        <v>3</v>
      </c>
      <c r="H3108" s="1" t="str">
        <f>VLOOKUP(B3108,'old-aw-skill-plan'!A:I,9,FALSE)</f>
        <v>3-10</v>
      </c>
    </row>
    <row r="3109" ht="15.75" customHeight="1">
      <c r="A3109" s="1" t="s">
        <v>373</v>
      </c>
      <c r="B3109" s="1" t="s">
        <v>30</v>
      </c>
      <c r="C3109" s="1" t="s">
        <v>11</v>
      </c>
      <c r="D3109" s="5">
        <v>45356.0</v>
      </c>
      <c r="G3109" s="1">
        <f>VLOOKUP(B3109,'old-aw-skill-plan'!A:I,7,FALSE)</f>
        <v>3</v>
      </c>
      <c r="H3109" s="1" t="str">
        <f>VLOOKUP(B3109,'old-aw-skill-plan'!A:I,9,FALSE)</f>
        <v>3-3</v>
      </c>
    </row>
    <row r="3110" ht="15.75" customHeight="1">
      <c r="A3110" s="1" t="s">
        <v>93</v>
      </c>
      <c r="B3110" s="1" t="s">
        <v>117</v>
      </c>
      <c r="C3110" s="1" t="s">
        <v>11</v>
      </c>
      <c r="D3110" s="5">
        <v>45356.0</v>
      </c>
      <c r="G3110" s="1">
        <f>VLOOKUP(B3110,'old-aw-skill-plan'!A:I,7,FALSE)</f>
        <v>3</v>
      </c>
      <c r="H3110" s="1" t="str">
        <f>VLOOKUP(B3110,'old-aw-skill-plan'!A:I,9,FALSE)</f>
        <v>3-11</v>
      </c>
    </row>
    <row r="3111" ht="15.75" customHeight="1">
      <c r="A3111" s="1" t="s">
        <v>436</v>
      </c>
      <c r="B3111" s="1" t="s">
        <v>335</v>
      </c>
      <c r="C3111" s="1" t="s">
        <v>11</v>
      </c>
      <c r="D3111" s="5">
        <v>45356.0</v>
      </c>
      <c r="G3111" s="1">
        <f>VLOOKUP(B3111,'old-aw-skill-plan'!A:I,7,FALSE)</f>
        <v>6</v>
      </c>
      <c r="H3111" s="1" t="str">
        <f>VLOOKUP(B3111,'old-aw-skill-plan'!A:I,9,FALSE)</f>
        <v>6-2</v>
      </c>
    </row>
    <row r="3112" ht="15.75" customHeight="1">
      <c r="A3112" s="1" t="s">
        <v>436</v>
      </c>
      <c r="B3112" s="1" t="s">
        <v>437</v>
      </c>
      <c r="C3112" s="1" t="s">
        <v>11</v>
      </c>
      <c r="D3112" s="5">
        <v>45356.0</v>
      </c>
      <c r="G3112" s="1">
        <f>VLOOKUP(B3112,'old-aw-skill-plan'!A:I,7,FALSE)</f>
        <v>3</v>
      </c>
      <c r="H3112" s="1" t="str">
        <f>VLOOKUP(B3112,'old-aw-skill-plan'!A:I,9,FALSE)</f>
        <v>3-10</v>
      </c>
    </row>
    <row r="3113" ht="15.75" customHeight="1">
      <c r="A3113" s="1" t="s">
        <v>266</v>
      </c>
      <c r="B3113" s="1" t="s">
        <v>40</v>
      </c>
      <c r="C3113" s="1" t="s">
        <v>11</v>
      </c>
      <c r="D3113" s="5">
        <v>45355.0</v>
      </c>
      <c r="G3113" s="1">
        <f>VLOOKUP(B3113,'old-aw-skill-plan'!A:I,7,FALSE)</f>
        <v>4</v>
      </c>
      <c r="H3113" s="1" t="str">
        <f>VLOOKUP(B3113,'old-aw-skill-plan'!A:I,9,FALSE)</f>
        <v>4-10</v>
      </c>
    </row>
    <row r="3114" ht="15.75" customHeight="1">
      <c r="A3114" s="1" t="s">
        <v>266</v>
      </c>
      <c r="B3114" s="1" t="s">
        <v>42</v>
      </c>
      <c r="C3114" s="1" t="s">
        <v>11</v>
      </c>
      <c r="D3114" s="5">
        <v>45355.0</v>
      </c>
      <c r="G3114" s="1">
        <f>VLOOKUP(B3114,'old-aw-skill-plan'!A:I,7,FALSE)</f>
        <v>4</v>
      </c>
      <c r="H3114" s="1" t="str">
        <f>VLOOKUP(B3114,'old-aw-skill-plan'!A:I,9,FALSE)</f>
        <v>4-11</v>
      </c>
    </row>
    <row r="3115" ht="15.75" customHeight="1">
      <c r="A3115" s="1" t="s">
        <v>266</v>
      </c>
      <c r="B3115" s="1" t="s">
        <v>123</v>
      </c>
      <c r="C3115" s="1" t="s">
        <v>11</v>
      </c>
      <c r="D3115" s="5">
        <v>45355.0</v>
      </c>
      <c r="G3115" s="1">
        <f>VLOOKUP(B3115,'old-aw-skill-plan'!A:I,7,FALSE)</f>
        <v>4</v>
      </c>
      <c r="H3115" s="1" t="str">
        <f>VLOOKUP(B3115,'old-aw-skill-plan'!A:I,9,FALSE)</f>
        <v>4-12</v>
      </c>
    </row>
    <row r="3116" ht="15.75" customHeight="1">
      <c r="A3116" s="1" t="s">
        <v>266</v>
      </c>
      <c r="B3116" s="1" t="s">
        <v>79</v>
      </c>
      <c r="C3116" s="1" t="s">
        <v>11</v>
      </c>
      <c r="D3116" s="5">
        <v>45355.0</v>
      </c>
      <c r="G3116" s="1">
        <f>VLOOKUP(B3116,'old-aw-skill-plan'!A:I,7,FALSE)</f>
        <v>4</v>
      </c>
      <c r="H3116" s="1" t="str">
        <f>VLOOKUP(B3116,'old-aw-skill-plan'!A:I,9,FALSE)</f>
        <v>4-8</v>
      </c>
    </row>
    <row r="3117" ht="15.75" customHeight="1">
      <c r="A3117" s="1" t="s">
        <v>36</v>
      </c>
      <c r="B3117" s="1" t="s">
        <v>33</v>
      </c>
      <c r="C3117" s="1" t="s">
        <v>11</v>
      </c>
      <c r="D3117" s="5">
        <v>45355.0</v>
      </c>
      <c r="G3117" s="1">
        <f>VLOOKUP(B3117,'old-aw-skill-plan'!A:I,7,FALSE)</f>
        <v>3</v>
      </c>
      <c r="H3117" s="1" t="str">
        <f>VLOOKUP(B3117,'old-aw-skill-plan'!A:I,9,FALSE)</f>
        <v>3-5</v>
      </c>
    </row>
    <row r="3118" ht="15.75" customHeight="1">
      <c r="A3118" s="1" t="s">
        <v>46</v>
      </c>
      <c r="B3118" s="1" t="s">
        <v>47</v>
      </c>
      <c r="C3118" s="1" t="s">
        <v>11</v>
      </c>
      <c r="D3118" s="5">
        <v>45355.0</v>
      </c>
      <c r="G3118" s="1">
        <f>VLOOKUP(B3118,'old-aw-skill-plan'!A:I,7,FALSE)</f>
        <v>3</v>
      </c>
      <c r="H3118" s="1" t="str">
        <f>VLOOKUP(B3118,'old-aw-skill-plan'!A:I,9,FALSE)</f>
        <v>3-2</v>
      </c>
    </row>
    <row r="3119" ht="15.75" customHeight="1">
      <c r="A3119" s="1" t="s">
        <v>421</v>
      </c>
      <c r="B3119" s="1" t="s">
        <v>44</v>
      </c>
      <c r="C3119" s="1" t="s">
        <v>11</v>
      </c>
      <c r="D3119" s="5">
        <v>45355.0</v>
      </c>
      <c r="G3119" s="1">
        <f>VLOOKUP(B3119,'old-aw-skill-plan'!A:I,7,FALSE)</f>
        <v>5</v>
      </c>
      <c r="H3119" s="1" t="str">
        <f>VLOOKUP(B3119,'old-aw-skill-plan'!A:I,9,FALSE)</f>
        <v>5-1</v>
      </c>
    </row>
    <row r="3120" ht="15.75" customHeight="1">
      <c r="A3120" s="1" t="s">
        <v>421</v>
      </c>
      <c r="B3120" s="1" t="s">
        <v>104</v>
      </c>
      <c r="C3120" s="1" t="s">
        <v>11</v>
      </c>
      <c r="D3120" s="5">
        <v>45355.0</v>
      </c>
      <c r="G3120" s="1">
        <f>VLOOKUP(B3120,'old-aw-skill-plan'!A:I,7,FALSE)</f>
        <v>5</v>
      </c>
      <c r="H3120" s="1" t="str">
        <f>VLOOKUP(B3120,'old-aw-skill-plan'!A:I,9,FALSE)</f>
        <v>5-2</v>
      </c>
    </row>
    <row r="3121" ht="15.75" customHeight="1">
      <c r="A3121" s="1" t="s">
        <v>428</v>
      </c>
      <c r="B3121" s="1" t="s">
        <v>40</v>
      </c>
      <c r="C3121" s="1" t="s">
        <v>11</v>
      </c>
      <c r="D3121" s="5">
        <v>45355.0</v>
      </c>
      <c r="G3121" s="1">
        <f>VLOOKUP(B3121,'old-aw-skill-plan'!A:I,7,FALSE)</f>
        <v>4</v>
      </c>
      <c r="H3121" s="1" t="str">
        <f>VLOOKUP(B3121,'old-aw-skill-plan'!A:I,9,FALSE)</f>
        <v>4-10</v>
      </c>
    </row>
    <row r="3122" ht="15.75" customHeight="1">
      <c r="A3122" s="1" t="s">
        <v>428</v>
      </c>
      <c r="B3122" s="1" t="s">
        <v>42</v>
      </c>
      <c r="C3122" s="1" t="s">
        <v>11</v>
      </c>
      <c r="D3122" s="5">
        <v>45355.0</v>
      </c>
      <c r="G3122" s="1">
        <f>VLOOKUP(B3122,'old-aw-skill-plan'!A:I,7,FALSE)</f>
        <v>4</v>
      </c>
      <c r="H3122" s="1" t="str">
        <f>VLOOKUP(B3122,'old-aw-skill-plan'!A:I,9,FALSE)</f>
        <v>4-11</v>
      </c>
    </row>
    <row r="3123" ht="15.75" customHeight="1">
      <c r="A3123" s="1" t="s">
        <v>428</v>
      </c>
      <c r="B3123" s="1" t="s">
        <v>384</v>
      </c>
      <c r="C3123" s="1" t="s">
        <v>11</v>
      </c>
      <c r="D3123" s="5">
        <v>45355.0</v>
      </c>
      <c r="G3123" s="1">
        <f>VLOOKUP(B3123,'old-aw-skill-plan'!A:I,7,FALSE)</f>
        <v>7</v>
      </c>
      <c r="H3123" s="1" t="str">
        <f>VLOOKUP(B3123,'old-aw-skill-plan'!A:I,9,FALSE)</f>
        <v>7-2</v>
      </c>
    </row>
    <row r="3124" ht="15.75" customHeight="1">
      <c r="A3124" s="1" t="s">
        <v>431</v>
      </c>
      <c r="B3124" s="1" t="s">
        <v>83</v>
      </c>
      <c r="C3124" s="1" t="s">
        <v>11</v>
      </c>
      <c r="D3124" s="5">
        <v>45355.0</v>
      </c>
      <c r="G3124" s="1">
        <f>VLOOKUP(B3124,'old-aw-skill-plan'!A:I,7,FALSE)</f>
        <v>5</v>
      </c>
      <c r="H3124" s="1" t="str">
        <f>VLOOKUP(B3124,'old-aw-skill-plan'!A:I,9,FALSE)</f>
        <v>5-9</v>
      </c>
    </row>
    <row r="3125" ht="15.75" customHeight="1">
      <c r="A3125" s="1" t="s">
        <v>93</v>
      </c>
      <c r="B3125" s="1" t="s">
        <v>117</v>
      </c>
      <c r="C3125" s="1" t="s">
        <v>11</v>
      </c>
      <c r="D3125" s="5">
        <v>45355.0</v>
      </c>
      <c r="G3125" s="1">
        <f>VLOOKUP(B3125,'old-aw-skill-plan'!A:I,7,FALSE)</f>
        <v>3</v>
      </c>
      <c r="H3125" s="1" t="str">
        <f>VLOOKUP(B3125,'old-aw-skill-plan'!A:I,9,FALSE)</f>
        <v>3-11</v>
      </c>
    </row>
    <row r="3126" ht="15.75" customHeight="1">
      <c r="A3126" s="1" t="s">
        <v>436</v>
      </c>
      <c r="B3126" s="1" t="s">
        <v>335</v>
      </c>
      <c r="C3126" s="1" t="s">
        <v>11</v>
      </c>
      <c r="D3126" s="5">
        <v>45354.0</v>
      </c>
      <c r="G3126" s="1">
        <f>VLOOKUP(B3126,'old-aw-skill-plan'!A:I,7,FALSE)</f>
        <v>6</v>
      </c>
      <c r="H3126" s="1" t="str">
        <f>VLOOKUP(B3126,'old-aw-skill-plan'!A:I,9,FALSE)</f>
        <v>6-2</v>
      </c>
    </row>
    <row r="3127" ht="15.75" customHeight="1">
      <c r="A3127" s="1" t="s">
        <v>436</v>
      </c>
      <c r="B3127" s="1" t="s">
        <v>366</v>
      </c>
      <c r="C3127" s="1" t="s">
        <v>11</v>
      </c>
      <c r="D3127" s="5">
        <v>45354.0</v>
      </c>
      <c r="G3127" s="1">
        <f>VLOOKUP(B3127,'old-aw-skill-plan'!A:I,7,FALSE)</f>
        <v>6</v>
      </c>
      <c r="H3127" s="1" t="str">
        <f>VLOOKUP(B3127,'old-aw-skill-plan'!A:I,9,FALSE)</f>
        <v>6-1</v>
      </c>
    </row>
    <row r="3128" ht="15.75" customHeight="1">
      <c r="A3128" s="1" t="s">
        <v>436</v>
      </c>
      <c r="B3128" s="1" t="s">
        <v>438</v>
      </c>
      <c r="C3128" s="1" t="s">
        <v>11</v>
      </c>
      <c r="D3128" s="5">
        <v>45354.0</v>
      </c>
      <c r="G3128" s="1">
        <f>VLOOKUP(B3128,'old-aw-skill-plan'!A:I,7,FALSE)</f>
        <v>3</v>
      </c>
      <c r="H3128" s="1" t="str">
        <f>VLOOKUP(B3128,'old-aw-skill-plan'!A:I,9,FALSE)</f>
        <v>3-12</v>
      </c>
    </row>
    <row r="3129" ht="15.75" customHeight="1">
      <c r="A3129" s="1" t="s">
        <v>431</v>
      </c>
      <c r="B3129" s="1" t="s">
        <v>19</v>
      </c>
      <c r="C3129" s="1" t="s">
        <v>11</v>
      </c>
      <c r="D3129" s="5">
        <v>45352.0</v>
      </c>
      <c r="G3129" s="1">
        <f>VLOOKUP(B3129,'old-aw-skill-plan'!A:I,7,FALSE)</f>
        <v>4</v>
      </c>
      <c r="H3129" s="1" t="str">
        <f>VLOOKUP(B3129,'old-aw-skill-plan'!A:I,9,FALSE)</f>
        <v>4-7</v>
      </c>
    </row>
    <row r="3130" ht="15.75" customHeight="1">
      <c r="A3130" s="1" t="s">
        <v>431</v>
      </c>
      <c r="B3130" s="1" t="s">
        <v>120</v>
      </c>
      <c r="C3130" s="1" t="s">
        <v>11</v>
      </c>
      <c r="D3130" s="5">
        <v>45352.0</v>
      </c>
      <c r="G3130" s="1">
        <f>VLOOKUP(B3130,'old-aw-skill-plan'!A:I,7,FALSE)</f>
        <v>5</v>
      </c>
      <c r="H3130" s="1" t="str">
        <f>VLOOKUP(B3130,'old-aw-skill-plan'!A:I,9,FALSE)</f>
        <v>5-11</v>
      </c>
    </row>
    <row r="3131" ht="15.75" customHeight="1">
      <c r="A3131" s="1" t="s">
        <v>431</v>
      </c>
      <c r="B3131" s="1" t="s">
        <v>327</v>
      </c>
      <c r="C3131" s="1" t="s">
        <v>11</v>
      </c>
      <c r="D3131" s="5">
        <v>45352.0</v>
      </c>
      <c r="G3131" s="1">
        <f>VLOOKUP(B3131,'old-aw-skill-plan'!A:I,7,FALSE)</f>
        <v>8</v>
      </c>
      <c r="H3131" s="1" t="str">
        <f>VLOOKUP(B3131,'old-aw-skill-plan'!A:I,9,FALSE)</f>
        <v>8-2</v>
      </c>
    </row>
    <row r="3132" ht="15.75" customHeight="1">
      <c r="A3132" s="1" t="s">
        <v>431</v>
      </c>
      <c r="B3132" s="1" t="s">
        <v>435</v>
      </c>
      <c r="C3132" s="1" t="s">
        <v>11</v>
      </c>
      <c r="D3132" s="5">
        <v>45352.0</v>
      </c>
      <c r="G3132" s="1" t="str">
        <f>VLOOKUP(B3132,'old-aw-skill-plan'!A:I,7,FALSE)</f>
        <v>#N/A</v>
      </c>
      <c r="H3132" s="1" t="str">
        <f>VLOOKUP(B3132,'old-aw-skill-plan'!A:I,9,FALSE)</f>
        <v>#N/A</v>
      </c>
    </row>
    <row r="3133" ht="15.75" customHeight="1">
      <c r="A3133" s="1" t="s">
        <v>431</v>
      </c>
      <c r="B3133" s="1" t="s">
        <v>439</v>
      </c>
      <c r="C3133" s="1" t="s">
        <v>11</v>
      </c>
      <c r="D3133" s="5">
        <v>45352.0</v>
      </c>
      <c r="G3133" s="1" t="str">
        <f>VLOOKUP(B3133,'old-aw-skill-plan'!A:I,7,FALSE)</f>
        <v>#N/A</v>
      </c>
      <c r="H3133" s="1" t="str">
        <f>VLOOKUP(B3133,'old-aw-skill-plan'!A:I,9,FALSE)</f>
        <v>#N/A</v>
      </c>
    </row>
    <row r="3134" ht="15.75" customHeight="1">
      <c r="A3134" s="1" t="s">
        <v>431</v>
      </c>
      <c r="B3134" s="1" t="s">
        <v>440</v>
      </c>
      <c r="C3134" s="1" t="s">
        <v>11</v>
      </c>
      <c r="D3134" s="5">
        <v>45352.0</v>
      </c>
      <c r="G3134" s="1" t="str">
        <f>VLOOKUP(B3134,'old-aw-skill-plan'!A:I,7,FALSE)</f>
        <v>#N/A</v>
      </c>
      <c r="H3134" s="1" t="str">
        <f>VLOOKUP(B3134,'old-aw-skill-plan'!A:I,9,FALSE)</f>
        <v>#N/A</v>
      </c>
    </row>
    <row r="3135" ht="15.75" customHeight="1">
      <c r="A3135" s="1" t="s">
        <v>431</v>
      </c>
      <c r="B3135" s="1" t="s">
        <v>97</v>
      </c>
      <c r="C3135" s="1" t="s">
        <v>11</v>
      </c>
      <c r="D3135" s="5">
        <v>45351.0</v>
      </c>
      <c r="G3135" s="1">
        <f>VLOOKUP(B3135,'old-aw-skill-plan'!A:I,7,FALSE)</f>
        <v>4</v>
      </c>
      <c r="H3135" s="1" t="str">
        <f>VLOOKUP(B3135,'old-aw-skill-plan'!A:I,9,FALSE)</f>
        <v>4-3</v>
      </c>
    </row>
    <row r="3136" ht="15.75" customHeight="1">
      <c r="A3136" s="1" t="s">
        <v>431</v>
      </c>
      <c r="B3136" s="1" t="s">
        <v>310</v>
      </c>
      <c r="C3136" s="1" t="s">
        <v>11</v>
      </c>
      <c r="D3136" s="5">
        <v>45351.0</v>
      </c>
      <c r="G3136" s="1" t="str">
        <f>VLOOKUP(B3136,'old-aw-skill-plan'!A:I,7,FALSE)</f>
        <v>#N/A</v>
      </c>
      <c r="H3136" s="1" t="str">
        <f>VLOOKUP(B3136,'old-aw-skill-plan'!A:I,9,FALSE)</f>
        <v>#N/A</v>
      </c>
    </row>
    <row r="3137" ht="15.75" customHeight="1">
      <c r="A3137" s="1" t="s">
        <v>431</v>
      </c>
      <c r="B3137" s="1" t="s">
        <v>83</v>
      </c>
      <c r="C3137" s="1" t="s">
        <v>11</v>
      </c>
      <c r="D3137" s="5">
        <v>45349.0</v>
      </c>
      <c r="G3137" s="1">
        <f>VLOOKUP(B3137,'old-aw-skill-plan'!A:I,7,FALSE)</f>
        <v>5</v>
      </c>
      <c r="H3137" s="1" t="str">
        <f>VLOOKUP(B3137,'old-aw-skill-plan'!A:I,9,FALSE)</f>
        <v>5-9</v>
      </c>
    </row>
    <row r="3138" ht="15.75" customHeight="1">
      <c r="A3138" s="1" t="s">
        <v>431</v>
      </c>
      <c r="B3138" s="1" t="s">
        <v>327</v>
      </c>
      <c r="C3138" s="1" t="s">
        <v>11</v>
      </c>
      <c r="D3138" s="5">
        <v>45349.0</v>
      </c>
      <c r="G3138" s="1">
        <f>VLOOKUP(B3138,'old-aw-skill-plan'!A:I,7,FALSE)</f>
        <v>8</v>
      </c>
      <c r="H3138" s="1" t="str">
        <f>VLOOKUP(B3138,'old-aw-skill-plan'!A:I,9,FALSE)</f>
        <v>8-2</v>
      </c>
    </row>
    <row r="3139" ht="15.75" customHeight="1">
      <c r="A3139" s="1" t="s">
        <v>431</v>
      </c>
      <c r="B3139" s="1" t="s">
        <v>435</v>
      </c>
      <c r="C3139" s="1" t="s">
        <v>11</v>
      </c>
      <c r="D3139" s="5">
        <v>45349.0</v>
      </c>
      <c r="G3139" s="1" t="str">
        <f>VLOOKUP(B3139,'old-aw-skill-plan'!A:I,7,FALSE)</f>
        <v>#N/A</v>
      </c>
      <c r="H3139" s="1" t="str">
        <f>VLOOKUP(B3139,'old-aw-skill-plan'!A:I,9,FALSE)</f>
        <v>#N/A</v>
      </c>
    </row>
    <row r="3140" ht="15.75" customHeight="1">
      <c r="A3140" s="1" t="s">
        <v>431</v>
      </c>
      <c r="B3140" s="1" t="s">
        <v>310</v>
      </c>
      <c r="C3140" s="1" t="s">
        <v>11</v>
      </c>
      <c r="D3140" s="5">
        <v>45349.0</v>
      </c>
      <c r="G3140" s="1" t="str">
        <f>VLOOKUP(B3140,'old-aw-skill-plan'!A:I,7,FALSE)</f>
        <v>#N/A</v>
      </c>
      <c r="H3140" s="1" t="str">
        <f>VLOOKUP(B3140,'old-aw-skill-plan'!A:I,9,FALSE)</f>
        <v>#N/A</v>
      </c>
    </row>
    <row r="3141" ht="15.75" customHeight="1">
      <c r="A3141" s="1" t="s">
        <v>441</v>
      </c>
      <c r="B3141" s="1" t="s">
        <v>44</v>
      </c>
      <c r="C3141" s="1" t="s">
        <v>11</v>
      </c>
      <c r="D3141" s="5">
        <v>45348.0</v>
      </c>
      <c r="G3141" s="1">
        <f>VLOOKUP(B3141,'old-aw-skill-plan'!A:I,7,FALSE)</f>
        <v>5</v>
      </c>
      <c r="H3141" s="1" t="str">
        <f>VLOOKUP(B3141,'old-aw-skill-plan'!A:I,9,FALSE)</f>
        <v>5-1</v>
      </c>
    </row>
    <row r="3142" ht="15.75" customHeight="1">
      <c r="A3142" s="1" t="s">
        <v>266</v>
      </c>
      <c r="B3142" s="1" t="s">
        <v>79</v>
      </c>
      <c r="C3142" s="1" t="s">
        <v>11</v>
      </c>
      <c r="D3142" s="5">
        <v>45345.0</v>
      </c>
      <c r="G3142" s="1">
        <f>VLOOKUP(B3142,'old-aw-skill-plan'!A:I,7,FALSE)</f>
        <v>4</v>
      </c>
      <c r="H3142" s="1" t="str">
        <f>VLOOKUP(B3142,'old-aw-skill-plan'!A:I,9,FALSE)</f>
        <v>4-8</v>
      </c>
    </row>
    <row r="3143" ht="15.75" customHeight="1">
      <c r="A3143" s="1" t="s">
        <v>22</v>
      </c>
      <c r="B3143" s="1" t="s">
        <v>79</v>
      </c>
      <c r="C3143" s="1" t="s">
        <v>11</v>
      </c>
      <c r="D3143" s="5">
        <v>45345.0</v>
      </c>
      <c r="G3143" s="1">
        <f>VLOOKUP(B3143,'old-aw-skill-plan'!A:I,7,FALSE)</f>
        <v>4</v>
      </c>
      <c r="H3143" s="1" t="str">
        <f>VLOOKUP(B3143,'old-aw-skill-plan'!A:I,9,FALSE)</f>
        <v>4-8</v>
      </c>
    </row>
    <row r="3144" ht="15.75" customHeight="1">
      <c r="A3144" s="1" t="s">
        <v>41</v>
      </c>
      <c r="B3144" s="1" t="s">
        <v>47</v>
      </c>
      <c r="C3144" s="1" t="s">
        <v>11</v>
      </c>
      <c r="D3144" s="5">
        <v>45345.0</v>
      </c>
      <c r="G3144" s="1">
        <f>VLOOKUP(B3144,'old-aw-skill-plan'!A:I,7,FALSE)</f>
        <v>3</v>
      </c>
      <c r="H3144" s="1" t="str">
        <f>VLOOKUP(B3144,'old-aw-skill-plan'!A:I,9,FALSE)</f>
        <v>3-2</v>
      </c>
    </row>
    <row r="3145" ht="15.75" customHeight="1">
      <c r="A3145" s="1" t="s">
        <v>419</v>
      </c>
      <c r="B3145" s="1" t="s">
        <v>44</v>
      </c>
      <c r="C3145" s="1" t="s">
        <v>11</v>
      </c>
      <c r="D3145" s="5">
        <v>45345.0</v>
      </c>
      <c r="G3145" s="1">
        <f>VLOOKUP(B3145,'old-aw-skill-plan'!A:I,7,FALSE)</f>
        <v>5</v>
      </c>
      <c r="H3145" s="1" t="str">
        <f>VLOOKUP(B3145,'old-aw-skill-plan'!A:I,9,FALSE)</f>
        <v>5-1</v>
      </c>
    </row>
    <row r="3146" ht="15.75" customHeight="1">
      <c r="A3146" s="1" t="s">
        <v>419</v>
      </c>
      <c r="B3146" s="1" t="s">
        <v>87</v>
      </c>
      <c r="C3146" s="1" t="s">
        <v>11</v>
      </c>
      <c r="D3146" s="5">
        <v>45345.0</v>
      </c>
      <c r="G3146" s="1">
        <f>VLOOKUP(B3146,'old-aw-skill-plan'!A:I,7,FALSE)</f>
        <v>5</v>
      </c>
      <c r="H3146" s="1" t="str">
        <f>VLOOKUP(B3146,'old-aw-skill-plan'!A:I,9,FALSE)</f>
        <v>5-6</v>
      </c>
    </row>
    <row r="3147" ht="15.75" customHeight="1">
      <c r="A3147" s="1" t="s">
        <v>81</v>
      </c>
      <c r="B3147" s="1" t="s">
        <v>66</v>
      </c>
      <c r="C3147" s="1" t="s">
        <v>11</v>
      </c>
      <c r="D3147" s="5">
        <v>45345.0</v>
      </c>
      <c r="G3147" s="1">
        <f>VLOOKUP(B3147,'old-aw-skill-plan'!A:I,7,FALSE)</f>
        <v>4</v>
      </c>
      <c r="H3147" s="1" t="str">
        <f>VLOOKUP(B3147,'old-aw-skill-plan'!A:I,9,FALSE)</f>
        <v>4-9</v>
      </c>
    </row>
    <row r="3148" ht="15.75" customHeight="1">
      <c r="A3148" s="1" t="s">
        <v>431</v>
      </c>
      <c r="B3148" s="1" t="s">
        <v>398</v>
      </c>
      <c r="C3148" s="1" t="s">
        <v>11</v>
      </c>
      <c r="D3148" s="5">
        <v>45345.0</v>
      </c>
      <c r="G3148" s="1" t="str">
        <f>VLOOKUP(B3148,'old-aw-skill-plan'!A:I,7,FALSE)</f>
        <v>#N/A</v>
      </c>
      <c r="H3148" s="1" t="str">
        <f>VLOOKUP(B3148,'old-aw-skill-plan'!A:I,9,FALSE)</f>
        <v>#N/A</v>
      </c>
    </row>
    <row r="3149" ht="15.75" customHeight="1">
      <c r="A3149" s="1" t="s">
        <v>432</v>
      </c>
      <c r="B3149" s="1" t="s">
        <v>33</v>
      </c>
      <c r="C3149" s="1" t="s">
        <v>11</v>
      </c>
      <c r="D3149" s="5">
        <v>45345.0</v>
      </c>
      <c r="G3149" s="1">
        <f>VLOOKUP(B3149,'old-aw-skill-plan'!A:I,7,FALSE)</f>
        <v>3</v>
      </c>
      <c r="H3149" s="1" t="str">
        <f>VLOOKUP(B3149,'old-aw-skill-plan'!A:I,9,FALSE)</f>
        <v>3-5</v>
      </c>
    </row>
    <row r="3150" ht="15.75" customHeight="1">
      <c r="A3150" s="1" t="s">
        <v>235</v>
      </c>
      <c r="B3150" s="1" t="s">
        <v>104</v>
      </c>
      <c r="C3150" s="1" t="s">
        <v>11</v>
      </c>
      <c r="D3150" s="5">
        <v>45345.0</v>
      </c>
      <c r="G3150" s="1">
        <f>VLOOKUP(B3150,'old-aw-skill-plan'!A:I,7,FALSE)</f>
        <v>5</v>
      </c>
      <c r="H3150" s="1" t="str">
        <f>VLOOKUP(B3150,'old-aw-skill-plan'!A:I,9,FALSE)</f>
        <v>5-2</v>
      </c>
    </row>
    <row r="3151" ht="15.75" customHeight="1">
      <c r="A3151" s="1" t="s">
        <v>93</v>
      </c>
      <c r="B3151" s="1" t="s">
        <v>117</v>
      </c>
      <c r="C3151" s="1" t="s">
        <v>11</v>
      </c>
      <c r="D3151" s="5">
        <v>45345.0</v>
      </c>
      <c r="G3151" s="1">
        <f>VLOOKUP(B3151,'old-aw-skill-plan'!A:I,7,FALSE)</f>
        <v>3</v>
      </c>
      <c r="H3151" s="1" t="str">
        <f>VLOOKUP(B3151,'old-aw-skill-plan'!A:I,9,FALSE)</f>
        <v>3-11</v>
      </c>
    </row>
    <row r="3152" ht="15.75" customHeight="1">
      <c r="A3152" s="1" t="s">
        <v>22</v>
      </c>
      <c r="B3152" s="1" t="s">
        <v>79</v>
      </c>
      <c r="C3152" s="1" t="s">
        <v>11</v>
      </c>
      <c r="D3152" s="5">
        <v>45344.0</v>
      </c>
      <c r="G3152" s="1">
        <f>VLOOKUP(B3152,'old-aw-skill-plan'!A:I,7,FALSE)</f>
        <v>4</v>
      </c>
      <c r="H3152" s="1" t="str">
        <f>VLOOKUP(B3152,'old-aw-skill-plan'!A:I,9,FALSE)</f>
        <v>4-8</v>
      </c>
    </row>
    <row r="3153" ht="15.75" customHeight="1">
      <c r="A3153" s="1" t="s">
        <v>35</v>
      </c>
      <c r="B3153" s="1" t="s">
        <v>79</v>
      </c>
      <c r="C3153" s="1" t="s">
        <v>11</v>
      </c>
      <c r="D3153" s="5">
        <v>45344.0</v>
      </c>
      <c r="G3153" s="1">
        <f>VLOOKUP(B3153,'old-aw-skill-plan'!A:I,7,FALSE)</f>
        <v>4</v>
      </c>
      <c r="H3153" s="1" t="str">
        <f>VLOOKUP(B3153,'old-aw-skill-plan'!A:I,9,FALSE)</f>
        <v>4-8</v>
      </c>
    </row>
    <row r="3154" ht="15.75" customHeight="1">
      <c r="A3154" s="1" t="s">
        <v>24</v>
      </c>
      <c r="B3154" s="1" t="s">
        <v>37</v>
      </c>
      <c r="C3154" s="1" t="s">
        <v>11</v>
      </c>
      <c r="D3154" s="5">
        <v>45344.0</v>
      </c>
      <c r="G3154" s="1">
        <f>VLOOKUP(B3154,'old-aw-skill-plan'!A:I,7,FALSE)</f>
        <v>4</v>
      </c>
      <c r="H3154" s="1" t="str">
        <f>VLOOKUP(B3154,'old-aw-skill-plan'!A:I,9,FALSE)</f>
        <v>4-2</v>
      </c>
    </row>
    <row r="3155" ht="15.75" customHeight="1">
      <c r="A3155" s="1" t="s">
        <v>273</v>
      </c>
      <c r="B3155" s="1" t="s">
        <v>47</v>
      </c>
      <c r="C3155" s="1" t="s">
        <v>11</v>
      </c>
      <c r="D3155" s="5">
        <v>45344.0</v>
      </c>
      <c r="G3155" s="1">
        <f>VLOOKUP(B3155,'old-aw-skill-plan'!A:I,7,FALSE)</f>
        <v>3</v>
      </c>
      <c r="H3155" s="1" t="str">
        <f>VLOOKUP(B3155,'old-aw-skill-plan'!A:I,9,FALSE)</f>
        <v>3-2</v>
      </c>
    </row>
    <row r="3156" ht="15.75" customHeight="1">
      <c r="A3156" s="1" t="s">
        <v>237</v>
      </c>
      <c r="B3156" s="1" t="s">
        <v>361</v>
      </c>
      <c r="C3156" s="1" t="s">
        <v>11</v>
      </c>
      <c r="D3156" s="5">
        <v>45344.0</v>
      </c>
      <c r="G3156" s="1">
        <f>VLOOKUP(B3156,'old-aw-skill-plan'!A:I,7,FALSE)</f>
        <v>3</v>
      </c>
      <c r="H3156" s="1" t="str">
        <f>VLOOKUP(B3156,'old-aw-skill-plan'!A:I,9,FALSE)</f>
        <v>3-7</v>
      </c>
    </row>
    <row r="3157" ht="15.75" customHeight="1">
      <c r="A3157" s="1" t="s">
        <v>419</v>
      </c>
      <c r="B3157" s="1" t="s">
        <v>44</v>
      </c>
      <c r="C3157" s="1" t="s">
        <v>11</v>
      </c>
      <c r="D3157" s="5">
        <v>45344.0</v>
      </c>
      <c r="G3157" s="1">
        <f>VLOOKUP(B3157,'old-aw-skill-plan'!A:I,7,FALSE)</f>
        <v>5</v>
      </c>
      <c r="H3157" s="1" t="str">
        <f>VLOOKUP(B3157,'old-aw-skill-plan'!A:I,9,FALSE)</f>
        <v>5-1</v>
      </c>
    </row>
    <row r="3158" ht="15.75" customHeight="1">
      <c r="A3158" s="1" t="s">
        <v>238</v>
      </c>
      <c r="B3158" s="1" t="s">
        <v>58</v>
      </c>
      <c r="C3158" s="1" t="s">
        <v>11</v>
      </c>
      <c r="D3158" s="5">
        <v>45344.0</v>
      </c>
      <c r="G3158" s="1">
        <f>VLOOKUP(B3158,'old-aw-skill-plan'!A:I,7,FALSE)</f>
        <v>3</v>
      </c>
      <c r="H3158" s="1" t="str">
        <f>VLOOKUP(B3158,'old-aw-skill-plan'!A:I,9,FALSE)</f>
        <v>3-8</v>
      </c>
    </row>
    <row r="3159" ht="15.75" customHeight="1">
      <c r="A3159" s="1" t="s">
        <v>238</v>
      </c>
      <c r="B3159" s="1" t="s">
        <v>356</v>
      </c>
      <c r="C3159" s="1" t="s">
        <v>11</v>
      </c>
      <c r="D3159" s="5">
        <v>45344.0</v>
      </c>
      <c r="G3159" s="1">
        <f>VLOOKUP(B3159,'old-aw-skill-plan'!A:I,7,FALSE)</f>
        <v>3</v>
      </c>
      <c r="H3159" s="1" t="str">
        <f>VLOOKUP(B3159,'old-aw-skill-plan'!A:I,9,FALSE)</f>
        <v>3-2</v>
      </c>
    </row>
    <row r="3160" ht="15.75" customHeight="1">
      <c r="A3160" s="1" t="s">
        <v>274</v>
      </c>
      <c r="B3160" s="1" t="s">
        <v>44</v>
      </c>
      <c r="C3160" s="1" t="s">
        <v>11</v>
      </c>
      <c r="D3160" s="5">
        <v>45344.0</v>
      </c>
      <c r="G3160" s="1">
        <f>VLOOKUP(B3160,'old-aw-skill-plan'!A:I,7,FALSE)</f>
        <v>5</v>
      </c>
      <c r="H3160" s="1" t="str">
        <f>VLOOKUP(B3160,'old-aw-skill-plan'!A:I,9,FALSE)</f>
        <v>5-1</v>
      </c>
    </row>
    <row r="3161" ht="15.75" customHeight="1">
      <c r="A3161" s="1" t="s">
        <v>421</v>
      </c>
      <c r="B3161" s="1" t="s">
        <v>44</v>
      </c>
      <c r="C3161" s="1" t="s">
        <v>11</v>
      </c>
      <c r="D3161" s="5">
        <v>45344.0</v>
      </c>
      <c r="G3161" s="1">
        <f>VLOOKUP(B3161,'old-aw-skill-plan'!A:I,7,FALSE)</f>
        <v>5</v>
      </c>
      <c r="H3161" s="1" t="str">
        <f>VLOOKUP(B3161,'old-aw-skill-plan'!A:I,9,FALSE)</f>
        <v>5-1</v>
      </c>
    </row>
    <row r="3162" ht="15.75" customHeight="1">
      <c r="A3162" s="1" t="s">
        <v>428</v>
      </c>
      <c r="B3162" s="1" t="s">
        <v>40</v>
      </c>
      <c r="C3162" s="1" t="s">
        <v>11</v>
      </c>
      <c r="D3162" s="5">
        <v>45344.0</v>
      </c>
      <c r="G3162" s="1">
        <f>VLOOKUP(B3162,'old-aw-skill-plan'!A:I,7,FALSE)</f>
        <v>4</v>
      </c>
      <c r="H3162" s="1" t="str">
        <f>VLOOKUP(B3162,'old-aw-skill-plan'!A:I,9,FALSE)</f>
        <v>4-10</v>
      </c>
    </row>
    <row r="3163" ht="15.75" customHeight="1">
      <c r="A3163" s="1" t="s">
        <v>420</v>
      </c>
      <c r="B3163" s="1" t="s">
        <v>10</v>
      </c>
      <c r="C3163" s="1" t="s">
        <v>11</v>
      </c>
      <c r="D3163" s="5">
        <v>45344.0</v>
      </c>
      <c r="G3163" s="1">
        <f>VLOOKUP(B3163,'old-aw-skill-plan'!A:I,7,FALSE)</f>
        <v>3</v>
      </c>
      <c r="H3163" s="1" t="str">
        <f>VLOOKUP(B3163,'old-aw-skill-plan'!A:I,9,FALSE)</f>
        <v>3-1</v>
      </c>
    </row>
    <row r="3164" ht="15.75" customHeight="1">
      <c r="A3164" s="1" t="s">
        <v>420</v>
      </c>
      <c r="B3164" s="1" t="s">
        <v>48</v>
      </c>
      <c r="C3164" s="1" t="s">
        <v>11</v>
      </c>
      <c r="D3164" s="5">
        <v>45344.0</v>
      </c>
      <c r="G3164" s="1">
        <f>VLOOKUP(B3164,'old-aw-skill-plan'!A:I,7,FALSE)</f>
        <v>3</v>
      </c>
      <c r="H3164" s="1" t="str">
        <f>VLOOKUP(B3164,'old-aw-skill-plan'!A:I,9,FALSE)</f>
        <v>3-6</v>
      </c>
    </row>
    <row r="3165" ht="15.75" customHeight="1">
      <c r="A3165" s="1" t="s">
        <v>420</v>
      </c>
      <c r="B3165" s="1" t="s">
        <v>87</v>
      </c>
      <c r="C3165" s="1" t="s">
        <v>11</v>
      </c>
      <c r="D3165" s="5">
        <v>45344.0</v>
      </c>
      <c r="G3165" s="1">
        <f>VLOOKUP(B3165,'old-aw-skill-plan'!A:I,7,FALSE)</f>
        <v>5</v>
      </c>
      <c r="H3165" s="1" t="str">
        <f>VLOOKUP(B3165,'old-aw-skill-plan'!A:I,9,FALSE)</f>
        <v>5-6</v>
      </c>
    </row>
    <row r="3166" ht="15.75" customHeight="1">
      <c r="A3166" s="1" t="s">
        <v>431</v>
      </c>
      <c r="B3166" s="1" t="s">
        <v>103</v>
      </c>
      <c r="C3166" s="1" t="s">
        <v>11</v>
      </c>
      <c r="D3166" s="5">
        <v>45344.0</v>
      </c>
      <c r="G3166" s="1">
        <f>VLOOKUP(B3166,'old-aw-skill-plan'!A:I,7,FALSE)</f>
        <v>5</v>
      </c>
      <c r="H3166" s="1" t="str">
        <f>VLOOKUP(B3166,'old-aw-skill-plan'!A:I,9,FALSE)</f>
        <v>5-3</v>
      </c>
    </row>
    <row r="3167" ht="15.75" customHeight="1">
      <c r="A3167" s="1" t="s">
        <v>431</v>
      </c>
      <c r="B3167" s="1" t="s">
        <v>312</v>
      </c>
      <c r="C3167" s="1" t="s">
        <v>11</v>
      </c>
      <c r="D3167" s="5">
        <v>45344.0</v>
      </c>
      <c r="G3167" s="1" t="str">
        <f>VLOOKUP(B3167,'old-aw-skill-plan'!A:I,7,FALSE)</f>
        <v>#N/A</v>
      </c>
      <c r="H3167" s="1" t="str">
        <f>VLOOKUP(B3167,'old-aw-skill-plan'!A:I,9,FALSE)</f>
        <v>#N/A</v>
      </c>
    </row>
    <row r="3168" ht="15.75" customHeight="1">
      <c r="A3168" s="1" t="s">
        <v>197</v>
      </c>
      <c r="B3168" s="1" t="s">
        <v>317</v>
      </c>
      <c r="C3168" s="1" t="s">
        <v>11</v>
      </c>
      <c r="D3168" s="5">
        <v>45344.0</v>
      </c>
      <c r="G3168" s="1">
        <f>VLOOKUP(B3168,'old-aw-skill-plan'!A:I,7,FALSE)</f>
        <v>4</v>
      </c>
      <c r="H3168" s="1" t="str">
        <f>VLOOKUP(B3168,'old-aw-skill-plan'!A:I,9,FALSE)</f>
        <v>4-8</v>
      </c>
    </row>
    <row r="3169" ht="15.75" customHeight="1">
      <c r="A3169" s="1" t="s">
        <v>235</v>
      </c>
      <c r="B3169" s="1" t="s">
        <v>44</v>
      </c>
      <c r="C3169" s="1" t="s">
        <v>11</v>
      </c>
      <c r="D3169" s="5">
        <v>45344.0</v>
      </c>
      <c r="G3169" s="1">
        <f>VLOOKUP(B3169,'old-aw-skill-plan'!A:I,7,FALSE)</f>
        <v>5</v>
      </c>
      <c r="H3169" s="1" t="str">
        <f>VLOOKUP(B3169,'old-aw-skill-plan'!A:I,9,FALSE)</f>
        <v>5-1</v>
      </c>
    </row>
    <row r="3170" ht="15.75" customHeight="1">
      <c r="A3170" s="1" t="s">
        <v>226</v>
      </c>
      <c r="B3170" s="1" t="s">
        <v>417</v>
      </c>
      <c r="C3170" s="1" t="s">
        <v>11</v>
      </c>
      <c r="D3170" s="5">
        <v>45344.0</v>
      </c>
      <c r="G3170" s="1">
        <f>VLOOKUP(B3170,'old-aw-skill-plan'!A:I,7,FALSE)</f>
        <v>3</v>
      </c>
      <c r="H3170" s="1" t="str">
        <f>VLOOKUP(B3170,'old-aw-skill-plan'!A:I,9,FALSE)</f>
        <v>3-10</v>
      </c>
    </row>
    <row r="3171" ht="15.75" customHeight="1">
      <c r="A3171" s="1" t="s">
        <v>226</v>
      </c>
      <c r="B3171" s="1" t="s">
        <v>361</v>
      </c>
      <c r="C3171" s="1" t="s">
        <v>11</v>
      </c>
      <c r="D3171" s="5">
        <v>45344.0</v>
      </c>
      <c r="G3171" s="1">
        <f>VLOOKUP(B3171,'old-aw-skill-plan'!A:I,7,FALSE)</f>
        <v>3</v>
      </c>
      <c r="H3171" s="1" t="str">
        <f>VLOOKUP(B3171,'old-aw-skill-plan'!A:I,9,FALSE)</f>
        <v>3-7</v>
      </c>
    </row>
    <row r="3172" ht="15.75" customHeight="1">
      <c r="A3172" s="1" t="s">
        <v>226</v>
      </c>
      <c r="B3172" s="1" t="s">
        <v>442</v>
      </c>
      <c r="C3172" s="1" t="s">
        <v>11</v>
      </c>
      <c r="D3172" s="5">
        <v>45344.0</v>
      </c>
      <c r="G3172" s="1">
        <f>VLOOKUP(B3172,'old-aw-skill-plan'!A:I,7,FALSE)</f>
        <v>3</v>
      </c>
      <c r="H3172" s="1" t="str">
        <f>VLOOKUP(B3172,'old-aw-skill-plan'!A:I,9,FALSE)</f>
        <v>3-8</v>
      </c>
    </row>
    <row r="3173" ht="15.75" customHeight="1">
      <c r="A3173" s="1" t="s">
        <v>102</v>
      </c>
      <c r="B3173" s="1" t="s">
        <v>33</v>
      </c>
      <c r="C3173" s="1" t="s">
        <v>11</v>
      </c>
      <c r="D3173" s="5">
        <v>45344.0</v>
      </c>
      <c r="G3173" s="1">
        <f>VLOOKUP(B3173,'old-aw-skill-plan'!A:I,7,FALSE)</f>
        <v>3</v>
      </c>
      <c r="H3173" s="1" t="str">
        <f>VLOOKUP(B3173,'old-aw-skill-plan'!A:I,9,FALSE)</f>
        <v>3-5</v>
      </c>
    </row>
    <row r="3174" ht="15.75" customHeight="1">
      <c r="A3174" s="1" t="s">
        <v>225</v>
      </c>
      <c r="B3174" s="1" t="s">
        <v>123</v>
      </c>
      <c r="C3174" s="1" t="s">
        <v>11</v>
      </c>
      <c r="D3174" s="5">
        <v>45344.0</v>
      </c>
      <c r="G3174" s="1">
        <f>VLOOKUP(B3174,'old-aw-skill-plan'!A:I,7,FALSE)</f>
        <v>4</v>
      </c>
      <c r="H3174" s="1" t="str">
        <f>VLOOKUP(B3174,'old-aw-skill-plan'!A:I,9,FALSE)</f>
        <v>4-12</v>
      </c>
    </row>
    <row r="3175" ht="15.75" customHeight="1">
      <c r="A3175" s="1" t="s">
        <v>436</v>
      </c>
      <c r="B3175" s="1" t="s">
        <v>117</v>
      </c>
      <c r="C3175" s="1" t="s">
        <v>11</v>
      </c>
      <c r="D3175" s="5">
        <v>45344.0</v>
      </c>
      <c r="G3175" s="1">
        <f>VLOOKUP(B3175,'old-aw-skill-plan'!A:I,7,FALSE)</f>
        <v>3</v>
      </c>
      <c r="H3175" s="1" t="str">
        <f>VLOOKUP(B3175,'old-aw-skill-plan'!A:I,9,FALSE)</f>
        <v>3-11</v>
      </c>
    </row>
    <row r="3176" ht="15.75" customHeight="1">
      <c r="A3176" s="1" t="s">
        <v>436</v>
      </c>
      <c r="B3176" s="1" t="s">
        <v>438</v>
      </c>
      <c r="C3176" s="1" t="s">
        <v>11</v>
      </c>
      <c r="D3176" s="5">
        <v>45344.0</v>
      </c>
      <c r="G3176" s="1">
        <f>VLOOKUP(B3176,'old-aw-skill-plan'!A:I,7,FALSE)</f>
        <v>3</v>
      </c>
      <c r="H3176" s="1" t="str">
        <f>VLOOKUP(B3176,'old-aw-skill-plan'!A:I,9,FALSE)</f>
        <v>3-12</v>
      </c>
    </row>
    <row r="3177" ht="15.75" customHeight="1">
      <c r="A3177" s="1" t="s">
        <v>436</v>
      </c>
      <c r="B3177" s="1" t="s">
        <v>404</v>
      </c>
      <c r="C3177" s="1" t="s">
        <v>11</v>
      </c>
      <c r="D3177" s="5">
        <v>45344.0</v>
      </c>
      <c r="G3177" s="1">
        <f>VLOOKUP(B3177,'old-aw-skill-plan'!A:I,7,FALSE)</f>
        <v>3</v>
      </c>
      <c r="H3177" s="1" t="str">
        <f>VLOOKUP(B3177,'old-aw-skill-plan'!A:I,9,FALSE)</f>
        <v>3-8</v>
      </c>
    </row>
    <row r="3178" ht="15.75" customHeight="1">
      <c r="A3178" s="1" t="s">
        <v>436</v>
      </c>
      <c r="B3178" s="1" t="s">
        <v>443</v>
      </c>
      <c r="C3178" s="1" t="s">
        <v>11</v>
      </c>
      <c r="D3178" s="5">
        <v>45344.0</v>
      </c>
      <c r="G3178" s="1">
        <f>VLOOKUP(B3178,'old-aw-skill-plan'!A:I,7,FALSE)</f>
        <v>3</v>
      </c>
      <c r="H3178" s="1" t="str">
        <f>VLOOKUP(B3178,'old-aw-skill-plan'!A:I,9,FALSE)</f>
        <v>3-5</v>
      </c>
    </row>
    <row r="3179" ht="15.75" customHeight="1">
      <c r="A3179" s="1" t="s">
        <v>436</v>
      </c>
      <c r="B3179" s="1" t="s">
        <v>352</v>
      </c>
      <c r="C3179" s="1" t="s">
        <v>11</v>
      </c>
      <c r="D3179" s="5">
        <v>45344.0</v>
      </c>
      <c r="G3179" s="1">
        <f>VLOOKUP(B3179,'old-aw-skill-plan'!A:I,7,FALSE)</f>
        <v>3</v>
      </c>
      <c r="H3179" s="1" t="str">
        <f>VLOOKUP(B3179,'old-aw-skill-plan'!A:I,9,FALSE)</f>
        <v>3-2</v>
      </c>
    </row>
    <row r="3180" ht="15.75" customHeight="1">
      <c r="A3180" s="1" t="s">
        <v>110</v>
      </c>
      <c r="B3180" s="1" t="s">
        <v>10</v>
      </c>
      <c r="C3180" s="1" t="s">
        <v>11</v>
      </c>
      <c r="D3180" s="5">
        <v>45344.0</v>
      </c>
      <c r="G3180" s="1">
        <f>VLOOKUP(B3180,'old-aw-skill-plan'!A:I,7,FALSE)</f>
        <v>3</v>
      </c>
      <c r="H3180" s="1" t="str">
        <f>VLOOKUP(B3180,'old-aw-skill-plan'!A:I,9,FALSE)</f>
        <v>3-1</v>
      </c>
    </row>
    <row r="3181" ht="15.75" customHeight="1">
      <c r="A3181" s="1" t="s">
        <v>22</v>
      </c>
      <c r="B3181" s="1" t="s">
        <v>79</v>
      </c>
      <c r="C3181" s="1" t="s">
        <v>11</v>
      </c>
      <c r="D3181" s="5">
        <v>45343.0</v>
      </c>
      <c r="G3181" s="1">
        <f>VLOOKUP(B3181,'old-aw-skill-plan'!A:I,7,FALSE)</f>
        <v>4</v>
      </c>
      <c r="H3181" s="1" t="str">
        <f>VLOOKUP(B3181,'old-aw-skill-plan'!A:I,9,FALSE)</f>
        <v>4-8</v>
      </c>
    </row>
    <row r="3182" ht="15.75" customHeight="1">
      <c r="A3182" s="1" t="s">
        <v>216</v>
      </c>
      <c r="B3182" s="1" t="s">
        <v>61</v>
      </c>
      <c r="C3182" s="1" t="s">
        <v>11</v>
      </c>
      <c r="D3182" s="5">
        <v>45343.0</v>
      </c>
      <c r="G3182" s="1">
        <f>VLOOKUP(B3182,'old-aw-skill-plan'!A:I,7,FALSE)</f>
        <v>4</v>
      </c>
      <c r="H3182" s="1" t="str">
        <f>VLOOKUP(B3182,'old-aw-skill-plan'!A:I,9,FALSE)</f>
        <v>4-4</v>
      </c>
    </row>
    <row r="3183" ht="15.75" customHeight="1">
      <c r="A3183" s="1" t="s">
        <v>24</v>
      </c>
      <c r="B3183" s="1" t="s">
        <v>37</v>
      </c>
      <c r="C3183" s="1" t="s">
        <v>11</v>
      </c>
      <c r="D3183" s="5">
        <v>45343.0</v>
      </c>
      <c r="G3183" s="1">
        <f>VLOOKUP(B3183,'old-aw-skill-plan'!A:I,7,FALSE)</f>
        <v>4</v>
      </c>
      <c r="H3183" s="1" t="str">
        <f>VLOOKUP(B3183,'old-aw-skill-plan'!A:I,9,FALSE)</f>
        <v>4-2</v>
      </c>
    </row>
    <row r="3184" ht="15.75" customHeight="1">
      <c r="A3184" s="1" t="s">
        <v>213</v>
      </c>
      <c r="B3184" s="1" t="s">
        <v>28</v>
      </c>
      <c r="C3184" s="1" t="s">
        <v>11</v>
      </c>
      <c r="D3184" s="5">
        <v>45343.0</v>
      </c>
      <c r="G3184" s="1">
        <f>VLOOKUP(B3184,'old-aw-skill-plan'!A:I,7,FALSE)</f>
        <v>3</v>
      </c>
      <c r="H3184" s="1" t="str">
        <f>VLOOKUP(B3184,'old-aw-skill-plan'!A:I,9,FALSE)</f>
        <v>3-4</v>
      </c>
    </row>
    <row r="3185" ht="15.75" customHeight="1">
      <c r="A3185" s="1" t="s">
        <v>213</v>
      </c>
      <c r="B3185" s="1" t="s">
        <v>10</v>
      </c>
      <c r="C3185" s="1" t="s">
        <v>11</v>
      </c>
      <c r="D3185" s="5">
        <v>45343.0</v>
      </c>
      <c r="G3185" s="1">
        <f>VLOOKUP(B3185,'old-aw-skill-plan'!A:I,7,FALSE)</f>
        <v>3</v>
      </c>
      <c r="H3185" s="1" t="str">
        <f>VLOOKUP(B3185,'old-aw-skill-plan'!A:I,9,FALSE)</f>
        <v>3-1</v>
      </c>
    </row>
    <row r="3186" ht="15.75" customHeight="1">
      <c r="A3186" s="1" t="s">
        <v>213</v>
      </c>
      <c r="B3186" s="1" t="s">
        <v>48</v>
      </c>
      <c r="C3186" s="1" t="s">
        <v>11</v>
      </c>
      <c r="D3186" s="5">
        <v>45343.0</v>
      </c>
      <c r="G3186" s="1">
        <f>VLOOKUP(B3186,'old-aw-skill-plan'!A:I,7,FALSE)</f>
        <v>3</v>
      </c>
      <c r="H3186" s="1" t="str">
        <f>VLOOKUP(B3186,'old-aw-skill-plan'!A:I,9,FALSE)</f>
        <v>3-6</v>
      </c>
    </row>
    <row r="3187" ht="15.75" customHeight="1">
      <c r="A3187" s="1" t="s">
        <v>273</v>
      </c>
      <c r="B3187" s="1" t="s">
        <v>115</v>
      </c>
      <c r="C3187" s="1" t="s">
        <v>11</v>
      </c>
      <c r="D3187" s="5">
        <v>45343.0</v>
      </c>
      <c r="G3187" s="1">
        <f>VLOOKUP(B3187,'old-aw-skill-plan'!A:I,7,FALSE)</f>
        <v>3</v>
      </c>
      <c r="H3187" s="1" t="str">
        <f>VLOOKUP(B3187,'old-aw-skill-plan'!A:I,9,FALSE)</f>
        <v>3-10</v>
      </c>
    </row>
    <row r="3188" ht="15.75" customHeight="1">
      <c r="A3188" s="1" t="s">
        <v>273</v>
      </c>
      <c r="B3188" s="1" t="s">
        <v>118</v>
      </c>
      <c r="C3188" s="1" t="s">
        <v>11</v>
      </c>
      <c r="D3188" s="5">
        <v>45343.0</v>
      </c>
      <c r="G3188" s="1">
        <f>VLOOKUP(B3188,'old-aw-skill-plan'!A:I,7,FALSE)</f>
        <v>3</v>
      </c>
      <c r="H3188" s="1" t="str">
        <f>VLOOKUP(B3188,'old-aw-skill-plan'!A:I,9,FALSE)</f>
        <v>3-12</v>
      </c>
    </row>
    <row r="3189" ht="15.75" customHeight="1">
      <c r="A3189" s="1" t="s">
        <v>238</v>
      </c>
      <c r="B3189" s="1" t="s">
        <v>57</v>
      </c>
      <c r="C3189" s="1" t="s">
        <v>11</v>
      </c>
      <c r="D3189" s="5">
        <v>45343.0</v>
      </c>
      <c r="G3189" s="1">
        <f>VLOOKUP(B3189,'old-aw-skill-plan'!A:I,7,FALSE)</f>
        <v>3</v>
      </c>
      <c r="H3189" s="1" t="str">
        <f>VLOOKUP(B3189,'old-aw-skill-plan'!A:I,9,FALSE)</f>
        <v>3-7</v>
      </c>
    </row>
    <row r="3190" ht="15.75" customHeight="1">
      <c r="A3190" s="1" t="s">
        <v>238</v>
      </c>
      <c r="B3190" s="1" t="s">
        <v>30</v>
      </c>
      <c r="C3190" s="1" t="s">
        <v>11</v>
      </c>
      <c r="D3190" s="5">
        <v>45343.0</v>
      </c>
      <c r="G3190" s="1">
        <f>VLOOKUP(B3190,'old-aw-skill-plan'!A:I,7,FALSE)</f>
        <v>3</v>
      </c>
      <c r="H3190" s="1" t="str">
        <f>VLOOKUP(B3190,'old-aw-skill-plan'!A:I,9,FALSE)</f>
        <v>3-3</v>
      </c>
    </row>
    <row r="3191" ht="15.75" customHeight="1">
      <c r="A3191" s="1" t="s">
        <v>238</v>
      </c>
      <c r="B3191" s="1" t="s">
        <v>58</v>
      </c>
      <c r="C3191" s="1" t="s">
        <v>11</v>
      </c>
      <c r="D3191" s="5">
        <v>45343.0</v>
      </c>
      <c r="G3191" s="1">
        <f>VLOOKUP(B3191,'old-aw-skill-plan'!A:I,7,FALSE)</f>
        <v>3</v>
      </c>
      <c r="H3191" s="1" t="str">
        <f>VLOOKUP(B3191,'old-aw-skill-plan'!A:I,9,FALSE)</f>
        <v>3-8</v>
      </c>
    </row>
    <row r="3192" ht="15.75" customHeight="1">
      <c r="A3192" s="1" t="s">
        <v>274</v>
      </c>
      <c r="B3192" s="1" t="s">
        <v>44</v>
      </c>
      <c r="C3192" s="1" t="s">
        <v>11</v>
      </c>
      <c r="D3192" s="5">
        <v>45343.0</v>
      </c>
      <c r="G3192" s="1">
        <f>VLOOKUP(B3192,'old-aw-skill-plan'!A:I,7,FALSE)</f>
        <v>5</v>
      </c>
      <c r="H3192" s="1" t="str">
        <f>VLOOKUP(B3192,'old-aw-skill-plan'!A:I,9,FALSE)</f>
        <v>5-1</v>
      </c>
    </row>
    <row r="3193" ht="15.75" customHeight="1">
      <c r="A3193" s="1" t="s">
        <v>81</v>
      </c>
      <c r="B3193" s="1" t="s">
        <v>42</v>
      </c>
      <c r="C3193" s="1" t="s">
        <v>11</v>
      </c>
      <c r="D3193" s="5">
        <v>45343.0</v>
      </c>
      <c r="G3193" s="1">
        <f>VLOOKUP(B3193,'old-aw-skill-plan'!A:I,7,FALSE)</f>
        <v>4</v>
      </c>
      <c r="H3193" s="1" t="str">
        <f>VLOOKUP(B3193,'old-aw-skill-plan'!A:I,9,FALSE)</f>
        <v>4-11</v>
      </c>
    </row>
    <row r="3194" ht="15.75" customHeight="1">
      <c r="A3194" s="1" t="s">
        <v>421</v>
      </c>
      <c r="B3194" s="1" t="s">
        <v>44</v>
      </c>
      <c r="C3194" s="1" t="s">
        <v>11</v>
      </c>
      <c r="D3194" s="5">
        <v>45343.0</v>
      </c>
      <c r="G3194" s="1">
        <f>VLOOKUP(B3194,'old-aw-skill-plan'!A:I,7,FALSE)</f>
        <v>5</v>
      </c>
      <c r="H3194" s="1" t="str">
        <f>VLOOKUP(B3194,'old-aw-skill-plan'!A:I,9,FALSE)</f>
        <v>5-1</v>
      </c>
    </row>
    <row r="3195" ht="15.75" customHeight="1">
      <c r="A3195" s="1" t="s">
        <v>230</v>
      </c>
      <c r="B3195" s="1" t="s">
        <v>10</v>
      </c>
      <c r="C3195" s="1" t="s">
        <v>11</v>
      </c>
      <c r="D3195" s="5">
        <v>45343.0</v>
      </c>
      <c r="G3195" s="1">
        <f>VLOOKUP(B3195,'old-aw-skill-plan'!A:I,7,FALSE)</f>
        <v>3</v>
      </c>
      <c r="H3195" s="1" t="str">
        <f>VLOOKUP(B3195,'old-aw-skill-plan'!A:I,9,FALSE)</f>
        <v>3-1</v>
      </c>
    </row>
    <row r="3196" ht="15.75" customHeight="1">
      <c r="A3196" s="1" t="s">
        <v>60</v>
      </c>
      <c r="B3196" s="1" t="s">
        <v>61</v>
      </c>
      <c r="C3196" s="1" t="s">
        <v>11</v>
      </c>
      <c r="D3196" s="5">
        <v>45343.0</v>
      </c>
      <c r="G3196" s="1">
        <f>VLOOKUP(B3196,'old-aw-skill-plan'!A:I,7,FALSE)</f>
        <v>4</v>
      </c>
      <c r="H3196" s="1" t="str">
        <f>VLOOKUP(B3196,'old-aw-skill-plan'!A:I,9,FALSE)</f>
        <v>4-4</v>
      </c>
    </row>
    <row r="3197" ht="15.75" customHeight="1">
      <c r="A3197" s="1" t="s">
        <v>428</v>
      </c>
      <c r="B3197" s="1" t="s">
        <v>40</v>
      </c>
      <c r="C3197" s="1" t="s">
        <v>11</v>
      </c>
      <c r="D3197" s="5">
        <v>45343.0</v>
      </c>
      <c r="G3197" s="1">
        <f>VLOOKUP(B3197,'old-aw-skill-plan'!A:I,7,FALSE)</f>
        <v>4</v>
      </c>
      <c r="H3197" s="1" t="str">
        <f>VLOOKUP(B3197,'old-aw-skill-plan'!A:I,9,FALSE)</f>
        <v>4-10</v>
      </c>
    </row>
    <row r="3198" ht="15.75" customHeight="1">
      <c r="A3198" s="1" t="s">
        <v>420</v>
      </c>
      <c r="B3198" s="1" t="s">
        <v>48</v>
      </c>
      <c r="C3198" s="1" t="s">
        <v>11</v>
      </c>
      <c r="D3198" s="5">
        <v>45343.0</v>
      </c>
      <c r="G3198" s="1">
        <f>VLOOKUP(B3198,'old-aw-skill-plan'!A:I,7,FALSE)</f>
        <v>3</v>
      </c>
      <c r="H3198" s="1" t="str">
        <f>VLOOKUP(B3198,'old-aw-skill-plan'!A:I,9,FALSE)</f>
        <v>3-6</v>
      </c>
    </row>
    <row r="3199" ht="15.75" customHeight="1">
      <c r="A3199" s="1" t="s">
        <v>431</v>
      </c>
      <c r="B3199" s="1" t="s">
        <v>348</v>
      </c>
      <c r="C3199" s="1" t="s">
        <v>11</v>
      </c>
      <c r="D3199" s="5">
        <v>45343.0</v>
      </c>
      <c r="G3199" s="1" t="str">
        <f>VLOOKUP(B3199,'old-aw-skill-plan'!A:I,7,FALSE)</f>
        <v>#N/A</v>
      </c>
      <c r="H3199" s="1" t="str">
        <f>VLOOKUP(B3199,'old-aw-skill-plan'!A:I,9,FALSE)</f>
        <v>#N/A</v>
      </c>
    </row>
    <row r="3200" ht="15.75" customHeight="1">
      <c r="A3200" s="1" t="s">
        <v>432</v>
      </c>
      <c r="B3200" s="1" t="s">
        <v>28</v>
      </c>
      <c r="C3200" s="1" t="s">
        <v>11</v>
      </c>
      <c r="D3200" s="5">
        <v>45343.0</v>
      </c>
      <c r="G3200" s="1">
        <f>VLOOKUP(B3200,'old-aw-skill-plan'!A:I,7,FALSE)</f>
        <v>3</v>
      </c>
      <c r="H3200" s="1" t="str">
        <f>VLOOKUP(B3200,'old-aw-skill-plan'!A:I,9,FALSE)</f>
        <v>3-4</v>
      </c>
    </row>
    <row r="3201" ht="15.75" customHeight="1">
      <c r="A3201" s="1" t="s">
        <v>214</v>
      </c>
      <c r="B3201" s="1" t="s">
        <v>33</v>
      </c>
      <c r="C3201" s="1" t="s">
        <v>11</v>
      </c>
      <c r="D3201" s="5">
        <v>45343.0</v>
      </c>
      <c r="G3201" s="1">
        <f>VLOOKUP(B3201,'old-aw-skill-plan'!A:I,7,FALSE)</f>
        <v>3</v>
      </c>
      <c r="H3201" s="1" t="str">
        <f>VLOOKUP(B3201,'old-aw-skill-plan'!A:I,9,FALSE)</f>
        <v>3-5</v>
      </c>
    </row>
    <row r="3202" ht="15.75" customHeight="1">
      <c r="A3202" s="1" t="s">
        <v>211</v>
      </c>
      <c r="B3202" s="1" t="s">
        <v>33</v>
      </c>
      <c r="C3202" s="1" t="s">
        <v>11</v>
      </c>
      <c r="D3202" s="5">
        <v>45343.0</v>
      </c>
      <c r="G3202" s="1">
        <f>VLOOKUP(B3202,'old-aw-skill-plan'!A:I,7,FALSE)</f>
        <v>3</v>
      </c>
      <c r="H3202" s="1" t="str">
        <f>VLOOKUP(B3202,'old-aw-skill-plan'!A:I,9,FALSE)</f>
        <v>3-5</v>
      </c>
    </row>
    <row r="3203" ht="15.75" customHeight="1">
      <c r="A3203" s="1" t="s">
        <v>197</v>
      </c>
      <c r="B3203" s="1" t="s">
        <v>444</v>
      </c>
      <c r="C3203" s="1" t="s">
        <v>11</v>
      </c>
      <c r="D3203" s="5">
        <v>45343.0</v>
      </c>
      <c r="G3203" s="1">
        <f>VLOOKUP(B3203,'old-aw-skill-plan'!A:I,7,FALSE)</f>
        <v>4</v>
      </c>
      <c r="H3203" s="1" t="str">
        <f>VLOOKUP(B3203,'old-aw-skill-plan'!A:I,9,FALSE)</f>
        <v>4-1</v>
      </c>
    </row>
    <row r="3204" ht="15.75" customHeight="1">
      <c r="A3204" s="1" t="s">
        <v>373</v>
      </c>
      <c r="B3204" s="1" t="s">
        <v>48</v>
      </c>
      <c r="C3204" s="1" t="s">
        <v>11</v>
      </c>
      <c r="D3204" s="5">
        <v>45343.0</v>
      </c>
      <c r="G3204" s="1">
        <f>VLOOKUP(B3204,'old-aw-skill-plan'!A:I,7,FALSE)</f>
        <v>3</v>
      </c>
      <c r="H3204" s="1" t="str">
        <f>VLOOKUP(B3204,'old-aw-skill-plan'!A:I,9,FALSE)</f>
        <v>3-6</v>
      </c>
    </row>
    <row r="3205" ht="15.75" customHeight="1">
      <c r="A3205" s="1" t="s">
        <v>181</v>
      </c>
      <c r="B3205" s="1" t="s">
        <v>28</v>
      </c>
      <c r="C3205" s="1" t="s">
        <v>11</v>
      </c>
      <c r="D3205" s="5">
        <v>45343.0</v>
      </c>
      <c r="G3205" s="1">
        <f>VLOOKUP(B3205,'old-aw-skill-plan'!A:I,7,FALSE)</f>
        <v>3</v>
      </c>
      <c r="H3205" s="1" t="str">
        <f>VLOOKUP(B3205,'old-aw-skill-plan'!A:I,9,FALSE)</f>
        <v>3-4</v>
      </c>
    </row>
    <row r="3206" ht="15.75" customHeight="1">
      <c r="A3206" s="1" t="s">
        <v>181</v>
      </c>
      <c r="B3206" s="1" t="s">
        <v>30</v>
      </c>
      <c r="C3206" s="1" t="s">
        <v>11</v>
      </c>
      <c r="D3206" s="5">
        <v>45343.0</v>
      </c>
      <c r="G3206" s="1">
        <f>VLOOKUP(B3206,'old-aw-skill-plan'!A:I,7,FALSE)</f>
        <v>3</v>
      </c>
      <c r="H3206" s="1" t="str">
        <f>VLOOKUP(B3206,'old-aw-skill-plan'!A:I,9,FALSE)</f>
        <v>3-3</v>
      </c>
    </row>
    <row r="3207" ht="15.75" customHeight="1">
      <c r="A3207" s="1" t="s">
        <v>181</v>
      </c>
      <c r="B3207" s="1" t="s">
        <v>47</v>
      </c>
      <c r="C3207" s="1" t="s">
        <v>11</v>
      </c>
      <c r="D3207" s="5">
        <v>45343.0</v>
      </c>
      <c r="G3207" s="1">
        <f>VLOOKUP(B3207,'old-aw-skill-plan'!A:I,7,FALSE)</f>
        <v>3</v>
      </c>
      <c r="H3207" s="1" t="str">
        <f>VLOOKUP(B3207,'old-aw-skill-plan'!A:I,9,FALSE)</f>
        <v>3-2</v>
      </c>
    </row>
    <row r="3208" ht="15.75" customHeight="1">
      <c r="A3208" s="1" t="s">
        <v>181</v>
      </c>
      <c r="B3208" s="1" t="s">
        <v>383</v>
      </c>
      <c r="C3208" s="1" t="s">
        <v>11</v>
      </c>
      <c r="D3208" s="5">
        <v>45343.0</v>
      </c>
      <c r="G3208" s="1">
        <f>VLOOKUP(B3208,'old-aw-skill-plan'!A:I,7,FALSE)</f>
        <v>3</v>
      </c>
      <c r="H3208" s="1" t="str">
        <f>VLOOKUP(B3208,'old-aw-skill-plan'!A:I,9,FALSE)</f>
        <v>3-3</v>
      </c>
    </row>
    <row r="3209" ht="15.75" customHeight="1">
      <c r="A3209" s="1" t="s">
        <v>102</v>
      </c>
      <c r="B3209" s="1" t="s">
        <v>33</v>
      </c>
      <c r="C3209" s="1" t="s">
        <v>11</v>
      </c>
      <c r="D3209" s="5">
        <v>45343.0</v>
      </c>
      <c r="G3209" s="1">
        <f>VLOOKUP(B3209,'old-aw-skill-plan'!A:I,7,FALSE)</f>
        <v>3</v>
      </c>
      <c r="H3209" s="1" t="str">
        <f>VLOOKUP(B3209,'old-aw-skill-plan'!A:I,9,FALSE)</f>
        <v>3-5</v>
      </c>
    </row>
    <row r="3210" ht="15.75" customHeight="1">
      <c r="A3210" s="1" t="s">
        <v>94</v>
      </c>
      <c r="B3210" s="1" t="s">
        <v>117</v>
      </c>
      <c r="C3210" s="1" t="s">
        <v>11</v>
      </c>
      <c r="D3210" s="5">
        <v>45343.0</v>
      </c>
      <c r="G3210" s="1">
        <f>VLOOKUP(B3210,'old-aw-skill-plan'!A:I,7,FALSE)</f>
        <v>3</v>
      </c>
      <c r="H3210" s="1" t="str">
        <f>VLOOKUP(B3210,'old-aw-skill-plan'!A:I,9,FALSE)</f>
        <v>3-11</v>
      </c>
    </row>
    <row r="3211" ht="15.75" customHeight="1">
      <c r="A3211" s="1" t="s">
        <v>225</v>
      </c>
      <c r="B3211" s="1" t="s">
        <v>79</v>
      </c>
      <c r="C3211" s="1" t="s">
        <v>11</v>
      </c>
      <c r="D3211" s="5">
        <v>45343.0</v>
      </c>
      <c r="G3211" s="1">
        <f>VLOOKUP(B3211,'old-aw-skill-plan'!A:I,7,FALSE)</f>
        <v>4</v>
      </c>
      <c r="H3211" s="1" t="str">
        <f>VLOOKUP(B3211,'old-aw-skill-plan'!A:I,9,FALSE)</f>
        <v>4-8</v>
      </c>
    </row>
    <row r="3212" ht="15.75" customHeight="1">
      <c r="A3212" s="1" t="s">
        <v>427</v>
      </c>
      <c r="B3212" s="1" t="s">
        <v>33</v>
      </c>
      <c r="C3212" s="1" t="s">
        <v>11</v>
      </c>
      <c r="D3212" s="5">
        <v>45343.0</v>
      </c>
      <c r="G3212" s="1">
        <f>VLOOKUP(B3212,'old-aw-skill-plan'!A:I,7,FALSE)</f>
        <v>3</v>
      </c>
      <c r="H3212" s="1" t="str">
        <f>VLOOKUP(B3212,'old-aw-skill-plan'!A:I,9,FALSE)</f>
        <v>3-5</v>
      </c>
    </row>
    <row r="3213" ht="15.75" customHeight="1">
      <c r="A3213" s="1" t="s">
        <v>436</v>
      </c>
      <c r="B3213" s="1" t="s">
        <v>118</v>
      </c>
      <c r="C3213" s="1" t="s">
        <v>11</v>
      </c>
      <c r="D3213" s="5">
        <v>45343.0</v>
      </c>
      <c r="G3213" s="1">
        <f>VLOOKUP(B3213,'old-aw-skill-plan'!A:I,7,FALSE)</f>
        <v>3</v>
      </c>
      <c r="H3213" s="1" t="str">
        <f>VLOOKUP(B3213,'old-aw-skill-plan'!A:I,9,FALSE)</f>
        <v>3-12</v>
      </c>
    </row>
    <row r="3214" ht="15.75" customHeight="1">
      <c r="A3214" s="1" t="s">
        <v>436</v>
      </c>
      <c r="B3214" s="1" t="s">
        <v>445</v>
      </c>
      <c r="C3214" s="1" t="s">
        <v>11</v>
      </c>
      <c r="D3214" s="5">
        <v>45343.0</v>
      </c>
      <c r="G3214" s="1">
        <f>VLOOKUP(B3214,'old-aw-skill-plan'!A:I,7,FALSE)</f>
        <v>3</v>
      </c>
      <c r="H3214" s="1" t="str">
        <f>VLOOKUP(B3214,'old-aw-skill-plan'!A:I,9,FALSE)</f>
        <v>3-9</v>
      </c>
    </row>
    <row r="3215" ht="15.75" customHeight="1">
      <c r="A3215" s="1" t="s">
        <v>110</v>
      </c>
      <c r="B3215" s="1" t="s">
        <v>10</v>
      </c>
      <c r="C3215" s="1" t="s">
        <v>11</v>
      </c>
      <c r="D3215" s="5">
        <v>45343.0</v>
      </c>
      <c r="G3215" s="1">
        <f>VLOOKUP(B3215,'old-aw-skill-plan'!A:I,7,FALSE)</f>
        <v>3</v>
      </c>
      <c r="H3215" s="1" t="str">
        <f>VLOOKUP(B3215,'old-aw-skill-plan'!A:I,9,FALSE)</f>
        <v>3-1</v>
      </c>
    </row>
    <row r="3216" ht="15.75" customHeight="1">
      <c r="A3216" s="1" t="s">
        <v>266</v>
      </c>
      <c r="B3216" s="1" t="s">
        <v>79</v>
      </c>
      <c r="C3216" s="1" t="s">
        <v>11</v>
      </c>
      <c r="D3216" s="5">
        <v>45342.0</v>
      </c>
      <c r="G3216" s="1">
        <f>VLOOKUP(B3216,'old-aw-skill-plan'!A:I,7,FALSE)</f>
        <v>4</v>
      </c>
      <c r="H3216" s="1" t="str">
        <f>VLOOKUP(B3216,'old-aw-skill-plan'!A:I,9,FALSE)</f>
        <v>4-8</v>
      </c>
    </row>
    <row r="3217" ht="15.75" customHeight="1">
      <c r="A3217" s="1" t="s">
        <v>22</v>
      </c>
      <c r="B3217" s="1" t="s">
        <v>79</v>
      </c>
      <c r="C3217" s="1" t="s">
        <v>11</v>
      </c>
      <c r="D3217" s="5">
        <v>45342.0</v>
      </c>
      <c r="G3217" s="1">
        <f>VLOOKUP(B3217,'old-aw-skill-plan'!A:I,7,FALSE)</f>
        <v>4</v>
      </c>
      <c r="H3217" s="1" t="str">
        <f>VLOOKUP(B3217,'old-aw-skill-plan'!A:I,9,FALSE)</f>
        <v>4-8</v>
      </c>
    </row>
    <row r="3218" ht="15.75" customHeight="1">
      <c r="A3218" s="1" t="s">
        <v>31</v>
      </c>
      <c r="B3218" s="1" t="s">
        <v>10</v>
      </c>
      <c r="C3218" s="1" t="s">
        <v>11</v>
      </c>
      <c r="D3218" s="5">
        <v>45342.0</v>
      </c>
      <c r="G3218" s="1">
        <f>VLOOKUP(B3218,'old-aw-skill-plan'!A:I,7,FALSE)</f>
        <v>3</v>
      </c>
      <c r="H3218" s="1" t="str">
        <f>VLOOKUP(B3218,'old-aw-skill-plan'!A:I,9,FALSE)</f>
        <v>3-1</v>
      </c>
    </row>
    <row r="3219" ht="15.75" customHeight="1">
      <c r="A3219" s="1" t="s">
        <v>216</v>
      </c>
      <c r="B3219" s="1" t="s">
        <v>19</v>
      </c>
      <c r="C3219" s="1" t="s">
        <v>11</v>
      </c>
      <c r="D3219" s="5">
        <v>45342.0</v>
      </c>
      <c r="G3219" s="1">
        <f>VLOOKUP(B3219,'old-aw-skill-plan'!A:I,7,FALSE)</f>
        <v>4</v>
      </c>
      <c r="H3219" s="1" t="str">
        <f>VLOOKUP(B3219,'old-aw-skill-plan'!A:I,9,FALSE)</f>
        <v>4-7</v>
      </c>
    </row>
    <row r="3220" ht="15.75" customHeight="1">
      <c r="A3220" s="1" t="s">
        <v>41</v>
      </c>
      <c r="B3220" s="1" t="s">
        <v>47</v>
      </c>
      <c r="C3220" s="1" t="s">
        <v>11</v>
      </c>
      <c r="D3220" s="5">
        <v>45342.0</v>
      </c>
      <c r="G3220" s="1">
        <f>VLOOKUP(B3220,'old-aw-skill-plan'!A:I,7,FALSE)</f>
        <v>3</v>
      </c>
      <c r="H3220" s="1" t="str">
        <f>VLOOKUP(B3220,'old-aw-skill-plan'!A:I,9,FALSE)</f>
        <v>3-2</v>
      </c>
    </row>
    <row r="3221" ht="15.75" customHeight="1">
      <c r="A3221" s="1" t="s">
        <v>24</v>
      </c>
      <c r="B3221" s="1" t="s">
        <v>37</v>
      </c>
      <c r="C3221" s="1" t="s">
        <v>11</v>
      </c>
      <c r="D3221" s="5">
        <v>45342.0</v>
      </c>
      <c r="G3221" s="1">
        <f>VLOOKUP(B3221,'old-aw-skill-plan'!A:I,7,FALSE)</f>
        <v>4</v>
      </c>
      <c r="H3221" s="1" t="str">
        <f>VLOOKUP(B3221,'old-aw-skill-plan'!A:I,9,FALSE)</f>
        <v>4-2</v>
      </c>
    </row>
    <row r="3222" ht="15.75" customHeight="1">
      <c r="A3222" s="1" t="s">
        <v>419</v>
      </c>
      <c r="B3222" s="1" t="s">
        <v>44</v>
      </c>
      <c r="C3222" s="1" t="s">
        <v>11</v>
      </c>
      <c r="D3222" s="5">
        <v>45342.0</v>
      </c>
      <c r="G3222" s="1">
        <f>VLOOKUP(B3222,'old-aw-skill-plan'!A:I,7,FALSE)</f>
        <v>5</v>
      </c>
      <c r="H3222" s="1" t="str">
        <f>VLOOKUP(B3222,'old-aw-skill-plan'!A:I,9,FALSE)</f>
        <v>5-1</v>
      </c>
    </row>
    <row r="3223" ht="15.75" customHeight="1">
      <c r="A3223" s="1" t="s">
        <v>421</v>
      </c>
      <c r="B3223" s="1" t="s">
        <v>44</v>
      </c>
      <c r="C3223" s="1" t="s">
        <v>11</v>
      </c>
      <c r="D3223" s="5">
        <v>45342.0</v>
      </c>
      <c r="G3223" s="1">
        <f>VLOOKUP(B3223,'old-aw-skill-plan'!A:I,7,FALSE)</f>
        <v>5</v>
      </c>
      <c r="H3223" s="1" t="str">
        <f>VLOOKUP(B3223,'old-aw-skill-plan'!A:I,9,FALSE)</f>
        <v>5-1</v>
      </c>
    </row>
    <row r="3224" ht="15.75" customHeight="1">
      <c r="A3224" s="1" t="s">
        <v>230</v>
      </c>
      <c r="B3224" s="1" t="s">
        <v>115</v>
      </c>
      <c r="C3224" s="1" t="s">
        <v>11</v>
      </c>
      <c r="D3224" s="5">
        <v>45342.0</v>
      </c>
      <c r="G3224" s="1">
        <f>VLOOKUP(B3224,'old-aw-skill-plan'!A:I,7,FALSE)</f>
        <v>3</v>
      </c>
      <c r="H3224" s="1" t="str">
        <f>VLOOKUP(B3224,'old-aw-skill-plan'!A:I,9,FALSE)</f>
        <v>3-10</v>
      </c>
    </row>
    <row r="3225" ht="15.75" customHeight="1">
      <c r="A3225" s="1" t="s">
        <v>230</v>
      </c>
      <c r="B3225" s="1" t="s">
        <v>28</v>
      </c>
      <c r="C3225" s="1" t="s">
        <v>11</v>
      </c>
      <c r="D3225" s="5">
        <v>45342.0</v>
      </c>
      <c r="G3225" s="1">
        <f>VLOOKUP(B3225,'old-aw-skill-plan'!A:I,7,FALSE)</f>
        <v>3</v>
      </c>
      <c r="H3225" s="1" t="str">
        <f>VLOOKUP(B3225,'old-aw-skill-plan'!A:I,9,FALSE)</f>
        <v>3-4</v>
      </c>
    </row>
    <row r="3226" ht="15.75" customHeight="1">
      <c r="A3226" s="1" t="s">
        <v>420</v>
      </c>
      <c r="B3226" s="1" t="s">
        <v>10</v>
      </c>
      <c r="C3226" s="1" t="s">
        <v>11</v>
      </c>
      <c r="D3226" s="5">
        <v>45342.0</v>
      </c>
      <c r="G3226" s="1">
        <f>VLOOKUP(B3226,'old-aw-skill-plan'!A:I,7,FALSE)</f>
        <v>3</v>
      </c>
      <c r="H3226" s="1" t="str">
        <f>VLOOKUP(B3226,'old-aw-skill-plan'!A:I,9,FALSE)</f>
        <v>3-1</v>
      </c>
    </row>
    <row r="3227" ht="15.75" customHeight="1">
      <c r="A3227" s="1" t="s">
        <v>420</v>
      </c>
      <c r="B3227" s="1" t="s">
        <v>48</v>
      </c>
      <c r="C3227" s="1" t="s">
        <v>11</v>
      </c>
      <c r="D3227" s="5">
        <v>45342.0</v>
      </c>
      <c r="G3227" s="1">
        <f>VLOOKUP(B3227,'old-aw-skill-plan'!A:I,7,FALSE)</f>
        <v>3</v>
      </c>
      <c r="H3227" s="1" t="str">
        <f>VLOOKUP(B3227,'old-aw-skill-plan'!A:I,9,FALSE)</f>
        <v>3-6</v>
      </c>
    </row>
    <row r="3228" ht="15.75" customHeight="1">
      <c r="A3228" s="1" t="s">
        <v>420</v>
      </c>
      <c r="B3228" s="1" t="s">
        <v>352</v>
      </c>
      <c r="C3228" s="1" t="s">
        <v>11</v>
      </c>
      <c r="D3228" s="5">
        <v>45342.0</v>
      </c>
      <c r="G3228" s="1">
        <f>VLOOKUP(B3228,'old-aw-skill-plan'!A:I,7,FALSE)</f>
        <v>3</v>
      </c>
      <c r="H3228" s="1" t="str">
        <f>VLOOKUP(B3228,'old-aw-skill-plan'!A:I,9,FALSE)</f>
        <v>3-2</v>
      </c>
    </row>
    <row r="3229" ht="15.75" customHeight="1">
      <c r="A3229" s="1" t="s">
        <v>275</v>
      </c>
      <c r="B3229" s="1" t="s">
        <v>312</v>
      </c>
      <c r="C3229" s="1" t="s">
        <v>11</v>
      </c>
      <c r="D3229" s="5">
        <v>45342.0</v>
      </c>
      <c r="G3229" s="1" t="str">
        <f>VLOOKUP(B3229,'old-aw-skill-plan'!A:I,7,FALSE)</f>
        <v>#N/A</v>
      </c>
      <c r="H3229" s="1" t="str">
        <f>VLOOKUP(B3229,'old-aw-skill-plan'!A:I,9,FALSE)</f>
        <v>#N/A</v>
      </c>
    </row>
    <row r="3230" ht="15.75" customHeight="1">
      <c r="A3230" s="1" t="s">
        <v>95</v>
      </c>
      <c r="B3230" s="1" t="s">
        <v>116</v>
      </c>
      <c r="C3230" s="1" t="s">
        <v>11</v>
      </c>
      <c r="D3230" s="5">
        <v>45342.0</v>
      </c>
      <c r="G3230" s="1">
        <f>VLOOKUP(B3230,'old-aw-skill-plan'!A:I,7,FALSE)</f>
        <v>3</v>
      </c>
      <c r="H3230" s="1" t="str">
        <f>VLOOKUP(B3230,'old-aw-skill-plan'!A:I,9,FALSE)</f>
        <v>3-9</v>
      </c>
    </row>
    <row r="3231" ht="15.75" customHeight="1">
      <c r="A3231" s="1" t="s">
        <v>432</v>
      </c>
      <c r="B3231" s="1" t="s">
        <v>28</v>
      </c>
      <c r="C3231" s="1" t="s">
        <v>11</v>
      </c>
      <c r="D3231" s="5">
        <v>45342.0</v>
      </c>
      <c r="G3231" s="1">
        <f>VLOOKUP(B3231,'old-aw-skill-plan'!A:I,7,FALSE)</f>
        <v>3</v>
      </c>
      <c r="H3231" s="1" t="str">
        <f>VLOOKUP(B3231,'old-aw-skill-plan'!A:I,9,FALSE)</f>
        <v>3-4</v>
      </c>
    </row>
    <row r="3232" ht="15.75" customHeight="1">
      <c r="A3232" s="1" t="s">
        <v>197</v>
      </c>
      <c r="B3232" s="1" t="s">
        <v>400</v>
      </c>
      <c r="C3232" s="1" t="s">
        <v>11</v>
      </c>
      <c r="D3232" s="5">
        <v>45342.0</v>
      </c>
      <c r="G3232" s="1">
        <f>VLOOKUP(B3232,'old-aw-skill-plan'!A:I,7,FALSE)</f>
        <v>4</v>
      </c>
      <c r="H3232" s="1" t="str">
        <f>VLOOKUP(B3232,'old-aw-skill-plan'!A:I,9,FALSE)</f>
        <v>4-7</v>
      </c>
    </row>
    <row r="3233" ht="15.75" customHeight="1">
      <c r="A3233" s="1" t="s">
        <v>197</v>
      </c>
      <c r="B3233" s="1" t="s">
        <v>386</v>
      </c>
      <c r="C3233" s="1" t="s">
        <v>11</v>
      </c>
      <c r="D3233" s="5">
        <v>45342.0</v>
      </c>
      <c r="G3233" s="1">
        <f>VLOOKUP(B3233,'old-aw-skill-plan'!A:I,7,FALSE)</f>
        <v>4</v>
      </c>
      <c r="H3233" s="1" t="str">
        <f>VLOOKUP(B3233,'old-aw-skill-plan'!A:I,9,FALSE)</f>
        <v>4-6</v>
      </c>
    </row>
    <row r="3234" ht="15.75" customHeight="1">
      <c r="A3234" s="1" t="s">
        <v>373</v>
      </c>
      <c r="B3234" s="1" t="s">
        <v>10</v>
      </c>
      <c r="C3234" s="1" t="s">
        <v>11</v>
      </c>
      <c r="D3234" s="5">
        <v>45342.0</v>
      </c>
      <c r="G3234" s="1">
        <f>VLOOKUP(B3234,'old-aw-skill-plan'!A:I,7,FALSE)</f>
        <v>3</v>
      </c>
      <c r="H3234" s="1" t="str">
        <f>VLOOKUP(B3234,'old-aw-skill-plan'!A:I,9,FALSE)</f>
        <v>3-1</v>
      </c>
    </row>
    <row r="3235" ht="15.75" customHeight="1">
      <c r="A3235" s="1" t="s">
        <v>226</v>
      </c>
      <c r="B3235" s="1" t="s">
        <v>118</v>
      </c>
      <c r="C3235" s="1" t="s">
        <v>11</v>
      </c>
      <c r="D3235" s="5">
        <v>45342.0</v>
      </c>
      <c r="G3235" s="1">
        <f>VLOOKUP(B3235,'old-aw-skill-plan'!A:I,7,FALSE)</f>
        <v>3</v>
      </c>
      <c r="H3235" s="1" t="str">
        <f>VLOOKUP(B3235,'old-aw-skill-plan'!A:I,9,FALSE)</f>
        <v>3-12</v>
      </c>
    </row>
    <row r="3236" ht="15.75" customHeight="1">
      <c r="A3236" s="1" t="s">
        <v>226</v>
      </c>
      <c r="B3236" s="1" t="s">
        <v>354</v>
      </c>
      <c r="C3236" s="1" t="s">
        <v>11</v>
      </c>
      <c r="D3236" s="5">
        <v>45342.0</v>
      </c>
      <c r="G3236" s="1">
        <f>VLOOKUP(B3236,'old-aw-skill-plan'!A:I,7,FALSE)</f>
        <v>3</v>
      </c>
      <c r="H3236" s="1" t="str">
        <f>VLOOKUP(B3236,'old-aw-skill-plan'!A:I,9,FALSE)</f>
        <v>3-7</v>
      </c>
    </row>
    <row r="3237" ht="15.75" customHeight="1">
      <c r="A3237" s="1" t="s">
        <v>226</v>
      </c>
      <c r="B3237" s="1" t="s">
        <v>438</v>
      </c>
      <c r="C3237" s="1" t="s">
        <v>11</v>
      </c>
      <c r="D3237" s="5">
        <v>45342.0</v>
      </c>
      <c r="G3237" s="1">
        <f>VLOOKUP(B3237,'old-aw-skill-plan'!A:I,7,FALSE)</f>
        <v>3</v>
      </c>
      <c r="H3237" s="1" t="str">
        <f>VLOOKUP(B3237,'old-aw-skill-plan'!A:I,9,FALSE)</f>
        <v>3-12</v>
      </c>
    </row>
    <row r="3238" ht="15.75" customHeight="1">
      <c r="A3238" s="1" t="s">
        <v>226</v>
      </c>
      <c r="B3238" s="1" t="s">
        <v>405</v>
      </c>
      <c r="C3238" s="1" t="s">
        <v>11</v>
      </c>
      <c r="D3238" s="5">
        <v>45342.0</v>
      </c>
      <c r="G3238" s="1">
        <f>VLOOKUP(B3238,'old-aw-skill-plan'!A:I,7,FALSE)</f>
        <v>3</v>
      </c>
      <c r="H3238" s="1" t="str">
        <f>VLOOKUP(B3238,'old-aw-skill-plan'!A:I,9,FALSE)</f>
        <v>3-9</v>
      </c>
    </row>
    <row r="3239" ht="15.75" customHeight="1">
      <c r="A3239" s="1" t="s">
        <v>94</v>
      </c>
      <c r="B3239" s="1" t="s">
        <v>117</v>
      </c>
      <c r="C3239" s="1" t="s">
        <v>11</v>
      </c>
      <c r="D3239" s="5">
        <v>45342.0</v>
      </c>
      <c r="G3239" s="1">
        <f>VLOOKUP(B3239,'old-aw-skill-plan'!A:I,7,FALSE)</f>
        <v>3</v>
      </c>
      <c r="H3239" s="1" t="str">
        <f>VLOOKUP(B3239,'old-aw-skill-plan'!A:I,9,FALSE)</f>
        <v>3-11</v>
      </c>
    </row>
    <row r="3240" ht="15.75" customHeight="1">
      <c r="A3240" s="1" t="s">
        <v>225</v>
      </c>
      <c r="B3240" s="1" t="s">
        <v>433</v>
      </c>
      <c r="C3240" s="1" t="s">
        <v>11</v>
      </c>
      <c r="D3240" s="5">
        <v>45342.0</v>
      </c>
      <c r="G3240" s="1">
        <f>VLOOKUP(B3240,'old-aw-skill-plan'!A:I,7,FALSE)</f>
        <v>4</v>
      </c>
      <c r="H3240" s="1" t="str">
        <f>VLOOKUP(B3240,'old-aw-skill-plan'!A:I,9,FALSE)</f>
        <v>4-4</v>
      </c>
    </row>
    <row r="3241" ht="15.75" customHeight="1">
      <c r="A3241" s="1" t="s">
        <v>427</v>
      </c>
      <c r="B3241" s="1" t="s">
        <v>57</v>
      </c>
      <c r="C3241" s="1" t="s">
        <v>11</v>
      </c>
      <c r="D3241" s="5">
        <v>45342.0</v>
      </c>
      <c r="G3241" s="1">
        <f>VLOOKUP(B3241,'old-aw-skill-plan'!A:I,7,FALSE)</f>
        <v>3</v>
      </c>
      <c r="H3241" s="1" t="str">
        <f>VLOOKUP(B3241,'old-aw-skill-plan'!A:I,9,FALSE)</f>
        <v>3-7</v>
      </c>
    </row>
    <row r="3242" ht="15.75" customHeight="1">
      <c r="A3242" s="1" t="s">
        <v>427</v>
      </c>
      <c r="B3242" s="1" t="s">
        <v>33</v>
      </c>
      <c r="C3242" s="1" t="s">
        <v>11</v>
      </c>
      <c r="D3242" s="5">
        <v>45342.0</v>
      </c>
      <c r="G3242" s="1">
        <f>VLOOKUP(B3242,'old-aw-skill-plan'!A:I,7,FALSE)</f>
        <v>3</v>
      </c>
      <c r="H3242" s="1" t="str">
        <f>VLOOKUP(B3242,'old-aw-skill-plan'!A:I,9,FALSE)</f>
        <v>3-5</v>
      </c>
    </row>
    <row r="3243" ht="15.75" customHeight="1">
      <c r="A3243" s="1" t="s">
        <v>436</v>
      </c>
      <c r="B3243" s="1" t="s">
        <v>117</v>
      </c>
      <c r="C3243" s="1" t="s">
        <v>11</v>
      </c>
      <c r="D3243" s="5">
        <v>45342.0</v>
      </c>
      <c r="G3243" s="1">
        <f>VLOOKUP(B3243,'old-aw-skill-plan'!A:I,7,FALSE)</f>
        <v>3</v>
      </c>
      <c r="H3243" s="1" t="str">
        <f>VLOOKUP(B3243,'old-aw-skill-plan'!A:I,9,FALSE)</f>
        <v>3-11</v>
      </c>
    </row>
    <row r="3244" ht="15.75" customHeight="1">
      <c r="A3244" s="1" t="s">
        <v>436</v>
      </c>
      <c r="B3244" s="1" t="s">
        <v>58</v>
      </c>
      <c r="C3244" s="1" t="s">
        <v>11</v>
      </c>
      <c r="D3244" s="5">
        <v>45342.0</v>
      </c>
      <c r="G3244" s="1">
        <f>VLOOKUP(B3244,'old-aw-skill-plan'!A:I,7,FALSE)</f>
        <v>3</v>
      </c>
      <c r="H3244" s="1" t="str">
        <f>VLOOKUP(B3244,'old-aw-skill-plan'!A:I,9,FALSE)</f>
        <v>3-8</v>
      </c>
    </row>
    <row r="3245" ht="15.75" customHeight="1">
      <c r="A3245" s="1" t="s">
        <v>436</v>
      </c>
      <c r="B3245" s="1" t="s">
        <v>437</v>
      </c>
      <c r="C3245" s="1" t="s">
        <v>11</v>
      </c>
      <c r="D3245" s="5">
        <v>45342.0</v>
      </c>
      <c r="G3245" s="1">
        <f>VLOOKUP(B3245,'old-aw-skill-plan'!A:I,7,FALSE)</f>
        <v>3</v>
      </c>
      <c r="H3245" s="1" t="str">
        <f>VLOOKUP(B3245,'old-aw-skill-plan'!A:I,9,FALSE)</f>
        <v>3-10</v>
      </c>
    </row>
    <row r="3246" ht="15.75" customHeight="1">
      <c r="A3246" s="1" t="s">
        <v>436</v>
      </c>
      <c r="B3246" s="1" t="s">
        <v>445</v>
      </c>
      <c r="C3246" s="1" t="s">
        <v>11</v>
      </c>
      <c r="D3246" s="5">
        <v>45342.0</v>
      </c>
      <c r="G3246" s="1">
        <f>VLOOKUP(B3246,'old-aw-skill-plan'!A:I,7,FALSE)</f>
        <v>3</v>
      </c>
      <c r="H3246" s="1" t="str">
        <f>VLOOKUP(B3246,'old-aw-skill-plan'!A:I,9,FALSE)</f>
        <v>3-9</v>
      </c>
    </row>
    <row r="3247" ht="15.75" customHeight="1">
      <c r="A3247" s="1" t="s">
        <v>110</v>
      </c>
      <c r="B3247" s="1" t="s">
        <v>28</v>
      </c>
      <c r="C3247" s="1" t="s">
        <v>11</v>
      </c>
      <c r="D3247" s="5">
        <v>45342.0</v>
      </c>
      <c r="G3247" s="1">
        <f>VLOOKUP(B3247,'old-aw-skill-plan'!A:I,7,FALSE)</f>
        <v>3</v>
      </c>
      <c r="H3247" s="1" t="str">
        <f>VLOOKUP(B3247,'old-aw-skill-plan'!A:I,9,FALSE)</f>
        <v>3-4</v>
      </c>
    </row>
    <row r="3248" ht="15.75" customHeight="1">
      <c r="A3248" s="1" t="s">
        <v>110</v>
      </c>
      <c r="B3248" s="1" t="s">
        <v>10</v>
      </c>
      <c r="C3248" s="1" t="s">
        <v>11</v>
      </c>
      <c r="D3248" s="5">
        <v>45342.0</v>
      </c>
      <c r="G3248" s="1">
        <f>VLOOKUP(B3248,'old-aw-skill-plan'!A:I,7,FALSE)</f>
        <v>3</v>
      </c>
      <c r="H3248" s="1" t="str">
        <f>VLOOKUP(B3248,'old-aw-skill-plan'!A:I,9,FALSE)</f>
        <v>3-1</v>
      </c>
    </row>
    <row r="3249" ht="15.75" customHeight="1">
      <c r="A3249" s="1" t="s">
        <v>266</v>
      </c>
      <c r="B3249" s="1" t="s">
        <v>66</v>
      </c>
      <c r="C3249" s="1" t="s">
        <v>11</v>
      </c>
      <c r="D3249" s="5">
        <v>45341.0</v>
      </c>
      <c r="G3249" s="1">
        <f>VLOOKUP(B3249,'old-aw-skill-plan'!A:I,7,FALSE)</f>
        <v>4</v>
      </c>
      <c r="H3249" s="1" t="str">
        <f>VLOOKUP(B3249,'old-aw-skill-plan'!A:I,9,FALSE)</f>
        <v>4-9</v>
      </c>
    </row>
    <row r="3250" ht="15.75" customHeight="1">
      <c r="A3250" s="1" t="s">
        <v>22</v>
      </c>
      <c r="B3250" s="1" t="s">
        <v>79</v>
      </c>
      <c r="C3250" s="1" t="s">
        <v>11</v>
      </c>
      <c r="D3250" s="5">
        <v>45341.0</v>
      </c>
      <c r="G3250" s="1">
        <f>VLOOKUP(B3250,'old-aw-skill-plan'!A:I,7,FALSE)</f>
        <v>4</v>
      </c>
      <c r="H3250" s="1" t="str">
        <f>VLOOKUP(B3250,'old-aw-skill-plan'!A:I,9,FALSE)</f>
        <v>4-8</v>
      </c>
    </row>
    <row r="3251" ht="15.75" customHeight="1">
      <c r="A3251" s="1" t="s">
        <v>216</v>
      </c>
      <c r="B3251" s="1" t="s">
        <v>66</v>
      </c>
      <c r="C3251" s="1" t="s">
        <v>11</v>
      </c>
      <c r="D3251" s="5">
        <v>45341.0</v>
      </c>
      <c r="G3251" s="1">
        <f>VLOOKUP(B3251,'old-aw-skill-plan'!A:I,7,FALSE)</f>
        <v>4</v>
      </c>
      <c r="H3251" s="1" t="str">
        <f>VLOOKUP(B3251,'old-aw-skill-plan'!A:I,9,FALSE)</f>
        <v>4-9</v>
      </c>
    </row>
    <row r="3252" ht="15.75" customHeight="1">
      <c r="A3252" s="1" t="s">
        <v>216</v>
      </c>
      <c r="B3252" s="1" t="s">
        <v>19</v>
      </c>
      <c r="C3252" s="1" t="s">
        <v>11</v>
      </c>
      <c r="D3252" s="5">
        <v>45341.0</v>
      </c>
      <c r="G3252" s="1">
        <f>VLOOKUP(B3252,'old-aw-skill-plan'!A:I,7,FALSE)</f>
        <v>4</v>
      </c>
      <c r="H3252" s="1" t="str">
        <f>VLOOKUP(B3252,'old-aw-skill-plan'!A:I,9,FALSE)</f>
        <v>4-7</v>
      </c>
    </row>
    <row r="3253" ht="15.75" customHeight="1">
      <c r="A3253" s="1" t="s">
        <v>41</v>
      </c>
      <c r="B3253" s="1" t="s">
        <v>47</v>
      </c>
      <c r="C3253" s="1" t="s">
        <v>11</v>
      </c>
      <c r="D3253" s="5">
        <v>45341.0</v>
      </c>
      <c r="G3253" s="1">
        <f>VLOOKUP(B3253,'old-aw-skill-plan'!A:I,7,FALSE)</f>
        <v>3</v>
      </c>
      <c r="H3253" s="1" t="str">
        <f>VLOOKUP(B3253,'old-aw-skill-plan'!A:I,9,FALSE)</f>
        <v>3-2</v>
      </c>
    </row>
    <row r="3254" ht="15.75" customHeight="1">
      <c r="A3254" s="1" t="s">
        <v>24</v>
      </c>
      <c r="B3254" s="1" t="s">
        <v>37</v>
      </c>
      <c r="C3254" s="1" t="s">
        <v>11</v>
      </c>
      <c r="D3254" s="5">
        <v>45341.0</v>
      </c>
      <c r="G3254" s="1">
        <f>VLOOKUP(B3254,'old-aw-skill-plan'!A:I,7,FALSE)</f>
        <v>4</v>
      </c>
      <c r="H3254" s="1" t="str">
        <f>VLOOKUP(B3254,'old-aw-skill-plan'!A:I,9,FALSE)</f>
        <v>4-2</v>
      </c>
    </row>
    <row r="3255" ht="15.75" customHeight="1">
      <c r="A3255" s="1" t="s">
        <v>213</v>
      </c>
      <c r="B3255" s="1" t="s">
        <v>28</v>
      </c>
      <c r="C3255" s="1" t="s">
        <v>11</v>
      </c>
      <c r="D3255" s="5">
        <v>45341.0</v>
      </c>
      <c r="G3255" s="1">
        <f>VLOOKUP(B3255,'old-aw-skill-plan'!A:I,7,FALSE)</f>
        <v>3</v>
      </c>
      <c r="H3255" s="1" t="str">
        <f>VLOOKUP(B3255,'old-aw-skill-plan'!A:I,9,FALSE)</f>
        <v>3-4</v>
      </c>
    </row>
    <row r="3256" ht="15.75" customHeight="1">
      <c r="A3256" s="1" t="s">
        <v>213</v>
      </c>
      <c r="B3256" s="1" t="s">
        <v>10</v>
      </c>
      <c r="C3256" s="1" t="s">
        <v>11</v>
      </c>
      <c r="D3256" s="5">
        <v>45341.0</v>
      </c>
      <c r="G3256" s="1">
        <f>VLOOKUP(B3256,'old-aw-skill-plan'!A:I,7,FALSE)</f>
        <v>3</v>
      </c>
      <c r="H3256" s="1" t="str">
        <f>VLOOKUP(B3256,'old-aw-skill-plan'!A:I,9,FALSE)</f>
        <v>3-1</v>
      </c>
    </row>
    <row r="3257" ht="15.75" customHeight="1">
      <c r="A3257" s="1" t="s">
        <v>273</v>
      </c>
      <c r="B3257" s="1" t="s">
        <v>115</v>
      </c>
      <c r="C3257" s="1" t="s">
        <v>11</v>
      </c>
      <c r="D3257" s="5">
        <v>45341.0</v>
      </c>
      <c r="G3257" s="1">
        <f>VLOOKUP(B3257,'old-aw-skill-plan'!A:I,7,FALSE)</f>
        <v>3</v>
      </c>
      <c r="H3257" s="1" t="str">
        <f>VLOOKUP(B3257,'old-aw-skill-plan'!A:I,9,FALSE)</f>
        <v>3-10</v>
      </c>
    </row>
    <row r="3258" ht="15.75" customHeight="1">
      <c r="A3258" s="1" t="s">
        <v>273</v>
      </c>
      <c r="B3258" s="1" t="s">
        <v>48</v>
      </c>
      <c r="C3258" s="1" t="s">
        <v>11</v>
      </c>
      <c r="D3258" s="5">
        <v>45341.0</v>
      </c>
      <c r="G3258" s="1">
        <f>VLOOKUP(B3258,'old-aw-skill-plan'!A:I,7,FALSE)</f>
        <v>3</v>
      </c>
      <c r="H3258" s="1" t="str">
        <f>VLOOKUP(B3258,'old-aw-skill-plan'!A:I,9,FALSE)</f>
        <v>3-6</v>
      </c>
    </row>
    <row r="3259" ht="15.75" customHeight="1">
      <c r="A3259" s="1" t="s">
        <v>419</v>
      </c>
      <c r="B3259" s="1" t="s">
        <v>44</v>
      </c>
      <c r="C3259" s="1" t="s">
        <v>11</v>
      </c>
      <c r="D3259" s="5">
        <v>45341.0</v>
      </c>
      <c r="G3259" s="1">
        <f>VLOOKUP(B3259,'old-aw-skill-plan'!A:I,7,FALSE)</f>
        <v>5</v>
      </c>
      <c r="H3259" s="1" t="str">
        <f>VLOOKUP(B3259,'old-aw-skill-plan'!A:I,9,FALSE)</f>
        <v>5-1</v>
      </c>
    </row>
    <row r="3260" ht="15.75" customHeight="1">
      <c r="A3260" s="1" t="s">
        <v>46</v>
      </c>
      <c r="B3260" s="1" t="s">
        <v>47</v>
      </c>
      <c r="C3260" s="1" t="s">
        <v>11</v>
      </c>
      <c r="D3260" s="5">
        <v>45341.0</v>
      </c>
      <c r="G3260" s="1">
        <f>VLOOKUP(B3260,'old-aw-skill-plan'!A:I,7,FALSE)</f>
        <v>3</v>
      </c>
      <c r="H3260" s="1" t="str">
        <f>VLOOKUP(B3260,'old-aw-skill-plan'!A:I,9,FALSE)</f>
        <v>3-2</v>
      </c>
    </row>
    <row r="3261" ht="15.75" customHeight="1">
      <c r="A3261" s="1" t="s">
        <v>274</v>
      </c>
      <c r="B3261" s="1" t="s">
        <v>44</v>
      </c>
      <c r="C3261" s="1" t="s">
        <v>11</v>
      </c>
      <c r="D3261" s="5">
        <v>45341.0</v>
      </c>
      <c r="G3261" s="1">
        <f>VLOOKUP(B3261,'old-aw-skill-plan'!A:I,7,FALSE)</f>
        <v>5</v>
      </c>
      <c r="H3261" s="1" t="str">
        <f>VLOOKUP(B3261,'old-aw-skill-plan'!A:I,9,FALSE)</f>
        <v>5-1</v>
      </c>
    </row>
    <row r="3262" ht="15.75" customHeight="1">
      <c r="A3262" s="1" t="s">
        <v>81</v>
      </c>
      <c r="B3262" s="1" t="s">
        <v>123</v>
      </c>
      <c r="C3262" s="1" t="s">
        <v>11</v>
      </c>
      <c r="D3262" s="5">
        <v>45341.0</v>
      </c>
      <c r="G3262" s="1">
        <f>VLOOKUP(B3262,'old-aw-skill-plan'!A:I,7,FALSE)</f>
        <v>4</v>
      </c>
      <c r="H3262" s="1" t="str">
        <f>VLOOKUP(B3262,'old-aw-skill-plan'!A:I,9,FALSE)</f>
        <v>4-12</v>
      </c>
    </row>
    <row r="3263" ht="15.75" customHeight="1">
      <c r="A3263" s="1" t="s">
        <v>421</v>
      </c>
      <c r="B3263" s="1" t="s">
        <v>44</v>
      </c>
      <c r="C3263" s="1" t="s">
        <v>11</v>
      </c>
      <c r="D3263" s="5">
        <v>45341.0</v>
      </c>
      <c r="G3263" s="1">
        <f>VLOOKUP(B3263,'old-aw-skill-plan'!A:I,7,FALSE)</f>
        <v>5</v>
      </c>
      <c r="H3263" s="1" t="str">
        <f>VLOOKUP(B3263,'old-aw-skill-plan'!A:I,9,FALSE)</f>
        <v>5-1</v>
      </c>
    </row>
    <row r="3264" ht="15.75" customHeight="1">
      <c r="A3264" s="1" t="s">
        <v>230</v>
      </c>
      <c r="B3264" s="1" t="s">
        <v>115</v>
      </c>
      <c r="C3264" s="1" t="s">
        <v>11</v>
      </c>
      <c r="D3264" s="5">
        <v>45341.0</v>
      </c>
      <c r="G3264" s="1">
        <f>VLOOKUP(B3264,'old-aw-skill-plan'!A:I,7,FALSE)</f>
        <v>3</v>
      </c>
      <c r="H3264" s="1" t="str">
        <f>VLOOKUP(B3264,'old-aw-skill-plan'!A:I,9,FALSE)</f>
        <v>3-10</v>
      </c>
    </row>
    <row r="3265" ht="15.75" customHeight="1">
      <c r="A3265" s="1" t="s">
        <v>230</v>
      </c>
      <c r="B3265" s="1" t="s">
        <v>28</v>
      </c>
      <c r="C3265" s="1" t="s">
        <v>11</v>
      </c>
      <c r="D3265" s="5">
        <v>45341.0</v>
      </c>
      <c r="G3265" s="1">
        <f>VLOOKUP(B3265,'old-aw-skill-plan'!A:I,7,FALSE)</f>
        <v>3</v>
      </c>
      <c r="H3265" s="1" t="str">
        <f>VLOOKUP(B3265,'old-aw-skill-plan'!A:I,9,FALSE)</f>
        <v>3-4</v>
      </c>
    </row>
    <row r="3266" ht="15.75" customHeight="1">
      <c r="A3266" s="1" t="s">
        <v>230</v>
      </c>
      <c r="B3266" s="1" t="s">
        <v>10</v>
      </c>
      <c r="C3266" s="1" t="s">
        <v>11</v>
      </c>
      <c r="D3266" s="5">
        <v>45341.0</v>
      </c>
      <c r="G3266" s="1">
        <f>VLOOKUP(B3266,'old-aw-skill-plan'!A:I,7,FALSE)</f>
        <v>3</v>
      </c>
      <c r="H3266" s="1" t="str">
        <f>VLOOKUP(B3266,'old-aw-skill-plan'!A:I,9,FALSE)</f>
        <v>3-1</v>
      </c>
    </row>
    <row r="3267" ht="15.75" customHeight="1">
      <c r="A3267" s="1" t="s">
        <v>230</v>
      </c>
      <c r="B3267" s="1" t="s">
        <v>356</v>
      </c>
      <c r="C3267" s="1" t="s">
        <v>11</v>
      </c>
      <c r="D3267" s="5">
        <v>45341.0</v>
      </c>
      <c r="G3267" s="1">
        <f>VLOOKUP(B3267,'old-aw-skill-plan'!A:I,7,FALSE)</f>
        <v>3</v>
      </c>
      <c r="H3267" s="1" t="str">
        <f>VLOOKUP(B3267,'old-aw-skill-plan'!A:I,9,FALSE)</f>
        <v>3-2</v>
      </c>
    </row>
    <row r="3268" ht="15.75" customHeight="1">
      <c r="A3268" s="1" t="s">
        <v>428</v>
      </c>
      <c r="B3268" s="1" t="s">
        <v>40</v>
      </c>
      <c r="C3268" s="1" t="s">
        <v>11</v>
      </c>
      <c r="D3268" s="5">
        <v>45341.0</v>
      </c>
      <c r="G3268" s="1">
        <f>VLOOKUP(B3268,'old-aw-skill-plan'!A:I,7,FALSE)</f>
        <v>4</v>
      </c>
      <c r="H3268" s="1" t="str">
        <f>VLOOKUP(B3268,'old-aw-skill-plan'!A:I,9,FALSE)</f>
        <v>4-10</v>
      </c>
    </row>
    <row r="3269" ht="15.75" customHeight="1">
      <c r="A3269" s="1" t="s">
        <v>428</v>
      </c>
      <c r="B3269" s="1" t="s">
        <v>42</v>
      </c>
      <c r="C3269" s="1" t="s">
        <v>11</v>
      </c>
      <c r="D3269" s="5">
        <v>45341.0</v>
      </c>
      <c r="G3269" s="1">
        <f>VLOOKUP(B3269,'old-aw-skill-plan'!A:I,7,FALSE)</f>
        <v>4</v>
      </c>
      <c r="H3269" s="1" t="str">
        <f>VLOOKUP(B3269,'old-aw-skill-plan'!A:I,9,FALSE)</f>
        <v>4-11</v>
      </c>
    </row>
    <row r="3270" ht="15.75" customHeight="1">
      <c r="A3270" s="1" t="s">
        <v>420</v>
      </c>
      <c r="B3270" s="1" t="s">
        <v>48</v>
      </c>
      <c r="C3270" s="1" t="s">
        <v>11</v>
      </c>
      <c r="D3270" s="5">
        <v>45341.0</v>
      </c>
      <c r="G3270" s="1">
        <f>VLOOKUP(B3270,'old-aw-skill-plan'!A:I,7,FALSE)</f>
        <v>3</v>
      </c>
      <c r="H3270" s="1" t="str">
        <f>VLOOKUP(B3270,'old-aw-skill-plan'!A:I,9,FALSE)</f>
        <v>3-6</v>
      </c>
    </row>
    <row r="3271" ht="15.75" customHeight="1">
      <c r="A3271" s="1" t="s">
        <v>95</v>
      </c>
      <c r="B3271" s="1" t="s">
        <v>118</v>
      </c>
      <c r="C3271" s="1" t="s">
        <v>11</v>
      </c>
      <c r="D3271" s="5">
        <v>45341.0</v>
      </c>
      <c r="G3271" s="1">
        <f>VLOOKUP(B3271,'old-aw-skill-plan'!A:I,7,FALSE)</f>
        <v>3</v>
      </c>
      <c r="H3271" s="1" t="str">
        <f>VLOOKUP(B3271,'old-aw-skill-plan'!A:I,9,FALSE)</f>
        <v>3-12</v>
      </c>
    </row>
    <row r="3272" ht="15.75" customHeight="1">
      <c r="A3272" s="1" t="s">
        <v>432</v>
      </c>
      <c r="B3272" s="1" t="s">
        <v>30</v>
      </c>
      <c r="C3272" s="1" t="s">
        <v>11</v>
      </c>
      <c r="D3272" s="5">
        <v>45341.0</v>
      </c>
      <c r="G3272" s="1">
        <f>VLOOKUP(B3272,'old-aw-skill-plan'!A:I,7,FALSE)</f>
        <v>3</v>
      </c>
      <c r="H3272" s="1" t="str">
        <f>VLOOKUP(B3272,'old-aw-skill-plan'!A:I,9,FALSE)</f>
        <v>3-3</v>
      </c>
    </row>
    <row r="3273" ht="15.75" customHeight="1">
      <c r="A3273" s="1" t="s">
        <v>214</v>
      </c>
      <c r="B3273" s="1" t="s">
        <v>115</v>
      </c>
      <c r="C3273" s="1" t="s">
        <v>11</v>
      </c>
      <c r="D3273" s="5">
        <v>45341.0</v>
      </c>
      <c r="G3273" s="1">
        <f>VLOOKUP(B3273,'old-aw-skill-plan'!A:I,7,FALSE)</f>
        <v>3</v>
      </c>
      <c r="H3273" s="1" t="str">
        <f>VLOOKUP(B3273,'old-aw-skill-plan'!A:I,9,FALSE)</f>
        <v>3-10</v>
      </c>
    </row>
    <row r="3274" ht="15.75" customHeight="1">
      <c r="A3274" s="1" t="s">
        <v>214</v>
      </c>
      <c r="B3274" s="1" t="s">
        <v>446</v>
      </c>
      <c r="C3274" s="1" t="s">
        <v>11</v>
      </c>
      <c r="D3274" s="5">
        <v>45341.0</v>
      </c>
      <c r="G3274" s="1">
        <f>VLOOKUP(B3274,'old-aw-skill-plan'!A:I,7,FALSE)</f>
        <v>3</v>
      </c>
      <c r="H3274" s="1" t="str">
        <f>VLOOKUP(B3274,'old-aw-skill-plan'!A:I,9,FALSE)</f>
        <v>3-6</v>
      </c>
    </row>
    <row r="3275" ht="15.75" customHeight="1">
      <c r="A3275" s="1" t="s">
        <v>211</v>
      </c>
      <c r="B3275" s="1" t="s">
        <v>33</v>
      </c>
      <c r="C3275" s="1" t="s">
        <v>11</v>
      </c>
      <c r="D3275" s="5">
        <v>45341.0</v>
      </c>
      <c r="G3275" s="1">
        <f>VLOOKUP(B3275,'old-aw-skill-plan'!A:I,7,FALSE)</f>
        <v>3</v>
      </c>
      <c r="H3275" s="1" t="str">
        <f>VLOOKUP(B3275,'old-aw-skill-plan'!A:I,9,FALSE)</f>
        <v>3-5</v>
      </c>
    </row>
    <row r="3276" ht="15.75" customHeight="1">
      <c r="A3276" s="1" t="s">
        <v>197</v>
      </c>
      <c r="B3276" s="1" t="s">
        <v>447</v>
      </c>
      <c r="C3276" s="1" t="s">
        <v>11</v>
      </c>
      <c r="D3276" s="5">
        <v>45341.0</v>
      </c>
      <c r="G3276" s="1">
        <f>VLOOKUP(B3276,'old-aw-skill-plan'!A:I,7,FALSE)</f>
        <v>4</v>
      </c>
      <c r="H3276" s="1" t="str">
        <f>VLOOKUP(B3276,'old-aw-skill-plan'!A:I,9,FALSE)</f>
        <v>4-3</v>
      </c>
    </row>
    <row r="3277" ht="15.75" customHeight="1">
      <c r="A3277" s="1" t="s">
        <v>373</v>
      </c>
      <c r="B3277" s="1" t="s">
        <v>28</v>
      </c>
      <c r="C3277" s="1" t="s">
        <v>11</v>
      </c>
      <c r="D3277" s="5">
        <v>45341.0</v>
      </c>
      <c r="G3277" s="1">
        <f>VLOOKUP(B3277,'old-aw-skill-plan'!A:I,7,FALSE)</f>
        <v>3</v>
      </c>
      <c r="H3277" s="1" t="str">
        <f>VLOOKUP(B3277,'old-aw-skill-plan'!A:I,9,FALSE)</f>
        <v>3-4</v>
      </c>
    </row>
    <row r="3278" ht="15.75" customHeight="1">
      <c r="A3278" s="1" t="s">
        <v>373</v>
      </c>
      <c r="B3278" s="1" t="s">
        <v>48</v>
      </c>
      <c r="C3278" s="1" t="s">
        <v>11</v>
      </c>
      <c r="D3278" s="5">
        <v>45341.0</v>
      </c>
      <c r="G3278" s="1">
        <f>VLOOKUP(B3278,'old-aw-skill-plan'!A:I,7,FALSE)</f>
        <v>3</v>
      </c>
      <c r="H3278" s="1" t="str">
        <f>VLOOKUP(B3278,'old-aw-skill-plan'!A:I,9,FALSE)</f>
        <v>3-6</v>
      </c>
    </row>
    <row r="3279" ht="15.75" customHeight="1">
      <c r="A3279" s="1" t="s">
        <v>235</v>
      </c>
      <c r="B3279" s="1" t="s">
        <v>44</v>
      </c>
      <c r="C3279" s="1" t="s">
        <v>11</v>
      </c>
      <c r="D3279" s="5">
        <v>45341.0</v>
      </c>
      <c r="G3279" s="1">
        <f>VLOOKUP(B3279,'old-aw-skill-plan'!A:I,7,FALSE)</f>
        <v>5</v>
      </c>
      <c r="H3279" s="1" t="str">
        <f>VLOOKUP(B3279,'old-aw-skill-plan'!A:I,9,FALSE)</f>
        <v>5-1</v>
      </c>
    </row>
    <row r="3280" ht="15.75" customHeight="1">
      <c r="A3280" s="1" t="s">
        <v>226</v>
      </c>
      <c r="B3280" s="1" t="s">
        <v>437</v>
      </c>
      <c r="C3280" s="1" t="s">
        <v>11</v>
      </c>
      <c r="D3280" s="5">
        <v>45341.0</v>
      </c>
      <c r="G3280" s="1">
        <f>VLOOKUP(B3280,'old-aw-skill-plan'!A:I,7,FALSE)</f>
        <v>3</v>
      </c>
      <c r="H3280" s="1" t="str">
        <f>VLOOKUP(B3280,'old-aw-skill-plan'!A:I,9,FALSE)</f>
        <v>3-10</v>
      </c>
    </row>
    <row r="3281" ht="15.75" customHeight="1">
      <c r="A3281" s="1" t="s">
        <v>226</v>
      </c>
      <c r="B3281" s="1" t="s">
        <v>361</v>
      </c>
      <c r="C3281" s="1" t="s">
        <v>11</v>
      </c>
      <c r="D3281" s="5">
        <v>45341.0</v>
      </c>
      <c r="G3281" s="1">
        <f>VLOOKUP(B3281,'old-aw-skill-plan'!A:I,7,FALSE)</f>
        <v>3</v>
      </c>
      <c r="H3281" s="1" t="str">
        <f>VLOOKUP(B3281,'old-aw-skill-plan'!A:I,9,FALSE)</f>
        <v>3-7</v>
      </c>
    </row>
    <row r="3282" ht="15.75" customHeight="1">
      <c r="A3282" s="1" t="s">
        <v>226</v>
      </c>
      <c r="B3282" s="1" t="s">
        <v>350</v>
      </c>
      <c r="C3282" s="1" t="s">
        <v>11</v>
      </c>
      <c r="D3282" s="5">
        <v>45341.0</v>
      </c>
      <c r="G3282" s="1">
        <f>VLOOKUP(B3282,'old-aw-skill-plan'!A:I,7,FALSE)</f>
        <v>3</v>
      </c>
      <c r="H3282" s="1" t="str">
        <f>VLOOKUP(B3282,'old-aw-skill-plan'!A:I,9,FALSE)</f>
        <v>3-6</v>
      </c>
    </row>
    <row r="3283" ht="15.75" customHeight="1">
      <c r="A3283" s="1" t="s">
        <v>94</v>
      </c>
      <c r="B3283" s="1" t="s">
        <v>117</v>
      </c>
      <c r="C3283" s="1" t="s">
        <v>11</v>
      </c>
      <c r="D3283" s="5">
        <v>45341.0</v>
      </c>
      <c r="G3283" s="1">
        <f>VLOOKUP(B3283,'old-aw-skill-plan'!A:I,7,FALSE)</f>
        <v>3</v>
      </c>
      <c r="H3283" s="1" t="str">
        <f>VLOOKUP(B3283,'old-aw-skill-plan'!A:I,9,FALSE)</f>
        <v>3-11</v>
      </c>
    </row>
    <row r="3284" ht="15.75" customHeight="1">
      <c r="A3284" s="1" t="s">
        <v>225</v>
      </c>
      <c r="B3284" s="1" t="s">
        <v>79</v>
      </c>
      <c r="C3284" s="1" t="s">
        <v>11</v>
      </c>
      <c r="D3284" s="5">
        <v>45341.0</v>
      </c>
      <c r="G3284" s="1">
        <f>VLOOKUP(B3284,'old-aw-skill-plan'!A:I,7,FALSE)</f>
        <v>4</v>
      </c>
      <c r="H3284" s="1" t="str">
        <f>VLOOKUP(B3284,'old-aw-skill-plan'!A:I,9,FALSE)</f>
        <v>4-8</v>
      </c>
    </row>
    <row r="3285" ht="15.75" customHeight="1">
      <c r="A3285" s="1" t="s">
        <v>225</v>
      </c>
      <c r="B3285" s="1" t="s">
        <v>309</v>
      </c>
      <c r="C3285" s="1" t="s">
        <v>11</v>
      </c>
      <c r="D3285" s="5">
        <v>45341.0</v>
      </c>
      <c r="G3285" s="1">
        <f>VLOOKUP(B3285,'old-aw-skill-plan'!A:I,7,FALSE)</f>
        <v>4</v>
      </c>
      <c r="H3285" s="1" t="str">
        <f>VLOOKUP(B3285,'old-aw-skill-plan'!A:I,9,FALSE)</f>
        <v>4-1</v>
      </c>
    </row>
    <row r="3286" ht="15.75" customHeight="1">
      <c r="A3286" s="1" t="s">
        <v>436</v>
      </c>
      <c r="B3286" s="1" t="s">
        <v>28</v>
      </c>
      <c r="C3286" s="1" t="s">
        <v>11</v>
      </c>
      <c r="D3286" s="5">
        <v>45341.0</v>
      </c>
      <c r="G3286" s="1">
        <f>VLOOKUP(B3286,'old-aw-skill-plan'!A:I,7,FALSE)</f>
        <v>3</v>
      </c>
      <c r="H3286" s="1" t="str">
        <f>VLOOKUP(B3286,'old-aw-skill-plan'!A:I,9,FALSE)</f>
        <v>3-4</v>
      </c>
    </row>
    <row r="3287" ht="15.75" customHeight="1">
      <c r="A3287" s="1" t="s">
        <v>436</v>
      </c>
      <c r="B3287" s="1" t="s">
        <v>33</v>
      </c>
      <c r="C3287" s="1" t="s">
        <v>11</v>
      </c>
      <c r="D3287" s="5">
        <v>45341.0</v>
      </c>
      <c r="G3287" s="1">
        <f>VLOOKUP(B3287,'old-aw-skill-plan'!A:I,7,FALSE)</f>
        <v>3</v>
      </c>
      <c r="H3287" s="1" t="str">
        <f>VLOOKUP(B3287,'old-aw-skill-plan'!A:I,9,FALSE)</f>
        <v>3-5</v>
      </c>
    </row>
    <row r="3288" ht="15.75" customHeight="1">
      <c r="A3288" s="1" t="s">
        <v>448</v>
      </c>
      <c r="B3288" s="1" t="s">
        <v>10</v>
      </c>
      <c r="C3288" s="1" t="s">
        <v>11</v>
      </c>
      <c r="D3288" s="5">
        <v>45341.0</v>
      </c>
      <c r="G3288" s="1">
        <f>VLOOKUP(B3288,'old-aw-skill-plan'!A:I,7,FALSE)</f>
        <v>3</v>
      </c>
      <c r="H3288" s="1" t="str">
        <f>VLOOKUP(B3288,'old-aw-skill-plan'!A:I,9,FALSE)</f>
        <v>3-1</v>
      </c>
    </row>
    <row r="3289" ht="15.75" customHeight="1">
      <c r="A3289" s="1" t="s">
        <v>60</v>
      </c>
      <c r="B3289" s="1" t="s">
        <v>97</v>
      </c>
      <c r="C3289" s="1" t="s">
        <v>11</v>
      </c>
      <c r="D3289" s="5">
        <v>45340.0</v>
      </c>
      <c r="G3289" s="1">
        <f>VLOOKUP(B3289,'old-aw-skill-plan'!A:I,7,FALSE)</f>
        <v>4</v>
      </c>
      <c r="H3289" s="1" t="str">
        <f>VLOOKUP(B3289,'old-aw-skill-plan'!A:I,9,FALSE)</f>
        <v>4-3</v>
      </c>
    </row>
    <row r="3290" ht="15.75" customHeight="1">
      <c r="A3290" s="1" t="s">
        <v>60</v>
      </c>
      <c r="B3290" s="1" t="s">
        <v>37</v>
      </c>
      <c r="C3290" s="1" t="s">
        <v>11</v>
      </c>
      <c r="D3290" s="5">
        <v>45339.0</v>
      </c>
      <c r="G3290" s="1">
        <f>VLOOKUP(B3290,'old-aw-skill-plan'!A:I,7,FALSE)</f>
        <v>4</v>
      </c>
      <c r="H3290" s="1" t="str">
        <f>VLOOKUP(B3290,'old-aw-skill-plan'!A:I,9,FALSE)</f>
        <v>4-2</v>
      </c>
    </row>
    <row r="3291" ht="15.75" customHeight="1">
      <c r="A3291" s="1" t="s">
        <v>266</v>
      </c>
      <c r="B3291" s="1" t="s">
        <v>66</v>
      </c>
      <c r="C3291" s="1" t="s">
        <v>11</v>
      </c>
      <c r="D3291" s="5">
        <v>45338.0</v>
      </c>
      <c r="G3291" s="1">
        <f>VLOOKUP(B3291,'old-aw-skill-plan'!A:I,7,FALSE)</f>
        <v>4</v>
      </c>
      <c r="H3291" s="1" t="str">
        <f>VLOOKUP(B3291,'old-aw-skill-plan'!A:I,9,FALSE)</f>
        <v>4-9</v>
      </c>
    </row>
    <row r="3292" ht="15.75" customHeight="1">
      <c r="A3292" s="1" t="s">
        <v>22</v>
      </c>
      <c r="B3292" s="1" t="s">
        <v>19</v>
      </c>
      <c r="C3292" s="1" t="s">
        <v>11</v>
      </c>
      <c r="D3292" s="5">
        <v>45338.0</v>
      </c>
      <c r="G3292" s="1">
        <f>VLOOKUP(B3292,'old-aw-skill-plan'!A:I,7,FALSE)</f>
        <v>4</v>
      </c>
      <c r="H3292" s="1" t="str">
        <f>VLOOKUP(B3292,'old-aw-skill-plan'!A:I,9,FALSE)</f>
        <v>4-7</v>
      </c>
    </row>
    <row r="3293" ht="15.75" customHeight="1">
      <c r="A3293" s="1" t="s">
        <v>31</v>
      </c>
      <c r="B3293" s="1" t="s">
        <v>10</v>
      </c>
      <c r="C3293" s="1" t="s">
        <v>11</v>
      </c>
      <c r="D3293" s="5">
        <v>45338.0</v>
      </c>
      <c r="G3293" s="1">
        <f>VLOOKUP(B3293,'old-aw-skill-plan'!A:I,7,FALSE)</f>
        <v>3</v>
      </c>
      <c r="H3293" s="1" t="str">
        <f>VLOOKUP(B3293,'old-aw-skill-plan'!A:I,9,FALSE)</f>
        <v>3-1</v>
      </c>
    </row>
    <row r="3294" ht="15.75" customHeight="1">
      <c r="A3294" s="1" t="s">
        <v>216</v>
      </c>
      <c r="B3294" s="1" t="s">
        <v>40</v>
      </c>
      <c r="C3294" s="1" t="s">
        <v>11</v>
      </c>
      <c r="D3294" s="5">
        <v>45338.0</v>
      </c>
      <c r="G3294" s="1">
        <f>VLOOKUP(B3294,'old-aw-skill-plan'!A:I,7,FALSE)</f>
        <v>4</v>
      </c>
      <c r="H3294" s="1" t="str">
        <f>VLOOKUP(B3294,'old-aw-skill-plan'!A:I,9,FALSE)</f>
        <v>4-10</v>
      </c>
    </row>
    <row r="3295" ht="15.75" customHeight="1">
      <c r="A3295" s="1" t="s">
        <v>216</v>
      </c>
      <c r="B3295" s="1" t="s">
        <v>37</v>
      </c>
      <c r="C3295" s="1" t="s">
        <v>11</v>
      </c>
      <c r="D3295" s="5">
        <v>45338.0</v>
      </c>
      <c r="G3295" s="1">
        <f>VLOOKUP(B3295,'old-aw-skill-plan'!A:I,7,FALSE)</f>
        <v>4</v>
      </c>
      <c r="H3295" s="1" t="str">
        <f>VLOOKUP(B3295,'old-aw-skill-plan'!A:I,9,FALSE)</f>
        <v>4-2</v>
      </c>
    </row>
    <row r="3296" ht="15.75" customHeight="1">
      <c r="A3296" s="1" t="s">
        <v>35</v>
      </c>
      <c r="B3296" s="1" t="s">
        <v>23</v>
      </c>
      <c r="C3296" s="1" t="s">
        <v>11</v>
      </c>
      <c r="D3296" s="5">
        <v>45338.0</v>
      </c>
      <c r="G3296" s="1">
        <f>VLOOKUP(B3296,'old-aw-skill-plan'!A:I,7,FALSE)</f>
        <v>4</v>
      </c>
      <c r="H3296" s="1" t="str">
        <f>VLOOKUP(B3296,'old-aw-skill-plan'!A:I,9,FALSE)</f>
        <v>4-5</v>
      </c>
    </row>
    <row r="3297" ht="15.75" customHeight="1">
      <c r="A3297" s="1" t="s">
        <v>41</v>
      </c>
      <c r="B3297" s="1" t="s">
        <v>10</v>
      </c>
      <c r="C3297" s="1" t="s">
        <v>11</v>
      </c>
      <c r="D3297" s="5">
        <v>45338.0</v>
      </c>
      <c r="G3297" s="1">
        <f>VLOOKUP(B3297,'old-aw-skill-plan'!A:I,7,FALSE)</f>
        <v>3</v>
      </c>
      <c r="H3297" s="1" t="str">
        <f>VLOOKUP(B3297,'old-aw-skill-plan'!A:I,9,FALSE)</f>
        <v>3-1</v>
      </c>
    </row>
    <row r="3298" ht="15.75" customHeight="1">
      <c r="A3298" s="1" t="s">
        <v>213</v>
      </c>
      <c r="B3298" s="1" t="s">
        <v>10</v>
      </c>
      <c r="C3298" s="1" t="s">
        <v>11</v>
      </c>
      <c r="D3298" s="5">
        <v>45338.0</v>
      </c>
      <c r="G3298" s="1">
        <f>VLOOKUP(B3298,'old-aw-skill-plan'!A:I,7,FALSE)</f>
        <v>3</v>
      </c>
      <c r="H3298" s="1" t="str">
        <f>VLOOKUP(B3298,'old-aw-skill-plan'!A:I,9,FALSE)</f>
        <v>3-1</v>
      </c>
    </row>
    <row r="3299" ht="15.75" customHeight="1">
      <c r="A3299" s="1" t="s">
        <v>213</v>
      </c>
      <c r="B3299" s="1" t="s">
        <v>47</v>
      </c>
      <c r="C3299" s="1" t="s">
        <v>11</v>
      </c>
      <c r="D3299" s="5">
        <v>45338.0</v>
      </c>
      <c r="G3299" s="1">
        <f>VLOOKUP(B3299,'old-aw-skill-plan'!A:I,7,FALSE)</f>
        <v>3</v>
      </c>
      <c r="H3299" s="1" t="str">
        <f>VLOOKUP(B3299,'old-aw-skill-plan'!A:I,9,FALSE)</f>
        <v>3-2</v>
      </c>
    </row>
    <row r="3300" ht="15.75" customHeight="1">
      <c r="A3300" s="1" t="s">
        <v>449</v>
      </c>
      <c r="B3300" s="1" t="s">
        <v>97</v>
      </c>
      <c r="C3300" s="1" t="s">
        <v>11</v>
      </c>
      <c r="D3300" s="5">
        <v>45338.0</v>
      </c>
      <c r="G3300" s="1">
        <f>VLOOKUP(B3300,'old-aw-skill-plan'!A:I,7,FALSE)</f>
        <v>4</v>
      </c>
      <c r="H3300" s="1" t="str">
        <f>VLOOKUP(B3300,'old-aw-skill-plan'!A:I,9,FALSE)</f>
        <v>4-3</v>
      </c>
    </row>
    <row r="3301" ht="15.75" customHeight="1">
      <c r="A3301" s="1" t="s">
        <v>237</v>
      </c>
      <c r="B3301" s="1" t="s">
        <v>350</v>
      </c>
      <c r="C3301" s="1" t="s">
        <v>11</v>
      </c>
      <c r="D3301" s="5">
        <v>45338.0</v>
      </c>
      <c r="G3301" s="1">
        <f>VLOOKUP(B3301,'old-aw-skill-plan'!A:I,7,FALSE)</f>
        <v>3</v>
      </c>
      <c r="H3301" s="1" t="str">
        <f>VLOOKUP(B3301,'old-aw-skill-plan'!A:I,9,FALSE)</f>
        <v>3-6</v>
      </c>
    </row>
    <row r="3302" ht="15.75" customHeight="1">
      <c r="A3302" s="1" t="s">
        <v>238</v>
      </c>
      <c r="B3302" s="1" t="s">
        <v>57</v>
      </c>
      <c r="C3302" s="1" t="s">
        <v>11</v>
      </c>
      <c r="D3302" s="5">
        <v>45338.0</v>
      </c>
      <c r="G3302" s="1">
        <f>VLOOKUP(B3302,'old-aw-skill-plan'!A:I,7,FALSE)</f>
        <v>3</v>
      </c>
      <c r="H3302" s="1" t="str">
        <f>VLOOKUP(B3302,'old-aw-skill-plan'!A:I,9,FALSE)</f>
        <v>3-7</v>
      </c>
    </row>
    <row r="3303" ht="15.75" customHeight="1">
      <c r="A3303" s="1" t="s">
        <v>238</v>
      </c>
      <c r="B3303" s="1" t="s">
        <v>48</v>
      </c>
      <c r="C3303" s="1" t="s">
        <v>11</v>
      </c>
      <c r="D3303" s="5">
        <v>45338.0</v>
      </c>
      <c r="G3303" s="1">
        <f>VLOOKUP(B3303,'old-aw-skill-plan'!A:I,7,FALSE)</f>
        <v>3</v>
      </c>
      <c r="H3303" s="1" t="str">
        <f>VLOOKUP(B3303,'old-aw-skill-plan'!A:I,9,FALSE)</f>
        <v>3-6</v>
      </c>
    </row>
    <row r="3304" ht="15.75" customHeight="1">
      <c r="A3304" s="1" t="s">
        <v>421</v>
      </c>
      <c r="B3304" s="1" t="s">
        <v>44</v>
      </c>
      <c r="C3304" s="1" t="s">
        <v>11</v>
      </c>
      <c r="D3304" s="5">
        <v>45338.0</v>
      </c>
      <c r="G3304" s="1">
        <f>VLOOKUP(B3304,'old-aw-skill-plan'!A:I,7,FALSE)</f>
        <v>5</v>
      </c>
      <c r="H3304" s="1" t="str">
        <f>VLOOKUP(B3304,'old-aw-skill-plan'!A:I,9,FALSE)</f>
        <v>5-1</v>
      </c>
    </row>
    <row r="3305" ht="15.75" customHeight="1">
      <c r="A3305" s="1" t="s">
        <v>230</v>
      </c>
      <c r="B3305" s="1" t="s">
        <v>30</v>
      </c>
      <c r="C3305" s="1" t="s">
        <v>11</v>
      </c>
      <c r="D3305" s="5">
        <v>45338.0</v>
      </c>
      <c r="G3305" s="1">
        <f>VLOOKUP(B3305,'old-aw-skill-plan'!A:I,7,FALSE)</f>
        <v>3</v>
      </c>
      <c r="H3305" s="1" t="str">
        <f>VLOOKUP(B3305,'old-aw-skill-plan'!A:I,9,FALSE)</f>
        <v>3-3</v>
      </c>
    </row>
    <row r="3306" ht="15.75" customHeight="1">
      <c r="A3306" s="1" t="s">
        <v>230</v>
      </c>
      <c r="B3306" s="1" t="s">
        <v>47</v>
      </c>
      <c r="C3306" s="1" t="s">
        <v>11</v>
      </c>
      <c r="D3306" s="5">
        <v>45338.0</v>
      </c>
      <c r="G3306" s="1">
        <f>VLOOKUP(B3306,'old-aw-skill-plan'!A:I,7,FALSE)</f>
        <v>3</v>
      </c>
      <c r="H3306" s="1" t="str">
        <f>VLOOKUP(B3306,'old-aw-skill-plan'!A:I,9,FALSE)</f>
        <v>3-2</v>
      </c>
    </row>
    <row r="3307" ht="15.75" customHeight="1">
      <c r="A3307" s="1" t="s">
        <v>60</v>
      </c>
      <c r="B3307" s="1" t="s">
        <v>37</v>
      </c>
      <c r="C3307" s="1" t="s">
        <v>11</v>
      </c>
      <c r="D3307" s="5">
        <v>45338.0</v>
      </c>
      <c r="G3307" s="1">
        <f>VLOOKUP(B3307,'old-aw-skill-plan'!A:I,7,FALSE)</f>
        <v>4</v>
      </c>
      <c r="H3307" s="1" t="str">
        <f>VLOOKUP(B3307,'old-aw-skill-plan'!A:I,9,FALSE)</f>
        <v>4-2</v>
      </c>
    </row>
    <row r="3308" ht="15.75" customHeight="1">
      <c r="A3308" s="1" t="s">
        <v>428</v>
      </c>
      <c r="B3308" s="1" t="s">
        <v>40</v>
      </c>
      <c r="C3308" s="1" t="s">
        <v>11</v>
      </c>
      <c r="D3308" s="5">
        <v>45338.0</v>
      </c>
      <c r="G3308" s="1">
        <f>VLOOKUP(B3308,'old-aw-skill-plan'!A:I,7,FALSE)</f>
        <v>4</v>
      </c>
      <c r="H3308" s="1" t="str">
        <f>VLOOKUP(B3308,'old-aw-skill-plan'!A:I,9,FALSE)</f>
        <v>4-10</v>
      </c>
    </row>
    <row r="3309" ht="15.75" customHeight="1">
      <c r="A3309" s="1" t="s">
        <v>420</v>
      </c>
      <c r="B3309" s="1" t="s">
        <v>116</v>
      </c>
      <c r="C3309" s="1" t="s">
        <v>11</v>
      </c>
      <c r="D3309" s="5">
        <v>45338.0</v>
      </c>
      <c r="G3309" s="1">
        <f>VLOOKUP(B3309,'old-aw-skill-plan'!A:I,7,FALSE)</f>
        <v>3</v>
      </c>
      <c r="H3309" s="1" t="str">
        <f>VLOOKUP(B3309,'old-aw-skill-plan'!A:I,9,FALSE)</f>
        <v>3-9</v>
      </c>
    </row>
    <row r="3310" ht="15.75" customHeight="1">
      <c r="A3310" s="1" t="s">
        <v>420</v>
      </c>
      <c r="B3310" s="1" t="s">
        <v>44</v>
      </c>
      <c r="C3310" s="1" t="s">
        <v>11</v>
      </c>
      <c r="D3310" s="5">
        <v>45338.0</v>
      </c>
      <c r="G3310" s="1">
        <f>VLOOKUP(B3310,'old-aw-skill-plan'!A:I,7,FALSE)</f>
        <v>5</v>
      </c>
      <c r="H3310" s="1" t="str">
        <f>VLOOKUP(B3310,'old-aw-skill-plan'!A:I,9,FALSE)</f>
        <v>5-1</v>
      </c>
    </row>
    <row r="3311" ht="15.75" customHeight="1">
      <c r="A3311" s="1" t="s">
        <v>431</v>
      </c>
      <c r="B3311" s="1" t="s">
        <v>121</v>
      </c>
      <c r="C3311" s="1" t="s">
        <v>11</v>
      </c>
      <c r="D3311" s="5">
        <v>45338.0</v>
      </c>
      <c r="G3311" s="1">
        <f>VLOOKUP(B3311,'old-aw-skill-plan'!A:I,7,FALSE)</f>
        <v>5</v>
      </c>
      <c r="H3311" s="1" t="str">
        <f>VLOOKUP(B3311,'old-aw-skill-plan'!A:I,9,FALSE)</f>
        <v>5-12</v>
      </c>
    </row>
    <row r="3312" ht="15.75" customHeight="1">
      <c r="A3312" s="1" t="s">
        <v>95</v>
      </c>
      <c r="B3312" s="1" t="s">
        <v>57</v>
      </c>
      <c r="C3312" s="1" t="s">
        <v>11</v>
      </c>
      <c r="D3312" s="5">
        <v>45338.0</v>
      </c>
      <c r="G3312" s="1">
        <f>VLOOKUP(B3312,'old-aw-skill-plan'!A:I,7,FALSE)</f>
        <v>3</v>
      </c>
      <c r="H3312" s="1" t="str">
        <f>VLOOKUP(B3312,'old-aw-skill-plan'!A:I,9,FALSE)</f>
        <v>3-7</v>
      </c>
    </row>
    <row r="3313" ht="15.75" customHeight="1">
      <c r="A3313" s="1" t="s">
        <v>432</v>
      </c>
      <c r="B3313" s="1" t="s">
        <v>10</v>
      </c>
      <c r="C3313" s="1" t="s">
        <v>11</v>
      </c>
      <c r="D3313" s="5">
        <v>45338.0</v>
      </c>
      <c r="G3313" s="1">
        <f>VLOOKUP(B3313,'old-aw-skill-plan'!A:I,7,FALSE)</f>
        <v>3</v>
      </c>
      <c r="H3313" s="1" t="str">
        <f>VLOOKUP(B3313,'old-aw-skill-plan'!A:I,9,FALSE)</f>
        <v>3-1</v>
      </c>
    </row>
    <row r="3314" ht="15.75" customHeight="1">
      <c r="A3314" s="1" t="s">
        <v>432</v>
      </c>
      <c r="B3314" s="1" t="s">
        <v>47</v>
      </c>
      <c r="C3314" s="1" t="s">
        <v>11</v>
      </c>
      <c r="D3314" s="5">
        <v>45338.0</v>
      </c>
      <c r="G3314" s="1">
        <f>VLOOKUP(B3314,'old-aw-skill-plan'!A:I,7,FALSE)</f>
        <v>3</v>
      </c>
      <c r="H3314" s="1" t="str">
        <f>VLOOKUP(B3314,'old-aw-skill-plan'!A:I,9,FALSE)</f>
        <v>3-2</v>
      </c>
    </row>
    <row r="3315" ht="15.75" customHeight="1">
      <c r="A3315" s="1" t="s">
        <v>211</v>
      </c>
      <c r="B3315" s="1" t="s">
        <v>33</v>
      </c>
      <c r="C3315" s="1" t="s">
        <v>11</v>
      </c>
      <c r="D3315" s="5">
        <v>45338.0</v>
      </c>
      <c r="G3315" s="1">
        <f>VLOOKUP(B3315,'old-aw-skill-plan'!A:I,7,FALSE)</f>
        <v>3</v>
      </c>
      <c r="H3315" s="1" t="str">
        <f>VLOOKUP(B3315,'old-aw-skill-plan'!A:I,9,FALSE)</f>
        <v>3-5</v>
      </c>
    </row>
    <row r="3316" ht="15.75" customHeight="1">
      <c r="A3316" s="1" t="s">
        <v>197</v>
      </c>
      <c r="B3316" s="1" t="s">
        <v>368</v>
      </c>
      <c r="C3316" s="1" t="s">
        <v>11</v>
      </c>
      <c r="D3316" s="5">
        <v>45338.0</v>
      </c>
      <c r="G3316" s="1">
        <f>VLOOKUP(B3316,'old-aw-skill-plan'!A:I,7,FALSE)</f>
        <v>4</v>
      </c>
      <c r="H3316" s="1" t="str">
        <f>VLOOKUP(B3316,'old-aw-skill-plan'!A:I,9,FALSE)</f>
        <v>4-10</v>
      </c>
    </row>
    <row r="3317" ht="15.75" customHeight="1">
      <c r="A3317" s="1" t="s">
        <v>373</v>
      </c>
      <c r="B3317" s="1" t="s">
        <v>115</v>
      </c>
      <c r="C3317" s="1" t="s">
        <v>11</v>
      </c>
      <c r="D3317" s="5">
        <v>45338.0</v>
      </c>
      <c r="G3317" s="1">
        <f>VLOOKUP(B3317,'old-aw-skill-plan'!A:I,7,FALSE)</f>
        <v>3</v>
      </c>
      <c r="H3317" s="1" t="str">
        <f>VLOOKUP(B3317,'old-aw-skill-plan'!A:I,9,FALSE)</f>
        <v>3-10</v>
      </c>
    </row>
    <row r="3318" ht="15.75" customHeight="1">
      <c r="A3318" s="1" t="s">
        <v>235</v>
      </c>
      <c r="B3318" s="1" t="s">
        <v>44</v>
      </c>
      <c r="C3318" s="1" t="s">
        <v>11</v>
      </c>
      <c r="D3318" s="5">
        <v>45338.0</v>
      </c>
      <c r="G3318" s="1">
        <f>VLOOKUP(B3318,'old-aw-skill-plan'!A:I,7,FALSE)</f>
        <v>5</v>
      </c>
      <c r="H3318" s="1" t="str">
        <f>VLOOKUP(B3318,'old-aw-skill-plan'!A:I,9,FALSE)</f>
        <v>5-1</v>
      </c>
    </row>
    <row r="3319" ht="15.75" customHeight="1">
      <c r="A3319" s="1" t="s">
        <v>226</v>
      </c>
      <c r="B3319" s="1" t="s">
        <v>117</v>
      </c>
      <c r="C3319" s="1" t="s">
        <v>11</v>
      </c>
      <c r="D3319" s="5">
        <v>45338.0</v>
      </c>
      <c r="G3319" s="1">
        <f>VLOOKUP(B3319,'old-aw-skill-plan'!A:I,7,FALSE)</f>
        <v>3</v>
      </c>
      <c r="H3319" s="1" t="str">
        <f>VLOOKUP(B3319,'old-aw-skill-plan'!A:I,9,FALSE)</f>
        <v>3-11</v>
      </c>
    </row>
    <row r="3320" ht="15.75" customHeight="1">
      <c r="A3320" s="1" t="s">
        <v>226</v>
      </c>
      <c r="B3320" s="1" t="s">
        <v>450</v>
      </c>
      <c r="C3320" s="1" t="s">
        <v>11</v>
      </c>
      <c r="D3320" s="5">
        <v>45338.0</v>
      </c>
      <c r="G3320" s="1">
        <f>VLOOKUP(B3320,'old-aw-skill-plan'!A:I,7,FALSE)</f>
        <v>3</v>
      </c>
      <c r="H3320" s="1" t="str">
        <f>VLOOKUP(B3320,'old-aw-skill-plan'!A:I,9,FALSE)</f>
        <v>3-4</v>
      </c>
    </row>
    <row r="3321" ht="15.75" customHeight="1">
      <c r="A3321" s="1" t="s">
        <v>226</v>
      </c>
      <c r="B3321" s="1" t="s">
        <v>352</v>
      </c>
      <c r="C3321" s="1" t="s">
        <v>11</v>
      </c>
      <c r="D3321" s="5">
        <v>45338.0</v>
      </c>
      <c r="G3321" s="1">
        <f>VLOOKUP(B3321,'old-aw-skill-plan'!A:I,7,FALSE)</f>
        <v>3</v>
      </c>
      <c r="H3321" s="1" t="str">
        <f>VLOOKUP(B3321,'old-aw-skill-plan'!A:I,9,FALSE)</f>
        <v>3-2</v>
      </c>
    </row>
    <row r="3322" ht="15.75" customHeight="1">
      <c r="A3322" s="1" t="s">
        <v>226</v>
      </c>
      <c r="B3322" s="1" t="s">
        <v>451</v>
      </c>
      <c r="C3322" s="1" t="s">
        <v>11</v>
      </c>
      <c r="D3322" s="5">
        <v>45338.0</v>
      </c>
      <c r="G3322" s="1">
        <f>VLOOKUP(B3322,'old-aw-skill-plan'!A:I,7,FALSE)</f>
        <v>3</v>
      </c>
      <c r="H3322" s="1" t="str">
        <f>VLOOKUP(B3322,'old-aw-skill-plan'!A:I,9,FALSE)</f>
        <v>3-5</v>
      </c>
    </row>
    <row r="3323" ht="15.75" customHeight="1">
      <c r="A3323" s="1" t="s">
        <v>94</v>
      </c>
      <c r="B3323" s="1" t="s">
        <v>117</v>
      </c>
      <c r="C3323" s="1" t="s">
        <v>11</v>
      </c>
      <c r="D3323" s="5">
        <v>45338.0</v>
      </c>
      <c r="G3323" s="1">
        <f>VLOOKUP(B3323,'old-aw-skill-plan'!A:I,7,FALSE)</f>
        <v>3</v>
      </c>
      <c r="H3323" s="1" t="str">
        <f>VLOOKUP(B3323,'old-aw-skill-plan'!A:I,9,FALSE)</f>
        <v>3-11</v>
      </c>
    </row>
    <row r="3324" ht="15.75" customHeight="1">
      <c r="A3324" s="1" t="s">
        <v>225</v>
      </c>
      <c r="B3324" s="1" t="s">
        <v>79</v>
      </c>
      <c r="C3324" s="1" t="s">
        <v>11</v>
      </c>
      <c r="D3324" s="5">
        <v>45338.0</v>
      </c>
      <c r="G3324" s="1">
        <f>VLOOKUP(B3324,'old-aw-skill-plan'!A:I,7,FALSE)</f>
        <v>4</v>
      </c>
      <c r="H3324" s="1" t="str">
        <f>VLOOKUP(B3324,'old-aw-skill-plan'!A:I,9,FALSE)</f>
        <v>4-8</v>
      </c>
    </row>
    <row r="3325" ht="15.75" customHeight="1">
      <c r="A3325" s="1" t="s">
        <v>427</v>
      </c>
      <c r="B3325" s="1" t="s">
        <v>33</v>
      </c>
      <c r="C3325" s="1" t="s">
        <v>11</v>
      </c>
      <c r="D3325" s="5">
        <v>45338.0</v>
      </c>
      <c r="G3325" s="1">
        <f>VLOOKUP(B3325,'old-aw-skill-plan'!A:I,7,FALSE)</f>
        <v>3</v>
      </c>
      <c r="H3325" s="1" t="str">
        <f>VLOOKUP(B3325,'old-aw-skill-plan'!A:I,9,FALSE)</f>
        <v>3-5</v>
      </c>
    </row>
    <row r="3326" ht="15.75" customHeight="1">
      <c r="A3326" s="1" t="s">
        <v>436</v>
      </c>
      <c r="B3326" s="1" t="s">
        <v>354</v>
      </c>
      <c r="C3326" s="1" t="s">
        <v>11</v>
      </c>
      <c r="D3326" s="5">
        <v>45338.0</v>
      </c>
      <c r="G3326" s="1">
        <f>VLOOKUP(B3326,'old-aw-skill-plan'!A:I,7,FALSE)</f>
        <v>3</v>
      </c>
      <c r="H3326" s="1" t="str">
        <f>VLOOKUP(B3326,'old-aw-skill-plan'!A:I,9,FALSE)</f>
        <v>3-7</v>
      </c>
    </row>
    <row r="3327" ht="15.75" customHeight="1">
      <c r="A3327" s="1" t="s">
        <v>436</v>
      </c>
      <c r="B3327" s="1" t="s">
        <v>446</v>
      </c>
      <c r="C3327" s="1" t="s">
        <v>11</v>
      </c>
      <c r="D3327" s="5">
        <v>45338.0</v>
      </c>
      <c r="G3327" s="1">
        <f>VLOOKUP(B3327,'old-aw-skill-plan'!A:I,7,FALSE)</f>
        <v>3</v>
      </c>
      <c r="H3327" s="1" t="str">
        <f>VLOOKUP(B3327,'old-aw-skill-plan'!A:I,9,FALSE)</f>
        <v>3-6</v>
      </c>
    </row>
    <row r="3328" ht="15.75" customHeight="1">
      <c r="A3328" s="1" t="s">
        <v>110</v>
      </c>
      <c r="B3328" s="1" t="s">
        <v>356</v>
      </c>
      <c r="C3328" s="1" t="s">
        <v>11</v>
      </c>
      <c r="D3328" s="5">
        <v>45338.0</v>
      </c>
      <c r="G3328" s="1">
        <f>VLOOKUP(B3328,'old-aw-skill-plan'!A:I,7,FALSE)</f>
        <v>3</v>
      </c>
      <c r="H3328" s="1" t="str">
        <f>VLOOKUP(B3328,'old-aw-skill-plan'!A:I,9,FALSE)</f>
        <v>3-2</v>
      </c>
    </row>
    <row r="3329" ht="15.75" customHeight="1">
      <c r="A3329" s="1" t="s">
        <v>31</v>
      </c>
      <c r="B3329" s="1" t="s">
        <v>10</v>
      </c>
      <c r="C3329" s="1" t="s">
        <v>11</v>
      </c>
      <c r="D3329" s="5">
        <v>45337.0</v>
      </c>
      <c r="G3329" s="1">
        <f>VLOOKUP(B3329,'old-aw-skill-plan'!A:I,7,FALSE)</f>
        <v>3</v>
      </c>
      <c r="H3329" s="1" t="str">
        <f>VLOOKUP(B3329,'old-aw-skill-plan'!A:I,9,FALSE)</f>
        <v>3-1</v>
      </c>
    </row>
    <row r="3330" ht="15.75" customHeight="1">
      <c r="A3330" s="1" t="s">
        <v>41</v>
      </c>
      <c r="B3330" s="1" t="s">
        <v>10</v>
      </c>
      <c r="C3330" s="1" t="s">
        <v>11</v>
      </c>
      <c r="D3330" s="5">
        <v>45337.0</v>
      </c>
      <c r="G3330" s="1">
        <f>VLOOKUP(B3330,'old-aw-skill-plan'!A:I,7,FALSE)</f>
        <v>3</v>
      </c>
      <c r="H3330" s="1" t="str">
        <f>VLOOKUP(B3330,'old-aw-skill-plan'!A:I,9,FALSE)</f>
        <v>3-1</v>
      </c>
    </row>
    <row r="3331" ht="15.75" customHeight="1">
      <c r="A3331" s="1" t="s">
        <v>207</v>
      </c>
      <c r="B3331" s="1" t="s">
        <v>44</v>
      </c>
      <c r="C3331" s="1" t="s">
        <v>11</v>
      </c>
      <c r="D3331" s="5">
        <v>45337.0</v>
      </c>
      <c r="G3331" s="1">
        <f>VLOOKUP(B3331,'old-aw-skill-plan'!A:I,7,FALSE)</f>
        <v>5</v>
      </c>
      <c r="H3331" s="1" t="str">
        <f>VLOOKUP(B3331,'old-aw-skill-plan'!A:I,9,FALSE)</f>
        <v>5-1</v>
      </c>
    </row>
    <row r="3332" ht="15.75" customHeight="1">
      <c r="A3332" s="1" t="s">
        <v>213</v>
      </c>
      <c r="B3332" s="1" t="s">
        <v>10</v>
      </c>
      <c r="C3332" s="1" t="s">
        <v>11</v>
      </c>
      <c r="D3332" s="5">
        <v>45337.0</v>
      </c>
      <c r="G3332" s="1">
        <f>VLOOKUP(B3332,'old-aw-skill-plan'!A:I,7,FALSE)</f>
        <v>3</v>
      </c>
      <c r="H3332" s="1" t="str">
        <f>VLOOKUP(B3332,'old-aw-skill-plan'!A:I,9,FALSE)</f>
        <v>3-1</v>
      </c>
    </row>
    <row r="3333" ht="15.75" customHeight="1">
      <c r="A3333" s="1" t="s">
        <v>213</v>
      </c>
      <c r="B3333" s="1" t="s">
        <v>47</v>
      </c>
      <c r="C3333" s="1" t="s">
        <v>11</v>
      </c>
      <c r="D3333" s="5">
        <v>45337.0</v>
      </c>
      <c r="G3333" s="1">
        <f>VLOOKUP(B3333,'old-aw-skill-plan'!A:I,7,FALSE)</f>
        <v>3</v>
      </c>
      <c r="H3333" s="1" t="str">
        <f>VLOOKUP(B3333,'old-aw-skill-plan'!A:I,9,FALSE)</f>
        <v>3-2</v>
      </c>
    </row>
    <row r="3334" ht="15.75" customHeight="1">
      <c r="A3334" s="1" t="s">
        <v>237</v>
      </c>
      <c r="B3334" s="1" t="s">
        <v>451</v>
      </c>
      <c r="C3334" s="1" t="s">
        <v>11</v>
      </c>
      <c r="D3334" s="5">
        <v>45337.0</v>
      </c>
      <c r="G3334" s="1">
        <f>VLOOKUP(B3334,'old-aw-skill-plan'!A:I,7,FALSE)</f>
        <v>3</v>
      </c>
      <c r="H3334" s="1" t="str">
        <f>VLOOKUP(B3334,'old-aw-skill-plan'!A:I,9,FALSE)</f>
        <v>3-5</v>
      </c>
    </row>
    <row r="3335" ht="15.75" customHeight="1">
      <c r="A3335" s="1" t="s">
        <v>419</v>
      </c>
      <c r="B3335" s="1" t="s">
        <v>44</v>
      </c>
      <c r="C3335" s="1" t="s">
        <v>11</v>
      </c>
      <c r="D3335" s="5">
        <v>45337.0</v>
      </c>
      <c r="G3335" s="1">
        <f>VLOOKUP(B3335,'old-aw-skill-plan'!A:I,7,FALSE)</f>
        <v>5</v>
      </c>
      <c r="H3335" s="1" t="str">
        <f>VLOOKUP(B3335,'old-aw-skill-plan'!A:I,9,FALSE)</f>
        <v>5-1</v>
      </c>
    </row>
    <row r="3336" ht="15.75" customHeight="1">
      <c r="A3336" s="1" t="s">
        <v>46</v>
      </c>
      <c r="B3336" s="1" t="s">
        <v>47</v>
      </c>
      <c r="C3336" s="1" t="s">
        <v>11</v>
      </c>
      <c r="D3336" s="5">
        <v>45337.0</v>
      </c>
      <c r="G3336" s="1">
        <f>VLOOKUP(B3336,'old-aw-skill-plan'!A:I,7,FALSE)</f>
        <v>3</v>
      </c>
      <c r="H3336" s="1" t="str">
        <f>VLOOKUP(B3336,'old-aw-skill-plan'!A:I,9,FALSE)</f>
        <v>3-2</v>
      </c>
    </row>
    <row r="3337" ht="15.75" customHeight="1">
      <c r="A3337" s="1" t="s">
        <v>421</v>
      </c>
      <c r="B3337" s="1" t="s">
        <v>44</v>
      </c>
      <c r="C3337" s="1" t="s">
        <v>11</v>
      </c>
      <c r="D3337" s="5">
        <v>45337.0</v>
      </c>
      <c r="G3337" s="1">
        <f>VLOOKUP(B3337,'old-aw-skill-plan'!A:I,7,FALSE)</f>
        <v>5</v>
      </c>
      <c r="H3337" s="1" t="str">
        <f>VLOOKUP(B3337,'old-aw-skill-plan'!A:I,9,FALSE)</f>
        <v>5-1</v>
      </c>
    </row>
    <row r="3338" ht="15.75" customHeight="1">
      <c r="A3338" s="1" t="s">
        <v>230</v>
      </c>
      <c r="B3338" s="1" t="s">
        <v>30</v>
      </c>
      <c r="C3338" s="1" t="s">
        <v>11</v>
      </c>
      <c r="D3338" s="5">
        <v>45337.0</v>
      </c>
      <c r="G3338" s="1">
        <f>VLOOKUP(B3338,'old-aw-skill-plan'!A:I,7,FALSE)</f>
        <v>3</v>
      </c>
      <c r="H3338" s="1" t="str">
        <f>VLOOKUP(B3338,'old-aw-skill-plan'!A:I,9,FALSE)</f>
        <v>3-3</v>
      </c>
    </row>
    <row r="3339" ht="15.75" customHeight="1">
      <c r="A3339" s="1" t="s">
        <v>420</v>
      </c>
      <c r="B3339" s="1" t="s">
        <v>48</v>
      </c>
      <c r="C3339" s="1" t="s">
        <v>11</v>
      </c>
      <c r="D3339" s="5">
        <v>45337.0</v>
      </c>
      <c r="G3339" s="1">
        <f>VLOOKUP(B3339,'old-aw-skill-plan'!A:I,7,FALSE)</f>
        <v>3</v>
      </c>
      <c r="H3339" s="1" t="str">
        <f>VLOOKUP(B3339,'old-aw-skill-plan'!A:I,9,FALSE)</f>
        <v>3-6</v>
      </c>
    </row>
    <row r="3340" ht="15.75" customHeight="1">
      <c r="A3340" s="1" t="s">
        <v>95</v>
      </c>
      <c r="B3340" s="1" t="s">
        <v>115</v>
      </c>
      <c r="C3340" s="1" t="s">
        <v>11</v>
      </c>
      <c r="D3340" s="5">
        <v>45337.0</v>
      </c>
      <c r="G3340" s="1">
        <f>VLOOKUP(B3340,'old-aw-skill-plan'!A:I,7,FALSE)</f>
        <v>3</v>
      </c>
      <c r="H3340" s="1" t="str">
        <f>VLOOKUP(B3340,'old-aw-skill-plan'!A:I,9,FALSE)</f>
        <v>3-10</v>
      </c>
    </row>
    <row r="3341" ht="15.75" customHeight="1">
      <c r="A3341" s="1" t="s">
        <v>95</v>
      </c>
      <c r="B3341" s="1" t="s">
        <v>57</v>
      </c>
      <c r="C3341" s="1" t="s">
        <v>11</v>
      </c>
      <c r="D3341" s="5">
        <v>45337.0</v>
      </c>
      <c r="G3341" s="1">
        <f>VLOOKUP(B3341,'old-aw-skill-plan'!A:I,7,FALSE)</f>
        <v>3</v>
      </c>
      <c r="H3341" s="1" t="str">
        <f>VLOOKUP(B3341,'old-aw-skill-plan'!A:I,9,FALSE)</f>
        <v>3-7</v>
      </c>
    </row>
    <row r="3342" ht="15.75" customHeight="1">
      <c r="A3342" s="1" t="s">
        <v>95</v>
      </c>
      <c r="B3342" s="1" t="s">
        <v>33</v>
      </c>
      <c r="C3342" s="1" t="s">
        <v>11</v>
      </c>
      <c r="D3342" s="5">
        <v>45337.0</v>
      </c>
      <c r="G3342" s="1">
        <f>VLOOKUP(B3342,'old-aw-skill-plan'!A:I,7,FALSE)</f>
        <v>3</v>
      </c>
      <c r="H3342" s="1" t="str">
        <f>VLOOKUP(B3342,'old-aw-skill-plan'!A:I,9,FALSE)</f>
        <v>3-5</v>
      </c>
    </row>
    <row r="3343" ht="15.75" customHeight="1">
      <c r="A3343" s="1" t="s">
        <v>211</v>
      </c>
      <c r="B3343" s="1" t="s">
        <v>33</v>
      </c>
      <c r="C3343" s="1" t="s">
        <v>11</v>
      </c>
      <c r="D3343" s="5">
        <v>45337.0</v>
      </c>
      <c r="G3343" s="1">
        <f>VLOOKUP(B3343,'old-aw-skill-plan'!A:I,7,FALSE)</f>
        <v>3</v>
      </c>
      <c r="H3343" s="1" t="str">
        <f>VLOOKUP(B3343,'old-aw-skill-plan'!A:I,9,FALSE)</f>
        <v>3-5</v>
      </c>
    </row>
    <row r="3344" ht="15.75" customHeight="1">
      <c r="A3344" s="1" t="s">
        <v>197</v>
      </c>
      <c r="B3344" s="1" t="s">
        <v>368</v>
      </c>
      <c r="C3344" s="1" t="s">
        <v>11</v>
      </c>
      <c r="D3344" s="5">
        <v>45337.0</v>
      </c>
      <c r="G3344" s="1">
        <f>VLOOKUP(B3344,'old-aw-skill-plan'!A:I,7,FALSE)</f>
        <v>4</v>
      </c>
      <c r="H3344" s="1" t="str">
        <f>VLOOKUP(B3344,'old-aw-skill-plan'!A:I,9,FALSE)</f>
        <v>4-10</v>
      </c>
    </row>
    <row r="3345" ht="15.75" customHeight="1">
      <c r="A3345" s="1" t="s">
        <v>373</v>
      </c>
      <c r="B3345" s="1" t="s">
        <v>48</v>
      </c>
      <c r="C3345" s="1" t="s">
        <v>11</v>
      </c>
      <c r="D3345" s="5">
        <v>45337.0</v>
      </c>
      <c r="G3345" s="1">
        <f>VLOOKUP(B3345,'old-aw-skill-plan'!A:I,7,FALSE)</f>
        <v>3</v>
      </c>
      <c r="H3345" s="1" t="str">
        <f>VLOOKUP(B3345,'old-aw-skill-plan'!A:I,9,FALSE)</f>
        <v>3-6</v>
      </c>
    </row>
    <row r="3346" ht="15.75" customHeight="1">
      <c r="A3346" s="1" t="s">
        <v>226</v>
      </c>
      <c r="B3346" s="1" t="s">
        <v>118</v>
      </c>
      <c r="C3346" s="1" t="s">
        <v>11</v>
      </c>
      <c r="D3346" s="5">
        <v>45337.0</v>
      </c>
      <c r="G3346" s="1">
        <f>VLOOKUP(B3346,'old-aw-skill-plan'!A:I,7,FALSE)</f>
        <v>3</v>
      </c>
      <c r="H3346" s="1" t="str">
        <f>VLOOKUP(B3346,'old-aw-skill-plan'!A:I,9,FALSE)</f>
        <v>3-12</v>
      </c>
    </row>
    <row r="3347" ht="15.75" customHeight="1">
      <c r="A3347" s="1" t="s">
        <v>226</v>
      </c>
      <c r="B3347" s="1" t="s">
        <v>446</v>
      </c>
      <c r="C3347" s="1" t="s">
        <v>11</v>
      </c>
      <c r="D3347" s="5">
        <v>45337.0</v>
      </c>
      <c r="G3347" s="1">
        <f>VLOOKUP(B3347,'old-aw-skill-plan'!A:I,7,FALSE)</f>
        <v>3</v>
      </c>
      <c r="H3347" s="1" t="str">
        <f>VLOOKUP(B3347,'old-aw-skill-plan'!A:I,9,FALSE)</f>
        <v>3-6</v>
      </c>
    </row>
    <row r="3348" ht="15.75" customHeight="1">
      <c r="A3348" s="1" t="s">
        <v>226</v>
      </c>
      <c r="B3348" s="1" t="s">
        <v>377</v>
      </c>
      <c r="C3348" s="1" t="s">
        <v>11</v>
      </c>
      <c r="D3348" s="5">
        <v>45337.0</v>
      </c>
      <c r="G3348" s="1">
        <f>VLOOKUP(B3348,'old-aw-skill-plan'!A:I,7,FALSE)</f>
        <v>3</v>
      </c>
      <c r="H3348" s="1" t="str">
        <f>VLOOKUP(B3348,'old-aw-skill-plan'!A:I,9,FALSE)</f>
        <v>3-3</v>
      </c>
    </row>
    <row r="3349" ht="15.75" customHeight="1">
      <c r="A3349" s="1" t="s">
        <v>94</v>
      </c>
      <c r="B3349" s="1" t="s">
        <v>117</v>
      </c>
      <c r="C3349" s="1" t="s">
        <v>11</v>
      </c>
      <c r="D3349" s="5">
        <v>45337.0</v>
      </c>
      <c r="G3349" s="1">
        <f>VLOOKUP(B3349,'old-aw-skill-plan'!A:I,7,FALSE)</f>
        <v>3</v>
      </c>
      <c r="H3349" s="1" t="str">
        <f>VLOOKUP(B3349,'old-aw-skill-plan'!A:I,9,FALSE)</f>
        <v>3-11</v>
      </c>
    </row>
    <row r="3350" ht="15.75" customHeight="1">
      <c r="A3350" s="1" t="s">
        <v>427</v>
      </c>
      <c r="B3350" s="1" t="s">
        <v>33</v>
      </c>
      <c r="C3350" s="1" t="s">
        <v>11</v>
      </c>
      <c r="D3350" s="5">
        <v>45337.0</v>
      </c>
      <c r="G3350" s="1">
        <f>VLOOKUP(B3350,'old-aw-skill-plan'!A:I,7,FALSE)</f>
        <v>3</v>
      </c>
      <c r="H3350" s="1" t="str">
        <f>VLOOKUP(B3350,'old-aw-skill-plan'!A:I,9,FALSE)</f>
        <v>3-5</v>
      </c>
    </row>
    <row r="3351" ht="15.75" customHeight="1">
      <c r="A3351" s="1" t="s">
        <v>436</v>
      </c>
      <c r="B3351" s="1" t="s">
        <v>116</v>
      </c>
      <c r="C3351" s="1" t="s">
        <v>11</v>
      </c>
      <c r="D3351" s="5">
        <v>45337.0</v>
      </c>
      <c r="G3351" s="1">
        <f>VLOOKUP(B3351,'old-aw-skill-plan'!A:I,7,FALSE)</f>
        <v>3</v>
      </c>
      <c r="H3351" s="1" t="str">
        <f>VLOOKUP(B3351,'old-aw-skill-plan'!A:I,9,FALSE)</f>
        <v>3-9</v>
      </c>
    </row>
    <row r="3352" ht="15.75" customHeight="1">
      <c r="A3352" s="1" t="s">
        <v>436</v>
      </c>
      <c r="B3352" s="1" t="s">
        <v>57</v>
      </c>
      <c r="C3352" s="1" t="s">
        <v>11</v>
      </c>
      <c r="D3352" s="5">
        <v>45337.0</v>
      </c>
      <c r="G3352" s="1">
        <f>VLOOKUP(B3352,'old-aw-skill-plan'!A:I,7,FALSE)</f>
        <v>3</v>
      </c>
      <c r="H3352" s="1" t="str">
        <f>VLOOKUP(B3352,'old-aw-skill-plan'!A:I,9,FALSE)</f>
        <v>3-7</v>
      </c>
    </row>
    <row r="3353" ht="15.75" customHeight="1">
      <c r="A3353" s="1" t="s">
        <v>110</v>
      </c>
      <c r="B3353" s="1" t="s">
        <v>307</v>
      </c>
      <c r="C3353" s="1" t="s">
        <v>11</v>
      </c>
      <c r="D3353" s="5">
        <v>45337.0</v>
      </c>
      <c r="G3353" s="1">
        <f>VLOOKUP(B3353,'old-aw-skill-plan'!A:I,7,FALSE)</f>
        <v>3</v>
      </c>
      <c r="H3353" s="1" t="str">
        <f>VLOOKUP(B3353,'old-aw-skill-plan'!A:I,9,FALSE)</f>
        <v>3-1</v>
      </c>
    </row>
    <row r="3354" ht="15.75" customHeight="1">
      <c r="A3354" s="1" t="s">
        <v>110</v>
      </c>
      <c r="B3354" s="1" t="s">
        <v>356</v>
      </c>
      <c r="C3354" s="1" t="s">
        <v>11</v>
      </c>
      <c r="D3354" s="5">
        <v>45337.0</v>
      </c>
      <c r="G3354" s="1">
        <f>VLOOKUP(B3354,'old-aw-skill-plan'!A:I,7,FALSE)</f>
        <v>3</v>
      </c>
      <c r="H3354" s="1" t="str">
        <f>VLOOKUP(B3354,'old-aw-skill-plan'!A:I,9,FALSE)</f>
        <v>3-2</v>
      </c>
    </row>
    <row r="3355" ht="15.75" customHeight="1">
      <c r="A3355" s="1" t="s">
        <v>31</v>
      </c>
      <c r="B3355" s="1" t="s">
        <v>10</v>
      </c>
      <c r="C3355" s="1" t="s">
        <v>11</v>
      </c>
      <c r="D3355" s="5">
        <v>45336.0</v>
      </c>
      <c r="G3355" s="1">
        <f>VLOOKUP(B3355,'old-aw-skill-plan'!A:I,7,FALSE)</f>
        <v>3</v>
      </c>
      <c r="H3355" s="1" t="str">
        <f>VLOOKUP(B3355,'old-aw-skill-plan'!A:I,9,FALSE)</f>
        <v>3-1</v>
      </c>
    </row>
    <row r="3356" ht="15.75" customHeight="1">
      <c r="A3356" s="1" t="s">
        <v>207</v>
      </c>
      <c r="B3356" s="1" t="s">
        <v>44</v>
      </c>
      <c r="C3356" s="1" t="s">
        <v>11</v>
      </c>
      <c r="D3356" s="5">
        <v>45336.0</v>
      </c>
      <c r="G3356" s="1">
        <f>VLOOKUP(B3356,'old-aw-skill-plan'!A:I,7,FALSE)</f>
        <v>5</v>
      </c>
      <c r="H3356" s="1" t="str">
        <f>VLOOKUP(B3356,'old-aw-skill-plan'!A:I,9,FALSE)</f>
        <v>5-1</v>
      </c>
    </row>
    <row r="3357" ht="15.75" customHeight="1">
      <c r="A3357" s="1" t="s">
        <v>36</v>
      </c>
      <c r="B3357" s="1" t="s">
        <v>33</v>
      </c>
      <c r="C3357" s="1" t="s">
        <v>11</v>
      </c>
      <c r="D3357" s="5">
        <v>45336.0</v>
      </c>
      <c r="G3357" s="1">
        <f>VLOOKUP(B3357,'old-aw-skill-plan'!A:I,7,FALSE)</f>
        <v>3</v>
      </c>
      <c r="H3357" s="1" t="str">
        <f>VLOOKUP(B3357,'old-aw-skill-plan'!A:I,9,FALSE)</f>
        <v>3-5</v>
      </c>
    </row>
    <row r="3358" ht="15.75" customHeight="1">
      <c r="A3358" s="1" t="s">
        <v>237</v>
      </c>
      <c r="B3358" s="1" t="s">
        <v>352</v>
      </c>
      <c r="C3358" s="1" t="s">
        <v>11</v>
      </c>
      <c r="D3358" s="5">
        <v>45336.0</v>
      </c>
      <c r="G3358" s="1">
        <f>VLOOKUP(B3358,'old-aw-skill-plan'!A:I,7,FALSE)</f>
        <v>3</v>
      </c>
      <c r="H3358" s="1" t="str">
        <f>VLOOKUP(B3358,'old-aw-skill-plan'!A:I,9,FALSE)</f>
        <v>3-2</v>
      </c>
    </row>
    <row r="3359" ht="15.75" customHeight="1">
      <c r="A3359" s="1" t="s">
        <v>274</v>
      </c>
      <c r="B3359" s="1" t="s">
        <v>44</v>
      </c>
      <c r="C3359" s="1" t="s">
        <v>11</v>
      </c>
      <c r="D3359" s="5">
        <v>45336.0</v>
      </c>
      <c r="G3359" s="1">
        <f>VLOOKUP(B3359,'old-aw-skill-plan'!A:I,7,FALSE)</f>
        <v>5</v>
      </c>
      <c r="H3359" s="1" t="str">
        <f>VLOOKUP(B3359,'old-aw-skill-plan'!A:I,9,FALSE)</f>
        <v>5-1</v>
      </c>
    </row>
    <row r="3360" ht="15.75" customHeight="1">
      <c r="A3360" s="1" t="s">
        <v>230</v>
      </c>
      <c r="B3360" s="1" t="s">
        <v>115</v>
      </c>
      <c r="C3360" s="1" t="s">
        <v>11</v>
      </c>
      <c r="D3360" s="5">
        <v>45336.0</v>
      </c>
      <c r="G3360" s="1">
        <f>VLOOKUP(B3360,'old-aw-skill-plan'!A:I,7,FALSE)</f>
        <v>3</v>
      </c>
      <c r="H3360" s="1" t="str">
        <f>VLOOKUP(B3360,'old-aw-skill-plan'!A:I,9,FALSE)</f>
        <v>3-10</v>
      </c>
    </row>
    <row r="3361" ht="15.75" customHeight="1">
      <c r="A3361" s="1" t="s">
        <v>230</v>
      </c>
      <c r="B3361" s="1" t="s">
        <v>356</v>
      </c>
      <c r="C3361" s="1" t="s">
        <v>11</v>
      </c>
      <c r="D3361" s="5">
        <v>45336.0</v>
      </c>
      <c r="G3361" s="1">
        <f>VLOOKUP(B3361,'old-aw-skill-plan'!A:I,7,FALSE)</f>
        <v>3</v>
      </c>
      <c r="H3361" s="1" t="str">
        <f>VLOOKUP(B3361,'old-aw-skill-plan'!A:I,9,FALSE)</f>
        <v>3-2</v>
      </c>
    </row>
    <row r="3362" ht="15.75" customHeight="1">
      <c r="A3362" s="1" t="s">
        <v>420</v>
      </c>
      <c r="B3362" s="1" t="s">
        <v>10</v>
      </c>
      <c r="C3362" s="1" t="s">
        <v>11</v>
      </c>
      <c r="D3362" s="5">
        <v>45336.0</v>
      </c>
      <c r="G3362" s="1">
        <f>VLOOKUP(B3362,'old-aw-skill-plan'!A:I,7,FALSE)</f>
        <v>3</v>
      </c>
      <c r="H3362" s="1" t="str">
        <f>VLOOKUP(B3362,'old-aw-skill-plan'!A:I,9,FALSE)</f>
        <v>3-1</v>
      </c>
    </row>
    <row r="3363" ht="15.75" customHeight="1">
      <c r="A3363" s="1" t="s">
        <v>420</v>
      </c>
      <c r="B3363" s="1" t="s">
        <v>352</v>
      </c>
      <c r="C3363" s="1" t="s">
        <v>11</v>
      </c>
      <c r="D3363" s="5">
        <v>45336.0</v>
      </c>
      <c r="G3363" s="1">
        <f>VLOOKUP(B3363,'old-aw-skill-plan'!A:I,7,FALSE)</f>
        <v>3</v>
      </c>
      <c r="H3363" s="1" t="str">
        <f>VLOOKUP(B3363,'old-aw-skill-plan'!A:I,9,FALSE)</f>
        <v>3-2</v>
      </c>
    </row>
    <row r="3364" ht="15.75" customHeight="1">
      <c r="A3364" s="1" t="s">
        <v>275</v>
      </c>
      <c r="B3364" s="1" t="s">
        <v>44</v>
      </c>
      <c r="C3364" s="1" t="s">
        <v>11</v>
      </c>
      <c r="D3364" s="5">
        <v>45336.0</v>
      </c>
      <c r="G3364" s="1">
        <f>VLOOKUP(B3364,'old-aw-skill-plan'!A:I,7,FALSE)</f>
        <v>5</v>
      </c>
      <c r="H3364" s="1" t="str">
        <f>VLOOKUP(B3364,'old-aw-skill-plan'!A:I,9,FALSE)</f>
        <v>5-1</v>
      </c>
    </row>
    <row r="3365" ht="15.75" customHeight="1">
      <c r="A3365" s="1" t="s">
        <v>95</v>
      </c>
      <c r="B3365" s="1" t="s">
        <v>28</v>
      </c>
      <c r="C3365" s="1" t="s">
        <v>11</v>
      </c>
      <c r="D3365" s="5">
        <v>45336.0</v>
      </c>
      <c r="G3365" s="1">
        <f>VLOOKUP(B3365,'old-aw-skill-plan'!A:I,7,FALSE)</f>
        <v>3</v>
      </c>
      <c r="H3365" s="1" t="str">
        <f>VLOOKUP(B3365,'old-aw-skill-plan'!A:I,9,FALSE)</f>
        <v>3-4</v>
      </c>
    </row>
    <row r="3366" ht="15.75" customHeight="1">
      <c r="A3366" s="1" t="s">
        <v>95</v>
      </c>
      <c r="B3366" s="1" t="s">
        <v>48</v>
      </c>
      <c r="C3366" s="1" t="s">
        <v>11</v>
      </c>
      <c r="D3366" s="5">
        <v>45336.0</v>
      </c>
      <c r="G3366" s="1">
        <f>VLOOKUP(B3366,'old-aw-skill-plan'!A:I,7,FALSE)</f>
        <v>3</v>
      </c>
      <c r="H3366" s="1" t="str">
        <f>VLOOKUP(B3366,'old-aw-skill-plan'!A:I,9,FALSE)</f>
        <v>3-6</v>
      </c>
    </row>
    <row r="3367" ht="15.75" customHeight="1">
      <c r="A3367" s="1" t="s">
        <v>95</v>
      </c>
      <c r="B3367" s="1" t="s">
        <v>33</v>
      </c>
      <c r="C3367" s="1" t="s">
        <v>11</v>
      </c>
      <c r="D3367" s="5">
        <v>45336.0</v>
      </c>
      <c r="G3367" s="1">
        <f>VLOOKUP(B3367,'old-aw-skill-plan'!A:I,7,FALSE)</f>
        <v>3</v>
      </c>
      <c r="H3367" s="1" t="str">
        <f>VLOOKUP(B3367,'old-aw-skill-plan'!A:I,9,FALSE)</f>
        <v>3-5</v>
      </c>
    </row>
    <row r="3368" ht="15.75" customHeight="1">
      <c r="A3368" s="1" t="s">
        <v>211</v>
      </c>
      <c r="B3368" s="1" t="s">
        <v>33</v>
      </c>
      <c r="C3368" s="1" t="s">
        <v>11</v>
      </c>
      <c r="D3368" s="5">
        <v>45336.0</v>
      </c>
      <c r="G3368" s="1">
        <f>VLOOKUP(B3368,'old-aw-skill-plan'!A:I,7,FALSE)</f>
        <v>3</v>
      </c>
      <c r="H3368" s="1" t="str">
        <f>VLOOKUP(B3368,'old-aw-skill-plan'!A:I,9,FALSE)</f>
        <v>3-5</v>
      </c>
    </row>
    <row r="3369" ht="15.75" customHeight="1">
      <c r="A3369" s="1" t="s">
        <v>373</v>
      </c>
      <c r="B3369" s="1" t="s">
        <v>48</v>
      </c>
      <c r="C3369" s="1" t="s">
        <v>11</v>
      </c>
      <c r="D3369" s="5">
        <v>45336.0</v>
      </c>
      <c r="G3369" s="1">
        <f>VLOOKUP(B3369,'old-aw-skill-plan'!A:I,7,FALSE)</f>
        <v>3</v>
      </c>
      <c r="H3369" s="1" t="str">
        <f>VLOOKUP(B3369,'old-aw-skill-plan'!A:I,9,FALSE)</f>
        <v>3-6</v>
      </c>
    </row>
    <row r="3370" ht="15.75" customHeight="1">
      <c r="A3370" s="1" t="s">
        <v>226</v>
      </c>
      <c r="B3370" s="1" t="s">
        <v>354</v>
      </c>
      <c r="C3370" s="1" t="s">
        <v>11</v>
      </c>
      <c r="D3370" s="5">
        <v>45336.0</v>
      </c>
      <c r="G3370" s="1">
        <f>VLOOKUP(B3370,'old-aw-skill-plan'!A:I,7,FALSE)</f>
        <v>3</v>
      </c>
      <c r="H3370" s="1" t="str">
        <f>VLOOKUP(B3370,'old-aw-skill-plan'!A:I,9,FALSE)</f>
        <v>3-7</v>
      </c>
    </row>
    <row r="3371" ht="15.75" customHeight="1">
      <c r="A3371" s="1" t="s">
        <v>226</v>
      </c>
      <c r="B3371" s="1" t="s">
        <v>404</v>
      </c>
      <c r="C3371" s="1" t="s">
        <v>11</v>
      </c>
      <c r="D3371" s="5">
        <v>45336.0</v>
      </c>
      <c r="G3371" s="1">
        <f>VLOOKUP(B3371,'old-aw-skill-plan'!A:I,7,FALSE)</f>
        <v>3</v>
      </c>
      <c r="H3371" s="1" t="str">
        <f>VLOOKUP(B3371,'old-aw-skill-plan'!A:I,9,FALSE)</f>
        <v>3-8</v>
      </c>
    </row>
    <row r="3372" ht="15.75" customHeight="1">
      <c r="A3372" s="1" t="s">
        <v>226</v>
      </c>
      <c r="B3372" s="1" t="s">
        <v>425</v>
      </c>
      <c r="C3372" s="1" t="s">
        <v>11</v>
      </c>
      <c r="D3372" s="5">
        <v>45336.0</v>
      </c>
      <c r="G3372" s="1">
        <f>VLOOKUP(B3372,'old-aw-skill-plan'!A:I,7,FALSE)</f>
        <v>3</v>
      </c>
      <c r="H3372" s="1" t="str">
        <f>VLOOKUP(B3372,'old-aw-skill-plan'!A:I,9,FALSE)</f>
        <v>3-1</v>
      </c>
    </row>
    <row r="3373" ht="15.75" customHeight="1">
      <c r="A3373" s="1" t="s">
        <v>93</v>
      </c>
      <c r="B3373" s="1" t="s">
        <v>117</v>
      </c>
      <c r="C3373" s="1" t="s">
        <v>11</v>
      </c>
      <c r="D3373" s="5">
        <v>45336.0</v>
      </c>
      <c r="G3373" s="1">
        <f>VLOOKUP(B3373,'old-aw-skill-plan'!A:I,7,FALSE)</f>
        <v>3</v>
      </c>
      <c r="H3373" s="1" t="str">
        <f>VLOOKUP(B3373,'old-aw-skill-plan'!A:I,9,FALSE)</f>
        <v>3-11</v>
      </c>
    </row>
    <row r="3374" ht="15.75" customHeight="1">
      <c r="A3374" s="1" t="s">
        <v>225</v>
      </c>
      <c r="B3374" s="1" t="s">
        <v>433</v>
      </c>
      <c r="C3374" s="1" t="s">
        <v>11</v>
      </c>
      <c r="D3374" s="5">
        <v>45336.0</v>
      </c>
      <c r="G3374" s="1">
        <f>VLOOKUP(B3374,'old-aw-skill-plan'!A:I,7,FALSE)</f>
        <v>4</v>
      </c>
      <c r="H3374" s="1" t="str">
        <f>VLOOKUP(B3374,'old-aw-skill-plan'!A:I,9,FALSE)</f>
        <v>4-4</v>
      </c>
    </row>
    <row r="3375" ht="15.75" customHeight="1">
      <c r="A3375" s="1" t="s">
        <v>427</v>
      </c>
      <c r="B3375" s="1" t="s">
        <v>33</v>
      </c>
      <c r="C3375" s="1" t="s">
        <v>11</v>
      </c>
      <c r="D3375" s="5">
        <v>45336.0</v>
      </c>
      <c r="G3375" s="1">
        <f>VLOOKUP(B3375,'old-aw-skill-plan'!A:I,7,FALSE)</f>
        <v>3</v>
      </c>
      <c r="H3375" s="1" t="str">
        <f>VLOOKUP(B3375,'old-aw-skill-plan'!A:I,9,FALSE)</f>
        <v>3-5</v>
      </c>
    </row>
    <row r="3376" ht="15.75" customHeight="1">
      <c r="A3376" s="1" t="s">
        <v>436</v>
      </c>
      <c r="B3376" s="1" t="s">
        <v>116</v>
      </c>
      <c r="C3376" s="1" t="s">
        <v>11</v>
      </c>
      <c r="D3376" s="5">
        <v>45336.0</v>
      </c>
      <c r="G3376" s="1">
        <f>VLOOKUP(B3376,'old-aw-skill-plan'!A:I,7,FALSE)</f>
        <v>3</v>
      </c>
      <c r="H3376" s="1" t="str">
        <f>VLOOKUP(B3376,'old-aw-skill-plan'!A:I,9,FALSE)</f>
        <v>3-9</v>
      </c>
    </row>
    <row r="3377" ht="15.75" customHeight="1">
      <c r="A3377" s="1" t="s">
        <v>436</v>
      </c>
      <c r="B3377" s="1" t="s">
        <v>307</v>
      </c>
      <c r="C3377" s="1" t="s">
        <v>11</v>
      </c>
      <c r="D3377" s="5">
        <v>45336.0</v>
      </c>
      <c r="G3377" s="1">
        <f>VLOOKUP(B3377,'old-aw-skill-plan'!A:I,7,FALSE)</f>
        <v>3</v>
      </c>
      <c r="H3377" s="1" t="str">
        <f>VLOOKUP(B3377,'old-aw-skill-plan'!A:I,9,FALSE)</f>
        <v>3-1</v>
      </c>
    </row>
    <row r="3378" ht="15.75" customHeight="1">
      <c r="A3378" s="1" t="s">
        <v>436</v>
      </c>
      <c r="B3378" s="1" t="s">
        <v>383</v>
      </c>
      <c r="C3378" s="1" t="s">
        <v>11</v>
      </c>
      <c r="D3378" s="5">
        <v>45336.0</v>
      </c>
      <c r="G3378" s="1">
        <f>VLOOKUP(B3378,'old-aw-skill-plan'!A:I,7,FALSE)</f>
        <v>3</v>
      </c>
      <c r="H3378" s="1" t="str">
        <f>VLOOKUP(B3378,'old-aw-skill-plan'!A:I,9,FALSE)</f>
        <v>3-3</v>
      </c>
    </row>
    <row r="3379" ht="15.75" customHeight="1">
      <c r="A3379" s="1" t="s">
        <v>31</v>
      </c>
      <c r="B3379" s="1" t="s">
        <v>10</v>
      </c>
      <c r="C3379" s="1" t="s">
        <v>11</v>
      </c>
      <c r="D3379" s="5">
        <v>45335.0</v>
      </c>
      <c r="G3379" s="1">
        <f>VLOOKUP(B3379,'old-aw-skill-plan'!A:I,7,FALSE)</f>
        <v>3</v>
      </c>
      <c r="H3379" s="1" t="str">
        <f>VLOOKUP(B3379,'old-aw-skill-plan'!A:I,9,FALSE)</f>
        <v>3-1</v>
      </c>
    </row>
    <row r="3380" ht="15.75" customHeight="1">
      <c r="A3380" s="1" t="s">
        <v>216</v>
      </c>
      <c r="B3380" s="1" t="s">
        <v>61</v>
      </c>
      <c r="C3380" s="1" t="s">
        <v>11</v>
      </c>
      <c r="D3380" s="5">
        <v>45335.0</v>
      </c>
      <c r="G3380" s="1">
        <f>VLOOKUP(B3380,'old-aw-skill-plan'!A:I,7,FALSE)</f>
        <v>4</v>
      </c>
      <c r="H3380" s="1" t="str">
        <f>VLOOKUP(B3380,'old-aw-skill-plan'!A:I,9,FALSE)</f>
        <v>4-4</v>
      </c>
    </row>
    <row r="3381" ht="15.75" customHeight="1">
      <c r="A3381" s="1" t="s">
        <v>216</v>
      </c>
      <c r="B3381" s="1" t="s">
        <v>97</v>
      </c>
      <c r="C3381" s="1" t="s">
        <v>11</v>
      </c>
      <c r="D3381" s="5">
        <v>45335.0</v>
      </c>
      <c r="G3381" s="1">
        <f>VLOOKUP(B3381,'old-aw-skill-plan'!A:I,7,FALSE)</f>
        <v>4</v>
      </c>
      <c r="H3381" s="1" t="str">
        <f>VLOOKUP(B3381,'old-aw-skill-plan'!A:I,9,FALSE)</f>
        <v>4-3</v>
      </c>
    </row>
    <row r="3382" ht="15.75" customHeight="1">
      <c r="A3382" s="1" t="s">
        <v>35</v>
      </c>
      <c r="B3382" s="1" t="s">
        <v>79</v>
      </c>
      <c r="C3382" s="1" t="s">
        <v>11</v>
      </c>
      <c r="D3382" s="5">
        <v>45335.0</v>
      </c>
      <c r="G3382" s="1">
        <f>VLOOKUP(B3382,'old-aw-skill-plan'!A:I,7,FALSE)</f>
        <v>4</v>
      </c>
      <c r="H3382" s="1" t="str">
        <f>VLOOKUP(B3382,'old-aw-skill-plan'!A:I,9,FALSE)</f>
        <v>4-8</v>
      </c>
    </row>
    <row r="3383" ht="15.75" customHeight="1">
      <c r="A3383" s="1" t="s">
        <v>24</v>
      </c>
      <c r="B3383" s="1" t="s">
        <v>37</v>
      </c>
      <c r="C3383" s="1" t="s">
        <v>11</v>
      </c>
      <c r="D3383" s="5">
        <v>45335.0</v>
      </c>
      <c r="G3383" s="1">
        <f>VLOOKUP(B3383,'old-aw-skill-plan'!A:I,7,FALSE)</f>
        <v>4</v>
      </c>
      <c r="H3383" s="1" t="str">
        <f>VLOOKUP(B3383,'old-aw-skill-plan'!A:I,9,FALSE)</f>
        <v>4-2</v>
      </c>
    </row>
    <row r="3384" ht="15.75" customHeight="1">
      <c r="A3384" s="1" t="s">
        <v>207</v>
      </c>
      <c r="B3384" s="1" t="s">
        <v>44</v>
      </c>
      <c r="C3384" s="1" t="s">
        <v>11</v>
      </c>
      <c r="D3384" s="5">
        <v>45335.0</v>
      </c>
      <c r="G3384" s="1">
        <f>VLOOKUP(B3384,'old-aw-skill-plan'!A:I,7,FALSE)</f>
        <v>5</v>
      </c>
      <c r="H3384" s="1" t="str">
        <f>VLOOKUP(B3384,'old-aw-skill-plan'!A:I,9,FALSE)</f>
        <v>5-1</v>
      </c>
    </row>
    <row r="3385" ht="15.75" customHeight="1">
      <c r="A3385" s="1" t="s">
        <v>213</v>
      </c>
      <c r="B3385" s="1" t="s">
        <v>47</v>
      </c>
      <c r="C3385" s="1" t="s">
        <v>11</v>
      </c>
      <c r="D3385" s="5">
        <v>45335.0</v>
      </c>
      <c r="G3385" s="1">
        <f>VLOOKUP(B3385,'old-aw-skill-plan'!A:I,7,FALSE)</f>
        <v>3</v>
      </c>
      <c r="H3385" s="1" t="str">
        <f>VLOOKUP(B3385,'old-aw-skill-plan'!A:I,9,FALSE)</f>
        <v>3-2</v>
      </c>
    </row>
    <row r="3386" ht="15.75" customHeight="1">
      <c r="A3386" s="1" t="s">
        <v>36</v>
      </c>
      <c r="B3386" s="1" t="s">
        <v>33</v>
      </c>
      <c r="C3386" s="1" t="s">
        <v>11</v>
      </c>
      <c r="D3386" s="5">
        <v>45335.0</v>
      </c>
      <c r="G3386" s="1">
        <f>VLOOKUP(B3386,'old-aw-skill-plan'!A:I,7,FALSE)</f>
        <v>3</v>
      </c>
      <c r="H3386" s="1" t="str">
        <f>VLOOKUP(B3386,'old-aw-skill-plan'!A:I,9,FALSE)</f>
        <v>3-5</v>
      </c>
    </row>
    <row r="3387" ht="15.75" customHeight="1">
      <c r="A3387" s="1" t="s">
        <v>237</v>
      </c>
      <c r="B3387" s="1" t="s">
        <v>425</v>
      </c>
      <c r="C3387" s="1" t="s">
        <v>11</v>
      </c>
      <c r="D3387" s="5">
        <v>45335.0</v>
      </c>
      <c r="G3387" s="1">
        <f>VLOOKUP(B3387,'old-aw-skill-plan'!A:I,7,FALSE)</f>
        <v>3</v>
      </c>
      <c r="H3387" s="1" t="str">
        <f>VLOOKUP(B3387,'old-aw-skill-plan'!A:I,9,FALSE)</f>
        <v>3-1</v>
      </c>
    </row>
    <row r="3388" ht="15.75" customHeight="1">
      <c r="A3388" s="1" t="s">
        <v>274</v>
      </c>
      <c r="B3388" s="1" t="s">
        <v>87</v>
      </c>
      <c r="C3388" s="1" t="s">
        <v>11</v>
      </c>
      <c r="D3388" s="5">
        <v>45335.0</v>
      </c>
      <c r="G3388" s="1">
        <f>VLOOKUP(B3388,'old-aw-skill-plan'!A:I,7,FALSE)</f>
        <v>5</v>
      </c>
      <c r="H3388" s="1" t="str">
        <f>VLOOKUP(B3388,'old-aw-skill-plan'!A:I,9,FALSE)</f>
        <v>5-6</v>
      </c>
    </row>
    <row r="3389" ht="15.75" customHeight="1">
      <c r="A3389" s="1" t="s">
        <v>421</v>
      </c>
      <c r="B3389" s="1" t="s">
        <v>44</v>
      </c>
      <c r="C3389" s="1" t="s">
        <v>11</v>
      </c>
      <c r="D3389" s="5">
        <v>45335.0</v>
      </c>
      <c r="G3389" s="1">
        <f>VLOOKUP(B3389,'old-aw-skill-plan'!A:I,7,FALSE)</f>
        <v>5</v>
      </c>
      <c r="H3389" s="1" t="str">
        <f>VLOOKUP(B3389,'old-aw-skill-plan'!A:I,9,FALSE)</f>
        <v>5-1</v>
      </c>
    </row>
    <row r="3390" ht="15.75" customHeight="1">
      <c r="A3390" s="1" t="s">
        <v>230</v>
      </c>
      <c r="B3390" s="1" t="s">
        <v>30</v>
      </c>
      <c r="C3390" s="1" t="s">
        <v>11</v>
      </c>
      <c r="D3390" s="5">
        <v>45335.0</v>
      </c>
      <c r="G3390" s="1">
        <f>VLOOKUP(B3390,'old-aw-skill-plan'!A:I,7,FALSE)</f>
        <v>3</v>
      </c>
      <c r="H3390" s="1" t="str">
        <f>VLOOKUP(B3390,'old-aw-skill-plan'!A:I,9,FALSE)</f>
        <v>3-3</v>
      </c>
    </row>
    <row r="3391" ht="15.75" customHeight="1">
      <c r="A3391" s="1" t="s">
        <v>230</v>
      </c>
      <c r="B3391" s="1" t="s">
        <v>356</v>
      </c>
      <c r="C3391" s="1" t="s">
        <v>11</v>
      </c>
      <c r="D3391" s="5">
        <v>45335.0</v>
      </c>
      <c r="G3391" s="1">
        <f>VLOOKUP(B3391,'old-aw-skill-plan'!A:I,7,FALSE)</f>
        <v>3</v>
      </c>
      <c r="H3391" s="1" t="str">
        <f>VLOOKUP(B3391,'old-aw-skill-plan'!A:I,9,FALSE)</f>
        <v>3-2</v>
      </c>
    </row>
    <row r="3392" ht="15.75" customHeight="1">
      <c r="A3392" s="1" t="s">
        <v>428</v>
      </c>
      <c r="B3392" s="1" t="s">
        <v>66</v>
      </c>
      <c r="C3392" s="1" t="s">
        <v>11</v>
      </c>
      <c r="D3392" s="5">
        <v>45335.0</v>
      </c>
      <c r="G3392" s="1">
        <f>VLOOKUP(B3392,'old-aw-skill-plan'!A:I,7,FALSE)</f>
        <v>4</v>
      </c>
      <c r="H3392" s="1" t="str">
        <f>VLOOKUP(B3392,'old-aw-skill-plan'!A:I,9,FALSE)</f>
        <v>4-9</v>
      </c>
    </row>
    <row r="3393" ht="15.75" customHeight="1">
      <c r="A3393" s="1" t="s">
        <v>420</v>
      </c>
      <c r="B3393" s="1" t="s">
        <v>10</v>
      </c>
      <c r="C3393" s="1" t="s">
        <v>11</v>
      </c>
      <c r="D3393" s="5">
        <v>45335.0</v>
      </c>
      <c r="G3393" s="1">
        <f>VLOOKUP(B3393,'old-aw-skill-plan'!A:I,7,FALSE)</f>
        <v>3</v>
      </c>
      <c r="H3393" s="1" t="str">
        <f>VLOOKUP(B3393,'old-aw-skill-plan'!A:I,9,FALSE)</f>
        <v>3-1</v>
      </c>
    </row>
    <row r="3394" ht="15.75" customHeight="1">
      <c r="A3394" s="1" t="s">
        <v>420</v>
      </c>
      <c r="B3394" s="1" t="s">
        <v>425</v>
      </c>
      <c r="C3394" s="1" t="s">
        <v>11</v>
      </c>
      <c r="D3394" s="5">
        <v>45335.0</v>
      </c>
      <c r="G3394" s="1">
        <f>VLOOKUP(B3394,'old-aw-skill-plan'!A:I,7,FALSE)</f>
        <v>3</v>
      </c>
      <c r="H3394" s="1" t="str">
        <f>VLOOKUP(B3394,'old-aw-skill-plan'!A:I,9,FALSE)</f>
        <v>3-1</v>
      </c>
    </row>
    <row r="3395" ht="15.75" customHeight="1">
      <c r="A3395" s="1" t="s">
        <v>431</v>
      </c>
      <c r="B3395" s="1" t="s">
        <v>435</v>
      </c>
      <c r="C3395" s="1" t="s">
        <v>11</v>
      </c>
      <c r="D3395" s="5">
        <v>45335.0</v>
      </c>
      <c r="G3395" s="1" t="str">
        <f>VLOOKUP(B3395,'old-aw-skill-plan'!A:I,7,FALSE)</f>
        <v>#N/A</v>
      </c>
      <c r="H3395" s="1" t="str">
        <f>VLOOKUP(B3395,'old-aw-skill-plan'!A:I,9,FALSE)</f>
        <v>#N/A</v>
      </c>
    </row>
    <row r="3396" ht="15.75" customHeight="1">
      <c r="A3396" s="1" t="s">
        <v>431</v>
      </c>
      <c r="B3396" s="1" t="s">
        <v>414</v>
      </c>
      <c r="C3396" s="1" t="s">
        <v>11</v>
      </c>
      <c r="D3396" s="5">
        <v>45335.0</v>
      </c>
      <c r="G3396" s="1" t="str">
        <f>VLOOKUP(B3396,'old-aw-skill-plan'!A:I,7,FALSE)</f>
        <v>#N/A</v>
      </c>
      <c r="H3396" s="1" t="str">
        <f>VLOOKUP(B3396,'old-aw-skill-plan'!A:I,9,FALSE)</f>
        <v>#N/A</v>
      </c>
    </row>
    <row r="3397" ht="15.75" customHeight="1">
      <c r="A3397" s="1" t="s">
        <v>431</v>
      </c>
      <c r="B3397" s="1" t="s">
        <v>312</v>
      </c>
      <c r="C3397" s="1" t="s">
        <v>11</v>
      </c>
      <c r="D3397" s="5">
        <v>45335.0</v>
      </c>
      <c r="G3397" s="1" t="str">
        <f>VLOOKUP(B3397,'old-aw-skill-plan'!A:I,7,FALSE)</f>
        <v>#N/A</v>
      </c>
      <c r="H3397" s="1" t="str">
        <f>VLOOKUP(B3397,'old-aw-skill-plan'!A:I,9,FALSE)</f>
        <v>#N/A</v>
      </c>
    </row>
    <row r="3398" ht="15.75" customHeight="1">
      <c r="A3398" s="1" t="s">
        <v>95</v>
      </c>
      <c r="B3398" s="1" t="s">
        <v>47</v>
      </c>
      <c r="C3398" s="1" t="s">
        <v>11</v>
      </c>
      <c r="D3398" s="5">
        <v>45335.0</v>
      </c>
      <c r="G3398" s="1">
        <f>VLOOKUP(B3398,'old-aw-skill-plan'!A:I,7,FALSE)</f>
        <v>3</v>
      </c>
      <c r="H3398" s="1" t="str">
        <f>VLOOKUP(B3398,'old-aw-skill-plan'!A:I,9,FALSE)</f>
        <v>3-2</v>
      </c>
    </row>
    <row r="3399" ht="15.75" customHeight="1">
      <c r="A3399" s="1" t="s">
        <v>211</v>
      </c>
      <c r="B3399" s="1" t="s">
        <v>33</v>
      </c>
      <c r="C3399" s="1" t="s">
        <v>11</v>
      </c>
      <c r="D3399" s="5">
        <v>45335.0</v>
      </c>
      <c r="G3399" s="1">
        <f>VLOOKUP(B3399,'old-aw-skill-plan'!A:I,7,FALSE)</f>
        <v>3</v>
      </c>
      <c r="H3399" s="1" t="str">
        <f>VLOOKUP(B3399,'old-aw-skill-plan'!A:I,9,FALSE)</f>
        <v>3-5</v>
      </c>
    </row>
    <row r="3400" ht="15.75" customHeight="1">
      <c r="A3400" s="1" t="s">
        <v>197</v>
      </c>
      <c r="B3400" s="1" t="s">
        <v>368</v>
      </c>
      <c r="C3400" s="1" t="s">
        <v>11</v>
      </c>
      <c r="D3400" s="5">
        <v>45335.0</v>
      </c>
      <c r="G3400" s="1">
        <f>VLOOKUP(B3400,'old-aw-skill-plan'!A:I,7,FALSE)</f>
        <v>4</v>
      </c>
      <c r="H3400" s="1" t="str">
        <f>VLOOKUP(B3400,'old-aw-skill-plan'!A:I,9,FALSE)</f>
        <v>4-10</v>
      </c>
    </row>
    <row r="3401" ht="15.75" customHeight="1">
      <c r="A3401" s="1" t="s">
        <v>197</v>
      </c>
      <c r="B3401" s="1" t="s">
        <v>308</v>
      </c>
      <c r="C3401" s="1" t="s">
        <v>11</v>
      </c>
      <c r="D3401" s="5">
        <v>45335.0</v>
      </c>
      <c r="G3401" s="1">
        <f>VLOOKUP(B3401,'old-aw-skill-plan'!A:I,7,FALSE)</f>
        <v>4</v>
      </c>
      <c r="H3401" s="1" t="str">
        <f>VLOOKUP(B3401,'old-aw-skill-plan'!A:I,9,FALSE)</f>
        <v>4-9</v>
      </c>
    </row>
    <row r="3402" ht="15.75" customHeight="1">
      <c r="A3402" s="1" t="s">
        <v>373</v>
      </c>
      <c r="B3402" s="1" t="s">
        <v>30</v>
      </c>
      <c r="C3402" s="1" t="s">
        <v>11</v>
      </c>
      <c r="D3402" s="5">
        <v>45335.0</v>
      </c>
      <c r="G3402" s="1">
        <f>VLOOKUP(B3402,'old-aw-skill-plan'!A:I,7,FALSE)</f>
        <v>3</v>
      </c>
      <c r="H3402" s="1" t="str">
        <f>VLOOKUP(B3402,'old-aw-skill-plan'!A:I,9,FALSE)</f>
        <v>3-3</v>
      </c>
    </row>
    <row r="3403" ht="15.75" customHeight="1">
      <c r="A3403" s="1" t="s">
        <v>235</v>
      </c>
      <c r="B3403" s="1" t="s">
        <v>103</v>
      </c>
      <c r="C3403" s="1" t="s">
        <v>11</v>
      </c>
      <c r="D3403" s="5">
        <v>45335.0</v>
      </c>
      <c r="G3403" s="1">
        <f>VLOOKUP(B3403,'old-aw-skill-plan'!A:I,7,FALSE)</f>
        <v>5</v>
      </c>
      <c r="H3403" s="1" t="str">
        <f>VLOOKUP(B3403,'old-aw-skill-plan'!A:I,9,FALSE)</f>
        <v>5-3</v>
      </c>
    </row>
    <row r="3404" ht="15.75" customHeight="1">
      <c r="A3404" s="1" t="s">
        <v>226</v>
      </c>
      <c r="B3404" s="1" t="s">
        <v>117</v>
      </c>
      <c r="C3404" s="1" t="s">
        <v>11</v>
      </c>
      <c r="D3404" s="5">
        <v>45335.0</v>
      </c>
      <c r="G3404" s="1">
        <f>VLOOKUP(B3404,'old-aw-skill-plan'!A:I,7,FALSE)</f>
        <v>3</v>
      </c>
      <c r="H3404" s="1" t="str">
        <f>VLOOKUP(B3404,'old-aw-skill-plan'!A:I,9,FALSE)</f>
        <v>3-11</v>
      </c>
    </row>
    <row r="3405" ht="15.75" customHeight="1">
      <c r="A3405" s="1" t="s">
        <v>226</v>
      </c>
      <c r="B3405" s="1" t="s">
        <v>445</v>
      </c>
      <c r="C3405" s="1" t="s">
        <v>11</v>
      </c>
      <c r="D3405" s="5">
        <v>45335.0</v>
      </c>
      <c r="G3405" s="1">
        <f>VLOOKUP(B3405,'old-aw-skill-plan'!A:I,7,FALSE)</f>
        <v>3</v>
      </c>
      <c r="H3405" s="1" t="str">
        <f>VLOOKUP(B3405,'old-aw-skill-plan'!A:I,9,FALSE)</f>
        <v>3-9</v>
      </c>
    </row>
    <row r="3406" ht="15.75" customHeight="1">
      <c r="A3406" s="1" t="s">
        <v>226</v>
      </c>
      <c r="B3406" s="1" t="s">
        <v>354</v>
      </c>
      <c r="C3406" s="1" t="s">
        <v>11</v>
      </c>
      <c r="D3406" s="5">
        <v>45335.0</v>
      </c>
      <c r="G3406" s="1">
        <f>VLOOKUP(B3406,'old-aw-skill-plan'!A:I,7,FALSE)</f>
        <v>3</v>
      </c>
      <c r="H3406" s="1" t="str">
        <f>VLOOKUP(B3406,'old-aw-skill-plan'!A:I,9,FALSE)</f>
        <v>3-7</v>
      </c>
    </row>
    <row r="3407" ht="15.75" customHeight="1">
      <c r="A3407" s="1" t="s">
        <v>226</v>
      </c>
      <c r="B3407" s="1" t="s">
        <v>438</v>
      </c>
      <c r="C3407" s="1" t="s">
        <v>11</v>
      </c>
      <c r="D3407" s="5">
        <v>45335.0</v>
      </c>
      <c r="G3407" s="1">
        <f>VLOOKUP(B3407,'old-aw-skill-plan'!A:I,7,FALSE)</f>
        <v>3</v>
      </c>
      <c r="H3407" s="1" t="str">
        <f>VLOOKUP(B3407,'old-aw-skill-plan'!A:I,9,FALSE)</f>
        <v>3-12</v>
      </c>
    </row>
    <row r="3408" ht="15.75" customHeight="1">
      <c r="A3408" s="1" t="s">
        <v>226</v>
      </c>
      <c r="B3408" s="1" t="s">
        <v>356</v>
      </c>
      <c r="C3408" s="1" t="s">
        <v>11</v>
      </c>
      <c r="D3408" s="5">
        <v>45335.0</v>
      </c>
      <c r="G3408" s="1">
        <f>VLOOKUP(B3408,'old-aw-skill-plan'!A:I,7,FALSE)</f>
        <v>3</v>
      </c>
      <c r="H3408" s="1" t="str">
        <f>VLOOKUP(B3408,'old-aw-skill-plan'!A:I,9,FALSE)</f>
        <v>3-2</v>
      </c>
    </row>
    <row r="3409" ht="15.75" customHeight="1">
      <c r="A3409" s="1" t="s">
        <v>93</v>
      </c>
      <c r="B3409" s="1" t="s">
        <v>117</v>
      </c>
      <c r="C3409" s="1" t="s">
        <v>11</v>
      </c>
      <c r="D3409" s="5">
        <v>45335.0</v>
      </c>
      <c r="G3409" s="1">
        <f>VLOOKUP(B3409,'old-aw-skill-plan'!A:I,7,FALSE)</f>
        <v>3</v>
      </c>
      <c r="H3409" s="1" t="str">
        <f>VLOOKUP(B3409,'old-aw-skill-plan'!A:I,9,FALSE)</f>
        <v>3-11</v>
      </c>
    </row>
    <row r="3410" ht="15.75" customHeight="1">
      <c r="A3410" s="1" t="s">
        <v>94</v>
      </c>
      <c r="B3410" s="1" t="s">
        <v>117</v>
      </c>
      <c r="C3410" s="1" t="s">
        <v>11</v>
      </c>
      <c r="D3410" s="5">
        <v>45335.0</v>
      </c>
      <c r="G3410" s="1">
        <f>VLOOKUP(B3410,'old-aw-skill-plan'!A:I,7,FALSE)</f>
        <v>3</v>
      </c>
      <c r="H3410" s="1" t="str">
        <f>VLOOKUP(B3410,'old-aw-skill-plan'!A:I,9,FALSE)</f>
        <v>3-11</v>
      </c>
    </row>
    <row r="3411" ht="15.75" customHeight="1">
      <c r="A3411" s="1" t="s">
        <v>225</v>
      </c>
      <c r="B3411" s="1" t="s">
        <v>370</v>
      </c>
      <c r="C3411" s="1" t="s">
        <v>11</v>
      </c>
      <c r="D3411" s="5">
        <v>45335.0</v>
      </c>
      <c r="G3411" s="1">
        <f>VLOOKUP(B3411,'old-aw-skill-plan'!A:I,7,FALSE)</f>
        <v>4</v>
      </c>
      <c r="H3411" s="1" t="str">
        <f>VLOOKUP(B3411,'old-aw-skill-plan'!A:I,9,FALSE)</f>
        <v>4-6</v>
      </c>
    </row>
    <row r="3412" ht="15.75" customHeight="1">
      <c r="A3412" s="1" t="s">
        <v>427</v>
      </c>
      <c r="B3412" s="1" t="s">
        <v>33</v>
      </c>
      <c r="C3412" s="1" t="s">
        <v>11</v>
      </c>
      <c r="D3412" s="5">
        <v>45335.0</v>
      </c>
      <c r="G3412" s="1">
        <f>VLOOKUP(B3412,'old-aw-skill-plan'!A:I,7,FALSE)</f>
        <v>3</v>
      </c>
      <c r="H3412" s="1" t="str">
        <f>VLOOKUP(B3412,'old-aw-skill-plan'!A:I,9,FALSE)</f>
        <v>3-5</v>
      </c>
    </row>
    <row r="3413" ht="15.75" customHeight="1">
      <c r="A3413" s="1" t="s">
        <v>436</v>
      </c>
      <c r="B3413" s="1" t="s">
        <v>115</v>
      </c>
      <c r="C3413" s="1" t="s">
        <v>11</v>
      </c>
      <c r="D3413" s="5">
        <v>45335.0</v>
      </c>
      <c r="G3413" s="1">
        <f>VLOOKUP(B3413,'old-aw-skill-plan'!A:I,7,FALSE)</f>
        <v>3</v>
      </c>
      <c r="H3413" s="1" t="str">
        <f>VLOOKUP(B3413,'old-aw-skill-plan'!A:I,9,FALSE)</f>
        <v>3-10</v>
      </c>
    </row>
    <row r="3414" ht="15.75" customHeight="1">
      <c r="A3414" s="1" t="s">
        <v>436</v>
      </c>
      <c r="B3414" s="1" t="s">
        <v>28</v>
      </c>
      <c r="C3414" s="1" t="s">
        <v>11</v>
      </c>
      <c r="D3414" s="5">
        <v>45335.0</v>
      </c>
      <c r="G3414" s="1">
        <f>VLOOKUP(B3414,'old-aw-skill-plan'!A:I,7,FALSE)</f>
        <v>3</v>
      </c>
      <c r="H3414" s="1" t="str">
        <f>VLOOKUP(B3414,'old-aw-skill-plan'!A:I,9,FALSE)</f>
        <v>3-4</v>
      </c>
    </row>
    <row r="3415" ht="15.75" customHeight="1">
      <c r="A3415" s="1" t="s">
        <v>436</v>
      </c>
      <c r="B3415" s="1" t="s">
        <v>116</v>
      </c>
      <c r="C3415" s="1" t="s">
        <v>11</v>
      </c>
      <c r="D3415" s="5">
        <v>45335.0</v>
      </c>
      <c r="G3415" s="1">
        <f>VLOOKUP(B3415,'old-aw-skill-plan'!A:I,7,FALSE)</f>
        <v>3</v>
      </c>
      <c r="H3415" s="1" t="str">
        <f>VLOOKUP(B3415,'old-aw-skill-plan'!A:I,9,FALSE)</f>
        <v>3-9</v>
      </c>
    </row>
    <row r="3416" ht="15.75" customHeight="1">
      <c r="A3416" s="1" t="s">
        <v>436</v>
      </c>
      <c r="B3416" s="1" t="s">
        <v>356</v>
      </c>
      <c r="C3416" s="1" t="s">
        <v>11</v>
      </c>
      <c r="D3416" s="5">
        <v>45335.0</v>
      </c>
      <c r="G3416" s="1">
        <f>VLOOKUP(B3416,'old-aw-skill-plan'!A:I,7,FALSE)</f>
        <v>3</v>
      </c>
      <c r="H3416" s="1" t="str">
        <f>VLOOKUP(B3416,'old-aw-skill-plan'!A:I,9,FALSE)</f>
        <v>3-2</v>
      </c>
    </row>
    <row r="3417" ht="15.75" customHeight="1">
      <c r="A3417" s="1" t="s">
        <v>110</v>
      </c>
      <c r="B3417" s="1" t="s">
        <v>10</v>
      </c>
      <c r="C3417" s="1" t="s">
        <v>11</v>
      </c>
      <c r="D3417" s="5">
        <v>45335.0</v>
      </c>
      <c r="G3417" s="1">
        <f>VLOOKUP(B3417,'old-aw-skill-plan'!A:I,7,FALSE)</f>
        <v>3</v>
      </c>
      <c r="H3417" s="1" t="str">
        <f>VLOOKUP(B3417,'old-aw-skill-plan'!A:I,9,FALSE)</f>
        <v>3-1</v>
      </c>
    </row>
    <row r="3418" ht="15.75" customHeight="1">
      <c r="A3418" s="1" t="s">
        <v>31</v>
      </c>
      <c r="B3418" s="1" t="s">
        <v>10</v>
      </c>
      <c r="C3418" s="1" t="s">
        <v>11</v>
      </c>
      <c r="D3418" s="5">
        <v>45334.0</v>
      </c>
      <c r="G3418" s="1">
        <f>VLOOKUP(B3418,'old-aw-skill-plan'!A:I,7,FALSE)</f>
        <v>3</v>
      </c>
      <c r="H3418" s="1" t="str">
        <f>VLOOKUP(B3418,'old-aw-skill-plan'!A:I,9,FALSE)</f>
        <v>3-1</v>
      </c>
    </row>
    <row r="3419" ht="15.75" customHeight="1">
      <c r="A3419" s="1" t="s">
        <v>216</v>
      </c>
      <c r="B3419" s="1" t="s">
        <v>97</v>
      </c>
      <c r="C3419" s="1" t="s">
        <v>11</v>
      </c>
      <c r="D3419" s="5">
        <v>45334.0</v>
      </c>
      <c r="G3419" s="1">
        <f>VLOOKUP(B3419,'old-aw-skill-plan'!A:I,7,FALSE)</f>
        <v>4</v>
      </c>
      <c r="H3419" s="1" t="str">
        <f>VLOOKUP(B3419,'old-aw-skill-plan'!A:I,9,FALSE)</f>
        <v>4-3</v>
      </c>
    </row>
    <row r="3420" ht="15.75" customHeight="1">
      <c r="A3420" s="1" t="s">
        <v>216</v>
      </c>
      <c r="B3420" s="1" t="s">
        <v>37</v>
      </c>
      <c r="C3420" s="1" t="s">
        <v>11</v>
      </c>
      <c r="D3420" s="5">
        <v>45334.0</v>
      </c>
      <c r="G3420" s="1">
        <f>VLOOKUP(B3420,'old-aw-skill-plan'!A:I,7,FALSE)</f>
        <v>4</v>
      </c>
      <c r="H3420" s="1" t="str">
        <f>VLOOKUP(B3420,'old-aw-skill-plan'!A:I,9,FALSE)</f>
        <v>4-2</v>
      </c>
    </row>
    <row r="3421" ht="15.75" customHeight="1">
      <c r="A3421" s="1" t="s">
        <v>213</v>
      </c>
      <c r="B3421" s="1" t="s">
        <v>10</v>
      </c>
      <c r="C3421" s="1" t="s">
        <v>11</v>
      </c>
      <c r="D3421" s="5">
        <v>45334.0</v>
      </c>
      <c r="G3421" s="1">
        <f>VLOOKUP(B3421,'old-aw-skill-plan'!A:I,7,FALSE)</f>
        <v>3</v>
      </c>
      <c r="H3421" s="1" t="str">
        <f>VLOOKUP(B3421,'old-aw-skill-plan'!A:I,9,FALSE)</f>
        <v>3-1</v>
      </c>
    </row>
    <row r="3422" ht="15.75" customHeight="1">
      <c r="A3422" s="1" t="s">
        <v>213</v>
      </c>
      <c r="B3422" s="1" t="s">
        <v>47</v>
      </c>
      <c r="C3422" s="1" t="s">
        <v>11</v>
      </c>
      <c r="D3422" s="5">
        <v>45334.0</v>
      </c>
      <c r="G3422" s="1">
        <f>VLOOKUP(B3422,'old-aw-skill-plan'!A:I,7,FALSE)</f>
        <v>3</v>
      </c>
      <c r="H3422" s="1" t="str">
        <f>VLOOKUP(B3422,'old-aw-skill-plan'!A:I,9,FALSE)</f>
        <v>3-2</v>
      </c>
    </row>
    <row r="3423" ht="15.75" customHeight="1">
      <c r="A3423" s="1" t="s">
        <v>36</v>
      </c>
      <c r="B3423" s="1" t="s">
        <v>33</v>
      </c>
      <c r="C3423" s="1" t="s">
        <v>11</v>
      </c>
      <c r="D3423" s="5">
        <v>45334.0</v>
      </c>
      <c r="G3423" s="1">
        <f>VLOOKUP(B3423,'old-aw-skill-plan'!A:I,7,FALSE)</f>
        <v>3</v>
      </c>
      <c r="H3423" s="1" t="str">
        <f>VLOOKUP(B3423,'old-aw-skill-plan'!A:I,9,FALSE)</f>
        <v>3-5</v>
      </c>
    </row>
    <row r="3424" ht="15.75" customHeight="1">
      <c r="A3424" s="1" t="s">
        <v>452</v>
      </c>
      <c r="B3424" s="1" t="s">
        <v>314</v>
      </c>
      <c r="C3424" s="1" t="s">
        <v>11</v>
      </c>
      <c r="D3424" s="5">
        <v>45334.0</v>
      </c>
      <c r="G3424" s="1">
        <f>VLOOKUP(B3424,'old-aw-skill-plan'!A:I,7,FALSE)</f>
        <v>5</v>
      </c>
      <c r="H3424" s="1" t="str">
        <f>VLOOKUP(B3424,'old-aw-skill-plan'!A:I,9,FALSE)</f>
        <v>5-10</v>
      </c>
    </row>
    <row r="3425" ht="15.75" customHeight="1">
      <c r="A3425" s="1" t="s">
        <v>237</v>
      </c>
      <c r="B3425" s="1" t="s">
        <v>354</v>
      </c>
      <c r="C3425" s="1" t="s">
        <v>11</v>
      </c>
      <c r="D3425" s="5">
        <v>45334.0</v>
      </c>
      <c r="G3425" s="1">
        <f>VLOOKUP(B3425,'old-aw-skill-plan'!A:I,7,FALSE)</f>
        <v>3</v>
      </c>
      <c r="H3425" s="1" t="str">
        <f>VLOOKUP(B3425,'old-aw-skill-plan'!A:I,9,FALSE)</f>
        <v>3-7</v>
      </c>
    </row>
    <row r="3426" ht="15.75" customHeight="1">
      <c r="A3426" s="1" t="s">
        <v>46</v>
      </c>
      <c r="B3426" s="1" t="s">
        <v>47</v>
      </c>
      <c r="C3426" s="1" t="s">
        <v>11</v>
      </c>
      <c r="D3426" s="5">
        <v>45334.0</v>
      </c>
      <c r="G3426" s="1">
        <f>VLOOKUP(B3426,'old-aw-skill-plan'!A:I,7,FALSE)</f>
        <v>3</v>
      </c>
      <c r="H3426" s="1" t="str">
        <f>VLOOKUP(B3426,'old-aw-skill-plan'!A:I,9,FALSE)</f>
        <v>3-2</v>
      </c>
    </row>
    <row r="3427" ht="15.75" customHeight="1">
      <c r="A3427" s="1" t="s">
        <v>230</v>
      </c>
      <c r="B3427" s="1" t="s">
        <v>30</v>
      </c>
      <c r="C3427" s="1" t="s">
        <v>11</v>
      </c>
      <c r="D3427" s="5">
        <v>45334.0</v>
      </c>
      <c r="G3427" s="1">
        <f>VLOOKUP(B3427,'old-aw-skill-plan'!A:I,7,FALSE)</f>
        <v>3</v>
      </c>
      <c r="H3427" s="1" t="str">
        <f>VLOOKUP(B3427,'old-aw-skill-plan'!A:I,9,FALSE)</f>
        <v>3-3</v>
      </c>
    </row>
    <row r="3428" ht="15.75" customHeight="1">
      <c r="A3428" s="1" t="s">
        <v>420</v>
      </c>
      <c r="B3428" s="1" t="s">
        <v>10</v>
      </c>
      <c r="C3428" s="1" t="s">
        <v>11</v>
      </c>
      <c r="D3428" s="5">
        <v>45334.0</v>
      </c>
      <c r="G3428" s="1">
        <f>VLOOKUP(B3428,'old-aw-skill-plan'!A:I,7,FALSE)</f>
        <v>3</v>
      </c>
      <c r="H3428" s="1" t="str">
        <f>VLOOKUP(B3428,'old-aw-skill-plan'!A:I,9,FALSE)</f>
        <v>3-1</v>
      </c>
    </row>
    <row r="3429" ht="15.75" customHeight="1">
      <c r="A3429" s="1" t="s">
        <v>431</v>
      </c>
      <c r="B3429" s="1" t="s">
        <v>414</v>
      </c>
      <c r="C3429" s="1" t="s">
        <v>11</v>
      </c>
      <c r="D3429" s="5">
        <v>45334.0</v>
      </c>
      <c r="G3429" s="1" t="str">
        <f>VLOOKUP(B3429,'old-aw-skill-plan'!A:I,7,FALSE)</f>
        <v>#N/A</v>
      </c>
      <c r="H3429" s="1" t="str">
        <f>VLOOKUP(B3429,'old-aw-skill-plan'!A:I,9,FALSE)</f>
        <v>#N/A</v>
      </c>
    </row>
    <row r="3430" ht="15.75" customHeight="1">
      <c r="A3430" s="1" t="s">
        <v>431</v>
      </c>
      <c r="B3430" s="1" t="s">
        <v>310</v>
      </c>
      <c r="C3430" s="1" t="s">
        <v>11</v>
      </c>
      <c r="D3430" s="5">
        <v>45334.0</v>
      </c>
      <c r="G3430" s="1" t="str">
        <f>VLOOKUP(B3430,'old-aw-skill-plan'!A:I,7,FALSE)</f>
        <v>#N/A</v>
      </c>
      <c r="H3430" s="1" t="str">
        <f>VLOOKUP(B3430,'old-aw-skill-plan'!A:I,9,FALSE)</f>
        <v>#N/A</v>
      </c>
    </row>
    <row r="3431" ht="15.75" customHeight="1">
      <c r="A3431" s="1" t="s">
        <v>95</v>
      </c>
      <c r="B3431" s="1" t="s">
        <v>47</v>
      </c>
      <c r="C3431" s="1" t="s">
        <v>11</v>
      </c>
      <c r="D3431" s="5">
        <v>45334.0</v>
      </c>
      <c r="G3431" s="1">
        <f>VLOOKUP(B3431,'old-aw-skill-plan'!A:I,7,FALSE)</f>
        <v>3</v>
      </c>
      <c r="H3431" s="1" t="str">
        <f>VLOOKUP(B3431,'old-aw-skill-plan'!A:I,9,FALSE)</f>
        <v>3-2</v>
      </c>
    </row>
    <row r="3432" ht="15.75" customHeight="1">
      <c r="A3432" s="1" t="s">
        <v>211</v>
      </c>
      <c r="B3432" s="1" t="s">
        <v>28</v>
      </c>
      <c r="C3432" s="1" t="s">
        <v>11</v>
      </c>
      <c r="D3432" s="5">
        <v>45334.0</v>
      </c>
      <c r="G3432" s="1">
        <f>VLOOKUP(B3432,'old-aw-skill-plan'!A:I,7,FALSE)</f>
        <v>3</v>
      </c>
      <c r="H3432" s="1" t="str">
        <f>VLOOKUP(B3432,'old-aw-skill-plan'!A:I,9,FALSE)</f>
        <v>3-4</v>
      </c>
    </row>
    <row r="3433" ht="15.75" customHeight="1">
      <c r="A3433" s="1" t="s">
        <v>211</v>
      </c>
      <c r="B3433" s="1" t="s">
        <v>33</v>
      </c>
      <c r="C3433" s="1" t="s">
        <v>11</v>
      </c>
      <c r="D3433" s="5">
        <v>45334.0</v>
      </c>
      <c r="G3433" s="1">
        <f>VLOOKUP(B3433,'old-aw-skill-plan'!A:I,7,FALSE)</f>
        <v>3</v>
      </c>
      <c r="H3433" s="1" t="str">
        <f>VLOOKUP(B3433,'old-aw-skill-plan'!A:I,9,FALSE)</f>
        <v>3-5</v>
      </c>
    </row>
    <row r="3434" ht="15.75" customHeight="1">
      <c r="A3434" s="1" t="s">
        <v>197</v>
      </c>
      <c r="B3434" s="1" t="s">
        <v>123</v>
      </c>
      <c r="C3434" s="1" t="s">
        <v>11</v>
      </c>
      <c r="D3434" s="5">
        <v>45334.0</v>
      </c>
      <c r="G3434" s="1">
        <f>VLOOKUP(B3434,'old-aw-skill-plan'!A:I,7,FALSE)</f>
        <v>4</v>
      </c>
      <c r="H3434" s="1" t="str">
        <f>VLOOKUP(B3434,'old-aw-skill-plan'!A:I,9,FALSE)</f>
        <v>4-12</v>
      </c>
    </row>
    <row r="3435" ht="15.75" customHeight="1">
      <c r="A3435" s="1" t="s">
        <v>197</v>
      </c>
      <c r="B3435" s="1" t="s">
        <v>308</v>
      </c>
      <c r="C3435" s="1" t="s">
        <v>11</v>
      </c>
      <c r="D3435" s="5">
        <v>45334.0</v>
      </c>
      <c r="G3435" s="1">
        <f>VLOOKUP(B3435,'old-aw-skill-plan'!A:I,7,FALSE)</f>
        <v>4</v>
      </c>
      <c r="H3435" s="1" t="str">
        <f>VLOOKUP(B3435,'old-aw-skill-plan'!A:I,9,FALSE)</f>
        <v>4-9</v>
      </c>
    </row>
    <row r="3436" ht="15.75" customHeight="1">
      <c r="A3436" s="1" t="s">
        <v>373</v>
      </c>
      <c r="B3436" s="1" t="s">
        <v>28</v>
      </c>
      <c r="C3436" s="1" t="s">
        <v>11</v>
      </c>
      <c r="D3436" s="5">
        <v>45334.0</v>
      </c>
      <c r="G3436" s="1">
        <f>VLOOKUP(B3436,'old-aw-skill-plan'!A:I,7,FALSE)</f>
        <v>3</v>
      </c>
      <c r="H3436" s="1" t="str">
        <f>VLOOKUP(B3436,'old-aw-skill-plan'!A:I,9,FALSE)</f>
        <v>3-4</v>
      </c>
    </row>
    <row r="3437" ht="15.75" customHeight="1">
      <c r="A3437" s="1" t="s">
        <v>373</v>
      </c>
      <c r="B3437" s="1" t="s">
        <v>10</v>
      </c>
      <c r="C3437" s="1" t="s">
        <v>11</v>
      </c>
      <c r="D3437" s="5">
        <v>45334.0</v>
      </c>
      <c r="G3437" s="1">
        <f>VLOOKUP(B3437,'old-aw-skill-plan'!A:I,7,FALSE)</f>
        <v>3</v>
      </c>
      <c r="H3437" s="1" t="str">
        <f>VLOOKUP(B3437,'old-aw-skill-plan'!A:I,9,FALSE)</f>
        <v>3-1</v>
      </c>
    </row>
    <row r="3438" ht="15.75" customHeight="1">
      <c r="A3438" s="1" t="s">
        <v>269</v>
      </c>
      <c r="B3438" s="1" t="s">
        <v>28</v>
      </c>
      <c r="C3438" s="1" t="s">
        <v>11</v>
      </c>
      <c r="D3438" s="5">
        <v>45334.0</v>
      </c>
      <c r="G3438" s="1">
        <f>VLOOKUP(B3438,'old-aw-skill-plan'!A:I,7,FALSE)</f>
        <v>3</v>
      </c>
      <c r="H3438" s="1" t="str">
        <f>VLOOKUP(B3438,'old-aw-skill-plan'!A:I,9,FALSE)</f>
        <v>3-4</v>
      </c>
    </row>
    <row r="3439" ht="15.75" customHeight="1">
      <c r="A3439" s="1" t="s">
        <v>269</v>
      </c>
      <c r="B3439" s="1" t="s">
        <v>116</v>
      </c>
      <c r="C3439" s="1" t="s">
        <v>11</v>
      </c>
      <c r="D3439" s="5">
        <v>45334.0</v>
      </c>
      <c r="G3439" s="1">
        <f>VLOOKUP(B3439,'old-aw-skill-plan'!A:I,7,FALSE)</f>
        <v>3</v>
      </c>
      <c r="H3439" s="1" t="str">
        <f>VLOOKUP(B3439,'old-aw-skill-plan'!A:I,9,FALSE)</f>
        <v>3-9</v>
      </c>
    </row>
    <row r="3440" ht="15.75" customHeight="1">
      <c r="A3440" s="1" t="s">
        <v>226</v>
      </c>
      <c r="B3440" s="1" t="s">
        <v>453</v>
      </c>
      <c r="C3440" s="1" t="s">
        <v>11</v>
      </c>
      <c r="D3440" s="5">
        <v>45334.0</v>
      </c>
      <c r="G3440" s="1">
        <f>VLOOKUP(B3440,'old-aw-skill-plan'!A:I,7,FALSE)</f>
        <v>3</v>
      </c>
      <c r="H3440" s="1" t="str">
        <f>VLOOKUP(B3440,'old-aw-skill-plan'!A:I,9,FALSE)</f>
        <v>3-4</v>
      </c>
    </row>
    <row r="3441" ht="15.75" customHeight="1">
      <c r="A3441" s="1" t="s">
        <v>226</v>
      </c>
      <c r="B3441" s="1" t="s">
        <v>443</v>
      </c>
      <c r="C3441" s="1" t="s">
        <v>11</v>
      </c>
      <c r="D3441" s="5">
        <v>45334.0</v>
      </c>
      <c r="G3441" s="1">
        <f>VLOOKUP(B3441,'old-aw-skill-plan'!A:I,7,FALSE)</f>
        <v>3</v>
      </c>
      <c r="H3441" s="1" t="str">
        <f>VLOOKUP(B3441,'old-aw-skill-plan'!A:I,9,FALSE)</f>
        <v>3-5</v>
      </c>
    </row>
    <row r="3442" ht="15.75" customHeight="1">
      <c r="A3442" s="1" t="s">
        <v>93</v>
      </c>
      <c r="B3442" s="1" t="s">
        <v>117</v>
      </c>
      <c r="C3442" s="1" t="s">
        <v>11</v>
      </c>
      <c r="D3442" s="5">
        <v>45334.0</v>
      </c>
      <c r="G3442" s="1">
        <f>VLOOKUP(B3442,'old-aw-skill-plan'!A:I,7,FALSE)</f>
        <v>3</v>
      </c>
      <c r="H3442" s="1" t="str">
        <f>VLOOKUP(B3442,'old-aw-skill-plan'!A:I,9,FALSE)</f>
        <v>3-11</v>
      </c>
    </row>
    <row r="3443" ht="15.75" customHeight="1">
      <c r="A3443" s="1" t="s">
        <v>94</v>
      </c>
      <c r="B3443" s="1" t="s">
        <v>117</v>
      </c>
      <c r="C3443" s="1" t="s">
        <v>11</v>
      </c>
      <c r="D3443" s="5">
        <v>45334.0</v>
      </c>
      <c r="G3443" s="1">
        <f>VLOOKUP(B3443,'old-aw-skill-plan'!A:I,7,FALSE)</f>
        <v>3</v>
      </c>
      <c r="H3443" s="1" t="str">
        <f>VLOOKUP(B3443,'old-aw-skill-plan'!A:I,9,FALSE)</f>
        <v>3-11</v>
      </c>
    </row>
    <row r="3444" ht="15.75" customHeight="1">
      <c r="A3444" s="1" t="s">
        <v>427</v>
      </c>
      <c r="B3444" s="1" t="s">
        <v>28</v>
      </c>
      <c r="C3444" s="1" t="s">
        <v>11</v>
      </c>
      <c r="D3444" s="5">
        <v>45334.0</v>
      </c>
      <c r="G3444" s="1">
        <f>VLOOKUP(B3444,'old-aw-skill-plan'!A:I,7,FALSE)</f>
        <v>3</v>
      </c>
      <c r="H3444" s="1" t="str">
        <f>VLOOKUP(B3444,'old-aw-skill-plan'!A:I,9,FALSE)</f>
        <v>3-4</v>
      </c>
    </row>
    <row r="3445" ht="15.75" customHeight="1">
      <c r="A3445" s="1" t="s">
        <v>427</v>
      </c>
      <c r="B3445" s="1" t="s">
        <v>33</v>
      </c>
      <c r="C3445" s="1" t="s">
        <v>11</v>
      </c>
      <c r="D3445" s="5">
        <v>45334.0</v>
      </c>
      <c r="G3445" s="1">
        <f>VLOOKUP(B3445,'old-aw-skill-plan'!A:I,7,FALSE)</f>
        <v>3</v>
      </c>
      <c r="H3445" s="1" t="str">
        <f>VLOOKUP(B3445,'old-aw-skill-plan'!A:I,9,FALSE)</f>
        <v>3-5</v>
      </c>
    </row>
    <row r="3446" ht="15.75" customHeight="1">
      <c r="A3446" s="1" t="s">
        <v>110</v>
      </c>
      <c r="B3446" s="1" t="s">
        <v>10</v>
      </c>
      <c r="C3446" s="1" t="s">
        <v>11</v>
      </c>
      <c r="D3446" s="5">
        <v>45334.0</v>
      </c>
      <c r="G3446" s="1">
        <f>VLOOKUP(B3446,'old-aw-skill-plan'!A:I,7,FALSE)</f>
        <v>3</v>
      </c>
      <c r="H3446" s="1" t="str">
        <f>VLOOKUP(B3446,'old-aw-skill-plan'!A:I,9,FALSE)</f>
        <v>3-1</v>
      </c>
    </row>
    <row r="3447" ht="15.75" customHeight="1">
      <c r="A3447" s="1" t="s">
        <v>110</v>
      </c>
      <c r="B3447" s="1" t="s">
        <v>118</v>
      </c>
      <c r="C3447" s="1" t="s">
        <v>11</v>
      </c>
      <c r="D3447" s="5">
        <v>45334.0</v>
      </c>
      <c r="G3447" s="1">
        <f>VLOOKUP(B3447,'old-aw-skill-plan'!A:I,7,FALSE)</f>
        <v>3</v>
      </c>
      <c r="H3447" s="1" t="str">
        <f>VLOOKUP(B3447,'old-aw-skill-plan'!A:I,9,FALSE)</f>
        <v>3-12</v>
      </c>
    </row>
    <row r="3448" ht="15.75" customHeight="1">
      <c r="A3448" s="1" t="s">
        <v>434</v>
      </c>
      <c r="B3448" s="1" t="s">
        <v>117</v>
      </c>
      <c r="C3448" s="1" t="s">
        <v>11</v>
      </c>
      <c r="D3448" s="5">
        <v>45333.0</v>
      </c>
      <c r="G3448" s="1">
        <f>VLOOKUP(B3448,'old-aw-skill-plan'!A:I,7,FALSE)</f>
        <v>3</v>
      </c>
      <c r="H3448" s="1" t="str">
        <f>VLOOKUP(B3448,'old-aw-skill-plan'!A:I,9,FALSE)</f>
        <v>3-11</v>
      </c>
    </row>
    <row r="3449" ht="15.75" customHeight="1">
      <c r="A3449" s="1" t="s">
        <v>454</v>
      </c>
      <c r="B3449" s="1" t="s">
        <v>115</v>
      </c>
      <c r="C3449" s="1" t="s">
        <v>11</v>
      </c>
      <c r="D3449" s="5">
        <v>45333.0</v>
      </c>
      <c r="G3449" s="1">
        <f>VLOOKUP(B3449,'old-aw-skill-plan'!A:I,7,FALSE)</f>
        <v>3</v>
      </c>
      <c r="H3449" s="1" t="str">
        <f>VLOOKUP(B3449,'old-aw-skill-plan'!A:I,9,FALSE)</f>
        <v>3-10</v>
      </c>
    </row>
    <row r="3450" ht="15.75" customHeight="1">
      <c r="A3450" s="1" t="s">
        <v>454</v>
      </c>
      <c r="B3450" s="1" t="s">
        <v>118</v>
      </c>
      <c r="C3450" s="1" t="s">
        <v>11</v>
      </c>
      <c r="D3450" s="5">
        <v>45333.0</v>
      </c>
      <c r="G3450" s="1">
        <f>VLOOKUP(B3450,'old-aw-skill-plan'!A:I,7,FALSE)</f>
        <v>3</v>
      </c>
      <c r="H3450" s="1" t="str">
        <f>VLOOKUP(B3450,'old-aw-skill-plan'!A:I,9,FALSE)</f>
        <v>3-12</v>
      </c>
    </row>
    <row r="3451" ht="15.75" customHeight="1">
      <c r="A3451" s="1" t="s">
        <v>454</v>
      </c>
      <c r="B3451" s="1" t="s">
        <v>438</v>
      </c>
      <c r="C3451" s="1" t="s">
        <v>11</v>
      </c>
      <c r="D3451" s="5">
        <v>45333.0</v>
      </c>
      <c r="G3451" s="1">
        <f>VLOOKUP(B3451,'old-aw-skill-plan'!A:I,7,FALSE)</f>
        <v>3</v>
      </c>
      <c r="H3451" s="1" t="str">
        <f>VLOOKUP(B3451,'old-aw-skill-plan'!A:I,9,FALSE)</f>
        <v>3-12</v>
      </c>
    </row>
    <row r="3452" ht="15.75" customHeight="1">
      <c r="A3452" s="1" t="s">
        <v>454</v>
      </c>
      <c r="B3452" s="1" t="s">
        <v>34</v>
      </c>
      <c r="C3452" s="1" t="s">
        <v>11</v>
      </c>
      <c r="D3452" s="5">
        <v>45333.0</v>
      </c>
      <c r="G3452" s="1">
        <f>VLOOKUP(B3452,'old-aw-skill-plan'!A:I,7,FALSE)</f>
        <v>4</v>
      </c>
      <c r="H3452" s="1" t="str">
        <f>VLOOKUP(B3452,'old-aw-skill-plan'!A:I,9,FALSE)</f>
        <v>4-1</v>
      </c>
    </row>
    <row r="3453" ht="15.75" customHeight="1">
      <c r="A3453" s="1" t="s">
        <v>434</v>
      </c>
      <c r="B3453" s="1" t="s">
        <v>117</v>
      </c>
      <c r="C3453" s="1" t="s">
        <v>11</v>
      </c>
      <c r="D3453" s="5">
        <v>45332.0</v>
      </c>
      <c r="G3453" s="1">
        <f>VLOOKUP(B3453,'old-aw-skill-plan'!A:I,7,FALSE)</f>
        <v>3</v>
      </c>
      <c r="H3453" s="1" t="str">
        <f>VLOOKUP(B3453,'old-aw-skill-plan'!A:I,9,FALSE)</f>
        <v>3-11</v>
      </c>
    </row>
    <row r="3454" ht="15.75" customHeight="1">
      <c r="A3454" s="1" t="s">
        <v>22</v>
      </c>
      <c r="B3454" s="1" t="s">
        <v>19</v>
      </c>
      <c r="C3454" s="1" t="s">
        <v>11</v>
      </c>
      <c r="D3454" s="5">
        <v>45331.0</v>
      </c>
      <c r="G3454" s="1">
        <f>VLOOKUP(B3454,'old-aw-skill-plan'!A:I,7,FALSE)</f>
        <v>4</v>
      </c>
      <c r="H3454" s="1" t="str">
        <f>VLOOKUP(B3454,'old-aw-skill-plan'!A:I,9,FALSE)</f>
        <v>4-7</v>
      </c>
    </row>
    <row r="3455" ht="15.75" customHeight="1">
      <c r="A3455" s="1" t="s">
        <v>31</v>
      </c>
      <c r="B3455" s="1" t="s">
        <v>10</v>
      </c>
      <c r="C3455" s="1" t="s">
        <v>11</v>
      </c>
      <c r="D3455" s="5">
        <v>45331.0</v>
      </c>
      <c r="G3455" s="1">
        <f>VLOOKUP(B3455,'old-aw-skill-plan'!A:I,7,FALSE)</f>
        <v>3</v>
      </c>
      <c r="H3455" s="1" t="str">
        <f>VLOOKUP(B3455,'old-aw-skill-plan'!A:I,9,FALSE)</f>
        <v>3-1</v>
      </c>
    </row>
    <row r="3456" ht="15.75" customHeight="1">
      <c r="A3456" s="1" t="s">
        <v>216</v>
      </c>
      <c r="B3456" s="1" t="s">
        <v>34</v>
      </c>
      <c r="C3456" s="1" t="s">
        <v>11</v>
      </c>
      <c r="D3456" s="5">
        <v>45331.0</v>
      </c>
      <c r="G3456" s="1">
        <f>VLOOKUP(B3456,'old-aw-skill-plan'!A:I,7,FALSE)</f>
        <v>4</v>
      </c>
      <c r="H3456" s="1" t="str">
        <f>VLOOKUP(B3456,'old-aw-skill-plan'!A:I,9,FALSE)</f>
        <v>4-1</v>
      </c>
    </row>
    <row r="3457" ht="15.75" customHeight="1">
      <c r="A3457" s="1" t="s">
        <v>24</v>
      </c>
      <c r="B3457" s="1" t="s">
        <v>37</v>
      </c>
      <c r="C3457" s="1" t="s">
        <v>11</v>
      </c>
      <c r="D3457" s="5">
        <v>45331.0</v>
      </c>
      <c r="G3457" s="1">
        <f>VLOOKUP(B3457,'old-aw-skill-plan'!A:I,7,FALSE)</f>
        <v>4</v>
      </c>
      <c r="H3457" s="1" t="str">
        <f>VLOOKUP(B3457,'old-aw-skill-plan'!A:I,9,FALSE)</f>
        <v>4-2</v>
      </c>
    </row>
    <row r="3458" ht="15.75" customHeight="1">
      <c r="A3458" s="1" t="s">
        <v>213</v>
      </c>
      <c r="B3458" s="1" t="s">
        <v>10</v>
      </c>
      <c r="C3458" s="1" t="s">
        <v>11</v>
      </c>
      <c r="D3458" s="5">
        <v>45331.0</v>
      </c>
      <c r="G3458" s="1">
        <f>VLOOKUP(B3458,'old-aw-skill-plan'!A:I,7,FALSE)</f>
        <v>3</v>
      </c>
      <c r="H3458" s="1" t="str">
        <f>VLOOKUP(B3458,'old-aw-skill-plan'!A:I,9,FALSE)</f>
        <v>3-1</v>
      </c>
    </row>
    <row r="3459" ht="15.75" customHeight="1">
      <c r="A3459" s="1" t="s">
        <v>213</v>
      </c>
      <c r="B3459" s="1" t="s">
        <v>47</v>
      </c>
      <c r="C3459" s="1" t="s">
        <v>11</v>
      </c>
      <c r="D3459" s="5">
        <v>45331.0</v>
      </c>
      <c r="G3459" s="1">
        <f>VLOOKUP(B3459,'old-aw-skill-plan'!A:I,7,FALSE)</f>
        <v>3</v>
      </c>
      <c r="H3459" s="1" t="str">
        <f>VLOOKUP(B3459,'old-aw-skill-plan'!A:I,9,FALSE)</f>
        <v>3-2</v>
      </c>
    </row>
    <row r="3460" ht="15.75" customHeight="1">
      <c r="A3460" s="1" t="s">
        <v>199</v>
      </c>
      <c r="B3460" s="1" t="s">
        <v>34</v>
      </c>
      <c r="C3460" s="1" t="s">
        <v>11</v>
      </c>
      <c r="D3460" s="5">
        <v>45331.0</v>
      </c>
      <c r="G3460" s="1">
        <f>VLOOKUP(B3460,'old-aw-skill-plan'!A:I,7,FALSE)</f>
        <v>4</v>
      </c>
      <c r="H3460" s="1" t="str">
        <f>VLOOKUP(B3460,'old-aw-skill-plan'!A:I,9,FALSE)</f>
        <v>4-1</v>
      </c>
    </row>
    <row r="3461" ht="15.75" customHeight="1">
      <c r="A3461" s="1" t="s">
        <v>36</v>
      </c>
      <c r="B3461" s="1" t="s">
        <v>33</v>
      </c>
      <c r="C3461" s="1" t="s">
        <v>11</v>
      </c>
      <c r="D3461" s="5">
        <v>45331.0</v>
      </c>
      <c r="G3461" s="1">
        <f>VLOOKUP(B3461,'old-aw-skill-plan'!A:I,7,FALSE)</f>
        <v>3</v>
      </c>
      <c r="H3461" s="1" t="str">
        <f>VLOOKUP(B3461,'old-aw-skill-plan'!A:I,9,FALSE)</f>
        <v>3-5</v>
      </c>
    </row>
    <row r="3462" ht="15.75" customHeight="1">
      <c r="A3462" s="1" t="s">
        <v>237</v>
      </c>
      <c r="B3462" s="1" t="s">
        <v>58</v>
      </c>
      <c r="C3462" s="1" t="s">
        <v>11</v>
      </c>
      <c r="D3462" s="5">
        <v>45331.0</v>
      </c>
      <c r="G3462" s="1">
        <f>VLOOKUP(B3462,'old-aw-skill-plan'!A:I,7,FALSE)</f>
        <v>3</v>
      </c>
      <c r="H3462" s="1" t="str">
        <f>VLOOKUP(B3462,'old-aw-skill-plan'!A:I,9,FALSE)</f>
        <v>3-8</v>
      </c>
    </row>
    <row r="3463" ht="15.75" customHeight="1">
      <c r="A3463" s="1" t="s">
        <v>237</v>
      </c>
      <c r="B3463" s="1" t="s">
        <v>354</v>
      </c>
      <c r="C3463" s="1" t="s">
        <v>11</v>
      </c>
      <c r="D3463" s="5">
        <v>45331.0</v>
      </c>
      <c r="G3463" s="1">
        <f>VLOOKUP(B3463,'old-aw-skill-plan'!A:I,7,FALSE)</f>
        <v>3</v>
      </c>
      <c r="H3463" s="1" t="str">
        <f>VLOOKUP(B3463,'old-aw-skill-plan'!A:I,9,FALSE)</f>
        <v>3-7</v>
      </c>
    </row>
    <row r="3464" ht="15.75" customHeight="1">
      <c r="A3464" s="1" t="s">
        <v>237</v>
      </c>
      <c r="B3464" s="1" t="s">
        <v>443</v>
      </c>
      <c r="C3464" s="1" t="s">
        <v>11</v>
      </c>
      <c r="D3464" s="5">
        <v>45331.0</v>
      </c>
      <c r="G3464" s="1">
        <f>VLOOKUP(B3464,'old-aw-skill-plan'!A:I,7,FALSE)</f>
        <v>3</v>
      </c>
      <c r="H3464" s="1" t="str">
        <f>VLOOKUP(B3464,'old-aw-skill-plan'!A:I,9,FALSE)</f>
        <v>3-5</v>
      </c>
    </row>
    <row r="3465" ht="15.75" customHeight="1">
      <c r="A3465" s="1" t="s">
        <v>237</v>
      </c>
      <c r="B3465" s="1" t="s">
        <v>450</v>
      </c>
      <c r="C3465" s="1" t="s">
        <v>11</v>
      </c>
      <c r="D3465" s="5">
        <v>45331.0</v>
      </c>
      <c r="G3465" s="1">
        <f>VLOOKUP(B3465,'old-aw-skill-plan'!A:I,7,FALSE)</f>
        <v>3</v>
      </c>
      <c r="H3465" s="1" t="str">
        <f>VLOOKUP(B3465,'old-aw-skill-plan'!A:I,9,FALSE)</f>
        <v>3-4</v>
      </c>
    </row>
    <row r="3466" ht="15.75" customHeight="1">
      <c r="A3466" s="1" t="s">
        <v>237</v>
      </c>
      <c r="B3466" s="1" t="s">
        <v>377</v>
      </c>
      <c r="C3466" s="1" t="s">
        <v>11</v>
      </c>
      <c r="D3466" s="5">
        <v>45331.0</v>
      </c>
      <c r="G3466" s="1">
        <f>VLOOKUP(B3466,'old-aw-skill-plan'!A:I,7,FALSE)</f>
        <v>3</v>
      </c>
      <c r="H3466" s="1" t="str">
        <f>VLOOKUP(B3466,'old-aw-skill-plan'!A:I,9,FALSE)</f>
        <v>3-3</v>
      </c>
    </row>
    <row r="3467" ht="15.75" customHeight="1">
      <c r="A3467" s="1" t="s">
        <v>237</v>
      </c>
      <c r="B3467" s="1" t="s">
        <v>97</v>
      </c>
      <c r="C3467" s="1" t="s">
        <v>11</v>
      </c>
      <c r="D3467" s="5">
        <v>45331.0</v>
      </c>
      <c r="G3467" s="1">
        <f>VLOOKUP(B3467,'old-aw-skill-plan'!A:I,7,FALSE)</f>
        <v>4</v>
      </c>
      <c r="H3467" s="1" t="str">
        <f>VLOOKUP(B3467,'old-aw-skill-plan'!A:I,9,FALSE)</f>
        <v>4-3</v>
      </c>
    </row>
    <row r="3468" ht="15.75" customHeight="1">
      <c r="A3468" s="1" t="s">
        <v>421</v>
      </c>
      <c r="B3468" s="1" t="s">
        <v>44</v>
      </c>
      <c r="C3468" s="1" t="s">
        <v>11</v>
      </c>
      <c r="D3468" s="5">
        <v>45331.0</v>
      </c>
      <c r="G3468" s="1">
        <f>VLOOKUP(B3468,'old-aw-skill-plan'!A:I,7,FALSE)</f>
        <v>5</v>
      </c>
      <c r="H3468" s="1" t="str">
        <f>VLOOKUP(B3468,'old-aw-skill-plan'!A:I,9,FALSE)</f>
        <v>5-1</v>
      </c>
    </row>
    <row r="3469" ht="15.75" customHeight="1">
      <c r="A3469" s="1" t="s">
        <v>428</v>
      </c>
      <c r="B3469" s="1" t="s">
        <v>66</v>
      </c>
      <c r="C3469" s="1" t="s">
        <v>11</v>
      </c>
      <c r="D3469" s="5">
        <v>45331.0</v>
      </c>
      <c r="G3469" s="1">
        <f>VLOOKUP(B3469,'old-aw-skill-plan'!A:I,7,FALSE)</f>
        <v>4</v>
      </c>
      <c r="H3469" s="1" t="str">
        <f>VLOOKUP(B3469,'old-aw-skill-plan'!A:I,9,FALSE)</f>
        <v>4-9</v>
      </c>
    </row>
    <row r="3470" ht="15.75" customHeight="1">
      <c r="A3470" s="1" t="s">
        <v>420</v>
      </c>
      <c r="B3470" s="1" t="s">
        <v>10</v>
      </c>
      <c r="C3470" s="1" t="s">
        <v>11</v>
      </c>
      <c r="D3470" s="5">
        <v>45331.0</v>
      </c>
      <c r="G3470" s="1">
        <f>VLOOKUP(B3470,'old-aw-skill-plan'!A:I,7,FALSE)</f>
        <v>3</v>
      </c>
      <c r="H3470" s="1" t="str">
        <f>VLOOKUP(B3470,'old-aw-skill-plan'!A:I,9,FALSE)</f>
        <v>3-1</v>
      </c>
    </row>
    <row r="3471" ht="15.75" customHeight="1">
      <c r="A3471" s="1" t="s">
        <v>431</v>
      </c>
      <c r="B3471" s="1" t="s">
        <v>455</v>
      </c>
      <c r="C3471" s="1" t="s">
        <v>11</v>
      </c>
      <c r="D3471" s="5">
        <v>45331.0</v>
      </c>
      <c r="G3471" s="1" t="str">
        <f>VLOOKUP(B3471,'old-aw-skill-plan'!A:I,7,FALSE)</f>
        <v>#N/A</v>
      </c>
      <c r="H3471" s="1" t="str">
        <f>VLOOKUP(B3471,'old-aw-skill-plan'!A:I,9,FALSE)</f>
        <v>#N/A</v>
      </c>
    </row>
    <row r="3472" ht="15.75" customHeight="1">
      <c r="A3472" s="1" t="s">
        <v>275</v>
      </c>
      <c r="B3472" s="1" t="s">
        <v>34</v>
      </c>
      <c r="C3472" s="1" t="s">
        <v>11</v>
      </c>
      <c r="D3472" s="5">
        <v>45331.0</v>
      </c>
      <c r="G3472" s="1">
        <f>VLOOKUP(B3472,'old-aw-skill-plan'!A:I,7,FALSE)</f>
        <v>4</v>
      </c>
      <c r="H3472" s="1" t="str">
        <f>VLOOKUP(B3472,'old-aw-skill-plan'!A:I,9,FALSE)</f>
        <v>4-1</v>
      </c>
    </row>
    <row r="3473" ht="15.75" customHeight="1">
      <c r="A3473" s="1" t="s">
        <v>203</v>
      </c>
      <c r="B3473" s="1" t="s">
        <v>104</v>
      </c>
      <c r="C3473" s="1" t="s">
        <v>11</v>
      </c>
      <c r="D3473" s="5">
        <v>45331.0</v>
      </c>
      <c r="G3473" s="1">
        <f>VLOOKUP(B3473,'old-aw-skill-plan'!A:I,7,FALSE)</f>
        <v>5</v>
      </c>
      <c r="H3473" s="1" t="str">
        <f>VLOOKUP(B3473,'old-aw-skill-plan'!A:I,9,FALSE)</f>
        <v>5-2</v>
      </c>
    </row>
    <row r="3474" ht="15.75" customHeight="1">
      <c r="A3474" s="1" t="s">
        <v>95</v>
      </c>
      <c r="B3474" s="1" t="s">
        <v>47</v>
      </c>
      <c r="C3474" s="1" t="s">
        <v>11</v>
      </c>
      <c r="D3474" s="5">
        <v>45331.0</v>
      </c>
      <c r="G3474" s="1">
        <f>VLOOKUP(B3474,'old-aw-skill-plan'!A:I,7,FALSE)</f>
        <v>3</v>
      </c>
      <c r="H3474" s="1" t="str">
        <f>VLOOKUP(B3474,'old-aw-skill-plan'!A:I,9,FALSE)</f>
        <v>3-2</v>
      </c>
    </row>
    <row r="3475" ht="15.75" customHeight="1">
      <c r="A3475" s="1" t="s">
        <v>211</v>
      </c>
      <c r="B3475" s="1" t="s">
        <v>28</v>
      </c>
      <c r="C3475" s="1" t="s">
        <v>11</v>
      </c>
      <c r="D3475" s="5">
        <v>45331.0</v>
      </c>
      <c r="G3475" s="1">
        <f>VLOOKUP(B3475,'old-aw-skill-plan'!A:I,7,FALSE)</f>
        <v>3</v>
      </c>
      <c r="H3475" s="1" t="str">
        <f>VLOOKUP(B3475,'old-aw-skill-plan'!A:I,9,FALSE)</f>
        <v>3-4</v>
      </c>
    </row>
    <row r="3476" ht="15.75" customHeight="1">
      <c r="A3476" s="1" t="s">
        <v>211</v>
      </c>
      <c r="B3476" s="1" t="s">
        <v>10</v>
      </c>
      <c r="C3476" s="1" t="s">
        <v>11</v>
      </c>
      <c r="D3476" s="5">
        <v>45331.0</v>
      </c>
      <c r="G3476" s="1">
        <f>VLOOKUP(B3476,'old-aw-skill-plan'!A:I,7,FALSE)</f>
        <v>3</v>
      </c>
      <c r="H3476" s="1" t="str">
        <f>VLOOKUP(B3476,'old-aw-skill-plan'!A:I,9,FALSE)</f>
        <v>3-1</v>
      </c>
    </row>
    <row r="3477" ht="15.75" customHeight="1">
      <c r="A3477" s="1" t="s">
        <v>211</v>
      </c>
      <c r="B3477" s="1" t="s">
        <v>47</v>
      </c>
      <c r="C3477" s="1" t="s">
        <v>11</v>
      </c>
      <c r="D3477" s="5">
        <v>45331.0</v>
      </c>
      <c r="G3477" s="1">
        <f>VLOOKUP(B3477,'old-aw-skill-plan'!A:I,7,FALSE)</f>
        <v>3</v>
      </c>
      <c r="H3477" s="1" t="str">
        <f>VLOOKUP(B3477,'old-aw-skill-plan'!A:I,9,FALSE)</f>
        <v>3-2</v>
      </c>
    </row>
    <row r="3478" ht="15.75" customHeight="1">
      <c r="A3478" s="1" t="s">
        <v>197</v>
      </c>
      <c r="B3478" s="1" t="s">
        <v>123</v>
      </c>
      <c r="C3478" s="1" t="s">
        <v>11</v>
      </c>
      <c r="D3478" s="5">
        <v>45331.0</v>
      </c>
      <c r="G3478" s="1">
        <f>VLOOKUP(B3478,'old-aw-skill-plan'!A:I,7,FALSE)</f>
        <v>4</v>
      </c>
      <c r="H3478" s="1" t="str">
        <f>VLOOKUP(B3478,'old-aw-skill-plan'!A:I,9,FALSE)</f>
        <v>4-12</v>
      </c>
    </row>
    <row r="3479" ht="15.75" customHeight="1">
      <c r="A3479" s="1" t="s">
        <v>197</v>
      </c>
      <c r="B3479" s="1" t="s">
        <v>308</v>
      </c>
      <c r="C3479" s="1" t="s">
        <v>11</v>
      </c>
      <c r="D3479" s="5">
        <v>45331.0</v>
      </c>
      <c r="G3479" s="1">
        <f>VLOOKUP(B3479,'old-aw-skill-plan'!A:I,7,FALSE)</f>
        <v>4</v>
      </c>
      <c r="H3479" s="1" t="str">
        <f>VLOOKUP(B3479,'old-aw-skill-plan'!A:I,9,FALSE)</f>
        <v>4-9</v>
      </c>
    </row>
    <row r="3480" ht="15.75" customHeight="1">
      <c r="A3480" s="1" t="s">
        <v>373</v>
      </c>
      <c r="B3480" s="1" t="s">
        <v>10</v>
      </c>
      <c r="C3480" s="1" t="s">
        <v>11</v>
      </c>
      <c r="D3480" s="5">
        <v>45331.0</v>
      </c>
      <c r="G3480" s="1">
        <f>VLOOKUP(B3480,'old-aw-skill-plan'!A:I,7,FALSE)</f>
        <v>3</v>
      </c>
      <c r="H3480" s="1" t="str">
        <f>VLOOKUP(B3480,'old-aw-skill-plan'!A:I,9,FALSE)</f>
        <v>3-1</v>
      </c>
    </row>
    <row r="3481" ht="15.75" customHeight="1">
      <c r="A3481" s="1" t="s">
        <v>373</v>
      </c>
      <c r="B3481" s="1" t="s">
        <v>30</v>
      </c>
      <c r="C3481" s="1" t="s">
        <v>11</v>
      </c>
      <c r="D3481" s="5">
        <v>45331.0</v>
      </c>
      <c r="G3481" s="1">
        <f>VLOOKUP(B3481,'old-aw-skill-plan'!A:I,7,FALSE)</f>
        <v>3</v>
      </c>
      <c r="H3481" s="1" t="str">
        <f>VLOOKUP(B3481,'old-aw-skill-plan'!A:I,9,FALSE)</f>
        <v>3-3</v>
      </c>
    </row>
    <row r="3482" ht="15.75" customHeight="1">
      <c r="A3482" s="1" t="s">
        <v>373</v>
      </c>
      <c r="B3482" s="1" t="s">
        <v>47</v>
      </c>
      <c r="C3482" s="1" t="s">
        <v>11</v>
      </c>
      <c r="D3482" s="5">
        <v>45331.0</v>
      </c>
      <c r="G3482" s="1">
        <f>VLOOKUP(B3482,'old-aw-skill-plan'!A:I,7,FALSE)</f>
        <v>3</v>
      </c>
      <c r="H3482" s="1" t="str">
        <f>VLOOKUP(B3482,'old-aw-skill-plan'!A:I,9,FALSE)</f>
        <v>3-2</v>
      </c>
    </row>
    <row r="3483" ht="15.75" customHeight="1">
      <c r="A3483" s="1" t="s">
        <v>235</v>
      </c>
      <c r="B3483" s="1" t="s">
        <v>104</v>
      </c>
      <c r="C3483" s="1" t="s">
        <v>11</v>
      </c>
      <c r="D3483" s="5">
        <v>45331.0</v>
      </c>
      <c r="G3483" s="1">
        <f>VLOOKUP(B3483,'old-aw-skill-plan'!A:I,7,FALSE)</f>
        <v>5</v>
      </c>
      <c r="H3483" s="1" t="str">
        <f>VLOOKUP(B3483,'old-aw-skill-plan'!A:I,9,FALSE)</f>
        <v>5-2</v>
      </c>
    </row>
    <row r="3484" ht="15.75" customHeight="1">
      <c r="A3484" s="1" t="s">
        <v>226</v>
      </c>
      <c r="B3484" s="1" t="s">
        <v>445</v>
      </c>
      <c r="C3484" s="1" t="s">
        <v>11</v>
      </c>
      <c r="D3484" s="5">
        <v>45331.0</v>
      </c>
      <c r="G3484" s="1">
        <f>VLOOKUP(B3484,'old-aw-skill-plan'!A:I,7,FALSE)</f>
        <v>3</v>
      </c>
      <c r="H3484" s="1" t="str">
        <f>VLOOKUP(B3484,'old-aw-skill-plan'!A:I,9,FALSE)</f>
        <v>3-9</v>
      </c>
    </row>
    <row r="3485" ht="15.75" customHeight="1">
      <c r="A3485" s="1" t="s">
        <v>226</v>
      </c>
      <c r="B3485" s="1" t="s">
        <v>307</v>
      </c>
      <c r="C3485" s="1" t="s">
        <v>11</v>
      </c>
      <c r="D3485" s="5">
        <v>45331.0</v>
      </c>
      <c r="G3485" s="1">
        <f>VLOOKUP(B3485,'old-aw-skill-plan'!A:I,7,FALSE)</f>
        <v>3</v>
      </c>
      <c r="H3485" s="1" t="str">
        <f>VLOOKUP(B3485,'old-aw-skill-plan'!A:I,9,FALSE)</f>
        <v>3-1</v>
      </c>
    </row>
    <row r="3486" ht="15.75" customHeight="1">
      <c r="A3486" s="1" t="s">
        <v>226</v>
      </c>
      <c r="B3486" s="1" t="s">
        <v>356</v>
      </c>
      <c r="C3486" s="1" t="s">
        <v>11</v>
      </c>
      <c r="D3486" s="5">
        <v>45331.0</v>
      </c>
      <c r="G3486" s="1">
        <f>VLOOKUP(B3486,'old-aw-skill-plan'!A:I,7,FALSE)</f>
        <v>3</v>
      </c>
      <c r="H3486" s="1" t="str">
        <f>VLOOKUP(B3486,'old-aw-skill-plan'!A:I,9,FALSE)</f>
        <v>3-2</v>
      </c>
    </row>
    <row r="3487" ht="15.75" customHeight="1">
      <c r="A3487" s="1" t="s">
        <v>226</v>
      </c>
      <c r="B3487" s="1" t="s">
        <v>443</v>
      </c>
      <c r="C3487" s="1" t="s">
        <v>11</v>
      </c>
      <c r="D3487" s="5">
        <v>45331.0</v>
      </c>
      <c r="G3487" s="1">
        <f>VLOOKUP(B3487,'old-aw-skill-plan'!A:I,7,FALSE)</f>
        <v>3</v>
      </c>
      <c r="H3487" s="1" t="str">
        <f>VLOOKUP(B3487,'old-aw-skill-plan'!A:I,9,FALSE)</f>
        <v>3-5</v>
      </c>
    </row>
    <row r="3488" ht="15.75" customHeight="1">
      <c r="A3488" s="1" t="s">
        <v>93</v>
      </c>
      <c r="B3488" s="1" t="s">
        <v>117</v>
      </c>
      <c r="C3488" s="1" t="s">
        <v>11</v>
      </c>
      <c r="D3488" s="5">
        <v>45331.0</v>
      </c>
      <c r="G3488" s="1">
        <f>VLOOKUP(B3488,'old-aw-skill-plan'!A:I,7,FALSE)</f>
        <v>3</v>
      </c>
      <c r="H3488" s="1" t="str">
        <f>VLOOKUP(B3488,'old-aw-skill-plan'!A:I,9,FALSE)</f>
        <v>3-11</v>
      </c>
    </row>
    <row r="3489" ht="15.75" customHeight="1">
      <c r="A3489" s="1" t="s">
        <v>94</v>
      </c>
      <c r="B3489" s="1" t="s">
        <v>117</v>
      </c>
      <c r="C3489" s="1" t="s">
        <v>11</v>
      </c>
      <c r="D3489" s="5">
        <v>45331.0</v>
      </c>
      <c r="G3489" s="1">
        <f>VLOOKUP(B3489,'old-aw-skill-plan'!A:I,7,FALSE)</f>
        <v>3</v>
      </c>
      <c r="H3489" s="1" t="str">
        <f>VLOOKUP(B3489,'old-aw-skill-plan'!A:I,9,FALSE)</f>
        <v>3-11</v>
      </c>
    </row>
    <row r="3490" ht="15.75" customHeight="1">
      <c r="A3490" s="1" t="s">
        <v>225</v>
      </c>
      <c r="B3490" s="1" t="s">
        <v>23</v>
      </c>
      <c r="C3490" s="1" t="s">
        <v>11</v>
      </c>
      <c r="D3490" s="5">
        <v>45331.0</v>
      </c>
      <c r="G3490" s="1">
        <f>VLOOKUP(B3490,'old-aw-skill-plan'!A:I,7,FALSE)</f>
        <v>4</v>
      </c>
      <c r="H3490" s="1" t="str">
        <f>VLOOKUP(B3490,'old-aw-skill-plan'!A:I,9,FALSE)</f>
        <v>4-5</v>
      </c>
    </row>
    <row r="3491" ht="15.75" customHeight="1">
      <c r="A3491" s="1" t="s">
        <v>427</v>
      </c>
      <c r="B3491" s="1" t="s">
        <v>28</v>
      </c>
      <c r="C3491" s="1" t="s">
        <v>11</v>
      </c>
      <c r="D3491" s="5">
        <v>45331.0</v>
      </c>
      <c r="G3491" s="1">
        <f>VLOOKUP(B3491,'old-aw-skill-plan'!A:I,7,FALSE)</f>
        <v>3</v>
      </c>
      <c r="H3491" s="1" t="str">
        <f>VLOOKUP(B3491,'old-aw-skill-plan'!A:I,9,FALSE)</f>
        <v>3-4</v>
      </c>
    </row>
    <row r="3492" ht="15.75" customHeight="1">
      <c r="A3492" s="1" t="s">
        <v>436</v>
      </c>
      <c r="B3492" s="1" t="s">
        <v>115</v>
      </c>
      <c r="C3492" s="1" t="s">
        <v>11</v>
      </c>
      <c r="D3492" s="5">
        <v>45331.0</v>
      </c>
      <c r="G3492" s="1">
        <f>VLOOKUP(B3492,'old-aw-skill-plan'!A:I,7,FALSE)</f>
        <v>3</v>
      </c>
      <c r="H3492" s="1" t="str">
        <f>VLOOKUP(B3492,'old-aw-skill-plan'!A:I,9,FALSE)</f>
        <v>3-10</v>
      </c>
    </row>
    <row r="3493" ht="15.75" customHeight="1">
      <c r="A3493" s="1" t="s">
        <v>436</v>
      </c>
      <c r="B3493" s="1" t="s">
        <v>48</v>
      </c>
      <c r="C3493" s="1" t="s">
        <v>11</v>
      </c>
      <c r="D3493" s="5">
        <v>45331.0</v>
      </c>
      <c r="G3493" s="1">
        <f>VLOOKUP(B3493,'old-aw-skill-plan'!A:I,7,FALSE)</f>
        <v>3</v>
      </c>
      <c r="H3493" s="1" t="str">
        <f>VLOOKUP(B3493,'old-aw-skill-plan'!A:I,9,FALSE)</f>
        <v>3-6</v>
      </c>
    </row>
    <row r="3494" ht="15.75" customHeight="1">
      <c r="A3494" s="1" t="s">
        <v>436</v>
      </c>
      <c r="B3494" s="1" t="s">
        <v>307</v>
      </c>
      <c r="C3494" s="1" t="s">
        <v>11</v>
      </c>
      <c r="D3494" s="5">
        <v>45331.0</v>
      </c>
      <c r="G3494" s="1">
        <f>VLOOKUP(B3494,'old-aw-skill-plan'!A:I,7,FALSE)</f>
        <v>3</v>
      </c>
      <c r="H3494" s="1" t="str">
        <f>VLOOKUP(B3494,'old-aw-skill-plan'!A:I,9,FALSE)</f>
        <v>3-1</v>
      </c>
    </row>
    <row r="3495" ht="15.75" customHeight="1">
      <c r="A3495" s="1" t="s">
        <v>266</v>
      </c>
      <c r="B3495" s="1" t="s">
        <v>309</v>
      </c>
      <c r="C3495" s="1" t="s">
        <v>11</v>
      </c>
      <c r="D3495" s="5">
        <v>45330.0</v>
      </c>
      <c r="G3495" s="1">
        <f>VLOOKUP(B3495,'old-aw-skill-plan'!A:I,7,FALSE)</f>
        <v>4</v>
      </c>
      <c r="H3495" s="1" t="str">
        <f>VLOOKUP(B3495,'old-aw-skill-plan'!A:I,9,FALSE)</f>
        <v>4-1</v>
      </c>
    </row>
    <row r="3496" ht="15.75" customHeight="1">
      <c r="A3496" s="1" t="s">
        <v>31</v>
      </c>
      <c r="B3496" s="1" t="s">
        <v>10</v>
      </c>
      <c r="C3496" s="1" t="s">
        <v>11</v>
      </c>
      <c r="D3496" s="5">
        <v>45330.0</v>
      </c>
      <c r="G3496" s="1">
        <f>VLOOKUP(B3496,'old-aw-skill-plan'!A:I,7,FALSE)</f>
        <v>3</v>
      </c>
      <c r="H3496" s="1" t="str">
        <f>VLOOKUP(B3496,'old-aw-skill-plan'!A:I,9,FALSE)</f>
        <v>3-1</v>
      </c>
    </row>
    <row r="3497" ht="15.75" customHeight="1">
      <c r="A3497" s="1" t="s">
        <v>24</v>
      </c>
      <c r="B3497" s="1" t="s">
        <v>37</v>
      </c>
      <c r="C3497" s="1" t="s">
        <v>11</v>
      </c>
      <c r="D3497" s="5">
        <v>45330.0</v>
      </c>
      <c r="G3497" s="1">
        <f>VLOOKUP(B3497,'old-aw-skill-plan'!A:I,7,FALSE)</f>
        <v>4</v>
      </c>
      <c r="H3497" s="1" t="str">
        <f>VLOOKUP(B3497,'old-aw-skill-plan'!A:I,9,FALSE)</f>
        <v>4-2</v>
      </c>
    </row>
    <row r="3498" ht="15.75" customHeight="1">
      <c r="A3498" s="1" t="s">
        <v>213</v>
      </c>
      <c r="B3498" s="1" t="s">
        <v>47</v>
      </c>
      <c r="C3498" s="1" t="s">
        <v>11</v>
      </c>
      <c r="D3498" s="5">
        <v>45330.0</v>
      </c>
      <c r="G3498" s="1">
        <f>VLOOKUP(B3498,'old-aw-skill-plan'!A:I,7,FALSE)</f>
        <v>3</v>
      </c>
      <c r="H3498" s="1" t="str">
        <f>VLOOKUP(B3498,'old-aw-skill-plan'!A:I,9,FALSE)</f>
        <v>3-2</v>
      </c>
    </row>
    <row r="3499" ht="15.75" customHeight="1">
      <c r="A3499" s="1" t="s">
        <v>199</v>
      </c>
      <c r="B3499" s="1" t="s">
        <v>34</v>
      </c>
      <c r="C3499" s="1" t="s">
        <v>11</v>
      </c>
      <c r="D3499" s="5">
        <v>45330.0</v>
      </c>
      <c r="G3499" s="1">
        <f>VLOOKUP(B3499,'old-aw-skill-plan'!A:I,7,FALSE)</f>
        <v>4</v>
      </c>
      <c r="H3499" s="1" t="str">
        <f>VLOOKUP(B3499,'old-aw-skill-plan'!A:I,9,FALSE)</f>
        <v>4-1</v>
      </c>
    </row>
    <row r="3500" ht="15.75" customHeight="1">
      <c r="A3500" s="1" t="s">
        <v>36</v>
      </c>
      <c r="B3500" s="1" t="s">
        <v>33</v>
      </c>
      <c r="C3500" s="1" t="s">
        <v>11</v>
      </c>
      <c r="D3500" s="5">
        <v>45330.0</v>
      </c>
      <c r="G3500" s="1">
        <f>VLOOKUP(B3500,'old-aw-skill-plan'!A:I,7,FALSE)</f>
        <v>3</v>
      </c>
      <c r="H3500" s="1" t="str">
        <f>VLOOKUP(B3500,'old-aw-skill-plan'!A:I,9,FALSE)</f>
        <v>3-5</v>
      </c>
    </row>
    <row r="3501" ht="15.75" customHeight="1">
      <c r="A3501" s="1" t="s">
        <v>273</v>
      </c>
      <c r="B3501" s="1" t="s">
        <v>48</v>
      </c>
      <c r="C3501" s="1" t="s">
        <v>11</v>
      </c>
      <c r="D3501" s="5">
        <v>45330.0</v>
      </c>
      <c r="G3501" s="1">
        <f>VLOOKUP(B3501,'old-aw-skill-plan'!A:I,7,FALSE)</f>
        <v>3</v>
      </c>
      <c r="H3501" s="1" t="str">
        <f>VLOOKUP(B3501,'old-aw-skill-plan'!A:I,9,FALSE)</f>
        <v>3-6</v>
      </c>
    </row>
    <row r="3502" ht="15.75" customHeight="1">
      <c r="A3502" s="1" t="s">
        <v>237</v>
      </c>
      <c r="B3502" s="1" t="s">
        <v>453</v>
      </c>
      <c r="C3502" s="1" t="s">
        <v>11</v>
      </c>
      <c r="D3502" s="5">
        <v>45330.0</v>
      </c>
      <c r="G3502" s="1">
        <f>VLOOKUP(B3502,'old-aw-skill-plan'!A:I,7,FALSE)</f>
        <v>3</v>
      </c>
      <c r="H3502" s="1" t="str">
        <f>VLOOKUP(B3502,'old-aw-skill-plan'!A:I,9,FALSE)</f>
        <v>3-4</v>
      </c>
    </row>
    <row r="3503" ht="15.75" customHeight="1">
      <c r="A3503" s="1" t="s">
        <v>274</v>
      </c>
      <c r="B3503" s="1" t="s">
        <v>87</v>
      </c>
      <c r="C3503" s="1" t="s">
        <v>11</v>
      </c>
      <c r="D3503" s="5">
        <v>45330.0</v>
      </c>
      <c r="G3503" s="1">
        <f>VLOOKUP(B3503,'old-aw-skill-plan'!A:I,7,FALSE)</f>
        <v>5</v>
      </c>
      <c r="H3503" s="1" t="str">
        <f>VLOOKUP(B3503,'old-aw-skill-plan'!A:I,9,FALSE)</f>
        <v>5-6</v>
      </c>
    </row>
    <row r="3504" ht="15.75" customHeight="1">
      <c r="A3504" s="1" t="s">
        <v>421</v>
      </c>
      <c r="B3504" s="1" t="s">
        <v>44</v>
      </c>
      <c r="C3504" s="1" t="s">
        <v>11</v>
      </c>
      <c r="D3504" s="5">
        <v>45330.0</v>
      </c>
      <c r="G3504" s="1">
        <f>VLOOKUP(B3504,'old-aw-skill-plan'!A:I,7,FALSE)</f>
        <v>5</v>
      </c>
      <c r="H3504" s="1" t="str">
        <f>VLOOKUP(B3504,'old-aw-skill-plan'!A:I,9,FALSE)</f>
        <v>5-1</v>
      </c>
    </row>
    <row r="3505" ht="15.75" customHeight="1">
      <c r="A3505" s="1" t="s">
        <v>428</v>
      </c>
      <c r="B3505" s="1" t="s">
        <v>66</v>
      </c>
      <c r="C3505" s="1" t="s">
        <v>11</v>
      </c>
      <c r="D3505" s="5">
        <v>45330.0</v>
      </c>
      <c r="G3505" s="1">
        <f>VLOOKUP(B3505,'old-aw-skill-plan'!A:I,7,FALSE)</f>
        <v>4</v>
      </c>
      <c r="H3505" s="1" t="str">
        <f>VLOOKUP(B3505,'old-aw-skill-plan'!A:I,9,FALSE)</f>
        <v>4-9</v>
      </c>
    </row>
    <row r="3506" ht="15.75" customHeight="1">
      <c r="A3506" s="1" t="s">
        <v>420</v>
      </c>
      <c r="B3506" s="1" t="s">
        <v>10</v>
      </c>
      <c r="C3506" s="1" t="s">
        <v>11</v>
      </c>
      <c r="D3506" s="5">
        <v>45330.0</v>
      </c>
      <c r="G3506" s="1">
        <f>VLOOKUP(B3506,'old-aw-skill-plan'!A:I,7,FALSE)</f>
        <v>3</v>
      </c>
      <c r="H3506" s="1" t="str">
        <f>VLOOKUP(B3506,'old-aw-skill-plan'!A:I,9,FALSE)</f>
        <v>3-1</v>
      </c>
    </row>
    <row r="3507" ht="15.75" customHeight="1">
      <c r="A3507" s="1" t="s">
        <v>431</v>
      </c>
      <c r="B3507" s="1" t="s">
        <v>380</v>
      </c>
      <c r="C3507" s="1" t="s">
        <v>11</v>
      </c>
      <c r="D3507" s="5">
        <v>45330.0</v>
      </c>
      <c r="G3507" s="1" t="str">
        <f>VLOOKUP(B3507,'old-aw-skill-plan'!A:I,7,FALSE)</f>
        <v>#N/A</v>
      </c>
      <c r="H3507" s="1" t="str">
        <f>VLOOKUP(B3507,'old-aw-skill-plan'!A:I,9,FALSE)</f>
        <v>#N/A</v>
      </c>
    </row>
    <row r="3508" ht="15.75" customHeight="1">
      <c r="A3508" s="1" t="s">
        <v>95</v>
      </c>
      <c r="B3508" s="1" t="s">
        <v>47</v>
      </c>
      <c r="C3508" s="1" t="s">
        <v>11</v>
      </c>
      <c r="D3508" s="5">
        <v>45330.0</v>
      </c>
      <c r="G3508" s="1">
        <f>VLOOKUP(B3508,'old-aw-skill-plan'!A:I,7,FALSE)</f>
        <v>3</v>
      </c>
      <c r="H3508" s="1" t="str">
        <f>VLOOKUP(B3508,'old-aw-skill-plan'!A:I,9,FALSE)</f>
        <v>3-2</v>
      </c>
    </row>
    <row r="3509" ht="15.75" customHeight="1">
      <c r="A3509" s="1" t="s">
        <v>211</v>
      </c>
      <c r="B3509" s="1" t="s">
        <v>47</v>
      </c>
      <c r="C3509" s="1" t="s">
        <v>11</v>
      </c>
      <c r="D3509" s="5">
        <v>45330.0</v>
      </c>
      <c r="G3509" s="1">
        <f>VLOOKUP(B3509,'old-aw-skill-plan'!A:I,7,FALSE)</f>
        <v>3</v>
      </c>
      <c r="H3509" s="1" t="str">
        <f>VLOOKUP(B3509,'old-aw-skill-plan'!A:I,9,FALSE)</f>
        <v>3-2</v>
      </c>
    </row>
    <row r="3510" ht="15.75" customHeight="1">
      <c r="A3510" s="1" t="s">
        <v>197</v>
      </c>
      <c r="B3510" s="1" t="s">
        <v>308</v>
      </c>
      <c r="C3510" s="1" t="s">
        <v>11</v>
      </c>
      <c r="D3510" s="5">
        <v>45330.0</v>
      </c>
      <c r="G3510" s="1">
        <f>VLOOKUP(B3510,'old-aw-skill-plan'!A:I,7,FALSE)</f>
        <v>4</v>
      </c>
      <c r="H3510" s="1" t="str">
        <f>VLOOKUP(B3510,'old-aw-skill-plan'!A:I,9,FALSE)</f>
        <v>4-9</v>
      </c>
    </row>
    <row r="3511" ht="15.75" customHeight="1">
      <c r="A3511" s="1" t="s">
        <v>197</v>
      </c>
      <c r="B3511" s="1" t="s">
        <v>424</v>
      </c>
      <c r="C3511" s="1" t="s">
        <v>11</v>
      </c>
      <c r="D3511" s="5">
        <v>45330.0</v>
      </c>
      <c r="G3511" s="1">
        <f>VLOOKUP(B3511,'old-aw-skill-plan'!A:I,7,FALSE)</f>
        <v>4</v>
      </c>
      <c r="H3511" s="1" t="str">
        <f>VLOOKUP(B3511,'old-aw-skill-plan'!A:I,9,FALSE)</f>
        <v>4-8</v>
      </c>
    </row>
    <row r="3512" ht="15.75" customHeight="1">
      <c r="A3512" s="1" t="s">
        <v>373</v>
      </c>
      <c r="B3512" s="1" t="s">
        <v>10</v>
      </c>
      <c r="C3512" s="1" t="s">
        <v>11</v>
      </c>
      <c r="D3512" s="5">
        <v>45330.0</v>
      </c>
      <c r="G3512" s="1">
        <f>VLOOKUP(B3512,'old-aw-skill-plan'!A:I,7,FALSE)</f>
        <v>3</v>
      </c>
      <c r="H3512" s="1" t="str">
        <f>VLOOKUP(B3512,'old-aw-skill-plan'!A:I,9,FALSE)</f>
        <v>3-1</v>
      </c>
    </row>
    <row r="3513" ht="15.75" customHeight="1">
      <c r="A3513" s="1" t="s">
        <v>373</v>
      </c>
      <c r="B3513" s="1" t="s">
        <v>47</v>
      </c>
      <c r="C3513" s="1" t="s">
        <v>11</v>
      </c>
      <c r="D3513" s="5">
        <v>45330.0</v>
      </c>
      <c r="G3513" s="1">
        <f>VLOOKUP(B3513,'old-aw-skill-plan'!A:I,7,FALSE)</f>
        <v>3</v>
      </c>
      <c r="H3513" s="1" t="str">
        <f>VLOOKUP(B3513,'old-aw-skill-plan'!A:I,9,FALSE)</f>
        <v>3-2</v>
      </c>
    </row>
    <row r="3514" ht="15.75" customHeight="1">
      <c r="A3514" s="1" t="s">
        <v>235</v>
      </c>
      <c r="B3514" s="1" t="s">
        <v>104</v>
      </c>
      <c r="C3514" s="1" t="s">
        <v>11</v>
      </c>
      <c r="D3514" s="5">
        <v>45330.0</v>
      </c>
      <c r="G3514" s="1">
        <f>VLOOKUP(B3514,'old-aw-skill-plan'!A:I,7,FALSE)</f>
        <v>5</v>
      </c>
      <c r="H3514" s="1" t="str">
        <f>VLOOKUP(B3514,'old-aw-skill-plan'!A:I,9,FALSE)</f>
        <v>5-2</v>
      </c>
    </row>
    <row r="3515" ht="15.75" customHeight="1">
      <c r="A3515" s="1" t="s">
        <v>93</v>
      </c>
      <c r="B3515" s="1" t="s">
        <v>117</v>
      </c>
      <c r="C3515" s="1" t="s">
        <v>11</v>
      </c>
      <c r="D3515" s="5">
        <v>45330.0</v>
      </c>
      <c r="G3515" s="1">
        <f>VLOOKUP(B3515,'old-aw-skill-plan'!A:I,7,FALSE)</f>
        <v>3</v>
      </c>
      <c r="H3515" s="1" t="str">
        <f>VLOOKUP(B3515,'old-aw-skill-plan'!A:I,9,FALSE)</f>
        <v>3-11</v>
      </c>
    </row>
    <row r="3516" ht="15.75" customHeight="1">
      <c r="A3516" s="1" t="s">
        <v>225</v>
      </c>
      <c r="B3516" s="1" t="s">
        <v>61</v>
      </c>
      <c r="C3516" s="1" t="s">
        <v>11</v>
      </c>
      <c r="D3516" s="5">
        <v>45330.0</v>
      </c>
      <c r="G3516" s="1">
        <f>VLOOKUP(B3516,'old-aw-skill-plan'!A:I,7,FALSE)</f>
        <v>4</v>
      </c>
      <c r="H3516" s="1" t="str">
        <f>VLOOKUP(B3516,'old-aw-skill-plan'!A:I,9,FALSE)</f>
        <v>4-4</v>
      </c>
    </row>
    <row r="3517" ht="15.75" customHeight="1">
      <c r="A3517" s="1" t="s">
        <v>427</v>
      </c>
      <c r="B3517" s="1" t="s">
        <v>28</v>
      </c>
      <c r="C3517" s="1" t="s">
        <v>11</v>
      </c>
      <c r="D3517" s="5">
        <v>45330.0</v>
      </c>
      <c r="G3517" s="1">
        <f>VLOOKUP(B3517,'old-aw-skill-plan'!A:I,7,FALSE)</f>
        <v>3</v>
      </c>
      <c r="H3517" s="1" t="str">
        <f>VLOOKUP(B3517,'old-aw-skill-plan'!A:I,9,FALSE)</f>
        <v>3-4</v>
      </c>
    </row>
    <row r="3518" ht="15.75" customHeight="1">
      <c r="A3518" s="1" t="s">
        <v>110</v>
      </c>
      <c r="B3518" s="1" t="s">
        <v>307</v>
      </c>
      <c r="C3518" s="1" t="s">
        <v>11</v>
      </c>
      <c r="D3518" s="5">
        <v>45330.0</v>
      </c>
      <c r="G3518" s="1">
        <f>VLOOKUP(B3518,'old-aw-skill-plan'!A:I,7,FALSE)</f>
        <v>3</v>
      </c>
      <c r="H3518" s="1" t="str">
        <f>VLOOKUP(B3518,'old-aw-skill-plan'!A:I,9,FALSE)</f>
        <v>3-1</v>
      </c>
    </row>
    <row r="3519" ht="15.75" customHeight="1">
      <c r="A3519" s="1" t="s">
        <v>266</v>
      </c>
      <c r="B3519" s="1" t="s">
        <v>320</v>
      </c>
      <c r="C3519" s="1" t="s">
        <v>11</v>
      </c>
      <c r="D3519" s="5">
        <v>45329.0</v>
      </c>
      <c r="G3519" s="1">
        <f>VLOOKUP(B3519,'old-aw-skill-plan'!A:I,7,FALSE)</f>
        <v>4</v>
      </c>
      <c r="H3519" s="1" t="str">
        <f>VLOOKUP(B3519,'old-aw-skill-plan'!A:I,9,FALSE)</f>
        <v>4-2</v>
      </c>
    </row>
    <row r="3520" ht="15.75" customHeight="1">
      <c r="A3520" s="1" t="s">
        <v>22</v>
      </c>
      <c r="B3520" s="1" t="s">
        <v>19</v>
      </c>
      <c r="C3520" s="1" t="s">
        <v>11</v>
      </c>
      <c r="D3520" s="5">
        <v>45329.0</v>
      </c>
      <c r="G3520" s="1">
        <f>VLOOKUP(B3520,'old-aw-skill-plan'!A:I,7,FALSE)</f>
        <v>4</v>
      </c>
      <c r="H3520" s="1" t="str">
        <f>VLOOKUP(B3520,'old-aw-skill-plan'!A:I,9,FALSE)</f>
        <v>4-7</v>
      </c>
    </row>
    <row r="3521" ht="15.75" customHeight="1">
      <c r="A3521" s="1" t="s">
        <v>31</v>
      </c>
      <c r="B3521" s="1" t="s">
        <v>10</v>
      </c>
      <c r="C3521" s="1" t="s">
        <v>11</v>
      </c>
      <c r="D3521" s="5">
        <v>45329.0</v>
      </c>
      <c r="G3521" s="1">
        <f>VLOOKUP(B3521,'old-aw-skill-plan'!A:I,7,FALSE)</f>
        <v>3</v>
      </c>
      <c r="H3521" s="1" t="str">
        <f>VLOOKUP(B3521,'old-aw-skill-plan'!A:I,9,FALSE)</f>
        <v>3-1</v>
      </c>
    </row>
    <row r="3522" ht="15.75" customHeight="1">
      <c r="A3522" s="1" t="s">
        <v>216</v>
      </c>
      <c r="B3522" s="1" t="s">
        <v>34</v>
      </c>
      <c r="C3522" s="1" t="s">
        <v>11</v>
      </c>
      <c r="D3522" s="5">
        <v>45329.0</v>
      </c>
      <c r="G3522" s="1">
        <f>VLOOKUP(B3522,'old-aw-skill-plan'!A:I,7,FALSE)</f>
        <v>4</v>
      </c>
      <c r="H3522" s="1" t="str">
        <f>VLOOKUP(B3522,'old-aw-skill-plan'!A:I,9,FALSE)</f>
        <v>4-1</v>
      </c>
    </row>
    <row r="3523" ht="15.75" customHeight="1">
      <c r="A3523" s="1" t="s">
        <v>213</v>
      </c>
      <c r="B3523" s="1" t="s">
        <v>47</v>
      </c>
      <c r="C3523" s="1" t="s">
        <v>11</v>
      </c>
      <c r="D3523" s="5">
        <v>45329.0</v>
      </c>
      <c r="G3523" s="1">
        <f>VLOOKUP(B3523,'old-aw-skill-plan'!A:I,7,FALSE)</f>
        <v>3</v>
      </c>
      <c r="H3523" s="1" t="str">
        <f>VLOOKUP(B3523,'old-aw-skill-plan'!A:I,9,FALSE)</f>
        <v>3-2</v>
      </c>
    </row>
    <row r="3524" ht="15.75" customHeight="1">
      <c r="A3524" s="1" t="s">
        <v>213</v>
      </c>
      <c r="B3524" s="1" t="s">
        <v>33</v>
      </c>
      <c r="C3524" s="1" t="s">
        <v>11</v>
      </c>
      <c r="D3524" s="5">
        <v>45329.0</v>
      </c>
      <c r="G3524" s="1">
        <f>VLOOKUP(B3524,'old-aw-skill-plan'!A:I,7,FALSE)</f>
        <v>3</v>
      </c>
      <c r="H3524" s="1" t="str">
        <f>VLOOKUP(B3524,'old-aw-skill-plan'!A:I,9,FALSE)</f>
        <v>3-5</v>
      </c>
    </row>
    <row r="3525" ht="15.75" customHeight="1">
      <c r="A3525" s="1" t="s">
        <v>199</v>
      </c>
      <c r="B3525" s="1" t="s">
        <v>34</v>
      </c>
      <c r="C3525" s="1" t="s">
        <v>11</v>
      </c>
      <c r="D3525" s="5">
        <v>45329.0</v>
      </c>
      <c r="G3525" s="1">
        <f>VLOOKUP(B3525,'old-aw-skill-plan'!A:I,7,FALSE)</f>
        <v>4</v>
      </c>
      <c r="H3525" s="1" t="str">
        <f>VLOOKUP(B3525,'old-aw-skill-plan'!A:I,9,FALSE)</f>
        <v>4-1</v>
      </c>
    </row>
    <row r="3526" ht="15.75" customHeight="1">
      <c r="A3526" s="1" t="s">
        <v>36</v>
      </c>
      <c r="B3526" s="1" t="s">
        <v>33</v>
      </c>
      <c r="C3526" s="1" t="s">
        <v>11</v>
      </c>
      <c r="D3526" s="5">
        <v>45329.0</v>
      </c>
      <c r="G3526" s="1">
        <f>VLOOKUP(B3526,'old-aw-skill-plan'!A:I,7,FALSE)</f>
        <v>3</v>
      </c>
      <c r="H3526" s="1" t="str">
        <f>VLOOKUP(B3526,'old-aw-skill-plan'!A:I,9,FALSE)</f>
        <v>3-5</v>
      </c>
    </row>
    <row r="3527" ht="15.75" customHeight="1">
      <c r="A3527" s="1" t="s">
        <v>452</v>
      </c>
      <c r="B3527" s="1" t="s">
        <v>44</v>
      </c>
      <c r="C3527" s="1" t="s">
        <v>11</v>
      </c>
      <c r="D3527" s="5">
        <v>45329.0</v>
      </c>
      <c r="G3527" s="1">
        <f>VLOOKUP(B3527,'old-aw-skill-plan'!A:I,7,FALSE)</f>
        <v>5</v>
      </c>
      <c r="H3527" s="1" t="str">
        <f>VLOOKUP(B3527,'old-aw-skill-plan'!A:I,9,FALSE)</f>
        <v>5-1</v>
      </c>
    </row>
    <row r="3528" ht="15.75" customHeight="1">
      <c r="A3528" s="1" t="s">
        <v>237</v>
      </c>
      <c r="B3528" s="1" t="s">
        <v>356</v>
      </c>
      <c r="C3528" s="1" t="s">
        <v>11</v>
      </c>
      <c r="D3528" s="5">
        <v>45329.0</v>
      </c>
      <c r="G3528" s="1">
        <f>VLOOKUP(B3528,'old-aw-skill-plan'!A:I,7,FALSE)</f>
        <v>3</v>
      </c>
      <c r="H3528" s="1" t="str">
        <f>VLOOKUP(B3528,'old-aw-skill-plan'!A:I,9,FALSE)</f>
        <v>3-2</v>
      </c>
    </row>
    <row r="3529" ht="15.75" customHeight="1">
      <c r="A3529" s="1" t="s">
        <v>46</v>
      </c>
      <c r="B3529" s="1" t="s">
        <v>47</v>
      </c>
      <c r="C3529" s="1" t="s">
        <v>11</v>
      </c>
      <c r="D3529" s="5">
        <v>45329.0</v>
      </c>
      <c r="G3529" s="1">
        <f>VLOOKUP(B3529,'old-aw-skill-plan'!A:I,7,FALSE)</f>
        <v>3</v>
      </c>
      <c r="H3529" s="1" t="str">
        <f>VLOOKUP(B3529,'old-aw-skill-plan'!A:I,9,FALSE)</f>
        <v>3-2</v>
      </c>
    </row>
    <row r="3530" ht="15.75" customHeight="1">
      <c r="A3530" s="1" t="s">
        <v>429</v>
      </c>
      <c r="B3530" s="1" t="s">
        <v>97</v>
      </c>
      <c r="C3530" s="1" t="s">
        <v>11</v>
      </c>
      <c r="D3530" s="5">
        <v>45329.0</v>
      </c>
      <c r="G3530" s="1">
        <f>VLOOKUP(B3530,'old-aw-skill-plan'!A:I,7,FALSE)</f>
        <v>4</v>
      </c>
      <c r="H3530" s="1" t="str">
        <f>VLOOKUP(B3530,'old-aw-skill-plan'!A:I,9,FALSE)</f>
        <v>4-3</v>
      </c>
    </row>
    <row r="3531" ht="15.75" customHeight="1">
      <c r="A3531" s="1" t="s">
        <v>421</v>
      </c>
      <c r="B3531" s="1" t="s">
        <v>44</v>
      </c>
      <c r="C3531" s="1" t="s">
        <v>11</v>
      </c>
      <c r="D3531" s="5">
        <v>45329.0</v>
      </c>
      <c r="G3531" s="1">
        <f>VLOOKUP(B3531,'old-aw-skill-plan'!A:I,7,FALSE)</f>
        <v>5</v>
      </c>
      <c r="H3531" s="1" t="str">
        <f>VLOOKUP(B3531,'old-aw-skill-plan'!A:I,9,FALSE)</f>
        <v>5-1</v>
      </c>
    </row>
    <row r="3532" ht="15.75" customHeight="1">
      <c r="A3532" s="1" t="s">
        <v>60</v>
      </c>
      <c r="B3532" s="1" t="s">
        <v>34</v>
      </c>
      <c r="C3532" s="1" t="s">
        <v>11</v>
      </c>
      <c r="D3532" s="5">
        <v>45329.0</v>
      </c>
      <c r="G3532" s="1">
        <f>VLOOKUP(B3532,'old-aw-skill-plan'!A:I,7,FALSE)</f>
        <v>4</v>
      </c>
      <c r="H3532" s="1" t="str">
        <f>VLOOKUP(B3532,'old-aw-skill-plan'!A:I,9,FALSE)</f>
        <v>4-1</v>
      </c>
    </row>
    <row r="3533" ht="15.75" customHeight="1">
      <c r="A3533" s="1" t="s">
        <v>60</v>
      </c>
      <c r="B3533" s="1" t="s">
        <v>37</v>
      </c>
      <c r="C3533" s="1" t="s">
        <v>11</v>
      </c>
      <c r="D3533" s="5">
        <v>45329.0</v>
      </c>
      <c r="G3533" s="1">
        <f>VLOOKUP(B3533,'old-aw-skill-plan'!A:I,7,FALSE)</f>
        <v>4</v>
      </c>
      <c r="H3533" s="1" t="str">
        <f>VLOOKUP(B3533,'old-aw-skill-plan'!A:I,9,FALSE)</f>
        <v>4-2</v>
      </c>
    </row>
    <row r="3534" ht="15.75" customHeight="1">
      <c r="A3534" s="1" t="s">
        <v>428</v>
      </c>
      <c r="B3534" s="1" t="s">
        <v>66</v>
      </c>
      <c r="C3534" s="1" t="s">
        <v>11</v>
      </c>
      <c r="D3534" s="5">
        <v>45329.0</v>
      </c>
      <c r="G3534" s="1">
        <f>VLOOKUP(B3534,'old-aw-skill-plan'!A:I,7,FALSE)</f>
        <v>4</v>
      </c>
      <c r="H3534" s="1" t="str">
        <f>VLOOKUP(B3534,'old-aw-skill-plan'!A:I,9,FALSE)</f>
        <v>4-9</v>
      </c>
    </row>
    <row r="3535" ht="15.75" customHeight="1">
      <c r="A3535" s="1" t="s">
        <v>420</v>
      </c>
      <c r="B3535" s="1" t="s">
        <v>10</v>
      </c>
      <c r="C3535" s="1" t="s">
        <v>11</v>
      </c>
      <c r="D3535" s="5">
        <v>45329.0</v>
      </c>
      <c r="G3535" s="1">
        <f>VLOOKUP(B3535,'old-aw-skill-plan'!A:I,7,FALSE)</f>
        <v>3</v>
      </c>
      <c r="H3535" s="1" t="str">
        <f>VLOOKUP(B3535,'old-aw-skill-plan'!A:I,9,FALSE)</f>
        <v>3-1</v>
      </c>
    </row>
    <row r="3536" ht="15.75" customHeight="1">
      <c r="A3536" s="1" t="s">
        <v>420</v>
      </c>
      <c r="B3536" s="1" t="s">
        <v>352</v>
      </c>
      <c r="C3536" s="1" t="s">
        <v>11</v>
      </c>
      <c r="D3536" s="5">
        <v>45329.0</v>
      </c>
      <c r="G3536" s="1">
        <f>VLOOKUP(B3536,'old-aw-skill-plan'!A:I,7,FALSE)</f>
        <v>3</v>
      </c>
      <c r="H3536" s="1" t="str">
        <f>VLOOKUP(B3536,'old-aw-skill-plan'!A:I,9,FALSE)</f>
        <v>3-2</v>
      </c>
    </row>
    <row r="3537" ht="15.75" customHeight="1">
      <c r="A3537" s="1" t="s">
        <v>431</v>
      </c>
      <c r="B3537" s="1" t="s">
        <v>25</v>
      </c>
      <c r="C3537" s="1" t="s">
        <v>11</v>
      </c>
      <c r="D3537" s="5">
        <v>45329.0</v>
      </c>
      <c r="G3537" s="1">
        <f>VLOOKUP(B3537,'old-aw-skill-plan'!A:I,7,FALSE)</f>
        <v>5</v>
      </c>
      <c r="H3537" s="1" t="str">
        <f>VLOOKUP(B3537,'old-aw-skill-plan'!A:I,9,FALSE)</f>
        <v>5-4</v>
      </c>
    </row>
    <row r="3538" ht="15.75" customHeight="1">
      <c r="A3538" s="1" t="s">
        <v>275</v>
      </c>
      <c r="B3538" s="1" t="s">
        <v>44</v>
      </c>
      <c r="C3538" s="1" t="s">
        <v>11</v>
      </c>
      <c r="D3538" s="5">
        <v>45329.0</v>
      </c>
      <c r="G3538" s="1">
        <f>VLOOKUP(B3538,'old-aw-skill-plan'!A:I,7,FALSE)</f>
        <v>5</v>
      </c>
      <c r="H3538" s="1" t="str">
        <f>VLOOKUP(B3538,'old-aw-skill-plan'!A:I,9,FALSE)</f>
        <v>5-1</v>
      </c>
    </row>
    <row r="3539" ht="15.75" customHeight="1">
      <c r="A3539" s="1" t="s">
        <v>95</v>
      </c>
      <c r="B3539" s="1" t="s">
        <v>47</v>
      </c>
      <c r="C3539" s="1" t="s">
        <v>11</v>
      </c>
      <c r="D3539" s="5">
        <v>45329.0</v>
      </c>
      <c r="G3539" s="1">
        <f>VLOOKUP(B3539,'old-aw-skill-plan'!A:I,7,FALSE)</f>
        <v>3</v>
      </c>
      <c r="H3539" s="1" t="str">
        <f>VLOOKUP(B3539,'old-aw-skill-plan'!A:I,9,FALSE)</f>
        <v>3-2</v>
      </c>
    </row>
    <row r="3540" ht="15.75" customHeight="1">
      <c r="A3540" s="1" t="s">
        <v>214</v>
      </c>
      <c r="B3540" s="1" t="s">
        <v>33</v>
      </c>
      <c r="C3540" s="1" t="s">
        <v>11</v>
      </c>
      <c r="D3540" s="5">
        <v>45329.0</v>
      </c>
      <c r="G3540" s="1">
        <f>VLOOKUP(B3540,'old-aw-skill-plan'!A:I,7,FALSE)</f>
        <v>3</v>
      </c>
      <c r="H3540" s="1" t="str">
        <f>VLOOKUP(B3540,'old-aw-skill-plan'!A:I,9,FALSE)</f>
        <v>3-5</v>
      </c>
    </row>
    <row r="3541" ht="15.75" customHeight="1">
      <c r="A3541" s="1" t="s">
        <v>211</v>
      </c>
      <c r="B3541" s="1" t="s">
        <v>47</v>
      </c>
      <c r="C3541" s="1" t="s">
        <v>11</v>
      </c>
      <c r="D3541" s="5">
        <v>45329.0</v>
      </c>
      <c r="G3541" s="1">
        <f>VLOOKUP(B3541,'old-aw-skill-plan'!A:I,7,FALSE)</f>
        <v>3</v>
      </c>
      <c r="H3541" s="1" t="str">
        <f>VLOOKUP(B3541,'old-aw-skill-plan'!A:I,9,FALSE)</f>
        <v>3-2</v>
      </c>
    </row>
    <row r="3542" ht="15.75" customHeight="1">
      <c r="A3542" s="1" t="s">
        <v>373</v>
      </c>
      <c r="B3542" s="1" t="s">
        <v>10</v>
      </c>
      <c r="C3542" s="1" t="s">
        <v>11</v>
      </c>
      <c r="D3542" s="5">
        <v>45329.0</v>
      </c>
      <c r="G3542" s="1">
        <f>VLOOKUP(B3542,'old-aw-skill-plan'!A:I,7,FALSE)</f>
        <v>3</v>
      </c>
      <c r="H3542" s="1" t="str">
        <f>VLOOKUP(B3542,'old-aw-skill-plan'!A:I,9,FALSE)</f>
        <v>3-1</v>
      </c>
    </row>
    <row r="3543" ht="15.75" customHeight="1">
      <c r="A3543" s="1" t="s">
        <v>373</v>
      </c>
      <c r="B3543" s="1" t="s">
        <v>47</v>
      </c>
      <c r="C3543" s="1" t="s">
        <v>11</v>
      </c>
      <c r="D3543" s="5">
        <v>45329.0</v>
      </c>
      <c r="G3543" s="1">
        <f>VLOOKUP(B3543,'old-aw-skill-plan'!A:I,7,FALSE)</f>
        <v>3</v>
      </c>
      <c r="H3543" s="1" t="str">
        <f>VLOOKUP(B3543,'old-aw-skill-plan'!A:I,9,FALSE)</f>
        <v>3-2</v>
      </c>
    </row>
    <row r="3544" ht="15.75" customHeight="1">
      <c r="A3544" s="1" t="s">
        <v>235</v>
      </c>
      <c r="B3544" s="1" t="s">
        <v>104</v>
      </c>
      <c r="C3544" s="1" t="s">
        <v>11</v>
      </c>
      <c r="D3544" s="5">
        <v>45329.0</v>
      </c>
      <c r="G3544" s="1">
        <f>VLOOKUP(B3544,'old-aw-skill-plan'!A:I,7,FALSE)</f>
        <v>5</v>
      </c>
      <c r="H3544" s="1" t="str">
        <f>VLOOKUP(B3544,'old-aw-skill-plan'!A:I,9,FALSE)</f>
        <v>5-2</v>
      </c>
    </row>
    <row r="3545" ht="15.75" customHeight="1">
      <c r="A3545" s="1" t="s">
        <v>226</v>
      </c>
      <c r="B3545" s="1" t="s">
        <v>115</v>
      </c>
      <c r="C3545" s="1" t="s">
        <v>11</v>
      </c>
      <c r="D3545" s="5">
        <v>45329.0</v>
      </c>
      <c r="G3545" s="1">
        <f>VLOOKUP(B3545,'old-aw-skill-plan'!A:I,7,FALSE)</f>
        <v>3</v>
      </c>
      <c r="H3545" s="1" t="str">
        <f>VLOOKUP(B3545,'old-aw-skill-plan'!A:I,9,FALSE)</f>
        <v>3-10</v>
      </c>
    </row>
    <row r="3546" ht="15.75" customHeight="1">
      <c r="A3546" s="1" t="s">
        <v>226</v>
      </c>
      <c r="B3546" s="1" t="s">
        <v>307</v>
      </c>
      <c r="C3546" s="1" t="s">
        <v>11</v>
      </c>
      <c r="D3546" s="5">
        <v>45329.0</v>
      </c>
      <c r="G3546" s="1">
        <f>VLOOKUP(B3546,'old-aw-skill-plan'!A:I,7,FALSE)</f>
        <v>3</v>
      </c>
      <c r="H3546" s="1" t="str">
        <f>VLOOKUP(B3546,'old-aw-skill-plan'!A:I,9,FALSE)</f>
        <v>3-1</v>
      </c>
    </row>
    <row r="3547" ht="15.75" customHeight="1">
      <c r="A3547" s="1" t="s">
        <v>226</v>
      </c>
      <c r="B3547" s="1" t="s">
        <v>383</v>
      </c>
      <c r="C3547" s="1" t="s">
        <v>11</v>
      </c>
      <c r="D3547" s="5">
        <v>45329.0</v>
      </c>
      <c r="G3547" s="1">
        <f>VLOOKUP(B3547,'old-aw-skill-plan'!A:I,7,FALSE)</f>
        <v>3</v>
      </c>
      <c r="H3547" s="1" t="str">
        <f>VLOOKUP(B3547,'old-aw-skill-plan'!A:I,9,FALSE)</f>
        <v>3-3</v>
      </c>
    </row>
    <row r="3548" ht="15.75" customHeight="1">
      <c r="A3548" s="1" t="s">
        <v>102</v>
      </c>
      <c r="B3548" s="1" t="s">
        <v>33</v>
      </c>
      <c r="C3548" s="1" t="s">
        <v>11</v>
      </c>
      <c r="D3548" s="5">
        <v>45329.0</v>
      </c>
      <c r="G3548" s="1">
        <f>VLOOKUP(B3548,'old-aw-skill-plan'!A:I,7,FALSE)</f>
        <v>3</v>
      </c>
      <c r="H3548" s="1" t="str">
        <f>VLOOKUP(B3548,'old-aw-skill-plan'!A:I,9,FALSE)</f>
        <v>3-5</v>
      </c>
    </row>
    <row r="3549" ht="15.75" customHeight="1">
      <c r="A3549" s="1" t="s">
        <v>93</v>
      </c>
      <c r="B3549" s="1" t="s">
        <v>117</v>
      </c>
      <c r="C3549" s="1" t="s">
        <v>11</v>
      </c>
      <c r="D3549" s="5">
        <v>45329.0</v>
      </c>
      <c r="G3549" s="1">
        <f>VLOOKUP(B3549,'old-aw-skill-plan'!A:I,7,FALSE)</f>
        <v>3</v>
      </c>
      <c r="H3549" s="1" t="str">
        <f>VLOOKUP(B3549,'old-aw-skill-plan'!A:I,9,FALSE)</f>
        <v>3-11</v>
      </c>
    </row>
    <row r="3550" ht="15.75" customHeight="1">
      <c r="A3550" s="1" t="s">
        <v>94</v>
      </c>
      <c r="B3550" s="1" t="s">
        <v>117</v>
      </c>
      <c r="C3550" s="1" t="s">
        <v>11</v>
      </c>
      <c r="D3550" s="5">
        <v>45329.0</v>
      </c>
      <c r="G3550" s="1">
        <f>VLOOKUP(B3550,'old-aw-skill-plan'!A:I,7,FALSE)</f>
        <v>3</v>
      </c>
      <c r="H3550" s="1" t="str">
        <f>VLOOKUP(B3550,'old-aw-skill-plan'!A:I,9,FALSE)</f>
        <v>3-11</v>
      </c>
    </row>
    <row r="3551" ht="15.75" customHeight="1">
      <c r="A3551" s="1" t="s">
        <v>225</v>
      </c>
      <c r="B3551" s="1" t="s">
        <v>61</v>
      </c>
      <c r="C3551" s="1" t="s">
        <v>11</v>
      </c>
      <c r="D3551" s="5">
        <v>45329.0</v>
      </c>
      <c r="G3551" s="1">
        <f>VLOOKUP(B3551,'old-aw-skill-plan'!A:I,7,FALSE)</f>
        <v>4</v>
      </c>
      <c r="H3551" s="1" t="str">
        <f>VLOOKUP(B3551,'old-aw-skill-plan'!A:I,9,FALSE)</f>
        <v>4-4</v>
      </c>
    </row>
    <row r="3552" ht="15.75" customHeight="1">
      <c r="A3552" s="1" t="s">
        <v>427</v>
      </c>
      <c r="B3552" s="1" t="s">
        <v>28</v>
      </c>
      <c r="C3552" s="1" t="s">
        <v>11</v>
      </c>
      <c r="D3552" s="5">
        <v>45329.0</v>
      </c>
      <c r="G3552" s="1">
        <f>VLOOKUP(B3552,'old-aw-skill-plan'!A:I,7,FALSE)</f>
        <v>3</v>
      </c>
      <c r="H3552" s="1" t="str">
        <f>VLOOKUP(B3552,'old-aw-skill-plan'!A:I,9,FALSE)</f>
        <v>3-4</v>
      </c>
    </row>
    <row r="3553" ht="15.75" customHeight="1">
      <c r="A3553" s="1" t="s">
        <v>266</v>
      </c>
      <c r="B3553" s="1" t="s">
        <v>320</v>
      </c>
      <c r="C3553" s="1" t="s">
        <v>11</v>
      </c>
      <c r="D3553" s="5">
        <v>45328.0</v>
      </c>
      <c r="G3553" s="1">
        <f>VLOOKUP(B3553,'old-aw-skill-plan'!A:I,7,FALSE)</f>
        <v>4</v>
      </c>
      <c r="H3553" s="1" t="str">
        <f>VLOOKUP(B3553,'old-aw-skill-plan'!A:I,9,FALSE)</f>
        <v>4-2</v>
      </c>
    </row>
    <row r="3554" ht="15.75" customHeight="1">
      <c r="A3554" s="1" t="s">
        <v>22</v>
      </c>
      <c r="B3554" s="1" t="s">
        <v>19</v>
      </c>
      <c r="C3554" s="1" t="s">
        <v>11</v>
      </c>
      <c r="D3554" s="5">
        <v>45328.0</v>
      </c>
      <c r="G3554" s="1">
        <f>VLOOKUP(B3554,'old-aw-skill-plan'!A:I,7,FALSE)</f>
        <v>4</v>
      </c>
      <c r="H3554" s="1" t="str">
        <f>VLOOKUP(B3554,'old-aw-skill-plan'!A:I,9,FALSE)</f>
        <v>4-7</v>
      </c>
    </row>
    <row r="3555" ht="15.75" customHeight="1">
      <c r="A3555" s="1" t="s">
        <v>31</v>
      </c>
      <c r="B3555" s="1" t="s">
        <v>10</v>
      </c>
      <c r="C3555" s="1" t="s">
        <v>11</v>
      </c>
      <c r="D3555" s="5">
        <v>45328.0</v>
      </c>
      <c r="G3555" s="1">
        <f>VLOOKUP(B3555,'old-aw-skill-plan'!A:I,7,FALSE)</f>
        <v>3</v>
      </c>
      <c r="H3555" s="1" t="str">
        <f>VLOOKUP(B3555,'old-aw-skill-plan'!A:I,9,FALSE)</f>
        <v>3-1</v>
      </c>
    </row>
    <row r="3556" ht="15.75" customHeight="1">
      <c r="A3556" s="1" t="s">
        <v>216</v>
      </c>
      <c r="B3556" s="1" t="s">
        <v>34</v>
      </c>
      <c r="C3556" s="1" t="s">
        <v>11</v>
      </c>
      <c r="D3556" s="5">
        <v>45328.0</v>
      </c>
      <c r="G3556" s="1">
        <f>VLOOKUP(B3556,'old-aw-skill-plan'!A:I,7,FALSE)</f>
        <v>4</v>
      </c>
      <c r="H3556" s="1" t="str">
        <f>VLOOKUP(B3556,'old-aw-skill-plan'!A:I,9,FALSE)</f>
        <v>4-1</v>
      </c>
    </row>
    <row r="3557" ht="15.75" customHeight="1">
      <c r="A3557" s="1" t="s">
        <v>24</v>
      </c>
      <c r="B3557" s="1" t="s">
        <v>34</v>
      </c>
      <c r="C3557" s="1" t="s">
        <v>11</v>
      </c>
      <c r="D3557" s="5">
        <v>45328.0</v>
      </c>
      <c r="G3557" s="1">
        <f>VLOOKUP(B3557,'old-aw-skill-plan'!A:I,7,FALSE)</f>
        <v>4</v>
      </c>
      <c r="H3557" s="1" t="str">
        <f>VLOOKUP(B3557,'old-aw-skill-plan'!A:I,9,FALSE)</f>
        <v>4-1</v>
      </c>
    </row>
    <row r="3558" ht="15.75" customHeight="1">
      <c r="A3558" s="1" t="s">
        <v>213</v>
      </c>
      <c r="B3558" s="1" t="s">
        <v>47</v>
      </c>
      <c r="C3558" s="1" t="s">
        <v>11</v>
      </c>
      <c r="D3558" s="5">
        <v>45328.0</v>
      </c>
      <c r="G3558" s="1">
        <f>VLOOKUP(B3558,'old-aw-skill-plan'!A:I,7,FALSE)</f>
        <v>3</v>
      </c>
      <c r="H3558" s="1" t="str">
        <f>VLOOKUP(B3558,'old-aw-skill-plan'!A:I,9,FALSE)</f>
        <v>3-2</v>
      </c>
    </row>
    <row r="3559" ht="15.75" customHeight="1">
      <c r="A3559" s="1" t="s">
        <v>199</v>
      </c>
      <c r="B3559" s="1" t="s">
        <v>34</v>
      </c>
      <c r="C3559" s="1" t="s">
        <v>11</v>
      </c>
      <c r="D3559" s="5">
        <v>45328.0</v>
      </c>
      <c r="G3559" s="1">
        <f>VLOOKUP(B3559,'old-aw-skill-plan'!A:I,7,FALSE)</f>
        <v>4</v>
      </c>
      <c r="H3559" s="1" t="str">
        <f>VLOOKUP(B3559,'old-aw-skill-plan'!A:I,9,FALSE)</f>
        <v>4-1</v>
      </c>
    </row>
    <row r="3560" ht="15.75" customHeight="1">
      <c r="A3560" s="1" t="s">
        <v>36</v>
      </c>
      <c r="B3560" s="1" t="s">
        <v>33</v>
      </c>
      <c r="C3560" s="1" t="s">
        <v>11</v>
      </c>
      <c r="D3560" s="5">
        <v>45328.0</v>
      </c>
      <c r="G3560" s="1">
        <f>VLOOKUP(B3560,'old-aw-skill-plan'!A:I,7,FALSE)</f>
        <v>3</v>
      </c>
      <c r="H3560" s="1" t="str">
        <f>VLOOKUP(B3560,'old-aw-skill-plan'!A:I,9,FALSE)</f>
        <v>3-5</v>
      </c>
    </row>
    <row r="3561" ht="15.75" customHeight="1">
      <c r="A3561" s="1" t="s">
        <v>452</v>
      </c>
      <c r="B3561" s="1" t="s">
        <v>44</v>
      </c>
      <c r="C3561" s="1" t="s">
        <v>11</v>
      </c>
      <c r="D3561" s="5">
        <v>45328.0</v>
      </c>
      <c r="G3561" s="1">
        <f>VLOOKUP(B3561,'old-aw-skill-plan'!A:I,7,FALSE)</f>
        <v>5</v>
      </c>
      <c r="H3561" s="1" t="str">
        <f>VLOOKUP(B3561,'old-aw-skill-plan'!A:I,9,FALSE)</f>
        <v>5-1</v>
      </c>
    </row>
    <row r="3562" ht="15.75" customHeight="1">
      <c r="A3562" s="1" t="s">
        <v>220</v>
      </c>
      <c r="B3562" s="1" t="s">
        <v>115</v>
      </c>
      <c r="C3562" s="1" t="s">
        <v>11</v>
      </c>
      <c r="D3562" s="5">
        <v>45328.0</v>
      </c>
      <c r="G3562" s="1">
        <f>VLOOKUP(B3562,'old-aw-skill-plan'!A:I,7,FALSE)</f>
        <v>3</v>
      </c>
      <c r="H3562" s="1" t="str">
        <f>VLOOKUP(B3562,'old-aw-skill-plan'!A:I,9,FALSE)</f>
        <v>3-10</v>
      </c>
    </row>
    <row r="3563" ht="15.75" customHeight="1">
      <c r="A3563" s="1" t="s">
        <v>237</v>
      </c>
      <c r="B3563" s="1" t="s">
        <v>28</v>
      </c>
      <c r="C3563" s="1" t="s">
        <v>11</v>
      </c>
      <c r="D3563" s="5">
        <v>45328.0</v>
      </c>
      <c r="G3563" s="1">
        <f>VLOOKUP(B3563,'old-aw-skill-plan'!A:I,7,FALSE)</f>
        <v>3</v>
      </c>
      <c r="H3563" s="1" t="str">
        <f>VLOOKUP(B3563,'old-aw-skill-plan'!A:I,9,FALSE)</f>
        <v>3-4</v>
      </c>
    </row>
    <row r="3564" ht="15.75" customHeight="1">
      <c r="A3564" s="1" t="s">
        <v>421</v>
      </c>
      <c r="B3564" s="1" t="s">
        <v>44</v>
      </c>
      <c r="C3564" s="1" t="s">
        <v>11</v>
      </c>
      <c r="D3564" s="5">
        <v>45328.0</v>
      </c>
      <c r="G3564" s="1">
        <f>VLOOKUP(B3564,'old-aw-skill-plan'!A:I,7,FALSE)</f>
        <v>5</v>
      </c>
      <c r="H3564" s="1" t="str">
        <f>VLOOKUP(B3564,'old-aw-skill-plan'!A:I,9,FALSE)</f>
        <v>5-1</v>
      </c>
    </row>
    <row r="3565" ht="15.75" customHeight="1">
      <c r="A3565" s="1" t="s">
        <v>428</v>
      </c>
      <c r="B3565" s="1" t="s">
        <v>66</v>
      </c>
      <c r="C3565" s="1" t="s">
        <v>11</v>
      </c>
      <c r="D3565" s="5">
        <v>45328.0</v>
      </c>
      <c r="G3565" s="1">
        <f>VLOOKUP(B3565,'old-aw-skill-plan'!A:I,7,FALSE)</f>
        <v>4</v>
      </c>
      <c r="H3565" s="1" t="str">
        <f>VLOOKUP(B3565,'old-aw-skill-plan'!A:I,9,FALSE)</f>
        <v>4-9</v>
      </c>
    </row>
    <row r="3566" ht="15.75" customHeight="1">
      <c r="A3566" s="1" t="s">
        <v>420</v>
      </c>
      <c r="B3566" s="1" t="s">
        <v>48</v>
      </c>
      <c r="C3566" s="1" t="s">
        <v>11</v>
      </c>
      <c r="D3566" s="5">
        <v>45328.0</v>
      </c>
      <c r="G3566" s="1">
        <f>VLOOKUP(B3566,'old-aw-skill-plan'!A:I,7,FALSE)</f>
        <v>3</v>
      </c>
      <c r="H3566" s="1" t="str">
        <f>VLOOKUP(B3566,'old-aw-skill-plan'!A:I,9,FALSE)</f>
        <v>3-6</v>
      </c>
    </row>
    <row r="3567" ht="15.75" customHeight="1">
      <c r="A3567" s="1" t="s">
        <v>431</v>
      </c>
      <c r="B3567" s="1" t="s">
        <v>314</v>
      </c>
      <c r="C3567" s="1" t="s">
        <v>11</v>
      </c>
      <c r="D3567" s="5">
        <v>45328.0</v>
      </c>
      <c r="G3567" s="1">
        <f>VLOOKUP(B3567,'old-aw-skill-plan'!A:I,7,FALSE)</f>
        <v>5</v>
      </c>
      <c r="H3567" s="1" t="str">
        <f>VLOOKUP(B3567,'old-aw-skill-plan'!A:I,9,FALSE)</f>
        <v>5-10</v>
      </c>
    </row>
    <row r="3568" ht="15.75" customHeight="1">
      <c r="A3568" s="1" t="s">
        <v>275</v>
      </c>
      <c r="B3568" s="1" t="s">
        <v>356</v>
      </c>
      <c r="C3568" s="1" t="s">
        <v>11</v>
      </c>
      <c r="D3568" s="5">
        <v>45328.0</v>
      </c>
      <c r="G3568" s="1">
        <f>VLOOKUP(B3568,'old-aw-skill-plan'!A:I,7,FALSE)</f>
        <v>3</v>
      </c>
      <c r="H3568" s="1" t="str">
        <f>VLOOKUP(B3568,'old-aw-skill-plan'!A:I,9,FALSE)</f>
        <v>3-2</v>
      </c>
    </row>
    <row r="3569" ht="15.75" customHeight="1">
      <c r="A3569" s="1" t="s">
        <v>95</v>
      </c>
      <c r="B3569" s="1" t="s">
        <v>47</v>
      </c>
      <c r="C3569" s="1" t="s">
        <v>11</v>
      </c>
      <c r="D3569" s="5">
        <v>45328.0</v>
      </c>
      <c r="G3569" s="1">
        <f>VLOOKUP(B3569,'old-aw-skill-plan'!A:I,7,FALSE)</f>
        <v>3</v>
      </c>
      <c r="H3569" s="1" t="str">
        <f>VLOOKUP(B3569,'old-aw-skill-plan'!A:I,9,FALSE)</f>
        <v>3-2</v>
      </c>
    </row>
    <row r="3570" ht="15.75" customHeight="1">
      <c r="A3570" s="1" t="s">
        <v>211</v>
      </c>
      <c r="B3570" s="1" t="s">
        <v>30</v>
      </c>
      <c r="C3570" s="1" t="s">
        <v>11</v>
      </c>
      <c r="D3570" s="5">
        <v>45328.0</v>
      </c>
      <c r="G3570" s="1">
        <f>VLOOKUP(B3570,'old-aw-skill-plan'!A:I,7,FALSE)</f>
        <v>3</v>
      </c>
      <c r="H3570" s="1" t="str">
        <f>VLOOKUP(B3570,'old-aw-skill-plan'!A:I,9,FALSE)</f>
        <v>3-3</v>
      </c>
    </row>
    <row r="3571" ht="15.75" customHeight="1">
      <c r="A3571" s="1" t="s">
        <v>211</v>
      </c>
      <c r="B3571" s="1" t="s">
        <v>47</v>
      </c>
      <c r="C3571" s="1" t="s">
        <v>11</v>
      </c>
      <c r="D3571" s="5">
        <v>45328.0</v>
      </c>
      <c r="G3571" s="1">
        <f>VLOOKUP(B3571,'old-aw-skill-plan'!A:I,7,FALSE)</f>
        <v>3</v>
      </c>
      <c r="H3571" s="1" t="str">
        <f>VLOOKUP(B3571,'old-aw-skill-plan'!A:I,9,FALSE)</f>
        <v>3-2</v>
      </c>
    </row>
    <row r="3572" ht="15.75" customHeight="1">
      <c r="A3572" s="1" t="s">
        <v>373</v>
      </c>
      <c r="B3572" s="1" t="s">
        <v>10</v>
      </c>
      <c r="C3572" s="1" t="s">
        <v>11</v>
      </c>
      <c r="D3572" s="5">
        <v>45328.0</v>
      </c>
      <c r="G3572" s="1">
        <f>VLOOKUP(B3572,'old-aw-skill-plan'!A:I,7,FALSE)</f>
        <v>3</v>
      </c>
      <c r="H3572" s="1" t="str">
        <f>VLOOKUP(B3572,'old-aw-skill-plan'!A:I,9,FALSE)</f>
        <v>3-1</v>
      </c>
    </row>
    <row r="3573" ht="15.75" customHeight="1">
      <c r="A3573" s="1" t="s">
        <v>373</v>
      </c>
      <c r="B3573" s="1" t="s">
        <v>47</v>
      </c>
      <c r="C3573" s="1" t="s">
        <v>11</v>
      </c>
      <c r="D3573" s="5">
        <v>45328.0</v>
      </c>
      <c r="G3573" s="1">
        <f>VLOOKUP(B3573,'old-aw-skill-plan'!A:I,7,FALSE)</f>
        <v>3</v>
      </c>
      <c r="H3573" s="1" t="str">
        <f>VLOOKUP(B3573,'old-aw-skill-plan'!A:I,9,FALSE)</f>
        <v>3-2</v>
      </c>
    </row>
    <row r="3574" ht="15.75" customHeight="1">
      <c r="A3574" s="1" t="s">
        <v>102</v>
      </c>
      <c r="B3574" s="1" t="s">
        <v>33</v>
      </c>
      <c r="C3574" s="1" t="s">
        <v>11</v>
      </c>
      <c r="D3574" s="5">
        <v>45328.0</v>
      </c>
      <c r="G3574" s="1">
        <f>VLOOKUP(B3574,'old-aw-skill-plan'!A:I,7,FALSE)</f>
        <v>3</v>
      </c>
      <c r="H3574" s="1" t="str">
        <f>VLOOKUP(B3574,'old-aw-skill-plan'!A:I,9,FALSE)</f>
        <v>3-5</v>
      </c>
    </row>
    <row r="3575" ht="15.75" customHeight="1">
      <c r="A3575" s="1" t="s">
        <v>94</v>
      </c>
      <c r="B3575" s="1" t="s">
        <v>117</v>
      </c>
      <c r="C3575" s="1" t="s">
        <v>11</v>
      </c>
      <c r="D3575" s="5">
        <v>45328.0</v>
      </c>
      <c r="G3575" s="1">
        <f>VLOOKUP(B3575,'old-aw-skill-plan'!A:I,7,FALSE)</f>
        <v>3</v>
      </c>
      <c r="H3575" s="1" t="str">
        <f>VLOOKUP(B3575,'old-aw-skill-plan'!A:I,9,FALSE)</f>
        <v>3-11</v>
      </c>
    </row>
    <row r="3576" ht="15.75" customHeight="1">
      <c r="A3576" s="1" t="s">
        <v>225</v>
      </c>
      <c r="B3576" s="1" t="s">
        <v>61</v>
      </c>
      <c r="C3576" s="1" t="s">
        <v>11</v>
      </c>
      <c r="D3576" s="5">
        <v>45328.0</v>
      </c>
      <c r="G3576" s="1">
        <f>VLOOKUP(B3576,'old-aw-skill-plan'!A:I,7,FALSE)</f>
        <v>4</v>
      </c>
      <c r="H3576" s="1" t="str">
        <f>VLOOKUP(B3576,'old-aw-skill-plan'!A:I,9,FALSE)</f>
        <v>4-4</v>
      </c>
    </row>
    <row r="3577" ht="15.75" customHeight="1">
      <c r="A3577" s="1" t="s">
        <v>427</v>
      </c>
      <c r="B3577" s="1" t="s">
        <v>28</v>
      </c>
      <c r="C3577" s="1" t="s">
        <v>11</v>
      </c>
      <c r="D3577" s="5">
        <v>45328.0</v>
      </c>
      <c r="G3577" s="1">
        <f>VLOOKUP(B3577,'old-aw-skill-plan'!A:I,7,FALSE)</f>
        <v>3</v>
      </c>
      <c r="H3577" s="1" t="str">
        <f>VLOOKUP(B3577,'old-aw-skill-plan'!A:I,9,FALSE)</f>
        <v>3-4</v>
      </c>
    </row>
    <row r="3578" ht="15.75" customHeight="1">
      <c r="A3578" s="1" t="s">
        <v>266</v>
      </c>
      <c r="B3578" s="1" t="s">
        <v>48</v>
      </c>
      <c r="C3578" s="1" t="s">
        <v>11</v>
      </c>
      <c r="D3578" s="5">
        <v>45327.0</v>
      </c>
      <c r="G3578" s="1">
        <f>VLOOKUP(B3578,'old-aw-skill-plan'!A:I,7,FALSE)</f>
        <v>3</v>
      </c>
      <c r="H3578" s="1" t="str">
        <f>VLOOKUP(B3578,'old-aw-skill-plan'!A:I,9,FALSE)</f>
        <v>3-6</v>
      </c>
    </row>
    <row r="3579" ht="15.75" customHeight="1">
      <c r="A3579" s="1" t="s">
        <v>266</v>
      </c>
      <c r="B3579" s="1" t="s">
        <v>79</v>
      </c>
      <c r="C3579" s="1" t="s">
        <v>11</v>
      </c>
      <c r="D3579" s="5">
        <v>45327.0</v>
      </c>
      <c r="G3579" s="1">
        <f>VLOOKUP(B3579,'old-aw-skill-plan'!A:I,7,FALSE)</f>
        <v>4</v>
      </c>
      <c r="H3579" s="1" t="str">
        <f>VLOOKUP(B3579,'old-aw-skill-plan'!A:I,9,FALSE)</f>
        <v>4-8</v>
      </c>
    </row>
    <row r="3580" ht="15.75" customHeight="1">
      <c r="A3580" s="1" t="s">
        <v>22</v>
      </c>
      <c r="B3580" s="1" t="s">
        <v>19</v>
      </c>
      <c r="C3580" s="1" t="s">
        <v>11</v>
      </c>
      <c r="D3580" s="5">
        <v>45327.0</v>
      </c>
      <c r="G3580" s="1">
        <f>VLOOKUP(B3580,'old-aw-skill-plan'!A:I,7,FALSE)</f>
        <v>4</v>
      </c>
      <c r="H3580" s="1" t="str">
        <f>VLOOKUP(B3580,'old-aw-skill-plan'!A:I,9,FALSE)</f>
        <v>4-7</v>
      </c>
    </row>
    <row r="3581" ht="15.75" customHeight="1">
      <c r="A3581" s="1" t="s">
        <v>207</v>
      </c>
      <c r="B3581" s="1" t="s">
        <v>44</v>
      </c>
      <c r="C3581" s="1" t="s">
        <v>11</v>
      </c>
      <c r="D3581" s="5">
        <v>45327.0</v>
      </c>
      <c r="G3581" s="1">
        <f>VLOOKUP(B3581,'old-aw-skill-plan'!A:I,7,FALSE)</f>
        <v>5</v>
      </c>
      <c r="H3581" s="1" t="str">
        <f>VLOOKUP(B3581,'old-aw-skill-plan'!A:I,9,FALSE)</f>
        <v>5-1</v>
      </c>
    </row>
    <row r="3582" ht="15.75" customHeight="1">
      <c r="A3582" s="1" t="s">
        <v>199</v>
      </c>
      <c r="B3582" s="1" t="s">
        <v>34</v>
      </c>
      <c r="C3582" s="1" t="s">
        <v>11</v>
      </c>
      <c r="D3582" s="5">
        <v>45327.0</v>
      </c>
      <c r="G3582" s="1">
        <f>VLOOKUP(B3582,'old-aw-skill-plan'!A:I,7,FALSE)</f>
        <v>4</v>
      </c>
      <c r="H3582" s="1" t="str">
        <f>VLOOKUP(B3582,'old-aw-skill-plan'!A:I,9,FALSE)</f>
        <v>4-1</v>
      </c>
    </row>
    <row r="3583" ht="15.75" customHeight="1">
      <c r="A3583" s="1" t="s">
        <v>452</v>
      </c>
      <c r="B3583" s="1" t="s">
        <v>44</v>
      </c>
      <c r="C3583" s="1" t="s">
        <v>11</v>
      </c>
      <c r="D3583" s="5">
        <v>45327.0</v>
      </c>
      <c r="G3583" s="1">
        <f>VLOOKUP(B3583,'old-aw-skill-plan'!A:I,7,FALSE)</f>
        <v>5</v>
      </c>
      <c r="H3583" s="1" t="str">
        <f>VLOOKUP(B3583,'old-aw-skill-plan'!A:I,9,FALSE)</f>
        <v>5-1</v>
      </c>
    </row>
    <row r="3584" ht="15.75" customHeight="1">
      <c r="A3584" s="1" t="s">
        <v>452</v>
      </c>
      <c r="B3584" s="1" t="s">
        <v>104</v>
      </c>
      <c r="C3584" s="1" t="s">
        <v>11</v>
      </c>
      <c r="D3584" s="5">
        <v>45327.0</v>
      </c>
      <c r="G3584" s="1">
        <f>VLOOKUP(B3584,'old-aw-skill-plan'!A:I,7,FALSE)</f>
        <v>5</v>
      </c>
      <c r="H3584" s="1" t="str">
        <f>VLOOKUP(B3584,'old-aw-skill-plan'!A:I,9,FALSE)</f>
        <v>5-2</v>
      </c>
    </row>
    <row r="3585" ht="15.75" customHeight="1">
      <c r="A3585" s="1" t="s">
        <v>220</v>
      </c>
      <c r="B3585" s="1" t="s">
        <v>48</v>
      </c>
      <c r="C3585" s="1" t="s">
        <v>11</v>
      </c>
      <c r="D3585" s="5">
        <v>45327.0</v>
      </c>
      <c r="G3585" s="1">
        <f>VLOOKUP(B3585,'old-aw-skill-plan'!A:I,7,FALSE)</f>
        <v>3</v>
      </c>
      <c r="H3585" s="1" t="str">
        <f>VLOOKUP(B3585,'old-aw-skill-plan'!A:I,9,FALSE)</f>
        <v>3-6</v>
      </c>
    </row>
    <row r="3586" ht="15.75" customHeight="1">
      <c r="A3586" s="1" t="s">
        <v>275</v>
      </c>
      <c r="B3586" s="1" t="s">
        <v>104</v>
      </c>
      <c r="C3586" s="1" t="s">
        <v>11</v>
      </c>
      <c r="D3586" s="5">
        <v>45327.0</v>
      </c>
      <c r="G3586" s="1">
        <f>VLOOKUP(B3586,'old-aw-skill-plan'!A:I,7,FALSE)</f>
        <v>5</v>
      </c>
      <c r="H3586" s="1" t="str">
        <f>VLOOKUP(B3586,'old-aw-skill-plan'!A:I,9,FALSE)</f>
        <v>5-2</v>
      </c>
    </row>
    <row r="3587" ht="15.75" customHeight="1">
      <c r="A3587" s="1" t="s">
        <v>225</v>
      </c>
      <c r="B3587" s="1" t="s">
        <v>61</v>
      </c>
      <c r="C3587" s="1" t="s">
        <v>11</v>
      </c>
      <c r="D3587" s="5">
        <v>45327.0</v>
      </c>
      <c r="G3587" s="1">
        <f>VLOOKUP(B3587,'old-aw-skill-plan'!A:I,7,FALSE)</f>
        <v>4</v>
      </c>
      <c r="H3587" s="1" t="str">
        <f>VLOOKUP(B3587,'old-aw-skill-plan'!A:I,9,FALSE)</f>
        <v>4-4</v>
      </c>
    </row>
    <row r="3588" ht="15.75" customHeight="1">
      <c r="A3588" s="1" t="s">
        <v>31</v>
      </c>
      <c r="B3588" s="1" t="s">
        <v>10</v>
      </c>
      <c r="C3588" s="1" t="s">
        <v>11</v>
      </c>
      <c r="D3588" s="5">
        <v>45324.0</v>
      </c>
      <c r="G3588" s="1">
        <f>VLOOKUP(B3588,'old-aw-skill-plan'!A:I,7,FALSE)</f>
        <v>3</v>
      </c>
      <c r="H3588" s="1" t="str">
        <f>VLOOKUP(B3588,'old-aw-skill-plan'!A:I,9,FALSE)</f>
        <v>3-1</v>
      </c>
    </row>
    <row r="3589" ht="15.75" customHeight="1">
      <c r="A3589" s="1" t="s">
        <v>216</v>
      </c>
      <c r="B3589" s="1" t="s">
        <v>34</v>
      </c>
      <c r="C3589" s="1" t="s">
        <v>11</v>
      </c>
      <c r="D3589" s="5">
        <v>45324.0</v>
      </c>
      <c r="G3589" s="1">
        <f>VLOOKUP(B3589,'old-aw-skill-plan'!A:I,7,FALSE)</f>
        <v>4</v>
      </c>
      <c r="H3589" s="1" t="str">
        <f>VLOOKUP(B3589,'old-aw-skill-plan'!A:I,9,FALSE)</f>
        <v>4-1</v>
      </c>
    </row>
    <row r="3590" ht="15.75" customHeight="1">
      <c r="A3590" s="1" t="s">
        <v>24</v>
      </c>
      <c r="B3590" s="1" t="s">
        <v>37</v>
      </c>
      <c r="C3590" s="1" t="s">
        <v>11</v>
      </c>
      <c r="D3590" s="5">
        <v>45324.0</v>
      </c>
      <c r="G3590" s="1">
        <f>VLOOKUP(B3590,'old-aw-skill-plan'!A:I,7,FALSE)</f>
        <v>4</v>
      </c>
      <c r="H3590" s="1" t="str">
        <f>VLOOKUP(B3590,'old-aw-skill-plan'!A:I,9,FALSE)</f>
        <v>4-2</v>
      </c>
    </row>
    <row r="3591" ht="15.75" customHeight="1">
      <c r="A3591" s="1" t="s">
        <v>213</v>
      </c>
      <c r="B3591" s="1" t="s">
        <v>10</v>
      </c>
      <c r="C3591" s="1" t="s">
        <v>11</v>
      </c>
      <c r="D3591" s="5">
        <v>45324.0</v>
      </c>
      <c r="G3591" s="1">
        <f>VLOOKUP(B3591,'old-aw-skill-plan'!A:I,7,FALSE)</f>
        <v>3</v>
      </c>
      <c r="H3591" s="1" t="str">
        <f>VLOOKUP(B3591,'old-aw-skill-plan'!A:I,9,FALSE)</f>
        <v>3-1</v>
      </c>
    </row>
    <row r="3592" ht="15.75" customHeight="1">
      <c r="A3592" s="1" t="s">
        <v>199</v>
      </c>
      <c r="B3592" s="1" t="s">
        <v>34</v>
      </c>
      <c r="C3592" s="1" t="s">
        <v>11</v>
      </c>
      <c r="D3592" s="5">
        <v>45324.0</v>
      </c>
      <c r="G3592" s="1">
        <f>VLOOKUP(B3592,'old-aw-skill-plan'!A:I,7,FALSE)</f>
        <v>4</v>
      </c>
      <c r="H3592" s="1" t="str">
        <f>VLOOKUP(B3592,'old-aw-skill-plan'!A:I,9,FALSE)</f>
        <v>4-1</v>
      </c>
    </row>
    <row r="3593" ht="15.75" customHeight="1">
      <c r="A3593" s="1" t="s">
        <v>36</v>
      </c>
      <c r="B3593" s="1" t="s">
        <v>48</v>
      </c>
      <c r="C3593" s="1" t="s">
        <v>11</v>
      </c>
      <c r="D3593" s="5">
        <v>45324.0</v>
      </c>
      <c r="G3593" s="1">
        <f>VLOOKUP(B3593,'old-aw-skill-plan'!A:I,7,FALSE)</f>
        <v>3</v>
      </c>
      <c r="H3593" s="1" t="str">
        <f>VLOOKUP(B3593,'old-aw-skill-plan'!A:I,9,FALSE)</f>
        <v>3-6</v>
      </c>
    </row>
    <row r="3594" ht="15.75" customHeight="1">
      <c r="A3594" s="1" t="s">
        <v>237</v>
      </c>
      <c r="B3594" s="1" t="s">
        <v>28</v>
      </c>
      <c r="C3594" s="1" t="s">
        <v>11</v>
      </c>
      <c r="D3594" s="5">
        <v>45324.0</v>
      </c>
      <c r="G3594" s="1">
        <f>VLOOKUP(B3594,'old-aw-skill-plan'!A:I,7,FALSE)</f>
        <v>3</v>
      </c>
      <c r="H3594" s="1" t="str">
        <f>VLOOKUP(B3594,'old-aw-skill-plan'!A:I,9,FALSE)</f>
        <v>3-4</v>
      </c>
    </row>
    <row r="3595" ht="15.75" customHeight="1">
      <c r="A3595" s="1" t="s">
        <v>421</v>
      </c>
      <c r="B3595" s="1" t="s">
        <v>44</v>
      </c>
      <c r="C3595" s="1" t="s">
        <v>11</v>
      </c>
      <c r="D3595" s="5">
        <v>45324.0</v>
      </c>
      <c r="G3595" s="1">
        <f>VLOOKUP(B3595,'old-aw-skill-plan'!A:I,7,FALSE)</f>
        <v>5</v>
      </c>
      <c r="H3595" s="1" t="str">
        <f>VLOOKUP(B3595,'old-aw-skill-plan'!A:I,9,FALSE)</f>
        <v>5-1</v>
      </c>
    </row>
    <row r="3596" ht="15.75" customHeight="1">
      <c r="A3596" s="1" t="s">
        <v>428</v>
      </c>
      <c r="B3596" s="1" t="s">
        <v>66</v>
      </c>
      <c r="C3596" s="1" t="s">
        <v>11</v>
      </c>
      <c r="D3596" s="5">
        <v>45324.0</v>
      </c>
      <c r="G3596" s="1">
        <f>VLOOKUP(B3596,'old-aw-skill-plan'!A:I,7,FALSE)</f>
        <v>4</v>
      </c>
      <c r="H3596" s="1" t="str">
        <f>VLOOKUP(B3596,'old-aw-skill-plan'!A:I,9,FALSE)</f>
        <v>4-9</v>
      </c>
    </row>
    <row r="3597" ht="15.75" customHeight="1">
      <c r="A3597" s="1" t="s">
        <v>431</v>
      </c>
      <c r="B3597" s="1" t="s">
        <v>415</v>
      </c>
      <c r="C3597" s="1" t="s">
        <v>11</v>
      </c>
      <c r="D3597" s="5">
        <v>45324.0</v>
      </c>
      <c r="G3597" s="1" t="str">
        <f>VLOOKUP(B3597,'old-aw-skill-plan'!A:I,7,FALSE)</f>
        <v>#N/A</v>
      </c>
      <c r="H3597" s="1" t="str">
        <f>VLOOKUP(B3597,'old-aw-skill-plan'!A:I,9,FALSE)</f>
        <v>#N/A</v>
      </c>
    </row>
    <row r="3598" ht="15.75" customHeight="1">
      <c r="A3598" s="1" t="s">
        <v>211</v>
      </c>
      <c r="B3598" s="1" t="s">
        <v>30</v>
      </c>
      <c r="C3598" s="1" t="s">
        <v>11</v>
      </c>
      <c r="D3598" s="5">
        <v>45324.0</v>
      </c>
      <c r="G3598" s="1">
        <f>VLOOKUP(B3598,'old-aw-skill-plan'!A:I,7,FALSE)</f>
        <v>3</v>
      </c>
      <c r="H3598" s="1" t="str">
        <f>VLOOKUP(B3598,'old-aw-skill-plan'!A:I,9,FALSE)</f>
        <v>3-3</v>
      </c>
    </row>
    <row r="3599" ht="15.75" customHeight="1">
      <c r="A3599" s="1" t="s">
        <v>211</v>
      </c>
      <c r="B3599" s="1" t="s">
        <v>47</v>
      </c>
      <c r="C3599" s="1" t="s">
        <v>11</v>
      </c>
      <c r="D3599" s="5">
        <v>45324.0</v>
      </c>
      <c r="G3599" s="1">
        <f>VLOOKUP(B3599,'old-aw-skill-plan'!A:I,7,FALSE)</f>
        <v>3</v>
      </c>
      <c r="H3599" s="1" t="str">
        <f>VLOOKUP(B3599,'old-aw-skill-plan'!A:I,9,FALSE)</f>
        <v>3-2</v>
      </c>
    </row>
    <row r="3600" ht="15.75" customHeight="1">
      <c r="A3600" s="1" t="s">
        <v>197</v>
      </c>
      <c r="B3600" s="1" t="s">
        <v>424</v>
      </c>
      <c r="C3600" s="1" t="s">
        <v>11</v>
      </c>
      <c r="D3600" s="5">
        <v>45324.0</v>
      </c>
      <c r="G3600" s="1">
        <f>VLOOKUP(B3600,'old-aw-skill-plan'!A:I,7,FALSE)</f>
        <v>4</v>
      </c>
      <c r="H3600" s="1" t="str">
        <f>VLOOKUP(B3600,'old-aw-skill-plan'!A:I,9,FALSE)</f>
        <v>4-8</v>
      </c>
    </row>
    <row r="3601" ht="15.75" customHeight="1">
      <c r="A3601" s="1" t="s">
        <v>373</v>
      </c>
      <c r="B3601" s="1" t="s">
        <v>10</v>
      </c>
      <c r="C3601" s="1" t="s">
        <v>11</v>
      </c>
      <c r="D3601" s="5">
        <v>45324.0</v>
      </c>
      <c r="G3601" s="1">
        <f>VLOOKUP(B3601,'old-aw-skill-plan'!A:I,7,FALSE)</f>
        <v>3</v>
      </c>
      <c r="H3601" s="1" t="str">
        <f>VLOOKUP(B3601,'old-aw-skill-plan'!A:I,9,FALSE)</f>
        <v>3-1</v>
      </c>
    </row>
    <row r="3602" ht="15.75" customHeight="1">
      <c r="A3602" s="1" t="s">
        <v>373</v>
      </c>
      <c r="B3602" s="1" t="s">
        <v>47</v>
      </c>
      <c r="C3602" s="1" t="s">
        <v>11</v>
      </c>
      <c r="D3602" s="5">
        <v>45324.0</v>
      </c>
      <c r="G3602" s="1">
        <f>VLOOKUP(B3602,'old-aw-skill-plan'!A:I,7,FALSE)</f>
        <v>3</v>
      </c>
      <c r="H3602" s="1" t="str">
        <f>VLOOKUP(B3602,'old-aw-skill-plan'!A:I,9,FALSE)</f>
        <v>3-2</v>
      </c>
    </row>
    <row r="3603" ht="15.75" customHeight="1">
      <c r="A3603" s="1" t="s">
        <v>226</v>
      </c>
      <c r="B3603" s="1" t="s">
        <v>115</v>
      </c>
      <c r="C3603" s="1" t="s">
        <v>11</v>
      </c>
      <c r="D3603" s="5">
        <v>45324.0</v>
      </c>
      <c r="G3603" s="1">
        <f>VLOOKUP(B3603,'old-aw-skill-plan'!A:I,7,FALSE)</f>
        <v>3</v>
      </c>
      <c r="H3603" s="1" t="str">
        <f>VLOOKUP(B3603,'old-aw-skill-plan'!A:I,9,FALSE)</f>
        <v>3-10</v>
      </c>
    </row>
    <row r="3604" ht="15.75" customHeight="1">
      <c r="A3604" s="1" t="s">
        <v>93</v>
      </c>
      <c r="B3604" s="1" t="s">
        <v>117</v>
      </c>
      <c r="C3604" s="1" t="s">
        <v>11</v>
      </c>
      <c r="D3604" s="5">
        <v>45324.0</v>
      </c>
      <c r="G3604" s="1">
        <f>VLOOKUP(B3604,'old-aw-skill-plan'!A:I,7,FALSE)</f>
        <v>3</v>
      </c>
      <c r="H3604" s="1" t="str">
        <f>VLOOKUP(B3604,'old-aw-skill-plan'!A:I,9,FALSE)</f>
        <v>3-11</v>
      </c>
    </row>
    <row r="3605" ht="15.75" customHeight="1">
      <c r="A3605" s="1" t="s">
        <v>94</v>
      </c>
      <c r="B3605" s="1" t="s">
        <v>115</v>
      </c>
      <c r="C3605" s="1" t="s">
        <v>11</v>
      </c>
      <c r="D3605" s="5">
        <v>45324.0</v>
      </c>
      <c r="G3605" s="1">
        <f>VLOOKUP(B3605,'old-aw-skill-plan'!A:I,7,FALSE)</f>
        <v>3</v>
      </c>
      <c r="H3605" s="1" t="str">
        <f>VLOOKUP(B3605,'old-aw-skill-plan'!A:I,9,FALSE)</f>
        <v>3-10</v>
      </c>
    </row>
    <row r="3606" ht="15.75" customHeight="1">
      <c r="A3606" s="1" t="s">
        <v>427</v>
      </c>
      <c r="B3606" s="1" t="s">
        <v>28</v>
      </c>
      <c r="C3606" s="1" t="s">
        <v>11</v>
      </c>
      <c r="D3606" s="5">
        <v>45324.0</v>
      </c>
      <c r="G3606" s="1">
        <f>VLOOKUP(B3606,'old-aw-skill-plan'!A:I,7,FALSE)</f>
        <v>3</v>
      </c>
      <c r="H3606" s="1" t="str">
        <f>VLOOKUP(B3606,'old-aw-skill-plan'!A:I,9,FALSE)</f>
        <v>3-4</v>
      </c>
    </row>
    <row r="3607" ht="15.75" customHeight="1">
      <c r="A3607" s="1" t="s">
        <v>110</v>
      </c>
      <c r="B3607" s="1" t="s">
        <v>10</v>
      </c>
      <c r="C3607" s="1" t="s">
        <v>11</v>
      </c>
      <c r="D3607" s="5">
        <v>45324.0</v>
      </c>
      <c r="G3607" s="1">
        <f>VLOOKUP(B3607,'old-aw-skill-plan'!A:I,7,FALSE)</f>
        <v>3</v>
      </c>
      <c r="H3607" s="1" t="str">
        <f>VLOOKUP(B3607,'old-aw-skill-plan'!A:I,9,FALSE)</f>
        <v>3-1</v>
      </c>
    </row>
    <row r="3608" ht="15.75" customHeight="1">
      <c r="A3608" s="1" t="s">
        <v>456</v>
      </c>
      <c r="B3608" s="1" t="s">
        <v>44</v>
      </c>
      <c r="C3608" s="1" t="s">
        <v>11</v>
      </c>
      <c r="D3608" s="5">
        <v>45323.0</v>
      </c>
      <c r="G3608" s="1">
        <f>VLOOKUP(B3608,'old-aw-skill-plan'!A:I,7,FALSE)</f>
        <v>5</v>
      </c>
      <c r="H3608" s="1" t="str">
        <f>VLOOKUP(B3608,'old-aw-skill-plan'!A:I,9,FALSE)</f>
        <v>5-1</v>
      </c>
    </row>
    <row r="3609" ht="15.75" customHeight="1">
      <c r="A3609" s="1" t="s">
        <v>22</v>
      </c>
      <c r="B3609" s="1" t="s">
        <v>19</v>
      </c>
      <c r="C3609" s="1" t="s">
        <v>11</v>
      </c>
      <c r="D3609" s="5">
        <v>45323.0</v>
      </c>
      <c r="G3609" s="1">
        <f>VLOOKUP(B3609,'old-aw-skill-plan'!A:I,7,FALSE)</f>
        <v>4</v>
      </c>
      <c r="H3609" s="1" t="str">
        <f>VLOOKUP(B3609,'old-aw-skill-plan'!A:I,9,FALSE)</f>
        <v>4-7</v>
      </c>
    </row>
    <row r="3610" ht="15.75" customHeight="1">
      <c r="A3610" s="1" t="s">
        <v>216</v>
      </c>
      <c r="B3610" s="1" t="s">
        <v>34</v>
      </c>
      <c r="C3610" s="1" t="s">
        <v>11</v>
      </c>
      <c r="D3610" s="5">
        <v>45323.0</v>
      </c>
      <c r="G3610" s="1">
        <f>VLOOKUP(B3610,'old-aw-skill-plan'!A:I,7,FALSE)</f>
        <v>4</v>
      </c>
      <c r="H3610" s="1" t="str">
        <f>VLOOKUP(B3610,'old-aw-skill-plan'!A:I,9,FALSE)</f>
        <v>4-1</v>
      </c>
    </row>
    <row r="3611" ht="15.75" customHeight="1">
      <c r="A3611" s="1" t="s">
        <v>24</v>
      </c>
      <c r="B3611" s="1" t="s">
        <v>37</v>
      </c>
      <c r="C3611" s="1" t="s">
        <v>11</v>
      </c>
      <c r="D3611" s="5">
        <v>45323.0</v>
      </c>
      <c r="G3611" s="1">
        <f>VLOOKUP(B3611,'old-aw-skill-plan'!A:I,7,FALSE)</f>
        <v>4</v>
      </c>
      <c r="H3611" s="1" t="str">
        <f>VLOOKUP(B3611,'old-aw-skill-plan'!A:I,9,FALSE)</f>
        <v>4-2</v>
      </c>
    </row>
    <row r="3612" ht="15.75" customHeight="1">
      <c r="A3612" s="1" t="s">
        <v>207</v>
      </c>
      <c r="B3612" s="1" t="s">
        <v>352</v>
      </c>
      <c r="C3612" s="1" t="s">
        <v>11</v>
      </c>
      <c r="D3612" s="5">
        <v>45323.0</v>
      </c>
      <c r="G3612" s="1">
        <f>VLOOKUP(B3612,'old-aw-skill-plan'!A:I,7,FALSE)</f>
        <v>3</v>
      </c>
      <c r="H3612" s="1" t="str">
        <f>VLOOKUP(B3612,'old-aw-skill-plan'!A:I,9,FALSE)</f>
        <v>3-2</v>
      </c>
    </row>
    <row r="3613" ht="15.75" customHeight="1">
      <c r="A3613" s="1" t="s">
        <v>213</v>
      </c>
      <c r="B3613" s="1" t="s">
        <v>30</v>
      </c>
      <c r="C3613" s="1" t="s">
        <v>11</v>
      </c>
      <c r="D3613" s="5">
        <v>45323.0</v>
      </c>
      <c r="G3613" s="1">
        <f>VLOOKUP(B3613,'old-aw-skill-plan'!A:I,7,FALSE)</f>
        <v>3</v>
      </c>
      <c r="H3613" s="1" t="str">
        <f>VLOOKUP(B3613,'old-aw-skill-plan'!A:I,9,FALSE)</f>
        <v>3-3</v>
      </c>
    </row>
    <row r="3614" ht="15.75" customHeight="1">
      <c r="A3614" s="1" t="s">
        <v>199</v>
      </c>
      <c r="B3614" s="1" t="s">
        <v>34</v>
      </c>
      <c r="C3614" s="1" t="s">
        <v>11</v>
      </c>
      <c r="D3614" s="5">
        <v>45323.0</v>
      </c>
      <c r="G3614" s="1">
        <f>VLOOKUP(B3614,'old-aw-skill-plan'!A:I,7,FALSE)</f>
        <v>4</v>
      </c>
      <c r="H3614" s="1" t="str">
        <f>VLOOKUP(B3614,'old-aw-skill-plan'!A:I,9,FALSE)</f>
        <v>4-1</v>
      </c>
    </row>
    <row r="3615" ht="15.75" customHeight="1">
      <c r="A3615" s="1" t="s">
        <v>36</v>
      </c>
      <c r="B3615" s="1" t="s">
        <v>48</v>
      </c>
      <c r="C3615" s="1" t="s">
        <v>11</v>
      </c>
      <c r="D3615" s="5">
        <v>45323.0</v>
      </c>
      <c r="G3615" s="1">
        <f>VLOOKUP(B3615,'old-aw-skill-plan'!A:I,7,FALSE)</f>
        <v>3</v>
      </c>
      <c r="H3615" s="1" t="str">
        <f>VLOOKUP(B3615,'old-aw-skill-plan'!A:I,9,FALSE)</f>
        <v>3-6</v>
      </c>
    </row>
    <row r="3616" ht="15.75" customHeight="1">
      <c r="A3616" s="1" t="s">
        <v>421</v>
      </c>
      <c r="B3616" s="1" t="s">
        <v>85</v>
      </c>
      <c r="C3616" s="1" t="s">
        <v>11</v>
      </c>
      <c r="D3616" s="5">
        <v>45323.0</v>
      </c>
      <c r="G3616" s="1">
        <f>VLOOKUP(B3616,'old-aw-skill-plan'!A:I,7,FALSE)</f>
        <v>5</v>
      </c>
      <c r="H3616" s="1" t="str">
        <f>VLOOKUP(B3616,'old-aw-skill-plan'!A:I,9,FALSE)</f>
        <v>5-8</v>
      </c>
    </row>
    <row r="3617" ht="15.75" customHeight="1">
      <c r="A3617" s="1" t="s">
        <v>428</v>
      </c>
      <c r="B3617" s="1" t="s">
        <v>66</v>
      </c>
      <c r="C3617" s="1" t="s">
        <v>11</v>
      </c>
      <c r="D3617" s="5">
        <v>45323.0</v>
      </c>
      <c r="G3617" s="1">
        <f>VLOOKUP(B3617,'old-aw-skill-plan'!A:I,7,FALSE)</f>
        <v>4</v>
      </c>
      <c r="H3617" s="1" t="str">
        <f>VLOOKUP(B3617,'old-aw-skill-plan'!A:I,9,FALSE)</f>
        <v>4-9</v>
      </c>
    </row>
    <row r="3618" ht="15.75" customHeight="1">
      <c r="A3618" s="1" t="s">
        <v>420</v>
      </c>
      <c r="B3618" s="1" t="s">
        <v>10</v>
      </c>
      <c r="C3618" s="1" t="s">
        <v>11</v>
      </c>
      <c r="D3618" s="5">
        <v>45323.0</v>
      </c>
      <c r="G3618" s="1">
        <f>VLOOKUP(B3618,'old-aw-skill-plan'!A:I,7,FALSE)</f>
        <v>3</v>
      </c>
      <c r="H3618" s="1" t="str">
        <f>VLOOKUP(B3618,'old-aw-skill-plan'!A:I,9,FALSE)</f>
        <v>3-1</v>
      </c>
    </row>
    <row r="3619" ht="15.75" customHeight="1">
      <c r="A3619" s="1" t="s">
        <v>95</v>
      </c>
      <c r="B3619" s="1" t="s">
        <v>28</v>
      </c>
      <c r="C3619" s="1" t="s">
        <v>11</v>
      </c>
      <c r="D3619" s="5">
        <v>45323.0</v>
      </c>
      <c r="G3619" s="1">
        <f>VLOOKUP(B3619,'old-aw-skill-plan'!A:I,7,FALSE)</f>
        <v>3</v>
      </c>
      <c r="H3619" s="1" t="str">
        <f>VLOOKUP(B3619,'old-aw-skill-plan'!A:I,9,FALSE)</f>
        <v>3-4</v>
      </c>
    </row>
    <row r="3620" ht="15.75" customHeight="1">
      <c r="A3620" s="1" t="s">
        <v>214</v>
      </c>
      <c r="B3620" s="1" t="s">
        <v>307</v>
      </c>
      <c r="C3620" s="1" t="s">
        <v>11</v>
      </c>
      <c r="D3620" s="5">
        <v>45323.0</v>
      </c>
      <c r="G3620" s="1">
        <f>VLOOKUP(B3620,'old-aw-skill-plan'!A:I,7,FALSE)</f>
        <v>3</v>
      </c>
      <c r="H3620" s="1" t="str">
        <f>VLOOKUP(B3620,'old-aw-skill-plan'!A:I,9,FALSE)</f>
        <v>3-1</v>
      </c>
    </row>
    <row r="3621" ht="15.75" customHeight="1">
      <c r="A3621" s="1" t="s">
        <v>211</v>
      </c>
      <c r="B3621" s="1" t="s">
        <v>28</v>
      </c>
      <c r="C3621" s="1" t="s">
        <v>11</v>
      </c>
      <c r="D3621" s="5">
        <v>45323.0</v>
      </c>
      <c r="G3621" s="1">
        <f>VLOOKUP(B3621,'old-aw-skill-plan'!A:I,7,FALSE)</f>
        <v>3</v>
      </c>
      <c r="H3621" s="1" t="str">
        <f>VLOOKUP(B3621,'old-aw-skill-plan'!A:I,9,FALSE)</f>
        <v>3-4</v>
      </c>
    </row>
    <row r="3622" ht="15.75" customHeight="1">
      <c r="A3622" s="1" t="s">
        <v>197</v>
      </c>
      <c r="B3622" s="1" t="s">
        <v>42</v>
      </c>
      <c r="C3622" s="1" t="s">
        <v>11</v>
      </c>
      <c r="D3622" s="5">
        <v>45323.0</v>
      </c>
      <c r="G3622" s="1">
        <f>VLOOKUP(B3622,'old-aw-skill-plan'!A:I,7,FALSE)</f>
        <v>4</v>
      </c>
      <c r="H3622" s="1" t="str">
        <f>VLOOKUP(B3622,'old-aw-skill-plan'!A:I,9,FALSE)</f>
        <v>4-11</v>
      </c>
    </row>
    <row r="3623" ht="15.75" customHeight="1">
      <c r="A3623" s="1" t="s">
        <v>373</v>
      </c>
      <c r="B3623" s="1" t="s">
        <v>116</v>
      </c>
      <c r="C3623" s="1" t="s">
        <v>11</v>
      </c>
      <c r="D3623" s="5">
        <v>45323.0</v>
      </c>
      <c r="G3623" s="1">
        <f>VLOOKUP(B3623,'old-aw-skill-plan'!A:I,7,FALSE)</f>
        <v>3</v>
      </c>
      <c r="H3623" s="1" t="str">
        <f>VLOOKUP(B3623,'old-aw-skill-plan'!A:I,9,FALSE)</f>
        <v>3-9</v>
      </c>
    </row>
    <row r="3624" ht="15.75" customHeight="1">
      <c r="A3624" s="1" t="s">
        <v>373</v>
      </c>
      <c r="B3624" s="1" t="s">
        <v>47</v>
      </c>
      <c r="C3624" s="1" t="s">
        <v>11</v>
      </c>
      <c r="D3624" s="5">
        <v>45323.0</v>
      </c>
      <c r="G3624" s="1">
        <f>VLOOKUP(B3624,'old-aw-skill-plan'!A:I,7,FALSE)</f>
        <v>3</v>
      </c>
      <c r="H3624" s="1" t="str">
        <f>VLOOKUP(B3624,'old-aw-skill-plan'!A:I,9,FALSE)</f>
        <v>3-2</v>
      </c>
    </row>
    <row r="3625" ht="15.75" customHeight="1">
      <c r="A3625" s="1" t="s">
        <v>226</v>
      </c>
      <c r="B3625" s="1" t="s">
        <v>115</v>
      </c>
      <c r="C3625" s="1" t="s">
        <v>11</v>
      </c>
      <c r="D3625" s="5">
        <v>45323.0</v>
      </c>
      <c r="G3625" s="1">
        <f>VLOOKUP(B3625,'old-aw-skill-plan'!A:I,7,FALSE)</f>
        <v>3</v>
      </c>
      <c r="H3625" s="1" t="str">
        <f>VLOOKUP(B3625,'old-aw-skill-plan'!A:I,9,FALSE)</f>
        <v>3-10</v>
      </c>
    </row>
    <row r="3626" ht="15.75" customHeight="1">
      <c r="A3626" s="1" t="s">
        <v>93</v>
      </c>
      <c r="B3626" s="1" t="s">
        <v>117</v>
      </c>
      <c r="C3626" s="1" t="s">
        <v>11</v>
      </c>
      <c r="D3626" s="5">
        <v>45323.0</v>
      </c>
      <c r="G3626" s="1">
        <f>VLOOKUP(B3626,'old-aw-skill-plan'!A:I,7,FALSE)</f>
        <v>3</v>
      </c>
      <c r="H3626" s="1" t="str">
        <f>VLOOKUP(B3626,'old-aw-skill-plan'!A:I,9,FALSE)</f>
        <v>3-11</v>
      </c>
    </row>
    <row r="3627" ht="15.75" customHeight="1">
      <c r="A3627" s="1" t="s">
        <v>110</v>
      </c>
      <c r="B3627" s="1" t="s">
        <v>453</v>
      </c>
      <c r="C3627" s="1" t="s">
        <v>11</v>
      </c>
      <c r="D3627" s="5">
        <v>45323.0</v>
      </c>
      <c r="G3627" s="1">
        <f>VLOOKUP(B3627,'old-aw-skill-plan'!A:I,7,FALSE)</f>
        <v>3</v>
      </c>
      <c r="H3627" s="1" t="str">
        <f>VLOOKUP(B3627,'old-aw-skill-plan'!A:I,9,FALSE)</f>
        <v>3-4</v>
      </c>
    </row>
    <row r="3628" ht="15.75" customHeight="1">
      <c r="A3628" s="1" t="s">
        <v>110</v>
      </c>
      <c r="B3628" s="1" t="s">
        <v>383</v>
      </c>
      <c r="C3628" s="1" t="s">
        <v>11</v>
      </c>
      <c r="D3628" s="5">
        <v>45323.0</v>
      </c>
      <c r="G3628" s="1">
        <f>VLOOKUP(B3628,'old-aw-skill-plan'!A:I,7,FALSE)</f>
        <v>3</v>
      </c>
      <c r="H3628" s="1" t="str">
        <f>VLOOKUP(B3628,'old-aw-skill-plan'!A:I,9,FALSE)</f>
        <v>3-3</v>
      </c>
    </row>
    <row r="3629" ht="15.75" customHeight="1">
      <c r="A3629" s="1" t="s">
        <v>31</v>
      </c>
      <c r="B3629" s="1" t="s">
        <v>47</v>
      </c>
      <c r="C3629" s="1" t="s">
        <v>11</v>
      </c>
      <c r="D3629" s="5">
        <v>45322.0</v>
      </c>
      <c r="G3629" s="1">
        <f>VLOOKUP(B3629,'old-aw-skill-plan'!A:I,7,FALSE)</f>
        <v>3</v>
      </c>
      <c r="H3629" s="1" t="str">
        <f>VLOOKUP(B3629,'old-aw-skill-plan'!A:I,9,FALSE)</f>
        <v>3-2</v>
      </c>
    </row>
    <row r="3630" ht="15.75" customHeight="1">
      <c r="A3630" s="1" t="s">
        <v>24</v>
      </c>
      <c r="B3630" s="1" t="s">
        <v>37</v>
      </c>
      <c r="C3630" s="1" t="s">
        <v>11</v>
      </c>
      <c r="D3630" s="5">
        <v>45322.0</v>
      </c>
      <c r="G3630" s="1">
        <f>VLOOKUP(B3630,'old-aw-skill-plan'!A:I,7,FALSE)</f>
        <v>4</v>
      </c>
      <c r="H3630" s="1" t="str">
        <f>VLOOKUP(B3630,'old-aw-skill-plan'!A:I,9,FALSE)</f>
        <v>4-2</v>
      </c>
    </row>
    <row r="3631" ht="15.75" customHeight="1">
      <c r="A3631" s="1" t="s">
        <v>421</v>
      </c>
      <c r="B3631" s="1" t="s">
        <v>85</v>
      </c>
      <c r="C3631" s="1" t="s">
        <v>11</v>
      </c>
      <c r="D3631" s="5">
        <v>45322.0</v>
      </c>
      <c r="G3631" s="1">
        <f>VLOOKUP(B3631,'old-aw-skill-plan'!A:I,7,FALSE)</f>
        <v>5</v>
      </c>
      <c r="H3631" s="1" t="str">
        <f>VLOOKUP(B3631,'old-aw-skill-plan'!A:I,9,FALSE)</f>
        <v>5-8</v>
      </c>
    </row>
    <row r="3632" ht="15.75" customHeight="1">
      <c r="A3632" s="1" t="s">
        <v>275</v>
      </c>
      <c r="B3632" s="1" t="s">
        <v>312</v>
      </c>
      <c r="C3632" s="1" t="s">
        <v>11</v>
      </c>
      <c r="D3632" s="5">
        <v>45322.0</v>
      </c>
      <c r="G3632" s="1" t="str">
        <f>VLOOKUP(B3632,'old-aw-skill-plan'!A:I,7,FALSE)</f>
        <v>#N/A</v>
      </c>
      <c r="H3632" s="1" t="str">
        <f>VLOOKUP(B3632,'old-aw-skill-plan'!A:I,9,FALSE)</f>
        <v>#N/A</v>
      </c>
    </row>
    <row r="3633" ht="15.75" customHeight="1">
      <c r="A3633" s="1" t="s">
        <v>268</v>
      </c>
      <c r="B3633" s="1" t="s">
        <v>117</v>
      </c>
      <c r="C3633" s="1" t="s">
        <v>11</v>
      </c>
      <c r="D3633" s="5">
        <v>45322.0</v>
      </c>
      <c r="G3633" s="1">
        <f>VLOOKUP(B3633,'old-aw-skill-plan'!A:I,7,FALSE)</f>
        <v>3</v>
      </c>
      <c r="H3633" s="1" t="str">
        <f>VLOOKUP(B3633,'old-aw-skill-plan'!A:I,9,FALSE)</f>
        <v>3-11</v>
      </c>
    </row>
    <row r="3634" ht="15.75" customHeight="1">
      <c r="A3634" s="1" t="s">
        <v>211</v>
      </c>
      <c r="B3634" s="1" t="s">
        <v>28</v>
      </c>
      <c r="C3634" s="1" t="s">
        <v>11</v>
      </c>
      <c r="D3634" s="5">
        <v>45322.0</v>
      </c>
      <c r="G3634" s="1">
        <f>VLOOKUP(B3634,'old-aw-skill-plan'!A:I,7,FALSE)</f>
        <v>3</v>
      </c>
      <c r="H3634" s="1" t="str">
        <f>VLOOKUP(B3634,'old-aw-skill-plan'!A:I,9,FALSE)</f>
        <v>3-4</v>
      </c>
    </row>
    <row r="3635" ht="15.75" customHeight="1">
      <c r="A3635" s="1" t="s">
        <v>226</v>
      </c>
      <c r="B3635" s="1" t="s">
        <v>116</v>
      </c>
      <c r="C3635" s="1" t="s">
        <v>11</v>
      </c>
      <c r="D3635" s="5">
        <v>45322.0</v>
      </c>
      <c r="G3635" s="1">
        <f>VLOOKUP(B3635,'old-aw-skill-plan'!A:I,7,FALSE)</f>
        <v>3</v>
      </c>
      <c r="H3635" s="1" t="str">
        <f>VLOOKUP(B3635,'old-aw-skill-plan'!A:I,9,FALSE)</f>
        <v>3-9</v>
      </c>
    </row>
    <row r="3636" ht="15.75" customHeight="1">
      <c r="A3636" s="1" t="s">
        <v>102</v>
      </c>
      <c r="B3636" s="1" t="s">
        <v>57</v>
      </c>
      <c r="C3636" s="1" t="s">
        <v>11</v>
      </c>
      <c r="D3636" s="5">
        <v>45322.0</v>
      </c>
      <c r="G3636" s="1">
        <f>VLOOKUP(B3636,'old-aw-skill-plan'!A:I,7,FALSE)</f>
        <v>3</v>
      </c>
      <c r="H3636" s="1" t="str">
        <f>VLOOKUP(B3636,'old-aw-skill-plan'!A:I,9,FALSE)</f>
        <v>3-7</v>
      </c>
    </row>
    <row r="3637" ht="15.75" customHeight="1">
      <c r="A3637" s="1" t="s">
        <v>102</v>
      </c>
      <c r="B3637" s="1" t="s">
        <v>58</v>
      </c>
      <c r="C3637" s="1" t="s">
        <v>11</v>
      </c>
      <c r="D3637" s="5">
        <v>45322.0</v>
      </c>
      <c r="G3637" s="1">
        <f>VLOOKUP(B3637,'old-aw-skill-plan'!A:I,7,FALSE)</f>
        <v>3</v>
      </c>
      <c r="H3637" s="1" t="str">
        <f>VLOOKUP(B3637,'old-aw-skill-plan'!A:I,9,FALSE)</f>
        <v>3-8</v>
      </c>
    </row>
    <row r="3638" ht="15.75" customHeight="1">
      <c r="A3638" s="1" t="s">
        <v>31</v>
      </c>
      <c r="B3638" s="1" t="s">
        <v>47</v>
      </c>
      <c r="C3638" s="1" t="s">
        <v>11</v>
      </c>
      <c r="D3638" s="5">
        <v>45321.0</v>
      </c>
      <c r="G3638" s="1">
        <f>VLOOKUP(B3638,'old-aw-skill-plan'!A:I,7,FALSE)</f>
        <v>3</v>
      </c>
      <c r="H3638" s="1" t="str">
        <f>VLOOKUP(B3638,'old-aw-skill-plan'!A:I,9,FALSE)</f>
        <v>3-2</v>
      </c>
    </row>
    <row r="3639" ht="15.75" customHeight="1">
      <c r="A3639" s="1" t="s">
        <v>24</v>
      </c>
      <c r="B3639" s="1" t="s">
        <v>37</v>
      </c>
      <c r="C3639" s="1" t="s">
        <v>11</v>
      </c>
      <c r="D3639" s="5">
        <v>45321.0</v>
      </c>
      <c r="G3639" s="1">
        <f>VLOOKUP(B3639,'old-aw-skill-plan'!A:I,7,FALSE)</f>
        <v>4</v>
      </c>
      <c r="H3639" s="1" t="str">
        <f>VLOOKUP(B3639,'old-aw-skill-plan'!A:I,9,FALSE)</f>
        <v>4-2</v>
      </c>
    </row>
    <row r="3640" ht="15.75" customHeight="1">
      <c r="A3640" s="1" t="s">
        <v>419</v>
      </c>
      <c r="B3640" s="1" t="s">
        <v>104</v>
      </c>
      <c r="C3640" s="1" t="s">
        <v>11</v>
      </c>
      <c r="D3640" s="5">
        <v>45321.0</v>
      </c>
      <c r="G3640" s="1">
        <f>VLOOKUP(B3640,'old-aw-skill-plan'!A:I,7,FALSE)</f>
        <v>5</v>
      </c>
      <c r="H3640" s="1" t="str">
        <f>VLOOKUP(B3640,'old-aw-skill-plan'!A:I,9,FALSE)</f>
        <v>5-2</v>
      </c>
    </row>
    <row r="3641" ht="15.75" customHeight="1">
      <c r="A3641" s="1" t="s">
        <v>421</v>
      </c>
      <c r="B3641" s="1" t="s">
        <v>85</v>
      </c>
      <c r="C3641" s="1" t="s">
        <v>11</v>
      </c>
      <c r="D3641" s="5">
        <v>45321.0</v>
      </c>
      <c r="G3641" s="1">
        <f>VLOOKUP(B3641,'old-aw-skill-plan'!A:I,7,FALSE)</f>
        <v>5</v>
      </c>
      <c r="H3641" s="1" t="str">
        <f>VLOOKUP(B3641,'old-aw-skill-plan'!A:I,9,FALSE)</f>
        <v>5-8</v>
      </c>
    </row>
    <row r="3642" ht="15.75" customHeight="1">
      <c r="A3642" s="1" t="s">
        <v>230</v>
      </c>
      <c r="B3642" s="1" t="s">
        <v>58</v>
      </c>
      <c r="C3642" s="1" t="s">
        <v>11</v>
      </c>
      <c r="D3642" s="5">
        <v>45321.0</v>
      </c>
      <c r="G3642" s="1">
        <f>VLOOKUP(B3642,'old-aw-skill-plan'!A:I,7,FALSE)</f>
        <v>3</v>
      </c>
      <c r="H3642" s="1" t="str">
        <f>VLOOKUP(B3642,'old-aw-skill-plan'!A:I,9,FALSE)</f>
        <v>3-8</v>
      </c>
    </row>
    <row r="3643" ht="15.75" customHeight="1">
      <c r="A3643" s="1" t="s">
        <v>428</v>
      </c>
      <c r="B3643" s="1" t="s">
        <v>66</v>
      </c>
      <c r="C3643" s="1" t="s">
        <v>11</v>
      </c>
      <c r="D3643" s="5">
        <v>45321.0</v>
      </c>
      <c r="G3643" s="1">
        <f>VLOOKUP(B3643,'old-aw-skill-plan'!A:I,7,FALSE)</f>
        <v>4</v>
      </c>
      <c r="H3643" s="1" t="str">
        <f>VLOOKUP(B3643,'old-aw-skill-plan'!A:I,9,FALSE)</f>
        <v>4-9</v>
      </c>
    </row>
    <row r="3644" ht="15.75" customHeight="1">
      <c r="A3644" s="1" t="s">
        <v>95</v>
      </c>
      <c r="B3644" s="1" t="s">
        <v>28</v>
      </c>
      <c r="C3644" s="1" t="s">
        <v>11</v>
      </c>
      <c r="D3644" s="5">
        <v>45321.0</v>
      </c>
      <c r="G3644" s="1">
        <f>VLOOKUP(B3644,'old-aw-skill-plan'!A:I,7,FALSE)</f>
        <v>3</v>
      </c>
      <c r="H3644" s="1" t="str">
        <f>VLOOKUP(B3644,'old-aw-skill-plan'!A:I,9,FALSE)</f>
        <v>3-4</v>
      </c>
    </row>
    <row r="3645" ht="15.75" customHeight="1">
      <c r="A3645" s="1" t="s">
        <v>211</v>
      </c>
      <c r="B3645" s="1" t="s">
        <v>28</v>
      </c>
      <c r="C3645" s="1" t="s">
        <v>11</v>
      </c>
      <c r="D3645" s="5">
        <v>45321.0</v>
      </c>
      <c r="G3645" s="1">
        <f>VLOOKUP(B3645,'old-aw-skill-plan'!A:I,7,FALSE)</f>
        <v>3</v>
      </c>
      <c r="H3645" s="1" t="str">
        <f>VLOOKUP(B3645,'old-aw-skill-plan'!A:I,9,FALSE)</f>
        <v>3-4</v>
      </c>
    </row>
    <row r="3646" ht="15.75" customHeight="1">
      <c r="A3646" s="1" t="s">
        <v>373</v>
      </c>
      <c r="B3646" s="1" t="s">
        <v>28</v>
      </c>
      <c r="C3646" s="1" t="s">
        <v>11</v>
      </c>
      <c r="D3646" s="5">
        <v>45321.0</v>
      </c>
      <c r="G3646" s="1">
        <f>VLOOKUP(B3646,'old-aw-skill-plan'!A:I,7,FALSE)</f>
        <v>3</v>
      </c>
      <c r="H3646" s="1" t="str">
        <f>VLOOKUP(B3646,'old-aw-skill-plan'!A:I,9,FALSE)</f>
        <v>3-4</v>
      </c>
    </row>
    <row r="3647" ht="15.75" customHeight="1">
      <c r="A3647" s="1" t="s">
        <v>427</v>
      </c>
      <c r="B3647" s="1" t="s">
        <v>28</v>
      </c>
      <c r="C3647" s="1" t="s">
        <v>11</v>
      </c>
      <c r="D3647" s="5">
        <v>45321.0</v>
      </c>
      <c r="G3647" s="1">
        <f>VLOOKUP(B3647,'old-aw-skill-plan'!A:I,7,FALSE)</f>
        <v>3</v>
      </c>
      <c r="H3647" s="1" t="str">
        <f>VLOOKUP(B3647,'old-aw-skill-plan'!A:I,9,FALSE)</f>
        <v>3-4</v>
      </c>
    </row>
    <row r="3648" ht="15.75" customHeight="1">
      <c r="A3648" s="1" t="s">
        <v>110</v>
      </c>
      <c r="B3648" s="1" t="s">
        <v>307</v>
      </c>
      <c r="C3648" s="1" t="s">
        <v>11</v>
      </c>
      <c r="D3648" s="5">
        <v>45321.0</v>
      </c>
      <c r="G3648" s="1">
        <f>VLOOKUP(B3648,'old-aw-skill-plan'!A:I,7,FALSE)</f>
        <v>3</v>
      </c>
      <c r="H3648" s="1" t="str">
        <f>VLOOKUP(B3648,'old-aw-skill-plan'!A:I,9,FALSE)</f>
        <v>3-1</v>
      </c>
    </row>
    <row r="3649" ht="15.75" customHeight="1">
      <c r="A3649" s="1" t="s">
        <v>266</v>
      </c>
      <c r="B3649" s="1" t="s">
        <v>48</v>
      </c>
      <c r="C3649" s="1" t="s">
        <v>11</v>
      </c>
      <c r="D3649" s="5">
        <v>45320.0</v>
      </c>
      <c r="G3649" s="1">
        <f>VLOOKUP(B3649,'old-aw-skill-plan'!A:I,7,FALSE)</f>
        <v>3</v>
      </c>
      <c r="H3649" s="1" t="str">
        <f>VLOOKUP(B3649,'old-aw-skill-plan'!A:I,9,FALSE)</f>
        <v>3-6</v>
      </c>
    </row>
    <row r="3650" ht="15.75" customHeight="1">
      <c r="A3650" s="1" t="s">
        <v>22</v>
      </c>
      <c r="B3650" s="1" t="s">
        <v>19</v>
      </c>
      <c r="C3650" s="1" t="s">
        <v>11</v>
      </c>
      <c r="D3650" s="5">
        <v>45320.0</v>
      </c>
      <c r="G3650" s="1">
        <f>VLOOKUP(B3650,'old-aw-skill-plan'!A:I,7,FALSE)</f>
        <v>4</v>
      </c>
      <c r="H3650" s="1" t="str">
        <f>VLOOKUP(B3650,'old-aw-skill-plan'!A:I,9,FALSE)</f>
        <v>4-7</v>
      </c>
    </row>
    <row r="3651" ht="15.75" customHeight="1">
      <c r="A3651" s="1" t="s">
        <v>31</v>
      </c>
      <c r="B3651" s="1" t="s">
        <v>47</v>
      </c>
      <c r="C3651" s="1" t="s">
        <v>11</v>
      </c>
      <c r="D3651" s="5">
        <v>45320.0</v>
      </c>
      <c r="G3651" s="1">
        <f>VLOOKUP(B3651,'old-aw-skill-plan'!A:I,7,FALSE)</f>
        <v>3</v>
      </c>
      <c r="H3651" s="1" t="str">
        <f>VLOOKUP(B3651,'old-aw-skill-plan'!A:I,9,FALSE)</f>
        <v>3-2</v>
      </c>
    </row>
    <row r="3652" ht="15.75" customHeight="1">
      <c r="A3652" s="1" t="s">
        <v>216</v>
      </c>
      <c r="B3652" s="1" t="s">
        <v>34</v>
      </c>
      <c r="C3652" s="1" t="s">
        <v>11</v>
      </c>
      <c r="D3652" s="5">
        <v>45320.0</v>
      </c>
      <c r="G3652" s="1">
        <f>VLOOKUP(B3652,'old-aw-skill-plan'!A:I,7,FALSE)</f>
        <v>4</v>
      </c>
      <c r="H3652" s="1" t="str">
        <f>VLOOKUP(B3652,'old-aw-skill-plan'!A:I,9,FALSE)</f>
        <v>4-1</v>
      </c>
    </row>
    <row r="3653" ht="15.75" customHeight="1">
      <c r="A3653" s="1" t="s">
        <v>24</v>
      </c>
      <c r="B3653" s="1" t="s">
        <v>37</v>
      </c>
      <c r="C3653" s="1" t="s">
        <v>11</v>
      </c>
      <c r="D3653" s="5">
        <v>45320.0</v>
      </c>
      <c r="G3653" s="1">
        <f>VLOOKUP(B3653,'old-aw-skill-plan'!A:I,7,FALSE)</f>
        <v>4</v>
      </c>
      <c r="H3653" s="1" t="str">
        <f>VLOOKUP(B3653,'old-aw-skill-plan'!A:I,9,FALSE)</f>
        <v>4-2</v>
      </c>
    </row>
    <row r="3654" ht="15.75" customHeight="1">
      <c r="A3654" s="1" t="s">
        <v>213</v>
      </c>
      <c r="B3654" s="1" t="s">
        <v>47</v>
      </c>
      <c r="C3654" s="1" t="s">
        <v>11</v>
      </c>
      <c r="D3654" s="5">
        <v>45320.0</v>
      </c>
      <c r="G3654" s="1">
        <f>VLOOKUP(B3654,'old-aw-skill-plan'!A:I,7,FALSE)</f>
        <v>3</v>
      </c>
      <c r="H3654" s="1" t="str">
        <f>VLOOKUP(B3654,'old-aw-skill-plan'!A:I,9,FALSE)</f>
        <v>3-2</v>
      </c>
    </row>
    <row r="3655" ht="15.75" customHeight="1">
      <c r="A3655" s="1" t="s">
        <v>199</v>
      </c>
      <c r="B3655" s="1" t="s">
        <v>34</v>
      </c>
      <c r="C3655" s="1" t="s">
        <v>11</v>
      </c>
      <c r="D3655" s="5">
        <v>45320.0</v>
      </c>
      <c r="G3655" s="1">
        <f>VLOOKUP(B3655,'old-aw-skill-plan'!A:I,7,FALSE)</f>
        <v>4</v>
      </c>
      <c r="H3655" s="1" t="str">
        <f>VLOOKUP(B3655,'old-aw-skill-plan'!A:I,9,FALSE)</f>
        <v>4-1</v>
      </c>
    </row>
    <row r="3656" ht="15.75" customHeight="1">
      <c r="A3656" s="1" t="s">
        <v>36</v>
      </c>
      <c r="B3656" s="1" t="s">
        <v>33</v>
      </c>
      <c r="C3656" s="1" t="s">
        <v>11</v>
      </c>
      <c r="D3656" s="5">
        <v>45320.0</v>
      </c>
      <c r="G3656" s="1">
        <f>VLOOKUP(B3656,'old-aw-skill-plan'!A:I,7,FALSE)</f>
        <v>3</v>
      </c>
      <c r="H3656" s="1" t="str">
        <f>VLOOKUP(B3656,'old-aw-skill-plan'!A:I,9,FALSE)</f>
        <v>3-5</v>
      </c>
    </row>
    <row r="3657" ht="15.75" customHeight="1">
      <c r="A3657" s="1" t="s">
        <v>273</v>
      </c>
      <c r="B3657" s="1" t="s">
        <v>48</v>
      </c>
      <c r="C3657" s="1" t="s">
        <v>11</v>
      </c>
      <c r="D3657" s="5">
        <v>45320.0</v>
      </c>
      <c r="G3657" s="1">
        <f>VLOOKUP(B3657,'old-aw-skill-plan'!A:I,7,FALSE)</f>
        <v>3</v>
      </c>
      <c r="H3657" s="1" t="str">
        <f>VLOOKUP(B3657,'old-aw-skill-plan'!A:I,9,FALSE)</f>
        <v>3-6</v>
      </c>
    </row>
    <row r="3658" ht="15.75" customHeight="1">
      <c r="A3658" s="1" t="s">
        <v>452</v>
      </c>
      <c r="B3658" s="1" t="s">
        <v>25</v>
      </c>
      <c r="C3658" s="1" t="s">
        <v>11</v>
      </c>
      <c r="D3658" s="5">
        <v>45320.0</v>
      </c>
      <c r="G3658" s="1">
        <f>VLOOKUP(B3658,'old-aw-skill-plan'!A:I,7,FALSE)</f>
        <v>5</v>
      </c>
      <c r="H3658" s="1" t="str">
        <f>VLOOKUP(B3658,'old-aw-skill-plan'!A:I,9,FALSE)</f>
        <v>5-4</v>
      </c>
    </row>
    <row r="3659" ht="15.75" customHeight="1">
      <c r="A3659" s="1" t="s">
        <v>419</v>
      </c>
      <c r="B3659" s="1" t="s">
        <v>104</v>
      </c>
      <c r="C3659" s="1" t="s">
        <v>11</v>
      </c>
      <c r="D3659" s="5">
        <v>45320.0</v>
      </c>
      <c r="G3659" s="1">
        <f>VLOOKUP(B3659,'old-aw-skill-plan'!A:I,7,FALSE)</f>
        <v>5</v>
      </c>
      <c r="H3659" s="1" t="str">
        <f>VLOOKUP(B3659,'old-aw-skill-plan'!A:I,9,FALSE)</f>
        <v>5-2</v>
      </c>
    </row>
    <row r="3660" ht="15.75" customHeight="1">
      <c r="A3660" s="1" t="s">
        <v>46</v>
      </c>
      <c r="B3660" s="1" t="s">
        <v>30</v>
      </c>
      <c r="C3660" s="1" t="s">
        <v>11</v>
      </c>
      <c r="D3660" s="5">
        <v>45320.0</v>
      </c>
      <c r="G3660" s="1">
        <f>VLOOKUP(B3660,'old-aw-skill-plan'!A:I,7,FALSE)</f>
        <v>3</v>
      </c>
      <c r="H3660" s="1" t="str">
        <f>VLOOKUP(B3660,'old-aw-skill-plan'!A:I,9,FALSE)</f>
        <v>3-3</v>
      </c>
    </row>
    <row r="3661" ht="15.75" customHeight="1">
      <c r="A3661" s="1" t="s">
        <v>81</v>
      </c>
      <c r="B3661" s="1" t="s">
        <v>402</v>
      </c>
      <c r="C3661" s="1" t="s">
        <v>11</v>
      </c>
      <c r="D3661" s="5">
        <v>45320.0</v>
      </c>
      <c r="G3661" s="1">
        <f>VLOOKUP(B3661,'old-aw-skill-plan'!A:I,7,FALSE)</f>
        <v>4</v>
      </c>
      <c r="H3661" s="1" t="str">
        <f>VLOOKUP(B3661,'old-aw-skill-plan'!A:I,9,FALSE)</f>
        <v>4-2</v>
      </c>
    </row>
    <row r="3662" ht="15.75" customHeight="1">
      <c r="A3662" s="1" t="s">
        <v>429</v>
      </c>
      <c r="B3662" s="1" t="s">
        <v>97</v>
      </c>
      <c r="C3662" s="1" t="s">
        <v>11</v>
      </c>
      <c r="D3662" s="5">
        <v>45320.0</v>
      </c>
      <c r="G3662" s="1">
        <f>VLOOKUP(B3662,'old-aw-skill-plan'!A:I,7,FALSE)</f>
        <v>4</v>
      </c>
      <c r="H3662" s="1" t="str">
        <f>VLOOKUP(B3662,'old-aw-skill-plan'!A:I,9,FALSE)</f>
        <v>4-3</v>
      </c>
    </row>
    <row r="3663" ht="15.75" customHeight="1">
      <c r="A3663" s="1" t="s">
        <v>421</v>
      </c>
      <c r="B3663" s="1" t="s">
        <v>85</v>
      </c>
      <c r="C3663" s="1" t="s">
        <v>11</v>
      </c>
      <c r="D3663" s="5">
        <v>45320.0</v>
      </c>
      <c r="G3663" s="1">
        <f>VLOOKUP(B3663,'old-aw-skill-plan'!A:I,7,FALSE)</f>
        <v>5</v>
      </c>
      <c r="H3663" s="1" t="str">
        <f>VLOOKUP(B3663,'old-aw-skill-plan'!A:I,9,FALSE)</f>
        <v>5-8</v>
      </c>
    </row>
    <row r="3664" ht="15.75" customHeight="1">
      <c r="A3664" s="1" t="s">
        <v>420</v>
      </c>
      <c r="B3664" s="1" t="s">
        <v>10</v>
      </c>
      <c r="C3664" s="1" t="s">
        <v>11</v>
      </c>
      <c r="D3664" s="5">
        <v>45320.0</v>
      </c>
      <c r="G3664" s="1">
        <f>VLOOKUP(B3664,'old-aw-skill-plan'!A:I,7,FALSE)</f>
        <v>3</v>
      </c>
      <c r="H3664" s="1" t="str">
        <f>VLOOKUP(B3664,'old-aw-skill-plan'!A:I,9,FALSE)</f>
        <v>3-1</v>
      </c>
    </row>
    <row r="3665" ht="15.75" customHeight="1">
      <c r="A3665" s="1" t="s">
        <v>431</v>
      </c>
      <c r="B3665" s="1" t="s">
        <v>416</v>
      </c>
      <c r="C3665" s="1" t="s">
        <v>11</v>
      </c>
      <c r="D3665" s="5">
        <v>45320.0</v>
      </c>
      <c r="G3665" s="1" t="str">
        <f>VLOOKUP(B3665,'old-aw-skill-plan'!A:I,7,FALSE)</f>
        <v>#N/A</v>
      </c>
      <c r="H3665" s="1" t="str">
        <f>VLOOKUP(B3665,'old-aw-skill-plan'!A:I,9,FALSE)</f>
        <v>#N/A</v>
      </c>
    </row>
    <row r="3666" ht="15.75" customHeight="1">
      <c r="A3666" s="1" t="s">
        <v>275</v>
      </c>
      <c r="B3666" s="1" t="s">
        <v>312</v>
      </c>
      <c r="C3666" s="1" t="s">
        <v>11</v>
      </c>
      <c r="D3666" s="5">
        <v>45320.0</v>
      </c>
      <c r="G3666" s="1" t="str">
        <f>VLOOKUP(B3666,'old-aw-skill-plan'!A:I,7,FALSE)</f>
        <v>#N/A</v>
      </c>
      <c r="H3666" s="1" t="str">
        <f>VLOOKUP(B3666,'old-aw-skill-plan'!A:I,9,FALSE)</f>
        <v>#N/A</v>
      </c>
    </row>
    <row r="3667" ht="15.75" customHeight="1">
      <c r="A3667" s="1" t="s">
        <v>268</v>
      </c>
      <c r="B3667" s="1" t="s">
        <v>117</v>
      </c>
      <c r="C3667" s="1" t="s">
        <v>11</v>
      </c>
      <c r="D3667" s="5">
        <v>45320.0</v>
      </c>
      <c r="G3667" s="1">
        <f>VLOOKUP(B3667,'old-aw-skill-plan'!A:I,7,FALSE)</f>
        <v>3</v>
      </c>
      <c r="H3667" s="1" t="str">
        <f>VLOOKUP(B3667,'old-aw-skill-plan'!A:I,9,FALSE)</f>
        <v>3-11</v>
      </c>
    </row>
    <row r="3668" ht="15.75" customHeight="1">
      <c r="A3668" s="1" t="s">
        <v>95</v>
      </c>
      <c r="B3668" s="1" t="s">
        <v>28</v>
      </c>
      <c r="C3668" s="1" t="s">
        <v>11</v>
      </c>
      <c r="D3668" s="5">
        <v>45320.0</v>
      </c>
      <c r="G3668" s="1">
        <f>VLOOKUP(B3668,'old-aw-skill-plan'!A:I,7,FALSE)</f>
        <v>3</v>
      </c>
      <c r="H3668" s="1" t="str">
        <f>VLOOKUP(B3668,'old-aw-skill-plan'!A:I,9,FALSE)</f>
        <v>3-4</v>
      </c>
    </row>
    <row r="3669" ht="15.75" customHeight="1">
      <c r="A3669" s="1" t="s">
        <v>211</v>
      </c>
      <c r="B3669" s="1" t="s">
        <v>28</v>
      </c>
      <c r="C3669" s="1" t="s">
        <v>11</v>
      </c>
      <c r="D3669" s="5">
        <v>45320.0</v>
      </c>
      <c r="G3669" s="1">
        <f>VLOOKUP(B3669,'old-aw-skill-plan'!A:I,7,FALSE)</f>
        <v>3</v>
      </c>
      <c r="H3669" s="1" t="str">
        <f>VLOOKUP(B3669,'old-aw-skill-plan'!A:I,9,FALSE)</f>
        <v>3-4</v>
      </c>
    </row>
    <row r="3670" ht="15.75" customHeight="1">
      <c r="A3670" s="1" t="s">
        <v>197</v>
      </c>
      <c r="B3670" s="1" t="s">
        <v>42</v>
      </c>
      <c r="C3670" s="1" t="s">
        <v>11</v>
      </c>
      <c r="D3670" s="5">
        <v>45320.0</v>
      </c>
      <c r="G3670" s="1">
        <f>VLOOKUP(B3670,'old-aw-skill-plan'!A:I,7,FALSE)</f>
        <v>4</v>
      </c>
      <c r="H3670" s="1" t="str">
        <f>VLOOKUP(B3670,'old-aw-skill-plan'!A:I,9,FALSE)</f>
        <v>4-11</v>
      </c>
    </row>
    <row r="3671" ht="15.75" customHeight="1">
      <c r="A3671" s="1" t="s">
        <v>373</v>
      </c>
      <c r="B3671" s="1" t="s">
        <v>28</v>
      </c>
      <c r="C3671" s="1" t="s">
        <v>11</v>
      </c>
      <c r="D3671" s="5">
        <v>45320.0</v>
      </c>
      <c r="G3671" s="1">
        <f>VLOOKUP(B3671,'old-aw-skill-plan'!A:I,7,FALSE)</f>
        <v>3</v>
      </c>
      <c r="H3671" s="1" t="str">
        <f>VLOOKUP(B3671,'old-aw-skill-plan'!A:I,9,FALSE)</f>
        <v>3-4</v>
      </c>
    </row>
    <row r="3672" ht="15.75" customHeight="1">
      <c r="A3672" s="1" t="s">
        <v>226</v>
      </c>
      <c r="B3672" s="1" t="s">
        <v>57</v>
      </c>
      <c r="C3672" s="1" t="s">
        <v>11</v>
      </c>
      <c r="D3672" s="5">
        <v>45320.0</v>
      </c>
      <c r="G3672" s="1">
        <f>VLOOKUP(B3672,'old-aw-skill-plan'!A:I,7,FALSE)</f>
        <v>3</v>
      </c>
      <c r="H3672" s="1" t="str">
        <f>VLOOKUP(B3672,'old-aw-skill-plan'!A:I,9,FALSE)</f>
        <v>3-7</v>
      </c>
    </row>
    <row r="3673" ht="15.75" customHeight="1">
      <c r="A3673" s="1" t="s">
        <v>226</v>
      </c>
      <c r="B3673" s="1" t="s">
        <v>58</v>
      </c>
      <c r="C3673" s="1" t="s">
        <v>11</v>
      </c>
      <c r="D3673" s="5">
        <v>45320.0</v>
      </c>
      <c r="G3673" s="1">
        <f>VLOOKUP(B3673,'old-aw-skill-plan'!A:I,7,FALSE)</f>
        <v>3</v>
      </c>
      <c r="H3673" s="1" t="str">
        <f>VLOOKUP(B3673,'old-aw-skill-plan'!A:I,9,FALSE)</f>
        <v>3-8</v>
      </c>
    </row>
    <row r="3674" ht="15.75" customHeight="1">
      <c r="A3674" s="1" t="s">
        <v>225</v>
      </c>
      <c r="B3674" s="1" t="s">
        <v>61</v>
      </c>
      <c r="C3674" s="1" t="s">
        <v>11</v>
      </c>
      <c r="D3674" s="5">
        <v>45320.0</v>
      </c>
      <c r="G3674" s="1">
        <f>VLOOKUP(B3674,'old-aw-skill-plan'!A:I,7,FALSE)</f>
        <v>4</v>
      </c>
      <c r="H3674" s="1" t="str">
        <f>VLOOKUP(B3674,'old-aw-skill-plan'!A:I,9,FALSE)</f>
        <v>4-4</v>
      </c>
    </row>
    <row r="3675" ht="15.75" customHeight="1">
      <c r="A3675" s="1" t="s">
        <v>427</v>
      </c>
      <c r="B3675" s="1" t="s">
        <v>48</v>
      </c>
      <c r="C3675" s="1" t="s">
        <v>11</v>
      </c>
      <c r="D3675" s="5">
        <v>45320.0</v>
      </c>
      <c r="G3675" s="1">
        <f>VLOOKUP(B3675,'old-aw-skill-plan'!A:I,7,FALSE)</f>
        <v>3</v>
      </c>
      <c r="H3675" s="1" t="str">
        <f>VLOOKUP(B3675,'old-aw-skill-plan'!A:I,9,FALSE)</f>
        <v>3-6</v>
      </c>
    </row>
    <row r="3676" ht="15.75" customHeight="1">
      <c r="A3676" s="1" t="s">
        <v>110</v>
      </c>
      <c r="B3676" s="1" t="s">
        <v>356</v>
      </c>
      <c r="C3676" s="1" t="s">
        <v>11</v>
      </c>
      <c r="D3676" s="5">
        <v>45320.0</v>
      </c>
      <c r="G3676" s="1">
        <f>VLOOKUP(B3676,'old-aw-skill-plan'!A:I,7,FALSE)</f>
        <v>3</v>
      </c>
      <c r="H3676" s="1" t="str">
        <f>VLOOKUP(B3676,'old-aw-skill-plan'!A:I,9,FALSE)</f>
        <v>3-2</v>
      </c>
    </row>
    <row r="3677" ht="15.75" customHeight="1">
      <c r="A3677" s="1" t="s">
        <v>454</v>
      </c>
      <c r="B3677" s="1" t="s">
        <v>58</v>
      </c>
      <c r="C3677" s="1" t="s">
        <v>11</v>
      </c>
      <c r="D3677" s="5">
        <v>45319.0</v>
      </c>
      <c r="G3677" s="1">
        <f>VLOOKUP(B3677,'old-aw-skill-plan'!A:I,7,FALSE)</f>
        <v>3</v>
      </c>
      <c r="H3677" s="1" t="str">
        <f>VLOOKUP(B3677,'old-aw-skill-plan'!A:I,9,FALSE)</f>
        <v>3-8</v>
      </c>
    </row>
    <row r="3678" ht="15.75" customHeight="1">
      <c r="A3678" s="1" t="s">
        <v>454</v>
      </c>
      <c r="B3678" s="1" t="s">
        <v>445</v>
      </c>
      <c r="C3678" s="1" t="s">
        <v>11</v>
      </c>
      <c r="D3678" s="5">
        <v>45319.0</v>
      </c>
      <c r="G3678" s="1">
        <f>VLOOKUP(B3678,'old-aw-skill-plan'!A:I,7,FALSE)</f>
        <v>3</v>
      </c>
      <c r="H3678" s="1" t="str">
        <f>VLOOKUP(B3678,'old-aw-skill-plan'!A:I,9,FALSE)</f>
        <v>3-9</v>
      </c>
    </row>
    <row r="3679" ht="15.75" customHeight="1">
      <c r="A3679" s="1" t="s">
        <v>454</v>
      </c>
      <c r="B3679" s="1" t="s">
        <v>404</v>
      </c>
      <c r="C3679" s="1" t="s">
        <v>11</v>
      </c>
      <c r="D3679" s="5">
        <v>45319.0</v>
      </c>
      <c r="G3679" s="1">
        <f>VLOOKUP(B3679,'old-aw-skill-plan'!A:I,7,FALSE)</f>
        <v>3</v>
      </c>
      <c r="H3679" s="1" t="str">
        <f>VLOOKUP(B3679,'old-aw-skill-plan'!A:I,9,FALSE)</f>
        <v>3-8</v>
      </c>
    </row>
    <row r="3680" ht="15.75" customHeight="1">
      <c r="A3680" s="1" t="s">
        <v>454</v>
      </c>
      <c r="B3680" s="1" t="s">
        <v>405</v>
      </c>
      <c r="C3680" s="1" t="s">
        <v>11</v>
      </c>
      <c r="D3680" s="5">
        <v>45319.0</v>
      </c>
      <c r="G3680" s="1">
        <f>VLOOKUP(B3680,'old-aw-skill-plan'!A:I,7,FALSE)</f>
        <v>3</v>
      </c>
      <c r="H3680" s="1" t="str">
        <f>VLOOKUP(B3680,'old-aw-skill-plan'!A:I,9,FALSE)</f>
        <v>3-9</v>
      </c>
    </row>
    <row r="3681" ht="15.75" customHeight="1">
      <c r="A3681" s="1" t="s">
        <v>454</v>
      </c>
      <c r="B3681" s="1" t="s">
        <v>442</v>
      </c>
      <c r="C3681" s="1" t="s">
        <v>11</v>
      </c>
      <c r="D3681" s="5">
        <v>45319.0</v>
      </c>
      <c r="G3681" s="1">
        <f>VLOOKUP(B3681,'old-aw-skill-plan'!A:I,7,FALSE)</f>
        <v>3</v>
      </c>
      <c r="H3681" s="1" t="str">
        <f>VLOOKUP(B3681,'old-aw-skill-plan'!A:I,9,FALSE)</f>
        <v>3-8</v>
      </c>
    </row>
    <row r="3682" ht="15.75" customHeight="1">
      <c r="A3682" s="1" t="s">
        <v>429</v>
      </c>
      <c r="B3682" s="1" t="s">
        <v>37</v>
      </c>
      <c r="C3682" s="1" t="s">
        <v>11</v>
      </c>
      <c r="D3682" s="5">
        <v>45319.0</v>
      </c>
      <c r="G3682" s="1">
        <f>VLOOKUP(B3682,'old-aw-skill-plan'!A:I,7,FALSE)</f>
        <v>4</v>
      </c>
      <c r="H3682" s="1" t="str">
        <f>VLOOKUP(B3682,'old-aw-skill-plan'!A:I,9,FALSE)</f>
        <v>4-2</v>
      </c>
    </row>
    <row r="3683" ht="15.75" customHeight="1">
      <c r="A3683" s="1" t="s">
        <v>266</v>
      </c>
      <c r="B3683" s="1" t="s">
        <v>433</v>
      </c>
      <c r="C3683" s="1" t="s">
        <v>11</v>
      </c>
      <c r="D3683" s="5">
        <v>45317.0</v>
      </c>
      <c r="G3683" s="1">
        <f>VLOOKUP(B3683,'old-aw-skill-plan'!A:I,7,FALSE)</f>
        <v>4</v>
      </c>
      <c r="H3683" s="1" t="str">
        <f>VLOOKUP(B3683,'old-aw-skill-plan'!A:I,9,FALSE)</f>
        <v>4-4</v>
      </c>
    </row>
    <row r="3684" ht="15.75" customHeight="1">
      <c r="A3684" s="1" t="s">
        <v>266</v>
      </c>
      <c r="B3684" s="1" t="s">
        <v>399</v>
      </c>
      <c r="C3684" s="1" t="s">
        <v>11</v>
      </c>
      <c r="D3684" s="5">
        <v>45317.0</v>
      </c>
      <c r="G3684" s="1">
        <f>VLOOKUP(B3684,'old-aw-skill-plan'!A:I,7,FALSE)</f>
        <v>4</v>
      </c>
      <c r="H3684" s="1" t="str">
        <f>VLOOKUP(B3684,'old-aw-skill-plan'!A:I,9,FALSE)</f>
        <v>4-7</v>
      </c>
    </row>
    <row r="3685" ht="15.75" customHeight="1">
      <c r="A3685" s="1" t="s">
        <v>24</v>
      </c>
      <c r="B3685" s="1" t="s">
        <v>37</v>
      </c>
      <c r="C3685" s="1" t="s">
        <v>11</v>
      </c>
      <c r="D3685" s="5">
        <v>45317.0</v>
      </c>
      <c r="G3685" s="1">
        <f>VLOOKUP(B3685,'old-aw-skill-plan'!A:I,7,FALSE)</f>
        <v>4</v>
      </c>
      <c r="H3685" s="1" t="str">
        <f>VLOOKUP(B3685,'old-aw-skill-plan'!A:I,9,FALSE)</f>
        <v>4-2</v>
      </c>
    </row>
    <row r="3686" ht="15.75" customHeight="1">
      <c r="A3686" s="1" t="s">
        <v>434</v>
      </c>
      <c r="B3686" s="1" t="s">
        <v>117</v>
      </c>
      <c r="C3686" s="1" t="s">
        <v>11</v>
      </c>
      <c r="D3686" s="5">
        <v>45317.0</v>
      </c>
      <c r="G3686" s="1">
        <f>VLOOKUP(B3686,'old-aw-skill-plan'!A:I,7,FALSE)</f>
        <v>3</v>
      </c>
      <c r="H3686" s="1" t="str">
        <f>VLOOKUP(B3686,'old-aw-skill-plan'!A:I,9,FALSE)</f>
        <v>3-11</v>
      </c>
    </row>
    <row r="3687" ht="15.75" customHeight="1">
      <c r="A3687" s="1" t="s">
        <v>213</v>
      </c>
      <c r="B3687" s="1" t="s">
        <v>30</v>
      </c>
      <c r="C3687" s="1" t="s">
        <v>11</v>
      </c>
      <c r="D3687" s="5">
        <v>45317.0</v>
      </c>
      <c r="G3687" s="1">
        <f>VLOOKUP(B3687,'old-aw-skill-plan'!A:I,7,FALSE)</f>
        <v>3</v>
      </c>
      <c r="H3687" s="1" t="str">
        <f>VLOOKUP(B3687,'old-aw-skill-plan'!A:I,9,FALSE)</f>
        <v>3-3</v>
      </c>
    </row>
    <row r="3688" ht="15.75" customHeight="1">
      <c r="A3688" s="1" t="s">
        <v>199</v>
      </c>
      <c r="B3688" s="1" t="s">
        <v>34</v>
      </c>
      <c r="C3688" s="1" t="s">
        <v>11</v>
      </c>
      <c r="D3688" s="5">
        <v>45317.0</v>
      </c>
      <c r="G3688" s="1">
        <f>VLOOKUP(B3688,'old-aw-skill-plan'!A:I,7,FALSE)</f>
        <v>4</v>
      </c>
      <c r="H3688" s="1" t="str">
        <f>VLOOKUP(B3688,'old-aw-skill-plan'!A:I,9,FALSE)</f>
        <v>4-1</v>
      </c>
    </row>
    <row r="3689" ht="15.75" customHeight="1">
      <c r="A3689" s="1" t="s">
        <v>36</v>
      </c>
      <c r="B3689" s="1" t="s">
        <v>33</v>
      </c>
      <c r="C3689" s="1" t="s">
        <v>11</v>
      </c>
      <c r="D3689" s="5">
        <v>45317.0</v>
      </c>
      <c r="G3689" s="1">
        <f>VLOOKUP(B3689,'old-aw-skill-plan'!A:I,7,FALSE)</f>
        <v>3</v>
      </c>
      <c r="H3689" s="1" t="str">
        <f>VLOOKUP(B3689,'old-aw-skill-plan'!A:I,9,FALSE)</f>
        <v>3-5</v>
      </c>
    </row>
    <row r="3690" ht="15.75" customHeight="1">
      <c r="A3690" s="1" t="s">
        <v>452</v>
      </c>
      <c r="B3690" s="1" t="s">
        <v>25</v>
      </c>
      <c r="C3690" s="1" t="s">
        <v>11</v>
      </c>
      <c r="D3690" s="5">
        <v>45317.0</v>
      </c>
      <c r="G3690" s="1">
        <f>VLOOKUP(B3690,'old-aw-skill-plan'!A:I,7,FALSE)</f>
        <v>5</v>
      </c>
      <c r="H3690" s="1" t="str">
        <f>VLOOKUP(B3690,'old-aw-skill-plan'!A:I,9,FALSE)</f>
        <v>5-4</v>
      </c>
    </row>
    <row r="3691" ht="15.75" customHeight="1">
      <c r="A3691" s="1" t="s">
        <v>220</v>
      </c>
      <c r="B3691" s="1" t="s">
        <v>116</v>
      </c>
      <c r="C3691" s="1" t="s">
        <v>11</v>
      </c>
      <c r="D3691" s="5">
        <v>45317.0</v>
      </c>
      <c r="G3691" s="1">
        <f>VLOOKUP(B3691,'old-aw-skill-plan'!A:I,7,FALSE)</f>
        <v>3</v>
      </c>
      <c r="H3691" s="1" t="str">
        <f>VLOOKUP(B3691,'old-aw-skill-plan'!A:I,9,FALSE)</f>
        <v>3-9</v>
      </c>
    </row>
    <row r="3692" ht="15.75" customHeight="1">
      <c r="A3692" s="1" t="s">
        <v>220</v>
      </c>
      <c r="B3692" s="1" t="s">
        <v>58</v>
      </c>
      <c r="C3692" s="1" t="s">
        <v>11</v>
      </c>
      <c r="D3692" s="5">
        <v>45317.0</v>
      </c>
      <c r="G3692" s="1">
        <f>VLOOKUP(B3692,'old-aw-skill-plan'!A:I,7,FALSE)</f>
        <v>3</v>
      </c>
      <c r="H3692" s="1" t="str">
        <f>VLOOKUP(B3692,'old-aw-skill-plan'!A:I,9,FALSE)</f>
        <v>3-8</v>
      </c>
    </row>
    <row r="3693" ht="15.75" customHeight="1">
      <c r="A3693" s="1" t="s">
        <v>220</v>
      </c>
      <c r="B3693" s="1" t="s">
        <v>33</v>
      </c>
      <c r="C3693" s="1" t="s">
        <v>11</v>
      </c>
      <c r="D3693" s="5">
        <v>45317.0</v>
      </c>
      <c r="G3693" s="1">
        <f>VLOOKUP(B3693,'old-aw-skill-plan'!A:I,7,FALSE)</f>
        <v>3</v>
      </c>
      <c r="H3693" s="1" t="str">
        <f>VLOOKUP(B3693,'old-aw-skill-plan'!A:I,9,FALSE)</f>
        <v>3-5</v>
      </c>
    </row>
    <row r="3694" ht="15.75" customHeight="1">
      <c r="A3694" s="1" t="s">
        <v>220</v>
      </c>
      <c r="B3694" s="1" t="s">
        <v>404</v>
      </c>
      <c r="C3694" s="1" t="s">
        <v>11</v>
      </c>
      <c r="D3694" s="5">
        <v>45317.0</v>
      </c>
      <c r="G3694" s="1">
        <f>VLOOKUP(B3694,'old-aw-skill-plan'!A:I,7,FALSE)</f>
        <v>3</v>
      </c>
      <c r="H3694" s="1" t="str">
        <f>VLOOKUP(B3694,'old-aw-skill-plan'!A:I,9,FALSE)</f>
        <v>3-8</v>
      </c>
    </row>
    <row r="3695" ht="15.75" customHeight="1">
      <c r="A3695" s="1" t="s">
        <v>237</v>
      </c>
      <c r="B3695" s="1" t="s">
        <v>354</v>
      </c>
      <c r="C3695" s="1" t="s">
        <v>11</v>
      </c>
      <c r="D3695" s="5">
        <v>45317.0</v>
      </c>
      <c r="G3695" s="1">
        <f>VLOOKUP(B3695,'old-aw-skill-plan'!A:I,7,FALSE)</f>
        <v>3</v>
      </c>
      <c r="H3695" s="1" t="str">
        <f>VLOOKUP(B3695,'old-aw-skill-plan'!A:I,9,FALSE)</f>
        <v>3-7</v>
      </c>
    </row>
    <row r="3696" ht="15.75" customHeight="1">
      <c r="A3696" s="1" t="s">
        <v>419</v>
      </c>
      <c r="B3696" s="1" t="s">
        <v>104</v>
      </c>
      <c r="C3696" s="1" t="s">
        <v>11</v>
      </c>
      <c r="D3696" s="5">
        <v>45317.0</v>
      </c>
      <c r="G3696" s="1">
        <f>VLOOKUP(B3696,'old-aw-skill-plan'!A:I,7,FALSE)</f>
        <v>5</v>
      </c>
      <c r="H3696" s="1" t="str">
        <f>VLOOKUP(B3696,'old-aw-skill-plan'!A:I,9,FALSE)</f>
        <v>5-2</v>
      </c>
    </row>
    <row r="3697" ht="15.75" customHeight="1">
      <c r="A3697" s="1" t="s">
        <v>46</v>
      </c>
      <c r="B3697" s="1" t="s">
        <v>30</v>
      </c>
      <c r="C3697" s="1" t="s">
        <v>11</v>
      </c>
      <c r="D3697" s="5">
        <v>45317.0</v>
      </c>
      <c r="G3697" s="1">
        <f>VLOOKUP(B3697,'old-aw-skill-plan'!A:I,7,FALSE)</f>
        <v>3</v>
      </c>
      <c r="H3697" s="1" t="str">
        <f>VLOOKUP(B3697,'old-aw-skill-plan'!A:I,9,FALSE)</f>
        <v>3-3</v>
      </c>
    </row>
    <row r="3698" ht="15.75" customHeight="1">
      <c r="A3698" s="1" t="s">
        <v>238</v>
      </c>
      <c r="B3698" s="1" t="s">
        <v>57</v>
      </c>
      <c r="C3698" s="1" t="s">
        <v>11</v>
      </c>
      <c r="D3698" s="5">
        <v>45317.0</v>
      </c>
      <c r="G3698" s="1">
        <f>VLOOKUP(B3698,'old-aw-skill-plan'!A:I,7,FALSE)</f>
        <v>3</v>
      </c>
      <c r="H3698" s="1" t="str">
        <f>VLOOKUP(B3698,'old-aw-skill-plan'!A:I,9,FALSE)</f>
        <v>3-7</v>
      </c>
    </row>
    <row r="3699" ht="15.75" customHeight="1">
      <c r="A3699" s="1" t="s">
        <v>81</v>
      </c>
      <c r="B3699" s="1" t="s">
        <v>385</v>
      </c>
      <c r="C3699" s="1" t="s">
        <v>11</v>
      </c>
      <c r="D3699" s="5">
        <v>45317.0</v>
      </c>
      <c r="G3699" s="1">
        <f>VLOOKUP(B3699,'old-aw-skill-plan'!A:I,7,FALSE)</f>
        <v>4</v>
      </c>
      <c r="H3699" s="1" t="str">
        <f>VLOOKUP(B3699,'old-aw-skill-plan'!A:I,9,FALSE)</f>
        <v>4-4</v>
      </c>
    </row>
    <row r="3700" ht="15.75" customHeight="1">
      <c r="A3700" s="1" t="s">
        <v>81</v>
      </c>
      <c r="B3700" s="1" t="s">
        <v>400</v>
      </c>
      <c r="C3700" s="1" t="s">
        <v>11</v>
      </c>
      <c r="D3700" s="5">
        <v>45317.0</v>
      </c>
      <c r="G3700" s="1">
        <f>VLOOKUP(B3700,'old-aw-skill-plan'!A:I,7,FALSE)</f>
        <v>4</v>
      </c>
      <c r="H3700" s="1" t="str">
        <f>VLOOKUP(B3700,'old-aw-skill-plan'!A:I,9,FALSE)</f>
        <v>4-7</v>
      </c>
    </row>
    <row r="3701" ht="15.75" customHeight="1">
      <c r="A3701" s="1" t="s">
        <v>81</v>
      </c>
      <c r="B3701" s="1" t="s">
        <v>387</v>
      </c>
      <c r="C3701" s="1" t="s">
        <v>11</v>
      </c>
      <c r="D3701" s="5">
        <v>45317.0</v>
      </c>
      <c r="G3701" s="1">
        <f>VLOOKUP(B3701,'old-aw-skill-plan'!A:I,7,FALSE)</f>
        <v>4</v>
      </c>
      <c r="H3701" s="1" t="str">
        <f>VLOOKUP(B3701,'old-aw-skill-plan'!A:I,9,FALSE)</f>
        <v>4-5</v>
      </c>
    </row>
    <row r="3702" ht="15.75" customHeight="1">
      <c r="A3702" s="1" t="s">
        <v>429</v>
      </c>
      <c r="B3702" s="1" t="s">
        <v>37</v>
      </c>
      <c r="C3702" s="1" t="s">
        <v>11</v>
      </c>
      <c r="D3702" s="5">
        <v>45317.0</v>
      </c>
      <c r="G3702" s="1">
        <f>VLOOKUP(B3702,'old-aw-skill-plan'!A:I,7,FALSE)</f>
        <v>4</v>
      </c>
      <c r="H3702" s="1" t="str">
        <f>VLOOKUP(B3702,'old-aw-skill-plan'!A:I,9,FALSE)</f>
        <v>4-2</v>
      </c>
    </row>
    <row r="3703" ht="15.75" customHeight="1">
      <c r="A3703" s="1" t="s">
        <v>421</v>
      </c>
      <c r="B3703" s="1" t="s">
        <v>85</v>
      </c>
      <c r="C3703" s="1" t="s">
        <v>11</v>
      </c>
      <c r="D3703" s="5">
        <v>45317.0</v>
      </c>
      <c r="G3703" s="1">
        <f>VLOOKUP(B3703,'old-aw-skill-plan'!A:I,7,FALSE)</f>
        <v>5</v>
      </c>
      <c r="H3703" s="1" t="str">
        <f>VLOOKUP(B3703,'old-aw-skill-plan'!A:I,9,FALSE)</f>
        <v>5-8</v>
      </c>
    </row>
    <row r="3704" ht="15.75" customHeight="1">
      <c r="A3704" s="1" t="s">
        <v>420</v>
      </c>
      <c r="B3704" s="1" t="s">
        <v>34</v>
      </c>
      <c r="C3704" s="1" t="s">
        <v>11</v>
      </c>
      <c r="D3704" s="5">
        <v>45317.0</v>
      </c>
      <c r="G3704" s="1">
        <f>VLOOKUP(B3704,'old-aw-skill-plan'!A:I,7,FALSE)</f>
        <v>4</v>
      </c>
      <c r="H3704" s="1" t="str">
        <f>VLOOKUP(B3704,'old-aw-skill-plan'!A:I,9,FALSE)</f>
        <v>4-1</v>
      </c>
    </row>
    <row r="3705" ht="15.75" customHeight="1">
      <c r="A3705" s="1" t="s">
        <v>420</v>
      </c>
      <c r="B3705" s="1" t="s">
        <v>44</v>
      </c>
      <c r="C3705" s="1" t="s">
        <v>11</v>
      </c>
      <c r="D3705" s="5">
        <v>45317.0</v>
      </c>
      <c r="G3705" s="1">
        <f>VLOOKUP(B3705,'old-aw-skill-plan'!A:I,7,FALSE)</f>
        <v>5</v>
      </c>
      <c r="H3705" s="1" t="str">
        <f>VLOOKUP(B3705,'old-aw-skill-plan'!A:I,9,FALSE)</f>
        <v>5-1</v>
      </c>
    </row>
    <row r="3706" ht="15.75" customHeight="1">
      <c r="A3706" s="1" t="s">
        <v>431</v>
      </c>
      <c r="B3706" s="1" t="s">
        <v>103</v>
      </c>
      <c r="C3706" s="1" t="s">
        <v>11</v>
      </c>
      <c r="D3706" s="5">
        <v>45317.0</v>
      </c>
      <c r="G3706" s="1">
        <f>VLOOKUP(B3706,'old-aw-skill-plan'!A:I,7,FALSE)</f>
        <v>5</v>
      </c>
      <c r="H3706" s="1" t="str">
        <f>VLOOKUP(B3706,'old-aw-skill-plan'!A:I,9,FALSE)</f>
        <v>5-3</v>
      </c>
    </row>
    <row r="3707" ht="15.75" customHeight="1">
      <c r="A3707" s="1" t="s">
        <v>431</v>
      </c>
      <c r="B3707" s="1" t="s">
        <v>88</v>
      </c>
      <c r="C3707" s="1" t="s">
        <v>11</v>
      </c>
      <c r="D3707" s="5">
        <v>45317.0</v>
      </c>
      <c r="G3707" s="1">
        <f>VLOOKUP(B3707,'old-aw-skill-plan'!A:I,7,FALSE)</f>
        <v>5</v>
      </c>
      <c r="H3707" s="1" t="str">
        <f>VLOOKUP(B3707,'old-aw-skill-plan'!A:I,9,FALSE)</f>
        <v>5-5</v>
      </c>
    </row>
    <row r="3708" ht="15.75" customHeight="1">
      <c r="A3708" s="1" t="s">
        <v>275</v>
      </c>
      <c r="B3708" s="1" t="s">
        <v>312</v>
      </c>
      <c r="C3708" s="1" t="s">
        <v>11</v>
      </c>
      <c r="D3708" s="5">
        <v>45317.0</v>
      </c>
      <c r="G3708" s="1" t="str">
        <f>VLOOKUP(B3708,'old-aw-skill-plan'!A:I,7,FALSE)</f>
        <v>#N/A</v>
      </c>
      <c r="H3708" s="1" t="str">
        <f>VLOOKUP(B3708,'old-aw-skill-plan'!A:I,9,FALSE)</f>
        <v>#N/A</v>
      </c>
    </row>
    <row r="3709" ht="15.75" customHeight="1">
      <c r="A3709" s="1" t="s">
        <v>268</v>
      </c>
      <c r="B3709" s="1" t="s">
        <v>117</v>
      </c>
      <c r="C3709" s="1" t="s">
        <v>11</v>
      </c>
      <c r="D3709" s="5">
        <v>45317.0</v>
      </c>
      <c r="G3709" s="1">
        <f>VLOOKUP(B3709,'old-aw-skill-plan'!A:I,7,FALSE)</f>
        <v>3</v>
      </c>
      <c r="H3709" s="1" t="str">
        <f>VLOOKUP(B3709,'old-aw-skill-plan'!A:I,9,FALSE)</f>
        <v>3-11</v>
      </c>
    </row>
    <row r="3710" ht="15.75" customHeight="1">
      <c r="A3710" s="1" t="s">
        <v>214</v>
      </c>
      <c r="B3710" s="1" t="s">
        <v>116</v>
      </c>
      <c r="C3710" s="1" t="s">
        <v>11</v>
      </c>
      <c r="D3710" s="5">
        <v>45317.0</v>
      </c>
      <c r="G3710" s="1">
        <f>VLOOKUP(B3710,'old-aw-skill-plan'!A:I,7,FALSE)</f>
        <v>3</v>
      </c>
      <c r="H3710" s="1" t="str">
        <f>VLOOKUP(B3710,'old-aw-skill-plan'!A:I,9,FALSE)</f>
        <v>3-9</v>
      </c>
    </row>
    <row r="3711" ht="15.75" customHeight="1">
      <c r="A3711" s="1" t="s">
        <v>211</v>
      </c>
      <c r="B3711" s="1" t="s">
        <v>28</v>
      </c>
      <c r="C3711" s="1" t="s">
        <v>11</v>
      </c>
      <c r="D3711" s="5">
        <v>45317.0</v>
      </c>
      <c r="G3711" s="1">
        <f>VLOOKUP(B3711,'old-aw-skill-plan'!A:I,7,FALSE)</f>
        <v>3</v>
      </c>
      <c r="H3711" s="1" t="str">
        <f>VLOOKUP(B3711,'old-aw-skill-plan'!A:I,9,FALSE)</f>
        <v>3-4</v>
      </c>
    </row>
    <row r="3712" ht="15.75" customHeight="1">
      <c r="A3712" s="1" t="s">
        <v>197</v>
      </c>
      <c r="B3712" s="1" t="s">
        <v>399</v>
      </c>
      <c r="C3712" s="1" t="s">
        <v>11</v>
      </c>
      <c r="D3712" s="5">
        <v>45317.0</v>
      </c>
      <c r="G3712" s="1">
        <f>VLOOKUP(B3712,'old-aw-skill-plan'!A:I,7,FALSE)</f>
        <v>4</v>
      </c>
      <c r="H3712" s="1" t="str">
        <f>VLOOKUP(B3712,'old-aw-skill-plan'!A:I,9,FALSE)</f>
        <v>4-7</v>
      </c>
    </row>
    <row r="3713" ht="15.75" customHeight="1">
      <c r="A3713" s="1" t="s">
        <v>373</v>
      </c>
      <c r="B3713" s="1" t="s">
        <v>28</v>
      </c>
      <c r="C3713" s="1" t="s">
        <v>11</v>
      </c>
      <c r="D3713" s="5">
        <v>45317.0</v>
      </c>
      <c r="G3713" s="1">
        <f>VLOOKUP(B3713,'old-aw-skill-plan'!A:I,7,FALSE)</f>
        <v>3</v>
      </c>
      <c r="H3713" s="1" t="str">
        <f>VLOOKUP(B3713,'old-aw-skill-plan'!A:I,9,FALSE)</f>
        <v>3-4</v>
      </c>
    </row>
    <row r="3714" ht="15.75" customHeight="1">
      <c r="A3714" s="1" t="s">
        <v>226</v>
      </c>
      <c r="B3714" s="1" t="s">
        <v>48</v>
      </c>
      <c r="C3714" s="1" t="s">
        <v>11</v>
      </c>
      <c r="D3714" s="5">
        <v>45317.0</v>
      </c>
      <c r="G3714" s="1">
        <f>VLOOKUP(B3714,'old-aw-skill-plan'!A:I,7,FALSE)</f>
        <v>3</v>
      </c>
      <c r="H3714" s="1" t="str">
        <f>VLOOKUP(B3714,'old-aw-skill-plan'!A:I,9,FALSE)</f>
        <v>3-6</v>
      </c>
    </row>
    <row r="3715" ht="15.75" customHeight="1">
      <c r="A3715" s="1" t="s">
        <v>226</v>
      </c>
      <c r="B3715" s="1" t="s">
        <v>33</v>
      </c>
      <c r="C3715" s="1" t="s">
        <v>11</v>
      </c>
      <c r="D3715" s="5">
        <v>45317.0</v>
      </c>
      <c r="G3715" s="1">
        <f>VLOOKUP(B3715,'old-aw-skill-plan'!A:I,7,FALSE)</f>
        <v>3</v>
      </c>
      <c r="H3715" s="1" t="str">
        <f>VLOOKUP(B3715,'old-aw-skill-plan'!A:I,9,FALSE)</f>
        <v>3-5</v>
      </c>
    </row>
    <row r="3716" ht="15.75" customHeight="1">
      <c r="A3716" s="1" t="s">
        <v>93</v>
      </c>
      <c r="B3716" s="1" t="s">
        <v>117</v>
      </c>
      <c r="C3716" s="1" t="s">
        <v>11</v>
      </c>
      <c r="D3716" s="5">
        <v>45317.0</v>
      </c>
      <c r="G3716" s="1">
        <f>VLOOKUP(B3716,'old-aw-skill-plan'!A:I,7,FALSE)</f>
        <v>3</v>
      </c>
      <c r="H3716" s="1" t="str">
        <f>VLOOKUP(B3716,'old-aw-skill-plan'!A:I,9,FALSE)</f>
        <v>3-11</v>
      </c>
    </row>
    <row r="3717" ht="15.75" customHeight="1">
      <c r="A3717" s="1" t="s">
        <v>94</v>
      </c>
      <c r="B3717" s="1" t="s">
        <v>116</v>
      </c>
      <c r="C3717" s="1" t="s">
        <v>11</v>
      </c>
      <c r="D3717" s="5">
        <v>45317.0</v>
      </c>
      <c r="G3717" s="1">
        <f>VLOOKUP(B3717,'old-aw-skill-plan'!A:I,7,FALSE)</f>
        <v>3</v>
      </c>
      <c r="H3717" s="1" t="str">
        <f>VLOOKUP(B3717,'old-aw-skill-plan'!A:I,9,FALSE)</f>
        <v>3-9</v>
      </c>
    </row>
    <row r="3718" ht="15.75" customHeight="1">
      <c r="A3718" s="1" t="s">
        <v>225</v>
      </c>
      <c r="B3718" s="1" t="s">
        <v>61</v>
      </c>
      <c r="C3718" s="1" t="s">
        <v>11</v>
      </c>
      <c r="D3718" s="5">
        <v>45317.0</v>
      </c>
      <c r="G3718" s="1">
        <f>VLOOKUP(B3718,'old-aw-skill-plan'!A:I,7,FALSE)</f>
        <v>4</v>
      </c>
      <c r="H3718" s="1" t="str">
        <f>VLOOKUP(B3718,'old-aw-skill-plan'!A:I,9,FALSE)</f>
        <v>4-4</v>
      </c>
    </row>
    <row r="3719" ht="15.75" customHeight="1">
      <c r="A3719" s="1" t="s">
        <v>427</v>
      </c>
      <c r="B3719" s="1" t="s">
        <v>443</v>
      </c>
      <c r="C3719" s="1" t="s">
        <v>11</v>
      </c>
      <c r="D3719" s="5">
        <v>45317.0</v>
      </c>
      <c r="G3719" s="1">
        <f>VLOOKUP(B3719,'old-aw-skill-plan'!A:I,7,FALSE)</f>
        <v>3</v>
      </c>
      <c r="H3719" s="1" t="str">
        <f>VLOOKUP(B3719,'old-aw-skill-plan'!A:I,9,FALSE)</f>
        <v>3-5</v>
      </c>
    </row>
    <row r="3720" ht="15.75" customHeight="1">
      <c r="A3720" s="1" t="s">
        <v>266</v>
      </c>
      <c r="B3720" s="1" t="s">
        <v>382</v>
      </c>
      <c r="C3720" s="1" t="s">
        <v>11</v>
      </c>
      <c r="D3720" s="5">
        <v>45316.0</v>
      </c>
      <c r="G3720" s="1">
        <f>VLOOKUP(B3720,'old-aw-skill-plan'!A:I,7,FALSE)</f>
        <v>4</v>
      </c>
      <c r="H3720" s="1" t="str">
        <f>VLOOKUP(B3720,'old-aw-skill-plan'!A:I,9,FALSE)</f>
        <v>4-3</v>
      </c>
    </row>
    <row r="3721" ht="15.75" customHeight="1">
      <c r="A3721" s="1" t="s">
        <v>22</v>
      </c>
      <c r="B3721" s="1" t="s">
        <v>19</v>
      </c>
      <c r="C3721" s="1" t="s">
        <v>11</v>
      </c>
      <c r="D3721" s="5">
        <v>45316.0</v>
      </c>
      <c r="G3721" s="1">
        <f>VLOOKUP(B3721,'old-aw-skill-plan'!A:I,7,FALSE)</f>
        <v>4</v>
      </c>
      <c r="H3721" s="1" t="str">
        <f>VLOOKUP(B3721,'old-aw-skill-plan'!A:I,9,FALSE)</f>
        <v>4-7</v>
      </c>
    </row>
    <row r="3722" ht="15.75" customHeight="1">
      <c r="A3722" s="1" t="s">
        <v>35</v>
      </c>
      <c r="B3722" s="1" t="s">
        <v>79</v>
      </c>
      <c r="C3722" s="1" t="s">
        <v>11</v>
      </c>
      <c r="D3722" s="5">
        <v>45316.0</v>
      </c>
      <c r="G3722" s="1">
        <f>VLOOKUP(B3722,'old-aw-skill-plan'!A:I,7,FALSE)</f>
        <v>4</v>
      </c>
      <c r="H3722" s="1" t="str">
        <f>VLOOKUP(B3722,'old-aw-skill-plan'!A:I,9,FALSE)</f>
        <v>4-8</v>
      </c>
    </row>
    <row r="3723" ht="15.75" customHeight="1">
      <c r="A3723" s="1" t="s">
        <v>24</v>
      </c>
      <c r="B3723" s="1" t="s">
        <v>34</v>
      </c>
      <c r="C3723" s="1" t="s">
        <v>11</v>
      </c>
      <c r="D3723" s="5">
        <v>45316.0</v>
      </c>
      <c r="G3723" s="1">
        <f>VLOOKUP(B3723,'old-aw-skill-plan'!A:I,7,FALSE)</f>
        <v>4</v>
      </c>
      <c r="H3723" s="1" t="str">
        <f>VLOOKUP(B3723,'old-aw-skill-plan'!A:I,9,FALSE)</f>
        <v>4-1</v>
      </c>
    </row>
    <row r="3724" ht="15.75" customHeight="1">
      <c r="A3724" s="1" t="s">
        <v>434</v>
      </c>
      <c r="B3724" s="1" t="s">
        <v>117</v>
      </c>
      <c r="C3724" s="1" t="s">
        <v>11</v>
      </c>
      <c r="D3724" s="5">
        <v>45316.0</v>
      </c>
      <c r="G3724" s="1">
        <f>VLOOKUP(B3724,'old-aw-skill-plan'!A:I,7,FALSE)</f>
        <v>3</v>
      </c>
      <c r="H3724" s="1" t="str">
        <f>VLOOKUP(B3724,'old-aw-skill-plan'!A:I,9,FALSE)</f>
        <v>3-11</v>
      </c>
    </row>
    <row r="3725" ht="15.75" customHeight="1">
      <c r="A3725" s="1" t="s">
        <v>213</v>
      </c>
      <c r="B3725" s="1" t="s">
        <v>47</v>
      </c>
      <c r="C3725" s="1" t="s">
        <v>11</v>
      </c>
      <c r="D3725" s="5">
        <v>45316.0</v>
      </c>
      <c r="G3725" s="1">
        <f>VLOOKUP(B3725,'old-aw-skill-plan'!A:I,7,FALSE)</f>
        <v>3</v>
      </c>
      <c r="H3725" s="1" t="str">
        <f>VLOOKUP(B3725,'old-aw-skill-plan'!A:I,9,FALSE)</f>
        <v>3-2</v>
      </c>
    </row>
    <row r="3726" ht="15.75" customHeight="1">
      <c r="A3726" s="1" t="s">
        <v>199</v>
      </c>
      <c r="B3726" s="1" t="s">
        <v>34</v>
      </c>
      <c r="C3726" s="1" t="s">
        <v>11</v>
      </c>
      <c r="D3726" s="5">
        <v>45316.0</v>
      </c>
      <c r="G3726" s="1">
        <f>VLOOKUP(B3726,'old-aw-skill-plan'!A:I,7,FALSE)</f>
        <v>4</v>
      </c>
      <c r="H3726" s="1" t="str">
        <f>VLOOKUP(B3726,'old-aw-skill-plan'!A:I,9,FALSE)</f>
        <v>4-1</v>
      </c>
    </row>
    <row r="3727" ht="15.75" customHeight="1">
      <c r="A3727" s="1" t="s">
        <v>36</v>
      </c>
      <c r="B3727" s="1" t="s">
        <v>33</v>
      </c>
      <c r="C3727" s="1" t="s">
        <v>11</v>
      </c>
      <c r="D3727" s="5">
        <v>45316.0</v>
      </c>
      <c r="G3727" s="1">
        <f>VLOOKUP(B3727,'old-aw-skill-plan'!A:I,7,FALSE)</f>
        <v>3</v>
      </c>
      <c r="H3727" s="1" t="str">
        <f>VLOOKUP(B3727,'old-aw-skill-plan'!A:I,9,FALSE)</f>
        <v>3-5</v>
      </c>
    </row>
    <row r="3728" ht="15.75" customHeight="1">
      <c r="A3728" s="1" t="s">
        <v>452</v>
      </c>
      <c r="B3728" s="1" t="s">
        <v>87</v>
      </c>
      <c r="C3728" s="1" t="s">
        <v>11</v>
      </c>
      <c r="D3728" s="5">
        <v>45316.0</v>
      </c>
      <c r="G3728" s="1">
        <f>VLOOKUP(B3728,'old-aw-skill-plan'!A:I,7,FALSE)</f>
        <v>5</v>
      </c>
      <c r="H3728" s="1" t="str">
        <f>VLOOKUP(B3728,'old-aw-skill-plan'!A:I,9,FALSE)</f>
        <v>5-6</v>
      </c>
    </row>
    <row r="3729" ht="15.75" customHeight="1">
      <c r="A3729" s="1" t="s">
        <v>220</v>
      </c>
      <c r="B3729" s="1" t="s">
        <v>117</v>
      </c>
      <c r="C3729" s="1" t="s">
        <v>11</v>
      </c>
      <c r="D3729" s="5">
        <v>45316.0</v>
      </c>
      <c r="G3729" s="1">
        <f>VLOOKUP(B3729,'old-aw-skill-plan'!A:I,7,FALSE)</f>
        <v>3</v>
      </c>
      <c r="H3729" s="1" t="str">
        <f>VLOOKUP(B3729,'old-aw-skill-plan'!A:I,9,FALSE)</f>
        <v>3-11</v>
      </c>
    </row>
    <row r="3730" ht="15.75" customHeight="1">
      <c r="A3730" s="1" t="s">
        <v>220</v>
      </c>
      <c r="B3730" s="1" t="s">
        <v>404</v>
      </c>
      <c r="C3730" s="1" t="s">
        <v>11</v>
      </c>
      <c r="D3730" s="5">
        <v>45316.0</v>
      </c>
      <c r="G3730" s="1">
        <f>VLOOKUP(B3730,'old-aw-skill-plan'!A:I,7,FALSE)</f>
        <v>3</v>
      </c>
      <c r="H3730" s="1" t="str">
        <f>VLOOKUP(B3730,'old-aw-skill-plan'!A:I,9,FALSE)</f>
        <v>3-8</v>
      </c>
    </row>
    <row r="3731" ht="15.75" customHeight="1">
      <c r="A3731" s="1" t="s">
        <v>237</v>
      </c>
      <c r="B3731" s="1" t="s">
        <v>28</v>
      </c>
      <c r="C3731" s="1" t="s">
        <v>11</v>
      </c>
      <c r="D3731" s="5">
        <v>45316.0</v>
      </c>
      <c r="G3731" s="1">
        <f>VLOOKUP(B3731,'old-aw-skill-plan'!A:I,7,FALSE)</f>
        <v>3</v>
      </c>
      <c r="H3731" s="1" t="str">
        <f>VLOOKUP(B3731,'old-aw-skill-plan'!A:I,9,FALSE)</f>
        <v>3-4</v>
      </c>
    </row>
    <row r="3732" ht="15.75" customHeight="1">
      <c r="A3732" s="1" t="s">
        <v>237</v>
      </c>
      <c r="B3732" s="1" t="s">
        <v>58</v>
      </c>
      <c r="C3732" s="1" t="s">
        <v>11</v>
      </c>
      <c r="D3732" s="5">
        <v>45316.0</v>
      </c>
      <c r="G3732" s="1">
        <f>VLOOKUP(B3732,'old-aw-skill-plan'!A:I,7,FALSE)</f>
        <v>3</v>
      </c>
      <c r="H3732" s="1" t="str">
        <f>VLOOKUP(B3732,'old-aw-skill-plan'!A:I,9,FALSE)</f>
        <v>3-8</v>
      </c>
    </row>
    <row r="3733" ht="15.75" customHeight="1">
      <c r="A3733" s="1" t="s">
        <v>237</v>
      </c>
      <c r="B3733" s="1" t="s">
        <v>33</v>
      </c>
      <c r="C3733" s="1" t="s">
        <v>11</v>
      </c>
      <c r="D3733" s="5">
        <v>45316.0</v>
      </c>
      <c r="G3733" s="1">
        <f>VLOOKUP(B3733,'old-aw-skill-plan'!A:I,7,FALSE)</f>
        <v>3</v>
      </c>
      <c r="H3733" s="1" t="str">
        <f>VLOOKUP(B3733,'old-aw-skill-plan'!A:I,9,FALSE)</f>
        <v>3-5</v>
      </c>
    </row>
    <row r="3734" ht="15.75" customHeight="1">
      <c r="A3734" s="1" t="s">
        <v>237</v>
      </c>
      <c r="B3734" s="1" t="s">
        <v>446</v>
      </c>
      <c r="C3734" s="1" t="s">
        <v>11</v>
      </c>
      <c r="D3734" s="5">
        <v>45316.0</v>
      </c>
      <c r="G3734" s="1">
        <f>VLOOKUP(B3734,'old-aw-skill-plan'!A:I,7,FALSE)</f>
        <v>3</v>
      </c>
      <c r="H3734" s="1" t="str">
        <f>VLOOKUP(B3734,'old-aw-skill-plan'!A:I,9,FALSE)</f>
        <v>3-6</v>
      </c>
    </row>
    <row r="3735" ht="15.75" customHeight="1">
      <c r="A3735" s="1" t="s">
        <v>419</v>
      </c>
      <c r="B3735" s="1" t="s">
        <v>104</v>
      </c>
      <c r="C3735" s="1" t="s">
        <v>11</v>
      </c>
      <c r="D3735" s="5">
        <v>45316.0</v>
      </c>
      <c r="G3735" s="1">
        <f>VLOOKUP(B3735,'old-aw-skill-plan'!A:I,7,FALSE)</f>
        <v>5</v>
      </c>
      <c r="H3735" s="1" t="str">
        <f>VLOOKUP(B3735,'old-aw-skill-plan'!A:I,9,FALSE)</f>
        <v>5-2</v>
      </c>
    </row>
    <row r="3736" ht="15.75" customHeight="1">
      <c r="A3736" s="1" t="s">
        <v>46</v>
      </c>
      <c r="B3736" s="1" t="s">
        <v>30</v>
      </c>
      <c r="C3736" s="1" t="s">
        <v>11</v>
      </c>
      <c r="D3736" s="5">
        <v>45316.0</v>
      </c>
      <c r="G3736" s="1">
        <f>VLOOKUP(B3736,'old-aw-skill-plan'!A:I,7,FALSE)</f>
        <v>3</v>
      </c>
      <c r="H3736" s="1" t="str">
        <f>VLOOKUP(B3736,'old-aw-skill-plan'!A:I,9,FALSE)</f>
        <v>3-3</v>
      </c>
    </row>
    <row r="3737" ht="15.75" customHeight="1">
      <c r="A3737" s="1" t="s">
        <v>238</v>
      </c>
      <c r="B3737" s="1" t="s">
        <v>30</v>
      </c>
      <c r="C3737" s="1" t="s">
        <v>11</v>
      </c>
      <c r="D3737" s="5">
        <v>45316.0</v>
      </c>
      <c r="G3737" s="1">
        <f>VLOOKUP(B3737,'old-aw-skill-plan'!A:I,7,FALSE)</f>
        <v>3</v>
      </c>
      <c r="H3737" s="1" t="str">
        <f>VLOOKUP(B3737,'old-aw-skill-plan'!A:I,9,FALSE)</f>
        <v>3-3</v>
      </c>
    </row>
    <row r="3738" ht="15.75" customHeight="1">
      <c r="A3738" s="1" t="s">
        <v>238</v>
      </c>
      <c r="B3738" s="1" t="s">
        <v>48</v>
      </c>
      <c r="C3738" s="1" t="s">
        <v>11</v>
      </c>
      <c r="D3738" s="5">
        <v>45316.0</v>
      </c>
      <c r="G3738" s="1">
        <f>VLOOKUP(B3738,'old-aw-skill-plan'!A:I,7,FALSE)</f>
        <v>3</v>
      </c>
      <c r="H3738" s="1" t="str">
        <f>VLOOKUP(B3738,'old-aw-skill-plan'!A:I,9,FALSE)</f>
        <v>3-6</v>
      </c>
    </row>
    <row r="3739" ht="15.75" customHeight="1">
      <c r="A3739" s="1" t="s">
        <v>238</v>
      </c>
      <c r="B3739" s="1" t="s">
        <v>33</v>
      </c>
      <c r="C3739" s="1" t="s">
        <v>11</v>
      </c>
      <c r="D3739" s="5">
        <v>45316.0</v>
      </c>
      <c r="G3739" s="1">
        <f>VLOOKUP(B3739,'old-aw-skill-plan'!A:I,7,FALSE)</f>
        <v>3</v>
      </c>
      <c r="H3739" s="1" t="str">
        <f>VLOOKUP(B3739,'old-aw-skill-plan'!A:I,9,FALSE)</f>
        <v>3-5</v>
      </c>
    </row>
    <row r="3740" ht="15.75" customHeight="1">
      <c r="A3740" s="1" t="s">
        <v>238</v>
      </c>
      <c r="B3740" s="1" t="s">
        <v>307</v>
      </c>
      <c r="C3740" s="1" t="s">
        <v>11</v>
      </c>
      <c r="D3740" s="5">
        <v>45316.0</v>
      </c>
      <c r="G3740" s="1">
        <f>VLOOKUP(B3740,'old-aw-skill-plan'!A:I,7,FALSE)</f>
        <v>3</v>
      </c>
      <c r="H3740" s="1" t="str">
        <f>VLOOKUP(B3740,'old-aw-skill-plan'!A:I,9,FALSE)</f>
        <v>3-1</v>
      </c>
    </row>
    <row r="3741" ht="15.75" customHeight="1">
      <c r="A3741" s="1" t="s">
        <v>81</v>
      </c>
      <c r="B3741" s="1" t="s">
        <v>386</v>
      </c>
      <c r="C3741" s="1" t="s">
        <v>11</v>
      </c>
      <c r="D3741" s="5">
        <v>45316.0</v>
      </c>
      <c r="G3741" s="1">
        <f>VLOOKUP(B3741,'old-aw-skill-plan'!A:I,7,FALSE)</f>
        <v>4</v>
      </c>
      <c r="H3741" s="1" t="str">
        <f>VLOOKUP(B3741,'old-aw-skill-plan'!A:I,9,FALSE)</f>
        <v>4-6</v>
      </c>
    </row>
    <row r="3742" ht="15.75" customHeight="1">
      <c r="A3742" s="1" t="s">
        <v>81</v>
      </c>
      <c r="B3742" s="1" t="s">
        <v>387</v>
      </c>
      <c r="C3742" s="1" t="s">
        <v>11</v>
      </c>
      <c r="D3742" s="5">
        <v>45316.0</v>
      </c>
      <c r="G3742" s="1">
        <f>VLOOKUP(B3742,'old-aw-skill-plan'!A:I,7,FALSE)</f>
        <v>4</v>
      </c>
      <c r="H3742" s="1" t="str">
        <f>VLOOKUP(B3742,'old-aw-skill-plan'!A:I,9,FALSE)</f>
        <v>4-5</v>
      </c>
    </row>
    <row r="3743" ht="15.75" customHeight="1">
      <c r="A3743" s="1" t="s">
        <v>421</v>
      </c>
      <c r="B3743" s="1" t="s">
        <v>84</v>
      </c>
      <c r="C3743" s="1" t="s">
        <v>11</v>
      </c>
      <c r="D3743" s="5">
        <v>45316.0</v>
      </c>
      <c r="G3743" s="1">
        <f>VLOOKUP(B3743,'old-aw-skill-plan'!A:I,7,FALSE)</f>
        <v>5</v>
      </c>
      <c r="H3743" s="1" t="str">
        <f>VLOOKUP(B3743,'old-aw-skill-plan'!A:I,9,FALSE)</f>
        <v>5-7</v>
      </c>
    </row>
    <row r="3744" ht="15.75" customHeight="1">
      <c r="A3744" s="1" t="s">
        <v>420</v>
      </c>
      <c r="B3744" s="1" t="s">
        <v>10</v>
      </c>
      <c r="C3744" s="1" t="s">
        <v>11</v>
      </c>
      <c r="D3744" s="5">
        <v>45316.0</v>
      </c>
      <c r="G3744" s="1">
        <f>VLOOKUP(B3744,'old-aw-skill-plan'!A:I,7,FALSE)</f>
        <v>3</v>
      </c>
      <c r="H3744" s="1" t="str">
        <f>VLOOKUP(B3744,'old-aw-skill-plan'!A:I,9,FALSE)</f>
        <v>3-1</v>
      </c>
    </row>
    <row r="3745" ht="15.75" customHeight="1">
      <c r="A3745" s="1" t="s">
        <v>431</v>
      </c>
      <c r="B3745" s="1" t="s">
        <v>25</v>
      </c>
      <c r="C3745" s="1" t="s">
        <v>11</v>
      </c>
      <c r="D3745" s="5">
        <v>45316.0</v>
      </c>
      <c r="G3745" s="1">
        <f>VLOOKUP(B3745,'old-aw-skill-plan'!A:I,7,FALSE)</f>
        <v>5</v>
      </c>
      <c r="H3745" s="1" t="str">
        <f>VLOOKUP(B3745,'old-aw-skill-plan'!A:I,9,FALSE)</f>
        <v>5-4</v>
      </c>
    </row>
    <row r="3746" ht="15.75" customHeight="1">
      <c r="A3746" s="1" t="s">
        <v>431</v>
      </c>
      <c r="B3746" s="1" t="s">
        <v>103</v>
      </c>
      <c r="C3746" s="1" t="s">
        <v>11</v>
      </c>
      <c r="D3746" s="5">
        <v>45316.0</v>
      </c>
      <c r="G3746" s="1">
        <f>VLOOKUP(B3746,'old-aw-skill-plan'!A:I,7,FALSE)</f>
        <v>5</v>
      </c>
      <c r="H3746" s="1" t="str">
        <f>VLOOKUP(B3746,'old-aw-skill-plan'!A:I,9,FALSE)</f>
        <v>5-3</v>
      </c>
    </row>
    <row r="3747" ht="15.75" customHeight="1">
      <c r="A3747" s="1" t="s">
        <v>275</v>
      </c>
      <c r="B3747" s="1" t="s">
        <v>396</v>
      </c>
      <c r="C3747" s="1" t="s">
        <v>11</v>
      </c>
      <c r="D3747" s="5">
        <v>45316.0</v>
      </c>
      <c r="G3747" s="1" t="str">
        <f>VLOOKUP(B3747,'old-aw-skill-plan'!A:I,7,FALSE)</f>
        <v>#N/A</v>
      </c>
      <c r="H3747" s="1" t="str">
        <f>VLOOKUP(B3747,'old-aw-skill-plan'!A:I,9,FALSE)</f>
        <v>#N/A</v>
      </c>
    </row>
    <row r="3748" ht="15.75" customHeight="1">
      <c r="A3748" s="1" t="s">
        <v>95</v>
      </c>
      <c r="B3748" s="1" t="s">
        <v>28</v>
      </c>
      <c r="C3748" s="1" t="s">
        <v>11</v>
      </c>
      <c r="D3748" s="5">
        <v>45316.0</v>
      </c>
      <c r="G3748" s="1">
        <f>VLOOKUP(B3748,'old-aw-skill-plan'!A:I,7,FALSE)</f>
        <v>3</v>
      </c>
      <c r="H3748" s="1" t="str">
        <f>VLOOKUP(B3748,'old-aw-skill-plan'!A:I,9,FALSE)</f>
        <v>3-4</v>
      </c>
    </row>
    <row r="3749" ht="15.75" customHeight="1">
      <c r="A3749" s="1" t="s">
        <v>211</v>
      </c>
      <c r="B3749" s="1" t="s">
        <v>28</v>
      </c>
      <c r="C3749" s="1" t="s">
        <v>11</v>
      </c>
      <c r="D3749" s="5">
        <v>45316.0</v>
      </c>
      <c r="G3749" s="1">
        <f>VLOOKUP(B3749,'old-aw-skill-plan'!A:I,7,FALSE)</f>
        <v>3</v>
      </c>
      <c r="H3749" s="1" t="str">
        <f>VLOOKUP(B3749,'old-aw-skill-plan'!A:I,9,FALSE)</f>
        <v>3-4</v>
      </c>
    </row>
    <row r="3750" ht="15.75" customHeight="1">
      <c r="A3750" s="1" t="s">
        <v>197</v>
      </c>
      <c r="B3750" s="1" t="s">
        <v>42</v>
      </c>
      <c r="C3750" s="1" t="s">
        <v>11</v>
      </c>
      <c r="D3750" s="5">
        <v>45316.0</v>
      </c>
      <c r="G3750" s="1">
        <f>VLOOKUP(B3750,'old-aw-skill-plan'!A:I,7,FALSE)</f>
        <v>4</v>
      </c>
      <c r="H3750" s="1" t="str">
        <f>VLOOKUP(B3750,'old-aw-skill-plan'!A:I,9,FALSE)</f>
        <v>4-11</v>
      </c>
    </row>
    <row r="3751" ht="15.75" customHeight="1">
      <c r="A3751" s="1" t="s">
        <v>197</v>
      </c>
      <c r="B3751" s="1" t="s">
        <v>370</v>
      </c>
      <c r="C3751" s="1" t="s">
        <v>11</v>
      </c>
      <c r="D3751" s="5">
        <v>45316.0</v>
      </c>
      <c r="G3751" s="1">
        <f>VLOOKUP(B3751,'old-aw-skill-plan'!A:I,7,FALSE)</f>
        <v>4</v>
      </c>
      <c r="H3751" s="1" t="str">
        <f>VLOOKUP(B3751,'old-aw-skill-plan'!A:I,9,FALSE)</f>
        <v>4-6</v>
      </c>
    </row>
    <row r="3752" ht="15.75" customHeight="1">
      <c r="A3752" s="1" t="s">
        <v>373</v>
      </c>
      <c r="B3752" s="1" t="s">
        <v>28</v>
      </c>
      <c r="C3752" s="1" t="s">
        <v>11</v>
      </c>
      <c r="D3752" s="5">
        <v>45316.0</v>
      </c>
      <c r="G3752" s="1">
        <f>VLOOKUP(B3752,'old-aw-skill-plan'!A:I,7,FALSE)</f>
        <v>3</v>
      </c>
      <c r="H3752" s="1" t="str">
        <f>VLOOKUP(B3752,'old-aw-skill-plan'!A:I,9,FALSE)</f>
        <v>3-4</v>
      </c>
    </row>
    <row r="3753" ht="15.75" customHeight="1">
      <c r="A3753" s="1" t="s">
        <v>373</v>
      </c>
      <c r="B3753" s="1" t="s">
        <v>356</v>
      </c>
      <c r="C3753" s="1" t="s">
        <v>11</v>
      </c>
      <c r="D3753" s="5">
        <v>45316.0</v>
      </c>
      <c r="G3753" s="1">
        <f>VLOOKUP(B3753,'old-aw-skill-plan'!A:I,7,FALSE)</f>
        <v>3</v>
      </c>
      <c r="H3753" s="1" t="str">
        <f>VLOOKUP(B3753,'old-aw-skill-plan'!A:I,9,FALSE)</f>
        <v>3-2</v>
      </c>
    </row>
    <row r="3754" ht="15.75" customHeight="1">
      <c r="A3754" s="1" t="s">
        <v>235</v>
      </c>
      <c r="B3754" s="1" t="s">
        <v>44</v>
      </c>
      <c r="C3754" s="1" t="s">
        <v>11</v>
      </c>
      <c r="D3754" s="5">
        <v>45316.0</v>
      </c>
      <c r="G3754" s="1">
        <f>VLOOKUP(B3754,'old-aw-skill-plan'!A:I,7,FALSE)</f>
        <v>5</v>
      </c>
      <c r="H3754" s="1" t="str">
        <f>VLOOKUP(B3754,'old-aw-skill-plan'!A:I,9,FALSE)</f>
        <v>5-1</v>
      </c>
    </row>
    <row r="3755" ht="15.75" customHeight="1">
      <c r="A3755" s="1" t="s">
        <v>226</v>
      </c>
      <c r="B3755" s="1" t="s">
        <v>28</v>
      </c>
      <c r="C3755" s="1" t="s">
        <v>11</v>
      </c>
      <c r="D3755" s="5">
        <v>45316.0</v>
      </c>
      <c r="G3755" s="1">
        <f>VLOOKUP(B3755,'old-aw-skill-plan'!A:I,7,FALSE)</f>
        <v>3</v>
      </c>
      <c r="H3755" s="1" t="str">
        <f>VLOOKUP(B3755,'old-aw-skill-plan'!A:I,9,FALSE)</f>
        <v>3-4</v>
      </c>
    </row>
    <row r="3756" ht="15.75" customHeight="1">
      <c r="A3756" s="1" t="s">
        <v>226</v>
      </c>
      <c r="B3756" s="1" t="s">
        <v>30</v>
      </c>
      <c r="C3756" s="1" t="s">
        <v>11</v>
      </c>
      <c r="D3756" s="5">
        <v>45316.0</v>
      </c>
      <c r="G3756" s="1">
        <f>VLOOKUP(B3756,'old-aw-skill-plan'!A:I,7,FALSE)</f>
        <v>3</v>
      </c>
      <c r="H3756" s="1" t="str">
        <f>VLOOKUP(B3756,'old-aw-skill-plan'!A:I,9,FALSE)</f>
        <v>3-3</v>
      </c>
    </row>
    <row r="3757" ht="15.75" customHeight="1">
      <c r="A3757" s="1" t="s">
        <v>226</v>
      </c>
      <c r="B3757" s="1" t="s">
        <v>33</v>
      </c>
      <c r="C3757" s="1" t="s">
        <v>11</v>
      </c>
      <c r="D3757" s="5">
        <v>45316.0</v>
      </c>
      <c r="G3757" s="1">
        <f>VLOOKUP(B3757,'old-aw-skill-plan'!A:I,7,FALSE)</f>
        <v>3</v>
      </c>
      <c r="H3757" s="1" t="str">
        <f>VLOOKUP(B3757,'old-aw-skill-plan'!A:I,9,FALSE)</f>
        <v>3-5</v>
      </c>
    </row>
    <row r="3758" ht="15.75" customHeight="1">
      <c r="A3758" s="1" t="s">
        <v>457</v>
      </c>
      <c r="B3758" s="1" t="s">
        <v>28</v>
      </c>
      <c r="C3758" s="1" t="s">
        <v>11</v>
      </c>
      <c r="D3758" s="5">
        <v>45316.0</v>
      </c>
      <c r="G3758" s="1">
        <f>VLOOKUP(B3758,'old-aw-skill-plan'!A:I,7,FALSE)</f>
        <v>3</v>
      </c>
      <c r="H3758" s="1" t="str">
        <f>VLOOKUP(B3758,'old-aw-skill-plan'!A:I,9,FALSE)</f>
        <v>3-4</v>
      </c>
    </row>
    <row r="3759" ht="15.75" customHeight="1">
      <c r="A3759" s="1" t="s">
        <v>93</v>
      </c>
      <c r="B3759" s="1" t="s">
        <v>117</v>
      </c>
      <c r="C3759" s="1" t="s">
        <v>11</v>
      </c>
      <c r="D3759" s="5">
        <v>45316.0</v>
      </c>
      <c r="G3759" s="1">
        <f>VLOOKUP(B3759,'old-aw-skill-plan'!A:I,7,FALSE)</f>
        <v>3</v>
      </c>
      <c r="H3759" s="1" t="str">
        <f>VLOOKUP(B3759,'old-aw-skill-plan'!A:I,9,FALSE)</f>
        <v>3-11</v>
      </c>
    </row>
    <row r="3760" ht="15.75" customHeight="1">
      <c r="A3760" s="1" t="s">
        <v>94</v>
      </c>
      <c r="B3760" s="1" t="s">
        <v>116</v>
      </c>
      <c r="C3760" s="1" t="s">
        <v>11</v>
      </c>
      <c r="D3760" s="5">
        <v>45316.0</v>
      </c>
      <c r="G3760" s="1">
        <f>VLOOKUP(B3760,'old-aw-skill-plan'!A:I,7,FALSE)</f>
        <v>3</v>
      </c>
      <c r="H3760" s="1" t="str">
        <f>VLOOKUP(B3760,'old-aw-skill-plan'!A:I,9,FALSE)</f>
        <v>3-9</v>
      </c>
    </row>
    <row r="3761" ht="15.75" customHeight="1">
      <c r="A3761" s="1" t="s">
        <v>94</v>
      </c>
      <c r="B3761" s="1" t="s">
        <v>58</v>
      </c>
      <c r="C3761" s="1" t="s">
        <v>11</v>
      </c>
      <c r="D3761" s="5">
        <v>45316.0</v>
      </c>
      <c r="G3761" s="1">
        <f>VLOOKUP(B3761,'old-aw-skill-plan'!A:I,7,FALSE)</f>
        <v>3</v>
      </c>
      <c r="H3761" s="1" t="str">
        <f>VLOOKUP(B3761,'old-aw-skill-plan'!A:I,9,FALSE)</f>
        <v>3-8</v>
      </c>
    </row>
    <row r="3762" ht="15.75" customHeight="1">
      <c r="A3762" s="1" t="s">
        <v>225</v>
      </c>
      <c r="B3762" s="1" t="s">
        <v>61</v>
      </c>
      <c r="C3762" s="1" t="s">
        <v>11</v>
      </c>
      <c r="D3762" s="5">
        <v>45316.0</v>
      </c>
      <c r="G3762" s="1">
        <f>VLOOKUP(B3762,'old-aw-skill-plan'!A:I,7,FALSE)</f>
        <v>4</v>
      </c>
      <c r="H3762" s="1" t="str">
        <f>VLOOKUP(B3762,'old-aw-skill-plan'!A:I,9,FALSE)</f>
        <v>4-4</v>
      </c>
    </row>
    <row r="3763" ht="15.75" customHeight="1">
      <c r="A3763" s="1" t="s">
        <v>427</v>
      </c>
      <c r="B3763" s="1" t="s">
        <v>443</v>
      </c>
      <c r="C3763" s="1" t="s">
        <v>11</v>
      </c>
      <c r="D3763" s="5">
        <v>45316.0</v>
      </c>
      <c r="G3763" s="1">
        <f>VLOOKUP(B3763,'old-aw-skill-plan'!A:I,7,FALSE)</f>
        <v>3</v>
      </c>
      <c r="H3763" s="1" t="str">
        <f>VLOOKUP(B3763,'old-aw-skill-plan'!A:I,9,FALSE)</f>
        <v>3-5</v>
      </c>
    </row>
    <row r="3764" ht="15.75" customHeight="1">
      <c r="A3764" s="1" t="s">
        <v>110</v>
      </c>
      <c r="B3764" s="1" t="s">
        <v>445</v>
      </c>
      <c r="C3764" s="1" t="s">
        <v>11</v>
      </c>
      <c r="D3764" s="5">
        <v>45316.0</v>
      </c>
      <c r="G3764" s="1">
        <f>VLOOKUP(B3764,'old-aw-skill-plan'!A:I,7,FALSE)</f>
        <v>3</v>
      </c>
      <c r="H3764" s="1" t="str">
        <f>VLOOKUP(B3764,'old-aw-skill-plan'!A:I,9,FALSE)</f>
        <v>3-9</v>
      </c>
    </row>
    <row r="3765" ht="15.75" customHeight="1">
      <c r="A3765" s="1" t="s">
        <v>110</v>
      </c>
      <c r="B3765" s="1" t="s">
        <v>443</v>
      </c>
      <c r="C3765" s="1" t="s">
        <v>11</v>
      </c>
      <c r="D3765" s="5">
        <v>45316.0</v>
      </c>
      <c r="G3765" s="1">
        <f>VLOOKUP(B3765,'old-aw-skill-plan'!A:I,7,FALSE)</f>
        <v>3</v>
      </c>
      <c r="H3765" s="1" t="str">
        <f>VLOOKUP(B3765,'old-aw-skill-plan'!A:I,9,FALSE)</f>
        <v>3-5</v>
      </c>
    </row>
    <row r="3766" ht="15.75" customHeight="1">
      <c r="A3766" s="1" t="s">
        <v>22</v>
      </c>
      <c r="B3766" s="1" t="s">
        <v>19</v>
      </c>
      <c r="C3766" s="1" t="s">
        <v>11</v>
      </c>
      <c r="D3766" s="5">
        <v>45315.0</v>
      </c>
      <c r="G3766" s="1">
        <f>VLOOKUP(B3766,'old-aw-skill-plan'!A:I,7,FALSE)</f>
        <v>4</v>
      </c>
      <c r="H3766" s="1" t="str">
        <f>VLOOKUP(B3766,'old-aw-skill-plan'!A:I,9,FALSE)</f>
        <v>4-7</v>
      </c>
    </row>
    <row r="3767" ht="15.75" customHeight="1">
      <c r="A3767" s="1" t="s">
        <v>216</v>
      </c>
      <c r="B3767" s="1" t="s">
        <v>34</v>
      </c>
      <c r="C3767" s="1" t="s">
        <v>11</v>
      </c>
      <c r="D3767" s="5">
        <v>45315.0</v>
      </c>
      <c r="G3767" s="1">
        <f>VLOOKUP(B3767,'old-aw-skill-plan'!A:I,7,FALSE)</f>
        <v>4</v>
      </c>
      <c r="H3767" s="1" t="str">
        <f>VLOOKUP(B3767,'old-aw-skill-plan'!A:I,9,FALSE)</f>
        <v>4-1</v>
      </c>
    </row>
    <row r="3768" ht="15.75" customHeight="1">
      <c r="A3768" s="1" t="s">
        <v>35</v>
      </c>
      <c r="B3768" s="1" t="s">
        <v>309</v>
      </c>
      <c r="C3768" s="1" t="s">
        <v>11</v>
      </c>
      <c r="D3768" s="5">
        <v>45315.0</v>
      </c>
      <c r="G3768" s="1">
        <f>VLOOKUP(B3768,'old-aw-skill-plan'!A:I,7,FALSE)</f>
        <v>4</v>
      </c>
      <c r="H3768" s="1" t="str">
        <f>VLOOKUP(B3768,'old-aw-skill-plan'!A:I,9,FALSE)</f>
        <v>4-1</v>
      </c>
    </row>
    <row r="3769" ht="15.75" customHeight="1">
      <c r="A3769" s="1" t="s">
        <v>24</v>
      </c>
      <c r="B3769" s="1" t="s">
        <v>34</v>
      </c>
      <c r="C3769" s="1" t="s">
        <v>11</v>
      </c>
      <c r="D3769" s="5">
        <v>45315.0</v>
      </c>
      <c r="G3769" s="1">
        <f>VLOOKUP(B3769,'old-aw-skill-plan'!A:I,7,FALSE)</f>
        <v>4</v>
      </c>
      <c r="H3769" s="1" t="str">
        <f>VLOOKUP(B3769,'old-aw-skill-plan'!A:I,9,FALSE)</f>
        <v>4-1</v>
      </c>
    </row>
    <row r="3770" ht="15.75" customHeight="1">
      <c r="A3770" s="1" t="s">
        <v>434</v>
      </c>
      <c r="B3770" s="1" t="s">
        <v>117</v>
      </c>
      <c r="C3770" s="1" t="s">
        <v>11</v>
      </c>
      <c r="D3770" s="5">
        <v>45315.0</v>
      </c>
      <c r="G3770" s="1">
        <f>VLOOKUP(B3770,'old-aw-skill-plan'!A:I,7,FALSE)</f>
        <v>3</v>
      </c>
      <c r="H3770" s="1" t="str">
        <f>VLOOKUP(B3770,'old-aw-skill-plan'!A:I,9,FALSE)</f>
        <v>3-11</v>
      </c>
    </row>
    <row r="3771" ht="15.75" customHeight="1">
      <c r="A3771" s="1" t="s">
        <v>213</v>
      </c>
      <c r="B3771" s="1" t="s">
        <v>47</v>
      </c>
      <c r="C3771" s="1" t="s">
        <v>11</v>
      </c>
      <c r="D3771" s="5">
        <v>45315.0</v>
      </c>
      <c r="G3771" s="1">
        <f>VLOOKUP(B3771,'old-aw-skill-plan'!A:I,7,FALSE)</f>
        <v>3</v>
      </c>
      <c r="H3771" s="1" t="str">
        <f>VLOOKUP(B3771,'old-aw-skill-plan'!A:I,9,FALSE)</f>
        <v>3-2</v>
      </c>
    </row>
    <row r="3772" ht="15.75" customHeight="1">
      <c r="A3772" s="1" t="s">
        <v>199</v>
      </c>
      <c r="B3772" s="1" t="s">
        <v>34</v>
      </c>
      <c r="C3772" s="1" t="s">
        <v>11</v>
      </c>
      <c r="D3772" s="5">
        <v>45315.0</v>
      </c>
      <c r="G3772" s="1">
        <f>VLOOKUP(B3772,'old-aw-skill-plan'!A:I,7,FALSE)</f>
        <v>4</v>
      </c>
      <c r="H3772" s="1" t="str">
        <f>VLOOKUP(B3772,'old-aw-skill-plan'!A:I,9,FALSE)</f>
        <v>4-1</v>
      </c>
    </row>
    <row r="3773" ht="15.75" customHeight="1">
      <c r="A3773" s="1" t="s">
        <v>36</v>
      </c>
      <c r="B3773" s="1" t="s">
        <v>33</v>
      </c>
      <c r="C3773" s="1" t="s">
        <v>11</v>
      </c>
      <c r="D3773" s="5">
        <v>45315.0</v>
      </c>
      <c r="G3773" s="1">
        <f>VLOOKUP(B3773,'old-aw-skill-plan'!A:I,7,FALSE)</f>
        <v>3</v>
      </c>
      <c r="H3773" s="1" t="str">
        <f>VLOOKUP(B3773,'old-aw-skill-plan'!A:I,9,FALSE)</f>
        <v>3-5</v>
      </c>
    </row>
    <row r="3774" ht="15.75" customHeight="1">
      <c r="A3774" s="1" t="s">
        <v>452</v>
      </c>
      <c r="B3774" s="1" t="s">
        <v>25</v>
      </c>
      <c r="C3774" s="1" t="s">
        <v>11</v>
      </c>
      <c r="D3774" s="5">
        <v>45315.0</v>
      </c>
      <c r="G3774" s="1">
        <f>VLOOKUP(B3774,'old-aw-skill-plan'!A:I,7,FALSE)</f>
        <v>5</v>
      </c>
      <c r="H3774" s="1" t="str">
        <f>VLOOKUP(B3774,'old-aw-skill-plan'!A:I,9,FALSE)</f>
        <v>5-4</v>
      </c>
    </row>
    <row r="3775" ht="15.75" customHeight="1">
      <c r="A3775" s="1" t="s">
        <v>452</v>
      </c>
      <c r="B3775" s="1" t="s">
        <v>103</v>
      </c>
      <c r="C3775" s="1" t="s">
        <v>11</v>
      </c>
      <c r="D3775" s="5">
        <v>45315.0</v>
      </c>
      <c r="G3775" s="1">
        <f>VLOOKUP(B3775,'old-aw-skill-plan'!A:I,7,FALSE)</f>
        <v>5</v>
      </c>
      <c r="H3775" s="1" t="str">
        <f>VLOOKUP(B3775,'old-aw-skill-plan'!A:I,9,FALSE)</f>
        <v>5-3</v>
      </c>
    </row>
    <row r="3776" ht="15.75" customHeight="1">
      <c r="A3776" s="1" t="s">
        <v>452</v>
      </c>
      <c r="B3776" s="1" t="s">
        <v>104</v>
      </c>
      <c r="C3776" s="1" t="s">
        <v>11</v>
      </c>
      <c r="D3776" s="5">
        <v>45315.0</v>
      </c>
      <c r="G3776" s="1">
        <f>VLOOKUP(B3776,'old-aw-skill-plan'!A:I,7,FALSE)</f>
        <v>5</v>
      </c>
      <c r="H3776" s="1" t="str">
        <f>VLOOKUP(B3776,'old-aw-skill-plan'!A:I,9,FALSE)</f>
        <v>5-2</v>
      </c>
    </row>
    <row r="3777" ht="15.75" customHeight="1">
      <c r="A3777" s="1" t="s">
        <v>237</v>
      </c>
      <c r="B3777" s="1" t="s">
        <v>28</v>
      </c>
      <c r="C3777" s="1" t="s">
        <v>11</v>
      </c>
      <c r="D3777" s="5">
        <v>45315.0</v>
      </c>
      <c r="G3777" s="1">
        <f>VLOOKUP(B3777,'old-aw-skill-plan'!A:I,7,FALSE)</f>
        <v>3</v>
      </c>
      <c r="H3777" s="1" t="str">
        <f>VLOOKUP(B3777,'old-aw-skill-plan'!A:I,9,FALSE)</f>
        <v>3-4</v>
      </c>
    </row>
    <row r="3778" ht="15.75" customHeight="1">
      <c r="A3778" s="1" t="s">
        <v>237</v>
      </c>
      <c r="B3778" s="1" t="s">
        <v>57</v>
      </c>
      <c r="C3778" s="1" t="s">
        <v>11</v>
      </c>
      <c r="D3778" s="5">
        <v>45315.0</v>
      </c>
      <c r="G3778" s="1">
        <f>VLOOKUP(B3778,'old-aw-skill-plan'!A:I,7,FALSE)</f>
        <v>3</v>
      </c>
      <c r="H3778" s="1" t="str">
        <f>VLOOKUP(B3778,'old-aw-skill-plan'!A:I,9,FALSE)</f>
        <v>3-7</v>
      </c>
    </row>
    <row r="3779" ht="15.75" customHeight="1">
      <c r="A3779" s="1" t="s">
        <v>237</v>
      </c>
      <c r="B3779" s="1" t="s">
        <v>30</v>
      </c>
      <c r="C3779" s="1" t="s">
        <v>11</v>
      </c>
      <c r="D3779" s="5">
        <v>45315.0</v>
      </c>
      <c r="G3779" s="1">
        <f>VLOOKUP(B3779,'old-aw-skill-plan'!A:I,7,FALSE)</f>
        <v>3</v>
      </c>
      <c r="H3779" s="1" t="str">
        <f>VLOOKUP(B3779,'old-aw-skill-plan'!A:I,9,FALSE)</f>
        <v>3-3</v>
      </c>
    </row>
    <row r="3780" ht="15.75" customHeight="1">
      <c r="A3780" s="1" t="s">
        <v>46</v>
      </c>
      <c r="B3780" s="1" t="s">
        <v>30</v>
      </c>
      <c r="C3780" s="1" t="s">
        <v>11</v>
      </c>
      <c r="D3780" s="5">
        <v>45315.0</v>
      </c>
      <c r="G3780" s="1">
        <f>VLOOKUP(B3780,'old-aw-skill-plan'!A:I,7,FALSE)</f>
        <v>3</v>
      </c>
      <c r="H3780" s="1" t="str">
        <f>VLOOKUP(B3780,'old-aw-skill-plan'!A:I,9,FALSE)</f>
        <v>3-3</v>
      </c>
    </row>
    <row r="3781" ht="15.75" customHeight="1">
      <c r="A3781" s="1" t="s">
        <v>81</v>
      </c>
      <c r="B3781" s="1" t="s">
        <v>444</v>
      </c>
      <c r="C3781" s="1" t="s">
        <v>11</v>
      </c>
      <c r="D3781" s="5">
        <v>45315.0</v>
      </c>
      <c r="G3781" s="1">
        <f>VLOOKUP(B3781,'old-aw-skill-plan'!A:I,7,FALSE)</f>
        <v>4</v>
      </c>
      <c r="H3781" s="1" t="str">
        <f>VLOOKUP(B3781,'old-aw-skill-plan'!A:I,9,FALSE)</f>
        <v>4-1</v>
      </c>
    </row>
    <row r="3782" ht="15.75" customHeight="1">
      <c r="A3782" s="1" t="s">
        <v>421</v>
      </c>
      <c r="B3782" s="1" t="s">
        <v>87</v>
      </c>
      <c r="C3782" s="1" t="s">
        <v>11</v>
      </c>
      <c r="D3782" s="5">
        <v>45315.0</v>
      </c>
      <c r="G3782" s="1">
        <f>VLOOKUP(B3782,'old-aw-skill-plan'!A:I,7,FALSE)</f>
        <v>5</v>
      </c>
      <c r="H3782" s="1" t="str">
        <f>VLOOKUP(B3782,'old-aw-skill-plan'!A:I,9,FALSE)</f>
        <v>5-6</v>
      </c>
    </row>
    <row r="3783" ht="15.75" customHeight="1">
      <c r="A3783" s="1" t="s">
        <v>420</v>
      </c>
      <c r="B3783" s="1" t="s">
        <v>10</v>
      </c>
      <c r="C3783" s="1" t="s">
        <v>11</v>
      </c>
      <c r="D3783" s="5">
        <v>45315.0</v>
      </c>
      <c r="G3783" s="1">
        <f>VLOOKUP(B3783,'old-aw-skill-plan'!A:I,7,FALSE)</f>
        <v>3</v>
      </c>
      <c r="H3783" s="1" t="str">
        <f>VLOOKUP(B3783,'old-aw-skill-plan'!A:I,9,FALSE)</f>
        <v>3-1</v>
      </c>
    </row>
    <row r="3784" ht="15.75" customHeight="1">
      <c r="A3784" s="1" t="s">
        <v>420</v>
      </c>
      <c r="B3784" s="1" t="s">
        <v>446</v>
      </c>
      <c r="C3784" s="1" t="s">
        <v>11</v>
      </c>
      <c r="D3784" s="5">
        <v>45315.0</v>
      </c>
      <c r="G3784" s="1">
        <f>VLOOKUP(B3784,'old-aw-skill-plan'!A:I,7,FALSE)</f>
        <v>3</v>
      </c>
      <c r="H3784" s="1" t="str">
        <f>VLOOKUP(B3784,'old-aw-skill-plan'!A:I,9,FALSE)</f>
        <v>3-6</v>
      </c>
    </row>
    <row r="3785" ht="15.75" customHeight="1">
      <c r="A3785" s="1" t="s">
        <v>431</v>
      </c>
      <c r="B3785" s="1" t="s">
        <v>44</v>
      </c>
      <c r="C3785" s="1" t="s">
        <v>11</v>
      </c>
      <c r="D3785" s="5">
        <v>45315.0</v>
      </c>
      <c r="G3785" s="1">
        <f>VLOOKUP(B3785,'old-aw-skill-plan'!A:I,7,FALSE)</f>
        <v>5</v>
      </c>
      <c r="H3785" s="1" t="str">
        <f>VLOOKUP(B3785,'old-aw-skill-plan'!A:I,9,FALSE)</f>
        <v>5-1</v>
      </c>
    </row>
    <row r="3786" ht="15.75" customHeight="1">
      <c r="A3786" s="1" t="s">
        <v>275</v>
      </c>
      <c r="B3786" s="1" t="s">
        <v>34</v>
      </c>
      <c r="C3786" s="1" t="s">
        <v>11</v>
      </c>
      <c r="D3786" s="5">
        <v>45315.0</v>
      </c>
      <c r="G3786" s="1">
        <f>VLOOKUP(B3786,'old-aw-skill-plan'!A:I,7,FALSE)</f>
        <v>4</v>
      </c>
      <c r="H3786" s="1" t="str">
        <f>VLOOKUP(B3786,'old-aw-skill-plan'!A:I,9,FALSE)</f>
        <v>4-1</v>
      </c>
    </row>
    <row r="3787" ht="15.75" customHeight="1">
      <c r="A3787" s="1" t="s">
        <v>275</v>
      </c>
      <c r="B3787" s="1" t="s">
        <v>386</v>
      </c>
      <c r="C3787" s="1" t="s">
        <v>11</v>
      </c>
      <c r="D3787" s="5">
        <v>45315.0</v>
      </c>
      <c r="G3787" s="1">
        <f>VLOOKUP(B3787,'old-aw-skill-plan'!A:I,7,FALSE)</f>
        <v>4</v>
      </c>
      <c r="H3787" s="1" t="str">
        <f>VLOOKUP(B3787,'old-aw-skill-plan'!A:I,9,FALSE)</f>
        <v>4-6</v>
      </c>
    </row>
    <row r="3788" ht="15.75" customHeight="1">
      <c r="A3788" s="1" t="s">
        <v>95</v>
      </c>
      <c r="B3788" s="1" t="s">
        <v>28</v>
      </c>
      <c r="C3788" s="1" t="s">
        <v>11</v>
      </c>
      <c r="D3788" s="5">
        <v>45315.0</v>
      </c>
      <c r="G3788" s="1">
        <f>VLOOKUP(B3788,'old-aw-skill-plan'!A:I,7,FALSE)</f>
        <v>3</v>
      </c>
      <c r="H3788" s="1" t="str">
        <f>VLOOKUP(B3788,'old-aw-skill-plan'!A:I,9,FALSE)</f>
        <v>3-4</v>
      </c>
    </row>
    <row r="3789" ht="15.75" customHeight="1">
      <c r="A3789" s="1" t="s">
        <v>214</v>
      </c>
      <c r="B3789" s="1" t="s">
        <v>57</v>
      </c>
      <c r="C3789" s="1" t="s">
        <v>11</v>
      </c>
      <c r="D3789" s="5">
        <v>45315.0</v>
      </c>
      <c r="G3789" s="1">
        <f>VLOOKUP(B3789,'old-aw-skill-plan'!A:I,7,FALSE)</f>
        <v>3</v>
      </c>
      <c r="H3789" s="1" t="str">
        <f>VLOOKUP(B3789,'old-aw-skill-plan'!A:I,9,FALSE)</f>
        <v>3-7</v>
      </c>
    </row>
    <row r="3790" ht="15.75" customHeight="1">
      <c r="A3790" s="1" t="s">
        <v>214</v>
      </c>
      <c r="B3790" s="1" t="s">
        <v>58</v>
      </c>
      <c r="C3790" s="1" t="s">
        <v>11</v>
      </c>
      <c r="D3790" s="5">
        <v>45315.0</v>
      </c>
      <c r="G3790" s="1">
        <f>VLOOKUP(B3790,'old-aw-skill-plan'!A:I,7,FALSE)</f>
        <v>3</v>
      </c>
      <c r="H3790" s="1" t="str">
        <f>VLOOKUP(B3790,'old-aw-skill-plan'!A:I,9,FALSE)</f>
        <v>3-8</v>
      </c>
    </row>
    <row r="3791" ht="15.75" customHeight="1">
      <c r="A3791" s="1" t="s">
        <v>211</v>
      </c>
      <c r="B3791" s="1" t="s">
        <v>30</v>
      </c>
      <c r="C3791" s="1" t="s">
        <v>11</v>
      </c>
      <c r="D3791" s="5">
        <v>45315.0</v>
      </c>
      <c r="G3791" s="1">
        <f>VLOOKUP(B3791,'old-aw-skill-plan'!A:I,7,FALSE)</f>
        <v>3</v>
      </c>
      <c r="H3791" s="1" t="str">
        <f>VLOOKUP(B3791,'old-aw-skill-plan'!A:I,9,FALSE)</f>
        <v>3-3</v>
      </c>
    </row>
    <row r="3792" ht="15.75" customHeight="1">
      <c r="A3792" s="1" t="s">
        <v>197</v>
      </c>
      <c r="B3792" s="1" t="s">
        <v>42</v>
      </c>
      <c r="C3792" s="1" t="s">
        <v>11</v>
      </c>
      <c r="D3792" s="5">
        <v>45315.0</v>
      </c>
      <c r="G3792" s="1">
        <f>VLOOKUP(B3792,'old-aw-skill-plan'!A:I,7,FALSE)</f>
        <v>4</v>
      </c>
      <c r="H3792" s="1" t="str">
        <f>VLOOKUP(B3792,'old-aw-skill-plan'!A:I,9,FALSE)</f>
        <v>4-11</v>
      </c>
    </row>
    <row r="3793" ht="15.75" customHeight="1">
      <c r="A3793" s="1" t="s">
        <v>373</v>
      </c>
      <c r="B3793" s="1" t="s">
        <v>28</v>
      </c>
      <c r="C3793" s="1" t="s">
        <v>11</v>
      </c>
      <c r="D3793" s="5">
        <v>45315.0</v>
      </c>
      <c r="G3793" s="1">
        <f>VLOOKUP(B3793,'old-aw-skill-plan'!A:I,7,FALSE)</f>
        <v>3</v>
      </c>
      <c r="H3793" s="1" t="str">
        <f>VLOOKUP(B3793,'old-aw-skill-plan'!A:I,9,FALSE)</f>
        <v>3-4</v>
      </c>
    </row>
    <row r="3794" ht="15.75" customHeight="1">
      <c r="A3794" s="1" t="s">
        <v>373</v>
      </c>
      <c r="B3794" s="1" t="s">
        <v>44</v>
      </c>
      <c r="C3794" s="1" t="s">
        <v>11</v>
      </c>
      <c r="D3794" s="5">
        <v>45315.0</v>
      </c>
      <c r="G3794" s="1">
        <f>VLOOKUP(B3794,'old-aw-skill-plan'!A:I,7,FALSE)</f>
        <v>5</v>
      </c>
      <c r="H3794" s="1" t="str">
        <f>VLOOKUP(B3794,'old-aw-skill-plan'!A:I,9,FALSE)</f>
        <v>5-1</v>
      </c>
    </row>
    <row r="3795" ht="15.75" customHeight="1">
      <c r="A3795" s="1" t="s">
        <v>269</v>
      </c>
      <c r="B3795" s="1" t="s">
        <v>116</v>
      </c>
      <c r="C3795" s="1" t="s">
        <v>11</v>
      </c>
      <c r="D3795" s="5">
        <v>45315.0</v>
      </c>
      <c r="G3795" s="1">
        <f>VLOOKUP(B3795,'old-aw-skill-plan'!A:I,7,FALSE)</f>
        <v>3</v>
      </c>
      <c r="H3795" s="1" t="str">
        <f>VLOOKUP(B3795,'old-aw-skill-plan'!A:I,9,FALSE)</f>
        <v>3-9</v>
      </c>
    </row>
    <row r="3796" ht="15.75" customHeight="1">
      <c r="A3796" s="1" t="s">
        <v>269</v>
      </c>
      <c r="B3796" s="1" t="s">
        <v>58</v>
      </c>
      <c r="C3796" s="1" t="s">
        <v>11</v>
      </c>
      <c r="D3796" s="5">
        <v>45315.0</v>
      </c>
      <c r="G3796" s="1">
        <f>VLOOKUP(B3796,'old-aw-skill-plan'!A:I,7,FALSE)</f>
        <v>3</v>
      </c>
      <c r="H3796" s="1" t="str">
        <f>VLOOKUP(B3796,'old-aw-skill-plan'!A:I,9,FALSE)</f>
        <v>3-8</v>
      </c>
    </row>
    <row r="3797" ht="15.75" customHeight="1">
      <c r="A3797" s="1" t="s">
        <v>235</v>
      </c>
      <c r="B3797" s="1" t="s">
        <v>44</v>
      </c>
      <c r="C3797" s="1" t="s">
        <v>11</v>
      </c>
      <c r="D3797" s="5">
        <v>45315.0</v>
      </c>
      <c r="G3797" s="1">
        <f>VLOOKUP(B3797,'old-aw-skill-plan'!A:I,7,FALSE)</f>
        <v>5</v>
      </c>
      <c r="H3797" s="1" t="str">
        <f>VLOOKUP(B3797,'old-aw-skill-plan'!A:I,9,FALSE)</f>
        <v>5-1</v>
      </c>
    </row>
    <row r="3798" ht="15.75" customHeight="1">
      <c r="A3798" s="1" t="s">
        <v>226</v>
      </c>
      <c r="B3798" s="1" t="s">
        <v>30</v>
      </c>
      <c r="C3798" s="1" t="s">
        <v>11</v>
      </c>
      <c r="D3798" s="5">
        <v>45315.0</v>
      </c>
      <c r="G3798" s="1">
        <f>VLOOKUP(B3798,'old-aw-skill-plan'!A:I,7,FALSE)</f>
        <v>3</v>
      </c>
      <c r="H3798" s="1" t="str">
        <f>VLOOKUP(B3798,'old-aw-skill-plan'!A:I,9,FALSE)</f>
        <v>3-3</v>
      </c>
    </row>
    <row r="3799" ht="15.75" customHeight="1">
      <c r="A3799" s="1" t="s">
        <v>226</v>
      </c>
      <c r="B3799" s="1" t="s">
        <v>47</v>
      </c>
      <c r="C3799" s="1" t="s">
        <v>11</v>
      </c>
      <c r="D3799" s="5">
        <v>45315.0</v>
      </c>
      <c r="G3799" s="1">
        <f>VLOOKUP(B3799,'old-aw-skill-plan'!A:I,7,FALSE)</f>
        <v>3</v>
      </c>
      <c r="H3799" s="1" t="str">
        <f>VLOOKUP(B3799,'old-aw-skill-plan'!A:I,9,FALSE)</f>
        <v>3-2</v>
      </c>
    </row>
    <row r="3800" ht="15.75" customHeight="1">
      <c r="A3800" s="1" t="s">
        <v>102</v>
      </c>
      <c r="B3800" s="1" t="s">
        <v>57</v>
      </c>
      <c r="C3800" s="1" t="s">
        <v>11</v>
      </c>
      <c r="D3800" s="5">
        <v>45315.0</v>
      </c>
      <c r="G3800" s="1">
        <f>VLOOKUP(B3800,'old-aw-skill-plan'!A:I,7,FALSE)</f>
        <v>3</v>
      </c>
      <c r="H3800" s="1" t="str">
        <f>VLOOKUP(B3800,'old-aw-skill-plan'!A:I,9,FALSE)</f>
        <v>3-7</v>
      </c>
    </row>
    <row r="3801" ht="15.75" customHeight="1">
      <c r="A3801" s="1" t="s">
        <v>102</v>
      </c>
      <c r="B3801" s="1" t="s">
        <v>48</v>
      </c>
      <c r="C3801" s="1" t="s">
        <v>11</v>
      </c>
      <c r="D3801" s="5">
        <v>45315.0</v>
      </c>
      <c r="G3801" s="1">
        <f>VLOOKUP(B3801,'old-aw-skill-plan'!A:I,7,FALSE)</f>
        <v>3</v>
      </c>
      <c r="H3801" s="1" t="str">
        <f>VLOOKUP(B3801,'old-aw-skill-plan'!A:I,9,FALSE)</f>
        <v>3-6</v>
      </c>
    </row>
    <row r="3802" ht="15.75" customHeight="1">
      <c r="A3802" s="1" t="s">
        <v>93</v>
      </c>
      <c r="B3802" s="1" t="s">
        <v>117</v>
      </c>
      <c r="C3802" s="1" t="s">
        <v>11</v>
      </c>
      <c r="D3802" s="5">
        <v>45315.0</v>
      </c>
      <c r="G3802" s="1">
        <f>VLOOKUP(B3802,'old-aw-skill-plan'!A:I,7,FALSE)</f>
        <v>3</v>
      </c>
      <c r="H3802" s="1" t="str">
        <f>VLOOKUP(B3802,'old-aw-skill-plan'!A:I,9,FALSE)</f>
        <v>3-11</v>
      </c>
    </row>
    <row r="3803" ht="15.75" customHeight="1">
      <c r="A3803" s="1" t="s">
        <v>225</v>
      </c>
      <c r="B3803" s="1" t="s">
        <v>97</v>
      </c>
      <c r="C3803" s="1" t="s">
        <v>11</v>
      </c>
      <c r="D3803" s="5">
        <v>45315.0</v>
      </c>
      <c r="G3803" s="1">
        <f>VLOOKUP(B3803,'old-aw-skill-plan'!A:I,7,FALSE)</f>
        <v>4</v>
      </c>
      <c r="H3803" s="1" t="str">
        <f>VLOOKUP(B3803,'old-aw-skill-plan'!A:I,9,FALSE)</f>
        <v>4-3</v>
      </c>
    </row>
    <row r="3804" ht="15.75" customHeight="1">
      <c r="A3804" s="1" t="s">
        <v>427</v>
      </c>
      <c r="B3804" s="1" t="s">
        <v>443</v>
      </c>
      <c r="C3804" s="1" t="s">
        <v>11</v>
      </c>
      <c r="D3804" s="5">
        <v>45315.0</v>
      </c>
      <c r="G3804" s="1">
        <f>VLOOKUP(B3804,'old-aw-skill-plan'!A:I,7,FALSE)</f>
        <v>3</v>
      </c>
      <c r="H3804" s="1" t="str">
        <f>VLOOKUP(B3804,'old-aw-skill-plan'!A:I,9,FALSE)</f>
        <v>3-5</v>
      </c>
    </row>
    <row r="3805" ht="15.75" customHeight="1">
      <c r="A3805" s="1" t="s">
        <v>110</v>
      </c>
      <c r="B3805" s="1" t="s">
        <v>443</v>
      </c>
      <c r="C3805" s="1" t="s">
        <v>11</v>
      </c>
      <c r="D3805" s="5">
        <v>45315.0</v>
      </c>
      <c r="G3805" s="1">
        <f>VLOOKUP(B3805,'old-aw-skill-plan'!A:I,7,FALSE)</f>
        <v>3</v>
      </c>
      <c r="H3805" s="1" t="str">
        <f>VLOOKUP(B3805,'old-aw-skill-plan'!A:I,9,FALSE)</f>
        <v>3-5</v>
      </c>
    </row>
    <row r="3806" ht="15.75" customHeight="1">
      <c r="A3806" s="1" t="s">
        <v>22</v>
      </c>
      <c r="B3806" s="1" t="s">
        <v>19</v>
      </c>
      <c r="C3806" s="1" t="s">
        <v>11</v>
      </c>
      <c r="D3806" s="5">
        <v>45314.0</v>
      </c>
      <c r="G3806" s="1">
        <f>VLOOKUP(B3806,'old-aw-skill-plan'!A:I,7,FALSE)</f>
        <v>4</v>
      </c>
      <c r="H3806" s="1" t="str">
        <f>VLOOKUP(B3806,'old-aw-skill-plan'!A:I,9,FALSE)</f>
        <v>4-7</v>
      </c>
    </row>
    <row r="3807" ht="15.75" customHeight="1">
      <c r="A3807" s="1" t="s">
        <v>216</v>
      </c>
      <c r="B3807" s="1" t="s">
        <v>34</v>
      </c>
      <c r="C3807" s="1" t="s">
        <v>11</v>
      </c>
      <c r="D3807" s="5">
        <v>45314.0</v>
      </c>
      <c r="G3807" s="1">
        <f>VLOOKUP(B3807,'old-aw-skill-plan'!A:I,7,FALSE)</f>
        <v>4</v>
      </c>
      <c r="H3807" s="1" t="str">
        <f>VLOOKUP(B3807,'old-aw-skill-plan'!A:I,9,FALSE)</f>
        <v>4-1</v>
      </c>
    </row>
    <row r="3808" ht="15.75" customHeight="1">
      <c r="A3808" s="1" t="s">
        <v>35</v>
      </c>
      <c r="B3808" s="1" t="s">
        <v>42</v>
      </c>
      <c r="C3808" s="1" t="s">
        <v>11</v>
      </c>
      <c r="D3808" s="5">
        <v>45314.0</v>
      </c>
      <c r="G3808" s="1">
        <f>VLOOKUP(B3808,'old-aw-skill-plan'!A:I,7,FALSE)</f>
        <v>4</v>
      </c>
      <c r="H3808" s="1" t="str">
        <f>VLOOKUP(B3808,'old-aw-skill-plan'!A:I,9,FALSE)</f>
        <v>4-11</v>
      </c>
    </row>
    <row r="3809" ht="15.75" customHeight="1">
      <c r="A3809" s="1" t="s">
        <v>24</v>
      </c>
      <c r="B3809" s="1" t="s">
        <v>34</v>
      </c>
      <c r="C3809" s="1" t="s">
        <v>11</v>
      </c>
      <c r="D3809" s="5">
        <v>45314.0</v>
      </c>
      <c r="G3809" s="1">
        <f>VLOOKUP(B3809,'old-aw-skill-plan'!A:I,7,FALSE)</f>
        <v>4</v>
      </c>
      <c r="H3809" s="1" t="str">
        <f>VLOOKUP(B3809,'old-aw-skill-plan'!A:I,9,FALSE)</f>
        <v>4-1</v>
      </c>
    </row>
    <row r="3810" ht="15.75" customHeight="1">
      <c r="A3810" s="1" t="s">
        <v>213</v>
      </c>
      <c r="B3810" s="1" t="s">
        <v>10</v>
      </c>
      <c r="C3810" s="1" t="s">
        <v>11</v>
      </c>
      <c r="D3810" s="5">
        <v>45314.0</v>
      </c>
      <c r="G3810" s="1">
        <f>VLOOKUP(B3810,'old-aw-skill-plan'!A:I,7,FALSE)</f>
        <v>3</v>
      </c>
      <c r="H3810" s="1" t="str">
        <f>VLOOKUP(B3810,'old-aw-skill-plan'!A:I,9,FALSE)</f>
        <v>3-1</v>
      </c>
    </row>
    <row r="3811" ht="15.75" customHeight="1">
      <c r="A3811" s="1" t="s">
        <v>213</v>
      </c>
      <c r="B3811" s="1" t="s">
        <v>30</v>
      </c>
      <c r="C3811" s="1" t="s">
        <v>11</v>
      </c>
      <c r="D3811" s="5">
        <v>45314.0</v>
      </c>
      <c r="G3811" s="1">
        <f>VLOOKUP(B3811,'old-aw-skill-plan'!A:I,7,FALSE)</f>
        <v>3</v>
      </c>
      <c r="H3811" s="1" t="str">
        <f>VLOOKUP(B3811,'old-aw-skill-plan'!A:I,9,FALSE)</f>
        <v>3-3</v>
      </c>
    </row>
    <row r="3812" ht="15.75" customHeight="1">
      <c r="A3812" s="1" t="s">
        <v>199</v>
      </c>
      <c r="B3812" s="1" t="s">
        <v>34</v>
      </c>
      <c r="C3812" s="1" t="s">
        <v>11</v>
      </c>
      <c r="D3812" s="5">
        <v>45314.0</v>
      </c>
      <c r="G3812" s="1">
        <f>VLOOKUP(B3812,'old-aw-skill-plan'!A:I,7,FALSE)</f>
        <v>4</v>
      </c>
      <c r="H3812" s="1" t="str">
        <f>VLOOKUP(B3812,'old-aw-skill-plan'!A:I,9,FALSE)</f>
        <v>4-1</v>
      </c>
    </row>
    <row r="3813" ht="15.75" customHeight="1">
      <c r="A3813" s="1" t="s">
        <v>36</v>
      </c>
      <c r="B3813" s="1" t="s">
        <v>33</v>
      </c>
      <c r="C3813" s="1" t="s">
        <v>11</v>
      </c>
      <c r="D3813" s="5">
        <v>45314.0</v>
      </c>
      <c r="G3813" s="1">
        <f>VLOOKUP(B3813,'old-aw-skill-plan'!A:I,7,FALSE)</f>
        <v>3</v>
      </c>
      <c r="H3813" s="1" t="str">
        <f>VLOOKUP(B3813,'old-aw-skill-plan'!A:I,9,FALSE)</f>
        <v>3-5</v>
      </c>
    </row>
    <row r="3814" ht="15.75" customHeight="1">
      <c r="A3814" s="1" t="s">
        <v>220</v>
      </c>
      <c r="B3814" s="1" t="s">
        <v>28</v>
      </c>
      <c r="C3814" s="1" t="s">
        <v>11</v>
      </c>
      <c r="D3814" s="5">
        <v>45314.0</v>
      </c>
      <c r="G3814" s="1">
        <f>VLOOKUP(B3814,'old-aw-skill-plan'!A:I,7,FALSE)</f>
        <v>3</v>
      </c>
      <c r="H3814" s="1" t="str">
        <f>VLOOKUP(B3814,'old-aw-skill-plan'!A:I,9,FALSE)</f>
        <v>3-4</v>
      </c>
    </row>
    <row r="3815" ht="15.75" customHeight="1">
      <c r="A3815" s="1" t="s">
        <v>220</v>
      </c>
      <c r="B3815" s="1" t="s">
        <v>58</v>
      </c>
      <c r="C3815" s="1" t="s">
        <v>11</v>
      </c>
      <c r="D3815" s="5">
        <v>45314.0</v>
      </c>
      <c r="G3815" s="1">
        <f>VLOOKUP(B3815,'old-aw-skill-plan'!A:I,7,FALSE)</f>
        <v>3</v>
      </c>
      <c r="H3815" s="1" t="str">
        <f>VLOOKUP(B3815,'old-aw-skill-plan'!A:I,9,FALSE)</f>
        <v>3-8</v>
      </c>
    </row>
    <row r="3816" ht="15.75" customHeight="1">
      <c r="A3816" s="1" t="s">
        <v>220</v>
      </c>
      <c r="B3816" s="1" t="s">
        <v>354</v>
      </c>
      <c r="C3816" s="1" t="s">
        <v>11</v>
      </c>
      <c r="D3816" s="5">
        <v>45314.0</v>
      </c>
      <c r="G3816" s="1">
        <f>VLOOKUP(B3816,'old-aw-skill-plan'!A:I,7,FALSE)</f>
        <v>3</v>
      </c>
      <c r="H3816" s="1" t="str">
        <f>VLOOKUP(B3816,'old-aw-skill-plan'!A:I,9,FALSE)</f>
        <v>3-7</v>
      </c>
    </row>
    <row r="3817" ht="15.75" customHeight="1">
      <c r="A3817" s="1" t="s">
        <v>237</v>
      </c>
      <c r="B3817" s="1" t="s">
        <v>383</v>
      </c>
      <c r="C3817" s="1" t="s">
        <v>11</v>
      </c>
      <c r="D3817" s="5">
        <v>45314.0</v>
      </c>
      <c r="G3817" s="1">
        <f>VLOOKUP(B3817,'old-aw-skill-plan'!A:I,7,FALSE)</f>
        <v>3</v>
      </c>
      <c r="H3817" s="1" t="str">
        <f>VLOOKUP(B3817,'old-aw-skill-plan'!A:I,9,FALSE)</f>
        <v>3-3</v>
      </c>
    </row>
    <row r="3818" ht="15.75" customHeight="1">
      <c r="A3818" s="1" t="s">
        <v>46</v>
      </c>
      <c r="B3818" s="1" t="s">
        <v>47</v>
      </c>
      <c r="C3818" s="1" t="s">
        <v>11</v>
      </c>
      <c r="D3818" s="5">
        <v>45314.0</v>
      </c>
      <c r="G3818" s="1">
        <f>VLOOKUP(B3818,'old-aw-skill-plan'!A:I,7,FALSE)</f>
        <v>3</v>
      </c>
      <c r="H3818" s="1" t="str">
        <f>VLOOKUP(B3818,'old-aw-skill-plan'!A:I,9,FALSE)</f>
        <v>3-2</v>
      </c>
    </row>
    <row r="3819" ht="15.75" customHeight="1">
      <c r="A3819" s="1" t="s">
        <v>81</v>
      </c>
      <c r="B3819" s="1" t="s">
        <v>424</v>
      </c>
      <c r="C3819" s="1" t="s">
        <v>11</v>
      </c>
      <c r="D3819" s="5">
        <v>45314.0</v>
      </c>
      <c r="G3819" s="1">
        <f>VLOOKUP(B3819,'old-aw-skill-plan'!A:I,7,FALSE)</f>
        <v>4</v>
      </c>
      <c r="H3819" s="1" t="str">
        <f>VLOOKUP(B3819,'old-aw-skill-plan'!A:I,9,FALSE)</f>
        <v>4-8</v>
      </c>
    </row>
    <row r="3820" ht="15.75" customHeight="1">
      <c r="A3820" s="1" t="s">
        <v>421</v>
      </c>
      <c r="B3820" s="1" t="s">
        <v>87</v>
      </c>
      <c r="C3820" s="1" t="s">
        <v>11</v>
      </c>
      <c r="D3820" s="5">
        <v>45314.0</v>
      </c>
      <c r="G3820" s="1">
        <f>VLOOKUP(B3820,'old-aw-skill-plan'!A:I,7,FALSE)</f>
        <v>5</v>
      </c>
      <c r="H3820" s="1" t="str">
        <f>VLOOKUP(B3820,'old-aw-skill-plan'!A:I,9,FALSE)</f>
        <v>5-6</v>
      </c>
    </row>
    <row r="3821" ht="15.75" customHeight="1">
      <c r="A3821" s="1" t="s">
        <v>421</v>
      </c>
      <c r="B3821" s="1" t="s">
        <v>88</v>
      </c>
      <c r="C3821" s="1" t="s">
        <v>11</v>
      </c>
      <c r="D3821" s="5">
        <v>45314.0</v>
      </c>
      <c r="G3821" s="1">
        <f>VLOOKUP(B3821,'old-aw-skill-plan'!A:I,7,FALSE)</f>
        <v>5</v>
      </c>
      <c r="H3821" s="1" t="str">
        <f>VLOOKUP(B3821,'old-aw-skill-plan'!A:I,9,FALSE)</f>
        <v>5-5</v>
      </c>
    </row>
    <row r="3822" ht="15.75" customHeight="1">
      <c r="A3822" s="1" t="s">
        <v>428</v>
      </c>
      <c r="B3822" s="1" t="s">
        <v>66</v>
      </c>
      <c r="C3822" s="1" t="s">
        <v>11</v>
      </c>
      <c r="D3822" s="5">
        <v>45314.0</v>
      </c>
      <c r="G3822" s="1">
        <f>VLOOKUP(B3822,'old-aw-skill-plan'!A:I,7,FALSE)</f>
        <v>4</v>
      </c>
      <c r="H3822" s="1" t="str">
        <f>VLOOKUP(B3822,'old-aw-skill-plan'!A:I,9,FALSE)</f>
        <v>4-9</v>
      </c>
    </row>
    <row r="3823" ht="15.75" customHeight="1">
      <c r="A3823" s="1" t="s">
        <v>420</v>
      </c>
      <c r="B3823" s="1" t="s">
        <v>352</v>
      </c>
      <c r="C3823" s="1" t="s">
        <v>11</v>
      </c>
      <c r="D3823" s="5">
        <v>45314.0</v>
      </c>
      <c r="G3823" s="1">
        <f>VLOOKUP(B3823,'old-aw-skill-plan'!A:I,7,FALSE)</f>
        <v>3</v>
      </c>
      <c r="H3823" s="1" t="str">
        <f>VLOOKUP(B3823,'old-aw-skill-plan'!A:I,9,FALSE)</f>
        <v>3-2</v>
      </c>
    </row>
    <row r="3824" ht="15.75" customHeight="1">
      <c r="A3824" s="1" t="s">
        <v>431</v>
      </c>
      <c r="B3824" s="1" t="s">
        <v>310</v>
      </c>
      <c r="C3824" s="1" t="s">
        <v>11</v>
      </c>
      <c r="D3824" s="5">
        <v>45314.0</v>
      </c>
      <c r="G3824" s="1" t="str">
        <f>VLOOKUP(B3824,'old-aw-skill-plan'!A:I,7,FALSE)</f>
        <v>#N/A</v>
      </c>
      <c r="H3824" s="1" t="str">
        <f>VLOOKUP(B3824,'old-aw-skill-plan'!A:I,9,FALSE)</f>
        <v>#N/A</v>
      </c>
    </row>
    <row r="3825" ht="15.75" customHeight="1">
      <c r="A3825" s="1" t="s">
        <v>275</v>
      </c>
      <c r="B3825" s="1" t="s">
        <v>350</v>
      </c>
      <c r="C3825" s="1" t="s">
        <v>11</v>
      </c>
      <c r="D3825" s="5">
        <v>45314.0</v>
      </c>
      <c r="G3825" s="1">
        <f>VLOOKUP(B3825,'old-aw-skill-plan'!A:I,7,FALSE)</f>
        <v>3</v>
      </c>
      <c r="H3825" s="1" t="str">
        <f>VLOOKUP(B3825,'old-aw-skill-plan'!A:I,9,FALSE)</f>
        <v>3-6</v>
      </c>
    </row>
    <row r="3826" ht="15.75" customHeight="1">
      <c r="A3826" s="1" t="s">
        <v>95</v>
      </c>
      <c r="B3826" s="1" t="s">
        <v>28</v>
      </c>
      <c r="C3826" s="1" t="s">
        <v>11</v>
      </c>
      <c r="D3826" s="5">
        <v>45314.0</v>
      </c>
      <c r="G3826" s="1">
        <f>VLOOKUP(B3826,'old-aw-skill-plan'!A:I,7,FALSE)</f>
        <v>3</v>
      </c>
      <c r="H3826" s="1" t="str">
        <f>VLOOKUP(B3826,'old-aw-skill-plan'!A:I,9,FALSE)</f>
        <v>3-4</v>
      </c>
    </row>
    <row r="3827" ht="15.75" customHeight="1">
      <c r="A3827" s="1" t="s">
        <v>214</v>
      </c>
      <c r="B3827" s="1" t="s">
        <v>28</v>
      </c>
      <c r="C3827" s="1" t="s">
        <v>11</v>
      </c>
      <c r="D3827" s="5">
        <v>45314.0</v>
      </c>
      <c r="G3827" s="1">
        <f>VLOOKUP(B3827,'old-aw-skill-plan'!A:I,7,FALSE)</f>
        <v>3</v>
      </c>
      <c r="H3827" s="1" t="str">
        <f>VLOOKUP(B3827,'old-aw-skill-plan'!A:I,9,FALSE)</f>
        <v>3-4</v>
      </c>
    </row>
    <row r="3828" ht="15.75" customHeight="1">
      <c r="A3828" s="1" t="s">
        <v>214</v>
      </c>
      <c r="B3828" s="1" t="s">
        <v>57</v>
      </c>
      <c r="C3828" s="1" t="s">
        <v>11</v>
      </c>
      <c r="D3828" s="5">
        <v>45314.0</v>
      </c>
      <c r="G3828" s="1">
        <f>VLOOKUP(B3828,'old-aw-skill-plan'!A:I,7,FALSE)</f>
        <v>3</v>
      </c>
      <c r="H3828" s="1" t="str">
        <f>VLOOKUP(B3828,'old-aw-skill-plan'!A:I,9,FALSE)</f>
        <v>3-7</v>
      </c>
    </row>
    <row r="3829" ht="15.75" customHeight="1">
      <c r="A3829" s="1" t="s">
        <v>214</v>
      </c>
      <c r="B3829" s="1" t="s">
        <v>30</v>
      </c>
      <c r="C3829" s="1" t="s">
        <v>11</v>
      </c>
      <c r="D3829" s="5">
        <v>45314.0</v>
      </c>
      <c r="G3829" s="1">
        <f>VLOOKUP(B3829,'old-aw-skill-plan'!A:I,7,FALSE)</f>
        <v>3</v>
      </c>
      <c r="H3829" s="1" t="str">
        <f>VLOOKUP(B3829,'old-aw-skill-plan'!A:I,9,FALSE)</f>
        <v>3-3</v>
      </c>
    </row>
    <row r="3830" ht="15.75" customHeight="1">
      <c r="A3830" s="1" t="s">
        <v>214</v>
      </c>
      <c r="B3830" s="1" t="s">
        <v>48</v>
      </c>
      <c r="C3830" s="1" t="s">
        <v>11</v>
      </c>
      <c r="D3830" s="5">
        <v>45314.0</v>
      </c>
      <c r="G3830" s="1">
        <f>VLOOKUP(B3830,'old-aw-skill-plan'!A:I,7,FALSE)</f>
        <v>3</v>
      </c>
      <c r="H3830" s="1" t="str">
        <f>VLOOKUP(B3830,'old-aw-skill-plan'!A:I,9,FALSE)</f>
        <v>3-6</v>
      </c>
    </row>
    <row r="3831" ht="15.75" customHeight="1">
      <c r="A3831" s="1" t="s">
        <v>214</v>
      </c>
      <c r="B3831" s="1" t="s">
        <v>33</v>
      </c>
      <c r="C3831" s="1" t="s">
        <v>11</v>
      </c>
      <c r="D3831" s="5">
        <v>45314.0</v>
      </c>
      <c r="G3831" s="1">
        <f>VLOOKUP(B3831,'old-aw-skill-plan'!A:I,7,FALSE)</f>
        <v>3</v>
      </c>
      <c r="H3831" s="1" t="str">
        <f>VLOOKUP(B3831,'old-aw-skill-plan'!A:I,9,FALSE)</f>
        <v>3-5</v>
      </c>
    </row>
    <row r="3832" ht="15.75" customHeight="1">
      <c r="A3832" s="1" t="s">
        <v>211</v>
      </c>
      <c r="B3832" s="1" t="s">
        <v>30</v>
      </c>
      <c r="C3832" s="1" t="s">
        <v>11</v>
      </c>
      <c r="D3832" s="5">
        <v>45314.0</v>
      </c>
      <c r="G3832" s="1">
        <f>VLOOKUP(B3832,'old-aw-skill-plan'!A:I,7,FALSE)</f>
        <v>3</v>
      </c>
      <c r="H3832" s="1" t="str">
        <f>VLOOKUP(B3832,'old-aw-skill-plan'!A:I,9,FALSE)</f>
        <v>3-3</v>
      </c>
    </row>
    <row r="3833" ht="15.75" customHeight="1">
      <c r="A3833" s="1" t="s">
        <v>197</v>
      </c>
      <c r="B3833" s="1" t="s">
        <v>433</v>
      </c>
      <c r="C3833" s="1" t="s">
        <v>11</v>
      </c>
      <c r="D3833" s="5">
        <v>45314.0</v>
      </c>
      <c r="G3833" s="1">
        <f>VLOOKUP(B3833,'old-aw-skill-plan'!A:I,7,FALSE)</f>
        <v>4</v>
      </c>
      <c r="H3833" s="1" t="str">
        <f>VLOOKUP(B3833,'old-aw-skill-plan'!A:I,9,FALSE)</f>
        <v>4-4</v>
      </c>
    </row>
    <row r="3834" ht="15.75" customHeight="1">
      <c r="A3834" s="1" t="s">
        <v>269</v>
      </c>
      <c r="B3834" s="1" t="s">
        <v>57</v>
      </c>
      <c r="C3834" s="1" t="s">
        <v>11</v>
      </c>
      <c r="D3834" s="5">
        <v>45314.0</v>
      </c>
      <c r="G3834" s="1">
        <f>VLOOKUP(B3834,'old-aw-skill-plan'!A:I,7,FALSE)</f>
        <v>3</v>
      </c>
      <c r="H3834" s="1" t="str">
        <f>VLOOKUP(B3834,'old-aw-skill-plan'!A:I,9,FALSE)</f>
        <v>3-7</v>
      </c>
    </row>
    <row r="3835" ht="15.75" customHeight="1">
      <c r="A3835" s="1" t="s">
        <v>269</v>
      </c>
      <c r="B3835" s="1" t="s">
        <v>58</v>
      </c>
      <c r="C3835" s="1" t="s">
        <v>11</v>
      </c>
      <c r="D3835" s="5">
        <v>45314.0</v>
      </c>
      <c r="G3835" s="1">
        <f>VLOOKUP(B3835,'old-aw-skill-plan'!A:I,7,FALSE)</f>
        <v>3</v>
      </c>
      <c r="H3835" s="1" t="str">
        <f>VLOOKUP(B3835,'old-aw-skill-plan'!A:I,9,FALSE)</f>
        <v>3-8</v>
      </c>
    </row>
    <row r="3836" ht="15.75" customHeight="1">
      <c r="A3836" s="1" t="s">
        <v>226</v>
      </c>
      <c r="B3836" s="1" t="s">
        <v>47</v>
      </c>
      <c r="C3836" s="1" t="s">
        <v>11</v>
      </c>
      <c r="D3836" s="5">
        <v>45314.0</v>
      </c>
      <c r="G3836" s="1">
        <f>VLOOKUP(B3836,'old-aw-skill-plan'!A:I,7,FALSE)</f>
        <v>3</v>
      </c>
      <c r="H3836" s="1" t="str">
        <f>VLOOKUP(B3836,'old-aw-skill-plan'!A:I,9,FALSE)</f>
        <v>3-2</v>
      </c>
    </row>
    <row r="3837" ht="15.75" customHeight="1">
      <c r="A3837" s="1" t="s">
        <v>93</v>
      </c>
      <c r="B3837" s="1" t="s">
        <v>117</v>
      </c>
      <c r="C3837" s="1" t="s">
        <v>11</v>
      </c>
      <c r="D3837" s="5">
        <v>45314.0</v>
      </c>
      <c r="G3837" s="1">
        <f>VLOOKUP(B3837,'old-aw-skill-plan'!A:I,7,FALSE)</f>
        <v>3</v>
      </c>
      <c r="H3837" s="1" t="str">
        <f>VLOOKUP(B3837,'old-aw-skill-plan'!A:I,9,FALSE)</f>
        <v>3-11</v>
      </c>
    </row>
    <row r="3838" ht="15.75" customHeight="1">
      <c r="A3838" s="1" t="s">
        <v>110</v>
      </c>
      <c r="B3838" s="1" t="s">
        <v>117</v>
      </c>
      <c r="C3838" s="1" t="s">
        <v>11</v>
      </c>
      <c r="D3838" s="5">
        <v>45314.0</v>
      </c>
      <c r="G3838" s="1">
        <f>VLOOKUP(B3838,'old-aw-skill-plan'!A:I,7,FALSE)</f>
        <v>3</v>
      </c>
      <c r="H3838" s="1" t="str">
        <f>VLOOKUP(B3838,'old-aw-skill-plan'!A:I,9,FALSE)</f>
        <v>3-11</v>
      </c>
    </row>
    <row r="3839" ht="15.75" customHeight="1">
      <c r="A3839" s="1" t="s">
        <v>110</v>
      </c>
      <c r="B3839" s="1" t="s">
        <v>445</v>
      </c>
      <c r="C3839" s="1" t="s">
        <v>11</v>
      </c>
      <c r="D3839" s="5">
        <v>45314.0</v>
      </c>
      <c r="G3839" s="1">
        <f>VLOOKUP(B3839,'old-aw-skill-plan'!A:I,7,FALSE)</f>
        <v>3</v>
      </c>
      <c r="H3839" s="1" t="str">
        <f>VLOOKUP(B3839,'old-aw-skill-plan'!A:I,9,FALSE)</f>
        <v>3-9</v>
      </c>
    </row>
    <row r="3840" ht="15.75" customHeight="1">
      <c r="A3840" s="1" t="s">
        <v>22</v>
      </c>
      <c r="B3840" s="1" t="s">
        <v>19</v>
      </c>
      <c r="C3840" s="1" t="s">
        <v>11</v>
      </c>
      <c r="D3840" s="5">
        <v>45313.0</v>
      </c>
      <c r="G3840" s="1">
        <f>VLOOKUP(B3840,'old-aw-skill-plan'!A:I,7,FALSE)</f>
        <v>4</v>
      </c>
      <c r="H3840" s="1" t="str">
        <f>VLOOKUP(B3840,'old-aw-skill-plan'!A:I,9,FALSE)</f>
        <v>4-7</v>
      </c>
    </row>
    <row r="3841" ht="15.75" customHeight="1">
      <c r="A3841" s="1" t="s">
        <v>31</v>
      </c>
      <c r="B3841" s="1" t="s">
        <v>47</v>
      </c>
      <c r="C3841" s="1" t="s">
        <v>11</v>
      </c>
      <c r="D3841" s="5">
        <v>45313.0</v>
      </c>
      <c r="G3841" s="1">
        <f>VLOOKUP(B3841,'old-aw-skill-plan'!A:I,7,FALSE)</f>
        <v>3</v>
      </c>
      <c r="H3841" s="1" t="str">
        <f>VLOOKUP(B3841,'old-aw-skill-plan'!A:I,9,FALSE)</f>
        <v>3-2</v>
      </c>
    </row>
    <row r="3842" ht="15.75" customHeight="1">
      <c r="A3842" s="1" t="s">
        <v>216</v>
      </c>
      <c r="B3842" s="1" t="s">
        <v>34</v>
      </c>
      <c r="C3842" s="1" t="s">
        <v>11</v>
      </c>
      <c r="D3842" s="5">
        <v>45313.0</v>
      </c>
      <c r="G3842" s="1">
        <f>VLOOKUP(B3842,'old-aw-skill-plan'!A:I,7,FALSE)</f>
        <v>4</v>
      </c>
      <c r="H3842" s="1" t="str">
        <f>VLOOKUP(B3842,'old-aw-skill-plan'!A:I,9,FALSE)</f>
        <v>4-1</v>
      </c>
    </row>
    <row r="3843" ht="15.75" customHeight="1">
      <c r="A3843" s="1" t="s">
        <v>35</v>
      </c>
      <c r="B3843" s="1" t="s">
        <v>79</v>
      </c>
      <c r="C3843" s="1" t="s">
        <v>11</v>
      </c>
      <c r="D3843" s="5">
        <v>45313.0</v>
      </c>
      <c r="G3843" s="1">
        <f>VLOOKUP(B3843,'old-aw-skill-plan'!A:I,7,FALSE)</f>
        <v>4</v>
      </c>
      <c r="H3843" s="1" t="str">
        <f>VLOOKUP(B3843,'old-aw-skill-plan'!A:I,9,FALSE)</f>
        <v>4-8</v>
      </c>
    </row>
    <row r="3844" ht="15.75" customHeight="1">
      <c r="A3844" s="1" t="s">
        <v>213</v>
      </c>
      <c r="B3844" s="1" t="s">
        <v>47</v>
      </c>
      <c r="C3844" s="1" t="s">
        <v>11</v>
      </c>
      <c r="D3844" s="5">
        <v>45313.0</v>
      </c>
      <c r="G3844" s="1">
        <f>VLOOKUP(B3844,'old-aw-skill-plan'!A:I,7,FALSE)</f>
        <v>3</v>
      </c>
      <c r="H3844" s="1" t="str">
        <f>VLOOKUP(B3844,'old-aw-skill-plan'!A:I,9,FALSE)</f>
        <v>3-2</v>
      </c>
    </row>
    <row r="3845" ht="15.75" customHeight="1">
      <c r="A3845" s="1" t="s">
        <v>199</v>
      </c>
      <c r="B3845" s="1" t="s">
        <v>34</v>
      </c>
      <c r="C3845" s="1" t="s">
        <v>11</v>
      </c>
      <c r="D3845" s="5">
        <v>45313.0</v>
      </c>
      <c r="G3845" s="1">
        <f>VLOOKUP(B3845,'old-aw-skill-plan'!A:I,7,FALSE)</f>
        <v>4</v>
      </c>
      <c r="H3845" s="1" t="str">
        <f>VLOOKUP(B3845,'old-aw-skill-plan'!A:I,9,FALSE)</f>
        <v>4-1</v>
      </c>
    </row>
    <row r="3846" ht="15.75" customHeight="1">
      <c r="A3846" s="1" t="s">
        <v>449</v>
      </c>
      <c r="B3846" s="1" t="s">
        <v>61</v>
      </c>
      <c r="C3846" s="1" t="s">
        <v>11</v>
      </c>
      <c r="D3846" s="5">
        <v>45313.0</v>
      </c>
      <c r="G3846" s="1">
        <f>VLOOKUP(B3846,'old-aw-skill-plan'!A:I,7,FALSE)</f>
        <v>4</v>
      </c>
      <c r="H3846" s="1" t="str">
        <f>VLOOKUP(B3846,'old-aw-skill-plan'!A:I,9,FALSE)</f>
        <v>4-4</v>
      </c>
    </row>
    <row r="3847" ht="15.75" customHeight="1">
      <c r="A3847" s="1" t="s">
        <v>36</v>
      </c>
      <c r="B3847" s="1" t="s">
        <v>33</v>
      </c>
      <c r="C3847" s="1" t="s">
        <v>11</v>
      </c>
      <c r="D3847" s="5">
        <v>45313.0</v>
      </c>
      <c r="G3847" s="1">
        <f>VLOOKUP(B3847,'old-aw-skill-plan'!A:I,7,FALSE)</f>
        <v>3</v>
      </c>
      <c r="H3847" s="1" t="str">
        <f>VLOOKUP(B3847,'old-aw-skill-plan'!A:I,9,FALSE)</f>
        <v>3-5</v>
      </c>
    </row>
    <row r="3848" ht="15.75" customHeight="1">
      <c r="A3848" s="1" t="s">
        <v>452</v>
      </c>
      <c r="B3848" s="1" t="s">
        <v>104</v>
      </c>
      <c r="C3848" s="1" t="s">
        <v>11</v>
      </c>
      <c r="D3848" s="5">
        <v>45313.0</v>
      </c>
      <c r="G3848" s="1">
        <f>VLOOKUP(B3848,'old-aw-skill-plan'!A:I,7,FALSE)</f>
        <v>5</v>
      </c>
      <c r="H3848" s="1" t="str">
        <f>VLOOKUP(B3848,'old-aw-skill-plan'!A:I,9,FALSE)</f>
        <v>5-2</v>
      </c>
    </row>
    <row r="3849" ht="15.75" customHeight="1">
      <c r="A3849" s="1" t="s">
        <v>46</v>
      </c>
      <c r="B3849" s="1" t="s">
        <v>47</v>
      </c>
      <c r="C3849" s="1" t="s">
        <v>11</v>
      </c>
      <c r="D3849" s="5">
        <v>45313.0</v>
      </c>
      <c r="G3849" s="1">
        <f>VLOOKUP(B3849,'old-aw-skill-plan'!A:I,7,FALSE)</f>
        <v>3</v>
      </c>
      <c r="H3849" s="1" t="str">
        <f>VLOOKUP(B3849,'old-aw-skill-plan'!A:I,9,FALSE)</f>
        <v>3-2</v>
      </c>
    </row>
    <row r="3850" ht="15.75" customHeight="1">
      <c r="A3850" s="1" t="s">
        <v>81</v>
      </c>
      <c r="B3850" s="1" t="s">
        <v>42</v>
      </c>
      <c r="C3850" s="1" t="s">
        <v>11</v>
      </c>
      <c r="D3850" s="5">
        <v>45313.0</v>
      </c>
      <c r="G3850" s="1">
        <f>VLOOKUP(B3850,'old-aw-skill-plan'!A:I,7,FALSE)</f>
        <v>4</v>
      </c>
      <c r="H3850" s="1" t="str">
        <f>VLOOKUP(B3850,'old-aw-skill-plan'!A:I,9,FALSE)</f>
        <v>4-11</v>
      </c>
    </row>
    <row r="3851" ht="15.75" customHeight="1">
      <c r="A3851" s="1" t="s">
        <v>81</v>
      </c>
      <c r="B3851" s="1" t="s">
        <v>79</v>
      </c>
      <c r="C3851" s="1" t="s">
        <v>11</v>
      </c>
      <c r="D3851" s="5">
        <v>45313.0</v>
      </c>
      <c r="G3851" s="1">
        <f>VLOOKUP(B3851,'old-aw-skill-plan'!A:I,7,FALSE)</f>
        <v>4</v>
      </c>
      <c r="H3851" s="1" t="str">
        <f>VLOOKUP(B3851,'old-aw-skill-plan'!A:I,9,FALSE)</f>
        <v>4-8</v>
      </c>
    </row>
    <row r="3852" ht="15.75" customHeight="1">
      <c r="A3852" s="1" t="s">
        <v>421</v>
      </c>
      <c r="B3852" s="1" t="s">
        <v>25</v>
      </c>
      <c r="C3852" s="1" t="s">
        <v>11</v>
      </c>
      <c r="D3852" s="5">
        <v>45313.0</v>
      </c>
      <c r="G3852" s="1">
        <f>VLOOKUP(B3852,'old-aw-skill-plan'!A:I,7,FALSE)</f>
        <v>5</v>
      </c>
      <c r="H3852" s="1" t="str">
        <f>VLOOKUP(B3852,'old-aw-skill-plan'!A:I,9,FALSE)</f>
        <v>5-4</v>
      </c>
    </row>
    <row r="3853" ht="15.75" customHeight="1">
      <c r="A3853" s="1" t="s">
        <v>428</v>
      </c>
      <c r="B3853" s="1" t="s">
        <v>66</v>
      </c>
      <c r="C3853" s="1" t="s">
        <v>11</v>
      </c>
      <c r="D3853" s="5">
        <v>45313.0</v>
      </c>
      <c r="G3853" s="1">
        <f>VLOOKUP(B3853,'old-aw-skill-plan'!A:I,7,FALSE)</f>
        <v>4</v>
      </c>
      <c r="H3853" s="1" t="str">
        <f>VLOOKUP(B3853,'old-aw-skill-plan'!A:I,9,FALSE)</f>
        <v>4-9</v>
      </c>
    </row>
    <row r="3854" ht="15.75" customHeight="1">
      <c r="A3854" s="1" t="s">
        <v>420</v>
      </c>
      <c r="B3854" s="1" t="s">
        <v>352</v>
      </c>
      <c r="C3854" s="1" t="s">
        <v>11</v>
      </c>
      <c r="D3854" s="5">
        <v>45313.0</v>
      </c>
      <c r="G3854" s="1">
        <f>VLOOKUP(B3854,'old-aw-skill-plan'!A:I,7,FALSE)</f>
        <v>3</v>
      </c>
      <c r="H3854" s="1" t="str">
        <f>VLOOKUP(B3854,'old-aw-skill-plan'!A:I,9,FALSE)</f>
        <v>3-2</v>
      </c>
    </row>
    <row r="3855" ht="15.75" customHeight="1">
      <c r="A3855" s="1" t="s">
        <v>431</v>
      </c>
      <c r="B3855" s="1" t="s">
        <v>85</v>
      </c>
      <c r="C3855" s="1" t="s">
        <v>11</v>
      </c>
      <c r="D3855" s="5">
        <v>45313.0</v>
      </c>
      <c r="G3855" s="1">
        <f>VLOOKUP(B3855,'old-aw-skill-plan'!A:I,7,FALSE)</f>
        <v>5</v>
      </c>
      <c r="H3855" s="1" t="str">
        <f>VLOOKUP(B3855,'old-aw-skill-plan'!A:I,9,FALSE)</f>
        <v>5-8</v>
      </c>
    </row>
    <row r="3856" ht="15.75" customHeight="1">
      <c r="A3856" s="1" t="s">
        <v>431</v>
      </c>
      <c r="B3856" s="1" t="s">
        <v>88</v>
      </c>
      <c r="C3856" s="1" t="s">
        <v>11</v>
      </c>
      <c r="D3856" s="5">
        <v>45313.0</v>
      </c>
      <c r="G3856" s="1">
        <f>VLOOKUP(B3856,'old-aw-skill-plan'!A:I,7,FALSE)</f>
        <v>5</v>
      </c>
      <c r="H3856" s="1" t="str">
        <f>VLOOKUP(B3856,'old-aw-skill-plan'!A:I,9,FALSE)</f>
        <v>5-5</v>
      </c>
    </row>
    <row r="3857" ht="15.75" customHeight="1">
      <c r="A3857" s="1" t="s">
        <v>431</v>
      </c>
      <c r="B3857" s="1" t="s">
        <v>310</v>
      </c>
      <c r="C3857" s="1" t="s">
        <v>11</v>
      </c>
      <c r="D3857" s="5">
        <v>45313.0</v>
      </c>
      <c r="G3857" s="1" t="str">
        <f>VLOOKUP(B3857,'old-aw-skill-plan'!A:I,7,FALSE)</f>
        <v>#N/A</v>
      </c>
      <c r="H3857" s="1" t="str">
        <f>VLOOKUP(B3857,'old-aw-skill-plan'!A:I,9,FALSE)</f>
        <v>#N/A</v>
      </c>
    </row>
    <row r="3858" ht="15.75" customHeight="1">
      <c r="A3858" s="1" t="s">
        <v>203</v>
      </c>
      <c r="B3858" s="1" t="s">
        <v>104</v>
      </c>
      <c r="C3858" s="1" t="s">
        <v>11</v>
      </c>
      <c r="D3858" s="5">
        <v>45313.0</v>
      </c>
      <c r="G3858" s="1">
        <f>VLOOKUP(B3858,'old-aw-skill-plan'!A:I,7,FALSE)</f>
        <v>5</v>
      </c>
      <c r="H3858" s="1" t="str">
        <f>VLOOKUP(B3858,'old-aw-skill-plan'!A:I,9,FALSE)</f>
        <v>5-2</v>
      </c>
    </row>
    <row r="3859" ht="15.75" customHeight="1">
      <c r="A3859" s="1" t="s">
        <v>95</v>
      </c>
      <c r="B3859" s="1" t="s">
        <v>28</v>
      </c>
      <c r="C3859" s="1" t="s">
        <v>11</v>
      </c>
      <c r="D3859" s="5">
        <v>45313.0</v>
      </c>
      <c r="G3859" s="1">
        <f>VLOOKUP(B3859,'old-aw-skill-plan'!A:I,7,FALSE)</f>
        <v>3</v>
      </c>
      <c r="H3859" s="1" t="str">
        <f>VLOOKUP(B3859,'old-aw-skill-plan'!A:I,9,FALSE)</f>
        <v>3-4</v>
      </c>
    </row>
    <row r="3860" ht="15.75" customHeight="1">
      <c r="A3860" s="1" t="s">
        <v>211</v>
      </c>
      <c r="B3860" s="1" t="s">
        <v>47</v>
      </c>
      <c r="C3860" s="1" t="s">
        <v>11</v>
      </c>
      <c r="D3860" s="5">
        <v>45313.0</v>
      </c>
      <c r="G3860" s="1">
        <f>VLOOKUP(B3860,'old-aw-skill-plan'!A:I,7,FALSE)</f>
        <v>3</v>
      </c>
      <c r="H3860" s="1" t="str">
        <f>VLOOKUP(B3860,'old-aw-skill-plan'!A:I,9,FALSE)</f>
        <v>3-2</v>
      </c>
    </row>
    <row r="3861" ht="15.75" customHeight="1">
      <c r="A3861" s="1" t="s">
        <v>197</v>
      </c>
      <c r="B3861" s="1" t="s">
        <v>433</v>
      </c>
      <c r="C3861" s="1" t="s">
        <v>11</v>
      </c>
      <c r="D3861" s="5">
        <v>45313.0</v>
      </c>
      <c r="G3861" s="1">
        <f>VLOOKUP(B3861,'old-aw-skill-plan'!A:I,7,FALSE)</f>
        <v>4</v>
      </c>
      <c r="H3861" s="1" t="str">
        <f>VLOOKUP(B3861,'old-aw-skill-plan'!A:I,9,FALSE)</f>
        <v>4-4</v>
      </c>
    </row>
    <row r="3862" ht="15.75" customHeight="1">
      <c r="A3862" s="1" t="s">
        <v>373</v>
      </c>
      <c r="B3862" s="1" t="s">
        <v>28</v>
      </c>
      <c r="C3862" s="1" t="s">
        <v>11</v>
      </c>
      <c r="D3862" s="5">
        <v>45313.0</v>
      </c>
      <c r="G3862" s="1">
        <f>VLOOKUP(B3862,'old-aw-skill-plan'!A:I,7,FALSE)</f>
        <v>3</v>
      </c>
      <c r="H3862" s="1" t="str">
        <f>VLOOKUP(B3862,'old-aw-skill-plan'!A:I,9,FALSE)</f>
        <v>3-4</v>
      </c>
    </row>
    <row r="3863" ht="15.75" customHeight="1">
      <c r="A3863" s="1" t="s">
        <v>373</v>
      </c>
      <c r="B3863" s="1" t="s">
        <v>58</v>
      </c>
      <c r="C3863" s="1" t="s">
        <v>11</v>
      </c>
      <c r="D3863" s="5">
        <v>45313.0</v>
      </c>
      <c r="G3863" s="1">
        <f>VLOOKUP(B3863,'old-aw-skill-plan'!A:I,7,FALSE)</f>
        <v>3</v>
      </c>
      <c r="H3863" s="1" t="str">
        <f>VLOOKUP(B3863,'old-aw-skill-plan'!A:I,9,FALSE)</f>
        <v>3-8</v>
      </c>
    </row>
    <row r="3864" ht="15.75" customHeight="1">
      <c r="A3864" s="1" t="s">
        <v>102</v>
      </c>
      <c r="B3864" s="1" t="s">
        <v>33</v>
      </c>
      <c r="C3864" s="1" t="s">
        <v>11</v>
      </c>
      <c r="D3864" s="5">
        <v>45313.0</v>
      </c>
      <c r="G3864" s="1">
        <f>VLOOKUP(B3864,'old-aw-skill-plan'!A:I,7,FALSE)</f>
        <v>3</v>
      </c>
      <c r="H3864" s="1" t="str">
        <f>VLOOKUP(B3864,'old-aw-skill-plan'!A:I,9,FALSE)</f>
        <v>3-5</v>
      </c>
    </row>
    <row r="3865" ht="15.75" customHeight="1">
      <c r="A3865" s="1" t="s">
        <v>93</v>
      </c>
      <c r="B3865" s="1" t="s">
        <v>117</v>
      </c>
      <c r="C3865" s="1" t="s">
        <v>11</v>
      </c>
      <c r="D3865" s="5">
        <v>45313.0</v>
      </c>
      <c r="G3865" s="1">
        <f>VLOOKUP(B3865,'old-aw-skill-plan'!A:I,7,FALSE)</f>
        <v>3</v>
      </c>
      <c r="H3865" s="1" t="str">
        <f>VLOOKUP(B3865,'old-aw-skill-plan'!A:I,9,FALSE)</f>
        <v>3-11</v>
      </c>
    </row>
    <row r="3866" ht="15.75" customHeight="1">
      <c r="A3866" s="1" t="s">
        <v>225</v>
      </c>
      <c r="B3866" s="1" t="s">
        <v>97</v>
      </c>
      <c r="C3866" s="1" t="s">
        <v>11</v>
      </c>
      <c r="D3866" s="5">
        <v>45313.0</v>
      </c>
      <c r="G3866" s="1">
        <f>VLOOKUP(B3866,'old-aw-skill-plan'!A:I,7,FALSE)</f>
        <v>4</v>
      </c>
      <c r="H3866" s="1" t="str">
        <f>VLOOKUP(B3866,'old-aw-skill-plan'!A:I,9,FALSE)</f>
        <v>4-3</v>
      </c>
    </row>
    <row r="3867" ht="15.75" customHeight="1">
      <c r="A3867" s="1" t="s">
        <v>427</v>
      </c>
      <c r="B3867" s="1" t="s">
        <v>443</v>
      </c>
      <c r="C3867" s="1" t="s">
        <v>11</v>
      </c>
      <c r="D3867" s="5">
        <v>45313.0</v>
      </c>
      <c r="G3867" s="1">
        <f>VLOOKUP(B3867,'old-aw-skill-plan'!A:I,7,FALSE)</f>
        <v>3</v>
      </c>
      <c r="H3867" s="1" t="str">
        <f>VLOOKUP(B3867,'old-aw-skill-plan'!A:I,9,FALSE)</f>
        <v>3-5</v>
      </c>
    </row>
    <row r="3868" ht="15.75" customHeight="1">
      <c r="A3868" s="1" t="s">
        <v>110</v>
      </c>
      <c r="B3868" s="1" t="s">
        <v>446</v>
      </c>
      <c r="C3868" s="1" t="s">
        <v>11</v>
      </c>
      <c r="D3868" s="5">
        <v>45313.0</v>
      </c>
      <c r="G3868" s="1">
        <f>VLOOKUP(B3868,'old-aw-skill-plan'!A:I,7,FALSE)</f>
        <v>3</v>
      </c>
      <c r="H3868" s="1" t="str">
        <f>VLOOKUP(B3868,'old-aw-skill-plan'!A:I,9,FALSE)</f>
        <v>3-6</v>
      </c>
    </row>
    <row r="3869" ht="15.75" customHeight="1">
      <c r="A3869" s="1" t="s">
        <v>454</v>
      </c>
      <c r="B3869" s="1" t="s">
        <v>116</v>
      </c>
      <c r="C3869" s="1" t="s">
        <v>11</v>
      </c>
      <c r="D3869" s="5">
        <v>45312.0</v>
      </c>
      <c r="G3869" s="1">
        <f>VLOOKUP(B3869,'old-aw-skill-plan'!A:I,7,FALSE)</f>
        <v>3</v>
      </c>
      <c r="H3869" s="1" t="str">
        <f>VLOOKUP(B3869,'old-aw-skill-plan'!A:I,9,FALSE)</f>
        <v>3-9</v>
      </c>
    </row>
    <row r="3870" ht="15.75" customHeight="1">
      <c r="A3870" s="1" t="s">
        <v>93</v>
      </c>
      <c r="B3870" s="1" t="s">
        <v>79</v>
      </c>
      <c r="C3870" s="1" t="s">
        <v>11</v>
      </c>
      <c r="D3870" s="5">
        <v>45312.0</v>
      </c>
      <c r="G3870" s="1">
        <f>VLOOKUP(B3870,'old-aw-skill-plan'!A:I,7,FALSE)</f>
        <v>4</v>
      </c>
      <c r="H3870" s="1" t="str">
        <f>VLOOKUP(B3870,'old-aw-skill-plan'!A:I,9,FALSE)</f>
        <v>4-8</v>
      </c>
    </row>
    <row r="3871" ht="15.75" customHeight="1">
      <c r="A3871" s="1" t="s">
        <v>22</v>
      </c>
      <c r="B3871" s="1" t="s">
        <v>19</v>
      </c>
      <c r="C3871" s="1" t="s">
        <v>11</v>
      </c>
      <c r="D3871" s="5">
        <v>45310.0</v>
      </c>
      <c r="G3871" s="1">
        <f>VLOOKUP(B3871,'old-aw-skill-plan'!A:I,7,FALSE)</f>
        <v>4</v>
      </c>
      <c r="H3871" s="1" t="str">
        <f>VLOOKUP(B3871,'old-aw-skill-plan'!A:I,9,FALSE)</f>
        <v>4-7</v>
      </c>
    </row>
    <row r="3872" ht="15.75" customHeight="1">
      <c r="A3872" s="1" t="s">
        <v>24</v>
      </c>
      <c r="B3872" s="1" t="s">
        <v>34</v>
      </c>
      <c r="C3872" s="1" t="s">
        <v>11</v>
      </c>
      <c r="D3872" s="5">
        <v>45310.0</v>
      </c>
      <c r="G3872" s="1">
        <f>VLOOKUP(B3872,'old-aw-skill-plan'!A:I,7,FALSE)</f>
        <v>4</v>
      </c>
      <c r="H3872" s="1" t="str">
        <f>VLOOKUP(B3872,'old-aw-skill-plan'!A:I,9,FALSE)</f>
        <v>4-1</v>
      </c>
    </row>
    <row r="3873" ht="15.75" customHeight="1">
      <c r="A3873" s="1" t="s">
        <v>458</v>
      </c>
      <c r="B3873" s="1" t="s">
        <v>28</v>
      </c>
      <c r="C3873" s="1" t="s">
        <v>11</v>
      </c>
      <c r="D3873" s="5">
        <v>45310.0</v>
      </c>
      <c r="G3873" s="1">
        <f>VLOOKUP(B3873,'old-aw-skill-plan'!A:I,7,FALSE)</f>
        <v>3</v>
      </c>
      <c r="H3873" s="1" t="str">
        <f>VLOOKUP(B3873,'old-aw-skill-plan'!A:I,9,FALSE)</f>
        <v>3-4</v>
      </c>
    </row>
    <row r="3874" ht="15.75" customHeight="1">
      <c r="A3874" s="1" t="s">
        <v>199</v>
      </c>
      <c r="B3874" s="1" t="s">
        <v>34</v>
      </c>
      <c r="C3874" s="1" t="s">
        <v>11</v>
      </c>
      <c r="D3874" s="5">
        <v>45310.0</v>
      </c>
      <c r="G3874" s="1">
        <f>VLOOKUP(B3874,'old-aw-skill-plan'!A:I,7,FALSE)</f>
        <v>4</v>
      </c>
      <c r="H3874" s="1" t="str">
        <f>VLOOKUP(B3874,'old-aw-skill-plan'!A:I,9,FALSE)</f>
        <v>4-1</v>
      </c>
    </row>
    <row r="3875" ht="15.75" customHeight="1">
      <c r="A3875" s="1" t="s">
        <v>220</v>
      </c>
      <c r="B3875" s="1" t="s">
        <v>58</v>
      </c>
      <c r="C3875" s="1" t="s">
        <v>11</v>
      </c>
      <c r="D3875" s="5">
        <v>45310.0</v>
      </c>
      <c r="G3875" s="1">
        <f>VLOOKUP(B3875,'old-aw-skill-plan'!A:I,7,FALSE)</f>
        <v>3</v>
      </c>
      <c r="H3875" s="1" t="str">
        <f>VLOOKUP(B3875,'old-aw-skill-plan'!A:I,9,FALSE)</f>
        <v>3-8</v>
      </c>
    </row>
    <row r="3876" ht="15.75" customHeight="1">
      <c r="A3876" s="1" t="s">
        <v>419</v>
      </c>
      <c r="B3876" s="1" t="s">
        <v>104</v>
      </c>
      <c r="C3876" s="1" t="s">
        <v>11</v>
      </c>
      <c r="D3876" s="5">
        <v>45310.0</v>
      </c>
      <c r="G3876" s="1">
        <f>VLOOKUP(B3876,'old-aw-skill-plan'!A:I,7,FALSE)</f>
        <v>5</v>
      </c>
      <c r="H3876" s="1" t="str">
        <f>VLOOKUP(B3876,'old-aw-skill-plan'!A:I,9,FALSE)</f>
        <v>5-2</v>
      </c>
    </row>
    <row r="3877" ht="15.75" customHeight="1">
      <c r="A3877" s="1" t="s">
        <v>459</v>
      </c>
      <c r="B3877" s="1" t="s">
        <v>58</v>
      </c>
      <c r="C3877" s="1" t="s">
        <v>11</v>
      </c>
      <c r="D3877" s="5">
        <v>45310.0</v>
      </c>
      <c r="G3877" s="1">
        <f>VLOOKUP(B3877,'old-aw-skill-plan'!A:I,7,FALSE)</f>
        <v>3</v>
      </c>
      <c r="H3877" s="1" t="str">
        <f>VLOOKUP(B3877,'old-aw-skill-plan'!A:I,9,FALSE)</f>
        <v>3-8</v>
      </c>
    </row>
    <row r="3878" ht="15.75" customHeight="1">
      <c r="A3878" s="1" t="s">
        <v>459</v>
      </c>
      <c r="B3878" s="1" t="s">
        <v>443</v>
      </c>
      <c r="C3878" s="1" t="s">
        <v>11</v>
      </c>
      <c r="D3878" s="5">
        <v>45310.0</v>
      </c>
      <c r="G3878" s="1">
        <f>VLOOKUP(B3878,'old-aw-skill-plan'!A:I,7,FALSE)</f>
        <v>3</v>
      </c>
      <c r="H3878" s="1" t="str">
        <f>VLOOKUP(B3878,'old-aw-skill-plan'!A:I,9,FALSE)</f>
        <v>3-5</v>
      </c>
    </row>
    <row r="3879" ht="15.75" customHeight="1">
      <c r="A3879" s="1" t="s">
        <v>81</v>
      </c>
      <c r="B3879" s="1" t="s">
        <v>79</v>
      </c>
      <c r="C3879" s="1" t="s">
        <v>11</v>
      </c>
      <c r="D3879" s="5">
        <v>45310.0</v>
      </c>
      <c r="G3879" s="1">
        <f>VLOOKUP(B3879,'old-aw-skill-plan'!A:I,7,FALSE)</f>
        <v>4</v>
      </c>
      <c r="H3879" s="1" t="str">
        <f>VLOOKUP(B3879,'old-aw-skill-plan'!A:I,9,FALSE)</f>
        <v>4-8</v>
      </c>
    </row>
    <row r="3880" ht="15.75" customHeight="1">
      <c r="A3880" s="1" t="s">
        <v>421</v>
      </c>
      <c r="B3880" s="1" t="s">
        <v>25</v>
      </c>
      <c r="C3880" s="1" t="s">
        <v>11</v>
      </c>
      <c r="D3880" s="5">
        <v>45310.0</v>
      </c>
      <c r="G3880" s="1">
        <f>VLOOKUP(B3880,'old-aw-skill-plan'!A:I,7,FALSE)</f>
        <v>5</v>
      </c>
      <c r="H3880" s="1" t="str">
        <f>VLOOKUP(B3880,'old-aw-skill-plan'!A:I,9,FALSE)</f>
        <v>5-4</v>
      </c>
    </row>
    <row r="3881" ht="15.75" customHeight="1">
      <c r="A3881" s="1" t="s">
        <v>421</v>
      </c>
      <c r="B3881" s="1" t="s">
        <v>103</v>
      </c>
      <c r="C3881" s="1" t="s">
        <v>11</v>
      </c>
      <c r="D3881" s="5">
        <v>45310.0</v>
      </c>
      <c r="G3881" s="1">
        <f>VLOOKUP(B3881,'old-aw-skill-plan'!A:I,7,FALSE)</f>
        <v>5</v>
      </c>
      <c r="H3881" s="1" t="str">
        <f>VLOOKUP(B3881,'old-aw-skill-plan'!A:I,9,FALSE)</f>
        <v>5-3</v>
      </c>
    </row>
    <row r="3882" ht="15.75" customHeight="1">
      <c r="A3882" s="1" t="s">
        <v>230</v>
      </c>
      <c r="B3882" s="1" t="s">
        <v>115</v>
      </c>
      <c r="C3882" s="1" t="s">
        <v>11</v>
      </c>
      <c r="D3882" s="5">
        <v>45310.0</v>
      </c>
      <c r="G3882" s="1">
        <f>VLOOKUP(B3882,'old-aw-skill-plan'!A:I,7,FALSE)</f>
        <v>3</v>
      </c>
      <c r="H3882" s="1" t="str">
        <f>VLOOKUP(B3882,'old-aw-skill-plan'!A:I,9,FALSE)</f>
        <v>3-10</v>
      </c>
    </row>
    <row r="3883" ht="15.75" customHeight="1">
      <c r="A3883" s="1" t="s">
        <v>420</v>
      </c>
      <c r="B3883" s="1" t="s">
        <v>10</v>
      </c>
      <c r="C3883" s="1" t="s">
        <v>11</v>
      </c>
      <c r="D3883" s="5">
        <v>45310.0</v>
      </c>
      <c r="G3883" s="1">
        <f>VLOOKUP(B3883,'old-aw-skill-plan'!A:I,7,FALSE)</f>
        <v>3</v>
      </c>
      <c r="H3883" s="1" t="str">
        <f>VLOOKUP(B3883,'old-aw-skill-plan'!A:I,9,FALSE)</f>
        <v>3-1</v>
      </c>
    </row>
    <row r="3884" ht="15.75" customHeight="1">
      <c r="A3884" s="1" t="s">
        <v>420</v>
      </c>
      <c r="B3884" s="1" t="s">
        <v>48</v>
      </c>
      <c r="C3884" s="1" t="s">
        <v>11</v>
      </c>
      <c r="D3884" s="5">
        <v>45310.0</v>
      </c>
      <c r="G3884" s="1">
        <f>VLOOKUP(B3884,'old-aw-skill-plan'!A:I,7,FALSE)</f>
        <v>3</v>
      </c>
      <c r="H3884" s="1" t="str">
        <f>VLOOKUP(B3884,'old-aw-skill-plan'!A:I,9,FALSE)</f>
        <v>3-6</v>
      </c>
    </row>
    <row r="3885" ht="15.75" customHeight="1">
      <c r="A3885" s="1" t="s">
        <v>431</v>
      </c>
      <c r="B3885" s="1" t="s">
        <v>83</v>
      </c>
      <c r="C3885" s="1" t="s">
        <v>11</v>
      </c>
      <c r="D3885" s="5">
        <v>45310.0</v>
      </c>
      <c r="G3885" s="1">
        <f>VLOOKUP(B3885,'old-aw-skill-plan'!A:I,7,FALSE)</f>
        <v>5</v>
      </c>
      <c r="H3885" s="1" t="str">
        <f>VLOOKUP(B3885,'old-aw-skill-plan'!A:I,9,FALSE)</f>
        <v>5-9</v>
      </c>
    </row>
    <row r="3886" ht="15.75" customHeight="1">
      <c r="A3886" s="1" t="s">
        <v>431</v>
      </c>
      <c r="B3886" s="1" t="s">
        <v>104</v>
      </c>
      <c r="C3886" s="1" t="s">
        <v>11</v>
      </c>
      <c r="D3886" s="5">
        <v>45310.0</v>
      </c>
      <c r="G3886" s="1">
        <f>VLOOKUP(B3886,'old-aw-skill-plan'!A:I,7,FALSE)</f>
        <v>5</v>
      </c>
      <c r="H3886" s="1" t="str">
        <f>VLOOKUP(B3886,'old-aw-skill-plan'!A:I,9,FALSE)</f>
        <v>5-2</v>
      </c>
    </row>
    <row r="3887" ht="15.75" customHeight="1">
      <c r="A3887" s="1" t="s">
        <v>214</v>
      </c>
      <c r="B3887" s="1" t="s">
        <v>30</v>
      </c>
      <c r="C3887" s="1" t="s">
        <v>11</v>
      </c>
      <c r="D3887" s="5">
        <v>45310.0</v>
      </c>
      <c r="G3887" s="1">
        <f>VLOOKUP(B3887,'old-aw-skill-plan'!A:I,7,FALSE)</f>
        <v>3</v>
      </c>
      <c r="H3887" s="1" t="str">
        <f>VLOOKUP(B3887,'old-aw-skill-plan'!A:I,9,FALSE)</f>
        <v>3-3</v>
      </c>
    </row>
    <row r="3888" ht="15.75" customHeight="1">
      <c r="A3888" s="1" t="s">
        <v>269</v>
      </c>
      <c r="B3888" s="1" t="s">
        <v>57</v>
      </c>
      <c r="C3888" s="1" t="s">
        <v>11</v>
      </c>
      <c r="D3888" s="5">
        <v>45310.0</v>
      </c>
      <c r="G3888" s="1">
        <f>VLOOKUP(B3888,'old-aw-skill-plan'!A:I,7,FALSE)</f>
        <v>3</v>
      </c>
      <c r="H3888" s="1" t="str">
        <f>VLOOKUP(B3888,'old-aw-skill-plan'!A:I,9,FALSE)</f>
        <v>3-7</v>
      </c>
    </row>
    <row r="3889" ht="15.75" customHeight="1">
      <c r="A3889" s="1" t="s">
        <v>235</v>
      </c>
      <c r="B3889" s="1" t="s">
        <v>44</v>
      </c>
      <c r="C3889" s="1" t="s">
        <v>11</v>
      </c>
      <c r="D3889" s="5">
        <v>45310.0</v>
      </c>
      <c r="G3889" s="1">
        <f>VLOOKUP(B3889,'old-aw-skill-plan'!A:I,7,FALSE)</f>
        <v>5</v>
      </c>
      <c r="H3889" s="1" t="str">
        <f>VLOOKUP(B3889,'old-aw-skill-plan'!A:I,9,FALSE)</f>
        <v>5-1</v>
      </c>
    </row>
    <row r="3890" ht="15.75" customHeight="1">
      <c r="A3890" s="1" t="s">
        <v>225</v>
      </c>
      <c r="B3890" s="1" t="s">
        <v>34</v>
      </c>
      <c r="C3890" s="1" t="s">
        <v>11</v>
      </c>
      <c r="D3890" s="5">
        <v>45310.0</v>
      </c>
      <c r="G3890" s="1">
        <f>VLOOKUP(B3890,'old-aw-skill-plan'!A:I,7,FALSE)</f>
        <v>4</v>
      </c>
      <c r="H3890" s="1" t="str">
        <f>VLOOKUP(B3890,'old-aw-skill-plan'!A:I,9,FALSE)</f>
        <v>4-1</v>
      </c>
    </row>
    <row r="3891" ht="15.75" customHeight="1">
      <c r="A3891" s="1" t="s">
        <v>266</v>
      </c>
      <c r="B3891" s="1" t="s">
        <v>66</v>
      </c>
      <c r="C3891" s="1" t="s">
        <v>11</v>
      </c>
      <c r="D3891" s="5">
        <v>45309.0</v>
      </c>
      <c r="G3891" s="1">
        <f>VLOOKUP(B3891,'old-aw-skill-plan'!A:I,7,FALSE)</f>
        <v>4</v>
      </c>
      <c r="H3891" s="1" t="str">
        <f>VLOOKUP(B3891,'old-aw-skill-plan'!A:I,9,FALSE)</f>
        <v>4-9</v>
      </c>
    </row>
    <row r="3892" ht="15.75" customHeight="1">
      <c r="A3892" s="1" t="s">
        <v>266</v>
      </c>
      <c r="B3892" s="1" t="s">
        <v>79</v>
      </c>
      <c r="C3892" s="1" t="s">
        <v>11</v>
      </c>
      <c r="D3892" s="5">
        <v>45309.0</v>
      </c>
      <c r="G3892" s="1">
        <f>VLOOKUP(B3892,'old-aw-skill-plan'!A:I,7,FALSE)</f>
        <v>4</v>
      </c>
      <c r="H3892" s="1" t="str">
        <f>VLOOKUP(B3892,'old-aw-skill-plan'!A:I,9,FALSE)</f>
        <v>4-8</v>
      </c>
    </row>
    <row r="3893" ht="15.75" customHeight="1">
      <c r="A3893" s="1" t="s">
        <v>266</v>
      </c>
      <c r="B3893" s="1" t="s">
        <v>370</v>
      </c>
      <c r="C3893" s="1" t="s">
        <v>11</v>
      </c>
      <c r="D3893" s="5">
        <v>45309.0</v>
      </c>
      <c r="G3893" s="1">
        <f>VLOOKUP(B3893,'old-aw-skill-plan'!A:I,7,FALSE)</f>
        <v>4</v>
      </c>
      <c r="H3893" s="1" t="str">
        <f>VLOOKUP(B3893,'old-aw-skill-plan'!A:I,9,FALSE)</f>
        <v>4-6</v>
      </c>
    </row>
    <row r="3894" ht="15.75" customHeight="1">
      <c r="A3894" s="1" t="s">
        <v>22</v>
      </c>
      <c r="B3894" s="1" t="s">
        <v>23</v>
      </c>
      <c r="C3894" s="1" t="s">
        <v>11</v>
      </c>
      <c r="D3894" s="5">
        <v>45309.0</v>
      </c>
      <c r="G3894" s="1">
        <f>VLOOKUP(B3894,'old-aw-skill-plan'!A:I,7,FALSE)</f>
        <v>4</v>
      </c>
      <c r="H3894" s="1" t="str">
        <f>VLOOKUP(B3894,'old-aw-skill-plan'!A:I,9,FALSE)</f>
        <v>4-5</v>
      </c>
    </row>
    <row r="3895" ht="15.75" customHeight="1">
      <c r="A3895" s="1" t="s">
        <v>216</v>
      </c>
      <c r="B3895" s="1" t="s">
        <v>34</v>
      </c>
      <c r="C3895" s="1" t="s">
        <v>11</v>
      </c>
      <c r="D3895" s="5">
        <v>45309.0</v>
      </c>
      <c r="G3895" s="1">
        <f>VLOOKUP(B3895,'old-aw-skill-plan'!A:I,7,FALSE)</f>
        <v>4</v>
      </c>
      <c r="H3895" s="1" t="str">
        <f>VLOOKUP(B3895,'old-aw-skill-plan'!A:I,9,FALSE)</f>
        <v>4-1</v>
      </c>
    </row>
    <row r="3896" ht="15.75" customHeight="1">
      <c r="A3896" s="1" t="s">
        <v>35</v>
      </c>
      <c r="B3896" s="1" t="s">
        <v>40</v>
      </c>
      <c r="C3896" s="1" t="s">
        <v>11</v>
      </c>
      <c r="D3896" s="5">
        <v>45309.0</v>
      </c>
      <c r="G3896" s="1">
        <f>VLOOKUP(B3896,'old-aw-skill-plan'!A:I,7,FALSE)</f>
        <v>4</v>
      </c>
      <c r="H3896" s="1" t="str">
        <f>VLOOKUP(B3896,'old-aw-skill-plan'!A:I,9,FALSE)</f>
        <v>4-10</v>
      </c>
    </row>
    <row r="3897" ht="15.75" customHeight="1">
      <c r="A3897" s="1" t="s">
        <v>35</v>
      </c>
      <c r="B3897" s="1" t="s">
        <v>79</v>
      </c>
      <c r="C3897" s="1" t="s">
        <v>11</v>
      </c>
      <c r="D3897" s="5">
        <v>45309.0</v>
      </c>
      <c r="G3897" s="1">
        <f>VLOOKUP(B3897,'old-aw-skill-plan'!A:I,7,FALSE)</f>
        <v>4</v>
      </c>
      <c r="H3897" s="1" t="str">
        <f>VLOOKUP(B3897,'old-aw-skill-plan'!A:I,9,FALSE)</f>
        <v>4-8</v>
      </c>
    </row>
    <row r="3898" ht="15.75" customHeight="1">
      <c r="A3898" s="1" t="s">
        <v>24</v>
      </c>
      <c r="B3898" s="1" t="s">
        <v>34</v>
      </c>
      <c r="C3898" s="1" t="s">
        <v>11</v>
      </c>
      <c r="D3898" s="5">
        <v>45309.0</v>
      </c>
      <c r="G3898" s="1">
        <f>VLOOKUP(B3898,'old-aw-skill-plan'!A:I,7,FALSE)</f>
        <v>4</v>
      </c>
      <c r="H3898" s="1" t="str">
        <f>VLOOKUP(B3898,'old-aw-skill-plan'!A:I,9,FALSE)</f>
        <v>4-1</v>
      </c>
    </row>
    <row r="3899" ht="15.75" customHeight="1">
      <c r="A3899" s="1" t="s">
        <v>434</v>
      </c>
      <c r="B3899" s="1" t="s">
        <v>58</v>
      </c>
      <c r="C3899" s="1" t="s">
        <v>11</v>
      </c>
      <c r="D3899" s="5">
        <v>45309.0</v>
      </c>
      <c r="G3899" s="1">
        <f>VLOOKUP(B3899,'old-aw-skill-plan'!A:I,7,FALSE)</f>
        <v>3</v>
      </c>
      <c r="H3899" s="1" t="str">
        <f>VLOOKUP(B3899,'old-aw-skill-plan'!A:I,9,FALSE)</f>
        <v>3-8</v>
      </c>
    </row>
    <row r="3900" ht="15.75" customHeight="1">
      <c r="A3900" s="1" t="s">
        <v>434</v>
      </c>
      <c r="B3900" s="1" t="s">
        <v>404</v>
      </c>
      <c r="C3900" s="1" t="s">
        <v>11</v>
      </c>
      <c r="D3900" s="5">
        <v>45309.0</v>
      </c>
      <c r="G3900" s="1">
        <f>VLOOKUP(B3900,'old-aw-skill-plan'!A:I,7,FALSE)</f>
        <v>3</v>
      </c>
      <c r="H3900" s="1" t="str">
        <f>VLOOKUP(B3900,'old-aw-skill-plan'!A:I,9,FALSE)</f>
        <v>3-8</v>
      </c>
    </row>
    <row r="3901" ht="15.75" customHeight="1">
      <c r="A3901" s="1" t="s">
        <v>434</v>
      </c>
      <c r="B3901" s="1" t="s">
        <v>361</v>
      </c>
      <c r="C3901" s="1" t="s">
        <v>11</v>
      </c>
      <c r="D3901" s="5">
        <v>45309.0</v>
      </c>
      <c r="G3901" s="1">
        <f>VLOOKUP(B3901,'old-aw-skill-plan'!A:I,7,FALSE)</f>
        <v>3</v>
      </c>
      <c r="H3901" s="1" t="str">
        <f>VLOOKUP(B3901,'old-aw-skill-plan'!A:I,9,FALSE)</f>
        <v>3-7</v>
      </c>
    </row>
    <row r="3902" ht="15.75" customHeight="1">
      <c r="A3902" s="1" t="s">
        <v>434</v>
      </c>
      <c r="B3902" s="1" t="s">
        <v>442</v>
      </c>
      <c r="C3902" s="1" t="s">
        <v>11</v>
      </c>
      <c r="D3902" s="5">
        <v>45309.0</v>
      </c>
      <c r="G3902" s="1">
        <f>VLOOKUP(B3902,'old-aw-skill-plan'!A:I,7,FALSE)</f>
        <v>3</v>
      </c>
      <c r="H3902" s="1" t="str">
        <f>VLOOKUP(B3902,'old-aw-skill-plan'!A:I,9,FALSE)</f>
        <v>3-8</v>
      </c>
    </row>
    <row r="3903" ht="15.75" customHeight="1">
      <c r="A3903" s="1" t="s">
        <v>213</v>
      </c>
      <c r="B3903" s="1" t="s">
        <v>10</v>
      </c>
      <c r="C3903" s="1" t="s">
        <v>11</v>
      </c>
      <c r="D3903" s="5">
        <v>45309.0</v>
      </c>
      <c r="G3903" s="1">
        <f>VLOOKUP(B3903,'old-aw-skill-plan'!A:I,7,FALSE)</f>
        <v>3</v>
      </c>
      <c r="H3903" s="1" t="str">
        <f>VLOOKUP(B3903,'old-aw-skill-plan'!A:I,9,FALSE)</f>
        <v>3-1</v>
      </c>
    </row>
    <row r="3904" ht="15.75" customHeight="1">
      <c r="A3904" s="1" t="s">
        <v>199</v>
      </c>
      <c r="B3904" s="1" t="s">
        <v>34</v>
      </c>
      <c r="C3904" s="1" t="s">
        <v>11</v>
      </c>
      <c r="D3904" s="5">
        <v>45309.0</v>
      </c>
      <c r="G3904" s="1">
        <f>VLOOKUP(B3904,'old-aw-skill-plan'!A:I,7,FALSE)</f>
        <v>4</v>
      </c>
      <c r="H3904" s="1" t="str">
        <f>VLOOKUP(B3904,'old-aw-skill-plan'!A:I,9,FALSE)</f>
        <v>4-1</v>
      </c>
    </row>
    <row r="3905" ht="15.75" customHeight="1">
      <c r="A3905" s="1" t="s">
        <v>36</v>
      </c>
      <c r="B3905" s="1" t="s">
        <v>33</v>
      </c>
      <c r="C3905" s="1" t="s">
        <v>11</v>
      </c>
      <c r="D3905" s="5">
        <v>45309.0</v>
      </c>
      <c r="G3905" s="1">
        <f>VLOOKUP(B3905,'old-aw-skill-plan'!A:I,7,FALSE)</f>
        <v>3</v>
      </c>
      <c r="H3905" s="1" t="str">
        <f>VLOOKUP(B3905,'old-aw-skill-plan'!A:I,9,FALSE)</f>
        <v>3-5</v>
      </c>
    </row>
    <row r="3906" ht="15.75" customHeight="1">
      <c r="A3906" s="1" t="s">
        <v>220</v>
      </c>
      <c r="B3906" s="1" t="s">
        <v>57</v>
      </c>
      <c r="C3906" s="1" t="s">
        <v>11</v>
      </c>
      <c r="D3906" s="5">
        <v>45309.0</v>
      </c>
      <c r="G3906" s="1">
        <f>VLOOKUP(B3906,'old-aw-skill-plan'!A:I,7,FALSE)</f>
        <v>3</v>
      </c>
      <c r="H3906" s="1" t="str">
        <f>VLOOKUP(B3906,'old-aw-skill-plan'!A:I,9,FALSE)</f>
        <v>3-7</v>
      </c>
    </row>
    <row r="3907" ht="15.75" customHeight="1">
      <c r="A3907" s="1" t="s">
        <v>220</v>
      </c>
      <c r="B3907" s="1" t="s">
        <v>58</v>
      </c>
      <c r="C3907" s="1" t="s">
        <v>11</v>
      </c>
      <c r="D3907" s="5">
        <v>45309.0</v>
      </c>
      <c r="G3907" s="1">
        <f>VLOOKUP(B3907,'old-aw-skill-plan'!A:I,7,FALSE)</f>
        <v>3</v>
      </c>
      <c r="H3907" s="1" t="str">
        <f>VLOOKUP(B3907,'old-aw-skill-plan'!A:I,9,FALSE)</f>
        <v>3-8</v>
      </c>
    </row>
    <row r="3908" ht="15.75" customHeight="1">
      <c r="A3908" s="1" t="s">
        <v>237</v>
      </c>
      <c r="B3908" s="1" t="s">
        <v>453</v>
      </c>
      <c r="C3908" s="1" t="s">
        <v>11</v>
      </c>
      <c r="D3908" s="5">
        <v>45309.0</v>
      </c>
      <c r="G3908" s="1">
        <f>VLOOKUP(B3908,'old-aw-skill-plan'!A:I,7,FALSE)</f>
        <v>3</v>
      </c>
      <c r="H3908" s="1" t="str">
        <f>VLOOKUP(B3908,'old-aw-skill-plan'!A:I,9,FALSE)</f>
        <v>3-4</v>
      </c>
    </row>
    <row r="3909" ht="15.75" customHeight="1">
      <c r="A3909" s="1" t="s">
        <v>419</v>
      </c>
      <c r="B3909" s="1" t="s">
        <v>104</v>
      </c>
      <c r="C3909" s="1" t="s">
        <v>11</v>
      </c>
      <c r="D3909" s="5">
        <v>45309.0</v>
      </c>
      <c r="G3909" s="1">
        <f>VLOOKUP(B3909,'old-aw-skill-plan'!A:I,7,FALSE)</f>
        <v>5</v>
      </c>
      <c r="H3909" s="1" t="str">
        <f>VLOOKUP(B3909,'old-aw-skill-plan'!A:I,9,FALSE)</f>
        <v>5-2</v>
      </c>
    </row>
    <row r="3910" ht="15.75" customHeight="1">
      <c r="A3910" s="1" t="s">
        <v>454</v>
      </c>
      <c r="B3910" s="1" t="s">
        <v>116</v>
      </c>
      <c r="C3910" s="1" t="s">
        <v>11</v>
      </c>
      <c r="D3910" s="5">
        <v>45309.0</v>
      </c>
      <c r="G3910" s="1">
        <f>VLOOKUP(B3910,'old-aw-skill-plan'!A:I,7,FALSE)</f>
        <v>3</v>
      </c>
      <c r="H3910" s="1" t="str">
        <f>VLOOKUP(B3910,'old-aw-skill-plan'!A:I,9,FALSE)</f>
        <v>3-9</v>
      </c>
    </row>
    <row r="3911" ht="15.75" customHeight="1">
      <c r="A3911" s="1" t="s">
        <v>454</v>
      </c>
      <c r="B3911" s="1" t="s">
        <v>58</v>
      </c>
      <c r="C3911" s="1" t="s">
        <v>11</v>
      </c>
      <c r="D3911" s="5">
        <v>45309.0</v>
      </c>
      <c r="G3911" s="1">
        <f>VLOOKUP(B3911,'old-aw-skill-plan'!A:I,7,FALSE)</f>
        <v>3</v>
      </c>
      <c r="H3911" s="1" t="str">
        <f>VLOOKUP(B3911,'old-aw-skill-plan'!A:I,9,FALSE)</f>
        <v>3-8</v>
      </c>
    </row>
    <row r="3912" ht="15.75" customHeight="1">
      <c r="A3912" s="1" t="s">
        <v>454</v>
      </c>
      <c r="B3912" s="1" t="s">
        <v>354</v>
      </c>
      <c r="C3912" s="1" t="s">
        <v>11</v>
      </c>
      <c r="D3912" s="5">
        <v>45309.0</v>
      </c>
      <c r="G3912" s="1">
        <f>VLOOKUP(B3912,'old-aw-skill-plan'!A:I,7,FALSE)</f>
        <v>3</v>
      </c>
      <c r="H3912" s="1" t="str">
        <f>VLOOKUP(B3912,'old-aw-skill-plan'!A:I,9,FALSE)</f>
        <v>3-7</v>
      </c>
    </row>
    <row r="3913" ht="15.75" customHeight="1">
      <c r="A3913" s="1" t="s">
        <v>81</v>
      </c>
      <c r="B3913" s="1" t="s">
        <v>79</v>
      </c>
      <c r="C3913" s="1" t="s">
        <v>11</v>
      </c>
      <c r="D3913" s="5">
        <v>45309.0</v>
      </c>
      <c r="G3913" s="1">
        <f>VLOOKUP(B3913,'old-aw-skill-plan'!A:I,7,FALSE)</f>
        <v>4</v>
      </c>
      <c r="H3913" s="1" t="str">
        <f>VLOOKUP(B3913,'old-aw-skill-plan'!A:I,9,FALSE)</f>
        <v>4-8</v>
      </c>
    </row>
    <row r="3914" ht="15.75" customHeight="1">
      <c r="A3914" s="1" t="s">
        <v>81</v>
      </c>
      <c r="B3914" s="1" t="s">
        <v>447</v>
      </c>
      <c r="C3914" s="1" t="s">
        <v>11</v>
      </c>
      <c r="D3914" s="5">
        <v>45309.0</v>
      </c>
      <c r="G3914" s="1">
        <f>VLOOKUP(B3914,'old-aw-skill-plan'!A:I,7,FALSE)</f>
        <v>4</v>
      </c>
      <c r="H3914" s="1" t="str">
        <f>VLOOKUP(B3914,'old-aw-skill-plan'!A:I,9,FALSE)</f>
        <v>4-3</v>
      </c>
    </row>
    <row r="3915" ht="15.75" customHeight="1">
      <c r="A3915" s="1" t="s">
        <v>429</v>
      </c>
      <c r="B3915" s="1" t="s">
        <v>37</v>
      </c>
      <c r="C3915" s="1" t="s">
        <v>11</v>
      </c>
      <c r="D3915" s="5">
        <v>45309.0</v>
      </c>
      <c r="G3915" s="1">
        <f>VLOOKUP(B3915,'old-aw-skill-plan'!A:I,7,FALSE)</f>
        <v>4</v>
      </c>
      <c r="H3915" s="1" t="str">
        <f>VLOOKUP(B3915,'old-aw-skill-plan'!A:I,9,FALSE)</f>
        <v>4-2</v>
      </c>
    </row>
    <row r="3916" ht="15.75" customHeight="1">
      <c r="A3916" s="1" t="s">
        <v>421</v>
      </c>
      <c r="B3916" s="1" t="s">
        <v>104</v>
      </c>
      <c r="C3916" s="1" t="s">
        <v>11</v>
      </c>
      <c r="D3916" s="5">
        <v>45309.0</v>
      </c>
      <c r="G3916" s="1">
        <f>VLOOKUP(B3916,'old-aw-skill-plan'!A:I,7,FALSE)</f>
        <v>5</v>
      </c>
      <c r="H3916" s="1" t="str">
        <f>VLOOKUP(B3916,'old-aw-skill-plan'!A:I,9,FALSE)</f>
        <v>5-2</v>
      </c>
    </row>
    <row r="3917" ht="15.75" customHeight="1">
      <c r="A3917" s="1" t="s">
        <v>428</v>
      </c>
      <c r="B3917" s="1" t="s">
        <v>66</v>
      </c>
      <c r="C3917" s="1" t="s">
        <v>11</v>
      </c>
      <c r="D3917" s="5">
        <v>45309.0</v>
      </c>
      <c r="G3917" s="1">
        <f>VLOOKUP(B3917,'old-aw-skill-plan'!A:I,7,FALSE)</f>
        <v>4</v>
      </c>
      <c r="H3917" s="1" t="str">
        <f>VLOOKUP(B3917,'old-aw-skill-plan'!A:I,9,FALSE)</f>
        <v>4-9</v>
      </c>
    </row>
    <row r="3918" ht="15.75" customHeight="1">
      <c r="A3918" s="1" t="s">
        <v>420</v>
      </c>
      <c r="B3918" s="1" t="s">
        <v>10</v>
      </c>
      <c r="C3918" s="1" t="s">
        <v>11</v>
      </c>
      <c r="D3918" s="5">
        <v>45309.0</v>
      </c>
      <c r="G3918" s="1">
        <f>VLOOKUP(B3918,'old-aw-skill-plan'!A:I,7,FALSE)</f>
        <v>3</v>
      </c>
      <c r="H3918" s="1" t="str">
        <f>VLOOKUP(B3918,'old-aw-skill-plan'!A:I,9,FALSE)</f>
        <v>3-1</v>
      </c>
    </row>
    <row r="3919" ht="15.75" customHeight="1">
      <c r="A3919" s="1" t="s">
        <v>420</v>
      </c>
      <c r="B3919" s="1" t="s">
        <v>446</v>
      </c>
      <c r="C3919" s="1" t="s">
        <v>11</v>
      </c>
      <c r="D3919" s="5">
        <v>45309.0</v>
      </c>
      <c r="G3919" s="1">
        <f>VLOOKUP(B3919,'old-aw-skill-plan'!A:I,7,FALSE)</f>
        <v>3</v>
      </c>
      <c r="H3919" s="1" t="str">
        <f>VLOOKUP(B3919,'old-aw-skill-plan'!A:I,9,FALSE)</f>
        <v>3-6</v>
      </c>
    </row>
    <row r="3920" ht="15.75" customHeight="1">
      <c r="A3920" s="1" t="s">
        <v>275</v>
      </c>
      <c r="B3920" s="1" t="s">
        <v>312</v>
      </c>
      <c r="C3920" s="1" t="s">
        <v>11</v>
      </c>
      <c r="D3920" s="5">
        <v>45309.0</v>
      </c>
      <c r="G3920" s="1" t="str">
        <f>VLOOKUP(B3920,'old-aw-skill-plan'!A:I,7,FALSE)</f>
        <v>#N/A</v>
      </c>
      <c r="H3920" s="1" t="str">
        <f>VLOOKUP(B3920,'old-aw-skill-plan'!A:I,9,FALSE)</f>
        <v>#N/A</v>
      </c>
    </row>
    <row r="3921" ht="15.75" customHeight="1">
      <c r="A3921" s="1" t="s">
        <v>95</v>
      </c>
      <c r="B3921" s="1" t="s">
        <v>28</v>
      </c>
      <c r="C3921" s="1" t="s">
        <v>11</v>
      </c>
      <c r="D3921" s="5">
        <v>45309.0</v>
      </c>
      <c r="G3921" s="1">
        <f>VLOOKUP(B3921,'old-aw-skill-plan'!A:I,7,FALSE)</f>
        <v>3</v>
      </c>
      <c r="H3921" s="1" t="str">
        <f>VLOOKUP(B3921,'old-aw-skill-plan'!A:I,9,FALSE)</f>
        <v>3-4</v>
      </c>
    </row>
    <row r="3922" ht="15.75" customHeight="1">
      <c r="A3922" s="1" t="s">
        <v>197</v>
      </c>
      <c r="B3922" s="1" t="s">
        <v>79</v>
      </c>
      <c r="C3922" s="1" t="s">
        <v>11</v>
      </c>
      <c r="D3922" s="5">
        <v>45309.0</v>
      </c>
      <c r="G3922" s="1">
        <f>VLOOKUP(B3922,'old-aw-skill-plan'!A:I,7,FALSE)</f>
        <v>4</v>
      </c>
      <c r="H3922" s="1" t="str">
        <f>VLOOKUP(B3922,'old-aw-skill-plan'!A:I,9,FALSE)</f>
        <v>4-8</v>
      </c>
    </row>
    <row r="3923" ht="15.75" customHeight="1">
      <c r="A3923" s="1" t="s">
        <v>197</v>
      </c>
      <c r="B3923" s="1" t="s">
        <v>433</v>
      </c>
      <c r="C3923" s="1" t="s">
        <v>11</v>
      </c>
      <c r="D3923" s="5">
        <v>45309.0</v>
      </c>
      <c r="G3923" s="1">
        <f>VLOOKUP(B3923,'old-aw-skill-plan'!A:I,7,FALSE)</f>
        <v>4</v>
      </c>
      <c r="H3923" s="1" t="str">
        <f>VLOOKUP(B3923,'old-aw-skill-plan'!A:I,9,FALSE)</f>
        <v>4-4</v>
      </c>
    </row>
    <row r="3924" ht="15.75" customHeight="1">
      <c r="A3924" s="1" t="s">
        <v>197</v>
      </c>
      <c r="B3924" s="1" t="s">
        <v>382</v>
      </c>
      <c r="C3924" s="1" t="s">
        <v>11</v>
      </c>
      <c r="D3924" s="5">
        <v>45309.0</v>
      </c>
      <c r="G3924" s="1">
        <f>VLOOKUP(B3924,'old-aw-skill-plan'!A:I,7,FALSE)</f>
        <v>4</v>
      </c>
      <c r="H3924" s="1" t="str">
        <f>VLOOKUP(B3924,'old-aw-skill-plan'!A:I,9,FALSE)</f>
        <v>4-3</v>
      </c>
    </row>
    <row r="3925" ht="15.75" customHeight="1">
      <c r="A3925" s="1" t="s">
        <v>373</v>
      </c>
      <c r="B3925" s="1" t="s">
        <v>307</v>
      </c>
      <c r="C3925" s="1" t="s">
        <v>11</v>
      </c>
      <c r="D3925" s="5">
        <v>45309.0</v>
      </c>
      <c r="G3925" s="1">
        <f>VLOOKUP(B3925,'old-aw-skill-plan'!A:I,7,FALSE)</f>
        <v>3</v>
      </c>
      <c r="H3925" s="1" t="str">
        <f>VLOOKUP(B3925,'old-aw-skill-plan'!A:I,9,FALSE)</f>
        <v>3-1</v>
      </c>
    </row>
    <row r="3926" ht="15.75" customHeight="1">
      <c r="A3926" s="1" t="s">
        <v>226</v>
      </c>
      <c r="B3926" s="1" t="s">
        <v>47</v>
      </c>
      <c r="C3926" s="1" t="s">
        <v>11</v>
      </c>
      <c r="D3926" s="5">
        <v>45309.0</v>
      </c>
      <c r="G3926" s="1">
        <f>VLOOKUP(B3926,'old-aw-skill-plan'!A:I,7,FALSE)</f>
        <v>3</v>
      </c>
      <c r="H3926" s="1" t="str">
        <f>VLOOKUP(B3926,'old-aw-skill-plan'!A:I,9,FALSE)</f>
        <v>3-2</v>
      </c>
    </row>
    <row r="3927" ht="15.75" customHeight="1">
      <c r="A3927" s="1" t="s">
        <v>93</v>
      </c>
      <c r="B3927" s="1" t="s">
        <v>404</v>
      </c>
      <c r="C3927" s="1" t="s">
        <v>11</v>
      </c>
      <c r="D3927" s="5">
        <v>45309.0</v>
      </c>
      <c r="G3927" s="1">
        <f>VLOOKUP(B3927,'old-aw-skill-plan'!A:I,7,FALSE)</f>
        <v>3</v>
      </c>
      <c r="H3927" s="1" t="str">
        <f>VLOOKUP(B3927,'old-aw-skill-plan'!A:I,9,FALSE)</f>
        <v>3-8</v>
      </c>
    </row>
    <row r="3928" ht="15.75" customHeight="1">
      <c r="A3928" s="1" t="s">
        <v>93</v>
      </c>
      <c r="B3928" s="1" t="s">
        <v>442</v>
      </c>
      <c r="C3928" s="1" t="s">
        <v>11</v>
      </c>
      <c r="D3928" s="5">
        <v>45309.0</v>
      </c>
      <c r="G3928" s="1">
        <f>VLOOKUP(B3928,'old-aw-skill-plan'!A:I,7,FALSE)</f>
        <v>3</v>
      </c>
      <c r="H3928" s="1" t="str">
        <f>VLOOKUP(B3928,'old-aw-skill-plan'!A:I,9,FALSE)</f>
        <v>3-8</v>
      </c>
    </row>
    <row r="3929" ht="15.75" customHeight="1">
      <c r="A3929" s="1" t="s">
        <v>93</v>
      </c>
      <c r="B3929" s="1" t="s">
        <v>79</v>
      </c>
      <c r="C3929" s="1" t="s">
        <v>11</v>
      </c>
      <c r="D3929" s="5">
        <v>45309.0</v>
      </c>
      <c r="G3929" s="1">
        <f>VLOOKUP(B3929,'old-aw-skill-plan'!A:I,7,FALSE)</f>
        <v>4</v>
      </c>
      <c r="H3929" s="1" t="str">
        <f>VLOOKUP(B3929,'old-aw-skill-plan'!A:I,9,FALSE)</f>
        <v>4-8</v>
      </c>
    </row>
    <row r="3930" ht="15.75" customHeight="1">
      <c r="A3930" s="1" t="s">
        <v>94</v>
      </c>
      <c r="B3930" s="1" t="s">
        <v>58</v>
      </c>
      <c r="C3930" s="1" t="s">
        <v>11</v>
      </c>
      <c r="D3930" s="5">
        <v>45309.0</v>
      </c>
      <c r="G3930" s="1">
        <f>VLOOKUP(B3930,'old-aw-skill-plan'!A:I,7,FALSE)</f>
        <v>3</v>
      </c>
      <c r="H3930" s="1" t="str">
        <f>VLOOKUP(B3930,'old-aw-skill-plan'!A:I,9,FALSE)</f>
        <v>3-8</v>
      </c>
    </row>
    <row r="3931" ht="15.75" customHeight="1">
      <c r="A3931" s="1" t="s">
        <v>225</v>
      </c>
      <c r="B3931" s="1" t="s">
        <v>34</v>
      </c>
      <c r="C3931" s="1" t="s">
        <v>11</v>
      </c>
      <c r="D3931" s="5">
        <v>45309.0</v>
      </c>
      <c r="G3931" s="1">
        <f>VLOOKUP(B3931,'old-aw-skill-plan'!A:I,7,FALSE)</f>
        <v>4</v>
      </c>
      <c r="H3931" s="1" t="str">
        <f>VLOOKUP(B3931,'old-aw-skill-plan'!A:I,9,FALSE)</f>
        <v>4-1</v>
      </c>
    </row>
    <row r="3932" ht="15.75" customHeight="1">
      <c r="A3932" s="1" t="s">
        <v>427</v>
      </c>
      <c r="B3932" s="1" t="s">
        <v>446</v>
      </c>
      <c r="C3932" s="1" t="s">
        <v>11</v>
      </c>
      <c r="D3932" s="5">
        <v>45309.0</v>
      </c>
      <c r="G3932" s="1">
        <f>VLOOKUP(B3932,'old-aw-skill-plan'!A:I,7,FALSE)</f>
        <v>3</v>
      </c>
      <c r="H3932" s="1" t="str">
        <f>VLOOKUP(B3932,'old-aw-skill-plan'!A:I,9,FALSE)</f>
        <v>3-6</v>
      </c>
    </row>
    <row r="3933" ht="15.75" customHeight="1">
      <c r="A3933" s="1" t="s">
        <v>110</v>
      </c>
      <c r="B3933" s="1" t="s">
        <v>116</v>
      </c>
      <c r="C3933" s="1" t="s">
        <v>11</v>
      </c>
      <c r="D3933" s="5">
        <v>45309.0</v>
      </c>
      <c r="G3933" s="1">
        <f>VLOOKUP(B3933,'old-aw-skill-plan'!A:I,7,FALSE)</f>
        <v>3</v>
      </c>
      <c r="H3933" s="1" t="str">
        <f>VLOOKUP(B3933,'old-aw-skill-plan'!A:I,9,FALSE)</f>
        <v>3-9</v>
      </c>
    </row>
    <row r="3934" ht="15.75" customHeight="1">
      <c r="A3934" s="1" t="s">
        <v>110</v>
      </c>
      <c r="B3934" s="1" t="s">
        <v>446</v>
      </c>
      <c r="C3934" s="1" t="s">
        <v>11</v>
      </c>
      <c r="D3934" s="5">
        <v>45309.0</v>
      </c>
      <c r="G3934" s="1">
        <f>VLOOKUP(B3934,'old-aw-skill-plan'!A:I,7,FALSE)</f>
        <v>3</v>
      </c>
      <c r="H3934" s="1" t="str">
        <f>VLOOKUP(B3934,'old-aw-skill-plan'!A:I,9,FALSE)</f>
        <v>3-6</v>
      </c>
    </row>
    <row r="3935" ht="15.75" customHeight="1">
      <c r="A3935" s="1" t="s">
        <v>266</v>
      </c>
      <c r="B3935" s="1" t="s">
        <v>66</v>
      </c>
      <c r="C3935" s="1" t="s">
        <v>11</v>
      </c>
      <c r="D3935" s="5">
        <v>45308.0</v>
      </c>
      <c r="G3935" s="1">
        <f>VLOOKUP(B3935,'old-aw-skill-plan'!A:I,7,FALSE)</f>
        <v>4</v>
      </c>
      <c r="H3935" s="1" t="str">
        <f>VLOOKUP(B3935,'old-aw-skill-plan'!A:I,9,FALSE)</f>
        <v>4-9</v>
      </c>
    </row>
    <row r="3936" ht="15.75" customHeight="1">
      <c r="A3936" s="1" t="s">
        <v>22</v>
      </c>
      <c r="B3936" s="1" t="s">
        <v>23</v>
      </c>
      <c r="C3936" s="1" t="s">
        <v>11</v>
      </c>
      <c r="D3936" s="5">
        <v>45308.0</v>
      </c>
      <c r="G3936" s="1">
        <f>VLOOKUP(B3936,'old-aw-skill-plan'!A:I,7,FALSE)</f>
        <v>4</v>
      </c>
      <c r="H3936" s="1" t="str">
        <f>VLOOKUP(B3936,'old-aw-skill-plan'!A:I,9,FALSE)</f>
        <v>4-5</v>
      </c>
    </row>
    <row r="3937" ht="15.75" customHeight="1">
      <c r="A3937" s="1" t="s">
        <v>31</v>
      </c>
      <c r="B3937" s="1" t="s">
        <v>47</v>
      </c>
      <c r="C3937" s="1" t="s">
        <v>11</v>
      </c>
      <c r="D3937" s="5">
        <v>45308.0</v>
      </c>
      <c r="G3937" s="1">
        <f>VLOOKUP(B3937,'old-aw-skill-plan'!A:I,7,FALSE)</f>
        <v>3</v>
      </c>
      <c r="H3937" s="1" t="str">
        <f>VLOOKUP(B3937,'old-aw-skill-plan'!A:I,9,FALSE)</f>
        <v>3-2</v>
      </c>
    </row>
    <row r="3938" ht="15.75" customHeight="1">
      <c r="A3938" s="1" t="s">
        <v>216</v>
      </c>
      <c r="B3938" s="1" t="s">
        <v>34</v>
      </c>
      <c r="C3938" s="1" t="s">
        <v>11</v>
      </c>
      <c r="D3938" s="5">
        <v>45308.0</v>
      </c>
      <c r="G3938" s="1">
        <f>VLOOKUP(B3938,'old-aw-skill-plan'!A:I,7,FALSE)</f>
        <v>4</v>
      </c>
      <c r="H3938" s="1" t="str">
        <f>VLOOKUP(B3938,'old-aw-skill-plan'!A:I,9,FALSE)</f>
        <v>4-1</v>
      </c>
    </row>
    <row r="3939" ht="15.75" customHeight="1">
      <c r="A3939" s="1" t="s">
        <v>24</v>
      </c>
      <c r="B3939" s="1" t="s">
        <v>34</v>
      </c>
      <c r="C3939" s="1" t="s">
        <v>11</v>
      </c>
      <c r="D3939" s="5">
        <v>45308.0</v>
      </c>
      <c r="G3939" s="1">
        <f>VLOOKUP(B3939,'old-aw-skill-plan'!A:I,7,FALSE)</f>
        <v>4</v>
      </c>
      <c r="H3939" s="1" t="str">
        <f>VLOOKUP(B3939,'old-aw-skill-plan'!A:I,9,FALSE)</f>
        <v>4-1</v>
      </c>
    </row>
    <row r="3940" ht="15.75" customHeight="1">
      <c r="A3940" s="1" t="s">
        <v>213</v>
      </c>
      <c r="B3940" s="1" t="s">
        <v>10</v>
      </c>
      <c r="C3940" s="1" t="s">
        <v>11</v>
      </c>
      <c r="D3940" s="5">
        <v>45308.0</v>
      </c>
      <c r="G3940" s="1">
        <f>VLOOKUP(B3940,'old-aw-skill-plan'!A:I,7,FALSE)</f>
        <v>3</v>
      </c>
      <c r="H3940" s="1" t="str">
        <f>VLOOKUP(B3940,'old-aw-skill-plan'!A:I,9,FALSE)</f>
        <v>3-1</v>
      </c>
    </row>
    <row r="3941" ht="15.75" customHeight="1">
      <c r="A3941" s="1" t="s">
        <v>213</v>
      </c>
      <c r="B3941" s="1" t="s">
        <v>30</v>
      </c>
      <c r="C3941" s="1" t="s">
        <v>11</v>
      </c>
      <c r="D3941" s="5">
        <v>45308.0</v>
      </c>
      <c r="G3941" s="1">
        <f>VLOOKUP(B3941,'old-aw-skill-plan'!A:I,7,FALSE)</f>
        <v>3</v>
      </c>
      <c r="H3941" s="1" t="str">
        <f>VLOOKUP(B3941,'old-aw-skill-plan'!A:I,9,FALSE)</f>
        <v>3-3</v>
      </c>
    </row>
    <row r="3942" ht="15.75" customHeight="1">
      <c r="A3942" s="1" t="s">
        <v>199</v>
      </c>
      <c r="B3942" s="1" t="s">
        <v>34</v>
      </c>
      <c r="C3942" s="1" t="s">
        <v>11</v>
      </c>
      <c r="D3942" s="5">
        <v>45308.0</v>
      </c>
      <c r="G3942" s="1">
        <f>VLOOKUP(B3942,'old-aw-skill-plan'!A:I,7,FALSE)</f>
        <v>4</v>
      </c>
      <c r="H3942" s="1" t="str">
        <f>VLOOKUP(B3942,'old-aw-skill-plan'!A:I,9,FALSE)</f>
        <v>4-1</v>
      </c>
    </row>
    <row r="3943" ht="15.75" customHeight="1">
      <c r="A3943" s="1" t="s">
        <v>449</v>
      </c>
      <c r="B3943" s="1" t="s">
        <v>97</v>
      </c>
      <c r="C3943" s="1" t="s">
        <v>11</v>
      </c>
      <c r="D3943" s="5">
        <v>45308.0</v>
      </c>
      <c r="G3943" s="1">
        <f>VLOOKUP(B3943,'old-aw-skill-plan'!A:I,7,FALSE)</f>
        <v>4</v>
      </c>
      <c r="H3943" s="1" t="str">
        <f>VLOOKUP(B3943,'old-aw-skill-plan'!A:I,9,FALSE)</f>
        <v>4-3</v>
      </c>
    </row>
    <row r="3944" ht="15.75" customHeight="1">
      <c r="A3944" s="1" t="s">
        <v>419</v>
      </c>
      <c r="B3944" s="1" t="s">
        <v>104</v>
      </c>
      <c r="C3944" s="1" t="s">
        <v>11</v>
      </c>
      <c r="D3944" s="5">
        <v>45308.0</v>
      </c>
      <c r="G3944" s="1">
        <f>VLOOKUP(B3944,'old-aw-skill-plan'!A:I,7,FALSE)</f>
        <v>5</v>
      </c>
      <c r="H3944" s="1" t="str">
        <f>VLOOKUP(B3944,'old-aw-skill-plan'!A:I,9,FALSE)</f>
        <v>5-2</v>
      </c>
    </row>
    <row r="3945" ht="15.75" customHeight="1">
      <c r="A3945" s="1" t="s">
        <v>454</v>
      </c>
      <c r="B3945" s="1" t="s">
        <v>354</v>
      </c>
      <c r="C3945" s="1" t="s">
        <v>11</v>
      </c>
      <c r="D3945" s="5">
        <v>45308.0</v>
      </c>
      <c r="G3945" s="1">
        <f>VLOOKUP(B3945,'old-aw-skill-plan'!A:I,7,FALSE)</f>
        <v>3</v>
      </c>
      <c r="H3945" s="1" t="str">
        <f>VLOOKUP(B3945,'old-aw-skill-plan'!A:I,9,FALSE)</f>
        <v>3-7</v>
      </c>
    </row>
    <row r="3946" ht="15.75" customHeight="1">
      <c r="A3946" s="1" t="s">
        <v>454</v>
      </c>
      <c r="B3946" s="1" t="s">
        <v>361</v>
      </c>
      <c r="C3946" s="1" t="s">
        <v>11</v>
      </c>
      <c r="D3946" s="5">
        <v>45308.0</v>
      </c>
      <c r="G3946" s="1">
        <f>VLOOKUP(B3946,'old-aw-skill-plan'!A:I,7,FALSE)</f>
        <v>3</v>
      </c>
      <c r="H3946" s="1" t="str">
        <f>VLOOKUP(B3946,'old-aw-skill-plan'!A:I,9,FALSE)</f>
        <v>3-7</v>
      </c>
    </row>
    <row r="3947" ht="15.75" customHeight="1">
      <c r="A3947" s="1" t="s">
        <v>421</v>
      </c>
      <c r="B3947" s="1" t="s">
        <v>104</v>
      </c>
      <c r="C3947" s="1" t="s">
        <v>11</v>
      </c>
      <c r="D3947" s="5">
        <v>45308.0</v>
      </c>
      <c r="G3947" s="1">
        <f>VLOOKUP(B3947,'old-aw-skill-plan'!A:I,7,FALSE)</f>
        <v>5</v>
      </c>
      <c r="H3947" s="1" t="str">
        <f>VLOOKUP(B3947,'old-aw-skill-plan'!A:I,9,FALSE)</f>
        <v>5-2</v>
      </c>
    </row>
    <row r="3948" ht="15.75" customHeight="1">
      <c r="A3948" s="1" t="s">
        <v>428</v>
      </c>
      <c r="B3948" s="1" t="s">
        <v>66</v>
      </c>
      <c r="C3948" s="1" t="s">
        <v>11</v>
      </c>
      <c r="D3948" s="5">
        <v>45308.0</v>
      </c>
      <c r="G3948" s="1">
        <f>VLOOKUP(B3948,'old-aw-skill-plan'!A:I,7,FALSE)</f>
        <v>4</v>
      </c>
      <c r="H3948" s="1" t="str">
        <f>VLOOKUP(B3948,'old-aw-skill-plan'!A:I,9,FALSE)</f>
        <v>4-9</v>
      </c>
    </row>
    <row r="3949" ht="15.75" customHeight="1">
      <c r="A3949" s="1" t="s">
        <v>420</v>
      </c>
      <c r="B3949" s="1" t="s">
        <v>10</v>
      </c>
      <c r="C3949" s="1" t="s">
        <v>11</v>
      </c>
      <c r="D3949" s="5">
        <v>45308.0</v>
      </c>
      <c r="G3949" s="1">
        <f>VLOOKUP(B3949,'old-aw-skill-plan'!A:I,7,FALSE)</f>
        <v>3</v>
      </c>
      <c r="H3949" s="1" t="str">
        <f>VLOOKUP(B3949,'old-aw-skill-plan'!A:I,9,FALSE)</f>
        <v>3-1</v>
      </c>
    </row>
    <row r="3950" ht="15.75" customHeight="1">
      <c r="A3950" s="1" t="s">
        <v>431</v>
      </c>
      <c r="B3950" s="1" t="s">
        <v>84</v>
      </c>
      <c r="C3950" s="1" t="s">
        <v>11</v>
      </c>
      <c r="D3950" s="5">
        <v>45308.0</v>
      </c>
      <c r="G3950" s="1">
        <f>VLOOKUP(B3950,'old-aw-skill-plan'!A:I,7,FALSE)</f>
        <v>5</v>
      </c>
      <c r="H3950" s="1" t="str">
        <f>VLOOKUP(B3950,'old-aw-skill-plan'!A:I,9,FALSE)</f>
        <v>5-7</v>
      </c>
    </row>
    <row r="3951" ht="15.75" customHeight="1">
      <c r="A3951" s="1" t="s">
        <v>95</v>
      </c>
      <c r="B3951" s="1" t="s">
        <v>28</v>
      </c>
      <c r="C3951" s="1" t="s">
        <v>11</v>
      </c>
      <c r="D3951" s="5">
        <v>45308.0</v>
      </c>
      <c r="G3951" s="1">
        <f>VLOOKUP(B3951,'old-aw-skill-plan'!A:I,7,FALSE)</f>
        <v>3</v>
      </c>
      <c r="H3951" s="1" t="str">
        <f>VLOOKUP(B3951,'old-aw-skill-plan'!A:I,9,FALSE)</f>
        <v>3-4</v>
      </c>
    </row>
    <row r="3952" ht="15.75" customHeight="1">
      <c r="A3952" s="1" t="s">
        <v>197</v>
      </c>
      <c r="B3952" s="1" t="s">
        <v>79</v>
      </c>
      <c r="C3952" s="1" t="s">
        <v>11</v>
      </c>
      <c r="D3952" s="5">
        <v>45308.0</v>
      </c>
      <c r="G3952" s="1">
        <f>VLOOKUP(B3952,'old-aw-skill-plan'!A:I,7,FALSE)</f>
        <v>4</v>
      </c>
      <c r="H3952" s="1" t="str">
        <f>VLOOKUP(B3952,'old-aw-skill-plan'!A:I,9,FALSE)</f>
        <v>4-8</v>
      </c>
    </row>
    <row r="3953" ht="15.75" customHeight="1">
      <c r="A3953" s="1" t="s">
        <v>209</v>
      </c>
      <c r="B3953" s="1" t="s">
        <v>88</v>
      </c>
      <c r="C3953" s="1" t="s">
        <v>11</v>
      </c>
      <c r="D3953" s="5">
        <v>45308.0</v>
      </c>
      <c r="G3953" s="1">
        <f>VLOOKUP(B3953,'old-aw-skill-plan'!A:I,7,FALSE)</f>
        <v>5</v>
      </c>
      <c r="H3953" s="1" t="str">
        <f>VLOOKUP(B3953,'old-aw-skill-plan'!A:I,9,FALSE)</f>
        <v>5-5</v>
      </c>
    </row>
    <row r="3954" ht="15.75" customHeight="1">
      <c r="A3954" s="1" t="s">
        <v>373</v>
      </c>
      <c r="B3954" s="1" t="s">
        <v>28</v>
      </c>
      <c r="C3954" s="1" t="s">
        <v>11</v>
      </c>
      <c r="D3954" s="5">
        <v>45308.0</v>
      </c>
      <c r="G3954" s="1">
        <f>VLOOKUP(B3954,'old-aw-skill-plan'!A:I,7,FALSE)</f>
        <v>3</v>
      </c>
      <c r="H3954" s="1" t="str">
        <f>VLOOKUP(B3954,'old-aw-skill-plan'!A:I,9,FALSE)</f>
        <v>3-4</v>
      </c>
    </row>
    <row r="3955" ht="15.75" customHeight="1">
      <c r="A3955" s="1" t="s">
        <v>235</v>
      </c>
      <c r="B3955" s="1" t="s">
        <v>44</v>
      </c>
      <c r="C3955" s="1" t="s">
        <v>11</v>
      </c>
      <c r="D3955" s="5">
        <v>45308.0</v>
      </c>
      <c r="G3955" s="1">
        <f>VLOOKUP(B3955,'old-aw-skill-plan'!A:I,7,FALSE)</f>
        <v>5</v>
      </c>
      <c r="H3955" s="1" t="str">
        <f>VLOOKUP(B3955,'old-aw-skill-plan'!A:I,9,FALSE)</f>
        <v>5-1</v>
      </c>
    </row>
    <row r="3956" ht="15.75" customHeight="1">
      <c r="A3956" s="1" t="s">
        <v>226</v>
      </c>
      <c r="B3956" s="1" t="s">
        <v>47</v>
      </c>
      <c r="C3956" s="1" t="s">
        <v>11</v>
      </c>
      <c r="D3956" s="5">
        <v>45308.0</v>
      </c>
      <c r="G3956" s="1">
        <f>VLOOKUP(B3956,'old-aw-skill-plan'!A:I,7,FALSE)</f>
        <v>3</v>
      </c>
      <c r="H3956" s="1" t="str">
        <f>VLOOKUP(B3956,'old-aw-skill-plan'!A:I,9,FALSE)</f>
        <v>3-2</v>
      </c>
    </row>
    <row r="3957" ht="15.75" customHeight="1">
      <c r="A3957" s="1" t="s">
        <v>278</v>
      </c>
      <c r="B3957" s="1" t="s">
        <v>48</v>
      </c>
      <c r="C3957" s="1" t="s">
        <v>11</v>
      </c>
      <c r="D3957" s="5">
        <v>45308.0</v>
      </c>
      <c r="G3957" s="1">
        <f>VLOOKUP(B3957,'old-aw-skill-plan'!A:I,7,FALSE)</f>
        <v>3</v>
      </c>
      <c r="H3957" s="1" t="str">
        <f>VLOOKUP(B3957,'old-aw-skill-plan'!A:I,9,FALSE)</f>
        <v>3-6</v>
      </c>
    </row>
    <row r="3958" ht="15.75" customHeight="1">
      <c r="A3958" s="1" t="s">
        <v>278</v>
      </c>
      <c r="B3958" s="1" t="s">
        <v>33</v>
      </c>
      <c r="C3958" s="1" t="s">
        <v>11</v>
      </c>
      <c r="D3958" s="5">
        <v>45308.0</v>
      </c>
      <c r="G3958" s="1">
        <f>VLOOKUP(B3958,'old-aw-skill-plan'!A:I,7,FALSE)</f>
        <v>3</v>
      </c>
      <c r="H3958" s="1" t="str">
        <f>VLOOKUP(B3958,'old-aw-skill-plan'!A:I,9,FALSE)</f>
        <v>3-5</v>
      </c>
    </row>
    <row r="3959" ht="15.75" customHeight="1">
      <c r="A3959" s="1" t="s">
        <v>93</v>
      </c>
      <c r="B3959" s="1" t="s">
        <v>58</v>
      </c>
      <c r="C3959" s="1" t="s">
        <v>11</v>
      </c>
      <c r="D3959" s="5">
        <v>45308.0</v>
      </c>
      <c r="G3959" s="1">
        <f>VLOOKUP(B3959,'old-aw-skill-plan'!A:I,7,FALSE)</f>
        <v>3</v>
      </c>
      <c r="H3959" s="1" t="str">
        <f>VLOOKUP(B3959,'old-aw-skill-plan'!A:I,9,FALSE)</f>
        <v>3-8</v>
      </c>
    </row>
    <row r="3960" ht="15.75" customHeight="1">
      <c r="A3960" s="1" t="s">
        <v>93</v>
      </c>
      <c r="B3960" s="1" t="s">
        <v>404</v>
      </c>
      <c r="C3960" s="1" t="s">
        <v>11</v>
      </c>
      <c r="D3960" s="5">
        <v>45308.0</v>
      </c>
      <c r="G3960" s="1">
        <f>VLOOKUP(B3960,'old-aw-skill-plan'!A:I,7,FALSE)</f>
        <v>3</v>
      </c>
      <c r="H3960" s="1" t="str">
        <f>VLOOKUP(B3960,'old-aw-skill-plan'!A:I,9,FALSE)</f>
        <v>3-8</v>
      </c>
    </row>
    <row r="3961" ht="15.75" customHeight="1">
      <c r="A3961" s="1" t="s">
        <v>94</v>
      </c>
      <c r="B3961" s="1" t="s">
        <v>58</v>
      </c>
      <c r="C3961" s="1" t="s">
        <v>11</v>
      </c>
      <c r="D3961" s="5">
        <v>45308.0</v>
      </c>
      <c r="G3961" s="1">
        <f>VLOOKUP(B3961,'old-aw-skill-plan'!A:I,7,FALSE)</f>
        <v>3</v>
      </c>
      <c r="H3961" s="1" t="str">
        <f>VLOOKUP(B3961,'old-aw-skill-plan'!A:I,9,FALSE)</f>
        <v>3-8</v>
      </c>
    </row>
    <row r="3962" ht="15.75" customHeight="1">
      <c r="A3962" s="1" t="s">
        <v>225</v>
      </c>
      <c r="B3962" s="1" t="s">
        <v>34</v>
      </c>
      <c r="C3962" s="1" t="s">
        <v>11</v>
      </c>
      <c r="D3962" s="5">
        <v>45308.0</v>
      </c>
      <c r="G3962" s="1">
        <f>VLOOKUP(B3962,'old-aw-skill-plan'!A:I,7,FALSE)</f>
        <v>4</v>
      </c>
      <c r="H3962" s="1" t="str">
        <f>VLOOKUP(B3962,'old-aw-skill-plan'!A:I,9,FALSE)</f>
        <v>4-1</v>
      </c>
    </row>
    <row r="3963" ht="15.75" customHeight="1">
      <c r="A3963" s="1" t="s">
        <v>427</v>
      </c>
      <c r="B3963" s="1" t="s">
        <v>446</v>
      </c>
      <c r="C3963" s="1" t="s">
        <v>11</v>
      </c>
      <c r="D3963" s="5">
        <v>45308.0</v>
      </c>
      <c r="G3963" s="1">
        <f>VLOOKUP(B3963,'old-aw-skill-plan'!A:I,7,FALSE)</f>
        <v>3</v>
      </c>
      <c r="H3963" s="1" t="str">
        <f>VLOOKUP(B3963,'old-aw-skill-plan'!A:I,9,FALSE)</f>
        <v>3-6</v>
      </c>
    </row>
    <row r="3964" ht="15.75" customHeight="1">
      <c r="A3964" s="1" t="s">
        <v>31</v>
      </c>
      <c r="B3964" s="1" t="s">
        <v>47</v>
      </c>
      <c r="C3964" s="1" t="s">
        <v>11</v>
      </c>
      <c r="D3964" s="5">
        <v>45307.0</v>
      </c>
      <c r="G3964" s="1">
        <f>VLOOKUP(B3964,'old-aw-skill-plan'!A:I,7,FALSE)</f>
        <v>3</v>
      </c>
      <c r="H3964" s="1" t="str">
        <f>VLOOKUP(B3964,'old-aw-skill-plan'!A:I,9,FALSE)</f>
        <v>3-2</v>
      </c>
    </row>
    <row r="3965" ht="15.75" customHeight="1">
      <c r="A3965" s="1" t="s">
        <v>216</v>
      </c>
      <c r="B3965" s="1" t="s">
        <v>34</v>
      </c>
      <c r="C3965" s="1" t="s">
        <v>11</v>
      </c>
      <c r="D3965" s="5">
        <v>45307.0</v>
      </c>
      <c r="G3965" s="1">
        <f>VLOOKUP(B3965,'old-aw-skill-plan'!A:I,7,FALSE)</f>
        <v>4</v>
      </c>
      <c r="H3965" s="1" t="str">
        <f>VLOOKUP(B3965,'old-aw-skill-plan'!A:I,9,FALSE)</f>
        <v>4-1</v>
      </c>
    </row>
    <row r="3966" ht="15.75" customHeight="1">
      <c r="A3966" s="1" t="s">
        <v>35</v>
      </c>
      <c r="B3966" s="1" t="s">
        <v>19</v>
      </c>
      <c r="C3966" s="1" t="s">
        <v>11</v>
      </c>
      <c r="D3966" s="5">
        <v>45307.0</v>
      </c>
      <c r="G3966" s="1">
        <f>VLOOKUP(B3966,'old-aw-skill-plan'!A:I,7,FALSE)</f>
        <v>4</v>
      </c>
      <c r="H3966" s="1" t="str">
        <f>VLOOKUP(B3966,'old-aw-skill-plan'!A:I,9,FALSE)</f>
        <v>4-7</v>
      </c>
    </row>
    <row r="3967" ht="15.75" customHeight="1">
      <c r="A3967" s="1" t="s">
        <v>35</v>
      </c>
      <c r="B3967" s="1" t="s">
        <v>79</v>
      </c>
      <c r="C3967" s="1" t="s">
        <v>11</v>
      </c>
      <c r="D3967" s="5">
        <v>45307.0</v>
      </c>
      <c r="G3967" s="1">
        <f>VLOOKUP(B3967,'old-aw-skill-plan'!A:I,7,FALSE)</f>
        <v>4</v>
      </c>
      <c r="H3967" s="1" t="str">
        <f>VLOOKUP(B3967,'old-aw-skill-plan'!A:I,9,FALSE)</f>
        <v>4-8</v>
      </c>
    </row>
    <row r="3968" ht="15.75" customHeight="1">
      <c r="A3968" s="1" t="s">
        <v>458</v>
      </c>
      <c r="B3968" s="1" t="s">
        <v>28</v>
      </c>
      <c r="C3968" s="1" t="s">
        <v>11</v>
      </c>
      <c r="D3968" s="5">
        <v>45307.0</v>
      </c>
      <c r="G3968" s="1">
        <f>VLOOKUP(B3968,'old-aw-skill-plan'!A:I,7,FALSE)</f>
        <v>3</v>
      </c>
      <c r="H3968" s="1" t="str">
        <f>VLOOKUP(B3968,'old-aw-skill-plan'!A:I,9,FALSE)</f>
        <v>3-4</v>
      </c>
    </row>
    <row r="3969" ht="15.75" customHeight="1">
      <c r="A3969" s="1" t="s">
        <v>213</v>
      </c>
      <c r="B3969" s="1" t="s">
        <v>10</v>
      </c>
      <c r="C3969" s="1" t="s">
        <v>11</v>
      </c>
      <c r="D3969" s="5">
        <v>45307.0</v>
      </c>
      <c r="G3969" s="1">
        <f>VLOOKUP(B3969,'old-aw-skill-plan'!A:I,7,FALSE)</f>
        <v>3</v>
      </c>
      <c r="H3969" s="1" t="str">
        <f>VLOOKUP(B3969,'old-aw-skill-plan'!A:I,9,FALSE)</f>
        <v>3-1</v>
      </c>
    </row>
    <row r="3970" ht="15.75" customHeight="1">
      <c r="A3970" s="1" t="s">
        <v>213</v>
      </c>
      <c r="B3970" s="1" t="s">
        <v>30</v>
      </c>
      <c r="C3970" s="1" t="s">
        <v>11</v>
      </c>
      <c r="D3970" s="5">
        <v>45307.0</v>
      </c>
      <c r="G3970" s="1">
        <f>VLOOKUP(B3970,'old-aw-skill-plan'!A:I,7,FALSE)</f>
        <v>3</v>
      </c>
      <c r="H3970" s="1" t="str">
        <f>VLOOKUP(B3970,'old-aw-skill-plan'!A:I,9,FALSE)</f>
        <v>3-3</v>
      </c>
    </row>
    <row r="3971" ht="15.75" customHeight="1">
      <c r="A3971" s="1" t="s">
        <v>199</v>
      </c>
      <c r="B3971" s="1" t="s">
        <v>34</v>
      </c>
      <c r="C3971" s="1" t="s">
        <v>11</v>
      </c>
      <c r="D3971" s="5">
        <v>45307.0</v>
      </c>
      <c r="G3971" s="1">
        <f>VLOOKUP(B3971,'old-aw-skill-plan'!A:I,7,FALSE)</f>
        <v>4</v>
      </c>
      <c r="H3971" s="1" t="str">
        <f>VLOOKUP(B3971,'old-aw-skill-plan'!A:I,9,FALSE)</f>
        <v>4-1</v>
      </c>
    </row>
    <row r="3972" ht="15.75" customHeight="1">
      <c r="A3972" s="1" t="s">
        <v>220</v>
      </c>
      <c r="B3972" s="1" t="s">
        <v>57</v>
      </c>
      <c r="C3972" s="1" t="s">
        <v>11</v>
      </c>
      <c r="D3972" s="5">
        <v>45307.0</v>
      </c>
      <c r="G3972" s="1">
        <f>VLOOKUP(B3972,'old-aw-skill-plan'!A:I,7,FALSE)</f>
        <v>3</v>
      </c>
      <c r="H3972" s="1" t="str">
        <f>VLOOKUP(B3972,'old-aw-skill-plan'!A:I,9,FALSE)</f>
        <v>3-7</v>
      </c>
    </row>
    <row r="3973" ht="15.75" customHeight="1">
      <c r="A3973" s="1" t="s">
        <v>237</v>
      </c>
      <c r="B3973" s="1" t="s">
        <v>115</v>
      </c>
      <c r="C3973" s="1" t="s">
        <v>11</v>
      </c>
      <c r="D3973" s="5">
        <v>45307.0</v>
      </c>
      <c r="G3973" s="1">
        <f>VLOOKUP(B3973,'old-aw-skill-plan'!A:I,7,FALSE)</f>
        <v>3</v>
      </c>
      <c r="H3973" s="1" t="str">
        <f>VLOOKUP(B3973,'old-aw-skill-plan'!A:I,9,FALSE)</f>
        <v>3-10</v>
      </c>
    </row>
    <row r="3974" ht="15.75" customHeight="1">
      <c r="A3974" s="1" t="s">
        <v>419</v>
      </c>
      <c r="B3974" s="1" t="s">
        <v>104</v>
      </c>
      <c r="C3974" s="1" t="s">
        <v>11</v>
      </c>
      <c r="D3974" s="5">
        <v>45307.0</v>
      </c>
      <c r="G3974" s="1">
        <f>VLOOKUP(B3974,'old-aw-skill-plan'!A:I,7,FALSE)</f>
        <v>5</v>
      </c>
      <c r="H3974" s="1" t="str">
        <f>VLOOKUP(B3974,'old-aw-skill-plan'!A:I,9,FALSE)</f>
        <v>5-2</v>
      </c>
    </row>
    <row r="3975" ht="15.75" customHeight="1">
      <c r="A3975" s="1" t="s">
        <v>46</v>
      </c>
      <c r="B3975" s="1" t="s">
        <v>47</v>
      </c>
      <c r="C3975" s="1" t="s">
        <v>11</v>
      </c>
      <c r="D3975" s="5">
        <v>45307.0</v>
      </c>
      <c r="G3975" s="1">
        <f>VLOOKUP(B3975,'old-aw-skill-plan'!A:I,7,FALSE)</f>
        <v>3</v>
      </c>
      <c r="H3975" s="1" t="str">
        <f>VLOOKUP(B3975,'old-aw-skill-plan'!A:I,9,FALSE)</f>
        <v>3-2</v>
      </c>
    </row>
    <row r="3976" ht="15.75" customHeight="1">
      <c r="A3976" s="1" t="s">
        <v>454</v>
      </c>
      <c r="B3976" s="1" t="s">
        <v>116</v>
      </c>
      <c r="C3976" s="1" t="s">
        <v>11</v>
      </c>
      <c r="D3976" s="5">
        <v>45307.0</v>
      </c>
      <c r="G3976" s="1">
        <f>VLOOKUP(B3976,'old-aw-skill-plan'!A:I,7,FALSE)</f>
        <v>3</v>
      </c>
      <c r="H3976" s="1" t="str">
        <f>VLOOKUP(B3976,'old-aw-skill-plan'!A:I,9,FALSE)</f>
        <v>3-9</v>
      </c>
    </row>
    <row r="3977" ht="15.75" customHeight="1">
      <c r="A3977" s="1" t="s">
        <v>454</v>
      </c>
      <c r="B3977" s="1" t="s">
        <v>57</v>
      </c>
      <c r="C3977" s="1" t="s">
        <v>11</v>
      </c>
      <c r="D3977" s="5">
        <v>45307.0</v>
      </c>
      <c r="G3977" s="1">
        <f>VLOOKUP(B3977,'old-aw-skill-plan'!A:I,7,FALSE)</f>
        <v>3</v>
      </c>
      <c r="H3977" s="1" t="str">
        <f>VLOOKUP(B3977,'old-aw-skill-plan'!A:I,9,FALSE)</f>
        <v>3-7</v>
      </c>
    </row>
    <row r="3978" ht="15.75" customHeight="1">
      <c r="A3978" s="1" t="s">
        <v>454</v>
      </c>
      <c r="B3978" s="1" t="s">
        <v>58</v>
      </c>
      <c r="C3978" s="1" t="s">
        <v>11</v>
      </c>
      <c r="D3978" s="5">
        <v>45307.0</v>
      </c>
      <c r="G3978" s="1">
        <f>VLOOKUP(B3978,'old-aw-skill-plan'!A:I,7,FALSE)</f>
        <v>3</v>
      </c>
      <c r="H3978" s="1" t="str">
        <f>VLOOKUP(B3978,'old-aw-skill-plan'!A:I,9,FALSE)</f>
        <v>3-8</v>
      </c>
    </row>
    <row r="3979" ht="15.75" customHeight="1">
      <c r="A3979" s="1" t="s">
        <v>81</v>
      </c>
      <c r="B3979" s="1" t="s">
        <v>79</v>
      </c>
      <c r="C3979" s="1" t="s">
        <v>11</v>
      </c>
      <c r="D3979" s="5">
        <v>45307.0</v>
      </c>
      <c r="G3979" s="1">
        <f>VLOOKUP(B3979,'old-aw-skill-plan'!A:I,7,FALSE)</f>
        <v>4</v>
      </c>
      <c r="H3979" s="1" t="str">
        <f>VLOOKUP(B3979,'old-aw-skill-plan'!A:I,9,FALSE)</f>
        <v>4-8</v>
      </c>
    </row>
    <row r="3980" ht="15.75" customHeight="1">
      <c r="A3980" s="1" t="s">
        <v>428</v>
      </c>
      <c r="B3980" s="1" t="s">
        <v>79</v>
      </c>
      <c r="C3980" s="1" t="s">
        <v>11</v>
      </c>
      <c r="D3980" s="5">
        <v>45307.0</v>
      </c>
      <c r="G3980" s="1">
        <f>VLOOKUP(B3980,'old-aw-skill-plan'!A:I,7,FALSE)</f>
        <v>4</v>
      </c>
      <c r="H3980" s="1" t="str">
        <f>VLOOKUP(B3980,'old-aw-skill-plan'!A:I,9,FALSE)</f>
        <v>4-8</v>
      </c>
    </row>
    <row r="3981" ht="15.75" customHeight="1">
      <c r="A3981" s="1" t="s">
        <v>420</v>
      </c>
      <c r="B3981" s="1" t="s">
        <v>58</v>
      </c>
      <c r="C3981" s="1" t="s">
        <v>11</v>
      </c>
      <c r="D3981" s="5">
        <v>45307.0</v>
      </c>
      <c r="G3981" s="1">
        <f>VLOOKUP(B3981,'old-aw-skill-plan'!A:I,7,FALSE)</f>
        <v>3</v>
      </c>
      <c r="H3981" s="1" t="str">
        <f>VLOOKUP(B3981,'old-aw-skill-plan'!A:I,9,FALSE)</f>
        <v>3-8</v>
      </c>
    </row>
    <row r="3982" ht="15.75" customHeight="1">
      <c r="A3982" s="1" t="s">
        <v>275</v>
      </c>
      <c r="B3982" s="1" t="s">
        <v>87</v>
      </c>
      <c r="C3982" s="1" t="s">
        <v>11</v>
      </c>
      <c r="D3982" s="5">
        <v>45307.0</v>
      </c>
      <c r="G3982" s="1">
        <f>VLOOKUP(B3982,'old-aw-skill-plan'!A:I,7,FALSE)</f>
        <v>5</v>
      </c>
      <c r="H3982" s="1" t="str">
        <f>VLOOKUP(B3982,'old-aw-skill-plan'!A:I,9,FALSE)</f>
        <v>5-6</v>
      </c>
    </row>
    <row r="3983" ht="15.75" customHeight="1">
      <c r="A3983" s="1" t="s">
        <v>203</v>
      </c>
      <c r="B3983" s="1" t="s">
        <v>104</v>
      </c>
      <c r="C3983" s="1" t="s">
        <v>11</v>
      </c>
      <c r="D3983" s="5">
        <v>45307.0</v>
      </c>
      <c r="G3983" s="1">
        <f>VLOOKUP(B3983,'old-aw-skill-plan'!A:I,7,FALSE)</f>
        <v>5</v>
      </c>
      <c r="H3983" s="1" t="str">
        <f>VLOOKUP(B3983,'old-aw-skill-plan'!A:I,9,FALSE)</f>
        <v>5-2</v>
      </c>
    </row>
    <row r="3984" ht="15.75" customHeight="1">
      <c r="A3984" s="1" t="s">
        <v>95</v>
      </c>
      <c r="B3984" s="1" t="s">
        <v>28</v>
      </c>
      <c r="C3984" s="1" t="s">
        <v>11</v>
      </c>
      <c r="D3984" s="5">
        <v>45307.0</v>
      </c>
      <c r="G3984" s="1">
        <f>VLOOKUP(B3984,'old-aw-skill-plan'!A:I,7,FALSE)</f>
        <v>3</v>
      </c>
      <c r="H3984" s="1" t="str">
        <f>VLOOKUP(B3984,'old-aw-skill-plan'!A:I,9,FALSE)</f>
        <v>3-4</v>
      </c>
    </row>
    <row r="3985" ht="15.75" customHeight="1">
      <c r="A3985" s="1" t="s">
        <v>197</v>
      </c>
      <c r="B3985" s="1" t="s">
        <v>79</v>
      </c>
      <c r="C3985" s="1" t="s">
        <v>11</v>
      </c>
      <c r="D3985" s="5">
        <v>45307.0</v>
      </c>
      <c r="G3985" s="1">
        <f>VLOOKUP(B3985,'old-aw-skill-plan'!A:I,7,FALSE)</f>
        <v>4</v>
      </c>
      <c r="H3985" s="1" t="str">
        <f>VLOOKUP(B3985,'old-aw-skill-plan'!A:I,9,FALSE)</f>
        <v>4-8</v>
      </c>
    </row>
    <row r="3986" ht="15.75" customHeight="1">
      <c r="A3986" s="1" t="s">
        <v>373</v>
      </c>
      <c r="B3986" s="1" t="s">
        <v>28</v>
      </c>
      <c r="C3986" s="1" t="s">
        <v>11</v>
      </c>
      <c r="D3986" s="5">
        <v>45307.0</v>
      </c>
      <c r="G3986" s="1">
        <f>VLOOKUP(B3986,'old-aw-skill-plan'!A:I,7,FALSE)</f>
        <v>3</v>
      </c>
      <c r="H3986" s="1" t="str">
        <f>VLOOKUP(B3986,'old-aw-skill-plan'!A:I,9,FALSE)</f>
        <v>3-4</v>
      </c>
    </row>
    <row r="3987" ht="15.75" customHeight="1">
      <c r="A3987" s="1" t="s">
        <v>226</v>
      </c>
      <c r="B3987" s="1" t="s">
        <v>47</v>
      </c>
      <c r="C3987" s="1" t="s">
        <v>11</v>
      </c>
      <c r="D3987" s="5">
        <v>45307.0</v>
      </c>
      <c r="G3987" s="1">
        <f>VLOOKUP(B3987,'old-aw-skill-plan'!A:I,7,FALSE)</f>
        <v>3</v>
      </c>
      <c r="H3987" s="1" t="str">
        <f>VLOOKUP(B3987,'old-aw-skill-plan'!A:I,9,FALSE)</f>
        <v>3-2</v>
      </c>
    </row>
    <row r="3988" ht="15.75" customHeight="1">
      <c r="A3988" s="1" t="s">
        <v>94</v>
      </c>
      <c r="B3988" s="1" t="s">
        <v>58</v>
      </c>
      <c r="C3988" s="1" t="s">
        <v>11</v>
      </c>
      <c r="D3988" s="5">
        <v>45307.0</v>
      </c>
      <c r="G3988" s="1">
        <f>VLOOKUP(B3988,'old-aw-skill-plan'!A:I,7,FALSE)</f>
        <v>3</v>
      </c>
      <c r="H3988" s="1" t="str">
        <f>VLOOKUP(B3988,'old-aw-skill-plan'!A:I,9,FALSE)</f>
        <v>3-8</v>
      </c>
    </row>
    <row r="3989" ht="15.75" customHeight="1">
      <c r="A3989" s="1" t="s">
        <v>225</v>
      </c>
      <c r="B3989" s="1" t="s">
        <v>19</v>
      </c>
      <c r="C3989" s="1" t="s">
        <v>11</v>
      </c>
      <c r="D3989" s="5">
        <v>45307.0</v>
      </c>
      <c r="G3989" s="1">
        <f>VLOOKUP(B3989,'old-aw-skill-plan'!A:I,7,FALSE)</f>
        <v>4</v>
      </c>
      <c r="H3989" s="1" t="str">
        <f>VLOOKUP(B3989,'old-aw-skill-plan'!A:I,9,FALSE)</f>
        <v>4-7</v>
      </c>
    </row>
    <row r="3990" ht="15.75" customHeight="1">
      <c r="A3990" s="1" t="s">
        <v>225</v>
      </c>
      <c r="B3990" s="1" t="s">
        <v>79</v>
      </c>
      <c r="C3990" s="1" t="s">
        <v>11</v>
      </c>
      <c r="D3990" s="5">
        <v>45307.0</v>
      </c>
      <c r="G3990" s="1">
        <f>VLOOKUP(B3990,'old-aw-skill-plan'!A:I,7,FALSE)</f>
        <v>4</v>
      </c>
      <c r="H3990" s="1" t="str">
        <f>VLOOKUP(B3990,'old-aw-skill-plan'!A:I,9,FALSE)</f>
        <v>4-8</v>
      </c>
    </row>
    <row r="3991" ht="15.75" customHeight="1">
      <c r="A3991" s="1" t="s">
        <v>427</v>
      </c>
      <c r="B3991" s="1" t="s">
        <v>48</v>
      </c>
      <c r="C3991" s="1" t="s">
        <v>11</v>
      </c>
      <c r="D3991" s="5">
        <v>45307.0</v>
      </c>
      <c r="G3991" s="1">
        <f>VLOOKUP(B3991,'old-aw-skill-plan'!A:I,7,FALSE)</f>
        <v>3</v>
      </c>
      <c r="H3991" s="1" t="str">
        <f>VLOOKUP(B3991,'old-aw-skill-plan'!A:I,9,FALSE)</f>
        <v>3-6</v>
      </c>
    </row>
    <row r="3992" ht="15.75" customHeight="1">
      <c r="A3992" s="1" t="s">
        <v>110</v>
      </c>
      <c r="B3992" s="1" t="s">
        <v>57</v>
      </c>
      <c r="C3992" s="1" t="s">
        <v>11</v>
      </c>
      <c r="D3992" s="5">
        <v>45307.0</v>
      </c>
      <c r="G3992" s="1">
        <f>VLOOKUP(B3992,'old-aw-skill-plan'!A:I,7,FALSE)</f>
        <v>3</v>
      </c>
      <c r="H3992" s="1" t="str">
        <f>VLOOKUP(B3992,'old-aw-skill-plan'!A:I,9,FALSE)</f>
        <v>3-7</v>
      </c>
    </row>
    <row r="3993" ht="15.75" customHeight="1">
      <c r="A3993" s="1" t="s">
        <v>110</v>
      </c>
      <c r="B3993" s="1" t="s">
        <v>33</v>
      </c>
      <c r="C3993" s="1" t="s">
        <v>11</v>
      </c>
      <c r="D3993" s="5">
        <v>45307.0</v>
      </c>
      <c r="G3993" s="1">
        <f>VLOOKUP(B3993,'old-aw-skill-plan'!A:I,7,FALSE)</f>
        <v>3</v>
      </c>
      <c r="H3993" s="1" t="str">
        <f>VLOOKUP(B3993,'old-aw-skill-plan'!A:I,9,FALSE)</f>
        <v>3-5</v>
      </c>
    </row>
    <row r="3994" ht="15.75" customHeight="1">
      <c r="A3994" s="1" t="s">
        <v>266</v>
      </c>
      <c r="B3994" s="1" t="s">
        <v>66</v>
      </c>
      <c r="C3994" s="1" t="s">
        <v>11</v>
      </c>
      <c r="D3994" s="5">
        <v>45303.0</v>
      </c>
      <c r="G3994" s="1">
        <f>VLOOKUP(B3994,'old-aw-skill-plan'!A:I,7,FALSE)</f>
        <v>4</v>
      </c>
      <c r="H3994" s="1" t="str">
        <f>VLOOKUP(B3994,'old-aw-skill-plan'!A:I,9,FALSE)</f>
        <v>4-9</v>
      </c>
    </row>
    <row r="3995" ht="15.75" customHeight="1">
      <c r="A3995" s="1" t="s">
        <v>22</v>
      </c>
      <c r="B3995" s="1" t="s">
        <v>61</v>
      </c>
      <c r="C3995" s="1" t="s">
        <v>11</v>
      </c>
      <c r="D3995" s="5">
        <v>45303.0</v>
      </c>
      <c r="G3995" s="1">
        <f>VLOOKUP(B3995,'old-aw-skill-plan'!A:I,7,FALSE)</f>
        <v>4</v>
      </c>
      <c r="H3995" s="1" t="str">
        <f>VLOOKUP(B3995,'old-aw-skill-plan'!A:I,9,FALSE)</f>
        <v>4-4</v>
      </c>
    </row>
    <row r="3996" ht="15.75" customHeight="1">
      <c r="A3996" s="1" t="s">
        <v>22</v>
      </c>
      <c r="B3996" s="1" t="s">
        <v>19</v>
      </c>
      <c r="C3996" s="1" t="s">
        <v>11</v>
      </c>
      <c r="D3996" s="5">
        <v>45303.0</v>
      </c>
      <c r="G3996" s="1">
        <f>VLOOKUP(B3996,'old-aw-skill-plan'!A:I,7,FALSE)</f>
        <v>4</v>
      </c>
      <c r="H3996" s="1" t="str">
        <f>VLOOKUP(B3996,'old-aw-skill-plan'!A:I,9,FALSE)</f>
        <v>4-7</v>
      </c>
    </row>
    <row r="3997" ht="15.75" customHeight="1">
      <c r="A3997" s="1" t="s">
        <v>31</v>
      </c>
      <c r="B3997" s="1" t="s">
        <v>47</v>
      </c>
      <c r="C3997" s="1" t="s">
        <v>11</v>
      </c>
      <c r="D3997" s="5">
        <v>45303.0</v>
      </c>
      <c r="G3997" s="1">
        <f>VLOOKUP(B3997,'old-aw-skill-plan'!A:I,7,FALSE)</f>
        <v>3</v>
      </c>
      <c r="H3997" s="1" t="str">
        <f>VLOOKUP(B3997,'old-aw-skill-plan'!A:I,9,FALSE)</f>
        <v>3-2</v>
      </c>
    </row>
    <row r="3998" ht="15.75" customHeight="1">
      <c r="A3998" s="1" t="s">
        <v>216</v>
      </c>
      <c r="B3998" s="1" t="s">
        <v>34</v>
      </c>
      <c r="C3998" s="1" t="s">
        <v>11</v>
      </c>
      <c r="D3998" s="5">
        <v>45303.0</v>
      </c>
      <c r="G3998" s="1">
        <f>VLOOKUP(B3998,'old-aw-skill-plan'!A:I,7,FALSE)</f>
        <v>4</v>
      </c>
      <c r="H3998" s="1" t="str">
        <f>VLOOKUP(B3998,'old-aw-skill-plan'!A:I,9,FALSE)</f>
        <v>4-1</v>
      </c>
    </row>
    <row r="3999" ht="15.75" customHeight="1">
      <c r="A3999" s="1" t="s">
        <v>35</v>
      </c>
      <c r="B3999" s="1" t="s">
        <v>19</v>
      </c>
      <c r="C3999" s="1" t="s">
        <v>11</v>
      </c>
      <c r="D3999" s="5">
        <v>45303.0</v>
      </c>
      <c r="G3999" s="1">
        <f>VLOOKUP(B3999,'old-aw-skill-plan'!A:I,7,FALSE)</f>
        <v>4</v>
      </c>
      <c r="H3999" s="1" t="str">
        <f>VLOOKUP(B3999,'old-aw-skill-plan'!A:I,9,FALSE)</f>
        <v>4-7</v>
      </c>
    </row>
    <row r="4000" ht="15.75" customHeight="1">
      <c r="A4000" s="1" t="s">
        <v>24</v>
      </c>
      <c r="B4000" s="1" t="s">
        <v>34</v>
      </c>
      <c r="C4000" s="1" t="s">
        <v>11</v>
      </c>
      <c r="D4000" s="5">
        <v>45303.0</v>
      </c>
      <c r="G4000" s="1">
        <f>VLOOKUP(B4000,'old-aw-skill-plan'!A:I,7,FALSE)</f>
        <v>4</v>
      </c>
      <c r="H4000" s="1" t="str">
        <f>VLOOKUP(B4000,'old-aw-skill-plan'!A:I,9,FALSE)</f>
        <v>4-1</v>
      </c>
    </row>
    <row r="4001" ht="15.75" customHeight="1">
      <c r="A4001" s="1" t="s">
        <v>213</v>
      </c>
      <c r="B4001" s="1" t="s">
        <v>10</v>
      </c>
      <c r="C4001" s="1" t="s">
        <v>11</v>
      </c>
      <c r="D4001" s="5">
        <v>45303.0</v>
      </c>
      <c r="G4001" s="1">
        <f>VLOOKUP(B4001,'old-aw-skill-plan'!A:I,7,FALSE)</f>
        <v>3</v>
      </c>
      <c r="H4001" s="1" t="str">
        <f>VLOOKUP(B4001,'old-aw-skill-plan'!A:I,9,FALSE)</f>
        <v>3-1</v>
      </c>
    </row>
    <row r="4002" ht="15.75" customHeight="1">
      <c r="A4002" s="1" t="s">
        <v>213</v>
      </c>
      <c r="B4002" s="1" t="s">
        <v>47</v>
      </c>
      <c r="C4002" s="1" t="s">
        <v>11</v>
      </c>
      <c r="D4002" s="5">
        <v>45303.0</v>
      </c>
      <c r="G4002" s="1">
        <f>VLOOKUP(B4002,'old-aw-skill-plan'!A:I,7,FALSE)</f>
        <v>3</v>
      </c>
      <c r="H4002" s="1" t="str">
        <f>VLOOKUP(B4002,'old-aw-skill-plan'!A:I,9,FALSE)</f>
        <v>3-2</v>
      </c>
    </row>
    <row r="4003" ht="15.75" customHeight="1">
      <c r="A4003" s="1" t="s">
        <v>199</v>
      </c>
      <c r="B4003" s="1" t="s">
        <v>34</v>
      </c>
      <c r="C4003" s="1" t="s">
        <v>11</v>
      </c>
      <c r="D4003" s="5">
        <v>45303.0</v>
      </c>
      <c r="G4003" s="1">
        <f>VLOOKUP(B4003,'old-aw-skill-plan'!A:I,7,FALSE)</f>
        <v>4</v>
      </c>
      <c r="H4003" s="1" t="str">
        <f>VLOOKUP(B4003,'old-aw-skill-plan'!A:I,9,FALSE)</f>
        <v>4-1</v>
      </c>
    </row>
    <row r="4004" ht="15.75" customHeight="1">
      <c r="A4004" s="1" t="s">
        <v>36</v>
      </c>
      <c r="B4004" s="1" t="s">
        <v>28</v>
      </c>
      <c r="C4004" s="1" t="s">
        <v>11</v>
      </c>
      <c r="D4004" s="5">
        <v>45303.0</v>
      </c>
      <c r="G4004" s="1">
        <f>VLOOKUP(B4004,'old-aw-skill-plan'!A:I,7,FALSE)</f>
        <v>3</v>
      </c>
      <c r="H4004" s="1" t="str">
        <f>VLOOKUP(B4004,'old-aw-skill-plan'!A:I,9,FALSE)</f>
        <v>3-4</v>
      </c>
    </row>
    <row r="4005" ht="15.75" customHeight="1">
      <c r="A4005" s="1" t="s">
        <v>237</v>
      </c>
      <c r="B4005" s="1" t="s">
        <v>446</v>
      </c>
      <c r="C4005" s="1" t="s">
        <v>11</v>
      </c>
      <c r="D4005" s="5">
        <v>45303.0</v>
      </c>
      <c r="G4005" s="1">
        <f>VLOOKUP(B4005,'old-aw-skill-plan'!A:I,7,FALSE)</f>
        <v>3</v>
      </c>
      <c r="H4005" s="1" t="str">
        <f>VLOOKUP(B4005,'old-aw-skill-plan'!A:I,9,FALSE)</f>
        <v>3-6</v>
      </c>
    </row>
    <row r="4006" ht="15.75" customHeight="1">
      <c r="A4006" s="1" t="s">
        <v>459</v>
      </c>
      <c r="B4006" s="1" t="s">
        <v>115</v>
      </c>
      <c r="C4006" s="1" t="s">
        <v>11</v>
      </c>
      <c r="D4006" s="5">
        <v>45303.0</v>
      </c>
      <c r="G4006" s="1">
        <f>VLOOKUP(B4006,'old-aw-skill-plan'!A:I,7,FALSE)</f>
        <v>3</v>
      </c>
      <c r="H4006" s="1" t="str">
        <f>VLOOKUP(B4006,'old-aw-skill-plan'!A:I,9,FALSE)</f>
        <v>3-10</v>
      </c>
    </row>
    <row r="4007" ht="15.75" customHeight="1">
      <c r="A4007" s="1" t="s">
        <v>459</v>
      </c>
      <c r="B4007" s="1" t="s">
        <v>445</v>
      </c>
      <c r="C4007" s="1" t="s">
        <v>11</v>
      </c>
      <c r="D4007" s="5">
        <v>45303.0</v>
      </c>
      <c r="G4007" s="1">
        <f>VLOOKUP(B4007,'old-aw-skill-plan'!A:I,7,FALSE)</f>
        <v>3</v>
      </c>
      <c r="H4007" s="1" t="str">
        <f>VLOOKUP(B4007,'old-aw-skill-plan'!A:I,9,FALSE)</f>
        <v>3-9</v>
      </c>
    </row>
    <row r="4008" ht="15.75" customHeight="1">
      <c r="A4008" s="1" t="s">
        <v>459</v>
      </c>
      <c r="B4008" s="1" t="s">
        <v>354</v>
      </c>
      <c r="C4008" s="1" t="s">
        <v>11</v>
      </c>
      <c r="D4008" s="5">
        <v>45303.0</v>
      </c>
      <c r="G4008" s="1">
        <f>VLOOKUP(B4008,'old-aw-skill-plan'!A:I,7,FALSE)</f>
        <v>3</v>
      </c>
      <c r="H4008" s="1" t="str">
        <f>VLOOKUP(B4008,'old-aw-skill-plan'!A:I,9,FALSE)</f>
        <v>3-7</v>
      </c>
    </row>
    <row r="4009" ht="15.75" customHeight="1">
      <c r="A4009" s="1" t="s">
        <v>459</v>
      </c>
      <c r="B4009" s="1" t="s">
        <v>443</v>
      </c>
      <c r="C4009" s="1" t="s">
        <v>11</v>
      </c>
      <c r="D4009" s="5">
        <v>45303.0</v>
      </c>
      <c r="G4009" s="1">
        <f>VLOOKUP(B4009,'old-aw-skill-plan'!A:I,7,FALSE)</f>
        <v>3</v>
      </c>
      <c r="H4009" s="1" t="str">
        <f>VLOOKUP(B4009,'old-aw-skill-plan'!A:I,9,FALSE)</f>
        <v>3-5</v>
      </c>
    </row>
    <row r="4010" ht="15.75" customHeight="1">
      <c r="A4010" s="1" t="s">
        <v>459</v>
      </c>
      <c r="B4010" s="1" t="s">
        <v>352</v>
      </c>
      <c r="C4010" s="1" t="s">
        <v>11</v>
      </c>
      <c r="D4010" s="5">
        <v>45303.0</v>
      </c>
      <c r="G4010" s="1">
        <f>VLOOKUP(B4010,'old-aw-skill-plan'!A:I,7,FALSE)</f>
        <v>3</v>
      </c>
      <c r="H4010" s="1" t="str">
        <f>VLOOKUP(B4010,'old-aw-skill-plan'!A:I,9,FALSE)</f>
        <v>3-2</v>
      </c>
    </row>
    <row r="4011" ht="15.75" customHeight="1">
      <c r="A4011" s="1" t="s">
        <v>459</v>
      </c>
      <c r="B4011" s="1" t="s">
        <v>451</v>
      </c>
      <c r="C4011" s="1" t="s">
        <v>11</v>
      </c>
      <c r="D4011" s="5">
        <v>45303.0</v>
      </c>
      <c r="G4011" s="1">
        <f>VLOOKUP(B4011,'old-aw-skill-plan'!A:I,7,FALSE)</f>
        <v>3</v>
      </c>
      <c r="H4011" s="1" t="str">
        <f>VLOOKUP(B4011,'old-aw-skill-plan'!A:I,9,FALSE)</f>
        <v>3-5</v>
      </c>
    </row>
    <row r="4012" ht="15.75" customHeight="1">
      <c r="A4012" s="1" t="s">
        <v>238</v>
      </c>
      <c r="B4012" s="1" t="s">
        <v>115</v>
      </c>
      <c r="C4012" s="1" t="s">
        <v>11</v>
      </c>
      <c r="D4012" s="5">
        <v>45303.0</v>
      </c>
      <c r="G4012" s="1">
        <f>VLOOKUP(B4012,'old-aw-skill-plan'!A:I,7,FALSE)</f>
        <v>3</v>
      </c>
      <c r="H4012" s="1" t="str">
        <f>VLOOKUP(B4012,'old-aw-skill-plan'!A:I,9,FALSE)</f>
        <v>3-10</v>
      </c>
    </row>
    <row r="4013" ht="15.75" customHeight="1">
      <c r="A4013" s="1" t="s">
        <v>238</v>
      </c>
      <c r="B4013" s="1" t="s">
        <v>48</v>
      </c>
      <c r="C4013" s="1" t="s">
        <v>11</v>
      </c>
      <c r="D4013" s="5">
        <v>45303.0</v>
      </c>
      <c r="G4013" s="1">
        <f>VLOOKUP(B4013,'old-aw-skill-plan'!A:I,7,FALSE)</f>
        <v>3</v>
      </c>
      <c r="H4013" s="1" t="str">
        <f>VLOOKUP(B4013,'old-aw-skill-plan'!A:I,9,FALSE)</f>
        <v>3-6</v>
      </c>
    </row>
    <row r="4014" ht="15.75" customHeight="1">
      <c r="A4014" s="1" t="s">
        <v>238</v>
      </c>
      <c r="B4014" s="1" t="s">
        <v>356</v>
      </c>
      <c r="C4014" s="1" t="s">
        <v>11</v>
      </c>
      <c r="D4014" s="5">
        <v>45303.0</v>
      </c>
      <c r="G4014" s="1">
        <f>VLOOKUP(B4014,'old-aw-skill-plan'!A:I,7,FALSE)</f>
        <v>3</v>
      </c>
      <c r="H4014" s="1" t="str">
        <f>VLOOKUP(B4014,'old-aw-skill-plan'!A:I,9,FALSE)</f>
        <v>3-2</v>
      </c>
    </row>
    <row r="4015" ht="15.75" customHeight="1">
      <c r="A4015" s="1" t="s">
        <v>274</v>
      </c>
      <c r="B4015" s="1" t="s">
        <v>44</v>
      </c>
      <c r="C4015" s="1" t="s">
        <v>11</v>
      </c>
      <c r="D4015" s="5">
        <v>45303.0</v>
      </c>
      <c r="G4015" s="1">
        <f>VLOOKUP(B4015,'old-aw-skill-plan'!A:I,7,FALSE)</f>
        <v>5</v>
      </c>
      <c r="H4015" s="1" t="str">
        <f>VLOOKUP(B4015,'old-aw-skill-plan'!A:I,9,FALSE)</f>
        <v>5-1</v>
      </c>
    </row>
    <row r="4016" ht="15.75" customHeight="1">
      <c r="A4016" s="1" t="s">
        <v>81</v>
      </c>
      <c r="B4016" s="1" t="s">
        <v>308</v>
      </c>
      <c r="C4016" s="1" t="s">
        <v>11</v>
      </c>
      <c r="D4016" s="5">
        <v>45303.0</v>
      </c>
      <c r="G4016" s="1">
        <f>VLOOKUP(B4016,'old-aw-skill-plan'!A:I,7,FALSE)</f>
        <v>4</v>
      </c>
      <c r="H4016" s="1" t="str">
        <f>VLOOKUP(B4016,'old-aw-skill-plan'!A:I,9,FALSE)</f>
        <v>4-9</v>
      </c>
    </row>
    <row r="4017" ht="15.75" customHeight="1">
      <c r="A4017" s="1" t="s">
        <v>421</v>
      </c>
      <c r="B4017" s="1" t="s">
        <v>104</v>
      </c>
      <c r="C4017" s="1" t="s">
        <v>11</v>
      </c>
      <c r="D4017" s="5">
        <v>45303.0</v>
      </c>
      <c r="G4017" s="1">
        <f>VLOOKUP(B4017,'old-aw-skill-plan'!A:I,7,FALSE)</f>
        <v>5</v>
      </c>
      <c r="H4017" s="1" t="str">
        <f>VLOOKUP(B4017,'old-aw-skill-plan'!A:I,9,FALSE)</f>
        <v>5-2</v>
      </c>
    </row>
    <row r="4018" ht="15.75" customHeight="1">
      <c r="A4018" s="1" t="s">
        <v>428</v>
      </c>
      <c r="B4018" s="1" t="s">
        <v>66</v>
      </c>
      <c r="C4018" s="1" t="s">
        <v>11</v>
      </c>
      <c r="D4018" s="5">
        <v>45303.0</v>
      </c>
      <c r="G4018" s="1">
        <f>VLOOKUP(B4018,'old-aw-skill-plan'!A:I,7,FALSE)</f>
        <v>4</v>
      </c>
      <c r="H4018" s="1" t="str">
        <f>VLOOKUP(B4018,'old-aw-skill-plan'!A:I,9,FALSE)</f>
        <v>4-9</v>
      </c>
    </row>
    <row r="4019" ht="15.75" customHeight="1">
      <c r="A4019" s="1" t="s">
        <v>420</v>
      </c>
      <c r="B4019" s="1" t="s">
        <v>10</v>
      </c>
      <c r="C4019" s="1" t="s">
        <v>11</v>
      </c>
      <c r="D4019" s="5">
        <v>45303.0</v>
      </c>
      <c r="G4019" s="1">
        <f>VLOOKUP(B4019,'old-aw-skill-plan'!A:I,7,FALSE)</f>
        <v>3</v>
      </c>
      <c r="H4019" s="1" t="str">
        <f>VLOOKUP(B4019,'old-aw-skill-plan'!A:I,9,FALSE)</f>
        <v>3-1</v>
      </c>
    </row>
    <row r="4020" ht="15.75" customHeight="1">
      <c r="A4020" s="1" t="s">
        <v>420</v>
      </c>
      <c r="B4020" s="1" t="s">
        <v>352</v>
      </c>
      <c r="C4020" s="1" t="s">
        <v>11</v>
      </c>
      <c r="D4020" s="5">
        <v>45303.0</v>
      </c>
      <c r="G4020" s="1">
        <f>VLOOKUP(B4020,'old-aw-skill-plan'!A:I,7,FALSE)</f>
        <v>3</v>
      </c>
      <c r="H4020" s="1" t="str">
        <f>VLOOKUP(B4020,'old-aw-skill-plan'!A:I,9,FALSE)</f>
        <v>3-2</v>
      </c>
    </row>
    <row r="4021" ht="15.75" customHeight="1">
      <c r="A4021" s="1" t="s">
        <v>275</v>
      </c>
      <c r="B4021" s="1" t="s">
        <v>370</v>
      </c>
      <c r="C4021" s="1" t="s">
        <v>11</v>
      </c>
      <c r="D4021" s="5">
        <v>45303.0</v>
      </c>
      <c r="G4021" s="1">
        <f>VLOOKUP(B4021,'old-aw-skill-plan'!A:I,7,FALSE)</f>
        <v>4</v>
      </c>
      <c r="H4021" s="1" t="str">
        <f>VLOOKUP(B4021,'old-aw-skill-plan'!A:I,9,FALSE)</f>
        <v>4-6</v>
      </c>
    </row>
    <row r="4022" ht="15.75" customHeight="1">
      <c r="A4022" s="1" t="s">
        <v>268</v>
      </c>
      <c r="B4022" s="1" t="s">
        <v>443</v>
      </c>
      <c r="C4022" s="1" t="s">
        <v>11</v>
      </c>
      <c r="D4022" s="5">
        <v>45303.0</v>
      </c>
      <c r="G4022" s="1">
        <f>VLOOKUP(B4022,'old-aw-skill-plan'!A:I,7,FALSE)</f>
        <v>3</v>
      </c>
      <c r="H4022" s="1" t="str">
        <f>VLOOKUP(B4022,'old-aw-skill-plan'!A:I,9,FALSE)</f>
        <v>3-5</v>
      </c>
    </row>
    <row r="4023" ht="15.75" customHeight="1">
      <c r="A4023" s="1" t="s">
        <v>95</v>
      </c>
      <c r="B4023" s="1" t="s">
        <v>28</v>
      </c>
      <c r="C4023" s="1" t="s">
        <v>11</v>
      </c>
      <c r="D4023" s="5">
        <v>45303.0</v>
      </c>
      <c r="G4023" s="1">
        <f>VLOOKUP(B4023,'old-aw-skill-plan'!A:I,7,FALSE)</f>
        <v>3</v>
      </c>
      <c r="H4023" s="1" t="str">
        <f>VLOOKUP(B4023,'old-aw-skill-plan'!A:I,9,FALSE)</f>
        <v>3-4</v>
      </c>
    </row>
    <row r="4024" ht="15.75" customHeight="1">
      <c r="A4024" s="1" t="s">
        <v>211</v>
      </c>
      <c r="B4024" s="1" t="s">
        <v>47</v>
      </c>
      <c r="C4024" s="1" t="s">
        <v>11</v>
      </c>
      <c r="D4024" s="5">
        <v>45303.0</v>
      </c>
      <c r="G4024" s="1">
        <f>VLOOKUP(B4024,'old-aw-skill-plan'!A:I,7,FALSE)</f>
        <v>3</v>
      </c>
      <c r="H4024" s="1" t="str">
        <f>VLOOKUP(B4024,'old-aw-skill-plan'!A:I,9,FALSE)</f>
        <v>3-2</v>
      </c>
    </row>
    <row r="4025" ht="15.75" customHeight="1">
      <c r="A4025" s="1" t="s">
        <v>197</v>
      </c>
      <c r="B4025" s="1" t="s">
        <v>40</v>
      </c>
      <c r="C4025" s="1" t="s">
        <v>11</v>
      </c>
      <c r="D4025" s="5">
        <v>45303.0</v>
      </c>
      <c r="G4025" s="1">
        <f>VLOOKUP(B4025,'old-aw-skill-plan'!A:I,7,FALSE)</f>
        <v>4</v>
      </c>
      <c r="H4025" s="1" t="str">
        <f>VLOOKUP(B4025,'old-aw-skill-plan'!A:I,9,FALSE)</f>
        <v>4-10</v>
      </c>
    </row>
    <row r="4026" ht="15.75" customHeight="1">
      <c r="A4026" s="1" t="s">
        <v>197</v>
      </c>
      <c r="B4026" s="1" t="s">
        <v>382</v>
      </c>
      <c r="C4026" s="1" t="s">
        <v>11</v>
      </c>
      <c r="D4026" s="5">
        <v>45303.0</v>
      </c>
      <c r="G4026" s="1">
        <f>VLOOKUP(B4026,'old-aw-skill-plan'!A:I,7,FALSE)</f>
        <v>4</v>
      </c>
      <c r="H4026" s="1" t="str">
        <f>VLOOKUP(B4026,'old-aw-skill-plan'!A:I,9,FALSE)</f>
        <v>4-3</v>
      </c>
    </row>
    <row r="4027" ht="15.75" customHeight="1">
      <c r="A4027" s="1" t="s">
        <v>373</v>
      </c>
      <c r="B4027" s="1" t="s">
        <v>28</v>
      </c>
      <c r="C4027" s="1" t="s">
        <v>11</v>
      </c>
      <c r="D4027" s="5">
        <v>45303.0</v>
      </c>
      <c r="G4027" s="1">
        <f>VLOOKUP(B4027,'old-aw-skill-plan'!A:I,7,FALSE)</f>
        <v>3</v>
      </c>
      <c r="H4027" s="1" t="str">
        <f>VLOOKUP(B4027,'old-aw-skill-plan'!A:I,9,FALSE)</f>
        <v>3-4</v>
      </c>
    </row>
    <row r="4028" ht="15.75" customHeight="1">
      <c r="A4028" s="1" t="s">
        <v>373</v>
      </c>
      <c r="B4028" s="1" t="s">
        <v>356</v>
      </c>
      <c r="C4028" s="1" t="s">
        <v>11</v>
      </c>
      <c r="D4028" s="5">
        <v>45303.0</v>
      </c>
      <c r="G4028" s="1">
        <f>VLOOKUP(B4028,'old-aw-skill-plan'!A:I,7,FALSE)</f>
        <v>3</v>
      </c>
      <c r="H4028" s="1" t="str">
        <f>VLOOKUP(B4028,'old-aw-skill-plan'!A:I,9,FALSE)</f>
        <v>3-2</v>
      </c>
    </row>
    <row r="4029" ht="15.75" customHeight="1">
      <c r="A4029" s="1" t="s">
        <v>181</v>
      </c>
      <c r="B4029" s="1" t="s">
        <v>30</v>
      </c>
      <c r="C4029" s="1" t="s">
        <v>11</v>
      </c>
      <c r="D4029" s="5">
        <v>45303.0</v>
      </c>
      <c r="G4029" s="1">
        <f>VLOOKUP(B4029,'old-aw-skill-plan'!A:I,7,FALSE)</f>
        <v>3</v>
      </c>
      <c r="H4029" s="1" t="str">
        <f>VLOOKUP(B4029,'old-aw-skill-plan'!A:I,9,FALSE)</f>
        <v>3-3</v>
      </c>
    </row>
    <row r="4030" ht="15.75" customHeight="1">
      <c r="A4030" s="1" t="s">
        <v>269</v>
      </c>
      <c r="B4030" s="1" t="s">
        <v>57</v>
      </c>
      <c r="C4030" s="1" t="s">
        <v>11</v>
      </c>
      <c r="D4030" s="5">
        <v>45303.0</v>
      </c>
      <c r="G4030" s="1">
        <f>VLOOKUP(B4030,'old-aw-skill-plan'!A:I,7,FALSE)</f>
        <v>3</v>
      </c>
      <c r="H4030" s="1" t="str">
        <f>VLOOKUP(B4030,'old-aw-skill-plan'!A:I,9,FALSE)</f>
        <v>3-7</v>
      </c>
    </row>
    <row r="4031" ht="15.75" customHeight="1">
      <c r="A4031" s="1" t="s">
        <v>269</v>
      </c>
      <c r="B4031" s="1" t="s">
        <v>48</v>
      </c>
      <c r="C4031" s="1" t="s">
        <v>11</v>
      </c>
      <c r="D4031" s="5">
        <v>45303.0</v>
      </c>
      <c r="G4031" s="1">
        <f>VLOOKUP(B4031,'old-aw-skill-plan'!A:I,7,FALSE)</f>
        <v>3</v>
      </c>
      <c r="H4031" s="1" t="str">
        <f>VLOOKUP(B4031,'old-aw-skill-plan'!A:I,9,FALSE)</f>
        <v>3-6</v>
      </c>
    </row>
    <row r="4032" ht="15.75" customHeight="1">
      <c r="A4032" s="1" t="s">
        <v>226</v>
      </c>
      <c r="B4032" s="1" t="s">
        <v>47</v>
      </c>
      <c r="C4032" s="1" t="s">
        <v>11</v>
      </c>
      <c r="D4032" s="5">
        <v>45303.0</v>
      </c>
      <c r="G4032" s="1">
        <f>VLOOKUP(B4032,'old-aw-skill-plan'!A:I,7,FALSE)</f>
        <v>3</v>
      </c>
      <c r="H4032" s="1" t="str">
        <f>VLOOKUP(B4032,'old-aw-skill-plan'!A:I,9,FALSE)</f>
        <v>3-2</v>
      </c>
    </row>
    <row r="4033" ht="15.75" customHeight="1">
      <c r="A4033" s="1" t="s">
        <v>102</v>
      </c>
      <c r="B4033" s="1" t="s">
        <v>33</v>
      </c>
      <c r="C4033" s="1" t="s">
        <v>11</v>
      </c>
      <c r="D4033" s="5">
        <v>45303.0</v>
      </c>
      <c r="G4033" s="1">
        <f>VLOOKUP(B4033,'old-aw-skill-plan'!A:I,7,FALSE)</f>
        <v>3</v>
      </c>
      <c r="H4033" s="1" t="str">
        <f>VLOOKUP(B4033,'old-aw-skill-plan'!A:I,9,FALSE)</f>
        <v>3-5</v>
      </c>
    </row>
    <row r="4034" ht="15.75" customHeight="1">
      <c r="A4034" s="1" t="s">
        <v>94</v>
      </c>
      <c r="B4034" s="1" t="s">
        <v>116</v>
      </c>
      <c r="C4034" s="1" t="s">
        <v>11</v>
      </c>
      <c r="D4034" s="5">
        <v>45303.0</v>
      </c>
      <c r="G4034" s="1">
        <f>VLOOKUP(B4034,'old-aw-skill-plan'!A:I,7,FALSE)</f>
        <v>3</v>
      </c>
      <c r="H4034" s="1" t="str">
        <f>VLOOKUP(B4034,'old-aw-skill-plan'!A:I,9,FALSE)</f>
        <v>3-9</v>
      </c>
    </row>
    <row r="4035" ht="15.75" customHeight="1">
      <c r="A4035" s="1" t="s">
        <v>225</v>
      </c>
      <c r="B4035" s="1" t="s">
        <v>34</v>
      </c>
      <c r="C4035" s="1" t="s">
        <v>11</v>
      </c>
      <c r="D4035" s="5">
        <v>45303.0</v>
      </c>
      <c r="G4035" s="1">
        <f>VLOOKUP(B4035,'old-aw-skill-plan'!A:I,7,FALSE)</f>
        <v>4</v>
      </c>
      <c r="H4035" s="1" t="str">
        <f>VLOOKUP(B4035,'old-aw-skill-plan'!A:I,9,FALSE)</f>
        <v>4-1</v>
      </c>
    </row>
    <row r="4036" ht="15.75" customHeight="1">
      <c r="A4036" s="1" t="s">
        <v>225</v>
      </c>
      <c r="B4036" s="1" t="s">
        <v>433</v>
      </c>
      <c r="C4036" s="1" t="s">
        <v>11</v>
      </c>
      <c r="D4036" s="5">
        <v>45303.0</v>
      </c>
      <c r="G4036" s="1">
        <f>VLOOKUP(B4036,'old-aw-skill-plan'!A:I,7,FALSE)</f>
        <v>4</v>
      </c>
      <c r="H4036" s="1" t="str">
        <f>VLOOKUP(B4036,'old-aw-skill-plan'!A:I,9,FALSE)</f>
        <v>4-4</v>
      </c>
    </row>
    <row r="4037" ht="15.75" customHeight="1">
      <c r="A4037" s="1" t="s">
        <v>427</v>
      </c>
      <c r="B4037" s="1" t="s">
        <v>116</v>
      </c>
      <c r="C4037" s="1" t="s">
        <v>11</v>
      </c>
      <c r="D4037" s="5">
        <v>45303.0</v>
      </c>
      <c r="G4037" s="1">
        <f>VLOOKUP(B4037,'old-aw-skill-plan'!A:I,7,FALSE)</f>
        <v>3</v>
      </c>
      <c r="H4037" s="1" t="str">
        <f>VLOOKUP(B4037,'old-aw-skill-plan'!A:I,9,FALSE)</f>
        <v>3-9</v>
      </c>
    </row>
    <row r="4038" ht="15.75" customHeight="1">
      <c r="A4038" s="1" t="s">
        <v>427</v>
      </c>
      <c r="B4038" s="1" t="s">
        <v>383</v>
      </c>
      <c r="C4038" s="1" t="s">
        <v>11</v>
      </c>
      <c r="D4038" s="5">
        <v>45303.0</v>
      </c>
      <c r="G4038" s="1">
        <f>VLOOKUP(B4038,'old-aw-skill-plan'!A:I,7,FALSE)</f>
        <v>3</v>
      </c>
      <c r="H4038" s="1" t="str">
        <f>VLOOKUP(B4038,'old-aw-skill-plan'!A:I,9,FALSE)</f>
        <v>3-3</v>
      </c>
    </row>
    <row r="4039" ht="15.75" customHeight="1">
      <c r="A4039" s="1" t="s">
        <v>110</v>
      </c>
      <c r="B4039" s="1" t="s">
        <v>48</v>
      </c>
      <c r="C4039" s="1" t="s">
        <v>11</v>
      </c>
      <c r="D4039" s="5">
        <v>45303.0</v>
      </c>
      <c r="G4039" s="1">
        <f>VLOOKUP(B4039,'old-aw-skill-plan'!A:I,7,FALSE)</f>
        <v>3</v>
      </c>
      <c r="H4039" s="1" t="str">
        <f>VLOOKUP(B4039,'old-aw-skill-plan'!A:I,9,FALSE)</f>
        <v>3-6</v>
      </c>
    </row>
    <row r="4040" ht="15.75" customHeight="1">
      <c r="A4040" s="1" t="s">
        <v>110</v>
      </c>
      <c r="B4040" s="1" t="s">
        <v>33</v>
      </c>
      <c r="C4040" s="1" t="s">
        <v>11</v>
      </c>
      <c r="D4040" s="5">
        <v>45303.0</v>
      </c>
      <c r="G4040" s="1">
        <f>VLOOKUP(B4040,'old-aw-skill-plan'!A:I,7,FALSE)</f>
        <v>3</v>
      </c>
      <c r="H4040" s="1" t="str">
        <f>VLOOKUP(B4040,'old-aw-skill-plan'!A:I,9,FALSE)</f>
        <v>3-5</v>
      </c>
    </row>
    <row r="4041" ht="15.75" customHeight="1">
      <c r="A4041" s="1" t="s">
        <v>266</v>
      </c>
      <c r="B4041" s="1" t="s">
        <v>66</v>
      </c>
      <c r="C4041" s="1" t="s">
        <v>11</v>
      </c>
      <c r="D4041" s="5">
        <v>45302.0</v>
      </c>
      <c r="G4041" s="1">
        <f>VLOOKUP(B4041,'old-aw-skill-plan'!A:I,7,FALSE)</f>
        <v>4</v>
      </c>
      <c r="H4041" s="1" t="str">
        <f>VLOOKUP(B4041,'old-aw-skill-plan'!A:I,9,FALSE)</f>
        <v>4-9</v>
      </c>
    </row>
    <row r="4042" ht="15.75" customHeight="1">
      <c r="A4042" s="1" t="s">
        <v>22</v>
      </c>
      <c r="B4042" s="1" t="s">
        <v>19</v>
      </c>
      <c r="C4042" s="1" t="s">
        <v>11</v>
      </c>
      <c r="D4042" s="5">
        <v>45302.0</v>
      </c>
      <c r="G4042" s="1">
        <f>VLOOKUP(B4042,'old-aw-skill-plan'!A:I,7,FALSE)</f>
        <v>4</v>
      </c>
      <c r="H4042" s="1" t="str">
        <f>VLOOKUP(B4042,'old-aw-skill-plan'!A:I,9,FALSE)</f>
        <v>4-7</v>
      </c>
    </row>
    <row r="4043" ht="15.75" customHeight="1">
      <c r="A4043" s="1" t="s">
        <v>22</v>
      </c>
      <c r="B4043" s="1" t="s">
        <v>21</v>
      </c>
      <c r="C4043" s="1" t="s">
        <v>11</v>
      </c>
      <c r="D4043" s="5">
        <v>45302.0</v>
      </c>
      <c r="G4043" s="1">
        <f>VLOOKUP(B4043,'old-aw-skill-plan'!A:I,7,FALSE)</f>
        <v>4</v>
      </c>
      <c r="H4043" s="1" t="str">
        <f>VLOOKUP(B4043,'old-aw-skill-plan'!A:I,9,FALSE)</f>
        <v>4-6</v>
      </c>
    </row>
    <row r="4044" ht="15.75" customHeight="1">
      <c r="A4044" s="1" t="s">
        <v>31</v>
      </c>
      <c r="B4044" s="1" t="s">
        <v>10</v>
      </c>
      <c r="C4044" s="1" t="s">
        <v>11</v>
      </c>
      <c r="D4044" s="5">
        <v>45302.0</v>
      </c>
      <c r="G4044" s="1">
        <f>VLOOKUP(B4044,'old-aw-skill-plan'!A:I,7,FALSE)</f>
        <v>3</v>
      </c>
      <c r="H4044" s="1" t="str">
        <f>VLOOKUP(B4044,'old-aw-skill-plan'!A:I,9,FALSE)</f>
        <v>3-1</v>
      </c>
    </row>
    <row r="4045" ht="15.75" customHeight="1">
      <c r="A4045" s="1" t="s">
        <v>216</v>
      </c>
      <c r="B4045" s="1" t="s">
        <v>34</v>
      </c>
      <c r="C4045" s="1" t="s">
        <v>11</v>
      </c>
      <c r="D4045" s="5">
        <v>45302.0</v>
      </c>
      <c r="G4045" s="1">
        <f>VLOOKUP(B4045,'old-aw-skill-plan'!A:I,7,FALSE)</f>
        <v>4</v>
      </c>
      <c r="H4045" s="1" t="str">
        <f>VLOOKUP(B4045,'old-aw-skill-plan'!A:I,9,FALSE)</f>
        <v>4-1</v>
      </c>
    </row>
    <row r="4046" ht="15.75" customHeight="1">
      <c r="A4046" s="1" t="s">
        <v>35</v>
      </c>
      <c r="B4046" s="1" t="s">
        <v>19</v>
      </c>
      <c r="C4046" s="1" t="s">
        <v>11</v>
      </c>
      <c r="D4046" s="5">
        <v>45302.0</v>
      </c>
      <c r="G4046" s="1">
        <f>VLOOKUP(B4046,'old-aw-skill-plan'!A:I,7,FALSE)</f>
        <v>4</v>
      </c>
      <c r="H4046" s="1" t="str">
        <f>VLOOKUP(B4046,'old-aw-skill-plan'!A:I,9,FALSE)</f>
        <v>4-7</v>
      </c>
    </row>
    <row r="4047" ht="15.75" customHeight="1">
      <c r="A4047" s="1" t="s">
        <v>24</v>
      </c>
      <c r="B4047" s="1" t="s">
        <v>34</v>
      </c>
      <c r="C4047" s="1" t="s">
        <v>11</v>
      </c>
      <c r="D4047" s="5">
        <v>45302.0</v>
      </c>
      <c r="G4047" s="1">
        <f>VLOOKUP(B4047,'old-aw-skill-plan'!A:I,7,FALSE)</f>
        <v>4</v>
      </c>
      <c r="H4047" s="1" t="str">
        <f>VLOOKUP(B4047,'old-aw-skill-plan'!A:I,9,FALSE)</f>
        <v>4-1</v>
      </c>
    </row>
    <row r="4048" ht="15.75" customHeight="1">
      <c r="A4048" s="1" t="s">
        <v>213</v>
      </c>
      <c r="B4048" s="1" t="s">
        <v>47</v>
      </c>
      <c r="C4048" s="1" t="s">
        <v>11</v>
      </c>
      <c r="D4048" s="5">
        <v>45302.0</v>
      </c>
      <c r="G4048" s="1">
        <f>VLOOKUP(B4048,'old-aw-skill-plan'!A:I,7,FALSE)</f>
        <v>3</v>
      </c>
      <c r="H4048" s="1" t="str">
        <f>VLOOKUP(B4048,'old-aw-skill-plan'!A:I,9,FALSE)</f>
        <v>3-2</v>
      </c>
    </row>
    <row r="4049" ht="15.75" customHeight="1">
      <c r="A4049" s="1" t="s">
        <v>199</v>
      </c>
      <c r="B4049" s="1" t="s">
        <v>34</v>
      </c>
      <c r="C4049" s="1" t="s">
        <v>11</v>
      </c>
      <c r="D4049" s="5">
        <v>45302.0</v>
      </c>
      <c r="G4049" s="1">
        <f>VLOOKUP(B4049,'old-aw-skill-plan'!A:I,7,FALSE)</f>
        <v>4</v>
      </c>
      <c r="H4049" s="1" t="str">
        <f>VLOOKUP(B4049,'old-aw-skill-plan'!A:I,9,FALSE)</f>
        <v>4-1</v>
      </c>
    </row>
    <row r="4050" ht="15.75" customHeight="1">
      <c r="A4050" s="1" t="s">
        <v>36</v>
      </c>
      <c r="B4050" s="1" t="s">
        <v>28</v>
      </c>
      <c r="C4050" s="1" t="s">
        <v>11</v>
      </c>
      <c r="D4050" s="5">
        <v>45302.0</v>
      </c>
      <c r="G4050" s="1">
        <f>VLOOKUP(B4050,'old-aw-skill-plan'!A:I,7,FALSE)</f>
        <v>3</v>
      </c>
      <c r="H4050" s="1" t="str">
        <f>VLOOKUP(B4050,'old-aw-skill-plan'!A:I,9,FALSE)</f>
        <v>3-4</v>
      </c>
    </row>
    <row r="4051" ht="15.75" customHeight="1">
      <c r="A4051" s="1" t="s">
        <v>273</v>
      </c>
      <c r="B4051" s="1" t="s">
        <v>47</v>
      </c>
      <c r="C4051" s="1" t="s">
        <v>11</v>
      </c>
      <c r="D4051" s="5">
        <v>45302.0</v>
      </c>
      <c r="G4051" s="1">
        <f>VLOOKUP(B4051,'old-aw-skill-plan'!A:I,7,FALSE)</f>
        <v>3</v>
      </c>
      <c r="H4051" s="1" t="str">
        <f>VLOOKUP(B4051,'old-aw-skill-plan'!A:I,9,FALSE)</f>
        <v>3-2</v>
      </c>
    </row>
    <row r="4052" ht="15.75" customHeight="1">
      <c r="A4052" s="1" t="s">
        <v>460</v>
      </c>
      <c r="B4052" s="1" t="s">
        <v>44</v>
      </c>
      <c r="C4052" s="1" t="s">
        <v>11</v>
      </c>
      <c r="D4052" s="5">
        <v>45302.0</v>
      </c>
      <c r="G4052" s="1">
        <f>VLOOKUP(B4052,'old-aw-skill-plan'!A:I,7,FALSE)</f>
        <v>5</v>
      </c>
      <c r="H4052" s="1" t="str">
        <f>VLOOKUP(B4052,'old-aw-skill-plan'!A:I,9,FALSE)</f>
        <v>5-1</v>
      </c>
    </row>
    <row r="4053" ht="15.75" customHeight="1">
      <c r="A4053" s="1" t="s">
        <v>39</v>
      </c>
      <c r="B4053" s="1" t="s">
        <v>34</v>
      </c>
      <c r="C4053" s="1" t="s">
        <v>11</v>
      </c>
      <c r="D4053" s="5">
        <v>45302.0</v>
      </c>
      <c r="G4053" s="1">
        <f>VLOOKUP(B4053,'old-aw-skill-plan'!A:I,7,FALSE)</f>
        <v>4</v>
      </c>
      <c r="H4053" s="1" t="str">
        <f>VLOOKUP(B4053,'old-aw-skill-plan'!A:I,9,FALSE)</f>
        <v>4-1</v>
      </c>
    </row>
    <row r="4054" ht="15.75" customHeight="1">
      <c r="A4054" s="1" t="s">
        <v>220</v>
      </c>
      <c r="B4054" s="1" t="s">
        <v>115</v>
      </c>
      <c r="C4054" s="1" t="s">
        <v>11</v>
      </c>
      <c r="D4054" s="5">
        <v>45302.0</v>
      </c>
      <c r="G4054" s="1">
        <f>VLOOKUP(B4054,'old-aw-skill-plan'!A:I,7,FALSE)</f>
        <v>3</v>
      </c>
      <c r="H4054" s="1" t="str">
        <f>VLOOKUP(B4054,'old-aw-skill-plan'!A:I,9,FALSE)</f>
        <v>3-10</v>
      </c>
    </row>
    <row r="4055" ht="15.75" customHeight="1">
      <c r="A4055" s="1" t="s">
        <v>220</v>
      </c>
      <c r="B4055" s="1" t="s">
        <v>57</v>
      </c>
      <c r="C4055" s="1" t="s">
        <v>11</v>
      </c>
      <c r="D4055" s="5">
        <v>45302.0</v>
      </c>
      <c r="G4055" s="1">
        <f>VLOOKUP(B4055,'old-aw-skill-plan'!A:I,7,FALSE)</f>
        <v>3</v>
      </c>
      <c r="H4055" s="1" t="str">
        <f>VLOOKUP(B4055,'old-aw-skill-plan'!A:I,9,FALSE)</f>
        <v>3-7</v>
      </c>
    </row>
    <row r="4056" ht="15.75" customHeight="1">
      <c r="A4056" s="1" t="s">
        <v>237</v>
      </c>
      <c r="B4056" s="1" t="s">
        <v>116</v>
      </c>
      <c r="C4056" s="1" t="s">
        <v>11</v>
      </c>
      <c r="D4056" s="5">
        <v>45302.0</v>
      </c>
      <c r="G4056" s="1">
        <f>VLOOKUP(B4056,'old-aw-skill-plan'!A:I,7,FALSE)</f>
        <v>3</v>
      </c>
      <c r="H4056" s="1" t="str">
        <f>VLOOKUP(B4056,'old-aw-skill-plan'!A:I,9,FALSE)</f>
        <v>3-9</v>
      </c>
    </row>
    <row r="4057" ht="15.75" customHeight="1">
      <c r="A4057" s="1" t="s">
        <v>419</v>
      </c>
      <c r="B4057" s="1" t="s">
        <v>104</v>
      </c>
      <c r="C4057" s="1" t="s">
        <v>11</v>
      </c>
      <c r="D4057" s="5">
        <v>45302.0</v>
      </c>
      <c r="G4057" s="1">
        <f>VLOOKUP(B4057,'old-aw-skill-plan'!A:I,7,FALSE)</f>
        <v>5</v>
      </c>
      <c r="H4057" s="1" t="str">
        <f>VLOOKUP(B4057,'old-aw-skill-plan'!A:I,9,FALSE)</f>
        <v>5-2</v>
      </c>
    </row>
    <row r="4058" ht="15.75" customHeight="1">
      <c r="A4058" s="1" t="s">
        <v>46</v>
      </c>
      <c r="B4058" s="1" t="s">
        <v>47</v>
      </c>
      <c r="C4058" s="1" t="s">
        <v>11</v>
      </c>
      <c r="D4058" s="5">
        <v>45302.0</v>
      </c>
      <c r="G4058" s="1">
        <f>VLOOKUP(B4058,'old-aw-skill-plan'!A:I,7,FALSE)</f>
        <v>3</v>
      </c>
      <c r="H4058" s="1" t="str">
        <f>VLOOKUP(B4058,'old-aw-skill-plan'!A:I,9,FALSE)</f>
        <v>3-2</v>
      </c>
    </row>
    <row r="4059" ht="15.75" customHeight="1">
      <c r="A4059" s="1" t="s">
        <v>459</v>
      </c>
      <c r="B4059" s="1" t="s">
        <v>115</v>
      </c>
      <c r="C4059" s="1" t="s">
        <v>11</v>
      </c>
      <c r="D4059" s="5">
        <v>45302.0</v>
      </c>
      <c r="G4059" s="1">
        <f>VLOOKUP(B4059,'old-aw-skill-plan'!A:I,7,FALSE)</f>
        <v>3</v>
      </c>
      <c r="H4059" s="1" t="str">
        <f>VLOOKUP(B4059,'old-aw-skill-plan'!A:I,9,FALSE)</f>
        <v>3-10</v>
      </c>
    </row>
    <row r="4060" ht="15.75" customHeight="1">
      <c r="A4060" s="1" t="s">
        <v>81</v>
      </c>
      <c r="B4060" s="1" t="s">
        <v>308</v>
      </c>
      <c r="C4060" s="1" t="s">
        <v>11</v>
      </c>
      <c r="D4060" s="5">
        <v>45302.0</v>
      </c>
      <c r="G4060" s="1">
        <f>VLOOKUP(B4060,'old-aw-skill-plan'!A:I,7,FALSE)</f>
        <v>4</v>
      </c>
      <c r="H4060" s="1" t="str">
        <f>VLOOKUP(B4060,'old-aw-skill-plan'!A:I,9,FALSE)</f>
        <v>4-9</v>
      </c>
    </row>
    <row r="4061" ht="15.75" customHeight="1">
      <c r="A4061" s="1" t="s">
        <v>421</v>
      </c>
      <c r="B4061" s="1" t="s">
        <v>44</v>
      </c>
      <c r="C4061" s="1" t="s">
        <v>11</v>
      </c>
      <c r="D4061" s="5">
        <v>45302.0</v>
      </c>
      <c r="G4061" s="1">
        <f>VLOOKUP(B4061,'old-aw-skill-plan'!A:I,7,FALSE)</f>
        <v>5</v>
      </c>
      <c r="H4061" s="1" t="str">
        <f>VLOOKUP(B4061,'old-aw-skill-plan'!A:I,9,FALSE)</f>
        <v>5-1</v>
      </c>
    </row>
    <row r="4062" ht="15.75" customHeight="1">
      <c r="A4062" s="1" t="s">
        <v>230</v>
      </c>
      <c r="B4062" s="1" t="s">
        <v>30</v>
      </c>
      <c r="C4062" s="1" t="s">
        <v>11</v>
      </c>
      <c r="D4062" s="5">
        <v>45302.0</v>
      </c>
      <c r="G4062" s="1">
        <f>VLOOKUP(B4062,'old-aw-skill-plan'!A:I,7,FALSE)</f>
        <v>3</v>
      </c>
      <c r="H4062" s="1" t="str">
        <f>VLOOKUP(B4062,'old-aw-skill-plan'!A:I,9,FALSE)</f>
        <v>3-3</v>
      </c>
    </row>
    <row r="4063" ht="15.75" customHeight="1">
      <c r="A4063" s="1" t="s">
        <v>60</v>
      </c>
      <c r="B4063" s="1" t="s">
        <v>34</v>
      </c>
      <c r="C4063" s="1" t="s">
        <v>11</v>
      </c>
      <c r="D4063" s="5">
        <v>45302.0</v>
      </c>
      <c r="G4063" s="1">
        <f>VLOOKUP(B4063,'old-aw-skill-plan'!A:I,7,FALSE)</f>
        <v>4</v>
      </c>
      <c r="H4063" s="1" t="str">
        <f>VLOOKUP(B4063,'old-aw-skill-plan'!A:I,9,FALSE)</f>
        <v>4-1</v>
      </c>
    </row>
    <row r="4064" ht="15.75" customHeight="1">
      <c r="A4064" s="1" t="s">
        <v>428</v>
      </c>
      <c r="B4064" s="1" t="s">
        <v>66</v>
      </c>
      <c r="C4064" s="1" t="s">
        <v>11</v>
      </c>
      <c r="D4064" s="5">
        <v>45302.0</v>
      </c>
      <c r="G4064" s="1">
        <f>VLOOKUP(B4064,'old-aw-skill-plan'!A:I,7,FALSE)</f>
        <v>4</v>
      </c>
      <c r="H4064" s="1" t="str">
        <f>VLOOKUP(B4064,'old-aw-skill-plan'!A:I,9,FALSE)</f>
        <v>4-9</v>
      </c>
    </row>
    <row r="4065" ht="15.75" customHeight="1">
      <c r="A4065" s="1" t="s">
        <v>420</v>
      </c>
      <c r="B4065" s="1" t="s">
        <v>352</v>
      </c>
      <c r="C4065" s="1" t="s">
        <v>11</v>
      </c>
      <c r="D4065" s="5">
        <v>45302.0</v>
      </c>
      <c r="G4065" s="1">
        <f>VLOOKUP(B4065,'old-aw-skill-plan'!A:I,7,FALSE)</f>
        <v>3</v>
      </c>
      <c r="H4065" s="1" t="str">
        <f>VLOOKUP(B4065,'old-aw-skill-plan'!A:I,9,FALSE)</f>
        <v>3-2</v>
      </c>
    </row>
    <row r="4066" ht="15.75" customHeight="1">
      <c r="A4066" s="1" t="s">
        <v>65</v>
      </c>
      <c r="B4066" s="1" t="s">
        <v>34</v>
      </c>
      <c r="C4066" s="1" t="s">
        <v>11</v>
      </c>
      <c r="D4066" s="5">
        <v>45302.0</v>
      </c>
      <c r="G4066" s="1">
        <f>VLOOKUP(B4066,'old-aw-skill-plan'!A:I,7,FALSE)</f>
        <v>4</v>
      </c>
      <c r="H4066" s="1" t="str">
        <f>VLOOKUP(B4066,'old-aw-skill-plan'!A:I,9,FALSE)</f>
        <v>4-1</v>
      </c>
    </row>
    <row r="4067" ht="15.75" customHeight="1">
      <c r="A4067" s="1" t="s">
        <v>275</v>
      </c>
      <c r="B4067" s="1" t="s">
        <v>21</v>
      </c>
      <c r="C4067" s="1" t="s">
        <v>11</v>
      </c>
      <c r="D4067" s="5">
        <v>45302.0</v>
      </c>
      <c r="G4067" s="1">
        <f>VLOOKUP(B4067,'old-aw-skill-plan'!A:I,7,FALSE)</f>
        <v>4</v>
      </c>
      <c r="H4067" s="1" t="str">
        <f>VLOOKUP(B4067,'old-aw-skill-plan'!A:I,9,FALSE)</f>
        <v>4-6</v>
      </c>
    </row>
    <row r="4068" ht="15.75" customHeight="1">
      <c r="A4068" s="1" t="s">
        <v>268</v>
      </c>
      <c r="B4068" s="1" t="s">
        <v>354</v>
      </c>
      <c r="C4068" s="1" t="s">
        <v>11</v>
      </c>
      <c r="D4068" s="5">
        <v>45302.0</v>
      </c>
      <c r="G4068" s="1">
        <f>VLOOKUP(B4068,'old-aw-skill-plan'!A:I,7,FALSE)</f>
        <v>3</v>
      </c>
      <c r="H4068" s="1" t="str">
        <f>VLOOKUP(B4068,'old-aw-skill-plan'!A:I,9,FALSE)</f>
        <v>3-7</v>
      </c>
    </row>
    <row r="4069" ht="15.75" customHeight="1">
      <c r="A4069" s="1" t="s">
        <v>268</v>
      </c>
      <c r="B4069" s="1" t="s">
        <v>350</v>
      </c>
      <c r="C4069" s="1" t="s">
        <v>11</v>
      </c>
      <c r="D4069" s="5">
        <v>45302.0</v>
      </c>
      <c r="G4069" s="1">
        <f>VLOOKUP(B4069,'old-aw-skill-plan'!A:I,7,FALSE)</f>
        <v>3</v>
      </c>
      <c r="H4069" s="1" t="str">
        <f>VLOOKUP(B4069,'old-aw-skill-plan'!A:I,9,FALSE)</f>
        <v>3-6</v>
      </c>
    </row>
    <row r="4070" ht="15.75" customHeight="1">
      <c r="A4070" s="1" t="s">
        <v>461</v>
      </c>
      <c r="B4070" s="1" t="s">
        <v>104</v>
      </c>
      <c r="C4070" s="1" t="s">
        <v>11</v>
      </c>
      <c r="D4070" s="5">
        <v>45302.0</v>
      </c>
      <c r="G4070" s="1">
        <f>VLOOKUP(B4070,'old-aw-skill-plan'!A:I,7,FALSE)</f>
        <v>5</v>
      </c>
      <c r="H4070" s="1" t="str">
        <f>VLOOKUP(B4070,'old-aw-skill-plan'!A:I,9,FALSE)</f>
        <v>5-2</v>
      </c>
    </row>
    <row r="4071" ht="15.75" customHeight="1">
      <c r="A4071" s="1" t="s">
        <v>95</v>
      </c>
      <c r="B4071" s="1" t="s">
        <v>28</v>
      </c>
      <c r="C4071" s="1" t="s">
        <v>11</v>
      </c>
      <c r="D4071" s="5">
        <v>45302.0</v>
      </c>
      <c r="G4071" s="1">
        <f>VLOOKUP(B4071,'old-aw-skill-plan'!A:I,7,FALSE)</f>
        <v>3</v>
      </c>
      <c r="H4071" s="1" t="str">
        <f>VLOOKUP(B4071,'old-aw-skill-plan'!A:I,9,FALSE)</f>
        <v>3-4</v>
      </c>
    </row>
    <row r="4072" ht="15.75" customHeight="1">
      <c r="A4072" s="1" t="s">
        <v>211</v>
      </c>
      <c r="B4072" s="1" t="s">
        <v>47</v>
      </c>
      <c r="C4072" s="1" t="s">
        <v>11</v>
      </c>
      <c r="D4072" s="5">
        <v>45302.0</v>
      </c>
      <c r="G4072" s="1">
        <f>VLOOKUP(B4072,'old-aw-skill-plan'!A:I,7,FALSE)</f>
        <v>3</v>
      </c>
      <c r="H4072" s="1" t="str">
        <f>VLOOKUP(B4072,'old-aw-skill-plan'!A:I,9,FALSE)</f>
        <v>3-2</v>
      </c>
    </row>
    <row r="4073" ht="15.75" customHeight="1">
      <c r="A4073" s="1" t="s">
        <v>197</v>
      </c>
      <c r="B4073" s="1" t="s">
        <v>40</v>
      </c>
      <c r="C4073" s="1" t="s">
        <v>11</v>
      </c>
      <c r="D4073" s="5">
        <v>45302.0</v>
      </c>
      <c r="G4073" s="1">
        <f>VLOOKUP(B4073,'old-aw-skill-plan'!A:I,7,FALSE)</f>
        <v>4</v>
      </c>
      <c r="H4073" s="1" t="str">
        <f>VLOOKUP(B4073,'old-aw-skill-plan'!A:I,9,FALSE)</f>
        <v>4-10</v>
      </c>
    </row>
    <row r="4074" ht="15.75" customHeight="1">
      <c r="A4074" s="1" t="s">
        <v>197</v>
      </c>
      <c r="B4074" s="1" t="s">
        <v>66</v>
      </c>
      <c r="C4074" s="1" t="s">
        <v>11</v>
      </c>
      <c r="D4074" s="5">
        <v>45302.0</v>
      </c>
      <c r="G4074" s="1">
        <f>VLOOKUP(B4074,'old-aw-skill-plan'!A:I,7,FALSE)</f>
        <v>4</v>
      </c>
      <c r="H4074" s="1" t="str">
        <f>VLOOKUP(B4074,'old-aw-skill-plan'!A:I,9,FALSE)</f>
        <v>4-9</v>
      </c>
    </row>
    <row r="4075" ht="15.75" customHeight="1">
      <c r="A4075" s="1" t="s">
        <v>373</v>
      </c>
      <c r="B4075" s="1" t="s">
        <v>28</v>
      </c>
      <c r="C4075" s="1" t="s">
        <v>11</v>
      </c>
      <c r="D4075" s="5">
        <v>45302.0</v>
      </c>
      <c r="G4075" s="1">
        <f>VLOOKUP(B4075,'old-aw-skill-plan'!A:I,7,FALSE)</f>
        <v>3</v>
      </c>
      <c r="H4075" s="1" t="str">
        <f>VLOOKUP(B4075,'old-aw-skill-plan'!A:I,9,FALSE)</f>
        <v>3-4</v>
      </c>
    </row>
    <row r="4076" ht="15.75" customHeight="1">
      <c r="A4076" s="1" t="s">
        <v>462</v>
      </c>
      <c r="B4076" s="1" t="s">
        <v>44</v>
      </c>
      <c r="C4076" s="1" t="s">
        <v>11</v>
      </c>
      <c r="D4076" s="5">
        <v>45302.0</v>
      </c>
      <c r="G4076" s="1">
        <f>VLOOKUP(B4076,'old-aw-skill-plan'!A:I,7,FALSE)</f>
        <v>5</v>
      </c>
      <c r="H4076" s="1" t="str">
        <f>VLOOKUP(B4076,'old-aw-skill-plan'!A:I,9,FALSE)</f>
        <v>5-1</v>
      </c>
    </row>
    <row r="4077" ht="15.75" customHeight="1">
      <c r="A4077" s="1" t="s">
        <v>269</v>
      </c>
      <c r="B4077" s="1" t="s">
        <v>48</v>
      </c>
      <c r="C4077" s="1" t="s">
        <v>11</v>
      </c>
      <c r="D4077" s="5">
        <v>45302.0</v>
      </c>
      <c r="G4077" s="1">
        <f>VLOOKUP(B4077,'old-aw-skill-plan'!A:I,7,FALSE)</f>
        <v>3</v>
      </c>
      <c r="H4077" s="1" t="str">
        <f>VLOOKUP(B4077,'old-aw-skill-plan'!A:I,9,FALSE)</f>
        <v>3-6</v>
      </c>
    </row>
    <row r="4078" ht="15.75" customHeight="1">
      <c r="A4078" s="1" t="s">
        <v>226</v>
      </c>
      <c r="B4078" s="1" t="s">
        <v>10</v>
      </c>
      <c r="C4078" s="1" t="s">
        <v>11</v>
      </c>
      <c r="D4078" s="5">
        <v>45302.0</v>
      </c>
      <c r="G4078" s="1">
        <f>VLOOKUP(B4078,'old-aw-skill-plan'!A:I,7,FALSE)</f>
        <v>3</v>
      </c>
      <c r="H4078" s="1" t="str">
        <f>VLOOKUP(B4078,'old-aw-skill-plan'!A:I,9,FALSE)</f>
        <v>3-1</v>
      </c>
    </row>
    <row r="4079" ht="15.75" customHeight="1">
      <c r="A4079" s="1" t="s">
        <v>265</v>
      </c>
      <c r="B4079" s="1" t="s">
        <v>87</v>
      </c>
      <c r="C4079" s="1" t="s">
        <v>11</v>
      </c>
      <c r="D4079" s="5">
        <v>45302.0</v>
      </c>
      <c r="G4079" s="1">
        <f>VLOOKUP(B4079,'old-aw-skill-plan'!A:I,7,FALSE)</f>
        <v>5</v>
      </c>
      <c r="H4079" s="1" t="str">
        <f>VLOOKUP(B4079,'old-aw-skill-plan'!A:I,9,FALSE)</f>
        <v>5-6</v>
      </c>
    </row>
    <row r="4080" ht="15.75" customHeight="1">
      <c r="A4080" s="1" t="s">
        <v>93</v>
      </c>
      <c r="B4080" s="1" t="s">
        <v>308</v>
      </c>
      <c r="C4080" s="1" t="s">
        <v>11</v>
      </c>
      <c r="D4080" s="5">
        <v>45302.0</v>
      </c>
      <c r="G4080" s="1">
        <f>VLOOKUP(B4080,'old-aw-skill-plan'!A:I,7,FALSE)</f>
        <v>4</v>
      </c>
      <c r="H4080" s="1" t="str">
        <f>VLOOKUP(B4080,'old-aw-skill-plan'!A:I,9,FALSE)</f>
        <v>4-9</v>
      </c>
    </row>
    <row r="4081" ht="15.75" customHeight="1">
      <c r="A4081" s="1" t="s">
        <v>365</v>
      </c>
      <c r="B4081" s="1" t="s">
        <v>34</v>
      </c>
      <c r="C4081" s="1" t="s">
        <v>11</v>
      </c>
      <c r="D4081" s="5">
        <v>45302.0</v>
      </c>
      <c r="G4081" s="1">
        <f>VLOOKUP(B4081,'old-aw-skill-plan'!A:I,7,FALSE)</f>
        <v>4</v>
      </c>
      <c r="H4081" s="1" t="str">
        <f>VLOOKUP(B4081,'old-aw-skill-plan'!A:I,9,FALSE)</f>
        <v>4-1</v>
      </c>
    </row>
    <row r="4082" ht="15.75" customHeight="1">
      <c r="A4082" s="1" t="s">
        <v>94</v>
      </c>
      <c r="B4082" s="1" t="s">
        <v>116</v>
      </c>
      <c r="C4082" s="1" t="s">
        <v>11</v>
      </c>
      <c r="D4082" s="5">
        <v>45302.0</v>
      </c>
      <c r="G4082" s="1">
        <f>VLOOKUP(B4082,'old-aw-skill-plan'!A:I,7,FALSE)</f>
        <v>3</v>
      </c>
      <c r="H4082" s="1" t="str">
        <f>VLOOKUP(B4082,'old-aw-skill-plan'!A:I,9,FALSE)</f>
        <v>3-9</v>
      </c>
    </row>
    <row r="4083" ht="15.75" customHeight="1">
      <c r="A4083" s="1" t="s">
        <v>225</v>
      </c>
      <c r="B4083" s="1" t="s">
        <v>21</v>
      </c>
      <c r="C4083" s="1" t="s">
        <v>11</v>
      </c>
      <c r="D4083" s="5">
        <v>45302.0</v>
      </c>
      <c r="G4083" s="1">
        <f>VLOOKUP(B4083,'old-aw-skill-plan'!A:I,7,FALSE)</f>
        <v>4</v>
      </c>
      <c r="H4083" s="1" t="str">
        <f>VLOOKUP(B4083,'old-aw-skill-plan'!A:I,9,FALSE)</f>
        <v>4-6</v>
      </c>
    </row>
    <row r="4084" ht="15.75" customHeight="1">
      <c r="A4084" s="1" t="s">
        <v>225</v>
      </c>
      <c r="B4084" s="1" t="s">
        <v>382</v>
      </c>
      <c r="C4084" s="1" t="s">
        <v>11</v>
      </c>
      <c r="D4084" s="5">
        <v>45302.0</v>
      </c>
      <c r="G4084" s="1">
        <f>VLOOKUP(B4084,'old-aw-skill-plan'!A:I,7,FALSE)</f>
        <v>4</v>
      </c>
      <c r="H4084" s="1" t="str">
        <f>VLOOKUP(B4084,'old-aw-skill-plan'!A:I,9,FALSE)</f>
        <v>4-3</v>
      </c>
    </row>
    <row r="4085" ht="15.75" customHeight="1">
      <c r="A4085" s="1" t="s">
        <v>427</v>
      </c>
      <c r="B4085" s="1" t="s">
        <v>57</v>
      </c>
      <c r="C4085" s="1" t="s">
        <v>11</v>
      </c>
      <c r="D4085" s="5">
        <v>45302.0</v>
      </c>
      <c r="G4085" s="1">
        <f>VLOOKUP(B4085,'old-aw-skill-plan'!A:I,7,FALSE)</f>
        <v>3</v>
      </c>
      <c r="H4085" s="1" t="str">
        <f>VLOOKUP(B4085,'old-aw-skill-plan'!A:I,9,FALSE)</f>
        <v>3-7</v>
      </c>
    </row>
    <row r="4086" ht="15.75" customHeight="1">
      <c r="A4086" s="1" t="s">
        <v>427</v>
      </c>
      <c r="B4086" s="1" t="s">
        <v>383</v>
      </c>
      <c r="C4086" s="1" t="s">
        <v>11</v>
      </c>
      <c r="D4086" s="5">
        <v>45302.0</v>
      </c>
      <c r="G4086" s="1">
        <f>VLOOKUP(B4086,'old-aw-skill-plan'!A:I,7,FALSE)</f>
        <v>3</v>
      </c>
      <c r="H4086" s="1" t="str">
        <f>VLOOKUP(B4086,'old-aw-skill-plan'!A:I,9,FALSE)</f>
        <v>3-3</v>
      </c>
    </row>
    <row r="4087" ht="15.75" customHeight="1">
      <c r="A4087" s="1" t="s">
        <v>427</v>
      </c>
      <c r="B4087" s="1" t="s">
        <v>356</v>
      </c>
      <c r="C4087" s="1" t="s">
        <v>11</v>
      </c>
      <c r="D4087" s="5">
        <v>45302.0</v>
      </c>
      <c r="G4087" s="1">
        <f>VLOOKUP(B4087,'old-aw-skill-plan'!A:I,7,FALSE)</f>
        <v>3</v>
      </c>
      <c r="H4087" s="1" t="str">
        <f>VLOOKUP(B4087,'old-aw-skill-plan'!A:I,9,FALSE)</f>
        <v>3-2</v>
      </c>
    </row>
    <row r="4088" ht="15.75" customHeight="1">
      <c r="A4088" s="1" t="s">
        <v>110</v>
      </c>
      <c r="B4088" s="1" t="s">
        <v>33</v>
      </c>
      <c r="C4088" s="1" t="s">
        <v>11</v>
      </c>
      <c r="D4088" s="5">
        <v>45302.0</v>
      </c>
      <c r="G4088" s="1">
        <f>VLOOKUP(B4088,'old-aw-skill-plan'!A:I,7,FALSE)</f>
        <v>3</v>
      </c>
      <c r="H4088" s="1" t="str">
        <f>VLOOKUP(B4088,'old-aw-skill-plan'!A:I,9,FALSE)</f>
        <v>3-5</v>
      </c>
    </row>
    <row r="4089" ht="15.75" customHeight="1">
      <c r="A4089" s="1" t="s">
        <v>266</v>
      </c>
      <c r="B4089" s="1" t="s">
        <v>66</v>
      </c>
      <c r="C4089" s="1" t="s">
        <v>11</v>
      </c>
      <c r="D4089" s="5">
        <v>45301.0</v>
      </c>
      <c r="G4089" s="1">
        <f>VLOOKUP(B4089,'old-aw-skill-plan'!A:I,7,FALSE)</f>
        <v>4</v>
      </c>
      <c r="H4089" s="1" t="str">
        <f>VLOOKUP(B4089,'old-aw-skill-plan'!A:I,9,FALSE)</f>
        <v>4-9</v>
      </c>
    </row>
    <row r="4090" ht="15.75" customHeight="1">
      <c r="A4090" s="1" t="s">
        <v>266</v>
      </c>
      <c r="B4090" s="1" t="s">
        <v>19</v>
      </c>
      <c r="C4090" s="1" t="s">
        <v>11</v>
      </c>
      <c r="D4090" s="5">
        <v>45301.0</v>
      </c>
      <c r="G4090" s="1">
        <f>VLOOKUP(B4090,'old-aw-skill-plan'!A:I,7,FALSE)</f>
        <v>4</v>
      </c>
      <c r="H4090" s="1" t="str">
        <f>VLOOKUP(B4090,'old-aw-skill-plan'!A:I,9,FALSE)</f>
        <v>4-7</v>
      </c>
    </row>
    <row r="4091" ht="15.75" customHeight="1">
      <c r="A4091" s="1" t="s">
        <v>266</v>
      </c>
      <c r="B4091" s="1" t="s">
        <v>21</v>
      </c>
      <c r="C4091" s="1" t="s">
        <v>11</v>
      </c>
      <c r="D4091" s="5">
        <v>45301.0</v>
      </c>
      <c r="G4091" s="1">
        <f>VLOOKUP(B4091,'old-aw-skill-plan'!A:I,7,FALSE)</f>
        <v>4</v>
      </c>
      <c r="H4091" s="1" t="str">
        <f>VLOOKUP(B4091,'old-aw-skill-plan'!A:I,9,FALSE)</f>
        <v>4-6</v>
      </c>
    </row>
    <row r="4092" ht="15.75" customHeight="1">
      <c r="A4092" s="1" t="s">
        <v>22</v>
      </c>
      <c r="B4092" s="1" t="s">
        <v>23</v>
      </c>
      <c r="C4092" s="1" t="s">
        <v>11</v>
      </c>
      <c r="D4092" s="5">
        <v>45301.0</v>
      </c>
      <c r="G4092" s="1">
        <f>VLOOKUP(B4092,'old-aw-skill-plan'!A:I,7,FALSE)</f>
        <v>4</v>
      </c>
      <c r="H4092" s="1" t="str">
        <f>VLOOKUP(B4092,'old-aw-skill-plan'!A:I,9,FALSE)</f>
        <v>4-5</v>
      </c>
    </row>
    <row r="4093" ht="15.75" customHeight="1">
      <c r="A4093" s="1" t="s">
        <v>31</v>
      </c>
      <c r="B4093" s="1" t="s">
        <v>10</v>
      </c>
      <c r="C4093" s="1" t="s">
        <v>11</v>
      </c>
      <c r="D4093" s="5">
        <v>45301.0</v>
      </c>
      <c r="G4093" s="1">
        <f>VLOOKUP(B4093,'old-aw-skill-plan'!A:I,7,FALSE)</f>
        <v>3</v>
      </c>
      <c r="H4093" s="1" t="str">
        <f>VLOOKUP(B4093,'old-aw-skill-plan'!A:I,9,FALSE)</f>
        <v>3-1</v>
      </c>
    </row>
    <row r="4094" ht="15.75" customHeight="1">
      <c r="A4094" s="1" t="s">
        <v>216</v>
      </c>
      <c r="B4094" s="1" t="s">
        <v>34</v>
      </c>
      <c r="C4094" s="1" t="s">
        <v>11</v>
      </c>
      <c r="D4094" s="5">
        <v>45301.0</v>
      </c>
      <c r="G4094" s="1">
        <f>VLOOKUP(B4094,'old-aw-skill-plan'!A:I,7,FALSE)</f>
        <v>4</v>
      </c>
      <c r="H4094" s="1" t="str">
        <f>VLOOKUP(B4094,'old-aw-skill-plan'!A:I,9,FALSE)</f>
        <v>4-1</v>
      </c>
    </row>
    <row r="4095" ht="15.75" customHeight="1">
      <c r="A4095" s="1" t="s">
        <v>24</v>
      </c>
      <c r="B4095" s="1" t="s">
        <v>34</v>
      </c>
      <c r="C4095" s="1" t="s">
        <v>11</v>
      </c>
      <c r="D4095" s="5">
        <v>45301.0</v>
      </c>
      <c r="G4095" s="1">
        <f>VLOOKUP(B4095,'old-aw-skill-plan'!A:I,7,FALSE)</f>
        <v>4</v>
      </c>
      <c r="H4095" s="1" t="str">
        <f>VLOOKUP(B4095,'old-aw-skill-plan'!A:I,9,FALSE)</f>
        <v>4-1</v>
      </c>
    </row>
    <row r="4096" ht="15.75" customHeight="1">
      <c r="A4096" s="1" t="s">
        <v>207</v>
      </c>
      <c r="B4096" s="1" t="s">
        <v>44</v>
      </c>
      <c r="C4096" s="1" t="s">
        <v>11</v>
      </c>
      <c r="D4096" s="5">
        <v>45301.0</v>
      </c>
      <c r="G4096" s="1">
        <f>VLOOKUP(B4096,'old-aw-skill-plan'!A:I,7,FALSE)</f>
        <v>5</v>
      </c>
      <c r="H4096" s="1" t="str">
        <f>VLOOKUP(B4096,'old-aw-skill-plan'!A:I,9,FALSE)</f>
        <v>5-1</v>
      </c>
    </row>
    <row r="4097" ht="15.75" customHeight="1">
      <c r="A4097" s="1" t="s">
        <v>213</v>
      </c>
      <c r="B4097" s="1" t="s">
        <v>47</v>
      </c>
      <c r="C4097" s="1" t="s">
        <v>11</v>
      </c>
      <c r="D4097" s="5">
        <v>45301.0</v>
      </c>
      <c r="G4097" s="1">
        <f>VLOOKUP(B4097,'old-aw-skill-plan'!A:I,7,FALSE)</f>
        <v>3</v>
      </c>
      <c r="H4097" s="1" t="str">
        <f>VLOOKUP(B4097,'old-aw-skill-plan'!A:I,9,FALSE)</f>
        <v>3-2</v>
      </c>
    </row>
    <row r="4098" ht="15.75" customHeight="1">
      <c r="A4098" s="1" t="s">
        <v>199</v>
      </c>
      <c r="B4098" s="1" t="s">
        <v>34</v>
      </c>
      <c r="C4098" s="1" t="s">
        <v>11</v>
      </c>
      <c r="D4098" s="5">
        <v>45301.0</v>
      </c>
      <c r="G4098" s="1">
        <f>VLOOKUP(B4098,'old-aw-skill-plan'!A:I,7,FALSE)</f>
        <v>4</v>
      </c>
      <c r="H4098" s="1" t="str">
        <f>VLOOKUP(B4098,'old-aw-skill-plan'!A:I,9,FALSE)</f>
        <v>4-1</v>
      </c>
    </row>
    <row r="4099" ht="15.75" customHeight="1">
      <c r="A4099" s="1" t="s">
        <v>36</v>
      </c>
      <c r="B4099" s="1" t="s">
        <v>28</v>
      </c>
      <c r="C4099" s="1" t="s">
        <v>11</v>
      </c>
      <c r="D4099" s="5">
        <v>45301.0</v>
      </c>
      <c r="G4099" s="1">
        <f>VLOOKUP(B4099,'old-aw-skill-plan'!A:I,7,FALSE)</f>
        <v>3</v>
      </c>
      <c r="H4099" s="1" t="str">
        <f>VLOOKUP(B4099,'old-aw-skill-plan'!A:I,9,FALSE)</f>
        <v>3-4</v>
      </c>
    </row>
    <row r="4100" ht="15.75" customHeight="1">
      <c r="A4100" s="1" t="s">
        <v>220</v>
      </c>
      <c r="B4100" s="1" t="s">
        <v>446</v>
      </c>
      <c r="C4100" s="1" t="s">
        <v>11</v>
      </c>
      <c r="D4100" s="5">
        <v>45301.0</v>
      </c>
      <c r="G4100" s="1">
        <f>VLOOKUP(B4100,'old-aw-skill-plan'!A:I,7,FALSE)</f>
        <v>3</v>
      </c>
      <c r="H4100" s="1" t="str">
        <f>VLOOKUP(B4100,'old-aw-skill-plan'!A:I,9,FALSE)</f>
        <v>3-6</v>
      </c>
    </row>
    <row r="4101" ht="15.75" customHeight="1">
      <c r="A4101" s="1" t="s">
        <v>237</v>
      </c>
      <c r="B4101" s="1" t="s">
        <v>356</v>
      </c>
      <c r="C4101" s="1" t="s">
        <v>11</v>
      </c>
      <c r="D4101" s="5">
        <v>45301.0</v>
      </c>
      <c r="G4101" s="1">
        <f>VLOOKUP(B4101,'old-aw-skill-plan'!A:I,7,FALSE)</f>
        <v>3</v>
      </c>
      <c r="H4101" s="1" t="str">
        <f>VLOOKUP(B4101,'old-aw-skill-plan'!A:I,9,FALSE)</f>
        <v>3-2</v>
      </c>
    </row>
    <row r="4102" ht="15.75" customHeight="1">
      <c r="A4102" s="1" t="s">
        <v>46</v>
      </c>
      <c r="B4102" s="1" t="s">
        <v>47</v>
      </c>
      <c r="C4102" s="1" t="s">
        <v>11</v>
      </c>
      <c r="D4102" s="5">
        <v>45301.0</v>
      </c>
      <c r="G4102" s="1">
        <f>VLOOKUP(B4102,'old-aw-skill-plan'!A:I,7,FALSE)</f>
        <v>3</v>
      </c>
      <c r="H4102" s="1" t="str">
        <f>VLOOKUP(B4102,'old-aw-skill-plan'!A:I,9,FALSE)</f>
        <v>3-2</v>
      </c>
    </row>
    <row r="4103" ht="15.75" customHeight="1">
      <c r="A4103" s="1" t="s">
        <v>459</v>
      </c>
      <c r="B4103" s="1" t="s">
        <v>116</v>
      </c>
      <c r="C4103" s="1" t="s">
        <v>11</v>
      </c>
      <c r="D4103" s="5">
        <v>45301.0</v>
      </c>
      <c r="G4103" s="1">
        <f>VLOOKUP(B4103,'old-aw-skill-plan'!A:I,7,FALSE)</f>
        <v>3</v>
      </c>
      <c r="H4103" s="1" t="str">
        <f>VLOOKUP(B4103,'old-aw-skill-plan'!A:I,9,FALSE)</f>
        <v>3-9</v>
      </c>
    </row>
    <row r="4104" ht="15.75" customHeight="1">
      <c r="A4104" s="1" t="s">
        <v>459</v>
      </c>
      <c r="B4104" s="1" t="s">
        <v>57</v>
      </c>
      <c r="C4104" s="1" t="s">
        <v>11</v>
      </c>
      <c r="D4104" s="5">
        <v>45301.0</v>
      </c>
      <c r="G4104" s="1">
        <f>VLOOKUP(B4104,'old-aw-skill-plan'!A:I,7,FALSE)</f>
        <v>3</v>
      </c>
      <c r="H4104" s="1" t="str">
        <f>VLOOKUP(B4104,'old-aw-skill-plan'!A:I,9,FALSE)</f>
        <v>3-7</v>
      </c>
    </row>
    <row r="4105" ht="15.75" customHeight="1">
      <c r="A4105" s="1" t="s">
        <v>238</v>
      </c>
      <c r="B4105" s="1" t="s">
        <v>48</v>
      </c>
      <c r="C4105" s="1" t="s">
        <v>11</v>
      </c>
      <c r="D4105" s="5">
        <v>45301.0</v>
      </c>
      <c r="G4105" s="1">
        <f>VLOOKUP(B4105,'old-aw-skill-plan'!A:I,7,FALSE)</f>
        <v>3</v>
      </c>
      <c r="H4105" s="1" t="str">
        <f>VLOOKUP(B4105,'old-aw-skill-plan'!A:I,9,FALSE)</f>
        <v>3-6</v>
      </c>
    </row>
    <row r="4106" ht="15.75" customHeight="1">
      <c r="A4106" s="1" t="s">
        <v>81</v>
      </c>
      <c r="B4106" s="1" t="s">
        <v>402</v>
      </c>
      <c r="C4106" s="1" t="s">
        <v>11</v>
      </c>
      <c r="D4106" s="5">
        <v>45301.0</v>
      </c>
      <c r="G4106" s="1">
        <f>VLOOKUP(B4106,'old-aw-skill-plan'!A:I,7,FALSE)</f>
        <v>4</v>
      </c>
      <c r="H4106" s="1" t="str">
        <f>VLOOKUP(B4106,'old-aw-skill-plan'!A:I,9,FALSE)</f>
        <v>4-2</v>
      </c>
    </row>
    <row r="4107" ht="15.75" customHeight="1">
      <c r="A4107" s="1" t="s">
        <v>421</v>
      </c>
      <c r="B4107" s="1" t="s">
        <v>44</v>
      </c>
      <c r="C4107" s="1" t="s">
        <v>11</v>
      </c>
      <c r="D4107" s="5">
        <v>45301.0</v>
      </c>
      <c r="G4107" s="1">
        <f>VLOOKUP(B4107,'old-aw-skill-plan'!A:I,7,FALSE)</f>
        <v>5</v>
      </c>
      <c r="H4107" s="1" t="str">
        <f>VLOOKUP(B4107,'old-aw-skill-plan'!A:I,9,FALSE)</f>
        <v>5-1</v>
      </c>
    </row>
    <row r="4108" ht="15.75" customHeight="1">
      <c r="A4108" s="1" t="s">
        <v>230</v>
      </c>
      <c r="B4108" s="1" t="s">
        <v>356</v>
      </c>
      <c r="C4108" s="1" t="s">
        <v>11</v>
      </c>
      <c r="D4108" s="5">
        <v>45301.0</v>
      </c>
      <c r="G4108" s="1">
        <f>VLOOKUP(B4108,'old-aw-skill-plan'!A:I,7,FALSE)</f>
        <v>3</v>
      </c>
      <c r="H4108" s="1" t="str">
        <f>VLOOKUP(B4108,'old-aw-skill-plan'!A:I,9,FALSE)</f>
        <v>3-2</v>
      </c>
    </row>
    <row r="4109" ht="15.75" customHeight="1">
      <c r="A4109" s="1" t="s">
        <v>428</v>
      </c>
      <c r="B4109" s="1" t="s">
        <v>66</v>
      </c>
      <c r="C4109" s="1" t="s">
        <v>11</v>
      </c>
      <c r="D4109" s="5">
        <v>45301.0</v>
      </c>
      <c r="G4109" s="1">
        <f>VLOOKUP(B4109,'old-aw-skill-plan'!A:I,7,FALSE)</f>
        <v>4</v>
      </c>
      <c r="H4109" s="1" t="str">
        <f>VLOOKUP(B4109,'old-aw-skill-plan'!A:I,9,FALSE)</f>
        <v>4-9</v>
      </c>
    </row>
    <row r="4110" ht="15.75" customHeight="1">
      <c r="A4110" s="1" t="s">
        <v>420</v>
      </c>
      <c r="B4110" s="1" t="s">
        <v>28</v>
      </c>
      <c r="C4110" s="1" t="s">
        <v>11</v>
      </c>
      <c r="D4110" s="5">
        <v>45301.0</v>
      </c>
      <c r="G4110" s="1">
        <f>VLOOKUP(B4110,'old-aw-skill-plan'!A:I,7,FALSE)</f>
        <v>3</v>
      </c>
      <c r="H4110" s="1" t="str">
        <f>VLOOKUP(B4110,'old-aw-skill-plan'!A:I,9,FALSE)</f>
        <v>3-4</v>
      </c>
    </row>
    <row r="4111" ht="15.75" customHeight="1">
      <c r="A4111" s="1" t="s">
        <v>420</v>
      </c>
      <c r="B4111" s="1" t="s">
        <v>57</v>
      </c>
      <c r="C4111" s="1" t="s">
        <v>11</v>
      </c>
      <c r="D4111" s="5">
        <v>45301.0</v>
      </c>
      <c r="G4111" s="1">
        <f>VLOOKUP(B4111,'old-aw-skill-plan'!A:I,7,FALSE)</f>
        <v>3</v>
      </c>
      <c r="H4111" s="1" t="str">
        <f>VLOOKUP(B4111,'old-aw-skill-plan'!A:I,9,FALSE)</f>
        <v>3-7</v>
      </c>
    </row>
    <row r="4112" ht="15.75" customHeight="1">
      <c r="A4112" s="1" t="s">
        <v>420</v>
      </c>
      <c r="B4112" s="1" t="s">
        <v>30</v>
      </c>
      <c r="C4112" s="1" t="s">
        <v>11</v>
      </c>
      <c r="D4112" s="5">
        <v>45301.0</v>
      </c>
      <c r="G4112" s="1">
        <f>VLOOKUP(B4112,'old-aw-skill-plan'!A:I,7,FALSE)</f>
        <v>3</v>
      </c>
      <c r="H4112" s="1" t="str">
        <f>VLOOKUP(B4112,'old-aw-skill-plan'!A:I,9,FALSE)</f>
        <v>3-3</v>
      </c>
    </row>
    <row r="4113" ht="15.75" customHeight="1">
      <c r="A4113" s="1" t="s">
        <v>431</v>
      </c>
      <c r="B4113" s="1" t="s">
        <v>314</v>
      </c>
      <c r="C4113" s="1" t="s">
        <v>11</v>
      </c>
      <c r="D4113" s="5">
        <v>45301.0</v>
      </c>
      <c r="G4113" s="1">
        <f>VLOOKUP(B4113,'old-aw-skill-plan'!A:I,7,FALSE)</f>
        <v>5</v>
      </c>
      <c r="H4113" s="1" t="str">
        <f>VLOOKUP(B4113,'old-aw-skill-plan'!A:I,9,FALSE)</f>
        <v>5-10</v>
      </c>
    </row>
    <row r="4114" ht="15.75" customHeight="1">
      <c r="A4114" s="1" t="s">
        <v>431</v>
      </c>
      <c r="B4114" s="1" t="s">
        <v>44</v>
      </c>
      <c r="C4114" s="1" t="s">
        <v>11</v>
      </c>
      <c r="D4114" s="5">
        <v>45301.0</v>
      </c>
      <c r="G4114" s="1">
        <f>VLOOKUP(B4114,'old-aw-skill-plan'!A:I,7,FALSE)</f>
        <v>5</v>
      </c>
      <c r="H4114" s="1" t="str">
        <f>VLOOKUP(B4114,'old-aw-skill-plan'!A:I,9,FALSE)</f>
        <v>5-1</v>
      </c>
    </row>
    <row r="4115" ht="15.75" customHeight="1">
      <c r="A4115" s="1" t="s">
        <v>431</v>
      </c>
      <c r="B4115" s="1" t="s">
        <v>87</v>
      </c>
      <c r="C4115" s="1" t="s">
        <v>11</v>
      </c>
      <c r="D4115" s="5">
        <v>45301.0</v>
      </c>
      <c r="G4115" s="1">
        <f>VLOOKUP(B4115,'old-aw-skill-plan'!A:I,7,FALSE)</f>
        <v>5</v>
      </c>
      <c r="H4115" s="1" t="str">
        <f>VLOOKUP(B4115,'old-aw-skill-plan'!A:I,9,FALSE)</f>
        <v>5-6</v>
      </c>
    </row>
    <row r="4116" ht="15.75" customHeight="1">
      <c r="A4116" s="1" t="s">
        <v>275</v>
      </c>
      <c r="B4116" s="1" t="s">
        <v>350</v>
      </c>
      <c r="C4116" s="1" t="s">
        <v>11</v>
      </c>
      <c r="D4116" s="5">
        <v>45301.0</v>
      </c>
      <c r="G4116" s="1">
        <f>VLOOKUP(B4116,'old-aw-skill-plan'!A:I,7,FALSE)</f>
        <v>3</v>
      </c>
      <c r="H4116" s="1" t="str">
        <f>VLOOKUP(B4116,'old-aw-skill-plan'!A:I,9,FALSE)</f>
        <v>3-6</v>
      </c>
    </row>
    <row r="4117" ht="15.75" customHeight="1">
      <c r="A4117" s="1" t="s">
        <v>268</v>
      </c>
      <c r="B4117" s="1" t="s">
        <v>446</v>
      </c>
      <c r="C4117" s="1" t="s">
        <v>11</v>
      </c>
      <c r="D4117" s="5">
        <v>45301.0</v>
      </c>
      <c r="G4117" s="1">
        <f>VLOOKUP(B4117,'old-aw-skill-plan'!A:I,7,FALSE)</f>
        <v>3</v>
      </c>
      <c r="H4117" s="1" t="str">
        <f>VLOOKUP(B4117,'old-aw-skill-plan'!A:I,9,FALSE)</f>
        <v>3-6</v>
      </c>
    </row>
    <row r="4118" ht="15.75" customHeight="1">
      <c r="A4118" s="1" t="s">
        <v>95</v>
      </c>
      <c r="B4118" s="1" t="s">
        <v>28</v>
      </c>
      <c r="C4118" s="1" t="s">
        <v>11</v>
      </c>
      <c r="D4118" s="5">
        <v>45301.0</v>
      </c>
      <c r="G4118" s="1">
        <f>VLOOKUP(B4118,'old-aw-skill-plan'!A:I,7,FALSE)</f>
        <v>3</v>
      </c>
      <c r="H4118" s="1" t="str">
        <f>VLOOKUP(B4118,'old-aw-skill-plan'!A:I,9,FALSE)</f>
        <v>3-4</v>
      </c>
    </row>
    <row r="4119" ht="15.75" customHeight="1">
      <c r="A4119" s="1" t="s">
        <v>211</v>
      </c>
      <c r="B4119" s="1" t="s">
        <v>47</v>
      </c>
      <c r="C4119" s="1" t="s">
        <v>11</v>
      </c>
      <c r="D4119" s="5">
        <v>45301.0</v>
      </c>
      <c r="G4119" s="1">
        <f>VLOOKUP(B4119,'old-aw-skill-plan'!A:I,7,FALSE)</f>
        <v>3</v>
      </c>
      <c r="H4119" s="1" t="str">
        <f>VLOOKUP(B4119,'old-aw-skill-plan'!A:I,9,FALSE)</f>
        <v>3-2</v>
      </c>
    </row>
    <row r="4120" ht="15.75" customHeight="1">
      <c r="A4120" s="1" t="s">
        <v>197</v>
      </c>
      <c r="B4120" s="1" t="s">
        <v>66</v>
      </c>
      <c r="C4120" s="1" t="s">
        <v>11</v>
      </c>
      <c r="D4120" s="5">
        <v>45301.0</v>
      </c>
      <c r="G4120" s="1">
        <f>VLOOKUP(B4120,'old-aw-skill-plan'!A:I,7,FALSE)</f>
        <v>4</v>
      </c>
      <c r="H4120" s="1" t="str">
        <f>VLOOKUP(B4120,'old-aw-skill-plan'!A:I,9,FALSE)</f>
        <v>4-9</v>
      </c>
    </row>
    <row r="4121" ht="15.75" customHeight="1">
      <c r="A4121" s="1" t="s">
        <v>373</v>
      </c>
      <c r="B4121" s="1" t="s">
        <v>28</v>
      </c>
      <c r="C4121" s="1" t="s">
        <v>11</v>
      </c>
      <c r="D4121" s="5">
        <v>45301.0</v>
      </c>
      <c r="G4121" s="1">
        <f>VLOOKUP(B4121,'old-aw-skill-plan'!A:I,7,FALSE)</f>
        <v>3</v>
      </c>
      <c r="H4121" s="1" t="str">
        <f>VLOOKUP(B4121,'old-aw-skill-plan'!A:I,9,FALSE)</f>
        <v>3-4</v>
      </c>
    </row>
    <row r="4122" ht="15.75" customHeight="1">
      <c r="A4122" s="1" t="s">
        <v>181</v>
      </c>
      <c r="B4122" s="1" t="s">
        <v>30</v>
      </c>
      <c r="C4122" s="1" t="s">
        <v>11</v>
      </c>
      <c r="D4122" s="5">
        <v>45301.0</v>
      </c>
      <c r="G4122" s="1">
        <f>VLOOKUP(B4122,'old-aw-skill-plan'!A:I,7,FALSE)</f>
        <v>3</v>
      </c>
      <c r="H4122" s="1" t="str">
        <f>VLOOKUP(B4122,'old-aw-skill-plan'!A:I,9,FALSE)</f>
        <v>3-3</v>
      </c>
    </row>
    <row r="4123" ht="15.75" customHeight="1">
      <c r="A4123" s="1" t="s">
        <v>269</v>
      </c>
      <c r="B4123" s="1" t="s">
        <v>33</v>
      </c>
      <c r="C4123" s="1" t="s">
        <v>11</v>
      </c>
      <c r="D4123" s="5">
        <v>45301.0</v>
      </c>
      <c r="G4123" s="1">
        <f>VLOOKUP(B4123,'old-aw-skill-plan'!A:I,7,FALSE)</f>
        <v>3</v>
      </c>
      <c r="H4123" s="1" t="str">
        <f>VLOOKUP(B4123,'old-aw-skill-plan'!A:I,9,FALSE)</f>
        <v>3-5</v>
      </c>
    </row>
    <row r="4124" ht="15.75" customHeight="1">
      <c r="A4124" s="1" t="s">
        <v>93</v>
      </c>
      <c r="B4124" s="1" t="s">
        <v>40</v>
      </c>
      <c r="C4124" s="1" t="s">
        <v>11</v>
      </c>
      <c r="D4124" s="5">
        <v>45301.0</v>
      </c>
      <c r="G4124" s="1">
        <f>VLOOKUP(B4124,'old-aw-skill-plan'!A:I,7,FALSE)</f>
        <v>4</v>
      </c>
      <c r="H4124" s="1" t="str">
        <f>VLOOKUP(B4124,'old-aw-skill-plan'!A:I,9,FALSE)</f>
        <v>4-10</v>
      </c>
    </row>
    <row r="4125" ht="15.75" customHeight="1">
      <c r="A4125" s="1" t="s">
        <v>93</v>
      </c>
      <c r="B4125" s="1" t="s">
        <v>308</v>
      </c>
      <c r="C4125" s="1" t="s">
        <v>11</v>
      </c>
      <c r="D4125" s="5">
        <v>45301.0</v>
      </c>
      <c r="G4125" s="1">
        <f>VLOOKUP(B4125,'old-aw-skill-plan'!A:I,7,FALSE)</f>
        <v>4</v>
      </c>
      <c r="H4125" s="1" t="str">
        <f>VLOOKUP(B4125,'old-aw-skill-plan'!A:I,9,FALSE)</f>
        <v>4-9</v>
      </c>
    </row>
    <row r="4126" ht="15.75" customHeight="1">
      <c r="A4126" s="1" t="s">
        <v>94</v>
      </c>
      <c r="B4126" s="1" t="s">
        <v>116</v>
      </c>
      <c r="C4126" s="1" t="s">
        <v>11</v>
      </c>
      <c r="D4126" s="5">
        <v>45301.0</v>
      </c>
      <c r="G4126" s="1">
        <f>VLOOKUP(B4126,'old-aw-skill-plan'!A:I,7,FALSE)</f>
        <v>3</v>
      </c>
      <c r="H4126" s="1" t="str">
        <f>VLOOKUP(B4126,'old-aw-skill-plan'!A:I,9,FALSE)</f>
        <v>3-9</v>
      </c>
    </row>
    <row r="4127" ht="15.75" customHeight="1">
      <c r="A4127" s="1" t="s">
        <v>225</v>
      </c>
      <c r="B4127" s="1" t="s">
        <v>21</v>
      </c>
      <c r="C4127" s="1" t="s">
        <v>11</v>
      </c>
      <c r="D4127" s="5">
        <v>45301.0</v>
      </c>
      <c r="G4127" s="1">
        <f>VLOOKUP(B4127,'old-aw-skill-plan'!A:I,7,FALSE)</f>
        <v>4</v>
      </c>
      <c r="H4127" s="1" t="str">
        <f>VLOOKUP(B4127,'old-aw-skill-plan'!A:I,9,FALSE)</f>
        <v>4-6</v>
      </c>
    </row>
    <row r="4128" ht="15.75" customHeight="1">
      <c r="A4128" s="1" t="s">
        <v>225</v>
      </c>
      <c r="B4128" s="1" t="s">
        <v>320</v>
      </c>
      <c r="C4128" s="1" t="s">
        <v>11</v>
      </c>
      <c r="D4128" s="5">
        <v>45301.0</v>
      </c>
      <c r="G4128" s="1">
        <f>VLOOKUP(B4128,'old-aw-skill-plan'!A:I,7,FALSE)</f>
        <v>4</v>
      </c>
      <c r="H4128" s="1" t="str">
        <f>VLOOKUP(B4128,'old-aw-skill-plan'!A:I,9,FALSE)</f>
        <v>4-2</v>
      </c>
    </row>
    <row r="4129" ht="15.75" customHeight="1">
      <c r="A4129" s="1" t="s">
        <v>427</v>
      </c>
      <c r="B4129" s="1" t="s">
        <v>356</v>
      </c>
      <c r="C4129" s="1" t="s">
        <v>11</v>
      </c>
      <c r="D4129" s="5">
        <v>45301.0</v>
      </c>
      <c r="G4129" s="1">
        <f>VLOOKUP(B4129,'old-aw-skill-plan'!A:I,7,FALSE)</f>
        <v>3</v>
      </c>
      <c r="H4129" s="1" t="str">
        <f>VLOOKUP(B4129,'old-aw-skill-plan'!A:I,9,FALSE)</f>
        <v>3-2</v>
      </c>
    </row>
    <row r="4130" ht="15.75" customHeight="1">
      <c r="A4130" s="1" t="s">
        <v>110</v>
      </c>
      <c r="B4130" s="1" t="s">
        <v>28</v>
      </c>
      <c r="C4130" s="1" t="s">
        <v>11</v>
      </c>
      <c r="D4130" s="5">
        <v>45301.0</v>
      </c>
      <c r="G4130" s="1">
        <f>VLOOKUP(B4130,'old-aw-skill-plan'!A:I,7,FALSE)</f>
        <v>3</v>
      </c>
      <c r="H4130" s="1" t="str">
        <f>VLOOKUP(B4130,'old-aw-skill-plan'!A:I,9,FALSE)</f>
        <v>3-4</v>
      </c>
    </row>
    <row r="4131" ht="15.75" customHeight="1">
      <c r="A4131" s="1" t="s">
        <v>22</v>
      </c>
      <c r="B4131" s="1" t="s">
        <v>23</v>
      </c>
      <c r="C4131" s="1" t="s">
        <v>11</v>
      </c>
      <c r="D4131" s="5">
        <v>45300.0</v>
      </c>
      <c r="G4131" s="1">
        <f>VLOOKUP(B4131,'old-aw-skill-plan'!A:I,7,FALSE)</f>
        <v>4</v>
      </c>
      <c r="H4131" s="1" t="str">
        <f>VLOOKUP(B4131,'old-aw-skill-plan'!A:I,9,FALSE)</f>
        <v>4-5</v>
      </c>
    </row>
    <row r="4132" ht="15.75" customHeight="1">
      <c r="A4132" s="1" t="s">
        <v>31</v>
      </c>
      <c r="B4132" s="1" t="s">
        <v>10</v>
      </c>
      <c r="C4132" s="1" t="s">
        <v>11</v>
      </c>
      <c r="D4132" s="5">
        <v>45300.0</v>
      </c>
      <c r="G4132" s="1">
        <f>VLOOKUP(B4132,'old-aw-skill-plan'!A:I,7,FALSE)</f>
        <v>3</v>
      </c>
      <c r="H4132" s="1" t="str">
        <f>VLOOKUP(B4132,'old-aw-skill-plan'!A:I,9,FALSE)</f>
        <v>3-1</v>
      </c>
    </row>
    <row r="4133" ht="15.75" customHeight="1">
      <c r="A4133" s="1" t="s">
        <v>216</v>
      </c>
      <c r="B4133" s="1" t="s">
        <v>34</v>
      </c>
      <c r="C4133" s="1" t="s">
        <v>11</v>
      </c>
      <c r="D4133" s="5">
        <v>45300.0</v>
      </c>
      <c r="G4133" s="1">
        <f>VLOOKUP(B4133,'old-aw-skill-plan'!A:I,7,FALSE)</f>
        <v>4</v>
      </c>
      <c r="H4133" s="1" t="str">
        <f>VLOOKUP(B4133,'old-aw-skill-plan'!A:I,9,FALSE)</f>
        <v>4-1</v>
      </c>
    </row>
    <row r="4134" ht="15.75" customHeight="1">
      <c r="A4134" s="1" t="s">
        <v>35</v>
      </c>
      <c r="B4134" s="1" t="s">
        <v>19</v>
      </c>
      <c r="C4134" s="1" t="s">
        <v>11</v>
      </c>
      <c r="D4134" s="5">
        <v>45300.0</v>
      </c>
      <c r="G4134" s="1">
        <f>VLOOKUP(B4134,'old-aw-skill-plan'!A:I,7,FALSE)</f>
        <v>4</v>
      </c>
      <c r="H4134" s="1" t="str">
        <f>VLOOKUP(B4134,'old-aw-skill-plan'!A:I,9,FALSE)</f>
        <v>4-7</v>
      </c>
    </row>
    <row r="4135" ht="15.75" customHeight="1">
      <c r="A4135" s="1" t="s">
        <v>35</v>
      </c>
      <c r="B4135" s="1" t="s">
        <v>309</v>
      </c>
      <c r="C4135" s="1" t="s">
        <v>11</v>
      </c>
      <c r="D4135" s="5">
        <v>45300.0</v>
      </c>
      <c r="G4135" s="1">
        <f>VLOOKUP(B4135,'old-aw-skill-plan'!A:I,7,FALSE)</f>
        <v>4</v>
      </c>
      <c r="H4135" s="1" t="str">
        <f>VLOOKUP(B4135,'old-aw-skill-plan'!A:I,9,FALSE)</f>
        <v>4-1</v>
      </c>
    </row>
    <row r="4136" ht="15.75" customHeight="1">
      <c r="A4136" s="1" t="s">
        <v>24</v>
      </c>
      <c r="B4136" s="1" t="s">
        <v>34</v>
      </c>
      <c r="C4136" s="1" t="s">
        <v>11</v>
      </c>
      <c r="D4136" s="5">
        <v>45300.0</v>
      </c>
      <c r="G4136" s="1">
        <f>VLOOKUP(B4136,'old-aw-skill-plan'!A:I,7,FALSE)</f>
        <v>4</v>
      </c>
      <c r="H4136" s="1" t="str">
        <f>VLOOKUP(B4136,'old-aw-skill-plan'!A:I,9,FALSE)</f>
        <v>4-1</v>
      </c>
    </row>
    <row r="4137" ht="15.75" customHeight="1">
      <c r="A4137" s="1" t="s">
        <v>199</v>
      </c>
      <c r="B4137" s="1" t="s">
        <v>34</v>
      </c>
      <c r="C4137" s="1" t="s">
        <v>11</v>
      </c>
      <c r="D4137" s="5">
        <v>45300.0</v>
      </c>
      <c r="G4137" s="1">
        <f>VLOOKUP(B4137,'old-aw-skill-plan'!A:I,7,FALSE)</f>
        <v>4</v>
      </c>
      <c r="H4137" s="1" t="str">
        <f>VLOOKUP(B4137,'old-aw-skill-plan'!A:I,9,FALSE)</f>
        <v>4-1</v>
      </c>
    </row>
    <row r="4138" ht="15.75" customHeight="1">
      <c r="A4138" s="1" t="s">
        <v>36</v>
      </c>
      <c r="B4138" s="1" t="s">
        <v>28</v>
      </c>
      <c r="C4138" s="1" t="s">
        <v>11</v>
      </c>
      <c r="D4138" s="5">
        <v>45300.0</v>
      </c>
      <c r="G4138" s="1">
        <f>VLOOKUP(B4138,'old-aw-skill-plan'!A:I,7,FALSE)</f>
        <v>3</v>
      </c>
      <c r="H4138" s="1" t="str">
        <f>VLOOKUP(B4138,'old-aw-skill-plan'!A:I,9,FALSE)</f>
        <v>3-4</v>
      </c>
    </row>
    <row r="4139" ht="15.75" customHeight="1">
      <c r="A4139" s="1" t="s">
        <v>452</v>
      </c>
      <c r="B4139" s="1" t="s">
        <v>44</v>
      </c>
      <c r="C4139" s="1" t="s">
        <v>11</v>
      </c>
      <c r="D4139" s="5">
        <v>45300.0</v>
      </c>
      <c r="G4139" s="1">
        <f>VLOOKUP(B4139,'old-aw-skill-plan'!A:I,7,FALSE)</f>
        <v>5</v>
      </c>
      <c r="H4139" s="1" t="str">
        <f>VLOOKUP(B4139,'old-aw-skill-plan'!A:I,9,FALSE)</f>
        <v>5-1</v>
      </c>
    </row>
    <row r="4140" ht="15.75" customHeight="1">
      <c r="A4140" s="1" t="s">
        <v>460</v>
      </c>
      <c r="B4140" s="1" t="s">
        <v>44</v>
      </c>
      <c r="C4140" s="1" t="s">
        <v>11</v>
      </c>
      <c r="D4140" s="5">
        <v>45300.0</v>
      </c>
      <c r="G4140" s="1">
        <f>VLOOKUP(B4140,'old-aw-skill-plan'!A:I,7,FALSE)</f>
        <v>5</v>
      </c>
      <c r="H4140" s="1" t="str">
        <f>VLOOKUP(B4140,'old-aw-skill-plan'!A:I,9,FALSE)</f>
        <v>5-1</v>
      </c>
    </row>
    <row r="4141" ht="15.75" customHeight="1">
      <c r="A4141" s="1" t="s">
        <v>39</v>
      </c>
      <c r="B4141" s="1" t="s">
        <v>34</v>
      </c>
      <c r="C4141" s="1" t="s">
        <v>11</v>
      </c>
      <c r="D4141" s="5">
        <v>45300.0</v>
      </c>
      <c r="G4141" s="1">
        <f>VLOOKUP(B4141,'old-aw-skill-plan'!A:I,7,FALSE)</f>
        <v>4</v>
      </c>
      <c r="H4141" s="1" t="str">
        <f>VLOOKUP(B4141,'old-aw-skill-plan'!A:I,9,FALSE)</f>
        <v>4-1</v>
      </c>
    </row>
    <row r="4142" ht="15.75" customHeight="1">
      <c r="A4142" s="1" t="s">
        <v>220</v>
      </c>
      <c r="B4142" s="1" t="s">
        <v>446</v>
      </c>
      <c r="C4142" s="1" t="s">
        <v>11</v>
      </c>
      <c r="D4142" s="5">
        <v>45300.0</v>
      </c>
      <c r="G4142" s="1">
        <f>VLOOKUP(B4142,'old-aw-skill-plan'!A:I,7,FALSE)</f>
        <v>3</v>
      </c>
      <c r="H4142" s="1" t="str">
        <f>VLOOKUP(B4142,'old-aw-skill-plan'!A:I,9,FALSE)</f>
        <v>3-6</v>
      </c>
    </row>
    <row r="4143" ht="15.75" customHeight="1">
      <c r="A4143" s="1" t="s">
        <v>237</v>
      </c>
      <c r="B4143" s="1" t="s">
        <v>48</v>
      </c>
      <c r="C4143" s="1" t="s">
        <v>11</v>
      </c>
      <c r="D4143" s="5">
        <v>45300.0</v>
      </c>
      <c r="G4143" s="1">
        <f>VLOOKUP(B4143,'old-aw-skill-plan'!A:I,7,FALSE)</f>
        <v>3</v>
      </c>
      <c r="H4143" s="1" t="str">
        <f>VLOOKUP(B4143,'old-aw-skill-plan'!A:I,9,FALSE)</f>
        <v>3-6</v>
      </c>
    </row>
    <row r="4144" ht="15.75" customHeight="1">
      <c r="A4144" s="1" t="s">
        <v>46</v>
      </c>
      <c r="B4144" s="1" t="s">
        <v>47</v>
      </c>
      <c r="C4144" s="1" t="s">
        <v>11</v>
      </c>
      <c r="D4144" s="5">
        <v>45300.0</v>
      </c>
      <c r="G4144" s="1">
        <f>VLOOKUP(B4144,'old-aw-skill-plan'!A:I,7,FALSE)</f>
        <v>3</v>
      </c>
      <c r="H4144" s="1" t="str">
        <f>VLOOKUP(B4144,'old-aw-skill-plan'!A:I,9,FALSE)</f>
        <v>3-2</v>
      </c>
    </row>
    <row r="4145" ht="15.75" customHeight="1">
      <c r="A4145" s="1" t="s">
        <v>238</v>
      </c>
      <c r="B4145" s="1" t="s">
        <v>383</v>
      </c>
      <c r="C4145" s="1" t="s">
        <v>11</v>
      </c>
      <c r="D4145" s="5">
        <v>45300.0</v>
      </c>
      <c r="G4145" s="1">
        <f>VLOOKUP(B4145,'old-aw-skill-plan'!A:I,7,FALSE)</f>
        <v>3</v>
      </c>
      <c r="H4145" s="1" t="str">
        <f>VLOOKUP(B4145,'old-aw-skill-plan'!A:I,9,FALSE)</f>
        <v>3-3</v>
      </c>
    </row>
    <row r="4146" ht="15.75" customHeight="1">
      <c r="A4146" s="1" t="s">
        <v>81</v>
      </c>
      <c r="B4146" s="1" t="s">
        <v>308</v>
      </c>
      <c r="C4146" s="1" t="s">
        <v>11</v>
      </c>
      <c r="D4146" s="5">
        <v>45300.0</v>
      </c>
      <c r="G4146" s="1">
        <f>VLOOKUP(B4146,'old-aw-skill-plan'!A:I,7,FALSE)</f>
        <v>4</v>
      </c>
      <c r="H4146" s="1" t="str">
        <f>VLOOKUP(B4146,'old-aw-skill-plan'!A:I,9,FALSE)</f>
        <v>4-9</v>
      </c>
    </row>
    <row r="4147" ht="15.75" customHeight="1">
      <c r="A4147" s="1" t="s">
        <v>60</v>
      </c>
      <c r="B4147" s="1" t="s">
        <v>34</v>
      </c>
      <c r="C4147" s="1" t="s">
        <v>11</v>
      </c>
      <c r="D4147" s="5">
        <v>45300.0</v>
      </c>
      <c r="G4147" s="1">
        <f>VLOOKUP(B4147,'old-aw-skill-plan'!A:I,7,FALSE)</f>
        <v>4</v>
      </c>
      <c r="H4147" s="1" t="str">
        <f>VLOOKUP(B4147,'old-aw-skill-plan'!A:I,9,FALSE)</f>
        <v>4-1</v>
      </c>
    </row>
    <row r="4148" ht="15.75" customHeight="1">
      <c r="A4148" s="1" t="s">
        <v>428</v>
      </c>
      <c r="B4148" s="1" t="s">
        <v>66</v>
      </c>
      <c r="C4148" s="1" t="s">
        <v>11</v>
      </c>
      <c r="D4148" s="5">
        <v>45300.0</v>
      </c>
      <c r="G4148" s="1">
        <f>VLOOKUP(B4148,'old-aw-skill-plan'!A:I,7,FALSE)</f>
        <v>4</v>
      </c>
      <c r="H4148" s="1" t="str">
        <f>VLOOKUP(B4148,'old-aw-skill-plan'!A:I,9,FALSE)</f>
        <v>4-9</v>
      </c>
    </row>
    <row r="4149" ht="15.75" customHeight="1">
      <c r="A4149" s="1" t="s">
        <v>420</v>
      </c>
      <c r="B4149" s="1" t="s">
        <v>10</v>
      </c>
      <c r="C4149" s="1" t="s">
        <v>11</v>
      </c>
      <c r="D4149" s="5">
        <v>45300.0</v>
      </c>
      <c r="G4149" s="1">
        <f>VLOOKUP(B4149,'old-aw-skill-plan'!A:I,7,FALSE)</f>
        <v>3</v>
      </c>
      <c r="H4149" s="1" t="str">
        <f>VLOOKUP(B4149,'old-aw-skill-plan'!A:I,9,FALSE)</f>
        <v>3-1</v>
      </c>
    </row>
    <row r="4150" ht="15.75" customHeight="1">
      <c r="A4150" s="1" t="s">
        <v>65</v>
      </c>
      <c r="B4150" s="1" t="s">
        <v>34</v>
      </c>
      <c r="C4150" s="1" t="s">
        <v>11</v>
      </c>
      <c r="D4150" s="5">
        <v>45300.0</v>
      </c>
      <c r="G4150" s="1">
        <f>VLOOKUP(B4150,'old-aw-skill-plan'!A:I,7,FALSE)</f>
        <v>4</v>
      </c>
      <c r="H4150" s="1" t="str">
        <f>VLOOKUP(B4150,'old-aw-skill-plan'!A:I,9,FALSE)</f>
        <v>4-1</v>
      </c>
    </row>
    <row r="4151" ht="15.75" customHeight="1">
      <c r="A4151" s="1" t="s">
        <v>275</v>
      </c>
      <c r="B4151" s="1" t="s">
        <v>446</v>
      </c>
      <c r="C4151" s="1" t="s">
        <v>11</v>
      </c>
      <c r="D4151" s="5">
        <v>45300.0</v>
      </c>
      <c r="G4151" s="1">
        <f>VLOOKUP(B4151,'old-aw-skill-plan'!A:I,7,FALSE)</f>
        <v>3</v>
      </c>
      <c r="H4151" s="1" t="str">
        <f>VLOOKUP(B4151,'old-aw-skill-plan'!A:I,9,FALSE)</f>
        <v>3-6</v>
      </c>
    </row>
    <row r="4152" ht="15.75" customHeight="1">
      <c r="A4152" s="1" t="s">
        <v>268</v>
      </c>
      <c r="B4152" s="1" t="s">
        <v>28</v>
      </c>
      <c r="C4152" s="1" t="s">
        <v>11</v>
      </c>
      <c r="D4152" s="5">
        <v>45300.0</v>
      </c>
      <c r="G4152" s="1">
        <f>VLOOKUP(B4152,'old-aw-skill-plan'!A:I,7,FALSE)</f>
        <v>3</v>
      </c>
      <c r="H4152" s="1" t="str">
        <f>VLOOKUP(B4152,'old-aw-skill-plan'!A:I,9,FALSE)</f>
        <v>3-4</v>
      </c>
    </row>
    <row r="4153" ht="15.75" customHeight="1">
      <c r="A4153" s="1" t="s">
        <v>461</v>
      </c>
      <c r="B4153" s="1" t="s">
        <v>104</v>
      </c>
      <c r="C4153" s="1" t="s">
        <v>11</v>
      </c>
      <c r="D4153" s="5">
        <v>45300.0</v>
      </c>
      <c r="G4153" s="1">
        <f>VLOOKUP(B4153,'old-aw-skill-plan'!A:I,7,FALSE)</f>
        <v>5</v>
      </c>
      <c r="H4153" s="1" t="str">
        <f>VLOOKUP(B4153,'old-aw-skill-plan'!A:I,9,FALSE)</f>
        <v>5-2</v>
      </c>
    </row>
    <row r="4154" ht="15.75" customHeight="1">
      <c r="A4154" s="1" t="s">
        <v>214</v>
      </c>
      <c r="B4154" s="1" t="s">
        <v>30</v>
      </c>
      <c r="C4154" s="1" t="s">
        <v>11</v>
      </c>
      <c r="D4154" s="5">
        <v>45300.0</v>
      </c>
      <c r="G4154" s="1">
        <f>VLOOKUP(B4154,'old-aw-skill-plan'!A:I,7,FALSE)</f>
        <v>3</v>
      </c>
      <c r="H4154" s="1" t="str">
        <f>VLOOKUP(B4154,'old-aw-skill-plan'!A:I,9,FALSE)</f>
        <v>3-3</v>
      </c>
    </row>
    <row r="4155" ht="15.75" customHeight="1">
      <c r="A4155" s="1" t="s">
        <v>211</v>
      </c>
      <c r="B4155" s="1" t="s">
        <v>47</v>
      </c>
      <c r="C4155" s="1" t="s">
        <v>11</v>
      </c>
      <c r="D4155" s="5">
        <v>45300.0</v>
      </c>
      <c r="G4155" s="1">
        <f>VLOOKUP(B4155,'old-aw-skill-plan'!A:I,7,FALSE)</f>
        <v>3</v>
      </c>
      <c r="H4155" s="1" t="str">
        <f>VLOOKUP(B4155,'old-aw-skill-plan'!A:I,9,FALSE)</f>
        <v>3-2</v>
      </c>
    </row>
    <row r="4156" ht="15.75" customHeight="1">
      <c r="A4156" s="1" t="s">
        <v>422</v>
      </c>
      <c r="B4156" s="1" t="s">
        <v>34</v>
      </c>
      <c r="C4156" s="1" t="s">
        <v>11</v>
      </c>
      <c r="D4156" s="5">
        <v>45300.0</v>
      </c>
      <c r="G4156" s="1">
        <f>VLOOKUP(B4156,'old-aw-skill-plan'!A:I,7,FALSE)</f>
        <v>4</v>
      </c>
      <c r="H4156" s="1" t="str">
        <f>VLOOKUP(B4156,'old-aw-skill-plan'!A:I,9,FALSE)</f>
        <v>4-1</v>
      </c>
    </row>
    <row r="4157" ht="15.75" customHeight="1">
      <c r="A4157" s="1" t="s">
        <v>197</v>
      </c>
      <c r="B4157" s="1" t="s">
        <v>66</v>
      </c>
      <c r="C4157" s="1" t="s">
        <v>11</v>
      </c>
      <c r="D4157" s="5">
        <v>45300.0</v>
      </c>
      <c r="G4157" s="1">
        <f>VLOOKUP(B4157,'old-aw-skill-plan'!A:I,7,FALSE)</f>
        <v>4</v>
      </c>
      <c r="H4157" s="1" t="str">
        <f>VLOOKUP(B4157,'old-aw-skill-plan'!A:I,9,FALSE)</f>
        <v>4-9</v>
      </c>
    </row>
    <row r="4158" ht="15.75" customHeight="1">
      <c r="A4158" s="1" t="s">
        <v>462</v>
      </c>
      <c r="B4158" s="1" t="s">
        <v>44</v>
      </c>
      <c r="C4158" s="1" t="s">
        <v>11</v>
      </c>
      <c r="D4158" s="5">
        <v>45300.0</v>
      </c>
      <c r="G4158" s="1">
        <f>VLOOKUP(B4158,'old-aw-skill-plan'!A:I,7,FALSE)</f>
        <v>5</v>
      </c>
      <c r="H4158" s="1" t="str">
        <f>VLOOKUP(B4158,'old-aw-skill-plan'!A:I,9,FALSE)</f>
        <v>5-1</v>
      </c>
    </row>
    <row r="4159" ht="15.75" customHeight="1">
      <c r="A4159" s="1" t="s">
        <v>181</v>
      </c>
      <c r="B4159" s="1" t="s">
        <v>10</v>
      </c>
      <c r="C4159" s="1" t="s">
        <v>11</v>
      </c>
      <c r="D4159" s="5">
        <v>45300.0</v>
      </c>
      <c r="G4159" s="1">
        <f>VLOOKUP(B4159,'old-aw-skill-plan'!A:I,7,FALSE)</f>
        <v>3</v>
      </c>
      <c r="H4159" s="1" t="str">
        <f>VLOOKUP(B4159,'old-aw-skill-plan'!A:I,9,FALSE)</f>
        <v>3-1</v>
      </c>
    </row>
    <row r="4160" ht="15.75" customHeight="1">
      <c r="A4160" s="1" t="s">
        <v>269</v>
      </c>
      <c r="B4160" s="1" t="s">
        <v>33</v>
      </c>
      <c r="C4160" s="1" t="s">
        <v>11</v>
      </c>
      <c r="D4160" s="5">
        <v>45300.0</v>
      </c>
      <c r="G4160" s="1">
        <f>VLOOKUP(B4160,'old-aw-skill-plan'!A:I,7,FALSE)</f>
        <v>3</v>
      </c>
      <c r="H4160" s="1" t="str">
        <f>VLOOKUP(B4160,'old-aw-skill-plan'!A:I,9,FALSE)</f>
        <v>3-5</v>
      </c>
    </row>
    <row r="4161" ht="15.75" customHeight="1">
      <c r="A4161" s="1" t="s">
        <v>265</v>
      </c>
      <c r="B4161" s="1" t="s">
        <v>25</v>
      </c>
      <c r="C4161" s="1" t="s">
        <v>11</v>
      </c>
      <c r="D4161" s="5">
        <v>45300.0</v>
      </c>
      <c r="G4161" s="1">
        <f>VLOOKUP(B4161,'old-aw-skill-plan'!A:I,7,FALSE)</f>
        <v>5</v>
      </c>
      <c r="H4161" s="1" t="str">
        <f>VLOOKUP(B4161,'old-aw-skill-plan'!A:I,9,FALSE)</f>
        <v>5-4</v>
      </c>
    </row>
    <row r="4162" ht="15.75" customHeight="1">
      <c r="A4162" s="1" t="s">
        <v>265</v>
      </c>
      <c r="B4162" s="1" t="s">
        <v>87</v>
      </c>
      <c r="C4162" s="1" t="s">
        <v>11</v>
      </c>
      <c r="D4162" s="5">
        <v>45300.0</v>
      </c>
      <c r="G4162" s="1">
        <f>VLOOKUP(B4162,'old-aw-skill-plan'!A:I,7,FALSE)</f>
        <v>5</v>
      </c>
      <c r="H4162" s="1" t="str">
        <f>VLOOKUP(B4162,'old-aw-skill-plan'!A:I,9,FALSE)</f>
        <v>5-6</v>
      </c>
    </row>
    <row r="4163" ht="15.75" customHeight="1">
      <c r="A4163" s="1" t="s">
        <v>93</v>
      </c>
      <c r="B4163" s="1" t="s">
        <v>405</v>
      </c>
      <c r="C4163" s="1" t="s">
        <v>11</v>
      </c>
      <c r="D4163" s="5">
        <v>45300.0</v>
      </c>
      <c r="G4163" s="1">
        <f>VLOOKUP(B4163,'old-aw-skill-plan'!A:I,7,FALSE)</f>
        <v>3</v>
      </c>
      <c r="H4163" s="1" t="str">
        <f>VLOOKUP(B4163,'old-aw-skill-plan'!A:I,9,FALSE)</f>
        <v>3-9</v>
      </c>
    </row>
    <row r="4164" ht="15.75" customHeight="1">
      <c r="A4164" s="1" t="s">
        <v>94</v>
      </c>
      <c r="B4164" s="1" t="s">
        <v>116</v>
      </c>
      <c r="C4164" s="1" t="s">
        <v>11</v>
      </c>
      <c r="D4164" s="5">
        <v>45300.0</v>
      </c>
      <c r="G4164" s="1">
        <f>VLOOKUP(B4164,'old-aw-skill-plan'!A:I,7,FALSE)</f>
        <v>3</v>
      </c>
      <c r="H4164" s="1" t="str">
        <f>VLOOKUP(B4164,'old-aw-skill-plan'!A:I,9,FALSE)</f>
        <v>3-9</v>
      </c>
    </row>
    <row r="4165" ht="15.75" customHeight="1">
      <c r="A4165" s="1" t="s">
        <v>225</v>
      </c>
      <c r="B4165" s="1" t="s">
        <v>21</v>
      </c>
      <c r="C4165" s="1" t="s">
        <v>11</v>
      </c>
      <c r="D4165" s="5">
        <v>45300.0</v>
      </c>
      <c r="G4165" s="1">
        <f>VLOOKUP(B4165,'old-aw-skill-plan'!A:I,7,FALSE)</f>
        <v>4</v>
      </c>
      <c r="H4165" s="1" t="str">
        <f>VLOOKUP(B4165,'old-aw-skill-plan'!A:I,9,FALSE)</f>
        <v>4-6</v>
      </c>
    </row>
    <row r="4166" ht="15.75" customHeight="1">
      <c r="A4166" s="1" t="s">
        <v>225</v>
      </c>
      <c r="B4166" s="1" t="s">
        <v>320</v>
      </c>
      <c r="C4166" s="1" t="s">
        <v>11</v>
      </c>
      <c r="D4166" s="5">
        <v>45300.0</v>
      </c>
      <c r="G4166" s="1">
        <f>VLOOKUP(B4166,'old-aw-skill-plan'!A:I,7,FALSE)</f>
        <v>4</v>
      </c>
      <c r="H4166" s="1" t="str">
        <f>VLOOKUP(B4166,'old-aw-skill-plan'!A:I,9,FALSE)</f>
        <v>4-2</v>
      </c>
    </row>
    <row r="4167" ht="15.75" customHeight="1">
      <c r="A4167" s="1" t="s">
        <v>110</v>
      </c>
      <c r="B4167" s="1" t="s">
        <v>28</v>
      </c>
      <c r="C4167" s="1" t="s">
        <v>11</v>
      </c>
      <c r="D4167" s="5">
        <v>45300.0</v>
      </c>
      <c r="G4167" s="1">
        <f>VLOOKUP(B4167,'old-aw-skill-plan'!A:I,7,FALSE)</f>
        <v>3</v>
      </c>
      <c r="H4167" s="1" t="str">
        <f>VLOOKUP(B4167,'old-aw-skill-plan'!A:I,9,FALSE)</f>
        <v>3-4</v>
      </c>
    </row>
    <row r="4168" ht="15.75" customHeight="1">
      <c r="A4168" s="1" t="s">
        <v>266</v>
      </c>
      <c r="B4168" s="1" t="s">
        <v>34</v>
      </c>
      <c r="C4168" s="1" t="s">
        <v>11</v>
      </c>
      <c r="D4168" s="5">
        <v>45299.0</v>
      </c>
      <c r="G4168" s="1">
        <f>VLOOKUP(B4168,'old-aw-skill-plan'!A:I,7,FALSE)</f>
        <v>4</v>
      </c>
      <c r="H4168" s="1" t="str">
        <f>VLOOKUP(B4168,'old-aw-skill-plan'!A:I,9,FALSE)</f>
        <v>4-1</v>
      </c>
    </row>
    <row r="4169" ht="15.75" customHeight="1">
      <c r="A4169" s="1" t="s">
        <v>266</v>
      </c>
      <c r="B4169" s="1" t="s">
        <v>21</v>
      </c>
      <c r="C4169" s="1" t="s">
        <v>11</v>
      </c>
      <c r="D4169" s="5">
        <v>45299.0</v>
      </c>
      <c r="G4169" s="1">
        <f>VLOOKUP(B4169,'old-aw-skill-plan'!A:I,7,FALSE)</f>
        <v>4</v>
      </c>
      <c r="H4169" s="1" t="str">
        <f>VLOOKUP(B4169,'old-aw-skill-plan'!A:I,9,FALSE)</f>
        <v>4-6</v>
      </c>
    </row>
    <row r="4170" ht="15.75" customHeight="1">
      <c r="A4170" s="1" t="s">
        <v>22</v>
      </c>
      <c r="B4170" s="1" t="s">
        <v>61</v>
      </c>
      <c r="C4170" s="1" t="s">
        <v>11</v>
      </c>
      <c r="D4170" s="5">
        <v>45299.0</v>
      </c>
      <c r="G4170" s="1">
        <f>VLOOKUP(B4170,'old-aw-skill-plan'!A:I,7,FALSE)</f>
        <v>4</v>
      </c>
      <c r="H4170" s="1" t="str">
        <f>VLOOKUP(B4170,'old-aw-skill-plan'!A:I,9,FALSE)</f>
        <v>4-4</v>
      </c>
    </row>
    <row r="4171" ht="15.75" customHeight="1">
      <c r="A4171" s="1" t="s">
        <v>22</v>
      </c>
      <c r="B4171" s="1" t="s">
        <v>99</v>
      </c>
      <c r="C4171" s="1" t="s">
        <v>11</v>
      </c>
      <c r="D4171" s="5">
        <v>45299.0</v>
      </c>
      <c r="G4171" s="1" t="str">
        <f>VLOOKUP(B4171,'old-aw-skill-plan'!A:I,7,FALSE)</f>
        <v>#N/A</v>
      </c>
      <c r="H4171" s="1" t="str">
        <f>VLOOKUP(B4171,'old-aw-skill-plan'!A:I,9,FALSE)</f>
        <v>#N/A</v>
      </c>
    </row>
    <row r="4172" ht="15.75" customHeight="1">
      <c r="A4172" s="1" t="s">
        <v>22</v>
      </c>
      <c r="B4172" s="1" t="s">
        <v>21</v>
      </c>
      <c r="C4172" s="1" t="s">
        <v>11</v>
      </c>
      <c r="D4172" s="5">
        <v>45299.0</v>
      </c>
      <c r="G4172" s="1">
        <f>VLOOKUP(B4172,'old-aw-skill-plan'!A:I,7,FALSE)</f>
        <v>4</v>
      </c>
      <c r="H4172" s="1" t="str">
        <f>VLOOKUP(B4172,'old-aw-skill-plan'!A:I,9,FALSE)</f>
        <v>4-6</v>
      </c>
    </row>
    <row r="4173" ht="15.75" customHeight="1">
      <c r="A4173" s="1" t="s">
        <v>31</v>
      </c>
      <c r="B4173" s="1" t="s">
        <v>10</v>
      </c>
      <c r="C4173" s="1" t="s">
        <v>11</v>
      </c>
      <c r="D4173" s="5">
        <v>45299.0</v>
      </c>
      <c r="G4173" s="1">
        <f>VLOOKUP(B4173,'old-aw-skill-plan'!A:I,7,FALSE)</f>
        <v>3</v>
      </c>
      <c r="H4173" s="1" t="str">
        <f>VLOOKUP(B4173,'old-aw-skill-plan'!A:I,9,FALSE)</f>
        <v>3-1</v>
      </c>
    </row>
    <row r="4174" ht="15.75" customHeight="1">
      <c r="A4174" s="1" t="s">
        <v>216</v>
      </c>
      <c r="B4174" s="1" t="s">
        <v>34</v>
      </c>
      <c r="C4174" s="1" t="s">
        <v>11</v>
      </c>
      <c r="D4174" s="5">
        <v>45299.0</v>
      </c>
      <c r="G4174" s="1">
        <f>VLOOKUP(B4174,'old-aw-skill-plan'!A:I,7,FALSE)</f>
        <v>4</v>
      </c>
      <c r="H4174" s="1" t="str">
        <f>VLOOKUP(B4174,'old-aw-skill-plan'!A:I,9,FALSE)</f>
        <v>4-1</v>
      </c>
    </row>
    <row r="4175" ht="15.75" customHeight="1">
      <c r="A4175" s="1" t="s">
        <v>35</v>
      </c>
      <c r="B4175" s="1" t="s">
        <v>40</v>
      </c>
      <c r="C4175" s="1" t="s">
        <v>11</v>
      </c>
      <c r="D4175" s="5">
        <v>45299.0</v>
      </c>
      <c r="G4175" s="1">
        <f>VLOOKUP(B4175,'old-aw-skill-plan'!A:I,7,FALSE)</f>
        <v>4</v>
      </c>
      <c r="H4175" s="1" t="str">
        <f>VLOOKUP(B4175,'old-aw-skill-plan'!A:I,9,FALSE)</f>
        <v>4-10</v>
      </c>
    </row>
    <row r="4176" ht="15.75" customHeight="1">
      <c r="A4176" s="1" t="s">
        <v>35</v>
      </c>
      <c r="B4176" s="1" t="s">
        <v>309</v>
      </c>
      <c r="C4176" s="1" t="s">
        <v>11</v>
      </c>
      <c r="D4176" s="5">
        <v>45299.0</v>
      </c>
      <c r="G4176" s="1">
        <f>VLOOKUP(B4176,'old-aw-skill-plan'!A:I,7,FALSE)</f>
        <v>4</v>
      </c>
      <c r="H4176" s="1" t="str">
        <f>VLOOKUP(B4176,'old-aw-skill-plan'!A:I,9,FALSE)</f>
        <v>4-1</v>
      </c>
    </row>
    <row r="4177" ht="15.75" customHeight="1">
      <c r="A4177" s="1" t="s">
        <v>24</v>
      </c>
      <c r="B4177" s="1" t="s">
        <v>34</v>
      </c>
      <c r="C4177" s="1" t="s">
        <v>11</v>
      </c>
      <c r="D4177" s="5">
        <v>45299.0</v>
      </c>
      <c r="G4177" s="1">
        <f>VLOOKUP(B4177,'old-aw-skill-plan'!A:I,7,FALSE)</f>
        <v>4</v>
      </c>
      <c r="H4177" s="1" t="str">
        <f>VLOOKUP(B4177,'old-aw-skill-plan'!A:I,9,FALSE)</f>
        <v>4-1</v>
      </c>
    </row>
    <row r="4178" ht="15.75" customHeight="1">
      <c r="A4178" s="1" t="s">
        <v>213</v>
      </c>
      <c r="B4178" s="1" t="s">
        <v>10</v>
      </c>
      <c r="C4178" s="1" t="s">
        <v>11</v>
      </c>
      <c r="D4178" s="5">
        <v>45299.0</v>
      </c>
      <c r="G4178" s="1">
        <f>VLOOKUP(B4178,'old-aw-skill-plan'!A:I,7,FALSE)</f>
        <v>3</v>
      </c>
      <c r="H4178" s="1" t="str">
        <f>VLOOKUP(B4178,'old-aw-skill-plan'!A:I,9,FALSE)</f>
        <v>3-1</v>
      </c>
    </row>
    <row r="4179" ht="15.75" customHeight="1">
      <c r="A4179" s="1" t="s">
        <v>199</v>
      </c>
      <c r="B4179" s="1" t="s">
        <v>34</v>
      </c>
      <c r="C4179" s="1" t="s">
        <v>11</v>
      </c>
      <c r="D4179" s="5">
        <v>45299.0</v>
      </c>
      <c r="G4179" s="1">
        <f>VLOOKUP(B4179,'old-aw-skill-plan'!A:I,7,FALSE)</f>
        <v>4</v>
      </c>
      <c r="H4179" s="1" t="str">
        <f>VLOOKUP(B4179,'old-aw-skill-plan'!A:I,9,FALSE)</f>
        <v>4-1</v>
      </c>
    </row>
    <row r="4180" ht="15.75" customHeight="1">
      <c r="A4180" s="1" t="s">
        <v>36</v>
      </c>
      <c r="B4180" s="1" t="s">
        <v>28</v>
      </c>
      <c r="C4180" s="1" t="s">
        <v>11</v>
      </c>
      <c r="D4180" s="5">
        <v>45299.0</v>
      </c>
      <c r="G4180" s="1">
        <f>VLOOKUP(B4180,'old-aw-skill-plan'!A:I,7,FALSE)</f>
        <v>3</v>
      </c>
      <c r="H4180" s="1" t="str">
        <f>VLOOKUP(B4180,'old-aw-skill-plan'!A:I,9,FALSE)</f>
        <v>3-4</v>
      </c>
    </row>
    <row r="4181" ht="15.75" customHeight="1">
      <c r="A4181" s="1" t="s">
        <v>452</v>
      </c>
      <c r="B4181" s="1" t="s">
        <v>44</v>
      </c>
      <c r="C4181" s="1" t="s">
        <v>11</v>
      </c>
      <c r="D4181" s="5">
        <v>45299.0</v>
      </c>
      <c r="G4181" s="1">
        <f>VLOOKUP(B4181,'old-aw-skill-plan'!A:I,7,FALSE)</f>
        <v>5</v>
      </c>
      <c r="H4181" s="1" t="str">
        <f>VLOOKUP(B4181,'old-aw-skill-plan'!A:I,9,FALSE)</f>
        <v>5-1</v>
      </c>
    </row>
    <row r="4182" ht="15.75" customHeight="1">
      <c r="A4182" s="1" t="s">
        <v>220</v>
      </c>
      <c r="B4182" s="1" t="s">
        <v>28</v>
      </c>
      <c r="C4182" s="1" t="s">
        <v>11</v>
      </c>
      <c r="D4182" s="5">
        <v>45299.0</v>
      </c>
      <c r="G4182" s="1">
        <f>VLOOKUP(B4182,'old-aw-skill-plan'!A:I,7,FALSE)</f>
        <v>3</v>
      </c>
      <c r="H4182" s="1" t="str">
        <f>VLOOKUP(B4182,'old-aw-skill-plan'!A:I,9,FALSE)</f>
        <v>3-4</v>
      </c>
    </row>
    <row r="4183" ht="15.75" customHeight="1">
      <c r="A4183" s="1" t="s">
        <v>220</v>
      </c>
      <c r="B4183" s="1" t="s">
        <v>48</v>
      </c>
      <c r="C4183" s="1" t="s">
        <v>11</v>
      </c>
      <c r="D4183" s="5">
        <v>45299.0</v>
      </c>
      <c r="G4183" s="1">
        <f>VLOOKUP(B4183,'old-aw-skill-plan'!A:I,7,FALSE)</f>
        <v>3</v>
      </c>
      <c r="H4183" s="1" t="str">
        <f>VLOOKUP(B4183,'old-aw-skill-plan'!A:I,9,FALSE)</f>
        <v>3-6</v>
      </c>
    </row>
    <row r="4184" ht="15.75" customHeight="1">
      <c r="A4184" s="1" t="s">
        <v>237</v>
      </c>
      <c r="B4184" s="1" t="s">
        <v>307</v>
      </c>
      <c r="C4184" s="1" t="s">
        <v>11</v>
      </c>
      <c r="D4184" s="5">
        <v>45299.0</v>
      </c>
      <c r="G4184" s="1">
        <f>VLOOKUP(B4184,'old-aw-skill-plan'!A:I,7,FALSE)</f>
        <v>3</v>
      </c>
      <c r="H4184" s="1" t="str">
        <f>VLOOKUP(B4184,'old-aw-skill-plan'!A:I,9,FALSE)</f>
        <v>3-1</v>
      </c>
    </row>
    <row r="4185" ht="15.75" customHeight="1">
      <c r="A4185" s="1" t="s">
        <v>237</v>
      </c>
      <c r="B4185" s="1" t="s">
        <v>352</v>
      </c>
      <c r="C4185" s="1" t="s">
        <v>11</v>
      </c>
      <c r="D4185" s="5">
        <v>45299.0</v>
      </c>
      <c r="G4185" s="1">
        <f>VLOOKUP(B4185,'old-aw-skill-plan'!A:I,7,FALSE)</f>
        <v>3</v>
      </c>
      <c r="H4185" s="1" t="str">
        <f>VLOOKUP(B4185,'old-aw-skill-plan'!A:I,9,FALSE)</f>
        <v>3-2</v>
      </c>
    </row>
    <row r="4186" ht="15.75" customHeight="1">
      <c r="A4186" s="1" t="s">
        <v>419</v>
      </c>
      <c r="B4186" s="1" t="s">
        <v>104</v>
      </c>
      <c r="C4186" s="1" t="s">
        <v>11</v>
      </c>
      <c r="D4186" s="5">
        <v>45299.0</v>
      </c>
      <c r="G4186" s="1">
        <f>VLOOKUP(B4186,'old-aw-skill-plan'!A:I,7,FALSE)</f>
        <v>5</v>
      </c>
      <c r="H4186" s="1" t="str">
        <f>VLOOKUP(B4186,'old-aw-skill-plan'!A:I,9,FALSE)</f>
        <v>5-2</v>
      </c>
    </row>
    <row r="4187" ht="15.75" customHeight="1">
      <c r="A4187" s="1" t="s">
        <v>46</v>
      </c>
      <c r="B4187" s="1" t="s">
        <v>10</v>
      </c>
      <c r="C4187" s="1" t="s">
        <v>11</v>
      </c>
      <c r="D4187" s="5">
        <v>45299.0</v>
      </c>
      <c r="G4187" s="1">
        <f>VLOOKUP(B4187,'old-aw-skill-plan'!A:I,7,FALSE)</f>
        <v>3</v>
      </c>
      <c r="H4187" s="1" t="str">
        <f>VLOOKUP(B4187,'old-aw-skill-plan'!A:I,9,FALSE)</f>
        <v>3-1</v>
      </c>
    </row>
    <row r="4188" ht="15.75" customHeight="1">
      <c r="A4188" s="1" t="s">
        <v>459</v>
      </c>
      <c r="B4188" s="1" t="s">
        <v>57</v>
      </c>
      <c r="C4188" s="1" t="s">
        <v>11</v>
      </c>
      <c r="D4188" s="5">
        <v>45299.0</v>
      </c>
      <c r="G4188" s="1">
        <f>VLOOKUP(B4188,'old-aw-skill-plan'!A:I,7,FALSE)</f>
        <v>3</v>
      </c>
      <c r="H4188" s="1" t="str">
        <f>VLOOKUP(B4188,'old-aw-skill-plan'!A:I,9,FALSE)</f>
        <v>3-7</v>
      </c>
    </row>
    <row r="4189" ht="15.75" customHeight="1">
      <c r="A4189" s="1" t="s">
        <v>81</v>
      </c>
      <c r="B4189" s="1" t="s">
        <v>40</v>
      </c>
      <c r="C4189" s="1" t="s">
        <v>11</v>
      </c>
      <c r="D4189" s="5">
        <v>45299.0</v>
      </c>
      <c r="G4189" s="1">
        <f>VLOOKUP(B4189,'old-aw-skill-plan'!A:I,7,FALSE)</f>
        <v>4</v>
      </c>
      <c r="H4189" s="1" t="str">
        <f>VLOOKUP(B4189,'old-aw-skill-plan'!A:I,9,FALSE)</f>
        <v>4-10</v>
      </c>
    </row>
    <row r="4190" ht="15.75" customHeight="1">
      <c r="A4190" s="1" t="s">
        <v>429</v>
      </c>
      <c r="B4190" s="1" t="s">
        <v>37</v>
      </c>
      <c r="C4190" s="1" t="s">
        <v>11</v>
      </c>
      <c r="D4190" s="5">
        <v>45299.0</v>
      </c>
      <c r="G4190" s="1">
        <f>VLOOKUP(B4190,'old-aw-skill-plan'!A:I,7,FALSE)</f>
        <v>4</v>
      </c>
      <c r="H4190" s="1" t="str">
        <f>VLOOKUP(B4190,'old-aw-skill-plan'!A:I,9,FALSE)</f>
        <v>4-2</v>
      </c>
    </row>
    <row r="4191" ht="15.75" customHeight="1">
      <c r="A4191" s="1" t="s">
        <v>421</v>
      </c>
      <c r="B4191" s="1" t="s">
        <v>44</v>
      </c>
      <c r="C4191" s="1" t="s">
        <v>11</v>
      </c>
      <c r="D4191" s="5">
        <v>45299.0</v>
      </c>
      <c r="G4191" s="1">
        <f>VLOOKUP(B4191,'old-aw-skill-plan'!A:I,7,FALSE)</f>
        <v>5</v>
      </c>
      <c r="H4191" s="1" t="str">
        <f>VLOOKUP(B4191,'old-aw-skill-plan'!A:I,9,FALSE)</f>
        <v>5-1</v>
      </c>
    </row>
    <row r="4192" ht="15.75" customHeight="1">
      <c r="A4192" s="1" t="s">
        <v>230</v>
      </c>
      <c r="B4192" s="1" t="s">
        <v>116</v>
      </c>
      <c r="C4192" s="1" t="s">
        <v>11</v>
      </c>
      <c r="D4192" s="5">
        <v>45299.0</v>
      </c>
      <c r="G4192" s="1">
        <f>VLOOKUP(B4192,'old-aw-skill-plan'!A:I,7,FALSE)</f>
        <v>3</v>
      </c>
      <c r="H4192" s="1" t="str">
        <f>VLOOKUP(B4192,'old-aw-skill-plan'!A:I,9,FALSE)</f>
        <v>3-9</v>
      </c>
    </row>
    <row r="4193" ht="15.75" customHeight="1">
      <c r="A4193" s="1" t="s">
        <v>428</v>
      </c>
      <c r="B4193" s="1" t="s">
        <v>66</v>
      </c>
      <c r="C4193" s="1" t="s">
        <v>11</v>
      </c>
      <c r="D4193" s="5">
        <v>45299.0</v>
      </c>
      <c r="G4193" s="1">
        <f>VLOOKUP(B4193,'old-aw-skill-plan'!A:I,7,FALSE)</f>
        <v>4</v>
      </c>
      <c r="H4193" s="1" t="str">
        <f>VLOOKUP(B4193,'old-aw-skill-plan'!A:I,9,FALSE)</f>
        <v>4-9</v>
      </c>
    </row>
    <row r="4194" ht="15.75" customHeight="1">
      <c r="A4194" s="1" t="s">
        <v>428</v>
      </c>
      <c r="B4194" s="1" t="s">
        <v>320</v>
      </c>
      <c r="C4194" s="1" t="s">
        <v>11</v>
      </c>
      <c r="D4194" s="5">
        <v>45299.0</v>
      </c>
      <c r="G4194" s="1">
        <f>VLOOKUP(B4194,'old-aw-skill-plan'!A:I,7,FALSE)</f>
        <v>4</v>
      </c>
      <c r="H4194" s="1" t="str">
        <f>VLOOKUP(B4194,'old-aw-skill-plan'!A:I,9,FALSE)</f>
        <v>4-2</v>
      </c>
    </row>
    <row r="4195" ht="15.75" customHeight="1">
      <c r="A4195" s="1" t="s">
        <v>420</v>
      </c>
      <c r="B4195" s="1" t="s">
        <v>115</v>
      </c>
      <c r="C4195" s="1" t="s">
        <v>11</v>
      </c>
      <c r="D4195" s="5">
        <v>45299.0</v>
      </c>
      <c r="G4195" s="1">
        <f>VLOOKUP(B4195,'old-aw-skill-plan'!A:I,7,FALSE)</f>
        <v>3</v>
      </c>
      <c r="H4195" s="1" t="str">
        <f>VLOOKUP(B4195,'old-aw-skill-plan'!A:I,9,FALSE)</f>
        <v>3-10</v>
      </c>
    </row>
    <row r="4196" ht="15.75" customHeight="1">
      <c r="A4196" s="1" t="s">
        <v>420</v>
      </c>
      <c r="B4196" s="1" t="s">
        <v>10</v>
      </c>
      <c r="C4196" s="1" t="s">
        <v>11</v>
      </c>
      <c r="D4196" s="5">
        <v>45299.0</v>
      </c>
      <c r="G4196" s="1">
        <f>VLOOKUP(B4196,'old-aw-skill-plan'!A:I,7,FALSE)</f>
        <v>3</v>
      </c>
      <c r="H4196" s="1" t="str">
        <f>VLOOKUP(B4196,'old-aw-skill-plan'!A:I,9,FALSE)</f>
        <v>3-1</v>
      </c>
    </row>
    <row r="4197" ht="15.75" customHeight="1">
      <c r="A4197" s="1" t="s">
        <v>275</v>
      </c>
      <c r="B4197" s="1" t="s">
        <v>115</v>
      </c>
      <c r="C4197" s="1" t="s">
        <v>11</v>
      </c>
      <c r="D4197" s="5">
        <v>45299.0</v>
      </c>
      <c r="G4197" s="1">
        <f>VLOOKUP(B4197,'old-aw-skill-plan'!A:I,7,FALSE)</f>
        <v>3</v>
      </c>
      <c r="H4197" s="1" t="str">
        <f>VLOOKUP(B4197,'old-aw-skill-plan'!A:I,9,FALSE)</f>
        <v>3-10</v>
      </c>
    </row>
    <row r="4198" ht="15.75" customHeight="1">
      <c r="A4198" s="1" t="s">
        <v>275</v>
      </c>
      <c r="B4198" s="1" t="s">
        <v>48</v>
      </c>
      <c r="C4198" s="1" t="s">
        <v>11</v>
      </c>
      <c r="D4198" s="5">
        <v>45299.0</v>
      </c>
      <c r="G4198" s="1">
        <f>VLOOKUP(B4198,'old-aw-skill-plan'!A:I,7,FALSE)</f>
        <v>3</v>
      </c>
      <c r="H4198" s="1" t="str">
        <f>VLOOKUP(B4198,'old-aw-skill-plan'!A:I,9,FALSE)</f>
        <v>3-6</v>
      </c>
    </row>
    <row r="4199" ht="15.75" customHeight="1">
      <c r="A4199" s="1" t="s">
        <v>95</v>
      </c>
      <c r="B4199" s="1" t="s">
        <v>28</v>
      </c>
      <c r="C4199" s="1" t="s">
        <v>11</v>
      </c>
      <c r="D4199" s="5">
        <v>45299.0</v>
      </c>
      <c r="G4199" s="1">
        <f>VLOOKUP(B4199,'old-aw-skill-plan'!A:I,7,FALSE)</f>
        <v>3</v>
      </c>
      <c r="H4199" s="1" t="str">
        <f>VLOOKUP(B4199,'old-aw-skill-plan'!A:I,9,FALSE)</f>
        <v>3-4</v>
      </c>
    </row>
    <row r="4200" ht="15.75" customHeight="1">
      <c r="A4200" s="1" t="s">
        <v>214</v>
      </c>
      <c r="B4200" s="1" t="s">
        <v>30</v>
      </c>
      <c r="C4200" s="1" t="s">
        <v>11</v>
      </c>
      <c r="D4200" s="5">
        <v>45299.0</v>
      </c>
      <c r="G4200" s="1">
        <f>VLOOKUP(B4200,'old-aw-skill-plan'!A:I,7,FALSE)</f>
        <v>3</v>
      </c>
      <c r="H4200" s="1" t="str">
        <f>VLOOKUP(B4200,'old-aw-skill-plan'!A:I,9,FALSE)</f>
        <v>3-3</v>
      </c>
    </row>
    <row r="4201" ht="15.75" customHeight="1">
      <c r="A4201" s="1" t="s">
        <v>211</v>
      </c>
      <c r="B4201" s="1" t="s">
        <v>10</v>
      </c>
      <c r="C4201" s="1" t="s">
        <v>11</v>
      </c>
      <c r="D4201" s="5">
        <v>45299.0</v>
      </c>
      <c r="G4201" s="1">
        <f>VLOOKUP(B4201,'old-aw-skill-plan'!A:I,7,FALSE)</f>
        <v>3</v>
      </c>
      <c r="H4201" s="1" t="str">
        <f>VLOOKUP(B4201,'old-aw-skill-plan'!A:I,9,FALSE)</f>
        <v>3-1</v>
      </c>
    </row>
    <row r="4202" ht="15.75" customHeight="1">
      <c r="A4202" s="1" t="s">
        <v>211</v>
      </c>
      <c r="B4202" s="1" t="s">
        <v>47</v>
      </c>
      <c r="C4202" s="1" t="s">
        <v>11</v>
      </c>
      <c r="D4202" s="5">
        <v>45299.0</v>
      </c>
      <c r="G4202" s="1">
        <f>VLOOKUP(B4202,'old-aw-skill-plan'!A:I,7,FALSE)</f>
        <v>3</v>
      </c>
      <c r="H4202" s="1" t="str">
        <f>VLOOKUP(B4202,'old-aw-skill-plan'!A:I,9,FALSE)</f>
        <v>3-2</v>
      </c>
    </row>
    <row r="4203" ht="15.75" customHeight="1">
      <c r="A4203" s="1" t="s">
        <v>197</v>
      </c>
      <c r="B4203" s="1" t="s">
        <v>66</v>
      </c>
      <c r="C4203" s="1" t="s">
        <v>11</v>
      </c>
      <c r="D4203" s="5">
        <v>45299.0</v>
      </c>
      <c r="G4203" s="1">
        <f>VLOOKUP(B4203,'old-aw-skill-plan'!A:I,7,FALSE)</f>
        <v>4</v>
      </c>
      <c r="H4203" s="1" t="str">
        <f>VLOOKUP(B4203,'old-aw-skill-plan'!A:I,9,FALSE)</f>
        <v>4-9</v>
      </c>
    </row>
    <row r="4204" ht="15.75" customHeight="1">
      <c r="A4204" s="1" t="s">
        <v>197</v>
      </c>
      <c r="B4204" s="1" t="s">
        <v>19</v>
      </c>
      <c r="C4204" s="1" t="s">
        <v>11</v>
      </c>
      <c r="D4204" s="5">
        <v>45299.0</v>
      </c>
      <c r="G4204" s="1">
        <f>VLOOKUP(B4204,'old-aw-skill-plan'!A:I,7,FALSE)</f>
        <v>4</v>
      </c>
      <c r="H4204" s="1" t="str">
        <f>VLOOKUP(B4204,'old-aw-skill-plan'!A:I,9,FALSE)</f>
        <v>4-7</v>
      </c>
    </row>
    <row r="4205" ht="15.75" customHeight="1">
      <c r="A4205" s="1" t="s">
        <v>373</v>
      </c>
      <c r="B4205" s="1" t="s">
        <v>28</v>
      </c>
      <c r="C4205" s="1" t="s">
        <v>11</v>
      </c>
      <c r="D4205" s="5">
        <v>45299.0</v>
      </c>
      <c r="G4205" s="1">
        <f>VLOOKUP(B4205,'old-aw-skill-plan'!A:I,7,FALSE)</f>
        <v>3</v>
      </c>
      <c r="H4205" s="1" t="str">
        <f>VLOOKUP(B4205,'old-aw-skill-plan'!A:I,9,FALSE)</f>
        <v>3-4</v>
      </c>
    </row>
    <row r="4206" ht="15.75" customHeight="1">
      <c r="A4206" s="1" t="s">
        <v>90</v>
      </c>
      <c r="B4206" s="1" t="s">
        <v>28</v>
      </c>
      <c r="C4206" s="1" t="s">
        <v>11</v>
      </c>
      <c r="D4206" s="5">
        <v>45299.0</v>
      </c>
      <c r="G4206" s="1">
        <f>VLOOKUP(B4206,'old-aw-skill-plan'!A:I,7,FALSE)</f>
        <v>3</v>
      </c>
      <c r="H4206" s="1" t="str">
        <f>VLOOKUP(B4206,'old-aw-skill-plan'!A:I,9,FALSE)</f>
        <v>3-4</v>
      </c>
    </row>
    <row r="4207" ht="15.75" customHeight="1">
      <c r="A4207" s="1" t="s">
        <v>90</v>
      </c>
      <c r="B4207" s="1" t="s">
        <v>30</v>
      </c>
      <c r="C4207" s="1" t="s">
        <v>11</v>
      </c>
      <c r="D4207" s="5">
        <v>45299.0</v>
      </c>
      <c r="G4207" s="1">
        <f>VLOOKUP(B4207,'old-aw-skill-plan'!A:I,7,FALSE)</f>
        <v>3</v>
      </c>
      <c r="H4207" s="1" t="str">
        <f>VLOOKUP(B4207,'old-aw-skill-plan'!A:I,9,FALSE)</f>
        <v>3-3</v>
      </c>
    </row>
    <row r="4208" ht="15.75" customHeight="1">
      <c r="A4208" s="1" t="s">
        <v>93</v>
      </c>
      <c r="B4208" s="1" t="s">
        <v>115</v>
      </c>
      <c r="C4208" s="1" t="s">
        <v>11</v>
      </c>
      <c r="D4208" s="5">
        <v>45299.0</v>
      </c>
      <c r="G4208" s="1">
        <f>VLOOKUP(B4208,'old-aw-skill-plan'!A:I,7,FALSE)</f>
        <v>3</v>
      </c>
      <c r="H4208" s="1" t="str">
        <f>VLOOKUP(B4208,'old-aw-skill-plan'!A:I,9,FALSE)</f>
        <v>3-10</v>
      </c>
    </row>
    <row r="4209" ht="15.75" customHeight="1">
      <c r="A4209" s="1" t="s">
        <v>93</v>
      </c>
      <c r="B4209" s="1" t="s">
        <v>437</v>
      </c>
      <c r="C4209" s="1" t="s">
        <v>11</v>
      </c>
      <c r="D4209" s="5">
        <v>45299.0</v>
      </c>
      <c r="G4209" s="1">
        <f>VLOOKUP(B4209,'old-aw-skill-plan'!A:I,7,FALSE)</f>
        <v>3</v>
      </c>
      <c r="H4209" s="1" t="str">
        <f>VLOOKUP(B4209,'old-aw-skill-plan'!A:I,9,FALSE)</f>
        <v>3-10</v>
      </c>
    </row>
    <row r="4210" ht="15.75" customHeight="1">
      <c r="A4210" s="1" t="s">
        <v>93</v>
      </c>
      <c r="B4210" s="1" t="s">
        <v>417</v>
      </c>
      <c r="C4210" s="1" t="s">
        <v>11</v>
      </c>
      <c r="D4210" s="5">
        <v>45299.0</v>
      </c>
      <c r="G4210" s="1">
        <f>VLOOKUP(B4210,'old-aw-skill-plan'!A:I,7,FALSE)</f>
        <v>3</v>
      </c>
      <c r="H4210" s="1" t="str">
        <f>VLOOKUP(B4210,'old-aw-skill-plan'!A:I,9,FALSE)</f>
        <v>3-10</v>
      </c>
    </row>
    <row r="4211" ht="15.75" customHeight="1">
      <c r="A4211" s="1" t="s">
        <v>365</v>
      </c>
      <c r="B4211" s="1" t="s">
        <v>34</v>
      </c>
      <c r="C4211" s="1" t="s">
        <v>11</v>
      </c>
      <c r="D4211" s="5">
        <v>45299.0</v>
      </c>
      <c r="G4211" s="1">
        <f>VLOOKUP(B4211,'old-aw-skill-plan'!A:I,7,FALSE)</f>
        <v>4</v>
      </c>
      <c r="H4211" s="1" t="str">
        <f>VLOOKUP(B4211,'old-aw-skill-plan'!A:I,9,FALSE)</f>
        <v>4-1</v>
      </c>
    </row>
    <row r="4212" ht="15.75" customHeight="1">
      <c r="A4212" s="1" t="s">
        <v>94</v>
      </c>
      <c r="B4212" s="1" t="s">
        <v>116</v>
      </c>
      <c r="C4212" s="1" t="s">
        <v>11</v>
      </c>
      <c r="D4212" s="5">
        <v>45299.0</v>
      </c>
      <c r="G4212" s="1">
        <f>VLOOKUP(B4212,'old-aw-skill-plan'!A:I,7,FALSE)</f>
        <v>3</v>
      </c>
      <c r="H4212" s="1" t="str">
        <f>VLOOKUP(B4212,'old-aw-skill-plan'!A:I,9,FALSE)</f>
        <v>3-9</v>
      </c>
    </row>
    <row r="4213" ht="15.75" customHeight="1">
      <c r="A4213" s="1" t="s">
        <v>94</v>
      </c>
      <c r="B4213" s="1" t="s">
        <v>111</v>
      </c>
      <c r="C4213" s="1" t="s">
        <v>11</v>
      </c>
      <c r="D4213" s="5">
        <v>45299.0</v>
      </c>
      <c r="G4213" s="1" t="str">
        <f>VLOOKUP(B4213,'old-aw-skill-plan'!A:I,7,FALSE)</f>
        <v>#N/A</v>
      </c>
      <c r="H4213" s="1" t="str">
        <f>VLOOKUP(B4213,'old-aw-skill-plan'!A:I,9,FALSE)</f>
        <v>#N/A</v>
      </c>
    </row>
    <row r="4214" ht="15.75" customHeight="1">
      <c r="A4214" s="1" t="s">
        <v>225</v>
      </c>
      <c r="B4214" s="1" t="s">
        <v>320</v>
      </c>
      <c r="C4214" s="1" t="s">
        <v>11</v>
      </c>
      <c r="D4214" s="5">
        <v>45299.0</v>
      </c>
      <c r="G4214" s="1">
        <f>VLOOKUP(B4214,'old-aw-skill-plan'!A:I,7,FALSE)</f>
        <v>4</v>
      </c>
      <c r="H4214" s="1" t="str">
        <f>VLOOKUP(B4214,'old-aw-skill-plan'!A:I,9,FALSE)</f>
        <v>4-2</v>
      </c>
    </row>
    <row r="4215" ht="15.75" customHeight="1">
      <c r="A4215" s="1" t="s">
        <v>427</v>
      </c>
      <c r="B4215" s="1" t="s">
        <v>115</v>
      </c>
      <c r="C4215" s="1" t="s">
        <v>11</v>
      </c>
      <c r="D4215" s="5">
        <v>45299.0</v>
      </c>
      <c r="G4215" s="1">
        <f>VLOOKUP(B4215,'old-aw-skill-plan'!A:I,7,FALSE)</f>
        <v>3</v>
      </c>
      <c r="H4215" s="1" t="str">
        <f>VLOOKUP(B4215,'old-aw-skill-plan'!A:I,9,FALSE)</f>
        <v>3-10</v>
      </c>
    </row>
    <row r="4216" ht="15.75" customHeight="1">
      <c r="A4216" s="1" t="s">
        <v>427</v>
      </c>
      <c r="B4216" s="1" t="s">
        <v>28</v>
      </c>
      <c r="C4216" s="1" t="s">
        <v>11</v>
      </c>
      <c r="D4216" s="5">
        <v>45299.0</v>
      </c>
      <c r="G4216" s="1">
        <f>VLOOKUP(B4216,'old-aw-skill-plan'!A:I,7,FALSE)</f>
        <v>3</v>
      </c>
      <c r="H4216" s="1" t="str">
        <f>VLOOKUP(B4216,'old-aw-skill-plan'!A:I,9,FALSE)</f>
        <v>3-4</v>
      </c>
    </row>
    <row r="4217" ht="15.75" customHeight="1">
      <c r="A4217" s="1" t="s">
        <v>427</v>
      </c>
      <c r="B4217" s="1" t="s">
        <v>30</v>
      </c>
      <c r="C4217" s="1" t="s">
        <v>11</v>
      </c>
      <c r="D4217" s="5">
        <v>45299.0</v>
      </c>
      <c r="G4217" s="1">
        <f>VLOOKUP(B4217,'old-aw-skill-plan'!A:I,7,FALSE)</f>
        <v>3</v>
      </c>
      <c r="H4217" s="1" t="str">
        <f>VLOOKUP(B4217,'old-aw-skill-plan'!A:I,9,FALSE)</f>
        <v>3-3</v>
      </c>
    </row>
    <row r="4218" ht="15.75" customHeight="1">
      <c r="A4218" s="1" t="s">
        <v>427</v>
      </c>
      <c r="B4218" s="1" t="s">
        <v>356</v>
      </c>
      <c r="C4218" s="1" t="s">
        <v>11</v>
      </c>
      <c r="D4218" s="5">
        <v>45299.0</v>
      </c>
      <c r="G4218" s="1">
        <f>VLOOKUP(B4218,'old-aw-skill-plan'!A:I,7,FALSE)</f>
        <v>3</v>
      </c>
      <c r="H4218" s="1" t="str">
        <f>VLOOKUP(B4218,'old-aw-skill-plan'!A:I,9,FALSE)</f>
        <v>3-2</v>
      </c>
    </row>
    <row r="4219" ht="15.75" customHeight="1">
      <c r="A4219" s="1" t="s">
        <v>110</v>
      </c>
      <c r="B4219" s="1" t="s">
        <v>28</v>
      </c>
      <c r="C4219" s="1" t="s">
        <v>11</v>
      </c>
      <c r="D4219" s="5">
        <v>45299.0</v>
      </c>
      <c r="G4219" s="1">
        <f>VLOOKUP(B4219,'old-aw-skill-plan'!A:I,7,FALSE)</f>
        <v>3</v>
      </c>
      <c r="H4219" s="1" t="str">
        <f>VLOOKUP(B4219,'old-aw-skill-plan'!A:I,9,FALSE)</f>
        <v>3-4</v>
      </c>
    </row>
    <row r="4220" ht="15.75" customHeight="1">
      <c r="A4220" s="1" t="s">
        <v>214</v>
      </c>
      <c r="B4220" s="1" t="s">
        <v>30</v>
      </c>
      <c r="C4220" s="1" t="s">
        <v>11</v>
      </c>
      <c r="D4220" s="5">
        <v>45298.0</v>
      </c>
      <c r="G4220" s="1">
        <f>VLOOKUP(B4220,'old-aw-skill-plan'!A:I,7,FALSE)</f>
        <v>3</v>
      </c>
      <c r="H4220" s="1" t="str">
        <f>VLOOKUP(B4220,'old-aw-skill-plan'!A:I,9,FALSE)</f>
        <v>3-3</v>
      </c>
    </row>
    <row r="4221" ht="15.75" customHeight="1">
      <c r="A4221" s="1" t="s">
        <v>95</v>
      </c>
      <c r="B4221" s="1" t="s">
        <v>28</v>
      </c>
      <c r="C4221" s="1" t="s">
        <v>11</v>
      </c>
      <c r="D4221" s="5">
        <v>45297.0</v>
      </c>
      <c r="G4221" s="1">
        <f>VLOOKUP(B4221,'old-aw-skill-plan'!A:I,7,FALSE)</f>
        <v>3</v>
      </c>
      <c r="H4221" s="1" t="str">
        <f>VLOOKUP(B4221,'old-aw-skill-plan'!A:I,9,FALSE)</f>
        <v>3-4</v>
      </c>
    </row>
    <row r="4222" ht="15.75" customHeight="1">
      <c r="A4222" s="1" t="s">
        <v>216</v>
      </c>
      <c r="B4222" s="1" t="s">
        <v>34</v>
      </c>
      <c r="C4222" s="1" t="s">
        <v>11</v>
      </c>
      <c r="D4222" s="5">
        <v>45296.0</v>
      </c>
      <c r="G4222" s="1">
        <f>VLOOKUP(B4222,'old-aw-skill-plan'!A:I,7,FALSE)</f>
        <v>4</v>
      </c>
      <c r="H4222" s="1" t="str">
        <f>VLOOKUP(B4222,'old-aw-skill-plan'!A:I,9,FALSE)</f>
        <v>4-1</v>
      </c>
    </row>
    <row r="4223" ht="15.75" customHeight="1">
      <c r="A4223" s="1" t="s">
        <v>35</v>
      </c>
      <c r="B4223" s="1" t="s">
        <v>66</v>
      </c>
      <c r="C4223" s="1" t="s">
        <v>11</v>
      </c>
      <c r="D4223" s="5">
        <v>45296.0</v>
      </c>
      <c r="G4223" s="1">
        <f>VLOOKUP(B4223,'old-aw-skill-plan'!A:I,7,FALSE)</f>
        <v>4</v>
      </c>
      <c r="H4223" s="1" t="str">
        <f>VLOOKUP(B4223,'old-aw-skill-plan'!A:I,9,FALSE)</f>
        <v>4-9</v>
      </c>
    </row>
    <row r="4224" ht="15.75" customHeight="1">
      <c r="A4224" s="1" t="s">
        <v>35</v>
      </c>
      <c r="B4224" s="1" t="s">
        <v>19</v>
      </c>
      <c r="C4224" s="1" t="s">
        <v>11</v>
      </c>
      <c r="D4224" s="5">
        <v>45296.0</v>
      </c>
      <c r="G4224" s="1">
        <f>VLOOKUP(B4224,'old-aw-skill-plan'!A:I,7,FALSE)</f>
        <v>4</v>
      </c>
      <c r="H4224" s="1" t="str">
        <f>VLOOKUP(B4224,'old-aw-skill-plan'!A:I,9,FALSE)</f>
        <v>4-7</v>
      </c>
    </row>
    <row r="4225" ht="15.75" customHeight="1">
      <c r="A4225" s="1" t="s">
        <v>35</v>
      </c>
      <c r="B4225" s="1" t="s">
        <v>309</v>
      </c>
      <c r="C4225" s="1" t="s">
        <v>11</v>
      </c>
      <c r="D4225" s="5">
        <v>45296.0</v>
      </c>
      <c r="G4225" s="1">
        <f>VLOOKUP(B4225,'old-aw-skill-plan'!A:I,7,FALSE)</f>
        <v>4</v>
      </c>
      <c r="H4225" s="1" t="str">
        <f>VLOOKUP(B4225,'old-aw-skill-plan'!A:I,9,FALSE)</f>
        <v>4-1</v>
      </c>
    </row>
    <row r="4226" ht="15.75" customHeight="1">
      <c r="A4226" s="1" t="s">
        <v>213</v>
      </c>
      <c r="B4226" s="1" t="s">
        <v>10</v>
      </c>
      <c r="C4226" s="1" t="s">
        <v>11</v>
      </c>
      <c r="D4226" s="5">
        <v>45296.0</v>
      </c>
      <c r="G4226" s="1">
        <f>VLOOKUP(B4226,'old-aw-skill-plan'!A:I,7,FALSE)</f>
        <v>3</v>
      </c>
      <c r="H4226" s="1" t="str">
        <f>VLOOKUP(B4226,'old-aw-skill-plan'!A:I,9,FALSE)</f>
        <v>3-1</v>
      </c>
    </row>
    <row r="4227" ht="15.75" customHeight="1">
      <c r="A4227" s="1" t="s">
        <v>199</v>
      </c>
      <c r="B4227" s="1" t="s">
        <v>34</v>
      </c>
      <c r="C4227" s="1" t="s">
        <v>11</v>
      </c>
      <c r="D4227" s="5">
        <v>45296.0</v>
      </c>
      <c r="G4227" s="1">
        <f>VLOOKUP(B4227,'old-aw-skill-plan'!A:I,7,FALSE)</f>
        <v>4</v>
      </c>
      <c r="H4227" s="1" t="str">
        <f>VLOOKUP(B4227,'old-aw-skill-plan'!A:I,9,FALSE)</f>
        <v>4-1</v>
      </c>
    </row>
    <row r="4228" ht="15.75" customHeight="1">
      <c r="A4228" s="1" t="s">
        <v>449</v>
      </c>
      <c r="B4228" s="1" t="s">
        <v>34</v>
      </c>
      <c r="C4228" s="1" t="s">
        <v>11</v>
      </c>
      <c r="D4228" s="5">
        <v>45296.0</v>
      </c>
      <c r="G4228" s="1">
        <f>VLOOKUP(B4228,'old-aw-skill-plan'!A:I,7,FALSE)</f>
        <v>4</v>
      </c>
      <c r="H4228" s="1" t="str">
        <f>VLOOKUP(B4228,'old-aw-skill-plan'!A:I,9,FALSE)</f>
        <v>4-1</v>
      </c>
    </row>
    <row r="4229" ht="15.75" customHeight="1">
      <c r="A4229" s="1" t="s">
        <v>449</v>
      </c>
      <c r="B4229" s="1" t="s">
        <v>97</v>
      </c>
      <c r="C4229" s="1" t="s">
        <v>11</v>
      </c>
      <c r="D4229" s="5">
        <v>45296.0</v>
      </c>
      <c r="G4229" s="1">
        <f>VLOOKUP(B4229,'old-aw-skill-plan'!A:I,7,FALSE)</f>
        <v>4</v>
      </c>
      <c r="H4229" s="1" t="str">
        <f>VLOOKUP(B4229,'old-aw-skill-plan'!A:I,9,FALSE)</f>
        <v>4-3</v>
      </c>
    </row>
    <row r="4230" ht="15.75" customHeight="1">
      <c r="A4230" s="1" t="s">
        <v>449</v>
      </c>
      <c r="B4230" s="1" t="s">
        <v>37</v>
      </c>
      <c r="C4230" s="1" t="s">
        <v>11</v>
      </c>
      <c r="D4230" s="5">
        <v>45296.0</v>
      </c>
      <c r="G4230" s="1">
        <f>VLOOKUP(B4230,'old-aw-skill-plan'!A:I,7,FALSE)</f>
        <v>4</v>
      </c>
      <c r="H4230" s="1" t="str">
        <f>VLOOKUP(B4230,'old-aw-skill-plan'!A:I,9,FALSE)</f>
        <v>4-2</v>
      </c>
    </row>
    <row r="4231" ht="15.75" customHeight="1">
      <c r="A4231" s="1" t="s">
        <v>237</v>
      </c>
      <c r="B4231" s="1" t="s">
        <v>30</v>
      </c>
      <c r="C4231" s="1" t="s">
        <v>11</v>
      </c>
      <c r="D4231" s="5">
        <v>45296.0</v>
      </c>
      <c r="G4231" s="1">
        <f>VLOOKUP(B4231,'old-aw-skill-plan'!A:I,7,FALSE)</f>
        <v>3</v>
      </c>
      <c r="H4231" s="1" t="str">
        <f>VLOOKUP(B4231,'old-aw-skill-plan'!A:I,9,FALSE)</f>
        <v>3-3</v>
      </c>
    </row>
    <row r="4232" ht="15.75" customHeight="1">
      <c r="A4232" s="1" t="s">
        <v>237</v>
      </c>
      <c r="B4232" s="1" t="s">
        <v>307</v>
      </c>
      <c r="C4232" s="1" t="s">
        <v>11</v>
      </c>
      <c r="D4232" s="5">
        <v>45296.0</v>
      </c>
      <c r="G4232" s="1">
        <f>VLOOKUP(B4232,'old-aw-skill-plan'!A:I,7,FALSE)</f>
        <v>3</v>
      </c>
      <c r="H4232" s="1" t="str">
        <f>VLOOKUP(B4232,'old-aw-skill-plan'!A:I,9,FALSE)</f>
        <v>3-1</v>
      </c>
    </row>
    <row r="4233" ht="15.75" customHeight="1">
      <c r="A4233" s="1" t="s">
        <v>419</v>
      </c>
      <c r="B4233" s="1" t="s">
        <v>104</v>
      </c>
      <c r="C4233" s="1" t="s">
        <v>11</v>
      </c>
      <c r="D4233" s="5">
        <v>45296.0</v>
      </c>
      <c r="G4233" s="1">
        <f>VLOOKUP(B4233,'old-aw-skill-plan'!A:I,7,FALSE)</f>
        <v>5</v>
      </c>
      <c r="H4233" s="1" t="str">
        <f>VLOOKUP(B4233,'old-aw-skill-plan'!A:I,9,FALSE)</f>
        <v>5-2</v>
      </c>
    </row>
    <row r="4234" ht="15.75" customHeight="1">
      <c r="A4234" s="1" t="s">
        <v>46</v>
      </c>
      <c r="B4234" s="1" t="s">
        <v>10</v>
      </c>
      <c r="C4234" s="1" t="s">
        <v>11</v>
      </c>
      <c r="D4234" s="5">
        <v>45296.0</v>
      </c>
      <c r="G4234" s="1">
        <f>VLOOKUP(B4234,'old-aw-skill-plan'!A:I,7,FALSE)</f>
        <v>3</v>
      </c>
      <c r="H4234" s="1" t="str">
        <f>VLOOKUP(B4234,'old-aw-skill-plan'!A:I,9,FALSE)</f>
        <v>3-1</v>
      </c>
    </row>
    <row r="4235" ht="15.75" customHeight="1">
      <c r="A4235" s="1" t="s">
        <v>238</v>
      </c>
      <c r="B4235" s="1" t="s">
        <v>48</v>
      </c>
      <c r="C4235" s="1" t="s">
        <v>11</v>
      </c>
      <c r="D4235" s="5">
        <v>45296.0</v>
      </c>
      <c r="G4235" s="1">
        <f>VLOOKUP(B4235,'old-aw-skill-plan'!A:I,7,FALSE)</f>
        <v>3</v>
      </c>
      <c r="H4235" s="1" t="str">
        <f>VLOOKUP(B4235,'old-aw-skill-plan'!A:I,9,FALSE)</f>
        <v>3-6</v>
      </c>
    </row>
    <row r="4236" ht="15.75" customHeight="1">
      <c r="A4236" s="1" t="s">
        <v>81</v>
      </c>
      <c r="B4236" s="1" t="s">
        <v>66</v>
      </c>
      <c r="C4236" s="1" t="s">
        <v>11</v>
      </c>
      <c r="D4236" s="5">
        <v>45296.0</v>
      </c>
      <c r="G4236" s="1">
        <f>VLOOKUP(B4236,'old-aw-skill-plan'!A:I,7,FALSE)</f>
        <v>4</v>
      </c>
      <c r="H4236" s="1" t="str">
        <f>VLOOKUP(B4236,'old-aw-skill-plan'!A:I,9,FALSE)</f>
        <v>4-9</v>
      </c>
    </row>
    <row r="4237" ht="15.75" customHeight="1">
      <c r="A4237" s="1" t="s">
        <v>81</v>
      </c>
      <c r="B4237" s="1" t="s">
        <v>433</v>
      </c>
      <c r="C4237" s="1" t="s">
        <v>11</v>
      </c>
      <c r="D4237" s="5">
        <v>45296.0</v>
      </c>
      <c r="G4237" s="1">
        <f>VLOOKUP(B4237,'old-aw-skill-plan'!A:I,7,FALSE)</f>
        <v>4</v>
      </c>
      <c r="H4237" s="1" t="str">
        <f>VLOOKUP(B4237,'old-aw-skill-plan'!A:I,9,FALSE)</f>
        <v>4-4</v>
      </c>
    </row>
    <row r="4238" ht="15.75" customHeight="1">
      <c r="A4238" s="1" t="s">
        <v>81</v>
      </c>
      <c r="B4238" s="1" t="s">
        <v>308</v>
      </c>
      <c r="C4238" s="1" t="s">
        <v>11</v>
      </c>
      <c r="D4238" s="5">
        <v>45296.0</v>
      </c>
      <c r="G4238" s="1">
        <f>VLOOKUP(B4238,'old-aw-skill-plan'!A:I,7,FALSE)</f>
        <v>4</v>
      </c>
      <c r="H4238" s="1" t="str">
        <f>VLOOKUP(B4238,'old-aw-skill-plan'!A:I,9,FALSE)</f>
        <v>4-9</v>
      </c>
    </row>
    <row r="4239" ht="15.75" customHeight="1">
      <c r="A4239" s="1" t="s">
        <v>81</v>
      </c>
      <c r="B4239" s="1" t="s">
        <v>399</v>
      </c>
      <c r="C4239" s="1" t="s">
        <v>11</v>
      </c>
      <c r="D4239" s="5">
        <v>45296.0</v>
      </c>
      <c r="G4239" s="1">
        <f>VLOOKUP(B4239,'old-aw-skill-plan'!A:I,7,FALSE)</f>
        <v>4</v>
      </c>
      <c r="H4239" s="1" t="str">
        <f>VLOOKUP(B4239,'old-aw-skill-plan'!A:I,9,FALSE)</f>
        <v>4-7</v>
      </c>
    </row>
    <row r="4240" ht="15.75" customHeight="1">
      <c r="A4240" s="1" t="s">
        <v>81</v>
      </c>
      <c r="B4240" s="1" t="s">
        <v>370</v>
      </c>
      <c r="C4240" s="1" t="s">
        <v>11</v>
      </c>
      <c r="D4240" s="5">
        <v>45296.0</v>
      </c>
      <c r="G4240" s="1">
        <f>VLOOKUP(B4240,'old-aw-skill-plan'!A:I,7,FALSE)</f>
        <v>4</v>
      </c>
      <c r="H4240" s="1" t="str">
        <f>VLOOKUP(B4240,'old-aw-skill-plan'!A:I,9,FALSE)</f>
        <v>4-6</v>
      </c>
    </row>
    <row r="4241" ht="15.75" customHeight="1">
      <c r="A4241" s="1" t="s">
        <v>421</v>
      </c>
      <c r="B4241" s="1" t="s">
        <v>44</v>
      </c>
      <c r="C4241" s="1" t="s">
        <v>11</v>
      </c>
      <c r="D4241" s="5">
        <v>45296.0</v>
      </c>
      <c r="G4241" s="1">
        <f>VLOOKUP(B4241,'old-aw-skill-plan'!A:I,7,FALSE)</f>
        <v>5</v>
      </c>
      <c r="H4241" s="1" t="str">
        <f>VLOOKUP(B4241,'old-aw-skill-plan'!A:I,9,FALSE)</f>
        <v>5-1</v>
      </c>
    </row>
    <row r="4242" ht="15.75" customHeight="1">
      <c r="A4242" s="1" t="s">
        <v>428</v>
      </c>
      <c r="B4242" s="1" t="s">
        <v>66</v>
      </c>
      <c r="C4242" s="1" t="s">
        <v>11</v>
      </c>
      <c r="D4242" s="5">
        <v>45296.0</v>
      </c>
      <c r="G4242" s="1">
        <f>VLOOKUP(B4242,'old-aw-skill-plan'!A:I,7,FALSE)</f>
        <v>4</v>
      </c>
      <c r="H4242" s="1" t="str">
        <f>VLOOKUP(B4242,'old-aw-skill-plan'!A:I,9,FALSE)</f>
        <v>4-9</v>
      </c>
    </row>
    <row r="4243" ht="15.75" customHeight="1">
      <c r="A4243" s="1" t="s">
        <v>420</v>
      </c>
      <c r="B4243" s="1" t="s">
        <v>57</v>
      </c>
      <c r="C4243" s="1" t="s">
        <v>11</v>
      </c>
      <c r="D4243" s="5">
        <v>45296.0</v>
      </c>
      <c r="G4243" s="1">
        <f>VLOOKUP(B4243,'old-aw-skill-plan'!A:I,7,FALSE)</f>
        <v>3</v>
      </c>
      <c r="H4243" s="1" t="str">
        <f>VLOOKUP(B4243,'old-aw-skill-plan'!A:I,9,FALSE)</f>
        <v>3-7</v>
      </c>
    </row>
    <row r="4244" ht="15.75" customHeight="1">
      <c r="A4244" s="1" t="s">
        <v>420</v>
      </c>
      <c r="B4244" s="1" t="s">
        <v>30</v>
      </c>
      <c r="C4244" s="1" t="s">
        <v>11</v>
      </c>
      <c r="D4244" s="5">
        <v>45296.0</v>
      </c>
      <c r="G4244" s="1">
        <f>VLOOKUP(B4244,'old-aw-skill-plan'!A:I,7,FALSE)</f>
        <v>3</v>
      </c>
      <c r="H4244" s="1" t="str">
        <f>VLOOKUP(B4244,'old-aw-skill-plan'!A:I,9,FALSE)</f>
        <v>3-3</v>
      </c>
    </row>
    <row r="4245" ht="15.75" customHeight="1">
      <c r="A4245" s="1" t="s">
        <v>275</v>
      </c>
      <c r="B4245" s="1" t="s">
        <v>83</v>
      </c>
      <c r="C4245" s="1" t="s">
        <v>11</v>
      </c>
      <c r="D4245" s="5">
        <v>45296.0</v>
      </c>
      <c r="G4245" s="1">
        <f>VLOOKUP(B4245,'old-aw-skill-plan'!A:I,7,FALSE)</f>
        <v>5</v>
      </c>
      <c r="H4245" s="1" t="str">
        <f>VLOOKUP(B4245,'old-aw-skill-plan'!A:I,9,FALSE)</f>
        <v>5-9</v>
      </c>
    </row>
    <row r="4246" ht="15.75" customHeight="1">
      <c r="A4246" s="1" t="s">
        <v>275</v>
      </c>
      <c r="B4246" s="1" t="s">
        <v>104</v>
      </c>
      <c r="C4246" s="1" t="s">
        <v>11</v>
      </c>
      <c r="D4246" s="5">
        <v>45296.0</v>
      </c>
      <c r="G4246" s="1">
        <f>VLOOKUP(B4246,'old-aw-skill-plan'!A:I,7,FALSE)</f>
        <v>5</v>
      </c>
      <c r="H4246" s="1" t="str">
        <f>VLOOKUP(B4246,'old-aw-skill-plan'!A:I,9,FALSE)</f>
        <v>5-2</v>
      </c>
    </row>
    <row r="4247" ht="15.75" customHeight="1">
      <c r="A4247" s="1" t="s">
        <v>203</v>
      </c>
      <c r="B4247" s="1" t="s">
        <v>104</v>
      </c>
      <c r="C4247" s="1" t="s">
        <v>11</v>
      </c>
      <c r="D4247" s="5">
        <v>45296.0</v>
      </c>
      <c r="G4247" s="1">
        <f>VLOOKUP(B4247,'old-aw-skill-plan'!A:I,7,FALSE)</f>
        <v>5</v>
      </c>
      <c r="H4247" s="1" t="str">
        <f>VLOOKUP(B4247,'old-aw-skill-plan'!A:I,9,FALSE)</f>
        <v>5-2</v>
      </c>
    </row>
    <row r="4248" ht="15.75" customHeight="1">
      <c r="A4248" s="1" t="s">
        <v>95</v>
      </c>
      <c r="B4248" s="1" t="s">
        <v>28</v>
      </c>
      <c r="C4248" s="1" t="s">
        <v>11</v>
      </c>
      <c r="D4248" s="5">
        <v>45296.0</v>
      </c>
      <c r="G4248" s="1">
        <f>VLOOKUP(B4248,'old-aw-skill-plan'!A:I,7,FALSE)</f>
        <v>3</v>
      </c>
      <c r="H4248" s="1" t="str">
        <f>VLOOKUP(B4248,'old-aw-skill-plan'!A:I,9,FALSE)</f>
        <v>3-4</v>
      </c>
    </row>
    <row r="4249" ht="15.75" customHeight="1">
      <c r="A4249" s="1" t="s">
        <v>214</v>
      </c>
      <c r="B4249" s="1" t="s">
        <v>30</v>
      </c>
      <c r="C4249" s="1" t="s">
        <v>11</v>
      </c>
      <c r="D4249" s="5">
        <v>45296.0</v>
      </c>
      <c r="G4249" s="1">
        <f>VLOOKUP(B4249,'old-aw-skill-plan'!A:I,7,FALSE)</f>
        <v>3</v>
      </c>
      <c r="H4249" s="1" t="str">
        <f>VLOOKUP(B4249,'old-aw-skill-plan'!A:I,9,FALSE)</f>
        <v>3-3</v>
      </c>
    </row>
    <row r="4250" ht="15.75" customHeight="1">
      <c r="A4250" s="1" t="s">
        <v>211</v>
      </c>
      <c r="B4250" s="1" t="s">
        <v>10</v>
      </c>
      <c r="C4250" s="1" t="s">
        <v>11</v>
      </c>
      <c r="D4250" s="5">
        <v>45296.0</v>
      </c>
      <c r="G4250" s="1">
        <f>VLOOKUP(B4250,'old-aw-skill-plan'!A:I,7,FALSE)</f>
        <v>3</v>
      </c>
      <c r="H4250" s="1" t="str">
        <f>VLOOKUP(B4250,'old-aw-skill-plan'!A:I,9,FALSE)</f>
        <v>3-1</v>
      </c>
    </row>
    <row r="4251" ht="15.75" customHeight="1">
      <c r="A4251" s="1" t="s">
        <v>209</v>
      </c>
      <c r="B4251" s="1" t="s">
        <v>25</v>
      </c>
      <c r="C4251" s="1" t="s">
        <v>11</v>
      </c>
      <c r="D4251" s="5">
        <v>45296.0</v>
      </c>
      <c r="G4251" s="1">
        <f>VLOOKUP(B4251,'old-aw-skill-plan'!A:I,7,FALSE)</f>
        <v>5</v>
      </c>
      <c r="H4251" s="1" t="str">
        <f>VLOOKUP(B4251,'old-aw-skill-plan'!A:I,9,FALSE)</f>
        <v>5-4</v>
      </c>
    </row>
    <row r="4252" ht="15.75" customHeight="1">
      <c r="A4252" s="1" t="s">
        <v>209</v>
      </c>
      <c r="B4252" s="1" t="s">
        <v>103</v>
      </c>
      <c r="C4252" s="1" t="s">
        <v>11</v>
      </c>
      <c r="D4252" s="5">
        <v>45296.0</v>
      </c>
      <c r="G4252" s="1">
        <f>VLOOKUP(B4252,'old-aw-skill-plan'!A:I,7,FALSE)</f>
        <v>5</v>
      </c>
      <c r="H4252" s="1" t="str">
        <f>VLOOKUP(B4252,'old-aw-skill-plan'!A:I,9,FALSE)</f>
        <v>5-3</v>
      </c>
    </row>
    <row r="4253" ht="15.75" customHeight="1">
      <c r="A4253" s="1" t="s">
        <v>373</v>
      </c>
      <c r="B4253" s="1" t="s">
        <v>28</v>
      </c>
      <c r="C4253" s="1" t="s">
        <v>11</v>
      </c>
      <c r="D4253" s="5">
        <v>45296.0</v>
      </c>
      <c r="G4253" s="1">
        <f>VLOOKUP(B4253,'old-aw-skill-plan'!A:I,7,FALSE)</f>
        <v>3</v>
      </c>
      <c r="H4253" s="1" t="str">
        <f>VLOOKUP(B4253,'old-aw-skill-plan'!A:I,9,FALSE)</f>
        <v>3-4</v>
      </c>
    </row>
    <row r="4254" ht="15.75" customHeight="1">
      <c r="A4254" s="1" t="s">
        <v>181</v>
      </c>
      <c r="B4254" s="1" t="s">
        <v>28</v>
      </c>
      <c r="C4254" s="1" t="s">
        <v>11</v>
      </c>
      <c r="D4254" s="5">
        <v>45296.0</v>
      </c>
      <c r="G4254" s="1">
        <f>VLOOKUP(B4254,'old-aw-skill-plan'!A:I,7,FALSE)</f>
        <v>3</v>
      </c>
      <c r="H4254" s="1" t="str">
        <f>VLOOKUP(B4254,'old-aw-skill-plan'!A:I,9,FALSE)</f>
        <v>3-4</v>
      </c>
    </row>
    <row r="4255" ht="15.75" customHeight="1">
      <c r="A4255" s="1" t="s">
        <v>181</v>
      </c>
      <c r="B4255" s="1" t="s">
        <v>10</v>
      </c>
      <c r="C4255" s="1" t="s">
        <v>11</v>
      </c>
      <c r="D4255" s="5">
        <v>45296.0</v>
      </c>
      <c r="G4255" s="1">
        <f>VLOOKUP(B4255,'old-aw-skill-plan'!A:I,7,FALSE)</f>
        <v>3</v>
      </c>
      <c r="H4255" s="1" t="str">
        <f>VLOOKUP(B4255,'old-aw-skill-plan'!A:I,9,FALSE)</f>
        <v>3-1</v>
      </c>
    </row>
    <row r="4256" ht="15.75" customHeight="1">
      <c r="A4256" s="1" t="s">
        <v>181</v>
      </c>
      <c r="B4256" s="1" t="s">
        <v>356</v>
      </c>
      <c r="C4256" s="1" t="s">
        <v>11</v>
      </c>
      <c r="D4256" s="5">
        <v>45296.0</v>
      </c>
      <c r="G4256" s="1">
        <f>VLOOKUP(B4256,'old-aw-skill-plan'!A:I,7,FALSE)</f>
        <v>3</v>
      </c>
      <c r="H4256" s="1" t="str">
        <f>VLOOKUP(B4256,'old-aw-skill-plan'!A:I,9,FALSE)</f>
        <v>3-2</v>
      </c>
    </row>
    <row r="4257" ht="15.75" customHeight="1">
      <c r="A4257" s="1" t="s">
        <v>269</v>
      </c>
      <c r="B4257" s="1" t="s">
        <v>28</v>
      </c>
      <c r="C4257" s="1" t="s">
        <v>11</v>
      </c>
      <c r="D4257" s="5">
        <v>45296.0</v>
      </c>
      <c r="G4257" s="1">
        <f>VLOOKUP(B4257,'old-aw-skill-plan'!A:I,7,FALSE)</f>
        <v>3</v>
      </c>
      <c r="H4257" s="1" t="str">
        <f>VLOOKUP(B4257,'old-aw-skill-plan'!A:I,9,FALSE)</f>
        <v>3-4</v>
      </c>
    </row>
    <row r="4258" ht="15.75" customHeight="1">
      <c r="A4258" s="1" t="s">
        <v>90</v>
      </c>
      <c r="B4258" s="1" t="s">
        <v>30</v>
      </c>
      <c r="C4258" s="1" t="s">
        <v>11</v>
      </c>
      <c r="D4258" s="5">
        <v>45296.0</v>
      </c>
      <c r="G4258" s="1">
        <f>VLOOKUP(B4258,'old-aw-skill-plan'!A:I,7,FALSE)</f>
        <v>3</v>
      </c>
      <c r="H4258" s="1" t="str">
        <f>VLOOKUP(B4258,'old-aw-skill-plan'!A:I,9,FALSE)</f>
        <v>3-3</v>
      </c>
    </row>
    <row r="4259" ht="15.75" customHeight="1">
      <c r="A4259" s="1" t="s">
        <v>463</v>
      </c>
      <c r="B4259" s="1" t="s">
        <v>44</v>
      </c>
      <c r="C4259" s="1" t="s">
        <v>11</v>
      </c>
      <c r="D4259" s="5">
        <v>45296.0</v>
      </c>
      <c r="G4259" s="1">
        <f>VLOOKUP(B4259,'old-aw-skill-plan'!A:I,7,FALSE)</f>
        <v>5</v>
      </c>
      <c r="H4259" s="1" t="str">
        <f>VLOOKUP(B4259,'old-aw-skill-plan'!A:I,9,FALSE)</f>
        <v>5-1</v>
      </c>
    </row>
    <row r="4260" ht="15.75" customHeight="1">
      <c r="A4260" s="1" t="s">
        <v>93</v>
      </c>
      <c r="B4260" s="1" t="s">
        <v>354</v>
      </c>
      <c r="C4260" s="1" t="s">
        <v>11</v>
      </c>
      <c r="D4260" s="5">
        <v>45296.0</v>
      </c>
      <c r="G4260" s="1">
        <f>VLOOKUP(B4260,'old-aw-skill-plan'!A:I,7,FALSE)</f>
        <v>3</v>
      </c>
      <c r="H4260" s="1" t="str">
        <f>VLOOKUP(B4260,'old-aw-skill-plan'!A:I,9,FALSE)</f>
        <v>3-7</v>
      </c>
    </row>
    <row r="4261" ht="15.75" customHeight="1">
      <c r="A4261" s="1" t="s">
        <v>93</v>
      </c>
      <c r="B4261" s="1" t="s">
        <v>405</v>
      </c>
      <c r="C4261" s="1" t="s">
        <v>11</v>
      </c>
      <c r="D4261" s="5">
        <v>45296.0</v>
      </c>
      <c r="G4261" s="1">
        <f>VLOOKUP(B4261,'old-aw-skill-plan'!A:I,7,FALSE)</f>
        <v>3</v>
      </c>
      <c r="H4261" s="1" t="str">
        <f>VLOOKUP(B4261,'old-aw-skill-plan'!A:I,9,FALSE)</f>
        <v>3-9</v>
      </c>
    </row>
    <row r="4262" ht="15.75" customHeight="1">
      <c r="A4262" s="1" t="s">
        <v>365</v>
      </c>
      <c r="B4262" s="1" t="s">
        <v>34</v>
      </c>
      <c r="C4262" s="1" t="s">
        <v>11</v>
      </c>
      <c r="D4262" s="5">
        <v>45296.0</v>
      </c>
      <c r="G4262" s="1">
        <f>VLOOKUP(B4262,'old-aw-skill-plan'!A:I,7,FALSE)</f>
        <v>4</v>
      </c>
      <c r="H4262" s="1" t="str">
        <f>VLOOKUP(B4262,'old-aw-skill-plan'!A:I,9,FALSE)</f>
        <v>4-1</v>
      </c>
    </row>
    <row r="4263" ht="15.75" customHeight="1">
      <c r="A4263" s="1" t="s">
        <v>94</v>
      </c>
      <c r="B4263" s="1" t="s">
        <v>116</v>
      </c>
      <c r="C4263" s="1" t="s">
        <v>11</v>
      </c>
      <c r="D4263" s="5">
        <v>45296.0</v>
      </c>
      <c r="G4263" s="1">
        <f>VLOOKUP(B4263,'old-aw-skill-plan'!A:I,7,FALSE)</f>
        <v>3</v>
      </c>
      <c r="H4263" s="1" t="str">
        <f>VLOOKUP(B4263,'old-aw-skill-plan'!A:I,9,FALSE)</f>
        <v>3-9</v>
      </c>
    </row>
    <row r="4264" ht="15.75" customHeight="1">
      <c r="A4264" s="1" t="s">
        <v>94</v>
      </c>
      <c r="B4264" s="1" t="s">
        <v>111</v>
      </c>
      <c r="C4264" s="1" t="s">
        <v>11</v>
      </c>
      <c r="D4264" s="5">
        <v>45296.0</v>
      </c>
      <c r="G4264" s="1" t="str">
        <f>VLOOKUP(B4264,'old-aw-skill-plan'!A:I,7,FALSE)</f>
        <v>#N/A</v>
      </c>
      <c r="H4264" s="1" t="str">
        <f>VLOOKUP(B4264,'old-aw-skill-plan'!A:I,9,FALSE)</f>
        <v>#N/A</v>
      </c>
    </row>
    <row r="4265" ht="15.75" customHeight="1">
      <c r="A4265" s="1" t="s">
        <v>225</v>
      </c>
      <c r="B4265" s="1" t="s">
        <v>320</v>
      </c>
      <c r="C4265" s="1" t="s">
        <v>11</v>
      </c>
      <c r="D4265" s="5">
        <v>45296.0</v>
      </c>
      <c r="G4265" s="1">
        <f>VLOOKUP(B4265,'old-aw-skill-plan'!A:I,7,FALSE)</f>
        <v>4</v>
      </c>
      <c r="H4265" s="1" t="str">
        <f>VLOOKUP(B4265,'old-aw-skill-plan'!A:I,9,FALSE)</f>
        <v>4-2</v>
      </c>
    </row>
    <row r="4266" ht="15.75" customHeight="1">
      <c r="A4266" s="1" t="s">
        <v>427</v>
      </c>
      <c r="B4266" s="1" t="s">
        <v>30</v>
      </c>
      <c r="C4266" s="1" t="s">
        <v>11</v>
      </c>
      <c r="D4266" s="5">
        <v>45296.0</v>
      </c>
      <c r="G4266" s="1">
        <f>VLOOKUP(B4266,'old-aw-skill-plan'!A:I,7,FALSE)</f>
        <v>3</v>
      </c>
      <c r="H4266" s="1" t="str">
        <f>VLOOKUP(B4266,'old-aw-skill-plan'!A:I,9,FALSE)</f>
        <v>3-3</v>
      </c>
    </row>
    <row r="4267" ht="15.75" customHeight="1">
      <c r="A4267" s="1" t="s">
        <v>110</v>
      </c>
      <c r="B4267" s="1" t="s">
        <v>28</v>
      </c>
      <c r="C4267" s="1" t="s">
        <v>11</v>
      </c>
      <c r="D4267" s="5">
        <v>45296.0</v>
      </c>
      <c r="G4267" s="1">
        <f>VLOOKUP(B4267,'old-aw-skill-plan'!A:I,7,FALSE)</f>
        <v>3</v>
      </c>
      <c r="H4267" s="1" t="str">
        <f>VLOOKUP(B4267,'old-aw-skill-plan'!A:I,9,FALSE)</f>
        <v>3-4</v>
      </c>
    </row>
    <row r="4268" ht="15.75" customHeight="1">
      <c r="A4268" s="1" t="s">
        <v>22</v>
      </c>
      <c r="B4268" s="1" t="s">
        <v>21</v>
      </c>
      <c r="C4268" s="1" t="s">
        <v>11</v>
      </c>
      <c r="D4268" s="5">
        <v>45295.0</v>
      </c>
      <c r="G4268" s="1">
        <f>VLOOKUP(B4268,'old-aw-skill-plan'!A:I,7,FALSE)</f>
        <v>4</v>
      </c>
      <c r="H4268" s="1" t="str">
        <f>VLOOKUP(B4268,'old-aw-skill-plan'!A:I,9,FALSE)</f>
        <v>4-6</v>
      </c>
    </row>
    <row r="4269" ht="15.75" customHeight="1">
      <c r="A4269" s="1" t="s">
        <v>216</v>
      </c>
      <c r="B4269" s="1" t="s">
        <v>34</v>
      </c>
      <c r="C4269" s="1" t="s">
        <v>11</v>
      </c>
      <c r="D4269" s="5">
        <v>45295.0</v>
      </c>
      <c r="G4269" s="1">
        <f>VLOOKUP(B4269,'old-aw-skill-plan'!A:I,7,FALSE)</f>
        <v>4</v>
      </c>
      <c r="H4269" s="1" t="str">
        <f>VLOOKUP(B4269,'old-aw-skill-plan'!A:I,9,FALSE)</f>
        <v>4-1</v>
      </c>
    </row>
    <row r="4270" ht="15.75" customHeight="1">
      <c r="A4270" s="1" t="s">
        <v>35</v>
      </c>
      <c r="B4270" s="1" t="s">
        <v>66</v>
      </c>
      <c r="C4270" s="1" t="s">
        <v>11</v>
      </c>
      <c r="D4270" s="5">
        <v>45295.0</v>
      </c>
      <c r="G4270" s="1">
        <f>VLOOKUP(B4270,'old-aw-skill-plan'!A:I,7,FALSE)</f>
        <v>4</v>
      </c>
      <c r="H4270" s="1" t="str">
        <f>VLOOKUP(B4270,'old-aw-skill-plan'!A:I,9,FALSE)</f>
        <v>4-9</v>
      </c>
    </row>
    <row r="4271" ht="15.75" customHeight="1">
      <c r="A4271" s="1" t="s">
        <v>35</v>
      </c>
      <c r="B4271" s="1" t="s">
        <v>19</v>
      </c>
      <c r="C4271" s="1" t="s">
        <v>11</v>
      </c>
      <c r="D4271" s="5">
        <v>45295.0</v>
      </c>
      <c r="G4271" s="1">
        <f>VLOOKUP(B4271,'old-aw-skill-plan'!A:I,7,FALSE)</f>
        <v>4</v>
      </c>
      <c r="H4271" s="1" t="str">
        <f>VLOOKUP(B4271,'old-aw-skill-plan'!A:I,9,FALSE)</f>
        <v>4-7</v>
      </c>
    </row>
    <row r="4272" ht="15.75" customHeight="1">
      <c r="A4272" s="1" t="s">
        <v>24</v>
      </c>
      <c r="B4272" s="1" t="s">
        <v>34</v>
      </c>
      <c r="C4272" s="1" t="s">
        <v>11</v>
      </c>
      <c r="D4272" s="5">
        <v>45295.0</v>
      </c>
      <c r="G4272" s="1">
        <f>VLOOKUP(B4272,'old-aw-skill-plan'!A:I,7,FALSE)</f>
        <v>4</v>
      </c>
      <c r="H4272" s="1" t="str">
        <f>VLOOKUP(B4272,'old-aw-skill-plan'!A:I,9,FALSE)</f>
        <v>4-1</v>
      </c>
    </row>
    <row r="4273" ht="15.75" customHeight="1">
      <c r="A4273" s="1" t="s">
        <v>213</v>
      </c>
      <c r="B4273" s="1" t="s">
        <v>10</v>
      </c>
      <c r="C4273" s="1" t="s">
        <v>11</v>
      </c>
      <c r="D4273" s="5">
        <v>45295.0</v>
      </c>
      <c r="G4273" s="1">
        <f>VLOOKUP(B4273,'old-aw-skill-plan'!A:I,7,FALSE)</f>
        <v>3</v>
      </c>
      <c r="H4273" s="1" t="str">
        <f>VLOOKUP(B4273,'old-aw-skill-plan'!A:I,9,FALSE)</f>
        <v>3-1</v>
      </c>
    </row>
    <row r="4274" ht="15.75" customHeight="1">
      <c r="A4274" s="1" t="s">
        <v>46</v>
      </c>
      <c r="B4274" s="1" t="s">
        <v>10</v>
      </c>
      <c r="C4274" s="1" t="s">
        <v>11</v>
      </c>
      <c r="D4274" s="5">
        <v>45295.0</v>
      </c>
      <c r="G4274" s="1">
        <f>VLOOKUP(B4274,'old-aw-skill-plan'!A:I,7,FALSE)</f>
        <v>3</v>
      </c>
      <c r="H4274" s="1" t="str">
        <f>VLOOKUP(B4274,'old-aw-skill-plan'!A:I,9,FALSE)</f>
        <v>3-1</v>
      </c>
    </row>
    <row r="4275" ht="15.75" customHeight="1">
      <c r="A4275" s="1" t="s">
        <v>81</v>
      </c>
      <c r="B4275" s="1" t="s">
        <v>66</v>
      </c>
      <c r="C4275" s="1" t="s">
        <v>11</v>
      </c>
      <c r="D4275" s="5">
        <v>45295.0</v>
      </c>
      <c r="G4275" s="1">
        <f>VLOOKUP(B4275,'old-aw-skill-plan'!A:I,7,FALSE)</f>
        <v>4</v>
      </c>
      <c r="H4275" s="1" t="str">
        <f>VLOOKUP(B4275,'old-aw-skill-plan'!A:I,9,FALSE)</f>
        <v>4-9</v>
      </c>
    </row>
    <row r="4276" ht="15.75" customHeight="1">
      <c r="A4276" s="1" t="s">
        <v>421</v>
      </c>
      <c r="B4276" s="1" t="s">
        <v>44</v>
      </c>
      <c r="C4276" s="1" t="s">
        <v>11</v>
      </c>
      <c r="D4276" s="5">
        <v>45295.0</v>
      </c>
      <c r="G4276" s="1">
        <f>VLOOKUP(B4276,'old-aw-skill-plan'!A:I,7,FALSE)</f>
        <v>5</v>
      </c>
      <c r="H4276" s="1" t="str">
        <f>VLOOKUP(B4276,'old-aw-skill-plan'!A:I,9,FALSE)</f>
        <v>5-1</v>
      </c>
    </row>
    <row r="4277" ht="15.75" customHeight="1">
      <c r="A4277" s="1" t="s">
        <v>428</v>
      </c>
      <c r="B4277" s="1" t="s">
        <v>66</v>
      </c>
      <c r="C4277" s="1" t="s">
        <v>11</v>
      </c>
      <c r="D4277" s="5">
        <v>45295.0</v>
      </c>
      <c r="G4277" s="1">
        <f>VLOOKUP(B4277,'old-aw-skill-plan'!A:I,7,FALSE)</f>
        <v>4</v>
      </c>
      <c r="H4277" s="1" t="str">
        <f>VLOOKUP(B4277,'old-aw-skill-plan'!A:I,9,FALSE)</f>
        <v>4-9</v>
      </c>
    </row>
    <row r="4278" ht="15.75" customHeight="1">
      <c r="A4278" s="1" t="s">
        <v>428</v>
      </c>
      <c r="B4278" s="1" t="s">
        <v>19</v>
      </c>
      <c r="C4278" s="1" t="s">
        <v>11</v>
      </c>
      <c r="D4278" s="5">
        <v>45295.0</v>
      </c>
      <c r="G4278" s="1">
        <f>VLOOKUP(B4278,'old-aw-skill-plan'!A:I,7,FALSE)</f>
        <v>4</v>
      </c>
      <c r="H4278" s="1" t="str">
        <f>VLOOKUP(B4278,'old-aw-skill-plan'!A:I,9,FALSE)</f>
        <v>4-7</v>
      </c>
    </row>
    <row r="4279" ht="15.75" customHeight="1">
      <c r="A4279" s="1" t="s">
        <v>275</v>
      </c>
      <c r="B4279" s="1" t="s">
        <v>57</v>
      </c>
      <c r="C4279" s="1" t="s">
        <v>11</v>
      </c>
      <c r="D4279" s="5">
        <v>45295.0</v>
      </c>
      <c r="G4279" s="1">
        <f>VLOOKUP(B4279,'old-aw-skill-plan'!A:I,7,FALSE)</f>
        <v>3</v>
      </c>
      <c r="H4279" s="1" t="str">
        <f>VLOOKUP(B4279,'old-aw-skill-plan'!A:I,9,FALSE)</f>
        <v>3-7</v>
      </c>
    </row>
    <row r="4280" ht="15.75" customHeight="1">
      <c r="A4280" s="1" t="s">
        <v>275</v>
      </c>
      <c r="B4280" s="1" t="s">
        <v>354</v>
      </c>
      <c r="C4280" s="1" t="s">
        <v>11</v>
      </c>
      <c r="D4280" s="5">
        <v>45295.0</v>
      </c>
      <c r="G4280" s="1">
        <f>VLOOKUP(B4280,'old-aw-skill-plan'!A:I,7,FALSE)</f>
        <v>3</v>
      </c>
      <c r="H4280" s="1" t="str">
        <f>VLOOKUP(B4280,'old-aw-skill-plan'!A:I,9,FALSE)</f>
        <v>3-7</v>
      </c>
    </row>
    <row r="4281" ht="15.75" customHeight="1">
      <c r="A4281" s="1" t="s">
        <v>275</v>
      </c>
      <c r="B4281" s="1" t="s">
        <v>361</v>
      </c>
      <c r="C4281" s="1" t="s">
        <v>11</v>
      </c>
      <c r="D4281" s="5">
        <v>45295.0</v>
      </c>
      <c r="G4281" s="1">
        <f>VLOOKUP(B4281,'old-aw-skill-plan'!A:I,7,FALSE)</f>
        <v>3</v>
      </c>
      <c r="H4281" s="1" t="str">
        <f>VLOOKUP(B4281,'old-aw-skill-plan'!A:I,9,FALSE)</f>
        <v>3-7</v>
      </c>
    </row>
    <row r="4282" ht="15.75" customHeight="1">
      <c r="A4282" s="1" t="s">
        <v>275</v>
      </c>
      <c r="B4282" s="1" t="s">
        <v>83</v>
      </c>
      <c r="C4282" s="1" t="s">
        <v>11</v>
      </c>
      <c r="D4282" s="5">
        <v>45295.0</v>
      </c>
      <c r="G4282" s="1">
        <f>VLOOKUP(B4282,'old-aw-skill-plan'!A:I,7,FALSE)</f>
        <v>5</v>
      </c>
      <c r="H4282" s="1" t="str">
        <f>VLOOKUP(B4282,'old-aw-skill-plan'!A:I,9,FALSE)</f>
        <v>5-9</v>
      </c>
    </row>
    <row r="4283" ht="15.75" customHeight="1">
      <c r="A4283" s="1" t="s">
        <v>203</v>
      </c>
      <c r="B4283" s="1" t="s">
        <v>104</v>
      </c>
      <c r="C4283" s="1" t="s">
        <v>11</v>
      </c>
      <c r="D4283" s="5">
        <v>45295.0</v>
      </c>
      <c r="G4283" s="1">
        <f>VLOOKUP(B4283,'old-aw-skill-plan'!A:I,7,FALSE)</f>
        <v>5</v>
      </c>
      <c r="H4283" s="1" t="str">
        <f>VLOOKUP(B4283,'old-aw-skill-plan'!A:I,9,FALSE)</f>
        <v>5-2</v>
      </c>
    </row>
    <row r="4284" ht="15.75" customHeight="1">
      <c r="A4284" s="1" t="s">
        <v>95</v>
      </c>
      <c r="B4284" s="1" t="s">
        <v>30</v>
      </c>
      <c r="C4284" s="1" t="s">
        <v>11</v>
      </c>
      <c r="D4284" s="5">
        <v>45295.0</v>
      </c>
      <c r="G4284" s="1">
        <f>VLOOKUP(B4284,'old-aw-skill-plan'!A:I,7,FALSE)</f>
        <v>3</v>
      </c>
      <c r="H4284" s="1" t="str">
        <f>VLOOKUP(B4284,'old-aw-skill-plan'!A:I,9,FALSE)</f>
        <v>3-3</v>
      </c>
    </row>
    <row r="4285" ht="15.75" customHeight="1">
      <c r="A4285" s="1" t="s">
        <v>214</v>
      </c>
      <c r="B4285" s="1" t="s">
        <v>30</v>
      </c>
      <c r="C4285" s="1" t="s">
        <v>11</v>
      </c>
      <c r="D4285" s="5">
        <v>45295.0</v>
      </c>
      <c r="G4285" s="1">
        <f>VLOOKUP(B4285,'old-aw-skill-plan'!A:I,7,FALSE)</f>
        <v>3</v>
      </c>
      <c r="H4285" s="1" t="str">
        <f>VLOOKUP(B4285,'old-aw-skill-plan'!A:I,9,FALSE)</f>
        <v>3-3</v>
      </c>
    </row>
    <row r="4286" ht="15.75" customHeight="1">
      <c r="A4286" s="1" t="s">
        <v>211</v>
      </c>
      <c r="B4286" s="1" t="s">
        <v>10</v>
      </c>
      <c r="C4286" s="1" t="s">
        <v>11</v>
      </c>
      <c r="D4286" s="5">
        <v>45295.0</v>
      </c>
      <c r="G4286" s="1">
        <f>VLOOKUP(B4286,'old-aw-skill-plan'!A:I,7,FALSE)</f>
        <v>3</v>
      </c>
      <c r="H4286" s="1" t="str">
        <f>VLOOKUP(B4286,'old-aw-skill-plan'!A:I,9,FALSE)</f>
        <v>3-1</v>
      </c>
    </row>
    <row r="4287" ht="15.75" customHeight="1">
      <c r="A4287" s="1" t="s">
        <v>209</v>
      </c>
      <c r="B4287" s="1" t="s">
        <v>103</v>
      </c>
      <c r="C4287" s="1" t="s">
        <v>11</v>
      </c>
      <c r="D4287" s="5">
        <v>45295.0</v>
      </c>
      <c r="G4287" s="1">
        <f>VLOOKUP(B4287,'old-aw-skill-plan'!A:I,7,FALSE)</f>
        <v>5</v>
      </c>
      <c r="H4287" s="1" t="str">
        <f>VLOOKUP(B4287,'old-aw-skill-plan'!A:I,9,FALSE)</f>
        <v>5-3</v>
      </c>
    </row>
    <row r="4288" ht="15.75" customHeight="1">
      <c r="A4288" s="1" t="s">
        <v>209</v>
      </c>
      <c r="B4288" s="1" t="s">
        <v>104</v>
      </c>
      <c r="C4288" s="1" t="s">
        <v>11</v>
      </c>
      <c r="D4288" s="5">
        <v>45295.0</v>
      </c>
      <c r="G4288" s="1">
        <f>VLOOKUP(B4288,'old-aw-skill-plan'!A:I,7,FALSE)</f>
        <v>5</v>
      </c>
      <c r="H4288" s="1" t="str">
        <f>VLOOKUP(B4288,'old-aw-skill-plan'!A:I,9,FALSE)</f>
        <v>5-2</v>
      </c>
    </row>
    <row r="4289" ht="15.75" customHeight="1">
      <c r="A4289" s="1" t="s">
        <v>90</v>
      </c>
      <c r="B4289" s="1" t="s">
        <v>30</v>
      </c>
      <c r="C4289" s="1" t="s">
        <v>11</v>
      </c>
      <c r="D4289" s="5">
        <v>45295.0</v>
      </c>
      <c r="G4289" s="1">
        <f>VLOOKUP(B4289,'old-aw-skill-plan'!A:I,7,FALSE)</f>
        <v>3</v>
      </c>
      <c r="H4289" s="1" t="str">
        <f>VLOOKUP(B4289,'old-aw-skill-plan'!A:I,9,FALSE)</f>
        <v>3-3</v>
      </c>
    </row>
    <row r="4290" ht="15.75" customHeight="1">
      <c r="A4290" s="1" t="s">
        <v>463</v>
      </c>
      <c r="B4290" s="1" t="s">
        <v>44</v>
      </c>
      <c r="C4290" s="1" t="s">
        <v>11</v>
      </c>
      <c r="D4290" s="5">
        <v>45295.0</v>
      </c>
      <c r="G4290" s="1">
        <f>VLOOKUP(B4290,'old-aw-skill-plan'!A:I,7,FALSE)</f>
        <v>5</v>
      </c>
      <c r="H4290" s="1" t="str">
        <f>VLOOKUP(B4290,'old-aw-skill-plan'!A:I,9,FALSE)</f>
        <v>5-1</v>
      </c>
    </row>
    <row r="4291" ht="15.75" customHeight="1">
      <c r="A4291" s="1" t="s">
        <v>93</v>
      </c>
      <c r="B4291" s="1" t="s">
        <v>66</v>
      </c>
      <c r="C4291" s="1" t="s">
        <v>11</v>
      </c>
      <c r="D4291" s="5">
        <v>45295.0</v>
      </c>
      <c r="G4291" s="1">
        <f>VLOOKUP(B4291,'old-aw-skill-plan'!A:I,7,FALSE)</f>
        <v>4</v>
      </c>
      <c r="H4291" s="1" t="str">
        <f>VLOOKUP(B4291,'old-aw-skill-plan'!A:I,9,FALSE)</f>
        <v>4-9</v>
      </c>
    </row>
    <row r="4292" ht="15.75" customHeight="1">
      <c r="A4292" s="1" t="s">
        <v>93</v>
      </c>
      <c r="B4292" s="1" t="s">
        <v>308</v>
      </c>
      <c r="C4292" s="1" t="s">
        <v>11</v>
      </c>
      <c r="D4292" s="5">
        <v>45295.0</v>
      </c>
      <c r="G4292" s="1">
        <f>VLOOKUP(B4292,'old-aw-skill-plan'!A:I,7,FALSE)</f>
        <v>4</v>
      </c>
      <c r="H4292" s="1" t="str">
        <f>VLOOKUP(B4292,'old-aw-skill-plan'!A:I,9,FALSE)</f>
        <v>4-9</v>
      </c>
    </row>
    <row r="4293" ht="15.75" customHeight="1">
      <c r="A4293" s="1" t="s">
        <v>93</v>
      </c>
      <c r="B4293" s="1" t="s">
        <v>394</v>
      </c>
      <c r="C4293" s="1" t="s">
        <v>11</v>
      </c>
      <c r="D4293" s="5">
        <v>45295.0</v>
      </c>
      <c r="G4293" s="1" t="str">
        <f>VLOOKUP(B4293,'old-aw-skill-plan'!A:I,7,FALSE)</f>
        <v>#N/A</v>
      </c>
      <c r="H4293" s="1" t="str">
        <f>VLOOKUP(B4293,'old-aw-skill-plan'!A:I,9,FALSE)</f>
        <v>#N/A</v>
      </c>
    </row>
    <row r="4294" ht="15.75" customHeight="1">
      <c r="A4294" s="1" t="s">
        <v>365</v>
      </c>
      <c r="B4294" s="1" t="s">
        <v>34</v>
      </c>
      <c r="C4294" s="1" t="s">
        <v>11</v>
      </c>
      <c r="D4294" s="5">
        <v>45295.0</v>
      </c>
      <c r="G4294" s="1">
        <f>VLOOKUP(B4294,'old-aw-skill-plan'!A:I,7,FALSE)</f>
        <v>4</v>
      </c>
      <c r="H4294" s="1" t="str">
        <f>VLOOKUP(B4294,'old-aw-skill-plan'!A:I,9,FALSE)</f>
        <v>4-1</v>
      </c>
    </row>
    <row r="4295" ht="15.75" customHeight="1">
      <c r="A4295" s="1" t="s">
        <v>94</v>
      </c>
      <c r="B4295" s="1" t="s">
        <v>116</v>
      </c>
      <c r="C4295" s="1" t="s">
        <v>11</v>
      </c>
      <c r="D4295" s="5">
        <v>45295.0</v>
      </c>
      <c r="G4295" s="1">
        <f>VLOOKUP(B4295,'old-aw-skill-plan'!A:I,7,FALSE)</f>
        <v>3</v>
      </c>
      <c r="H4295" s="1" t="str">
        <f>VLOOKUP(B4295,'old-aw-skill-plan'!A:I,9,FALSE)</f>
        <v>3-9</v>
      </c>
    </row>
    <row r="4296" ht="15.75" customHeight="1">
      <c r="A4296" s="1" t="s">
        <v>94</v>
      </c>
      <c r="B4296" s="1" t="s">
        <v>111</v>
      </c>
      <c r="C4296" s="1" t="s">
        <v>11</v>
      </c>
      <c r="D4296" s="5">
        <v>45295.0</v>
      </c>
      <c r="G4296" s="1" t="str">
        <f>VLOOKUP(B4296,'old-aw-skill-plan'!A:I,7,FALSE)</f>
        <v>#N/A</v>
      </c>
      <c r="H4296" s="1" t="str">
        <f>VLOOKUP(B4296,'old-aw-skill-plan'!A:I,9,FALSE)</f>
        <v>#N/A</v>
      </c>
    </row>
    <row r="4297" ht="15.75" customHeight="1">
      <c r="A4297" s="1" t="s">
        <v>225</v>
      </c>
      <c r="B4297" s="1" t="s">
        <v>34</v>
      </c>
      <c r="C4297" s="1" t="s">
        <v>11</v>
      </c>
      <c r="D4297" s="5">
        <v>45295.0</v>
      </c>
      <c r="G4297" s="1">
        <f>VLOOKUP(B4297,'old-aw-skill-plan'!A:I,7,FALSE)</f>
        <v>4</v>
      </c>
      <c r="H4297" s="1" t="str">
        <f>VLOOKUP(B4297,'old-aw-skill-plan'!A:I,9,FALSE)</f>
        <v>4-1</v>
      </c>
    </row>
    <row r="4298" ht="15.75" customHeight="1">
      <c r="A4298" s="1" t="s">
        <v>427</v>
      </c>
      <c r="B4298" s="1" t="s">
        <v>30</v>
      </c>
      <c r="C4298" s="1" t="s">
        <v>11</v>
      </c>
      <c r="D4298" s="5">
        <v>45295.0</v>
      </c>
      <c r="G4298" s="1">
        <f>VLOOKUP(B4298,'old-aw-skill-plan'!A:I,7,FALSE)</f>
        <v>3</v>
      </c>
      <c r="H4298" s="1" t="str">
        <f>VLOOKUP(B4298,'old-aw-skill-plan'!A:I,9,FALSE)</f>
        <v>3-3</v>
      </c>
    </row>
    <row r="4299" ht="15.75" customHeight="1">
      <c r="A4299" s="1" t="s">
        <v>110</v>
      </c>
      <c r="B4299" s="1" t="s">
        <v>28</v>
      </c>
      <c r="C4299" s="1" t="s">
        <v>11</v>
      </c>
      <c r="D4299" s="5">
        <v>45295.0</v>
      </c>
      <c r="G4299" s="1">
        <f>VLOOKUP(B4299,'old-aw-skill-plan'!A:I,7,FALSE)</f>
        <v>3</v>
      </c>
      <c r="H4299" s="1" t="str">
        <f>VLOOKUP(B4299,'old-aw-skill-plan'!A:I,9,FALSE)</f>
        <v>3-4</v>
      </c>
    </row>
    <row r="4300" ht="15.75" customHeight="1">
      <c r="A4300" s="1" t="s">
        <v>216</v>
      </c>
      <c r="B4300" s="1" t="s">
        <v>34</v>
      </c>
      <c r="C4300" s="1" t="s">
        <v>11</v>
      </c>
      <c r="D4300" s="5">
        <v>45294.0</v>
      </c>
      <c r="G4300" s="1">
        <f>VLOOKUP(B4300,'old-aw-skill-plan'!A:I,7,FALSE)</f>
        <v>4</v>
      </c>
      <c r="H4300" s="1" t="str">
        <f>VLOOKUP(B4300,'old-aw-skill-plan'!A:I,9,FALSE)</f>
        <v>4-1</v>
      </c>
    </row>
    <row r="4301" ht="15.75" customHeight="1">
      <c r="A4301" s="1" t="s">
        <v>35</v>
      </c>
      <c r="B4301" s="1" t="s">
        <v>61</v>
      </c>
      <c r="C4301" s="1" t="s">
        <v>11</v>
      </c>
      <c r="D4301" s="5">
        <v>45294.0</v>
      </c>
      <c r="G4301" s="1">
        <f>VLOOKUP(B4301,'old-aw-skill-plan'!A:I,7,FALSE)</f>
        <v>4</v>
      </c>
      <c r="H4301" s="1" t="str">
        <f>VLOOKUP(B4301,'old-aw-skill-plan'!A:I,9,FALSE)</f>
        <v>4-4</v>
      </c>
    </row>
    <row r="4302" ht="15.75" customHeight="1">
      <c r="A4302" s="1" t="s">
        <v>35</v>
      </c>
      <c r="B4302" s="1" t="s">
        <v>19</v>
      </c>
      <c r="C4302" s="1" t="s">
        <v>11</v>
      </c>
      <c r="D4302" s="5">
        <v>45294.0</v>
      </c>
      <c r="G4302" s="1">
        <f>VLOOKUP(B4302,'old-aw-skill-plan'!A:I,7,FALSE)</f>
        <v>4</v>
      </c>
      <c r="H4302" s="1" t="str">
        <f>VLOOKUP(B4302,'old-aw-skill-plan'!A:I,9,FALSE)</f>
        <v>4-7</v>
      </c>
    </row>
    <row r="4303" ht="15.75" customHeight="1">
      <c r="A4303" s="1" t="s">
        <v>35</v>
      </c>
      <c r="B4303" s="1" t="s">
        <v>21</v>
      </c>
      <c r="C4303" s="1" t="s">
        <v>11</v>
      </c>
      <c r="D4303" s="5">
        <v>45294.0</v>
      </c>
      <c r="G4303" s="1">
        <f>VLOOKUP(B4303,'old-aw-skill-plan'!A:I,7,FALSE)</f>
        <v>4</v>
      </c>
      <c r="H4303" s="1" t="str">
        <f>VLOOKUP(B4303,'old-aw-skill-plan'!A:I,9,FALSE)</f>
        <v>4-6</v>
      </c>
    </row>
    <row r="4304" ht="15.75" customHeight="1">
      <c r="A4304" s="1" t="s">
        <v>24</v>
      </c>
      <c r="B4304" s="1" t="s">
        <v>34</v>
      </c>
      <c r="C4304" s="1" t="s">
        <v>11</v>
      </c>
      <c r="D4304" s="5">
        <v>45294.0</v>
      </c>
      <c r="G4304" s="1">
        <f>VLOOKUP(B4304,'old-aw-skill-plan'!A:I,7,FALSE)</f>
        <v>4</v>
      </c>
      <c r="H4304" s="1" t="str">
        <f>VLOOKUP(B4304,'old-aw-skill-plan'!A:I,9,FALSE)</f>
        <v>4-1</v>
      </c>
    </row>
    <row r="4305" ht="15.75" customHeight="1">
      <c r="A4305" s="1" t="s">
        <v>213</v>
      </c>
      <c r="B4305" s="1" t="s">
        <v>10</v>
      </c>
      <c r="C4305" s="1" t="s">
        <v>11</v>
      </c>
      <c r="D4305" s="5">
        <v>45294.0</v>
      </c>
      <c r="G4305" s="1">
        <f>VLOOKUP(B4305,'old-aw-skill-plan'!A:I,7,FALSE)</f>
        <v>3</v>
      </c>
      <c r="H4305" s="1" t="str">
        <f>VLOOKUP(B4305,'old-aw-skill-plan'!A:I,9,FALSE)</f>
        <v>3-1</v>
      </c>
    </row>
    <row r="4306" ht="15.75" customHeight="1">
      <c r="A4306" s="1" t="s">
        <v>273</v>
      </c>
      <c r="B4306" s="1" t="s">
        <v>47</v>
      </c>
      <c r="C4306" s="1" t="s">
        <v>11</v>
      </c>
      <c r="D4306" s="5">
        <v>45294.0</v>
      </c>
      <c r="G4306" s="1">
        <f>VLOOKUP(B4306,'old-aw-skill-plan'!A:I,7,FALSE)</f>
        <v>3</v>
      </c>
      <c r="H4306" s="1" t="str">
        <f>VLOOKUP(B4306,'old-aw-skill-plan'!A:I,9,FALSE)</f>
        <v>3-2</v>
      </c>
    </row>
    <row r="4307" ht="15.75" customHeight="1">
      <c r="A4307" s="1" t="s">
        <v>237</v>
      </c>
      <c r="B4307" s="1" t="s">
        <v>28</v>
      </c>
      <c r="C4307" s="1" t="s">
        <v>11</v>
      </c>
      <c r="D4307" s="5">
        <v>45294.0</v>
      </c>
      <c r="G4307" s="1">
        <f>VLOOKUP(B4307,'old-aw-skill-plan'!A:I,7,FALSE)</f>
        <v>3</v>
      </c>
      <c r="H4307" s="1" t="str">
        <f>VLOOKUP(B4307,'old-aw-skill-plan'!A:I,9,FALSE)</f>
        <v>3-4</v>
      </c>
    </row>
    <row r="4308" ht="15.75" customHeight="1">
      <c r="A4308" s="1" t="s">
        <v>237</v>
      </c>
      <c r="B4308" s="1" t="s">
        <v>57</v>
      </c>
      <c r="C4308" s="1" t="s">
        <v>11</v>
      </c>
      <c r="D4308" s="5">
        <v>45294.0</v>
      </c>
      <c r="G4308" s="1">
        <f>VLOOKUP(B4308,'old-aw-skill-plan'!A:I,7,FALSE)</f>
        <v>3</v>
      </c>
      <c r="H4308" s="1" t="str">
        <f>VLOOKUP(B4308,'old-aw-skill-plan'!A:I,9,FALSE)</f>
        <v>3-7</v>
      </c>
    </row>
    <row r="4309" ht="15.75" customHeight="1">
      <c r="A4309" s="1" t="s">
        <v>237</v>
      </c>
      <c r="B4309" s="1" t="s">
        <v>30</v>
      </c>
      <c r="C4309" s="1" t="s">
        <v>11</v>
      </c>
      <c r="D4309" s="5">
        <v>45294.0</v>
      </c>
      <c r="G4309" s="1">
        <f>VLOOKUP(B4309,'old-aw-skill-plan'!A:I,7,FALSE)</f>
        <v>3</v>
      </c>
      <c r="H4309" s="1" t="str">
        <f>VLOOKUP(B4309,'old-aw-skill-plan'!A:I,9,FALSE)</f>
        <v>3-3</v>
      </c>
    </row>
    <row r="4310" ht="15.75" customHeight="1">
      <c r="A4310" s="1" t="s">
        <v>419</v>
      </c>
      <c r="B4310" s="1" t="s">
        <v>44</v>
      </c>
      <c r="C4310" s="1" t="s">
        <v>11</v>
      </c>
      <c r="D4310" s="5">
        <v>45294.0</v>
      </c>
      <c r="G4310" s="1">
        <f>VLOOKUP(B4310,'old-aw-skill-plan'!A:I,7,FALSE)</f>
        <v>5</v>
      </c>
      <c r="H4310" s="1" t="str">
        <f>VLOOKUP(B4310,'old-aw-skill-plan'!A:I,9,FALSE)</f>
        <v>5-1</v>
      </c>
    </row>
    <row r="4311" ht="15.75" customHeight="1">
      <c r="A4311" s="1" t="s">
        <v>454</v>
      </c>
      <c r="B4311" s="1" t="s">
        <v>116</v>
      </c>
      <c r="C4311" s="1" t="s">
        <v>11</v>
      </c>
      <c r="D4311" s="5">
        <v>45294.0</v>
      </c>
      <c r="G4311" s="1">
        <f>VLOOKUP(B4311,'old-aw-skill-plan'!A:I,7,FALSE)</f>
        <v>3</v>
      </c>
      <c r="H4311" s="1" t="str">
        <f>VLOOKUP(B4311,'old-aw-skill-plan'!A:I,9,FALSE)</f>
        <v>3-9</v>
      </c>
    </row>
    <row r="4312" ht="15.75" customHeight="1">
      <c r="A4312" s="1" t="s">
        <v>454</v>
      </c>
      <c r="B4312" s="1" t="s">
        <v>57</v>
      </c>
      <c r="C4312" s="1" t="s">
        <v>11</v>
      </c>
      <c r="D4312" s="5">
        <v>45294.0</v>
      </c>
      <c r="G4312" s="1">
        <f>VLOOKUP(B4312,'old-aw-skill-plan'!A:I,7,FALSE)</f>
        <v>3</v>
      </c>
      <c r="H4312" s="1" t="str">
        <f>VLOOKUP(B4312,'old-aw-skill-plan'!A:I,9,FALSE)</f>
        <v>3-7</v>
      </c>
    </row>
    <row r="4313" ht="15.75" customHeight="1">
      <c r="A4313" s="1" t="s">
        <v>238</v>
      </c>
      <c r="B4313" s="1" t="s">
        <v>28</v>
      </c>
      <c r="C4313" s="1" t="s">
        <v>11</v>
      </c>
      <c r="D4313" s="5">
        <v>45294.0</v>
      </c>
      <c r="G4313" s="1">
        <f>VLOOKUP(B4313,'old-aw-skill-plan'!A:I,7,FALSE)</f>
        <v>3</v>
      </c>
      <c r="H4313" s="1" t="str">
        <f>VLOOKUP(B4313,'old-aw-skill-plan'!A:I,9,FALSE)</f>
        <v>3-4</v>
      </c>
    </row>
    <row r="4314" ht="15.75" customHeight="1">
      <c r="A4314" s="1" t="s">
        <v>238</v>
      </c>
      <c r="B4314" s="1" t="s">
        <v>116</v>
      </c>
      <c r="C4314" s="1" t="s">
        <v>11</v>
      </c>
      <c r="D4314" s="5">
        <v>45294.0</v>
      </c>
      <c r="G4314" s="1">
        <f>VLOOKUP(B4314,'old-aw-skill-plan'!A:I,7,FALSE)</f>
        <v>3</v>
      </c>
      <c r="H4314" s="1" t="str">
        <f>VLOOKUP(B4314,'old-aw-skill-plan'!A:I,9,FALSE)</f>
        <v>3-9</v>
      </c>
    </row>
    <row r="4315" ht="15.75" customHeight="1">
      <c r="A4315" s="1" t="s">
        <v>238</v>
      </c>
      <c r="B4315" s="1" t="s">
        <v>30</v>
      </c>
      <c r="C4315" s="1" t="s">
        <v>11</v>
      </c>
      <c r="D4315" s="5">
        <v>45294.0</v>
      </c>
      <c r="G4315" s="1">
        <f>VLOOKUP(B4315,'old-aw-skill-plan'!A:I,7,FALSE)</f>
        <v>3</v>
      </c>
      <c r="H4315" s="1" t="str">
        <f>VLOOKUP(B4315,'old-aw-skill-plan'!A:I,9,FALSE)</f>
        <v>3-3</v>
      </c>
    </row>
    <row r="4316" ht="15.75" customHeight="1">
      <c r="A4316" s="1" t="s">
        <v>81</v>
      </c>
      <c r="B4316" s="1" t="s">
        <v>66</v>
      </c>
      <c r="C4316" s="1" t="s">
        <v>11</v>
      </c>
      <c r="D4316" s="5">
        <v>45294.0</v>
      </c>
      <c r="G4316" s="1">
        <f>VLOOKUP(B4316,'old-aw-skill-plan'!A:I,7,FALSE)</f>
        <v>4</v>
      </c>
      <c r="H4316" s="1" t="str">
        <f>VLOOKUP(B4316,'old-aw-skill-plan'!A:I,9,FALSE)</f>
        <v>4-9</v>
      </c>
    </row>
    <row r="4317" ht="15.75" customHeight="1">
      <c r="A4317" s="1" t="s">
        <v>81</v>
      </c>
      <c r="B4317" s="1" t="s">
        <v>19</v>
      </c>
      <c r="C4317" s="1" t="s">
        <v>11</v>
      </c>
      <c r="D4317" s="5">
        <v>45294.0</v>
      </c>
      <c r="G4317" s="1">
        <f>VLOOKUP(B4317,'old-aw-skill-plan'!A:I,7,FALSE)</f>
        <v>4</v>
      </c>
      <c r="H4317" s="1" t="str">
        <f>VLOOKUP(B4317,'old-aw-skill-plan'!A:I,9,FALSE)</f>
        <v>4-7</v>
      </c>
    </row>
    <row r="4318" ht="15.75" customHeight="1">
      <c r="A4318" s="1" t="s">
        <v>421</v>
      </c>
      <c r="B4318" s="1" t="s">
        <v>44</v>
      </c>
      <c r="C4318" s="1" t="s">
        <v>11</v>
      </c>
      <c r="D4318" s="5">
        <v>45294.0</v>
      </c>
      <c r="G4318" s="1">
        <f>VLOOKUP(B4318,'old-aw-skill-plan'!A:I,7,FALSE)</f>
        <v>5</v>
      </c>
      <c r="H4318" s="1" t="str">
        <f>VLOOKUP(B4318,'old-aw-skill-plan'!A:I,9,FALSE)</f>
        <v>5-1</v>
      </c>
    </row>
    <row r="4319" ht="15.75" customHeight="1">
      <c r="A4319" s="1" t="s">
        <v>428</v>
      </c>
      <c r="B4319" s="1" t="s">
        <v>66</v>
      </c>
      <c r="C4319" s="1" t="s">
        <v>11</v>
      </c>
      <c r="D4319" s="5">
        <v>45294.0</v>
      </c>
      <c r="G4319" s="1">
        <f>VLOOKUP(B4319,'old-aw-skill-plan'!A:I,7,FALSE)</f>
        <v>4</v>
      </c>
      <c r="H4319" s="1" t="str">
        <f>VLOOKUP(B4319,'old-aw-skill-plan'!A:I,9,FALSE)</f>
        <v>4-9</v>
      </c>
    </row>
    <row r="4320" ht="15.75" customHeight="1">
      <c r="A4320" s="1" t="s">
        <v>428</v>
      </c>
      <c r="B4320" s="1" t="s">
        <v>19</v>
      </c>
      <c r="C4320" s="1" t="s">
        <v>11</v>
      </c>
      <c r="D4320" s="5">
        <v>45294.0</v>
      </c>
      <c r="G4320" s="1">
        <f>VLOOKUP(B4320,'old-aw-skill-plan'!A:I,7,FALSE)</f>
        <v>4</v>
      </c>
      <c r="H4320" s="1" t="str">
        <f>VLOOKUP(B4320,'old-aw-skill-plan'!A:I,9,FALSE)</f>
        <v>4-7</v>
      </c>
    </row>
    <row r="4321" ht="15.75" customHeight="1">
      <c r="A4321" s="1" t="s">
        <v>420</v>
      </c>
      <c r="B4321" s="1" t="s">
        <v>116</v>
      </c>
      <c r="C4321" s="1" t="s">
        <v>11</v>
      </c>
      <c r="D4321" s="5">
        <v>45294.0</v>
      </c>
      <c r="G4321" s="1">
        <f>VLOOKUP(B4321,'old-aw-skill-plan'!A:I,7,FALSE)</f>
        <v>3</v>
      </c>
      <c r="H4321" s="1" t="str">
        <f>VLOOKUP(B4321,'old-aw-skill-plan'!A:I,9,FALSE)</f>
        <v>3-9</v>
      </c>
    </row>
    <row r="4322" ht="15.75" customHeight="1">
      <c r="A4322" s="1" t="s">
        <v>275</v>
      </c>
      <c r="B4322" s="1" t="s">
        <v>383</v>
      </c>
      <c r="C4322" s="1" t="s">
        <v>11</v>
      </c>
      <c r="D4322" s="5">
        <v>45294.0</v>
      </c>
      <c r="G4322" s="1">
        <f>VLOOKUP(B4322,'old-aw-skill-plan'!A:I,7,FALSE)</f>
        <v>3</v>
      </c>
      <c r="H4322" s="1" t="str">
        <f>VLOOKUP(B4322,'old-aw-skill-plan'!A:I,9,FALSE)</f>
        <v>3-3</v>
      </c>
    </row>
    <row r="4323" ht="15.75" customHeight="1">
      <c r="A4323" s="1" t="s">
        <v>275</v>
      </c>
      <c r="B4323" s="1" t="s">
        <v>19</v>
      </c>
      <c r="C4323" s="1" t="s">
        <v>11</v>
      </c>
      <c r="D4323" s="5">
        <v>45294.0</v>
      </c>
      <c r="G4323" s="1">
        <f>VLOOKUP(B4323,'old-aw-skill-plan'!A:I,7,FALSE)</f>
        <v>4</v>
      </c>
      <c r="H4323" s="1" t="str">
        <f>VLOOKUP(B4323,'old-aw-skill-plan'!A:I,9,FALSE)</f>
        <v>4-7</v>
      </c>
    </row>
    <row r="4324" ht="15.75" customHeight="1">
      <c r="A4324" s="1" t="s">
        <v>275</v>
      </c>
      <c r="B4324" s="1" t="s">
        <v>399</v>
      </c>
      <c r="C4324" s="1" t="s">
        <v>11</v>
      </c>
      <c r="D4324" s="5">
        <v>45294.0</v>
      </c>
      <c r="G4324" s="1">
        <f>VLOOKUP(B4324,'old-aw-skill-plan'!A:I,7,FALSE)</f>
        <v>4</v>
      </c>
      <c r="H4324" s="1" t="str">
        <f>VLOOKUP(B4324,'old-aw-skill-plan'!A:I,9,FALSE)</f>
        <v>4-7</v>
      </c>
    </row>
    <row r="4325" ht="15.75" customHeight="1">
      <c r="A4325" s="1" t="s">
        <v>275</v>
      </c>
      <c r="B4325" s="1" t="s">
        <v>400</v>
      </c>
      <c r="C4325" s="1" t="s">
        <v>11</v>
      </c>
      <c r="D4325" s="5">
        <v>45294.0</v>
      </c>
      <c r="G4325" s="1">
        <f>VLOOKUP(B4325,'old-aw-skill-plan'!A:I,7,FALSE)</f>
        <v>4</v>
      </c>
      <c r="H4325" s="1" t="str">
        <f>VLOOKUP(B4325,'old-aw-skill-plan'!A:I,9,FALSE)</f>
        <v>4-7</v>
      </c>
    </row>
    <row r="4326" ht="15.75" customHeight="1">
      <c r="A4326" s="1" t="s">
        <v>268</v>
      </c>
      <c r="B4326" s="1" t="s">
        <v>48</v>
      </c>
      <c r="C4326" s="1" t="s">
        <v>11</v>
      </c>
      <c r="D4326" s="5">
        <v>45294.0</v>
      </c>
      <c r="G4326" s="1">
        <f>VLOOKUP(B4326,'old-aw-skill-plan'!A:I,7,FALSE)</f>
        <v>3</v>
      </c>
      <c r="H4326" s="1" t="str">
        <f>VLOOKUP(B4326,'old-aw-skill-plan'!A:I,9,FALSE)</f>
        <v>3-6</v>
      </c>
    </row>
    <row r="4327" ht="15.75" customHeight="1">
      <c r="A4327" s="1" t="s">
        <v>95</v>
      </c>
      <c r="B4327" s="1" t="s">
        <v>30</v>
      </c>
      <c r="C4327" s="1" t="s">
        <v>11</v>
      </c>
      <c r="D4327" s="5">
        <v>45294.0</v>
      </c>
      <c r="G4327" s="1">
        <f>VLOOKUP(B4327,'old-aw-skill-plan'!A:I,7,FALSE)</f>
        <v>3</v>
      </c>
      <c r="H4327" s="1" t="str">
        <f>VLOOKUP(B4327,'old-aw-skill-plan'!A:I,9,FALSE)</f>
        <v>3-3</v>
      </c>
    </row>
    <row r="4328" ht="15.75" customHeight="1">
      <c r="A4328" s="1" t="s">
        <v>214</v>
      </c>
      <c r="B4328" s="1" t="s">
        <v>30</v>
      </c>
      <c r="C4328" s="1" t="s">
        <v>11</v>
      </c>
      <c r="D4328" s="5">
        <v>45294.0</v>
      </c>
      <c r="G4328" s="1">
        <f>VLOOKUP(B4328,'old-aw-skill-plan'!A:I,7,FALSE)</f>
        <v>3</v>
      </c>
      <c r="H4328" s="1" t="str">
        <f>VLOOKUP(B4328,'old-aw-skill-plan'!A:I,9,FALSE)</f>
        <v>3-3</v>
      </c>
    </row>
    <row r="4329" ht="15.75" customHeight="1">
      <c r="A4329" s="1" t="s">
        <v>211</v>
      </c>
      <c r="B4329" s="1" t="s">
        <v>10</v>
      </c>
      <c r="C4329" s="1" t="s">
        <v>11</v>
      </c>
      <c r="D4329" s="5">
        <v>45294.0</v>
      </c>
      <c r="G4329" s="1">
        <f>VLOOKUP(B4329,'old-aw-skill-plan'!A:I,7,FALSE)</f>
        <v>3</v>
      </c>
      <c r="H4329" s="1" t="str">
        <f>VLOOKUP(B4329,'old-aw-skill-plan'!A:I,9,FALSE)</f>
        <v>3-1</v>
      </c>
    </row>
    <row r="4330" ht="15.75" customHeight="1">
      <c r="A4330" s="1" t="s">
        <v>373</v>
      </c>
      <c r="B4330" s="1" t="s">
        <v>28</v>
      </c>
      <c r="C4330" s="1" t="s">
        <v>11</v>
      </c>
      <c r="D4330" s="5">
        <v>45294.0</v>
      </c>
      <c r="G4330" s="1">
        <f>VLOOKUP(B4330,'old-aw-skill-plan'!A:I,7,FALSE)</f>
        <v>3</v>
      </c>
      <c r="H4330" s="1" t="str">
        <f>VLOOKUP(B4330,'old-aw-skill-plan'!A:I,9,FALSE)</f>
        <v>3-4</v>
      </c>
    </row>
    <row r="4331" ht="15.75" customHeight="1">
      <c r="A4331" s="1" t="s">
        <v>373</v>
      </c>
      <c r="B4331" s="1" t="s">
        <v>30</v>
      </c>
      <c r="C4331" s="1" t="s">
        <v>11</v>
      </c>
      <c r="D4331" s="5">
        <v>45294.0</v>
      </c>
      <c r="G4331" s="1">
        <f>VLOOKUP(B4331,'old-aw-skill-plan'!A:I,7,FALSE)</f>
        <v>3</v>
      </c>
      <c r="H4331" s="1" t="str">
        <f>VLOOKUP(B4331,'old-aw-skill-plan'!A:I,9,FALSE)</f>
        <v>3-3</v>
      </c>
    </row>
    <row r="4332" ht="15.75" customHeight="1">
      <c r="A4332" s="1" t="s">
        <v>90</v>
      </c>
      <c r="B4332" s="1" t="s">
        <v>30</v>
      </c>
      <c r="C4332" s="1" t="s">
        <v>11</v>
      </c>
      <c r="D4332" s="5">
        <v>45294.0</v>
      </c>
      <c r="G4332" s="1">
        <f>VLOOKUP(B4332,'old-aw-skill-plan'!A:I,7,FALSE)</f>
        <v>3</v>
      </c>
      <c r="H4332" s="1" t="str">
        <f>VLOOKUP(B4332,'old-aw-skill-plan'!A:I,9,FALSE)</f>
        <v>3-3</v>
      </c>
    </row>
    <row r="4333" ht="15.75" customHeight="1">
      <c r="A4333" s="1" t="s">
        <v>90</v>
      </c>
      <c r="B4333" s="1" t="s">
        <v>47</v>
      </c>
      <c r="C4333" s="1" t="s">
        <v>11</v>
      </c>
      <c r="D4333" s="5">
        <v>45294.0</v>
      </c>
      <c r="G4333" s="1">
        <f>VLOOKUP(B4333,'old-aw-skill-plan'!A:I,7,FALSE)</f>
        <v>3</v>
      </c>
      <c r="H4333" s="1" t="str">
        <f>VLOOKUP(B4333,'old-aw-skill-plan'!A:I,9,FALSE)</f>
        <v>3-2</v>
      </c>
    </row>
    <row r="4334" ht="15.75" customHeight="1">
      <c r="A4334" s="1" t="s">
        <v>93</v>
      </c>
      <c r="B4334" s="1" t="s">
        <v>116</v>
      </c>
      <c r="C4334" s="1" t="s">
        <v>11</v>
      </c>
      <c r="D4334" s="5">
        <v>45294.0</v>
      </c>
      <c r="G4334" s="1">
        <f>VLOOKUP(B4334,'old-aw-skill-plan'!A:I,7,FALSE)</f>
        <v>3</v>
      </c>
      <c r="H4334" s="1" t="str">
        <f>VLOOKUP(B4334,'old-aw-skill-plan'!A:I,9,FALSE)</f>
        <v>3-9</v>
      </c>
    </row>
    <row r="4335" ht="15.75" customHeight="1">
      <c r="A4335" s="1" t="s">
        <v>93</v>
      </c>
      <c r="B4335" s="1" t="s">
        <v>445</v>
      </c>
      <c r="C4335" s="1" t="s">
        <v>11</v>
      </c>
      <c r="D4335" s="5">
        <v>45294.0</v>
      </c>
      <c r="G4335" s="1">
        <f>VLOOKUP(B4335,'old-aw-skill-plan'!A:I,7,FALSE)</f>
        <v>3</v>
      </c>
      <c r="H4335" s="1" t="str">
        <f>VLOOKUP(B4335,'old-aw-skill-plan'!A:I,9,FALSE)</f>
        <v>3-9</v>
      </c>
    </row>
    <row r="4336" ht="15.75" customHeight="1">
      <c r="A4336" s="1" t="s">
        <v>93</v>
      </c>
      <c r="B4336" s="1" t="s">
        <v>405</v>
      </c>
      <c r="C4336" s="1" t="s">
        <v>11</v>
      </c>
      <c r="D4336" s="5">
        <v>45294.0</v>
      </c>
      <c r="G4336" s="1">
        <f>VLOOKUP(B4336,'old-aw-skill-plan'!A:I,7,FALSE)</f>
        <v>3</v>
      </c>
      <c r="H4336" s="1" t="str">
        <f>VLOOKUP(B4336,'old-aw-skill-plan'!A:I,9,FALSE)</f>
        <v>3-9</v>
      </c>
    </row>
    <row r="4337" ht="15.75" customHeight="1">
      <c r="A4337" s="1" t="s">
        <v>93</v>
      </c>
      <c r="B4337" s="1" t="s">
        <v>444</v>
      </c>
      <c r="C4337" s="1" t="s">
        <v>11</v>
      </c>
      <c r="D4337" s="5">
        <v>45294.0</v>
      </c>
      <c r="G4337" s="1">
        <f>VLOOKUP(B4337,'old-aw-skill-plan'!A:I,7,FALSE)</f>
        <v>4</v>
      </c>
      <c r="H4337" s="1" t="str">
        <f>VLOOKUP(B4337,'old-aw-skill-plan'!A:I,9,FALSE)</f>
        <v>4-1</v>
      </c>
    </row>
    <row r="4338" ht="15.75" customHeight="1">
      <c r="A4338" s="1" t="s">
        <v>365</v>
      </c>
      <c r="B4338" s="1" t="s">
        <v>34</v>
      </c>
      <c r="C4338" s="1" t="s">
        <v>11</v>
      </c>
      <c r="D4338" s="5">
        <v>45294.0</v>
      </c>
      <c r="G4338" s="1">
        <f>VLOOKUP(B4338,'old-aw-skill-plan'!A:I,7,FALSE)</f>
        <v>4</v>
      </c>
      <c r="H4338" s="1" t="str">
        <f>VLOOKUP(B4338,'old-aw-skill-plan'!A:I,9,FALSE)</f>
        <v>4-1</v>
      </c>
    </row>
    <row r="4339" ht="15.75" customHeight="1">
      <c r="A4339" s="1" t="s">
        <v>94</v>
      </c>
      <c r="B4339" s="1" t="s">
        <v>57</v>
      </c>
      <c r="C4339" s="1" t="s">
        <v>11</v>
      </c>
      <c r="D4339" s="5">
        <v>45294.0</v>
      </c>
      <c r="G4339" s="1">
        <f>VLOOKUP(B4339,'old-aw-skill-plan'!A:I,7,FALSE)</f>
        <v>3</v>
      </c>
      <c r="H4339" s="1" t="str">
        <f>VLOOKUP(B4339,'old-aw-skill-plan'!A:I,9,FALSE)</f>
        <v>3-7</v>
      </c>
    </row>
    <row r="4340" ht="15.75" customHeight="1">
      <c r="A4340" s="1" t="s">
        <v>94</v>
      </c>
      <c r="B4340" s="1" t="s">
        <v>111</v>
      </c>
      <c r="C4340" s="1" t="s">
        <v>11</v>
      </c>
      <c r="D4340" s="5">
        <v>45294.0</v>
      </c>
      <c r="G4340" s="1" t="str">
        <f>VLOOKUP(B4340,'old-aw-skill-plan'!A:I,7,FALSE)</f>
        <v>#N/A</v>
      </c>
      <c r="H4340" s="1" t="str">
        <f>VLOOKUP(B4340,'old-aw-skill-plan'!A:I,9,FALSE)</f>
        <v>#N/A</v>
      </c>
    </row>
    <row r="4341" ht="15.75" customHeight="1">
      <c r="A4341" s="1" t="s">
        <v>225</v>
      </c>
      <c r="B4341" s="1" t="s">
        <v>34</v>
      </c>
      <c r="C4341" s="1" t="s">
        <v>11</v>
      </c>
      <c r="D4341" s="5">
        <v>45294.0</v>
      </c>
      <c r="G4341" s="1">
        <f>VLOOKUP(B4341,'old-aw-skill-plan'!A:I,7,FALSE)</f>
        <v>4</v>
      </c>
      <c r="H4341" s="1" t="str">
        <f>VLOOKUP(B4341,'old-aw-skill-plan'!A:I,9,FALSE)</f>
        <v>4-1</v>
      </c>
    </row>
    <row r="4342" ht="15.75" customHeight="1">
      <c r="A4342" s="1" t="s">
        <v>427</v>
      </c>
      <c r="B4342" s="1" t="s">
        <v>356</v>
      </c>
      <c r="C4342" s="1" t="s">
        <v>11</v>
      </c>
      <c r="D4342" s="5">
        <v>45294.0</v>
      </c>
      <c r="G4342" s="1">
        <f>VLOOKUP(B4342,'old-aw-skill-plan'!A:I,7,FALSE)</f>
        <v>3</v>
      </c>
      <c r="H4342" s="1" t="str">
        <f>VLOOKUP(B4342,'old-aw-skill-plan'!A:I,9,FALSE)</f>
        <v>3-2</v>
      </c>
    </row>
    <row r="4343" ht="15.75" customHeight="1">
      <c r="A4343" s="1" t="s">
        <v>110</v>
      </c>
      <c r="B4343" s="1" t="s">
        <v>28</v>
      </c>
      <c r="C4343" s="1" t="s">
        <v>11</v>
      </c>
      <c r="D4343" s="5">
        <v>45294.0</v>
      </c>
      <c r="G4343" s="1">
        <f>VLOOKUP(B4343,'old-aw-skill-plan'!A:I,7,FALSE)</f>
        <v>3</v>
      </c>
      <c r="H4343" s="1" t="str">
        <f>VLOOKUP(B4343,'old-aw-skill-plan'!A:I,9,FALSE)</f>
        <v>3-4</v>
      </c>
    </row>
    <row r="4344" ht="15.75" customHeight="1">
      <c r="A4344" s="1" t="s">
        <v>93</v>
      </c>
      <c r="B4344" s="1" t="s">
        <v>444</v>
      </c>
      <c r="C4344" s="1" t="s">
        <v>11</v>
      </c>
      <c r="D4344" s="5">
        <v>45293.0</v>
      </c>
      <c r="G4344" s="1">
        <f>VLOOKUP(B4344,'old-aw-skill-plan'!A:I,7,FALSE)</f>
        <v>4</v>
      </c>
      <c r="H4344" s="1" t="str">
        <f>VLOOKUP(B4344,'old-aw-skill-plan'!A:I,9,FALSE)</f>
        <v>4-1</v>
      </c>
    </row>
    <row r="4345" ht="15.75" customHeight="1">
      <c r="A4345" s="1" t="s">
        <v>93</v>
      </c>
      <c r="B4345" s="1" t="s">
        <v>19</v>
      </c>
      <c r="C4345" s="1" t="s">
        <v>11</v>
      </c>
      <c r="D4345" s="5">
        <v>45291.0</v>
      </c>
      <c r="G4345" s="1">
        <f>VLOOKUP(B4345,'old-aw-skill-plan'!A:I,7,FALSE)</f>
        <v>4</v>
      </c>
      <c r="H4345" s="1" t="str">
        <f>VLOOKUP(B4345,'old-aw-skill-plan'!A:I,9,FALSE)</f>
        <v>4-7</v>
      </c>
    </row>
    <row r="4346" ht="15.75" customHeight="1">
      <c r="A4346" s="1" t="s">
        <v>93</v>
      </c>
      <c r="B4346" s="1" t="s">
        <v>399</v>
      </c>
      <c r="C4346" s="1" t="s">
        <v>11</v>
      </c>
      <c r="D4346" s="5">
        <v>45291.0</v>
      </c>
      <c r="G4346" s="1">
        <f>VLOOKUP(B4346,'old-aw-skill-plan'!A:I,7,FALSE)</f>
        <v>4</v>
      </c>
      <c r="H4346" s="1" t="str">
        <f>VLOOKUP(B4346,'old-aw-skill-plan'!A:I,9,FALSE)</f>
        <v>4-7</v>
      </c>
    </row>
    <row r="4347" ht="15.75" customHeight="1">
      <c r="A4347" s="1" t="s">
        <v>93</v>
      </c>
      <c r="B4347" s="1" t="s">
        <v>370</v>
      </c>
      <c r="C4347" s="1" t="s">
        <v>11</v>
      </c>
      <c r="D4347" s="5">
        <v>45291.0</v>
      </c>
      <c r="G4347" s="1">
        <f>VLOOKUP(B4347,'old-aw-skill-plan'!A:I,7,FALSE)</f>
        <v>4</v>
      </c>
      <c r="H4347" s="1" t="str">
        <f>VLOOKUP(B4347,'old-aw-skill-plan'!A:I,9,FALSE)</f>
        <v>4-6</v>
      </c>
    </row>
    <row r="4348" ht="15.75" customHeight="1">
      <c r="A4348" s="1" t="s">
        <v>93</v>
      </c>
      <c r="B4348" s="1" t="s">
        <v>444</v>
      </c>
      <c r="C4348" s="1" t="s">
        <v>11</v>
      </c>
      <c r="D4348" s="5">
        <v>45291.0</v>
      </c>
      <c r="G4348" s="1">
        <f>VLOOKUP(B4348,'old-aw-skill-plan'!A:I,7,FALSE)</f>
        <v>4</v>
      </c>
      <c r="H4348" s="1" t="str">
        <f>VLOOKUP(B4348,'old-aw-skill-plan'!A:I,9,FALSE)</f>
        <v>4-1</v>
      </c>
    </row>
    <row r="4349" ht="15.75" customHeight="1">
      <c r="A4349" s="1" t="s">
        <v>93</v>
      </c>
      <c r="B4349" s="1" t="s">
        <v>354</v>
      </c>
      <c r="C4349" s="1" t="s">
        <v>11</v>
      </c>
      <c r="D4349" s="5">
        <v>45289.0</v>
      </c>
      <c r="G4349" s="1">
        <f>VLOOKUP(B4349,'old-aw-skill-plan'!A:I,7,FALSE)</f>
        <v>3</v>
      </c>
      <c r="H4349" s="1" t="str">
        <f>VLOOKUP(B4349,'old-aw-skill-plan'!A:I,9,FALSE)</f>
        <v>3-7</v>
      </c>
    </row>
    <row r="4350" ht="15.75" customHeight="1">
      <c r="A4350" s="1" t="s">
        <v>93</v>
      </c>
      <c r="B4350" s="1" t="s">
        <v>361</v>
      </c>
      <c r="C4350" s="1" t="s">
        <v>11</v>
      </c>
      <c r="D4350" s="5">
        <v>45289.0</v>
      </c>
      <c r="G4350" s="1">
        <f>VLOOKUP(B4350,'old-aw-skill-plan'!A:I,7,FALSE)</f>
        <v>3</v>
      </c>
      <c r="H4350" s="1" t="str">
        <f>VLOOKUP(B4350,'old-aw-skill-plan'!A:I,9,FALSE)</f>
        <v>3-7</v>
      </c>
    </row>
    <row r="4351" ht="15.75" customHeight="1">
      <c r="A4351" s="1" t="s">
        <v>93</v>
      </c>
      <c r="B4351" s="1" t="s">
        <v>19</v>
      </c>
      <c r="C4351" s="1" t="s">
        <v>11</v>
      </c>
      <c r="D4351" s="5">
        <v>45289.0</v>
      </c>
      <c r="G4351" s="1">
        <f>VLOOKUP(B4351,'old-aw-skill-plan'!A:I,7,FALSE)</f>
        <v>4</v>
      </c>
      <c r="H4351" s="1" t="str">
        <f>VLOOKUP(B4351,'old-aw-skill-plan'!A:I,9,FALSE)</f>
        <v>4-7</v>
      </c>
    </row>
    <row r="4352" ht="15.75" customHeight="1">
      <c r="A4352" s="1" t="s">
        <v>93</v>
      </c>
      <c r="B4352" s="1" t="s">
        <v>57</v>
      </c>
      <c r="C4352" s="1" t="s">
        <v>11</v>
      </c>
      <c r="D4352" s="5">
        <v>45288.0</v>
      </c>
      <c r="G4352" s="1">
        <f>VLOOKUP(B4352,'old-aw-skill-plan'!A:I,7,FALSE)</f>
        <v>3</v>
      </c>
      <c r="H4352" s="1" t="str">
        <f>VLOOKUP(B4352,'old-aw-skill-plan'!A:I,9,FALSE)</f>
        <v>3-7</v>
      </c>
    </row>
    <row r="4353" ht="15.75" customHeight="1">
      <c r="A4353" s="1" t="s">
        <v>93</v>
      </c>
      <c r="B4353" s="1" t="s">
        <v>354</v>
      </c>
      <c r="C4353" s="1" t="s">
        <v>11</v>
      </c>
      <c r="D4353" s="5">
        <v>45288.0</v>
      </c>
      <c r="G4353" s="1">
        <f>VLOOKUP(B4353,'old-aw-skill-plan'!A:I,7,FALSE)</f>
        <v>3</v>
      </c>
      <c r="H4353" s="1" t="str">
        <f>VLOOKUP(B4353,'old-aw-skill-plan'!A:I,9,FALSE)</f>
        <v>3-7</v>
      </c>
    </row>
    <row r="4354" ht="15.75" customHeight="1">
      <c r="A4354" s="1" t="s">
        <v>461</v>
      </c>
      <c r="B4354" s="1" t="s">
        <v>44</v>
      </c>
      <c r="C4354" s="1" t="s">
        <v>11</v>
      </c>
      <c r="D4354" s="5">
        <v>45286.0</v>
      </c>
      <c r="G4354" s="1">
        <f>VLOOKUP(B4354,'old-aw-skill-plan'!A:I,7,FALSE)</f>
        <v>5</v>
      </c>
      <c r="H4354" s="1" t="str">
        <f>VLOOKUP(B4354,'old-aw-skill-plan'!A:I,9,FALSE)</f>
        <v>5-1</v>
      </c>
    </row>
    <row r="4355" ht="15.75" customHeight="1">
      <c r="A4355" s="1" t="s">
        <v>230</v>
      </c>
      <c r="B4355" s="1" t="s">
        <v>28</v>
      </c>
      <c r="C4355" s="1" t="s">
        <v>11</v>
      </c>
      <c r="D4355" s="5">
        <v>45283.0</v>
      </c>
      <c r="G4355" s="1">
        <f>VLOOKUP(B4355,'old-aw-skill-plan'!A:I,7,FALSE)</f>
        <v>3</v>
      </c>
      <c r="H4355" s="1" t="str">
        <f>VLOOKUP(B4355,'old-aw-skill-plan'!A:I,9,FALSE)</f>
        <v>3-4</v>
      </c>
    </row>
    <row r="4356" ht="15.75" customHeight="1">
      <c r="A4356" s="1" t="s">
        <v>230</v>
      </c>
      <c r="B4356" s="1" t="s">
        <v>307</v>
      </c>
      <c r="C4356" s="1" t="s">
        <v>11</v>
      </c>
      <c r="D4356" s="5">
        <v>45283.0</v>
      </c>
      <c r="G4356" s="1">
        <f>VLOOKUP(B4356,'old-aw-skill-plan'!A:I,7,FALSE)</f>
        <v>3</v>
      </c>
      <c r="H4356" s="1" t="str">
        <f>VLOOKUP(B4356,'old-aw-skill-plan'!A:I,9,FALSE)</f>
        <v>3-1</v>
      </c>
    </row>
    <row r="4357" ht="15.75" customHeight="1">
      <c r="A4357" s="1" t="s">
        <v>463</v>
      </c>
      <c r="B4357" s="1" t="s">
        <v>44</v>
      </c>
      <c r="C4357" s="1" t="s">
        <v>11</v>
      </c>
      <c r="D4357" s="5">
        <v>45282.0</v>
      </c>
      <c r="G4357" s="1">
        <f>VLOOKUP(B4357,'old-aw-skill-plan'!A:I,7,FALSE)</f>
        <v>5</v>
      </c>
      <c r="H4357" s="1" t="str">
        <f>VLOOKUP(B4357,'old-aw-skill-plan'!A:I,9,FALSE)</f>
        <v>5-1</v>
      </c>
    </row>
    <row r="4358" ht="15.75" customHeight="1">
      <c r="A4358" s="1" t="s">
        <v>449</v>
      </c>
      <c r="B4358" s="1" t="s">
        <v>34</v>
      </c>
      <c r="C4358" s="1" t="s">
        <v>11</v>
      </c>
      <c r="D4358" s="5">
        <v>45281.0</v>
      </c>
      <c r="G4358" s="1">
        <f>VLOOKUP(B4358,'old-aw-skill-plan'!A:I,7,FALSE)</f>
        <v>4</v>
      </c>
      <c r="H4358" s="1" t="str">
        <f>VLOOKUP(B4358,'old-aw-skill-plan'!A:I,9,FALSE)</f>
        <v>4-1</v>
      </c>
    </row>
    <row r="4359" ht="15.75" customHeight="1">
      <c r="A4359" s="1" t="s">
        <v>230</v>
      </c>
      <c r="B4359" s="1" t="s">
        <v>28</v>
      </c>
      <c r="C4359" s="1" t="s">
        <v>11</v>
      </c>
      <c r="D4359" s="5">
        <v>45281.0</v>
      </c>
      <c r="G4359" s="1">
        <f>VLOOKUP(B4359,'old-aw-skill-plan'!A:I,7,FALSE)</f>
        <v>3</v>
      </c>
      <c r="H4359" s="1" t="str">
        <f>VLOOKUP(B4359,'old-aw-skill-plan'!A:I,9,FALSE)</f>
        <v>3-4</v>
      </c>
    </row>
    <row r="4360" ht="15.75" customHeight="1">
      <c r="A4360" s="1" t="s">
        <v>230</v>
      </c>
      <c r="B4360" s="1" t="s">
        <v>307</v>
      </c>
      <c r="C4360" s="1" t="s">
        <v>11</v>
      </c>
      <c r="D4360" s="5">
        <v>45281.0</v>
      </c>
      <c r="G4360" s="1">
        <f>VLOOKUP(B4360,'old-aw-skill-plan'!A:I,7,FALSE)</f>
        <v>3</v>
      </c>
      <c r="H4360" s="1" t="str">
        <f>VLOOKUP(B4360,'old-aw-skill-plan'!A:I,9,FALSE)</f>
        <v>3-1</v>
      </c>
    </row>
    <row r="4361" ht="15.75" customHeight="1">
      <c r="A4361" s="1" t="s">
        <v>230</v>
      </c>
      <c r="B4361" s="1" t="s">
        <v>354</v>
      </c>
      <c r="C4361" s="1" t="s">
        <v>11</v>
      </c>
      <c r="D4361" s="5">
        <v>45281.0</v>
      </c>
      <c r="G4361" s="1">
        <f>VLOOKUP(B4361,'old-aw-skill-plan'!A:I,7,FALSE)</f>
        <v>3</v>
      </c>
      <c r="H4361" s="1" t="str">
        <f>VLOOKUP(B4361,'old-aw-skill-plan'!A:I,9,FALSE)</f>
        <v>3-7</v>
      </c>
    </row>
    <row r="4362" ht="15.75" customHeight="1">
      <c r="A4362" s="1" t="s">
        <v>230</v>
      </c>
      <c r="B4362" s="1" t="s">
        <v>307</v>
      </c>
      <c r="C4362" s="1" t="s">
        <v>11</v>
      </c>
      <c r="D4362" s="5">
        <v>45280.0</v>
      </c>
      <c r="G4362" s="1">
        <f>VLOOKUP(B4362,'old-aw-skill-plan'!A:I,7,FALSE)</f>
        <v>3</v>
      </c>
      <c r="H4362" s="1" t="str">
        <f>VLOOKUP(B4362,'old-aw-skill-plan'!A:I,9,FALSE)</f>
        <v>3-1</v>
      </c>
    </row>
    <row r="4363" ht="15.75" customHeight="1">
      <c r="A4363" s="1" t="s">
        <v>277</v>
      </c>
      <c r="B4363" s="1" t="s">
        <v>44</v>
      </c>
      <c r="C4363" s="1" t="s">
        <v>11</v>
      </c>
      <c r="D4363" s="5">
        <v>45280.0</v>
      </c>
      <c r="G4363" s="1">
        <f>VLOOKUP(B4363,'old-aw-skill-plan'!A:I,7,FALSE)</f>
        <v>5</v>
      </c>
      <c r="H4363" s="1" t="str">
        <f>VLOOKUP(B4363,'old-aw-skill-plan'!A:I,9,FALSE)</f>
        <v>5-1</v>
      </c>
    </row>
    <row r="4364" ht="15.75" customHeight="1">
      <c r="A4364" s="1" t="s">
        <v>110</v>
      </c>
      <c r="B4364" s="1" t="s">
        <v>28</v>
      </c>
      <c r="C4364" s="1" t="s">
        <v>11</v>
      </c>
      <c r="D4364" s="5">
        <v>45280.0</v>
      </c>
      <c r="G4364" s="1">
        <f>VLOOKUP(B4364,'old-aw-skill-plan'!A:I,7,FALSE)</f>
        <v>3</v>
      </c>
      <c r="H4364" s="1" t="str">
        <f>VLOOKUP(B4364,'old-aw-skill-plan'!A:I,9,FALSE)</f>
        <v>3-4</v>
      </c>
    </row>
    <row r="4365" ht="15.75" customHeight="1">
      <c r="A4365" s="1" t="s">
        <v>464</v>
      </c>
      <c r="B4365" s="1" t="s">
        <v>44</v>
      </c>
      <c r="C4365" s="1" t="s">
        <v>11</v>
      </c>
      <c r="D4365" s="5">
        <v>45279.0</v>
      </c>
      <c r="G4365" s="1">
        <f>VLOOKUP(B4365,'old-aw-skill-plan'!A:I,7,FALSE)</f>
        <v>5</v>
      </c>
      <c r="H4365" s="1" t="str">
        <f>VLOOKUP(B4365,'old-aw-skill-plan'!A:I,9,FALSE)</f>
        <v>5-1</v>
      </c>
    </row>
    <row r="4366" ht="15.75" customHeight="1">
      <c r="A4366" s="1" t="s">
        <v>449</v>
      </c>
      <c r="B4366" s="1" t="s">
        <v>34</v>
      </c>
      <c r="C4366" s="1" t="s">
        <v>11</v>
      </c>
      <c r="D4366" s="5">
        <v>45279.0</v>
      </c>
      <c r="G4366" s="1">
        <f>VLOOKUP(B4366,'old-aw-skill-plan'!A:I,7,FALSE)</f>
        <v>4</v>
      </c>
      <c r="H4366" s="1" t="str">
        <f>VLOOKUP(B4366,'old-aw-skill-plan'!A:I,9,FALSE)</f>
        <v>4-1</v>
      </c>
    </row>
    <row r="4367" ht="15.75" customHeight="1">
      <c r="A4367" s="1" t="s">
        <v>460</v>
      </c>
      <c r="B4367" s="1" t="s">
        <v>44</v>
      </c>
      <c r="C4367" s="1" t="s">
        <v>11</v>
      </c>
      <c r="D4367" s="5">
        <v>45279.0</v>
      </c>
      <c r="G4367" s="1">
        <f>VLOOKUP(B4367,'old-aw-skill-plan'!A:I,7,FALSE)</f>
        <v>5</v>
      </c>
      <c r="H4367" s="1" t="str">
        <f>VLOOKUP(B4367,'old-aw-skill-plan'!A:I,9,FALSE)</f>
        <v>5-1</v>
      </c>
    </row>
    <row r="4368" ht="15.75" customHeight="1">
      <c r="A4368" s="1" t="s">
        <v>419</v>
      </c>
      <c r="B4368" s="1" t="s">
        <v>44</v>
      </c>
      <c r="C4368" s="1" t="s">
        <v>11</v>
      </c>
      <c r="D4368" s="5">
        <v>45279.0</v>
      </c>
      <c r="G4368" s="1">
        <f>VLOOKUP(B4368,'old-aw-skill-plan'!A:I,7,FALSE)</f>
        <v>5</v>
      </c>
      <c r="H4368" s="1" t="str">
        <f>VLOOKUP(B4368,'old-aw-skill-plan'!A:I,9,FALSE)</f>
        <v>5-1</v>
      </c>
    </row>
    <row r="4369" ht="15.75" customHeight="1">
      <c r="A4369" s="1" t="s">
        <v>420</v>
      </c>
      <c r="B4369" s="1" t="s">
        <v>48</v>
      </c>
      <c r="C4369" s="1" t="s">
        <v>11</v>
      </c>
      <c r="D4369" s="5">
        <v>45279.0</v>
      </c>
      <c r="G4369" s="1">
        <f>VLOOKUP(B4369,'old-aw-skill-plan'!A:I,7,FALSE)</f>
        <v>3</v>
      </c>
      <c r="H4369" s="1" t="str">
        <f>VLOOKUP(B4369,'old-aw-skill-plan'!A:I,9,FALSE)</f>
        <v>3-6</v>
      </c>
    </row>
    <row r="4370" ht="15.75" customHeight="1">
      <c r="A4370" s="1" t="s">
        <v>420</v>
      </c>
      <c r="B4370" s="1" t="s">
        <v>446</v>
      </c>
      <c r="C4370" s="1" t="s">
        <v>11</v>
      </c>
      <c r="D4370" s="5">
        <v>45279.0</v>
      </c>
      <c r="G4370" s="1">
        <f>VLOOKUP(B4370,'old-aw-skill-plan'!A:I,7,FALSE)</f>
        <v>3</v>
      </c>
      <c r="H4370" s="1" t="str">
        <f>VLOOKUP(B4370,'old-aw-skill-plan'!A:I,9,FALSE)</f>
        <v>3-6</v>
      </c>
    </row>
    <row r="4371" ht="15.75" customHeight="1">
      <c r="A4371" s="1" t="s">
        <v>275</v>
      </c>
      <c r="B4371" s="1" t="s">
        <v>25</v>
      </c>
      <c r="C4371" s="1" t="s">
        <v>11</v>
      </c>
      <c r="D4371" s="5">
        <v>45279.0</v>
      </c>
      <c r="G4371" s="1">
        <f>VLOOKUP(B4371,'old-aw-skill-plan'!A:I,7,FALSE)</f>
        <v>5</v>
      </c>
      <c r="H4371" s="1" t="str">
        <f>VLOOKUP(B4371,'old-aw-skill-plan'!A:I,9,FALSE)</f>
        <v>5-4</v>
      </c>
    </row>
    <row r="4372" ht="15.75" customHeight="1">
      <c r="A4372" s="1" t="s">
        <v>275</v>
      </c>
      <c r="B4372" s="1" t="s">
        <v>84</v>
      </c>
      <c r="C4372" s="1" t="s">
        <v>11</v>
      </c>
      <c r="D4372" s="5">
        <v>45279.0</v>
      </c>
      <c r="G4372" s="1">
        <f>VLOOKUP(B4372,'old-aw-skill-plan'!A:I,7,FALSE)</f>
        <v>5</v>
      </c>
      <c r="H4372" s="1" t="str">
        <f>VLOOKUP(B4372,'old-aw-skill-plan'!A:I,9,FALSE)</f>
        <v>5-7</v>
      </c>
    </row>
    <row r="4373" ht="15.75" customHeight="1">
      <c r="A4373" s="1" t="s">
        <v>275</v>
      </c>
      <c r="B4373" s="1" t="s">
        <v>103</v>
      </c>
      <c r="C4373" s="1" t="s">
        <v>11</v>
      </c>
      <c r="D4373" s="5">
        <v>45279.0</v>
      </c>
      <c r="G4373" s="1">
        <f>VLOOKUP(B4373,'old-aw-skill-plan'!A:I,7,FALSE)</f>
        <v>5</v>
      </c>
      <c r="H4373" s="1" t="str">
        <f>VLOOKUP(B4373,'old-aw-skill-plan'!A:I,9,FALSE)</f>
        <v>5-3</v>
      </c>
    </row>
    <row r="4374" ht="15.75" customHeight="1">
      <c r="A4374" s="1" t="s">
        <v>275</v>
      </c>
      <c r="B4374" s="1" t="s">
        <v>104</v>
      </c>
      <c r="C4374" s="1" t="s">
        <v>11</v>
      </c>
      <c r="D4374" s="5">
        <v>45279.0</v>
      </c>
      <c r="G4374" s="1">
        <f>VLOOKUP(B4374,'old-aw-skill-plan'!A:I,7,FALSE)</f>
        <v>5</v>
      </c>
      <c r="H4374" s="1" t="str">
        <f>VLOOKUP(B4374,'old-aw-skill-plan'!A:I,9,FALSE)</f>
        <v>5-2</v>
      </c>
    </row>
    <row r="4375" ht="15.75" customHeight="1">
      <c r="A4375" s="1" t="s">
        <v>275</v>
      </c>
      <c r="B4375" s="1" t="s">
        <v>87</v>
      </c>
      <c r="C4375" s="1" t="s">
        <v>11</v>
      </c>
      <c r="D4375" s="5">
        <v>45279.0</v>
      </c>
      <c r="G4375" s="1">
        <f>VLOOKUP(B4375,'old-aw-skill-plan'!A:I,7,FALSE)</f>
        <v>5</v>
      </c>
      <c r="H4375" s="1" t="str">
        <f>VLOOKUP(B4375,'old-aw-skill-plan'!A:I,9,FALSE)</f>
        <v>5-6</v>
      </c>
    </row>
    <row r="4376" ht="15.75" customHeight="1">
      <c r="A4376" s="1" t="s">
        <v>275</v>
      </c>
      <c r="B4376" s="1" t="s">
        <v>380</v>
      </c>
      <c r="C4376" s="1" t="s">
        <v>11</v>
      </c>
      <c r="D4376" s="5">
        <v>45279.0</v>
      </c>
      <c r="G4376" s="1" t="str">
        <f>VLOOKUP(B4376,'old-aw-skill-plan'!A:I,7,FALSE)</f>
        <v>#N/A</v>
      </c>
      <c r="H4376" s="1" t="str">
        <f>VLOOKUP(B4376,'old-aw-skill-plan'!A:I,9,FALSE)</f>
        <v>#N/A</v>
      </c>
    </row>
    <row r="4377" ht="15.75" customHeight="1">
      <c r="A4377" s="1" t="s">
        <v>275</v>
      </c>
      <c r="B4377" s="1" t="s">
        <v>381</v>
      </c>
      <c r="C4377" s="1" t="s">
        <v>11</v>
      </c>
      <c r="D4377" s="5">
        <v>45279.0</v>
      </c>
      <c r="G4377" s="1" t="str">
        <f>VLOOKUP(B4377,'old-aw-skill-plan'!A:I,7,FALSE)</f>
        <v>#N/A</v>
      </c>
      <c r="H4377" s="1" t="str">
        <f>VLOOKUP(B4377,'old-aw-skill-plan'!A:I,9,FALSE)</f>
        <v>#N/A</v>
      </c>
    </row>
    <row r="4378" ht="15.75" customHeight="1">
      <c r="A4378" s="1" t="s">
        <v>461</v>
      </c>
      <c r="B4378" s="1" t="s">
        <v>44</v>
      </c>
      <c r="C4378" s="1" t="s">
        <v>11</v>
      </c>
      <c r="D4378" s="5">
        <v>45279.0</v>
      </c>
      <c r="G4378" s="1">
        <f>VLOOKUP(B4378,'old-aw-skill-plan'!A:I,7,FALSE)</f>
        <v>5</v>
      </c>
      <c r="H4378" s="1" t="str">
        <f>VLOOKUP(B4378,'old-aw-skill-plan'!A:I,9,FALSE)</f>
        <v>5-1</v>
      </c>
    </row>
    <row r="4379" ht="15.75" customHeight="1">
      <c r="A4379" s="1" t="s">
        <v>214</v>
      </c>
      <c r="B4379" s="1" t="s">
        <v>30</v>
      </c>
      <c r="C4379" s="1" t="s">
        <v>11</v>
      </c>
      <c r="D4379" s="5">
        <v>45279.0</v>
      </c>
      <c r="G4379" s="1">
        <f>VLOOKUP(B4379,'old-aw-skill-plan'!A:I,7,FALSE)</f>
        <v>3</v>
      </c>
      <c r="H4379" s="1" t="str">
        <f>VLOOKUP(B4379,'old-aw-skill-plan'!A:I,9,FALSE)</f>
        <v>3-3</v>
      </c>
    </row>
    <row r="4380" ht="15.75" customHeight="1">
      <c r="A4380" s="1" t="s">
        <v>74</v>
      </c>
      <c r="B4380" s="1" t="s">
        <v>103</v>
      </c>
      <c r="C4380" s="1" t="s">
        <v>11</v>
      </c>
      <c r="D4380" s="5">
        <v>45279.0</v>
      </c>
      <c r="G4380" s="1">
        <f>VLOOKUP(B4380,'old-aw-skill-plan'!A:I,7,FALSE)</f>
        <v>5</v>
      </c>
      <c r="H4380" s="1" t="str">
        <f>VLOOKUP(B4380,'old-aw-skill-plan'!A:I,9,FALSE)</f>
        <v>5-3</v>
      </c>
    </row>
    <row r="4381" ht="15.75" customHeight="1">
      <c r="A4381" s="1" t="s">
        <v>277</v>
      </c>
      <c r="B4381" s="1" t="s">
        <v>44</v>
      </c>
      <c r="C4381" s="1" t="s">
        <v>11</v>
      </c>
      <c r="D4381" s="5">
        <v>45279.0</v>
      </c>
      <c r="G4381" s="1">
        <f>VLOOKUP(B4381,'old-aw-skill-plan'!A:I,7,FALSE)</f>
        <v>5</v>
      </c>
      <c r="H4381" s="1" t="str">
        <f>VLOOKUP(B4381,'old-aw-skill-plan'!A:I,9,FALSE)</f>
        <v>5-1</v>
      </c>
    </row>
    <row r="4382" ht="15.75" customHeight="1">
      <c r="A4382" s="1" t="s">
        <v>463</v>
      </c>
      <c r="B4382" s="1" t="s">
        <v>44</v>
      </c>
      <c r="C4382" s="1" t="s">
        <v>11</v>
      </c>
      <c r="D4382" s="5">
        <v>45279.0</v>
      </c>
      <c r="G4382" s="1">
        <f>VLOOKUP(B4382,'old-aw-skill-plan'!A:I,7,FALSE)</f>
        <v>5</v>
      </c>
      <c r="H4382" s="1" t="str">
        <f>VLOOKUP(B4382,'old-aw-skill-plan'!A:I,9,FALSE)</f>
        <v>5-1</v>
      </c>
    </row>
    <row r="4383" ht="15.75" customHeight="1">
      <c r="A4383" s="1" t="s">
        <v>464</v>
      </c>
      <c r="B4383" s="1" t="s">
        <v>44</v>
      </c>
      <c r="C4383" s="1" t="s">
        <v>11</v>
      </c>
      <c r="D4383" s="5">
        <v>45278.0</v>
      </c>
      <c r="G4383" s="1">
        <f>VLOOKUP(B4383,'old-aw-skill-plan'!A:I,7,FALSE)</f>
        <v>5</v>
      </c>
      <c r="H4383" s="1" t="str">
        <f>VLOOKUP(B4383,'old-aw-skill-plan'!A:I,9,FALSE)</f>
        <v>5-1</v>
      </c>
    </row>
    <row r="4384" ht="15.75" customHeight="1">
      <c r="A4384" s="1" t="s">
        <v>266</v>
      </c>
      <c r="B4384" s="1" t="s">
        <v>309</v>
      </c>
      <c r="C4384" s="1" t="s">
        <v>11</v>
      </c>
      <c r="D4384" s="5">
        <v>45278.0</v>
      </c>
      <c r="G4384" s="1">
        <f>VLOOKUP(B4384,'old-aw-skill-plan'!A:I,7,FALSE)</f>
        <v>4</v>
      </c>
      <c r="H4384" s="1" t="str">
        <f>VLOOKUP(B4384,'old-aw-skill-plan'!A:I,9,FALSE)</f>
        <v>4-1</v>
      </c>
    </row>
    <row r="4385" ht="15.75" customHeight="1">
      <c r="A4385" s="1" t="s">
        <v>35</v>
      </c>
      <c r="B4385" s="1" t="s">
        <v>21</v>
      </c>
      <c r="C4385" s="1" t="s">
        <v>11</v>
      </c>
      <c r="D4385" s="5">
        <v>45278.0</v>
      </c>
      <c r="G4385" s="1">
        <f>VLOOKUP(B4385,'old-aw-skill-plan'!A:I,7,FALSE)</f>
        <v>4</v>
      </c>
      <c r="H4385" s="1" t="str">
        <f>VLOOKUP(B4385,'old-aw-skill-plan'!A:I,9,FALSE)</f>
        <v>4-6</v>
      </c>
    </row>
    <row r="4386" ht="15.75" customHeight="1">
      <c r="A4386" s="1" t="s">
        <v>458</v>
      </c>
      <c r="B4386" s="1" t="s">
        <v>28</v>
      </c>
      <c r="C4386" s="1" t="s">
        <v>11</v>
      </c>
      <c r="D4386" s="5">
        <v>45278.0</v>
      </c>
      <c r="G4386" s="1">
        <f>VLOOKUP(B4386,'old-aw-skill-plan'!A:I,7,FALSE)</f>
        <v>3</v>
      </c>
      <c r="H4386" s="1" t="str">
        <f>VLOOKUP(B4386,'old-aw-skill-plan'!A:I,9,FALSE)</f>
        <v>3-4</v>
      </c>
    </row>
    <row r="4387" ht="15.75" customHeight="1">
      <c r="A4387" s="1" t="s">
        <v>434</v>
      </c>
      <c r="B4387" s="1" t="s">
        <v>382</v>
      </c>
      <c r="C4387" s="1" t="s">
        <v>11</v>
      </c>
      <c r="D4387" s="5">
        <v>45278.0</v>
      </c>
      <c r="G4387" s="1">
        <f>VLOOKUP(B4387,'old-aw-skill-plan'!A:I,7,FALSE)</f>
        <v>4</v>
      </c>
      <c r="H4387" s="1" t="str">
        <f>VLOOKUP(B4387,'old-aw-skill-plan'!A:I,9,FALSE)</f>
        <v>4-3</v>
      </c>
    </row>
    <row r="4388" ht="15.75" customHeight="1">
      <c r="A4388" s="1" t="s">
        <v>213</v>
      </c>
      <c r="B4388" s="1" t="s">
        <v>47</v>
      </c>
      <c r="C4388" s="1" t="s">
        <v>11</v>
      </c>
      <c r="D4388" s="5">
        <v>45278.0</v>
      </c>
      <c r="G4388" s="1">
        <f>VLOOKUP(B4388,'old-aw-skill-plan'!A:I,7,FALSE)</f>
        <v>3</v>
      </c>
      <c r="H4388" s="1" t="str">
        <f>VLOOKUP(B4388,'old-aw-skill-plan'!A:I,9,FALSE)</f>
        <v>3-2</v>
      </c>
    </row>
    <row r="4389" ht="15.75" customHeight="1">
      <c r="A4389" s="1" t="s">
        <v>449</v>
      </c>
      <c r="B4389" s="1" t="s">
        <v>34</v>
      </c>
      <c r="C4389" s="1" t="s">
        <v>11</v>
      </c>
      <c r="D4389" s="5">
        <v>45278.0</v>
      </c>
      <c r="G4389" s="1">
        <f>VLOOKUP(B4389,'old-aw-skill-plan'!A:I,7,FALSE)</f>
        <v>4</v>
      </c>
      <c r="H4389" s="1" t="str">
        <f>VLOOKUP(B4389,'old-aw-skill-plan'!A:I,9,FALSE)</f>
        <v>4-1</v>
      </c>
    </row>
    <row r="4390" ht="15.75" customHeight="1">
      <c r="A4390" s="1" t="s">
        <v>273</v>
      </c>
      <c r="B4390" s="1" t="s">
        <v>47</v>
      </c>
      <c r="C4390" s="1" t="s">
        <v>11</v>
      </c>
      <c r="D4390" s="5">
        <v>45278.0</v>
      </c>
      <c r="G4390" s="1">
        <f>VLOOKUP(B4390,'old-aw-skill-plan'!A:I,7,FALSE)</f>
        <v>3</v>
      </c>
      <c r="H4390" s="1" t="str">
        <f>VLOOKUP(B4390,'old-aw-skill-plan'!A:I,9,FALSE)</f>
        <v>3-2</v>
      </c>
    </row>
    <row r="4391" ht="15.75" customHeight="1">
      <c r="A4391" s="1" t="s">
        <v>460</v>
      </c>
      <c r="B4391" s="1" t="s">
        <v>44</v>
      </c>
      <c r="C4391" s="1" t="s">
        <v>11</v>
      </c>
      <c r="D4391" s="5">
        <v>45278.0</v>
      </c>
      <c r="G4391" s="1">
        <f>VLOOKUP(B4391,'old-aw-skill-plan'!A:I,7,FALSE)</f>
        <v>5</v>
      </c>
      <c r="H4391" s="1" t="str">
        <f>VLOOKUP(B4391,'old-aw-skill-plan'!A:I,9,FALSE)</f>
        <v>5-1</v>
      </c>
    </row>
    <row r="4392" ht="15.75" customHeight="1">
      <c r="A4392" s="1" t="s">
        <v>465</v>
      </c>
      <c r="B4392" s="1" t="s">
        <v>350</v>
      </c>
      <c r="C4392" s="1" t="s">
        <v>11</v>
      </c>
      <c r="D4392" s="5">
        <v>45278.0</v>
      </c>
      <c r="G4392" s="1">
        <f>VLOOKUP(B4392,'old-aw-skill-plan'!A:I,7,FALSE)</f>
        <v>3</v>
      </c>
      <c r="H4392" s="1" t="str">
        <f>VLOOKUP(B4392,'old-aw-skill-plan'!A:I,9,FALSE)</f>
        <v>3-6</v>
      </c>
    </row>
    <row r="4393" ht="15.75" customHeight="1">
      <c r="A4393" s="1" t="s">
        <v>465</v>
      </c>
      <c r="B4393" s="1" t="s">
        <v>37</v>
      </c>
      <c r="C4393" s="1" t="s">
        <v>11</v>
      </c>
      <c r="D4393" s="5">
        <v>45278.0</v>
      </c>
      <c r="G4393" s="1">
        <f>VLOOKUP(B4393,'old-aw-skill-plan'!A:I,7,FALSE)</f>
        <v>4</v>
      </c>
      <c r="H4393" s="1" t="str">
        <f>VLOOKUP(B4393,'old-aw-skill-plan'!A:I,9,FALSE)</f>
        <v>4-2</v>
      </c>
    </row>
    <row r="4394" ht="15.75" customHeight="1">
      <c r="A4394" s="1" t="s">
        <v>419</v>
      </c>
      <c r="B4394" s="1" t="s">
        <v>44</v>
      </c>
      <c r="C4394" s="1" t="s">
        <v>11</v>
      </c>
      <c r="D4394" s="5">
        <v>45278.0</v>
      </c>
      <c r="G4394" s="1">
        <f>VLOOKUP(B4394,'old-aw-skill-plan'!A:I,7,FALSE)</f>
        <v>5</v>
      </c>
      <c r="H4394" s="1" t="str">
        <f>VLOOKUP(B4394,'old-aw-skill-plan'!A:I,9,FALSE)</f>
        <v>5-1</v>
      </c>
    </row>
    <row r="4395" ht="15.75" customHeight="1">
      <c r="A4395" s="1" t="s">
        <v>459</v>
      </c>
      <c r="B4395" s="1" t="s">
        <v>450</v>
      </c>
      <c r="C4395" s="1" t="s">
        <v>11</v>
      </c>
      <c r="D4395" s="5">
        <v>45278.0</v>
      </c>
      <c r="G4395" s="1">
        <f>VLOOKUP(B4395,'old-aw-skill-plan'!A:I,7,FALSE)</f>
        <v>3</v>
      </c>
      <c r="H4395" s="1" t="str">
        <f>VLOOKUP(B4395,'old-aw-skill-plan'!A:I,9,FALSE)</f>
        <v>3-4</v>
      </c>
    </row>
    <row r="4396" ht="15.75" customHeight="1">
      <c r="A4396" s="1" t="s">
        <v>459</v>
      </c>
      <c r="B4396" s="1" t="s">
        <v>466</v>
      </c>
      <c r="C4396" s="1" t="s">
        <v>11</v>
      </c>
      <c r="D4396" s="5">
        <v>45278.0</v>
      </c>
      <c r="G4396" s="1" t="str">
        <f>VLOOKUP(B4396,'old-aw-skill-plan'!A:I,7,FALSE)</f>
        <v>#N/A</v>
      </c>
      <c r="H4396" s="1" t="str">
        <f>VLOOKUP(B4396,'old-aw-skill-plan'!A:I,9,FALSE)</f>
        <v>#N/A</v>
      </c>
    </row>
    <row r="4397" ht="15.75" customHeight="1">
      <c r="A4397" s="1" t="s">
        <v>459</v>
      </c>
      <c r="B4397" s="1" t="s">
        <v>350</v>
      </c>
      <c r="C4397" s="1" t="s">
        <v>11</v>
      </c>
      <c r="D4397" s="5">
        <v>45278.0</v>
      </c>
      <c r="G4397" s="1">
        <f>VLOOKUP(B4397,'old-aw-skill-plan'!A:I,7,FALSE)</f>
        <v>3</v>
      </c>
      <c r="H4397" s="1" t="str">
        <f>VLOOKUP(B4397,'old-aw-skill-plan'!A:I,9,FALSE)</f>
        <v>3-6</v>
      </c>
    </row>
    <row r="4398" ht="15.75" customHeight="1">
      <c r="A4398" s="1" t="s">
        <v>459</v>
      </c>
      <c r="B4398" s="1" t="s">
        <v>34</v>
      </c>
      <c r="C4398" s="1" t="s">
        <v>11</v>
      </c>
      <c r="D4398" s="5">
        <v>45278.0</v>
      </c>
      <c r="G4398" s="1">
        <f>VLOOKUP(B4398,'old-aw-skill-plan'!A:I,7,FALSE)</f>
        <v>4</v>
      </c>
      <c r="H4398" s="1" t="str">
        <f>VLOOKUP(B4398,'old-aw-skill-plan'!A:I,9,FALSE)</f>
        <v>4-1</v>
      </c>
    </row>
    <row r="4399" ht="15.75" customHeight="1">
      <c r="A4399" s="1" t="s">
        <v>459</v>
      </c>
      <c r="B4399" s="1" t="s">
        <v>37</v>
      </c>
      <c r="C4399" s="1" t="s">
        <v>11</v>
      </c>
      <c r="D4399" s="5">
        <v>45278.0</v>
      </c>
      <c r="G4399" s="1">
        <f>VLOOKUP(B4399,'old-aw-skill-plan'!A:I,7,FALSE)</f>
        <v>4</v>
      </c>
      <c r="H4399" s="1" t="str">
        <f>VLOOKUP(B4399,'old-aw-skill-plan'!A:I,9,FALSE)</f>
        <v>4-2</v>
      </c>
    </row>
    <row r="4400" ht="15.75" customHeight="1">
      <c r="A4400" s="1" t="s">
        <v>421</v>
      </c>
      <c r="B4400" s="1" t="s">
        <v>44</v>
      </c>
      <c r="C4400" s="1" t="s">
        <v>11</v>
      </c>
      <c r="D4400" s="5">
        <v>45278.0</v>
      </c>
      <c r="G4400" s="1">
        <f>VLOOKUP(B4400,'old-aw-skill-plan'!A:I,7,FALSE)</f>
        <v>5</v>
      </c>
      <c r="H4400" s="1" t="str">
        <f>VLOOKUP(B4400,'old-aw-skill-plan'!A:I,9,FALSE)</f>
        <v>5-1</v>
      </c>
    </row>
    <row r="4401" ht="15.75" customHeight="1">
      <c r="A4401" s="1" t="s">
        <v>230</v>
      </c>
      <c r="B4401" s="1" t="s">
        <v>48</v>
      </c>
      <c r="C4401" s="1" t="s">
        <v>11</v>
      </c>
      <c r="D4401" s="5">
        <v>45278.0</v>
      </c>
      <c r="G4401" s="1">
        <f>VLOOKUP(B4401,'old-aw-skill-plan'!A:I,7,FALSE)</f>
        <v>3</v>
      </c>
      <c r="H4401" s="1" t="str">
        <f>VLOOKUP(B4401,'old-aw-skill-plan'!A:I,9,FALSE)</f>
        <v>3-6</v>
      </c>
    </row>
    <row r="4402" ht="15.75" customHeight="1">
      <c r="A4402" s="1" t="s">
        <v>230</v>
      </c>
      <c r="B4402" s="1" t="s">
        <v>446</v>
      </c>
      <c r="C4402" s="1" t="s">
        <v>11</v>
      </c>
      <c r="D4402" s="5">
        <v>45278.0</v>
      </c>
      <c r="G4402" s="1">
        <f>VLOOKUP(B4402,'old-aw-skill-plan'!A:I,7,FALSE)</f>
        <v>3</v>
      </c>
      <c r="H4402" s="1" t="str">
        <f>VLOOKUP(B4402,'old-aw-skill-plan'!A:I,9,FALSE)</f>
        <v>3-6</v>
      </c>
    </row>
    <row r="4403" ht="15.75" customHeight="1">
      <c r="A4403" s="1" t="s">
        <v>275</v>
      </c>
      <c r="B4403" s="1" t="s">
        <v>44</v>
      </c>
      <c r="C4403" s="1" t="s">
        <v>11</v>
      </c>
      <c r="D4403" s="5">
        <v>45278.0</v>
      </c>
      <c r="G4403" s="1">
        <f>VLOOKUP(B4403,'old-aw-skill-plan'!A:I,7,FALSE)</f>
        <v>5</v>
      </c>
      <c r="H4403" s="1" t="str">
        <f>VLOOKUP(B4403,'old-aw-skill-plan'!A:I,9,FALSE)</f>
        <v>5-1</v>
      </c>
    </row>
    <row r="4404" ht="15.75" customHeight="1">
      <c r="A4404" s="1" t="s">
        <v>461</v>
      </c>
      <c r="B4404" s="1" t="s">
        <v>44</v>
      </c>
      <c r="C4404" s="1" t="s">
        <v>11</v>
      </c>
      <c r="D4404" s="5">
        <v>45278.0</v>
      </c>
      <c r="G4404" s="1">
        <f>VLOOKUP(B4404,'old-aw-skill-plan'!A:I,7,FALSE)</f>
        <v>5</v>
      </c>
      <c r="H4404" s="1" t="str">
        <f>VLOOKUP(B4404,'old-aw-skill-plan'!A:I,9,FALSE)</f>
        <v>5-1</v>
      </c>
    </row>
    <row r="4405" ht="15.75" customHeight="1">
      <c r="A4405" s="1" t="s">
        <v>214</v>
      </c>
      <c r="B4405" s="1" t="s">
        <v>30</v>
      </c>
      <c r="C4405" s="1" t="s">
        <v>11</v>
      </c>
      <c r="D4405" s="5">
        <v>45278.0</v>
      </c>
      <c r="G4405" s="1">
        <f>VLOOKUP(B4405,'old-aw-skill-plan'!A:I,7,FALSE)</f>
        <v>3</v>
      </c>
      <c r="H4405" s="1" t="str">
        <f>VLOOKUP(B4405,'old-aw-skill-plan'!A:I,9,FALSE)</f>
        <v>3-3</v>
      </c>
    </row>
    <row r="4406" ht="15.75" customHeight="1">
      <c r="A4406" s="1" t="s">
        <v>462</v>
      </c>
      <c r="B4406" s="1" t="s">
        <v>44</v>
      </c>
      <c r="C4406" s="1" t="s">
        <v>11</v>
      </c>
      <c r="D4406" s="5">
        <v>45278.0</v>
      </c>
      <c r="G4406" s="1">
        <f>VLOOKUP(B4406,'old-aw-skill-plan'!A:I,7,FALSE)</f>
        <v>5</v>
      </c>
      <c r="H4406" s="1" t="str">
        <f>VLOOKUP(B4406,'old-aw-skill-plan'!A:I,9,FALSE)</f>
        <v>5-1</v>
      </c>
    </row>
    <row r="4407" ht="15.75" customHeight="1">
      <c r="A4407" s="1" t="s">
        <v>430</v>
      </c>
      <c r="B4407" s="1" t="s">
        <v>10</v>
      </c>
      <c r="C4407" s="1" t="s">
        <v>11</v>
      </c>
      <c r="D4407" s="5">
        <v>45278.0</v>
      </c>
      <c r="G4407" s="1">
        <f>VLOOKUP(B4407,'old-aw-skill-plan'!A:I,7,FALSE)</f>
        <v>3</v>
      </c>
      <c r="H4407" s="1" t="str">
        <f>VLOOKUP(B4407,'old-aw-skill-plan'!A:I,9,FALSE)</f>
        <v>3-1</v>
      </c>
    </row>
    <row r="4408" ht="15.75" customHeight="1">
      <c r="A4408" s="1" t="s">
        <v>430</v>
      </c>
      <c r="B4408" s="1" t="s">
        <v>47</v>
      </c>
      <c r="C4408" s="1" t="s">
        <v>11</v>
      </c>
      <c r="D4408" s="5">
        <v>45278.0</v>
      </c>
      <c r="G4408" s="1">
        <f>VLOOKUP(B4408,'old-aw-skill-plan'!A:I,7,FALSE)</f>
        <v>3</v>
      </c>
      <c r="H4408" s="1" t="str">
        <f>VLOOKUP(B4408,'old-aw-skill-plan'!A:I,9,FALSE)</f>
        <v>3-2</v>
      </c>
    </row>
    <row r="4409" ht="15.75" customHeight="1">
      <c r="A4409" s="1" t="s">
        <v>90</v>
      </c>
      <c r="B4409" s="1" t="s">
        <v>47</v>
      </c>
      <c r="C4409" s="1" t="s">
        <v>11</v>
      </c>
      <c r="D4409" s="5">
        <v>45278.0</v>
      </c>
      <c r="G4409" s="1">
        <f>VLOOKUP(B4409,'old-aw-skill-plan'!A:I,7,FALSE)</f>
        <v>3</v>
      </c>
      <c r="H4409" s="1" t="str">
        <f>VLOOKUP(B4409,'old-aw-skill-plan'!A:I,9,FALSE)</f>
        <v>3-2</v>
      </c>
    </row>
    <row r="4410" ht="15.75" customHeight="1">
      <c r="A4410" s="1" t="s">
        <v>90</v>
      </c>
      <c r="B4410" s="1" t="s">
        <v>48</v>
      </c>
      <c r="C4410" s="1" t="s">
        <v>11</v>
      </c>
      <c r="D4410" s="5">
        <v>45278.0</v>
      </c>
      <c r="G4410" s="1">
        <f>VLOOKUP(B4410,'old-aw-skill-plan'!A:I,7,FALSE)</f>
        <v>3</v>
      </c>
      <c r="H4410" s="1" t="str">
        <f>VLOOKUP(B4410,'old-aw-skill-plan'!A:I,9,FALSE)</f>
        <v>3-6</v>
      </c>
    </row>
    <row r="4411" ht="15.75" customHeight="1">
      <c r="A4411" s="1" t="s">
        <v>90</v>
      </c>
      <c r="B4411" s="1" t="s">
        <v>467</v>
      </c>
      <c r="C4411" s="1" t="s">
        <v>11</v>
      </c>
      <c r="D4411" s="5">
        <v>45278.0</v>
      </c>
      <c r="G4411" s="1" t="str">
        <f>VLOOKUP(B4411,'old-aw-skill-plan'!A:I,7,FALSE)</f>
        <v>#N/A</v>
      </c>
      <c r="H4411" s="1" t="str">
        <f>VLOOKUP(B4411,'old-aw-skill-plan'!A:I,9,FALSE)</f>
        <v>#N/A</v>
      </c>
    </row>
    <row r="4412" ht="15.75" customHeight="1">
      <c r="A4412" s="1" t="s">
        <v>277</v>
      </c>
      <c r="B4412" s="1" t="s">
        <v>44</v>
      </c>
      <c r="C4412" s="1" t="s">
        <v>11</v>
      </c>
      <c r="D4412" s="5">
        <v>45278.0</v>
      </c>
      <c r="G4412" s="1">
        <f>VLOOKUP(B4412,'old-aw-skill-plan'!A:I,7,FALSE)</f>
        <v>5</v>
      </c>
      <c r="H4412" s="1" t="str">
        <f>VLOOKUP(B4412,'old-aw-skill-plan'!A:I,9,FALSE)</f>
        <v>5-1</v>
      </c>
    </row>
    <row r="4413" ht="15.75" customHeight="1">
      <c r="A4413" s="1" t="s">
        <v>463</v>
      </c>
      <c r="B4413" s="1" t="s">
        <v>44</v>
      </c>
      <c r="C4413" s="1" t="s">
        <v>11</v>
      </c>
      <c r="D4413" s="5">
        <v>45278.0</v>
      </c>
      <c r="G4413" s="1">
        <f>VLOOKUP(B4413,'old-aw-skill-plan'!A:I,7,FALSE)</f>
        <v>5</v>
      </c>
      <c r="H4413" s="1" t="str">
        <f>VLOOKUP(B4413,'old-aw-skill-plan'!A:I,9,FALSE)</f>
        <v>5-1</v>
      </c>
    </row>
    <row r="4414" ht="15.75" customHeight="1">
      <c r="A4414" s="1" t="s">
        <v>457</v>
      </c>
      <c r="B4414" s="1" t="s">
        <v>350</v>
      </c>
      <c r="C4414" s="1" t="s">
        <v>11</v>
      </c>
      <c r="D4414" s="5">
        <v>45278.0</v>
      </c>
      <c r="G4414" s="1">
        <f>VLOOKUP(B4414,'old-aw-skill-plan'!A:I,7,FALSE)</f>
        <v>3</v>
      </c>
      <c r="H4414" s="1" t="str">
        <f>VLOOKUP(B4414,'old-aw-skill-plan'!A:I,9,FALSE)</f>
        <v>3-6</v>
      </c>
    </row>
    <row r="4415" ht="15.75" customHeight="1">
      <c r="A4415" s="1" t="s">
        <v>365</v>
      </c>
      <c r="B4415" s="1" t="s">
        <v>34</v>
      </c>
      <c r="C4415" s="1" t="s">
        <v>11</v>
      </c>
      <c r="D4415" s="5">
        <v>45278.0</v>
      </c>
      <c r="G4415" s="1">
        <f>VLOOKUP(B4415,'old-aw-skill-plan'!A:I,7,FALSE)</f>
        <v>4</v>
      </c>
      <c r="H4415" s="1" t="str">
        <f>VLOOKUP(B4415,'old-aw-skill-plan'!A:I,9,FALSE)</f>
        <v>4-1</v>
      </c>
    </row>
    <row r="4416" ht="15.75" customHeight="1">
      <c r="A4416" s="1" t="s">
        <v>468</v>
      </c>
      <c r="B4416" s="1" t="s">
        <v>30</v>
      </c>
      <c r="C4416" s="1" t="s">
        <v>11</v>
      </c>
      <c r="D4416" s="5">
        <v>45278.0</v>
      </c>
      <c r="G4416" s="1">
        <f>VLOOKUP(B4416,'old-aw-skill-plan'!A:I,7,FALSE)</f>
        <v>3</v>
      </c>
      <c r="H4416" s="1" t="str">
        <f>VLOOKUP(B4416,'old-aw-skill-plan'!A:I,9,FALSE)</f>
        <v>3-3</v>
      </c>
    </row>
    <row r="4417" ht="15.75" customHeight="1">
      <c r="A4417" s="1" t="s">
        <v>468</v>
      </c>
      <c r="B4417" s="1" t="s">
        <v>111</v>
      </c>
      <c r="C4417" s="1" t="s">
        <v>11</v>
      </c>
      <c r="D4417" s="5">
        <v>45278.0</v>
      </c>
      <c r="G4417" s="1" t="str">
        <f>VLOOKUP(B4417,'old-aw-skill-plan'!A:I,7,FALSE)</f>
        <v>#N/A</v>
      </c>
      <c r="H4417" s="1" t="str">
        <f>VLOOKUP(B4417,'old-aw-skill-plan'!A:I,9,FALSE)</f>
        <v>#N/A</v>
      </c>
    </row>
    <row r="4418" ht="15.75" customHeight="1">
      <c r="A4418" s="1" t="s">
        <v>468</v>
      </c>
      <c r="B4418" s="1" t="s">
        <v>377</v>
      </c>
      <c r="C4418" s="1" t="s">
        <v>11</v>
      </c>
      <c r="D4418" s="5">
        <v>45278.0</v>
      </c>
      <c r="G4418" s="1">
        <f>VLOOKUP(B4418,'old-aw-skill-plan'!A:I,7,FALSE)</f>
        <v>3</v>
      </c>
      <c r="H4418" s="1" t="str">
        <f>VLOOKUP(B4418,'old-aw-skill-plan'!A:I,9,FALSE)</f>
        <v>3-3</v>
      </c>
    </row>
    <row r="4419" ht="15.75" customHeight="1">
      <c r="A4419" s="1" t="s">
        <v>468</v>
      </c>
      <c r="B4419" s="1" t="s">
        <v>398</v>
      </c>
      <c r="C4419" s="1" t="s">
        <v>11</v>
      </c>
      <c r="D4419" s="5">
        <v>45278.0</v>
      </c>
      <c r="G4419" s="1" t="str">
        <f>VLOOKUP(B4419,'old-aw-skill-plan'!A:I,7,FALSE)</f>
        <v>#N/A</v>
      </c>
      <c r="H4419" s="1" t="str">
        <f>VLOOKUP(B4419,'old-aw-skill-plan'!A:I,9,FALSE)</f>
        <v>#N/A</v>
      </c>
    </row>
    <row r="4420" ht="15.75" customHeight="1">
      <c r="A4420" s="1" t="s">
        <v>454</v>
      </c>
      <c r="B4420" s="1" t="s">
        <v>466</v>
      </c>
      <c r="C4420" s="1" t="s">
        <v>11</v>
      </c>
      <c r="D4420" s="5">
        <v>45277.0</v>
      </c>
      <c r="G4420" s="1" t="str">
        <f>VLOOKUP(B4420,'old-aw-skill-plan'!A:I,7,FALSE)</f>
        <v>#N/A</v>
      </c>
      <c r="H4420" s="1" t="str">
        <f>VLOOKUP(B4420,'old-aw-skill-plan'!A:I,9,FALSE)</f>
        <v>#N/A</v>
      </c>
    </row>
    <row r="4421" ht="15.75" customHeight="1">
      <c r="A4421" s="1" t="s">
        <v>454</v>
      </c>
      <c r="B4421" s="1" t="s">
        <v>34</v>
      </c>
      <c r="C4421" s="1" t="s">
        <v>11</v>
      </c>
      <c r="D4421" s="5">
        <v>45277.0</v>
      </c>
      <c r="G4421" s="1">
        <f>VLOOKUP(B4421,'old-aw-skill-plan'!A:I,7,FALSE)</f>
        <v>4</v>
      </c>
      <c r="H4421" s="1" t="str">
        <f>VLOOKUP(B4421,'old-aw-skill-plan'!A:I,9,FALSE)</f>
        <v>4-1</v>
      </c>
    </row>
    <row r="4422" ht="15.75" customHeight="1">
      <c r="A4422" s="1" t="s">
        <v>454</v>
      </c>
      <c r="B4422" s="1" t="s">
        <v>21</v>
      </c>
      <c r="C4422" s="1" t="s">
        <v>11</v>
      </c>
      <c r="D4422" s="5">
        <v>45277.0</v>
      </c>
      <c r="G4422" s="1">
        <f>VLOOKUP(B4422,'old-aw-skill-plan'!A:I,7,FALSE)</f>
        <v>4</v>
      </c>
      <c r="H4422" s="1" t="str">
        <f>VLOOKUP(B4422,'old-aw-skill-plan'!A:I,9,FALSE)</f>
        <v>4-6</v>
      </c>
    </row>
    <row r="4423" ht="15.75" customHeight="1">
      <c r="A4423" s="1" t="s">
        <v>266</v>
      </c>
      <c r="B4423" s="1" t="s">
        <v>10</v>
      </c>
      <c r="C4423" s="1" t="s">
        <v>11</v>
      </c>
      <c r="D4423" s="5">
        <v>45275.0</v>
      </c>
      <c r="G4423" s="1">
        <f>VLOOKUP(B4423,'old-aw-skill-plan'!A:I,7,FALSE)</f>
        <v>3</v>
      </c>
      <c r="H4423" s="1" t="str">
        <f>VLOOKUP(B4423,'old-aw-skill-plan'!A:I,9,FALSE)</f>
        <v>3-1</v>
      </c>
    </row>
    <row r="4424" ht="15.75" customHeight="1">
      <c r="A4424" s="1" t="s">
        <v>266</v>
      </c>
      <c r="B4424" s="1" t="s">
        <v>61</v>
      </c>
      <c r="C4424" s="1" t="s">
        <v>11</v>
      </c>
      <c r="D4424" s="5">
        <v>45275.0</v>
      </c>
      <c r="G4424" s="1">
        <f>VLOOKUP(B4424,'old-aw-skill-plan'!A:I,7,FALSE)</f>
        <v>4</v>
      </c>
      <c r="H4424" s="1" t="str">
        <f>VLOOKUP(B4424,'old-aw-skill-plan'!A:I,9,FALSE)</f>
        <v>4-4</v>
      </c>
    </row>
    <row r="4425" ht="15.75" customHeight="1">
      <c r="A4425" s="1" t="s">
        <v>266</v>
      </c>
      <c r="B4425" s="1" t="s">
        <v>34</v>
      </c>
      <c r="C4425" s="1" t="s">
        <v>11</v>
      </c>
      <c r="D4425" s="5">
        <v>45275.0</v>
      </c>
      <c r="G4425" s="1">
        <f>VLOOKUP(B4425,'old-aw-skill-plan'!A:I,7,FALSE)</f>
        <v>4</v>
      </c>
      <c r="H4425" s="1" t="str">
        <f>VLOOKUP(B4425,'old-aw-skill-plan'!A:I,9,FALSE)</f>
        <v>4-1</v>
      </c>
    </row>
    <row r="4426" ht="15.75" customHeight="1">
      <c r="A4426" s="1" t="s">
        <v>266</v>
      </c>
      <c r="B4426" s="1" t="s">
        <v>97</v>
      </c>
      <c r="C4426" s="1" t="s">
        <v>11</v>
      </c>
      <c r="D4426" s="5">
        <v>45275.0</v>
      </c>
      <c r="G4426" s="1">
        <f>VLOOKUP(B4426,'old-aw-skill-plan'!A:I,7,FALSE)</f>
        <v>4</v>
      </c>
      <c r="H4426" s="1" t="str">
        <f>VLOOKUP(B4426,'old-aw-skill-plan'!A:I,9,FALSE)</f>
        <v>4-3</v>
      </c>
    </row>
    <row r="4427" ht="15.75" customHeight="1">
      <c r="A4427" s="1" t="s">
        <v>266</v>
      </c>
      <c r="B4427" s="1" t="s">
        <v>37</v>
      </c>
      <c r="C4427" s="1" t="s">
        <v>11</v>
      </c>
      <c r="D4427" s="5">
        <v>45275.0</v>
      </c>
      <c r="G4427" s="1">
        <f>VLOOKUP(B4427,'old-aw-skill-plan'!A:I,7,FALSE)</f>
        <v>4</v>
      </c>
      <c r="H4427" s="1" t="str">
        <f>VLOOKUP(B4427,'old-aw-skill-plan'!A:I,9,FALSE)</f>
        <v>4-2</v>
      </c>
    </row>
    <row r="4428" ht="15.75" customHeight="1">
      <c r="A4428" s="1" t="s">
        <v>266</v>
      </c>
      <c r="B4428" s="1" t="s">
        <v>99</v>
      </c>
      <c r="C4428" s="1" t="s">
        <v>11</v>
      </c>
      <c r="D4428" s="5">
        <v>45275.0</v>
      </c>
      <c r="G4428" s="1" t="str">
        <f>VLOOKUP(B4428,'old-aw-skill-plan'!A:I,7,FALSE)</f>
        <v>#N/A</v>
      </c>
      <c r="H4428" s="1" t="str">
        <f>VLOOKUP(B4428,'old-aw-skill-plan'!A:I,9,FALSE)</f>
        <v>#N/A</v>
      </c>
    </row>
    <row r="4429" ht="15.75" customHeight="1">
      <c r="A4429" s="1" t="s">
        <v>266</v>
      </c>
      <c r="B4429" s="1" t="s">
        <v>44</v>
      </c>
      <c r="C4429" s="1" t="s">
        <v>11</v>
      </c>
      <c r="D4429" s="5">
        <v>45275.0</v>
      </c>
      <c r="G4429" s="1">
        <f>VLOOKUP(B4429,'old-aw-skill-plan'!A:I,7,FALSE)</f>
        <v>5</v>
      </c>
      <c r="H4429" s="1" t="str">
        <f>VLOOKUP(B4429,'old-aw-skill-plan'!A:I,9,FALSE)</f>
        <v>5-1</v>
      </c>
    </row>
    <row r="4430" ht="15.75" customHeight="1">
      <c r="A4430" s="1" t="s">
        <v>22</v>
      </c>
      <c r="B4430" s="1" t="s">
        <v>99</v>
      </c>
      <c r="C4430" s="1" t="s">
        <v>11</v>
      </c>
      <c r="D4430" s="5">
        <v>45275.0</v>
      </c>
      <c r="G4430" s="1" t="str">
        <f>VLOOKUP(B4430,'old-aw-skill-plan'!A:I,7,FALSE)</f>
        <v>#N/A</v>
      </c>
      <c r="H4430" s="1" t="str">
        <f>VLOOKUP(B4430,'old-aw-skill-plan'!A:I,9,FALSE)</f>
        <v>#N/A</v>
      </c>
    </row>
    <row r="4431" ht="15.75" customHeight="1">
      <c r="A4431" s="1" t="s">
        <v>216</v>
      </c>
      <c r="B4431" s="1" t="s">
        <v>34</v>
      </c>
      <c r="C4431" s="1" t="s">
        <v>11</v>
      </c>
      <c r="D4431" s="5">
        <v>45275.0</v>
      </c>
      <c r="G4431" s="1">
        <f>VLOOKUP(B4431,'old-aw-skill-plan'!A:I,7,FALSE)</f>
        <v>4</v>
      </c>
      <c r="H4431" s="1" t="str">
        <f>VLOOKUP(B4431,'old-aw-skill-plan'!A:I,9,FALSE)</f>
        <v>4-1</v>
      </c>
    </row>
    <row r="4432" ht="15.75" customHeight="1">
      <c r="A4432" s="1" t="s">
        <v>35</v>
      </c>
      <c r="B4432" s="1" t="s">
        <v>61</v>
      </c>
      <c r="C4432" s="1" t="s">
        <v>11</v>
      </c>
      <c r="D4432" s="5">
        <v>45275.0</v>
      </c>
      <c r="G4432" s="1">
        <f>VLOOKUP(B4432,'old-aw-skill-plan'!A:I,7,FALSE)</f>
        <v>4</v>
      </c>
      <c r="H4432" s="1" t="str">
        <f>VLOOKUP(B4432,'old-aw-skill-plan'!A:I,9,FALSE)</f>
        <v>4-4</v>
      </c>
    </row>
    <row r="4433" ht="15.75" customHeight="1">
      <c r="A4433" s="1" t="s">
        <v>35</v>
      </c>
      <c r="B4433" s="1" t="s">
        <v>21</v>
      </c>
      <c r="C4433" s="1" t="s">
        <v>11</v>
      </c>
      <c r="D4433" s="5">
        <v>45275.0</v>
      </c>
      <c r="G4433" s="1">
        <f>VLOOKUP(B4433,'old-aw-skill-plan'!A:I,7,FALSE)</f>
        <v>4</v>
      </c>
      <c r="H4433" s="1" t="str">
        <f>VLOOKUP(B4433,'old-aw-skill-plan'!A:I,9,FALSE)</f>
        <v>4-6</v>
      </c>
    </row>
    <row r="4434" ht="15.75" customHeight="1">
      <c r="A4434" s="1" t="s">
        <v>24</v>
      </c>
      <c r="B4434" s="1" t="s">
        <v>34</v>
      </c>
      <c r="C4434" s="1" t="s">
        <v>11</v>
      </c>
      <c r="D4434" s="5">
        <v>45275.0</v>
      </c>
      <c r="G4434" s="1">
        <f>VLOOKUP(B4434,'old-aw-skill-plan'!A:I,7,FALSE)</f>
        <v>4</v>
      </c>
      <c r="H4434" s="1" t="str">
        <f>VLOOKUP(B4434,'old-aw-skill-plan'!A:I,9,FALSE)</f>
        <v>4-1</v>
      </c>
    </row>
    <row r="4435" ht="15.75" customHeight="1">
      <c r="A4435" s="1" t="s">
        <v>271</v>
      </c>
      <c r="B4435" s="1" t="s">
        <v>370</v>
      </c>
      <c r="C4435" s="1" t="s">
        <v>11</v>
      </c>
      <c r="D4435" s="5">
        <v>45275.0</v>
      </c>
      <c r="G4435" s="1">
        <f>VLOOKUP(B4435,'old-aw-skill-plan'!A:I,7,FALSE)</f>
        <v>4</v>
      </c>
      <c r="H4435" s="1" t="str">
        <f>VLOOKUP(B4435,'old-aw-skill-plan'!A:I,9,FALSE)</f>
        <v>4-6</v>
      </c>
    </row>
    <row r="4436" ht="15.75" customHeight="1">
      <c r="A4436" s="1" t="s">
        <v>271</v>
      </c>
      <c r="B4436" s="1" t="s">
        <v>386</v>
      </c>
      <c r="C4436" s="1" t="s">
        <v>11</v>
      </c>
      <c r="D4436" s="5">
        <v>45275.0</v>
      </c>
      <c r="G4436" s="1">
        <f>VLOOKUP(B4436,'old-aw-skill-plan'!A:I,7,FALSE)</f>
        <v>4</v>
      </c>
      <c r="H4436" s="1" t="str">
        <f>VLOOKUP(B4436,'old-aw-skill-plan'!A:I,9,FALSE)</f>
        <v>4-6</v>
      </c>
    </row>
    <row r="4437" ht="15.75" customHeight="1">
      <c r="A4437" s="1" t="s">
        <v>213</v>
      </c>
      <c r="B4437" s="1" t="s">
        <v>47</v>
      </c>
      <c r="C4437" s="1" t="s">
        <v>11</v>
      </c>
      <c r="D4437" s="5">
        <v>45275.0</v>
      </c>
      <c r="G4437" s="1">
        <f>VLOOKUP(B4437,'old-aw-skill-plan'!A:I,7,FALSE)</f>
        <v>3</v>
      </c>
      <c r="H4437" s="1" t="str">
        <f>VLOOKUP(B4437,'old-aw-skill-plan'!A:I,9,FALSE)</f>
        <v>3-2</v>
      </c>
    </row>
    <row r="4438" ht="15.75" customHeight="1">
      <c r="A4438" s="1" t="s">
        <v>199</v>
      </c>
      <c r="B4438" s="1" t="s">
        <v>34</v>
      </c>
      <c r="C4438" s="1" t="s">
        <v>11</v>
      </c>
      <c r="D4438" s="5">
        <v>45275.0</v>
      </c>
      <c r="G4438" s="1">
        <f>VLOOKUP(B4438,'old-aw-skill-plan'!A:I,7,FALSE)</f>
        <v>4</v>
      </c>
      <c r="H4438" s="1" t="str">
        <f>VLOOKUP(B4438,'old-aw-skill-plan'!A:I,9,FALSE)</f>
        <v>4-1</v>
      </c>
    </row>
    <row r="4439" ht="15.75" customHeight="1">
      <c r="A4439" s="1" t="s">
        <v>449</v>
      </c>
      <c r="B4439" s="1" t="s">
        <v>34</v>
      </c>
      <c r="C4439" s="1" t="s">
        <v>11</v>
      </c>
      <c r="D4439" s="5">
        <v>45275.0</v>
      </c>
      <c r="G4439" s="1">
        <f>VLOOKUP(B4439,'old-aw-skill-plan'!A:I,7,FALSE)</f>
        <v>4</v>
      </c>
      <c r="H4439" s="1" t="str">
        <f>VLOOKUP(B4439,'old-aw-skill-plan'!A:I,9,FALSE)</f>
        <v>4-1</v>
      </c>
    </row>
    <row r="4440" ht="15.75" customHeight="1">
      <c r="A4440" s="1" t="s">
        <v>36</v>
      </c>
      <c r="B4440" s="1" t="s">
        <v>28</v>
      </c>
      <c r="C4440" s="1" t="s">
        <v>11</v>
      </c>
      <c r="D4440" s="5">
        <v>45275.0</v>
      </c>
      <c r="G4440" s="1">
        <f>VLOOKUP(B4440,'old-aw-skill-plan'!A:I,7,FALSE)</f>
        <v>3</v>
      </c>
      <c r="H4440" s="1" t="str">
        <f>VLOOKUP(B4440,'old-aw-skill-plan'!A:I,9,FALSE)</f>
        <v>3-4</v>
      </c>
    </row>
    <row r="4441" ht="15.75" customHeight="1">
      <c r="A4441" s="1" t="s">
        <v>469</v>
      </c>
      <c r="B4441" s="1" t="s">
        <v>37</v>
      </c>
      <c r="C4441" s="1" t="s">
        <v>11</v>
      </c>
      <c r="D4441" s="5">
        <v>45275.0</v>
      </c>
      <c r="G4441" s="1">
        <f>VLOOKUP(B4441,'old-aw-skill-plan'!A:I,7,FALSE)</f>
        <v>4</v>
      </c>
      <c r="H4441" s="1" t="str">
        <f>VLOOKUP(B4441,'old-aw-skill-plan'!A:I,9,FALSE)</f>
        <v>4-2</v>
      </c>
    </row>
    <row r="4442" ht="15.75" customHeight="1">
      <c r="A4442" s="1" t="s">
        <v>419</v>
      </c>
      <c r="B4442" s="1" t="s">
        <v>44</v>
      </c>
      <c r="C4442" s="1" t="s">
        <v>11</v>
      </c>
      <c r="D4442" s="5">
        <v>45275.0</v>
      </c>
      <c r="G4442" s="1">
        <f>VLOOKUP(B4442,'old-aw-skill-plan'!A:I,7,FALSE)</f>
        <v>5</v>
      </c>
      <c r="H4442" s="1" t="str">
        <f>VLOOKUP(B4442,'old-aw-skill-plan'!A:I,9,FALSE)</f>
        <v>5-1</v>
      </c>
    </row>
    <row r="4443" ht="15.75" customHeight="1">
      <c r="A4443" s="1" t="s">
        <v>454</v>
      </c>
      <c r="B4443" s="1" t="s">
        <v>466</v>
      </c>
      <c r="C4443" s="1" t="s">
        <v>11</v>
      </c>
      <c r="D4443" s="5">
        <v>45275.0</v>
      </c>
      <c r="G4443" s="1" t="str">
        <f>VLOOKUP(B4443,'old-aw-skill-plan'!A:I,7,FALSE)</f>
        <v>#N/A</v>
      </c>
      <c r="H4443" s="1" t="str">
        <f>VLOOKUP(B4443,'old-aw-skill-plan'!A:I,9,FALSE)</f>
        <v>#N/A</v>
      </c>
    </row>
    <row r="4444" ht="15.75" customHeight="1">
      <c r="A4444" s="1" t="s">
        <v>454</v>
      </c>
      <c r="B4444" s="1" t="s">
        <v>350</v>
      </c>
      <c r="C4444" s="1" t="s">
        <v>11</v>
      </c>
      <c r="D4444" s="5">
        <v>45275.0</v>
      </c>
      <c r="G4444" s="1">
        <f>VLOOKUP(B4444,'old-aw-skill-plan'!A:I,7,FALSE)</f>
        <v>3</v>
      </c>
      <c r="H4444" s="1" t="str">
        <f>VLOOKUP(B4444,'old-aw-skill-plan'!A:I,9,FALSE)</f>
        <v>3-6</v>
      </c>
    </row>
    <row r="4445" ht="15.75" customHeight="1">
      <c r="A4445" s="1" t="s">
        <v>459</v>
      </c>
      <c r="B4445" s="1" t="s">
        <v>466</v>
      </c>
      <c r="C4445" s="1" t="s">
        <v>11</v>
      </c>
      <c r="D4445" s="5">
        <v>45275.0</v>
      </c>
      <c r="G4445" s="1" t="str">
        <f>VLOOKUP(B4445,'old-aw-skill-plan'!A:I,7,FALSE)</f>
        <v>#N/A</v>
      </c>
      <c r="H4445" s="1" t="str">
        <f>VLOOKUP(B4445,'old-aw-skill-plan'!A:I,9,FALSE)</f>
        <v>#N/A</v>
      </c>
    </row>
    <row r="4446" ht="15.75" customHeight="1">
      <c r="A4446" s="1" t="s">
        <v>56</v>
      </c>
      <c r="B4446" s="1" t="s">
        <v>28</v>
      </c>
      <c r="C4446" s="1" t="s">
        <v>11</v>
      </c>
      <c r="D4446" s="5">
        <v>45275.0</v>
      </c>
      <c r="G4446" s="1">
        <f>VLOOKUP(B4446,'old-aw-skill-plan'!A:I,7,FALSE)</f>
        <v>3</v>
      </c>
      <c r="H4446" s="1" t="str">
        <f>VLOOKUP(B4446,'old-aw-skill-plan'!A:I,9,FALSE)</f>
        <v>3-4</v>
      </c>
    </row>
    <row r="4447" ht="15.75" customHeight="1">
      <c r="A4447" s="1" t="s">
        <v>230</v>
      </c>
      <c r="B4447" s="1" t="s">
        <v>446</v>
      </c>
      <c r="C4447" s="1" t="s">
        <v>11</v>
      </c>
      <c r="D4447" s="5">
        <v>45275.0</v>
      </c>
      <c r="G4447" s="1">
        <f>VLOOKUP(B4447,'old-aw-skill-plan'!A:I,7,FALSE)</f>
        <v>3</v>
      </c>
      <c r="H4447" s="1" t="str">
        <f>VLOOKUP(B4447,'old-aw-skill-plan'!A:I,9,FALSE)</f>
        <v>3-6</v>
      </c>
    </row>
    <row r="4448" ht="15.75" customHeight="1">
      <c r="A4448" s="1" t="s">
        <v>428</v>
      </c>
      <c r="B4448" s="1" t="s">
        <v>21</v>
      </c>
      <c r="C4448" s="1" t="s">
        <v>11</v>
      </c>
      <c r="D4448" s="5">
        <v>45275.0</v>
      </c>
      <c r="G4448" s="1">
        <f>VLOOKUP(B4448,'old-aw-skill-plan'!A:I,7,FALSE)</f>
        <v>4</v>
      </c>
      <c r="H4448" s="1" t="str">
        <f>VLOOKUP(B4448,'old-aw-skill-plan'!A:I,9,FALSE)</f>
        <v>4-6</v>
      </c>
    </row>
    <row r="4449" ht="15.75" customHeight="1">
      <c r="A4449" s="1" t="s">
        <v>428</v>
      </c>
      <c r="B4449" s="1" t="s">
        <v>382</v>
      </c>
      <c r="C4449" s="1" t="s">
        <v>11</v>
      </c>
      <c r="D4449" s="5">
        <v>45275.0</v>
      </c>
      <c r="G4449" s="1">
        <f>VLOOKUP(B4449,'old-aw-skill-plan'!A:I,7,FALSE)</f>
        <v>4</v>
      </c>
      <c r="H4449" s="1" t="str">
        <f>VLOOKUP(B4449,'old-aw-skill-plan'!A:I,9,FALSE)</f>
        <v>4-3</v>
      </c>
    </row>
    <row r="4450" ht="15.75" customHeight="1">
      <c r="A4450" s="1" t="s">
        <v>428</v>
      </c>
      <c r="B4450" s="1" t="s">
        <v>320</v>
      </c>
      <c r="C4450" s="1" t="s">
        <v>11</v>
      </c>
      <c r="D4450" s="5">
        <v>45275.0</v>
      </c>
      <c r="G4450" s="1">
        <f>VLOOKUP(B4450,'old-aw-skill-plan'!A:I,7,FALSE)</f>
        <v>4</v>
      </c>
      <c r="H4450" s="1" t="str">
        <f>VLOOKUP(B4450,'old-aw-skill-plan'!A:I,9,FALSE)</f>
        <v>4-2</v>
      </c>
    </row>
    <row r="4451" ht="15.75" customHeight="1">
      <c r="A4451" s="1" t="s">
        <v>214</v>
      </c>
      <c r="B4451" s="1" t="s">
        <v>30</v>
      </c>
      <c r="C4451" s="1" t="s">
        <v>11</v>
      </c>
      <c r="D4451" s="5">
        <v>45275.0</v>
      </c>
      <c r="G4451" s="1">
        <f>VLOOKUP(B4451,'old-aw-skill-plan'!A:I,7,FALSE)</f>
        <v>3</v>
      </c>
      <c r="H4451" s="1" t="str">
        <f>VLOOKUP(B4451,'old-aw-skill-plan'!A:I,9,FALSE)</f>
        <v>3-3</v>
      </c>
    </row>
    <row r="4452" ht="15.75" customHeight="1">
      <c r="A4452" s="1" t="s">
        <v>197</v>
      </c>
      <c r="B4452" s="1" t="s">
        <v>320</v>
      </c>
      <c r="C4452" s="1" t="s">
        <v>11</v>
      </c>
      <c r="D4452" s="5">
        <v>45275.0</v>
      </c>
      <c r="G4452" s="1">
        <f>VLOOKUP(B4452,'old-aw-skill-plan'!A:I,7,FALSE)</f>
        <v>4</v>
      </c>
      <c r="H4452" s="1" t="str">
        <f>VLOOKUP(B4452,'old-aw-skill-plan'!A:I,9,FALSE)</f>
        <v>4-2</v>
      </c>
    </row>
    <row r="4453" ht="15.75" customHeight="1">
      <c r="A4453" s="1" t="s">
        <v>373</v>
      </c>
      <c r="B4453" s="1" t="s">
        <v>30</v>
      </c>
      <c r="C4453" s="1" t="s">
        <v>11</v>
      </c>
      <c r="D4453" s="5">
        <v>45275.0</v>
      </c>
      <c r="G4453" s="1">
        <f>VLOOKUP(B4453,'old-aw-skill-plan'!A:I,7,FALSE)</f>
        <v>3</v>
      </c>
      <c r="H4453" s="1" t="str">
        <f>VLOOKUP(B4453,'old-aw-skill-plan'!A:I,9,FALSE)</f>
        <v>3-3</v>
      </c>
    </row>
    <row r="4454" ht="15.75" customHeight="1">
      <c r="A4454" s="1" t="s">
        <v>463</v>
      </c>
      <c r="B4454" s="1" t="s">
        <v>44</v>
      </c>
      <c r="C4454" s="1" t="s">
        <v>11</v>
      </c>
      <c r="D4454" s="5">
        <v>45275.0</v>
      </c>
      <c r="G4454" s="1">
        <f>VLOOKUP(B4454,'old-aw-skill-plan'!A:I,7,FALSE)</f>
        <v>5</v>
      </c>
      <c r="H4454" s="1" t="str">
        <f>VLOOKUP(B4454,'old-aw-skill-plan'!A:I,9,FALSE)</f>
        <v>5-1</v>
      </c>
    </row>
    <row r="4455" ht="15.75" customHeight="1">
      <c r="A4455" s="1" t="s">
        <v>457</v>
      </c>
      <c r="B4455" s="1" t="s">
        <v>28</v>
      </c>
      <c r="C4455" s="1" t="s">
        <v>11</v>
      </c>
      <c r="D4455" s="5">
        <v>45275.0</v>
      </c>
      <c r="G4455" s="1">
        <f>VLOOKUP(B4455,'old-aw-skill-plan'!A:I,7,FALSE)</f>
        <v>3</v>
      </c>
      <c r="H4455" s="1" t="str">
        <f>VLOOKUP(B4455,'old-aw-skill-plan'!A:I,9,FALSE)</f>
        <v>3-4</v>
      </c>
    </row>
    <row r="4456" ht="15.75" customHeight="1">
      <c r="A4456" s="1" t="s">
        <v>457</v>
      </c>
      <c r="B4456" s="1" t="s">
        <v>97</v>
      </c>
      <c r="C4456" s="1" t="s">
        <v>11</v>
      </c>
      <c r="D4456" s="5">
        <v>45275.0</v>
      </c>
      <c r="G4456" s="1">
        <f>VLOOKUP(B4456,'old-aw-skill-plan'!A:I,7,FALSE)</f>
        <v>4</v>
      </c>
      <c r="H4456" s="1" t="str">
        <f>VLOOKUP(B4456,'old-aw-skill-plan'!A:I,9,FALSE)</f>
        <v>4-3</v>
      </c>
    </row>
    <row r="4457" ht="15.75" customHeight="1">
      <c r="A4457" s="1" t="s">
        <v>93</v>
      </c>
      <c r="B4457" s="1" t="s">
        <v>470</v>
      </c>
      <c r="C4457" s="1" t="s">
        <v>11</v>
      </c>
      <c r="D4457" s="5">
        <v>45275.0</v>
      </c>
      <c r="G4457" s="1" t="str">
        <f>VLOOKUP(B4457,'old-aw-skill-plan'!A:I,7,FALSE)</f>
        <v>#N/A</v>
      </c>
      <c r="H4457" s="1" t="str">
        <f>VLOOKUP(B4457,'old-aw-skill-plan'!A:I,9,FALSE)</f>
        <v>#N/A</v>
      </c>
    </row>
    <row r="4458" ht="15.75" customHeight="1">
      <c r="A4458" s="1" t="s">
        <v>94</v>
      </c>
      <c r="B4458" s="1" t="s">
        <v>48</v>
      </c>
      <c r="C4458" s="1" t="s">
        <v>11</v>
      </c>
      <c r="D4458" s="5">
        <v>45275.0</v>
      </c>
      <c r="G4458" s="1">
        <f>VLOOKUP(B4458,'old-aw-skill-plan'!A:I,7,FALSE)</f>
        <v>3</v>
      </c>
      <c r="H4458" s="1" t="str">
        <f>VLOOKUP(B4458,'old-aw-skill-plan'!A:I,9,FALSE)</f>
        <v>3-6</v>
      </c>
    </row>
    <row r="4459" ht="15.75" customHeight="1">
      <c r="A4459" s="1" t="s">
        <v>468</v>
      </c>
      <c r="B4459" s="1" t="s">
        <v>30</v>
      </c>
      <c r="C4459" s="1" t="s">
        <v>11</v>
      </c>
      <c r="D4459" s="5">
        <v>45275.0</v>
      </c>
      <c r="G4459" s="1">
        <f>VLOOKUP(B4459,'old-aw-skill-plan'!A:I,7,FALSE)</f>
        <v>3</v>
      </c>
      <c r="H4459" s="1" t="str">
        <f>VLOOKUP(B4459,'old-aw-skill-plan'!A:I,9,FALSE)</f>
        <v>3-3</v>
      </c>
    </row>
    <row r="4460" ht="15.75" customHeight="1">
      <c r="A4460" s="1" t="s">
        <v>468</v>
      </c>
      <c r="B4460" s="1" t="s">
        <v>47</v>
      </c>
      <c r="C4460" s="1" t="s">
        <v>11</v>
      </c>
      <c r="D4460" s="5">
        <v>45275.0</v>
      </c>
      <c r="G4460" s="1">
        <f>VLOOKUP(B4460,'old-aw-skill-plan'!A:I,7,FALSE)</f>
        <v>3</v>
      </c>
      <c r="H4460" s="1" t="str">
        <f>VLOOKUP(B4460,'old-aw-skill-plan'!A:I,9,FALSE)</f>
        <v>3-2</v>
      </c>
    </row>
    <row r="4461" ht="15.75" customHeight="1">
      <c r="A4461" s="1" t="s">
        <v>468</v>
      </c>
      <c r="B4461" s="1" t="s">
        <v>111</v>
      </c>
      <c r="C4461" s="1" t="s">
        <v>11</v>
      </c>
      <c r="D4461" s="5">
        <v>45275.0</v>
      </c>
      <c r="G4461" s="1" t="str">
        <f>VLOOKUP(B4461,'old-aw-skill-plan'!A:I,7,FALSE)</f>
        <v>#N/A</v>
      </c>
      <c r="H4461" s="1" t="str">
        <f>VLOOKUP(B4461,'old-aw-skill-plan'!A:I,9,FALSE)</f>
        <v>#N/A</v>
      </c>
    </row>
    <row r="4462" ht="15.75" customHeight="1">
      <c r="A4462" s="1" t="s">
        <v>225</v>
      </c>
      <c r="B4462" s="1" t="s">
        <v>34</v>
      </c>
      <c r="C4462" s="1" t="s">
        <v>11</v>
      </c>
      <c r="D4462" s="5">
        <v>45275.0</v>
      </c>
      <c r="G4462" s="1">
        <f>VLOOKUP(B4462,'old-aw-skill-plan'!A:I,7,FALSE)</f>
        <v>4</v>
      </c>
      <c r="H4462" s="1" t="str">
        <f>VLOOKUP(B4462,'old-aw-skill-plan'!A:I,9,FALSE)</f>
        <v>4-1</v>
      </c>
    </row>
    <row r="4463" ht="15.75" customHeight="1">
      <c r="A4463" s="1" t="s">
        <v>427</v>
      </c>
      <c r="B4463" s="1" t="s">
        <v>30</v>
      </c>
      <c r="C4463" s="1" t="s">
        <v>11</v>
      </c>
      <c r="D4463" s="5">
        <v>45275.0</v>
      </c>
      <c r="G4463" s="1">
        <f>VLOOKUP(B4463,'old-aw-skill-plan'!A:I,7,FALSE)</f>
        <v>3</v>
      </c>
      <c r="H4463" s="1" t="str">
        <f>VLOOKUP(B4463,'old-aw-skill-plan'!A:I,9,FALSE)</f>
        <v>3-3</v>
      </c>
    </row>
    <row r="4464" ht="15.75" customHeight="1">
      <c r="A4464" s="1" t="s">
        <v>464</v>
      </c>
      <c r="B4464" s="1" t="s">
        <v>44</v>
      </c>
      <c r="C4464" s="1" t="s">
        <v>11</v>
      </c>
      <c r="D4464" s="5">
        <v>45274.0</v>
      </c>
      <c r="G4464" s="1">
        <f>VLOOKUP(B4464,'old-aw-skill-plan'!A:I,7,FALSE)</f>
        <v>5</v>
      </c>
      <c r="H4464" s="1" t="str">
        <f>VLOOKUP(B4464,'old-aw-skill-plan'!A:I,9,FALSE)</f>
        <v>5-1</v>
      </c>
    </row>
    <row r="4465" ht="15.75" customHeight="1">
      <c r="A4465" s="1" t="s">
        <v>449</v>
      </c>
      <c r="B4465" s="1" t="s">
        <v>34</v>
      </c>
      <c r="C4465" s="1" t="s">
        <v>11</v>
      </c>
      <c r="D4465" s="5">
        <v>45274.0</v>
      </c>
      <c r="G4465" s="1">
        <f>VLOOKUP(B4465,'old-aw-skill-plan'!A:I,7,FALSE)</f>
        <v>4</v>
      </c>
      <c r="H4465" s="1" t="str">
        <f>VLOOKUP(B4465,'old-aw-skill-plan'!A:I,9,FALSE)</f>
        <v>4-1</v>
      </c>
    </row>
    <row r="4466" ht="15.75" customHeight="1">
      <c r="A4466" s="1" t="s">
        <v>36</v>
      </c>
      <c r="B4466" s="1" t="s">
        <v>28</v>
      </c>
      <c r="C4466" s="1" t="s">
        <v>11</v>
      </c>
      <c r="D4466" s="5">
        <v>45274.0</v>
      </c>
      <c r="G4466" s="1">
        <f>VLOOKUP(B4466,'old-aw-skill-plan'!A:I,7,FALSE)</f>
        <v>3</v>
      </c>
      <c r="H4466" s="1" t="str">
        <f>VLOOKUP(B4466,'old-aw-skill-plan'!A:I,9,FALSE)</f>
        <v>3-4</v>
      </c>
    </row>
    <row r="4467" ht="15.75" customHeight="1">
      <c r="A4467" s="1" t="s">
        <v>460</v>
      </c>
      <c r="B4467" s="1" t="s">
        <v>44</v>
      </c>
      <c r="C4467" s="1" t="s">
        <v>11</v>
      </c>
      <c r="D4467" s="5">
        <v>45274.0</v>
      </c>
      <c r="G4467" s="1">
        <f>VLOOKUP(B4467,'old-aw-skill-plan'!A:I,7,FALSE)</f>
        <v>5</v>
      </c>
      <c r="H4467" s="1" t="str">
        <f>VLOOKUP(B4467,'old-aw-skill-plan'!A:I,9,FALSE)</f>
        <v>5-1</v>
      </c>
    </row>
    <row r="4468" ht="15.75" customHeight="1">
      <c r="A4468" s="1" t="s">
        <v>454</v>
      </c>
      <c r="B4468" s="1" t="s">
        <v>466</v>
      </c>
      <c r="C4468" s="1" t="s">
        <v>11</v>
      </c>
      <c r="D4468" s="5">
        <v>45274.0</v>
      </c>
      <c r="G4468" s="1" t="str">
        <f>VLOOKUP(B4468,'old-aw-skill-plan'!A:I,7,FALSE)</f>
        <v>#N/A</v>
      </c>
      <c r="H4468" s="1" t="str">
        <f>VLOOKUP(B4468,'old-aw-skill-plan'!A:I,9,FALSE)</f>
        <v>#N/A</v>
      </c>
    </row>
    <row r="4469" ht="15.75" customHeight="1">
      <c r="A4469" s="1" t="s">
        <v>454</v>
      </c>
      <c r="B4469" s="1" t="s">
        <v>350</v>
      </c>
      <c r="C4469" s="1" t="s">
        <v>11</v>
      </c>
      <c r="D4469" s="5">
        <v>45274.0</v>
      </c>
      <c r="G4469" s="1">
        <f>VLOOKUP(B4469,'old-aw-skill-plan'!A:I,7,FALSE)</f>
        <v>3</v>
      </c>
      <c r="H4469" s="1" t="str">
        <f>VLOOKUP(B4469,'old-aw-skill-plan'!A:I,9,FALSE)</f>
        <v>3-6</v>
      </c>
    </row>
    <row r="4470" ht="15.75" customHeight="1">
      <c r="A4470" s="1" t="s">
        <v>459</v>
      </c>
      <c r="B4470" s="1" t="s">
        <v>467</v>
      </c>
      <c r="C4470" s="1" t="s">
        <v>11</v>
      </c>
      <c r="D4470" s="5">
        <v>45274.0</v>
      </c>
      <c r="G4470" s="1" t="str">
        <f>VLOOKUP(B4470,'old-aw-skill-plan'!A:I,7,FALSE)</f>
        <v>#N/A</v>
      </c>
      <c r="H4470" s="1" t="str">
        <f>VLOOKUP(B4470,'old-aw-skill-plan'!A:I,9,FALSE)</f>
        <v>#N/A</v>
      </c>
    </row>
    <row r="4471" ht="15.75" customHeight="1">
      <c r="A4471" s="1" t="s">
        <v>459</v>
      </c>
      <c r="B4471" s="1" t="s">
        <v>446</v>
      </c>
      <c r="C4471" s="1" t="s">
        <v>11</v>
      </c>
      <c r="D4471" s="5">
        <v>45274.0</v>
      </c>
      <c r="G4471" s="1">
        <f>VLOOKUP(B4471,'old-aw-skill-plan'!A:I,7,FALSE)</f>
        <v>3</v>
      </c>
      <c r="H4471" s="1" t="str">
        <f>VLOOKUP(B4471,'old-aw-skill-plan'!A:I,9,FALSE)</f>
        <v>3-6</v>
      </c>
    </row>
    <row r="4472" ht="15.75" customHeight="1">
      <c r="A4472" s="1" t="s">
        <v>459</v>
      </c>
      <c r="B4472" s="1" t="s">
        <v>352</v>
      </c>
      <c r="C4472" s="1" t="s">
        <v>11</v>
      </c>
      <c r="D4472" s="5">
        <v>45274.0</v>
      </c>
      <c r="G4472" s="1">
        <f>VLOOKUP(B4472,'old-aw-skill-plan'!A:I,7,FALSE)</f>
        <v>3</v>
      </c>
      <c r="H4472" s="1" t="str">
        <f>VLOOKUP(B4472,'old-aw-skill-plan'!A:I,9,FALSE)</f>
        <v>3-2</v>
      </c>
    </row>
    <row r="4473" ht="15.75" customHeight="1">
      <c r="A4473" s="1" t="s">
        <v>230</v>
      </c>
      <c r="B4473" s="1" t="s">
        <v>446</v>
      </c>
      <c r="C4473" s="1" t="s">
        <v>11</v>
      </c>
      <c r="D4473" s="5">
        <v>45274.0</v>
      </c>
      <c r="G4473" s="1">
        <f>VLOOKUP(B4473,'old-aw-skill-plan'!A:I,7,FALSE)</f>
        <v>3</v>
      </c>
      <c r="H4473" s="1" t="str">
        <f>VLOOKUP(B4473,'old-aw-skill-plan'!A:I,9,FALSE)</f>
        <v>3-6</v>
      </c>
    </row>
    <row r="4474" ht="15.75" customHeight="1">
      <c r="A4474" s="1" t="s">
        <v>420</v>
      </c>
      <c r="B4474" s="1" t="s">
        <v>10</v>
      </c>
      <c r="C4474" s="1" t="s">
        <v>11</v>
      </c>
      <c r="D4474" s="5">
        <v>45274.0</v>
      </c>
      <c r="G4474" s="1">
        <f>VLOOKUP(B4474,'old-aw-skill-plan'!A:I,7,FALSE)</f>
        <v>3</v>
      </c>
      <c r="H4474" s="1" t="str">
        <f>VLOOKUP(B4474,'old-aw-skill-plan'!A:I,9,FALSE)</f>
        <v>3-1</v>
      </c>
    </row>
    <row r="4475" ht="15.75" customHeight="1">
      <c r="A4475" s="1" t="s">
        <v>420</v>
      </c>
      <c r="B4475" s="1" t="s">
        <v>352</v>
      </c>
      <c r="C4475" s="1" t="s">
        <v>11</v>
      </c>
      <c r="D4475" s="5">
        <v>45274.0</v>
      </c>
      <c r="G4475" s="1">
        <f>VLOOKUP(B4475,'old-aw-skill-plan'!A:I,7,FALSE)</f>
        <v>3</v>
      </c>
      <c r="H4475" s="1" t="str">
        <f>VLOOKUP(B4475,'old-aw-skill-plan'!A:I,9,FALSE)</f>
        <v>3-2</v>
      </c>
    </row>
    <row r="4476" ht="15.75" customHeight="1">
      <c r="A4476" s="1" t="s">
        <v>471</v>
      </c>
      <c r="B4476" s="1" t="s">
        <v>28</v>
      </c>
      <c r="C4476" s="1" t="s">
        <v>11</v>
      </c>
      <c r="D4476" s="5">
        <v>45274.0</v>
      </c>
      <c r="G4476" s="1">
        <f>VLOOKUP(B4476,'old-aw-skill-plan'!A:I,7,FALSE)</f>
        <v>3</v>
      </c>
      <c r="H4476" s="1" t="str">
        <f>VLOOKUP(B4476,'old-aw-skill-plan'!A:I,9,FALSE)</f>
        <v>3-4</v>
      </c>
    </row>
    <row r="4477" ht="15.75" customHeight="1">
      <c r="A4477" s="1" t="s">
        <v>275</v>
      </c>
      <c r="B4477" s="1" t="s">
        <v>425</v>
      </c>
      <c r="C4477" s="1" t="s">
        <v>11</v>
      </c>
      <c r="D4477" s="5">
        <v>45274.0</v>
      </c>
      <c r="G4477" s="1">
        <f>VLOOKUP(B4477,'old-aw-skill-plan'!A:I,7,FALSE)</f>
        <v>3</v>
      </c>
      <c r="H4477" s="1" t="str">
        <f>VLOOKUP(B4477,'old-aw-skill-plan'!A:I,9,FALSE)</f>
        <v>3-1</v>
      </c>
    </row>
    <row r="4478" ht="15.75" customHeight="1">
      <c r="A4478" s="1" t="s">
        <v>276</v>
      </c>
      <c r="B4478" s="1" t="s">
        <v>25</v>
      </c>
      <c r="C4478" s="1" t="s">
        <v>11</v>
      </c>
      <c r="D4478" s="5">
        <v>45274.0</v>
      </c>
      <c r="G4478" s="1">
        <f>VLOOKUP(B4478,'old-aw-skill-plan'!A:I,7,FALSE)</f>
        <v>5</v>
      </c>
      <c r="H4478" s="1" t="str">
        <f>VLOOKUP(B4478,'old-aw-skill-plan'!A:I,9,FALSE)</f>
        <v>5-4</v>
      </c>
    </row>
    <row r="4479" ht="15.75" customHeight="1">
      <c r="A4479" s="1" t="s">
        <v>461</v>
      </c>
      <c r="B4479" s="1" t="s">
        <v>44</v>
      </c>
      <c r="C4479" s="1" t="s">
        <v>11</v>
      </c>
      <c r="D4479" s="5">
        <v>45274.0</v>
      </c>
      <c r="G4479" s="1">
        <f>VLOOKUP(B4479,'old-aw-skill-plan'!A:I,7,FALSE)</f>
        <v>5</v>
      </c>
      <c r="H4479" s="1" t="str">
        <f>VLOOKUP(B4479,'old-aw-skill-plan'!A:I,9,FALSE)</f>
        <v>5-1</v>
      </c>
    </row>
    <row r="4480" ht="15.75" customHeight="1">
      <c r="A4480" s="1" t="s">
        <v>214</v>
      </c>
      <c r="B4480" s="1" t="s">
        <v>30</v>
      </c>
      <c r="C4480" s="1" t="s">
        <v>11</v>
      </c>
      <c r="D4480" s="5">
        <v>45274.0</v>
      </c>
      <c r="G4480" s="1">
        <f>VLOOKUP(B4480,'old-aw-skill-plan'!A:I,7,FALSE)</f>
        <v>3</v>
      </c>
      <c r="H4480" s="1" t="str">
        <f>VLOOKUP(B4480,'old-aw-skill-plan'!A:I,9,FALSE)</f>
        <v>3-3</v>
      </c>
    </row>
    <row r="4481" ht="15.75" customHeight="1">
      <c r="A4481" s="1" t="s">
        <v>197</v>
      </c>
      <c r="B4481" s="1" t="s">
        <v>320</v>
      </c>
      <c r="C4481" s="1" t="s">
        <v>11</v>
      </c>
      <c r="D4481" s="5">
        <v>45274.0</v>
      </c>
      <c r="G4481" s="1">
        <f>VLOOKUP(B4481,'old-aw-skill-plan'!A:I,7,FALSE)</f>
        <v>4</v>
      </c>
      <c r="H4481" s="1" t="str">
        <f>VLOOKUP(B4481,'old-aw-skill-plan'!A:I,9,FALSE)</f>
        <v>4-2</v>
      </c>
    </row>
    <row r="4482" ht="15.75" customHeight="1">
      <c r="A4482" s="1" t="s">
        <v>265</v>
      </c>
      <c r="B4482" s="1" t="s">
        <v>25</v>
      </c>
      <c r="C4482" s="1" t="s">
        <v>11</v>
      </c>
      <c r="D4482" s="5">
        <v>45274.0</v>
      </c>
      <c r="G4482" s="1">
        <f>VLOOKUP(B4482,'old-aw-skill-plan'!A:I,7,FALSE)</f>
        <v>5</v>
      </c>
      <c r="H4482" s="1" t="str">
        <f>VLOOKUP(B4482,'old-aw-skill-plan'!A:I,9,FALSE)</f>
        <v>5-4</v>
      </c>
    </row>
    <row r="4483" ht="15.75" customHeight="1">
      <c r="A4483" s="1" t="s">
        <v>277</v>
      </c>
      <c r="B4483" s="1" t="s">
        <v>44</v>
      </c>
      <c r="C4483" s="1" t="s">
        <v>11</v>
      </c>
      <c r="D4483" s="5">
        <v>45274.0</v>
      </c>
      <c r="G4483" s="1">
        <f>VLOOKUP(B4483,'old-aw-skill-plan'!A:I,7,FALSE)</f>
        <v>5</v>
      </c>
      <c r="H4483" s="1" t="str">
        <f>VLOOKUP(B4483,'old-aw-skill-plan'!A:I,9,FALSE)</f>
        <v>5-1</v>
      </c>
    </row>
    <row r="4484" ht="15.75" customHeight="1">
      <c r="A4484" s="1" t="s">
        <v>365</v>
      </c>
      <c r="B4484" s="1" t="s">
        <v>34</v>
      </c>
      <c r="C4484" s="1" t="s">
        <v>11</v>
      </c>
      <c r="D4484" s="5">
        <v>45274.0</v>
      </c>
      <c r="G4484" s="1">
        <f>VLOOKUP(B4484,'old-aw-skill-plan'!A:I,7,FALSE)</f>
        <v>4</v>
      </c>
      <c r="H4484" s="1" t="str">
        <f>VLOOKUP(B4484,'old-aw-skill-plan'!A:I,9,FALSE)</f>
        <v>4-1</v>
      </c>
    </row>
    <row r="4485" ht="15.75" customHeight="1">
      <c r="A4485" s="1" t="s">
        <v>266</v>
      </c>
      <c r="B4485" s="1" t="s">
        <v>44</v>
      </c>
      <c r="C4485" s="1" t="s">
        <v>11</v>
      </c>
      <c r="D4485" s="5">
        <v>45273.0</v>
      </c>
      <c r="G4485" s="1">
        <f>VLOOKUP(B4485,'old-aw-skill-plan'!A:I,7,FALSE)</f>
        <v>5</v>
      </c>
      <c r="H4485" s="1" t="str">
        <f>VLOOKUP(B4485,'old-aw-skill-plan'!A:I,9,FALSE)</f>
        <v>5-1</v>
      </c>
    </row>
    <row r="4486" ht="15.75" customHeight="1">
      <c r="A4486" s="1" t="s">
        <v>22</v>
      </c>
      <c r="B4486" s="1" t="s">
        <v>61</v>
      </c>
      <c r="C4486" s="1" t="s">
        <v>11</v>
      </c>
      <c r="D4486" s="5">
        <v>45273.0</v>
      </c>
      <c r="G4486" s="1">
        <f>VLOOKUP(B4486,'old-aw-skill-plan'!A:I,7,FALSE)</f>
        <v>4</v>
      </c>
      <c r="H4486" s="1" t="str">
        <f>VLOOKUP(B4486,'old-aw-skill-plan'!A:I,9,FALSE)</f>
        <v>4-4</v>
      </c>
    </row>
    <row r="4487" ht="15.75" customHeight="1">
      <c r="A4487" s="1" t="s">
        <v>35</v>
      </c>
      <c r="B4487" s="1" t="s">
        <v>61</v>
      </c>
      <c r="C4487" s="1" t="s">
        <v>11</v>
      </c>
      <c r="D4487" s="5">
        <v>45273.0</v>
      </c>
      <c r="G4487" s="1">
        <f>VLOOKUP(B4487,'old-aw-skill-plan'!A:I,7,FALSE)</f>
        <v>4</v>
      </c>
      <c r="H4487" s="1" t="str">
        <f>VLOOKUP(B4487,'old-aw-skill-plan'!A:I,9,FALSE)</f>
        <v>4-4</v>
      </c>
    </row>
    <row r="4488" ht="15.75" customHeight="1">
      <c r="A4488" s="1" t="s">
        <v>271</v>
      </c>
      <c r="B4488" s="1" t="s">
        <v>350</v>
      </c>
      <c r="C4488" s="1" t="s">
        <v>11</v>
      </c>
      <c r="D4488" s="5">
        <v>45273.0</v>
      </c>
      <c r="G4488" s="1">
        <f>VLOOKUP(B4488,'old-aw-skill-plan'!A:I,7,FALSE)</f>
        <v>3</v>
      </c>
      <c r="H4488" s="1" t="str">
        <f>VLOOKUP(B4488,'old-aw-skill-plan'!A:I,9,FALSE)</f>
        <v>3-6</v>
      </c>
    </row>
    <row r="4489" ht="15.75" customHeight="1">
      <c r="A4489" s="1" t="s">
        <v>271</v>
      </c>
      <c r="B4489" s="1" t="s">
        <v>21</v>
      </c>
      <c r="C4489" s="1" t="s">
        <v>11</v>
      </c>
      <c r="D4489" s="5">
        <v>45273.0</v>
      </c>
      <c r="G4489" s="1">
        <f>VLOOKUP(B4489,'old-aw-skill-plan'!A:I,7,FALSE)</f>
        <v>4</v>
      </c>
      <c r="H4489" s="1" t="str">
        <f>VLOOKUP(B4489,'old-aw-skill-plan'!A:I,9,FALSE)</f>
        <v>4-6</v>
      </c>
    </row>
    <row r="4490" ht="15.75" customHeight="1">
      <c r="A4490" s="1" t="s">
        <v>434</v>
      </c>
      <c r="B4490" s="1" t="s">
        <v>350</v>
      </c>
      <c r="C4490" s="1" t="s">
        <v>11</v>
      </c>
      <c r="D4490" s="5">
        <v>45273.0</v>
      </c>
      <c r="G4490" s="1">
        <f>VLOOKUP(B4490,'old-aw-skill-plan'!A:I,7,FALSE)</f>
        <v>3</v>
      </c>
      <c r="H4490" s="1" t="str">
        <f>VLOOKUP(B4490,'old-aw-skill-plan'!A:I,9,FALSE)</f>
        <v>3-6</v>
      </c>
    </row>
    <row r="4491" ht="15.75" customHeight="1">
      <c r="A4491" s="1" t="s">
        <v>434</v>
      </c>
      <c r="B4491" s="1" t="s">
        <v>21</v>
      </c>
      <c r="C4491" s="1" t="s">
        <v>11</v>
      </c>
      <c r="D4491" s="5">
        <v>45273.0</v>
      </c>
      <c r="G4491" s="1">
        <f>VLOOKUP(B4491,'old-aw-skill-plan'!A:I,7,FALSE)</f>
        <v>4</v>
      </c>
      <c r="H4491" s="1" t="str">
        <f>VLOOKUP(B4491,'old-aw-skill-plan'!A:I,9,FALSE)</f>
        <v>4-6</v>
      </c>
    </row>
    <row r="4492" ht="15.75" customHeight="1">
      <c r="A4492" s="1" t="s">
        <v>213</v>
      </c>
      <c r="B4492" s="1" t="s">
        <v>47</v>
      </c>
      <c r="C4492" s="1" t="s">
        <v>11</v>
      </c>
      <c r="D4492" s="5">
        <v>45273.0</v>
      </c>
      <c r="G4492" s="1">
        <f>VLOOKUP(B4492,'old-aw-skill-plan'!A:I,7,FALSE)</f>
        <v>3</v>
      </c>
      <c r="H4492" s="1" t="str">
        <f>VLOOKUP(B4492,'old-aw-skill-plan'!A:I,9,FALSE)</f>
        <v>3-2</v>
      </c>
    </row>
    <row r="4493" ht="15.75" customHeight="1">
      <c r="A4493" s="1" t="s">
        <v>199</v>
      </c>
      <c r="B4493" s="1" t="s">
        <v>34</v>
      </c>
      <c r="C4493" s="1" t="s">
        <v>11</v>
      </c>
      <c r="D4493" s="5">
        <v>45273.0</v>
      </c>
      <c r="G4493" s="1">
        <f>VLOOKUP(B4493,'old-aw-skill-plan'!A:I,7,FALSE)</f>
        <v>4</v>
      </c>
      <c r="H4493" s="1" t="str">
        <f>VLOOKUP(B4493,'old-aw-skill-plan'!A:I,9,FALSE)</f>
        <v>4-1</v>
      </c>
    </row>
    <row r="4494" ht="15.75" customHeight="1">
      <c r="A4494" s="1" t="s">
        <v>36</v>
      </c>
      <c r="B4494" s="1" t="s">
        <v>28</v>
      </c>
      <c r="C4494" s="1" t="s">
        <v>11</v>
      </c>
      <c r="D4494" s="5">
        <v>45273.0</v>
      </c>
      <c r="G4494" s="1">
        <f>VLOOKUP(B4494,'old-aw-skill-plan'!A:I,7,FALSE)</f>
        <v>3</v>
      </c>
      <c r="H4494" s="1" t="str">
        <f>VLOOKUP(B4494,'old-aw-skill-plan'!A:I,9,FALSE)</f>
        <v>3-4</v>
      </c>
    </row>
    <row r="4495" ht="15.75" customHeight="1">
      <c r="A4495" s="1" t="s">
        <v>460</v>
      </c>
      <c r="B4495" s="1" t="s">
        <v>44</v>
      </c>
      <c r="C4495" s="1" t="s">
        <v>11</v>
      </c>
      <c r="D4495" s="5">
        <v>45273.0</v>
      </c>
      <c r="G4495" s="1">
        <f>VLOOKUP(B4495,'old-aw-skill-plan'!A:I,7,FALSE)</f>
        <v>5</v>
      </c>
      <c r="H4495" s="1" t="str">
        <f>VLOOKUP(B4495,'old-aw-skill-plan'!A:I,9,FALSE)</f>
        <v>5-1</v>
      </c>
    </row>
    <row r="4496" ht="15.75" customHeight="1">
      <c r="A4496" s="1" t="s">
        <v>469</v>
      </c>
      <c r="B4496" s="1" t="s">
        <v>37</v>
      </c>
      <c r="C4496" s="1" t="s">
        <v>11</v>
      </c>
      <c r="D4496" s="5">
        <v>45273.0</v>
      </c>
      <c r="G4496" s="1">
        <f>VLOOKUP(B4496,'old-aw-skill-plan'!A:I,7,FALSE)</f>
        <v>4</v>
      </c>
      <c r="H4496" s="1" t="str">
        <f>VLOOKUP(B4496,'old-aw-skill-plan'!A:I,9,FALSE)</f>
        <v>4-2</v>
      </c>
    </row>
    <row r="4497" ht="15.75" customHeight="1">
      <c r="A4497" s="1" t="s">
        <v>454</v>
      </c>
      <c r="B4497" s="1" t="s">
        <v>466</v>
      </c>
      <c r="C4497" s="1" t="s">
        <v>11</v>
      </c>
      <c r="D4497" s="5">
        <v>45273.0</v>
      </c>
      <c r="G4497" s="1" t="str">
        <f>VLOOKUP(B4497,'old-aw-skill-plan'!A:I,7,FALSE)</f>
        <v>#N/A</v>
      </c>
      <c r="H4497" s="1" t="str">
        <f>VLOOKUP(B4497,'old-aw-skill-plan'!A:I,9,FALSE)</f>
        <v>#N/A</v>
      </c>
    </row>
    <row r="4498" ht="15.75" customHeight="1">
      <c r="A4498" s="1" t="s">
        <v>454</v>
      </c>
      <c r="B4498" s="1" t="s">
        <v>350</v>
      </c>
      <c r="C4498" s="1" t="s">
        <v>11</v>
      </c>
      <c r="D4498" s="5">
        <v>45273.0</v>
      </c>
      <c r="G4498" s="1">
        <f>VLOOKUP(B4498,'old-aw-skill-plan'!A:I,7,FALSE)</f>
        <v>3</v>
      </c>
      <c r="H4498" s="1" t="str">
        <f>VLOOKUP(B4498,'old-aw-skill-plan'!A:I,9,FALSE)</f>
        <v>3-6</v>
      </c>
    </row>
    <row r="4499" ht="15.75" customHeight="1">
      <c r="A4499" s="1" t="s">
        <v>459</v>
      </c>
      <c r="B4499" s="1" t="s">
        <v>28</v>
      </c>
      <c r="C4499" s="1" t="s">
        <v>11</v>
      </c>
      <c r="D4499" s="5">
        <v>45273.0</v>
      </c>
      <c r="G4499" s="1">
        <f>VLOOKUP(B4499,'old-aw-skill-plan'!A:I,7,FALSE)</f>
        <v>3</v>
      </c>
      <c r="H4499" s="1" t="str">
        <f>VLOOKUP(B4499,'old-aw-skill-plan'!A:I,9,FALSE)</f>
        <v>3-4</v>
      </c>
    </row>
    <row r="4500" ht="15.75" customHeight="1">
      <c r="A4500" s="1" t="s">
        <v>459</v>
      </c>
      <c r="B4500" s="1" t="s">
        <v>48</v>
      </c>
      <c r="C4500" s="1" t="s">
        <v>11</v>
      </c>
      <c r="D4500" s="5">
        <v>45273.0</v>
      </c>
      <c r="G4500" s="1">
        <f>VLOOKUP(B4500,'old-aw-skill-plan'!A:I,7,FALSE)</f>
        <v>3</v>
      </c>
      <c r="H4500" s="1" t="str">
        <f>VLOOKUP(B4500,'old-aw-skill-plan'!A:I,9,FALSE)</f>
        <v>3-6</v>
      </c>
    </row>
    <row r="4501" ht="15.75" customHeight="1">
      <c r="A4501" s="1" t="s">
        <v>459</v>
      </c>
      <c r="B4501" s="1" t="s">
        <v>453</v>
      </c>
      <c r="C4501" s="1" t="s">
        <v>11</v>
      </c>
      <c r="D4501" s="5">
        <v>45273.0</v>
      </c>
      <c r="G4501" s="1">
        <f>VLOOKUP(B4501,'old-aw-skill-plan'!A:I,7,FALSE)</f>
        <v>3</v>
      </c>
      <c r="H4501" s="1" t="str">
        <f>VLOOKUP(B4501,'old-aw-skill-plan'!A:I,9,FALSE)</f>
        <v>3-4</v>
      </c>
    </row>
    <row r="4502" ht="15.75" customHeight="1">
      <c r="A4502" s="1" t="s">
        <v>56</v>
      </c>
      <c r="B4502" s="1" t="s">
        <v>28</v>
      </c>
      <c r="C4502" s="1" t="s">
        <v>11</v>
      </c>
      <c r="D4502" s="5">
        <v>45273.0</v>
      </c>
      <c r="G4502" s="1">
        <f>VLOOKUP(B4502,'old-aw-skill-plan'!A:I,7,FALSE)</f>
        <v>3</v>
      </c>
      <c r="H4502" s="1" t="str">
        <f>VLOOKUP(B4502,'old-aw-skill-plan'!A:I,9,FALSE)</f>
        <v>3-4</v>
      </c>
    </row>
    <row r="4503" ht="15.75" customHeight="1">
      <c r="A4503" s="1" t="s">
        <v>428</v>
      </c>
      <c r="B4503" s="1" t="s">
        <v>21</v>
      </c>
      <c r="C4503" s="1" t="s">
        <v>11</v>
      </c>
      <c r="D4503" s="5">
        <v>45273.0</v>
      </c>
      <c r="G4503" s="1">
        <f>VLOOKUP(B4503,'old-aw-skill-plan'!A:I,7,FALSE)</f>
        <v>4</v>
      </c>
      <c r="H4503" s="1" t="str">
        <f>VLOOKUP(B4503,'old-aw-skill-plan'!A:I,9,FALSE)</f>
        <v>4-6</v>
      </c>
    </row>
    <row r="4504" ht="15.75" customHeight="1">
      <c r="A4504" s="1" t="s">
        <v>420</v>
      </c>
      <c r="B4504" s="1" t="s">
        <v>10</v>
      </c>
      <c r="C4504" s="1" t="s">
        <v>11</v>
      </c>
      <c r="D4504" s="5">
        <v>45273.0</v>
      </c>
      <c r="G4504" s="1">
        <f>VLOOKUP(B4504,'old-aw-skill-plan'!A:I,7,FALSE)</f>
        <v>3</v>
      </c>
      <c r="H4504" s="1" t="str">
        <f>VLOOKUP(B4504,'old-aw-skill-plan'!A:I,9,FALSE)</f>
        <v>3-1</v>
      </c>
    </row>
    <row r="4505" ht="15.75" customHeight="1">
      <c r="A4505" s="1" t="s">
        <v>95</v>
      </c>
      <c r="B4505" s="1" t="s">
        <v>30</v>
      </c>
      <c r="C4505" s="1" t="s">
        <v>11</v>
      </c>
      <c r="D4505" s="5">
        <v>45273.0</v>
      </c>
      <c r="G4505" s="1">
        <f>VLOOKUP(B4505,'old-aw-skill-plan'!A:I,7,FALSE)</f>
        <v>3</v>
      </c>
      <c r="H4505" s="1" t="str">
        <f>VLOOKUP(B4505,'old-aw-skill-plan'!A:I,9,FALSE)</f>
        <v>3-3</v>
      </c>
    </row>
    <row r="4506" ht="15.75" customHeight="1">
      <c r="A4506" s="1" t="s">
        <v>214</v>
      </c>
      <c r="B4506" s="1" t="s">
        <v>30</v>
      </c>
      <c r="C4506" s="1" t="s">
        <v>11</v>
      </c>
      <c r="D4506" s="5">
        <v>45273.0</v>
      </c>
      <c r="G4506" s="1">
        <f>VLOOKUP(B4506,'old-aw-skill-plan'!A:I,7,FALSE)</f>
        <v>3</v>
      </c>
      <c r="H4506" s="1" t="str">
        <f>VLOOKUP(B4506,'old-aw-skill-plan'!A:I,9,FALSE)</f>
        <v>3-3</v>
      </c>
    </row>
    <row r="4507" ht="15.75" customHeight="1">
      <c r="A4507" s="1" t="s">
        <v>197</v>
      </c>
      <c r="B4507" s="1" t="s">
        <v>309</v>
      </c>
      <c r="C4507" s="1" t="s">
        <v>11</v>
      </c>
      <c r="D4507" s="5">
        <v>45273.0</v>
      </c>
      <c r="G4507" s="1">
        <f>VLOOKUP(B4507,'old-aw-skill-plan'!A:I,7,FALSE)</f>
        <v>4</v>
      </c>
      <c r="H4507" s="1" t="str">
        <f>VLOOKUP(B4507,'old-aw-skill-plan'!A:I,9,FALSE)</f>
        <v>4-1</v>
      </c>
    </row>
    <row r="4508" ht="15.75" customHeight="1">
      <c r="A4508" s="1" t="s">
        <v>197</v>
      </c>
      <c r="B4508" s="1" t="s">
        <v>320</v>
      </c>
      <c r="C4508" s="1" t="s">
        <v>11</v>
      </c>
      <c r="D4508" s="5">
        <v>45273.0</v>
      </c>
      <c r="G4508" s="1">
        <f>VLOOKUP(B4508,'old-aw-skill-plan'!A:I,7,FALSE)</f>
        <v>4</v>
      </c>
      <c r="H4508" s="1" t="str">
        <f>VLOOKUP(B4508,'old-aw-skill-plan'!A:I,9,FALSE)</f>
        <v>4-2</v>
      </c>
    </row>
    <row r="4509" ht="15.75" customHeight="1">
      <c r="A4509" s="1" t="s">
        <v>373</v>
      </c>
      <c r="B4509" s="1" t="s">
        <v>10</v>
      </c>
      <c r="C4509" s="1" t="s">
        <v>11</v>
      </c>
      <c r="D4509" s="5">
        <v>45273.0</v>
      </c>
      <c r="G4509" s="1">
        <f>VLOOKUP(B4509,'old-aw-skill-plan'!A:I,7,FALSE)</f>
        <v>3</v>
      </c>
      <c r="H4509" s="1" t="str">
        <f>VLOOKUP(B4509,'old-aw-skill-plan'!A:I,9,FALSE)</f>
        <v>3-1</v>
      </c>
    </row>
    <row r="4510" ht="15.75" customHeight="1">
      <c r="A4510" s="1" t="s">
        <v>373</v>
      </c>
      <c r="B4510" s="1" t="s">
        <v>30</v>
      </c>
      <c r="C4510" s="1" t="s">
        <v>11</v>
      </c>
      <c r="D4510" s="5">
        <v>45273.0</v>
      </c>
      <c r="G4510" s="1">
        <f>VLOOKUP(B4510,'old-aw-skill-plan'!A:I,7,FALSE)</f>
        <v>3</v>
      </c>
      <c r="H4510" s="1" t="str">
        <f>VLOOKUP(B4510,'old-aw-skill-plan'!A:I,9,FALSE)</f>
        <v>3-3</v>
      </c>
    </row>
    <row r="4511" ht="15.75" customHeight="1">
      <c r="A4511" s="1" t="s">
        <v>373</v>
      </c>
      <c r="B4511" s="1" t="s">
        <v>47</v>
      </c>
      <c r="C4511" s="1" t="s">
        <v>11</v>
      </c>
      <c r="D4511" s="5">
        <v>45273.0</v>
      </c>
      <c r="G4511" s="1">
        <f>VLOOKUP(B4511,'old-aw-skill-plan'!A:I,7,FALSE)</f>
        <v>3</v>
      </c>
      <c r="H4511" s="1" t="str">
        <f>VLOOKUP(B4511,'old-aw-skill-plan'!A:I,9,FALSE)</f>
        <v>3-2</v>
      </c>
    </row>
    <row r="4512" ht="15.75" customHeight="1">
      <c r="A4512" s="1" t="s">
        <v>269</v>
      </c>
      <c r="B4512" s="1" t="s">
        <v>28</v>
      </c>
      <c r="C4512" s="1" t="s">
        <v>11</v>
      </c>
      <c r="D4512" s="5">
        <v>45273.0</v>
      </c>
      <c r="G4512" s="1">
        <f>VLOOKUP(B4512,'old-aw-skill-plan'!A:I,7,FALSE)</f>
        <v>3</v>
      </c>
      <c r="H4512" s="1" t="str">
        <f>VLOOKUP(B4512,'old-aw-skill-plan'!A:I,9,FALSE)</f>
        <v>3-4</v>
      </c>
    </row>
    <row r="4513" ht="15.75" customHeight="1">
      <c r="A4513" s="1" t="s">
        <v>93</v>
      </c>
      <c r="B4513" s="1" t="s">
        <v>350</v>
      </c>
      <c r="C4513" s="1" t="s">
        <v>11</v>
      </c>
      <c r="D4513" s="5">
        <v>45273.0</v>
      </c>
      <c r="G4513" s="1">
        <f>VLOOKUP(B4513,'old-aw-skill-plan'!A:I,7,FALSE)</f>
        <v>3</v>
      </c>
      <c r="H4513" s="1" t="str">
        <f>VLOOKUP(B4513,'old-aw-skill-plan'!A:I,9,FALSE)</f>
        <v>3-6</v>
      </c>
    </row>
    <row r="4514" ht="15.75" customHeight="1">
      <c r="A4514" s="1" t="s">
        <v>93</v>
      </c>
      <c r="B4514" s="1" t="s">
        <v>21</v>
      </c>
      <c r="C4514" s="1" t="s">
        <v>11</v>
      </c>
      <c r="D4514" s="5">
        <v>45273.0</v>
      </c>
      <c r="G4514" s="1">
        <f>VLOOKUP(B4514,'old-aw-skill-plan'!A:I,7,FALSE)</f>
        <v>4</v>
      </c>
      <c r="H4514" s="1" t="str">
        <f>VLOOKUP(B4514,'old-aw-skill-plan'!A:I,9,FALSE)</f>
        <v>4-6</v>
      </c>
    </row>
    <row r="4515" ht="15.75" customHeight="1">
      <c r="A4515" s="1" t="s">
        <v>93</v>
      </c>
      <c r="B4515" s="1" t="s">
        <v>470</v>
      </c>
      <c r="C4515" s="1" t="s">
        <v>11</v>
      </c>
      <c r="D4515" s="5">
        <v>45273.0</v>
      </c>
      <c r="G4515" s="1" t="str">
        <f>VLOOKUP(B4515,'old-aw-skill-plan'!A:I,7,FALSE)</f>
        <v>#N/A</v>
      </c>
      <c r="H4515" s="1" t="str">
        <f>VLOOKUP(B4515,'old-aw-skill-plan'!A:I,9,FALSE)</f>
        <v>#N/A</v>
      </c>
    </row>
    <row r="4516" ht="15.75" customHeight="1">
      <c r="A4516" s="1" t="s">
        <v>94</v>
      </c>
      <c r="B4516" s="1" t="s">
        <v>48</v>
      </c>
      <c r="C4516" s="1" t="s">
        <v>11</v>
      </c>
      <c r="D4516" s="5">
        <v>45273.0</v>
      </c>
      <c r="G4516" s="1">
        <f>VLOOKUP(B4516,'old-aw-skill-plan'!A:I,7,FALSE)</f>
        <v>3</v>
      </c>
      <c r="H4516" s="1" t="str">
        <f>VLOOKUP(B4516,'old-aw-skill-plan'!A:I,9,FALSE)</f>
        <v>3-6</v>
      </c>
    </row>
    <row r="4517" ht="15.75" customHeight="1">
      <c r="A4517" s="1" t="s">
        <v>225</v>
      </c>
      <c r="B4517" s="1" t="s">
        <v>34</v>
      </c>
      <c r="C4517" s="1" t="s">
        <v>11</v>
      </c>
      <c r="D4517" s="5">
        <v>45273.0</v>
      </c>
      <c r="G4517" s="1">
        <f>VLOOKUP(B4517,'old-aw-skill-plan'!A:I,7,FALSE)</f>
        <v>4</v>
      </c>
      <c r="H4517" s="1" t="str">
        <f>VLOOKUP(B4517,'old-aw-skill-plan'!A:I,9,FALSE)</f>
        <v>4-1</v>
      </c>
    </row>
    <row r="4518" ht="15.75" customHeight="1">
      <c r="A4518" s="1" t="s">
        <v>427</v>
      </c>
      <c r="B4518" s="1" t="s">
        <v>30</v>
      </c>
      <c r="C4518" s="1" t="s">
        <v>11</v>
      </c>
      <c r="D4518" s="5">
        <v>45273.0</v>
      </c>
      <c r="G4518" s="1">
        <f>VLOOKUP(B4518,'old-aw-skill-plan'!A:I,7,FALSE)</f>
        <v>3</v>
      </c>
      <c r="H4518" s="1" t="str">
        <f>VLOOKUP(B4518,'old-aw-skill-plan'!A:I,9,FALSE)</f>
        <v>3-3</v>
      </c>
    </row>
    <row r="4519" ht="15.75" customHeight="1">
      <c r="A4519" s="1" t="s">
        <v>427</v>
      </c>
      <c r="B4519" s="1" t="s">
        <v>356</v>
      </c>
      <c r="C4519" s="1" t="s">
        <v>11</v>
      </c>
      <c r="D4519" s="5">
        <v>45273.0</v>
      </c>
      <c r="G4519" s="1">
        <f>VLOOKUP(B4519,'old-aw-skill-plan'!A:I,7,FALSE)</f>
        <v>3</v>
      </c>
      <c r="H4519" s="1" t="str">
        <f>VLOOKUP(B4519,'old-aw-skill-plan'!A:I,9,FALSE)</f>
        <v>3-2</v>
      </c>
    </row>
    <row r="4520" ht="15.75" customHeight="1">
      <c r="A4520" s="1" t="s">
        <v>110</v>
      </c>
      <c r="B4520" s="1" t="s">
        <v>28</v>
      </c>
      <c r="C4520" s="1" t="s">
        <v>11</v>
      </c>
      <c r="D4520" s="5">
        <v>45273.0</v>
      </c>
      <c r="G4520" s="1">
        <f>VLOOKUP(B4520,'old-aw-skill-plan'!A:I,7,FALSE)</f>
        <v>3</v>
      </c>
      <c r="H4520" s="1" t="str">
        <f>VLOOKUP(B4520,'old-aw-skill-plan'!A:I,9,FALSE)</f>
        <v>3-4</v>
      </c>
    </row>
    <row r="4521" ht="15.75" customHeight="1">
      <c r="A4521" s="1" t="s">
        <v>110</v>
      </c>
      <c r="B4521" s="1" t="s">
        <v>30</v>
      </c>
      <c r="C4521" s="1" t="s">
        <v>11</v>
      </c>
      <c r="D4521" s="5">
        <v>45273.0</v>
      </c>
      <c r="G4521" s="1">
        <f>VLOOKUP(B4521,'old-aw-skill-plan'!A:I,7,FALSE)</f>
        <v>3</v>
      </c>
      <c r="H4521" s="1" t="str">
        <f>VLOOKUP(B4521,'old-aw-skill-plan'!A:I,9,FALSE)</f>
        <v>3-3</v>
      </c>
    </row>
    <row r="4522" ht="15.75" customHeight="1">
      <c r="A4522" s="1" t="s">
        <v>22</v>
      </c>
      <c r="B4522" s="1" t="s">
        <v>61</v>
      </c>
      <c r="C4522" s="1" t="s">
        <v>11</v>
      </c>
      <c r="D4522" s="5">
        <v>45272.0</v>
      </c>
      <c r="G4522" s="1">
        <f>VLOOKUP(B4522,'old-aw-skill-plan'!A:I,7,FALSE)</f>
        <v>4</v>
      </c>
      <c r="H4522" s="1" t="str">
        <f>VLOOKUP(B4522,'old-aw-skill-plan'!A:I,9,FALSE)</f>
        <v>4-4</v>
      </c>
    </row>
    <row r="4523" ht="15.75" customHeight="1">
      <c r="A4523" s="1" t="s">
        <v>216</v>
      </c>
      <c r="B4523" s="1" t="s">
        <v>34</v>
      </c>
      <c r="C4523" s="1" t="s">
        <v>11</v>
      </c>
      <c r="D4523" s="5">
        <v>45272.0</v>
      </c>
      <c r="G4523" s="1">
        <f>VLOOKUP(B4523,'old-aw-skill-plan'!A:I,7,FALSE)</f>
        <v>4</v>
      </c>
      <c r="H4523" s="1" t="str">
        <f>VLOOKUP(B4523,'old-aw-skill-plan'!A:I,9,FALSE)</f>
        <v>4-1</v>
      </c>
    </row>
    <row r="4524" ht="15.75" customHeight="1">
      <c r="A4524" s="1" t="s">
        <v>35</v>
      </c>
      <c r="B4524" s="1" t="s">
        <v>61</v>
      </c>
      <c r="C4524" s="1" t="s">
        <v>11</v>
      </c>
      <c r="D4524" s="5">
        <v>45272.0</v>
      </c>
      <c r="G4524" s="1">
        <f>VLOOKUP(B4524,'old-aw-skill-plan'!A:I,7,FALSE)</f>
        <v>4</v>
      </c>
      <c r="H4524" s="1" t="str">
        <f>VLOOKUP(B4524,'old-aw-skill-plan'!A:I,9,FALSE)</f>
        <v>4-4</v>
      </c>
    </row>
    <row r="4525" ht="15.75" customHeight="1">
      <c r="A4525" s="1" t="s">
        <v>458</v>
      </c>
      <c r="B4525" s="1" t="s">
        <v>28</v>
      </c>
      <c r="C4525" s="1" t="s">
        <v>11</v>
      </c>
      <c r="D4525" s="5">
        <v>45272.0</v>
      </c>
      <c r="G4525" s="1">
        <f>VLOOKUP(B4525,'old-aw-skill-plan'!A:I,7,FALSE)</f>
        <v>3</v>
      </c>
      <c r="H4525" s="1" t="str">
        <f>VLOOKUP(B4525,'old-aw-skill-plan'!A:I,9,FALSE)</f>
        <v>3-4</v>
      </c>
    </row>
    <row r="4526" ht="15.75" customHeight="1">
      <c r="A4526" s="1" t="s">
        <v>213</v>
      </c>
      <c r="B4526" s="1" t="s">
        <v>47</v>
      </c>
      <c r="C4526" s="1" t="s">
        <v>11</v>
      </c>
      <c r="D4526" s="5">
        <v>45272.0</v>
      </c>
      <c r="G4526" s="1">
        <f>VLOOKUP(B4526,'old-aw-skill-plan'!A:I,7,FALSE)</f>
        <v>3</v>
      </c>
      <c r="H4526" s="1" t="str">
        <f>VLOOKUP(B4526,'old-aw-skill-plan'!A:I,9,FALSE)</f>
        <v>3-2</v>
      </c>
    </row>
    <row r="4527" ht="15.75" customHeight="1">
      <c r="A4527" s="1" t="s">
        <v>199</v>
      </c>
      <c r="B4527" s="1" t="s">
        <v>34</v>
      </c>
      <c r="C4527" s="1" t="s">
        <v>11</v>
      </c>
      <c r="D4527" s="5">
        <v>45272.0</v>
      </c>
      <c r="G4527" s="1">
        <f>VLOOKUP(B4527,'old-aw-skill-plan'!A:I,7,FALSE)</f>
        <v>4</v>
      </c>
      <c r="H4527" s="1" t="str">
        <f>VLOOKUP(B4527,'old-aw-skill-plan'!A:I,9,FALSE)</f>
        <v>4-1</v>
      </c>
    </row>
    <row r="4528" ht="15.75" customHeight="1">
      <c r="A4528" s="1" t="s">
        <v>36</v>
      </c>
      <c r="B4528" s="1" t="s">
        <v>28</v>
      </c>
      <c r="C4528" s="1" t="s">
        <v>11</v>
      </c>
      <c r="D4528" s="5">
        <v>45272.0</v>
      </c>
      <c r="G4528" s="1">
        <f>VLOOKUP(B4528,'old-aw-skill-plan'!A:I,7,FALSE)</f>
        <v>3</v>
      </c>
      <c r="H4528" s="1" t="str">
        <f>VLOOKUP(B4528,'old-aw-skill-plan'!A:I,9,FALSE)</f>
        <v>3-4</v>
      </c>
    </row>
    <row r="4529" ht="15.75" customHeight="1">
      <c r="A4529" s="1" t="s">
        <v>460</v>
      </c>
      <c r="B4529" s="1" t="s">
        <v>44</v>
      </c>
      <c r="C4529" s="1" t="s">
        <v>11</v>
      </c>
      <c r="D4529" s="5">
        <v>45272.0</v>
      </c>
      <c r="G4529" s="1">
        <f>VLOOKUP(B4529,'old-aw-skill-plan'!A:I,7,FALSE)</f>
        <v>5</v>
      </c>
      <c r="H4529" s="1" t="str">
        <f>VLOOKUP(B4529,'old-aw-skill-plan'!A:I,9,FALSE)</f>
        <v>5-1</v>
      </c>
    </row>
    <row r="4530" ht="15.75" customHeight="1">
      <c r="A4530" s="1" t="s">
        <v>39</v>
      </c>
      <c r="B4530" s="1" t="s">
        <v>34</v>
      </c>
      <c r="C4530" s="1" t="s">
        <v>11</v>
      </c>
      <c r="D4530" s="5">
        <v>45272.0</v>
      </c>
      <c r="G4530" s="1">
        <f>VLOOKUP(B4530,'old-aw-skill-plan'!A:I,7,FALSE)</f>
        <v>4</v>
      </c>
      <c r="H4530" s="1" t="str">
        <f>VLOOKUP(B4530,'old-aw-skill-plan'!A:I,9,FALSE)</f>
        <v>4-1</v>
      </c>
    </row>
    <row r="4531" ht="15.75" customHeight="1">
      <c r="A4531" s="1" t="s">
        <v>469</v>
      </c>
      <c r="B4531" s="1" t="s">
        <v>34</v>
      </c>
      <c r="C4531" s="1" t="s">
        <v>11</v>
      </c>
      <c r="D4531" s="5">
        <v>45272.0</v>
      </c>
      <c r="G4531" s="1">
        <f>VLOOKUP(B4531,'old-aw-skill-plan'!A:I,7,FALSE)</f>
        <v>4</v>
      </c>
      <c r="H4531" s="1" t="str">
        <f>VLOOKUP(B4531,'old-aw-skill-plan'!A:I,9,FALSE)</f>
        <v>4-1</v>
      </c>
    </row>
    <row r="4532" ht="15.75" customHeight="1">
      <c r="A4532" s="1" t="s">
        <v>465</v>
      </c>
      <c r="B4532" s="1" t="s">
        <v>350</v>
      </c>
      <c r="C4532" s="1" t="s">
        <v>11</v>
      </c>
      <c r="D4532" s="5">
        <v>45272.0</v>
      </c>
      <c r="G4532" s="1">
        <f>VLOOKUP(B4532,'old-aw-skill-plan'!A:I,7,FALSE)</f>
        <v>3</v>
      </c>
      <c r="H4532" s="1" t="str">
        <f>VLOOKUP(B4532,'old-aw-skill-plan'!A:I,9,FALSE)</f>
        <v>3-6</v>
      </c>
    </row>
    <row r="4533" ht="15.75" customHeight="1">
      <c r="A4533" s="1" t="s">
        <v>454</v>
      </c>
      <c r="B4533" s="1" t="s">
        <v>48</v>
      </c>
      <c r="C4533" s="1" t="s">
        <v>11</v>
      </c>
      <c r="D4533" s="5">
        <v>45272.0</v>
      </c>
      <c r="G4533" s="1">
        <f>VLOOKUP(B4533,'old-aw-skill-plan'!A:I,7,FALSE)</f>
        <v>3</v>
      </c>
      <c r="H4533" s="1" t="str">
        <f>VLOOKUP(B4533,'old-aw-skill-plan'!A:I,9,FALSE)</f>
        <v>3-6</v>
      </c>
    </row>
    <row r="4534" ht="15.75" customHeight="1">
      <c r="A4534" s="1" t="s">
        <v>454</v>
      </c>
      <c r="B4534" s="1" t="s">
        <v>446</v>
      </c>
      <c r="C4534" s="1" t="s">
        <v>11</v>
      </c>
      <c r="D4534" s="5">
        <v>45272.0</v>
      </c>
      <c r="G4534" s="1">
        <f>VLOOKUP(B4534,'old-aw-skill-plan'!A:I,7,FALSE)</f>
        <v>3</v>
      </c>
      <c r="H4534" s="1" t="str">
        <f>VLOOKUP(B4534,'old-aw-skill-plan'!A:I,9,FALSE)</f>
        <v>3-6</v>
      </c>
    </row>
    <row r="4535" ht="15.75" customHeight="1">
      <c r="A4535" s="1" t="s">
        <v>454</v>
      </c>
      <c r="B4535" s="1" t="s">
        <v>466</v>
      </c>
      <c r="C4535" s="1" t="s">
        <v>11</v>
      </c>
      <c r="D4535" s="5">
        <v>45272.0</v>
      </c>
      <c r="G4535" s="1" t="str">
        <f>VLOOKUP(B4535,'old-aw-skill-plan'!A:I,7,FALSE)</f>
        <v>#N/A</v>
      </c>
      <c r="H4535" s="1" t="str">
        <f>VLOOKUP(B4535,'old-aw-skill-plan'!A:I,9,FALSE)</f>
        <v>#N/A</v>
      </c>
    </row>
    <row r="4536" ht="15.75" customHeight="1">
      <c r="A4536" s="1" t="s">
        <v>56</v>
      </c>
      <c r="B4536" s="1" t="s">
        <v>28</v>
      </c>
      <c r="C4536" s="1" t="s">
        <v>11</v>
      </c>
      <c r="D4536" s="5">
        <v>45272.0</v>
      </c>
      <c r="G4536" s="1">
        <f>VLOOKUP(B4536,'old-aw-skill-plan'!A:I,7,FALSE)</f>
        <v>3</v>
      </c>
      <c r="H4536" s="1" t="str">
        <f>VLOOKUP(B4536,'old-aw-skill-plan'!A:I,9,FALSE)</f>
        <v>3-4</v>
      </c>
    </row>
    <row r="4537" ht="15.75" customHeight="1">
      <c r="A4537" s="1" t="s">
        <v>81</v>
      </c>
      <c r="B4537" s="1" t="s">
        <v>470</v>
      </c>
      <c r="C4537" s="1" t="s">
        <v>11</v>
      </c>
      <c r="D4537" s="5">
        <v>45272.0</v>
      </c>
      <c r="G4537" s="1" t="str">
        <f>VLOOKUP(B4537,'old-aw-skill-plan'!A:I,7,FALSE)</f>
        <v>#N/A</v>
      </c>
      <c r="H4537" s="1" t="str">
        <f>VLOOKUP(B4537,'old-aw-skill-plan'!A:I,9,FALSE)</f>
        <v>#N/A</v>
      </c>
    </row>
    <row r="4538" ht="15.75" customHeight="1">
      <c r="A4538" s="1" t="s">
        <v>81</v>
      </c>
      <c r="B4538" s="1" t="s">
        <v>370</v>
      </c>
      <c r="C4538" s="1" t="s">
        <v>11</v>
      </c>
      <c r="D4538" s="5">
        <v>45272.0</v>
      </c>
      <c r="G4538" s="1">
        <f>VLOOKUP(B4538,'old-aw-skill-plan'!A:I,7,FALSE)</f>
        <v>4</v>
      </c>
      <c r="H4538" s="1" t="str">
        <f>VLOOKUP(B4538,'old-aw-skill-plan'!A:I,9,FALSE)</f>
        <v>4-6</v>
      </c>
    </row>
    <row r="4539" ht="15.75" customHeight="1">
      <c r="A4539" s="1" t="s">
        <v>230</v>
      </c>
      <c r="B4539" s="1" t="s">
        <v>446</v>
      </c>
      <c r="C4539" s="1" t="s">
        <v>11</v>
      </c>
      <c r="D4539" s="5">
        <v>45272.0</v>
      </c>
      <c r="G4539" s="1">
        <f>VLOOKUP(B4539,'old-aw-skill-plan'!A:I,7,FALSE)</f>
        <v>3</v>
      </c>
      <c r="H4539" s="1" t="str">
        <f>VLOOKUP(B4539,'old-aw-skill-plan'!A:I,9,FALSE)</f>
        <v>3-6</v>
      </c>
    </row>
    <row r="4540" ht="15.75" customHeight="1">
      <c r="A4540" s="1" t="s">
        <v>428</v>
      </c>
      <c r="B4540" s="1" t="s">
        <v>320</v>
      </c>
      <c r="C4540" s="1" t="s">
        <v>11</v>
      </c>
      <c r="D4540" s="5">
        <v>45272.0</v>
      </c>
      <c r="G4540" s="1">
        <f>VLOOKUP(B4540,'old-aw-skill-plan'!A:I,7,FALSE)</f>
        <v>4</v>
      </c>
      <c r="H4540" s="1" t="str">
        <f>VLOOKUP(B4540,'old-aw-skill-plan'!A:I,9,FALSE)</f>
        <v>4-2</v>
      </c>
    </row>
    <row r="4541" ht="15.75" customHeight="1">
      <c r="A4541" s="1" t="s">
        <v>420</v>
      </c>
      <c r="B4541" s="1" t="s">
        <v>10</v>
      </c>
      <c r="C4541" s="1" t="s">
        <v>11</v>
      </c>
      <c r="D4541" s="5">
        <v>45272.0</v>
      </c>
      <c r="G4541" s="1">
        <f>VLOOKUP(B4541,'old-aw-skill-plan'!A:I,7,FALSE)</f>
        <v>3</v>
      </c>
      <c r="H4541" s="1" t="str">
        <f>VLOOKUP(B4541,'old-aw-skill-plan'!A:I,9,FALSE)</f>
        <v>3-1</v>
      </c>
    </row>
    <row r="4542" ht="15.75" customHeight="1">
      <c r="A4542" s="1" t="s">
        <v>275</v>
      </c>
      <c r="B4542" s="1" t="s">
        <v>44</v>
      </c>
      <c r="C4542" s="1" t="s">
        <v>11</v>
      </c>
      <c r="D4542" s="5">
        <v>45272.0</v>
      </c>
      <c r="G4542" s="1">
        <f>VLOOKUP(B4542,'old-aw-skill-plan'!A:I,7,FALSE)</f>
        <v>5</v>
      </c>
      <c r="H4542" s="1" t="str">
        <f>VLOOKUP(B4542,'old-aw-skill-plan'!A:I,9,FALSE)</f>
        <v>5-1</v>
      </c>
    </row>
    <row r="4543" ht="15.75" customHeight="1">
      <c r="A4543" s="1" t="s">
        <v>95</v>
      </c>
      <c r="B4543" s="1" t="s">
        <v>47</v>
      </c>
      <c r="C4543" s="1" t="s">
        <v>11</v>
      </c>
      <c r="D4543" s="5">
        <v>45272.0</v>
      </c>
      <c r="G4543" s="1">
        <f>VLOOKUP(B4543,'old-aw-skill-plan'!A:I,7,FALSE)</f>
        <v>3</v>
      </c>
      <c r="H4543" s="1" t="str">
        <f>VLOOKUP(B4543,'old-aw-skill-plan'!A:I,9,FALSE)</f>
        <v>3-2</v>
      </c>
    </row>
    <row r="4544" ht="15.75" customHeight="1">
      <c r="A4544" s="1" t="s">
        <v>214</v>
      </c>
      <c r="B4544" s="1" t="s">
        <v>30</v>
      </c>
      <c r="C4544" s="1" t="s">
        <v>11</v>
      </c>
      <c r="D4544" s="5">
        <v>45272.0</v>
      </c>
      <c r="G4544" s="1">
        <f>VLOOKUP(B4544,'old-aw-skill-plan'!A:I,7,FALSE)</f>
        <v>3</v>
      </c>
      <c r="H4544" s="1" t="str">
        <f>VLOOKUP(B4544,'old-aw-skill-plan'!A:I,9,FALSE)</f>
        <v>3-3</v>
      </c>
    </row>
    <row r="4545" ht="15.75" customHeight="1">
      <c r="A4545" s="1" t="s">
        <v>197</v>
      </c>
      <c r="B4545" s="1" t="s">
        <v>309</v>
      </c>
      <c r="C4545" s="1" t="s">
        <v>11</v>
      </c>
      <c r="D4545" s="5">
        <v>45272.0</v>
      </c>
      <c r="G4545" s="1">
        <f>VLOOKUP(B4545,'old-aw-skill-plan'!A:I,7,FALSE)</f>
        <v>4</v>
      </c>
      <c r="H4545" s="1" t="str">
        <f>VLOOKUP(B4545,'old-aw-skill-plan'!A:I,9,FALSE)</f>
        <v>4-1</v>
      </c>
    </row>
    <row r="4546" ht="15.75" customHeight="1">
      <c r="A4546" s="1" t="s">
        <v>373</v>
      </c>
      <c r="B4546" s="1" t="s">
        <v>47</v>
      </c>
      <c r="C4546" s="1" t="s">
        <v>11</v>
      </c>
      <c r="D4546" s="5">
        <v>45272.0</v>
      </c>
      <c r="G4546" s="1">
        <f>VLOOKUP(B4546,'old-aw-skill-plan'!A:I,7,FALSE)</f>
        <v>3</v>
      </c>
      <c r="H4546" s="1" t="str">
        <f>VLOOKUP(B4546,'old-aw-skill-plan'!A:I,9,FALSE)</f>
        <v>3-2</v>
      </c>
    </row>
    <row r="4547" ht="15.75" customHeight="1">
      <c r="A4547" s="1" t="s">
        <v>462</v>
      </c>
      <c r="B4547" s="1" t="s">
        <v>44</v>
      </c>
      <c r="C4547" s="1" t="s">
        <v>11</v>
      </c>
      <c r="D4547" s="5">
        <v>45272.0</v>
      </c>
      <c r="G4547" s="1">
        <f>VLOOKUP(B4547,'old-aw-skill-plan'!A:I,7,FALSE)</f>
        <v>5</v>
      </c>
      <c r="H4547" s="1" t="str">
        <f>VLOOKUP(B4547,'old-aw-skill-plan'!A:I,9,FALSE)</f>
        <v>5-1</v>
      </c>
    </row>
    <row r="4548" ht="15.75" customHeight="1">
      <c r="A4548" s="1" t="s">
        <v>90</v>
      </c>
      <c r="B4548" s="1" t="s">
        <v>383</v>
      </c>
      <c r="C4548" s="1" t="s">
        <v>11</v>
      </c>
      <c r="D4548" s="5">
        <v>45272.0</v>
      </c>
      <c r="G4548" s="1">
        <f>VLOOKUP(B4548,'old-aw-skill-plan'!A:I,7,FALSE)</f>
        <v>3</v>
      </c>
      <c r="H4548" s="1" t="str">
        <f>VLOOKUP(B4548,'old-aw-skill-plan'!A:I,9,FALSE)</f>
        <v>3-3</v>
      </c>
    </row>
    <row r="4549" ht="15.75" customHeight="1">
      <c r="A4549" s="1" t="s">
        <v>277</v>
      </c>
      <c r="B4549" s="1" t="s">
        <v>44</v>
      </c>
      <c r="C4549" s="1" t="s">
        <v>11</v>
      </c>
      <c r="D4549" s="5">
        <v>45272.0</v>
      </c>
      <c r="G4549" s="1">
        <f>VLOOKUP(B4549,'old-aw-skill-plan'!A:I,7,FALSE)</f>
        <v>5</v>
      </c>
      <c r="H4549" s="1" t="str">
        <f>VLOOKUP(B4549,'old-aw-skill-plan'!A:I,9,FALSE)</f>
        <v>5-1</v>
      </c>
    </row>
    <row r="4550" ht="15.75" customHeight="1">
      <c r="A4550" s="1" t="s">
        <v>472</v>
      </c>
      <c r="B4550" s="1" t="s">
        <v>10</v>
      </c>
      <c r="C4550" s="1" t="s">
        <v>11</v>
      </c>
      <c r="D4550" s="5">
        <v>45272.0</v>
      </c>
      <c r="G4550" s="1">
        <f>VLOOKUP(B4550,'old-aw-skill-plan'!A:I,7,FALSE)</f>
        <v>3</v>
      </c>
      <c r="H4550" s="1" t="str">
        <f>VLOOKUP(B4550,'old-aw-skill-plan'!A:I,9,FALSE)</f>
        <v>3-1</v>
      </c>
    </row>
    <row r="4551" ht="15.75" customHeight="1">
      <c r="A4551" s="1" t="s">
        <v>93</v>
      </c>
      <c r="B4551" s="1" t="s">
        <v>446</v>
      </c>
      <c r="C4551" s="1" t="s">
        <v>11</v>
      </c>
      <c r="D4551" s="5">
        <v>45272.0</v>
      </c>
      <c r="G4551" s="1">
        <f>VLOOKUP(B4551,'old-aw-skill-plan'!A:I,7,FALSE)</f>
        <v>3</v>
      </c>
      <c r="H4551" s="1" t="str">
        <f>VLOOKUP(B4551,'old-aw-skill-plan'!A:I,9,FALSE)</f>
        <v>3-6</v>
      </c>
    </row>
    <row r="4552" ht="15.75" customHeight="1">
      <c r="A4552" s="1" t="s">
        <v>94</v>
      </c>
      <c r="B4552" s="1" t="s">
        <v>48</v>
      </c>
      <c r="C4552" s="1" t="s">
        <v>11</v>
      </c>
      <c r="D4552" s="5">
        <v>45272.0</v>
      </c>
      <c r="G4552" s="1">
        <f>VLOOKUP(B4552,'old-aw-skill-plan'!A:I,7,FALSE)</f>
        <v>3</v>
      </c>
      <c r="H4552" s="1" t="str">
        <f>VLOOKUP(B4552,'old-aw-skill-plan'!A:I,9,FALSE)</f>
        <v>3-6</v>
      </c>
    </row>
    <row r="4553" ht="15.75" customHeight="1">
      <c r="A4553" s="1" t="s">
        <v>225</v>
      </c>
      <c r="B4553" s="1" t="s">
        <v>34</v>
      </c>
      <c r="C4553" s="1" t="s">
        <v>11</v>
      </c>
      <c r="D4553" s="5">
        <v>45272.0</v>
      </c>
      <c r="G4553" s="1">
        <f>VLOOKUP(B4553,'old-aw-skill-plan'!A:I,7,FALSE)</f>
        <v>4</v>
      </c>
      <c r="H4553" s="1" t="str">
        <f>VLOOKUP(B4553,'old-aw-skill-plan'!A:I,9,FALSE)</f>
        <v>4-1</v>
      </c>
    </row>
    <row r="4554" ht="15.75" customHeight="1">
      <c r="A4554" s="1" t="s">
        <v>427</v>
      </c>
      <c r="B4554" s="1" t="s">
        <v>356</v>
      </c>
      <c r="C4554" s="1" t="s">
        <v>11</v>
      </c>
      <c r="D4554" s="5">
        <v>45272.0</v>
      </c>
      <c r="G4554" s="1">
        <f>VLOOKUP(B4554,'old-aw-skill-plan'!A:I,7,FALSE)</f>
        <v>3</v>
      </c>
      <c r="H4554" s="1" t="str">
        <f>VLOOKUP(B4554,'old-aw-skill-plan'!A:I,9,FALSE)</f>
        <v>3-2</v>
      </c>
    </row>
    <row r="4555" ht="15.75" customHeight="1">
      <c r="A4555" s="1" t="s">
        <v>110</v>
      </c>
      <c r="B4555" s="1" t="s">
        <v>10</v>
      </c>
      <c r="C4555" s="1" t="s">
        <v>11</v>
      </c>
      <c r="D4555" s="5">
        <v>45272.0</v>
      </c>
      <c r="G4555" s="1">
        <f>VLOOKUP(B4555,'old-aw-skill-plan'!A:I,7,FALSE)</f>
        <v>3</v>
      </c>
      <c r="H4555" s="1" t="str">
        <f>VLOOKUP(B4555,'old-aw-skill-plan'!A:I,9,FALSE)</f>
        <v>3-1</v>
      </c>
    </row>
    <row r="4556" ht="15.75" customHeight="1">
      <c r="A4556" s="1" t="s">
        <v>110</v>
      </c>
      <c r="B4556" s="1" t="s">
        <v>30</v>
      </c>
      <c r="C4556" s="1" t="s">
        <v>11</v>
      </c>
      <c r="D4556" s="5">
        <v>45272.0</v>
      </c>
      <c r="G4556" s="1">
        <f>VLOOKUP(B4556,'old-aw-skill-plan'!A:I,7,FALSE)</f>
        <v>3</v>
      </c>
      <c r="H4556" s="1" t="str">
        <f>VLOOKUP(B4556,'old-aw-skill-plan'!A:I,9,FALSE)</f>
        <v>3-3</v>
      </c>
    </row>
    <row r="4557" ht="15.75" customHeight="1">
      <c r="A4557" s="1" t="s">
        <v>22</v>
      </c>
      <c r="B4557" s="1" t="s">
        <v>61</v>
      </c>
      <c r="C4557" s="1" t="s">
        <v>11</v>
      </c>
      <c r="D4557" s="5">
        <v>45271.0</v>
      </c>
      <c r="G4557" s="1">
        <f>VLOOKUP(B4557,'old-aw-skill-plan'!A:I,7,FALSE)</f>
        <v>4</v>
      </c>
      <c r="H4557" s="1" t="str">
        <f>VLOOKUP(B4557,'old-aw-skill-plan'!A:I,9,FALSE)</f>
        <v>4-4</v>
      </c>
    </row>
    <row r="4558" ht="15.75" customHeight="1">
      <c r="A4558" s="1" t="s">
        <v>216</v>
      </c>
      <c r="B4558" s="1" t="s">
        <v>34</v>
      </c>
      <c r="C4558" s="1" t="s">
        <v>11</v>
      </c>
      <c r="D4558" s="5">
        <v>45271.0</v>
      </c>
      <c r="G4558" s="1">
        <f>VLOOKUP(B4558,'old-aw-skill-plan'!A:I,7,FALSE)</f>
        <v>4</v>
      </c>
      <c r="H4558" s="1" t="str">
        <f>VLOOKUP(B4558,'old-aw-skill-plan'!A:I,9,FALSE)</f>
        <v>4-1</v>
      </c>
    </row>
    <row r="4559" ht="15.75" customHeight="1">
      <c r="A4559" s="1" t="s">
        <v>35</v>
      </c>
      <c r="B4559" s="1" t="s">
        <v>61</v>
      </c>
      <c r="C4559" s="1" t="s">
        <v>11</v>
      </c>
      <c r="D4559" s="5">
        <v>45271.0</v>
      </c>
      <c r="G4559" s="1">
        <f>VLOOKUP(B4559,'old-aw-skill-plan'!A:I,7,FALSE)</f>
        <v>4</v>
      </c>
      <c r="H4559" s="1" t="str">
        <f>VLOOKUP(B4559,'old-aw-skill-plan'!A:I,9,FALSE)</f>
        <v>4-4</v>
      </c>
    </row>
    <row r="4560" ht="15.75" customHeight="1">
      <c r="A4560" s="1" t="s">
        <v>35</v>
      </c>
      <c r="B4560" s="1" t="s">
        <v>97</v>
      </c>
      <c r="C4560" s="1" t="s">
        <v>11</v>
      </c>
      <c r="D4560" s="5">
        <v>45271.0</v>
      </c>
      <c r="G4560" s="1">
        <f>VLOOKUP(B4560,'old-aw-skill-plan'!A:I,7,FALSE)</f>
        <v>4</v>
      </c>
      <c r="H4560" s="1" t="str">
        <f>VLOOKUP(B4560,'old-aw-skill-plan'!A:I,9,FALSE)</f>
        <v>4-3</v>
      </c>
    </row>
    <row r="4561" ht="15.75" customHeight="1">
      <c r="A4561" s="1" t="s">
        <v>35</v>
      </c>
      <c r="B4561" s="1" t="s">
        <v>99</v>
      </c>
      <c r="C4561" s="1" t="s">
        <v>11</v>
      </c>
      <c r="D4561" s="5">
        <v>45271.0</v>
      </c>
      <c r="G4561" s="1" t="str">
        <f>VLOOKUP(B4561,'old-aw-skill-plan'!A:I,7,FALSE)</f>
        <v>#N/A</v>
      </c>
      <c r="H4561" s="1" t="str">
        <f>VLOOKUP(B4561,'old-aw-skill-plan'!A:I,9,FALSE)</f>
        <v>#N/A</v>
      </c>
    </row>
    <row r="4562" ht="15.75" customHeight="1">
      <c r="A4562" s="1" t="s">
        <v>271</v>
      </c>
      <c r="B4562" s="1" t="s">
        <v>48</v>
      </c>
      <c r="C4562" s="1" t="s">
        <v>11</v>
      </c>
      <c r="D4562" s="5">
        <v>45271.0</v>
      </c>
      <c r="G4562" s="1">
        <f>VLOOKUP(B4562,'old-aw-skill-plan'!A:I,7,FALSE)</f>
        <v>3</v>
      </c>
      <c r="H4562" s="1" t="str">
        <f>VLOOKUP(B4562,'old-aw-skill-plan'!A:I,9,FALSE)</f>
        <v>3-6</v>
      </c>
    </row>
    <row r="4563" ht="15.75" customHeight="1">
      <c r="A4563" s="1" t="s">
        <v>271</v>
      </c>
      <c r="B4563" s="1" t="s">
        <v>446</v>
      </c>
      <c r="C4563" s="1" t="s">
        <v>11</v>
      </c>
      <c r="D4563" s="5">
        <v>45271.0</v>
      </c>
      <c r="G4563" s="1">
        <f>VLOOKUP(B4563,'old-aw-skill-plan'!A:I,7,FALSE)</f>
        <v>3</v>
      </c>
      <c r="H4563" s="1" t="str">
        <f>VLOOKUP(B4563,'old-aw-skill-plan'!A:I,9,FALSE)</f>
        <v>3-6</v>
      </c>
    </row>
    <row r="4564" ht="15.75" customHeight="1">
      <c r="A4564" s="1" t="s">
        <v>434</v>
      </c>
      <c r="B4564" s="1" t="s">
        <v>48</v>
      </c>
      <c r="C4564" s="1" t="s">
        <v>11</v>
      </c>
      <c r="D4564" s="5">
        <v>45271.0</v>
      </c>
      <c r="G4564" s="1">
        <f>VLOOKUP(B4564,'old-aw-skill-plan'!A:I,7,FALSE)</f>
        <v>3</v>
      </c>
      <c r="H4564" s="1" t="str">
        <f>VLOOKUP(B4564,'old-aw-skill-plan'!A:I,9,FALSE)</f>
        <v>3-6</v>
      </c>
    </row>
    <row r="4565" ht="15.75" customHeight="1">
      <c r="A4565" s="1" t="s">
        <v>434</v>
      </c>
      <c r="B4565" s="1" t="s">
        <v>446</v>
      </c>
      <c r="C4565" s="1" t="s">
        <v>11</v>
      </c>
      <c r="D4565" s="5">
        <v>45271.0</v>
      </c>
      <c r="G4565" s="1">
        <f>VLOOKUP(B4565,'old-aw-skill-plan'!A:I,7,FALSE)</f>
        <v>3</v>
      </c>
      <c r="H4565" s="1" t="str">
        <f>VLOOKUP(B4565,'old-aw-skill-plan'!A:I,9,FALSE)</f>
        <v>3-6</v>
      </c>
    </row>
    <row r="4566" ht="15.75" customHeight="1">
      <c r="A4566" s="1" t="s">
        <v>213</v>
      </c>
      <c r="B4566" s="1" t="s">
        <v>10</v>
      </c>
      <c r="C4566" s="1" t="s">
        <v>11</v>
      </c>
      <c r="D4566" s="5">
        <v>45271.0</v>
      </c>
      <c r="G4566" s="1">
        <f>VLOOKUP(B4566,'old-aw-skill-plan'!A:I,7,FALSE)</f>
        <v>3</v>
      </c>
      <c r="H4566" s="1" t="str">
        <f>VLOOKUP(B4566,'old-aw-skill-plan'!A:I,9,FALSE)</f>
        <v>3-1</v>
      </c>
    </row>
    <row r="4567" ht="15.75" customHeight="1">
      <c r="A4567" s="1" t="s">
        <v>199</v>
      </c>
      <c r="B4567" s="1" t="s">
        <v>34</v>
      </c>
      <c r="C4567" s="1" t="s">
        <v>11</v>
      </c>
      <c r="D4567" s="5">
        <v>45271.0</v>
      </c>
      <c r="G4567" s="1">
        <f>VLOOKUP(B4567,'old-aw-skill-plan'!A:I,7,FALSE)</f>
        <v>4</v>
      </c>
      <c r="H4567" s="1" t="str">
        <f>VLOOKUP(B4567,'old-aw-skill-plan'!A:I,9,FALSE)</f>
        <v>4-1</v>
      </c>
    </row>
    <row r="4568" ht="15.75" customHeight="1">
      <c r="A4568" s="1" t="s">
        <v>36</v>
      </c>
      <c r="B4568" s="1" t="s">
        <v>28</v>
      </c>
      <c r="C4568" s="1" t="s">
        <v>11</v>
      </c>
      <c r="D4568" s="5">
        <v>45271.0</v>
      </c>
      <c r="G4568" s="1">
        <f>VLOOKUP(B4568,'old-aw-skill-plan'!A:I,7,FALSE)</f>
        <v>3</v>
      </c>
      <c r="H4568" s="1" t="str">
        <f>VLOOKUP(B4568,'old-aw-skill-plan'!A:I,9,FALSE)</f>
        <v>3-4</v>
      </c>
    </row>
    <row r="4569" ht="15.75" customHeight="1">
      <c r="A4569" s="1" t="s">
        <v>469</v>
      </c>
      <c r="B4569" s="1" t="s">
        <v>34</v>
      </c>
      <c r="C4569" s="1" t="s">
        <v>11</v>
      </c>
      <c r="D4569" s="5">
        <v>45271.0</v>
      </c>
      <c r="G4569" s="1">
        <f>VLOOKUP(B4569,'old-aw-skill-plan'!A:I,7,FALSE)</f>
        <v>4</v>
      </c>
      <c r="H4569" s="1" t="str">
        <f>VLOOKUP(B4569,'old-aw-skill-plan'!A:I,9,FALSE)</f>
        <v>4-1</v>
      </c>
    </row>
    <row r="4570" ht="15.75" customHeight="1">
      <c r="A4570" s="1" t="s">
        <v>465</v>
      </c>
      <c r="B4570" s="1" t="s">
        <v>48</v>
      </c>
      <c r="C4570" s="1" t="s">
        <v>11</v>
      </c>
      <c r="D4570" s="5">
        <v>45271.0</v>
      </c>
      <c r="G4570" s="1">
        <f>VLOOKUP(B4570,'old-aw-skill-plan'!A:I,7,FALSE)</f>
        <v>3</v>
      </c>
      <c r="H4570" s="1" t="str">
        <f>VLOOKUP(B4570,'old-aw-skill-plan'!A:I,9,FALSE)</f>
        <v>3-6</v>
      </c>
    </row>
    <row r="4571" ht="15.75" customHeight="1">
      <c r="A4571" s="1" t="s">
        <v>465</v>
      </c>
      <c r="B4571" s="1" t="s">
        <v>446</v>
      </c>
      <c r="C4571" s="1" t="s">
        <v>11</v>
      </c>
      <c r="D4571" s="5">
        <v>45271.0</v>
      </c>
      <c r="G4571" s="1">
        <f>VLOOKUP(B4571,'old-aw-skill-plan'!A:I,7,FALSE)</f>
        <v>3</v>
      </c>
      <c r="H4571" s="1" t="str">
        <f>VLOOKUP(B4571,'old-aw-skill-plan'!A:I,9,FALSE)</f>
        <v>3-6</v>
      </c>
    </row>
    <row r="4572" ht="15.75" customHeight="1">
      <c r="A4572" s="1" t="s">
        <v>419</v>
      </c>
      <c r="B4572" s="1" t="s">
        <v>44</v>
      </c>
      <c r="C4572" s="1" t="s">
        <v>11</v>
      </c>
      <c r="D4572" s="5">
        <v>45271.0</v>
      </c>
      <c r="G4572" s="1">
        <f>VLOOKUP(B4572,'old-aw-skill-plan'!A:I,7,FALSE)</f>
        <v>5</v>
      </c>
      <c r="H4572" s="1" t="str">
        <f>VLOOKUP(B4572,'old-aw-skill-plan'!A:I,9,FALSE)</f>
        <v>5-1</v>
      </c>
    </row>
    <row r="4573" ht="15.75" customHeight="1">
      <c r="A4573" s="1" t="s">
        <v>459</v>
      </c>
      <c r="B4573" s="1" t="s">
        <v>28</v>
      </c>
      <c r="C4573" s="1" t="s">
        <v>11</v>
      </c>
      <c r="D4573" s="5">
        <v>45271.0</v>
      </c>
      <c r="G4573" s="1">
        <f>VLOOKUP(B4573,'old-aw-skill-plan'!A:I,7,FALSE)</f>
        <v>3</v>
      </c>
      <c r="H4573" s="1" t="str">
        <f>VLOOKUP(B4573,'old-aw-skill-plan'!A:I,9,FALSE)</f>
        <v>3-4</v>
      </c>
    </row>
    <row r="4574" ht="15.75" customHeight="1">
      <c r="A4574" s="1" t="s">
        <v>459</v>
      </c>
      <c r="B4574" s="1" t="s">
        <v>111</v>
      </c>
      <c r="C4574" s="1" t="s">
        <v>11</v>
      </c>
      <c r="D4574" s="5">
        <v>45271.0</v>
      </c>
      <c r="G4574" s="1" t="str">
        <f>VLOOKUP(B4574,'old-aw-skill-plan'!A:I,7,FALSE)</f>
        <v>#N/A</v>
      </c>
      <c r="H4574" s="1" t="str">
        <f>VLOOKUP(B4574,'old-aw-skill-plan'!A:I,9,FALSE)</f>
        <v>#N/A</v>
      </c>
    </row>
    <row r="4575" ht="15.75" customHeight="1">
      <c r="A4575" s="1" t="s">
        <v>81</v>
      </c>
      <c r="B4575" s="1" t="s">
        <v>21</v>
      </c>
      <c r="C4575" s="1" t="s">
        <v>11</v>
      </c>
      <c r="D4575" s="5">
        <v>45271.0</v>
      </c>
      <c r="G4575" s="1">
        <f>VLOOKUP(B4575,'old-aw-skill-plan'!A:I,7,FALSE)</f>
        <v>4</v>
      </c>
      <c r="H4575" s="1" t="str">
        <f>VLOOKUP(B4575,'old-aw-skill-plan'!A:I,9,FALSE)</f>
        <v>4-6</v>
      </c>
    </row>
    <row r="4576" ht="15.75" customHeight="1">
      <c r="A4576" s="1" t="s">
        <v>81</v>
      </c>
      <c r="B4576" s="1" t="s">
        <v>309</v>
      </c>
      <c r="C4576" s="1" t="s">
        <v>11</v>
      </c>
      <c r="D4576" s="5">
        <v>45271.0</v>
      </c>
      <c r="G4576" s="1">
        <f>VLOOKUP(B4576,'old-aw-skill-plan'!A:I,7,FALSE)</f>
        <v>4</v>
      </c>
      <c r="H4576" s="1" t="str">
        <f>VLOOKUP(B4576,'old-aw-skill-plan'!A:I,9,FALSE)</f>
        <v>4-1</v>
      </c>
    </row>
    <row r="4577" ht="15.75" customHeight="1">
      <c r="A4577" s="1" t="s">
        <v>81</v>
      </c>
      <c r="B4577" s="1" t="s">
        <v>470</v>
      </c>
      <c r="C4577" s="1" t="s">
        <v>11</v>
      </c>
      <c r="D4577" s="5">
        <v>45271.0</v>
      </c>
      <c r="G4577" s="1" t="str">
        <f>VLOOKUP(B4577,'old-aw-skill-plan'!A:I,7,FALSE)</f>
        <v>#N/A</v>
      </c>
      <c r="H4577" s="1" t="str">
        <f>VLOOKUP(B4577,'old-aw-skill-plan'!A:I,9,FALSE)</f>
        <v>#N/A</v>
      </c>
    </row>
    <row r="4578" ht="15.75" customHeight="1">
      <c r="A4578" s="1" t="s">
        <v>230</v>
      </c>
      <c r="B4578" s="1" t="s">
        <v>48</v>
      </c>
      <c r="C4578" s="1" t="s">
        <v>11</v>
      </c>
      <c r="D4578" s="5">
        <v>45271.0</v>
      </c>
      <c r="G4578" s="1">
        <f>VLOOKUP(B4578,'old-aw-skill-plan'!A:I,7,FALSE)</f>
        <v>3</v>
      </c>
      <c r="H4578" s="1" t="str">
        <f>VLOOKUP(B4578,'old-aw-skill-plan'!A:I,9,FALSE)</f>
        <v>3-6</v>
      </c>
    </row>
    <row r="4579" ht="15.75" customHeight="1">
      <c r="A4579" s="1" t="s">
        <v>230</v>
      </c>
      <c r="B4579" s="1" t="s">
        <v>446</v>
      </c>
      <c r="C4579" s="1" t="s">
        <v>11</v>
      </c>
      <c r="D4579" s="5">
        <v>45271.0</v>
      </c>
      <c r="G4579" s="1">
        <f>VLOOKUP(B4579,'old-aw-skill-plan'!A:I,7,FALSE)</f>
        <v>3</v>
      </c>
      <c r="H4579" s="1" t="str">
        <f>VLOOKUP(B4579,'old-aw-skill-plan'!A:I,9,FALSE)</f>
        <v>3-6</v>
      </c>
    </row>
    <row r="4580" ht="15.75" customHeight="1">
      <c r="A4580" s="1" t="s">
        <v>428</v>
      </c>
      <c r="B4580" s="1" t="s">
        <v>320</v>
      </c>
      <c r="C4580" s="1" t="s">
        <v>11</v>
      </c>
      <c r="D4580" s="5">
        <v>45271.0</v>
      </c>
      <c r="G4580" s="1">
        <f>VLOOKUP(B4580,'old-aw-skill-plan'!A:I,7,FALSE)</f>
        <v>4</v>
      </c>
      <c r="H4580" s="1" t="str">
        <f>VLOOKUP(B4580,'old-aw-skill-plan'!A:I,9,FALSE)</f>
        <v>4-2</v>
      </c>
    </row>
    <row r="4581" ht="15.75" customHeight="1">
      <c r="A4581" s="1" t="s">
        <v>420</v>
      </c>
      <c r="B4581" s="1" t="s">
        <v>10</v>
      </c>
      <c r="C4581" s="1" t="s">
        <v>11</v>
      </c>
      <c r="D4581" s="5">
        <v>45271.0</v>
      </c>
      <c r="G4581" s="1">
        <f>VLOOKUP(B4581,'old-aw-skill-plan'!A:I,7,FALSE)</f>
        <v>3</v>
      </c>
      <c r="H4581" s="1" t="str">
        <f>VLOOKUP(B4581,'old-aw-skill-plan'!A:I,9,FALSE)</f>
        <v>3-1</v>
      </c>
    </row>
    <row r="4582" ht="15.75" customHeight="1">
      <c r="A4582" s="1" t="s">
        <v>420</v>
      </c>
      <c r="B4582" s="1" t="s">
        <v>352</v>
      </c>
      <c r="C4582" s="1" t="s">
        <v>11</v>
      </c>
      <c r="D4582" s="5">
        <v>45271.0</v>
      </c>
      <c r="G4582" s="1">
        <f>VLOOKUP(B4582,'old-aw-skill-plan'!A:I,7,FALSE)</f>
        <v>3</v>
      </c>
      <c r="H4582" s="1" t="str">
        <f>VLOOKUP(B4582,'old-aw-skill-plan'!A:I,9,FALSE)</f>
        <v>3-2</v>
      </c>
    </row>
    <row r="4583" ht="15.75" customHeight="1">
      <c r="A4583" s="1" t="s">
        <v>95</v>
      </c>
      <c r="B4583" s="1" t="s">
        <v>47</v>
      </c>
      <c r="C4583" s="1" t="s">
        <v>11</v>
      </c>
      <c r="D4583" s="5">
        <v>45271.0</v>
      </c>
      <c r="G4583" s="1">
        <f>VLOOKUP(B4583,'old-aw-skill-plan'!A:I,7,FALSE)</f>
        <v>3</v>
      </c>
      <c r="H4583" s="1" t="str">
        <f>VLOOKUP(B4583,'old-aw-skill-plan'!A:I,9,FALSE)</f>
        <v>3-2</v>
      </c>
    </row>
    <row r="4584" ht="15.75" customHeight="1">
      <c r="A4584" s="1" t="s">
        <v>214</v>
      </c>
      <c r="B4584" s="1" t="s">
        <v>30</v>
      </c>
      <c r="C4584" s="1" t="s">
        <v>11</v>
      </c>
      <c r="D4584" s="5">
        <v>45271.0</v>
      </c>
      <c r="G4584" s="1">
        <f>VLOOKUP(B4584,'old-aw-skill-plan'!A:I,7,FALSE)</f>
        <v>3</v>
      </c>
      <c r="H4584" s="1" t="str">
        <f>VLOOKUP(B4584,'old-aw-skill-plan'!A:I,9,FALSE)</f>
        <v>3-3</v>
      </c>
    </row>
    <row r="4585" ht="15.75" customHeight="1">
      <c r="A4585" s="1" t="s">
        <v>197</v>
      </c>
      <c r="B4585" s="1" t="s">
        <v>21</v>
      </c>
      <c r="C4585" s="1" t="s">
        <v>11</v>
      </c>
      <c r="D4585" s="5">
        <v>45271.0</v>
      </c>
      <c r="G4585" s="1">
        <f>VLOOKUP(B4585,'old-aw-skill-plan'!A:I,7,FALSE)</f>
        <v>4</v>
      </c>
      <c r="H4585" s="1" t="str">
        <f>VLOOKUP(B4585,'old-aw-skill-plan'!A:I,9,FALSE)</f>
        <v>4-6</v>
      </c>
    </row>
    <row r="4586" ht="15.75" customHeight="1">
      <c r="A4586" s="1" t="s">
        <v>197</v>
      </c>
      <c r="B4586" s="1" t="s">
        <v>309</v>
      </c>
      <c r="C4586" s="1" t="s">
        <v>11</v>
      </c>
      <c r="D4586" s="5">
        <v>45271.0</v>
      </c>
      <c r="G4586" s="1">
        <f>VLOOKUP(B4586,'old-aw-skill-plan'!A:I,7,FALSE)</f>
        <v>4</v>
      </c>
      <c r="H4586" s="1" t="str">
        <f>VLOOKUP(B4586,'old-aw-skill-plan'!A:I,9,FALSE)</f>
        <v>4-1</v>
      </c>
    </row>
    <row r="4587" ht="15.75" customHeight="1">
      <c r="A4587" s="1" t="s">
        <v>373</v>
      </c>
      <c r="B4587" s="1" t="s">
        <v>47</v>
      </c>
      <c r="C4587" s="1" t="s">
        <v>11</v>
      </c>
      <c r="D4587" s="5">
        <v>45271.0</v>
      </c>
      <c r="G4587" s="1">
        <f>VLOOKUP(B4587,'old-aw-skill-plan'!A:I,7,FALSE)</f>
        <v>3</v>
      </c>
      <c r="H4587" s="1" t="str">
        <f>VLOOKUP(B4587,'old-aw-skill-plan'!A:I,9,FALSE)</f>
        <v>3-2</v>
      </c>
    </row>
    <row r="4588" ht="15.75" customHeight="1">
      <c r="A4588" s="1" t="s">
        <v>269</v>
      </c>
      <c r="B4588" s="1" t="s">
        <v>28</v>
      </c>
      <c r="C4588" s="1" t="s">
        <v>11</v>
      </c>
      <c r="D4588" s="5">
        <v>45271.0</v>
      </c>
      <c r="G4588" s="1">
        <f>VLOOKUP(B4588,'old-aw-skill-plan'!A:I,7,FALSE)</f>
        <v>3</v>
      </c>
      <c r="H4588" s="1" t="str">
        <f>VLOOKUP(B4588,'old-aw-skill-plan'!A:I,9,FALSE)</f>
        <v>3-4</v>
      </c>
    </row>
    <row r="4589" ht="15.75" customHeight="1">
      <c r="A4589" s="1" t="s">
        <v>463</v>
      </c>
      <c r="B4589" s="1" t="s">
        <v>44</v>
      </c>
      <c r="C4589" s="1" t="s">
        <v>11</v>
      </c>
      <c r="D4589" s="5">
        <v>45271.0</v>
      </c>
      <c r="G4589" s="1">
        <f>VLOOKUP(B4589,'old-aw-skill-plan'!A:I,7,FALSE)</f>
        <v>5</v>
      </c>
      <c r="H4589" s="1" t="str">
        <f>VLOOKUP(B4589,'old-aw-skill-plan'!A:I,9,FALSE)</f>
        <v>5-1</v>
      </c>
    </row>
    <row r="4590" ht="15.75" customHeight="1">
      <c r="A4590" s="1" t="s">
        <v>93</v>
      </c>
      <c r="B4590" s="1" t="s">
        <v>48</v>
      </c>
      <c r="C4590" s="1" t="s">
        <v>11</v>
      </c>
      <c r="D4590" s="5">
        <v>45271.0</v>
      </c>
      <c r="G4590" s="1">
        <f>VLOOKUP(B4590,'old-aw-skill-plan'!A:I,7,FALSE)</f>
        <v>3</v>
      </c>
      <c r="H4590" s="1" t="str">
        <f>VLOOKUP(B4590,'old-aw-skill-plan'!A:I,9,FALSE)</f>
        <v>3-6</v>
      </c>
    </row>
    <row r="4591" ht="15.75" customHeight="1">
      <c r="A4591" s="1" t="s">
        <v>93</v>
      </c>
      <c r="B4591" s="1" t="s">
        <v>446</v>
      </c>
      <c r="C4591" s="1" t="s">
        <v>11</v>
      </c>
      <c r="D4591" s="5">
        <v>45271.0</v>
      </c>
      <c r="G4591" s="1">
        <f>VLOOKUP(B4591,'old-aw-skill-plan'!A:I,7,FALSE)</f>
        <v>3</v>
      </c>
      <c r="H4591" s="1" t="str">
        <f>VLOOKUP(B4591,'old-aw-skill-plan'!A:I,9,FALSE)</f>
        <v>3-6</v>
      </c>
    </row>
    <row r="4592" ht="15.75" customHeight="1">
      <c r="A4592" s="1" t="s">
        <v>94</v>
      </c>
      <c r="B4592" s="1" t="s">
        <v>48</v>
      </c>
      <c r="C4592" s="1" t="s">
        <v>11</v>
      </c>
      <c r="D4592" s="5">
        <v>45271.0</v>
      </c>
      <c r="G4592" s="1">
        <f>VLOOKUP(B4592,'old-aw-skill-plan'!A:I,7,FALSE)</f>
        <v>3</v>
      </c>
      <c r="H4592" s="1" t="str">
        <f>VLOOKUP(B4592,'old-aw-skill-plan'!A:I,9,FALSE)</f>
        <v>3-6</v>
      </c>
    </row>
    <row r="4593" ht="15.75" customHeight="1">
      <c r="A4593" s="1" t="s">
        <v>225</v>
      </c>
      <c r="B4593" s="1" t="s">
        <v>34</v>
      </c>
      <c r="C4593" s="1" t="s">
        <v>11</v>
      </c>
      <c r="D4593" s="5">
        <v>45271.0</v>
      </c>
      <c r="G4593" s="1">
        <f>VLOOKUP(B4593,'old-aw-skill-plan'!A:I,7,FALSE)</f>
        <v>4</v>
      </c>
      <c r="H4593" s="1" t="str">
        <f>VLOOKUP(B4593,'old-aw-skill-plan'!A:I,9,FALSE)</f>
        <v>4-1</v>
      </c>
    </row>
    <row r="4594" ht="15.75" customHeight="1">
      <c r="A4594" s="1" t="s">
        <v>427</v>
      </c>
      <c r="B4594" s="1" t="s">
        <v>352</v>
      </c>
      <c r="C4594" s="1" t="s">
        <v>11</v>
      </c>
      <c r="D4594" s="5">
        <v>45271.0</v>
      </c>
      <c r="G4594" s="1">
        <f>VLOOKUP(B4594,'old-aw-skill-plan'!A:I,7,FALSE)</f>
        <v>3</v>
      </c>
      <c r="H4594" s="1" t="str">
        <f>VLOOKUP(B4594,'old-aw-skill-plan'!A:I,9,FALSE)</f>
        <v>3-2</v>
      </c>
    </row>
    <row r="4595" ht="15.75" customHeight="1">
      <c r="A4595" s="1" t="s">
        <v>110</v>
      </c>
      <c r="B4595" s="1" t="s">
        <v>28</v>
      </c>
      <c r="C4595" s="1" t="s">
        <v>11</v>
      </c>
      <c r="D4595" s="5">
        <v>45271.0</v>
      </c>
      <c r="G4595" s="1">
        <f>VLOOKUP(B4595,'old-aw-skill-plan'!A:I,7,FALSE)</f>
        <v>3</v>
      </c>
      <c r="H4595" s="1" t="str">
        <f>VLOOKUP(B4595,'old-aw-skill-plan'!A:I,9,FALSE)</f>
        <v>3-4</v>
      </c>
    </row>
    <row r="4596" ht="15.75" customHeight="1">
      <c r="A4596" s="1" t="s">
        <v>110</v>
      </c>
      <c r="B4596" s="1" t="s">
        <v>47</v>
      </c>
      <c r="C4596" s="1" t="s">
        <v>11</v>
      </c>
      <c r="D4596" s="5">
        <v>45271.0</v>
      </c>
      <c r="G4596" s="1">
        <f>VLOOKUP(B4596,'old-aw-skill-plan'!A:I,7,FALSE)</f>
        <v>3</v>
      </c>
      <c r="H4596" s="1" t="str">
        <f>VLOOKUP(B4596,'old-aw-skill-plan'!A:I,9,FALSE)</f>
        <v>3-2</v>
      </c>
    </row>
    <row r="4597" ht="15.75" customHeight="1">
      <c r="A4597" s="1" t="s">
        <v>110</v>
      </c>
      <c r="B4597" s="1" t="s">
        <v>48</v>
      </c>
      <c r="C4597" s="1" t="s">
        <v>11</v>
      </c>
      <c r="D4597" s="5">
        <v>45271.0</v>
      </c>
      <c r="G4597" s="1">
        <f>VLOOKUP(B4597,'old-aw-skill-plan'!A:I,7,FALSE)</f>
        <v>3</v>
      </c>
      <c r="H4597" s="1" t="str">
        <f>VLOOKUP(B4597,'old-aw-skill-plan'!A:I,9,FALSE)</f>
        <v>3-6</v>
      </c>
    </row>
    <row r="4598" ht="15.75" customHeight="1">
      <c r="A4598" s="1" t="s">
        <v>110</v>
      </c>
      <c r="B4598" s="1" t="s">
        <v>356</v>
      </c>
      <c r="C4598" s="1" t="s">
        <v>11</v>
      </c>
      <c r="D4598" s="5">
        <v>45271.0</v>
      </c>
      <c r="G4598" s="1">
        <f>VLOOKUP(B4598,'old-aw-skill-plan'!A:I,7,FALSE)</f>
        <v>3</v>
      </c>
      <c r="H4598" s="1" t="str">
        <f>VLOOKUP(B4598,'old-aw-skill-plan'!A:I,9,FALSE)</f>
        <v>3-2</v>
      </c>
    </row>
    <row r="4599" ht="15.75" customHeight="1">
      <c r="A4599" s="1" t="s">
        <v>197</v>
      </c>
      <c r="B4599" s="1" t="s">
        <v>309</v>
      </c>
      <c r="C4599" s="1" t="s">
        <v>11</v>
      </c>
      <c r="D4599" s="5">
        <v>45270.0</v>
      </c>
      <c r="G4599" s="1">
        <f>VLOOKUP(B4599,'old-aw-skill-plan'!A:I,7,FALSE)</f>
        <v>4</v>
      </c>
      <c r="H4599" s="1" t="str">
        <f>VLOOKUP(B4599,'old-aw-skill-plan'!A:I,9,FALSE)</f>
        <v>4-1</v>
      </c>
    </row>
    <row r="4600" ht="15.75" customHeight="1">
      <c r="A4600" s="1" t="s">
        <v>230</v>
      </c>
      <c r="B4600" s="1" t="s">
        <v>307</v>
      </c>
      <c r="C4600" s="1" t="s">
        <v>11</v>
      </c>
      <c r="D4600" s="5">
        <v>45269.0</v>
      </c>
      <c r="G4600" s="1">
        <f>VLOOKUP(B4600,'old-aw-skill-plan'!A:I,7,FALSE)</f>
        <v>3</v>
      </c>
      <c r="H4600" s="1" t="str">
        <f>VLOOKUP(B4600,'old-aw-skill-plan'!A:I,9,FALSE)</f>
        <v>3-1</v>
      </c>
    </row>
    <row r="4601" ht="15.75" customHeight="1">
      <c r="A4601" s="1" t="s">
        <v>464</v>
      </c>
      <c r="B4601" s="1" t="s">
        <v>44</v>
      </c>
      <c r="C4601" s="1" t="s">
        <v>11</v>
      </c>
      <c r="D4601" s="5">
        <v>45268.0</v>
      </c>
      <c r="G4601" s="1">
        <f>VLOOKUP(B4601,'old-aw-skill-plan'!A:I,7,FALSE)</f>
        <v>5</v>
      </c>
      <c r="H4601" s="1" t="str">
        <f>VLOOKUP(B4601,'old-aw-skill-plan'!A:I,9,FALSE)</f>
        <v>5-1</v>
      </c>
    </row>
    <row r="4602" ht="15.75" customHeight="1">
      <c r="A4602" s="1" t="s">
        <v>456</v>
      </c>
      <c r="B4602" s="1" t="s">
        <v>44</v>
      </c>
      <c r="C4602" s="1" t="s">
        <v>11</v>
      </c>
      <c r="D4602" s="5">
        <v>45268.0</v>
      </c>
      <c r="G4602" s="1">
        <f>VLOOKUP(B4602,'old-aw-skill-plan'!A:I,7,FALSE)</f>
        <v>5</v>
      </c>
      <c r="H4602" s="1" t="str">
        <f>VLOOKUP(B4602,'old-aw-skill-plan'!A:I,9,FALSE)</f>
        <v>5-1</v>
      </c>
    </row>
    <row r="4603" ht="15.75" customHeight="1">
      <c r="A4603" s="1" t="s">
        <v>22</v>
      </c>
      <c r="B4603" s="1" t="s">
        <v>61</v>
      </c>
      <c r="C4603" s="1" t="s">
        <v>11</v>
      </c>
      <c r="D4603" s="5">
        <v>45268.0</v>
      </c>
      <c r="G4603" s="1">
        <f>VLOOKUP(B4603,'old-aw-skill-plan'!A:I,7,FALSE)</f>
        <v>4</v>
      </c>
      <c r="H4603" s="1" t="str">
        <f>VLOOKUP(B4603,'old-aw-skill-plan'!A:I,9,FALSE)</f>
        <v>4-4</v>
      </c>
    </row>
    <row r="4604" ht="15.75" customHeight="1">
      <c r="A4604" s="1" t="s">
        <v>24</v>
      </c>
      <c r="B4604" s="1" t="s">
        <v>37</v>
      </c>
      <c r="C4604" s="1" t="s">
        <v>11</v>
      </c>
      <c r="D4604" s="5">
        <v>45268.0</v>
      </c>
      <c r="G4604" s="1">
        <f>VLOOKUP(B4604,'old-aw-skill-plan'!A:I,7,FALSE)</f>
        <v>4</v>
      </c>
      <c r="H4604" s="1" t="str">
        <f>VLOOKUP(B4604,'old-aw-skill-plan'!A:I,9,FALSE)</f>
        <v>4-2</v>
      </c>
    </row>
    <row r="4605" ht="15.75" customHeight="1">
      <c r="A4605" s="1" t="s">
        <v>458</v>
      </c>
      <c r="B4605" s="1" t="s">
        <v>28</v>
      </c>
      <c r="C4605" s="1" t="s">
        <v>11</v>
      </c>
      <c r="D4605" s="5">
        <v>45268.0</v>
      </c>
      <c r="G4605" s="1">
        <f>VLOOKUP(B4605,'old-aw-skill-plan'!A:I,7,FALSE)</f>
        <v>3</v>
      </c>
      <c r="H4605" s="1" t="str">
        <f>VLOOKUP(B4605,'old-aw-skill-plan'!A:I,9,FALSE)</f>
        <v>3-4</v>
      </c>
    </row>
    <row r="4606" ht="15.75" customHeight="1">
      <c r="A4606" s="1" t="s">
        <v>213</v>
      </c>
      <c r="B4606" s="1" t="s">
        <v>47</v>
      </c>
      <c r="C4606" s="1" t="s">
        <v>11</v>
      </c>
      <c r="D4606" s="5">
        <v>45268.0</v>
      </c>
      <c r="G4606" s="1">
        <f>VLOOKUP(B4606,'old-aw-skill-plan'!A:I,7,FALSE)</f>
        <v>3</v>
      </c>
      <c r="H4606" s="1" t="str">
        <f>VLOOKUP(B4606,'old-aw-skill-plan'!A:I,9,FALSE)</f>
        <v>3-2</v>
      </c>
    </row>
    <row r="4607" ht="15.75" customHeight="1">
      <c r="A4607" s="1" t="s">
        <v>199</v>
      </c>
      <c r="B4607" s="1" t="s">
        <v>34</v>
      </c>
      <c r="C4607" s="1" t="s">
        <v>11</v>
      </c>
      <c r="D4607" s="5">
        <v>45268.0</v>
      </c>
      <c r="G4607" s="1">
        <f>VLOOKUP(B4607,'old-aw-skill-plan'!A:I,7,FALSE)</f>
        <v>4</v>
      </c>
      <c r="H4607" s="1" t="str">
        <f>VLOOKUP(B4607,'old-aw-skill-plan'!A:I,9,FALSE)</f>
        <v>4-1</v>
      </c>
    </row>
    <row r="4608" ht="15.75" customHeight="1">
      <c r="A4608" s="1" t="s">
        <v>36</v>
      </c>
      <c r="B4608" s="1" t="s">
        <v>28</v>
      </c>
      <c r="C4608" s="1" t="s">
        <v>11</v>
      </c>
      <c r="D4608" s="5">
        <v>45268.0</v>
      </c>
      <c r="G4608" s="1">
        <f>VLOOKUP(B4608,'old-aw-skill-plan'!A:I,7,FALSE)</f>
        <v>3</v>
      </c>
      <c r="H4608" s="1" t="str">
        <f>VLOOKUP(B4608,'old-aw-skill-plan'!A:I,9,FALSE)</f>
        <v>3-4</v>
      </c>
    </row>
    <row r="4609" ht="15.75" customHeight="1">
      <c r="A4609" s="1" t="s">
        <v>460</v>
      </c>
      <c r="B4609" s="1" t="s">
        <v>44</v>
      </c>
      <c r="C4609" s="1" t="s">
        <v>11</v>
      </c>
      <c r="D4609" s="5">
        <v>45268.0</v>
      </c>
      <c r="G4609" s="1">
        <f>VLOOKUP(B4609,'old-aw-skill-plan'!A:I,7,FALSE)</f>
        <v>5</v>
      </c>
      <c r="H4609" s="1" t="str">
        <f>VLOOKUP(B4609,'old-aw-skill-plan'!A:I,9,FALSE)</f>
        <v>5-1</v>
      </c>
    </row>
    <row r="4610" ht="15.75" customHeight="1">
      <c r="A4610" s="1" t="s">
        <v>469</v>
      </c>
      <c r="B4610" s="1" t="s">
        <v>34</v>
      </c>
      <c r="C4610" s="1" t="s">
        <v>11</v>
      </c>
      <c r="D4610" s="5">
        <v>45268.0</v>
      </c>
      <c r="G4610" s="1">
        <f>VLOOKUP(B4610,'old-aw-skill-plan'!A:I,7,FALSE)</f>
        <v>4</v>
      </c>
      <c r="H4610" s="1" t="str">
        <f>VLOOKUP(B4610,'old-aw-skill-plan'!A:I,9,FALSE)</f>
        <v>4-1</v>
      </c>
    </row>
    <row r="4611" ht="15.75" customHeight="1">
      <c r="A4611" s="1" t="s">
        <v>237</v>
      </c>
      <c r="B4611" s="1" t="s">
        <v>425</v>
      </c>
      <c r="C4611" s="1" t="s">
        <v>11</v>
      </c>
      <c r="D4611" s="5">
        <v>45268.0</v>
      </c>
      <c r="G4611" s="1">
        <f>VLOOKUP(B4611,'old-aw-skill-plan'!A:I,7,FALSE)</f>
        <v>3</v>
      </c>
      <c r="H4611" s="1" t="str">
        <f>VLOOKUP(B4611,'old-aw-skill-plan'!A:I,9,FALSE)</f>
        <v>3-1</v>
      </c>
    </row>
    <row r="4612" ht="15.75" customHeight="1">
      <c r="A4612" s="1" t="s">
        <v>419</v>
      </c>
      <c r="B4612" s="1" t="s">
        <v>44</v>
      </c>
      <c r="C4612" s="1" t="s">
        <v>11</v>
      </c>
      <c r="D4612" s="5">
        <v>45268.0</v>
      </c>
      <c r="G4612" s="1">
        <f>VLOOKUP(B4612,'old-aw-skill-plan'!A:I,7,FALSE)</f>
        <v>5</v>
      </c>
      <c r="H4612" s="1" t="str">
        <f>VLOOKUP(B4612,'old-aw-skill-plan'!A:I,9,FALSE)</f>
        <v>5-1</v>
      </c>
    </row>
    <row r="4613" ht="15.75" customHeight="1">
      <c r="A4613" s="1" t="s">
        <v>473</v>
      </c>
      <c r="B4613" s="1" t="s">
        <v>10</v>
      </c>
      <c r="C4613" s="1" t="s">
        <v>11</v>
      </c>
      <c r="D4613" s="5">
        <v>45268.0</v>
      </c>
      <c r="G4613" s="1">
        <f>VLOOKUP(B4613,'old-aw-skill-plan'!A:I,7,FALSE)</f>
        <v>3</v>
      </c>
      <c r="H4613" s="1" t="str">
        <f>VLOOKUP(B4613,'old-aw-skill-plan'!A:I,9,FALSE)</f>
        <v>3-1</v>
      </c>
    </row>
    <row r="4614" ht="15.75" customHeight="1">
      <c r="A4614" s="1" t="s">
        <v>56</v>
      </c>
      <c r="B4614" s="1" t="s">
        <v>28</v>
      </c>
      <c r="C4614" s="1" t="s">
        <v>11</v>
      </c>
      <c r="D4614" s="5">
        <v>45268.0</v>
      </c>
      <c r="G4614" s="1">
        <f>VLOOKUP(B4614,'old-aw-skill-plan'!A:I,7,FALSE)</f>
        <v>3</v>
      </c>
      <c r="H4614" s="1" t="str">
        <f>VLOOKUP(B4614,'old-aw-skill-plan'!A:I,9,FALSE)</f>
        <v>3-4</v>
      </c>
    </row>
    <row r="4615" ht="15.75" customHeight="1">
      <c r="A4615" s="1" t="s">
        <v>81</v>
      </c>
      <c r="B4615" s="1" t="s">
        <v>433</v>
      </c>
      <c r="C4615" s="1" t="s">
        <v>11</v>
      </c>
      <c r="D4615" s="5">
        <v>45268.0</v>
      </c>
      <c r="G4615" s="1">
        <f>VLOOKUP(B4615,'old-aw-skill-plan'!A:I,7,FALSE)</f>
        <v>4</v>
      </c>
      <c r="H4615" s="1" t="str">
        <f>VLOOKUP(B4615,'old-aw-skill-plan'!A:I,9,FALSE)</f>
        <v>4-4</v>
      </c>
    </row>
    <row r="4616" ht="15.75" customHeight="1">
      <c r="A4616" s="1" t="s">
        <v>81</v>
      </c>
      <c r="B4616" s="1" t="s">
        <v>309</v>
      </c>
      <c r="C4616" s="1" t="s">
        <v>11</v>
      </c>
      <c r="D4616" s="5">
        <v>45268.0</v>
      </c>
      <c r="G4616" s="1">
        <f>VLOOKUP(B4616,'old-aw-skill-plan'!A:I,7,FALSE)</f>
        <v>4</v>
      </c>
      <c r="H4616" s="1" t="str">
        <f>VLOOKUP(B4616,'old-aw-skill-plan'!A:I,9,FALSE)</f>
        <v>4-1</v>
      </c>
    </row>
    <row r="4617" ht="15.75" customHeight="1">
      <c r="A4617" s="1" t="s">
        <v>81</v>
      </c>
      <c r="B4617" s="1" t="s">
        <v>382</v>
      </c>
      <c r="C4617" s="1" t="s">
        <v>11</v>
      </c>
      <c r="D4617" s="5">
        <v>45268.0</v>
      </c>
      <c r="G4617" s="1">
        <f>VLOOKUP(B4617,'old-aw-skill-plan'!A:I,7,FALSE)</f>
        <v>4</v>
      </c>
      <c r="H4617" s="1" t="str">
        <f>VLOOKUP(B4617,'old-aw-skill-plan'!A:I,9,FALSE)</f>
        <v>4-3</v>
      </c>
    </row>
    <row r="4618" ht="15.75" customHeight="1">
      <c r="A4618" s="1" t="s">
        <v>60</v>
      </c>
      <c r="B4618" s="1" t="s">
        <v>34</v>
      </c>
      <c r="C4618" s="1" t="s">
        <v>11</v>
      </c>
      <c r="D4618" s="5">
        <v>45268.0</v>
      </c>
      <c r="G4618" s="1">
        <f>VLOOKUP(B4618,'old-aw-skill-plan'!A:I,7,FALSE)</f>
        <v>4</v>
      </c>
      <c r="H4618" s="1" t="str">
        <f>VLOOKUP(B4618,'old-aw-skill-plan'!A:I,9,FALSE)</f>
        <v>4-1</v>
      </c>
    </row>
    <row r="4619" ht="15.75" customHeight="1">
      <c r="A4619" s="1" t="s">
        <v>428</v>
      </c>
      <c r="B4619" s="1" t="s">
        <v>320</v>
      </c>
      <c r="C4619" s="1" t="s">
        <v>11</v>
      </c>
      <c r="D4619" s="5">
        <v>45268.0</v>
      </c>
      <c r="G4619" s="1">
        <f>VLOOKUP(B4619,'old-aw-skill-plan'!A:I,7,FALSE)</f>
        <v>4</v>
      </c>
      <c r="H4619" s="1" t="str">
        <f>VLOOKUP(B4619,'old-aw-skill-plan'!A:I,9,FALSE)</f>
        <v>4-2</v>
      </c>
    </row>
    <row r="4620" ht="15.75" customHeight="1">
      <c r="A4620" s="1" t="s">
        <v>471</v>
      </c>
      <c r="B4620" s="1" t="s">
        <v>28</v>
      </c>
      <c r="C4620" s="1" t="s">
        <v>11</v>
      </c>
      <c r="D4620" s="5">
        <v>45268.0</v>
      </c>
      <c r="G4620" s="1">
        <f>VLOOKUP(B4620,'old-aw-skill-plan'!A:I,7,FALSE)</f>
        <v>3</v>
      </c>
      <c r="H4620" s="1" t="str">
        <f>VLOOKUP(B4620,'old-aw-skill-plan'!A:I,9,FALSE)</f>
        <v>3-4</v>
      </c>
    </row>
    <row r="4621" ht="15.75" customHeight="1">
      <c r="A4621" s="1" t="s">
        <v>276</v>
      </c>
      <c r="B4621" s="1" t="s">
        <v>25</v>
      </c>
      <c r="C4621" s="1" t="s">
        <v>11</v>
      </c>
      <c r="D4621" s="5">
        <v>45268.0</v>
      </c>
      <c r="G4621" s="1">
        <f>VLOOKUP(B4621,'old-aw-skill-plan'!A:I,7,FALSE)</f>
        <v>5</v>
      </c>
      <c r="H4621" s="1" t="str">
        <f>VLOOKUP(B4621,'old-aw-skill-plan'!A:I,9,FALSE)</f>
        <v>5-4</v>
      </c>
    </row>
    <row r="4622" ht="15.75" customHeight="1">
      <c r="A4622" s="1" t="s">
        <v>276</v>
      </c>
      <c r="B4622" s="1" t="s">
        <v>103</v>
      </c>
      <c r="C4622" s="1" t="s">
        <v>11</v>
      </c>
      <c r="D4622" s="5">
        <v>45268.0</v>
      </c>
      <c r="G4622" s="1">
        <f>VLOOKUP(B4622,'old-aw-skill-plan'!A:I,7,FALSE)</f>
        <v>5</v>
      </c>
      <c r="H4622" s="1" t="str">
        <f>VLOOKUP(B4622,'old-aw-skill-plan'!A:I,9,FALSE)</f>
        <v>5-3</v>
      </c>
    </row>
    <row r="4623" ht="15.75" customHeight="1">
      <c r="A4623" s="1" t="s">
        <v>461</v>
      </c>
      <c r="B4623" s="1" t="s">
        <v>44</v>
      </c>
      <c r="C4623" s="1" t="s">
        <v>11</v>
      </c>
      <c r="D4623" s="5">
        <v>45268.0</v>
      </c>
      <c r="G4623" s="1">
        <f>VLOOKUP(B4623,'old-aw-skill-plan'!A:I,7,FALSE)</f>
        <v>5</v>
      </c>
      <c r="H4623" s="1" t="str">
        <f>VLOOKUP(B4623,'old-aw-skill-plan'!A:I,9,FALSE)</f>
        <v>5-1</v>
      </c>
    </row>
    <row r="4624" ht="15.75" customHeight="1">
      <c r="A4624" s="1" t="s">
        <v>95</v>
      </c>
      <c r="B4624" s="1" t="s">
        <v>47</v>
      </c>
      <c r="C4624" s="1" t="s">
        <v>11</v>
      </c>
      <c r="D4624" s="5">
        <v>45268.0</v>
      </c>
      <c r="G4624" s="1">
        <f>VLOOKUP(B4624,'old-aw-skill-plan'!A:I,7,FALSE)</f>
        <v>3</v>
      </c>
      <c r="H4624" s="1" t="str">
        <f>VLOOKUP(B4624,'old-aw-skill-plan'!A:I,9,FALSE)</f>
        <v>3-2</v>
      </c>
    </row>
    <row r="4625" ht="15.75" customHeight="1">
      <c r="A4625" s="1" t="s">
        <v>214</v>
      </c>
      <c r="B4625" s="1" t="s">
        <v>30</v>
      </c>
      <c r="C4625" s="1" t="s">
        <v>11</v>
      </c>
      <c r="D4625" s="5">
        <v>45268.0</v>
      </c>
      <c r="G4625" s="1">
        <f>VLOOKUP(B4625,'old-aw-skill-plan'!A:I,7,FALSE)</f>
        <v>3</v>
      </c>
      <c r="H4625" s="1" t="str">
        <f>VLOOKUP(B4625,'old-aw-skill-plan'!A:I,9,FALSE)</f>
        <v>3-3</v>
      </c>
    </row>
    <row r="4626" ht="15.75" customHeight="1">
      <c r="A4626" s="1" t="s">
        <v>197</v>
      </c>
      <c r="B4626" s="1" t="s">
        <v>97</v>
      </c>
      <c r="C4626" s="1" t="s">
        <v>11</v>
      </c>
      <c r="D4626" s="5">
        <v>45268.0</v>
      </c>
      <c r="G4626" s="1">
        <f>VLOOKUP(B4626,'old-aw-skill-plan'!A:I,7,FALSE)</f>
        <v>4</v>
      </c>
      <c r="H4626" s="1" t="str">
        <f>VLOOKUP(B4626,'old-aw-skill-plan'!A:I,9,FALSE)</f>
        <v>4-3</v>
      </c>
    </row>
    <row r="4627" ht="15.75" customHeight="1">
      <c r="A4627" s="1" t="s">
        <v>197</v>
      </c>
      <c r="B4627" s="1" t="s">
        <v>309</v>
      </c>
      <c r="C4627" s="1" t="s">
        <v>11</v>
      </c>
      <c r="D4627" s="5">
        <v>45268.0</v>
      </c>
      <c r="G4627" s="1">
        <f>VLOOKUP(B4627,'old-aw-skill-plan'!A:I,7,FALSE)</f>
        <v>4</v>
      </c>
      <c r="H4627" s="1" t="str">
        <f>VLOOKUP(B4627,'old-aw-skill-plan'!A:I,9,FALSE)</f>
        <v>4-1</v>
      </c>
    </row>
    <row r="4628" ht="15.75" customHeight="1">
      <c r="A4628" s="1" t="s">
        <v>373</v>
      </c>
      <c r="B4628" s="1" t="s">
        <v>47</v>
      </c>
      <c r="C4628" s="1" t="s">
        <v>11</v>
      </c>
      <c r="D4628" s="5">
        <v>45268.0</v>
      </c>
      <c r="G4628" s="1">
        <f>VLOOKUP(B4628,'old-aw-skill-plan'!A:I,7,FALSE)</f>
        <v>3</v>
      </c>
      <c r="H4628" s="1" t="str">
        <f>VLOOKUP(B4628,'old-aw-skill-plan'!A:I,9,FALSE)</f>
        <v>3-2</v>
      </c>
    </row>
    <row r="4629" ht="15.75" customHeight="1">
      <c r="A4629" s="1" t="s">
        <v>462</v>
      </c>
      <c r="B4629" s="1" t="s">
        <v>44</v>
      </c>
      <c r="C4629" s="1" t="s">
        <v>11</v>
      </c>
      <c r="D4629" s="5">
        <v>45268.0</v>
      </c>
      <c r="G4629" s="1">
        <f>VLOOKUP(B4629,'old-aw-skill-plan'!A:I,7,FALSE)</f>
        <v>5</v>
      </c>
      <c r="H4629" s="1" t="str">
        <f>VLOOKUP(B4629,'old-aw-skill-plan'!A:I,9,FALSE)</f>
        <v>5-1</v>
      </c>
    </row>
    <row r="4630" ht="15.75" customHeight="1">
      <c r="A4630" s="1" t="s">
        <v>430</v>
      </c>
      <c r="B4630" s="1" t="s">
        <v>10</v>
      </c>
      <c r="C4630" s="1" t="s">
        <v>11</v>
      </c>
      <c r="D4630" s="5">
        <v>45268.0</v>
      </c>
      <c r="G4630" s="1">
        <f>VLOOKUP(B4630,'old-aw-skill-plan'!A:I,7,FALSE)</f>
        <v>3</v>
      </c>
      <c r="H4630" s="1" t="str">
        <f>VLOOKUP(B4630,'old-aw-skill-plan'!A:I,9,FALSE)</f>
        <v>3-1</v>
      </c>
    </row>
    <row r="4631" ht="15.75" customHeight="1">
      <c r="A4631" s="1" t="s">
        <v>269</v>
      </c>
      <c r="B4631" s="1" t="s">
        <v>28</v>
      </c>
      <c r="C4631" s="1" t="s">
        <v>11</v>
      </c>
      <c r="D4631" s="5">
        <v>45268.0</v>
      </c>
      <c r="G4631" s="1">
        <f>VLOOKUP(B4631,'old-aw-skill-plan'!A:I,7,FALSE)</f>
        <v>3</v>
      </c>
      <c r="H4631" s="1" t="str">
        <f>VLOOKUP(B4631,'old-aw-skill-plan'!A:I,9,FALSE)</f>
        <v>3-4</v>
      </c>
    </row>
    <row r="4632" ht="15.75" customHeight="1">
      <c r="A4632" s="1" t="s">
        <v>90</v>
      </c>
      <c r="B4632" s="1" t="s">
        <v>47</v>
      </c>
      <c r="C4632" s="1" t="s">
        <v>11</v>
      </c>
      <c r="D4632" s="5">
        <v>45268.0</v>
      </c>
      <c r="G4632" s="1">
        <f>VLOOKUP(B4632,'old-aw-skill-plan'!A:I,7,FALSE)</f>
        <v>3</v>
      </c>
      <c r="H4632" s="1" t="str">
        <f>VLOOKUP(B4632,'old-aw-skill-plan'!A:I,9,FALSE)</f>
        <v>3-2</v>
      </c>
    </row>
    <row r="4633" ht="15.75" customHeight="1">
      <c r="A4633" s="1" t="s">
        <v>463</v>
      </c>
      <c r="B4633" s="1" t="s">
        <v>44</v>
      </c>
      <c r="C4633" s="1" t="s">
        <v>11</v>
      </c>
      <c r="D4633" s="5">
        <v>45268.0</v>
      </c>
      <c r="G4633" s="1">
        <f>VLOOKUP(B4633,'old-aw-skill-plan'!A:I,7,FALSE)</f>
        <v>5</v>
      </c>
      <c r="H4633" s="1" t="str">
        <f>VLOOKUP(B4633,'old-aw-skill-plan'!A:I,9,FALSE)</f>
        <v>5-1</v>
      </c>
    </row>
    <row r="4634" ht="15.75" customHeight="1">
      <c r="A4634" s="1" t="s">
        <v>93</v>
      </c>
      <c r="B4634" s="1" t="s">
        <v>470</v>
      </c>
      <c r="C4634" s="1" t="s">
        <v>11</v>
      </c>
      <c r="D4634" s="5">
        <v>45268.0</v>
      </c>
      <c r="G4634" s="1" t="str">
        <f>VLOOKUP(B4634,'old-aw-skill-plan'!A:I,7,FALSE)</f>
        <v>#N/A</v>
      </c>
      <c r="H4634" s="1" t="str">
        <f>VLOOKUP(B4634,'old-aw-skill-plan'!A:I,9,FALSE)</f>
        <v>#N/A</v>
      </c>
    </row>
    <row r="4635" ht="15.75" customHeight="1">
      <c r="A4635" s="1" t="s">
        <v>365</v>
      </c>
      <c r="B4635" s="1" t="s">
        <v>34</v>
      </c>
      <c r="C4635" s="1" t="s">
        <v>11</v>
      </c>
      <c r="D4635" s="5">
        <v>45268.0</v>
      </c>
      <c r="G4635" s="1">
        <f>VLOOKUP(B4635,'old-aw-skill-plan'!A:I,7,FALSE)</f>
        <v>4</v>
      </c>
      <c r="H4635" s="1" t="str">
        <f>VLOOKUP(B4635,'old-aw-skill-plan'!A:I,9,FALSE)</f>
        <v>4-1</v>
      </c>
    </row>
    <row r="4636" ht="15.75" customHeight="1">
      <c r="A4636" s="1" t="s">
        <v>365</v>
      </c>
      <c r="B4636" s="1" t="s">
        <v>97</v>
      </c>
      <c r="C4636" s="1" t="s">
        <v>11</v>
      </c>
      <c r="D4636" s="5">
        <v>45268.0</v>
      </c>
      <c r="G4636" s="1">
        <f>VLOOKUP(B4636,'old-aw-skill-plan'!A:I,7,FALSE)</f>
        <v>4</v>
      </c>
      <c r="H4636" s="1" t="str">
        <f>VLOOKUP(B4636,'old-aw-skill-plan'!A:I,9,FALSE)</f>
        <v>4-3</v>
      </c>
    </row>
    <row r="4637" ht="15.75" customHeight="1">
      <c r="A4637" s="1" t="s">
        <v>94</v>
      </c>
      <c r="B4637" s="1" t="s">
        <v>307</v>
      </c>
      <c r="C4637" s="1" t="s">
        <v>11</v>
      </c>
      <c r="D4637" s="5">
        <v>45268.0</v>
      </c>
      <c r="G4637" s="1">
        <f>VLOOKUP(B4637,'old-aw-skill-plan'!A:I,7,FALSE)</f>
        <v>3</v>
      </c>
      <c r="H4637" s="1" t="str">
        <f>VLOOKUP(B4637,'old-aw-skill-plan'!A:I,9,FALSE)</f>
        <v>3-1</v>
      </c>
    </row>
    <row r="4638" ht="15.75" customHeight="1">
      <c r="A4638" s="1" t="s">
        <v>225</v>
      </c>
      <c r="B4638" s="1" t="s">
        <v>34</v>
      </c>
      <c r="C4638" s="1" t="s">
        <v>11</v>
      </c>
      <c r="D4638" s="5">
        <v>45268.0</v>
      </c>
      <c r="G4638" s="1">
        <f>VLOOKUP(B4638,'old-aw-skill-plan'!A:I,7,FALSE)</f>
        <v>4</v>
      </c>
      <c r="H4638" s="1" t="str">
        <f>VLOOKUP(B4638,'old-aw-skill-plan'!A:I,9,FALSE)</f>
        <v>4-1</v>
      </c>
    </row>
    <row r="4639" ht="15.75" customHeight="1">
      <c r="A4639" s="1" t="s">
        <v>427</v>
      </c>
      <c r="B4639" s="1" t="s">
        <v>352</v>
      </c>
      <c r="C4639" s="1" t="s">
        <v>11</v>
      </c>
      <c r="D4639" s="5">
        <v>45268.0</v>
      </c>
      <c r="G4639" s="1">
        <f>VLOOKUP(B4639,'old-aw-skill-plan'!A:I,7,FALSE)</f>
        <v>3</v>
      </c>
      <c r="H4639" s="1" t="str">
        <f>VLOOKUP(B4639,'old-aw-skill-plan'!A:I,9,FALSE)</f>
        <v>3-2</v>
      </c>
    </row>
    <row r="4640" ht="15.75" customHeight="1">
      <c r="A4640" s="1" t="s">
        <v>436</v>
      </c>
      <c r="B4640" s="1" t="s">
        <v>28</v>
      </c>
      <c r="C4640" s="1" t="s">
        <v>11</v>
      </c>
      <c r="D4640" s="5">
        <v>45268.0</v>
      </c>
      <c r="G4640" s="1">
        <f>VLOOKUP(B4640,'old-aw-skill-plan'!A:I,7,FALSE)</f>
        <v>3</v>
      </c>
      <c r="H4640" s="1" t="str">
        <f>VLOOKUP(B4640,'old-aw-skill-plan'!A:I,9,FALSE)</f>
        <v>3-4</v>
      </c>
    </row>
    <row r="4641" ht="15.75" customHeight="1">
      <c r="A4641" s="1" t="s">
        <v>110</v>
      </c>
      <c r="B4641" s="1" t="s">
        <v>47</v>
      </c>
      <c r="C4641" s="1" t="s">
        <v>11</v>
      </c>
      <c r="D4641" s="5">
        <v>45268.0</v>
      </c>
      <c r="G4641" s="1">
        <f>VLOOKUP(B4641,'old-aw-skill-plan'!A:I,7,FALSE)</f>
        <v>3</v>
      </c>
      <c r="H4641" s="1" t="str">
        <f>VLOOKUP(B4641,'old-aw-skill-plan'!A:I,9,FALSE)</f>
        <v>3-2</v>
      </c>
    </row>
    <row r="4642" ht="15.75" customHeight="1">
      <c r="A4642" s="1" t="s">
        <v>464</v>
      </c>
      <c r="B4642" s="1" t="s">
        <v>44</v>
      </c>
      <c r="C4642" s="1" t="s">
        <v>11</v>
      </c>
      <c r="D4642" s="5">
        <v>45267.0</v>
      </c>
      <c r="G4642" s="1">
        <f>VLOOKUP(B4642,'old-aw-skill-plan'!A:I,7,FALSE)</f>
        <v>5</v>
      </c>
      <c r="H4642" s="1" t="str">
        <f>VLOOKUP(B4642,'old-aw-skill-plan'!A:I,9,FALSE)</f>
        <v>5-1</v>
      </c>
    </row>
    <row r="4643" ht="15.75" customHeight="1">
      <c r="A4643" s="1" t="s">
        <v>22</v>
      </c>
      <c r="B4643" s="1" t="s">
        <v>61</v>
      </c>
      <c r="C4643" s="1" t="s">
        <v>11</v>
      </c>
      <c r="D4643" s="5">
        <v>45267.0</v>
      </c>
      <c r="G4643" s="1">
        <f>VLOOKUP(B4643,'old-aw-skill-plan'!A:I,7,FALSE)</f>
        <v>4</v>
      </c>
      <c r="H4643" s="1" t="str">
        <f>VLOOKUP(B4643,'old-aw-skill-plan'!A:I,9,FALSE)</f>
        <v>4-4</v>
      </c>
    </row>
    <row r="4644" ht="15.75" customHeight="1">
      <c r="A4644" s="1" t="s">
        <v>474</v>
      </c>
      <c r="B4644" s="1" t="s">
        <v>10</v>
      </c>
      <c r="C4644" s="1" t="s">
        <v>11</v>
      </c>
      <c r="D4644" s="5">
        <v>45267.0</v>
      </c>
      <c r="G4644" s="1">
        <f>VLOOKUP(B4644,'old-aw-skill-plan'!A:I,7,FALSE)</f>
        <v>3</v>
      </c>
      <c r="H4644" s="1" t="str">
        <f>VLOOKUP(B4644,'old-aw-skill-plan'!A:I,9,FALSE)</f>
        <v>3-1</v>
      </c>
    </row>
    <row r="4645" ht="15.75" customHeight="1">
      <c r="A4645" s="1" t="s">
        <v>24</v>
      </c>
      <c r="B4645" s="1" t="s">
        <v>37</v>
      </c>
      <c r="C4645" s="1" t="s">
        <v>11</v>
      </c>
      <c r="D4645" s="5">
        <v>45267.0</v>
      </c>
      <c r="G4645" s="1">
        <f>VLOOKUP(B4645,'old-aw-skill-plan'!A:I,7,FALSE)</f>
        <v>4</v>
      </c>
      <c r="H4645" s="1" t="str">
        <f>VLOOKUP(B4645,'old-aw-skill-plan'!A:I,9,FALSE)</f>
        <v>4-2</v>
      </c>
    </row>
    <row r="4646" ht="15.75" customHeight="1">
      <c r="A4646" s="1" t="s">
        <v>458</v>
      </c>
      <c r="B4646" s="1" t="s">
        <v>28</v>
      </c>
      <c r="C4646" s="1" t="s">
        <v>11</v>
      </c>
      <c r="D4646" s="5">
        <v>45267.0</v>
      </c>
      <c r="G4646" s="1">
        <f>VLOOKUP(B4646,'old-aw-skill-plan'!A:I,7,FALSE)</f>
        <v>3</v>
      </c>
      <c r="H4646" s="1" t="str">
        <f>VLOOKUP(B4646,'old-aw-skill-plan'!A:I,9,FALSE)</f>
        <v>3-4</v>
      </c>
    </row>
    <row r="4647" ht="15.75" customHeight="1">
      <c r="A4647" s="1" t="s">
        <v>434</v>
      </c>
      <c r="B4647" s="1" t="s">
        <v>320</v>
      </c>
      <c r="C4647" s="1" t="s">
        <v>11</v>
      </c>
      <c r="D4647" s="5">
        <v>45267.0</v>
      </c>
      <c r="G4647" s="1">
        <f>VLOOKUP(B4647,'old-aw-skill-plan'!A:I,7,FALSE)</f>
        <v>4</v>
      </c>
      <c r="H4647" s="1" t="str">
        <f>VLOOKUP(B4647,'old-aw-skill-plan'!A:I,9,FALSE)</f>
        <v>4-2</v>
      </c>
    </row>
    <row r="4648" ht="15.75" customHeight="1">
      <c r="A4648" s="1" t="s">
        <v>213</v>
      </c>
      <c r="B4648" s="1" t="s">
        <v>47</v>
      </c>
      <c r="C4648" s="1" t="s">
        <v>11</v>
      </c>
      <c r="D4648" s="5">
        <v>45267.0</v>
      </c>
      <c r="G4648" s="1">
        <f>VLOOKUP(B4648,'old-aw-skill-plan'!A:I,7,FALSE)</f>
        <v>3</v>
      </c>
      <c r="H4648" s="1" t="str">
        <f>VLOOKUP(B4648,'old-aw-skill-plan'!A:I,9,FALSE)</f>
        <v>3-2</v>
      </c>
    </row>
    <row r="4649" ht="15.75" customHeight="1">
      <c r="A4649" s="1" t="s">
        <v>199</v>
      </c>
      <c r="B4649" s="1" t="s">
        <v>34</v>
      </c>
      <c r="C4649" s="1" t="s">
        <v>11</v>
      </c>
      <c r="D4649" s="5">
        <v>45267.0</v>
      </c>
      <c r="G4649" s="1">
        <f>VLOOKUP(B4649,'old-aw-skill-plan'!A:I,7,FALSE)</f>
        <v>4</v>
      </c>
      <c r="H4649" s="1" t="str">
        <f>VLOOKUP(B4649,'old-aw-skill-plan'!A:I,9,FALSE)</f>
        <v>4-1</v>
      </c>
    </row>
    <row r="4650" ht="15.75" customHeight="1">
      <c r="A4650" s="1" t="s">
        <v>36</v>
      </c>
      <c r="B4650" s="1" t="s">
        <v>28</v>
      </c>
      <c r="C4650" s="1" t="s">
        <v>11</v>
      </c>
      <c r="D4650" s="5">
        <v>45267.0</v>
      </c>
      <c r="G4650" s="1">
        <f>VLOOKUP(B4650,'old-aw-skill-plan'!A:I,7,FALSE)</f>
        <v>3</v>
      </c>
      <c r="H4650" s="1" t="str">
        <f>VLOOKUP(B4650,'old-aw-skill-plan'!A:I,9,FALSE)</f>
        <v>3-4</v>
      </c>
    </row>
    <row r="4651" ht="15.75" customHeight="1">
      <c r="A4651" s="1" t="s">
        <v>36</v>
      </c>
      <c r="B4651" s="1" t="s">
        <v>111</v>
      </c>
      <c r="C4651" s="1" t="s">
        <v>11</v>
      </c>
      <c r="D4651" s="5">
        <v>45267.0</v>
      </c>
      <c r="G4651" s="1" t="str">
        <f>VLOOKUP(B4651,'old-aw-skill-plan'!A:I,7,FALSE)</f>
        <v>#N/A</v>
      </c>
      <c r="H4651" s="1" t="str">
        <f>VLOOKUP(B4651,'old-aw-skill-plan'!A:I,9,FALSE)</f>
        <v>#N/A</v>
      </c>
    </row>
    <row r="4652" ht="15.75" customHeight="1">
      <c r="A4652" s="1" t="s">
        <v>273</v>
      </c>
      <c r="B4652" s="1" t="s">
        <v>47</v>
      </c>
      <c r="C4652" s="1" t="s">
        <v>11</v>
      </c>
      <c r="D4652" s="5">
        <v>45267.0</v>
      </c>
      <c r="G4652" s="1">
        <f>VLOOKUP(B4652,'old-aw-skill-plan'!A:I,7,FALSE)</f>
        <v>3</v>
      </c>
      <c r="H4652" s="1" t="str">
        <f>VLOOKUP(B4652,'old-aw-skill-plan'!A:I,9,FALSE)</f>
        <v>3-2</v>
      </c>
    </row>
    <row r="4653" ht="15.75" customHeight="1">
      <c r="A4653" s="1" t="s">
        <v>469</v>
      </c>
      <c r="B4653" s="1" t="s">
        <v>34</v>
      </c>
      <c r="C4653" s="1" t="s">
        <v>11</v>
      </c>
      <c r="D4653" s="5">
        <v>45267.0</v>
      </c>
      <c r="G4653" s="1">
        <f>VLOOKUP(B4653,'old-aw-skill-plan'!A:I,7,FALSE)</f>
        <v>4</v>
      </c>
      <c r="H4653" s="1" t="str">
        <f>VLOOKUP(B4653,'old-aw-skill-plan'!A:I,9,FALSE)</f>
        <v>4-1</v>
      </c>
    </row>
    <row r="4654" ht="15.75" customHeight="1">
      <c r="A4654" s="1" t="s">
        <v>237</v>
      </c>
      <c r="B4654" s="1" t="s">
        <v>425</v>
      </c>
      <c r="C4654" s="1" t="s">
        <v>11</v>
      </c>
      <c r="D4654" s="5">
        <v>45267.0</v>
      </c>
      <c r="G4654" s="1">
        <f>VLOOKUP(B4654,'old-aw-skill-plan'!A:I,7,FALSE)</f>
        <v>3</v>
      </c>
      <c r="H4654" s="1" t="str">
        <f>VLOOKUP(B4654,'old-aw-skill-plan'!A:I,9,FALSE)</f>
        <v>3-1</v>
      </c>
    </row>
    <row r="4655" ht="15.75" customHeight="1">
      <c r="A4655" s="1" t="s">
        <v>419</v>
      </c>
      <c r="B4655" s="1" t="s">
        <v>44</v>
      </c>
      <c r="C4655" s="1" t="s">
        <v>11</v>
      </c>
      <c r="D4655" s="5">
        <v>45267.0</v>
      </c>
      <c r="G4655" s="1">
        <f>VLOOKUP(B4655,'old-aw-skill-plan'!A:I,7,FALSE)</f>
        <v>5</v>
      </c>
      <c r="H4655" s="1" t="str">
        <f>VLOOKUP(B4655,'old-aw-skill-plan'!A:I,9,FALSE)</f>
        <v>5-1</v>
      </c>
    </row>
    <row r="4656" ht="15.75" customHeight="1">
      <c r="A4656" s="1" t="s">
        <v>473</v>
      </c>
      <c r="B4656" s="1" t="s">
        <v>10</v>
      </c>
      <c r="C4656" s="1" t="s">
        <v>11</v>
      </c>
      <c r="D4656" s="5">
        <v>45267.0</v>
      </c>
      <c r="G4656" s="1">
        <f>VLOOKUP(B4656,'old-aw-skill-plan'!A:I,7,FALSE)</f>
        <v>3</v>
      </c>
      <c r="H4656" s="1" t="str">
        <f>VLOOKUP(B4656,'old-aw-skill-plan'!A:I,9,FALSE)</f>
        <v>3-1</v>
      </c>
    </row>
    <row r="4657" ht="15.75" customHeight="1">
      <c r="A4657" s="1" t="s">
        <v>56</v>
      </c>
      <c r="B4657" s="1" t="s">
        <v>28</v>
      </c>
      <c r="C4657" s="1" t="s">
        <v>11</v>
      </c>
      <c r="D4657" s="5">
        <v>45267.0</v>
      </c>
      <c r="G4657" s="1">
        <f>VLOOKUP(B4657,'old-aw-skill-plan'!A:I,7,FALSE)</f>
        <v>3</v>
      </c>
      <c r="H4657" s="1" t="str">
        <f>VLOOKUP(B4657,'old-aw-skill-plan'!A:I,9,FALSE)</f>
        <v>3-4</v>
      </c>
    </row>
    <row r="4658" ht="15.75" customHeight="1">
      <c r="A4658" s="1" t="s">
        <v>81</v>
      </c>
      <c r="B4658" s="1" t="s">
        <v>309</v>
      </c>
      <c r="C4658" s="1" t="s">
        <v>11</v>
      </c>
      <c r="D4658" s="5">
        <v>45267.0</v>
      </c>
      <c r="G4658" s="1">
        <f>VLOOKUP(B4658,'old-aw-skill-plan'!A:I,7,FALSE)</f>
        <v>4</v>
      </c>
      <c r="H4658" s="1" t="str">
        <f>VLOOKUP(B4658,'old-aw-skill-plan'!A:I,9,FALSE)</f>
        <v>4-1</v>
      </c>
    </row>
    <row r="4659" ht="15.75" customHeight="1">
      <c r="A4659" s="1" t="s">
        <v>81</v>
      </c>
      <c r="B4659" s="1" t="s">
        <v>320</v>
      </c>
      <c r="C4659" s="1" t="s">
        <v>11</v>
      </c>
      <c r="D4659" s="5">
        <v>45267.0</v>
      </c>
      <c r="G4659" s="1">
        <f>VLOOKUP(B4659,'old-aw-skill-plan'!A:I,7,FALSE)</f>
        <v>4</v>
      </c>
      <c r="H4659" s="1" t="str">
        <f>VLOOKUP(B4659,'old-aw-skill-plan'!A:I,9,FALSE)</f>
        <v>4-2</v>
      </c>
    </row>
    <row r="4660" ht="15.75" customHeight="1">
      <c r="A4660" s="1" t="s">
        <v>429</v>
      </c>
      <c r="B4660" s="1" t="s">
        <v>37</v>
      </c>
      <c r="C4660" s="1" t="s">
        <v>11</v>
      </c>
      <c r="D4660" s="5">
        <v>45267.0</v>
      </c>
      <c r="G4660" s="1">
        <f>VLOOKUP(B4660,'old-aw-skill-plan'!A:I,7,FALSE)</f>
        <v>4</v>
      </c>
      <c r="H4660" s="1" t="str">
        <f>VLOOKUP(B4660,'old-aw-skill-plan'!A:I,9,FALSE)</f>
        <v>4-2</v>
      </c>
    </row>
    <row r="4661" ht="15.75" customHeight="1">
      <c r="A4661" s="1" t="s">
        <v>421</v>
      </c>
      <c r="B4661" s="1" t="s">
        <v>44</v>
      </c>
      <c r="C4661" s="1" t="s">
        <v>11</v>
      </c>
      <c r="D4661" s="5">
        <v>45267.0</v>
      </c>
      <c r="G4661" s="1">
        <f>VLOOKUP(B4661,'old-aw-skill-plan'!A:I,7,FALSE)</f>
        <v>5</v>
      </c>
      <c r="H4661" s="1" t="str">
        <f>VLOOKUP(B4661,'old-aw-skill-plan'!A:I,9,FALSE)</f>
        <v>5-1</v>
      </c>
    </row>
    <row r="4662" ht="15.75" customHeight="1">
      <c r="A4662" s="1" t="s">
        <v>230</v>
      </c>
      <c r="B4662" s="1" t="s">
        <v>28</v>
      </c>
      <c r="C4662" s="1" t="s">
        <v>11</v>
      </c>
      <c r="D4662" s="5">
        <v>45267.0</v>
      </c>
      <c r="G4662" s="1">
        <f>VLOOKUP(B4662,'old-aw-skill-plan'!A:I,7,FALSE)</f>
        <v>3</v>
      </c>
      <c r="H4662" s="1" t="str">
        <f>VLOOKUP(B4662,'old-aw-skill-plan'!A:I,9,FALSE)</f>
        <v>3-4</v>
      </c>
    </row>
    <row r="4663" ht="15.75" customHeight="1">
      <c r="A4663" s="1" t="s">
        <v>230</v>
      </c>
      <c r="B4663" s="1" t="s">
        <v>307</v>
      </c>
      <c r="C4663" s="1" t="s">
        <v>11</v>
      </c>
      <c r="D4663" s="5">
        <v>45267.0</v>
      </c>
      <c r="G4663" s="1">
        <f>VLOOKUP(B4663,'old-aw-skill-plan'!A:I,7,FALSE)</f>
        <v>3</v>
      </c>
      <c r="H4663" s="1" t="str">
        <f>VLOOKUP(B4663,'old-aw-skill-plan'!A:I,9,FALSE)</f>
        <v>3-1</v>
      </c>
    </row>
    <row r="4664" ht="15.75" customHeight="1">
      <c r="A4664" s="1" t="s">
        <v>428</v>
      </c>
      <c r="B4664" s="1" t="s">
        <v>320</v>
      </c>
      <c r="C4664" s="1" t="s">
        <v>11</v>
      </c>
      <c r="D4664" s="5">
        <v>45267.0</v>
      </c>
      <c r="G4664" s="1">
        <f>VLOOKUP(B4664,'old-aw-skill-plan'!A:I,7,FALSE)</f>
        <v>4</v>
      </c>
      <c r="H4664" s="1" t="str">
        <f>VLOOKUP(B4664,'old-aw-skill-plan'!A:I,9,FALSE)</f>
        <v>4-2</v>
      </c>
    </row>
    <row r="4665" ht="15.75" customHeight="1">
      <c r="A4665" s="1" t="s">
        <v>420</v>
      </c>
      <c r="B4665" s="1" t="s">
        <v>30</v>
      </c>
      <c r="C4665" s="1" t="s">
        <v>11</v>
      </c>
      <c r="D4665" s="5">
        <v>45267.0</v>
      </c>
      <c r="G4665" s="1">
        <f>VLOOKUP(B4665,'old-aw-skill-plan'!A:I,7,FALSE)</f>
        <v>3</v>
      </c>
      <c r="H4665" s="1" t="str">
        <f>VLOOKUP(B4665,'old-aw-skill-plan'!A:I,9,FALSE)</f>
        <v>3-3</v>
      </c>
    </row>
    <row r="4666" ht="15.75" customHeight="1">
      <c r="A4666" s="1" t="s">
        <v>420</v>
      </c>
      <c r="B4666" s="1" t="s">
        <v>352</v>
      </c>
      <c r="C4666" s="1" t="s">
        <v>11</v>
      </c>
      <c r="D4666" s="5">
        <v>45267.0</v>
      </c>
      <c r="G4666" s="1">
        <f>VLOOKUP(B4666,'old-aw-skill-plan'!A:I,7,FALSE)</f>
        <v>3</v>
      </c>
      <c r="H4666" s="1" t="str">
        <f>VLOOKUP(B4666,'old-aw-skill-plan'!A:I,9,FALSE)</f>
        <v>3-2</v>
      </c>
    </row>
    <row r="4667" ht="15.75" customHeight="1">
      <c r="A4667" s="1" t="s">
        <v>420</v>
      </c>
      <c r="B4667" s="1" t="s">
        <v>466</v>
      </c>
      <c r="C4667" s="1" t="s">
        <v>11</v>
      </c>
      <c r="D4667" s="5">
        <v>45267.0</v>
      </c>
      <c r="G4667" s="1" t="str">
        <f>VLOOKUP(B4667,'old-aw-skill-plan'!A:I,7,FALSE)</f>
        <v>#N/A</v>
      </c>
      <c r="H4667" s="1" t="str">
        <f>VLOOKUP(B4667,'old-aw-skill-plan'!A:I,9,FALSE)</f>
        <v>#N/A</v>
      </c>
    </row>
    <row r="4668" ht="15.75" customHeight="1">
      <c r="A4668" s="1" t="s">
        <v>471</v>
      </c>
      <c r="B4668" s="1" t="s">
        <v>28</v>
      </c>
      <c r="C4668" s="1" t="s">
        <v>11</v>
      </c>
      <c r="D4668" s="5">
        <v>45267.0</v>
      </c>
      <c r="G4668" s="1">
        <f>VLOOKUP(B4668,'old-aw-skill-plan'!A:I,7,FALSE)</f>
        <v>3</v>
      </c>
      <c r="H4668" s="1" t="str">
        <f>VLOOKUP(B4668,'old-aw-skill-plan'!A:I,9,FALSE)</f>
        <v>3-4</v>
      </c>
    </row>
    <row r="4669" ht="15.75" customHeight="1">
      <c r="A4669" s="1" t="s">
        <v>461</v>
      </c>
      <c r="B4669" s="1" t="s">
        <v>44</v>
      </c>
      <c r="C4669" s="1" t="s">
        <v>11</v>
      </c>
      <c r="D4669" s="5">
        <v>45267.0</v>
      </c>
      <c r="G4669" s="1">
        <f>VLOOKUP(B4669,'old-aw-skill-plan'!A:I,7,FALSE)</f>
        <v>5</v>
      </c>
      <c r="H4669" s="1" t="str">
        <f>VLOOKUP(B4669,'old-aw-skill-plan'!A:I,9,FALSE)</f>
        <v>5-1</v>
      </c>
    </row>
    <row r="4670" ht="15.75" customHeight="1">
      <c r="A4670" s="1" t="s">
        <v>214</v>
      </c>
      <c r="B4670" s="1" t="s">
        <v>30</v>
      </c>
      <c r="C4670" s="1" t="s">
        <v>11</v>
      </c>
      <c r="D4670" s="5">
        <v>45267.0</v>
      </c>
      <c r="G4670" s="1">
        <f>VLOOKUP(B4670,'old-aw-skill-plan'!A:I,7,FALSE)</f>
        <v>3</v>
      </c>
      <c r="H4670" s="1" t="str">
        <f>VLOOKUP(B4670,'old-aw-skill-plan'!A:I,9,FALSE)</f>
        <v>3-3</v>
      </c>
    </row>
    <row r="4671" ht="15.75" customHeight="1">
      <c r="A4671" s="1" t="s">
        <v>197</v>
      </c>
      <c r="B4671" s="1" t="s">
        <v>309</v>
      </c>
      <c r="C4671" s="1" t="s">
        <v>11</v>
      </c>
      <c r="D4671" s="5">
        <v>45267.0</v>
      </c>
      <c r="G4671" s="1">
        <f>VLOOKUP(B4671,'old-aw-skill-plan'!A:I,7,FALSE)</f>
        <v>4</v>
      </c>
      <c r="H4671" s="1" t="str">
        <f>VLOOKUP(B4671,'old-aw-skill-plan'!A:I,9,FALSE)</f>
        <v>4-1</v>
      </c>
    </row>
    <row r="4672" ht="15.75" customHeight="1">
      <c r="A4672" s="1" t="s">
        <v>373</v>
      </c>
      <c r="B4672" s="1" t="s">
        <v>47</v>
      </c>
      <c r="C4672" s="1" t="s">
        <v>11</v>
      </c>
      <c r="D4672" s="5">
        <v>45267.0</v>
      </c>
      <c r="G4672" s="1">
        <f>VLOOKUP(B4672,'old-aw-skill-plan'!A:I,7,FALSE)</f>
        <v>3</v>
      </c>
      <c r="H4672" s="1" t="str">
        <f>VLOOKUP(B4672,'old-aw-skill-plan'!A:I,9,FALSE)</f>
        <v>3-2</v>
      </c>
    </row>
    <row r="4673" ht="15.75" customHeight="1">
      <c r="A4673" s="1" t="s">
        <v>462</v>
      </c>
      <c r="B4673" s="1" t="s">
        <v>103</v>
      </c>
      <c r="C4673" s="1" t="s">
        <v>11</v>
      </c>
      <c r="D4673" s="5">
        <v>45267.0</v>
      </c>
      <c r="G4673" s="1">
        <f>VLOOKUP(B4673,'old-aw-skill-plan'!A:I,7,FALSE)</f>
        <v>5</v>
      </c>
      <c r="H4673" s="1" t="str">
        <f>VLOOKUP(B4673,'old-aw-skill-plan'!A:I,9,FALSE)</f>
        <v>5-3</v>
      </c>
    </row>
    <row r="4674" ht="15.75" customHeight="1">
      <c r="A4674" s="1" t="s">
        <v>269</v>
      </c>
      <c r="B4674" s="1" t="s">
        <v>28</v>
      </c>
      <c r="C4674" s="1" t="s">
        <v>11</v>
      </c>
      <c r="D4674" s="5">
        <v>45267.0</v>
      </c>
      <c r="G4674" s="1">
        <f>VLOOKUP(B4674,'old-aw-skill-plan'!A:I,7,FALSE)</f>
        <v>3</v>
      </c>
      <c r="H4674" s="1" t="str">
        <f>VLOOKUP(B4674,'old-aw-skill-plan'!A:I,9,FALSE)</f>
        <v>3-4</v>
      </c>
    </row>
    <row r="4675" ht="15.75" customHeight="1">
      <c r="A4675" s="1" t="s">
        <v>265</v>
      </c>
      <c r="B4675" s="1" t="s">
        <v>310</v>
      </c>
      <c r="C4675" s="1" t="s">
        <v>11</v>
      </c>
      <c r="D4675" s="5">
        <v>45267.0</v>
      </c>
      <c r="G4675" s="1" t="str">
        <f>VLOOKUP(B4675,'old-aw-skill-plan'!A:I,7,FALSE)</f>
        <v>#N/A</v>
      </c>
      <c r="H4675" s="1" t="str">
        <f>VLOOKUP(B4675,'old-aw-skill-plan'!A:I,9,FALSE)</f>
        <v>#N/A</v>
      </c>
    </row>
    <row r="4676" ht="15.75" customHeight="1">
      <c r="A4676" s="1" t="s">
        <v>90</v>
      </c>
      <c r="B4676" s="1" t="s">
        <v>47</v>
      </c>
      <c r="C4676" s="1" t="s">
        <v>11</v>
      </c>
      <c r="D4676" s="5">
        <v>45267.0</v>
      </c>
      <c r="G4676" s="1">
        <f>VLOOKUP(B4676,'old-aw-skill-plan'!A:I,7,FALSE)</f>
        <v>3</v>
      </c>
      <c r="H4676" s="1" t="str">
        <f>VLOOKUP(B4676,'old-aw-skill-plan'!A:I,9,FALSE)</f>
        <v>3-2</v>
      </c>
    </row>
    <row r="4677" ht="15.75" customHeight="1">
      <c r="A4677" s="1" t="s">
        <v>463</v>
      </c>
      <c r="B4677" s="1" t="s">
        <v>44</v>
      </c>
      <c r="C4677" s="1" t="s">
        <v>11</v>
      </c>
      <c r="D4677" s="5">
        <v>45267.0</v>
      </c>
      <c r="G4677" s="1">
        <f>VLOOKUP(B4677,'old-aw-skill-plan'!A:I,7,FALSE)</f>
        <v>5</v>
      </c>
      <c r="H4677" s="1" t="str">
        <f>VLOOKUP(B4677,'old-aw-skill-plan'!A:I,9,FALSE)</f>
        <v>5-1</v>
      </c>
    </row>
    <row r="4678" ht="15.75" customHeight="1">
      <c r="A4678" s="1" t="s">
        <v>93</v>
      </c>
      <c r="B4678" s="1" t="s">
        <v>470</v>
      </c>
      <c r="C4678" s="1" t="s">
        <v>11</v>
      </c>
      <c r="D4678" s="5">
        <v>45267.0</v>
      </c>
      <c r="G4678" s="1" t="str">
        <f>VLOOKUP(B4678,'old-aw-skill-plan'!A:I,7,FALSE)</f>
        <v>#N/A</v>
      </c>
      <c r="H4678" s="1" t="str">
        <f>VLOOKUP(B4678,'old-aw-skill-plan'!A:I,9,FALSE)</f>
        <v>#N/A</v>
      </c>
    </row>
    <row r="4679" ht="15.75" customHeight="1">
      <c r="A4679" s="1" t="s">
        <v>365</v>
      </c>
      <c r="B4679" s="1" t="s">
        <v>34</v>
      </c>
      <c r="C4679" s="1" t="s">
        <v>11</v>
      </c>
      <c r="D4679" s="5">
        <v>45267.0</v>
      </c>
      <c r="G4679" s="1">
        <f>VLOOKUP(B4679,'old-aw-skill-plan'!A:I,7,FALSE)</f>
        <v>4</v>
      </c>
      <c r="H4679" s="1" t="str">
        <f>VLOOKUP(B4679,'old-aw-skill-plan'!A:I,9,FALSE)</f>
        <v>4-1</v>
      </c>
    </row>
    <row r="4680" ht="15.75" customHeight="1">
      <c r="A4680" s="1" t="s">
        <v>427</v>
      </c>
      <c r="B4680" s="1" t="s">
        <v>352</v>
      </c>
      <c r="C4680" s="1" t="s">
        <v>11</v>
      </c>
      <c r="D4680" s="5">
        <v>45267.0</v>
      </c>
      <c r="G4680" s="1">
        <f>VLOOKUP(B4680,'old-aw-skill-plan'!A:I,7,FALSE)</f>
        <v>3</v>
      </c>
      <c r="H4680" s="1" t="str">
        <f>VLOOKUP(B4680,'old-aw-skill-plan'!A:I,9,FALSE)</f>
        <v>3-2</v>
      </c>
    </row>
    <row r="4681" ht="15.75" customHeight="1">
      <c r="A4681" s="1" t="s">
        <v>110</v>
      </c>
      <c r="B4681" s="1" t="s">
        <v>47</v>
      </c>
      <c r="C4681" s="1" t="s">
        <v>11</v>
      </c>
      <c r="D4681" s="5">
        <v>45267.0</v>
      </c>
      <c r="G4681" s="1">
        <f>VLOOKUP(B4681,'old-aw-skill-plan'!A:I,7,FALSE)</f>
        <v>3</v>
      </c>
      <c r="H4681" s="1" t="str">
        <f>VLOOKUP(B4681,'old-aw-skill-plan'!A:I,9,FALSE)</f>
        <v>3-2</v>
      </c>
    </row>
    <row r="4682" ht="15.75" customHeight="1">
      <c r="A4682" s="1" t="s">
        <v>464</v>
      </c>
      <c r="B4682" s="1" t="s">
        <v>44</v>
      </c>
      <c r="C4682" s="1" t="s">
        <v>11</v>
      </c>
      <c r="D4682" s="5">
        <v>45266.0</v>
      </c>
      <c r="G4682" s="1">
        <f>VLOOKUP(B4682,'old-aw-skill-plan'!A:I,7,FALSE)</f>
        <v>5</v>
      </c>
      <c r="H4682" s="1" t="str">
        <f>VLOOKUP(B4682,'old-aw-skill-plan'!A:I,9,FALSE)</f>
        <v>5-1</v>
      </c>
    </row>
    <row r="4683" ht="15.75" customHeight="1">
      <c r="A4683" s="1" t="s">
        <v>22</v>
      </c>
      <c r="B4683" s="1" t="s">
        <v>61</v>
      </c>
      <c r="C4683" s="1" t="s">
        <v>11</v>
      </c>
      <c r="D4683" s="5">
        <v>45266.0</v>
      </c>
      <c r="G4683" s="1">
        <f>VLOOKUP(B4683,'old-aw-skill-plan'!A:I,7,FALSE)</f>
        <v>4</v>
      </c>
      <c r="H4683" s="1" t="str">
        <f>VLOOKUP(B4683,'old-aw-skill-plan'!A:I,9,FALSE)</f>
        <v>4-4</v>
      </c>
    </row>
    <row r="4684" ht="15.75" customHeight="1">
      <c r="A4684" s="1" t="s">
        <v>22</v>
      </c>
      <c r="B4684" s="1" t="s">
        <v>99</v>
      </c>
      <c r="C4684" s="1" t="s">
        <v>11</v>
      </c>
      <c r="D4684" s="5">
        <v>45266.0</v>
      </c>
      <c r="G4684" s="1" t="str">
        <f>VLOOKUP(B4684,'old-aw-skill-plan'!A:I,7,FALSE)</f>
        <v>#N/A</v>
      </c>
      <c r="H4684" s="1" t="str">
        <f>VLOOKUP(B4684,'old-aw-skill-plan'!A:I,9,FALSE)</f>
        <v>#N/A</v>
      </c>
    </row>
    <row r="4685" ht="15.75" customHeight="1">
      <c r="A4685" s="1" t="s">
        <v>474</v>
      </c>
      <c r="B4685" s="1" t="s">
        <v>10</v>
      </c>
      <c r="C4685" s="1" t="s">
        <v>11</v>
      </c>
      <c r="D4685" s="5">
        <v>45266.0</v>
      </c>
      <c r="G4685" s="1">
        <f>VLOOKUP(B4685,'old-aw-skill-plan'!A:I,7,FALSE)</f>
        <v>3</v>
      </c>
      <c r="H4685" s="1" t="str">
        <f>VLOOKUP(B4685,'old-aw-skill-plan'!A:I,9,FALSE)</f>
        <v>3-1</v>
      </c>
    </row>
    <row r="4686" ht="15.75" customHeight="1">
      <c r="A4686" s="1" t="s">
        <v>216</v>
      </c>
      <c r="B4686" s="1" t="s">
        <v>34</v>
      </c>
      <c r="C4686" s="1" t="s">
        <v>11</v>
      </c>
      <c r="D4686" s="5">
        <v>45266.0</v>
      </c>
      <c r="G4686" s="1">
        <f>VLOOKUP(B4686,'old-aw-skill-plan'!A:I,7,FALSE)</f>
        <v>4</v>
      </c>
      <c r="H4686" s="1" t="str">
        <f>VLOOKUP(B4686,'old-aw-skill-plan'!A:I,9,FALSE)</f>
        <v>4-1</v>
      </c>
    </row>
    <row r="4687" ht="15.75" customHeight="1">
      <c r="A4687" s="1" t="s">
        <v>24</v>
      </c>
      <c r="B4687" s="1" t="s">
        <v>34</v>
      </c>
      <c r="C4687" s="1" t="s">
        <v>11</v>
      </c>
      <c r="D4687" s="5">
        <v>45266.0</v>
      </c>
      <c r="G4687" s="1">
        <f>VLOOKUP(B4687,'old-aw-skill-plan'!A:I,7,FALSE)</f>
        <v>4</v>
      </c>
      <c r="H4687" s="1" t="str">
        <f>VLOOKUP(B4687,'old-aw-skill-plan'!A:I,9,FALSE)</f>
        <v>4-1</v>
      </c>
    </row>
    <row r="4688" ht="15.75" customHeight="1">
      <c r="A4688" s="1" t="s">
        <v>271</v>
      </c>
      <c r="B4688" s="1" t="s">
        <v>44</v>
      </c>
      <c r="C4688" s="1" t="s">
        <v>11</v>
      </c>
      <c r="D4688" s="5">
        <v>45266.0</v>
      </c>
      <c r="G4688" s="1">
        <f>VLOOKUP(B4688,'old-aw-skill-plan'!A:I,7,FALSE)</f>
        <v>5</v>
      </c>
      <c r="H4688" s="1" t="str">
        <f>VLOOKUP(B4688,'old-aw-skill-plan'!A:I,9,FALSE)</f>
        <v>5-1</v>
      </c>
    </row>
    <row r="4689" ht="15.75" customHeight="1">
      <c r="A4689" s="1" t="s">
        <v>458</v>
      </c>
      <c r="B4689" s="1" t="s">
        <v>30</v>
      </c>
      <c r="C4689" s="1" t="s">
        <v>11</v>
      </c>
      <c r="D4689" s="5">
        <v>45266.0</v>
      </c>
      <c r="G4689" s="1">
        <f>VLOOKUP(B4689,'old-aw-skill-plan'!A:I,7,FALSE)</f>
        <v>3</v>
      </c>
      <c r="H4689" s="1" t="str">
        <f>VLOOKUP(B4689,'old-aw-skill-plan'!A:I,9,FALSE)</f>
        <v>3-3</v>
      </c>
    </row>
    <row r="4690" ht="15.75" customHeight="1">
      <c r="A4690" s="1" t="s">
        <v>213</v>
      </c>
      <c r="B4690" s="1" t="s">
        <v>47</v>
      </c>
      <c r="C4690" s="1" t="s">
        <v>11</v>
      </c>
      <c r="D4690" s="5">
        <v>45266.0</v>
      </c>
      <c r="G4690" s="1">
        <f>VLOOKUP(B4690,'old-aw-skill-plan'!A:I,7,FALSE)</f>
        <v>3</v>
      </c>
      <c r="H4690" s="1" t="str">
        <f>VLOOKUP(B4690,'old-aw-skill-plan'!A:I,9,FALSE)</f>
        <v>3-2</v>
      </c>
    </row>
    <row r="4691" ht="15.75" customHeight="1">
      <c r="A4691" s="1" t="s">
        <v>199</v>
      </c>
      <c r="B4691" s="1" t="s">
        <v>34</v>
      </c>
      <c r="C4691" s="1" t="s">
        <v>11</v>
      </c>
      <c r="D4691" s="5">
        <v>45266.0</v>
      </c>
      <c r="G4691" s="1">
        <f>VLOOKUP(B4691,'old-aw-skill-plan'!A:I,7,FALSE)</f>
        <v>4</v>
      </c>
      <c r="H4691" s="1" t="str">
        <f>VLOOKUP(B4691,'old-aw-skill-plan'!A:I,9,FALSE)</f>
        <v>4-1</v>
      </c>
    </row>
    <row r="4692" ht="15.75" customHeight="1">
      <c r="A4692" s="1" t="s">
        <v>36</v>
      </c>
      <c r="B4692" s="1" t="s">
        <v>28</v>
      </c>
      <c r="C4692" s="1" t="s">
        <v>11</v>
      </c>
      <c r="D4692" s="5">
        <v>45266.0</v>
      </c>
      <c r="G4692" s="1">
        <f>VLOOKUP(B4692,'old-aw-skill-plan'!A:I,7,FALSE)</f>
        <v>3</v>
      </c>
      <c r="H4692" s="1" t="str">
        <f>VLOOKUP(B4692,'old-aw-skill-plan'!A:I,9,FALSE)</f>
        <v>3-4</v>
      </c>
    </row>
    <row r="4693" ht="15.75" customHeight="1">
      <c r="A4693" s="1" t="s">
        <v>469</v>
      </c>
      <c r="B4693" s="1" t="s">
        <v>34</v>
      </c>
      <c r="C4693" s="1" t="s">
        <v>11</v>
      </c>
      <c r="D4693" s="5">
        <v>45266.0</v>
      </c>
      <c r="G4693" s="1">
        <f>VLOOKUP(B4693,'old-aw-skill-plan'!A:I,7,FALSE)</f>
        <v>4</v>
      </c>
      <c r="H4693" s="1" t="str">
        <f>VLOOKUP(B4693,'old-aw-skill-plan'!A:I,9,FALSE)</f>
        <v>4-1</v>
      </c>
    </row>
    <row r="4694" ht="15.75" customHeight="1">
      <c r="A4694" s="1" t="s">
        <v>237</v>
      </c>
      <c r="B4694" s="1" t="s">
        <v>28</v>
      </c>
      <c r="C4694" s="1" t="s">
        <v>11</v>
      </c>
      <c r="D4694" s="5">
        <v>45266.0</v>
      </c>
      <c r="G4694" s="1">
        <f>VLOOKUP(B4694,'old-aw-skill-plan'!A:I,7,FALSE)</f>
        <v>3</v>
      </c>
      <c r="H4694" s="1" t="str">
        <f>VLOOKUP(B4694,'old-aw-skill-plan'!A:I,9,FALSE)</f>
        <v>3-4</v>
      </c>
    </row>
    <row r="4695" ht="15.75" customHeight="1">
      <c r="A4695" s="1" t="s">
        <v>237</v>
      </c>
      <c r="B4695" s="1" t="s">
        <v>47</v>
      </c>
      <c r="C4695" s="1" t="s">
        <v>11</v>
      </c>
      <c r="D4695" s="5">
        <v>45266.0</v>
      </c>
      <c r="G4695" s="1">
        <f>VLOOKUP(B4695,'old-aw-skill-plan'!A:I,7,FALSE)</f>
        <v>3</v>
      </c>
      <c r="H4695" s="1" t="str">
        <f>VLOOKUP(B4695,'old-aw-skill-plan'!A:I,9,FALSE)</f>
        <v>3-2</v>
      </c>
    </row>
    <row r="4696" ht="15.75" customHeight="1">
      <c r="A4696" s="1" t="s">
        <v>237</v>
      </c>
      <c r="B4696" s="1" t="s">
        <v>425</v>
      </c>
      <c r="C4696" s="1" t="s">
        <v>11</v>
      </c>
      <c r="D4696" s="5">
        <v>45266.0</v>
      </c>
      <c r="G4696" s="1">
        <f>VLOOKUP(B4696,'old-aw-skill-plan'!A:I,7,FALSE)</f>
        <v>3</v>
      </c>
      <c r="H4696" s="1" t="str">
        <f>VLOOKUP(B4696,'old-aw-skill-plan'!A:I,9,FALSE)</f>
        <v>3-1</v>
      </c>
    </row>
    <row r="4697" ht="15.75" customHeight="1">
      <c r="A4697" s="1" t="s">
        <v>465</v>
      </c>
      <c r="B4697" s="1" t="s">
        <v>37</v>
      </c>
      <c r="C4697" s="1" t="s">
        <v>11</v>
      </c>
      <c r="D4697" s="5">
        <v>45266.0</v>
      </c>
      <c r="G4697" s="1">
        <f>VLOOKUP(B4697,'old-aw-skill-plan'!A:I,7,FALSE)</f>
        <v>4</v>
      </c>
      <c r="H4697" s="1" t="str">
        <f>VLOOKUP(B4697,'old-aw-skill-plan'!A:I,9,FALSE)</f>
        <v>4-2</v>
      </c>
    </row>
    <row r="4698" ht="15.75" customHeight="1">
      <c r="A4698" s="1" t="s">
        <v>419</v>
      </c>
      <c r="B4698" s="1" t="s">
        <v>44</v>
      </c>
      <c r="C4698" s="1" t="s">
        <v>11</v>
      </c>
      <c r="D4698" s="5">
        <v>45266.0</v>
      </c>
      <c r="G4698" s="1">
        <f>VLOOKUP(B4698,'old-aw-skill-plan'!A:I,7,FALSE)</f>
        <v>5</v>
      </c>
      <c r="H4698" s="1" t="str">
        <f>VLOOKUP(B4698,'old-aw-skill-plan'!A:I,9,FALSE)</f>
        <v>5-1</v>
      </c>
    </row>
    <row r="4699" ht="15.75" customHeight="1">
      <c r="A4699" s="1" t="s">
        <v>459</v>
      </c>
      <c r="B4699" s="1" t="s">
        <v>28</v>
      </c>
      <c r="C4699" s="1" t="s">
        <v>11</v>
      </c>
      <c r="D4699" s="5">
        <v>45266.0</v>
      </c>
      <c r="G4699" s="1">
        <f>VLOOKUP(B4699,'old-aw-skill-plan'!A:I,7,FALSE)</f>
        <v>3</v>
      </c>
      <c r="H4699" s="1" t="str">
        <f>VLOOKUP(B4699,'old-aw-skill-plan'!A:I,9,FALSE)</f>
        <v>3-4</v>
      </c>
    </row>
    <row r="4700" ht="15.75" customHeight="1">
      <c r="A4700" s="1" t="s">
        <v>459</v>
      </c>
      <c r="B4700" s="1" t="s">
        <v>453</v>
      </c>
      <c r="C4700" s="1" t="s">
        <v>11</v>
      </c>
      <c r="D4700" s="5">
        <v>45266.0</v>
      </c>
      <c r="G4700" s="1">
        <f>VLOOKUP(B4700,'old-aw-skill-plan'!A:I,7,FALSE)</f>
        <v>3</v>
      </c>
      <c r="H4700" s="1" t="str">
        <f>VLOOKUP(B4700,'old-aw-skill-plan'!A:I,9,FALSE)</f>
        <v>3-4</v>
      </c>
    </row>
    <row r="4701" ht="15.75" customHeight="1">
      <c r="A4701" s="1" t="s">
        <v>459</v>
      </c>
      <c r="B4701" s="1" t="s">
        <v>467</v>
      </c>
      <c r="C4701" s="1" t="s">
        <v>11</v>
      </c>
      <c r="D4701" s="5">
        <v>45266.0</v>
      </c>
      <c r="G4701" s="1" t="str">
        <f>VLOOKUP(B4701,'old-aw-skill-plan'!A:I,7,FALSE)</f>
        <v>#N/A</v>
      </c>
      <c r="H4701" s="1" t="str">
        <f>VLOOKUP(B4701,'old-aw-skill-plan'!A:I,9,FALSE)</f>
        <v>#N/A</v>
      </c>
    </row>
    <row r="4702" ht="15.75" customHeight="1">
      <c r="A4702" s="1" t="s">
        <v>459</v>
      </c>
      <c r="B4702" s="1" t="s">
        <v>352</v>
      </c>
      <c r="C4702" s="1" t="s">
        <v>11</v>
      </c>
      <c r="D4702" s="5">
        <v>45266.0</v>
      </c>
      <c r="G4702" s="1">
        <f>VLOOKUP(B4702,'old-aw-skill-plan'!A:I,7,FALSE)</f>
        <v>3</v>
      </c>
      <c r="H4702" s="1" t="str">
        <f>VLOOKUP(B4702,'old-aw-skill-plan'!A:I,9,FALSE)</f>
        <v>3-2</v>
      </c>
    </row>
    <row r="4703" ht="15.75" customHeight="1">
      <c r="A4703" s="1" t="s">
        <v>473</v>
      </c>
      <c r="B4703" s="1" t="s">
        <v>10</v>
      </c>
      <c r="C4703" s="1" t="s">
        <v>11</v>
      </c>
      <c r="D4703" s="5">
        <v>45266.0</v>
      </c>
      <c r="G4703" s="1">
        <f>VLOOKUP(B4703,'old-aw-skill-plan'!A:I,7,FALSE)</f>
        <v>3</v>
      </c>
      <c r="H4703" s="1" t="str">
        <f>VLOOKUP(B4703,'old-aw-skill-plan'!A:I,9,FALSE)</f>
        <v>3-1</v>
      </c>
    </row>
    <row r="4704" ht="15.75" customHeight="1">
      <c r="A4704" s="1" t="s">
        <v>56</v>
      </c>
      <c r="B4704" s="1" t="s">
        <v>28</v>
      </c>
      <c r="C4704" s="1" t="s">
        <v>11</v>
      </c>
      <c r="D4704" s="5">
        <v>45266.0</v>
      </c>
      <c r="G4704" s="1">
        <f>VLOOKUP(B4704,'old-aw-skill-plan'!A:I,7,FALSE)</f>
        <v>3</v>
      </c>
      <c r="H4704" s="1" t="str">
        <f>VLOOKUP(B4704,'old-aw-skill-plan'!A:I,9,FALSE)</f>
        <v>3-4</v>
      </c>
    </row>
    <row r="4705" ht="15.75" customHeight="1">
      <c r="A4705" s="1" t="s">
        <v>81</v>
      </c>
      <c r="B4705" s="1" t="s">
        <v>320</v>
      </c>
      <c r="C4705" s="1" t="s">
        <v>11</v>
      </c>
      <c r="D4705" s="5">
        <v>45266.0</v>
      </c>
      <c r="G4705" s="1">
        <f>VLOOKUP(B4705,'old-aw-skill-plan'!A:I,7,FALSE)</f>
        <v>4</v>
      </c>
      <c r="H4705" s="1" t="str">
        <f>VLOOKUP(B4705,'old-aw-skill-plan'!A:I,9,FALSE)</f>
        <v>4-2</v>
      </c>
    </row>
    <row r="4706" ht="15.75" customHeight="1">
      <c r="A4706" s="1" t="s">
        <v>429</v>
      </c>
      <c r="B4706" s="1" t="s">
        <v>97</v>
      </c>
      <c r="C4706" s="1" t="s">
        <v>11</v>
      </c>
      <c r="D4706" s="5">
        <v>45266.0</v>
      </c>
      <c r="G4706" s="1">
        <f>VLOOKUP(B4706,'old-aw-skill-plan'!A:I,7,FALSE)</f>
        <v>4</v>
      </c>
      <c r="H4706" s="1" t="str">
        <f>VLOOKUP(B4706,'old-aw-skill-plan'!A:I,9,FALSE)</f>
        <v>4-3</v>
      </c>
    </row>
    <row r="4707" ht="15.75" customHeight="1">
      <c r="A4707" s="1" t="s">
        <v>429</v>
      </c>
      <c r="B4707" s="1" t="s">
        <v>37</v>
      </c>
      <c r="C4707" s="1" t="s">
        <v>11</v>
      </c>
      <c r="D4707" s="5">
        <v>45266.0</v>
      </c>
      <c r="G4707" s="1">
        <f>VLOOKUP(B4707,'old-aw-skill-plan'!A:I,7,FALSE)</f>
        <v>4</v>
      </c>
      <c r="H4707" s="1" t="str">
        <f>VLOOKUP(B4707,'old-aw-skill-plan'!A:I,9,FALSE)</f>
        <v>4-2</v>
      </c>
    </row>
    <row r="4708" ht="15.75" customHeight="1">
      <c r="A4708" s="1" t="s">
        <v>230</v>
      </c>
      <c r="B4708" s="1" t="s">
        <v>307</v>
      </c>
      <c r="C4708" s="1" t="s">
        <v>11</v>
      </c>
      <c r="D4708" s="5">
        <v>45266.0</v>
      </c>
      <c r="G4708" s="1">
        <f>VLOOKUP(B4708,'old-aw-skill-plan'!A:I,7,FALSE)</f>
        <v>3</v>
      </c>
      <c r="H4708" s="1" t="str">
        <f>VLOOKUP(B4708,'old-aw-skill-plan'!A:I,9,FALSE)</f>
        <v>3-1</v>
      </c>
    </row>
    <row r="4709" ht="15.75" customHeight="1">
      <c r="A4709" s="1" t="s">
        <v>60</v>
      </c>
      <c r="B4709" s="1" t="s">
        <v>34</v>
      </c>
      <c r="C4709" s="1" t="s">
        <v>11</v>
      </c>
      <c r="D4709" s="5">
        <v>45266.0</v>
      </c>
      <c r="G4709" s="1">
        <f>VLOOKUP(B4709,'old-aw-skill-plan'!A:I,7,FALSE)</f>
        <v>4</v>
      </c>
      <c r="H4709" s="1" t="str">
        <f>VLOOKUP(B4709,'old-aw-skill-plan'!A:I,9,FALSE)</f>
        <v>4-1</v>
      </c>
    </row>
    <row r="4710" ht="15.75" customHeight="1">
      <c r="A4710" s="1" t="s">
        <v>428</v>
      </c>
      <c r="B4710" s="1" t="s">
        <v>320</v>
      </c>
      <c r="C4710" s="1" t="s">
        <v>11</v>
      </c>
      <c r="D4710" s="5">
        <v>45266.0</v>
      </c>
      <c r="G4710" s="1">
        <f>VLOOKUP(B4710,'old-aw-skill-plan'!A:I,7,FALSE)</f>
        <v>4</v>
      </c>
      <c r="H4710" s="1" t="str">
        <f>VLOOKUP(B4710,'old-aw-skill-plan'!A:I,9,FALSE)</f>
        <v>4-2</v>
      </c>
    </row>
    <row r="4711" ht="15.75" customHeight="1">
      <c r="A4711" s="1" t="s">
        <v>471</v>
      </c>
      <c r="B4711" s="1" t="s">
        <v>28</v>
      </c>
      <c r="C4711" s="1" t="s">
        <v>11</v>
      </c>
      <c r="D4711" s="5">
        <v>45266.0</v>
      </c>
      <c r="G4711" s="1">
        <f>VLOOKUP(B4711,'old-aw-skill-plan'!A:I,7,FALSE)</f>
        <v>3</v>
      </c>
      <c r="H4711" s="1" t="str">
        <f>VLOOKUP(B4711,'old-aw-skill-plan'!A:I,9,FALSE)</f>
        <v>3-4</v>
      </c>
    </row>
    <row r="4712" ht="15.75" customHeight="1">
      <c r="A4712" s="1" t="s">
        <v>461</v>
      </c>
      <c r="B4712" s="1" t="s">
        <v>44</v>
      </c>
      <c r="C4712" s="1" t="s">
        <v>11</v>
      </c>
      <c r="D4712" s="5">
        <v>45266.0</v>
      </c>
      <c r="G4712" s="1">
        <f>VLOOKUP(B4712,'old-aw-skill-plan'!A:I,7,FALSE)</f>
        <v>5</v>
      </c>
      <c r="H4712" s="1" t="str">
        <f>VLOOKUP(B4712,'old-aw-skill-plan'!A:I,9,FALSE)</f>
        <v>5-1</v>
      </c>
    </row>
    <row r="4713" ht="15.75" customHeight="1">
      <c r="A4713" s="1" t="s">
        <v>95</v>
      </c>
      <c r="B4713" s="1" t="s">
        <v>47</v>
      </c>
      <c r="C4713" s="1" t="s">
        <v>11</v>
      </c>
      <c r="D4713" s="5">
        <v>45266.0</v>
      </c>
      <c r="G4713" s="1">
        <f>VLOOKUP(B4713,'old-aw-skill-plan'!A:I,7,FALSE)</f>
        <v>3</v>
      </c>
      <c r="H4713" s="1" t="str">
        <f>VLOOKUP(B4713,'old-aw-skill-plan'!A:I,9,FALSE)</f>
        <v>3-2</v>
      </c>
    </row>
    <row r="4714" ht="15.75" customHeight="1">
      <c r="A4714" s="1" t="s">
        <v>214</v>
      </c>
      <c r="B4714" s="1" t="s">
        <v>30</v>
      </c>
      <c r="C4714" s="1" t="s">
        <v>11</v>
      </c>
      <c r="D4714" s="5">
        <v>45266.0</v>
      </c>
      <c r="G4714" s="1">
        <f>VLOOKUP(B4714,'old-aw-skill-plan'!A:I,7,FALSE)</f>
        <v>3</v>
      </c>
      <c r="H4714" s="1" t="str">
        <f>VLOOKUP(B4714,'old-aw-skill-plan'!A:I,9,FALSE)</f>
        <v>3-3</v>
      </c>
    </row>
    <row r="4715" ht="15.75" customHeight="1">
      <c r="A4715" s="1" t="s">
        <v>197</v>
      </c>
      <c r="B4715" s="1" t="s">
        <v>309</v>
      </c>
      <c r="C4715" s="1" t="s">
        <v>11</v>
      </c>
      <c r="D4715" s="5">
        <v>45266.0</v>
      </c>
      <c r="G4715" s="1">
        <f>VLOOKUP(B4715,'old-aw-skill-plan'!A:I,7,FALSE)</f>
        <v>4</v>
      </c>
      <c r="H4715" s="1" t="str">
        <f>VLOOKUP(B4715,'old-aw-skill-plan'!A:I,9,FALSE)</f>
        <v>4-1</v>
      </c>
    </row>
    <row r="4716" ht="15.75" customHeight="1">
      <c r="A4716" s="1" t="s">
        <v>373</v>
      </c>
      <c r="B4716" s="1" t="s">
        <v>47</v>
      </c>
      <c r="C4716" s="1" t="s">
        <v>11</v>
      </c>
      <c r="D4716" s="5">
        <v>45266.0</v>
      </c>
      <c r="G4716" s="1">
        <f>VLOOKUP(B4716,'old-aw-skill-plan'!A:I,7,FALSE)</f>
        <v>3</v>
      </c>
      <c r="H4716" s="1" t="str">
        <f>VLOOKUP(B4716,'old-aw-skill-plan'!A:I,9,FALSE)</f>
        <v>3-2</v>
      </c>
    </row>
    <row r="4717" ht="15.75" customHeight="1">
      <c r="A4717" s="1" t="s">
        <v>462</v>
      </c>
      <c r="B4717" s="1" t="s">
        <v>44</v>
      </c>
      <c r="C4717" s="1" t="s">
        <v>11</v>
      </c>
      <c r="D4717" s="5">
        <v>45266.0</v>
      </c>
      <c r="G4717" s="1">
        <f>VLOOKUP(B4717,'old-aw-skill-plan'!A:I,7,FALSE)</f>
        <v>5</v>
      </c>
      <c r="H4717" s="1" t="str">
        <f>VLOOKUP(B4717,'old-aw-skill-plan'!A:I,9,FALSE)</f>
        <v>5-1</v>
      </c>
    </row>
    <row r="4718" ht="15.75" customHeight="1">
      <c r="A4718" s="1" t="s">
        <v>462</v>
      </c>
      <c r="B4718" s="1" t="s">
        <v>103</v>
      </c>
      <c r="C4718" s="1" t="s">
        <v>11</v>
      </c>
      <c r="D4718" s="5">
        <v>45266.0</v>
      </c>
      <c r="G4718" s="1">
        <f>VLOOKUP(B4718,'old-aw-skill-plan'!A:I,7,FALSE)</f>
        <v>5</v>
      </c>
      <c r="H4718" s="1" t="str">
        <f>VLOOKUP(B4718,'old-aw-skill-plan'!A:I,9,FALSE)</f>
        <v>5-3</v>
      </c>
    </row>
    <row r="4719" ht="15.75" customHeight="1">
      <c r="A4719" s="1" t="s">
        <v>462</v>
      </c>
      <c r="B4719" s="1" t="s">
        <v>104</v>
      </c>
      <c r="C4719" s="1" t="s">
        <v>11</v>
      </c>
      <c r="D4719" s="5">
        <v>45266.0</v>
      </c>
      <c r="G4719" s="1">
        <f>VLOOKUP(B4719,'old-aw-skill-plan'!A:I,7,FALSE)</f>
        <v>5</v>
      </c>
      <c r="H4719" s="1" t="str">
        <f>VLOOKUP(B4719,'old-aw-skill-plan'!A:I,9,FALSE)</f>
        <v>5-2</v>
      </c>
    </row>
    <row r="4720" ht="15.75" customHeight="1">
      <c r="A4720" s="1" t="s">
        <v>430</v>
      </c>
      <c r="B4720" s="1" t="s">
        <v>10</v>
      </c>
      <c r="C4720" s="1" t="s">
        <v>11</v>
      </c>
      <c r="D4720" s="5">
        <v>45266.0</v>
      </c>
      <c r="G4720" s="1">
        <f>VLOOKUP(B4720,'old-aw-skill-plan'!A:I,7,FALSE)</f>
        <v>3</v>
      </c>
      <c r="H4720" s="1" t="str">
        <f>VLOOKUP(B4720,'old-aw-skill-plan'!A:I,9,FALSE)</f>
        <v>3-1</v>
      </c>
    </row>
    <row r="4721" ht="15.75" customHeight="1">
      <c r="A4721" s="1" t="s">
        <v>74</v>
      </c>
      <c r="B4721" s="1" t="s">
        <v>25</v>
      </c>
      <c r="C4721" s="1" t="s">
        <v>11</v>
      </c>
      <c r="D4721" s="5">
        <v>45266.0</v>
      </c>
      <c r="G4721" s="1">
        <f>VLOOKUP(B4721,'old-aw-skill-plan'!A:I,7,FALSE)</f>
        <v>5</v>
      </c>
      <c r="H4721" s="1" t="str">
        <f>VLOOKUP(B4721,'old-aw-skill-plan'!A:I,9,FALSE)</f>
        <v>5-4</v>
      </c>
    </row>
    <row r="4722" ht="15.75" customHeight="1">
      <c r="A4722" s="1" t="s">
        <v>265</v>
      </c>
      <c r="B4722" s="1" t="s">
        <v>106</v>
      </c>
      <c r="C4722" s="1" t="s">
        <v>11</v>
      </c>
      <c r="D4722" s="5">
        <v>45266.0</v>
      </c>
      <c r="G4722" s="1" t="str">
        <f>VLOOKUP(B4722,'old-aw-skill-plan'!A:I,7,FALSE)</f>
        <v>#N/A</v>
      </c>
      <c r="H4722" s="1" t="str">
        <f>VLOOKUP(B4722,'old-aw-skill-plan'!A:I,9,FALSE)</f>
        <v>#N/A</v>
      </c>
    </row>
    <row r="4723" ht="15.75" customHeight="1">
      <c r="A4723" s="1" t="s">
        <v>90</v>
      </c>
      <c r="B4723" s="1" t="s">
        <v>47</v>
      </c>
      <c r="C4723" s="1" t="s">
        <v>11</v>
      </c>
      <c r="D4723" s="5">
        <v>45266.0</v>
      </c>
      <c r="G4723" s="1">
        <f>VLOOKUP(B4723,'old-aw-skill-plan'!A:I,7,FALSE)</f>
        <v>3</v>
      </c>
      <c r="H4723" s="1" t="str">
        <f>VLOOKUP(B4723,'old-aw-skill-plan'!A:I,9,FALSE)</f>
        <v>3-2</v>
      </c>
    </row>
    <row r="4724" ht="15.75" customHeight="1">
      <c r="A4724" s="1" t="s">
        <v>463</v>
      </c>
      <c r="B4724" s="1" t="s">
        <v>44</v>
      </c>
      <c r="C4724" s="1" t="s">
        <v>11</v>
      </c>
      <c r="D4724" s="5">
        <v>45266.0</v>
      </c>
      <c r="G4724" s="1">
        <f>VLOOKUP(B4724,'old-aw-skill-plan'!A:I,7,FALSE)</f>
        <v>5</v>
      </c>
      <c r="H4724" s="1" t="str">
        <f>VLOOKUP(B4724,'old-aw-skill-plan'!A:I,9,FALSE)</f>
        <v>5-1</v>
      </c>
    </row>
    <row r="4725" ht="15.75" customHeight="1">
      <c r="A4725" s="1" t="s">
        <v>93</v>
      </c>
      <c r="B4725" s="1" t="s">
        <v>433</v>
      </c>
      <c r="C4725" s="1" t="s">
        <v>11</v>
      </c>
      <c r="D4725" s="5">
        <v>45266.0</v>
      </c>
      <c r="G4725" s="1">
        <f>VLOOKUP(B4725,'old-aw-skill-plan'!A:I,7,FALSE)</f>
        <v>4</v>
      </c>
      <c r="H4725" s="1" t="str">
        <f>VLOOKUP(B4725,'old-aw-skill-plan'!A:I,9,FALSE)</f>
        <v>4-4</v>
      </c>
    </row>
    <row r="4726" ht="15.75" customHeight="1">
      <c r="A4726" s="1" t="s">
        <v>93</v>
      </c>
      <c r="B4726" s="1" t="s">
        <v>382</v>
      </c>
      <c r="C4726" s="1" t="s">
        <v>11</v>
      </c>
      <c r="D4726" s="5">
        <v>45266.0</v>
      </c>
      <c r="G4726" s="1">
        <f>VLOOKUP(B4726,'old-aw-skill-plan'!A:I,7,FALSE)</f>
        <v>4</v>
      </c>
      <c r="H4726" s="1" t="str">
        <f>VLOOKUP(B4726,'old-aw-skill-plan'!A:I,9,FALSE)</f>
        <v>4-3</v>
      </c>
    </row>
    <row r="4727" ht="15.75" customHeight="1">
      <c r="A4727" s="1" t="s">
        <v>93</v>
      </c>
      <c r="B4727" s="1" t="s">
        <v>470</v>
      </c>
      <c r="C4727" s="1" t="s">
        <v>11</v>
      </c>
      <c r="D4727" s="5">
        <v>45266.0</v>
      </c>
      <c r="G4727" s="1" t="str">
        <f>VLOOKUP(B4727,'old-aw-skill-plan'!A:I,7,FALSE)</f>
        <v>#N/A</v>
      </c>
      <c r="H4727" s="1" t="str">
        <f>VLOOKUP(B4727,'old-aw-skill-plan'!A:I,9,FALSE)</f>
        <v>#N/A</v>
      </c>
    </row>
    <row r="4728" ht="15.75" customHeight="1">
      <c r="A4728" s="1" t="s">
        <v>365</v>
      </c>
      <c r="B4728" s="1" t="s">
        <v>34</v>
      </c>
      <c r="C4728" s="1" t="s">
        <v>11</v>
      </c>
      <c r="D4728" s="5">
        <v>45266.0</v>
      </c>
      <c r="G4728" s="1">
        <f>VLOOKUP(B4728,'old-aw-skill-plan'!A:I,7,FALSE)</f>
        <v>4</v>
      </c>
      <c r="H4728" s="1" t="str">
        <f>VLOOKUP(B4728,'old-aw-skill-plan'!A:I,9,FALSE)</f>
        <v>4-1</v>
      </c>
    </row>
    <row r="4729" ht="15.75" customHeight="1">
      <c r="A4729" s="1" t="s">
        <v>94</v>
      </c>
      <c r="B4729" s="1" t="s">
        <v>307</v>
      </c>
      <c r="C4729" s="1" t="s">
        <v>11</v>
      </c>
      <c r="D4729" s="5">
        <v>45266.0</v>
      </c>
      <c r="G4729" s="1">
        <f>VLOOKUP(B4729,'old-aw-skill-plan'!A:I,7,FALSE)</f>
        <v>3</v>
      </c>
      <c r="H4729" s="1" t="str">
        <f>VLOOKUP(B4729,'old-aw-skill-plan'!A:I,9,FALSE)</f>
        <v>3-1</v>
      </c>
    </row>
    <row r="4730" ht="15.75" customHeight="1">
      <c r="A4730" s="1" t="s">
        <v>225</v>
      </c>
      <c r="B4730" s="1" t="s">
        <v>34</v>
      </c>
      <c r="C4730" s="1" t="s">
        <v>11</v>
      </c>
      <c r="D4730" s="5">
        <v>45266.0</v>
      </c>
      <c r="G4730" s="1">
        <f>VLOOKUP(B4730,'old-aw-skill-plan'!A:I,7,FALSE)</f>
        <v>4</v>
      </c>
      <c r="H4730" s="1" t="str">
        <f>VLOOKUP(B4730,'old-aw-skill-plan'!A:I,9,FALSE)</f>
        <v>4-1</v>
      </c>
    </row>
    <row r="4731" ht="15.75" customHeight="1">
      <c r="A4731" s="1" t="s">
        <v>427</v>
      </c>
      <c r="B4731" s="1" t="s">
        <v>352</v>
      </c>
      <c r="C4731" s="1" t="s">
        <v>11</v>
      </c>
      <c r="D4731" s="5">
        <v>45266.0</v>
      </c>
      <c r="G4731" s="1">
        <f>VLOOKUP(B4731,'old-aw-skill-plan'!A:I,7,FALSE)</f>
        <v>3</v>
      </c>
      <c r="H4731" s="1" t="str">
        <f>VLOOKUP(B4731,'old-aw-skill-plan'!A:I,9,FALSE)</f>
        <v>3-2</v>
      </c>
    </row>
    <row r="4732" ht="15.75" customHeight="1">
      <c r="A4732" s="1" t="s">
        <v>464</v>
      </c>
      <c r="B4732" s="1" t="s">
        <v>44</v>
      </c>
      <c r="C4732" s="1" t="s">
        <v>11</v>
      </c>
      <c r="D4732" s="5">
        <v>45265.0</v>
      </c>
      <c r="G4732" s="1">
        <f>VLOOKUP(B4732,'old-aw-skill-plan'!A:I,7,FALSE)</f>
        <v>5</v>
      </c>
      <c r="H4732" s="1" t="str">
        <f>VLOOKUP(B4732,'old-aw-skill-plan'!A:I,9,FALSE)</f>
        <v>5-1</v>
      </c>
    </row>
    <row r="4733" ht="15.75" customHeight="1">
      <c r="A4733" s="1" t="s">
        <v>22</v>
      </c>
      <c r="B4733" s="1" t="s">
        <v>61</v>
      </c>
      <c r="C4733" s="1" t="s">
        <v>11</v>
      </c>
      <c r="D4733" s="5">
        <v>45265.0</v>
      </c>
      <c r="G4733" s="1">
        <f>VLOOKUP(B4733,'old-aw-skill-plan'!A:I,7,FALSE)</f>
        <v>4</v>
      </c>
      <c r="H4733" s="1" t="str">
        <f>VLOOKUP(B4733,'old-aw-skill-plan'!A:I,9,FALSE)</f>
        <v>4-4</v>
      </c>
    </row>
    <row r="4734" ht="15.75" customHeight="1">
      <c r="A4734" s="1" t="s">
        <v>474</v>
      </c>
      <c r="B4734" s="1" t="s">
        <v>10</v>
      </c>
      <c r="C4734" s="1" t="s">
        <v>11</v>
      </c>
      <c r="D4734" s="5">
        <v>45265.0</v>
      </c>
      <c r="G4734" s="1">
        <f>VLOOKUP(B4734,'old-aw-skill-plan'!A:I,7,FALSE)</f>
        <v>3</v>
      </c>
      <c r="H4734" s="1" t="str">
        <f>VLOOKUP(B4734,'old-aw-skill-plan'!A:I,9,FALSE)</f>
        <v>3-1</v>
      </c>
    </row>
    <row r="4735" ht="15.75" customHeight="1">
      <c r="A4735" s="1" t="s">
        <v>216</v>
      </c>
      <c r="B4735" s="1" t="s">
        <v>34</v>
      </c>
      <c r="C4735" s="1" t="s">
        <v>11</v>
      </c>
      <c r="D4735" s="5">
        <v>45265.0</v>
      </c>
      <c r="G4735" s="1">
        <f>VLOOKUP(B4735,'old-aw-skill-plan'!A:I,7,FALSE)</f>
        <v>4</v>
      </c>
      <c r="H4735" s="1" t="str">
        <f>VLOOKUP(B4735,'old-aw-skill-plan'!A:I,9,FALSE)</f>
        <v>4-1</v>
      </c>
    </row>
    <row r="4736" ht="15.75" customHeight="1">
      <c r="A4736" s="1" t="s">
        <v>24</v>
      </c>
      <c r="B4736" s="1" t="s">
        <v>34</v>
      </c>
      <c r="C4736" s="1" t="s">
        <v>11</v>
      </c>
      <c r="D4736" s="5">
        <v>45265.0</v>
      </c>
      <c r="G4736" s="1">
        <f>VLOOKUP(B4736,'old-aw-skill-plan'!A:I,7,FALSE)</f>
        <v>4</v>
      </c>
      <c r="H4736" s="1" t="str">
        <f>VLOOKUP(B4736,'old-aw-skill-plan'!A:I,9,FALSE)</f>
        <v>4-1</v>
      </c>
    </row>
    <row r="4737" ht="15.75" customHeight="1">
      <c r="A4737" s="1" t="s">
        <v>434</v>
      </c>
      <c r="B4737" s="1" t="s">
        <v>309</v>
      </c>
      <c r="C4737" s="1" t="s">
        <v>11</v>
      </c>
      <c r="D4737" s="5">
        <v>45265.0</v>
      </c>
      <c r="G4737" s="1">
        <f>VLOOKUP(B4737,'old-aw-skill-plan'!A:I,7,FALSE)</f>
        <v>4</v>
      </c>
      <c r="H4737" s="1" t="str">
        <f>VLOOKUP(B4737,'old-aw-skill-plan'!A:I,9,FALSE)</f>
        <v>4-1</v>
      </c>
    </row>
    <row r="4738" ht="15.75" customHeight="1">
      <c r="A4738" s="1" t="s">
        <v>213</v>
      </c>
      <c r="B4738" s="1" t="s">
        <v>47</v>
      </c>
      <c r="C4738" s="1" t="s">
        <v>11</v>
      </c>
      <c r="D4738" s="5">
        <v>45265.0</v>
      </c>
      <c r="G4738" s="1">
        <f>VLOOKUP(B4738,'old-aw-skill-plan'!A:I,7,FALSE)</f>
        <v>3</v>
      </c>
      <c r="H4738" s="1" t="str">
        <f>VLOOKUP(B4738,'old-aw-skill-plan'!A:I,9,FALSE)</f>
        <v>3-2</v>
      </c>
    </row>
    <row r="4739" ht="15.75" customHeight="1">
      <c r="A4739" s="1" t="s">
        <v>36</v>
      </c>
      <c r="B4739" s="1" t="s">
        <v>28</v>
      </c>
      <c r="C4739" s="1" t="s">
        <v>11</v>
      </c>
      <c r="D4739" s="5">
        <v>45265.0</v>
      </c>
      <c r="G4739" s="1">
        <f>VLOOKUP(B4739,'old-aw-skill-plan'!A:I,7,FALSE)</f>
        <v>3</v>
      </c>
      <c r="H4739" s="1" t="str">
        <f>VLOOKUP(B4739,'old-aw-skill-plan'!A:I,9,FALSE)</f>
        <v>3-4</v>
      </c>
    </row>
    <row r="4740" ht="15.75" customHeight="1">
      <c r="A4740" s="1" t="s">
        <v>469</v>
      </c>
      <c r="B4740" s="1" t="s">
        <v>34</v>
      </c>
      <c r="C4740" s="1" t="s">
        <v>11</v>
      </c>
      <c r="D4740" s="5">
        <v>45265.0</v>
      </c>
      <c r="G4740" s="1">
        <f>VLOOKUP(B4740,'old-aw-skill-plan'!A:I,7,FALSE)</f>
        <v>4</v>
      </c>
      <c r="H4740" s="1" t="str">
        <f>VLOOKUP(B4740,'old-aw-skill-plan'!A:I,9,FALSE)</f>
        <v>4-1</v>
      </c>
    </row>
    <row r="4741" ht="15.75" customHeight="1">
      <c r="A4741" s="1" t="s">
        <v>419</v>
      </c>
      <c r="B4741" s="1" t="s">
        <v>44</v>
      </c>
      <c r="C4741" s="1" t="s">
        <v>11</v>
      </c>
      <c r="D4741" s="5">
        <v>45265.0</v>
      </c>
      <c r="G4741" s="1">
        <f>VLOOKUP(B4741,'old-aw-skill-plan'!A:I,7,FALSE)</f>
        <v>5</v>
      </c>
      <c r="H4741" s="1" t="str">
        <f>VLOOKUP(B4741,'old-aw-skill-plan'!A:I,9,FALSE)</f>
        <v>5-1</v>
      </c>
    </row>
    <row r="4742" ht="15.75" customHeight="1">
      <c r="A4742" s="1" t="s">
        <v>473</v>
      </c>
      <c r="B4742" s="1" t="s">
        <v>10</v>
      </c>
      <c r="C4742" s="1" t="s">
        <v>11</v>
      </c>
      <c r="D4742" s="5">
        <v>45265.0</v>
      </c>
      <c r="G4742" s="1">
        <f>VLOOKUP(B4742,'old-aw-skill-plan'!A:I,7,FALSE)</f>
        <v>3</v>
      </c>
      <c r="H4742" s="1" t="str">
        <f>VLOOKUP(B4742,'old-aw-skill-plan'!A:I,9,FALSE)</f>
        <v>3-1</v>
      </c>
    </row>
    <row r="4743" ht="15.75" customHeight="1">
      <c r="A4743" s="1" t="s">
        <v>56</v>
      </c>
      <c r="B4743" s="1" t="s">
        <v>28</v>
      </c>
      <c r="C4743" s="1" t="s">
        <v>11</v>
      </c>
      <c r="D4743" s="5">
        <v>45265.0</v>
      </c>
      <c r="G4743" s="1">
        <f>VLOOKUP(B4743,'old-aw-skill-plan'!A:I,7,FALSE)</f>
        <v>3</v>
      </c>
      <c r="H4743" s="1" t="str">
        <f>VLOOKUP(B4743,'old-aw-skill-plan'!A:I,9,FALSE)</f>
        <v>3-4</v>
      </c>
    </row>
    <row r="4744" ht="15.75" customHeight="1">
      <c r="A4744" s="1" t="s">
        <v>81</v>
      </c>
      <c r="B4744" s="1" t="s">
        <v>320</v>
      </c>
      <c r="C4744" s="1" t="s">
        <v>11</v>
      </c>
      <c r="D4744" s="5">
        <v>45265.0</v>
      </c>
      <c r="G4744" s="1">
        <f>VLOOKUP(B4744,'old-aw-skill-plan'!A:I,7,FALSE)</f>
        <v>4</v>
      </c>
      <c r="H4744" s="1" t="str">
        <f>VLOOKUP(B4744,'old-aw-skill-plan'!A:I,9,FALSE)</f>
        <v>4-2</v>
      </c>
    </row>
    <row r="4745" ht="15.75" customHeight="1">
      <c r="A4745" s="1" t="s">
        <v>429</v>
      </c>
      <c r="B4745" s="1" t="s">
        <v>37</v>
      </c>
      <c r="C4745" s="1" t="s">
        <v>11</v>
      </c>
      <c r="D4745" s="5">
        <v>45265.0</v>
      </c>
      <c r="G4745" s="1">
        <f>VLOOKUP(B4745,'old-aw-skill-plan'!A:I,7,FALSE)</f>
        <v>4</v>
      </c>
      <c r="H4745" s="1" t="str">
        <f>VLOOKUP(B4745,'old-aw-skill-plan'!A:I,9,FALSE)</f>
        <v>4-2</v>
      </c>
    </row>
    <row r="4746" ht="15.75" customHeight="1">
      <c r="A4746" s="1" t="s">
        <v>230</v>
      </c>
      <c r="B4746" s="1" t="s">
        <v>307</v>
      </c>
      <c r="C4746" s="1" t="s">
        <v>11</v>
      </c>
      <c r="D4746" s="5">
        <v>45265.0</v>
      </c>
      <c r="G4746" s="1">
        <f>VLOOKUP(B4746,'old-aw-skill-plan'!A:I,7,FALSE)</f>
        <v>3</v>
      </c>
      <c r="H4746" s="1" t="str">
        <f>VLOOKUP(B4746,'old-aw-skill-plan'!A:I,9,FALSE)</f>
        <v>3-1</v>
      </c>
    </row>
    <row r="4747" ht="15.75" customHeight="1">
      <c r="A4747" s="1" t="s">
        <v>428</v>
      </c>
      <c r="B4747" s="1" t="s">
        <v>309</v>
      </c>
      <c r="C4747" s="1" t="s">
        <v>11</v>
      </c>
      <c r="D4747" s="5">
        <v>45265.0</v>
      </c>
      <c r="G4747" s="1">
        <f>VLOOKUP(B4747,'old-aw-skill-plan'!A:I,7,FALSE)</f>
        <v>4</v>
      </c>
      <c r="H4747" s="1" t="str">
        <f>VLOOKUP(B4747,'old-aw-skill-plan'!A:I,9,FALSE)</f>
        <v>4-1</v>
      </c>
    </row>
    <row r="4748" ht="15.75" customHeight="1">
      <c r="A4748" s="1" t="s">
        <v>420</v>
      </c>
      <c r="B4748" s="1" t="s">
        <v>467</v>
      </c>
      <c r="C4748" s="1" t="s">
        <v>11</v>
      </c>
      <c r="D4748" s="5">
        <v>45265.0</v>
      </c>
      <c r="G4748" s="1" t="str">
        <f>VLOOKUP(B4748,'old-aw-skill-plan'!A:I,7,FALSE)</f>
        <v>#N/A</v>
      </c>
      <c r="H4748" s="1" t="str">
        <f>VLOOKUP(B4748,'old-aw-skill-plan'!A:I,9,FALSE)</f>
        <v>#N/A</v>
      </c>
    </row>
    <row r="4749" ht="15.75" customHeight="1">
      <c r="A4749" s="1" t="s">
        <v>471</v>
      </c>
      <c r="B4749" s="1" t="s">
        <v>28</v>
      </c>
      <c r="C4749" s="1" t="s">
        <v>11</v>
      </c>
      <c r="D4749" s="5">
        <v>45265.0</v>
      </c>
      <c r="G4749" s="1">
        <f>VLOOKUP(B4749,'old-aw-skill-plan'!A:I,7,FALSE)</f>
        <v>3</v>
      </c>
      <c r="H4749" s="1" t="str">
        <f>VLOOKUP(B4749,'old-aw-skill-plan'!A:I,9,FALSE)</f>
        <v>3-4</v>
      </c>
    </row>
    <row r="4750" ht="15.75" customHeight="1">
      <c r="A4750" s="1" t="s">
        <v>471</v>
      </c>
      <c r="B4750" s="1" t="s">
        <v>30</v>
      </c>
      <c r="C4750" s="1" t="s">
        <v>11</v>
      </c>
      <c r="D4750" s="5">
        <v>45265.0</v>
      </c>
      <c r="G4750" s="1">
        <f>VLOOKUP(B4750,'old-aw-skill-plan'!A:I,7,FALSE)</f>
        <v>3</v>
      </c>
      <c r="H4750" s="1" t="str">
        <f>VLOOKUP(B4750,'old-aw-skill-plan'!A:I,9,FALSE)</f>
        <v>3-3</v>
      </c>
    </row>
    <row r="4751" ht="15.75" customHeight="1">
      <c r="A4751" s="1" t="s">
        <v>461</v>
      </c>
      <c r="B4751" s="1" t="s">
        <v>44</v>
      </c>
      <c r="C4751" s="1" t="s">
        <v>11</v>
      </c>
      <c r="D4751" s="5">
        <v>45265.0</v>
      </c>
      <c r="G4751" s="1">
        <f>VLOOKUP(B4751,'old-aw-skill-plan'!A:I,7,FALSE)</f>
        <v>5</v>
      </c>
      <c r="H4751" s="1" t="str">
        <f>VLOOKUP(B4751,'old-aw-skill-plan'!A:I,9,FALSE)</f>
        <v>5-1</v>
      </c>
    </row>
    <row r="4752" ht="15.75" customHeight="1">
      <c r="A4752" s="1" t="s">
        <v>95</v>
      </c>
      <c r="B4752" s="1" t="s">
        <v>47</v>
      </c>
      <c r="C4752" s="1" t="s">
        <v>11</v>
      </c>
      <c r="D4752" s="5">
        <v>45265.0</v>
      </c>
      <c r="G4752" s="1">
        <f>VLOOKUP(B4752,'old-aw-skill-plan'!A:I,7,FALSE)</f>
        <v>3</v>
      </c>
      <c r="H4752" s="1" t="str">
        <f>VLOOKUP(B4752,'old-aw-skill-plan'!A:I,9,FALSE)</f>
        <v>3-2</v>
      </c>
    </row>
    <row r="4753" ht="15.75" customHeight="1">
      <c r="A4753" s="1" t="s">
        <v>214</v>
      </c>
      <c r="B4753" s="1" t="s">
        <v>30</v>
      </c>
      <c r="C4753" s="1" t="s">
        <v>11</v>
      </c>
      <c r="D4753" s="5">
        <v>45265.0</v>
      </c>
      <c r="G4753" s="1">
        <f>VLOOKUP(B4753,'old-aw-skill-plan'!A:I,7,FALSE)</f>
        <v>3</v>
      </c>
      <c r="H4753" s="1" t="str">
        <f>VLOOKUP(B4753,'old-aw-skill-plan'!A:I,9,FALSE)</f>
        <v>3-3</v>
      </c>
    </row>
    <row r="4754" ht="15.75" customHeight="1">
      <c r="A4754" s="1" t="s">
        <v>197</v>
      </c>
      <c r="B4754" s="1" t="s">
        <v>99</v>
      </c>
      <c r="C4754" s="1" t="s">
        <v>11</v>
      </c>
      <c r="D4754" s="5">
        <v>45265.0</v>
      </c>
      <c r="G4754" s="1" t="str">
        <f>VLOOKUP(B4754,'old-aw-skill-plan'!A:I,7,FALSE)</f>
        <v>#N/A</v>
      </c>
      <c r="H4754" s="1" t="str">
        <f>VLOOKUP(B4754,'old-aw-skill-plan'!A:I,9,FALSE)</f>
        <v>#N/A</v>
      </c>
    </row>
    <row r="4755" ht="15.75" customHeight="1">
      <c r="A4755" s="1" t="s">
        <v>197</v>
      </c>
      <c r="B4755" s="1" t="s">
        <v>444</v>
      </c>
      <c r="C4755" s="1" t="s">
        <v>11</v>
      </c>
      <c r="D4755" s="5">
        <v>45265.0</v>
      </c>
      <c r="G4755" s="1">
        <f>VLOOKUP(B4755,'old-aw-skill-plan'!A:I,7,FALSE)</f>
        <v>4</v>
      </c>
      <c r="H4755" s="1" t="str">
        <f>VLOOKUP(B4755,'old-aw-skill-plan'!A:I,9,FALSE)</f>
        <v>4-1</v>
      </c>
    </row>
    <row r="4756" ht="15.75" customHeight="1">
      <c r="A4756" s="1" t="s">
        <v>373</v>
      </c>
      <c r="B4756" s="1" t="s">
        <v>47</v>
      </c>
      <c r="C4756" s="1" t="s">
        <v>11</v>
      </c>
      <c r="D4756" s="5">
        <v>45265.0</v>
      </c>
      <c r="G4756" s="1">
        <f>VLOOKUP(B4756,'old-aw-skill-plan'!A:I,7,FALSE)</f>
        <v>3</v>
      </c>
      <c r="H4756" s="1" t="str">
        <f>VLOOKUP(B4756,'old-aw-skill-plan'!A:I,9,FALSE)</f>
        <v>3-2</v>
      </c>
    </row>
    <row r="4757" ht="15.75" customHeight="1">
      <c r="A4757" s="1" t="s">
        <v>373</v>
      </c>
      <c r="B4757" s="1" t="s">
        <v>356</v>
      </c>
      <c r="C4757" s="1" t="s">
        <v>11</v>
      </c>
      <c r="D4757" s="5">
        <v>45265.0</v>
      </c>
      <c r="G4757" s="1">
        <f>VLOOKUP(B4757,'old-aw-skill-plan'!A:I,7,FALSE)</f>
        <v>3</v>
      </c>
      <c r="H4757" s="1" t="str">
        <f>VLOOKUP(B4757,'old-aw-skill-plan'!A:I,9,FALSE)</f>
        <v>3-2</v>
      </c>
    </row>
    <row r="4758" ht="15.75" customHeight="1">
      <c r="A4758" s="1" t="s">
        <v>430</v>
      </c>
      <c r="B4758" s="1" t="s">
        <v>10</v>
      </c>
      <c r="C4758" s="1" t="s">
        <v>11</v>
      </c>
      <c r="D4758" s="5">
        <v>45265.0</v>
      </c>
      <c r="G4758" s="1">
        <f>VLOOKUP(B4758,'old-aw-skill-plan'!A:I,7,FALSE)</f>
        <v>3</v>
      </c>
      <c r="H4758" s="1" t="str">
        <f>VLOOKUP(B4758,'old-aw-skill-plan'!A:I,9,FALSE)</f>
        <v>3-1</v>
      </c>
    </row>
    <row r="4759" ht="15.75" customHeight="1">
      <c r="A4759" s="1" t="s">
        <v>269</v>
      </c>
      <c r="B4759" s="1" t="s">
        <v>28</v>
      </c>
      <c r="C4759" s="1" t="s">
        <v>11</v>
      </c>
      <c r="D4759" s="5">
        <v>45265.0</v>
      </c>
      <c r="G4759" s="1">
        <f>VLOOKUP(B4759,'old-aw-skill-plan'!A:I,7,FALSE)</f>
        <v>3</v>
      </c>
      <c r="H4759" s="1" t="str">
        <f>VLOOKUP(B4759,'old-aw-skill-plan'!A:I,9,FALSE)</f>
        <v>3-4</v>
      </c>
    </row>
    <row r="4760" ht="15.75" customHeight="1">
      <c r="A4760" s="1" t="s">
        <v>269</v>
      </c>
      <c r="B4760" s="1" t="s">
        <v>111</v>
      </c>
      <c r="C4760" s="1" t="s">
        <v>11</v>
      </c>
      <c r="D4760" s="5">
        <v>45265.0</v>
      </c>
      <c r="G4760" s="1" t="str">
        <f>VLOOKUP(B4760,'old-aw-skill-plan'!A:I,7,FALSE)</f>
        <v>#N/A</v>
      </c>
      <c r="H4760" s="1" t="str">
        <f>VLOOKUP(B4760,'old-aw-skill-plan'!A:I,9,FALSE)</f>
        <v>#N/A</v>
      </c>
    </row>
    <row r="4761" ht="15.75" customHeight="1">
      <c r="A4761" s="1" t="s">
        <v>265</v>
      </c>
      <c r="B4761" s="1" t="s">
        <v>25</v>
      </c>
      <c r="C4761" s="1" t="s">
        <v>11</v>
      </c>
      <c r="D4761" s="5">
        <v>45265.0</v>
      </c>
      <c r="G4761" s="1">
        <f>VLOOKUP(B4761,'old-aw-skill-plan'!A:I,7,FALSE)</f>
        <v>5</v>
      </c>
      <c r="H4761" s="1" t="str">
        <f>VLOOKUP(B4761,'old-aw-skill-plan'!A:I,9,FALSE)</f>
        <v>5-4</v>
      </c>
    </row>
    <row r="4762" ht="15.75" customHeight="1">
      <c r="A4762" s="1" t="s">
        <v>277</v>
      </c>
      <c r="B4762" s="1" t="s">
        <v>44</v>
      </c>
      <c r="C4762" s="1" t="s">
        <v>11</v>
      </c>
      <c r="D4762" s="5">
        <v>45265.0</v>
      </c>
      <c r="G4762" s="1">
        <f>VLOOKUP(B4762,'old-aw-skill-plan'!A:I,7,FALSE)</f>
        <v>5</v>
      </c>
      <c r="H4762" s="1" t="str">
        <f>VLOOKUP(B4762,'old-aw-skill-plan'!A:I,9,FALSE)</f>
        <v>5-1</v>
      </c>
    </row>
    <row r="4763" ht="15.75" customHeight="1">
      <c r="A4763" s="1" t="s">
        <v>463</v>
      </c>
      <c r="B4763" s="1" t="s">
        <v>44</v>
      </c>
      <c r="C4763" s="1" t="s">
        <v>11</v>
      </c>
      <c r="D4763" s="5">
        <v>45265.0</v>
      </c>
      <c r="G4763" s="1">
        <f>VLOOKUP(B4763,'old-aw-skill-plan'!A:I,7,FALSE)</f>
        <v>5</v>
      </c>
      <c r="H4763" s="1" t="str">
        <f>VLOOKUP(B4763,'old-aw-skill-plan'!A:I,9,FALSE)</f>
        <v>5-1</v>
      </c>
    </row>
    <row r="4764" ht="15.75" customHeight="1">
      <c r="A4764" s="1" t="s">
        <v>93</v>
      </c>
      <c r="B4764" s="1" t="s">
        <v>320</v>
      </c>
      <c r="C4764" s="1" t="s">
        <v>11</v>
      </c>
      <c r="D4764" s="5">
        <v>45265.0</v>
      </c>
      <c r="G4764" s="1">
        <f>VLOOKUP(B4764,'old-aw-skill-plan'!A:I,7,FALSE)</f>
        <v>4</v>
      </c>
      <c r="H4764" s="1" t="str">
        <f>VLOOKUP(B4764,'old-aw-skill-plan'!A:I,9,FALSE)</f>
        <v>4-2</v>
      </c>
    </row>
    <row r="4765" ht="15.75" customHeight="1">
      <c r="A4765" s="1" t="s">
        <v>365</v>
      </c>
      <c r="B4765" s="1" t="s">
        <v>34</v>
      </c>
      <c r="C4765" s="1" t="s">
        <v>11</v>
      </c>
      <c r="D4765" s="5">
        <v>45265.0</v>
      </c>
      <c r="G4765" s="1">
        <f>VLOOKUP(B4765,'old-aw-skill-plan'!A:I,7,FALSE)</f>
        <v>4</v>
      </c>
      <c r="H4765" s="1" t="str">
        <f>VLOOKUP(B4765,'old-aw-skill-plan'!A:I,9,FALSE)</f>
        <v>4-1</v>
      </c>
    </row>
    <row r="4766" ht="15.75" customHeight="1">
      <c r="A4766" s="1" t="s">
        <v>94</v>
      </c>
      <c r="B4766" s="1" t="s">
        <v>111</v>
      </c>
      <c r="C4766" s="1" t="s">
        <v>11</v>
      </c>
      <c r="D4766" s="5">
        <v>45265.0</v>
      </c>
      <c r="G4766" s="1" t="str">
        <f>VLOOKUP(B4766,'old-aw-skill-plan'!A:I,7,FALSE)</f>
        <v>#N/A</v>
      </c>
      <c r="H4766" s="1" t="str">
        <f>VLOOKUP(B4766,'old-aw-skill-plan'!A:I,9,FALSE)</f>
        <v>#N/A</v>
      </c>
    </row>
    <row r="4767" ht="15.75" customHeight="1">
      <c r="A4767" s="1" t="s">
        <v>427</v>
      </c>
      <c r="B4767" s="1" t="s">
        <v>352</v>
      </c>
      <c r="C4767" s="1" t="s">
        <v>11</v>
      </c>
      <c r="D4767" s="5">
        <v>45265.0</v>
      </c>
      <c r="G4767" s="1">
        <f>VLOOKUP(B4767,'old-aw-skill-plan'!A:I,7,FALSE)</f>
        <v>3</v>
      </c>
      <c r="H4767" s="1" t="str">
        <f>VLOOKUP(B4767,'old-aw-skill-plan'!A:I,9,FALSE)</f>
        <v>3-2</v>
      </c>
    </row>
    <row r="4768" ht="15.75" customHeight="1">
      <c r="A4768" s="1" t="s">
        <v>436</v>
      </c>
      <c r="B4768" s="1" t="s">
        <v>28</v>
      </c>
      <c r="C4768" s="1" t="s">
        <v>11</v>
      </c>
      <c r="D4768" s="5">
        <v>45265.0</v>
      </c>
      <c r="G4768" s="1">
        <f>VLOOKUP(B4768,'old-aw-skill-plan'!A:I,7,FALSE)</f>
        <v>3</v>
      </c>
      <c r="H4768" s="1" t="str">
        <f>VLOOKUP(B4768,'old-aw-skill-plan'!A:I,9,FALSE)</f>
        <v>3-4</v>
      </c>
    </row>
    <row r="4769" ht="15.75" customHeight="1">
      <c r="A4769" s="1" t="s">
        <v>110</v>
      </c>
      <c r="B4769" s="1" t="s">
        <v>47</v>
      </c>
      <c r="C4769" s="1" t="s">
        <v>11</v>
      </c>
      <c r="D4769" s="5">
        <v>45265.0</v>
      </c>
      <c r="G4769" s="1">
        <f>VLOOKUP(B4769,'old-aw-skill-plan'!A:I,7,FALSE)</f>
        <v>3</v>
      </c>
      <c r="H4769" s="1" t="str">
        <f>VLOOKUP(B4769,'old-aw-skill-plan'!A:I,9,FALSE)</f>
        <v>3-2</v>
      </c>
    </row>
    <row r="4770" ht="15.75" customHeight="1">
      <c r="A4770" s="1" t="s">
        <v>464</v>
      </c>
      <c r="B4770" s="1" t="s">
        <v>44</v>
      </c>
      <c r="C4770" s="1" t="s">
        <v>11</v>
      </c>
      <c r="D4770" s="5">
        <v>45264.0</v>
      </c>
      <c r="G4770" s="1">
        <f>VLOOKUP(B4770,'old-aw-skill-plan'!A:I,7,FALSE)</f>
        <v>5</v>
      </c>
      <c r="H4770" s="1" t="str">
        <f>VLOOKUP(B4770,'old-aw-skill-plan'!A:I,9,FALSE)</f>
        <v>5-1</v>
      </c>
    </row>
    <row r="4771" ht="15.75" customHeight="1">
      <c r="A4771" s="1" t="s">
        <v>22</v>
      </c>
      <c r="B4771" s="1" t="s">
        <v>61</v>
      </c>
      <c r="C4771" s="1" t="s">
        <v>11</v>
      </c>
      <c r="D4771" s="5">
        <v>45264.0</v>
      </c>
      <c r="G4771" s="1">
        <f>VLOOKUP(B4771,'old-aw-skill-plan'!A:I,7,FALSE)</f>
        <v>4</v>
      </c>
      <c r="H4771" s="1" t="str">
        <f>VLOOKUP(B4771,'old-aw-skill-plan'!A:I,9,FALSE)</f>
        <v>4-4</v>
      </c>
    </row>
    <row r="4772" ht="15.75" customHeight="1">
      <c r="A4772" s="1" t="s">
        <v>474</v>
      </c>
      <c r="B4772" s="1" t="s">
        <v>10</v>
      </c>
      <c r="C4772" s="1" t="s">
        <v>11</v>
      </c>
      <c r="D4772" s="5">
        <v>45264.0</v>
      </c>
      <c r="G4772" s="1">
        <f>VLOOKUP(B4772,'old-aw-skill-plan'!A:I,7,FALSE)</f>
        <v>3</v>
      </c>
      <c r="H4772" s="1" t="str">
        <f>VLOOKUP(B4772,'old-aw-skill-plan'!A:I,9,FALSE)</f>
        <v>3-1</v>
      </c>
    </row>
    <row r="4773" ht="15.75" customHeight="1">
      <c r="A4773" s="1" t="s">
        <v>35</v>
      </c>
      <c r="B4773" s="1" t="s">
        <v>99</v>
      </c>
      <c r="C4773" s="1" t="s">
        <v>11</v>
      </c>
      <c r="D4773" s="5">
        <v>45264.0</v>
      </c>
      <c r="G4773" s="1" t="str">
        <f>VLOOKUP(B4773,'old-aw-skill-plan'!A:I,7,FALSE)</f>
        <v>#N/A</v>
      </c>
      <c r="H4773" s="1" t="str">
        <f>VLOOKUP(B4773,'old-aw-skill-plan'!A:I,9,FALSE)</f>
        <v>#N/A</v>
      </c>
    </row>
    <row r="4774" ht="15.75" customHeight="1">
      <c r="A4774" s="1" t="s">
        <v>24</v>
      </c>
      <c r="B4774" s="1" t="s">
        <v>34</v>
      </c>
      <c r="C4774" s="1" t="s">
        <v>11</v>
      </c>
      <c r="D4774" s="5">
        <v>45264.0</v>
      </c>
      <c r="G4774" s="1">
        <f>VLOOKUP(B4774,'old-aw-skill-plan'!A:I,7,FALSE)</f>
        <v>4</v>
      </c>
      <c r="H4774" s="1" t="str">
        <f>VLOOKUP(B4774,'old-aw-skill-plan'!A:I,9,FALSE)</f>
        <v>4-1</v>
      </c>
    </row>
    <row r="4775" ht="15.75" customHeight="1">
      <c r="A4775" s="1" t="s">
        <v>458</v>
      </c>
      <c r="B4775" s="1" t="s">
        <v>30</v>
      </c>
      <c r="C4775" s="1" t="s">
        <v>11</v>
      </c>
      <c r="D4775" s="5">
        <v>45264.0</v>
      </c>
      <c r="G4775" s="1">
        <f>VLOOKUP(B4775,'old-aw-skill-plan'!A:I,7,FALSE)</f>
        <v>3</v>
      </c>
      <c r="H4775" s="1" t="str">
        <f>VLOOKUP(B4775,'old-aw-skill-plan'!A:I,9,FALSE)</f>
        <v>3-3</v>
      </c>
    </row>
    <row r="4776" ht="15.75" customHeight="1">
      <c r="A4776" s="1" t="s">
        <v>458</v>
      </c>
      <c r="B4776" s="1" t="s">
        <v>47</v>
      </c>
      <c r="C4776" s="1" t="s">
        <v>11</v>
      </c>
      <c r="D4776" s="5">
        <v>45264.0</v>
      </c>
      <c r="G4776" s="1">
        <f>VLOOKUP(B4776,'old-aw-skill-plan'!A:I,7,FALSE)</f>
        <v>3</v>
      </c>
      <c r="H4776" s="1" t="str">
        <f>VLOOKUP(B4776,'old-aw-skill-plan'!A:I,9,FALSE)</f>
        <v>3-2</v>
      </c>
    </row>
    <row r="4777" ht="15.75" customHeight="1">
      <c r="A4777" s="1" t="s">
        <v>434</v>
      </c>
      <c r="B4777" s="1" t="s">
        <v>61</v>
      </c>
      <c r="C4777" s="1" t="s">
        <v>11</v>
      </c>
      <c r="D4777" s="5">
        <v>45264.0</v>
      </c>
      <c r="G4777" s="1">
        <f>VLOOKUP(B4777,'old-aw-skill-plan'!A:I,7,FALSE)</f>
        <v>4</v>
      </c>
      <c r="H4777" s="1" t="str">
        <f>VLOOKUP(B4777,'old-aw-skill-plan'!A:I,9,FALSE)</f>
        <v>4-4</v>
      </c>
    </row>
    <row r="4778" ht="15.75" customHeight="1">
      <c r="A4778" s="1" t="s">
        <v>434</v>
      </c>
      <c r="B4778" s="1" t="s">
        <v>34</v>
      </c>
      <c r="C4778" s="1" t="s">
        <v>11</v>
      </c>
      <c r="D4778" s="5">
        <v>45264.0</v>
      </c>
      <c r="G4778" s="1">
        <f>VLOOKUP(B4778,'old-aw-skill-plan'!A:I,7,FALSE)</f>
        <v>4</v>
      </c>
      <c r="H4778" s="1" t="str">
        <f>VLOOKUP(B4778,'old-aw-skill-plan'!A:I,9,FALSE)</f>
        <v>4-1</v>
      </c>
    </row>
    <row r="4779" ht="15.75" customHeight="1">
      <c r="A4779" s="1" t="s">
        <v>434</v>
      </c>
      <c r="B4779" s="1" t="s">
        <v>97</v>
      </c>
      <c r="C4779" s="1" t="s">
        <v>11</v>
      </c>
      <c r="D4779" s="5">
        <v>45264.0</v>
      </c>
      <c r="G4779" s="1">
        <f>VLOOKUP(B4779,'old-aw-skill-plan'!A:I,7,FALSE)</f>
        <v>4</v>
      </c>
      <c r="H4779" s="1" t="str">
        <f>VLOOKUP(B4779,'old-aw-skill-plan'!A:I,9,FALSE)</f>
        <v>4-3</v>
      </c>
    </row>
    <row r="4780" ht="15.75" customHeight="1">
      <c r="A4780" s="1" t="s">
        <v>434</v>
      </c>
      <c r="B4780" s="1" t="s">
        <v>37</v>
      </c>
      <c r="C4780" s="1" t="s">
        <v>11</v>
      </c>
      <c r="D4780" s="5">
        <v>45264.0</v>
      </c>
      <c r="G4780" s="1">
        <f>VLOOKUP(B4780,'old-aw-skill-plan'!A:I,7,FALSE)</f>
        <v>4</v>
      </c>
      <c r="H4780" s="1" t="str">
        <f>VLOOKUP(B4780,'old-aw-skill-plan'!A:I,9,FALSE)</f>
        <v>4-2</v>
      </c>
    </row>
    <row r="4781" ht="15.75" customHeight="1">
      <c r="A4781" s="1" t="s">
        <v>434</v>
      </c>
      <c r="B4781" s="1" t="s">
        <v>99</v>
      </c>
      <c r="C4781" s="1" t="s">
        <v>11</v>
      </c>
      <c r="D4781" s="5">
        <v>45264.0</v>
      </c>
      <c r="G4781" s="1" t="str">
        <f>VLOOKUP(B4781,'old-aw-skill-plan'!A:I,7,FALSE)</f>
        <v>#N/A</v>
      </c>
      <c r="H4781" s="1" t="str">
        <f>VLOOKUP(B4781,'old-aw-skill-plan'!A:I,9,FALSE)</f>
        <v>#N/A</v>
      </c>
    </row>
    <row r="4782" ht="15.75" customHeight="1">
      <c r="A4782" s="1" t="s">
        <v>213</v>
      </c>
      <c r="B4782" s="1" t="s">
        <v>47</v>
      </c>
      <c r="C4782" s="1" t="s">
        <v>11</v>
      </c>
      <c r="D4782" s="5">
        <v>45264.0</v>
      </c>
      <c r="G4782" s="1">
        <f>VLOOKUP(B4782,'old-aw-skill-plan'!A:I,7,FALSE)</f>
        <v>3</v>
      </c>
      <c r="H4782" s="1" t="str">
        <f>VLOOKUP(B4782,'old-aw-skill-plan'!A:I,9,FALSE)</f>
        <v>3-2</v>
      </c>
    </row>
    <row r="4783" ht="15.75" customHeight="1">
      <c r="A4783" s="1" t="s">
        <v>475</v>
      </c>
      <c r="B4783" s="1" t="s">
        <v>320</v>
      </c>
      <c r="C4783" s="1" t="s">
        <v>11</v>
      </c>
      <c r="D4783" s="5">
        <v>45264.0</v>
      </c>
      <c r="G4783" s="1">
        <f>VLOOKUP(B4783,'old-aw-skill-plan'!A:I,7,FALSE)</f>
        <v>4</v>
      </c>
      <c r="H4783" s="1" t="str">
        <f>VLOOKUP(B4783,'old-aw-skill-plan'!A:I,9,FALSE)</f>
        <v>4-2</v>
      </c>
    </row>
    <row r="4784" ht="15.75" customHeight="1">
      <c r="A4784" s="1" t="s">
        <v>199</v>
      </c>
      <c r="B4784" s="1" t="s">
        <v>34</v>
      </c>
      <c r="C4784" s="1" t="s">
        <v>11</v>
      </c>
      <c r="D4784" s="5">
        <v>45264.0</v>
      </c>
      <c r="G4784" s="1">
        <f>VLOOKUP(B4784,'old-aw-skill-plan'!A:I,7,FALSE)</f>
        <v>4</v>
      </c>
      <c r="H4784" s="1" t="str">
        <f>VLOOKUP(B4784,'old-aw-skill-plan'!A:I,9,FALSE)</f>
        <v>4-1</v>
      </c>
    </row>
    <row r="4785" ht="15.75" customHeight="1">
      <c r="A4785" s="1" t="s">
        <v>36</v>
      </c>
      <c r="B4785" s="1" t="s">
        <v>28</v>
      </c>
      <c r="C4785" s="1" t="s">
        <v>11</v>
      </c>
      <c r="D4785" s="5">
        <v>45264.0</v>
      </c>
      <c r="G4785" s="1">
        <f>VLOOKUP(B4785,'old-aw-skill-plan'!A:I,7,FALSE)</f>
        <v>3</v>
      </c>
      <c r="H4785" s="1" t="str">
        <f>VLOOKUP(B4785,'old-aw-skill-plan'!A:I,9,FALSE)</f>
        <v>3-4</v>
      </c>
    </row>
    <row r="4786" ht="15.75" customHeight="1">
      <c r="A4786" s="1" t="s">
        <v>39</v>
      </c>
      <c r="B4786" s="1" t="s">
        <v>34</v>
      </c>
      <c r="C4786" s="1" t="s">
        <v>11</v>
      </c>
      <c r="D4786" s="5">
        <v>45264.0</v>
      </c>
      <c r="G4786" s="1">
        <f>VLOOKUP(B4786,'old-aw-skill-plan'!A:I,7,FALSE)</f>
        <v>4</v>
      </c>
      <c r="H4786" s="1" t="str">
        <f>VLOOKUP(B4786,'old-aw-skill-plan'!A:I,9,FALSE)</f>
        <v>4-1</v>
      </c>
    </row>
    <row r="4787" ht="15.75" customHeight="1">
      <c r="A4787" s="1" t="s">
        <v>469</v>
      </c>
      <c r="B4787" s="1" t="s">
        <v>34</v>
      </c>
      <c r="C4787" s="1" t="s">
        <v>11</v>
      </c>
      <c r="D4787" s="5">
        <v>45264.0</v>
      </c>
      <c r="G4787" s="1">
        <f>VLOOKUP(B4787,'old-aw-skill-plan'!A:I,7,FALSE)</f>
        <v>4</v>
      </c>
      <c r="H4787" s="1" t="str">
        <f>VLOOKUP(B4787,'old-aw-skill-plan'!A:I,9,FALSE)</f>
        <v>4-1</v>
      </c>
    </row>
    <row r="4788" ht="15.75" customHeight="1">
      <c r="A4788" s="1" t="s">
        <v>237</v>
      </c>
      <c r="B4788" s="1" t="s">
        <v>47</v>
      </c>
      <c r="C4788" s="1" t="s">
        <v>11</v>
      </c>
      <c r="D4788" s="5">
        <v>45264.0</v>
      </c>
      <c r="G4788" s="1">
        <f>VLOOKUP(B4788,'old-aw-skill-plan'!A:I,7,FALSE)</f>
        <v>3</v>
      </c>
      <c r="H4788" s="1" t="str">
        <f>VLOOKUP(B4788,'old-aw-skill-plan'!A:I,9,FALSE)</f>
        <v>3-2</v>
      </c>
    </row>
    <row r="4789" ht="15.75" customHeight="1">
      <c r="A4789" s="1" t="s">
        <v>419</v>
      </c>
      <c r="B4789" s="1" t="s">
        <v>44</v>
      </c>
      <c r="C4789" s="1" t="s">
        <v>11</v>
      </c>
      <c r="D4789" s="5">
        <v>45264.0</v>
      </c>
      <c r="G4789" s="1">
        <f>VLOOKUP(B4789,'old-aw-skill-plan'!A:I,7,FALSE)</f>
        <v>5</v>
      </c>
      <c r="H4789" s="1" t="str">
        <f>VLOOKUP(B4789,'old-aw-skill-plan'!A:I,9,FALSE)</f>
        <v>5-1</v>
      </c>
    </row>
    <row r="4790" ht="15.75" customHeight="1">
      <c r="A4790" s="1" t="s">
        <v>454</v>
      </c>
      <c r="B4790" s="1" t="s">
        <v>34</v>
      </c>
      <c r="C4790" s="1" t="s">
        <v>11</v>
      </c>
      <c r="D4790" s="5">
        <v>45264.0</v>
      </c>
      <c r="G4790" s="1">
        <f>VLOOKUP(B4790,'old-aw-skill-plan'!A:I,7,FALSE)</f>
        <v>4</v>
      </c>
      <c r="H4790" s="1" t="str">
        <f>VLOOKUP(B4790,'old-aw-skill-plan'!A:I,9,FALSE)</f>
        <v>4-1</v>
      </c>
    </row>
    <row r="4791" ht="15.75" customHeight="1">
      <c r="A4791" s="1" t="s">
        <v>473</v>
      </c>
      <c r="B4791" s="1" t="s">
        <v>10</v>
      </c>
      <c r="C4791" s="1" t="s">
        <v>11</v>
      </c>
      <c r="D4791" s="5">
        <v>45264.0</v>
      </c>
      <c r="G4791" s="1">
        <f>VLOOKUP(B4791,'old-aw-skill-plan'!A:I,7,FALSE)</f>
        <v>3</v>
      </c>
      <c r="H4791" s="1" t="str">
        <f>VLOOKUP(B4791,'old-aw-skill-plan'!A:I,9,FALSE)</f>
        <v>3-1</v>
      </c>
    </row>
    <row r="4792" ht="15.75" customHeight="1">
      <c r="A4792" s="1" t="s">
        <v>56</v>
      </c>
      <c r="B4792" s="1" t="s">
        <v>28</v>
      </c>
      <c r="C4792" s="1" t="s">
        <v>11</v>
      </c>
      <c r="D4792" s="5">
        <v>45264.0</v>
      </c>
      <c r="G4792" s="1">
        <f>VLOOKUP(B4792,'old-aw-skill-plan'!A:I,7,FALSE)</f>
        <v>3</v>
      </c>
      <c r="H4792" s="1" t="str">
        <f>VLOOKUP(B4792,'old-aw-skill-plan'!A:I,9,FALSE)</f>
        <v>3-4</v>
      </c>
    </row>
    <row r="4793" ht="15.75" customHeight="1">
      <c r="A4793" s="1" t="s">
        <v>81</v>
      </c>
      <c r="B4793" s="1" t="s">
        <v>320</v>
      </c>
      <c r="C4793" s="1" t="s">
        <v>11</v>
      </c>
      <c r="D4793" s="5">
        <v>45264.0</v>
      </c>
      <c r="G4793" s="1">
        <f>VLOOKUP(B4793,'old-aw-skill-plan'!A:I,7,FALSE)</f>
        <v>4</v>
      </c>
      <c r="H4793" s="1" t="str">
        <f>VLOOKUP(B4793,'old-aw-skill-plan'!A:I,9,FALSE)</f>
        <v>4-2</v>
      </c>
    </row>
    <row r="4794" ht="15.75" customHeight="1">
      <c r="A4794" s="1" t="s">
        <v>421</v>
      </c>
      <c r="B4794" s="1" t="s">
        <v>44</v>
      </c>
      <c r="C4794" s="1" t="s">
        <v>11</v>
      </c>
      <c r="D4794" s="5">
        <v>45264.0</v>
      </c>
      <c r="G4794" s="1">
        <f>VLOOKUP(B4794,'old-aw-skill-plan'!A:I,7,FALSE)</f>
        <v>5</v>
      </c>
      <c r="H4794" s="1" t="str">
        <f>VLOOKUP(B4794,'old-aw-skill-plan'!A:I,9,FALSE)</f>
        <v>5-1</v>
      </c>
    </row>
    <row r="4795" ht="15.75" customHeight="1">
      <c r="A4795" s="1" t="s">
        <v>230</v>
      </c>
      <c r="B4795" s="1" t="s">
        <v>356</v>
      </c>
      <c r="C4795" s="1" t="s">
        <v>11</v>
      </c>
      <c r="D4795" s="5">
        <v>45264.0</v>
      </c>
      <c r="G4795" s="1">
        <f>VLOOKUP(B4795,'old-aw-skill-plan'!A:I,7,FALSE)</f>
        <v>3</v>
      </c>
      <c r="H4795" s="1" t="str">
        <f>VLOOKUP(B4795,'old-aw-skill-plan'!A:I,9,FALSE)</f>
        <v>3-2</v>
      </c>
    </row>
    <row r="4796" ht="15.75" customHeight="1">
      <c r="A4796" s="1" t="s">
        <v>428</v>
      </c>
      <c r="B4796" s="1" t="s">
        <v>99</v>
      </c>
      <c r="C4796" s="1" t="s">
        <v>11</v>
      </c>
      <c r="D4796" s="5">
        <v>45264.0</v>
      </c>
      <c r="G4796" s="1" t="str">
        <f>VLOOKUP(B4796,'old-aw-skill-plan'!A:I,7,FALSE)</f>
        <v>#N/A</v>
      </c>
      <c r="H4796" s="1" t="str">
        <f>VLOOKUP(B4796,'old-aw-skill-plan'!A:I,9,FALSE)</f>
        <v>#N/A</v>
      </c>
    </row>
    <row r="4797" ht="15.75" customHeight="1">
      <c r="A4797" s="1" t="s">
        <v>420</v>
      </c>
      <c r="B4797" s="1" t="s">
        <v>466</v>
      </c>
      <c r="C4797" s="1" t="s">
        <v>11</v>
      </c>
      <c r="D4797" s="5">
        <v>45264.0</v>
      </c>
      <c r="G4797" s="1" t="str">
        <f>VLOOKUP(B4797,'old-aw-skill-plan'!A:I,7,FALSE)</f>
        <v>#N/A</v>
      </c>
      <c r="H4797" s="1" t="str">
        <f>VLOOKUP(B4797,'old-aw-skill-plan'!A:I,9,FALSE)</f>
        <v>#N/A</v>
      </c>
    </row>
    <row r="4798" ht="15.75" customHeight="1">
      <c r="A4798" s="1" t="s">
        <v>275</v>
      </c>
      <c r="B4798" s="1" t="s">
        <v>425</v>
      </c>
      <c r="C4798" s="1" t="s">
        <v>11</v>
      </c>
      <c r="D4798" s="5">
        <v>45264.0</v>
      </c>
      <c r="G4798" s="1">
        <f>VLOOKUP(B4798,'old-aw-skill-plan'!A:I,7,FALSE)</f>
        <v>3</v>
      </c>
      <c r="H4798" s="1" t="str">
        <f>VLOOKUP(B4798,'old-aw-skill-plan'!A:I,9,FALSE)</f>
        <v>3-1</v>
      </c>
    </row>
    <row r="4799" ht="15.75" customHeight="1">
      <c r="A4799" s="1" t="s">
        <v>275</v>
      </c>
      <c r="B4799" s="1" t="s">
        <v>44</v>
      </c>
      <c r="C4799" s="1" t="s">
        <v>11</v>
      </c>
      <c r="D4799" s="5">
        <v>45264.0</v>
      </c>
      <c r="G4799" s="1">
        <f>VLOOKUP(B4799,'old-aw-skill-plan'!A:I,7,FALSE)</f>
        <v>5</v>
      </c>
      <c r="H4799" s="1" t="str">
        <f>VLOOKUP(B4799,'old-aw-skill-plan'!A:I,9,FALSE)</f>
        <v>5-1</v>
      </c>
    </row>
    <row r="4800" ht="15.75" customHeight="1">
      <c r="A4800" s="1" t="s">
        <v>461</v>
      </c>
      <c r="B4800" s="1" t="s">
        <v>44</v>
      </c>
      <c r="C4800" s="1" t="s">
        <v>11</v>
      </c>
      <c r="D4800" s="5">
        <v>45264.0</v>
      </c>
      <c r="G4800" s="1">
        <f>VLOOKUP(B4800,'old-aw-skill-plan'!A:I,7,FALSE)</f>
        <v>5</v>
      </c>
      <c r="H4800" s="1" t="str">
        <f>VLOOKUP(B4800,'old-aw-skill-plan'!A:I,9,FALSE)</f>
        <v>5-1</v>
      </c>
    </row>
    <row r="4801" ht="15.75" customHeight="1">
      <c r="A4801" s="1" t="s">
        <v>95</v>
      </c>
      <c r="B4801" s="1" t="s">
        <v>47</v>
      </c>
      <c r="C4801" s="1" t="s">
        <v>11</v>
      </c>
      <c r="D4801" s="5">
        <v>45264.0</v>
      </c>
      <c r="G4801" s="1">
        <f>VLOOKUP(B4801,'old-aw-skill-plan'!A:I,7,FALSE)</f>
        <v>3</v>
      </c>
      <c r="H4801" s="1" t="str">
        <f>VLOOKUP(B4801,'old-aw-skill-plan'!A:I,9,FALSE)</f>
        <v>3-2</v>
      </c>
    </row>
    <row r="4802" ht="15.75" customHeight="1">
      <c r="A4802" s="1" t="s">
        <v>214</v>
      </c>
      <c r="B4802" s="1" t="s">
        <v>30</v>
      </c>
      <c r="C4802" s="1" t="s">
        <v>11</v>
      </c>
      <c r="D4802" s="5">
        <v>45264.0</v>
      </c>
      <c r="G4802" s="1">
        <f>VLOOKUP(B4802,'old-aw-skill-plan'!A:I,7,FALSE)</f>
        <v>3</v>
      </c>
      <c r="H4802" s="1" t="str">
        <f>VLOOKUP(B4802,'old-aw-skill-plan'!A:I,9,FALSE)</f>
        <v>3-3</v>
      </c>
    </row>
    <row r="4803" ht="15.75" customHeight="1">
      <c r="A4803" s="1" t="s">
        <v>197</v>
      </c>
      <c r="B4803" s="1" t="s">
        <v>61</v>
      </c>
      <c r="C4803" s="1" t="s">
        <v>11</v>
      </c>
      <c r="D4803" s="5">
        <v>45264.0</v>
      </c>
      <c r="G4803" s="1">
        <f>VLOOKUP(B4803,'old-aw-skill-plan'!A:I,7,FALSE)</f>
        <v>4</v>
      </c>
      <c r="H4803" s="1" t="str">
        <f>VLOOKUP(B4803,'old-aw-skill-plan'!A:I,9,FALSE)</f>
        <v>4-4</v>
      </c>
    </row>
    <row r="4804" ht="15.75" customHeight="1">
      <c r="A4804" s="1" t="s">
        <v>197</v>
      </c>
      <c r="B4804" s="1" t="s">
        <v>99</v>
      </c>
      <c r="C4804" s="1" t="s">
        <v>11</v>
      </c>
      <c r="D4804" s="5">
        <v>45264.0</v>
      </c>
      <c r="G4804" s="1" t="str">
        <f>VLOOKUP(B4804,'old-aw-skill-plan'!A:I,7,FALSE)</f>
        <v>#N/A</v>
      </c>
      <c r="H4804" s="1" t="str">
        <f>VLOOKUP(B4804,'old-aw-skill-plan'!A:I,9,FALSE)</f>
        <v>#N/A</v>
      </c>
    </row>
    <row r="4805" ht="15.75" customHeight="1">
      <c r="A4805" s="1" t="s">
        <v>373</v>
      </c>
      <c r="B4805" s="1" t="s">
        <v>47</v>
      </c>
      <c r="C4805" s="1" t="s">
        <v>11</v>
      </c>
      <c r="D4805" s="5">
        <v>45264.0</v>
      </c>
      <c r="G4805" s="1">
        <f>VLOOKUP(B4805,'old-aw-skill-plan'!A:I,7,FALSE)</f>
        <v>3</v>
      </c>
      <c r="H4805" s="1" t="str">
        <f>VLOOKUP(B4805,'old-aw-skill-plan'!A:I,9,FALSE)</f>
        <v>3-2</v>
      </c>
    </row>
    <row r="4806" ht="15.75" customHeight="1">
      <c r="A4806" s="1" t="s">
        <v>462</v>
      </c>
      <c r="B4806" s="1" t="s">
        <v>44</v>
      </c>
      <c r="C4806" s="1" t="s">
        <v>11</v>
      </c>
      <c r="D4806" s="5">
        <v>45264.0</v>
      </c>
      <c r="G4806" s="1">
        <f>VLOOKUP(B4806,'old-aw-skill-plan'!A:I,7,FALSE)</f>
        <v>5</v>
      </c>
      <c r="H4806" s="1" t="str">
        <f>VLOOKUP(B4806,'old-aw-skill-plan'!A:I,9,FALSE)</f>
        <v>5-1</v>
      </c>
    </row>
    <row r="4807" ht="15.75" customHeight="1">
      <c r="A4807" s="1" t="s">
        <v>269</v>
      </c>
      <c r="B4807" s="1" t="s">
        <v>10</v>
      </c>
      <c r="C4807" s="1" t="s">
        <v>11</v>
      </c>
      <c r="D4807" s="5">
        <v>45264.0</v>
      </c>
      <c r="G4807" s="1">
        <f>VLOOKUP(B4807,'old-aw-skill-plan'!A:I,7,FALSE)</f>
        <v>3</v>
      </c>
      <c r="H4807" s="1" t="str">
        <f>VLOOKUP(B4807,'old-aw-skill-plan'!A:I,9,FALSE)</f>
        <v>3-1</v>
      </c>
    </row>
    <row r="4808" ht="15.75" customHeight="1">
      <c r="A4808" s="1" t="s">
        <v>265</v>
      </c>
      <c r="B4808" s="1" t="s">
        <v>25</v>
      </c>
      <c r="C4808" s="1" t="s">
        <v>11</v>
      </c>
      <c r="D4808" s="5">
        <v>45264.0</v>
      </c>
      <c r="G4808" s="1">
        <f>VLOOKUP(B4808,'old-aw-skill-plan'!A:I,7,FALSE)</f>
        <v>5</v>
      </c>
      <c r="H4808" s="1" t="str">
        <f>VLOOKUP(B4808,'old-aw-skill-plan'!A:I,9,FALSE)</f>
        <v>5-4</v>
      </c>
    </row>
    <row r="4809" ht="15.75" customHeight="1">
      <c r="A4809" s="1" t="s">
        <v>265</v>
      </c>
      <c r="B4809" s="1" t="s">
        <v>103</v>
      </c>
      <c r="C4809" s="1" t="s">
        <v>11</v>
      </c>
      <c r="D4809" s="5">
        <v>45264.0</v>
      </c>
      <c r="G4809" s="1">
        <f>VLOOKUP(B4809,'old-aw-skill-plan'!A:I,7,FALSE)</f>
        <v>5</v>
      </c>
      <c r="H4809" s="1" t="str">
        <f>VLOOKUP(B4809,'old-aw-skill-plan'!A:I,9,FALSE)</f>
        <v>5-3</v>
      </c>
    </row>
    <row r="4810" ht="15.75" customHeight="1">
      <c r="A4810" s="1" t="s">
        <v>90</v>
      </c>
      <c r="B4810" s="1" t="s">
        <v>47</v>
      </c>
      <c r="C4810" s="1" t="s">
        <v>11</v>
      </c>
      <c r="D4810" s="5">
        <v>45264.0</v>
      </c>
      <c r="G4810" s="1">
        <f>VLOOKUP(B4810,'old-aw-skill-plan'!A:I,7,FALSE)</f>
        <v>3</v>
      </c>
      <c r="H4810" s="1" t="str">
        <f>VLOOKUP(B4810,'old-aw-skill-plan'!A:I,9,FALSE)</f>
        <v>3-2</v>
      </c>
    </row>
    <row r="4811" ht="15.75" customHeight="1">
      <c r="A4811" s="1" t="s">
        <v>463</v>
      </c>
      <c r="B4811" s="1" t="s">
        <v>44</v>
      </c>
      <c r="C4811" s="1" t="s">
        <v>11</v>
      </c>
      <c r="D4811" s="5">
        <v>45264.0</v>
      </c>
      <c r="G4811" s="1">
        <f>VLOOKUP(B4811,'old-aw-skill-plan'!A:I,7,FALSE)</f>
        <v>5</v>
      </c>
      <c r="H4811" s="1" t="str">
        <f>VLOOKUP(B4811,'old-aw-skill-plan'!A:I,9,FALSE)</f>
        <v>5-1</v>
      </c>
    </row>
    <row r="4812" ht="15.75" customHeight="1">
      <c r="A4812" s="1" t="s">
        <v>93</v>
      </c>
      <c r="B4812" s="1" t="s">
        <v>99</v>
      </c>
      <c r="C4812" s="1" t="s">
        <v>11</v>
      </c>
      <c r="D4812" s="5">
        <v>45264.0</v>
      </c>
      <c r="G4812" s="1" t="str">
        <f>VLOOKUP(B4812,'old-aw-skill-plan'!A:I,7,FALSE)</f>
        <v>#N/A</v>
      </c>
      <c r="H4812" s="1" t="str">
        <f>VLOOKUP(B4812,'old-aw-skill-plan'!A:I,9,FALSE)</f>
        <v>#N/A</v>
      </c>
    </row>
    <row r="4813" ht="15.75" customHeight="1">
      <c r="A4813" s="1" t="s">
        <v>365</v>
      </c>
      <c r="B4813" s="1" t="s">
        <v>34</v>
      </c>
      <c r="C4813" s="1" t="s">
        <v>11</v>
      </c>
      <c r="D4813" s="5">
        <v>45264.0</v>
      </c>
      <c r="G4813" s="1">
        <f>VLOOKUP(B4813,'old-aw-skill-plan'!A:I,7,FALSE)</f>
        <v>4</v>
      </c>
      <c r="H4813" s="1" t="str">
        <f>VLOOKUP(B4813,'old-aw-skill-plan'!A:I,9,FALSE)</f>
        <v>4-1</v>
      </c>
    </row>
    <row r="4814" ht="15.75" customHeight="1">
      <c r="A4814" s="1" t="s">
        <v>94</v>
      </c>
      <c r="B4814" s="1" t="s">
        <v>28</v>
      </c>
      <c r="C4814" s="1" t="s">
        <v>11</v>
      </c>
      <c r="D4814" s="5">
        <v>45264.0</v>
      </c>
      <c r="G4814" s="1">
        <f>VLOOKUP(B4814,'old-aw-skill-plan'!A:I,7,FALSE)</f>
        <v>3</v>
      </c>
      <c r="H4814" s="1" t="str">
        <f>VLOOKUP(B4814,'old-aw-skill-plan'!A:I,9,FALSE)</f>
        <v>3-4</v>
      </c>
    </row>
    <row r="4815" ht="15.75" customHeight="1">
      <c r="A4815" s="1" t="s">
        <v>94</v>
      </c>
      <c r="B4815" s="1" t="s">
        <v>111</v>
      </c>
      <c r="C4815" s="1" t="s">
        <v>11</v>
      </c>
      <c r="D4815" s="5">
        <v>45264.0</v>
      </c>
      <c r="G4815" s="1" t="str">
        <f>VLOOKUP(B4815,'old-aw-skill-plan'!A:I,7,FALSE)</f>
        <v>#N/A</v>
      </c>
      <c r="H4815" s="1" t="str">
        <f>VLOOKUP(B4815,'old-aw-skill-plan'!A:I,9,FALSE)</f>
        <v>#N/A</v>
      </c>
    </row>
    <row r="4816" ht="15.75" customHeight="1">
      <c r="A4816" s="1" t="s">
        <v>94</v>
      </c>
      <c r="B4816" s="1" t="s">
        <v>425</v>
      </c>
      <c r="C4816" s="1" t="s">
        <v>11</v>
      </c>
      <c r="D4816" s="5">
        <v>45264.0</v>
      </c>
      <c r="G4816" s="1">
        <f>VLOOKUP(B4816,'old-aw-skill-plan'!A:I,7,FALSE)</f>
        <v>3</v>
      </c>
      <c r="H4816" s="1" t="str">
        <f>VLOOKUP(B4816,'old-aw-skill-plan'!A:I,9,FALSE)</f>
        <v>3-1</v>
      </c>
    </row>
    <row r="4817" ht="15.75" customHeight="1">
      <c r="A4817" s="1" t="s">
        <v>427</v>
      </c>
      <c r="B4817" s="1" t="s">
        <v>352</v>
      </c>
      <c r="C4817" s="1" t="s">
        <v>11</v>
      </c>
      <c r="D4817" s="5">
        <v>45264.0</v>
      </c>
      <c r="G4817" s="1">
        <f>VLOOKUP(B4817,'old-aw-skill-plan'!A:I,7,FALSE)</f>
        <v>3</v>
      </c>
      <c r="H4817" s="1" t="str">
        <f>VLOOKUP(B4817,'old-aw-skill-plan'!A:I,9,FALSE)</f>
        <v>3-2</v>
      </c>
    </row>
    <row r="4818" ht="15.75" customHeight="1">
      <c r="A4818" s="1" t="s">
        <v>110</v>
      </c>
      <c r="B4818" s="1" t="s">
        <v>47</v>
      </c>
      <c r="C4818" s="1" t="s">
        <v>11</v>
      </c>
      <c r="D4818" s="5">
        <v>45264.0</v>
      </c>
      <c r="G4818" s="1">
        <f>VLOOKUP(B4818,'old-aw-skill-plan'!A:I,7,FALSE)</f>
        <v>3</v>
      </c>
      <c r="H4818" s="1" t="str">
        <f>VLOOKUP(B4818,'old-aw-skill-plan'!A:I,9,FALSE)</f>
        <v>3-2</v>
      </c>
    </row>
    <row r="4819" ht="15.75" customHeight="1">
      <c r="A4819" s="1" t="s">
        <v>475</v>
      </c>
      <c r="B4819" s="1" t="s">
        <v>320</v>
      </c>
      <c r="C4819" s="1" t="s">
        <v>11</v>
      </c>
      <c r="D4819" s="5">
        <v>45263.0</v>
      </c>
      <c r="G4819" s="1">
        <f>VLOOKUP(B4819,'old-aw-skill-plan'!A:I,7,FALSE)</f>
        <v>4</v>
      </c>
      <c r="H4819" s="1" t="str">
        <f>VLOOKUP(B4819,'old-aw-skill-plan'!A:I,9,FALSE)</f>
        <v>4-2</v>
      </c>
    </row>
    <row r="4820" ht="15.75" customHeight="1">
      <c r="A4820" s="1" t="s">
        <v>454</v>
      </c>
      <c r="B4820" s="1" t="s">
        <v>37</v>
      </c>
      <c r="C4820" s="1" t="s">
        <v>11</v>
      </c>
      <c r="D4820" s="5">
        <v>45263.0</v>
      </c>
      <c r="G4820" s="1">
        <f>VLOOKUP(B4820,'old-aw-skill-plan'!A:I,7,FALSE)</f>
        <v>4</v>
      </c>
      <c r="H4820" s="1" t="str">
        <f>VLOOKUP(B4820,'old-aw-skill-plan'!A:I,9,FALSE)</f>
        <v>4-2</v>
      </c>
    </row>
    <row r="4821" ht="15.75" customHeight="1">
      <c r="A4821" s="1" t="s">
        <v>457</v>
      </c>
      <c r="B4821" s="1" t="s">
        <v>28</v>
      </c>
      <c r="C4821" s="1" t="s">
        <v>11</v>
      </c>
      <c r="D4821" s="5">
        <v>45263.0</v>
      </c>
      <c r="G4821" s="1">
        <f>VLOOKUP(B4821,'old-aw-skill-plan'!A:I,7,FALSE)</f>
        <v>3</v>
      </c>
      <c r="H4821" s="1" t="str">
        <f>VLOOKUP(B4821,'old-aw-skill-plan'!A:I,9,FALSE)</f>
        <v>3-4</v>
      </c>
    </row>
    <row r="4822" ht="15.75" customHeight="1">
      <c r="A4822" s="1" t="s">
        <v>457</v>
      </c>
      <c r="B4822" s="1" t="s">
        <v>111</v>
      </c>
      <c r="C4822" s="1" t="s">
        <v>11</v>
      </c>
      <c r="D4822" s="5">
        <v>45263.0</v>
      </c>
      <c r="G4822" s="1" t="str">
        <f>VLOOKUP(B4822,'old-aw-skill-plan'!A:I,7,FALSE)</f>
        <v>#N/A</v>
      </c>
      <c r="H4822" s="1" t="str">
        <f>VLOOKUP(B4822,'old-aw-skill-plan'!A:I,9,FALSE)</f>
        <v>#N/A</v>
      </c>
    </row>
    <row r="4823" ht="15.75" customHeight="1">
      <c r="A4823" s="1" t="s">
        <v>457</v>
      </c>
      <c r="B4823" s="1" t="s">
        <v>309</v>
      </c>
      <c r="C4823" s="1" t="s">
        <v>11</v>
      </c>
      <c r="D4823" s="5">
        <v>45263.0</v>
      </c>
      <c r="G4823" s="1">
        <f>VLOOKUP(B4823,'old-aw-skill-plan'!A:I,7,FALSE)</f>
        <v>4</v>
      </c>
      <c r="H4823" s="1" t="str">
        <f>VLOOKUP(B4823,'old-aw-skill-plan'!A:I,9,FALSE)</f>
        <v>4-1</v>
      </c>
    </row>
    <row r="4824" ht="15.75" customHeight="1">
      <c r="A4824" s="1" t="s">
        <v>214</v>
      </c>
      <c r="B4824" s="1" t="s">
        <v>30</v>
      </c>
      <c r="C4824" s="1" t="s">
        <v>11</v>
      </c>
      <c r="D4824" s="5">
        <v>45262.0</v>
      </c>
      <c r="G4824" s="1">
        <f>VLOOKUP(B4824,'old-aw-skill-plan'!A:I,7,FALSE)</f>
        <v>3</v>
      </c>
      <c r="H4824" s="1" t="str">
        <f>VLOOKUP(B4824,'old-aw-skill-plan'!A:I,9,FALSE)</f>
        <v>3-3</v>
      </c>
    </row>
    <row r="4825" ht="15.75" customHeight="1">
      <c r="A4825" s="1" t="s">
        <v>464</v>
      </c>
      <c r="B4825" s="1" t="s">
        <v>44</v>
      </c>
      <c r="C4825" s="1" t="s">
        <v>11</v>
      </c>
      <c r="D4825" s="5">
        <v>45261.0</v>
      </c>
      <c r="G4825" s="1">
        <f>VLOOKUP(B4825,'old-aw-skill-plan'!A:I,7,FALSE)</f>
        <v>5</v>
      </c>
      <c r="H4825" s="1" t="str">
        <f>VLOOKUP(B4825,'old-aw-skill-plan'!A:I,9,FALSE)</f>
        <v>5-1</v>
      </c>
    </row>
    <row r="4826" ht="15.75" customHeight="1">
      <c r="A4826" s="1" t="s">
        <v>22</v>
      </c>
      <c r="B4826" s="1" t="s">
        <v>61</v>
      </c>
      <c r="C4826" s="1" t="s">
        <v>11</v>
      </c>
      <c r="D4826" s="5">
        <v>45261.0</v>
      </c>
      <c r="G4826" s="1">
        <f>VLOOKUP(B4826,'old-aw-skill-plan'!A:I,7,FALSE)</f>
        <v>4</v>
      </c>
      <c r="H4826" s="1" t="str">
        <f>VLOOKUP(B4826,'old-aw-skill-plan'!A:I,9,FALSE)</f>
        <v>4-4</v>
      </c>
    </row>
    <row r="4827" ht="15.75" customHeight="1">
      <c r="A4827" s="1" t="s">
        <v>22</v>
      </c>
      <c r="B4827" s="1" t="s">
        <v>97</v>
      </c>
      <c r="C4827" s="1" t="s">
        <v>11</v>
      </c>
      <c r="D4827" s="5">
        <v>45261.0</v>
      </c>
      <c r="G4827" s="1">
        <f>VLOOKUP(B4827,'old-aw-skill-plan'!A:I,7,FALSE)</f>
        <v>4</v>
      </c>
      <c r="H4827" s="1" t="str">
        <f>VLOOKUP(B4827,'old-aw-skill-plan'!A:I,9,FALSE)</f>
        <v>4-3</v>
      </c>
    </row>
    <row r="4828" ht="15.75" customHeight="1">
      <c r="A4828" s="1" t="s">
        <v>35</v>
      </c>
      <c r="B4828" s="1" t="s">
        <v>99</v>
      </c>
      <c r="C4828" s="1" t="s">
        <v>11</v>
      </c>
      <c r="D4828" s="5">
        <v>45261.0</v>
      </c>
      <c r="G4828" s="1" t="str">
        <f>VLOOKUP(B4828,'old-aw-skill-plan'!A:I,7,FALSE)</f>
        <v>#N/A</v>
      </c>
      <c r="H4828" s="1" t="str">
        <f>VLOOKUP(B4828,'old-aw-skill-plan'!A:I,9,FALSE)</f>
        <v>#N/A</v>
      </c>
    </row>
    <row r="4829" ht="15.75" customHeight="1">
      <c r="A4829" s="1" t="s">
        <v>271</v>
      </c>
      <c r="B4829" s="1" t="s">
        <v>470</v>
      </c>
      <c r="C4829" s="1" t="s">
        <v>11</v>
      </c>
      <c r="D4829" s="5">
        <v>45261.0</v>
      </c>
      <c r="G4829" s="1" t="str">
        <f>VLOOKUP(B4829,'old-aw-skill-plan'!A:I,7,FALSE)</f>
        <v>#N/A</v>
      </c>
      <c r="H4829" s="1" t="str">
        <f>VLOOKUP(B4829,'old-aw-skill-plan'!A:I,9,FALSE)</f>
        <v>#N/A</v>
      </c>
    </row>
    <row r="4830" ht="15.75" customHeight="1">
      <c r="A4830" s="1" t="s">
        <v>271</v>
      </c>
      <c r="B4830" s="1" t="s">
        <v>385</v>
      </c>
      <c r="C4830" s="1" t="s">
        <v>11</v>
      </c>
      <c r="D4830" s="5">
        <v>45261.0</v>
      </c>
      <c r="G4830" s="1">
        <f>VLOOKUP(B4830,'old-aw-skill-plan'!A:I,7,FALSE)</f>
        <v>4</v>
      </c>
      <c r="H4830" s="1" t="str">
        <f>VLOOKUP(B4830,'old-aw-skill-plan'!A:I,9,FALSE)</f>
        <v>4-4</v>
      </c>
    </row>
    <row r="4831" ht="15.75" customHeight="1">
      <c r="A4831" s="1" t="s">
        <v>271</v>
      </c>
      <c r="B4831" s="1" t="s">
        <v>476</v>
      </c>
      <c r="C4831" s="1" t="s">
        <v>11</v>
      </c>
      <c r="D4831" s="5">
        <v>45261.0</v>
      </c>
      <c r="G4831" s="1" t="str">
        <f>VLOOKUP(B4831,'old-aw-skill-plan'!A:I,7,FALSE)</f>
        <v>#N/A</v>
      </c>
      <c r="H4831" s="1" t="str">
        <f>VLOOKUP(B4831,'old-aw-skill-plan'!A:I,9,FALSE)</f>
        <v>#N/A</v>
      </c>
    </row>
    <row r="4832" ht="15.75" customHeight="1">
      <c r="A4832" s="1" t="s">
        <v>271</v>
      </c>
      <c r="B4832" s="1" t="s">
        <v>44</v>
      </c>
      <c r="C4832" s="1" t="s">
        <v>11</v>
      </c>
      <c r="D4832" s="5">
        <v>45261.0</v>
      </c>
      <c r="G4832" s="1">
        <f>VLOOKUP(B4832,'old-aw-skill-plan'!A:I,7,FALSE)</f>
        <v>5</v>
      </c>
      <c r="H4832" s="1" t="str">
        <f>VLOOKUP(B4832,'old-aw-skill-plan'!A:I,9,FALSE)</f>
        <v>5-1</v>
      </c>
    </row>
    <row r="4833" ht="15.75" customHeight="1">
      <c r="A4833" s="1" t="s">
        <v>434</v>
      </c>
      <c r="B4833" s="1" t="s">
        <v>453</v>
      </c>
      <c r="C4833" s="1" t="s">
        <v>11</v>
      </c>
      <c r="D4833" s="5">
        <v>45261.0</v>
      </c>
      <c r="G4833" s="1">
        <f>VLOOKUP(B4833,'old-aw-skill-plan'!A:I,7,FALSE)</f>
        <v>3</v>
      </c>
      <c r="H4833" s="1" t="str">
        <f>VLOOKUP(B4833,'old-aw-skill-plan'!A:I,9,FALSE)</f>
        <v>3-4</v>
      </c>
    </row>
    <row r="4834" ht="15.75" customHeight="1">
      <c r="A4834" s="1" t="s">
        <v>434</v>
      </c>
      <c r="B4834" s="1" t="s">
        <v>466</v>
      </c>
      <c r="C4834" s="1" t="s">
        <v>11</v>
      </c>
      <c r="D4834" s="5">
        <v>45261.0</v>
      </c>
      <c r="G4834" s="1" t="str">
        <f>VLOOKUP(B4834,'old-aw-skill-plan'!A:I,7,FALSE)</f>
        <v>#N/A</v>
      </c>
      <c r="H4834" s="1" t="str">
        <f>VLOOKUP(B4834,'old-aw-skill-plan'!A:I,9,FALSE)</f>
        <v>#N/A</v>
      </c>
    </row>
    <row r="4835" ht="15.75" customHeight="1">
      <c r="A4835" s="1" t="s">
        <v>434</v>
      </c>
      <c r="B4835" s="1" t="s">
        <v>34</v>
      </c>
      <c r="C4835" s="1" t="s">
        <v>11</v>
      </c>
      <c r="D4835" s="5">
        <v>45261.0</v>
      </c>
      <c r="G4835" s="1">
        <f>VLOOKUP(B4835,'old-aw-skill-plan'!A:I,7,FALSE)</f>
        <v>4</v>
      </c>
      <c r="H4835" s="1" t="str">
        <f>VLOOKUP(B4835,'old-aw-skill-plan'!A:I,9,FALSE)</f>
        <v>4-1</v>
      </c>
    </row>
    <row r="4836" ht="15.75" customHeight="1">
      <c r="A4836" s="1" t="s">
        <v>213</v>
      </c>
      <c r="B4836" s="1" t="s">
        <v>47</v>
      </c>
      <c r="C4836" s="1" t="s">
        <v>11</v>
      </c>
      <c r="D4836" s="5">
        <v>45261.0</v>
      </c>
      <c r="G4836" s="1">
        <f>VLOOKUP(B4836,'old-aw-skill-plan'!A:I,7,FALSE)</f>
        <v>3</v>
      </c>
      <c r="H4836" s="1" t="str">
        <f>VLOOKUP(B4836,'old-aw-skill-plan'!A:I,9,FALSE)</f>
        <v>3-2</v>
      </c>
    </row>
    <row r="4837" ht="15.75" customHeight="1">
      <c r="A4837" s="1" t="s">
        <v>475</v>
      </c>
      <c r="B4837" s="1" t="s">
        <v>320</v>
      </c>
      <c r="C4837" s="1" t="s">
        <v>11</v>
      </c>
      <c r="D4837" s="5">
        <v>45261.0</v>
      </c>
      <c r="G4837" s="1">
        <f>VLOOKUP(B4837,'old-aw-skill-plan'!A:I,7,FALSE)</f>
        <v>4</v>
      </c>
      <c r="H4837" s="1" t="str">
        <f>VLOOKUP(B4837,'old-aw-skill-plan'!A:I,9,FALSE)</f>
        <v>4-2</v>
      </c>
    </row>
    <row r="4838" ht="15.75" customHeight="1">
      <c r="A4838" s="1" t="s">
        <v>199</v>
      </c>
      <c r="B4838" s="1" t="s">
        <v>34</v>
      </c>
      <c r="C4838" s="1" t="s">
        <v>11</v>
      </c>
      <c r="D4838" s="5">
        <v>45261.0</v>
      </c>
      <c r="G4838" s="1">
        <f>VLOOKUP(B4838,'old-aw-skill-plan'!A:I,7,FALSE)</f>
        <v>4</v>
      </c>
      <c r="H4838" s="1" t="str">
        <f>VLOOKUP(B4838,'old-aw-skill-plan'!A:I,9,FALSE)</f>
        <v>4-1</v>
      </c>
    </row>
    <row r="4839" ht="15.75" customHeight="1">
      <c r="A4839" s="1" t="s">
        <v>36</v>
      </c>
      <c r="B4839" s="1" t="s">
        <v>28</v>
      </c>
      <c r="C4839" s="1" t="s">
        <v>11</v>
      </c>
      <c r="D4839" s="5">
        <v>45261.0</v>
      </c>
      <c r="G4839" s="1">
        <f>VLOOKUP(B4839,'old-aw-skill-plan'!A:I,7,FALSE)</f>
        <v>3</v>
      </c>
      <c r="H4839" s="1" t="str">
        <f>VLOOKUP(B4839,'old-aw-skill-plan'!A:I,9,FALSE)</f>
        <v>3-4</v>
      </c>
    </row>
    <row r="4840" ht="15.75" customHeight="1">
      <c r="A4840" s="1" t="s">
        <v>469</v>
      </c>
      <c r="B4840" s="1" t="s">
        <v>34</v>
      </c>
      <c r="C4840" s="1" t="s">
        <v>11</v>
      </c>
      <c r="D4840" s="5">
        <v>45261.0</v>
      </c>
      <c r="G4840" s="1">
        <f>VLOOKUP(B4840,'old-aw-skill-plan'!A:I,7,FALSE)</f>
        <v>4</v>
      </c>
      <c r="H4840" s="1" t="str">
        <f>VLOOKUP(B4840,'old-aw-skill-plan'!A:I,9,FALSE)</f>
        <v>4-1</v>
      </c>
    </row>
    <row r="4841" ht="15.75" customHeight="1">
      <c r="A4841" s="1" t="s">
        <v>465</v>
      </c>
      <c r="B4841" s="1" t="s">
        <v>450</v>
      </c>
      <c r="C4841" s="1" t="s">
        <v>11</v>
      </c>
      <c r="D4841" s="5">
        <v>45261.0</v>
      </c>
      <c r="G4841" s="1">
        <f>VLOOKUP(B4841,'old-aw-skill-plan'!A:I,7,FALSE)</f>
        <v>3</v>
      </c>
      <c r="H4841" s="1" t="str">
        <f>VLOOKUP(B4841,'old-aw-skill-plan'!A:I,9,FALSE)</f>
        <v>3-4</v>
      </c>
    </row>
    <row r="4842" ht="15.75" customHeight="1">
      <c r="A4842" s="1" t="s">
        <v>465</v>
      </c>
      <c r="B4842" s="1" t="s">
        <v>466</v>
      </c>
      <c r="C4842" s="1" t="s">
        <v>11</v>
      </c>
      <c r="D4842" s="5">
        <v>45261.0</v>
      </c>
      <c r="G4842" s="1" t="str">
        <f>VLOOKUP(B4842,'old-aw-skill-plan'!A:I,7,FALSE)</f>
        <v>#N/A</v>
      </c>
      <c r="H4842" s="1" t="str">
        <f>VLOOKUP(B4842,'old-aw-skill-plan'!A:I,9,FALSE)</f>
        <v>#N/A</v>
      </c>
    </row>
    <row r="4843" ht="15.75" customHeight="1">
      <c r="A4843" s="1" t="s">
        <v>419</v>
      </c>
      <c r="B4843" s="1" t="s">
        <v>44</v>
      </c>
      <c r="C4843" s="1" t="s">
        <v>11</v>
      </c>
      <c r="D4843" s="5">
        <v>45261.0</v>
      </c>
      <c r="G4843" s="1">
        <f>VLOOKUP(B4843,'old-aw-skill-plan'!A:I,7,FALSE)</f>
        <v>5</v>
      </c>
      <c r="H4843" s="1" t="str">
        <f>VLOOKUP(B4843,'old-aw-skill-plan'!A:I,9,FALSE)</f>
        <v>5-1</v>
      </c>
    </row>
    <row r="4844" ht="15.75" customHeight="1">
      <c r="A4844" s="1" t="s">
        <v>459</v>
      </c>
      <c r="B4844" s="1" t="s">
        <v>28</v>
      </c>
      <c r="C4844" s="1" t="s">
        <v>11</v>
      </c>
      <c r="D4844" s="5">
        <v>45261.0</v>
      </c>
      <c r="G4844" s="1">
        <f>VLOOKUP(B4844,'old-aw-skill-plan'!A:I,7,FALSE)</f>
        <v>3</v>
      </c>
      <c r="H4844" s="1" t="str">
        <f>VLOOKUP(B4844,'old-aw-skill-plan'!A:I,9,FALSE)</f>
        <v>3-4</v>
      </c>
    </row>
    <row r="4845" ht="15.75" customHeight="1">
      <c r="A4845" s="1" t="s">
        <v>459</v>
      </c>
      <c r="B4845" s="1" t="s">
        <v>453</v>
      </c>
      <c r="C4845" s="1" t="s">
        <v>11</v>
      </c>
      <c r="D4845" s="5">
        <v>45261.0</v>
      </c>
      <c r="G4845" s="1">
        <f>VLOOKUP(B4845,'old-aw-skill-plan'!A:I,7,FALSE)</f>
        <v>3</v>
      </c>
      <c r="H4845" s="1" t="str">
        <f>VLOOKUP(B4845,'old-aw-skill-plan'!A:I,9,FALSE)</f>
        <v>3-4</v>
      </c>
    </row>
    <row r="4846" ht="15.75" customHeight="1">
      <c r="A4846" s="1" t="s">
        <v>459</v>
      </c>
      <c r="B4846" s="1" t="s">
        <v>467</v>
      </c>
      <c r="C4846" s="1" t="s">
        <v>11</v>
      </c>
      <c r="D4846" s="5">
        <v>45261.0</v>
      </c>
      <c r="G4846" s="1" t="str">
        <f>VLOOKUP(B4846,'old-aw-skill-plan'!A:I,7,FALSE)</f>
        <v>#N/A</v>
      </c>
      <c r="H4846" s="1" t="str">
        <f>VLOOKUP(B4846,'old-aw-skill-plan'!A:I,9,FALSE)</f>
        <v>#N/A</v>
      </c>
    </row>
    <row r="4847" ht="15.75" customHeight="1">
      <c r="A4847" s="1" t="s">
        <v>459</v>
      </c>
      <c r="B4847" s="1" t="s">
        <v>352</v>
      </c>
      <c r="C4847" s="1" t="s">
        <v>11</v>
      </c>
      <c r="D4847" s="5">
        <v>45261.0</v>
      </c>
      <c r="G4847" s="1">
        <f>VLOOKUP(B4847,'old-aw-skill-plan'!A:I,7,FALSE)</f>
        <v>3</v>
      </c>
      <c r="H4847" s="1" t="str">
        <f>VLOOKUP(B4847,'old-aw-skill-plan'!A:I,9,FALSE)</f>
        <v>3-2</v>
      </c>
    </row>
    <row r="4848" ht="15.75" customHeight="1">
      <c r="A4848" s="1" t="s">
        <v>56</v>
      </c>
      <c r="B4848" s="1" t="s">
        <v>28</v>
      </c>
      <c r="C4848" s="1" t="s">
        <v>11</v>
      </c>
      <c r="D4848" s="5">
        <v>45261.0</v>
      </c>
      <c r="G4848" s="1">
        <f>VLOOKUP(B4848,'old-aw-skill-plan'!A:I,7,FALSE)</f>
        <v>3</v>
      </c>
      <c r="H4848" s="1" t="str">
        <f>VLOOKUP(B4848,'old-aw-skill-plan'!A:I,9,FALSE)</f>
        <v>3-4</v>
      </c>
    </row>
    <row r="4849" ht="15.75" customHeight="1">
      <c r="A4849" s="1" t="s">
        <v>56</v>
      </c>
      <c r="B4849" s="1" t="s">
        <v>30</v>
      </c>
      <c r="C4849" s="1" t="s">
        <v>11</v>
      </c>
      <c r="D4849" s="5">
        <v>45261.0</v>
      </c>
      <c r="G4849" s="1">
        <f>VLOOKUP(B4849,'old-aw-skill-plan'!A:I,7,FALSE)</f>
        <v>3</v>
      </c>
      <c r="H4849" s="1" t="str">
        <f>VLOOKUP(B4849,'old-aw-skill-plan'!A:I,9,FALSE)</f>
        <v>3-3</v>
      </c>
    </row>
    <row r="4850" ht="15.75" customHeight="1">
      <c r="A4850" s="1" t="s">
        <v>81</v>
      </c>
      <c r="B4850" s="1" t="s">
        <v>309</v>
      </c>
      <c r="C4850" s="1" t="s">
        <v>11</v>
      </c>
      <c r="D4850" s="5">
        <v>45261.0</v>
      </c>
      <c r="G4850" s="1">
        <f>VLOOKUP(B4850,'old-aw-skill-plan'!A:I,7,FALSE)</f>
        <v>4</v>
      </c>
      <c r="H4850" s="1" t="str">
        <f>VLOOKUP(B4850,'old-aw-skill-plan'!A:I,9,FALSE)</f>
        <v>4-1</v>
      </c>
    </row>
    <row r="4851" ht="15.75" customHeight="1">
      <c r="A4851" s="1" t="s">
        <v>429</v>
      </c>
      <c r="B4851" s="1" t="s">
        <v>37</v>
      </c>
      <c r="C4851" s="1" t="s">
        <v>11</v>
      </c>
      <c r="D4851" s="5">
        <v>45261.0</v>
      </c>
      <c r="G4851" s="1">
        <f>VLOOKUP(B4851,'old-aw-skill-plan'!A:I,7,FALSE)</f>
        <v>4</v>
      </c>
      <c r="H4851" s="1" t="str">
        <f>VLOOKUP(B4851,'old-aw-skill-plan'!A:I,9,FALSE)</f>
        <v>4-2</v>
      </c>
    </row>
    <row r="4852" ht="15.75" customHeight="1">
      <c r="A4852" s="1" t="s">
        <v>428</v>
      </c>
      <c r="B4852" s="1" t="s">
        <v>61</v>
      </c>
      <c r="C4852" s="1" t="s">
        <v>11</v>
      </c>
      <c r="D4852" s="5">
        <v>45261.0</v>
      </c>
      <c r="G4852" s="1">
        <f>VLOOKUP(B4852,'old-aw-skill-plan'!A:I,7,FALSE)</f>
        <v>4</v>
      </c>
      <c r="H4852" s="1" t="str">
        <f>VLOOKUP(B4852,'old-aw-skill-plan'!A:I,9,FALSE)</f>
        <v>4-4</v>
      </c>
    </row>
    <row r="4853" ht="15.75" customHeight="1">
      <c r="A4853" s="1" t="s">
        <v>461</v>
      </c>
      <c r="B4853" s="1" t="s">
        <v>44</v>
      </c>
      <c r="C4853" s="1" t="s">
        <v>11</v>
      </c>
      <c r="D4853" s="5">
        <v>45261.0</v>
      </c>
      <c r="G4853" s="1">
        <f>VLOOKUP(B4853,'old-aw-skill-plan'!A:I,7,FALSE)</f>
        <v>5</v>
      </c>
      <c r="H4853" s="1" t="str">
        <f>VLOOKUP(B4853,'old-aw-skill-plan'!A:I,9,FALSE)</f>
        <v>5-1</v>
      </c>
    </row>
    <row r="4854" ht="15.75" customHeight="1">
      <c r="A4854" s="1" t="s">
        <v>95</v>
      </c>
      <c r="B4854" s="1" t="s">
        <v>47</v>
      </c>
      <c r="C4854" s="1" t="s">
        <v>11</v>
      </c>
      <c r="D4854" s="5">
        <v>45261.0</v>
      </c>
      <c r="G4854" s="1">
        <f>VLOOKUP(B4854,'old-aw-skill-plan'!A:I,7,FALSE)</f>
        <v>3</v>
      </c>
      <c r="H4854" s="1" t="str">
        <f>VLOOKUP(B4854,'old-aw-skill-plan'!A:I,9,FALSE)</f>
        <v>3-2</v>
      </c>
    </row>
    <row r="4855" ht="15.75" customHeight="1">
      <c r="A4855" s="1" t="s">
        <v>214</v>
      </c>
      <c r="B4855" s="1" t="s">
        <v>30</v>
      </c>
      <c r="C4855" s="1" t="s">
        <v>11</v>
      </c>
      <c r="D4855" s="5">
        <v>45261.0</v>
      </c>
      <c r="G4855" s="1">
        <f>VLOOKUP(B4855,'old-aw-skill-plan'!A:I,7,FALSE)</f>
        <v>3</v>
      </c>
      <c r="H4855" s="1" t="str">
        <f>VLOOKUP(B4855,'old-aw-skill-plan'!A:I,9,FALSE)</f>
        <v>3-3</v>
      </c>
    </row>
    <row r="4856" ht="15.75" customHeight="1">
      <c r="A4856" s="1" t="s">
        <v>197</v>
      </c>
      <c r="B4856" s="1" t="s">
        <v>61</v>
      </c>
      <c r="C4856" s="1" t="s">
        <v>11</v>
      </c>
      <c r="D4856" s="5">
        <v>45261.0</v>
      </c>
      <c r="G4856" s="1">
        <f>VLOOKUP(B4856,'old-aw-skill-plan'!A:I,7,FALSE)</f>
        <v>4</v>
      </c>
      <c r="H4856" s="1" t="str">
        <f>VLOOKUP(B4856,'old-aw-skill-plan'!A:I,9,FALSE)</f>
        <v>4-4</v>
      </c>
    </row>
    <row r="4857" ht="15.75" customHeight="1">
      <c r="A4857" s="1" t="s">
        <v>197</v>
      </c>
      <c r="B4857" s="1" t="s">
        <v>97</v>
      </c>
      <c r="C4857" s="1" t="s">
        <v>11</v>
      </c>
      <c r="D4857" s="5">
        <v>45261.0</v>
      </c>
      <c r="G4857" s="1">
        <f>VLOOKUP(B4857,'old-aw-skill-plan'!A:I,7,FALSE)</f>
        <v>4</v>
      </c>
      <c r="H4857" s="1" t="str">
        <f>VLOOKUP(B4857,'old-aw-skill-plan'!A:I,9,FALSE)</f>
        <v>4-3</v>
      </c>
    </row>
    <row r="4858" ht="15.75" customHeight="1">
      <c r="A4858" s="1" t="s">
        <v>373</v>
      </c>
      <c r="B4858" s="1" t="s">
        <v>47</v>
      </c>
      <c r="C4858" s="1" t="s">
        <v>11</v>
      </c>
      <c r="D4858" s="5">
        <v>45261.0</v>
      </c>
      <c r="G4858" s="1">
        <f>VLOOKUP(B4858,'old-aw-skill-plan'!A:I,7,FALSE)</f>
        <v>3</v>
      </c>
      <c r="H4858" s="1" t="str">
        <f>VLOOKUP(B4858,'old-aw-skill-plan'!A:I,9,FALSE)</f>
        <v>3-2</v>
      </c>
    </row>
    <row r="4859" ht="15.75" customHeight="1">
      <c r="A4859" s="1" t="s">
        <v>265</v>
      </c>
      <c r="B4859" s="1" t="s">
        <v>104</v>
      </c>
      <c r="C4859" s="1" t="s">
        <v>11</v>
      </c>
      <c r="D4859" s="5">
        <v>45261.0</v>
      </c>
      <c r="G4859" s="1">
        <f>VLOOKUP(B4859,'old-aw-skill-plan'!A:I,7,FALSE)</f>
        <v>5</v>
      </c>
      <c r="H4859" s="1" t="str">
        <f>VLOOKUP(B4859,'old-aw-skill-plan'!A:I,9,FALSE)</f>
        <v>5-2</v>
      </c>
    </row>
    <row r="4860" ht="15.75" customHeight="1">
      <c r="A4860" s="1" t="s">
        <v>463</v>
      </c>
      <c r="B4860" s="1" t="s">
        <v>44</v>
      </c>
      <c r="C4860" s="1" t="s">
        <v>11</v>
      </c>
      <c r="D4860" s="5">
        <v>45261.0</v>
      </c>
      <c r="G4860" s="1">
        <f>VLOOKUP(B4860,'old-aw-skill-plan'!A:I,7,FALSE)</f>
        <v>5</v>
      </c>
      <c r="H4860" s="1" t="str">
        <f>VLOOKUP(B4860,'old-aw-skill-plan'!A:I,9,FALSE)</f>
        <v>5-1</v>
      </c>
    </row>
    <row r="4861" ht="15.75" customHeight="1">
      <c r="A4861" s="1" t="s">
        <v>457</v>
      </c>
      <c r="B4861" s="1" t="s">
        <v>28</v>
      </c>
      <c r="C4861" s="1" t="s">
        <v>11</v>
      </c>
      <c r="D4861" s="5">
        <v>45261.0</v>
      </c>
      <c r="G4861" s="1">
        <f>VLOOKUP(B4861,'old-aw-skill-plan'!A:I,7,FALSE)</f>
        <v>3</v>
      </c>
      <c r="H4861" s="1" t="str">
        <f>VLOOKUP(B4861,'old-aw-skill-plan'!A:I,9,FALSE)</f>
        <v>3-4</v>
      </c>
    </row>
    <row r="4862" ht="15.75" customHeight="1">
      <c r="A4862" s="1" t="s">
        <v>457</v>
      </c>
      <c r="B4862" s="1" t="s">
        <v>383</v>
      </c>
      <c r="C4862" s="1" t="s">
        <v>11</v>
      </c>
      <c r="D4862" s="5">
        <v>45261.0</v>
      </c>
      <c r="G4862" s="1">
        <f>VLOOKUP(B4862,'old-aw-skill-plan'!A:I,7,FALSE)</f>
        <v>3</v>
      </c>
      <c r="H4862" s="1" t="str">
        <f>VLOOKUP(B4862,'old-aw-skill-plan'!A:I,9,FALSE)</f>
        <v>3-3</v>
      </c>
    </row>
    <row r="4863" ht="15.75" customHeight="1">
      <c r="A4863" s="1" t="s">
        <v>457</v>
      </c>
      <c r="B4863" s="1" t="s">
        <v>450</v>
      </c>
      <c r="C4863" s="1" t="s">
        <v>11</v>
      </c>
      <c r="D4863" s="5">
        <v>45261.0</v>
      </c>
      <c r="G4863" s="1">
        <f>VLOOKUP(B4863,'old-aw-skill-plan'!A:I,7,FALSE)</f>
        <v>3</v>
      </c>
      <c r="H4863" s="1" t="str">
        <f>VLOOKUP(B4863,'old-aw-skill-plan'!A:I,9,FALSE)</f>
        <v>3-4</v>
      </c>
    </row>
    <row r="4864" ht="15.75" customHeight="1">
      <c r="A4864" s="1" t="s">
        <v>457</v>
      </c>
      <c r="B4864" s="1" t="s">
        <v>377</v>
      </c>
      <c r="C4864" s="1" t="s">
        <v>11</v>
      </c>
      <c r="D4864" s="5">
        <v>45261.0</v>
      </c>
      <c r="G4864" s="1">
        <f>VLOOKUP(B4864,'old-aw-skill-plan'!A:I,7,FALSE)</f>
        <v>3</v>
      </c>
      <c r="H4864" s="1" t="str">
        <f>VLOOKUP(B4864,'old-aw-skill-plan'!A:I,9,FALSE)</f>
        <v>3-3</v>
      </c>
    </row>
    <row r="4865" ht="15.75" customHeight="1">
      <c r="A4865" s="1" t="s">
        <v>457</v>
      </c>
      <c r="B4865" s="1" t="s">
        <v>466</v>
      </c>
      <c r="C4865" s="1" t="s">
        <v>11</v>
      </c>
      <c r="D4865" s="5">
        <v>45261.0</v>
      </c>
      <c r="G4865" s="1" t="str">
        <f>VLOOKUP(B4865,'old-aw-skill-plan'!A:I,7,FALSE)</f>
        <v>#N/A</v>
      </c>
      <c r="H4865" s="1" t="str">
        <f>VLOOKUP(B4865,'old-aw-skill-plan'!A:I,9,FALSE)</f>
        <v>#N/A</v>
      </c>
    </row>
    <row r="4866" ht="15.75" customHeight="1">
      <c r="A4866" s="1" t="s">
        <v>457</v>
      </c>
      <c r="B4866" s="1" t="s">
        <v>34</v>
      </c>
      <c r="C4866" s="1" t="s">
        <v>11</v>
      </c>
      <c r="D4866" s="5">
        <v>45261.0</v>
      </c>
      <c r="G4866" s="1">
        <f>VLOOKUP(B4866,'old-aw-skill-plan'!A:I,7,FALSE)</f>
        <v>4</v>
      </c>
      <c r="H4866" s="1" t="str">
        <f>VLOOKUP(B4866,'old-aw-skill-plan'!A:I,9,FALSE)</f>
        <v>4-1</v>
      </c>
    </row>
    <row r="4867" ht="15.75" customHeight="1">
      <c r="A4867" s="1" t="s">
        <v>457</v>
      </c>
      <c r="B4867" s="1" t="s">
        <v>37</v>
      </c>
      <c r="C4867" s="1" t="s">
        <v>11</v>
      </c>
      <c r="D4867" s="5">
        <v>45261.0</v>
      </c>
      <c r="G4867" s="1">
        <f>VLOOKUP(B4867,'old-aw-skill-plan'!A:I,7,FALSE)</f>
        <v>4</v>
      </c>
      <c r="H4867" s="1" t="str">
        <f>VLOOKUP(B4867,'old-aw-skill-plan'!A:I,9,FALSE)</f>
        <v>4-2</v>
      </c>
    </row>
    <row r="4868" ht="15.75" customHeight="1">
      <c r="A4868" s="1" t="s">
        <v>93</v>
      </c>
      <c r="B4868" s="1" t="s">
        <v>61</v>
      </c>
      <c r="C4868" s="1" t="s">
        <v>11</v>
      </c>
      <c r="D4868" s="5">
        <v>45261.0</v>
      </c>
      <c r="G4868" s="1">
        <f>VLOOKUP(B4868,'old-aw-skill-plan'!A:I,7,FALSE)</f>
        <v>4</v>
      </c>
      <c r="H4868" s="1" t="str">
        <f>VLOOKUP(B4868,'old-aw-skill-plan'!A:I,9,FALSE)</f>
        <v>4-4</v>
      </c>
    </row>
    <row r="4869" ht="15.75" customHeight="1">
      <c r="A4869" s="1" t="s">
        <v>365</v>
      </c>
      <c r="B4869" s="1" t="s">
        <v>34</v>
      </c>
      <c r="C4869" s="1" t="s">
        <v>11</v>
      </c>
      <c r="D4869" s="5">
        <v>45261.0</v>
      </c>
      <c r="G4869" s="1">
        <f>VLOOKUP(B4869,'old-aw-skill-plan'!A:I,7,FALSE)</f>
        <v>4</v>
      </c>
      <c r="H4869" s="1" t="str">
        <f>VLOOKUP(B4869,'old-aw-skill-plan'!A:I,9,FALSE)</f>
        <v>4-1</v>
      </c>
    </row>
    <row r="4870" ht="15.75" customHeight="1">
      <c r="A4870" s="1" t="s">
        <v>94</v>
      </c>
      <c r="B4870" s="1" t="s">
        <v>111</v>
      </c>
      <c r="C4870" s="1" t="s">
        <v>11</v>
      </c>
      <c r="D4870" s="5">
        <v>45261.0</v>
      </c>
      <c r="G4870" s="1" t="str">
        <f>VLOOKUP(B4870,'old-aw-skill-plan'!A:I,7,FALSE)</f>
        <v>#N/A</v>
      </c>
      <c r="H4870" s="1" t="str">
        <f>VLOOKUP(B4870,'old-aw-skill-plan'!A:I,9,FALSE)</f>
        <v>#N/A</v>
      </c>
    </row>
    <row r="4871" ht="15.75" customHeight="1">
      <c r="A4871" s="1" t="s">
        <v>468</v>
      </c>
      <c r="B4871" s="1" t="s">
        <v>10</v>
      </c>
      <c r="C4871" s="1" t="s">
        <v>11</v>
      </c>
      <c r="D4871" s="5">
        <v>45261.0</v>
      </c>
      <c r="G4871" s="1">
        <f>VLOOKUP(B4871,'old-aw-skill-plan'!A:I,7,FALSE)</f>
        <v>3</v>
      </c>
      <c r="H4871" s="1" t="str">
        <f>VLOOKUP(B4871,'old-aw-skill-plan'!A:I,9,FALSE)</f>
        <v>3-1</v>
      </c>
    </row>
    <row r="4872" ht="15.75" customHeight="1">
      <c r="A4872" s="1" t="s">
        <v>468</v>
      </c>
      <c r="B4872" s="1" t="s">
        <v>398</v>
      </c>
      <c r="C4872" s="1" t="s">
        <v>11</v>
      </c>
      <c r="D4872" s="5">
        <v>45261.0</v>
      </c>
      <c r="G4872" s="1" t="str">
        <f>VLOOKUP(B4872,'old-aw-skill-plan'!A:I,7,FALSE)</f>
        <v>#N/A</v>
      </c>
      <c r="H4872" s="1" t="str">
        <f>VLOOKUP(B4872,'old-aw-skill-plan'!A:I,9,FALSE)</f>
        <v>#N/A</v>
      </c>
    </row>
    <row r="4873" ht="15.75" customHeight="1">
      <c r="A4873" s="1" t="s">
        <v>225</v>
      </c>
      <c r="B4873" s="1" t="s">
        <v>34</v>
      </c>
      <c r="C4873" s="1" t="s">
        <v>11</v>
      </c>
      <c r="D4873" s="5">
        <v>45261.0</v>
      </c>
      <c r="G4873" s="1">
        <f>VLOOKUP(B4873,'old-aw-skill-plan'!A:I,7,FALSE)</f>
        <v>4</v>
      </c>
      <c r="H4873" s="1" t="str">
        <f>VLOOKUP(B4873,'old-aw-skill-plan'!A:I,9,FALSE)</f>
        <v>4-1</v>
      </c>
    </row>
    <row r="4874" ht="15.75" customHeight="1">
      <c r="A4874" s="1" t="s">
        <v>427</v>
      </c>
      <c r="B4874" s="1" t="s">
        <v>425</v>
      </c>
      <c r="C4874" s="1" t="s">
        <v>11</v>
      </c>
      <c r="D4874" s="5">
        <v>45261.0</v>
      </c>
      <c r="G4874" s="1">
        <f>VLOOKUP(B4874,'old-aw-skill-plan'!A:I,7,FALSE)</f>
        <v>3</v>
      </c>
      <c r="H4874" s="1" t="str">
        <f>VLOOKUP(B4874,'old-aw-skill-plan'!A:I,9,FALSE)</f>
        <v>3-1</v>
      </c>
    </row>
    <row r="4875" ht="15.75" customHeight="1">
      <c r="A4875" s="1" t="s">
        <v>464</v>
      </c>
      <c r="B4875" s="1" t="s">
        <v>44</v>
      </c>
      <c r="C4875" s="1" t="s">
        <v>11</v>
      </c>
      <c r="D4875" s="5">
        <v>45260.0</v>
      </c>
      <c r="G4875" s="1">
        <f>VLOOKUP(B4875,'old-aw-skill-plan'!A:I,7,FALSE)</f>
        <v>5</v>
      </c>
      <c r="H4875" s="1" t="str">
        <f>VLOOKUP(B4875,'old-aw-skill-plan'!A:I,9,FALSE)</f>
        <v>5-1</v>
      </c>
    </row>
    <row r="4876" ht="15.75" customHeight="1">
      <c r="A4876" s="1" t="s">
        <v>22</v>
      </c>
      <c r="B4876" s="1" t="s">
        <v>97</v>
      </c>
      <c r="C4876" s="1" t="s">
        <v>11</v>
      </c>
      <c r="D4876" s="5">
        <v>45260.0</v>
      </c>
      <c r="G4876" s="1">
        <f>VLOOKUP(B4876,'old-aw-skill-plan'!A:I,7,FALSE)</f>
        <v>4</v>
      </c>
      <c r="H4876" s="1" t="str">
        <f>VLOOKUP(B4876,'old-aw-skill-plan'!A:I,9,FALSE)</f>
        <v>4-3</v>
      </c>
    </row>
    <row r="4877" ht="15.75" customHeight="1">
      <c r="A4877" s="1" t="s">
        <v>474</v>
      </c>
      <c r="B4877" s="1" t="s">
        <v>10</v>
      </c>
      <c r="C4877" s="1" t="s">
        <v>11</v>
      </c>
      <c r="D4877" s="5">
        <v>45260.0</v>
      </c>
      <c r="G4877" s="1">
        <f>VLOOKUP(B4877,'old-aw-skill-plan'!A:I,7,FALSE)</f>
        <v>3</v>
      </c>
      <c r="H4877" s="1" t="str">
        <f>VLOOKUP(B4877,'old-aw-skill-plan'!A:I,9,FALSE)</f>
        <v>3-1</v>
      </c>
    </row>
    <row r="4878" ht="15.75" customHeight="1">
      <c r="A4878" s="1" t="s">
        <v>434</v>
      </c>
      <c r="B4878" s="1" t="s">
        <v>466</v>
      </c>
      <c r="C4878" s="1" t="s">
        <v>11</v>
      </c>
      <c r="D4878" s="5">
        <v>45260.0</v>
      </c>
      <c r="G4878" s="1" t="str">
        <f>VLOOKUP(B4878,'old-aw-skill-plan'!A:I,7,FALSE)</f>
        <v>#N/A</v>
      </c>
      <c r="H4878" s="1" t="str">
        <f>VLOOKUP(B4878,'old-aw-skill-plan'!A:I,9,FALSE)</f>
        <v>#N/A</v>
      </c>
    </row>
    <row r="4879" ht="15.75" customHeight="1">
      <c r="A4879" s="1" t="s">
        <v>460</v>
      </c>
      <c r="B4879" s="1" t="s">
        <v>44</v>
      </c>
      <c r="C4879" s="1" t="s">
        <v>11</v>
      </c>
      <c r="D4879" s="5">
        <v>45260.0</v>
      </c>
      <c r="G4879" s="1">
        <f>VLOOKUP(B4879,'old-aw-skill-plan'!A:I,7,FALSE)</f>
        <v>5</v>
      </c>
      <c r="H4879" s="1" t="str">
        <f>VLOOKUP(B4879,'old-aw-skill-plan'!A:I,9,FALSE)</f>
        <v>5-1</v>
      </c>
    </row>
    <row r="4880" ht="15.75" customHeight="1">
      <c r="A4880" s="1" t="s">
        <v>460</v>
      </c>
      <c r="B4880" s="1" t="s">
        <v>104</v>
      </c>
      <c r="C4880" s="1" t="s">
        <v>11</v>
      </c>
      <c r="D4880" s="5">
        <v>45260.0</v>
      </c>
      <c r="G4880" s="1">
        <f>VLOOKUP(B4880,'old-aw-skill-plan'!A:I,7,FALSE)</f>
        <v>5</v>
      </c>
      <c r="H4880" s="1" t="str">
        <f>VLOOKUP(B4880,'old-aw-skill-plan'!A:I,9,FALSE)</f>
        <v>5-2</v>
      </c>
    </row>
    <row r="4881" ht="15.75" customHeight="1">
      <c r="A4881" s="1" t="s">
        <v>419</v>
      </c>
      <c r="B4881" s="1" t="s">
        <v>44</v>
      </c>
      <c r="C4881" s="1" t="s">
        <v>11</v>
      </c>
      <c r="D4881" s="5">
        <v>45260.0</v>
      </c>
      <c r="G4881" s="1">
        <f>VLOOKUP(B4881,'old-aw-skill-plan'!A:I,7,FALSE)</f>
        <v>5</v>
      </c>
      <c r="H4881" s="1" t="str">
        <f>VLOOKUP(B4881,'old-aw-skill-plan'!A:I,9,FALSE)</f>
        <v>5-1</v>
      </c>
    </row>
    <row r="4882" ht="15.75" customHeight="1">
      <c r="A4882" s="1" t="s">
        <v>454</v>
      </c>
      <c r="B4882" s="1" t="s">
        <v>34</v>
      </c>
      <c r="C4882" s="1" t="s">
        <v>11</v>
      </c>
      <c r="D4882" s="5">
        <v>45260.0</v>
      </c>
      <c r="G4882" s="1">
        <f>VLOOKUP(B4882,'old-aw-skill-plan'!A:I,7,FALSE)</f>
        <v>4</v>
      </c>
      <c r="H4882" s="1" t="str">
        <f>VLOOKUP(B4882,'old-aw-skill-plan'!A:I,9,FALSE)</f>
        <v>4-1</v>
      </c>
    </row>
    <row r="4883" ht="15.75" customHeight="1">
      <c r="A4883" s="1" t="s">
        <v>473</v>
      </c>
      <c r="B4883" s="1" t="s">
        <v>10</v>
      </c>
      <c r="C4883" s="1" t="s">
        <v>11</v>
      </c>
      <c r="D4883" s="5">
        <v>45260.0</v>
      </c>
      <c r="G4883" s="1">
        <f>VLOOKUP(B4883,'old-aw-skill-plan'!A:I,7,FALSE)</f>
        <v>3</v>
      </c>
      <c r="H4883" s="1" t="str">
        <f>VLOOKUP(B4883,'old-aw-skill-plan'!A:I,9,FALSE)</f>
        <v>3-1</v>
      </c>
    </row>
    <row r="4884" ht="15.75" customHeight="1">
      <c r="A4884" s="1" t="s">
        <v>429</v>
      </c>
      <c r="B4884" s="1" t="s">
        <v>37</v>
      </c>
      <c r="C4884" s="1" t="s">
        <v>11</v>
      </c>
      <c r="D4884" s="5">
        <v>45260.0</v>
      </c>
      <c r="G4884" s="1">
        <f>VLOOKUP(B4884,'old-aw-skill-plan'!A:I,7,FALSE)</f>
        <v>4</v>
      </c>
      <c r="H4884" s="1" t="str">
        <f>VLOOKUP(B4884,'old-aw-skill-plan'!A:I,9,FALSE)</f>
        <v>4-2</v>
      </c>
    </row>
    <row r="4885" ht="15.75" customHeight="1">
      <c r="A4885" s="1" t="s">
        <v>230</v>
      </c>
      <c r="B4885" s="1" t="s">
        <v>30</v>
      </c>
      <c r="C4885" s="1" t="s">
        <v>11</v>
      </c>
      <c r="D4885" s="5">
        <v>45260.0</v>
      </c>
      <c r="G4885" s="1">
        <f>VLOOKUP(B4885,'old-aw-skill-plan'!A:I,7,FALSE)</f>
        <v>3</v>
      </c>
      <c r="H4885" s="1" t="str">
        <f>VLOOKUP(B4885,'old-aw-skill-plan'!A:I,9,FALSE)</f>
        <v>3-3</v>
      </c>
    </row>
    <row r="4886" ht="15.75" customHeight="1">
      <c r="A4886" s="1" t="s">
        <v>230</v>
      </c>
      <c r="B4886" s="1" t="s">
        <v>307</v>
      </c>
      <c r="C4886" s="1" t="s">
        <v>11</v>
      </c>
      <c r="D4886" s="5">
        <v>45260.0</v>
      </c>
      <c r="G4886" s="1">
        <f>VLOOKUP(B4886,'old-aw-skill-plan'!A:I,7,FALSE)</f>
        <v>3</v>
      </c>
      <c r="H4886" s="1" t="str">
        <f>VLOOKUP(B4886,'old-aw-skill-plan'!A:I,9,FALSE)</f>
        <v>3-1</v>
      </c>
    </row>
    <row r="4887" ht="15.75" customHeight="1">
      <c r="A4887" s="1" t="s">
        <v>60</v>
      </c>
      <c r="B4887" s="1" t="s">
        <v>34</v>
      </c>
      <c r="C4887" s="1" t="s">
        <v>11</v>
      </c>
      <c r="D4887" s="5">
        <v>45260.0</v>
      </c>
      <c r="G4887" s="1">
        <f>VLOOKUP(B4887,'old-aw-skill-plan'!A:I,7,FALSE)</f>
        <v>4</v>
      </c>
      <c r="H4887" s="1" t="str">
        <f>VLOOKUP(B4887,'old-aw-skill-plan'!A:I,9,FALSE)</f>
        <v>4-1</v>
      </c>
    </row>
    <row r="4888" ht="15.75" customHeight="1">
      <c r="A4888" s="1" t="s">
        <v>471</v>
      </c>
      <c r="B4888" s="1" t="s">
        <v>30</v>
      </c>
      <c r="C4888" s="1" t="s">
        <v>11</v>
      </c>
      <c r="D4888" s="5">
        <v>45260.0</v>
      </c>
      <c r="G4888" s="1">
        <f>VLOOKUP(B4888,'old-aw-skill-plan'!A:I,7,FALSE)</f>
        <v>3</v>
      </c>
      <c r="H4888" s="1" t="str">
        <f>VLOOKUP(B4888,'old-aw-skill-plan'!A:I,9,FALSE)</f>
        <v>3-3</v>
      </c>
    </row>
    <row r="4889" ht="15.75" customHeight="1">
      <c r="A4889" s="1" t="s">
        <v>95</v>
      </c>
      <c r="B4889" s="1" t="s">
        <v>47</v>
      </c>
      <c r="C4889" s="1" t="s">
        <v>11</v>
      </c>
      <c r="D4889" s="5">
        <v>45260.0</v>
      </c>
      <c r="G4889" s="1">
        <f>VLOOKUP(B4889,'old-aw-skill-plan'!A:I,7,FALSE)</f>
        <v>3</v>
      </c>
      <c r="H4889" s="1" t="str">
        <f>VLOOKUP(B4889,'old-aw-skill-plan'!A:I,9,FALSE)</f>
        <v>3-2</v>
      </c>
    </row>
    <row r="4890" ht="15.75" customHeight="1">
      <c r="A4890" s="1" t="s">
        <v>214</v>
      </c>
      <c r="B4890" s="1" t="s">
        <v>30</v>
      </c>
      <c r="C4890" s="1" t="s">
        <v>11</v>
      </c>
      <c r="D4890" s="5">
        <v>45260.0</v>
      </c>
      <c r="G4890" s="1">
        <f>VLOOKUP(B4890,'old-aw-skill-plan'!A:I,7,FALSE)</f>
        <v>3</v>
      </c>
      <c r="H4890" s="1" t="str">
        <f>VLOOKUP(B4890,'old-aw-skill-plan'!A:I,9,FALSE)</f>
        <v>3-3</v>
      </c>
    </row>
    <row r="4891" ht="15.75" customHeight="1">
      <c r="A4891" s="1" t="s">
        <v>373</v>
      </c>
      <c r="B4891" s="1" t="s">
        <v>47</v>
      </c>
      <c r="C4891" s="1" t="s">
        <v>11</v>
      </c>
      <c r="D4891" s="5">
        <v>45260.0</v>
      </c>
      <c r="G4891" s="1">
        <f>VLOOKUP(B4891,'old-aw-skill-plan'!A:I,7,FALSE)</f>
        <v>3</v>
      </c>
      <c r="H4891" s="1" t="str">
        <f>VLOOKUP(B4891,'old-aw-skill-plan'!A:I,9,FALSE)</f>
        <v>3-2</v>
      </c>
    </row>
    <row r="4892" ht="15.75" customHeight="1">
      <c r="A4892" s="1" t="s">
        <v>462</v>
      </c>
      <c r="B4892" s="1" t="s">
        <v>44</v>
      </c>
      <c r="C4892" s="1" t="s">
        <v>11</v>
      </c>
      <c r="D4892" s="5">
        <v>45260.0</v>
      </c>
      <c r="G4892" s="1">
        <f>VLOOKUP(B4892,'old-aw-skill-plan'!A:I,7,FALSE)</f>
        <v>5</v>
      </c>
      <c r="H4892" s="1" t="str">
        <f>VLOOKUP(B4892,'old-aw-skill-plan'!A:I,9,FALSE)</f>
        <v>5-1</v>
      </c>
    </row>
    <row r="4893" ht="15.75" customHeight="1">
      <c r="A4893" s="1" t="s">
        <v>74</v>
      </c>
      <c r="B4893" s="1" t="s">
        <v>330</v>
      </c>
      <c r="C4893" s="1" t="s">
        <v>11</v>
      </c>
      <c r="D4893" s="5">
        <v>45260.0</v>
      </c>
      <c r="G4893" s="1" t="str">
        <f>VLOOKUP(B4893,'old-aw-skill-plan'!A:I,7,FALSE)</f>
        <v>#N/A</v>
      </c>
      <c r="H4893" s="1" t="str">
        <f>VLOOKUP(B4893,'old-aw-skill-plan'!A:I,9,FALSE)</f>
        <v>#N/A</v>
      </c>
    </row>
    <row r="4894" ht="15.75" customHeight="1">
      <c r="A4894" s="1" t="s">
        <v>269</v>
      </c>
      <c r="B4894" s="1" t="s">
        <v>10</v>
      </c>
      <c r="C4894" s="1" t="s">
        <v>11</v>
      </c>
      <c r="D4894" s="5">
        <v>45260.0</v>
      </c>
      <c r="G4894" s="1">
        <f>VLOOKUP(B4894,'old-aw-skill-plan'!A:I,7,FALSE)</f>
        <v>3</v>
      </c>
      <c r="H4894" s="1" t="str">
        <f>VLOOKUP(B4894,'old-aw-skill-plan'!A:I,9,FALSE)</f>
        <v>3-1</v>
      </c>
    </row>
    <row r="4895" ht="15.75" customHeight="1">
      <c r="A4895" s="1" t="s">
        <v>269</v>
      </c>
      <c r="B4895" s="1" t="s">
        <v>30</v>
      </c>
      <c r="C4895" s="1" t="s">
        <v>11</v>
      </c>
      <c r="D4895" s="5">
        <v>45260.0</v>
      </c>
      <c r="G4895" s="1">
        <f>VLOOKUP(B4895,'old-aw-skill-plan'!A:I,7,FALSE)</f>
        <v>3</v>
      </c>
      <c r="H4895" s="1" t="str">
        <f>VLOOKUP(B4895,'old-aw-skill-plan'!A:I,9,FALSE)</f>
        <v>3-3</v>
      </c>
    </row>
    <row r="4896" ht="15.75" customHeight="1">
      <c r="A4896" s="1" t="s">
        <v>269</v>
      </c>
      <c r="B4896" s="1" t="s">
        <v>47</v>
      </c>
      <c r="C4896" s="1" t="s">
        <v>11</v>
      </c>
      <c r="D4896" s="5">
        <v>45260.0</v>
      </c>
      <c r="G4896" s="1">
        <f>VLOOKUP(B4896,'old-aw-skill-plan'!A:I,7,FALSE)</f>
        <v>3</v>
      </c>
      <c r="H4896" s="1" t="str">
        <f>VLOOKUP(B4896,'old-aw-skill-plan'!A:I,9,FALSE)</f>
        <v>3-2</v>
      </c>
    </row>
    <row r="4897" ht="15.75" customHeight="1">
      <c r="A4897" s="1" t="s">
        <v>265</v>
      </c>
      <c r="B4897" s="1" t="s">
        <v>104</v>
      </c>
      <c r="C4897" s="1" t="s">
        <v>11</v>
      </c>
      <c r="D4897" s="5">
        <v>45260.0</v>
      </c>
      <c r="G4897" s="1">
        <f>VLOOKUP(B4897,'old-aw-skill-plan'!A:I,7,FALSE)</f>
        <v>5</v>
      </c>
      <c r="H4897" s="1" t="str">
        <f>VLOOKUP(B4897,'old-aw-skill-plan'!A:I,9,FALSE)</f>
        <v>5-2</v>
      </c>
    </row>
    <row r="4898" ht="15.75" customHeight="1">
      <c r="A4898" s="1" t="s">
        <v>90</v>
      </c>
      <c r="B4898" s="1" t="s">
        <v>28</v>
      </c>
      <c r="C4898" s="1" t="s">
        <v>11</v>
      </c>
      <c r="D4898" s="5">
        <v>45260.0</v>
      </c>
      <c r="G4898" s="1">
        <f>VLOOKUP(B4898,'old-aw-skill-plan'!A:I,7,FALSE)</f>
        <v>3</v>
      </c>
      <c r="H4898" s="1" t="str">
        <f>VLOOKUP(B4898,'old-aw-skill-plan'!A:I,9,FALSE)</f>
        <v>3-4</v>
      </c>
    </row>
    <row r="4899" ht="15.75" customHeight="1">
      <c r="A4899" s="1" t="s">
        <v>90</v>
      </c>
      <c r="B4899" s="1" t="s">
        <v>30</v>
      </c>
      <c r="C4899" s="1" t="s">
        <v>11</v>
      </c>
      <c r="D4899" s="5">
        <v>45260.0</v>
      </c>
      <c r="G4899" s="1">
        <f>VLOOKUP(B4899,'old-aw-skill-plan'!A:I,7,FALSE)</f>
        <v>3</v>
      </c>
      <c r="H4899" s="1" t="str">
        <f>VLOOKUP(B4899,'old-aw-skill-plan'!A:I,9,FALSE)</f>
        <v>3-3</v>
      </c>
    </row>
    <row r="4900" ht="15.75" customHeight="1">
      <c r="A4900" s="1" t="s">
        <v>90</v>
      </c>
      <c r="B4900" s="1" t="s">
        <v>47</v>
      </c>
      <c r="C4900" s="1" t="s">
        <v>11</v>
      </c>
      <c r="D4900" s="5">
        <v>45260.0</v>
      </c>
      <c r="G4900" s="1">
        <f>VLOOKUP(B4900,'old-aw-skill-plan'!A:I,7,FALSE)</f>
        <v>3</v>
      </c>
      <c r="H4900" s="1" t="str">
        <f>VLOOKUP(B4900,'old-aw-skill-plan'!A:I,9,FALSE)</f>
        <v>3-2</v>
      </c>
    </row>
    <row r="4901" ht="15.75" customHeight="1">
      <c r="A4901" s="1" t="s">
        <v>90</v>
      </c>
      <c r="B4901" s="1" t="s">
        <v>356</v>
      </c>
      <c r="C4901" s="1" t="s">
        <v>11</v>
      </c>
      <c r="D4901" s="5">
        <v>45260.0</v>
      </c>
      <c r="G4901" s="1">
        <f>VLOOKUP(B4901,'old-aw-skill-plan'!A:I,7,FALSE)</f>
        <v>3</v>
      </c>
      <c r="H4901" s="1" t="str">
        <f>VLOOKUP(B4901,'old-aw-skill-plan'!A:I,9,FALSE)</f>
        <v>3-2</v>
      </c>
    </row>
    <row r="4902" ht="15.75" customHeight="1">
      <c r="A4902" s="1" t="s">
        <v>90</v>
      </c>
      <c r="B4902" s="1" t="s">
        <v>425</v>
      </c>
      <c r="C4902" s="1" t="s">
        <v>11</v>
      </c>
      <c r="D4902" s="5">
        <v>45260.0</v>
      </c>
      <c r="G4902" s="1">
        <f>VLOOKUP(B4902,'old-aw-skill-plan'!A:I,7,FALSE)</f>
        <v>3</v>
      </c>
      <c r="H4902" s="1" t="str">
        <f>VLOOKUP(B4902,'old-aw-skill-plan'!A:I,9,FALSE)</f>
        <v>3-1</v>
      </c>
    </row>
    <row r="4903" ht="15.75" customHeight="1">
      <c r="A4903" s="1" t="s">
        <v>463</v>
      </c>
      <c r="B4903" s="1" t="s">
        <v>44</v>
      </c>
      <c r="C4903" s="1" t="s">
        <v>11</v>
      </c>
      <c r="D4903" s="5">
        <v>45260.0</v>
      </c>
      <c r="G4903" s="1">
        <f>VLOOKUP(B4903,'old-aw-skill-plan'!A:I,7,FALSE)</f>
        <v>5</v>
      </c>
      <c r="H4903" s="1" t="str">
        <f>VLOOKUP(B4903,'old-aw-skill-plan'!A:I,9,FALSE)</f>
        <v>5-1</v>
      </c>
    </row>
    <row r="4904" ht="15.75" customHeight="1">
      <c r="A4904" s="1" t="s">
        <v>93</v>
      </c>
      <c r="B4904" s="1" t="s">
        <v>466</v>
      </c>
      <c r="C4904" s="1" t="s">
        <v>11</v>
      </c>
      <c r="D4904" s="5">
        <v>45260.0</v>
      </c>
      <c r="G4904" s="1" t="str">
        <f>VLOOKUP(B4904,'old-aw-skill-plan'!A:I,7,FALSE)</f>
        <v>#N/A</v>
      </c>
      <c r="H4904" s="1" t="str">
        <f>VLOOKUP(B4904,'old-aw-skill-plan'!A:I,9,FALSE)</f>
        <v>#N/A</v>
      </c>
    </row>
    <row r="4905" ht="15.75" customHeight="1">
      <c r="A4905" s="1" t="s">
        <v>365</v>
      </c>
      <c r="B4905" s="1" t="s">
        <v>34</v>
      </c>
      <c r="C4905" s="1" t="s">
        <v>11</v>
      </c>
      <c r="D4905" s="5">
        <v>45260.0</v>
      </c>
      <c r="G4905" s="1">
        <f>VLOOKUP(B4905,'old-aw-skill-plan'!A:I,7,FALSE)</f>
        <v>4</v>
      </c>
      <c r="H4905" s="1" t="str">
        <f>VLOOKUP(B4905,'old-aw-skill-plan'!A:I,9,FALSE)</f>
        <v>4-1</v>
      </c>
    </row>
    <row r="4906" ht="15.75" customHeight="1">
      <c r="A4906" s="1" t="s">
        <v>464</v>
      </c>
      <c r="B4906" s="1" t="s">
        <v>44</v>
      </c>
      <c r="C4906" s="1" t="s">
        <v>11</v>
      </c>
      <c r="D4906" s="5">
        <v>45259.0</v>
      </c>
      <c r="G4906" s="1">
        <f>VLOOKUP(B4906,'old-aw-skill-plan'!A:I,7,FALSE)</f>
        <v>5</v>
      </c>
      <c r="H4906" s="1" t="str">
        <f>VLOOKUP(B4906,'old-aw-skill-plan'!A:I,9,FALSE)</f>
        <v>5-1</v>
      </c>
    </row>
    <row r="4907" ht="15.75" customHeight="1">
      <c r="A4907" s="1" t="s">
        <v>464</v>
      </c>
      <c r="B4907" s="1" t="s">
        <v>104</v>
      </c>
      <c r="C4907" s="1" t="s">
        <v>11</v>
      </c>
      <c r="D4907" s="5">
        <v>45259.0</v>
      </c>
      <c r="G4907" s="1">
        <f>VLOOKUP(B4907,'old-aw-skill-plan'!A:I,7,FALSE)</f>
        <v>5</v>
      </c>
      <c r="H4907" s="1" t="str">
        <f>VLOOKUP(B4907,'old-aw-skill-plan'!A:I,9,FALSE)</f>
        <v>5-2</v>
      </c>
    </row>
    <row r="4908" ht="15.75" customHeight="1">
      <c r="A4908" s="1" t="s">
        <v>22</v>
      </c>
      <c r="B4908" s="1" t="s">
        <v>97</v>
      </c>
      <c r="C4908" s="1" t="s">
        <v>11</v>
      </c>
      <c r="D4908" s="5">
        <v>45259.0</v>
      </c>
      <c r="G4908" s="1">
        <f>VLOOKUP(B4908,'old-aw-skill-plan'!A:I,7,FALSE)</f>
        <v>4</v>
      </c>
      <c r="H4908" s="1" t="str">
        <f>VLOOKUP(B4908,'old-aw-skill-plan'!A:I,9,FALSE)</f>
        <v>4-3</v>
      </c>
    </row>
    <row r="4909" ht="15.75" customHeight="1">
      <c r="A4909" s="1" t="s">
        <v>474</v>
      </c>
      <c r="B4909" s="1" t="s">
        <v>10</v>
      </c>
      <c r="C4909" s="1" t="s">
        <v>11</v>
      </c>
      <c r="D4909" s="5">
        <v>45259.0</v>
      </c>
      <c r="G4909" s="1">
        <f>VLOOKUP(B4909,'old-aw-skill-plan'!A:I,7,FALSE)</f>
        <v>3</v>
      </c>
      <c r="H4909" s="1" t="str">
        <f>VLOOKUP(B4909,'old-aw-skill-plan'!A:I,9,FALSE)</f>
        <v>3-1</v>
      </c>
    </row>
    <row r="4910" ht="15.75" customHeight="1">
      <c r="A4910" s="1" t="s">
        <v>35</v>
      </c>
      <c r="B4910" s="1" t="s">
        <v>61</v>
      </c>
      <c r="C4910" s="1" t="s">
        <v>11</v>
      </c>
      <c r="D4910" s="5">
        <v>45259.0</v>
      </c>
      <c r="G4910" s="1">
        <f>VLOOKUP(B4910,'old-aw-skill-plan'!A:I,7,FALSE)</f>
        <v>4</v>
      </c>
      <c r="H4910" s="1" t="str">
        <f>VLOOKUP(B4910,'old-aw-skill-plan'!A:I,9,FALSE)</f>
        <v>4-4</v>
      </c>
    </row>
    <row r="4911" ht="15.75" customHeight="1">
      <c r="A4911" s="1" t="s">
        <v>24</v>
      </c>
      <c r="B4911" s="1" t="s">
        <v>34</v>
      </c>
      <c r="C4911" s="1" t="s">
        <v>11</v>
      </c>
      <c r="D4911" s="5">
        <v>45259.0</v>
      </c>
      <c r="G4911" s="1">
        <f>VLOOKUP(B4911,'old-aw-skill-plan'!A:I,7,FALSE)</f>
        <v>4</v>
      </c>
      <c r="H4911" s="1" t="str">
        <f>VLOOKUP(B4911,'old-aw-skill-plan'!A:I,9,FALSE)</f>
        <v>4-1</v>
      </c>
    </row>
    <row r="4912" ht="15.75" customHeight="1">
      <c r="A4912" s="1" t="s">
        <v>271</v>
      </c>
      <c r="B4912" s="1" t="s">
        <v>466</v>
      </c>
      <c r="C4912" s="1" t="s">
        <v>11</v>
      </c>
      <c r="D4912" s="5">
        <v>45259.0</v>
      </c>
      <c r="G4912" s="1" t="str">
        <f>VLOOKUP(B4912,'old-aw-skill-plan'!A:I,7,FALSE)</f>
        <v>#N/A</v>
      </c>
      <c r="H4912" s="1" t="str">
        <f>VLOOKUP(B4912,'old-aw-skill-plan'!A:I,9,FALSE)</f>
        <v>#N/A</v>
      </c>
    </row>
    <row r="4913" ht="15.75" customHeight="1">
      <c r="A4913" s="1" t="s">
        <v>271</v>
      </c>
      <c r="B4913" s="1" t="s">
        <v>99</v>
      </c>
      <c r="C4913" s="1" t="s">
        <v>11</v>
      </c>
      <c r="D4913" s="5">
        <v>45259.0</v>
      </c>
      <c r="G4913" s="1" t="str">
        <f>VLOOKUP(B4913,'old-aw-skill-plan'!A:I,7,FALSE)</f>
        <v>#N/A</v>
      </c>
      <c r="H4913" s="1" t="str">
        <f>VLOOKUP(B4913,'old-aw-skill-plan'!A:I,9,FALSE)</f>
        <v>#N/A</v>
      </c>
    </row>
    <row r="4914" ht="15.75" customHeight="1">
      <c r="A4914" s="1" t="s">
        <v>271</v>
      </c>
      <c r="B4914" s="1" t="s">
        <v>385</v>
      </c>
      <c r="C4914" s="1" t="s">
        <v>11</v>
      </c>
      <c r="D4914" s="5">
        <v>45259.0</v>
      </c>
      <c r="G4914" s="1">
        <f>VLOOKUP(B4914,'old-aw-skill-plan'!A:I,7,FALSE)</f>
        <v>4</v>
      </c>
      <c r="H4914" s="1" t="str">
        <f>VLOOKUP(B4914,'old-aw-skill-plan'!A:I,9,FALSE)</f>
        <v>4-4</v>
      </c>
    </row>
    <row r="4915" ht="15.75" customHeight="1">
      <c r="A4915" s="1" t="s">
        <v>434</v>
      </c>
      <c r="B4915" s="1" t="s">
        <v>111</v>
      </c>
      <c r="C4915" s="1" t="s">
        <v>11</v>
      </c>
      <c r="D4915" s="5">
        <v>45259.0</v>
      </c>
      <c r="G4915" s="1" t="str">
        <f>VLOOKUP(B4915,'old-aw-skill-plan'!A:I,7,FALSE)</f>
        <v>#N/A</v>
      </c>
      <c r="H4915" s="1" t="str">
        <f>VLOOKUP(B4915,'old-aw-skill-plan'!A:I,9,FALSE)</f>
        <v>#N/A</v>
      </c>
    </row>
    <row r="4916" ht="15.75" customHeight="1">
      <c r="A4916" s="1" t="s">
        <v>434</v>
      </c>
      <c r="B4916" s="1" t="s">
        <v>453</v>
      </c>
      <c r="C4916" s="1" t="s">
        <v>11</v>
      </c>
      <c r="D4916" s="5">
        <v>45259.0</v>
      </c>
      <c r="G4916" s="1">
        <f>VLOOKUP(B4916,'old-aw-skill-plan'!A:I,7,FALSE)</f>
        <v>3</v>
      </c>
      <c r="H4916" s="1" t="str">
        <f>VLOOKUP(B4916,'old-aw-skill-plan'!A:I,9,FALSE)</f>
        <v>3-4</v>
      </c>
    </row>
    <row r="4917" ht="15.75" customHeight="1">
      <c r="A4917" s="1" t="s">
        <v>434</v>
      </c>
      <c r="B4917" s="1" t="s">
        <v>467</v>
      </c>
      <c r="C4917" s="1" t="s">
        <v>11</v>
      </c>
      <c r="D4917" s="5">
        <v>45259.0</v>
      </c>
      <c r="G4917" s="1" t="str">
        <f>VLOOKUP(B4917,'old-aw-skill-plan'!A:I,7,FALSE)</f>
        <v>#N/A</v>
      </c>
      <c r="H4917" s="1" t="str">
        <f>VLOOKUP(B4917,'old-aw-skill-plan'!A:I,9,FALSE)</f>
        <v>#N/A</v>
      </c>
    </row>
    <row r="4918" ht="15.75" customHeight="1">
      <c r="A4918" s="1" t="s">
        <v>434</v>
      </c>
      <c r="B4918" s="1" t="s">
        <v>450</v>
      </c>
      <c r="C4918" s="1" t="s">
        <v>11</v>
      </c>
      <c r="D4918" s="5">
        <v>45259.0</v>
      </c>
      <c r="G4918" s="1">
        <f>VLOOKUP(B4918,'old-aw-skill-plan'!A:I,7,FALSE)</f>
        <v>3</v>
      </c>
      <c r="H4918" s="1" t="str">
        <f>VLOOKUP(B4918,'old-aw-skill-plan'!A:I,9,FALSE)</f>
        <v>3-4</v>
      </c>
    </row>
    <row r="4919" ht="15.75" customHeight="1">
      <c r="A4919" s="1" t="s">
        <v>434</v>
      </c>
      <c r="B4919" s="1" t="s">
        <v>466</v>
      </c>
      <c r="C4919" s="1" t="s">
        <v>11</v>
      </c>
      <c r="D4919" s="5">
        <v>45259.0</v>
      </c>
      <c r="G4919" s="1" t="str">
        <f>VLOOKUP(B4919,'old-aw-skill-plan'!A:I,7,FALSE)</f>
        <v>#N/A</v>
      </c>
      <c r="H4919" s="1" t="str">
        <f>VLOOKUP(B4919,'old-aw-skill-plan'!A:I,9,FALSE)</f>
        <v>#N/A</v>
      </c>
    </row>
    <row r="4920" ht="15.75" customHeight="1">
      <c r="A4920" s="1" t="s">
        <v>475</v>
      </c>
      <c r="B4920" s="1" t="s">
        <v>320</v>
      </c>
      <c r="C4920" s="1" t="s">
        <v>11</v>
      </c>
      <c r="D4920" s="5">
        <v>45259.0</v>
      </c>
      <c r="G4920" s="1">
        <f>VLOOKUP(B4920,'old-aw-skill-plan'!A:I,7,FALSE)</f>
        <v>4</v>
      </c>
      <c r="H4920" s="1" t="str">
        <f>VLOOKUP(B4920,'old-aw-skill-plan'!A:I,9,FALSE)</f>
        <v>4-2</v>
      </c>
    </row>
    <row r="4921" ht="15.75" customHeight="1">
      <c r="A4921" s="1" t="s">
        <v>36</v>
      </c>
      <c r="B4921" s="1" t="s">
        <v>28</v>
      </c>
      <c r="C4921" s="1" t="s">
        <v>11</v>
      </c>
      <c r="D4921" s="5">
        <v>45259.0</v>
      </c>
      <c r="G4921" s="1">
        <f>VLOOKUP(B4921,'old-aw-skill-plan'!A:I,7,FALSE)</f>
        <v>3</v>
      </c>
      <c r="H4921" s="1" t="str">
        <f>VLOOKUP(B4921,'old-aw-skill-plan'!A:I,9,FALSE)</f>
        <v>3-4</v>
      </c>
    </row>
    <row r="4922" ht="15.75" customHeight="1">
      <c r="A4922" s="1" t="s">
        <v>460</v>
      </c>
      <c r="B4922" s="1" t="s">
        <v>44</v>
      </c>
      <c r="C4922" s="1" t="s">
        <v>11</v>
      </c>
      <c r="D4922" s="5">
        <v>45259.0</v>
      </c>
      <c r="G4922" s="1">
        <f>VLOOKUP(B4922,'old-aw-skill-plan'!A:I,7,FALSE)</f>
        <v>5</v>
      </c>
      <c r="H4922" s="1" t="str">
        <f>VLOOKUP(B4922,'old-aw-skill-plan'!A:I,9,FALSE)</f>
        <v>5-1</v>
      </c>
    </row>
    <row r="4923" ht="15.75" customHeight="1">
      <c r="A4923" s="1" t="s">
        <v>460</v>
      </c>
      <c r="B4923" s="1" t="s">
        <v>104</v>
      </c>
      <c r="C4923" s="1" t="s">
        <v>11</v>
      </c>
      <c r="D4923" s="5">
        <v>45259.0</v>
      </c>
      <c r="G4923" s="1">
        <f>VLOOKUP(B4923,'old-aw-skill-plan'!A:I,7,FALSE)</f>
        <v>5</v>
      </c>
      <c r="H4923" s="1" t="str">
        <f>VLOOKUP(B4923,'old-aw-skill-plan'!A:I,9,FALSE)</f>
        <v>5-2</v>
      </c>
    </row>
    <row r="4924" ht="15.75" customHeight="1">
      <c r="A4924" s="1" t="s">
        <v>469</v>
      </c>
      <c r="B4924" s="1" t="s">
        <v>34</v>
      </c>
      <c r="C4924" s="1" t="s">
        <v>11</v>
      </c>
      <c r="D4924" s="5">
        <v>45259.0</v>
      </c>
      <c r="G4924" s="1">
        <f>VLOOKUP(B4924,'old-aw-skill-plan'!A:I,7,FALSE)</f>
        <v>4</v>
      </c>
      <c r="H4924" s="1" t="str">
        <f>VLOOKUP(B4924,'old-aw-skill-plan'!A:I,9,FALSE)</f>
        <v>4-1</v>
      </c>
    </row>
    <row r="4925" ht="15.75" customHeight="1">
      <c r="A4925" s="1" t="s">
        <v>465</v>
      </c>
      <c r="B4925" s="1" t="s">
        <v>61</v>
      </c>
      <c r="C4925" s="1" t="s">
        <v>11</v>
      </c>
      <c r="D4925" s="5">
        <v>45259.0</v>
      </c>
      <c r="G4925" s="1">
        <f>VLOOKUP(B4925,'old-aw-skill-plan'!A:I,7,FALSE)</f>
        <v>4</v>
      </c>
      <c r="H4925" s="1" t="str">
        <f>VLOOKUP(B4925,'old-aw-skill-plan'!A:I,9,FALSE)</f>
        <v>4-4</v>
      </c>
    </row>
    <row r="4926" ht="15.75" customHeight="1">
      <c r="A4926" s="1" t="s">
        <v>419</v>
      </c>
      <c r="B4926" s="1" t="s">
        <v>44</v>
      </c>
      <c r="C4926" s="1" t="s">
        <v>11</v>
      </c>
      <c r="D4926" s="5">
        <v>45259.0</v>
      </c>
      <c r="G4926" s="1">
        <f>VLOOKUP(B4926,'old-aw-skill-plan'!A:I,7,FALSE)</f>
        <v>5</v>
      </c>
      <c r="H4926" s="1" t="str">
        <f>VLOOKUP(B4926,'old-aw-skill-plan'!A:I,9,FALSE)</f>
        <v>5-1</v>
      </c>
    </row>
    <row r="4927" ht="15.75" customHeight="1">
      <c r="A4927" s="1" t="s">
        <v>454</v>
      </c>
      <c r="B4927" s="1" t="s">
        <v>466</v>
      </c>
      <c r="C4927" s="1" t="s">
        <v>11</v>
      </c>
      <c r="D4927" s="5">
        <v>45259.0</v>
      </c>
      <c r="G4927" s="1" t="str">
        <f>VLOOKUP(B4927,'old-aw-skill-plan'!A:I,7,FALSE)</f>
        <v>#N/A</v>
      </c>
      <c r="H4927" s="1" t="str">
        <f>VLOOKUP(B4927,'old-aw-skill-plan'!A:I,9,FALSE)</f>
        <v>#N/A</v>
      </c>
    </row>
    <row r="4928" ht="15.75" customHeight="1">
      <c r="A4928" s="1" t="s">
        <v>459</v>
      </c>
      <c r="B4928" s="1" t="s">
        <v>28</v>
      </c>
      <c r="C4928" s="1" t="s">
        <v>11</v>
      </c>
      <c r="D4928" s="5">
        <v>45259.0</v>
      </c>
      <c r="G4928" s="1">
        <f>VLOOKUP(B4928,'old-aw-skill-plan'!A:I,7,FALSE)</f>
        <v>3</v>
      </c>
      <c r="H4928" s="1" t="str">
        <f>VLOOKUP(B4928,'old-aw-skill-plan'!A:I,9,FALSE)</f>
        <v>3-4</v>
      </c>
    </row>
    <row r="4929" ht="15.75" customHeight="1">
      <c r="A4929" s="1" t="s">
        <v>459</v>
      </c>
      <c r="B4929" s="1" t="s">
        <v>111</v>
      </c>
      <c r="C4929" s="1" t="s">
        <v>11</v>
      </c>
      <c r="D4929" s="5">
        <v>45259.0</v>
      </c>
      <c r="G4929" s="1" t="str">
        <f>VLOOKUP(B4929,'old-aw-skill-plan'!A:I,7,FALSE)</f>
        <v>#N/A</v>
      </c>
      <c r="H4929" s="1" t="str">
        <f>VLOOKUP(B4929,'old-aw-skill-plan'!A:I,9,FALSE)</f>
        <v>#N/A</v>
      </c>
    </row>
    <row r="4930" ht="15.75" customHeight="1">
      <c r="A4930" s="1" t="s">
        <v>459</v>
      </c>
      <c r="B4930" s="1" t="s">
        <v>453</v>
      </c>
      <c r="C4930" s="1" t="s">
        <v>11</v>
      </c>
      <c r="D4930" s="5">
        <v>45259.0</v>
      </c>
      <c r="G4930" s="1">
        <f>VLOOKUP(B4930,'old-aw-skill-plan'!A:I,7,FALSE)</f>
        <v>3</v>
      </c>
      <c r="H4930" s="1" t="str">
        <f>VLOOKUP(B4930,'old-aw-skill-plan'!A:I,9,FALSE)</f>
        <v>3-4</v>
      </c>
    </row>
    <row r="4931" ht="15.75" customHeight="1">
      <c r="A4931" s="1" t="s">
        <v>473</v>
      </c>
      <c r="B4931" s="1" t="s">
        <v>10</v>
      </c>
      <c r="C4931" s="1" t="s">
        <v>11</v>
      </c>
      <c r="D4931" s="5">
        <v>45259.0</v>
      </c>
      <c r="G4931" s="1">
        <f>VLOOKUP(B4931,'old-aw-skill-plan'!A:I,7,FALSE)</f>
        <v>3</v>
      </c>
      <c r="H4931" s="1" t="str">
        <f>VLOOKUP(B4931,'old-aw-skill-plan'!A:I,9,FALSE)</f>
        <v>3-1</v>
      </c>
    </row>
    <row r="4932" ht="15.75" customHeight="1">
      <c r="A4932" s="1" t="s">
        <v>477</v>
      </c>
      <c r="B4932" s="1" t="s">
        <v>10</v>
      </c>
      <c r="C4932" s="1" t="s">
        <v>11</v>
      </c>
      <c r="D4932" s="5">
        <v>45259.0</v>
      </c>
      <c r="G4932" s="1">
        <f>VLOOKUP(B4932,'old-aw-skill-plan'!A:I,7,FALSE)</f>
        <v>3</v>
      </c>
      <c r="H4932" s="1" t="str">
        <f>VLOOKUP(B4932,'old-aw-skill-plan'!A:I,9,FALSE)</f>
        <v>3-1</v>
      </c>
    </row>
    <row r="4933" ht="15.75" customHeight="1">
      <c r="A4933" s="1" t="s">
        <v>56</v>
      </c>
      <c r="B4933" s="1" t="s">
        <v>30</v>
      </c>
      <c r="C4933" s="1" t="s">
        <v>11</v>
      </c>
      <c r="D4933" s="5">
        <v>45259.0</v>
      </c>
      <c r="G4933" s="1">
        <f>VLOOKUP(B4933,'old-aw-skill-plan'!A:I,7,FALSE)</f>
        <v>3</v>
      </c>
      <c r="H4933" s="1" t="str">
        <f>VLOOKUP(B4933,'old-aw-skill-plan'!A:I,9,FALSE)</f>
        <v>3-3</v>
      </c>
    </row>
    <row r="4934" ht="15.75" customHeight="1">
      <c r="A4934" s="1" t="s">
        <v>81</v>
      </c>
      <c r="B4934" s="1" t="s">
        <v>61</v>
      </c>
      <c r="C4934" s="1" t="s">
        <v>11</v>
      </c>
      <c r="D4934" s="5">
        <v>45259.0</v>
      </c>
      <c r="G4934" s="1">
        <f>VLOOKUP(B4934,'old-aw-skill-plan'!A:I,7,FALSE)</f>
        <v>4</v>
      </c>
      <c r="H4934" s="1" t="str">
        <f>VLOOKUP(B4934,'old-aw-skill-plan'!A:I,9,FALSE)</f>
        <v>4-4</v>
      </c>
    </row>
    <row r="4935" ht="15.75" customHeight="1">
      <c r="A4935" s="1" t="s">
        <v>81</v>
      </c>
      <c r="B4935" s="1" t="s">
        <v>34</v>
      </c>
      <c r="C4935" s="1" t="s">
        <v>11</v>
      </c>
      <c r="D4935" s="5">
        <v>45259.0</v>
      </c>
      <c r="G4935" s="1">
        <f>VLOOKUP(B4935,'old-aw-skill-plan'!A:I,7,FALSE)</f>
        <v>4</v>
      </c>
      <c r="H4935" s="1" t="str">
        <f>VLOOKUP(B4935,'old-aw-skill-plan'!A:I,9,FALSE)</f>
        <v>4-1</v>
      </c>
    </row>
    <row r="4936" ht="15.75" customHeight="1">
      <c r="A4936" s="1" t="s">
        <v>81</v>
      </c>
      <c r="B4936" s="1" t="s">
        <v>37</v>
      </c>
      <c r="C4936" s="1" t="s">
        <v>11</v>
      </c>
      <c r="D4936" s="5">
        <v>45259.0</v>
      </c>
      <c r="G4936" s="1">
        <f>VLOOKUP(B4936,'old-aw-skill-plan'!A:I,7,FALSE)</f>
        <v>4</v>
      </c>
      <c r="H4936" s="1" t="str">
        <f>VLOOKUP(B4936,'old-aw-skill-plan'!A:I,9,FALSE)</f>
        <v>4-2</v>
      </c>
    </row>
    <row r="4937" ht="15.75" customHeight="1">
      <c r="A4937" s="1" t="s">
        <v>81</v>
      </c>
      <c r="B4937" s="1" t="s">
        <v>99</v>
      </c>
      <c r="C4937" s="1" t="s">
        <v>11</v>
      </c>
      <c r="D4937" s="5">
        <v>45259.0</v>
      </c>
      <c r="G4937" s="1" t="str">
        <f>VLOOKUP(B4937,'old-aw-skill-plan'!A:I,7,FALSE)</f>
        <v>#N/A</v>
      </c>
      <c r="H4937" s="1" t="str">
        <f>VLOOKUP(B4937,'old-aw-skill-plan'!A:I,9,FALSE)</f>
        <v>#N/A</v>
      </c>
    </row>
    <row r="4938" ht="15.75" customHeight="1">
      <c r="A4938" s="1" t="s">
        <v>230</v>
      </c>
      <c r="B4938" s="1" t="s">
        <v>356</v>
      </c>
      <c r="C4938" s="1" t="s">
        <v>11</v>
      </c>
      <c r="D4938" s="5">
        <v>45259.0</v>
      </c>
      <c r="G4938" s="1">
        <f>VLOOKUP(B4938,'old-aw-skill-plan'!A:I,7,FALSE)</f>
        <v>3</v>
      </c>
      <c r="H4938" s="1" t="str">
        <f>VLOOKUP(B4938,'old-aw-skill-plan'!A:I,9,FALSE)</f>
        <v>3-2</v>
      </c>
    </row>
    <row r="4939" ht="15.75" customHeight="1">
      <c r="A4939" s="1" t="s">
        <v>428</v>
      </c>
      <c r="B4939" s="1" t="s">
        <v>61</v>
      </c>
      <c r="C4939" s="1" t="s">
        <v>11</v>
      </c>
      <c r="D4939" s="5">
        <v>45259.0</v>
      </c>
      <c r="G4939" s="1">
        <f>VLOOKUP(B4939,'old-aw-skill-plan'!A:I,7,FALSE)</f>
        <v>4</v>
      </c>
      <c r="H4939" s="1" t="str">
        <f>VLOOKUP(B4939,'old-aw-skill-plan'!A:I,9,FALSE)</f>
        <v>4-4</v>
      </c>
    </row>
    <row r="4940" ht="15.75" customHeight="1">
      <c r="A4940" s="1" t="s">
        <v>420</v>
      </c>
      <c r="B4940" s="1" t="s">
        <v>30</v>
      </c>
      <c r="C4940" s="1" t="s">
        <v>11</v>
      </c>
      <c r="D4940" s="5">
        <v>45259.0</v>
      </c>
      <c r="G4940" s="1">
        <f>VLOOKUP(B4940,'old-aw-skill-plan'!A:I,7,FALSE)</f>
        <v>3</v>
      </c>
      <c r="H4940" s="1" t="str">
        <f>VLOOKUP(B4940,'old-aw-skill-plan'!A:I,9,FALSE)</f>
        <v>3-3</v>
      </c>
    </row>
    <row r="4941" ht="15.75" customHeight="1">
      <c r="A4941" s="1" t="s">
        <v>420</v>
      </c>
      <c r="B4941" s="1" t="s">
        <v>352</v>
      </c>
      <c r="C4941" s="1" t="s">
        <v>11</v>
      </c>
      <c r="D4941" s="5">
        <v>45259.0</v>
      </c>
      <c r="G4941" s="1">
        <f>VLOOKUP(B4941,'old-aw-skill-plan'!A:I,7,FALSE)</f>
        <v>3</v>
      </c>
      <c r="H4941" s="1" t="str">
        <f>VLOOKUP(B4941,'old-aw-skill-plan'!A:I,9,FALSE)</f>
        <v>3-2</v>
      </c>
    </row>
    <row r="4942" ht="15.75" customHeight="1">
      <c r="A4942" s="1" t="s">
        <v>461</v>
      </c>
      <c r="B4942" s="1" t="s">
        <v>44</v>
      </c>
      <c r="C4942" s="1" t="s">
        <v>11</v>
      </c>
      <c r="D4942" s="5">
        <v>45259.0</v>
      </c>
      <c r="G4942" s="1">
        <f>VLOOKUP(B4942,'old-aw-skill-plan'!A:I,7,FALSE)</f>
        <v>5</v>
      </c>
      <c r="H4942" s="1" t="str">
        <f>VLOOKUP(B4942,'old-aw-skill-plan'!A:I,9,FALSE)</f>
        <v>5-1</v>
      </c>
    </row>
    <row r="4943" ht="15.75" customHeight="1">
      <c r="A4943" s="1" t="s">
        <v>95</v>
      </c>
      <c r="B4943" s="1" t="s">
        <v>47</v>
      </c>
      <c r="C4943" s="1" t="s">
        <v>11</v>
      </c>
      <c r="D4943" s="5">
        <v>45259.0</v>
      </c>
      <c r="G4943" s="1">
        <f>VLOOKUP(B4943,'old-aw-skill-plan'!A:I,7,FALSE)</f>
        <v>3</v>
      </c>
      <c r="H4943" s="1" t="str">
        <f>VLOOKUP(B4943,'old-aw-skill-plan'!A:I,9,FALSE)</f>
        <v>3-2</v>
      </c>
    </row>
    <row r="4944" ht="15.75" customHeight="1">
      <c r="A4944" s="1" t="s">
        <v>214</v>
      </c>
      <c r="B4944" s="1" t="s">
        <v>30</v>
      </c>
      <c r="C4944" s="1" t="s">
        <v>11</v>
      </c>
      <c r="D4944" s="5">
        <v>45259.0</v>
      </c>
      <c r="G4944" s="1">
        <f>VLOOKUP(B4944,'old-aw-skill-plan'!A:I,7,FALSE)</f>
        <v>3</v>
      </c>
      <c r="H4944" s="1" t="str">
        <f>VLOOKUP(B4944,'old-aw-skill-plan'!A:I,9,FALSE)</f>
        <v>3-3</v>
      </c>
    </row>
    <row r="4945" ht="15.75" customHeight="1">
      <c r="A4945" s="1" t="s">
        <v>197</v>
      </c>
      <c r="B4945" s="1" t="s">
        <v>97</v>
      </c>
      <c r="C4945" s="1" t="s">
        <v>11</v>
      </c>
      <c r="D4945" s="5">
        <v>45259.0</v>
      </c>
      <c r="G4945" s="1">
        <f>VLOOKUP(B4945,'old-aw-skill-plan'!A:I,7,FALSE)</f>
        <v>4</v>
      </c>
      <c r="H4945" s="1" t="str">
        <f>VLOOKUP(B4945,'old-aw-skill-plan'!A:I,9,FALSE)</f>
        <v>4-3</v>
      </c>
    </row>
    <row r="4946" ht="15.75" customHeight="1">
      <c r="A4946" s="1" t="s">
        <v>373</v>
      </c>
      <c r="B4946" s="1" t="s">
        <v>47</v>
      </c>
      <c r="C4946" s="1" t="s">
        <v>11</v>
      </c>
      <c r="D4946" s="5">
        <v>45259.0</v>
      </c>
      <c r="G4946" s="1">
        <f>VLOOKUP(B4946,'old-aw-skill-plan'!A:I,7,FALSE)</f>
        <v>3</v>
      </c>
      <c r="H4946" s="1" t="str">
        <f>VLOOKUP(B4946,'old-aw-skill-plan'!A:I,9,FALSE)</f>
        <v>3-2</v>
      </c>
    </row>
    <row r="4947" ht="15.75" customHeight="1">
      <c r="A4947" s="1" t="s">
        <v>430</v>
      </c>
      <c r="B4947" s="1" t="s">
        <v>10</v>
      </c>
      <c r="C4947" s="1" t="s">
        <v>11</v>
      </c>
      <c r="D4947" s="5">
        <v>45259.0</v>
      </c>
      <c r="G4947" s="1">
        <f>VLOOKUP(B4947,'old-aw-skill-plan'!A:I,7,FALSE)</f>
        <v>3</v>
      </c>
      <c r="H4947" s="1" t="str">
        <f>VLOOKUP(B4947,'old-aw-skill-plan'!A:I,9,FALSE)</f>
        <v>3-1</v>
      </c>
    </row>
    <row r="4948" ht="15.75" customHeight="1">
      <c r="A4948" s="1" t="s">
        <v>74</v>
      </c>
      <c r="B4948" s="1" t="s">
        <v>104</v>
      </c>
      <c r="C4948" s="1" t="s">
        <v>11</v>
      </c>
      <c r="D4948" s="5">
        <v>45259.0</v>
      </c>
      <c r="G4948" s="1">
        <f>VLOOKUP(B4948,'old-aw-skill-plan'!A:I,7,FALSE)</f>
        <v>5</v>
      </c>
      <c r="H4948" s="1" t="str">
        <f>VLOOKUP(B4948,'old-aw-skill-plan'!A:I,9,FALSE)</f>
        <v>5-2</v>
      </c>
    </row>
    <row r="4949" ht="15.75" customHeight="1">
      <c r="A4949" s="1" t="s">
        <v>265</v>
      </c>
      <c r="B4949" s="1" t="s">
        <v>104</v>
      </c>
      <c r="C4949" s="1" t="s">
        <v>11</v>
      </c>
      <c r="D4949" s="5">
        <v>45259.0</v>
      </c>
      <c r="G4949" s="1">
        <f>VLOOKUP(B4949,'old-aw-skill-plan'!A:I,7,FALSE)</f>
        <v>5</v>
      </c>
      <c r="H4949" s="1" t="str">
        <f>VLOOKUP(B4949,'old-aw-skill-plan'!A:I,9,FALSE)</f>
        <v>5-2</v>
      </c>
    </row>
    <row r="4950" ht="15.75" customHeight="1">
      <c r="A4950" s="1" t="s">
        <v>90</v>
      </c>
      <c r="B4950" s="1" t="s">
        <v>47</v>
      </c>
      <c r="C4950" s="1" t="s">
        <v>11</v>
      </c>
      <c r="D4950" s="5">
        <v>45259.0</v>
      </c>
      <c r="G4950" s="1">
        <f>VLOOKUP(B4950,'old-aw-skill-plan'!A:I,7,FALSE)</f>
        <v>3</v>
      </c>
      <c r="H4950" s="1" t="str">
        <f>VLOOKUP(B4950,'old-aw-skill-plan'!A:I,9,FALSE)</f>
        <v>3-2</v>
      </c>
    </row>
    <row r="4951" ht="15.75" customHeight="1">
      <c r="A4951" s="1" t="s">
        <v>463</v>
      </c>
      <c r="B4951" s="1" t="s">
        <v>44</v>
      </c>
      <c r="C4951" s="1" t="s">
        <v>11</v>
      </c>
      <c r="D4951" s="5">
        <v>45259.0</v>
      </c>
      <c r="G4951" s="1">
        <f>VLOOKUP(B4951,'old-aw-skill-plan'!A:I,7,FALSE)</f>
        <v>5</v>
      </c>
      <c r="H4951" s="1" t="str">
        <f>VLOOKUP(B4951,'old-aw-skill-plan'!A:I,9,FALSE)</f>
        <v>5-1</v>
      </c>
    </row>
    <row r="4952" ht="15.75" customHeight="1">
      <c r="A4952" s="1" t="s">
        <v>457</v>
      </c>
      <c r="B4952" s="1" t="s">
        <v>28</v>
      </c>
      <c r="C4952" s="1" t="s">
        <v>11</v>
      </c>
      <c r="D4952" s="5">
        <v>45259.0</v>
      </c>
      <c r="G4952" s="1">
        <f>VLOOKUP(B4952,'old-aw-skill-plan'!A:I,7,FALSE)</f>
        <v>3</v>
      </c>
      <c r="H4952" s="1" t="str">
        <f>VLOOKUP(B4952,'old-aw-skill-plan'!A:I,9,FALSE)</f>
        <v>3-4</v>
      </c>
    </row>
    <row r="4953" ht="15.75" customHeight="1">
      <c r="A4953" s="1" t="s">
        <v>457</v>
      </c>
      <c r="B4953" s="1" t="s">
        <v>383</v>
      </c>
      <c r="C4953" s="1" t="s">
        <v>11</v>
      </c>
      <c r="D4953" s="5">
        <v>45259.0</v>
      </c>
      <c r="G4953" s="1">
        <f>VLOOKUP(B4953,'old-aw-skill-plan'!A:I,7,FALSE)</f>
        <v>3</v>
      </c>
      <c r="H4953" s="1" t="str">
        <f>VLOOKUP(B4953,'old-aw-skill-plan'!A:I,9,FALSE)</f>
        <v>3-3</v>
      </c>
    </row>
    <row r="4954" ht="15.75" customHeight="1">
      <c r="A4954" s="1" t="s">
        <v>457</v>
      </c>
      <c r="B4954" s="1" t="s">
        <v>466</v>
      </c>
      <c r="C4954" s="1" t="s">
        <v>11</v>
      </c>
      <c r="D4954" s="5">
        <v>45259.0</v>
      </c>
      <c r="G4954" s="1" t="str">
        <f>VLOOKUP(B4954,'old-aw-skill-plan'!A:I,7,FALSE)</f>
        <v>#N/A</v>
      </c>
      <c r="H4954" s="1" t="str">
        <f>VLOOKUP(B4954,'old-aw-skill-plan'!A:I,9,FALSE)</f>
        <v>#N/A</v>
      </c>
    </row>
    <row r="4955" ht="15.75" customHeight="1">
      <c r="A4955" s="1" t="s">
        <v>457</v>
      </c>
      <c r="B4955" s="1" t="s">
        <v>37</v>
      </c>
      <c r="C4955" s="1" t="s">
        <v>11</v>
      </c>
      <c r="D4955" s="5">
        <v>45259.0</v>
      </c>
      <c r="G4955" s="1">
        <f>VLOOKUP(B4955,'old-aw-skill-plan'!A:I,7,FALSE)</f>
        <v>4</v>
      </c>
      <c r="H4955" s="1" t="str">
        <f>VLOOKUP(B4955,'old-aw-skill-plan'!A:I,9,FALSE)</f>
        <v>4-2</v>
      </c>
    </row>
    <row r="4956" ht="15.75" customHeight="1">
      <c r="A4956" s="1" t="s">
        <v>93</v>
      </c>
      <c r="B4956" s="1" t="s">
        <v>466</v>
      </c>
      <c r="C4956" s="1" t="s">
        <v>11</v>
      </c>
      <c r="D4956" s="5">
        <v>45259.0</v>
      </c>
      <c r="G4956" s="1" t="str">
        <f>VLOOKUP(B4956,'old-aw-skill-plan'!A:I,7,FALSE)</f>
        <v>#N/A</v>
      </c>
      <c r="H4956" s="1" t="str">
        <f>VLOOKUP(B4956,'old-aw-skill-plan'!A:I,9,FALSE)</f>
        <v>#N/A</v>
      </c>
    </row>
    <row r="4957" ht="15.75" customHeight="1">
      <c r="A4957" s="1" t="s">
        <v>365</v>
      </c>
      <c r="B4957" s="1" t="s">
        <v>34</v>
      </c>
      <c r="C4957" s="1" t="s">
        <v>11</v>
      </c>
      <c r="D4957" s="5">
        <v>45259.0</v>
      </c>
      <c r="G4957" s="1">
        <f>VLOOKUP(B4957,'old-aw-skill-plan'!A:I,7,FALSE)</f>
        <v>4</v>
      </c>
      <c r="H4957" s="1" t="str">
        <f>VLOOKUP(B4957,'old-aw-skill-plan'!A:I,9,FALSE)</f>
        <v>4-1</v>
      </c>
    </row>
    <row r="4958" ht="15.75" customHeight="1">
      <c r="A4958" s="1" t="s">
        <v>94</v>
      </c>
      <c r="B4958" s="1" t="s">
        <v>111</v>
      </c>
      <c r="C4958" s="1" t="s">
        <v>11</v>
      </c>
      <c r="D4958" s="5">
        <v>45259.0</v>
      </c>
      <c r="G4958" s="1" t="str">
        <f>VLOOKUP(B4958,'old-aw-skill-plan'!A:I,7,FALSE)</f>
        <v>#N/A</v>
      </c>
      <c r="H4958" s="1" t="str">
        <f>VLOOKUP(B4958,'old-aw-skill-plan'!A:I,9,FALSE)</f>
        <v>#N/A</v>
      </c>
    </row>
    <row r="4959" ht="15.75" customHeight="1">
      <c r="A4959" s="1" t="s">
        <v>468</v>
      </c>
      <c r="B4959" s="1" t="s">
        <v>10</v>
      </c>
      <c r="C4959" s="1" t="s">
        <v>11</v>
      </c>
      <c r="D4959" s="5">
        <v>45259.0</v>
      </c>
      <c r="G4959" s="1">
        <f>VLOOKUP(B4959,'old-aw-skill-plan'!A:I,7,FALSE)</f>
        <v>3</v>
      </c>
      <c r="H4959" s="1" t="str">
        <f>VLOOKUP(B4959,'old-aw-skill-plan'!A:I,9,FALSE)</f>
        <v>3-1</v>
      </c>
    </row>
    <row r="4960" ht="15.75" customHeight="1">
      <c r="A4960" s="1" t="s">
        <v>468</v>
      </c>
      <c r="B4960" s="1" t="s">
        <v>30</v>
      </c>
      <c r="C4960" s="1" t="s">
        <v>11</v>
      </c>
      <c r="D4960" s="5">
        <v>45259.0</v>
      </c>
      <c r="G4960" s="1">
        <f>VLOOKUP(B4960,'old-aw-skill-plan'!A:I,7,FALSE)</f>
        <v>3</v>
      </c>
      <c r="H4960" s="1" t="str">
        <f>VLOOKUP(B4960,'old-aw-skill-plan'!A:I,9,FALSE)</f>
        <v>3-3</v>
      </c>
    </row>
    <row r="4961" ht="15.75" customHeight="1">
      <c r="A4961" s="1" t="s">
        <v>468</v>
      </c>
      <c r="B4961" s="1" t="s">
        <v>111</v>
      </c>
      <c r="C4961" s="1" t="s">
        <v>11</v>
      </c>
      <c r="D4961" s="5">
        <v>45259.0</v>
      </c>
      <c r="G4961" s="1" t="str">
        <f>VLOOKUP(B4961,'old-aw-skill-plan'!A:I,7,FALSE)</f>
        <v>#N/A</v>
      </c>
      <c r="H4961" s="1" t="str">
        <f>VLOOKUP(B4961,'old-aw-skill-plan'!A:I,9,FALSE)</f>
        <v>#N/A</v>
      </c>
    </row>
    <row r="4962" ht="15.75" customHeight="1">
      <c r="A4962" s="1" t="s">
        <v>468</v>
      </c>
      <c r="B4962" s="1" t="s">
        <v>356</v>
      </c>
      <c r="C4962" s="1" t="s">
        <v>11</v>
      </c>
      <c r="D4962" s="5">
        <v>45259.0</v>
      </c>
      <c r="G4962" s="1">
        <f>VLOOKUP(B4962,'old-aw-skill-plan'!A:I,7,FALSE)</f>
        <v>3</v>
      </c>
      <c r="H4962" s="1" t="str">
        <f>VLOOKUP(B4962,'old-aw-skill-plan'!A:I,9,FALSE)</f>
        <v>3-2</v>
      </c>
    </row>
    <row r="4963" ht="15.75" customHeight="1">
      <c r="A4963" s="1" t="s">
        <v>468</v>
      </c>
      <c r="B4963" s="1" t="s">
        <v>103</v>
      </c>
      <c r="C4963" s="1" t="s">
        <v>11</v>
      </c>
      <c r="D4963" s="5">
        <v>45259.0</v>
      </c>
      <c r="G4963" s="1">
        <f>VLOOKUP(B4963,'old-aw-skill-plan'!A:I,7,FALSE)</f>
        <v>5</v>
      </c>
      <c r="H4963" s="1" t="str">
        <f>VLOOKUP(B4963,'old-aw-skill-plan'!A:I,9,FALSE)</f>
        <v>5-3</v>
      </c>
    </row>
    <row r="4964" ht="15.75" customHeight="1">
      <c r="A4964" s="1" t="s">
        <v>468</v>
      </c>
      <c r="B4964" s="1" t="s">
        <v>416</v>
      </c>
      <c r="C4964" s="1" t="s">
        <v>11</v>
      </c>
      <c r="D4964" s="5">
        <v>45259.0</v>
      </c>
      <c r="G4964" s="1" t="str">
        <f>VLOOKUP(B4964,'old-aw-skill-plan'!A:I,7,FALSE)</f>
        <v>#N/A</v>
      </c>
      <c r="H4964" s="1" t="str">
        <f>VLOOKUP(B4964,'old-aw-skill-plan'!A:I,9,FALSE)</f>
        <v>#N/A</v>
      </c>
    </row>
    <row r="4965" ht="15.75" customHeight="1">
      <c r="A4965" s="1" t="s">
        <v>225</v>
      </c>
      <c r="B4965" s="1" t="s">
        <v>61</v>
      </c>
      <c r="C4965" s="1" t="s">
        <v>11</v>
      </c>
      <c r="D4965" s="5">
        <v>45259.0</v>
      </c>
      <c r="G4965" s="1">
        <f>VLOOKUP(B4965,'old-aw-skill-plan'!A:I,7,FALSE)</f>
        <v>4</v>
      </c>
      <c r="H4965" s="1" t="str">
        <f>VLOOKUP(B4965,'old-aw-skill-plan'!A:I,9,FALSE)</f>
        <v>4-4</v>
      </c>
    </row>
    <row r="4966" ht="15.75" customHeight="1">
      <c r="A4966" s="1" t="s">
        <v>225</v>
      </c>
      <c r="B4966" s="1" t="s">
        <v>34</v>
      </c>
      <c r="C4966" s="1" t="s">
        <v>11</v>
      </c>
      <c r="D4966" s="5">
        <v>45259.0</v>
      </c>
      <c r="G4966" s="1">
        <f>VLOOKUP(B4966,'old-aw-skill-plan'!A:I,7,FALSE)</f>
        <v>4</v>
      </c>
      <c r="H4966" s="1" t="str">
        <f>VLOOKUP(B4966,'old-aw-skill-plan'!A:I,9,FALSE)</f>
        <v>4-1</v>
      </c>
    </row>
    <row r="4967" ht="15.75" customHeight="1">
      <c r="A4967" s="1" t="s">
        <v>225</v>
      </c>
      <c r="B4967" s="1" t="s">
        <v>37</v>
      </c>
      <c r="C4967" s="1" t="s">
        <v>11</v>
      </c>
      <c r="D4967" s="5">
        <v>45259.0</v>
      </c>
      <c r="G4967" s="1">
        <f>VLOOKUP(B4967,'old-aw-skill-plan'!A:I,7,FALSE)</f>
        <v>4</v>
      </c>
      <c r="H4967" s="1" t="str">
        <f>VLOOKUP(B4967,'old-aw-skill-plan'!A:I,9,FALSE)</f>
        <v>4-2</v>
      </c>
    </row>
    <row r="4968" ht="15.75" customHeight="1">
      <c r="A4968" s="1" t="s">
        <v>427</v>
      </c>
      <c r="B4968" s="1" t="s">
        <v>111</v>
      </c>
      <c r="C4968" s="1" t="s">
        <v>11</v>
      </c>
      <c r="D4968" s="5">
        <v>45259.0</v>
      </c>
      <c r="G4968" s="1" t="str">
        <f>VLOOKUP(B4968,'old-aw-skill-plan'!A:I,7,FALSE)</f>
        <v>#N/A</v>
      </c>
      <c r="H4968" s="1" t="str">
        <f>VLOOKUP(B4968,'old-aw-skill-plan'!A:I,9,FALSE)</f>
        <v>#N/A</v>
      </c>
    </row>
    <row r="4969" ht="15.75" customHeight="1">
      <c r="A4969" s="1" t="s">
        <v>427</v>
      </c>
      <c r="B4969" s="1" t="s">
        <v>425</v>
      </c>
      <c r="C4969" s="1" t="s">
        <v>11</v>
      </c>
      <c r="D4969" s="5">
        <v>45259.0</v>
      </c>
      <c r="G4969" s="1">
        <f>VLOOKUP(B4969,'old-aw-skill-plan'!A:I,7,FALSE)</f>
        <v>3</v>
      </c>
      <c r="H4969" s="1" t="str">
        <f>VLOOKUP(B4969,'old-aw-skill-plan'!A:I,9,FALSE)</f>
        <v>3-1</v>
      </c>
    </row>
    <row r="4970" ht="15.75" customHeight="1">
      <c r="A4970" s="1" t="s">
        <v>427</v>
      </c>
      <c r="B4970" s="1" t="s">
        <v>352</v>
      </c>
      <c r="C4970" s="1" t="s">
        <v>11</v>
      </c>
      <c r="D4970" s="5">
        <v>45259.0</v>
      </c>
      <c r="G4970" s="1">
        <f>VLOOKUP(B4970,'old-aw-skill-plan'!A:I,7,FALSE)</f>
        <v>3</v>
      </c>
      <c r="H4970" s="1" t="str">
        <f>VLOOKUP(B4970,'old-aw-skill-plan'!A:I,9,FALSE)</f>
        <v>3-2</v>
      </c>
    </row>
    <row r="4971" ht="15.75" customHeight="1">
      <c r="A4971" s="1" t="s">
        <v>464</v>
      </c>
      <c r="B4971" s="1" t="s">
        <v>44</v>
      </c>
      <c r="C4971" s="1" t="s">
        <v>11</v>
      </c>
      <c r="D4971" s="5">
        <v>45258.0</v>
      </c>
      <c r="G4971" s="1">
        <f>VLOOKUP(B4971,'old-aw-skill-plan'!A:I,7,FALSE)</f>
        <v>5</v>
      </c>
      <c r="H4971" s="1" t="str">
        <f>VLOOKUP(B4971,'old-aw-skill-plan'!A:I,9,FALSE)</f>
        <v>5-1</v>
      </c>
    </row>
    <row r="4972" ht="15.75" customHeight="1">
      <c r="A4972" s="1" t="s">
        <v>22</v>
      </c>
      <c r="B4972" s="1" t="s">
        <v>37</v>
      </c>
      <c r="C4972" s="1" t="s">
        <v>11</v>
      </c>
      <c r="D4972" s="5">
        <v>45258.0</v>
      </c>
      <c r="G4972" s="1">
        <f>VLOOKUP(B4972,'old-aw-skill-plan'!A:I,7,FALSE)</f>
        <v>4</v>
      </c>
      <c r="H4972" s="1" t="str">
        <f>VLOOKUP(B4972,'old-aw-skill-plan'!A:I,9,FALSE)</f>
        <v>4-2</v>
      </c>
    </row>
    <row r="4973" ht="15.75" customHeight="1">
      <c r="A4973" s="1" t="s">
        <v>474</v>
      </c>
      <c r="B4973" s="1" t="s">
        <v>10</v>
      </c>
      <c r="C4973" s="1" t="s">
        <v>11</v>
      </c>
      <c r="D4973" s="5">
        <v>45258.0</v>
      </c>
      <c r="G4973" s="1">
        <f>VLOOKUP(B4973,'old-aw-skill-plan'!A:I,7,FALSE)</f>
        <v>3</v>
      </c>
      <c r="H4973" s="1" t="str">
        <f>VLOOKUP(B4973,'old-aw-skill-plan'!A:I,9,FALSE)</f>
        <v>3-1</v>
      </c>
    </row>
    <row r="4974" ht="15.75" customHeight="1">
      <c r="A4974" s="1" t="s">
        <v>216</v>
      </c>
      <c r="B4974" s="1" t="s">
        <v>34</v>
      </c>
      <c r="C4974" s="1" t="s">
        <v>11</v>
      </c>
      <c r="D4974" s="5">
        <v>45258.0</v>
      </c>
      <c r="G4974" s="1">
        <f>VLOOKUP(B4974,'old-aw-skill-plan'!A:I,7,FALSE)</f>
        <v>4</v>
      </c>
      <c r="H4974" s="1" t="str">
        <f>VLOOKUP(B4974,'old-aw-skill-plan'!A:I,9,FALSE)</f>
        <v>4-1</v>
      </c>
    </row>
    <row r="4975" ht="15.75" customHeight="1">
      <c r="A4975" s="1" t="s">
        <v>35</v>
      </c>
      <c r="B4975" s="1" t="s">
        <v>97</v>
      </c>
      <c r="C4975" s="1" t="s">
        <v>11</v>
      </c>
      <c r="D4975" s="5">
        <v>45258.0</v>
      </c>
      <c r="G4975" s="1">
        <f>VLOOKUP(B4975,'old-aw-skill-plan'!A:I,7,FALSE)</f>
        <v>4</v>
      </c>
      <c r="H4975" s="1" t="str">
        <f>VLOOKUP(B4975,'old-aw-skill-plan'!A:I,9,FALSE)</f>
        <v>4-3</v>
      </c>
    </row>
    <row r="4976" ht="15.75" customHeight="1">
      <c r="A4976" s="1" t="s">
        <v>24</v>
      </c>
      <c r="B4976" s="1" t="s">
        <v>34</v>
      </c>
      <c r="C4976" s="1" t="s">
        <v>11</v>
      </c>
      <c r="D4976" s="5">
        <v>45258.0</v>
      </c>
      <c r="G4976" s="1">
        <f>VLOOKUP(B4976,'old-aw-skill-plan'!A:I,7,FALSE)</f>
        <v>4</v>
      </c>
      <c r="H4976" s="1" t="str">
        <f>VLOOKUP(B4976,'old-aw-skill-plan'!A:I,9,FALSE)</f>
        <v>4-1</v>
      </c>
    </row>
    <row r="4977" ht="15.75" customHeight="1">
      <c r="A4977" s="1" t="s">
        <v>36</v>
      </c>
      <c r="B4977" s="1" t="s">
        <v>28</v>
      </c>
      <c r="C4977" s="1" t="s">
        <v>11</v>
      </c>
      <c r="D4977" s="5">
        <v>45258.0</v>
      </c>
      <c r="G4977" s="1">
        <f>VLOOKUP(B4977,'old-aw-skill-plan'!A:I,7,FALSE)</f>
        <v>3</v>
      </c>
      <c r="H4977" s="1" t="str">
        <f>VLOOKUP(B4977,'old-aw-skill-plan'!A:I,9,FALSE)</f>
        <v>3-4</v>
      </c>
    </row>
    <row r="4978" ht="15.75" customHeight="1">
      <c r="A4978" s="1" t="s">
        <v>460</v>
      </c>
      <c r="B4978" s="1" t="s">
        <v>44</v>
      </c>
      <c r="C4978" s="1" t="s">
        <v>11</v>
      </c>
      <c r="D4978" s="5">
        <v>45258.0</v>
      </c>
      <c r="G4978" s="1">
        <f>VLOOKUP(B4978,'old-aw-skill-plan'!A:I,7,FALSE)</f>
        <v>5</v>
      </c>
      <c r="H4978" s="1" t="str">
        <f>VLOOKUP(B4978,'old-aw-skill-plan'!A:I,9,FALSE)</f>
        <v>5-1</v>
      </c>
    </row>
    <row r="4979" ht="15.75" customHeight="1">
      <c r="A4979" s="1" t="s">
        <v>469</v>
      </c>
      <c r="B4979" s="1" t="s">
        <v>34</v>
      </c>
      <c r="C4979" s="1" t="s">
        <v>11</v>
      </c>
      <c r="D4979" s="5">
        <v>45258.0</v>
      </c>
      <c r="G4979" s="1">
        <f>VLOOKUP(B4979,'old-aw-skill-plan'!A:I,7,FALSE)</f>
        <v>4</v>
      </c>
      <c r="H4979" s="1" t="str">
        <f>VLOOKUP(B4979,'old-aw-skill-plan'!A:I,9,FALSE)</f>
        <v>4-1</v>
      </c>
    </row>
    <row r="4980" ht="15.75" customHeight="1">
      <c r="A4980" s="1" t="s">
        <v>469</v>
      </c>
      <c r="B4980" s="1" t="s">
        <v>37</v>
      </c>
      <c r="C4980" s="1" t="s">
        <v>11</v>
      </c>
      <c r="D4980" s="5">
        <v>45258.0</v>
      </c>
      <c r="G4980" s="1">
        <f>VLOOKUP(B4980,'old-aw-skill-plan'!A:I,7,FALSE)</f>
        <v>4</v>
      </c>
      <c r="H4980" s="1" t="str">
        <f>VLOOKUP(B4980,'old-aw-skill-plan'!A:I,9,FALSE)</f>
        <v>4-2</v>
      </c>
    </row>
    <row r="4981" ht="15.75" customHeight="1">
      <c r="A4981" s="1" t="s">
        <v>469</v>
      </c>
      <c r="B4981" s="1" t="s">
        <v>320</v>
      </c>
      <c r="C4981" s="1" t="s">
        <v>11</v>
      </c>
      <c r="D4981" s="5">
        <v>45258.0</v>
      </c>
      <c r="G4981" s="1">
        <f>VLOOKUP(B4981,'old-aw-skill-plan'!A:I,7,FALSE)</f>
        <v>4</v>
      </c>
      <c r="H4981" s="1" t="str">
        <f>VLOOKUP(B4981,'old-aw-skill-plan'!A:I,9,FALSE)</f>
        <v>4-2</v>
      </c>
    </row>
    <row r="4982" ht="15.75" customHeight="1">
      <c r="A4982" s="1" t="s">
        <v>469</v>
      </c>
      <c r="B4982" s="1" t="s">
        <v>470</v>
      </c>
      <c r="C4982" s="1" t="s">
        <v>11</v>
      </c>
      <c r="D4982" s="5">
        <v>45258.0</v>
      </c>
      <c r="G4982" s="1" t="str">
        <f>VLOOKUP(B4982,'old-aw-skill-plan'!A:I,7,FALSE)</f>
        <v>#N/A</v>
      </c>
      <c r="H4982" s="1" t="str">
        <f>VLOOKUP(B4982,'old-aw-skill-plan'!A:I,9,FALSE)</f>
        <v>#N/A</v>
      </c>
    </row>
    <row r="4983" ht="15.75" customHeight="1">
      <c r="A4983" s="1" t="s">
        <v>419</v>
      </c>
      <c r="B4983" s="1" t="s">
        <v>111</v>
      </c>
      <c r="C4983" s="1" t="s">
        <v>11</v>
      </c>
      <c r="D4983" s="5">
        <v>45258.0</v>
      </c>
      <c r="G4983" s="1" t="str">
        <f>VLOOKUP(B4983,'old-aw-skill-plan'!A:I,7,FALSE)</f>
        <v>#N/A</v>
      </c>
      <c r="H4983" s="1" t="str">
        <f>VLOOKUP(B4983,'old-aw-skill-plan'!A:I,9,FALSE)</f>
        <v>#N/A</v>
      </c>
    </row>
    <row r="4984" ht="15.75" customHeight="1">
      <c r="A4984" s="1" t="s">
        <v>419</v>
      </c>
      <c r="B4984" s="1" t="s">
        <v>44</v>
      </c>
      <c r="C4984" s="1" t="s">
        <v>11</v>
      </c>
      <c r="D4984" s="5">
        <v>45258.0</v>
      </c>
      <c r="G4984" s="1">
        <f>VLOOKUP(B4984,'old-aw-skill-plan'!A:I,7,FALSE)</f>
        <v>5</v>
      </c>
      <c r="H4984" s="1" t="str">
        <f>VLOOKUP(B4984,'old-aw-skill-plan'!A:I,9,FALSE)</f>
        <v>5-1</v>
      </c>
    </row>
    <row r="4985" ht="15.75" customHeight="1">
      <c r="A4985" s="1" t="s">
        <v>473</v>
      </c>
      <c r="B4985" s="1" t="s">
        <v>10</v>
      </c>
      <c r="C4985" s="1" t="s">
        <v>11</v>
      </c>
      <c r="D4985" s="5">
        <v>45258.0</v>
      </c>
      <c r="G4985" s="1">
        <f>VLOOKUP(B4985,'old-aw-skill-plan'!A:I,7,FALSE)</f>
        <v>3</v>
      </c>
      <c r="H4985" s="1" t="str">
        <f>VLOOKUP(B4985,'old-aw-skill-plan'!A:I,9,FALSE)</f>
        <v>3-1</v>
      </c>
    </row>
    <row r="4986" ht="15.75" customHeight="1">
      <c r="A4986" s="1" t="s">
        <v>56</v>
      </c>
      <c r="B4986" s="1" t="s">
        <v>10</v>
      </c>
      <c r="C4986" s="1" t="s">
        <v>11</v>
      </c>
      <c r="D4986" s="5">
        <v>45258.0</v>
      </c>
      <c r="G4986" s="1">
        <f>VLOOKUP(B4986,'old-aw-skill-plan'!A:I,7,FALSE)</f>
        <v>3</v>
      </c>
      <c r="H4986" s="1" t="str">
        <f>VLOOKUP(B4986,'old-aw-skill-plan'!A:I,9,FALSE)</f>
        <v>3-1</v>
      </c>
    </row>
    <row r="4987" ht="15.75" customHeight="1">
      <c r="A4987" s="1" t="s">
        <v>56</v>
      </c>
      <c r="B4987" s="1" t="s">
        <v>30</v>
      </c>
      <c r="C4987" s="1" t="s">
        <v>11</v>
      </c>
      <c r="D4987" s="5">
        <v>45258.0</v>
      </c>
      <c r="G4987" s="1">
        <f>VLOOKUP(B4987,'old-aw-skill-plan'!A:I,7,FALSE)</f>
        <v>3</v>
      </c>
      <c r="H4987" s="1" t="str">
        <f>VLOOKUP(B4987,'old-aw-skill-plan'!A:I,9,FALSE)</f>
        <v>3-3</v>
      </c>
    </row>
    <row r="4988" ht="15.75" customHeight="1">
      <c r="A4988" s="1" t="s">
        <v>56</v>
      </c>
      <c r="B4988" s="1" t="s">
        <v>47</v>
      </c>
      <c r="C4988" s="1" t="s">
        <v>11</v>
      </c>
      <c r="D4988" s="5">
        <v>45258.0</v>
      </c>
      <c r="G4988" s="1">
        <f>VLOOKUP(B4988,'old-aw-skill-plan'!A:I,7,FALSE)</f>
        <v>3</v>
      </c>
      <c r="H4988" s="1" t="str">
        <f>VLOOKUP(B4988,'old-aw-skill-plan'!A:I,9,FALSE)</f>
        <v>3-2</v>
      </c>
    </row>
    <row r="4989" ht="15.75" customHeight="1">
      <c r="A4989" s="1" t="s">
        <v>81</v>
      </c>
      <c r="B4989" s="1" t="s">
        <v>61</v>
      </c>
      <c r="C4989" s="1" t="s">
        <v>11</v>
      </c>
      <c r="D4989" s="5">
        <v>45258.0</v>
      </c>
      <c r="G4989" s="1">
        <f>VLOOKUP(B4989,'old-aw-skill-plan'!A:I,7,FALSE)</f>
        <v>4</v>
      </c>
      <c r="H4989" s="1" t="str">
        <f>VLOOKUP(B4989,'old-aw-skill-plan'!A:I,9,FALSE)</f>
        <v>4-4</v>
      </c>
    </row>
    <row r="4990" ht="15.75" customHeight="1">
      <c r="A4990" s="1" t="s">
        <v>81</v>
      </c>
      <c r="B4990" s="1" t="s">
        <v>97</v>
      </c>
      <c r="C4990" s="1" t="s">
        <v>11</v>
      </c>
      <c r="D4990" s="5">
        <v>45258.0</v>
      </c>
      <c r="G4990" s="1">
        <f>VLOOKUP(B4990,'old-aw-skill-plan'!A:I,7,FALSE)</f>
        <v>4</v>
      </c>
      <c r="H4990" s="1" t="str">
        <f>VLOOKUP(B4990,'old-aw-skill-plan'!A:I,9,FALSE)</f>
        <v>4-3</v>
      </c>
    </row>
    <row r="4991" ht="15.75" customHeight="1">
      <c r="A4991" s="1" t="s">
        <v>421</v>
      </c>
      <c r="B4991" s="1" t="s">
        <v>44</v>
      </c>
      <c r="C4991" s="1" t="s">
        <v>11</v>
      </c>
      <c r="D4991" s="5">
        <v>45258.0</v>
      </c>
      <c r="G4991" s="1">
        <f>VLOOKUP(B4991,'old-aw-skill-plan'!A:I,7,FALSE)</f>
        <v>5</v>
      </c>
      <c r="H4991" s="1" t="str">
        <f>VLOOKUP(B4991,'old-aw-skill-plan'!A:I,9,FALSE)</f>
        <v>5-1</v>
      </c>
    </row>
    <row r="4992" ht="15.75" customHeight="1">
      <c r="A4992" s="1" t="s">
        <v>230</v>
      </c>
      <c r="B4992" s="1" t="s">
        <v>356</v>
      </c>
      <c r="C4992" s="1" t="s">
        <v>11</v>
      </c>
      <c r="D4992" s="5">
        <v>45258.0</v>
      </c>
      <c r="G4992" s="1">
        <f>VLOOKUP(B4992,'old-aw-skill-plan'!A:I,7,FALSE)</f>
        <v>3</v>
      </c>
      <c r="H4992" s="1" t="str">
        <f>VLOOKUP(B4992,'old-aw-skill-plan'!A:I,9,FALSE)</f>
        <v>3-2</v>
      </c>
    </row>
    <row r="4993" ht="15.75" customHeight="1">
      <c r="A4993" s="1" t="s">
        <v>428</v>
      </c>
      <c r="B4993" s="1" t="s">
        <v>61</v>
      </c>
      <c r="C4993" s="1" t="s">
        <v>11</v>
      </c>
      <c r="D4993" s="5">
        <v>45258.0</v>
      </c>
      <c r="G4993" s="1">
        <f>VLOOKUP(B4993,'old-aw-skill-plan'!A:I,7,FALSE)</f>
        <v>4</v>
      </c>
      <c r="H4993" s="1" t="str">
        <f>VLOOKUP(B4993,'old-aw-skill-plan'!A:I,9,FALSE)</f>
        <v>4-4</v>
      </c>
    </row>
    <row r="4994" ht="15.75" customHeight="1">
      <c r="A4994" s="1" t="s">
        <v>420</v>
      </c>
      <c r="B4994" s="1" t="s">
        <v>30</v>
      </c>
      <c r="C4994" s="1" t="s">
        <v>11</v>
      </c>
      <c r="D4994" s="5">
        <v>45258.0</v>
      </c>
      <c r="G4994" s="1">
        <f>VLOOKUP(B4994,'old-aw-skill-plan'!A:I,7,FALSE)</f>
        <v>3</v>
      </c>
      <c r="H4994" s="1" t="str">
        <f>VLOOKUP(B4994,'old-aw-skill-plan'!A:I,9,FALSE)</f>
        <v>3-3</v>
      </c>
    </row>
    <row r="4995" ht="15.75" customHeight="1">
      <c r="A4995" s="1" t="s">
        <v>420</v>
      </c>
      <c r="B4995" s="1" t="s">
        <v>352</v>
      </c>
      <c r="C4995" s="1" t="s">
        <v>11</v>
      </c>
      <c r="D4995" s="5">
        <v>45258.0</v>
      </c>
      <c r="G4995" s="1">
        <f>VLOOKUP(B4995,'old-aw-skill-plan'!A:I,7,FALSE)</f>
        <v>3</v>
      </c>
      <c r="H4995" s="1" t="str">
        <f>VLOOKUP(B4995,'old-aw-skill-plan'!A:I,9,FALSE)</f>
        <v>3-2</v>
      </c>
    </row>
    <row r="4996" ht="15.75" customHeight="1">
      <c r="A4996" s="1" t="s">
        <v>461</v>
      </c>
      <c r="B4996" s="1" t="s">
        <v>44</v>
      </c>
      <c r="C4996" s="1" t="s">
        <v>11</v>
      </c>
      <c r="D4996" s="5">
        <v>45258.0</v>
      </c>
      <c r="G4996" s="1">
        <f>VLOOKUP(B4996,'old-aw-skill-plan'!A:I,7,FALSE)</f>
        <v>5</v>
      </c>
      <c r="H4996" s="1" t="str">
        <f>VLOOKUP(B4996,'old-aw-skill-plan'!A:I,9,FALSE)</f>
        <v>5-1</v>
      </c>
    </row>
    <row r="4997" ht="15.75" customHeight="1">
      <c r="A4997" s="1" t="s">
        <v>95</v>
      </c>
      <c r="B4997" s="1" t="s">
        <v>47</v>
      </c>
      <c r="C4997" s="1" t="s">
        <v>11</v>
      </c>
      <c r="D4997" s="5">
        <v>45258.0</v>
      </c>
      <c r="G4997" s="1">
        <f>VLOOKUP(B4997,'old-aw-skill-plan'!A:I,7,FALSE)</f>
        <v>3</v>
      </c>
      <c r="H4997" s="1" t="str">
        <f>VLOOKUP(B4997,'old-aw-skill-plan'!A:I,9,FALSE)</f>
        <v>3-2</v>
      </c>
    </row>
    <row r="4998" ht="15.75" customHeight="1">
      <c r="A4998" s="1" t="s">
        <v>197</v>
      </c>
      <c r="B4998" s="1" t="s">
        <v>97</v>
      </c>
      <c r="C4998" s="1" t="s">
        <v>11</v>
      </c>
      <c r="D4998" s="5">
        <v>45258.0</v>
      </c>
      <c r="G4998" s="1">
        <f>VLOOKUP(B4998,'old-aw-skill-plan'!A:I,7,FALSE)</f>
        <v>4</v>
      </c>
      <c r="H4998" s="1" t="str">
        <f>VLOOKUP(B4998,'old-aw-skill-plan'!A:I,9,FALSE)</f>
        <v>4-3</v>
      </c>
    </row>
    <row r="4999" ht="15.75" customHeight="1">
      <c r="A4999" s="1" t="s">
        <v>373</v>
      </c>
      <c r="B4999" s="1" t="s">
        <v>47</v>
      </c>
      <c r="C4999" s="1" t="s">
        <v>11</v>
      </c>
      <c r="D4999" s="5">
        <v>45258.0</v>
      </c>
      <c r="G4999" s="1">
        <f>VLOOKUP(B4999,'old-aw-skill-plan'!A:I,7,FALSE)</f>
        <v>3</v>
      </c>
      <c r="H4999" s="1" t="str">
        <f>VLOOKUP(B4999,'old-aw-skill-plan'!A:I,9,FALSE)</f>
        <v>3-2</v>
      </c>
    </row>
    <row r="5000" ht="15.75" customHeight="1">
      <c r="A5000" s="1" t="s">
        <v>430</v>
      </c>
      <c r="B5000" s="1" t="s">
        <v>10</v>
      </c>
      <c r="C5000" s="1" t="s">
        <v>11</v>
      </c>
      <c r="D5000" s="5">
        <v>45258.0</v>
      </c>
      <c r="G5000" s="1">
        <f>VLOOKUP(B5000,'old-aw-skill-plan'!A:I,7,FALSE)</f>
        <v>3</v>
      </c>
      <c r="H5000" s="1" t="str">
        <f>VLOOKUP(B5000,'old-aw-skill-plan'!A:I,9,FALSE)</f>
        <v>3-1</v>
      </c>
    </row>
    <row r="5001" ht="15.75" customHeight="1">
      <c r="A5001" s="1" t="s">
        <v>74</v>
      </c>
      <c r="B5001" s="1" t="s">
        <v>330</v>
      </c>
      <c r="C5001" s="1" t="s">
        <v>11</v>
      </c>
      <c r="D5001" s="5">
        <v>45258.0</v>
      </c>
      <c r="G5001" s="1" t="str">
        <f>VLOOKUP(B5001,'old-aw-skill-plan'!A:I,7,FALSE)</f>
        <v>#N/A</v>
      </c>
      <c r="H5001" s="1" t="str">
        <f>VLOOKUP(B5001,'old-aw-skill-plan'!A:I,9,FALSE)</f>
        <v>#N/A</v>
      </c>
    </row>
    <row r="5002" ht="15.75" customHeight="1">
      <c r="A5002" s="1" t="s">
        <v>269</v>
      </c>
      <c r="B5002" s="1" t="s">
        <v>47</v>
      </c>
      <c r="C5002" s="1" t="s">
        <v>11</v>
      </c>
      <c r="D5002" s="5">
        <v>45258.0</v>
      </c>
      <c r="G5002" s="1">
        <f>VLOOKUP(B5002,'old-aw-skill-plan'!A:I,7,FALSE)</f>
        <v>3</v>
      </c>
      <c r="H5002" s="1" t="str">
        <f>VLOOKUP(B5002,'old-aw-skill-plan'!A:I,9,FALSE)</f>
        <v>3-2</v>
      </c>
    </row>
    <row r="5003" ht="15.75" customHeight="1">
      <c r="A5003" s="1" t="s">
        <v>265</v>
      </c>
      <c r="B5003" s="1" t="s">
        <v>44</v>
      </c>
      <c r="C5003" s="1" t="s">
        <v>11</v>
      </c>
      <c r="D5003" s="5">
        <v>45258.0</v>
      </c>
      <c r="G5003" s="1">
        <f>VLOOKUP(B5003,'old-aw-skill-plan'!A:I,7,FALSE)</f>
        <v>5</v>
      </c>
      <c r="H5003" s="1" t="str">
        <f>VLOOKUP(B5003,'old-aw-skill-plan'!A:I,9,FALSE)</f>
        <v>5-1</v>
      </c>
    </row>
    <row r="5004" ht="15.75" customHeight="1">
      <c r="A5004" s="1" t="s">
        <v>90</v>
      </c>
      <c r="B5004" s="1" t="s">
        <v>47</v>
      </c>
      <c r="C5004" s="1" t="s">
        <v>11</v>
      </c>
      <c r="D5004" s="5">
        <v>45258.0</v>
      </c>
      <c r="G5004" s="1">
        <f>VLOOKUP(B5004,'old-aw-skill-plan'!A:I,7,FALSE)</f>
        <v>3</v>
      </c>
      <c r="H5004" s="1" t="str">
        <f>VLOOKUP(B5004,'old-aw-skill-plan'!A:I,9,FALSE)</f>
        <v>3-2</v>
      </c>
    </row>
    <row r="5005" ht="15.75" customHeight="1">
      <c r="A5005" s="1" t="s">
        <v>277</v>
      </c>
      <c r="B5005" s="1" t="s">
        <v>44</v>
      </c>
      <c r="C5005" s="1" t="s">
        <v>11</v>
      </c>
      <c r="D5005" s="5">
        <v>45258.0</v>
      </c>
      <c r="G5005" s="1">
        <f>VLOOKUP(B5005,'old-aw-skill-plan'!A:I,7,FALSE)</f>
        <v>5</v>
      </c>
      <c r="H5005" s="1" t="str">
        <f>VLOOKUP(B5005,'old-aw-skill-plan'!A:I,9,FALSE)</f>
        <v>5-1</v>
      </c>
    </row>
    <row r="5006" ht="15.75" customHeight="1">
      <c r="A5006" s="1" t="s">
        <v>463</v>
      </c>
      <c r="B5006" s="1" t="s">
        <v>44</v>
      </c>
      <c r="C5006" s="1" t="s">
        <v>11</v>
      </c>
      <c r="D5006" s="5">
        <v>45258.0</v>
      </c>
      <c r="G5006" s="1">
        <f>VLOOKUP(B5006,'old-aw-skill-plan'!A:I,7,FALSE)</f>
        <v>5</v>
      </c>
      <c r="H5006" s="1" t="str">
        <f>VLOOKUP(B5006,'old-aw-skill-plan'!A:I,9,FALSE)</f>
        <v>5-1</v>
      </c>
    </row>
    <row r="5007" ht="15.75" customHeight="1">
      <c r="A5007" s="1" t="s">
        <v>93</v>
      </c>
      <c r="B5007" s="1" t="s">
        <v>450</v>
      </c>
      <c r="C5007" s="1" t="s">
        <v>11</v>
      </c>
      <c r="D5007" s="5">
        <v>45258.0</v>
      </c>
      <c r="G5007" s="1">
        <f>VLOOKUP(B5007,'old-aw-skill-plan'!A:I,7,FALSE)</f>
        <v>3</v>
      </c>
      <c r="H5007" s="1" t="str">
        <f>VLOOKUP(B5007,'old-aw-skill-plan'!A:I,9,FALSE)</f>
        <v>3-4</v>
      </c>
    </row>
    <row r="5008" ht="15.75" customHeight="1">
      <c r="A5008" s="1" t="s">
        <v>93</v>
      </c>
      <c r="B5008" s="1" t="s">
        <v>466</v>
      </c>
      <c r="C5008" s="1" t="s">
        <v>11</v>
      </c>
      <c r="D5008" s="5">
        <v>45258.0</v>
      </c>
      <c r="G5008" s="1" t="str">
        <f>VLOOKUP(B5008,'old-aw-skill-plan'!A:I,7,FALSE)</f>
        <v>#N/A</v>
      </c>
      <c r="H5008" s="1" t="str">
        <f>VLOOKUP(B5008,'old-aw-skill-plan'!A:I,9,FALSE)</f>
        <v>#N/A</v>
      </c>
    </row>
    <row r="5009" ht="15.75" customHeight="1">
      <c r="A5009" s="1" t="s">
        <v>365</v>
      </c>
      <c r="B5009" s="1" t="s">
        <v>34</v>
      </c>
      <c r="C5009" s="1" t="s">
        <v>11</v>
      </c>
      <c r="D5009" s="5">
        <v>45258.0</v>
      </c>
      <c r="G5009" s="1">
        <f>VLOOKUP(B5009,'old-aw-skill-plan'!A:I,7,FALSE)</f>
        <v>4</v>
      </c>
      <c r="H5009" s="1" t="str">
        <f>VLOOKUP(B5009,'old-aw-skill-plan'!A:I,9,FALSE)</f>
        <v>4-1</v>
      </c>
    </row>
    <row r="5010" ht="15.75" customHeight="1">
      <c r="A5010" s="1" t="s">
        <v>94</v>
      </c>
      <c r="B5010" s="1" t="s">
        <v>28</v>
      </c>
      <c r="C5010" s="1" t="s">
        <v>11</v>
      </c>
      <c r="D5010" s="5">
        <v>45258.0</v>
      </c>
      <c r="G5010" s="1">
        <f>VLOOKUP(B5010,'old-aw-skill-plan'!A:I,7,FALSE)</f>
        <v>3</v>
      </c>
      <c r="H5010" s="1" t="str">
        <f>VLOOKUP(B5010,'old-aw-skill-plan'!A:I,9,FALSE)</f>
        <v>3-4</v>
      </c>
    </row>
    <row r="5011" ht="15.75" customHeight="1">
      <c r="A5011" s="1" t="s">
        <v>94</v>
      </c>
      <c r="B5011" s="1" t="s">
        <v>111</v>
      </c>
      <c r="C5011" s="1" t="s">
        <v>11</v>
      </c>
      <c r="D5011" s="5">
        <v>45258.0</v>
      </c>
      <c r="G5011" s="1" t="str">
        <f>VLOOKUP(B5011,'old-aw-skill-plan'!A:I,7,FALSE)</f>
        <v>#N/A</v>
      </c>
      <c r="H5011" s="1" t="str">
        <f>VLOOKUP(B5011,'old-aw-skill-plan'!A:I,9,FALSE)</f>
        <v>#N/A</v>
      </c>
    </row>
    <row r="5012" ht="15.75" customHeight="1">
      <c r="A5012" s="1" t="s">
        <v>225</v>
      </c>
      <c r="B5012" s="1" t="s">
        <v>97</v>
      </c>
      <c r="C5012" s="1" t="s">
        <v>11</v>
      </c>
      <c r="D5012" s="5">
        <v>45258.0</v>
      </c>
      <c r="G5012" s="1">
        <f>VLOOKUP(B5012,'old-aw-skill-plan'!A:I,7,FALSE)</f>
        <v>4</v>
      </c>
      <c r="H5012" s="1" t="str">
        <f>VLOOKUP(B5012,'old-aw-skill-plan'!A:I,9,FALSE)</f>
        <v>4-3</v>
      </c>
    </row>
    <row r="5013" ht="15.75" customHeight="1">
      <c r="A5013" s="1" t="s">
        <v>427</v>
      </c>
      <c r="B5013" s="1" t="s">
        <v>356</v>
      </c>
      <c r="C5013" s="1" t="s">
        <v>11</v>
      </c>
      <c r="D5013" s="5">
        <v>45258.0</v>
      </c>
      <c r="G5013" s="1">
        <f>VLOOKUP(B5013,'old-aw-skill-plan'!A:I,7,FALSE)</f>
        <v>3</v>
      </c>
      <c r="H5013" s="1" t="str">
        <f>VLOOKUP(B5013,'old-aw-skill-plan'!A:I,9,FALSE)</f>
        <v>3-2</v>
      </c>
    </row>
    <row r="5014" ht="15.75" customHeight="1">
      <c r="A5014" s="1" t="s">
        <v>464</v>
      </c>
      <c r="B5014" s="1" t="s">
        <v>44</v>
      </c>
      <c r="C5014" s="1" t="s">
        <v>11</v>
      </c>
      <c r="D5014" s="5">
        <v>45257.0</v>
      </c>
      <c r="G5014" s="1">
        <f>VLOOKUP(B5014,'old-aw-skill-plan'!A:I,7,FALSE)</f>
        <v>5</v>
      </c>
      <c r="H5014" s="1" t="str">
        <f>VLOOKUP(B5014,'old-aw-skill-plan'!A:I,9,FALSE)</f>
        <v>5-1</v>
      </c>
    </row>
    <row r="5015" ht="15.75" customHeight="1">
      <c r="A5015" s="1" t="s">
        <v>464</v>
      </c>
      <c r="B5015" s="1" t="s">
        <v>104</v>
      </c>
      <c r="C5015" s="1" t="s">
        <v>11</v>
      </c>
      <c r="D5015" s="5">
        <v>45257.0</v>
      </c>
      <c r="G5015" s="1">
        <f>VLOOKUP(B5015,'old-aw-skill-plan'!A:I,7,FALSE)</f>
        <v>5</v>
      </c>
      <c r="H5015" s="1" t="str">
        <f>VLOOKUP(B5015,'old-aw-skill-plan'!A:I,9,FALSE)</f>
        <v>5-2</v>
      </c>
    </row>
    <row r="5016" ht="15.75" customHeight="1">
      <c r="A5016" s="1" t="s">
        <v>266</v>
      </c>
      <c r="B5016" s="1" t="s">
        <v>44</v>
      </c>
      <c r="C5016" s="1" t="s">
        <v>11</v>
      </c>
      <c r="D5016" s="5">
        <v>45257.0</v>
      </c>
      <c r="G5016" s="1">
        <f>VLOOKUP(B5016,'old-aw-skill-plan'!A:I,7,FALSE)</f>
        <v>5</v>
      </c>
      <c r="H5016" s="1" t="str">
        <f>VLOOKUP(B5016,'old-aw-skill-plan'!A:I,9,FALSE)</f>
        <v>5-1</v>
      </c>
    </row>
    <row r="5017" ht="15.75" customHeight="1">
      <c r="A5017" s="1" t="s">
        <v>22</v>
      </c>
      <c r="B5017" s="1" t="s">
        <v>37</v>
      </c>
      <c r="C5017" s="1" t="s">
        <v>11</v>
      </c>
      <c r="D5017" s="5">
        <v>45257.0</v>
      </c>
      <c r="G5017" s="1">
        <f>VLOOKUP(B5017,'old-aw-skill-plan'!A:I,7,FALSE)</f>
        <v>4</v>
      </c>
      <c r="H5017" s="1" t="str">
        <f>VLOOKUP(B5017,'old-aw-skill-plan'!A:I,9,FALSE)</f>
        <v>4-2</v>
      </c>
    </row>
    <row r="5018" ht="15.75" customHeight="1">
      <c r="A5018" s="1" t="s">
        <v>474</v>
      </c>
      <c r="B5018" s="1" t="s">
        <v>10</v>
      </c>
      <c r="C5018" s="1" t="s">
        <v>11</v>
      </c>
      <c r="D5018" s="5">
        <v>45257.0</v>
      </c>
      <c r="G5018" s="1">
        <f>VLOOKUP(B5018,'old-aw-skill-plan'!A:I,7,FALSE)</f>
        <v>3</v>
      </c>
      <c r="H5018" s="1" t="str">
        <f>VLOOKUP(B5018,'old-aw-skill-plan'!A:I,9,FALSE)</f>
        <v>3-1</v>
      </c>
    </row>
    <row r="5019" ht="15.75" customHeight="1">
      <c r="A5019" s="1" t="s">
        <v>216</v>
      </c>
      <c r="B5019" s="1" t="s">
        <v>34</v>
      </c>
      <c r="C5019" s="1" t="s">
        <v>11</v>
      </c>
      <c r="D5019" s="5">
        <v>45257.0</v>
      </c>
      <c r="G5019" s="1">
        <f>VLOOKUP(B5019,'old-aw-skill-plan'!A:I,7,FALSE)</f>
        <v>4</v>
      </c>
      <c r="H5019" s="1" t="str">
        <f>VLOOKUP(B5019,'old-aw-skill-plan'!A:I,9,FALSE)</f>
        <v>4-1</v>
      </c>
    </row>
    <row r="5020" ht="15.75" customHeight="1">
      <c r="A5020" s="1" t="s">
        <v>35</v>
      </c>
      <c r="B5020" s="1" t="s">
        <v>97</v>
      </c>
      <c r="C5020" s="1" t="s">
        <v>11</v>
      </c>
      <c r="D5020" s="5">
        <v>45257.0</v>
      </c>
      <c r="G5020" s="1">
        <f>VLOOKUP(B5020,'old-aw-skill-plan'!A:I,7,FALSE)</f>
        <v>4</v>
      </c>
      <c r="H5020" s="1" t="str">
        <f>VLOOKUP(B5020,'old-aw-skill-plan'!A:I,9,FALSE)</f>
        <v>4-3</v>
      </c>
    </row>
    <row r="5021" ht="15.75" customHeight="1">
      <c r="A5021" s="1" t="s">
        <v>24</v>
      </c>
      <c r="B5021" s="1" t="s">
        <v>34</v>
      </c>
      <c r="C5021" s="1" t="s">
        <v>11</v>
      </c>
      <c r="D5021" s="5">
        <v>45257.0</v>
      </c>
      <c r="G5021" s="1">
        <f>VLOOKUP(B5021,'old-aw-skill-plan'!A:I,7,FALSE)</f>
        <v>4</v>
      </c>
      <c r="H5021" s="1" t="str">
        <f>VLOOKUP(B5021,'old-aw-skill-plan'!A:I,9,FALSE)</f>
        <v>4-1</v>
      </c>
    </row>
    <row r="5022" ht="15.75" customHeight="1">
      <c r="A5022" s="1" t="s">
        <v>271</v>
      </c>
      <c r="B5022" s="1" t="s">
        <v>111</v>
      </c>
      <c r="C5022" s="1" t="s">
        <v>11</v>
      </c>
      <c r="D5022" s="5">
        <v>45257.0</v>
      </c>
      <c r="G5022" s="1" t="str">
        <f>VLOOKUP(B5022,'old-aw-skill-plan'!A:I,7,FALSE)</f>
        <v>#N/A</v>
      </c>
      <c r="H5022" s="1" t="str">
        <f>VLOOKUP(B5022,'old-aw-skill-plan'!A:I,9,FALSE)</f>
        <v>#N/A</v>
      </c>
    </row>
    <row r="5023" ht="15.75" customHeight="1">
      <c r="A5023" s="1" t="s">
        <v>271</v>
      </c>
      <c r="B5023" s="1" t="s">
        <v>467</v>
      </c>
      <c r="C5023" s="1" t="s">
        <v>11</v>
      </c>
      <c r="D5023" s="5">
        <v>45257.0</v>
      </c>
      <c r="G5023" s="1" t="str">
        <f>VLOOKUP(B5023,'old-aw-skill-plan'!A:I,7,FALSE)</f>
        <v>#N/A</v>
      </c>
      <c r="H5023" s="1" t="str">
        <f>VLOOKUP(B5023,'old-aw-skill-plan'!A:I,9,FALSE)</f>
        <v>#N/A</v>
      </c>
    </row>
    <row r="5024" ht="15.75" customHeight="1">
      <c r="A5024" s="1" t="s">
        <v>434</v>
      </c>
      <c r="B5024" s="1" t="s">
        <v>111</v>
      </c>
      <c r="C5024" s="1" t="s">
        <v>11</v>
      </c>
      <c r="D5024" s="5">
        <v>45257.0</v>
      </c>
      <c r="G5024" s="1" t="str">
        <f>VLOOKUP(B5024,'old-aw-skill-plan'!A:I,7,FALSE)</f>
        <v>#N/A</v>
      </c>
      <c r="H5024" s="1" t="str">
        <f>VLOOKUP(B5024,'old-aw-skill-plan'!A:I,9,FALSE)</f>
        <v>#N/A</v>
      </c>
    </row>
    <row r="5025" ht="15.75" customHeight="1">
      <c r="A5025" s="1" t="s">
        <v>36</v>
      </c>
      <c r="B5025" s="1" t="s">
        <v>28</v>
      </c>
      <c r="C5025" s="1" t="s">
        <v>11</v>
      </c>
      <c r="D5025" s="5">
        <v>45257.0</v>
      </c>
      <c r="G5025" s="1">
        <f>VLOOKUP(B5025,'old-aw-skill-plan'!A:I,7,FALSE)</f>
        <v>3</v>
      </c>
      <c r="H5025" s="1" t="str">
        <f>VLOOKUP(B5025,'old-aw-skill-plan'!A:I,9,FALSE)</f>
        <v>3-4</v>
      </c>
    </row>
    <row r="5026" ht="15.75" customHeight="1">
      <c r="A5026" s="1" t="s">
        <v>460</v>
      </c>
      <c r="B5026" s="1" t="s">
        <v>44</v>
      </c>
      <c r="C5026" s="1" t="s">
        <v>11</v>
      </c>
      <c r="D5026" s="5">
        <v>45257.0</v>
      </c>
      <c r="G5026" s="1">
        <f>VLOOKUP(B5026,'old-aw-skill-plan'!A:I,7,FALSE)</f>
        <v>5</v>
      </c>
      <c r="H5026" s="1" t="str">
        <f>VLOOKUP(B5026,'old-aw-skill-plan'!A:I,9,FALSE)</f>
        <v>5-1</v>
      </c>
    </row>
    <row r="5027" ht="15.75" customHeight="1">
      <c r="A5027" s="1" t="s">
        <v>469</v>
      </c>
      <c r="B5027" s="1" t="s">
        <v>34</v>
      </c>
      <c r="C5027" s="1" t="s">
        <v>11</v>
      </c>
      <c r="D5027" s="5">
        <v>45257.0</v>
      </c>
      <c r="G5027" s="1">
        <f>VLOOKUP(B5027,'old-aw-skill-plan'!A:I,7,FALSE)</f>
        <v>4</v>
      </c>
      <c r="H5027" s="1" t="str">
        <f>VLOOKUP(B5027,'old-aw-skill-plan'!A:I,9,FALSE)</f>
        <v>4-1</v>
      </c>
    </row>
    <row r="5028" ht="15.75" customHeight="1">
      <c r="A5028" s="1" t="s">
        <v>465</v>
      </c>
      <c r="B5028" s="1" t="s">
        <v>111</v>
      </c>
      <c r="C5028" s="1" t="s">
        <v>11</v>
      </c>
      <c r="D5028" s="5">
        <v>45257.0</v>
      </c>
      <c r="G5028" s="1" t="str">
        <f>VLOOKUP(B5028,'old-aw-skill-plan'!A:I,7,FALSE)</f>
        <v>#N/A</v>
      </c>
      <c r="H5028" s="1" t="str">
        <f>VLOOKUP(B5028,'old-aw-skill-plan'!A:I,9,FALSE)</f>
        <v>#N/A</v>
      </c>
    </row>
    <row r="5029" ht="15.75" customHeight="1">
      <c r="A5029" s="1" t="s">
        <v>465</v>
      </c>
      <c r="B5029" s="1" t="s">
        <v>467</v>
      </c>
      <c r="C5029" s="1" t="s">
        <v>11</v>
      </c>
      <c r="D5029" s="5">
        <v>45257.0</v>
      </c>
      <c r="G5029" s="1" t="str">
        <f>VLOOKUP(B5029,'old-aw-skill-plan'!A:I,7,FALSE)</f>
        <v>#N/A</v>
      </c>
      <c r="H5029" s="1" t="str">
        <f>VLOOKUP(B5029,'old-aw-skill-plan'!A:I,9,FALSE)</f>
        <v>#N/A</v>
      </c>
    </row>
    <row r="5030" ht="15.75" customHeight="1">
      <c r="A5030" s="1" t="s">
        <v>419</v>
      </c>
      <c r="B5030" s="1" t="s">
        <v>111</v>
      </c>
      <c r="C5030" s="1" t="s">
        <v>11</v>
      </c>
      <c r="D5030" s="5">
        <v>45257.0</v>
      </c>
      <c r="G5030" s="1" t="str">
        <f>VLOOKUP(B5030,'old-aw-skill-plan'!A:I,7,FALSE)</f>
        <v>#N/A</v>
      </c>
      <c r="H5030" s="1" t="str">
        <f>VLOOKUP(B5030,'old-aw-skill-plan'!A:I,9,FALSE)</f>
        <v>#N/A</v>
      </c>
    </row>
    <row r="5031" ht="15.75" customHeight="1">
      <c r="A5031" s="1" t="s">
        <v>454</v>
      </c>
      <c r="B5031" s="1" t="s">
        <v>111</v>
      </c>
      <c r="C5031" s="1" t="s">
        <v>11</v>
      </c>
      <c r="D5031" s="5">
        <v>45257.0</v>
      </c>
      <c r="G5031" s="1" t="str">
        <f>VLOOKUP(B5031,'old-aw-skill-plan'!A:I,7,FALSE)</f>
        <v>#N/A</v>
      </c>
      <c r="H5031" s="1" t="str">
        <f>VLOOKUP(B5031,'old-aw-skill-plan'!A:I,9,FALSE)</f>
        <v>#N/A</v>
      </c>
    </row>
    <row r="5032" ht="15.75" customHeight="1">
      <c r="A5032" s="1" t="s">
        <v>454</v>
      </c>
      <c r="B5032" s="1" t="s">
        <v>467</v>
      </c>
      <c r="C5032" s="1" t="s">
        <v>11</v>
      </c>
      <c r="D5032" s="5">
        <v>45257.0</v>
      </c>
      <c r="G5032" s="1" t="str">
        <f>VLOOKUP(B5032,'old-aw-skill-plan'!A:I,7,FALSE)</f>
        <v>#N/A</v>
      </c>
      <c r="H5032" s="1" t="str">
        <f>VLOOKUP(B5032,'old-aw-skill-plan'!A:I,9,FALSE)</f>
        <v>#N/A</v>
      </c>
    </row>
    <row r="5033" ht="15.75" customHeight="1">
      <c r="A5033" s="1" t="s">
        <v>454</v>
      </c>
      <c r="B5033" s="1" t="s">
        <v>466</v>
      </c>
      <c r="C5033" s="1" t="s">
        <v>11</v>
      </c>
      <c r="D5033" s="5">
        <v>45257.0</v>
      </c>
      <c r="G5033" s="1" t="str">
        <f>VLOOKUP(B5033,'old-aw-skill-plan'!A:I,7,FALSE)</f>
        <v>#N/A</v>
      </c>
      <c r="H5033" s="1" t="str">
        <f>VLOOKUP(B5033,'old-aw-skill-plan'!A:I,9,FALSE)</f>
        <v>#N/A</v>
      </c>
    </row>
    <row r="5034" ht="15.75" customHeight="1">
      <c r="A5034" s="1" t="s">
        <v>473</v>
      </c>
      <c r="B5034" s="1" t="s">
        <v>10</v>
      </c>
      <c r="C5034" s="1" t="s">
        <v>11</v>
      </c>
      <c r="D5034" s="5">
        <v>45257.0</v>
      </c>
      <c r="G5034" s="1">
        <f>VLOOKUP(B5034,'old-aw-skill-plan'!A:I,7,FALSE)</f>
        <v>3</v>
      </c>
      <c r="H5034" s="1" t="str">
        <f>VLOOKUP(B5034,'old-aw-skill-plan'!A:I,9,FALSE)</f>
        <v>3-1</v>
      </c>
    </row>
    <row r="5035" ht="15.75" customHeight="1">
      <c r="A5035" s="1" t="s">
        <v>56</v>
      </c>
      <c r="B5035" s="1" t="s">
        <v>47</v>
      </c>
      <c r="C5035" s="1" t="s">
        <v>11</v>
      </c>
      <c r="D5035" s="5">
        <v>45257.0</v>
      </c>
      <c r="G5035" s="1">
        <f>VLOOKUP(B5035,'old-aw-skill-plan'!A:I,7,FALSE)</f>
        <v>3</v>
      </c>
      <c r="H5035" s="1" t="str">
        <f>VLOOKUP(B5035,'old-aw-skill-plan'!A:I,9,FALSE)</f>
        <v>3-2</v>
      </c>
    </row>
    <row r="5036" ht="15.75" customHeight="1">
      <c r="A5036" s="1" t="s">
        <v>81</v>
      </c>
      <c r="B5036" s="1" t="s">
        <v>37</v>
      </c>
      <c r="C5036" s="1" t="s">
        <v>11</v>
      </c>
      <c r="D5036" s="5">
        <v>45257.0</v>
      </c>
      <c r="G5036" s="1">
        <f>VLOOKUP(B5036,'old-aw-skill-plan'!A:I,7,FALSE)</f>
        <v>4</v>
      </c>
      <c r="H5036" s="1" t="str">
        <f>VLOOKUP(B5036,'old-aw-skill-plan'!A:I,9,FALSE)</f>
        <v>4-2</v>
      </c>
    </row>
    <row r="5037" ht="15.75" customHeight="1">
      <c r="A5037" s="1" t="s">
        <v>421</v>
      </c>
      <c r="B5037" s="1" t="s">
        <v>44</v>
      </c>
      <c r="C5037" s="1" t="s">
        <v>11</v>
      </c>
      <c r="D5037" s="5">
        <v>45257.0</v>
      </c>
      <c r="G5037" s="1">
        <f>VLOOKUP(B5037,'old-aw-skill-plan'!A:I,7,FALSE)</f>
        <v>5</v>
      </c>
      <c r="H5037" s="1" t="str">
        <f>VLOOKUP(B5037,'old-aw-skill-plan'!A:I,9,FALSE)</f>
        <v>5-1</v>
      </c>
    </row>
    <row r="5038" ht="15.75" customHeight="1">
      <c r="A5038" s="1" t="s">
        <v>428</v>
      </c>
      <c r="B5038" s="1" t="s">
        <v>61</v>
      </c>
      <c r="C5038" s="1" t="s">
        <v>11</v>
      </c>
      <c r="D5038" s="5">
        <v>45257.0</v>
      </c>
      <c r="G5038" s="1">
        <f>VLOOKUP(B5038,'old-aw-skill-plan'!A:I,7,FALSE)</f>
        <v>4</v>
      </c>
      <c r="H5038" s="1" t="str">
        <f>VLOOKUP(B5038,'old-aw-skill-plan'!A:I,9,FALSE)</f>
        <v>4-4</v>
      </c>
    </row>
    <row r="5039" ht="15.75" customHeight="1">
      <c r="A5039" s="1" t="s">
        <v>461</v>
      </c>
      <c r="B5039" s="1" t="s">
        <v>44</v>
      </c>
      <c r="C5039" s="1" t="s">
        <v>11</v>
      </c>
      <c r="D5039" s="5">
        <v>45257.0</v>
      </c>
      <c r="G5039" s="1">
        <f>VLOOKUP(B5039,'old-aw-skill-plan'!A:I,7,FALSE)</f>
        <v>5</v>
      </c>
      <c r="H5039" s="1" t="str">
        <f>VLOOKUP(B5039,'old-aw-skill-plan'!A:I,9,FALSE)</f>
        <v>5-1</v>
      </c>
    </row>
    <row r="5040" ht="15.75" customHeight="1">
      <c r="A5040" s="1" t="s">
        <v>95</v>
      </c>
      <c r="B5040" s="1" t="s">
        <v>47</v>
      </c>
      <c r="C5040" s="1" t="s">
        <v>11</v>
      </c>
      <c r="D5040" s="5">
        <v>45257.0</v>
      </c>
      <c r="G5040" s="1">
        <f>VLOOKUP(B5040,'old-aw-skill-plan'!A:I,7,FALSE)</f>
        <v>3</v>
      </c>
      <c r="H5040" s="1" t="str">
        <f>VLOOKUP(B5040,'old-aw-skill-plan'!A:I,9,FALSE)</f>
        <v>3-2</v>
      </c>
    </row>
    <row r="5041" ht="15.75" customHeight="1">
      <c r="A5041" s="1" t="s">
        <v>214</v>
      </c>
      <c r="B5041" s="1" t="s">
        <v>30</v>
      </c>
      <c r="C5041" s="1" t="s">
        <v>11</v>
      </c>
      <c r="D5041" s="5">
        <v>45257.0</v>
      </c>
      <c r="G5041" s="1">
        <f>VLOOKUP(B5041,'old-aw-skill-plan'!A:I,7,FALSE)</f>
        <v>3</v>
      </c>
      <c r="H5041" s="1" t="str">
        <f>VLOOKUP(B5041,'old-aw-skill-plan'!A:I,9,FALSE)</f>
        <v>3-3</v>
      </c>
    </row>
    <row r="5042" ht="15.75" customHeight="1">
      <c r="A5042" s="1" t="s">
        <v>197</v>
      </c>
      <c r="B5042" s="1" t="s">
        <v>97</v>
      </c>
      <c r="C5042" s="1" t="s">
        <v>11</v>
      </c>
      <c r="D5042" s="5">
        <v>45257.0</v>
      </c>
      <c r="G5042" s="1">
        <f>VLOOKUP(B5042,'old-aw-skill-plan'!A:I,7,FALSE)</f>
        <v>4</v>
      </c>
      <c r="H5042" s="1" t="str">
        <f>VLOOKUP(B5042,'old-aw-skill-plan'!A:I,9,FALSE)</f>
        <v>4-3</v>
      </c>
    </row>
    <row r="5043" ht="15.75" customHeight="1">
      <c r="A5043" s="1" t="s">
        <v>197</v>
      </c>
      <c r="B5043" s="1" t="s">
        <v>37</v>
      </c>
      <c r="C5043" s="1" t="s">
        <v>11</v>
      </c>
      <c r="D5043" s="5">
        <v>45257.0</v>
      </c>
      <c r="G5043" s="1">
        <f>VLOOKUP(B5043,'old-aw-skill-plan'!A:I,7,FALSE)</f>
        <v>4</v>
      </c>
      <c r="H5043" s="1" t="str">
        <f>VLOOKUP(B5043,'old-aw-skill-plan'!A:I,9,FALSE)</f>
        <v>4-2</v>
      </c>
    </row>
    <row r="5044" ht="15.75" customHeight="1">
      <c r="A5044" s="1" t="s">
        <v>373</v>
      </c>
      <c r="B5044" s="1" t="s">
        <v>47</v>
      </c>
      <c r="C5044" s="1" t="s">
        <v>11</v>
      </c>
      <c r="D5044" s="5">
        <v>45257.0</v>
      </c>
      <c r="G5044" s="1">
        <f>VLOOKUP(B5044,'old-aw-skill-plan'!A:I,7,FALSE)</f>
        <v>3</v>
      </c>
      <c r="H5044" s="1" t="str">
        <f>VLOOKUP(B5044,'old-aw-skill-plan'!A:I,9,FALSE)</f>
        <v>3-2</v>
      </c>
    </row>
    <row r="5045" ht="15.75" customHeight="1">
      <c r="A5045" s="1" t="s">
        <v>430</v>
      </c>
      <c r="B5045" s="1" t="s">
        <v>10</v>
      </c>
      <c r="C5045" s="1" t="s">
        <v>11</v>
      </c>
      <c r="D5045" s="5">
        <v>45257.0</v>
      </c>
      <c r="G5045" s="1">
        <f>VLOOKUP(B5045,'old-aw-skill-plan'!A:I,7,FALSE)</f>
        <v>3</v>
      </c>
      <c r="H5045" s="1" t="str">
        <f>VLOOKUP(B5045,'old-aw-skill-plan'!A:I,9,FALSE)</f>
        <v>3-1</v>
      </c>
    </row>
    <row r="5046" ht="15.75" customHeight="1">
      <c r="A5046" s="1" t="s">
        <v>74</v>
      </c>
      <c r="B5046" s="1" t="s">
        <v>25</v>
      </c>
      <c r="C5046" s="1" t="s">
        <v>11</v>
      </c>
      <c r="D5046" s="5">
        <v>45257.0</v>
      </c>
      <c r="G5046" s="1">
        <f>VLOOKUP(B5046,'old-aw-skill-plan'!A:I,7,FALSE)</f>
        <v>5</v>
      </c>
      <c r="H5046" s="1" t="str">
        <f>VLOOKUP(B5046,'old-aw-skill-plan'!A:I,9,FALSE)</f>
        <v>5-4</v>
      </c>
    </row>
    <row r="5047" ht="15.75" customHeight="1">
      <c r="A5047" s="1" t="s">
        <v>74</v>
      </c>
      <c r="B5047" s="1" t="s">
        <v>104</v>
      </c>
      <c r="C5047" s="1" t="s">
        <v>11</v>
      </c>
      <c r="D5047" s="5">
        <v>45257.0</v>
      </c>
      <c r="G5047" s="1">
        <f>VLOOKUP(B5047,'old-aw-skill-plan'!A:I,7,FALSE)</f>
        <v>5</v>
      </c>
      <c r="H5047" s="1" t="str">
        <f>VLOOKUP(B5047,'old-aw-skill-plan'!A:I,9,FALSE)</f>
        <v>5-2</v>
      </c>
    </row>
    <row r="5048" ht="15.75" customHeight="1">
      <c r="A5048" s="1" t="s">
        <v>265</v>
      </c>
      <c r="B5048" s="1" t="s">
        <v>44</v>
      </c>
      <c r="C5048" s="1" t="s">
        <v>11</v>
      </c>
      <c r="D5048" s="5">
        <v>45257.0</v>
      </c>
      <c r="G5048" s="1">
        <f>VLOOKUP(B5048,'old-aw-skill-plan'!A:I,7,FALSE)</f>
        <v>5</v>
      </c>
      <c r="H5048" s="1" t="str">
        <f>VLOOKUP(B5048,'old-aw-skill-plan'!A:I,9,FALSE)</f>
        <v>5-1</v>
      </c>
    </row>
    <row r="5049" ht="15.75" customHeight="1">
      <c r="A5049" s="1" t="s">
        <v>90</v>
      </c>
      <c r="B5049" s="1" t="s">
        <v>10</v>
      </c>
      <c r="C5049" s="1" t="s">
        <v>11</v>
      </c>
      <c r="D5049" s="5">
        <v>45257.0</v>
      </c>
      <c r="G5049" s="1">
        <f>VLOOKUP(B5049,'old-aw-skill-plan'!A:I,7,FALSE)</f>
        <v>3</v>
      </c>
      <c r="H5049" s="1" t="str">
        <f>VLOOKUP(B5049,'old-aw-skill-plan'!A:I,9,FALSE)</f>
        <v>3-1</v>
      </c>
    </row>
    <row r="5050" ht="15.75" customHeight="1">
      <c r="A5050" s="1" t="s">
        <v>277</v>
      </c>
      <c r="B5050" s="1" t="s">
        <v>44</v>
      </c>
      <c r="C5050" s="1" t="s">
        <v>11</v>
      </c>
      <c r="D5050" s="5">
        <v>45257.0</v>
      </c>
      <c r="G5050" s="1">
        <f>VLOOKUP(B5050,'old-aw-skill-plan'!A:I,7,FALSE)</f>
        <v>5</v>
      </c>
      <c r="H5050" s="1" t="str">
        <f>VLOOKUP(B5050,'old-aw-skill-plan'!A:I,9,FALSE)</f>
        <v>5-1</v>
      </c>
    </row>
    <row r="5051" ht="15.75" customHeight="1">
      <c r="A5051" s="1" t="s">
        <v>278</v>
      </c>
      <c r="B5051" s="1" t="s">
        <v>28</v>
      </c>
      <c r="C5051" s="1" t="s">
        <v>11</v>
      </c>
      <c r="D5051" s="5">
        <v>45257.0</v>
      </c>
      <c r="G5051" s="1">
        <f>VLOOKUP(B5051,'old-aw-skill-plan'!A:I,7,FALSE)</f>
        <v>3</v>
      </c>
      <c r="H5051" s="1" t="str">
        <f>VLOOKUP(B5051,'old-aw-skill-plan'!A:I,9,FALSE)</f>
        <v>3-4</v>
      </c>
    </row>
    <row r="5052" ht="15.75" customHeight="1">
      <c r="A5052" s="1" t="s">
        <v>463</v>
      </c>
      <c r="B5052" s="1" t="s">
        <v>44</v>
      </c>
      <c r="C5052" s="1" t="s">
        <v>11</v>
      </c>
      <c r="D5052" s="5">
        <v>45257.0</v>
      </c>
      <c r="G5052" s="1">
        <f>VLOOKUP(B5052,'old-aw-skill-plan'!A:I,7,FALSE)</f>
        <v>5</v>
      </c>
      <c r="H5052" s="1" t="str">
        <f>VLOOKUP(B5052,'old-aw-skill-plan'!A:I,9,FALSE)</f>
        <v>5-1</v>
      </c>
    </row>
    <row r="5053" ht="15.75" customHeight="1">
      <c r="A5053" s="1" t="s">
        <v>457</v>
      </c>
      <c r="B5053" s="1" t="s">
        <v>28</v>
      </c>
      <c r="C5053" s="1" t="s">
        <v>11</v>
      </c>
      <c r="D5053" s="5">
        <v>45257.0</v>
      </c>
      <c r="G5053" s="1">
        <f>VLOOKUP(B5053,'old-aw-skill-plan'!A:I,7,FALSE)</f>
        <v>3</v>
      </c>
      <c r="H5053" s="1" t="str">
        <f>VLOOKUP(B5053,'old-aw-skill-plan'!A:I,9,FALSE)</f>
        <v>3-4</v>
      </c>
    </row>
    <row r="5054" ht="15.75" customHeight="1">
      <c r="A5054" s="1" t="s">
        <v>457</v>
      </c>
      <c r="B5054" s="1" t="s">
        <v>111</v>
      </c>
      <c r="C5054" s="1" t="s">
        <v>11</v>
      </c>
      <c r="D5054" s="5">
        <v>45257.0</v>
      </c>
      <c r="G5054" s="1" t="str">
        <f>VLOOKUP(B5054,'old-aw-skill-plan'!A:I,7,FALSE)</f>
        <v>#N/A</v>
      </c>
      <c r="H5054" s="1" t="str">
        <f>VLOOKUP(B5054,'old-aw-skill-plan'!A:I,9,FALSE)</f>
        <v>#N/A</v>
      </c>
    </row>
    <row r="5055" ht="15.75" customHeight="1">
      <c r="A5055" s="1" t="s">
        <v>457</v>
      </c>
      <c r="B5055" s="1" t="s">
        <v>425</v>
      </c>
      <c r="C5055" s="1" t="s">
        <v>11</v>
      </c>
      <c r="D5055" s="5">
        <v>45257.0</v>
      </c>
      <c r="G5055" s="1">
        <f>VLOOKUP(B5055,'old-aw-skill-plan'!A:I,7,FALSE)</f>
        <v>3</v>
      </c>
      <c r="H5055" s="1" t="str">
        <f>VLOOKUP(B5055,'old-aw-skill-plan'!A:I,9,FALSE)</f>
        <v>3-1</v>
      </c>
    </row>
    <row r="5056" ht="15.75" customHeight="1">
      <c r="A5056" s="1" t="s">
        <v>457</v>
      </c>
      <c r="B5056" s="1" t="s">
        <v>466</v>
      </c>
      <c r="C5056" s="1" t="s">
        <v>11</v>
      </c>
      <c r="D5056" s="5">
        <v>45257.0</v>
      </c>
      <c r="G5056" s="1" t="str">
        <f>VLOOKUP(B5056,'old-aw-skill-plan'!A:I,7,FALSE)</f>
        <v>#N/A</v>
      </c>
      <c r="H5056" s="1" t="str">
        <f>VLOOKUP(B5056,'old-aw-skill-plan'!A:I,9,FALSE)</f>
        <v>#N/A</v>
      </c>
    </row>
    <row r="5057" ht="15.75" customHeight="1">
      <c r="A5057" s="1" t="s">
        <v>93</v>
      </c>
      <c r="B5057" s="1" t="s">
        <v>453</v>
      </c>
      <c r="C5057" s="1" t="s">
        <v>11</v>
      </c>
      <c r="D5057" s="5">
        <v>45257.0</v>
      </c>
      <c r="G5057" s="1">
        <f>VLOOKUP(B5057,'old-aw-skill-plan'!A:I,7,FALSE)</f>
        <v>3</v>
      </c>
      <c r="H5057" s="1" t="str">
        <f>VLOOKUP(B5057,'old-aw-skill-plan'!A:I,9,FALSE)</f>
        <v>3-4</v>
      </c>
    </row>
    <row r="5058" ht="15.75" customHeight="1">
      <c r="A5058" s="1" t="s">
        <v>93</v>
      </c>
      <c r="B5058" s="1" t="s">
        <v>467</v>
      </c>
      <c r="C5058" s="1" t="s">
        <v>11</v>
      </c>
      <c r="D5058" s="5">
        <v>45257.0</v>
      </c>
      <c r="G5058" s="1" t="str">
        <f>VLOOKUP(B5058,'old-aw-skill-plan'!A:I,7,FALSE)</f>
        <v>#N/A</v>
      </c>
      <c r="H5058" s="1" t="str">
        <f>VLOOKUP(B5058,'old-aw-skill-plan'!A:I,9,FALSE)</f>
        <v>#N/A</v>
      </c>
    </row>
    <row r="5059" ht="15.75" customHeight="1">
      <c r="A5059" s="1" t="s">
        <v>94</v>
      </c>
      <c r="B5059" s="1" t="s">
        <v>28</v>
      </c>
      <c r="C5059" s="1" t="s">
        <v>11</v>
      </c>
      <c r="D5059" s="5">
        <v>45257.0</v>
      </c>
      <c r="G5059" s="1">
        <f>VLOOKUP(B5059,'old-aw-skill-plan'!A:I,7,FALSE)</f>
        <v>3</v>
      </c>
      <c r="H5059" s="1" t="str">
        <f>VLOOKUP(B5059,'old-aw-skill-plan'!A:I,9,FALSE)</f>
        <v>3-4</v>
      </c>
    </row>
    <row r="5060" ht="15.75" customHeight="1">
      <c r="A5060" s="1" t="s">
        <v>468</v>
      </c>
      <c r="B5060" s="1" t="s">
        <v>28</v>
      </c>
      <c r="C5060" s="1" t="s">
        <v>11</v>
      </c>
      <c r="D5060" s="5">
        <v>45257.0</v>
      </c>
      <c r="G5060" s="1">
        <f>VLOOKUP(B5060,'old-aw-skill-plan'!A:I,7,FALSE)</f>
        <v>3</v>
      </c>
      <c r="H5060" s="1" t="str">
        <f>VLOOKUP(B5060,'old-aw-skill-plan'!A:I,9,FALSE)</f>
        <v>3-4</v>
      </c>
    </row>
    <row r="5061" ht="15.75" customHeight="1">
      <c r="A5061" s="1" t="s">
        <v>468</v>
      </c>
      <c r="B5061" s="1" t="s">
        <v>111</v>
      </c>
      <c r="C5061" s="1" t="s">
        <v>11</v>
      </c>
      <c r="D5061" s="5">
        <v>45257.0</v>
      </c>
      <c r="G5061" s="1" t="str">
        <f>VLOOKUP(B5061,'old-aw-skill-plan'!A:I,7,FALSE)</f>
        <v>#N/A</v>
      </c>
      <c r="H5061" s="1" t="str">
        <f>VLOOKUP(B5061,'old-aw-skill-plan'!A:I,9,FALSE)</f>
        <v>#N/A</v>
      </c>
    </row>
    <row r="5062" ht="15.75" customHeight="1">
      <c r="A5062" s="1" t="s">
        <v>427</v>
      </c>
      <c r="B5062" s="1" t="s">
        <v>356</v>
      </c>
      <c r="C5062" s="1" t="s">
        <v>11</v>
      </c>
      <c r="D5062" s="5">
        <v>45257.0</v>
      </c>
      <c r="G5062" s="1">
        <f>VLOOKUP(B5062,'old-aw-skill-plan'!A:I,7,FALSE)</f>
        <v>3</v>
      </c>
      <c r="H5062" s="1" t="str">
        <f>VLOOKUP(B5062,'old-aw-skill-plan'!A:I,9,FALSE)</f>
        <v>3-2</v>
      </c>
    </row>
    <row r="5063" ht="15.75" customHeight="1">
      <c r="A5063" s="1" t="s">
        <v>409</v>
      </c>
      <c r="B5063" s="1" t="s">
        <v>310</v>
      </c>
      <c r="C5063" s="1" t="s">
        <v>11</v>
      </c>
      <c r="D5063" s="5">
        <v>45255.0</v>
      </c>
      <c r="G5063" s="1" t="str">
        <f>VLOOKUP(B5063,'old-aw-skill-plan'!A:I,7,FALSE)</f>
        <v>#N/A</v>
      </c>
      <c r="H5063" s="1" t="str">
        <f>VLOOKUP(B5063,'old-aw-skill-plan'!A:I,9,FALSE)</f>
        <v>#N/A</v>
      </c>
    </row>
    <row r="5064" ht="15.75" customHeight="1">
      <c r="A5064" s="1" t="s">
        <v>429</v>
      </c>
      <c r="B5064" s="1" t="s">
        <v>37</v>
      </c>
      <c r="C5064" s="1" t="s">
        <v>11</v>
      </c>
      <c r="D5064" s="5">
        <v>45253.0</v>
      </c>
      <c r="G5064" s="1">
        <f>VLOOKUP(B5064,'old-aw-skill-plan'!A:I,7,FALSE)</f>
        <v>4</v>
      </c>
      <c r="H5064" s="1" t="str">
        <f>VLOOKUP(B5064,'old-aw-skill-plan'!A:I,9,FALSE)</f>
        <v>4-2</v>
      </c>
    </row>
    <row r="5065" ht="15.75" customHeight="1">
      <c r="A5065" s="1" t="s">
        <v>230</v>
      </c>
      <c r="B5065" s="1" t="s">
        <v>425</v>
      </c>
      <c r="C5065" s="1" t="s">
        <v>11</v>
      </c>
      <c r="D5065" s="5">
        <v>45253.0</v>
      </c>
      <c r="G5065" s="1">
        <f>VLOOKUP(B5065,'old-aw-skill-plan'!A:I,7,FALSE)</f>
        <v>3</v>
      </c>
      <c r="H5065" s="1" t="str">
        <f>VLOOKUP(B5065,'old-aw-skill-plan'!A:I,9,FALSE)</f>
        <v>3-1</v>
      </c>
    </row>
    <row r="5066" ht="15.75" customHeight="1">
      <c r="A5066" s="1" t="s">
        <v>90</v>
      </c>
      <c r="B5066" s="1" t="s">
        <v>47</v>
      </c>
      <c r="C5066" s="1" t="s">
        <v>11</v>
      </c>
      <c r="D5066" s="5">
        <v>45253.0</v>
      </c>
      <c r="G5066" s="1">
        <f>VLOOKUP(B5066,'old-aw-skill-plan'!A:I,7,FALSE)</f>
        <v>3</v>
      </c>
      <c r="H5066" s="1" t="str">
        <f>VLOOKUP(B5066,'old-aw-skill-plan'!A:I,9,FALSE)</f>
        <v>3-2</v>
      </c>
    </row>
    <row r="5067" ht="15.75" customHeight="1">
      <c r="A5067" s="1" t="s">
        <v>230</v>
      </c>
      <c r="B5067" s="1" t="s">
        <v>425</v>
      </c>
      <c r="C5067" s="1" t="s">
        <v>11</v>
      </c>
      <c r="D5067" s="5">
        <v>45252.0</v>
      </c>
      <c r="G5067" s="1">
        <f>VLOOKUP(B5067,'old-aw-skill-plan'!A:I,7,FALSE)</f>
        <v>3</v>
      </c>
      <c r="H5067" s="1" t="str">
        <f>VLOOKUP(B5067,'old-aw-skill-plan'!A:I,9,FALSE)</f>
        <v>3-1</v>
      </c>
    </row>
    <row r="5068" ht="15.75" customHeight="1">
      <c r="A5068" s="1" t="s">
        <v>230</v>
      </c>
      <c r="B5068" s="1" t="s">
        <v>425</v>
      </c>
      <c r="C5068" s="1" t="s">
        <v>11</v>
      </c>
      <c r="D5068" s="5">
        <v>45251.0</v>
      </c>
      <c r="G5068" s="1">
        <f>VLOOKUP(B5068,'old-aw-skill-plan'!A:I,7,FALSE)</f>
        <v>3</v>
      </c>
      <c r="H5068" s="1" t="str">
        <f>VLOOKUP(B5068,'old-aw-skill-plan'!A:I,9,FALSE)</f>
        <v>3-1</v>
      </c>
    </row>
    <row r="5069" ht="15.75" customHeight="1">
      <c r="A5069" s="1" t="s">
        <v>428</v>
      </c>
      <c r="B5069" s="1" t="s">
        <v>61</v>
      </c>
      <c r="C5069" s="1" t="s">
        <v>11</v>
      </c>
      <c r="D5069" s="5">
        <v>45251.0</v>
      </c>
      <c r="G5069" s="1">
        <f>VLOOKUP(B5069,'old-aw-skill-plan'!A:I,7,FALSE)</f>
        <v>4</v>
      </c>
      <c r="H5069" s="1" t="str">
        <f>VLOOKUP(B5069,'old-aw-skill-plan'!A:I,9,FALSE)</f>
        <v>4-4</v>
      </c>
    </row>
    <row r="5070" ht="15.75" customHeight="1">
      <c r="A5070" s="1" t="s">
        <v>276</v>
      </c>
      <c r="B5070" s="1" t="s">
        <v>103</v>
      </c>
      <c r="C5070" s="1" t="s">
        <v>11</v>
      </c>
      <c r="D5070" s="5">
        <v>45251.0</v>
      </c>
      <c r="G5070" s="1">
        <f>VLOOKUP(B5070,'old-aw-skill-plan'!A:I,7,FALSE)</f>
        <v>5</v>
      </c>
      <c r="H5070" s="1" t="str">
        <f>VLOOKUP(B5070,'old-aw-skill-plan'!A:I,9,FALSE)</f>
        <v>5-3</v>
      </c>
    </row>
    <row r="5071" ht="15.75" customHeight="1">
      <c r="A5071" s="1" t="s">
        <v>373</v>
      </c>
      <c r="B5071" s="1" t="s">
        <v>47</v>
      </c>
      <c r="C5071" s="1" t="s">
        <v>11</v>
      </c>
      <c r="D5071" s="5">
        <v>45251.0</v>
      </c>
      <c r="G5071" s="1">
        <f>VLOOKUP(B5071,'old-aw-skill-plan'!A:I,7,FALSE)</f>
        <v>3</v>
      </c>
      <c r="H5071" s="1" t="str">
        <f>VLOOKUP(B5071,'old-aw-skill-plan'!A:I,9,FALSE)</f>
        <v>3-2</v>
      </c>
    </row>
    <row r="5072" ht="15.75" customHeight="1">
      <c r="A5072" s="1" t="s">
        <v>409</v>
      </c>
      <c r="B5072" s="1" t="s">
        <v>10</v>
      </c>
      <c r="C5072" s="1" t="s">
        <v>11</v>
      </c>
      <c r="D5072" s="5">
        <v>45251.0</v>
      </c>
      <c r="G5072" s="1">
        <f>VLOOKUP(B5072,'old-aw-skill-plan'!A:I,7,FALSE)</f>
        <v>3</v>
      </c>
      <c r="H5072" s="1" t="str">
        <f>VLOOKUP(B5072,'old-aw-skill-plan'!A:I,9,FALSE)</f>
        <v>3-1</v>
      </c>
    </row>
    <row r="5073" ht="15.75" customHeight="1">
      <c r="A5073" s="1" t="s">
        <v>429</v>
      </c>
      <c r="B5073" s="1" t="s">
        <v>34</v>
      </c>
      <c r="C5073" s="1" t="s">
        <v>11</v>
      </c>
      <c r="D5073" s="5">
        <v>45250.0</v>
      </c>
      <c r="G5073" s="1">
        <f>VLOOKUP(B5073,'old-aw-skill-plan'!A:I,7,FALSE)</f>
        <v>4</v>
      </c>
      <c r="H5073" s="1" t="str">
        <f>VLOOKUP(B5073,'old-aw-skill-plan'!A:I,9,FALSE)</f>
        <v>4-1</v>
      </c>
    </row>
    <row r="5074" ht="15.75" customHeight="1">
      <c r="A5074" s="1" t="s">
        <v>429</v>
      </c>
      <c r="B5074" s="1" t="s">
        <v>37</v>
      </c>
      <c r="C5074" s="1" t="s">
        <v>11</v>
      </c>
      <c r="D5074" s="5">
        <v>45250.0</v>
      </c>
      <c r="G5074" s="1">
        <f>VLOOKUP(B5074,'old-aw-skill-plan'!A:I,7,FALSE)</f>
        <v>4</v>
      </c>
      <c r="H5074" s="1" t="str">
        <f>VLOOKUP(B5074,'old-aw-skill-plan'!A:I,9,FALSE)</f>
        <v>4-2</v>
      </c>
    </row>
    <row r="5075" ht="15.75" customHeight="1">
      <c r="A5075" s="1" t="s">
        <v>230</v>
      </c>
      <c r="B5075" s="1" t="s">
        <v>307</v>
      </c>
      <c r="C5075" s="1" t="s">
        <v>11</v>
      </c>
      <c r="D5075" s="5">
        <v>45250.0</v>
      </c>
      <c r="G5075" s="1">
        <f>VLOOKUP(B5075,'old-aw-skill-plan'!A:I,7,FALSE)</f>
        <v>3</v>
      </c>
      <c r="H5075" s="1" t="str">
        <f>VLOOKUP(B5075,'old-aw-skill-plan'!A:I,9,FALSE)</f>
        <v>3-1</v>
      </c>
    </row>
    <row r="5076" ht="15.75" customHeight="1">
      <c r="A5076" s="1" t="s">
        <v>365</v>
      </c>
      <c r="B5076" s="1" t="s">
        <v>34</v>
      </c>
      <c r="C5076" s="1" t="s">
        <v>11</v>
      </c>
      <c r="D5076" s="5">
        <v>45250.0</v>
      </c>
      <c r="G5076" s="1">
        <f>VLOOKUP(B5076,'old-aw-skill-plan'!A:I,7,FALSE)</f>
        <v>4</v>
      </c>
      <c r="H5076" s="1" t="str">
        <f>VLOOKUP(B5076,'old-aw-skill-plan'!A:I,9,FALSE)</f>
        <v>4-1</v>
      </c>
    </row>
    <row r="5077" ht="15.75" customHeight="1">
      <c r="A5077" s="1" t="s">
        <v>429</v>
      </c>
      <c r="B5077" s="1" t="s">
        <v>34</v>
      </c>
      <c r="C5077" s="1" t="s">
        <v>11</v>
      </c>
      <c r="D5077" s="5">
        <v>45248.0</v>
      </c>
      <c r="G5077" s="1">
        <f>VLOOKUP(B5077,'old-aw-skill-plan'!A:I,7,FALSE)</f>
        <v>4</v>
      </c>
      <c r="H5077" s="1" t="str">
        <f>VLOOKUP(B5077,'old-aw-skill-plan'!A:I,9,FALSE)</f>
        <v>4-1</v>
      </c>
    </row>
    <row r="5078" ht="15.75" customHeight="1">
      <c r="A5078" s="1" t="s">
        <v>464</v>
      </c>
      <c r="B5078" s="1" t="s">
        <v>44</v>
      </c>
      <c r="C5078" s="1" t="s">
        <v>11</v>
      </c>
      <c r="D5078" s="5">
        <v>45247.0</v>
      </c>
      <c r="G5078" s="1">
        <f>VLOOKUP(B5078,'old-aw-skill-plan'!A:I,7,FALSE)</f>
        <v>5</v>
      </c>
      <c r="H5078" s="1" t="str">
        <f>VLOOKUP(B5078,'old-aw-skill-plan'!A:I,9,FALSE)</f>
        <v>5-1</v>
      </c>
    </row>
    <row r="5079" ht="15.75" customHeight="1">
      <c r="A5079" s="1" t="s">
        <v>22</v>
      </c>
      <c r="B5079" s="1" t="s">
        <v>34</v>
      </c>
      <c r="C5079" s="1" t="s">
        <v>11</v>
      </c>
      <c r="D5079" s="5">
        <v>45247.0</v>
      </c>
      <c r="G5079" s="1">
        <f>VLOOKUP(B5079,'old-aw-skill-plan'!A:I,7,FALSE)</f>
        <v>4</v>
      </c>
      <c r="H5079" s="1" t="str">
        <f>VLOOKUP(B5079,'old-aw-skill-plan'!A:I,9,FALSE)</f>
        <v>4-1</v>
      </c>
    </row>
    <row r="5080" ht="15.75" customHeight="1">
      <c r="A5080" s="1" t="s">
        <v>474</v>
      </c>
      <c r="B5080" s="1" t="s">
        <v>10</v>
      </c>
      <c r="C5080" s="1" t="s">
        <v>11</v>
      </c>
      <c r="D5080" s="5">
        <v>45247.0</v>
      </c>
      <c r="G5080" s="1">
        <f>VLOOKUP(B5080,'old-aw-skill-plan'!A:I,7,FALSE)</f>
        <v>3</v>
      </c>
      <c r="H5080" s="1" t="str">
        <f>VLOOKUP(B5080,'old-aw-skill-plan'!A:I,9,FALSE)</f>
        <v>3-1</v>
      </c>
    </row>
    <row r="5081" ht="15.75" customHeight="1">
      <c r="A5081" s="1" t="s">
        <v>216</v>
      </c>
      <c r="B5081" s="1" t="s">
        <v>34</v>
      </c>
      <c r="C5081" s="1" t="s">
        <v>11</v>
      </c>
      <c r="D5081" s="5">
        <v>45247.0</v>
      </c>
      <c r="G5081" s="1">
        <f>VLOOKUP(B5081,'old-aw-skill-plan'!A:I,7,FALSE)</f>
        <v>4</v>
      </c>
      <c r="H5081" s="1" t="str">
        <f>VLOOKUP(B5081,'old-aw-skill-plan'!A:I,9,FALSE)</f>
        <v>4-1</v>
      </c>
    </row>
    <row r="5082" ht="15.75" customHeight="1">
      <c r="A5082" s="1" t="s">
        <v>35</v>
      </c>
      <c r="B5082" s="1" t="s">
        <v>97</v>
      </c>
      <c r="C5082" s="1" t="s">
        <v>11</v>
      </c>
      <c r="D5082" s="5">
        <v>45247.0</v>
      </c>
      <c r="G5082" s="1">
        <f>VLOOKUP(B5082,'old-aw-skill-plan'!A:I,7,FALSE)</f>
        <v>4</v>
      </c>
      <c r="H5082" s="1" t="str">
        <f>VLOOKUP(B5082,'old-aw-skill-plan'!A:I,9,FALSE)</f>
        <v>4-3</v>
      </c>
    </row>
    <row r="5083" ht="15.75" customHeight="1">
      <c r="A5083" s="1" t="s">
        <v>35</v>
      </c>
      <c r="B5083" s="1" t="s">
        <v>37</v>
      </c>
      <c r="C5083" s="1" t="s">
        <v>11</v>
      </c>
      <c r="D5083" s="5">
        <v>45247.0</v>
      </c>
      <c r="G5083" s="1">
        <f>VLOOKUP(B5083,'old-aw-skill-plan'!A:I,7,FALSE)</f>
        <v>4</v>
      </c>
      <c r="H5083" s="1" t="str">
        <f>VLOOKUP(B5083,'old-aw-skill-plan'!A:I,9,FALSE)</f>
        <v>4-2</v>
      </c>
    </row>
    <row r="5084" ht="15.75" customHeight="1">
      <c r="A5084" s="1" t="s">
        <v>24</v>
      </c>
      <c r="B5084" s="1" t="s">
        <v>34</v>
      </c>
      <c r="C5084" s="1" t="s">
        <v>11</v>
      </c>
      <c r="D5084" s="5">
        <v>45247.0</v>
      </c>
      <c r="G5084" s="1">
        <f>VLOOKUP(B5084,'old-aw-skill-plan'!A:I,7,FALSE)</f>
        <v>4</v>
      </c>
      <c r="H5084" s="1" t="str">
        <f>VLOOKUP(B5084,'old-aw-skill-plan'!A:I,9,FALSE)</f>
        <v>4-1</v>
      </c>
    </row>
    <row r="5085" ht="15.75" customHeight="1">
      <c r="A5085" s="1" t="s">
        <v>36</v>
      </c>
      <c r="B5085" s="1" t="s">
        <v>28</v>
      </c>
      <c r="C5085" s="1" t="s">
        <v>11</v>
      </c>
      <c r="D5085" s="5">
        <v>45247.0</v>
      </c>
      <c r="G5085" s="1">
        <f>VLOOKUP(B5085,'old-aw-skill-plan'!A:I,7,FALSE)</f>
        <v>3</v>
      </c>
      <c r="H5085" s="1" t="str">
        <f>VLOOKUP(B5085,'old-aw-skill-plan'!A:I,9,FALSE)</f>
        <v>3-4</v>
      </c>
    </row>
    <row r="5086" ht="15.75" customHeight="1">
      <c r="A5086" s="1" t="s">
        <v>460</v>
      </c>
      <c r="B5086" s="1" t="s">
        <v>44</v>
      </c>
      <c r="C5086" s="1" t="s">
        <v>11</v>
      </c>
      <c r="D5086" s="5">
        <v>45247.0</v>
      </c>
      <c r="G5086" s="1">
        <f>VLOOKUP(B5086,'old-aw-skill-plan'!A:I,7,FALSE)</f>
        <v>5</v>
      </c>
      <c r="H5086" s="1" t="str">
        <f>VLOOKUP(B5086,'old-aw-skill-plan'!A:I,9,FALSE)</f>
        <v>5-1</v>
      </c>
    </row>
    <row r="5087" ht="15.75" customHeight="1">
      <c r="A5087" s="1" t="s">
        <v>469</v>
      </c>
      <c r="B5087" s="1" t="s">
        <v>34</v>
      </c>
      <c r="C5087" s="1" t="s">
        <v>11</v>
      </c>
      <c r="D5087" s="5">
        <v>45247.0</v>
      </c>
      <c r="G5087" s="1">
        <f>VLOOKUP(B5087,'old-aw-skill-plan'!A:I,7,FALSE)</f>
        <v>4</v>
      </c>
      <c r="H5087" s="1" t="str">
        <f>VLOOKUP(B5087,'old-aw-skill-plan'!A:I,9,FALSE)</f>
        <v>4-1</v>
      </c>
    </row>
    <row r="5088" ht="15.75" customHeight="1">
      <c r="A5088" s="1" t="s">
        <v>419</v>
      </c>
      <c r="B5088" s="1" t="s">
        <v>111</v>
      </c>
      <c r="C5088" s="1" t="s">
        <v>11</v>
      </c>
      <c r="D5088" s="5">
        <v>45247.0</v>
      </c>
      <c r="G5088" s="1" t="str">
        <f>VLOOKUP(B5088,'old-aw-skill-plan'!A:I,7,FALSE)</f>
        <v>#N/A</v>
      </c>
      <c r="H5088" s="1" t="str">
        <f>VLOOKUP(B5088,'old-aw-skill-plan'!A:I,9,FALSE)</f>
        <v>#N/A</v>
      </c>
    </row>
    <row r="5089" ht="15.75" customHeight="1">
      <c r="A5089" s="1" t="s">
        <v>419</v>
      </c>
      <c r="B5089" s="1" t="s">
        <v>450</v>
      </c>
      <c r="C5089" s="1" t="s">
        <v>11</v>
      </c>
      <c r="D5089" s="5">
        <v>45247.0</v>
      </c>
      <c r="G5089" s="1">
        <f>VLOOKUP(B5089,'old-aw-skill-plan'!A:I,7,FALSE)</f>
        <v>3</v>
      </c>
      <c r="H5089" s="1" t="str">
        <f>VLOOKUP(B5089,'old-aw-skill-plan'!A:I,9,FALSE)</f>
        <v>3-4</v>
      </c>
    </row>
    <row r="5090" ht="15.75" customHeight="1">
      <c r="A5090" s="1" t="s">
        <v>419</v>
      </c>
      <c r="B5090" s="1" t="s">
        <v>466</v>
      </c>
      <c r="C5090" s="1" t="s">
        <v>11</v>
      </c>
      <c r="D5090" s="5">
        <v>45247.0</v>
      </c>
      <c r="G5090" s="1" t="str">
        <f>VLOOKUP(B5090,'old-aw-skill-plan'!A:I,7,FALSE)</f>
        <v>#N/A</v>
      </c>
      <c r="H5090" s="1" t="str">
        <f>VLOOKUP(B5090,'old-aw-skill-plan'!A:I,9,FALSE)</f>
        <v>#N/A</v>
      </c>
    </row>
    <row r="5091" ht="15.75" customHeight="1">
      <c r="A5091" s="1" t="s">
        <v>473</v>
      </c>
      <c r="B5091" s="1" t="s">
        <v>10</v>
      </c>
      <c r="C5091" s="1" t="s">
        <v>11</v>
      </c>
      <c r="D5091" s="5">
        <v>45247.0</v>
      </c>
      <c r="G5091" s="1">
        <f>VLOOKUP(B5091,'old-aw-skill-plan'!A:I,7,FALSE)</f>
        <v>3</v>
      </c>
      <c r="H5091" s="1" t="str">
        <f>VLOOKUP(B5091,'old-aw-skill-plan'!A:I,9,FALSE)</f>
        <v>3-1</v>
      </c>
    </row>
    <row r="5092" ht="15.75" customHeight="1">
      <c r="A5092" s="1" t="s">
        <v>56</v>
      </c>
      <c r="B5092" s="1" t="s">
        <v>47</v>
      </c>
      <c r="C5092" s="1" t="s">
        <v>11</v>
      </c>
      <c r="D5092" s="5">
        <v>45247.0</v>
      </c>
      <c r="G5092" s="1">
        <f>VLOOKUP(B5092,'old-aw-skill-plan'!A:I,7,FALSE)</f>
        <v>3</v>
      </c>
      <c r="H5092" s="1" t="str">
        <f>VLOOKUP(B5092,'old-aw-skill-plan'!A:I,9,FALSE)</f>
        <v>3-2</v>
      </c>
    </row>
    <row r="5093" ht="15.75" customHeight="1">
      <c r="A5093" s="1" t="s">
        <v>81</v>
      </c>
      <c r="B5093" s="1" t="s">
        <v>37</v>
      </c>
      <c r="C5093" s="1" t="s">
        <v>11</v>
      </c>
      <c r="D5093" s="5">
        <v>45247.0</v>
      </c>
      <c r="G5093" s="1">
        <f>VLOOKUP(B5093,'old-aw-skill-plan'!A:I,7,FALSE)</f>
        <v>4</v>
      </c>
      <c r="H5093" s="1" t="str">
        <f>VLOOKUP(B5093,'old-aw-skill-plan'!A:I,9,FALSE)</f>
        <v>4-2</v>
      </c>
    </row>
    <row r="5094" ht="15.75" customHeight="1">
      <c r="A5094" s="1" t="s">
        <v>429</v>
      </c>
      <c r="B5094" s="1" t="s">
        <v>34</v>
      </c>
      <c r="C5094" s="1" t="s">
        <v>11</v>
      </c>
      <c r="D5094" s="5">
        <v>45247.0</v>
      </c>
      <c r="G5094" s="1">
        <f>VLOOKUP(B5094,'old-aw-skill-plan'!A:I,7,FALSE)</f>
        <v>4</v>
      </c>
      <c r="H5094" s="1" t="str">
        <f>VLOOKUP(B5094,'old-aw-skill-plan'!A:I,9,FALSE)</f>
        <v>4-1</v>
      </c>
    </row>
    <row r="5095" ht="15.75" customHeight="1">
      <c r="A5095" s="1" t="s">
        <v>421</v>
      </c>
      <c r="B5095" s="1" t="s">
        <v>111</v>
      </c>
      <c r="C5095" s="1" t="s">
        <v>11</v>
      </c>
      <c r="D5095" s="5">
        <v>45247.0</v>
      </c>
      <c r="G5095" s="1" t="str">
        <f>VLOOKUP(B5095,'old-aw-skill-plan'!A:I,7,FALSE)</f>
        <v>#N/A</v>
      </c>
      <c r="H5095" s="1" t="str">
        <f>VLOOKUP(B5095,'old-aw-skill-plan'!A:I,9,FALSE)</f>
        <v>#N/A</v>
      </c>
    </row>
    <row r="5096" ht="15.75" customHeight="1">
      <c r="A5096" s="1" t="s">
        <v>428</v>
      </c>
      <c r="B5096" s="1" t="s">
        <v>61</v>
      </c>
      <c r="C5096" s="1" t="s">
        <v>11</v>
      </c>
      <c r="D5096" s="5">
        <v>45247.0</v>
      </c>
      <c r="G5096" s="1">
        <f>VLOOKUP(B5096,'old-aw-skill-plan'!A:I,7,FALSE)</f>
        <v>4</v>
      </c>
      <c r="H5096" s="1" t="str">
        <f>VLOOKUP(B5096,'old-aw-skill-plan'!A:I,9,FALSE)</f>
        <v>4-4</v>
      </c>
    </row>
    <row r="5097" ht="15.75" customHeight="1">
      <c r="A5097" s="1" t="s">
        <v>428</v>
      </c>
      <c r="B5097" s="1" t="s">
        <v>97</v>
      </c>
      <c r="C5097" s="1" t="s">
        <v>11</v>
      </c>
      <c r="D5097" s="5">
        <v>45247.0</v>
      </c>
      <c r="G5097" s="1">
        <f>VLOOKUP(B5097,'old-aw-skill-plan'!A:I,7,FALSE)</f>
        <v>4</v>
      </c>
      <c r="H5097" s="1" t="str">
        <f>VLOOKUP(B5097,'old-aw-skill-plan'!A:I,9,FALSE)</f>
        <v>4-3</v>
      </c>
    </row>
    <row r="5098" ht="15.75" customHeight="1">
      <c r="A5098" s="1" t="s">
        <v>420</v>
      </c>
      <c r="B5098" s="1" t="s">
        <v>30</v>
      </c>
      <c r="C5098" s="1" t="s">
        <v>11</v>
      </c>
      <c r="D5098" s="5">
        <v>45247.0</v>
      </c>
      <c r="G5098" s="1">
        <f>VLOOKUP(B5098,'old-aw-skill-plan'!A:I,7,FALSE)</f>
        <v>3</v>
      </c>
      <c r="H5098" s="1" t="str">
        <f>VLOOKUP(B5098,'old-aw-skill-plan'!A:I,9,FALSE)</f>
        <v>3-3</v>
      </c>
    </row>
    <row r="5099" ht="15.75" customHeight="1">
      <c r="A5099" s="1" t="s">
        <v>420</v>
      </c>
      <c r="B5099" s="1" t="s">
        <v>356</v>
      </c>
      <c r="C5099" s="1" t="s">
        <v>11</v>
      </c>
      <c r="D5099" s="5">
        <v>45247.0</v>
      </c>
      <c r="G5099" s="1">
        <f>VLOOKUP(B5099,'old-aw-skill-plan'!A:I,7,FALSE)</f>
        <v>3</v>
      </c>
      <c r="H5099" s="1" t="str">
        <f>VLOOKUP(B5099,'old-aw-skill-plan'!A:I,9,FALSE)</f>
        <v>3-2</v>
      </c>
    </row>
    <row r="5100" ht="15.75" customHeight="1">
      <c r="A5100" s="1" t="s">
        <v>420</v>
      </c>
      <c r="B5100" s="1" t="s">
        <v>467</v>
      </c>
      <c r="C5100" s="1" t="s">
        <v>11</v>
      </c>
      <c r="D5100" s="5">
        <v>45247.0</v>
      </c>
      <c r="G5100" s="1" t="str">
        <f>VLOOKUP(B5100,'old-aw-skill-plan'!A:I,7,FALSE)</f>
        <v>#N/A</v>
      </c>
      <c r="H5100" s="1" t="str">
        <f>VLOOKUP(B5100,'old-aw-skill-plan'!A:I,9,FALSE)</f>
        <v>#N/A</v>
      </c>
    </row>
    <row r="5101" ht="15.75" customHeight="1">
      <c r="A5101" s="1" t="s">
        <v>420</v>
      </c>
      <c r="B5101" s="1" t="s">
        <v>352</v>
      </c>
      <c r="C5101" s="1" t="s">
        <v>11</v>
      </c>
      <c r="D5101" s="5">
        <v>45247.0</v>
      </c>
      <c r="G5101" s="1">
        <f>VLOOKUP(B5101,'old-aw-skill-plan'!A:I,7,FALSE)</f>
        <v>3</v>
      </c>
      <c r="H5101" s="1" t="str">
        <f>VLOOKUP(B5101,'old-aw-skill-plan'!A:I,9,FALSE)</f>
        <v>3-2</v>
      </c>
    </row>
    <row r="5102" ht="15.75" customHeight="1">
      <c r="A5102" s="1" t="s">
        <v>275</v>
      </c>
      <c r="B5102" s="1" t="s">
        <v>28</v>
      </c>
      <c r="C5102" s="1" t="s">
        <v>11</v>
      </c>
      <c r="D5102" s="5">
        <v>45247.0</v>
      </c>
      <c r="G5102" s="1">
        <f>VLOOKUP(B5102,'old-aw-skill-plan'!A:I,7,FALSE)</f>
        <v>3</v>
      </c>
      <c r="H5102" s="1" t="str">
        <f>VLOOKUP(B5102,'old-aw-skill-plan'!A:I,9,FALSE)</f>
        <v>3-4</v>
      </c>
    </row>
    <row r="5103" ht="15.75" customHeight="1">
      <c r="A5103" s="1" t="s">
        <v>275</v>
      </c>
      <c r="B5103" s="1" t="s">
        <v>425</v>
      </c>
      <c r="C5103" s="1" t="s">
        <v>11</v>
      </c>
      <c r="D5103" s="5">
        <v>45247.0</v>
      </c>
      <c r="G5103" s="1">
        <f>VLOOKUP(B5103,'old-aw-skill-plan'!A:I,7,FALSE)</f>
        <v>3</v>
      </c>
      <c r="H5103" s="1" t="str">
        <f>VLOOKUP(B5103,'old-aw-skill-plan'!A:I,9,FALSE)</f>
        <v>3-1</v>
      </c>
    </row>
    <row r="5104" ht="15.75" customHeight="1">
      <c r="A5104" s="1" t="s">
        <v>461</v>
      </c>
      <c r="B5104" s="1" t="s">
        <v>44</v>
      </c>
      <c r="C5104" s="1" t="s">
        <v>11</v>
      </c>
      <c r="D5104" s="5">
        <v>45247.0</v>
      </c>
      <c r="G5104" s="1">
        <f>VLOOKUP(B5104,'old-aw-skill-plan'!A:I,7,FALSE)</f>
        <v>5</v>
      </c>
      <c r="H5104" s="1" t="str">
        <f>VLOOKUP(B5104,'old-aw-skill-plan'!A:I,9,FALSE)</f>
        <v>5-1</v>
      </c>
    </row>
    <row r="5105" ht="15.75" customHeight="1">
      <c r="A5105" s="1" t="s">
        <v>422</v>
      </c>
      <c r="B5105" s="1" t="s">
        <v>34</v>
      </c>
      <c r="C5105" s="1" t="s">
        <v>11</v>
      </c>
      <c r="D5105" s="5">
        <v>45247.0</v>
      </c>
      <c r="G5105" s="1">
        <f>VLOOKUP(B5105,'old-aw-skill-plan'!A:I,7,FALSE)</f>
        <v>4</v>
      </c>
      <c r="H5105" s="1" t="str">
        <f>VLOOKUP(B5105,'old-aw-skill-plan'!A:I,9,FALSE)</f>
        <v>4-1</v>
      </c>
    </row>
    <row r="5106" ht="15.75" customHeight="1">
      <c r="A5106" s="1" t="s">
        <v>197</v>
      </c>
      <c r="B5106" s="1" t="s">
        <v>37</v>
      </c>
      <c r="C5106" s="1" t="s">
        <v>11</v>
      </c>
      <c r="D5106" s="5">
        <v>45247.0</v>
      </c>
      <c r="G5106" s="1">
        <f>VLOOKUP(B5106,'old-aw-skill-plan'!A:I,7,FALSE)</f>
        <v>4</v>
      </c>
      <c r="H5106" s="1" t="str">
        <f>VLOOKUP(B5106,'old-aw-skill-plan'!A:I,9,FALSE)</f>
        <v>4-2</v>
      </c>
    </row>
    <row r="5107" ht="15.75" customHeight="1">
      <c r="A5107" s="1" t="s">
        <v>373</v>
      </c>
      <c r="B5107" s="1" t="s">
        <v>10</v>
      </c>
      <c r="C5107" s="1" t="s">
        <v>11</v>
      </c>
      <c r="D5107" s="5">
        <v>45247.0</v>
      </c>
      <c r="G5107" s="1">
        <f>VLOOKUP(B5107,'old-aw-skill-plan'!A:I,7,FALSE)</f>
        <v>3</v>
      </c>
      <c r="H5107" s="1" t="str">
        <f>VLOOKUP(B5107,'old-aw-skill-plan'!A:I,9,FALSE)</f>
        <v>3-1</v>
      </c>
    </row>
    <row r="5108" ht="15.75" customHeight="1">
      <c r="A5108" s="1" t="s">
        <v>373</v>
      </c>
      <c r="B5108" s="1" t="s">
        <v>47</v>
      </c>
      <c r="C5108" s="1" t="s">
        <v>11</v>
      </c>
      <c r="D5108" s="5">
        <v>45247.0</v>
      </c>
      <c r="G5108" s="1">
        <f>VLOOKUP(B5108,'old-aw-skill-plan'!A:I,7,FALSE)</f>
        <v>3</v>
      </c>
      <c r="H5108" s="1" t="str">
        <f>VLOOKUP(B5108,'old-aw-skill-plan'!A:I,9,FALSE)</f>
        <v>3-2</v>
      </c>
    </row>
    <row r="5109" ht="15.75" customHeight="1">
      <c r="A5109" s="1" t="s">
        <v>74</v>
      </c>
      <c r="B5109" s="1" t="s">
        <v>44</v>
      </c>
      <c r="C5109" s="1" t="s">
        <v>11</v>
      </c>
      <c r="D5109" s="5">
        <v>45247.0</v>
      </c>
      <c r="G5109" s="1">
        <f>VLOOKUP(B5109,'old-aw-skill-plan'!A:I,7,FALSE)</f>
        <v>5</v>
      </c>
      <c r="H5109" s="1" t="str">
        <f>VLOOKUP(B5109,'old-aw-skill-plan'!A:I,9,FALSE)</f>
        <v>5-1</v>
      </c>
    </row>
    <row r="5110" ht="15.75" customHeight="1">
      <c r="A5110" s="1" t="s">
        <v>90</v>
      </c>
      <c r="B5110" s="1" t="s">
        <v>10</v>
      </c>
      <c r="C5110" s="1" t="s">
        <v>11</v>
      </c>
      <c r="D5110" s="5">
        <v>45247.0</v>
      </c>
      <c r="G5110" s="1">
        <f>VLOOKUP(B5110,'old-aw-skill-plan'!A:I,7,FALSE)</f>
        <v>3</v>
      </c>
      <c r="H5110" s="1" t="str">
        <f>VLOOKUP(B5110,'old-aw-skill-plan'!A:I,9,FALSE)</f>
        <v>3-1</v>
      </c>
    </row>
    <row r="5111" ht="15.75" customHeight="1">
      <c r="A5111" s="1" t="s">
        <v>90</v>
      </c>
      <c r="B5111" s="1" t="s">
        <v>47</v>
      </c>
      <c r="C5111" s="1" t="s">
        <v>11</v>
      </c>
      <c r="D5111" s="5">
        <v>45247.0</v>
      </c>
      <c r="G5111" s="1">
        <f>VLOOKUP(B5111,'old-aw-skill-plan'!A:I,7,FALSE)</f>
        <v>3</v>
      </c>
      <c r="H5111" s="1" t="str">
        <f>VLOOKUP(B5111,'old-aw-skill-plan'!A:I,9,FALSE)</f>
        <v>3-2</v>
      </c>
    </row>
    <row r="5112" ht="15.75" customHeight="1">
      <c r="A5112" s="1" t="s">
        <v>277</v>
      </c>
      <c r="B5112" s="1" t="s">
        <v>104</v>
      </c>
      <c r="C5112" s="1" t="s">
        <v>11</v>
      </c>
      <c r="D5112" s="5">
        <v>45247.0</v>
      </c>
      <c r="G5112" s="1">
        <f>VLOOKUP(B5112,'old-aw-skill-plan'!A:I,7,FALSE)</f>
        <v>5</v>
      </c>
      <c r="H5112" s="1" t="str">
        <f>VLOOKUP(B5112,'old-aw-skill-plan'!A:I,9,FALSE)</f>
        <v>5-2</v>
      </c>
    </row>
    <row r="5113" ht="15.75" customHeight="1">
      <c r="A5113" s="1" t="s">
        <v>277</v>
      </c>
      <c r="B5113" s="1" t="s">
        <v>330</v>
      </c>
      <c r="C5113" s="1" t="s">
        <v>11</v>
      </c>
      <c r="D5113" s="5">
        <v>45247.0</v>
      </c>
      <c r="G5113" s="1" t="str">
        <f>VLOOKUP(B5113,'old-aw-skill-plan'!A:I,7,FALSE)</f>
        <v>#N/A</v>
      </c>
      <c r="H5113" s="1" t="str">
        <f>VLOOKUP(B5113,'old-aw-skill-plan'!A:I,9,FALSE)</f>
        <v>#N/A</v>
      </c>
    </row>
    <row r="5114" ht="15.75" customHeight="1">
      <c r="A5114" s="1" t="s">
        <v>463</v>
      </c>
      <c r="B5114" s="1" t="s">
        <v>44</v>
      </c>
      <c r="C5114" s="1" t="s">
        <v>11</v>
      </c>
      <c r="D5114" s="5">
        <v>45247.0</v>
      </c>
      <c r="G5114" s="1">
        <f>VLOOKUP(B5114,'old-aw-skill-plan'!A:I,7,FALSE)</f>
        <v>5</v>
      </c>
      <c r="H5114" s="1" t="str">
        <f>VLOOKUP(B5114,'old-aw-skill-plan'!A:I,9,FALSE)</f>
        <v>5-1</v>
      </c>
    </row>
    <row r="5115" ht="15.75" customHeight="1">
      <c r="A5115" s="1" t="s">
        <v>93</v>
      </c>
      <c r="B5115" s="1" t="s">
        <v>111</v>
      </c>
      <c r="C5115" s="1" t="s">
        <v>11</v>
      </c>
      <c r="D5115" s="5">
        <v>45247.0</v>
      </c>
      <c r="G5115" s="1" t="str">
        <f>VLOOKUP(B5115,'old-aw-skill-plan'!A:I,7,FALSE)</f>
        <v>#N/A</v>
      </c>
      <c r="H5115" s="1" t="str">
        <f>VLOOKUP(B5115,'old-aw-skill-plan'!A:I,9,FALSE)</f>
        <v>#N/A</v>
      </c>
    </row>
    <row r="5116" ht="15.75" customHeight="1">
      <c r="A5116" s="1" t="s">
        <v>365</v>
      </c>
      <c r="B5116" s="1" t="s">
        <v>34</v>
      </c>
      <c r="C5116" s="1" t="s">
        <v>11</v>
      </c>
      <c r="D5116" s="5">
        <v>45247.0</v>
      </c>
      <c r="G5116" s="1">
        <f>VLOOKUP(B5116,'old-aw-skill-plan'!A:I,7,FALSE)</f>
        <v>4</v>
      </c>
      <c r="H5116" s="1" t="str">
        <f>VLOOKUP(B5116,'old-aw-skill-plan'!A:I,9,FALSE)</f>
        <v>4-1</v>
      </c>
    </row>
    <row r="5117" ht="15.75" customHeight="1">
      <c r="A5117" s="1" t="s">
        <v>94</v>
      </c>
      <c r="B5117" s="1" t="s">
        <v>28</v>
      </c>
      <c r="C5117" s="1" t="s">
        <v>11</v>
      </c>
      <c r="D5117" s="5">
        <v>45247.0</v>
      </c>
      <c r="G5117" s="1">
        <f>VLOOKUP(B5117,'old-aw-skill-plan'!A:I,7,FALSE)</f>
        <v>3</v>
      </c>
      <c r="H5117" s="1" t="str">
        <f>VLOOKUP(B5117,'old-aw-skill-plan'!A:I,9,FALSE)</f>
        <v>3-4</v>
      </c>
    </row>
    <row r="5118" ht="15.75" customHeight="1">
      <c r="A5118" s="1" t="s">
        <v>427</v>
      </c>
      <c r="B5118" s="1" t="s">
        <v>111</v>
      </c>
      <c r="C5118" s="1" t="s">
        <v>11</v>
      </c>
      <c r="D5118" s="5">
        <v>45247.0</v>
      </c>
      <c r="G5118" s="1" t="str">
        <f>VLOOKUP(B5118,'old-aw-skill-plan'!A:I,7,FALSE)</f>
        <v>#N/A</v>
      </c>
      <c r="H5118" s="1" t="str">
        <f>VLOOKUP(B5118,'old-aw-skill-plan'!A:I,9,FALSE)</f>
        <v>#N/A</v>
      </c>
    </row>
    <row r="5119" ht="15.75" customHeight="1">
      <c r="A5119" s="1" t="s">
        <v>427</v>
      </c>
      <c r="B5119" s="1" t="s">
        <v>307</v>
      </c>
      <c r="C5119" s="1" t="s">
        <v>11</v>
      </c>
      <c r="D5119" s="5">
        <v>45247.0</v>
      </c>
      <c r="G5119" s="1">
        <f>VLOOKUP(B5119,'old-aw-skill-plan'!A:I,7,FALSE)</f>
        <v>3</v>
      </c>
      <c r="H5119" s="1" t="str">
        <f>VLOOKUP(B5119,'old-aw-skill-plan'!A:I,9,FALSE)</f>
        <v>3-1</v>
      </c>
    </row>
    <row r="5120" ht="15.75" customHeight="1">
      <c r="A5120" s="1" t="s">
        <v>110</v>
      </c>
      <c r="B5120" s="1" t="s">
        <v>47</v>
      </c>
      <c r="C5120" s="1" t="s">
        <v>11</v>
      </c>
      <c r="D5120" s="5">
        <v>45247.0</v>
      </c>
      <c r="G5120" s="1">
        <f>VLOOKUP(B5120,'old-aw-skill-plan'!A:I,7,FALSE)</f>
        <v>3</v>
      </c>
      <c r="H5120" s="1" t="str">
        <f>VLOOKUP(B5120,'old-aw-skill-plan'!A:I,9,FALSE)</f>
        <v>3-2</v>
      </c>
    </row>
    <row r="5121" ht="15.75" customHeight="1">
      <c r="A5121" s="1" t="s">
        <v>464</v>
      </c>
      <c r="B5121" s="1" t="s">
        <v>44</v>
      </c>
      <c r="C5121" s="1" t="s">
        <v>11</v>
      </c>
      <c r="D5121" s="5">
        <v>45246.0</v>
      </c>
      <c r="G5121" s="1">
        <f>VLOOKUP(B5121,'old-aw-skill-plan'!A:I,7,FALSE)</f>
        <v>5</v>
      </c>
      <c r="H5121" s="1" t="str">
        <f>VLOOKUP(B5121,'old-aw-skill-plan'!A:I,9,FALSE)</f>
        <v>5-1</v>
      </c>
    </row>
    <row r="5122" ht="15.75" customHeight="1">
      <c r="A5122" s="1" t="s">
        <v>266</v>
      </c>
      <c r="B5122" s="1" t="s">
        <v>111</v>
      </c>
      <c r="C5122" s="1" t="s">
        <v>11</v>
      </c>
      <c r="D5122" s="5">
        <v>45246.0</v>
      </c>
      <c r="G5122" s="1" t="str">
        <f>VLOOKUP(B5122,'old-aw-skill-plan'!A:I,7,FALSE)</f>
        <v>#N/A</v>
      </c>
      <c r="H5122" s="1" t="str">
        <f>VLOOKUP(B5122,'old-aw-skill-plan'!A:I,9,FALSE)</f>
        <v>#N/A</v>
      </c>
    </row>
    <row r="5123" ht="15.75" customHeight="1">
      <c r="A5123" s="1" t="s">
        <v>266</v>
      </c>
      <c r="B5123" s="1" t="s">
        <v>467</v>
      </c>
      <c r="C5123" s="1" t="s">
        <v>11</v>
      </c>
      <c r="D5123" s="5">
        <v>45246.0</v>
      </c>
      <c r="G5123" s="1" t="str">
        <f>VLOOKUP(B5123,'old-aw-skill-plan'!A:I,7,FALSE)</f>
        <v>#N/A</v>
      </c>
      <c r="H5123" s="1" t="str">
        <f>VLOOKUP(B5123,'old-aw-skill-plan'!A:I,9,FALSE)</f>
        <v>#N/A</v>
      </c>
    </row>
    <row r="5124" ht="15.75" customHeight="1">
      <c r="A5124" s="1" t="s">
        <v>266</v>
      </c>
      <c r="B5124" s="1" t="s">
        <v>450</v>
      </c>
      <c r="C5124" s="1" t="s">
        <v>11</v>
      </c>
      <c r="D5124" s="5">
        <v>45246.0</v>
      </c>
      <c r="G5124" s="1">
        <f>VLOOKUP(B5124,'old-aw-skill-plan'!A:I,7,FALSE)</f>
        <v>3</v>
      </c>
      <c r="H5124" s="1" t="str">
        <f>VLOOKUP(B5124,'old-aw-skill-plan'!A:I,9,FALSE)</f>
        <v>3-4</v>
      </c>
    </row>
    <row r="5125" ht="15.75" customHeight="1">
      <c r="A5125" s="1" t="s">
        <v>474</v>
      </c>
      <c r="B5125" s="1" t="s">
        <v>10</v>
      </c>
      <c r="C5125" s="1" t="s">
        <v>11</v>
      </c>
      <c r="D5125" s="5">
        <v>45246.0</v>
      </c>
      <c r="G5125" s="1">
        <f>VLOOKUP(B5125,'old-aw-skill-plan'!A:I,7,FALSE)</f>
        <v>3</v>
      </c>
      <c r="H5125" s="1" t="str">
        <f>VLOOKUP(B5125,'old-aw-skill-plan'!A:I,9,FALSE)</f>
        <v>3-1</v>
      </c>
    </row>
    <row r="5126" ht="15.75" customHeight="1">
      <c r="A5126" s="1" t="s">
        <v>35</v>
      </c>
      <c r="B5126" s="1" t="s">
        <v>37</v>
      </c>
      <c r="C5126" s="1" t="s">
        <v>11</v>
      </c>
      <c r="D5126" s="5">
        <v>45246.0</v>
      </c>
      <c r="G5126" s="1">
        <f>VLOOKUP(B5126,'old-aw-skill-plan'!A:I,7,FALSE)</f>
        <v>4</v>
      </c>
      <c r="H5126" s="1" t="str">
        <f>VLOOKUP(B5126,'old-aw-skill-plan'!A:I,9,FALSE)</f>
        <v>4-2</v>
      </c>
    </row>
    <row r="5127" ht="15.75" customHeight="1">
      <c r="A5127" s="1" t="s">
        <v>475</v>
      </c>
      <c r="B5127" s="1" t="s">
        <v>402</v>
      </c>
      <c r="C5127" s="1" t="s">
        <v>11</v>
      </c>
      <c r="D5127" s="5">
        <v>45246.0</v>
      </c>
      <c r="G5127" s="1">
        <f>VLOOKUP(B5127,'old-aw-skill-plan'!A:I,7,FALSE)</f>
        <v>4</v>
      </c>
      <c r="H5127" s="1" t="str">
        <f>VLOOKUP(B5127,'old-aw-skill-plan'!A:I,9,FALSE)</f>
        <v>4-2</v>
      </c>
    </row>
    <row r="5128" ht="15.75" customHeight="1">
      <c r="A5128" s="1" t="s">
        <v>36</v>
      </c>
      <c r="B5128" s="1" t="s">
        <v>28</v>
      </c>
      <c r="C5128" s="1" t="s">
        <v>11</v>
      </c>
      <c r="D5128" s="5">
        <v>45246.0</v>
      </c>
      <c r="G5128" s="1">
        <f>VLOOKUP(B5128,'old-aw-skill-plan'!A:I,7,FALSE)</f>
        <v>3</v>
      </c>
      <c r="H5128" s="1" t="str">
        <f>VLOOKUP(B5128,'old-aw-skill-plan'!A:I,9,FALSE)</f>
        <v>3-4</v>
      </c>
    </row>
    <row r="5129" ht="15.75" customHeight="1">
      <c r="A5129" s="1" t="s">
        <v>273</v>
      </c>
      <c r="B5129" s="1" t="s">
        <v>47</v>
      </c>
      <c r="C5129" s="1" t="s">
        <v>11</v>
      </c>
      <c r="D5129" s="5">
        <v>45246.0</v>
      </c>
      <c r="G5129" s="1">
        <f>VLOOKUP(B5129,'old-aw-skill-plan'!A:I,7,FALSE)</f>
        <v>3</v>
      </c>
      <c r="H5129" s="1" t="str">
        <f>VLOOKUP(B5129,'old-aw-skill-plan'!A:I,9,FALSE)</f>
        <v>3-2</v>
      </c>
    </row>
    <row r="5130" ht="15.75" customHeight="1">
      <c r="A5130" s="1" t="s">
        <v>460</v>
      </c>
      <c r="B5130" s="1" t="s">
        <v>44</v>
      </c>
      <c r="C5130" s="1" t="s">
        <v>11</v>
      </c>
      <c r="D5130" s="5">
        <v>45246.0</v>
      </c>
      <c r="G5130" s="1">
        <f>VLOOKUP(B5130,'old-aw-skill-plan'!A:I,7,FALSE)</f>
        <v>5</v>
      </c>
      <c r="H5130" s="1" t="str">
        <f>VLOOKUP(B5130,'old-aw-skill-plan'!A:I,9,FALSE)</f>
        <v>5-1</v>
      </c>
    </row>
    <row r="5131" ht="15.75" customHeight="1">
      <c r="A5131" s="1" t="s">
        <v>460</v>
      </c>
      <c r="B5131" s="1" t="s">
        <v>104</v>
      </c>
      <c r="C5131" s="1" t="s">
        <v>11</v>
      </c>
      <c r="D5131" s="5">
        <v>45246.0</v>
      </c>
      <c r="G5131" s="1">
        <f>VLOOKUP(B5131,'old-aw-skill-plan'!A:I,7,FALSE)</f>
        <v>5</v>
      </c>
      <c r="H5131" s="1" t="str">
        <f>VLOOKUP(B5131,'old-aw-skill-plan'!A:I,9,FALSE)</f>
        <v>5-2</v>
      </c>
    </row>
    <row r="5132" ht="15.75" customHeight="1">
      <c r="A5132" s="1" t="s">
        <v>220</v>
      </c>
      <c r="B5132" s="1" t="s">
        <v>111</v>
      </c>
      <c r="C5132" s="1" t="s">
        <v>11</v>
      </c>
      <c r="D5132" s="5">
        <v>45246.0</v>
      </c>
      <c r="G5132" s="1" t="str">
        <f>VLOOKUP(B5132,'old-aw-skill-plan'!A:I,7,FALSE)</f>
        <v>#N/A</v>
      </c>
      <c r="H5132" s="1" t="str">
        <f>VLOOKUP(B5132,'old-aw-skill-plan'!A:I,9,FALSE)</f>
        <v>#N/A</v>
      </c>
    </row>
    <row r="5133" ht="15.75" customHeight="1">
      <c r="A5133" s="1" t="s">
        <v>220</v>
      </c>
      <c r="B5133" s="1" t="s">
        <v>425</v>
      </c>
      <c r="C5133" s="1" t="s">
        <v>11</v>
      </c>
      <c r="D5133" s="5">
        <v>45246.0</v>
      </c>
      <c r="G5133" s="1">
        <f>VLOOKUP(B5133,'old-aw-skill-plan'!A:I,7,FALSE)</f>
        <v>3</v>
      </c>
      <c r="H5133" s="1" t="str">
        <f>VLOOKUP(B5133,'old-aw-skill-plan'!A:I,9,FALSE)</f>
        <v>3-1</v>
      </c>
    </row>
    <row r="5134" ht="15.75" customHeight="1">
      <c r="A5134" s="1" t="s">
        <v>419</v>
      </c>
      <c r="B5134" s="1" t="s">
        <v>450</v>
      </c>
      <c r="C5134" s="1" t="s">
        <v>11</v>
      </c>
      <c r="D5134" s="5">
        <v>45246.0</v>
      </c>
      <c r="G5134" s="1">
        <f>VLOOKUP(B5134,'old-aw-skill-plan'!A:I,7,FALSE)</f>
        <v>3</v>
      </c>
      <c r="H5134" s="1" t="str">
        <f>VLOOKUP(B5134,'old-aw-skill-plan'!A:I,9,FALSE)</f>
        <v>3-4</v>
      </c>
    </row>
    <row r="5135" ht="15.75" customHeight="1">
      <c r="A5135" s="1" t="s">
        <v>454</v>
      </c>
      <c r="B5135" s="1" t="s">
        <v>111</v>
      </c>
      <c r="C5135" s="1" t="s">
        <v>11</v>
      </c>
      <c r="D5135" s="5">
        <v>45246.0</v>
      </c>
      <c r="G5135" s="1" t="str">
        <f>VLOOKUP(B5135,'old-aw-skill-plan'!A:I,7,FALSE)</f>
        <v>#N/A</v>
      </c>
      <c r="H5135" s="1" t="str">
        <f>VLOOKUP(B5135,'old-aw-skill-plan'!A:I,9,FALSE)</f>
        <v>#N/A</v>
      </c>
    </row>
    <row r="5136" ht="15.75" customHeight="1">
      <c r="A5136" s="1" t="s">
        <v>454</v>
      </c>
      <c r="B5136" s="1" t="s">
        <v>99</v>
      </c>
      <c r="C5136" s="1" t="s">
        <v>11</v>
      </c>
      <c r="D5136" s="5">
        <v>45246.0</v>
      </c>
      <c r="G5136" s="1" t="str">
        <f>VLOOKUP(B5136,'old-aw-skill-plan'!A:I,7,FALSE)</f>
        <v>#N/A</v>
      </c>
      <c r="H5136" s="1" t="str">
        <f>VLOOKUP(B5136,'old-aw-skill-plan'!A:I,9,FALSE)</f>
        <v>#N/A</v>
      </c>
    </row>
    <row r="5137" ht="15.75" customHeight="1">
      <c r="A5137" s="1" t="s">
        <v>473</v>
      </c>
      <c r="B5137" s="1" t="s">
        <v>10</v>
      </c>
      <c r="C5137" s="1" t="s">
        <v>11</v>
      </c>
      <c r="D5137" s="5">
        <v>45246.0</v>
      </c>
      <c r="G5137" s="1">
        <f>VLOOKUP(B5137,'old-aw-skill-plan'!A:I,7,FALSE)</f>
        <v>3</v>
      </c>
      <c r="H5137" s="1" t="str">
        <f>VLOOKUP(B5137,'old-aw-skill-plan'!A:I,9,FALSE)</f>
        <v>3-1</v>
      </c>
    </row>
    <row r="5138" ht="15.75" customHeight="1">
      <c r="A5138" s="1" t="s">
        <v>429</v>
      </c>
      <c r="B5138" s="1" t="s">
        <v>34</v>
      </c>
      <c r="C5138" s="1" t="s">
        <v>11</v>
      </c>
      <c r="D5138" s="5">
        <v>45246.0</v>
      </c>
      <c r="G5138" s="1">
        <f>VLOOKUP(B5138,'old-aw-skill-plan'!A:I,7,FALSE)</f>
        <v>4</v>
      </c>
      <c r="H5138" s="1" t="str">
        <f>VLOOKUP(B5138,'old-aw-skill-plan'!A:I,9,FALSE)</f>
        <v>4-1</v>
      </c>
    </row>
    <row r="5139" ht="15.75" customHeight="1">
      <c r="A5139" s="1" t="s">
        <v>230</v>
      </c>
      <c r="B5139" s="1" t="s">
        <v>425</v>
      </c>
      <c r="C5139" s="1" t="s">
        <v>11</v>
      </c>
      <c r="D5139" s="5">
        <v>45246.0</v>
      </c>
      <c r="G5139" s="1">
        <f>VLOOKUP(B5139,'old-aw-skill-plan'!A:I,7,FALSE)</f>
        <v>3</v>
      </c>
      <c r="H5139" s="1" t="str">
        <f>VLOOKUP(B5139,'old-aw-skill-plan'!A:I,9,FALSE)</f>
        <v>3-1</v>
      </c>
    </row>
    <row r="5140" ht="15.75" customHeight="1">
      <c r="A5140" s="1" t="s">
        <v>471</v>
      </c>
      <c r="B5140" s="1" t="s">
        <v>30</v>
      </c>
      <c r="C5140" s="1" t="s">
        <v>11</v>
      </c>
      <c r="D5140" s="5">
        <v>45246.0</v>
      </c>
      <c r="G5140" s="1">
        <f>VLOOKUP(B5140,'old-aw-skill-plan'!A:I,7,FALSE)</f>
        <v>3</v>
      </c>
      <c r="H5140" s="1" t="str">
        <f>VLOOKUP(B5140,'old-aw-skill-plan'!A:I,9,FALSE)</f>
        <v>3-3</v>
      </c>
    </row>
    <row r="5141" ht="15.75" customHeight="1">
      <c r="A5141" s="1" t="s">
        <v>461</v>
      </c>
      <c r="B5141" s="1" t="s">
        <v>44</v>
      </c>
      <c r="C5141" s="1" t="s">
        <v>11</v>
      </c>
      <c r="D5141" s="5">
        <v>45246.0</v>
      </c>
      <c r="G5141" s="1">
        <f>VLOOKUP(B5141,'old-aw-skill-plan'!A:I,7,FALSE)</f>
        <v>5</v>
      </c>
      <c r="H5141" s="1" t="str">
        <f>VLOOKUP(B5141,'old-aw-skill-plan'!A:I,9,FALSE)</f>
        <v>5-1</v>
      </c>
    </row>
    <row r="5142" ht="15.75" customHeight="1">
      <c r="A5142" s="1" t="s">
        <v>214</v>
      </c>
      <c r="B5142" s="1" t="s">
        <v>30</v>
      </c>
      <c r="C5142" s="1" t="s">
        <v>11</v>
      </c>
      <c r="D5142" s="5">
        <v>45246.0</v>
      </c>
      <c r="G5142" s="1">
        <f>VLOOKUP(B5142,'old-aw-skill-plan'!A:I,7,FALSE)</f>
        <v>3</v>
      </c>
      <c r="H5142" s="1" t="str">
        <f>VLOOKUP(B5142,'old-aw-skill-plan'!A:I,9,FALSE)</f>
        <v>3-3</v>
      </c>
    </row>
    <row r="5143" ht="15.75" customHeight="1">
      <c r="A5143" s="1" t="s">
        <v>422</v>
      </c>
      <c r="B5143" s="1" t="s">
        <v>34</v>
      </c>
      <c r="C5143" s="1" t="s">
        <v>11</v>
      </c>
      <c r="D5143" s="5">
        <v>45246.0</v>
      </c>
      <c r="G5143" s="1">
        <f>VLOOKUP(B5143,'old-aw-skill-plan'!A:I,7,FALSE)</f>
        <v>4</v>
      </c>
      <c r="H5143" s="1" t="str">
        <f>VLOOKUP(B5143,'old-aw-skill-plan'!A:I,9,FALSE)</f>
        <v>4-1</v>
      </c>
    </row>
    <row r="5144" ht="15.75" customHeight="1">
      <c r="A5144" s="1" t="s">
        <v>373</v>
      </c>
      <c r="B5144" s="1" t="s">
        <v>10</v>
      </c>
      <c r="C5144" s="1" t="s">
        <v>11</v>
      </c>
      <c r="D5144" s="5">
        <v>45246.0</v>
      </c>
      <c r="G5144" s="1">
        <f>VLOOKUP(B5144,'old-aw-skill-plan'!A:I,7,FALSE)</f>
        <v>3</v>
      </c>
      <c r="H5144" s="1" t="str">
        <f>VLOOKUP(B5144,'old-aw-skill-plan'!A:I,9,FALSE)</f>
        <v>3-1</v>
      </c>
    </row>
    <row r="5145" ht="15.75" customHeight="1">
      <c r="A5145" s="1" t="s">
        <v>74</v>
      </c>
      <c r="B5145" s="1" t="s">
        <v>44</v>
      </c>
      <c r="C5145" s="1" t="s">
        <v>11</v>
      </c>
      <c r="D5145" s="5">
        <v>45246.0</v>
      </c>
      <c r="G5145" s="1">
        <f>VLOOKUP(B5145,'old-aw-skill-plan'!A:I,7,FALSE)</f>
        <v>5</v>
      </c>
      <c r="H5145" s="1" t="str">
        <f>VLOOKUP(B5145,'old-aw-skill-plan'!A:I,9,FALSE)</f>
        <v>5-1</v>
      </c>
    </row>
    <row r="5146" ht="15.75" customHeight="1">
      <c r="A5146" s="1" t="s">
        <v>74</v>
      </c>
      <c r="B5146" s="1" t="s">
        <v>104</v>
      </c>
      <c r="C5146" s="1" t="s">
        <v>11</v>
      </c>
      <c r="D5146" s="5">
        <v>45246.0</v>
      </c>
      <c r="G5146" s="1">
        <f>VLOOKUP(B5146,'old-aw-skill-plan'!A:I,7,FALSE)</f>
        <v>5</v>
      </c>
      <c r="H5146" s="1" t="str">
        <f>VLOOKUP(B5146,'old-aw-skill-plan'!A:I,9,FALSE)</f>
        <v>5-2</v>
      </c>
    </row>
    <row r="5147" ht="15.75" customHeight="1">
      <c r="A5147" s="1" t="s">
        <v>265</v>
      </c>
      <c r="B5147" s="1" t="s">
        <v>44</v>
      </c>
      <c r="C5147" s="1" t="s">
        <v>11</v>
      </c>
      <c r="D5147" s="5">
        <v>45246.0</v>
      </c>
      <c r="G5147" s="1">
        <f>VLOOKUP(B5147,'old-aw-skill-plan'!A:I,7,FALSE)</f>
        <v>5</v>
      </c>
      <c r="H5147" s="1" t="str">
        <f>VLOOKUP(B5147,'old-aw-skill-plan'!A:I,9,FALSE)</f>
        <v>5-1</v>
      </c>
    </row>
    <row r="5148" ht="15.75" customHeight="1">
      <c r="A5148" s="1" t="s">
        <v>90</v>
      </c>
      <c r="B5148" s="1" t="s">
        <v>10</v>
      </c>
      <c r="C5148" s="1" t="s">
        <v>11</v>
      </c>
      <c r="D5148" s="5">
        <v>45246.0</v>
      </c>
      <c r="G5148" s="1">
        <f>VLOOKUP(B5148,'old-aw-skill-plan'!A:I,7,FALSE)</f>
        <v>3</v>
      </c>
      <c r="H5148" s="1" t="str">
        <f>VLOOKUP(B5148,'old-aw-skill-plan'!A:I,9,FALSE)</f>
        <v>3-1</v>
      </c>
    </row>
    <row r="5149" ht="15.75" customHeight="1">
      <c r="A5149" s="1" t="s">
        <v>277</v>
      </c>
      <c r="B5149" s="1" t="s">
        <v>44</v>
      </c>
      <c r="C5149" s="1" t="s">
        <v>11</v>
      </c>
      <c r="D5149" s="5">
        <v>45246.0</v>
      </c>
      <c r="G5149" s="1">
        <f>VLOOKUP(B5149,'old-aw-skill-plan'!A:I,7,FALSE)</f>
        <v>5</v>
      </c>
      <c r="H5149" s="1" t="str">
        <f>VLOOKUP(B5149,'old-aw-skill-plan'!A:I,9,FALSE)</f>
        <v>5-1</v>
      </c>
    </row>
    <row r="5150" ht="15.75" customHeight="1">
      <c r="A5150" s="1" t="s">
        <v>277</v>
      </c>
      <c r="B5150" s="1" t="s">
        <v>104</v>
      </c>
      <c r="C5150" s="1" t="s">
        <v>11</v>
      </c>
      <c r="D5150" s="5">
        <v>45246.0</v>
      </c>
      <c r="G5150" s="1">
        <f>VLOOKUP(B5150,'old-aw-skill-plan'!A:I,7,FALSE)</f>
        <v>5</v>
      </c>
      <c r="H5150" s="1" t="str">
        <f>VLOOKUP(B5150,'old-aw-skill-plan'!A:I,9,FALSE)</f>
        <v>5-2</v>
      </c>
    </row>
    <row r="5151" ht="15.75" customHeight="1">
      <c r="A5151" s="1" t="s">
        <v>277</v>
      </c>
      <c r="B5151" s="1" t="s">
        <v>310</v>
      </c>
      <c r="C5151" s="1" t="s">
        <v>11</v>
      </c>
      <c r="D5151" s="5">
        <v>45246.0</v>
      </c>
      <c r="G5151" s="1" t="str">
        <f>VLOOKUP(B5151,'old-aw-skill-plan'!A:I,7,FALSE)</f>
        <v>#N/A</v>
      </c>
      <c r="H5151" s="1" t="str">
        <f>VLOOKUP(B5151,'old-aw-skill-plan'!A:I,9,FALSE)</f>
        <v>#N/A</v>
      </c>
    </row>
    <row r="5152" ht="15.75" customHeight="1">
      <c r="A5152" s="1" t="s">
        <v>277</v>
      </c>
      <c r="B5152" s="1" t="s">
        <v>330</v>
      </c>
      <c r="C5152" s="1" t="s">
        <v>11</v>
      </c>
      <c r="D5152" s="5">
        <v>45246.0</v>
      </c>
      <c r="G5152" s="1" t="str">
        <f>VLOOKUP(B5152,'old-aw-skill-plan'!A:I,7,FALSE)</f>
        <v>#N/A</v>
      </c>
      <c r="H5152" s="1" t="str">
        <f>VLOOKUP(B5152,'old-aw-skill-plan'!A:I,9,FALSE)</f>
        <v>#N/A</v>
      </c>
    </row>
    <row r="5153" ht="15.75" customHeight="1">
      <c r="A5153" s="1" t="s">
        <v>463</v>
      </c>
      <c r="B5153" s="1" t="s">
        <v>44</v>
      </c>
      <c r="C5153" s="1" t="s">
        <v>11</v>
      </c>
      <c r="D5153" s="5">
        <v>45246.0</v>
      </c>
      <c r="G5153" s="1">
        <f>VLOOKUP(B5153,'old-aw-skill-plan'!A:I,7,FALSE)</f>
        <v>5</v>
      </c>
      <c r="H5153" s="1" t="str">
        <f>VLOOKUP(B5153,'old-aw-skill-plan'!A:I,9,FALSE)</f>
        <v>5-1</v>
      </c>
    </row>
    <row r="5154" ht="15.75" customHeight="1">
      <c r="A5154" s="1" t="s">
        <v>365</v>
      </c>
      <c r="B5154" s="1" t="s">
        <v>34</v>
      </c>
      <c r="C5154" s="1" t="s">
        <v>11</v>
      </c>
      <c r="D5154" s="5">
        <v>45246.0</v>
      </c>
      <c r="G5154" s="1">
        <f>VLOOKUP(B5154,'old-aw-skill-plan'!A:I,7,FALSE)</f>
        <v>4</v>
      </c>
      <c r="H5154" s="1" t="str">
        <f>VLOOKUP(B5154,'old-aw-skill-plan'!A:I,9,FALSE)</f>
        <v>4-1</v>
      </c>
    </row>
    <row r="5155" ht="15.75" customHeight="1">
      <c r="A5155" s="1" t="s">
        <v>464</v>
      </c>
      <c r="B5155" s="1" t="s">
        <v>44</v>
      </c>
      <c r="C5155" s="1" t="s">
        <v>11</v>
      </c>
      <c r="D5155" s="5">
        <v>45245.0</v>
      </c>
      <c r="G5155" s="1">
        <f>VLOOKUP(B5155,'old-aw-skill-plan'!A:I,7,FALSE)</f>
        <v>5</v>
      </c>
      <c r="H5155" s="1" t="str">
        <f>VLOOKUP(B5155,'old-aw-skill-plan'!A:I,9,FALSE)</f>
        <v>5-1</v>
      </c>
    </row>
    <row r="5156" ht="15.75" customHeight="1">
      <c r="A5156" s="1" t="s">
        <v>266</v>
      </c>
      <c r="B5156" s="1" t="s">
        <v>453</v>
      </c>
      <c r="C5156" s="1" t="s">
        <v>11</v>
      </c>
      <c r="D5156" s="5">
        <v>45245.0</v>
      </c>
      <c r="G5156" s="1">
        <f>VLOOKUP(B5156,'old-aw-skill-plan'!A:I,7,FALSE)</f>
        <v>3</v>
      </c>
      <c r="H5156" s="1" t="str">
        <f>VLOOKUP(B5156,'old-aw-skill-plan'!A:I,9,FALSE)</f>
        <v>3-4</v>
      </c>
    </row>
    <row r="5157" ht="15.75" customHeight="1">
      <c r="A5157" s="1" t="s">
        <v>266</v>
      </c>
      <c r="B5157" s="1" t="s">
        <v>450</v>
      </c>
      <c r="C5157" s="1" t="s">
        <v>11</v>
      </c>
      <c r="D5157" s="5">
        <v>45245.0</v>
      </c>
      <c r="G5157" s="1">
        <f>VLOOKUP(B5157,'old-aw-skill-plan'!A:I,7,FALSE)</f>
        <v>3</v>
      </c>
      <c r="H5157" s="1" t="str">
        <f>VLOOKUP(B5157,'old-aw-skill-plan'!A:I,9,FALSE)</f>
        <v>3-4</v>
      </c>
    </row>
    <row r="5158" ht="15.75" customHeight="1">
      <c r="A5158" s="1" t="s">
        <v>22</v>
      </c>
      <c r="B5158" s="1" t="s">
        <v>34</v>
      </c>
      <c r="C5158" s="1" t="s">
        <v>11</v>
      </c>
      <c r="D5158" s="5">
        <v>45245.0</v>
      </c>
      <c r="G5158" s="1">
        <f>VLOOKUP(B5158,'old-aw-skill-plan'!A:I,7,FALSE)</f>
        <v>4</v>
      </c>
      <c r="H5158" s="1" t="str">
        <f>VLOOKUP(B5158,'old-aw-skill-plan'!A:I,9,FALSE)</f>
        <v>4-1</v>
      </c>
    </row>
    <row r="5159" ht="15.75" customHeight="1">
      <c r="A5159" s="1" t="s">
        <v>474</v>
      </c>
      <c r="B5159" s="1" t="s">
        <v>10</v>
      </c>
      <c r="C5159" s="1" t="s">
        <v>11</v>
      </c>
      <c r="D5159" s="5">
        <v>45245.0</v>
      </c>
      <c r="G5159" s="1">
        <f>VLOOKUP(B5159,'old-aw-skill-plan'!A:I,7,FALSE)</f>
        <v>3</v>
      </c>
      <c r="H5159" s="1" t="str">
        <f>VLOOKUP(B5159,'old-aw-skill-plan'!A:I,9,FALSE)</f>
        <v>3-1</v>
      </c>
    </row>
    <row r="5160" ht="15.75" customHeight="1">
      <c r="A5160" s="1" t="s">
        <v>216</v>
      </c>
      <c r="B5160" s="1" t="s">
        <v>34</v>
      </c>
      <c r="C5160" s="1" t="s">
        <v>11</v>
      </c>
      <c r="D5160" s="5">
        <v>45245.0</v>
      </c>
      <c r="G5160" s="1">
        <f>VLOOKUP(B5160,'old-aw-skill-plan'!A:I,7,FALSE)</f>
        <v>4</v>
      </c>
      <c r="H5160" s="1" t="str">
        <f>VLOOKUP(B5160,'old-aw-skill-plan'!A:I,9,FALSE)</f>
        <v>4-1</v>
      </c>
    </row>
    <row r="5161" ht="15.75" customHeight="1">
      <c r="A5161" s="1" t="s">
        <v>35</v>
      </c>
      <c r="B5161" s="1" t="s">
        <v>34</v>
      </c>
      <c r="C5161" s="1" t="s">
        <v>11</v>
      </c>
      <c r="D5161" s="5">
        <v>45245.0</v>
      </c>
      <c r="G5161" s="1">
        <f>VLOOKUP(B5161,'old-aw-skill-plan'!A:I,7,FALSE)</f>
        <v>4</v>
      </c>
      <c r="H5161" s="1" t="str">
        <f>VLOOKUP(B5161,'old-aw-skill-plan'!A:I,9,FALSE)</f>
        <v>4-1</v>
      </c>
    </row>
    <row r="5162" ht="15.75" customHeight="1">
      <c r="A5162" s="1" t="s">
        <v>35</v>
      </c>
      <c r="B5162" s="1" t="s">
        <v>37</v>
      </c>
      <c r="C5162" s="1" t="s">
        <v>11</v>
      </c>
      <c r="D5162" s="5">
        <v>45245.0</v>
      </c>
      <c r="G5162" s="1">
        <f>VLOOKUP(B5162,'old-aw-skill-plan'!A:I,7,FALSE)</f>
        <v>4</v>
      </c>
      <c r="H5162" s="1" t="str">
        <f>VLOOKUP(B5162,'old-aw-skill-plan'!A:I,9,FALSE)</f>
        <v>4-2</v>
      </c>
    </row>
    <row r="5163" ht="15.75" customHeight="1">
      <c r="A5163" s="1" t="s">
        <v>24</v>
      </c>
      <c r="B5163" s="1" t="s">
        <v>34</v>
      </c>
      <c r="C5163" s="1" t="s">
        <v>11</v>
      </c>
      <c r="D5163" s="5">
        <v>45245.0</v>
      </c>
      <c r="G5163" s="1">
        <f>VLOOKUP(B5163,'old-aw-skill-plan'!A:I,7,FALSE)</f>
        <v>4</v>
      </c>
      <c r="H5163" s="1" t="str">
        <f>VLOOKUP(B5163,'old-aw-skill-plan'!A:I,9,FALSE)</f>
        <v>4-1</v>
      </c>
    </row>
    <row r="5164" ht="15.75" customHeight="1">
      <c r="A5164" s="1" t="s">
        <v>271</v>
      </c>
      <c r="B5164" s="1" t="s">
        <v>433</v>
      </c>
      <c r="C5164" s="1" t="s">
        <v>11</v>
      </c>
      <c r="D5164" s="5">
        <v>45245.0</v>
      </c>
      <c r="G5164" s="1">
        <f>VLOOKUP(B5164,'old-aw-skill-plan'!A:I,7,FALSE)</f>
        <v>4</v>
      </c>
      <c r="H5164" s="1" t="str">
        <f>VLOOKUP(B5164,'old-aw-skill-plan'!A:I,9,FALSE)</f>
        <v>4-4</v>
      </c>
    </row>
    <row r="5165" ht="15.75" customHeight="1">
      <c r="A5165" s="1" t="s">
        <v>271</v>
      </c>
      <c r="B5165" s="1" t="s">
        <v>447</v>
      </c>
      <c r="C5165" s="1" t="s">
        <v>11</v>
      </c>
      <c r="D5165" s="5">
        <v>45245.0</v>
      </c>
      <c r="G5165" s="1">
        <f>VLOOKUP(B5165,'old-aw-skill-plan'!A:I,7,FALSE)</f>
        <v>4</v>
      </c>
      <c r="H5165" s="1" t="str">
        <f>VLOOKUP(B5165,'old-aw-skill-plan'!A:I,9,FALSE)</f>
        <v>4-3</v>
      </c>
    </row>
    <row r="5166" ht="15.75" customHeight="1">
      <c r="A5166" s="1" t="s">
        <v>271</v>
      </c>
      <c r="B5166" s="1" t="s">
        <v>402</v>
      </c>
      <c r="C5166" s="1" t="s">
        <v>11</v>
      </c>
      <c r="D5166" s="5">
        <v>45245.0</v>
      </c>
      <c r="G5166" s="1">
        <f>VLOOKUP(B5166,'old-aw-skill-plan'!A:I,7,FALSE)</f>
        <v>4</v>
      </c>
      <c r="H5166" s="1" t="str">
        <f>VLOOKUP(B5166,'old-aw-skill-plan'!A:I,9,FALSE)</f>
        <v>4-2</v>
      </c>
    </row>
    <row r="5167" ht="15.75" customHeight="1">
      <c r="A5167" s="1" t="s">
        <v>475</v>
      </c>
      <c r="B5167" s="1" t="s">
        <v>320</v>
      </c>
      <c r="C5167" s="1" t="s">
        <v>11</v>
      </c>
      <c r="D5167" s="5">
        <v>45245.0</v>
      </c>
      <c r="G5167" s="1">
        <f>VLOOKUP(B5167,'old-aw-skill-plan'!A:I,7,FALSE)</f>
        <v>4</v>
      </c>
      <c r="H5167" s="1" t="str">
        <f>VLOOKUP(B5167,'old-aw-skill-plan'!A:I,9,FALSE)</f>
        <v>4-2</v>
      </c>
    </row>
    <row r="5168" ht="15.75" customHeight="1">
      <c r="A5168" s="1" t="s">
        <v>475</v>
      </c>
      <c r="B5168" s="1" t="s">
        <v>402</v>
      </c>
      <c r="C5168" s="1" t="s">
        <v>11</v>
      </c>
      <c r="D5168" s="5">
        <v>45245.0</v>
      </c>
      <c r="G5168" s="1">
        <f>VLOOKUP(B5168,'old-aw-skill-plan'!A:I,7,FALSE)</f>
        <v>4</v>
      </c>
      <c r="H5168" s="1" t="str">
        <f>VLOOKUP(B5168,'old-aw-skill-plan'!A:I,9,FALSE)</f>
        <v>4-2</v>
      </c>
    </row>
    <row r="5169" ht="15.75" customHeight="1">
      <c r="A5169" s="1" t="s">
        <v>199</v>
      </c>
      <c r="B5169" s="1" t="s">
        <v>34</v>
      </c>
      <c r="C5169" s="1" t="s">
        <v>11</v>
      </c>
      <c r="D5169" s="5">
        <v>45245.0</v>
      </c>
      <c r="G5169" s="1">
        <f>VLOOKUP(B5169,'old-aw-skill-plan'!A:I,7,FALSE)</f>
        <v>4</v>
      </c>
      <c r="H5169" s="1" t="str">
        <f>VLOOKUP(B5169,'old-aw-skill-plan'!A:I,9,FALSE)</f>
        <v>4-1</v>
      </c>
    </row>
    <row r="5170" ht="15.75" customHeight="1">
      <c r="A5170" s="1" t="s">
        <v>36</v>
      </c>
      <c r="B5170" s="1" t="s">
        <v>28</v>
      </c>
      <c r="C5170" s="1" t="s">
        <v>11</v>
      </c>
      <c r="D5170" s="5">
        <v>45245.0</v>
      </c>
      <c r="G5170" s="1">
        <f>VLOOKUP(B5170,'old-aw-skill-plan'!A:I,7,FALSE)</f>
        <v>3</v>
      </c>
      <c r="H5170" s="1" t="str">
        <f>VLOOKUP(B5170,'old-aw-skill-plan'!A:I,9,FALSE)</f>
        <v>3-4</v>
      </c>
    </row>
    <row r="5171" ht="15.75" customHeight="1">
      <c r="A5171" s="1" t="s">
        <v>469</v>
      </c>
      <c r="B5171" s="1" t="s">
        <v>34</v>
      </c>
      <c r="C5171" s="1" t="s">
        <v>11</v>
      </c>
      <c r="D5171" s="5">
        <v>45245.0</v>
      </c>
      <c r="G5171" s="1">
        <f>VLOOKUP(B5171,'old-aw-skill-plan'!A:I,7,FALSE)</f>
        <v>4</v>
      </c>
      <c r="H5171" s="1" t="str">
        <f>VLOOKUP(B5171,'old-aw-skill-plan'!A:I,9,FALSE)</f>
        <v>4-1</v>
      </c>
    </row>
    <row r="5172" ht="15.75" customHeight="1">
      <c r="A5172" s="1" t="s">
        <v>465</v>
      </c>
      <c r="B5172" s="1" t="s">
        <v>28</v>
      </c>
      <c r="C5172" s="1" t="s">
        <v>11</v>
      </c>
      <c r="D5172" s="5">
        <v>45245.0</v>
      </c>
      <c r="G5172" s="1">
        <f>VLOOKUP(B5172,'old-aw-skill-plan'!A:I,7,FALSE)</f>
        <v>3</v>
      </c>
      <c r="H5172" s="1" t="str">
        <f>VLOOKUP(B5172,'old-aw-skill-plan'!A:I,9,FALSE)</f>
        <v>3-4</v>
      </c>
    </row>
    <row r="5173" ht="15.75" customHeight="1">
      <c r="A5173" s="1" t="s">
        <v>465</v>
      </c>
      <c r="B5173" s="1" t="s">
        <v>453</v>
      </c>
      <c r="C5173" s="1" t="s">
        <v>11</v>
      </c>
      <c r="D5173" s="5">
        <v>45245.0</v>
      </c>
      <c r="G5173" s="1">
        <f>VLOOKUP(B5173,'old-aw-skill-plan'!A:I,7,FALSE)</f>
        <v>3</v>
      </c>
      <c r="H5173" s="1" t="str">
        <f>VLOOKUP(B5173,'old-aw-skill-plan'!A:I,9,FALSE)</f>
        <v>3-4</v>
      </c>
    </row>
    <row r="5174" ht="15.75" customHeight="1">
      <c r="A5174" s="1" t="s">
        <v>465</v>
      </c>
      <c r="B5174" s="1" t="s">
        <v>450</v>
      </c>
      <c r="C5174" s="1" t="s">
        <v>11</v>
      </c>
      <c r="D5174" s="5">
        <v>45245.0</v>
      </c>
      <c r="G5174" s="1">
        <f>VLOOKUP(B5174,'old-aw-skill-plan'!A:I,7,FALSE)</f>
        <v>3</v>
      </c>
      <c r="H5174" s="1" t="str">
        <f>VLOOKUP(B5174,'old-aw-skill-plan'!A:I,9,FALSE)</f>
        <v>3-4</v>
      </c>
    </row>
    <row r="5175" ht="15.75" customHeight="1">
      <c r="A5175" s="1" t="s">
        <v>419</v>
      </c>
      <c r="B5175" s="1" t="s">
        <v>450</v>
      </c>
      <c r="C5175" s="1" t="s">
        <v>11</v>
      </c>
      <c r="D5175" s="5">
        <v>45245.0</v>
      </c>
      <c r="G5175" s="1">
        <f>VLOOKUP(B5175,'old-aw-skill-plan'!A:I,7,FALSE)</f>
        <v>3</v>
      </c>
      <c r="H5175" s="1" t="str">
        <f>VLOOKUP(B5175,'old-aw-skill-plan'!A:I,9,FALSE)</f>
        <v>3-4</v>
      </c>
    </row>
    <row r="5176" ht="15.75" customHeight="1">
      <c r="A5176" s="1" t="s">
        <v>454</v>
      </c>
      <c r="B5176" s="1" t="s">
        <v>453</v>
      </c>
      <c r="C5176" s="1" t="s">
        <v>11</v>
      </c>
      <c r="D5176" s="5">
        <v>45245.0</v>
      </c>
      <c r="G5176" s="1">
        <f>VLOOKUP(B5176,'old-aw-skill-plan'!A:I,7,FALSE)</f>
        <v>3</v>
      </c>
      <c r="H5176" s="1" t="str">
        <f>VLOOKUP(B5176,'old-aw-skill-plan'!A:I,9,FALSE)</f>
        <v>3-4</v>
      </c>
    </row>
    <row r="5177" ht="15.75" customHeight="1">
      <c r="A5177" s="1" t="s">
        <v>454</v>
      </c>
      <c r="B5177" s="1" t="s">
        <v>450</v>
      </c>
      <c r="C5177" s="1" t="s">
        <v>11</v>
      </c>
      <c r="D5177" s="5">
        <v>45245.0</v>
      </c>
      <c r="G5177" s="1">
        <f>VLOOKUP(B5177,'old-aw-skill-plan'!A:I,7,FALSE)</f>
        <v>3</v>
      </c>
      <c r="H5177" s="1" t="str">
        <f>VLOOKUP(B5177,'old-aw-skill-plan'!A:I,9,FALSE)</f>
        <v>3-4</v>
      </c>
    </row>
    <row r="5178" ht="15.75" customHeight="1">
      <c r="A5178" s="1" t="s">
        <v>454</v>
      </c>
      <c r="B5178" s="1" t="s">
        <v>34</v>
      </c>
      <c r="C5178" s="1" t="s">
        <v>11</v>
      </c>
      <c r="D5178" s="5">
        <v>45245.0</v>
      </c>
      <c r="G5178" s="1">
        <f>VLOOKUP(B5178,'old-aw-skill-plan'!A:I,7,FALSE)</f>
        <v>4</v>
      </c>
      <c r="H5178" s="1" t="str">
        <f>VLOOKUP(B5178,'old-aw-skill-plan'!A:I,9,FALSE)</f>
        <v>4-1</v>
      </c>
    </row>
    <row r="5179" ht="15.75" customHeight="1">
      <c r="A5179" s="1" t="s">
        <v>454</v>
      </c>
      <c r="B5179" s="1" t="s">
        <v>97</v>
      </c>
      <c r="C5179" s="1" t="s">
        <v>11</v>
      </c>
      <c r="D5179" s="5">
        <v>45245.0</v>
      </c>
      <c r="G5179" s="1">
        <f>VLOOKUP(B5179,'old-aw-skill-plan'!A:I,7,FALSE)</f>
        <v>4</v>
      </c>
      <c r="H5179" s="1" t="str">
        <f>VLOOKUP(B5179,'old-aw-skill-plan'!A:I,9,FALSE)</f>
        <v>4-3</v>
      </c>
    </row>
    <row r="5180" ht="15.75" customHeight="1">
      <c r="A5180" s="1" t="s">
        <v>473</v>
      </c>
      <c r="B5180" s="1" t="s">
        <v>10</v>
      </c>
      <c r="C5180" s="1" t="s">
        <v>11</v>
      </c>
      <c r="D5180" s="5">
        <v>45245.0</v>
      </c>
      <c r="G5180" s="1">
        <f>VLOOKUP(B5180,'old-aw-skill-plan'!A:I,7,FALSE)</f>
        <v>3</v>
      </c>
      <c r="H5180" s="1" t="str">
        <f>VLOOKUP(B5180,'old-aw-skill-plan'!A:I,9,FALSE)</f>
        <v>3-1</v>
      </c>
    </row>
    <row r="5181" ht="15.75" customHeight="1">
      <c r="A5181" s="1" t="s">
        <v>56</v>
      </c>
      <c r="B5181" s="1" t="s">
        <v>30</v>
      </c>
      <c r="C5181" s="1" t="s">
        <v>11</v>
      </c>
      <c r="D5181" s="5">
        <v>45245.0</v>
      </c>
      <c r="G5181" s="1">
        <f>VLOOKUP(B5181,'old-aw-skill-plan'!A:I,7,FALSE)</f>
        <v>3</v>
      </c>
      <c r="H5181" s="1" t="str">
        <f>VLOOKUP(B5181,'old-aw-skill-plan'!A:I,9,FALSE)</f>
        <v>3-3</v>
      </c>
    </row>
    <row r="5182" ht="15.75" customHeight="1">
      <c r="A5182" s="1" t="s">
        <v>56</v>
      </c>
      <c r="B5182" s="1" t="s">
        <v>47</v>
      </c>
      <c r="C5182" s="1" t="s">
        <v>11</v>
      </c>
      <c r="D5182" s="5">
        <v>45245.0</v>
      </c>
      <c r="G5182" s="1">
        <f>VLOOKUP(B5182,'old-aw-skill-plan'!A:I,7,FALSE)</f>
        <v>3</v>
      </c>
      <c r="H5182" s="1" t="str">
        <f>VLOOKUP(B5182,'old-aw-skill-plan'!A:I,9,FALSE)</f>
        <v>3-2</v>
      </c>
    </row>
    <row r="5183" ht="15.75" customHeight="1">
      <c r="A5183" s="1" t="s">
        <v>81</v>
      </c>
      <c r="B5183" s="1" t="s">
        <v>34</v>
      </c>
      <c r="C5183" s="1" t="s">
        <v>11</v>
      </c>
      <c r="D5183" s="5">
        <v>45245.0</v>
      </c>
      <c r="G5183" s="1">
        <f>VLOOKUP(B5183,'old-aw-skill-plan'!A:I,7,FALSE)</f>
        <v>4</v>
      </c>
      <c r="H5183" s="1" t="str">
        <f>VLOOKUP(B5183,'old-aw-skill-plan'!A:I,9,FALSE)</f>
        <v>4-1</v>
      </c>
    </row>
    <row r="5184" ht="15.75" customHeight="1">
      <c r="A5184" s="1" t="s">
        <v>421</v>
      </c>
      <c r="B5184" s="1" t="s">
        <v>28</v>
      </c>
      <c r="C5184" s="1" t="s">
        <v>11</v>
      </c>
      <c r="D5184" s="5">
        <v>45245.0</v>
      </c>
      <c r="G5184" s="1">
        <f>VLOOKUP(B5184,'old-aw-skill-plan'!A:I,7,FALSE)</f>
        <v>3</v>
      </c>
      <c r="H5184" s="1" t="str">
        <f>VLOOKUP(B5184,'old-aw-skill-plan'!A:I,9,FALSE)</f>
        <v>3-4</v>
      </c>
    </row>
    <row r="5185" ht="15.75" customHeight="1">
      <c r="A5185" s="1" t="s">
        <v>421</v>
      </c>
      <c r="B5185" s="1" t="s">
        <v>356</v>
      </c>
      <c r="C5185" s="1" t="s">
        <v>11</v>
      </c>
      <c r="D5185" s="5">
        <v>45245.0</v>
      </c>
      <c r="G5185" s="1">
        <f>VLOOKUP(B5185,'old-aw-skill-plan'!A:I,7,FALSE)</f>
        <v>3</v>
      </c>
      <c r="H5185" s="1" t="str">
        <f>VLOOKUP(B5185,'old-aw-skill-plan'!A:I,9,FALSE)</f>
        <v>3-2</v>
      </c>
    </row>
    <row r="5186" ht="15.75" customHeight="1">
      <c r="A5186" s="1" t="s">
        <v>428</v>
      </c>
      <c r="B5186" s="1" t="s">
        <v>37</v>
      </c>
      <c r="C5186" s="1" t="s">
        <v>11</v>
      </c>
      <c r="D5186" s="5">
        <v>45245.0</v>
      </c>
      <c r="G5186" s="1">
        <f>VLOOKUP(B5186,'old-aw-skill-plan'!A:I,7,FALSE)</f>
        <v>4</v>
      </c>
      <c r="H5186" s="1" t="str">
        <f>VLOOKUP(B5186,'old-aw-skill-plan'!A:I,9,FALSE)</f>
        <v>4-2</v>
      </c>
    </row>
    <row r="5187" ht="15.75" customHeight="1">
      <c r="A5187" s="1" t="s">
        <v>420</v>
      </c>
      <c r="B5187" s="1" t="s">
        <v>28</v>
      </c>
      <c r="C5187" s="1" t="s">
        <v>11</v>
      </c>
      <c r="D5187" s="5">
        <v>45245.0</v>
      </c>
      <c r="G5187" s="1">
        <f>VLOOKUP(B5187,'old-aw-skill-plan'!A:I,7,FALSE)</f>
        <v>3</v>
      </c>
      <c r="H5187" s="1" t="str">
        <f>VLOOKUP(B5187,'old-aw-skill-plan'!A:I,9,FALSE)</f>
        <v>3-4</v>
      </c>
    </row>
    <row r="5188" ht="15.75" customHeight="1">
      <c r="A5188" s="1" t="s">
        <v>420</v>
      </c>
      <c r="B5188" s="1" t="s">
        <v>30</v>
      </c>
      <c r="C5188" s="1" t="s">
        <v>11</v>
      </c>
      <c r="D5188" s="5">
        <v>45245.0</v>
      </c>
      <c r="G5188" s="1">
        <f>VLOOKUP(B5188,'old-aw-skill-plan'!A:I,7,FALSE)</f>
        <v>3</v>
      </c>
      <c r="H5188" s="1" t="str">
        <f>VLOOKUP(B5188,'old-aw-skill-plan'!A:I,9,FALSE)</f>
        <v>3-3</v>
      </c>
    </row>
    <row r="5189" ht="15.75" customHeight="1">
      <c r="A5189" s="1" t="s">
        <v>420</v>
      </c>
      <c r="B5189" s="1" t="s">
        <v>356</v>
      </c>
      <c r="C5189" s="1" t="s">
        <v>11</v>
      </c>
      <c r="D5189" s="5">
        <v>45245.0</v>
      </c>
      <c r="G5189" s="1">
        <f>VLOOKUP(B5189,'old-aw-skill-plan'!A:I,7,FALSE)</f>
        <v>3</v>
      </c>
      <c r="H5189" s="1" t="str">
        <f>VLOOKUP(B5189,'old-aw-skill-plan'!A:I,9,FALSE)</f>
        <v>3-2</v>
      </c>
    </row>
    <row r="5190" ht="15.75" customHeight="1">
      <c r="A5190" s="1" t="s">
        <v>276</v>
      </c>
      <c r="B5190" s="1" t="s">
        <v>103</v>
      </c>
      <c r="C5190" s="1" t="s">
        <v>11</v>
      </c>
      <c r="D5190" s="5">
        <v>45245.0</v>
      </c>
      <c r="G5190" s="1">
        <f>VLOOKUP(B5190,'old-aw-skill-plan'!A:I,7,FALSE)</f>
        <v>5</v>
      </c>
      <c r="H5190" s="1" t="str">
        <f>VLOOKUP(B5190,'old-aw-skill-plan'!A:I,9,FALSE)</f>
        <v>5-3</v>
      </c>
    </row>
    <row r="5191" ht="15.75" customHeight="1">
      <c r="A5191" s="1" t="s">
        <v>461</v>
      </c>
      <c r="B5191" s="1" t="s">
        <v>44</v>
      </c>
      <c r="C5191" s="1" t="s">
        <v>11</v>
      </c>
      <c r="D5191" s="5">
        <v>45245.0</v>
      </c>
      <c r="G5191" s="1">
        <f>VLOOKUP(B5191,'old-aw-skill-plan'!A:I,7,FALSE)</f>
        <v>5</v>
      </c>
      <c r="H5191" s="1" t="str">
        <f>VLOOKUP(B5191,'old-aw-skill-plan'!A:I,9,FALSE)</f>
        <v>5-1</v>
      </c>
    </row>
    <row r="5192" ht="15.75" customHeight="1">
      <c r="A5192" s="1" t="s">
        <v>95</v>
      </c>
      <c r="B5192" s="1" t="s">
        <v>47</v>
      </c>
      <c r="C5192" s="1" t="s">
        <v>11</v>
      </c>
      <c r="D5192" s="5">
        <v>45245.0</v>
      </c>
      <c r="G5192" s="1">
        <f>VLOOKUP(B5192,'old-aw-skill-plan'!A:I,7,FALSE)</f>
        <v>3</v>
      </c>
      <c r="H5192" s="1" t="str">
        <f>VLOOKUP(B5192,'old-aw-skill-plan'!A:I,9,FALSE)</f>
        <v>3-2</v>
      </c>
    </row>
    <row r="5193" ht="15.75" customHeight="1">
      <c r="A5193" s="1" t="s">
        <v>214</v>
      </c>
      <c r="B5193" s="1" t="s">
        <v>30</v>
      </c>
      <c r="C5193" s="1" t="s">
        <v>11</v>
      </c>
      <c r="D5193" s="5">
        <v>45245.0</v>
      </c>
      <c r="G5193" s="1">
        <f>VLOOKUP(B5193,'old-aw-skill-plan'!A:I,7,FALSE)</f>
        <v>3</v>
      </c>
      <c r="H5193" s="1" t="str">
        <f>VLOOKUP(B5193,'old-aw-skill-plan'!A:I,9,FALSE)</f>
        <v>3-3</v>
      </c>
    </row>
    <row r="5194" ht="15.75" customHeight="1">
      <c r="A5194" s="1" t="s">
        <v>197</v>
      </c>
      <c r="B5194" s="1" t="s">
        <v>34</v>
      </c>
      <c r="C5194" s="1" t="s">
        <v>11</v>
      </c>
      <c r="D5194" s="5">
        <v>45245.0</v>
      </c>
      <c r="G5194" s="1">
        <f>VLOOKUP(B5194,'old-aw-skill-plan'!A:I,7,FALSE)</f>
        <v>4</v>
      </c>
      <c r="H5194" s="1" t="str">
        <f>VLOOKUP(B5194,'old-aw-skill-plan'!A:I,9,FALSE)</f>
        <v>4-1</v>
      </c>
    </row>
    <row r="5195" ht="15.75" customHeight="1">
      <c r="A5195" s="1" t="s">
        <v>197</v>
      </c>
      <c r="B5195" s="1" t="s">
        <v>37</v>
      </c>
      <c r="C5195" s="1" t="s">
        <v>11</v>
      </c>
      <c r="D5195" s="5">
        <v>45245.0</v>
      </c>
      <c r="G5195" s="1">
        <f>VLOOKUP(B5195,'old-aw-skill-plan'!A:I,7,FALSE)</f>
        <v>4</v>
      </c>
      <c r="H5195" s="1" t="str">
        <f>VLOOKUP(B5195,'old-aw-skill-plan'!A:I,9,FALSE)</f>
        <v>4-2</v>
      </c>
    </row>
    <row r="5196" ht="15.75" customHeight="1">
      <c r="A5196" s="1" t="s">
        <v>373</v>
      </c>
      <c r="B5196" s="1" t="s">
        <v>10</v>
      </c>
      <c r="C5196" s="1" t="s">
        <v>11</v>
      </c>
      <c r="D5196" s="5">
        <v>45245.0</v>
      </c>
      <c r="G5196" s="1">
        <f>VLOOKUP(B5196,'old-aw-skill-plan'!A:I,7,FALSE)</f>
        <v>3</v>
      </c>
      <c r="H5196" s="1" t="str">
        <f>VLOOKUP(B5196,'old-aw-skill-plan'!A:I,9,FALSE)</f>
        <v>3-1</v>
      </c>
    </row>
    <row r="5197" ht="15.75" customHeight="1">
      <c r="A5197" s="1" t="s">
        <v>265</v>
      </c>
      <c r="B5197" s="1" t="s">
        <v>44</v>
      </c>
      <c r="C5197" s="1" t="s">
        <v>11</v>
      </c>
      <c r="D5197" s="5">
        <v>45245.0</v>
      </c>
      <c r="G5197" s="1">
        <f>VLOOKUP(B5197,'old-aw-skill-plan'!A:I,7,FALSE)</f>
        <v>5</v>
      </c>
      <c r="H5197" s="1" t="str">
        <f>VLOOKUP(B5197,'old-aw-skill-plan'!A:I,9,FALSE)</f>
        <v>5-1</v>
      </c>
    </row>
    <row r="5198" ht="15.75" customHeight="1">
      <c r="A5198" s="1" t="s">
        <v>463</v>
      </c>
      <c r="B5198" s="1" t="s">
        <v>44</v>
      </c>
      <c r="C5198" s="1" t="s">
        <v>11</v>
      </c>
      <c r="D5198" s="5">
        <v>45245.0</v>
      </c>
      <c r="G5198" s="1">
        <f>VLOOKUP(B5198,'old-aw-skill-plan'!A:I,7,FALSE)</f>
        <v>5</v>
      </c>
      <c r="H5198" s="1" t="str">
        <f>VLOOKUP(B5198,'old-aw-skill-plan'!A:I,9,FALSE)</f>
        <v>5-1</v>
      </c>
    </row>
    <row r="5199" ht="15.75" customHeight="1">
      <c r="A5199" s="1" t="s">
        <v>457</v>
      </c>
      <c r="B5199" s="1" t="s">
        <v>28</v>
      </c>
      <c r="C5199" s="1" t="s">
        <v>11</v>
      </c>
      <c r="D5199" s="5">
        <v>45245.0</v>
      </c>
      <c r="G5199" s="1">
        <f>VLOOKUP(B5199,'old-aw-skill-plan'!A:I,7,FALSE)</f>
        <v>3</v>
      </c>
      <c r="H5199" s="1" t="str">
        <f>VLOOKUP(B5199,'old-aw-skill-plan'!A:I,9,FALSE)</f>
        <v>3-4</v>
      </c>
    </row>
    <row r="5200" ht="15.75" customHeight="1">
      <c r="A5200" s="1" t="s">
        <v>457</v>
      </c>
      <c r="B5200" s="1" t="s">
        <v>383</v>
      </c>
      <c r="C5200" s="1" t="s">
        <v>11</v>
      </c>
      <c r="D5200" s="5">
        <v>45245.0</v>
      </c>
      <c r="G5200" s="1">
        <f>VLOOKUP(B5200,'old-aw-skill-plan'!A:I,7,FALSE)</f>
        <v>3</v>
      </c>
      <c r="H5200" s="1" t="str">
        <f>VLOOKUP(B5200,'old-aw-skill-plan'!A:I,9,FALSE)</f>
        <v>3-3</v>
      </c>
    </row>
    <row r="5201" ht="15.75" customHeight="1">
      <c r="A5201" s="1" t="s">
        <v>457</v>
      </c>
      <c r="B5201" s="1" t="s">
        <v>450</v>
      </c>
      <c r="C5201" s="1" t="s">
        <v>11</v>
      </c>
      <c r="D5201" s="5">
        <v>45245.0</v>
      </c>
      <c r="G5201" s="1">
        <f>VLOOKUP(B5201,'old-aw-skill-plan'!A:I,7,FALSE)</f>
        <v>3</v>
      </c>
      <c r="H5201" s="1" t="str">
        <f>VLOOKUP(B5201,'old-aw-skill-plan'!A:I,9,FALSE)</f>
        <v>3-4</v>
      </c>
    </row>
    <row r="5202" ht="15.75" customHeight="1">
      <c r="A5202" s="1" t="s">
        <v>457</v>
      </c>
      <c r="B5202" s="1" t="s">
        <v>34</v>
      </c>
      <c r="C5202" s="1" t="s">
        <v>11</v>
      </c>
      <c r="D5202" s="5">
        <v>45245.0</v>
      </c>
      <c r="G5202" s="1">
        <f>VLOOKUP(B5202,'old-aw-skill-plan'!A:I,7,FALSE)</f>
        <v>4</v>
      </c>
      <c r="H5202" s="1" t="str">
        <f>VLOOKUP(B5202,'old-aw-skill-plan'!A:I,9,FALSE)</f>
        <v>4-1</v>
      </c>
    </row>
    <row r="5203" ht="15.75" customHeight="1">
      <c r="A5203" s="1" t="s">
        <v>93</v>
      </c>
      <c r="B5203" s="1" t="s">
        <v>28</v>
      </c>
      <c r="C5203" s="1" t="s">
        <v>11</v>
      </c>
      <c r="D5203" s="5">
        <v>45245.0</v>
      </c>
      <c r="G5203" s="1">
        <f>VLOOKUP(B5203,'old-aw-skill-plan'!A:I,7,FALSE)</f>
        <v>3</v>
      </c>
      <c r="H5203" s="1" t="str">
        <f>VLOOKUP(B5203,'old-aw-skill-plan'!A:I,9,FALSE)</f>
        <v>3-4</v>
      </c>
    </row>
    <row r="5204" ht="15.75" customHeight="1">
      <c r="A5204" s="1" t="s">
        <v>365</v>
      </c>
      <c r="B5204" s="1" t="s">
        <v>34</v>
      </c>
      <c r="C5204" s="1" t="s">
        <v>11</v>
      </c>
      <c r="D5204" s="5">
        <v>45245.0</v>
      </c>
      <c r="G5204" s="1">
        <f>VLOOKUP(B5204,'old-aw-skill-plan'!A:I,7,FALSE)</f>
        <v>4</v>
      </c>
      <c r="H5204" s="1" t="str">
        <f>VLOOKUP(B5204,'old-aw-skill-plan'!A:I,9,FALSE)</f>
        <v>4-1</v>
      </c>
    </row>
    <row r="5205" ht="15.75" customHeight="1">
      <c r="A5205" s="1" t="s">
        <v>94</v>
      </c>
      <c r="B5205" s="1" t="s">
        <v>28</v>
      </c>
      <c r="C5205" s="1" t="s">
        <v>11</v>
      </c>
      <c r="D5205" s="5">
        <v>45245.0</v>
      </c>
      <c r="G5205" s="1">
        <f>VLOOKUP(B5205,'old-aw-skill-plan'!A:I,7,FALSE)</f>
        <v>3</v>
      </c>
      <c r="H5205" s="1" t="str">
        <f>VLOOKUP(B5205,'old-aw-skill-plan'!A:I,9,FALSE)</f>
        <v>3-4</v>
      </c>
    </row>
    <row r="5206" ht="15.75" customHeight="1">
      <c r="A5206" s="1" t="s">
        <v>468</v>
      </c>
      <c r="B5206" s="1" t="s">
        <v>28</v>
      </c>
      <c r="C5206" s="1" t="s">
        <v>11</v>
      </c>
      <c r="D5206" s="5">
        <v>45245.0</v>
      </c>
      <c r="G5206" s="1">
        <f>VLOOKUP(B5206,'old-aw-skill-plan'!A:I,7,FALSE)</f>
        <v>3</v>
      </c>
      <c r="H5206" s="1" t="str">
        <f>VLOOKUP(B5206,'old-aw-skill-plan'!A:I,9,FALSE)</f>
        <v>3-4</v>
      </c>
    </row>
    <row r="5207" ht="15.75" customHeight="1">
      <c r="A5207" s="1" t="s">
        <v>468</v>
      </c>
      <c r="B5207" s="1" t="s">
        <v>103</v>
      </c>
      <c r="C5207" s="1" t="s">
        <v>11</v>
      </c>
      <c r="D5207" s="5">
        <v>45245.0</v>
      </c>
      <c r="G5207" s="1">
        <f>VLOOKUP(B5207,'old-aw-skill-plan'!A:I,7,FALSE)</f>
        <v>5</v>
      </c>
      <c r="H5207" s="1" t="str">
        <f>VLOOKUP(B5207,'old-aw-skill-plan'!A:I,9,FALSE)</f>
        <v>5-3</v>
      </c>
    </row>
    <row r="5208" ht="15.75" customHeight="1">
      <c r="A5208" s="1" t="s">
        <v>225</v>
      </c>
      <c r="B5208" s="1" t="s">
        <v>37</v>
      </c>
      <c r="C5208" s="1" t="s">
        <v>11</v>
      </c>
      <c r="D5208" s="5">
        <v>45245.0</v>
      </c>
      <c r="G5208" s="1">
        <f>VLOOKUP(B5208,'old-aw-skill-plan'!A:I,7,FALSE)</f>
        <v>4</v>
      </c>
      <c r="H5208" s="1" t="str">
        <f>VLOOKUP(B5208,'old-aw-skill-plan'!A:I,9,FALSE)</f>
        <v>4-2</v>
      </c>
    </row>
    <row r="5209" ht="15.75" customHeight="1">
      <c r="A5209" s="1" t="s">
        <v>427</v>
      </c>
      <c r="B5209" s="1" t="s">
        <v>10</v>
      </c>
      <c r="C5209" s="1" t="s">
        <v>11</v>
      </c>
      <c r="D5209" s="5">
        <v>45245.0</v>
      </c>
      <c r="G5209" s="1">
        <f>VLOOKUP(B5209,'old-aw-skill-plan'!A:I,7,FALSE)</f>
        <v>3</v>
      </c>
      <c r="H5209" s="1" t="str">
        <f>VLOOKUP(B5209,'old-aw-skill-plan'!A:I,9,FALSE)</f>
        <v>3-1</v>
      </c>
    </row>
    <row r="5210" ht="15.75" customHeight="1">
      <c r="A5210" s="1" t="s">
        <v>436</v>
      </c>
      <c r="B5210" s="1" t="s">
        <v>28</v>
      </c>
      <c r="C5210" s="1" t="s">
        <v>11</v>
      </c>
      <c r="D5210" s="5">
        <v>45245.0</v>
      </c>
      <c r="G5210" s="1">
        <f>VLOOKUP(B5210,'old-aw-skill-plan'!A:I,7,FALSE)</f>
        <v>3</v>
      </c>
      <c r="H5210" s="1" t="str">
        <f>VLOOKUP(B5210,'old-aw-skill-plan'!A:I,9,FALSE)</f>
        <v>3-4</v>
      </c>
    </row>
    <row r="5211" ht="15.75" customHeight="1">
      <c r="A5211" s="1" t="s">
        <v>110</v>
      </c>
      <c r="B5211" s="1" t="s">
        <v>28</v>
      </c>
      <c r="C5211" s="1" t="s">
        <v>11</v>
      </c>
      <c r="D5211" s="5">
        <v>45245.0</v>
      </c>
      <c r="G5211" s="1">
        <f>VLOOKUP(B5211,'old-aw-skill-plan'!A:I,7,FALSE)</f>
        <v>3</v>
      </c>
      <c r="H5211" s="1" t="str">
        <f>VLOOKUP(B5211,'old-aw-skill-plan'!A:I,9,FALSE)</f>
        <v>3-4</v>
      </c>
    </row>
    <row r="5212" ht="15.75" customHeight="1">
      <c r="A5212" s="1" t="s">
        <v>110</v>
      </c>
      <c r="B5212" s="1" t="s">
        <v>30</v>
      </c>
      <c r="C5212" s="1" t="s">
        <v>11</v>
      </c>
      <c r="D5212" s="5">
        <v>45245.0</v>
      </c>
      <c r="G5212" s="1">
        <f>VLOOKUP(B5212,'old-aw-skill-plan'!A:I,7,FALSE)</f>
        <v>3</v>
      </c>
      <c r="H5212" s="1" t="str">
        <f>VLOOKUP(B5212,'old-aw-skill-plan'!A:I,9,FALSE)</f>
        <v>3-3</v>
      </c>
    </row>
    <row r="5213" ht="15.75" customHeight="1">
      <c r="A5213" s="1" t="s">
        <v>110</v>
      </c>
      <c r="B5213" s="1" t="s">
        <v>47</v>
      </c>
      <c r="C5213" s="1" t="s">
        <v>11</v>
      </c>
      <c r="D5213" s="5">
        <v>45245.0</v>
      </c>
      <c r="G5213" s="1">
        <f>VLOOKUP(B5213,'old-aw-skill-plan'!A:I,7,FALSE)</f>
        <v>3</v>
      </c>
      <c r="H5213" s="1" t="str">
        <f>VLOOKUP(B5213,'old-aw-skill-plan'!A:I,9,FALSE)</f>
        <v>3-2</v>
      </c>
    </row>
    <row r="5214" ht="15.75" customHeight="1">
      <c r="A5214" s="1" t="s">
        <v>110</v>
      </c>
      <c r="B5214" s="1" t="s">
        <v>307</v>
      </c>
      <c r="C5214" s="1" t="s">
        <v>11</v>
      </c>
      <c r="D5214" s="5">
        <v>45245.0</v>
      </c>
      <c r="G5214" s="1">
        <f>VLOOKUP(B5214,'old-aw-skill-plan'!A:I,7,FALSE)</f>
        <v>3</v>
      </c>
      <c r="H5214" s="1" t="str">
        <f>VLOOKUP(B5214,'old-aw-skill-plan'!A:I,9,FALSE)</f>
        <v>3-1</v>
      </c>
    </row>
    <row r="5215" ht="15.75" customHeight="1">
      <c r="A5215" s="1" t="s">
        <v>464</v>
      </c>
      <c r="B5215" s="1" t="s">
        <v>44</v>
      </c>
      <c r="C5215" s="1" t="s">
        <v>11</v>
      </c>
      <c r="D5215" s="5">
        <v>45244.0</v>
      </c>
      <c r="G5215" s="1">
        <f>VLOOKUP(B5215,'old-aw-skill-plan'!A:I,7,FALSE)</f>
        <v>5</v>
      </c>
      <c r="H5215" s="1" t="str">
        <f>VLOOKUP(B5215,'old-aw-skill-plan'!A:I,9,FALSE)</f>
        <v>5-1</v>
      </c>
    </row>
    <row r="5216" ht="15.75" customHeight="1">
      <c r="A5216" s="1" t="s">
        <v>266</v>
      </c>
      <c r="B5216" s="1" t="s">
        <v>28</v>
      </c>
      <c r="C5216" s="1" t="s">
        <v>11</v>
      </c>
      <c r="D5216" s="5">
        <v>45244.0</v>
      </c>
      <c r="G5216" s="1">
        <f>VLOOKUP(B5216,'old-aw-skill-plan'!A:I,7,FALSE)</f>
        <v>3</v>
      </c>
      <c r="H5216" s="1" t="str">
        <f>VLOOKUP(B5216,'old-aw-skill-plan'!A:I,9,FALSE)</f>
        <v>3-4</v>
      </c>
    </row>
    <row r="5217" ht="15.75" customHeight="1">
      <c r="A5217" s="1" t="s">
        <v>266</v>
      </c>
      <c r="B5217" s="1" t="s">
        <v>453</v>
      </c>
      <c r="C5217" s="1" t="s">
        <v>11</v>
      </c>
      <c r="D5217" s="5">
        <v>45244.0</v>
      </c>
      <c r="G5217" s="1">
        <f>VLOOKUP(B5217,'old-aw-skill-plan'!A:I,7,FALSE)</f>
        <v>3</v>
      </c>
      <c r="H5217" s="1" t="str">
        <f>VLOOKUP(B5217,'old-aw-skill-plan'!A:I,9,FALSE)</f>
        <v>3-4</v>
      </c>
    </row>
    <row r="5218" ht="15.75" customHeight="1">
      <c r="A5218" s="1" t="s">
        <v>22</v>
      </c>
      <c r="B5218" s="1" t="s">
        <v>34</v>
      </c>
      <c r="C5218" s="1" t="s">
        <v>11</v>
      </c>
      <c r="D5218" s="5">
        <v>45244.0</v>
      </c>
      <c r="G5218" s="1">
        <f>VLOOKUP(B5218,'old-aw-skill-plan'!A:I,7,FALSE)</f>
        <v>4</v>
      </c>
      <c r="H5218" s="1" t="str">
        <f>VLOOKUP(B5218,'old-aw-skill-plan'!A:I,9,FALSE)</f>
        <v>4-1</v>
      </c>
    </row>
    <row r="5219" ht="15.75" customHeight="1">
      <c r="A5219" s="1" t="s">
        <v>474</v>
      </c>
      <c r="B5219" s="1" t="s">
        <v>10</v>
      </c>
      <c r="C5219" s="1" t="s">
        <v>11</v>
      </c>
      <c r="D5219" s="5">
        <v>45244.0</v>
      </c>
      <c r="G5219" s="1">
        <f>VLOOKUP(B5219,'old-aw-skill-plan'!A:I,7,FALSE)</f>
        <v>3</v>
      </c>
      <c r="H5219" s="1" t="str">
        <f>VLOOKUP(B5219,'old-aw-skill-plan'!A:I,9,FALSE)</f>
        <v>3-1</v>
      </c>
    </row>
    <row r="5220" ht="15.75" customHeight="1">
      <c r="A5220" s="1" t="s">
        <v>216</v>
      </c>
      <c r="B5220" s="1" t="s">
        <v>34</v>
      </c>
      <c r="C5220" s="1" t="s">
        <v>11</v>
      </c>
      <c r="D5220" s="5">
        <v>45244.0</v>
      </c>
      <c r="G5220" s="1">
        <f>VLOOKUP(B5220,'old-aw-skill-plan'!A:I,7,FALSE)</f>
        <v>4</v>
      </c>
      <c r="H5220" s="1" t="str">
        <f>VLOOKUP(B5220,'old-aw-skill-plan'!A:I,9,FALSE)</f>
        <v>4-1</v>
      </c>
    </row>
    <row r="5221" ht="15.75" customHeight="1">
      <c r="A5221" s="1" t="s">
        <v>35</v>
      </c>
      <c r="B5221" s="1" t="s">
        <v>34</v>
      </c>
      <c r="C5221" s="1" t="s">
        <v>11</v>
      </c>
      <c r="D5221" s="5">
        <v>45244.0</v>
      </c>
      <c r="G5221" s="1">
        <f>VLOOKUP(B5221,'old-aw-skill-plan'!A:I,7,FALSE)</f>
        <v>4</v>
      </c>
      <c r="H5221" s="1" t="str">
        <f>VLOOKUP(B5221,'old-aw-skill-plan'!A:I,9,FALSE)</f>
        <v>4-1</v>
      </c>
    </row>
    <row r="5222" ht="15.75" customHeight="1">
      <c r="A5222" s="1" t="s">
        <v>478</v>
      </c>
      <c r="B5222" s="1" t="s">
        <v>388</v>
      </c>
      <c r="C5222" s="1" t="s">
        <v>11</v>
      </c>
      <c r="D5222" s="5">
        <v>45244.0</v>
      </c>
      <c r="G5222" s="1" t="str">
        <f>VLOOKUP(B5222,'old-aw-skill-plan'!A:I,7,FALSE)</f>
        <v>#N/A</v>
      </c>
      <c r="H5222" s="1" t="str">
        <f>VLOOKUP(B5222,'old-aw-skill-plan'!A:I,9,FALSE)</f>
        <v>#N/A</v>
      </c>
    </row>
    <row r="5223" ht="15.75" customHeight="1">
      <c r="A5223" s="1" t="s">
        <v>24</v>
      </c>
      <c r="B5223" s="1" t="s">
        <v>34</v>
      </c>
      <c r="C5223" s="1" t="s">
        <v>11</v>
      </c>
      <c r="D5223" s="5">
        <v>45244.0</v>
      </c>
      <c r="G5223" s="1">
        <f>VLOOKUP(B5223,'old-aw-skill-plan'!A:I,7,FALSE)</f>
        <v>4</v>
      </c>
      <c r="H5223" s="1" t="str">
        <f>VLOOKUP(B5223,'old-aw-skill-plan'!A:I,9,FALSE)</f>
        <v>4-1</v>
      </c>
    </row>
    <row r="5224" ht="15.75" customHeight="1">
      <c r="A5224" s="1" t="s">
        <v>475</v>
      </c>
      <c r="B5224" s="1" t="s">
        <v>320</v>
      </c>
      <c r="C5224" s="1" t="s">
        <v>11</v>
      </c>
      <c r="D5224" s="5">
        <v>45244.0</v>
      </c>
      <c r="G5224" s="1">
        <f>VLOOKUP(B5224,'old-aw-skill-plan'!A:I,7,FALSE)</f>
        <v>4</v>
      </c>
      <c r="H5224" s="1" t="str">
        <f>VLOOKUP(B5224,'old-aw-skill-plan'!A:I,9,FALSE)</f>
        <v>4-2</v>
      </c>
    </row>
    <row r="5225" ht="15.75" customHeight="1">
      <c r="A5225" s="1" t="s">
        <v>199</v>
      </c>
      <c r="B5225" s="1" t="s">
        <v>34</v>
      </c>
      <c r="C5225" s="1" t="s">
        <v>11</v>
      </c>
      <c r="D5225" s="5">
        <v>45244.0</v>
      </c>
      <c r="G5225" s="1">
        <f>VLOOKUP(B5225,'old-aw-skill-plan'!A:I,7,FALSE)</f>
        <v>4</v>
      </c>
      <c r="H5225" s="1" t="str">
        <f>VLOOKUP(B5225,'old-aw-skill-plan'!A:I,9,FALSE)</f>
        <v>4-1</v>
      </c>
    </row>
    <row r="5226" ht="15.75" customHeight="1">
      <c r="A5226" s="1" t="s">
        <v>36</v>
      </c>
      <c r="B5226" s="1" t="s">
        <v>28</v>
      </c>
      <c r="C5226" s="1" t="s">
        <v>11</v>
      </c>
      <c r="D5226" s="5">
        <v>45244.0</v>
      </c>
      <c r="G5226" s="1">
        <f>VLOOKUP(B5226,'old-aw-skill-plan'!A:I,7,FALSE)</f>
        <v>3</v>
      </c>
      <c r="H5226" s="1" t="str">
        <f>VLOOKUP(B5226,'old-aw-skill-plan'!A:I,9,FALSE)</f>
        <v>3-4</v>
      </c>
    </row>
    <row r="5227" ht="15.75" customHeight="1">
      <c r="A5227" s="1" t="s">
        <v>36</v>
      </c>
      <c r="B5227" s="1" t="s">
        <v>307</v>
      </c>
      <c r="C5227" s="1" t="s">
        <v>11</v>
      </c>
      <c r="D5227" s="5">
        <v>45244.0</v>
      </c>
      <c r="G5227" s="1">
        <f>VLOOKUP(B5227,'old-aw-skill-plan'!A:I,7,FALSE)</f>
        <v>3</v>
      </c>
      <c r="H5227" s="1" t="str">
        <f>VLOOKUP(B5227,'old-aw-skill-plan'!A:I,9,FALSE)</f>
        <v>3-1</v>
      </c>
    </row>
    <row r="5228" ht="15.75" customHeight="1">
      <c r="A5228" s="1" t="s">
        <v>39</v>
      </c>
      <c r="B5228" s="1" t="s">
        <v>34</v>
      </c>
      <c r="C5228" s="1" t="s">
        <v>11</v>
      </c>
      <c r="D5228" s="5">
        <v>45244.0</v>
      </c>
      <c r="G5228" s="1">
        <f>VLOOKUP(B5228,'old-aw-skill-plan'!A:I,7,FALSE)</f>
        <v>4</v>
      </c>
      <c r="H5228" s="1" t="str">
        <f>VLOOKUP(B5228,'old-aw-skill-plan'!A:I,9,FALSE)</f>
        <v>4-1</v>
      </c>
    </row>
    <row r="5229" ht="15.75" customHeight="1">
      <c r="A5229" s="1" t="s">
        <v>469</v>
      </c>
      <c r="B5229" s="1" t="s">
        <v>34</v>
      </c>
      <c r="C5229" s="1" t="s">
        <v>11</v>
      </c>
      <c r="D5229" s="5">
        <v>45244.0</v>
      </c>
      <c r="G5229" s="1">
        <f>VLOOKUP(B5229,'old-aw-skill-plan'!A:I,7,FALSE)</f>
        <v>4</v>
      </c>
      <c r="H5229" s="1" t="str">
        <f>VLOOKUP(B5229,'old-aw-skill-plan'!A:I,9,FALSE)</f>
        <v>4-1</v>
      </c>
    </row>
    <row r="5230" ht="15.75" customHeight="1">
      <c r="A5230" s="1" t="s">
        <v>419</v>
      </c>
      <c r="B5230" s="1" t="s">
        <v>28</v>
      </c>
      <c r="C5230" s="1" t="s">
        <v>11</v>
      </c>
      <c r="D5230" s="5">
        <v>45244.0</v>
      </c>
      <c r="G5230" s="1">
        <f>VLOOKUP(B5230,'old-aw-skill-plan'!A:I,7,FALSE)</f>
        <v>3</v>
      </c>
      <c r="H5230" s="1" t="str">
        <f>VLOOKUP(B5230,'old-aw-skill-plan'!A:I,9,FALSE)</f>
        <v>3-4</v>
      </c>
    </row>
    <row r="5231" ht="15.75" customHeight="1">
      <c r="A5231" s="1" t="s">
        <v>419</v>
      </c>
      <c r="B5231" s="1" t="s">
        <v>450</v>
      </c>
      <c r="C5231" s="1" t="s">
        <v>11</v>
      </c>
      <c r="D5231" s="5">
        <v>45244.0</v>
      </c>
      <c r="G5231" s="1">
        <f>VLOOKUP(B5231,'old-aw-skill-plan'!A:I,7,FALSE)</f>
        <v>3</v>
      </c>
      <c r="H5231" s="1" t="str">
        <f>VLOOKUP(B5231,'old-aw-skill-plan'!A:I,9,FALSE)</f>
        <v>3-4</v>
      </c>
    </row>
    <row r="5232" ht="15.75" customHeight="1">
      <c r="A5232" s="1" t="s">
        <v>454</v>
      </c>
      <c r="B5232" s="1" t="s">
        <v>28</v>
      </c>
      <c r="C5232" s="1" t="s">
        <v>11</v>
      </c>
      <c r="D5232" s="5">
        <v>45244.0</v>
      </c>
      <c r="G5232" s="1">
        <f>VLOOKUP(B5232,'old-aw-skill-plan'!A:I,7,FALSE)</f>
        <v>3</v>
      </c>
      <c r="H5232" s="1" t="str">
        <f>VLOOKUP(B5232,'old-aw-skill-plan'!A:I,9,FALSE)</f>
        <v>3-4</v>
      </c>
    </row>
    <row r="5233" ht="15.75" customHeight="1">
      <c r="A5233" s="1" t="s">
        <v>473</v>
      </c>
      <c r="B5233" s="1" t="s">
        <v>10</v>
      </c>
      <c r="C5233" s="1" t="s">
        <v>11</v>
      </c>
      <c r="D5233" s="5">
        <v>45244.0</v>
      </c>
      <c r="G5233" s="1">
        <f>VLOOKUP(B5233,'old-aw-skill-plan'!A:I,7,FALSE)</f>
        <v>3</v>
      </c>
      <c r="H5233" s="1" t="str">
        <f>VLOOKUP(B5233,'old-aw-skill-plan'!A:I,9,FALSE)</f>
        <v>3-1</v>
      </c>
    </row>
    <row r="5234" ht="15.75" customHeight="1">
      <c r="A5234" s="1" t="s">
        <v>56</v>
      </c>
      <c r="B5234" s="1" t="s">
        <v>47</v>
      </c>
      <c r="C5234" s="1" t="s">
        <v>11</v>
      </c>
      <c r="D5234" s="5">
        <v>45244.0</v>
      </c>
      <c r="G5234" s="1">
        <f>VLOOKUP(B5234,'old-aw-skill-plan'!A:I,7,FALSE)</f>
        <v>3</v>
      </c>
      <c r="H5234" s="1" t="str">
        <f>VLOOKUP(B5234,'old-aw-skill-plan'!A:I,9,FALSE)</f>
        <v>3-2</v>
      </c>
    </row>
    <row r="5235" ht="15.75" customHeight="1">
      <c r="A5235" s="1" t="s">
        <v>81</v>
      </c>
      <c r="B5235" s="1" t="s">
        <v>34</v>
      </c>
      <c r="C5235" s="1" t="s">
        <v>11</v>
      </c>
      <c r="D5235" s="5">
        <v>45244.0</v>
      </c>
      <c r="G5235" s="1">
        <f>VLOOKUP(B5235,'old-aw-skill-plan'!A:I,7,FALSE)</f>
        <v>4</v>
      </c>
      <c r="H5235" s="1" t="str">
        <f>VLOOKUP(B5235,'old-aw-skill-plan'!A:I,9,FALSE)</f>
        <v>4-1</v>
      </c>
    </row>
    <row r="5236" ht="15.75" customHeight="1">
      <c r="A5236" s="1" t="s">
        <v>429</v>
      </c>
      <c r="B5236" s="1" t="s">
        <v>34</v>
      </c>
      <c r="C5236" s="1" t="s">
        <v>11</v>
      </c>
      <c r="D5236" s="5">
        <v>45244.0</v>
      </c>
      <c r="G5236" s="1">
        <f>VLOOKUP(B5236,'old-aw-skill-plan'!A:I,7,FALSE)</f>
        <v>4</v>
      </c>
      <c r="H5236" s="1" t="str">
        <f>VLOOKUP(B5236,'old-aw-skill-plan'!A:I,9,FALSE)</f>
        <v>4-1</v>
      </c>
    </row>
    <row r="5237" ht="15.75" customHeight="1">
      <c r="A5237" s="1" t="s">
        <v>421</v>
      </c>
      <c r="B5237" s="1" t="s">
        <v>28</v>
      </c>
      <c r="C5237" s="1" t="s">
        <v>11</v>
      </c>
      <c r="D5237" s="5">
        <v>45244.0</v>
      </c>
      <c r="G5237" s="1">
        <f>VLOOKUP(B5237,'old-aw-skill-plan'!A:I,7,FALSE)</f>
        <v>3</v>
      </c>
      <c r="H5237" s="1" t="str">
        <f>VLOOKUP(B5237,'old-aw-skill-plan'!A:I,9,FALSE)</f>
        <v>3-4</v>
      </c>
    </row>
    <row r="5238" ht="15.75" customHeight="1">
      <c r="A5238" s="1" t="s">
        <v>230</v>
      </c>
      <c r="B5238" s="1" t="s">
        <v>453</v>
      </c>
      <c r="C5238" s="1" t="s">
        <v>11</v>
      </c>
      <c r="D5238" s="5">
        <v>45244.0</v>
      </c>
      <c r="G5238" s="1">
        <f>VLOOKUP(B5238,'old-aw-skill-plan'!A:I,7,FALSE)</f>
        <v>3</v>
      </c>
      <c r="H5238" s="1" t="str">
        <f>VLOOKUP(B5238,'old-aw-skill-plan'!A:I,9,FALSE)</f>
        <v>3-4</v>
      </c>
    </row>
    <row r="5239" ht="15.75" customHeight="1">
      <c r="A5239" s="1" t="s">
        <v>428</v>
      </c>
      <c r="B5239" s="1" t="s">
        <v>37</v>
      </c>
      <c r="C5239" s="1" t="s">
        <v>11</v>
      </c>
      <c r="D5239" s="5">
        <v>45244.0</v>
      </c>
      <c r="G5239" s="1">
        <f>VLOOKUP(B5239,'old-aw-skill-plan'!A:I,7,FALSE)</f>
        <v>4</v>
      </c>
      <c r="H5239" s="1" t="str">
        <f>VLOOKUP(B5239,'old-aw-skill-plan'!A:I,9,FALSE)</f>
        <v>4-2</v>
      </c>
    </row>
    <row r="5240" ht="15.75" customHeight="1">
      <c r="A5240" s="1" t="s">
        <v>420</v>
      </c>
      <c r="B5240" s="1" t="s">
        <v>28</v>
      </c>
      <c r="C5240" s="1" t="s">
        <v>11</v>
      </c>
      <c r="D5240" s="5">
        <v>45244.0</v>
      </c>
      <c r="G5240" s="1">
        <f>VLOOKUP(B5240,'old-aw-skill-plan'!A:I,7,FALSE)</f>
        <v>3</v>
      </c>
      <c r="H5240" s="1" t="str">
        <f>VLOOKUP(B5240,'old-aw-skill-plan'!A:I,9,FALSE)</f>
        <v>3-4</v>
      </c>
    </row>
    <row r="5241" ht="15.75" customHeight="1">
      <c r="A5241" s="1" t="s">
        <v>420</v>
      </c>
      <c r="B5241" s="1" t="s">
        <v>30</v>
      </c>
      <c r="C5241" s="1" t="s">
        <v>11</v>
      </c>
      <c r="D5241" s="5">
        <v>45244.0</v>
      </c>
      <c r="G5241" s="1">
        <f>VLOOKUP(B5241,'old-aw-skill-plan'!A:I,7,FALSE)</f>
        <v>3</v>
      </c>
      <c r="H5241" s="1" t="str">
        <f>VLOOKUP(B5241,'old-aw-skill-plan'!A:I,9,FALSE)</f>
        <v>3-3</v>
      </c>
    </row>
    <row r="5242" ht="15.75" customHeight="1">
      <c r="A5242" s="1" t="s">
        <v>420</v>
      </c>
      <c r="B5242" s="1" t="s">
        <v>356</v>
      </c>
      <c r="C5242" s="1" t="s">
        <v>11</v>
      </c>
      <c r="D5242" s="5">
        <v>45244.0</v>
      </c>
      <c r="G5242" s="1">
        <f>VLOOKUP(B5242,'old-aw-skill-plan'!A:I,7,FALSE)</f>
        <v>3</v>
      </c>
      <c r="H5242" s="1" t="str">
        <f>VLOOKUP(B5242,'old-aw-skill-plan'!A:I,9,FALSE)</f>
        <v>3-2</v>
      </c>
    </row>
    <row r="5243" ht="15.75" customHeight="1">
      <c r="A5243" s="1" t="s">
        <v>471</v>
      </c>
      <c r="B5243" s="1" t="s">
        <v>30</v>
      </c>
      <c r="C5243" s="1" t="s">
        <v>11</v>
      </c>
      <c r="D5243" s="5">
        <v>45244.0</v>
      </c>
      <c r="G5243" s="1">
        <f>VLOOKUP(B5243,'old-aw-skill-plan'!A:I,7,FALSE)</f>
        <v>3</v>
      </c>
      <c r="H5243" s="1" t="str">
        <f>VLOOKUP(B5243,'old-aw-skill-plan'!A:I,9,FALSE)</f>
        <v>3-3</v>
      </c>
    </row>
    <row r="5244" ht="15.75" customHeight="1">
      <c r="A5244" s="1" t="s">
        <v>203</v>
      </c>
      <c r="B5244" s="1" t="s">
        <v>104</v>
      </c>
      <c r="C5244" s="1" t="s">
        <v>11</v>
      </c>
      <c r="D5244" s="5">
        <v>45244.0</v>
      </c>
      <c r="G5244" s="1">
        <f>VLOOKUP(B5244,'old-aw-skill-plan'!A:I,7,FALSE)</f>
        <v>5</v>
      </c>
      <c r="H5244" s="1" t="str">
        <f>VLOOKUP(B5244,'old-aw-skill-plan'!A:I,9,FALSE)</f>
        <v>5-2</v>
      </c>
    </row>
    <row r="5245" ht="15.75" customHeight="1">
      <c r="A5245" s="1" t="s">
        <v>461</v>
      </c>
      <c r="B5245" s="1" t="s">
        <v>44</v>
      </c>
      <c r="C5245" s="1" t="s">
        <v>11</v>
      </c>
      <c r="D5245" s="5">
        <v>45244.0</v>
      </c>
      <c r="G5245" s="1">
        <f>VLOOKUP(B5245,'old-aw-skill-plan'!A:I,7,FALSE)</f>
        <v>5</v>
      </c>
      <c r="H5245" s="1" t="str">
        <f>VLOOKUP(B5245,'old-aw-skill-plan'!A:I,9,FALSE)</f>
        <v>5-1</v>
      </c>
    </row>
    <row r="5246" ht="15.75" customHeight="1">
      <c r="A5246" s="1" t="s">
        <v>95</v>
      </c>
      <c r="B5246" s="1" t="s">
        <v>47</v>
      </c>
      <c r="C5246" s="1" t="s">
        <v>11</v>
      </c>
      <c r="D5246" s="5">
        <v>45244.0</v>
      </c>
      <c r="G5246" s="1">
        <f>VLOOKUP(B5246,'old-aw-skill-plan'!A:I,7,FALSE)</f>
        <v>3</v>
      </c>
      <c r="H5246" s="1" t="str">
        <f>VLOOKUP(B5246,'old-aw-skill-plan'!A:I,9,FALSE)</f>
        <v>3-2</v>
      </c>
    </row>
    <row r="5247" ht="15.75" customHeight="1">
      <c r="A5247" s="1" t="s">
        <v>214</v>
      </c>
      <c r="B5247" s="1" t="s">
        <v>30</v>
      </c>
      <c r="C5247" s="1" t="s">
        <v>11</v>
      </c>
      <c r="D5247" s="5">
        <v>45244.0</v>
      </c>
      <c r="G5247" s="1">
        <f>VLOOKUP(B5247,'old-aw-skill-plan'!A:I,7,FALSE)</f>
        <v>3</v>
      </c>
      <c r="H5247" s="1" t="str">
        <f>VLOOKUP(B5247,'old-aw-skill-plan'!A:I,9,FALSE)</f>
        <v>3-3</v>
      </c>
    </row>
    <row r="5248" ht="15.75" customHeight="1">
      <c r="A5248" s="1" t="s">
        <v>197</v>
      </c>
      <c r="B5248" s="1" t="s">
        <v>34</v>
      </c>
      <c r="C5248" s="1" t="s">
        <v>11</v>
      </c>
      <c r="D5248" s="5">
        <v>45244.0</v>
      </c>
      <c r="G5248" s="1">
        <f>VLOOKUP(B5248,'old-aw-skill-plan'!A:I,7,FALSE)</f>
        <v>4</v>
      </c>
      <c r="H5248" s="1" t="str">
        <f>VLOOKUP(B5248,'old-aw-skill-plan'!A:I,9,FALSE)</f>
        <v>4-1</v>
      </c>
    </row>
    <row r="5249" ht="15.75" customHeight="1">
      <c r="A5249" s="1" t="s">
        <v>373</v>
      </c>
      <c r="B5249" s="1" t="s">
        <v>10</v>
      </c>
      <c r="C5249" s="1" t="s">
        <v>11</v>
      </c>
      <c r="D5249" s="5">
        <v>45244.0</v>
      </c>
      <c r="G5249" s="1">
        <f>VLOOKUP(B5249,'old-aw-skill-plan'!A:I,7,FALSE)</f>
        <v>3</v>
      </c>
      <c r="H5249" s="1" t="str">
        <f>VLOOKUP(B5249,'old-aw-skill-plan'!A:I,9,FALSE)</f>
        <v>3-1</v>
      </c>
    </row>
    <row r="5250" ht="15.75" customHeight="1">
      <c r="A5250" s="1" t="s">
        <v>373</v>
      </c>
      <c r="B5250" s="1" t="s">
        <v>356</v>
      </c>
      <c r="C5250" s="1" t="s">
        <v>11</v>
      </c>
      <c r="D5250" s="5">
        <v>45244.0</v>
      </c>
      <c r="G5250" s="1">
        <f>VLOOKUP(B5250,'old-aw-skill-plan'!A:I,7,FALSE)</f>
        <v>3</v>
      </c>
      <c r="H5250" s="1" t="str">
        <f>VLOOKUP(B5250,'old-aw-skill-plan'!A:I,9,FALSE)</f>
        <v>3-2</v>
      </c>
    </row>
    <row r="5251" ht="15.75" customHeight="1">
      <c r="A5251" s="1" t="s">
        <v>479</v>
      </c>
      <c r="B5251" s="1" t="s">
        <v>44</v>
      </c>
      <c r="C5251" s="1" t="s">
        <v>11</v>
      </c>
      <c r="D5251" s="5">
        <v>45244.0</v>
      </c>
      <c r="G5251" s="1">
        <f>VLOOKUP(B5251,'old-aw-skill-plan'!A:I,7,FALSE)</f>
        <v>5</v>
      </c>
      <c r="H5251" s="1" t="str">
        <f>VLOOKUP(B5251,'old-aw-skill-plan'!A:I,9,FALSE)</f>
        <v>5-1</v>
      </c>
    </row>
    <row r="5252" ht="15.75" customHeight="1">
      <c r="A5252" s="1" t="s">
        <v>479</v>
      </c>
      <c r="B5252" s="1" t="s">
        <v>325</v>
      </c>
      <c r="C5252" s="1" t="s">
        <v>11</v>
      </c>
      <c r="D5252" s="5">
        <v>45244.0</v>
      </c>
      <c r="G5252" s="1" t="str">
        <f>VLOOKUP(B5252,'old-aw-skill-plan'!A:I,7,FALSE)</f>
        <v>#N/A</v>
      </c>
      <c r="H5252" s="1" t="str">
        <f>VLOOKUP(B5252,'old-aw-skill-plan'!A:I,9,FALSE)</f>
        <v>#N/A</v>
      </c>
    </row>
    <row r="5253" ht="15.75" customHeight="1">
      <c r="A5253" s="1" t="s">
        <v>265</v>
      </c>
      <c r="B5253" s="1" t="s">
        <v>44</v>
      </c>
      <c r="C5253" s="1" t="s">
        <v>11</v>
      </c>
      <c r="D5253" s="5">
        <v>45244.0</v>
      </c>
      <c r="G5253" s="1">
        <f>VLOOKUP(B5253,'old-aw-skill-plan'!A:I,7,FALSE)</f>
        <v>5</v>
      </c>
      <c r="H5253" s="1" t="str">
        <f>VLOOKUP(B5253,'old-aw-skill-plan'!A:I,9,FALSE)</f>
        <v>5-1</v>
      </c>
    </row>
    <row r="5254" ht="15.75" customHeight="1">
      <c r="A5254" s="1" t="s">
        <v>90</v>
      </c>
      <c r="B5254" s="1" t="s">
        <v>10</v>
      </c>
      <c r="C5254" s="1" t="s">
        <v>11</v>
      </c>
      <c r="D5254" s="5">
        <v>45244.0</v>
      </c>
      <c r="G5254" s="1">
        <f>VLOOKUP(B5254,'old-aw-skill-plan'!A:I,7,FALSE)</f>
        <v>3</v>
      </c>
      <c r="H5254" s="1" t="str">
        <f>VLOOKUP(B5254,'old-aw-skill-plan'!A:I,9,FALSE)</f>
        <v>3-1</v>
      </c>
    </row>
    <row r="5255" ht="15.75" customHeight="1">
      <c r="A5255" s="1" t="s">
        <v>102</v>
      </c>
      <c r="B5255" s="1" t="s">
        <v>28</v>
      </c>
      <c r="C5255" s="1" t="s">
        <v>11</v>
      </c>
      <c r="D5255" s="5">
        <v>45244.0</v>
      </c>
      <c r="G5255" s="1">
        <f>VLOOKUP(B5255,'old-aw-skill-plan'!A:I,7,FALSE)</f>
        <v>3</v>
      </c>
      <c r="H5255" s="1" t="str">
        <f>VLOOKUP(B5255,'old-aw-skill-plan'!A:I,9,FALSE)</f>
        <v>3-4</v>
      </c>
    </row>
    <row r="5256" ht="15.75" customHeight="1">
      <c r="A5256" s="1" t="s">
        <v>102</v>
      </c>
      <c r="B5256" s="1" t="s">
        <v>453</v>
      </c>
      <c r="C5256" s="1" t="s">
        <v>11</v>
      </c>
      <c r="D5256" s="5">
        <v>45244.0</v>
      </c>
      <c r="G5256" s="1">
        <f>VLOOKUP(B5256,'old-aw-skill-plan'!A:I,7,FALSE)</f>
        <v>3</v>
      </c>
      <c r="H5256" s="1" t="str">
        <f>VLOOKUP(B5256,'old-aw-skill-plan'!A:I,9,FALSE)</f>
        <v>3-4</v>
      </c>
    </row>
    <row r="5257" ht="15.75" customHeight="1">
      <c r="A5257" s="1" t="s">
        <v>102</v>
      </c>
      <c r="B5257" s="1" t="s">
        <v>34</v>
      </c>
      <c r="C5257" s="1" t="s">
        <v>11</v>
      </c>
      <c r="D5257" s="5">
        <v>45244.0</v>
      </c>
      <c r="G5257" s="1">
        <f>VLOOKUP(B5257,'old-aw-skill-plan'!A:I,7,FALSE)</f>
        <v>4</v>
      </c>
      <c r="H5257" s="1" t="str">
        <f>VLOOKUP(B5257,'old-aw-skill-plan'!A:I,9,FALSE)</f>
        <v>4-1</v>
      </c>
    </row>
    <row r="5258" ht="15.75" customHeight="1">
      <c r="A5258" s="1" t="s">
        <v>463</v>
      </c>
      <c r="B5258" s="1" t="s">
        <v>44</v>
      </c>
      <c r="C5258" s="1" t="s">
        <v>11</v>
      </c>
      <c r="D5258" s="5">
        <v>45244.0</v>
      </c>
      <c r="G5258" s="1">
        <f>VLOOKUP(B5258,'old-aw-skill-plan'!A:I,7,FALSE)</f>
        <v>5</v>
      </c>
      <c r="H5258" s="1" t="str">
        <f>VLOOKUP(B5258,'old-aw-skill-plan'!A:I,9,FALSE)</f>
        <v>5-1</v>
      </c>
    </row>
    <row r="5259" ht="15.75" customHeight="1">
      <c r="A5259" s="1" t="s">
        <v>93</v>
      </c>
      <c r="B5259" s="1" t="s">
        <v>28</v>
      </c>
      <c r="C5259" s="1" t="s">
        <v>11</v>
      </c>
      <c r="D5259" s="5">
        <v>45244.0</v>
      </c>
      <c r="G5259" s="1">
        <f>VLOOKUP(B5259,'old-aw-skill-plan'!A:I,7,FALSE)</f>
        <v>3</v>
      </c>
      <c r="H5259" s="1" t="str">
        <f>VLOOKUP(B5259,'old-aw-skill-plan'!A:I,9,FALSE)</f>
        <v>3-4</v>
      </c>
    </row>
    <row r="5260" ht="15.75" customHeight="1">
      <c r="A5260" s="1" t="s">
        <v>94</v>
      </c>
      <c r="B5260" s="1" t="s">
        <v>28</v>
      </c>
      <c r="C5260" s="1" t="s">
        <v>11</v>
      </c>
      <c r="D5260" s="5">
        <v>45244.0</v>
      </c>
      <c r="G5260" s="1">
        <f>VLOOKUP(B5260,'old-aw-skill-plan'!A:I,7,FALSE)</f>
        <v>3</v>
      </c>
      <c r="H5260" s="1" t="str">
        <f>VLOOKUP(B5260,'old-aw-skill-plan'!A:I,9,FALSE)</f>
        <v>3-4</v>
      </c>
    </row>
    <row r="5261" ht="15.75" customHeight="1">
      <c r="A5261" s="1" t="s">
        <v>225</v>
      </c>
      <c r="B5261" s="1" t="s">
        <v>37</v>
      </c>
      <c r="C5261" s="1" t="s">
        <v>11</v>
      </c>
      <c r="D5261" s="5">
        <v>45244.0</v>
      </c>
      <c r="G5261" s="1">
        <f>VLOOKUP(B5261,'old-aw-skill-plan'!A:I,7,FALSE)</f>
        <v>4</v>
      </c>
      <c r="H5261" s="1" t="str">
        <f>VLOOKUP(B5261,'old-aw-skill-plan'!A:I,9,FALSE)</f>
        <v>4-2</v>
      </c>
    </row>
    <row r="5262" ht="15.75" customHeight="1">
      <c r="A5262" s="1" t="s">
        <v>427</v>
      </c>
      <c r="B5262" s="1" t="s">
        <v>10</v>
      </c>
      <c r="C5262" s="1" t="s">
        <v>11</v>
      </c>
      <c r="D5262" s="5">
        <v>45244.0</v>
      </c>
      <c r="G5262" s="1">
        <f>VLOOKUP(B5262,'old-aw-skill-plan'!A:I,7,FALSE)</f>
        <v>3</v>
      </c>
      <c r="H5262" s="1" t="str">
        <f>VLOOKUP(B5262,'old-aw-skill-plan'!A:I,9,FALSE)</f>
        <v>3-1</v>
      </c>
    </row>
    <row r="5263" ht="15.75" customHeight="1">
      <c r="A5263" s="1" t="s">
        <v>427</v>
      </c>
      <c r="B5263" s="1" t="s">
        <v>356</v>
      </c>
      <c r="C5263" s="1" t="s">
        <v>11</v>
      </c>
      <c r="D5263" s="5">
        <v>45244.0</v>
      </c>
      <c r="G5263" s="1">
        <f>VLOOKUP(B5263,'old-aw-skill-plan'!A:I,7,FALSE)</f>
        <v>3</v>
      </c>
      <c r="H5263" s="1" t="str">
        <f>VLOOKUP(B5263,'old-aw-skill-plan'!A:I,9,FALSE)</f>
        <v>3-2</v>
      </c>
    </row>
    <row r="5264" ht="15.75" customHeight="1">
      <c r="A5264" s="1" t="s">
        <v>436</v>
      </c>
      <c r="B5264" s="1" t="s">
        <v>28</v>
      </c>
      <c r="C5264" s="1" t="s">
        <v>11</v>
      </c>
      <c r="D5264" s="5">
        <v>45244.0</v>
      </c>
      <c r="G5264" s="1">
        <f>VLOOKUP(B5264,'old-aw-skill-plan'!A:I,7,FALSE)</f>
        <v>3</v>
      </c>
      <c r="H5264" s="1" t="str">
        <f>VLOOKUP(B5264,'old-aw-skill-plan'!A:I,9,FALSE)</f>
        <v>3-4</v>
      </c>
    </row>
    <row r="5265" ht="15.75" customHeight="1">
      <c r="A5265" s="1" t="s">
        <v>436</v>
      </c>
      <c r="B5265" s="1" t="s">
        <v>307</v>
      </c>
      <c r="C5265" s="1" t="s">
        <v>11</v>
      </c>
      <c r="D5265" s="5">
        <v>45244.0</v>
      </c>
      <c r="G5265" s="1">
        <f>VLOOKUP(B5265,'old-aw-skill-plan'!A:I,7,FALSE)</f>
        <v>3</v>
      </c>
      <c r="H5265" s="1" t="str">
        <f>VLOOKUP(B5265,'old-aw-skill-plan'!A:I,9,FALSE)</f>
        <v>3-1</v>
      </c>
    </row>
    <row r="5266" ht="15.75" customHeight="1">
      <c r="A5266" s="1" t="s">
        <v>110</v>
      </c>
      <c r="B5266" s="1" t="s">
        <v>47</v>
      </c>
      <c r="C5266" s="1" t="s">
        <v>11</v>
      </c>
      <c r="D5266" s="5">
        <v>45244.0</v>
      </c>
      <c r="G5266" s="1">
        <f>VLOOKUP(B5266,'old-aw-skill-plan'!A:I,7,FALSE)</f>
        <v>3</v>
      </c>
      <c r="H5266" s="1" t="str">
        <f>VLOOKUP(B5266,'old-aw-skill-plan'!A:I,9,FALSE)</f>
        <v>3-2</v>
      </c>
    </row>
    <row r="5267" ht="15.75" customHeight="1">
      <c r="A5267" s="1" t="s">
        <v>464</v>
      </c>
      <c r="B5267" s="1" t="s">
        <v>44</v>
      </c>
      <c r="C5267" s="1" t="s">
        <v>11</v>
      </c>
      <c r="D5267" s="5">
        <v>45243.0</v>
      </c>
      <c r="G5267" s="1">
        <f>VLOOKUP(B5267,'old-aw-skill-plan'!A:I,7,FALSE)</f>
        <v>5</v>
      </c>
      <c r="H5267" s="1" t="str">
        <f>VLOOKUP(B5267,'old-aw-skill-plan'!A:I,9,FALSE)</f>
        <v>5-1</v>
      </c>
    </row>
    <row r="5268" ht="15.75" customHeight="1">
      <c r="A5268" s="1" t="s">
        <v>474</v>
      </c>
      <c r="B5268" s="1" t="s">
        <v>10</v>
      </c>
      <c r="C5268" s="1" t="s">
        <v>11</v>
      </c>
      <c r="D5268" s="5">
        <v>45243.0</v>
      </c>
      <c r="G5268" s="1">
        <f>VLOOKUP(B5268,'old-aw-skill-plan'!A:I,7,FALSE)</f>
        <v>3</v>
      </c>
      <c r="H5268" s="1" t="str">
        <f>VLOOKUP(B5268,'old-aw-skill-plan'!A:I,9,FALSE)</f>
        <v>3-1</v>
      </c>
    </row>
    <row r="5269" ht="15.75" customHeight="1">
      <c r="A5269" s="1" t="s">
        <v>273</v>
      </c>
      <c r="B5269" s="1" t="s">
        <v>307</v>
      </c>
      <c r="C5269" s="1" t="s">
        <v>11</v>
      </c>
      <c r="D5269" s="5">
        <v>45243.0</v>
      </c>
      <c r="G5269" s="1">
        <f>VLOOKUP(B5269,'old-aw-skill-plan'!A:I,7,FALSE)</f>
        <v>3</v>
      </c>
      <c r="H5269" s="1" t="str">
        <f>VLOOKUP(B5269,'old-aw-skill-plan'!A:I,9,FALSE)</f>
        <v>3-1</v>
      </c>
    </row>
    <row r="5270" ht="15.75" customHeight="1">
      <c r="A5270" s="1" t="s">
        <v>460</v>
      </c>
      <c r="B5270" s="1" t="s">
        <v>44</v>
      </c>
      <c r="C5270" s="1" t="s">
        <v>11</v>
      </c>
      <c r="D5270" s="5">
        <v>45243.0</v>
      </c>
      <c r="G5270" s="1">
        <f>VLOOKUP(B5270,'old-aw-skill-plan'!A:I,7,FALSE)</f>
        <v>5</v>
      </c>
      <c r="H5270" s="1" t="str">
        <f>VLOOKUP(B5270,'old-aw-skill-plan'!A:I,9,FALSE)</f>
        <v>5-1</v>
      </c>
    </row>
    <row r="5271" ht="15.75" customHeight="1">
      <c r="A5271" s="1" t="s">
        <v>220</v>
      </c>
      <c r="B5271" s="1" t="s">
        <v>425</v>
      </c>
      <c r="C5271" s="1" t="s">
        <v>11</v>
      </c>
      <c r="D5271" s="5">
        <v>45243.0</v>
      </c>
      <c r="G5271" s="1">
        <f>VLOOKUP(B5271,'old-aw-skill-plan'!A:I,7,FALSE)</f>
        <v>3</v>
      </c>
      <c r="H5271" s="1" t="str">
        <f>VLOOKUP(B5271,'old-aw-skill-plan'!A:I,9,FALSE)</f>
        <v>3-1</v>
      </c>
    </row>
    <row r="5272" ht="15.75" customHeight="1">
      <c r="A5272" s="1" t="s">
        <v>267</v>
      </c>
      <c r="B5272" s="1" t="s">
        <v>44</v>
      </c>
      <c r="C5272" s="1" t="s">
        <v>11</v>
      </c>
      <c r="D5272" s="5">
        <v>45243.0</v>
      </c>
      <c r="G5272" s="1">
        <f>VLOOKUP(B5272,'old-aw-skill-plan'!A:I,7,FALSE)</f>
        <v>5</v>
      </c>
      <c r="H5272" s="1" t="str">
        <f>VLOOKUP(B5272,'old-aw-skill-plan'!A:I,9,FALSE)</f>
        <v>5-1</v>
      </c>
    </row>
    <row r="5273" ht="15.75" customHeight="1">
      <c r="A5273" s="1" t="s">
        <v>419</v>
      </c>
      <c r="B5273" s="1" t="s">
        <v>34</v>
      </c>
      <c r="C5273" s="1" t="s">
        <v>11</v>
      </c>
      <c r="D5273" s="5">
        <v>45243.0</v>
      </c>
      <c r="G5273" s="1">
        <f>VLOOKUP(B5273,'old-aw-skill-plan'!A:I,7,FALSE)</f>
        <v>4</v>
      </c>
      <c r="H5273" s="1" t="str">
        <f>VLOOKUP(B5273,'old-aw-skill-plan'!A:I,9,FALSE)</f>
        <v>4-1</v>
      </c>
    </row>
    <row r="5274" ht="15.75" customHeight="1">
      <c r="A5274" s="1" t="s">
        <v>473</v>
      </c>
      <c r="B5274" s="1" t="s">
        <v>10</v>
      </c>
      <c r="C5274" s="1" t="s">
        <v>11</v>
      </c>
      <c r="D5274" s="5">
        <v>45243.0</v>
      </c>
      <c r="G5274" s="1">
        <f>VLOOKUP(B5274,'old-aw-skill-plan'!A:I,7,FALSE)</f>
        <v>3</v>
      </c>
      <c r="H5274" s="1" t="str">
        <f>VLOOKUP(B5274,'old-aw-skill-plan'!A:I,9,FALSE)</f>
        <v>3-1</v>
      </c>
    </row>
    <row r="5275" ht="15.75" customHeight="1">
      <c r="A5275" s="1" t="s">
        <v>421</v>
      </c>
      <c r="B5275" s="1" t="s">
        <v>356</v>
      </c>
      <c r="C5275" s="1" t="s">
        <v>11</v>
      </c>
      <c r="D5275" s="5">
        <v>45243.0</v>
      </c>
      <c r="G5275" s="1">
        <f>VLOOKUP(B5275,'old-aw-skill-plan'!A:I,7,FALSE)</f>
        <v>3</v>
      </c>
      <c r="H5275" s="1" t="str">
        <f>VLOOKUP(B5275,'old-aw-skill-plan'!A:I,9,FALSE)</f>
        <v>3-2</v>
      </c>
    </row>
    <row r="5276" ht="15.75" customHeight="1">
      <c r="A5276" s="1" t="s">
        <v>230</v>
      </c>
      <c r="B5276" s="1" t="s">
        <v>307</v>
      </c>
      <c r="C5276" s="1" t="s">
        <v>11</v>
      </c>
      <c r="D5276" s="5">
        <v>45243.0</v>
      </c>
      <c r="G5276" s="1">
        <f>VLOOKUP(B5276,'old-aw-skill-plan'!A:I,7,FALSE)</f>
        <v>3</v>
      </c>
      <c r="H5276" s="1" t="str">
        <f>VLOOKUP(B5276,'old-aw-skill-plan'!A:I,9,FALSE)</f>
        <v>3-1</v>
      </c>
    </row>
    <row r="5277" ht="15.75" customHeight="1">
      <c r="A5277" s="1" t="s">
        <v>420</v>
      </c>
      <c r="B5277" s="1" t="s">
        <v>47</v>
      </c>
      <c r="C5277" s="1" t="s">
        <v>11</v>
      </c>
      <c r="D5277" s="5">
        <v>45243.0</v>
      </c>
      <c r="G5277" s="1">
        <f>VLOOKUP(B5277,'old-aw-skill-plan'!A:I,7,FALSE)</f>
        <v>3</v>
      </c>
      <c r="H5277" s="1" t="str">
        <f>VLOOKUP(B5277,'old-aw-skill-plan'!A:I,9,FALSE)</f>
        <v>3-2</v>
      </c>
    </row>
    <row r="5278" ht="15.75" customHeight="1">
      <c r="A5278" s="1" t="s">
        <v>420</v>
      </c>
      <c r="B5278" s="1" t="s">
        <v>34</v>
      </c>
      <c r="C5278" s="1" t="s">
        <v>11</v>
      </c>
      <c r="D5278" s="5">
        <v>45243.0</v>
      </c>
      <c r="G5278" s="1">
        <f>VLOOKUP(B5278,'old-aw-skill-plan'!A:I,7,FALSE)</f>
        <v>4</v>
      </c>
      <c r="H5278" s="1" t="str">
        <f>VLOOKUP(B5278,'old-aw-skill-plan'!A:I,9,FALSE)</f>
        <v>4-1</v>
      </c>
    </row>
    <row r="5279" ht="15.75" customHeight="1">
      <c r="A5279" s="1" t="s">
        <v>203</v>
      </c>
      <c r="B5279" s="1" t="s">
        <v>104</v>
      </c>
      <c r="C5279" s="1" t="s">
        <v>11</v>
      </c>
      <c r="D5279" s="5">
        <v>45243.0</v>
      </c>
      <c r="G5279" s="1">
        <f>VLOOKUP(B5279,'old-aw-skill-plan'!A:I,7,FALSE)</f>
        <v>5</v>
      </c>
      <c r="H5279" s="1" t="str">
        <f>VLOOKUP(B5279,'old-aw-skill-plan'!A:I,9,FALSE)</f>
        <v>5-2</v>
      </c>
    </row>
    <row r="5280" ht="15.75" customHeight="1">
      <c r="A5280" s="1" t="s">
        <v>214</v>
      </c>
      <c r="B5280" s="1" t="s">
        <v>30</v>
      </c>
      <c r="C5280" s="1" t="s">
        <v>11</v>
      </c>
      <c r="D5280" s="5">
        <v>45243.0</v>
      </c>
      <c r="G5280" s="1">
        <f>VLOOKUP(B5280,'old-aw-skill-plan'!A:I,7,FALSE)</f>
        <v>3</v>
      </c>
      <c r="H5280" s="1" t="str">
        <f>VLOOKUP(B5280,'old-aw-skill-plan'!A:I,9,FALSE)</f>
        <v>3-3</v>
      </c>
    </row>
    <row r="5281" ht="15.75" customHeight="1">
      <c r="A5281" s="1" t="s">
        <v>462</v>
      </c>
      <c r="B5281" s="1" t="s">
        <v>44</v>
      </c>
      <c r="C5281" s="1" t="s">
        <v>11</v>
      </c>
      <c r="D5281" s="5">
        <v>45243.0</v>
      </c>
      <c r="G5281" s="1">
        <f>VLOOKUP(B5281,'old-aw-skill-plan'!A:I,7,FALSE)</f>
        <v>5</v>
      </c>
      <c r="H5281" s="1" t="str">
        <f>VLOOKUP(B5281,'old-aw-skill-plan'!A:I,9,FALSE)</f>
        <v>5-1</v>
      </c>
    </row>
    <row r="5282" ht="15.75" customHeight="1">
      <c r="A5282" s="1" t="s">
        <v>90</v>
      </c>
      <c r="B5282" s="1" t="s">
        <v>47</v>
      </c>
      <c r="C5282" s="1" t="s">
        <v>11</v>
      </c>
      <c r="D5282" s="5">
        <v>45243.0</v>
      </c>
      <c r="G5282" s="1">
        <f>VLOOKUP(B5282,'old-aw-skill-plan'!A:I,7,FALSE)</f>
        <v>3</v>
      </c>
      <c r="H5282" s="1" t="str">
        <f>VLOOKUP(B5282,'old-aw-skill-plan'!A:I,9,FALSE)</f>
        <v>3-2</v>
      </c>
    </row>
    <row r="5283" ht="15.75" customHeight="1">
      <c r="A5283" s="1" t="s">
        <v>102</v>
      </c>
      <c r="B5283" s="1" t="s">
        <v>377</v>
      </c>
      <c r="C5283" s="1" t="s">
        <v>11</v>
      </c>
      <c r="D5283" s="5">
        <v>45243.0</v>
      </c>
      <c r="G5283" s="1">
        <f>VLOOKUP(B5283,'old-aw-skill-plan'!A:I,7,FALSE)</f>
        <v>3</v>
      </c>
      <c r="H5283" s="1" t="str">
        <f>VLOOKUP(B5283,'old-aw-skill-plan'!A:I,9,FALSE)</f>
        <v>3-3</v>
      </c>
    </row>
    <row r="5284" ht="15.75" customHeight="1">
      <c r="A5284" s="1" t="s">
        <v>102</v>
      </c>
      <c r="B5284" s="1" t="s">
        <v>352</v>
      </c>
      <c r="C5284" s="1" t="s">
        <v>11</v>
      </c>
      <c r="D5284" s="5">
        <v>45243.0</v>
      </c>
      <c r="G5284" s="1">
        <f>VLOOKUP(B5284,'old-aw-skill-plan'!A:I,7,FALSE)</f>
        <v>3</v>
      </c>
      <c r="H5284" s="1" t="str">
        <f>VLOOKUP(B5284,'old-aw-skill-plan'!A:I,9,FALSE)</f>
        <v>3-2</v>
      </c>
    </row>
    <row r="5285" ht="15.75" customHeight="1">
      <c r="A5285" s="1" t="s">
        <v>102</v>
      </c>
      <c r="B5285" s="1" t="s">
        <v>34</v>
      </c>
      <c r="C5285" s="1" t="s">
        <v>11</v>
      </c>
      <c r="D5285" s="5">
        <v>45243.0</v>
      </c>
      <c r="G5285" s="1">
        <f>VLOOKUP(B5285,'old-aw-skill-plan'!A:I,7,FALSE)</f>
        <v>4</v>
      </c>
      <c r="H5285" s="1" t="str">
        <f>VLOOKUP(B5285,'old-aw-skill-plan'!A:I,9,FALSE)</f>
        <v>4-1</v>
      </c>
    </row>
    <row r="5286" ht="15.75" customHeight="1">
      <c r="A5286" s="1" t="s">
        <v>463</v>
      </c>
      <c r="B5286" s="1" t="s">
        <v>44</v>
      </c>
      <c r="C5286" s="1" t="s">
        <v>11</v>
      </c>
      <c r="D5286" s="5">
        <v>45243.0</v>
      </c>
      <c r="G5286" s="1">
        <f>VLOOKUP(B5286,'old-aw-skill-plan'!A:I,7,FALSE)</f>
        <v>5</v>
      </c>
      <c r="H5286" s="1" t="str">
        <f>VLOOKUP(B5286,'old-aw-skill-plan'!A:I,9,FALSE)</f>
        <v>5-1</v>
      </c>
    </row>
    <row r="5287" ht="15.75" customHeight="1">
      <c r="A5287" s="1" t="s">
        <v>463</v>
      </c>
      <c r="B5287" s="1" t="s">
        <v>104</v>
      </c>
      <c r="C5287" s="1" t="s">
        <v>11</v>
      </c>
      <c r="D5287" s="5">
        <v>45243.0</v>
      </c>
      <c r="G5287" s="1">
        <f>VLOOKUP(B5287,'old-aw-skill-plan'!A:I,7,FALSE)</f>
        <v>5</v>
      </c>
      <c r="H5287" s="1" t="str">
        <f>VLOOKUP(B5287,'old-aw-skill-plan'!A:I,9,FALSE)</f>
        <v>5-2</v>
      </c>
    </row>
    <row r="5288" ht="15.75" customHeight="1">
      <c r="A5288" s="1" t="s">
        <v>93</v>
      </c>
      <c r="B5288" s="1" t="s">
        <v>309</v>
      </c>
      <c r="C5288" s="1" t="s">
        <v>11</v>
      </c>
      <c r="D5288" s="5">
        <v>45243.0</v>
      </c>
      <c r="G5288" s="1">
        <f>VLOOKUP(B5288,'old-aw-skill-plan'!A:I,7,FALSE)</f>
        <v>4</v>
      </c>
      <c r="H5288" s="1" t="str">
        <f>VLOOKUP(B5288,'old-aw-skill-plan'!A:I,9,FALSE)</f>
        <v>4-1</v>
      </c>
    </row>
    <row r="5289" ht="15.75" customHeight="1">
      <c r="A5289" s="1" t="s">
        <v>436</v>
      </c>
      <c r="B5289" s="1" t="s">
        <v>307</v>
      </c>
      <c r="C5289" s="1" t="s">
        <v>11</v>
      </c>
      <c r="D5289" s="5">
        <v>45243.0</v>
      </c>
      <c r="G5289" s="1">
        <f>VLOOKUP(B5289,'old-aw-skill-plan'!A:I,7,FALSE)</f>
        <v>3</v>
      </c>
      <c r="H5289" s="1" t="str">
        <f>VLOOKUP(B5289,'old-aw-skill-plan'!A:I,9,FALSE)</f>
        <v>3-1</v>
      </c>
    </row>
    <row r="5290" ht="15.75" customHeight="1">
      <c r="A5290" s="1" t="s">
        <v>454</v>
      </c>
      <c r="B5290" s="1" t="s">
        <v>377</v>
      </c>
      <c r="C5290" s="1" t="s">
        <v>11</v>
      </c>
      <c r="D5290" s="5">
        <v>45242.0</v>
      </c>
      <c r="G5290" s="1">
        <f>VLOOKUP(B5290,'old-aw-skill-plan'!A:I,7,FALSE)</f>
        <v>3</v>
      </c>
      <c r="H5290" s="1" t="str">
        <f>VLOOKUP(B5290,'old-aw-skill-plan'!A:I,9,FALSE)</f>
        <v>3-3</v>
      </c>
    </row>
    <row r="5291" ht="15.75" customHeight="1">
      <c r="A5291" s="1" t="s">
        <v>93</v>
      </c>
      <c r="B5291" s="1" t="s">
        <v>97</v>
      </c>
      <c r="C5291" s="1" t="s">
        <v>11</v>
      </c>
      <c r="D5291" s="5">
        <v>45242.0</v>
      </c>
      <c r="G5291" s="1">
        <f>VLOOKUP(B5291,'old-aw-skill-plan'!A:I,7,FALSE)</f>
        <v>4</v>
      </c>
      <c r="H5291" s="1" t="str">
        <f>VLOOKUP(B5291,'old-aw-skill-plan'!A:I,9,FALSE)</f>
        <v>4-3</v>
      </c>
    </row>
    <row r="5292" ht="15.75" customHeight="1">
      <c r="A5292" s="1" t="s">
        <v>93</v>
      </c>
      <c r="B5292" s="1" t="s">
        <v>37</v>
      </c>
      <c r="C5292" s="1" t="s">
        <v>11</v>
      </c>
      <c r="D5292" s="5">
        <v>45242.0</v>
      </c>
      <c r="G5292" s="1">
        <f>VLOOKUP(B5292,'old-aw-skill-plan'!A:I,7,FALSE)</f>
        <v>4</v>
      </c>
      <c r="H5292" s="1" t="str">
        <f>VLOOKUP(B5292,'old-aw-skill-plan'!A:I,9,FALSE)</f>
        <v>4-2</v>
      </c>
    </row>
    <row r="5293" ht="15.75" customHeight="1">
      <c r="A5293" s="1" t="s">
        <v>93</v>
      </c>
      <c r="B5293" s="1" t="s">
        <v>309</v>
      </c>
      <c r="C5293" s="1" t="s">
        <v>11</v>
      </c>
      <c r="D5293" s="5">
        <v>45242.0</v>
      </c>
      <c r="G5293" s="1">
        <f>VLOOKUP(B5293,'old-aw-skill-plan'!A:I,7,FALSE)</f>
        <v>4</v>
      </c>
      <c r="H5293" s="1" t="str">
        <f>VLOOKUP(B5293,'old-aw-skill-plan'!A:I,9,FALSE)</f>
        <v>4-1</v>
      </c>
    </row>
    <row r="5294" ht="15.75" customHeight="1">
      <c r="A5294" s="1" t="s">
        <v>468</v>
      </c>
      <c r="B5294" s="1" t="s">
        <v>356</v>
      </c>
      <c r="C5294" s="1" t="s">
        <v>11</v>
      </c>
      <c r="D5294" s="5">
        <v>45242.0</v>
      </c>
      <c r="G5294" s="1">
        <f>VLOOKUP(B5294,'old-aw-skill-plan'!A:I,7,FALSE)</f>
        <v>3</v>
      </c>
      <c r="H5294" s="1" t="str">
        <f>VLOOKUP(B5294,'old-aw-skill-plan'!A:I,9,FALSE)</f>
        <v>3-2</v>
      </c>
    </row>
    <row r="5295" ht="15.75" customHeight="1">
      <c r="A5295" s="1" t="s">
        <v>468</v>
      </c>
      <c r="B5295" s="1" t="s">
        <v>447</v>
      </c>
      <c r="C5295" s="1" t="s">
        <v>11</v>
      </c>
      <c r="D5295" s="5">
        <v>45242.0</v>
      </c>
      <c r="G5295" s="1">
        <f>VLOOKUP(B5295,'old-aw-skill-plan'!A:I,7,FALSE)</f>
        <v>4</v>
      </c>
      <c r="H5295" s="1" t="str">
        <f>VLOOKUP(B5295,'old-aw-skill-plan'!A:I,9,FALSE)</f>
        <v>4-3</v>
      </c>
    </row>
    <row r="5296" ht="15.75" customHeight="1">
      <c r="A5296" s="1" t="s">
        <v>22</v>
      </c>
      <c r="B5296" s="1" t="s">
        <v>34</v>
      </c>
      <c r="C5296" s="1" t="s">
        <v>11</v>
      </c>
      <c r="D5296" s="5">
        <v>45241.0</v>
      </c>
      <c r="G5296" s="1">
        <f>VLOOKUP(B5296,'old-aw-skill-plan'!A:I,7,FALSE)</f>
        <v>4</v>
      </c>
      <c r="H5296" s="1" t="str">
        <f>VLOOKUP(B5296,'old-aw-skill-plan'!A:I,9,FALSE)</f>
        <v>4-1</v>
      </c>
    </row>
    <row r="5297" ht="15.75" customHeight="1">
      <c r="A5297" s="1" t="s">
        <v>454</v>
      </c>
      <c r="B5297" s="1" t="s">
        <v>352</v>
      </c>
      <c r="C5297" s="1" t="s">
        <v>11</v>
      </c>
      <c r="D5297" s="5">
        <v>45241.0</v>
      </c>
      <c r="G5297" s="1">
        <f>VLOOKUP(B5297,'old-aw-skill-plan'!A:I,7,FALSE)</f>
        <v>3</v>
      </c>
      <c r="H5297" s="1" t="str">
        <f>VLOOKUP(B5297,'old-aw-skill-plan'!A:I,9,FALSE)</f>
        <v>3-2</v>
      </c>
    </row>
    <row r="5298" ht="15.75" customHeight="1">
      <c r="A5298" s="1" t="s">
        <v>428</v>
      </c>
      <c r="B5298" s="1" t="s">
        <v>37</v>
      </c>
      <c r="C5298" s="1" t="s">
        <v>11</v>
      </c>
      <c r="D5298" s="5">
        <v>45241.0</v>
      </c>
      <c r="G5298" s="1">
        <f>VLOOKUP(B5298,'old-aw-skill-plan'!A:I,7,FALSE)</f>
        <v>4</v>
      </c>
      <c r="H5298" s="1" t="str">
        <f>VLOOKUP(B5298,'old-aw-skill-plan'!A:I,9,FALSE)</f>
        <v>4-2</v>
      </c>
    </row>
    <row r="5299" ht="15.75" customHeight="1">
      <c r="A5299" s="1" t="s">
        <v>197</v>
      </c>
      <c r="B5299" s="1" t="s">
        <v>34</v>
      </c>
      <c r="C5299" s="1" t="s">
        <v>11</v>
      </c>
      <c r="D5299" s="5">
        <v>45241.0</v>
      </c>
      <c r="G5299" s="1">
        <f>VLOOKUP(B5299,'old-aw-skill-plan'!A:I,7,FALSE)</f>
        <v>4</v>
      </c>
      <c r="H5299" s="1" t="str">
        <f>VLOOKUP(B5299,'old-aw-skill-plan'!A:I,9,FALSE)</f>
        <v>4-1</v>
      </c>
    </row>
    <row r="5300" ht="15.75" customHeight="1">
      <c r="A5300" s="1" t="s">
        <v>93</v>
      </c>
      <c r="B5300" s="1" t="s">
        <v>37</v>
      </c>
      <c r="C5300" s="1" t="s">
        <v>11</v>
      </c>
      <c r="D5300" s="5">
        <v>45241.0</v>
      </c>
      <c r="G5300" s="1">
        <f>VLOOKUP(B5300,'old-aw-skill-plan'!A:I,7,FALSE)</f>
        <v>4</v>
      </c>
      <c r="H5300" s="1" t="str">
        <f>VLOOKUP(B5300,'old-aw-skill-plan'!A:I,9,FALSE)</f>
        <v>4-2</v>
      </c>
    </row>
    <row r="5301" ht="15.75" customHeight="1">
      <c r="A5301" s="1" t="s">
        <v>464</v>
      </c>
      <c r="B5301" s="1" t="s">
        <v>44</v>
      </c>
      <c r="C5301" s="1" t="s">
        <v>11</v>
      </c>
      <c r="D5301" s="5">
        <v>45240.0</v>
      </c>
      <c r="G5301" s="1">
        <f>VLOOKUP(B5301,'old-aw-skill-plan'!A:I,7,FALSE)</f>
        <v>5</v>
      </c>
      <c r="H5301" s="1" t="str">
        <f>VLOOKUP(B5301,'old-aw-skill-plan'!A:I,9,FALSE)</f>
        <v>5-1</v>
      </c>
    </row>
    <row r="5302" ht="15.75" customHeight="1">
      <c r="A5302" s="1" t="s">
        <v>266</v>
      </c>
      <c r="B5302" s="1" t="s">
        <v>34</v>
      </c>
      <c r="C5302" s="1" t="s">
        <v>11</v>
      </c>
      <c r="D5302" s="5">
        <v>45240.0</v>
      </c>
      <c r="G5302" s="1">
        <f>VLOOKUP(B5302,'old-aw-skill-plan'!A:I,7,FALSE)</f>
        <v>4</v>
      </c>
      <c r="H5302" s="1" t="str">
        <f>VLOOKUP(B5302,'old-aw-skill-plan'!A:I,9,FALSE)</f>
        <v>4-1</v>
      </c>
    </row>
    <row r="5303" ht="15.75" customHeight="1">
      <c r="A5303" s="1" t="s">
        <v>22</v>
      </c>
      <c r="B5303" s="1" t="s">
        <v>34</v>
      </c>
      <c r="C5303" s="1" t="s">
        <v>11</v>
      </c>
      <c r="D5303" s="5">
        <v>45240.0</v>
      </c>
      <c r="G5303" s="1">
        <f>VLOOKUP(B5303,'old-aw-skill-plan'!A:I,7,FALSE)</f>
        <v>4</v>
      </c>
      <c r="H5303" s="1" t="str">
        <f>VLOOKUP(B5303,'old-aw-skill-plan'!A:I,9,FALSE)</f>
        <v>4-1</v>
      </c>
    </row>
    <row r="5304" ht="15.75" customHeight="1">
      <c r="A5304" s="1" t="s">
        <v>474</v>
      </c>
      <c r="B5304" s="1" t="s">
        <v>10</v>
      </c>
      <c r="C5304" s="1" t="s">
        <v>11</v>
      </c>
      <c r="D5304" s="5">
        <v>45240.0</v>
      </c>
      <c r="G5304" s="1">
        <f>VLOOKUP(B5304,'old-aw-skill-plan'!A:I,7,FALSE)</f>
        <v>3</v>
      </c>
      <c r="H5304" s="1" t="str">
        <f>VLOOKUP(B5304,'old-aw-skill-plan'!A:I,9,FALSE)</f>
        <v>3-1</v>
      </c>
    </row>
    <row r="5305" ht="15.75" customHeight="1">
      <c r="A5305" s="1" t="s">
        <v>216</v>
      </c>
      <c r="B5305" s="1" t="s">
        <v>34</v>
      </c>
      <c r="C5305" s="1" t="s">
        <v>11</v>
      </c>
      <c r="D5305" s="5">
        <v>45240.0</v>
      </c>
      <c r="G5305" s="1">
        <f>VLOOKUP(B5305,'old-aw-skill-plan'!A:I,7,FALSE)</f>
        <v>4</v>
      </c>
      <c r="H5305" s="1" t="str">
        <f>VLOOKUP(B5305,'old-aw-skill-plan'!A:I,9,FALSE)</f>
        <v>4-1</v>
      </c>
    </row>
    <row r="5306" ht="15.75" customHeight="1">
      <c r="A5306" s="1" t="s">
        <v>35</v>
      </c>
      <c r="B5306" s="1" t="s">
        <v>34</v>
      </c>
      <c r="C5306" s="1" t="s">
        <v>11</v>
      </c>
      <c r="D5306" s="5">
        <v>45240.0</v>
      </c>
      <c r="G5306" s="1">
        <f>VLOOKUP(B5306,'old-aw-skill-plan'!A:I,7,FALSE)</f>
        <v>4</v>
      </c>
      <c r="H5306" s="1" t="str">
        <f>VLOOKUP(B5306,'old-aw-skill-plan'!A:I,9,FALSE)</f>
        <v>4-1</v>
      </c>
    </row>
    <row r="5307" ht="15.75" customHeight="1">
      <c r="A5307" s="1" t="s">
        <v>24</v>
      </c>
      <c r="B5307" s="1" t="s">
        <v>37</v>
      </c>
      <c r="C5307" s="1" t="s">
        <v>11</v>
      </c>
      <c r="D5307" s="5">
        <v>45240.0</v>
      </c>
      <c r="G5307" s="1">
        <f>VLOOKUP(B5307,'old-aw-skill-plan'!A:I,7,FALSE)</f>
        <v>4</v>
      </c>
      <c r="H5307" s="1" t="str">
        <f>VLOOKUP(B5307,'old-aw-skill-plan'!A:I,9,FALSE)</f>
        <v>4-2</v>
      </c>
    </row>
    <row r="5308" ht="15.75" customHeight="1">
      <c r="A5308" s="1" t="s">
        <v>271</v>
      </c>
      <c r="B5308" s="1" t="s">
        <v>444</v>
      </c>
      <c r="C5308" s="1" t="s">
        <v>11</v>
      </c>
      <c r="D5308" s="5">
        <v>45240.0</v>
      </c>
      <c r="G5308" s="1">
        <f>VLOOKUP(B5308,'old-aw-skill-plan'!A:I,7,FALSE)</f>
        <v>4</v>
      </c>
      <c r="H5308" s="1" t="str">
        <f>VLOOKUP(B5308,'old-aw-skill-plan'!A:I,9,FALSE)</f>
        <v>4-1</v>
      </c>
    </row>
    <row r="5309" ht="15.75" customHeight="1">
      <c r="A5309" s="1" t="s">
        <v>271</v>
      </c>
      <c r="B5309" s="1" t="s">
        <v>402</v>
      </c>
      <c r="C5309" s="1" t="s">
        <v>11</v>
      </c>
      <c r="D5309" s="5">
        <v>45240.0</v>
      </c>
      <c r="G5309" s="1">
        <f>VLOOKUP(B5309,'old-aw-skill-plan'!A:I,7,FALSE)</f>
        <v>4</v>
      </c>
      <c r="H5309" s="1" t="str">
        <f>VLOOKUP(B5309,'old-aw-skill-plan'!A:I,9,FALSE)</f>
        <v>4-2</v>
      </c>
    </row>
    <row r="5310" ht="15.75" customHeight="1">
      <c r="A5310" s="1" t="s">
        <v>434</v>
      </c>
      <c r="B5310" s="1" t="s">
        <v>377</v>
      </c>
      <c r="C5310" s="1" t="s">
        <v>11</v>
      </c>
      <c r="D5310" s="5">
        <v>45240.0</v>
      </c>
      <c r="G5310" s="1">
        <f>VLOOKUP(B5310,'old-aw-skill-plan'!A:I,7,FALSE)</f>
        <v>3</v>
      </c>
      <c r="H5310" s="1" t="str">
        <f>VLOOKUP(B5310,'old-aw-skill-plan'!A:I,9,FALSE)</f>
        <v>3-3</v>
      </c>
    </row>
    <row r="5311" ht="15.75" customHeight="1">
      <c r="A5311" s="1" t="s">
        <v>434</v>
      </c>
      <c r="B5311" s="1" t="s">
        <v>352</v>
      </c>
      <c r="C5311" s="1" t="s">
        <v>11</v>
      </c>
      <c r="D5311" s="5">
        <v>45240.0</v>
      </c>
      <c r="G5311" s="1">
        <f>VLOOKUP(B5311,'old-aw-skill-plan'!A:I,7,FALSE)</f>
        <v>3</v>
      </c>
      <c r="H5311" s="1" t="str">
        <f>VLOOKUP(B5311,'old-aw-skill-plan'!A:I,9,FALSE)</f>
        <v>3-2</v>
      </c>
    </row>
    <row r="5312" ht="15.75" customHeight="1">
      <c r="A5312" s="1" t="s">
        <v>434</v>
      </c>
      <c r="B5312" s="1" t="s">
        <v>34</v>
      </c>
      <c r="C5312" s="1" t="s">
        <v>11</v>
      </c>
      <c r="D5312" s="5">
        <v>45240.0</v>
      </c>
      <c r="G5312" s="1">
        <f>VLOOKUP(B5312,'old-aw-skill-plan'!A:I,7,FALSE)</f>
        <v>4</v>
      </c>
      <c r="H5312" s="1" t="str">
        <f>VLOOKUP(B5312,'old-aw-skill-plan'!A:I,9,FALSE)</f>
        <v>4-1</v>
      </c>
    </row>
    <row r="5313" ht="15.75" customHeight="1">
      <c r="A5313" s="1" t="s">
        <v>213</v>
      </c>
      <c r="B5313" s="1" t="s">
        <v>47</v>
      </c>
      <c r="C5313" s="1" t="s">
        <v>11</v>
      </c>
      <c r="D5313" s="5">
        <v>45240.0</v>
      </c>
      <c r="G5313" s="1">
        <f>VLOOKUP(B5313,'old-aw-skill-plan'!A:I,7,FALSE)</f>
        <v>3</v>
      </c>
      <c r="H5313" s="1" t="str">
        <f>VLOOKUP(B5313,'old-aw-skill-plan'!A:I,9,FALSE)</f>
        <v>3-2</v>
      </c>
    </row>
    <row r="5314" ht="15.75" customHeight="1">
      <c r="A5314" s="1" t="s">
        <v>475</v>
      </c>
      <c r="B5314" s="1" t="s">
        <v>34</v>
      </c>
      <c r="C5314" s="1" t="s">
        <v>11</v>
      </c>
      <c r="D5314" s="5">
        <v>45240.0</v>
      </c>
      <c r="G5314" s="1">
        <f>VLOOKUP(B5314,'old-aw-skill-plan'!A:I,7,FALSE)</f>
        <v>4</v>
      </c>
      <c r="H5314" s="1" t="str">
        <f>VLOOKUP(B5314,'old-aw-skill-plan'!A:I,9,FALSE)</f>
        <v>4-1</v>
      </c>
    </row>
    <row r="5315" ht="15.75" customHeight="1">
      <c r="A5315" s="1" t="s">
        <v>475</v>
      </c>
      <c r="B5315" s="1" t="s">
        <v>97</v>
      </c>
      <c r="C5315" s="1" t="s">
        <v>11</v>
      </c>
      <c r="D5315" s="5">
        <v>45240.0</v>
      </c>
      <c r="G5315" s="1">
        <f>VLOOKUP(B5315,'old-aw-skill-plan'!A:I,7,FALSE)</f>
        <v>4</v>
      </c>
      <c r="H5315" s="1" t="str">
        <f>VLOOKUP(B5315,'old-aw-skill-plan'!A:I,9,FALSE)</f>
        <v>4-3</v>
      </c>
    </row>
    <row r="5316" ht="15.75" customHeight="1">
      <c r="A5316" s="1" t="s">
        <v>475</v>
      </c>
      <c r="B5316" s="1" t="s">
        <v>37</v>
      </c>
      <c r="C5316" s="1" t="s">
        <v>11</v>
      </c>
      <c r="D5316" s="5">
        <v>45240.0</v>
      </c>
      <c r="G5316" s="1">
        <f>VLOOKUP(B5316,'old-aw-skill-plan'!A:I,7,FALSE)</f>
        <v>4</v>
      </c>
      <c r="H5316" s="1" t="str">
        <f>VLOOKUP(B5316,'old-aw-skill-plan'!A:I,9,FALSE)</f>
        <v>4-2</v>
      </c>
    </row>
    <row r="5317" ht="15.75" customHeight="1">
      <c r="A5317" s="1" t="s">
        <v>199</v>
      </c>
      <c r="B5317" s="1" t="s">
        <v>34</v>
      </c>
      <c r="C5317" s="1" t="s">
        <v>11</v>
      </c>
      <c r="D5317" s="5">
        <v>45240.0</v>
      </c>
      <c r="G5317" s="1">
        <f>VLOOKUP(B5317,'old-aw-skill-plan'!A:I,7,FALSE)</f>
        <v>4</v>
      </c>
      <c r="H5317" s="1" t="str">
        <f>VLOOKUP(B5317,'old-aw-skill-plan'!A:I,9,FALSE)</f>
        <v>4-1</v>
      </c>
    </row>
    <row r="5318" ht="15.75" customHeight="1">
      <c r="A5318" s="1" t="s">
        <v>36</v>
      </c>
      <c r="B5318" s="1" t="s">
        <v>30</v>
      </c>
      <c r="C5318" s="1" t="s">
        <v>11</v>
      </c>
      <c r="D5318" s="5">
        <v>45240.0</v>
      </c>
      <c r="G5318" s="1">
        <f>VLOOKUP(B5318,'old-aw-skill-plan'!A:I,7,FALSE)</f>
        <v>3</v>
      </c>
      <c r="H5318" s="1" t="str">
        <f>VLOOKUP(B5318,'old-aw-skill-plan'!A:I,9,FALSE)</f>
        <v>3-3</v>
      </c>
    </row>
    <row r="5319" ht="15.75" customHeight="1">
      <c r="A5319" s="1" t="s">
        <v>273</v>
      </c>
      <c r="B5319" s="1" t="s">
        <v>307</v>
      </c>
      <c r="C5319" s="1" t="s">
        <v>11</v>
      </c>
      <c r="D5319" s="5">
        <v>45240.0</v>
      </c>
      <c r="G5319" s="1">
        <f>VLOOKUP(B5319,'old-aw-skill-plan'!A:I,7,FALSE)</f>
        <v>3</v>
      </c>
      <c r="H5319" s="1" t="str">
        <f>VLOOKUP(B5319,'old-aw-skill-plan'!A:I,9,FALSE)</f>
        <v>3-1</v>
      </c>
    </row>
    <row r="5320" ht="15.75" customHeight="1">
      <c r="A5320" s="1" t="s">
        <v>469</v>
      </c>
      <c r="B5320" s="1" t="s">
        <v>34</v>
      </c>
      <c r="C5320" s="1" t="s">
        <v>11</v>
      </c>
      <c r="D5320" s="5">
        <v>45240.0</v>
      </c>
      <c r="G5320" s="1">
        <f>VLOOKUP(B5320,'old-aw-skill-plan'!A:I,7,FALSE)</f>
        <v>4</v>
      </c>
      <c r="H5320" s="1" t="str">
        <f>VLOOKUP(B5320,'old-aw-skill-plan'!A:I,9,FALSE)</f>
        <v>4-1</v>
      </c>
    </row>
    <row r="5321" ht="15.75" customHeight="1">
      <c r="A5321" s="1" t="s">
        <v>237</v>
      </c>
      <c r="B5321" s="1" t="s">
        <v>47</v>
      </c>
      <c r="C5321" s="1" t="s">
        <v>11</v>
      </c>
      <c r="D5321" s="5">
        <v>45240.0</v>
      </c>
      <c r="G5321" s="1">
        <f>VLOOKUP(B5321,'old-aw-skill-plan'!A:I,7,FALSE)</f>
        <v>3</v>
      </c>
      <c r="H5321" s="1" t="str">
        <f>VLOOKUP(B5321,'old-aw-skill-plan'!A:I,9,FALSE)</f>
        <v>3-2</v>
      </c>
    </row>
    <row r="5322" ht="15.75" customHeight="1">
      <c r="A5322" s="1" t="s">
        <v>465</v>
      </c>
      <c r="B5322" s="1" t="s">
        <v>377</v>
      </c>
      <c r="C5322" s="1" t="s">
        <v>11</v>
      </c>
      <c r="D5322" s="5">
        <v>45240.0</v>
      </c>
      <c r="G5322" s="1">
        <f>VLOOKUP(B5322,'old-aw-skill-plan'!A:I,7,FALSE)</f>
        <v>3</v>
      </c>
      <c r="H5322" s="1" t="str">
        <f>VLOOKUP(B5322,'old-aw-skill-plan'!A:I,9,FALSE)</f>
        <v>3-3</v>
      </c>
    </row>
    <row r="5323" ht="15.75" customHeight="1">
      <c r="A5323" s="1" t="s">
        <v>465</v>
      </c>
      <c r="B5323" s="1" t="s">
        <v>352</v>
      </c>
      <c r="C5323" s="1" t="s">
        <v>11</v>
      </c>
      <c r="D5323" s="5">
        <v>45240.0</v>
      </c>
      <c r="G5323" s="1">
        <f>VLOOKUP(B5323,'old-aw-skill-plan'!A:I,7,FALSE)</f>
        <v>3</v>
      </c>
      <c r="H5323" s="1" t="str">
        <f>VLOOKUP(B5323,'old-aw-skill-plan'!A:I,9,FALSE)</f>
        <v>3-2</v>
      </c>
    </row>
    <row r="5324" ht="15.75" customHeight="1">
      <c r="A5324" s="1" t="s">
        <v>419</v>
      </c>
      <c r="B5324" s="1" t="s">
        <v>34</v>
      </c>
      <c r="C5324" s="1" t="s">
        <v>11</v>
      </c>
      <c r="D5324" s="5">
        <v>45240.0</v>
      </c>
      <c r="G5324" s="1">
        <f>VLOOKUP(B5324,'old-aw-skill-plan'!A:I,7,FALSE)</f>
        <v>4</v>
      </c>
      <c r="H5324" s="1" t="str">
        <f>VLOOKUP(B5324,'old-aw-skill-plan'!A:I,9,FALSE)</f>
        <v>4-1</v>
      </c>
    </row>
    <row r="5325" ht="15.75" customHeight="1">
      <c r="A5325" s="1" t="s">
        <v>454</v>
      </c>
      <c r="B5325" s="1" t="s">
        <v>425</v>
      </c>
      <c r="C5325" s="1" t="s">
        <v>11</v>
      </c>
      <c r="D5325" s="5">
        <v>45240.0</v>
      </c>
      <c r="G5325" s="1">
        <f>VLOOKUP(B5325,'old-aw-skill-plan'!A:I,7,FALSE)</f>
        <v>3</v>
      </c>
      <c r="H5325" s="1" t="str">
        <f>VLOOKUP(B5325,'old-aw-skill-plan'!A:I,9,FALSE)</f>
        <v>3-1</v>
      </c>
    </row>
    <row r="5326" ht="15.75" customHeight="1">
      <c r="A5326" s="1" t="s">
        <v>454</v>
      </c>
      <c r="B5326" s="1" t="s">
        <v>352</v>
      </c>
      <c r="C5326" s="1" t="s">
        <v>11</v>
      </c>
      <c r="D5326" s="5">
        <v>45240.0</v>
      </c>
      <c r="G5326" s="1">
        <f>VLOOKUP(B5326,'old-aw-skill-plan'!A:I,7,FALSE)</f>
        <v>3</v>
      </c>
      <c r="H5326" s="1" t="str">
        <f>VLOOKUP(B5326,'old-aw-skill-plan'!A:I,9,FALSE)</f>
        <v>3-2</v>
      </c>
    </row>
    <row r="5327" ht="15.75" customHeight="1">
      <c r="A5327" s="1" t="s">
        <v>459</v>
      </c>
      <c r="B5327" s="1" t="s">
        <v>307</v>
      </c>
      <c r="C5327" s="1" t="s">
        <v>11</v>
      </c>
      <c r="D5327" s="5">
        <v>45240.0</v>
      </c>
      <c r="G5327" s="1">
        <f>VLOOKUP(B5327,'old-aw-skill-plan'!A:I,7,FALSE)</f>
        <v>3</v>
      </c>
      <c r="H5327" s="1" t="str">
        <f>VLOOKUP(B5327,'old-aw-skill-plan'!A:I,9,FALSE)</f>
        <v>3-1</v>
      </c>
    </row>
    <row r="5328" ht="15.75" customHeight="1">
      <c r="A5328" s="1" t="s">
        <v>459</v>
      </c>
      <c r="B5328" s="1" t="s">
        <v>425</v>
      </c>
      <c r="C5328" s="1" t="s">
        <v>11</v>
      </c>
      <c r="D5328" s="5">
        <v>45240.0</v>
      </c>
      <c r="G5328" s="1">
        <f>VLOOKUP(B5328,'old-aw-skill-plan'!A:I,7,FALSE)</f>
        <v>3</v>
      </c>
      <c r="H5328" s="1" t="str">
        <f>VLOOKUP(B5328,'old-aw-skill-plan'!A:I,9,FALSE)</f>
        <v>3-1</v>
      </c>
    </row>
    <row r="5329" ht="15.75" customHeight="1">
      <c r="A5329" s="1" t="s">
        <v>459</v>
      </c>
      <c r="B5329" s="1" t="s">
        <v>402</v>
      </c>
      <c r="C5329" s="1" t="s">
        <v>11</v>
      </c>
      <c r="D5329" s="5">
        <v>45240.0</v>
      </c>
      <c r="G5329" s="1">
        <f>VLOOKUP(B5329,'old-aw-skill-plan'!A:I,7,FALSE)</f>
        <v>4</v>
      </c>
      <c r="H5329" s="1" t="str">
        <f>VLOOKUP(B5329,'old-aw-skill-plan'!A:I,9,FALSE)</f>
        <v>4-2</v>
      </c>
    </row>
    <row r="5330" ht="15.75" customHeight="1">
      <c r="A5330" s="1" t="s">
        <v>473</v>
      </c>
      <c r="B5330" s="1" t="s">
        <v>10</v>
      </c>
      <c r="C5330" s="1" t="s">
        <v>11</v>
      </c>
      <c r="D5330" s="5">
        <v>45240.0</v>
      </c>
      <c r="G5330" s="1">
        <f>VLOOKUP(B5330,'old-aw-skill-plan'!A:I,7,FALSE)</f>
        <v>3</v>
      </c>
      <c r="H5330" s="1" t="str">
        <f>VLOOKUP(B5330,'old-aw-skill-plan'!A:I,9,FALSE)</f>
        <v>3-1</v>
      </c>
    </row>
    <row r="5331" ht="15.75" customHeight="1">
      <c r="A5331" s="1" t="s">
        <v>56</v>
      </c>
      <c r="B5331" s="1" t="s">
        <v>47</v>
      </c>
      <c r="C5331" s="1" t="s">
        <v>11</v>
      </c>
      <c r="D5331" s="5">
        <v>45240.0</v>
      </c>
      <c r="G5331" s="1">
        <f>VLOOKUP(B5331,'old-aw-skill-plan'!A:I,7,FALSE)</f>
        <v>3</v>
      </c>
      <c r="H5331" s="1" t="str">
        <f>VLOOKUP(B5331,'old-aw-skill-plan'!A:I,9,FALSE)</f>
        <v>3-2</v>
      </c>
    </row>
    <row r="5332" ht="15.75" customHeight="1">
      <c r="A5332" s="1" t="s">
        <v>81</v>
      </c>
      <c r="B5332" s="1" t="s">
        <v>34</v>
      </c>
      <c r="C5332" s="1" t="s">
        <v>11</v>
      </c>
      <c r="D5332" s="5">
        <v>45240.0</v>
      </c>
      <c r="G5332" s="1">
        <f>VLOOKUP(B5332,'old-aw-skill-plan'!A:I,7,FALSE)</f>
        <v>4</v>
      </c>
      <c r="H5332" s="1" t="str">
        <f>VLOOKUP(B5332,'old-aw-skill-plan'!A:I,9,FALSE)</f>
        <v>4-1</v>
      </c>
    </row>
    <row r="5333" ht="15.75" customHeight="1">
      <c r="A5333" s="1" t="s">
        <v>428</v>
      </c>
      <c r="B5333" s="1" t="s">
        <v>34</v>
      </c>
      <c r="C5333" s="1" t="s">
        <v>11</v>
      </c>
      <c r="D5333" s="5">
        <v>45240.0</v>
      </c>
      <c r="G5333" s="1">
        <f>VLOOKUP(B5333,'old-aw-skill-plan'!A:I,7,FALSE)</f>
        <v>4</v>
      </c>
      <c r="H5333" s="1" t="str">
        <f>VLOOKUP(B5333,'old-aw-skill-plan'!A:I,9,FALSE)</f>
        <v>4-1</v>
      </c>
    </row>
    <row r="5334" ht="15.75" customHeight="1">
      <c r="A5334" s="1" t="s">
        <v>428</v>
      </c>
      <c r="B5334" s="1" t="s">
        <v>37</v>
      </c>
      <c r="C5334" s="1" t="s">
        <v>11</v>
      </c>
      <c r="D5334" s="5">
        <v>45240.0</v>
      </c>
      <c r="G5334" s="1">
        <f>VLOOKUP(B5334,'old-aw-skill-plan'!A:I,7,FALSE)</f>
        <v>4</v>
      </c>
      <c r="H5334" s="1" t="str">
        <f>VLOOKUP(B5334,'old-aw-skill-plan'!A:I,9,FALSE)</f>
        <v>4-2</v>
      </c>
    </row>
    <row r="5335" ht="15.75" customHeight="1">
      <c r="A5335" s="1" t="s">
        <v>471</v>
      </c>
      <c r="B5335" s="1" t="s">
        <v>30</v>
      </c>
      <c r="C5335" s="1" t="s">
        <v>11</v>
      </c>
      <c r="D5335" s="5">
        <v>45240.0</v>
      </c>
      <c r="G5335" s="1">
        <f>VLOOKUP(B5335,'old-aw-skill-plan'!A:I,7,FALSE)</f>
        <v>3</v>
      </c>
      <c r="H5335" s="1" t="str">
        <f>VLOOKUP(B5335,'old-aw-skill-plan'!A:I,9,FALSE)</f>
        <v>3-3</v>
      </c>
    </row>
    <row r="5336" ht="15.75" customHeight="1">
      <c r="A5336" s="1" t="s">
        <v>275</v>
      </c>
      <c r="B5336" s="1" t="s">
        <v>44</v>
      </c>
      <c r="C5336" s="1" t="s">
        <v>11</v>
      </c>
      <c r="D5336" s="5">
        <v>45240.0</v>
      </c>
      <c r="G5336" s="1">
        <f>VLOOKUP(B5336,'old-aw-skill-plan'!A:I,7,FALSE)</f>
        <v>5</v>
      </c>
      <c r="H5336" s="1" t="str">
        <f>VLOOKUP(B5336,'old-aw-skill-plan'!A:I,9,FALSE)</f>
        <v>5-1</v>
      </c>
    </row>
    <row r="5337" ht="15.75" customHeight="1">
      <c r="A5337" s="1" t="s">
        <v>203</v>
      </c>
      <c r="B5337" s="1" t="s">
        <v>104</v>
      </c>
      <c r="C5337" s="1" t="s">
        <v>11</v>
      </c>
      <c r="D5337" s="5">
        <v>45240.0</v>
      </c>
      <c r="G5337" s="1">
        <f>VLOOKUP(B5337,'old-aw-skill-plan'!A:I,7,FALSE)</f>
        <v>5</v>
      </c>
      <c r="H5337" s="1" t="str">
        <f>VLOOKUP(B5337,'old-aw-skill-plan'!A:I,9,FALSE)</f>
        <v>5-2</v>
      </c>
    </row>
    <row r="5338" ht="15.75" customHeight="1">
      <c r="A5338" s="1" t="s">
        <v>461</v>
      </c>
      <c r="B5338" s="1" t="s">
        <v>44</v>
      </c>
      <c r="C5338" s="1" t="s">
        <v>11</v>
      </c>
      <c r="D5338" s="5">
        <v>45240.0</v>
      </c>
      <c r="G5338" s="1">
        <f>VLOOKUP(B5338,'old-aw-skill-plan'!A:I,7,FALSE)</f>
        <v>5</v>
      </c>
      <c r="H5338" s="1" t="str">
        <f>VLOOKUP(B5338,'old-aw-skill-plan'!A:I,9,FALSE)</f>
        <v>5-1</v>
      </c>
    </row>
    <row r="5339" ht="15.75" customHeight="1">
      <c r="A5339" s="1" t="s">
        <v>95</v>
      </c>
      <c r="B5339" s="1" t="s">
        <v>47</v>
      </c>
      <c r="C5339" s="1" t="s">
        <v>11</v>
      </c>
      <c r="D5339" s="5">
        <v>45240.0</v>
      </c>
      <c r="G5339" s="1">
        <f>VLOOKUP(B5339,'old-aw-skill-plan'!A:I,7,FALSE)</f>
        <v>3</v>
      </c>
      <c r="H5339" s="1" t="str">
        <f>VLOOKUP(B5339,'old-aw-skill-plan'!A:I,9,FALSE)</f>
        <v>3-2</v>
      </c>
    </row>
    <row r="5340" ht="15.75" customHeight="1">
      <c r="A5340" s="1" t="s">
        <v>214</v>
      </c>
      <c r="B5340" s="1" t="s">
        <v>30</v>
      </c>
      <c r="C5340" s="1" t="s">
        <v>11</v>
      </c>
      <c r="D5340" s="5">
        <v>45240.0</v>
      </c>
      <c r="G5340" s="1">
        <f>VLOOKUP(B5340,'old-aw-skill-plan'!A:I,7,FALSE)</f>
        <v>3</v>
      </c>
      <c r="H5340" s="1" t="str">
        <f>VLOOKUP(B5340,'old-aw-skill-plan'!A:I,9,FALSE)</f>
        <v>3-3</v>
      </c>
    </row>
    <row r="5341" ht="15.75" customHeight="1">
      <c r="A5341" s="1" t="s">
        <v>214</v>
      </c>
      <c r="B5341" s="1" t="s">
        <v>377</v>
      </c>
      <c r="C5341" s="1" t="s">
        <v>11</v>
      </c>
      <c r="D5341" s="5">
        <v>45240.0</v>
      </c>
      <c r="G5341" s="1">
        <f>VLOOKUP(B5341,'old-aw-skill-plan'!A:I,7,FALSE)</f>
        <v>3</v>
      </c>
      <c r="H5341" s="1" t="str">
        <f>VLOOKUP(B5341,'old-aw-skill-plan'!A:I,9,FALSE)</f>
        <v>3-3</v>
      </c>
    </row>
    <row r="5342" ht="15.75" customHeight="1">
      <c r="A5342" s="1" t="s">
        <v>197</v>
      </c>
      <c r="B5342" s="1" t="s">
        <v>34</v>
      </c>
      <c r="C5342" s="1" t="s">
        <v>11</v>
      </c>
      <c r="D5342" s="5">
        <v>45240.0</v>
      </c>
      <c r="G5342" s="1">
        <f>VLOOKUP(B5342,'old-aw-skill-plan'!A:I,7,FALSE)</f>
        <v>4</v>
      </c>
      <c r="H5342" s="1" t="str">
        <f>VLOOKUP(B5342,'old-aw-skill-plan'!A:I,9,FALSE)</f>
        <v>4-1</v>
      </c>
    </row>
    <row r="5343" ht="15.75" customHeight="1">
      <c r="A5343" s="1" t="s">
        <v>373</v>
      </c>
      <c r="B5343" s="1" t="s">
        <v>10</v>
      </c>
      <c r="C5343" s="1" t="s">
        <v>11</v>
      </c>
      <c r="D5343" s="5">
        <v>45240.0</v>
      </c>
      <c r="G5343" s="1">
        <f>VLOOKUP(B5343,'old-aw-skill-plan'!A:I,7,FALSE)</f>
        <v>3</v>
      </c>
      <c r="H5343" s="1" t="str">
        <f>VLOOKUP(B5343,'old-aw-skill-plan'!A:I,9,FALSE)</f>
        <v>3-1</v>
      </c>
    </row>
    <row r="5344" ht="15.75" customHeight="1">
      <c r="A5344" s="1" t="s">
        <v>373</v>
      </c>
      <c r="B5344" s="1" t="s">
        <v>47</v>
      </c>
      <c r="C5344" s="1" t="s">
        <v>11</v>
      </c>
      <c r="D5344" s="5">
        <v>45240.0</v>
      </c>
      <c r="G5344" s="1">
        <f>VLOOKUP(B5344,'old-aw-skill-plan'!A:I,7,FALSE)</f>
        <v>3</v>
      </c>
      <c r="H5344" s="1" t="str">
        <f>VLOOKUP(B5344,'old-aw-skill-plan'!A:I,9,FALSE)</f>
        <v>3-2</v>
      </c>
    </row>
    <row r="5345" ht="15.75" customHeight="1">
      <c r="A5345" s="1" t="s">
        <v>373</v>
      </c>
      <c r="B5345" s="1" t="s">
        <v>356</v>
      </c>
      <c r="C5345" s="1" t="s">
        <v>11</v>
      </c>
      <c r="D5345" s="5">
        <v>45240.0</v>
      </c>
      <c r="G5345" s="1">
        <f>VLOOKUP(B5345,'old-aw-skill-plan'!A:I,7,FALSE)</f>
        <v>3</v>
      </c>
      <c r="H5345" s="1" t="str">
        <f>VLOOKUP(B5345,'old-aw-skill-plan'!A:I,9,FALSE)</f>
        <v>3-2</v>
      </c>
    </row>
    <row r="5346" ht="15.75" customHeight="1">
      <c r="A5346" s="1" t="s">
        <v>373</v>
      </c>
      <c r="B5346" s="1" t="s">
        <v>377</v>
      </c>
      <c r="C5346" s="1" t="s">
        <v>11</v>
      </c>
      <c r="D5346" s="5">
        <v>45240.0</v>
      </c>
      <c r="G5346" s="1">
        <f>VLOOKUP(B5346,'old-aw-skill-plan'!A:I,7,FALSE)</f>
        <v>3</v>
      </c>
      <c r="H5346" s="1" t="str">
        <f>VLOOKUP(B5346,'old-aw-skill-plan'!A:I,9,FALSE)</f>
        <v>3-3</v>
      </c>
    </row>
    <row r="5347" ht="15.75" customHeight="1">
      <c r="A5347" s="1" t="s">
        <v>462</v>
      </c>
      <c r="B5347" s="1" t="s">
        <v>44</v>
      </c>
      <c r="C5347" s="1" t="s">
        <v>11</v>
      </c>
      <c r="D5347" s="5">
        <v>45240.0</v>
      </c>
      <c r="G5347" s="1">
        <f>VLOOKUP(B5347,'old-aw-skill-plan'!A:I,7,FALSE)</f>
        <v>5</v>
      </c>
      <c r="H5347" s="1" t="str">
        <f>VLOOKUP(B5347,'old-aw-skill-plan'!A:I,9,FALSE)</f>
        <v>5-1</v>
      </c>
    </row>
    <row r="5348" ht="15.75" customHeight="1">
      <c r="A5348" s="1" t="s">
        <v>90</v>
      </c>
      <c r="B5348" s="1" t="s">
        <v>47</v>
      </c>
      <c r="C5348" s="1" t="s">
        <v>11</v>
      </c>
      <c r="D5348" s="5">
        <v>45240.0</v>
      </c>
      <c r="G5348" s="1">
        <f>VLOOKUP(B5348,'old-aw-skill-plan'!A:I,7,FALSE)</f>
        <v>3</v>
      </c>
      <c r="H5348" s="1" t="str">
        <f>VLOOKUP(B5348,'old-aw-skill-plan'!A:I,9,FALSE)</f>
        <v>3-2</v>
      </c>
    </row>
    <row r="5349" ht="15.75" customHeight="1">
      <c r="A5349" s="1" t="s">
        <v>457</v>
      </c>
      <c r="B5349" s="1" t="s">
        <v>377</v>
      </c>
      <c r="C5349" s="1" t="s">
        <v>11</v>
      </c>
      <c r="D5349" s="5">
        <v>45240.0</v>
      </c>
      <c r="G5349" s="1">
        <f>VLOOKUP(B5349,'old-aw-skill-plan'!A:I,7,FALSE)</f>
        <v>3</v>
      </c>
      <c r="H5349" s="1" t="str">
        <f>VLOOKUP(B5349,'old-aw-skill-plan'!A:I,9,FALSE)</f>
        <v>3-3</v>
      </c>
    </row>
    <row r="5350" ht="15.75" customHeight="1">
      <c r="A5350" s="1" t="s">
        <v>457</v>
      </c>
      <c r="B5350" s="1" t="s">
        <v>352</v>
      </c>
      <c r="C5350" s="1" t="s">
        <v>11</v>
      </c>
      <c r="D5350" s="5">
        <v>45240.0</v>
      </c>
      <c r="G5350" s="1">
        <f>VLOOKUP(B5350,'old-aw-skill-plan'!A:I,7,FALSE)</f>
        <v>3</v>
      </c>
      <c r="H5350" s="1" t="str">
        <f>VLOOKUP(B5350,'old-aw-skill-plan'!A:I,9,FALSE)</f>
        <v>3-2</v>
      </c>
    </row>
    <row r="5351" ht="15.75" customHeight="1">
      <c r="A5351" s="1" t="s">
        <v>93</v>
      </c>
      <c r="B5351" s="1" t="s">
        <v>34</v>
      </c>
      <c r="C5351" s="1" t="s">
        <v>11</v>
      </c>
      <c r="D5351" s="5">
        <v>45240.0</v>
      </c>
      <c r="G5351" s="1">
        <f>VLOOKUP(B5351,'old-aw-skill-plan'!A:I,7,FALSE)</f>
        <v>4</v>
      </c>
      <c r="H5351" s="1" t="str">
        <f>VLOOKUP(B5351,'old-aw-skill-plan'!A:I,9,FALSE)</f>
        <v>4-1</v>
      </c>
    </row>
    <row r="5352" ht="15.75" customHeight="1">
      <c r="A5352" s="1" t="s">
        <v>93</v>
      </c>
      <c r="B5352" s="1" t="s">
        <v>37</v>
      </c>
      <c r="C5352" s="1" t="s">
        <v>11</v>
      </c>
      <c r="D5352" s="5">
        <v>45240.0</v>
      </c>
      <c r="G5352" s="1">
        <f>VLOOKUP(B5352,'old-aw-skill-plan'!A:I,7,FALSE)</f>
        <v>4</v>
      </c>
      <c r="H5352" s="1" t="str">
        <f>VLOOKUP(B5352,'old-aw-skill-plan'!A:I,9,FALSE)</f>
        <v>4-2</v>
      </c>
    </row>
    <row r="5353" ht="15.75" customHeight="1">
      <c r="A5353" s="1" t="s">
        <v>365</v>
      </c>
      <c r="B5353" s="1" t="s">
        <v>34</v>
      </c>
      <c r="C5353" s="1" t="s">
        <v>11</v>
      </c>
      <c r="D5353" s="5">
        <v>45240.0</v>
      </c>
      <c r="G5353" s="1">
        <f>VLOOKUP(B5353,'old-aw-skill-plan'!A:I,7,FALSE)</f>
        <v>4</v>
      </c>
      <c r="H5353" s="1" t="str">
        <f>VLOOKUP(B5353,'old-aw-skill-plan'!A:I,9,FALSE)</f>
        <v>4-1</v>
      </c>
    </row>
    <row r="5354" ht="15.75" customHeight="1">
      <c r="A5354" s="1" t="s">
        <v>365</v>
      </c>
      <c r="B5354" s="1" t="s">
        <v>37</v>
      </c>
      <c r="C5354" s="1" t="s">
        <v>11</v>
      </c>
      <c r="D5354" s="5">
        <v>45240.0</v>
      </c>
      <c r="G5354" s="1">
        <f>VLOOKUP(B5354,'old-aw-skill-plan'!A:I,7,FALSE)</f>
        <v>4</v>
      </c>
      <c r="H5354" s="1" t="str">
        <f>VLOOKUP(B5354,'old-aw-skill-plan'!A:I,9,FALSE)</f>
        <v>4-2</v>
      </c>
    </row>
    <row r="5355" ht="15.75" customHeight="1">
      <c r="A5355" s="1" t="s">
        <v>94</v>
      </c>
      <c r="B5355" s="1" t="s">
        <v>307</v>
      </c>
      <c r="C5355" s="1" t="s">
        <v>11</v>
      </c>
      <c r="D5355" s="5">
        <v>45240.0</v>
      </c>
      <c r="G5355" s="1">
        <f>VLOOKUP(B5355,'old-aw-skill-plan'!A:I,7,FALSE)</f>
        <v>3</v>
      </c>
      <c r="H5355" s="1" t="str">
        <f>VLOOKUP(B5355,'old-aw-skill-plan'!A:I,9,FALSE)</f>
        <v>3-1</v>
      </c>
    </row>
    <row r="5356" ht="15.75" customHeight="1">
      <c r="A5356" s="1" t="s">
        <v>468</v>
      </c>
      <c r="B5356" s="1" t="s">
        <v>356</v>
      </c>
      <c r="C5356" s="1" t="s">
        <v>11</v>
      </c>
      <c r="D5356" s="5">
        <v>45240.0</v>
      </c>
      <c r="G5356" s="1">
        <f>VLOOKUP(B5356,'old-aw-skill-plan'!A:I,7,FALSE)</f>
        <v>3</v>
      </c>
      <c r="H5356" s="1" t="str">
        <f>VLOOKUP(B5356,'old-aw-skill-plan'!A:I,9,FALSE)</f>
        <v>3-2</v>
      </c>
    </row>
    <row r="5357" ht="15.75" customHeight="1">
      <c r="A5357" s="1" t="s">
        <v>468</v>
      </c>
      <c r="B5357" s="1" t="s">
        <v>377</v>
      </c>
      <c r="C5357" s="1" t="s">
        <v>11</v>
      </c>
      <c r="D5357" s="5">
        <v>45240.0</v>
      </c>
      <c r="G5357" s="1">
        <f>VLOOKUP(B5357,'old-aw-skill-plan'!A:I,7,FALSE)</f>
        <v>3</v>
      </c>
      <c r="H5357" s="1" t="str">
        <f>VLOOKUP(B5357,'old-aw-skill-plan'!A:I,9,FALSE)</f>
        <v>3-3</v>
      </c>
    </row>
    <row r="5358" ht="15.75" customHeight="1">
      <c r="A5358" s="1" t="s">
        <v>468</v>
      </c>
      <c r="B5358" s="1" t="s">
        <v>352</v>
      </c>
      <c r="C5358" s="1" t="s">
        <v>11</v>
      </c>
      <c r="D5358" s="5">
        <v>45240.0</v>
      </c>
      <c r="G5358" s="1">
        <f>VLOOKUP(B5358,'old-aw-skill-plan'!A:I,7,FALSE)</f>
        <v>3</v>
      </c>
      <c r="H5358" s="1" t="str">
        <f>VLOOKUP(B5358,'old-aw-skill-plan'!A:I,9,FALSE)</f>
        <v>3-2</v>
      </c>
    </row>
    <row r="5359" ht="15.75" customHeight="1">
      <c r="A5359" s="1" t="s">
        <v>468</v>
      </c>
      <c r="B5359" s="1" t="s">
        <v>34</v>
      </c>
      <c r="C5359" s="1" t="s">
        <v>11</v>
      </c>
      <c r="D5359" s="5">
        <v>45240.0</v>
      </c>
      <c r="G5359" s="1">
        <f>VLOOKUP(B5359,'old-aw-skill-plan'!A:I,7,FALSE)</f>
        <v>4</v>
      </c>
      <c r="H5359" s="1" t="str">
        <f>VLOOKUP(B5359,'old-aw-skill-plan'!A:I,9,FALSE)</f>
        <v>4-1</v>
      </c>
    </row>
    <row r="5360" ht="15.75" customHeight="1">
      <c r="A5360" s="1" t="s">
        <v>468</v>
      </c>
      <c r="B5360" s="1" t="s">
        <v>97</v>
      </c>
      <c r="C5360" s="1" t="s">
        <v>11</v>
      </c>
      <c r="D5360" s="5">
        <v>45240.0</v>
      </c>
      <c r="G5360" s="1">
        <f>VLOOKUP(B5360,'old-aw-skill-plan'!A:I,7,FALSE)</f>
        <v>4</v>
      </c>
      <c r="H5360" s="1" t="str">
        <f>VLOOKUP(B5360,'old-aw-skill-plan'!A:I,9,FALSE)</f>
        <v>4-3</v>
      </c>
    </row>
    <row r="5361" ht="15.75" customHeight="1">
      <c r="A5361" s="1" t="s">
        <v>468</v>
      </c>
      <c r="B5361" s="1" t="s">
        <v>382</v>
      </c>
      <c r="C5361" s="1" t="s">
        <v>11</v>
      </c>
      <c r="D5361" s="5">
        <v>45240.0</v>
      </c>
      <c r="G5361" s="1">
        <f>VLOOKUP(B5361,'old-aw-skill-plan'!A:I,7,FALSE)</f>
        <v>4</v>
      </c>
      <c r="H5361" s="1" t="str">
        <f>VLOOKUP(B5361,'old-aw-skill-plan'!A:I,9,FALSE)</f>
        <v>4-3</v>
      </c>
    </row>
    <row r="5362" ht="15.75" customHeight="1">
      <c r="A5362" s="1" t="s">
        <v>427</v>
      </c>
      <c r="B5362" s="1" t="s">
        <v>307</v>
      </c>
      <c r="C5362" s="1" t="s">
        <v>11</v>
      </c>
      <c r="D5362" s="5">
        <v>45240.0</v>
      </c>
      <c r="G5362" s="1">
        <f>VLOOKUP(B5362,'old-aw-skill-plan'!A:I,7,FALSE)</f>
        <v>3</v>
      </c>
      <c r="H5362" s="1" t="str">
        <f>VLOOKUP(B5362,'old-aw-skill-plan'!A:I,9,FALSE)</f>
        <v>3-1</v>
      </c>
    </row>
    <row r="5363" ht="15.75" customHeight="1">
      <c r="A5363" s="1" t="s">
        <v>427</v>
      </c>
      <c r="B5363" s="1" t="s">
        <v>356</v>
      </c>
      <c r="C5363" s="1" t="s">
        <v>11</v>
      </c>
      <c r="D5363" s="5">
        <v>45240.0</v>
      </c>
      <c r="G5363" s="1">
        <f>VLOOKUP(B5363,'old-aw-skill-plan'!A:I,7,FALSE)</f>
        <v>3</v>
      </c>
      <c r="H5363" s="1" t="str">
        <f>VLOOKUP(B5363,'old-aw-skill-plan'!A:I,9,FALSE)</f>
        <v>3-2</v>
      </c>
    </row>
    <row r="5364" ht="15.75" customHeight="1">
      <c r="A5364" s="1" t="s">
        <v>436</v>
      </c>
      <c r="B5364" s="1" t="s">
        <v>307</v>
      </c>
      <c r="C5364" s="1" t="s">
        <v>11</v>
      </c>
      <c r="D5364" s="5">
        <v>45240.0</v>
      </c>
      <c r="G5364" s="1">
        <f>VLOOKUP(B5364,'old-aw-skill-plan'!A:I,7,FALSE)</f>
        <v>3</v>
      </c>
      <c r="H5364" s="1" t="str">
        <f>VLOOKUP(B5364,'old-aw-skill-plan'!A:I,9,FALSE)</f>
        <v>3-1</v>
      </c>
    </row>
    <row r="5365" ht="15.75" customHeight="1">
      <c r="A5365" s="1" t="s">
        <v>110</v>
      </c>
      <c r="B5365" s="1" t="s">
        <v>10</v>
      </c>
      <c r="C5365" s="1" t="s">
        <v>11</v>
      </c>
      <c r="D5365" s="5">
        <v>45240.0</v>
      </c>
      <c r="G5365" s="1">
        <f>VLOOKUP(B5365,'old-aw-skill-plan'!A:I,7,FALSE)</f>
        <v>3</v>
      </c>
      <c r="H5365" s="1" t="str">
        <f>VLOOKUP(B5365,'old-aw-skill-plan'!A:I,9,FALSE)</f>
        <v>3-1</v>
      </c>
    </row>
    <row r="5366" ht="15.75" customHeight="1">
      <c r="A5366" s="1" t="s">
        <v>474</v>
      </c>
      <c r="B5366" s="1" t="s">
        <v>10</v>
      </c>
      <c r="C5366" s="1" t="s">
        <v>11</v>
      </c>
      <c r="D5366" s="5">
        <v>45239.0</v>
      </c>
      <c r="G5366" s="1">
        <f>VLOOKUP(B5366,'old-aw-skill-plan'!A:I,7,FALSE)</f>
        <v>3</v>
      </c>
      <c r="H5366" s="1" t="str">
        <f>VLOOKUP(B5366,'old-aw-skill-plan'!A:I,9,FALSE)</f>
        <v>3-1</v>
      </c>
    </row>
    <row r="5367" ht="15.75" customHeight="1">
      <c r="A5367" s="1" t="s">
        <v>458</v>
      </c>
      <c r="B5367" s="1" t="s">
        <v>10</v>
      </c>
      <c r="C5367" s="1" t="s">
        <v>11</v>
      </c>
      <c r="D5367" s="5">
        <v>45239.0</v>
      </c>
      <c r="G5367" s="1">
        <f>VLOOKUP(B5367,'old-aw-skill-plan'!A:I,7,FALSE)</f>
        <v>3</v>
      </c>
      <c r="H5367" s="1" t="str">
        <f>VLOOKUP(B5367,'old-aw-skill-plan'!A:I,9,FALSE)</f>
        <v>3-1</v>
      </c>
    </row>
    <row r="5368" ht="15.75" customHeight="1">
      <c r="A5368" s="1" t="s">
        <v>199</v>
      </c>
      <c r="B5368" s="1" t="s">
        <v>34</v>
      </c>
      <c r="C5368" s="1" t="s">
        <v>11</v>
      </c>
      <c r="D5368" s="5">
        <v>45239.0</v>
      </c>
      <c r="G5368" s="1">
        <f>VLOOKUP(B5368,'old-aw-skill-plan'!A:I,7,FALSE)</f>
        <v>4</v>
      </c>
      <c r="H5368" s="1" t="str">
        <f>VLOOKUP(B5368,'old-aw-skill-plan'!A:I,9,FALSE)</f>
        <v>4-1</v>
      </c>
    </row>
    <row r="5369" ht="15.75" customHeight="1">
      <c r="A5369" s="1" t="s">
        <v>36</v>
      </c>
      <c r="B5369" s="1" t="s">
        <v>30</v>
      </c>
      <c r="C5369" s="1" t="s">
        <v>11</v>
      </c>
      <c r="D5369" s="5">
        <v>45239.0</v>
      </c>
      <c r="G5369" s="1">
        <f>VLOOKUP(B5369,'old-aw-skill-plan'!A:I,7,FALSE)</f>
        <v>3</v>
      </c>
      <c r="H5369" s="1" t="str">
        <f>VLOOKUP(B5369,'old-aw-skill-plan'!A:I,9,FALSE)</f>
        <v>3-3</v>
      </c>
    </row>
    <row r="5370" ht="15.75" customHeight="1">
      <c r="A5370" s="1" t="s">
        <v>460</v>
      </c>
      <c r="B5370" s="1" t="s">
        <v>44</v>
      </c>
      <c r="C5370" s="1" t="s">
        <v>11</v>
      </c>
      <c r="D5370" s="5">
        <v>45239.0</v>
      </c>
      <c r="G5370" s="1">
        <f>VLOOKUP(B5370,'old-aw-skill-plan'!A:I,7,FALSE)</f>
        <v>5</v>
      </c>
      <c r="H5370" s="1" t="str">
        <f>VLOOKUP(B5370,'old-aw-skill-plan'!A:I,9,FALSE)</f>
        <v>5-1</v>
      </c>
    </row>
    <row r="5371" ht="15.75" customHeight="1">
      <c r="A5371" s="1" t="s">
        <v>419</v>
      </c>
      <c r="B5371" s="1" t="s">
        <v>34</v>
      </c>
      <c r="C5371" s="1" t="s">
        <v>11</v>
      </c>
      <c r="D5371" s="5">
        <v>45239.0</v>
      </c>
      <c r="G5371" s="1">
        <f>VLOOKUP(B5371,'old-aw-skill-plan'!A:I,7,FALSE)</f>
        <v>4</v>
      </c>
      <c r="H5371" s="1" t="str">
        <f>VLOOKUP(B5371,'old-aw-skill-plan'!A:I,9,FALSE)</f>
        <v>4-1</v>
      </c>
    </row>
    <row r="5372" ht="15.75" customHeight="1">
      <c r="A5372" s="1" t="s">
        <v>473</v>
      </c>
      <c r="B5372" s="1" t="s">
        <v>10</v>
      </c>
      <c r="C5372" s="1" t="s">
        <v>11</v>
      </c>
      <c r="D5372" s="5">
        <v>45239.0</v>
      </c>
      <c r="G5372" s="1">
        <f>VLOOKUP(B5372,'old-aw-skill-plan'!A:I,7,FALSE)</f>
        <v>3</v>
      </c>
      <c r="H5372" s="1" t="str">
        <f>VLOOKUP(B5372,'old-aw-skill-plan'!A:I,9,FALSE)</f>
        <v>3-1</v>
      </c>
    </row>
    <row r="5373" ht="15.75" customHeight="1">
      <c r="A5373" s="1" t="s">
        <v>429</v>
      </c>
      <c r="B5373" s="1" t="s">
        <v>34</v>
      </c>
      <c r="C5373" s="1" t="s">
        <v>11</v>
      </c>
      <c r="D5373" s="5">
        <v>45239.0</v>
      </c>
      <c r="G5373" s="1">
        <f>VLOOKUP(B5373,'old-aw-skill-plan'!A:I,7,FALSE)</f>
        <v>4</v>
      </c>
      <c r="H5373" s="1" t="str">
        <f>VLOOKUP(B5373,'old-aw-skill-plan'!A:I,9,FALSE)</f>
        <v>4-1</v>
      </c>
    </row>
    <row r="5374" ht="15.75" customHeight="1">
      <c r="A5374" s="1" t="s">
        <v>230</v>
      </c>
      <c r="B5374" s="1" t="s">
        <v>307</v>
      </c>
      <c r="C5374" s="1" t="s">
        <v>11</v>
      </c>
      <c r="D5374" s="5">
        <v>45239.0</v>
      </c>
      <c r="G5374" s="1">
        <f>VLOOKUP(B5374,'old-aw-skill-plan'!A:I,7,FALSE)</f>
        <v>3</v>
      </c>
      <c r="H5374" s="1" t="str">
        <f>VLOOKUP(B5374,'old-aw-skill-plan'!A:I,9,FALSE)</f>
        <v>3-1</v>
      </c>
    </row>
    <row r="5375" ht="15.75" customHeight="1">
      <c r="A5375" s="1" t="s">
        <v>230</v>
      </c>
      <c r="B5375" s="1" t="s">
        <v>425</v>
      </c>
      <c r="C5375" s="1" t="s">
        <v>11</v>
      </c>
      <c r="D5375" s="5">
        <v>45239.0</v>
      </c>
      <c r="G5375" s="1">
        <f>VLOOKUP(B5375,'old-aw-skill-plan'!A:I,7,FALSE)</f>
        <v>3</v>
      </c>
      <c r="H5375" s="1" t="str">
        <f>VLOOKUP(B5375,'old-aw-skill-plan'!A:I,9,FALSE)</f>
        <v>3-1</v>
      </c>
    </row>
    <row r="5376" ht="15.75" customHeight="1">
      <c r="A5376" s="1" t="s">
        <v>428</v>
      </c>
      <c r="B5376" s="1" t="s">
        <v>34</v>
      </c>
      <c r="C5376" s="1" t="s">
        <v>11</v>
      </c>
      <c r="D5376" s="5">
        <v>45239.0</v>
      </c>
      <c r="G5376" s="1">
        <f>VLOOKUP(B5376,'old-aw-skill-plan'!A:I,7,FALSE)</f>
        <v>4</v>
      </c>
      <c r="H5376" s="1" t="str">
        <f>VLOOKUP(B5376,'old-aw-skill-plan'!A:I,9,FALSE)</f>
        <v>4-1</v>
      </c>
    </row>
    <row r="5377" ht="15.75" customHeight="1">
      <c r="A5377" s="1" t="s">
        <v>420</v>
      </c>
      <c r="B5377" s="1" t="s">
        <v>309</v>
      </c>
      <c r="C5377" s="1" t="s">
        <v>11</v>
      </c>
      <c r="D5377" s="5">
        <v>45239.0</v>
      </c>
      <c r="G5377" s="1">
        <f>VLOOKUP(B5377,'old-aw-skill-plan'!A:I,7,FALSE)</f>
        <v>4</v>
      </c>
      <c r="H5377" s="1" t="str">
        <f>VLOOKUP(B5377,'old-aw-skill-plan'!A:I,9,FALSE)</f>
        <v>4-1</v>
      </c>
    </row>
    <row r="5378" ht="15.75" customHeight="1">
      <c r="A5378" s="1" t="s">
        <v>471</v>
      </c>
      <c r="B5378" s="1" t="s">
        <v>30</v>
      </c>
      <c r="C5378" s="1" t="s">
        <v>11</v>
      </c>
      <c r="D5378" s="5">
        <v>45239.0</v>
      </c>
      <c r="G5378" s="1">
        <f>VLOOKUP(B5378,'old-aw-skill-plan'!A:I,7,FALSE)</f>
        <v>3</v>
      </c>
      <c r="H5378" s="1" t="str">
        <f>VLOOKUP(B5378,'old-aw-skill-plan'!A:I,9,FALSE)</f>
        <v>3-3</v>
      </c>
    </row>
    <row r="5379" ht="15.75" customHeight="1">
      <c r="A5379" s="1" t="s">
        <v>275</v>
      </c>
      <c r="B5379" s="1" t="s">
        <v>44</v>
      </c>
      <c r="C5379" s="1" t="s">
        <v>11</v>
      </c>
      <c r="D5379" s="5">
        <v>45239.0</v>
      </c>
      <c r="G5379" s="1">
        <f>VLOOKUP(B5379,'old-aw-skill-plan'!A:I,7,FALSE)</f>
        <v>5</v>
      </c>
      <c r="H5379" s="1" t="str">
        <f>VLOOKUP(B5379,'old-aw-skill-plan'!A:I,9,FALSE)</f>
        <v>5-1</v>
      </c>
    </row>
    <row r="5380" ht="15.75" customHeight="1">
      <c r="A5380" s="1" t="s">
        <v>214</v>
      </c>
      <c r="B5380" s="1" t="s">
        <v>30</v>
      </c>
      <c r="C5380" s="1" t="s">
        <v>11</v>
      </c>
      <c r="D5380" s="5">
        <v>45239.0</v>
      </c>
      <c r="G5380" s="1">
        <f>VLOOKUP(B5380,'old-aw-skill-plan'!A:I,7,FALSE)</f>
        <v>3</v>
      </c>
      <c r="H5380" s="1" t="str">
        <f>VLOOKUP(B5380,'old-aw-skill-plan'!A:I,9,FALSE)</f>
        <v>3-3</v>
      </c>
    </row>
    <row r="5381" ht="15.75" customHeight="1">
      <c r="A5381" s="1" t="s">
        <v>214</v>
      </c>
      <c r="B5381" s="1" t="s">
        <v>377</v>
      </c>
      <c r="C5381" s="1" t="s">
        <v>11</v>
      </c>
      <c r="D5381" s="5">
        <v>45239.0</v>
      </c>
      <c r="G5381" s="1">
        <f>VLOOKUP(B5381,'old-aw-skill-plan'!A:I,7,FALSE)</f>
        <v>3</v>
      </c>
      <c r="H5381" s="1" t="str">
        <f>VLOOKUP(B5381,'old-aw-skill-plan'!A:I,9,FALSE)</f>
        <v>3-3</v>
      </c>
    </row>
    <row r="5382" ht="15.75" customHeight="1">
      <c r="A5382" s="1" t="s">
        <v>197</v>
      </c>
      <c r="B5382" s="1" t="s">
        <v>34</v>
      </c>
      <c r="C5382" s="1" t="s">
        <v>11</v>
      </c>
      <c r="D5382" s="5">
        <v>45239.0</v>
      </c>
      <c r="G5382" s="1">
        <f>VLOOKUP(B5382,'old-aw-skill-plan'!A:I,7,FALSE)</f>
        <v>4</v>
      </c>
      <c r="H5382" s="1" t="str">
        <f>VLOOKUP(B5382,'old-aw-skill-plan'!A:I,9,FALSE)</f>
        <v>4-1</v>
      </c>
    </row>
    <row r="5383" ht="15.75" customHeight="1">
      <c r="A5383" s="1" t="s">
        <v>430</v>
      </c>
      <c r="B5383" s="1" t="s">
        <v>10</v>
      </c>
      <c r="C5383" s="1" t="s">
        <v>11</v>
      </c>
      <c r="D5383" s="5">
        <v>45239.0</v>
      </c>
      <c r="G5383" s="1">
        <f>VLOOKUP(B5383,'old-aw-skill-plan'!A:I,7,FALSE)</f>
        <v>3</v>
      </c>
      <c r="H5383" s="1" t="str">
        <f>VLOOKUP(B5383,'old-aw-skill-plan'!A:I,9,FALSE)</f>
        <v>3-1</v>
      </c>
    </row>
    <row r="5384" ht="15.75" customHeight="1">
      <c r="A5384" s="1" t="s">
        <v>265</v>
      </c>
      <c r="B5384" s="1" t="s">
        <v>44</v>
      </c>
      <c r="C5384" s="1" t="s">
        <v>11</v>
      </c>
      <c r="D5384" s="5">
        <v>45239.0</v>
      </c>
      <c r="G5384" s="1">
        <f>VLOOKUP(B5384,'old-aw-skill-plan'!A:I,7,FALSE)</f>
        <v>5</v>
      </c>
      <c r="H5384" s="1" t="str">
        <f>VLOOKUP(B5384,'old-aw-skill-plan'!A:I,9,FALSE)</f>
        <v>5-1</v>
      </c>
    </row>
    <row r="5385" ht="15.75" customHeight="1">
      <c r="A5385" s="1" t="s">
        <v>278</v>
      </c>
      <c r="B5385" s="1" t="s">
        <v>307</v>
      </c>
      <c r="C5385" s="1" t="s">
        <v>11</v>
      </c>
      <c r="D5385" s="5">
        <v>45239.0</v>
      </c>
      <c r="G5385" s="1">
        <f>VLOOKUP(B5385,'old-aw-skill-plan'!A:I,7,FALSE)</f>
        <v>3</v>
      </c>
      <c r="H5385" s="1" t="str">
        <f>VLOOKUP(B5385,'old-aw-skill-plan'!A:I,9,FALSE)</f>
        <v>3-1</v>
      </c>
    </row>
    <row r="5386" ht="15.75" customHeight="1">
      <c r="A5386" s="1" t="s">
        <v>365</v>
      </c>
      <c r="B5386" s="1" t="s">
        <v>34</v>
      </c>
      <c r="C5386" s="1" t="s">
        <v>11</v>
      </c>
      <c r="D5386" s="5">
        <v>45239.0</v>
      </c>
      <c r="G5386" s="1">
        <f>VLOOKUP(B5386,'old-aw-skill-plan'!A:I,7,FALSE)</f>
        <v>4</v>
      </c>
      <c r="H5386" s="1" t="str">
        <f>VLOOKUP(B5386,'old-aw-skill-plan'!A:I,9,FALSE)</f>
        <v>4-1</v>
      </c>
    </row>
    <row r="5387" ht="15.75" customHeight="1">
      <c r="A5387" s="1" t="s">
        <v>427</v>
      </c>
      <c r="B5387" s="1" t="s">
        <v>307</v>
      </c>
      <c r="C5387" s="1" t="s">
        <v>11</v>
      </c>
      <c r="D5387" s="5">
        <v>45239.0</v>
      </c>
      <c r="G5387" s="1">
        <f>VLOOKUP(B5387,'old-aw-skill-plan'!A:I,7,FALSE)</f>
        <v>3</v>
      </c>
      <c r="H5387" s="1" t="str">
        <f>VLOOKUP(B5387,'old-aw-skill-plan'!A:I,9,FALSE)</f>
        <v>3-1</v>
      </c>
    </row>
    <row r="5388" ht="15.75" customHeight="1">
      <c r="A5388" s="1" t="s">
        <v>110</v>
      </c>
      <c r="B5388" s="1" t="s">
        <v>10</v>
      </c>
      <c r="C5388" s="1" t="s">
        <v>11</v>
      </c>
      <c r="D5388" s="5">
        <v>45239.0</v>
      </c>
      <c r="G5388" s="1">
        <f>VLOOKUP(B5388,'old-aw-skill-plan'!A:I,7,FALSE)</f>
        <v>3</v>
      </c>
      <c r="H5388" s="1" t="str">
        <f>VLOOKUP(B5388,'old-aw-skill-plan'!A:I,9,FALSE)</f>
        <v>3-1</v>
      </c>
    </row>
    <row r="5389" ht="15.75" customHeight="1">
      <c r="A5389" s="1" t="s">
        <v>22</v>
      </c>
      <c r="B5389" s="1" t="s">
        <v>34</v>
      </c>
      <c r="C5389" s="1" t="s">
        <v>11</v>
      </c>
      <c r="D5389" s="5">
        <v>45238.0</v>
      </c>
      <c r="G5389" s="1">
        <f>VLOOKUP(B5389,'old-aw-skill-plan'!A:I,7,FALSE)</f>
        <v>4</v>
      </c>
      <c r="H5389" s="1" t="str">
        <f>VLOOKUP(B5389,'old-aw-skill-plan'!A:I,9,FALSE)</f>
        <v>4-1</v>
      </c>
    </row>
    <row r="5390" ht="15.75" customHeight="1">
      <c r="A5390" s="1" t="s">
        <v>474</v>
      </c>
      <c r="B5390" s="1" t="s">
        <v>10</v>
      </c>
      <c r="C5390" s="1" t="s">
        <v>11</v>
      </c>
      <c r="D5390" s="5">
        <v>45238.0</v>
      </c>
      <c r="G5390" s="1">
        <f>VLOOKUP(B5390,'old-aw-skill-plan'!A:I,7,FALSE)</f>
        <v>3</v>
      </c>
      <c r="H5390" s="1" t="str">
        <f>VLOOKUP(B5390,'old-aw-skill-plan'!A:I,9,FALSE)</f>
        <v>3-1</v>
      </c>
    </row>
    <row r="5391" ht="15.75" customHeight="1">
      <c r="A5391" s="1" t="s">
        <v>216</v>
      </c>
      <c r="B5391" s="1" t="s">
        <v>34</v>
      </c>
      <c r="C5391" s="1" t="s">
        <v>11</v>
      </c>
      <c r="D5391" s="5">
        <v>45238.0</v>
      </c>
      <c r="G5391" s="1">
        <f>VLOOKUP(B5391,'old-aw-skill-plan'!A:I,7,FALSE)</f>
        <v>4</v>
      </c>
      <c r="H5391" s="1" t="str">
        <f>VLOOKUP(B5391,'old-aw-skill-plan'!A:I,9,FALSE)</f>
        <v>4-1</v>
      </c>
    </row>
    <row r="5392" ht="15.75" customHeight="1">
      <c r="A5392" s="1" t="s">
        <v>35</v>
      </c>
      <c r="B5392" s="1" t="s">
        <v>34</v>
      </c>
      <c r="C5392" s="1" t="s">
        <v>11</v>
      </c>
      <c r="D5392" s="5">
        <v>45238.0</v>
      </c>
      <c r="G5392" s="1">
        <f>VLOOKUP(B5392,'old-aw-skill-plan'!A:I,7,FALSE)</f>
        <v>4</v>
      </c>
      <c r="H5392" s="1" t="str">
        <f>VLOOKUP(B5392,'old-aw-skill-plan'!A:I,9,FALSE)</f>
        <v>4-1</v>
      </c>
    </row>
    <row r="5393" ht="15.75" customHeight="1">
      <c r="A5393" s="1" t="s">
        <v>24</v>
      </c>
      <c r="B5393" s="1" t="s">
        <v>34</v>
      </c>
      <c r="C5393" s="1" t="s">
        <v>11</v>
      </c>
      <c r="D5393" s="5">
        <v>45238.0</v>
      </c>
      <c r="G5393" s="1">
        <f>VLOOKUP(B5393,'old-aw-skill-plan'!A:I,7,FALSE)</f>
        <v>4</v>
      </c>
      <c r="H5393" s="1" t="str">
        <f>VLOOKUP(B5393,'old-aw-skill-plan'!A:I,9,FALSE)</f>
        <v>4-1</v>
      </c>
    </row>
    <row r="5394" ht="15.75" customHeight="1">
      <c r="A5394" s="1" t="s">
        <v>271</v>
      </c>
      <c r="B5394" s="1" t="s">
        <v>444</v>
      </c>
      <c r="C5394" s="1" t="s">
        <v>11</v>
      </c>
      <c r="D5394" s="5">
        <v>45238.0</v>
      </c>
      <c r="G5394" s="1">
        <f>VLOOKUP(B5394,'old-aw-skill-plan'!A:I,7,FALSE)</f>
        <v>4</v>
      </c>
      <c r="H5394" s="1" t="str">
        <f>VLOOKUP(B5394,'old-aw-skill-plan'!A:I,9,FALSE)</f>
        <v>4-1</v>
      </c>
    </row>
    <row r="5395" ht="15.75" customHeight="1">
      <c r="A5395" s="1" t="s">
        <v>434</v>
      </c>
      <c r="B5395" s="1" t="s">
        <v>352</v>
      </c>
      <c r="C5395" s="1" t="s">
        <v>11</v>
      </c>
      <c r="D5395" s="5">
        <v>45238.0</v>
      </c>
      <c r="G5395" s="1">
        <f>VLOOKUP(B5395,'old-aw-skill-plan'!A:I,7,FALSE)</f>
        <v>3</v>
      </c>
      <c r="H5395" s="1" t="str">
        <f>VLOOKUP(B5395,'old-aw-skill-plan'!A:I,9,FALSE)</f>
        <v>3-2</v>
      </c>
    </row>
    <row r="5396" ht="15.75" customHeight="1">
      <c r="A5396" s="1" t="s">
        <v>213</v>
      </c>
      <c r="B5396" s="1" t="s">
        <v>47</v>
      </c>
      <c r="C5396" s="1" t="s">
        <v>11</v>
      </c>
      <c r="D5396" s="5">
        <v>45238.0</v>
      </c>
      <c r="G5396" s="1">
        <f>VLOOKUP(B5396,'old-aw-skill-plan'!A:I,7,FALSE)</f>
        <v>3</v>
      </c>
      <c r="H5396" s="1" t="str">
        <f>VLOOKUP(B5396,'old-aw-skill-plan'!A:I,9,FALSE)</f>
        <v>3-2</v>
      </c>
    </row>
    <row r="5397" ht="15.75" customHeight="1">
      <c r="A5397" s="1" t="s">
        <v>475</v>
      </c>
      <c r="B5397" s="1" t="s">
        <v>37</v>
      </c>
      <c r="C5397" s="1" t="s">
        <v>11</v>
      </c>
      <c r="D5397" s="5">
        <v>45238.0</v>
      </c>
      <c r="G5397" s="1">
        <f>VLOOKUP(B5397,'old-aw-skill-plan'!A:I,7,FALSE)</f>
        <v>4</v>
      </c>
      <c r="H5397" s="1" t="str">
        <f>VLOOKUP(B5397,'old-aw-skill-plan'!A:I,9,FALSE)</f>
        <v>4-2</v>
      </c>
    </row>
    <row r="5398" ht="15.75" customHeight="1">
      <c r="A5398" s="1" t="s">
        <v>199</v>
      </c>
      <c r="B5398" s="1" t="s">
        <v>34</v>
      </c>
      <c r="C5398" s="1" t="s">
        <v>11</v>
      </c>
      <c r="D5398" s="5">
        <v>45238.0</v>
      </c>
      <c r="G5398" s="1">
        <f>VLOOKUP(B5398,'old-aw-skill-plan'!A:I,7,FALSE)</f>
        <v>4</v>
      </c>
      <c r="H5398" s="1" t="str">
        <f>VLOOKUP(B5398,'old-aw-skill-plan'!A:I,9,FALSE)</f>
        <v>4-1</v>
      </c>
    </row>
    <row r="5399" ht="15.75" customHeight="1">
      <c r="A5399" s="1" t="s">
        <v>36</v>
      </c>
      <c r="B5399" s="1" t="s">
        <v>30</v>
      </c>
      <c r="C5399" s="1" t="s">
        <v>11</v>
      </c>
      <c r="D5399" s="5">
        <v>45238.0</v>
      </c>
      <c r="G5399" s="1">
        <f>VLOOKUP(B5399,'old-aw-skill-plan'!A:I,7,FALSE)</f>
        <v>3</v>
      </c>
      <c r="H5399" s="1" t="str">
        <f>VLOOKUP(B5399,'old-aw-skill-plan'!A:I,9,FALSE)</f>
        <v>3-3</v>
      </c>
    </row>
    <row r="5400" ht="15.75" customHeight="1">
      <c r="A5400" s="1" t="s">
        <v>460</v>
      </c>
      <c r="B5400" s="1" t="s">
        <v>44</v>
      </c>
      <c r="C5400" s="1" t="s">
        <v>11</v>
      </c>
      <c r="D5400" s="5">
        <v>45238.0</v>
      </c>
      <c r="G5400" s="1">
        <f>VLOOKUP(B5400,'old-aw-skill-plan'!A:I,7,FALSE)</f>
        <v>5</v>
      </c>
      <c r="H5400" s="1" t="str">
        <f>VLOOKUP(B5400,'old-aw-skill-plan'!A:I,9,FALSE)</f>
        <v>5-1</v>
      </c>
    </row>
    <row r="5401" ht="15.75" customHeight="1">
      <c r="A5401" s="1" t="s">
        <v>469</v>
      </c>
      <c r="B5401" s="1" t="s">
        <v>34</v>
      </c>
      <c r="C5401" s="1" t="s">
        <v>11</v>
      </c>
      <c r="D5401" s="5">
        <v>45238.0</v>
      </c>
      <c r="G5401" s="1">
        <f>VLOOKUP(B5401,'old-aw-skill-plan'!A:I,7,FALSE)</f>
        <v>4</v>
      </c>
      <c r="H5401" s="1" t="str">
        <f>VLOOKUP(B5401,'old-aw-skill-plan'!A:I,9,FALSE)</f>
        <v>4-1</v>
      </c>
    </row>
    <row r="5402" ht="15.75" customHeight="1">
      <c r="A5402" s="1" t="s">
        <v>237</v>
      </c>
      <c r="B5402" s="1" t="s">
        <v>47</v>
      </c>
      <c r="C5402" s="1" t="s">
        <v>11</v>
      </c>
      <c r="D5402" s="5">
        <v>45238.0</v>
      </c>
      <c r="G5402" s="1">
        <f>VLOOKUP(B5402,'old-aw-skill-plan'!A:I,7,FALSE)</f>
        <v>3</v>
      </c>
      <c r="H5402" s="1" t="str">
        <f>VLOOKUP(B5402,'old-aw-skill-plan'!A:I,9,FALSE)</f>
        <v>3-2</v>
      </c>
    </row>
    <row r="5403" ht="15.75" customHeight="1">
      <c r="A5403" s="1" t="s">
        <v>465</v>
      </c>
      <c r="B5403" s="1" t="s">
        <v>425</v>
      </c>
      <c r="C5403" s="1" t="s">
        <v>11</v>
      </c>
      <c r="D5403" s="5">
        <v>45238.0</v>
      </c>
      <c r="G5403" s="1">
        <f>VLOOKUP(B5403,'old-aw-skill-plan'!A:I,7,FALSE)</f>
        <v>3</v>
      </c>
      <c r="H5403" s="1" t="str">
        <f>VLOOKUP(B5403,'old-aw-skill-plan'!A:I,9,FALSE)</f>
        <v>3-1</v>
      </c>
    </row>
    <row r="5404" ht="15.75" customHeight="1">
      <c r="A5404" s="1" t="s">
        <v>465</v>
      </c>
      <c r="B5404" s="1" t="s">
        <v>352</v>
      </c>
      <c r="C5404" s="1" t="s">
        <v>11</v>
      </c>
      <c r="D5404" s="5">
        <v>45238.0</v>
      </c>
      <c r="G5404" s="1">
        <f>VLOOKUP(B5404,'old-aw-skill-plan'!A:I,7,FALSE)</f>
        <v>3</v>
      </c>
      <c r="H5404" s="1" t="str">
        <f>VLOOKUP(B5404,'old-aw-skill-plan'!A:I,9,FALSE)</f>
        <v>3-2</v>
      </c>
    </row>
    <row r="5405" ht="15.75" customHeight="1">
      <c r="A5405" s="1" t="s">
        <v>454</v>
      </c>
      <c r="B5405" s="1" t="s">
        <v>383</v>
      </c>
      <c r="C5405" s="1" t="s">
        <v>11</v>
      </c>
      <c r="D5405" s="5">
        <v>45238.0</v>
      </c>
      <c r="G5405" s="1">
        <f>VLOOKUP(B5405,'old-aw-skill-plan'!A:I,7,FALSE)</f>
        <v>3</v>
      </c>
      <c r="H5405" s="1" t="str">
        <f>VLOOKUP(B5405,'old-aw-skill-plan'!A:I,9,FALSE)</f>
        <v>3-3</v>
      </c>
    </row>
    <row r="5406" ht="15.75" customHeight="1">
      <c r="A5406" s="1" t="s">
        <v>454</v>
      </c>
      <c r="B5406" s="1" t="s">
        <v>356</v>
      </c>
      <c r="C5406" s="1" t="s">
        <v>11</v>
      </c>
      <c r="D5406" s="5">
        <v>45238.0</v>
      </c>
      <c r="G5406" s="1">
        <f>VLOOKUP(B5406,'old-aw-skill-plan'!A:I,7,FALSE)</f>
        <v>3</v>
      </c>
      <c r="H5406" s="1" t="str">
        <f>VLOOKUP(B5406,'old-aw-skill-plan'!A:I,9,FALSE)</f>
        <v>3-2</v>
      </c>
    </row>
    <row r="5407" ht="15.75" customHeight="1">
      <c r="A5407" s="1" t="s">
        <v>459</v>
      </c>
      <c r="B5407" s="1" t="s">
        <v>307</v>
      </c>
      <c r="C5407" s="1" t="s">
        <v>11</v>
      </c>
      <c r="D5407" s="5">
        <v>45238.0</v>
      </c>
      <c r="G5407" s="1">
        <f>VLOOKUP(B5407,'old-aw-skill-plan'!A:I,7,FALSE)</f>
        <v>3</v>
      </c>
      <c r="H5407" s="1" t="str">
        <f>VLOOKUP(B5407,'old-aw-skill-plan'!A:I,9,FALSE)</f>
        <v>3-1</v>
      </c>
    </row>
    <row r="5408" ht="15.75" customHeight="1">
      <c r="A5408" s="1" t="s">
        <v>459</v>
      </c>
      <c r="B5408" s="1" t="s">
        <v>356</v>
      </c>
      <c r="C5408" s="1" t="s">
        <v>11</v>
      </c>
      <c r="D5408" s="5">
        <v>45238.0</v>
      </c>
      <c r="G5408" s="1">
        <f>VLOOKUP(B5408,'old-aw-skill-plan'!A:I,7,FALSE)</f>
        <v>3</v>
      </c>
      <c r="H5408" s="1" t="str">
        <f>VLOOKUP(B5408,'old-aw-skill-plan'!A:I,9,FALSE)</f>
        <v>3-2</v>
      </c>
    </row>
    <row r="5409" ht="15.75" customHeight="1">
      <c r="A5409" s="1" t="s">
        <v>238</v>
      </c>
      <c r="B5409" s="1" t="s">
        <v>30</v>
      </c>
      <c r="C5409" s="1" t="s">
        <v>11</v>
      </c>
      <c r="D5409" s="5">
        <v>45238.0</v>
      </c>
      <c r="G5409" s="1">
        <f>VLOOKUP(B5409,'old-aw-skill-plan'!A:I,7,FALSE)</f>
        <v>3</v>
      </c>
      <c r="H5409" s="1" t="str">
        <f>VLOOKUP(B5409,'old-aw-skill-plan'!A:I,9,FALSE)</f>
        <v>3-3</v>
      </c>
    </row>
    <row r="5410" ht="15.75" customHeight="1">
      <c r="A5410" s="1" t="s">
        <v>238</v>
      </c>
      <c r="B5410" s="1" t="s">
        <v>307</v>
      </c>
      <c r="C5410" s="1" t="s">
        <v>11</v>
      </c>
      <c r="D5410" s="5">
        <v>45238.0</v>
      </c>
      <c r="G5410" s="1">
        <f>VLOOKUP(B5410,'old-aw-skill-plan'!A:I,7,FALSE)</f>
        <v>3</v>
      </c>
      <c r="H5410" s="1" t="str">
        <f>VLOOKUP(B5410,'old-aw-skill-plan'!A:I,9,FALSE)</f>
        <v>3-1</v>
      </c>
    </row>
    <row r="5411" ht="15.75" customHeight="1">
      <c r="A5411" s="1" t="s">
        <v>238</v>
      </c>
      <c r="B5411" s="1" t="s">
        <v>37</v>
      </c>
      <c r="C5411" s="1" t="s">
        <v>11</v>
      </c>
      <c r="D5411" s="5">
        <v>45238.0</v>
      </c>
      <c r="G5411" s="1">
        <f>VLOOKUP(B5411,'old-aw-skill-plan'!A:I,7,FALSE)</f>
        <v>4</v>
      </c>
      <c r="H5411" s="1" t="str">
        <f>VLOOKUP(B5411,'old-aw-skill-plan'!A:I,9,FALSE)</f>
        <v>4-2</v>
      </c>
    </row>
    <row r="5412" ht="15.75" customHeight="1">
      <c r="A5412" s="1" t="s">
        <v>473</v>
      </c>
      <c r="B5412" s="1" t="s">
        <v>10</v>
      </c>
      <c r="C5412" s="1" t="s">
        <v>11</v>
      </c>
      <c r="D5412" s="5">
        <v>45238.0</v>
      </c>
      <c r="G5412" s="1">
        <f>VLOOKUP(B5412,'old-aw-skill-plan'!A:I,7,FALSE)</f>
        <v>3</v>
      </c>
      <c r="H5412" s="1" t="str">
        <f>VLOOKUP(B5412,'old-aw-skill-plan'!A:I,9,FALSE)</f>
        <v>3-1</v>
      </c>
    </row>
    <row r="5413" ht="15.75" customHeight="1">
      <c r="A5413" s="1" t="s">
        <v>56</v>
      </c>
      <c r="B5413" s="1" t="s">
        <v>47</v>
      </c>
      <c r="C5413" s="1" t="s">
        <v>11</v>
      </c>
      <c r="D5413" s="5">
        <v>45238.0</v>
      </c>
      <c r="G5413" s="1">
        <f>VLOOKUP(B5413,'old-aw-skill-plan'!A:I,7,FALSE)</f>
        <v>3</v>
      </c>
      <c r="H5413" s="1" t="str">
        <f>VLOOKUP(B5413,'old-aw-skill-plan'!A:I,9,FALSE)</f>
        <v>3-2</v>
      </c>
    </row>
    <row r="5414" ht="15.75" customHeight="1">
      <c r="A5414" s="1" t="s">
        <v>81</v>
      </c>
      <c r="B5414" s="1" t="s">
        <v>34</v>
      </c>
      <c r="C5414" s="1" t="s">
        <v>11</v>
      </c>
      <c r="D5414" s="5">
        <v>45238.0</v>
      </c>
      <c r="G5414" s="1">
        <f>VLOOKUP(B5414,'old-aw-skill-plan'!A:I,7,FALSE)</f>
        <v>4</v>
      </c>
      <c r="H5414" s="1" t="str">
        <f>VLOOKUP(B5414,'old-aw-skill-plan'!A:I,9,FALSE)</f>
        <v>4-1</v>
      </c>
    </row>
    <row r="5415" ht="15.75" customHeight="1">
      <c r="A5415" s="1" t="s">
        <v>428</v>
      </c>
      <c r="B5415" s="1" t="s">
        <v>34</v>
      </c>
      <c r="C5415" s="1" t="s">
        <v>11</v>
      </c>
      <c r="D5415" s="5">
        <v>45238.0</v>
      </c>
      <c r="G5415" s="1">
        <f>VLOOKUP(B5415,'old-aw-skill-plan'!A:I,7,FALSE)</f>
        <v>4</v>
      </c>
      <c r="H5415" s="1" t="str">
        <f>VLOOKUP(B5415,'old-aw-skill-plan'!A:I,9,FALSE)</f>
        <v>4-1</v>
      </c>
    </row>
    <row r="5416" ht="15.75" customHeight="1">
      <c r="A5416" s="1" t="s">
        <v>420</v>
      </c>
      <c r="B5416" s="1" t="s">
        <v>34</v>
      </c>
      <c r="C5416" s="1" t="s">
        <v>11</v>
      </c>
      <c r="D5416" s="5">
        <v>45238.0</v>
      </c>
      <c r="G5416" s="1">
        <f>VLOOKUP(B5416,'old-aw-skill-plan'!A:I,7,FALSE)</f>
        <v>4</v>
      </c>
      <c r="H5416" s="1" t="str">
        <f>VLOOKUP(B5416,'old-aw-skill-plan'!A:I,9,FALSE)</f>
        <v>4-1</v>
      </c>
    </row>
    <row r="5417" ht="15.75" customHeight="1">
      <c r="A5417" s="1" t="s">
        <v>471</v>
      </c>
      <c r="B5417" s="1" t="s">
        <v>30</v>
      </c>
      <c r="C5417" s="1" t="s">
        <v>11</v>
      </c>
      <c r="D5417" s="5">
        <v>45238.0</v>
      </c>
      <c r="G5417" s="1">
        <f>VLOOKUP(B5417,'old-aw-skill-plan'!A:I,7,FALSE)</f>
        <v>3</v>
      </c>
      <c r="H5417" s="1" t="str">
        <f>VLOOKUP(B5417,'old-aw-skill-plan'!A:I,9,FALSE)</f>
        <v>3-3</v>
      </c>
    </row>
    <row r="5418" ht="15.75" customHeight="1">
      <c r="A5418" s="1" t="s">
        <v>275</v>
      </c>
      <c r="B5418" s="1" t="s">
        <v>425</v>
      </c>
      <c r="C5418" s="1" t="s">
        <v>11</v>
      </c>
      <c r="D5418" s="5">
        <v>45238.0</v>
      </c>
      <c r="G5418" s="1">
        <f>VLOOKUP(B5418,'old-aw-skill-plan'!A:I,7,FALSE)</f>
        <v>3</v>
      </c>
      <c r="H5418" s="1" t="str">
        <f>VLOOKUP(B5418,'old-aw-skill-plan'!A:I,9,FALSE)</f>
        <v>3-1</v>
      </c>
    </row>
    <row r="5419" ht="15.75" customHeight="1">
      <c r="A5419" s="1" t="s">
        <v>95</v>
      </c>
      <c r="B5419" s="1" t="s">
        <v>47</v>
      </c>
      <c r="C5419" s="1" t="s">
        <v>11</v>
      </c>
      <c r="D5419" s="5">
        <v>45238.0</v>
      </c>
      <c r="G5419" s="1">
        <f>VLOOKUP(B5419,'old-aw-skill-plan'!A:I,7,FALSE)</f>
        <v>3</v>
      </c>
      <c r="H5419" s="1" t="str">
        <f>VLOOKUP(B5419,'old-aw-skill-plan'!A:I,9,FALSE)</f>
        <v>3-2</v>
      </c>
    </row>
    <row r="5420" ht="15.75" customHeight="1">
      <c r="A5420" s="1" t="s">
        <v>197</v>
      </c>
      <c r="B5420" s="1" t="s">
        <v>34</v>
      </c>
      <c r="C5420" s="1" t="s">
        <v>11</v>
      </c>
      <c r="D5420" s="5">
        <v>45238.0</v>
      </c>
      <c r="G5420" s="1">
        <f>VLOOKUP(B5420,'old-aw-skill-plan'!A:I,7,FALSE)</f>
        <v>4</v>
      </c>
      <c r="H5420" s="1" t="str">
        <f>VLOOKUP(B5420,'old-aw-skill-plan'!A:I,9,FALSE)</f>
        <v>4-1</v>
      </c>
    </row>
    <row r="5421" ht="15.75" customHeight="1">
      <c r="A5421" s="1" t="s">
        <v>373</v>
      </c>
      <c r="B5421" s="1" t="s">
        <v>10</v>
      </c>
      <c r="C5421" s="1" t="s">
        <v>11</v>
      </c>
      <c r="D5421" s="5">
        <v>45238.0</v>
      </c>
      <c r="G5421" s="1">
        <f>VLOOKUP(B5421,'old-aw-skill-plan'!A:I,7,FALSE)</f>
        <v>3</v>
      </c>
      <c r="H5421" s="1" t="str">
        <f>VLOOKUP(B5421,'old-aw-skill-plan'!A:I,9,FALSE)</f>
        <v>3-1</v>
      </c>
    </row>
    <row r="5422" ht="15.75" customHeight="1">
      <c r="A5422" s="1" t="s">
        <v>181</v>
      </c>
      <c r="B5422" s="1" t="s">
        <v>307</v>
      </c>
      <c r="C5422" s="1" t="s">
        <v>11</v>
      </c>
      <c r="D5422" s="5">
        <v>45238.0</v>
      </c>
      <c r="G5422" s="1">
        <f>VLOOKUP(B5422,'old-aw-skill-plan'!A:I,7,FALSE)</f>
        <v>3</v>
      </c>
      <c r="H5422" s="1" t="str">
        <f>VLOOKUP(B5422,'old-aw-skill-plan'!A:I,9,FALSE)</f>
        <v>3-1</v>
      </c>
    </row>
    <row r="5423" ht="15.75" customHeight="1">
      <c r="A5423" s="1" t="s">
        <v>181</v>
      </c>
      <c r="B5423" s="1" t="s">
        <v>356</v>
      </c>
      <c r="C5423" s="1" t="s">
        <v>11</v>
      </c>
      <c r="D5423" s="5">
        <v>45238.0</v>
      </c>
      <c r="G5423" s="1">
        <f>VLOOKUP(B5423,'old-aw-skill-plan'!A:I,7,FALSE)</f>
        <v>3</v>
      </c>
      <c r="H5423" s="1" t="str">
        <f>VLOOKUP(B5423,'old-aw-skill-plan'!A:I,9,FALSE)</f>
        <v>3-2</v>
      </c>
    </row>
    <row r="5424" ht="15.75" customHeight="1">
      <c r="A5424" s="1" t="s">
        <v>457</v>
      </c>
      <c r="B5424" s="1" t="s">
        <v>30</v>
      </c>
      <c r="C5424" s="1" t="s">
        <v>11</v>
      </c>
      <c r="D5424" s="5">
        <v>45238.0</v>
      </c>
      <c r="G5424" s="1">
        <f>VLOOKUP(B5424,'old-aw-skill-plan'!A:I,7,FALSE)</f>
        <v>3</v>
      </c>
      <c r="H5424" s="1" t="str">
        <f>VLOOKUP(B5424,'old-aw-skill-plan'!A:I,9,FALSE)</f>
        <v>3-3</v>
      </c>
    </row>
    <row r="5425" ht="15.75" customHeight="1">
      <c r="A5425" s="1" t="s">
        <v>457</v>
      </c>
      <c r="B5425" s="1" t="s">
        <v>383</v>
      </c>
      <c r="C5425" s="1" t="s">
        <v>11</v>
      </c>
      <c r="D5425" s="5">
        <v>45238.0</v>
      </c>
      <c r="G5425" s="1">
        <f>VLOOKUP(B5425,'old-aw-skill-plan'!A:I,7,FALSE)</f>
        <v>3</v>
      </c>
      <c r="H5425" s="1" t="str">
        <f>VLOOKUP(B5425,'old-aw-skill-plan'!A:I,9,FALSE)</f>
        <v>3-3</v>
      </c>
    </row>
    <row r="5426" ht="15.75" customHeight="1">
      <c r="A5426" s="1" t="s">
        <v>457</v>
      </c>
      <c r="B5426" s="1" t="s">
        <v>425</v>
      </c>
      <c r="C5426" s="1" t="s">
        <v>11</v>
      </c>
      <c r="D5426" s="5">
        <v>45238.0</v>
      </c>
      <c r="G5426" s="1">
        <f>VLOOKUP(B5426,'old-aw-skill-plan'!A:I,7,FALSE)</f>
        <v>3</v>
      </c>
      <c r="H5426" s="1" t="str">
        <f>VLOOKUP(B5426,'old-aw-skill-plan'!A:I,9,FALSE)</f>
        <v>3-1</v>
      </c>
    </row>
    <row r="5427" ht="15.75" customHeight="1">
      <c r="A5427" s="1" t="s">
        <v>457</v>
      </c>
      <c r="B5427" s="1" t="s">
        <v>352</v>
      </c>
      <c r="C5427" s="1" t="s">
        <v>11</v>
      </c>
      <c r="D5427" s="5">
        <v>45238.0</v>
      </c>
      <c r="G5427" s="1">
        <f>VLOOKUP(B5427,'old-aw-skill-plan'!A:I,7,FALSE)</f>
        <v>3</v>
      </c>
      <c r="H5427" s="1" t="str">
        <f>VLOOKUP(B5427,'old-aw-skill-plan'!A:I,9,FALSE)</f>
        <v>3-2</v>
      </c>
    </row>
    <row r="5428" ht="15.75" customHeight="1">
      <c r="A5428" s="1" t="s">
        <v>93</v>
      </c>
      <c r="B5428" s="1" t="s">
        <v>34</v>
      </c>
      <c r="C5428" s="1" t="s">
        <v>11</v>
      </c>
      <c r="D5428" s="5">
        <v>45238.0</v>
      </c>
      <c r="G5428" s="1">
        <f>VLOOKUP(B5428,'old-aw-skill-plan'!A:I,7,FALSE)</f>
        <v>4</v>
      </c>
      <c r="H5428" s="1" t="str">
        <f>VLOOKUP(B5428,'old-aw-skill-plan'!A:I,9,FALSE)</f>
        <v>4-1</v>
      </c>
    </row>
    <row r="5429" ht="15.75" customHeight="1">
      <c r="A5429" s="1" t="s">
        <v>94</v>
      </c>
      <c r="B5429" s="1" t="s">
        <v>307</v>
      </c>
      <c r="C5429" s="1" t="s">
        <v>11</v>
      </c>
      <c r="D5429" s="5">
        <v>45238.0</v>
      </c>
      <c r="G5429" s="1">
        <f>VLOOKUP(B5429,'old-aw-skill-plan'!A:I,7,FALSE)</f>
        <v>3</v>
      </c>
      <c r="H5429" s="1" t="str">
        <f>VLOOKUP(B5429,'old-aw-skill-plan'!A:I,9,FALSE)</f>
        <v>3-1</v>
      </c>
    </row>
    <row r="5430" ht="15.75" customHeight="1">
      <c r="A5430" s="1" t="s">
        <v>468</v>
      </c>
      <c r="B5430" s="1" t="s">
        <v>383</v>
      </c>
      <c r="C5430" s="1" t="s">
        <v>11</v>
      </c>
      <c r="D5430" s="5">
        <v>45238.0</v>
      </c>
      <c r="G5430" s="1">
        <f>VLOOKUP(B5430,'old-aw-skill-plan'!A:I,7,FALSE)</f>
        <v>3</v>
      </c>
      <c r="H5430" s="1" t="str">
        <f>VLOOKUP(B5430,'old-aw-skill-plan'!A:I,9,FALSE)</f>
        <v>3-3</v>
      </c>
    </row>
    <row r="5431" ht="15.75" customHeight="1">
      <c r="A5431" s="1" t="s">
        <v>468</v>
      </c>
      <c r="B5431" s="1" t="s">
        <v>356</v>
      </c>
      <c r="C5431" s="1" t="s">
        <v>11</v>
      </c>
      <c r="D5431" s="5">
        <v>45238.0</v>
      </c>
      <c r="G5431" s="1">
        <f>VLOOKUP(B5431,'old-aw-skill-plan'!A:I,7,FALSE)</f>
        <v>3</v>
      </c>
      <c r="H5431" s="1" t="str">
        <f>VLOOKUP(B5431,'old-aw-skill-plan'!A:I,9,FALSE)</f>
        <v>3-2</v>
      </c>
    </row>
    <row r="5432" ht="15.75" customHeight="1">
      <c r="A5432" s="1" t="s">
        <v>468</v>
      </c>
      <c r="B5432" s="1" t="s">
        <v>425</v>
      </c>
      <c r="C5432" s="1" t="s">
        <v>11</v>
      </c>
      <c r="D5432" s="5">
        <v>45238.0</v>
      </c>
      <c r="G5432" s="1">
        <f>VLOOKUP(B5432,'old-aw-skill-plan'!A:I,7,FALSE)</f>
        <v>3</v>
      </c>
      <c r="H5432" s="1" t="str">
        <f>VLOOKUP(B5432,'old-aw-skill-plan'!A:I,9,FALSE)</f>
        <v>3-1</v>
      </c>
    </row>
    <row r="5433" ht="15.75" customHeight="1">
      <c r="A5433" s="1" t="s">
        <v>468</v>
      </c>
      <c r="B5433" s="1" t="s">
        <v>377</v>
      </c>
      <c r="C5433" s="1" t="s">
        <v>11</v>
      </c>
      <c r="D5433" s="5">
        <v>45238.0</v>
      </c>
      <c r="G5433" s="1">
        <f>VLOOKUP(B5433,'old-aw-skill-plan'!A:I,7,FALSE)</f>
        <v>3</v>
      </c>
      <c r="H5433" s="1" t="str">
        <f>VLOOKUP(B5433,'old-aw-skill-plan'!A:I,9,FALSE)</f>
        <v>3-3</v>
      </c>
    </row>
    <row r="5434" ht="15.75" customHeight="1">
      <c r="A5434" s="1" t="s">
        <v>468</v>
      </c>
      <c r="B5434" s="1" t="s">
        <v>352</v>
      </c>
      <c r="C5434" s="1" t="s">
        <v>11</v>
      </c>
      <c r="D5434" s="5">
        <v>45238.0</v>
      </c>
      <c r="G5434" s="1">
        <f>VLOOKUP(B5434,'old-aw-skill-plan'!A:I,7,FALSE)</f>
        <v>3</v>
      </c>
      <c r="H5434" s="1" t="str">
        <f>VLOOKUP(B5434,'old-aw-skill-plan'!A:I,9,FALSE)</f>
        <v>3-2</v>
      </c>
    </row>
    <row r="5435" ht="15.75" customHeight="1">
      <c r="A5435" s="1" t="s">
        <v>468</v>
      </c>
      <c r="B5435" s="1" t="s">
        <v>34</v>
      </c>
      <c r="C5435" s="1" t="s">
        <v>11</v>
      </c>
      <c r="D5435" s="5">
        <v>45238.0</v>
      </c>
      <c r="G5435" s="1">
        <f>VLOOKUP(B5435,'old-aw-skill-plan'!A:I,7,FALSE)</f>
        <v>4</v>
      </c>
      <c r="H5435" s="1" t="str">
        <f>VLOOKUP(B5435,'old-aw-skill-plan'!A:I,9,FALSE)</f>
        <v>4-1</v>
      </c>
    </row>
    <row r="5436" ht="15.75" customHeight="1">
      <c r="A5436" s="1" t="s">
        <v>468</v>
      </c>
      <c r="B5436" s="1" t="s">
        <v>37</v>
      </c>
      <c r="C5436" s="1" t="s">
        <v>11</v>
      </c>
      <c r="D5436" s="5">
        <v>45238.0</v>
      </c>
      <c r="G5436" s="1">
        <f>VLOOKUP(B5436,'old-aw-skill-plan'!A:I,7,FALSE)</f>
        <v>4</v>
      </c>
      <c r="H5436" s="1" t="str">
        <f>VLOOKUP(B5436,'old-aw-skill-plan'!A:I,9,FALSE)</f>
        <v>4-2</v>
      </c>
    </row>
    <row r="5437" ht="15.75" customHeight="1">
      <c r="A5437" s="1" t="s">
        <v>427</v>
      </c>
      <c r="B5437" s="1" t="s">
        <v>30</v>
      </c>
      <c r="C5437" s="1" t="s">
        <v>11</v>
      </c>
      <c r="D5437" s="5">
        <v>45238.0</v>
      </c>
      <c r="G5437" s="1">
        <f>VLOOKUP(B5437,'old-aw-skill-plan'!A:I,7,FALSE)</f>
        <v>3</v>
      </c>
      <c r="H5437" s="1" t="str">
        <f>VLOOKUP(B5437,'old-aw-skill-plan'!A:I,9,FALSE)</f>
        <v>3-3</v>
      </c>
    </row>
    <row r="5438" ht="15.75" customHeight="1">
      <c r="A5438" s="1" t="s">
        <v>427</v>
      </c>
      <c r="B5438" s="1" t="s">
        <v>307</v>
      </c>
      <c r="C5438" s="1" t="s">
        <v>11</v>
      </c>
      <c r="D5438" s="5">
        <v>45238.0</v>
      </c>
      <c r="G5438" s="1">
        <f>VLOOKUP(B5438,'old-aw-skill-plan'!A:I,7,FALSE)</f>
        <v>3</v>
      </c>
      <c r="H5438" s="1" t="str">
        <f>VLOOKUP(B5438,'old-aw-skill-plan'!A:I,9,FALSE)</f>
        <v>3-1</v>
      </c>
    </row>
    <row r="5439" ht="15.75" customHeight="1">
      <c r="A5439" s="1" t="s">
        <v>436</v>
      </c>
      <c r="B5439" s="1" t="s">
        <v>307</v>
      </c>
      <c r="C5439" s="1" t="s">
        <v>11</v>
      </c>
      <c r="D5439" s="5">
        <v>45238.0</v>
      </c>
      <c r="G5439" s="1">
        <f>VLOOKUP(B5439,'old-aw-skill-plan'!A:I,7,FALSE)</f>
        <v>3</v>
      </c>
      <c r="H5439" s="1" t="str">
        <f>VLOOKUP(B5439,'old-aw-skill-plan'!A:I,9,FALSE)</f>
        <v>3-1</v>
      </c>
    </row>
    <row r="5440" ht="15.75" customHeight="1">
      <c r="A5440" s="1" t="s">
        <v>110</v>
      </c>
      <c r="B5440" s="1" t="s">
        <v>10</v>
      </c>
      <c r="C5440" s="1" t="s">
        <v>11</v>
      </c>
      <c r="D5440" s="5">
        <v>45238.0</v>
      </c>
      <c r="G5440" s="1">
        <f>VLOOKUP(B5440,'old-aw-skill-plan'!A:I,7,FALSE)</f>
        <v>3</v>
      </c>
      <c r="H5440" s="1" t="str">
        <f>VLOOKUP(B5440,'old-aw-skill-plan'!A:I,9,FALSE)</f>
        <v>3-1</v>
      </c>
    </row>
    <row r="5441" ht="15.75" customHeight="1">
      <c r="A5441" s="1" t="s">
        <v>464</v>
      </c>
      <c r="B5441" s="1" t="s">
        <v>44</v>
      </c>
      <c r="C5441" s="1" t="s">
        <v>11</v>
      </c>
      <c r="D5441" s="5">
        <v>45237.0</v>
      </c>
      <c r="G5441" s="1">
        <f>VLOOKUP(B5441,'old-aw-skill-plan'!A:I,7,FALSE)</f>
        <v>5</v>
      </c>
      <c r="H5441" s="1" t="str">
        <f>VLOOKUP(B5441,'old-aw-skill-plan'!A:I,9,FALSE)</f>
        <v>5-1</v>
      </c>
    </row>
    <row r="5442" ht="15.75" customHeight="1">
      <c r="A5442" s="1" t="s">
        <v>266</v>
      </c>
      <c r="B5442" s="1" t="s">
        <v>425</v>
      </c>
      <c r="C5442" s="1" t="s">
        <v>11</v>
      </c>
      <c r="D5442" s="5">
        <v>45237.0</v>
      </c>
      <c r="G5442" s="1">
        <f>VLOOKUP(B5442,'old-aw-skill-plan'!A:I,7,FALSE)</f>
        <v>3</v>
      </c>
      <c r="H5442" s="1" t="str">
        <f>VLOOKUP(B5442,'old-aw-skill-plan'!A:I,9,FALSE)</f>
        <v>3-1</v>
      </c>
    </row>
    <row r="5443" ht="15.75" customHeight="1">
      <c r="A5443" s="1" t="s">
        <v>266</v>
      </c>
      <c r="B5443" s="1" t="s">
        <v>377</v>
      </c>
      <c r="C5443" s="1" t="s">
        <v>11</v>
      </c>
      <c r="D5443" s="5">
        <v>45237.0</v>
      </c>
      <c r="G5443" s="1">
        <f>VLOOKUP(B5443,'old-aw-skill-plan'!A:I,7,FALSE)</f>
        <v>3</v>
      </c>
      <c r="H5443" s="1" t="str">
        <f>VLOOKUP(B5443,'old-aw-skill-plan'!A:I,9,FALSE)</f>
        <v>3-3</v>
      </c>
    </row>
    <row r="5444" ht="15.75" customHeight="1">
      <c r="A5444" s="1" t="s">
        <v>266</v>
      </c>
      <c r="B5444" s="1" t="s">
        <v>352</v>
      </c>
      <c r="C5444" s="1" t="s">
        <v>11</v>
      </c>
      <c r="D5444" s="5">
        <v>45237.0</v>
      </c>
      <c r="G5444" s="1">
        <f>VLOOKUP(B5444,'old-aw-skill-plan'!A:I,7,FALSE)</f>
        <v>3</v>
      </c>
      <c r="H5444" s="1" t="str">
        <f>VLOOKUP(B5444,'old-aw-skill-plan'!A:I,9,FALSE)</f>
        <v>3-2</v>
      </c>
    </row>
    <row r="5445" ht="15.75" customHeight="1">
      <c r="A5445" s="1" t="s">
        <v>22</v>
      </c>
      <c r="B5445" s="1" t="s">
        <v>34</v>
      </c>
      <c r="C5445" s="1" t="s">
        <v>11</v>
      </c>
      <c r="D5445" s="5">
        <v>45237.0</v>
      </c>
      <c r="G5445" s="1">
        <f>VLOOKUP(B5445,'old-aw-skill-plan'!A:I,7,FALSE)</f>
        <v>4</v>
      </c>
      <c r="H5445" s="1" t="str">
        <f>VLOOKUP(B5445,'old-aw-skill-plan'!A:I,9,FALSE)</f>
        <v>4-1</v>
      </c>
    </row>
    <row r="5446" ht="15.75" customHeight="1">
      <c r="A5446" s="1" t="s">
        <v>216</v>
      </c>
      <c r="B5446" s="1" t="s">
        <v>34</v>
      </c>
      <c r="C5446" s="1" t="s">
        <v>11</v>
      </c>
      <c r="D5446" s="5">
        <v>45237.0</v>
      </c>
      <c r="G5446" s="1">
        <f>VLOOKUP(B5446,'old-aw-skill-plan'!A:I,7,FALSE)</f>
        <v>4</v>
      </c>
      <c r="H5446" s="1" t="str">
        <f>VLOOKUP(B5446,'old-aw-skill-plan'!A:I,9,FALSE)</f>
        <v>4-1</v>
      </c>
    </row>
    <row r="5447" ht="15.75" customHeight="1">
      <c r="A5447" s="1" t="s">
        <v>35</v>
      </c>
      <c r="B5447" s="1" t="s">
        <v>34</v>
      </c>
      <c r="C5447" s="1" t="s">
        <v>11</v>
      </c>
      <c r="D5447" s="5">
        <v>45237.0</v>
      </c>
      <c r="G5447" s="1">
        <f>VLOOKUP(B5447,'old-aw-skill-plan'!A:I,7,FALSE)</f>
        <v>4</v>
      </c>
      <c r="H5447" s="1" t="str">
        <f>VLOOKUP(B5447,'old-aw-skill-plan'!A:I,9,FALSE)</f>
        <v>4-1</v>
      </c>
    </row>
    <row r="5448" ht="15.75" customHeight="1">
      <c r="A5448" s="1" t="s">
        <v>458</v>
      </c>
      <c r="B5448" s="1" t="s">
        <v>10</v>
      </c>
      <c r="C5448" s="1" t="s">
        <v>11</v>
      </c>
      <c r="D5448" s="5">
        <v>45237.0</v>
      </c>
      <c r="G5448" s="1">
        <f>VLOOKUP(B5448,'old-aw-skill-plan'!A:I,7,FALSE)</f>
        <v>3</v>
      </c>
      <c r="H5448" s="1" t="str">
        <f>VLOOKUP(B5448,'old-aw-skill-plan'!A:I,9,FALSE)</f>
        <v>3-1</v>
      </c>
    </row>
    <row r="5449" ht="15.75" customHeight="1">
      <c r="A5449" s="1" t="s">
        <v>213</v>
      </c>
      <c r="B5449" s="1" t="s">
        <v>10</v>
      </c>
      <c r="C5449" s="1" t="s">
        <v>11</v>
      </c>
      <c r="D5449" s="5">
        <v>45237.0</v>
      </c>
      <c r="G5449" s="1">
        <f>VLOOKUP(B5449,'old-aw-skill-plan'!A:I,7,FALSE)</f>
        <v>3</v>
      </c>
      <c r="H5449" s="1" t="str">
        <f>VLOOKUP(B5449,'old-aw-skill-plan'!A:I,9,FALSE)</f>
        <v>3-1</v>
      </c>
    </row>
    <row r="5450" ht="15.75" customHeight="1">
      <c r="A5450" s="1" t="s">
        <v>475</v>
      </c>
      <c r="B5450" s="1" t="s">
        <v>37</v>
      </c>
      <c r="C5450" s="1" t="s">
        <v>11</v>
      </c>
      <c r="D5450" s="5">
        <v>45237.0</v>
      </c>
      <c r="G5450" s="1">
        <f>VLOOKUP(B5450,'old-aw-skill-plan'!A:I,7,FALSE)</f>
        <v>4</v>
      </c>
      <c r="H5450" s="1" t="str">
        <f>VLOOKUP(B5450,'old-aw-skill-plan'!A:I,9,FALSE)</f>
        <v>4-2</v>
      </c>
    </row>
    <row r="5451" ht="15.75" customHeight="1">
      <c r="A5451" s="1" t="s">
        <v>199</v>
      </c>
      <c r="B5451" s="1" t="s">
        <v>34</v>
      </c>
      <c r="C5451" s="1" t="s">
        <v>11</v>
      </c>
      <c r="D5451" s="5">
        <v>45237.0</v>
      </c>
      <c r="G5451" s="1">
        <f>VLOOKUP(B5451,'old-aw-skill-plan'!A:I,7,FALSE)</f>
        <v>4</v>
      </c>
      <c r="H5451" s="1" t="str">
        <f>VLOOKUP(B5451,'old-aw-skill-plan'!A:I,9,FALSE)</f>
        <v>4-1</v>
      </c>
    </row>
    <row r="5452" ht="15.75" customHeight="1">
      <c r="A5452" s="1" t="s">
        <v>36</v>
      </c>
      <c r="B5452" s="1" t="s">
        <v>47</v>
      </c>
      <c r="C5452" s="1" t="s">
        <v>11</v>
      </c>
      <c r="D5452" s="5">
        <v>45237.0</v>
      </c>
      <c r="G5452" s="1">
        <f>VLOOKUP(B5452,'old-aw-skill-plan'!A:I,7,FALSE)</f>
        <v>3</v>
      </c>
      <c r="H5452" s="1" t="str">
        <f>VLOOKUP(B5452,'old-aw-skill-plan'!A:I,9,FALSE)</f>
        <v>3-2</v>
      </c>
    </row>
    <row r="5453" ht="15.75" customHeight="1">
      <c r="A5453" s="1" t="s">
        <v>469</v>
      </c>
      <c r="B5453" s="1" t="s">
        <v>34</v>
      </c>
      <c r="C5453" s="1" t="s">
        <v>11</v>
      </c>
      <c r="D5453" s="5">
        <v>45237.0</v>
      </c>
      <c r="G5453" s="1">
        <f>VLOOKUP(B5453,'old-aw-skill-plan'!A:I,7,FALSE)</f>
        <v>4</v>
      </c>
      <c r="H5453" s="1" t="str">
        <f>VLOOKUP(B5453,'old-aw-skill-plan'!A:I,9,FALSE)</f>
        <v>4-1</v>
      </c>
    </row>
    <row r="5454" ht="15.75" customHeight="1">
      <c r="A5454" s="1" t="s">
        <v>237</v>
      </c>
      <c r="B5454" s="1" t="s">
        <v>47</v>
      </c>
      <c r="C5454" s="1" t="s">
        <v>11</v>
      </c>
      <c r="D5454" s="5">
        <v>45237.0</v>
      </c>
      <c r="G5454" s="1">
        <f>VLOOKUP(B5454,'old-aw-skill-plan'!A:I,7,FALSE)</f>
        <v>3</v>
      </c>
      <c r="H5454" s="1" t="str">
        <f>VLOOKUP(B5454,'old-aw-skill-plan'!A:I,9,FALSE)</f>
        <v>3-2</v>
      </c>
    </row>
    <row r="5455" ht="15.75" customHeight="1">
      <c r="A5455" s="1" t="s">
        <v>267</v>
      </c>
      <c r="B5455" s="1" t="s">
        <v>44</v>
      </c>
      <c r="C5455" s="1" t="s">
        <v>11</v>
      </c>
      <c r="D5455" s="5">
        <v>45237.0</v>
      </c>
      <c r="G5455" s="1">
        <f>VLOOKUP(B5455,'old-aw-skill-plan'!A:I,7,FALSE)</f>
        <v>5</v>
      </c>
      <c r="H5455" s="1" t="str">
        <f>VLOOKUP(B5455,'old-aw-skill-plan'!A:I,9,FALSE)</f>
        <v>5-1</v>
      </c>
    </row>
    <row r="5456" ht="15.75" customHeight="1">
      <c r="A5456" s="1" t="s">
        <v>419</v>
      </c>
      <c r="B5456" s="1" t="s">
        <v>377</v>
      </c>
      <c r="C5456" s="1" t="s">
        <v>11</v>
      </c>
      <c r="D5456" s="5">
        <v>45237.0</v>
      </c>
      <c r="G5456" s="1">
        <f>VLOOKUP(B5456,'old-aw-skill-plan'!A:I,7,FALSE)</f>
        <v>3</v>
      </c>
      <c r="H5456" s="1" t="str">
        <f>VLOOKUP(B5456,'old-aw-skill-plan'!A:I,9,FALSE)</f>
        <v>3-3</v>
      </c>
    </row>
    <row r="5457" ht="15.75" customHeight="1">
      <c r="A5457" s="1" t="s">
        <v>419</v>
      </c>
      <c r="B5457" s="1" t="s">
        <v>352</v>
      </c>
      <c r="C5457" s="1" t="s">
        <v>11</v>
      </c>
      <c r="D5457" s="5">
        <v>45237.0</v>
      </c>
      <c r="G5457" s="1">
        <f>VLOOKUP(B5457,'old-aw-skill-plan'!A:I,7,FALSE)</f>
        <v>3</v>
      </c>
      <c r="H5457" s="1" t="str">
        <f>VLOOKUP(B5457,'old-aw-skill-plan'!A:I,9,FALSE)</f>
        <v>3-2</v>
      </c>
    </row>
    <row r="5458" ht="15.75" customHeight="1">
      <c r="A5458" s="1" t="s">
        <v>419</v>
      </c>
      <c r="B5458" s="1" t="s">
        <v>34</v>
      </c>
      <c r="C5458" s="1" t="s">
        <v>11</v>
      </c>
      <c r="D5458" s="5">
        <v>45237.0</v>
      </c>
      <c r="G5458" s="1">
        <f>VLOOKUP(B5458,'old-aw-skill-plan'!A:I,7,FALSE)</f>
        <v>4</v>
      </c>
      <c r="H5458" s="1" t="str">
        <f>VLOOKUP(B5458,'old-aw-skill-plan'!A:I,9,FALSE)</f>
        <v>4-1</v>
      </c>
    </row>
    <row r="5459" ht="15.75" customHeight="1">
      <c r="A5459" s="1" t="s">
        <v>56</v>
      </c>
      <c r="B5459" s="1" t="s">
        <v>47</v>
      </c>
      <c r="C5459" s="1" t="s">
        <v>11</v>
      </c>
      <c r="D5459" s="5">
        <v>45237.0</v>
      </c>
      <c r="G5459" s="1">
        <f>VLOOKUP(B5459,'old-aw-skill-plan'!A:I,7,FALSE)</f>
        <v>3</v>
      </c>
      <c r="H5459" s="1" t="str">
        <f>VLOOKUP(B5459,'old-aw-skill-plan'!A:I,9,FALSE)</f>
        <v>3-2</v>
      </c>
    </row>
    <row r="5460" ht="15.75" customHeight="1">
      <c r="A5460" s="1" t="s">
        <v>81</v>
      </c>
      <c r="B5460" s="1" t="s">
        <v>34</v>
      </c>
      <c r="C5460" s="1" t="s">
        <v>11</v>
      </c>
      <c r="D5460" s="5">
        <v>45237.0</v>
      </c>
      <c r="G5460" s="1">
        <f>VLOOKUP(B5460,'old-aw-skill-plan'!A:I,7,FALSE)</f>
        <v>4</v>
      </c>
      <c r="H5460" s="1" t="str">
        <f>VLOOKUP(B5460,'old-aw-skill-plan'!A:I,9,FALSE)</f>
        <v>4-1</v>
      </c>
    </row>
    <row r="5461" ht="15.75" customHeight="1">
      <c r="A5461" s="1" t="s">
        <v>421</v>
      </c>
      <c r="B5461" s="1" t="s">
        <v>356</v>
      </c>
      <c r="C5461" s="1" t="s">
        <v>11</v>
      </c>
      <c r="D5461" s="5">
        <v>45237.0</v>
      </c>
      <c r="G5461" s="1">
        <f>VLOOKUP(B5461,'old-aw-skill-plan'!A:I,7,FALSE)</f>
        <v>3</v>
      </c>
      <c r="H5461" s="1" t="str">
        <f>VLOOKUP(B5461,'old-aw-skill-plan'!A:I,9,FALSE)</f>
        <v>3-2</v>
      </c>
    </row>
    <row r="5462" ht="15.75" customHeight="1">
      <c r="A5462" s="1" t="s">
        <v>428</v>
      </c>
      <c r="B5462" s="1" t="s">
        <v>34</v>
      </c>
      <c r="C5462" s="1" t="s">
        <v>11</v>
      </c>
      <c r="D5462" s="5">
        <v>45237.0</v>
      </c>
      <c r="G5462" s="1">
        <f>VLOOKUP(B5462,'old-aw-skill-plan'!A:I,7,FALSE)</f>
        <v>4</v>
      </c>
      <c r="H5462" s="1" t="str">
        <f>VLOOKUP(B5462,'old-aw-skill-plan'!A:I,9,FALSE)</f>
        <v>4-1</v>
      </c>
    </row>
    <row r="5463" ht="15.75" customHeight="1">
      <c r="A5463" s="1" t="s">
        <v>420</v>
      </c>
      <c r="B5463" s="1" t="s">
        <v>34</v>
      </c>
      <c r="C5463" s="1" t="s">
        <v>11</v>
      </c>
      <c r="D5463" s="5">
        <v>45237.0</v>
      </c>
      <c r="G5463" s="1">
        <f>VLOOKUP(B5463,'old-aw-skill-plan'!A:I,7,FALSE)</f>
        <v>4</v>
      </c>
      <c r="H5463" s="1" t="str">
        <f>VLOOKUP(B5463,'old-aw-skill-plan'!A:I,9,FALSE)</f>
        <v>4-1</v>
      </c>
    </row>
    <row r="5464" ht="15.75" customHeight="1">
      <c r="A5464" s="1" t="s">
        <v>471</v>
      </c>
      <c r="B5464" s="1" t="s">
        <v>10</v>
      </c>
      <c r="C5464" s="1" t="s">
        <v>11</v>
      </c>
      <c r="D5464" s="5">
        <v>45237.0</v>
      </c>
      <c r="G5464" s="1">
        <f>VLOOKUP(B5464,'old-aw-skill-plan'!A:I,7,FALSE)</f>
        <v>3</v>
      </c>
      <c r="H5464" s="1" t="str">
        <f>VLOOKUP(B5464,'old-aw-skill-plan'!A:I,9,FALSE)</f>
        <v>3-1</v>
      </c>
    </row>
    <row r="5465" ht="15.75" customHeight="1">
      <c r="A5465" s="1" t="s">
        <v>471</v>
      </c>
      <c r="B5465" s="1" t="s">
        <v>30</v>
      </c>
      <c r="C5465" s="1" t="s">
        <v>11</v>
      </c>
      <c r="D5465" s="5">
        <v>45237.0</v>
      </c>
      <c r="G5465" s="1">
        <f>VLOOKUP(B5465,'old-aw-skill-plan'!A:I,7,FALSE)</f>
        <v>3</v>
      </c>
      <c r="H5465" s="1" t="str">
        <f>VLOOKUP(B5465,'old-aw-skill-plan'!A:I,9,FALSE)</f>
        <v>3-3</v>
      </c>
    </row>
    <row r="5466" ht="15.75" customHeight="1">
      <c r="A5466" s="1" t="s">
        <v>471</v>
      </c>
      <c r="B5466" s="1" t="s">
        <v>47</v>
      </c>
      <c r="C5466" s="1" t="s">
        <v>11</v>
      </c>
      <c r="D5466" s="5">
        <v>45237.0</v>
      </c>
      <c r="G5466" s="1">
        <f>VLOOKUP(B5466,'old-aw-skill-plan'!A:I,7,FALSE)</f>
        <v>3</v>
      </c>
      <c r="H5466" s="1" t="str">
        <f>VLOOKUP(B5466,'old-aw-skill-plan'!A:I,9,FALSE)</f>
        <v>3-2</v>
      </c>
    </row>
    <row r="5467" ht="15.75" customHeight="1">
      <c r="A5467" s="1" t="s">
        <v>275</v>
      </c>
      <c r="B5467" s="1" t="s">
        <v>44</v>
      </c>
      <c r="C5467" s="1" t="s">
        <v>11</v>
      </c>
      <c r="D5467" s="5">
        <v>45237.0</v>
      </c>
      <c r="G5467" s="1">
        <f>VLOOKUP(B5467,'old-aw-skill-plan'!A:I,7,FALSE)</f>
        <v>5</v>
      </c>
      <c r="H5467" s="1" t="str">
        <f>VLOOKUP(B5467,'old-aw-skill-plan'!A:I,9,FALSE)</f>
        <v>5-1</v>
      </c>
    </row>
    <row r="5468" ht="15.75" customHeight="1">
      <c r="A5468" s="1" t="s">
        <v>203</v>
      </c>
      <c r="B5468" s="1" t="s">
        <v>44</v>
      </c>
      <c r="C5468" s="1" t="s">
        <v>11</v>
      </c>
      <c r="D5468" s="5">
        <v>45237.0</v>
      </c>
      <c r="G5468" s="1">
        <f>VLOOKUP(B5468,'old-aw-skill-plan'!A:I,7,FALSE)</f>
        <v>5</v>
      </c>
      <c r="H5468" s="1" t="str">
        <f>VLOOKUP(B5468,'old-aw-skill-plan'!A:I,9,FALSE)</f>
        <v>5-1</v>
      </c>
    </row>
    <row r="5469" ht="15.75" customHeight="1">
      <c r="A5469" s="1" t="s">
        <v>268</v>
      </c>
      <c r="B5469" s="1" t="s">
        <v>382</v>
      </c>
      <c r="C5469" s="1" t="s">
        <v>11</v>
      </c>
      <c r="D5469" s="5">
        <v>45237.0</v>
      </c>
      <c r="G5469" s="1">
        <f>VLOOKUP(B5469,'old-aw-skill-plan'!A:I,7,FALSE)</f>
        <v>4</v>
      </c>
      <c r="H5469" s="1" t="str">
        <f>VLOOKUP(B5469,'old-aw-skill-plan'!A:I,9,FALSE)</f>
        <v>4-3</v>
      </c>
    </row>
    <row r="5470" ht="15.75" customHeight="1">
      <c r="A5470" s="1" t="s">
        <v>268</v>
      </c>
      <c r="B5470" s="1" t="s">
        <v>320</v>
      </c>
      <c r="C5470" s="1" t="s">
        <v>11</v>
      </c>
      <c r="D5470" s="5">
        <v>45237.0</v>
      </c>
      <c r="G5470" s="1">
        <f>VLOOKUP(B5470,'old-aw-skill-plan'!A:I,7,FALSE)</f>
        <v>4</v>
      </c>
      <c r="H5470" s="1" t="str">
        <f>VLOOKUP(B5470,'old-aw-skill-plan'!A:I,9,FALSE)</f>
        <v>4-2</v>
      </c>
    </row>
    <row r="5471" ht="15.75" customHeight="1">
      <c r="A5471" s="1" t="s">
        <v>461</v>
      </c>
      <c r="B5471" s="1" t="s">
        <v>44</v>
      </c>
      <c r="C5471" s="1" t="s">
        <v>11</v>
      </c>
      <c r="D5471" s="5">
        <v>45237.0</v>
      </c>
      <c r="G5471" s="1">
        <f>VLOOKUP(B5471,'old-aw-skill-plan'!A:I,7,FALSE)</f>
        <v>5</v>
      </c>
      <c r="H5471" s="1" t="str">
        <f>VLOOKUP(B5471,'old-aw-skill-plan'!A:I,9,FALSE)</f>
        <v>5-1</v>
      </c>
    </row>
    <row r="5472" ht="15.75" customHeight="1">
      <c r="A5472" s="1" t="s">
        <v>95</v>
      </c>
      <c r="B5472" s="1" t="s">
        <v>47</v>
      </c>
      <c r="C5472" s="1" t="s">
        <v>11</v>
      </c>
      <c r="D5472" s="5">
        <v>45237.0</v>
      </c>
      <c r="G5472" s="1">
        <f>VLOOKUP(B5472,'old-aw-skill-plan'!A:I,7,FALSE)</f>
        <v>3</v>
      </c>
      <c r="H5472" s="1" t="str">
        <f>VLOOKUP(B5472,'old-aw-skill-plan'!A:I,9,FALSE)</f>
        <v>3-2</v>
      </c>
    </row>
    <row r="5473" ht="15.75" customHeight="1">
      <c r="A5473" s="1" t="s">
        <v>214</v>
      </c>
      <c r="B5473" s="1" t="s">
        <v>30</v>
      </c>
      <c r="C5473" s="1" t="s">
        <v>11</v>
      </c>
      <c r="D5473" s="5">
        <v>45237.0</v>
      </c>
      <c r="G5473" s="1">
        <f>VLOOKUP(B5473,'old-aw-skill-plan'!A:I,7,FALSE)</f>
        <v>3</v>
      </c>
      <c r="H5473" s="1" t="str">
        <f>VLOOKUP(B5473,'old-aw-skill-plan'!A:I,9,FALSE)</f>
        <v>3-3</v>
      </c>
    </row>
    <row r="5474" ht="15.75" customHeight="1">
      <c r="A5474" s="1" t="s">
        <v>214</v>
      </c>
      <c r="B5474" s="1" t="s">
        <v>377</v>
      </c>
      <c r="C5474" s="1" t="s">
        <v>11</v>
      </c>
      <c r="D5474" s="5">
        <v>45237.0</v>
      </c>
      <c r="G5474" s="1">
        <f>VLOOKUP(B5474,'old-aw-skill-plan'!A:I,7,FALSE)</f>
        <v>3</v>
      </c>
      <c r="H5474" s="1" t="str">
        <f>VLOOKUP(B5474,'old-aw-skill-plan'!A:I,9,FALSE)</f>
        <v>3-3</v>
      </c>
    </row>
    <row r="5475" ht="15.75" customHeight="1">
      <c r="A5475" s="1" t="s">
        <v>197</v>
      </c>
      <c r="B5475" s="1" t="s">
        <v>34</v>
      </c>
      <c r="C5475" s="1" t="s">
        <v>11</v>
      </c>
      <c r="D5475" s="5">
        <v>45237.0</v>
      </c>
      <c r="G5475" s="1">
        <f>VLOOKUP(B5475,'old-aw-skill-plan'!A:I,7,FALSE)</f>
        <v>4</v>
      </c>
      <c r="H5475" s="1" t="str">
        <f>VLOOKUP(B5475,'old-aw-skill-plan'!A:I,9,FALSE)</f>
        <v>4-1</v>
      </c>
    </row>
    <row r="5476" ht="15.75" customHeight="1">
      <c r="A5476" s="1" t="s">
        <v>373</v>
      </c>
      <c r="B5476" s="1" t="s">
        <v>10</v>
      </c>
      <c r="C5476" s="1" t="s">
        <v>11</v>
      </c>
      <c r="D5476" s="5">
        <v>45237.0</v>
      </c>
      <c r="G5476" s="1">
        <f>VLOOKUP(B5476,'old-aw-skill-plan'!A:I,7,FALSE)</f>
        <v>3</v>
      </c>
      <c r="H5476" s="1" t="str">
        <f>VLOOKUP(B5476,'old-aw-skill-plan'!A:I,9,FALSE)</f>
        <v>3-1</v>
      </c>
    </row>
    <row r="5477" ht="15.75" customHeight="1">
      <c r="A5477" s="1" t="s">
        <v>74</v>
      </c>
      <c r="B5477" s="1" t="s">
        <v>44</v>
      </c>
      <c r="C5477" s="1" t="s">
        <v>11</v>
      </c>
      <c r="D5477" s="5">
        <v>45237.0</v>
      </c>
      <c r="G5477" s="1">
        <f>VLOOKUP(B5477,'old-aw-skill-plan'!A:I,7,FALSE)</f>
        <v>5</v>
      </c>
      <c r="H5477" s="1" t="str">
        <f>VLOOKUP(B5477,'old-aw-skill-plan'!A:I,9,FALSE)</f>
        <v>5-1</v>
      </c>
    </row>
    <row r="5478" ht="15.75" customHeight="1">
      <c r="A5478" s="1" t="s">
        <v>265</v>
      </c>
      <c r="B5478" s="1" t="s">
        <v>44</v>
      </c>
      <c r="C5478" s="1" t="s">
        <v>11</v>
      </c>
      <c r="D5478" s="5">
        <v>45237.0</v>
      </c>
      <c r="G5478" s="1">
        <f>VLOOKUP(B5478,'old-aw-skill-plan'!A:I,7,FALSE)</f>
        <v>5</v>
      </c>
      <c r="H5478" s="1" t="str">
        <f>VLOOKUP(B5478,'old-aw-skill-plan'!A:I,9,FALSE)</f>
        <v>5-1</v>
      </c>
    </row>
    <row r="5479" ht="15.75" customHeight="1">
      <c r="A5479" s="1" t="s">
        <v>102</v>
      </c>
      <c r="B5479" s="1" t="s">
        <v>352</v>
      </c>
      <c r="C5479" s="1" t="s">
        <v>11</v>
      </c>
      <c r="D5479" s="5">
        <v>45237.0</v>
      </c>
      <c r="G5479" s="1">
        <f>VLOOKUP(B5479,'old-aw-skill-plan'!A:I,7,FALSE)</f>
        <v>3</v>
      </c>
      <c r="H5479" s="1" t="str">
        <f>VLOOKUP(B5479,'old-aw-skill-plan'!A:I,9,FALSE)</f>
        <v>3-2</v>
      </c>
    </row>
    <row r="5480" ht="15.75" customHeight="1">
      <c r="A5480" s="1" t="s">
        <v>463</v>
      </c>
      <c r="B5480" s="1" t="s">
        <v>44</v>
      </c>
      <c r="C5480" s="1" t="s">
        <v>11</v>
      </c>
      <c r="D5480" s="5">
        <v>45237.0</v>
      </c>
      <c r="G5480" s="1">
        <f>VLOOKUP(B5480,'old-aw-skill-plan'!A:I,7,FALSE)</f>
        <v>5</v>
      </c>
      <c r="H5480" s="1" t="str">
        <f>VLOOKUP(B5480,'old-aw-skill-plan'!A:I,9,FALSE)</f>
        <v>5-1</v>
      </c>
    </row>
    <row r="5481" ht="15.75" customHeight="1">
      <c r="A5481" s="1" t="s">
        <v>93</v>
      </c>
      <c r="B5481" s="1" t="s">
        <v>34</v>
      </c>
      <c r="C5481" s="1" t="s">
        <v>11</v>
      </c>
      <c r="D5481" s="5">
        <v>45237.0</v>
      </c>
      <c r="G5481" s="1">
        <f>VLOOKUP(B5481,'old-aw-skill-plan'!A:I,7,FALSE)</f>
        <v>4</v>
      </c>
      <c r="H5481" s="1" t="str">
        <f>VLOOKUP(B5481,'old-aw-skill-plan'!A:I,9,FALSE)</f>
        <v>4-1</v>
      </c>
    </row>
    <row r="5482" ht="15.75" customHeight="1">
      <c r="A5482" s="1" t="s">
        <v>94</v>
      </c>
      <c r="B5482" s="1" t="s">
        <v>30</v>
      </c>
      <c r="C5482" s="1" t="s">
        <v>11</v>
      </c>
      <c r="D5482" s="5">
        <v>45237.0</v>
      </c>
      <c r="G5482" s="1">
        <f>VLOOKUP(B5482,'old-aw-skill-plan'!A:I,7,FALSE)</f>
        <v>3</v>
      </c>
      <c r="H5482" s="1" t="str">
        <f>VLOOKUP(B5482,'old-aw-skill-plan'!A:I,9,FALSE)</f>
        <v>3-3</v>
      </c>
    </row>
    <row r="5483" ht="15.75" customHeight="1">
      <c r="A5483" s="1" t="s">
        <v>94</v>
      </c>
      <c r="B5483" s="1" t="s">
        <v>307</v>
      </c>
      <c r="C5483" s="1" t="s">
        <v>11</v>
      </c>
      <c r="D5483" s="5">
        <v>45237.0</v>
      </c>
      <c r="G5483" s="1">
        <f>VLOOKUP(B5483,'old-aw-skill-plan'!A:I,7,FALSE)</f>
        <v>3</v>
      </c>
      <c r="H5483" s="1" t="str">
        <f>VLOOKUP(B5483,'old-aw-skill-plan'!A:I,9,FALSE)</f>
        <v>3-1</v>
      </c>
    </row>
    <row r="5484" ht="15.75" customHeight="1">
      <c r="A5484" s="1" t="s">
        <v>427</v>
      </c>
      <c r="B5484" s="1" t="s">
        <v>47</v>
      </c>
      <c r="C5484" s="1" t="s">
        <v>11</v>
      </c>
      <c r="D5484" s="5">
        <v>45237.0</v>
      </c>
      <c r="G5484" s="1">
        <f>VLOOKUP(B5484,'old-aw-skill-plan'!A:I,7,FALSE)</f>
        <v>3</v>
      </c>
      <c r="H5484" s="1" t="str">
        <f>VLOOKUP(B5484,'old-aw-skill-plan'!A:I,9,FALSE)</f>
        <v>3-2</v>
      </c>
    </row>
    <row r="5485" ht="15.75" customHeight="1">
      <c r="A5485" s="1" t="s">
        <v>436</v>
      </c>
      <c r="B5485" s="1" t="s">
        <v>307</v>
      </c>
      <c r="C5485" s="1" t="s">
        <v>11</v>
      </c>
      <c r="D5485" s="5">
        <v>45237.0</v>
      </c>
      <c r="G5485" s="1">
        <f>VLOOKUP(B5485,'old-aw-skill-plan'!A:I,7,FALSE)</f>
        <v>3</v>
      </c>
      <c r="H5485" s="1" t="str">
        <f>VLOOKUP(B5485,'old-aw-skill-plan'!A:I,9,FALSE)</f>
        <v>3-1</v>
      </c>
    </row>
    <row r="5486" ht="15.75" customHeight="1">
      <c r="A5486" s="1" t="s">
        <v>110</v>
      </c>
      <c r="B5486" s="1" t="s">
        <v>10</v>
      </c>
      <c r="C5486" s="1" t="s">
        <v>11</v>
      </c>
      <c r="D5486" s="5">
        <v>45237.0</v>
      </c>
      <c r="G5486" s="1">
        <f>VLOOKUP(B5486,'old-aw-skill-plan'!A:I,7,FALSE)</f>
        <v>3</v>
      </c>
      <c r="H5486" s="1" t="str">
        <f>VLOOKUP(B5486,'old-aw-skill-plan'!A:I,9,FALSE)</f>
        <v>3-1</v>
      </c>
    </row>
    <row r="5487" ht="15.75" customHeight="1">
      <c r="A5487" s="1" t="s">
        <v>464</v>
      </c>
      <c r="B5487" s="1" t="s">
        <v>44</v>
      </c>
      <c r="C5487" s="1" t="s">
        <v>11</v>
      </c>
      <c r="D5487" s="5">
        <v>45236.0</v>
      </c>
      <c r="G5487" s="1">
        <f>VLOOKUP(B5487,'old-aw-skill-plan'!A:I,7,FALSE)</f>
        <v>5</v>
      </c>
      <c r="H5487" s="1" t="str">
        <f>VLOOKUP(B5487,'old-aw-skill-plan'!A:I,9,FALSE)</f>
        <v>5-1</v>
      </c>
    </row>
    <row r="5488" ht="15.75" customHeight="1">
      <c r="A5488" s="1" t="s">
        <v>266</v>
      </c>
      <c r="B5488" s="1" t="s">
        <v>383</v>
      </c>
      <c r="C5488" s="1" t="s">
        <v>11</v>
      </c>
      <c r="D5488" s="5">
        <v>45236.0</v>
      </c>
      <c r="G5488" s="1">
        <f>VLOOKUP(B5488,'old-aw-skill-plan'!A:I,7,FALSE)</f>
        <v>3</v>
      </c>
      <c r="H5488" s="1" t="str">
        <f>VLOOKUP(B5488,'old-aw-skill-plan'!A:I,9,FALSE)</f>
        <v>3-3</v>
      </c>
    </row>
    <row r="5489" ht="15.75" customHeight="1">
      <c r="A5489" s="1" t="s">
        <v>266</v>
      </c>
      <c r="B5489" s="1" t="s">
        <v>356</v>
      </c>
      <c r="C5489" s="1" t="s">
        <v>11</v>
      </c>
      <c r="D5489" s="5">
        <v>45236.0</v>
      </c>
      <c r="G5489" s="1">
        <f>VLOOKUP(B5489,'old-aw-skill-plan'!A:I,7,FALSE)</f>
        <v>3</v>
      </c>
      <c r="H5489" s="1" t="str">
        <f>VLOOKUP(B5489,'old-aw-skill-plan'!A:I,9,FALSE)</f>
        <v>3-2</v>
      </c>
    </row>
    <row r="5490" ht="15.75" customHeight="1">
      <c r="A5490" s="1" t="s">
        <v>266</v>
      </c>
      <c r="B5490" s="1" t="s">
        <v>425</v>
      </c>
      <c r="C5490" s="1" t="s">
        <v>11</v>
      </c>
      <c r="D5490" s="5">
        <v>45236.0</v>
      </c>
      <c r="G5490" s="1">
        <f>VLOOKUP(B5490,'old-aw-skill-plan'!A:I,7,FALSE)</f>
        <v>3</v>
      </c>
      <c r="H5490" s="1" t="str">
        <f>VLOOKUP(B5490,'old-aw-skill-plan'!A:I,9,FALSE)</f>
        <v>3-1</v>
      </c>
    </row>
    <row r="5491" ht="15.75" customHeight="1">
      <c r="A5491" s="1" t="s">
        <v>22</v>
      </c>
      <c r="B5491" s="1" t="s">
        <v>34</v>
      </c>
      <c r="C5491" s="1" t="s">
        <v>11</v>
      </c>
      <c r="D5491" s="5">
        <v>45236.0</v>
      </c>
      <c r="G5491" s="1">
        <f>VLOOKUP(B5491,'old-aw-skill-plan'!A:I,7,FALSE)</f>
        <v>4</v>
      </c>
      <c r="H5491" s="1" t="str">
        <f>VLOOKUP(B5491,'old-aw-skill-plan'!A:I,9,FALSE)</f>
        <v>4-1</v>
      </c>
    </row>
    <row r="5492" ht="15.75" customHeight="1">
      <c r="A5492" s="1" t="s">
        <v>474</v>
      </c>
      <c r="B5492" s="1" t="s">
        <v>10</v>
      </c>
      <c r="C5492" s="1" t="s">
        <v>11</v>
      </c>
      <c r="D5492" s="5">
        <v>45236.0</v>
      </c>
      <c r="G5492" s="1">
        <f>VLOOKUP(B5492,'old-aw-skill-plan'!A:I,7,FALSE)</f>
        <v>3</v>
      </c>
      <c r="H5492" s="1" t="str">
        <f>VLOOKUP(B5492,'old-aw-skill-plan'!A:I,9,FALSE)</f>
        <v>3-1</v>
      </c>
    </row>
    <row r="5493" ht="15.75" customHeight="1">
      <c r="A5493" s="1" t="s">
        <v>216</v>
      </c>
      <c r="B5493" s="1" t="s">
        <v>34</v>
      </c>
      <c r="C5493" s="1" t="s">
        <v>11</v>
      </c>
      <c r="D5493" s="5">
        <v>45236.0</v>
      </c>
      <c r="G5493" s="1">
        <f>VLOOKUP(B5493,'old-aw-skill-plan'!A:I,7,FALSE)</f>
        <v>4</v>
      </c>
      <c r="H5493" s="1" t="str">
        <f>VLOOKUP(B5493,'old-aw-skill-plan'!A:I,9,FALSE)</f>
        <v>4-1</v>
      </c>
    </row>
    <row r="5494" ht="15.75" customHeight="1">
      <c r="A5494" s="1" t="s">
        <v>35</v>
      </c>
      <c r="B5494" s="1" t="s">
        <v>34</v>
      </c>
      <c r="C5494" s="1" t="s">
        <v>11</v>
      </c>
      <c r="D5494" s="5">
        <v>45236.0</v>
      </c>
      <c r="G5494" s="1">
        <f>VLOOKUP(B5494,'old-aw-skill-plan'!A:I,7,FALSE)</f>
        <v>4</v>
      </c>
      <c r="H5494" s="1" t="str">
        <f>VLOOKUP(B5494,'old-aw-skill-plan'!A:I,9,FALSE)</f>
        <v>4-1</v>
      </c>
    </row>
    <row r="5495" ht="15.75" customHeight="1">
      <c r="A5495" s="1" t="s">
        <v>271</v>
      </c>
      <c r="B5495" s="1" t="s">
        <v>382</v>
      </c>
      <c r="C5495" s="1" t="s">
        <v>11</v>
      </c>
      <c r="D5495" s="5">
        <v>45236.0</v>
      </c>
      <c r="G5495" s="1">
        <f>VLOOKUP(B5495,'old-aw-skill-plan'!A:I,7,FALSE)</f>
        <v>4</v>
      </c>
      <c r="H5495" s="1" t="str">
        <f>VLOOKUP(B5495,'old-aw-skill-plan'!A:I,9,FALSE)</f>
        <v>4-3</v>
      </c>
    </row>
    <row r="5496" ht="15.75" customHeight="1">
      <c r="A5496" s="1" t="s">
        <v>271</v>
      </c>
      <c r="B5496" s="1" t="s">
        <v>320</v>
      </c>
      <c r="C5496" s="1" t="s">
        <v>11</v>
      </c>
      <c r="D5496" s="5">
        <v>45236.0</v>
      </c>
      <c r="G5496" s="1">
        <f>VLOOKUP(B5496,'old-aw-skill-plan'!A:I,7,FALSE)</f>
        <v>4</v>
      </c>
      <c r="H5496" s="1" t="str">
        <f>VLOOKUP(B5496,'old-aw-skill-plan'!A:I,9,FALSE)</f>
        <v>4-2</v>
      </c>
    </row>
    <row r="5497" ht="15.75" customHeight="1">
      <c r="A5497" s="1" t="s">
        <v>207</v>
      </c>
      <c r="B5497" s="1" t="s">
        <v>425</v>
      </c>
      <c r="C5497" s="1" t="s">
        <v>11</v>
      </c>
      <c r="D5497" s="5">
        <v>45236.0</v>
      </c>
      <c r="G5497" s="1">
        <f>VLOOKUP(B5497,'old-aw-skill-plan'!A:I,7,FALSE)</f>
        <v>3</v>
      </c>
      <c r="H5497" s="1" t="str">
        <f>VLOOKUP(B5497,'old-aw-skill-plan'!A:I,9,FALSE)</f>
        <v>3-1</v>
      </c>
    </row>
    <row r="5498" ht="15.75" customHeight="1">
      <c r="A5498" s="1" t="s">
        <v>207</v>
      </c>
      <c r="B5498" s="1" t="s">
        <v>352</v>
      </c>
      <c r="C5498" s="1" t="s">
        <v>11</v>
      </c>
      <c r="D5498" s="5">
        <v>45236.0</v>
      </c>
      <c r="G5498" s="1">
        <f>VLOOKUP(B5498,'old-aw-skill-plan'!A:I,7,FALSE)</f>
        <v>3</v>
      </c>
      <c r="H5498" s="1" t="str">
        <f>VLOOKUP(B5498,'old-aw-skill-plan'!A:I,9,FALSE)</f>
        <v>3-2</v>
      </c>
    </row>
    <row r="5499" ht="15.75" customHeight="1">
      <c r="A5499" s="1" t="s">
        <v>458</v>
      </c>
      <c r="B5499" s="1" t="s">
        <v>10</v>
      </c>
      <c r="C5499" s="1" t="s">
        <v>11</v>
      </c>
      <c r="D5499" s="5">
        <v>45236.0</v>
      </c>
      <c r="G5499" s="1">
        <f>VLOOKUP(B5499,'old-aw-skill-plan'!A:I,7,FALSE)</f>
        <v>3</v>
      </c>
      <c r="H5499" s="1" t="str">
        <f>VLOOKUP(B5499,'old-aw-skill-plan'!A:I,9,FALSE)</f>
        <v>3-1</v>
      </c>
    </row>
    <row r="5500" ht="15.75" customHeight="1">
      <c r="A5500" s="1" t="s">
        <v>458</v>
      </c>
      <c r="B5500" s="1" t="s">
        <v>47</v>
      </c>
      <c r="C5500" s="1" t="s">
        <v>11</v>
      </c>
      <c r="D5500" s="5">
        <v>45236.0</v>
      </c>
      <c r="G5500" s="1">
        <f>VLOOKUP(B5500,'old-aw-skill-plan'!A:I,7,FALSE)</f>
        <v>3</v>
      </c>
      <c r="H5500" s="1" t="str">
        <f>VLOOKUP(B5500,'old-aw-skill-plan'!A:I,9,FALSE)</f>
        <v>3-2</v>
      </c>
    </row>
    <row r="5501" ht="15.75" customHeight="1">
      <c r="A5501" s="1" t="s">
        <v>434</v>
      </c>
      <c r="B5501" s="1" t="s">
        <v>383</v>
      </c>
      <c r="C5501" s="1" t="s">
        <v>11</v>
      </c>
      <c r="D5501" s="5">
        <v>45236.0</v>
      </c>
      <c r="G5501" s="1">
        <f>VLOOKUP(B5501,'old-aw-skill-plan'!A:I,7,FALSE)</f>
        <v>3</v>
      </c>
      <c r="H5501" s="1" t="str">
        <f>VLOOKUP(B5501,'old-aw-skill-plan'!A:I,9,FALSE)</f>
        <v>3-3</v>
      </c>
    </row>
    <row r="5502" ht="15.75" customHeight="1">
      <c r="A5502" s="1" t="s">
        <v>434</v>
      </c>
      <c r="B5502" s="1" t="s">
        <v>356</v>
      </c>
      <c r="C5502" s="1" t="s">
        <v>11</v>
      </c>
      <c r="D5502" s="5">
        <v>45236.0</v>
      </c>
      <c r="G5502" s="1">
        <f>VLOOKUP(B5502,'old-aw-skill-plan'!A:I,7,FALSE)</f>
        <v>3</v>
      </c>
      <c r="H5502" s="1" t="str">
        <f>VLOOKUP(B5502,'old-aw-skill-plan'!A:I,9,FALSE)</f>
        <v>3-2</v>
      </c>
    </row>
    <row r="5503" ht="15.75" customHeight="1">
      <c r="A5503" s="1" t="s">
        <v>434</v>
      </c>
      <c r="B5503" s="1" t="s">
        <v>425</v>
      </c>
      <c r="C5503" s="1" t="s">
        <v>11</v>
      </c>
      <c r="D5503" s="5">
        <v>45236.0</v>
      </c>
      <c r="G5503" s="1">
        <f>VLOOKUP(B5503,'old-aw-skill-plan'!A:I,7,FALSE)</f>
        <v>3</v>
      </c>
      <c r="H5503" s="1" t="str">
        <f>VLOOKUP(B5503,'old-aw-skill-plan'!A:I,9,FALSE)</f>
        <v>3-1</v>
      </c>
    </row>
    <row r="5504" ht="15.75" customHeight="1">
      <c r="A5504" s="1" t="s">
        <v>213</v>
      </c>
      <c r="B5504" s="1" t="s">
        <v>10</v>
      </c>
      <c r="C5504" s="1" t="s">
        <v>11</v>
      </c>
      <c r="D5504" s="5">
        <v>45236.0</v>
      </c>
      <c r="G5504" s="1">
        <f>VLOOKUP(B5504,'old-aw-skill-plan'!A:I,7,FALSE)</f>
        <v>3</v>
      </c>
      <c r="H5504" s="1" t="str">
        <f>VLOOKUP(B5504,'old-aw-skill-plan'!A:I,9,FALSE)</f>
        <v>3-1</v>
      </c>
    </row>
    <row r="5505" ht="15.75" customHeight="1">
      <c r="A5505" s="1" t="s">
        <v>475</v>
      </c>
      <c r="B5505" s="1" t="s">
        <v>37</v>
      </c>
      <c r="C5505" s="1" t="s">
        <v>11</v>
      </c>
      <c r="D5505" s="5">
        <v>45236.0</v>
      </c>
      <c r="G5505" s="1">
        <f>VLOOKUP(B5505,'old-aw-skill-plan'!A:I,7,FALSE)</f>
        <v>4</v>
      </c>
      <c r="H5505" s="1" t="str">
        <f>VLOOKUP(B5505,'old-aw-skill-plan'!A:I,9,FALSE)</f>
        <v>4-2</v>
      </c>
    </row>
    <row r="5506" ht="15.75" customHeight="1">
      <c r="A5506" s="1" t="s">
        <v>199</v>
      </c>
      <c r="B5506" s="1" t="s">
        <v>34</v>
      </c>
      <c r="C5506" s="1" t="s">
        <v>11</v>
      </c>
      <c r="D5506" s="5">
        <v>45236.0</v>
      </c>
      <c r="G5506" s="1">
        <f>VLOOKUP(B5506,'old-aw-skill-plan'!A:I,7,FALSE)</f>
        <v>4</v>
      </c>
      <c r="H5506" s="1" t="str">
        <f>VLOOKUP(B5506,'old-aw-skill-plan'!A:I,9,FALSE)</f>
        <v>4-1</v>
      </c>
    </row>
    <row r="5507" ht="15.75" customHeight="1">
      <c r="A5507" s="1" t="s">
        <v>36</v>
      </c>
      <c r="B5507" s="1" t="s">
        <v>47</v>
      </c>
      <c r="C5507" s="1" t="s">
        <v>11</v>
      </c>
      <c r="D5507" s="5">
        <v>45236.0</v>
      </c>
      <c r="G5507" s="1">
        <f>VLOOKUP(B5507,'old-aw-skill-plan'!A:I,7,FALSE)</f>
        <v>3</v>
      </c>
      <c r="H5507" s="1" t="str">
        <f>VLOOKUP(B5507,'old-aw-skill-plan'!A:I,9,FALSE)</f>
        <v>3-2</v>
      </c>
    </row>
    <row r="5508" ht="15.75" customHeight="1">
      <c r="A5508" s="1" t="s">
        <v>273</v>
      </c>
      <c r="B5508" s="1" t="s">
        <v>30</v>
      </c>
      <c r="C5508" s="1" t="s">
        <v>11</v>
      </c>
      <c r="D5508" s="5">
        <v>45236.0</v>
      </c>
      <c r="G5508" s="1">
        <f>VLOOKUP(B5508,'old-aw-skill-plan'!A:I,7,FALSE)</f>
        <v>3</v>
      </c>
      <c r="H5508" s="1" t="str">
        <f>VLOOKUP(B5508,'old-aw-skill-plan'!A:I,9,FALSE)</f>
        <v>3-3</v>
      </c>
    </row>
    <row r="5509" ht="15.75" customHeight="1">
      <c r="A5509" s="1" t="s">
        <v>273</v>
      </c>
      <c r="B5509" s="1" t="s">
        <v>47</v>
      </c>
      <c r="C5509" s="1" t="s">
        <v>11</v>
      </c>
      <c r="D5509" s="5">
        <v>45236.0</v>
      </c>
      <c r="G5509" s="1">
        <f>VLOOKUP(B5509,'old-aw-skill-plan'!A:I,7,FALSE)</f>
        <v>3</v>
      </c>
      <c r="H5509" s="1" t="str">
        <f>VLOOKUP(B5509,'old-aw-skill-plan'!A:I,9,FALSE)</f>
        <v>3-2</v>
      </c>
    </row>
    <row r="5510" ht="15.75" customHeight="1">
      <c r="A5510" s="1" t="s">
        <v>460</v>
      </c>
      <c r="B5510" s="1" t="s">
        <v>44</v>
      </c>
      <c r="C5510" s="1" t="s">
        <v>11</v>
      </c>
      <c r="D5510" s="5">
        <v>45236.0</v>
      </c>
      <c r="G5510" s="1">
        <f>VLOOKUP(B5510,'old-aw-skill-plan'!A:I,7,FALSE)</f>
        <v>5</v>
      </c>
      <c r="H5510" s="1" t="str">
        <f>VLOOKUP(B5510,'old-aw-skill-plan'!A:I,9,FALSE)</f>
        <v>5-1</v>
      </c>
    </row>
    <row r="5511" ht="15.75" customHeight="1">
      <c r="A5511" s="1" t="s">
        <v>469</v>
      </c>
      <c r="B5511" s="1" t="s">
        <v>34</v>
      </c>
      <c r="C5511" s="1" t="s">
        <v>11</v>
      </c>
      <c r="D5511" s="5">
        <v>45236.0</v>
      </c>
      <c r="G5511" s="1">
        <f>VLOOKUP(B5511,'old-aw-skill-plan'!A:I,7,FALSE)</f>
        <v>4</v>
      </c>
      <c r="H5511" s="1" t="str">
        <f>VLOOKUP(B5511,'old-aw-skill-plan'!A:I,9,FALSE)</f>
        <v>4-1</v>
      </c>
    </row>
    <row r="5512" ht="15.75" customHeight="1">
      <c r="A5512" s="1" t="s">
        <v>237</v>
      </c>
      <c r="B5512" s="1" t="s">
        <v>47</v>
      </c>
      <c r="C5512" s="1" t="s">
        <v>11</v>
      </c>
      <c r="D5512" s="5">
        <v>45236.0</v>
      </c>
      <c r="G5512" s="1">
        <f>VLOOKUP(B5512,'old-aw-skill-plan'!A:I,7,FALSE)</f>
        <v>3</v>
      </c>
      <c r="H5512" s="1" t="str">
        <f>VLOOKUP(B5512,'old-aw-skill-plan'!A:I,9,FALSE)</f>
        <v>3-2</v>
      </c>
    </row>
    <row r="5513" ht="15.75" customHeight="1">
      <c r="A5513" s="1" t="s">
        <v>267</v>
      </c>
      <c r="B5513" s="1" t="s">
        <v>44</v>
      </c>
      <c r="C5513" s="1" t="s">
        <v>11</v>
      </c>
      <c r="D5513" s="5">
        <v>45236.0</v>
      </c>
      <c r="G5513" s="1">
        <f>VLOOKUP(B5513,'old-aw-skill-plan'!A:I,7,FALSE)</f>
        <v>5</v>
      </c>
      <c r="H5513" s="1" t="str">
        <f>VLOOKUP(B5513,'old-aw-skill-plan'!A:I,9,FALSE)</f>
        <v>5-1</v>
      </c>
    </row>
    <row r="5514" ht="15.75" customHeight="1">
      <c r="A5514" s="1" t="s">
        <v>465</v>
      </c>
      <c r="B5514" s="1" t="s">
        <v>307</v>
      </c>
      <c r="C5514" s="1" t="s">
        <v>11</v>
      </c>
      <c r="D5514" s="5">
        <v>45236.0</v>
      </c>
      <c r="G5514" s="1">
        <f>VLOOKUP(B5514,'old-aw-skill-plan'!A:I,7,FALSE)</f>
        <v>3</v>
      </c>
      <c r="H5514" s="1" t="str">
        <f>VLOOKUP(B5514,'old-aw-skill-plan'!A:I,9,FALSE)</f>
        <v>3-1</v>
      </c>
    </row>
    <row r="5515" ht="15.75" customHeight="1">
      <c r="A5515" s="1" t="s">
        <v>465</v>
      </c>
      <c r="B5515" s="1" t="s">
        <v>383</v>
      </c>
      <c r="C5515" s="1" t="s">
        <v>11</v>
      </c>
      <c r="D5515" s="5">
        <v>45236.0</v>
      </c>
      <c r="G5515" s="1">
        <f>VLOOKUP(B5515,'old-aw-skill-plan'!A:I,7,FALSE)</f>
        <v>3</v>
      </c>
      <c r="H5515" s="1" t="str">
        <f>VLOOKUP(B5515,'old-aw-skill-plan'!A:I,9,FALSE)</f>
        <v>3-3</v>
      </c>
    </row>
    <row r="5516" ht="15.75" customHeight="1">
      <c r="A5516" s="1" t="s">
        <v>465</v>
      </c>
      <c r="B5516" s="1" t="s">
        <v>356</v>
      </c>
      <c r="C5516" s="1" t="s">
        <v>11</v>
      </c>
      <c r="D5516" s="5">
        <v>45236.0</v>
      </c>
      <c r="G5516" s="1">
        <f>VLOOKUP(B5516,'old-aw-skill-plan'!A:I,7,FALSE)</f>
        <v>3</v>
      </c>
      <c r="H5516" s="1" t="str">
        <f>VLOOKUP(B5516,'old-aw-skill-plan'!A:I,9,FALSE)</f>
        <v>3-2</v>
      </c>
    </row>
    <row r="5517" ht="15.75" customHeight="1">
      <c r="A5517" s="1" t="s">
        <v>419</v>
      </c>
      <c r="B5517" s="1" t="s">
        <v>425</v>
      </c>
      <c r="C5517" s="1" t="s">
        <v>11</v>
      </c>
      <c r="D5517" s="5">
        <v>45236.0</v>
      </c>
      <c r="G5517" s="1">
        <f>VLOOKUP(B5517,'old-aw-skill-plan'!A:I,7,FALSE)</f>
        <v>3</v>
      </c>
      <c r="H5517" s="1" t="str">
        <f>VLOOKUP(B5517,'old-aw-skill-plan'!A:I,9,FALSE)</f>
        <v>3-1</v>
      </c>
    </row>
    <row r="5518" ht="15.75" customHeight="1">
      <c r="A5518" s="1" t="s">
        <v>419</v>
      </c>
      <c r="B5518" s="1" t="s">
        <v>352</v>
      </c>
      <c r="C5518" s="1" t="s">
        <v>11</v>
      </c>
      <c r="D5518" s="5">
        <v>45236.0</v>
      </c>
      <c r="G5518" s="1">
        <f>VLOOKUP(B5518,'old-aw-skill-plan'!A:I,7,FALSE)</f>
        <v>3</v>
      </c>
      <c r="H5518" s="1" t="str">
        <f>VLOOKUP(B5518,'old-aw-skill-plan'!A:I,9,FALSE)</f>
        <v>3-2</v>
      </c>
    </row>
    <row r="5519" ht="15.75" customHeight="1">
      <c r="A5519" s="1" t="s">
        <v>454</v>
      </c>
      <c r="B5519" s="1" t="s">
        <v>30</v>
      </c>
      <c r="C5519" s="1" t="s">
        <v>11</v>
      </c>
      <c r="D5519" s="5">
        <v>45236.0</v>
      </c>
      <c r="G5519" s="1">
        <f>VLOOKUP(B5519,'old-aw-skill-plan'!A:I,7,FALSE)</f>
        <v>3</v>
      </c>
      <c r="H5519" s="1" t="str">
        <f>VLOOKUP(B5519,'old-aw-skill-plan'!A:I,9,FALSE)</f>
        <v>3-3</v>
      </c>
    </row>
    <row r="5520" ht="15.75" customHeight="1">
      <c r="A5520" s="1" t="s">
        <v>454</v>
      </c>
      <c r="B5520" s="1" t="s">
        <v>307</v>
      </c>
      <c r="C5520" s="1" t="s">
        <v>11</v>
      </c>
      <c r="D5520" s="5">
        <v>45236.0</v>
      </c>
      <c r="G5520" s="1">
        <f>VLOOKUP(B5520,'old-aw-skill-plan'!A:I,7,FALSE)</f>
        <v>3</v>
      </c>
      <c r="H5520" s="1" t="str">
        <f>VLOOKUP(B5520,'old-aw-skill-plan'!A:I,9,FALSE)</f>
        <v>3-1</v>
      </c>
    </row>
    <row r="5521" ht="15.75" customHeight="1">
      <c r="A5521" s="1" t="s">
        <v>459</v>
      </c>
      <c r="B5521" s="1" t="s">
        <v>10</v>
      </c>
      <c r="C5521" s="1" t="s">
        <v>11</v>
      </c>
      <c r="D5521" s="5">
        <v>45236.0</v>
      </c>
      <c r="G5521" s="1">
        <f>VLOOKUP(B5521,'old-aw-skill-plan'!A:I,7,FALSE)</f>
        <v>3</v>
      </c>
      <c r="H5521" s="1" t="str">
        <f>VLOOKUP(B5521,'old-aw-skill-plan'!A:I,9,FALSE)</f>
        <v>3-1</v>
      </c>
    </row>
    <row r="5522" ht="15.75" customHeight="1">
      <c r="A5522" s="1" t="s">
        <v>459</v>
      </c>
      <c r="B5522" s="1" t="s">
        <v>382</v>
      </c>
      <c r="C5522" s="1" t="s">
        <v>11</v>
      </c>
      <c r="D5522" s="5">
        <v>45236.0</v>
      </c>
      <c r="G5522" s="1">
        <f>VLOOKUP(B5522,'old-aw-skill-plan'!A:I,7,FALSE)</f>
        <v>4</v>
      </c>
      <c r="H5522" s="1" t="str">
        <f>VLOOKUP(B5522,'old-aw-skill-plan'!A:I,9,FALSE)</f>
        <v>4-3</v>
      </c>
    </row>
    <row r="5523" ht="15.75" customHeight="1">
      <c r="A5523" s="1" t="s">
        <v>238</v>
      </c>
      <c r="B5523" s="1" t="s">
        <v>377</v>
      </c>
      <c r="C5523" s="1" t="s">
        <v>11</v>
      </c>
      <c r="D5523" s="5">
        <v>45236.0</v>
      </c>
      <c r="G5523" s="1">
        <f>VLOOKUP(B5523,'old-aw-skill-plan'!A:I,7,FALSE)</f>
        <v>3</v>
      </c>
      <c r="H5523" s="1" t="str">
        <f>VLOOKUP(B5523,'old-aw-skill-plan'!A:I,9,FALSE)</f>
        <v>3-3</v>
      </c>
    </row>
    <row r="5524" ht="15.75" customHeight="1">
      <c r="A5524" s="1" t="s">
        <v>473</v>
      </c>
      <c r="B5524" s="1" t="s">
        <v>10</v>
      </c>
      <c r="C5524" s="1" t="s">
        <v>11</v>
      </c>
      <c r="D5524" s="5">
        <v>45236.0</v>
      </c>
      <c r="G5524" s="1">
        <f>VLOOKUP(B5524,'old-aw-skill-plan'!A:I,7,FALSE)</f>
        <v>3</v>
      </c>
      <c r="H5524" s="1" t="str">
        <f>VLOOKUP(B5524,'old-aw-skill-plan'!A:I,9,FALSE)</f>
        <v>3-1</v>
      </c>
    </row>
    <row r="5525" ht="15.75" customHeight="1">
      <c r="A5525" s="1" t="s">
        <v>56</v>
      </c>
      <c r="B5525" s="1" t="s">
        <v>47</v>
      </c>
      <c r="C5525" s="1" t="s">
        <v>11</v>
      </c>
      <c r="D5525" s="5">
        <v>45236.0</v>
      </c>
      <c r="G5525" s="1">
        <f>VLOOKUP(B5525,'old-aw-skill-plan'!A:I,7,FALSE)</f>
        <v>3</v>
      </c>
      <c r="H5525" s="1" t="str">
        <f>VLOOKUP(B5525,'old-aw-skill-plan'!A:I,9,FALSE)</f>
        <v>3-2</v>
      </c>
    </row>
    <row r="5526" ht="15.75" customHeight="1">
      <c r="A5526" s="1" t="s">
        <v>81</v>
      </c>
      <c r="B5526" s="1" t="s">
        <v>34</v>
      </c>
      <c r="C5526" s="1" t="s">
        <v>11</v>
      </c>
      <c r="D5526" s="5">
        <v>45236.0</v>
      </c>
      <c r="G5526" s="1">
        <f>VLOOKUP(B5526,'old-aw-skill-plan'!A:I,7,FALSE)</f>
        <v>4</v>
      </c>
      <c r="H5526" s="1" t="str">
        <f>VLOOKUP(B5526,'old-aw-skill-plan'!A:I,9,FALSE)</f>
        <v>4-1</v>
      </c>
    </row>
    <row r="5527" ht="15.75" customHeight="1">
      <c r="A5527" s="1" t="s">
        <v>429</v>
      </c>
      <c r="B5527" s="1" t="s">
        <v>34</v>
      </c>
      <c r="C5527" s="1" t="s">
        <v>11</v>
      </c>
      <c r="D5527" s="5">
        <v>45236.0</v>
      </c>
      <c r="G5527" s="1">
        <f>VLOOKUP(B5527,'old-aw-skill-plan'!A:I,7,FALSE)</f>
        <v>4</v>
      </c>
      <c r="H5527" s="1" t="str">
        <f>VLOOKUP(B5527,'old-aw-skill-plan'!A:I,9,FALSE)</f>
        <v>4-1</v>
      </c>
    </row>
    <row r="5528" ht="15.75" customHeight="1">
      <c r="A5528" s="1" t="s">
        <v>421</v>
      </c>
      <c r="B5528" s="1" t="s">
        <v>307</v>
      </c>
      <c r="C5528" s="1" t="s">
        <v>11</v>
      </c>
      <c r="D5528" s="5">
        <v>45236.0</v>
      </c>
      <c r="G5528" s="1">
        <f>VLOOKUP(B5528,'old-aw-skill-plan'!A:I,7,FALSE)</f>
        <v>3</v>
      </c>
      <c r="H5528" s="1" t="str">
        <f>VLOOKUP(B5528,'old-aw-skill-plan'!A:I,9,FALSE)</f>
        <v>3-1</v>
      </c>
    </row>
    <row r="5529" ht="15.75" customHeight="1">
      <c r="A5529" s="1" t="s">
        <v>421</v>
      </c>
      <c r="B5529" s="1" t="s">
        <v>356</v>
      </c>
      <c r="C5529" s="1" t="s">
        <v>11</v>
      </c>
      <c r="D5529" s="5">
        <v>45236.0</v>
      </c>
      <c r="G5529" s="1">
        <f>VLOOKUP(B5529,'old-aw-skill-plan'!A:I,7,FALSE)</f>
        <v>3</v>
      </c>
      <c r="H5529" s="1" t="str">
        <f>VLOOKUP(B5529,'old-aw-skill-plan'!A:I,9,FALSE)</f>
        <v>3-2</v>
      </c>
    </row>
    <row r="5530" ht="15.75" customHeight="1">
      <c r="A5530" s="1" t="s">
        <v>230</v>
      </c>
      <c r="B5530" s="1" t="s">
        <v>307</v>
      </c>
      <c r="C5530" s="1" t="s">
        <v>11</v>
      </c>
      <c r="D5530" s="5">
        <v>45236.0</v>
      </c>
      <c r="G5530" s="1">
        <f>VLOOKUP(B5530,'old-aw-skill-plan'!A:I,7,FALSE)</f>
        <v>3</v>
      </c>
      <c r="H5530" s="1" t="str">
        <f>VLOOKUP(B5530,'old-aw-skill-plan'!A:I,9,FALSE)</f>
        <v>3-1</v>
      </c>
    </row>
    <row r="5531" ht="15.75" customHeight="1">
      <c r="A5531" s="1" t="s">
        <v>230</v>
      </c>
      <c r="B5531" s="1" t="s">
        <v>425</v>
      </c>
      <c r="C5531" s="1" t="s">
        <v>11</v>
      </c>
      <c r="D5531" s="5">
        <v>45236.0</v>
      </c>
      <c r="G5531" s="1">
        <f>VLOOKUP(B5531,'old-aw-skill-plan'!A:I,7,FALSE)</f>
        <v>3</v>
      </c>
      <c r="H5531" s="1" t="str">
        <f>VLOOKUP(B5531,'old-aw-skill-plan'!A:I,9,FALSE)</f>
        <v>3-1</v>
      </c>
    </row>
    <row r="5532" ht="15.75" customHeight="1">
      <c r="A5532" s="1" t="s">
        <v>428</v>
      </c>
      <c r="B5532" s="1" t="s">
        <v>34</v>
      </c>
      <c r="C5532" s="1" t="s">
        <v>11</v>
      </c>
      <c r="D5532" s="5">
        <v>45236.0</v>
      </c>
      <c r="G5532" s="1">
        <f>VLOOKUP(B5532,'old-aw-skill-plan'!A:I,7,FALSE)</f>
        <v>4</v>
      </c>
      <c r="H5532" s="1" t="str">
        <f>VLOOKUP(B5532,'old-aw-skill-plan'!A:I,9,FALSE)</f>
        <v>4-1</v>
      </c>
    </row>
    <row r="5533" ht="15.75" customHeight="1">
      <c r="A5533" s="1" t="s">
        <v>420</v>
      </c>
      <c r="B5533" s="1" t="s">
        <v>383</v>
      </c>
      <c r="C5533" s="1" t="s">
        <v>11</v>
      </c>
      <c r="D5533" s="5">
        <v>45236.0</v>
      </c>
      <c r="G5533" s="1">
        <f>VLOOKUP(B5533,'old-aw-skill-plan'!A:I,7,FALSE)</f>
        <v>3</v>
      </c>
      <c r="H5533" s="1" t="str">
        <f>VLOOKUP(B5533,'old-aw-skill-plan'!A:I,9,FALSE)</f>
        <v>3-3</v>
      </c>
    </row>
    <row r="5534" ht="15.75" customHeight="1">
      <c r="A5534" s="1" t="s">
        <v>420</v>
      </c>
      <c r="B5534" s="1" t="s">
        <v>425</v>
      </c>
      <c r="C5534" s="1" t="s">
        <v>11</v>
      </c>
      <c r="D5534" s="5">
        <v>45236.0</v>
      </c>
      <c r="G5534" s="1">
        <f>VLOOKUP(B5534,'old-aw-skill-plan'!A:I,7,FALSE)</f>
        <v>3</v>
      </c>
      <c r="H5534" s="1" t="str">
        <f>VLOOKUP(B5534,'old-aw-skill-plan'!A:I,9,FALSE)</f>
        <v>3-1</v>
      </c>
    </row>
    <row r="5535" ht="15.75" customHeight="1">
      <c r="A5535" s="1" t="s">
        <v>276</v>
      </c>
      <c r="B5535" s="1" t="s">
        <v>103</v>
      </c>
      <c r="C5535" s="1" t="s">
        <v>11</v>
      </c>
      <c r="D5535" s="5">
        <v>45236.0</v>
      </c>
      <c r="G5535" s="1">
        <f>VLOOKUP(B5535,'old-aw-skill-plan'!A:I,7,FALSE)</f>
        <v>5</v>
      </c>
      <c r="H5535" s="1" t="str">
        <f>VLOOKUP(B5535,'old-aw-skill-plan'!A:I,9,FALSE)</f>
        <v>5-3</v>
      </c>
    </row>
    <row r="5536" ht="15.75" customHeight="1">
      <c r="A5536" s="1" t="s">
        <v>268</v>
      </c>
      <c r="B5536" s="1" t="s">
        <v>97</v>
      </c>
      <c r="C5536" s="1" t="s">
        <v>11</v>
      </c>
      <c r="D5536" s="5">
        <v>45236.0</v>
      </c>
      <c r="G5536" s="1">
        <f>VLOOKUP(B5536,'old-aw-skill-plan'!A:I,7,FALSE)</f>
        <v>4</v>
      </c>
      <c r="H5536" s="1" t="str">
        <f>VLOOKUP(B5536,'old-aw-skill-plan'!A:I,9,FALSE)</f>
        <v>4-3</v>
      </c>
    </row>
    <row r="5537" ht="15.75" customHeight="1">
      <c r="A5537" s="1" t="s">
        <v>268</v>
      </c>
      <c r="B5537" s="1" t="s">
        <v>309</v>
      </c>
      <c r="C5537" s="1" t="s">
        <v>11</v>
      </c>
      <c r="D5537" s="5">
        <v>45236.0</v>
      </c>
      <c r="G5537" s="1">
        <f>VLOOKUP(B5537,'old-aw-skill-plan'!A:I,7,FALSE)</f>
        <v>4</v>
      </c>
      <c r="H5537" s="1" t="str">
        <f>VLOOKUP(B5537,'old-aw-skill-plan'!A:I,9,FALSE)</f>
        <v>4-1</v>
      </c>
    </row>
    <row r="5538" ht="15.75" customHeight="1">
      <c r="A5538" s="1" t="s">
        <v>461</v>
      </c>
      <c r="B5538" s="1" t="s">
        <v>44</v>
      </c>
      <c r="C5538" s="1" t="s">
        <v>11</v>
      </c>
      <c r="D5538" s="5">
        <v>45236.0</v>
      </c>
      <c r="G5538" s="1">
        <f>VLOOKUP(B5538,'old-aw-skill-plan'!A:I,7,FALSE)</f>
        <v>5</v>
      </c>
      <c r="H5538" s="1" t="str">
        <f>VLOOKUP(B5538,'old-aw-skill-plan'!A:I,9,FALSE)</f>
        <v>5-1</v>
      </c>
    </row>
    <row r="5539" ht="15.75" customHeight="1">
      <c r="A5539" s="1" t="s">
        <v>95</v>
      </c>
      <c r="B5539" s="1" t="s">
        <v>30</v>
      </c>
      <c r="C5539" s="1" t="s">
        <v>11</v>
      </c>
      <c r="D5539" s="5">
        <v>45236.0</v>
      </c>
      <c r="G5539" s="1">
        <f>VLOOKUP(B5539,'old-aw-skill-plan'!A:I,7,FALSE)</f>
        <v>3</v>
      </c>
      <c r="H5539" s="1" t="str">
        <f>VLOOKUP(B5539,'old-aw-skill-plan'!A:I,9,FALSE)</f>
        <v>3-3</v>
      </c>
    </row>
    <row r="5540" ht="15.75" customHeight="1">
      <c r="A5540" s="1" t="s">
        <v>95</v>
      </c>
      <c r="B5540" s="1" t="s">
        <v>47</v>
      </c>
      <c r="C5540" s="1" t="s">
        <v>11</v>
      </c>
      <c r="D5540" s="5">
        <v>45236.0</v>
      </c>
      <c r="G5540" s="1">
        <f>VLOOKUP(B5540,'old-aw-skill-plan'!A:I,7,FALSE)</f>
        <v>3</v>
      </c>
      <c r="H5540" s="1" t="str">
        <f>VLOOKUP(B5540,'old-aw-skill-plan'!A:I,9,FALSE)</f>
        <v>3-2</v>
      </c>
    </row>
    <row r="5541" ht="15.75" customHeight="1">
      <c r="A5541" s="1" t="s">
        <v>214</v>
      </c>
      <c r="B5541" s="1" t="s">
        <v>377</v>
      </c>
      <c r="C5541" s="1" t="s">
        <v>11</v>
      </c>
      <c r="D5541" s="5">
        <v>45236.0</v>
      </c>
      <c r="G5541" s="1">
        <f>VLOOKUP(B5541,'old-aw-skill-plan'!A:I,7,FALSE)</f>
        <v>3</v>
      </c>
      <c r="H5541" s="1" t="str">
        <f>VLOOKUP(B5541,'old-aw-skill-plan'!A:I,9,FALSE)</f>
        <v>3-3</v>
      </c>
    </row>
    <row r="5542" ht="15.75" customHeight="1">
      <c r="A5542" s="1" t="s">
        <v>197</v>
      </c>
      <c r="B5542" s="1" t="s">
        <v>34</v>
      </c>
      <c r="C5542" s="1" t="s">
        <v>11</v>
      </c>
      <c r="D5542" s="5">
        <v>45236.0</v>
      </c>
      <c r="G5542" s="1">
        <f>VLOOKUP(B5542,'old-aw-skill-plan'!A:I,7,FALSE)</f>
        <v>4</v>
      </c>
      <c r="H5542" s="1" t="str">
        <f>VLOOKUP(B5542,'old-aw-skill-plan'!A:I,9,FALSE)</f>
        <v>4-1</v>
      </c>
    </row>
    <row r="5543" ht="15.75" customHeight="1">
      <c r="A5543" s="1" t="s">
        <v>209</v>
      </c>
      <c r="B5543" s="1" t="s">
        <v>104</v>
      </c>
      <c r="C5543" s="1" t="s">
        <v>11</v>
      </c>
      <c r="D5543" s="5">
        <v>45236.0</v>
      </c>
      <c r="G5543" s="1">
        <f>VLOOKUP(B5543,'old-aw-skill-plan'!A:I,7,FALSE)</f>
        <v>5</v>
      </c>
      <c r="H5543" s="1" t="str">
        <f>VLOOKUP(B5543,'old-aw-skill-plan'!A:I,9,FALSE)</f>
        <v>5-2</v>
      </c>
    </row>
    <row r="5544" ht="15.75" customHeight="1">
      <c r="A5544" s="1" t="s">
        <v>373</v>
      </c>
      <c r="B5544" s="1" t="s">
        <v>10</v>
      </c>
      <c r="C5544" s="1" t="s">
        <v>11</v>
      </c>
      <c r="D5544" s="5">
        <v>45236.0</v>
      </c>
      <c r="G5544" s="1">
        <f>VLOOKUP(B5544,'old-aw-skill-plan'!A:I,7,FALSE)</f>
        <v>3</v>
      </c>
      <c r="H5544" s="1" t="str">
        <f>VLOOKUP(B5544,'old-aw-skill-plan'!A:I,9,FALSE)</f>
        <v>3-1</v>
      </c>
    </row>
    <row r="5545" ht="15.75" customHeight="1">
      <c r="A5545" s="1" t="s">
        <v>462</v>
      </c>
      <c r="B5545" s="1" t="s">
        <v>44</v>
      </c>
      <c r="C5545" s="1" t="s">
        <v>11</v>
      </c>
      <c r="D5545" s="5">
        <v>45236.0</v>
      </c>
      <c r="G5545" s="1">
        <f>VLOOKUP(B5545,'old-aw-skill-plan'!A:I,7,FALSE)</f>
        <v>5</v>
      </c>
      <c r="H5545" s="1" t="str">
        <f>VLOOKUP(B5545,'old-aw-skill-plan'!A:I,9,FALSE)</f>
        <v>5-1</v>
      </c>
    </row>
    <row r="5546" ht="15.75" customHeight="1">
      <c r="A5546" s="1" t="s">
        <v>430</v>
      </c>
      <c r="B5546" s="1" t="s">
        <v>10</v>
      </c>
      <c r="C5546" s="1" t="s">
        <v>11</v>
      </c>
      <c r="D5546" s="5">
        <v>45236.0</v>
      </c>
      <c r="G5546" s="1">
        <f>VLOOKUP(B5546,'old-aw-skill-plan'!A:I,7,FALSE)</f>
        <v>3</v>
      </c>
      <c r="H5546" s="1" t="str">
        <f>VLOOKUP(B5546,'old-aw-skill-plan'!A:I,9,FALSE)</f>
        <v>3-1</v>
      </c>
    </row>
    <row r="5547" ht="15.75" customHeight="1">
      <c r="A5547" s="1" t="s">
        <v>226</v>
      </c>
      <c r="B5547" s="1" t="s">
        <v>10</v>
      </c>
      <c r="C5547" s="1" t="s">
        <v>11</v>
      </c>
      <c r="D5547" s="5">
        <v>45236.0</v>
      </c>
      <c r="G5547" s="1">
        <f>VLOOKUP(B5547,'old-aw-skill-plan'!A:I,7,FALSE)</f>
        <v>3</v>
      </c>
      <c r="H5547" s="1" t="str">
        <f>VLOOKUP(B5547,'old-aw-skill-plan'!A:I,9,FALSE)</f>
        <v>3-1</v>
      </c>
    </row>
    <row r="5548" ht="15.75" customHeight="1">
      <c r="A5548" s="1" t="s">
        <v>265</v>
      </c>
      <c r="B5548" s="1" t="s">
        <v>44</v>
      </c>
      <c r="C5548" s="1" t="s">
        <v>11</v>
      </c>
      <c r="D5548" s="5">
        <v>45236.0</v>
      </c>
      <c r="G5548" s="1">
        <f>VLOOKUP(B5548,'old-aw-skill-plan'!A:I,7,FALSE)</f>
        <v>5</v>
      </c>
      <c r="H5548" s="1" t="str">
        <f>VLOOKUP(B5548,'old-aw-skill-plan'!A:I,9,FALSE)</f>
        <v>5-1</v>
      </c>
    </row>
    <row r="5549" ht="15.75" customHeight="1">
      <c r="A5549" s="1" t="s">
        <v>90</v>
      </c>
      <c r="B5549" s="1" t="s">
        <v>10</v>
      </c>
      <c r="C5549" s="1" t="s">
        <v>11</v>
      </c>
      <c r="D5549" s="5">
        <v>45236.0</v>
      </c>
      <c r="G5549" s="1">
        <f>VLOOKUP(B5549,'old-aw-skill-plan'!A:I,7,FALSE)</f>
        <v>3</v>
      </c>
      <c r="H5549" s="1" t="str">
        <f>VLOOKUP(B5549,'old-aw-skill-plan'!A:I,9,FALSE)</f>
        <v>3-1</v>
      </c>
    </row>
    <row r="5550" ht="15.75" customHeight="1">
      <c r="A5550" s="1" t="s">
        <v>90</v>
      </c>
      <c r="B5550" s="1" t="s">
        <v>47</v>
      </c>
      <c r="C5550" s="1" t="s">
        <v>11</v>
      </c>
      <c r="D5550" s="5">
        <v>45236.0</v>
      </c>
      <c r="G5550" s="1">
        <f>VLOOKUP(B5550,'old-aw-skill-plan'!A:I,7,FALSE)</f>
        <v>3</v>
      </c>
      <c r="H5550" s="1" t="str">
        <f>VLOOKUP(B5550,'old-aw-skill-plan'!A:I,9,FALSE)</f>
        <v>3-2</v>
      </c>
    </row>
    <row r="5551" ht="15.75" customHeight="1">
      <c r="A5551" s="1" t="s">
        <v>277</v>
      </c>
      <c r="B5551" s="1" t="s">
        <v>44</v>
      </c>
      <c r="C5551" s="1" t="s">
        <v>11</v>
      </c>
      <c r="D5551" s="5">
        <v>45236.0</v>
      </c>
      <c r="G5551" s="1">
        <f>VLOOKUP(B5551,'old-aw-skill-plan'!A:I,7,FALSE)</f>
        <v>5</v>
      </c>
      <c r="H5551" s="1" t="str">
        <f>VLOOKUP(B5551,'old-aw-skill-plan'!A:I,9,FALSE)</f>
        <v>5-1</v>
      </c>
    </row>
    <row r="5552" ht="15.75" customHeight="1">
      <c r="A5552" s="1" t="s">
        <v>102</v>
      </c>
      <c r="B5552" s="1" t="s">
        <v>352</v>
      </c>
      <c r="C5552" s="1" t="s">
        <v>11</v>
      </c>
      <c r="D5552" s="5">
        <v>45236.0</v>
      </c>
      <c r="G5552" s="1">
        <f>VLOOKUP(B5552,'old-aw-skill-plan'!A:I,7,FALSE)</f>
        <v>3</v>
      </c>
      <c r="H5552" s="1" t="str">
        <f>VLOOKUP(B5552,'old-aw-skill-plan'!A:I,9,FALSE)</f>
        <v>3-2</v>
      </c>
    </row>
    <row r="5553" ht="15.75" customHeight="1">
      <c r="A5553" s="1" t="s">
        <v>463</v>
      </c>
      <c r="B5553" s="1" t="s">
        <v>44</v>
      </c>
      <c r="C5553" s="1" t="s">
        <v>11</v>
      </c>
      <c r="D5553" s="5">
        <v>45236.0</v>
      </c>
      <c r="G5553" s="1">
        <f>VLOOKUP(B5553,'old-aw-skill-plan'!A:I,7,FALSE)</f>
        <v>5</v>
      </c>
      <c r="H5553" s="1" t="str">
        <f>VLOOKUP(B5553,'old-aw-skill-plan'!A:I,9,FALSE)</f>
        <v>5-1</v>
      </c>
    </row>
    <row r="5554" ht="15.75" customHeight="1">
      <c r="A5554" s="1" t="s">
        <v>93</v>
      </c>
      <c r="B5554" s="1" t="s">
        <v>377</v>
      </c>
      <c r="C5554" s="1" t="s">
        <v>11</v>
      </c>
      <c r="D5554" s="5">
        <v>45236.0</v>
      </c>
      <c r="G5554" s="1">
        <f>VLOOKUP(B5554,'old-aw-skill-plan'!A:I,7,FALSE)</f>
        <v>3</v>
      </c>
      <c r="H5554" s="1" t="str">
        <f>VLOOKUP(B5554,'old-aw-skill-plan'!A:I,9,FALSE)</f>
        <v>3-3</v>
      </c>
    </row>
    <row r="5555" ht="15.75" customHeight="1">
      <c r="A5555" s="1" t="s">
        <v>93</v>
      </c>
      <c r="B5555" s="1" t="s">
        <v>352</v>
      </c>
      <c r="C5555" s="1" t="s">
        <v>11</v>
      </c>
      <c r="D5555" s="5">
        <v>45236.0</v>
      </c>
      <c r="G5555" s="1">
        <f>VLOOKUP(B5555,'old-aw-skill-plan'!A:I,7,FALSE)</f>
        <v>3</v>
      </c>
      <c r="H5555" s="1" t="str">
        <f>VLOOKUP(B5555,'old-aw-skill-plan'!A:I,9,FALSE)</f>
        <v>3-2</v>
      </c>
    </row>
    <row r="5556" ht="15.75" customHeight="1">
      <c r="A5556" s="1" t="s">
        <v>365</v>
      </c>
      <c r="B5556" s="1" t="s">
        <v>34</v>
      </c>
      <c r="C5556" s="1" t="s">
        <v>11</v>
      </c>
      <c r="D5556" s="5">
        <v>45236.0</v>
      </c>
      <c r="G5556" s="1">
        <f>VLOOKUP(B5556,'old-aw-skill-plan'!A:I,7,FALSE)</f>
        <v>4</v>
      </c>
      <c r="H5556" s="1" t="str">
        <f>VLOOKUP(B5556,'old-aw-skill-plan'!A:I,9,FALSE)</f>
        <v>4-1</v>
      </c>
    </row>
    <row r="5557" ht="15.75" customHeight="1">
      <c r="A5557" s="1" t="s">
        <v>365</v>
      </c>
      <c r="B5557" s="1" t="s">
        <v>37</v>
      </c>
      <c r="C5557" s="1" t="s">
        <v>11</v>
      </c>
      <c r="D5557" s="5">
        <v>45236.0</v>
      </c>
      <c r="G5557" s="1">
        <f>VLOOKUP(B5557,'old-aw-skill-plan'!A:I,7,FALSE)</f>
        <v>4</v>
      </c>
      <c r="H5557" s="1" t="str">
        <f>VLOOKUP(B5557,'old-aw-skill-plan'!A:I,9,FALSE)</f>
        <v>4-2</v>
      </c>
    </row>
    <row r="5558" ht="15.75" customHeight="1">
      <c r="A5558" s="1" t="s">
        <v>94</v>
      </c>
      <c r="B5558" s="1" t="s">
        <v>30</v>
      </c>
      <c r="C5558" s="1" t="s">
        <v>11</v>
      </c>
      <c r="D5558" s="5">
        <v>45236.0</v>
      </c>
      <c r="G5558" s="1">
        <f>VLOOKUP(B5558,'old-aw-skill-plan'!A:I,7,FALSE)</f>
        <v>3</v>
      </c>
      <c r="H5558" s="1" t="str">
        <f>VLOOKUP(B5558,'old-aw-skill-plan'!A:I,9,FALSE)</f>
        <v>3-3</v>
      </c>
    </row>
    <row r="5559" ht="15.75" customHeight="1">
      <c r="A5559" s="1" t="s">
        <v>468</v>
      </c>
      <c r="B5559" s="1" t="s">
        <v>356</v>
      </c>
      <c r="C5559" s="1" t="s">
        <v>11</v>
      </c>
      <c r="D5559" s="5">
        <v>45236.0</v>
      </c>
      <c r="G5559" s="1">
        <f>VLOOKUP(B5559,'old-aw-skill-plan'!A:I,7,FALSE)</f>
        <v>3</v>
      </c>
      <c r="H5559" s="1" t="str">
        <f>VLOOKUP(B5559,'old-aw-skill-plan'!A:I,9,FALSE)</f>
        <v>3-2</v>
      </c>
    </row>
    <row r="5560" ht="15.75" customHeight="1">
      <c r="A5560" s="1" t="s">
        <v>427</v>
      </c>
      <c r="B5560" s="1" t="s">
        <v>47</v>
      </c>
      <c r="C5560" s="1" t="s">
        <v>11</v>
      </c>
      <c r="D5560" s="5">
        <v>45236.0</v>
      </c>
      <c r="G5560" s="1">
        <f>VLOOKUP(B5560,'old-aw-skill-plan'!A:I,7,FALSE)</f>
        <v>3</v>
      </c>
      <c r="H5560" s="1" t="str">
        <f>VLOOKUP(B5560,'old-aw-skill-plan'!A:I,9,FALSE)</f>
        <v>3-2</v>
      </c>
    </row>
    <row r="5561" ht="15.75" customHeight="1">
      <c r="A5561" s="1" t="s">
        <v>436</v>
      </c>
      <c r="B5561" s="1" t="s">
        <v>307</v>
      </c>
      <c r="C5561" s="1" t="s">
        <v>11</v>
      </c>
      <c r="D5561" s="5">
        <v>45236.0</v>
      </c>
      <c r="G5561" s="1">
        <f>VLOOKUP(B5561,'old-aw-skill-plan'!A:I,7,FALSE)</f>
        <v>3</v>
      </c>
      <c r="H5561" s="1" t="str">
        <f>VLOOKUP(B5561,'old-aw-skill-plan'!A:I,9,FALSE)</f>
        <v>3-1</v>
      </c>
    </row>
    <row r="5562" ht="15.75" customHeight="1">
      <c r="A5562" s="1" t="s">
        <v>110</v>
      </c>
      <c r="B5562" s="1" t="s">
        <v>10</v>
      </c>
      <c r="C5562" s="1" t="s">
        <v>11</v>
      </c>
      <c r="D5562" s="5">
        <v>45236.0</v>
      </c>
      <c r="G5562" s="1">
        <f>VLOOKUP(B5562,'old-aw-skill-plan'!A:I,7,FALSE)</f>
        <v>3</v>
      </c>
      <c r="H5562" s="1" t="str">
        <f>VLOOKUP(B5562,'old-aw-skill-plan'!A:I,9,FALSE)</f>
        <v>3-1</v>
      </c>
    </row>
    <row r="5563" ht="15.75" customHeight="1">
      <c r="A5563" s="1" t="s">
        <v>197</v>
      </c>
      <c r="B5563" s="1" t="s">
        <v>34</v>
      </c>
      <c r="C5563" s="1" t="s">
        <v>11</v>
      </c>
      <c r="D5563" s="5">
        <v>45235.0</v>
      </c>
      <c r="G5563" s="1">
        <f>VLOOKUP(B5563,'old-aw-skill-plan'!A:I,7,FALSE)</f>
        <v>4</v>
      </c>
      <c r="H5563" s="1" t="str">
        <f>VLOOKUP(B5563,'old-aw-skill-plan'!A:I,9,FALSE)</f>
        <v>4-1</v>
      </c>
    </row>
    <row r="5564" ht="15.75" customHeight="1">
      <c r="A5564" s="1" t="s">
        <v>93</v>
      </c>
      <c r="B5564" s="1" t="s">
        <v>352</v>
      </c>
      <c r="C5564" s="1" t="s">
        <v>11</v>
      </c>
      <c r="D5564" s="5">
        <v>45235.0</v>
      </c>
      <c r="G5564" s="1">
        <f>VLOOKUP(B5564,'old-aw-skill-plan'!A:I,7,FALSE)</f>
        <v>3</v>
      </c>
      <c r="H5564" s="1" t="str">
        <f>VLOOKUP(B5564,'old-aw-skill-plan'!A:I,9,FALSE)</f>
        <v>3-2</v>
      </c>
    </row>
    <row r="5565" ht="15.75" customHeight="1">
      <c r="A5565" s="1" t="s">
        <v>468</v>
      </c>
      <c r="B5565" s="1" t="s">
        <v>307</v>
      </c>
      <c r="C5565" s="1" t="s">
        <v>11</v>
      </c>
      <c r="D5565" s="5">
        <v>45235.0</v>
      </c>
      <c r="G5565" s="1">
        <f>VLOOKUP(B5565,'old-aw-skill-plan'!A:I,7,FALSE)</f>
        <v>3</v>
      </c>
      <c r="H5565" s="1" t="str">
        <f>VLOOKUP(B5565,'old-aw-skill-plan'!A:I,9,FALSE)</f>
        <v>3-1</v>
      </c>
    </row>
    <row r="5566" ht="15.75" customHeight="1">
      <c r="A5566" s="1" t="s">
        <v>268</v>
      </c>
      <c r="B5566" s="1" t="s">
        <v>97</v>
      </c>
      <c r="C5566" s="1" t="s">
        <v>11</v>
      </c>
      <c r="D5566" s="5">
        <v>45234.0</v>
      </c>
      <c r="G5566" s="1">
        <f>VLOOKUP(B5566,'old-aw-skill-plan'!A:I,7,FALSE)</f>
        <v>4</v>
      </c>
      <c r="H5566" s="1" t="str">
        <f>VLOOKUP(B5566,'old-aw-skill-plan'!A:I,9,FALSE)</f>
        <v>4-3</v>
      </c>
    </row>
    <row r="5567" ht="15.75" customHeight="1">
      <c r="A5567" s="1" t="s">
        <v>93</v>
      </c>
      <c r="B5567" s="1" t="s">
        <v>352</v>
      </c>
      <c r="C5567" s="1" t="s">
        <v>11</v>
      </c>
      <c r="D5567" s="5">
        <v>45234.0</v>
      </c>
      <c r="G5567" s="1">
        <f>VLOOKUP(B5567,'old-aw-skill-plan'!A:I,7,FALSE)</f>
        <v>3</v>
      </c>
      <c r="H5567" s="1" t="str">
        <f>VLOOKUP(B5567,'old-aw-skill-plan'!A:I,9,FALSE)</f>
        <v>3-2</v>
      </c>
    </row>
    <row r="5568" ht="15.75" customHeight="1">
      <c r="A5568" s="1" t="s">
        <v>464</v>
      </c>
      <c r="B5568" s="1" t="s">
        <v>44</v>
      </c>
      <c r="C5568" s="1" t="s">
        <v>11</v>
      </c>
      <c r="D5568" s="5">
        <v>45233.0</v>
      </c>
      <c r="G5568" s="1">
        <f>VLOOKUP(B5568,'old-aw-skill-plan'!A:I,7,FALSE)</f>
        <v>5</v>
      </c>
      <c r="H5568" s="1" t="str">
        <f>VLOOKUP(B5568,'old-aw-skill-plan'!A:I,9,FALSE)</f>
        <v>5-1</v>
      </c>
    </row>
    <row r="5569" ht="15.75" customHeight="1">
      <c r="A5569" s="1" t="s">
        <v>266</v>
      </c>
      <c r="B5569" s="1" t="s">
        <v>356</v>
      </c>
      <c r="C5569" s="1" t="s">
        <v>11</v>
      </c>
      <c r="D5569" s="5">
        <v>45233.0</v>
      </c>
      <c r="G5569" s="1">
        <f>VLOOKUP(B5569,'old-aw-skill-plan'!A:I,7,FALSE)</f>
        <v>3</v>
      </c>
      <c r="H5569" s="1" t="str">
        <f>VLOOKUP(B5569,'old-aw-skill-plan'!A:I,9,FALSE)</f>
        <v>3-2</v>
      </c>
    </row>
    <row r="5570" ht="15.75" customHeight="1">
      <c r="A5570" s="1" t="s">
        <v>22</v>
      </c>
      <c r="B5570" s="1" t="s">
        <v>34</v>
      </c>
      <c r="C5570" s="1" t="s">
        <v>11</v>
      </c>
      <c r="D5570" s="5">
        <v>45233.0</v>
      </c>
      <c r="G5570" s="1">
        <f>VLOOKUP(B5570,'old-aw-skill-plan'!A:I,7,FALSE)</f>
        <v>4</v>
      </c>
      <c r="H5570" s="1" t="str">
        <f>VLOOKUP(B5570,'old-aw-skill-plan'!A:I,9,FALSE)</f>
        <v>4-1</v>
      </c>
    </row>
    <row r="5571" ht="15.75" customHeight="1">
      <c r="A5571" s="1" t="s">
        <v>216</v>
      </c>
      <c r="B5571" s="1" t="s">
        <v>34</v>
      </c>
      <c r="C5571" s="1" t="s">
        <v>11</v>
      </c>
      <c r="D5571" s="5">
        <v>45233.0</v>
      </c>
      <c r="G5571" s="1">
        <f>VLOOKUP(B5571,'old-aw-skill-plan'!A:I,7,FALSE)</f>
        <v>4</v>
      </c>
      <c r="H5571" s="1" t="str">
        <f>VLOOKUP(B5571,'old-aw-skill-plan'!A:I,9,FALSE)</f>
        <v>4-1</v>
      </c>
    </row>
    <row r="5572" ht="15.75" customHeight="1">
      <c r="A5572" s="1" t="s">
        <v>35</v>
      </c>
      <c r="B5572" s="1" t="s">
        <v>34</v>
      </c>
      <c r="C5572" s="1" t="s">
        <v>11</v>
      </c>
      <c r="D5572" s="5">
        <v>45233.0</v>
      </c>
      <c r="G5572" s="1">
        <f>VLOOKUP(B5572,'old-aw-skill-plan'!A:I,7,FALSE)</f>
        <v>4</v>
      </c>
      <c r="H5572" s="1" t="str">
        <f>VLOOKUP(B5572,'old-aw-skill-plan'!A:I,9,FALSE)</f>
        <v>4-1</v>
      </c>
    </row>
    <row r="5573" ht="15.75" customHeight="1">
      <c r="A5573" s="1" t="s">
        <v>208</v>
      </c>
      <c r="B5573" s="1" t="s">
        <v>104</v>
      </c>
      <c r="C5573" s="1" t="s">
        <v>11</v>
      </c>
      <c r="D5573" s="5">
        <v>45233.0</v>
      </c>
      <c r="G5573" s="1">
        <f>VLOOKUP(B5573,'old-aw-skill-plan'!A:I,7,FALSE)</f>
        <v>5</v>
      </c>
      <c r="H5573" s="1" t="str">
        <f>VLOOKUP(B5573,'old-aw-skill-plan'!A:I,9,FALSE)</f>
        <v>5-2</v>
      </c>
    </row>
    <row r="5574" ht="15.75" customHeight="1">
      <c r="A5574" s="1" t="s">
        <v>24</v>
      </c>
      <c r="B5574" s="1" t="s">
        <v>34</v>
      </c>
      <c r="C5574" s="1" t="s">
        <v>11</v>
      </c>
      <c r="D5574" s="5">
        <v>45233.0</v>
      </c>
      <c r="G5574" s="1">
        <f>VLOOKUP(B5574,'old-aw-skill-plan'!A:I,7,FALSE)</f>
        <v>4</v>
      </c>
      <c r="H5574" s="1" t="str">
        <f>VLOOKUP(B5574,'old-aw-skill-plan'!A:I,9,FALSE)</f>
        <v>4-1</v>
      </c>
    </row>
    <row r="5575" ht="15.75" customHeight="1">
      <c r="A5575" s="1" t="s">
        <v>271</v>
      </c>
      <c r="B5575" s="1" t="s">
        <v>34</v>
      </c>
      <c r="C5575" s="1" t="s">
        <v>11</v>
      </c>
      <c r="D5575" s="5">
        <v>45233.0</v>
      </c>
      <c r="G5575" s="1">
        <f>VLOOKUP(B5575,'old-aw-skill-plan'!A:I,7,FALSE)</f>
        <v>4</v>
      </c>
      <c r="H5575" s="1" t="str">
        <f>VLOOKUP(B5575,'old-aw-skill-plan'!A:I,9,FALSE)</f>
        <v>4-1</v>
      </c>
    </row>
    <row r="5576" ht="15.75" customHeight="1">
      <c r="A5576" s="1" t="s">
        <v>271</v>
      </c>
      <c r="B5576" s="1" t="s">
        <v>97</v>
      </c>
      <c r="C5576" s="1" t="s">
        <v>11</v>
      </c>
      <c r="D5576" s="5">
        <v>45233.0</v>
      </c>
      <c r="G5576" s="1">
        <f>VLOOKUP(B5576,'old-aw-skill-plan'!A:I,7,FALSE)</f>
        <v>4</v>
      </c>
      <c r="H5576" s="1" t="str">
        <f>VLOOKUP(B5576,'old-aw-skill-plan'!A:I,9,FALSE)</f>
        <v>4-3</v>
      </c>
    </row>
    <row r="5577" ht="15.75" customHeight="1">
      <c r="A5577" s="1" t="s">
        <v>271</v>
      </c>
      <c r="B5577" s="1" t="s">
        <v>37</v>
      </c>
      <c r="C5577" s="1" t="s">
        <v>11</v>
      </c>
      <c r="D5577" s="5">
        <v>45233.0</v>
      </c>
      <c r="G5577" s="1">
        <f>VLOOKUP(B5577,'old-aw-skill-plan'!A:I,7,FALSE)</f>
        <v>4</v>
      </c>
      <c r="H5577" s="1" t="str">
        <f>VLOOKUP(B5577,'old-aw-skill-plan'!A:I,9,FALSE)</f>
        <v>4-2</v>
      </c>
    </row>
    <row r="5578" ht="15.75" customHeight="1">
      <c r="A5578" s="1" t="s">
        <v>271</v>
      </c>
      <c r="B5578" s="1" t="s">
        <v>309</v>
      </c>
      <c r="C5578" s="1" t="s">
        <v>11</v>
      </c>
      <c r="D5578" s="5">
        <v>45233.0</v>
      </c>
      <c r="G5578" s="1">
        <f>VLOOKUP(B5578,'old-aw-skill-plan'!A:I,7,FALSE)</f>
        <v>4</v>
      </c>
      <c r="H5578" s="1" t="str">
        <f>VLOOKUP(B5578,'old-aw-skill-plan'!A:I,9,FALSE)</f>
        <v>4-1</v>
      </c>
    </row>
    <row r="5579" ht="15.75" customHeight="1">
      <c r="A5579" s="1" t="s">
        <v>271</v>
      </c>
      <c r="B5579" s="1" t="s">
        <v>320</v>
      </c>
      <c r="C5579" s="1" t="s">
        <v>11</v>
      </c>
      <c r="D5579" s="5">
        <v>45233.0</v>
      </c>
      <c r="G5579" s="1">
        <f>VLOOKUP(B5579,'old-aw-skill-plan'!A:I,7,FALSE)</f>
        <v>4</v>
      </c>
      <c r="H5579" s="1" t="str">
        <f>VLOOKUP(B5579,'old-aw-skill-plan'!A:I,9,FALSE)</f>
        <v>4-2</v>
      </c>
    </row>
    <row r="5580" ht="15.75" customHeight="1">
      <c r="A5580" s="1" t="s">
        <v>207</v>
      </c>
      <c r="B5580" s="1" t="s">
        <v>307</v>
      </c>
      <c r="C5580" s="1" t="s">
        <v>11</v>
      </c>
      <c r="D5580" s="5">
        <v>45233.0</v>
      </c>
      <c r="G5580" s="1">
        <f>VLOOKUP(B5580,'old-aw-skill-plan'!A:I,7,FALSE)</f>
        <v>3</v>
      </c>
      <c r="H5580" s="1" t="str">
        <f>VLOOKUP(B5580,'old-aw-skill-plan'!A:I,9,FALSE)</f>
        <v>3-1</v>
      </c>
    </row>
    <row r="5581" ht="15.75" customHeight="1">
      <c r="A5581" s="1" t="s">
        <v>207</v>
      </c>
      <c r="B5581" s="1" t="s">
        <v>383</v>
      </c>
      <c r="C5581" s="1" t="s">
        <v>11</v>
      </c>
      <c r="D5581" s="5">
        <v>45233.0</v>
      </c>
      <c r="G5581" s="1">
        <f>VLOOKUP(B5581,'old-aw-skill-plan'!A:I,7,FALSE)</f>
        <v>3</v>
      </c>
      <c r="H5581" s="1" t="str">
        <f>VLOOKUP(B5581,'old-aw-skill-plan'!A:I,9,FALSE)</f>
        <v>3-3</v>
      </c>
    </row>
    <row r="5582" ht="15.75" customHeight="1">
      <c r="A5582" s="1" t="s">
        <v>207</v>
      </c>
      <c r="B5582" s="1" t="s">
        <v>356</v>
      </c>
      <c r="C5582" s="1" t="s">
        <v>11</v>
      </c>
      <c r="D5582" s="5">
        <v>45233.0</v>
      </c>
      <c r="G5582" s="1">
        <f>VLOOKUP(B5582,'old-aw-skill-plan'!A:I,7,FALSE)</f>
        <v>3</v>
      </c>
      <c r="H5582" s="1" t="str">
        <f>VLOOKUP(B5582,'old-aw-skill-plan'!A:I,9,FALSE)</f>
        <v>3-2</v>
      </c>
    </row>
    <row r="5583" ht="15.75" customHeight="1">
      <c r="A5583" s="1" t="s">
        <v>207</v>
      </c>
      <c r="B5583" s="1" t="s">
        <v>425</v>
      </c>
      <c r="C5583" s="1" t="s">
        <v>11</v>
      </c>
      <c r="D5583" s="5">
        <v>45233.0</v>
      </c>
      <c r="G5583" s="1">
        <f>VLOOKUP(B5583,'old-aw-skill-plan'!A:I,7,FALSE)</f>
        <v>3</v>
      </c>
      <c r="H5583" s="1" t="str">
        <f>VLOOKUP(B5583,'old-aw-skill-plan'!A:I,9,FALSE)</f>
        <v>3-1</v>
      </c>
    </row>
    <row r="5584" ht="15.75" customHeight="1">
      <c r="A5584" s="1" t="s">
        <v>458</v>
      </c>
      <c r="B5584" s="1" t="s">
        <v>10</v>
      </c>
      <c r="C5584" s="1" t="s">
        <v>11</v>
      </c>
      <c r="D5584" s="5">
        <v>45233.0</v>
      </c>
      <c r="G5584" s="1">
        <f>VLOOKUP(B5584,'old-aw-skill-plan'!A:I,7,FALSE)</f>
        <v>3</v>
      </c>
      <c r="H5584" s="1" t="str">
        <f>VLOOKUP(B5584,'old-aw-skill-plan'!A:I,9,FALSE)</f>
        <v>3-1</v>
      </c>
    </row>
    <row r="5585" ht="15.75" customHeight="1">
      <c r="A5585" s="1" t="s">
        <v>434</v>
      </c>
      <c r="B5585" s="1" t="s">
        <v>307</v>
      </c>
      <c r="C5585" s="1" t="s">
        <v>11</v>
      </c>
      <c r="D5585" s="5">
        <v>45233.0</v>
      </c>
      <c r="G5585" s="1">
        <f>VLOOKUP(B5585,'old-aw-skill-plan'!A:I,7,FALSE)</f>
        <v>3</v>
      </c>
      <c r="H5585" s="1" t="str">
        <f>VLOOKUP(B5585,'old-aw-skill-plan'!A:I,9,FALSE)</f>
        <v>3-1</v>
      </c>
    </row>
    <row r="5586" ht="15.75" customHeight="1">
      <c r="A5586" s="1" t="s">
        <v>434</v>
      </c>
      <c r="B5586" s="1" t="s">
        <v>356</v>
      </c>
      <c r="C5586" s="1" t="s">
        <v>11</v>
      </c>
      <c r="D5586" s="5">
        <v>45233.0</v>
      </c>
      <c r="G5586" s="1">
        <f>VLOOKUP(B5586,'old-aw-skill-plan'!A:I,7,FALSE)</f>
        <v>3</v>
      </c>
      <c r="H5586" s="1" t="str">
        <f>VLOOKUP(B5586,'old-aw-skill-plan'!A:I,9,FALSE)</f>
        <v>3-2</v>
      </c>
    </row>
    <row r="5587" ht="15.75" customHeight="1">
      <c r="A5587" s="1" t="s">
        <v>213</v>
      </c>
      <c r="B5587" s="1" t="s">
        <v>10</v>
      </c>
      <c r="C5587" s="1" t="s">
        <v>11</v>
      </c>
      <c r="D5587" s="5">
        <v>45233.0</v>
      </c>
      <c r="G5587" s="1">
        <f>VLOOKUP(B5587,'old-aw-skill-plan'!A:I,7,FALSE)</f>
        <v>3</v>
      </c>
      <c r="H5587" s="1" t="str">
        <f>VLOOKUP(B5587,'old-aw-skill-plan'!A:I,9,FALSE)</f>
        <v>3-1</v>
      </c>
    </row>
    <row r="5588" ht="15.75" customHeight="1">
      <c r="A5588" s="1" t="s">
        <v>475</v>
      </c>
      <c r="B5588" s="1" t="s">
        <v>97</v>
      </c>
      <c r="C5588" s="1" t="s">
        <v>11</v>
      </c>
      <c r="D5588" s="5">
        <v>45233.0</v>
      </c>
      <c r="G5588" s="1">
        <f>VLOOKUP(B5588,'old-aw-skill-plan'!A:I,7,FALSE)</f>
        <v>4</v>
      </c>
      <c r="H5588" s="1" t="str">
        <f>VLOOKUP(B5588,'old-aw-skill-plan'!A:I,9,FALSE)</f>
        <v>4-3</v>
      </c>
    </row>
    <row r="5589" ht="15.75" customHeight="1">
      <c r="A5589" s="1" t="s">
        <v>475</v>
      </c>
      <c r="B5589" s="1" t="s">
        <v>37</v>
      </c>
      <c r="C5589" s="1" t="s">
        <v>11</v>
      </c>
      <c r="D5589" s="5">
        <v>45233.0</v>
      </c>
      <c r="G5589" s="1">
        <f>VLOOKUP(B5589,'old-aw-skill-plan'!A:I,7,FALSE)</f>
        <v>4</v>
      </c>
      <c r="H5589" s="1" t="str">
        <f>VLOOKUP(B5589,'old-aw-skill-plan'!A:I,9,FALSE)</f>
        <v>4-2</v>
      </c>
    </row>
    <row r="5590" ht="15.75" customHeight="1">
      <c r="A5590" s="1" t="s">
        <v>199</v>
      </c>
      <c r="B5590" s="1" t="s">
        <v>34</v>
      </c>
      <c r="C5590" s="1" t="s">
        <v>11</v>
      </c>
      <c r="D5590" s="5">
        <v>45233.0</v>
      </c>
      <c r="G5590" s="1">
        <f>VLOOKUP(B5590,'old-aw-skill-plan'!A:I,7,FALSE)</f>
        <v>4</v>
      </c>
      <c r="H5590" s="1" t="str">
        <f>VLOOKUP(B5590,'old-aw-skill-plan'!A:I,9,FALSE)</f>
        <v>4-1</v>
      </c>
    </row>
    <row r="5591" ht="15.75" customHeight="1">
      <c r="A5591" s="1" t="s">
        <v>449</v>
      </c>
      <c r="B5591" s="1" t="s">
        <v>34</v>
      </c>
      <c r="C5591" s="1" t="s">
        <v>11</v>
      </c>
      <c r="D5591" s="5">
        <v>45233.0</v>
      </c>
      <c r="G5591" s="1">
        <f>VLOOKUP(B5591,'old-aw-skill-plan'!A:I,7,FALSE)</f>
        <v>4</v>
      </c>
      <c r="H5591" s="1" t="str">
        <f>VLOOKUP(B5591,'old-aw-skill-plan'!A:I,9,FALSE)</f>
        <v>4-1</v>
      </c>
    </row>
    <row r="5592" ht="15.75" customHeight="1">
      <c r="A5592" s="1" t="s">
        <v>36</v>
      </c>
      <c r="B5592" s="1" t="s">
        <v>47</v>
      </c>
      <c r="C5592" s="1" t="s">
        <v>11</v>
      </c>
      <c r="D5592" s="5">
        <v>45233.0</v>
      </c>
      <c r="G5592" s="1">
        <f>VLOOKUP(B5592,'old-aw-skill-plan'!A:I,7,FALSE)</f>
        <v>3</v>
      </c>
      <c r="H5592" s="1" t="str">
        <f>VLOOKUP(B5592,'old-aw-skill-plan'!A:I,9,FALSE)</f>
        <v>3-2</v>
      </c>
    </row>
    <row r="5593" ht="15.75" customHeight="1">
      <c r="A5593" s="1" t="s">
        <v>480</v>
      </c>
      <c r="B5593" s="1" t="s">
        <v>47</v>
      </c>
      <c r="C5593" s="1" t="s">
        <v>11</v>
      </c>
      <c r="D5593" s="5">
        <v>45233.0</v>
      </c>
      <c r="G5593" s="1">
        <f>VLOOKUP(B5593,'old-aw-skill-plan'!A:I,7,FALSE)</f>
        <v>3</v>
      </c>
      <c r="H5593" s="1" t="str">
        <f>VLOOKUP(B5593,'old-aw-skill-plan'!A:I,9,FALSE)</f>
        <v>3-2</v>
      </c>
    </row>
    <row r="5594" ht="15.75" customHeight="1">
      <c r="A5594" s="1" t="s">
        <v>460</v>
      </c>
      <c r="B5594" s="1" t="s">
        <v>44</v>
      </c>
      <c r="C5594" s="1" t="s">
        <v>11</v>
      </c>
      <c r="D5594" s="5">
        <v>45233.0</v>
      </c>
      <c r="G5594" s="1">
        <f>VLOOKUP(B5594,'old-aw-skill-plan'!A:I,7,FALSE)</f>
        <v>5</v>
      </c>
      <c r="H5594" s="1" t="str">
        <f>VLOOKUP(B5594,'old-aw-skill-plan'!A:I,9,FALSE)</f>
        <v>5-1</v>
      </c>
    </row>
    <row r="5595" ht="15.75" customHeight="1">
      <c r="A5595" s="1" t="s">
        <v>469</v>
      </c>
      <c r="B5595" s="1" t="s">
        <v>34</v>
      </c>
      <c r="C5595" s="1" t="s">
        <v>11</v>
      </c>
      <c r="D5595" s="5">
        <v>45233.0</v>
      </c>
      <c r="G5595" s="1">
        <f>VLOOKUP(B5595,'old-aw-skill-plan'!A:I,7,FALSE)</f>
        <v>4</v>
      </c>
      <c r="H5595" s="1" t="str">
        <f>VLOOKUP(B5595,'old-aw-skill-plan'!A:I,9,FALSE)</f>
        <v>4-1</v>
      </c>
    </row>
    <row r="5596" ht="15.75" customHeight="1">
      <c r="A5596" s="1" t="s">
        <v>237</v>
      </c>
      <c r="B5596" s="1" t="s">
        <v>47</v>
      </c>
      <c r="C5596" s="1" t="s">
        <v>11</v>
      </c>
      <c r="D5596" s="5">
        <v>45233.0</v>
      </c>
      <c r="G5596" s="1">
        <f>VLOOKUP(B5596,'old-aw-skill-plan'!A:I,7,FALSE)</f>
        <v>3</v>
      </c>
      <c r="H5596" s="1" t="str">
        <f>VLOOKUP(B5596,'old-aw-skill-plan'!A:I,9,FALSE)</f>
        <v>3-2</v>
      </c>
    </row>
    <row r="5597" ht="15.75" customHeight="1">
      <c r="A5597" s="1" t="s">
        <v>465</v>
      </c>
      <c r="B5597" s="1" t="s">
        <v>30</v>
      </c>
      <c r="C5597" s="1" t="s">
        <v>11</v>
      </c>
      <c r="D5597" s="5">
        <v>45233.0</v>
      </c>
      <c r="G5597" s="1">
        <f>VLOOKUP(B5597,'old-aw-skill-plan'!A:I,7,FALSE)</f>
        <v>3</v>
      </c>
      <c r="H5597" s="1" t="str">
        <f>VLOOKUP(B5597,'old-aw-skill-plan'!A:I,9,FALSE)</f>
        <v>3-3</v>
      </c>
    </row>
    <row r="5598" ht="15.75" customHeight="1">
      <c r="A5598" s="1" t="s">
        <v>465</v>
      </c>
      <c r="B5598" s="1" t="s">
        <v>47</v>
      </c>
      <c r="C5598" s="1" t="s">
        <v>11</v>
      </c>
      <c r="D5598" s="5">
        <v>45233.0</v>
      </c>
      <c r="G5598" s="1">
        <f>VLOOKUP(B5598,'old-aw-skill-plan'!A:I,7,FALSE)</f>
        <v>3</v>
      </c>
      <c r="H5598" s="1" t="str">
        <f>VLOOKUP(B5598,'old-aw-skill-plan'!A:I,9,FALSE)</f>
        <v>3-2</v>
      </c>
    </row>
    <row r="5599" ht="15.75" customHeight="1">
      <c r="A5599" s="1" t="s">
        <v>465</v>
      </c>
      <c r="B5599" s="1" t="s">
        <v>307</v>
      </c>
      <c r="C5599" s="1" t="s">
        <v>11</v>
      </c>
      <c r="D5599" s="5">
        <v>45233.0</v>
      </c>
      <c r="G5599" s="1">
        <f>VLOOKUP(B5599,'old-aw-skill-plan'!A:I,7,FALSE)</f>
        <v>3</v>
      </c>
      <c r="H5599" s="1" t="str">
        <f>VLOOKUP(B5599,'old-aw-skill-plan'!A:I,9,FALSE)</f>
        <v>3-1</v>
      </c>
    </row>
    <row r="5600" ht="15.75" customHeight="1">
      <c r="A5600" s="1" t="s">
        <v>465</v>
      </c>
      <c r="B5600" s="1" t="s">
        <v>356</v>
      </c>
      <c r="C5600" s="1" t="s">
        <v>11</v>
      </c>
      <c r="D5600" s="5">
        <v>45233.0</v>
      </c>
      <c r="G5600" s="1">
        <f>VLOOKUP(B5600,'old-aw-skill-plan'!A:I,7,FALSE)</f>
        <v>3</v>
      </c>
      <c r="H5600" s="1" t="str">
        <f>VLOOKUP(B5600,'old-aw-skill-plan'!A:I,9,FALSE)</f>
        <v>3-2</v>
      </c>
    </row>
    <row r="5601" ht="15.75" customHeight="1">
      <c r="A5601" s="1" t="s">
        <v>419</v>
      </c>
      <c r="B5601" s="1" t="s">
        <v>425</v>
      </c>
      <c r="C5601" s="1" t="s">
        <v>11</v>
      </c>
      <c r="D5601" s="5">
        <v>45233.0</v>
      </c>
      <c r="G5601" s="1">
        <f>VLOOKUP(B5601,'old-aw-skill-plan'!A:I,7,FALSE)</f>
        <v>3</v>
      </c>
      <c r="H5601" s="1" t="str">
        <f>VLOOKUP(B5601,'old-aw-skill-plan'!A:I,9,FALSE)</f>
        <v>3-1</v>
      </c>
    </row>
    <row r="5602" ht="15.75" customHeight="1">
      <c r="A5602" s="1" t="s">
        <v>454</v>
      </c>
      <c r="B5602" s="1" t="s">
        <v>10</v>
      </c>
      <c r="C5602" s="1" t="s">
        <v>11</v>
      </c>
      <c r="D5602" s="5">
        <v>45233.0</v>
      </c>
      <c r="G5602" s="1">
        <f>VLOOKUP(B5602,'old-aw-skill-plan'!A:I,7,FALSE)</f>
        <v>3</v>
      </c>
      <c r="H5602" s="1" t="str">
        <f>VLOOKUP(B5602,'old-aw-skill-plan'!A:I,9,FALSE)</f>
        <v>3-1</v>
      </c>
    </row>
    <row r="5603" ht="15.75" customHeight="1">
      <c r="A5603" s="1" t="s">
        <v>454</v>
      </c>
      <c r="B5603" s="1" t="s">
        <v>30</v>
      </c>
      <c r="C5603" s="1" t="s">
        <v>11</v>
      </c>
      <c r="D5603" s="5">
        <v>45233.0</v>
      </c>
      <c r="G5603" s="1">
        <f>VLOOKUP(B5603,'old-aw-skill-plan'!A:I,7,FALSE)</f>
        <v>3</v>
      </c>
      <c r="H5603" s="1" t="str">
        <f>VLOOKUP(B5603,'old-aw-skill-plan'!A:I,9,FALSE)</f>
        <v>3-3</v>
      </c>
    </row>
    <row r="5604" ht="15.75" customHeight="1">
      <c r="A5604" s="1" t="s">
        <v>454</v>
      </c>
      <c r="B5604" s="1" t="s">
        <v>47</v>
      </c>
      <c r="C5604" s="1" t="s">
        <v>11</v>
      </c>
      <c r="D5604" s="5">
        <v>45233.0</v>
      </c>
      <c r="G5604" s="1">
        <f>VLOOKUP(B5604,'old-aw-skill-plan'!A:I,7,FALSE)</f>
        <v>3</v>
      </c>
      <c r="H5604" s="1" t="str">
        <f>VLOOKUP(B5604,'old-aw-skill-plan'!A:I,9,FALSE)</f>
        <v>3-2</v>
      </c>
    </row>
    <row r="5605" ht="15.75" customHeight="1">
      <c r="A5605" s="1" t="s">
        <v>459</v>
      </c>
      <c r="B5605" s="1" t="s">
        <v>10</v>
      </c>
      <c r="C5605" s="1" t="s">
        <v>11</v>
      </c>
      <c r="D5605" s="5">
        <v>45233.0</v>
      </c>
      <c r="G5605" s="1">
        <f>VLOOKUP(B5605,'old-aw-skill-plan'!A:I,7,FALSE)</f>
        <v>3</v>
      </c>
      <c r="H5605" s="1" t="str">
        <f>VLOOKUP(B5605,'old-aw-skill-plan'!A:I,9,FALSE)</f>
        <v>3-1</v>
      </c>
    </row>
    <row r="5606" ht="15.75" customHeight="1">
      <c r="A5606" s="1" t="s">
        <v>459</v>
      </c>
      <c r="B5606" s="1" t="s">
        <v>47</v>
      </c>
      <c r="C5606" s="1" t="s">
        <v>11</v>
      </c>
      <c r="D5606" s="5">
        <v>45233.0</v>
      </c>
      <c r="G5606" s="1">
        <f>VLOOKUP(B5606,'old-aw-skill-plan'!A:I,7,FALSE)</f>
        <v>3</v>
      </c>
      <c r="H5606" s="1" t="str">
        <f>VLOOKUP(B5606,'old-aw-skill-plan'!A:I,9,FALSE)</f>
        <v>3-2</v>
      </c>
    </row>
    <row r="5607" ht="15.75" customHeight="1">
      <c r="A5607" s="1" t="s">
        <v>459</v>
      </c>
      <c r="B5607" s="1" t="s">
        <v>307</v>
      </c>
      <c r="C5607" s="1" t="s">
        <v>11</v>
      </c>
      <c r="D5607" s="5">
        <v>45233.0</v>
      </c>
      <c r="G5607" s="1">
        <f>VLOOKUP(B5607,'old-aw-skill-plan'!A:I,7,FALSE)</f>
        <v>3</v>
      </c>
      <c r="H5607" s="1" t="str">
        <f>VLOOKUP(B5607,'old-aw-skill-plan'!A:I,9,FALSE)</f>
        <v>3-1</v>
      </c>
    </row>
    <row r="5608" ht="15.75" customHeight="1">
      <c r="A5608" s="1" t="s">
        <v>459</v>
      </c>
      <c r="B5608" s="1" t="s">
        <v>356</v>
      </c>
      <c r="C5608" s="1" t="s">
        <v>11</v>
      </c>
      <c r="D5608" s="5">
        <v>45233.0</v>
      </c>
      <c r="G5608" s="1">
        <f>VLOOKUP(B5608,'old-aw-skill-plan'!A:I,7,FALSE)</f>
        <v>3</v>
      </c>
      <c r="H5608" s="1" t="str">
        <f>VLOOKUP(B5608,'old-aw-skill-plan'!A:I,9,FALSE)</f>
        <v>3-2</v>
      </c>
    </row>
    <row r="5609" ht="15.75" customHeight="1">
      <c r="A5609" s="1" t="s">
        <v>459</v>
      </c>
      <c r="B5609" s="1" t="s">
        <v>425</v>
      </c>
      <c r="C5609" s="1" t="s">
        <v>11</v>
      </c>
      <c r="D5609" s="5">
        <v>45233.0</v>
      </c>
      <c r="G5609" s="1">
        <f>VLOOKUP(B5609,'old-aw-skill-plan'!A:I,7,FALSE)</f>
        <v>3</v>
      </c>
      <c r="H5609" s="1" t="str">
        <f>VLOOKUP(B5609,'old-aw-skill-plan'!A:I,9,FALSE)</f>
        <v>3-1</v>
      </c>
    </row>
    <row r="5610" ht="15.75" customHeight="1">
      <c r="A5610" s="1" t="s">
        <v>459</v>
      </c>
      <c r="B5610" s="1" t="s">
        <v>352</v>
      </c>
      <c r="C5610" s="1" t="s">
        <v>11</v>
      </c>
      <c r="D5610" s="5">
        <v>45233.0</v>
      </c>
      <c r="G5610" s="1">
        <f>VLOOKUP(B5610,'old-aw-skill-plan'!A:I,7,FALSE)</f>
        <v>3</v>
      </c>
      <c r="H5610" s="1" t="str">
        <f>VLOOKUP(B5610,'old-aw-skill-plan'!A:I,9,FALSE)</f>
        <v>3-2</v>
      </c>
    </row>
    <row r="5611" ht="15.75" customHeight="1">
      <c r="A5611" s="1" t="s">
        <v>459</v>
      </c>
      <c r="B5611" s="1" t="s">
        <v>97</v>
      </c>
      <c r="C5611" s="1" t="s">
        <v>11</v>
      </c>
      <c r="D5611" s="5">
        <v>45233.0</v>
      </c>
      <c r="G5611" s="1">
        <f>VLOOKUP(B5611,'old-aw-skill-plan'!A:I,7,FALSE)</f>
        <v>4</v>
      </c>
      <c r="H5611" s="1" t="str">
        <f>VLOOKUP(B5611,'old-aw-skill-plan'!A:I,9,FALSE)</f>
        <v>4-3</v>
      </c>
    </row>
    <row r="5612" ht="15.75" customHeight="1">
      <c r="A5612" s="1" t="s">
        <v>473</v>
      </c>
      <c r="B5612" s="1" t="s">
        <v>10</v>
      </c>
      <c r="C5612" s="1" t="s">
        <v>11</v>
      </c>
      <c r="D5612" s="5">
        <v>45233.0</v>
      </c>
      <c r="G5612" s="1">
        <f>VLOOKUP(B5612,'old-aw-skill-plan'!A:I,7,FALSE)</f>
        <v>3</v>
      </c>
      <c r="H5612" s="1" t="str">
        <f>VLOOKUP(B5612,'old-aw-skill-plan'!A:I,9,FALSE)</f>
        <v>3-1</v>
      </c>
    </row>
    <row r="5613" ht="15.75" customHeight="1">
      <c r="A5613" s="1" t="s">
        <v>81</v>
      </c>
      <c r="B5613" s="1" t="s">
        <v>34</v>
      </c>
      <c r="C5613" s="1" t="s">
        <v>11</v>
      </c>
      <c r="D5613" s="5">
        <v>45233.0</v>
      </c>
      <c r="G5613" s="1">
        <f>VLOOKUP(B5613,'old-aw-skill-plan'!A:I,7,FALSE)</f>
        <v>4</v>
      </c>
      <c r="H5613" s="1" t="str">
        <f>VLOOKUP(B5613,'old-aw-skill-plan'!A:I,9,FALSE)</f>
        <v>4-1</v>
      </c>
    </row>
    <row r="5614" ht="15.75" customHeight="1">
      <c r="A5614" s="1" t="s">
        <v>429</v>
      </c>
      <c r="B5614" s="1" t="s">
        <v>34</v>
      </c>
      <c r="C5614" s="1" t="s">
        <v>11</v>
      </c>
      <c r="D5614" s="5">
        <v>45233.0</v>
      </c>
      <c r="G5614" s="1">
        <f>VLOOKUP(B5614,'old-aw-skill-plan'!A:I,7,FALSE)</f>
        <v>4</v>
      </c>
      <c r="H5614" s="1" t="str">
        <f>VLOOKUP(B5614,'old-aw-skill-plan'!A:I,9,FALSE)</f>
        <v>4-1</v>
      </c>
    </row>
    <row r="5615" ht="15.75" customHeight="1">
      <c r="A5615" s="1" t="s">
        <v>421</v>
      </c>
      <c r="B5615" s="1" t="s">
        <v>30</v>
      </c>
      <c r="C5615" s="1" t="s">
        <v>11</v>
      </c>
      <c r="D5615" s="5">
        <v>45233.0</v>
      </c>
      <c r="G5615" s="1">
        <f>VLOOKUP(B5615,'old-aw-skill-plan'!A:I,7,FALSE)</f>
        <v>3</v>
      </c>
      <c r="H5615" s="1" t="str">
        <f>VLOOKUP(B5615,'old-aw-skill-plan'!A:I,9,FALSE)</f>
        <v>3-3</v>
      </c>
    </row>
    <row r="5616" ht="15.75" customHeight="1">
      <c r="A5616" s="1" t="s">
        <v>230</v>
      </c>
      <c r="B5616" s="1" t="s">
        <v>47</v>
      </c>
      <c r="C5616" s="1" t="s">
        <v>11</v>
      </c>
      <c r="D5616" s="5">
        <v>45233.0</v>
      </c>
      <c r="G5616" s="1">
        <f>VLOOKUP(B5616,'old-aw-skill-plan'!A:I,7,FALSE)</f>
        <v>3</v>
      </c>
      <c r="H5616" s="1" t="str">
        <f>VLOOKUP(B5616,'old-aw-skill-plan'!A:I,9,FALSE)</f>
        <v>3-2</v>
      </c>
    </row>
    <row r="5617" ht="15.75" customHeight="1">
      <c r="A5617" s="1" t="s">
        <v>428</v>
      </c>
      <c r="B5617" s="1" t="s">
        <v>34</v>
      </c>
      <c r="C5617" s="1" t="s">
        <v>11</v>
      </c>
      <c r="D5617" s="5">
        <v>45233.0</v>
      </c>
      <c r="G5617" s="1">
        <f>VLOOKUP(B5617,'old-aw-skill-plan'!A:I,7,FALSE)</f>
        <v>4</v>
      </c>
      <c r="H5617" s="1" t="str">
        <f>VLOOKUP(B5617,'old-aw-skill-plan'!A:I,9,FALSE)</f>
        <v>4-1</v>
      </c>
    </row>
    <row r="5618" ht="15.75" customHeight="1">
      <c r="A5618" s="1" t="s">
        <v>428</v>
      </c>
      <c r="B5618" s="1" t="s">
        <v>382</v>
      </c>
      <c r="C5618" s="1" t="s">
        <v>11</v>
      </c>
      <c r="D5618" s="5">
        <v>45233.0</v>
      </c>
      <c r="G5618" s="1">
        <f>VLOOKUP(B5618,'old-aw-skill-plan'!A:I,7,FALSE)</f>
        <v>4</v>
      </c>
      <c r="H5618" s="1" t="str">
        <f>VLOOKUP(B5618,'old-aw-skill-plan'!A:I,9,FALSE)</f>
        <v>4-3</v>
      </c>
    </row>
    <row r="5619" ht="15.75" customHeight="1">
      <c r="A5619" s="1" t="s">
        <v>420</v>
      </c>
      <c r="B5619" s="1" t="s">
        <v>425</v>
      </c>
      <c r="C5619" s="1" t="s">
        <v>11</v>
      </c>
      <c r="D5619" s="5">
        <v>45233.0</v>
      </c>
      <c r="G5619" s="1">
        <f>VLOOKUP(B5619,'old-aw-skill-plan'!A:I,7,FALSE)</f>
        <v>3</v>
      </c>
      <c r="H5619" s="1" t="str">
        <f>VLOOKUP(B5619,'old-aw-skill-plan'!A:I,9,FALSE)</f>
        <v>3-1</v>
      </c>
    </row>
    <row r="5620" ht="15.75" customHeight="1">
      <c r="A5620" s="1" t="s">
        <v>420</v>
      </c>
      <c r="B5620" s="1" t="s">
        <v>34</v>
      </c>
      <c r="C5620" s="1" t="s">
        <v>11</v>
      </c>
      <c r="D5620" s="5">
        <v>45233.0</v>
      </c>
      <c r="G5620" s="1">
        <f>VLOOKUP(B5620,'old-aw-skill-plan'!A:I,7,FALSE)</f>
        <v>4</v>
      </c>
      <c r="H5620" s="1" t="str">
        <f>VLOOKUP(B5620,'old-aw-skill-plan'!A:I,9,FALSE)</f>
        <v>4-1</v>
      </c>
    </row>
    <row r="5621" ht="15.75" customHeight="1">
      <c r="A5621" s="1" t="s">
        <v>275</v>
      </c>
      <c r="B5621" s="1" t="s">
        <v>30</v>
      </c>
      <c r="C5621" s="1" t="s">
        <v>11</v>
      </c>
      <c r="D5621" s="5">
        <v>45233.0</v>
      </c>
      <c r="G5621" s="1">
        <f>VLOOKUP(B5621,'old-aw-skill-plan'!A:I,7,FALSE)</f>
        <v>3</v>
      </c>
      <c r="H5621" s="1" t="str">
        <f>VLOOKUP(B5621,'old-aw-skill-plan'!A:I,9,FALSE)</f>
        <v>3-3</v>
      </c>
    </row>
    <row r="5622" ht="15.75" customHeight="1">
      <c r="A5622" s="1" t="s">
        <v>275</v>
      </c>
      <c r="B5622" s="1" t="s">
        <v>307</v>
      </c>
      <c r="C5622" s="1" t="s">
        <v>11</v>
      </c>
      <c r="D5622" s="5">
        <v>45233.0</v>
      </c>
      <c r="G5622" s="1">
        <f>VLOOKUP(B5622,'old-aw-skill-plan'!A:I,7,FALSE)</f>
        <v>3</v>
      </c>
      <c r="H5622" s="1" t="str">
        <f>VLOOKUP(B5622,'old-aw-skill-plan'!A:I,9,FALSE)</f>
        <v>3-1</v>
      </c>
    </row>
    <row r="5623" ht="15.75" customHeight="1">
      <c r="A5623" s="1" t="s">
        <v>275</v>
      </c>
      <c r="B5623" s="1" t="s">
        <v>356</v>
      </c>
      <c r="C5623" s="1" t="s">
        <v>11</v>
      </c>
      <c r="D5623" s="5">
        <v>45233.0</v>
      </c>
      <c r="G5623" s="1">
        <f>VLOOKUP(B5623,'old-aw-skill-plan'!A:I,7,FALSE)</f>
        <v>3</v>
      </c>
      <c r="H5623" s="1" t="str">
        <f>VLOOKUP(B5623,'old-aw-skill-plan'!A:I,9,FALSE)</f>
        <v>3-2</v>
      </c>
    </row>
    <row r="5624" ht="15.75" customHeight="1">
      <c r="A5624" s="1" t="s">
        <v>275</v>
      </c>
      <c r="B5624" s="1" t="s">
        <v>425</v>
      </c>
      <c r="C5624" s="1" t="s">
        <v>11</v>
      </c>
      <c r="D5624" s="5">
        <v>45233.0</v>
      </c>
      <c r="G5624" s="1">
        <f>VLOOKUP(B5624,'old-aw-skill-plan'!A:I,7,FALSE)</f>
        <v>3</v>
      </c>
      <c r="H5624" s="1" t="str">
        <f>VLOOKUP(B5624,'old-aw-skill-plan'!A:I,9,FALSE)</f>
        <v>3-1</v>
      </c>
    </row>
    <row r="5625" ht="15.75" customHeight="1">
      <c r="A5625" s="1" t="s">
        <v>276</v>
      </c>
      <c r="B5625" s="1" t="s">
        <v>103</v>
      </c>
      <c r="C5625" s="1" t="s">
        <v>11</v>
      </c>
      <c r="D5625" s="5">
        <v>45233.0</v>
      </c>
      <c r="G5625" s="1">
        <f>VLOOKUP(B5625,'old-aw-skill-plan'!A:I,7,FALSE)</f>
        <v>5</v>
      </c>
      <c r="H5625" s="1" t="str">
        <f>VLOOKUP(B5625,'old-aw-skill-plan'!A:I,9,FALSE)</f>
        <v>5-3</v>
      </c>
    </row>
    <row r="5626" ht="15.75" customHeight="1">
      <c r="A5626" s="1" t="s">
        <v>276</v>
      </c>
      <c r="B5626" s="1" t="s">
        <v>104</v>
      </c>
      <c r="C5626" s="1" t="s">
        <v>11</v>
      </c>
      <c r="D5626" s="5">
        <v>45233.0</v>
      </c>
      <c r="G5626" s="1">
        <f>VLOOKUP(B5626,'old-aw-skill-plan'!A:I,7,FALSE)</f>
        <v>5</v>
      </c>
      <c r="H5626" s="1" t="str">
        <f>VLOOKUP(B5626,'old-aw-skill-plan'!A:I,9,FALSE)</f>
        <v>5-2</v>
      </c>
    </row>
    <row r="5627" ht="15.75" customHeight="1">
      <c r="A5627" s="1" t="s">
        <v>268</v>
      </c>
      <c r="B5627" s="1" t="s">
        <v>377</v>
      </c>
      <c r="C5627" s="1" t="s">
        <v>11</v>
      </c>
      <c r="D5627" s="5">
        <v>45233.0</v>
      </c>
      <c r="G5627" s="1">
        <f>VLOOKUP(B5627,'old-aw-skill-plan'!A:I,7,FALSE)</f>
        <v>3</v>
      </c>
      <c r="H5627" s="1" t="str">
        <f>VLOOKUP(B5627,'old-aw-skill-plan'!A:I,9,FALSE)</f>
        <v>3-3</v>
      </c>
    </row>
    <row r="5628" ht="15.75" customHeight="1">
      <c r="A5628" s="1" t="s">
        <v>268</v>
      </c>
      <c r="B5628" s="1" t="s">
        <v>34</v>
      </c>
      <c r="C5628" s="1" t="s">
        <v>11</v>
      </c>
      <c r="D5628" s="5">
        <v>45233.0</v>
      </c>
      <c r="G5628" s="1">
        <f>VLOOKUP(B5628,'old-aw-skill-plan'!A:I,7,FALSE)</f>
        <v>4</v>
      </c>
      <c r="H5628" s="1" t="str">
        <f>VLOOKUP(B5628,'old-aw-skill-plan'!A:I,9,FALSE)</f>
        <v>4-1</v>
      </c>
    </row>
    <row r="5629" ht="15.75" customHeight="1">
      <c r="A5629" s="1" t="s">
        <v>268</v>
      </c>
      <c r="B5629" s="1" t="s">
        <v>97</v>
      </c>
      <c r="C5629" s="1" t="s">
        <v>11</v>
      </c>
      <c r="D5629" s="5">
        <v>45233.0</v>
      </c>
      <c r="G5629" s="1">
        <f>VLOOKUP(B5629,'old-aw-skill-plan'!A:I,7,FALSE)</f>
        <v>4</v>
      </c>
      <c r="H5629" s="1" t="str">
        <f>VLOOKUP(B5629,'old-aw-skill-plan'!A:I,9,FALSE)</f>
        <v>4-3</v>
      </c>
    </row>
    <row r="5630" ht="15.75" customHeight="1">
      <c r="A5630" s="1" t="s">
        <v>268</v>
      </c>
      <c r="B5630" s="1" t="s">
        <v>37</v>
      </c>
      <c r="C5630" s="1" t="s">
        <v>11</v>
      </c>
      <c r="D5630" s="5">
        <v>45233.0</v>
      </c>
      <c r="G5630" s="1">
        <f>VLOOKUP(B5630,'old-aw-skill-plan'!A:I,7,FALSE)</f>
        <v>4</v>
      </c>
      <c r="H5630" s="1" t="str">
        <f>VLOOKUP(B5630,'old-aw-skill-plan'!A:I,9,FALSE)</f>
        <v>4-2</v>
      </c>
    </row>
    <row r="5631" ht="15.75" customHeight="1">
      <c r="A5631" s="1" t="s">
        <v>268</v>
      </c>
      <c r="B5631" s="1" t="s">
        <v>320</v>
      </c>
      <c r="C5631" s="1" t="s">
        <v>11</v>
      </c>
      <c r="D5631" s="5">
        <v>45233.0</v>
      </c>
      <c r="G5631" s="1">
        <f>VLOOKUP(B5631,'old-aw-skill-plan'!A:I,7,FALSE)</f>
        <v>4</v>
      </c>
      <c r="H5631" s="1" t="str">
        <f>VLOOKUP(B5631,'old-aw-skill-plan'!A:I,9,FALSE)</f>
        <v>4-2</v>
      </c>
    </row>
    <row r="5632" ht="15.75" customHeight="1">
      <c r="A5632" s="1" t="s">
        <v>461</v>
      </c>
      <c r="B5632" s="1" t="s">
        <v>44</v>
      </c>
      <c r="C5632" s="1" t="s">
        <v>11</v>
      </c>
      <c r="D5632" s="5">
        <v>45233.0</v>
      </c>
      <c r="G5632" s="1">
        <f>VLOOKUP(B5632,'old-aw-skill-plan'!A:I,7,FALSE)</f>
        <v>5</v>
      </c>
      <c r="H5632" s="1" t="str">
        <f>VLOOKUP(B5632,'old-aw-skill-plan'!A:I,9,FALSE)</f>
        <v>5-1</v>
      </c>
    </row>
    <row r="5633" ht="15.75" customHeight="1">
      <c r="A5633" s="1" t="s">
        <v>95</v>
      </c>
      <c r="B5633" s="1" t="s">
        <v>10</v>
      </c>
      <c r="C5633" s="1" t="s">
        <v>11</v>
      </c>
      <c r="D5633" s="5">
        <v>45233.0</v>
      </c>
      <c r="G5633" s="1">
        <f>VLOOKUP(B5633,'old-aw-skill-plan'!A:I,7,FALSE)</f>
        <v>3</v>
      </c>
      <c r="H5633" s="1" t="str">
        <f>VLOOKUP(B5633,'old-aw-skill-plan'!A:I,9,FALSE)</f>
        <v>3-1</v>
      </c>
    </row>
    <row r="5634" ht="15.75" customHeight="1">
      <c r="A5634" s="1" t="s">
        <v>95</v>
      </c>
      <c r="B5634" s="1" t="s">
        <v>47</v>
      </c>
      <c r="C5634" s="1" t="s">
        <v>11</v>
      </c>
      <c r="D5634" s="5">
        <v>45233.0</v>
      </c>
      <c r="G5634" s="1">
        <f>VLOOKUP(B5634,'old-aw-skill-plan'!A:I,7,FALSE)</f>
        <v>3</v>
      </c>
      <c r="H5634" s="1" t="str">
        <f>VLOOKUP(B5634,'old-aw-skill-plan'!A:I,9,FALSE)</f>
        <v>3-2</v>
      </c>
    </row>
    <row r="5635" ht="15.75" customHeight="1">
      <c r="A5635" s="1" t="s">
        <v>214</v>
      </c>
      <c r="B5635" s="1" t="s">
        <v>377</v>
      </c>
      <c r="C5635" s="1" t="s">
        <v>11</v>
      </c>
      <c r="D5635" s="5">
        <v>45233.0</v>
      </c>
      <c r="G5635" s="1">
        <f>VLOOKUP(B5635,'old-aw-skill-plan'!A:I,7,FALSE)</f>
        <v>3</v>
      </c>
      <c r="H5635" s="1" t="str">
        <f>VLOOKUP(B5635,'old-aw-skill-plan'!A:I,9,FALSE)</f>
        <v>3-3</v>
      </c>
    </row>
    <row r="5636" ht="15.75" customHeight="1">
      <c r="A5636" s="1" t="s">
        <v>197</v>
      </c>
      <c r="B5636" s="1" t="s">
        <v>34</v>
      </c>
      <c r="C5636" s="1" t="s">
        <v>11</v>
      </c>
      <c r="D5636" s="5">
        <v>45233.0</v>
      </c>
      <c r="G5636" s="1">
        <f>VLOOKUP(B5636,'old-aw-skill-plan'!A:I,7,FALSE)</f>
        <v>4</v>
      </c>
      <c r="H5636" s="1" t="str">
        <f>VLOOKUP(B5636,'old-aw-skill-plan'!A:I,9,FALSE)</f>
        <v>4-1</v>
      </c>
    </row>
    <row r="5637" ht="15.75" customHeight="1">
      <c r="A5637" s="1" t="s">
        <v>373</v>
      </c>
      <c r="B5637" s="1" t="s">
        <v>10</v>
      </c>
      <c r="C5637" s="1" t="s">
        <v>11</v>
      </c>
      <c r="D5637" s="5">
        <v>45233.0</v>
      </c>
      <c r="G5637" s="1">
        <f>VLOOKUP(B5637,'old-aw-skill-plan'!A:I,7,FALSE)</f>
        <v>3</v>
      </c>
      <c r="H5637" s="1" t="str">
        <f>VLOOKUP(B5637,'old-aw-skill-plan'!A:I,9,FALSE)</f>
        <v>3-1</v>
      </c>
    </row>
    <row r="5638" ht="15.75" customHeight="1">
      <c r="A5638" s="1" t="s">
        <v>74</v>
      </c>
      <c r="B5638" s="1" t="s">
        <v>44</v>
      </c>
      <c r="C5638" s="1" t="s">
        <v>11</v>
      </c>
      <c r="D5638" s="5">
        <v>45233.0</v>
      </c>
      <c r="G5638" s="1">
        <f>VLOOKUP(B5638,'old-aw-skill-plan'!A:I,7,FALSE)</f>
        <v>5</v>
      </c>
      <c r="H5638" s="1" t="str">
        <f>VLOOKUP(B5638,'old-aw-skill-plan'!A:I,9,FALSE)</f>
        <v>5-1</v>
      </c>
    </row>
    <row r="5639" ht="15.75" customHeight="1">
      <c r="A5639" s="1" t="s">
        <v>226</v>
      </c>
      <c r="B5639" s="1" t="s">
        <v>10</v>
      </c>
      <c r="C5639" s="1" t="s">
        <v>11</v>
      </c>
      <c r="D5639" s="5">
        <v>45233.0</v>
      </c>
      <c r="G5639" s="1">
        <f>VLOOKUP(B5639,'old-aw-skill-plan'!A:I,7,FALSE)</f>
        <v>3</v>
      </c>
      <c r="H5639" s="1" t="str">
        <f>VLOOKUP(B5639,'old-aw-skill-plan'!A:I,9,FALSE)</f>
        <v>3-1</v>
      </c>
    </row>
    <row r="5640" ht="15.75" customHeight="1">
      <c r="A5640" s="1" t="s">
        <v>265</v>
      </c>
      <c r="B5640" s="1" t="s">
        <v>44</v>
      </c>
      <c r="C5640" s="1" t="s">
        <v>11</v>
      </c>
      <c r="D5640" s="5">
        <v>45233.0</v>
      </c>
      <c r="G5640" s="1">
        <f>VLOOKUP(B5640,'old-aw-skill-plan'!A:I,7,FALSE)</f>
        <v>5</v>
      </c>
      <c r="H5640" s="1" t="str">
        <f>VLOOKUP(B5640,'old-aw-skill-plan'!A:I,9,FALSE)</f>
        <v>5-1</v>
      </c>
    </row>
    <row r="5641" ht="15.75" customHeight="1">
      <c r="A5641" s="1" t="s">
        <v>90</v>
      </c>
      <c r="B5641" s="1" t="s">
        <v>10</v>
      </c>
      <c r="C5641" s="1" t="s">
        <v>11</v>
      </c>
      <c r="D5641" s="5">
        <v>45233.0</v>
      </c>
      <c r="G5641" s="1">
        <f>VLOOKUP(B5641,'old-aw-skill-plan'!A:I,7,FALSE)</f>
        <v>3</v>
      </c>
      <c r="H5641" s="1" t="str">
        <f>VLOOKUP(B5641,'old-aw-skill-plan'!A:I,9,FALSE)</f>
        <v>3-1</v>
      </c>
    </row>
    <row r="5642" ht="15.75" customHeight="1">
      <c r="A5642" s="1" t="s">
        <v>90</v>
      </c>
      <c r="B5642" s="1" t="s">
        <v>34</v>
      </c>
      <c r="C5642" s="1" t="s">
        <v>11</v>
      </c>
      <c r="D5642" s="5">
        <v>45233.0</v>
      </c>
      <c r="G5642" s="1">
        <f>VLOOKUP(B5642,'old-aw-skill-plan'!A:I,7,FALSE)</f>
        <v>4</v>
      </c>
      <c r="H5642" s="1" t="str">
        <f>VLOOKUP(B5642,'old-aw-skill-plan'!A:I,9,FALSE)</f>
        <v>4-1</v>
      </c>
    </row>
    <row r="5643" ht="15.75" customHeight="1">
      <c r="A5643" s="1" t="s">
        <v>278</v>
      </c>
      <c r="B5643" s="1" t="s">
        <v>30</v>
      </c>
      <c r="C5643" s="1" t="s">
        <v>11</v>
      </c>
      <c r="D5643" s="5">
        <v>45233.0</v>
      </c>
      <c r="G5643" s="1">
        <f>VLOOKUP(B5643,'old-aw-skill-plan'!A:I,7,FALSE)</f>
        <v>3</v>
      </c>
      <c r="H5643" s="1" t="str">
        <f>VLOOKUP(B5643,'old-aw-skill-plan'!A:I,9,FALSE)</f>
        <v>3-3</v>
      </c>
    </row>
    <row r="5644" ht="15.75" customHeight="1">
      <c r="A5644" s="1" t="s">
        <v>278</v>
      </c>
      <c r="B5644" s="1" t="s">
        <v>307</v>
      </c>
      <c r="C5644" s="1" t="s">
        <v>11</v>
      </c>
      <c r="D5644" s="5">
        <v>45233.0</v>
      </c>
      <c r="G5644" s="1">
        <f>VLOOKUP(B5644,'old-aw-skill-plan'!A:I,7,FALSE)</f>
        <v>3</v>
      </c>
      <c r="H5644" s="1" t="str">
        <f>VLOOKUP(B5644,'old-aw-skill-plan'!A:I,9,FALSE)</f>
        <v>3-1</v>
      </c>
    </row>
    <row r="5645" ht="15.75" customHeight="1">
      <c r="A5645" s="1" t="s">
        <v>102</v>
      </c>
      <c r="B5645" s="1" t="s">
        <v>425</v>
      </c>
      <c r="C5645" s="1" t="s">
        <v>11</v>
      </c>
      <c r="D5645" s="5">
        <v>45233.0</v>
      </c>
      <c r="G5645" s="1">
        <f>VLOOKUP(B5645,'old-aw-skill-plan'!A:I,7,FALSE)</f>
        <v>3</v>
      </c>
      <c r="H5645" s="1" t="str">
        <f>VLOOKUP(B5645,'old-aw-skill-plan'!A:I,9,FALSE)</f>
        <v>3-1</v>
      </c>
    </row>
    <row r="5646" ht="15.75" customHeight="1">
      <c r="A5646" s="1" t="s">
        <v>102</v>
      </c>
      <c r="B5646" s="1" t="s">
        <v>352</v>
      </c>
      <c r="C5646" s="1" t="s">
        <v>11</v>
      </c>
      <c r="D5646" s="5">
        <v>45233.0</v>
      </c>
      <c r="G5646" s="1">
        <f>VLOOKUP(B5646,'old-aw-skill-plan'!A:I,7,FALSE)</f>
        <v>3</v>
      </c>
      <c r="H5646" s="1" t="str">
        <f>VLOOKUP(B5646,'old-aw-skill-plan'!A:I,9,FALSE)</f>
        <v>3-2</v>
      </c>
    </row>
    <row r="5647" ht="15.75" customHeight="1">
      <c r="A5647" s="1" t="s">
        <v>463</v>
      </c>
      <c r="B5647" s="1" t="s">
        <v>44</v>
      </c>
      <c r="C5647" s="1" t="s">
        <v>11</v>
      </c>
      <c r="D5647" s="5">
        <v>45233.0</v>
      </c>
      <c r="G5647" s="1">
        <f>VLOOKUP(B5647,'old-aw-skill-plan'!A:I,7,FALSE)</f>
        <v>5</v>
      </c>
      <c r="H5647" s="1" t="str">
        <f>VLOOKUP(B5647,'old-aw-skill-plan'!A:I,9,FALSE)</f>
        <v>5-1</v>
      </c>
    </row>
    <row r="5648" ht="15.75" customHeight="1">
      <c r="A5648" s="1" t="s">
        <v>457</v>
      </c>
      <c r="B5648" s="1" t="s">
        <v>30</v>
      </c>
      <c r="C5648" s="1" t="s">
        <v>11</v>
      </c>
      <c r="D5648" s="5">
        <v>45233.0</v>
      </c>
      <c r="G5648" s="1">
        <f>VLOOKUP(B5648,'old-aw-skill-plan'!A:I,7,FALSE)</f>
        <v>3</v>
      </c>
      <c r="H5648" s="1" t="str">
        <f>VLOOKUP(B5648,'old-aw-skill-plan'!A:I,9,FALSE)</f>
        <v>3-3</v>
      </c>
    </row>
    <row r="5649" ht="15.75" customHeight="1">
      <c r="A5649" s="1" t="s">
        <v>457</v>
      </c>
      <c r="B5649" s="1" t="s">
        <v>307</v>
      </c>
      <c r="C5649" s="1" t="s">
        <v>11</v>
      </c>
      <c r="D5649" s="5">
        <v>45233.0</v>
      </c>
      <c r="G5649" s="1">
        <f>VLOOKUP(B5649,'old-aw-skill-plan'!A:I,7,FALSE)</f>
        <v>3</v>
      </c>
      <c r="H5649" s="1" t="str">
        <f>VLOOKUP(B5649,'old-aw-skill-plan'!A:I,9,FALSE)</f>
        <v>3-1</v>
      </c>
    </row>
    <row r="5650" ht="15.75" customHeight="1">
      <c r="A5650" s="1" t="s">
        <v>457</v>
      </c>
      <c r="B5650" s="1" t="s">
        <v>356</v>
      </c>
      <c r="C5650" s="1" t="s">
        <v>11</v>
      </c>
      <c r="D5650" s="5">
        <v>45233.0</v>
      </c>
      <c r="G5650" s="1">
        <f>VLOOKUP(B5650,'old-aw-skill-plan'!A:I,7,FALSE)</f>
        <v>3</v>
      </c>
      <c r="H5650" s="1" t="str">
        <f>VLOOKUP(B5650,'old-aw-skill-plan'!A:I,9,FALSE)</f>
        <v>3-2</v>
      </c>
    </row>
    <row r="5651" ht="15.75" customHeight="1">
      <c r="A5651" s="1" t="s">
        <v>93</v>
      </c>
      <c r="B5651" s="1" t="s">
        <v>425</v>
      </c>
      <c r="C5651" s="1" t="s">
        <v>11</v>
      </c>
      <c r="D5651" s="5">
        <v>45233.0</v>
      </c>
      <c r="G5651" s="1">
        <f>VLOOKUP(B5651,'old-aw-skill-plan'!A:I,7,FALSE)</f>
        <v>3</v>
      </c>
      <c r="H5651" s="1" t="str">
        <f>VLOOKUP(B5651,'old-aw-skill-plan'!A:I,9,FALSE)</f>
        <v>3-1</v>
      </c>
    </row>
    <row r="5652" ht="15.75" customHeight="1">
      <c r="A5652" s="1" t="s">
        <v>93</v>
      </c>
      <c r="B5652" s="1" t="s">
        <v>352</v>
      </c>
      <c r="C5652" s="1" t="s">
        <v>11</v>
      </c>
      <c r="D5652" s="5">
        <v>45233.0</v>
      </c>
      <c r="G5652" s="1">
        <f>VLOOKUP(B5652,'old-aw-skill-plan'!A:I,7,FALSE)</f>
        <v>3</v>
      </c>
      <c r="H5652" s="1" t="str">
        <f>VLOOKUP(B5652,'old-aw-skill-plan'!A:I,9,FALSE)</f>
        <v>3-2</v>
      </c>
    </row>
    <row r="5653" ht="15.75" customHeight="1">
      <c r="A5653" s="1" t="s">
        <v>94</v>
      </c>
      <c r="B5653" s="1" t="s">
        <v>30</v>
      </c>
      <c r="C5653" s="1" t="s">
        <v>11</v>
      </c>
      <c r="D5653" s="5">
        <v>45233.0</v>
      </c>
      <c r="G5653" s="1">
        <f>VLOOKUP(B5653,'old-aw-skill-plan'!A:I,7,FALSE)</f>
        <v>3</v>
      </c>
      <c r="H5653" s="1" t="str">
        <f>VLOOKUP(B5653,'old-aw-skill-plan'!A:I,9,FALSE)</f>
        <v>3-3</v>
      </c>
    </row>
    <row r="5654" ht="15.75" customHeight="1">
      <c r="A5654" s="1" t="s">
        <v>468</v>
      </c>
      <c r="B5654" s="1" t="s">
        <v>30</v>
      </c>
      <c r="C5654" s="1" t="s">
        <v>11</v>
      </c>
      <c r="D5654" s="5">
        <v>45233.0</v>
      </c>
      <c r="G5654" s="1">
        <f>VLOOKUP(B5654,'old-aw-skill-plan'!A:I,7,FALSE)</f>
        <v>3</v>
      </c>
      <c r="H5654" s="1" t="str">
        <f>VLOOKUP(B5654,'old-aw-skill-plan'!A:I,9,FALSE)</f>
        <v>3-3</v>
      </c>
    </row>
    <row r="5655" ht="15.75" customHeight="1">
      <c r="A5655" s="1" t="s">
        <v>468</v>
      </c>
      <c r="B5655" s="1" t="s">
        <v>307</v>
      </c>
      <c r="C5655" s="1" t="s">
        <v>11</v>
      </c>
      <c r="D5655" s="5">
        <v>45233.0</v>
      </c>
      <c r="G5655" s="1">
        <f>VLOOKUP(B5655,'old-aw-skill-plan'!A:I,7,FALSE)</f>
        <v>3</v>
      </c>
      <c r="H5655" s="1" t="str">
        <f>VLOOKUP(B5655,'old-aw-skill-plan'!A:I,9,FALSE)</f>
        <v>3-1</v>
      </c>
    </row>
    <row r="5656" ht="15.75" customHeight="1">
      <c r="A5656" s="1" t="s">
        <v>427</v>
      </c>
      <c r="B5656" s="1" t="s">
        <v>47</v>
      </c>
      <c r="C5656" s="1" t="s">
        <v>11</v>
      </c>
      <c r="D5656" s="5">
        <v>45233.0</v>
      </c>
      <c r="G5656" s="1">
        <f>VLOOKUP(B5656,'old-aw-skill-plan'!A:I,7,FALSE)</f>
        <v>3</v>
      </c>
      <c r="H5656" s="1" t="str">
        <f>VLOOKUP(B5656,'old-aw-skill-plan'!A:I,9,FALSE)</f>
        <v>3-2</v>
      </c>
    </row>
    <row r="5657" ht="15.75" customHeight="1">
      <c r="A5657" s="1" t="s">
        <v>436</v>
      </c>
      <c r="B5657" s="1" t="s">
        <v>307</v>
      </c>
      <c r="C5657" s="1" t="s">
        <v>11</v>
      </c>
      <c r="D5657" s="5">
        <v>45233.0</v>
      </c>
      <c r="G5657" s="1">
        <f>VLOOKUP(B5657,'old-aw-skill-plan'!A:I,7,FALSE)</f>
        <v>3</v>
      </c>
      <c r="H5657" s="1" t="str">
        <f>VLOOKUP(B5657,'old-aw-skill-plan'!A:I,9,FALSE)</f>
        <v>3-1</v>
      </c>
    </row>
    <row r="5658" ht="15.75" customHeight="1">
      <c r="A5658" s="1" t="s">
        <v>110</v>
      </c>
      <c r="B5658" s="1" t="s">
        <v>10</v>
      </c>
      <c r="C5658" s="1" t="s">
        <v>11</v>
      </c>
      <c r="D5658" s="5">
        <v>45233.0</v>
      </c>
      <c r="G5658" s="1">
        <f>VLOOKUP(B5658,'old-aw-skill-plan'!A:I,7,FALSE)</f>
        <v>3</v>
      </c>
      <c r="H5658" s="1" t="str">
        <f>VLOOKUP(B5658,'old-aw-skill-plan'!A:I,9,FALSE)</f>
        <v>3-1</v>
      </c>
    </row>
    <row r="5659" ht="15.75" customHeight="1">
      <c r="A5659" s="1" t="s">
        <v>464</v>
      </c>
      <c r="B5659" s="1" t="s">
        <v>44</v>
      </c>
      <c r="C5659" s="1" t="s">
        <v>11</v>
      </c>
      <c r="D5659" s="5">
        <v>45232.0</v>
      </c>
      <c r="G5659" s="1">
        <f>VLOOKUP(B5659,'old-aw-skill-plan'!A:I,7,FALSE)</f>
        <v>5</v>
      </c>
      <c r="H5659" s="1" t="str">
        <f>VLOOKUP(B5659,'old-aw-skill-plan'!A:I,9,FALSE)</f>
        <v>5-1</v>
      </c>
    </row>
    <row r="5660" ht="15.75" customHeight="1">
      <c r="A5660" s="1" t="s">
        <v>266</v>
      </c>
      <c r="B5660" s="1" t="s">
        <v>356</v>
      </c>
      <c r="C5660" s="1" t="s">
        <v>11</v>
      </c>
      <c r="D5660" s="5">
        <v>45232.0</v>
      </c>
      <c r="G5660" s="1">
        <f>VLOOKUP(B5660,'old-aw-skill-plan'!A:I,7,FALSE)</f>
        <v>3</v>
      </c>
      <c r="H5660" s="1" t="str">
        <f>VLOOKUP(B5660,'old-aw-skill-plan'!A:I,9,FALSE)</f>
        <v>3-2</v>
      </c>
    </row>
    <row r="5661" ht="15.75" customHeight="1">
      <c r="A5661" s="1" t="s">
        <v>474</v>
      </c>
      <c r="B5661" s="1" t="s">
        <v>10</v>
      </c>
      <c r="C5661" s="1" t="s">
        <v>11</v>
      </c>
      <c r="D5661" s="5">
        <v>45232.0</v>
      </c>
      <c r="G5661" s="1">
        <f>VLOOKUP(B5661,'old-aw-skill-plan'!A:I,7,FALSE)</f>
        <v>3</v>
      </c>
      <c r="H5661" s="1" t="str">
        <f>VLOOKUP(B5661,'old-aw-skill-plan'!A:I,9,FALSE)</f>
        <v>3-1</v>
      </c>
    </row>
    <row r="5662" ht="15.75" customHeight="1">
      <c r="A5662" s="1" t="s">
        <v>208</v>
      </c>
      <c r="B5662" s="1" t="s">
        <v>104</v>
      </c>
      <c r="C5662" s="1" t="s">
        <v>11</v>
      </c>
      <c r="D5662" s="5">
        <v>45232.0</v>
      </c>
      <c r="G5662" s="1">
        <f>VLOOKUP(B5662,'old-aw-skill-plan'!A:I,7,FALSE)</f>
        <v>5</v>
      </c>
      <c r="H5662" s="1" t="str">
        <f>VLOOKUP(B5662,'old-aw-skill-plan'!A:I,9,FALSE)</f>
        <v>5-2</v>
      </c>
    </row>
    <row r="5663" ht="15.75" customHeight="1">
      <c r="A5663" s="1" t="s">
        <v>460</v>
      </c>
      <c r="B5663" s="1" t="s">
        <v>44</v>
      </c>
      <c r="C5663" s="1" t="s">
        <v>11</v>
      </c>
      <c r="D5663" s="5">
        <v>45232.0</v>
      </c>
      <c r="G5663" s="1">
        <f>VLOOKUP(B5663,'old-aw-skill-plan'!A:I,7,FALSE)</f>
        <v>5</v>
      </c>
      <c r="H5663" s="1" t="str">
        <f>VLOOKUP(B5663,'old-aw-skill-plan'!A:I,9,FALSE)</f>
        <v>5-1</v>
      </c>
    </row>
    <row r="5664" ht="15.75" customHeight="1">
      <c r="A5664" s="1" t="s">
        <v>237</v>
      </c>
      <c r="B5664" s="1" t="s">
        <v>47</v>
      </c>
      <c r="C5664" s="1" t="s">
        <v>11</v>
      </c>
      <c r="D5664" s="5">
        <v>45232.0</v>
      </c>
      <c r="G5664" s="1">
        <f>VLOOKUP(B5664,'old-aw-skill-plan'!A:I,7,FALSE)</f>
        <v>3</v>
      </c>
      <c r="H5664" s="1" t="str">
        <f>VLOOKUP(B5664,'old-aw-skill-plan'!A:I,9,FALSE)</f>
        <v>3-2</v>
      </c>
    </row>
    <row r="5665" ht="15.75" customHeight="1">
      <c r="A5665" s="1" t="s">
        <v>237</v>
      </c>
      <c r="B5665" s="1" t="s">
        <v>307</v>
      </c>
      <c r="C5665" s="1" t="s">
        <v>11</v>
      </c>
      <c r="D5665" s="5">
        <v>45232.0</v>
      </c>
      <c r="G5665" s="1">
        <f>VLOOKUP(B5665,'old-aw-skill-plan'!A:I,7,FALSE)</f>
        <v>3</v>
      </c>
      <c r="H5665" s="1" t="str">
        <f>VLOOKUP(B5665,'old-aw-skill-plan'!A:I,9,FALSE)</f>
        <v>3-1</v>
      </c>
    </row>
    <row r="5666" ht="15.75" customHeight="1">
      <c r="A5666" s="1" t="s">
        <v>237</v>
      </c>
      <c r="B5666" s="1" t="s">
        <v>425</v>
      </c>
      <c r="C5666" s="1" t="s">
        <v>11</v>
      </c>
      <c r="D5666" s="5">
        <v>45232.0</v>
      </c>
      <c r="G5666" s="1">
        <f>VLOOKUP(B5666,'old-aw-skill-plan'!A:I,7,FALSE)</f>
        <v>3</v>
      </c>
      <c r="H5666" s="1" t="str">
        <f>VLOOKUP(B5666,'old-aw-skill-plan'!A:I,9,FALSE)</f>
        <v>3-1</v>
      </c>
    </row>
    <row r="5667" ht="15.75" customHeight="1">
      <c r="A5667" s="1" t="s">
        <v>419</v>
      </c>
      <c r="B5667" s="1" t="s">
        <v>383</v>
      </c>
      <c r="C5667" s="1" t="s">
        <v>11</v>
      </c>
      <c r="D5667" s="5">
        <v>45232.0</v>
      </c>
      <c r="G5667" s="1">
        <f>VLOOKUP(B5667,'old-aw-skill-plan'!A:I,7,FALSE)</f>
        <v>3</v>
      </c>
      <c r="H5667" s="1" t="str">
        <f>VLOOKUP(B5667,'old-aw-skill-plan'!A:I,9,FALSE)</f>
        <v>3-3</v>
      </c>
    </row>
    <row r="5668" ht="15.75" customHeight="1">
      <c r="A5668" s="1" t="s">
        <v>419</v>
      </c>
      <c r="B5668" s="1" t="s">
        <v>356</v>
      </c>
      <c r="C5668" s="1" t="s">
        <v>11</v>
      </c>
      <c r="D5668" s="5">
        <v>45232.0</v>
      </c>
      <c r="G5668" s="1">
        <f>VLOOKUP(B5668,'old-aw-skill-plan'!A:I,7,FALSE)</f>
        <v>3</v>
      </c>
      <c r="H5668" s="1" t="str">
        <f>VLOOKUP(B5668,'old-aw-skill-plan'!A:I,9,FALSE)</f>
        <v>3-2</v>
      </c>
    </row>
    <row r="5669" ht="15.75" customHeight="1">
      <c r="A5669" s="1" t="s">
        <v>419</v>
      </c>
      <c r="B5669" s="1" t="s">
        <v>425</v>
      </c>
      <c r="C5669" s="1" t="s">
        <v>11</v>
      </c>
      <c r="D5669" s="5">
        <v>45232.0</v>
      </c>
      <c r="G5669" s="1">
        <f>VLOOKUP(B5669,'old-aw-skill-plan'!A:I,7,FALSE)</f>
        <v>3</v>
      </c>
      <c r="H5669" s="1" t="str">
        <f>VLOOKUP(B5669,'old-aw-skill-plan'!A:I,9,FALSE)</f>
        <v>3-1</v>
      </c>
    </row>
    <row r="5670" ht="15.75" customHeight="1">
      <c r="A5670" s="1" t="s">
        <v>274</v>
      </c>
      <c r="B5670" s="1" t="s">
        <v>44</v>
      </c>
      <c r="C5670" s="1" t="s">
        <v>11</v>
      </c>
      <c r="D5670" s="5">
        <v>45232.0</v>
      </c>
      <c r="G5670" s="1">
        <f>VLOOKUP(B5670,'old-aw-skill-plan'!A:I,7,FALSE)</f>
        <v>5</v>
      </c>
      <c r="H5670" s="1" t="str">
        <f>VLOOKUP(B5670,'old-aw-skill-plan'!A:I,9,FALSE)</f>
        <v>5-1</v>
      </c>
    </row>
    <row r="5671" ht="15.75" customHeight="1">
      <c r="A5671" s="1" t="s">
        <v>473</v>
      </c>
      <c r="B5671" s="1" t="s">
        <v>10</v>
      </c>
      <c r="C5671" s="1" t="s">
        <v>11</v>
      </c>
      <c r="D5671" s="5">
        <v>45232.0</v>
      </c>
      <c r="G5671" s="1">
        <f>VLOOKUP(B5671,'old-aw-skill-plan'!A:I,7,FALSE)</f>
        <v>3</v>
      </c>
      <c r="H5671" s="1" t="str">
        <f>VLOOKUP(B5671,'old-aw-skill-plan'!A:I,9,FALSE)</f>
        <v>3-1</v>
      </c>
    </row>
    <row r="5672" ht="15.75" customHeight="1">
      <c r="A5672" s="1" t="s">
        <v>481</v>
      </c>
      <c r="B5672" s="1" t="s">
        <v>44</v>
      </c>
      <c r="C5672" s="1" t="s">
        <v>11</v>
      </c>
      <c r="D5672" s="5">
        <v>45232.0</v>
      </c>
      <c r="G5672" s="1">
        <f>VLOOKUP(B5672,'old-aw-skill-plan'!A:I,7,FALSE)</f>
        <v>5</v>
      </c>
      <c r="H5672" s="1" t="str">
        <f>VLOOKUP(B5672,'old-aw-skill-plan'!A:I,9,FALSE)</f>
        <v>5-1</v>
      </c>
    </row>
    <row r="5673" ht="15.75" customHeight="1">
      <c r="A5673" s="1" t="s">
        <v>421</v>
      </c>
      <c r="B5673" s="1" t="s">
        <v>30</v>
      </c>
      <c r="C5673" s="1" t="s">
        <v>11</v>
      </c>
      <c r="D5673" s="5">
        <v>45232.0</v>
      </c>
      <c r="G5673" s="1">
        <f>VLOOKUP(B5673,'old-aw-skill-plan'!A:I,7,FALSE)</f>
        <v>3</v>
      </c>
      <c r="H5673" s="1" t="str">
        <f>VLOOKUP(B5673,'old-aw-skill-plan'!A:I,9,FALSE)</f>
        <v>3-3</v>
      </c>
    </row>
    <row r="5674" ht="15.75" customHeight="1">
      <c r="A5674" s="1" t="s">
        <v>421</v>
      </c>
      <c r="B5674" s="1" t="s">
        <v>47</v>
      </c>
      <c r="C5674" s="1" t="s">
        <v>11</v>
      </c>
      <c r="D5674" s="5">
        <v>45232.0</v>
      </c>
      <c r="G5674" s="1">
        <f>VLOOKUP(B5674,'old-aw-skill-plan'!A:I,7,FALSE)</f>
        <v>3</v>
      </c>
      <c r="H5674" s="1" t="str">
        <f>VLOOKUP(B5674,'old-aw-skill-plan'!A:I,9,FALSE)</f>
        <v>3-2</v>
      </c>
    </row>
    <row r="5675" ht="15.75" customHeight="1">
      <c r="A5675" s="1" t="s">
        <v>421</v>
      </c>
      <c r="B5675" s="1" t="s">
        <v>307</v>
      </c>
      <c r="C5675" s="1" t="s">
        <v>11</v>
      </c>
      <c r="D5675" s="5">
        <v>45232.0</v>
      </c>
      <c r="G5675" s="1">
        <f>VLOOKUP(B5675,'old-aw-skill-plan'!A:I,7,FALSE)</f>
        <v>3</v>
      </c>
      <c r="H5675" s="1" t="str">
        <f>VLOOKUP(B5675,'old-aw-skill-plan'!A:I,9,FALSE)</f>
        <v>3-1</v>
      </c>
    </row>
    <row r="5676" ht="15.75" customHeight="1">
      <c r="A5676" s="1" t="s">
        <v>230</v>
      </c>
      <c r="B5676" s="1" t="s">
        <v>307</v>
      </c>
      <c r="C5676" s="1" t="s">
        <v>11</v>
      </c>
      <c r="D5676" s="5">
        <v>45232.0</v>
      </c>
      <c r="G5676" s="1">
        <f>VLOOKUP(B5676,'old-aw-skill-plan'!A:I,7,FALSE)</f>
        <v>3</v>
      </c>
      <c r="H5676" s="1" t="str">
        <f>VLOOKUP(B5676,'old-aw-skill-plan'!A:I,9,FALSE)</f>
        <v>3-1</v>
      </c>
    </row>
    <row r="5677" ht="15.75" customHeight="1">
      <c r="A5677" s="1" t="s">
        <v>230</v>
      </c>
      <c r="B5677" s="1" t="s">
        <v>425</v>
      </c>
      <c r="C5677" s="1" t="s">
        <v>11</v>
      </c>
      <c r="D5677" s="5">
        <v>45232.0</v>
      </c>
      <c r="G5677" s="1">
        <f>VLOOKUP(B5677,'old-aw-skill-plan'!A:I,7,FALSE)</f>
        <v>3</v>
      </c>
      <c r="H5677" s="1" t="str">
        <f>VLOOKUP(B5677,'old-aw-skill-plan'!A:I,9,FALSE)</f>
        <v>3-1</v>
      </c>
    </row>
    <row r="5678" ht="15.75" customHeight="1">
      <c r="A5678" s="1" t="s">
        <v>420</v>
      </c>
      <c r="B5678" s="1" t="s">
        <v>425</v>
      </c>
      <c r="C5678" s="1" t="s">
        <v>11</v>
      </c>
      <c r="D5678" s="5">
        <v>45232.0</v>
      </c>
      <c r="G5678" s="1">
        <f>VLOOKUP(B5678,'old-aw-skill-plan'!A:I,7,FALSE)</f>
        <v>3</v>
      </c>
      <c r="H5678" s="1" t="str">
        <f>VLOOKUP(B5678,'old-aw-skill-plan'!A:I,9,FALSE)</f>
        <v>3-1</v>
      </c>
    </row>
    <row r="5679" ht="15.75" customHeight="1">
      <c r="A5679" s="1" t="s">
        <v>471</v>
      </c>
      <c r="B5679" s="1" t="s">
        <v>10</v>
      </c>
      <c r="C5679" s="1" t="s">
        <v>11</v>
      </c>
      <c r="D5679" s="5">
        <v>45232.0</v>
      </c>
      <c r="G5679" s="1">
        <f>VLOOKUP(B5679,'old-aw-skill-plan'!A:I,7,FALSE)</f>
        <v>3</v>
      </c>
      <c r="H5679" s="1" t="str">
        <f>VLOOKUP(B5679,'old-aw-skill-plan'!A:I,9,FALSE)</f>
        <v>3-1</v>
      </c>
    </row>
    <row r="5680" ht="15.75" customHeight="1">
      <c r="A5680" s="1" t="s">
        <v>275</v>
      </c>
      <c r="B5680" s="1" t="s">
        <v>47</v>
      </c>
      <c r="C5680" s="1" t="s">
        <v>11</v>
      </c>
      <c r="D5680" s="5">
        <v>45232.0</v>
      </c>
      <c r="G5680" s="1">
        <f>VLOOKUP(B5680,'old-aw-skill-plan'!A:I,7,FALSE)</f>
        <v>3</v>
      </c>
      <c r="H5680" s="1" t="str">
        <f>VLOOKUP(B5680,'old-aw-skill-plan'!A:I,9,FALSE)</f>
        <v>3-2</v>
      </c>
    </row>
    <row r="5681" ht="15.75" customHeight="1">
      <c r="A5681" s="1" t="s">
        <v>268</v>
      </c>
      <c r="B5681" s="1" t="s">
        <v>377</v>
      </c>
      <c r="C5681" s="1" t="s">
        <v>11</v>
      </c>
      <c r="D5681" s="5">
        <v>45232.0</v>
      </c>
      <c r="G5681" s="1">
        <f>VLOOKUP(B5681,'old-aw-skill-plan'!A:I,7,FALSE)</f>
        <v>3</v>
      </c>
      <c r="H5681" s="1" t="str">
        <f>VLOOKUP(B5681,'old-aw-skill-plan'!A:I,9,FALSE)</f>
        <v>3-3</v>
      </c>
    </row>
    <row r="5682" ht="15.75" customHeight="1">
      <c r="A5682" s="1" t="s">
        <v>268</v>
      </c>
      <c r="B5682" s="1" t="s">
        <v>352</v>
      </c>
      <c r="C5682" s="1" t="s">
        <v>11</v>
      </c>
      <c r="D5682" s="5">
        <v>45232.0</v>
      </c>
      <c r="G5682" s="1">
        <f>VLOOKUP(B5682,'old-aw-skill-plan'!A:I,7,FALSE)</f>
        <v>3</v>
      </c>
      <c r="H5682" s="1" t="str">
        <f>VLOOKUP(B5682,'old-aw-skill-plan'!A:I,9,FALSE)</f>
        <v>3-2</v>
      </c>
    </row>
    <row r="5683" ht="15.75" customHeight="1">
      <c r="A5683" s="1" t="s">
        <v>461</v>
      </c>
      <c r="B5683" s="1" t="s">
        <v>44</v>
      </c>
      <c r="C5683" s="1" t="s">
        <v>11</v>
      </c>
      <c r="D5683" s="5">
        <v>45232.0</v>
      </c>
      <c r="G5683" s="1">
        <f>VLOOKUP(B5683,'old-aw-skill-plan'!A:I,7,FALSE)</f>
        <v>5</v>
      </c>
      <c r="H5683" s="1" t="str">
        <f>VLOOKUP(B5683,'old-aw-skill-plan'!A:I,9,FALSE)</f>
        <v>5-1</v>
      </c>
    </row>
    <row r="5684" ht="15.75" customHeight="1">
      <c r="A5684" s="1" t="s">
        <v>214</v>
      </c>
      <c r="B5684" s="1" t="s">
        <v>30</v>
      </c>
      <c r="C5684" s="1" t="s">
        <v>11</v>
      </c>
      <c r="D5684" s="5">
        <v>45232.0</v>
      </c>
      <c r="G5684" s="1">
        <f>VLOOKUP(B5684,'old-aw-skill-plan'!A:I,7,FALSE)</f>
        <v>3</v>
      </c>
      <c r="H5684" s="1" t="str">
        <f>VLOOKUP(B5684,'old-aw-skill-plan'!A:I,9,FALSE)</f>
        <v>3-3</v>
      </c>
    </row>
    <row r="5685" ht="15.75" customHeight="1">
      <c r="A5685" s="1" t="s">
        <v>214</v>
      </c>
      <c r="B5685" s="1" t="s">
        <v>377</v>
      </c>
      <c r="C5685" s="1" t="s">
        <v>11</v>
      </c>
      <c r="D5685" s="5">
        <v>45232.0</v>
      </c>
      <c r="G5685" s="1">
        <f>VLOOKUP(B5685,'old-aw-skill-plan'!A:I,7,FALSE)</f>
        <v>3</v>
      </c>
      <c r="H5685" s="1" t="str">
        <f>VLOOKUP(B5685,'old-aw-skill-plan'!A:I,9,FALSE)</f>
        <v>3-3</v>
      </c>
    </row>
    <row r="5686" ht="15.75" customHeight="1">
      <c r="A5686" s="1" t="s">
        <v>197</v>
      </c>
      <c r="B5686" s="1" t="s">
        <v>34</v>
      </c>
      <c r="C5686" s="1" t="s">
        <v>11</v>
      </c>
      <c r="D5686" s="5">
        <v>45232.0</v>
      </c>
      <c r="G5686" s="1">
        <f>VLOOKUP(B5686,'old-aw-skill-plan'!A:I,7,FALSE)</f>
        <v>4</v>
      </c>
      <c r="H5686" s="1" t="str">
        <f>VLOOKUP(B5686,'old-aw-skill-plan'!A:I,9,FALSE)</f>
        <v>4-1</v>
      </c>
    </row>
    <row r="5687" ht="15.75" customHeight="1">
      <c r="A5687" s="1" t="s">
        <v>209</v>
      </c>
      <c r="B5687" s="1" t="s">
        <v>104</v>
      </c>
      <c r="C5687" s="1" t="s">
        <v>11</v>
      </c>
      <c r="D5687" s="5">
        <v>45232.0</v>
      </c>
      <c r="G5687" s="1">
        <f>VLOOKUP(B5687,'old-aw-skill-plan'!A:I,7,FALSE)</f>
        <v>5</v>
      </c>
      <c r="H5687" s="1" t="str">
        <f>VLOOKUP(B5687,'old-aw-skill-plan'!A:I,9,FALSE)</f>
        <v>5-2</v>
      </c>
    </row>
    <row r="5688" ht="15.75" customHeight="1">
      <c r="A5688" s="1" t="s">
        <v>74</v>
      </c>
      <c r="B5688" s="1" t="s">
        <v>44</v>
      </c>
      <c r="C5688" s="1" t="s">
        <v>11</v>
      </c>
      <c r="D5688" s="5">
        <v>45232.0</v>
      </c>
      <c r="G5688" s="1">
        <f>VLOOKUP(B5688,'old-aw-skill-plan'!A:I,7,FALSE)</f>
        <v>5</v>
      </c>
      <c r="H5688" s="1" t="str">
        <f>VLOOKUP(B5688,'old-aw-skill-plan'!A:I,9,FALSE)</f>
        <v>5-1</v>
      </c>
    </row>
    <row r="5689" ht="15.75" customHeight="1">
      <c r="A5689" s="1" t="s">
        <v>269</v>
      </c>
      <c r="B5689" s="1" t="s">
        <v>47</v>
      </c>
      <c r="C5689" s="1" t="s">
        <v>11</v>
      </c>
      <c r="D5689" s="5">
        <v>45232.0</v>
      </c>
      <c r="G5689" s="1">
        <f>VLOOKUP(B5689,'old-aw-skill-plan'!A:I,7,FALSE)</f>
        <v>3</v>
      </c>
      <c r="H5689" s="1" t="str">
        <f>VLOOKUP(B5689,'old-aw-skill-plan'!A:I,9,FALSE)</f>
        <v>3-2</v>
      </c>
    </row>
    <row r="5690" ht="15.75" customHeight="1">
      <c r="A5690" s="1" t="s">
        <v>277</v>
      </c>
      <c r="B5690" s="1" t="s">
        <v>44</v>
      </c>
      <c r="C5690" s="1" t="s">
        <v>11</v>
      </c>
      <c r="D5690" s="5">
        <v>45232.0</v>
      </c>
      <c r="G5690" s="1">
        <f>VLOOKUP(B5690,'old-aw-skill-plan'!A:I,7,FALSE)</f>
        <v>5</v>
      </c>
      <c r="H5690" s="1" t="str">
        <f>VLOOKUP(B5690,'old-aw-skill-plan'!A:I,9,FALSE)</f>
        <v>5-1</v>
      </c>
    </row>
    <row r="5691" ht="15.75" customHeight="1">
      <c r="A5691" s="1" t="s">
        <v>278</v>
      </c>
      <c r="B5691" s="1" t="s">
        <v>30</v>
      </c>
      <c r="C5691" s="1" t="s">
        <v>11</v>
      </c>
      <c r="D5691" s="5">
        <v>45232.0</v>
      </c>
      <c r="G5691" s="1">
        <f>VLOOKUP(B5691,'old-aw-skill-plan'!A:I,7,FALSE)</f>
        <v>3</v>
      </c>
      <c r="H5691" s="1" t="str">
        <f>VLOOKUP(B5691,'old-aw-skill-plan'!A:I,9,FALSE)</f>
        <v>3-3</v>
      </c>
    </row>
    <row r="5692" ht="15.75" customHeight="1">
      <c r="A5692" s="1" t="s">
        <v>278</v>
      </c>
      <c r="B5692" s="1" t="s">
        <v>47</v>
      </c>
      <c r="C5692" s="1" t="s">
        <v>11</v>
      </c>
      <c r="D5692" s="5">
        <v>45232.0</v>
      </c>
      <c r="G5692" s="1">
        <f>VLOOKUP(B5692,'old-aw-skill-plan'!A:I,7,FALSE)</f>
        <v>3</v>
      </c>
      <c r="H5692" s="1" t="str">
        <f>VLOOKUP(B5692,'old-aw-skill-plan'!A:I,9,FALSE)</f>
        <v>3-2</v>
      </c>
    </row>
    <row r="5693" ht="15.75" customHeight="1">
      <c r="A5693" s="1" t="s">
        <v>102</v>
      </c>
      <c r="B5693" s="1" t="s">
        <v>307</v>
      </c>
      <c r="C5693" s="1" t="s">
        <v>11</v>
      </c>
      <c r="D5693" s="5">
        <v>45232.0</v>
      </c>
      <c r="G5693" s="1">
        <f>VLOOKUP(B5693,'old-aw-skill-plan'!A:I,7,FALSE)</f>
        <v>3</v>
      </c>
      <c r="H5693" s="1" t="str">
        <f>VLOOKUP(B5693,'old-aw-skill-plan'!A:I,9,FALSE)</f>
        <v>3-1</v>
      </c>
    </row>
    <row r="5694" ht="15.75" customHeight="1">
      <c r="A5694" s="1" t="s">
        <v>102</v>
      </c>
      <c r="B5694" s="1" t="s">
        <v>383</v>
      </c>
      <c r="C5694" s="1" t="s">
        <v>11</v>
      </c>
      <c r="D5694" s="5">
        <v>45232.0</v>
      </c>
      <c r="G5694" s="1">
        <f>VLOOKUP(B5694,'old-aw-skill-plan'!A:I,7,FALSE)</f>
        <v>3</v>
      </c>
      <c r="H5694" s="1" t="str">
        <f>VLOOKUP(B5694,'old-aw-skill-plan'!A:I,9,FALSE)</f>
        <v>3-3</v>
      </c>
    </row>
    <row r="5695" ht="15.75" customHeight="1">
      <c r="A5695" s="1" t="s">
        <v>102</v>
      </c>
      <c r="B5695" s="1" t="s">
        <v>356</v>
      </c>
      <c r="C5695" s="1" t="s">
        <v>11</v>
      </c>
      <c r="D5695" s="5">
        <v>45232.0</v>
      </c>
      <c r="G5695" s="1">
        <f>VLOOKUP(B5695,'old-aw-skill-plan'!A:I,7,FALSE)</f>
        <v>3</v>
      </c>
      <c r="H5695" s="1" t="str">
        <f>VLOOKUP(B5695,'old-aw-skill-plan'!A:I,9,FALSE)</f>
        <v>3-2</v>
      </c>
    </row>
    <row r="5696" ht="15.75" customHeight="1">
      <c r="A5696" s="1" t="s">
        <v>463</v>
      </c>
      <c r="B5696" s="1" t="s">
        <v>44</v>
      </c>
      <c r="C5696" s="1" t="s">
        <v>11</v>
      </c>
      <c r="D5696" s="5">
        <v>45232.0</v>
      </c>
      <c r="G5696" s="1">
        <f>VLOOKUP(B5696,'old-aw-skill-plan'!A:I,7,FALSE)</f>
        <v>5</v>
      </c>
      <c r="H5696" s="1" t="str">
        <f>VLOOKUP(B5696,'old-aw-skill-plan'!A:I,9,FALSE)</f>
        <v>5-1</v>
      </c>
    </row>
    <row r="5697" ht="15.75" customHeight="1">
      <c r="A5697" s="1" t="s">
        <v>436</v>
      </c>
      <c r="B5697" s="1" t="s">
        <v>30</v>
      </c>
      <c r="C5697" s="1" t="s">
        <v>11</v>
      </c>
      <c r="D5697" s="5">
        <v>45232.0</v>
      </c>
      <c r="G5697" s="1">
        <f>VLOOKUP(B5697,'old-aw-skill-plan'!A:I,7,FALSE)</f>
        <v>3</v>
      </c>
      <c r="H5697" s="1" t="str">
        <f>VLOOKUP(B5697,'old-aw-skill-plan'!A:I,9,FALSE)</f>
        <v>3-3</v>
      </c>
    </row>
    <row r="5698" ht="15.75" customHeight="1">
      <c r="A5698" s="1" t="s">
        <v>436</v>
      </c>
      <c r="B5698" s="1" t="s">
        <v>307</v>
      </c>
      <c r="C5698" s="1" t="s">
        <v>11</v>
      </c>
      <c r="D5698" s="5">
        <v>45232.0</v>
      </c>
      <c r="G5698" s="1">
        <f>VLOOKUP(B5698,'old-aw-skill-plan'!A:I,7,FALSE)</f>
        <v>3</v>
      </c>
      <c r="H5698" s="1" t="str">
        <f>VLOOKUP(B5698,'old-aw-skill-plan'!A:I,9,FALSE)</f>
        <v>3-1</v>
      </c>
    </row>
    <row r="5699" ht="15.75" customHeight="1">
      <c r="A5699" s="1" t="s">
        <v>464</v>
      </c>
      <c r="B5699" s="1" t="s">
        <v>44</v>
      </c>
      <c r="C5699" s="1" t="s">
        <v>11</v>
      </c>
      <c r="D5699" s="5">
        <v>45231.0</v>
      </c>
      <c r="G5699" s="1">
        <f>VLOOKUP(B5699,'old-aw-skill-plan'!A:I,7,FALSE)</f>
        <v>5</v>
      </c>
      <c r="H5699" s="1" t="str">
        <f>VLOOKUP(B5699,'old-aw-skill-plan'!A:I,9,FALSE)</f>
        <v>5-1</v>
      </c>
    </row>
    <row r="5700" ht="15.75" customHeight="1">
      <c r="A5700" s="1" t="s">
        <v>266</v>
      </c>
      <c r="B5700" s="1" t="s">
        <v>30</v>
      </c>
      <c r="C5700" s="1" t="s">
        <v>11</v>
      </c>
      <c r="D5700" s="5">
        <v>45231.0</v>
      </c>
      <c r="G5700" s="1">
        <f>VLOOKUP(B5700,'old-aw-skill-plan'!A:I,7,FALSE)</f>
        <v>3</v>
      </c>
      <c r="H5700" s="1" t="str">
        <f>VLOOKUP(B5700,'old-aw-skill-plan'!A:I,9,FALSE)</f>
        <v>3-3</v>
      </c>
    </row>
    <row r="5701" ht="15.75" customHeight="1">
      <c r="A5701" s="1" t="s">
        <v>266</v>
      </c>
      <c r="B5701" s="1" t="s">
        <v>307</v>
      </c>
      <c r="C5701" s="1" t="s">
        <v>11</v>
      </c>
      <c r="D5701" s="5">
        <v>45231.0</v>
      </c>
      <c r="G5701" s="1">
        <f>VLOOKUP(B5701,'old-aw-skill-plan'!A:I,7,FALSE)</f>
        <v>3</v>
      </c>
      <c r="H5701" s="1" t="str">
        <f>VLOOKUP(B5701,'old-aw-skill-plan'!A:I,9,FALSE)</f>
        <v>3-1</v>
      </c>
    </row>
    <row r="5702" ht="15.75" customHeight="1">
      <c r="A5702" s="1" t="s">
        <v>266</v>
      </c>
      <c r="B5702" s="1" t="s">
        <v>356</v>
      </c>
      <c r="C5702" s="1" t="s">
        <v>11</v>
      </c>
      <c r="D5702" s="5">
        <v>45231.0</v>
      </c>
      <c r="G5702" s="1">
        <f>VLOOKUP(B5702,'old-aw-skill-plan'!A:I,7,FALSE)</f>
        <v>3</v>
      </c>
      <c r="H5702" s="1" t="str">
        <f>VLOOKUP(B5702,'old-aw-skill-plan'!A:I,9,FALSE)</f>
        <v>3-2</v>
      </c>
    </row>
    <row r="5703" ht="15.75" customHeight="1">
      <c r="A5703" s="1" t="s">
        <v>22</v>
      </c>
      <c r="B5703" s="1" t="s">
        <v>34</v>
      </c>
      <c r="C5703" s="1" t="s">
        <v>11</v>
      </c>
      <c r="D5703" s="5">
        <v>45231.0</v>
      </c>
      <c r="G5703" s="1">
        <f>VLOOKUP(B5703,'old-aw-skill-plan'!A:I,7,FALSE)</f>
        <v>4</v>
      </c>
      <c r="H5703" s="1" t="str">
        <f>VLOOKUP(B5703,'old-aw-skill-plan'!A:I,9,FALSE)</f>
        <v>4-1</v>
      </c>
    </row>
    <row r="5704" ht="15.75" customHeight="1">
      <c r="A5704" s="1" t="s">
        <v>474</v>
      </c>
      <c r="B5704" s="1" t="s">
        <v>10</v>
      </c>
      <c r="C5704" s="1" t="s">
        <v>11</v>
      </c>
      <c r="D5704" s="5">
        <v>45231.0</v>
      </c>
      <c r="G5704" s="1">
        <f>VLOOKUP(B5704,'old-aw-skill-plan'!A:I,7,FALSE)</f>
        <v>3</v>
      </c>
      <c r="H5704" s="1" t="str">
        <f>VLOOKUP(B5704,'old-aw-skill-plan'!A:I,9,FALSE)</f>
        <v>3-1</v>
      </c>
    </row>
    <row r="5705" ht="15.75" customHeight="1">
      <c r="A5705" s="1" t="s">
        <v>216</v>
      </c>
      <c r="B5705" s="1" t="s">
        <v>34</v>
      </c>
      <c r="C5705" s="1" t="s">
        <v>11</v>
      </c>
      <c r="D5705" s="5">
        <v>45231.0</v>
      </c>
      <c r="G5705" s="1">
        <f>VLOOKUP(B5705,'old-aw-skill-plan'!A:I,7,FALSE)</f>
        <v>4</v>
      </c>
      <c r="H5705" s="1" t="str">
        <f>VLOOKUP(B5705,'old-aw-skill-plan'!A:I,9,FALSE)</f>
        <v>4-1</v>
      </c>
    </row>
    <row r="5706" ht="15.75" customHeight="1">
      <c r="A5706" s="1" t="s">
        <v>35</v>
      </c>
      <c r="B5706" s="1" t="s">
        <v>34</v>
      </c>
      <c r="C5706" s="1" t="s">
        <v>11</v>
      </c>
      <c r="D5706" s="5">
        <v>45231.0</v>
      </c>
      <c r="G5706" s="1">
        <f>VLOOKUP(B5706,'old-aw-skill-plan'!A:I,7,FALSE)</f>
        <v>4</v>
      </c>
      <c r="H5706" s="1" t="str">
        <f>VLOOKUP(B5706,'old-aw-skill-plan'!A:I,9,FALSE)</f>
        <v>4-1</v>
      </c>
    </row>
    <row r="5707" ht="15.75" customHeight="1">
      <c r="A5707" s="1" t="s">
        <v>24</v>
      </c>
      <c r="B5707" s="1" t="s">
        <v>34</v>
      </c>
      <c r="C5707" s="1" t="s">
        <v>11</v>
      </c>
      <c r="D5707" s="5">
        <v>45231.0</v>
      </c>
      <c r="G5707" s="1">
        <f>VLOOKUP(B5707,'old-aw-skill-plan'!A:I,7,FALSE)</f>
        <v>4</v>
      </c>
      <c r="H5707" s="1" t="str">
        <f>VLOOKUP(B5707,'old-aw-skill-plan'!A:I,9,FALSE)</f>
        <v>4-1</v>
      </c>
    </row>
    <row r="5708" ht="15.75" customHeight="1">
      <c r="A5708" s="1" t="s">
        <v>271</v>
      </c>
      <c r="B5708" s="1" t="s">
        <v>352</v>
      </c>
      <c r="C5708" s="1" t="s">
        <v>11</v>
      </c>
      <c r="D5708" s="5">
        <v>45231.0</v>
      </c>
      <c r="G5708" s="1">
        <f>VLOOKUP(B5708,'old-aw-skill-plan'!A:I,7,FALSE)</f>
        <v>3</v>
      </c>
      <c r="H5708" s="1" t="str">
        <f>VLOOKUP(B5708,'old-aw-skill-plan'!A:I,9,FALSE)</f>
        <v>3-2</v>
      </c>
    </row>
    <row r="5709" ht="15.75" customHeight="1">
      <c r="A5709" s="1" t="s">
        <v>271</v>
      </c>
      <c r="B5709" s="1" t="s">
        <v>34</v>
      </c>
      <c r="C5709" s="1" t="s">
        <v>11</v>
      </c>
      <c r="D5709" s="5">
        <v>45231.0</v>
      </c>
      <c r="G5709" s="1">
        <f>VLOOKUP(B5709,'old-aw-skill-plan'!A:I,7,FALSE)</f>
        <v>4</v>
      </c>
      <c r="H5709" s="1" t="str">
        <f>VLOOKUP(B5709,'old-aw-skill-plan'!A:I,9,FALSE)</f>
        <v>4-1</v>
      </c>
    </row>
    <row r="5710" ht="15.75" customHeight="1">
      <c r="A5710" s="1" t="s">
        <v>207</v>
      </c>
      <c r="B5710" s="1" t="s">
        <v>307</v>
      </c>
      <c r="C5710" s="1" t="s">
        <v>11</v>
      </c>
      <c r="D5710" s="5">
        <v>45231.0</v>
      </c>
      <c r="G5710" s="1">
        <f>VLOOKUP(B5710,'old-aw-skill-plan'!A:I,7,FALSE)</f>
        <v>3</v>
      </c>
      <c r="H5710" s="1" t="str">
        <f>VLOOKUP(B5710,'old-aw-skill-plan'!A:I,9,FALSE)</f>
        <v>3-1</v>
      </c>
    </row>
    <row r="5711" ht="15.75" customHeight="1">
      <c r="A5711" s="1" t="s">
        <v>458</v>
      </c>
      <c r="B5711" s="1" t="s">
        <v>10</v>
      </c>
      <c r="C5711" s="1" t="s">
        <v>11</v>
      </c>
      <c r="D5711" s="5">
        <v>45231.0</v>
      </c>
      <c r="G5711" s="1">
        <f>VLOOKUP(B5711,'old-aw-skill-plan'!A:I,7,FALSE)</f>
        <v>3</v>
      </c>
      <c r="H5711" s="1" t="str">
        <f>VLOOKUP(B5711,'old-aw-skill-plan'!A:I,9,FALSE)</f>
        <v>3-1</v>
      </c>
    </row>
    <row r="5712" ht="15.75" customHeight="1">
      <c r="A5712" s="1" t="s">
        <v>434</v>
      </c>
      <c r="B5712" s="1" t="s">
        <v>307</v>
      </c>
      <c r="C5712" s="1" t="s">
        <v>11</v>
      </c>
      <c r="D5712" s="5">
        <v>45231.0</v>
      </c>
      <c r="G5712" s="1">
        <f>VLOOKUP(B5712,'old-aw-skill-plan'!A:I,7,FALSE)</f>
        <v>3</v>
      </c>
      <c r="H5712" s="1" t="str">
        <f>VLOOKUP(B5712,'old-aw-skill-plan'!A:I,9,FALSE)</f>
        <v>3-1</v>
      </c>
    </row>
    <row r="5713" ht="15.75" customHeight="1">
      <c r="A5713" s="1" t="s">
        <v>213</v>
      </c>
      <c r="B5713" s="1" t="s">
        <v>383</v>
      </c>
      <c r="C5713" s="1" t="s">
        <v>11</v>
      </c>
      <c r="D5713" s="5">
        <v>45231.0</v>
      </c>
      <c r="G5713" s="1">
        <f>VLOOKUP(B5713,'old-aw-skill-plan'!A:I,7,FALSE)</f>
        <v>3</v>
      </c>
      <c r="H5713" s="1" t="str">
        <f>VLOOKUP(B5713,'old-aw-skill-plan'!A:I,9,FALSE)</f>
        <v>3-3</v>
      </c>
    </row>
    <row r="5714" ht="15.75" customHeight="1">
      <c r="A5714" s="1" t="s">
        <v>475</v>
      </c>
      <c r="B5714" s="1" t="s">
        <v>37</v>
      </c>
      <c r="C5714" s="1" t="s">
        <v>11</v>
      </c>
      <c r="D5714" s="5">
        <v>45231.0</v>
      </c>
      <c r="G5714" s="1">
        <f>VLOOKUP(B5714,'old-aw-skill-plan'!A:I,7,FALSE)</f>
        <v>4</v>
      </c>
      <c r="H5714" s="1" t="str">
        <f>VLOOKUP(B5714,'old-aw-skill-plan'!A:I,9,FALSE)</f>
        <v>4-2</v>
      </c>
    </row>
    <row r="5715" ht="15.75" customHeight="1">
      <c r="A5715" s="1" t="s">
        <v>199</v>
      </c>
      <c r="B5715" s="1" t="s">
        <v>34</v>
      </c>
      <c r="C5715" s="1" t="s">
        <v>11</v>
      </c>
      <c r="D5715" s="5">
        <v>45231.0</v>
      </c>
      <c r="G5715" s="1">
        <f>VLOOKUP(B5715,'old-aw-skill-plan'!A:I,7,FALSE)</f>
        <v>4</v>
      </c>
      <c r="H5715" s="1" t="str">
        <f>VLOOKUP(B5715,'old-aw-skill-plan'!A:I,9,FALSE)</f>
        <v>4-1</v>
      </c>
    </row>
    <row r="5716" ht="15.75" customHeight="1">
      <c r="A5716" s="1" t="s">
        <v>36</v>
      </c>
      <c r="B5716" s="1" t="s">
        <v>10</v>
      </c>
      <c r="C5716" s="1" t="s">
        <v>11</v>
      </c>
      <c r="D5716" s="5">
        <v>45231.0</v>
      </c>
      <c r="G5716" s="1">
        <f>VLOOKUP(B5716,'old-aw-skill-plan'!A:I,7,FALSE)</f>
        <v>3</v>
      </c>
      <c r="H5716" s="1" t="str">
        <f>VLOOKUP(B5716,'old-aw-skill-plan'!A:I,9,FALSE)</f>
        <v>3-1</v>
      </c>
    </row>
    <row r="5717" ht="15.75" customHeight="1">
      <c r="A5717" s="1" t="s">
        <v>273</v>
      </c>
      <c r="B5717" s="1" t="s">
        <v>47</v>
      </c>
      <c r="C5717" s="1" t="s">
        <v>11</v>
      </c>
      <c r="D5717" s="5">
        <v>45231.0</v>
      </c>
      <c r="G5717" s="1">
        <f>VLOOKUP(B5717,'old-aw-skill-plan'!A:I,7,FALSE)</f>
        <v>3</v>
      </c>
      <c r="H5717" s="1" t="str">
        <f>VLOOKUP(B5717,'old-aw-skill-plan'!A:I,9,FALSE)</f>
        <v>3-2</v>
      </c>
    </row>
    <row r="5718" ht="15.75" customHeight="1">
      <c r="A5718" s="1" t="s">
        <v>460</v>
      </c>
      <c r="B5718" s="1" t="s">
        <v>44</v>
      </c>
      <c r="C5718" s="1" t="s">
        <v>11</v>
      </c>
      <c r="D5718" s="5">
        <v>45231.0</v>
      </c>
      <c r="G5718" s="1">
        <f>VLOOKUP(B5718,'old-aw-skill-plan'!A:I,7,FALSE)</f>
        <v>5</v>
      </c>
      <c r="H5718" s="1" t="str">
        <f>VLOOKUP(B5718,'old-aw-skill-plan'!A:I,9,FALSE)</f>
        <v>5-1</v>
      </c>
    </row>
    <row r="5719" ht="15.75" customHeight="1">
      <c r="A5719" s="1" t="s">
        <v>469</v>
      </c>
      <c r="B5719" s="1" t="s">
        <v>34</v>
      </c>
      <c r="C5719" s="1" t="s">
        <v>11</v>
      </c>
      <c r="D5719" s="5">
        <v>45231.0</v>
      </c>
      <c r="G5719" s="1">
        <f>VLOOKUP(B5719,'old-aw-skill-plan'!A:I,7,FALSE)</f>
        <v>4</v>
      </c>
      <c r="H5719" s="1" t="str">
        <f>VLOOKUP(B5719,'old-aw-skill-plan'!A:I,9,FALSE)</f>
        <v>4-1</v>
      </c>
    </row>
    <row r="5720" ht="15.75" customHeight="1">
      <c r="A5720" s="1" t="s">
        <v>220</v>
      </c>
      <c r="B5720" s="1" t="s">
        <v>425</v>
      </c>
      <c r="C5720" s="1" t="s">
        <v>11</v>
      </c>
      <c r="D5720" s="5">
        <v>45231.0</v>
      </c>
      <c r="G5720" s="1">
        <f>VLOOKUP(B5720,'old-aw-skill-plan'!A:I,7,FALSE)</f>
        <v>3</v>
      </c>
      <c r="H5720" s="1" t="str">
        <f>VLOOKUP(B5720,'old-aw-skill-plan'!A:I,9,FALSE)</f>
        <v>3-1</v>
      </c>
    </row>
    <row r="5721" ht="15.75" customHeight="1">
      <c r="A5721" s="1" t="s">
        <v>237</v>
      </c>
      <c r="B5721" s="1" t="s">
        <v>47</v>
      </c>
      <c r="C5721" s="1" t="s">
        <v>11</v>
      </c>
      <c r="D5721" s="5">
        <v>45231.0</v>
      </c>
      <c r="G5721" s="1">
        <f>VLOOKUP(B5721,'old-aw-skill-plan'!A:I,7,FALSE)</f>
        <v>3</v>
      </c>
      <c r="H5721" s="1" t="str">
        <f>VLOOKUP(B5721,'old-aw-skill-plan'!A:I,9,FALSE)</f>
        <v>3-2</v>
      </c>
    </row>
    <row r="5722" ht="15.75" customHeight="1">
      <c r="A5722" s="1" t="s">
        <v>237</v>
      </c>
      <c r="B5722" s="1" t="s">
        <v>307</v>
      </c>
      <c r="C5722" s="1" t="s">
        <v>11</v>
      </c>
      <c r="D5722" s="5">
        <v>45231.0</v>
      </c>
      <c r="G5722" s="1">
        <f>VLOOKUP(B5722,'old-aw-skill-plan'!A:I,7,FALSE)</f>
        <v>3</v>
      </c>
      <c r="H5722" s="1" t="str">
        <f>VLOOKUP(B5722,'old-aw-skill-plan'!A:I,9,FALSE)</f>
        <v>3-1</v>
      </c>
    </row>
    <row r="5723" ht="15.75" customHeight="1">
      <c r="A5723" s="1" t="s">
        <v>237</v>
      </c>
      <c r="B5723" s="1" t="s">
        <v>425</v>
      </c>
      <c r="C5723" s="1" t="s">
        <v>11</v>
      </c>
      <c r="D5723" s="5">
        <v>45231.0</v>
      </c>
      <c r="G5723" s="1">
        <f>VLOOKUP(B5723,'old-aw-skill-plan'!A:I,7,FALSE)</f>
        <v>3</v>
      </c>
      <c r="H5723" s="1" t="str">
        <f>VLOOKUP(B5723,'old-aw-skill-plan'!A:I,9,FALSE)</f>
        <v>3-1</v>
      </c>
    </row>
    <row r="5724" ht="15.75" customHeight="1">
      <c r="A5724" s="1" t="s">
        <v>465</v>
      </c>
      <c r="B5724" s="1" t="s">
        <v>10</v>
      </c>
      <c r="C5724" s="1" t="s">
        <v>11</v>
      </c>
      <c r="D5724" s="5">
        <v>45231.0</v>
      </c>
      <c r="G5724" s="1">
        <f>VLOOKUP(B5724,'old-aw-skill-plan'!A:I,7,FALSE)</f>
        <v>3</v>
      </c>
      <c r="H5724" s="1" t="str">
        <f>VLOOKUP(B5724,'old-aw-skill-plan'!A:I,9,FALSE)</f>
        <v>3-1</v>
      </c>
    </row>
    <row r="5725" ht="15.75" customHeight="1">
      <c r="A5725" s="1" t="s">
        <v>419</v>
      </c>
      <c r="B5725" s="1" t="s">
        <v>307</v>
      </c>
      <c r="C5725" s="1" t="s">
        <v>11</v>
      </c>
      <c r="D5725" s="5">
        <v>45231.0</v>
      </c>
      <c r="G5725" s="1">
        <f>VLOOKUP(B5725,'old-aw-skill-plan'!A:I,7,FALSE)</f>
        <v>3</v>
      </c>
      <c r="H5725" s="1" t="str">
        <f>VLOOKUP(B5725,'old-aw-skill-plan'!A:I,9,FALSE)</f>
        <v>3-1</v>
      </c>
    </row>
    <row r="5726" ht="15.75" customHeight="1">
      <c r="A5726" s="1" t="s">
        <v>419</v>
      </c>
      <c r="B5726" s="1" t="s">
        <v>356</v>
      </c>
      <c r="C5726" s="1" t="s">
        <v>11</v>
      </c>
      <c r="D5726" s="5">
        <v>45231.0</v>
      </c>
      <c r="G5726" s="1">
        <f>VLOOKUP(B5726,'old-aw-skill-plan'!A:I,7,FALSE)</f>
        <v>3</v>
      </c>
      <c r="H5726" s="1" t="str">
        <f>VLOOKUP(B5726,'old-aw-skill-plan'!A:I,9,FALSE)</f>
        <v>3-2</v>
      </c>
    </row>
    <row r="5727" ht="15.75" customHeight="1">
      <c r="A5727" s="1" t="s">
        <v>238</v>
      </c>
      <c r="B5727" s="1" t="s">
        <v>352</v>
      </c>
      <c r="C5727" s="1" t="s">
        <v>11</v>
      </c>
      <c r="D5727" s="5">
        <v>45231.0</v>
      </c>
      <c r="G5727" s="1">
        <f>VLOOKUP(B5727,'old-aw-skill-plan'!A:I,7,FALSE)</f>
        <v>3</v>
      </c>
      <c r="H5727" s="1" t="str">
        <f>VLOOKUP(B5727,'old-aw-skill-plan'!A:I,9,FALSE)</f>
        <v>3-2</v>
      </c>
    </row>
    <row r="5728" ht="15.75" customHeight="1">
      <c r="A5728" s="1" t="s">
        <v>274</v>
      </c>
      <c r="B5728" s="1" t="s">
        <v>44</v>
      </c>
      <c r="C5728" s="1" t="s">
        <v>11</v>
      </c>
      <c r="D5728" s="5">
        <v>45231.0</v>
      </c>
      <c r="G5728" s="1">
        <f>VLOOKUP(B5728,'old-aw-skill-plan'!A:I,7,FALSE)</f>
        <v>5</v>
      </c>
      <c r="H5728" s="1" t="str">
        <f>VLOOKUP(B5728,'old-aw-skill-plan'!A:I,9,FALSE)</f>
        <v>5-1</v>
      </c>
    </row>
    <row r="5729" ht="15.75" customHeight="1">
      <c r="A5729" s="1" t="s">
        <v>473</v>
      </c>
      <c r="B5729" s="1" t="s">
        <v>10</v>
      </c>
      <c r="C5729" s="1" t="s">
        <v>11</v>
      </c>
      <c r="D5729" s="5">
        <v>45231.0</v>
      </c>
      <c r="G5729" s="1">
        <f>VLOOKUP(B5729,'old-aw-skill-plan'!A:I,7,FALSE)</f>
        <v>3</v>
      </c>
      <c r="H5729" s="1" t="str">
        <f>VLOOKUP(B5729,'old-aw-skill-plan'!A:I,9,FALSE)</f>
        <v>3-1</v>
      </c>
    </row>
    <row r="5730" ht="15.75" customHeight="1">
      <c r="A5730" s="1" t="s">
        <v>56</v>
      </c>
      <c r="B5730" s="1" t="s">
        <v>10</v>
      </c>
      <c r="C5730" s="1" t="s">
        <v>11</v>
      </c>
      <c r="D5730" s="5">
        <v>45231.0</v>
      </c>
      <c r="G5730" s="1">
        <f>VLOOKUP(B5730,'old-aw-skill-plan'!A:I,7,FALSE)</f>
        <v>3</v>
      </c>
      <c r="H5730" s="1" t="str">
        <f>VLOOKUP(B5730,'old-aw-skill-plan'!A:I,9,FALSE)</f>
        <v>3-1</v>
      </c>
    </row>
    <row r="5731" ht="15.75" customHeight="1">
      <c r="A5731" s="1" t="s">
        <v>56</v>
      </c>
      <c r="B5731" s="1" t="s">
        <v>47</v>
      </c>
      <c r="C5731" s="1" t="s">
        <v>11</v>
      </c>
      <c r="D5731" s="5">
        <v>45231.0</v>
      </c>
      <c r="G5731" s="1">
        <f>VLOOKUP(B5731,'old-aw-skill-plan'!A:I,7,FALSE)</f>
        <v>3</v>
      </c>
      <c r="H5731" s="1" t="str">
        <f>VLOOKUP(B5731,'old-aw-skill-plan'!A:I,9,FALSE)</f>
        <v>3-2</v>
      </c>
    </row>
    <row r="5732" ht="15.75" customHeight="1">
      <c r="A5732" s="1" t="s">
        <v>81</v>
      </c>
      <c r="B5732" s="1" t="s">
        <v>34</v>
      </c>
      <c r="C5732" s="1" t="s">
        <v>11</v>
      </c>
      <c r="D5732" s="5">
        <v>45231.0</v>
      </c>
      <c r="G5732" s="1">
        <f>VLOOKUP(B5732,'old-aw-skill-plan'!A:I,7,FALSE)</f>
        <v>4</v>
      </c>
      <c r="H5732" s="1" t="str">
        <f>VLOOKUP(B5732,'old-aw-skill-plan'!A:I,9,FALSE)</f>
        <v>4-1</v>
      </c>
    </row>
    <row r="5733" ht="15.75" customHeight="1">
      <c r="A5733" s="1" t="s">
        <v>230</v>
      </c>
      <c r="B5733" s="1" t="s">
        <v>425</v>
      </c>
      <c r="C5733" s="1" t="s">
        <v>11</v>
      </c>
      <c r="D5733" s="5">
        <v>45231.0</v>
      </c>
      <c r="G5733" s="1">
        <f>VLOOKUP(B5733,'old-aw-skill-plan'!A:I,7,FALSE)</f>
        <v>3</v>
      </c>
      <c r="H5733" s="1" t="str">
        <f>VLOOKUP(B5733,'old-aw-skill-plan'!A:I,9,FALSE)</f>
        <v>3-1</v>
      </c>
    </row>
    <row r="5734" ht="15.75" customHeight="1">
      <c r="A5734" s="1" t="s">
        <v>428</v>
      </c>
      <c r="B5734" s="1" t="s">
        <v>34</v>
      </c>
      <c r="C5734" s="1" t="s">
        <v>11</v>
      </c>
      <c r="D5734" s="5">
        <v>45231.0</v>
      </c>
      <c r="G5734" s="1">
        <f>VLOOKUP(B5734,'old-aw-skill-plan'!A:I,7,FALSE)</f>
        <v>4</v>
      </c>
      <c r="H5734" s="1" t="str">
        <f>VLOOKUP(B5734,'old-aw-skill-plan'!A:I,9,FALSE)</f>
        <v>4-1</v>
      </c>
    </row>
    <row r="5735" ht="15.75" customHeight="1">
      <c r="A5735" s="1" t="s">
        <v>420</v>
      </c>
      <c r="B5735" s="1" t="s">
        <v>307</v>
      </c>
      <c r="C5735" s="1" t="s">
        <v>11</v>
      </c>
      <c r="D5735" s="5">
        <v>45231.0</v>
      </c>
      <c r="G5735" s="1">
        <f>VLOOKUP(B5735,'old-aw-skill-plan'!A:I,7,FALSE)</f>
        <v>3</v>
      </c>
      <c r="H5735" s="1" t="str">
        <f>VLOOKUP(B5735,'old-aw-skill-plan'!A:I,9,FALSE)</f>
        <v>3-1</v>
      </c>
    </row>
    <row r="5736" ht="15.75" customHeight="1">
      <c r="A5736" s="1" t="s">
        <v>420</v>
      </c>
      <c r="B5736" s="1" t="s">
        <v>425</v>
      </c>
      <c r="C5736" s="1" t="s">
        <v>11</v>
      </c>
      <c r="D5736" s="5">
        <v>45231.0</v>
      </c>
      <c r="G5736" s="1">
        <f>VLOOKUP(B5736,'old-aw-skill-plan'!A:I,7,FALSE)</f>
        <v>3</v>
      </c>
      <c r="H5736" s="1" t="str">
        <f>VLOOKUP(B5736,'old-aw-skill-plan'!A:I,9,FALSE)</f>
        <v>3-1</v>
      </c>
    </row>
    <row r="5737" ht="15.75" customHeight="1">
      <c r="A5737" s="1" t="s">
        <v>471</v>
      </c>
      <c r="B5737" s="1" t="s">
        <v>10</v>
      </c>
      <c r="C5737" s="1" t="s">
        <v>11</v>
      </c>
      <c r="D5737" s="5">
        <v>45231.0</v>
      </c>
      <c r="G5737" s="1">
        <f>VLOOKUP(B5737,'old-aw-skill-plan'!A:I,7,FALSE)</f>
        <v>3</v>
      </c>
      <c r="H5737" s="1" t="str">
        <f>VLOOKUP(B5737,'old-aw-skill-plan'!A:I,9,FALSE)</f>
        <v>3-1</v>
      </c>
    </row>
    <row r="5738" ht="15.75" customHeight="1">
      <c r="A5738" s="1" t="s">
        <v>203</v>
      </c>
      <c r="B5738" s="1" t="s">
        <v>44</v>
      </c>
      <c r="C5738" s="1" t="s">
        <v>11</v>
      </c>
      <c r="D5738" s="5">
        <v>45231.0</v>
      </c>
      <c r="G5738" s="1">
        <f>VLOOKUP(B5738,'old-aw-skill-plan'!A:I,7,FALSE)</f>
        <v>5</v>
      </c>
      <c r="H5738" s="1" t="str">
        <f>VLOOKUP(B5738,'old-aw-skill-plan'!A:I,9,FALSE)</f>
        <v>5-1</v>
      </c>
    </row>
    <row r="5739" ht="15.75" customHeight="1">
      <c r="A5739" s="1" t="s">
        <v>268</v>
      </c>
      <c r="B5739" s="1" t="s">
        <v>383</v>
      </c>
      <c r="C5739" s="1" t="s">
        <v>11</v>
      </c>
      <c r="D5739" s="5">
        <v>45231.0</v>
      </c>
      <c r="G5739" s="1">
        <f>VLOOKUP(B5739,'old-aw-skill-plan'!A:I,7,FALSE)</f>
        <v>3</v>
      </c>
      <c r="H5739" s="1" t="str">
        <f>VLOOKUP(B5739,'old-aw-skill-plan'!A:I,9,FALSE)</f>
        <v>3-3</v>
      </c>
    </row>
    <row r="5740" ht="15.75" customHeight="1">
      <c r="A5740" s="1" t="s">
        <v>268</v>
      </c>
      <c r="B5740" s="1" t="s">
        <v>425</v>
      </c>
      <c r="C5740" s="1" t="s">
        <v>11</v>
      </c>
      <c r="D5740" s="5">
        <v>45231.0</v>
      </c>
      <c r="G5740" s="1">
        <f>VLOOKUP(B5740,'old-aw-skill-plan'!A:I,7,FALSE)</f>
        <v>3</v>
      </c>
      <c r="H5740" s="1" t="str">
        <f>VLOOKUP(B5740,'old-aw-skill-plan'!A:I,9,FALSE)</f>
        <v>3-1</v>
      </c>
    </row>
    <row r="5741" ht="15.75" customHeight="1">
      <c r="A5741" s="1" t="s">
        <v>268</v>
      </c>
      <c r="B5741" s="1" t="s">
        <v>352</v>
      </c>
      <c r="C5741" s="1" t="s">
        <v>11</v>
      </c>
      <c r="D5741" s="5">
        <v>45231.0</v>
      </c>
      <c r="G5741" s="1">
        <f>VLOOKUP(B5741,'old-aw-skill-plan'!A:I,7,FALSE)</f>
        <v>3</v>
      </c>
      <c r="H5741" s="1" t="str">
        <f>VLOOKUP(B5741,'old-aw-skill-plan'!A:I,9,FALSE)</f>
        <v>3-2</v>
      </c>
    </row>
    <row r="5742" ht="15.75" customHeight="1">
      <c r="A5742" s="1" t="s">
        <v>461</v>
      </c>
      <c r="B5742" s="1" t="s">
        <v>44</v>
      </c>
      <c r="C5742" s="1" t="s">
        <v>11</v>
      </c>
      <c r="D5742" s="5">
        <v>45231.0</v>
      </c>
      <c r="G5742" s="1">
        <f>VLOOKUP(B5742,'old-aw-skill-plan'!A:I,7,FALSE)</f>
        <v>5</v>
      </c>
      <c r="H5742" s="1" t="str">
        <f>VLOOKUP(B5742,'old-aw-skill-plan'!A:I,9,FALSE)</f>
        <v>5-1</v>
      </c>
    </row>
    <row r="5743" ht="15.75" customHeight="1">
      <c r="A5743" s="1" t="s">
        <v>95</v>
      </c>
      <c r="B5743" s="1" t="s">
        <v>10</v>
      </c>
      <c r="C5743" s="1" t="s">
        <v>11</v>
      </c>
      <c r="D5743" s="5">
        <v>45231.0</v>
      </c>
      <c r="G5743" s="1">
        <f>VLOOKUP(B5743,'old-aw-skill-plan'!A:I,7,FALSE)</f>
        <v>3</v>
      </c>
      <c r="H5743" s="1" t="str">
        <f>VLOOKUP(B5743,'old-aw-skill-plan'!A:I,9,FALSE)</f>
        <v>3-1</v>
      </c>
    </row>
    <row r="5744" ht="15.75" customHeight="1">
      <c r="A5744" s="1" t="s">
        <v>197</v>
      </c>
      <c r="B5744" s="1" t="s">
        <v>34</v>
      </c>
      <c r="C5744" s="1" t="s">
        <v>11</v>
      </c>
      <c r="D5744" s="5">
        <v>45231.0</v>
      </c>
      <c r="G5744" s="1">
        <f>VLOOKUP(B5744,'old-aw-skill-plan'!A:I,7,FALSE)</f>
        <v>4</v>
      </c>
      <c r="H5744" s="1" t="str">
        <f>VLOOKUP(B5744,'old-aw-skill-plan'!A:I,9,FALSE)</f>
        <v>4-1</v>
      </c>
    </row>
    <row r="5745" ht="15.75" customHeight="1">
      <c r="A5745" s="1" t="s">
        <v>209</v>
      </c>
      <c r="B5745" s="1" t="s">
        <v>104</v>
      </c>
      <c r="C5745" s="1" t="s">
        <v>11</v>
      </c>
      <c r="D5745" s="5">
        <v>45231.0</v>
      </c>
      <c r="G5745" s="1">
        <f>VLOOKUP(B5745,'old-aw-skill-plan'!A:I,7,FALSE)</f>
        <v>5</v>
      </c>
      <c r="H5745" s="1" t="str">
        <f>VLOOKUP(B5745,'old-aw-skill-plan'!A:I,9,FALSE)</f>
        <v>5-2</v>
      </c>
    </row>
    <row r="5746" ht="15.75" customHeight="1">
      <c r="A5746" s="1" t="s">
        <v>373</v>
      </c>
      <c r="B5746" s="1" t="s">
        <v>10</v>
      </c>
      <c r="C5746" s="1" t="s">
        <v>11</v>
      </c>
      <c r="D5746" s="5">
        <v>45231.0</v>
      </c>
      <c r="G5746" s="1">
        <f>VLOOKUP(B5746,'old-aw-skill-plan'!A:I,7,FALSE)</f>
        <v>3</v>
      </c>
      <c r="H5746" s="1" t="str">
        <f>VLOOKUP(B5746,'old-aw-skill-plan'!A:I,9,FALSE)</f>
        <v>3-1</v>
      </c>
    </row>
    <row r="5747" ht="15.75" customHeight="1">
      <c r="A5747" s="1" t="s">
        <v>74</v>
      </c>
      <c r="B5747" s="1" t="s">
        <v>44</v>
      </c>
      <c r="C5747" s="1" t="s">
        <v>11</v>
      </c>
      <c r="D5747" s="5">
        <v>45231.0</v>
      </c>
      <c r="G5747" s="1">
        <f>VLOOKUP(B5747,'old-aw-skill-plan'!A:I,7,FALSE)</f>
        <v>5</v>
      </c>
      <c r="H5747" s="1" t="str">
        <f>VLOOKUP(B5747,'old-aw-skill-plan'!A:I,9,FALSE)</f>
        <v>5-1</v>
      </c>
    </row>
    <row r="5748" ht="15.75" customHeight="1">
      <c r="A5748" s="1" t="s">
        <v>269</v>
      </c>
      <c r="B5748" s="1" t="s">
        <v>47</v>
      </c>
      <c r="C5748" s="1" t="s">
        <v>11</v>
      </c>
      <c r="D5748" s="5">
        <v>45231.0</v>
      </c>
      <c r="G5748" s="1">
        <f>VLOOKUP(B5748,'old-aw-skill-plan'!A:I,7,FALSE)</f>
        <v>3</v>
      </c>
      <c r="H5748" s="1" t="str">
        <f>VLOOKUP(B5748,'old-aw-skill-plan'!A:I,9,FALSE)</f>
        <v>3-2</v>
      </c>
    </row>
    <row r="5749" ht="15.75" customHeight="1">
      <c r="A5749" s="1" t="s">
        <v>226</v>
      </c>
      <c r="B5749" s="1" t="s">
        <v>10</v>
      </c>
      <c r="C5749" s="1" t="s">
        <v>11</v>
      </c>
      <c r="D5749" s="5">
        <v>45231.0</v>
      </c>
      <c r="G5749" s="1">
        <f>VLOOKUP(B5749,'old-aw-skill-plan'!A:I,7,FALSE)</f>
        <v>3</v>
      </c>
      <c r="H5749" s="1" t="str">
        <f>VLOOKUP(B5749,'old-aw-skill-plan'!A:I,9,FALSE)</f>
        <v>3-1</v>
      </c>
    </row>
    <row r="5750" ht="15.75" customHeight="1">
      <c r="A5750" s="1" t="s">
        <v>265</v>
      </c>
      <c r="B5750" s="1" t="s">
        <v>44</v>
      </c>
      <c r="C5750" s="1" t="s">
        <v>11</v>
      </c>
      <c r="D5750" s="5">
        <v>45231.0</v>
      </c>
      <c r="G5750" s="1">
        <f>VLOOKUP(B5750,'old-aw-skill-plan'!A:I,7,FALSE)</f>
        <v>5</v>
      </c>
      <c r="H5750" s="1" t="str">
        <f>VLOOKUP(B5750,'old-aw-skill-plan'!A:I,9,FALSE)</f>
        <v>5-1</v>
      </c>
    </row>
    <row r="5751" ht="15.75" customHeight="1">
      <c r="A5751" s="1" t="s">
        <v>277</v>
      </c>
      <c r="B5751" s="1" t="s">
        <v>44</v>
      </c>
      <c r="C5751" s="1" t="s">
        <v>11</v>
      </c>
      <c r="D5751" s="5">
        <v>45231.0</v>
      </c>
      <c r="G5751" s="1">
        <f>VLOOKUP(B5751,'old-aw-skill-plan'!A:I,7,FALSE)</f>
        <v>5</v>
      </c>
      <c r="H5751" s="1" t="str">
        <f>VLOOKUP(B5751,'old-aw-skill-plan'!A:I,9,FALSE)</f>
        <v>5-1</v>
      </c>
    </row>
    <row r="5752" ht="15.75" customHeight="1">
      <c r="A5752" s="1" t="s">
        <v>463</v>
      </c>
      <c r="B5752" s="1" t="s">
        <v>104</v>
      </c>
      <c r="C5752" s="1" t="s">
        <v>11</v>
      </c>
      <c r="D5752" s="5">
        <v>45231.0</v>
      </c>
      <c r="G5752" s="1">
        <f>VLOOKUP(B5752,'old-aw-skill-plan'!A:I,7,FALSE)</f>
        <v>5</v>
      </c>
      <c r="H5752" s="1" t="str">
        <f>VLOOKUP(B5752,'old-aw-skill-plan'!A:I,9,FALSE)</f>
        <v>5-2</v>
      </c>
    </row>
    <row r="5753" ht="15.75" customHeight="1">
      <c r="A5753" s="1" t="s">
        <v>457</v>
      </c>
      <c r="B5753" s="1" t="s">
        <v>10</v>
      </c>
      <c r="C5753" s="1" t="s">
        <v>11</v>
      </c>
      <c r="D5753" s="5">
        <v>45231.0</v>
      </c>
      <c r="G5753" s="1">
        <f>VLOOKUP(B5753,'old-aw-skill-plan'!A:I,7,FALSE)</f>
        <v>3</v>
      </c>
      <c r="H5753" s="1" t="str">
        <f>VLOOKUP(B5753,'old-aw-skill-plan'!A:I,9,FALSE)</f>
        <v>3-1</v>
      </c>
    </row>
    <row r="5754" ht="15.75" customHeight="1">
      <c r="A5754" s="1" t="s">
        <v>457</v>
      </c>
      <c r="B5754" s="1" t="s">
        <v>47</v>
      </c>
      <c r="C5754" s="1" t="s">
        <v>11</v>
      </c>
      <c r="D5754" s="5">
        <v>45231.0</v>
      </c>
      <c r="G5754" s="1">
        <f>VLOOKUP(B5754,'old-aw-skill-plan'!A:I,7,FALSE)</f>
        <v>3</v>
      </c>
      <c r="H5754" s="1" t="str">
        <f>VLOOKUP(B5754,'old-aw-skill-plan'!A:I,9,FALSE)</f>
        <v>3-2</v>
      </c>
    </row>
    <row r="5755" ht="15.75" customHeight="1">
      <c r="A5755" s="1" t="s">
        <v>93</v>
      </c>
      <c r="B5755" s="1" t="s">
        <v>307</v>
      </c>
      <c r="C5755" s="1" t="s">
        <v>11</v>
      </c>
      <c r="D5755" s="5">
        <v>45231.0</v>
      </c>
      <c r="G5755" s="1">
        <f>VLOOKUP(B5755,'old-aw-skill-plan'!A:I,7,FALSE)</f>
        <v>3</v>
      </c>
      <c r="H5755" s="1" t="str">
        <f>VLOOKUP(B5755,'old-aw-skill-plan'!A:I,9,FALSE)</f>
        <v>3-1</v>
      </c>
    </row>
    <row r="5756" ht="15.75" customHeight="1">
      <c r="A5756" s="1" t="s">
        <v>93</v>
      </c>
      <c r="B5756" s="1" t="s">
        <v>383</v>
      </c>
      <c r="C5756" s="1" t="s">
        <v>11</v>
      </c>
      <c r="D5756" s="5">
        <v>45231.0</v>
      </c>
      <c r="G5756" s="1">
        <f>VLOOKUP(B5756,'old-aw-skill-plan'!A:I,7,FALSE)</f>
        <v>3</v>
      </c>
      <c r="H5756" s="1" t="str">
        <f>VLOOKUP(B5756,'old-aw-skill-plan'!A:I,9,FALSE)</f>
        <v>3-3</v>
      </c>
    </row>
    <row r="5757" ht="15.75" customHeight="1">
      <c r="A5757" s="1" t="s">
        <v>93</v>
      </c>
      <c r="B5757" s="1" t="s">
        <v>356</v>
      </c>
      <c r="C5757" s="1" t="s">
        <v>11</v>
      </c>
      <c r="D5757" s="5">
        <v>45231.0</v>
      </c>
      <c r="G5757" s="1">
        <f>VLOOKUP(B5757,'old-aw-skill-plan'!A:I,7,FALSE)</f>
        <v>3</v>
      </c>
      <c r="H5757" s="1" t="str">
        <f>VLOOKUP(B5757,'old-aw-skill-plan'!A:I,9,FALSE)</f>
        <v>3-2</v>
      </c>
    </row>
    <row r="5758" ht="15.75" customHeight="1">
      <c r="A5758" s="1" t="s">
        <v>365</v>
      </c>
      <c r="B5758" s="1" t="s">
        <v>34</v>
      </c>
      <c r="C5758" s="1" t="s">
        <v>11</v>
      </c>
      <c r="D5758" s="5">
        <v>45231.0</v>
      </c>
      <c r="G5758" s="1">
        <f>VLOOKUP(B5758,'old-aw-skill-plan'!A:I,7,FALSE)</f>
        <v>4</v>
      </c>
      <c r="H5758" s="1" t="str">
        <f>VLOOKUP(B5758,'old-aw-skill-plan'!A:I,9,FALSE)</f>
        <v>4-1</v>
      </c>
    </row>
    <row r="5759" ht="15.75" customHeight="1">
      <c r="A5759" s="1" t="s">
        <v>94</v>
      </c>
      <c r="B5759" s="1" t="s">
        <v>47</v>
      </c>
      <c r="C5759" s="1" t="s">
        <v>11</v>
      </c>
      <c r="D5759" s="5">
        <v>45231.0</v>
      </c>
      <c r="G5759" s="1">
        <f>VLOOKUP(B5759,'old-aw-skill-plan'!A:I,7,FALSE)</f>
        <v>3</v>
      </c>
      <c r="H5759" s="1" t="str">
        <f>VLOOKUP(B5759,'old-aw-skill-plan'!A:I,9,FALSE)</f>
        <v>3-2</v>
      </c>
    </row>
    <row r="5760" ht="15.75" customHeight="1">
      <c r="A5760" s="1" t="s">
        <v>468</v>
      </c>
      <c r="B5760" s="1" t="s">
        <v>10</v>
      </c>
      <c r="C5760" s="1" t="s">
        <v>11</v>
      </c>
      <c r="D5760" s="5">
        <v>45231.0</v>
      </c>
      <c r="G5760" s="1">
        <f>VLOOKUP(B5760,'old-aw-skill-plan'!A:I,7,FALSE)</f>
        <v>3</v>
      </c>
      <c r="H5760" s="1" t="str">
        <f>VLOOKUP(B5760,'old-aw-skill-plan'!A:I,9,FALSE)</f>
        <v>3-1</v>
      </c>
    </row>
    <row r="5761" ht="15.75" customHeight="1">
      <c r="A5761" s="1" t="s">
        <v>468</v>
      </c>
      <c r="B5761" s="1" t="s">
        <v>47</v>
      </c>
      <c r="C5761" s="1" t="s">
        <v>11</v>
      </c>
      <c r="D5761" s="5">
        <v>45231.0</v>
      </c>
      <c r="G5761" s="1">
        <f>VLOOKUP(B5761,'old-aw-skill-plan'!A:I,7,FALSE)</f>
        <v>3</v>
      </c>
      <c r="H5761" s="1" t="str">
        <f>VLOOKUP(B5761,'old-aw-skill-plan'!A:I,9,FALSE)</f>
        <v>3-2</v>
      </c>
    </row>
    <row r="5762" ht="15.75" customHeight="1">
      <c r="A5762" s="1" t="s">
        <v>225</v>
      </c>
      <c r="B5762" s="1" t="s">
        <v>37</v>
      </c>
      <c r="C5762" s="1" t="s">
        <v>11</v>
      </c>
      <c r="D5762" s="5">
        <v>45231.0</v>
      </c>
      <c r="G5762" s="1">
        <f>VLOOKUP(B5762,'old-aw-skill-plan'!A:I,7,FALSE)</f>
        <v>4</v>
      </c>
      <c r="H5762" s="1" t="str">
        <f>VLOOKUP(B5762,'old-aw-skill-plan'!A:I,9,FALSE)</f>
        <v>4-2</v>
      </c>
    </row>
    <row r="5763" ht="15.75" customHeight="1">
      <c r="A5763" s="1" t="s">
        <v>427</v>
      </c>
      <c r="B5763" s="1" t="s">
        <v>47</v>
      </c>
      <c r="C5763" s="1" t="s">
        <v>11</v>
      </c>
      <c r="D5763" s="5">
        <v>45231.0</v>
      </c>
      <c r="G5763" s="1">
        <f>VLOOKUP(B5763,'old-aw-skill-plan'!A:I,7,FALSE)</f>
        <v>3</v>
      </c>
      <c r="H5763" s="1" t="str">
        <f>VLOOKUP(B5763,'old-aw-skill-plan'!A:I,9,FALSE)</f>
        <v>3-2</v>
      </c>
    </row>
    <row r="5764" ht="15.75" customHeight="1">
      <c r="A5764" s="1" t="s">
        <v>427</v>
      </c>
      <c r="B5764" s="1" t="s">
        <v>425</v>
      </c>
      <c r="C5764" s="1" t="s">
        <v>11</v>
      </c>
      <c r="D5764" s="5">
        <v>45231.0</v>
      </c>
      <c r="G5764" s="1">
        <f>VLOOKUP(B5764,'old-aw-skill-plan'!A:I,7,FALSE)</f>
        <v>3</v>
      </c>
      <c r="H5764" s="1" t="str">
        <f>VLOOKUP(B5764,'old-aw-skill-plan'!A:I,9,FALSE)</f>
        <v>3-1</v>
      </c>
    </row>
    <row r="5765" ht="15.75" customHeight="1">
      <c r="A5765" s="1" t="s">
        <v>436</v>
      </c>
      <c r="B5765" s="1" t="s">
        <v>30</v>
      </c>
      <c r="C5765" s="1" t="s">
        <v>11</v>
      </c>
      <c r="D5765" s="5">
        <v>45231.0</v>
      </c>
      <c r="G5765" s="1">
        <f>VLOOKUP(B5765,'old-aw-skill-plan'!A:I,7,FALSE)</f>
        <v>3</v>
      </c>
      <c r="H5765" s="1" t="str">
        <f>VLOOKUP(B5765,'old-aw-skill-plan'!A:I,9,FALSE)</f>
        <v>3-3</v>
      </c>
    </row>
    <row r="5766" ht="15.75" customHeight="1">
      <c r="A5766" s="1" t="s">
        <v>436</v>
      </c>
      <c r="B5766" s="1" t="s">
        <v>47</v>
      </c>
      <c r="C5766" s="1" t="s">
        <v>11</v>
      </c>
      <c r="D5766" s="5">
        <v>45231.0</v>
      </c>
      <c r="G5766" s="1">
        <f>VLOOKUP(B5766,'old-aw-skill-plan'!A:I,7,FALSE)</f>
        <v>3</v>
      </c>
      <c r="H5766" s="1" t="str">
        <f>VLOOKUP(B5766,'old-aw-skill-plan'!A:I,9,FALSE)</f>
        <v>3-2</v>
      </c>
    </row>
    <row r="5767" ht="15.75" customHeight="1">
      <c r="A5767" s="1" t="s">
        <v>110</v>
      </c>
      <c r="B5767" s="1" t="s">
        <v>10</v>
      </c>
      <c r="C5767" s="1" t="s">
        <v>11</v>
      </c>
      <c r="D5767" s="5">
        <v>45231.0</v>
      </c>
      <c r="G5767" s="1">
        <f>VLOOKUP(B5767,'old-aw-skill-plan'!A:I,7,FALSE)</f>
        <v>3</v>
      </c>
      <c r="H5767" s="1" t="str">
        <f>VLOOKUP(B5767,'old-aw-skill-plan'!A:I,9,FALSE)</f>
        <v>3-1</v>
      </c>
    </row>
    <row r="5768" ht="15.75" customHeight="1">
      <c r="A5768" s="1" t="s">
        <v>110</v>
      </c>
      <c r="B5768" s="1" t="s">
        <v>47</v>
      </c>
      <c r="C5768" s="1" t="s">
        <v>11</v>
      </c>
      <c r="D5768" s="5">
        <v>45231.0</v>
      </c>
      <c r="G5768" s="1">
        <f>VLOOKUP(B5768,'old-aw-skill-plan'!A:I,7,FALSE)</f>
        <v>3</v>
      </c>
      <c r="H5768" s="1" t="str">
        <f>VLOOKUP(B5768,'old-aw-skill-plan'!A:I,9,FALSE)</f>
        <v>3-2</v>
      </c>
    </row>
    <row r="5769" ht="15.75" customHeight="1">
      <c r="A5769" s="1" t="s">
        <v>464</v>
      </c>
      <c r="B5769" s="1" t="s">
        <v>44</v>
      </c>
      <c r="C5769" s="1" t="s">
        <v>11</v>
      </c>
      <c r="D5769" s="5">
        <v>45230.0</v>
      </c>
      <c r="G5769" s="1">
        <f>VLOOKUP(B5769,'old-aw-skill-plan'!A:I,7,FALSE)</f>
        <v>5</v>
      </c>
      <c r="H5769" s="1" t="str">
        <f>VLOOKUP(B5769,'old-aw-skill-plan'!A:I,9,FALSE)</f>
        <v>5-1</v>
      </c>
    </row>
    <row r="5770" ht="15.75" customHeight="1">
      <c r="A5770" s="1" t="s">
        <v>474</v>
      </c>
      <c r="B5770" s="1" t="s">
        <v>10</v>
      </c>
      <c r="C5770" s="1" t="s">
        <v>11</v>
      </c>
      <c r="D5770" s="5">
        <v>45230.0</v>
      </c>
      <c r="G5770" s="1">
        <f>VLOOKUP(B5770,'old-aw-skill-plan'!A:I,7,FALSE)</f>
        <v>3</v>
      </c>
      <c r="H5770" s="1" t="str">
        <f>VLOOKUP(B5770,'old-aw-skill-plan'!A:I,9,FALSE)</f>
        <v>3-1</v>
      </c>
    </row>
    <row r="5771" ht="15.75" customHeight="1">
      <c r="A5771" s="1" t="s">
        <v>216</v>
      </c>
      <c r="B5771" s="1" t="s">
        <v>34</v>
      </c>
      <c r="C5771" s="1" t="s">
        <v>11</v>
      </c>
      <c r="D5771" s="5">
        <v>45230.0</v>
      </c>
      <c r="G5771" s="1">
        <f>VLOOKUP(B5771,'old-aw-skill-plan'!A:I,7,FALSE)</f>
        <v>4</v>
      </c>
      <c r="H5771" s="1" t="str">
        <f>VLOOKUP(B5771,'old-aw-skill-plan'!A:I,9,FALSE)</f>
        <v>4-1</v>
      </c>
    </row>
    <row r="5772" ht="15.75" customHeight="1">
      <c r="A5772" s="1" t="s">
        <v>35</v>
      </c>
      <c r="B5772" s="1" t="s">
        <v>34</v>
      </c>
      <c r="C5772" s="1" t="s">
        <v>11</v>
      </c>
      <c r="D5772" s="5">
        <v>45230.0</v>
      </c>
      <c r="G5772" s="1">
        <f>VLOOKUP(B5772,'old-aw-skill-plan'!A:I,7,FALSE)</f>
        <v>4</v>
      </c>
      <c r="H5772" s="1" t="str">
        <f>VLOOKUP(B5772,'old-aw-skill-plan'!A:I,9,FALSE)</f>
        <v>4-1</v>
      </c>
    </row>
    <row r="5773" ht="15.75" customHeight="1">
      <c r="A5773" s="1" t="s">
        <v>271</v>
      </c>
      <c r="B5773" s="1" t="s">
        <v>352</v>
      </c>
      <c r="C5773" s="1" t="s">
        <v>11</v>
      </c>
      <c r="D5773" s="5">
        <v>45230.0</v>
      </c>
      <c r="G5773" s="1">
        <f>VLOOKUP(B5773,'old-aw-skill-plan'!A:I,7,FALSE)</f>
        <v>3</v>
      </c>
      <c r="H5773" s="1" t="str">
        <f>VLOOKUP(B5773,'old-aw-skill-plan'!A:I,9,FALSE)</f>
        <v>3-2</v>
      </c>
    </row>
    <row r="5774" ht="15.75" customHeight="1">
      <c r="A5774" s="1" t="s">
        <v>207</v>
      </c>
      <c r="B5774" s="1" t="s">
        <v>307</v>
      </c>
      <c r="C5774" s="1" t="s">
        <v>11</v>
      </c>
      <c r="D5774" s="5">
        <v>45230.0</v>
      </c>
      <c r="G5774" s="1">
        <f>VLOOKUP(B5774,'old-aw-skill-plan'!A:I,7,FALSE)</f>
        <v>3</v>
      </c>
      <c r="H5774" s="1" t="str">
        <f>VLOOKUP(B5774,'old-aw-skill-plan'!A:I,9,FALSE)</f>
        <v>3-1</v>
      </c>
    </row>
    <row r="5775" ht="15.75" customHeight="1">
      <c r="A5775" s="1" t="s">
        <v>458</v>
      </c>
      <c r="B5775" s="1" t="s">
        <v>10</v>
      </c>
      <c r="C5775" s="1" t="s">
        <v>11</v>
      </c>
      <c r="D5775" s="5">
        <v>45230.0</v>
      </c>
      <c r="G5775" s="1">
        <f>VLOOKUP(B5775,'old-aw-skill-plan'!A:I,7,FALSE)</f>
        <v>3</v>
      </c>
      <c r="H5775" s="1" t="str">
        <f>VLOOKUP(B5775,'old-aw-skill-plan'!A:I,9,FALSE)</f>
        <v>3-1</v>
      </c>
    </row>
    <row r="5776" ht="15.75" customHeight="1">
      <c r="A5776" s="1" t="s">
        <v>475</v>
      </c>
      <c r="B5776" s="1" t="s">
        <v>37</v>
      </c>
      <c r="C5776" s="1" t="s">
        <v>11</v>
      </c>
      <c r="D5776" s="5">
        <v>45230.0</v>
      </c>
      <c r="G5776" s="1">
        <f>VLOOKUP(B5776,'old-aw-skill-plan'!A:I,7,FALSE)</f>
        <v>4</v>
      </c>
      <c r="H5776" s="1" t="str">
        <f>VLOOKUP(B5776,'old-aw-skill-plan'!A:I,9,FALSE)</f>
        <v>4-2</v>
      </c>
    </row>
    <row r="5777" ht="15.75" customHeight="1">
      <c r="A5777" s="1" t="s">
        <v>480</v>
      </c>
      <c r="B5777" s="1" t="s">
        <v>47</v>
      </c>
      <c r="C5777" s="1" t="s">
        <v>11</v>
      </c>
      <c r="D5777" s="5">
        <v>45230.0</v>
      </c>
      <c r="G5777" s="1">
        <f>VLOOKUP(B5777,'old-aw-skill-plan'!A:I,7,FALSE)</f>
        <v>3</v>
      </c>
      <c r="H5777" s="1" t="str">
        <f>VLOOKUP(B5777,'old-aw-skill-plan'!A:I,9,FALSE)</f>
        <v>3-2</v>
      </c>
    </row>
    <row r="5778" ht="15.75" customHeight="1">
      <c r="A5778" s="1" t="s">
        <v>460</v>
      </c>
      <c r="B5778" s="1" t="s">
        <v>44</v>
      </c>
      <c r="C5778" s="1" t="s">
        <v>11</v>
      </c>
      <c r="D5778" s="5">
        <v>45230.0</v>
      </c>
      <c r="G5778" s="1">
        <f>VLOOKUP(B5778,'old-aw-skill-plan'!A:I,7,FALSE)</f>
        <v>5</v>
      </c>
      <c r="H5778" s="1" t="str">
        <f>VLOOKUP(B5778,'old-aw-skill-plan'!A:I,9,FALSE)</f>
        <v>5-1</v>
      </c>
    </row>
    <row r="5779" ht="15.75" customHeight="1">
      <c r="A5779" s="1" t="s">
        <v>39</v>
      </c>
      <c r="B5779" s="1" t="s">
        <v>34</v>
      </c>
      <c r="C5779" s="1" t="s">
        <v>11</v>
      </c>
      <c r="D5779" s="5">
        <v>45230.0</v>
      </c>
      <c r="G5779" s="1">
        <f>VLOOKUP(B5779,'old-aw-skill-plan'!A:I,7,FALSE)</f>
        <v>4</v>
      </c>
      <c r="H5779" s="1" t="str">
        <f>VLOOKUP(B5779,'old-aw-skill-plan'!A:I,9,FALSE)</f>
        <v>4-1</v>
      </c>
    </row>
    <row r="5780" ht="15.75" customHeight="1">
      <c r="A5780" s="1" t="s">
        <v>469</v>
      </c>
      <c r="B5780" s="1" t="s">
        <v>34</v>
      </c>
      <c r="C5780" s="1" t="s">
        <v>11</v>
      </c>
      <c r="D5780" s="5">
        <v>45230.0</v>
      </c>
      <c r="G5780" s="1">
        <f>VLOOKUP(B5780,'old-aw-skill-plan'!A:I,7,FALSE)</f>
        <v>4</v>
      </c>
      <c r="H5780" s="1" t="str">
        <f>VLOOKUP(B5780,'old-aw-skill-plan'!A:I,9,FALSE)</f>
        <v>4-1</v>
      </c>
    </row>
    <row r="5781" ht="15.75" customHeight="1">
      <c r="A5781" s="1" t="s">
        <v>220</v>
      </c>
      <c r="B5781" s="1" t="s">
        <v>425</v>
      </c>
      <c r="C5781" s="1" t="s">
        <v>11</v>
      </c>
      <c r="D5781" s="5">
        <v>45230.0</v>
      </c>
      <c r="G5781" s="1">
        <f>VLOOKUP(B5781,'old-aw-skill-plan'!A:I,7,FALSE)</f>
        <v>3</v>
      </c>
      <c r="H5781" s="1" t="str">
        <f>VLOOKUP(B5781,'old-aw-skill-plan'!A:I,9,FALSE)</f>
        <v>3-1</v>
      </c>
    </row>
    <row r="5782" ht="15.75" customHeight="1">
      <c r="A5782" s="1" t="s">
        <v>237</v>
      </c>
      <c r="B5782" s="1" t="s">
        <v>47</v>
      </c>
      <c r="C5782" s="1" t="s">
        <v>11</v>
      </c>
      <c r="D5782" s="5">
        <v>45230.0</v>
      </c>
      <c r="G5782" s="1">
        <f>VLOOKUP(B5782,'old-aw-skill-plan'!A:I,7,FALSE)</f>
        <v>3</v>
      </c>
      <c r="H5782" s="1" t="str">
        <f>VLOOKUP(B5782,'old-aw-skill-plan'!A:I,9,FALSE)</f>
        <v>3-2</v>
      </c>
    </row>
    <row r="5783" ht="15.75" customHeight="1">
      <c r="A5783" s="1" t="s">
        <v>237</v>
      </c>
      <c r="B5783" s="1" t="s">
        <v>307</v>
      </c>
      <c r="C5783" s="1" t="s">
        <v>11</v>
      </c>
      <c r="D5783" s="5">
        <v>45230.0</v>
      </c>
      <c r="G5783" s="1">
        <f>VLOOKUP(B5783,'old-aw-skill-plan'!A:I,7,FALSE)</f>
        <v>3</v>
      </c>
      <c r="H5783" s="1" t="str">
        <f>VLOOKUP(B5783,'old-aw-skill-plan'!A:I,9,FALSE)</f>
        <v>3-1</v>
      </c>
    </row>
    <row r="5784" ht="15.75" customHeight="1">
      <c r="A5784" s="1" t="s">
        <v>237</v>
      </c>
      <c r="B5784" s="1" t="s">
        <v>425</v>
      </c>
      <c r="C5784" s="1" t="s">
        <v>11</v>
      </c>
      <c r="D5784" s="5">
        <v>45230.0</v>
      </c>
      <c r="G5784" s="1">
        <f>VLOOKUP(B5784,'old-aw-skill-plan'!A:I,7,FALSE)</f>
        <v>3</v>
      </c>
      <c r="H5784" s="1" t="str">
        <f>VLOOKUP(B5784,'old-aw-skill-plan'!A:I,9,FALSE)</f>
        <v>3-1</v>
      </c>
    </row>
    <row r="5785" ht="15.75" customHeight="1">
      <c r="A5785" s="1" t="s">
        <v>267</v>
      </c>
      <c r="B5785" s="1" t="s">
        <v>44</v>
      </c>
      <c r="C5785" s="1" t="s">
        <v>11</v>
      </c>
      <c r="D5785" s="5">
        <v>45230.0</v>
      </c>
      <c r="G5785" s="1">
        <f>VLOOKUP(B5785,'old-aw-skill-plan'!A:I,7,FALSE)</f>
        <v>5</v>
      </c>
      <c r="H5785" s="1" t="str">
        <f>VLOOKUP(B5785,'old-aw-skill-plan'!A:I,9,FALSE)</f>
        <v>5-1</v>
      </c>
    </row>
    <row r="5786" ht="15.75" customHeight="1">
      <c r="A5786" s="1" t="s">
        <v>419</v>
      </c>
      <c r="B5786" s="1" t="s">
        <v>30</v>
      </c>
      <c r="C5786" s="1" t="s">
        <v>11</v>
      </c>
      <c r="D5786" s="5">
        <v>45230.0</v>
      </c>
      <c r="G5786" s="1">
        <f>VLOOKUP(B5786,'old-aw-skill-plan'!A:I,7,FALSE)</f>
        <v>3</v>
      </c>
      <c r="H5786" s="1" t="str">
        <f>VLOOKUP(B5786,'old-aw-skill-plan'!A:I,9,FALSE)</f>
        <v>3-3</v>
      </c>
    </row>
    <row r="5787" ht="15.75" customHeight="1">
      <c r="A5787" s="1" t="s">
        <v>419</v>
      </c>
      <c r="B5787" s="1" t="s">
        <v>47</v>
      </c>
      <c r="C5787" s="1" t="s">
        <v>11</v>
      </c>
      <c r="D5787" s="5">
        <v>45230.0</v>
      </c>
      <c r="G5787" s="1">
        <f>VLOOKUP(B5787,'old-aw-skill-plan'!A:I,7,FALSE)</f>
        <v>3</v>
      </c>
      <c r="H5787" s="1" t="str">
        <f>VLOOKUP(B5787,'old-aw-skill-plan'!A:I,9,FALSE)</f>
        <v>3-2</v>
      </c>
    </row>
    <row r="5788" ht="15.75" customHeight="1">
      <c r="A5788" s="1" t="s">
        <v>419</v>
      </c>
      <c r="B5788" s="1" t="s">
        <v>307</v>
      </c>
      <c r="C5788" s="1" t="s">
        <v>11</v>
      </c>
      <c r="D5788" s="5">
        <v>45230.0</v>
      </c>
      <c r="G5788" s="1">
        <f>VLOOKUP(B5788,'old-aw-skill-plan'!A:I,7,FALSE)</f>
        <v>3</v>
      </c>
      <c r="H5788" s="1" t="str">
        <f>VLOOKUP(B5788,'old-aw-skill-plan'!A:I,9,FALSE)</f>
        <v>3-1</v>
      </c>
    </row>
    <row r="5789" ht="15.75" customHeight="1">
      <c r="A5789" s="1" t="s">
        <v>238</v>
      </c>
      <c r="B5789" s="1" t="s">
        <v>383</v>
      </c>
      <c r="C5789" s="1" t="s">
        <v>11</v>
      </c>
      <c r="D5789" s="5">
        <v>45230.0</v>
      </c>
      <c r="G5789" s="1">
        <f>VLOOKUP(B5789,'old-aw-skill-plan'!A:I,7,FALSE)</f>
        <v>3</v>
      </c>
      <c r="H5789" s="1" t="str">
        <f>VLOOKUP(B5789,'old-aw-skill-plan'!A:I,9,FALSE)</f>
        <v>3-3</v>
      </c>
    </row>
    <row r="5790" ht="15.75" customHeight="1">
      <c r="A5790" s="1" t="s">
        <v>238</v>
      </c>
      <c r="B5790" s="1" t="s">
        <v>356</v>
      </c>
      <c r="C5790" s="1" t="s">
        <v>11</v>
      </c>
      <c r="D5790" s="5">
        <v>45230.0</v>
      </c>
      <c r="G5790" s="1">
        <f>VLOOKUP(B5790,'old-aw-skill-plan'!A:I,7,FALSE)</f>
        <v>3</v>
      </c>
      <c r="H5790" s="1" t="str">
        <f>VLOOKUP(B5790,'old-aw-skill-plan'!A:I,9,FALSE)</f>
        <v>3-2</v>
      </c>
    </row>
    <row r="5791" ht="15.75" customHeight="1">
      <c r="A5791" s="1" t="s">
        <v>238</v>
      </c>
      <c r="B5791" s="1" t="s">
        <v>352</v>
      </c>
      <c r="C5791" s="1" t="s">
        <v>11</v>
      </c>
      <c r="D5791" s="5">
        <v>45230.0</v>
      </c>
      <c r="G5791" s="1">
        <f>VLOOKUP(B5791,'old-aw-skill-plan'!A:I,7,FALSE)</f>
        <v>3</v>
      </c>
      <c r="H5791" s="1" t="str">
        <f>VLOOKUP(B5791,'old-aw-skill-plan'!A:I,9,FALSE)</f>
        <v>3-2</v>
      </c>
    </row>
    <row r="5792" ht="15.75" customHeight="1">
      <c r="A5792" s="1" t="s">
        <v>473</v>
      </c>
      <c r="B5792" s="1" t="s">
        <v>10</v>
      </c>
      <c r="C5792" s="1" t="s">
        <v>11</v>
      </c>
      <c r="D5792" s="5">
        <v>45230.0</v>
      </c>
      <c r="G5792" s="1">
        <f>VLOOKUP(B5792,'old-aw-skill-plan'!A:I,7,FALSE)</f>
        <v>3</v>
      </c>
      <c r="H5792" s="1" t="str">
        <f>VLOOKUP(B5792,'old-aw-skill-plan'!A:I,9,FALSE)</f>
        <v>3-1</v>
      </c>
    </row>
    <row r="5793" ht="15.75" customHeight="1">
      <c r="A5793" s="1" t="s">
        <v>81</v>
      </c>
      <c r="B5793" s="1" t="s">
        <v>34</v>
      </c>
      <c r="C5793" s="1" t="s">
        <v>11</v>
      </c>
      <c r="D5793" s="5">
        <v>45230.0</v>
      </c>
      <c r="G5793" s="1">
        <f>VLOOKUP(B5793,'old-aw-skill-plan'!A:I,7,FALSE)</f>
        <v>4</v>
      </c>
      <c r="H5793" s="1" t="str">
        <f>VLOOKUP(B5793,'old-aw-skill-plan'!A:I,9,FALSE)</f>
        <v>4-1</v>
      </c>
    </row>
    <row r="5794" ht="15.75" customHeight="1">
      <c r="A5794" s="1" t="s">
        <v>429</v>
      </c>
      <c r="B5794" s="1" t="s">
        <v>34</v>
      </c>
      <c r="C5794" s="1" t="s">
        <v>11</v>
      </c>
      <c r="D5794" s="5">
        <v>45230.0</v>
      </c>
      <c r="G5794" s="1">
        <f>VLOOKUP(B5794,'old-aw-skill-plan'!A:I,7,FALSE)</f>
        <v>4</v>
      </c>
      <c r="H5794" s="1" t="str">
        <f>VLOOKUP(B5794,'old-aw-skill-plan'!A:I,9,FALSE)</f>
        <v>4-1</v>
      </c>
    </row>
    <row r="5795" ht="15.75" customHeight="1">
      <c r="A5795" s="1" t="s">
        <v>421</v>
      </c>
      <c r="B5795" s="1" t="s">
        <v>47</v>
      </c>
      <c r="C5795" s="1" t="s">
        <v>11</v>
      </c>
      <c r="D5795" s="5">
        <v>45230.0</v>
      </c>
      <c r="G5795" s="1">
        <f>VLOOKUP(B5795,'old-aw-skill-plan'!A:I,7,FALSE)</f>
        <v>3</v>
      </c>
      <c r="H5795" s="1" t="str">
        <f>VLOOKUP(B5795,'old-aw-skill-plan'!A:I,9,FALSE)</f>
        <v>3-2</v>
      </c>
    </row>
    <row r="5796" ht="15.75" customHeight="1">
      <c r="A5796" s="1" t="s">
        <v>230</v>
      </c>
      <c r="B5796" s="1" t="s">
        <v>307</v>
      </c>
      <c r="C5796" s="1" t="s">
        <v>11</v>
      </c>
      <c r="D5796" s="5">
        <v>45230.0</v>
      </c>
      <c r="G5796" s="1">
        <f>VLOOKUP(B5796,'old-aw-skill-plan'!A:I,7,FALSE)</f>
        <v>3</v>
      </c>
      <c r="H5796" s="1" t="str">
        <f>VLOOKUP(B5796,'old-aw-skill-plan'!A:I,9,FALSE)</f>
        <v>3-1</v>
      </c>
    </row>
    <row r="5797" ht="15.75" customHeight="1">
      <c r="A5797" s="1" t="s">
        <v>60</v>
      </c>
      <c r="B5797" s="1" t="s">
        <v>34</v>
      </c>
      <c r="C5797" s="1" t="s">
        <v>11</v>
      </c>
      <c r="D5797" s="5">
        <v>45230.0</v>
      </c>
      <c r="G5797" s="1">
        <f>VLOOKUP(B5797,'old-aw-skill-plan'!A:I,7,FALSE)</f>
        <v>4</v>
      </c>
      <c r="H5797" s="1" t="str">
        <f>VLOOKUP(B5797,'old-aw-skill-plan'!A:I,9,FALSE)</f>
        <v>4-1</v>
      </c>
    </row>
    <row r="5798" ht="15.75" customHeight="1">
      <c r="A5798" s="1" t="s">
        <v>420</v>
      </c>
      <c r="B5798" s="1" t="s">
        <v>307</v>
      </c>
      <c r="C5798" s="1" t="s">
        <v>11</v>
      </c>
      <c r="D5798" s="5">
        <v>45230.0</v>
      </c>
      <c r="G5798" s="1">
        <f>VLOOKUP(B5798,'old-aw-skill-plan'!A:I,7,FALSE)</f>
        <v>3</v>
      </c>
      <c r="H5798" s="1" t="str">
        <f>VLOOKUP(B5798,'old-aw-skill-plan'!A:I,9,FALSE)</f>
        <v>3-1</v>
      </c>
    </row>
    <row r="5799" ht="15.75" customHeight="1">
      <c r="A5799" s="1" t="s">
        <v>471</v>
      </c>
      <c r="B5799" s="1" t="s">
        <v>10</v>
      </c>
      <c r="C5799" s="1" t="s">
        <v>11</v>
      </c>
      <c r="D5799" s="5">
        <v>45230.0</v>
      </c>
      <c r="G5799" s="1">
        <f>VLOOKUP(B5799,'old-aw-skill-plan'!A:I,7,FALSE)</f>
        <v>3</v>
      </c>
      <c r="H5799" s="1" t="str">
        <f>VLOOKUP(B5799,'old-aw-skill-plan'!A:I,9,FALSE)</f>
        <v>3-1</v>
      </c>
    </row>
    <row r="5800" ht="15.75" customHeight="1">
      <c r="A5800" s="1" t="s">
        <v>65</v>
      </c>
      <c r="B5800" s="1" t="s">
        <v>34</v>
      </c>
      <c r="C5800" s="1" t="s">
        <v>11</v>
      </c>
      <c r="D5800" s="5">
        <v>45230.0</v>
      </c>
      <c r="G5800" s="1">
        <f>VLOOKUP(B5800,'old-aw-skill-plan'!A:I,7,FALSE)</f>
        <v>4</v>
      </c>
      <c r="H5800" s="1" t="str">
        <f>VLOOKUP(B5800,'old-aw-skill-plan'!A:I,9,FALSE)</f>
        <v>4-1</v>
      </c>
    </row>
    <row r="5801" ht="15.75" customHeight="1">
      <c r="A5801" s="1" t="s">
        <v>275</v>
      </c>
      <c r="B5801" s="1" t="s">
        <v>10</v>
      </c>
      <c r="C5801" s="1" t="s">
        <v>11</v>
      </c>
      <c r="D5801" s="5">
        <v>45230.0</v>
      </c>
      <c r="G5801" s="1">
        <f>VLOOKUP(B5801,'old-aw-skill-plan'!A:I,7,FALSE)</f>
        <v>3</v>
      </c>
      <c r="H5801" s="1" t="str">
        <f>VLOOKUP(B5801,'old-aw-skill-plan'!A:I,9,FALSE)</f>
        <v>3-1</v>
      </c>
    </row>
    <row r="5802" ht="15.75" customHeight="1">
      <c r="A5802" s="1" t="s">
        <v>275</v>
      </c>
      <c r="B5802" s="1" t="s">
        <v>30</v>
      </c>
      <c r="C5802" s="1" t="s">
        <v>11</v>
      </c>
      <c r="D5802" s="5">
        <v>45230.0</v>
      </c>
      <c r="G5802" s="1">
        <f>VLOOKUP(B5802,'old-aw-skill-plan'!A:I,7,FALSE)</f>
        <v>3</v>
      </c>
      <c r="H5802" s="1" t="str">
        <f>VLOOKUP(B5802,'old-aw-skill-plan'!A:I,9,FALSE)</f>
        <v>3-3</v>
      </c>
    </row>
    <row r="5803" ht="15.75" customHeight="1">
      <c r="A5803" s="1" t="s">
        <v>275</v>
      </c>
      <c r="B5803" s="1" t="s">
        <v>47</v>
      </c>
      <c r="C5803" s="1" t="s">
        <v>11</v>
      </c>
      <c r="D5803" s="5">
        <v>45230.0</v>
      </c>
      <c r="G5803" s="1">
        <f>VLOOKUP(B5803,'old-aw-skill-plan'!A:I,7,FALSE)</f>
        <v>3</v>
      </c>
      <c r="H5803" s="1" t="str">
        <f>VLOOKUP(B5803,'old-aw-skill-plan'!A:I,9,FALSE)</f>
        <v>3-2</v>
      </c>
    </row>
    <row r="5804" ht="15.75" customHeight="1">
      <c r="A5804" s="1" t="s">
        <v>203</v>
      </c>
      <c r="B5804" s="1" t="s">
        <v>44</v>
      </c>
      <c r="C5804" s="1" t="s">
        <v>11</v>
      </c>
      <c r="D5804" s="5">
        <v>45230.0</v>
      </c>
      <c r="G5804" s="1">
        <f>VLOOKUP(B5804,'old-aw-skill-plan'!A:I,7,FALSE)</f>
        <v>5</v>
      </c>
      <c r="H5804" s="1" t="str">
        <f>VLOOKUP(B5804,'old-aw-skill-plan'!A:I,9,FALSE)</f>
        <v>5-1</v>
      </c>
    </row>
    <row r="5805" ht="15.75" customHeight="1">
      <c r="A5805" s="1" t="s">
        <v>461</v>
      </c>
      <c r="B5805" s="1" t="s">
        <v>44</v>
      </c>
      <c r="C5805" s="1" t="s">
        <v>11</v>
      </c>
      <c r="D5805" s="5">
        <v>45230.0</v>
      </c>
      <c r="G5805" s="1">
        <f>VLOOKUP(B5805,'old-aw-skill-plan'!A:I,7,FALSE)</f>
        <v>5</v>
      </c>
      <c r="H5805" s="1" t="str">
        <f>VLOOKUP(B5805,'old-aw-skill-plan'!A:I,9,FALSE)</f>
        <v>5-1</v>
      </c>
    </row>
    <row r="5806" ht="15.75" customHeight="1">
      <c r="A5806" s="1" t="s">
        <v>422</v>
      </c>
      <c r="B5806" s="1" t="s">
        <v>34</v>
      </c>
      <c r="C5806" s="1" t="s">
        <v>11</v>
      </c>
      <c r="D5806" s="5">
        <v>45230.0</v>
      </c>
      <c r="G5806" s="1">
        <f>VLOOKUP(B5806,'old-aw-skill-plan'!A:I,7,FALSE)</f>
        <v>4</v>
      </c>
      <c r="H5806" s="1" t="str">
        <f>VLOOKUP(B5806,'old-aw-skill-plan'!A:I,9,FALSE)</f>
        <v>4-1</v>
      </c>
    </row>
    <row r="5807" ht="15.75" customHeight="1">
      <c r="A5807" s="1" t="s">
        <v>422</v>
      </c>
      <c r="B5807" s="1" t="s">
        <v>37</v>
      </c>
      <c r="C5807" s="1" t="s">
        <v>11</v>
      </c>
      <c r="D5807" s="5">
        <v>45230.0</v>
      </c>
      <c r="G5807" s="1">
        <f>VLOOKUP(B5807,'old-aw-skill-plan'!A:I,7,FALSE)</f>
        <v>4</v>
      </c>
      <c r="H5807" s="1" t="str">
        <f>VLOOKUP(B5807,'old-aw-skill-plan'!A:I,9,FALSE)</f>
        <v>4-2</v>
      </c>
    </row>
    <row r="5808" ht="15.75" customHeight="1">
      <c r="A5808" s="1" t="s">
        <v>197</v>
      </c>
      <c r="B5808" s="1" t="s">
        <v>34</v>
      </c>
      <c r="C5808" s="1" t="s">
        <v>11</v>
      </c>
      <c r="D5808" s="5">
        <v>45230.0</v>
      </c>
      <c r="G5808" s="1">
        <f>VLOOKUP(B5808,'old-aw-skill-plan'!A:I,7,FALSE)</f>
        <v>4</v>
      </c>
      <c r="H5808" s="1" t="str">
        <f>VLOOKUP(B5808,'old-aw-skill-plan'!A:I,9,FALSE)</f>
        <v>4-1</v>
      </c>
    </row>
    <row r="5809" ht="15.75" customHeight="1">
      <c r="A5809" s="1" t="s">
        <v>209</v>
      </c>
      <c r="B5809" s="1" t="s">
        <v>44</v>
      </c>
      <c r="C5809" s="1" t="s">
        <v>11</v>
      </c>
      <c r="D5809" s="5">
        <v>45230.0</v>
      </c>
      <c r="G5809" s="1">
        <f>VLOOKUP(B5809,'old-aw-skill-plan'!A:I,7,FALSE)</f>
        <v>5</v>
      </c>
      <c r="H5809" s="1" t="str">
        <f>VLOOKUP(B5809,'old-aw-skill-plan'!A:I,9,FALSE)</f>
        <v>5-1</v>
      </c>
    </row>
    <row r="5810" ht="15.75" customHeight="1">
      <c r="A5810" s="1" t="s">
        <v>373</v>
      </c>
      <c r="B5810" s="1" t="s">
        <v>10</v>
      </c>
      <c r="C5810" s="1" t="s">
        <v>11</v>
      </c>
      <c r="D5810" s="5">
        <v>45230.0</v>
      </c>
      <c r="G5810" s="1">
        <f>VLOOKUP(B5810,'old-aw-skill-plan'!A:I,7,FALSE)</f>
        <v>3</v>
      </c>
      <c r="H5810" s="1" t="str">
        <f>VLOOKUP(B5810,'old-aw-skill-plan'!A:I,9,FALSE)</f>
        <v>3-1</v>
      </c>
    </row>
    <row r="5811" ht="15.75" customHeight="1">
      <c r="A5811" s="1" t="s">
        <v>462</v>
      </c>
      <c r="B5811" s="1" t="s">
        <v>44</v>
      </c>
      <c r="C5811" s="1" t="s">
        <v>11</v>
      </c>
      <c r="D5811" s="5">
        <v>45230.0</v>
      </c>
      <c r="G5811" s="1">
        <f>VLOOKUP(B5811,'old-aw-skill-plan'!A:I,7,FALSE)</f>
        <v>5</v>
      </c>
      <c r="H5811" s="1" t="str">
        <f>VLOOKUP(B5811,'old-aw-skill-plan'!A:I,9,FALSE)</f>
        <v>5-1</v>
      </c>
    </row>
    <row r="5812" ht="15.75" customHeight="1">
      <c r="A5812" s="1" t="s">
        <v>74</v>
      </c>
      <c r="B5812" s="1" t="s">
        <v>44</v>
      </c>
      <c r="C5812" s="1" t="s">
        <v>11</v>
      </c>
      <c r="D5812" s="5">
        <v>45230.0</v>
      </c>
      <c r="G5812" s="1">
        <f>VLOOKUP(B5812,'old-aw-skill-plan'!A:I,7,FALSE)</f>
        <v>5</v>
      </c>
      <c r="H5812" s="1" t="str">
        <f>VLOOKUP(B5812,'old-aw-skill-plan'!A:I,9,FALSE)</f>
        <v>5-1</v>
      </c>
    </row>
    <row r="5813" ht="15.75" customHeight="1">
      <c r="A5813" s="1" t="s">
        <v>269</v>
      </c>
      <c r="B5813" s="1" t="s">
        <v>47</v>
      </c>
      <c r="C5813" s="1" t="s">
        <v>11</v>
      </c>
      <c r="D5813" s="5">
        <v>45230.0</v>
      </c>
      <c r="G5813" s="1">
        <f>VLOOKUP(B5813,'old-aw-skill-plan'!A:I,7,FALSE)</f>
        <v>3</v>
      </c>
      <c r="H5813" s="1" t="str">
        <f>VLOOKUP(B5813,'old-aw-skill-plan'!A:I,9,FALSE)</f>
        <v>3-2</v>
      </c>
    </row>
    <row r="5814" ht="15.75" customHeight="1">
      <c r="A5814" s="1" t="s">
        <v>265</v>
      </c>
      <c r="B5814" s="1" t="s">
        <v>44</v>
      </c>
      <c r="C5814" s="1" t="s">
        <v>11</v>
      </c>
      <c r="D5814" s="5">
        <v>45230.0</v>
      </c>
      <c r="G5814" s="1">
        <f>VLOOKUP(B5814,'old-aw-skill-plan'!A:I,7,FALSE)</f>
        <v>5</v>
      </c>
      <c r="H5814" s="1" t="str">
        <f>VLOOKUP(B5814,'old-aw-skill-plan'!A:I,9,FALSE)</f>
        <v>5-1</v>
      </c>
    </row>
    <row r="5815" ht="15.75" customHeight="1">
      <c r="A5815" s="1" t="s">
        <v>90</v>
      </c>
      <c r="B5815" s="1" t="s">
        <v>10</v>
      </c>
      <c r="C5815" s="1" t="s">
        <v>11</v>
      </c>
      <c r="D5815" s="5">
        <v>45230.0</v>
      </c>
      <c r="G5815" s="1">
        <f>VLOOKUP(B5815,'old-aw-skill-plan'!A:I,7,FALSE)</f>
        <v>3</v>
      </c>
      <c r="H5815" s="1" t="str">
        <f>VLOOKUP(B5815,'old-aw-skill-plan'!A:I,9,FALSE)</f>
        <v>3-1</v>
      </c>
    </row>
    <row r="5816" ht="15.75" customHeight="1">
      <c r="A5816" s="1" t="s">
        <v>278</v>
      </c>
      <c r="B5816" s="1" t="s">
        <v>47</v>
      </c>
      <c r="C5816" s="1" t="s">
        <v>11</v>
      </c>
      <c r="D5816" s="5">
        <v>45230.0</v>
      </c>
      <c r="G5816" s="1">
        <f>VLOOKUP(B5816,'old-aw-skill-plan'!A:I,7,FALSE)</f>
        <v>3</v>
      </c>
      <c r="H5816" s="1" t="str">
        <f>VLOOKUP(B5816,'old-aw-skill-plan'!A:I,9,FALSE)</f>
        <v>3-2</v>
      </c>
    </row>
    <row r="5817" ht="15.75" customHeight="1">
      <c r="A5817" s="1" t="s">
        <v>102</v>
      </c>
      <c r="B5817" s="1" t="s">
        <v>30</v>
      </c>
      <c r="C5817" s="1" t="s">
        <v>11</v>
      </c>
      <c r="D5817" s="5">
        <v>45230.0</v>
      </c>
      <c r="G5817" s="1">
        <f>VLOOKUP(B5817,'old-aw-skill-plan'!A:I,7,FALSE)</f>
        <v>3</v>
      </c>
      <c r="H5817" s="1" t="str">
        <f>VLOOKUP(B5817,'old-aw-skill-plan'!A:I,9,FALSE)</f>
        <v>3-3</v>
      </c>
    </row>
    <row r="5818" ht="15.75" customHeight="1">
      <c r="A5818" s="1" t="s">
        <v>102</v>
      </c>
      <c r="B5818" s="1" t="s">
        <v>307</v>
      </c>
      <c r="C5818" s="1" t="s">
        <v>11</v>
      </c>
      <c r="D5818" s="5">
        <v>45230.0</v>
      </c>
      <c r="G5818" s="1">
        <f>VLOOKUP(B5818,'old-aw-skill-plan'!A:I,7,FALSE)</f>
        <v>3</v>
      </c>
      <c r="H5818" s="1" t="str">
        <f>VLOOKUP(B5818,'old-aw-skill-plan'!A:I,9,FALSE)</f>
        <v>3-1</v>
      </c>
    </row>
    <row r="5819" ht="15.75" customHeight="1">
      <c r="A5819" s="1" t="s">
        <v>463</v>
      </c>
      <c r="B5819" s="1" t="s">
        <v>104</v>
      </c>
      <c r="C5819" s="1" t="s">
        <v>11</v>
      </c>
      <c r="D5819" s="5">
        <v>45230.0</v>
      </c>
      <c r="G5819" s="1">
        <f>VLOOKUP(B5819,'old-aw-skill-plan'!A:I,7,FALSE)</f>
        <v>5</v>
      </c>
      <c r="H5819" s="1" t="str">
        <f>VLOOKUP(B5819,'old-aw-skill-plan'!A:I,9,FALSE)</f>
        <v>5-2</v>
      </c>
    </row>
    <row r="5820" ht="15.75" customHeight="1">
      <c r="A5820" s="1" t="s">
        <v>93</v>
      </c>
      <c r="B5820" s="1" t="s">
        <v>307</v>
      </c>
      <c r="C5820" s="1" t="s">
        <v>11</v>
      </c>
      <c r="D5820" s="5">
        <v>45230.0</v>
      </c>
      <c r="G5820" s="1">
        <f>VLOOKUP(B5820,'old-aw-skill-plan'!A:I,7,FALSE)</f>
        <v>3</v>
      </c>
      <c r="H5820" s="1" t="str">
        <f>VLOOKUP(B5820,'old-aw-skill-plan'!A:I,9,FALSE)</f>
        <v>3-1</v>
      </c>
    </row>
    <row r="5821" ht="15.75" customHeight="1">
      <c r="A5821" s="1" t="s">
        <v>93</v>
      </c>
      <c r="B5821" s="1" t="s">
        <v>356</v>
      </c>
      <c r="C5821" s="1" t="s">
        <v>11</v>
      </c>
      <c r="D5821" s="5">
        <v>45230.0</v>
      </c>
      <c r="G5821" s="1">
        <f>VLOOKUP(B5821,'old-aw-skill-plan'!A:I,7,FALSE)</f>
        <v>3</v>
      </c>
      <c r="H5821" s="1" t="str">
        <f>VLOOKUP(B5821,'old-aw-skill-plan'!A:I,9,FALSE)</f>
        <v>3-2</v>
      </c>
    </row>
    <row r="5822" ht="15.75" customHeight="1">
      <c r="A5822" s="1" t="s">
        <v>365</v>
      </c>
      <c r="B5822" s="1" t="s">
        <v>34</v>
      </c>
      <c r="C5822" s="1" t="s">
        <v>11</v>
      </c>
      <c r="D5822" s="5">
        <v>45230.0</v>
      </c>
      <c r="G5822" s="1">
        <f>VLOOKUP(B5822,'old-aw-skill-plan'!A:I,7,FALSE)</f>
        <v>4</v>
      </c>
      <c r="H5822" s="1" t="str">
        <f>VLOOKUP(B5822,'old-aw-skill-plan'!A:I,9,FALSE)</f>
        <v>4-1</v>
      </c>
    </row>
    <row r="5823" ht="15.75" customHeight="1">
      <c r="A5823" s="1" t="s">
        <v>427</v>
      </c>
      <c r="B5823" s="1" t="s">
        <v>10</v>
      </c>
      <c r="C5823" s="1" t="s">
        <v>11</v>
      </c>
      <c r="D5823" s="5">
        <v>45230.0</v>
      </c>
      <c r="G5823" s="1">
        <f>VLOOKUP(B5823,'old-aw-skill-plan'!A:I,7,FALSE)</f>
        <v>3</v>
      </c>
      <c r="H5823" s="1" t="str">
        <f>VLOOKUP(B5823,'old-aw-skill-plan'!A:I,9,FALSE)</f>
        <v>3-1</v>
      </c>
    </row>
    <row r="5824" ht="15.75" customHeight="1">
      <c r="A5824" s="1" t="s">
        <v>436</v>
      </c>
      <c r="B5824" s="1" t="s">
        <v>10</v>
      </c>
      <c r="C5824" s="1" t="s">
        <v>11</v>
      </c>
      <c r="D5824" s="5">
        <v>45230.0</v>
      </c>
      <c r="G5824" s="1">
        <f>VLOOKUP(B5824,'old-aw-skill-plan'!A:I,7,FALSE)</f>
        <v>3</v>
      </c>
      <c r="H5824" s="1" t="str">
        <f>VLOOKUP(B5824,'old-aw-skill-plan'!A:I,9,FALSE)</f>
        <v>3-1</v>
      </c>
    </row>
    <row r="5825" ht="15.75" customHeight="1">
      <c r="A5825" s="1" t="s">
        <v>436</v>
      </c>
      <c r="B5825" s="1" t="s">
        <v>30</v>
      </c>
      <c r="C5825" s="1" t="s">
        <v>11</v>
      </c>
      <c r="D5825" s="5">
        <v>45230.0</v>
      </c>
      <c r="G5825" s="1">
        <f>VLOOKUP(B5825,'old-aw-skill-plan'!A:I,7,FALSE)</f>
        <v>3</v>
      </c>
      <c r="H5825" s="1" t="str">
        <f>VLOOKUP(B5825,'old-aw-skill-plan'!A:I,9,FALSE)</f>
        <v>3-3</v>
      </c>
    </row>
    <row r="5826" ht="15.75" customHeight="1">
      <c r="A5826" s="1" t="s">
        <v>436</v>
      </c>
      <c r="B5826" s="1" t="s">
        <v>47</v>
      </c>
      <c r="C5826" s="1" t="s">
        <v>11</v>
      </c>
      <c r="D5826" s="5">
        <v>45230.0</v>
      </c>
      <c r="G5826" s="1">
        <f>VLOOKUP(B5826,'old-aw-skill-plan'!A:I,7,FALSE)</f>
        <v>3</v>
      </c>
      <c r="H5826" s="1" t="str">
        <f>VLOOKUP(B5826,'old-aw-skill-plan'!A:I,9,FALSE)</f>
        <v>3-2</v>
      </c>
    </row>
    <row r="5827" ht="15.75" customHeight="1">
      <c r="A5827" s="1" t="s">
        <v>266</v>
      </c>
      <c r="B5827" s="1" t="s">
        <v>30</v>
      </c>
      <c r="C5827" s="1" t="s">
        <v>11</v>
      </c>
      <c r="D5827" s="5">
        <v>45229.0</v>
      </c>
      <c r="G5827" s="1">
        <f>VLOOKUP(B5827,'old-aw-skill-plan'!A:I,7,FALSE)</f>
        <v>3</v>
      </c>
      <c r="H5827" s="1" t="str">
        <f>VLOOKUP(B5827,'old-aw-skill-plan'!A:I,9,FALSE)</f>
        <v>3-3</v>
      </c>
    </row>
    <row r="5828" ht="15.75" customHeight="1">
      <c r="A5828" s="1" t="s">
        <v>266</v>
      </c>
      <c r="B5828" s="1" t="s">
        <v>47</v>
      </c>
      <c r="C5828" s="1" t="s">
        <v>11</v>
      </c>
      <c r="D5828" s="5">
        <v>45229.0</v>
      </c>
      <c r="G5828" s="1">
        <f>VLOOKUP(B5828,'old-aw-skill-plan'!A:I,7,FALSE)</f>
        <v>3</v>
      </c>
      <c r="H5828" s="1" t="str">
        <f>VLOOKUP(B5828,'old-aw-skill-plan'!A:I,9,FALSE)</f>
        <v>3-2</v>
      </c>
    </row>
    <row r="5829" ht="15.75" customHeight="1">
      <c r="A5829" s="1" t="s">
        <v>22</v>
      </c>
      <c r="B5829" s="1" t="s">
        <v>34</v>
      </c>
      <c r="C5829" s="1" t="s">
        <v>11</v>
      </c>
      <c r="D5829" s="5">
        <v>45229.0</v>
      </c>
      <c r="G5829" s="1">
        <f>VLOOKUP(B5829,'old-aw-skill-plan'!A:I,7,FALSE)</f>
        <v>4</v>
      </c>
      <c r="H5829" s="1" t="str">
        <f>VLOOKUP(B5829,'old-aw-skill-plan'!A:I,9,FALSE)</f>
        <v>4-1</v>
      </c>
    </row>
    <row r="5830" ht="15.75" customHeight="1">
      <c r="A5830" s="1" t="s">
        <v>216</v>
      </c>
      <c r="B5830" s="1" t="s">
        <v>34</v>
      </c>
      <c r="C5830" s="1" t="s">
        <v>11</v>
      </c>
      <c r="D5830" s="5">
        <v>45229.0</v>
      </c>
      <c r="G5830" s="1">
        <f>VLOOKUP(B5830,'old-aw-skill-plan'!A:I,7,FALSE)</f>
        <v>4</v>
      </c>
      <c r="H5830" s="1" t="str">
        <f>VLOOKUP(B5830,'old-aw-skill-plan'!A:I,9,FALSE)</f>
        <v>4-1</v>
      </c>
    </row>
    <row r="5831" ht="15.75" customHeight="1">
      <c r="A5831" s="1" t="s">
        <v>35</v>
      </c>
      <c r="B5831" s="1" t="s">
        <v>34</v>
      </c>
      <c r="C5831" s="1" t="s">
        <v>11</v>
      </c>
      <c r="D5831" s="5">
        <v>45229.0</v>
      </c>
      <c r="G5831" s="1">
        <f>VLOOKUP(B5831,'old-aw-skill-plan'!A:I,7,FALSE)</f>
        <v>4</v>
      </c>
      <c r="H5831" s="1" t="str">
        <f>VLOOKUP(B5831,'old-aw-skill-plan'!A:I,9,FALSE)</f>
        <v>4-1</v>
      </c>
    </row>
    <row r="5832" ht="15.75" customHeight="1">
      <c r="A5832" s="1" t="s">
        <v>24</v>
      </c>
      <c r="B5832" s="1" t="s">
        <v>34</v>
      </c>
      <c r="C5832" s="1" t="s">
        <v>11</v>
      </c>
      <c r="D5832" s="5">
        <v>45229.0</v>
      </c>
      <c r="G5832" s="1">
        <f>VLOOKUP(B5832,'old-aw-skill-plan'!A:I,7,FALSE)</f>
        <v>4</v>
      </c>
      <c r="H5832" s="1" t="str">
        <f>VLOOKUP(B5832,'old-aw-skill-plan'!A:I,9,FALSE)</f>
        <v>4-1</v>
      </c>
    </row>
    <row r="5833" ht="15.75" customHeight="1">
      <c r="A5833" s="1" t="s">
        <v>207</v>
      </c>
      <c r="B5833" s="1" t="s">
        <v>307</v>
      </c>
      <c r="C5833" s="1" t="s">
        <v>11</v>
      </c>
      <c r="D5833" s="5">
        <v>45229.0</v>
      </c>
      <c r="G5833" s="1">
        <f>VLOOKUP(B5833,'old-aw-skill-plan'!A:I,7,FALSE)</f>
        <v>3</v>
      </c>
      <c r="H5833" s="1" t="str">
        <f>VLOOKUP(B5833,'old-aw-skill-plan'!A:I,9,FALSE)</f>
        <v>3-1</v>
      </c>
    </row>
    <row r="5834" ht="15.75" customHeight="1">
      <c r="A5834" s="1" t="s">
        <v>213</v>
      </c>
      <c r="B5834" s="1" t="s">
        <v>10</v>
      </c>
      <c r="C5834" s="1" t="s">
        <v>11</v>
      </c>
      <c r="D5834" s="5">
        <v>45229.0</v>
      </c>
      <c r="G5834" s="1">
        <f>VLOOKUP(B5834,'old-aw-skill-plan'!A:I,7,FALSE)</f>
        <v>3</v>
      </c>
      <c r="H5834" s="1" t="str">
        <f>VLOOKUP(B5834,'old-aw-skill-plan'!A:I,9,FALSE)</f>
        <v>3-1</v>
      </c>
    </row>
    <row r="5835" ht="15.75" customHeight="1">
      <c r="A5835" s="1" t="s">
        <v>475</v>
      </c>
      <c r="B5835" s="1" t="s">
        <v>97</v>
      </c>
      <c r="C5835" s="1" t="s">
        <v>11</v>
      </c>
      <c r="D5835" s="5">
        <v>45229.0</v>
      </c>
      <c r="G5835" s="1">
        <f>VLOOKUP(B5835,'old-aw-skill-plan'!A:I,7,FALSE)</f>
        <v>4</v>
      </c>
      <c r="H5835" s="1" t="str">
        <f>VLOOKUP(B5835,'old-aw-skill-plan'!A:I,9,FALSE)</f>
        <v>4-3</v>
      </c>
    </row>
    <row r="5836" ht="15.75" customHeight="1">
      <c r="A5836" s="1" t="s">
        <v>475</v>
      </c>
      <c r="B5836" s="1" t="s">
        <v>37</v>
      </c>
      <c r="C5836" s="1" t="s">
        <v>11</v>
      </c>
      <c r="D5836" s="5">
        <v>45229.0</v>
      </c>
      <c r="G5836" s="1">
        <f>VLOOKUP(B5836,'old-aw-skill-plan'!A:I,7,FALSE)</f>
        <v>4</v>
      </c>
      <c r="H5836" s="1" t="str">
        <f>VLOOKUP(B5836,'old-aw-skill-plan'!A:I,9,FALSE)</f>
        <v>4-2</v>
      </c>
    </row>
    <row r="5837" ht="15.75" customHeight="1">
      <c r="A5837" s="1" t="s">
        <v>199</v>
      </c>
      <c r="B5837" s="1" t="s">
        <v>34</v>
      </c>
      <c r="C5837" s="1" t="s">
        <v>11</v>
      </c>
      <c r="D5837" s="5">
        <v>45229.0</v>
      </c>
      <c r="G5837" s="1">
        <f>VLOOKUP(B5837,'old-aw-skill-plan'!A:I,7,FALSE)</f>
        <v>4</v>
      </c>
      <c r="H5837" s="1" t="str">
        <f>VLOOKUP(B5837,'old-aw-skill-plan'!A:I,9,FALSE)</f>
        <v>4-1</v>
      </c>
    </row>
    <row r="5838" ht="15.75" customHeight="1">
      <c r="A5838" s="1" t="s">
        <v>480</v>
      </c>
      <c r="B5838" s="1" t="s">
        <v>10</v>
      </c>
      <c r="C5838" s="1" t="s">
        <v>11</v>
      </c>
      <c r="D5838" s="5">
        <v>45229.0</v>
      </c>
      <c r="G5838" s="1">
        <f>VLOOKUP(B5838,'old-aw-skill-plan'!A:I,7,FALSE)</f>
        <v>3</v>
      </c>
      <c r="H5838" s="1" t="str">
        <f>VLOOKUP(B5838,'old-aw-skill-plan'!A:I,9,FALSE)</f>
        <v>3-1</v>
      </c>
    </row>
    <row r="5839" ht="15.75" customHeight="1">
      <c r="A5839" s="1" t="s">
        <v>273</v>
      </c>
      <c r="B5839" s="1" t="s">
        <v>47</v>
      </c>
      <c r="C5839" s="1" t="s">
        <v>11</v>
      </c>
      <c r="D5839" s="5">
        <v>45229.0</v>
      </c>
      <c r="G5839" s="1">
        <f>VLOOKUP(B5839,'old-aw-skill-plan'!A:I,7,FALSE)</f>
        <v>3</v>
      </c>
      <c r="H5839" s="1" t="str">
        <f>VLOOKUP(B5839,'old-aw-skill-plan'!A:I,9,FALSE)</f>
        <v>3-2</v>
      </c>
    </row>
    <row r="5840" ht="15.75" customHeight="1">
      <c r="A5840" s="1" t="s">
        <v>460</v>
      </c>
      <c r="B5840" s="1" t="s">
        <v>44</v>
      </c>
      <c r="C5840" s="1" t="s">
        <v>11</v>
      </c>
      <c r="D5840" s="5">
        <v>45229.0</v>
      </c>
      <c r="G5840" s="1">
        <f>VLOOKUP(B5840,'old-aw-skill-plan'!A:I,7,FALSE)</f>
        <v>5</v>
      </c>
      <c r="H5840" s="1" t="str">
        <f>VLOOKUP(B5840,'old-aw-skill-plan'!A:I,9,FALSE)</f>
        <v>5-1</v>
      </c>
    </row>
    <row r="5841" ht="15.75" customHeight="1">
      <c r="A5841" s="1" t="s">
        <v>39</v>
      </c>
      <c r="B5841" s="1" t="s">
        <v>34</v>
      </c>
      <c r="C5841" s="1" t="s">
        <v>11</v>
      </c>
      <c r="D5841" s="5">
        <v>45229.0</v>
      </c>
      <c r="G5841" s="1">
        <f>VLOOKUP(B5841,'old-aw-skill-plan'!A:I,7,FALSE)</f>
        <v>4</v>
      </c>
      <c r="H5841" s="1" t="str">
        <f>VLOOKUP(B5841,'old-aw-skill-plan'!A:I,9,FALSE)</f>
        <v>4-1</v>
      </c>
    </row>
    <row r="5842" ht="15.75" customHeight="1">
      <c r="A5842" s="1" t="s">
        <v>469</v>
      </c>
      <c r="B5842" s="1" t="s">
        <v>34</v>
      </c>
      <c r="C5842" s="1" t="s">
        <v>11</v>
      </c>
      <c r="D5842" s="5">
        <v>45229.0</v>
      </c>
      <c r="G5842" s="1">
        <f>VLOOKUP(B5842,'old-aw-skill-plan'!A:I,7,FALSE)</f>
        <v>4</v>
      </c>
      <c r="H5842" s="1" t="str">
        <f>VLOOKUP(B5842,'old-aw-skill-plan'!A:I,9,FALSE)</f>
        <v>4-1</v>
      </c>
    </row>
    <row r="5843" ht="15.75" customHeight="1">
      <c r="A5843" s="1" t="s">
        <v>220</v>
      </c>
      <c r="B5843" s="1" t="s">
        <v>383</v>
      </c>
      <c r="C5843" s="1" t="s">
        <v>11</v>
      </c>
      <c r="D5843" s="5">
        <v>45229.0</v>
      </c>
      <c r="G5843" s="1">
        <f>VLOOKUP(B5843,'old-aw-skill-plan'!A:I,7,FALSE)</f>
        <v>3</v>
      </c>
      <c r="H5843" s="1" t="str">
        <f>VLOOKUP(B5843,'old-aw-skill-plan'!A:I,9,FALSE)</f>
        <v>3-3</v>
      </c>
    </row>
    <row r="5844" ht="15.75" customHeight="1">
      <c r="A5844" s="1" t="s">
        <v>237</v>
      </c>
      <c r="B5844" s="1" t="s">
        <v>47</v>
      </c>
      <c r="C5844" s="1" t="s">
        <v>11</v>
      </c>
      <c r="D5844" s="5">
        <v>45229.0</v>
      </c>
      <c r="G5844" s="1">
        <f>VLOOKUP(B5844,'old-aw-skill-plan'!A:I,7,FALSE)</f>
        <v>3</v>
      </c>
      <c r="H5844" s="1" t="str">
        <f>VLOOKUP(B5844,'old-aw-skill-plan'!A:I,9,FALSE)</f>
        <v>3-2</v>
      </c>
    </row>
    <row r="5845" ht="15.75" customHeight="1">
      <c r="A5845" s="1" t="s">
        <v>267</v>
      </c>
      <c r="B5845" s="1" t="s">
        <v>44</v>
      </c>
      <c r="C5845" s="1" t="s">
        <v>11</v>
      </c>
      <c r="D5845" s="5">
        <v>45229.0</v>
      </c>
      <c r="G5845" s="1">
        <f>VLOOKUP(B5845,'old-aw-skill-plan'!A:I,7,FALSE)</f>
        <v>5</v>
      </c>
      <c r="H5845" s="1" t="str">
        <f>VLOOKUP(B5845,'old-aw-skill-plan'!A:I,9,FALSE)</f>
        <v>5-1</v>
      </c>
    </row>
    <row r="5846" ht="15.75" customHeight="1">
      <c r="A5846" s="1" t="s">
        <v>419</v>
      </c>
      <c r="B5846" s="1" t="s">
        <v>47</v>
      </c>
      <c r="C5846" s="1" t="s">
        <v>11</v>
      </c>
      <c r="D5846" s="5">
        <v>45229.0</v>
      </c>
      <c r="G5846" s="1">
        <f>VLOOKUP(B5846,'old-aw-skill-plan'!A:I,7,FALSE)</f>
        <v>3</v>
      </c>
      <c r="H5846" s="1" t="str">
        <f>VLOOKUP(B5846,'old-aw-skill-plan'!A:I,9,FALSE)</f>
        <v>3-2</v>
      </c>
    </row>
    <row r="5847" ht="15.75" customHeight="1">
      <c r="A5847" s="1" t="s">
        <v>459</v>
      </c>
      <c r="B5847" s="1" t="s">
        <v>30</v>
      </c>
      <c r="C5847" s="1" t="s">
        <v>11</v>
      </c>
      <c r="D5847" s="5">
        <v>45229.0</v>
      </c>
      <c r="G5847" s="1">
        <f>VLOOKUP(B5847,'old-aw-skill-plan'!A:I,7,FALSE)</f>
        <v>3</v>
      </c>
      <c r="H5847" s="1" t="str">
        <f>VLOOKUP(B5847,'old-aw-skill-plan'!A:I,9,FALSE)</f>
        <v>3-3</v>
      </c>
    </row>
    <row r="5848" ht="15.75" customHeight="1">
      <c r="A5848" s="1" t="s">
        <v>459</v>
      </c>
      <c r="B5848" s="1" t="s">
        <v>307</v>
      </c>
      <c r="C5848" s="1" t="s">
        <v>11</v>
      </c>
      <c r="D5848" s="5">
        <v>45229.0</v>
      </c>
      <c r="G5848" s="1">
        <f>VLOOKUP(B5848,'old-aw-skill-plan'!A:I,7,FALSE)</f>
        <v>3</v>
      </c>
      <c r="H5848" s="1" t="str">
        <f>VLOOKUP(B5848,'old-aw-skill-plan'!A:I,9,FALSE)</f>
        <v>3-1</v>
      </c>
    </row>
    <row r="5849" ht="15.75" customHeight="1">
      <c r="A5849" s="1" t="s">
        <v>459</v>
      </c>
      <c r="B5849" s="1" t="s">
        <v>383</v>
      </c>
      <c r="C5849" s="1" t="s">
        <v>11</v>
      </c>
      <c r="D5849" s="5">
        <v>45229.0</v>
      </c>
      <c r="G5849" s="1">
        <f>VLOOKUP(B5849,'old-aw-skill-plan'!A:I,7,FALSE)</f>
        <v>3</v>
      </c>
      <c r="H5849" s="1" t="str">
        <f>VLOOKUP(B5849,'old-aw-skill-plan'!A:I,9,FALSE)</f>
        <v>3-3</v>
      </c>
    </row>
    <row r="5850" ht="15.75" customHeight="1">
      <c r="A5850" s="1" t="s">
        <v>459</v>
      </c>
      <c r="B5850" s="1" t="s">
        <v>356</v>
      </c>
      <c r="C5850" s="1" t="s">
        <v>11</v>
      </c>
      <c r="D5850" s="5">
        <v>45229.0</v>
      </c>
      <c r="G5850" s="1">
        <f>VLOOKUP(B5850,'old-aw-skill-plan'!A:I,7,FALSE)</f>
        <v>3</v>
      </c>
      <c r="H5850" s="1" t="str">
        <f>VLOOKUP(B5850,'old-aw-skill-plan'!A:I,9,FALSE)</f>
        <v>3-2</v>
      </c>
    </row>
    <row r="5851" ht="15.75" customHeight="1">
      <c r="A5851" s="1" t="s">
        <v>459</v>
      </c>
      <c r="B5851" s="1" t="s">
        <v>377</v>
      </c>
      <c r="C5851" s="1" t="s">
        <v>11</v>
      </c>
      <c r="D5851" s="5">
        <v>45229.0</v>
      </c>
      <c r="G5851" s="1">
        <f>VLOOKUP(B5851,'old-aw-skill-plan'!A:I,7,FALSE)</f>
        <v>3</v>
      </c>
      <c r="H5851" s="1" t="str">
        <f>VLOOKUP(B5851,'old-aw-skill-plan'!A:I,9,FALSE)</f>
        <v>3-3</v>
      </c>
    </row>
    <row r="5852" ht="15.75" customHeight="1">
      <c r="A5852" s="1" t="s">
        <v>238</v>
      </c>
      <c r="B5852" s="1" t="s">
        <v>30</v>
      </c>
      <c r="C5852" s="1" t="s">
        <v>11</v>
      </c>
      <c r="D5852" s="5">
        <v>45229.0</v>
      </c>
      <c r="G5852" s="1">
        <f>VLOOKUP(B5852,'old-aw-skill-plan'!A:I,7,FALSE)</f>
        <v>3</v>
      </c>
      <c r="H5852" s="1" t="str">
        <f>VLOOKUP(B5852,'old-aw-skill-plan'!A:I,9,FALSE)</f>
        <v>3-3</v>
      </c>
    </row>
    <row r="5853" ht="15.75" customHeight="1">
      <c r="A5853" s="1" t="s">
        <v>238</v>
      </c>
      <c r="B5853" s="1" t="s">
        <v>377</v>
      </c>
      <c r="C5853" s="1" t="s">
        <v>11</v>
      </c>
      <c r="D5853" s="5">
        <v>45229.0</v>
      </c>
      <c r="G5853" s="1">
        <f>VLOOKUP(B5853,'old-aw-skill-plan'!A:I,7,FALSE)</f>
        <v>3</v>
      </c>
      <c r="H5853" s="1" t="str">
        <f>VLOOKUP(B5853,'old-aw-skill-plan'!A:I,9,FALSE)</f>
        <v>3-3</v>
      </c>
    </row>
    <row r="5854" ht="15.75" customHeight="1">
      <c r="A5854" s="1" t="s">
        <v>238</v>
      </c>
      <c r="B5854" s="1" t="s">
        <v>97</v>
      </c>
      <c r="C5854" s="1" t="s">
        <v>11</v>
      </c>
      <c r="D5854" s="5">
        <v>45229.0</v>
      </c>
      <c r="G5854" s="1">
        <f>VLOOKUP(B5854,'old-aw-skill-plan'!A:I,7,FALSE)</f>
        <v>4</v>
      </c>
      <c r="H5854" s="1" t="str">
        <f>VLOOKUP(B5854,'old-aw-skill-plan'!A:I,9,FALSE)</f>
        <v>4-3</v>
      </c>
    </row>
    <row r="5855" ht="15.75" customHeight="1">
      <c r="A5855" s="1" t="s">
        <v>238</v>
      </c>
      <c r="B5855" s="1" t="s">
        <v>37</v>
      </c>
      <c r="C5855" s="1" t="s">
        <v>11</v>
      </c>
      <c r="D5855" s="5">
        <v>45229.0</v>
      </c>
      <c r="G5855" s="1">
        <f>VLOOKUP(B5855,'old-aw-skill-plan'!A:I,7,FALSE)</f>
        <v>4</v>
      </c>
      <c r="H5855" s="1" t="str">
        <f>VLOOKUP(B5855,'old-aw-skill-plan'!A:I,9,FALSE)</f>
        <v>4-2</v>
      </c>
    </row>
    <row r="5856" ht="15.75" customHeight="1">
      <c r="A5856" s="1" t="s">
        <v>56</v>
      </c>
      <c r="B5856" s="1" t="s">
        <v>10</v>
      </c>
      <c r="C5856" s="1" t="s">
        <v>11</v>
      </c>
      <c r="D5856" s="5">
        <v>45229.0</v>
      </c>
      <c r="G5856" s="1">
        <f>VLOOKUP(B5856,'old-aw-skill-plan'!A:I,7,FALSE)</f>
        <v>3</v>
      </c>
      <c r="H5856" s="1" t="str">
        <f>VLOOKUP(B5856,'old-aw-skill-plan'!A:I,9,FALSE)</f>
        <v>3-1</v>
      </c>
    </row>
    <row r="5857" ht="15.75" customHeight="1">
      <c r="A5857" s="1" t="s">
        <v>481</v>
      </c>
      <c r="B5857" s="1" t="s">
        <v>44</v>
      </c>
      <c r="C5857" s="1" t="s">
        <v>11</v>
      </c>
      <c r="D5857" s="5">
        <v>45229.0</v>
      </c>
      <c r="G5857" s="1">
        <f>VLOOKUP(B5857,'old-aw-skill-plan'!A:I,7,FALSE)</f>
        <v>5</v>
      </c>
      <c r="H5857" s="1" t="str">
        <f>VLOOKUP(B5857,'old-aw-skill-plan'!A:I,9,FALSE)</f>
        <v>5-1</v>
      </c>
    </row>
    <row r="5858" ht="15.75" customHeight="1">
      <c r="A5858" s="1" t="s">
        <v>81</v>
      </c>
      <c r="B5858" s="1" t="s">
        <v>34</v>
      </c>
      <c r="C5858" s="1" t="s">
        <v>11</v>
      </c>
      <c r="D5858" s="5">
        <v>45229.0</v>
      </c>
      <c r="G5858" s="1">
        <f>VLOOKUP(B5858,'old-aw-skill-plan'!A:I,7,FALSE)</f>
        <v>4</v>
      </c>
      <c r="H5858" s="1" t="str">
        <f>VLOOKUP(B5858,'old-aw-skill-plan'!A:I,9,FALSE)</f>
        <v>4-1</v>
      </c>
    </row>
    <row r="5859" ht="15.75" customHeight="1">
      <c r="A5859" s="1" t="s">
        <v>429</v>
      </c>
      <c r="B5859" s="1" t="s">
        <v>34</v>
      </c>
      <c r="C5859" s="1" t="s">
        <v>11</v>
      </c>
      <c r="D5859" s="5">
        <v>45229.0</v>
      </c>
      <c r="G5859" s="1">
        <f>VLOOKUP(B5859,'old-aw-skill-plan'!A:I,7,FALSE)</f>
        <v>4</v>
      </c>
      <c r="H5859" s="1" t="str">
        <f>VLOOKUP(B5859,'old-aw-skill-plan'!A:I,9,FALSE)</f>
        <v>4-1</v>
      </c>
    </row>
    <row r="5860" ht="15.75" customHeight="1">
      <c r="A5860" s="1" t="s">
        <v>421</v>
      </c>
      <c r="B5860" s="1" t="s">
        <v>47</v>
      </c>
      <c r="C5860" s="1" t="s">
        <v>11</v>
      </c>
      <c r="D5860" s="5">
        <v>45229.0</v>
      </c>
      <c r="G5860" s="1">
        <f>VLOOKUP(B5860,'old-aw-skill-plan'!A:I,7,FALSE)</f>
        <v>3</v>
      </c>
      <c r="H5860" s="1" t="str">
        <f>VLOOKUP(B5860,'old-aw-skill-plan'!A:I,9,FALSE)</f>
        <v>3-2</v>
      </c>
    </row>
    <row r="5861" ht="15.75" customHeight="1">
      <c r="A5861" s="1" t="s">
        <v>60</v>
      </c>
      <c r="B5861" s="1" t="s">
        <v>34</v>
      </c>
      <c r="C5861" s="1" t="s">
        <v>11</v>
      </c>
      <c r="D5861" s="5">
        <v>45229.0</v>
      </c>
      <c r="G5861" s="1">
        <f>VLOOKUP(B5861,'old-aw-skill-plan'!A:I,7,FALSE)</f>
        <v>4</v>
      </c>
      <c r="H5861" s="1" t="str">
        <f>VLOOKUP(B5861,'old-aw-skill-plan'!A:I,9,FALSE)</f>
        <v>4-1</v>
      </c>
    </row>
    <row r="5862" ht="15.75" customHeight="1">
      <c r="A5862" s="1" t="s">
        <v>428</v>
      </c>
      <c r="B5862" s="1" t="s">
        <v>34</v>
      </c>
      <c r="C5862" s="1" t="s">
        <v>11</v>
      </c>
      <c r="D5862" s="5">
        <v>45229.0</v>
      </c>
      <c r="G5862" s="1">
        <f>VLOOKUP(B5862,'old-aw-skill-plan'!A:I,7,FALSE)</f>
        <v>4</v>
      </c>
      <c r="H5862" s="1" t="str">
        <f>VLOOKUP(B5862,'old-aw-skill-plan'!A:I,9,FALSE)</f>
        <v>4-1</v>
      </c>
    </row>
    <row r="5863" ht="15.75" customHeight="1">
      <c r="A5863" s="1" t="s">
        <v>420</v>
      </c>
      <c r="B5863" s="1" t="s">
        <v>307</v>
      </c>
      <c r="C5863" s="1" t="s">
        <v>11</v>
      </c>
      <c r="D5863" s="5">
        <v>45229.0</v>
      </c>
      <c r="G5863" s="1">
        <f>VLOOKUP(B5863,'old-aw-skill-plan'!A:I,7,FALSE)</f>
        <v>3</v>
      </c>
      <c r="H5863" s="1" t="str">
        <f>VLOOKUP(B5863,'old-aw-skill-plan'!A:I,9,FALSE)</f>
        <v>3-1</v>
      </c>
    </row>
    <row r="5864" ht="15.75" customHeight="1">
      <c r="A5864" s="1" t="s">
        <v>65</v>
      </c>
      <c r="B5864" s="1" t="s">
        <v>34</v>
      </c>
      <c r="C5864" s="1" t="s">
        <v>11</v>
      </c>
      <c r="D5864" s="5">
        <v>45229.0</v>
      </c>
      <c r="G5864" s="1">
        <f>VLOOKUP(B5864,'old-aw-skill-plan'!A:I,7,FALSE)</f>
        <v>4</v>
      </c>
      <c r="H5864" s="1" t="str">
        <f>VLOOKUP(B5864,'old-aw-skill-plan'!A:I,9,FALSE)</f>
        <v>4-1</v>
      </c>
    </row>
    <row r="5865" ht="15.75" customHeight="1">
      <c r="A5865" s="1" t="s">
        <v>275</v>
      </c>
      <c r="B5865" s="1" t="s">
        <v>47</v>
      </c>
      <c r="C5865" s="1" t="s">
        <v>11</v>
      </c>
      <c r="D5865" s="5">
        <v>45229.0</v>
      </c>
      <c r="G5865" s="1">
        <f>VLOOKUP(B5865,'old-aw-skill-plan'!A:I,7,FALSE)</f>
        <v>3</v>
      </c>
      <c r="H5865" s="1" t="str">
        <f>VLOOKUP(B5865,'old-aw-skill-plan'!A:I,9,FALSE)</f>
        <v>3-2</v>
      </c>
    </row>
    <row r="5866" ht="15.75" customHeight="1">
      <c r="A5866" s="1" t="s">
        <v>276</v>
      </c>
      <c r="B5866" s="1" t="s">
        <v>104</v>
      </c>
      <c r="C5866" s="1" t="s">
        <v>11</v>
      </c>
      <c r="D5866" s="5">
        <v>45229.0</v>
      </c>
      <c r="G5866" s="1">
        <f>VLOOKUP(B5866,'old-aw-skill-plan'!A:I,7,FALSE)</f>
        <v>5</v>
      </c>
      <c r="H5866" s="1" t="str">
        <f>VLOOKUP(B5866,'old-aw-skill-plan'!A:I,9,FALSE)</f>
        <v>5-2</v>
      </c>
    </row>
    <row r="5867" ht="15.75" customHeight="1">
      <c r="A5867" s="1" t="s">
        <v>203</v>
      </c>
      <c r="B5867" s="1" t="s">
        <v>44</v>
      </c>
      <c r="C5867" s="1" t="s">
        <v>11</v>
      </c>
      <c r="D5867" s="5">
        <v>45229.0</v>
      </c>
      <c r="G5867" s="1">
        <f>VLOOKUP(B5867,'old-aw-skill-plan'!A:I,7,FALSE)</f>
        <v>5</v>
      </c>
      <c r="H5867" s="1" t="str">
        <f>VLOOKUP(B5867,'old-aw-skill-plan'!A:I,9,FALSE)</f>
        <v>5-1</v>
      </c>
    </row>
    <row r="5868" ht="15.75" customHeight="1">
      <c r="A5868" s="1" t="s">
        <v>461</v>
      </c>
      <c r="B5868" s="1" t="s">
        <v>44</v>
      </c>
      <c r="C5868" s="1" t="s">
        <v>11</v>
      </c>
      <c r="D5868" s="5">
        <v>45229.0</v>
      </c>
      <c r="G5868" s="1">
        <f>VLOOKUP(B5868,'old-aw-skill-plan'!A:I,7,FALSE)</f>
        <v>5</v>
      </c>
      <c r="H5868" s="1" t="str">
        <f>VLOOKUP(B5868,'old-aw-skill-plan'!A:I,9,FALSE)</f>
        <v>5-1</v>
      </c>
    </row>
    <row r="5869" ht="15.75" customHeight="1">
      <c r="A5869" s="1" t="s">
        <v>95</v>
      </c>
      <c r="B5869" s="1" t="s">
        <v>10</v>
      </c>
      <c r="C5869" s="1" t="s">
        <v>11</v>
      </c>
      <c r="D5869" s="5">
        <v>45229.0</v>
      </c>
      <c r="G5869" s="1">
        <f>VLOOKUP(B5869,'old-aw-skill-plan'!A:I,7,FALSE)</f>
        <v>3</v>
      </c>
      <c r="H5869" s="1" t="str">
        <f>VLOOKUP(B5869,'old-aw-skill-plan'!A:I,9,FALSE)</f>
        <v>3-1</v>
      </c>
    </row>
    <row r="5870" ht="15.75" customHeight="1">
      <c r="A5870" s="1" t="s">
        <v>422</v>
      </c>
      <c r="B5870" s="1" t="s">
        <v>34</v>
      </c>
      <c r="C5870" s="1" t="s">
        <v>11</v>
      </c>
      <c r="D5870" s="5">
        <v>45229.0</v>
      </c>
      <c r="G5870" s="1">
        <f>VLOOKUP(B5870,'old-aw-skill-plan'!A:I,7,FALSE)</f>
        <v>4</v>
      </c>
      <c r="H5870" s="1" t="str">
        <f>VLOOKUP(B5870,'old-aw-skill-plan'!A:I,9,FALSE)</f>
        <v>4-1</v>
      </c>
    </row>
    <row r="5871" ht="15.75" customHeight="1">
      <c r="A5871" s="1" t="s">
        <v>197</v>
      </c>
      <c r="B5871" s="1" t="s">
        <v>34</v>
      </c>
      <c r="C5871" s="1" t="s">
        <v>11</v>
      </c>
      <c r="D5871" s="5">
        <v>45229.0</v>
      </c>
      <c r="G5871" s="1">
        <f>VLOOKUP(B5871,'old-aw-skill-plan'!A:I,7,FALSE)</f>
        <v>4</v>
      </c>
      <c r="H5871" s="1" t="str">
        <f>VLOOKUP(B5871,'old-aw-skill-plan'!A:I,9,FALSE)</f>
        <v>4-1</v>
      </c>
    </row>
    <row r="5872" ht="15.75" customHeight="1">
      <c r="A5872" s="1" t="s">
        <v>209</v>
      </c>
      <c r="B5872" s="1" t="s">
        <v>44</v>
      </c>
      <c r="C5872" s="1" t="s">
        <v>11</v>
      </c>
      <c r="D5872" s="5">
        <v>45229.0</v>
      </c>
      <c r="G5872" s="1">
        <f>VLOOKUP(B5872,'old-aw-skill-plan'!A:I,7,FALSE)</f>
        <v>5</v>
      </c>
      <c r="H5872" s="1" t="str">
        <f>VLOOKUP(B5872,'old-aw-skill-plan'!A:I,9,FALSE)</f>
        <v>5-1</v>
      </c>
    </row>
    <row r="5873" ht="15.75" customHeight="1">
      <c r="A5873" s="1" t="s">
        <v>373</v>
      </c>
      <c r="B5873" s="1" t="s">
        <v>10</v>
      </c>
      <c r="C5873" s="1" t="s">
        <v>11</v>
      </c>
      <c r="D5873" s="5">
        <v>45229.0</v>
      </c>
      <c r="G5873" s="1">
        <f>VLOOKUP(B5873,'old-aw-skill-plan'!A:I,7,FALSE)</f>
        <v>3</v>
      </c>
      <c r="H5873" s="1" t="str">
        <f>VLOOKUP(B5873,'old-aw-skill-plan'!A:I,9,FALSE)</f>
        <v>3-1</v>
      </c>
    </row>
    <row r="5874" ht="15.75" customHeight="1">
      <c r="A5874" s="1" t="s">
        <v>462</v>
      </c>
      <c r="B5874" s="1" t="s">
        <v>44</v>
      </c>
      <c r="C5874" s="1" t="s">
        <v>11</v>
      </c>
      <c r="D5874" s="5">
        <v>45229.0</v>
      </c>
      <c r="G5874" s="1">
        <f>VLOOKUP(B5874,'old-aw-skill-plan'!A:I,7,FALSE)</f>
        <v>5</v>
      </c>
      <c r="H5874" s="1" t="str">
        <f>VLOOKUP(B5874,'old-aw-skill-plan'!A:I,9,FALSE)</f>
        <v>5-1</v>
      </c>
    </row>
    <row r="5875" ht="15.75" customHeight="1">
      <c r="A5875" s="1" t="s">
        <v>74</v>
      </c>
      <c r="B5875" s="1" t="s">
        <v>44</v>
      </c>
      <c r="C5875" s="1" t="s">
        <v>11</v>
      </c>
      <c r="D5875" s="5">
        <v>45229.0</v>
      </c>
      <c r="G5875" s="1">
        <f>VLOOKUP(B5875,'old-aw-skill-plan'!A:I,7,FALSE)</f>
        <v>5</v>
      </c>
      <c r="H5875" s="1" t="str">
        <f>VLOOKUP(B5875,'old-aw-skill-plan'!A:I,9,FALSE)</f>
        <v>5-1</v>
      </c>
    </row>
    <row r="5876" ht="15.75" customHeight="1">
      <c r="A5876" s="1" t="s">
        <v>181</v>
      </c>
      <c r="B5876" s="1" t="s">
        <v>307</v>
      </c>
      <c r="C5876" s="1" t="s">
        <v>11</v>
      </c>
      <c r="D5876" s="5">
        <v>45229.0</v>
      </c>
      <c r="G5876" s="1">
        <f>VLOOKUP(B5876,'old-aw-skill-plan'!A:I,7,FALSE)</f>
        <v>3</v>
      </c>
      <c r="H5876" s="1" t="str">
        <f>VLOOKUP(B5876,'old-aw-skill-plan'!A:I,9,FALSE)</f>
        <v>3-1</v>
      </c>
    </row>
    <row r="5877" ht="15.75" customHeight="1">
      <c r="A5877" s="1" t="s">
        <v>181</v>
      </c>
      <c r="B5877" s="1" t="s">
        <v>383</v>
      </c>
      <c r="C5877" s="1" t="s">
        <v>11</v>
      </c>
      <c r="D5877" s="5">
        <v>45229.0</v>
      </c>
      <c r="G5877" s="1">
        <f>VLOOKUP(B5877,'old-aw-skill-plan'!A:I,7,FALSE)</f>
        <v>3</v>
      </c>
      <c r="H5877" s="1" t="str">
        <f>VLOOKUP(B5877,'old-aw-skill-plan'!A:I,9,FALSE)</f>
        <v>3-3</v>
      </c>
    </row>
    <row r="5878" ht="15.75" customHeight="1">
      <c r="A5878" s="1" t="s">
        <v>269</v>
      </c>
      <c r="B5878" s="1" t="s">
        <v>47</v>
      </c>
      <c r="C5878" s="1" t="s">
        <v>11</v>
      </c>
      <c r="D5878" s="5">
        <v>45229.0</v>
      </c>
      <c r="G5878" s="1">
        <f>VLOOKUP(B5878,'old-aw-skill-plan'!A:I,7,FALSE)</f>
        <v>3</v>
      </c>
      <c r="H5878" s="1" t="str">
        <f>VLOOKUP(B5878,'old-aw-skill-plan'!A:I,9,FALSE)</f>
        <v>3-2</v>
      </c>
    </row>
    <row r="5879" ht="15.75" customHeight="1">
      <c r="A5879" s="1" t="s">
        <v>235</v>
      </c>
      <c r="B5879" s="1" t="s">
        <v>44</v>
      </c>
      <c r="C5879" s="1" t="s">
        <v>11</v>
      </c>
      <c r="D5879" s="5">
        <v>45229.0</v>
      </c>
      <c r="G5879" s="1">
        <f>VLOOKUP(B5879,'old-aw-skill-plan'!A:I,7,FALSE)</f>
        <v>5</v>
      </c>
      <c r="H5879" s="1" t="str">
        <f>VLOOKUP(B5879,'old-aw-skill-plan'!A:I,9,FALSE)</f>
        <v>5-1</v>
      </c>
    </row>
    <row r="5880" ht="15.75" customHeight="1">
      <c r="A5880" s="1" t="s">
        <v>226</v>
      </c>
      <c r="B5880" s="1" t="s">
        <v>10</v>
      </c>
      <c r="C5880" s="1" t="s">
        <v>11</v>
      </c>
      <c r="D5880" s="5">
        <v>45229.0</v>
      </c>
      <c r="G5880" s="1">
        <f>VLOOKUP(B5880,'old-aw-skill-plan'!A:I,7,FALSE)</f>
        <v>3</v>
      </c>
      <c r="H5880" s="1" t="str">
        <f>VLOOKUP(B5880,'old-aw-skill-plan'!A:I,9,FALSE)</f>
        <v>3-1</v>
      </c>
    </row>
    <row r="5881" ht="15.75" customHeight="1">
      <c r="A5881" s="1" t="s">
        <v>265</v>
      </c>
      <c r="B5881" s="1" t="s">
        <v>44</v>
      </c>
      <c r="C5881" s="1" t="s">
        <v>11</v>
      </c>
      <c r="D5881" s="5">
        <v>45229.0</v>
      </c>
      <c r="G5881" s="1">
        <f>VLOOKUP(B5881,'old-aw-skill-plan'!A:I,7,FALSE)</f>
        <v>5</v>
      </c>
      <c r="H5881" s="1" t="str">
        <f>VLOOKUP(B5881,'old-aw-skill-plan'!A:I,9,FALSE)</f>
        <v>5-1</v>
      </c>
    </row>
    <row r="5882" ht="15.75" customHeight="1">
      <c r="A5882" s="1" t="s">
        <v>102</v>
      </c>
      <c r="B5882" s="1" t="s">
        <v>30</v>
      </c>
      <c r="C5882" s="1" t="s">
        <v>11</v>
      </c>
      <c r="D5882" s="5">
        <v>45229.0</v>
      </c>
      <c r="G5882" s="1">
        <f>VLOOKUP(B5882,'old-aw-skill-plan'!A:I,7,FALSE)</f>
        <v>3</v>
      </c>
      <c r="H5882" s="1" t="str">
        <f>VLOOKUP(B5882,'old-aw-skill-plan'!A:I,9,FALSE)</f>
        <v>3-3</v>
      </c>
    </row>
    <row r="5883" ht="15.75" customHeight="1">
      <c r="A5883" s="1" t="s">
        <v>463</v>
      </c>
      <c r="B5883" s="1" t="s">
        <v>44</v>
      </c>
      <c r="C5883" s="1" t="s">
        <v>11</v>
      </c>
      <c r="D5883" s="5">
        <v>45229.0</v>
      </c>
      <c r="G5883" s="1">
        <f>VLOOKUP(B5883,'old-aw-skill-plan'!A:I,7,FALSE)</f>
        <v>5</v>
      </c>
      <c r="H5883" s="1" t="str">
        <f>VLOOKUP(B5883,'old-aw-skill-plan'!A:I,9,FALSE)</f>
        <v>5-1</v>
      </c>
    </row>
    <row r="5884" ht="15.75" customHeight="1">
      <c r="A5884" s="1" t="s">
        <v>463</v>
      </c>
      <c r="B5884" s="1" t="s">
        <v>104</v>
      </c>
      <c r="C5884" s="1" t="s">
        <v>11</v>
      </c>
      <c r="D5884" s="5">
        <v>45229.0</v>
      </c>
      <c r="G5884" s="1">
        <f>VLOOKUP(B5884,'old-aw-skill-plan'!A:I,7,FALSE)</f>
        <v>5</v>
      </c>
      <c r="H5884" s="1" t="str">
        <f>VLOOKUP(B5884,'old-aw-skill-plan'!A:I,9,FALSE)</f>
        <v>5-2</v>
      </c>
    </row>
    <row r="5885" ht="15.75" customHeight="1">
      <c r="A5885" s="1" t="s">
        <v>93</v>
      </c>
      <c r="B5885" s="1" t="s">
        <v>30</v>
      </c>
      <c r="C5885" s="1" t="s">
        <v>11</v>
      </c>
      <c r="D5885" s="5">
        <v>45229.0</v>
      </c>
      <c r="G5885" s="1">
        <f>VLOOKUP(B5885,'old-aw-skill-plan'!A:I,7,FALSE)</f>
        <v>3</v>
      </c>
      <c r="H5885" s="1" t="str">
        <f>VLOOKUP(B5885,'old-aw-skill-plan'!A:I,9,FALSE)</f>
        <v>3-3</v>
      </c>
    </row>
    <row r="5886" ht="15.75" customHeight="1">
      <c r="A5886" s="1" t="s">
        <v>94</v>
      </c>
      <c r="B5886" s="1" t="s">
        <v>47</v>
      </c>
      <c r="C5886" s="1" t="s">
        <v>11</v>
      </c>
      <c r="D5886" s="5">
        <v>45229.0</v>
      </c>
      <c r="G5886" s="1">
        <f>VLOOKUP(B5886,'old-aw-skill-plan'!A:I,7,FALSE)</f>
        <v>3</v>
      </c>
      <c r="H5886" s="1" t="str">
        <f>VLOOKUP(B5886,'old-aw-skill-plan'!A:I,9,FALSE)</f>
        <v>3-2</v>
      </c>
    </row>
    <row r="5887" ht="15.75" customHeight="1">
      <c r="A5887" s="1" t="s">
        <v>409</v>
      </c>
      <c r="B5887" s="1" t="s">
        <v>10</v>
      </c>
      <c r="C5887" s="1" t="s">
        <v>11</v>
      </c>
      <c r="D5887" s="5">
        <v>45229.0</v>
      </c>
      <c r="G5887" s="1">
        <f>VLOOKUP(B5887,'old-aw-skill-plan'!A:I,7,FALSE)</f>
        <v>3</v>
      </c>
      <c r="H5887" s="1" t="str">
        <f>VLOOKUP(B5887,'old-aw-skill-plan'!A:I,9,FALSE)</f>
        <v>3-1</v>
      </c>
    </row>
    <row r="5888" ht="15.75" customHeight="1">
      <c r="A5888" s="1" t="s">
        <v>225</v>
      </c>
      <c r="B5888" s="1" t="s">
        <v>37</v>
      </c>
      <c r="C5888" s="1" t="s">
        <v>11</v>
      </c>
      <c r="D5888" s="5">
        <v>45229.0</v>
      </c>
      <c r="G5888" s="1">
        <f>VLOOKUP(B5888,'old-aw-skill-plan'!A:I,7,FALSE)</f>
        <v>4</v>
      </c>
      <c r="H5888" s="1" t="str">
        <f>VLOOKUP(B5888,'old-aw-skill-plan'!A:I,9,FALSE)</f>
        <v>4-2</v>
      </c>
    </row>
    <row r="5889" ht="15.75" customHeight="1">
      <c r="A5889" s="1" t="s">
        <v>427</v>
      </c>
      <c r="B5889" s="1" t="s">
        <v>10</v>
      </c>
      <c r="C5889" s="1" t="s">
        <v>11</v>
      </c>
      <c r="D5889" s="5">
        <v>45229.0</v>
      </c>
      <c r="G5889" s="1">
        <f>VLOOKUP(B5889,'old-aw-skill-plan'!A:I,7,FALSE)</f>
        <v>3</v>
      </c>
      <c r="H5889" s="1" t="str">
        <f>VLOOKUP(B5889,'old-aw-skill-plan'!A:I,9,FALSE)</f>
        <v>3-1</v>
      </c>
    </row>
    <row r="5890" ht="15.75" customHeight="1">
      <c r="A5890" s="1" t="s">
        <v>436</v>
      </c>
      <c r="B5890" s="1" t="s">
        <v>10</v>
      </c>
      <c r="C5890" s="1" t="s">
        <v>11</v>
      </c>
      <c r="D5890" s="5">
        <v>45229.0</v>
      </c>
      <c r="G5890" s="1">
        <f>VLOOKUP(B5890,'old-aw-skill-plan'!A:I,7,FALSE)</f>
        <v>3</v>
      </c>
      <c r="H5890" s="1" t="str">
        <f>VLOOKUP(B5890,'old-aw-skill-plan'!A:I,9,FALSE)</f>
        <v>3-1</v>
      </c>
    </row>
    <row r="5891" ht="15.75" customHeight="1">
      <c r="A5891" s="1" t="s">
        <v>110</v>
      </c>
      <c r="B5891" s="1" t="s">
        <v>10</v>
      </c>
      <c r="C5891" s="1" t="s">
        <v>11</v>
      </c>
      <c r="D5891" s="5">
        <v>45229.0</v>
      </c>
      <c r="G5891" s="1">
        <f>VLOOKUP(B5891,'old-aw-skill-plan'!A:I,7,FALSE)</f>
        <v>3</v>
      </c>
      <c r="H5891" s="1" t="str">
        <f>VLOOKUP(B5891,'old-aw-skill-plan'!A:I,9,FALSE)</f>
        <v>3-1</v>
      </c>
    </row>
    <row r="5892" ht="15.75" customHeight="1">
      <c r="A5892" s="1" t="s">
        <v>214</v>
      </c>
      <c r="B5892" s="1" t="s">
        <v>30</v>
      </c>
      <c r="C5892" s="1" t="s">
        <v>11</v>
      </c>
      <c r="D5892" s="5">
        <v>45228.0</v>
      </c>
      <c r="G5892" s="1">
        <f>VLOOKUP(B5892,'old-aw-skill-plan'!A:I,7,FALSE)</f>
        <v>3</v>
      </c>
      <c r="H5892" s="1" t="str">
        <f>VLOOKUP(B5892,'old-aw-skill-plan'!A:I,9,FALSE)</f>
        <v>3-3</v>
      </c>
    </row>
    <row r="5893" ht="15.75" customHeight="1">
      <c r="A5893" s="1" t="s">
        <v>464</v>
      </c>
      <c r="B5893" s="1" t="s">
        <v>44</v>
      </c>
      <c r="C5893" s="1" t="s">
        <v>11</v>
      </c>
      <c r="D5893" s="5">
        <v>45226.0</v>
      </c>
      <c r="G5893" s="1">
        <f>VLOOKUP(B5893,'old-aw-skill-plan'!A:I,7,FALSE)</f>
        <v>5</v>
      </c>
      <c r="H5893" s="1" t="str">
        <f>VLOOKUP(B5893,'old-aw-skill-plan'!A:I,9,FALSE)</f>
        <v>5-1</v>
      </c>
    </row>
    <row r="5894" ht="15.75" customHeight="1">
      <c r="A5894" s="1" t="s">
        <v>266</v>
      </c>
      <c r="B5894" s="1" t="s">
        <v>47</v>
      </c>
      <c r="C5894" s="1" t="s">
        <v>11</v>
      </c>
      <c r="D5894" s="5">
        <v>45226.0</v>
      </c>
      <c r="G5894" s="1">
        <f>VLOOKUP(B5894,'old-aw-skill-plan'!A:I,7,FALSE)</f>
        <v>3</v>
      </c>
      <c r="H5894" s="1" t="str">
        <f>VLOOKUP(B5894,'old-aw-skill-plan'!A:I,9,FALSE)</f>
        <v>3-2</v>
      </c>
    </row>
    <row r="5895" ht="15.75" customHeight="1">
      <c r="A5895" s="1" t="s">
        <v>22</v>
      </c>
      <c r="B5895" s="1" t="s">
        <v>34</v>
      </c>
      <c r="C5895" s="1" t="s">
        <v>11</v>
      </c>
      <c r="D5895" s="5">
        <v>45226.0</v>
      </c>
      <c r="G5895" s="1">
        <f>VLOOKUP(B5895,'old-aw-skill-plan'!A:I,7,FALSE)</f>
        <v>4</v>
      </c>
      <c r="H5895" s="1" t="str">
        <f>VLOOKUP(B5895,'old-aw-skill-plan'!A:I,9,FALSE)</f>
        <v>4-1</v>
      </c>
    </row>
    <row r="5896" ht="15.75" customHeight="1">
      <c r="A5896" s="1" t="s">
        <v>216</v>
      </c>
      <c r="B5896" s="1" t="s">
        <v>34</v>
      </c>
      <c r="C5896" s="1" t="s">
        <v>11</v>
      </c>
      <c r="D5896" s="5">
        <v>45226.0</v>
      </c>
      <c r="G5896" s="1">
        <f>VLOOKUP(B5896,'old-aw-skill-plan'!A:I,7,FALSE)</f>
        <v>4</v>
      </c>
      <c r="H5896" s="1" t="str">
        <f>VLOOKUP(B5896,'old-aw-skill-plan'!A:I,9,FALSE)</f>
        <v>4-1</v>
      </c>
    </row>
    <row r="5897" ht="15.75" customHeight="1">
      <c r="A5897" s="1" t="s">
        <v>35</v>
      </c>
      <c r="B5897" s="1" t="s">
        <v>34</v>
      </c>
      <c r="C5897" s="1" t="s">
        <v>11</v>
      </c>
      <c r="D5897" s="5">
        <v>45226.0</v>
      </c>
      <c r="G5897" s="1">
        <f>VLOOKUP(B5897,'old-aw-skill-plan'!A:I,7,FALSE)</f>
        <v>4</v>
      </c>
      <c r="H5897" s="1" t="str">
        <f>VLOOKUP(B5897,'old-aw-skill-plan'!A:I,9,FALSE)</f>
        <v>4-1</v>
      </c>
    </row>
    <row r="5898" ht="15.75" customHeight="1">
      <c r="A5898" s="1" t="s">
        <v>24</v>
      </c>
      <c r="B5898" s="1" t="s">
        <v>34</v>
      </c>
      <c r="C5898" s="1" t="s">
        <v>11</v>
      </c>
      <c r="D5898" s="5">
        <v>45226.0</v>
      </c>
      <c r="G5898" s="1">
        <f>VLOOKUP(B5898,'old-aw-skill-plan'!A:I,7,FALSE)</f>
        <v>4</v>
      </c>
      <c r="H5898" s="1" t="str">
        <f>VLOOKUP(B5898,'old-aw-skill-plan'!A:I,9,FALSE)</f>
        <v>4-1</v>
      </c>
    </row>
    <row r="5899" ht="15.75" customHeight="1">
      <c r="A5899" s="1" t="s">
        <v>271</v>
      </c>
      <c r="B5899" s="1" t="s">
        <v>34</v>
      </c>
      <c r="C5899" s="1" t="s">
        <v>11</v>
      </c>
      <c r="D5899" s="5">
        <v>45226.0</v>
      </c>
      <c r="G5899" s="1">
        <f>VLOOKUP(B5899,'old-aw-skill-plan'!A:I,7,FALSE)</f>
        <v>4</v>
      </c>
      <c r="H5899" s="1" t="str">
        <f>VLOOKUP(B5899,'old-aw-skill-plan'!A:I,9,FALSE)</f>
        <v>4-1</v>
      </c>
    </row>
    <row r="5900" ht="15.75" customHeight="1">
      <c r="A5900" s="1" t="s">
        <v>434</v>
      </c>
      <c r="B5900" s="1" t="s">
        <v>307</v>
      </c>
      <c r="C5900" s="1" t="s">
        <v>11</v>
      </c>
      <c r="D5900" s="5">
        <v>45226.0</v>
      </c>
      <c r="G5900" s="1">
        <f>VLOOKUP(B5900,'old-aw-skill-plan'!A:I,7,FALSE)</f>
        <v>3</v>
      </c>
      <c r="H5900" s="1" t="str">
        <f>VLOOKUP(B5900,'old-aw-skill-plan'!A:I,9,FALSE)</f>
        <v>3-1</v>
      </c>
    </row>
    <row r="5901" ht="15.75" customHeight="1">
      <c r="A5901" s="1" t="s">
        <v>213</v>
      </c>
      <c r="B5901" s="1" t="s">
        <v>10</v>
      </c>
      <c r="C5901" s="1" t="s">
        <v>11</v>
      </c>
      <c r="D5901" s="5">
        <v>45226.0</v>
      </c>
      <c r="G5901" s="1">
        <f>VLOOKUP(B5901,'old-aw-skill-plan'!A:I,7,FALSE)</f>
        <v>3</v>
      </c>
      <c r="H5901" s="1" t="str">
        <f>VLOOKUP(B5901,'old-aw-skill-plan'!A:I,9,FALSE)</f>
        <v>3-1</v>
      </c>
    </row>
    <row r="5902" ht="15.75" customHeight="1">
      <c r="A5902" s="1" t="s">
        <v>475</v>
      </c>
      <c r="B5902" s="1" t="s">
        <v>37</v>
      </c>
      <c r="C5902" s="1" t="s">
        <v>11</v>
      </c>
      <c r="D5902" s="5">
        <v>45226.0</v>
      </c>
      <c r="G5902" s="1">
        <f>VLOOKUP(B5902,'old-aw-skill-plan'!A:I,7,FALSE)</f>
        <v>4</v>
      </c>
      <c r="H5902" s="1" t="str">
        <f>VLOOKUP(B5902,'old-aw-skill-plan'!A:I,9,FALSE)</f>
        <v>4-2</v>
      </c>
    </row>
    <row r="5903" ht="15.75" customHeight="1">
      <c r="A5903" s="1" t="s">
        <v>199</v>
      </c>
      <c r="B5903" s="1" t="s">
        <v>34</v>
      </c>
      <c r="C5903" s="1" t="s">
        <v>11</v>
      </c>
      <c r="D5903" s="5">
        <v>45226.0</v>
      </c>
      <c r="G5903" s="1">
        <f>VLOOKUP(B5903,'old-aw-skill-plan'!A:I,7,FALSE)</f>
        <v>4</v>
      </c>
      <c r="H5903" s="1" t="str">
        <f>VLOOKUP(B5903,'old-aw-skill-plan'!A:I,9,FALSE)</f>
        <v>4-1</v>
      </c>
    </row>
    <row r="5904" ht="15.75" customHeight="1">
      <c r="A5904" s="1" t="s">
        <v>449</v>
      </c>
      <c r="B5904" s="1" t="s">
        <v>34</v>
      </c>
      <c r="C5904" s="1" t="s">
        <v>11</v>
      </c>
      <c r="D5904" s="5">
        <v>45226.0</v>
      </c>
      <c r="G5904" s="1">
        <f>VLOOKUP(B5904,'old-aw-skill-plan'!A:I,7,FALSE)</f>
        <v>4</v>
      </c>
      <c r="H5904" s="1" t="str">
        <f>VLOOKUP(B5904,'old-aw-skill-plan'!A:I,9,FALSE)</f>
        <v>4-1</v>
      </c>
    </row>
    <row r="5905" ht="15.75" customHeight="1">
      <c r="A5905" s="1" t="s">
        <v>480</v>
      </c>
      <c r="B5905" s="1" t="s">
        <v>10</v>
      </c>
      <c r="C5905" s="1" t="s">
        <v>11</v>
      </c>
      <c r="D5905" s="5">
        <v>45226.0</v>
      </c>
      <c r="G5905" s="1">
        <f>VLOOKUP(B5905,'old-aw-skill-plan'!A:I,7,FALSE)</f>
        <v>3</v>
      </c>
      <c r="H5905" s="1" t="str">
        <f>VLOOKUP(B5905,'old-aw-skill-plan'!A:I,9,FALSE)</f>
        <v>3-1</v>
      </c>
    </row>
    <row r="5906" ht="15.75" customHeight="1">
      <c r="A5906" s="1" t="s">
        <v>460</v>
      </c>
      <c r="B5906" s="1" t="s">
        <v>44</v>
      </c>
      <c r="C5906" s="1" t="s">
        <v>11</v>
      </c>
      <c r="D5906" s="5">
        <v>45226.0</v>
      </c>
      <c r="G5906" s="1">
        <f>VLOOKUP(B5906,'old-aw-skill-plan'!A:I,7,FALSE)</f>
        <v>5</v>
      </c>
      <c r="H5906" s="1" t="str">
        <f>VLOOKUP(B5906,'old-aw-skill-plan'!A:I,9,FALSE)</f>
        <v>5-1</v>
      </c>
    </row>
    <row r="5907" ht="15.75" customHeight="1">
      <c r="A5907" s="1" t="s">
        <v>469</v>
      </c>
      <c r="B5907" s="1" t="s">
        <v>34</v>
      </c>
      <c r="C5907" s="1" t="s">
        <v>11</v>
      </c>
      <c r="D5907" s="5">
        <v>45226.0</v>
      </c>
      <c r="G5907" s="1">
        <f>VLOOKUP(B5907,'old-aw-skill-plan'!A:I,7,FALSE)</f>
        <v>4</v>
      </c>
      <c r="H5907" s="1" t="str">
        <f>VLOOKUP(B5907,'old-aw-skill-plan'!A:I,9,FALSE)</f>
        <v>4-1</v>
      </c>
    </row>
    <row r="5908" ht="15.75" customHeight="1">
      <c r="A5908" s="1" t="s">
        <v>220</v>
      </c>
      <c r="B5908" s="1" t="s">
        <v>30</v>
      </c>
      <c r="C5908" s="1" t="s">
        <v>11</v>
      </c>
      <c r="D5908" s="5">
        <v>45226.0</v>
      </c>
      <c r="G5908" s="1">
        <f>VLOOKUP(B5908,'old-aw-skill-plan'!A:I,7,FALSE)</f>
        <v>3</v>
      </c>
      <c r="H5908" s="1" t="str">
        <f>VLOOKUP(B5908,'old-aw-skill-plan'!A:I,9,FALSE)</f>
        <v>3-3</v>
      </c>
    </row>
    <row r="5909" ht="15.75" customHeight="1">
      <c r="A5909" s="1" t="s">
        <v>220</v>
      </c>
      <c r="B5909" s="1" t="s">
        <v>383</v>
      </c>
      <c r="C5909" s="1" t="s">
        <v>11</v>
      </c>
      <c r="D5909" s="5">
        <v>45226.0</v>
      </c>
      <c r="G5909" s="1">
        <f>VLOOKUP(B5909,'old-aw-skill-plan'!A:I,7,FALSE)</f>
        <v>3</v>
      </c>
      <c r="H5909" s="1" t="str">
        <f>VLOOKUP(B5909,'old-aw-skill-plan'!A:I,9,FALSE)</f>
        <v>3-3</v>
      </c>
    </row>
    <row r="5910" ht="15.75" customHeight="1">
      <c r="A5910" s="1" t="s">
        <v>220</v>
      </c>
      <c r="B5910" s="1" t="s">
        <v>425</v>
      </c>
      <c r="C5910" s="1" t="s">
        <v>11</v>
      </c>
      <c r="D5910" s="5">
        <v>45226.0</v>
      </c>
      <c r="G5910" s="1">
        <f>VLOOKUP(B5910,'old-aw-skill-plan'!A:I,7,FALSE)</f>
        <v>3</v>
      </c>
      <c r="H5910" s="1" t="str">
        <f>VLOOKUP(B5910,'old-aw-skill-plan'!A:I,9,FALSE)</f>
        <v>3-1</v>
      </c>
    </row>
    <row r="5911" ht="15.75" customHeight="1">
      <c r="A5911" s="1" t="s">
        <v>237</v>
      </c>
      <c r="B5911" s="1" t="s">
        <v>307</v>
      </c>
      <c r="C5911" s="1" t="s">
        <v>11</v>
      </c>
      <c r="D5911" s="5">
        <v>45226.0</v>
      </c>
      <c r="G5911" s="1">
        <f>VLOOKUP(B5911,'old-aw-skill-plan'!A:I,7,FALSE)</f>
        <v>3</v>
      </c>
      <c r="H5911" s="1" t="str">
        <f>VLOOKUP(B5911,'old-aw-skill-plan'!A:I,9,FALSE)</f>
        <v>3-1</v>
      </c>
    </row>
    <row r="5912" ht="15.75" customHeight="1">
      <c r="A5912" s="1" t="s">
        <v>465</v>
      </c>
      <c r="B5912" s="1" t="s">
        <v>10</v>
      </c>
      <c r="C5912" s="1" t="s">
        <v>11</v>
      </c>
      <c r="D5912" s="5">
        <v>45226.0</v>
      </c>
      <c r="G5912" s="1">
        <f>VLOOKUP(B5912,'old-aw-skill-plan'!A:I,7,FALSE)</f>
        <v>3</v>
      </c>
      <c r="H5912" s="1" t="str">
        <f>VLOOKUP(B5912,'old-aw-skill-plan'!A:I,9,FALSE)</f>
        <v>3-1</v>
      </c>
    </row>
    <row r="5913" ht="15.75" customHeight="1">
      <c r="A5913" s="1" t="s">
        <v>419</v>
      </c>
      <c r="B5913" s="1" t="s">
        <v>47</v>
      </c>
      <c r="C5913" s="1" t="s">
        <v>11</v>
      </c>
      <c r="D5913" s="5">
        <v>45226.0</v>
      </c>
      <c r="G5913" s="1">
        <f>VLOOKUP(B5913,'old-aw-skill-plan'!A:I,7,FALSE)</f>
        <v>3</v>
      </c>
      <c r="H5913" s="1" t="str">
        <f>VLOOKUP(B5913,'old-aw-skill-plan'!A:I,9,FALSE)</f>
        <v>3-2</v>
      </c>
    </row>
    <row r="5914" ht="15.75" customHeight="1">
      <c r="A5914" s="1" t="s">
        <v>459</v>
      </c>
      <c r="B5914" s="1" t="s">
        <v>10</v>
      </c>
      <c r="C5914" s="1" t="s">
        <v>11</v>
      </c>
      <c r="D5914" s="5">
        <v>45226.0</v>
      </c>
      <c r="G5914" s="1">
        <f>VLOOKUP(B5914,'old-aw-skill-plan'!A:I,7,FALSE)</f>
        <v>3</v>
      </c>
      <c r="H5914" s="1" t="str">
        <f>VLOOKUP(B5914,'old-aw-skill-plan'!A:I,9,FALSE)</f>
        <v>3-1</v>
      </c>
    </row>
    <row r="5915" ht="15.75" customHeight="1">
      <c r="A5915" s="1" t="s">
        <v>459</v>
      </c>
      <c r="B5915" s="1" t="s">
        <v>30</v>
      </c>
      <c r="C5915" s="1" t="s">
        <v>11</v>
      </c>
      <c r="D5915" s="5">
        <v>45226.0</v>
      </c>
      <c r="G5915" s="1">
        <f>VLOOKUP(B5915,'old-aw-skill-plan'!A:I,7,FALSE)</f>
        <v>3</v>
      </c>
      <c r="H5915" s="1" t="str">
        <f>VLOOKUP(B5915,'old-aw-skill-plan'!A:I,9,FALSE)</f>
        <v>3-3</v>
      </c>
    </row>
    <row r="5916" ht="15.75" customHeight="1">
      <c r="A5916" s="1" t="s">
        <v>459</v>
      </c>
      <c r="B5916" s="1" t="s">
        <v>47</v>
      </c>
      <c r="C5916" s="1" t="s">
        <v>11</v>
      </c>
      <c r="D5916" s="5">
        <v>45226.0</v>
      </c>
      <c r="G5916" s="1">
        <f>VLOOKUP(B5916,'old-aw-skill-plan'!A:I,7,FALSE)</f>
        <v>3</v>
      </c>
      <c r="H5916" s="1" t="str">
        <f>VLOOKUP(B5916,'old-aw-skill-plan'!A:I,9,FALSE)</f>
        <v>3-2</v>
      </c>
    </row>
    <row r="5917" ht="15.75" customHeight="1">
      <c r="A5917" s="1" t="s">
        <v>238</v>
      </c>
      <c r="B5917" s="1" t="s">
        <v>30</v>
      </c>
      <c r="C5917" s="1" t="s">
        <v>11</v>
      </c>
      <c r="D5917" s="5">
        <v>45226.0</v>
      </c>
      <c r="G5917" s="1">
        <f>VLOOKUP(B5917,'old-aw-skill-plan'!A:I,7,FALSE)</f>
        <v>3</v>
      </c>
      <c r="H5917" s="1" t="str">
        <f>VLOOKUP(B5917,'old-aw-skill-plan'!A:I,9,FALSE)</f>
        <v>3-3</v>
      </c>
    </row>
    <row r="5918" ht="15.75" customHeight="1">
      <c r="A5918" s="1" t="s">
        <v>56</v>
      </c>
      <c r="B5918" s="1" t="s">
        <v>10</v>
      </c>
      <c r="C5918" s="1" t="s">
        <v>11</v>
      </c>
      <c r="D5918" s="5">
        <v>45226.0</v>
      </c>
      <c r="G5918" s="1">
        <f>VLOOKUP(B5918,'old-aw-skill-plan'!A:I,7,FALSE)</f>
        <v>3</v>
      </c>
      <c r="H5918" s="1" t="str">
        <f>VLOOKUP(B5918,'old-aw-skill-plan'!A:I,9,FALSE)</f>
        <v>3-1</v>
      </c>
    </row>
    <row r="5919" ht="15.75" customHeight="1">
      <c r="A5919" s="1" t="s">
        <v>81</v>
      </c>
      <c r="B5919" s="1" t="s">
        <v>34</v>
      </c>
      <c r="C5919" s="1" t="s">
        <v>11</v>
      </c>
      <c r="D5919" s="5">
        <v>45226.0</v>
      </c>
      <c r="G5919" s="1">
        <f>VLOOKUP(B5919,'old-aw-skill-plan'!A:I,7,FALSE)</f>
        <v>4</v>
      </c>
      <c r="H5919" s="1" t="str">
        <f>VLOOKUP(B5919,'old-aw-skill-plan'!A:I,9,FALSE)</f>
        <v>4-1</v>
      </c>
    </row>
    <row r="5920" ht="15.75" customHeight="1">
      <c r="A5920" s="1" t="s">
        <v>421</v>
      </c>
      <c r="B5920" s="1" t="s">
        <v>47</v>
      </c>
      <c r="C5920" s="1" t="s">
        <v>11</v>
      </c>
      <c r="D5920" s="5">
        <v>45226.0</v>
      </c>
      <c r="G5920" s="1">
        <f>VLOOKUP(B5920,'old-aw-skill-plan'!A:I,7,FALSE)</f>
        <v>3</v>
      </c>
      <c r="H5920" s="1" t="str">
        <f>VLOOKUP(B5920,'old-aw-skill-plan'!A:I,9,FALSE)</f>
        <v>3-2</v>
      </c>
    </row>
    <row r="5921" ht="15.75" customHeight="1">
      <c r="A5921" s="1" t="s">
        <v>230</v>
      </c>
      <c r="B5921" s="1" t="s">
        <v>47</v>
      </c>
      <c r="C5921" s="1" t="s">
        <v>11</v>
      </c>
      <c r="D5921" s="5">
        <v>45226.0</v>
      </c>
      <c r="G5921" s="1">
        <f>VLOOKUP(B5921,'old-aw-skill-plan'!A:I,7,FALSE)</f>
        <v>3</v>
      </c>
      <c r="H5921" s="1" t="str">
        <f>VLOOKUP(B5921,'old-aw-skill-plan'!A:I,9,FALSE)</f>
        <v>3-2</v>
      </c>
    </row>
    <row r="5922" ht="15.75" customHeight="1">
      <c r="A5922" s="1" t="s">
        <v>428</v>
      </c>
      <c r="B5922" s="1" t="s">
        <v>34</v>
      </c>
      <c r="C5922" s="1" t="s">
        <v>11</v>
      </c>
      <c r="D5922" s="5">
        <v>45226.0</v>
      </c>
      <c r="G5922" s="1">
        <f>VLOOKUP(B5922,'old-aw-skill-plan'!A:I,7,FALSE)</f>
        <v>4</v>
      </c>
      <c r="H5922" s="1" t="str">
        <f>VLOOKUP(B5922,'old-aw-skill-plan'!A:I,9,FALSE)</f>
        <v>4-1</v>
      </c>
    </row>
    <row r="5923" ht="15.75" customHeight="1">
      <c r="A5923" s="1" t="s">
        <v>420</v>
      </c>
      <c r="B5923" s="1" t="s">
        <v>307</v>
      </c>
      <c r="C5923" s="1" t="s">
        <v>11</v>
      </c>
      <c r="D5923" s="5">
        <v>45226.0</v>
      </c>
      <c r="G5923" s="1">
        <f>VLOOKUP(B5923,'old-aw-skill-plan'!A:I,7,FALSE)</f>
        <v>3</v>
      </c>
      <c r="H5923" s="1" t="str">
        <f>VLOOKUP(B5923,'old-aw-skill-plan'!A:I,9,FALSE)</f>
        <v>3-1</v>
      </c>
    </row>
    <row r="5924" ht="15.75" customHeight="1">
      <c r="A5924" s="1" t="s">
        <v>276</v>
      </c>
      <c r="B5924" s="1" t="s">
        <v>104</v>
      </c>
      <c r="C5924" s="1" t="s">
        <v>11</v>
      </c>
      <c r="D5924" s="5">
        <v>45226.0</v>
      </c>
      <c r="G5924" s="1">
        <f>VLOOKUP(B5924,'old-aw-skill-plan'!A:I,7,FALSE)</f>
        <v>5</v>
      </c>
      <c r="H5924" s="1" t="str">
        <f>VLOOKUP(B5924,'old-aw-skill-plan'!A:I,9,FALSE)</f>
        <v>5-2</v>
      </c>
    </row>
    <row r="5925" ht="15.75" customHeight="1">
      <c r="A5925" s="1" t="s">
        <v>203</v>
      </c>
      <c r="B5925" s="1" t="s">
        <v>44</v>
      </c>
      <c r="C5925" s="1" t="s">
        <v>11</v>
      </c>
      <c r="D5925" s="5">
        <v>45226.0</v>
      </c>
      <c r="G5925" s="1">
        <f>VLOOKUP(B5925,'old-aw-skill-plan'!A:I,7,FALSE)</f>
        <v>5</v>
      </c>
      <c r="H5925" s="1" t="str">
        <f>VLOOKUP(B5925,'old-aw-skill-plan'!A:I,9,FALSE)</f>
        <v>5-1</v>
      </c>
    </row>
    <row r="5926" ht="15.75" customHeight="1">
      <c r="A5926" s="1" t="s">
        <v>461</v>
      </c>
      <c r="B5926" s="1" t="s">
        <v>44</v>
      </c>
      <c r="C5926" s="1" t="s">
        <v>11</v>
      </c>
      <c r="D5926" s="5">
        <v>45226.0</v>
      </c>
      <c r="G5926" s="1">
        <f>VLOOKUP(B5926,'old-aw-skill-plan'!A:I,7,FALSE)</f>
        <v>5</v>
      </c>
      <c r="H5926" s="1" t="str">
        <f>VLOOKUP(B5926,'old-aw-skill-plan'!A:I,9,FALSE)</f>
        <v>5-1</v>
      </c>
    </row>
    <row r="5927" ht="15.75" customHeight="1">
      <c r="A5927" s="1" t="s">
        <v>95</v>
      </c>
      <c r="B5927" s="1" t="s">
        <v>10</v>
      </c>
      <c r="C5927" s="1" t="s">
        <v>11</v>
      </c>
      <c r="D5927" s="5">
        <v>45226.0</v>
      </c>
      <c r="G5927" s="1">
        <f>VLOOKUP(B5927,'old-aw-skill-plan'!A:I,7,FALSE)</f>
        <v>3</v>
      </c>
      <c r="H5927" s="1" t="str">
        <f>VLOOKUP(B5927,'old-aw-skill-plan'!A:I,9,FALSE)</f>
        <v>3-1</v>
      </c>
    </row>
    <row r="5928" ht="15.75" customHeight="1">
      <c r="A5928" s="1" t="s">
        <v>432</v>
      </c>
      <c r="B5928" s="1" t="s">
        <v>47</v>
      </c>
      <c r="C5928" s="1" t="s">
        <v>11</v>
      </c>
      <c r="D5928" s="5">
        <v>45226.0</v>
      </c>
      <c r="G5928" s="1">
        <f>VLOOKUP(B5928,'old-aw-skill-plan'!A:I,7,FALSE)</f>
        <v>3</v>
      </c>
      <c r="H5928" s="1" t="str">
        <f>VLOOKUP(B5928,'old-aw-skill-plan'!A:I,9,FALSE)</f>
        <v>3-2</v>
      </c>
    </row>
    <row r="5929" ht="15.75" customHeight="1">
      <c r="A5929" s="1" t="s">
        <v>214</v>
      </c>
      <c r="B5929" s="1" t="s">
        <v>30</v>
      </c>
      <c r="C5929" s="1" t="s">
        <v>11</v>
      </c>
      <c r="D5929" s="5">
        <v>45226.0</v>
      </c>
      <c r="G5929" s="1">
        <f>VLOOKUP(B5929,'old-aw-skill-plan'!A:I,7,FALSE)</f>
        <v>3</v>
      </c>
      <c r="H5929" s="1" t="str">
        <f>VLOOKUP(B5929,'old-aw-skill-plan'!A:I,9,FALSE)</f>
        <v>3-3</v>
      </c>
    </row>
    <row r="5930" ht="15.75" customHeight="1">
      <c r="A5930" s="1" t="s">
        <v>197</v>
      </c>
      <c r="B5930" s="1" t="s">
        <v>34</v>
      </c>
      <c r="C5930" s="1" t="s">
        <v>11</v>
      </c>
      <c r="D5930" s="5">
        <v>45226.0</v>
      </c>
      <c r="G5930" s="1">
        <f>VLOOKUP(B5930,'old-aw-skill-plan'!A:I,7,FALSE)</f>
        <v>4</v>
      </c>
      <c r="H5930" s="1" t="str">
        <f>VLOOKUP(B5930,'old-aw-skill-plan'!A:I,9,FALSE)</f>
        <v>4-1</v>
      </c>
    </row>
    <row r="5931" ht="15.75" customHeight="1">
      <c r="A5931" s="1" t="s">
        <v>373</v>
      </c>
      <c r="B5931" s="1" t="s">
        <v>10</v>
      </c>
      <c r="C5931" s="1" t="s">
        <v>11</v>
      </c>
      <c r="D5931" s="5">
        <v>45226.0</v>
      </c>
      <c r="G5931" s="1">
        <f>VLOOKUP(B5931,'old-aw-skill-plan'!A:I,7,FALSE)</f>
        <v>3</v>
      </c>
      <c r="H5931" s="1" t="str">
        <f>VLOOKUP(B5931,'old-aw-skill-plan'!A:I,9,FALSE)</f>
        <v>3-1</v>
      </c>
    </row>
    <row r="5932" ht="15.75" customHeight="1">
      <c r="A5932" s="1" t="s">
        <v>462</v>
      </c>
      <c r="B5932" s="1" t="s">
        <v>44</v>
      </c>
      <c r="C5932" s="1" t="s">
        <v>11</v>
      </c>
      <c r="D5932" s="5">
        <v>45226.0</v>
      </c>
      <c r="G5932" s="1">
        <f>VLOOKUP(B5932,'old-aw-skill-plan'!A:I,7,FALSE)</f>
        <v>5</v>
      </c>
      <c r="H5932" s="1" t="str">
        <f>VLOOKUP(B5932,'old-aw-skill-plan'!A:I,9,FALSE)</f>
        <v>5-1</v>
      </c>
    </row>
    <row r="5933" ht="15.75" customHeight="1">
      <c r="A5933" s="1" t="s">
        <v>74</v>
      </c>
      <c r="B5933" s="1" t="s">
        <v>44</v>
      </c>
      <c r="C5933" s="1" t="s">
        <v>11</v>
      </c>
      <c r="D5933" s="5">
        <v>45226.0</v>
      </c>
      <c r="G5933" s="1">
        <f>VLOOKUP(B5933,'old-aw-skill-plan'!A:I,7,FALSE)</f>
        <v>5</v>
      </c>
      <c r="H5933" s="1" t="str">
        <f>VLOOKUP(B5933,'old-aw-skill-plan'!A:I,9,FALSE)</f>
        <v>5-1</v>
      </c>
    </row>
    <row r="5934" ht="15.75" customHeight="1">
      <c r="A5934" s="1" t="s">
        <v>181</v>
      </c>
      <c r="B5934" s="1" t="s">
        <v>307</v>
      </c>
      <c r="C5934" s="1" t="s">
        <v>11</v>
      </c>
      <c r="D5934" s="5">
        <v>45226.0</v>
      </c>
      <c r="G5934" s="1">
        <f>VLOOKUP(B5934,'old-aw-skill-plan'!A:I,7,FALSE)</f>
        <v>3</v>
      </c>
      <c r="H5934" s="1" t="str">
        <f>VLOOKUP(B5934,'old-aw-skill-plan'!A:I,9,FALSE)</f>
        <v>3-1</v>
      </c>
    </row>
    <row r="5935" ht="15.75" customHeight="1">
      <c r="A5935" s="1" t="s">
        <v>181</v>
      </c>
      <c r="B5935" s="1" t="s">
        <v>425</v>
      </c>
      <c r="C5935" s="1" t="s">
        <v>11</v>
      </c>
      <c r="D5935" s="5">
        <v>45226.0</v>
      </c>
      <c r="G5935" s="1">
        <f>VLOOKUP(B5935,'old-aw-skill-plan'!A:I,7,FALSE)</f>
        <v>3</v>
      </c>
      <c r="H5935" s="1" t="str">
        <f>VLOOKUP(B5935,'old-aw-skill-plan'!A:I,9,FALSE)</f>
        <v>3-1</v>
      </c>
    </row>
    <row r="5936" ht="15.75" customHeight="1">
      <c r="A5936" s="1" t="s">
        <v>265</v>
      </c>
      <c r="B5936" s="1" t="s">
        <v>44</v>
      </c>
      <c r="C5936" s="1" t="s">
        <v>11</v>
      </c>
      <c r="D5936" s="5">
        <v>45226.0</v>
      </c>
      <c r="G5936" s="1">
        <f>VLOOKUP(B5936,'old-aw-skill-plan'!A:I,7,FALSE)</f>
        <v>5</v>
      </c>
      <c r="H5936" s="1" t="str">
        <f>VLOOKUP(B5936,'old-aw-skill-plan'!A:I,9,FALSE)</f>
        <v>5-1</v>
      </c>
    </row>
    <row r="5937" ht="15.75" customHeight="1">
      <c r="A5937" s="1" t="s">
        <v>277</v>
      </c>
      <c r="B5937" s="1" t="s">
        <v>44</v>
      </c>
      <c r="C5937" s="1" t="s">
        <v>11</v>
      </c>
      <c r="D5937" s="5">
        <v>45226.0</v>
      </c>
      <c r="G5937" s="1">
        <f>VLOOKUP(B5937,'old-aw-skill-plan'!A:I,7,FALSE)</f>
        <v>5</v>
      </c>
      <c r="H5937" s="1" t="str">
        <f>VLOOKUP(B5937,'old-aw-skill-plan'!A:I,9,FALSE)</f>
        <v>5-1</v>
      </c>
    </row>
    <row r="5938" ht="15.75" customHeight="1">
      <c r="A5938" s="1" t="s">
        <v>463</v>
      </c>
      <c r="B5938" s="1" t="s">
        <v>44</v>
      </c>
      <c r="C5938" s="1" t="s">
        <v>11</v>
      </c>
      <c r="D5938" s="5">
        <v>45226.0</v>
      </c>
      <c r="G5938" s="1">
        <f>VLOOKUP(B5938,'old-aw-skill-plan'!A:I,7,FALSE)</f>
        <v>5</v>
      </c>
      <c r="H5938" s="1" t="str">
        <f>VLOOKUP(B5938,'old-aw-skill-plan'!A:I,9,FALSE)</f>
        <v>5-1</v>
      </c>
    </row>
    <row r="5939" ht="15.75" customHeight="1">
      <c r="A5939" s="1" t="s">
        <v>93</v>
      </c>
      <c r="B5939" s="1" t="s">
        <v>30</v>
      </c>
      <c r="C5939" s="1" t="s">
        <v>11</v>
      </c>
      <c r="D5939" s="5">
        <v>45226.0</v>
      </c>
      <c r="G5939" s="1">
        <f>VLOOKUP(B5939,'old-aw-skill-plan'!A:I,7,FALSE)</f>
        <v>3</v>
      </c>
      <c r="H5939" s="1" t="str">
        <f>VLOOKUP(B5939,'old-aw-skill-plan'!A:I,9,FALSE)</f>
        <v>3-3</v>
      </c>
    </row>
    <row r="5940" ht="15.75" customHeight="1">
      <c r="A5940" s="1" t="s">
        <v>93</v>
      </c>
      <c r="B5940" s="1" t="s">
        <v>47</v>
      </c>
      <c r="C5940" s="1" t="s">
        <v>11</v>
      </c>
      <c r="D5940" s="5">
        <v>45226.0</v>
      </c>
      <c r="G5940" s="1">
        <f>VLOOKUP(B5940,'old-aw-skill-plan'!A:I,7,FALSE)</f>
        <v>3</v>
      </c>
      <c r="H5940" s="1" t="str">
        <f>VLOOKUP(B5940,'old-aw-skill-plan'!A:I,9,FALSE)</f>
        <v>3-2</v>
      </c>
    </row>
    <row r="5941" ht="15.75" customHeight="1">
      <c r="A5941" s="1" t="s">
        <v>94</v>
      </c>
      <c r="B5941" s="1" t="s">
        <v>47</v>
      </c>
      <c r="C5941" s="1" t="s">
        <v>11</v>
      </c>
      <c r="D5941" s="5">
        <v>45226.0</v>
      </c>
      <c r="G5941" s="1">
        <f>VLOOKUP(B5941,'old-aw-skill-plan'!A:I,7,FALSE)</f>
        <v>3</v>
      </c>
      <c r="H5941" s="1" t="str">
        <f>VLOOKUP(B5941,'old-aw-skill-plan'!A:I,9,FALSE)</f>
        <v>3-2</v>
      </c>
    </row>
    <row r="5942" ht="15.75" customHeight="1">
      <c r="A5942" s="1" t="s">
        <v>225</v>
      </c>
      <c r="B5942" s="1" t="s">
        <v>37</v>
      </c>
      <c r="C5942" s="1" t="s">
        <v>11</v>
      </c>
      <c r="D5942" s="5">
        <v>45226.0</v>
      </c>
      <c r="G5942" s="1">
        <f>VLOOKUP(B5942,'old-aw-skill-plan'!A:I,7,FALSE)</f>
        <v>4</v>
      </c>
      <c r="H5942" s="1" t="str">
        <f>VLOOKUP(B5942,'old-aw-skill-plan'!A:I,9,FALSE)</f>
        <v>4-2</v>
      </c>
    </row>
    <row r="5943" ht="15.75" customHeight="1">
      <c r="A5943" s="1" t="s">
        <v>427</v>
      </c>
      <c r="B5943" s="1" t="s">
        <v>10</v>
      </c>
      <c r="C5943" s="1" t="s">
        <v>11</v>
      </c>
      <c r="D5943" s="5">
        <v>45226.0</v>
      </c>
      <c r="G5943" s="1">
        <f>VLOOKUP(B5943,'old-aw-skill-plan'!A:I,7,FALSE)</f>
        <v>3</v>
      </c>
      <c r="H5943" s="1" t="str">
        <f>VLOOKUP(B5943,'old-aw-skill-plan'!A:I,9,FALSE)</f>
        <v>3-1</v>
      </c>
    </row>
    <row r="5944" ht="15.75" customHeight="1">
      <c r="A5944" s="1" t="s">
        <v>436</v>
      </c>
      <c r="B5944" s="1" t="s">
        <v>10</v>
      </c>
      <c r="C5944" s="1" t="s">
        <v>11</v>
      </c>
      <c r="D5944" s="5">
        <v>45226.0</v>
      </c>
      <c r="G5944" s="1">
        <f>VLOOKUP(B5944,'old-aw-skill-plan'!A:I,7,FALSE)</f>
        <v>3</v>
      </c>
      <c r="H5944" s="1" t="str">
        <f>VLOOKUP(B5944,'old-aw-skill-plan'!A:I,9,FALSE)</f>
        <v>3-1</v>
      </c>
    </row>
    <row r="5945" ht="15.75" customHeight="1">
      <c r="A5945" s="1" t="s">
        <v>110</v>
      </c>
      <c r="B5945" s="1" t="s">
        <v>10</v>
      </c>
      <c r="C5945" s="1" t="s">
        <v>11</v>
      </c>
      <c r="D5945" s="5">
        <v>45226.0</v>
      </c>
      <c r="G5945" s="1">
        <f>VLOOKUP(B5945,'old-aw-skill-plan'!A:I,7,FALSE)</f>
        <v>3</v>
      </c>
      <c r="H5945" s="1" t="str">
        <f>VLOOKUP(B5945,'old-aw-skill-plan'!A:I,9,FALSE)</f>
        <v>3-1</v>
      </c>
    </row>
    <row r="5946" ht="15.75" customHeight="1">
      <c r="A5946" s="1" t="s">
        <v>266</v>
      </c>
      <c r="B5946" s="1" t="s">
        <v>47</v>
      </c>
      <c r="C5946" s="1" t="s">
        <v>11</v>
      </c>
      <c r="D5946" s="5">
        <v>45225.0</v>
      </c>
      <c r="G5946" s="1">
        <f>VLOOKUP(B5946,'old-aw-skill-plan'!A:I,7,FALSE)</f>
        <v>3</v>
      </c>
      <c r="H5946" s="1" t="str">
        <f>VLOOKUP(B5946,'old-aw-skill-plan'!A:I,9,FALSE)</f>
        <v>3-2</v>
      </c>
    </row>
    <row r="5947" ht="15.75" customHeight="1">
      <c r="A5947" s="1" t="s">
        <v>271</v>
      </c>
      <c r="B5947" s="1" t="s">
        <v>383</v>
      </c>
      <c r="C5947" s="1" t="s">
        <v>11</v>
      </c>
      <c r="D5947" s="5">
        <v>45225.0</v>
      </c>
      <c r="G5947" s="1">
        <f>VLOOKUP(B5947,'old-aw-skill-plan'!A:I,7,FALSE)</f>
        <v>3</v>
      </c>
      <c r="H5947" s="1" t="str">
        <f>VLOOKUP(B5947,'old-aw-skill-plan'!A:I,9,FALSE)</f>
        <v>3-3</v>
      </c>
    </row>
    <row r="5948" ht="15.75" customHeight="1">
      <c r="A5948" s="1" t="s">
        <v>271</v>
      </c>
      <c r="B5948" s="1" t="s">
        <v>356</v>
      </c>
      <c r="C5948" s="1" t="s">
        <v>11</v>
      </c>
      <c r="D5948" s="5">
        <v>45225.0</v>
      </c>
      <c r="G5948" s="1">
        <f>VLOOKUP(B5948,'old-aw-skill-plan'!A:I,7,FALSE)</f>
        <v>3</v>
      </c>
      <c r="H5948" s="1" t="str">
        <f>VLOOKUP(B5948,'old-aw-skill-plan'!A:I,9,FALSE)</f>
        <v>3-2</v>
      </c>
    </row>
    <row r="5949" ht="15.75" customHeight="1">
      <c r="A5949" s="1" t="s">
        <v>271</v>
      </c>
      <c r="B5949" s="1" t="s">
        <v>425</v>
      </c>
      <c r="C5949" s="1" t="s">
        <v>11</v>
      </c>
      <c r="D5949" s="5">
        <v>45225.0</v>
      </c>
      <c r="G5949" s="1">
        <f>VLOOKUP(B5949,'old-aw-skill-plan'!A:I,7,FALSE)</f>
        <v>3</v>
      </c>
      <c r="H5949" s="1" t="str">
        <f>VLOOKUP(B5949,'old-aw-skill-plan'!A:I,9,FALSE)</f>
        <v>3-1</v>
      </c>
    </row>
    <row r="5950" ht="15.75" customHeight="1">
      <c r="A5950" s="1" t="s">
        <v>271</v>
      </c>
      <c r="B5950" s="1" t="s">
        <v>377</v>
      </c>
      <c r="C5950" s="1" t="s">
        <v>11</v>
      </c>
      <c r="D5950" s="5">
        <v>45225.0</v>
      </c>
      <c r="G5950" s="1">
        <f>VLOOKUP(B5950,'old-aw-skill-plan'!A:I,7,FALSE)</f>
        <v>3</v>
      </c>
      <c r="H5950" s="1" t="str">
        <f>VLOOKUP(B5950,'old-aw-skill-plan'!A:I,9,FALSE)</f>
        <v>3-3</v>
      </c>
    </row>
    <row r="5951" ht="15.75" customHeight="1">
      <c r="A5951" s="1" t="s">
        <v>271</v>
      </c>
      <c r="B5951" s="1" t="s">
        <v>352</v>
      </c>
      <c r="C5951" s="1" t="s">
        <v>11</v>
      </c>
      <c r="D5951" s="5">
        <v>45225.0</v>
      </c>
      <c r="G5951" s="1">
        <f>VLOOKUP(B5951,'old-aw-skill-plan'!A:I,7,FALSE)</f>
        <v>3</v>
      </c>
      <c r="H5951" s="1" t="str">
        <f>VLOOKUP(B5951,'old-aw-skill-plan'!A:I,9,FALSE)</f>
        <v>3-2</v>
      </c>
    </row>
    <row r="5952" ht="15.75" customHeight="1">
      <c r="A5952" s="1" t="s">
        <v>207</v>
      </c>
      <c r="B5952" s="1" t="s">
        <v>30</v>
      </c>
      <c r="C5952" s="1" t="s">
        <v>11</v>
      </c>
      <c r="D5952" s="5">
        <v>45225.0</v>
      </c>
      <c r="G5952" s="1">
        <f>VLOOKUP(B5952,'old-aw-skill-plan'!A:I,7,FALSE)</f>
        <v>3</v>
      </c>
      <c r="H5952" s="1" t="str">
        <f>VLOOKUP(B5952,'old-aw-skill-plan'!A:I,9,FALSE)</f>
        <v>3-3</v>
      </c>
    </row>
    <row r="5953" ht="15.75" customHeight="1">
      <c r="A5953" s="1" t="s">
        <v>207</v>
      </c>
      <c r="B5953" s="1" t="s">
        <v>47</v>
      </c>
      <c r="C5953" s="1" t="s">
        <v>11</v>
      </c>
      <c r="D5953" s="5">
        <v>45225.0</v>
      </c>
      <c r="G5953" s="1">
        <f>VLOOKUP(B5953,'old-aw-skill-plan'!A:I,7,FALSE)</f>
        <v>3</v>
      </c>
      <c r="H5953" s="1" t="str">
        <f>VLOOKUP(B5953,'old-aw-skill-plan'!A:I,9,FALSE)</f>
        <v>3-2</v>
      </c>
    </row>
    <row r="5954" ht="15.75" customHeight="1">
      <c r="A5954" s="1" t="s">
        <v>207</v>
      </c>
      <c r="B5954" s="1" t="s">
        <v>307</v>
      </c>
      <c r="C5954" s="1" t="s">
        <v>11</v>
      </c>
      <c r="D5954" s="5">
        <v>45225.0</v>
      </c>
      <c r="G5954" s="1">
        <f>VLOOKUP(B5954,'old-aw-skill-plan'!A:I,7,FALSE)</f>
        <v>3</v>
      </c>
      <c r="H5954" s="1" t="str">
        <f>VLOOKUP(B5954,'old-aw-skill-plan'!A:I,9,FALSE)</f>
        <v>3-1</v>
      </c>
    </row>
    <row r="5955" ht="15.75" customHeight="1">
      <c r="A5955" s="1" t="s">
        <v>207</v>
      </c>
      <c r="B5955" s="1" t="s">
        <v>37</v>
      </c>
      <c r="C5955" s="1" t="s">
        <v>11</v>
      </c>
      <c r="D5955" s="5">
        <v>45225.0</v>
      </c>
      <c r="G5955" s="1">
        <f>VLOOKUP(B5955,'old-aw-skill-plan'!A:I,7,FALSE)</f>
        <v>4</v>
      </c>
      <c r="H5955" s="1" t="str">
        <f>VLOOKUP(B5955,'old-aw-skill-plan'!A:I,9,FALSE)</f>
        <v>4-2</v>
      </c>
    </row>
    <row r="5956" ht="15.75" customHeight="1">
      <c r="A5956" s="1" t="s">
        <v>475</v>
      </c>
      <c r="B5956" s="1" t="s">
        <v>34</v>
      </c>
      <c r="C5956" s="1" t="s">
        <v>11</v>
      </c>
      <c r="D5956" s="5">
        <v>45225.0</v>
      </c>
      <c r="G5956" s="1">
        <f>VLOOKUP(B5956,'old-aw-skill-plan'!A:I,7,FALSE)</f>
        <v>4</v>
      </c>
      <c r="H5956" s="1" t="str">
        <f>VLOOKUP(B5956,'old-aw-skill-plan'!A:I,9,FALSE)</f>
        <v>4-1</v>
      </c>
    </row>
    <row r="5957" ht="15.75" customHeight="1">
      <c r="A5957" s="1" t="s">
        <v>475</v>
      </c>
      <c r="B5957" s="1" t="s">
        <v>37</v>
      </c>
      <c r="C5957" s="1" t="s">
        <v>11</v>
      </c>
      <c r="D5957" s="5">
        <v>45225.0</v>
      </c>
      <c r="G5957" s="1">
        <f>VLOOKUP(B5957,'old-aw-skill-plan'!A:I,7,FALSE)</f>
        <v>4</v>
      </c>
      <c r="H5957" s="1" t="str">
        <f>VLOOKUP(B5957,'old-aw-skill-plan'!A:I,9,FALSE)</f>
        <v>4-2</v>
      </c>
    </row>
    <row r="5958" ht="15.75" customHeight="1">
      <c r="A5958" s="1" t="s">
        <v>480</v>
      </c>
      <c r="B5958" s="1" t="s">
        <v>10</v>
      </c>
      <c r="C5958" s="1" t="s">
        <v>11</v>
      </c>
      <c r="D5958" s="5">
        <v>45225.0</v>
      </c>
      <c r="G5958" s="1">
        <f>VLOOKUP(B5958,'old-aw-skill-plan'!A:I,7,FALSE)</f>
        <v>3</v>
      </c>
      <c r="H5958" s="1" t="str">
        <f>VLOOKUP(B5958,'old-aw-skill-plan'!A:I,9,FALSE)</f>
        <v>3-1</v>
      </c>
    </row>
    <row r="5959" ht="15.75" customHeight="1">
      <c r="A5959" s="1" t="s">
        <v>273</v>
      </c>
      <c r="B5959" s="1" t="s">
        <v>47</v>
      </c>
      <c r="C5959" s="1" t="s">
        <v>11</v>
      </c>
      <c r="D5959" s="5">
        <v>45225.0</v>
      </c>
      <c r="G5959" s="1">
        <f>VLOOKUP(B5959,'old-aw-skill-plan'!A:I,7,FALSE)</f>
        <v>3</v>
      </c>
      <c r="H5959" s="1" t="str">
        <f>VLOOKUP(B5959,'old-aw-skill-plan'!A:I,9,FALSE)</f>
        <v>3-2</v>
      </c>
    </row>
    <row r="5960" ht="15.75" customHeight="1">
      <c r="A5960" s="1" t="s">
        <v>460</v>
      </c>
      <c r="B5960" s="1" t="s">
        <v>44</v>
      </c>
      <c r="C5960" s="1" t="s">
        <v>11</v>
      </c>
      <c r="D5960" s="5">
        <v>45225.0</v>
      </c>
      <c r="G5960" s="1">
        <f>VLOOKUP(B5960,'old-aw-skill-plan'!A:I,7,FALSE)</f>
        <v>5</v>
      </c>
      <c r="H5960" s="1" t="str">
        <f>VLOOKUP(B5960,'old-aw-skill-plan'!A:I,9,FALSE)</f>
        <v>5-1</v>
      </c>
    </row>
    <row r="5961" ht="15.75" customHeight="1">
      <c r="A5961" s="1" t="s">
        <v>220</v>
      </c>
      <c r="B5961" s="1" t="s">
        <v>425</v>
      </c>
      <c r="C5961" s="1" t="s">
        <v>11</v>
      </c>
      <c r="D5961" s="5">
        <v>45225.0</v>
      </c>
      <c r="G5961" s="1">
        <f>VLOOKUP(B5961,'old-aw-skill-plan'!A:I,7,FALSE)</f>
        <v>3</v>
      </c>
      <c r="H5961" s="1" t="str">
        <f>VLOOKUP(B5961,'old-aw-skill-plan'!A:I,9,FALSE)</f>
        <v>3-1</v>
      </c>
    </row>
    <row r="5962" ht="15.75" customHeight="1">
      <c r="A5962" s="1" t="s">
        <v>220</v>
      </c>
      <c r="B5962" s="1" t="s">
        <v>352</v>
      </c>
      <c r="C5962" s="1" t="s">
        <v>11</v>
      </c>
      <c r="D5962" s="5">
        <v>45225.0</v>
      </c>
      <c r="G5962" s="1">
        <f>VLOOKUP(B5962,'old-aw-skill-plan'!A:I,7,FALSE)</f>
        <v>3</v>
      </c>
      <c r="H5962" s="1" t="str">
        <f>VLOOKUP(B5962,'old-aw-skill-plan'!A:I,9,FALSE)</f>
        <v>3-2</v>
      </c>
    </row>
    <row r="5963" ht="15.75" customHeight="1">
      <c r="A5963" s="1" t="s">
        <v>220</v>
      </c>
      <c r="B5963" s="1" t="s">
        <v>37</v>
      </c>
      <c r="C5963" s="1" t="s">
        <v>11</v>
      </c>
      <c r="D5963" s="5">
        <v>45225.0</v>
      </c>
      <c r="G5963" s="1">
        <f>VLOOKUP(B5963,'old-aw-skill-plan'!A:I,7,FALSE)</f>
        <v>4</v>
      </c>
      <c r="H5963" s="1" t="str">
        <f>VLOOKUP(B5963,'old-aw-skill-plan'!A:I,9,FALSE)</f>
        <v>4-2</v>
      </c>
    </row>
    <row r="5964" ht="15.75" customHeight="1">
      <c r="A5964" s="1" t="s">
        <v>237</v>
      </c>
      <c r="B5964" s="1" t="s">
        <v>307</v>
      </c>
      <c r="C5964" s="1" t="s">
        <v>11</v>
      </c>
      <c r="D5964" s="5">
        <v>45225.0</v>
      </c>
      <c r="G5964" s="1">
        <f>VLOOKUP(B5964,'old-aw-skill-plan'!A:I,7,FALSE)</f>
        <v>3</v>
      </c>
      <c r="H5964" s="1" t="str">
        <f>VLOOKUP(B5964,'old-aw-skill-plan'!A:I,9,FALSE)</f>
        <v>3-1</v>
      </c>
    </row>
    <row r="5965" ht="15.75" customHeight="1">
      <c r="A5965" s="1" t="s">
        <v>267</v>
      </c>
      <c r="B5965" s="1" t="s">
        <v>44</v>
      </c>
      <c r="C5965" s="1" t="s">
        <v>11</v>
      </c>
      <c r="D5965" s="5">
        <v>45225.0</v>
      </c>
      <c r="G5965" s="1">
        <f>VLOOKUP(B5965,'old-aw-skill-plan'!A:I,7,FALSE)</f>
        <v>5</v>
      </c>
      <c r="H5965" s="1" t="str">
        <f>VLOOKUP(B5965,'old-aw-skill-plan'!A:I,9,FALSE)</f>
        <v>5-1</v>
      </c>
    </row>
    <row r="5966" ht="15.75" customHeight="1">
      <c r="A5966" s="1" t="s">
        <v>419</v>
      </c>
      <c r="B5966" s="1" t="s">
        <v>10</v>
      </c>
      <c r="C5966" s="1" t="s">
        <v>11</v>
      </c>
      <c r="D5966" s="5">
        <v>45225.0</v>
      </c>
      <c r="G5966" s="1">
        <f>VLOOKUP(B5966,'old-aw-skill-plan'!A:I,7,FALSE)</f>
        <v>3</v>
      </c>
      <c r="H5966" s="1" t="str">
        <f>VLOOKUP(B5966,'old-aw-skill-plan'!A:I,9,FALSE)</f>
        <v>3-1</v>
      </c>
    </row>
    <row r="5967" ht="15.75" customHeight="1">
      <c r="A5967" s="1" t="s">
        <v>419</v>
      </c>
      <c r="B5967" s="1" t="s">
        <v>47</v>
      </c>
      <c r="C5967" s="1" t="s">
        <v>11</v>
      </c>
      <c r="D5967" s="5">
        <v>45225.0</v>
      </c>
      <c r="G5967" s="1">
        <f>VLOOKUP(B5967,'old-aw-skill-plan'!A:I,7,FALSE)</f>
        <v>3</v>
      </c>
      <c r="H5967" s="1" t="str">
        <f>VLOOKUP(B5967,'old-aw-skill-plan'!A:I,9,FALSE)</f>
        <v>3-2</v>
      </c>
    </row>
    <row r="5968" ht="15.75" customHeight="1">
      <c r="A5968" s="1" t="s">
        <v>238</v>
      </c>
      <c r="B5968" s="1" t="s">
        <v>10</v>
      </c>
      <c r="C5968" s="1" t="s">
        <v>11</v>
      </c>
      <c r="D5968" s="5">
        <v>45225.0</v>
      </c>
      <c r="G5968" s="1">
        <f>VLOOKUP(B5968,'old-aw-skill-plan'!A:I,7,FALSE)</f>
        <v>3</v>
      </c>
      <c r="H5968" s="1" t="str">
        <f>VLOOKUP(B5968,'old-aw-skill-plan'!A:I,9,FALSE)</f>
        <v>3-1</v>
      </c>
    </row>
    <row r="5969" ht="15.75" customHeight="1">
      <c r="A5969" s="1" t="s">
        <v>238</v>
      </c>
      <c r="B5969" s="1" t="s">
        <v>30</v>
      </c>
      <c r="C5969" s="1" t="s">
        <v>11</v>
      </c>
      <c r="D5969" s="5">
        <v>45225.0</v>
      </c>
      <c r="G5969" s="1">
        <f>VLOOKUP(B5969,'old-aw-skill-plan'!A:I,7,FALSE)</f>
        <v>3</v>
      </c>
      <c r="H5969" s="1" t="str">
        <f>VLOOKUP(B5969,'old-aw-skill-plan'!A:I,9,FALSE)</f>
        <v>3-3</v>
      </c>
    </row>
    <row r="5970" ht="15.75" customHeight="1">
      <c r="A5970" s="1" t="s">
        <v>473</v>
      </c>
      <c r="B5970" s="1" t="s">
        <v>10</v>
      </c>
      <c r="C5970" s="1" t="s">
        <v>11</v>
      </c>
      <c r="D5970" s="5">
        <v>45225.0</v>
      </c>
      <c r="G5970" s="1">
        <f>VLOOKUP(B5970,'old-aw-skill-plan'!A:I,7,FALSE)</f>
        <v>3</v>
      </c>
      <c r="H5970" s="1" t="str">
        <f>VLOOKUP(B5970,'old-aw-skill-plan'!A:I,9,FALSE)</f>
        <v>3-1</v>
      </c>
    </row>
    <row r="5971" ht="15.75" customHeight="1">
      <c r="A5971" s="1" t="s">
        <v>481</v>
      </c>
      <c r="B5971" s="1" t="s">
        <v>44</v>
      </c>
      <c r="C5971" s="1" t="s">
        <v>11</v>
      </c>
      <c r="D5971" s="5">
        <v>45225.0</v>
      </c>
      <c r="G5971" s="1">
        <f>VLOOKUP(B5971,'old-aw-skill-plan'!A:I,7,FALSE)</f>
        <v>5</v>
      </c>
      <c r="H5971" s="1" t="str">
        <f>VLOOKUP(B5971,'old-aw-skill-plan'!A:I,9,FALSE)</f>
        <v>5-1</v>
      </c>
    </row>
    <row r="5972" ht="15.75" customHeight="1">
      <c r="A5972" s="1" t="s">
        <v>421</v>
      </c>
      <c r="B5972" s="1" t="s">
        <v>47</v>
      </c>
      <c r="C5972" s="1" t="s">
        <v>11</v>
      </c>
      <c r="D5972" s="5">
        <v>45225.0</v>
      </c>
      <c r="G5972" s="1">
        <f>VLOOKUP(B5972,'old-aw-skill-plan'!A:I,7,FALSE)</f>
        <v>3</v>
      </c>
      <c r="H5972" s="1" t="str">
        <f>VLOOKUP(B5972,'old-aw-skill-plan'!A:I,9,FALSE)</f>
        <v>3-2</v>
      </c>
    </row>
    <row r="5973" ht="15.75" customHeight="1">
      <c r="A5973" s="1" t="s">
        <v>428</v>
      </c>
      <c r="B5973" s="1" t="s">
        <v>34</v>
      </c>
      <c r="C5973" s="1" t="s">
        <v>11</v>
      </c>
      <c r="D5973" s="5">
        <v>45225.0</v>
      </c>
      <c r="G5973" s="1">
        <f>VLOOKUP(B5973,'old-aw-skill-plan'!A:I,7,FALSE)</f>
        <v>4</v>
      </c>
      <c r="H5973" s="1" t="str">
        <f>VLOOKUP(B5973,'old-aw-skill-plan'!A:I,9,FALSE)</f>
        <v>4-1</v>
      </c>
    </row>
    <row r="5974" ht="15.75" customHeight="1">
      <c r="A5974" s="1" t="s">
        <v>420</v>
      </c>
      <c r="B5974" s="1" t="s">
        <v>10</v>
      </c>
      <c r="C5974" s="1" t="s">
        <v>11</v>
      </c>
      <c r="D5974" s="5">
        <v>45225.0</v>
      </c>
      <c r="G5974" s="1">
        <f>VLOOKUP(B5974,'old-aw-skill-plan'!A:I,7,FALSE)</f>
        <v>3</v>
      </c>
      <c r="H5974" s="1" t="str">
        <f>VLOOKUP(B5974,'old-aw-skill-plan'!A:I,9,FALSE)</f>
        <v>3-1</v>
      </c>
    </row>
    <row r="5975" ht="15.75" customHeight="1">
      <c r="A5975" s="1" t="s">
        <v>420</v>
      </c>
      <c r="B5975" s="1" t="s">
        <v>47</v>
      </c>
      <c r="C5975" s="1" t="s">
        <v>11</v>
      </c>
      <c r="D5975" s="5">
        <v>45225.0</v>
      </c>
      <c r="G5975" s="1">
        <f>VLOOKUP(B5975,'old-aw-skill-plan'!A:I,7,FALSE)</f>
        <v>3</v>
      </c>
      <c r="H5975" s="1" t="str">
        <f>VLOOKUP(B5975,'old-aw-skill-plan'!A:I,9,FALSE)</f>
        <v>3-2</v>
      </c>
    </row>
    <row r="5976" ht="15.75" customHeight="1">
      <c r="A5976" s="1" t="s">
        <v>471</v>
      </c>
      <c r="B5976" s="1" t="s">
        <v>10</v>
      </c>
      <c r="C5976" s="1" t="s">
        <v>11</v>
      </c>
      <c r="D5976" s="5">
        <v>45225.0</v>
      </c>
      <c r="G5976" s="1">
        <f>VLOOKUP(B5976,'old-aw-skill-plan'!A:I,7,FALSE)</f>
        <v>3</v>
      </c>
      <c r="H5976" s="1" t="str">
        <f>VLOOKUP(B5976,'old-aw-skill-plan'!A:I,9,FALSE)</f>
        <v>3-1</v>
      </c>
    </row>
    <row r="5977" ht="15.75" customHeight="1">
      <c r="A5977" s="1" t="s">
        <v>276</v>
      </c>
      <c r="B5977" s="1" t="s">
        <v>104</v>
      </c>
      <c r="C5977" s="1" t="s">
        <v>11</v>
      </c>
      <c r="D5977" s="5">
        <v>45225.0</v>
      </c>
      <c r="G5977" s="1">
        <f>VLOOKUP(B5977,'old-aw-skill-plan'!A:I,7,FALSE)</f>
        <v>5</v>
      </c>
      <c r="H5977" s="1" t="str">
        <f>VLOOKUP(B5977,'old-aw-skill-plan'!A:I,9,FALSE)</f>
        <v>5-2</v>
      </c>
    </row>
    <row r="5978" ht="15.75" customHeight="1">
      <c r="A5978" s="1" t="s">
        <v>203</v>
      </c>
      <c r="B5978" s="1" t="s">
        <v>44</v>
      </c>
      <c r="C5978" s="1" t="s">
        <v>11</v>
      </c>
      <c r="D5978" s="5">
        <v>45225.0</v>
      </c>
      <c r="G5978" s="1">
        <f>VLOOKUP(B5978,'old-aw-skill-plan'!A:I,7,FALSE)</f>
        <v>5</v>
      </c>
      <c r="H5978" s="1" t="str">
        <f>VLOOKUP(B5978,'old-aw-skill-plan'!A:I,9,FALSE)</f>
        <v>5-1</v>
      </c>
    </row>
    <row r="5979" ht="15.75" customHeight="1">
      <c r="A5979" s="1" t="s">
        <v>268</v>
      </c>
      <c r="B5979" s="1" t="s">
        <v>307</v>
      </c>
      <c r="C5979" s="1" t="s">
        <v>11</v>
      </c>
      <c r="D5979" s="5">
        <v>45225.0</v>
      </c>
      <c r="G5979" s="1">
        <f>VLOOKUP(B5979,'old-aw-skill-plan'!A:I,7,FALSE)</f>
        <v>3</v>
      </c>
      <c r="H5979" s="1" t="str">
        <f>VLOOKUP(B5979,'old-aw-skill-plan'!A:I,9,FALSE)</f>
        <v>3-1</v>
      </c>
    </row>
    <row r="5980" ht="15.75" customHeight="1">
      <c r="A5980" s="1" t="s">
        <v>268</v>
      </c>
      <c r="B5980" s="1" t="s">
        <v>383</v>
      </c>
      <c r="C5980" s="1" t="s">
        <v>11</v>
      </c>
      <c r="D5980" s="5">
        <v>45225.0</v>
      </c>
      <c r="G5980" s="1">
        <f>VLOOKUP(B5980,'old-aw-skill-plan'!A:I,7,FALSE)</f>
        <v>3</v>
      </c>
      <c r="H5980" s="1" t="str">
        <f>VLOOKUP(B5980,'old-aw-skill-plan'!A:I,9,FALSE)</f>
        <v>3-3</v>
      </c>
    </row>
    <row r="5981" ht="15.75" customHeight="1">
      <c r="A5981" s="1" t="s">
        <v>461</v>
      </c>
      <c r="B5981" s="1" t="s">
        <v>44</v>
      </c>
      <c r="C5981" s="1" t="s">
        <v>11</v>
      </c>
      <c r="D5981" s="5">
        <v>45225.0</v>
      </c>
      <c r="G5981" s="1">
        <f>VLOOKUP(B5981,'old-aw-skill-plan'!A:I,7,FALSE)</f>
        <v>5</v>
      </c>
      <c r="H5981" s="1" t="str">
        <f>VLOOKUP(B5981,'old-aw-skill-plan'!A:I,9,FALSE)</f>
        <v>5-1</v>
      </c>
    </row>
    <row r="5982" ht="15.75" customHeight="1">
      <c r="A5982" s="1" t="s">
        <v>432</v>
      </c>
      <c r="B5982" s="1" t="s">
        <v>47</v>
      </c>
      <c r="C5982" s="1" t="s">
        <v>11</v>
      </c>
      <c r="D5982" s="5">
        <v>45225.0</v>
      </c>
      <c r="G5982" s="1">
        <f>VLOOKUP(B5982,'old-aw-skill-plan'!A:I,7,FALSE)</f>
        <v>3</v>
      </c>
      <c r="H5982" s="1" t="str">
        <f>VLOOKUP(B5982,'old-aw-skill-plan'!A:I,9,FALSE)</f>
        <v>3-2</v>
      </c>
    </row>
    <row r="5983" ht="15.75" customHeight="1">
      <c r="A5983" s="1" t="s">
        <v>214</v>
      </c>
      <c r="B5983" s="1" t="s">
        <v>30</v>
      </c>
      <c r="C5983" s="1" t="s">
        <v>11</v>
      </c>
      <c r="D5983" s="5">
        <v>45225.0</v>
      </c>
      <c r="G5983" s="1">
        <f>VLOOKUP(B5983,'old-aw-skill-plan'!A:I,7,FALSE)</f>
        <v>3</v>
      </c>
      <c r="H5983" s="1" t="str">
        <f>VLOOKUP(B5983,'old-aw-skill-plan'!A:I,9,FALSE)</f>
        <v>3-3</v>
      </c>
    </row>
    <row r="5984" ht="15.75" customHeight="1">
      <c r="A5984" s="1" t="s">
        <v>197</v>
      </c>
      <c r="B5984" s="1" t="s">
        <v>34</v>
      </c>
      <c r="C5984" s="1" t="s">
        <v>11</v>
      </c>
      <c r="D5984" s="5">
        <v>45225.0</v>
      </c>
      <c r="G5984" s="1">
        <f>VLOOKUP(B5984,'old-aw-skill-plan'!A:I,7,FALSE)</f>
        <v>4</v>
      </c>
      <c r="H5984" s="1" t="str">
        <f>VLOOKUP(B5984,'old-aw-skill-plan'!A:I,9,FALSE)</f>
        <v>4-1</v>
      </c>
    </row>
    <row r="5985" ht="15.75" customHeight="1">
      <c r="A5985" s="1" t="s">
        <v>74</v>
      </c>
      <c r="B5985" s="1" t="s">
        <v>44</v>
      </c>
      <c r="C5985" s="1" t="s">
        <v>11</v>
      </c>
      <c r="D5985" s="5">
        <v>45225.0</v>
      </c>
      <c r="G5985" s="1">
        <f>VLOOKUP(B5985,'old-aw-skill-plan'!A:I,7,FALSE)</f>
        <v>5</v>
      </c>
      <c r="H5985" s="1" t="str">
        <f>VLOOKUP(B5985,'old-aw-skill-plan'!A:I,9,FALSE)</f>
        <v>5-1</v>
      </c>
    </row>
    <row r="5986" ht="15.75" customHeight="1">
      <c r="A5986" s="1" t="s">
        <v>269</v>
      </c>
      <c r="B5986" s="1" t="s">
        <v>10</v>
      </c>
      <c r="C5986" s="1" t="s">
        <v>11</v>
      </c>
      <c r="D5986" s="5">
        <v>45225.0</v>
      </c>
      <c r="G5986" s="1">
        <f>VLOOKUP(B5986,'old-aw-skill-plan'!A:I,7,FALSE)</f>
        <v>3</v>
      </c>
      <c r="H5986" s="1" t="str">
        <f>VLOOKUP(B5986,'old-aw-skill-plan'!A:I,9,FALSE)</f>
        <v>3-1</v>
      </c>
    </row>
    <row r="5987" ht="15.75" customHeight="1">
      <c r="A5987" s="1" t="s">
        <v>265</v>
      </c>
      <c r="B5987" s="1" t="s">
        <v>44</v>
      </c>
      <c r="C5987" s="1" t="s">
        <v>11</v>
      </c>
      <c r="D5987" s="5">
        <v>45225.0</v>
      </c>
      <c r="G5987" s="1">
        <f>VLOOKUP(B5987,'old-aw-skill-plan'!A:I,7,FALSE)</f>
        <v>5</v>
      </c>
      <c r="H5987" s="1" t="str">
        <f>VLOOKUP(B5987,'old-aw-skill-plan'!A:I,9,FALSE)</f>
        <v>5-1</v>
      </c>
    </row>
    <row r="5988" ht="15.75" customHeight="1">
      <c r="A5988" s="1" t="s">
        <v>463</v>
      </c>
      <c r="B5988" s="1" t="s">
        <v>44</v>
      </c>
      <c r="C5988" s="1" t="s">
        <v>11</v>
      </c>
      <c r="D5988" s="5">
        <v>45225.0</v>
      </c>
      <c r="G5988" s="1">
        <f>VLOOKUP(B5988,'old-aw-skill-plan'!A:I,7,FALSE)</f>
        <v>5</v>
      </c>
      <c r="H5988" s="1" t="str">
        <f>VLOOKUP(B5988,'old-aw-skill-plan'!A:I,9,FALSE)</f>
        <v>5-1</v>
      </c>
    </row>
    <row r="5989" ht="15.75" customHeight="1">
      <c r="A5989" s="1" t="s">
        <v>409</v>
      </c>
      <c r="B5989" s="1" t="s">
        <v>10</v>
      </c>
      <c r="C5989" s="1" t="s">
        <v>11</v>
      </c>
      <c r="D5989" s="5">
        <v>45225.0</v>
      </c>
      <c r="G5989" s="1">
        <f>VLOOKUP(B5989,'old-aw-skill-plan'!A:I,7,FALSE)</f>
        <v>3</v>
      </c>
      <c r="H5989" s="1" t="str">
        <f>VLOOKUP(B5989,'old-aw-skill-plan'!A:I,9,FALSE)</f>
        <v>3-1</v>
      </c>
    </row>
    <row r="5990" ht="15.75" customHeight="1">
      <c r="A5990" s="1" t="s">
        <v>464</v>
      </c>
      <c r="B5990" s="1" t="s">
        <v>44</v>
      </c>
      <c r="C5990" s="1" t="s">
        <v>11</v>
      </c>
      <c r="D5990" s="5">
        <v>45224.0</v>
      </c>
      <c r="G5990" s="1">
        <f>VLOOKUP(B5990,'old-aw-skill-plan'!A:I,7,FALSE)</f>
        <v>5</v>
      </c>
      <c r="H5990" s="1" t="str">
        <f>VLOOKUP(B5990,'old-aw-skill-plan'!A:I,9,FALSE)</f>
        <v>5-1</v>
      </c>
    </row>
    <row r="5991" ht="15.75" customHeight="1">
      <c r="A5991" s="1" t="s">
        <v>266</v>
      </c>
      <c r="B5991" s="1" t="s">
        <v>47</v>
      </c>
      <c r="C5991" s="1" t="s">
        <v>11</v>
      </c>
      <c r="D5991" s="5">
        <v>45224.0</v>
      </c>
      <c r="G5991" s="1">
        <f>VLOOKUP(B5991,'old-aw-skill-plan'!A:I,7,FALSE)</f>
        <v>3</v>
      </c>
      <c r="H5991" s="1" t="str">
        <f>VLOOKUP(B5991,'old-aw-skill-plan'!A:I,9,FALSE)</f>
        <v>3-2</v>
      </c>
    </row>
    <row r="5992" ht="15.75" customHeight="1">
      <c r="A5992" s="1" t="s">
        <v>22</v>
      </c>
      <c r="B5992" s="1" t="s">
        <v>34</v>
      </c>
      <c r="C5992" s="1" t="s">
        <v>11</v>
      </c>
      <c r="D5992" s="5">
        <v>45224.0</v>
      </c>
      <c r="G5992" s="1">
        <f>VLOOKUP(B5992,'old-aw-skill-plan'!A:I,7,FALSE)</f>
        <v>4</v>
      </c>
      <c r="H5992" s="1" t="str">
        <f>VLOOKUP(B5992,'old-aw-skill-plan'!A:I,9,FALSE)</f>
        <v>4-1</v>
      </c>
    </row>
    <row r="5993" ht="15.75" customHeight="1">
      <c r="A5993" s="1" t="s">
        <v>216</v>
      </c>
      <c r="B5993" s="1" t="s">
        <v>34</v>
      </c>
      <c r="C5993" s="1" t="s">
        <v>11</v>
      </c>
      <c r="D5993" s="5">
        <v>45224.0</v>
      </c>
      <c r="G5993" s="1">
        <f>VLOOKUP(B5993,'old-aw-skill-plan'!A:I,7,FALSE)</f>
        <v>4</v>
      </c>
      <c r="H5993" s="1" t="str">
        <f>VLOOKUP(B5993,'old-aw-skill-plan'!A:I,9,FALSE)</f>
        <v>4-1</v>
      </c>
    </row>
    <row r="5994" ht="15.75" customHeight="1">
      <c r="A5994" s="1" t="s">
        <v>35</v>
      </c>
      <c r="B5994" s="1" t="s">
        <v>34</v>
      </c>
      <c r="C5994" s="1" t="s">
        <v>11</v>
      </c>
      <c r="D5994" s="5">
        <v>45224.0</v>
      </c>
      <c r="G5994" s="1">
        <f>VLOOKUP(B5994,'old-aw-skill-plan'!A:I,7,FALSE)</f>
        <v>4</v>
      </c>
      <c r="H5994" s="1" t="str">
        <f>VLOOKUP(B5994,'old-aw-skill-plan'!A:I,9,FALSE)</f>
        <v>4-1</v>
      </c>
    </row>
    <row r="5995" ht="15.75" customHeight="1">
      <c r="A5995" s="1" t="s">
        <v>24</v>
      </c>
      <c r="B5995" s="1" t="s">
        <v>34</v>
      </c>
      <c r="C5995" s="1" t="s">
        <v>11</v>
      </c>
      <c r="D5995" s="5">
        <v>45224.0</v>
      </c>
      <c r="G5995" s="1">
        <f>VLOOKUP(B5995,'old-aw-skill-plan'!A:I,7,FALSE)</f>
        <v>4</v>
      </c>
      <c r="H5995" s="1" t="str">
        <f>VLOOKUP(B5995,'old-aw-skill-plan'!A:I,9,FALSE)</f>
        <v>4-1</v>
      </c>
    </row>
    <row r="5996" ht="15.75" customHeight="1">
      <c r="A5996" s="1" t="s">
        <v>271</v>
      </c>
      <c r="B5996" s="1" t="s">
        <v>10</v>
      </c>
      <c r="C5996" s="1" t="s">
        <v>11</v>
      </c>
      <c r="D5996" s="5">
        <v>45224.0</v>
      </c>
      <c r="G5996" s="1">
        <f>VLOOKUP(B5996,'old-aw-skill-plan'!A:I,7,FALSE)</f>
        <v>3</v>
      </c>
      <c r="H5996" s="1" t="str">
        <f>VLOOKUP(B5996,'old-aw-skill-plan'!A:I,9,FALSE)</f>
        <v>3-1</v>
      </c>
    </row>
    <row r="5997" ht="15.75" customHeight="1">
      <c r="A5997" s="1" t="s">
        <v>271</v>
      </c>
      <c r="B5997" s="1" t="s">
        <v>30</v>
      </c>
      <c r="C5997" s="1" t="s">
        <v>11</v>
      </c>
      <c r="D5997" s="5">
        <v>45224.0</v>
      </c>
      <c r="G5997" s="1">
        <f>VLOOKUP(B5997,'old-aw-skill-plan'!A:I,7,FALSE)</f>
        <v>3</v>
      </c>
      <c r="H5997" s="1" t="str">
        <f>VLOOKUP(B5997,'old-aw-skill-plan'!A:I,9,FALSE)</f>
        <v>3-3</v>
      </c>
    </row>
    <row r="5998" ht="15.75" customHeight="1">
      <c r="A5998" s="1" t="s">
        <v>271</v>
      </c>
      <c r="B5998" s="1" t="s">
        <v>47</v>
      </c>
      <c r="C5998" s="1" t="s">
        <v>11</v>
      </c>
      <c r="D5998" s="5">
        <v>45224.0</v>
      </c>
      <c r="G5998" s="1">
        <f>VLOOKUP(B5998,'old-aw-skill-plan'!A:I,7,FALSE)</f>
        <v>3</v>
      </c>
      <c r="H5998" s="1" t="str">
        <f>VLOOKUP(B5998,'old-aw-skill-plan'!A:I,9,FALSE)</f>
        <v>3-2</v>
      </c>
    </row>
    <row r="5999" ht="15.75" customHeight="1">
      <c r="A5999" s="1" t="s">
        <v>271</v>
      </c>
      <c r="B5999" s="1" t="s">
        <v>307</v>
      </c>
      <c r="C5999" s="1" t="s">
        <v>11</v>
      </c>
      <c r="D5999" s="5">
        <v>45224.0</v>
      </c>
      <c r="G5999" s="1">
        <f>VLOOKUP(B5999,'old-aw-skill-plan'!A:I,7,FALSE)</f>
        <v>3</v>
      </c>
      <c r="H5999" s="1" t="str">
        <f>VLOOKUP(B5999,'old-aw-skill-plan'!A:I,9,FALSE)</f>
        <v>3-1</v>
      </c>
    </row>
    <row r="6000" ht="15.75" customHeight="1">
      <c r="A6000" s="1" t="s">
        <v>271</v>
      </c>
      <c r="B6000" s="1" t="s">
        <v>356</v>
      </c>
      <c r="C6000" s="1" t="s">
        <v>11</v>
      </c>
      <c r="D6000" s="5">
        <v>45224.0</v>
      </c>
      <c r="G6000" s="1">
        <f>VLOOKUP(B6000,'old-aw-skill-plan'!A:I,7,FALSE)</f>
        <v>3</v>
      </c>
      <c r="H6000" s="1" t="str">
        <f>VLOOKUP(B6000,'old-aw-skill-plan'!A:I,9,FALSE)</f>
        <v>3-2</v>
      </c>
    </row>
    <row r="6001" ht="15.75" customHeight="1">
      <c r="A6001" s="1" t="s">
        <v>207</v>
      </c>
      <c r="B6001" s="1" t="s">
        <v>47</v>
      </c>
      <c r="C6001" s="1" t="s">
        <v>11</v>
      </c>
      <c r="D6001" s="5">
        <v>45224.0</v>
      </c>
      <c r="G6001" s="1">
        <f>VLOOKUP(B6001,'old-aw-skill-plan'!A:I,7,FALSE)</f>
        <v>3</v>
      </c>
      <c r="H6001" s="1" t="str">
        <f>VLOOKUP(B6001,'old-aw-skill-plan'!A:I,9,FALSE)</f>
        <v>3-2</v>
      </c>
    </row>
    <row r="6002" ht="15.75" customHeight="1">
      <c r="A6002" s="1" t="s">
        <v>458</v>
      </c>
      <c r="B6002" s="1" t="s">
        <v>47</v>
      </c>
      <c r="C6002" s="1" t="s">
        <v>11</v>
      </c>
      <c r="D6002" s="5">
        <v>45224.0</v>
      </c>
      <c r="G6002" s="1">
        <f>VLOOKUP(B6002,'old-aw-skill-plan'!A:I,7,FALSE)</f>
        <v>3</v>
      </c>
      <c r="H6002" s="1" t="str">
        <f>VLOOKUP(B6002,'old-aw-skill-plan'!A:I,9,FALSE)</f>
        <v>3-2</v>
      </c>
    </row>
    <row r="6003" ht="15.75" customHeight="1">
      <c r="A6003" s="1" t="s">
        <v>434</v>
      </c>
      <c r="B6003" s="1" t="s">
        <v>307</v>
      </c>
      <c r="C6003" s="1" t="s">
        <v>11</v>
      </c>
      <c r="D6003" s="5">
        <v>45224.0</v>
      </c>
      <c r="G6003" s="1">
        <f>VLOOKUP(B6003,'old-aw-skill-plan'!A:I,7,FALSE)</f>
        <v>3</v>
      </c>
      <c r="H6003" s="1" t="str">
        <f>VLOOKUP(B6003,'old-aw-skill-plan'!A:I,9,FALSE)</f>
        <v>3-1</v>
      </c>
    </row>
    <row r="6004" ht="15.75" customHeight="1">
      <c r="A6004" s="1" t="s">
        <v>213</v>
      </c>
      <c r="B6004" s="1" t="s">
        <v>10</v>
      </c>
      <c r="C6004" s="1" t="s">
        <v>11</v>
      </c>
      <c r="D6004" s="5">
        <v>45224.0</v>
      </c>
      <c r="G6004" s="1">
        <f>VLOOKUP(B6004,'old-aw-skill-plan'!A:I,7,FALSE)</f>
        <v>3</v>
      </c>
      <c r="H6004" s="1" t="str">
        <f>VLOOKUP(B6004,'old-aw-skill-plan'!A:I,9,FALSE)</f>
        <v>3-1</v>
      </c>
    </row>
    <row r="6005" ht="15.75" customHeight="1">
      <c r="A6005" s="1" t="s">
        <v>475</v>
      </c>
      <c r="B6005" s="1" t="s">
        <v>34</v>
      </c>
      <c r="C6005" s="1" t="s">
        <v>11</v>
      </c>
      <c r="D6005" s="5">
        <v>45224.0</v>
      </c>
      <c r="G6005" s="1">
        <f>VLOOKUP(B6005,'old-aw-skill-plan'!A:I,7,FALSE)</f>
        <v>4</v>
      </c>
      <c r="H6005" s="1" t="str">
        <f>VLOOKUP(B6005,'old-aw-skill-plan'!A:I,9,FALSE)</f>
        <v>4-1</v>
      </c>
    </row>
    <row r="6006" ht="15.75" customHeight="1">
      <c r="A6006" s="1" t="s">
        <v>475</v>
      </c>
      <c r="B6006" s="1" t="s">
        <v>37</v>
      </c>
      <c r="C6006" s="1" t="s">
        <v>11</v>
      </c>
      <c r="D6006" s="5">
        <v>45224.0</v>
      </c>
      <c r="G6006" s="1">
        <f>VLOOKUP(B6006,'old-aw-skill-plan'!A:I,7,FALSE)</f>
        <v>4</v>
      </c>
      <c r="H6006" s="1" t="str">
        <f>VLOOKUP(B6006,'old-aw-skill-plan'!A:I,9,FALSE)</f>
        <v>4-2</v>
      </c>
    </row>
    <row r="6007" ht="15.75" customHeight="1">
      <c r="A6007" s="1" t="s">
        <v>199</v>
      </c>
      <c r="B6007" s="1" t="s">
        <v>34</v>
      </c>
      <c r="C6007" s="1" t="s">
        <v>11</v>
      </c>
      <c r="D6007" s="5">
        <v>45224.0</v>
      </c>
      <c r="G6007" s="1">
        <f>VLOOKUP(B6007,'old-aw-skill-plan'!A:I,7,FALSE)</f>
        <v>4</v>
      </c>
      <c r="H6007" s="1" t="str">
        <f>VLOOKUP(B6007,'old-aw-skill-plan'!A:I,9,FALSE)</f>
        <v>4-1</v>
      </c>
    </row>
    <row r="6008" ht="15.75" customHeight="1">
      <c r="A6008" s="1" t="s">
        <v>480</v>
      </c>
      <c r="B6008" s="1" t="s">
        <v>10</v>
      </c>
      <c r="C6008" s="1" t="s">
        <v>11</v>
      </c>
      <c r="D6008" s="5">
        <v>45224.0</v>
      </c>
      <c r="G6008" s="1">
        <f>VLOOKUP(B6008,'old-aw-skill-plan'!A:I,7,FALSE)</f>
        <v>3</v>
      </c>
      <c r="H6008" s="1" t="str">
        <f>VLOOKUP(B6008,'old-aw-skill-plan'!A:I,9,FALSE)</f>
        <v>3-1</v>
      </c>
    </row>
    <row r="6009" ht="15.75" customHeight="1">
      <c r="A6009" s="1" t="s">
        <v>273</v>
      </c>
      <c r="B6009" s="1" t="s">
        <v>47</v>
      </c>
      <c r="C6009" s="1" t="s">
        <v>11</v>
      </c>
      <c r="D6009" s="5">
        <v>45224.0</v>
      </c>
      <c r="G6009" s="1">
        <f>VLOOKUP(B6009,'old-aw-skill-plan'!A:I,7,FALSE)</f>
        <v>3</v>
      </c>
      <c r="H6009" s="1" t="str">
        <f>VLOOKUP(B6009,'old-aw-skill-plan'!A:I,9,FALSE)</f>
        <v>3-2</v>
      </c>
    </row>
    <row r="6010" ht="15.75" customHeight="1">
      <c r="A6010" s="1" t="s">
        <v>273</v>
      </c>
      <c r="B6010" s="1" t="s">
        <v>356</v>
      </c>
      <c r="C6010" s="1" t="s">
        <v>11</v>
      </c>
      <c r="D6010" s="5">
        <v>45224.0</v>
      </c>
      <c r="G6010" s="1">
        <f>VLOOKUP(B6010,'old-aw-skill-plan'!A:I,7,FALSE)</f>
        <v>3</v>
      </c>
      <c r="H6010" s="1" t="str">
        <f>VLOOKUP(B6010,'old-aw-skill-plan'!A:I,9,FALSE)</f>
        <v>3-2</v>
      </c>
    </row>
    <row r="6011" ht="15.75" customHeight="1">
      <c r="A6011" s="1" t="s">
        <v>460</v>
      </c>
      <c r="B6011" s="1" t="s">
        <v>44</v>
      </c>
      <c r="C6011" s="1" t="s">
        <v>11</v>
      </c>
      <c r="D6011" s="5">
        <v>45224.0</v>
      </c>
      <c r="G6011" s="1">
        <f>VLOOKUP(B6011,'old-aw-skill-plan'!A:I,7,FALSE)</f>
        <v>5</v>
      </c>
      <c r="H6011" s="1" t="str">
        <f>VLOOKUP(B6011,'old-aw-skill-plan'!A:I,9,FALSE)</f>
        <v>5-1</v>
      </c>
    </row>
    <row r="6012" ht="15.75" customHeight="1">
      <c r="A6012" s="1" t="s">
        <v>469</v>
      </c>
      <c r="B6012" s="1" t="s">
        <v>34</v>
      </c>
      <c r="C6012" s="1" t="s">
        <v>11</v>
      </c>
      <c r="D6012" s="5">
        <v>45224.0</v>
      </c>
      <c r="G6012" s="1">
        <f>VLOOKUP(B6012,'old-aw-skill-plan'!A:I,7,FALSE)</f>
        <v>4</v>
      </c>
      <c r="H6012" s="1" t="str">
        <f>VLOOKUP(B6012,'old-aw-skill-plan'!A:I,9,FALSE)</f>
        <v>4-1</v>
      </c>
    </row>
    <row r="6013" ht="15.75" customHeight="1">
      <c r="A6013" s="1" t="s">
        <v>220</v>
      </c>
      <c r="B6013" s="1" t="s">
        <v>30</v>
      </c>
      <c r="C6013" s="1" t="s">
        <v>11</v>
      </c>
      <c r="D6013" s="5">
        <v>45224.0</v>
      </c>
      <c r="G6013" s="1">
        <f>VLOOKUP(B6013,'old-aw-skill-plan'!A:I,7,FALSE)</f>
        <v>3</v>
      </c>
      <c r="H6013" s="1" t="str">
        <f>VLOOKUP(B6013,'old-aw-skill-plan'!A:I,9,FALSE)</f>
        <v>3-3</v>
      </c>
    </row>
    <row r="6014" ht="15.75" customHeight="1">
      <c r="A6014" s="1" t="s">
        <v>220</v>
      </c>
      <c r="B6014" s="1" t="s">
        <v>47</v>
      </c>
      <c r="C6014" s="1" t="s">
        <v>11</v>
      </c>
      <c r="D6014" s="5">
        <v>45224.0</v>
      </c>
      <c r="G6014" s="1">
        <f>VLOOKUP(B6014,'old-aw-skill-plan'!A:I,7,FALSE)</f>
        <v>3</v>
      </c>
      <c r="H6014" s="1" t="str">
        <f>VLOOKUP(B6014,'old-aw-skill-plan'!A:I,9,FALSE)</f>
        <v>3-2</v>
      </c>
    </row>
    <row r="6015" ht="15.75" customHeight="1">
      <c r="A6015" s="1" t="s">
        <v>220</v>
      </c>
      <c r="B6015" s="1" t="s">
        <v>425</v>
      </c>
      <c r="C6015" s="1" t="s">
        <v>11</v>
      </c>
      <c r="D6015" s="5">
        <v>45224.0</v>
      </c>
      <c r="G6015" s="1">
        <f>VLOOKUP(B6015,'old-aw-skill-plan'!A:I,7,FALSE)</f>
        <v>3</v>
      </c>
      <c r="H6015" s="1" t="str">
        <f>VLOOKUP(B6015,'old-aw-skill-plan'!A:I,9,FALSE)</f>
        <v>3-1</v>
      </c>
    </row>
    <row r="6016" ht="15.75" customHeight="1">
      <c r="A6016" s="1" t="s">
        <v>220</v>
      </c>
      <c r="B6016" s="1" t="s">
        <v>352</v>
      </c>
      <c r="C6016" s="1" t="s">
        <v>11</v>
      </c>
      <c r="D6016" s="5">
        <v>45224.0</v>
      </c>
      <c r="G6016" s="1">
        <f>VLOOKUP(B6016,'old-aw-skill-plan'!A:I,7,FALSE)</f>
        <v>3</v>
      </c>
      <c r="H6016" s="1" t="str">
        <f>VLOOKUP(B6016,'old-aw-skill-plan'!A:I,9,FALSE)</f>
        <v>3-2</v>
      </c>
    </row>
    <row r="6017" ht="15.75" customHeight="1">
      <c r="A6017" s="1" t="s">
        <v>220</v>
      </c>
      <c r="B6017" s="1" t="s">
        <v>37</v>
      </c>
      <c r="C6017" s="1" t="s">
        <v>11</v>
      </c>
      <c r="D6017" s="5">
        <v>45224.0</v>
      </c>
      <c r="G6017" s="1">
        <f>VLOOKUP(B6017,'old-aw-skill-plan'!A:I,7,FALSE)</f>
        <v>4</v>
      </c>
      <c r="H6017" s="1" t="str">
        <f>VLOOKUP(B6017,'old-aw-skill-plan'!A:I,9,FALSE)</f>
        <v>4-2</v>
      </c>
    </row>
    <row r="6018" ht="15.75" customHeight="1">
      <c r="A6018" s="1" t="s">
        <v>237</v>
      </c>
      <c r="B6018" s="1" t="s">
        <v>30</v>
      </c>
      <c r="C6018" s="1" t="s">
        <v>11</v>
      </c>
      <c r="D6018" s="5">
        <v>45224.0</v>
      </c>
      <c r="G6018" s="1">
        <f>VLOOKUP(B6018,'old-aw-skill-plan'!A:I,7,FALSE)</f>
        <v>3</v>
      </c>
      <c r="H6018" s="1" t="str">
        <f>VLOOKUP(B6018,'old-aw-skill-plan'!A:I,9,FALSE)</f>
        <v>3-3</v>
      </c>
    </row>
    <row r="6019" ht="15.75" customHeight="1">
      <c r="A6019" s="1" t="s">
        <v>237</v>
      </c>
      <c r="B6019" s="1" t="s">
        <v>47</v>
      </c>
      <c r="C6019" s="1" t="s">
        <v>11</v>
      </c>
      <c r="D6019" s="5">
        <v>45224.0</v>
      </c>
      <c r="G6019" s="1">
        <f>VLOOKUP(B6019,'old-aw-skill-plan'!A:I,7,FALSE)</f>
        <v>3</v>
      </c>
      <c r="H6019" s="1" t="str">
        <f>VLOOKUP(B6019,'old-aw-skill-plan'!A:I,9,FALSE)</f>
        <v>3-2</v>
      </c>
    </row>
    <row r="6020" ht="15.75" customHeight="1">
      <c r="A6020" s="1" t="s">
        <v>237</v>
      </c>
      <c r="B6020" s="1" t="s">
        <v>307</v>
      </c>
      <c r="C6020" s="1" t="s">
        <v>11</v>
      </c>
      <c r="D6020" s="5">
        <v>45224.0</v>
      </c>
      <c r="G6020" s="1">
        <f>VLOOKUP(B6020,'old-aw-skill-plan'!A:I,7,FALSE)</f>
        <v>3</v>
      </c>
      <c r="H6020" s="1" t="str">
        <f>VLOOKUP(B6020,'old-aw-skill-plan'!A:I,9,FALSE)</f>
        <v>3-1</v>
      </c>
    </row>
    <row r="6021" ht="15.75" customHeight="1">
      <c r="A6021" s="1" t="s">
        <v>267</v>
      </c>
      <c r="B6021" s="1" t="s">
        <v>44</v>
      </c>
      <c r="C6021" s="1" t="s">
        <v>11</v>
      </c>
      <c r="D6021" s="5">
        <v>45224.0</v>
      </c>
      <c r="G6021" s="1">
        <f>VLOOKUP(B6021,'old-aw-skill-plan'!A:I,7,FALSE)</f>
        <v>5</v>
      </c>
      <c r="H6021" s="1" t="str">
        <f>VLOOKUP(B6021,'old-aw-skill-plan'!A:I,9,FALSE)</f>
        <v>5-1</v>
      </c>
    </row>
    <row r="6022" ht="15.75" customHeight="1">
      <c r="A6022" s="1" t="s">
        <v>465</v>
      </c>
      <c r="B6022" s="1" t="s">
        <v>10</v>
      </c>
      <c r="C6022" s="1" t="s">
        <v>11</v>
      </c>
      <c r="D6022" s="5">
        <v>45224.0</v>
      </c>
      <c r="G6022" s="1">
        <f>VLOOKUP(B6022,'old-aw-skill-plan'!A:I,7,FALSE)</f>
        <v>3</v>
      </c>
      <c r="H6022" s="1" t="str">
        <f>VLOOKUP(B6022,'old-aw-skill-plan'!A:I,9,FALSE)</f>
        <v>3-1</v>
      </c>
    </row>
    <row r="6023" ht="15.75" customHeight="1">
      <c r="A6023" s="1" t="s">
        <v>465</v>
      </c>
      <c r="B6023" s="1" t="s">
        <v>47</v>
      </c>
      <c r="C6023" s="1" t="s">
        <v>11</v>
      </c>
      <c r="D6023" s="5">
        <v>45224.0</v>
      </c>
      <c r="G6023" s="1">
        <f>VLOOKUP(B6023,'old-aw-skill-plan'!A:I,7,FALSE)</f>
        <v>3</v>
      </c>
      <c r="H6023" s="1" t="str">
        <f>VLOOKUP(B6023,'old-aw-skill-plan'!A:I,9,FALSE)</f>
        <v>3-2</v>
      </c>
    </row>
    <row r="6024" ht="15.75" customHeight="1">
      <c r="A6024" s="1" t="s">
        <v>465</v>
      </c>
      <c r="B6024" s="1" t="s">
        <v>356</v>
      </c>
      <c r="C6024" s="1" t="s">
        <v>11</v>
      </c>
      <c r="D6024" s="5">
        <v>45224.0</v>
      </c>
      <c r="G6024" s="1">
        <f>VLOOKUP(B6024,'old-aw-skill-plan'!A:I,7,FALSE)</f>
        <v>3</v>
      </c>
      <c r="H6024" s="1" t="str">
        <f>VLOOKUP(B6024,'old-aw-skill-plan'!A:I,9,FALSE)</f>
        <v>3-2</v>
      </c>
    </row>
    <row r="6025" ht="15.75" customHeight="1">
      <c r="A6025" s="1" t="s">
        <v>419</v>
      </c>
      <c r="B6025" s="1" t="s">
        <v>10</v>
      </c>
      <c r="C6025" s="1" t="s">
        <v>11</v>
      </c>
      <c r="D6025" s="5">
        <v>45224.0</v>
      </c>
      <c r="G6025" s="1">
        <f>VLOOKUP(B6025,'old-aw-skill-plan'!A:I,7,FALSE)</f>
        <v>3</v>
      </c>
      <c r="H6025" s="1" t="str">
        <f>VLOOKUP(B6025,'old-aw-skill-plan'!A:I,9,FALSE)</f>
        <v>3-1</v>
      </c>
    </row>
    <row r="6026" ht="15.75" customHeight="1">
      <c r="A6026" s="1" t="s">
        <v>454</v>
      </c>
      <c r="B6026" s="1" t="s">
        <v>10</v>
      </c>
      <c r="C6026" s="1" t="s">
        <v>11</v>
      </c>
      <c r="D6026" s="5">
        <v>45224.0</v>
      </c>
      <c r="G6026" s="1">
        <f>VLOOKUP(B6026,'old-aw-skill-plan'!A:I,7,FALSE)</f>
        <v>3</v>
      </c>
      <c r="H6026" s="1" t="str">
        <f>VLOOKUP(B6026,'old-aw-skill-plan'!A:I,9,FALSE)</f>
        <v>3-1</v>
      </c>
    </row>
    <row r="6027" ht="15.75" customHeight="1">
      <c r="A6027" s="1" t="s">
        <v>459</v>
      </c>
      <c r="B6027" s="1" t="s">
        <v>10</v>
      </c>
      <c r="C6027" s="1" t="s">
        <v>11</v>
      </c>
      <c r="D6027" s="5">
        <v>45224.0</v>
      </c>
      <c r="G6027" s="1">
        <f>VLOOKUP(B6027,'old-aw-skill-plan'!A:I,7,FALSE)</f>
        <v>3</v>
      </c>
      <c r="H6027" s="1" t="str">
        <f>VLOOKUP(B6027,'old-aw-skill-plan'!A:I,9,FALSE)</f>
        <v>3-1</v>
      </c>
    </row>
    <row r="6028" ht="15.75" customHeight="1">
      <c r="A6028" s="1" t="s">
        <v>459</v>
      </c>
      <c r="B6028" s="1" t="s">
        <v>30</v>
      </c>
      <c r="C6028" s="1" t="s">
        <v>11</v>
      </c>
      <c r="D6028" s="5">
        <v>45224.0</v>
      </c>
      <c r="G6028" s="1">
        <f>VLOOKUP(B6028,'old-aw-skill-plan'!A:I,7,FALSE)</f>
        <v>3</v>
      </c>
      <c r="H6028" s="1" t="str">
        <f>VLOOKUP(B6028,'old-aw-skill-plan'!A:I,9,FALSE)</f>
        <v>3-3</v>
      </c>
    </row>
    <row r="6029" ht="15.75" customHeight="1">
      <c r="A6029" s="1" t="s">
        <v>459</v>
      </c>
      <c r="B6029" s="1" t="s">
        <v>47</v>
      </c>
      <c r="C6029" s="1" t="s">
        <v>11</v>
      </c>
      <c r="D6029" s="5">
        <v>45224.0</v>
      </c>
      <c r="G6029" s="1">
        <f>VLOOKUP(B6029,'old-aw-skill-plan'!A:I,7,FALSE)</f>
        <v>3</v>
      </c>
      <c r="H6029" s="1" t="str">
        <f>VLOOKUP(B6029,'old-aw-skill-plan'!A:I,9,FALSE)</f>
        <v>3-2</v>
      </c>
    </row>
    <row r="6030" ht="15.75" customHeight="1">
      <c r="A6030" s="1" t="s">
        <v>238</v>
      </c>
      <c r="B6030" s="1" t="s">
        <v>37</v>
      </c>
      <c r="C6030" s="1" t="s">
        <v>11</v>
      </c>
      <c r="D6030" s="5">
        <v>45224.0</v>
      </c>
      <c r="G6030" s="1">
        <f>VLOOKUP(B6030,'old-aw-skill-plan'!A:I,7,FALSE)</f>
        <v>4</v>
      </c>
      <c r="H6030" s="1" t="str">
        <f>VLOOKUP(B6030,'old-aw-skill-plan'!A:I,9,FALSE)</f>
        <v>4-2</v>
      </c>
    </row>
    <row r="6031" ht="15.75" customHeight="1">
      <c r="A6031" s="1" t="s">
        <v>56</v>
      </c>
      <c r="B6031" s="1" t="s">
        <v>10</v>
      </c>
      <c r="C6031" s="1" t="s">
        <v>11</v>
      </c>
      <c r="D6031" s="5">
        <v>45224.0</v>
      </c>
      <c r="G6031" s="1">
        <f>VLOOKUP(B6031,'old-aw-skill-plan'!A:I,7,FALSE)</f>
        <v>3</v>
      </c>
      <c r="H6031" s="1" t="str">
        <f>VLOOKUP(B6031,'old-aw-skill-plan'!A:I,9,FALSE)</f>
        <v>3-1</v>
      </c>
    </row>
    <row r="6032" ht="15.75" customHeight="1">
      <c r="A6032" s="1" t="s">
        <v>56</v>
      </c>
      <c r="B6032" s="1" t="s">
        <v>30</v>
      </c>
      <c r="C6032" s="1" t="s">
        <v>11</v>
      </c>
      <c r="D6032" s="5">
        <v>45224.0</v>
      </c>
      <c r="G6032" s="1">
        <f>VLOOKUP(B6032,'old-aw-skill-plan'!A:I,7,FALSE)</f>
        <v>3</v>
      </c>
      <c r="H6032" s="1" t="str">
        <f>VLOOKUP(B6032,'old-aw-skill-plan'!A:I,9,FALSE)</f>
        <v>3-3</v>
      </c>
    </row>
    <row r="6033" ht="15.75" customHeight="1">
      <c r="A6033" s="1" t="s">
        <v>81</v>
      </c>
      <c r="B6033" s="1" t="s">
        <v>34</v>
      </c>
      <c r="C6033" s="1" t="s">
        <v>11</v>
      </c>
      <c r="D6033" s="5">
        <v>45224.0</v>
      </c>
      <c r="G6033" s="1">
        <f>VLOOKUP(B6033,'old-aw-skill-plan'!A:I,7,FALSE)</f>
        <v>4</v>
      </c>
      <c r="H6033" s="1" t="str">
        <f>VLOOKUP(B6033,'old-aw-skill-plan'!A:I,9,FALSE)</f>
        <v>4-1</v>
      </c>
    </row>
    <row r="6034" ht="15.75" customHeight="1">
      <c r="A6034" s="1" t="s">
        <v>421</v>
      </c>
      <c r="B6034" s="1" t="s">
        <v>47</v>
      </c>
      <c r="C6034" s="1" t="s">
        <v>11</v>
      </c>
      <c r="D6034" s="5">
        <v>45224.0</v>
      </c>
      <c r="G6034" s="1">
        <f>VLOOKUP(B6034,'old-aw-skill-plan'!A:I,7,FALSE)</f>
        <v>3</v>
      </c>
      <c r="H6034" s="1" t="str">
        <f>VLOOKUP(B6034,'old-aw-skill-plan'!A:I,9,FALSE)</f>
        <v>3-2</v>
      </c>
    </row>
    <row r="6035" ht="15.75" customHeight="1">
      <c r="A6035" s="1" t="s">
        <v>230</v>
      </c>
      <c r="B6035" s="1" t="s">
        <v>10</v>
      </c>
      <c r="C6035" s="1" t="s">
        <v>11</v>
      </c>
      <c r="D6035" s="5">
        <v>45224.0</v>
      </c>
      <c r="G6035" s="1">
        <f>VLOOKUP(B6035,'old-aw-skill-plan'!A:I,7,FALSE)</f>
        <v>3</v>
      </c>
      <c r="H6035" s="1" t="str">
        <f>VLOOKUP(B6035,'old-aw-skill-plan'!A:I,9,FALSE)</f>
        <v>3-1</v>
      </c>
    </row>
    <row r="6036" ht="15.75" customHeight="1">
      <c r="A6036" s="1" t="s">
        <v>428</v>
      </c>
      <c r="B6036" s="1" t="s">
        <v>34</v>
      </c>
      <c r="C6036" s="1" t="s">
        <v>11</v>
      </c>
      <c r="D6036" s="5">
        <v>45224.0</v>
      </c>
      <c r="G6036" s="1">
        <f>VLOOKUP(B6036,'old-aw-skill-plan'!A:I,7,FALSE)</f>
        <v>4</v>
      </c>
      <c r="H6036" s="1" t="str">
        <f>VLOOKUP(B6036,'old-aw-skill-plan'!A:I,9,FALSE)</f>
        <v>4-1</v>
      </c>
    </row>
    <row r="6037" ht="15.75" customHeight="1">
      <c r="A6037" s="1" t="s">
        <v>420</v>
      </c>
      <c r="B6037" s="1" t="s">
        <v>10</v>
      </c>
      <c r="C6037" s="1" t="s">
        <v>11</v>
      </c>
      <c r="D6037" s="5">
        <v>45224.0</v>
      </c>
      <c r="G6037" s="1">
        <f>VLOOKUP(B6037,'old-aw-skill-plan'!A:I,7,FALSE)</f>
        <v>3</v>
      </c>
      <c r="H6037" s="1" t="str">
        <f>VLOOKUP(B6037,'old-aw-skill-plan'!A:I,9,FALSE)</f>
        <v>3-1</v>
      </c>
    </row>
    <row r="6038" ht="15.75" customHeight="1">
      <c r="A6038" s="1" t="s">
        <v>275</v>
      </c>
      <c r="B6038" s="1" t="s">
        <v>47</v>
      </c>
      <c r="C6038" s="1" t="s">
        <v>11</v>
      </c>
      <c r="D6038" s="5">
        <v>45224.0</v>
      </c>
      <c r="G6038" s="1">
        <f>VLOOKUP(B6038,'old-aw-skill-plan'!A:I,7,FALSE)</f>
        <v>3</v>
      </c>
      <c r="H6038" s="1" t="str">
        <f>VLOOKUP(B6038,'old-aw-skill-plan'!A:I,9,FALSE)</f>
        <v>3-2</v>
      </c>
    </row>
    <row r="6039" ht="15.75" customHeight="1">
      <c r="A6039" s="1" t="s">
        <v>276</v>
      </c>
      <c r="B6039" s="1" t="s">
        <v>104</v>
      </c>
      <c r="C6039" s="1" t="s">
        <v>11</v>
      </c>
      <c r="D6039" s="5">
        <v>45224.0</v>
      </c>
      <c r="G6039" s="1">
        <f>VLOOKUP(B6039,'old-aw-skill-plan'!A:I,7,FALSE)</f>
        <v>5</v>
      </c>
      <c r="H6039" s="1" t="str">
        <f>VLOOKUP(B6039,'old-aw-skill-plan'!A:I,9,FALSE)</f>
        <v>5-2</v>
      </c>
    </row>
    <row r="6040" ht="15.75" customHeight="1">
      <c r="A6040" s="1" t="s">
        <v>203</v>
      </c>
      <c r="B6040" s="1" t="s">
        <v>44</v>
      </c>
      <c r="C6040" s="1" t="s">
        <v>11</v>
      </c>
      <c r="D6040" s="5">
        <v>45224.0</v>
      </c>
      <c r="G6040" s="1">
        <f>VLOOKUP(B6040,'old-aw-skill-plan'!A:I,7,FALSE)</f>
        <v>5</v>
      </c>
      <c r="H6040" s="1" t="str">
        <f>VLOOKUP(B6040,'old-aw-skill-plan'!A:I,9,FALSE)</f>
        <v>5-1</v>
      </c>
    </row>
    <row r="6041" ht="15.75" customHeight="1">
      <c r="A6041" s="1" t="s">
        <v>268</v>
      </c>
      <c r="B6041" s="1" t="s">
        <v>307</v>
      </c>
      <c r="C6041" s="1" t="s">
        <v>11</v>
      </c>
      <c r="D6041" s="5">
        <v>45224.0</v>
      </c>
      <c r="G6041" s="1">
        <f>VLOOKUP(B6041,'old-aw-skill-plan'!A:I,7,FALSE)</f>
        <v>3</v>
      </c>
      <c r="H6041" s="1" t="str">
        <f>VLOOKUP(B6041,'old-aw-skill-plan'!A:I,9,FALSE)</f>
        <v>3-1</v>
      </c>
    </row>
    <row r="6042" ht="15.75" customHeight="1">
      <c r="A6042" s="1" t="s">
        <v>268</v>
      </c>
      <c r="B6042" s="1" t="s">
        <v>383</v>
      </c>
      <c r="C6042" s="1" t="s">
        <v>11</v>
      </c>
      <c r="D6042" s="5">
        <v>45224.0</v>
      </c>
      <c r="G6042" s="1">
        <f>VLOOKUP(B6042,'old-aw-skill-plan'!A:I,7,FALSE)</f>
        <v>3</v>
      </c>
      <c r="H6042" s="1" t="str">
        <f>VLOOKUP(B6042,'old-aw-skill-plan'!A:I,9,FALSE)</f>
        <v>3-3</v>
      </c>
    </row>
    <row r="6043" ht="15.75" customHeight="1">
      <c r="A6043" s="1" t="s">
        <v>268</v>
      </c>
      <c r="B6043" s="1" t="s">
        <v>356</v>
      </c>
      <c r="C6043" s="1" t="s">
        <v>11</v>
      </c>
      <c r="D6043" s="5">
        <v>45224.0</v>
      </c>
      <c r="G6043" s="1">
        <f>VLOOKUP(B6043,'old-aw-skill-plan'!A:I,7,FALSE)</f>
        <v>3</v>
      </c>
      <c r="H6043" s="1" t="str">
        <f>VLOOKUP(B6043,'old-aw-skill-plan'!A:I,9,FALSE)</f>
        <v>3-2</v>
      </c>
    </row>
    <row r="6044" ht="15.75" customHeight="1">
      <c r="A6044" s="1" t="s">
        <v>461</v>
      </c>
      <c r="B6044" s="1" t="s">
        <v>44</v>
      </c>
      <c r="C6044" s="1" t="s">
        <v>11</v>
      </c>
      <c r="D6044" s="5">
        <v>45224.0</v>
      </c>
      <c r="G6044" s="1">
        <f>VLOOKUP(B6044,'old-aw-skill-plan'!A:I,7,FALSE)</f>
        <v>5</v>
      </c>
      <c r="H6044" s="1" t="str">
        <f>VLOOKUP(B6044,'old-aw-skill-plan'!A:I,9,FALSE)</f>
        <v>5-1</v>
      </c>
    </row>
    <row r="6045" ht="15.75" customHeight="1">
      <c r="A6045" s="1" t="s">
        <v>432</v>
      </c>
      <c r="B6045" s="1" t="s">
        <v>10</v>
      </c>
      <c r="C6045" s="1" t="s">
        <v>11</v>
      </c>
      <c r="D6045" s="5">
        <v>45224.0</v>
      </c>
      <c r="G6045" s="1">
        <f>VLOOKUP(B6045,'old-aw-skill-plan'!A:I,7,FALSE)</f>
        <v>3</v>
      </c>
      <c r="H6045" s="1" t="str">
        <f>VLOOKUP(B6045,'old-aw-skill-plan'!A:I,9,FALSE)</f>
        <v>3-1</v>
      </c>
    </row>
    <row r="6046" ht="15.75" customHeight="1">
      <c r="A6046" s="1" t="s">
        <v>214</v>
      </c>
      <c r="B6046" s="1" t="s">
        <v>30</v>
      </c>
      <c r="C6046" s="1" t="s">
        <v>11</v>
      </c>
      <c r="D6046" s="5">
        <v>45224.0</v>
      </c>
      <c r="G6046" s="1">
        <f>VLOOKUP(B6046,'old-aw-skill-plan'!A:I,7,FALSE)</f>
        <v>3</v>
      </c>
      <c r="H6046" s="1" t="str">
        <f>VLOOKUP(B6046,'old-aw-skill-plan'!A:I,9,FALSE)</f>
        <v>3-3</v>
      </c>
    </row>
    <row r="6047" ht="15.75" customHeight="1">
      <c r="A6047" s="1" t="s">
        <v>197</v>
      </c>
      <c r="B6047" s="1" t="s">
        <v>34</v>
      </c>
      <c r="C6047" s="1" t="s">
        <v>11</v>
      </c>
      <c r="D6047" s="5">
        <v>45224.0</v>
      </c>
      <c r="G6047" s="1">
        <f>VLOOKUP(B6047,'old-aw-skill-plan'!A:I,7,FALSE)</f>
        <v>4</v>
      </c>
      <c r="H6047" s="1" t="str">
        <f>VLOOKUP(B6047,'old-aw-skill-plan'!A:I,9,FALSE)</f>
        <v>4-1</v>
      </c>
    </row>
    <row r="6048" ht="15.75" customHeight="1">
      <c r="A6048" s="1" t="s">
        <v>462</v>
      </c>
      <c r="B6048" s="1" t="s">
        <v>44</v>
      </c>
      <c r="C6048" s="1" t="s">
        <v>11</v>
      </c>
      <c r="D6048" s="5">
        <v>45224.0</v>
      </c>
      <c r="G6048" s="1">
        <f>VLOOKUP(B6048,'old-aw-skill-plan'!A:I,7,FALSE)</f>
        <v>5</v>
      </c>
      <c r="H6048" s="1" t="str">
        <f>VLOOKUP(B6048,'old-aw-skill-plan'!A:I,9,FALSE)</f>
        <v>5-1</v>
      </c>
    </row>
    <row r="6049" ht="15.75" customHeight="1">
      <c r="A6049" s="1" t="s">
        <v>181</v>
      </c>
      <c r="B6049" s="1" t="s">
        <v>307</v>
      </c>
      <c r="C6049" s="1" t="s">
        <v>11</v>
      </c>
      <c r="D6049" s="5">
        <v>45224.0</v>
      </c>
      <c r="G6049" s="1">
        <f>VLOOKUP(B6049,'old-aw-skill-plan'!A:I,7,FALSE)</f>
        <v>3</v>
      </c>
      <c r="H6049" s="1" t="str">
        <f>VLOOKUP(B6049,'old-aw-skill-plan'!A:I,9,FALSE)</f>
        <v>3-1</v>
      </c>
    </row>
    <row r="6050" ht="15.75" customHeight="1">
      <c r="A6050" s="1" t="s">
        <v>181</v>
      </c>
      <c r="B6050" s="1" t="s">
        <v>356</v>
      </c>
      <c r="C6050" s="1" t="s">
        <v>11</v>
      </c>
      <c r="D6050" s="5">
        <v>45224.0</v>
      </c>
      <c r="G6050" s="1">
        <f>VLOOKUP(B6050,'old-aw-skill-plan'!A:I,7,FALSE)</f>
        <v>3</v>
      </c>
      <c r="H6050" s="1" t="str">
        <f>VLOOKUP(B6050,'old-aw-skill-plan'!A:I,9,FALSE)</f>
        <v>3-2</v>
      </c>
    </row>
    <row r="6051" ht="15.75" customHeight="1">
      <c r="A6051" s="1" t="s">
        <v>181</v>
      </c>
      <c r="B6051" s="1" t="s">
        <v>352</v>
      </c>
      <c r="C6051" s="1" t="s">
        <v>11</v>
      </c>
      <c r="D6051" s="5">
        <v>45224.0</v>
      </c>
      <c r="G6051" s="1">
        <f>VLOOKUP(B6051,'old-aw-skill-plan'!A:I,7,FALSE)</f>
        <v>3</v>
      </c>
      <c r="H6051" s="1" t="str">
        <f>VLOOKUP(B6051,'old-aw-skill-plan'!A:I,9,FALSE)</f>
        <v>3-2</v>
      </c>
    </row>
    <row r="6052" ht="15.75" customHeight="1">
      <c r="A6052" s="1" t="s">
        <v>269</v>
      </c>
      <c r="B6052" s="1" t="s">
        <v>47</v>
      </c>
      <c r="C6052" s="1" t="s">
        <v>11</v>
      </c>
      <c r="D6052" s="5">
        <v>45224.0</v>
      </c>
      <c r="G6052" s="1">
        <f>VLOOKUP(B6052,'old-aw-skill-plan'!A:I,7,FALSE)</f>
        <v>3</v>
      </c>
      <c r="H6052" s="1" t="str">
        <f>VLOOKUP(B6052,'old-aw-skill-plan'!A:I,9,FALSE)</f>
        <v>3-2</v>
      </c>
    </row>
    <row r="6053" ht="15.75" customHeight="1">
      <c r="A6053" s="1" t="s">
        <v>226</v>
      </c>
      <c r="B6053" s="1" t="s">
        <v>10</v>
      </c>
      <c r="C6053" s="1" t="s">
        <v>11</v>
      </c>
      <c r="D6053" s="5">
        <v>45224.0</v>
      </c>
      <c r="G6053" s="1">
        <f>VLOOKUP(B6053,'old-aw-skill-plan'!A:I,7,FALSE)</f>
        <v>3</v>
      </c>
      <c r="H6053" s="1" t="str">
        <f>VLOOKUP(B6053,'old-aw-skill-plan'!A:I,9,FALSE)</f>
        <v>3-1</v>
      </c>
    </row>
    <row r="6054" ht="15.75" customHeight="1">
      <c r="A6054" s="1" t="s">
        <v>265</v>
      </c>
      <c r="B6054" s="1" t="s">
        <v>44</v>
      </c>
      <c r="C6054" s="1" t="s">
        <v>11</v>
      </c>
      <c r="D6054" s="5">
        <v>45224.0</v>
      </c>
      <c r="G6054" s="1">
        <f>VLOOKUP(B6054,'old-aw-skill-plan'!A:I,7,FALSE)</f>
        <v>5</v>
      </c>
      <c r="H6054" s="1" t="str">
        <f>VLOOKUP(B6054,'old-aw-skill-plan'!A:I,9,FALSE)</f>
        <v>5-1</v>
      </c>
    </row>
    <row r="6055" ht="15.75" customHeight="1">
      <c r="A6055" s="1" t="s">
        <v>278</v>
      </c>
      <c r="B6055" s="1" t="s">
        <v>47</v>
      </c>
      <c r="C6055" s="1" t="s">
        <v>11</v>
      </c>
      <c r="D6055" s="5">
        <v>45224.0</v>
      </c>
      <c r="G6055" s="1">
        <f>VLOOKUP(B6055,'old-aw-skill-plan'!A:I,7,FALSE)</f>
        <v>3</v>
      </c>
      <c r="H6055" s="1" t="str">
        <f>VLOOKUP(B6055,'old-aw-skill-plan'!A:I,9,FALSE)</f>
        <v>3-2</v>
      </c>
    </row>
    <row r="6056" ht="15.75" customHeight="1">
      <c r="A6056" s="1" t="s">
        <v>102</v>
      </c>
      <c r="B6056" s="1" t="s">
        <v>30</v>
      </c>
      <c r="C6056" s="1" t="s">
        <v>11</v>
      </c>
      <c r="D6056" s="5">
        <v>45224.0</v>
      </c>
      <c r="G6056" s="1">
        <f>VLOOKUP(B6056,'old-aw-skill-plan'!A:I,7,FALSE)</f>
        <v>3</v>
      </c>
      <c r="H6056" s="1" t="str">
        <f>VLOOKUP(B6056,'old-aw-skill-plan'!A:I,9,FALSE)</f>
        <v>3-3</v>
      </c>
    </row>
    <row r="6057" ht="15.75" customHeight="1">
      <c r="A6057" s="1" t="s">
        <v>102</v>
      </c>
      <c r="B6057" s="1" t="s">
        <v>47</v>
      </c>
      <c r="C6057" s="1" t="s">
        <v>11</v>
      </c>
      <c r="D6057" s="5">
        <v>45224.0</v>
      </c>
      <c r="G6057" s="1">
        <f>VLOOKUP(B6057,'old-aw-skill-plan'!A:I,7,FALSE)</f>
        <v>3</v>
      </c>
      <c r="H6057" s="1" t="str">
        <f>VLOOKUP(B6057,'old-aw-skill-plan'!A:I,9,FALSE)</f>
        <v>3-2</v>
      </c>
    </row>
    <row r="6058" ht="15.75" customHeight="1">
      <c r="A6058" s="1" t="s">
        <v>463</v>
      </c>
      <c r="B6058" s="1" t="s">
        <v>44</v>
      </c>
      <c r="C6058" s="1" t="s">
        <v>11</v>
      </c>
      <c r="D6058" s="5">
        <v>45224.0</v>
      </c>
      <c r="G6058" s="1">
        <f>VLOOKUP(B6058,'old-aw-skill-plan'!A:I,7,FALSE)</f>
        <v>5</v>
      </c>
      <c r="H6058" s="1" t="str">
        <f>VLOOKUP(B6058,'old-aw-skill-plan'!A:I,9,FALSE)</f>
        <v>5-1</v>
      </c>
    </row>
    <row r="6059" ht="15.75" customHeight="1">
      <c r="A6059" s="1" t="s">
        <v>457</v>
      </c>
      <c r="B6059" s="1" t="s">
        <v>10</v>
      </c>
      <c r="C6059" s="1" t="s">
        <v>11</v>
      </c>
      <c r="D6059" s="5">
        <v>45224.0</v>
      </c>
      <c r="G6059" s="1">
        <f>VLOOKUP(B6059,'old-aw-skill-plan'!A:I,7,FALSE)</f>
        <v>3</v>
      </c>
      <c r="H6059" s="1" t="str">
        <f>VLOOKUP(B6059,'old-aw-skill-plan'!A:I,9,FALSE)</f>
        <v>3-1</v>
      </c>
    </row>
    <row r="6060" ht="15.75" customHeight="1">
      <c r="A6060" s="1" t="s">
        <v>93</v>
      </c>
      <c r="B6060" s="1" t="s">
        <v>47</v>
      </c>
      <c r="C6060" s="1" t="s">
        <v>11</v>
      </c>
      <c r="D6060" s="5">
        <v>45224.0</v>
      </c>
      <c r="G6060" s="1">
        <f>VLOOKUP(B6060,'old-aw-skill-plan'!A:I,7,FALSE)</f>
        <v>3</v>
      </c>
      <c r="H6060" s="1" t="str">
        <f>VLOOKUP(B6060,'old-aw-skill-plan'!A:I,9,FALSE)</f>
        <v>3-2</v>
      </c>
    </row>
    <row r="6061" ht="15.75" customHeight="1">
      <c r="A6061" s="1" t="s">
        <v>94</v>
      </c>
      <c r="B6061" s="1" t="s">
        <v>10</v>
      </c>
      <c r="C6061" s="1" t="s">
        <v>11</v>
      </c>
      <c r="D6061" s="5">
        <v>45224.0</v>
      </c>
      <c r="G6061" s="1">
        <f>VLOOKUP(B6061,'old-aw-skill-plan'!A:I,7,FALSE)</f>
        <v>3</v>
      </c>
      <c r="H6061" s="1" t="str">
        <f>VLOOKUP(B6061,'old-aw-skill-plan'!A:I,9,FALSE)</f>
        <v>3-1</v>
      </c>
    </row>
    <row r="6062" ht="15.75" customHeight="1">
      <c r="A6062" s="1" t="s">
        <v>94</v>
      </c>
      <c r="B6062" s="1" t="s">
        <v>47</v>
      </c>
      <c r="C6062" s="1" t="s">
        <v>11</v>
      </c>
      <c r="D6062" s="5">
        <v>45224.0</v>
      </c>
      <c r="G6062" s="1">
        <f>VLOOKUP(B6062,'old-aw-skill-plan'!A:I,7,FALSE)</f>
        <v>3</v>
      </c>
      <c r="H6062" s="1" t="str">
        <f>VLOOKUP(B6062,'old-aw-skill-plan'!A:I,9,FALSE)</f>
        <v>3-2</v>
      </c>
    </row>
    <row r="6063" ht="15.75" customHeight="1">
      <c r="A6063" s="1" t="s">
        <v>468</v>
      </c>
      <c r="B6063" s="1" t="s">
        <v>10</v>
      </c>
      <c r="C6063" s="1" t="s">
        <v>11</v>
      </c>
      <c r="D6063" s="5">
        <v>45224.0</v>
      </c>
      <c r="G6063" s="1">
        <f>VLOOKUP(B6063,'old-aw-skill-plan'!A:I,7,FALSE)</f>
        <v>3</v>
      </c>
      <c r="H6063" s="1" t="str">
        <f>VLOOKUP(B6063,'old-aw-skill-plan'!A:I,9,FALSE)</f>
        <v>3-1</v>
      </c>
    </row>
    <row r="6064" ht="15.75" customHeight="1">
      <c r="A6064" s="1" t="s">
        <v>225</v>
      </c>
      <c r="B6064" s="1" t="s">
        <v>37</v>
      </c>
      <c r="C6064" s="1" t="s">
        <v>11</v>
      </c>
      <c r="D6064" s="5">
        <v>45224.0</v>
      </c>
      <c r="G6064" s="1">
        <f>VLOOKUP(B6064,'old-aw-skill-plan'!A:I,7,FALSE)</f>
        <v>4</v>
      </c>
      <c r="H6064" s="1" t="str">
        <f>VLOOKUP(B6064,'old-aw-skill-plan'!A:I,9,FALSE)</f>
        <v>4-2</v>
      </c>
    </row>
    <row r="6065" ht="15.75" customHeight="1">
      <c r="A6065" s="1" t="s">
        <v>427</v>
      </c>
      <c r="B6065" s="1" t="s">
        <v>10</v>
      </c>
      <c r="C6065" s="1" t="s">
        <v>11</v>
      </c>
      <c r="D6065" s="5">
        <v>45224.0</v>
      </c>
      <c r="G6065" s="1">
        <f>VLOOKUP(B6065,'old-aw-skill-plan'!A:I,7,FALSE)</f>
        <v>3</v>
      </c>
      <c r="H6065" s="1" t="str">
        <f>VLOOKUP(B6065,'old-aw-skill-plan'!A:I,9,FALSE)</f>
        <v>3-1</v>
      </c>
    </row>
    <row r="6066" ht="15.75" customHeight="1">
      <c r="A6066" s="1" t="s">
        <v>436</v>
      </c>
      <c r="B6066" s="1" t="s">
        <v>10</v>
      </c>
      <c r="C6066" s="1" t="s">
        <v>11</v>
      </c>
      <c r="D6066" s="5">
        <v>45224.0</v>
      </c>
      <c r="G6066" s="1">
        <f>VLOOKUP(B6066,'old-aw-skill-plan'!A:I,7,FALSE)</f>
        <v>3</v>
      </c>
      <c r="H6066" s="1" t="str">
        <f>VLOOKUP(B6066,'old-aw-skill-plan'!A:I,9,FALSE)</f>
        <v>3-1</v>
      </c>
    </row>
    <row r="6067" ht="15.75" customHeight="1">
      <c r="A6067" s="1" t="s">
        <v>464</v>
      </c>
      <c r="B6067" s="1" t="s">
        <v>44</v>
      </c>
      <c r="C6067" s="1" t="s">
        <v>11</v>
      </c>
      <c r="D6067" s="5">
        <v>45223.0</v>
      </c>
      <c r="G6067" s="1">
        <f>VLOOKUP(B6067,'old-aw-skill-plan'!A:I,7,FALSE)</f>
        <v>5</v>
      </c>
      <c r="H6067" s="1" t="str">
        <f>VLOOKUP(B6067,'old-aw-skill-plan'!A:I,9,FALSE)</f>
        <v>5-1</v>
      </c>
    </row>
    <row r="6068" ht="15.75" customHeight="1">
      <c r="A6068" s="1" t="s">
        <v>464</v>
      </c>
      <c r="B6068" s="1" t="s">
        <v>104</v>
      </c>
      <c r="C6068" s="1" t="s">
        <v>11</v>
      </c>
      <c r="D6068" s="5">
        <v>45223.0</v>
      </c>
      <c r="G6068" s="1">
        <f>VLOOKUP(B6068,'old-aw-skill-plan'!A:I,7,FALSE)</f>
        <v>5</v>
      </c>
      <c r="H6068" s="1" t="str">
        <f>VLOOKUP(B6068,'old-aw-skill-plan'!A:I,9,FALSE)</f>
        <v>5-2</v>
      </c>
    </row>
    <row r="6069" ht="15.75" customHeight="1">
      <c r="A6069" s="1" t="s">
        <v>266</v>
      </c>
      <c r="B6069" s="1" t="s">
        <v>10</v>
      </c>
      <c r="C6069" s="1" t="s">
        <v>11</v>
      </c>
      <c r="D6069" s="5">
        <v>45223.0</v>
      </c>
      <c r="G6069" s="1">
        <f>VLOOKUP(B6069,'old-aw-skill-plan'!A:I,7,FALSE)</f>
        <v>3</v>
      </c>
      <c r="H6069" s="1" t="str">
        <f>VLOOKUP(B6069,'old-aw-skill-plan'!A:I,9,FALSE)</f>
        <v>3-1</v>
      </c>
    </row>
    <row r="6070" ht="15.75" customHeight="1">
      <c r="A6070" s="1" t="s">
        <v>22</v>
      </c>
      <c r="B6070" s="1" t="s">
        <v>34</v>
      </c>
      <c r="C6070" s="1" t="s">
        <v>11</v>
      </c>
      <c r="D6070" s="5">
        <v>45223.0</v>
      </c>
      <c r="G6070" s="1">
        <f>VLOOKUP(B6070,'old-aw-skill-plan'!A:I,7,FALSE)</f>
        <v>4</v>
      </c>
      <c r="H6070" s="1" t="str">
        <f>VLOOKUP(B6070,'old-aw-skill-plan'!A:I,9,FALSE)</f>
        <v>4-1</v>
      </c>
    </row>
    <row r="6071" ht="15.75" customHeight="1">
      <c r="A6071" s="1" t="s">
        <v>474</v>
      </c>
      <c r="B6071" s="1" t="s">
        <v>10</v>
      </c>
      <c r="C6071" s="1" t="s">
        <v>11</v>
      </c>
      <c r="D6071" s="5">
        <v>45223.0</v>
      </c>
      <c r="G6071" s="1">
        <f>VLOOKUP(B6071,'old-aw-skill-plan'!A:I,7,FALSE)</f>
        <v>3</v>
      </c>
      <c r="H6071" s="1" t="str">
        <f>VLOOKUP(B6071,'old-aw-skill-plan'!A:I,9,FALSE)</f>
        <v>3-1</v>
      </c>
    </row>
    <row r="6072" ht="15.75" customHeight="1">
      <c r="A6072" s="1" t="s">
        <v>216</v>
      </c>
      <c r="B6072" s="1" t="s">
        <v>34</v>
      </c>
      <c r="C6072" s="1" t="s">
        <v>11</v>
      </c>
      <c r="D6072" s="5">
        <v>45223.0</v>
      </c>
      <c r="G6072" s="1">
        <f>VLOOKUP(B6072,'old-aw-skill-plan'!A:I,7,FALSE)</f>
        <v>4</v>
      </c>
      <c r="H6072" s="1" t="str">
        <f>VLOOKUP(B6072,'old-aw-skill-plan'!A:I,9,FALSE)</f>
        <v>4-1</v>
      </c>
    </row>
    <row r="6073" ht="15.75" customHeight="1">
      <c r="A6073" s="1" t="s">
        <v>35</v>
      </c>
      <c r="B6073" s="1" t="s">
        <v>34</v>
      </c>
      <c r="C6073" s="1" t="s">
        <v>11</v>
      </c>
      <c r="D6073" s="5">
        <v>45223.0</v>
      </c>
      <c r="G6073" s="1">
        <f>VLOOKUP(B6073,'old-aw-skill-plan'!A:I,7,FALSE)</f>
        <v>4</v>
      </c>
      <c r="H6073" s="1" t="str">
        <f>VLOOKUP(B6073,'old-aw-skill-plan'!A:I,9,FALSE)</f>
        <v>4-1</v>
      </c>
    </row>
    <row r="6074" ht="15.75" customHeight="1">
      <c r="A6074" s="1" t="s">
        <v>208</v>
      </c>
      <c r="B6074" s="1" t="s">
        <v>44</v>
      </c>
      <c r="C6074" s="1" t="s">
        <v>11</v>
      </c>
      <c r="D6074" s="5">
        <v>45223.0</v>
      </c>
      <c r="G6074" s="1">
        <f>VLOOKUP(B6074,'old-aw-skill-plan'!A:I,7,FALSE)</f>
        <v>5</v>
      </c>
      <c r="H6074" s="1" t="str">
        <f>VLOOKUP(B6074,'old-aw-skill-plan'!A:I,9,FALSE)</f>
        <v>5-1</v>
      </c>
    </row>
    <row r="6075" ht="15.75" customHeight="1">
      <c r="A6075" s="1" t="s">
        <v>24</v>
      </c>
      <c r="B6075" s="1" t="s">
        <v>34</v>
      </c>
      <c r="C6075" s="1" t="s">
        <v>11</v>
      </c>
      <c r="D6075" s="5">
        <v>45223.0</v>
      </c>
      <c r="G6075" s="1">
        <f>VLOOKUP(B6075,'old-aw-skill-plan'!A:I,7,FALSE)</f>
        <v>4</v>
      </c>
      <c r="H6075" s="1" t="str">
        <f>VLOOKUP(B6075,'old-aw-skill-plan'!A:I,9,FALSE)</f>
        <v>4-1</v>
      </c>
    </row>
    <row r="6076" ht="15.75" customHeight="1">
      <c r="A6076" s="1" t="s">
        <v>207</v>
      </c>
      <c r="B6076" s="1" t="s">
        <v>47</v>
      </c>
      <c r="C6076" s="1" t="s">
        <v>11</v>
      </c>
      <c r="D6076" s="5">
        <v>45223.0</v>
      </c>
      <c r="G6076" s="1">
        <f>VLOOKUP(B6076,'old-aw-skill-plan'!A:I,7,FALSE)</f>
        <v>3</v>
      </c>
      <c r="H6076" s="1" t="str">
        <f>VLOOKUP(B6076,'old-aw-skill-plan'!A:I,9,FALSE)</f>
        <v>3-2</v>
      </c>
    </row>
    <row r="6077" ht="15.75" customHeight="1">
      <c r="A6077" s="1" t="s">
        <v>458</v>
      </c>
      <c r="B6077" s="1" t="s">
        <v>10</v>
      </c>
      <c r="C6077" s="1" t="s">
        <v>11</v>
      </c>
      <c r="D6077" s="5">
        <v>45223.0</v>
      </c>
      <c r="G6077" s="1">
        <f>VLOOKUP(B6077,'old-aw-skill-plan'!A:I,7,FALSE)</f>
        <v>3</v>
      </c>
      <c r="H6077" s="1" t="str">
        <f>VLOOKUP(B6077,'old-aw-skill-plan'!A:I,9,FALSE)</f>
        <v>3-1</v>
      </c>
    </row>
    <row r="6078" ht="15.75" customHeight="1">
      <c r="A6078" s="1" t="s">
        <v>213</v>
      </c>
      <c r="B6078" s="1" t="s">
        <v>10</v>
      </c>
      <c r="C6078" s="1" t="s">
        <v>11</v>
      </c>
      <c r="D6078" s="5">
        <v>45223.0</v>
      </c>
      <c r="G6078" s="1">
        <f>VLOOKUP(B6078,'old-aw-skill-plan'!A:I,7,FALSE)</f>
        <v>3</v>
      </c>
      <c r="H6078" s="1" t="str">
        <f>VLOOKUP(B6078,'old-aw-skill-plan'!A:I,9,FALSE)</f>
        <v>3-1</v>
      </c>
    </row>
    <row r="6079" ht="15.75" customHeight="1">
      <c r="A6079" s="1" t="s">
        <v>475</v>
      </c>
      <c r="B6079" s="1" t="s">
        <v>34</v>
      </c>
      <c r="C6079" s="1" t="s">
        <v>11</v>
      </c>
      <c r="D6079" s="5">
        <v>45223.0</v>
      </c>
      <c r="G6079" s="1">
        <f>VLOOKUP(B6079,'old-aw-skill-plan'!A:I,7,FALSE)</f>
        <v>4</v>
      </c>
      <c r="H6079" s="1" t="str">
        <f>VLOOKUP(B6079,'old-aw-skill-plan'!A:I,9,FALSE)</f>
        <v>4-1</v>
      </c>
    </row>
    <row r="6080" ht="15.75" customHeight="1">
      <c r="A6080" s="1" t="s">
        <v>199</v>
      </c>
      <c r="B6080" s="1" t="s">
        <v>34</v>
      </c>
      <c r="C6080" s="1" t="s">
        <v>11</v>
      </c>
      <c r="D6080" s="5">
        <v>45223.0</v>
      </c>
      <c r="G6080" s="1">
        <f>VLOOKUP(B6080,'old-aw-skill-plan'!A:I,7,FALSE)</f>
        <v>4</v>
      </c>
      <c r="H6080" s="1" t="str">
        <f>VLOOKUP(B6080,'old-aw-skill-plan'!A:I,9,FALSE)</f>
        <v>4-1</v>
      </c>
    </row>
    <row r="6081" ht="15.75" customHeight="1">
      <c r="A6081" s="1" t="s">
        <v>273</v>
      </c>
      <c r="B6081" s="1" t="s">
        <v>30</v>
      </c>
      <c r="C6081" s="1" t="s">
        <v>11</v>
      </c>
      <c r="D6081" s="5">
        <v>45223.0</v>
      </c>
      <c r="G6081" s="1">
        <f>VLOOKUP(B6081,'old-aw-skill-plan'!A:I,7,FALSE)</f>
        <v>3</v>
      </c>
      <c r="H6081" s="1" t="str">
        <f>VLOOKUP(B6081,'old-aw-skill-plan'!A:I,9,FALSE)</f>
        <v>3-3</v>
      </c>
    </row>
    <row r="6082" ht="15.75" customHeight="1">
      <c r="A6082" s="1" t="s">
        <v>273</v>
      </c>
      <c r="B6082" s="1" t="s">
        <v>47</v>
      </c>
      <c r="C6082" s="1" t="s">
        <v>11</v>
      </c>
      <c r="D6082" s="5">
        <v>45223.0</v>
      </c>
      <c r="G6082" s="1">
        <f>VLOOKUP(B6082,'old-aw-skill-plan'!A:I,7,FALSE)</f>
        <v>3</v>
      </c>
      <c r="H6082" s="1" t="str">
        <f>VLOOKUP(B6082,'old-aw-skill-plan'!A:I,9,FALSE)</f>
        <v>3-2</v>
      </c>
    </row>
    <row r="6083" ht="15.75" customHeight="1">
      <c r="A6083" s="1" t="s">
        <v>273</v>
      </c>
      <c r="B6083" s="1" t="s">
        <v>307</v>
      </c>
      <c r="C6083" s="1" t="s">
        <v>11</v>
      </c>
      <c r="D6083" s="5">
        <v>45223.0</v>
      </c>
      <c r="G6083" s="1">
        <f>VLOOKUP(B6083,'old-aw-skill-plan'!A:I,7,FALSE)</f>
        <v>3</v>
      </c>
      <c r="H6083" s="1" t="str">
        <f>VLOOKUP(B6083,'old-aw-skill-plan'!A:I,9,FALSE)</f>
        <v>3-1</v>
      </c>
    </row>
    <row r="6084" ht="15.75" customHeight="1">
      <c r="A6084" s="1" t="s">
        <v>273</v>
      </c>
      <c r="B6084" s="1" t="s">
        <v>356</v>
      </c>
      <c r="C6084" s="1" t="s">
        <v>11</v>
      </c>
      <c r="D6084" s="5">
        <v>45223.0</v>
      </c>
      <c r="G6084" s="1">
        <f>VLOOKUP(B6084,'old-aw-skill-plan'!A:I,7,FALSE)</f>
        <v>3</v>
      </c>
      <c r="H6084" s="1" t="str">
        <f>VLOOKUP(B6084,'old-aw-skill-plan'!A:I,9,FALSE)</f>
        <v>3-2</v>
      </c>
    </row>
    <row r="6085" ht="15.75" customHeight="1">
      <c r="A6085" s="1" t="s">
        <v>460</v>
      </c>
      <c r="B6085" s="1" t="s">
        <v>44</v>
      </c>
      <c r="C6085" s="1" t="s">
        <v>11</v>
      </c>
      <c r="D6085" s="5">
        <v>45223.0</v>
      </c>
      <c r="G6085" s="1">
        <f>VLOOKUP(B6085,'old-aw-skill-plan'!A:I,7,FALSE)</f>
        <v>5</v>
      </c>
      <c r="H6085" s="1" t="str">
        <f>VLOOKUP(B6085,'old-aw-skill-plan'!A:I,9,FALSE)</f>
        <v>5-1</v>
      </c>
    </row>
    <row r="6086" ht="15.75" customHeight="1">
      <c r="A6086" s="1" t="s">
        <v>39</v>
      </c>
      <c r="B6086" s="1" t="s">
        <v>34</v>
      </c>
      <c r="C6086" s="1" t="s">
        <v>11</v>
      </c>
      <c r="D6086" s="5">
        <v>45223.0</v>
      </c>
      <c r="G6086" s="1">
        <f>VLOOKUP(B6086,'old-aw-skill-plan'!A:I,7,FALSE)</f>
        <v>4</v>
      </c>
      <c r="H6086" s="1" t="str">
        <f>VLOOKUP(B6086,'old-aw-skill-plan'!A:I,9,FALSE)</f>
        <v>4-1</v>
      </c>
    </row>
    <row r="6087" ht="15.75" customHeight="1">
      <c r="A6087" s="1" t="s">
        <v>469</v>
      </c>
      <c r="B6087" s="1" t="s">
        <v>34</v>
      </c>
      <c r="C6087" s="1" t="s">
        <v>11</v>
      </c>
      <c r="D6087" s="5">
        <v>45223.0</v>
      </c>
      <c r="G6087" s="1">
        <f>VLOOKUP(B6087,'old-aw-skill-plan'!A:I,7,FALSE)</f>
        <v>4</v>
      </c>
      <c r="H6087" s="1" t="str">
        <f>VLOOKUP(B6087,'old-aw-skill-plan'!A:I,9,FALSE)</f>
        <v>4-1</v>
      </c>
    </row>
    <row r="6088" ht="15.75" customHeight="1">
      <c r="A6088" s="1" t="s">
        <v>220</v>
      </c>
      <c r="B6088" s="1" t="s">
        <v>10</v>
      </c>
      <c r="C6088" s="1" t="s">
        <v>11</v>
      </c>
      <c r="D6088" s="5">
        <v>45223.0</v>
      </c>
      <c r="G6088" s="1">
        <f>VLOOKUP(B6088,'old-aw-skill-plan'!A:I,7,FALSE)</f>
        <v>3</v>
      </c>
      <c r="H6088" s="1" t="str">
        <f>VLOOKUP(B6088,'old-aw-skill-plan'!A:I,9,FALSE)</f>
        <v>3-1</v>
      </c>
    </row>
    <row r="6089" ht="15.75" customHeight="1">
      <c r="A6089" s="1" t="s">
        <v>220</v>
      </c>
      <c r="B6089" s="1" t="s">
        <v>47</v>
      </c>
      <c r="C6089" s="1" t="s">
        <v>11</v>
      </c>
      <c r="D6089" s="5">
        <v>45223.0</v>
      </c>
      <c r="G6089" s="1">
        <f>VLOOKUP(B6089,'old-aw-skill-plan'!A:I,7,FALSE)</f>
        <v>3</v>
      </c>
      <c r="H6089" s="1" t="str">
        <f>VLOOKUP(B6089,'old-aw-skill-plan'!A:I,9,FALSE)</f>
        <v>3-2</v>
      </c>
    </row>
    <row r="6090" ht="15.75" customHeight="1">
      <c r="A6090" s="1" t="s">
        <v>220</v>
      </c>
      <c r="B6090" s="1" t="s">
        <v>307</v>
      </c>
      <c r="C6090" s="1" t="s">
        <v>11</v>
      </c>
      <c r="D6090" s="5">
        <v>45223.0</v>
      </c>
      <c r="G6090" s="1">
        <f>VLOOKUP(B6090,'old-aw-skill-plan'!A:I,7,FALSE)</f>
        <v>3</v>
      </c>
      <c r="H6090" s="1" t="str">
        <f>VLOOKUP(B6090,'old-aw-skill-plan'!A:I,9,FALSE)</f>
        <v>3-1</v>
      </c>
    </row>
    <row r="6091" ht="15.75" customHeight="1">
      <c r="A6091" s="1" t="s">
        <v>220</v>
      </c>
      <c r="B6091" s="1" t="s">
        <v>356</v>
      </c>
      <c r="C6091" s="1" t="s">
        <v>11</v>
      </c>
      <c r="D6091" s="5">
        <v>45223.0</v>
      </c>
      <c r="G6091" s="1">
        <f>VLOOKUP(B6091,'old-aw-skill-plan'!A:I,7,FALSE)</f>
        <v>3</v>
      </c>
      <c r="H6091" s="1" t="str">
        <f>VLOOKUP(B6091,'old-aw-skill-plan'!A:I,9,FALSE)</f>
        <v>3-2</v>
      </c>
    </row>
    <row r="6092" ht="15.75" customHeight="1">
      <c r="A6092" s="1" t="s">
        <v>220</v>
      </c>
      <c r="B6092" s="1" t="s">
        <v>37</v>
      </c>
      <c r="C6092" s="1" t="s">
        <v>11</v>
      </c>
      <c r="D6092" s="5">
        <v>45223.0</v>
      </c>
      <c r="G6092" s="1">
        <f>VLOOKUP(B6092,'old-aw-skill-plan'!A:I,7,FALSE)</f>
        <v>4</v>
      </c>
      <c r="H6092" s="1" t="str">
        <f>VLOOKUP(B6092,'old-aw-skill-plan'!A:I,9,FALSE)</f>
        <v>4-2</v>
      </c>
    </row>
    <row r="6093" ht="15.75" customHeight="1">
      <c r="A6093" s="1" t="s">
        <v>237</v>
      </c>
      <c r="B6093" s="1" t="s">
        <v>10</v>
      </c>
      <c r="C6093" s="1" t="s">
        <v>11</v>
      </c>
      <c r="D6093" s="5">
        <v>45223.0</v>
      </c>
      <c r="G6093" s="1">
        <f>VLOOKUP(B6093,'old-aw-skill-plan'!A:I,7,FALSE)</f>
        <v>3</v>
      </c>
      <c r="H6093" s="1" t="str">
        <f>VLOOKUP(B6093,'old-aw-skill-plan'!A:I,9,FALSE)</f>
        <v>3-1</v>
      </c>
    </row>
    <row r="6094" ht="15.75" customHeight="1">
      <c r="A6094" s="1" t="s">
        <v>237</v>
      </c>
      <c r="B6094" s="1" t="s">
        <v>30</v>
      </c>
      <c r="C6094" s="1" t="s">
        <v>11</v>
      </c>
      <c r="D6094" s="5">
        <v>45223.0</v>
      </c>
      <c r="G6094" s="1">
        <f>VLOOKUP(B6094,'old-aw-skill-plan'!A:I,7,FALSE)</f>
        <v>3</v>
      </c>
      <c r="H6094" s="1" t="str">
        <f>VLOOKUP(B6094,'old-aw-skill-plan'!A:I,9,FALSE)</f>
        <v>3-3</v>
      </c>
    </row>
    <row r="6095" ht="15.75" customHeight="1">
      <c r="A6095" s="1" t="s">
        <v>237</v>
      </c>
      <c r="B6095" s="1" t="s">
        <v>47</v>
      </c>
      <c r="C6095" s="1" t="s">
        <v>11</v>
      </c>
      <c r="D6095" s="5">
        <v>45223.0</v>
      </c>
      <c r="G6095" s="1">
        <f>VLOOKUP(B6095,'old-aw-skill-plan'!A:I,7,FALSE)</f>
        <v>3</v>
      </c>
      <c r="H6095" s="1" t="str">
        <f>VLOOKUP(B6095,'old-aw-skill-plan'!A:I,9,FALSE)</f>
        <v>3-2</v>
      </c>
    </row>
    <row r="6096" ht="15.75" customHeight="1">
      <c r="A6096" s="1" t="s">
        <v>237</v>
      </c>
      <c r="B6096" s="1" t="s">
        <v>307</v>
      </c>
      <c r="C6096" s="1" t="s">
        <v>11</v>
      </c>
      <c r="D6096" s="5">
        <v>45223.0</v>
      </c>
      <c r="G6096" s="1">
        <f>VLOOKUP(B6096,'old-aw-skill-plan'!A:I,7,FALSE)</f>
        <v>3</v>
      </c>
      <c r="H6096" s="1" t="str">
        <f>VLOOKUP(B6096,'old-aw-skill-plan'!A:I,9,FALSE)</f>
        <v>3-1</v>
      </c>
    </row>
    <row r="6097" ht="15.75" customHeight="1">
      <c r="A6097" s="1" t="s">
        <v>267</v>
      </c>
      <c r="B6097" s="1" t="s">
        <v>44</v>
      </c>
      <c r="C6097" s="1" t="s">
        <v>11</v>
      </c>
      <c r="D6097" s="5">
        <v>45223.0</v>
      </c>
      <c r="G6097" s="1">
        <f>VLOOKUP(B6097,'old-aw-skill-plan'!A:I,7,FALSE)</f>
        <v>5</v>
      </c>
      <c r="H6097" s="1" t="str">
        <f>VLOOKUP(B6097,'old-aw-skill-plan'!A:I,9,FALSE)</f>
        <v>5-1</v>
      </c>
    </row>
    <row r="6098" ht="15.75" customHeight="1">
      <c r="A6098" s="1" t="s">
        <v>419</v>
      </c>
      <c r="B6098" s="1" t="s">
        <v>10</v>
      </c>
      <c r="C6098" s="1" t="s">
        <v>11</v>
      </c>
      <c r="D6098" s="5">
        <v>45223.0</v>
      </c>
      <c r="G6098" s="1">
        <f>VLOOKUP(B6098,'old-aw-skill-plan'!A:I,7,FALSE)</f>
        <v>3</v>
      </c>
      <c r="H6098" s="1" t="str">
        <f>VLOOKUP(B6098,'old-aw-skill-plan'!A:I,9,FALSE)</f>
        <v>3-1</v>
      </c>
    </row>
    <row r="6099" ht="15.75" customHeight="1">
      <c r="A6099" s="1" t="s">
        <v>238</v>
      </c>
      <c r="B6099" s="1" t="s">
        <v>10</v>
      </c>
      <c r="C6099" s="1" t="s">
        <v>11</v>
      </c>
      <c r="D6099" s="5">
        <v>45223.0</v>
      </c>
      <c r="G6099" s="1">
        <f>VLOOKUP(B6099,'old-aw-skill-plan'!A:I,7,FALSE)</f>
        <v>3</v>
      </c>
      <c r="H6099" s="1" t="str">
        <f>VLOOKUP(B6099,'old-aw-skill-plan'!A:I,9,FALSE)</f>
        <v>3-1</v>
      </c>
    </row>
    <row r="6100" ht="15.75" customHeight="1">
      <c r="A6100" s="1" t="s">
        <v>238</v>
      </c>
      <c r="B6100" s="1" t="s">
        <v>47</v>
      </c>
      <c r="C6100" s="1" t="s">
        <v>11</v>
      </c>
      <c r="D6100" s="5">
        <v>45223.0</v>
      </c>
      <c r="G6100" s="1">
        <f>VLOOKUP(B6100,'old-aw-skill-plan'!A:I,7,FALSE)</f>
        <v>3</v>
      </c>
      <c r="H6100" s="1" t="str">
        <f>VLOOKUP(B6100,'old-aw-skill-plan'!A:I,9,FALSE)</f>
        <v>3-2</v>
      </c>
    </row>
    <row r="6101" ht="15.75" customHeight="1">
      <c r="A6101" s="1" t="s">
        <v>238</v>
      </c>
      <c r="B6101" s="1" t="s">
        <v>307</v>
      </c>
      <c r="C6101" s="1" t="s">
        <v>11</v>
      </c>
      <c r="D6101" s="5">
        <v>45223.0</v>
      </c>
      <c r="G6101" s="1">
        <f>VLOOKUP(B6101,'old-aw-skill-plan'!A:I,7,FALSE)</f>
        <v>3</v>
      </c>
      <c r="H6101" s="1" t="str">
        <f>VLOOKUP(B6101,'old-aw-skill-plan'!A:I,9,FALSE)</f>
        <v>3-1</v>
      </c>
    </row>
    <row r="6102" ht="15.75" customHeight="1">
      <c r="A6102" s="1" t="s">
        <v>473</v>
      </c>
      <c r="B6102" s="1" t="s">
        <v>10</v>
      </c>
      <c r="C6102" s="1" t="s">
        <v>11</v>
      </c>
      <c r="D6102" s="5">
        <v>45223.0</v>
      </c>
      <c r="G6102" s="1">
        <f>VLOOKUP(B6102,'old-aw-skill-plan'!A:I,7,FALSE)</f>
        <v>3</v>
      </c>
      <c r="H6102" s="1" t="str">
        <f>VLOOKUP(B6102,'old-aw-skill-plan'!A:I,9,FALSE)</f>
        <v>3-1</v>
      </c>
    </row>
    <row r="6103" ht="15.75" customHeight="1">
      <c r="A6103" s="1" t="s">
        <v>56</v>
      </c>
      <c r="B6103" s="1" t="s">
        <v>10</v>
      </c>
      <c r="C6103" s="1" t="s">
        <v>11</v>
      </c>
      <c r="D6103" s="5">
        <v>45223.0</v>
      </c>
      <c r="G6103" s="1">
        <f>VLOOKUP(B6103,'old-aw-skill-plan'!A:I,7,FALSE)</f>
        <v>3</v>
      </c>
      <c r="H6103" s="1" t="str">
        <f>VLOOKUP(B6103,'old-aw-skill-plan'!A:I,9,FALSE)</f>
        <v>3-1</v>
      </c>
    </row>
    <row r="6104" ht="15.75" customHeight="1">
      <c r="A6104" s="1" t="s">
        <v>81</v>
      </c>
      <c r="B6104" s="1" t="s">
        <v>34</v>
      </c>
      <c r="C6104" s="1" t="s">
        <v>11</v>
      </c>
      <c r="D6104" s="5">
        <v>45223.0</v>
      </c>
      <c r="G6104" s="1">
        <f>VLOOKUP(B6104,'old-aw-skill-plan'!A:I,7,FALSE)</f>
        <v>4</v>
      </c>
      <c r="H6104" s="1" t="str">
        <f>VLOOKUP(B6104,'old-aw-skill-plan'!A:I,9,FALSE)</f>
        <v>4-1</v>
      </c>
    </row>
    <row r="6105" ht="15.75" customHeight="1">
      <c r="A6105" s="1" t="s">
        <v>429</v>
      </c>
      <c r="B6105" s="1" t="s">
        <v>34</v>
      </c>
      <c r="C6105" s="1" t="s">
        <v>11</v>
      </c>
      <c r="D6105" s="5">
        <v>45223.0</v>
      </c>
      <c r="G6105" s="1">
        <f>VLOOKUP(B6105,'old-aw-skill-plan'!A:I,7,FALSE)</f>
        <v>4</v>
      </c>
      <c r="H6105" s="1" t="str">
        <f>VLOOKUP(B6105,'old-aw-skill-plan'!A:I,9,FALSE)</f>
        <v>4-1</v>
      </c>
    </row>
    <row r="6106" ht="15.75" customHeight="1">
      <c r="A6106" s="1" t="s">
        <v>421</v>
      </c>
      <c r="B6106" s="1" t="s">
        <v>10</v>
      </c>
      <c r="C6106" s="1" t="s">
        <v>11</v>
      </c>
      <c r="D6106" s="5">
        <v>45223.0</v>
      </c>
      <c r="G6106" s="1">
        <f>VLOOKUP(B6106,'old-aw-skill-plan'!A:I,7,FALSE)</f>
        <v>3</v>
      </c>
      <c r="H6106" s="1" t="str">
        <f>VLOOKUP(B6106,'old-aw-skill-plan'!A:I,9,FALSE)</f>
        <v>3-1</v>
      </c>
    </row>
    <row r="6107" ht="15.75" customHeight="1">
      <c r="A6107" s="1" t="s">
        <v>421</v>
      </c>
      <c r="B6107" s="1" t="s">
        <v>47</v>
      </c>
      <c r="C6107" s="1" t="s">
        <v>11</v>
      </c>
      <c r="D6107" s="5">
        <v>45223.0</v>
      </c>
      <c r="G6107" s="1">
        <f>VLOOKUP(B6107,'old-aw-skill-plan'!A:I,7,FALSE)</f>
        <v>3</v>
      </c>
      <c r="H6107" s="1" t="str">
        <f>VLOOKUP(B6107,'old-aw-skill-plan'!A:I,9,FALSE)</f>
        <v>3-2</v>
      </c>
    </row>
    <row r="6108" ht="15.75" customHeight="1">
      <c r="A6108" s="1" t="s">
        <v>60</v>
      </c>
      <c r="B6108" s="1" t="s">
        <v>34</v>
      </c>
      <c r="C6108" s="1" t="s">
        <v>11</v>
      </c>
      <c r="D6108" s="5">
        <v>45223.0</v>
      </c>
      <c r="G6108" s="1">
        <f>VLOOKUP(B6108,'old-aw-skill-plan'!A:I,7,FALSE)</f>
        <v>4</v>
      </c>
      <c r="H6108" s="1" t="str">
        <f>VLOOKUP(B6108,'old-aw-skill-plan'!A:I,9,FALSE)</f>
        <v>4-1</v>
      </c>
    </row>
    <row r="6109" ht="15.75" customHeight="1">
      <c r="A6109" s="1" t="s">
        <v>428</v>
      </c>
      <c r="B6109" s="1" t="s">
        <v>34</v>
      </c>
      <c r="C6109" s="1" t="s">
        <v>11</v>
      </c>
      <c r="D6109" s="5">
        <v>45223.0</v>
      </c>
      <c r="G6109" s="1">
        <f>VLOOKUP(B6109,'old-aw-skill-plan'!A:I,7,FALSE)</f>
        <v>4</v>
      </c>
      <c r="H6109" s="1" t="str">
        <f>VLOOKUP(B6109,'old-aw-skill-plan'!A:I,9,FALSE)</f>
        <v>4-1</v>
      </c>
    </row>
    <row r="6110" ht="15.75" customHeight="1">
      <c r="A6110" s="1" t="s">
        <v>420</v>
      </c>
      <c r="B6110" s="1" t="s">
        <v>10</v>
      </c>
      <c r="C6110" s="1" t="s">
        <v>11</v>
      </c>
      <c r="D6110" s="5">
        <v>45223.0</v>
      </c>
      <c r="G6110" s="1">
        <f>VLOOKUP(B6110,'old-aw-skill-plan'!A:I,7,FALSE)</f>
        <v>3</v>
      </c>
      <c r="H6110" s="1" t="str">
        <f>VLOOKUP(B6110,'old-aw-skill-plan'!A:I,9,FALSE)</f>
        <v>3-1</v>
      </c>
    </row>
    <row r="6111" ht="15.75" customHeight="1">
      <c r="A6111" s="1" t="s">
        <v>471</v>
      </c>
      <c r="B6111" s="1" t="s">
        <v>10</v>
      </c>
      <c r="C6111" s="1" t="s">
        <v>11</v>
      </c>
      <c r="D6111" s="5">
        <v>45223.0</v>
      </c>
      <c r="G6111" s="1">
        <f>VLOOKUP(B6111,'old-aw-skill-plan'!A:I,7,FALSE)</f>
        <v>3</v>
      </c>
      <c r="H6111" s="1" t="str">
        <f>VLOOKUP(B6111,'old-aw-skill-plan'!A:I,9,FALSE)</f>
        <v>3-1</v>
      </c>
    </row>
    <row r="6112" ht="15.75" customHeight="1">
      <c r="A6112" s="1" t="s">
        <v>65</v>
      </c>
      <c r="B6112" s="1" t="s">
        <v>34</v>
      </c>
      <c r="C6112" s="1" t="s">
        <v>11</v>
      </c>
      <c r="D6112" s="5">
        <v>45223.0</v>
      </c>
      <c r="G6112" s="1">
        <f>VLOOKUP(B6112,'old-aw-skill-plan'!A:I,7,FALSE)</f>
        <v>4</v>
      </c>
      <c r="H6112" s="1" t="str">
        <f>VLOOKUP(B6112,'old-aw-skill-plan'!A:I,9,FALSE)</f>
        <v>4-1</v>
      </c>
    </row>
    <row r="6113" ht="15.75" customHeight="1">
      <c r="A6113" s="1" t="s">
        <v>275</v>
      </c>
      <c r="B6113" s="1" t="s">
        <v>10</v>
      </c>
      <c r="C6113" s="1" t="s">
        <v>11</v>
      </c>
      <c r="D6113" s="5">
        <v>45223.0</v>
      </c>
      <c r="G6113" s="1">
        <f>VLOOKUP(B6113,'old-aw-skill-plan'!A:I,7,FALSE)</f>
        <v>3</v>
      </c>
      <c r="H6113" s="1" t="str">
        <f>VLOOKUP(B6113,'old-aw-skill-plan'!A:I,9,FALSE)</f>
        <v>3-1</v>
      </c>
    </row>
    <row r="6114" ht="15.75" customHeight="1">
      <c r="A6114" s="1" t="s">
        <v>275</v>
      </c>
      <c r="B6114" s="1" t="s">
        <v>47</v>
      </c>
      <c r="C6114" s="1" t="s">
        <v>11</v>
      </c>
      <c r="D6114" s="5">
        <v>45223.0</v>
      </c>
      <c r="G6114" s="1">
        <f>VLOOKUP(B6114,'old-aw-skill-plan'!A:I,7,FALSE)</f>
        <v>3</v>
      </c>
      <c r="H6114" s="1" t="str">
        <f>VLOOKUP(B6114,'old-aw-skill-plan'!A:I,9,FALSE)</f>
        <v>3-2</v>
      </c>
    </row>
    <row r="6115" ht="15.75" customHeight="1">
      <c r="A6115" s="1" t="s">
        <v>276</v>
      </c>
      <c r="B6115" s="1" t="s">
        <v>44</v>
      </c>
      <c r="C6115" s="1" t="s">
        <v>11</v>
      </c>
      <c r="D6115" s="5">
        <v>45223.0</v>
      </c>
      <c r="G6115" s="1">
        <f>VLOOKUP(B6115,'old-aw-skill-plan'!A:I,7,FALSE)</f>
        <v>5</v>
      </c>
      <c r="H6115" s="1" t="str">
        <f>VLOOKUP(B6115,'old-aw-skill-plan'!A:I,9,FALSE)</f>
        <v>5-1</v>
      </c>
    </row>
    <row r="6116" ht="15.75" customHeight="1">
      <c r="A6116" s="1" t="s">
        <v>276</v>
      </c>
      <c r="B6116" s="1" t="s">
        <v>104</v>
      </c>
      <c r="C6116" s="1" t="s">
        <v>11</v>
      </c>
      <c r="D6116" s="5">
        <v>45223.0</v>
      </c>
      <c r="G6116" s="1">
        <f>VLOOKUP(B6116,'old-aw-skill-plan'!A:I,7,FALSE)</f>
        <v>5</v>
      </c>
      <c r="H6116" s="1" t="str">
        <f>VLOOKUP(B6116,'old-aw-skill-plan'!A:I,9,FALSE)</f>
        <v>5-2</v>
      </c>
    </row>
    <row r="6117" ht="15.75" customHeight="1">
      <c r="A6117" s="1" t="s">
        <v>203</v>
      </c>
      <c r="B6117" s="1" t="s">
        <v>44</v>
      </c>
      <c r="C6117" s="1" t="s">
        <v>11</v>
      </c>
      <c r="D6117" s="5">
        <v>45223.0</v>
      </c>
      <c r="G6117" s="1">
        <f>VLOOKUP(B6117,'old-aw-skill-plan'!A:I,7,FALSE)</f>
        <v>5</v>
      </c>
      <c r="H6117" s="1" t="str">
        <f>VLOOKUP(B6117,'old-aw-skill-plan'!A:I,9,FALSE)</f>
        <v>5-1</v>
      </c>
    </row>
    <row r="6118" ht="15.75" customHeight="1">
      <c r="A6118" s="1" t="s">
        <v>268</v>
      </c>
      <c r="B6118" s="1" t="s">
        <v>30</v>
      </c>
      <c r="C6118" s="1" t="s">
        <v>11</v>
      </c>
      <c r="D6118" s="5">
        <v>45223.0</v>
      </c>
      <c r="G6118" s="1">
        <f>VLOOKUP(B6118,'old-aw-skill-plan'!A:I,7,FALSE)</f>
        <v>3</v>
      </c>
      <c r="H6118" s="1" t="str">
        <f>VLOOKUP(B6118,'old-aw-skill-plan'!A:I,9,FALSE)</f>
        <v>3-3</v>
      </c>
    </row>
    <row r="6119" ht="15.75" customHeight="1">
      <c r="A6119" s="1" t="s">
        <v>268</v>
      </c>
      <c r="B6119" s="1" t="s">
        <v>47</v>
      </c>
      <c r="C6119" s="1" t="s">
        <v>11</v>
      </c>
      <c r="D6119" s="5">
        <v>45223.0</v>
      </c>
      <c r="G6119" s="1">
        <f>VLOOKUP(B6119,'old-aw-skill-plan'!A:I,7,FALSE)</f>
        <v>3</v>
      </c>
      <c r="H6119" s="1" t="str">
        <f>VLOOKUP(B6119,'old-aw-skill-plan'!A:I,9,FALSE)</f>
        <v>3-2</v>
      </c>
    </row>
    <row r="6120" ht="15.75" customHeight="1">
      <c r="A6120" s="1" t="s">
        <v>268</v>
      </c>
      <c r="B6120" s="1" t="s">
        <v>307</v>
      </c>
      <c r="C6120" s="1" t="s">
        <v>11</v>
      </c>
      <c r="D6120" s="5">
        <v>45223.0</v>
      </c>
      <c r="G6120" s="1">
        <f>VLOOKUP(B6120,'old-aw-skill-plan'!A:I,7,FALSE)</f>
        <v>3</v>
      </c>
      <c r="H6120" s="1" t="str">
        <f>VLOOKUP(B6120,'old-aw-skill-plan'!A:I,9,FALSE)</f>
        <v>3-1</v>
      </c>
    </row>
    <row r="6121" ht="15.75" customHeight="1">
      <c r="A6121" s="1" t="s">
        <v>432</v>
      </c>
      <c r="B6121" s="1" t="s">
        <v>10</v>
      </c>
      <c r="C6121" s="1" t="s">
        <v>11</v>
      </c>
      <c r="D6121" s="5">
        <v>45223.0</v>
      </c>
      <c r="G6121" s="1">
        <f>VLOOKUP(B6121,'old-aw-skill-plan'!A:I,7,FALSE)</f>
        <v>3</v>
      </c>
      <c r="H6121" s="1" t="str">
        <f>VLOOKUP(B6121,'old-aw-skill-plan'!A:I,9,FALSE)</f>
        <v>3-1</v>
      </c>
    </row>
    <row r="6122" ht="15.75" customHeight="1">
      <c r="A6122" s="1" t="s">
        <v>214</v>
      </c>
      <c r="B6122" s="1" t="s">
        <v>30</v>
      </c>
      <c r="C6122" s="1" t="s">
        <v>11</v>
      </c>
      <c r="D6122" s="5">
        <v>45223.0</v>
      </c>
      <c r="G6122" s="1">
        <f>VLOOKUP(B6122,'old-aw-skill-plan'!A:I,7,FALSE)</f>
        <v>3</v>
      </c>
      <c r="H6122" s="1" t="str">
        <f>VLOOKUP(B6122,'old-aw-skill-plan'!A:I,9,FALSE)</f>
        <v>3-3</v>
      </c>
    </row>
    <row r="6123" ht="15.75" customHeight="1">
      <c r="A6123" s="1" t="s">
        <v>214</v>
      </c>
      <c r="B6123" s="1" t="s">
        <v>47</v>
      </c>
      <c r="C6123" s="1" t="s">
        <v>11</v>
      </c>
      <c r="D6123" s="5">
        <v>45223.0</v>
      </c>
      <c r="G6123" s="1">
        <f>VLOOKUP(B6123,'old-aw-skill-plan'!A:I,7,FALSE)</f>
        <v>3</v>
      </c>
      <c r="H6123" s="1" t="str">
        <f>VLOOKUP(B6123,'old-aw-skill-plan'!A:I,9,FALSE)</f>
        <v>3-2</v>
      </c>
    </row>
    <row r="6124" ht="15.75" customHeight="1">
      <c r="A6124" s="1" t="s">
        <v>422</v>
      </c>
      <c r="B6124" s="1" t="s">
        <v>34</v>
      </c>
      <c r="C6124" s="1" t="s">
        <v>11</v>
      </c>
      <c r="D6124" s="5">
        <v>45223.0</v>
      </c>
      <c r="G6124" s="1">
        <f>VLOOKUP(B6124,'old-aw-skill-plan'!A:I,7,FALSE)</f>
        <v>4</v>
      </c>
      <c r="H6124" s="1" t="str">
        <f>VLOOKUP(B6124,'old-aw-skill-plan'!A:I,9,FALSE)</f>
        <v>4-1</v>
      </c>
    </row>
    <row r="6125" ht="15.75" customHeight="1">
      <c r="A6125" s="1" t="s">
        <v>197</v>
      </c>
      <c r="B6125" s="1" t="s">
        <v>34</v>
      </c>
      <c r="C6125" s="1" t="s">
        <v>11</v>
      </c>
      <c r="D6125" s="5">
        <v>45223.0</v>
      </c>
      <c r="G6125" s="1">
        <f>VLOOKUP(B6125,'old-aw-skill-plan'!A:I,7,FALSE)</f>
        <v>4</v>
      </c>
      <c r="H6125" s="1" t="str">
        <f>VLOOKUP(B6125,'old-aw-skill-plan'!A:I,9,FALSE)</f>
        <v>4-1</v>
      </c>
    </row>
    <row r="6126" ht="15.75" customHeight="1">
      <c r="A6126" s="1" t="s">
        <v>209</v>
      </c>
      <c r="B6126" s="1" t="s">
        <v>44</v>
      </c>
      <c r="C6126" s="1" t="s">
        <v>11</v>
      </c>
      <c r="D6126" s="5">
        <v>45223.0</v>
      </c>
      <c r="G6126" s="1">
        <f>VLOOKUP(B6126,'old-aw-skill-plan'!A:I,7,FALSE)</f>
        <v>5</v>
      </c>
      <c r="H6126" s="1" t="str">
        <f>VLOOKUP(B6126,'old-aw-skill-plan'!A:I,9,FALSE)</f>
        <v>5-1</v>
      </c>
    </row>
    <row r="6127" ht="15.75" customHeight="1">
      <c r="A6127" s="1" t="s">
        <v>462</v>
      </c>
      <c r="B6127" s="1" t="s">
        <v>44</v>
      </c>
      <c r="C6127" s="1" t="s">
        <v>11</v>
      </c>
      <c r="D6127" s="5">
        <v>45223.0</v>
      </c>
      <c r="G6127" s="1">
        <f>VLOOKUP(B6127,'old-aw-skill-plan'!A:I,7,FALSE)</f>
        <v>5</v>
      </c>
      <c r="H6127" s="1" t="str">
        <f>VLOOKUP(B6127,'old-aw-skill-plan'!A:I,9,FALSE)</f>
        <v>5-1</v>
      </c>
    </row>
    <row r="6128" ht="15.75" customHeight="1">
      <c r="A6128" s="1" t="s">
        <v>430</v>
      </c>
      <c r="B6128" s="1" t="s">
        <v>10</v>
      </c>
      <c r="C6128" s="1" t="s">
        <v>11</v>
      </c>
      <c r="D6128" s="5">
        <v>45223.0</v>
      </c>
      <c r="G6128" s="1">
        <f>VLOOKUP(B6128,'old-aw-skill-plan'!A:I,7,FALSE)</f>
        <v>3</v>
      </c>
      <c r="H6128" s="1" t="str">
        <f>VLOOKUP(B6128,'old-aw-skill-plan'!A:I,9,FALSE)</f>
        <v>3-1</v>
      </c>
    </row>
    <row r="6129" ht="15.75" customHeight="1">
      <c r="A6129" s="1" t="s">
        <v>181</v>
      </c>
      <c r="B6129" s="1" t="s">
        <v>30</v>
      </c>
      <c r="C6129" s="1" t="s">
        <v>11</v>
      </c>
      <c r="D6129" s="5">
        <v>45223.0</v>
      </c>
      <c r="G6129" s="1">
        <f>VLOOKUP(B6129,'old-aw-skill-plan'!A:I,7,FALSE)</f>
        <v>3</v>
      </c>
      <c r="H6129" s="1" t="str">
        <f>VLOOKUP(B6129,'old-aw-skill-plan'!A:I,9,FALSE)</f>
        <v>3-3</v>
      </c>
    </row>
    <row r="6130" ht="15.75" customHeight="1">
      <c r="A6130" s="1" t="s">
        <v>181</v>
      </c>
      <c r="B6130" s="1" t="s">
        <v>307</v>
      </c>
      <c r="C6130" s="1" t="s">
        <v>11</v>
      </c>
      <c r="D6130" s="5">
        <v>45223.0</v>
      </c>
      <c r="G6130" s="1">
        <f>VLOOKUP(B6130,'old-aw-skill-plan'!A:I,7,FALSE)</f>
        <v>3</v>
      </c>
      <c r="H6130" s="1" t="str">
        <f>VLOOKUP(B6130,'old-aw-skill-plan'!A:I,9,FALSE)</f>
        <v>3-1</v>
      </c>
    </row>
    <row r="6131" ht="15.75" customHeight="1">
      <c r="A6131" s="1" t="s">
        <v>181</v>
      </c>
      <c r="B6131" s="1" t="s">
        <v>356</v>
      </c>
      <c r="C6131" s="1" t="s">
        <v>11</v>
      </c>
      <c r="D6131" s="5">
        <v>45223.0</v>
      </c>
      <c r="G6131" s="1">
        <f>VLOOKUP(B6131,'old-aw-skill-plan'!A:I,7,FALSE)</f>
        <v>3</v>
      </c>
      <c r="H6131" s="1" t="str">
        <f>VLOOKUP(B6131,'old-aw-skill-plan'!A:I,9,FALSE)</f>
        <v>3-2</v>
      </c>
    </row>
    <row r="6132" ht="15.75" customHeight="1">
      <c r="A6132" s="1" t="s">
        <v>269</v>
      </c>
      <c r="B6132" s="1" t="s">
        <v>10</v>
      </c>
      <c r="C6132" s="1" t="s">
        <v>11</v>
      </c>
      <c r="D6132" s="5">
        <v>45223.0</v>
      </c>
      <c r="G6132" s="1">
        <f>VLOOKUP(B6132,'old-aw-skill-plan'!A:I,7,FALSE)</f>
        <v>3</v>
      </c>
      <c r="H6132" s="1" t="str">
        <f>VLOOKUP(B6132,'old-aw-skill-plan'!A:I,9,FALSE)</f>
        <v>3-1</v>
      </c>
    </row>
    <row r="6133" ht="15.75" customHeight="1">
      <c r="A6133" s="1" t="s">
        <v>235</v>
      </c>
      <c r="B6133" s="1" t="s">
        <v>44</v>
      </c>
      <c r="C6133" s="1" t="s">
        <v>11</v>
      </c>
      <c r="D6133" s="5">
        <v>45223.0</v>
      </c>
      <c r="G6133" s="1">
        <f>VLOOKUP(B6133,'old-aw-skill-plan'!A:I,7,FALSE)</f>
        <v>5</v>
      </c>
      <c r="H6133" s="1" t="str">
        <f>VLOOKUP(B6133,'old-aw-skill-plan'!A:I,9,FALSE)</f>
        <v>5-1</v>
      </c>
    </row>
    <row r="6134" ht="15.75" customHeight="1">
      <c r="A6134" s="1" t="s">
        <v>226</v>
      </c>
      <c r="B6134" s="1" t="s">
        <v>10</v>
      </c>
      <c r="C6134" s="1" t="s">
        <v>11</v>
      </c>
      <c r="D6134" s="5">
        <v>45223.0</v>
      </c>
      <c r="G6134" s="1">
        <f>VLOOKUP(B6134,'old-aw-skill-plan'!A:I,7,FALSE)</f>
        <v>3</v>
      </c>
      <c r="H6134" s="1" t="str">
        <f>VLOOKUP(B6134,'old-aw-skill-plan'!A:I,9,FALSE)</f>
        <v>3-1</v>
      </c>
    </row>
    <row r="6135" ht="15.75" customHeight="1">
      <c r="A6135" s="1" t="s">
        <v>265</v>
      </c>
      <c r="B6135" s="1" t="s">
        <v>44</v>
      </c>
      <c r="C6135" s="1" t="s">
        <v>11</v>
      </c>
      <c r="D6135" s="5">
        <v>45223.0</v>
      </c>
      <c r="G6135" s="1">
        <f>VLOOKUP(B6135,'old-aw-skill-plan'!A:I,7,FALSE)</f>
        <v>5</v>
      </c>
      <c r="H6135" s="1" t="str">
        <f>VLOOKUP(B6135,'old-aw-skill-plan'!A:I,9,FALSE)</f>
        <v>5-1</v>
      </c>
    </row>
    <row r="6136" ht="15.75" customHeight="1">
      <c r="A6136" s="1" t="s">
        <v>90</v>
      </c>
      <c r="B6136" s="1" t="s">
        <v>10</v>
      </c>
      <c r="C6136" s="1" t="s">
        <v>11</v>
      </c>
      <c r="D6136" s="5">
        <v>45223.0</v>
      </c>
      <c r="G6136" s="1">
        <f>VLOOKUP(B6136,'old-aw-skill-plan'!A:I,7,FALSE)</f>
        <v>3</v>
      </c>
      <c r="H6136" s="1" t="str">
        <f>VLOOKUP(B6136,'old-aw-skill-plan'!A:I,9,FALSE)</f>
        <v>3-1</v>
      </c>
    </row>
    <row r="6137" ht="15.75" customHeight="1">
      <c r="A6137" s="1" t="s">
        <v>90</v>
      </c>
      <c r="B6137" s="1" t="s">
        <v>47</v>
      </c>
      <c r="C6137" s="1" t="s">
        <v>11</v>
      </c>
      <c r="D6137" s="5">
        <v>45223.0</v>
      </c>
      <c r="G6137" s="1">
        <f>VLOOKUP(B6137,'old-aw-skill-plan'!A:I,7,FALSE)</f>
        <v>3</v>
      </c>
      <c r="H6137" s="1" t="str">
        <f>VLOOKUP(B6137,'old-aw-skill-plan'!A:I,9,FALSE)</f>
        <v>3-2</v>
      </c>
    </row>
    <row r="6138" ht="15.75" customHeight="1">
      <c r="A6138" s="1" t="s">
        <v>277</v>
      </c>
      <c r="B6138" s="1" t="s">
        <v>44</v>
      </c>
      <c r="C6138" s="1" t="s">
        <v>11</v>
      </c>
      <c r="D6138" s="5">
        <v>45223.0</v>
      </c>
      <c r="G6138" s="1">
        <f>VLOOKUP(B6138,'old-aw-skill-plan'!A:I,7,FALSE)</f>
        <v>5</v>
      </c>
      <c r="H6138" s="1" t="str">
        <f>VLOOKUP(B6138,'old-aw-skill-plan'!A:I,9,FALSE)</f>
        <v>5-1</v>
      </c>
    </row>
    <row r="6139" ht="15.75" customHeight="1">
      <c r="A6139" s="1" t="s">
        <v>278</v>
      </c>
      <c r="B6139" s="1" t="s">
        <v>10</v>
      </c>
      <c r="C6139" s="1" t="s">
        <v>11</v>
      </c>
      <c r="D6139" s="5">
        <v>45223.0</v>
      </c>
      <c r="G6139" s="1">
        <f>VLOOKUP(B6139,'old-aw-skill-plan'!A:I,7,FALSE)</f>
        <v>3</v>
      </c>
      <c r="H6139" s="1" t="str">
        <f>VLOOKUP(B6139,'old-aw-skill-plan'!A:I,9,FALSE)</f>
        <v>3-1</v>
      </c>
    </row>
    <row r="6140" ht="15.75" customHeight="1">
      <c r="A6140" s="1" t="s">
        <v>102</v>
      </c>
      <c r="B6140" s="1" t="s">
        <v>10</v>
      </c>
      <c r="C6140" s="1" t="s">
        <v>11</v>
      </c>
      <c r="D6140" s="5">
        <v>45223.0</v>
      </c>
      <c r="G6140" s="1">
        <f>VLOOKUP(B6140,'old-aw-skill-plan'!A:I,7,FALSE)</f>
        <v>3</v>
      </c>
      <c r="H6140" s="1" t="str">
        <f>VLOOKUP(B6140,'old-aw-skill-plan'!A:I,9,FALSE)</f>
        <v>3-1</v>
      </c>
    </row>
    <row r="6141" ht="15.75" customHeight="1">
      <c r="A6141" s="1" t="s">
        <v>102</v>
      </c>
      <c r="B6141" s="1" t="s">
        <v>47</v>
      </c>
      <c r="C6141" s="1" t="s">
        <v>11</v>
      </c>
      <c r="D6141" s="5">
        <v>45223.0</v>
      </c>
      <c r="G6141" s="1">
        <f>VLOOKUP(B6141,'old-aw-skill-plan'!A:I,7,FALSE)</f>
        <v>3</v>
      </c>
      <c r="H6141" s="1" t="str">
        <f>VLOOKUP(B6141,'old-aw-skill-plan'!A:I,9,FALSE)</f>
        <v>3-2</v>
      </c>
    </row>
    <row r="6142" ht="15.75" customHeight="1">
      <c r="A6142" s="1" t="s">
        <v>463</v>
      </c>
      <c r="B6142" s="1" t="s">
        <v>44</v>
      </c>
      <c r="C6142" s="1" t="s">
        <v>11</v>
      </c>
      <c r="D6142" s="5">
        <v>45223.0</v>
      </c>
      <c r="G6142" s="1">
        <f>VLOOKUP(B6142,'old-aw-skill-plan'!A:I,7,FALSE)</f>
        <v>5</v>
      </c>
      <c r="H6142" s="1" t="str">
        <f>VLOOKUP(B6142,'old-aw-skill-plan'!A:I,9,FALSE)</f>
        <v>5-1</v>
      </c>
    </row>
    <row r="6143" ht="15.75" customHeight="1">
      <c r="A6143" s="1" t="s">
        <v>93</v>
      </c>
      <c r="B6143" s="1" t="s">
        <v>10</v>
      </c>
      <c r="C6143" s="1" t="s">
        <v>11</v>
      </c>
      <c r="D6143" s="5">
        <v>45223.0</v>
      </c>
      <c r="G6143" s="1">
        <f>VLOOKUP(B6143,'old-aw-skill-plan'!A:I,7,FALSE)</f>
        <v>3</v>
      </c>
      <c r="H6143" s="1" t="str">
        <f>VLOOKUP(B6143,'old-aw-skill-plan'!A:I,9,FALSE)</f>
        <v>3-1</v>
      </c>
    </row>
    <row r="6144" ht="15.75" customHeight="1">
      <c r="A6144" s="1" t="s">
        <v>93</v>
      </c>
      <c r="B6144" s="1" t="s">
        <v>47</v>
      </c>
      <c r="C6144" s="1" t="s">
        <v>11</v>
      </c>
      <c r="D6144" s="5">
        <v>45223.0</v>
      </c>
      <c r="G6144" s="1">
        <f>VLOOKUP(B6144,'old-aw-skill-plan'!A:I,7,FALSE)</f>
        <v>3</v>
      </c>
      <c r="H6144" s="1" t="str">
        <f>VLOOKUP(B6144,'old-aw-skill-plan'!A:I,9,FALSE)</f>
        <v>3-2</v>
      </c>
    </row>
    <row r="6145" ht="15.75" customHeight="1">
      <c r="A6145" s="1" t="s">
        <v>365</v>
      </c>
      <c r="B6145" s="1" t="s">
        <v>34</v>
      </c>
      <c r="C6145" s="1" t="s">
        <v>11</v>
      </c>
      <c r="D6145" s="5">
        <v>45223.0</v>
      </c>
      <c r="G6145" s="1">
        <f>VLOOKUP(B6145,'old-aw-skill-plan'!A:I,7,FALSE)</f>
        <v>4</v>
      </c>
      <c r="H6145" s="1" t="str">
        <f>VLOOKUP(B6145,'old-aw-skill-plan'!A:I,9,FALSE)</f>
        <v>4-1</v>
      </c>
    </row>
    <row r="6146" ht="15.75" customHeight="1">
      <c r="A6146" s="1" t="s">
        <v>94</v>
      </c>
      <c r="B6146" s="1" t="s">
        <v>10</v>
      </c>
      <c r="C6146" s="1" t="s">
        <v>11</v>
      </c>
      <c r="D6146" s="5">
        <v>45223.0</v>
      </c>
      <c r="G6146" s="1">
        <f>VLOOKUP(B6146,'old-aw-skill-plan'!A:I,7,FALSE)</f>
        <v>3</v>
      </c>
      <c r="H6146" s="1" t="str">
        <f>VLOOKUP(B6146,'old-aw-skill-plan'!A:I,9,FALSE)</f>
        <v>3-1</v>
      </c>
    </row>
    <row r="6147" ht="15.75" customHeight="1">
      <c r="A6147" s="1" t="s">
        <v>225</v>
      </c>
      <c r="B6147" s="1" t="s">
        <v>37</v>
      </c>
      <c r="C6147" s="1" t="s">
        <v>11</v>
      </c>
      <c r="D6147" s="5">
        <v>45223.0</v>
      </c>
      <c r="G6147" s="1">
        <f>VLOOKUP(B6147,'old-aw-skill-plan'!A:I,7,FALSE)</f>
        <v>4</v>
      </c>
      <c r="H6147" s="1" t="str">
        <f>VLOOKUP(B6147,'old-aw-skill-plan'!A:I,9,FALSE)</f>
        <v>4-2</v>
      </c>
    </row>
    <row r="6148" ht="15.75" customHeight="1">
      <c r="A6148" s="1" t="s">
        <v>427</v>
      </c>
      <c r="B6148" s="1" t="s">
        <v>10</v>
      </c>
      <c r="C6148" s="1" t="s">
        <v>11</v>
      </c>
      <c r="D6148" s="5">
        <v>45223.0</v>
      </c>
      <c r="G6148" s="1">
        <f>VLOOKUP(B6148,'old-aw-skill-plan'!A:I,7,FALSE)</f>
        <v>3</v>
      </c>
      <c r="H6148" s="1" t="str">
        <f>VLOOKUP(B6148,'old-aw-skill-plan'!A:I,9,FALSE)</f>
        <v>3-1</v>
      </c>
    </row>
    <row r="6149" ht="15.75" customHeight="1">
      <c r="A6149" s="1" t="s">
        <v>436</v>
      </c>
      <c r="B6149" s="1" t="s">
        <v>10</v>
      </c>
      <c r="C6149" s="1" t="s">
        <v>11</v>
      </c>
      <c r="D6149" s="5">
        <v>45223.0</v>
      </c>
      <c r="G6149" s="1">
        <f>VLOOKUP(B6149,'old-aw-skill-plan'!A:I,7,FALSE)</f>
        <v>3</v>
      </c>
      <c r="H6149" s="1" t="str">
        <f>VLOOKUP(B6149,'old-aw-skill-plan'!A:I,9,FALSE)</f>
        <v>3-1</v>
      </c>
    </row>
    <row r="6150" ht="15.75" customHeight="1">
      <c r="A6150" s="1" t="s">
        <v>464</v>
      </c>
      <c r="B6150" s="1" t="s">
        <v>44</v>
      </c>
      <c r="C6150" s="1" t="s">
        <v>11</v>
      </c>
      <c r="D6150" s="5">
        <v>45222.0</v>
      </c>
      <c r="G6150" s="1">
        <f>VLOOKUP(B6150,'old-aw-skill-plan'!A:I,7,FALSE)</f>
        <v>5</v>
      </c>
      <c r="H6150" s="1" t="str">
        <f>VLOOKUP(B6150,'old-aw-skill-plan'!A:I,9,FALSE)</f>
        <v>5-1</v>
      </c>
    </row>
    <row r="6151" ht="15.75" customHeight="1">
      <c r="A6151" s="1" t="s">
        <v>266</v>
      </c>
      <c r="B6151" s="1" t="s">
        <v>10</v>
      </c>
      <c r="C6151" s="1" t="s">
        <v>11</v>
      </c>
      <c r="D6151" s="5">
        <v>45222.0</v>
      </c>
      <c r="G6151" s="1">
        <f>VLOOKUP(B6151,'old-aw-skill-plan'!A:I,7,FALSE)</f>
        <v>3</v>
      </c>
      <c r="H6151" s="1" t="str">
        <f>VLOOKUP(B6151,'old-aw-skill-plan'!A:I,9,FALSE)</f>
        <v>3-1</v>
      </c>
    </row>
    <row r="6152" ht="15.75" customHeight="1">
      <c r="A6152" s="1" t="s">
        <v>22</v>
      </c>
      <c r="B6152" s="1" t="s">
        <v>10</v>
      </c>
      <c r="C6152" s="1" t="s">
        <v>11</v>
      </c>
      <c r="D6152" s="5">
        <v>45222.0</v>
      </c>
      <c r="G6152" s="1">
        <f>VLOOKUP(B6152,'old-aw-skill-plan'!A:I,7,FALSE)</f>
        <v>3</v>
      </c>
      <c r="H6152" s="1" t="str">
        <f>VLOOKUP(B6152,'old-aw-skill-plan'!A:I,9,FALSE)</f>
        <v>3-1</v>
      </c>
    </row>
    <row r="6153" ht="15.75" customHeight="1">
      <c r="A6153" s="1" t="s">
        <v>22</v>
      </c>
      <c r="B6153" s="1" t="s">
        <v>34</v>
      </c>
      <c r="C6153" s="1" t="s">
        <v>11</v>
      </c>
      <c r="D6153" s="5">
        <v>45222.0</v>
      </c>
      <c r="G6153" s="1">
        <f>VLOOKUP(B6153,'old-aw-skill-plan'!A:I,7,FALSE)</f>
        <v>4</v>
      </c>
      <c r="H6153" s="1" t="str">
        <f>VLOOKUP(B6153,'old-aw-skill-plan'!A:I,9,FALSE)</f>
        <v>4-1</v>
      </c>
    </row>
    <row r="6154" ht="15.75" customHeight="1">
      <c r="A6154" s="1" t="s">
        <v>474</v>
      </c>
      <c r="B6154" s="1" t="s">
        <v>10</v>
      </c>
      <c r="C6154" s="1" t="s">
        <v>11</v>
      </c>
      <c r="D6154" s="5">
        <v>45222.0</v>
      </c>
      <c r="G6154" s="1">
        <f>VLOOKUP(B6154,'old-aw-skill-plan'!A:I,7,FALSE)</f>
        <v>3</v>
      </c>
      <c r="H6154" s="1" t="str">
        <f>VLOOKUP(B6154,'old-aw-skill-plan'!A:I,9,FALSE)</f>
        <v>3-1</v>
      </c>
    </row>
    <row r="6155" ht="15.75" customHeight="1">
      <c r="A6155" s="1" t="s">
        <v>216</v>
      </c>
      <c r="B6155" s="1" t="s">
        <v>34</v>
      </c>
      <c r="C6155" s="1" t="s">
        <v>11</v>
      </c>
      <c r="D6155" s="5">
        <v>45222.0</v>
      </c>
      <c r="G6155" s="1">
        <f>VLOOKUP(B6155,'old-aw-skill-plan'!A:I,7,FALSE)</f>
        <v>4</v>
      </c>
      <c r="H6155" s="1" t="str">
        <f>VLOOKUP(B6155,'old-aw-skill-plan'!A:I,9,FALSE)</f>
        <v>4-1</v>
      </c>
    </row>
    <row r="6156" ht="15.75" customHeight="1">
      <c r="A6156" s="1" t="s">
        <v>35</v>
      </c>
      <c r="B6156" s="1" t="s">
        <v>34</v>
      </c>
      <c r="C6156" s="1" t="s">
        <v>11</v>
      </c>
      <c r="D6156" s="5">
        <v>45222.0</v>
      </c>
      <c r="G6156" s="1">
        <f>VLOOKUP(B6156,'old-aw-skill-plan'!A:I,7,FALSE)</f>
        <v>4</v>
      </c>
      <c r="H6156" s="1" t="str">
        <f>VLOOKUP(B6156,'old-aw-skill-plan'!A:I,9,FALSE)</f>
        <v>4-1</v>
      </c>
    </row>
    <row r="6157" ht="15.75" customHeight="1">
      <c r="A6157" s="1" t="s">
        <v>208</v>
      </c>
      <c r="B6157" s="1" t="s">
        <v>44</v>
      </c>
      <c r="C6157" s="1" t="s">
        <v>11</v>
      </c>
      <c r="D6157" s="5">
        <v>45222.0</v>
      </c>
      <c r="G6157" s="1">
        <f>VLOOKUP(B6157,'old-aw-skill-plan'!A:I,7,FALSE)</f>
        <v>5</v>
      </c>
      <c r="H6157" s="1" t="str">
        <f>VLOOKUP(B6157,'old-aw-skill-plan'!A:I,9,FALSE)</f>
        <v>5-1</v>
      </c>
    </row>
    <row r="6158" ht="15.75" customHeight="1">
      <c r="A6158" s="1" t="s">
        <v>271</v>
      </c>
      <c r="B6158" s="1" t="s">
        <v>10</v>
      </c>
      <c r="C6158" s="1" t="s">
        <v>11</v>
      </c>
      <c r="D6158" s="5">
        <v>45222.0</v>
      </c>
      <c r="G6158" s="1">
        <f>VLOOKUP(B6158,'old-aw-skill-plan'!A:I,7,FALSE)</f>
        <v>3</v>
      </c>
      <c r="H6158" s="1" t="str">
        <f>VLOOKUP(B6158,'old-aw-skill-plan'!A:I,9,FALSE)</f>
        <v>3-1</v>
      </c>
    </row>
    <row r="6159" ht="15.75" customHeight="1">
      <c r="A6159" s="1" t="s">
        <v>271</v>
      </c>
      <c r="B6159" s="1" t="s">
        <v>47</v>
      </c>
      <c r="C6159" s="1" t="s">
        <v>11</v>
      </c>
      <c r="D6159" s="5">
        <v>45222.0</v>
      </c>
      <c r="G6159" s="1">
        <f>VLOOKUP(B6159,'old-aw-skill-plan'!A:I,7,FALSE)</f>
        <v>3</v>
      </c>
      <c r="H6159" s="1" t="str">
        <f>VLOOKUP(B6159,'old-aw-skill-plan'!A:I,9,FALSE)</f>
        <v>3-2</v>
      </c>
    </row>
    <row r="6160" ht="15.75" customHeight="1">
      <c r="A6160" s="1" t="s">
        <v>207</v>
      </c>
      <c r="B6160" s="1" t="s">
        <v>10</v>
      </c>
      <c r="C6160" s="1" t="s">
        <v>11</v>
      </c>
      <c r="D6160" s="5">
        <v>45222.0</v>
      </c>
      <c r="G6160" s="1">
        <f>VLOOKUP(B6160,'old-aw-skill-plan'!A:I,7,FALSE)</f>
        <v>3</v>
      </c>
      <c r="H6160" s="1" t="str">
        <f>VLOOKUP(B6160,'old-aw-skill-plan'!A:I,9,FALSE)</f>
        <v>3-1</v>
      </c>
    </row>
    <row r="6161" ht="15.75" customHeight="1">
      <c r="A6161" s="1" t="s">
        <v>458</v>
      </c>
      <c r="B6161" s="1" t="s">
        <v>10</v>
      </c>
      <c r="C6161" s="1" t="s">
        <v>11</v>
      </c>
      <c r="D6161" s="5">
        <v>45222.0</v>
      </c>
      <c r="G6161" s="1">
        <f>VLOOKUP(B6161,'old-aw-skill-plan'!A:I,7,FALSE)</f>
        <v>3</v>
      </c>
      <c r="H6161" s="1" t="str">
        <f>VLOOKUP(B6161,'old-aw-skill-plan'!A:I,9,FALSE)</f>
        <v>3-1</v>
      </c>
    </row>
    <row r="6162" ht="15.75" customHeight="1">
      <c r="A6162" s="1" t="s">
        <v>434</v>
      </c>
      <c r="B6162" s="1" t="s">
        <v>10</v>
      </c>
      <c r="C6162" s="1" t="s">
        <v>11</v>
      </c>
      <c r="D6162" s="5">
        <v>45222.0</v>
      </c>
      <c r="G6162" s="1">
        <f>VLOOKUP(B6162,'old-aw-skill-plan'!A:I,7,FALSE)</f>
        <v>3</v>
      </c>
      <c r="H6162" s="1" t="str">
        <f>VLOOKUP(B6162,'old-aw-skill-plan'!A:I,9,FALSE)</f>
        <v>3-1</v>
      </c>
    </row>
    <row r="6163" ht="15.75" customHeight="1">
      <c r="A6163" s="1" t="s">
        <v>434</v>
      </c>
      <c r="B6163" s="1" t="s">
        <v>30</v>
      </c>
      <c r="C6163" s="1" t="s">
        <v>11</v>
      </c>
      <c r="D6163" s="5">
        <v>45222.0</v>
      </c>
      <c r="G6163" s="1">
        <f>VLOOKUP(B6163,'old-aw-skill-plan'!A:I,7,FALSE)</f>
        <v>3</v>
      </c>
      <c r="H6163" s="1" t="str">
        <f>VLOOKUP(B6163,'old-aw-skill-plan'!A:I,9,FALSE)</f>
        <v>3-3</v>
      </c>
    </row>
    <row r="6164" ht="15.75" customHeight="1">
      <c r="A6164" s="1" t="s">
        <v>434</v>
      </c>
      <c r="B6164" s="1" t="s">
        <v>47</v>
      </c>
      <c r="C6164" s="1" t="s">
        <v>11</v>
      </c>
      <c r="D6164" s="5">
        <v>45222.0</v>
      </c>
      <c r="G6164" s="1">
        <f>VLOOKUP(B6164,'old-aw-skill-plan'!A:I,7,FALSE)</f>
        <v>3</v>
      </c>
      <c r="H6164" s="1" t="str">
        <f>VLOOKUP(B6164,'old-aw-skill-plan'!A:I,9,FALSE)</f>
        <v>3-2</v>
      </c>
    </row>
    <row r="6165" ht="15.75" customHeight="1">
      <c r="A6165" s="1" t="s">
        <v>482</v>
      </c>
      <c r="B6165" s="1" t="s">
        <v>34</v>
      </c>
      <c r="C6165" s="1" t="s">
        <v>11</v>
      </c>
      <c r="D6165" s="5">
        <v>45222.0</v>
      </c>
      <c r="G6165" s="1">
        <f>VLOOKUP(B6165,'old-aw-skill-plan'!A:I,7,FALSE)</f>
        <v>4</v>
      </c>
      <c r="H6165" s="1" t="str">
        <f>VLOOKUP(B6165,'old-aw-skill-plan'!A:I,9,FALSE)</f>
        <v>4-1</v>
      </c>
    </row>
    <row r="6166" ht="15.75" customHeight="1">
      <c r="A6166" s="1" t="s">
        <v>213</v>
      </c>
      <c r="B6166" s="1" t="s">
        <v>10</v>
      </c>
      <c r="C6166" s="1" t="s">
        <v>11</v>
      </c>
      <c r="D6166" s="5">
        <v>45222.0</v>
      </c>
      <c r="G6166" s="1">
        <f>VLOOKUP(B6166,'old-aw-skill-plan'!A:I,7,FALSE)</f>
        <v>3</v>
      </c>
      <c r="H6166" s="1" t="str">
        <f>VLOOKUP(B6166,'old-aw-skill-plan'!A:I,9,FALSE)</f>
        <v>3-1</v>
      </c>
    </row>
    <row r="6167" ht="15.75" customHeight="1">
      <c r="A6167" s="1" t="s">
        <v>475</v>
      </c>
      <c r="B6167" s="1" t="s">
        <v>34</v>
      </c>
      <c r="C6167" s="1" t="s">
        <v>11</v>
      </c>
      <c r="D6167" s="5">
        <v>45222.0</v>
      </c>
      <c r="G6167" s="1">
        <f>VLOOKUP(B6167,'old-aw-skill-plan'!A:I,7,FALSE)</f>
        <v>4</v>
      </c>
      <c r="H6167" s="1" t="str">
        <f>VLOOKUP(B6167,'old-aw-skill-plan'!A:I,9,FALSE)</f>
        <v>4-1</v>
      </c>
    </row>
    <row r="6168" ht="15.75" customHeight="1">
      <c r="A6168" s="1" t="s">
        <v>199</v>
      </c>
      <c r="B6168" s="1" t="s">
        <v>34</v>
      </c>
      <c r="C6168" s="1" t="s">
        <v>11</v>
      </c>
      <c r="D6168" s="5">
        <v>45222.0</v>
      </c>
      <c r="G6168" s="1">
        <f>VLOOKUP(B6168,'old-aw-skill-plan'!A:I,7,FALSE)</f>
        <v>4</v>
      </c>
      <c r="H6168" s="1" t="str">
        <f>VLOOKUP(B6168,'old-aw-skill-plan'!A:I,9,FALSE)</f>
        <v>4-1</v>
      </c>
    </row>
    <row r="6169" ht="15.75" customHeight="1">
      <c r="A6169" s="1" t="s">
        <v>480</v>
      </c>
      <c r="B6169" s="1" t="s">
        <v>10</v>
      </c>
      <c r="C6169" s="1" t="s">
        <v>11</v>
      </c>
      <c r="D6169" s="5">
        <v>45222.0</v>
      </c>
      <c r="G6169" s="1">
        <f>VLOOKUP(B6169,'old-aw-skill-plan'!A:I,7,FALSE)</f>
        <v>3</v>
      </c>
      <c r="H6169" s="1" t="str">
        <f>VLOOKUP(B6169,'old-aw-skill-plan'!A:I,9,FALSE)</f>
        <v>3-1</v>
      </c>
    </row>
    <row r="6170" ht="15.75" customHeight="1">
      <c r="A6170" s="1" t="s">
        <v>273</v>
      </c>
      <c r="B6170" s="1" t="s">
        <v>10</v>
      </c>
      <c r="C6170" s="1" t="s">
        <v>11</v>
      </c>
      <c r="D6170" s="5">
        <v>45222.0</v>
      </c>
      <c r="G6170" s="1">
        <f>VLOOKUP(B6170,'old-aw-skill-plan'!A:I,7,FALSE)</f>
        <v>3</v>
      </c>
      <c r="H6170" s="1" t="str">
        <f>VLOOKUP(B6170,'old-aw-skill-plan'!A:I,9,FALSE)</f>
        <v>3-1</v>
      </c>
    </row>
    <row r="6171" ht="15.75" customHeight="1">
      <c r="A6171" s="1" t="s">
        <v>460</v>
      </c>
      <c r="B6171" s="1" t="s">
        <v>44</v>
      </c>
      <c r="C6171" s="1" t="s">
        <v>11</v>
      </c>
      <c r="D6171" s="5">
        <v>45222.0</v>
      </c>
      <c r="G6171" s="1">
        <f>VLOOKUP(B6171,'old-aw-skill-plan'!A:I,7,FALSE)</f>
        <v>5</v>
      </c>
      <c r="H6171" s="1" t="str">
        <f>VLOOKUP(B6171,'old-aw-skill-plan'!A:I,9,FALSE)</f>
        <v>5-1</v>
      </c>
    </row>
    <row r="6172" ht="15.75" customHeight="1">
      <c r="A6172" s="1" t="s">
        <v>39</v>
      </c>
      <c r="B6172" s="1" t="s">
        <v>34</v>
      </c>
      <c r="C6172" s="1" t="s">
        <v>11</v>
      </c>
      <c r="D6172" s="5">
        <v>45222.0</v>
      </c>
      <c r="G6172" s="1">
        <f>VLOOKUP(B6172,'old-aw-skill-plan'!A:I,7,FALSE)</f>
        <v>4</v>
      </c>
      <c r="H6172" s="1" t="str">
        <f>VLOOKUP(B6172,'old-aw-skill-plan'!A:I,9,FALSE)</f>
        <v>4-1</v>
      </c>
    </row>
    <row r="6173" ht="15.75" customHeight="1">
      <c r="A6173" s="1" t="s">
        <v>469</v>
      </c>
      <c r="B6173" s="1" t="s">
        <v>34</v>
      </c>
      <c r="C6173" s="1" t="s">
        <v>11</v>
      </c>
      <c r="D6173" s="5">
        <v>45222.0</v>
      </c>
      <c r="G6173" s="1">
        <f>VLOOKUP(B6173,'old-aw-skill-plan'!A:I,7,FALSE)</f>
        <v>4</v>
      </c>
      <c r="H6173" s="1" t="str">
        <f>VLOOKUP(B6173,'old-aw-skill-plan'!A:I,9,FALSE)</f>
        <v>4-1</v>
      </c>
    </row>
    <row r="6174" ht="15.75" customHeight="1">
      <c r="A6174" s="1" t="s">
        <v>220</v>
      </c>
      <c r="B6174" s="1" t="s">
        <v>10</v>
      </c>
      <c r="C6174" s="1" t="s">
        <v>11</v>
      </c>
      <c r="D6174" s="5">
        <v>45222.0</v>
      </c>
      <c r="G6174" s="1">
        <f>VLOOKUP(B6174,'old-aw-skill-plan'!A:I,7,FALSE)</f>
        <v>3</v>
      </c>
      <c r="H6174" s="1" t="str">
        <f>VLOOKUP(B6174,'old-aw-skill-plan'!A:I,9,FALSE)</f>
        <v>3-1</v>
      </c>
    </row>
    <row r="6175" ht="15.75" customHeight="1">
      <c r="A6175" s="1" t="s">
        <v>220</v>
      </c>
      <c r="B6175" s="1" t="s">
        <v>47</v>
      </c>
      <c r="C6175" s="1" t="s">
        <v>11</v>
      </c>
      <c r="D6175" s="5">
        <v>45222.0</v>
      </c>
      <c r="G6175" s="1">
        <f>VLOOKUP(B6175,'old-aw-skill-plan'!A:I,7,FALSE)</f>
        <v>3</v>
      </c>
      <c r="H6175" s="1" t="str">
        <f>VLOOKUP(B6175,'old-aw-skill-plan'!A:I,9,FALSE)</f>
        <v>3-2</v>
      </c>
    </row>
    <row r="6176" ht="15.75" customHeight="1">
      <c r="A6176" s="1" t="s">
        <v>237</v>
      </c>
      <c r="B6176" s="1" t="s">
        <v>10</v>
      </c>
      <c r="C6176" s="1" t="s">
        <v>11</v>
      </c>
      <c r="D6176" s="5">
        <v>45222.0</v>
      </c>
      <c r="G6176" s="1">
        <f>VLOOKUP(B6176,'old-aw-skill-plan'!A:I,7,FALSE)</f>
        <v>3</v>
      </c>
      <c r="H6176" s="1" t="str">
        <f>VLOOKUP(B6176,'old-aw-skill-plan'!A:I,9,FALSE)</f>
        <v>3-1</v>
      </c>
    </row>
    <row r="6177" ht="15.75" customHeight="1">
      <c r="A6177" s="1" t="s">
        <v>267</v>
      </c>
      <c r="B6177" s="1" t="s">
        <v>44</v>
      </c>
      <c r="C6177" s="1" t="s">
        <v>11</v>
      </c>
      <c r="D6177" s="5">
        <v>45222.0</v>
      </c>
      <c r="G6177" s="1">
        <f>VLOOKUP(B6177,'old-aw-skill-plan'!A:I,7,FALSE)</f>
        <v>5</v>
      </c>
      <c r="H6177" s="1" t="str">
        <f>VLOOKUP(B6177,'old-aw-skill-plan'!A:I,9,FALSE)</f>
        <v>5-1</v>
      </c>
    </row>
    <row r="6178" ht="15.75" customHeight="1">
      <c r="A6178" s="1" t="s">
        <v>465</v>
      </c>
      <c r="B6178" s="1" t="s">
        <v>10</v>
      </c>
      <c r="C6178" s="1" t="s">
        <v>11</v>
      </c>
      <c r="D6178" s="5">
        <v>45222.0</v>
      </c>
      <c r="G6178" s="1">
        <f>VLOOKUP(B6178,'old-aw-skill-plan'!A:I,7,FALSE)</f>
        <v>3</v>
      </c>
      <c r="H6178" s="1" t="str">
        <f>VLOOKUP(B6178,'old-aw-skill-plan'!A:I,9,FALSE)</f>
        <v>3-1</v>
      </c>
    </row>
    <row r="6179" ht="15.75" customHeight="1">
      <c r="A6179" s="1" t="s">
        <v>465</v>
      </c>
      <c r="B6179" s="1" t="s">
        <v>47</v>
      </c>
      <c r="C6179" s="1" t="s">
        <v>11</v>
      </c>
      <c r="D6179" s="5">
        <v>45222.0</v>
      </c>
      <c r="G6179" s="1">
        <f>VLOOKUP(B6179,'old-aw-skill-plan'!A:I,7,FALSE)</f>
        <v>3</v>
      </c>
      <c r="H6179" s="1" t="str">
        <f>VLOOKUP(B6179,'old-aw-skill-plan'!A:I,9,FALSE)</f>
        <v>3-2</v>
      </c>
    </row>
    <row r="6180" ht="15.75" customHeight="1">
      <c r="A6180" s="1" t="s">
        <v>419</v>
      </c>
      <c r="B6180" s="1" t="s">
        <v>10</v>
      </c>
      <c r="C6180" s="1" t="s">
        <v>11</v>
      </c>
      <c r="D6180" s="5">
        <v>45222.0</v>
      </c>
      <c r="G6180" s="1">
        <f>VLOOKUP(B6180,'old-aw-skill-plan'!A:I,7,FALSE)</f>
        <v>3</v>
      </c>
      <c r="H6180" s="1" t="str">
        <f>VLOOKUP(B6180,'old-aw-skill-plan'!A:I,9,FALSE)</f>
        <v>3-1</v>
      </c>
    </row>
    <row r="6181" ht="15.75" customHeight="1">
      <c r="A6181" s="1" t="s">
        <v>459</v>
      </c>
      <c r="B6181" s="1" t="s">
        <v>10</v>
      </c>
      <c r="C6181" s="1" t="s">
        <v>11</v>
      </c>
      <c r="D6181" s="5">
        <v>45222.0</v>
      </c>
      <c r="G6181" s="1">
        <f>VLOOKUP(B6181,'old-aw-skill-plan'!A:I,7,FALSE)</f>
        <v>3</v>
      </c>
      <c r="H6181" s="1" t="str">
        <f>VLOOKUP(B6181,'old-aw-skill-plan'!A:I,9,FALSE)</f>
        <v>3-1</v>
      </c>
    </row>
    <row r="6182" ht="15.75" customHeight="1">
      <c r="A6182" s="1" t="s">
        <v>238</v>
      </c>
      <c r="B6182" s="1" t="s">
        <v>10</v>
      </c>
      <c r="C6182" s="1" t="s">
        <v>11</v>
      </c>
      <c r="D6182" s="5">
        <v>45222.0</v>
      </c>
      <c r="G6182" s="1">
        <f>VLOOKUP(B6182,'old-aw-skill-plan'!A:I,7,FALSE)</f>
        <v>3</v>
      </c>
      <c r="H6182" s="1" t="str">
        <f>VLOOKUP(B6182,'old-aw-skill-plan'!A:I,9,FALSE)</f>
        <v>3-1</v>
      </c>
    </row>
    <row r="6183" ht="15.75" customHeight="1">
      <c r="A6183" s="1" t="s">
        <v>473</v>
      </c>
      <c r="B6183" s="1" t="s">
        <v>10</v>
      </c>
      <c r="C6183" s="1" t="s">
        <v>11</v>
      </c>
      <c r="D6183" s="5">
        <v>45222.0</v>
      </c>
      <c r="G6183" s="1">
        <f>VLOOKUP(B6183,'old-aw-skill-plan'!A:I,7,FALSE)</f>
        <v>3</v>
      </c>
      <c r="H6183" s="1" t="str">
        <f>VLOOKUP(B6183,'old-aw-skill-plan'!A:I,9,FALSE)</f>
        <v>3-1</v>
      </c>
    </row>
    <row r="6184" ht="15.75" customHeight="1">
      <c r="A6184" s="1" t="s">
        <v>56</v>
      </c>
      <c r="B6184" s="1" t="s">
        <v>10</v>
      </c>
      <c r="C6184" s="1" t="s">
        <v>11</v>
      </c>
      <c r="D6184" s="5">
        <v>45222.0</v>
      </c>
      <c r="G6184" s="1">
        <f>VLOOKUP(B6184,'old-aw-skill-plan'!A:I,7,FALSE)</f>
        <v>3</v>
      </c>
      <c r="H6184" s="1" t="str">
        <f>VLOOKUP(B6184,'old-aw-skill-plan'!A:I,9,FALSE)</f>
        <v>3-1</v>
      </c>
    </row>
    <row r="6185" ht="15.75" customHeight="1">
      <c r="A6185" s="1" t="s">
        <v>81</v>
      </c>
      <c r="B6185" s="1" t="s">
        <v>34</v>
      </c>
      <c r="C6185" s="1" t="s">
        <v>11</v>
      </c>
      <c r="D6185" s="5">
        <v>45222.0</v>
      </c>
      <c r="G6185" s="1">
        <f>VLOOKUP(B6185,'old-aw-skill-plan'!A:I,7,FALSE)</f>
        <v>4</v>
      </c>
      <c r="H6185" s="1" t="str">
        <f>VLOOKUP(B6185,'old-aw-skill-plan'!A:I,9,FALSE)</f>
        <v>4-1</v>
      </c>
    </row>
    <row r="6186" ht="15.75" customHeight="1">
      <c r="A6186" s="1" t="s">
        <v>429</v>
      </c>
      <c r="B6186" s="1" t="s">
        <v>34</v>
      </c>
      <c r="C6186" s="1" t="s">
        <v>11</v>
      </c>
      <c r="D6186" s="5">
        <v>45222.0</v>
      </c>
      <c r="G6186" s="1">
        <f>VLOOKUP(B6186,'old-aw-skill-plan'!A:I,7,FALSE)</f>
        <v>4</v>
      </c>
      <c r="H6186" s="1" t="str">
        <f>VLOOKUP(B6186,'old-aw-skill-plan'!A:I,9,FALSE)</f>
        <v>4-1</v>
      </c>
    </row>
    <row r="6187" ht="15.75" customHeight="1">
      <c r="A6187" s="1" t="s">
        <v>421</v>
      </c>
      <c r="B6187" s="1" t="s">
        <v>10</v>
      </c>
      <c r="C6187" s="1" t="s">
        <v>11</v>
      </c>
      <c r="D6187" s="5">
        <v>45222.0</v>
      </c>
      <c r="G6187" s="1">
        <f>VLOOKUP(B6187,'old-aw-skill-plan'!A:I,7,FALSE)</f>
        <v>3</v>
      </c>
      <c r="H6187" s="1" t="str">
        <f>VLOOKUP(B6187,'old-aw-skill-plan'!A:I,9,FALSE)</f>
        <v>3-1</v>
      </c>
    </row>
    <row r="6188" ht="15.75" customHeight="1">
      <c r="A6188" s="1" t="s">
        <v>428</v>
      </c>
      <c r="B6188" s="1" t="s">
        <v>34</v>
      </c>
      <c r="C6188" s="1" t="s">
        <v>11</v>
      </c>
      <c r="D6188" s="5">
        <v>45222.0</v>
      </c>
      <c r="G6188" s="1">
        <f>VLOOKUP(B6188,'old-aw-skill-plan'!A:I,7,FALSE)</f>
        <v>4</v>
      </c>
      <c r="H6188" s="1" t="str">
        <f>VLOOKUP(B6188,'old-aw-skill-plan'!A:I,9,FALSE)</f>
        <v>4-1</v>
      </c>
    </row>
    <row r="6189" ht="15.75" customHeight="1">
      <c r="A6189" s="1" t="s">
        <v>420</v>
      </c>
      <c r="B6189" s="1" t="s">
        <v>10</v>
      </c>
      <c r="C6189" s="1" t="s">
        <v>11</v>
      </c>
      <c r="D6189" s="5">
        <v>45222.0</v>
      </c>
      <c r="G6189" s="1">
        <f>VLOOKUP(B6189,'old-aw-skill-plan'!A:I,7,FALSE)</f>
        <v>3</v>
      </c>
      <c r="H6189" s="1" t="str">
        <f>VLOOKUP(B6189,'old-aw-skill-plan'!A:I,9,FALSE)</f>
        <v>3-1</v>
      </c>
    </row>
    <row r="6190" ht="15.75" customHeight="1">
      <c r="A6190" s="1" t="s">
        <v>471</v>
      </c>
      <c r="B6190" s="1" t="s">
        <v>10</v>
      </c>
      <c r="C6190" s="1" t="s">
        <v>11</v>
      </c>
      <c r="D6190" s="5">
        <v>45222.0</v>
      </c>
      <c r="G6190" s="1">
        <f>VLOOKUP(B6190,'old-aw-skill-plan'!A:I,7,FALSE)</f>
        <v>3</v>
      </c>
      <c r="H6190" s="1" t="str">
        <f>VLOOKUP(B6190,'old-aw-skill-plan'!A:I,9,FALSE)</f>
        <v>3-1</v>
      </c>
    </row>
    <row r="6191" ht="15.75" customHeight="1">
      <c r="A6191" s="1" t="s">
        <v>65</v>
      </c>
      <c r="B6191" s="1" t="s">
        <v>34</v>
      </c>
      <c r="C6191" s="1" t="s">
        <v>11</v>
      </c>
      <c r="D6191" s="5">
        <v>45222.0</v>
      </c>
      <c r="G6191" s="1">
        <f>VLOOKUP(B6191,'old-aw-skill-plan'!A:I,7,FALSE)</f>
        <v>4</v>
      </c>
      <c r="H6191" s="1" t="str">
        <f>VLOOKUP(B6191,'old-aw-skill-plan'!A:I,9,FALSE)</f>
        <v>4-1</v>
      </c>
    </row>
    <row r="6192" ht="15.75" customHeight="1">
      <c r="A6192" s="1" t="s">
        <v>275</v>
      </c>
      <c r="B6192" s="1" t="s">
        <v>10</v>
      </c>
      <c r="C6192" s="1" t="s">
        <v>11</v>
      </c>
      <c r="D6192" s="5">
        <v>45222.0</v>
      </c>
      <c r="G6192" s="1">
        <f>VLOOKUP(B6192,'old-aw-skill-plan'!A:I,7,FALSE)</f>
        <v>3</v>
      </c>
      <c r="H6192" s="1" t="str">
        <f>VLOOKUP(B6192,'old-aw-skill-plan'!A:I,9,FALSE)</f>
        <v>3-1</v>
      </c>
    </row>
    <row r="6193" ht="15.75" customHeight="1">
      <c r="A6193" s="1" t="s">
        <v>276</v>
      </c>
      <c r="B6193" s="1" t="s">
        <v>44</v>
      </c>
      <c r="C6193" s="1" t="s">
        <v>11</v>
      </c>
      <c r="D6193" s="5">
        <v>45222.0</v>
      </c>
      <c r="G6193" s="1">
        <f>VLOOKUP(B6193,'old-aw-skill-plan'!A:I,7,FALSE)</f>
        <v>5</v>
      </c>
      <c r="H6193" s="1" t="str">
        <f>VLOOKUP(B6193,'old-aw-skill-plan'!A:I,9,FALSE)</f>
        <v>5-1</v>
      </c>
    </row>
    <row r="6194" ht="15.75" customHeight="1">
      <c r="A6194" s="1" t="s">
        <v>203</v>
      </c>
      <c r="B6194" s="1" t="s">
        <v>44</v>
      </c>
      <c r="C6194" s="1" t="s">
        <v>11</v>
      </c>
      <c r="D6194" s="5">
        <v>45222.0</v>
      </c>
      <c r="G6194" s="1">
        <f>VLOOKUP(B6194,'old-aw-skill-plan'!A:I,7,FALSE)</f>
        <v>5</v>
      </c>
      <c r="H6194" s="1" t="str">
        <f>VLOOKUP(B6194,'old-aw-skill-plan'!A:I,9,FALSE)</f>
        <v>5-1</v>
      </c>
    </row>
    <row r="6195" ht="15.75" customHeight="1">
      <c r="A6195" s="1" t="s">
        <v>268</v>
      </c>
      <c r="B6195" s="1" t="s">
        <v>10</v>
      </c>
      <c r="C6195" s="1" t="s">
        <v>11</v>
      </c>
      <c r="D6195" s="5">
        <v>45222.0</v>
      </c>
      <c r="G6195" s="1">
        <f>VLOOKUP(B6195,'old-aw-skill-plan'!A:I,7,FALSE)</f>
        <v>3</v>
      </c>
      <c r="H6195" s="1" t="str">
        <f>VLOOKUP(B6195,'old-aw-skill-plan'!A:I,9,FALSE)</f>
        <v>3-1</v>
      </c>
    </row>
    <row r="6196" ht="15.75" customHeight="1">
      <c r="A6196" s="1" t="s">
        <v>268</v>
      </c>
      <c r="B6196" s="1" t="s">
        <v>47</v>
      </c>
      <c r="C6196" s="1" t="s">
        <v>11</v>
      </c>
      <c r="D6196" s="5">
        <v>45222.0</v>
      </c>
      <c r="G6196" s="1">
        <f>VLOOKUP(B6196,'old-aw-skill-plan'!A:I,7,FALSE)</f>
        <v>3</v>
      </c>
      <c r="H6196" s="1" t="str">
        <f>VLOOKUP(B6196,'old-aw-skill-plan'!A:I,9,FALSE)</f>
        <v>3-2</v>
      </c>
    </row>
    <row r="6197" ht="15.75" customHeight="1">
      <c r="A6197" s="1" t="s">
        <v>461</v>
      </c>
      <c r="B6197" s="1" t="s">
        <v>44</v>
      </c>
      <c r="C6197" s="1" t="s">
        <v>11</v>
      </c>
      <c r="D6197" s="5">
        <v>45222.0</v>
      </c>
      <c r="G6197" s="1">
        <f>VLOOKUP(B6197,'old-aw-skill-plan'!A:I,7,FALSE)</f>
        <v>5</v>
      </c>
      <c r="H6197" s="1" t="str">
        <f>VLOOKUP(B6197,'old-aw-skill-plan'!A:I,9,FALSE)</f>
        <v>5-1</v>
      </c>
    </row>
    <row r="6198" ht="15.75" customHeight="1">
      <c r="A6198" s="1" t="s">
        <v>214</v>
      </c>
      <c r="B6198" s="1" t="s">
        <v>10</v>
      </c>
      <c r="C6198" s="1" t="s">
        <v>11</v>
      </c>
      <c r="D6198" s="5">
        <v>45222.0</v>
      </c>
      <c r="G6198" s="1">
        <f>VLOOKUP(B6198,'old-aw-skill-plan'!A:I,7,FALSE)</f>
        <v>3</v>
      </c>
      <c r="H6198" s="1" t="str">
        <f>VLOOKUP(B6198,'old-aw-skill-plan'!A:I,9,FALSE)</f>
        <v>3-1</v>
      </c>
    </row>
    <row r="6199" ht="15.75" customHeight="1">
      <c r="A6199" s="1" t="s">
        <v>422</v>
      </c>
      <c r="B6199" s="1" t="s">
        <v>34</v>
      </c>
      <c r="C6199" s="1" t="s">
        <v>11</v>
      </c>
      <c r="D6199" s="5">
        <v>45222.0</v>
      </c>
      <c r="G6199" s="1">
        <f>VLOOKUP(B6199,'old-aw-skill-plan'!A:I,7,FALSE)</f>
        <v>4</v>
      </c>
      <c r="H6199" s="1" t="str">
        <f>VLOOKUP(B6199,'old-aw-skill-plan'!A:I,9,FALSE)</f>
        <v>4-1</v>
      </c>
    </row>
    <row r="6200" ht="15.75" customHeight="1">
      <c r="A6200" s="1" t="s">
        <v>197</v>
      </c>
      <c r="B6200" s="1" t="s">
        <v>34</v>
      </c>
      <c r="C6200" s="1" t="s">
        <v>11</v>
      </c>
      <c r="D6200" s="5">
        <v>45222.0</v>
      </c>
      <c r="G6200" s="1">
        <f>VLOOKUP(B6200,'old-aw-skill-plan'!A:I,7,FALSE)</f>
        <v>4</v>
      </c>
      <c r="H6200" s="1" t="str">
        <f>VLOOKUP(B6200,'old-aw-skill-plan'!A:I,9,FALSE)</f>
        <v>4-1</v>
      </c>
    </row>
    <row r="6201" ht="15.75" customHeight="1">
      <c r="A6201" s="1" t="s">
        <v>462</v>
      </c>
      <c r="B6201" s="1" t="s">
        <v>44</v>
      </c>
      <c r="C6201" s="1" t="s">
        <v>11</v>
      </c>
      <c r="D6201" s="5">
        <v>45222.0</v>
      </c>
      <c r="G6201" s="1">
        <f>VLOOKUP(B6201,'old-aw-skill-plan'!A:I,7,FALSE)</f>
        <v>5</v>
      </c>
      <c r="H6201" s="1" t="str">
        <f>VLOOKUP(B6201,'old-aw-skill-plan'!A:I,9,FALSE)</f>
        <v>5-1</v>
      </c>
    </row>
    <row r="6202" ht="15.75" customHeight="1">
      <c r="A6202" s="1" t="s">
        <v>430</v>
      </c>
      <c r="B6202" s="1" t="s">
        <v>10</v>
      </c>
      <c r="C6202" s="1" t="s">
        <v>11</v>
      </c>
      <c r="D6202" s="5">
        <v>45222.0</v>
      </c>
      <c r="G6202" s="1">
        <f>VLOOKUP(B6202,'old-aw-skill-plan'!A:I,7,FALSE)</f>
        <v>3</v>
      </c>
      <c r="H6202" s="1" t="str">
        <f>VLOOKUP(B6202,'old-aw-skill-plan'!A:I,9,FALSE)</f>
        <v>3-1</v>
      </c>
    </row>
    <row r="6203" ht="15.75" customHeight="1">
      <c r="A6203" s="1" t="s">
        <v>74</v>
      </c>
      <c r="B6203" s="1" t="s">
        <v>44</v>
      </c>
      <c r="C6203" s="1" t="s">
        <v>11</v>
      </c>
      <c r="D6203" s="5">
        <v>45222.0</v>
      </c>
      <c r="G6203" s="1">
        <f>VLOOKUP(B6203,'old-aw-skill-plan'!A:I,7,FALSE)</f>
        <v>5</v>
      </c>
      <c r="H6203" s="1" t="str">
        <f>VLOOKUP(B6203,'old-aw-skill-plan'!A:I,9,FALSE)</f>
        <v>5-1</v>
      </c>
    </row>
    <row r="6204" ht="15.75" customHeight="1">
      <c r="A6204" s="1" t="s">
        <v>181</v>
      </c>
      <c r="B6204" s="1" t="s">
        <v>10</v>
      </c>
      <c r="C6204" s="1" t="s">
        <v>11</v>
      </c>
      <c r="D6204" s="5">
        <v>45222.0</v>
      </c>
      <c r="G6204" s="1">
        <f>VLOOKUP(B6204,'old-aw-skill-plan'!A:I,7,FALSE)</f>
        <v>3</v>
      </c>
      <c r="H6204" s="1" t="str">
        <f>VLOOKUP(B6204,'old-aw-skill-plan'!A:I,9,FALSE)</f>
        <v>3-1</v>
      </c>
    </row>
    <row r="6205" ht="15.75" customHeight="1">
      <c r="A6205" s="1" t="s">
        <v>181</v>
      </c>
      <c r="B6205" s="1" t="s">
        <v>30</v>
      </c>
      <c r="C6205" s="1" t="s">
        <v>11</v>
      </c>
      <c r="D6205" s="5">
        <v>45222.0</v>
      </c>
      <c r="G6205" s="1">
        <f>VLOOKUP(B6205,'old-aw-skill-plan'!A:I,7,FALSE)</f>
        <v>3</v>
      </c>
      <c r="H6205" s="1" t="str">
        <f>VLOOKUP(B6205,'old-aw-skill-plan'!A:I,9,FALSE)</f>
        <v>3-3</v>
      </c>
    </row>
    <row r="6206" ht="15.75" customHeight="1">
      <c r="A6206" s="1" t="s">
        <v>181</v>
      </c>
      <c r="B6206" s="1" t="s">
        <v>47</v>
      </c>
      <c r="C6206" s="1" t="s">
        <v>11</v>
      </c>
      <c r="D6206" s="5">
        <v>45222.0</v>
      </c>
      <c r="G6206" s="1">
        <f>VLOOKUP(B6206,'old-aw-skill-plan'!A:I,7,FALSE)</f>
        <v>3</v>
      </c>
      <c r="H6206" s="1" t="str">
        <f>VLOOKUP(B6206,'old-aw-skill-plan'!A:I,9,FALSE)</f>
        <v>3-2</v>
      </c>
    </row>
    <row r="6207" ht="15.75" customHeight="1">
      <c r="A6207" s="1" t="s">
        <v>235</v>
      </c>
      <c r="B6207" s="1" t="s">
        <v>44</v>
      </c>
      <c r="C6207" s="1" t="s">
        <v>11</v>
      </c>
      <c r="D6207" s="5">
        <v>45222.0</v>
      </c>
      <c r="G6207" s="1">
        <f>VLOOKUP(B6207,'old-aw-skill-plan'!A:I,7,FALSE)</f>
        <v>5</v>
      </c>
      <c r="H6207" s="1" t="str">
        <f>VLOOKUP(B6207,'old-aw-skill-plan'!A:I,9,FALSE)</f>
        <v>5-1</v>
      </c>
    </row>
    <row r="6208" ht="15.75" customHeight="1">
      <c r="A6208" s="1" t="s">
        <v>226</v>
      </c>
      <c r="B6208" s="1" t="s">
        <v>10</v>
      </c>
      <c r="C6208" s="1" t="s">
        <v>11</v>
      </c>
      <c r="D6208" s="5">
        <v>45222.0</v>
      </c>
      <c r="G6208" s="1">
        <f>VLOOKUP(B6208,'old-aw-skill-plan'!A:I,7,FALSE)</f>
        <v>3</v>
      </c>
      <c r="H6208" s="1" t="str">
        <f>VLOOKUP(B6208,'old-aw-skill-plan'!A:I,9,FALSE)</f>
        <v>3-1</v>
      </c>
    </row>
    <row r="6209" ht="15.75" customHeight="1">
      <c r="A6209" s="1" t="s">
        <v>265</v>
      </c>
      <c r="B6209" s="1" t="s">
        <v>44</v>
      </c>
      <c r="C6209" s="1" t="s">
        <v>11</v>
      </c>
      <c r="D6209" s="5">
        <v>45222.0</v>
      </c>
      <c r="G6209" s="1">
        <f>VLOOKUP(B6209,'old-aw-skill-plan'!A:I,7,FALSE)</f>
        <v>5</v>
      </c>
      <c r="H6209" s="1" t="str">
        <f>VLOOKUP(B6209,'old-aw-skill-plan'!A:I,9,FALSE)</f>
        <v>5-1</v>
      </c>
    </row>
    <row r="6210" ht="15.75" customHeight="1">
      <c r="A6210" s="1" t="s">
        <v>90</v>
      </c>
      <c r="B6210" s="1" t="s">
        <v>10</v>
      </c>
      <c r="C6210" s="1" t="s">
        <v>11</v>
      </c>
      <c r="D6210" s="5">
        <v>45222.0</v>
      </c>
      <c r="G6210" s="1">
        <f>VLOOKUP(B6210,'old-aw-skill-plan'!A:I,7,FALSE)</f>
        <v>3</v>
      </c>
      <c r="H6210" s="1" t="str">
        <f>VLOOKUP(B6210,'old-aw-skill-plan'!A:I,9,FALSE)</f>
        <v>3-1</v>
      </c>
    </row>
    <row r="6211" ht="15.75" customHeight="1">
      <c r="A6211" s="1" t="s">
        <v>90</v>
      </c>
      <c r="B6211" s="1" t="s">
        <v>47</v>
      </c>
      <c r="C6211" s="1" t="s">
        <v>11</v>
      </c>
      <c r="D6211" s="5">
        <v>45222.0</v>
      </c>
      <c r="G6211" s="1">
        <f>VLOOKUP(B6211,'old-aw-skill-plan'!A:I,7,FALSE)</f>
        <v>3</v>
      </c>
      <c r="H6211" s="1" t="str">
        <f>VLOOKUP(B6211,'old-aw-skill-plan'!A:I,9,FALSE)</f>
        <v>3-2</v>
      </c>
    </row>
    <row r="6212" ht="15.75" customHeight="1">
      <c r="A6212" s="1" t="s">
        <v>90</v>
      </c>
      <c r="B6212" s="1" t="s">
        <v>34</v>
      </c>
      <c r="C6212" s="1" t="s">
        <v>11</v>
      </c>
      <c r="D6212" s="5">
        <v>45222.0</v>
      </c>
      <c r="G6212" s="1">
        <f>VLOOKUP(B6212,'old-aw-skill-plan'!A:I,7,FALSE)</f>
        <v>4</v>
      </c>
      <c r="H6212" s="1" t="str">
        <f>VLOOKUP(B6212,'old-aw-skill-plan'!A:I,9,FALSE)</f>
        <v>4-1</v>
      </c>
    </row>
    <row r="6213" ht="15.75" customHeight="1">
      <c r="A6213" s="1" t="s">
        <v>277</v>
      </c>
      <c r="B6213" s="1" t="s">
        <v>44</v>
      </c>
      <c r="C6213" s="1" t="s">
        <v>11</v>
      </c>
      <c r="D6213" s="5">
        <v>45222.0</v>
      </c>
      <c r="G6213" s="1">
        <f>VLOOKUP(B6213,'old-aw-skill-plan'!A:I,7,FALSE)</f>
        <v>5</v>
      </c>
      <c r="H6213" s="1" t="str">
        <f>VLOOKUP(B6213,'old-aw-skill-plan'!A:I,9,FALSE)</f>
        <v>5-1</v>
      </c>
    </row>
    <row r="6214" ht="15.75" customHeight="1">
      <c r="A6214" s="1" t="s">
        <v>278</v>
      </c>
      <c r="B6214" s="1" t="s">
        <v>10</v>
      </c>
      <c r="C6214" s="1" t="s">
        <v>11</v>
      </c>
      <c r="D6214" s="5">
        <v>45222.0</v>
      </c>
      <c r="G6214" s="1">
        <f>VLOOKUP(B6214,'old-aw-skill-plan'!A:I,7,FALSE)</f>
        <v>3</v>
      </c>
      <c r="H6214" s="1" t="str">
        <f>VLOOKUP(B6214,'old-aw-skill-plan'!A:I,9,FALSE)</f>
        <v>3-1</v>
      </c>
    </row>
    <row r="6215" ht="15.75" customHeight="1">
      <c r="A6215" s="1" t="s">
        <v>102</v>
      </c>
      <c r="B6215" s="1" t="s">
        <v>10</v>
      </c>
      <c r="C6215" s="1" t="s">
        <v>11</v>
      </c>
      <c r="D6215" s="5">
        <v>45222.0</v>
      </c>
      <c r="G6215" s="1">
        <f>VLOOKUP(B6215,'old-aw-skill-plan'!A:I,7,FALSE)</f>
        <v>3</v>
      </c>
      <c r="H6215" s="1" t="str">
        <f>VLOOKUP(B6215,'old-aw-skill-plan'!A:I,9,FALSE)</f>
        <v>3-1</v>
      </c>
    </row>
    <row r="6216" ht="15.75" customHeight="1">
      <c r="A6216" s="1" t="s">
        <v>463</v>
      </c>
      <c r="B6216" s="1" t="s">
        <v>44</v>
      </c>
      <c r="C6216" s="1" t="s">
        <v>11</v>
      </c>
      <c r="D6216" s="5">
        <v>45222.0</v>
      </c>
      <c r="G6216" s="1">
        <f>VLOOKUP(B6216,'old-aw-skill-plan'!A:I,7,FALSE)</f>
        <v>5</v>
      </c>
      <c r="H6216" s="1" t="str">
        <f>VLOOKUP(B6216,'old-aw-skill-plan'!A:I,9,FALSE)</f>
        <v>5-1</v>
      </c>
    </row>
    <row r="6217" ht="15.75" customHeight="1">
      <c r="A6217" s="1" t="s">
        <v>457</v>
      </c>
      <c r="B6217" s="1" t="s">
        <v>10</v>
      </c>
      <c r="C6217" s="1" t="s">
        <v>11</v>
      </c>
      <c r="D6217" s="5">
        <v>45222.0</v>
      </c>
      <c r="G6217" s="1">
        <f>VLOOKUP(B6217,'old-aw-skill-plan'!A:I,7,FALSE)</f>
        <v>3</v>
      </c>
      <c r="H6217" s="1" t="str">
        <f>VLOOKUP(B6217,'old-aw-skill-plan'!A:I,9,FALSE)</f>
        <v>3-1</v>
      </c>
    </row>
    <row r="6218" ht="15.75" customHeight="1">
      <c r="A6218" s="1" t="s">
        <v>457</v>
      </c>
      <c r="B6218" s="1" t="s">
        <v>47</v>
      </c>
      <c r="C6218" s="1" t="s">
        <v>11</v>
      </c>
      <c r="D6218" s="5">
        <v>45222.0</v>
      </c>
      <c r="G6218" s="1">
        <f>VLOOKUP(B6218,'old-aw-skill-plan'!A:I,7,FALSE)</f>
        <v>3</v>
      </c>
      <c r="H6218" s="1" t="str">
        <f>VLOOKUP(B6218,'old-aw-skill-plan'!A:I,9,FALSE)</f>
        <v>3-2</v>
      </c>
    </row>
    <row r="6219" ht="15.75" customHeight="1">
      <c r="A6219" s="1" t="s">
        <v>93</v>
      </c>
      <c r="B6219" s="1" t="s">
        <v>10</v>
      </c>
      <c r="C6219" s="1" t="s">
        <v>11</v>
      </c>
      <c r="D6219" s="5">
        <v>45222.0</v>
      </c>
      <c r="G6219" s="1">
        <f>VLOOKUP(B6219,'old-aw-skill-plan'!A:I,7,FALSE)</f>
        <v>3</v>
      </c>
      <c r="H6219" s="1" t="str">
        <f>VLOOKUP(B6219,'old-aw-skill-plan'!A:I,9,FALSE)</f>
        <v>3-1</v>
      </c>
    </row>
    <row r="6220" ht="15.75" customHeight="1">
      <c r="A6220" s="1" t="s">
        <v>365</v>
      </c>
      <c r="B6220" s="1" t="s">
        <v>34</v>
      </c>
      <c r="C6220" s="1" t="s">
        <v>11</v>
      </c>
      <c r="D6220" s="5">
        <v>45222.0</v>
      </c>
      <c r="G6220" s="1">
        <f>VLOOKUP(B6220,'old-aw-skill-plan'!A:I,7,FALSE)</f>
        <v>4</v>
      </c>
      <c r="H6220" s="1" t="str">
        <f>VLOOKUP(B6220,'old-aw-skill-plan'!A:I,9,FALSE)</f>
        <v>4-1</v>
      </c>
    </row>
    <row r="6221" ht="15.75" customHeight="1">
      <c r="A6221" s="1" t="s">
        <v>365</v>
      </c>
      <c r="B6221" s="1" t="s">
        <v>37</v>
      </c>
      <c r="C6221" s="1" t="s">
        <v>11</v>
      </c>
      <c r="D6221" s="5">
        <v>45222.0</v>
      </c>
      <c r="G6221" s="1">
        <f>VLOOKUP(B6221,'old-aw-skill-plan'!A:I,7,FALSE)</f>
        <v>4</v>
      </c>
      <c r="H6221" s="1" t="str">
        <f>VLOOKUP(B6221,'old-aw-skill-plan'!A:I,9,FALSE)</f>
        <v>4-2</v>
      </c>
    </row>
    <row r="6222" ht="15.75" customHeight="1">
      <c r="A6222" s="1" t="s">
        <v>94</v>
      </c>
      <c r="B6222" s="1" t="s">
        <v>10</v>
      </c>
      <c r="C6222" s="1" t="s">
        <v>11</v>
      </c>
      <c r="D6222" s="5">
        <v>45222.0</v>
      </c>
      <c r="G6222" s="1">
        <f>VLOOKUP(B6222,'old-aw-skill-plan'!A:I,7,FALSE)</f>
        <v>3</v>
      </c>
      <c r="H6222" s="1" t="str">
        <f>VLOOKUP(B6222,'old-aw-skill-plan'!A:I,9,FALSE)</f>
        <v>3-1</v>
      </c>
    </row>
    <row r="6223" ht="15.75" customHeight="1">
      <c r="A6223" s="1" t="s">
        <v>409</v>
      </c>
      <c r="B6223" s="1" t="s">
        <v>10</v>
      </c>
      <c r="C6223" s="1" t="s">
        <v>11</v>
      </c>
      <c r="D6223" s="5">
        <v>45222.0</v>
      </c>
      <c r="G6223" s="1">
        <f>VLOOKUP(B6223,'old-aw-skill-plan'!A:I,7,FALSE)</f>
        <v>3</v>
      </c>
      <c r="H6223" s="1" t="str">
        <f>VLOOKUP(B6223,'old-aw-skill-plan'!A:I,9,FALSE)</f>
        <v>3-1</v>
      </c>
    </row>
    <row r="6224" ht="15.75" customHeight="1">
      <c r="A6224" s="1" t="s">
        <v>409</v>
      </c>
      <c r="B6224" s="1" t="s">
        <v>47</v>
      </c>
      <c r="C6224" s="1" t="s">
        <v>11</v>
      </c>
      <c r="D6224" s="5">
        <v>45222.0</v>
      </c>
      <c r="G6224" s="1">
        <f>VLOOKUP(B6224,'old-aw-skill-plan'!A:I,7,FALSE)</f>
        <v>3</v>
      </c>
      <c r="H6224" s="1" t="str">
        <f>VLOOKUP(B6224,'old-aw-skill-plan'!A:I,9,FALSE)</f>
        <v>3-2</v>
      </c>
    </row>
    <row r="6225" ht="15.75" customHeight="1">
      <c r="A6225" s="1" t="s">
        <v>410</v>
      </c>
      <c r="B6225" s="1" t="s">
        <v>10</v>
      </c>
      <c r="C6225" s="1" t="s">
        <v>11</v>
      </c>
      <c r="D6225" s="5">
        <v>45222.0</v>
      </c>
      <c r="G6225" s="1">
        <f>VLOOKUP(B6225,'old-aw-skill-plan'!A:I,7,FALSE)</f>
        <v>3</v>
      </c>
      <c r="H6225" s="1" t="str">
        <f>VLOOKUP(B6225,'old-aw-skill-plan'!A:I,9,FALSE)</f>
        <v>3-1</v>
      </c>
    </row>
    <row r="6226" ht="15.75" customHeight="1">
      <c r="A6226" s="1" t="s">
        <v>468</v>
      </c>
      <c r="B6226" s="1" t="s">
        <v>10</v>
      </c>
      <c r="C6226" s="1" t="s">
        <v>11</v>
      </c>
      <c r="D6226" s="5">
        <v>45222.0</v>
      </c>
      <c r="G6226" s="1">
        <f>VLOOKUP(B6226,'old-aw-skill-plan'!A:I,7,FALSE)</f>
        <v>3</v>
      </c>
      <c r="H6226" s="1" t="str">
        <f>VLOOKUP(B6226,'old-aw-skill-plan'!A:I,9,FALSE)</f>
        <v>3-1</v>
      </c>
    </row>
    <row r="6227" ht="15.75" customHeight="1">
      <c r="A6227" s="1" t="s">
        <v>225</v>
      </c>
      <c r="B6227" s="1" t="s">
        <v>34</v>
      </c>
      <c r="C6227" s="1" t="s">
        <v>11</v>
      </c>
      <c r="D6227" s="5">
        <v>45222.0</v>
      </c>
      <c r="G6227" s="1">
        <f>VLOOKUP(B6227,'old-aw-skill-plan'!A:I,7,FALSE)</f>
        <v>4</v>
      </c>
      <c r="H6227" s="1" t="str">
        <f>VLOOKUP(B6227,'old-aw-skill-plan'!A:I,9,FALSE)</f>
        <v>4-1</v>
      </c>
    </row>
    <row r="6228" ht="15.75" customHeight="1">
      <c r="A6228" s="1" t="s">
        <v>436</v>
      </c>
      <c r="B6228" s="1" t="s">
        <v>10</v>
      </c>
      <c r="C6228" s="1" t="s">
        <v>11</v>
      </c>
      <c r="D6228" s="5">
        <v>45222.0</v>
      </c>
      <c r="G6228" s="1">
        <f>VLOOKUP(B6228,'old-aw-skill-plan'!A:I,7,FALSE)</f>
        <v>3</v>
      </c>
      <c r="H6228" s="1" t="str">
        <f>VLOOKUP(B6228,'old-aw-skill-plan'!A:I,9,FALSE)</f>
        <v>3-1</v>
      </c>
    </row>
    <row r="6229" ht="15.75" customHeight="1">
      <c r="A6229" s="1" t="s">
        <v>409</v>
      </c>
      <c r="B6229" s="1" t="s">
        <v>10</v>
      </c>
      <c r="C6229" s="1" t="s">
        <v>11</v>
      </c>
      <c r="D6229" s="5">
        <v>45218.0</v>
      </c>
      <c r="G6229" s="1">
        <f>VLOOKUP(B6229,'old-aw-skill-plan'!A:I,7,FALSE)</f>
        <v>3</v>
      </c>
      <c r="H6229" s="1" t="str">
        <f>VLOOKUP(B6229,'old-aw-skill-plan'!A:I,9,FALSE)</f>
        <v>3-1</v>
      </c>
    </row>
  </sheetData>
  <autoFilter ref="$A$1:$H$6229"/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36.25"/>
    <col customWidth="1" min="3" max="3" width="37.63"/>
    <col customWidth="1" min="4" max="4" width="10.0"/>
    <col customWidth="1" min="5" max="5" width="9.38"/>
    <col customWidth="1" min="6" max="6" width="7.5"/>
    <col customWidth="1" min="7" max="7" width="13.0"/>
    <col customWidth="1" min="8" max="8" width="37.63"/>
    <col customWidth="1" min="9" max="9" width="94.25"/>
    <col customWidth="1" min="10" max="25" width="8.63"/>
  </cols>
  <sheetData>
    <row r="1" ht="12.75" customHeight="1">
      <c r="A1" s="21" t="s">
        <v>483</v>
      </c>
      <c r="B1" s="21" t="s">
        <v>484</v>
      </c>
      <c r="C1" s="21" t="s">
        <v>485</v>
      </c>
      <c r="D1" s="21" t="s">
        <v>2</v>
      </c>
      <c r="E1" s="21" t="s">
        <v>7</v>
      </c>
      <c r="F1" s="21" t="s">
        <v>486</v>
      </c>
      <c r="G1" s="21" t="s">
        <v>151</v>
      </c>
      <c r="H1" s="22" t="s">
        <v>487</v>
      </c>
      <c r="I1" s="23" t="s">
        <v>488</v>
      </c>
    </row>
    <row r="2" ht="12.75" customHeight="1">
      <c r="A2" s="24" t="s">
        <v>489</v>
      </c>
      <c r="B2" s="24" t="s">
        <v>490</v>
      </c>
      <c r="C2" s="24" t="s">
        <v>10</v>
      </c>
      <c r="D2" s="24" t="s">
        <v>11</v>
      </c>
      <c r="E2" s="24">
        <v>1.0</v>
      </c>
      <c r="F2" s="24">
        <v>3.0</v>
      </c>
      <c r="G2" s="25" t="s">
        <v>491</v>
      </c>
      <c r="H2" s="26" t="s">
        <v>492</v>
      </c>
      <c r="I2" s="27" t="s">
        <v>493</v>
      </c>
    </row>
    <row r="3" ht="12.75" customHeight="1">
      <c r="A3" s="24" t="s">
        <v>494</v>
      </c>
      <c r="B3" s="24" t="s">
        <v>495</v>
      </c>
      <c r="C3" s="24" t="s">
        <v>47</v>
      </c>
      <c r="D3" s="24" t="s">
        <v>11</v>
      </c>
      <c r="E3" s="24">
        <v>2.0</v>
      </c>
      <c r="F3" s="24">
        <v>3.0</v>
      </c>
      <c r="G3" s="25" t="s">
        <v>491</v>
      </c>
      <c r="H3" s="26" t="s">
        <v>496</v>
      </c>
      <c r="I3" s="27" t="s">
        <v>497</v>
      </c>
    </row>
    <row r="4" ht="12.75" customHeight="1">
      <c r="A4" s="24" t="s">
        <v>498</v>
      </c>
      <c r="B4" s="24" t="s">
        <v>499</v>
      </c>
      <c r="C4" s="24" t="s">
        <v>30</v>
      </c>
      <c r="D4" s="24" t="s">
        <v>11</v>
      </c>
      <c r="E4" s="24">
        <v>3.0</v>
      </c>
      <c r="F4" s="24">
        <v>3.0</v>
      </c>
      <c r="G4" s="25" t="s">
        <v>491</v>
      </c>
      <c r="H4" s="26" t="s">
        <v>500</v>
      </c>
      <c r="I4" s="27" t="s">
        <v>501</v>
      </c>
    </row>
    <row r="5" ht="12.75" customHeight="1">
      <c r="A5" s="25" t="s">
        <v>502</v>
      </c>
      <c r="B5" s="25" t="s">
        <v>503</v>
      </c>
      <c r="C5" s="28" t="s">
        <v>504</v>
      </c>
      <c r="D5" s="24" t="s">
        <v>11</v>
      </c>
      <c r="E5" s="25">
        <v>4.0</v>
      </c>
      <c r="F5" s="25">
        <v>3.0</v>
      </c>
      <c r="G5" s="25" t="s">
        <v>491</v>
      </c>
      <c r="H5" s="26" t="s">
        <v>505</v>
      </c>
      <c r="I5" s="27" t="s">
        <v>506</v>
      </c>
    </row>
    <row r="6" ht="12.75" customHeight="1">
      <c r="A6" s="24" t="s">
        <v>507</v>
      </c>
      <c r="B6" s="24" t="s">
        <v>508</v>
      </c>
      <c r="C6" s="24" t="s">
        <v>28</v>
      </c>
      <c r="D6" s="24" t="s">
        <v>11</v>
      </c>
      <c r="E6" s="25">
        <v>5.0</v>
      </c>
      <c r="F6" s="24">
        <v>3.0</v>
      </c>
      <c r="G6" s="25" t="s">
        <v>491</v>
      </c>
      <c r="H6" s="26" t="s">
        <v>509</v>
      </c>
      <c r="I6" s="27" t="s">
        <v>510</v>
      </c>
    </row>
    <row r="7" ht="12.75" customHeight="1">
      <c r="A7" s="24" t="s">
        <v>511</v>
      </c>
      <c r="B7" s="24" t="s">
        <v>512</v>
      </c>
      <c r="C7" s="24" t="s">
        <v>111</v>
      </c>
      <c r="D7" s="24" t="s">
        <v>11</v>
      </c>
      <c r="E7" s="25">
        <v>6.0</v>
      </c>
      <c r="F7" s="24">
        <v>3.0</v>
      </c>
      <c r="G7" s="25" t="s">
        <v>491</v>
      </c>
      <c r="H7" s="26" t="s">
        <v>513</v>
      </c>
      <c r="I7" s="27" t="s">
        <v>514</v>
      </c>
    </row>
    <row r="8" ht="12.75" customHeight="1">
      <c r="A8" s="24" t="s">
        <v>515</v>
      </c>
      <c r="B8" s="24" t="s">
        <v>516</v>
      </c>
      <c r="C8" s="24" t="s">
        <v>48</v>
      </c>
      <c r="D8" s="24" t="s">
        <v>11</v>
      </c>
      <c r="E8" s="25">
        <v>7.0</v>
      </c>
      <c r="F8" s="24">
        <v>3.0</v>
      </c>
      <c r="G8" s="25" t="s">
        <v>491</v>
      </c>
      <c r="H8" s="26" t="s">
        <v>517</v>
      </c>
      <c r="I8" s="29" t="s">
        <v>518</v>
      </c>
    </row>
    <row r="9" ht="12.75" customHeight="1">
      <c r="A9" s="24" t="s">
        <v>519</v>
      </c>
      <c r="B9" s="24" t="s">
        <v>520</v>
      </c>
      <c r="C9" s="24" t="s">
        <v>115</v>
      </c>
      <c r="D9" s="24" t="s">
        <v>11</v>
      </c>
      <c r="E9" s="25">
        <v>8.0</v>
      </c>
      <c r="F9" s="24">
        <v>3.0</v>
      </c>
      <c r="G9" s="25" t="s">
        <v>491</v>
      </c>
      <c r="H9" s="30" t="s">
        <v>521</v>
      </c>
      <c r="I9" s="29" t="s">
        <v>522</v>
      </c>
    </row>
    <row r="10" ht="12.75" customHeight="1">
      <c r="A10" s="24" t="s">
        <v>523</v>
      </c>
      <c r="B10" s="24" t="s">
        <v>524</v>
      </c>
      <c r="C10" s="24" t="s">
        <v>57</v>
      </c>
      <c r="D10" s="24" t="s">
        <v>11</v>
      </c>
      <c r="E10" s="25">
        <v>9.0</v>
      </c>
      <c r="F10" s="24">
        <v>3.0</v>
      </c>
      <c r="G10" s="25" t="s">
        <v>491</v>
      </c>
      <c r="H10" s="31" t="s">
        <v>525</v>
      </c>
      <c r="I10" s="29" t="s">
        <v>526</v>
      </c>
    </row>
    <row r="11" ht="12.75" customHeight="1">
      <c r="A11" s="24" t="s">
        <v>527</v>
      </c>
      <c r="B11" s="24" t="s">
        <v>528</v>
      </c>
      <c r="C11" s="24" t="s">
        <v>58</v>
      </c>
      <c r="D11" s="24" t="s">
        <v>11</v>
      </c>
      <c r="E11" s="25">
        <v>10.0</v>
      </c>
      <c r="F11" s="24">
        <v>3.0</v>
      </c>
      <c r="G11" s="25" t="s">
        <v>491</v>
      </c>
      <c r="H11" s="32" t="s">
        <v>529</v>
      </c>
      <c r="I11" s="29" t="s">
        <v>530</v>
      </c>
    </row>
    <row r="12" ht="12.75" customHeight="1">
      <c r="A12" s="24" t="s">
        <v>531</v>
      </c>
      <c r="B12" s="24" t="s">
        <v>532</v>
      </c>
      <c r="C12" s="24" t="s">
        <v>118</v>
      </c>
      <c r="D12" s="24" t="s">
        <v>11</v>
      </c>
      <c r="E12" s="25">
        <v>11.0</v>
      </c>
      <c r="F12" s="24">
        <v>3.0</v>
      </c>
      <c r="G12" s="25" t="s">
        <v>491</v>
      </c>
      <c r="H12" s="31" t="s">
        <v>533</v>
      </c>
      <c r="I12" s="29" t="s">
        <v>534</v>
      </c>
    </row>
    <row r="13" ht="12.75" customHeight="1">
      <c r="A13" s="24" t="s">
        <v>535</v>
      </c>
      <c r="B13" s="24" t="s">
        <v>536</v>
      </c>
      <c r="C13" s="24" t="s">
        <v>116</v>
      </c>
      <c r="D13" s="24" t="s">
        <v>11</v>
      </c>
      <c r="E13" s="25">
        <v>12.0</v>
      </c>
      <c r="F13" s="24">
        <v>3.0</v>
      </c>
      <c r="G13" s="25" t="s">
        <v>491</v>
      </c>
      <c r="H13" s="33" t="s">
        <v>537</v>
      </c>
      <c r="I13" s="29" t="s">
        <v>538</v>
      </c>
    </row>
    <row r="14" ht="12.75" customHeight="1">
      <c r="A14" s="24" t="s">
        <v>539</v>
      </c>
      <c r="B14" s="24" t="s">
        <v>540</v>
      </c>
      <c r="C14" s="24" t="s">
        <v>117</v>
      </c>
      <c r="D14" s="24" t="s">
        <v>11</v>
      </c>
      <c r="E14" s="25">
        <v>13.0</v>
      </c>
      <c r="F14" s="24">
        <v>3.0</v>
      </c>
      <c r="G14" s="25" t="s">
        <v>491</v>
      </c>
      <c r="H14" s="31" t="s">
        <v>541</v>
      </c>
      <c r="I14" s="29" t="s">
        <v>542</v>
      </c>
    </row>
    <row r="15" ht="12.75" customHeight="1">
      <c r="A15" s="25" t="s">
        <v>543</v>
      </c>
      <c r="B15" s="25" t="s">
        <v>544</v>
      </c>
      <c r="C15" s="25" t="s">
        <v>545</v>
      </c>
      <c r="D15" s="24" t="s">
        <v>11</v>
      </c>
      <c r="E15" s="25">
        <v>14.0</v>
      </c>
      <c r="F15" s="24">
        <v>3.0</v>
      </c>
      <c r="G15" s="25" t="s">
        <v>491</v>
      </c>
      <c r="H15" s="34" t="s">
        <v>546</v>
      </c>
      <c r="I15" s="29" t="s">
        <v>547</v>
      </c>
    </row>
    <row r="16" ht="12.75" customHeight="1">
      <c r="A16" s="25" t="s">
        <v>548</v>
      </c>
      <c r="B16" s="25" t="s">
        <v>549</v>
      </c>
      <c r="C16" s="25" t="s">
        <v>550</v>
      </c>
      <c r="D16" s="24" t="s">
        <v>11</v>
      </c>
      <c r="E16" s="25">
        <v>15.0</v>
      </c>
      <c r="F16" s="24">
        <v>3.0</v>
      </c>
      <c r="G16" s="25" t="s">
        <v>491</v>
      </c>
      <c r="H16" s="34" t="s">
        <v>551</v>
      </c>
      <c r="I16" s="29" t="s">
        <v>552</v>
      </c>
    </row>
    <row r="17" ht="12.75" customHeight="1">
      <c r="A17" s="24" t="s">
        <v>553</v>
      </c>
      <c r="B17" s="24" t="s">
        <v>554</v>
      </c>
      <c r="C17" s="24" t="s">
        <v>91</v>
      </c>
      <c r="D17" s="24" t="s">
        <v>11</v>
      </c>
      <c r="E17" s="24">
        <v>1.0</v>
      </c>
      <c r="F17" s="24">
        <v>3.0</v>
      </c>
      <c r="G17" s="25" t="s">
        <v>555</v>
      </c>
      <c r="H17" s="26" t="s">
        <v>556</v>
      </c>
      <c r="I17" s="29" t="s">
        <v>557</v>
      </c>
    </row>
    <row r="18" ht="12.75" customHeight="1">
      <c r="A18" s="24" t="s">
        <v>558</v>
      </c>
      <c r="B18" s="24" t="s">
        <v>559</v>
      </c>
      <c r="C18" s="24" t="s">
        <v>335</v>
      </c>
      <c r="D18" s="24" t="s">
        <v>11</v>
      </c>
      <c r="E18" s="24">
        <v>2.0</v>
      </c>
      <c r="F18" s="24">
        <v>3.0</v>
      </c>
      <c r="G18" s="25" t="s">
        <v>555</v>
      </c>
      <c r="H18" s="26" t="s">
        <v>560</v>
      </c>
      <c r="I18" s="29" t="s">
        <v>561</v>
      </c>
    </row>
    <row r="19" ht="12.75" customHeight="1">
      <c r="A19" s="24" t="s">
        <v>562</v>
      </c>
      <c r="B19" s="24" t="s">
        <v>563</v>
      </c>
      <c r="C19" s="24" t="s">
        <v>127</v>
      </c>
      <c r="D19" s="24" t="s">
        <v>11</v>
      </c>
      <c r="E19" s="24">
        <v>3.0</v>
      </c>
      <c r="F19" s="24">
        <v>3.0</v>
      </c>
      <c r="G19" s="25" t="s">
        <v>555</v>
      </c>
      <c r="H19" s="26" t="s">
        <v>564</v>
      </c>
      <c r="I19" s="29" t="s">
        <v>565</v>
      </c>
    </row>
    <row r="20" ht="12.75" customHeight="1">
      <c r="A20" s="24" t="s">
        <v>566</v>
      </c>
      <c r="B20" s="24" t="s">
        <v>567</v>
      </c>
      <c r="C20" s="24" t="s">
        <v>136</v>
      </c>
      <c r="D20" s="24" t="s">
        <v>11</v>
      </c>
      <c r="E20" s="24">
        <v>4.0</v>
      </c>
      <c r="F20" s="24">
        <v>3.0</v>
      </c>
      <c r="G20" s="25" t="s">
        <v>555</v>
      </c>
      <c r="H20" s="26" t="s">
        <v>568</v>
      </c>
      <c r="I20" s="29" t="s">
        <v>569</v>
      </c>
    </row>
    <row r="21" ht="12.75" customHeight="1">
      <c r="A21" s="25" t="s">
        <v>570</v>
      </c>
      <c r="B21" s="25" t="s">
        <v>571</v>
      </c>
      <c r="C21" s="35" t="s">
        <v>572</v>
      </c>
      <c r="D21" s="24" t="s">
        <v>11</v>
      </c>
      <c r="E21" s="24">
        <v>5.0</v>
      </c>
      <c r="F21" s="25">
        <v>3.0</v>
      </c>
      <c r="G21" s="25" t="s">
        <v>555</v>
      </c>
      <c r="H21" s="26" t="s">
        <v>573</v>
      </c>
      <c r="I21" s="29" t="s">
        <v>574</v>
      </c>
    </row>
    <row r="22" ht="12.75" customHeight="1">
      <c r="A22" s="25" t="s">
        <v>575</v>
      </c>
      <c r="B22" s="36" t="s">
        <v>576</v>
      </c>
      <c r="C22" s="35" t="s">
        <v>577</v>
      </c>
      <c r="D22" s="24" t="s">
        <v>11</v>
      </c>
      <c r="E22" s="24">
        <v>6.0</v>
      </c>
      <c r="F22" s="25">
        <v>3.0</v>
      </c>
      <c r="G22" s="25" t="s">
        <v>555</v>
      </c>
      <c r="H22" s="26" t="s">
        <v>578</v>
      </c>
      <c r="I22" s="37" t="s">
        <v>579</v>
      </c>
    </row>
    <row r="23" ht="12.75" customHeight="1">
      <c r="A23" s="24" t="s">
        <v>580</v>
      </c>
      <c r="B23" s="24" t="s">
        <v>581</v>
      </c>
      <c r="C23" s="24" t="s">
        <v>321</v>
      </c>
      <c r="D23" s="24" t="s">
        <v>11</v>
      </c>
      <c r="E23" s="24">
        <v>7.0</v>
      </c>
      <c r="F23" s="24">
        <v>3.0</v>
      </c>
      <c r="G23" s="25" t="s">
        <v>555</v>
      </c>
      <c r="H23" s="26" t="s">
        <v>582</v>
      </c>
      <c r="I23" s="29" t="s">
        <v>574</v>
      </c>
    </row>
    <row r="24" ht="12.75" customHeight="1">
      <c r="A24" s="25" t="s">
        <v>583</v>
      </c>
      <c r="B24" s="25" t="s">
        <v>584</v>
      </c>
      <c r="C24" s="25" t="s">
        <v>585</v>
      </c>
      <c r="D24" s="24" t="s">
        <v>11</v>
      </c>
      <c r="E24" s="24">
        <v>8.0</v>
      </c>
      <c r="F24" s="25">
        <v>3.0</v>
      </c>
      <c r="G24" s="25" t="s">
        <v>555</v>
      </c>
      <c r="H24" s="26" t="s">
        <v>586</v>
      </c>
      <c r="I24" s="37" t="s">
        <v>587</v>
      </c>
    </row>
    <row r="25" ht="12.75" customHeight="1">
      <c r="A25" s="24" t="s">
        <v>588</v>
      </c>
      <c r="B25" s="24" t="s">
        <v>589</v>
      </c>
      <c r="C25" s="24" t="s">
        <v>323</v>
      </c>
      <c r="D25" s="24" t="s">
        <v>11</v>
      </c>
      <c r="E25" s="24">
        <v>9.0</v>
      </c>
      <c r="F25" s="24">
        <v>3.0</v>
      </c>
      <c r="G25" s="25" t="s">
        <v>555</v>
      </c>
      <c r="H25" s="26" t="s">
        <v>590</v>
      </c>
      <c r="I25" s="29" t="s">
        <v>591</v>
      </c>
    </row>
    <row r="26" ht="12.75" customHeight="1">
      <c r="A26" s="24" t="s">
        <v>592</v>
      </c>
      <c r="B26" s="24" t="s">
        <v>593</v>
      </c>
      <c r="C26" s="24" t="s">
        <v>137</v>
      </c>
      <c r="D26" s="24" t="s">
        <v>11</v>
      </c>
      <c r="E26" s="24">
        <v>10.0</v>
      </c>
      <c r="F26" s="24">
        <v>3.0</v>
      </c>
      <c r="G26" s="25" t="s">
        <v>555</v>
      </c>
      <c r="H26" s="26" t="s">
        <v>594</v>
      </c>
      <c r="I26" s="29" t="s">
        <v>595</v>
      </c>
    </row>
    <row r="27" ht="12.75" customHeight="1">
      <c r="A27" s="25" t="s">
        <v>596</v>
      </c>
      <c r="B27" s="25" t="s">
        <v>597</v>
      </c>
      <c r="C27" s="25" t="s">
        <v>598</v>
      </c>
      <c r="D27" s="24" t="s">
        <v>11</v>
      </c>
      <c r="E27" s="24">
        <v>11.0</v>
      </c>
      <c r="F27" s="25">
        <v>3.0</v>
      </c>
      <c r="G27" s="25" t="s">
        <v>555</v>
      </c>
      <c r="H27" s="26" t="s">
        <v>599</v>
      </c>
      <c r="I27" s="29" t="s">
        <v>600</v>
      </c>
    </row>
    <row r="28" ht="12.75" customHeight="1">
      <c r="A28" s="24" t="s">
        <v>601</v>
      </c>
      <c r="B28" s="24" t="s">
        <v>490</v>
      </c>
      <c r="C28" s="24" t="s">
        <v>34</v>
      </c>
      <c r="D28" s="24" t="s">
        <v>11</v>
      </c>
      <c r="E28" s="24">
        <v>1.0</v>
      </c>
      <c r="F28" s="24">
        <v>4.0</v>
      </c>
      <c r="G28" s="25" t="s">
        <v>602</v>
      </c>
      <c r="H28" s="26" t="s">
        <v>603</v>
      </c>
      <c r="I28" s="29" t="s">
        <v>493</v>
      </c>
    </row>
    <row r="29" ht="12.75" customHeight="1">
      <c r="A29" s="24" t="s">
        <v>604</v>
      </c>
      <c r="B29" s="24" t="s">
        <v>495</v>
      </c>
      <c r="C29" s="24" t="s">
        <v>37</v>
      </c>
      <c r="D29" s="24" t="s">
        <v>11</v>
      </c>
      <c r="E29" s="24">
        <v>2.0</v>
      </c>
      <c r="F29" s="24">
        <v>4.0</v>
      </c>
      <c r="G29" s="25" t="s">
        <v>602</v>
      </c>
      <c r="H29" s="26" t="s">
        <v>605</v>
      </c>
      <c r="I29" s="29" t="s">
        <v>497</v>
      </c>
    </row>
    <row r="30" ht="12.75" customHeight="1">
      <c r="A30" s="24" t="s">
        <v>606</v>
      </c>
      <c r="B30" s="24" t="s">
        <v>499</v>
      </c>
      <c r="C30" s="24" t="s">
        <v>97</v>
      </c>
      <c r="D30" s="24" t="s">
        <v>11</v>
      </c>
      <c r="E30" s="24">
        <v>3.0</v>
      </c>
      <c r="F30" s="24">
        <v>4.0</v>
      </c>
      <c r="G30" s="25" t="s">
        <v>602</v>
      </c>
      <c r="H30" s="26" t="s">
        <v>607</v>
      </c>
      <c r="I30" s="29" t="s">
        <v>501</v>
      </c>
    </row>
    <row r="31" ht="12.75" customHeight="1">
      <c r="A31" s="25" t="s">
        <v>608</v>
      </c>
      <c r="B31" s="25" t="s">
        <v>503</v>
      </c>
      <c r="C31" s="28" t="s">
        <v>609</v>
      </c>
      <c r="D31" s="24" t="s">
        <v>11</v>
      </c>
      <c r="E31" s="25">
        <v>4.0</v>
      </c>
      <c r="F31" s="25">
        <v>4.0</v>
      </c>
      <c r="G31" s="25" t="s">
        <v>602</v>
      </c>
      <c r="H31" s="26" t="s">
        <v>610</v>
      </c>
      <c r="I31" s="29" t="s">
        <v>506</v>
      </c>
    </row>
    <row r="32" ht="12.75" customHeight="1">
      <c r="A32" s="24" t="s">
        <v>611</v>
      </c>
      <c r="B32" s="24" t="s">
        <v>508</v>
      </c>
      <c r="C32" s="24" t="s">
        <v>61</v>
      </c>
      <c r="D32" s="24" t="s">
        <v>11</v>
      </c>
      <c r="E32" s="25">
        <v>5.0</v>
      </c>
      <c r="F32" s="24">
        <v>4.0</v>
      </c>
      <c r="G32" s="25" t="s">
        <v>602</v>
      </c>
      <c r="H32" s="26" t="s">
        <v>612</v>
      </c>
      <c r="I32" s="29" t="s">
        <v>510</v>
      </c>
    </row>
    <row r="33" ht="12.75" customHeight="1">
      <c r="A33" s="24" t="s">
        <v>613</v>
      </c>
      <c r="B33" s="24" t="s">
        <v>512</v>
      </c>
      <c r="C33" s="24" t="s">
        <v>99</v>
      </c>
      <c r="D33" s="24" t="s">
        <v>11</v>
      </c>
      <c r="E33" s="25">
        <v>6.0</v>
      </c>
      <c r="F33" s="24">
        <v>4.0</v>
      </c>
      <c r="G33" s="25" t="s">
        <v>602</v>
      </c>
      <c r="H33" s="26" t="s">
        <v>614</v>
      </c>
      <c r="I33" s="29" t="s">
        <v>514</v>
      </c>
    </row>
    <row r="34" ht="12.75" customHeight="1">
      <c r="A34" s="24" t="s">
        <v>615</v>
      </c>
      <c r="B34" s="24" t="s">
        <v>516</v>
      </c>
      <c r="C34" s="24" t="s">
        <v>21</v>
      </c>
      <c r="D34" s="24" t="s">
        <v>11</v>
      </c>
      <c r="E34" s="25">
        <v>7.0</v>
      </c>
      <c r="F34" s="24">
        <v>4.0</v>
      </c>
      <c r="G34" s="25" t="s">
        <v>602</v>
      </c>
      <c r="H34" s="26" t="s">
        <v>616</v>
      </c>
      <c r="I34" s="29" t="s">
        <v>518</v>
      </c>
    </row>
    <row r="35" ht="12.75" customHeight="1">
      <c r="A35" s="24" t="s">
        <v>617</v>
      </c>
      <c r="B35" s="24" t="s">
        <v>520</v>
      </c>
      <c r="C35" s="24" t="s">
        <v>40</v>
      </c>
      <c r="D35" s="24" t="s">
        <v>11</v>
      </c>
      <c r="E35" s="25">
        <v>8.0</v>
      </c>
      <c r="F35" s="24">
        <v>4.0</v>
      </c>
      <c r="G35" s="25" t="s">
        <v>602</v>
      </c>
      <c r="H35" s="26" t="s">
        <v>618</v>
      </c>
      <c r="I35" s="29" t="s">
        <v>522</v>
      </c>
    </row>
    <row r="36" ht="12.75" customHeight="1">
      <c r="A36" s="24" t="s">
        <v>619</v>
      </c>
      <c r="B36" s="24" t="s">
        <v>524</v>
      </c>
      <c r="C36" s="24" t="s">
        <v>19</v>
      </c>
      <c r="D36" s="24" t="s">
        <v>11</v>
      </c>
      <c r="E36" s="25">
        <v>9.0</v>
      </c>
      <c r="F36" s="24">
        <v>4.0</v>
      </c>
      <c r="G36" s="25" t="s">
        <v>602</v>
      </c>
      <c r="H36" s="26" t="s">
        <v>620</v>
      </c>
      <c r="I36" s="29" t="s">
        <v>526</v>
      </c>
    </row>
    <row r="37" ht="12.75" customHeight="1">
      <c r="A37" s="24" t="s">
        <v>621</v>
      </c>
      <c r="B37" s="24" t="s">
        <v>528</v>
      </c>
      <c r="C37" s="24" t="s">
        <v>79</v>
      </c>
      <c r="D37" s="24" t="s">
        <v>11</v>
      </c>
      <c r="E37" s="25">
        <v>10.0</v>
      </c>
      <c r="F37" s="24">
        <v>4.0</v>
      </c>
      <c r="G37" s="25" t="s">
        <v>602</v>
      </c>
      <c r="H37" s="26" t="s">
        <v>622</v>
      </c>
      <c r="I37" s="29" t="s">
        <v>530</v>
      </c>
    </row>
    <row r="38" ht="12.75" customHeight="1">
      <c r="A38" s="24" t="s">
        <v>623</v>
      </c>
      <c r="B38" s="24" t="s">
        <v>624</v>
      </c>
      <c r="C38" s="24" t="s">
        <v>123</v>
      </c>
      <c r="D38" s="24" t="s">
        <v>11</v>
      </c>
      <c r="E38" s="25">
        <v>11.0</v>
      </c>
      <c r="F38" s="24">
        <v>4.0</v>
      </c>
      <c r="G38" s="25" t="s">
        <v>602</v>
      </c>
      <c r="H38" s="26" t="s">
        <v>625</v>
      </c>
      <c r="I38" s="29" t="s">
        <v>534</v>
      </c>
    </row>
    <row r="39" ht="12.75" customHeight="1">
      <c r="A39" s="24" t="s">
        <v>626</v>
      </c>
      <c r="B39" s="24" t="s">
        <v>536</v>
      </c>
      <c r="C39" s="24" t="s">
        <v>66</v>
      </c>
      <c r="D39" s="24" t="s">
        <v>11</v>
      </c>
      <c r="E39" s="25">
        <v>12.0</v>
      </c>
      <c r="F39" s="24">
        <v>4.0</v>
      </c>
      <c r="G39" s="25" t="s">
        <v>602</v>
      </c>
      <c r="H39" s="26" t="s">
        <v>627</v>
      </c>
      <c r="I39" s="29" t="s">
        <v>538</v>
      </c>
    </row>
    <row r="40" ht="12.75" customHeight="1">
      <c r="A40" s="24" t="s">
        <v>628</v>
      </c>
      <c r="B40" s="24" t="s">
        <v>540</v>
      </c>
      <c r="C40" s="24" t="s">
        <v>42</v>
      </c>
      <c r="D40" s="24" t="s">
        <v>11</v>
      </c>
      <c r="E40" s="25">
        <v>13.0</v>
      </c>
      <c r="F40" s="24">
        <v>4.0</v>
      </c>
      <c r="G40" s="25" t="s">
        <v>602</v>
      </c>
      <c r="H40" s="26" t="s">
        <v>629</v>
      </c>
      <c r="I40" s="29" t="s">
        <v>542</v>
      </c>
    </row>
    <row r="41" ht="12.75" customHeight="1">
      <c r="A41" s="25" t="s">
        <v>630</v>
      </c>
      <c r="B41" s="25" t="s">
        <v>544</v>
      </c>
      <c r="C41" s="25" t="s">
        <v>631</v>
      </c>
      <c r="D41" s="24" t="s">
        <v>11</v>
      </c>
      <c r="E41" s="25">
        <v>14.0</v>
      </c>
      <c r="F41" s="24">
        <v>4.0</v>
      </c>
      <c r="G41" s="25" t="s">
        <v>602</v>
      </c>
      <c r="H41" s="26" t="s">
        <v>632</v>
      </c>
      <c r="I41" s="29" t="s">
        <v>547</v>
      </c>
    </row>
    <row r="42" ht="12.75" customHeight="1">
      <c r="A42" s="25" t="s">
        <v>633</v>
      </c>
      <c r="B42" s="25" t="s">
        <v>549</v>
      </c>
      <c r="C42" s="25" t="s">
        <v>634</v>
      </c>
      <c r="D42" s="24" t="s">
        <v>11</v>
      </c>
      <c r="E42" s="25">
        <v>15.0</v>
      </c>
      <c r="F42" s="24">
        <v>4.0</v>
      </c>
      <c r="G42" s="25" t="s">
        <v>602</v>
      </c>
      <c r="H42" s="26" t="s">
        <v>635</v>
      </c>
      <c r="I42" s="29" t="s">
        <v>552</v>
      </c>
    </row>
    <row r="43" ht="12.75" customHeight="1">
      <c r="A43" s="24" t="s">
        <v>636</v>
      </c>
      <c r="B43" s="24" t="s">
        <v>554</v>
      </c>
      <c r="C43" s="24" t="s">
        <v>363</v>
      </c>
      <c r="D43" s="24" t="s">
        <v>11</v>
      </c>
      <c r="E43" s="25">
        <v>1.0</v>
      </c>
      <c r="F43" s="24">
        <v>4.0</v>
      </c>
      <c r="G43" s="25" t="s">
        <v>637</v>
      </c>
      <c r="H43" s="26" t="s">
        <v>638</v>
      </c>
      <c r="I43" s="29" t="s">
        <v>557</v>
      </c>
    </row>
    <row r="44" ht="12.75" customHeight="1">
      <c r="A44" s="24" t="s">
        <v>639</v>
      </c>
      <c r="B44" s="24" t="s">
        <v>559</v>
      </c>
      <c r="C44" s="24" t="s">
        <v>384</v>
      </c>
      <c r="D44" s="24" t="s">
        <v>11</v>
      </c>
      <c r="E44" s="24">
        <v>2.0</v>
      </c>
      <c r="F44" s="24">
        <v>4.0</v>
      </c>
      <c r="G44" s="25" t="s">
        <v>637</v>
      </c>
      <c r="H44" s="26" t="s">
        <v>640</v>
      </c>
      <c r="I44" s="29" t="s">
        <v>561</v>
      </c>
    </row>
    <row r="45" ht="12.75" customHeight="1">
      <c r="A45" s="24" t="s">
        <v>641</v>
      </c>
      <c r="B45" s="24" t="s">
        <v>563</v>
      </c>
      <c r="C45" s="24" t="s">
        <v>642</v>
      </c>
      <c r="D45" s="24" t="s">
        <v>11</v>
      </c>
      <c r="E45" s="24">
        <v>3.0</v>
      </c>
      <c r="F45" s="24">
        <v>4.0</v>
      </c>
      <c r="G45" s="25" t="s">
        <v>637</v>
      </c>
      <c r="H45" s="38" t="s">
        <v>643</v>
      </c>
      <c r="I45" s="29" t="s">
        <v>565</v>
      </c>
    </row>
    <row r="46" ht="12.75" customHeight="1">
      <c r="A46" s="24" t="s">
        <v>644</v>
      </c>
      <c r="B46" s="24" t="s">
        <v>567</v>
      </c>
      <c r="C46" s="24" t="s">
        <v>141</v>
      </c>
      <c r="D46" s="24" t="s">
        <v>11</v>
      </c>
      <c r="E46" s="24">
        <v>4.0</v>
      </c>
      <c r="F46" s="24">
        <v>4.0</v>
      </c>
      <c r="G46" s="25" t="s">
        <v>637</v>
      </c>
      <c r="H46" s="38" t="s">
        <v>645</v>
      </c>
      <c r="I46" s="29" t="s">
        <v>569</v>
      </c>
    </row>
    <row r="47" ht="12.75" customHeight="1">
      <c r="A47" s="25" t="s">
        <v>646</v>
      </c>
      <c r="B47" s="25" t="s">
        <v>571</v>
      </c>
      <c r="C47" s="35" t="s">
        <v>647</v>
      </c>
      <c r="D47" s="24" t="s">
        <v>11</v>
      </c>
      <c r="E47" s="24">
        <v>5.0</v>
      </c>
      <c r="F47" s="25">
        <v>4.0</v>
      </c>
      <c r="G47" s="25" t="s">
        <v>637</v>
      </c>
      <c r="H47" s="26" t="s">
        <v>648</v>
      </c>
      <c r="I47" s="29" t="s">
        <v>574</v>
      </c>
    </row>
    <row r="48" ht="12.75" customHeight="1">
      <c r="A48" s="25" t="s">
        <v>649</v>
      </c>
      <c r="B48" s="36" t="s">
        <v>576</v>
      </c>
      <c r="C48" s="35" t="s">
        <v>650</v>
      </c>
      <c r="D48" s="24" t="s">
        <v>11</v>
      </c>
      <c r="E48" s="24">
        <v>6.0</v>
      </c>
      <c r="F48" s="25">
        <v>4.0</v>
      </c>
      <c r="G48" s="25" t="s">
        <v>637</v>
      </c>
      <c r="H48" s="26" t="s">
        <v>651</v>
      </c>
      <c r="I48" s="37" t="s">
        <v>579</v>
      </c>
    </row>
    <row r="49" ht="12.75" customHeight="1">
      <c r="A49" s="24" t="s">
        <v>652</v>
      </c>
      <c r="B49" s="24" t="s">
        <v>581</v>
      </c>
      <c r="C49" s="24" t="s">
        <v>124</v>
      </c>
      <c r="D49" s="24" t="s">
        <v>11</v>
      </c>
      <c r="E49" s="25">
        <v>7.0</v>
      </c>
      <c r="F49" s="24">
        <v>4.0</v>
      </c>
      <c r="G49" s="25" t="s">
        <v>637</v>
      </c>
      <c r="H49" s="38" t="s">
        <v>653</v>
      </c>
      <c r="I49" s="29" t="s">
        <v>574</v>
      </c>
    </row>
    <row r="50" ht="12.75" customHeight="1">
      <c r="A50" s="25" t="s">
        <v>654</v>
      </c>
      <c r="B50" s="25" t="s">
        <v>584</v>
      </c>
      <c r="C50" s="25" t="s">
        <v>655</v>
      </c>
      <c r="D50" s="24" t="s">
        <v>11</v>
      </c>
      <c r="E50" s="24">
        <v>8.0</v>
      </c>
      <c r="F50" s="25">
        <v>4.0</v>
      </c>
      <c r="G50" s="25" t="s">
        <v>637</v>
      </c>
      <c r="H50" s="26" t="s">
        <v>656</v>
      </c>
      <c r="I50" s="37" t="s">
        <v>587</v>
      </c>
    </row>
    <row r="51" ht="12.75" customHeight="1">
      <c r="A51" s="24" t="s">
        <v>657</v>
      </c>
      <c r="B51" s="24" t="s">
        <v>589</v>
      </c>
      <c r="C51" s="24" t="s">
        <v>113</v>
      </c>
      <c r="D51" s="24" t="s">
        <v>11</v>
      </c>
      <c r="E51" s="25">
        <v>9.0</v>
      </c>
      <c r="F51" s="24">
        <v>4.0</v>
      </c>
      <c r="G51" s="25" t="s">
        <v>637</v>
      </c>
      <c r="H51" s="38" t="s">
        <v>658</v>
      </c>
      <c r="I51" s="29" t="s">
        <v>591</v>
      </c>
    </row>
    <row r="52" ht="12.75" customHeight="1">
      <c r="A52" s="24" t="s">
        <v>659</v>
      </c>
      <c r="B52" s="24" t="s">
        <v>660</v>
      </c>
      <c r="C52" s="24" t="s">
        <v>125</v>
      </c>
      <c r="D52" s="24" t="s">
        <v>11</v>
      </c>
      <c r="E52" s="25">
        <v>10.0</v>
      </c>
      <c r="F52" s="24">
        <v>4.0</v>
      </c>
      <c r="G52" s="25" t="s">
        <v>637</v>
      </c>
      <c r="H52" s="38" t="s">
        <v>661</v>
      </c>
      <c r="I52" s="29" t="s">
        <v>662</v>
      </c>
    </row>
    <row r="53" ht="12.75" customHeight="1">
      <c r="A53" s="24" t="s">
        <v>663</v>
      </c>
      <c r="B53" s="24" t="s">
        <v>664</v>
      </c>
      <c r="C53" s="24" t="s">
        <v>423</v>
      </c>
      <c r="D53" s="24" t="s">
        <v>11</v>
      </c>
      <c r="E53" s="25">
        <v>11.0</v>
      </c>
      <c r="F53" s="24">
        <v>4.0</v>
      </c>
      <c r="G53" s="25" t="s">
        <v>637</v>
      </c>
      <c r="H53" s="38" t="s">
        <v>665</v>
      </c>
      <c r="I53" s="29" t="s">
        <v>666</v>
      </c>
    </row>
    <row r="54" ht="12.75" customHeight="1">
      <c r="A54" s="24" t="s">
        <v>667</v>
      </c>
      <c r="B54" s="24" t="s">
        <v>668</v>
      </c>
      <c r="C54" s="24" t="s">
        <v>669</v>
      </c>
      <c r="D54" s="24" t="s">
        <v>11</v>
      </c>
      <c r="E54" s="25">
        <v>12.0</v>
      </c>
      <c r="F54" s="24">
        <v>4.0</v>
      </c>
      <c r="G54" s="25" t="s">
        <v>637</v>
      </c>
      <c r="H54" s="38" t="s">
        <v>670</v>
      </c>
      <c r="I54" s="29" t="s">
        <v>671</v>
      </c>
    </row>
    <row r="55" ht="12.75" customHeight="1">
      <c r="A55" s="24" t="s">
        <v>672</v>
      </c>
      <c r="B55" s="24" t="s">
        <v>593</v>
      </c>
      <c r="C55" s="24" t="s">
        <v>133</v>
      </c>
      <c r="D55" s="24" t="s">
        <v>11</v>
      </c>
      <c r="E55" s="25">
        <v>13.0</v>
      </c>
      <c r="F55" s="24">
        <v>4.0</v>
      </c>
      <c r="G55" s="25" t="s">
        <v>637</v>
      </c>
      <c r="H55" s="38" t="s">
        <v>673</v>
      </c>
      <c r="I55" s="29" t="s">
        <v>595</v>
      </c>
    </row>
    <row r="56" ht="12.75" customHeight="1">
      <c r="A56" s="24" t="s">
        <v>674</v>
      </c>
      <c r="B56" s="24" t="s">
        <v>675</v>
      </c>
      <c r="C56" s="24" t="s">
        <v>131</v>
      </c>
      <c r="D56" s="24" t="s">
        <v>11</v>
      </c>
      <c r="E56" s="25">
        <v>14.0</v>
      </c>
      <c r="F56" s="24">
        <v>4.0</v>
      </c>
      <c r="G56" s="25" t="s">
        <v>637</v>
      </c>
      <c r="H56" s="38" t="s">
        <v>676</v>
      </c>
      <c r="I56" s="29" t="s">
        <v>677</v>
      </c>
    </row>
    <row r="57" ht="12.75" customHeight="1">
      <c r="A57" s="25" t="s">
        <v>678</v>
      </c>
      <c r="B57" s="39" t="s">
        <v>597</v>
      </c>
      <c r="C57" s="39" t="s">
        <v>679</v>
      </c>
      <c r="D57" s="40" t="s">
        <v>11</v>
      </c>
      <c r="E57" s="25">
        <v>15.0</v>
      </c>
      <c r="F57" s="25">
        <v>4.0</v>
      </c>
      <c r="G57" s="25" t="s">
        <v>637</v>
      </c>
      <c r="H57" s="38" t="s">
        <v>680</v>
      </c>
      <c r="I57" s="29" t="s">
        <v>681</v>
      </c>
    </row>
    <row r="58" ht="12.75" customHeight="1">
      <c r="A58" s="24" t="s">
        <v>682</v>
      </c>
      <c r="B58" s="24" t="s">
        <v>683</v>
      </c>
      <c r="C58" s="24" t="s">
        <v>108</v>
      </c>
      <c r="D58" s="24" t="s">
        <v>11</v>
      </c>
      <c r="E58" s="25">
        <v>16.0</v>
      </c>
      <c r="F58" s="24">
        <v>4.0</v>
      </c>
      <c r="G58" s="25" t="s">
        <v>637</v>
      </c>
      <c r="H58" s="38" t="s">
        <v>684</v>
      </c>
      <c r="I58" s="29" t="s">
        <v>685</v>
      </c>
    </row>
    <row r="59" ht="12.75" customHeight="1">
      <c r="A59" s="24" t="s">
        <v>686</v>
      </c>
      <c r="B59" s="24" t="s">
        <v>490</v>
      </c>
      <c r="C59" s="24" t="s">
        <v>44</v>
      </c>
      <c r="D59" s="24" t="s">
        <v>11</v>
      </c>
      <c r="E59" s="24">
        <v>1.0</v>
      </c>
      <c r="F59" s="24">
        <v>5.0</v>
      </c>
      <c r="G59" s="25" t="s">
        <v>687</v>
      </c>
      <c r="H59" s="26" t="s">
        <v>688</v>
      </c>
      <c r="I59" s="29" t="s">
        <v>493</v>
      </c>
    </row>
    <row r="60" ht="12.75" customHeight="1">
      <c r="A60" s="24" t="s">
        <v>689</v>
      </c>
      <c r="B60" s="24" t="s">
        <v>495</v>
      </c>
      <c r="C60" s="24" t="s">
        <v>104</v>
      </c>
      <c r="D60" s="24" t="s">
        <v>11</v>
      </c>
      <c r="E60" s="24">
        <v>2.0</v>
      </c>
      <c r="F60" s="24">
        <v>5.0</v>
      </c>
      <c r="G60" s="25" t="s">
        <v>687</v>
      </c>
      <c r="H60" s="26" t="s">
        <v>690</v>
      </c>
      <c r="I60" s="29" t="s">
        <v>497</v>
      </c>
    </row>
    <row r="61" ht="12.75" customHeight="1">
      <c r="A61" s="24" t="s">
        <v>691</v>
      </c>
      <c r="B61" s="24" t="s">
        <v>499</v>
      </c>
      <c r="C61" s="24" t="s">
        <v>103</v>
      </c>
      <c r="D61" s="24" t="s">
        <v>11</v>
      </c>
      <c r="E61" s="24">
        <v>3.0</v>
      </c>
      <c r="F61" s="24">
        <v>5.0</v>
      </c>
      <c r="G61" s="25" t="s">
        <v>687</v>
      </c>
      <c r="H61" s="26" t="s">
        <v>692</v>
      </c>
      <c r="I61" s="29" t="s">
        <v>501</v>
      </c>
    </row>
    <row r="62" ht="12.75" customHeight="1">
      <c r="A62" s="25" t="s">
        <v>693</v>
      </c>
      <c r="B62" s="25" t="s">
        <v>503</v>
      </c>
      <c r="C62" s="28" t="s">
        <v>694</v>
      </c>
      <c r="D62" s="24" t="s">
        <v>11</v>
      </c>
      <c r="E62" s="24">
        <v>4.0</v>
      </c>
      <c r="F62" s="25">
        <v>5.0</v>
      </c>
      <c r="G62" s="25" t="s">
        <v>687</v>
      </c>
      <c r="H62" s="26" t="s">
        <v>695</v>
      </c>
      <c r="I62" s="29" t="s">
        <v>506</v>
      </c>
    </row>
    <row r="63" ht="12.75" customHeight="1">
      <c r="A63" s="24" t="s">
        <v>696</v>
      </c>
      <c r="B63" s="24" t="s">
        <v>508</v>
      </c>
      <c r="C63" s="24" t="s">
        <v>25</v>
      </c>
      <c r="D63" s="24" t="s">
        <v>11</v>
      </c>
      <c r="E63" s="24">
        <v>5.0</v>
      </c>
      <c r="F63" s="24">
        <v>5.0</v>
      </c>
      <c r="G63" s="25" t="s">
        <v>687</v>
      </c>
      <c r="H63" s="26" t="s">
        <v>697</v>
      </c>
      <c r="I63" s="29" t="s">
        <v>510</v>
      </c>
    </row>
    <row r="64" ht="12.75" customHeight="1">
      <c r="A64" s="24" t="s">
        <v>698</v>
      </c>
      <c r="B64" s="24" t="s">
        <v>512</v>
      </c>
      <c r="C64" s="24" t="s">
        <v>106</v>
      </c>
      <c r="D64" s="24" t="s">
        <v>11</v>
      </c>
      <c r="E64" s="24">
        <v>6.0</v>
      </c>
      <c r="F64" s="24">
        <v>5.0</v>
      </c>
      <c r="G64" s="25" t="s">
        <v>687</v>
      </c>
      <c r="H64" s="26" t="s">
        <v>699</v>
      </c>
      <c r="I64" s="29" t="s">
        <v>514</v>
      </c>
    </row>
    <row r="65" ht="12.75" customHeight="1">
      <c r="A65" s="24" t="s">
        <v>700</v>
      </c>
      <c r="B65" s="24" t="s">
        <v>516</v>
      </c>
      <c r="C65" s="24" t="s">
        <v>87</v>
      </c>
      <c r="D65" s="24" t="s">
        <v>11</v>
      </c>
      <c r="E65" s="24">
        <v>7.0</v>
      </c>
      <c r="F65" s="24">
        <v>5.0</v>
      </c>
      <c r="G65" s="25" t="s">
        <v>687</v>
      </c>
      <c r="H65" s="26" t="s">
        <v>701</v>
      </c>
      <c r="I65" s="29" t="s">
        <v>518</v>
      </c>
    </row>
    <row r="66" ht="12.75" customHeight="1">
      <c r="A66" s="24" t="s">
        <v>702</v>
      </c>
      <c r="B66" s="24" t="s">
        <v>520</v>
      </c>
      <c r="C66" s="24" t="s">
        <v>314</v>
      </c>
      <c r="D66" s="24" t="s">
        <v>11</v>
      </c>
      <c r="E66" s="24">
        <v>8.0</v>
      </c>
      <c r="F66" s="24">
        <v>5.0</v>
      </c>
      <c r="G66" s="25" t="s">
        <v>687</v>
      </c>
      <c r="H66" s="26" t="s">
        <v>703</v>
      </c>
      <c r="I66" s="29" t="s">
        <v>522</v>
      </c>
    </row>
    <row r="67" ht="12.75" customHeight="1">
      <c r="A67" s="24" t="s">
        <v>704</v>
      </c>
      <c r="B67" s="24" t="s">
        <v>524</v>
      </c>
      <c r="C67" s="24" t="s">
        <v>84</v>
      </c>
      <c r="D67" s="24" t="s">
        <v>11</v>
      </c>
      <c r="E67" s="24">
        <v>9.0</v>
      </c>
      <c r="F67" s="24">
        <v>5.0</v>
      </c>
      <c r="G67" s="25" t="s">
        <v>687</v>
      </c>
      <c r="H67" s="26" t="s">
        <v>705</v>
      </c>
      <c r="I67" s="29" t="s">
        <v>526</v>
      </c>
    </row>
    <row r="68" ht="12.75" customHeight="1">
      <c r="A68" s="24" t="s">
        <v>706</v>
      </c>
      <c r="B68" s="24" t="s">
        <v>528</v>
      </c>
      <c r="C68" s="24" t="s">
        <v>85</v>
      </c>
      <c r="D68" s="24" t="s">
        <v>11</v>
      </c>
      <c r="E68" s="24">
        <v>10.0</v>
      </c>
      <c r="F68" s="24">
        <v>5.0</v>
      </c>
      <c r="G68" s="25" t="s">
        <v>687</v>
      </c>
      <c r="H68" s="26" t="s">
        <v>707</v>
      </c>
      <c r="I68" s="29" t="s">
        <v>530</v>
      </c>
    </row>
    <row r="69" ht="12.75" customHeight="1">
      <c r="A69" s="24" t="s">
        <v>708</v>
      </c>
      <c r="B69" s="24" t="s">
        <v>624</v>
      </c>
      <c r="C69" s="24" t="s">
        <v>121</v>
      </c>
      <c r="D69" s="24" t="s">
        <v>11</v>
      </c>
      <c r="E69" s="24">
        <v>11.0</v>
      </c>
      <c r="F69" s="24">
        <v>5.0</v>
      </c>
      <c r="G69" s="25" t="s">
        <v>687</v>
      </c>
      <c r="H69" s="26" t="s">
        <v>709</v>
      </c>
      <c r="I69" s="29" t="s">
        <v>534</v>
      </c>
    </row>
    <row r="70" ht="12.75" customHeight="1">
      <c r="A70" s="24" t="s">
        <v>710</v>
      </c>
      <c r="B70" s="24" t="s">
        <v>536</v>
      </c>
      <c r="C70" s="24" t="s">
        <v>83</v>
      </c>
      <c r="D70" s="24" t="s">
        <v>11</v>
      </c>
      <c r="E70" s="24">
        <v>12.0</v>
      </c>
      <c r="F70" s="24">
        <v>5.0</v>
      </c>
      <c r="G70" s="25" t="s">
        <v>687</v>
      </c>
      <c r="H70" s="26" t="s">
        <v>711</v>
      </c>
      <c r="I70" s="29" t="s">
        <v>538</v>
      </c>
    </row>
    <row r="71" ht="12.75" customHeight="1">
      <c r="A71" s="24" t="s">
        <v>712</v>
      </c>
      <c r="B71" s="24" t="s">
        <v>540</v>
      </c>
      <c r="C71" s="24" t="s">
        <v>120</v>
      </c>
      <c r="D71" s="24" t="s">
        <v>11</v>
      </c>
      <c r="E71" s="24">
        <v>13.0</v>
      </c>
      <c r="F71" s="24">
        <v>5.0</v>
      </c>
      <c r="G71" s="25" t="s">
        <v>687</v>
      </c>
      <c r="H71" s="26" t="s">
        <v>713</v>
      </c>
      <c r="I71" s="29" t="s">
        <v>542</v>
      </c>
    </row>
    <row r="72" ht="12.75" customHeight="1">
      <c r="A72" s="25" t="s">
        <v>714</v>
      </c>
      <c r="B72" s="25" t="s">
        <v>544</v>
      </c>
      <c r="C72" s="25" t="s">
        <v>715</v>
      </c>
      <c r="D72" s="24" t="s">
        <v>11</v>
      </c>
      <c r="E72" s="24">
        <v>14.0</v>
      </c>
      <c r="F72" s="24">
        <v>5.0</v>
      </c>
      <c r="G72" s="25" t="s">
        <v>687</v>
      </c>
      <c r="H72" s="26" t="s">
        <v>716</v>
      </c>
      <c r="I72" s="29" t="s">
        <v>547</v>
      </c>
    </row>
    <row r="73" ht="12.75" customHeight="1">
      <c r="A73" s="25" t="s">
        <v>717</v>
      </c>
      <c r="B73" s="25" t="s">
        <v>549</v>
      </c>
      <c r="C73" s="25" t="s">
        <v>718</v>
      </c>
      <c r="D73" s="24" t="s">
        <v>11</v>
      </c>
      <c r="E73" s="24">
        <v>15.0</v>
      </c>
      <c r="F73" s="24">
        <v>5.0</v>
      </c>
      <c r="G73" s="25" t="s">
        <v>687</v>
      </c>
      <c r="H73" s="26" t="s">
        <v>719</v>
      </c>
      <c r="I73" s="29" t="s">
        <v>552</v>
      </c>
    </row>
    <row r="74" ht="12.75" customHeight="1">
      <c r="A74" s="24" t="s">
        <v>720</v>
      </c>
      <c r="B74" s="24" t="s">
        <v>554</v>
      </c>
      <c r="C74" s="24" t="s">
        <v>130</v>
      </c>
      <c r="D74" s="24" t="s">
        <v>11</v>
      </c>
      <c r="E74" s="24">
        <v>1.0</v>
      </c>
      <c r="F74" s="24">
        <v>5.0</v>
      </c>
      <c r="G74" s="25" t="s">
        <v>721</v>
      </c>
      <c r="H74" s="26" t="s">
        <v>722</v>
      </c>
      <c r="I74" s="29" t="s">
        <v>557</v>
      </c>
    </row>
    <row r="75" ht="12.75" customHeight="1">
      <c r="A75" s="24" t="s">
        <v>723</v>
      </c>
      <c r="B75" s="24" t="s">
        <v>559</v>
      </c>
      <c r="C75" s="24" t="s">
        <v>327</v>
      </c>
      <c r="D75" s="24" t="s">
        <v>11</v>
      </c>
      <c r="E75" s="24">
        <v>2.0</v>
      </c>
      <c r="F75" s="24">
        <v>5.0</v>
      </c>
      <c r="G75" s="25" t="s">
        <v>721</v>
      </c>
      <c r="H75" s="26" t="s">
        <v>724</v>
      </c>
      <c r="I75" s="29" t="s">
        <v>561</v>
      </c>
    </row>
    <row r="76" ht="12.75" customHeight="1">
      <c r="A76" s="24" t="s">
        <v>725</v>
      </c>
      <c r="B76" s="24" t="s">
        <v>563</v>
      </c>
      <c r="C76" s="24" t="s">
        <v>304</v>
      </c>
      <c r="D76" s="24" t="s">
        <v>11</v>
      </c>
      <c r="E76" s="24">
        <v>3.0</v>
      </c>
      <c r="F76" s="24">
        <v>5.0</v>
      </c>
      <c r="G76" s="25" t="s">
        <v>721</v>
      </c>
      <c r="H76" s="26" t="s">
        <v>726</v>
      </c>
      <c r="I76" s="29" t="s">
        <v>565</v>
      </c>
    </row>
    <row r="77" ht="12.75" customHeight="1">
      <c r="A77" s="24" t="s">
        <v>727</v>
      </c>
      <c r="B77" s="24" t="s">
        <v>567</v>
      </c>
      <c r="C77" s="24" t="s">
        <v>129</v>
      </c>
      <c r="D77" s="24" t="s">
        <v>11</v>
      </c>
      <c r="E77" s="24">
        <v>4.0</v>
      </c>
      <c r="F77" s="24">
        <v>5.0</v>
      </c>
      <c r="G77" s="25" t="s">
        <v>721</v>
      </c>
      <c r="H77" s="26" t="s">
        <v>728</v>
      </c>
      <c r="I77" s="29" t="s">
        <v>569</v>
      </c>
    </row>
    <row r="78" ht="12.75" customHeight="1">
      <c r="A78" s="25" t="s">
        <v>729</v>
      </c>
      <c r="B78" s="25" t="s">
        <v>571</v>
      </c>
      <c r="C78" s="35" t="s">
        <v>730</v>
      </c>
      <c r="D78" s="24" t="s">
        <v>11</v>
      </c>
      <c r="E78" s="24">
        <v>5.0</v>
      </c>
      <c r="F78" s="25">
        <v>5.0</v>
      </c>
      <c r="G78" s="25" t="s">
        <v>721</v>
      </c>
      <c r="H78" s="26" t="s">
        <v>731</v>
      </c>
      <c r="I78" s="29" t="s">
        <v>574</v>
      </c>
    </row>
    <row r="79" ht="12.75" customHeight="1">
      <c r="A79" s="25" t="s">
        <v>732</v>
      </c>
      <c r="B79" s="36" t="s">
        <v>576</v>
      </c>
      <c r="C79" s="35" t="s">
        <v>733</v>
      </c>
      <c r="D79" s="24" t="s">
        <v>11</v>
      </c>
      <c r="E79" s="24">
        <v>6.0</v>
      </c>
      <c r="F79" s="25">
        <v>5.0</v>
      </c>
      <c r="G79" s="25" t="s">
        <v>721</v>
      </c>
      <c r="H79" s="26" t="s">
        <v>734</v>
      </c>
      <c r="I79" s="37" t="s">
        <v>579</v>
      </c>
    </row>
    <row r="80" ht="12.75" customHeight="1">
      <c r="A80" s="24" t="s">
        <v>735</v>
      </c>
      <c r="B80" s="24" t="s">
        <v>581</v>
      </c>
      <c r="C80" s="24" t="s">
        <v>322</v>
      </c>
      <c r="D80" s="24" t="s">
        <v>11</v>
      </c>
      <c r="E80" s="24">
        <v>5.0</v>
      </c>
      <c r="F80" s="24">
        <v>5.0</v>
      </c>
      <c r="G80" s="25" t="s">
        <v>721</v>
      </c>
      <c r="H80" s="26" t="s">
        <v>736</v>
      </c>
      <c r="I80" s="29" t="s">
        <v>574</v>
      </c>
    </row>
    <row r="81" ht="12.75" customHeight="1">
      <c r="A81" s="25" t="s">
        <v>737</v>
      </c>
      <c r="B81" s="25" t="s">
        <v>584</v>
      </c>
      <c r="C81" s="25" t="s">
        <v>738</v>
      </c>
      <c r="D81" s="24" t="s">
        <v>11</v>
      </c>
      <c r="E81" s="24">
        <v>8.0</v>
      </c>
      <c r="F81" s="25">
        <v>5.0</v>
      </c>
      <c r="G81" s="25" t="s">
        <v>721</v>
      </c>
      <c r="H81" s="26" t="s">
        <v>739</v>
      </c>
      <c r="I81" s="37" t="s">
        <v>587</v>
      </c>
    </row>
    <row r="82" ht="12.75" customHeight="1">
      <c r="A82" s="24" t="s">
        <v>740</v>
      </c>
      <c r="B82" s="24" t="s">
        <v>589</v>
      </c>
      <c r="C82" s="24" t="s">
        <v>379</v>
      </c>
      <c r="D82" s="24" t="s">
        <v>11</v>
      </c>
      <c r="E82" s="24">
        <v>6.0</v>
      </c>
      <c r="F82" s="24">
        <v>5.0</v>
      </c>
      <c r="G82" s="25" t="s">
        <v>721</v>
      </c>
      <c r="H82" s="26" t="s">
        <v>741</v>
      </c>
      <c r="I82" s="29" t="s">
        <v>591</v>
      </c>
    </row>
    <row r="83" ht="12.75" customHeight="1">
      <c r="A83" s="24" t="s">
        <v>742</v>
      </c>
      <c r="B83" s="24" t="s">
        <v>660</v>
      </c>
      <c r="C83" s="24" t="s">
        <v>743</v>
      </c>
      <c r="D83" s="24" t="s">
        <v>11</v>
      </c>
      <c r="E83" s="24">
        <v>7.0</v>
      </c>
      <c r="F83" s="24">
        <v>5.0</v>
      </c>
      <c r="G83" s="25" t="s">
        <v>721</v>
      </c>
      <c r="H83" s="26" t="s">
        <v>744</v>
      </c>
      <c r="I83" s="29" t="s">
        <v>662</v>
      </c>
    </row>
    <row r="84" ht="12.75" customHeight="1">
      <c r="A84" s="24" t="s">
        <v>745</v>
      </c>
      <c r="B84" s="24" t="s">
        <v>664</v>
      </c>
      <c r="C84" s="24" t="s">
        <v>143</v>
      </c>
      <c r="D84" s="24" t="s">
        <v>11</v>
      </c>
      <c r="E84" s="24">
        <v>8.0</v>
      </c>
      <c r="F84" s="24">
        <v>5.0</v>
      </c>
      <c r="G84" s="25" t="s">
        <v>721</v>
      </c>
      <c r="H84" s="26" t="s">
        <v>746</v>
      </c>
      <c r="I84" s="29" t="s">
        <v>666</v>
      </c>
    </row>
    <row r="85" ht="12.75" customHeight="1">
      <c r="A85" s="24" t="s">
        <v>747</v>
      </c>
      <c r="B85" s="24" t="s">
        <v>668</v>
      </c>
      <c r="C85" s="24" t="s">
        <v>128</v>
      </c>
      <c r="D85" s="24" t="s">
        <v>11</v>
      </c>
      <c r="E85" s="24">
        <v>9.0</v>
      </c>
      <c r="F85" s="24">
        <v>5.0</v>
      </c>
      <c r="G85" s="25" t="s">
        <v>721</v>
      </c>
      <c r="H85" s="26" t="s">
        <v>748</v>
      </c>
      <c r="I85" s="29" t="s">
        <v>671</v>
      </c>
    </row>
    <row r="86" ht="12.75" customHeight="1">
      <c r="A86" s="24" t="s">
        <v>749</v>
      </c>
      <c r="B86" s="24" t="s">
        <v>593</v>
      </c>
      <c r="C86" s="24" t="s">
        <v>142</v>
      </c>
      <c r="D86" s="24" t="s">
        <v>11</v>
      </c>
      <c r="E86" s="24">
        <v>10.0</v>
      </c>
      <c r="F86" s="24">
        <v>5.0</v>
      </c>
      <c r="G86" s="25" t="s">
        <v>721</v>
      </c>
      <c r="H86" s="26" t="s">
        <v>750</v>
      </c>
      <c r="I86" s="29" t="s">
        <v>595</v>
      </c>
    </row>
    <row r="87" ht="12.75" customHeight="1">
      <c r="A87" s="24" t="s">
        <v>751</v>
      </c>
      <c r="B87" s="24" t="s">
        <v>675</v>
      </c>
      <c r="C87" s="24" t="s">
        <v>140</v>
      </c>
      <c r="D87" s="24" t="s">
        <v>11</v>
      </c>
      <c r="E87" s="24">
        <v>11.0</v>
      </c>
      <c r="F87" s="24">
        <v>5.0</v>
      </c>
      <c r="G87" s="25" t="s">
        <v>721</v>
      </c>
      <c r="H87" s="26" t="s">
        <v>752</v>
      </c>
      <c r="I87" s="29" t="s">
        <v>677</v>
      </c>
    </row>
    <row r="88" ht="12.75" customHeight="1">
      <c r="A88" s="25" t="s">
        <v>753</v>
      </c>
      <c r="B88" s="39" t="s">
        <v>597</v>
      </c>
      <c r="C88" s="39" t="s">
        <v>754</v>
      </c>
      <c r="D88" s="40" t="s">
        <v>11</v>
      </c>
      <c r="E88" s="25">
        <v>12.0</v>
      </c>
      <c r="F88" s="25">
        <v>5.0</v>
      </c>
      <c r="G88" s="25" t="s">
        <v>721</v>
      </c>
      <c r="H88" s="26" t="s">
        <v>755</v>
      </c>
      <c r="I88" s="29" t="s">
        <v>681</v>
      </c>
    </row>
    <row r="89" ht="12.75" customHeight="1">
      <c r="A89" s="24" t="s">
        <v>756</v>
      </c>
      <c r="B89" s="24" t="s">
        <v>683</v>
      </c>
      <c r="C89" s="24" t="s">
        <v>135</v>
      </c>
      <c r="D89" s="24" t="s">
        <v>11</v>
      </c>
      <c r="E89" s="25">
        <v>13.0</v>
      </c>
      <c r="F89" s="24">
        <v>5.0</v>
      </c>
      <c r="G89" s="25" t="s">
        <v>721</v>
      </c>
      <c r="H89" s="26" t="s">
        <v>757</v>
      </c>
      <c r="I89" s="29" t="s">
        <v>685</v>
      </c>
    </row>
    <row r="90" ht="12.75" customHeight="1">
      <c r="A90" s="24" t="s">
        <v>758</v>
      </c>
      <c r="B90" s="24" t="s">
        <v>490</v>
      </c>
      <c r="C90" s="24" t="s">
        <v>759</v>
      </c>
      <c r="D90" s="24" t="s">
        <v>11</v>
      </c>
      <c r="E90" s="24">
        <v>1.0</v>
      </c>
      <c r="F90" s="24">
        <v>6.0</v>
      </c>
      <c r="G90" s="25" t="s">
        <v>760</v>
      </c>
      <c r="H90" s="26" t="s">
        <v>761</v>
      </c>
      <c r="I90" s="29" t="s">
        <v>493</v>
      </c>
    </row>
    <row r="91" ht="12.75" customHeight="1">
      <c r="A91" s="24" t="s">
        <v>762</v>
      </c>
      <c r="B91" s="24" t="s">
        <v>495</v>
      </c>
      <c r="C91" s="24" t="s">
        <v>763</v>
      </c>
      <c r="D91" s="24" t="s">
        <v>11</v>
      </c>
      <c r="E91" s="24">
        <v>2.0</v>
      </c>
      <c r="F91" s="24">
        <v>6.0</v>
      </c>
      <c r="G91" s="25" t="s">
        <v>760</v>
      </c>
      <c r="H91" s="26" t="s">
        <v>764</v>
      </c>
      <c r="I91" s="29" t="s">
        <v>497</v>
      </c>
    </row>
    <row r="92" ht="12.75" customHeight="1">
      <c r="A92" s="24" t="s">
        <v>765</v>
      </c>
      <c r="B92" s="24" t="s">
        <v>499</v>
      </c>
      <c r="C92" s="24" t="s">
        <v>766</v>
      </c>
      <c r="D92" s="24" t="s">
        <v>11</v>
      </c>
      <c r="E92" s="24">
        <v>3.0</v>
      </c>
      <c r="F92" s="24">
        <v>6.0</v>
      </c>
      <c r="G92" s="25" t="s">
        <v>760</v>
      </c>
      <c r="H92" s="26" t="s">
        <v>767</v>
      </c>
      <c r="I92" s="29" t="s">
        <v>501</v>
      </c>
    </row>
    <row r="93" ht="12.75" customHeight="1">
      <c r="A93" s="24" t="s">
        <v>768</v>
      </c>
      <c r="B93" s="24" t="s">
        <v>508</v>
      </c>
      <c r="C93" s="24" t="s">
        <v>769</v>
      </c>
      <c r="D93" s="24" t="s">
        <v>11</v>
      </c>
      <c r="E93" s="24">
        <v>4.0</v>
      </c>
      <c r="F93" s="24">
        <v>6.0</v>
      </c>
      <c r="G93" s="25" t="s">
        <v>760</v>
      </c>
      <c r="H93" s="26" t="s">
        <v>770</v>
      </c>
      <c r="I93" s="29" t="s">
        <v>510</v>
      </c>
    </row>
    <row r="94" ht="12.75" customHeight="1">
      <c r="A94" s="24" t="s">
        <v>771</v>
      </c>
      <c r="B94" s="24" t="s">
        <v>512</v>
      </c>
      <c r="C94" s="24" t="s">
        <v>772</v>
      </c>
      <c r="D94" s="24" t="s">
        <v>11</v>
      </c>
      <c r="E94" s="24">
        <v>5.0</v>
      </c>
      <c r="F94" s="24">
        <v>6.0</v>
      </c>
      <c r="G94" s="25" t="s">
        <v>760</v>
      </c>
      <c r="H94" s="26" t="s">
        <v>773</v>
      </c>
      <c r="I94" s="29" t="s">
        <v>514</v>
      </c>
    </row>
    <row r="95" ht="12.75" customHeight="1">
      <c r="A95" s="24" t="s">
        <v>774</v>
      </c>
      <c r="B95" s="24" t="s">
        <v>516</v>
      </c>
      <c r="C95" s="24" t="s">
        <v>775</v>
      </c>
      <c r="D95" s="24" t="s">
        <v>11</v>
      </c>
      <c r="E95" s="24">
        <v>6.0</v>
      </c>
      <c r="F95" s="24">
        <v>6.0</v>
      </c>
      <c r="G95" s="25" t="s">
        <v>760</v>
      </c>
      <c r="H95" s="26" t="s">
        <v>776</v>
      </c>
      <c r="I95" s="29" t="s">
        <v>518</v>
      </c>
    </row>
    <row r="96" ht="12.75" customHeight="1">
      <c r="A96" s="24" t="s">
        <v>777</v>
      </c>
      <c r="B96" s="24" t="s">
        <v>520</v>
      </c>
      <c r="C96" s="24" t="s">
        <v>778</v>
      </c>
      <c r="D96" s="24" t="s">
        <v>11</v>
      </c>
      <c r="E96" s="24">
        <v>7.0</v>
      </c>
      <c r="F96" s="24">
        <v>6.0</v>
      </c>
      <c r="G96" s="25" t="s">
        <v>760</v>
      </c>
      <c r="H96" s="26" t="s">
        <v>779</v>
      </c>
      <c r="I96" s="29" t="s">
        <v>522</v>
      </c>
    </row>
    <row r="97" ht="12.75" customHeight="1">
      <c r="A97" s="24" t="s">
        <v>780</v>
      </c>
      <c r="B97" s="24" t="s">
        <v>524</v>
      </c>
      <c r="C97" s="24" t="s">
        <v>781</v>
      </c>
      <c r="D97" s="24" t="s">
        <v>11</v>
      </c>
      <c r="E97" s="24">
        <v>8.0</v>
      </c>
      <c r="F97" s="24">
        <v>6.0</v>
      </c>
      <c r="G97" s="25" t="s">
        <v>760</v>
      </c>
      <c r="H97" s="26" t="s">
        <v>782</v>
      </c>
      <c r="I97" s="29" t="s">
        <v>526</v>
      </c>
    </row>
    <row r="98" ht="12.75" customHeight="1">
      <c r="A98" s="24" t="s">
        <v>783</v>
      </c>
      <c r="B98" s="24" t="s">
        <v>528</v>
      </c>
      <c r="C98" s="24" t="s">
        <v>784</v>
      </c>
      <c r="D98" s="24" t="s">
        <v>11</v>
      </c>
      <c r="E98" s="24">
        <v>9.0</v>
      </c>
      <c r="F98" s="24">
        <v>6.0</v>
      </c>
      <c r="G98" s="25" t="s">
        <v>760</v>
      </c>
      <c r="H98" s="26" t="s">
        <v>785</v>
      </c>
      <c r="I98" s="29" t="s">
        <v>530</v>
      </c>
    </row>
    <row r="99" ht="12.75" customHeight="1">
      <c r="A99" s="24" t="s">
        <v>786</v>
      </c>
      <c r="B99" s="24" t="s">
        <v>624</v>
      </c>
      <c r="C99" s="24" t="s">
        <v>787</v>
      </c>
      <c r="D99" s="24" t="s">
        <v>11</v>
      </c>
      <c r="E99" s="24">
        <v>10.0</v>
      </c>
      <c r="F99" s="24">
        <v>6.0</v>
      </c>
      <c r="G99" s="25" t="s">
        <v>760</v>
      </c>
      <c r="H99" s="26" t="s">
        <v>788</v>
      </c>
      <c r="I99" s="29" t="s">
        <v>534</v>
      </c>
    </row>
    <row r="100" ht="12.75" customHeight="1">
      <c r="A100" s="24" t="s">
        <v>789</v>
      </c>
      <c r="B100" s="24" t="s">
        <v>536</v>
      </c>
      <c r="C100" s="24" t="s">
        <v>790</v>
      </c>
      <c r="D100" s="24" t="s">
        <v>11</v>
      </c>
      <c r="E100" s="24">
        <v>11.0</v>
      </c>
      <c r="F100" s="24">
        <v>6.0</v>
      </c>
      <c r="G100" s="25" t="s">
        <v>760</v>
      </c>
      <c r="H100" s="26" t="s">
        <v>791</v>
      </c>
      <c r="I100" s="29" t="s">
        <v>538</v>
      </c>
    </row>
    <row r="101" ht="12.75" customHeight="1">
      <c r="A101" s="24" t="s">
        <v>792</v>
      </c>
      <c r="B101" s="24" t="s">
        <v>540</v>
      </c>
      <c r="C101" s="24" t="s">
        <v>793</v>
      </c>
      <c r="D101" s="24" t="s">
        <v>11</v>
      </c>
      <c r="E101" s="24">
        <v>12.0</v>
      </c>
      <c r="F101" s="24">
        <v>6.0</v>
      </c>
      <c r="G101" s="25" t="s">
        <v>760</v>
      </c>
      <c r="H101" s="26" t="s">
        <v>794</v>
      </c>
      <c r="I101" s="29" t="s">
        <v>542</v>
      </c>
    </row>
    <row r="102" ht="12.75" customHeight="1">
      <c r="A102" s="24" t="s">
        <v>795</v>
      </c>
      <c r="B102" s="24" t="s">
        <v>554</v>
      </c>
      <c r="C102" s="24" t="s">
        <v>119</v>
      </c>
      <c r="D102" s="24" t="s">
        <v>11</v>
      </c>
      <c r="E102" s="24">
        <v>1.0</v>
      </c>
      <c r="F102" s="24">
        <v>6.0</v>
      </c>
      <c r="G102" s="25" t="s">
        <v>796</v>
      </c>
      <c r="H102" s="26" t="s">
        <v>797</v>
      </c>
      <c r="I102" s="29" t="s">
        <v>557</v>
      </c>
    </row>
    <row r="103" ht="12.75" customHeight="1">
      <c r="A103" s="24" t="s">
        <v>798</v>
      </c>
      <c r="B103" s="24" t="s">
        <v>559</v>
      </c>
      <c r="C103" s="24" t="s">
        <v>799</v>
      </c>
      <c r="D103" s="24" t="s">
        <v>11</v>
      </c>
      <c r="E103" s="24">
        <v>2.0</v>
      </c>
      <c r="F103" s="24">
        <v>6.0</v>
      </c>
      <c r="G103" s="25" t="s">
        <v>796</v>
      </c>
      <c r="H103" s="26" t="s">
        <v>800</v>
      </c>
      <c r="I103" s="29" t="s">
        <v>561</v>
      </c>
    </row>
    <row r="104" ht="12.75" customHeight="1">
      <c r="A104" s="24" t="s">
        <v>801</v>
      </c>
      <c r="B104" s="24" t="s">
        <v>563</v>
      </c>
      <c r="C104" s="24" t="s">
        <v>802</v>
      </c>
      <c r="D104" s="24" t="s">
        <v>11</v>
      </c>
      <c r="E104" s="24">
        <v>3.0</v>
      </c>
      <c r="F104" s="24">
        <v>6.0</v>
      </c>
      <c r="G104" s="25" t="s">
        <v>796</v>
      </c>
      <c r="H104" s="26" t="s">
        <v>803</v>
      </c>
      <c r="I104" s="29" t="s">
        <v>565</v>
      </c>
    </row>
    <row r="105" ht="12.75" customHeight="1">
      <c r="A105" s="24" t="s">
        <v>804</v>
      </c>
      <c r="B105" s="24" t="s">
        <v>567</v>
      </c>
      <c r="C105" s="24" t="s">
        <v>805</v>
      </c>
      <c r="D105" s="24" t="s">
        <v>11</v>
      </c>
      <c r="E105" s="24">
        <v>4.0</v>
      </c>
      <c r="F105" s="24">
        <v>6.0</v>
      </c>
      <c r="G105" s="25" t="s">
        <v>796</v>
      </c>
      <c r="H105" s="26" t="s">
        <v>806</v>
      </c>
      <c r="I105" s="29" t="s">
        <v>569</v>
      </c>
    </row>
    <row r="106" ht="12.75" customHeight="1">
      <c r="A106" s="24" t="s">
        <v>807</v>
      </c>
      <c r="B106" s="24" t="s">
        <v>581</v>
      </c>
      <c r="C106" s="24" t="s">
        <v>808</v>
      </c>
      <c r="D106" s="24" t="s">
        <v>11</v>
      </c>
      <c r="E106" s="24">
        <v>5.0</v>
      </c>
      <c r="F106" s="24">
        <v>6.0</v>
      </c>
      <c r="G106" s="25" t="s">
        <v>796</v>
      </c>
      <c r="H106" s="26" t="s">
        <v>809</v>
      </c>
      <c r="I106" s="29" t="s">
        <v>574</v>
      </c>
    </row>
    <row r="107" ht="12.75" customHeight="1">
      <c r="A107" s="24" t="s">
        <v>810</v>
      </c>
      <c r="B107" s="24" t="s">
        <v>589</v>
      </c>
      <c r="C107" s="24" t="s">
        <v>811</v>
      </c>
      <c r="D107" s="24" t="s">
        <v>11</v>
      </c>
      <c r="E107" s="24">
        <v>6.0</v>
      </c>
      <c r="F107" s="24">
        <v>6.0</v>
      </c>
      <c r="G107" s="25" t="s">
        <v>796</v>
      </c>
      <c r="H107" s="26" t="s">
        <v>812</v>
      </c>
      <c r="I107" s="29" t="s">
        <v>591</v>
      </c>
    </row>
    <row r="108" ht="12.75" customHeight="1">
      <c r="A108" s="24" t="s">
        <v>813</v>
      </c>
      <c r="B108" s="24" t="s">
        <v>660</v>
      </c>
      <c r="C108" s="24" t="s">
        <v>814</v>
      </c>
      <c r="D108" s="24" t="s">
        <v>11</v>
      </c>
      <c r="E108" s="24">
        <v>7.0</v>
      </c>
      <c r="F108" s="24">
        <v>6.0</v>
      </c>
      <c r="G108" s="25" t="s">
        <v>796</v>
      </c>
      <c r="H108" s="26" t="s">
        <v>815</v>
      </c>
      <c r="I108" s="29" t="s">
        <v>662</v>
      </c>
    </row>
    <row r="109" ht="12.75" customHeight="1">
      <c r="A109" s="24" t="s">
        <v>816</v>
      </c>
      <c r="B109" s="24" t="s">
        <v>664</v>
      </c>
      <c r="C109" s="24" t="s">
        <v>817</v>
      </c>
      <c r="D109" s="24" t="s">
        <v>11</v>
      </c>
      <c r="E109" s="24">
        <v>8.0</v>
      </c>
      <c r="F109" s="24">
        <v>6.0</v>
      </c>
      <c r="G109" s="25" t="s">
        <v>796</v>
      </c>
      <c r="H109" s="26" t="s">
        <v>818</v>
      </c>
      <c r="I109" s="29" t="s">
        <v>666</v>
      </c>
    </row>
    <row r="110" ht="12.75" customHeight="1">
      <c r="A110" s="24" t="s">
        <v>819</v>
      </c>
      <c r="B110" s="24" t="s">
        <v>668</v>
      </c>
      <c r="C110" s="24" t="s">
        <v>820</v>
      </c>
      <c r="D110" s="24" t="s">
        <v>11</v>
      </c>
      <c r="E110" s="24">
        <v>9.0</v>
      </c>
      <c r="F110" s="24">
        <v>6.0</v>
      </c>
      <c r="G110" s="25" t="s">
        <v>796</v>
      </c>
      <c r="H110" s="26" t="s">
        <v>821</v>
      </c>
      <c r="I110" s="29" t="s">
        <v>671</v>
      </c>
    </row>
    <row r="111" ht="12.75" customHeight="1">
      <c r="A111" s="24" t="s">
        <v>822</v>
      </c>
      <c r="B111" s="24" t="s">
        <v>593</v>
      </c>
      <c r="C111" s="24" t="s">
        <v>823</v>
      </c>
      <c r="D111" s="24" t="s">
        <v>11</v>
      </c>
      <c r="E111" s="24">
        <v>10.0</v>
      </c>
      <c r="F111" s="24">
        <v>6.0</v>
      </c>
      <c r="G111" s="25" t="s">
        <v>796</v>
      </c>
      <c r="H111" s="26" t="s">
        <v>824</v>
      </c>
      <c r="I111" s="29" t="s">
        <v>595</v>
      </c>
    </row>
    <row r="112" ht="12.75" customHeight="1">
      <c r="A112" s="24" t="s">
        <v>825</v>
      </c>
      <c r="B112" s="24" t="s">
        <v>675</v>
      </c>
      <c r="C112" s="24" t="s">
        <v>826</v>
      </c>
      <c r="D112" s="24" t="s">
        <v>11</v>
      </c>
      <c r="E112" s="24">
        <v>11.0</v>
      </c>
      <c r="F112" s="24">
        <v>6.0</v>
      </c>
      <c r="G112" s="25" t="s">
        <v>796</v>
      </c>
      <c r="H112" s="26" t="s">
        <v>827</v>
      </c>
      <c r="I112" s="29" t="s">
        <v>677</v>
      </c>
    </row>
    <row r="113" ht="12.75" customHeight="1">
      <c r="A113" s="24" t="s">
        <v>828</v>
      </c>
      <c r="B113" s="24" t="s">
        <v>683</v>
      </c>
      <c r="C113" s="24" t="s">
        <v>829</v>
      </c>
      <c r="D113" s="24" t="s">
        <v>11</v>
      </c>
      <c r="E113" s="24">
        <v>12.0</v>
      </c>
      <c r="F113" s="24">
        <v>6.0</v>
      </c>
      <c r="G113" s="25" t="s">
        <v>796</v>
      </c>
      <c r="H113" s="26" t="s">
        <v>830</v>
      </c>
      <c r="I113" s="29" t="s">
        <v>685</v>
      </c>
    </row>
    <row r="114" ht="12.75" customHeight="1">
      <c r="A114" s="24" t="s">
        <v>831</v>
      </c>
      <c r="B114" s="24" t="s">
        <v>490</v>
      </c>
      <c r="C114" s="24" t="s">
        <v>832</v>
      </c>
      <c r="D114" s="24" t="s">
        <v>11</v>
      </c>
      <c r="E114" s="24">
        <v>1.0</v>
      </c>
      <c r="F114" s="24">
        <v>7.0</v>
      </c>
      <c r="G114" s="25" t="s">
        <v>833</v>
      </c>
      <c r="H114" s="26" t="s">
        <v>834</v>
      </c>
      <c r="I114" s="29" t="s">
        <v>493</v>
      </c>
    </row>
    <row r="115" ht="12.75" customHeight="1">
      <c r="A115" s="24" t="s">
        <v>835</v>
      </c>
      <c r="B115" s="24" t="s">
        <v>495</v>
      </c>
      <c r="C115" s="24" t="s">
        <v>836</v>
      </c>
      <c r="D115" s="24" t="s">
        <v>11</v>
      </c>
      <c r="E115" s="24">
        <v>2.0</v>
      </c>
      <c r="F115" s="24">
        <v>7.0</v>
      </c>
      <c r="G115" s="25" t="s">
        <v>833</v>
      </c>
      <c r="H115" s="26" t="s">
        <v>837</v>
      </c>
      <c r="I115" s="29" t="s">
        <v>497</v>
      </c>
    </row>
    <row r="116" ht="12.75" customHeight="1">
      <c r="A116" s="24" t="s">
        <v>838</v>
      </c>
      <c r="B116" s="24" t="s">
        <v>499</v>
      </c>
      <c r="C116" s="24" t="s">
        <v>839</v>
      </c>
      <c r="D116" s="24" t="s">
        <v>11</v>
      </c>
      <c r="E116" s="24">
        <v>3.0</v>
      </c>
      <c r="F116" s="24">
        <v>7.0</v>
      </c>
      <c r="G116" s="25" t="s">
        <v>833</v>
      </c>
      <c r="H116" s="26" t="s">
        <v>840</v>
      </c>
      <c r="I116" s="29" t="s">
        <v>501</v>
      </c>
    </row>
    <row r="117" ht="12.75" customHeight="1">
      <c r="A117" s="24" t="s">
        <v>841</v>
      </c>
      <c r="B117" s="24" t="s">
        <v>508</v>
      </c>
      <c r="C117" s="24" t="s">
        <v>842</v>
      </c>
      <c r="D117" s="24" t="s">
        <v>11</v>
      </c>
      <c r="E117" s="24">
        <v>4.0</v>
      </c>
      <c r="F117" s="24">
        <v>7.0</v>
      </c>
      <c r="G117" s="25" t="s">
        <v>833</v>
      </c>
      <c r="H117" s="26" t="s">
        <v>843</v>
      </c>
      <c r="I117" s="29" t="s">
        <v>510</v>
      </c>
    </row>
    <row r="118" ht="12.75" customHeight="1">
      <c r="A118" s="24" t="s">
        <v>844</v>
      </c>
      <c r="B118" s="24" t="s">
        <v>512</v>
      </c>
      <c r="C118" s="24" t="s">
        <v>845</v>
      </c>
      <c r="D118" s="24" t="s">
        <v>11</v>
      </c>
      <c r="E118" s="24">
        <v>5.0</v>
      </c>
      <c r="F118" s="24">
        <v>7.0</v>
      </c>
      <c r="G118" s="25" t="s">
        <v>833</v>
      </c>
      <c r="H118" s="26" t="s">
        <v>846</v>
      </c>
      <c r="I118" s="29" t="s">
        <v>514</v>
      </c>
    </row>
    <row r="119" ht="12.75" customHeight="1">
      <c r="A119" s="24" t="s">
        <v>847</v>
      </c>
      <c r="B119" s="24" t="s">
        <v>516</v>
      </c>
      <c r="C119" s="24" t="s">
        <v>848</v>
      </c>
      <c r="D119" s="24" t="s">
        <v>11</v>
      </c>
      <c r="E119" s="24">
        <v>6.0</v>
      </c>
      <c r="F119" s="24">
        <v>7.0</v>
      </c>
      <c r="G119" s="25" t="s">
        <v>833</v>
      </c>
      <c r="H119" s="26" t="s">
        <v>849</v>
      </c>
      <c r="I119" s="29" t="s">
        <v>518</v>
      </c>
    </row>
    <row r="120" ht="12.75" customHeight="1">
      <c r="A120" s="24" t="s">
        <v>850</v>
      </c>
      <c r="B120" s="24" t="s">
        <v>520</v>
      </c>
      <c r="C120" s="24" t="s">
        <v>851</v>
      </c>
      <c r="D120" s="24" t="s">
        <v>11</v>
      </c>
      <c r="E120" s="24">
        <v>7.0</v>
      </c>
      <c r="F120" s="24">
        <v>7.0</v>
      </c>
      <c r="G120" s="25" t="s">
        <v>833</v>
      </c>
      <c r="H120" s="26" t="s">
        <v>852</v>
      </c>
      <c r="I120" s="29" t="s">
        <v>522</v>
      </c>
    </row>
    <row r="121" ht="12.75" customHeight="1">
      <c r="A121" s="24" t="s">
        <v>853</v>
      </c>
      <c r="B121" s="24" t="s">
        <v>524</v>
      </c>
      <c r="C121" s="24" t="s">
        <v>854</v>
      </c>
      <c r="D121" s="24" t="s">
        <v>11</v>
      </c>
      <c r="E121" s="24">
        <v>8.0</v>
      </c>
      <c r="F121" s="24">
        <v>7.0</v>
      </c>
      <c r="G121" s="25" t="s">
        <v>833</v>
      </c>
      <c r="H121" s="26" t="s">
        <v>855</v>
      </c>
      <c r="I121" s="29" t="s">
        <v>526</v>
      </c>
    </row>
    <row r="122" ht="12.75" customHeight="1">
      <c r="A122" s="24" t="s">
        <v>856</v>
      </c>
      <c r="B122" s="24" t="s">
        <v>528</v>
      </c>
      <c r="C122" s="24" t="s">
        <v>857</v>
      </c>
      <c r="D122" s="24" t="s">
        <v>11</v>
      </c>
      <c r="E122" s="24">
        <v>9.0</v>
      </c>
      <c r="F122" s="24">
        <v>7.0</v>
      </c>
      <c r="G122" s="25" t="s">
        <v>833</v>
      </c>
      <c r="H122" s="26" t="s">
        <v>858</v>
      </c>
      <c r="I122" s="29" t="s">
        <v>530</v>
      </c>
    </row>
    <row r="123" ht="12.75" customHeight="1">
      <c r="A123" s="24" t="s">
        <v>859</v>
      </c>
      <c r="B123" s="24" t="s">
        <v>624</v>
      </c>
      <c r="C123" s="24" t="s">
        <v>860</v>
      </c>
      <c r="D123" s="24" t="s">
        <v>11</v>
      </c>
      <c r="E123" s="24">
        <v>10.0</v>
      </c>
      <c r="F123" s="24">
        <v>7.0</v>
      </c>
      <c r="G123" s="25" t="s">
        <v>833</v>
      </c>
      <c r="H123" s="26" t="s">
        <v>861</v>
      </c>
      <c r="I123" s="29" t="s">
        <v>534</v>
      </c>
    </row>
    <row r="124" ht="12.75" customHeight="1">
      <c r="A124" s="24" t="s">
        <v>862</v>
      </c>
      <c r="B124" s="24" t="s">
        <v>536</v>
      </c>
      <c r="C124" s="24" t="s">
        <v>863</v>
      </c>
      <c r="D124" s="24" t="s">
        <v>11</v>
      </c>
      <c r="E124" s="24">
        <v>11.0</v>
      </c>
      <c r="F124" s="24">
        <v>7.0</v>
      </c>
      <c r="G124" s="25" t="s">
        <v>833</v>
      </c>
      <c r="H124" s="26" t="s">
        <v>864</v>
      </c>
      <c r="I124" s="29" t="s">
        <v>538</v>
      </c>
    </row>
    <row r="125" ht="12.75" customHeight="1">
      <c r="A125" s="24" t="s">
        <v>865</v>
      </c>
      <c r="B125" s="24" t="s">
        <v>540</v>
      </c>
      <c r="C125" s="24" t="s">
        <v>866</v>
      </c>
      <c r="D125" s="24" t="s">
        <v>11</v>
      </c>
      <c r="E125" s="24">
        <v>12.0</v>
      </c>
      <c r="F125" s="24">
        <v>7.0</v>
      </c>
      <c r="G125" s="25" t="s">
        <v>833</v>
      </c>
      <c r="H125" s="26" t="s">
        <v>867</v>
      </c>
      <c r="I125" s="29" t="s">
        <v>542</v>
      </c>
    </row>
    <row r="126" ht="12.75" customHeight="1">
      <c r="A126" s="24" t="s">
        <v>868</v>
      </c>
      <c r="B126" s="24" t="s">
        <v>554</v>
      </c>
      <c r="C126" s="24" t="s">
        <v>869</v>
      </c>
      <c r="D126" s="24" t="s">
        <v>11</v>
      </c>
      <c r="E126" s="24">
        <v>1.0</v>
      </c>
      <c r="F126" s="24">
        <v>7.0</v>
      </c>
      <c r="G126" s="25" t="s">
        <v>870</v>
      </c>
      <c r="H126" s="26" t="s">
        <v>871</v>
      </c>
      <c r="I126" s="29" t="s">
        <v>557</v>
      </c>
    </row>
    <row r="127" ht="12.75" customHeight="1">
      <c r="A127" s="24" t="s">
        <v>872</v>
      </c>
      <c r="B127" s="24" t="s">
        <v>559</v>
      </c>
      <c r="C127" s="24" t="s">
        <v>132</v>
      </c>
      <c r="D127" s="24" t="s">
        <v>11</v>
      </c>
      <c r="E127" s="24">
        <v>2.0</v>
      </c>
      <c r="F127" s="24">
        <v>7.0</v>
      </c>
      <c r="G127" s="25" t="s">
        <v>870</v>
      </c>
      <c r="H127" s="26" t="s">
        <v>873</v>
      </c>
      <c r="I127" s="29" t="s">
        <v>561</v>
      </c>
    </row>
    <row r="128" ht="12.75" customHeight="1">
      <c r="A128" s="24" t="s">
        <v>874</v>
      </c>
      <c r="B128" s="24" t="s">
        <v>563</v>
      </c>
      <c r="C128" s="24" t="s">
        <v>305</v>
      </c>
      <c r="D128" s="24" t="s">
        <v>11</v>
      </c>
      <c r="E128" s="24">
        <v>3.0</v>
      </c>
      <c r="F128" s="24">
        <v>7.0</v>
      </c>
      <c r="G128" s="25" t="s">
        <v>870</v>
      </c>
      <c r="H128" s="26" t="s">
        <v>875</v>
      </c>
      <c r="I128" s="29" t="s">
        <v>565</v>
      </c>
    </row>
    <row r="129" ht="12.75" customHeight="1">
      <c r="A129" s="24" t="s">
        <v>876</v>
      </c>
      <c r="B129" s="24" t="s">
        <v>567</v>
      </c>
      <c r="C129" s="24" t="s">
        <v>877</v>
      </c>
      <c r="D129" s="24" t="s">
        <v>11</v>
      </c>
      <c r="E129" s="24">
        <v>4.0</v>
      </c>
      <c r="F129" s="24">
        <v>7.0</v>
      </c>
      <c r="G129" s="25" t="s">
        <v>870</v>
      </c>
      <c r="H129" s="26" t="s">
        <v>878</v>
      </c>
      <c r="I129" s="29" t="s">
        <v>569</v>
      </c>
    </row>
    <row r="130" ht="12.75" customHeight="1">
      <c r="A130" s="24" t="s">
        <v>879</v>
      </c>
      <c r="B130" s="24" t="s">
        <v>581</v>
      </c>
      <c r="C130" s="24" t="s">
        <v>880</v>
      </c>
      <c r="D130" s="24" t="s">
        <v>11</v>
      </c>
      <c r="E130" s="24">
        <v>5.0</v>
      </c>
      <c r="F130" s="24">
        <v>7.0</v>
      </c>
      <c r="G130" s="25" t="s">
        <v>870</v>
      </c>
      <c r="H130" s="26" t="s">
        <v>881</v>
      </c>
      <c r="I130" s="29" t="s">
        <v>574</v>
      </c>
    </row>
    <row r="131" ht="12.75" customHeight="1">
      <c r="A131" s="24" t="s">
        <v>882</v>
      </c>
      <c r="B131" s="24" t="s">
        <v>589</v>
      </c>
      <c r="C131" s="24" t="s">
        <v>883</v>
      </c>
      <c r="D131" s="24" t="s">
        <v>11</v>
      </c>
      <c r="E131" s="24">
        <v>6.0</v>
      </c>
      <c r="F131" s="24">
        <v>7.0</v>
      </c>
      <c r="G131" s="25" t="s">
        <v>870</v>
      </c>
      <c r="H131" s="26" t="s">
        <v>884</v>
      </c>
      <c r="I131" s="29" t="s">
        <v>591</v>
      </c>
    </row>
    <row r="132" ht="12.75" customHeight="1">
      <c r="A132" s="24" t="s">
        <v>885</v>
      </c>
      <c r="B132" s="24" t="s">
        <v>660</v>
      </c>
      <c r="C132" s="24" t="s">
        <v>886</v>
      </c>
      <c r="D132" s="24" t="s">
        <v>11</v>
      </c>
      <c r="E132" s="24">
        <v>7.0</v>
      </c>
      <c r="F132" s="24">
        <v>7.0</v>
      </c>
      <c r="G132" s="25" t="s">
        <v>870</v>
      </c>
      <c r="H132" s="26" t="s">
        <v>887</v>
      </c>
      <c r="I132" s="29" t="s">
        <v>662</v>
      </c>
    </row>
    <row r="133" ht="12.75" customHeight="1">
      <c r="A133" s="24" t="s">
        <v>888</v>
      </c>
      <c r="B133" s="24" t="s">
        <v>664</v>
      </c>
      <c r="C133" s="24" t="s">
        <v>889</v>
      </c>
      <c r="D133" s="24" t="s">
        <v>11</v>
      </c>
      <c r="E133" s="24">
        <v>8.0</v>
      </c>
      <c r="F133" s="24">
        <v>7.0</v>
      </c>
      <c r="G133" s="25" t="s">
        <v>870</v>
      </c>
      <c r="H133" s="26" t="s">
        <v>890</v>
      </c>
      <c r="I133" s="29" t="s">
        <v>666</v>
      </c>
    </row>
    <row r="134" ht="12.75" customHeight="1">
      <c r="A134" s="24" t="s">
        <v>891</v>
      </c>
      <c r="B134" s="24" t="s">
        <v>668</v>
      </c>
      <c r="C134" s="24" t="s">
        <v>892</v>
      </c>
      <c r="D134" s="24" t="s">
        <v>11</v>
      </c>
      <c r="E134" s="24">
        <v>9.0</v>
      </c>
      <c r="F134" s="24">
        <v>7.0</v>
      </c>
      <c r="G134" s="25" t="s">
        <v>870</v>
      </c>
      <c r="H134" s="26" t="s">
        <v>893</v>
      </c>
      <c r="I134" s="29" t="s">
        <v>671</v>
      </c>
    </row>
    <row r="135" ht="12.75" customHeight="1">
      <c r="A135" s="24" t="s">
        <v>894</v>
      </c>
      <c r="B135" s="24" t="s">
        <v>593</v>
      </c>
      <c r="C135" s="24" t="s">
        <v>895</v>
      </c>
      <c r="D135" s="24" t="s">
        <v>11</v>
      </c>
      <c r="E135" s="24">
        <v>10.0</v>
      </c>
      <c r="F135" s="24">
        <v>7.0</v>
      </c>
      <c r="G135" s="25" t="s">
        <v>870</v>
      </c>
      <c r="H135" s="26" t="s">
        <v>896</v>
      </c>
      <c r="I135" s="29" t="s">
        <v>595</v>
      </c>
    </row>
    <row r="136" ht="12.75" customHeight="1">
      <c r="A136" s="24" t="s">
        <v>897</v>
      </c>
      <c r="B136" s="24" t="s">
        <v>675</v>
      </c>
      <c r="C136" s="24" t="s">
        <v>898</v>
      </c>
      <c r="D136" s="24" t="s">
        <v>11</v>
      </c>
      <c r="E136" s="24">
        <v>11.0</v>
      </c>
      <c r="F136" s="24">
        <v>7.0</v>
      </c>
      <c r="G136" s="25" t="s">
        <v>870</v>
      </c>
      <c r="H136" s="26" t="s">
        <v>899</v>
      </c>
      <c r="I136" s="29" t="s">
        <v>677</v>
      </c>
    </row>
    <row r="137" ht="12.75" customHeight="1">
      <c r="A137" s="24" t="s">
        <v>900</v>
      </c>
      <c r="B137" s="24" t="s">
        <v>683</v>
      </c>
      <c r="C137" s="24" t="s">
        <v>901</v>
      </c>
      <c r="D137" s="24" t="s">
        <v>11</v>
      </c>
      <c r="E137" s="24">
        <v>12.0</v>
      </c>
      <c r="F137" s="24">
        <v>7.0</v>
      </c>
      <c r="G137" s="25" t="s">
        <v>870</v>
      </c>
      <c r="H137" s="26" t="s">
        <v>902</v>
      </c>
      <c r="I137" s="29" t="s">
        <v>685</v>
      </c>
    </row>
    <row r="138" ht="12.75" customHeight="1">
      <c r="A138" s="24" t="s">
        <v>903</v>
      </c>
      <c r="B138" s="24" t="s">
        <v>490</v>
      </c>
      <c r="C138" s="24" t="s">
        <v>904</v>
      </c>
      <c r="D138" s="24" t="s">
        <v>11</v>
      </c>
      <c r="E138" s="24">
        <v>1.0</v>
      </c>
      <c r="F138" s="24">
        <v>8.0</v>
      </c>
      <c r="G138" s="25" t="s">
        <v>905</v>
      </c>
      <c r="H138" s="26" t="s">
        <v>906</v>
      </c>
      <c r="I138" s="29" t="s">
        <v>493</v>
      </c>
    </row>
    <row r="139" ht="12.75" customHeight="1">
      <c r="A139" s="24" t="s">
        <v>907</v>
      </c>
      <c r="B139" s="24" t="s">
        <v>495</v>
      </c>
      <c r="C139" s="24" t="s">
        <v>908</v>
      </c>
      <c r="D139" s="24" t="s">
        <v>11</v>
      </c>
      <c r="E139" s="24">
        <v>2.0</v>
      </c>
      <c r="F139" s="24">
        <v>8.0</v>
      </c>
      <c r="G139" s="25" t="s">
        <v>905</v>
      </c>
      <c r="H139" s="26" t="s">
        <v>909</v>
      </c>
      <c r="I139" s="29" t="s">
        <v>497</v>
      </c>
    </row>
    <row r="140" ht="12.75" customHeight="1">
      <c r="A140" s="24" t="s">
        <v>910</v>
      </c>
      <c r="B140" s="24" t="s">
        <v>499</v>
      </c>
      <c r="C140" s="24" t="s">
        <v>911</v>
      </c>
      <c r="D140" s="24" t="s">
        <v>11</v>
      </c>
      <c r="E140" s="24">
        <v>3.0</v>
      </c>
      <c r="F140" s="24">
        <v>8.0</v>
      </c>
      <c r="G140" s="25" t="s">
        <v>905</v>
      </c>
      <c r="H140" s="26" t="s">
        <v>912</v>
      </c>
      <c r="I140" s="29" t="s">
        <v>501</v>
      </c>
    </row>
    <row r="141" ht="12.75" customHeight="1">
      <c r="A141" s="24" t="s">
        <v>913</v>
      </c>
      <c r="B141" s="24" t="s">
        <v>508</v>
      </c>
      <c r="C141" s="24" t="s">
        <v>914</v>
      </c>
      <c r="D141" s="24" t="s">
        <v>11</v>
      </c>
      <c r="E141" s="24">
        <v>4.0</v>
      </c>
      <c r="F141" s="24">
        <v>8.0</v>
      </c>
      <c r="G141" s="25" t="s">
        <v>905</v>
      </c>
      <c r="H141" s="26" t="s">
        <v>915</v>
      </c>
      <c r="I141" s="29" t="s">
        <v>510</v>
      </c>
    </row>
    <row r="142" ht="12.75" customHeight="1">
      <c r="A142" s="24" t="s">
        <v>916</v>
      </c>
      <c r="B142" s="24" t="s">
        <v>512</v>
      </c>
      <c r="C142" s="24" t="s">
        <v>917</v>
      </c>
      <c r="D142" s="24" t="s">
        <v>11</v>
      </c>
      <c r="E142" s="24">
        <v>5.0</v>
      </c>
      <c r="F142" s="24">
        <v>8.0</v>
      </c>
      <c r="G142" s="25" t="s">
        <v>905</v>
      </c>
      <c r="H142" s="26" t="s">
        <v>918</v>
      </c>
      <c r="I142" s="29" t="s">
        <v>514</v>
      </c>
    </row>
    <row r="143" ht="12.75" customHeight="1">
      <c r="A143" s="24" t="s">
        <v>919</v>
      </c>
      <c r="B143" s="24" t="s">
        <v>516</v>
      </c>
      <c r="C143" s="24" t="s">
        <v>920</v>
      </c>
      <c r="D143" s="24" t="s">
        <v>11</v>
      </c>
      <c r="E143" s="24">
        <v>6.0</v>
      </c>
      <c r="F143" s="24">
        <v>8.0</v>
      </c>
      <c r="G143" s="25" t="s">
        <v>905</v>
      </c>
      <c r="H143" s="26" t="s">
        <v>921</v>
      </c>
      <c r="I143" s="29" t="s">
        <v>518</v>
      </c>
    </row>
    <row r="144" ht="12.75" customHeight="1">
      <c r="A144" s="24" t="s">
        <v>922</v>
      </c>
      <c r="B144" s="24" t="s">
        <v>520</v>
      </c>
      <c r="C144" s="24" t="s">
        <v>923</v>
      </c>
      <c r="D144" s="24" t="s">
        <v>11</v>
      </c>
      <c r="E144" s="24">
        <v>7.0</v>
      </c>
      <c r="F144" s="24">
        <v>8.0</v>
      </c>
      <c r="G144" s="25" t="s">
        <v>905</v>
      </c>
      <c r="H144" s="26" t="s">
        <v>924</v>
      </c>
      <c r="I144" s="29" t="s">
        <v>522</v>
      </c>
    </row>
    <row r="145" ht="12.75" customHeight="1">
      <c r="A145" s="24" t="s">
        <v>925</v>
      </c>
      <c r="B145" s="24" t="s">
        <v>524</v>
      </c>
      <c r="C145" s="24" t="s">
        <v>926</v>
      </c>
      <c r="D145" s="24" t="s">
        <v>11</v>
      </c>
      <c r="E145" s="24">
        <v>8.0</v>
      </c>
      <c r="F145" s="24">
        <v>8.0</v>
      </c>
      <c r="G145" s="25" t="s">
        <v>905</v>
      </c>
      <c r="H145" s="26" t="s">
        <v>927</v>
      </c>
      <c r="I145" s="29" t="s">
        <v>526</v>
      </c>
    </row>
    <row r="146" ht="12.75" customHeight="1">
      <c r="A146" s="24" t="s">
        <v>928</v>
      </c>
      <c r="B146" s="24" t="s">
        <v>528</v>
      </c>
      <c r="C146" s="24" t="s">
        <v>929</v>
      </c>
      <c r="D146" s="24" t="s">
        <v>11</v>
      </c>
      <c r="E146" s="24">
        <v>9.0</v>
      </c>
      <c r="F146" s="24">
        <v>8.0</v>
      </c>
      <c r="G146" s="25" t="s">
        <v>905</v>
      </c>
      <c r="H146" s="26" t="s">
        <v>930</v>
      </c>
      <c r="I146" s="29" t="s">
        <v>530</v>
      </c>
    </row>
    <row r="147" ht="12.75" customHeight="1">
      <c r="A147" s="24" t="s">
        <v>931</v>
      </c>
      <c r="B147" s="24" t="s">
        <v>624</v>
      </c>
      <c r="C147" s="24" t="s">
        <v>932</v>
      </c>
      <c r="D147" s="24" t="s">
        <v>11</v>
      </c>
      <c r="E147" s="24">
        <v>10.0</v>
      </c>
      <c r="F147" s="24">
        <v>8.0</v>
      </c>
      <c r="G147" s="25" t="s">
        <v>905</v>
      </c>
      <c r="H147" s="26" t="s">
        <v>933</v>
      </c>
      <c r="I147" s="29" t="s">
        <v>534</v>
      </c>
    </row>
    <row r="148" ht="12.75" customHeight="1">
      <c r="A148" s="24" t="s">
        <v>934</v>
      </c>
      <c r="B148" s="24" t="s">
        <v>536</v>
      </c>
      <c r="C148" s="24" t="s">
        <v>935</v>
      </c>
      <c r="D148" s="24" t="s">
        <v>11</v>
      </c>
      <c r="E148" s="24">
        <v>11.0</v>
      </c>
      <c r="F148" s="24">
        <v>8.0</v>
      </c>
      <c r="G148" s="25" t="s">
        <v>905</v>
      </c>
      <c r="H148" s="26" t="s">
        <v>936</v>
      </c>
      <c r="I148" s="29" t="s">
        <v>538</v>
      </c>
    </row>
    <row r="149" ht="12.75" customHeight="1">
      <c r="A149" s="24" t="s">
        <v>937</v>
      </c>
      <c r="B149" s="24" t="s">
        <v>540</v>
      </c>
      <c r="C149" s="24" t="s">
        <v>938</v>
      </c>
      <c r="D149" s="24" t="s">
        <v>11</v>
      </c>
      <c r="E149" s="24">
        <v>12.0</v>
      </c>
      <c r="F149" s="24">
        <v>8.0</v>
      </c>
      <c r="G149" s="25" t="s">
        <v>905</v>
      </c>
      <c r="H149" s="26" t="s">
        <v>939</v>
      </c>
      <c r="I149" s="29" t="s">
        <v>542</v>
      </c>
    </row>
    <row r="150" ht="12.75" customHeight="1">
      <c r="A150" s="24" t="s">
        <v>940</v>
      </c>
      <c r="B150" s="24" t="s">
        <v>554</v>
      </c>
      <c r="C150" s="24" t="s">
        <v>941</v>
      </c>
      <c r="D150" s="24" t="s">
        <v>11</v>
      </c>
      <c r="E150" s="24">
        <v>1.0</v>
      </c>
      <c r="F150" s="24">
        <v>8.0</v>
      </c>
      <c r="G150" s="25" t="s">
        <v>942</v>
      </c>
      <c r="H150" s="26" t="s">
        <v>943</v>
      </c>
      <c r="I150" s="29" t="s">
        <v>557</v>
      </c>
    </row>
    <row r="151" ht="12.75" customHeight="1">
      <c r="A151" s="24" t="s">
        <v>944</v>
      </c>
      <c r="B151" s="24" t="s">
        <v>559</v>
      </c>
      <c r="C151" s="24" t="s">
        <v>306</v>
      </c>
      <c r="D151" s="24" t="s">
        <v>11</v>
      </c>
      <c r="E151" s="24">
        <v>2.0</v>
      </c>
      <c r="F151" s="24">
        <v>8.0</v>
      </c>
      <c r="G151" s="25" t="s">
        <v>942</v>
      </c>
      <c r="H151" s="26" t="s">
        <v>945</v>
      </c>
      <c r="I151" s="29" t="s">
        <v>561</v>
      </c>
    </row>
    <row r="152" ht="12.75" customHeight="1">
      <c r="A152" s="24" t="s">
        <v>946</v>
      </c>
      <c r="B152" s="24" t="s">
        <v>563</v>
      </c>
      <c r="C152" s="24" t="s">
        <v>114</v>
      </c>
      <c r="D152" s="24" t="s">
        <v>11</v>
      </c>
      <c r="E152" s="24">
        <v>3.0</v>
      </c>
      <c r="F152" s="24">
        <v>8.0</v>
      </c>
      <c r="G152" s="25" t="s">
        <v>942</v>
      </c>
      <c r="H152" s="26" t="s">
        <v>947</v>
      </c>
      <c r="I152" s="29" t="s">
        <v>565</v>
      </c>
    </row>
    <row r="153" ht="12.75" customHeight="1">
      <c r="A153" s="24" t="s">
        <v>948</v>
      </c>
      <c r="B153" s="24" t="s">
        <v>567</v>
      </c>
      <c r="C153" s="24" t="s">
        <v>949</v>
      </c>
      <c r="D153" s="24" t="s">
        <v>11</v>
      </c>
      <c r="E153" s="24">
        <v>4.0</v>
      </c>
      <c r="F153" s="24">
        <v>8.0</v>
      </c>
      <c r="G153" s="25" t="s">
        <v>942</v>
      </c>
      <c r="H153" s="26" t="s">
        <v>950</v>
      </c>
      <c r="I153" s="29" t="s">
        <v>569</v>
      </c>
    </row>
    <row r="154" ht="12.75" customHeight="1">
      <c r="A154" s="24" t="s">
        <v>951</v>
      </c>
      <c r="B154" s="24" t="s">
        <v>581</v>
      </c>
      <c r="C154" s="24" t="s">
        <v>952</v>
      </c>
      <c r="D154" s="24" t="s">
        <v>11</v>
      </c>
      <c r="E154" s="24">
        <v>5.0</v>
      </c>
      <c r="F154" s="24">
        <v>8.0</v>
      </c>
      <c r="G154" s="25" t="s">
        <v>942</v>
      </c>
      <c r="H154" s="26" t="s">
        <v>953</v>
      </c>
      <c r="I154" s="29" t="s">
        <v>574</v>
      </c>
    </row>
    <row r="155" ht="12.75" customHeight="1">
      <c r="A155" s="24" t="s">
        <v>954</v>
      </c>
      <c r="B155" s="24" t="s">
        <v>589</v>
      </c>
      <c r="C155" s="24" t="s">
        <v>955</v>
      </c>
      <c r="D155" s="24" t="s">
        <v>11</v>
      </c>
      <c r="E155" s="24">
        <v>6.0</v>
      </c>
      <c r="F155" s="24">
        <v>8.0</v>
      </c>
      <c r="G155" s="25" t="s">
        <v>942</v>
      </c>
      <c r="H155" s="26" t="s">
        <v>956</v>
      </c>
      <c r="I155" s="29" t="s">
        <v>591</v>
      </c>
    </row>
    <row r="156" ht="12.75" customHeight="1">
      <c r="A156" s="24" t="s">
        <v>957</v>
      </c>
      <c r="B156" s="24" t="s">
        <v>660</v>
      </c>
      <c r="C156" s="24" t="s">
        <v>958</v>
      </c>
      <c r="D156" s="24" t="s">
        <v>11</v>
      </c>
      <c r="E156" s="24">
        <v>7.0</v>
      </c>
      <c r="F156" s="24">
        <v>8.0</v>
      </c>
      <c r="G156" s="25" t="s">
        <v>942</v>
      </c>
      <c r="H156" s="26" t="s">
        <v>959</v>
      </c>
      <c r="I156" s="29" t="s">
        <v>662</v>
      </c>
    </row>
    <row r="157" ht="12.75" customHeight="1">
      <c r="A157" s="24" t="s">
        <v>960</v>
      </c>
      <c r="B157" s="24" t="s">
        <v>664</v>
      </c>
      <c r="C157" s="24" t="s">
        <v>961</v>
      </c>
      <c r="D157" s="24" t="s">
        <v>11</v>
      </c>
      <c r="E157" s="24">
        <v>8.0</v>
      </c>
      <c r="F157" s="24">
        <v>8.0</v>
      </c>
      <c r="G157" s="25" t="s">
        <v>942</v>
      </c>
      <c r="H157" s="26" t="s">
        <v>962</v>
      </c>
      <c r="I157" s="29" t="s">
        <v>666</v>
      </c>
    </row>
    <row r="158" ht="12.75" customHeight="1">
      <c r="A158" s="24" t="s">
        <v>963</v>
      </c>
      <c r="B158" s="24" t="s">
        <v>668</v>
      </c>
      <c r="C158" s="24" t="s">
        <v>964</v>
      </c>
      <c r="D158" s="24" t="s">
        <v>11</v>
      </c>
      <c r="E158" s="24">
        <v>9.0</v>
      </c>
      <c r="F158" s="24">
        <v>8.0</v>
      </c>
      <c r="G158" s="25" t="s">
        <v>942</v>
      </c>
      <c r="H158" s="26" t="s">
        <v>965</v>
      </c>
      <c r="I158" s="29" t="s">
        <v>671</v>
      </c>
    </row>
    <row r="159" ht="12.75" customHeight="1">
      <c r="A159" s="24" t="s">
        <v>966</v>
      </c>
      <c r="B159" s="24" t="s">
        <v>593</v>
      </c>
      <c r="C159" s="24" t="s">
        <v>967</v>
      </c>
      <c r="D159" s="24" t="s">
        <v>11</v>
      </c>
      <c r="E159" s="24">
        <v>10.0</v>
      </c>
      <c r="F159" s="24">
        <v>8.0</v>
      </c>
      <c r="G159" s="25" t="s">
        <v>942</v>
      </c>
      <c r="H159" s="26" t="s">
        <v>968</v>
      </c>
      <c r="I159" s="29" t="s">
        <v>595</v>
      </c>
    </row>
    <row r="160" ht="12.75" customHeight="1">
      <c r="A160" s="24" t="s">
        <v>969</v>
      </c>
      <c r="B160" s="24" t="s">
        <v>675</v>
      </c>
      <c r="C160" s="24" t="s">
        <v>970</v>
      </c>
      <c r="D160" s="24" t="s">
        <v>11</v>
      </c>
      <c r="E160" s="24">
        <v>11.0</v>
      </c>
      <c r="F160" s="24">
        <v>8.0</v>
      </c>
      <c r="G160" s="25" t="s">
        <v>942</v>
      </c>
      <c r="H160" s="26" t="s">
        <v>971</v>
      </c>
      <c r="I160" s="29" t="s">
        <v>677</v>
      </c>
    </row>
    <row r="161" ht="12.75" customHeight="1">
      <c r="A161" s="24" t="s">
        <v>972</v>
      </c>
      <c r="B161" s="24" t="s">
        <v>683</v>
      </c>
      <c r="C161" s="24" t="s">
        <v>973</v>
      </c>
      <c r="D161" s="24" t="s">
        <v>11</v>
      </c>
      <c r="E161" s="24">
        <v>12.0</v>
      </c>
      <c r="F161" s="24">
        <v>8.0</v>
      </c>
      <c r="G161" s="25" t="s">
        <v>942</v>
      </c>
      <c r="H161" s="26" t="s">
        <v>974</v>
      </c>
      <c r="I161" s="29" t="s">
        <v>685</v>
      </c>
    </row>
    <row r="162" ht="12.75" customHeight="1">
      <c r="A162" s="41" t="s">
        <v>975</v>
      </c>
      <c r="B162" s="24" t="s">
        <v>976</v>
      </c>
      <c r="C162" s="24" t="s">
        <v>977</v>
      </c>
      <c r="D162" s="24" t="s">
        <v>11</v>
      </c>
      <c r="E162" s="24">
        <v>1.0</v>
      </c>
      <c r="F162" s="24">
        <v>6.0</v>
      </c>
      <c r="G162" s="25" t="s">
        <v>976</v>
      </c>
      <c r="H162" s="42" t="s">
        <v>978</v>
      </c>
      <c r="I162" s="29" t="s">
        <v>979</v>
      </c>
    </row>
    <row r="163" ht="12.75" customHeight="1">
      <c r="A163" s="43" t="s">
        <v>975</v>
      </c>
      <c r="B163" s="24" t="s">
        <v>976</v>
      </c>
      <c r="C163" s="24" t="s">
        <v>980</v>
      </c>
      <c r="D163" s="24" t="s">
        <v>11</v>
      </c>
      <c r="E163" s="24">
        <v>2.0</v>
      </c>
      <c r="F163" s="24">
        <v>6.0</v>
      </c>
      <c r="G163" s="25" t="s">
        <v>976</v>
      </c>
      <c r="H163" s="42" t="s">
        <v>981</v>
      </c>
      <c r="I163" s="29" t="s">
        <v>982</v>
      </c>
    </row>
    <row r="164" ht="12.75" customHeight="1">
      <c r="A164" s="41" t="s">
        <v>975</v>
      </c>
      <c r="B164" s="24" t="s">
        <v>976</v>
      </c>
      <c r="C164" s="24" t="s">
        <v>983</v>
      </c>
      <c r="D164" s="24" t="s">
        <v>11</v>
      </c>
      <c r="E164" s="24">
        <v>3.0</v>
      </c>
      <c r="F164" s="24">
        <v>6.0</v>
      </c>
      <c r="G164" s="25" t="s">
        <v>976</v>
      </c>
      <c r="H164" s="42" t="s">
        <v>984</v>
      </c>
      <c r="I164" s="29" t="s">
        <v>985</v>
      </c>
    </row>
    <row r="165" ht="12.75" customHeight="1">
      <c r="A165" s="43" t="s">
        <v>975</v>
      </c>
      <c r="B165" s="24" t="s">
        <v>976</v>
      </c>
      <c r="C165" s="24" t="s">
        <v>986</v>
      </c>
      <c r="D165" s="24" t="s">
        <v>11</v>
      </c>
      <c r="E165" s="24">
        <v>4.0</v>
      </c>
      <c r="F165" s="24">
        <v>6.0</v>
      </c>
      <c r="G165" s="25" t="s">
        <v>976</v>
      </c>
      <c r="H165" s="42" t="s">
        <v>987</v>
      </c>
      <c r="I165" s="29" t="s">
        <v>988</v>
      </c>
    </row>
    <row r="166" ht="12.75" customHeight="1">
      <c r="A166" s="41" t="s">
        <v>975</v>
      </c>
      <c r="B166" s="24" t="s">
        <v>976</v>
      </c>
      <c r="C166" s="24" t="s">
        <v>989</v>
      </c>
      <c r="D166" s="24" t="s">
        <v>11</v>
      </c>
      <c r="E166" s="24">
        <v>5.0</v>
      </c>
      <c r="F166" s="24">
        <v>6.0</v>
      </c>
      <c r="G166" s="25" t="s">
        <v>976</v>
      </c>
      <c r="H166" s="42" t="s">
        <v>990</v>
      </c>
      <c r="I166" s="29" t="s">
        <v>991</v>
      </c>
    </row>
    <row r="167" ht="12.75" customHeight="1">
      <c r="A167" s="43" t="s">
        <v>992</v>
      </c>
      <c r="B167" s="24" t="s">
        <v>993</v>
      </c>
      <c r="C167" s="24" t="s">
        <v>994</v>
      </c>
      <c r="D167" s="24" t="s">
        <v>11</v>
      </c>
      <c r="E167" s="24">
        <v>1.0</v>
      </c>
      <c r="F167" s="24">
        <v>7.0</v>
      </c>
      <c r="G167" s="25" t="s">
        <v>993</v>
      </c>
      <c r="H167" s="42" t="s">
        <v>995</v>
      </c>
      <c r="I167" s="29" t="s">
        <v>979</v>
      </c>
    </row>
    <row r="168" ht="12.75" customHeight="1">
      <c r="A168" s="41" t="s">
        <v>992</v>
      </c>
      <c r="B168" s="24" t="s">
        <v>993</v>
      </c>
      <c r="C168" s="24" t="s">
        <v>996</v>
      </c>
      <c r="D168" s="24" t="s">
        <v>11</v>
      </c>
      <c r="E168" s="24">
        <v>2.0</v>
      </c>
      <c r="F168" s="24">
        <v>7.0</v>
      </c>
      <c r="G168" s="25" t="s">
        <v>993</v>
      </c>
      <c r="H168" s="42" t="s">
        <v>997</v>
      </c>
      <c r="I168" s="29" t="s">
        <v>982</v>
      </c>
    </row>
    <row r="169" ht="12.75" customHeight="1">
      <c r="A169" s="43" t="s">
        <v>992</v>
      </c>
      <c r="B169" s="24" t="s">
        <v>993</v>
      </c>
      <c r="C169" s="24" t="s">
        <v>998</v>
      </c>
      <c r="D169" s="24" t="s">
        <v>11</v>
      </c>
      <c r="E169" s="24">
        <v>3.0</v>
      </c>
      <c r="F169" s="24">
        <v>7.0</v>
      </c>
      <c r="G169" s="25" t="s">
        <v>993</v>
      </c>
      <c r="H169" s="42" t="s">
        <v>999</v>
      </c>
      <c r="I169" s="29" t="s">
        <v>985</v>
      </c>
    </row>
    <row r="170" ht="12.75" customHeight="1">
      <c r="A170" s="41" t="s">
        <v>992</v>
      </c>
      <c r="B170" s="24" t="s">
        <v>993</v>
      </c>
      <c r="C170" s="24" t="s">
        <v>1000</v>
      </c>
      <c r="D170" s="24" t="s">
        <v>11</v>
      </c>
      <c r="E170" s="24">
        <v>4.0</v>
      </c>
      <c r="F170" s="24">
        <v>7.0</v>
      </c>
      <c r="G170" s="25" t="s">
        <v>993</v>
      </c>
      <c r="H170" s="42" t="s">
        <v>1001</v>
      </c>
      <c r="I170" s="29" t="s">
        <v>988</v>
      </c>
    </row>
    <row r="171" ht="12.75" customHeight="1">
      <c r="A171" s="43" t="s">
        <v>992</v>
      </c>
      <c r="B171" s="24" t="s">
        <v>993</v>
      </c>
      <c r="C171" s="24" t="s">
        <v>1002</v>
      </c>
      <c r="D171" s="24" t="s">
        <v>11</v>
      </c>
      <c r="E171" s="24">
        <v>5.0</v>
      </c>
      <c r="F171" s="24">
        <v>7.0</v>
      </c>
      <c r="G171" s="25" t="s">
        <v>993</v>
      </c>
      <c r="H171" s="42" t="s">
        <v>1003</v>
      </c>
      <c r="I171" s="29" t="s">
        <v>991</v>
      </c>
    </row>
    <row r="172" ht="12.75" customHeight="1">
      <c r="A172" s="41" t="s">
        <v>1004</v>
      </c>
      <c r="B172" s="24" t="s">
        <v>1005</v>
      </c>
      <c r="C172" s="24" t="s">
        <v>1006</v>
      </c>
      <c r="D172" s="24" t="s">
        <v>11</v>
      </c>
      <c r="E172" s="24">
        <v>1.0</v>
      </c>
      <c r="F172" s="24">
        <v>8.0</v>
      </c>
      <c r="G172" s="25" t="s">
        <v>1005</v>
      </c>
      <c r="H172" s="42" t="s">
        <v>1007</v>
      </c>
      <c r="I172" s="29" t="s">
        <v>979</v>
      </c>
    </row>
    <row r="173" ht="12.75" customHeight="1">
      <c r="A173" s="43" t="s">
        <v>1004</v>
      </c>
      <c r="B173" s="24" t="s">
        <v>1005</v>
      </c>
      <c r="C173" s="24" t="s">
        <v>1008</v>
      </c>
      <c r="D173" s="24" t="s">
        <v>11</v>
      </c>
      <c r="E173" s="24">
        <v>2.0</v>
      </c>
      <c r="F173" s="24">
        <v>8.0</v>
      </c>
      <c r="G173" s="25" t="s">
        <v>1005</v>
      </c>
      <c r="H173" s="42" t="s">
        <v>1009</v>
      </c>
      <c r="I173" s="29" t="s">
        <v>982</v>
      </c>
    </row>
    <row r="174" ht="12.75" customHeight="1">
      <c r="A174" s="41" t="s">
        <v>1004</v>
      </c>
      <c r="B174" s="24" t="s">
        <v>1005</v>
      </c>
      <c r="C174" s="24" t="s">
        <v>1010</v>
      </c>
      <c r="D174" s="24" t="s">
        <v>11</v>
      </c>
      <c r="E174" s="24">
        <v>3.0</v>
      </c>
      <c r="F174" s="24">
        <v>8.0</v>
      </c>
      <c r="G174" s="25" t="s">
        <v>1005</v>
      </c>
      <c r="H174" s="42" t="s">
        <v>1011</v>
      </c>
      <c r="I174" s="29" t="s">
        <v>985</v>
      </c>
    </row>
    <row r="175" ht="12.75" customHeight="1">
      <c r="A175" s="43" t="s">
        <v>1004</v>
      </c>
      <c r="B175" s="24" t="s">
        <v>1005</v>
      </c>
      <c r="C175" s="24" t="s">
        <v>1012</v>
      </c>
      <c r="D175" s="24" t="s">
        <v>11</v>
      </c>
      <c r="E175" s="24">
        <v>4.0</v>
      </c>
      <c r="F175" s="24">
        <v>8.0</v>
      </c>
      <c r="G175" s="25" t="s">
        <v>1005</v>
      </c>
      <c r="H175" s="42" t="s">
        <v>1013</v>
      </c>
      <c r="I175" s="29" t="s">
        <v>988</v>
      </c>
    </row>
    <row r="176" ht="12.75" customHeight="1">
      <c r="A176" s="41" t="s">
        <v>1004</v>
      </c>
      <c r="B176" s="24" t="s">
        <v>1005</v>
      </c>
      <c r="C176" s="24" t="s">
        <v>1014</v>
      </c>
      <c r="D176" s="24" t="s">
        <v>11</v>
      </c>
      <c r="E176" s="24">
        <v>5.0</v>
      </c>
      <c r="F176" s="24">
        <v>8.0</v>
      </c>
      <c r="G176" s="25" t="s">
        <v>1005</v>
      </c>
      <c r="H176" s="42" t="s">
        <v>1015</v>
      </c>
      <c r="I176" s="29" t="s">
        <v>991</v>
      </c>
    </row>
    <row r="177" ht="12.75" customHeight="1">
      <c r="H177" s="44"/>
      <c r="I177" s="45"/>
    </row>
    <row r="178" ht="12.75" customHeight="1">
      <c r="H178" s="44"/>
      <c r="I178" s="45"/>
    </row>
    <row r="179" ht="12.75" customHeight="1">
      <c r="H179" s="44"/>
      <c r="I179" s="45"/>
    </row>
    <row r="180" ht="12.75" customHeight="1">
      <c r="H180" s="44"/>
      <c r="I180" s="45"/>
    </row>
    <row r="181" ht="12.75" customHeight="1">
      <c r="H181" s="44"/>
      <c r="I181" s="45"/>
    </row>
    <row r="182" ht="12.75" customHeight="1">
      <c r="H182" s="44"/>
      <c r="I182" s="45"/>
    </row>
    <row r="183" ht="12.75" customHeight="1">
      <c r="H183" s="44"/>
      <c r="I183" s="45"/>
    </row>
    <row r="184" ht="12.75" customHeight="1">
      <c r="H184" s="44"/>
      <c r="I184" s="45"/>
    </row>
    <row r="185" ht="12.75" customHeight="1">
      <c r="H185" s="44"/>
      <c r="I185" s="45"/>
    </row>
    <row r="186" ht="12.75" customHeight="1">
      <c r="H186" s="44"/>
      <c r="I186" s="45"/>
    </row>
    <row r="187" ht="12.75" customHeight="1">
      <c r="H187" s="44"/>
      <c r="I187" s="45"/>
    </row>
    <row r="188" ht="12.75" customHeight="1">
      <c r="H188" s="44"/>
      <c r="I188" s="45"/>
    </row>
    <row r="189" ht="12.75" customHeight="1">
      <c r="H189" s="44"/>
      <c r="I189" s="45"/>
    </row>
    <row r="190" ht="12.75" customHeight="1">
      <c r="H190" s="44"/>
      <c r="I190" s="45"/>
    </row>
    <row r="191" ht="12.75" customHeight="1">
      <c r="H191" s="44"/>
      <c r="I191" s="45"/>
    </row>
    <row r="192" ht="12.75" customHeight="1">
      <c r="H192" s="44"/>
      <c r="I192" s="45"/>
    </row>
    <row r="193" ht="12.75" customHeight="1">
      <c r="H193" s="44"/>
      <c r="I193" s="45"/>
    </row>
    <row r="194" ht="12.75" customHeight="1">
      <c r="H194" s="44"/>
      <c r="I194" s="45"/>
    </row>
    <row r="195" ht="12.75" customHeight="1">
      <c r="H195" s="44"/>
      <c r="I195" s="45"/>
    </row>
    <row r="196" ht="12.75" customHeight="1">
      <c r="H196" s="44"/>
      <c r="I196" s="45"/>
    </row>
    <row r="197" ht="12.75" customHeight="1">
      <c r="H197" s="44"/>
      <c r="I197" s="45"/>
    </row>
    <row r="198" ht="12.75" customHeight="1">
      <c r="H198" s="44"/>
      <c r="I198" s="45"/>
    </row>
    <row r="199" ht="12.75" customHeight="1">
      <c r="H199" s="44"/>
      <c r="I199" s="45"/>
    </row>
    <row r="200" ht="12.75" customHeight="1">
      <c r="H200" s="44"/>
      <c r="I200" s="45"/>
    </row>
    <row r="201" ht="12.75" customHeight="1">
      <c r="H201" s="44"/>
      <c r="I201" s="45"/>
    </row>
    <row r="202" ht="12.75" customHeight="1">
      <c r="H202" s="44"/>
      <c r="I202" s="45"/>
    </row>
    <row r="203" ht="12.75" customHeight="1">
      <c r="H203" s="44"/>
      <c r="I203" s="45"/>
    </row>
    <row r="204" ht="12.75" customHeight="1">
      <c r="H204" s="44"/>
      <c r="I204" s="45"/>
    </row>
    <row r="205" ht="12.75" customHeight="1">
      <c r="H205" s="44"/>
      <c r="I205" s="45"/>
    </row>
    <row r="206" ht="12.75" customHeight="1">
      <c r="H206" s="44"/>
      <c r="I206" s="45"/>
    </row>
    <row r="207" ht="12.75" customHeight="1">
      <c r="H207" s="44"/>
      <c r="I207" s="45"/>
    </row>
    <row r="208" ht="12.75" customHeight="1">
      <c r="H208" s="44"/>
      <c r="I208" s="45"/>
    </row>
    <row r="209" ht="12.75" customHeight="1">
      <c r="H209" s="44"/>
      <c r="I209" s="45"/>
    </row>
    <row r="210" ht="12.75" customHeight="1">
      <c r="H210" s="44"/>
      <c r="I210" s="45"/>
    </row>
    <row r="211" ht="12.75" customHeight="1">
      <c r="H211" s="44"/>
      <c r="I211" s="45"/>
    </row>
    <row r="212" ht="12.75" customHeight="1">
      <c r="H212" s="44"/>
      <c r="I212" s="45"/>
    </row>
    <row r="213" ht="12.75" customHeight="1">
      <c r="H213" s="44"/>
      <c r="I213" s="45"/>
    </row>
    <row r="214" ht="12.75" customHeight="1">
      <c r="H214" s="44"/>
      <c r="I214" s="45"/>
    </row>
    <row r="215" ht="12.75" customHeight="1">
      <c r="H215" s="44"/>
      <c r="I215" s="45"/>
    </row>
    <row r="216" ht="12.75" customHeight="1">
      <c r="H216" s="44"/>
      <c r="I216" s="45"/>
    </row>
    <row r="217" ht="12.75" customHeight="1">
      <c r="H217" s="44"/>
      <c r="I217" s="45"/>
    </row>
    <row r="218" ht="12.75" customHeight="1">
      <c r="H218" s="44"/>
      <c r="I218" s="45"/>
    </row>
    <row r="219" ht="12.75" customHeight="1">
      <c r="H219" s="44"/>
      <c r="I219" s="45"/>
    </row>
    <row r="220" ht="12.75" customHeight="1">
      <c r="H220" s="44"/>
      <c r="I220" s="45"/>
    </row>
    <row r="221" ht="12.75" customHeight="1">
      <c r="H221" s="44"/>
      <c r="I221" s="45"/>
    </row>
    <row r="222" ht="12.75" customHeight="1">
      <c r="H222" s="44"/>
      <c r="I222" s="45"/>
    </row>
    <row r="223" ht="12.75" customHeight="1">
      <c r="H223" s="44"/>
      <c r="I223" s="45"/>
    </row>
    <row r="224" ht="12.75" customHeight="1">
      <c r="H224" s="44"/>
      <c r="I224" s="45"/>
    </row>
    <row r="225" ht="12.75" customHeight="1">
      <c r="H225" s="44"/>
      <c r="I225" s="45"/>
    </row>
    <row r="226" ht="12.75" customHeight="1">
      <c r="H226" s="44"/>
      <c r="I226" s="45"/>
    </row>
    <row r="227" ht="12.75" customHeight="1">
      <c r="H227" s="44"/>
      <c r="I227" s="45"/>
    </row>
    <row r="228" ht="12.75" customHeight="1">
      <c r="H228" s="44"/>
      <c r="I228" s="45"/>
    </row>
    <row r="229" ht="12.75" customHeight="1">
      <c r="H229" s="44"/>
      <c r="I229" s="45"/>
    </row>
    <row r="230" ht="12.75" customHeight="1">
      <c r="H230" s="44"/>
      <c r="I230" s="45"/>
    </row>
    <row r="231" ht="12.75" customHeight="1">
      <c r="H231" s="44"/>
      <c r="I231" s="45"/>
    </row>
    <row r="232" ht="12.75" customHeight="1">
      <c r="H232" s="44"/>
      <c r="I232" s="45"/>
    </row>
    <row r="233" ht="12.75" customHeight="1">
      <c r="H233" s="44"/>
      <c r="I233" s="45"/>
    </row>
    <row r="234" ht="12.75" customHeight="1">
      <c r="H234" s="44"/>
      <c r="I234" s="45"/>
    </row>
    <row r="235" ht="12.75" customHeight="1">
      <c r="H235" s="44"/>
      <c r="I235" s="45"/>
    </row>
    <row r="236" ht="12.75" customHeight="1">
      <c r="H236" s="44"/>
      <c r="I236" s="45"/>
    </row>
    <row r="237" ht="12.75" customHeight="1">
      <c r="H237" s="44"/>
      <c r="I237" s="45"/>
    </row>
    <row r="238" ht="12.75" customHeight="1">
      <c r="H238" s="44"/>
      <c r="I238" s="45"/>
    </row>
    <row r="239" ht="12.75" customHeight="1">
      <c r="H239" s="44"/>
      <c r="I239" s="45"/>
    </row>
    <row r="240" ht="12.75" customHeight="1">
      <c r="H240" s="44"/>
      <c r="I240" s="45"/>
    </row>
    <row r="241" ht="12.75" customHeight="1">
      <c r="H241" s="44"/>
      <c r="I241" s="45"/>
    </row>
    <row r="242" ht="12.75" customHeight="1">
      <c r="H242" s="44"/>
      <c r="I242" s="45"/>
    </row>
    <row r="243" ht="12.75" customHeight="1">
      <c r="H243" s="44"/>
      <c r="I243" s="45"/>
    </row>
    <row r="244" ht="12.75" customHeight="1">
      <c r="H244" s="44"/>
      <c r="I244" s="45"/>
    </row>
    <row r="245" ht="12.75" customHeight="1">
      <c r="H245" s="44"/>
      <c r="I245" s="45"/>
    </row>
    <row r="246" ht="12.75" customHeight="1">
      <c r="H246" s="44"/>
      <c r="I246" s="45"/>
    </row>
    <row r="247" ht="12.75" customHeight="1">
      <c r="H247" s="44"/>
      <c r="I247" s="45"/>
    </row>
    <row r="248" ht="12.75" customHeight="1">
      <c r="H248" s="44"/>
      <c r="I248" s="45"/>
    </row>
    <row r="249" ht="12.75" customHeight="1">
      <c r="H249" s="44"/>
      <c r="I249" s="45"/>
    </row>
    <row r="250" ht="12.75" customHeight="1">
      <c r="H250" s="44"/>
      <c r="I250" s="45"/>
    </row>
    <row r="251" ht="12.75" customHeight="1">
      <c r="H251" s="44"/>
      <c r="I251" s="45"/>
    </row>
    <row r="252" ht="12.75" customHeight="1">
      <c r="H252" s="44"/>
      <c r="I252" s="45"/>
    </row>
    <row r="253" ht="12.75" customHeight="1">
      <c r="H253" s="44"/>
      <c r="I253" s="45"/>
    </row>
    <row r="254" ht="12.75" customHeight="1">
      <c r="H254" s="44"/>
      <c r="I254" s="45"/>
    </row>
    <row r="255" ht="12.75" customHeight="1">
      <c r="H255" s="44"/>
      <c r="I255" s="45"/>
    </row>
    <row r="256" ht="12.75" customHeight="1">
      <c r="H256" s="44"/>
      <c r="I256" s="45"/>
    </row>
    <row r="257" ht="12.75" customHeight="1">
      <c r="H257" s="44"/>
      <c r="I257" s="45"/>
    </row>
    <row r="258" ht="12.75" customHeight="1">
      <c r="H258" s="44"/>
      <c r="I258" s="45"/>
    </row>
    <row r="259" ht="12.75" customHeight="1">
      <c r="H259" s="44"/>
      <c r="I259" s="45"/>
    </row>
    <row r="260" ht="12.75" customHeight="1">
      <c r="H260" s="44"/>
      <c r="I260" s="45"/>
    </row>
    <row r="261" ht="12.75" customHeight="1">
      <c r="H261" s="44"/>
      <c r="I261" s="45"/>
    </row>
    <row r="262" ht="12.75" customHeight="1">
      <c r="H262" s="44"/>
      <c r="I262" s="45"/>
    </row>
    <row r="263" ht="12.75" customHeight="1">
      <c r="H263" s="44"/>
      <c r="I263" s="45"/>
    </row>
    <row r="264" ht="12.75" customHeight="1">
      <c r="H264" s="44"/>
      <c r="I264" s="45"/>
    </row>
    <row r="265" ht="12.75" customHeight="1">
      <c r="H265" s="44"/>
      <c r="I265" s="45"/>
    </row>
    <row r="266" ht="12.75" customHeight="1">
      <c r="H266" s="44"/>
      <c r="I266" s="45"/>
    </row>
    <row r="267" ht="12.75" customHeight="1">
      <c r="H267" s="44"/>
      <c r="I267" s="45"/>
    </row>
    <row r="268" ht="12.75" customHeight="1">
      <c r="H268" s="44"/>
      <c r="I268" s="45"/>
    </row>
    <row r="269" ht="12.75" customHeight="1">
      <c r="H269" s="44"/>
      <c r="I269" s="45"/>
    </row>
    <row r="270" ht="12.75" customHeight="1">
      <c r="H270" s="44"/>
      <c r="I270" s="45"/>
    </row>
    <row r="271" ht="12.75" customHeight="1">
      <c r="H271" s="44"/>
      <c r="I271" s="45"/>
    </row>
    <row r="272" ht="12.75" customHeight="1">
      <c r="H272" s="44"/>
      <c r="I272" s="45"/>
    </row>
    <row r="273" ht="12.75" customHeight="1">
      <c r="H273" s="44"/>
      <c r="I273" s="45"/>
    </row>
    <row r="274" ht="12.75" customHeight="1">
      <c r="H274" s="44"/>
      <c r="I274" s="45"/>
    </row>
    <row r="275" ht="12.75" customHeight="1">
      <c r="H275" s="44"/>
      <c r="I275" s="45"/>
    </row>
    <row r="276" ht="12.75" customHeight="1">
      <c r="H276" s="44"/>
      <c r="I276" s="45"/>
    </row>
    <row r="277" ht="12.75" customHeight="1">
      <c r="H277" s="44"/>
      <c r="I277" s="45"/>
    </row>
    <row r="278" ht="12.75" customHeight="1">
      <c r="H278" s="44"/>
      <c r="I278" s="45"/>
    </row>
    <row r="279" ht="12.75" customHeight="1">
      <c r="H279" s="44"/>
      <c r="I279" s="45"/>
    </row>
    <row r="280" ht="12.75" customHeight="1">
      <c r="H280" s="44"/>
      <c r="I280" s="45"/>
    </row>
    <row r="281" ht="12.75" customHeight="1">
      <c r="H281" s="44"/>
      <c r="I281" s="45"/>
    </row>
    <row r="282" ht="12.75" customHeight="1">
      <c r="H282" s="44"/>
      <c r="I282" s="45"/>
    </row>
    <row r="283" ht="12.75" customHeight="1">
      <c r="H283" s="44"/>
      <c r="I283" s="45"/>
    </row>
    <row r="284" ht="12.75" customHeight="1">
      <c r="H284" s="44"/>
      <c r="I284" s="45"/>
    </row>
    <row r="285" ht="12.75" customHeight="1">
      <c r="H285" s="44"/>
      <c r="I285" s="45"/>
    </row>
    <row r="286" ht="12.75" customHeight="1">
      <c r="H286" s="44"/>
      <c r="I286" s="45"/>
    </row>
    <row r="287" ht="12.75" customHeight="1">
      <c r="H287" s="44"/>
      <c r="I287" s="45"/>
    </row>
    <row r="288" ht="12.75" customHeight="1">
      <c r="H288" s="44"/>
      <c r="I288" s="45"/>
    </row>
    <row r="289" ht="12.75" customHeight="1">
      <c r="H289" s="44"/>
      <c r="I289" s="45"/>
    </row>
    <row r="290" ht="12.75" customHeight="1">
      <c r="H290" s="44"/>
      <c r="I290" s="45"/>
    </row>
    <row r="291" ht="12.75" customHeight="1">
      <c r="H291" s="44"/>
      <c r="I291" s="45"/>
    </row>
    <row r="292" ht="12.75" customHeight="1">
      <c r="H292" s="44"/>
      <c r="I292" s="45"/>
    </row>
    <row r="293" ht="12.75" customHeight="1">
      <c r="H293" s="44"/>
      <c r="I293" s="45"/>
    </row>
    <row r="294" ht="12.75" customHeight="1">
      <c r="H294" s="44"/>
      <c r="I294" s="45"/>
    </row>
    <row r="295" ht="12.75" customHeight="1">
      <c r="H295" s="44"/>
      <c r="I295" s="45"/>
    </row>
    <row r="296" ht="12.75" customHeight="1">
      <c r="H296" s="44"/>
      <c r="I296" s="45"/>
    </row>
    <row r="297" ht="12.75" customHeight="1">
      <c r="H297" s="44"/>
      <c r="I297" s="45"/>
    </row>
    <row r="298" ht="12.75" customHeight="1">
      <c r="H298" s="44"/>
      <c r="I298" s="45"/>
    </row>
    <row r="299" ht="12.75" customHeight="1">
      <c r="H299" s="44"/>
      <c r="I299" s="45"/>
    </row>
    <row r="300" ht="12.75" customHeight="1">
      <c r="H300" s="44"/>
      <c r="I300" s="45"/>
    </row>
    <row r="301" ht="12.75" customHeight="1">
      <c r="H301" s="44"/>
      <c r="I301" s="45"/>
    </row>
    <row r="302" ht="12.75" customHeight="1">
      <c r="H302" s="44"/>
      <c r="I302" s="45"/>
    </row>
    <row r="303" ht="12.75" customHeight="1">
      <c r="H303" s="44"/>
      <c r="I303" s="45"/>
    </row>
    <row r="304" ht="12.75" customHeight="1">
      <c r="H304" s="44"/>
      <c r="I304" s="45"/>
    </row>
    <row r="305" ht="12.75" customHeight="1">
      <c r="H305" s="44"/>
      <c r="I305" s="45"/>
    </row>
    <row r="306" ht="12.75" customHeight="1">
      <c r="H306" s="44"/>
      <c r="I306" s="45"/>
    </row>
    <row r="307" ht="12.75" customHeight="1">
      <c r="H307" s="44"/>
      <c r="I307" s="45"/>
    </row>
    <row r="308" ht="12.75" customHeight="1">
      <c r="H308" s="44"/>
      <c r="I308" s="45"/>
    </row>
    <row r="309" ht="12.75" customHeight="1">
      <c r="H309" s="44"/>
      <c r="I309" s="45"/>
    </row>
    <row r="310" ht="12.75" customHeight="1">
      <c r="H310" s="44"/>
      <c r="I310" s="45"/>
    </row>
    <row r="311" ht="12.75" customHeight="1">
      <c r="H311" s="44"/>
      <c r="I311" s="45"/>
    </row>
    <row r="312" ht="12.75" customHeight="1">
      <c r="H312" s="44"/>
      <c r="I312" s="45"/>
    </row>
    <row r="313" ht="12.75" customHeight="1">
      <c r="H313" s="44"/>
      <c r="I313" s="45"/>
    </row>
    <row r="314" ht="12.75" customHeight="1">
      <c r="H314" s="44"/>
      <c r="I314" s="45"/>
    </row>
    <row r="315" ht="12.75" customHeight="1">
      <c r="H315" s="44"/>
      <c r="I315" s="45"/>
    </row>
    <row r="316" ht="12.75" customHeight="1">
      <c r="H316" s="44"/>
      <c r="I316" s="45"/>
    </row>
    <row r="317" ht="12.75" customHeight="1">
      <c r="H317" s="44"/>
      <c r="I317" s="45"/>
    </row>
    <row r="318" ht="12.75" customHeight="1">
      <c r="H318" s="44"/>
      <c r="I318" s="45"/>
    </row>
    <row r="319" ht="12.75" customHeight="1">
      <c r="H319" s="44"/>
      <c r="I319" s="45"/>
    </row>
    <row r="320" ht="12.75" customHeight="1">
      <c r="H320" s="44"/>
      <c r="I320" s="45"/>
    </row>
    <row r="321" ht="12.75" customHeight="1">
      <c r="H321" s="44"/>
      <c r="I321" s="45"/>
    </row>
    <row r="322" ht="12.75" customHeight="1">
      <c r="H322" s="44"/>
      <c r="I322" s="45"/>
    </row>
    <row r="323" ht="12.75" customHeight="1">
      <c r="H323" s="44"/>
      <c r="I323" s="45"/>
    </row>
    <row r="324" ht="12.75" customHeight="1">
      <c r="H324" s="44"/>
      <c r="I324" s="45"/>
    </row>
    <row r="325" ht="12.75" customHeight="1">
      <c r="H325" s="44"/>
      <c r="I325" s="45"/>
    </row>
    <row r="326" ht="12.75" customHeight="1">
      <c r="H326" s="44"/>
      <c r="I326" s="45"/>
    </row>
    <row r="327" ht="12.75" customHeight="1">
      <c r="H327" s="44"/>
      <c r="I327" s="45"/>
    </row>
    <row r="328" ht="12.75" customHeight="1">
      <c r="H328" s="44"/>
      <c r="I328" s="45"/>
    </row>
    <row r="329" ht="12.75" customHeight="1">
      <c r="H329" s="44"/>
      <c r="I329" s="45"/>
    </row>
    <row r="330" ht="12.75" customHeight="1">
      <c r="H330" s="44"/>
      <c r="I330" s="45"/>
    </row>
    <row r="331" ht="12.75" customHeight="1">
      <c r="H331" s="44"/>
      <c r="I331" s="45"/>
    </row>
    <row r="332" ht="12.75" customHeight="1">
      <c r="H332" s="44"/>
      <c r="I332" s="45"/>
    </row>
    <row r="333" ht="12.75" customHeight="1">
      <c r="H333" s="44"/>
      <c r="I333" s="45"/>
    </row>
    <row r="334" ht="12.75" customHeight="1">
      <c r="H334" s="44"/>
      <c r="I334" s="45"/>
    </row>
    <row r="335" ht="12.75" customHeight="1">
      <c r="H335" s="44"/>
      <c r="I335" s="45"/>
    </row>
    <row r="336" ht="12.75" customHeight="1">
      <c r="H336" s="44"/>
      <c r="I336" s="45"/>
    </row>
    <row r="337" ht="12.75" customHeight="1">
      <c r="H337" s="44"/>
      <c r="I337" s="45"/>
    </row>
    <row r="338" ht="12.75" customHeight="1">
      <c r="H338" s="44"/>
      <c r="I338" s="45"/>
    </row>
    <row r="339" ht="12.75" customHeight="1">
      <c r="H339" s="44"/>
      <c r="I339" s="45"/>
    </row>
    <row r="340" ht="12.75" customHeight="1">
      <c r="H340" s="44"/>
      <c r="I340" s="45"/>
    </row>
    <row r="341" ht="12.75" customHeight="1">
      <c r="H341" s="44"/>
      <c r="I341" s="45"/>
    </row>
    <row r="342" ht="12.75" customHeight="1">
      <c r="H342" s="44"/>
      <c r="I342" s="45"/>
    </row>
    <row r="343" ht="12.75" customHeight="1">
      <c r="H343" s="44"/>
      <c r="I343" s="45"/>
    </row>
    <row r="344" ht="12.75" customHeight="1">
      <c r="H344" s="44"/>
      <c r="I344" s="45"/>
    </row>
    <row r="345" ht="12.75" customHeight="1">
      <c r="H345" s="44"/>
      <c r="I345" s="45"/>
    </row>
    <row r="346" ht="12.75" customHeight="1">
      <c r="H346" s="44"/>
      <c r="I346" s="45"/>
    </row>
    <row r="347" ht="12.75" customHeight="1">
      <c r="H347" s="44"/>
      <c r="I347" s="45"/>
    </row>
    <row r="348" ht="12.75" customHeight="1">
      <c r="H348" s="44"/>
      <c r="I348" s="45"/>
    </row>
    <row r="349" ht="12.75" customHeight="1">
      <c r="H349" s="44"/>
      <c r="I349" s="45"/>
    </row>
    <row r="350" ht="12.75" customHeight="1">
      <c r="H350" s="44"/>
      <c r="I350" s="45"/>
    </row>
    <row r="351" ht="12.75" customHeight="1">
      <c r="H351" s="44"/>
      <c r="I351" s="45"/>
    </row>
    <row r="352" ht="12.75" customHeight="1">
      <c r="H352" s="44"/>
      <c r="I352" s="45"/>
    </row>
    <row r="353" ht="12.75" customHeight="1">
      <c r="H353" s="44"/>
      <c r="I353" s="45"/>
    </row>
    <row r="354" ht="12.75" customHeight="1">
      <c r="H354" s="44"/>
      <c r="I354" s="45"/>
    </row>
    <row r="355" ht="12.75" customHeight="1">
      <c r="H355" s="44"/>
      <c r="I355" s="45"/>
    </row>
    <row r="356" ht="12.75" customHeight="1">
      <c r="H356" s="44"/>
      <c r="I356" s="45"/>
    </row>
    <row r="357" ht="12.75" customHeight="1">
      <c r="H357" s="44"/>
      <c r="I357" s="45"/>
    </row>
    <row r="358" ht="12.75" customHeight="1">
      <c r="H358" s="44"/>
      <c r="I358" s="45"/>
    </row>
    <row r="359" ht="12.75" customHeight="1">
      <c r="H359" s="44"/>
      <c r="I359" s="45"/>
    </row>
    <row r="360" ht="12.75" customHeight="1">
      <c r="H360" s="44"/>
      <c r="I360" s="45"/>
    </row>
    <row r="361" ht="12.75" customHeight="1">
      <c r="H361" s="44"/>
      <c r="I361" s="45"/>
    </row>
    <row r="362" ht="12.75" customHeight="1">
      <c r="H362" s="44"/>
      <c r="I362" s="45"/>
    </row>
    <row r="363" ht="12.75" customHeight="1">
      <c r="H363" s="44"/>
      <c r="I363" s="45"/>
    </row>
    <row r="364" ht="12.75" customHeight="1">
      <c r="H364" s="44"/>
      <c r="I364" s="45"/>
    </row>
    <row r="365" ht="12.75" customHeight="1">
      <c r="H365" s="44"/>
      <c r="I365" s="45"/>
    </row>
    <row r="366" ht="12.75" customHeight="1">
      <c r="H366" s="44"/>
      <c r="I366" s="45"/>
    </row>
    <row r="367" ht="12.75" customHeight="1">
      <c r="H367" s="44"/>
      <c r="I367" s="45"/>
    </row>
    <row r="368" ht="12.75" customHeight="1">
      <c r="H368" s="44"/>
      <c r="I368" s="45"/>
    </row>
    <row r="369" ht="12.75" customHeight="1">
      <c r="H369" s="44"/>
      <c r="I369" s="45"/>
    </row>
    <row r="370" ht="12.75" customHeight="1">
      <c r="H370" s="44"/>
      <c r="I370" s="45"/>
    </row>
    <row r="371" ht="12.75" customHeight="1">
      <c r="H371" s="44"/>
      <c r="I371" s="45"/>
    </row>
    <row r="372" ht="12.75" customHeight="1">
      <c r="H372" s="44"/>
      <c r="I372" s="45"/>
    </row>
    <row r="373" ht="12.75" customHeight="1">
      <c r="H373" s="44"/>
      <c r="I373" s="45"/>
    </row>
    <row r="374" ht="12.75" customHeight="1">
      <c r="H374" s="44"/>
      <c r="I374" s="45"/>
    </row>
    <row r="375" ht="12.75" customHeight="1">
      <c r="H375" s="44"/>
      <c r="I375" s="45"/>
    </row>
    <row r="376" ht="12.75" customHeight="1">
      <c r="H376" s="44"/>
      <c r="I376" s="45"/>
    </row>
    <row r="377" ht="12.75" customHeight="1">
      <c r="H377" s="44"/>
      <c r="I377" s="45"/>
    </row>
    <row r="378" ht="12.75" customHeight="1">
      <c r="H378" s="44"/>
      <c r="I378" s="45"/>
    </row>
    <row r="379" ht="12.75" customHeight="1">
      <c r="H379" s="44"/>
      <c r="I379" s="45"/>
    </row>
    <row r="380" ht="12.75" customHeight="1">
      <c r="H380" s="44"/>
      <c r="I380" s="45"/>
    </row>
    <row r="381" ht="12.75" customHeight="1">
      <c r="H381" s="44"/>
      <c r="I381" s="45"/>
    </row>
    <row r="382" ht="12.75" customHeight="1">
      <c r="H382" s="44"/>
      <c r="I382" s="45"/>
    </row>
    <row r="383" ht="12.75" customHeight="1">
      <c r="H383" s="44"/>
      <c r="I383" s="45"/>
    </row>
    <row r="384" ht="12.75" customHeight="1">
      <c r="H384" s="44"/>
      <c r="I384" s="45"/>
    </row>
    <row r="385" ht="12.75" customHeight="1">
      <c r="H385" s="44"/>
      <c r="I385" s="45"/>
    </row>
    <row r="386" ht="12.75" customHeight="1">
      <c r="H386" s="44"/>
      <c r="I386" s="45"/>
    </row>
    <row r="387" ht="12.75" customHeight="1">
      <c r="H387" s="44"/>
      <c r="I387" s="45"/>
    </row>
    <row r="388" ht="12.75" customHeight="1">
      <c r="H388" s="44"/>
      <c r="I388" s="45"/>
    </row>
    <row r="389" ht="12.75" customHeight="1">
      <c r="H389" s="44"/>
      <c r="I389" s="45"/>
    </row>
    <row r="390" ht="12.75" customHeight="1">
      <c r="H390" s="44"/>
      <c r="I390" s="45"/>
    </row>
    <row r="391" ht="12.75" customHeight="1">
      <c r="H391" s="44"/>
      <c r="I391" s="45"/>
    </row>
    <row r="392" ht="12.75" customHeight="1">
      <c r="H392" s="44"/>
      <c r="I392" s="45"/>
    </row>
    <row r="393" ht="12.75" customHeight="1">
      <c r="H393" s="44"/>
      <c r="I393" s="45"/>
    </row>
    <row r="394" ht="12.75" customHeight="1">
      <c r="H394" s="44"/>
      <c r="I394" s="45"/>
    </row>
    <row r="395" ht="12.75" customHeight="1">
      <c r="H395" s="44"/>
      <c r="I395" s="45"/>
    </row>
    <row r="396" ht="12.75" customHeight="1">
      <c r="H396" s="44"/>
      <c r="I396" s="45"/>
    </row>
    <row r="397" ht="12.75" customHeight="1">
      <c r="H397" s="44"/>
      <c r="I397" s="45"/>
    </row>
    <row r="398" ht="12.75" customHeight="1">
      <c r="H398" s="44"/>
      <c r="I398" s="45"/>
    </row>
    <row r="399" ht="12.75" customHeight="1">
      <c r="H399" s="44"/>
      <c r="I399" s="45"/>
    </row>
    <row r="400" ht="12.75" customHeight="1">
      <c r="H400" s="44"/>
      <c r="I400" s="45"/>
    </row>
    <row r="401" ht="12.75" customHeight="1">
      <c r="H401" s="44"/>
      <c r="I401" s="45"/>
    </row>
    <row r="402" ht="12.75" customHeight="1">
      <c r="H402" s="44"/>
      <c r="I402" s="45"/>
    </row>
    <row r="403" ht="12.75" customHeight="1">
      <c r="H403" s="44"/>
      <c r="I403" s="45"/>
    </row>
    <row r="404" ht="12.75" customHeight="1">
      <c r="H404" s="44"/>
      <c r="I404" s="45"/>
    </row>
    <row r="405" ht="12.75" customHeight="1">
      <c r="H405" s="44"/>
      <c r="I405" s="45"/>
    </row>
    <row r="406" ht="12.75" customHeight="1">
      <c r="H406" s="44"/>
      <c r="I406" s="45"/>
    </row>
    <row r="407" ht="12.75" customHeight="1">
      <c r="H407" s="44"/>
      <c r="I407" s="45"/>
    </row>
    <row r="408" ht="12.75" customHeight="1">
      <c r="H408" s="44"/>
      <c r="I408" s="45"/>
    </row>
    <row r="409" ht="12.75" customHeight="1">
      <c r="H409" s="44"/>
      <c r="I409" s="45"/>
    </row>
    <row r="410" ht="12.75" customHeight="1">
      <c r="H410" s="44"/>
      <c r="I410" s="45"/>
    </row>
    <row r="411" ht="12.75" customHeight="1">
      <c r="H411" s="44"/>
      <c r="I411" s="45"/>
    </row>
    <row r="412" ht="12.75" customHeight="1">
      <c r="H412" s="44"/>
      <c r="I412" s="45"/>
    </row>
    <row r="413" ht="12.75" customHeight="1">
      <c r="H413" s="44"/>
      <c r="I413" s="45"/>
    </row>
    <row r="414" ht="12.75" customHeight="1">
      <c r="H414" s="44"/>
      <c r="I414" s="45"/>
    </row>
    <row r="415" ht="12.75" customHeight="1">
      <c r="H415" s="44"/>
      <c r="I415" s="45"/>
    </row>
    <row r="416" ht="12.75" customHeight="1">
      <c r="H416" s="44"/>
      <c r="I416" s="45"/>
    </row>
    <row r="417" ht="12.75" customHeight="1">
      <c r="H417" s="44"/>
      <c r="I417" s="45"/>
    </row>
    <row r="418" ht="12.75" customHeight="1">
      <c r="H418" s="44"/>
      <c r="I418" s="45"/>
    </row>
    <row r="419" ht="12.75" customHeight="1">
      <c r="H419" s="44"/>
      <c r="I419" s="45"/>
    </row>
    <row r="420" ht="12.75" customHeight="1">
      <c r="H420" s="44"/>
      <c r="I420" s="45"/>
    </row>
    <row r="421" ht="12.75" customHeight="1">
      <c r="H421" s="44"/>
      <c r="I421" s="45"/>
    </row>
    <row r="422" ht="12.75" customHeight="1">
      <c r="H422" s="44"/>
      <c r="I422" s="45"/>
    </row>
    <row r="423" ht="12.75" customHeight="1">
      <c r="H423" s="44"/>
      <c r="I423" s="45"/>
    </row>
    <row r="424" ht="12.75" customHeight="1">
      <c r="H424" s="44"/>
      <c r="I424" s="45"/>
    </row>
    <row r="425" ht="12.75" customHeight="1">
      <c r="H425" s="44"/>
      <c r="I425" s="45"/>
    </row>
    <row r="426" ht="12.75" customHeight="1">
      <c r="H426" s="44"/>
      <c r="I426" s="45"/>
    </row>
    <row r="427" ht="12.75" customHeight="1">
      <c r="H427" s="44"/>
      <c r="I427" s="45"/>
    </row>
    <row r="428" ht="12.75" customHeight="1">
      <c r="H428" s="44"/>
      <c r="I428" s="45"/>
    </row>
    <row r="429" ht="12.75" customHeight="1">
      <c r="H429" s="44"/>
      <c r="I429" s="45"/>
    </row>
    <row r="430" ht="12.75" customHeight="1">
      <c r="H430" s="44"/>
      <c r="I430" s="45"/>
    </row>
    <row r="431" ht="12.75" customHeight="1">
      <c r="H431" s="44"/>
      <c r="I431" s="45"/>
    </row>
    <row r="432" ht="12.75" customHeight="1">
      <c r="H432" s="44"/>
      <c r="I432" s="45"/>
    </row>
    <row r="433" ht="12.75" customHeight="1">
      <c r="H433" s="44"/>
      <c r="I433" s="45"/>
    </row>
    <row r="434" ht="12.75" customHeight="1">
      <c r="H434" s="44"/>
      <c r="I434" s="45"/>
    </row>
    <row r="435" ht="12.75" customHeight="1">
      <c r="H435" s="44"/>
      <c r="I435" s="45"/>
    </row>
    <row r="436" ht="12.75" customHeight="1">
      <c r="H436" s="44"/>
      <c r="I436" s="45"/>
    </row>
    <row r="437" ht="12.75" customHeight="1">
      <c r="H437" s="44"/>
      <c r="I437" s="45"/>
    </row>
    <row r="438" ht="12.75" customHeight="1">
      <c r="H438" s="44"/>
      <c r="I438" s="45"/>
    </row>
    <row r="439" ht="12.75" customHeight="1">
      <c r="H439" s="44"/>
      <c r="I439" s="45"/>
    </row>
    <row r="440" ht="12.75" customHeight="1">
      <c r="H440" s="44"/>
      <c r="I440" s="45"/>
    </row>
    <row r="441" ht="12.75" customHeight="1">
      <c r="H441" s="44"/>
      <c r="I441" s="45"/>
    </row>
    <row r="442" ht="12.75" customHeight="1">
      <c r="H442" s="44"/>
      <c r="I442" s="45"/>
    </row>
    <row r="443" ht="12.75" customHeight="1">
      <c r="H443" s="44"/>
      <c r="I443" s="45"/>
    </row>
    <row r="444" ht="12.75" customHeight="1">
      <c r="H444" s="44"/>
      <c r="I444" s="45"/>
    </row>
    <row r="445" ht="12.75" customHeight="1">
      <c r="H445" s="44"/>
      <c r="I445" s="45"/>
    </row>
    <row r="446" ht="12.75" customHeight="1">
      <c r="H446" s="44"/>
      <c r="I446" s="45"/>
    </row>
    <row r="447" ht="12.75" customHeight="1">
      <c r="H447" s="44"/>
      <c r="I447" s="45"/>
    </row>
    <row r="448" ht="12.75" customHeight="1">
      <c r="H448" s="44"/>
      <c r="I448" s="45"/>
    </row>
    <row r="449" ht="12.75" customHeight="1">
      <c r="H449" s="44"/>
      <c r="I449" s="45"/>
    </row>
    <row r="450" ht="12.75" customHeight="1">
      <c r="H450" s="44"/>
      <c r="I450" s="45"/>
    </row>
    <row r="451" ht="12.75" customHeight="1">
      <c r="H451" s="44"/>
      <c r="I451" s="45"/>
    </row>
    <row r="452" ht="12.75" customHeight="1">
      <c r="H452" s="44"/>
      <c r="I452" s="45"/>
    </row>
    <row r="453" ht="12.75" customHeight="1">
      <c r="H453" s="44"/>
      <c r="I453" s="45"/>
    </row>
    <row r="454" ht="12.75" customHeight="1">
      <c r="H454" s="44"/>
      <c r="I454" s="45"/>
    </row>
    <row r="455" ht="12.75" customHeight="1">
      <c r="H455" s="44"/>
      <c r="I455" s="45"/>
    </row>
    <row r="456" ht="12.75" customHeight="1">
      <c r="H456" s="44"/>
      <c r="I456" s="45"/>
    </row>
    <row r="457" ht="12.75" customHeight="1">
      <c r="H457" s="44"/>
      <c r="I457" s="45"/>
    </row>
    <row r="458" ht="12.75" customHeight="1">
      <c r="H458" s="44"/>
      <c r="I458" s="45"/>
    </row>
    <row r="459" ht="12.75" customHeight="1">
      <c r="H459" s="44"/>
      <c r="I459" s="45"/>
    </row>
    <row r="460" ht="12.75" customHeight="1">
      <c r="H460" s="44"/>
      <c r="I460" s="45"/>
    </row>
    <row r="461" ht="12.75" customHeight="1">
      <c r="H461" s="44"/>
      <c r="I461" s="45"/>
    </row>
    <row r="462" ht="12.75" customHeight="1">
      <c r="H462" s="44"/>
      <c r="I462" s="45"/>
    </row>
    <row r="463" ht="12.75" customHeight="1">
      <c r="H463" s="44"/>
      <c r="I463" s="45"/>
    </row>
    <row r="464" ht="12.75" customHeight="1">
      <c r="H464" s="44"/>
      <c r="I464" s="45"/>
    </row>
    <row r="465" ht="12.75" customHeight="1">
      <c r="H465" s="44"/>
      <c r="I465" s="45"/>
    </row>
    <row r="466" ht="12.75" customHeight="1">
      <c r="H466" s="44"/>
      <c r="I466" s="45"/>
    </row>
    <row r="467" ht="12.75" customHeight="1">
      <c r="H467" s="44"/>
      <c r="I467" s="45"/>
    </row>
    <row r="468" ht="12.75" customHeight="1">
      <c r="H468" s="44"/>
      <c r="I468" s="45"/>
    </row>
    <row r="469" ht="12.75" customHeight="1">
      <c r="H469" s="44"/>
      <c r="I469" s="45"/>
    </row>
    <row r="470" ht="12.75" customHeight="1">
      <c r="H470" s="44"/>
      <c r="I470" s="45"/>
    </row>
    <row r="471" ht="12.75" customHeight="1">
      <c r="H471" s="44"/>
      <c r="I471" s="45"/>
    </row>
    <row r="472" ht="12.75" customHeight="1">
      <c r="H472" s="44"/>
      <c r="I472" s="45"/>
    </row>
    <row r="473" ht="12.75" customHeight="1">
      <c r="H473" s="44"/>
      <c r="I473" s="45"/>
    </row>
    <row r="474" ht="12.75" customHeight="1">
      <c r="H474" s="44"/>
      <c r="I474" s="45"/>
    </row>
    <row r="475" ht="12.75" customHeight="1">
      <c r="H475" s="44"/>
      <c r="I475" s="45"/>
    </row>
    <row r="476" ht="12.75" customHeight="1">
      <c r="H476" s="44"/>
      <c r="I476" s="45"/>
    </row>
    <row r="477" ht="12.75" customHeight="1">
      <c r="H477" s="44"/>
      <c r="I477" s="45"/>
    </row>
    <row r="478" ht="12.75" customHeight="1">
      <c r="H478" s="44"/>
      <c r="I478" s="45"/>
    </row>
    <row r="479" ht="12.75" customHeight="1">
      <c r="H479" s="44"/>
      <c r="I479" s="45"/>
    </row>
    <row r="480" ht="12.75" customHeight="1">
      <c r="H480" s="44"/>
      <c r="I480" s="45"/>
    </row>
    <row r="481" ht="12.75" customHeight="1">
      <c r="H481" s="44"/>
      <c r="I481" s="45"/>
    </row>
    <row r="482" ht="12.75" customHeight="1">
      <c r="H482" s="44"/>
      <c r="I482" s="45"/>
    </row>
    <row r="483" ht="12.75" customHeight="1">
      <c r="H483" s="44"/>
      <c r="I483" s="45"/>
    </row>
    <row r="484" ht="12.75" customHeight="1">
      <c r="H484" s="44"/>
      <c r="I484" s="45"/>
    </row>
    <row r="485" ht="12.75" customHeight="1">
      <c r="H485" s="44"/>
      <c r="I485" s="45"/>
    </row>
    <row r="486" ht="12.75" customHeight="1">
      <c r="H486" s="44"/>
      <c r="I486" s="45"/>
    </row>
    <row r="487" ht="12.75" customHeight="1">
      <c r="H487" s="44"/>
      <c r="I487" s="45"/>
    </row>
    <row r="488" ht="12.75" customHeight="1">
      <c r="H488" s="44"/>
      <c r="I488" s="45"/>
    </row>
    <row r="489" ht="12.75" customHeight="1">
      <c r="H489" s="44"/>
      <c r="I489" s="45"/>
    </row>
    <row r="490" ht="12.75" customHeight="1">
      <c r="H490" s="44"/>
      <c r="I490" s="45"/>
    </row>
    <row r="491" ht="12.75" customHeight="1">
      <c r="H491" s="44"/>
      <c r="I491" s="45"/>
    </row>
    <row r="492" ht="12.75" customHeight="1">
      <c r="H492" s="44"/>
      <c r="I492" s="45"/>
    </row>
    <row r="493" ht="12.75" customHeight="1">
      <c r="H493" s="44"/>
      <c r="I493" s="45"/>
    </row>
    <row r="494" ht="12.75" customHeight="1">
      <c r="H494" s="44"/>
      <c r="I494" s="45"/>
    </row>
    <row r="495" ht="12.75" customHeight="1">
      <c r="H495" s="44"/>
      <c r="I495" s="45"/>
    </row>
    <row r="496" ht="12.75" customHeight="1">
      <c r="H496" s="44"/>
      <c r="I496" s="45"/>
    </row>
    <row r="497" ht="12.75" customHeight="1">
      <c r="H497" s="44"/>
      <c r="I497" s="45"/>
    </row>
    <row r="498" ht="12.75" customHeight="1">
      <c r="H498" s="44"/>
      <c r="I498" s="45"/>
    </row>
    <row r="499" ht="12.75" customHeight="1">
      <c r="H499" s="44"/>
      <c r="I499" s="45"/>
    </row>
    <row r="500" ht="12.75" customHeight="1">
      <c r="H500" s="44"/>
      <c r="I500" s="45"/>
    </row>
    <row r="501" ht="12.75" customHeight="1">
      <c r="H501" s="44"/>
      <c r="I501" s="45"/>
    </row>
    <row r="502" ht="12.75" customHeight="1">
      <c r="H502" s="44"/>
      <c r="I502" s="45"/>
    </row>
    <row r="503" ht="12.75" customHeight="1">
      <c r="H503" s="44"/>
      <c r="I503" s="45"/>
    </row>
    <row r="504" ht="12.75" customHeight="1">
      <c r="H504" s="44"/>
      <c r="I504" s="45"/>
    </row>
    <row r="505" ht="12.75" customHeight="1">
      <c r="H505" s="44"/>
      <c r="I505" s="45"/>
    </row>
    <row r="506" ht="12.75" customHeight="1">
      <c r="H506" s="44"/>
      <c r="I506" s="45"/>
    </row>
    <row r="507" ht="12.75" customHeight="1">
      <c r="H507" s="44"/>
      <c r="I507" s="45"/>
    </row>
    <row r="508" ht="12.75" customHeight="1">
      <c r="H508" s="44"/>
      <c r="I508" s="45"/>
    </row>
    <row r="509" ht="12.75" customHeight="1">
      <c r="H509" s="44"/>
      <c r="I509" s="45"/>
    </row>
    <row r="510" ht="12.75" customHeight="1">
      <c r="H510" s="44"/>
      <c r="I510" s="45"/>
    </row>
    <row r="511" ht="12.75" customHeight="1">
      <c r="H511" s="44"/>
      <c r="I511" s="45"/>
    </row>
    <row r="512" ht="12.75" customHeight="1">
      <c r="H512" s="44"/>
      <c r="I512" s="45"/>
    </row>
    <row r="513" ht="12.75" customHeight="1">
      <c r="H513" s="44"/>
      <c r="I513" s="45"/>
    </row>
    <row r="514" ht="12.75" customHeight="1">
      <c r="H514" s="44"/>
      <c r="I514" s="45"/>
    </row>
    <row r="515" ht="12.75" customHeight="1">
      <c r="H515" s="44"/>
      <c r="I515" s="45"/>
    </row>
    <row r="516" ht="12.75" customHeight="1">
      <c r="H516" s="44"/>
      <c r="I516" s="45"/>
    </row>
    <row r="517" ht="12.75" customHeight="1">
      <c r="H517" s="44"/>
      <c r="I517" s="45"/>
    </row>
    <row r="518" ht="12.75" customHeight="1">
      <c r="H518" s="44"/>
      <c r="I518" s="45"/>
    </row>
    <row r="519" ht="12.75" customHeight="1">
      <c r="H519" s="44"/>
      <c r="I519" s="45"/>
    </row>
    <row r="520" ht="12.75" customHeight="1">
      <c r="H520" s="44"/>
      <c r="I520" s="45"/>
    </row>
    <row r="521" ht="12.75" customHeight="1">
      <c r="H521" s="44"/>
      <c r="I521" s="45"/>
    </row>
    <row r="522" ht="12.75" customHeight="1">
      <c r="H522" s="44"/>
      <c r="I522" s="45"/>
    </row>
    <row r="523" ht="12.75" customHeight="1">
      <c r="H523" s="44"/>
      <c r="I523" s="45"/>
    </row>
    <row r="524" ht="12.75" customHeight="1">
      <c r="H524" s="44"/>
      <c r="I524" s="45"/>
    </row>
    <row r="525" ht="12.75" customHeight="1">
      <c r="H525" s="44"/>
      <c r="I525" s="45"/>
    </row>
    <row r="526" ht="12.75" customHeight="1">
      <c r="H526" s="44"/>
      <c r="I526" s="45"/>
    </row>
    <row r="527" ht="12.75" customHeight="1">
      <c r="H527" s="44"/>
      <c r="I527" s="45"/>
    </row>
    <row r="528" ht="12.75" customHeight="1">
      <c r="H528" s="44"/>
      <c r="I528" s="45"/>
    </row>
    <row r="529" ht="12.75" customHeight="1">
      <c r="H529" s="44"/>
      <c r="I529" s="45"/>
    </row>
    <row r="530" ht="12.75" customHeight="1">
      <c r="H530" s="44"/>
      <c r="I530" s="45"/>
    </row>
    <row r="531" ht="12.75" customHeight="1">
      <c r="H531" s="44"/>
      <c r="I531" s="45"/>
    </row>
    <row r="532" ht="12.75" customHeight="1">
      <c r="H532" s="44"/>
      <c r="I532" s="45"/>
    </row>
    <row r="533" ht="12.75" customHeight="1">
      <c r="H533" s="44"/>
      <c r="I533" s="45"/>
    </row>
    <row r="534" ht="12.75" customHeight="1">
      <c r="H534" s="44"/>
      <c r="I534" s="45"/>
    </row>
    <row r="535" ht="12.75" customHeight="1">
      <c r="H535" s="44"/>
      <c r="I535" s="45"/>
    </row>
    <row r="536" ht="12.75" customHeight="1">
      <c r="H536" s="44"/>
      <c r="I536" s="45"/>
    </row>
    <row r="537" ht="12.75" customHeight="1">
      <c r="H537" s="44"/>
      <c r="I537" s="45"/>
    </row>
    <row r="538" ht="12.75" customHeight="1">
      <c r="H538" s="44"/>
      <c r="I538" s="45"/>
    </row>
    <row r="539" ht="12.75" customHeight="1">
      <c r="H539" s="44"/>
      <c r="I539" s="45"/>
    </row>
    <row r="540" ht="12.75" customHeight="1">
      <c r="H540" s="44"/>
      <c r="I540" s="45"/>
    </row>
    <row r="541" ht="12.75" customHeight="1">
      <c r="H541" s="44"/>
      <c r="I541" s="45"/>
    </row>
    <row r="542" ht="12.75" customHeight="1">
      <c r="H542" s="44"/>
      <c r="I542" s="45"/>
    </row>
    <row r="543" ht="12.75" customHeight="1">
      <c r="H543" s="44"/>
      <c r="I543" s="45"/>
    </row>
    <row r="544" ht="12.75" customHeight="1">
      <c r="H544" s="44"/>
      <c r="I544" s="45"/>
    </row>
    <row r="545" ht="12.75" customHeight="1">
      <c r="H545" s="44"/>
      <c r="I545" s="45"/>
    </row>
    <row r="546" ht="12.75" customHeight="1">
      <c r="H546" s="44"/>
      <c r="I546" s="45"/>
    </row>
    <row r="547" ht="12.75" customHeight="1">
      <c r="H547" s="44"/>
      <c r="I547" s="45"/>
    </row>
    <row r="548" ht="12.75" customHeight="1">
      <c r="H548" s="44"/>
      <c r="I548" s="45"/>
    </row>
    <row r="549" ht="12.75" customHeight="1">
      <c r="H549" s="44"/>
      <c r="I549" s="45"/>
    </row>
    <row r="550" ht="12.75" customHeight="1">
      <c r="H550" s="44"/>
      <c r="I550" s="45"/>
    </row>
    <row r="551" ht="12.75" customHeight="1">
      <c r="H551" s="44"/>
      <c r="I551" s="45"/>
    </row>
    <row r="552" ht="12.75" customHeight="1">
      <c r="H552" s="44"/>
      <c r="I552" s="45"/>
    </row>
    <row r="553" ht="12.75" customHeight="1">
      <c r="H553" s="44"/>
      <c r="I553" s="45"/>
    </row>
    <row r="554" ht="12.75" customHeight="1">
      <c r="H554" s="44"/>
      <c r="I554" s="45"/>
    </row>
    <row r="555" ht="12.75" customHeight="1">
      <c r="H555" s="44"/>
      <c r="I555" s="45"/>
    </row>
    <row r="556" ht="12.75" customHeight="1">
      <c r="H556" s="44"/>
      <c r="I556" s="45"/>
    </row>
    <row r="557" ht="12.75" customHeight="1">
      <c r="H557" s="44"/>
      <c r="I557" s="45"/>
    </row>
    <row r="558" ht="12.75" customHeight="1">
      <c r="H558" s="44"/>
      <c r="I558" s="45"/>
    </row>
    <row r="559" ht="12.75" customHeight="1">
      <c r="H559" s="44"/>
      <c r="I559" s="45"/>
    </row>
    <row r="560" ht="12.75" customHeight="1">
      <c r="H560" s="44"/>
      <c r="I560" s="45"/>
    </row>
    <row r="561" ht="12.75" customHeight="1">
      <c r="H561" s="44"/>
      <c r="I561" s="45"/>
    </row>
    <row r="562" ht="12.75" customHeight="1">
      <c r="H562" s="44"/>
      <c r="I562" s="45"/>
    </row>
    <row r="563" ht="12.75" customHeight="1">
      <c r="H563" s="44"/>
      <c r="I563" s="45"/>
    </row>
    <row r="564" ht="12.75" customHeight="1">
      <c r="H564" s="44"/>
      <c r="I564" s="45"/>
    </row>
    <row r="565" ht="12.75" customHeight="1">
      <c r="H565" s="44"/>
      <c r="I565" s="45"/>
    </row>
    <row r="566" ht="12.75" customHeight="1">
      <c r="H566" s="44"/>
      <c r="I566" s="45"/>
    </row>
    <row r="567" ht="12.75" customHeight="1">
      <c r="H567" s="44"/>
      <c r="I567" s="45"/>
    </row>
    <row r="568" ht="12.75" customHeight="1">
      <c r="H568" s="44"/>
      <c r="I568" s="45"/>
    </row>
    <row r="569" ht="12.75" customHeight="1">
      <c r="H569" s="44"/>
      <c r="I569" s="45"/>
    </row>
    <row r="570" ht="12.75" customHeight="1">
      <c r="H570" s="44"/>
      <c r="I570" s="45"/>
    </row>
    <row r="571" ht="12.75" customHeight="1">
      <c r="H571" s="44"/>
      <c r="I571" s="45"/>
    </row>
    <row r="572" ht="12.75" customHeight="1">
      <c r="H572" s="44"/>
      <c r="I572" s="45"/>
    </row>
    <row r="573" ht="12.75" customHeight="1">
      <c r="H573" s="44"/>
      <c r="I573" s="45"/>
    </row>
    <row r="574" ht="12.75" customHeight="1">
      <c r="H574" s="44"/>
      <c r="I574" s="45"/>
    </row>
    <row r="575" ht="12.75" customHeight="1">
      <c r="H575" s="44"/>
      <c r="I575" s="45"/>
    </row>
    <row r="576" ht="12.75" customHeight="1">
      <c r="H576" s="44"/>
      <c r="I576" s="45"/>
    </row>
    <row r="577" ht="12.75" customHeight="1">
      <c r="H577" s="44"/>
      <c r="I577" s="45"/>
    </row>
    <row r="578" ht="12.75" customHeight="1">
      <c r="H578" s="44"/>
      <c r="I578" s="45"/>
    </row>
    <row r="579" ht="12.75" customHeight="1">
      <c r="H579" s="44"/>
      <c r="I579" s="45"/>
    </row>
    <row r="580" ht="12.75" customHeight="1">
      <c r="H580" s="44"/>
      <c r="I580" s="45"/>
    </row>
    <row r="581" ht="12.75" customHeight="1">
      <c r="H581" s="44"/>
      <c r="I581" s="45"/>
    </row>
    <row r="582" ht="12.75" customHeight="1">
      <c r="H582" s="44"/>
      <c r="I582" s="45"/>
    </row>
    <row r="583" ht="12.75" customHeight="1">
      <c r="H583" s="44"/>
      <c r="I583" s="45"/>
    </row>
    <row r="584" ht="12.75" customHeight="1">
      <c r="H584" s="44"/>
      <c r="I584" s="45"/>
    </row>
    <row r="585" ht="12.75" customHeight="1">
      <c r="H585" s="44"/>
      <c r="I585" s="45"/>
    </row>
    <row r="586" ht="12.75" customHeight="1">
      <c r="H586" s="44"/>
      <c r="I586" s="45"/>
    </row>
    <row r="587" ht="12.75" customHeight="1">
      <c r="H587" s="44"/>
      <c r="I587" s="45"/>
    </row>
    <row r="588" ht="12.75" customHeight="1">
      <c r="H588" s="44"/>
      <c r="I588" s="45"/>
    </row>
    <row r="589" ht="12.75" customHeight="1">
      <c r="H589" s="44"/>
      <c r="I589" s="45"/>
    </row>
    <row r="590" ht="12.75" customHeight="1">
      <c r="H590" s="44"/>
      <c r="I590" s="45"/>
    </row>
    <row r="591" ht="12.75" customHeight="1">
      <c r="H591" s="44"/>
      <c r="I591" s="45"/>
    </row>
    <row r="592" ht="12.75" customHeight="1">
      <c r="H592" s="44"/>
      <c r="I592" s="45"/>
    </row>
    <row r="593" ht="12.75" customHeight="1">
      <c r="H593" s="44"/>
      <c r="I593" s="45"/>
    </row>
    <row r="594" ht="12.75" customHeight="1">
      <c r="H594" s="44"/>
      <c r="I594" s="45"/>
    </row>
    <row r="595" ht="12.75" customHeight="1">
      <c r="H595" s="44"/>
      <c r="I595" s="45"/>
    </row>
    <row r="596" ht="12.75" customHeight="1">
      <c r="H596" s="44"/>
      <c r="I596" s="45"/>
    </row>
    <row r="597" ht="12.75" customHeight="1">
      <c r="H597" s="44"/>
      <c r="I597" s="45"/>
    </row>
    <row r="598" ht="12.75" customHeight="1">
      <c r="H598" s="44"/>
      <c r="I598" s="45"/>
    </row>
    <row r="599" ht="12.75" customHeight="1">
      <c r="H599" s="44"/>
      <c r="I599" s="45"/>
    </row>
    <row r="600" ht="12.75" customHeight="1">
      <c r="H600" s="44"/>
      <c r="I600" s="45"/>
    </row>
    <row r="601" ht="12.75" customHeight="1">
      <c r="H601" s="44"/>
      <c r="I601" s="45"/>
    </row>
    <row r="602" ht="12.75" customHeight="1">
      <c r="H602" s="44"/>
      <c r="I602" s="45"/>
    </row>
    <row r="603" ht="12.75" customHeight="1">
      <c r="H603" s="44"/>
      <c r="I603" s="45"/>
    </row>
    <row r="604" ht="12.75" customHeight="1">
      <c r="H604" s="44"/>
      <c r="I604" s="45"/>
    </row>
    <row r="605" ht="12.75" customHeight="1">
      <c r="H605" s="44"/>
      <c r="I605" s="45"/>
    </row>
    <row r="606" ht="12.75" customHeight="1">
      <c r="H606" s="44"/>
      <c r="I606" s="45"/>
    </row>
    <row r="607" ht="12.75" customHeight="1">
      <c r="H607" s="44"/>
      <c r="I607" s="45"/>
    </row>
    <row r="608" ht="12.75" customHeight="1">
      <c r="H608" s="44"/>
      <c r="I608" s="45"/>
    </row>
    <row r="609" ht="12.75" customHeight="1">
      <c r="H609" s="44"/>
      <c r="I609" s="45"/>
    </row>
    <row r="610" ht="12.75" customHeight="1">
      <c r="H610" s="44"/>
      <c r="I610" s="45"/>
    </row>
    <row r="611" ht="12.75" customHeight="1">
      <c r="H611" s="44"/>
      <c r="I611" s="45"/>
    </row>
    <row r="612" ht="12.75" customHeight="1">
      <c r="H612" s="44"/>
      <c r="I612" s="45"/>
    </row>
    <row r="613" ht="12.75" customHeight="1">
      <c r="H613" s="44"/>
      <c r="I613" s="45"/>
    </row>
    <row r="614" ht="12.75" customHeight="1">
      <c r="H614" s="44"/>
      <c r="I614" s="45"/>
    </row>
    <row r="615" ht="12.75" customHeight="1">
      <c r="H615" s="44"/>
      <c r="I615" s="45"/>
    </row>
    <row r="616" ht="12.75" customHeight="1">
      <c r="H616" s="44"/>
      <c r="I616" s="45"/>
    </row>
    <row r="617" ht="12.75" customHeight="1">
      <c r="H617" s="44"/>
      <c r="I617" s="45"/>
    </row>
    <row r="618" ht="12.75" customHeight="1">
      <c r="H618" s="44"/>
      <c r="I618" s="45"/>
    </row>
    <row r="619" ht="12.75" customHeight="1">
      <c r="H619" s="44"/>
      <c r="I619" s="45"/>
    </row>
    <row r="620" ht="12.75" customHeight="1">
      <c r="H620" s="44"/>
      <c r="I620" s="45"/>
    </row>
    <row r="621" ht="12.75" customHeight="1">
      <c r="H621" s="44"/>
      <c r="I621" s="45"/>
    </row>
    <row r="622" ht="12.75" customHeight="1">
      <c r="H622" s="44"/>
      <c r="I622" s="45"/>
    </row>
    <row r="623" ht="12.75" customHeight="1">
      <c r="H623" s="44"/>
      <c r="I623" s="45"/>
    </row>
    <row r="624" ht="12.75" customHeight="1">
      <c r="H624" s="44"/>
      <c r="I624" s="45"/>
    </row>
    <row r="625" ht="12.75" customHeight="1">
      <c r="H625" s="44"/>
      <c r="I625" s="45"/>
    </row>
    <row r="626" ht="12.75" customHeight="1">
      <c r="H626" s="44"/>
      <c r="I626" s="45"/>
    </row>
    <row r="627" ht="12.75" customHeight="1">
      <c r="H627" s="44"/>
      <c r="I627" s="45"/>
    </row>
    <row r="628" ht="12.75" customHeight="1">
      <c r="H628" s="44"/>
      <c r="I628" s="45"/>
    </row>
    <row r="629" ht="12.75" customHeight="1">
      <c r="H629" s="44"/>
      <c r="I629" s="45"/>
    </row>
    <row r="630" ht="12.75" customHeight="1">
      <c r="H630" s="44"/>
      <c r="I630" s="45"/>
    </row>
    <row r="631" ht="12.75" customHeight="1">
      <c r="H631" s="44"/>
      <c r="I631" s="45"/>
    </row>
    <row r="632" ht="12.75" customHeight="1">
      <c r="H632" s="44"/>
      <c r="I632" s="45"/>
    </row>
    <row r="633" ht="12.75" customHeight="1">
      <c r="H633" s="44"/>
      <c r="I633" s="45"/>
    </row>
    <row r="634" ht="12.75" customHeight="1">
      <c r="H634" s="44"/>
      <c r="I634" s="45"/>
    </row>
    <row r="635" ht="12.75" customHeight="1">
      <c r="H635" s="44"/>
      <c r="I635" s="45"/>
    </row>
    <row r="636" ht="12.75" customHeight="1">
      <c r="H636" s="44"/>
      <c r="I636" s="45"/>
    </row>
    <row r="637" ht="12.75" customHeight="1">
      <c r="H637" s="44"/>
      <c r="I637" s="45"/>
    </row>
    <row r="638" ht="12.75" customHeight="1">
      <c r="H638" s="44"/>
      <c r="I638" s="45"/>
    </row>
    <row r="639" ht="12.75" customHeight="1">
      <c r="H639" s="44"/>
      <c r="I639" s="45"/>
    </row>
    <row r="640" ht="12.75" customHeight="1">
      <c r="H640" s="44"/>
      <c r="I640" s="45"/>
    </row>
    <row r="641" ht="12.75" customHeight="1">
      <c r="H641" s="44"/>
      <c r="I641" s="45"/>
    </row>
    <row r="642" ht="12.75" customHeight="1">
      <c r="H642" s="44"/>
      <c r="I642" s="45"/>
    </row>
    <row r="643" ht="12.75" customHeight="1">
      <c r="H643" s="44"/>
      <c r="I643" s="45"/>
    </row>
    <row r="644" ht="12.75" customHeight="1">
      <c r="H644" s="44"/>
      <c r="I644" s="45"/>
    </row>
    <row r="645" ht="12.75" customHeight="1">
      <c r="H645" s="44"/>
      <c r="I645" s="45"/>
    </row>
    <row r="646" ht="12.75" customHeight="1">
      <c r="H646" s="44"/>
      <c r="I646" s="45"/>
    </row>
    <row r="647" ht="12.75" customHeight="1">
      <c r="H647" s="44"/>
      <c r="I647" s="45"/>
    </row>
    <row r="648" ht="12.75" customHeight="1">
      <c r="H648" s="44"/>
      <c r="I648" s="45"/>
    </row>
    <row r="649" ht="12.75" customHeight="1">
      <c r="H649" s="44"/>
      <c r="I649" s="45"/>
    </row>
    <row r="650" ht="12.75" customHeight="1">
      <c r="H650" s="44"/>
      <c r="I650" s="45"/>
    </row>
    <row r="651" ht="12.75" customHeight="1">
      <c r="H651" s="44"/>
      <c r="I651" s="45"/>
    </row>
    <row r="652" ht="12.75" customHeight="1">
      <c r="H652" s="44"/>
      <c r="I652" s="45"/>
    </row>
    <row r="653" ht="12.75" customHeight="1">
      <c r="H653" s="44"/>
      <c r="I653" s="45"/>
    </row>
    <row r="654" ht="12.75" customHeight="1">
      <c r="H654" s="44"/>
      <c r="I654" s="45"/>
    </row>
    <row r="655" ht="12.75" customHeight="1">
      <c r="H655" s="44"/>
      <c r="I655" s="45"/>
    </row>
    <row r="656" ht="12.75" customHeight="1">
      <c r="H656" s="44"/>
      <c r="I656" s="45"/>
    </row>
    <row r="657" ht="12.75" customHeight="1">
      <c r="H657" s="44"/>
      <c r="I657" s="45"/>
    </row>
    <row r="658" ht="12.75" customHeight="1">
      <c r="H658" s="44"/>
      <c r="I658" s="45"/>
    </row>
    <row r="659" ht="12.75" customHeight="1">
      <c r="H659" s="44"/>
      <c r="I659" s="45"/>
    </row>
    <row r="660" ht="12.75" customHeight="1">
      <c r="H660" s="44"/>
      <c r="I660" s="45"/>
    </row>
    <row r="661" ht="12.75" customHeight="1">
      <c r="H661" s="44"/>
      <c r="I661" s="45"/>
    </row>
    <row r="662" ht="12.75" customHeight="1">
      <c r="H662" s="44"/>
      <c r="I662" s="45"/>
    </row>
    <row r="663" ht="12.75" customHeight="1">
      <c r="H663" s="44"/>
      <c r="I663" s="45"/>
    </row>
    <row r="664" ht="12.75" customHeight="1">
      <c r="H664" s="44"/>
      <c r="I664" s="45"/>
    </row>
    <row r="665" ht="12.75" customHeight="1">
      <c r="H665" s="44"/>
      <c r="I665" s="45"/>
    </row>
    <row r="666" ht="12.75" customHeight="1">
      <c r="H666" s="44"/>
      <c r="I666" s="45"/>
    </row>
    <row r="667" ht="12.75" customHeight="1">
      <c r="H667" s="44"/>
      <c r="I667" s="45"/>
    </row>
    <row r="668" ht="12.75" customHeight="1">
      <c r="H668" s="44"/>
      <c r="I668" s="45"/>
    </row>
    <row r="669" ht="12.75" customHeight="1">
      <c r="H669" s="44"/>
      <c r="I669" s="45"/>
    </row>
    <row r="670" ht="12.75" customHeight="1">
      <c r="H670" s="44"/>
      <c r="I670" s="45"/>
    </row>
    <row r="671" ht="12.75" customHeight="1">
      <c r="H671" s="44"/>
      <c r="I671" s="45"/>
    </row>
    <row r="672" ht="12.75" customHeight="1">
      <c r="H672" s="44"/>
      <c r="I672" s="45"/>
    </row>
    <row r="673" ht="12.75" customHeight="1">
      <c r="H673" s="44"/>
      <c r="I673" s="45"/>
    </row>
    <row r="674" ht="12.75" customHeight="1">
      <c r="H674" s="44"/>
      <c r="I674" s="45"/>
    </row>
    <row r="675" ht="12.75" customHeight="1">
      <c r="H675" s="44"/>
      <c r="I675" s="45"/>
    </row>
    <row r="676" ht="12.75" customHeight="1">
      <c r="H676" s="44"/>
      <c r="I676" s="45"/>
    </row>
    <row r="677" ht="12.75" customHeight="1">
      <c r="H677" s="44"/>
      <c r="I677" s="45"/>
    </row>
    <row r="678" ht="12.75" customHeight="1">
      <c r="H678" s="44"/>
      <c r="I678" s="45"/>
    </row>
    <row r="679" ht="12.75" customHeight="1">
      <c r="H679" s="44"/>
      <c r="I679" s="45"/>
    </row>
    <row r="680" ht="12.75" customHeight="1">
      <c r="H680" s="44"/>
      <c r="I680" s="45"/>
    </row>
    <row r="681" ht="12.75" customHeight="1">
      <c r="H681" s="44"/>
      <c r="I681" s="45"/>
    </row>
    <row r="682" ht="12.75" customHeight="1">
      <c r="H682" s="44"/>
      <c r="I682" s="45"/>
    </row>
    <row r="683" ht="12.75" customHeight="1">
      <c r="H683" s="44"/>
      <c r="I683" s="45"/>
    </row>
    <row r="684" ht="12.75" customHeight="1">
      <c r="H684" s="44"/>
      <c r="I684" s="45"/>
    </row>
    <row r="685" ht="12.75" customHeight="1">
      <c r="H685" s="44"/>
      <c r="I685" s="45"/>
    </row>
    <row r="686" ht="12.75" customHeight="1">
      <c r="H686" s="44"/>
      <c r="I686" s="45"/>
    </row>
    <row r="687" ht="12.75" customHeight="1">
      <c r="H687" s="44"/>
      <c r="I687" s="45"/>
    </row>
    <row r="688" ht="12.75" customHeight="1">
      <c r="H688" s="44"/>
      <c r="I688" s="45"/>
    </row>
    <row r="689" ht="12.75" customHeight="1">
      <c r="H689" s="44"/>
      <c r="I689" s="45"/>
    </row>
    <row r="690" ht="12.75" customHeight="1">
      <c r="H690" s="44"/>
      <c r="I690" s="45"/>
    </row>
    <row r="691" ht="12.75" customHeight="1">
      <c r="H691" s="44"/>
      <c r="I691" s="45"/>
    </row>
    <row r="692" ht="12.75" customHeight="1">
      <c r="H692" s="44"/>
      <c r="I692" s="45"/>
    </row>
    <row r="693" ht="12.75" customHeight="1">
      <c r="H693" s="44"/>
      <c r="I693" s="45"/>
    </row>
    <row r="694" ht="12.75" customHeight="1">
      <c r="H694" s="44"/>
      <c r="I694" s="45"/>
    </row>
    <row r="695" ht="12.75" customHeight="1">
      <c r="H695" s="44"/>
      <c r="I695" s="45"/>
    </row>
    <row r="696" ht="12.75" customHeight="1">
      <c r="H696" s="44"/>
      <c r="I696" s="45"/>
    </row>
    <row r="697" ht="12.75" customHeight="1">
      <c r="H697" s="44"/>
      <c r="I697" s="45"/>
    </row>
    <row r="698" ht="12.75" customHeight="1">
      <c r="H698" s="44"/>
      <c r="I698" s="45"/>
    </row>
    <row r="699" ht="12.75" customHeight="1">
      <c r="H699" s="44"/>
      <c r="I699" s="45"/>
    </row>
    <row r="700" ht="12.75" customHeight="1">
      <c r="H700" s="44"/>
      <c r="I700" s="45"/>
    </row>
    <row r="701" ht="12.75" customHeight="1">
      <c r="H701" s="44"/>
      <c r="I701" s="45"/>
    </row>
    <row r="702" ht="12.75" customHeight="1">
      <c r="H702" s="44"/>
      <c r="I702" s="45"/>
    </row>
    <row r="703" ht="12.75" customHeight="1">
      <c r="H703" s="44"/>
      <c r="I703" s="45"/>
    </row>
    <row r="704" ht="12.75" customHeight="1">
      <c r="H704" s="44"/>
      <c r="I704" s="45"/>
    </row>
    <row r="705" ht="12.75" customHeight="1">
      <c r="H705" s="44"/>
      <c r="I705" s="45"/>
    </row>
    <row r="706" ht="12.75" customHeight="1">
      <c r="H706" s="44"/>
      <c r="I706" s="45"/>
    </row>
    <row r="707" ht="12.75" customHeight="1">
      <c r="H707" s="44"/>
      <c r="I707" s="45"/>
    </row>
    <row r="708" ht="12.75" customHeight="1">
      <c r="H708" s="44"/>
      <c r="I708" s="45"/>
    </row>
    <row r="709" ht="12.75" customHeight="1">
      <c r="H709" s="44"/>
      <c r="I709" s="45"/>
    </row>
    <row r="710" ht="12.75" customHeight="1">
      <c r="H710" s="44"/>
      <c r="I710" s="45"/>
    </row>
    <row r="711" ht="12.75" customHeight="1">
      <c r="H711" s="44"/>
      <c r="I711" s="45"/>
    </row>
    <row r="712" ht="12.75" customHeight="1">
      <c r="H712" s="44"/>
      <c r="I712" s="45"/>
    </row>
    <row r="713" ht="12.75" customHeight="1">
      <c r="H713" s="44"/>
      <c r="I713" s="45"/>
    </row>
    <row r="714" ht="12.75" customHeight="1">
      <c r="H714" s="44"/>
      <c r="I714" s="45"/>
    </row>
    <row r="715" ht="12.75" customHeight="1">
      <c r="H715" s="44"/>
      <c r="I715" s="45"/>
    </row>
    <row r="716" ht="12.75" customHeight="1">
      <c r="H716" s="44"/>
      <c r="I716" s="45"/>
    </row>
    <row r="717" ht="12.75" customHeight="1">
      <c r="H717" s="44"/>
      <c r="I717" s="45"/>
    </row>
    <row r="718" ht="12.75" customHeight="1">
      <c r="H718" s="44"/>
      <c r="I718" s="45"/>
    </row>
    <row r="719" ht="12.75" customHeight="1">
      <c r="H719" s="44"/>
      <c r="I719" s="45"/>
    </row>
    <row r="720" ht="12.75" customHeight="1">
      <c r="H720" s="44"/>
      <c r="I720" s="45"/>
    </row>
    <row r="721" ht="12.75" customHeight="1">
      <c r="H721" s="44"/>
      <c r="I721" s="45"/>
    </row>
    <row r="722" ht="12.75" customHeight="1">
      <c r="H722" s="44"/>
      <c r="I722" s="45"/>
    </row>
    <row r="723" ht="12.75" customHeight="1">
      <c r="H723" s="44"/>
      <c r="I723" s="45"/>
    </row>
    <row r="724" ht="12.75" customHeight="1">
      <c r="H724" s="44"/>
      <c r="I724" s="45"/>
    </row>
    <row r="725" ht="12.75" customHeight="1">
      <c r="H725" s="44"/>
      <c r="I725" s="45"/>
    </row>
    <row r="726" ht="12.75" customHeight="1">
      <c r="H726" s="44"/>
      <c r="I726" s="45"/>
    </row>
    <row r="727" ht="12.75" customHeight="1">
      <c r="H727" s="44"/>
      <c r="I727" s="45"/>
    </row>
    <row r="728" ht="12.75" customHeight="1">
      <c r="H728" s="44"/>
      <c r="I728" s="45"/>
    </row>
    <row r="729" ht="12.75" customHeight="1">
      <c r="H729" s="44"/>
      <c r="I729" s="45"/>
    </row>
    <row r="730" ht="12.75" customHeight="1">
      <c r="H730" s="44"/>
      <c r="I730" s="45"/>
    </row>
    <row r="731" ht="12.75" customHeight="1">
      <c r="H731" s="44"/>
      <c r="I731" s="45"/>
    </row>
    <row r="732" ht="12.75" customHeight="1">
      <c r="H732" s="44"/>
      <c r="I732" s="45"/>
    </row>
    <row r="733" ht="12.75" customHeight="1">
      <c r="H733" s="44"/>
      <c r="I733" s="45"/>
    </row>
    <row r="734" ht="12.75" customHeight="1">
      <c r="H734" s="44"/>
      <c r="I734" s="45"/>
    </row>
    <row r="735" ht="12.75" customHeight="1">
      <c r="H735" s="44"/>
      <c r="I735" s="45"/>
    </row>
    <row r="736" ht="12.75" customHeight="1">
      <c r="H736" s="44"/>
      <c r="I736" s="45"/>
    </row>
    <row r="737" ht="12.75" customHeight="1">
      <c r="H737" s="44"/>
      <c r="I737" s="45"/>
    </row>
    <row r="738" ht="12.75" customHeight="1">
      <c r="H738" s="44"/>
      <c r="I738" s="45"/>
    </row>
    <row r="739" ht="12.75" customHeight="1">
      <c r="H739" s="44"/>
      <c r="I739" s="45"/>
    </row>
    <row r="740" ht="12.75" customHeight="1">
      <c r="H740" s="44"/>
      <c r="I740" s="45"/>
    </row>
    <row r="741" ht="12.75" customHeight="1">
      <c r="H741" s="44"/>
      <c r="I741" s="45"/>
    </row>
    <row r="742" ht="12.75" customHeight="1">
      <c r="H742" s="44"/>
      <c r="I742" s="45"/>
    </row>
    <row r="743" ht="12.75" customHeight="1">
      <c r="H743" s="44"/>
      <c r="I743" s="45"/>
    </row>
    <row r="744" ht="12.75" customHeight="1">
      <c r="H744" s="44"/>
      <c r="I744" s="45"/>
    </row>
    <row r="745" ht="12.75" customHeight="1">
      <c r="H745" s="44"/>
      <c r="I745" s="45"/>
    </row>
    <row r="746" ht="12.75" customHeight="1">
      <c r="H746" s="44"/>
      <c r="I746" s="45"/>
    </row>
    <row r="747" ht="12.75" customHeight="1">
      <c r="H747" s="44"/>
      <c r="I747" s="45"/>
    </row>
    <row r="748" ht="12.75" customHeight="1">
      <c r="H748" s="44"/>
      <c r="I748" s="45"/>
    </row>
    <row r="749" ht="12.75" customHeight="1">
      <c r="H749" s="44"/>
      <c r="I749" s="45"/>
    </row>
    <row r="750" ht="12.75" customHeight="1">
      <c r="H750" s="44"/>
      <c r="I750" s="45"/>
    </row>
    <row r="751" ht="12.75" customHeight="1">
      <c r="H751" s="44"/>
      <c r="I751" s="45"/>
    </row>
    <row r="752" ht="12.75" customHeight="1">
      <c r="H752" s="44"/>
      <c r="I752" s="45"/>
    </row>
    <row r="753" ht="12.75" customHeight="1">
      <c r="H753" s="44"/>
      <c r="I753" s="45"/>
    </row>
    <row r="754" ht="12.75" customHeight="1">
      <c r="H754" s="44"/>
      <c r="I754" s="45"/>
    </row>
    <row r="755" ht="12.75" customHeight="1">
      <c r="H755" s="44"/>
      <c r="I755" s="45"/>
    </row>
    <row r="756" ht="12.75" customHeight="1">
      <c r="H756" s="44"/>
      <c r="I756" s="45"/>
    </row>
    <row r="757" ht="12.75" customHeight="1">
      <c r="H757" s="44"/>
      <c r="I757" s="45"/>
    </row>
    <row r="758" ht="12.75" customHeight="1">
      <c r="H758" s="44"/>
      <c r="I758" s="45"/>
    </row>
    <row r="759" ht="12.75" customHeight="1">
      <c r="H759" s="44"/>
      <c r="I759" s="45"/>
    </row>
    <row r="760" ht="12.75" customHeight="1">
      <c r="H760" s="44"/>
      <c r="I760" s="45"/>
    </row>
    <row r="761" ht="12.75" customHeight="1">
      <c r="H761" s="44"/>
      <c r="I761" s="45"/>
    </row>
    <row r="762" ht="12.75" customHeight="1">
      <c r="H762" s="44"/>
      <c r="I762" s="45"/>
    </row>
    <row r="763" ht="12.75" customHeight="1">
      <c r="H763" s="44"/>
      <c r="I763" s="45"/>
    </row>
    <row r="764" ht="12.75" customHeight="1">
      <c r="H764" s="44"/>
      <c r="I764" s="45"/>
    </row>
    <row r="765" ht="12.75" customHeight="1">
      <c r="H765" s="44"/>
      <c r="I765" s="45"/>
    </row>
    <row r="766" ht="12.75" customHeight="1">
      <c r="H766" s="44"/>
      <c r="I766" s="45"/>
    </row>
    <row r="767" ht="12.75" customHeight="1">
      <c r="H767" s="44"/>
      <c r="I767" s="45"/>
    </row>
    <row r="768" ht="12.75" customHeight="1">
      <c r="H768" s="44"/>
      <c r="I768" s="45"/>
    </row>
    <row r="769" ht="12.75" customHeight="1">
      <c r="H769" s="44"/>
      <c r="I769" s="45"/>
    </row>
    <row r="770" ht="12.75" customHeight="1">
      <c r="H770" s="44"/>
      <c r="I770" s="45"/>
    </row>
    <row r="771" ht="12.75" customHeight="1">
      <c r="H771" s="44"/>
      <c r="I771" s="45"/>
    </row>
    <row r="772" ht="12.75" customHeight="1">
      <c r="H772" s="44"/>
      <c r="I772" s="45"/>
    </row>
    <row r="773" ht="12.75" customHeight="1">
      <c r="H773" s="44"/>
      <c r="I773" s="45"/>
    </row>
    <row r="774" ht="12.75" customHeight="1">
      <c r="H774" s="44"/>
      <c r="I774" s="45"/>
    </row>
    <row r="775" ht="12.75" customHeight="1">
      <c r="H775" s="44"/>
      <c r="I775" s="45"/>
    </row>
    <row r="776" ht="12.75" customHeight="1">
      <c r="H776" s="44"/>
      <c r="I776" s="45"/>
    </row>
    <row r="777" ht="12.75" customHeight="1">
      <c r="H777" s="44"/>
      <c r="I777" s="45"/>
    </row>
    <row r="778" ht="12.75" customHeight="1">
      <c r="H778" s="44"/>
      <c r="I778" s="45"/>
    </row>
    <row r="779" ht="12.75" customHeight="1">
      <c r="H779" s="44"/>
      <c r="I779" s="45"/>
    </row>
    <row r="780" ht="12.75" customHeight="1">
      <c r="H780" s="44"/>
      <c r="I780" s="45"/>
    </row>
    <row r="781" ht="12.75" customHeight="1">
      <c r="H781" s="44"/>
      <c r="I781" s="45"/>
    </row>
    <row r="782" ht="12.75" customHeight="1">
      <c r="H782" s="44"/>
      <c r="I782" s="45"/>
    </row>
    <row r="783" ht="12.75" customHeight="1">
      <c r="H783" s="44"/>
      <c r="I783" s="45"/>
    </row>
    <row r="784" ht="12.75" customHeight="1">
      <c r="H784" s="44"/>
      <c r="I784" s="45"/>
    </row>
    <row r="785" ht="12.75" customHeight="1">
      <c r="H785" s="44"/>
      <c r="I785" s="45"/>
    </row>
    <row r="786" ht="12.75" customHeight="1">
      <c r="H786" s="44"/>
      <c r="I786" s="45"/>
    </row>
    <row r="787" ht="12.75" customHeight="1">
      <c r="H787" s="44"/>
      <c r="I787" s="45"/>
    </row>
    <row r="788" ht="12.75" customHeight="1">
      <c r="H788" s="44"/>
      <c r="I788" s="45"/>
    </row>
    <row r="789" ht="12.75" customHeight="1">
      <c r="H789" s="44"/>
      <c r="I789" s="45"/>
    </row>
    <row r="790" ht="12.75" customHeight="1">
      <c r="H790" s="44"/>
      <c r="I790" s="45"/>
    </row>
    <row r="791" ht="12.75" customHeight="1">
      <c r="H791" s="44"/>
      <c r="I791" s="45"/>
    </row>
    <row r="792" ht="12.75" customHeight="1">
      <c r="H792" s="44"/>
      <c r="I792" s="45"/>
    </row>
    <row r="793" ht="12.75" customHeight="1">
      <c r="H793" s="44"/>
      <c r="I793" s="45"/>
    </row>
    <row r="794" ht="12.75" customHeight="1">
      <c r="H794" s="44"/>
      <c r="I794" s="45"/>
    </row>
    <row r="795" ht="12.75" customHeight="1">
      <c r="H795" s="44"/>
      <c r="I795" s="45"/>
    </row>
    <row r="796" ht="12.75" customHeight="1">
      <c r="H796" s="44"/>
      <c r="I796" s="45"/>
    </row>
    <row r="797" ht="12.75" customHeight="1">
      <c r="H797" s="44"/>
      <c r="I797" s="45"/>
    </row>
    <row r="798" ht="12.75" customHeight="1">
      <c r="H798" s="44"/>
      <c r="I798" s="45"/>
    </row>
    <row r="799" ht="12.75" customHeight="1">
      <c r="H799" s="44"/>
      <c r="I799" s="45"/>
    </row>
    <row r="800" ht="12.75" customHeight="1">
      <c r="H800" s="44"/>
      <c r="I800" s="45"/>
    </row>
    <row r="801" ht="12.75" customHeight="1">
      <c r="H801" s="44"/>
      <c r="I801" s="45"/>
    </row>
    <row r="802" ht="12.75" customHeight="1">
      <c r="H802" s="44"/>
      <c r="I802" s="45"/>
    </row>
    <row r="803" ht="12.75" customHeight="1">
      <c r="H803" s="44"/>
      <c r="I803" s="45"/>
    </row>
    <row r="804" ht="12.75" customHeight="1">
      <c r="H804" s="44"/>
      <c r="I804" s="45"/>
    </row>
    <row r="805" ht="12.75" customHeight="1">
      <c r="H805" s="44"/>
      <c r="I805" s="45"/>
    </row>
    <row r="806" ht="12.75" customHeight="1">
      <c r="H806" s="44"/>
      <c r="I806" s="45"/>
    </row>
    <row r="807" ht="12.75" customHeight="1">
      <c r="H807" s="44"/>
      <c r="I807" s="45"/>
    </row>
    <row r="808" ht="12.75" customHeight="1">
      <c r="H808" s="44"/>
      <c r="I808" s="45"/>
    </row>
    <row r="809" ht="12.75" customHeight="1">
      <c r="H809" s="44"/>
      <c r="I809" s="45"/>
    </row>
    <row r="810" ht="12.75" customHeight="1">
      <c r="H810" s="44"/>
      <c r="I810" s="45"/>
    </row>
    <row r="811" ht="12.75" customHeight="1">
      <c r="H811" s="44"/>
      <c r="I811" s="45"/>
    </row>
    <row r="812" ht="12.75" customHeight="1">
      <c r="H812" s="44"/>
      <c r="I812" s="45"/>
    </row>
    <row r="813" ht="12.75" customHeight="1">
      <c r="H813" s="44"/>
      <c r="I813" s="45"/>
    </row>
    <row r="814" ht="12.75" customHeight="1">
      <c r="H814" s="44"/>
      <c r="I814" s="45"/>
    </row>
    <row r="815" ht="12.75" customHeight="1">
      <c r="H815" s="44"/>
      <c r="I815" s="45"/>
    </row>
    <row r="816" ht="12.75" customHeight="1">
      <c r="H816" s="44"/>
      <c r="I816" s="45"/>
    </row>
    <row r="817" ht="12.75" customHeight="1">
      <c r="H817" s="44"/>
      <c r="I817" s="45"/>
    </row>
    <row r="818" ht="12.75" customHeight="1">
      <c r="H818" s="44"/>
      <c r="I818" s="45"/>
    </row>
    <row r="819" ht="12.75" customHeight="1">
      <c r="H819" s="44"/>
      <c r="I819" s="45"/>
    </row>
    <row r="820" ht="12.75" customHeight="1">
      <c r="H820" s="44"/>
      <c r="I820" s="45"/>
    </row>
    <row r="821" ht="12.75" customHeight="1">
      <c r="H821" s="44"/>
      <c r="I821" s="45"/>
    </row>
    <row r="822" ht="12.75" customHeight="1">
      <c r="H822" s="44"/>
      <c r="I822" s="45"/>
    </row>
    <row r="823" ht="12.75" customHeight="1">
      <c r="H823" s="44"/>
      <c r="I823" s="45"/>
    </row>
    <row r="824" ht="12.75" customHeight="1">
      <c r="H824" s="44"/>
      <c r="I824" s="45"/>
    </row>
    <row r="825" ht="12.75" customHeight="1">
      <c r="H825" s="44"/>
      <c r="I825" s="45"/>
    </row>
    <row r="826" ht="12.75" customHeight="1">
      <c r="H826" s="44"/>
      <c r="I826" s="45"/>
    </row>
    <row r="827" ht="12.75" customHeight="1">
      <c r="H827" s="44"/>
      <c r="I827" s="45"/>
    </row>
    <row r="828" ht="12.75" customHeight="1">
      <c r="H828" s="44"/>
      <c r="I828" s="45"/>
    </row>
    <row r="829" ht="12.75" customHeight="1">
      <c r="H829" s="44"/>
      <c r="I829" s="45"/>
    </row>
    <row r="830" ht="12.75" customHeight="1">
      <c r="H830" s="44"/>
      <c r="I830" s="45"/>
    </row>
    <row r="831" ht="12.75" customHeight="1">
      <c r="H831" s="44"/>
      <c r="I831" s="45"/>
    </row>
    <row r="832" ht="12.75" customHeight="1">
      <c r="H832" s="44"/>
      <c r="I832" s="45"/>
    </row>
    <row r="833" ht="12.75" customHeight="1">
      <c r="H833" s="44"/>
      <c r="I833" s="45"/>
    </row>
    <row r="834" ht="12.75" customHeight="1">
      <c r="H834" s="44"/>
      <c r="I834" s="45"/>
    </row>
    <row r="835" ht="12.75" customHeight="1">
      <c r="H835" s="44"/>
      <c r="I835" s="45"/>
    </row>
    <row r="836" ht="12.75" customHeight="1">
      <c r="H836" s="44"/>
      <c r="I836" s="45"/>
    </row>
    <row r="837" ht="12.75" customHeight="1">
      <c r="H837" s="44"/>
      <c r="I837" s="45"/>
    </row>
    <row r="838" ht="12.75" customHeight="1">
      <c r="H838" s="44"/>
      <c r="I838" s="45"/>
    </row>
    <row r="839" ht="12.75" customHeight="1">
      <c r="H839" s="44"/>
      <c r="I839" s="45"/>
    </row>
    <row r="840" ht="12.75" customHeight="1">
      <c r="H840" s="44"/>
      <c r="I840" s="45"/>
    </row>
    <row r="841" ht="12.75" customHeight="1">
      <c r="H841" s="44"/>
      <c r="I841" s="45"/>
    </row>
    <row r="842" ht="12.75" customHeight="1">
      <c r="H842" s="44"/>
      <c r="I842" s="45"/>
    </row>
    <row r="843" ht="12.75" customHeight="1">
      <c r="H843" s="44"/>
      <c r="I843" s="45"/>
    </row>
    <row r="844" ht="12.75" customHeight="1">
      <c r="H844" s="44"/>
      <c r="I844" s="45"/>
    </row>
    <row r="845" ht="12.75" customHeight="1">
      <c r="H845" s="44"/>
      <c r="I845" s="45"/>
    </row>
    <row r="846" ht="12.75" customHeight="1">
      <c r="H846" s="44"/>
      <c r="I846" s="45"/>
    </row>
    <row r="847" ht="12.75" customHeight="1">
      <c r="H847" s="44"/>
      <c r="I847" s="45"/>
    </row>
    <row r="848" ht="12.75" customHeight="1">
      <c r="H848" s="44"/>
      <c r="I848" s="45"/>
    </row>
    <row r="849" ht="12.75" customHeight="1">
      <c r="H849" s="44"/>
      <c r="I849" s="45"/>
    </row>
    <row r="850" ht="12.75" customHeight="1">
      <c r="H850" s="44"/>
      <c r="I850" s="45"/>
    </row>
    <row r="851" ht="12.75" customHeight="1">
      <c r="H851" s="44"/>
      <c r="I851" s="45"/>
    </row>
    <row r="852" ht="12.75" customHeight="1">
      <c r="H852" s="44"/>
      <c r="I852" s="45"/>
    </row>
    <row r="853" ht="12.75" customHeight="1">
      <c r="H853" s="44"/>
      <c r="I853" s="45"/>
    </row>
    <row r="854" ht="12.75" customHeight="1">
      <c r="H854" s="44"/>
      <c r="I854" s="45"/>
    </row>
    <row r="855" ht="12.75" customHeight="1">
      <c r="H855" s="44"/>
      <c r="I855" s="45"/>
    </row>
    <row r="856" ht="12.75" customHeight="1">
      <c r="H856" s="44"/>
      <c r="I856" s="45"/>
    </row>
    <row r="857" ht="12.75" customHeight="1">
      <c r="H857" s="44"/>
      <c r="I857" s="45"/>
    </row>
    <row r="858" ht="12.75" customHeight="1">
      <c r="H858" s="44"/>
      <c r="I858" s="45"/>
    </row>
    <row r="859" ht="12.75" customHeight="1">
      <c r="H859" s="44"/>
      <c r="I859" s="45"/>
    </row>
    <row r="860" ht="12.75" customHeight="1">
      <c r="H860" s="44"/>
      <c r="I860" s="45"/>
    </row>
    <row r="861" ht="12.75" customHeight="1">
      <c r="H861" s="44"/>
      <c r="I861" s="45"/>
    </row>
    <row r="862" ht="12.75" customHeight="1">
      <c r="H862" s="44"/>
      <c r="I862" s="45"/>
    </row>
    <row r="863" ht="12.75" customHeight="1">
      <c r="H863" s="44"/>
      <c r="I863" s="45"/>
    </row>
    <row r="864" ht="12.75" customHeight="1">
      <c r="H864" s="44"/>
      <c r="I864" s="45"/>
    </row>
    <row r="865" ht="12.75" customHeight="1">
      <c r="H865" s="44"/>
      <c r="I865" s="45"/>
    </row>
    <row r="866" ht="12.75" customHeight="1">
      <c r="H866" s="44"/>
      <c r="I866" s="45"/>
    </row>
    <row r="867" ht="12.75" customHeight="1">
      <c r="H867" s="44"/>
      <c r="I867" s="45"/>
    </row>
    <row r="868" ht="12.75" customHeight="1">
      <c r="H868" s="44"/>
      <c r="I868" s="45"/>
    </row>
    <row r="869" ht="12.75" customHeight="1">
      <c r="H869" s="44"/>
      <c r="I869" s="45"/>
    </row>
    <row r="870" ht="12.75" customHeight="1">
      <c r="H870" s="44"/>
      <c r="I870" s="45"/>
    </row>
    <row r="871" ht="12.75" customHeight="1">
      <c r="H871" s="44"/>
      <c r="I871" s="45"/>
    </row>
    <row r="872" ht="12.75" customHeight="1">
      <c r="H872" s="44"/>
      <c r="I872" s="45"/>
    </row>
    <row r="873" ht="12.75" customHeight="1">
      <c r="H873" s="44"/>
      <c r="I873" s="45"/>
    </row>
    <row r="874" ht="12.75" customHeight="1">
      <c r="H874" s="44"/>
      <c r="I874" s="45"/>
    </row>
    <row r="875" ht="12.75" customHeight="1">
      <c r="H875" s="44"/>
      <c r="I875" s="45"/>
    </row>
    <row r="876" ht="12.75" customHeight="1">
      <c r="H876" s="44"/>
      <c r="I876" s="45"/>
    </row>
    <row r="877" ht="12.75" customHeight="1">
      <c r="H877" s="44"/>
      <c r="I877" s="45"/>
    </row>
    <row r="878" ht="12.75" customHeight="1">
      <c r="H878" s="44"/>
      <c r="I878" s="45"/>
    </row>
    <row r="879" ht="12.75" customHeight="1">
      <c r="H879" s="44"/>
      <c r="I879" s="45"/>
    </row>
    <row r="880" ht="12.75" customHeight="1">
      <c r="H880" s="44"/>
      <c r="I880" s="45"/>
    </row>
    <row r="881" ht="12.75" customHeight="1">
      <c r="H881" s="44"/>
      <c r="I881" s="45"/>
    </row>
    <row r="882" ht="12.75" customHeight="1">
      <c r="H882" s="44"/>
      <c r="I882" s="45"/>
    </row>
    <row r="883" ht="12.75" customHeight="1">
      <c r="H883" s="44"/>
      <c r="I883" s="45"/>
    </row>
    <row r="884" ht="12.75" customHeight="1">
      <c r="H884" s="44"/>
      <c r="I884" s="45"/>
    </row>
    <row r="885" ht="12.75" customHeight="1">
      <c r="H885" s="44"/>
      <c r="I885" s="45"/>
    </row>
    <row r="886" ht="12.75" customHeight="1">
      <c r="H886" s="44"/>
      <c r="I886" s="45"/>
    </row>
    <row r="887" ht="12.75" customHeight="1">
      <c r="H887" s="44"/>
      <c r="I887" s="45"/>
    </row>
    <row r="888" ht="12.75" customHeight="1">
      <c r="H888" s="44"/>
      <c r="I888" s="45"/>
    </row>
    <row r="889" ht="12.75" customHeight="1">
      <c r="H889" s="44"/>
      <c r="I889" s="45"/>
    </row>
    <row r="890" ht="12.75" customHeight="1">
      <c r="H890" s="44"/>
      <c r="I890" s="45"/>
    </row>
    <row r="891" ht="12.75" customHeight="1">
      <c r="H891" s="44"/>
      <c r="I891" s="45"/>
    </row>
    <row r="892" ht="12.75" customHeight="1">
      <c r="H892" s="44"/>
      <c r="I892" s="45"/>
    </row>
    <row r="893" ht="12.75" customHeight="1">
      <c r="H893" s="44"/>
      <c r="I893" s="45"/>
    </row>
    <row r="894" ht="12.75" customHeight="1">
      <c r="H894" s="44"/>
      <c r="I894" s="45"/>
    </row>
    <row r="895" ht="12.75" customHeight="1">
      <c r="H895" s="44"/>
      <c r="I895" s="45"/>
    </row>
    <row r="896" ht="12.75" customHeight="1">
      <c r="H896" s="44"/>
      <c r="I896" s="45"/>
    </row>
    <row r="897" ht="12.75" customHeight="1">
      <c r="H897" s="44"/>
      <c r="I897" s="45"/>
    </row>
    <row r="898" ht="12.75" customHeight="1">
      <c r="H898" s="44"/>
      <c r="I898" s="45"/>
    </row>
    <row r="899" ht="12.75" customHeight="1">
      <c r="H899" s="44"/>
      <c r="I899" s="45"/>
    </row>
    <row r="900" ht="12.75" customHeight="1">
      <c r="H900" s="44"/>
      <c r="I900" s="45"/>
    </row>
    <row r="901" ht="12.75" customHeight="1">
      <c r="H901" s="44"/>
      <c r="I901" s="45"/>
    </row>
    <row r="902" ht="12.75" customHeight="1">
      <c r="H902" s="44"/>
      <c r="I902" s="45"/>
    </row>
    <row r="903" ht="12.75" customHeight="1">
      <c r="H903" s="44"/>
      <c r="I903" s="45"/>
    </row>
    <row r="904" ht="12.75" customHeight="1">
      <c r="H904" s="44"/>
      <c r="I904" s="45"/>
    </row>
    <row r="905" ht="12.75" customHeight="1">
      <c r="H905" s="44"/>
      <c r="I905" s="45"/>
    </row>
    <row r="906" ht="12.75" customHeight="1">
      <c r="H906" s="44"/>
      <c r="I906" s="45"/>
    </row>
    <row r="907" ht="12.75" customHeight="1">
      <c r="H907" s="44"/>
      <c r="I907" s="45"/>
    </row>
    <row r="908" ht="12.75" customHeight="1">
      <c r="H908" s="44"/>
      <c r="I908" s="45"/>
    </row>
    <row r="909" ht="12.75" customHeight="1">
      <c r="H909" s="44"/>
      <c r="I909" s="45"/>
    </row>
    <row r="910" ht="12.75" customHeight="1">
      <c r="H910" s="44"/>
      <c r="I910" s="45"/>
    </row>
    <row r="911" ht="12.75" customHeight="1">
      <c r="H911" s="44"/>
      <c r="I911" s="45"/>
    </row>
    <row r="912" ht="12.75" customHeight="1">
      <c r="H912" s="44"/>
      <c r="I912" s="45"/>
    </row>
    <row r="913" ht="12.75" customHeight="1">
      <c r="H913" s="44"/>
      <c r="I913" s="45"/>
    </row>
    <row r="914" ht="12.75" customHeight="1">
      <c r="H914" s="44"/>
      <c r="I914" s="45"/>
    </row>
    <row r="915" ht="12.75" customHeight="1">
      <c r="H915" s="44"/>
      <c r="I915" s="45"/>
    </row>
    <row r="916" ht="12.75" customHeight="1">
      <c r="H916" s="44"/>
      <c r="I916" s="45"/>
    </row>
    <row r="917" ht="12.75" customHeight="1">
      <c r="H917" s="44"/>
      <c r="I917" s="45"/>
    </row>
    <row r="918" ht="12.75" customHeight="1">
      <c r="H918" s="44"/>
      <c r="I918" s="45"/>
    </row>
    <row r="919" ht="12.75" customHeight="1">
      <c r="H919" s="44"/>
      <c r="I919" s="45"/>
    </row>
    <row r="920" ht="12.75" customHeight="1">
      <c r="H920" s="44"/>
      <c r="I920" s="45"/>
    </row>
    <row r="921" ht="12.75" customHeight="1">
      <c r="H921" s="44"/>
      <c r="I921" s="45"/>
    </row>
    <row r="922" ht="12.75" customHeight="1">
      <c r="H922" s="44"/>
      <c r="I922" s="45"/>
    </row>
    <row r="923" ht="12.75" customHeight="1">
      <c r="H923" s="44"/>
      <c r="I923" s="45"/>
    </row>
    <row r="924" ht="12.75" customHeight="1">
      <c r="H924" s="44"/>
      <c r="I924" s="45"/>
    </row>
    <row r="925" ht="12.75" customHeight="1">
      <c r="H925" s="44"/>
      <c r="I925" s="45"/>
    </row>
    <row r="926" ht="12.75" customHeight="1">
      <c r="H926" s="44"/>
      <c r="I926" s="45"/>
    </row>
    <row r="927" ht="12.75" customHeight="1">
      <c r="H927" s="44"/>
      <c r="I927" s="45"/>
    </row>
    <row r="928" ht="12.75" customHeight="1">
      <c r="H928" s="44"/>
      <c r="I928" s="45"/>
    </row>
    <row r="929" ht="12.75" customHeight="1">
      <c r="H929" s="44"/>
      <c r="I929" s="45"/>
    </row>
    <row r="930" ht="12.75" customHeight="1">
      <c r="H930" s="44"/>
      <c r="I930" s="45"/>
    </row>
    <row r="931" ht="12.75" customHeight="1">
      <c r="H931" s="44"/>
      <c r="I931" s="45"/>
    </row>
    <row r="932" ht="12.75" customHeight="1">
      <c r="H932" s="44"/>
      <c r="I932" s="45"/>
    </row>
    <row r="933" ht="12.75" customHeight="1">
      <c r="H933" s="44"/>
      <c r="I933" s="45"/>
    </row>
    <row r="934" ht="12.75" customHeight="1">
      <c r="H934" s="44"/>
      <c r="I934" s="45"/>
    </row>
    <row r="935" ht="12.75" customHeight="1">
      <c r="H935" s="44"/>
      <c r="I935" s="45"/>
    </row>
    <row r="936" ht="12.75" customHeight="1">
      <c r="H936" s="44"/>
      <c r="I936" s="45"/>
    </row>
    <row r="937" ht="12.75" customHeight="1">
      <c r="H937" s="44"/>
      <c r="I937" s="45"/>
    </row>
    <row r="938" ht="12.75" customHeight="1">
      <c r="H938" s="44"/>
      <c r="I938" s="45"/>
    </row>
    <row r="939" ht="12.75" customHeight="1">
      <c r="H939" s="44"/>
      <c r="I939" s="45"/>
    </row>
    <row r="940" ht="12.75" customHeight="1">
      <c r="H940" s="44"/>
      <c r="I940" s="45"/>
    </row>
    <row r="941" ht="12.75" customHeight="1">
      <c r="H941" s="44"/>
      <c r="I941" s="45"/>
    </row>
    <row r="942" ht="12.75" customHeight="1">
      <c r="H942" s="44"/>
      <c r="I942" s="45"/>
    </row>
    <row r="943" ht="12.75" customHeight="1">
      <c r="H943" s="44"/>
      <c r="I943" s="45"/>
    </row>
    <row r="944" ht="12.75" customHeight="1">
      <c r="H944" s="44"/>
      <c r="I944" s="45"/>
    </row>
    <row r="945" ht="12.75" customHeight="1">
      <c r="H945" s="44"/>
      <c r="I945" s="45"/>
    </row>
    <row r="946" ht="12.75" customHeight="1">
      <c r="H946" s="44"/>
      <c r="I946" s="45"/>
    </row>
    <row r="947" ht="12.75" customHeight="1">
      <c r="H947" s="44"/>
      <c r="I947" s="45"/>
    </row>
    <row r="948" ht="12.75" customHeight="1">
      <c r="H948" s="44"/>
      <c r="I948" s="45"/>
    </row>
    <row r="949" ht="12.75" customHeight="1">
      <c r="H949" s="44"/>
      <c r="I949" s="45"/>
    </row>
    <row r="950" ht="12.75" customHeight="1">
      <c r="H950" s="44"/>
      <c r="I950" s="45"/>
    </row>
    <row r="951" ht="12.75" customHeight="1">
      <c r="H951" s="44"/>
      <c r="I951" s="45"/>
    </row>
    <row r="952" ht="12.75" customHeight="1">
      <c r="H952" s="44"/>
      <c r="I952" s="45"/>
    </row>
    <row r="953" ht="12.75" customHeight="1">
      <c r="H953" s="44"/>
      <c r="I953" s="45"/>
    </row>
    <row r="954" ht="12.75" customHeight="1">
      <c r="H954" s="44"/>
      <c r="I954" s="45"/>
    </row>
    <row r="955" ht="12.75" customHeight="1">
      <c r="H955" s="44"/>
      <c r="I955" s="45"/>
    </row>
    <row r="956" ht="12.75" customHeight="1">
      <c r="H956" s="44"/>
      <c r="I956" s="45"/>
    </row>
    <row r="957" ht="12.75" customHeight="1">
      <c r="H957" s="44"/>
      <c r="I957" s="45"/>
    </row>
    <row r="958" ht="12.75" customHeight="1">
      <c r="H958" s="44"/>
      <c r="I958" s="45"/>
    </row>
    <row r="959" ht="12.75" customHeight="1">
      <c r="H959" s="44"/>
      <c r="I959" s="45"/>
    </row>
    <row r="960" ht="12.75" customHeight="1">
      <c r="H960" s="44"/>
      <c r="I960" s="45"/>
    </row>
    <row r="961" ht="12.75" customHeight="1">
      <c r="H961" s="44"/>
      <c r="I961" s="45"/>
    </row>
    <row r="962" ht="12.75" customHeight="1">
      <c r="H962" s="44"/>
      <c r="I962" s="45"/>
    </row>
    <row r="963" ht="12.75" customHeight="1">
      <c r="H963" s="44"/>
      <c r="I963" s="45"/>
    </row>
    <row r="964" ht="12.75" customHeight="1">
      <c r="H964" s="44"/>
      <c r="I964" s="45"/>
    </row>
    <row r="965" ht="12.75" customHeight="1">
      <c r="H965" s="44"/>
      <c r="I965" s="45"/>
    </row>
    <row r="966" ht="12.75" customHeight="1">
      <c r="H966" s="44"/>
      <c r="I966" s="45"/>
    </row>
    <row r="967" ht="12.75" customHeight="1">
      <c r="H967" s="44"/>
      <c r="I967" s="45"/>
    </row>
    <row r="968" ht="12.75" customHeight="1">
      <c r="H968" s="44"/>
      <c r="I968" s="45"/>
    </row>
    <row r="969" ht="12.75" customHeight="1">
      <c r="H969" s="44"/>
      <c r="I969" s="45"/>
    </row>
    <row r="970" ht="12.75" customHeight="1">
      <c r="H970" s="44"/>
      <c r="I970" s="45"/>
    </row>
    <row r="971" ht="12.75" customHeight="1">
      <c r="H971" s="44"/>
      <c r="I971" s="45"/>
    </row>
    <row r="972" ht="12.75" customHeight="1">
      <c r="H972" s="44"/>
      <c r="I972" s="45"/>
    </row>
    <row r="973" ht="12.75" customHeight="1">
      <c r="H973" s="44"/>
      <c r="I973" s="45"/>
    </row>
    <row r="974" ht="12.75" customHeight="1">
      <c r="H974" s="44"/>
      <c r="I974" s="45"/>
    </row>
    <row r="975" ht="12.75" customHeight="1">
      <c r="H975" s="44"/>
      <c r="I975" s="45"/>
    </row>
    <row r="976" ht="12.75" customHeight="1">
      <c r="H976" s="44"/>
      <c r="I976" s="45"/>
    </row>
    <row r="977" ht="12.75" customHeight="1">
      <c r="H977" s="44"/>
      <c r="I977" s="45"/>
    </row>
    <row r="978" ht="12.75" customHeight="1">
      <c r="H978" s="44"/>
      <c r="I978" s="45"/>
    </row>
    <row r="979" ht="12.75" customHeight="1">
      <c r="H979" s="44"/>
      <c r="I979" s="45"/>
    </row>
    <row r="980" ht="12.75" customHeight="1">
      <c r="H980" s="44"/>
      <c r="I980" s="45"/>
    </row>
    <row r="981" ht="12.75" customHeight="1">
      <c r="H981" s="44"/>
      <c r="I981" s="45"/>
    </row>
    <row r="982" ht="12.75" customHeight="1">
      <c r="H982" s="44"/>
      <c r="I982" s="45"/>
    </row>
    <row r="983" ht="12.75" customHeight="1">
      <c r="H983" s="44"/>
      <c r="I983" s="45"/>
    </row>
    <row r="984" ht="12.75" customHeight="1">
      <c r="H984" s="44"/>
      <c r="I984" s="45"/>
    </row>
    <row r="985" ht="12.75" customHeight="1">
      <c r="H985" s="44"/>
      <c r="I985" s="45"/>
    </row>
    <row r="986" ht="12.75" customHeight="1">
      <c r="H986" s="44"/>
      <c r="I986" s="45"/>
    </row>
    <row r="987" ht="12.75" customHeight="1">
      <c r="H987" s="44"/>
      <c r="I987" s="45"/>
    </row>
    <row r="988" ht="12.75" customHeight="1">
      <c r="H988" s="44"/>
      <c r="I988" s="45"/>
    </row>
    <row r="989" ht="12.75" customHeight="1">
      <c r="H989" s="44"/>
      <c r="I989" s="45"/>
    </row>
    <row r="990" ht="12.75" customHeight="1">
      <c r="H990" s="44"/>
      <c r="I990" s="45"/>
    </row>
    <row r="991" ht="12.75" customHeight="1">
      <c r="H991" s="44"/>
      <c r="I991" s="45"/>
    </row>
    <row r="992" ht="12.75" customHeight="1">
      <c r="H992" s="44"/>
      <c r="I992" s="45"/>
    </row>
    <row r="993" ht="12.75" customHeight="1">
      <c r="H993" s="44"/>
      <c r="I993" s="45"/>
    </row>
    <row r="994" ht="12.75" customHeight="1">
      <c r="H994" s="44"/>
      <c r="I994" s="45"/>
    </row>
    <row r="995" ht="12.75" customHeight="1">
      <c r="H995" s="44"/>
      <c r="I995" s="45"/>
    </row>
    <row r="996" ht="12.75" customHeight="1">
      <c r="H996" s="44"/>
      <c r="I996" s="45"/>
    </row>
    <row r="997" ht="12.75" customHeight="1">
      <c r="H997" s="44"/>
      <c r="I997" s="45"/>
    </row>
    <row r="998" ht="12.75" customHeight="1">
      <c r="H998" s="44"/>
      <c r="I998" s="45"/>
    </row>
    <row r="999" ht="12.75" customHeight="1">
      <c r="H999" s="44"/>
      <c r="I999" s="45"/>
    </row>
    <row r="1000" ht="12.75" customHeight="1">
      <c r="H1000" s="44"/>
      <c r="I1000" s="45"/>
    </row>
    <row r="1001" ht="12.75" customHeight="1">
      <c r="H1001" s="44"/>
      <c r="I1001" s="45"/>
    </row>
    <row r="1002" ht="12.75" customHeight="1">
      <c r="H1002" s="44"/>
      <c r="I1002" s="45"/>
    </row>
    <row r="1003" ht="12.75" customHeight="1">
      <c r="H1003" s="44"/>
      <c r="I1003" s="45"/>
    </row>
    <row r="1004" ht="12.75" customHeight="1">
      <c r="H1004" s="44"/>
      <c r="I1004" s="45"/>
    </row>
    <row r="1005" ht="12.75" customHeight="1">
      <c r="H1005" s="44"/>
      <c r="I1005" s="45"/>
    </row>
    <row r="1006" ht="12.75" customHeight="1">
      <c r="H1006" s="44"/>
      <c r="I1006" s="45"/>
    </row>
    <row r="1007" ht="12.75" customHeight="1">
      <c r="H1007" s="44"/>
      <c r="I1007" s="45"/>
    </row>
    <row r="1008" ht="12.75" customHeight="1">
      <c r="H1008" s="44"/>
      <c r="I1008" s="45"/>
    </row>
    <row r="1009" ht="12.75" customHeight="1">
      <c r="H1009" s="44"/>
      <c r="I1009" s="45"/>
    </row>
    <row r="1010" ht="12.75" customHeight="1">
      <c r="H1010" s="44"/>
      <c r="I1010" s="45"/>
    </row>
    <row r="1011" ht="12.75" customHeight="1">
      <c r="H1011" s="44"/>
      <c r="I1011" s="45"/>
    </row>
    <row r="1012" ht="12.75" customHeight="1">
      <c r="H1012" s="44"/>
      <c r="I1012" s="45"/>
    </row>
    <row r="1013" ht="12.75" customHeight="1">
      <c r="H1013" s="44"/>
      <c r="I1013" s="45"/>
    </row>
    <row r="1014" ht="12.75" customHeight="1">
      <c r="H1014" s="44"/>
      <c r="I1014" s="45"/>
    </row>
    <row r="1015" ht="12.75" customHeight="1">
      <c r="H1015" s="44"/>
      <c r="I1015" s="45"/>
    </row>
    <row r="1016" ht="12.75" customHeight="1">
      <c r="H1016" s="44"/>
      <c r="I1016" s="45"/>
    </row>
    <row r="1017" ht="12.75" customHeight="1">
      <c r="H1017" s="44"/>
      <c r="I1017" s="45"/>
    </row>
    <row r="1018" ht="12.75" customHeight="1">
      <c r="H1018" s="44"/>
      <c r="I1018" s="45"/>
    </row>
    <row r="1019" ht="12.75" customHeight="1">
      <c r="H1019" s="44"/>
      <c r="I1019" s="45"/>
    </row>
    <row r="1020" ht="12.75" customHeight="1">
      <c r="H1020" s="44"/>
      <c r="I1020" s="45"/>
    </row>
    <row r="1021" ht="12.75" customHeight="1">
      <c r="H1021" s="44"/>
      <c r="I1021" s="45"/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0"/>
    <hyperlink r:id="rId70" ref="H71"/>
    <hyperlink r:id="rId71" ref="H72"/>
    <hyperlink r:id="rId72" ref="H73"/>
    <hyperlink r:id="rId73" ref="H74"/>
    <hyperlink r:id="rId74" ref="H75"/>
    <hyperlink r:id="rId75" ref="H76"/>
    <hyperlink r:id="rId76" ref="H77"/>
    <hyperlink r:id="rId77" ref="H78"/>
    <hyperlink r:id="rId78" ref="H79"/>
    <hyperlink r:id="rId79" ref="H80"/>
    <hyperlink r:id="rId80" ref="H81"/>
    <hyperlink r:id="rId81" ref="H82"/>
    <hyperlink r:id="rId82" ref="H83"/>
    <hyperlink r:id="rId83" ref="H84"/>
    <hyperlink r:id="rId84" ref="H85"/>
    <hyperlink r:id="rId85" ref="H86"/>
    <hyperlink r:id="rId86" ref="H87"/>
    <hyperlink r:id="rId87" ref="H88"/>
    <hyperlink r:id="rId88" ref="H89"/>
    <hyperlink r:id="rId89" ref="H90"/>
    <hyperlink r:id="rId90" ref="H91"/>
    <hyperlink r:id="rId91" ref="H92"/>
    <hyperlink r:id="rId92" ref="H93"/>
    <hyperlink r:id="rId93" ref="H94"/>
    <hyperlink r:id="rId94" ref="H95"/>
    <hyperlink r:id="rId95" ref="H96"/>
    <hyperlink r:id="rId96" ref="H97"/>
    <hyperlink r:id="rId97" ref="H98"/>
    <hyperlink r:id="rId98" ref="H99"/>
    <hyperlink r:id="rId99" ref="H100"/>
    <hyperlink r:id="rId100" ref="H101"/>
    <hyperlink r:id="rId101" ref="H102"/>
    <hyperlink r:id="rId102" ref="H103"/>
    <hyperlink r:id="rId103" ref="H104"/>
    <hyperlink r:id="rId104" ref="H105"/>
    <hyperlink r:id="rId105" ref="H106"/>
    <hyperlink r:id="rId106" ref="H107"/>
    <hyperlink r:id="rId107" ref="H108"/>
    <hyperlink r:id="rId108" ref="H109"/>
    <hyperlink r:id="rId109" ref="H110"/>
    <hyperlink r:id="rId110" ref="H111"/>
    <hyperlink r:id="rId111" ref="H112"/>
    <hyperlink r:id="rId112" ref="H113"/>
    <hyperlink r:id="rId113" ref="H114"/>
    <hyperlink r:id="rId114" ref="H115"/>
    <hyperlink r:id="rId115" ref="H116"/>
    <hyperlink r:id="rId116" ref="H117"/>
    <hyperlink r:id="rId117" ref="H118"/>
    <hyperlink r:id="rId118" ref="H119"/>
    <hyperlink r:id="rId119" ref="H120"/>
    <hyperlink r:id="rId120" ref="H121"/>
    <hyperlink r:id="rId121" ref="H122"/>
    <hyperlink r:id="rId122" ref="H123"/>
    <hyperlink r:id="rId123" ref="H124"/>
    <hyperlink r:id="rId124" ref="H125"/>
    <hyperlink r:id="rId125" ref="H126"/>
    <hyperlink r:id="rId126" ref="H127"/>
    <hyperlink r:id="rId127" ref="H128"/>
    <hyperlink r:id="rId128" ref="H129"/>
    <hyperlink r:id="rId129" ref="H130"/>
    <hyperlink r:id="rId130" ref="H131"/>
    <hyperlink r:id="rId131" ref="H132"/>
    <hyperlink r:id="rId132" ref="H133"/>
    <hyperlink r:id="rId133" ref="H134"/>
    <hyperlink r:id="rId134" ref="H135"/>
    <hyperlink r:id="rId135" ref="H136"/>
    <hyperlink r:id="rId136" ref="H137"/>
    <hyperlink r:id="rId137" ref="H138"/>
    <hyperlink r:id="rId138" ref="H139"/>
    <hyperlink r:id="rId139" ref="H140"/>
    <hyperlink r:id="rId140" ref="H141"/>
    <hyperlink r:id="rId141" ref="H142"/>
    <hyperlink r:id="rId142" ref="H143"/>
    <hyperlink r:id="rId143" ref="H144"/>
    <hyperlink r:id="rId144" ref="H145"/>
    <hyperlink r:id="rId145" ref="H146"/>
    <hyperlink r:id="rId146" ref="H147"/>
    <hyperlink r:id="rId147" ref="H148"/>
    <hyperlink r:id="rId148" ref="H149"/>
    <hyperlink r:id="rId149" ref="H150"/>
    <hyperlink r:id="rId150" ref="H151"/>
    <hyperlink r:id="rId151" ref="H152"/>
    <hyperlink r:id="rId152" ref="H153"/>
    <hyperlink r:id="rId153" ref="H154"/>
    <hyperlink r:id="rId154" ref="H155"/>
    <hyperlink r:id="rId155" ref="H156"/>
    <hyperlink r:id="rId156" ref="H157"/>
    <hyperlink r:id="rId157" ref="H158"/>
    <hyperlink r:id="rId158" ref="H159"/>
    <hyperlink r:id="rId159" ref="H160"/>
    <hyperlink r:id="rId160" ref="H161"/>
  </hyperlinks>
  <printOptions/>
  <pageMargins bottom="0.75" footer="0.0" header="0.0" left="0.7" right="0.7" top="0.75"/>
  <pageSetup orientation="landscape"/>
  <drawing r:id="rId161"/>
  <tableParts count="1">
    <tablePart r:id="rId16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4.88"/>
    <col customWidth="1" min="2" max="2" width="37.63"/>
    <col customWidth="1" min="3" max="6" width="12.63"/>
  </cols>
  <sheetData>
    <row r="1" ht="15.75" customHeight="1">
      <c r="A1" s="1" t="s">
        <v>483</v>
      </c>
      <c r="B1" s="1" t="s">
        <v>484</v>
      </c>
      <c r="C1" s="1" t="s">
        <v>2</v>
      </c>
      <c r="D1" s="1" t="s">
        <v>486</v>
      </c>
      <c r="E1" s="1" t="s">
        <v>6</v>
      </c>
      <c r="F1" s="1" t="s">
        <v>1016</v>
      </c>
      <c r="G1" s="1" t="s">
        <v>302</v>
      </c>
      <c r="H1" s="1" t="s">
        <v>7</v>
      </c>
      <c r="I1" s="1" t="s">
        <v>303</v>
      </c>
    </row>
    <row r="2" ht="15.75" customHeight="1">
      <c r="A2" s="1" t="s">
        <v>10</v>
      </c>
      <c r="B2" s="1" t="s">
        <v>1017</v>
      </c>
      <c r="C2" s="1" t="s">
        <v>11</v>
      </c>
      <c r="D2" s="1">
        <v>3.0</v>
      </c>
      <c r="E2" s="1" t="s">
        <v>1018</v>
      </c>
      <c r="F2" s="1" t="str">
        <f t="shared" ref="F2:F217" si="1">LEFT(A2,3)</f>
        <v>3.2</v>
      </c>
      <c r="G2" s="1">
        <v>3.0</v>
      </c>
      <c r="H2" s="1">
        <v>1.0</v>
      </c>
      <c r="I2" s="1" t="str">
        <f t="shared" ref="I2:I217" si="2">CONCATENATE(G2,"-",H2)</f>
        <v>3-1</v>
      </c>
    </row>
    <row r="3" ht="15.75" customHeight="1">
      <c r="A3" s="1" t="s">
        <v>47</v>
      </c>
      <c r="B3" s="1" t="s">
        <v>1019</v>
      </c>
      <c r="C3" s="1" t="s">
        <v>11</v>
      </c>
      <c r="D3" s="1">
        <v>3.0</v>
      </c>
      <c r="E3" s="1" t="s">
        <v>1018</v>
      </c>
      <c r="F3" s="1" t="str">
        <f t="shared" si="1"/>
        <v>3.2</v>
      </c>
      <c r="G3" s="1">
        <v>3.0</v>
      </c>
      <c r="H3" s="1">
        <v>2.0</v>
      </c>
      <c r="I3" s="1" t="str">
        <f t="shared" si="2"/>
        <v>3-2</v>
      </c>
    </row>
    <row r="4" ht="15.75" customHeight="1">
      <c r="A4" s="1" t="s">
        <v>30</v>
      </c>
      <c r="B4" s="1" t="s">
        <v>1020</v>
      </c>
      <c r="C4" s="1" t="s">
        <v>11</v>
      </c>
      <c r="D4" s="1">
        <v>3.0</v>
      </c>
      <c r="E4" s="1" t="s">
        <v>1018</v>
      </c>
      <c r="F4" s="1" t="str">
        <f t="shared" si="1"/>
        <v>3.2</v>
      </c>
      <c r="G4" s="1">
        <v>3.0</v>
      </c>
      <c r="H4" s="1">
        <v>3.0</v>
      </c>
      <c r="I4" s="1" t="str">
        <f t="shared" si="2"/>
        <v>3-3</v>
      </c>
    </row>
    <row r="5" ht="15.75" customHeight="1">
      <c r="A5" s="1" t="s">
        <v>28</v>
      </c>
      <c r="B5" s="1" t="s">
        <v>1021</v>
      </c>
      <c r="C5" s="1" t="s">
        <v>11</v>
      </c>
      <c r="D5" s="1">
        <v>3.0</v>
      </c>
      <c r="E5" s="1" t="s">
        <v>1018</v>
      </c>
      <c r="F5" s="1" t="str">
        <f t="shared" si="1"/>
        <v>3.2</v>
      </c>
      <c r="G5" s="1">
        <v>3.0</v>
      </c>
      <c r="H5" s="1">
        <v>4.0</v>
      </c>
      <c r="I5" s="1" t="str">
        <f t="shared" si="2"/>
        <v>3-4</v>
      </c>
    </row>
    <row r="6" ht="15.75" customHeight="1">
      <c r="A6" s="1" t="s">
        <v>33</v>
      </c>
      <c r="B6" s="1" t="s">
        <v>1022</v>
      </c>
      <c r="C6" s="1" t="s">
        <v>11</v>
      </c>
      <c r="D6" s="1">
        <v>3.0</v>
      </c>
      <c r="E6" s="1" t="s">
        <v>1018</v>
      </c>
      <c r="F6" s="1" t="str">
        <f t="shared" si="1"/>
        <v>3.2</v>
      </c>
      <c r="G6" s="1">
        <v>3.0</v>
      </c>
      <c r="H6" s="1">
        <v>5.0</v>
      </c>
      <c r="I6" s="1" t="str">
        <f t="shared" si="2"/>
        <v>3-5</v>
      </c>
    </row>
    <row r="7" ht="15.75" customHeight="1">
      <c r="A7" s="1" t="s">
        <v>48</v>
      </c>
      <c r="B7" s="1" t="s">
        <v>1023</v>
      </c>
      <c r="C7" s="1" t="s">
        <v>11</v>
      </c>
      <c r="D7" s="1">
        <v>3.0</v>
      </c>
      <c r="E7" s="1" t="s">
        <v>1018</v>
      </c>
      <c r="F7" s="1" t="str">
        <f t="shared" si="1"/>
        <v>3.2</v>
      </c>
      <c r="G7" s="1">
        <v>3.0</v>
      </c>
      <c r="H7" s="1">
        <v>6.0</v>
      </c>
      <c r="I7" s="1" t="str">
        <f t="shared" si="2"/>
        <v>3-6</v>
      </c>
    </row>
    <row r="8" ht="15.75" customHeight="1">
      <c r="A8" s="1" t="s">
        <v>57</v>
      </c>
      <c r="B8" s="1" t="s">
        <v>1024</v>
      </c>
      <c r="C8" s="1" t="s">
        <v>11</v>
      </c>
      <c r="D8" s="1">
        <v>3.0</v>
      </c>
      <c r="E8" s="1" t="s">
        <v>1018</v>
      </c>
      <c r="F8" s="1" t="str">
        <f t="shared" si="1"/>
        <v>3.2</v>
      </c>
      <c r="G8" s="1">
        <v>3.0</v>
      </c>
      <c r="H8" s="1">
        <v>7.0</v>
      </c>
      <c r="I8" s="1" t="str">
        <f t="shared" si="2"/>
        <v>3-7</v>
      </c>
    </row>
    <row r="9" ht="15.75" customHeight="1">
      <c r="A9" s="1" t="s">
        <v>58</v>
      </c>
      <c r="B9" s="1" t="s">
        <v>1025</v>
      </c>
      <c r="C9" s="1" t="s">
        <v>11</v>
      </c>
      <c r="D9" s="1">
        <v>3.0</v>
      </c>
      <c r="E9" s="1" t="s">
        <v>1018</v>
      </c>
      <c r="F9" s="1" t="str">
        <f t="shared" si="1"/>
        <v>3.2</v>
      </c>
      <c r="G9" s="1">
        <v>3.0</v>
      </c>
      <c r="H9" s="1">
        <v>8.0</v>
      </c>
      <c r="I9" s="1" t="str">
        <f t="shared" si="2"/>
        <v>3-8</v>
      </c>
    </row>
    <row r="10" ht="15.75" customHeight="1">
      <c r="A10" s="1" t="s">
        <v>116</v>
      </c>
      <c r="B10" s="1" t="s">
        <v>1026</v>
      </c>
      <c r="C10" s="1" t="s">
        <v>11</v>
      </c>
      <c r="D10" s="1">
        <v>3.0</v>
      </c>
      <c r="E10" s="1" t="s">
        <v>1018</v>
      </c>
      <c r="F10" s="1" t="str">
        <f t="shared" si="1"/>
        <v>3.2</v>
      </c>
      <c r="G10" s="1">
        <v>3.0</v>
      </c>
      <c r="H10" s="1">
        <v>9.0</v>
      </c>
      <c r="I10" s="1" t="str">
        <f t="shared" si="2"/>
        <v>3-9</v>
      </c>
    </row>
    <row r="11" ht="15.75" customHeight="1">
      <c r="A11" s="1" t="s">
        <v>115</v>
      </c>
      <c r="B11" s="1" t="s">
        <v>1027</v>
      </c>
      <c r="C11" s="1" t="s">
        <v>11</v>
      </c>
      <c r="D11" s="1">
        <v>3.0</v>
      </c>
      <c r="E11" s="1" t="s">
        <v>1018</v>
      </c>
      <c r="F11" s="1" t="str">
        <f t="shared" si="1"/>
        <v>3.2</v>
      </c>
      <c r="G11" s="1">
        <v>3.0</v>
      </c>
      <c r="H11" s="1">
        <v>10.0</v>
      </c>
      <c r="I11" s="1" t="str">
        <f t="shared" si="2"/>
        <v>3-10</v>
      </c>
    </row>
    <row r="12" ht="15.75" customHeight="1">
      <c r="A12" s="1" t="s">
        <v>117</v>
      </c>
      <c r="B12" s="1" t="s">
        <v>1028</v>
      </c>
      <c r="C12" s="1" t="s">
        <v>11</v>
      </c>
      <c r="D12" s="1">
        <v>3.0</v>
      </c>
      <c r="E12" s="1" t="s">
        <v>1018</v>
      </c>
      <c r="F12" s="1" t="str">
        <f t="shared" si="1"/>
        <v>3.2</v>
      </c>
      <c r="G12" s="1">
        <v>3.0</v>
      </c>
      <c r="H12" s="1">
        <v>11.0</v>
      </c>
      <c r="I12" s="1" t="str">
        <f t="shared" si="2"/>
        <v>3-11</v>
      </c>
    </row>
    <row r="13" ht="15.75" customHeight="1">
      <c r="A13" s="1" t="s">
        <v>118</v>
      </c>
      <c r="B13" s="1" t="s">
        <v>1029</v>
      </c>
      <c r="C13" s="1" t="s">
        <v>11</v>
      </c>
      <c r="D13" s="1">
        <v>3.0</v>
      </c>
      <c r="E13" s="1" t="s">
        <v>1018</v>
      </c>
      <c r="F13" s="1" t="str">
        <f t="shared" si="1"/>
        <v>3.2</v>
      </c>
      <c r="G13" s="1">
        <v>3.0</v>
      </c>
      <c r="H13" s="1">
        <v>12.0</v>
      </c>
      <c r="I13" s="1" t="str">
        <f t="shared" si="2"/>
        <v>3-12</v>
      </c>
    </row>
    <row r="14" ht="15.75" customHeight="1">
      <c r="A14" s="1" t="s">
        <v>91</v>
      </c>
      <c r="B14" s="1" t="s">
        <v>1030</v>
      </c>
      <c r="C14" s="1" t="s">
        <v>11</v>
      </c>
      <c r="D14" s="1">
        <v>3.0</v>
      </c>
      <c r="E14" s="1" t="s">
        <v>1018</v>
      </c>
      <c r="F14" s="1" t="str">
        <f t="shared" si="1"/>
        <v>3.2</v>
      </c>
      <c r="G14" s="1">
        <v>6.0</v>
      </c>
      <c r="H14" s="1">
        <v>1.0</v>
      </c>
      <c r="I14" s="1" t="str">
        <f t="shared" si="2"/>
        <v>6-1</v>
      </c>
    </row>
    <row r="15" ht="15.75" customHeight="1">
      <c r="A15" s="1" t="s">
        <v>335</v>
      </c>
      <c r="B15" s="1" t="s">
        <v>1031</v>
      </c>
      <c r="C15" s="1" t="s">
        <v>11</v>
      </c>
      <c r="D15" s="1">
        <v>3.0</v>
      </c>
      <c r="E15" s="1" t="s">
        <v>1018</v>
      </c>
      <c r="F15" s="1" t="str">
        <f t="shared" si="1"/>
        <v>3.2</v>
      </c>
      <c r="G15" s="1">
        <v>6.0</v>
      </c>
      <c r="H15" s="1">
        <v>2.0</v>
      </c>
      <c r="I15" s="1" t="str">
        <f t="shared" si="2"/>
        <v>6-2</v>
      </c>
    </row>
    <row r="16" ht="15.75" customHeight="1">
      <c r="A16" s="1" t="s">
        <v>333</v>
      </c>
      <c r="B16" s="1" t="s">
        <v>1032</v>
      </c>
      <c r="C16" s="1" t="s">
        <v>11</v>
      </c>
      <c r="D16" s="1">
        <v>3.0</v>
      </c>
      <c r="E16" s="1" t="s">
        <v>1018</v>
      </c>
      <c r="F16" s="1" t="str">
        <f t="shared" si="1"/>
        <v>3.2</v>
      </c>
      <c r="G16" s="1">
        <v>6.0</v>
      </c>
      <c r="H16" s="1">
        <v>3.0</v>
      </c>
      <c r="I16" s="1" t="str">
        <f t="shared" si="2"/>
        <v>6-3</v>
      </c>
    </row>
    <row r="17" ht="15.75" customHeight="1">
      <c r="A17" s="1" t="s">
        <v>136</v>
      </c>
      <c r="B17" s="1" t="s">
        <v>1033</v>
      </c>
      <c r="C17" s="1" t="s">
        <v>11</v>
      </c>
      <c r="D17" s="1">
        <v>3.0</v>
      </c>
      <c r="E17" s="1" t="s">
        <v>1018</v>
      </c>
      <c r="F17" s="1" t="str">
        <f t="shared" si="1"/>
        <v>3.2</v>
      </c>
      <c r="G17" s="1">
        <v>6.0</v>
      </c>
      <c r="H17" s="1">
        <v>4.0</v>
      </c>
      <c r="I17" s="1" t="str">
        <f t="shared" si="2"/>
        <v>6-4</v>
      </c>
    </row>
    <row r="18" ht="15.75" customHeight="1">
      <c r="A18" s="1" t="s">
        <v>321</v>
      </c>
      <c r="B18" s="1" t="s">
        <v>1034</v>
      </c>
      <c r="C18" s="1" t="s">
        <v>11</v>
      </c>
      <c r="D18" s="1">
        <v>3.0</v>
      </c>
      <c r="E18" s="1" t="s">
        <v>1018</v>
      </c>
      <c r="F18" s="1" t="str">
        <f t="shared" si="1"/>
        <v>3.2</v>
      </c>
      <c r="G18" s="1">
        <v>6.0</v>
      </c>
      <c r="H18" s="1">
        <v>5.0</v>
      </c>
      <c r="I18" s="1" t="str">
        <f t="shared" si="2"/>
        <v>6-5</v>
      </c>
    </row>
    <row r="19" ht="15.75" customHeight="1">
      <c r="A19" s="1" t="s">
        <v>137</v>
      </c>
      <c r="B19" s="1" t="s">
        <v>1035</v>
      </c>
      <c r="C19" s="1" t="s">
        <v>11</v>
      </c>
      <c r="D19" s="1">
        <v>3.0</v>
      </c>
      <c r="E19" s="1" t="s">
        <v>1018</v>
      </c>
      <c r="F19" s="1" t="str">
        <f t="shared" si="1"/>
        <v>3.2</v>
      </c>
      <c r="G19" s="1">
        <v>6.0</v>
      </c>
      <c r="H19" s="1">
        <v>6.0</v>
      </c>
      <c r="I19" s="1" t="str">
        <f t="shared" si="2"/>
        <v>6-6</v>
      </c>
    </row>
    <row r="20" ht="15.75" customHeight="1">
      <c r="A20" s="1" t="s">
        <v>323</v>
      </c>
      <c r="B20" s="1" t="s">
        <v>1036</v>
      </c>
      <c r="C20" s="1" t="s">
        <v>11</v>
      </c>
      <c r="D20" s="1">
        <v>3.0</v>
      </c>
      <c r="E20" s="1" t="s">
        <v>1018</v>
      </c>
      <c r="F20" s="1" t="str">
        <f t="shared" si="1"/>
        <v>3.2</v>
      </c>
      <c r="G20" s="1">
        <v>6.0</v>
      </c>
      <c r="H20" s="1">
        <v>7.0</v>
      </c>
      <c r="I20" s="1" t="str">
        <f t="shared" si="2"/>
        <v>6-7</v>
      </c>
    </row>
    <row r="21" ht="15.75" customHeight="1">
      <c r="A21" s="1" t="s">
        <v>139</v>
      </c>
      <c r="B21" s="1" t="s">
        <v>1037</v>
      </c>
      <c r="C21" s="1" t="s">
        <v>11</v>
      </c>
      <c r="D21" s="1">
        <v>3.0</v>
      </c>
      <c r="E21" s="1" t="s">
        <v>1018</v>
      </c>
      <c r="F21" s="1" t="str">
        <f t="shared" si="1"/>
        <v>3.2</v>
      </c>
      <c r="G21" s="1">
        <v>6.0</v>
      </c>
      <c r="H21" s="1">
        <v>8.0</v>
      </c>
      <c r="I21" s="1" t="str">
        <f t="shared" si="2"/>
        <v>6-8</v>
      </c>
    </row>
    <row r="22" ht="15.75" customHeight="1">
      <c r="A22" s="1" t="s">
        <v>112</v>
      </c>
      <c r="B22" s="1" t="s">
        <v>1038</v>
      </c>
      <c r="C22" s="1" t="s">
        <v>11</v>
      </c>
      <c r="D22" s="1">
        <v>3.0</v>
      </c>
      <c r="E22" s="1" t="s">
        <v>1018</v>
      </c>
      <c r="F22" s="1" t="str">
        <f t="shared" si="1"/>
        <v>3.2</v>
      </c>
      <c r="G22" s="1">
        <v>6.0</v>
      </c>
      <c r="H22" s="1">
        <v>9.0</v>
      </c>
      <c r="I22" s="1" t="str">
        <f t="shared" si="2"/>
        <v>6-9</v>
      </c>
    </row>
    <row r="23" ht="15.75" customHeight="1">
      <c r="A23" s="1" t="s">
        <v>122</v>
      </c>
      <c r="B23" s="1" t="s">
        <v>1039</v>
      </c>
      <c r="C23" s="1" t="s">
        <v>11</v>
      </c>
      <c r="D23" s="1">
        <v>3.0</v>
      </c>
      <c r="E23" s="1" t="s">
        <v>1018</v>
      </c>
      <c r="F23" s="1" t="str">
        <f t="shared" si="1"/>
        <v>3.2</v>
      </c>
      <c r="G23" s="1">
        <v>6.0</v>
      </c>
      <c r="H23" s="1">
        <v>10.0</v>
      </c>
      <c r="I23" s="1" t="str">
        <f t="shared" si="2"/>
        <v>6-10</v>
      </c>
    </row>
    <row r="24" ht="15.75" customHeight="1">
      <c r="A24" s="1" t="s">
        <v>126</v>
      </c>
      <c r="B24" s="1" t="s">
        <v>1040</v>
      </c>
      <c r="C24" s="1" t="s">
        <v>11</v>
      </c>
      <c r="D24" s="1">
        <v>3.0</v>
      </c>
      <c r="E24" s="1" t="s">
        <v>1018</v>
      </c>
      <c r="F24" s="1" t="str">
        <f t="shared" si="1"/>
        <v>3.2</v>
      </c>
      <c r="G24" s="1">
        <v>6.0</v>
      </c>
      <c r="H24" s="1">
        <v>11.0</v>
      </c>
      <c r="I24" s="1" t="str">
        <f t="shared" si="2"/>
        <v>6-11</v>
      </c>
    </row>
    <row r="25" ht="15.75" customHeight="1">
      <c r="A25" s="1" t="s">
        <v>1041</v>
      </c>
      <c r="B25" s="1" t="s">
        <v>1042</v>
      </c>
      <c r="C25" s="1" t="s">
        <v>11</v>
      </c>
      <c r="D25" s="1">
        <v>3.0</v>
      </c>
      <c r="E25" s="1" t="s">
        <v>1018</v>
      </c>
      <c r="F25" s="1" t="str">
        <f t="shared" si="1"/>
        <v>3.2</v>
      </c>
      <c r="G25" s="1">
        <v>6.0</v>
      </c>
      <c r="H25" s="1">
        <v>12.0</v>
      </c>
      <c r="I25" s="1" t="str">
        <f t="shared" si="2"/>
        <v>6-12</v>
      </c>
    </row>
    <row r="26" ht="15.75" customHeight="1">
      <c r="A26" s="1" t="s">
        <v>307</v>
      </c>
      <c r="B26" s="1" t="s">
        <v>1043</v>
      </c>
      <c r="C26" s="1" t="s">
        <v>11</v>
      </c>
      <c r="D26" s="1">
        <v>3.0</v>
      </c>
      <c r="E26" s="1" t="s">
        <v>1044</v>
      </c>
      <c r="F26" s="1" t="str">
        <f t="shared" si="1"/>
        <v>3.5</v>
      </c>
      <c r="G26" s="1">
        <v>3.0</v>
      </c>
      <c r="H26" s="1">
        <v>1.0</v>
      </c>
      <c r="I26" s="1" t="str">
        <f t="shared" si="2"/>
        <v>3-1</v>
      </c>
    </row>
    <row r="27" ht="15.75" customHeight="1">
      <c r="A27" s="1" t="s">
        <v>356</v>
      </c>
      <c r="B27" s="1" t="s">
        <v>1045</v>
      </c>
      <c r="C27" s="1" t="s">
        <v>11</v>
      </c>
      <c r="D27" s="1">
        <v>3.0</v>
      </c>
      <c r="E27" s="1" t="s">
        <v>1044</v>
      </c>
      <c r="F27" s="1" t="str">
        <f t="shared" si="1"/>
        <v>3.5</v>
      </c>
      <c r="G27" s="1">
        <v>3.0</v>
      </c>
      <c r="H27" s="1">
        <v>2.0</v>
      </c>
      <c r="I27" s="1" t="str">
        <f t="shared" si="2"/>
        <v>3-2</v>
      </c>
    </row>
    <row r="28" ht="15.75" customHeight="1">
      <c r="A28" s="1" t="s">
        <v>383</v>
      </c>
      <c r="B28" s="1" t="s">
        <v>1046</v>
      </c>
      <c r="C28" s="1" t="s">
        <v>11</v>
      </c>
      <c r="D28" s="1">
        <v>3.0</v>
      </c>
      <c r="E28" s="1" t="s">
        <v>1044</v>
      </c>
      <c r="F28" s="1" t="str">
        <f t="shared" si="1"/>
        <v>3.5</v>
      </c>
      <c r="G28" s="1">
        <v>3.0</v>
      </c>
      <c r="H28" s="1">
        <v>3.0</v>
      </c>
      <c r="I28" s="1" t="str">
        <f t="shared" si="2"/>
        <v>3-3</v>
      </c>
    </row>
    <row r="29" ht="15.75" customHeight="1">
      <c r="A29" s="1" t="s">
        <v>453</v>
      </c>
      <c r="B29" s="1" t="s">
        <v>1047</v>
      </c>
      <c r="C29" s="1" t="s">
        <v>11</v>
      </c>
      <c r="D29" s="1">
        <v>3.0</v>
      </c>
      <c r="E29" s="1" t="s">
        <v>1044</v>
      </c>
      <c r="F29" s="1" t="str">
        <f t="shared" si="1"/>
        <v>3.5</v>
      </c>
      <c r="G29" s="1">
        <v>3.0</v>
      </c>
      <c r="H29" s="1">
        <v>4.0</v>
      </c>
      <c r="I29" s="1" t="str">
        <f t="shared" si="2"/>
        <v>3-4</v>
      </c>
    </row>
    <row r="30" ht="15.75" customHeight="1">
      <c r="A30" s="1" t="s">
        <v>443</v>
      </c>
      <c r="B30" s="1" t="s">
        <v>1048</v>
      </c>
      <c r="C30" s="1" t="s">
        <v>11</v>
      </c>
      <c r="D30" s="1">
        <v>3.0</v>
      </c>
      <c r="E30" s="1" t="s">
        <v>1044</v>
      </c>
      <c r="F30" s="1" t="str">
        <f t="shared" si="1"/>
        <v>3.5</v>
      </c>
      <c r="G30" s="1">
        <v>3.0</v>
      </c>
      <c r="H30" s="1">
        <v>5.0</v>
      </c>
      <c r="I30" s="1" t="str">
        <f t="shared" si="2"/>
        <v>3-5</v>
      </c>
    </row>
    <row r="31" ht="15.75" customHeight="1">
      <c r="A31" s="1" t="s">
        <v>446</v>
      </c>
      <c r="B31" s="1" t="s">
        <v>1049</v>
      </c>
      <c r="C31" s="1" t="s">
        <v>11</v>
      </c>
      <c r="D31" s="1">
        <v>3.0</v>
      </c>
      <c r="E31" s="1" t="s">
        <v>1044</v>
      </c>
      <c r="F31" s="1" t="str">
        <f t="shared" si="1"/>
        <v>3.5</v>
      </c>
      <c r="G31" s="1">
        <v>3.0</v>
      </c>
      <c r="H31" s="1">
        <v>6.0</v>
      </c>
      <c r="I31" s="1" t="str">
        <f t="shared" si="2"/>
        <v>3-6</v>
      </c>
    </row>
    <row r="32" ht="15.75" customHeight="1">
      <c r="A32" s="1" t="s">
        <v>354</v>
      </c>
      <c r="B32" s="1" t="s">
        <v>1050</v>
      </c>
      <c r="C32" s="1" t="s">
        <v>11</v>
      </c>
      <c r="D32" s="1">
        <v>3.0</v>
      </c>
      <c r="E32" s="1" t="s">
        <v>1044</v>
      </c>
      <c r="F32" s="1" t="str">
        <f t="shared" si="1"/>
        <v>3.5</v>
      </c>
      <c r="G32" s="1">
        <v>3.0</v>
      </c>
      <c r="H32" s="1">
        <v>7.0</v>
      </c>
      <c r="I32" s="1" t="str">
        <f t="shared" si="2"/>
        <v>3-7</v>
      </c>
    </row>
    <row r="33" ht="15.75" customHeight="1">
      <c r="A33" s="1" t="s">
        <v>404</v>
      </c>
      <c r="B33" s="1" t="s">
        <v>1051</v>
      </c>
      <c r="C33" s="1" t="s">
        <v>11</v>
      </c>
      <c r="D33" s="1">
        <v>3.0</v>
      </c>
      <c r="E33" s="1" t="s">
        <v>1044</v>
      </c>
      <c r="F33" s="1" t="str">
        <f t="shared" si="1"/>
        <v>3.5</v>
      </c>
      <c r="G33" s="1">
        <v>3.0</v>
      </c>
      <c r="H33" s="1">
        <v>8.0</v>
      </c>
      <c r="I33" s="1" t="str">
        <f t="shared" si="2"/>
        <v>3-8</v>
      </c>
    </row>
    <row r="34" ht="15.75" customHeight="1">
      <c r="A34" s="1" t="s">
        <v>445</v>
      </c>
      <c r="B34" s="1" t="s">
        <v>1052</v>
      </c>
      <c r="C34" s="1" t="s">
        <v>11</v>
      </c>
      <c r="D34" s="1">
        <v>3.0</v>
      </c>
      <c r="E34" s="1" t="s">
        <v>1044</v>
      </c>
      <c r="F34" s="1" t="str">
        <f t="shared" si="1"/>
        <v>3.5</v>
      </c>
      <c r="G34" s="1">
        <v>3.0</v>
      </c>
      <c r="H34" s="1">
        <v>9.0</v>
      </c>
      <c r="I34" s="1" t="str">
        <f t="shared" si="2"/>
        <v>3-9</v>
      </c>
    </row>
    <row r="35" ht="15.75" customHeight="1">
      <c r="A35" s="1" t="s">
        <v>437</v>
      </c>
      <c r="B35" s="1" t="s">
        <v>1053</v>
      </c>
      <c r="C35" s="1" t="s">
        <v>11</v>
      </c>
      <c r="D35" s="1">
        <v>3.0</v>
      </c>
      <c r="E35" s="1" t="s">
        <v>1044</v>
      </c>
      <c r="F35" s="1" t="str">
        <f t="shared" si="1"/>
        <v>3.5</v>
      </c>
      <c r="G35" s="1">
        <v>3.0</v>
      </c>
      <c r="H35" s="1">
        <v>10.0</v>
      </c>
      <c r="I35" s="1" t="str">
        <f t="shared" si="2"/>
        <v>3-10</v>
      </c>
    </row>
    <row r="36" ht="15.75" customHeight="1">
      <c r="A36" s="1" t="s">
        <v>1054</v>
      </c>
      <c r="B36" s="1" t="s">
        <v>1055</v>
      </c>
      <c r="C36" s="1" t="s">
        <v>11</v>
      </c>
      <c r="D36" s="1">
        <v>3.0</v>
      </c>
      <c r="E36" s="1" t="s">
        <v>1044</v>
      </c>
      <c r="F36" s="1" t="str">
        <f t="shared" si="1"/>
        <v>3.5</v>
      </c>
      <c r="G36" s="1">
        <v>3.0</v>
      </c>
      <c r="H36" s="1">
        <v>11.0</v>
      </c>
      <c r="I36" s="1" t="str">
        <f t="shared" si="2"/>
        <v>3-11</v>
      </c>
    </row>
    <row r="37" ht="15.75" customHeight="1">
      <c r="A37" s="1" t="s">
        <v>438</v>
      </c>
      <c r="B37" s="1" t="s">
        <v>1056</v>
      </c>
      <c r="C37" s="1" t="s">
        <v>11</v>
      </c>
      <c r="D37" s="1">
        <v>3.0</v>
      </c>
      <c r="E37" s="1" t="s">
        <v>1044</v>
      </c>
      <c r="F37" s="1" t="str">
        <f t="shared" si="1"/>
        <v>3.5</v>
      </c>
      <c r="G37" s="1">
        <v>3.0</v>
      </c>
      <c r="H37" s="1">
        <v>12.0</v>
      </c>
      <c r="I37" s="1" t="str">
        <f t="shared" si="2"/>
        <v>3-12</v>
      </c>
    </row>
    <row r="38" ht="15.75" customHeight="1">
      <c r="A38" s="1" t="s">
        <v>366</v>
      </c>
      <c r="B38" s="1" t="s">
        <v>1057</v>
      </c>
      <c r="C38" s="1" t="s">
        <v>11</v>
      </c>
      <c r="D38" s="1">
        <v>3.0</v>
      </c>
      <c r="E38" s="1" t="s">
        <v>1044</v>
      </c>
      <c r="F38" s="1" t="str">
        <f t="shared" si="1"/>
        <v>3.5</v>
      </c>
      <c r="G38" s="1">
        <v>6.0</v>
      </c>
      <c r="H38" s="1">
        <v>1.0</v>
      </c>
      <c r="I38" s="1" t="str">
        <f t="shared" si="2"/>
        <v>6-1</v>
      </c>
    </row>
    <row r="39" ht="15.75" customHeight="1">
      <c r="A39" s="1" t="s">
        <v>375</v>
      </c>
      <c r="B39" s="1" t="s">
        <v>1058</v>
      </c>
      <c r="C39" s="1" t="s">
        <v>11</v>
      </c>
      <c r="D39" s="1">
        <v>3.0</v>
      </c>
      <c r="E39" s="1" t="s">
        <v>1044</v>
      </c>
      <c r="F39" s="1" t="str">
        <f t="shared" si="1"/>
        <v>3.5</v>
      </c>
      <c r="G39" s="1">
        <v>6.0</v>
      </c>
      <c r="H39" s="1">
        <v>2.0</v>
      </c>
      <c r="I39" s="1" t="str">
        <f t="shared" si="2"/>
        <v>6-2</v>
      </c>
    </row>
    <row r="40" ht="15.75" customHeight="1">
      <c r="A40" s="1" t="s">
        <v>355</v>
      </c>
      <c r="B40" s="1" t="s">
        <v>1059</v>
      </c>
      <c r="C40" s="1" t="s">
        <v>11</v>
      </c>
      <c r="D40" s="1">
        <v>3.0</v>
      </c>
      <c r="E40" s="1" t="s">
        <v>1044</v>
      </c>
      <c r="F40" s="1" t="str">
        <f t="shared" si="1"/>
        <v>3.5</v>
      </c>
      <c r="G40" s="1">
        <v>6.0</v>
      </c>
      <c r="H40" s="1">
        <v>3.0</v>
      </c>
      <c r="I40" s="1" t="str">
        <f t="shared" si="2"/>
        <v>6-3</v>
      </c>
    </row>
    <row r="41" ht="15.75" customHeight="1">
      <c r="A41" s="1" t="s">
        <v>1060</v>
      </c>
      <c r="B41" s="1" t="s">
        <v>1061</v>
      </c>
      <c r="C41" s="1" t="s">
        <v>11</v>
      </c>
      <c r="D41" s="1">
        <v>3.0</v>
      </c>
      <c r="E41" s="1" t="s">
        <v>1044</v>
      </c>
      <c r="F41" s="1" t="str">
        <f t="shared" si="1"/>
        <v>3.5</v>
      </c>
      <c r="G41" s="1">
        <v>6.0</v>
      </c>
      <c r="H41" s="1">
        <v>4.0</v>
      </c>
      <c r="I41" s="1" t="str">
        <f t="shared" si="2"/>
        <v>6-4</v>
      </c>
    </row>
    <row r="42" ht="15.75" customHeight="1">
      <c r="A42" s="1" t="s">
        <v>1062</v>
      </c>
      <c r="B42" s="1" t="s">
        <v>1063</v>
      </c>
      <c r="C42" s="1" t="s">
        <v>11</v>
      </c>
      <c r="D42" s="1">
        <v>3.0</v>
      </c>
      <c r="E42" s="1" t="s">
        <v>1044</v>
      </c>
      <c r="F42" s="1" t="str">
        <f t="shared" si="1"/>
        <v>3.5</v>
      </c>
      <c r="G42" s="1">
        <v>6.0</v>
      </c>
      <c r="H42" s="1">
        <v>5.0</v>
      </c>
      <c r="I42" s="1" t="str">
        <f t="shared" si="2"/>
        <v>6-5</v>
      </c>
    </row>
    <row r="43" ht="15.75" customHeight="1">
      <c r="A43" s="1" t="s">
        <v>376</v>
      </c>
      <c r="B43" s="1" t="s">
        <v>1064</v>
      </c>
      <c r="C43" s="1" t="s">
        <v>11</v>
      </c>
      <c r="D43" s="1">
        <v>3.0</v>
      </c>
      <c r="E43" s="1" t="s">
        <v>1044</v>
      </c>
      <c r="F43" s="1" t="str">
        <f t="shared" si="1"/>
        <v>3.5</v>
      </c>
      <c r="G43" s="1">
        <v>6.0</v>
      </c>
      <c r="H43" s="1">
        <v>6.0</v>
      </c>
      <c r="I43" s="1" t="str">
        <f t="shared" si="2"/>
        <v>6-6</v>
      </c>
    </row>
    <row r="44" ht="15.75" customHeight="1">
      <c r="A44" s="1" t="s">
        <v>1065</v>
      </c>
      <c r="B44" s="1" t="s">
        <v>1066</v>
      </c>
      <c r="C44" s="1" t="s">
        <v>11</v>
      </c>
      <c r="D44" s="1">
        <v>3.0</v>
      </c>
      <c r="E44" s="1" t="s">
        <v>1044</v>
      </c>
      <c r="F44" s="1" t="str">
        <f t="shared" si="1"/>
        <v>3.5</v>
      </c>
      <c r="G44" s="1">
        <v>6.0</v>
      </c>
      <c r="H44" s="1">
        <v>7.0</v>
      </c>
      <c r="I44" s="1" t="str">
        <f t="shared" si="2"/>
        <v>6-7</v>
      </c>
    </row>
    <row r="45" ht="15.75" customHeight="1">
      <c r="A45" s="1" t="s">
        <v>1067</v>
      </c>
      <c r="B45" s="1" t="s">
        <v>1068</v>
      </c>
      <c r="C45" s="1" t="s">
        <v>11</v>
      </c>
      <c r="D45" s="1">
        <v>3.0</v>
      </c>
      <c r="E45" s="1" t="s">
        <v>1044</v>
      </c>
      <c r="F45" s="1" t="str">
        <f t="shared" si="1"/>
        <v>3.5</v>
      </c>
      <c r="G45" s="1">
        <v>6.0</v>
      </c>
      <c r="H45" s="1">
        <v>8.0</v>
      </c>
      <c r="I45" s="1" t="str">
        <f t="shared" si="2"/>
        <v>6-8</v>
      </c>
    </row>
    <row r="46" ht="15.75" customHeight="1">
      <c r="A46" s="1" t="s">
        <v>1069</v>
      </c>
      <c r="B46" s="1" t="s">
        <v>1070</v>
      </c>
      <c r="C46" s="1" t="s">
        <v>11</v>
      </c>
      <c r="D46" s="1">
        <v>3.0</v>
      </c>
      <c r="E46" s="1" t="s">
        <v>1044</v>
      </c>
      <c r="F46" s="1" t="str">
        <f t="shared" si="1"/>
        <v>3.5</v>
      </c>
      <c r="G46" s="1">
        <v>6.0</v>
      </c>
      <c r="H46" s="1">
        <v>9.0</v>
      </c>
      <c r="I46" s="1" t="str">
        <f t="shared" si="2"/>
        <v>6-9</v>
      </c>
    </row>
    <row r="47" ht="15.75" customHeight="1">
      <c r="A47" s="1" t="s">
        <v>1071</v>
      </c>
      <c r="B47" s="1" t="s">
        <v>1072</v>
      </c>
      <c r="C47" s="1" t="s">
        <v>11</v>
      </c>
      <c r="D47" s="1">
        <v>3.0</v>
      </c>
      <c r="E47" s="1" t="s">
        <v>1044</v>
      </c>
      <c r="F47" s="1" t="str">
        <f t="shared" si="1"/>
        <v>3.5</v>
      </c>
      <c r="G47" s="1">
        <v>6.0</v>
      </c>
      <c r="H47" s="1">
        <v>10.0</v>
      </c>
      <c r="I47" s="1" t="str">
        <f t="shared" si="2"/>
        <v>6-10</v>
      </c>
    </row>
    <row r="48" ht="15.75" customHeight="1">
      <c r="A48" s="1" t="s">
        <v>1073</v>
      </c>
      <c r="B48" s="1" t="s">
        <v>1074</v>
      </c>
      <c r="C48" s="1" t="s">
        <v>11</v>
      </c>
      <c r="D48" s="1">
        <v>3.0</v>
      </c>
      <c r="E48" s="1" t="s">
        <v>1044</v>
      </c>
      <c r="F48" s="1" t="str">
        <f t="shared" si="1"/>
        <v>3.5</v>
      </c>
      <c r="G48" s="1">
        <v>6.0</v>
      </c>
      <c r="H48" s="1">
        <v>11.0</v>
      </c>
      <c r="I48" s="1" t="str">
        <f t="shared" si="2"/>
        <v>6-11</v>
      </c>
    </row>
    <row r="49" ht="15.75" customHeight="1">
      <c r="A49" s="1" t="s">
        <v>1075</v>
      </c>
      <c r="B49" s="1" t="s">
        <v>1076</v>
      </c>
      <c r="C49" s="1" t="s">
        <v>11</v>
      </c>
      <c r="D49" s="1">
        <v>3.0</v>
      </c>
      <c r="E49" s="1" t="s">
        <v>1044</v>
      </c>
      <c r="F49" s="1" t="str">
        <f t="shared" si="1"/>
        <v>3.5</v>
      </c>
      <c r="G49" s="1">
        <v>6.0</v>
      </c>
      <c r="H49" s="1">
        <v>12.0</v>
      </c>
      <c r="I49" s="1" t="str">
        <f t="shared" si="2"/>
        <v>6-12</v>
      </c>
    </row>
    <row r="50" ht="15.75" customHeight="1">
      <c r="A50" s="1" t="s">
        <v>425</v>
      </c>
      <c r="B50" s="1" t="s">
        <v>1077</v>
      </c>
      <c r="C50" s="1" t="s">
        <v>11</v>
      </c>
      <c r="D50" s="1">
        <v>3.0</v>
      </c>
      <c r="E50" s="1" t="s">
        <v>1078</v>
      </c>
      <c r="F50" s="1" t="str">
        <f t="shared" si="1"/>
        <v>3.8</v>
      </c>
      <c r="G50" s="1">
        <v>3.0</v>
      </c>
      <c r="H50" s="1">
        <v>1.0</v>
      </c>
      <c r="I50" s="1" t="str">
        <f t="shared" si="2"/>
        <v>3-1</v>
      </c>
    </row>
    <row r="51" ht="15.75" customHeight="1">
      <c r="A51" s="1" t="s">
        <v>352</v>
      </c>
      <c r="B51" s="1" t="s">
        <v>1079</v>
      </c>
      <c r="C51" s="1" t="s">
        <v>11</v>
      </c>
      <c r="D51" s="1">
        <v>3.0</v>
      </c>
      <c r="E51" s="1" t="s">
        <v>1078</v>
      </c>
      <c r="F51" s="1" t="str">
        <f t="shared" si="1"/>
        <v>3.8</v>
      </c>
      <c r="G51" s="1">
        <v>3.0</v>
      </c>
      <c r="H51" s="1">
        <v>2.0</v>
      </c>
      <c r="I51" s="1" t="str">
        <f t="shared" si="2"/>
        <v>3-2</v>
      </c>
    </row>
    <row r="52" ht="15.75" customHeight="1">
      <c r="A52" s="1" t="s">
        <v>377</v>
      </c>
      <c r="B52" s="1" t="s">
        <v>1080</v>
      </c>
      <c r="C52" s="1" t="s">
        <v>11</v>
      </c>
      <c r="D52" s="1">
        <v>3.0</v>
      </c>
      <c r="E52" s="1" t="s">
        <v>1078</v>
      </c>
      <c r="F52" s="1" t="str">
        <f t="shared" si="1"/>
        <v>3.8</v>
      </c>
      <c r="G52" s="1">
        <v>3.0</v>
      </c>
      <c r="H52" s="1">
        <v>3.0</v>
      </c>
      <c r="I52" s="1" t="str">
        <f t="shared" si="2"/>
        <v>3-3</v>
      </c>
    </row>
    <row r="53" ht="15.75" customHeight="1">
      <c r="A53" s="1" t="s">
        <v>450</v>
      </c>
      <c r="B53" s="1" t="s">
        <v>1081</v>
      </c>
      <c r="C53" s="1" t="s">
        <v>11</v>
      </c>
      <c r="D53" s="1">
        <v>3.0</v>
      </c>
      <c r="E53" s="1" t="s">
        <v>1078</v>
      </c>
      <c r="F53" s="1" t="str">
        <f t="shared" si="1"/>
        <v>3.8</v>
      </c>
      <c r="G53" s="1">
        <v>3.0</v>
      </c>
      <c r="H53" s="1">
        <v>4.0</v>
      </c>
      <c r="I53" s="1" t="str">
        <f t="shared" si="2"/>
        <v>3-4</v>
      </c>
    </row>
    <row r="54" ht="15.75" customHeight="1">
      <c r="A54" s="1" t="s">
        <v>451</v>
      </c>
      <c r="B54" s="1" t="s">
        <v>1082</v>
      </c>
      <c r="C54" s="1" t="s">
        <v>11</v>
      </c>
      <c r="D54" s="1">
        <v>3.0</v>
      </c>
      <c r="E54" s="1" t="s">
        <v>1078</v>
      </c>
      <c r="F54" s="1" t="str">
        <f t="shared" si="1"/>
        <v>3.8</v>
      </c>
      <c r="G54" s="1">
        <v>3.0</v>
      </c>
      <c r="H54" s="1">
        <v>5.0</v>
      </c>
      <c r="I54" s="1" t="str">
        <f t="shared" si="2"/>
        <v>3-5</v>
      </c>
    </row>
    <row r="55" ht="15.75" customHeight="1">
      <c r="A55" s="1" t="s">
        <v>350</v>
      </c>
      <c r="B55" s="1" t="s">
        <v>1083</v>
      </c>
      <c r="C55" s="1" t="s">
        <v>11</v>
      </c>
      <c r="D55" s="1">
        <v>3.0</v>
      </c>
      <c r="E55" s="1" t="s">
        <v>1078</v>
      </c>
      <c r="F55" s="1" t="str">
        <f t="shared" si="1"/>
        <v>3.8</v>
      </c>
      <c r="G55" s="1">
        <v>3.0</v>
      </c>
      <c r="H55" s="1">
        <v>6.0</v>
      </c>
      <c r="I55" s="1" t="str">
        <f t="shared" si="2"/>
        <v>3-6</v>
      </c>
    </row>
    <row r="56" ht="15.75" customHeight="1">
      <c r="A56" s="1" t="s">
        <v>361</v>
      </c>
      <c r="B56" s="1" t="s">
        <v>1084</v>
      </c>
      <c r="C56" s="1" t="s">
        <v>11</v>
      </c>
      <c r="D56" s="1">
        <v>3.0</v>
      </c>
      <c r="E56" s="1" t="s">
        <v>1078</v>
      </c>
      <c r="F56" s="1" t="str">
        <f t="shared" si="1"/>
        <v>3.8</v>
      </c>
      <c r="G56" s="1">
        <v>3.0</v>
      </c>
      <c r="H56" s="1">
        <v>7.0</v>
      </c>
      <c r="I56" s="1" t="str">
        <f t="shared" si="2"/>
        <v>3-7</v>
      </c>
    </row>
    <row r="57" ht="15.75" customHeight="1">
      <c r="A57" s="1" t="s">
        <v>442</v>
      </c>
      <c r="B57" s="1" t="s">
        <v>1085</v>
      </c>
      <c r="C57" s="1" t="s">
        <v>11</v>
      </c>
      <c r="D57" s="1">
        <v>3.0</v>
      </c>
      <c r="E57" s="1" t="s">
        <v>1078</v>
      </c>
      <c r="F57" s="1" t="str">
        <f t="shared" si="1"/>
        <v>3.8</v>
      </c>
      <c r="G57" s="1">
        <v>3.0</v>
      </c>
      <c r="H57" s="1">
        <v>8.0</v>
      </c>
      <c r="I57" s="1" t="str">
        <f t="shared" si="2"/>
        <v>3-8</v>
      </c>
    </row>
    <row r="58" ht="15.75" customHeight="1">
      <c r="A58" s="1" t="s">
        <v>405</v>
      </c>
      <c r="B58" s="1" t="s">
        <v>1086</v>
      </c>
      <c r="C58" s="1" t="s">
        <v>11</v>
      </c>
      <c r="D58" s="1">
        <v>3.0</v>
      </c>
      <c r="E58" s="1" t="s">
        <v>1078</v>
      </c>
      <c r="F58" s="1" t="str">
        <f t="shared" si="1"/>
        <v>3.8</v>
      </c>
      <c r="G58" s="1">
        <v>3.0</v>
      </c>
      <c r="H58" s="1">
        <v>9.0</v>
      </c>
      <c r="I58" s="1" t="str">
        <f t="shared" si="2"/>
        <v>3-9</v>
      </c>
    </row>
    <row r="59" ht="15.75" customHeight="1">
      <c r="A59" s="1" t="s">
        <v>417</v>
      </c>
      <c r="B59" s="1" t="s">
        <v>1087</v>
      </c>
      <c r="C59" s="1" t="s">
        <v>11</v>
      </c>
      <c r="D59" s="1">
        <v>3.0</v>
      </c>
      <c r="E59" s="1" t="s">
        <v>1078</v>
      </c>
      <c r="F59" s="1" t="str">
        <f t="shared" si="1"/>
        <v>3.8</v>
      </c>
      <c r="G59" s="1">
        <v>3.0</v>
      </c>
      <c r="H59" s="1">
        <v>10.0</v>
      </c>
      <c r="I59" s="1" t="str">
        <f t="shared" si="2"/>
        <v>3-10</v>
      </c>
    </row>
    <row r="60" ht="15.75" customHeight="1">
      <c r="A60" s="1" t="s">
        <v>1088</v>
      </c>
      <c r="B60" s="1" t="s">
        <v>1089</v>
      </c>
      <c r="C60" s="1" t="s">
        <v>11</v>
      </c>
      <c r="D60" s="1">
        <v>3.0</v>
      </c>
      <c r="E60" s="1" t="s">
        <v>1078</v>
      </c>
      <c r="F60" s="1" t="str">
        <f t="shared" si="1"/>
        <v>3.8</v>
      </c>
      <c r="G60" s="1">
        <v>3.0</v>
      </c>
      <c r="H60" s="1">
        <v>11.0</v>
      </c>
      <c r="I60" s="1" t="str">
        <f t="shared" si="2"/>
        <v>3-11</v>
      </c>
    </row>
    <row r="61" ht="15.75" customHeight="1">
      <c r="A61" s="1" t="s">
        <v>1090</v>
      </c>
      <c r="B61" s="1" t="s">
        <v>1091</v>
      </c>
      <c r="C61" s="1" t="s">
        <v>11</v>
      </c>
      <c r="D61" s="1">
        <v>3.0</v>
      </c>
      <c r="E61" s="1" t="s">
        <v>1078</v>
      </c>
      <c r="F61" s="1" t="str">
        <f t="shared" si="1"/>
        <v>3.8</v>
      </c>
      <c r="G61" s="1">
        <v>3.0</v>
      </c>
      <c r="H61" s="1">
        <v>12.0</v>
      </c>
      <c r="I61" s="1" t="str">
        <f t="shared" si="2"/>
        <v>3-12</v>
      </c>
    </row>
    <row r="62" ht="15.75" customHeight="1">
      <c r="A62" s="1" t="s">
        <v>357</v>
      </c>
      <c r="B62" s="1" t="s">
        <v>1092</v>
      </c>
      <c r="C62" s="1" t="s">
        <v>11</v>
      </c>
      <c r="D62" s="1">
        <v>3.0</v>
      </c>
      <c r="E62" s="1" t="s">
        <v>1078</v>
      </c>
      <c r="F62" s="1" t="str">
        <f t="shared" si="1"/>
        <v>3.8</v>
      </c>
      <c r="G62" s="1">
        <v>6.0</v>
      </c>
      <c r="H62" s="1">
        <v>1.0</v>
      </c>
      <c r="I62" s="1" t="str">
        <f t="shared" si="2"/>
        <v>6-1</v>
      </c>
    </row>
    <row r="63" ht="15.75" customHeight="1">
      <c r="A63" s="1" t="s">
        <v>1093</v>
      </c>
      <c r="B63" s="1" t="s">
        <v>1094</v>
      </c>
      <c r="C63" s="1" t="s">
        <v>11</v>
      </c>
      <c r="D63" s="1">
        <v>3.0</v>
      </c>
      <c r="E63" s="1" t="s">
        <v>1078</v>
      </c>
      <c r="F63" s="1" t="str">
        <f t="shared" si="1"/>
        <v>3.8</v>
      </c>
      <c r="G63" s="1">
        <v>6.0</v>
      </c>
      <c r="H63" s="1">
        <v>2.0</v>
      </c>
      <c r="I63" s="1" t="str">
        <f t="shared" si="2"/>
        <v>6-2</v>
      </c>
    </row>
    <row r="64" ht="15.75" customHeight="1">
      <c r="A64" s="1" t="s">
        <v>1095</v>
      </c>
      <c r="B64" s="1" t="s">
        <v>1096</v>
      </c>
      <c r="C64" s="1" t="s">
        <v>11</v>
      </c>
      <c r="D64" s="1">
        <v>3.0</v>
      </c>
      <c r="E64" s="1" t="s">
        <v>1078</v>
      </c>
      <c r="F64" s="1" t="str">
        <f t="shared" si="1"/>
        <v>3.8</v>
      </c>
      <c r="G64" s="1">
        <v>6.0</v>
      </c>
      <c r="H64" s="1">
        <v>3.0</v>
      </c>
      <c r="I64" s="1" t="str">
        <f t="shared" si="2"/>
        <v>6-3</v>
      </c>
    </row>
    <row r="65" ht="15.75" customHeight="1">
      <c r="A65" s="1" t="s">
        <v>1097</v>
      </c>
      <c r="B65" s="1" t="s">
        <v>1098</v>
      </c>
      <c r="C65" s="1" t="s">
        <v>11</v>
      </c>
      <c r="D65" s="1">
        <v>3.0</v>
      </c>
      <c r="E65" s="1" t="s">
        <v>1078</v>
      </c>
      <c r="F65" s="1" t="str">
        <f t="shared" si="1"/>
        <v>3.8</v>
      </c>
      <c r="G65" s="1">
        <v>6.0</v>
      </c>
      <c r="H65" s="1">
        <v>4.0</v>
      </c>
      <c r="I65" s="1" t="str">
        <f t="shared" si="2"/>
        <v>6-4</v>
      </c>
    </row>
    <row r="66" ht="15.75" customHeight="1">
      <c r="A66" s="1" t="s">
        <v>1099</v>
      </c>
      <c r="B66" s="1" t="s">
        <v>1100</v>
      </c>
      <c r="C66" s="1" t="s">
        <v>11</v>
      </c>
      <c r="D66" s="1">
        <v>3.0</v>
      </c>
      <c r="E66" s="1" t="s">
        <v>1078</v>
      </c>
      <c r="F66" s="1" t="str">
        <f t="shared" si="1"/>
        <v>3.8</v>
      </c>
      <c r="G66" s="1">
        <v>6.0</v>
      </c>
      <c r="H66" s="1">
        <v>5.0</v>
      </c>
      <c r="I66" s="1" t="str">
        <f t="shared" si="2"/>
        <v>6-5</v>
      </c>
    </row>
    <row r="67" ht="15.75" customHeight="1">
      <c r="A67" s="1" t="s">
        <v>378</v>
      </c>
      <c r="B67" s="1" t="s">
        <v>1101</v>
      </c>
      <c r="C67" s="1" t="s">
        <v>11</v>
      </c>
      <c r="D67" s="1">
        <v>3.0</v>
      </c>
      <c r="E67" s="1" t="s">
        <v>1078</v>
      </c>
      <c r="F67" s="1" t="str">
        <f t="shared" si="1"/>
        <v>3.8</v>
      </c>
      <c r="G67" s="1">
        <v>6.0</v>
      </c>
      <c r="H67" s="1">
        <v>6.0</v>
      </c>
      <c r="I67" s="1" t="str">
        <f t="shared" si="2"/>
        <v>6-6</v>
      </c>
    </row>
    <row r="68" ht="15.75" customHeight="1">
      <c r="A68" s="1" t="s">
        <v>1102</v>
      </c>
      <c r="B68" s="1" t="s">
        <v>1103</v>
      </c>
      <c r="C68" s="1" t="s">
        <v>11</v>
      </c>
      <c r="D68" s="1">
        <v>3.0</v>
      </c>
      <c r="E68" s="1" t="s">
        <v>1078</v>
      </c>
      <c r="F68" s="1" t="str">
        <f t="shared" si="1"/>
        <v>3.8</v>
      </c>
      <c r="G68" s="1">
        <v>6.0</v>
      </c>
      <c r="H68" s="1">
        <v>7.0</v>
      </c>
      <c r="I68" s="1" t="str">
        <f t="shared" si="2"/>
        <v>6-7</v>
      </c>
    </row>
    <row r="69" ht="15.75" customHeight="1">
      <c r="A69" s="1" t="s">
        <v>1104</v>
      </c>
      <c r="B69" s="1" t="s">
        <v>1105</v>
      </c>
      <c r="C69" s="1" t="s">
        <v>11</v>
      </c>
      <c r="D69" s="1">
        <v>3.0</v>
      </c>
      <c r="E69" s="1" t="s">
        <v>1078</v>
      </c>
      <c r="F69" s="1" t="str">
        <f t="shared" si="1"/>
        <v>3.8</v>
      </c>
      <c r="G69" s="1">
        <v>6.0</v>
      </c>
      <c r="H69" s="1">
        <v>8.0</v>
      </c>
      <c r="I69" s="1" t="str">
        <f t="shared" si="2"/>
        <v>6-8</v>
      </c>
    </row>
    <row r="70" ht="15.75" customHeight="1">
      <c r="A70" s="1" t="s">
        <v>1106</v>
      </c>
      <c r="B70" s="1" t="s">
        <v>1107</v>
      </c>
      <c r="C70" s="1" t="s">
        <v>11</v>
      </c>
      <c r="D70" s="1">
        <v>3.0</v>
      </c>
      <c r="E70" s="1" t="s">
        <v>1078</v>
      </c>
      <c r="F70" s="1" t="str">
        <f t="shared" si="1"/>
        <v>3.8</v>
      </c>
      <c r="G70" s="1">
        <v>6.0</v>
      </c>
      <c r="H70" s="1">
        <v>9.0</v>
      </c>
      <c r="I70" s="1" t="str">
        <f t="shared" si="2"/>
        <v>6-9</v>
      </c>
    </row>
    <row r="71" ht="15.75" customHeight="1">
      <c r="A71" s="1" t="s">
        <v>1108</v>
      </c>
      <c r="B71" s="1" t="s">
        <v>1109</v>
      </c>
      <c r="C71" s="1" t="s">
        <v>11</v>
      </c>
      <c r="D71" s="1">
        <v>3.0</v>
      </c>
      <c r="E71" s="1" t="s">
        <v>1078</v>
      </c>
      <c r="F71" s="1" t="str">
        <f t="shared" si="1"/>
        <v>3.8</v>
      </c>
      <c r="G71" s="1">
        <v>6.0</v>
      </c>
      <c r="H71" s="1">
        <v>10.0</v>
      </c>
      <c r="I71" s="1" t="str">
        <f t="shared" si="2"/>
        <v>6-10</v>
      </c>
    </row>
    <row r="72" ht="15.75" customHeight="1">
      <c r="A72" s="1" t="s">
        <v>1110</v>
      </c>
      <c r="B72" s="1" t="s">
        <v>1111</v>
      </c>
      <c r="C72" s="1" t="s">
        <v>11</v>
      </c>
      <c r="D72" s="1">
        <v>3.0</v>
      </c>
      <c r="E72" s="1" t="s">
        <v>1078</v>
      </c>
      <c r="F72" s="1" t="str">
        <f t="shared" si="1"/>
        <v>3.8</v>
      </c>
      <c r="G72" s="1">
        <v>6.0</v>
      </c>
      <c r="H72" s="1">
        <v>11.0</v>
      </c>
      <c r="I72" s="1" t="str">
        <f t="shared" si="2"/>
        <v>6-11</v>
      </c>
    </row>
    <row r="73" ht="15.75" customHeight="1">
      <c r="A73" s="1" t="s">
        <v>1112</v>
      </c>
      <c r="B73" s="1" t="s">
        <v>1113</v>
      </c>
      <c r="C73" s="1" t="s">
        <v>11</v>
      </c>
      <c r="D73" s="1">
        <v>3.0</v>
      </c>
      <c r="E73" s="1" t="s">
        <v>1078</v>
      </c>
      <c r="F73" s="1" t="str">
        <f t="shared" si="1"/>
        <v>3.8</v>
      </c>
      <c r="G73" s="1">
        <v>6.0</v>
      </c>
      <c r="H73" s="1">
        <v>12.0</v>
      </c>
      <c r="I73" s="1" t="str">
        <f t="shared" si="2"/>
        <v>6-12</v>
      </c>
    </row>
    <row r="74" ht="15.75" customHeight="1">
      <c r="A74" s="1" t="s">
        <v>34</v>
      </c>
      <c r="B74" s="1" t="s">
        <v>1114</v>
      </c>
      <c r="C74" s="1" t="s">
        <v>11</v>
      </c>
      <c r="D74" s="1">
        <v>4.0</v>
      </c>
      <c r="E74" s="1" t="s">
        <v>1018</v>
      </c>
      <c r="F74" s="1" t="str">
        <f t="shared" si="1"/>
        <v>4.2</v>
      </c>
      <c r="G74" s="1">
        <v>4.0</v>
      </c>
      <c r="H74" s="1">
        <v>1.0</v>
      </c>
      <c r="I74" s="1" t="str">
        <f t="shared" si="2"/>
        <v>4-1</v>
      </c>
    </row>
    <row r="75" ht="15.75" customHeight="1">
      <c r="A75" s="1" t="s">
        <v>37</v>
      </c>
      <c r="B75" s="1" t="s">
        <v>1115</v>
      </c>
      <c r="C75" s="1" t="s">
        <v>11</v>
      </c>
      <c r="D75" s="1">
        <v>4.0</v>
      </c>
      <c r="E75" s="1" t="s">
        <v>1018</v>
      </c>
      <c r="F75" s="1" t="str">
        <f t="shared" si="1"/>
        <v>4.2</v>
      </c>
      <c r="G75" s="1">
        <v>4.0</v>
      </c>
      <c r="H75" s="1">
        <v>2.0</v>
      </c>
      <c r="I75" s="1" t="str">
        <f t="shared" si="2"/>
        <v>4-2</v>
      </c>
    </row>
    <row r="76" ht="15.75" customHeight="1">
      <c r="A76" s="1" t="s">
        <v>97</v>
      </c>
      <c r="B76" s="1" t="s">
        <v>1116</v>
      </c>
      <c r="C76" s="1" t="s">
        <v>11</v>
      </c>
      <c r="D76" s="1">
        <v>4.0</v>
      </c>
      <c r="E76" s="1" t="s">
        <v>1018</v>
      </c>
      <c r="F76" s="1" t="str">
        <f t="shared" si="1"/>
        <v>4.2</v>
      </c>
      <c r="G76" s="1">
        <v>4.0</v>
      </c>
      <c r="H76" s="1">
        <v>3.0</v>
      </c>
      <c r="I76" s="1" t="str">
        <f t="shared" si="2"/>
        <v>4-3</v>
      </c>
    </row>
    <row r="77" ht="15.75" customHeight="1">
      <c r="A77" s="1" t="s">
        <v>61</v>
      </c>
      <c r="B77" s="1" t="s">
        <v>1117</v>
      </c>
      <c r="C77" s="1" t="s">
        <v>11</v>
      </c>
      <c r="D77" s="1">
        <v>4.0</v>
      </c>
      <c r="E77" s="1" t="s">
        <v>1018</v>
      </c>
      <c r="F77" s="1" t="str">
        <f t="shared" si="1"/>
        <v>4.2</v>
      </c>
      <c r="G77" s="1">
        <v>4.0</v>
      </c>
      <c r="H77" s="1">
        <v>4.0</v>
      </c>
      <c r="I77" s="1" t="str">
        <f t="shared" si="2"/>
        <v>4-4</v>
      </c>
    </row>
    <row r="78" ht="15.75" customHeight="1">
      <c r="A78" s="1" t="s">
        <v>23</v>
      </c>
      <c r="B78" s="1" t="s">
        <v>1118</v>
      </c>
      <c r="C78" s="1" t="s">
        <v>11</v>
      </c>
      <c r="D78" s="1">
        <v>4.0</v>
      </c>
      <c r="E78" s="1" t="s">
        <v>1018</v>
      </c>
      <c r="F78" s="1" t="str">
        <f t="shared" si="1"/>
        <v>4.2</v>
      </c>
      <c r="G78" s="1">
        <v>4.0</v>
      </c>
      <c r="H78" s="1">
        <v>5.0</v>
      </c>
      <c r="I78" s="1" t="str">
        <f t="shared" si="2"/>
        <v>4-5</v>
      </c>
    </row>
    <row r="79" ht="15.75" customHeight="1">
      <c r="A79" s="1" t="s">
        <v>21</v>
      </c>
      <c r="B79" s="1" t="s">
        <v>1119</v>
      </c>
      <c r="C79" s="1" t="s">
        <v>11</v>
      </c>
      <c r="D79" s="1">
        <v>4.0</v>
      </c>
      <c r="E79" s="1" t="s">
        <v>1018</v>
      </c>
      <c r="F79" s="1" t="str">
        <f t="shared" si="1"/>
        <v>4.2</v>
      </c>
      <c r="G79" s="1">
        <v>4.0</v>
      </c>
      <c r="H79" s="1">
        <v>6.0</v>
      </c>
      <c r="I79" s="1" t="str">
        <f t="shared" si="2"/>
        <v>4-6</v>
      </c>
    </row>
    <row r="80" ht="15.75" customHeight="1">
      <c r="A80" s="1" t="s">
        <v>19</v>
      </c>
      <c r="B80" s="1" t="s">
        <v>1120</v>
      </c>
      <c r="C80" s="1" t="s">
        <v>11</v>
      </c>
      <c r="D80" s="1">
        <v>4.0</v>
      </c>
      <c r="E80" s="1" t="s">
        <v>1018</v>
      </c>
      <c r="F80" s="1" t="str">
        <f t="shared" si="1"/>
        <v>4.2</v>
      </c>
      <c r="G80" s="1">
        <v>4.0</v>
      </c>
      <c r="H80" s="1">
        <v>7.0</v>
      </c>
      <c r="I80" s="1" t="str">
        <f t="shared" si="2"/>
        <v>4-7</v>
      </c>
    </row>
    <row r="81" ht="15.75" customHeight="1">
      <c r="A81" s="1" t="s">
        <v>79</v>
      </c>
      <c r="B81" s="1" t="s">
        <v>1121</v>
      </c>
      <c r="C81" s="1" t="s">
        <v>11</v>
      </c>
      <c r="D81" s="1">
        <v>4.0</v>
      </c>
      <c r="E81" s="1" t="s">
        <v>1018</v>
      </c>
      <c r="F81" s="1" t="str">
        <f t="shared" si="1"/>
        <v>4.2</v>
      </c>
      <c r="G81" s="1">
        <v>4.0</v>
      </c>
      <c r="H81" s="1">
        <v>8.0</v>
      </c>
      <c r="I81" s="1" t="str">
        <f t="shared" si="2"/>
        <v>4-8</v>
      </c>
    </row>
    <row r="82" ht="15.75" customHeight="1">
      <c r="A82" s="1" t="s">
        <v>66</v>
      </c>
      <c r="B82" s="1" t="s">
        <v>1122</v>
      </c>
      <c r="C82" s="1" t="s">
        <v>11</v>
      </c>
      <c r="D82" s="1">
        <v>4.0</v>
      </c>
      <c r="E82" s="1" t="s">
        <v>1018</v>
      </c>
      <c r="F82" s="1" t="str">
        <f t="shared" si="1"/>
        <v>4.2</v>
      </c>
      <c r="G82" s="1">
        <v>4.0</v>
      </c>
      <c r="H82" s="1">
        <v>9.0</v>
      </c>
      <c r="I82" s="1" t="str">
        <f t="shared" si="2"/>
        <v>4-9</v>
      </c>
    </row>
    <row r="83" ht="15.75" customHeight="1">
      <c r="A83" s="1" t="s">
        <v>40</v>
      </c>
      <c r="B83" s="1" t="s">
        <v>1123</v>
      </c>
      <c r="C83" s="1" t="s">
        <v>11</v>
      </c>
      <c r="D83" s="1">
        <v>4.0</v>
      </c>
      <c r="E83" s="1" t="s">
        <v>1018</v>
      </c>
      <c r="F83" s="1" t="str">
        <f t="shared" si="1"/>
        <v>4.2</v>
      </c>
      <c r="G83" s="1">
        <v>4.0</v>
      </c>
      <c r="H83" s="1">
        <v>10.0</v>
      </c>
      <c r="I83" s="1" t="str">
        <f t="shared" si="2"/>
        <v>4-10</v>
      </c>
    </row>
    <row r="84" ht="15.75" customHeight="1">
      <c r="A84" s="1" t="s">
        <v>42</v>
      </c>
      <c r="B84" s="1" t="s">
        <v>1124</v>
      </c>
      <c r="C84" s="1" t="s">
        <v>11</v>
      </c>
      <c r="D84" s="1">
        <v>4.0</v>
      </c>
      <c r="E84" s="1" t="s">
        <v>1018</v>
      </c>
      <c r="F84" s="1" t="str">
        <f t="shared" si="1"/>
        <v>4.2</v>
      </c>
      <c r="G84" s="1">
        <v>4.0</v>
      </c>
      <c r="H84" s="1">
        <v>11.0</v>
      </c>
      <c r="I84" s="1" t="str">
        <f t="shared" si="2"/>
        <v>4-11</v>
      </c>
    </row>
    <row r="85" ht="15.75" customHeight="1">
      <c r="A85" s="1" t="s">
        <v>123</v>
      </c>
      <c r="B85" s="1" t="s">
        <v>1125</v>
      </c>
      <c r="C85" s="1" t="s">
        <v>11</v>
      </c>
      <c r="D85" s="1">
        <v>4.0</v>
      </c>
      <c r="E85" s="1" t="s">
        <v>1018</v>
      </c>
      <c r="F85" s="1" t="str">
        <f t="shared" si="1"/>
        <v>4.2</v>
      </c>
      <c r="G85" s="1">
        <v>4.0</v>
      </c>
      <c r="H85" s="1">
        <v>12.0</v>
      </c>
      <c r="I85" s="1" t="str">
        <f t="shared" si="2"/>
        <v>4-12</v>
      </c>
    </row>
    <row r="86" ht="15.75" customHeight="1">
      <c r="A86" s="1" t="s">
        <v>363</v>
      </c>
      <c r="B86" s="1" t="s">
        <v>1126</v>
      </c>
      <c r="C86" s="1" t="s">
        <v>11</v>
      </c>
      <c r="D86" s="1">
        <v>4.0</v>
      </c>
      <c r="E86" s="1" t="s">
        <v>1018</v>
      </c>
      <c r="F86" s="1" t="str">
        <f t="shared" si="1"/>
        <v>4.2</v>
      </c>
      <c r="G86" s="1">
        <v>7.0</v>
      </c>
      <c r="H86" s="1">
        <v>1.0</v>
      </c>
      <c r="I86" s="1" t="str">
        <f t="shared" si="2"/>
        <v>7-1</v>
      </c>
    </row>
    <row r="87" ht="15.75" customHeight="1">
      <c r="A87" s="1" t="s">
        <v>384</v>
      </c>
      <c r="B87" s="1" t="s">
        <v>1127</v>
      </c>
      <c r="C87" s="1" t="s">
        <v>11</v>
      </c>
      <c r="D87" s="1">
        <v>4.0</v>
      </c>
      <c r="E87" s="1" t="s">
        <v>1018</v>
      </c>
      <c r="F87" s="1" t="str">
        <f t="shared" si="1"/>
        <v>4.2</v>
      </c>
      <c r="G87" s="1">
        <v>7.0</v>
      </c>
      <c r="H87" s="1">
        <v>2.0</v>
      </c>
      <c r="I87" s="1" t="str">
        <f t="shared" si="2"/>
        <v>7-2</v>
      </c>
    </row>
    <row r="88" ht="15.75" customHeight="1">
      <c r="A88" s="1" t="s">
        <v>391</v>
      </c>
      <c r="B88" s="1" t="s">
        <v>1128</v>
      </c>
      <c r="C88" s="1" t="s">
        <v>11</v>
      </c>
      <c r="D88" s="1">
        <v>4.0</v>
      </c>
      <c r="E88" s="1" t="s">
        <v>1018</v>
      </c>
      <c r="F88" s="1" t="str">
        <f t="shared" si="1"/>
        <v>4.2</v>
      </c>
      <c r="G88" s="1">
        <v>7.0</v>
      </c>
      <c r="H88" s="1">
        <v>3.0</v>
      </c>
      <c r="I88" s="1" t="str">
        <f t="shared" si="2"/>
        <v>7-3</v>
      </c>
    </row>
    <row r="89" ht="15.75" customHeight="1">
      <c r="A89" s="1" t="s">
        <v>141</v>
      </c>
      <c r="B89" s="1" t="s">
        <v>1129</v>
      </c>
      <c r="C89" s="1" t="s">
        <v>11</v>
      </c>
      <c r="D89" s="1">
        <v>4.0</v>
      </c>
      <c r="E89" s="1" t="s">
        <v>1018</v>
      </c>
      <c r="F89" s="1" t="str">
        <f t="shared" si="1"/>
        <v>4.2</v>
      </c>
      <c r="G89" s="1">
        <v>7.0</v>
      </c>
      <c r="H89" s="1">
        <v>4.0</v>
      </c>
      <c r="I89" s="1" t="str">
        <f t="shared" si="2"/>
        <v>7-4</v>
      </c>
    </row>
    <row r="90" ht="15.75" customHeight="1">
      <c r="A90" s="1" t="s">
        <v>124</v>
      </c>
      <c r="B90" s="1" t="s">
        <v>1130</v>
      </c>
      <c r="C90" s="1" t="s">
        <v>11</v>
      </c>
      <c r="D90" s="1">
        <v>4.0</v>
      </c>
      <c r="E90" s="1" t="s">
        <v>1018</v>
      </c>
      <c r="F90" s="1" t="str">
        <f t="shared" si="1"/>
        <v>4.2</v>
      </c>
      <c r="G90" s="1">
        <v>7.0</v>
      </c>
      <c r="H90" s="1">
        <v>5.0</v>
      </c>
      <c r="I90" s="1" t="str">
        <f t="shared" si="2"/>
        <v>7-5</v>
      </c>
    </row>
    <row r="91" ht="15.75" customHeight="1">
      <c r="A91" s="1" t="s">
        <v>133</v>
      </c>
      <c r="B91" s="1" t="s">
        <v>1131</v>
      </c>
      <c r="C91" s="1" t="s">
        <v>11</v>
      </c>
      <c r="D91" s="1">
        <v>4.0</v>
      </c>
      <c r="E91" s="1" t="s">
        <v>1018</v>
      </c>
      <c r="F91" s="1" t="str">
        <f t="shared" si="1"/>
        <v>4.2</v>
      </c>
      <c r="G91" s="1">
        <v>7.0</v>
      </c>
      <c r="H91" s="1">
        <v>6.0</v>
      </c>
      <c r="I91" s="1" t="str">
        <f t="shared" si="2"/>
        <v>7-6</v>
      </c>
    </row>
    <row r="92" ht="15.75" customHeight="1">
      <c r="A92" s="1" t="s">
        <v>113</v>
      </c>
      <c r="B92" s="1" t="s">
        <v>1132</v>
      </c>
      <c r="C92" s="1" t="s">
        <v>11</v>
      </c>
      <c r="D92" s="1">
        <v>4.0</v>
      </c>
      <c r="E92" s="1" t="s">
        <v>1018</v>
      </c>
      <c r="F92" s="1" t="str">
        <f t="shared" si="1"/>
        <v>4.2</v>
      </c>
      <c r="G92" s="1">
        <v>7.0</v>
      </c>
      <c r="H92" s="1">
        <v>7.0</v>
      </c>
      <c r="I92" s="1" t="str">
        <f t="shared" si="2"/>
        <v>7-7</v>
      </c>
    </row>
    <row r="93" ht="15.75" customHeight="1">
      <c r="A93" s="1" t="s">
        <v>125</v>
      </c>
      <c r="B93" s="1" t="s">
        <v>1133</v>
      </c>
      <c r="C93" s="1" t="s">
        <v>11</v>
      </c>
      <c r="D93" s="1">
        <v>4.0</v>
      </c>
      <c r="E93" s="1" t="s">
        <v>1018</v>
      </c>
      <c r="F93" s="1" t="str">
        <f t="shared" si="1"/>
        <v>4.2</v>
      </c>
      <c r="G93" s="1">
        <v>7.0</v>
      </c>
      <c r="H93" s="1">
        <v>8.0</v>
      </c>
      <c r="I93" s="1" t="str">
        <f t="shared" si="2"/>
        <v>7-8</v>
      </c>
    </row>
    <row r="94" ht="15.75" customHeight="1">
      <c r="A94" s="1" t="s">
        <v>423</v>
      </c>
      <c r="B94" s="1" t="s">
        <v>1134</v>
      </c>
      <c r="C94" s="1" t="s">
        <v>11</v>
      </c>
      <c r="D94" s="1">
        <v>4.0</v>
      </c>
      <c r="E94" s="1" t="s">
        <v>1018</v>
      </c>
      <c r="F94" s="1" t="str">
        <f t="shared" si="1"/>
        <v>4.2</v>
      </c>
      <c r="G94" s="1">
        <v>7.0</v>
      </c>
      <c r="H94" s="1">
        <v>9.0</v>
      </c>
      <c r="I94" s="1" t="str">
        <f t="shared" si="2"/>
        <v>7-9</v>
      </c>
    </row>
    <row r="95" ht="15.75" customHeight="1">
      <c r="A95" s="1" t="s">
        <v>669</v>
      </c>
      <c r="B95" s="1" t="s">
        <v>1135</v>
      </c>
      <c r="C95" s="1" t="s">
        <v>11</v>
      </c>
      <c r="D95" s="1">
        <v>4.0</v>
      </c>
      <c r="E95" s="1" t="s">
        <v>1018</v>
      </c>
      <c r="F95" s="1" t="str">
        <f t="shared" si="1"/>
        <v>4.2</v>
      </c>
      <c r="G95" s="1">
        <v>7.0</v>
      </c>
      <c r="H95" s="1">
        <v>10.0</v>
      </c>
      <c r="I95" s="1" t="str">
        <f t="shared" si="2"/>
        <v>7-10</v>
      </c>
    </row>
    <row r="96" ht="15.75" customHeight="1">
      <c r="A96" s="1" t="s">
        <v>131</v>
      </c>
      <c r="B96" s="1" t="s">
        <v>1136</v>
      </c>
      <c r="C96" s="1" t="s">
        <v>11</v>
      </c>
      <c r="D96" s="1">
        <v>4.0</v>
      </c>
      <c r="E96" s="1" t="s">
        <v>1018</v>
      </c>
      <c r="F96" s="1" t="str">
        <f t="shared" si="1"/>
        <v>4.2</v>
      </c>
      <c r="G96" s="1">
        <v>7.0</v>
      </c>
      <c r="H96" s="1">
        <v>11.0</v>
      </c>
      <c r="I96" s="1" t="str">
        <f t="shared" si="2"/>
        <v>7-11</v>
      </c>
    </row>
    <row r="97" ht="15.75" customHeight="1">
      <c r="A97" s="1" t="s">
        <v>108</v>
      </c>
      <c r="B97" s="1" t="s">
        <v>1137</v>
      </c>
      <c r="C97" s="1" t="s">
        <v>11</v>
      </c>
      <c r="D97" s="1">
        <v>4.0</v>
      </c>
      <c r="E97" s="1" t="s">
        <v>1018</v>
      </c>
      <c r="F97" s="1" t="str">
        <f t="shared" si="1"/>
        <v>4.2</v>
      </c>
      <c r="G97" s="1">
        <v>7.0</v>
      </c>
      <c r="H97" s="1">
        <v>12.0</v>
      </c>
      <c r="I97" s="1" t="str">
        <f t="shared" si="2"/>
        <v>7-12</v>
      </c>
    </row>
    <row r="98" ht="15.75" customHeight="1">
      <c r="A98" s="1" t="s">
        <v>309</v>
      </c>
      <c r="B98" s="1" t="s">
        <v>1138</v>
      </c>
      <c r="C98" s="1" t="s">
        <v>11</v>
      </c>
      <c r="D98" s="1">
        <v>4.0</v>
      </c>
      <c r="E98" s="1" t="s">
        <v>1044</v>
      </c>
      <c r="F98" s="1" t="str">
        <f t="shared" si="1"/>
        <v>4.5</v>
      </c>
      <c r="G98" s="1">
        <v>4.0</v>
      </c>
      <c r="H98" s="1">
        <v>1.0</v>
      </c>
      <c r="I98" s="1" t="str">
        <f t="shared" si="2"/>
        <v>4-1</v>
      </c>
    </row>
    <row r="99" ht="15.75" customHeight="1">
      <c r="A99" s="1" t="s">
        <v>320</v>
      </c>
      <c r="B99" s="1" t="s">
        <v>1139</v>
      </c>
      <c r="C99" s="1" t="s">
        <v>11</v>
      </c>
      <c r="D99" s="1">
        <v>4.0</v>
      </c>
      <c r="E99" s="1" t="s">
        <v>1044</v>
      </c>
      <c r="F99" s="1" t="str">
        <f t="shared" si="1"/>
        <v>4.5</v>
      </c>
      <c r="G99" s="1">
        <v>4.0</v>
      </c>
      <c r="H99" s="1">
        <v>2.0</v>
      </c>
      <c r="I99" s="1" t="str">
        <f t="shared" si="2"/>
        <v>4-2</v>
      </c>
    </row>
    <row r="100" ht="15.75" customHeight="1">
      <c r="A100" s="1" t="s">
        <v>382</v>
      </c>
      <c r="B100" s="1" t="s">
        <v>1140</v>
      </c>
      <c r="C100" s="1" t="s">
        <v>11</v>
      </c>
      <c r="D100" s="1">
        <v>4.0</v>
      </c>
      <c r="E100" s="1" t="s">
        <v>1044</v>
      </c>
      <c r="F100" s="1" t="str">
        <f t="shared" si="1"/>
        <v>4.5</v>
      </c>
      <c r="G100" s="1">
        <v>4.0</v>
      </c>
      <c r="H100" s="1">
        <v>3.0</v>
      </c>
      <c r="I100" s="1" t="str">
        <f t="shared" si="2"/>
        <v>4-3</v>
      </c>
    </row>
    <row r="101" ht="15.75" customHeight="1">
      <c r="A101" s="1" t="s">
        <v>433</v>
      </c>
      <c r="B101" s="1" t="s">
        <v>1141</v>
      </c>
      <c r="C101" s="1" t="s">
        <v>11</v>
      </c>
      <c r="D101" s="1">
        <v>4.0</v>
      </c>
      <c r="E101" s="1" t="s">
        <v>1044</v>
      </c>
      <c r="F101" s="1" t="str">
        <f t="shared" si="1"/>
        <v>4.5</v>
      </c>
      <c r="G101" s="1">
        <v>4.0</v>
      </c>
      <c r="H101" s="1">
        <v>4.0</v>
      </c>
      <c r="I101" s="1" t="str">
        <f t="shared" si="2"/>
        <v>4-4</v>
      </c>
    </row>
    <row r="102" ht="15.75" customHeight="1">
      <c r="A102" s="1" t="s">
        <v>1142</v>
      </c>
      <c r="B102" s="1" t="s">
        <v>1143</v>
      </c>
      <c r="C102" s="1" t="s">
        <v>11</v>
      </c>
      <c r="D102" s="1">
        <v>4.0</v>
      </c>
      <c r="E102" s="1" t="s">
        <v>1044</v>
      </c>
      <c r="F102" s="1" t="str">
        <f t="shared" si="1"/>
        <v>4.5</v>
      </c>
      <c r="G102" s="1">
        <v>4.0</v>
      </c>
      <c r="H102" s="1">
        <v>5.0</v>
      </c>
      <c r="I102" s="1" t="str">
        <f t="shared" si="2"/>
        <v>4-5</v>
      </c>
    </row>
    <row r="103" ht="15.75" customHeight="1">
      <c r="A103" s="1" t="s">
        <v>370</v>
      </c>
      <c r="B103" s="1" t="s">
        <v>1144</v>
      </c>
      <c r="C103" s="1" t="s">
        <v>11</v>
      </c>
      <c r="D103" s="1">
        <v>4.0</v>
      </c>
      <c r="E103" s="1" t="s">
        <v>1044</v>
      </c>
      <c r="F103" s="1" t="str">
        <f t="shared" si="1"/>
        <v>4.5</v>
      </c>
      <c r="G103" s="1">
        <v>4.0</v>
      </c>
      <c r="H103" s="1">
        <v>6.0</v>
      </c>
      <c r="I103" s="1" t="str">
        <f t="shared" si="2"/>
        <v>4-6</v>
      </c>
    </row>
    <row r="104" ht="15.75" customHeight="1">
      <c r="A104" s="1" t="s">
        <v>399</v>
      </c>
      <c r="B104" s="1" t="s">
        <v>1145</v>
      </c>
      <c r="C104" s="1" t="s">
        <v>11</v>
      </c>
      <c r="D104" s="1">
        <v>4.0</v>
      </c>
      <c r="E104" s="1" t="s">
        <v>1044</v>
      </c>
      <c r="F104" s="1" t="str">
        <f t="shared" si="1"/>
        <v>4.5</v>
      </c>
      <c r="G104" s="1">
        <v>4.0</v>
      </c>
      <c r="H104" s="1">
        <v>7.0</v>
      </c>
      <c r="I104" s="1" t="str">
        <f t="shared" si="2"/>
        <v>4-7</v>
      </c>
    </row>
    <row r="105" ht="15.75" customHeight="1">
      <c r="A105" s="1" t="s">
        <v>424</v>
      </c>
      <c r="B105" s="1" t="s">
        <v>1146</v>
      </c>
      <c r="C105" s="1" t="s">
        <v>11</v>
      </c>
      <c r="D105" s="1">
        <v>4.0</v>
      </c>
      <c r="E105" s="1" t="s">
        <v>1044</v>
      </c>
      <c r="F105" s="1" t="str">
        <f t="shared" si="1"/>
        <v>4.5</v>
      </c>
      <c r="G105" s="1">
        <v>4.0</v>
      </c>
      <c r="H105" s="1">
        <v>8.0</v>
      </c>
      <c r="I105" s="1" t="str">
        <f t="shared" si="2"/>
        <v>4-8</v>
      </c>
    </row>
    <row r="106" ht="15.75" customHeight="1">
      <c r="A106" s="1" t="s">
        <v>308</v>
      </c>
      <c r="B106" s="1" t="s">
        <v>1147</v>
      </c>
      <c r="C106" s="1" t="s">
        <v>11</v>
      </c>
      <c r="D106" s="1">
        <v>4.0</v>
      </c>
      <c r="E106" s="1" t="s">
        <v>1044</v>
      </c>
      <c r="F106" s="1" t="str">
        <f t="shared" si="1"/>
        <v>4.5</v>
      </c>
      <c r="G106" s="1">
        <v>4.0</v>
      </c>
      <c r="H106" s="1">
        <v>9.0</v>
      </c>
      <c r="I106" s="1" t="str">
        <f t="shared" si="2"/>
        <v>4-9</v>
      </c>
    </row>
    <row r="107" ht="15.75" customHeight="1">
      <c r="A107" s="1" t="s">
        <v>368</v>
      </c>
      <c r="B107" s="1" t="s">
        <v>1148</v>
      </c>
      <c r="C107" s="1" t="s">
        <v>11</v>
      </c>
      <c r="D107" s="1">
        <v>4.0</v>
      </c>
      <c r="E107" s="1" t="s">
        <v>1044</v>
      </c>
      <c r="F107" s="1" t="str">
        <f t="shared" si="1"/>
        <v>4.5</v>
      </c>
      <c r="G107" s="1">
        <v>4.0</v>
      </c>
      <c r="H107" s="1">
        <v>10.0</v>
      </c>
      <c r="I107" s="1" t="str">
        <f t="shared" si="2"/>
        <v>4-10</v>
      </c>
    </row>
    <row r="108" ht="15.75" customHeight="1">
      <c r="A108" s="1" t="s">
        <v>374</v>
      </c>
      <c r="B108" s="1" t="s">
        <v>1149</v>
      </c>
      <c r="C108" s="1" t="s">
        <v>11</v>
      </c>
      <c r="D108" s="1">
        <v>4.0</v>
      </c>
      <c r="E108" s="1" t="s">
        <v>1044</v>
      </c>
      <c r="F108" s="1" t="str">
        <f t="shared" si="1"/>
        <v>4.5</v>
      </c>
      <c r="G108" s="1">
        <v>4.0</v>
      </c>
      <c r="H108" s="1">
        <v>11.0</v>
      </c>
      <c r="I108" s="1" t="str">
        <f t="shared" si="2"/>
        <v>4-11</v>
      </c>
    </row>
    <row r="109" ht="15.75" customHeight="1">
      <c r="A109" s="1" t="s">
        <v>1150</v>
      </c>
      <c r="B109" s="1" t="s">
        <v>1151</v>
      </c>
      <c r="C109" s="1" t="s">
        <v>11</v>
      </c>
      <c r="D109" s="1">
        <v>4.0</v>
      </c>
      <c r="E109" s="1" t="s">
        <v>1044</v>
      </c>
      <c r="F109" s="1" t="str">
        <f t="shared" si="1"/>
        <v>4.5</v>
      </c>
      <c r="G109" s="1">
        <v>4.0</v>
      </c>
      <c r="H109" s="1">
        <v>12.0</v>
      </c>
      <c r="I109" s="1" t="str">
        <f t="shared" si="2"/>
        <v>4-12</v>
      </c>
    </row>
    <row r="110" ht="15.75" customHeight="1">
      <c r="A110" s="1" t="s">
        <v>369</v>
      </c>
      <c r="B110" s="1" t="s">
        <v>1152</v>
      </c>
      <c r="C110" s="1" t="s">
        <v>11</v>
      </c>
      <c r="D110" s="1">
        <v>4.0</v>
      </c>
      <c r="E110" s="1" t="s">
        <v>1044</v>
      </c>
      <c r="F110" s="1" t="str">
        <f t="shared" si="1"/>
        <v>4.5</v>
      </c>
      <c r="G110" s="1">
        <v>7.0</v>
      </c>
      <c r="H110" s="1">
        <v>1.0</v>
      </c>
      <c r="I110" s="1" t="str">
        <f t="shared" si="2"/>
        <v>7-1</v>
      </c>
    </row>
    <row r="111" ht="15.75" customHeight="1">
      <c r="A111" s="1" t="s">
        <v>319</v>
      </c>
      <c r="B111" s="1" t="s">
        <v>1153</v>
      </c>
      <c r="C111" s="1" t="s">
        <v>11</v>
      </c>
      <c r="D111" s="1">
        <v>4.0</v>
      </c>
      <c r="E111" s="1" t="s">
        <v>1044</v>
      </c>
      <c r="F111" s="1" t="str">
        <f t="shared" si="1"/>
        <v>4.5</v>
      </c>
      <c r="G111" s="1">
        <v>7.0</v>
      </c>
      <c r="H111" s="1">
        <v>2.0</v>
      </c>
      <c r="I111" s="1" t="str">
        <f t="shared" si="2"/>
        <v>7-2</v>
      </c>
    </row>
    <row r="112" ht="15.75" customHeight="1">
      <c r="A112" s="1" t="s">
        <v>360</v>
      </c>
      <c r="B112" s="1" t="s">
        <v>1154</v>
      </c>
      <c r="C112" s="1" t="s">
        <v>11</v>
      </c>
      <c r="D112" s="1">
        <v>4.0</v>
      </c>
      <c r="E112" s="1" t="s">
        <v>1044</v>
      </c>
      <c r="F112" s="1" t="str">
        <f t="shared" si="1"/>
        <v>4.5</v>
      </c>
      <c r="G112" s="1">
        <v>7.0</v>
      </c>
      <c r="H112" s="1">
        <v>3.0</v>
      </c>
      <c r="I112" s="1" t="str">
        <f t="shared" si="2"/>
        <v>7-3</v>
      </c>
    </row>
    <row r="113" ht="15.75" customHeight="1">
      <c r="A113" s="1" t="s">
        <v>392</v>
      </c>
      <c r="B113" s="1" t="s">
        <v>1155</v>
      </c>
      <c r="C113" s="1" t="s">
        <v>11</v>
      </c>
      <c r="D113" s="1">
        <v>4.0</v>
      </c>
      <c r="E113" s="1" t="s">
        <v>1044</v>
      </c>
      <c r="F113" s="1" t="str">
        <f t="shared" si="1"/>
        <v>4.5</v>
      </c>
      <c r="G113" s="1">
        <v>7.0</v>
      </c>
      <c r="H113" s="1">
        <v>4.0</v>
      </c>
      <c r="I113" s="1" t="str">
        <f t="shared" si="2"/>
        <v>7-4</v>
      </c>
    </row>
    <row r="114" ht="15.75" customHeight="1">
      <c r="A114" s="1" t="s">
        <v>334</v>
      </c>
      <c r="B114" s="1" t="s">
        <v>1156</v>
      </c>
      <c r="C114" s="1" t="s">
        <v>11</v>
      </c>
      <c r="D114" s="1">
        <v>4.0</v>
      </c>
      <c r="E114" s="1" t="s">
        <v>1044</v>
      </c>
      <c r="F114" s="1" t="str">
        <f t="shared" si="1"/>
        <v>4.5</v>
      </c>
      <c r="G114" s="1">
        <v>7.0</v>
      </c>
      <c r="H114" s="1">
        <v>5.0</v>
      </c>
      <c r="I114" s="1" t="str">
        <f t="shared" si="2"/>
        <v>7-5</v>
      </c>
    </row>
    <row r="115" ht="15.75" customHeight="1">
      <c r="A115" s="1" t="s">
        <v>353</v>
      </c>
      <c r="B115" s="1" t="s">
        <v>1157</v>
      </c>
      <c r="C115" s="1" t="s">
        <v>11</v>
      </c>
      <c r="D115" s="1">
        <v>4.0</v>
      </c>
      <c r="E115" s="1" t="s">
        <v>1044</v>
      </c>
      <c r="F115" s="1" t="str">
        <f t="shared" si="1"/>
        <v>4.5</v>
      </c>
      <c r="G115" s="1">
        <v>7.0</v>
      </c>
      <c r="H115" s="1">
        <v>6.0</v>
      </c>
      <c r="I115" s="1" t="str">
        <f t="shared" si="2"/>
        <v>7-6</v>
      </c>
    </row>
    <row r="116" ht="15.75" customHeight="1">
      <c r="A116" s="1" t="s">
        <v>401</v>
      </c>
      <c r="B116" s="1" t="s">
        <v>1158</v>
      </c>
      <c r="C116" s="1" t="s">
        <v>11</v>
      </c>
      <c r="D116" s="1">
        <v>4.0</v>
      </c>
      <c r="E116" s="1" t="s">
        <v>1044</v>
      </c>
      <c r="F116" s="1" t="str">
        <f t="shared" si="1"/>
        <v>4.5</v>
      </c>
      <c r="G116" s="1">
        <v>7.0</v>
      </c>
      <c r="H116" s="1">
        <v>7.0</v>
      </c>
      <c r="I116" s="1" t="str">
        <f t="shared" si="2"/>
        <v>7-7</v>
      </c>
    </row>
    <row r="117" ht="15.75" customHeight="1">
      <c r="A117" s="1" t="s">
        <v>1159</v>
      </c>
      <c r="B117" s="1" t="s">
        <v>1160</v>
      </c>
      <c r="C117" s="1" t="s">
        <v>11</v>
      </c>
      <c r="D117" s="1">
        <v>4.0</v>
      </c>
      <c r="E117" s="1" t="s">
        <v>1044</v>
      </c>
      <c r="F117" s="1" t="str">
        <f t="shared" si="1"/>
        <v>4.5</v>
      </c>
      <c r="G117" s="1">
        <v>7.0</v>
      </c>
      <c r="H117" s="1">
        <v>8.0</v>
      </c>
      <c r="I117" s="1" t="str">
        <f t="shared" si="2"/>
        <v>7-8</v>
      </c>
    </row>
    <row r="118" ht="15.75" customHeight="1">
      <c r="A118" s="1" t="s">
        <v>1161</v>
      </c>
      <c r="B118" s="1" t="s">
        <v>1162</v>
      </c>
      <c r="C118" s="1" t="s">
        <v>11</v>
      </c>
      <c r="D118" s="1">
        <v>4.0</v>
      </c>
      <c r="E118" s="1" t="s">
        <v>1044</v>
      </c>
      <c r="F118" s="1" t="str">
        <f t="shared" si="1"/>
        <v>4.5</v>
      </c>
      <c r="G118" s="1">
        <v>7.0</v>
      </c>
      <c r="H118" s="1">
        <v>9.0</v>
      </c>
      <c r="I118" s="1" t="str">
        <f t="shared" si="2"/>
        <v>7-9</v>
      </c>
    </row>
    <row r="119" ht="15.75" customHeight="1">
      <c r="A119" s="1" t="s">
        <v>1163</v>
      </c>
      <c r="B119" s="1" t="s">
        <v>1164</v>
      </c>
      <c r="C119" s="1" t="s">
        <v>11</v>
      </c>
      <c r="D119" s="1">
        <v>4.0</v>
      </c>
      <c r="E119" s="1" t="s">
        <v>1044</v>
      </c>
      <c r="F119" s="1" t="str">
        <f t="shared" si="1"/>
        <v>4.5</v>
      </c>
      <c r="G119" s="1">
        <v>7.0</v>
      </c>
      <c r="H119" s="1">
        <v>10.0</v>
      </c>
      <c r="I119" s="1" t="str">
        <f t="shared" si="2"/>
        <v>7-10</v>
      </c>
    </row>
    <row r="120" ht="15.75" customHeight="1">
      <c r="A120" s="1" t="s">
        <v>1165</v>
      </c>
      <c r="B120" s="1" t="s">
        <v>1166</v>
      </c>
      <c r="C120" s="1" t="s">
        <v>11</v>
      </c>
      <c r="D120" s="1">
        <v>4.0</v>
      </c>
      <c r="E120" s="1" t="s">
        <v>1044</v>
      </c>
      <c r="F120" s="1" t="str">
        <f t="shared" si="1"/>
        <v>4.5</v>
      </c>
      <c r="G120" s="1">
        <v>7.0</v>
      </c>
      <c r="H120" s="1">
        <v>11.0</v>
      </c>
      <c r="I120" s="1" t="str">
        <f t="shared" si="2"/>
        <v>7-11</v>
      </c>
    </row>
    <row r="121" ht="15.75" customHeight="1">
      <c r="A121" s="1" t="s">
        <v>1167</v>
      </c>
      <c r="B121" s="1" t="s">
        <v>1168</v>
      </c>
      <c r="C121" s="1" t="s">
        <v>11</v>
      </c>
      <c r="D121" s="1">
        <v>4.0</v>
      </c>
      <c r="E121" s="1" t="s">
        <v>1044</v>
      </c>
      <c r="F121" s="1" t="str">
        <f t="shared" si="1"/>
        <v>4.5</v>
      </c>
      <c r="G121" s="1">
        <v>7.0</v>
      </c>
      <c r="H121" s="1">
        <v>12.0</v>
      </c>
      <c r="I121" s="1" t="str">
        <f t="shared" si="2"/>
        <v>7-12</v>
      </c>
    </row>
    <row r="122" ht="15.75" customHeight="1">
      <c r="A122" s="1" t="s">
        <v>444</v>
      </c>
      <c r="B122" s="1" t="s">
        <v>1169</v>
      </c>
      <c r="C122" s="1" t="s">
        <v>11</v>
      </c>
      <c r="D122" s="1">
        <v>4.0</v>
      </c>
      <c r="E122" s="1" t="s">
        <v>1078</v>
      </c>
      <c r="F122" s="1" t="str">
        <f t="shared" si="1"/>
        <v>4.8</v>
      </c>
      <c r="G122" s="1">
        <v>4.0</v>
      </c>
      <c r="H122" s="1">
        <v>1.0</v>
      </c>
      <c r="I122" s="1" t="str">
        <f t="shared" si="2"/>
        <v>4-1</v>
      </c>
    </row>
    <row r="123" ht="15.75" customHeight="1">
      <c r="A123" s="1" t="s">
        <v>402</v>
      </c>
      <c r="B123" s="1" t="s">
        <v>1170</v>
      </c>
      <c r="C123" s="1" t="s">
        <v>11</v>
      </c>
      <c r="D123" s="1">
        <v>4.0</v>
      </c>
      <c r="E123" s="1" t="s">
        <v>1078</v>
      </c>
      <c r="F123" s="1" t="str">
        <f t="shared" si="1"/>
        <v>4.8</v>
      </c>
      <c r="G123" s="1">
        <v>4.0</v>
      </c>
      <c r="H123" s="1">
        <v>2.0</v>
      </c>
      <c r="I123" s="1" t="str">
        <f t="shared" si="2"/>
        <v>4-2</v>
      </c>
    </row>
    <row r="124" ht="15.75" customHeight="1">
      <c r="A124" s="1" t="s">
        <v>447</v>
      </c>
      <c r="B124" s="1" t="s">
        <v>1171</v>
      </c>
      <c r="C124" s="1" t="s">
        <v>11</v>
      </c>
      <c r="D124" s="1">
        <v>4.0</v>
      </c>
      <c r="E124" s="1" t="s">
        <v>1078</v>
      </c>
      <c r="F124" s="1" t="str">
        <f t="shared" si="1"/>
        <v>4.8</v>
      </c>
      <c r="G124" s="1">
        <v>4.0</v>
      </c>
      <c r="H124" s="1">
        <v>3.0</v>
      </c>
      <c r="I124" s="1" t="str">
        <f t="shared" si="2"/>
        <v>4-3</v>
      </c>
    </row>
    <row r="125" ht="15.75" customHeight="1">
      <c r="A125" s="1" t="s">
        <v>385</v>
      </c>
      <c r="B125" s="1" t="s">
        <v>1172</v>
      </c>
      <c r="C125" s="1" t="s">
        <v>11</v>
      </c>
      <c r="D125" s="1">
        <v>4.0</v>
      </c>
      <c r="E125" s="1" t="s">
        <v>1078</v>
      </c>
      <c r="F125" s="1" t="str">
        <f t="shared" si="1"/>
        <v>4.8</v>
      </c>
      <c r="G125" s="1">
        <v>4.0</v>
      </c>
      <c r="H125" s="1">
        <v>4.0</v>
      </c>
      <c r="I125" s="1" t="str">
        <f t="shared" si="2"/>
        <v>4-4</v>
      </c>
    </row>
    <row r="126" ht="15.75" customHeight="1">
      <c r="A126" s="1" t="s">
        <v>387</v>
      </c>
      <c r="B126" s="1" t="s">
        <v>1173</v>
      </c>
      <c r="C126" s="1" t="s">
        <v>11</v>
      </c>
      <c r="D126" s="1">
        <v>4.0</v>
      </c>
      <c r="E126" s="1" t="s">
        <v>1078</v>
      </c>
      <c r="F126" s="1" t="str">
        <f t="shared" si="1"/>
        <v>4.8</v>
      </c>
      <c r="G126" s="1">
        <v>4.0</v>
      </c>
      <c r="H126" s="1">
        <v>5.0</v>
      </c>
      <c r="I126" s="1" t="str">
        <f t="shared" si="2"/>
        <v>4-5</v>
      </c>
    </row>
    <row r="127" ht="15.75" customHeight="1">
      <c r="A127" s="1" t="s">
        <v>386</v>
      </c>
      <c r="B127" s="1" t="s">
        <v>1174</v>
      </c>
      <c r="C127" s="1" t="s">
        <v>11</v>
      </c>
      <c r="D127" s="1">
        <v>4.0</v>
      </c>
      <c r="E127" s="1" t="s">
        <v>1078</v>
      </c>
      <c r="F127" s="1" t="str">
        <f t="shared" si="1"/>
        <v>4.8</v>
      </c>
      <c r="G127" s="1">
        <v>4.0</v>
      </c>
      <c r="H127" s="1">
        <v>6.0</v>
      </c>
      <c r="I127" s="1" t="str">
        <f t="shared" si="2"/>
        <v>4-6</v>
      </c>
    </row>
    <row r="128" ht="15.75" customHeight="1">
      <c r="A128" s="1" t="s">
        <v>400</v>
      </c>
      <c r="B128" s="1" t="s">
        <v>1175</v>
      </c>
      <c r="C128" s="1" t="s">
        <v>11</v>
      </c>
      <c r="D128" s="1">
        <v>4.0</v>
      </c>
      <c r="E128" s="1" t="s">
        <v>1078</v>
      </c>
      <c r="F128" s="1" t="str">
        <f t="shared" si="1"/>
        <v>4.8</v>
      </c>
      <c r="G128" s="1">
        <v>4.0</v>
      </c>
      <c r="H128" s="1">
        <v>7.0</v>
      </c>
      <c r="I128" s="1" t="str">
        <f t="shared" si="2"/>
        <v>4-7</v>
      </c>
    </row>
    <row r="129" ht="15.75" customHeight="1">
      <c r="A129" s="1" t="s">
        <v>317</v>
      </c>
      <c r="B129" s="1" t="s">
        <v>1176</v>
      </c>
      <c r="C129" s="1" t="s">
        <v>11</v>
      </c>
      <c r="D129" s="1">
        <v>4.0</v>
      </c>
      <c r="E129" s="1" t="s">
        <v>1078</v>
      </c>
      <c r="F129" s="1" t="str">
        <f t="shared" si="1"/>
        <v>4.8</v>
      </c>
      <c r="G129" s="1">
        <v>4.0</v>
      </c>
      <c r="H129" s="1">
        <v>8.0</v>
      </c>
      <c r="I129" s="1" t="str">
        <f t="shared" si="2"/>
        <v>4-8</v>
      </c>
    </row>
    <row r="130" ht="15.75" customHeight="1">
      <c r="A130" s="1" t="s">
        <v>367</v>
      </c>
      <c r="B130" s="1" t="s">
        <v>1177</v>
      </c>
      <c r="C130" s="1" t="s">
        <v>11</v>
      </c>
      <c r="D130" s="1">
        <v>4.0</v>
      </c>
      <c r="E130" s="1" t="s">
        <v>1078</v>
      </c>
      <c r="F130" s="1" t="str">
        <f t="shared" si="1"/>
        <v>4.8</v>
      </c>
      <c r="G130" s="1">
        <v>4.0</v>
      </c>
      <c r="H130" s="1">
        <v>9.0</v>
      </c>
      <c r="I130" s="1" t="str">
        <f t="shared" si="2"/>
        <v>4-9</v>
      </c>
    </row>
    <row r="131" ht="15.75" customHeight="1">
      <c r="A131" s="1" t="s">
        <v>337</v>
      </c>
      <c r="B131" s="1" t="s">
        <v>1178</v>
      </c>
      <c r="C131" s="1" t="s">
        <v>11</v>
      </c>
      <c r="D131" s="1">
        <v>4.0</v>
      </c>
      <c r="E131" s="1" t="s">
        <v>1078</v>
      </c>
      <c r="F131" s="1" t="str">
        <f t="shared" si="1"/>
        <v>4.8</v>
      </c>
      <c r="G131" s="1">
        <v>4.0</v>
      </c>
      <c r="H131" s="1">
        <v>10.0</v>
      </c>
      <c r="I131" s="1" t="str">
        <f t="shared" si="2"/>
        <v>4-10</v>
      </c>
    </row>
    <row r="132" ht="15.75" customHeight="1">
      <c r="A132" s="1" t="s">
        <v>1179</v>
      </c>
      <c r="B132" s="1" t="s">
        <v>1180</v>
      </c>
      <c r="C132" s="1" t="s">
        <v>11</v>
      </c>
      <c r="D132" s="1">
        <v>4.0</v>
      </c>
      <c r="E132" s="1" t="s">
        <v>1078</v>
      </c>
      <c r="F132" s="1" t="str">
        <f t="shared" si="1"/>
        <v>4.8</v>
      </c>
      <c r="G132" s="1">
        <v>4.0</v>
      </c>
      <c r="H132" s="1">
        <v>11.0</v>
      </c>
      <c r="I132" s="1" t="str">
        <f t="shared" si="2"/>
        <v>4-11</v>
      </c>
    </row>
    <row r="133" ht="15.75" customHeight="1">
      <c r="A133" s="1" t="s">
        <v>1181</v>
      </c>
      <c r="B133" s="1" t="s">
        <v>1182</v>
      </c>
      <c r="C133" s="1" t="s">
        <v>11</v>
      </c>
      <c r="D133" s="1">
        <v>4.0</v>
      </c>
      <c r="E133" s="1" t="s">
        <v>1078</v>
      </c>
      <c r="F133" s="1" t="str">
        <f t="shared" si="1"/>
        <v>4.8</v>
      </c>
      <c r="G133" s="1">
        <v>4.0</v>
      </c>
      <c r="H133" s="1">
        <v>12.0</v>
      </c>
      <c r="I133" s="1" t="str">
        <f t="shared" si="2"/>
        <v>4-12</v>
      </c>
    </row>
    <row r="134" ht="15.75" customHeight="1">
      <c r="A134" s="1" t="s">
        <v>331</v>
      </c>
      <c r="B134" s="1" t="s">
        <v>1183</v>
      </c>
      <c r="C134" s="1" t="s">
        <v>11</v>
      </c>
      <c r="D134" s="1">
        <v>4.0</v>
      </c>
      <c r="E134" s="1" t="s">
        <v>1078</v>
      </c>
      <c r="F134" s="1" t="str">
        <f t="shared" si="1"/>
        <v>4.8</v>
      </c>
      <c r="G134" s="1">
        <v>7.0</v>
      </c>
      <c r="H134" s="1">
        <v>1.0</v>
      </c>
      <c r="I134" s="1" t="str">
        <f t="shared" si="2"/>
        <v>7-1</v>
      </c>
    </row>
    <row r="135" ht="15.75" customHeight="1">
      <c r="A135" s="1" t="s">
        <v>362</v>
      </c>
      <c r="B135" s="1" t="s">
        <v>1184</v>
      </c>
      <c r="C135" s="1" t="s">
        <v>11</v>
      </c>
      <c r="D135" s="1">
        <v>4.0</v>
      </c>
      <c r="E135" s="1" t="s">
        <v>1078</v>
      </c>
      <c r="F135" s="1" t="str">
        <f t="shared" si="1"/>
        <v>4.8</v>
      </c>
      <c r="G135" s="1">
        <v>7.0</v>
      </c>
      <c r="H135" s="1">
        <v>2.0</v>
      </c>
      <c r="I135" s="1" t="str">
        <f t="shared" si="2"/>
        <v>7-2</v>
      </c>
    </row>
    <row r="136" ht="15.75" customHeight="1">
      <c r="A136" s="1" t="s">
        <v>1185</v>
      </c>
      <c r="B136" s="1" t="s">
        <v>1186</v>
      </c>
      <c r="C136" s="1" t="s">
        <v>11</v>
      </c>
      <c r="D136" s="1">
        <v>4.0</v>
      </c>
      <c r="E136" s="1" t="s">
        <v>1078</v>
      </c>
      <c r="F136" s="1" t="str">
        <f t="shared" si="1"/>
        <v>4.8</v>
      </c>
      <c r="G136" s="1">
        <v>7.0</v>
      </c>
      <c r="H136" s="1">
        <v>3.0</v>
      </c>
      <c r="I136" s="1" t="str">
        <f t="shared" si="2"/>
        <v>7-3</v>
      </c>
    </row>
    <row r="137" ht="15.75" customHeight="1">
      <c r="A137" s="1" t="s">
        <v>1187</v>
      </c>
      <c r="B137" s="1" t="s">
        <v>1188</v>
      </c>
      <c r="C137" s="1" t="s">
        <v>11</v>
      </c>
      <c r="D137" s="1">
        <v>4.0</v>
      </c>
      <c r="E137" s="1" t="s">
        <v>1078</v>
      </c>
      <c r="F137" s="1" t="str">
        <f t="shared" si="1"/>
        <v>4.8</v>
      </c>
      <c r="G137" s="1">
        <v>7.0</v>
      </c>
      <c r="H137" s="1">
        <v>4.0</v>
      </c>
      <c r="I137" s="1" t="str">
        <f t="shared" si="2"/>
        <v>7-4</v>
      </c>
    </row>
    <row r="138" ht="15.75" customHeight="1">
      <c r="A138" s="1" t="s">
        <v>364</v>
      </c>
      <c r="B138" s="1" t="s">
        <v>1189</v>
      </c>
      <c r="C138" s="1" t="s">
        <v>11</v>
      </c>
      <c r="D138" s="1">
        <v>4.0</v>
      </c>
      <c r="E138" s="1" t="s">
        <v>1078</v>
      </c>
      <c r="F138" s="1" t="str">
        <f t="shared" si="1"/>
        <v>4.8</v>
      </c>
      <c r="G138" s="1">
        <v>7.0</v>
      </c>
      <c r="H138" s="1">
        <v>5.0</v>
      </c>
      <c r="I138" s="1" t="str">
        <f t="shared" si="2"/>
        <v>7-5</v>
      </c>
    </row>
    <row r="139" ht="15.75" customHeight="1">
      <c r="A139" s="1" t="s">
        <v>351</v>
      </c>
      <c r="B139" s="1" t="s">
        <v>1190</v>
      </c>
      <c r="C139" s="1" t="s">
        <v>11</v>
      </c>
      <c r="D139" s="1">
        <v>4.0</v>
      </c>
      <c r="E139" s="1" t="s">
        <v>1078</v>
      </c>
      <c r="F139" s="1" t="str">
        <f t="shared" si="1"/>
        <v>4.8</v>
      </c>
      <c r="G139" s="1">
        <v>7.0</v>
      </c>
      <c r="H139" s="1">
        <v>6.0</v>
      </c>
      <c r="I139" s="1" t="str">
        <f t="shared" si="2"/>
        <v>7-6</v>
      </c>
    </row>
    <row r="140" ht="15.75" customHeight="1">
      <c r="A140" s="1" t="s">
        <v>1191</v>
      </c>
      <c r="B140" s="1" t="s">
        <v>1192</v>
      </c>
      <c r="C140" s="1" t="s">
        <v>11</v>
      </c>
      <c r="D140" s="1">
        <v>4.0</v>
      </c>
      <c r="E140" s="1" t="s">
        <v>1078</v>
      </c>
      <c r="F140" s="1" t="str">
        <f t="shared" si="1"/>
        <v>4.8</v>
      </c>
      <c r="G140" s="1">
        <v>7.0</v>
      </c>
      <c r="H140" s="1">
        <v>7.0</v>
      </c>
      <c r="I140" s="1" t="str">
        <f t="shared" si="2"/>
        <v>7-7</v>
      </c>
    </row>
    <row r="141" ht="15.75" customHeight="1">
      <c r="A141" s="1" t="s">
        <v>1193</v>
      </c>
      <c r="B141" s="1" t="s">
        <v>1194</v>
      </c>
      <c r="C141" s="1" t="s">
        <v>11</v>
      </c>
      <c r="D141" s="1">
        <v>4.0</v>
      </c>
      <c r="E141" s="1" t="s">
        <v>1078</v>
      </c>
      <c r="F141" s="1" t="str">
        <f t="shared" si="1"/>
        <v>4.8</v>
      </c>
      <c r="G141" s="1">
        <v>7.0</v>
      </c>
      <c r="H141" s="1">
        <v>8.0</v>
      </c>
      <c r="I141" s="1" t="str">
        <f t="shared" si="2"/>
        <v>7-8</v>
      </c>
    </row>
    <row r="142" ht="15.75" customHeight="1">
      <c r="A142" s="1" t="s">
        <v>1195</v>
      </c>
      <c r="B142" s="1" t="s">
        <v>1196</v>
      </c>
      <c r="C142" s="1" t="s">
        <v>11</v>
      </c>
      <c r="D142" s="1">
        <v>4.0</v>
      </c>
      <c r="E142" s="1" t="s">
        <v>1078</v>
      </c>
      <c r="F142" s="1" t="str">
        <f t="shared" si="1"/>
        <v>4.8</v>
      </c>
      <c r="G142" s="1">
        <v>7.0</v>
      </c>
      <c r="H142" s="1">
        <v>9.0</v>
      </c>
      <c r="I142" s="1" t="str">
        <f t="shared" si="2"/>
        <v>7-9</v>
      </c>
    </row>
    <row r="143" ht="15.75" customHeight="1">
      <c r="A143" s="1" t="s">
        <v>1197</v>
      </c>
      <c r="B143" s="1" t="s">
        <v>1198</v>
      </c>
      <c r="C143" s="1" t="s">
        <v>11</v>
      </c>
      <c r="D143" s="1">
        <v>4.0</v>
      </c>
      <c r="E143" s="1" t="s">
        <v>1078</v>
      </c>
      <c r="F143" s="1" t="str">
        <f t="shared" si="1"/>
        <v>4.8</v>
      </c>
      <c r="G143" s="1">
        <v>7.0</v>
      </c>
      <c r="H143" s="1">
        <v>10.0</v>
      </c>
      <c r="I143" s="1" t="str">
        <f t="shared" si="2"/>
        <v>7-10</v>
      </c>
    </row>
    <row r="144" ht="15.75" customHeight="1">
      <c r="A144" s="1" t="s">
        <v>1199</v>
      </c>
      <c r="B144" s="1" t="s">
        <v>1200</v>
      </c>
      <c r="C144" s="1" t="s">
        <v>11</v>
      </c>
      <c r="D144" s="1">
        <v>4.0</v>
      </c>
      <c r="E144" s="1" t="s">
        <v>1078</v>
      </c>
      <c r="F144" s="1" t="str">
        <f t="shared" si="1"/>
        <v>4.8</v>
      </c>
      <c r="G144" s="1">
        <v>7.0</v>
      </c>
      <c r="H144" s="1">
        <v>11.0</v>
      </c>
      <c r="I144" s="1" t="str">
        <f t="shared" si="2"/>
        <v>7-11</v>
      </c>
    </row>
    <row r="145" ht="15.75" customHeight="1">
      <c r="A145" s="1" t="s">
        <v>332</v>
      </c>
      <c r="B145" s="1" t="s">
        <v>1201</v>
      </c>
      <c r="C145" s="1" t="s">
        <v>11</v>
      </c>
      <c r="D145" s="1">
        <v>4.0</v>
      </c>
      <c r="E145" s="1" t="s">
        <v>1078</v>
      </c>
      <c r="F145" s="1" t="str">
        <f t="shared" si="1"/>
        <v>4.8</v>
      </c>
      <c r="G145" s="1">
        <v>7.0</v>
      </c>
      <c r="H145" s="1">
        <v>12.0</v>
      </c>
      <c r="I145" s="1" t="str">
        <f t="shared" si="2"/>
        <v>7-12</v>
      </c>
    </row>
    <row r="146" ht="15.75" customHeight="1">
      <c r="A146" s="1" t="s">
        <v>44</v>
      </c>
      <c r="B146" s="1" t="s">
        <v>1202</v>
      </c>
      <c r="C146" s="1" t="s">
        <v>11</v>
      </c>
      <c r="D146" s="1">
        <v>5.0</v>
      </c>
      <c r="E146" s="1" t="s">
        <v>1018</v>
      </c>
      <c r="F146" s="1" t="str">
        <f t="shared" si="1"/>
        <v>5.2</v>
      </c>
      <c r="G146" s="1">
        <v>5.0</v>
      </c>
      <c r="H146" s="1">
        <v>1.0</v>
      </c>
      <c r="I146" s="1" t="str">
        <f t="shared" si="2"/>
        <v>5-1</v>
      </c>
    </row>
    <row r="147" ht="15.75" customHeight="1">
      <c r="A147" s="1" t="s">
        <v>104</v>
      </c>
      <c r="B147" s="1" t="s">
        <v>1203</v>
      </c>
      <c r="C147" s="1" t="s">
        <v>11</v>
      </c>
      <c r="D147" s="1">
        <v>5.0</v>
      </c>
      <c r="E147" s="1" t="s">
        <v>1018</v>
      </c>
      <c r="F147" s="1" t="str">
        <f t="shared" si="1"/>
        <v>5.2</v>
      </c>
      <c r="G147" s="1">
        <v>5.0</v>
      </c>
      <c r="H147" s="1">
        <v>2.0</v>
      </c>
      <c r="I147" s="1" t="str">
        <f t="shared" si="2"/>
        <v>5-2</v>
      </c>
    </row>
    <row r="148" ht="15.75" customHeight="1">
      <c r="A148" s="1" t="s">
        <v>103</v>
      </c>
      <c r="B148" s="1" t="s">
        <v>1204</v>
      </c>
      <c r="C148" s="1" t="s">
        <v>11</v>
      </c>
      <c r="D148" s="1">
        <v>5.0</v>
      </c>
      <c r="E148" s="1" t="s">
        <v>1018</v>
      </c>
      <c r="F148" s="1" t="str">
        <f t="shared" si="1"/>
        <v>5.2</v>
      </c>
      <c r="G148" s="1">
        <v>5.0</v>
      </c>
      <c r="H148" s="1">
        <v>3.0</v>
      </c>
      <c r="I148" s="1" t="str">
        <f t="shared" si="2"/>
        <v>5-3</v>
      </c>
    </row>
    <row r="149" ht="15.75" customHeight="1">
      <c r="A149" s="1" t="s">
        <v>25</v>
      </c>
      <c r="B149" s="1" t="s">
        <v>1205</v>
      </c>
      <c r="C149" s="1" t="s">
        <v>11</v>
      </c>
      <c r="D149" s="1">
        <v>5.0</v>
      </c>
      <c r="E149" s="1" t="s">
        <v>1018</v>
      </c>
      <c r="F149" s="1" t="str">
        <f t="shared" si="1"/>
        <v>5.2</v>
      </c>
      <c r="G149" s="1">
        <v>5.0</v>
      </c>
      <c r="H149" s="1">
        <v>4.0</v>
      </c>
      <c r="I149" s="1" t="str">
        <f t="shared" si="2"/>
        <v>5-4</v>
      </c>
    </row>
    <row r="150" ht="15.75" customHeight="1">
      <c r="A150" s="1" t="s">
        <v>88</v>
      </c>
      <c r="B150" s="1" t="s">
        <v>1206</v>
      </c>
      <c r="C150" s="1" t="s">
        <v>11</v>
      </c>
      <c r="D150" s="1">
        <v>5.0</v>
      </c>
      <c r="E150" s="1" t="s">
        <v>1018</v>
      </c>
      <c r="F150" s="1" t="str">
        <f t="shared" si="1"/>
        <v>5.2</v>
      </c>
      <c r="G150" s="1">
        <v>5.0</v>
      </c>
      <c r="H150" s="1">
        <v>5.0</v>
      </c>
      <c r="I150" s="1" t="str">
        <f t="shared" si="2"/>
        <v>5-5</v>
      </c>
    </row>
    <row r="151" ht="15.75" customHeight="1">
      <c r="A151" s="1" t="s">
        <v>87</v>
      </c>
      <c r="B151" s="1" t="s">
        <v>1207</v>
      </c>
      <c r="C151" s="1" t="s">
        <v>11</v>
      </c>
      <c r="D151" s="1">
        <v>5.0</v>
      </c>
      <c r="E151" s="1" t="s">
        <v>1018</v>
      </c>
      <c r="F151" s="1" t="str">
        <f t="shared" si="1"/>
        <v>5.2</v>
      </c>
      <c r="G151" s="1">
        <v>5.0</v>
      </c>
      <c r="H151" s="1">
        <v>6.0</v>
      </c>
      <c r="I151" s="1" t="str">
        <f t="shared" si="2"/>
        <v>5-6</v>
      </c>
    </row>
    <row r="152" ht="15.75" customHeight="1">
      <c r="A152" s="1" t="s">
        <v>84</v>
      </c>
      <c r="B152" s="1" t="s">
        <v>1208</v>
      </c>
      <c r="C152" s="1" t="s">
        <v>11</v>
      </c>
      <c r="D152" s="1">
        <v>5.0</v>
      </c>
      <c r="E152" s="1" t="s">
        <v>1018</v>
      </c>
      <c r="F152" s="1" t="str">
        <f t="shared" si="1"/>
        <v>5.2</v>
      </c>
      <c r="G152" s="1">
        <v>5.0</v>
      </c>
      <c r="H152" s="1">
        <v>7.0</v>
      </c>
      <c r="I152" s="1" t="str">
        <f t="shared" si="2"/>
        <v>5-7</v>
      </c>
    </row>
    <row r="153" ht="15.75" customHeight="1">
      <c r="A153" s="1" t="s">
        <v>85</v>
      </c>
      <c r="B153" s="1" t="s">
        <v>1209</v>
      </c>
      <c r="C153" s="1" t="s">
        <v>11</v>
      </c>
      <c r="D153" s="1">
        <v>5.0</v>
      </c>
      <c r="E153" s="1" t="s">
        <v>1018</v>
      </c>
      <c r="F153" s="1" t="str">
        <f t="shared" si="1"/>
        <v>5.2</v>
      </c>
      <c r="G153" s="1">
        <v>5.0</v>
      </c>
      <c r="H153" s="1">
        <v>8.0</v>
      </c>
      <c r="I153" s="1" t="str">
        <f t="shared" si="2"/>
        <v>5-8</v>
      </c>
    </row>
    <row r="154" ht="15.75" customHeight="1">
      <c r="A154" s="1" t="s">
        <v>83</v>
      </c>
      <c r="B154" s="1" t="s">
        <v>1210</v>
      </c>
      <c r="C154" s="1" t="s">
        <v>11</v>
      </c>
      <c r="D154" s="1">
        <v>5.0</v>
      </c>
      <c r="E154" s="1" t="s">
        <v>1018</v>
      </c>
      <c r="F154" s="1" t="str">
        <f t="shared" si="1"/>
        <v>5.2</v>
      </c>
      <c r="G154" s="1">
        <v>5.0</v>
      </c>
      <c r="H154" s="1">
        <v>9.0</v>
      </c>
      <c r="I154" s="1" t="str">
        <f t="shared" si="2"/>
        <v>5-9</v>
      </c>
    </row>
    <row r="155" ht="15.75" customHeight="1">
      <c r="A155" s="1" t="s">
        <v>314</v>
      </c>
      <c r="B155" s="1" t="s">
        <v>1211</v>
      </c>
      <c r="C155" s="1" t="s">
        <v>11</v>
      </c>
      <c r="D155" s="1">
        <v>5.0</v>
      </c>
      <c r="E155" s="1" t="s">
        <v>1018</v>
      </c>
      <c r="F155" s="1" t="str">
        <f t="shared" si="1"/>
        <v>5.2</v>
      </c>
      <c r="G155" s="1">
        <v>5.0</v>
      </c>
      <c r="H155" s="1">
        <v>10.0</v>
      </c>
      <c r="I155" s="1" t="str">
        <f t="shared" si="2"/>
        <v>5-10</v>
      </c>
    </row>
    <row r="156" ht="15.75" customHeight="1">
      <c r="A156" s="1" t="s">
        <v>120</v>
      </c>
      <c r="B156" s="1" t="s">
        <v>1212</v>
      </c>
      <c r="C156" s="1" t="s">
        <v>11</v>
      </c>
      <c r="D156" s="1">
        <v>5.0</v>
      </c>
      <c r="E156" s="1" t="s">
        <v>1018</v>
      </c>
      <c r="F156" s="1" t="str">
        <f t="shared" si="1"/>
        <v>5.2</v>
      </c>
      <c r="G156" s="1">
        <v>5.0</v>
      </c>
      <c r="H156" s="1">
        <v>11.0</v>
      </c>
      <c r="I156" s="1" t="str">
        <f t="shared" si="2"/>
        <v>5-11</v>
      </c>
    </row>
    <row r="157" ht="15.75" customHeight="1">
      <c r="A157" s="1" t="s">
        <v>121</v>
      </c>
      <c r="B157" s="1" t="s">
        <v>1213</v>
      </c>
      <c r="C157" s="1" t="s">
        <v>11</v>
      </c>
      <c r="D157" s="1">
        <v>5.0</v>
      </c>
      <c r="E157" s="1" t="s">
        <v>1018</v>
      </c>
      <c r="F157" s="1" t="str">
        <f t="shared" si="1"/>
        <v>5.2</v>
      </c>
      <c r="G157" s="1">
        <v>5.0</v>
      </c>
      <c r="H157" s="1">
        <v>12.0</v>
      </c>
      <c r="I157" s="1" t="str">
        <f t="shared" si="2"/>
        <v>5-12</v>
      </c>
    </row>
    <row r="158" ht="15.75" customHeight="1">
      <c r="A158" s="1" t="s">
        <v>130</v>
      </c>
      <c r="B158" s="1" t="s">
        <v>1214</v>
      </c>
      <c r="C158" s="1" t="s">
        <v>11</v>
      </c>
      <c r="D158" s="1">
        <v>5.0</v>
      </c>
      <c r="E158" s="1" t="s">
        <v>1018</v>
      </c>
      <c r="F158" s="1" t="str">
        <f t="shared" si="1"/>
        <v>5.2</v>
      </c>
      <c r="G158" s="1">
        <v>8.0</v>
      </c>
      <c r="H158" s="1">
        <v>1.0</v>
      </c>
      <c r="I158" s="1" t="str">
        <f t="shared" si="2"/>
        <v>8-1</v>
      </c>
    </row>
    <row r="159" ht="15.75" customHeight="1">
      <c r="A159" s="1" t="s">
        <v>327</v>
      </c>
      <c r="B159" s="1" t="s">
        <v>1215</v>
      </c>
      <c r="C159" s="1" t="s">
        <v>11</v>
      </c>
      <c r="D159" s="1">
        <v>5.0</v>
      </c>
      <c r="E159" s="1" t="s">
        <v>1018</v>
      </c>
      <c r="F159" s="1" t="str">
        <f t="shared" si="1"/>
        <v>5.2</v>
      </c>
      <c r="G159" s="1">
        <v>8.0</v>
      </c>
      <c r="H159" s="1">
        <v>2.0</v>
      </c>
      <c r="I159" s="1" t="str">
        <f t="shared" si="2"/>
        <v>8-2</v>
      </c>
    </row>
    <row r="160" ht="15.75" customHeight="1">
      <c r="A160" s="1" t="s">
        <v>345</v>
      </c>
      <c r="B160" s="1" t="s">
        <v>1216</v>
      </c>
      <c r="C160" s="1" t="s">
        <v>11</v>
      </c>
      <c r="D160" s="1">
        <v>5.0</v>
      </c>
      <c r="E160" s="1" t="s">
        <v>1018</v>
      </c>
      <c r="F160" s="1" t="str">
        <f t="shared" si="1"/>
        <v>5.2</v>
      </c>
      <c r="G160" s="1">
        <v>8.0</v>
      </c>
      <c r="H160" s="1">
        <v>3.0</v>
      </c>
      <c r="I160" s="1" t="str">
        <f t="shared" si="2"/>
        <v>8-3</v>
      </c>
    </row>
    <row r="161" ht="15.75" customHeight="1">
      <c r="A161" s="1" t="s">
        <v>129</v>
      </c>
      <c r="B161" s="1" t="s">
        <v>1217</v>
      </c>
      <c r="C161" s="1" t="s">
        <v>11</v>
      </c>
      <c r="D161" s="1">
        <v>5.0</v>
      </c>
      <c r="E161" s="1" t="s">
        <v>1018</v>
      </c>
      <c r="F161" s="1" t="str">
        <f t="shared" si="1"/>
        <v>5.2</v>
      </c>
      <c r="G161" s="1">
        <v>8.0</v>
      </c>
      <c r="H161" s="1">
        <v>4.0</v>
      </c>
      <c r="I161" s="1" t="str">
        <f t="shared" si="2"/>
        <v>8-4</v>
      </c>
    </row>
    <row r="162" ht="15.75" customHeight="1">
      <c r="A162" s="1" t="s">
        <v>322</v>
      </c>
      <c r="B162" s="1" t="s">
        <v>1218</v>
      </c>
      <c r="C162" s="1" t="s">
        <v>11</v>
      </c>
      <c r="D162" s="1">
        <v>5.0</v>
      </c>
      <c r="E162" s="1" t="s">
        <v>1018</v>
      </c>
      <c r="F162" s="1" t="str">
        <f t="shared" si="1"/>
        <v>5.2</v>
      </c>
      <c r="G162" s="1">
        <v>8.0</v>
      </c>
      <c r="H162" s="1">
        <v>5.0</v>
      </c>
      <c r="I162" s="1" t="str">
        <f t="shared" si="2"/>
        <v>8-5</v>
      </c>
    </row>
    <row r="163" ht="15.75" customHeight="1">
      <c r="A163" s="1" t="s">
        <v>142</v>
      </c>
      <c r="B163" s="1" t="s">
        <v>1219</v>
      </c>
      <c r="C163" s="1" t="s">
        <v>11</v>
      </c>
      <c r="D163" s="1">
        <v>5.0</v>
      </c>
      <c r="E163" s="1" t="s">
        <v>1018</v>
      </c>
      <c r="F163" s="1" t="str">
        <f t="shared" si="1"/>
        <v>5.2</v>
      </c>
      <c r="G163" s="1">
        <v>8.0</v>
      </c>
      <c r="H163" s="1">
        <v>6.0</v>
      </c>
      <c r="I163" s="1" t="str">
        <f t="shared" si="2"/>
        <v>8-6</v>
      </c>
    </row>
    <row r="164" ht="15.75" customHeight="1">
      <c r="A164" s="1" t="s">
        <v>379</v>
      </c>
      <c r="B164" s="1" t="s">
        <v>1220</v>
      </c>
      <c r="C164" s="1" t="s">
        <v>11</v>
      </c>
      <c r="D164" s="1">
        <v>5.0</v>
      </c>
      <c r="E164" s="1" t="s">
        <v>1018</v>
      </c>
      <c r="F164" s="1" t="str">
        <f t="shared" si="1"/>
        <v>5.2</v>
      </c>
      <c r="G164" s="1">
        <v>8.0</v>
      </c>
      <c r="H164" s="1">
        <v>7.0</v>
      </c>
      <c r="I164" s="1" t="str">
        <f t="shared" si="2"/>
        <v>8-7</v>
      </c>
    </row>
    <row r="165" ht="15.75" customHeight="1">
      <c r="A165" s="1" t="s">
        <v>743</v>
      </c>
      <c r="B165" s="1" t="s">
        <v>1221</v>
      </c>
      <c r="C165" s="1" t="s">
        <v>11</v>
      </c>
      <c r="D165" s="1">
        <v>5.0</v>
      </c>
      <c r="E165" s="1" t="s">
        <v>1018</v>
      </c>
      <c r="F165" s="1" t="str">
        <f t="shared" si="1"/>
        <v>5.2</v>
      </c>
      <c r="G165" s="1">
        <v>8.0</v>
      </c>
      <c r="H165" s="1">
        <v>8.0</v>
      </c>
      <c r="I165" s="1" t="str">
        <f t="shared" si="2"/>
        <v>8-8</v>
      </c>
    </row>
    <row r="166" ht="15.75" customHeight="1">
      <c r="A166" s="1" t="s">
        <v>143</v>
      </c>
      <c r="B166" s="1" t="s">
        <v>1222</v>
      </c>
      <c r="C166" s="1" t="s">
        <v>11</v>
      </c>
      <c r="D166" s="1">
        <v>5.0</v>
      </c>
      <c r="E166" s="1" t="s">
        <v>1018</v>
      </c>
      <c r="F166" s="1" t="str">
        <f t="shared" si="1"/>
        <v>5.2</v>
      </c>
      <c r="G166" s="1">
        <v>8.0</v>
      </c>
      <c r="H166" s="1">
        <v>9.0</v>
      </c>
      <c r="I166" s="1" t="str">
        <f t="shared" si="2"/>
        <v>8-9</v>
      </c>
    </row>
    <row r="167" ht="15.75" customHeight="1">
      <c r="A167" s="1" t="s">
        <v>128</v>
      </c>
      <c r="B167" s="1" t="s">
        <v>1223</v>
      </c>
      <c r="C167" s="1" t="s">
        <v>11</v>
      </c>
      <c r="D167" s="1">
        <v>5.0</v>
      </c>
      <c r="E167" s="1" t="s">
        <v>1018</v>
      </c>
      <c r="F167" s="1" t="str">
        <f t="shared" si="1"/>
        <v>5.2</v>
      </c>
      <c r="G167" s="1">
        <v>8.0</v>
      </c>
      <c r="H167" s="1">
        <v>10.0</v>
      </c>
      <c r="I167" s="1" t="str">
        <f t="shared" si="2"/>
        <v>8-10</v>
      </c>
    </row>
    <row r="168" ht="15.75" customHeight="1">
      <c r="A168" s="1" t="s">
        <v>140</v>
      </c>
      <c r="B168" s="1" t="s">
        <v>1224</v>
      </c>
      <c r="C168" s="1" t="s">
        <v>11</v>
      </c>
      <c r="D168" s="1">
        <v>5.0</v>
      </c>
      <c r="E168" s="1" t="s">
        <v>1018</v>
      </c>
      <c r="F168" s="1" t="str">
        <f t="shared" si="1"/>
        <v>5.2</v>
      </c>
      <c r="G168" s="1">
        <v>8.0</v>
      </c>
      <c r="H168" s="1">
        <v>11.0</v>
      </c>
      <c r="I168" s="1" t="str">
        <f t="shared" si="2"/>
        <v>8-11</v>
      </c>
    </row>
    <row r="169" ht="15.75" customHeight="1">
      <c r="A169" s="1" t="s">
        <v>135</v>
      </c>
      <c r="B169" s="1" t="s">
        <v>1225</v>
      </c>
      <c r="C169" s="1" t="s">
        <v>11</v>
      </c>
      <c r="D169" s="1">
        <v>5.0</v>
      </c>
      <c r="E169" s="1" t="s">
        <v>1018</v>
      </c>
      <c r="F169" s="1" t="str">
        <f t="shared" si="1"/>
        <v>5.2</v>
      </c>
      <c r="G169" s="1">
        <v>8.0</v>
      </c>
      <c r="H169" s="1">
        <v>12.0</v>
      </c>
      <c r="I169" s="1" t="str">
        <f t="shared" si="2"/>
        <v>8-12</v>
      </c>
    </row>
    <row r="170" ht="15.75" customHeight="1">
      <c r="A170" s="1" t="s">
        <v>44</v>
      </c>
      <c r="B170" s="1" t="s">
        <v>1202</v>
      </c>
      <c r="C170" s="1" t="s">
        <v>11</v>
      </c>
      <c r="D170" s="1">
        <v>5.0</v>
      </c>
      <c r="E170" s="1" t="s">
        <v>1044</v>
      </c>
      <c r="F170" s="1" t="str">
        <f t="shared" si="1"/>
        <v>5.2</v>
      </c>
      <c r="G170" s="1">
        <v>5.0</v>
      </c>
      <c r="H170" s="1">
        <v>1.0</v>
      </c>
      <c r="I170" s="1" t="str">
        <f t="shared" si="2"/>
        <v>5-1</v>
      </c>
    </row>
    <row r="171" ht="15.75" customHeight="1">
      <c r="A171" s="1" t="s">
        <v>104</v>
      </c>
      <c r="B171" s="1" t="s">
        <v>1203</v>
      </c>
      <c r="C171" s="1" t="s">
        <v>11</v>
      </c>
      <c r="D171" s="1">
        <v>5.0</v>
      </c>
      <c r="E171" s="1" t="s">
        <v>1044</v>
      </c>
      <c r="F171" s="1" t="str">
        <f t="shared" si="1"/>
        <v>5.2</v>
      </c>
      <c r="G171" s="1">
        <v>5.0</v>
      </c>
      <c r="H171" s="1">
        <v>2.0</v>
      </c>
      <c r="I171" s="1" t="str">
        <f t="shared" si="2"/>
        <v>5-2</v>
      </c>
    </row>
    <row r="172" ht="15.75" customHeight="1">
      <c r="A172" s="1" t="s">
        <v>103</v>
      </c>
      <c r="B172" s="1" t="s">
        <v>1204</v>
      </c>
      <c r="C172" s="1" t="s">
        <v>11</v>
      </c>
      <c r="D172" s="1">
        <v>5.0</v>
      </c>
      <c r="E172" s="1" t="s">
        <v>1044</v>
      </c>
      <c r="F172" s="1" t="str">
        <f t="shared" si="1"/>
        <v>5.2</v>
      </c>
      <c r="G172" s="1">
        <v>5.0</v>
      </c>
      <c r="H172" s="1">
        <v>3.0</v>
      </c>
      <c r="I172" s="1" t="str">
        <f t="shared" si="2"/>
        <v>5-3</v>
      </c>
    </row>
    <row r="173" ht="15.75" customHeight="1">
      <c r="A173" s="1" t="s">
        <v>25</v>
      </c>
      <c r="B173" s="1" t="s">
        <v>1205</v>
      </c>
      <c r="C173" s="1" t="s">
        <v>11</v>
      </c>
      <c r="D173" s="1">
        <v>5.0</v>
      </c>
      <c r="E173" s="1" t="s">
        <v>1044</v>
      </c>
      <c r="F173" s="1" t="str">
        <f t="shared" si="1"/>
        <v>5.2</v>
      </c>
      <c r="G173" s="1">
        <v>5.0</v>
      </c>
      <c r="H173" s="1">
        <v>4.0</v>
      </c>
      <c r="I173" s="1" t="str">
        <f t="shared" si="2"/>
        <v>5-4</v>
      </c>
    </row>
    <row r="174" ht="15.75" customHeight="1">
      <c r="A174" s="1" t="s">
        <v>88</v>
      </c>
      <c r="B174" s="1" t="s">
        <v>1206</v>
      </c>
      <c r="C174" s="1" t="s">
        <v>11</v>
      </c>
      <c r="D174" s="1">
        <v>5.0</v>
      </c>
      <c r="E174" s="1" t="s">
        <v>1044</v>
      </c>
      <c r="F174" s="1" t="str">
        <f t="shared" si="1"/>
        <v>5.2</v>
      </c>
      <c r="G174" s="1">
        <v>5.0</v>
      </c>
      <c r="H174" s="1">
        <v>5.0</v>
      </c>
      <c r="I174" s="1" t="str">
        <f t="shared" si="2"/>
        <v>5-5</v>
      </c>
    </row>
    <row r="175" ht="15.75" customHeight="1">
      <c r="A175" s="1" t="s">
        <v>87</v>
      </c>
      <c r="B175" s="1" t="s">
        <v>1207</v>
      </c>
      <c r="C175" s="1" t="s">
        <v>11</v>
      </c>
      <c r="D175" s="1">
        <v>5.0</v>
      </c>
      <c r="E175" s="1" t="s">
        <v>1044</v>
      </c>
      <c r="F175" s="1" t="str">
        <f t="shared" si="1"/>
        <v>5.2</v>
      </c>
      <c r="G175" s="1">
        <v>5.0</v>
      </c>
      <c r="H175" s="1">
        <v>6.0</v>
      </c>
      <c r="I175" s="1" t="str">
        <f t="shared" si="2"/>
        <v>5-6</v>
      </c>
    </row>
    <row r="176" ht="15.75" customHeight="1">
      <c r="A176" s="1" t="s">
        <v>84</v>
      </c>
      <c r="B176" s="1" t="s">
        <v>1208</v>
      </c>
      <c r="C176" s="1" t="s">
        <v>11</v>
      </c>
      <c r="D176" s="1">
        <v>5.0</v>
      </c>
      <c r="E176" s="1" t="s">
        <v>1044</v>
      </c>
      <c r="F176" s="1" t="str">
        <f t="shared" si="1"/>
        <v>5.2</v>
      </c>
      <c r="G176" s="1">
        <v>5.0</v>
      </c>
      <c r="H176" s="1">
        <v>7.0</v>
      </c>
      <c r="I176" s="1" t="str">
        <f t="shared" si="2"/>
        <v>5-7</v>
      </c>
    </row>
    <row r="177" ht="15.75" customHeight="1">
      <c r="A177" s="1" t="s">
        <v>85</v>
      </c>
      <c r="B177" s="1" t="s">
        <v>1209</v>
      </c>
      <c r="C177" s="1" t="s">
        <v>11</v>
      </c>
      <c r="D177" s="1">
        <v>5.0</v>
      </c>
      <c r="E177" s="1" t="s">
        <v>1044</v>
      </c>
      <c r="F177" s="1" t="str">
        <f t="shared" si="1"/>
        <v>5.2</v>
      </c>
      <c r="G177" s="1">
        <v>5.0</v>
      </c>
      <c r="H177" s="1">
        <v>8.0</v>
      </c>
      <c r="I177" s="1" t="str">
        <f t="shared" si="2"/>
        <v>5-8</v>
      </c>
    </row>
    <row r="178" ht="15.75" customHeight="1">
      <c r="A178" s="1" t="s">
        <v>83</v>
      </c>
      <c r="B178" s="1" t="s">
        <v>1210</v>
      </c>
      <c r="C178" s="1" t="s">
        <v>11</v>
      </c>
      <c r="D178" s="1">
        <v>5.0</v>
      </c>
      <c r="E178" s="1" t="s">
        <v>1044</v>
      </c>
      <c r="F178" s="1" t="str">
        <f t="shared" si="1"/>
        <v>5.2</v>
      </c>
      <c r="G178" s="1">
        <v>5.0</v>
      </c>
      <c r="H178" s="1">
        <v>9.0</v>
      </c>
      <c r="I178" s="1" t="str">
        <f t="shared" si="2"/>
        <v>5-9</v>
      </c>
    </row>
    <row r="179" ht="15.75" customHeight="1">
      <c r="A179" s="1" t="s">
        <v>314</v>
      </c>
      <c r="B179" s="1" t="s">
        <v>1211</v>
      </c>
      <c r="C179" s="1" t="s">
        <v>11</v>
      </c>
      <c r="D179" s="1">
        <v>5.0</v>
      </c>
      <c r="E179" s="1" t="s">
        <v>1044</v>
      </c>
      <c r="F179" s="1" t="str">
        <f t="shared" si="1"/>
        <v>5.2</v>
      </c>
      <c r="G179" s="1">
        <v>5.0</v>
      </c>
      <c r="H179" s="1">
        <v>10.0</v>
      </c>
      <c r="I179" s="1" t="str">
        <f t="shared" si="2"/>
        <v>5-10</v>
      </c>
    </row>
    <row r="180" ht="15.75" customHeight="1">
      <c r="A180" s="1" t="s">
        <v>120</v>
      </c>
      <c r="B180" s="1" t="s">
        <v>1212</v>
      </c>
      <c r="C180" s="1" t="s">
        <v>11</v>
      </c>
      <c r="D180" s="1">
        <v>5.0</v>
      </c>
      <c r="E180" s="1" t="s">
        <v>1044</v>
      </c>
      <c r="F180" s="1" t="str">
        <f t="shared" si="1"/>
        <v>5.2</v>
      </c>
      <c r="G180" s="1">
        <v>5.0</v>
      </c>
      <c r="H180" s="1">
        <v>11.0</v>
      </c>
      <c r="I180" s="1" t="str">
        <f t="shared" si="2"/>
        <v>5-11</v>
      </c>
    </row>
    <row r="181" ht="15.75" customHeight="1">
      <c r="A181" s="1" t="s">
        <v>121</v>
      </c>
      <c r="B181" s="1" t="s">
        <v>1213</v>
      </c>
      <c r="C181" s="1" t="s">
        <v>11</v>
      </c>
      <c r="D181" s="1">
        <v>5.0</v>
      </c>
      <c r="E181" s="1" t="s">
        <v>1044</v>
      </c>
      <c r="F181" s="1" t="str">
        <f t="shared" si="1"/>
        <v>5.2</v>
      </c>
      <c r="G181" s="1">
        <v>5.0</v>
      </c>
      <c r="H181" s="1">
        <v>12.0</v>
      </c>
      <c r="I181" s="1" t="str">
        <f t="shared" si="2"/>
        <v>5-12</v>
      </c>
    </row>
    <row r="182" ht="15.75" customHeight="1">
      <c r="A182" s="1" t="s">
        <v>130</v>
      </c>
      <c r="B182" s="1" t="s">
        <v>1214</v>
      </c>
      <c r="C182" s="1" t="s">
        <v>11</v>
      </c>
      <c r="D182" s="1">
        <v>5.0</v>
      </c>
      <c r="E182" s="1" t="s">
        <v>1044</v>
      </c>
      <c r="F182" s="1" t="str">
        <f t="shared" si="1"/>
        <v>5.2</v>
      </c>
      <c r="G182" s="1">
        <v>8.0</v>
      </c>
      <c r="H182" s="1">
        <v>1.0</v>
      </c>
      <c r="I182" s="1" t="str">
        <f t="shared" si="2"/>
        <v>8-1</v>
      </c>
    </row>
    <row r="183" ht="15.75" customHeight="1">
      <c r="A183" s="1" t="s">
        <v>327</v>
      </c>
      <c r="B183" s="1" t="s">
        <v>1215</v>
      </c>
      <c r="C183" s="1" t="s">
        <v>11</v>
      </c>
      <c r="D183" s="1">
        <v>5.0</v>
      </c>
      <c r="E183" s="1" t="s">
        <v>1044</v>
      </c>
      <c r="F183" s="1" t="str">
        <f t="shared" si="1"/>
        <v>5.2</v>
      </c>
      <c r="G183" s="1">
        <v>8.0</v>
      </c>
      <c r="H183" s="1">
        <v>2.0</v>
      </c>
      <c r="I183" s="1" t="str">
        <f t="shared" si="2"/>
        <v>8-2</v>
      </c>
    </row>
    <row r="184" ht="15.75" customHeight="1">
      <c r="A184" s="1" t="s">
        <v>345</v>
      </c>
      <c r="B184" s="1" t="s">
        <v>1216</v>
      </c>
      <c r="C184" s="1" t="s">
        <v>11</v>
      </c>
      <c r="D184" s="1">
        <v>5.0</v>
      </c>
      <c r="E184" s="1" t="s">
        <v>1044</v>
      </c>
      <c r="F184" s="1" t="str">
        <f t="shared" si="1"/>
        <v>5.2</v>
      </c>
      <c r="G184" s="1">
        <v>8.0</v>
      </c>
      <c r="H184" s="1">
        <v>3.0</v>
      </c>
      <c r="I184" s="1" t="str">
        <f t="shared" si="2"/>
        <v>8-3</v>
      </c>
    </row>
    <row r="185" ht="15.75" customHeight="1">
      <c r="A185" s="1" t="s">
        <v>129</v>
      </c>
      <c r="B185" s="1" t="s">
        <v>1217</v>
      </c>
      <c r="C185" s="1" t="s">
        <v>11</v>
      </c>
      <c r="D185" s="1">
        <v>5.0</v>
      </c>
      <c r="E185" s="1" t="s">
        <v>1044</v>
      </c>
      <c r="F185" s="1" t="str">
        <f t="shared" si="1"/>
        <v>5.2</v>
      </c>
      <c r="G185" s="1">
        <v>8.0</v>
      </c>
      <c r="H185" s="1">
        <v>4.0</v>
      </c>
      <c r="I185" s="1" t="str">
        <f t="shared" si="2"/>
        <v>8-4</v>
      </c>
    </row>
    <row r="186" ht="15.75" customHeight="1">
      <c r="A186" s="1" t="s">
        <v>322</v>
      </c>
      <c r="B186" s="1" t="s">
        <v>1218</v>
      </c>
      <c r="C186" s="1" t="s">
        <v>11</v>
      </c>
      <c r="D186" s="1">
        <v>5.0</v>
      </c>
      <c r="E186" s="1" t="s">
        <v>1044</v>
      </c>
      <c r="F186" s="1" t="str">
        <f t="shared" si="1"/>
        <v>5.2</v>
      </c>
      <c r="G186" s="1">
        <v>8.0</v>
      </c>
      <c r="H186" s="1">
        <v>5.0</v>
      </c>
      <c r="I186" s="1" t="str">
        <f t="shared" si="2"/>
        <v>8-5</v>
      </c>
    </row>
    <row r="187" ht="15.75" customHeight="1">
      <c r="A187" s="1" t="s">
        <v>142</v>
      </c>
      <c r="B187" s="1" t="s">
        <v>1219</v>
      </c>
      <c r="C187" s="1" t="s">
        <v>11</v>
      </c>
      <c r="D187" s="1">
        <v>5.0</v>
      </c>
      <c r="E187" s="1" t="s">
        <v>1044</v>
      </c>
      <c r="F187" s="1" t="str">
        <f t="shared" si="1"/>
        <v>5.2</v>
      </c>
      <c r="G187" s="1">
        <v>8.0</v>
      </c>
      <c r="H187" s="1">
        <v>6.0</v>
      </c>
      <c r="I187" s="1" t="str">
        <f t="shared" si="2"/>
        <v>8-6</v>
      </c>
    </row>
    <row r="188" ht="15.75" customHeight="1">
      <c r="A188" s="1" t="s">
        <v>379</v>
      </c>
      <c r="B188" s="1" t="s">
        <v>1220</v>
      </c>
      <c r="C188" s="1" t="s">
        <v>11</v>
      </c>
      <c r="D188" s="1">
        <v>5.0</v>
      </c>
      <c r="E188" s="1" t="s">
        <v>1044</v>
      </c>
      <c r="F188" s="1" t="str">
        <f t="shared" si="1"/>
        <v>5.2</v>
      </c>
      <c r="G188" s="1">
        <v>8.0</v>
      </c>
      <c r="H188" s="1">
        <v>7.0</v>
      </c>
      <c r="I188" s="1" t="str">
        <f t="shared" si="2"/>
        <v>8-7</v>
      </c>
    </row>
    <row r="189" ht="15.75" customHeight="1">
      <c r="A189" s="1" t="s">
        <v>743</v>
      </c>
      <c r="B189" s="1" t="s">
        <v>1221</v>
      </c>
      <c r="C189" s="1" t="s">
        <v>11</v>
      </c>
      <c r="D189" s="1">
        <v>5.0</v>
      </c>
      <c r="E189" s="1" t="s">
        <v>1044</v>
      </c>
      <c r="F189" s="1" t="str">
        <f t="shared" si="1"/>
        <v>5.2</v>
      </c>
      <c r="G189" s="1">
        <v>8.0</v>
      </c>
      <c r="H189" s="1">
        <v>8.0</v>
      </c>
      <c r="I189" s="1" t="str">
        <f t="shared" si="2"/>
        <v>8-8</v>
      </c>
    </row>
    <row r="190" ht="15.75" customHeight="1">
      <c r="A190" s="1" t="s">
        <v>143</v>
      </c>
      <c r="B190" s="1" t="s">
        <v>1222</v>
      </c>
      <c r="C190" s="1" t="s">
        <v>11</v>
      </c>
      <c r="D190" s="1">
        <v>5.0</v>
      </c>
      <c r="E190" s="1" t="s">
        <v>1044</v>
      </c>
      <c r="F190" s="1" t="str">
        <f t="shared" si="1"/>
        <v>5.2</v>
      </c>
      <c r="G190" s="1">
        <v>8.0</v>
      </c>
      <c r="H190" s="1">
        <v>9.0</v>
      </c>
      <c r="I190" s="1" t="str">
        <f t="shared" si="2"/>
        <v>8-9</v>
      </c>
    </row>
    <row r="191" ht="15.75" customHeight="1">
      <c r="A191" s="1" t="s">
        <v>128</v>
      </c>
      <c r="B191" s="1" t="s">
        <v>1223</v>
      </c>
      <c r="C191" s="1" t="s">
        <v>11</v>
      </c>
      <c r="D191" s="1">
        <v>5.0</v>
      </c>
      <c r="E191" s="1" t="s">
        <v>1044</v>
      </c>
      <c r="F191" s="1" t="str">
        <f t="shared" si="1"/>
        <v>5.2</v>
      </c>
      <c r="G191" s="1">
        <v>8.0</v>
      </c>
      <c r="H191" s="1">
        <v>10.0</v>
      </c>
      <c r="I191" s="1" t="str">
        <f t="shared" si="2"/>
        <v>8-10</v>
      </c>
    </row>
    <row r="192" ht="15.75" customHeight="1">
      <c r="A192" s="1" t="s">
        <v>140</v>
      </c>
      <c r="B192" s="1" t="s">
        <v>1224</v>
      </c>
      <c r="C192" s="1" t="s">
        <v>11</v>
      </c>
      <c r="D192" s="1">
        <v>5.0</v>
      </c>
      <c r="E192" s="1" t="s">
        <v>1044</v>
      </c>
      <c r="F192" s="1" t="str">
        <f t="shared" si="1"/>
        <v>5.2</v>
      </c>
      <c r="G192" s="1">
        <v>8.0</v>
      </c>
      <c r="H192" s="1">
        <v>11.0</v>
      </c>
      <c r="I192" s="1" t="str">
        <f t="shared" si="2"/>
        <v>8-11</v>
      </c>
    </row>
    <row r="193" ht="15.75" customHeight="1">
      <c r="A193" s="1" t="s">
        <v>135</v>
      </c>
      <c r="B193" s="1" t="s">
        <v>1225</v>
      </c>
      <c r="C193" s="1" t="s">
        <v>11</v>
      </c>
      <c r="D193" s="1">
        <v>5.0</v>
      </c>
      <c r="E193" s="1" t="s">
        <v>1044</v>
      </c>
      <c r="F193" s="1" t="str">
        <f t="shared" si="1"/>
        <v>5.2</v>
      </c>
      <c r="G193" s="1">
        <v>8.0</v>
      </c>
      <c r="H193" s="1">
        <v>12.0</v>
      </c>
      <c r="I193" s="1" t="str">
        <f t="shared" si="2"/>
        <v>8-12</v>
      </c>
    </row>
    <row r="194" ht="15.75" customHeight="1">
      <c r="A194" s="1" t="s">
        <v>44</v>
      </c>
      <c r="B194" s="1" t="s">
        <v>1202</v>
      </c>
      <c r="C194" s="1" t="s">
        <v>11</v>
      </c>
      <c r="D194" s="1">
        <v>5.0</v>
      </c>
      <c r="E194" s="1" t="s">
        <v>1078</v>
      </c>
      <c r="F194" s="1" t="str">
        <f t="shared" si="1"/>
        <v>5.2</v>
      </c>
      <c r="G194" s="1">
        <v>5.0</v>
      </c>
      <c r="H194" s="1">
        <v>1.0</v>
      </c>
      <c r="I194" s="1" t="str">
        <f t="shared" si="2"/>
        <v>5-1</v>
      </c>
    </row>
    <row r="195" ht="15.75" customHeight="1">
      <c r="A195" s="1" t="s">
        <v>104</v>
      </c>
      <c r="B195" s="1" t="s">
        <v>1203</v>
      </c>
      <c r="C195" s="1" t="s">
        <v>11</v>
      </c>
      <c r="D195" s="1">
        <v>5.0</v>
      </c>
      <c r="E195" s="1" t="s">
        <v>1078</v>
      </c>
      <c r="F195" s="1" t="str">
        <f t="shared" si="1"/>
        <v>5.2</v>
      </c>
      <c r="G195" s="1">
        <v>5.0</v>
      </c>
      <c r="H195" s="1">
        <v>2.0</v>
      </c>
      <c r="I195" s="1" t="str">
        <f t="shared" si="2"/>
        <v>5-2</v>
      </c>
    </row>
    <row r="196" ht="15.75" customHeight="1">
      <c r="A196" s="1" t="s">
        <v>103</v>
      </c>
      <c r="B196" s="1" t="s">
        <v>1204</v>
      </c>
      <c r="C196" s="1" t="s">
        <v>11</v>
      </c>
      <c r="D196" s="1">
        <v>5.0</v>
      </c>
      <c r="E196" s="1" t="s">
        <v>1078</v>
      </c>
      <c r="F196" s="1" t="str">
        <f t="shared" si="1"/>
        <v>5.2</v>
      </c>
      <c r="G196" s="1">
        <v>5.0</v>
      </c>
      <c r="H196" s="1">
        <v>3.0</v>
      </c>
      <c r="I196" s="1" t="str">
        <f t="shared" si="2"/>
        <v>5-3</v>
      </c>
    </row>
    <row r="197" ht="15.75" customHeight="1">
      <c r="A197" s="1" t="s">
        <v>25</v>
      </c>
      <c r="B197" s="1" t="s">
        <v>1205</v>
      </c>
      <c r="C197" s="1" t="s">
        <v>11</v>
      </c>
      <c r="D197" s="1">
        <v>5.0</v>
      </c>
      <c r="E197" s="1" t="s">
        <v>1078</v>
      </c>
      <c r="F197" s="1" t="str">
        <f t="shared" si="1"/>
        <v>5.2</v>
      </c>
      <c r="G197" s="1">
        <v>5.0</v>
      </c>
      <c r="H197" s="1">
        <v>4.0</v>
      </c>
      <c r="I197" s="1" t="str">
        <f t="shared" si="2"/>
        <v>5-4</v>
      </c>
    </row>
    <row r="198" ht="15.75" customHeight="1">
      <c r="A198" s="1" t="s">
        <v>88</v>
      </c>
      <c r="B198" s="1" t="s">
        <v>1206</v>
      </c>
      <c r="C198" s="1" t="s">
        <v>11</v>
      </c>
      <c r="D198" s="1">
        <v>5.0</v>
      </c>
      <c r="E198" s="1" t="s">
        <v>1078</v>
      </c>
      <c r="F198" s="1" t="str">
        <f t="shared" si="1"/>
        <v>5.2</v>
      </c>
      <c r="G198" s="1">
        <v>5.0</v>
      </c>
      <c r="H198" s="1">
        <v>5.0</v>
      </c>
      <c r="I198" s="1" t="str">
        <f t="shared" si="2"/>
        <v>5-5</v>
      </c>
    </row>
    <row r="199" ht="15.75" customHeight="1">
      <c r="A199" s="1" t="s">
        <v>87</v>
      </c>
      <c r="B199" s="1" t="s">
        <v>1207</v>
      </c>
      <c r="C199" s="1" t="s">
        <v>11</v>
      </c>
      <c r="D199" s="1">
        <v>5.0</v>
      </c>
      <c r="E199" s="1" t="s">
        <v>1078</v>
      </c>
      <c r="F199" s="1" t="str">
        <f t="shared" si="1"/>
        <v>5.2</v>
      </c>
      <c r="G199" s="1">
        <v>5.0</v>
      </c>
      <c r="H199" s="1">
        <v>6.0</v>
      </c>
      <c r="I199" s="1" t="str">
        <f t="shared" si="2"/>
        <v>5-6</v>
      </c>
    </row>
    <row r="200" ht="15.75" customHeight="1">
      <c r="A200" s="1" t="s">
        <v>84</v>
      </c>
      <c r="B200" s="1" t="s">
        <v>1208</v>
      </c>
      <c r="C200" s="1" t="s">
        <v>11</v>
      </c>
      <c r="D200" s="1">
        <v>5.0</v>
      </c>
      <c r="E200" s="1" t="s">
        <v>1078</v>
      </c>
      <c r="F200" s="1" t="str">
        <f t="shared" si="1"/>
        <v>5.2</v>
      </c>
      <c r="G200" s="1">
        <v>5.0</v>
      </c>
      <c r="H200" s="1">
        <v>7.0</v>
      </c>
      <c r="I200" s="1" t="str">
        <f t="shared" si="2"/>
        <v>5-7</v>
      </c>
    </row>
    <row r="201" ht="15.75" customHeight="1">
      <c r="A201" s="1" t="s">
        <v>85</v>
      </c>
      <c r="B201" s="1" t="s">
        <v>1209</v>
      </c>
      <c r="C201" s="1" t="s">
        <v>11</v>
      </c>
      <c r="D201" s="1">
        <v>5.0</v>
      </c>
      <c r="E201" s="1" t="s">
        <v>1078</v>
      </c>
      <c r="F201" s="1" t="str">
        <f t="shared" si="1"/>
        <v>5.2</v>
      </c>
      <c r="G201" s="1">
        <v>5.0</v>
      </c>
      <c r="H201" s="1">
        <v>8.0</v>
      </c>
      <c r="I201" s="1" t="str">
        <f t="shared" si="2"/>
        <v>5-8</v>
      </c>
    </row>
    <row r="202" ht="15.75" customHeight="1">
      <c r="A202" s="1" t="s">
        <v>83</v>
      </c>
      <c r="B202" s="1" t="s">
        <v>1210</v>
      </c>
      <c r="C202" s="1" t="s">
        <v>11</v>
      </c>
      <c r="D202" s="1">
        <v>5.0</v>
      </c>
      <c r="E202" s="1" t="s">
        <v>1078</v>
      </c>
      <c r="F202" s="1" t="str">
        <f t="shared" si="1"/>
        <v>5.2</v>
      </c>
      <c r="G202" s="1">
        <v>5.0</v>
      </c>
      <c r="H202" s="1">
        <v>9.0</v>
      </c>
      <c r="I202" s="1" t="str">
        <f t="shared" si="2"/>
        <v>5-9</v>
      </c>
    </row>
    <row r="203" ht="15.75" customHeight="1">
      <c r="A203" s="1" t="s">
        <v>314</v>
      </c>
      <c r="B203" s="1" t="s">
        <v>1211</v>
      </c>
      <c r="C203" s="1" t="s">
        <v>11</v>
      </c>
      <c r="D203" s="1">
        <v>5.0</v>
      </c>
      <c r="E203" s="1" t="s">
        <v>1078</v>
      </c>
      <c r="F203" s="1" t="str">
        <f t="shared" si="1"/>
        <v>5.2</v>
      </c>
      <c r="G203" s="1">
        <v>5.0</v>
      </c>
      <c r="H203" s="1">
        <v>10.0</v>
      </c>
      <c r="I203" s="1" t="str">
        <f t="shared" si="2"/>
        <v>5-10</v>
      </c>
    </row>
    <row r="204" ht="15.75" customHeight="1">
      <c r="A204" s="1" t="s">
        <v>120</v>
      </c>
      <c r="B204" s="1" t="s">
        <v>1212</v>
      </c>
      <c r="C204" s="1" t="s">
        <v>11</v>
      </c>
      <c r="D204" s="1">
        <v>5.0</v>
      </c>
      <c r="E204" s="1" t="s">
        <v>1078</v>
      </c>
      <c r="F204" s="1" t="str">
        <f t="shared" si="1"/>
        <v>5.2</v>
      </c>
      <c r="G204" s="1">
        <v>5.0</v>
      </c>
      <c r="H204" s="1">
        <v>11.0</v>
      </c>
      <c r="I204" s="1" t="str">
        <f t="shared" si="2"/>
        <v>5-11</v>
      </c>
    </row>
    <row r="205" ht="15.75" customHeight="1">
      <c r="A205" s="1" t="s">
        <v>121</v>
      </c>
      <c r="B205" s="1" t="s">
        <v>1213</v>
      </c>
      <c r="C205" s="1" t="s">
        <v>11</v>
      </c>
      <c r="D205" s="1">
        <v>5.0</v>
      </c>
      <c r="E205" s="1" t="s">
        <v>1078</v>
      </c>
      <c r="F205" s="1" t="str">
        <f t="shared" si="1"/>
        <v>5.2</v>
      </c>
      <c r="G205" s="1">
        <v>5.0</v>
      </c>
      <c r="H205" s="1">
        <v>12.0</v>
      </c>
      <c r="I205" s="1" t="str">
        <f t="shared" si="2"/>
        <v>5-12</v>
      </c>
    </row>
    <row r="206" ht="15.75" customHeight="1">
      <c r="A206" s="1" t="s">
        <v>130</v>
      </c>
      <c r="B206" s="1" t="s">
        <v>1214</v>
      </c>
      <c r="C206" s="1" t="s">
        <v>11</v>
      </c>
      <c r="D206" s="1">
        <v>5.0</v>
      </c>
      <c r="E206" s="1" t="s">
        <v>1078</v>
      </c>
      <c r="F206" s="1" t="str">
        <f t="shared" si="1"/>
        <v>5.2</v>
      </c>
      <c r="G206" s="1">
        <v>8.0</v>
      </c>
      <c r="H206" s="1">
        <v>1.0</v>
      </c>
      <c r="I206" s="1" t="str">
        <f t="shared" si="2"/>
        <v>8-1</v>
      </c>
    </row>
    <row r="207" ht="15.75" customHeight="1">
      <c r="A207" s="1" t="s">
        <v>327</v>
      </c>
      <c r="B207" s="1" t="s">
        <v>1215</v>
      </c>
      <c r="C207" s="1" t="s">
        <v>11</v>
      </c>
      <c r="D207" s="1">
        <v>5.0</v>
      </c>
      <c r="E207" s="1" t="s">
        <v>1078</v>
      </c>
      <c r="F207" s="1" t="str">
        <f t="shared" si="1"/>
        <v>5.2</v>
      </c>
      <c r="G207" s="1">
        <v>8.0</v>
      </c>
      <c r="H207" s="1">
        <v>2.0</v>
      </c>
      <c r="I207" s="1" t="str">
        <f t="shared" si="2"/>
        <v>8-2</v>
      </c>
    </row>
    <row r="208" ht="15.75" customHeight="1">
      <c r="A208" s="1" t="s">
        <v>345</v>
      </c>
      <c r="B208" s="1" t="s">
        <v>1216</v>
      </c>
      <c r="C208" s="1" t="s">
        <v>11</v>
      </c>
      <c r="D208" s="1">
        <v>5.0</v>
      </c>
      <c r="E208" s="1" t="s">
        <v>1078</v>
      </c>
      <c r="F208" s="1" t="str">
        <f t="shared" si="1"/>
        <v>5.2</v>
      </c>
      <c r="G208" s="1">
        <v>8.0</v>
      </c>
      <c r="H208" s="1">
        <v>3.0</v>
      </c>
      <c r="I208" s="1" t="str">
        <f t="shared" si="2"/>
        <v>8-3</v>
      </c>
    </row>
    <row r="209" ht="15.75" customHeight="1">
      <c r="A209" s="1" t="s">
        <v>129</v>
      </c>
      <c r="B209" s="1" t="s">
        <v>1217</v>
      </c>
      <c r="C209" s="1" t="s">
        <v>11</v>
      </c>
      <c r="D209" s="1">
        <v>5.0</v>
      </c>
      <c r="E209" s="1" t="s">
        <v>1078</v>
      </c>
      <c r="F209" s="1" t="str">
        <f t="shared" si="1"/>
        <v>5.2</v>
      </c>
      <c r="G209" s="1">
        <v>8.0</v>
      </c>
      <c r="H209" s="1">
        <v>4.0</v>
      </c>
      <c r="I209" s="1" t="str">
        <f t="shared" si="2"/>
        <v>8-4</v>
      </c>
    </row>
    <row r="210" ht="15.75" customHeight="1">
      <c r="A210" s="1" t="s">
        <v>322</v>
      </c>
      <c r="B210" s="1" t="s">
        <v>1218</v>
      </c>
      <c r="C210" s="1" t="s">
        <v>11</v>
      </c>
      <c r="D210" s="1">
        <v>5.0</v>
      </c>
      <c r="E210" s="1" t="s">
        <v>1078</v>
      </c>
      <c r="F210" s="1" t="str">
        <f t="shared" si="1"/>
        <v>5.2</v>
      </c>
      <c r="G210" s="1">
        <v>8.0</v>
      </c>
      <c r="H210" s="1">
        <v>5.0</v>
      </c>
      <c r="I210" s="1" t="str">
        <f t="shared" si="2"/>
        <v>8-5</v>
      </c>
    </row>
    <row r="211" ht="15.75" customHeight="1">
      <c r="A211" s="1" t="s">
        <v>142</v>
      </c>
      <c r="B211" s="1" t="s">
        <v>1219</v>
      </c>
      <c r="C211" s="1" t="s">
        <v>11</v>
      </c>
      <c r="D211" s="1">
        <v>5.0</v>
      </c>
      <c r="E211" s="1" t="s">
        <v>1078</v>
      </c>
      <c r="F211" s="1" t="str">
        <f t="shared" si="1"/>
        <v>5.2</v>
      </c>
      <c r="G211" s="1">
        <v>8.0</v>
      </c>
      <c r="H211" s="1">
        <v>6.0</v>
      </c>
      <c r="I211" s="1" t="str">
        <f t="shared" si="2"/>
        <v>8-6</v>
      </c>
    </row>
    <row r="212" ht="15.75" customHeight="1">
      <c r="A212" s="1" t="s">
        <v>379</v>
      </c>
      <c r="B212" s="1" t="s">
        <v>1220</v>
      </c>
      <c r="C212" s="1" t="s">
        <v>11</v>
      </c>
      <c r="D212" s="1">
        <v>5.0</v>
      </c>
      <c r="E212" s="1" t="s">
        <v>1078</v>
      </c>
      <c r="F212" s="1" t="str">
        <f t="shared" si="1"/>
        <v>5.2</v>
      </c>
      <c r="G212" s="1">
        <v>8.0</v>
      </c>
      <c r="H212" s="1">
        <v>7.0</v>
      </c>
      <c r="I212" s="1" t="str">
        <f t="shared" si="2"/>
        <v>8-7</v>
      </c>
    </row>
    <row r="213" ht="15.75" customHeight="1">
      <c r="A213" s="1" t="s">
        <v>743</v>
      </c>
      <c r="B213" s="1" t="s">
        <v>1221</v>
      </c>
      <c r="C213" s="1" t="s">
        <v>11</v>
      </c>
      <c r="D213" s="1">
        <v>5.0</v>
      </c>
      <c r="E213" s="1" t="s">
        <v>1078</v>
      </c>
      <c r="F213" s="1" t="str">
        <f t="shared" si="1"/>
        <v>5.2</v>
      </c>
      <c r="G213" s="1">
        <v>8.0</v>
      </c>
      <c r="H213" s="1">
        <v>8.0</v>
      </c>
      <c r="I213" s="1" t="str">
        <f t="shared" si="2"/>
        <v>8-8</v>
      </c>
    </row>
    <row r="214" ht="15.75" customHeight="1">
      <c r="A214" s="1" t="s">
        <v>143</v>
      </c>
      <c r="B214" s="1" t="s">
        <v>1222</v>
      </c>
      <c r="C214" s="1" t="s">
        <v>11</v>
      </c>
      <c r="D214" s="1">
        <v>5.0</v>
      </c>
      <c r="E214" s="1" t="s">
        <v>1078</v>
      </c>
      <c r="F214" s="1" t="str">
        <f t="shared" si="1"/>
        <v>5.2</v>
      </c>
      <c r="G214" s="1">
        <v>8.0</v>
      </c>
      <c r="H214" s="1">
        <v>9.0</v>
      </c>
      <c r="I214" s="1" t="str">
        <f t="shared" si="2"/>
        <v>8-9</v>
      </c>
    </row>
    <row r="215" ht="15.75" customHeight="1">
      <c r="A215" s="1" t="s">
        <v>128</v>
      </c>
      <c r="B215" s="1" t="s">
        <v>1223</v>
      </c>
      <c r="C215" s="1" t="s">
        <v>11</v>
      </c>
      <c r="D215" s="1">
        <v>5.0</v>
      </c>
      <c r="E215" s="1" t="s">
        <v>1078</v>
      </c>
      <c r="F215" s="1" t="str">
        <f t="shared" si="1"/>
        <v>5.2</v>
      </c>
      <c r="G215" s="1">
        <v>8.0</v>
      </c>
      <c r="H215" s="1">
        <v>10.0</v>
      </c>
      <c r="I215" s="1" t="str">
        <f t="shared" si="2"/>
        <v>8-10</v>
      </c>
    </row>
    <row r="216" ht="15.75" customHeight="1">
      <c r="A216" s="1" t="s">
        <v>140</v>
      </c>
      <c r="B216" s="1" t="s">
        <v>1224</v>
      </c>
      <c r="C216" s="1" t="s">
        <v>11</v>
      </c>
      <c r="D216" s="1">
        <v>5.0</v>
      </c>
      <c r="E216" s="1" t="s">
        <v>1078</v>
      </c>
      <c r="F216" s="1" t="str">
        <f t="shared" si="1"/>
        <v>5.2</v>
      </c>
      <c r="G216" s="1">
        <v>8.0</v>
      </c>
      <c r="H216" s="1">
        <v>11.0</v>
      </c>
      <c r="I216" s="1" t="str">
        <f t="shared" si="2"/>
        <v>8-11</v>
      </c>
    </row>
    <row r="217" ht="15.75" customHeight="1">
      <c r="A217" s="1" t="s">
        <v>135</v>
      </c>
      <c r="B217" s="1" t="s">
        <v>1225</v>
      </c>
      <c r="C217" s="1" t="s">
        <v>11</v>
      </c>
      <c r="D217" s="1">
        <v>5.0</v>
      </c>
      <c r="E217" s="1" t="s">
        <v>1078</v>
      </c>
      <c r="F217" s="1" t="str">
        <f t="shared" si="1"/>
        <v>5.2</v>
      </c>
      <c r="G217" s="1">
        <v>8.0</v>
      </c>
      <c r="H217" s="1">
        <v>12.0</v>
      </c>
      <c r="I217" s="1" t="str">
        <f t="shared" si="2"/>
        <v>8-12</v>
      </c>
    </row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